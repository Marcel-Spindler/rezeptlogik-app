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Volume Development" sheetId="2" r:id="rId6"/>
    <sheet state="visible" name="Slot Selection" sheetId="3" r:id="rId7"/>
    <sheet state="hidden" name="ARCHIVED - Meal Selection" sheetId="4" r:id="rId8"/>
    <sheet state="visible" name="Meal Selection" sheetId="5" r:id="rId9"/>
    <sheet state="visible" name="Volume Split Up-To-Date" sheetId="6" r:id="rId10"/>
    <sheet state="hidden" name="Budget Volumes" sheetId="7" r:id="rId11"/>
    <sheet state="hidden" name="Middle Mile Planning" sheetId="8" r:id="rId12"/>
    <sheet state="hidden" name="Capacity Planning" sheetId="9" r:id="rId13"/>
    <sheet state="hidden" name="Graphs" sheetId="10" r:id="rId14"/>
    <sheet state="hidden" name="Menu Volume Share" sheetId="11" r:id="rId15"/>
    <sheet state="hidden" name="Menu Share" sheetId="12" r:id="rId16"/>
    <sheet state="hidden" name="Import Meal Database" sheetId="13" r:id="rId17"/>
    <sheet state="visible" name="Equipment List - LIVE Mirror" sheetId="14" r:id="rId18"/>
    <sheet state="visible" name="Volume Allocation Overview" sheetId="15" r:id="rId19"/>
  </sheets>
  <definedNames>
    <definedName hidden="1" localSheetId="13" name="_xlnm._FilterDatabase">'Equipment List - LIVE Mirror'!$A$4:$BB$47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tc={03081da5-fe60-4f71-a74e-8341b6faadda}</author>
    <author>tc={03451e8d-d1e5-498e-a479-16cf8398e2ee}</author>
    <author>tc={09035d4f-b516-460b-bcd2-fbcb568d8eea}</author>
    <author>tc={0a228bc2-aa10-4460-9124-3aad138b48c7}</author>
    <author>tc={0efceae7-c759-4781-9b8f-aaf526dfc069}</author>
    <author>tc={12dc6814-5b42-4a80-bdb1-d3c61dcd2178}</author>
    <author>tc={19a64b5c-47dc-42d6-85f1-73689d99a0a7}</author>
    <author>tc={1e1fe2de-e584-48d2-a005-ffdc462e6029}</author>
    <author>tc={28ac97e6-9ee2-4931-9256-fc0622de3f62}</author>
    <author>tc={2bf33be6-68e4-4460-a222-f40b11c6c724}</author>
    <author>tc={2d0ecc7c-43fb-4d48-8520-132b2eda1889}</author>
    <author>tc={2e1ae4cd-c4b6-4e3d-ac8d-01198eee1029}</author>
    <author>tc={361fc280-061b-4096-931c-c03fae65d2ab}</author>
    <author>tc={3a66f093-02ee-45b8-a0b4-d32b08d1381c}</author>
    <author>tc={40644748-3db0-4fd5-af92-6afe994a0912}</author>
    <author>tc={41c198d1-369c-4fb2-b60c-7ffa9381cb93}</author>
    <author>tc={4c439aa2-097a-42a3-8106-b040faed2d1e}</author>
    <author>tc={5bbb80f5-e809-4340-9008-946f761588e7}</author>
    <author>tc={65f2c6f5-5d6f-47ad-acc5-694e9b51f01b}</author>
    <author>tc={6a8c03d3-d98a-4284-b5bb-8cbda1c268bc}</author>
    <author>tc={6edef948-60a0-496c-bd4b-63019e15771d}</author>
    <author>tc={74821c8b-7ade-400c-b452-b4e388a2877a}</author>
    <author>tc={7b88230e-374f-4e81-8e6c-8968b2f3072e}</author>
    <author>tc={837a5492-56fc-4365-842c-31f8387c705b}</author>
    <author>tc={977ce00a-fc02-404e-893f-7cc9cf17dc01}</author>
    <author>tc={9b5bcc7d-54fe-4e52-9d8f-0d7f2f2580a4}</author>
    <author>tc={9d2e3a32-103e-4379-8aa2-74847d4102b3}</author>
    <author>tc={9e74d0da-f637-4e6c-bf48-a698bbc9c15f}</author>
    <author>tc={a07e0116-e604-4de5-bb8b-126f7c4dd0d2}</author>
    <author>tc={ad3061b3-ea36-496d-956b-db3a5431ac3d}</author>
    <author>tc={aeef035b-57cb-4bb0-a12a-0872792136f1}</author>
    <author>tc={b308640b-b90c-43b0-9a66-f3f533c7c465}</author>
    <author>tc={bdab3e18-0b8d-4499-9b72-83142af09fde}</author>
    <author>tc={be8c99bf-ac94-4e8f-94f0-f7390fa850a5}</author>
    <author>tc={c9bd98a9-069f-4c46-95aa-7e3c0d7bbf61}</author>
    <author>tc={cc6470ea-0778-4efd-aacb-f09785674e7a}</author>
    <author>tc={cf67c7bf-2131-4573-8fcd-915fac09f9c2}</author>
    <author>tc={d75512e5-b619-4edc-991d-12bb305cea9b}</author>
    <author>tc={e42aa91f-66e6-42ac-a272-93b63b2f8106}</author>
    <author>tc={ede1299d-036d-4255-a01e-3624a0862bcc}</author>
  </authors>
  <commentList>
    <comment authorId="0" xr:uid="{03081da5-fe60-4f71-a74e-8341b6faadda}" ref="K19">
      <text>
        <t xml:space="preserve">[Threaded comment]
 Your version of Excel allows you to read this threaded comment; however, any edits to it will get removed if the file is opened in a newer version of Excel. Learn more: https://go.microsoft.com/fwlink/?linkid=870924
Comment:
	Updated Growth Model Figures until W16, Budgeted Figures from W19
</t>
      </text>
    </comment>
    <comment authorId="1" xr:uid="{03451e8d-d1e5-498e-a479-16cf8398e2ee}" ref="A1">
      <text>
        <t xml:space="preserve">[Threaded comment]
 Your version of Excel allows you to read this threaded comment; however, any edits to it will get removed if the file is opened in a newer version of Excel. Learn more: https://go.microsoft.com/fwlink/?linkid=870924
Comment:
	@tyler.sandlant@factor75.eu any concerns here?
</t>
      </text>
    </comment>
    <comment authorId="2" xr:uid="{09035d4f-b516-460b-bcd2-fbcb568d8eea}" ref="A1">
      <text>
        <t xml:space="preserve">[Threaded comment]
 Your version of Excel allows you to read this threaded comment; however, any edits to it will get removed if the file is opened in a newer version of Excel. Learn more: https://go.microsoft.com/fwlink/?linkid=870924
Comment:
	Just buttermilk. 80% through fsqa onboarding. Should be fine
Reply:
	@tyler.sandlant@factor75.eu when can we expect nutritional values/100g so I can finalize nutrition calcs?
cc @dafna@hellofresh.nl
Reply:
	@tyler.sandlant@factor75.eu what's the buttermilk status now?
</t>
      </text>
    </comment>
    <comment authorId="3" xr:uid="{0a228bc2-aa10-4460-9124-3aad138b48c7}" ref="A1">
      <text>
        <t xml:space="preserve">[Threaded comment]
 Your version of Excel allows you to read this threaded comment; however, any edits to it will get removed if the file is opened in a newer version of Excel. Learn more: https://go.microsoft.com/fwlink/?linkid=870924
Comment:
	@carol.england@factor75.eu would we want to replace this one with a white fish recipe as well?
</t>
      </text>
    </comment>
    <comment authorId="4" xr:uid="{0efceae7-c759-4781-9b8f-aaf526dfc069}" ref="A1">
      <text>
        <t xml:space="preserve">[Threaded comment]
 Your version of Excel allows you to read this threaded comment; however, any edits to it will get removed if the file is opened in a newer version of Excel. Learn more: https://go.microsoft.com/fwlink/?linkid=870924
Comment:
	@sam.quaife@factor75.eu any concerns here?
</t>
      </text>
    </comment>
    <comment authorId="5" xr:uid="{12dc6814-5b42-4a80-bdb1-d3c61dcd2178}" ref="A1">
      <text>
        <t xml:space="preserve">[Threaded comment]
 Your version of Excel allows you to read this threaded comment; however, any edits to it will get removed if the file is opened in a newer version of Excel. Learn more: https://go.microsoft.com/fwlink/?linkid=870924
Comment:
	@sam.quaife@factor75.eu what's the status here from your side?
</t>
      </text>
    </comment>
    <comment authorId="6" xr:uid="{19a64b5c-47dc-42d6-85f1-73689d99a0a7}" ref="A1">
      <text>
        <t xml:space="preserve">[Threaded comment]
 Your version of Excel allows you to read this threaded comment; however, any edits to it will get removed if the file is opened in a newer version of Excel. Learn more: https://go.microsoft.com/fwlink/?linkid=870924
Comment:
	@sam.quaife@factor75.eu could you just tick off if all good from your side here please?
</t>
      </text>
    </comment>
    <comment authorId="7" xr:uid="{1e1fe2de-e584-48d2-a005-ffdc462e6029}" ref="A1">
      <text>
        <t xml:space="preserve">[Threaded comment]
 Your version of Excel allows you to read this threaded comment; however, any edits to it will get removed if the file is opened in a newer version of Excel. Learn more: https://go.microsoft.com/fwlink/?linkid=870924
Comment:
	@carol.england@factor75.eu do we want to placeholder slot in a white fish meal here? if you have a US one already?
Reply:
	I need to review their database to see what options we have that don't need any other new ingredients - will have time for it later on the train i think
</t>
      </text>
    </comment>
    <comment authorId="8" xr:uid="{28ac97e6-9ee2-4931-9256-fc0622de3f62}" ref="A1">
      <text>
        <t xml:space="preserve">[Threaded comment]
 Your version of Excel allows you to read this threaded comment; however, any edits to it will get removed if the file is opened in a newer version of Excel. Learn more: https://go.microsoft.com/fwlink/?linkid=870924
Comment:
	@carol.england@factor75.eu  could you go through Tyler's comments? Thank you!
Assigned to carol.england@factor75.eu
Reply:
	Reviewed - @tyler.sandlant@factor75.eu added a couple questions
</t>
      </text>
    </comment>
    <comment authorId="9" xr:uid="{2bf33be6-68e4-4460-a222-f40b11c6c724}" ref="A1">
      <text>
        <t xml:space="preserve">[Threaded comment]
 Your version of Excel allows you to read this threaded comment; however, any edits to it will get removed if the file is opened in a newer version of Excel. Learn more: https://go.microsoft.com/fwlink/?linkid=870924
Comment:
	@tyler.sandlant@factor75.eu @sam.quaife@factor75.eu  this is the meal in here now :) SKU coverage sheet says fully sourced, but please have a look
Reply:
	Good to go
</t>
      </text>
    </comment>
    <comment authorId="10" xr:uid="{2d0ecc7c-43fb-4d48-8520-132b2eda1889}" ref="A1">
      <text>
        <t xml:space="preserve">[Threaded comment]
 Your version of Excel allows you to read this threaded comment; however, any edits to it will get removed if the file is opened in a newer version of Excel. Learn more: https://go.microsoft.com/fwlink/?linkid=870924
Comment:
	Shrimp is a risk @cornelia.binder@factor75.eu @carol.england@factor75.eu
</t>
      </text>
    </comment>
    <comment authorId="11" xr:uid="{2e1ae4cd-c4b6-4e3d-ac8d-01198eee1029}" ref="A1">
      <text>
        <t xml:space="preserve">[Threaded comment]
 Your version of Excel allows you to read this threaded comment; however, any edits to it will get removed if the file is opened in a newer version of Excel. Learn more: https://go.microsoft.com/fwlink/?linkid=870924
Comment:
	@cornelia.binder@factor75.eu idk how your sheet works but can you swap these shrimp meals?
</t>
      </text>
    </comment>
    <comment authorId="12" xr:uid="{361fc280-061b-4096-931c-c03fae65d2ab}" ref="A1">
      <text>
        <t xml:space="preserve">[Threaded comment]
 Your version of Excel allows you to read this threaded comment; however, any edits to it will get removed if the file is opened in a newer version of Excel. Learn more: https://go.microsoft.com/fwlink/?linkid=870924
Comment:
	Mirepoix is the only potential risk here given it has a 5 week lead time and is being onboarded - Will get an update today @cornelia.binder@factor75.eu
1 total reaction
Cornelia Binder reacted with 👍 at 2026-02-03 15:51 PM
Reply:
	Thank you - do we have an update on it already @sam.quaife@factor75.eu ?
Reply:
	The supplier has a BRC audit this week so this is delaying us slightly 
The mirepoix is a Factor only formulation so the data they need is not readily available 
I can place a PO to ensure we will have it but let me double check with Roo today
</t>
      </text>
    </comment>
    <comment authorId="13" xr:uid="{3a66f093-02ee-45b8-a0b4-d32b08d1381c}" ref="A1">
      <text>
        <t xml:space="preserve">[Threaded comment]
 Your version of Excel allows you to read this threaded comment; however, any edits to it will get removed if the file is opened in a newer version of Excel. Learn more: https://go.microsoft.com/fwlink/?linkid=870924
Comment:
	@tyler.sandlant@factor75.eu could you cross check the sourcing for these meals and raise if there are any red flags I've missed? Thank you!
Assigned to tyler.sandlant@factor75.eu
Reply:
	@migle.labeikyte@factor75.eu comments added
Reassigned to migle.labeikyte@factor75.eu
</t>
      </text>
    </comment>
    <comment authorId="14" xr:uid="{40644748-3db0-4fd5-af92-6afe994a0912}" ref="A1">
      <text>
        <t xml:space="preserve">[Threaded comment]
 Your version of Excel allows you to read this threaded comment; however, any edits to it will get removed if the file is opened in a newer version of Excel. Learn more: https://go.microsoft.com/fwlink/?linkid=870924
Comment:
	high risk - lets see how tasting goes
</t>
      </text>
    </comment>
    <comment authorId="15" xr:uid="{41c198d1-369c-4fb2-b60c-7ffa9381cb93}" ref="A1">
      <text>
        <t xml:space="preserve">[Threaded comment]
 Your version of Excel allows you to read this threaded comment; however, any edits to it will get removed if the file is opened in a newer version of Excel. Learn more: https://go.microsoft.com/fwlink/?linkid=870924
Comment:
	@christoph.struckmann@factor75.eu please see WFS Phasing that feeds into capacity planning.
Can you please confirm if values are accurate still?
Assigned to christoph.struckmann@factor75.eu
Reply:
	@christoph.struckmann@factor75.eu can you please come back on this.
</t>
      </text>
    </comment>
    <comment authorId="16" xr:uid="{4c439aa2-097a-42a3-8106-b040faed2d1e}" ref="A1">
      <text>
        <t xml:space="preserve">[Threaded comment]
 Your version of Excel allows you to read this threaded comment; however, any edits to it will get removed if the file is opened in a newer version of Excel. Learn more: https://go.microsoft.com/fwlink/?linkid=870924
Comment:
	@sam.quaife@factor75.eu any concerns on this one?
</t>
      </text>
    </comment>
    <comment authorId="17" xr:uid="{5bbb80f5-e809-4340-9008-946f761588e7}" ref="K16">
      <text>
        <t xml:space="preserve">[Threaded comment]
 Your version of Excel allows you to read this threaded comment; however, any edits to it will get removed if the file is opened in a newer version of Excel. Learn more: https://go.microsoft.com/fwlink/?linkid=870924
Comment:
	easter dip starting
</t>
      </text>
    </comment>
    <comment authorId="18" xr:uid="{65f2c6f5-5d6f-47ad-acc5-694e9b51f01b}" ref="M29">
      <text>
        <t xml:space="preserve">[Threaded comment]
 Your version of Excel allows you to read this threaded comment; however, any edits to it will get removed if the file is opened in a newer version of Excel. Learn more: https://go.microsoft.com/fwlink/?linkid=870924
Comment:
	With zero unique meals at the coman how do we expect 2590 meal volumes?
</t>
      </text>
    </comment>
    <comment authorId="19" xr:uid="{6a8c03d3-d98a-4284-b5bb-8cbda1c268bc}" ref="A1">
      <text>
        <t xml:space="preserve">[Threaded comment]
 Your version of Excel allows you to read this threaded comment; however, any edits to it will get removed if the file is opened in a newer version of Excel. Learn more: https://go.microsoft.com/fwlink/?linkid=870924
Comment:
	we can work around if needed i think...
</t>
      </text>
    </comment>
    <comment authorId="20" xr:uid="{6edef948-60a0-496c-bd4b-63019e15771d}" ref="K10">
      <text>
        <t xml:space="preserve">[Threaded comment]
 Your version of Excel allows you to read this threaded comment; however, any edits to it will get removed if the file is opened in a newer version of Excel. Learn more: https://go.microsoft.com/fwlink/?linkid=870924
Comment:
	updated to actuals until W08 - after budgeted figures
</t>
      </text>
    </comment>
    <comment authorId="21" xr:uid="{74821c8b-7ade-400c-b452-b4e388a2877a}" ref="A1">
      <text>
        <t xml:space="preserve">[Threaded comment]
 Your version of Excel allows you to read this threaded comment; however, any edits to it will get removed if the file is opened in a newer version of Excel. Learn more: https://go.microsoft.com/fwlink/?linkid=870924
Comment:
	@migle.labeikyte@factor75.eu added this!
Reply:
	We need to figure out the onboarding process for verden specific meals
</t>
      </text>
    </comment>
    <comment authorId="22" xr:uid="{7b88230e-374f-4e81-8e6c-8968b2f3072e}" ref="A1">
      <text>
        <t xml:space="preserve">[Threaded comment]
 Your version of Excel allows you to read this threaded comment; however, any edits to it will get removed if the file is opened in a newer version of Excel. Learn more: https://go.microsoft.com/fwlink/?linkid=870924
Comment:
	@migle.labeikyte@factor75.eu slotted this in
1 total reaction
Cornelia Binder reacted with 😋 at 2026-01-28 18:10 PM
</t>
      </text>
    </comment>
    <comment authorId="23" xr:uid="{837a5492-56fc-4365-842c-31f8387c705b}" ref="A1">
      <text>
        <t xml:space="preserve">[Threaded comment]
 Your version of Excel allows you to read this threaded comment; however, any edits to it will get removed if the file is opened in a newer version of Excel. Learn more: https://go.microsoft.com/fwlink/?linkid=870924
Comment:
	@tyler.sandlant@factor75.eu could you just tick off if all good from your side here please?
</t>
      </text>
    </comment>
    <comment authorId="24" xr:uid="{977ce00a-fc02-404e-893f-7cc9cf17dc01}" ref="A1">
      <text>
        <t xml:space="preserve">[Threaded comment]
 Your version of Excel allows you to read this threaded comment; however, any edits to it will get removed if the file is opened in a newer version of Excel. Learn more: https://go.microsoft.com/fwlink/?linkid=870924
Comment:
	@olivier.lemieux@factor75.com do we know what these % are based on? If they are an est. average or whether they are reflective of meal types etc?
</t>
      </text>
    </comment>
    <comment authorId="25" xr:uid="{9b5bcc7d-54fe-4e52-9d8f-0d7f2f2580a4}" ref="A1">
      <text>
        <t xml:space="preserve">[Threaded comment]
 Your version of Excel allows you to read this threaded comment; however, any edits to it will get removed if the file is opened in a newer version of Excel. Learn more: https://go.microsoft.com/fwlink/?linkid=870924
Comment:
	@sam.quaife@factor75.eu any concerns here?
</t>
      </text>
    </comment>
    <comment authorId="26" xr:uid="{9d2e3a32-103e-4379-8aa2-74847d4102b3}" ref="A1">
      <text>
        <t xml:space="preserve">[Threaded comment]
 Your version of Excel allows you to read this threaded comment; however, any edits to it will get removed if the file is opened in a newer version of Excel. Learn more: https://go.microsoft.com/fwlink/?linkid=870924
Comment:
	@carol.england@factor75.eu all good if we can swap wild rice to brown basmati
</t>
      </text>
    </comment>
    <comment authorId="27" xr:uid="{9e74d0da-f637-4e6c-bf48-a698bbc9c15f}" ref="A1">
      <text>
        <t xml:space="preserve">[Threaded comment]
 Your version of Excel allows you to read this threaded comment; however, any edits to it will get removed if the file is opened in a newer version of Excel. Learn more: https://go.microsoft.com/fwlink/?linkid=870924
Comment:
	@carol.england@factor75.eu do you know which meal would go in here?
Reply:
	I may need to change this - there aren't really any in the US database as they have put pork on hold for quality reasons
</t>
      </text>
    </comment>
    <comment authorId="28" xr:uid="{a07e0116-e604-4de5-bb8b-126f7c4dd0d2}" ref="D18">
      <text>
        <t xml:space="preserve">[Threaded comment]
 Your version of Excel allows you to read this threaded comment; however, any edits to it will get removed if the file is opened in a newer version of Excel. Learn more: https://go.microsoft.com/fwlink/?linkid=870924
Comment:
	@cornelia.binder@factor75.eu @dimitrios.psinakis@factor75.eu we launch April 13th which is W16 correct?
Assigned to cornelia.binder@factor75.eu
Reply:
	this is HF Menu / Delivery Week - which is W17 if we start cooking on the 13th
Reply:
	Got it
</t>
      </text>
    </comment>
    <comment authorId="29" xr:uid="{ad3061b3-ea36-496d-956b-db3a5431ac3d}" ref="A1">
      <text>
        <t xml:space="preserve">[Threaded comment]
 Your version of Excel allows you to read this threaded comment; however, any edits to it will get removed if the file is opened in a newer version of Excel. Learn more: https://go.microsoft.com/fwlink/?linkid=870924
Comment:
	This one can be either salmon or beef. I assume we won't want new meals in slot 4? @carol.england@factor75.eu 
One option I have is this one - it is executed quite well at Maitre, however, with 2026 Q1 pricing is very difficult to plan. Can't find it in the sourcing sheet
</t>
      </text>
    </comment>
    <comment authorId="30" xr:uid="{aeef035b-57cb-4bb0-a12a-0872792136f1}" ref="A1">
      <text>
        <t xml:space="preserve">[Threaded comment]
 Your version of Excel allows you to read this threaded comment; however, any edits to it will get removed if the file is opened in a newer version of Excel. Learn more: https://go.microsoft.com/fwlink/?linkid=870924
Comment:
	@cornelia.binder@factor75.eu @carol.england@factor75.eu 
This recipe has tomato sauce in it which we dropped sorry this must have been missed during the checks 
What do we swap it with?
1 total reaction
Carol England reacted with 😥 at 2026-02-11 12:16 PM
Reply:
	either crushed tomatoes or tomato paste - lemme get back to you!
</t>
      </text>
    </comment>
    <comment authorId="31" xr:uid="{b308640b-b90c-43b0-9a66-f3f533c7c465}" ref="A1">
      <text>
        <t xml:space="preserve">[Threaded comment]
 Your version of Excel allows you to read this threaded comment; however, any edits to it will get removed if the file is opened in a newer version of Excel. Learn more: https://go.microsoft.com/fwlink/?linkid=870924
Comment:
	@tyler.sandlant@factor75.eu any concerns here?
</t>
      </text>
    </comment>
    <comment authorId="32" xr:uid="{bdab3e18-0b8d-4499-9b72-83142af09fde}" ref="A1">
      <text>
        <t xml:space="preserve">[Threaded comment]
 Your version of Excel allows you to read this threaded comment; however, any edits to it will get removed if the file is opened in a newer version of Excel. Learn more: https://go.microsoft.com/fwlink/?linkid=870924
Comment:
	@cornelia.binder@factor75.eu is this for me? what am i checking off haha
</t>
      </text>
    </comment>
    <comment authorId="33" xr:uid="{be8c99bf-ac94-4e8f-94f0-f7390fa850a5}" ref="A1">
      <text>
        <t xml:space="preserve">[Threaded comment]
 Your version of Excel allows you to read this threaded comment; however, any edits to it will get removed if the file is opened in a newer version of Excel. Learn more: https://go.microsoft.com/fwlink/?linkid=870924
Comment:
	@cornelia.binder@factor75.eu  working in the draft first until we confirm those meals!
@cornelia.binder@factor75.eu did you get a response whether shredded chicken here is ok?
@carol.england@factor75.eu for this slot we need a non-chicken breast meal due to equipment constraints (for this week only). So another option is Indian curry, but this one is performing ok at Maitre. So I thought we could plan shredded chicken? What are you thoughts?
Reply:
	Shredded chicken does not work for this week unfortunately, so the only option is diced chicken(Indian style butter chicken)
</t>
      </text>
    </comment>
    <comment authorId="34" xr:uid="{c9bd98a9-069f-4c46-95aa-7e3c0d7bbf61}" ref="A1">
      <text>
        <t xml:space="preserve">[Threaded comment]
 Your version of Excel allows you to read this threaded comment; however, any edits to it will get removed if the file is opened in a newer version of Excel. Learn more: https://go.microsoft.com/fwlink/?linkid=870924
Comment:
	Challenging @carol.england@factor75.eu
</t>
      </text>
    </comment>
    <comment authorId="35" xr:uid="{cc6470ea-0778-4efd-aacb-f09785674e7a}" ref="A1">
      <text>
        <t xml:space="preserve">[Threaded comment]
 Your version of Excel allows you to read this threaded comment; however, any edits to it will get removed if the file is opened in a newer version of Excel. Learn more: https://go.microsoft.com/fwlink/?linkid=870924
Comment:
	@carol.england@factor75.eu  are you ok with moving this first? My reasoning is purely costs, this is very difficult to plan right now
Assigned to carol.england@factor75.eu
</t>
      </text>
    </comment>
    <comment authorId="36" xr:uid="{cf67c7bf-2131-4573-8fcd-915fac09f9c2}" ref="A1">
      <text>
        <t xml:space="preserve">[Threaded comment]
 Your version of Excel allows you to read this threaded comment; however, any edits to it will get removed if the file is opened in a newer version of Excel. Learn more: https://go.microsoft.com/fwlink/?linkid=870924
Comment:
	@carol.england@factor75.eu this one's in MSKU already now, right?
Reply:
	yes it is!
</t>
      </text>
    </comment>
    <comment authorId="37" xr:uid="{d75512e5-b619-4edc-991d-12bb305cea9b}" ref="A1">
      <text>
        <t xml:space="preserve">[Threaded comment]
 Your version of Excel allows you to read this threaded comment; however, any edits to it will get removed if the file is opened in a newer version of Excel. Learn more: https://go.microsoft.com/fwlink/?linkid=870924
Comment:
	Growth Model Numbers until W26
</t>
      </text>
    </comment>
    <comment authorId="38" xr:uid="{e42aa91f-66e6-42ac-a272-93b63b2f8106}" ref="A1">
      <text>
        <t xml:space="preserve">[Threaded comment]
 Your version of Excel allows you to read this threaded comment; however, any edits to it will get removed if the file is opened in a newer version of Excel. Learn more: https://go.microsoft.com/fwlink/?linkid=870924
Comment:
	Fenugreek Leaves and Makrut lime powder not sourced yet.
Reply:
	@tyler.sandlant@factor75.eu has the status here changed? 
@carol.england@factor75.eu are those essential for this recipe, or can they be swapped?
Reply:
	not ideal but since we have limited options we can swap
</t>
      </text>
    </comment>
    <comment authorId="39" xr:uid="{ede1299d-036d-4255-a01e-3624a0862bcc}" ref="A1">
      <text>
        <t xml:space="preserve">[Threaded comment]
 Your version of Excel allows you to read this threaded comment; however, any edits to it will get removed if the file is opened in a newer version of Excel. Learn more: https://go.microsoft.com/fwlink/?linkid=870924
Comment:
	@carol.england@factor75.eu Risk - No shrimp timeline and no Brown Jasmine rice at this stage (still onboarding)
Assigned to carol.england@factor75.eu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tc={270df4ac-967f-4e95-a3c3-37edec77e744}</author>
    <author>tc={4f80d987-8e14-4aee-bd56-20b370b590a3}</author>
    <author>tc={bd68457c-3ccc-48c0-91b2-e096fd77e7da}</author>
    <author>tc={bf0ca320-8a8c-440f-beb6-f5a72e9f58d4}</author>
    <author>tc={bf3d9026-69b2-4ddc-b268-301fb0be434e}</author>
  </authors>
  <commentList>
    <comment authorId="0" xr:uid="{270df4ac-967f-4e95-a3c3-37edec77e744}" ref="R16">
      <text>
        <t xml:space="preserve">[Threaded comment]
 Your version of Excel allows you to read this threaded comment; however, any edits to it will get removed if the file is opened in a newer version of Excel. Learn more: https://go.microsoft.com/fwlink/?linkid=870924
Comment:
	Growth Model Numbers until W16, Budgeted figures from W17 on
</t>
      </text>
    </comment>
    <comment authorId="1" xr:uid="{4f80d987-8e14-4aee-bd56-20b370b590a3}" ref="W3">
      <text>
        <t xml:space="preserve">[Threaded comment]
 Your version of Excel allows you to read this threaded comment; however, any edits to it will get removed if the file is opened in a newer version of Excel. Learn more: https://go.microsoft.com/fwlink/?linkid=870924
Comment:
	moving to de Kas
</t>
      </text>
    </comment>
    <comment authorId="2" xr:uid="{bd68457c-3ccc-48c0-91b2-e096fd77e7da}" ref="U32">
      <text>
        <t xml:space="preserve">[Threaded comment]
 Your version of Excel allows you to read this threaded comment; however, any edits to it will get removed if the file is opened in a newer version of Excel. Learn more: https://go.microsoft.com/fwlink/?linkid=870924
Comment:
	volumes from here on still business plan volumes and not adjusted to performance
</t>
      </text>
    </comment>
    <comment authorId="3" xr:uid="{bf0ca320-8a8c-440f-beb6-f5a72e9f58d4}" ref="R4">
      <text>
        <t xml:space="preserve">[Threaded comment]
 Your version of Excel allows you to read this threaded comment; however, any edits to it will get removed if the file is opened in a newer version of Excel. Learn more: https://go.microsoft.com/fwlink/?linkid=870924
Comment:
	@cornelia.binder@factor75.eu @dimitrios.psinakis@factor75.eu just to be clear; this is the volume required for production CW16 - is that correct?
Assigned to cornelia.binder@factor75.eu
Reply:
	correct - Production Week 16 (first cooking day 13.4.) - Menu Week 17
</t>
      </text>
    </comment>
    <comment authorId="4" xr:uid="{bf3d9026-69b2-4ddc-b268-301fb0be434e}" ref="S16">
      <text>
        <t xml:space="preserve">[Threaded comment]
 Your version of Excel allows you to read this threaded comment; however, any edits to it will get removed if the file is opened in a newer version of Excel. Learn more: https://go.microsoft.com/fwlink/?linkid=870924
Comment:
	Growth Model Numbers until here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tc={827c5c96-d66b-4b60-a11b-4d975acd0fd2}</author>
  </authors>
  <commentList>
    <comment authorId="0" ref="AG2">
      <text>
        <t xml:space="preserve">De Kas opening BENL</t>
      </text>
    </comment>
    <comment authorId="1" xr:uid="{827c5c96-d66b-4b60-a11b-4d975acd0fd2}" ref="AF2">
      <text>
        <t xml:space="preserve">[Threaded comment]
 Your version of Excel allows you to read this threaded comment; however, any edits to it will get removed if the file is opened in a newer version of Excel. Learn more: https://go.microsoft.com/fwlink/?linkid=870924
Comment:
	opening new DC BNL (PW 22, Menu week 23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tc={07d80af0-d4a9-4906-a41b-e3048fb27ff4}</author>
    <author>tc={189ebdac-f3de-4038-8989-904bc1df699b}</author>
    <author>tc={4335b487-3926-4e83-be28-7d468709df7b}</author>
    <author>tc={53563870-8438-477d-99bf-ec51aec97662}</author>
    <author>tc={54c5b476-fe3a-42f2-ba39-0185f7c2b430}</author>
    <author>tc={5f3e26c3-6541-492b-a90c-107eb624ea42}</author>
    <author>tc={6a04b311-bad6-4d88-8bd3-bf3acda4866a}</author>
    <author>tc={6a1e1326-fcd1-46d5-b8ee-c94929f4b745}</author>
    <author>tc={6b0570b0-e9eb-4131-b45e-04ce09935f84}</author>
    <author>tc={75c07e02-3ede-4636-800b-357fff0cc045}</author>
    <author>tc={7f8348fe-6dbd-45b4-84c0-8f71cbc65684}</author>
    <author>tc={803eb801-f35a-4f3f-b045-56df49ce0c6f}</author>
    <author>tc={92ded664-4172-4e6d-805d-d5460c8068df}</author>
    <author>tc={a3d938fd-8a5c-48ee-83c0-a5388eb45326}</author>
    <author>tc={c679a823-b97d-43e2-821b-e1f1636efc15}</author>
    <author>tc={c6ca5f72-425e-4ea0-86ed-795bd16a7bf5}</author>
    <author>tc={e5e3926b-f20d-4714-b17b-75b61a1df5d6}</author>
    <author>tc={e94d9ba6-b5f2-4ca0-8270-bebba39d6e97}</author>
  </authors>
  <commentList>
    <comment authorId="0" xr:uid="{07d80af0-d4a9-4906-a41b-e3048fb27ff4}" ref="D17">
      <text>
        <t xml:space="preserve">[Threaded comment]
 Your version of Excel allows you to read this threaded comment; however, any edits to it will get removed if the file is opened in a newer version of Excel. Learn more: https://go.microsoft.com/fwlink/?linkid=870924
Comment:
	@carol.england@factor75.eu this is the new meal here :)
</t>
      </text>
    </comment>
    <comment authorId="1" xr:uid="{189ebdac-f3de-4038-8989-904bc1df699b}" ref="D19">
      <text>
        <t xml:space="preserve">[Threaded comment]
 Your version of Excel allows you to read this threaded comment; however, any edits to it will get removed if the file is opened in a newer version of Excel. Learn more: https://go.microsoft.com/fwlink/?linkid=870924
Comment:
	We can only run as keto, not P+ @cornelia.binder@factor75.eu @guilherme.terrarodrigues@factor75.eu
Assigned to cornelia.binder@factor75.eu
Reply:
	Hi! Switched it with Spicy Citrus Salmon (Slot 6)!!
Reply:
	spicy citrus salmon is also a keto meal! @guilherme.terrarodrigues@factor75.eu
Reply:
	see new verden database :)
</t>
      </text>
    </comment>
    <comment authorId="2" xr:uid="{4335b487-3926-4e83-be28-7d468709df7b}" ref="B12">
      <text>
        <t xml:space="preserve">[Threaded comment]
 Your version of Excel allows you to read this threaded comment; however, any edits to it will get removed if the file is opened in a newer version of Excel. Learn more: https://go.microsoft.com/fwlink/?linkid=870924
Comment:
	Mirepoix again
1 total reaction
Cornelia Binder reacted with 👍 at 2026-02-03 15:51 PM
</t>
      </text>
    </comment>
    <comment authorId="3" xr:uid="{53563870-8438-477d-99bf-ec51aec97662}" ref="B9">
      <text>
        <t xml:space="preserve">[Threaded comment]
 Your version of Excel allows you to read this threaded comment; however, any edits to it will get removed if the file is opened in a newer version of Excel. Learn more: https://go.microsoft.com/fwlink/?linkid=870924
Comment:
	@migle.labeikyte@factor75.eu could you pop in the meals in here please?
Reply:
	@cornelia.binder@factor75.eu @conal.gould@hellofresh.com @kaylyn@hellofresh.com 
The first draft of selected meal is available here. Green ones are approved by culinary, yellow ones are either TBD as they are new meals, or they still need to be checked for sourcing, which is in progress.
I did a mock menu for W16 that's almost half of the menu to see how the costs would look like with three salmon slots + shrimp. With Maitre prices we are of course way over budget, but considering salmon cost savings, plus additional savings from other ingredients (run by @cornelia.binder@factor75.eu ), we should meet the target. 
Main reasons for these meals:
*Salmon slots (cost-driven), the more expensive, the earlier planned.
*Culinary/execution-driven, meals that are not performing well with Maitre
*Meals that are performing well with Maitre, but spiked in price since Q1 2026 and are almost not plannable.
</t>
      </text>
    </comment>
    <comment authorId="4" xr:uid="{54c5b476-fe3a-42f2-ba39-0185f7c2b430}" ref="A2">
      <text>
        <t xml:space="preserve">[Threaded comment]
 Your version of Excel allows you to read this threaded comment; however, any edits to it will get removed if the file is opened in a newer version of Excel. Learn more: https://go.microsoft.com/fwlink/?linkid=870924
Comment:
	@moritz.ochs@factor75.eu @matteo.spessotto@factor75.eu @dimitrios.psinakis@factor75.eu @christoph.struckmann@factor75.eu 
Updated Slot Selection and volume share - after our meeting earlier. Changes made to further enable innovation and new meal launches. Please let me know if you have any concerns with this! 
Thanks!
</t>
      </text>
    </comment>
    <comment authorId="5" xr:uid="{5f3e26c3-6541-492b-a90c-107eb624ea42}" ref="B9">
      <text>
        <t xml:space="preserve">[Threaded comment]
 Your version of Excel allows you to read this threaded comment; however, any edits to it will get removed if the file is opened in a newer version of Excel. Learn more: https://go.microsoft.com/fwlink/?linkid=870924
Comment:
	@carol.england@factor75.eu in MSKU there is only FE4039A. Does this mean the recipe is still in development or is this the wrong code?
cc @dafna@hellofresh.nl
Reply:
	It means thats the wrong code - we will use the A version
1 total reaction
Theresia reacted with 👍 at 2026-02-09 15:41 PM
Reply:
	@carol.england@factor75.eu so this should be changed to A in here?
Reply:
	Yes - I changed it in the launch menu tracker but didnt also change it here
Reply:
	updated now
</t>
      </text>
    </comment>
    <comment authorId="6" xr:uid="{6a04b311-bad6-4d88-8bd3-bf3acda4866a}" ref="B15">
      <text>
        <t xml:space="preserve">[Threaded comment]
 Your version of Excel allows you to read this threaded comment; however, any edits to it will get removed if the file is opened in a newer version of Excel. Learn more: https://go.microsoft.com/fwlink/?linkid=870924
Comment:
	Red wine still onboarding
Reply:
	are we good on this one? :)
Reply:
	I removed red wine for now
</t>
      </text>
    </comment>
    <comment authorId="7" xr:uid="{6a1e1326-fcd1-46d5-b8ee-c94929f4b745}" ref="D26">
      <text>
        <t xml:space="preserve">[Threaded comment]
 Your version of Excel allows you to read this threaded comment; however, any edits to it will get removed if the file is opened in a newer version of Excel. Learn more: https://go.microsoft.com/fwlink/?linkid=870924
Comment:
	also crowd pleaser exception due to excessive salt --&gt; 2 crowd pleaser in one week
@cornelia.binder@factor75.eu @guilherme.terrarodrigues@factor75.eu
Assigned to cornelia.binder@factor75.eu
</t>
      </text>
    </comment>
    <comment authorId="8" xr:uid="{6b0570b0-e9eb-4131-b45e-04ce09935f84}" ref="I8">
      <text>
        <t xml:space="preserve">[Threaded comment]
 Your version of Excel allows you to read this threaded comment; however, any edits to it will get removed if the file is opened in a newer version of Excel. Learn more: https://go.microsoft.com/fwlink/?linkid=870924
Comment:
	@guilherme.terrarodrigues@factor75.eu could you update these to forecast values please? :)
Reply:
	Done! Updated until W20!!
Reply:
	thank you!
</t>
      </text>
    </comment>
    <comment authorId="9" xr:uid="{75c07e02-3ede-4636-800b-357fff0cc045}" ref="D14">
      <text>
        <t xml:space="preserve">[Threaded comment]
 Your version of Excel allows you to read this threaded comment; however, any edits to it will get removed if the file is opened in a newer version of Excel. Learn more: https://go.microsoft.com/fwlink/?linkid=870924
Comment:
	@cornelia.binder@factor75.eu I don't think this is the correct recipe code
Assigned to cornelia.binder@factor75.eu
Reply:
	ah yes - will update to a new meal! my mistake!
</t>
      </text>
    </comment>
    <comment authorId="10" xr:uid="{7f8348fe-6dbd-45b4-84c0-8f71cbc65684}" ref="B18">
      <text>
        <t xml:space="preserve">[Threaded comment]
 Your version of Excel allows you to read this threaded comment; however, any edits to it will get removed if the file is opened in a newer version of Excel. Learn more: https://go.microsoft.com/fwlink/?linkid=870924
Comment:
	@cornelia.binder@factor75.eu @tyler.sandlant@factor75.eu @sam.quaife@factor75.eu Here's an export of salmon meals that are not in MSKUY: https://docs.google.com/spreadsheets/d/1s5PwhJd01w5TCh7KMic8pLgkFkLEW8h9z99iVK0t3DY/edit?gid=2028254818#gid=2028254818 -- think some things might not be onboarded yet so if you an flag which ones i can see if we can work around them
Reply:
	Pineapple, Pineapple Juice, coconut shavings, black beans, mango and lime powder are all not sourced or onboarding
@carol.england@factor75.eu
Reply:
	we tasted and approved pineapple and mango recently, are those not in onboarding?
heard on the others!
Reply:
	Switched this meal! 
FE4009A - Salmon with a mustard dill sauce
</t>
      </text>
    </comment>
    <comment authorId="11" xr:uid="{803eb801-f35a-4f3f-b045-56df49ce0c6f}" ref="B18">
      <text>
        <t xml:space="preserve">[Threaded comment]
 Your version of Excel allows you to read this threaded comment; however, any edits to it will get removed if the file is opened in a newer version of Excel. Learn more: https://go.microsoft.com/fwlink/?linkid=870924
Comment:
	@tyler.sandlant@factor75.eu @sam.quaife@factor75.eu new meal here - could you please review? :)
Reply:
	Nothing of concern from me
</t>
      </text>
    </comment>
    <comment authorId="12" xr:uid="{92ded664-4172-4e6d-805d-d5460c8068df}" ref="I8">
      <text>
        <t xml:space="preserve">[Threaded comment]
 Your version of Excel allows you to read this threaded comment; however, any edits to it will get removed if the file is opened in a newer version of Excel. Learn more: https://go.microsoft.com/fwlink/?linkid=870924
Comment:
	@guilherme.terrarodrigues@factor75.eu can you update once again with the changes then here please?
Reply:
	Rerunning the forecast! Will update these and the Volume Split file :)
</t>
      </text>
    </comment>
    <comment authorId="13" xr:uid="{a3d938fd-8a5c-48ee-83c0-a5388eb45326}" ref="B17">
      <text>
        <t xml:space="preserve">[Threaded comment]
 Your version of Excel allows you to read this threaded comment; however, any edits to it will get removed if the file is opened in a newer version of Excel. Learn more: https://go.microsoft.com/fwlink/?linkid=870924
Comment:
	@cornelia.binder@factor75.eu are we purposely running twice in launch?
</t>
      </text>
    </comment>
    <comment authorId="14" xr:uid="{c679a823-b97d-43e2-821b-e1f1636efc15}" ref="D29">
      <text>
        <t xml:space="preserve">[Threaded comment]
 Your version of Excel allows you to read this threaded comment; however, any edits to it will get removed if the file is opened in a newer version of Excel. Learn more: https://go.microsoft.com/fwlink/?linkid=870924
Comment:
	this can only run as keto, with crowd pleaser exception due to high salt @cornelia.binder@factor75.eu @guilherme.terrarodrigues@factor75.eu
Assigned to cornelia.binder@factor75.eu
</t>
      </text>
    </comment>
    <comment authorId="15" xr:uid="{c6ca5f72-425e-4ea0-86ed-795bd16a7bf5}" ref="B16">
      <text>
        <t xml:space="preserve">[Threaded comment]
 Your version of Excel allows you to read this threaded comment; however, any edits to it will get removed if the file is opened in a newer version of Excel. Learn more: https://go.microsoft.com/fwlink/?linkid=870924
Comment:
	@tyler.sandlant@factor75.eu @sam.quaife@factor75.eu this is the other selection - should have all available ingredients (+also more heavy cream @tyler.sandlant@factor75.eu :) ) - we would take out wine - Carol will share, it's a US meal at the moment
1 total reaction
Tyler Sandlant reacted with 🍦 at 2026-02-03 17:04 PM
Reply:
	US export here, we would remove wine for launch: https://docs.google.com/spreadsheets/d/12eR8gqeXt6zISsVxAEzf3t-NWzoJ6YBp6c0OEP6uVOo/edit?gid=1484470003#gid=1484470003
Reply:
	has been added and updated to remove red wine in MSKU
Reply:
	thank you!!
</t>
      </text>
    </comment>
    <comment authorId="16" xr:uid="{e5e3926b-f20d-4714-b17b-75b61a1df5d6}" ref="B11">
      <text>
        <t xml:space="preserve">[Threaded comment]
 Your version of Excel allows you to read this threaded comment; however, any edits to it will get removed if the file is opened in a newer version of Excel. Learn more: https://go.microsoft.com/fwlink/?linkid=870924
Comment:
	@carol.england@factor75.eu can you confirm red wine is being removed here?
Assigned to carol.england@factor75.eu
Reply:
	yes will remove red wine
</t>
      </text>
    </comment>
    <comment authorId="17" xr:uid="{e94d9ba6-b5f2-4ca0-8270-bebba39d6e97}" ref="I8">
      <text>
        <t xml:space="preserve">[Threaded comment]
 Your version of Excel allows you to read this threaded comment; however, any edits to it will get removed if the file is opened in a newer version of Excel. Learn more: https://go.microsoft.com/fwlink/?linkid=870924
Comment:
	@guilherme.terrarodrigues@factor75.eu could you have a look and update the volumes for W18 to W20 please? :)
Reply:
	Done!! Slight increase considering Thursday's values :)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tc={1db11b91-02e0-4cf3-a798-fddd9ee1d82e}</author>
    <author>tc={de20e34c-a02c-4904-8fa6-e5b3fc73e911}</author>
    <author>tc={e0ac0b9f-80e8-42d6-bfea-226769f84eaf}</author>
  </authors>
  <commentList>
    <comment authorId="0" xr:uid="{1db11b91-02e0-4cf3-a798-fddd9ee1d82e}" ref="D34">
      <text>
        <t xml:space="preserve">[Threaded comment]
 Your version of Excel allows you to read this threaded comment; however, any edits to it will get removed if the file is opened in a newer version of Excel. Learn more: https://go.microsoft.com/fwlink/?linkid=870924
Comment:
	@cornelia.binder@factor75.eu  do you mean to have these in WK 20 and 22?
Assigned to cornelia.binder@factor75.eu
Reply:
	yesssss :)
</t>
      </text>
    </comment>
    <comment authorId="1" xr:uid="{de20e34c-a02c-4904-8fa6-e5b3fc73e911}" ref="B37">
      <text>
        <t xml:space="preserve">[Threaded comment]
 Your version of Excel allows you to read this threaded comment; however, any edits to it will get removed if the file is opened in a newer version of Excel. Learn more: https://go.microsoft.com/fwlink/?linkid=870924
Comment:
	Is this a repeat from WK19? should then be FV4009A - Salmon with a mustard dill sauce? (just to avoid confusion ;) )
@carol.england@factor75.eu @cornelia.binder@factor75.eu
Reply:
	cc @guilherme.terrarodrigues@factor75.eu  -- when you plan something for Verden, are you pulling the codes from the new database?
Reply:
	the base code is still the active Maitre code - but the FV code is linked / associated with it from a planning / mapping perspective.
For non existing Maitre recipes - the base code created, and SPS recipe set-up is still an FE version as well
1 total reaction
Theresia reacted with 👍 at 2026-04-24 12:33 PM
</t>
      </text>
    </comment>
    <comment authorId="2" xr:uid="{e0ac0b9f-80e8-42d6-bfea-226769f84eaf}" ref="C8">
      <text>
        <t xml:space="preserve">[Threaded comment]
 Your version of Excel allows you to read this threaded comment; however, any edits to it will get removed if the file is opened in a newer version of Excel. Learn more: https://go.microsoft.com/fwlink/?linkid=870924
Comment:
	@guilherme.terrarodrigues@factor75.eu do you know why we don't see anything here?
Reply:
	So FE0601B does not exist on Meal Database nor Verden Meal Database yet, only FV0601A exists. I don't see the new B version anywhere on Trello as well - let me check with Gintare!
Reply:
	thanks, we need this overview because it's the meals we're cooking this week
Reply:
	they are not being sold but still cooked
Reply:
	orI can just use the old overview tab for it as well, haha
Reply:
	FV0601A definitely exists and will pull data! I'm just triple checking if there's actually a B version or not now, since it was on the menu already!
Reply:
	Fixed!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tc={447196b5-2d7c-42e2-95e7-c911583d4f10}</author>
  </authors>
  <commentList>
    <comment authorId="0" xr:uid="{447196b5-2d7c-42e2-95e7-c911583d4f10}" ref="A1">
      <text>
        <t xml:space="preserve">[Threaded comment]
 Your version of Excel allows you to read this threaded comment; however, any edits to it will get removed if the file is opened in a newer version of Excel. Learn more: https://go.microsoft.com/fwlink/?linkid=870924
Comment:
	@emily.rushbrooke@factor75.eu  @munther.alahmad@factor75.eu updated middle mile requirement with adjusted ramp-up is here now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NB!!! Please do not change the numbering per line item. Rather add a new line to the bottom as it correlates with a drawing
</t>
      </text>
    </comment>
    <comment authorId="0" ref="S2">
      <text>
        <t xml:space="preserve">NO VAT accounted for on any equipment</t>
      </text>
    </comment>
    <comment authorId="0" ref="S4">
      <text>
        <t xml:space="preserve">include additional 15% for spare &amp; shipping</t>
      </text>
    </comment>
    <comment authorId="0" ref="AL4">
      <text>
        <t xml:space="preserve">(Commissioning)</t>
      </text>
    </comment>
    <comment authorId="0" ref="AE13">
      <text>
        <t xml:space="preserve">Additional handling material included in order versus original budget scope (e.g. spare paddles, spare bowls) + whisk swaps</t>
      </text>
    </comment>
    <comment authorId="0" ref="AF13">
      <text>
        <t xml:space="preserve">Whisk swaps: restock fees and premium on stainless steel whisks</t>
      </text>
    </comment>
    <comment authorId="0" ref="AE19">
      <text>
        <t xml:space="preserve">GER supplier</t>
      </text>
    </comment>
    <comment authorId="0" ref="B32">
      <text>
        <t xml:space="preserve">include ventilation hood</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tc={323603f9-aaa6-45ad-b578-173f35fab3b2}</author>
  </authors>
  <commentList>
    <comment authorId="0" xr:uid="{323603f9-aaa6-45ad-b578-173f35fab3b2}" ref="D3">
      <text>
        <t xml:space="preserve">[Threaded comment]
 Your version of Excel allows you to read this threaded comment; however, any edits to it will get removed if the file is opened in a newer version of Excel. Learn more: https://go.microsoft.com/fwlink/?linkid=870924
Comment:
	@guilherme.terrarodrigues@factor75.eu can we make this bigger maybe? :)
</t>
      </text>
    </comment>
  </commentList>
</comments>
</file>

<file path=xl/sharedStrings.xml><?xml version="1.0" encoding="utf-8"?>
<sst xmlns="http://schemas.openxmlformats.org/spreadsheetml/2006/main" count="1802" uniqueCount="351">
  <si>
    <t>Dates</t>
  </si>
  <si>
    <t>Unique Meals</t>
  </si>
  <si>
    <t>Meal Volumes - by country</t>
  </si>
  <si>
    <t>Meal Volumes</t>
  </si>
  <si>
    <t>Month</t>
  </si>
  <si>
    <t>Week</t>
  </si>
  <si>
    <t>Total</t>
  </si>
  <si>
    <t>Verden</t>
  </si>
  <si>
    <t>Coman</t>
  </si>
  <si>
    <t>BE</t>
  </si>
  <si>
    <t>NL</t>
  </si>
  <si>
    <t>SE</t>
  </si>
  <si>
    <t>DK</t>
  </si>
  <si>
    <t>DE</t>
  </si>
  <si>
    <t>2026-M01</t>
  </si>
  <si>
    <t>2026-W01</t>
  </si>
  <si>
    <t>2026-W02</t>
  </si>
  <si>
    <t>2026-W03</t>
  </si>
  <si>
    <t>2026-W04</t>
  </si>
  <si>
    <t>2026-W05</t>
  </si>
  <si>
    <t>2026-M02</t>
  </si>
  <si>
    <t>2026-W06</t>
  </si>
  <si>
    <t>2026-W07</t>
  </si>
  <si>
    <t>2026-W08</t>
  </si>
  <si>
    <t>2026-W09</t>
  </si>
  <si>
    <t>2026-M03</t>
  </si>
  <si>
    <t>2026-W10</t>
  </si>
  <si>
    <t>2026-W11</t>
  </si>
  <si>
    <t>2026-W12</t>
  </si>
  <si>
    <t>2026-W13</t>
  </si>
  <si>
    <t>2026-M04</t>
  </si>
  <si>
    <t>2026-W14</t>
  </si>
  <si>
    <t>2026-W15</t>
  </si>
  <si>
    <t>2026-W16</t>
  </si>
  <si>
    <t>2026-W17</t>
  </si>
  <si>
    <t>2026-W18</t>
  </si>
  <si>
    <t>2026-M05</t>
  </si>
  <si>
    <t>2026-W19</t>
  </si>
  <si>
    <t>2026-W20</t>
  </si>
  <si>
    <t>2026-W21</t>
  </si>
  <si>
    <t>2026-W22</t>
  </si>
  <si>
    <t>2026-M06</t>
  </si>
  <si>
    <t>2026-W23</t>
  </si>
  <si>
    <t>2026-W24</t>
  </si>
  <si>
    <t>2026-W25</t>
  </si>
  <si>
    <t>2026-W26</t>
  </si>
  <si>
    <t>2026-M07</t>
  </si>
  <si>
    <t>2026-W27</t>
  </si>
  <si>
    <t>2026-W28</t>
  </si>
  <si>
    <t>2026-W29</t>
  </si>
  <si>
    <t>2026-W30</t>
  </si>
  <si>
    <t>2026-W31</t>
  </si>
  <si>
    <t>2026-M08</t>
  </si>
  <si>
    <t>2026-W32</t>
  </si>
  <si>
    <t>2026-W33</t>
  </si>
  <si>
    <t>2026-W34</t>
  </si>
  <si>
    <t>2026-W35</t>
  </si>
  <si>
    <t>2026-M09</t>
  </si>
  <si>
    <t>2026-W36</t>
  </si>
  <si>
    <t>2026-W37</t>
  </si>
  <si>
    <t>2026-W38</t>
  </si>
  <si>
    <t>2026-W39</t>
  </si>
  <si>
    <t>2026-M10</t>
  </si>
  <si>
    <t>2026-W40</t>
  </si>
  <si>
    <t>2026-W41</t>
  </si>
  <si>
    <t>2026-W42</t>
  </si>
  <si>
    <t>2026-W43</t>
  </si>
  <si>
    <t>2026-W44</t>
  </si>
  <si>
    <t>2026-M11</t>
  </si>
  <si>
    <t>2026-W45</t>
  </si>
  <si>
    <t>2026-W46</t>
  </si>
  <si>
    <t>2026-W47</t>
  </si>
  <si>
    <t>2026-W48</t>
  </si>
  <si>
    <t>2026-M12</t>
  </si>
  <si>
    <t>2026-W49</t>
  </si>
  <si>
    <t>2026-W50</t>
  </si>
  <si>
    <t>2026-W51</t>
  </si>
  <si>
    <t>2026-W52</t>
  </si>
  <si>
    <t>Verden Meal Volume</t>
  </si>
  <si>
    <t>Coman Meal Volume</t>
  </si>
  <si>
    <t>Planned Verden Share</t>
  </si>
  <si>
    <t>Goal Verden Share</t>
  </si>
  <si>
    <t>Unique Verden meals</t>
  </si>
  <si>
    <t>Planned Split</t>
  </si>
  <si>
    <t>Total Volume</t>
  </si>
  <si>
    <t>Total Boxes</t>
  </si>
  <si>
    <t>FR</t>
  </si>
  <si>
    <t>Total Meals</t>
  </si>
  <si>
    <t>BENL Volume</t>
  </si>
  <si>
    <t>DKSE Volume</t>
  </si>
  <si>
    <t>DE Volume</t>
  </si>
  <si>
    <t>BENL</t>
  </si>
  <si>
    <t>Slot</t>
  </si>
  <si>
    <t>Protein</t>
  </si>
  <si>
    <t>Preference</t>
  </si>
  <si>
    <t>Chicken</t>
  </si>
  <si>
    <t>CS/P+</t>
  </si>
  <si>
    <t>CS</t>
  </si>
  <si>
    <t>Beef</t>
  </si>
  <si>
    <t>Keto</t>
  </si>
  <si>
    <t>Fish / Seafood / Beef</t>
  </si>
  <si>
    <t>P+</t>
  </si>
  <si>
    <t>Fish / Seafood</t>
  </si>
  <si>
    <t>Vegetarian</t>
  </si>
  <si>
    <t>Veg</t>
  </si>
  <si>
    <t>Pork</t>
  </si>
  <si>
    <t>Flexible Slot</t>
  </si>
  <si>
    <t>Athlete</t>
  </si>
  <si>
    <t>Mediterranean</t>
  </si>
  <si>
    <t>Shrimp</t>
  </si>
  <si>
    <t>Lamb</t>
  </si>
  <si>
    <t>White Fish</t>
  </si>
  <si>
    <t xml:space="preserve">P+ </t>
  </si>
  <si>
    <t>DKSE</t>
  </si>
  <si>
    <t>CSP+</t>
  </si>
  <si>
    <t>Selected Slots</t>
  </si>
  <si>
    <t>Slots</t>
  </si>
  <si>
    <t>Code</t>
  </si>
  <si>
    <t>NEW Code</t>
  </si>
  <si>
    <t>Name</t>
  </si>
  <si>
    <t>Slot Volume</t>
  </si>
  <si>
    <t>Total Verden Volume</t>
  </si>
  <si>
    <t>Safety Stock</t>
  </si>
  <si>
    <t>Total Volume DKSE</t>
  </si>
  <si>
    <t>Slot Volume Assumptions</t>
  </si>
  <si>
    <t>Share</t>
  </si>
  <si>
    <t>Total Volume DE</t>
  </si>
  <si>
    <t>Total Volume BENL</t>
  </si>
  <si>
    <t>FE1346B</t>
  </si>
  <si>
    <t>FV1346A</t>
  </si>
  <si>
    <t>Parmesan &amp; Garlic Cream Shredded Beef</t>
  </si>
  <si>
    <t>FE0035F</t>
  </si>
  <si>
    <t>FV0035A</t>
  </si>
  <si>
    <t>Salmon with pesto</t>
  </si>
  <si>
    <t>FE4053A</t>
  </si>
  <si>
    <t>FV4053A</t>
  </si>
  <si>
    <t>Gochugaru Chicken</t>
  </si>
  <si>
    <t>FE4064A</t>
  </si>
  <si>
    <t>FV4064A</t>
  </si>
  <si>
    <t>Ginger Garlic Grilled Chicken</t>
  </si>
  <si>
    <t>FE0472A</t>
  </si>
  <si>
    <t>FV0472A</t>
  </si>
  <si>
    <t>Indian Butter Chicken</t>
  </si>
  <si>
    <t>FE4063A</t>
  </si>
  <si>
    <t>FV4063A</t>
  </si>
  <si>
    <t>Cheddar pulled beef</t>
  </si>
  <si>
    <t>FE4039A</t>
  </si>
  <si>
    <t>FV4039A</t>
  </si>
  <si>
    <t>Salmon in creamy gochugaru sauce</t>
  </si>
  <si>
    <t>FE0601B</t>
  </si>
  <si>
    <t>FV0601A</t>
  </si>
  <si>
    <t>Mozzarella Burger &amp; Roasted Potatoes</t>
  </si>
  <si>
    <t>FE0413F</t>
  </si>
  <si>
    <t>FV0413A</t>
  </si>
  <si>
    <t>Braised beef in herby jus</t>
  </si>
  <si>
    <t>FE4009A</t>
  </si>
  <si>
    <t>FV4009A</t>
  </si>
  <si>
    <t>Salmon with a mustard dill sauce</t>
  </si>
  <si>
    <t>FE0972B</t>
  </si>
  <si>
    <t>FV0972A</t>
  </si>
  <si>
    <t>Salmon Piccata</t>
  </si>
  <si>
    <t>FE0970B</t>
  </si>
  <si>
    <t>FV0970A</t>
  </si>
  <si>
    <t>Caramelized Onion &amp; Emmental Fondue Chicken</t>
  </si>
  <si>
    <t>FE0024E</t>
  </si>
  <si>
    <t>FE0024A</t>
  </si>
  <si>
    <t>Chicken in tomato cream sauce</t>
  </si>
  <si>
    <t>FE4006A</t>
  </si>
  <si>
    <t>FV4006A</t>
  </si>
  <si>
    <t>Pork tenderloin in sundried tomato sauce</t>
  </si>
  <si>
    <t>FE0281E</t>
  </si>
  <si>
    <t>FV0281A</t>
  </si>
  <si>
    <t>Spicy citrus salmon</t>
  </si>
  <si>
    <t>FE1404A</t>
  </si>
  <si>
    <t>FV1404A</t>
  </si>
  <si>
    <t>Bulgogi Shredded Beef Bowl</t>
  </si>
  <si>
    <t>FE1646A</t>
  </si>
  <si>
    <t>FV1646A</t>
  </si>
  <si>
    <t>Shrimp with Lemon Garlic Sauce &amp; Spanakopita Style Rice</t>
  </si>
  <si>
    <t>FE0224D</t>
  </si>
  <si>
    <t>FV0224A</t>
  </si>
  <si>
    <t>Chicken à la Florentine</t>
  </si>
  <si>
    <t>Parmesan &amp; Garlic Cream Pulled Beef</t>
  </si>
  <si>
    <t>FE0322O</t>
  </si>
  <si>
    <t>FV0322A</t>
  </si>
  <si>
    <t>Sour Cream &amp; Chive Chicken</t>
  </si>
  <si>
    <t>FE4039C</t>
  </si>
  <si>
    <t>FE0794D</t>
  </si>
  <si>
    <t>FV0794A</t>
  </si>
  <si>
    <t>Loaded Bacon Shredded Chicken</t>
  </si>
  <si>
    <t>FE0090C</t>
  </si>
  <si>
    <t>FV0090A</t>
  </si>
  <si>
    <t>Ratatouille of zucchini and pepper</t>
  </si>
  <si>
    <t>FE1439A</t>
  </si>
  <si>
    <t>FV1439A</t>
  </si>
  <si>
    <t>Tzatziki Salmon &amp; Lemon Rice</t>
  </si>
  <si>
    <t>FE0401E</t>
  </si>
  <si>
    <t>FV0401A</t>
  </si>
  <si>
    <t>Pulled chicken with cheddar and bacon</t>
  </si>
  <si>
    <t>xxx</t>
  </si>
  <si>
    <t>Meat Ball Placeholder</t>
  </si>
  <si>
    <t>Shrimp Placeholder</t>
  </si>
  <si>
    <t>Crusted Protein Placeholder</t>
  </si>
  <si>
    <t>Verden Share</t>
  </si>
  <si>
    <t>Verden Absolute</t>
  </si>
  <si>
    <t>HF Week</t>
  </si>
  <si>
    <t>Recipe Name</t>
  </si>
  <si>
    <t>Slot BENL</t>
  </si>
  <si>
    <t>Slot DKSE</t>
  </si>
  <si>
    <t>Slot DE</t>
  </si>
  <si>
    <t>BENL Vol</t>
  </si>
  <si>
    <t>NORD Vol</t>
  </si>
  <si>
    <t>DE Vol</t>
  </si>
  <si>
    <t>Convini DE</t>
  </si>
  <si>
    <t>Total Volume BNL</t>
  </si>
  <si>
    <t>Total Volume NORD</t>
  </si>
  <si>
    <t>NORD</t>
  </si>
  <si>
    <t>Locked Values</t>
  </si>
  <si>
    <t>Production Buffer</t>
  </si>
  <si>
    <t>Source</t>
  </si>
  <si>
    <t>Maitre Absolute</t>
  </si>
  <si>
    <t>Recipe Code</t>
  </si>
  <si>
    <t>Meal Pref</t>
  </si>
  <si>
    <t>BENL Volume + Buffer</t>
  </si>
  <si>
    <t>DKSE Volume + Buffer</t>
  </si>
  <si>
    <t>DE Volume + Buffer</t>
  </si>
  <si>
    <t>W17</t>
  </si>
  <si>
    <t>W18</t>
  </si>
  <si>
    <t>W19</t>
  </si>
  <si>
    <t>W20</t>
  </si>
  <si>
    <t>W21</t>
  </si>
  <si>
    <t>W22</t>
  </si>
  <si>
    <t>W23</t>
  </si>
  <si>
    <t>MM Requirement: Verden &gt; Bleiswijk</t>
  </si>
  <si>
    <t>Verden Launch</t>
  </si>
  <si>
    <t>First BENL meals</t>
  </si>
  <si>
    <t>Single Pallets</t>
  </si>
  <si>
    <t>Double Stacked Pallets</t>
  </si>
  <si>
    <t>Palletisation inefficiency - single</t>
  </si>
  <si>
    <t>Palletisation inefficiency - double</t>
  </si>
  <si>
    <t>Number of Trucks required single</t>
  </si>
  <si>
    <t>Number of Trucks required double</t>
  </si>
  <si>
    <t>initial cost assumption - single stacked</t>
  </si>
  <si>
    <t>PC1/PC2 costs per meal</t>
  </si>
  <si>
    <t xml:space="preserve">PC1/PC2 costs per box </t>
  </si>
  <si>
    <t>initial cost assumption - double stacked</t>
  </si>
  <si>
    <t xml:space="preserve">All capacity modelling now captured within Verden Labour Requirement Model v2.0:
</t>
  </si>
  <si>
    <t>F_ VER - Labour Requirement Model v2</t>
  </si>
  <si>
    <t>Overview</t>
  </si>
  <si>
    <t>Recipes</t>
  </si>
  <si>
    <t>January</t>
  </si>
  <si>
    <t>February</t>
  </si>
  <si>
    <t>March</t>
  </si>
  <si>
    <t>April</t>
  </si>
  <si>
    <t>May</t>
  </si>
  <si>
    <t>June</t>
  </si>
  <si>
    <t>July</t>
  </si>
  <si>
    <t>August</t>
  </si>
  <si>
    <t>September</t>
  </si>
  <si>
    <t>October</t>
  </si>
  <si>
    <t>November</t>
  </si>
  <si>
    <t>December</t>
  </si>
  <si>
    <t>Recipe 1</t>
  </si>
  <si>
    <t>Recipe 2</t>
  </si>
  <si>
    <t>Recipe 3</t>
  </si>
  <si>
    <t>Recipe 4</t>
  </si>
  <si>
    <t>Recipe 5</t>
  </si>
  <si>
    <t>Recipe 6</t>
  </si>
  <si>
    <t>Recipe 7</t>
  </si>
  <si>
    <t>Recipe 8</t>
  </si>
  <si>
    <t>Recipe 9</t>
  </si>
  <si>
    <t>Recipe 10</t>
  </si>
  <si>
    <t>Recipe 11</t>
  </si>
  <si>
    <t>Recipe 12</t>
  </si>
  <si>
    <t>Recipe 13</t>
  </si>
  <si>
    <t>Recipe 14</t>
  </si>
  <si>
    <t>Recipe 15</t>
  </si>
  <si>
    <t>Recipe 16</t>
  </si>
  <si>
    <t>Recipe 17</t>
  </si>
  <si>
    <t>Recipe 18</t>
  </si>
  <si>
    <t>Recipe 19</t>
  </si>
  <si>
    <t>Recipe 20</t>
  </si>
  <si>
    <t>Recipe 21</t>
  </si>
  <si>
    <t>Recipe 22</t>
  </si>
  <si>
    <t>Recipe 23</t>
  </si>
  <si>
    <t>Recipe 24</t>
  </si>
  <si>
    <t>Recipe 25</t>
  </si>
  <si>
    <t>Recipe 26</t>
  </si>
  <si>
    <t>Recipe 27</t>
  </si>
  <si>
    <t>Recipe 28</t>
  </si>
  <si>
    <t>Recipe 29</t>
  </si>
  <si>
    <t>Recipe 30</t>
  </si>
  <si>
    <t>Recipe 31</t>
  </si>
  <si>
    <t>Recipe 32</t>
  </si>
  <si>
    <t>Recipe 33</t>
  </si>
  <si>
    <t>Recipe 34</t>
  </si>
  <si>
    <t>Recipe 35</t>
  </si>
  <si>
    <t>Recipe 36</t>
  </si>
  <si>
    <t>Recipe 37</t>
  </si>
  <si>
    <t>Recipe 38</t>
  </si>
  <si>
    <t>Recipe 39</t>
  </si>
  <si>
    <t>Recipe 40</t>
  </si>
  <si>
    <t>Recipe 41</t>
  </si>
  <si>
    <t>Recipe 42</t>
  </si>
  <si>
    <t>Recipe 43</t>
  </si>
  <si>
    <t>Recipe 44</t>
  </si>
  <si>
    <t>Recipe 45</t>
  </si>
  <si>
    <t>Generic Meal Menu Share</t>
  </si>
  <si>
    <t>Volume Share Averages</t>
  </si>
  <si>
    <t>Calorie Smart | Protein Plus</t>
  </si>
  <si>
    <t>Calorie Smart</t>
  </si>
  <si>
    <t>Keto | Protein Plus</t>
  </si>
  <si>
    <t>Flexible</t>
  </si>
  <si>
    <t>Protein Plus</t>
  </si>
  <si>
    <t>NA</t>
  </si>
  <si>
    <t>Butter - Volume Share</t>
  </si>
  <si>
    <t>Slot Split</t>
  </si>
  <si>
    <t>W01</t>
  </si>
  <si>
    <t>W02</t>
  </si>
  <si>
    <t>W03</t>
  </si>
  <si>
    <t>W04</t>
  </si>
  <si>
    <t>W05</t>
  </si>
  <si>
    <t>W06</t>
  </si>
  <si>
    <t>W07</t>
  </si>
  <si>
    <t>W08</t>
  </si>
  <si>
    <t>W09</t>
  </si>
  <si>
    <t>W10</t>
  </si>
  <si>
    <t>W11</t>
  </si>
  <si>
    <t>W12</t>
  </si>
  <si>
    <t>W13</t>
  </si>
  <si>
    <t>W14</t>
  </si>
  <si>
    <t>W15</t>
  </si>
  <si>
    <t>W16</t>
  </si>
  <si>
    <t>W24</t>
  </si>
  <si>
    <t>W25</t>
  </si>
  <si>
    <t>W26</t>
  </si>
  <si>
    <t>W27</t>
  </si>
  <si>
    <t>W28</t>
  </si>
  <si>
    <t>W29</t>
  </si>
  <si>
    <t>W30</t>
  </si>
  <si>
    <t>W31</t>
  </si>
  <si>
    <t>W32</t>
  </si>
  <si>
    <t>W33</t>
  </si>
  <si>
    <t>W34</t>
  </si>
  <si>
    <t>W35</t>
  </si>
  <si>
    <t>Butter Share</t>
  </si>
  <si>
    <t>Sauce Cups - Volume Share</t>
  </si>
  <si>
    <t>Cup Share</t>
  </si>
  <si>
    <t>Planetary Mixer - Volume Share</t>
  </si>
  <si>
    <t>Choose Region and Week:</t>
  </si>
  <si>
    <t>Pref</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</si>
</sst>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
    <numFmt numFmtId="165" formatCode="[$€]#,##0.00"/>
    <numFmt numFmtId="166" formatCode="&quot;€&quot;#,##0.000000"/>
    <numFmt numFmtId="167" formatCode="[$€]#,##0.000000"/>
    <numFmt numFmtId="168" formatCode="[$€]#,##0.0"/>
    <numFmt numFmtId="169" formatCode="&quot;$&quot;#,##0.00"/>
    <numFmt numFmtId="170" formatCode="0.0"/>
    <numFmt numFmtId="171" formatCode="#,##0.0"/>
    <numFmt numFmtId="172" formatCode="[$€]#,##0"/>
    <numFmt numFmtId="173" formatCode="d-mmm-yy"/>
    <numFmt numFmtId="174" formatCode="dd-mmm-yy"/>
    <numFmt numFmtId="175" formatCode="&quot;$&quot;#,##0"/>
    <numFmt numFmtId="176" formatCode="&quot;€&quot;#,##0"/>
  </numFmts>
  <fonts count="35">
    <font>
      <sz val="10.0"/>
      <color rgb="FF000000"/>
      <name val="Arial"/>
      <scheme val="minor"/>
    </font>
    <font>
      <b/>
      <color rgb="FFFFFFFF"/>
      <name val="Arial"/>
      <scheme val="minor"/>
    </font>
    <font/>
    <font>
      <b/>
      <color theme="1"/>
      <name val="Arial"/>
      <scheme val="minor"/>
    </font>
    <font>
      <b/>
      <color rgb="FF4A86E8"/>
      <name val="Arial"/>
      <scheme val="minor"/>
    </font>
    <font>
      <b/>
      <color theme="1"/>
      <name val="Arial"/>
    </font>
    <font>
      <color theme="1"/>
      <name val="Arial"/>
      <scheme val="minor"/>
    </font>
    <font>
      <color rgb="FF000000"/>
      <name val="Arial"/>
    </font>
    <font>
      <b/>
      <color rgb="FFFFFFFF"/>
      <name val="Arial"/>
    </font>
    <font>
      <i/>
      <color rgb="FF0000FF"/>
      <name val="Arial"/>
    </font>
    <font>
      <color rgb="FF0000FF"/>
      <name val="Arial"/>
    </font>
    <font>
      <b/>
      <color rgb="FF000000"/>
      <name val="Arial"/>
    </font>
    <font>
      <color theme="1"/>
      <name val="Arial"/>
    </font>
    <font>
      <i/>
      <sz val="9.0"/>
      <color theme="1"/>
      <name val="Arial"/>
    </font>
    <font>
      <color rgb="FFFFFFFF"/>
      <name val="Arial"/>
    </font>
    <font>
      <u/>
      <color rgb="FF0000FF"/>
      <name val="Arial"/>
    </font>
    <font>
      <u/>
      <color rgb="FF0000FF"/>
      <name val="Arial"/>
    </font>
    <font>
      <i/>
      <color theme="7"/>
      <name val="Arial"/>
    </font>
    <font>
      <i/>
      <sz val="9.0"/>
      <color rgb="FF0000FF"/>
      <name val="Arial"/>
    </font>
    <font>
      <i/>
      <sz val="9.0"/>
      <color rgb="FFFF0000"/>
      <name val="Arial"/>
    </font>
    <font>
      <color theme="1"/>
      <name val="Source Sans Pro"/>
    </font>
    <font>
      <u/>
      <color theme="1"/>
      <name val="Source Sans Pro"/>
    </font>
    <font>
      <b/>
      <sz val="10.0"/>
      <color theme="1"/>
      <name val="Arial"/>
      <scheme val="minor"/>
    </font>
    <font>
      <color rgb="FF666666"/>
      <name val="Arial"/>
    </font>
    <font>
      <color rgb="FF999999"/>
      <name val="Arial"/>
    </font>
    <font>
      <b/>
      <color rgb="FF000000"/>
      <name val="Arial"/>
      <scheme val="minor"/>
    </font>
    <font>
      <color rgb="FF000000"/>
      <name val="Arial"/>
      <scheme val="minor"/>
    </font>
    <font>
      <b/>
      <sz val="10.0"/>
      <color rgb="FFFFFFFF"/>
      <name val="Arial"/>
    </font>
    <font>
      <b/>
      <sz val="9.0"/>
      <color rgb="FFFFFFFF"/>
      <name val="Arial"/>
    </font>
    <font>
      <u/>
      <color rgb="FF1155CC"/>
      <name val="Arial"/>
    </font>
    <font>
      <u/>
      <color rgb="FF1155CC"/>
      <name val="Arial"/>
    </font>
    <font>
      <strike/>
      <u/>
      <color rgb="FF1155CC"/>
      <name val="Arial"/>
    </font>
    <font>
      <strike/>
      <color theme="1"/>
      <name val="Arial"/>
    </font>
    <font>
      <b/>
      <strike/>
      <color theme="1"/>
      <name val="Arial"/>
    </font>
    <font>
      <u/>
      <color rgb="FF0000FF"/>
      <name val="Arial"/>
    </font>
  </fonts>
  <fills count="29">
    <fill>
      <patternFill patternType="none"/>
    </fill>
    <fill>
      <patternFill patternType="lightGray"/>
    </fill>
    <fill>
      <patternFill patternType="solid">
        <fgColor theme="7"/>
        <bgColor theme="7"/>
      </patternFill>
    </fill>
    <fill>
      <patternFill patternType="solid">
        <fgColor rgb="FF000000"/>
        <bgColor rgb="FF000000"/>
      </patternFill>
    </fill>
    <fill>
      <patternFill patternType="solid">
        <fgColor rgb="FF666666"/>
        <bgColor rgb="FF666666"/>
      </patternFill>
    </fill>
    <fill>
      <patternFill patternType="solid">
        <fgColor rgb="FFFFFFFF"/>
        <bgColor rgb="FFFFFFFF"/>
      </patternFill>
    </fill>
    <fill>
      <patternFill patternType="solid">
        <fgColor rgb="FF4A86E8"/>
        <bgColor rgb="FF4A86E8"/>
      </patternFill>
    </fill>
    <fill>
      <patternFill patternType="solid">
        <fgColor rgb="FFEFEFEF"/>
        <bgColor rgb="FFEFEFEF"/>
      </patternFill>
    </fill>
    <fill>
      <patternFill patternType="solid">
        <fgColor rgb="FFD9D9D9"/>
        <bgColor rgb="FFD9D9D9"/>
      </patternFill>
    </fill>
    <fill>
      <patternFill patternType="solid">
        <fgColor rgb="FFFFFF00"/>
        <bgColor rgb="FFFFFF00"/>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FF9900"/>
        <bgColor rgb="FFFF9900"/>
      </patternFill>
    </fill>
    <fill>
      <patternFill patternType="solid">
        <fgColor rgb="FFC27BA0"/>
        <bgColor rgb="FFC27BA0"/>
      </patternFill>
    </fill>
    <fill>
      <patternFill patternType="solid">
        <fgColor rgb="FF0000FF"/>
        <bgColor rgb="FF0000FF"/>
      </patternFill>
    </fill>
    <fill>
      <patternFill patternType="solid">
        <fgColor rgb="FFD9D2E9"/>
        <bgColor rgb="FFD9D2E9"/>
      </patternFill>
    </fill>
    <fill>
      <patternFill patternType="solid">
        <fgColor rgb="FF674EA7"/>
        <bgColor rgb="FF674EA7"/>
      </patternFill>
    </fill>
    <fill>
      <patternFill patternType="solid">
        <fgColor rgb="FFCCCCCC"/>
        <bgColor rgb="FFCCCCCC"/>
      </patternFill>
    </fill>
    <fill>
      <patternFill patternType="solid">
        <fgColor theme="6"/>
        <bgColor theme="6"/>
      </patternFill>
    </fill>
    <fill>
      <patternFill patternType="solid">
        <fgColor rgb="FF45818E"/>
        <bgColor rgb="FF45818E"/>
      </patternFill>
    </fill>
    <fill>
      <patternFill patternType="solid">
        <fgColor rgb="FFE69138"/>
        <bgColor rgb="FFE69138"/>
      </patternFill>
    </fill>
    <fill>
      <patternFill patternType="solid">
        <fgColor rgb="FFCFE2F3"/>
        <bgColor rgb="FFCFE2F3"/>
      </patternFill>
    </fill>
    <fill>
      <patternFill patternType="solid">
        <fgColor rgb="FF9900FF"/>
        <bgColor rgb="FF9900FF"/>
      </patternFill>
    </fill>
    <fill>
      <patternFill patternType="solid">
        <fgColor rgb="FF351C75"/>
        <bgColor rgb="FF351C75"/>
      </patternFill>
    </fill>
    <fill>
      <patternFill patternType="solid">
        <fgColor rgb="FFFCE5CD"/>
        <bgColor rgb="FFFCE5CD"/>
      </patternFill>
    </fill>
    <fill>
      <patternFill patternType="solid">
        <fgColor rgb="FF93C47D"/>
        <bgColor rgb="FF93C47D"/>
      </patternFill>
    </fill>
  </fills>
  <borders count="39">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right style="thin">
        <color rgb="FF000000"/>
      </right>
      <top style="thin">
        <color rgb="FF000000"/>
      </top>
    </border>
    <border>
      <right style="medium">
        <color rgb="FF000000"/>
      </right>
      <top style="thin">
        <color rgb="FF000000"/>
      </top>
    </border>
    <border>
      <right style="medium">
        <color rgb="FF000000"/>
      </right>
      <bottom style="thin">
        <color rgb="FF000000"/>
      </bottom>
    </border>
    <border>
      <left style="medium">
        <color rgb="FF000000"/>
      </left>
      <right style="medium">
        <color rgb="FF000000"/>
      </right>
      <bottom style="medium">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CCCCCC"/>
      </right>
      <bottom style="thin">
        <color rgb="FFCCCCCC"/>
      </bottom>
    </border>
    <border>
      <left style="thin">
        <color rgb="FFFFFFFF"/>
      </left>
      <right style="thin">
        <color rgb="FFFFFFFF"/>
      </right>
      <top style="thin">
        <color rgb="FFFFFFFF"/>
      </top>
      <bottom style="thin">
        <color rgb="FFFFFFFF"/>
      </bottom>
    </border>
    <border>
      <left style="thin">
        <color rgb="FF999999"/>
      </left>
      <right style="thin">
        <color rgb="FF999999"/>
      </right>
      <top style="thin">
        <color rgb="FF999999"/>
      </top>
    </border>
    <border>
      <left style="thin">
        <color rgb="FF999999"/>
      </left>
      <right style="thin">
        <color rgb="FF000000"/>
      </right>
      <top style="thin">
        <color rgb="FF999999"/>
      </top>
      <bottom style="thin">
        <color rgb="FF999999"/>
      </bottom>
    </border>
    <border>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000000"/>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left style="thin">
        <color rgb="FF999999"/>
      </left>
      <right style="thin">
        <color rgb="FF999999"/>
      </right>
      <top style="thin">
        <color rgb="FF999999"/>
      </top>
      <bottom style="thin">
        <color rgb="FF999999"/>
      </bottom>
    </border>
    <border>
      <left style="thin">
        <color rgb="FF999999"/>
      </left>
      <right style="thin">
        <color rgb="FF999999"/>
      </right>
    </border>
    <border>
      <left style="thin">
        <color rgb="FF999999"/>
      </left>
      <right style="thin">
        <color rgb="FF000000"/>
      </right>
    </border>
    <border>
      <right style="thin">
        <color rgb="FF999999"/>
      </right>
    </border>
    <border>
      <left style="thin">
        <color rgb="FF999999"/>
      </left>
      <bottom style="thin">
        <color rgb="FF999999"/>
      </bottom>
    </border>
    <border>
      <right style="thin">
        <color rgb="FF999999"/>
      </right>
      <bottom style="thin">
        <color rgb="FF999999"/>
      </bottom>
    </border>
    <border>
      <bottom style="thin">
        <color rgb="FF999999"/>
      </bottom>
    </border>
    <border>
      <left style="thin">
        <color rgb="FF999999"/>
      </left>
    </border>
    <border>
      <left style="thin">
        <color rgb="FF999999"/>
      </left>
      <right style="thin">
        <color rgb="FF999999"/>
      </right>
      <bottom style="thin">
        <color rgb="FF999999"/>
      </bottom>
    </border>
  </borders>
  <cellStyleXfs count="1">
    <xf borderId="0" fillId="0" fontId="0" numFmtId="0" applyAlignment="1" applyFont="1"/>
  </cellStyleXfs>
  <cellXfs count="47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0" fillId="4" fontId="1" numFmtId="0" xfId="0" applyAlignment="1" applyFill="1" applyFont="1">
      <alignment horizontal="center" readingOrder="0"/>
    </xf>
    <xf borderId="2" fillId="0" fontId="2" numFmtId="0" xfId="0" applyBorder="1" applyFont="1"/>
    <xf borderId="0" fillId="0" fontId="3" numFmtId="0" xfId="0" applyAlignment="1" applyFont="1">
      <alignment horizontal="center" readingOrder="0"/>
    </xf>
    <xf borderId="3" fillId="0" fontId="3" numFmtId="0" xfId="0" applyAlignment="1" applyBorder="1" applyFont="1">
      <alignment horizontal="center" readingOrder="0"/>
    </xf>
    <xf borderId="4" fillId="0" fontId="3" numFmtId="0" xfId="0" applyAlignment="1" applyBorder="1" applyFont="1">
      <alignment horizontal="center" readingOrder="0"/>
    </xf>
    <xf borderId="4" fillId="0" fontId="4" numFmtId="0" xfId="0" applyAlignment="1" applyBorder="1" applyFont="1">
      <alignment horizontal="center" readingOrder="0"/>
    </xf>
    <xf borderId="3" fillId="0" fontId="5" numFmtId="0" xfId="0" applyAlignment="1" applyBorder="1" applyFont="1">
      <alignment horizontal="center" readingOrder="0"/>
    </xf>
    <xf borderId="4" fillId="0" fontId="5" numFmtId="0" xfId="0" applyAlignment="1" applyBorder="1" applyFont="1">
      <alignment horizontal="center" readingOrder="0"/>
    </xf>
    <xf borderId="5" fillId="0" fontId="3" numFmtId="0" xfId="0" applyAlignment="1" applyBorder="1" applyFont="1">
      <alignment horizontal="center" readingOrder="0"/>
    </xf>
    <xf borderId="0" fillId="0" fontId="6" numFmtId="0" xfId="0" applyAlignment="1" applyFont="1">
      <alignment horizontal="center"/>
    </xf>
    <xf borderId="1" fillId="0" fontId="7" numFmtId="0" xfId="0" applyAlignment="1" applyBorder="1" applyFont="1">
      <alignment horizontal="center" readingOrder="0" vertical="center"/>
    </xf>
    <xf borderId="0" fillId="0" fontId="7" numFmtId="0" xfId="0" applyAlignment="1" applyFont="1">
      <alignment horizontal="center" readingOrder="0" vertical="center"/>
    </xf>
    <xf borderId="1" fillId="0" fontId="6" numFmtId="0" xfId="0" applyAlignment="1" applyBorder="1" applyFont="1">
      <alignment horizontal="center"/>
    </xf>
    <xf borderId="1" fillId="0" fontId="6" numFmtId="3" xfId="0" applyAlignment="1" applyBorder="1" applyFont="1" applyNumberFormat="1">
      <alignment horizontal="center"/>
    </xf>
    <xf borderId="0" fillId="0" fontId="6" numFmtId="3" xfId="0" applyAlignment="1" applyFont="1" applyNumberFormat="1">
      <alignment horizontal="center"/>
    </xf>
    <xf borderId="2" fillId="0" fontId="6" numFmtId="3" xfId="0" applyAlignment="1" applyBorder="1" applyFont="1" applyNumberFormat="1">
      <alignment horizontal="center"/>
    </xf>
    <xf borderId="1" fillId="0" fontId="6" numFmtId="0" xfId="0" applyAlignment="1" applyBorder="1" applyFont="1">
      <alignment horizontal="center" readingOrder="0"/>
    </xf>
    <xf borderId="3" fillId="0" fontId="7" numFmtId="0" xfId="0" applyAlignment="1" applyBorder="1" applyFont="1">
      <alignment horizontal="center" readingOrder="0" vertical="center"/>
    </xf>
    <xf borderId="4" fillId="0" fontId="7" numFmtId="0" xfId="0" applyAlignment="1" applyBorder="1" applyFont="1">
      <alignment horizontal="center" readingOrder="0" vertical="center"/>
    </xf>
    <xf borderId="3" fillId="0" fontId="6" numFmtId="0" xfId="0" applyAlignment="1" applyBorder="1" applyFont="1">
      <alignment horizontal="center" readingOrder="0"/>
    </xf>
    <xf borderId="4" fillId="0" fontId="6" numFmtId="0" xfId="0" applyAlignment="1" applyBorder="1" applyFont="1">
      <alignment horizontal="center"/>
    </xf>
    <xf borderId="3" fillId="0" fontId="6" numFmtId="3" xfId="0" applyAlignment="1" applyBorder="1" applyFont="1" applyNumberFormat="1">
      <alignment horizontal="center"/>
    </xf>
    <xf borderId="4" fillId="0" fontId="6" numFmtId="3" xfId="0" applyAlignment="1" applyBorder="1" applyFont="1" applyNumberFormat="1">
      <alignment horizontal="center"/>
    </xf>
    <xf borderId="5" fillId="0" fontId="6" numFmtId="3" xfId="0" applyAlignment="1" applyBorder="1" applyFont="1" applyNumberFormat="1">
      <alignment horizontal="center"/>
    </xf>
    <xf borderId="0" fillId="5" fontId="8" numFmtId="0" xfId="0" applyAlignment="1" applyFill="1" applyFont="1">
      <alignment horizontal="left" readingOrder="0" vertical="center"/>
    </xf>
    <xf borderId="0" fillId="5" fontId="8" numFmtId="0" xfId="0" applyAlignment="1" applyFont="1">
      <alignment horizontal="center" readingOrder="0" vertical="center"/>
    </xf>
    <xf borderId="0" fillId="5" fontId="9" numFmtId="0" xfId="0" applyAlignment="1" applyFont="1">
      <alignment horizontal="left" readingOrder="0" vertical="center"/>
    </xf>
    <xf borderId="0" fillId="5" fontId="10" numFmtId="0" xfId="0" applyAlignment="1" applyFont="1">
      <alignment horizontal="center" readingOrder="0" vertical="center"/>
    </xf>
    <xf borderId="0" fillId="5" fontId="9" numFmtId="0" xfId="0" applyAlignment="1" applyFont="1">
      <alignment horizontal="center" readingOrder="0" vertical="center"/>
    </xf>
    <xf borderId="0" fillId="5" fontId="11" numFmtId="0" xfId="0" applyAlignment="1" applyFont="1">
      <alignment horizontal="center" readingOrder="0" vertical="center"/>
    </xf>
    <xf borderId="6" fillId="3" fontId="8" numFmtId="0" xfId="0" applyAlignment="1" applyBorder="1" applyFont="1">
      <alignment horizontal="left" readingOrder="0" vertical="center"/>
    </xf>
    <xf borderId="0" fillId="3" fontId="8" numFmtId="0" xfId="0" applyAlignment="1" applyFont="1">
      <alignment horizontal="center" readingOrder="0" vertical="center"/>
    </xf>
    <xf borderId="7" fillId="3" fontId="8" numFmtId="0" xfId="0" applyAlignment="1" applyBorder="1" applyFont="1">
      <alignment horizontal="center" readingOrder="0" vertical="center"/>
    </xf>
    <xf borderId="7" fillId="6" fontId="8" numFmtId="0" xfId="0" applyAlignment="1" applyBorder="1" applyFill="1" applyFont="1">
      <alignment horizontal="center" readingOrder="0" vertical="center"/>
    </xf>
    <xf borderId="7" fillId="7" fontId="5" numFmtId="0" xfId="0" applyAlignment="1" applyBorder="1" applyFill="1" applyFont="1">
      <alignment horizontal="left" readingOrder="0" shrinkToFit="0" vertical="center" wrapText="1"/>
    </xf>
    <xf borderId="7" fillId="8" fontId="12" numFmtId="3" xfId="0" applyAlignment="1" applyBorder="1" applyFill="1" applyFont="1" applyNumberFormat="1">
      <alignment horizontal="center"/>
    </xf>
    <xf borderId="7" fillId="9" fontId="12" numFmtId="3" xfId="0" applyAlignment="1" applyBorder="1" applyFill="1" applyFont="1" applyNumberFormat="1">
      <alignment horizontal="center"/>
    </xf>
    <xf borderId="7" fillId="0" fontId="12" numFmtId="3" xfId="0" applyAlignment="1" applyBorder="1" applyFont="1" applyNumberFormat="1">
      <alignment horizontal="center"/>
    </xf>
    <xf borderId="7" fillId="0" fontId="12" numFmtId="0" xfId="0" applyAlignment="1" applyBorder="1" applyFont="1">
      <alignment horizontal="left" readingOrder="0"/>
    </xf>
    <xf borderId="7" fillId="10" fontId="12" numFmtId="10" xfId="0" applyAlignment="1" applyBorder="1" applyFill="1" applyFont="1" applyNumberFormat="1">
      <alignment horizontal="center"/>
    </xf>
    <xf borderId="7" fillId="11" fontId="12" numFmtId="10" xfId="0" applyAlignment="1" applyBorder="1" applyFill="1" applyFont="1" applyNumberFormat="1">
      <alignment horizontal="center"/>
    </xf>
    <xf borderId="7" fillId="0" fontId="12" numFmtId="10" xfId="0" applyAlignment="1" applyBorder="1" applyFont="1" applyNumberFormat="1">
      <alignment horizontal="center"/>
    </xf>
    <xf borderId="7" fillId="0" fontId="12" numFmtId="9" xfId="0" applyAlignment="1" applyBorder="1" applyFont="1" applyNumberFormat="1">
      <alignment horizontal="center"/>
    </xf>
    <xf borderId="0" fillId="7" fontId="12" numFmtId="0" xfId="0" applyAlignment="1" applyFont="1">
      <alignment horizontal="left" readingOrder="0" vertical="center"/>
    </xf>
    <xf borderId="0" fillId="7" fontId="12" numFmtId="0" xfId="0" applyAlignment="1" applyFont="1">
      <alignment horizontal="center" vertical="center"/>
    </xf>
    <xf borderId="0" fillId="7" fontId="12" numFmtId="0" xfId="0" applyAlignment="1" applyFont="1">
      <alignment horizontal="center" readingOrder="0" vertical="center"/>
    </xf>
    <xf borderId="0" fillId="0" fontId="12" numFmtId="0" xfId="0" applyAlignment="1" applyFont="1">
      <alignment horizontal="left" vertical="center"/>
    </xf>
    <xf borderId="0" fillId="0" fontId="12" numFmtId="3" xfId="0" applyAlignment="1" applyFont="1" applyNumberFormat="1">
      <alignment horizontal="center" vertical="center"/>
    </xf>
    <xf borderId="0" fillId="4" fontId="8" numFmtId="0" xfId="0" applyAlignment="1" applyFont="1">
      <alignment horizontal="left" readingOrder="0" vertical="center"/>
    </xf>
    <xf borderId="7" fillId="4" fontId="8" numFmtId="0" xfId="0" applyAlignment="1" applyBorder="1" applyFont="1">
      <alignment horizontal="center" readingOrder="0" vertical="center"/>
    </xf>
    <xf borderId="0" fillId="4" fontId="8" numFmtId="0" xfId="0" applyAlignment="1" applyFont="1">
      <alignment horizontal="center" readingOrder="0" vertical="center"/>
    </xf>
    <xf borderId="7" fillId="0" fontId="12" numFmtId="3" xfId="0" applyAlignment="1" applyBorder="1" applyFont="1" applyNumberFormat="1">
      <alignment horizontal="center" readingOrder="0" vertical="center"/>
    </xf>
    <xf borderId="0" fillId="0" fontId="13" numFmtId="0" xfId="0" applyAlignment="1" applyFont="1">
      <alignment horizontal="left" vertical="center"/>
    </xf>
    <xf borderId="0" fillId="12" fontId="13" numFmtId="10" xfId="0" applyAlignment="1" applyFill="1" applyFont="1" applyNumberFormat="1">
      <alignment horizontal="center" vertical="center"/>
    </xf>
    <xf borderId="7" fillId="0" fontId="12" numFmtId="9" xfId="0" applyAlignment="1" applyBorder="1" applyFont="1" applyNumberFormat="1">
      <alignment horizontal="center" readingOrder="0"/>
    </xf>
    <xf borderId="7" fillId="7" fontId="5" numFmtId="0" xfId="0" applyAlignment="1" applyBorder="1" applyFont="1">
      <alignment horizontal="left" readingOrder="0" vertical="center"/>
    </xf>
    <xf borderId="7" fillId="7" fontId="5" numFmtId="3" xfId="0" applyAlignment="1" applyBorder="1" applyFont="1" applyNumberFormat="1">
      <alignment horizontal="center" readingOrder="0" vertical="center"/>
    </xf>
    <xf borderId="0" fillId="0" fontId="12" numFmtId="0" xfId="0" applyAlignment="1" applyFont="1">
      <alignment horizontal="left" vertical="bottom"/>
    </xf>
    <xf borderId="0" fillId="0" fontId="12" numFmtId="3" xfId="0" applyAlignment="1" applyFont="1" applyNumberFormat="1">
      <alignment horizontal="center" readingOrder="0" vertical="bottom"/>
    </xf>
    <xf borderId="0" fillId="0" fontId="12" numFmtId="0" xfId="0" applyAlignment="1" applyFont="1">
      <alignment horizontal="center" vertical="bottom"/>
    </xf>
    <xf borderId="0" fillId="3" fontId="8" numFmtId="0" xfId="0" applyAlignment="1" applyFont="1">
      <alignment horizontal="left" readingOrder="0" vertical="center"/>
    </xf>
    <xf borderId="0" fillId="0" fontId="12" numFmtId="0" xfId="0" applyAlignment="1" applyFont="1">
      <alignment horizontal="left" readingOrder="0"/>
    </xf>
    <xf borderId="0" fillId="13" fontId="7" numFmtId="3" xfId="0" applyAlignment="1" applyFill="1" applyFont="1" applyNumberFormat="1">
      <alignment horizontal="center" readingOrder="0"/>
    </xf>
    <xf borderId="0" fillId="0" fontId="7" numFmtId="3" xfId="0" applyAlignment="1" applyFont="1" applyNumberFormat="1">
      <alignment horizontal="center" readingOrder="0"/>
    </xf>
    <xf borderId="8" fillId="14" fontId="12" numFmtId="0" xfId="0" applyAlignment="1" applyBorder="1" applyFill="1" applyFont="1">
      <alignment horizontal="left" readingOrder="0"/>
    </xf>
    <xf borderId="8" fillId="14" fontId="12" numFmtId="3" xfId="0" applyAlignment="1" applyBorder="1" applyFont="1" applyNumberFormat="1">
      <alignment horizontal="center"/>
    </xf>
    <xf borderId="0" fillId="0" fontId="12" numFmtId="0" xfId="0" applyAlignment="1" applyFont="1">
      <alignment horizontal="left"/>
    </xf>
    <xf borderId="0" fillId="0" fontId="12" numFmtId="0" xfId="0" applyAlignment="1" applyFont="1">
      <alignment horizontal="center"/>
    </xf>
    <xf borderId="0" fillId="13" fontId="12" numFmtId="3" xfId="0" applyAlignment="1" applyFont="1" applyNumberFormat="1">
      <alignment horizontal="center" readingOrder="0"/>
    </xf>
    <xf borderId="0" fillId="0" fontId="12" numFmtId="3" xfId="0" applyAlignment="1" applyFont="1" applyNumberFormat="1">
      <alignment horizontal="center" readingOrder="0"/>
    </xf>
    <xf borderId="0" fillId="0" fontId="12" numFmtId="10" xfId="0" applyAlignment="1" applyFont="1" applyNumberFormat="1">
      <alignment horizontal="center"/>
    </xf>
    <xf borderId="0" fillId="7" fontId="5" numFmtId="0" xfId="0" applyAlignment="1" applyFont="1">
      <alignment horizontal="left" readingOrder="0" shrinkToFit="0" vertical="center" wrapText="1"/>
    </xf>
    <xf borderId="0" fillId="0" fontId="12" numFmtId="3" xfId="0" applyAlignment="1" applyFont="1" applyNumberFormat="1">
      <alignment horizontal="center"/>
    </xf>
    <xf borderId="4" fillId="3" fontId="8" numFmtId="0" xfId="0" applyAlignment="1" applyBorder="1" applyFont="1">
      <alignment horizontal="left" readingOrder="0" vertical="center"/>
    </xf>
    <xf borderId="0" fillId="15" fontId="11" numFmtId="0" xfId="0" applyAlignment="1" applyFill="1" applyFont="1">
      <alignment horizontal="center" readingOrder="0" vertical="center"/>
    </xf>
    <xf borderId="0" fillId="3" fontId="8" numFmtId="0" xfId="0" applyAlignment="1" applyFont="1">
      <alignment horizontal="center" readingOrder="0" shrinkToFit="0" vertical="center" wrapText="1"/>
    </xf>
    <xf borderId="0" fillId="3" fontId="14" numFmtId="0" xfId="0" applyAlignment="1" applyFont="1">
      <alignment horizontal="center"/>
    </xf>
    <xf borderId="0" fillId="16" fontId="14" numFmtId="0" xfId="0" applyAlignment="1" applyFill="1" applyFont="1">
      <alignment horizontal="center"/>
    </xf>
    <xf borderId="0" fillId="16" fontId="8" numFmtId="0" xfId="0" applyAlignment="1" applyFont="1">
      <alignment horizontal="center" readingOrder="0" vertical="center"/>
    </xf>
    <xf borderId="0" fillId="0" fontId="12" numFmtId="0" xfId="0" applyAlignment="1" applyFont="1">
      <alignment horizontal="center" readingOrder="0" vertical="center"/>
    </xf>
    <xf borderId="0" fillId="0" fontId="12" numFmtId="164" xfId="0" applyAlignment="1" applyFont="1" applyNumberFormat="1">
      <alignment horizontal="center" readingOrder="0" shrinkToFit="0" vertical="center" wrapText="1"/>
    </xf>
    <xf borderId="0" fillId="0" fontId="12" numFmtId="0" xfId="0" applyAlignment="1" applyFont="1">
      <alignment horizontal="center" vertical="center"/>
    </xf>
    <xf borderId="0" fillId="0" fontId="12" numFmtId="0" xfId="0" applyAlignment="1" applyFont="1">
      <alignment horizontal="center" readingOrder="0"/>
    </xf>
    <xf borderId="0" fillId="10" fontId="12" numFmtId="0" xfId="0" applyAlignment="1" applyFont="1">
      <alignment horizontal="center" readingOrder="0" vertical="center"/>
    </xf>
    <xf borderId="0" fillId="10" fontId="12" numFmtId="9" xfId="0" applyAlignment="1" applyFont="1" applyNumberFormat="1">
      <alignment horizontal="center" readingOrder="0" shrinkToFit="0" vertical="center" wrapText="1"/>
    </xf>
    <xf borderId="0" fillId="10" fontId="12" numFmtId="164" xfId="0" applyAlignment="1" applyFont="1" applyNumberFormat="1">
      <alignment horizontal="center" readingOrder="0" shrinkToFit="0" vertical="center" wrapText="1"/>
    </xf>
    <xf borderId="0" fillId="12" fontId="12" numFmtId="164" xfId="0" applyAlignment="1" applyFont="1" applyNumberFormat="1">
      <alignment horizontal="center" readingOrder="0" shrinkToFit="0" vertical="center" wrapText="1"/>
    </xf>
    <xf borderId="0" fillId="5" fontId="12" numFmtId="0" xfId="0" applyAlignment="1" applyFont="1">
      <alignment horizontal="center" vertical="center"/>
    </xf>
    <xf borderId="0" fillId="5" fontId="12" numFmtId="0" xfId="0" applyFont="1"/>
    <xf borderId="0" fillId="0" fontId="12" numFmtId="0" xfId="0" applyAlignment="1" applyFont="1">
      <alignment horizontal="center" shrinkToFit="0" vertical="center" wrapText="1"/>
    </xf>
    <xf borderId="0" fillId="2" fontId="11" numFmtId="0" xfId="0" applyAlignment="1" applyFont="1">
      <alignment horizontal="center" readingOrder="0" vertical="center"/>
    </xf>
    <xf borderId="0" fillId="9" fontId="11" numFmtId="0" xfId="0" applyAlignment="1" applyFont="1">
      <alignment horizontal="center" readingOrder="0" vertical="center"/>
    </xf>
    <xf borderId="0" fillId="0" fontId="12" numFmtId="0" xfId="0" applyAlignment="1" applyFont="1">
      <alignment horizontal="left" readingOrder="0" vertical="center"/>
    </xf>
    <xf borderId="0" fillId="3" fontId="8" numFmtId="0" xfId="0" applyAlignment="1" applyFont="1">
      <alignment horizontal="center" readingOrder="0" shrinkToFit="0" vertical="bottom" wrapText="1"/>
    </xf>
    <xf borderId="0" fillId="3" fontId="1" numFmtId="0" xfId="0" applyAlignment="1" applyFont="1">
      <alignment horizontal="left" readingOrder="0" shrinkToFit="0" wrapText="1"/>
    </xf>
    <xf borderId="0" fillId="3" fontId="1" numFmtId="0" xfId="0" applyAlignment="1" applyFont="1">
      <alignment readingOrder="0" shrinkToFit="0" wrapText="1"/>
    </xf>
    <xf borderId="0" fillId="17" fontId="8" numFmtId="0" xfId="0" applyAlignment="1" applyFill="1" applyFont="1">
      <alignment horizontal="center" readingOrder="0" shrinkToFit="0" vertical="bottom" wrapText="1"/>
    </xf>
    <xf borderId="4" fillId="3" fontId="8" numFmtId="0" xfId="0" applyAlignment="1" applyBorder="1" applyFont="1">
      <alignment horizontal="center" readingOrder="0" shrinkToFit="0" vertical="center" wrapText="1"/>
    </xf>
    <xf borderId="4" fillId="3" fontId="1" numFmtId="0" xfId="0" applyAlignment="1" applyBorder="1" applyFont="1">
      <alignment horizontal="left" readingOrder="0" shrinkToFit="0" vertical="center" wrapText="1"/>
    </xf>
    <xf borderId="4" fillId="3" fontId="1" numFmtId="0" xfId="0" applyAlignment="1" applyBorder="1" applyFont="1">
      <alignment readingOrder="0" shrinkToFit="0" vertical="center" wrapText="1"/>
    </xf>
    <xf borderId="3" fillId="3" fontId="8" numFmtId="0" xfId="0" applyAlignment="1" applyBorder="1" applyFont="1">
      <alignment horizontal="center" readingOrder="0" shrinkToFit="0" vertical="center" wrapText="1"/>
    </xf>
    <xf borderId="0" fillId="7" fontId="12" numFmtId="0" xfId="0" applyAlignment="1" applyFont="1">
      <alignment horizontal="center" readingOrder="0" vertical="bottom"/>
    </xf>
    <xf borderId="0" fillId="7" fontId="6" numFmtId="0" xfId="0" applyAlignment="1" applyFont="1">
      <alignment readingOrder="0"/>
    </xf>
    <xf borderId="0" fillId="7" fontId="7" numFmtId="0" xfId="0" applyAlignment="1" applyFont="1">
      <alignment readingOrder="0" vertical="bottom"/>
    </xf>
    <xf borderId="0" fillId="7" fontId="12" numFmtId="0" xfId="0" applyAlignment="1" applyFont="1">
      <alignment horizontal="left" vertical="bottom"/>
    </xf>
    <xf borderId="1" fillId="7" fontId="12" numFmtId="0" xfId="0" applyAlignment="1" applyBorder="1" applyFont="1">
      <alignment horizontal="center" readingOrder="0" vertical="bottom"/>
    </xf>
    <xf borderId="9" fillId="7" fontId="12" numFmtId="164" xfId="0" applyAlignment="1" applyBorder="1" applyFont="1" applyNumberFormat="1">
      <alignment horizontal="center" readingOrder="0" vertical="bottom"/>
    </xf>
    <xf borderId="1" fillId="7" fontId="12" numFmtId="3" xfId="0" applyAlignment="1" applyBorder="1" applyFont="1" applyNumberFormat="1">
      <alignment horizontal="center" readingOrder="0" vertical="bottom"/>
    </xf>
    <xf borderId="2" fillId="7" fontId="12" numFmtId="9" xfId="0" applyAlignment="1" applyBorder="1" applyFont="1" applyNumberFormat="1">
      <alignment horizontal="center" readingOrder="0" vertical="bottom"/>
    </xf>
    <xf borderId="0" fillId="7" fontId="12" numFmtId="0" xfId="0" applyAlignment="1" applyFont="1">
      <alignment horizontal="left" vertical="bottom"/>
    </xf>
    <xf borderId="0" fillId="7" fontId="12" numFmtId="0" xfId="0" applyAlignment="1" applyFont="1">
      <alignment horizontal="left" readingOrder="0" vertical="bottom"/>
    </xf>
    <xf borderId="0" fillId="7" fontId="7" numFmtId="0" xfId="0" applyAlignment="1" applyFont="1">
      <alignment horizontal="left" readingOrder="0" shrinkToFit="0" vertical="bottom" wrapText="0"/>
    </xf>
    <xf borderId="4" fillId="7" fontId="12" numFmtId="0" xfId="0" applyAlignment="1" applyBorder="1" applyFont="1">
      <alignment horizontal="center" readingOrder="0" vertical="bottom"/>
    </xf>
    <xf borderId="4" fillId="7" fontId="12" numFmtId="0" xfId="0" applyAlignment="1" applyBorder="1" applyFont="1">
      <alignment readingOrder="0" vertical="bottom"/>
    </xf>
    <xf borderId="4" fillId="7" fontId="7" numFmtId="0" xfId="0" applyAlignment="1" applyBorder="1" applyFont="1">
      <alignment readingOrder="0" vertical="bottom"/>
    </xf>
    <xf borderId="4" fillId="7" fontId="12" numFmtId="0" xfId="0" applyAlignment="1" applyBorder="1" applyFont="1">
      <alignment horizontal="left" vertical="bottom"/>
    </xf>
    <xf borderId="3" fillId="7" fontId="12" numFmtId="0" xfId="0" applyAlignment="1" applyBorder="1" applyFont="1">
      <alignment horizontal="center" readingOrder="0" vertical="bottom"/>
    </xf>
    <xf borderId="6" fillId="7" fontId="12" numFmtId="164" xfId="0" applyAlignment="1" applyBorder="1" applyFont="1" applyNumberFormat="1">
      <alignment horizontal="center" readingOrder="0" vertical="bottom"/>
    </xf>
    <xf borderId="3" fillId="7" fontId="12" numFmtId="3" xfId="0" applyAlignment="1" applyBorder="1" applyFont="1" applyNumberFormat="1">
      <alignment horizontal="center" readingOrder="0" vertical="bottom"/>
    </xf>
    <xf borderId="5" fillId="7" fontId="12" numFmtId="9" xfId="0" applyAlignment="1" applyBorder="1" applyFont="1" applyNumberFormat="1">
      <alignment horizontal="center" readingOrder="0" vertical="bottom"/>
    </xf>
    <xf borderId="0" fillId="0" fontId="12" numFmtId="0" xfId="0" applyAlignment="1" applyFont="1">
      <alignment horizontal="center" readingOrder="0" vertical="bottom"/>
    </xf>
    <xf borderId="0" fillId="10" fontId="12" numFmtId="0" xfId="0" applyAlignment="1" applyFont="1">
      <alignment readingOrder="0" vertical="bottom"/>
    </xf>
    <xf borderId="0" fillId="18" fontId="12" numFmtId="0" xfId="0" applyAlignment="1" applyFill="1" applyFont="1">
      <alignment readingOrder="0" vertical="bottom"/>
    </xf>
    <xf borderId="0" fillId="0" fontId="12" numFmtId="0" xfId="0" applyAlignment="1" applyFont="1">
      <alignment horizontal="left" vertical="bottom"/>
    </xf>
    <xf borderId="1" fillId="0" fontId="12" numFmtId="0" xfId="0" applyAlignment="1" applyBorder="1" applyFont="1">
      <alignment horizontal="center" readingOrder="0" vertical="bottom"/>
    </xf>
    <xf borderId="9" fillId="0" fontId="12" numFmtId="164" xfId="0" applyAlignment="1" applyBorder="1" applyFont="1" applyNumberFormat="1">
      <alignment horizontal="center" readingOrder="0" vertical="bottom"/>
    </xf>
    <xf borderId="1" fillId="9" fontId="12" numFmtId="3" xfId="0" applyAlignment="1" applyBorder="1" applyFont="1" applyNumberFormat="1">
      <alignment horizontal="center" readingOrder="0" vertical="bottom"/>
    </xf>
    <xf borderId="1" fillId="12" fontId="12" numFmtId="3" xfId="0" applyAlignment="1" applyBorder="1" applyFont="1" applyNumberFormat="1">
      <alignment horizontal="center" readingOrder="0" vertical="bottom"/>
    </xf>
    <xf borderId="1" fillId="0" fontId="12" numFmtId="3" xfId="0" applyAlignment="1" applyBorder="1" applyFont="1" applyNumberFormat="1">
      <alignment horizontal="center" readingOrder="0" vertical="bottom"/>
    </xf>
    <xf borderId="2" fillId="9" fontId="12" numFmtId="9" xfId="0" applyAlignment="1" applyBorder="1" applyFont="1" applyNumberFormat="1">
      <alignment horizontal="center" readingOrder="0" vertical="bottom"/>
    </xf>
    <xf borderId="1" fillId="10" fontId="12" numFmtId="3" xfId="0" applyAlignment="1" applyBorder="1" applyFont="1" applyNumberFormat="1">
      <alignment horizontal="center" readingOrder="0" vertical="bottom"/>
    </xf>
    <xf borderId="2" fillId="10" fontId="12" numFmtId="9" xfId="0" applyAlignment="1" applyBorder="1" applyFont="1" applyNumberFormat="1">
      <alignment horizontal="center" readingOrder="0" vertical="bottom"/>
    </xf>
    <xf borderId="0" fillId="0" fontId="12" numFmtId="0" xfId="0" applyAlignment="1" applyFont="1">
      <alignment vertical="bottom"/>
    </xf>
    <xf borderId="4" fillId="0" fontId="12" numFmtId="0" xfId="0" applyAlignment="1" applyBorder="1" applyFont="1">
      <alignment horizontal="center" readingOrder="0" vertical="bottom"/>
    </xf>
    <xf borderId="4" fillId="10" fontId="12" numFmtId="0" xfId="0" applyAlignment="1" applyBorder="1" applyFont="1">
      <alignment readingOrder="0" vertical="bottom"/>
    </xf>
    <xf borderId="4" fillId="0" fontId="12" numFmtId="0" xfId="0" applyAlignment="1" applyBorder="1" applyFont="1">
      <alignment readingOrder="0" vertical="bottom"/>
    </xf>
    <xf borderId="4" fillId="0" fontId="12" numFmtId="0" xfId="0" applyAlignment="1" applyBorder="1" applyFont="1">
      <alignment horizontal="left" vertical="bottom"/>
    </xf>
    <xf borderId="3" fillId="0" fontId="12" numFmtId="0" xfId="0" applyAlignment="1" applyBorder="1" applyFont="1">
      <alignment horizontal="center" readingOrder="0" vertical="bottom"/>
    </xf>
    <xf borderId="6" fillId="0" fontId="12" numFmtId="164" xfId="0" applyAlignment="1" applyBorder="1" applyFont="1" applyNumberFormat="1">
      <alignment horizontal="center" readingOrder="0" vertical="bottom"/>
    </xf>
    <xf borderId="3" fillId="9" fontId="12" numFmtId="3" xfId="0" applyAlignment="1" applyBorder="1" applyFont="1" applyNumberFormat="1">
      <alignment horizontal="center" readingOrder="0" vertical="bottom"/>
    </xf>
    <xf borderId="3" fillId="12" fontId="12" numFmtId="3" xfId="0" applyAlignment="1" applyBorder="1" applyFont="1" applyNumberFormat="1">
      <alignment horizontal="center" readingOrder="0" vertical="bottom"/>
    </xf>
    <xf borderId="3" fillId="0" fontId="12" numFmtId="3" xfId="0" applyAlignment="1" applyBorder="1" applyFont="1" applyNumberFormat="1">
      <alignment horizontal="center" readingOrder="0" vertical="bottom"/>
    </xf>
    <xf borderId="5" fillId="0" fontId="12" numFmtId="9" xfId="0" applyAlignment="1" applyBorder="1" applyFont="1" applyNumberFormat="1">
      <alignment horizontal="center" readingOrder="0" vertical="bottom"/>
    </xf>
    <xf borderId="2" fillId="0" fontId="12" numFmtId="9" xfId="0" applyAlignment="1" applyBorder="1" applyFont="1" applyNumberFormat="1">
      <alignment horizontal="center" readingOrder="0" vertical="bottom"/>
    </xf>
    <xf borderId="0" fillId="0" fontId="12" numFmtId="0" xfId="0" applyAlignment="1" applyFont="1">
      <alignment readingOrder="0" vertical="bottom"/>
    </xf>
    <xf borderId="3" fillId="10" fontId="12" numFmtId="3" xfId="0" applyAlignment="1" applyBorder="1" applyFont="1" applyNumberFormat="1">
      <alignment horizontal="center" readingOrder="0" vertical="bottom"/>
    </xf>
    <xf borderId="5" fillId="10" fontId="12" numFmtId="9" xfId="0" applyAlignment="1" applyBorder="1" applyFont="1" applyNumberFormat="1">
      <alignment horizontal="center" readingOrder="0" vertical="bottom"/>
    </xf>
    <xf borderId="0" fillId="10" fontId="7" numFmtId="0" xfId="0" applyAlignment="1" applyFont="1">
      <alignment readingOrder="0" vertical="bottom"/>
    </xf>
    <xf borderId="0" fillId="0" fontId="7" numFmtId="0" xfId="0" applyAlignment="1" applyFont="1">
      <alignment readingOrder="0" vertical="bottom"/>
    </xf>
    <xf borderId="0" fillId="10" fontId="12" numFmtId="0" xfId="0" applyAlignment="1" applyFont="1">
      <alignment vertical="bottom"/>
    </xf>
    <xf borderId="0" fillId="0" fontId="12" numFmtId="0" xfId="0" applyAlignment="1" applyFont="1">
      <alignment vertical="bottom"/>
    </xf>
    <xf borderId="0" fillId="18" fontId="7" numFmtId="0" xfId="0" applyAlignment="1" applyFont="1">
      <alignment readingOrder="0" vertical="bottom"/>
    </xf>
    <xf borderId="0" fillId="10" fontId="7" numFmtId="0" xfId="0" applyAlignment="1" applyFont="1">
      <alignment readingOrder="0" vertical="bottom"/>
    </xf>
    <xf borderId="0" fillId="0" fontId="7" numFmtId="0" xfId="0" applyAlignment="1" applyFont="1">
      <alignment readingOrder="0" vertical="bottom"/>
    </xf>
    <xf borderId="0" fillId="0" fontId="7" numFmtId="0" xfId="0" applyAlignment="1" applyFont="1">
      <alignment horizontal="left" vertical="bottom"/>
    </xf>
    <xf borderId="1" fillId="0" fontId="7" numFmtId="0" xfId="0" applyAlignment="1" applyBorder="1" applyFont="1">
      <alignment horizontal="center" readingOrder="0" vertical="bottom"/>
    </xf>
    <xf borderId="9" fillId="0" fontId="7" numFmtId="164" xfId="0" applyAlignment="1" applyBorder="1" applyFont="1" applyNumberFormat="1">
      <alignment horizontal="center" readingOrder="0" vertical="bottom"/>
    </xf>
    <xf borderId="1" fillId="12" fontId="7" numFmtId="3" xfId="0" applyAlignment="1" applyBorder="1" applyFont="1" applyNumberFormat="1">
      <alignment horizontal="center" readingOrder="0" vertical="bottom"/>
    </xf>
    <xf borderId="1" fillId="0" fontId="7" numFmtId="3" xfId="0" applyAlignment="1" applyBorder="1" applyFont="1" applyNumberFormat="1">
      <alignment horizontal="center" readingOrder="0" vertical="bottom"/>
    </xf>
    <xf borderId="2" fillId="0" fontId="7" numFmtId="9" xfId="0" applyAlignment="1" applyBorder="1" applyFont="1" applyNumberFormat="1">
      <alignment horizontal="center" readingOrder="0" vertical="bottom"/>
    </xf>
    <xf borderId="2" fillId="3" fontId="8" numFmtId="0" xfId="0" applyAlignment="1" applyBorder="1" applyFont="1">
      <alignment horizontal="center" readingOrder="0" shrinkToFit="0" vertical="bottom" wrapText="1"/>
    </xf>
    <xf borderId="2" fillId="3" fontId="1" numFmtId="0" xfId="0" applyAlignment="1" applyBorder="1" applyFont="1">
      <alignment horizontal="left" readingOrder="0" shrinkToFit="0" wrapText="1"/>
    </xf>
    <xf borderId="2" fillId="3" fontId="1" numFmtId="0" xfId="0" applyAlignment="1" applyBorder="1" applyFont="1">
      <alignment horizontal="center" readingOrder="0" shrinkToFit="0" wrapText="1"/>
    </xf>
    <xf borderId="0" fillId="3" fontId="1" numFmtId="0" xfId="0" applyAlignment="1" applyFont="1">
      <alignment horizontal="center" readingOrder="0" shrinkToFit="0" wrapText="1"/>
    </xf>
    <xf borderId="0" fillId="6" fontId="8" numFmtId="3" xfId="0" applyAlignment="1" applyFont="1" applyNumberFormat="1">
      <alignment horizontal="center" shrinkToFit="0" vertical="bottom" wrapText="1"/>
    </xf>
    <xf borderId="0" fillId="19" fontId="8" numFmtId="3" xfId="0" applyAlignment="1" applyFill="1" applyFont="1" applyNumberFormat="1">
      <alignment horizontal="center" shrinkToFit="0" vertical="bottom" wrapText="1"/>
    </xf>
    <xf borderId="10" fillId="3" fontId="8" numFmtId="0" xfId="0" applyAlignment="1" applyBorder="1" applyFont="1">
      <alignment horizontal="center" readingOrder="0" shrinkToFit="0" vertical="center" wrapText="1"/>
    </xf>
    <xf borderId="2" fillId="3" fontId="8" numFmtId="0" xfId="0" applyAlignment="1" applyBorder="1" applyFont="1">
      <alignment horizontal="center" readingOrder="0" shrinkToFit="0" vertical="center" wrapText="1"/>
    </xf>
    <xf borderId="2" fillId="3" fontId="1" numFmtId="0" xfId="0" applyAlignment="1" applyBorder="1" applyFont="1">
      <alignment horizontal="left" readingOrder="0" shrinkToFit="0" vertical="center" wrapText="1"/>
    </xf>
    <xf borderId="2" fillId="3" fontId="1" numFmtId="0" xfId="0" applyAlignment="1" applyBorder="1" applyFont="1">
      <alignment horizontal="center" readingOrder="0" shrinkToFit="0" vertical="center" wrapText="1"/>
    </xf>
    <xf borderId="0" fillId="3" fontId="1" numFmtId="0" xfId="0" applyAlignment="1" applyFont="1">
      <alignment horizontal="center" readingOrder="0" shrinkToFit="0" vertical="center" wrapText="1"/>
    </xf>
    <xf borderId="11" fillId="3" fontId="8" numFmtId="0" xfId="0" applyAlignment="1" applyBorder="1" applyFont="1">
      <alignment horizontal="center" readingOrder="0" shrinkToFit="0" vertical="center" wrapText="1"/>
    </xf>
    <xf borderId="2" fillId="0" fontId="6" numFmtId="0" xfId="0" applyAlignment="1" applyBorder="1" applyFont="1">
      <alignment horizontal="center"/>
    </xf>
    <xf borderId="2" fillId="0" fontId="6" numFmtId="0" xfId="0" applyAlignment="1" applyBorder="1" applyFont="1">
      <alignment horizontal="left"/>
    </xf>
    <xf borderId="0" fillId="0" fontId="6" numFmtId="9" xfId="0" applyAlignment="1" applyFont="1" applyNumberFormat="1">
      <alignment horizontal="center"/>
    </xf>
    <xf borderId="2" fillId="0" fontId="6" numFmtId="9" xfId="0" applyAlignment="1" applyBorder="1" applyFont="1" applyNumberFormat="1">
      <alignment horizontal="center"/>
    </xf>
    <xf borderId="0" fillId="0" fontId="6" numFmtId="1" xfId="0" applyAlignment="1" applyFont="1" applyNumberFormat="1">
      <alignment horizontal="center"/>
    </xf>
    <xf borderId="2" fillId="0" fontId="6" numFmtId="1" xfId="0" applyAlignment="1" applyBorder="1" applyFont="1" applyNumberFormat="1">
      <alignment horizontal="center"/>
    </xf>
    <xf borderId="12" fillId="10" fontId="6" numFmtId="1" xfId="0" applyAlignment="1" applyBorder="1" applyFont="1" applyNumberFormat="1">
      <alignment horizontal="center"/>
    </xf>
    <xf borderId="0" fillId="7" fontId="12" numFmtId="3" xfId="0" applyAlignment="1" applyFont="1" applyNumberFormat="1">
      <alignment horizontal="center" vertical="bottom"/>
    </xf>
    <xf borderId="0" fillId="9" fontId="6" numFmtId="0" xfId="0" applyAlignment="1" applyFont="1">
      <alignment horizontal="center"/>
    </xf>
    <xf borderId="13" fillId="0" fontId="6" numFmtId="0" xfId="0" applyAlignment="1" applyBorder="1" applyFont="1">
      <alignment horizontal="center"/>
    </xf>
    <xf borderId="13" fillId="0" fontId="6" numFmtId="0" xfId="0" applyAlignment="1" applyBorder="1" applyFont="1">
      <alignment horizontal="left"/>
    </xf>
    <xf borderId="8" fillId="0" fontId="6" numFmtId="0" xfId="0" applyAlignment="1" applyBorder="1" applyFont="1">
      <alignment horizontal="center"/>
    </xf>
    <xf borderId="13" fillId="0" fontId="6" numFmtId="3" xfId="0" applyAlignment="1" applyBorder="1" applyFont="1" applyNumberFormat="1">
      <alignment horizontal="center"/>
    </xf>
    <xf borderId="8" fillId="0" fontId="6" numFmtId="3" xfId="0" applyAlignment="1" applyBorder="1" applyFont="1" applyNumberFormat="1">
      <alignment horizontal="center"/>
    </xf>
    <xf borderId="8" fillId="0" fontId="6" numFmtId="9" xfId="0" applyAlignment="1" applyBorder="1" applyFont="1" applyNumberFormat="1">
      <alignment horizontal="center"/>
    </xf>
    <xf borderId="13" fillId="0" fontId="6" numFmtId="9" xfId="0" applyAlignment="1" applyBorder="1" applyFont="1" applyNumberFormat="1">
      <alignment horizontal="center"/>
    </xf>
    <xf borderId="8" fillId="0" fontId="6" numFmtId="1" xfId="0" applyAlignment="1" applyBorder="1" applyFont="1" applyNumberFormat="1">
      <alignment horizontal="center"/>
    </xf>
    <xf borderId="13" fillId="0" fontId="6" numFmtId="1" xfId="0" applyAlignment="1" applyBorder="1" applyFont="1" applyNumberFormat="1">
      <alignment horizontal="center"/>
    </xf>
    <xf borderId="14" fillId="10" fontId="6" numFmtId="1" xfId="0" applyAlignment="1" applyBorder="1" applyFont="1" applyNumberFormat="1">
      <alignment horizontal="center"/>
    </xf>
    <xf borderId="8" fillId="7" fontId="12" numFmtId="3" xfId="0" applyAlignment="1" applyBorder="1" applyFont="1" applyNumberFormat="1">
      <alignment horizontal="center" vertical="bottom"/>
    </xf>
    <xf borderId="8" fillId="9" fontId="6" numFmtId="0" xfId="0" applyAlignment="1" applyBorder="1" applyFont="1">
      <alignment horizontal="center"/>
    </xf>
    <xf borderId="8" fillId="9" fontId="6" numFmtId="0" xfId="0" applyAlignment="1" applyBorder="1" applyFont="1">
      <alignment horizontal="center" readingOrder="0"/>
    </xf>
    <xf borderId="0" fillId="9" fontId="6" numFmtId="0" xfId="0" applyAlignment="1" applyFont="1">
      <alignment horizontal="center" readingOrder="0"/>
    </xf>
    <xf borderId="2" fillId="9" fontId="6" numFmtId="0" xfId="0" applyAlignment="1" applyBorder="1" applyFont="1">
      <alignment horizontal="left"/>
    </xf>
    <xf borderId="5" fillId="0" fontId="6" numFmtId="0" xfId="0" applyAlignment="1" applyBorder="1" applyFont="1">
      <alignment horizontal="center"/>
    </xf>
    <xf borderId="5" fillId="0" fontId="6" numFmtId="0" xfId="0" applyAlignment="1" applyBorder="1" applyFont="1">
      <alignment horizontal="left"/>
    </xf>
    <xf borderId="4" fillId="0" fontId="6" numFmtId="9" xfId="0" applyAlignment="1" applyBorder="1" applyFont="1" applyNumberFormat="1">
      <alignment horizontal="center"/>
    </xf>
    <xf borderId="5" fillId="0" fontId="6" numFmtId="9" xfId="0" applyAlignment="1" applyBorder="1" applyFont="1" applyNumberFormat="1">
      <alignment horizontal="center"/>
    </xf>
    <xf borderId="4" fillId="0" fontId="6" numFmtId="1" xfId="0" applyAlignment="1" applyBorder="1" applyFont="1" applyNumberFormat="1">
      <alignment horizontal="center"/>
    </xf>
    <xf borderId="5" fillId="0" fontId="6" numFmtId="1" xfId="0" applyAlignment="1" applyBorder="1" applyFont="1" applyNumberFormat="1">
      <alignment horizontal="center"/>
    </xf>
    <xf borderId="15" fillId="10" fontId="6" numFmtId="1" xfId="0" applyAlignment="1" applyBorder="1" applyFont="1" applyNumberFormat="1">
      <alignment horizontal="center"/>
    </xf>
    <xf borderId="4" fillId="9" fontId="6" numFmtId="0" xfId="0" applyAlignment="1" applyBorder="1" applyFont="1">
      <alignment horizontal="center"/>
    </xf>
    <xf borderId="12" fillId="0" fontId="6" numFmtId="1" xfId="0" applyAlignment="1" applyBorder="1" applyFont="1" applyNumberFormat="1">
      <alignment horizontal="center"/>
    </xf>
    <xf borderId="11" fillId="0" fontId="6" numFmtId="1" xfId="0" applyAlignment="1" applyBorder="1" applyFont="1" applyNumberFormat="1">
      <alignment horizontal="center"/>
    </xf>
    <xf borderId="16" fillId="0" fontId="6" numFmtId="1" xfId="0" applyAlignment="1" applyBorder="1" applyFont="1" applyNumberFormat="1">
      <alignment horizontal="center"/>
    </xf>
    <xf borderId="0" fillId="0" fontId="15" numFmtId="3" xfId="0" applyAlignment="1" applyFont="1" applyNumberFormat="1">
      <alignment readingOrder="0"/>
    </xf>
    <xf borderId="9" fillId="0" fontId="12" numFmtId="3" xfId="0" applyAlignment="1" applyBorder="1" applyFont="1" applyNumberFormat="1">
      <alignment readingOrder="0"/>
    </xf>
    <xf borderId="0" fillId="0" fontId="12" numFmtId="0" xfId="0" applyFont="1"/>
    <xf borderId="0" fillId="0" fontId="12" numFmtId="3" xfId="0" applyFont="1" applyNumberFormat="1"/>
    <xf borderId="0" fillId="0" fontId="16" numFmtId="3" xfId="0" applyAlignment="1" applyFont="1" applyNumberFormat="1">
      <alignment horizontal="center" readingOrder="0"/>
    </xf>
    <xf borderId="0" fillId="6" fontId="8" numFmtId="3" xfId="0" applyAlignment="1" applyFont="1" applyNumberFormat="1">
      <alignment horizontal="center" shrinkToFit="0" wrapText="1"/>
    </xf>
    <xf borderId="0" fillId="19" fontId="8" numFmtId="3" xfId="0" applyAlignment="1" applyFont="1" applyNumberFormat="1">
      <alignment horizontal="center" shrinkToFit="0" wrapText="1"/>
    </xf>
    <xf borderId="0" fillId="3" fontId="8" numFmtId="3" xfId="0" applyAlignment="1" applyFont="1" applyNumberFormat="1">
      <alignment horizontal="center" shrinkToFit="0" wrapText="1"/>
    </xf>
    <xf borderId="9" fillId="3" fontId="8" numFmtId="3" xfId="0" applyAlignment="1" applyBorder="1" applyFont="1" applyNumberFormat="1">
      <alignment horizontal="center" readingOrder="0" shrinkToFit="0" wrapText="1"/>
    </xf>
    <xf borderId="4" fillId="3" fontId="8" numFmtId="0" xfId="0" applyAlignment="1" applyBorder="1" applyFont="1">
      <alignment horizontal="center"/>
    </xf>
    <xf borderId="3" fillId="3" fontId="8" numFmtId="3" xfId="0" applyAlignment="1" applyBorder="1" applyFont="1" applyNumberFormat="1">
      <alignment horizontal="center" shrinkToFit="0" wrapText="1"/>
    </xf>
    <xf borderId="4" fillId="3" fontId="8" numFmtId="3" xfId="0" applyAlignment="1" applyBorder="1" applyFont="1" applyNumberFormat="1">
      <alignment horizontal="center" shrinkToFit="0" wrapText="1"/>
    </xf>
    <xf borderId="5" fillId="3" fontId="8" numFmtId="3" xfId="0" applyAlignment="1" applyBorder="1" applyFont="1" applyNumberFormat="1">
      <alignment horizontal="center" shrinkToFit="0" wrapText="1"/>
    </xf>
    <xf borderId="0" fillId="12" fontId="5" numFmtId="3" xfId="0" applyAlignment="1" applyFont="1" applyNumberFormat="1">
      <alignment horizontal="center" shrinkToFit="0" wrapText="1"/>
    </xf>
    <xf borderId="0" fillId="18" fontId="5" numFmtId="3" xfId="0" applyAlignment="1" applyFont="1" applyNumberFormat="1">
      <alignment horizontal="center" shrinkToFit="0" wrapText="1"/>
    </xf>
    <xf borderId="2" fillId="10" fontId="5" numFmtId="3" xfId="0" applyAlignment="1" applyBorder="1" applyFont="1" applyNumberFormat="1">
      <alignment horizontal="center" shrinkToFit="0" wrapText="1"/>
    </xf>
    <xf borderId="4" fillId="0" fontId="5" numFmtId="3" xfId="0" applyAlignment="1" applyBorder="1" applyFont="1" applyNumberFormat="1">
      <alignment horizontal="center" shrinkToFit="0" wrapText="1"/>
    </xf>
    <xf borderId="5" fillId="0" fontId="5" numFmtId="3" xfId="0" applyAlignment="1" applyBorder="1" applyFont="1" applyNumberFormat="1">
      <alignment horizontal="center" shrinkToFit="0" wrapText="1"/>
    </xf>
    <xf borderId="17" fillId="0" fontId="12" numFmtId="0" xfId="0" applyAlignment="1" applyBorder="1" applyFont="1">
      <alignment vertical="bottom"/>
    </xf>
    <xf borderId="9" fillId="0" fontId="12" numFmtId="0" xfId="0" applyAlignment="1" applyBorder="1" applyFont="1">
      <alignment vertical="bottom"/>
    </xf>
    <xf borderId="1" fillId="0" fontId="12" numFmtId="0" xfId="0" applyAlignment="1" applyBorder="1" applyFont="1">
      <alignment horizontal="center" vertical="bottom"/>
    </xf>
    <xf borderId="2" fillId="0" fontId="12" numFmtId="0" xfId="0" applyAlignment="1" applyBorder="1" applyFont="1">
      <alignment horizontal="center" vertical="bottom"/>
    </xf>
    <xf borderId="0" fillId="5" fontId="12" numFmtId="3" xfId="0" applyAlignment="1" applyFont="1" applyNumberFormat="1">
      <alignment horizontal="center" vertical="bottom"/>
    </xf>
    <xf borderId="2" fillId="5" fontId="12" numFmtId="3" xfId="0" applyAlignment="1" applyBorder="1" applyFont="1" applyNumberFormat="1">
      <alignment horizontal="center" vertical="bottom"/>
    </xf>
    <xf borderId="17" fillId="0" fontId="12" numFmtId="3" xfId="0" applyAlignment="1" applyBorder="1" applyFont="1" applyNumberFormat="1">
      <alignment horizontal="center" vertical="bottom"/>
    </xf>
    <xf borderId="8" fillId="0" fontId="12" numFmtId="3" xfId="0" applyAlignment="1" applyBorder="1" applyFont="1" applyNumberFormat="1">
      <alignment horizontal="center" vertical="bottom"/>
    </xf>
    <xf borderId="13" fillId="0" fontId="12" numFmtId="3" xfId="0" applyAlignment="1" applyBorder="1" applyFont="1" applyNumberFormat="1">
      <alignment horizontal="center" vertical="bottom"/>
    </xf>
    <xf borderId="8" fillId="9" fontId="12" numFmtId="9" xfId="0" applyAlignment="1" applyBorder="1" applyFont="1" applyNumberFormat="1">
      <alignment horizontal="center" vertical="bottom"/>
    </xf>
    <xf borderId="13" fillId="9" fontId="12" numFmtId="9" xfId="0" applyAlignment="1" applyBorder="1" applyFont="1" applyNumberFormat="1">
      <alignment horizontal="center" vertical="bottom"/>
    </xf>
    <xf borderId="17" fillId="0" fontId="12" numFmtId="0" xfId="0" applyAlignment="1" applyBorder="1" applyFont="1">
      <alignment horizontal="center" vertical="bottom"/>
    </xf>
    <xf borderId="8" fillId="0" fontId="12" numFmtId="1" xfId="0" applyAlignment="1" applyBorder="1" applyFont="1" applyNumberFormat="1">
      <alignment horizontal="center" vertical="bottom"/>
    </xf>
    <xf borderId="13" fillId="0" fontId="12" numFmtId="1" xfId="0" applyAlignment="1" applyBorder="1" applyFont="1" applyNumberFormat="1">
      <alignment horizontal="center" vertical="bottom"/>
    </xf>
    <xf borderId="1" fillId="0" fontId="12" numFmtId="0" xfId="0" applyAlignment="1" applyBorder="1" applyFont="1">
      <alignment vertical="bottom"/>
    </xf>
    <xf borderId="1" fillId="0" fontId="12" numFmtId="3" xfId="0" applyAlignment="1" applyBorder="1" applyFont="1" applyNumberFormat="1">
      <alignment horizontal="center" vertical="bottom"/>
    </xf>
    <xf borderId="0" fillId="0" fontId="12" numFmtId="3" xfId="0" applyAlignment="1" applyFont="1" applyNumberFormat="1">
      <alignment horizontal="center" vertical="bottom"/>
    </xf>
    <xf borderId="2" fillId="0" fontId="12" numFmtId="3" xfId="0" applyAlignment="1" applyBorder="1" applyFont="1" applyNumberFormat="1">
      <alignment horizontal="center" vertical="bottom"/>
    </xf>
    <xf borderId="0" fillId="9" fontId="12" numFmtId="9" xfId="0" applyAlignment="1" applyFont="1" applyNumberFormat="1">
      <alignment horizontal="center" vertical="bottom"/>
    </xf>
    <xf borderId="2" fillId="9" fontId="12" numFmtId="9" xfId="0" applyAlignment="1" applyBorder="1" applyFont="1" applyNumberFormat="1">
      <alignment horizontal="center" vertical="bottom"/>
    </xf>
    <xf borderId="0" fillId="0" fontId="12" numFmtId="1" xfId="0" applyAlignment="1" applyFont="1" applyNumberFormat="1">
      <alignment horizontal="center" vertical="bottom"/>
    </xf>
    <xf borderId="2" fillId="0" fontId="12" numFmtId="1" xfId="0" applyAlignment="1" applyBorder="1" applyFont="1" applyNumberFormat="1">
      <alignment horizontal="center" vertical="bottom"/>
    </xf>
    <xf borderId="3" fillId="0" fontId="12" numFmtId="0" xfId="0" applyAlignment="1" applyBorder="1" applyFont="1">
      <alignment vertical="bottom"/>
    </xf>
    <xf borderId="6" fillId="0" fontId="12" numFmtId="0" xfId="0" applyAlignment="1" applyBorder="1" applyFont="1">
      <alignment vertical="bottom"/>
    </xf>
    <xf borderId="4" fillId="0" fontId="12" numFmtId="0" xfId="0" applyAlignment="1" applyBorder="1" applyFont="1">
      <alignment vertical="bottom"/>
    </xf>
    <xf borderId="4" fillId="0" fontId="12" numFmtId="0" xfId="0" applyAlignment="1" applyBorder="1" applyFont="1">
      <alignment horizontal="center" vertical="bottom"/>
    </xf>
    <xf borderId="3" fillId="0" fontId="12" numFmtId="0" xfId="0" applyAlignment="1" applyBorder="1" applyFont="1">
      <alignment horizontal="center" vertical="bottom"/>
    </xf>
    <xf borderId="5" fillId="0" fontId="12" numFmtId="0" xfId="0" applyAlignment="1" applyBorder="1" applyFont="1">
      <alignment horizontal="center" vertical="bottom"/>
    </xf>
    <xf borderId="4" fillId="5" fontId="12" numFmtId="3" xfId="0" applyAlignment="1" applyBorder="1" applyFont="1" applyNumberFormat="1">
      <alignment horizontal="center" vertical="bottom"/>
    </xf>
    <xf borderId="5" fillId="5" fontId="12" numFmtId="3" xfId="0" applyAlignment="1" applyBorder="1" applyFont="1" applyNumberFormat="1">
      <alignment horizontal="center" vertical="bottom"/>
    </xf>
    <xf borderId="4" fillId="0" fontId="12" numFmtId="3" xfId="0" applyAlignment="1" applyBorder="1" applyFont="1" applyNumberFormat="1">
      <alignment horizontal="center" vertical="bottom"/>
    </xf>
    <xf borderId="3" fillId="0" fontId="12" numFmtId="3" xfId="0" applyAlignment="1" applyBorder="1" applyFont="1" applyNumberFormat="1">
      <alignment horizontal="center" vertical="bottom"/>
    </xf>
    <xf borderId="5" fillId="0" fontId="12" numFmtId="3" xfId="0" applyAlignment="1" applyBorder="1" applyFont="1" applyNumberFormat="1">
      <alignment horizontal="center" vertical="bottom"/>
    </xf>
    <xf borderId="4" fillId="9" fontId="12" numFmtId="9" xfId="0" applyAlignment="1" applyBorder="1" applyFont="1" applyNumberFormat="1">
      <alignment horizontal="center" vertical="bottom"/>
    </xf>
    <xf borderId="5" fillId="9" fontId="12" numFmtId="9" xfId="0" applyAlignment="1" applyBorder="1" applyFont="1" applyNumberFormat="1">
      <alignment horizontal="center" vertical="bottom"/>
    </xf>
    <xf borderId="4" fillId="0" fontId="12" numFmtId="1" xfId="0" applyAlignment="1" applyBorder="1" applyFont="1" applyNumberFormat="1">
      <alignment horizontal="center" vertical="bottom"/>
    </xf>
    <xf borderId="5" fillId="0" fontId="12" numFmtId="1" xfId="0" applyAlignment="1" applyBorder="1" applyFont="1" applyNumberFormat="1">
      <alignment horizontal="center" vertical="bottom"/>
    </xf>
    <xf borderId="17" fillId="5" fontId="12" numFmtId="9" xfId="0" applyAlignment="1" applyBorder="1" applyFont="1" applyNumberFormat="1">
      <alignment horizontal="center" readingOrder="0" vertical="bottom"/>
    </xf>
    <xf borderId="8" fillId="5" fontId="12" numFmtId="9" xfId="0" applyAlignment="1" applyBorder="1" applyFont="1" applyNumberFormat="1">
      <alignment horizontal="center" readingOrder="0" vertical="bottom"/>
    </xf>
    <xf borderId="13" fillId="5" fontId="12" numFmtId="9" xfId="0" applyAlignment="1" applyBorder="1" applyFont="1" applyNumberFormat="1">
      <alignment horizontal="center" readingOrder="0" vertical="bottom"/>
    </xf>
    <xf borderId="1" fillId="5" fontId="12" numFmtId="9" xfId="0" applyAlignment="1" applyBorder="1" applyFont="1" applyNumberFormat="1">
      <alignment horizontal="center" readingOrder="0" vertical="bottom"/>
    </xf>
    <xf borderId="0" fillId="5" fontId="12" numFmtId="9" xfId="0" applyAlignment="1" applyFont="1" applyNumberFormat="1">
      <alignment horizontal="center" readingOrder="0" vertical="bottom"/>
    </xf>
    <xf borderId="2" fillId="5" fontId="12" numFmtId="9" xfId="0" applyAlignment="1" applyBorder="1" applyFont="1" applyNumberFormat="1">
      <alignment horizontal="center" readingOrder="0" vertical="bottom"/>
    </xf>
    <xf borderId="1" fillId="0" fontId="12" numFmtId="9" xfId="0" applyAlignment="1" applyBorder="1" applyFont="1" applyNumberFormat="1">
      <alignment horizontal="center" readingOrder="0" vertical="bottom"/>
    </xf>
    <xf borderId="0" fillId="0" fontId="12" numFmtId="9" xfId="0" applyAlignment="1" applyFont="1" applyNumberFormat="1">
      <alignment horizontal="center" readingOrder="0" vertical="bottom"/>
    </xf>
    <xf borderId="3" fillId="0" fontId="12" numFmtId="9" xfId="0" applyAlignment="1" applyBorder="1" applyFont="1" applyNumberFormat="1">
      <alignment horizontal="center" readingOrder="0" vertical="bottom"/>
    </xf>
    <xf borderId="4" fillId="0" fontId="12" numFmtId="9" xfId="0" applyAlignment="1" applyBorder="1" applyFont="1" applyNumberFormat="1">
      <alignment horizontal="center" readingOrder="0" vertical="bottom"/>
    </xf>
    <xf borderId="3" fillId="5" fontId="12" numFmtId="9" xfId="0" applyAlignment="1" applyBorder="1" applyFont="1" applyNumberFormat="1">
      <alignment horizontal="center" readingOrder="0" vertical="bottom"/>
    </xf>
    <xf borderId="4" fillId="5" fontId="12" numFmtId="9" xfId="0" applyAlignment="1" applyBorder="1" applyFont="1" applyNumberFormat="1">
      <alignment horizontal="center" readingOrder="0" vertical="bottom"/>
    </xf>
    <xf borderId="5" fillId="5" fontId="12" numFmtId="9" xfId="0" applyAlignment="1" applyBorder="1" applyFont="1" applyNumberFormat="1">
      <alignment horizontal="center" readingOrder="0" vertical="bottom"/>
    </xf>
    <xf borderId="17" fillId="5" fontId="12" numFmtId="3" xfId="0" applyAlignment="1" applyBorder="1" applyFont="1" applyNumberFormat="1">
      <alignment horizontal="center" vertical="bottom"/>
    </xf>
    <xf borderId="8" fillId="5" fontId="12" numFmtId="3" xfId="0" applyAlignment="1" applyBorder="1" applyFont="1" applyNumberFormat="1">
      <alignment horizontal="center" vertical="bottom"/>
    </xf>
    <xf borderId="13" fillId="5" fontId="12" numFmtId="3" xfId="0" applyAlignment="1" applyBorder="1" applyFont="1" applyNumberFormat="1">
      <alignment horizontal="center" vertical="bottom"/>
    </xf>
    <xf borderId="1" fillId="5" fontId="12" numFmtId="3" xfId="0" applyAlignment="1" applyBorder="1" applyFont="1" applyNumberFormat="1">
      <alignment horizontal="center" vertical="bottom"/>
    </xf>
    <xf borderId="3" fillId="5" fontId="12" numFmtId="3" xfId="0" applyAlignment="1" applyBorder="1" applyFont="1" applyNumberFormat="1">
      <alignment horizontal="center" vertical="bottom"/>
    </xf>
    <xf borderId="13" fillId="0" fontId="12" numFmtId="0" xfId="0" applyAlignment="1" applyBorder="1" applyFont="1">
      <alignment horizontal="center" readingOrder="0" vertical="bottom"/>
    </xf>
    <xf borderId="17" fillId="0" fontId="6" numFmtId="3" xfId="0" applyAlignment="1" applyBorder="1" applyFont="1" applyNumberFormat="1">
      <alignment horizontal="center"/>
    </xf>
    <xf borderId="18" fillId="0" fontId="6" numFmtId="3" xfId="0" applyAlignment="1" applyBorder="1" applyFont="1" applyNumberFormat="1">
      <alignment horizontal="center"/>
    </xf>
    <xf borderId="2" fillId="0" fontId="12" numFmtId="0" xfId="0" applyAlignment="1" applyBorder="1" applyFont="1">
      <alignment horizontal="center" readingOrder="0" vertical="bottom"/>
    </xf>
    <xf borderId="9" fillId="0" fontId="6" numFmtId="3" xfId="0" applyAlignment="1" applyBorder="1" applyFont="1" applyNumberFormat="1">
      <alignment horizontal="center"/>
    </xf>
    <xf borderId="5" fillId="0" fontId="12" numFmtId="0" xfId="0" applyAlignment="1" applyBorder="1" applyFont="1">
      <alignment horizontal="center" readingOrder="0" vertical="bottom"/>
    </xf>
    <xf borderId="6" fillId="0" fontId="6" numFmtId="3" xfId="0" applyAlignment="1" applyBorder="1" applyFont="1" applyNumberFormat="1">
      <alignment horizontal="center"/>
    </xf>
    <xf borderId="9" fillId="0" fontId="6" numFmtId="0" xfId="0" applyBorder="1" applyFont="1"/>
    <xf borderId="0" fillId="0" fontId="6" numFmtId="0" xfId="0" applyAlignment="1" applyFont="1">
      <alignment horizontal="center" readingOrder="0"/>
    </xf>
    <xf borderId="0" fillId="0" fontId="6" numFmtId="0" xfId="0" applyFont="1"/>
    <xf borderId="0" fillId="0" fontId="6" numFmtId="3" xfId="0" applyAlignment="1" applyFont="1" applyNumberFormat="1">
      <alignment horizontal="center" readingOrder="0"/>
    </xf>
    <xf borderId="0" fillId="9" fontId="6" numFmtId="3" xfId="0" applyAlignment="1" applyFont="1" applyNumberFormat="1">
      <alignment horizontal="center" readingOrder="0"/>
    </xf>
    <xf borderId="0" fillId="0" fontId="6" numFmtId="3" xfId="0" applyFont="1" applyNumberFormat="1"/>
    <xf borderId="0" fillId="0" fontId="6" numFmtId="4" xfId="0" applyFont="1" applyNumberFormat="1"/>
    <xf borderId="0" fillId="0" fontId="6" numFmtId="9" xfId="0" applyFont="1" applyNumberFormat="1"/>
    <xf borderId="0" fillId="0" fontId="6" numFmtId="10" xfId="0" applyFont="1" applyNumberFormat="1"/>
    <xf borderId="0" fillId="0" fontId="17" numFmtId="0" xfId="0" applyAlignment="1" applyFont="1">
      <alignment horizontal="left" readingOrder="0" vertical="center"/>
    </xf>
    <xf borderId="0" fillId="0" fontId="11" numFmtId="3" xfId="0" applyAlignment="1" applyFont="1" applyNumberFormat="1">
      <alignment horizontal="center" readingOrder="0" vertical="center"/>
    </xf>
    <xf borderId="0" fillId="0" fontId="8" numFmtId="0" xfId="0" applyAlignment="1" applyFont="1">
      <alignment horizontal="center" readingOrder="0" vertical="center"/>
    </xf>
    <xf borderId="0" fillId="0" fontId="18" numFmtId="0" xfId="0" applyAlignment="1" applyFont="1">
      <alignment horizontal="center" readingOrder="0" vertical="center"/>
    </xf>
    <xf borderId="0" fillId="0" fontId="19" numFmtId="0" xfId="0" applyAlignment="1" applyFont="1">
      <alignment horizontal="left" readingOrder="0" vertical="center"/>
    </xf>
    <xf borderId="7" fillId="3" fontId="8" numFmtId="0" xfId="0" applyAlignment="1" applyBorder="1" applyFont="1">
      <alignment horizontal="left" readingOrder="0" vertical="center"/>
    </xf>
    <xf borderId="7" fillId="17" fontId="8" numFmtId="0" xfId="0" applyAlignment="1" applyBorder="1" applyFont="1">
      <alignment horizontal="center" readingOrder="0" vertical="center"/>
    </xf>
    <xf borderId="0" fillId="0" fontId="6" numFmtId="0" xfId="0" applyAlignment="1" applyFont="1">
      <alignment horizontal="left"/>
    </xf>
    <xf borderId="0" fillId="0" fontId="6" numFmtId="0" xfId="0" applyAlignment="1" applyFont="1">
      <alignment horizontal="left" readingOrder="0"/>
    </xf>
    <xf borderId="0" fillId="10" fontId="6" numFmtId="0" xfId="0" applyAlignment="1" applyFont="1">
      <alignment horizontal="left" readingOrder="0"/>
    </xf>
    <xf borderId="0" fillId="10" fontId="6" numFmtId="0" xfId="0" applyAlignment="1" applyFont="1">
      <alignment horizontal="center"/>
    </xf>
    <xf borderId="0" fillId="0" fontId="6" numFmtId="0" xfId="0" applyAlignment="1" applyFont="1">
      <alignment readingOrder="0"/>
    </xf>
    <xf borderId="0" fillId="0" fontId="6" numFmtId="165" xfId="0" applyAlignment="1" applyFont="1" applyNumberFormat="1">
      <alignment horizontal="center"/>
    </xf>
    <xf borderId="0" fillId="0" fontId="6" numFmtId="165" xfId="0" applyAlignment="1" applyFont="1" applyNumberFormat="1">
      <alignment horizontal="center" readingOrder="0"/>
    </xf>
    <xf borderId="0" fillId="0" fontId="6" numFmtId="165" xfId="0" applyAlignment="1" applyFont="1" applyNumberFormat="1">
      <alignment horizontal="center"/>
    </xf>
    <xf borderId="0" fillId="0" fontId="6" numFmtId="166" xfId="0" applyAlignment="1" applyFont="1" applyNumberFormat="1">
      <alignment readingOrder="0"/>
    </xf>
    <xf borderId="0" fillId="0" fontId="6" numFmtId="167" xfId="0" applyFont="1" applyNumberFormat="1"/>
    <xf borderId="0" fillId="0" fontId="6" numFmtId="168" xfId="0" applyFont="1" applyNumberFormat="1"/>
    <xf borderId="19" fillId="0" fontId="20" numFmtId="0" xfId="0" applyAlignment="1" applyBorder="1" applyFont="1">
      <alignment horizontal="center" readingOrder="0" vertical="top"/>
    </xf>
    <xf borderId="0" fillId="0" fontId="21" numFmtId="0" xfId="0" applyAlignment="1" applyFont="1">
      <alignment horizontal="center" readingOrder="0" vertical="top"/>
    </xf>
    <xf borderId="0" fillId="0" fontId="22" numFmtId="0" xfId="0" applyAlignment="1" applyFont="1">
      <alignment horizontal="center"/>
    </xf>
    <xf borderId="0" fillId="0" fontId="3" numFmtId="0" xfId="0" applyAlignment="1" applyFont="1">
      <alignment horizontal="center"/>
    </xf>
    <xf borderId="0" fillId="2" fontId="1" numFmtId="0" xfId="0" applyAlignment="1" applyFont="1">
      <alignment horizontal="center"/>
    </xf>
    <xf borderId="0" fillId="17" fontId="1" numFmtId="0" xfId="0" applyAlignment="1" applyFont="1">
      <alignment horizontal="center"/>
    </xf>
    <xf borderId="0" fillId="3" fontId="1" numFmtId="0" xfId="0" applyAlignment="1" applyFont="1">
      <alignment horizontal="center"/>
    </xf>
    <xf borderId="0" fillId="3" fontId="14" numFmtId="0" xfId="0" applyAlignment="1" applyFont="1">
      <alignment horizontal="center" readingOrder="0" vertical="bottom"/>
    </xf>
    <xf borderId="20" fillId="3" fontId="14" numFmtId="0" xfId="0" applyAlignment="1" applyBorder="1" applyFont="1">
      <alignment horizontal="center" readingOrder="0" vertical="bottom"/>
    </xf>
    <xf borderId="0" fillId="12" fontId="23" numFmtId="10" xfId="0" applyAlignment="1" applyFont="1" applyNumberFormat="1">
      <alignment horizontal="center" readingOrder="0" vertical="bottom"/>
    </xf>
    <xf borderId="0" fillId="20" fontId="24" numFmtId="10" xfId="0" applyAlignment="1" applyFill="1" applyFont="1" applyNumberFormat="1">
      <alignment horizontal="center" readingOrder="0" vertical="bottom"/>
    </xf>
    <xf borderId="0" fillId="0" fontId="3" numFmtId="0" xfId="0" applyAlignment="1" applyFont="1">
      <alignment readingOrder="0"/>
    </xf>
    <xf borderId="0" fillId="3" fontId="6" numFmtId="0" xfId="0" applyFont="1"/>
    <xf borderId="0" fillId="3" fontId="6" numFmtId="0" xfId="0" applyAlignment="1" applyFont="1">
      <alignment horizontal="center"/>
    </xf>
    <xf borderId="0" fillId="0" fontId="6" numFmtId="10" xfId="0" applyAlignment="1" applyFont="1" applyNumberFormat="1">
      <alignment horizontal="center"/>
    </xf>
    <xf borderId="0" fillId="21" fontId="25" numFmtId="0" xfId="0" applyAlignment="1" applyFill="1" applyFont="1">
      <alignment readingOrder="0"/>
    </xf>
    <xf borderId="0" fillId="21" fontId="26" numFmtId="0" xfId="0" applyAlignment="1" applyFont="1">
      <alignment horizontal="center"/>
    </xf>
    <xf borderId="0" fillId="21" fontId="25" numFmtId="0" xfId="0" applyAlignment="1" applyFont="1">
      <alignment horizontal="center"/>
    </xf>
    <xf borderId="8" fillId="0" fontId="3" numFmtId="0" xfId="0" applyAlignment="1" applyBorder="1" applyFont="1">
      <alignment readingOrder="0"/>
    </xf>
    <xf borderId="8" fillId="0" fontId="3" numFmtId="0" xfId="0" applyAlignment="1" applyBorder="1" applyFont="1">
      <alignment horizontal="center"/>
    </xf>
    <xf borderId="0" fillId="6" fontId="1" numFmtId="0" xfId="0" applyAlignment="1" applyFont="1">
      <alignment readingOrder="0"/>
    </xf>
    <xf borderId="0" fillId="6" fontId="1" numFmtId="0" xfId="0" applyAlignment="1" applyFont="1">
      <alignment horizontal="center"/>
    </xf>
    <xf borderId="0" fillId="22" fontId="1" numFmtId="0" xfId="0" applyAlignment="1" applyFill="1" applyFont="1">
      <alignment readingOrder="0"/>
    </xf>
    <xf borderId="0" fillId="22" fontId="1" numFmtId="0" xfId="0" applyAlignment="1" applyFont="1">
      <alignment horizontal="center"/>
    </xf>
    <xf borderId="0" fillId="0" fontId="6" numFmtId="169" xfId="0" applyFont="1" applyNumberFormat="1"/>
    <xf borderId="0" fillId="0" fontId="6" numFmtId="165" xfId="0" applyFont="1" applyNumberFormat="1"/>
    <xf borderId="0" fillId="0" fontId="6" numFmtId="2" xfId="0" applyFont="1" applyNumberFormat="1"/>
    <xf borderId="0" fillId="0" fontId="6" numFmtId="170" xfId="0" applyFont="1" applyNumberFormat="1"/>
    <xf borderId="0" fillId="0" fontId="6" numFmtId="1" xfId="0" applyFont="1" applyNumberFormat="1"/>
    <xf borderId="0" fillId="0" fontId="6" numFmtId="171" xfId="0" applyFont="1" applyNumberFormat="1"/>
    <xf borderId="0" fillId="0" fontId="6" numFmtId="49" xfId="0" applyFont="1" applyNumberFormat="1"/>
    <xf borderId="0" fillId="0" fontId="6" numFmtId="165" xfId="0" applyFont="1" applyNumberFormat="1"/>
    <xf borderId="21" fillId="3" fontId="11" numFmtId="0" xfId="0" applyAlignment="1" applyBorder="1" applyFont="1">
      <alignment horizontal="center" readingOrder="0" shrinkToFit="0" vertical="center" wrapText="1"/>
    </xf>
    <xf borderId="22" fillId="3" fontId="27" numFmtId="0" xfId="0" applyAlignment="1" applyBorder="1" applyFont="1">
      <alignment horizontal="left" readingOrder="0" shrinkToFit="0" vertical="top" wrapText="0"/>
    </xf>
    <xf borderId="23" fillId="3" fontId="27" numFmtId="0" xfId="0" applyAlignment="1" applyBorder="1" applyFont="1">
      <alignment horizontal="center" readingOrder="0" shrinkToFit="0" vertical="center" wrapText="0"/>
    </xf>
    <xf borderId="24" fillId="3" fontId="27" numFmtId="0" xfId="0" applyAlignment="1" applyBorder="1" applyFont="1">
      <alignment horizontal="left" readingOrder="0" shrinkToFit="0" vertical="top" wrapText="0"/>
    </xf>
    <xf borderId="24" fillId="3" fontId="28" numFmtId="0" xfId="0" applyAlignment="1" applyBorder="1" applyFont="1">
      <alignment horizontal="left" readingOrder="0" shrinkToFit="0" vertical="top" wrapText="0"/>
    </xf>
    <xf borderId="23" fillId="3" fontId="28" numFmtId="0" xfId="0" applyAlignment="1" applyBorder="1" applyFont="1">
      <alignment horizontal="left" readingOrder="0" shrinkToFit="0" vertical="top" wrapText="0"/>
    </xf>
    <xf borderId="23" fillId="3" fontId="28" numFmtId="2" xfId="0" applyAlignment="1" applyBorder="1" applyFont="1" applyNumberFormat="1">
      <alignment horizontal="left" readingOrder="0" shrinkToFit="0" vertical="top" wrapText="0"/>
    </xf>
    <xf borderId="25" fillId="3" fontId="28" numFmtId="0" xfId="0" applyAlignment="1" applyBorder="1" applyFont="1">
      <alignment horizontal="left" readingOrder="0" shrinkToFit="0" vertical="top" wrapText="0"/>
    </xf>
    <xf borderId="21" fillId="0" fontId="5" numFmtId="0" xfId="0" applyAlignment="1" applyBorder="1" applyFont="1">
      <alignment horizontal="center" shrinkToFit="0" wrapText="1"/>
    </xf>
    <xf borderId="26" fillId="17" fontId="12" numFmtId="0" xfId="0" applyBorder="1" applyFont="1"/>
    <xf borderId="27" fillId="17" fontId="12" numFmtId="0" xfId="0" applyBorder="1" applyFont="1"/>
    <xf borderId="21" fillId="17" fontId="12" numFmtId="0" xfId="0" applyBorder="1" applyFont="1"/>
    <xf borderId="21" fillId="0" fontId="12" numFmtId="0" xfId="0" applyBorder="1" applyFont="1"/>
    <xf borderId="28" fillId="0" fontId="5" numFmtId="0" xfId="0" applyAlignment="1" applyBorder="1" applyFont="1">
      <alignment horizontal="center" shrinkToFit="0" wrapText="1"/>
    </xf>
    <xf borderId="27" fillId="0" fontId="2" numFmtId="0" xfId="0" applyBorder="1" applyFont="1"/>
    <xf borderId="27" fillId="0" fontId="5" numFmtId="0" xfId="0" applyAlignment="1" applyBorder="1" applyFont="1">
      <alignment horizontal="center" shrinkToFit="0" wrapText="1"/>
    </xf>
    <xf borderId="29" fillId="0" fontId="5" numFmtId="0" xfId="0" applyAlignment="1" applyBorder="1" applyFont="1">
      <alignment horizontal="center" shrinkToFit="0" wrapText="1"/>
    </xf>
    <xf borderId="29" fillId="0" fontId="2" numFmtId="0" xfId="0" applyBorder="1" applyFont="1"/>
    <xf borderId="24" fillId="23" fontId="8" numFmtId="0" xfId="0" applyAlignment="1" applyBorder="1" applyFill="1" applyFont="1">
      <alignment horizontal="center" shrinkToFit="0" wrapText="1"/>
    </xf>
    <xf borderId="23" fillId="0" fontId="2" numFmtId="0" xfId="0" applyBorder="1" applyFont="1"/>
    <xf borderId="25" fillId="0" fontId="2" numFmtId="0" xfId="0" applyBorder="1" applyFont="1"/>
    <xf borderId="30" fillId="0" fontId="12" numFmtId="0" xfId="0" applyBorder="1" applyFont="1"/>
    <xf borderId="30" fillId="0" fontId="12" numFmtId="2" xfId="0" applyBorder="1" applyFont="1" applyNumberFormat="1"/>
    <xf borderId="21" fillId="3" fontId="12" numFmtId="0" xfId="0" applyAlignment="1" applyBorder="1" applyFont="1">
      <alignment vertical="bottom"/>
    </xf>
    <xf borderId="28" fillId="0" fontId="5" numFmtId="0" xfId="0" applyAlignment="1" applyBorder="1" applyFont="1">
      <alignment horizontal="center" shrinkToFit="0" wrapText="1"/>
    </xf>
    <xf borderId="21" fillId="3" fontId="12" numFmtId="0" xfId="0" applyAlignment="1" applyBorder="1" applyFont="1">
      <alignment vertical="bottom"/>
    </xf>
    <xf borderId="31" fillId="0" fontId="12" numFmtId="0" xfId="0" applyBorder="1" applyFont="1"/>
    <xf borderId="32" fillId="17" fontId="12" numFmtId="0" xfId="0" applyBorder="1" applyFont="1"/>
    <xf borderId="33" fillId="17" fontId="12" numFmtId="0" xfId="0" applyBorder="1" applyFont="1"/>
    <xf borderId="31" fillId="17" fontId="12" numFmtId="0" xfId="0" applyBorder="1" applyFont="1"/>
    <xf borderId="34" fillId="0" fontId="2" numFmtId="0" xfId="0" applyBorder="1" applyFont="1"/>
    <xf borderId="35" fillId="0" fontId="2" numFmtId="0" xfId="0" applyBorder="1" applyFont="1"/>
    <xf borderId="36" fillId="0" fontId="2" numFmtId="0" xfId="0" applyBorder="1" applyFont="1"/>
    <xf borderId="37" fillId="0" fontId="2" numFmtId="0" xfId="0" applyBorder="1" applyFont="1"/>
    <xf borderId="33" fillId="0" fontId="2" numFmtId="0" xfId="0" applyBorder="1" applyFont="1"/>
    <xf borderId="24" fillId="11" fontId="5" numFmtId="0" xfId="0" applyAlignment="1" applyBorder="1" applyFont="1">
      <alignment horizontal="center" shrinkToFit="0" wrapText="1"/>
    </xf>
    <xf borderId="24" fillId="24" fontId="5" numFmtId="0" xfId="0" applyAlignment="1" applyBorder="1" applyFill="1" applyFont="1">
      <alignment horizontal="center" shrinkToFit="0" wrapText="1"/>
    </xf>
    <xf borderId="38" fillId="0" fontId="2" numFmtId="0" xfId="0" applyBorder="1" applyFont="1"/>
    <xf borderId="38" fillId="0" fontId="12" numFmtId="0" xfId="0" applyBorder="1" applyFont="1"/>
    <xf borderId="26" fillId="17" fontId="8" numFmtId="0" xfId="0" applyAlignment="1" applyBorder="1" applyFont="1">
      <alignment horizontal="center" shrinkToFit="0" wrapText="1"/>
    </xf>
    <xf borderId="27" fillId="17" fontId="8" numFmtId="0" xfId="0" applyAlignment="1" applyBorder="1" applyFont="1">
      <alignment horizontal="center" shrinkToFit="0" wrapText="1"/>
    </xf>
    <xf borderId="21" fillId="17" fontId="8" numFmtId="0" xfId="0" applyAlignment="1" applyBorder="1" applyFont="1">
      <alignment horizontal="center" shrinkToFit="0" wrapText="1"/>
    </xf>
    <xf borderId="30" fillId="17" fontId="8" numFmtId="0" xfId="0" applyAlignment="1" applyBorder="1" applyFont="1">
      <alignment horizontal="center" shrinkToFit="0" wrapText="1"/>
    </xf>
    <xf borderId="30" fillId="0" fontId="5" numFmtId="0" xfId="0" applyAlignment="1" applyBorder="1" applyFont="1">
      <alignment horizontal="center" shrinkToFit="0" wrapText="1"/>
    </xf>
    <xf borderId="21" fillId="7" fontId="5" numFmtId="0" xfId="0" applyAlignment="1" applyBorder="1" applyFont="1">
      <alignment horizontal="center" shrinkToFit="0" wrapText="1"/>
    </xf>
    <xf borderId="30" fillId="7" fontId="5" numFmtId="0" xfId="0" applyAlignment="1" applyBorder="1" applyFont="1">
      <alignment horizontal="center" shrinkToFit="0" wrapText="1"/>
    </xf>
    <xf borderId="30" fillId="0" fontId="5" numFmtId="2" xfId="0" applyAlignment="1" applyBorder="1" applyFont="1" applyNumberFormat="1">
      <alignment horizontal="center" shrinkToFit="0" wrapText="1"/>
    </xf>
    <xf borderId="30" fillId="3" fontId="12" numFmtId="0" xfId="0" applyAlignment="1" applyBorder="1" applyFont="1">
      <alignment vertical="bottom"/>
    </xf>
    <xf borderId="30" fillId="25" fontId="8" numFmtId="0" xfId="0" applyAlignment="1" applyBorder="1" applyFill="1" applyFont="1">
      <alignment horizontal="center" shrinkToFit="0" wrapText="1"/>
    </xf>
    <xf borderId="21" fillId="25" fontId="8" numFmtId="0" xfId="0" applyAlignment="1" applyBorder="1" applyFont="1">
      <alignment horizontal="center" shrinkToFit="0" wrapText="1"/>
    </xf>
    <xf borderId="30" fillId="26" fontId="8" numFmtId="0" xfId="0" applyAlignment="1" applyBorder="1" applyFill="1" applyFont="1">
      <alignment horizontal="center" shrinkToFit="0" wrapText="1"/>
    </xf>
    <xf borderId="30" fillId="5" fontId="29" numFmtId="0" xfId="0" applyAlignment="1" applyBorder="1" applyFont="1">
      <alignment horizontal="center" shrinkToFit="0" wrapText="1"/>
    </xf>
    <xf borderId="22" fillId="5" fontId="12" numFmtId="0" xfId="0" applyAlignment="1" applyBorder="1" applyFont="1">
      <alignment shrinkToFit="0" wrapText="1"/>
    </xf>
    <xf borderId="25" fillId="5" fontId="12" numFmtId="0" xfId="0" applyAlignment="1" applyBorder="1" applyFont="1">
      <alignment horizontal="center" shrinkToFit="0" wrapText="1"/>
    </xf>
    <xf borderId="30" fillId="0" fontId="12" numFmtId="0" xfId="0" applyAlignment="1" applyBorder="1" applyFont="1">
      <alignment horizontal="center" shrinkToFit="0" wrapText="1"/>
    </xf>
    <xf borderId="30" fillId="7" fontId="12" numFmtId="172" xfId="0" applyAlignment="1" applyBorder="1" applyFont="1" applyNumberFormat="1">
      <alignment horizontal="center" shrinkToFit="0" wrapText="1"/>
    </xf>
    <xf borderId="30" fillId="13" fontId="12" numFmtId="172" xfId="0" applyAlignment="1" applyBorder="1" applyFont="1" applyNumberFormat="1">
      <alignment horizontal="center" shrinkToFit="0" wrapText="1"/>
    </xf>
    <xf borderId="24" fillId="7" fontId="12" numFmtId="0" xfId="0" applyBorder="1" applyFont="1"/>
    <xf borderId="30" fillId="0" fontId="12" numFmtId="172" xfId="0" applyAlignment="1" applyBorder="1" applyFont="1" applyNumberFormat="1">
      <alignment horizontal="center" shrinkToFit="0" wrapText="1"/>
    </xf>
    <xf borderId="25" fillId="0" fontId="12" numFmtId="2" xfId="0" applyAlignment="1" applyBorder="1" applyFont="1" applyNumberFormat="1">
      <alignment horizontal="center" shrinkToFit="0" wrapText="1"/>
    </xf>
    <xf borderId="25" fillId="0" fontId="12" numFmtId="172" xfId="0" applyAlignment="1" applyBorder="1" applyFont="1" applyNumberFormat="1">
      <alignment horizontal="center" shrinkToFit="0" wrapText="1"/>
    </xf>
    <xf borderId="30" fillId="0" fontId="30" numFmtId="0" xfId="0" applyAlignment="1" applyBorder="1" applyFont="1">
      <alignment horizontal="center" shrinkToFit="0" wrapText="1"/>
    </xf>
    <xf borderId="30" fillId="0" fontId="12" numFmtId="173" xfId="0" applyAlignment="1" applyBorder="1" applyFont="1" applyNumberFormat="1">
      <alignment horizontal="center" shrinkToFit="0" wrapText="1"/>
    </xf>
    <xf borderId="30" fillId="3" fontId="12" numFmtId="0" xfId="0" applyBorder="1" applyFont="1"/>
    <xf borderId="30" fillId="0" fontId="12" numFmtId="0" xfId="0" applyAlignment="1" applyBorder="1" applyFont="1">
      <alignment horizontal="center" shrinkToFit="0" wrapText="1"/>
    </xf>
    <xf borderId="30" fillId="8" fontId="5" numFmtId="0" xfId="0" applyAlignment="1" applyBorder="1" applyFont="1">
      <alignment horizontal="center" shrinkToFit="0" wrapText="1"/>
    </xf>
    <xf borderId="30" fillId="3" fontId="12" numFmtId="0" xfId="0" applyBorder="1" applyFont="1"/>
    <xf borderId="24" fillId="0" fontId="12" numFmtId="0" xfId="0" applyAlignment="1" applyBorder="1" applyFont="1">
      <alignment horizontal="center" shrinkToFit="0" wrapText="1"/>
    </xf>
    <xf borderId="30" fillId="11" fontId="12" numFmtId="0" xfId="0" applyAlignment="1" applyBorder="1" applyFont="1">
      <alignment horizontal="center" shrinkToFit="0" wrapText="1"/>
    </xf>
    <xf borderId="24" fillId="7" fontId="12" numFmtId="0" xfId="0" applyAlignment="1" applyBorder="1" applyFont="1">
      <alignment horizontal="center" shrinkToFit="0" wrapText="1"/>
    </xf>
    <xf borderId="30" fillId="11" fontId="12" numFmtId="172" xfId="0" applyAlignment="1" applyBorder="1" applyFont="1" applyNumberFormat="1">
      <alignment horizontal="center" shrinkToFit="0" wrapText="1"/>
    </xf>
    <xf borderId="30" fillId="5" fontId="12" numFmtId="0" xfId="0" applyAlignment="1" applyBorder="1" applyFont="1">
      <alignment horizontal="center" shrinkToFit="0" wrapText="1"/>
    </xf>
    <xf borderId="30" fillId="27" fontId="12" numFmtId="0" xfId="0" applyAlignment="1" applyBorder="1" applyFill="1" applyFont="1">
      <alignment horizontal="center" shrinkToFit="0" wrapText="1"/>
    </xf>
    <xf borderId="30" fillId="0" fontId="12" numFmtId="174" xfId="0" applyAlignment="1" applyBorder="1" applyFont="1" applyNumberFormat="1">
      <alignment horizontal="center" shrinkToFit="0" wrapText="1"/>
    </xf>
    <xf borderId="30" fillId="5" fontId="12" numFmtId="0" xfId="0" applyBorder="1" applyFont="1"/>
    <xf borderId="30" fillId="27" fontId="12" numFmtId="0" xfId="0" applyBorder="1" applyFont="1"/>
    <xf borderId="30" fillId="0" fontId="12" numFmtId="175" xfId="0" applyAlignment="1" applyBorder="1" applyFont="1" applyNumberFormat="1">
      <alignment horizontal="center" shrinkToFit="0" wrapText="1"/>
    </xf>
    <xf borderId="25" fillId="0" fontId="12" numFmtId="175" xfId="0" applyAlignment="1" applyBorder="1" applyFont="1" applyNumberFormat="1">
      <alignment horizontal="center" shrinkToFit="0" wrapText="1"/>
    </xf>
    <xf borderId="21" fillId="0" fontId="12" numFmtId="0" xfId="0" applyAlignment="1" applyBorder="1" applyFont="1">
      <alignment horizontal="center" shrinkToFit="0" wrapText="1"/>
    </xf>
    <xf borderId="30" fillId="5" fontId="31" numFmtId="0" xfId="0" applyAlignment="1" applyBorder="1" applyFont="1">
      <alignment horizontal="center" shrinkToFit="0" wrapText="1"/>
    </xf>
    <xf borderId="25" fillId="5" fontId="32" numFmtId="0" xfId="0" applyAlignment="1" applyBorder="1" applyFont="1">
      <alignment horizontal="center" shrinkToFit="0" wrapText="1"/>
    </xf>
    <xf borderId="30" fillId="0" fontId="32" numFmtId="0" xfId="0" applyAlignment="1" applyBorder="1" applyFont="1">
      <alignment horizontal="center" shrinkToFit="0" wrapText="1"/>
    </xf>
    <xf borderId="24" fillId="0" fontId="32" numFmtId="0" xfId="0" applyAlignment="1" applyBorder="1" applyFont="1">
      <alignment horizontal="center" shrinkToFit="0" wrapText="1"/>
    </xf>
    <xf borderId="30" fillId="0" fontId="33" numFmtId="0" xfId="0" applyAlignment="1" applyBorder="1" applyFont="1">
      <alignment horizontal="center" shrinkToFit="0" wrapText="1"/>
    </xf>
    <xf borderId="25" fillId="7" fontId="32" numFmtId="172" xfId="0" applyAlignment="1" applyBorder="1" applyFont="1" applyNumberFormat="1">
      <alignment horizontal="center" shrinkToFit="0" wrapText="1"/>
    </xf>
    <xf borderId="30" fillId="0" fontId="32" numFmtId="0" xfId="0" applyAlignment="1" applyBorder="1" applyFont="1">
      <alignment horizontal="center" shrinkToFit="0" wrapText="1"/>
    </xf>
    <xf borderId="30" fillId="8" fontId="33" numFmtId="0" xfId="0" applyAlignment="1" applyBorder="1" applyFont="1">
      <alignment horizontal="center" shrinkToFit="0" wrapText="1"/>
    </xf>
    <xf borderId="38" fillId="0" fontId="12" numFmtId="0" xfId="0" applyAlignment="1" applyBorder="1" applyFont="1">
      <alignment horizontal="center" shrinkToFit="0" wrapText="1"/>
    </xf>
    <xf borderId="30" fillId="7" fontId="32" numFmtId="172" xfId="0" applyAlignment="1" applyBorder="1" applyFont="1" applyNumberFormat="1">
      <alignment horizontal="center" shrinkToFit="0" wrapText="1"/>
    </xf>
    <xf borderId="30" fillId="5" fontId="12" numFmtId="172" xfId="0" applyAlignment="1" applyBorder="1" applyFont="1" applyNumberFormat="1">
      <alignment horizontal="center" shrinkToFit="0" wrapText="1"/>
    </xf>
    <xf borderId="25" fillId="11" fontId="12" numFmtId="2" xfId="0" applyAlignment="1" applyBorder="1" applyFont="1" applyNumberFormat="1">
      <alignment horizontal="center" shrinkToFit="0" wrapText="1"/>
    </xf>
    <xf borderId="30" fillId="7" fontId="12" numFmtId="172" xfId="0" applyBorder="1" applyFont="1" applyNumberFormat="1"/>
    <xf borderId="30" fillId="0" fontId="34" numFmtId="0" xfId="0" applyBorder="1" applyFont="1"/>
    <xf borderId="22" fillId="5" fontId="12" numFmtId="0" xfId="0" applyBorder="1" applyFont="1"/>
    <xf borderId="25" fillId="5" fontId="12" numFmtId="0" xfId="0" applyBorder="1" applyFont="1"/>
    <xf borderId="30" fillId="0" fontId="5" numFmtId="172" xfId="0" applyAlignment="1" applyBorder="1" applyFont="1" applyNumberFormat="1">
      <alignment horizontal="center" shrinkToFit="0" wrapText="1"/>
    </xf>
    <xf borderId="24" fillId="0" fontId="12" numFmtId="0" xfId="0" applyBorder="1" applyFont="1"/>
    <xf borderId="30" fillId="0" fontId="12" numFmtId="0" xfId="0" applyBorder="1" applyFont="1"/>
    <xf borderId="2" fillId="0" fontId="12" numFmtId="0" xfId="0" applyBorder="1" applyFont="1"/>
    <xf borderId="0" fillId="0" fontId="5" numFmtId="172" xfId="0" applyAlignment="1" applyFont="1" applyNumberFormat="1">
      <alignment horizontal="right"/>
    </xf>
    <xf borderId="30" fillId="13" fontId="5" numFmtId="172" xfId="0" applyAlignment="1" applyBorder="1" applyFont="1" applyNumberFormat="1">
      <alignment horizontal="center" shrinkToFit="0" wrapText="1"/>
    </xf>
    <xf borderId="0" fillId="0" fontId="12" numFmtId="2" xfId="0" applyFont="1" applyNumberFormat="1"/>
    <xf borderId="0" fillId="0" fontId="12" numFmtId="0" xfId="0" applyFont="1"/>
    <xf borderId="0" fillId="3" fontId="12" numFmtId="0" xfId="0" applyFont="1"/>
    <xf borderId="0" fillId="8" fontId="5" numFmtId="0" xfId="0" applyAlignment="1" applyFont="1">
      <alignment horizontal="right"/>
    </xf>
    <xf borderId="0" fillId="0" fontId="12" numFmtId="172" xfId="0" applyFont="1" applyNumberFormat="1"/>
    <xf borderId="0" fillId="8" fontId="12" numFmtId="0" xfId="0" applyFont="1"/>
    <xf borderId="0" fillId="17" fontId="14" numFmtId="176" xfId="0" applyAlignment="1" applyFont="1" applyNumberFormat="1">
      <alignment horizontal="center"/>
    </xf>
    <xf borderId="0" fillId="0" fontId="12" numFmtId="176" xfId="0" applyFont="1" applyNumberFormat="1"/>
    <xf borderId="0" fillId="0" fontId="6" numFmtId="0" xfId="0" applyAlignment="1" applyFont="1">
      <alignment vertical="center"/>
    </xf>
    <xf borderId="2" fillId="0" fontId="6" numFmtId="0" xfId="0" applyAlignment="1" applyBorder="1" applyFont="1">
      <alignment vertical="center"/>
    </xf>
    <xf borderId="0" fillId="0" fontId="6" numFmtId="0" xfId="0" applyAlignment="1" applyFont="1">
      <alignment horizontal="center" vertical="center"/>
    </xf>
    <xf borderId="0" fillId="0" fontId="6" numFmtId="0" xfId="0" applyAlignment="1" applyFont="1">
      <alignment readingOrder="0" vertical="center"/>
    </xf>
    <xf borderId="0" fillId="0" fontId="6" numFmtId="2" xfId="0" applyAlignment="1" applyFont="1" applyNumberFormat="1">
      <alignment vertical="center"/>
    </xf>
    <xf borderId="0" fillId="0" fontId="11" numFmtId="0" xfId="0" applyAlignment="1" applyFont="1">
      <alignment horizontal="center" readingOrder="0" shrinkToFit="0" vertical="bottom" wrapText="1"/>
    </xf>
    <xf borderId="0" fillId="0" fontId="25" numFmtId="0" xfId="0" applyAlignment="1" applyFont="1">
      <alignment horizontal="center" readingOrder="0" shrinkToFit="0" wrapText="1"/>
    </xf>
    <xf borderId="0" fillId="0" fontId="1" numFmtId="0" xfId="0" applyAlignment="1" applyFont="1">
      <alignment horizontal="center" readingOrder="0" shrinkToFit="0" wrapText="1"/>
    </xf>
    <xf borderId="0" fillId="0" fontId="8" numFmtId="0" xfId="0" applyAlignment="1" applyFont="1">
      <alignment horizontal="center" readingOrder="0" shrinkToFit="0" vertical="bottom" wrapText="1"/>
    </xf>
    <xf borderId="0" fillId="0" fontId="8" numFmtId="3" xfId="0" applyAlignment="1" applyFont="1" applyNumberFormat="1">
      <alignment horizontal="center" shrinkToFit="0" vertical="bottom" wrapText="1"/>
    </xf>
    <xf borderId="5" fillId="28" fontId="6" numFmtId="0" xfId="0" applyAlignment="1" applyBorder="1" applyFill="1" applyFont="1">
      <alignment horizontal="center"/>
    </xf>
    <xf borderId="5" fillId="28" fontId="6" numFmtId="0" xfId="0" applyAlignment="1" applyBorder="1" applyFont="1">
      <alignment horizontal="left"/>
    </xf>
    <xf borderId="4" fillId="28" fontId="6" numFmtId="0" xfId="0" applyAlignment="1" applyBorder="1" applyFont="1">
      <alignment horizontal="center"/>
    </xf>
    <xf borderId="4" fillId="28" fontId="3" numFmtId="3" xfId="0" applyAlignment="1" applyBorder="1" applyFont="1" applyNumberFormat="1">
      <alignment horizontal="center"/>
    </xf>
  </cellXfs>
  <cellStyles count="1">
    <cellStyle xfId="0" name="Normal" builtinId="0"/>
  </cellStyles>
  <dxfs count="1">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Verden Volume</c:v>
          </c:tx>
          <c:spPr>
            <a:solidFill>
              <a:schemeClr val="accent4"/>
            </a:solidFill>
            <a:ln cmpd="sng">
              <a:solidFill>
                <a:srgbClr val="000000"/>
              </a:solidFill>
            </a:ln>
          </c:spPr>
          <c:cat>
            <c:strRef>
              <c:f>Graphs!$B$3:$B$54</c:f>
            </c:strRef>
          </c:cat>
          <c:val>
            <c:numRef>
              <c:f>Graphs!$G$3:$G$54</c:f>
              <c:numCache/>
            </c:numRef>
          </c:val>
        </c:ser>
        <c:ser>
          <c:idx val="1"/>
          <c:order val="1"/>
          <c:tx>
            <c:v>Coman Volume</c:v>
          </c:tx>
          <c:spPr>
            <a:solidFill>
              <a:schemeClr val="accent3"/>
            </a:solidFill>
            <a:ln cmpd="sng">
              <a:solidFill>
                <a:srgbClr val="000000"/>
              </a:solidFill>
            </a:ln>
          </c:spPr>
          <c:cat>
            <c:strRef>
              <c:f>Graphs!$B$3:$B$54</c:f>
            </c:strRef>
          </c:cat>
          <c:val>
            <c:numRef>
              <c:f>Graphs!$H$3:$H$54</c:f>
              <c:numCache/>
            </c:numRef>
          </c:val>
        </c:ser>
        <c:overlap val="100"/>
        <c:axId val="1628268585"/>
        <c:axId val="1184310576"/>
      </c:barChart>
      <c:catAx>
        <c:axId val="16282685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5400000"/>
          <a:lstStyle/>
          <a:p>
            <a:pPr lvl="0">
              <a:defRPr b="0" sz="1400">
                <a:solidFill>
                  <a:srgbClr val="666666"/>
                </a:solidFill>
                <a:latin typeface="Arial"/>
              </a:defRPr>
            </a:pPr>
          </a:p>
        </c:txPr>
        <c:crossAx val="1184310576"/>
      </c:catAx>
      <c:valAx>
        <c:axId val="1184310576"/>
        <c:scaling>
          <c:orientation val="minMax"/>
        </c:scaling>
        <c:delete val="0"/>
        <c:axPos val="l"/>
        <c:majorGridlines>
          <c:spPr>
            <a:ln>
              <a:solidFill>
                <a:srgbClr val="B7B7B7"/>
              </a:solidFill>
            </a:ln>
          </c:spPr>
        </c:majorGridlines>
        <c:title>
          <c:tx>
            <c:rich>
              <a:bodyPr/>
              <a:lstStyle/>
              <a:p>
                <a:pPr lvl="0">
                  <a:defRPr b="1" sz="1600">
                    <a:solidFill>
                      <a:srgbClr val="000000"/>
                    </a:solidFill>
                    <a:latin typeface="+mn-lt"/>
                  </a:defRPr>
                </a:pPr>
                <a:r>
                  <a:rPr b="1" sz="1600">
                    <a:solidFill>
                      <a:srgbClr val="000000"/>
                    </a:solidFill>
                    <a:latin typeface="+mn-lt"/>
                  </a:rPr>
                  <a:t>Shipped Meals per Week</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1628268585"/>
      </c:valAx>
      <c:lineChart>
        <c:varyColors val="0"/>
        <c:ser>
          <c:idx val="2"/>
          <c:order val="2"/>
          <c:tx>
            <c:v>Verden Unique Meals</c:v>
          </c:tx>
          <c:spPr>
            <a:ln cmpd="sng" w="38100">
              <a:solidFill>
                <a:srgbClr val="000000">
                  <a:alpha val="100000"/>
                </a:srgbClr>
              </a:solidFill>
              <a:prstDash val="solid"/>
            </a:ln>
          </c:spPr>
          <c:marker>
            <c:symbol val="none"/>
          </c:marker>
          <c:cat>
            <c:strRef>
              <c:f>Graphs!$B$3:$B$54</c:f>
            </c:strRef>
          </c:cat>
          <c:val>
            <c:numRef>
              <c:f>Graphs!$D$3:$D$54</c:f>
              <c:numCache/>
            </c:numRef>
          </c:val>
          <c:smooth val="0"/>
        </c:ser>
        <c:axId val="1931700575"/>
        <c:axId val="1666720052"/>
      </c:lineChart>
      <c:catAx>
        <c:axId val="1931700575"/>
        <c:scaling>
          <c:orientation val="minMax"/>
        </c:scaling>
        <c:delete val="1"/>
        <c:axPos val="b"/>
        <c:numFmt formatCode="General" sourceLinked="1"/>
        <c:majorTickMark val="none"/>
        <c:minorTickMark val="none"/>
        <c:spPr/>
        <c:txPr>
          <a:bodyPr rot="-5400000"/>
          <a:lstStyle/>
          <a:p>
            <a:pPr lvl="0">
              <a:defRPr b="0" sz="1400">
                <a:solidFill>
                  <a:srgbClr val="666666"/>
                </a:solidFill>
                <a:latin typeface="Arial"/>
              </a:defRPr>
            </a:pPr>
          </a:p>
        </c:txPr>
        <c:crossAx val="1666720052"/>
      </c:catAx>
      <c:valAx>
        <c:axId val="1666720052"/>
        <c:scaling>
          <c:orientation val="minMax"/>
          <c:max val="40.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000000"/>
                    </a:solidFill>
                    <a:latin typeface="+mn-lt"/>
                  </a:defRPr>
                </a:pPr>
                <a:r>
                  <a:rPr b="1" sz="1600">
                    <a:solidFill>
                      <a:srgbClr val="000000"/>
                    </a:solidFill>
                    <a:latin typeface="+mn-lt"/>
                  </a:rPr>
                  <a:t>Meal Slots per Week at Verden</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1931700575"/>
        <c:crosses val="max"/>
      </c:valAx>
    </c:plotArea>
    <c:legend>
      <c:legendPos val="tr"/>
      <c:overlay val="1"/>
      <c:txPr>
        <a:bodyPr/>
        <a:lstStyle/>
        <a:p>
          <a:pPr lvl="0">
            <a:defRPr b="0" sz="1400">
              <a:solidFill>
                <a:srgbClr val="1A1A1A"/>
              </a:solidFill>
              <a:latin typeface="+mn-lt"/>
            </a:defRPr>
          </a:pPr>
        </a:p>
      </c:txPr>
    </c:legend>
    <c:plotVisOnly val="1"/>
  </c:chart>
</c:chartSpace>
</file>

<file path=xl/documenttasks/documenttask1.xml><?xml version="1.0" encoding="utf-8"?>
<Tasks xmlns="http://schemas.microsoft.com/office/tasks/2019/documenttasks">
  <Task id="{86f6a491-051a-4aa9-a523-0aaef784b557}">
    <Anchor>
      <Comment id="{3a66f093-02ee-45b8-a0b4-d32b08d1381c}"/>
    </Anchor>
    <History>
      <Event time="2026-01-29T15:43:12.00" id="{dabfbbb4-3cea-4015-aa5b-27c2b71b0234}">
        <Attribution userId="placeholder@email.com" userName="Tyler Sandlant" userProvider="google-sheets"/>
        <Anchor>
          <Comment id="{36d0c9d6-90b3-4dc1-8b38-7106d065640b}"/>
        </Anchor>
        <Create/>
      </Event>
      <Event time="2026-01-29T15:43:12.00" id="{cbf1039b-2bbd-431f-969c-daa8d5027ad4}">
        <Attribution userId="placeholder@email.com" userName="Tyler Sandlant" userProvider="google-sheets"/>
        <Anchor>
          <Comment id="{36d0c9d6-90b3-4dc1-8b38-7106d065640b}"/>
        </Anchor>
        <Assign userId="migle.labeikyte@factor75.eu" userName="migle.labeikyte@factor75.eu" userProvider="google-sheets"/>
      </Event>
    </History>
  </Task>
  <Task id="{9b0fc6f8-091f-40e7-9565-3094a784cd4c}">
    <Anchor>
      <Comment id="{28ac97e6-9ee2-4931-9256-fc0622de3f62}"/>
    </Anchor>
    <History>
      <Event time="2026-01-30T09:33:00.00" id="{0a558089-6065-4160-8b53-abb4a52fb614}">
        <Attribution userId="placeholder@email.com" userName="Migle Labeikyte" userProvider="google-sheets"/>
        <Anchor>
          <Comment id="{28ac97e6-9ee2-4931-9256-fc0622de3f62}"/>
        </Anchor>
        <Create/>
      </Event>
      <Event time="2026-01-30T09:33:00.00" id="{c2bad7da-91ae-4889-9ea1-ca76a28c2dda}">
        <Attribution userId="placeholder@email.com" userName="Migle Labeikyte" userProvider="google-sheets"/>
        <Anchor>
          <Comment id="{28ac97e6-9ee2-4931-9256-fc0622de3f62}"/>
        </Anchor>
        <Assign userId="carol.england@factor75.eu" userName="carol.england@factor75.eu" userProvider="google-sheets"/>
      </Event>
    </History>
  </Task>
  <Task id="{7b4ae614-37f6-40c0-bbde-324b9595f2eb}">
    <Anchor>
      <Comment id="{a07e0116-e604-4de5-bb8b-126f7c4dd0d2}"/>
    </Anchor>
    <History>
      <Event time="2026-03-04T08:31:56.00" id="{e68ccdf3-808d-4f33-b21f-6447151e92dd}">
        <Attribution userId="placeholder@email.com" userName="Rasmus Jensen" userProvider="google-sheets"/>
        <Anchor>
          <Comment id="{a07e0116-e604-4de5-bb8b-126f7c4dd0d2}"/>
        </Anchor>
        <Create/>
      </Event>
      <Event time="2026-03-04T08:31:56.00" id="{e1d1705a-9516-4dae-97e4-3c4ea5aeb14b}">
        <Attribution userId="placeholder@email.com" userName="Rasmus Jensen" userProvider="google-sheets"/>
        <Anchor>
          <Comment id="{a07e0116-e604-4de5-bb8b-126f7c4dd0d2}"/>
        </Anchor>
        <Assign userId="cornelia.binder@factor75.eu" userName="cornelia.binder@factor75.eu" userProvider="google-sheets"/>
      </Event>
    </History>
  </Task>
  <Task id="{e46653a2-8c7a-4aa5-be9d-f14e09c8aaf9}">
    <Anchor>
      <Comment id="{ede1299d-036d-4255-a01e-3624a0862bcc}"/>
    </Anchor>
    <History>
      <Event time="2026-02-03T09:41:12.00" id="{c852265f-3a25-4bbc-acb7-aacb7447c457}">
        <Attribution userId="placeholder@email.com" userName="Sam Quaife" userProvider="google-sheets"/>
        <Anchor>
          <Comment id="{ede1299d-036d-4255-a01e-3624a0862bcc}"/>
        </Anchor>
        <Create/>
      </Event>
      <Event time="2026-02-03T09:41:12.00" id="{d0a2f265-0e4d-4b92-ae7f-3ee685e333bc}">
        <Attribution userId="placeholder@email.com" userName="Sam Quaife" userProvider="google-sheets"/>
        <Anchor>
          <Comment id="{ede1299d-036d-4255-a01e-3624a0862bcc}"/>
        </Anchor>
        <Assign userId="carol.england@factor75.eu" userName="carol.england@factor75.eu" userProvider="google-sheets"/>
      </Event>
    </History>
  </Task>
  <Task id="{143fe445-5b95-4156-bcb4-8de5a1738995}">
    <Anchor>
      <Comment id="{41c198d1-369c-4fb2-b60c-7ffa9381cb93}"/>
    </Anchor>
    <History>
      <Event time="2026-02-23T16:45:50.00" id="{26b8b117-4029-40c2-8387-83b726371a91}">
        <Attribution userId="placeholder@email.com" userName="Alexander Tarr" userProvider="google-sheets"/>
        <Anchor>
          <Comment id="{41c198d1-369c-4fb2-b60c-7ffa9381cb93}"/>
        </Anchor>
        <Create/>
      </Event>
      <Event time="2026-02-23T16:45:50.00" id="{3ed20694-dbd0-4444-acfe-fe882bb334e6}">
        <Attribution userId="placeholder@email.com" userName="Alexander Tarr" userProvider="google-sheets"/>
        <Anchor>
          <Comment id="{41c198d1-369c-4fb2-b60c-7ffa9381cb93}"/>
        </Anchor>
        <Assign userId="christoph.struckmann@factor75.eu" userName="christoph.struckmann@factor75.eu" userProvider="google-sheets"/>
      </Event>
    </History>
  </Task>
  <Task id="{45adaf18-6add-4c55-8326-0e243a969ee5}">
    <Anchor>
      <Comment id="{cc6470ea-0778-4efd-aacb-f09785674e7a}"/>
    </Anchor>
    <History>
      <Event time="2026-01-28T08:05:03.00" id="{8df28bc7-a119-4415-8c80-8ff77750f1dc}">
        <Attribution userId="placeholder@email.com" userName="Migle Labeikyte" userProvider="google-sheets"/>
        <Anchor>
          <Comment id="{cc6470ea-0778-4efd-aacb-f09785674e7a}"/>
        </Anchor>
        <Create/>
      </Event>
      <Event time="2026-01-28T08:05:03.00" id="{a8cb12c4-d921-4bfa-aa1e-6231bbafedd4}">
        <Attribution userId="placeholder@email.com" userName="Migle Labeikyte" userProvider="google-sheets"/>
        <Anchor>
          <Comment id="{cc6470ea-0778-4efd-aacb-f09785674e7a}"/>
        </Anchor>
        <Assign userId="carol.england@factor75.eu" userName="carol.england@factor75.eu" userProvider="google-sheets"/>
      </Event>
    </History>
  </Task>
</Tasks>
</file>

<file path=xl/documenttasks/documenttask2.xml><?xml version="1.0" encoding="utf-8"?>
<Tasks xmlns="http://schemas.microsoft.com/office/tasks/2019/documenttasks">
  <Task id="{e1ac8957-10b8-4898-bce4-22bbec3befae}">
    <Anchor>
      <Comment id="{bf0ca320-8a8c-440f-beb6-f5a72e9f58d4}"/>
    </Anchor>
    <History>
      <Event time="2026-03-05T10:36:43.00" id="{778c72d6-bd92-4d49-b301-335ca7d784d2}">
        <Attribution userId="placeholder@email.com" userName="Alexander Tarr" userProvider="google-sheets"/>
        <Anchor>
          <Comment id="{bf0ca320-8a8c-440f-beb6-f5a72e9f58d4}"/>
        </Anchor>
        <Create/>
      </Event>
      <Event time="2026-03-05T10:36:43.00" id="{d0df3ed9-e0a9-411f-8344-1a5950376bd6}">
        <Attribution userId="placeholder@email.com" userName="Alexander Tarr" userProvider="google-sheets"/>
        <Anchor>
          <Comment id="{bf0ca320-8a8c-440f-beb6-f5a72e9f58d4}"/>
        </Anchor>
        <Assign userId="cornelia.binder@factor75.eu" userName="cornelia.binder@factor75.eu"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78c9faf0-5726-469d-a0cd-2737cbb0949d}">
    <Anchor>
      <Comment id="{189ebdac-f3de-4038-8989-904bc1df699b}"/>
    </Anchor>
    <History>
      <Event time="2026-04-14T06:38:53.00" id="{3e5b78ae-4cac-4f3a-97fa-2a7125667332}">
        <Attribution userId="placeholder@email.com" userName="Theresia" userProvider="google-sheets"/>
        <Anchor>
          <Comment id="{189ebdac-f3de-4038-8989-904bc1df699b}"/>
        </Anchor>
        <Create/>
      </Event>
      <Event time="2026-04-14T06:38:53.00" id="{450f1e68-4c00-4b28-9297-27eac53fa785}">
        <Attribution userId="placeholder@email.com" userName="Theresia" userProvider="google-sheets"/>
        <Anchor>
          <Comment id="{189ebdac-f3de-4038-8989-904bc1df699b}"/>
        </Anchor>
        <Assign userId="cornelia.binder@factor75.eu" userName="cornelia.binder@factor75.eu" userProvider="google-sheets"/>
      </Event>
    </History>
  </Task>
  <Task id="{7202a35e-3e99-4c14-8101-97737249b14c}">
    <Anchor>
      <Comment id="{e5e3926b-f20d-4714-b17b-75b61a1df5d6}"/>
    </Anchor>
    <History>
      <Event time="2026-02-03T08:50:57.00" id="{d2363ec3-9d83-4e42-8018-337f28aadf75}">
        <Attribution userId="placeholder@email.com" userName="Sam Quaife" userProvider="google-sheets"/>
        <Anchor>
          <Comment id="{e5e3926b-f20d-4714-b17b-75b61a1df5d6}"/>
        </Anchor>
        <Create/>
      </Event>
      <Event time="2026-02-03T08:50:57.00" id="{ced52cde-a4bf-4d01-a221-28226c496a03}">
        <Attribution userId="placeholder@email.com" userName="Sam Quaife" userProvider="google-sheets"/>
        <Anchor>
          <Comment id="{e5e3926b-f20d-4714-b17b-75b61a1df5d6}"/>
        </Anchor>
        <Assign userId="carol.england@factor75.eu" userName="carol.england@factor75.eu" userProvider="google-sheets"/>
      </Event>
    </History>
  </Task>
  <Task id="{862f56a5-a31d-44ca-92a1-229a61c88ed8}">
    <Anchor>
      <Comment id="{75c07e02-3ede-4636-800b-357fff0cc045}"/>
    </Anchor>
    <History>
      <Event time="2026-03-04T14:11:22.00" id="{030632af-aa9a-43d6-9198-b281772cba35}">
        <Attribution userId="placeholder@email.com" userName="Meg Hoskins" userProvider="google-sheets"/>
        <Anchor>
          <Comment id="{75c07e02-3ede-4636-800b-357fff0cc045}"/>
        </Anchor>
        <Create/>
      </Event>
      <Event time="2026-03-04T14:11:22.00" id="{9366240c-9eb7-45c2-bcf7-a4ad88a428d3}">
        <Attribution userId="placeholder@email.com" userName="Meg Hoskins" userProvider="google-sheets"/>
        <Anchor>
          <Comment id="{75c07e02-3ede-4636-800b-357fff0cc045}"/>
        </Anchor>
        <Assign userId="cornelia.binder@factor75.eu" userName="cornelia.binder@factor75.eu" userProvider="google-sheets"/>
      </Event>
    </History>
  </Task>
  <Task id="{8af09423-dbe3-40cc-a743-e8ab6ed744b9}">
    <Anchor>
      <Comment id="{c679a823-b97d-43e2-821b-e1f1636efc15}"/>
    </Anchor>
    <History>
      <Event time="2026-04-14T06:40:52.00" id="{4f0bdbc7-1dcc-4ab6-a945-39d8ba0af8bb}">
        <Attribution userId="placeholder@email.com" userName="Theresia" userProvider="google-sheets"/>
        <Anchor>
          <Comment id="{c679a823-b97d-43e2-821b-e1f1636efc15}"/>
        </Anchor>
        <Create/>
      </Event>
      <Event time="2026-04-14T06:40:52.00" id="{d87a18c2-9431-42cc-8287-91b02718bb60}">
        <Attribution userId="placeholder@email.com" userName="Theresia" userProvider="google-sheets"/>
        <Anchor>
          <Comment id="{c679a823-b97d-43e2-821b-e1f1636efc15}"/>
        </Anchor>
        <Assign userId="cornelia.binder@factor75.eu" userName="cornelia.binder@factor75.eu" userProvider="google-sheets"/>
      </Event>
    </History>
  </Task>
  <Task id="{173ed0e1-b1ab-4450-b107-b61631fe8faa}">
    <Anchor>
      <Comment id="{6a1e1326-fcd1-46d5-b8ee-c94929f4b745}"/>
    </Anchor>
    <History>
      <Event time="2026-04-14T06:44:17.00" id="{ab55ac48-9358-43f4-8d55-deb444d6cbdc}">
        <Attribution userId="placeholder@email.com" userName="Theresia" userProvider="google-sheets"/>
        <Anchor>
          <Comment id="{6a1e1326-fcd1-46d5-b8ee-c94929f4b745}"/>
        </Anchor>
        <Create/>
      </Event>
      <Event time="2026-04-14T06:44:17.00" id="{a1d61eb1-b26f-4947-b558-df2289ec7d30}">
        <Attribution userId="placeholder@email.com" userName="Theresia" userProvider="google-sheets"/>
        <Anchor>
          <Comment id="{6a1e1326-fcd1-46d5-b8ee-c94929f4b745}"/>
        </Anchor>
        <Assign userId="cornelia.binder@factor75.eu" userName="cornelia.binder@factor75.eu" userProvider="google-sheets"/>
      </Event>
    </History>
  </Task>
</Tasks>
</file>

<file path=xl/documenttasks/documenttask5.xml><?xml version="1.0" encoding="utf-8"?>
<Tasks xmlns="http://schemas.microsoft.com/office/tasks/2019/documenttasks">
  <Task id="{456bebf2-e737-4e80-a767-d2efef662be3}">
    <Anchor>
      <Comment id="{1db11b91-02e0-4cf3-a798-fddd9ee1d82e}"/>
    </Anchor>
    <History>
      <Event time="2026-04-24T13:56:44.00" id="{67de67e0-ef10-4704-9ac8-64f3e5c90e9b}">
        <Attribution userId="placeholder@email.com" userName="Meg Hoskins" userProvider="google-sheets"/>
        <Anchor>
          <Comment id="{1db11b91-02e0-4cf3-a798-fddd9ee1d82e}"/>
        </Anchor>
        <Create/>
      </Event>
      <Event time="2026-04-24T13:56:44.00" id="{efd5fd98-e570-4908-83d8-74c118b2aea0}">
        <Attribution userId="placeholder@email.com" userName="Meg Hoskins" userProvider="google-sheets"/>
        <Anchor>
          <Comment id="{1db11b91-02e0-4cf3-a798-fddd9ee1d82e}"/>
        </Anchor>
        <Assign userId="cornelia.binder@factor75.eu" userName="cornelia.binder@factor75.eu"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600075</xdr:colOff>
      <xdr:row>4</xdr:row>
      <xdr:rowOff>104775</xdr:rowOff>
    </xdr:from>
    <xdr:ext cx="10829925" cy="5391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heresia" id="{5a9bc371-b402-4681-aa68-a68bf2223aa6}" providerId="google-sheets"/>
  <x18tc:person displayName="Carol England" id="{f3029071-9288-44f9-a7f8-09ea6954cdd8}" providerId="google-sheets"/>
  <x18tc:person displayName="Guilherme TerraRodrigues" id="{6ec4fcef-c234-4b0b-a0cf-8c187821541d}" providerId="google-sheets"/>
  <x18tc:person displayName="Alexander Tarr" id="{b98a10b7-0921-4b3a-b92d-21598ec79d6e}" providerId="google-sheets"/>
  <x18tc:person displayName="Meg Hoskins" id="{beb9cfd6-9f68-44d8-9850-3f14344ddec2}" providerId="google-sheets"/>
  <x18tc:person displayName="tyler.sandlant@factor75.eu" id="{b9b1aeb8-5f20-4f60-ae18-db24233ec16a}" userId="tyler.sandlant@factor75.eu" providerId="google-sheets"/>
  <x18tc:person displayName="kaylyn@hellofresh.com" id="{8904cd47-808e-4c8d-a4c4-7be3252998e0}" userId="kaylyn@hellofresh.com" providerId="google-sheets"/>
  <x18tc:person displayName="emily.rushbrooke@factor75.eu" id="{639d3c70-7d31-475a-84a6-f234ded73673}" userId="emily.rushbrooke@factor75.eu" providerId="google-sheets"/>
  <x18tc:person displayName="dafna@hellofresh.nl" id="{213e4ab3-462b-4aef-95fe-5edca673eefb}" userId="dafna@hellofresh.nl" providerId="google-sheets"/>
  <x18tc:person displayName="guilherme.terrarodrigues@factor75.eu" id="{0713dbf5-4283-4590-a6d8-7eb217786c5b}" userId="guilherme.terrarodrigues@factor75.eu" providerId="google-sheets"/>
  <x18tc:person displayName="carol.england@factor75.eu" id="{e73254f3-38db-449f-8ef1-149e10740a6c}" userId="carol.england@factor75.eu" providerId="google-sheets"/>
  <x18tc:person displayName="conal.gould@hellofresh.com" id="{96e49ff9-6a91-4ed3-8c1d-7668ef901a0b}" userId="conal.gould@hellofresh.com" providerId="google-sheets"/>
  <x18tc:person displayName="cornelia.binder@factor75.eu" id="{fd8a6896-dfde-410a-8d6a-ac9b9883514b}" userId="cornelia.binder@factor75.eu" providerId="google-sheets"/>
  <x18tc:person displayName="christoph.struckmann@factor75.eu" id="{cb0a0229-de9d-4799-83e0-13a4cbc9d267}" userId="christoph.struckmann@factor75.eu" providerId="google-sheets"/>
  <x18tc:person displayName="sam.quaife@factor75.eu" id="{d8730ab5-af07-4a59-8fee-5f1a15d8b6e4}" userId="sam.quaife@factor75.eu" providerId="google-sheets"/>
  <x18tc:person displayName="dimitrios.psinakis@factor75.eu" id="{af256842-732b-4a2c-a51c-65e566c7426f}" userId="dimitrios.psinakis@factor75.eu" providerId="google-sheets"/>
  <x18tc:person displayName="Migle Labeikyte" id="{eed1323e-919d-4e67-a393-1909d7bc3d1a}" providerId="google-sheets"/>
  <x18tc:person displayName="migle.labeikyte@factor75.eu" id="{737d4e43-26d2-497b-ba91-17e40ecc19f6}" userId="migle.labeikyte@factor75.eu" providerId="google-sheets"/>
  <x18tc:person displayName="Sam Quaife" id="{17da4a2d-22ab-47fa-be83-aeb6cd548b97}" providerId="google-sheets"/>
  <x18tc:person displayName="olivier.lemieux@factor75.com" id="{8d65c0c4-e1ca-41f1-aa30-7a30564109a7}" userId="olivier.lemieux@factor75.com" providerId="google-sheets"/>
  <x18tc:person displayName="Tyler Sandlant" id="{95a225ac-66e7-4c89-96c6-56a2172839b4}" providerId="google-sheets"/>
  <x18tc:person displayName="Rasmus Jensen" id="{29ccff1a-04e1-4fef-b414-87eb20ace776}" providerId="google-sheets"/>
  <x18tc:person displayName="Munther Alahmad" id="{d9ae845f-a08d-4980-85a2-792c002761d9}" providerId="google-sheets"/>
  <x18tc:person displayName="munther.alahmad@factor75.eu" id="{77fb1c73-3f00-459b-8af8-f516911e2468}" userId="munther.alahmad@factor75.eu" providerId="google-sheets"/>
  <x18tc:person displayName="moritz.ochs@factor75.eu" id="{76d8a8ec-aec1-4f22-9a45-ddc68ff6e87b}" userId="moritz.ochs@factor75.eu" providerId="google-sheets"/>
  <x18tc:person displayName="Cornelia Binder" id="{5d589dcc-bde0-44b1-b8bd-aa54a3802df9}" providerId="google-sheets"/>
  <x18tc:person displayName="matteo.spessotto@factor75.eu" id="{5b93ca77-fe9f-4d2c-9632-ec25c6091123}" userId="matteo.spessotto@factor75.eu"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1T06:52:40.00" personId="{5d589dcc-bde0-44b1-b8bd-aa54a3802df9}" id="{1e1fe2de-e584-48d2-a005-ffdc462e6029}" done="1">
    <x18tc:text xml:space="preserve">@carol.england@factor75.eu do we want to placeholder slot in a white fish meal here? if you have a US one already?</x18tc:text>
    <x18tc:mentions>
      <x18tc:mention mentionpersonId="{e73254f3-38db-449f-8ef1-149e10740a6c}" mentionId="{916819a3-9e9e-49f0-96f1-1a5a37e59d51}" startIndex="0" length="26"/>
    </x18tc:mentions>
  </x18tc:threadedComment>
  <x18tc:threadedComment ref="A1" dT="2026-02-11T07:48:45.00" personId="{f3029071-9288-44f9-a7f8-09ea6954cdd8}" id="{eb4e24f9-daaa-4a39-8fba-bf665c27b94d}" parentId="{1e1fe2de-e584-48d2-a005-ffdc462e6029}">
    <x18tc:text xml:space="preserve">I need to review their database to see what options we have that don't need any other new ingredients - will have time for it later on the train i think</x18tc:text>
  </x18tc:threadedComment>
  <x18tc:threadedComment ref="A1" dT="2026-02-03T08:40:51.00" personId="{5d589dcc-bde0-44b1-b8bd-aa54a3802df9}" id="{9e74d0da-f637-4e6c-bf48-a698bbc9c15f}" done="1">
    <x18tc:text xml:space="preserve">@carol.england@factor75.eu do you know which meal would go in here?</x18tc:text>
    <x18tc:mentions>
      <x18tc:mention mentionpersonId="{e73254f3-38db-449f-8ef1-149e10740a6c}" mentionId="{95d28815-ea38-458b-a770-dfd5f3ac73dc}" startIndex="0" length="26"/>
    </x18tc:mentions>
  </x18tc:threadedComment>
  <x18tc:threadedComment ref="A1" dT="2026-02-03T09:14:18.00" personId="{f3029071-9288-44f9-a7f8-09ea6954cdd8}" id="{3cadccf1-740c-4236-9b99-44606db48576}" parentId="{9e74d0da-f637-4e6c-bf48-a698bbc9c15f}">
    <x18tc:text xml:space="preserve">I may need to change this - there aren't really any in the US database as they have put pork on hold for quality reasons</x18tc:text>
  </x18tc:threadedComment>
  <x18tc:threadedComment ref="A1" dT="2026-02-11T10:28:12.00" personId="{17da4a2d-22ab-47fa-be83-aeb6cd548b97}" id="{aeef035b-57cb-4bb0-a12a-0872792136f1}" done="1">
    <x18tc:text xml:space="preserve">@cornelia.binder@factor75.eu @carol.england@factor75.eu 
This recipe has tomato sauce in it which we dropped sorry this must have been missed during the checks 
What do we swap it with?
1 total reaction
Carol England reacted with 😥 at 2026-02-11 12:16 PM</x18tc:text>
    <x18tc:mentions>
      <x18tc:mention mentionpersonId="{fd8a6896-dfde-410a-8d6a-ac9b9883514b}" mentionId="{a3232d69-c688-4d2a-b3d6-8d1cb9f4a225}" startIndex="0" length="28"/>
      <x18tc:mention mentionpersonId="{e73254f3-38db-449f-8ef1-149e10740a6c}" mentionId="{7f9e670e-a927-4901-be9a-b4ef5d988daa}" startIndex="29" length="26"/>
    </x18tc:mentions>
  </x18tc:threadedComment>
  <x18tc:threadedComment ref="A1" dT="2026-02-11T12:16:23.00" personId="{f3029071-9288-44f9-a7f8-09ea6954cdd8}" id="{c77677a9-09b1-46b5-a7df-c765b58921f3}" parentId="{aeef035b-57cb-4bb0-a12a-0872792136f1}">
    <x18tc:text xml:space="preserve">either crushed tomatoes or tomato paste - lemme get back to you!</x18tc:text>
  </x18tc:threadedComment>
  <x18tc:threadedComment ref="A1" dT="2026-02-11T06:50:30.00" personId="{5d589dcc-bde0-44b1-b8bd-aa54a3802df9}" id="{4c439aa2-097a-42a3-8106-b040faed2d1e}" done="1">
    <x18tc:text xml:space="preserve">@sam.quaife@factor75.eu any concerns on this one?</x18tc:text>
    <x18tc:mentions>
      <x18tc:mention mentionpersonId="{d8730ab5-af07-4a59-8fee-5f1a15d8b6e4}" mentionId="{c1010cac-26f8-4477-999e-7a456d3f2768}" startIndex="0" length="23"/>
    </x18tc:mentions>
  </x18tc:threadedComment>
  <x18tc:threadedComment ref="A1" dT="2026-03-23T17:41:34.00" personId="{5d589dcc-bde0-44b1-b8bd-aa54a3802df9}" id="{d75512e5-b619-4edc-991d-12bb305cea9b}" done="0">
    <x18tc:text xml:space="preserve">Growth Model Numbers until W26</x18tc:text>
  </x18tc:threadedComment>
  <x18tc:threadedComment ref="A1" dT="2026-03-05T10:38:43.00" personId="{b98a10b7-0921-4b3a-b92d-21598ec79d6e}" id="{977ce00a-fc02-404e-893f-7cc9cf17dc01}" done="1">
    <x18tc:text xml:space="preserve">@olivier.lemieux@factor75.com do we know what these % are based on? If they are an est. average or whether they are reflective of meal types etc?</x18tc:text>
    <x18tc:mentions>
      <x18tc:mention mentionpersonId="{8d65c0c4-e1ca-41f1-aa30-7a30564109a7}" mentionId="{051d2789-0b42-4eb6-9f4d-fc39d5d06559}" startIndex="0" length="29"/>
    </x18tc:mentions>
  </x18tc:threadedComment>
  <x18tc:threadedComment ref="A1" dT="2026-01-29T15:06:52.00" personId="{eed1323e-919d-4e67-a393-1909d7bc3d1a}" id="{3a66f093-02ee-45b8-a0b4-d32b08d1381c}" done="1">
    <x18tc:text xml:space="preserve">@tyler.sandlant@factor75.eu could you cross check the sourcing for these meals and raise if there are any red flags I've missed? Thank you!
Assigned to tyler.sandlant@factor75.eu</x18tc:text>
    <x18tc:mentions>
      <x18tc:mention mentionpersonId="{b9b1aeb8-5f20-4f60-ae18-db24233ec16a}" mentionId="{ec80794e-f48b-4349-80cf-fb8de792dead}" startIndex="0" length="27"/>
    </x18tc:mentions>
  </x18tc:threadedComment>
  <x18tc:threadedComment ref="A1" dT="2026-01-29T15:43:12.00" personId="{95a225ac-66e7-4c89-96c6-56a2172839b4}" id="{36d0c9d6-90b3-4dc1-8b38-7106d065640b}" parentId="{3a66f093-02ee-45b8-a0b4-d32b08d1381c}">
    <x18tc:text xml:space="preserve">@migle.labeikyte@factor75.eu comments added
Reassigned to migle.labeikyte@factor75.eu</x18tc:text>
    <x18tc:mentions>
      <x18tc:mention mentionpersonId="{737d4e43-26d2-497b-ba91-17e40ecc19f6}" mentionId="{b334d930-c835-4cb1-abb2-8a531c8f76f9}" startIndex="0" length="28"/>
    </x18tc:mentions>
  </x18tc:threadedComment>
  <x18tc:threadedComment ref="A1" dT="2026-02-03T15:46:25.00" personId="{5d589dcc-bde0-44b1-b8bd-aa54a3802df9}" id="{2bf33be6-68e4-4460-a222-f40b11c6c724}" done="1">
    <x18tc:text xml:space="preserve">@tyler.sandlant@factor75.eu @sam.quaife@factor75.eu  this is the meal in here now :) SKU coverage sheet says fully sourced, but please have a look</x18tc:text>
    <x18tc:mentions>
      <x18tc:mention mentionpersonId="{b9b1aeb8-5f20-4f60-ae18-db24233ec16a}" mentionId="{13655225-d2fd-4894-a09a-0ca077a9f533}" startIndex="0" length="27"/>
      <x18tc:mention mentionpersonId="{d8730ab5-af07-4a59-8fee-5f1a15d8b6e4}" mentionId="{7bddf847-7a39-44ab-913f-7ad719e4685d}" startIndex="28" length="23"/>
    </x18tc:mentions>
  </x18tc:threadedComment>
  <x18tc:threadedComment ref="A1" dT="2026-02-03T16:42:21.00" personId="{95a225ac-66e7-4c89-96c6-56a2172839b4}" id="{6ef6e134-a125-479c-bf7a-12be9beb791a}" parentId="{2bf33be6-68e4-4460-a222-f40b11c6c724}">
    <x18tc:text xml:space="preserve">Good to go</x18tc:text>
  </x18tc:threadedComment>
  <x18tc:threadedComment ref="K16" dT="2026-03-11T18:33:16.00" personId="{5d589dcc-bde0-44b1-b8bd-aa54a3802df9}" id="{5bbb80f5-e809-4340-9008-946f761588e7}" done="1">
    <x18tc:text xml:space="preserve">easter dip starting</x18tc:text>
  </x18tc:threadedComment>
  <x18tc:threadedComment ref="A1" dT="2026-02-11T07:03:28.00" personId="{5d589dcc-bde0-44b1-b8bd-aa54a3802df9}" id="{0efceae7-c759-4781-9b8f-aaf526dfc069}" done="1">
    <x18tc:text xml:space="preserve">@sam.quaife@factor75.eu any concerns here?</x18tc:text>
    <x18tc:mentions>
      <x18tc:mention mentionpersonId="{d8730ab5-af07-4a59-8fee-5f1a15d8b6e4}" mentionId="{b59d830e-c7b1-4294-83ba-4a17ffbce69c}" startIndex="0" length="23"/>
    </x18tc:mentions>
  </x18tc:threadedComment>
  <x18tc:threadedComment ref="A1" dT="2026-02-11T07:03:16.00" personId="{5d589dcc-bde0-44b1-b8bd-aa54a3802df9}" id="{03451e8d-d1e5-498e-a479-16cf8398e2ee}" done="1">
    <x18tc:text xml:space="preserve">@tyler.sandlant@factor75.eu any concerns here?</x18tc:text>
    <x18tc:mentions>
      <x18tc:mention mentionpersonId="{b9b1aeb8-5f20-4f60-ae18-db24233ec16a}" mentionId="{b2cb6d94-beff-4f94-b0b4-b4b44e4d0848}" startIndex="0" length="27"/>
    </x18tc:mentions>
  </x18tc:threadedComment>
  <x18tc:threadedComment ref="K10" dT="2026-03-11T18:33:37.00" personId="{5d589dcc-bde0-44b1-b8bd-aa54a3802df9}" id="{6edef948-60a0-496c-bd4b-63019e15771d}" done="1">
    <x18tc:text xml:space="preserve">updated to actuals until W08 - after budgeted figures</x18tc:text>
  </x18tc:threadedComment>
  <x18tc:threadedComment ref="A1" dT="2026-01-30T09:33:00.00" personId="{eed1323e-919d-4e67-a393-1909d7bc3d1a}" id="{28ac97e6-9ee2-4931-9256-fc0622de3f62}" done="0">
    <x18tc:text xml:space="preserve">@carol.england@factor75.eu  could you go through Tyler's comments? Thank you!
Assigned to carol.england@factor75.eu</x18tc:text>
    <x18tc:mentions>
      <x18tc:mention mentionpersonId="{e73254f3-38db-449f-8ef1-149e10740a6c}" mentionId="{5e81e0cf-af78-40a6-95d6-dfdb43959f7c}" startIndex="0" length="26"/>
    </x18tc:mentions>
  </x18tc:threadedComment>
  <x18tc:threadedComment ref="A1" dT="2026-01-30T09:56:56.00" personId="{f3029071-9288-44f9-a7f8-09ea6954cdd8}" id="{70f4876b-d2e3-4319-ba81-b6cc2216752b}" parentId="{28ac97e6-9ee2-4931-9256-fc0622de3f62}">
    <x18tc:text xml:space="preserve">Reviewed - @tyler.sandlant@factor75.eu added a couple questions</x18tc:text>
    <x18tc:mentions>
      <x18tc:mention mentionpersonId="{b9b1aeb8-5f20-4f60-ae18-db24233ec16a}" mentionId="{32e6c72a-df29-40a3-8ca2-9956d926135c}" startIndex="11" length="27"/>
    </x18tc:mentions>
  </x18tc:threadedComment>
  <x18tc:threadedComment ref="A1" dT="2026-02-03T08:50:17.00" personId="{17da4a2d-22ab-47fa-be83-aeb6cd548b97}" id="{361fc280-061b-4096-931c-c03fae65d2ab}" done="1">
    <x18tc:text xml:space="preserve">Mirepoix is the only potential risk here given it has a 5 week lead time and is being onboarded - Will get an update today @cornelia.binder@factor75.eu
1 total reaction
Cornelia Binder reacted with 👍 at 2026-02-03 15:51 PM</x18tc:text>
    <x18tc:mentions>
      <x18tc:mention mentionpersonId="{fd8a6896-dfde-410a-8d6a-ac9b9883514b}" mentionId="{48516589-e892-4fd8-ae08-62a800e5e715}" startIndex="123" length="28"/>
    </x18tc:mentions>
  </x18tc:threadedComment>
  <x18tc:threadedComment ref="A1" dT="2026-02-11T06:43:16.00" personId="{5d589dcc-bde0-44b1-b8bd-aa54a3802df9}" id="{aae34eeb-423b-40b3-9298-61a51c5cd439}" parentId="{361fc280-061b-4096-931c-c03fae65d2ab}">
    <x18tc:text xml:space="preserve">Thank you - do we have an update on it already @sam.quaife@factor75.eu ?</x18tc:text>
    <x18tc:mentions>
      <x18tc:mention mentionpersonId="{d8730ab5-af07-4a59-8fee-5f1a15d8b6e4}" mentionId="{613b38c8-f7e3-40c3-b5a7-2e4232c83381}" startIndex="47" length="23"/>
    </x18tc:mentions>
  </x18tc:threadedComment>
  <x18tc:threadedComment ref="A1" dT="2026-02-11T08:28:19.00" personId="{17da4a2d-22ab-47fa-be83-aeb6cd548b97}" id="{4d470194-c1ab-45eb-b794-6188186e7fbf}" parentId="{361fc280-061b-4096-931c-c03fae65d2ab}">
    <x18tc:text xml:space="preserve">The supplier has a BRC audit this week so this is delaying us slightly 
The mirepoix is a Factor only formulation so the data they need is not readily available 
I can place a PO to ensure we will have it but let me double check with Roo today</x18tc:text>
  </x18tc:threadedComment>
  <x18tc:threadedComment ref="D18" dT="2026-03-04T08:31:56.00" personId="{29ccff1a-04e1-4fef-b414-87eb20ace776}" id="{a07e0116-e604-4de5-bb8b-126f7c4dd0d2}" done="1">
    <x18tc:text xml:space="preserve">@cornelia.binder@factor75.eu @dimitrios.psinakis@factor75.eu we launch April 13th which is W16 correct?
Assigned to cornelia.binder@factor75.eu</x18tc:text>
    <x18tc:mentions>
      <x18tc:mention mentionpersonId="{fd8a6896-dfde-410a-8d6a-ac9b9883514b}" mentionId="{dd4b43da-038b-4102-bc94-40467fc93cd9}" startIndex="0" length="28"/>
      <x18tc:mention mentionpersonId="{af256842-732b-4a2c-a51c-65e566c7426f}" mentionId="{cdfabbb7-786a-4d0e-8caf-7e7587380ae8}" startIndex="29" length="31"/>
    </x18tc:mentions>
  </x18tc:threadedComment>
  <x18tc:threadedComment ref="D18" dT="2026-03-04T09:05:54.00" personId="{5d589dcc-bde0-44b1-b8bd-aa54a3802df9}" id="{acf6ae96-5cfb-460a-bd28-09908038de8c}" parentId="{a07e0116-e604-4de5-bb8b-126f7c4dd0d2}">
    <x18tc:text xml:space="preserve">this is HF Menu / Delivery Week - which is W17 if we start cooking on the 13th</x18tc:text>
  </x18tc:threadedComment>
  <x18tc:threadedComment ref="D18" dT="2026-03-04T09:09:51.00" personId="{29ccff1a-04e1-4fef-b414-87eb20ace776}" id="{2d6290b4-cdfe-4835-afdd-a5beaef66691}" parentId="{a07e0116-e604-4de5-bb8b-126f7c4dd0d2}">
    <x18tc:text xml:space="preserve">Got it</x18tc:text>
  </x18tc:threadedComment>
  <x18tc:threadedComment ref="A1" dT="2026-02-03T09:47:41.00" personId="{17da4a2d-22ab-47fa-be83-aeb6cd548b97}" id="{9d2e3a32-103e-4379-8aa2-74847d4102b3}" done="1">
    <x18tc:text xml:space="preserve">@carol.england@factor75.eu all good if we can swap wild rice to brown basmati</x18tc:text>
    <x18tc:mentions>
      <x18tc:mention mentionpersonId="{e73254f3-38db-449f-8ef1-149e10740a6c}" mentionId="{aa61fc49-e3a2-4389-87fd-cdfe1d77019e}" startIndex="0" length="26"/>
    </x18tc:mentions>
  </x18tc:threadedComment>
  <x18tc:threadedComment ref="A1" dT="2026-04-02T14:09:54.00" personId="{f3029071-9288-44f9-a7f8-09ea6954cdd8}" id="{2e1ae4cd-c4b6-4e3d-ac8d-01198eee1029}" done="1">
    <x18tc:text xml:space="preserve">@cornelia.binder@factor75.eu idk how your sheet works but can you swap these shrimp meals?</x18tc:text>
    <x18tc:mentions>
      <x18tc:mention mentionpersonId="{fd8a6896-dfde-410a-8d6a-ac9b9883514b}" mentionId="{a80ef8b0-7d84-4197-9ce0-af7072a9a5e0}" startIndex="0" length="28"/>
    </x18tc:mentions>
  </x18tc:threadedComment>
  <x18tc:threadedComment ref="K19" dT="2026-03-11T18:54:45.00" personId="{5d589dcc-bde0-44b1-b8bd-aa54a3802df9}" id="{03081da5-fe60-4f71-a74e-8341b6faadda}" done="0">
    <x18tc:text xml:space="preserve">Updated Growth Model Figures until W16, Budgeted Figures from W19</x18tc:text>
  </x18tc:threadedComment>
  <x18tc:threadedComment ref="A1" dT="2026-02-03T07:51:19.00" personId="{5d589dcc-bde0-44b1-b8bd-aa54a3802df9}" id="{837a5492-56fc-4365-842c-31f8387c705b}" done="1">
    <x18tc:text xml:space="preserve">@tyler.sandlant@factor75.eu could you just tick off if all good from your side here please?</x18tc:text>
    <x18tc:mentions>
      <x18tc:mention mentionpersonId="{b9b1aeb8-5f20-4f60-ae18-db24233ec16a}" mentionId="{e98c5358-efee-4d1d-8c16-ca3679c3b499}" startIndex="0" length="27"/>
    </x18tc:mentions>
  </x18tc:threadedComment>
  <x18tc:threadedComment ref="A1" dT="2026-02-11T07:01:29.00" personId="{5d589dcc-bde0-44b1-b8bd-aa54a3802df9}" id="{cf67c7bf-2131-4573-8fcd-915fac09f9c2}" done="1">
    <x18tc:text xml:space="preserve">@carol.england@factor75.eu this one's in MSKU already now, right?</x18tc:text>
    <x18tc:mentions>
      <x18tc:mention mentionpersonId="{e73254f3-38db-449f-8ef1-149e10740a6c}" mentionId="{115c31c0-04d3-41bb-929d-edc3ed3b5e7d}" startIndex="0" length="26"/>
    </x18tc:mentions>
  </x18tc:threadedComment>
  <x18tc:threadedComment ref="A1" dT="2026-02-11T07:52:13.00" personId="{f3029071-9288-44f9-a7f8-09ea6954cdd8}" id="{fae57ad1-d344-4923-a2d6-c69f627cfd20}" parentId="{cf67c7bf-2131-4573-8fcd-915fac09f9c2}">
    <x18tc:text xml:space="preserve">yes it is!</x18tc:text>
  </x18tc:threadedComment>
  <x18tc:threadedComment ref="A1" dT="2026-02-11T06:58:44.00" personId="{5d589dcc-bde0-44b1-b8bd-aa54a3802df9}" id="{9b5bcc7d-54fe-4e52-9d8f-0d7f2f2580a4}" done="1">
    <x18tc:text xml:space="preserve">@sam.quaife@factor75.eu any concerns here?</x18tc:text>
    <x18tc:mentions>
      <x18tc:mention mentionpersonId="{d8730ab5-af07-4a59-8fee-5f1a15d8b6e4}" mentionId="{2ca9fca0-869b-4578-8ef8-3675ea29329a}" startIndex="0" length="23"/>
    </x18tc:mentions>
  </x18tc:threadedComment>
  <x18tc:threadedComment ref="A1" dT="2026-02-03T07:51:50.00" personId="{5d589dcc-bde0-44b1-b8bd-aa54a3802df9}" id="{19a64b5c-47dc-42d6-85f1-73689d99a0a7}" done="1">
    <x18tc:text xml:space="preserve">@sam.quaife@factor75.eu could you just tick off if all good from your side here please?</x18tc:text>
    <x18tc:mentions>
      <x18tc:mention mentionpersonId="{d8730ab5-af07-4a59-8fee-5f1a15d8b6e4}" mentionId="{2e0b9395-e3ca-40a9-859c-66a95e21f8a5}" startIndex="0" length="23"/>
    </x18tc:mentions>
  </x18tc:threadedComment>
  <x18tc:threadedComment ref="A1" dT="2026-01-28T11:47:33.00" personId="{f3029071-9288-44f9-a7f8-09ea6954cdd8}" id="{40644748-3db0-4fd5-af92-6afe994a0912}" done="0">
    <x18tc:text xml:space="preserve">high risk - lets see how tasting goes</x18tc:text>
  </x18tc:threadedComment>
  <x18tc:threadedComment ref="A1" dT="2026-02-03T09:41:12.00" personId="{17da4a2d-22ab-47fa-be83-aeb6cd548b97}" id="{ede1299d-036d-4255-a01e-3624a0862bcc}" done="1">
    <x18tc:text xml:space="preserve">@carol.england@factor75.eu Risk - No shrimp timeline and no Brown Jasmine rice at this stage (still onboarding)
Assigned to carol.england@factor75.eu</x18tc:text>
    <x18tc:mentions>
      <x18tc:mention mentionpersonId="{e73254f3-38db-449f-8ef1-149e10740a6c}" mentionId="{972e7ba4-30b4-486b-9085-02989513cb8a}" startIndex="0" length="26"/>
    </x18tc:mentions>
  </x18tc:threadedComment>
  <x18tc:threadedComment ref="A1" dT="2026-02-11T06:58:35.00" personId="{5d589dcc-bde0-44b1-b8bd-aa54a3802df9}" id="{b308640b-b90c-43b0-9a66-f3f533c7c465}" done="1">
    <x18tc:text xml:space="preserve">@tyler.sandlant@factor75.eu any concerns here?</x18tc:text>
    <x18tc:mentions>
      <x18tc:mention mentionpersonId="{b9b1aeb8-5f20-4f60-ae18-db24233ec16a}" mentionId="{ab14bac4-07ef-4ad5-a2ce-56cb5076ab1d}" startIndex="0" length="27"/>
    </x18tc:mentions>
  </x18tc:threadedComment>
  <x18tc:threadedComment ref="A1" dT="2026-01-28T11:48:54.00" personId="{f3029071-9288-44f9-a7f8-09ea6954cdd8}" id="{6a8c03d3-d98a-4284-b5bb-8cbda1c268bc}" done="0">
    <x18tc:text xml:space="preserve">we can work around if needed i think...</x18tc:text>
  </x18tc:threadedComment>
  <x18tc:threadedComment ref="M29" dT="2026-02-04T09:04:06.00" personId="{29ccff1a-04e1-4fef-b414-87eb20ace776}" id="{65f2c6f5-5d6f-47ad-acc5-694e9b51f01b}" done="1">
    <x18tc:text xml:space="preserve">With zero unique meals at the coman how do we expect 2590 meal volumes?</x18tc:text>
  </x18tc:threadedComment>
  <x18tc:threadedComment ref="A1" dT="2026-01-28T07:39:18.00" personId="{eed1323e-919d-4e67-a393-1909d7bc3d1a}" id="{ad3061b3-ea36-496d-956b-db3a5431ac3d}" done="1">
    <x18tc:text xml:space="preserve">This one can be either salmon or beef. I assume we won't want new meals in slot 4? @carol.england@factor75.eu 
One option I have is this one - it is executed quite well at Maitre, however, with 2026 Q1 pricing is very difficult to plan. Can't find it in the sourcing sheet</x18tc:text>
    <x18tc:mentions>
      <x18tc:mention mentionpersonId="{e73254f3-38db-449f-8ef1-149e10740a6c}" mentionId="{72d7cc78-cb72-4d10-b650-630cefef55a0}" startIndex="83" length="26"/>
    </x18tc:mentions>
  </x18tc:threadedComment>
  <x18tc:threadedComment ref="A1" dT="2026-02-03T17:08:59.00" personId="{95a225ac-66e7-4c89-96c6-56a2172839b4}" id="{e42aa91f-66e6-42ac-a272-93b63b2f8106}" done="1">
    <x18tc:text xml:space="preserve">Fenugreek Leaves and Makrut lime powder not sourced yet.</x18tc:text>
  </x18tc:threadedComment>
  <x18tc:threadedComment ref="A1" dT="2026-02-11T07:04:50.00" personId="{5d589dcc-bde0-44b1-b8bd-aa54a3802df9}" id="{9a2f3129-a5d2-467f-b22b-0f36284c3ae6}" parentId="{e42aa91f-66e6-42ac-a272-93b63b2f8106}">
    <x18tc:text xml:space="preserve">@tyler.sandlant@factor75.eu has the status here changed? 
@carol.england@factor75.eu are those essential for this recipe, or can they be swapped?</x18tc:text>
    <x18tc:mentions>
      <x18tc:mention mentionpersonId="{b9b1aeb8-5f20-4f60-ae18-db24233ec16a}" mentionId="{5ea55ebe-ecd1-4a93-bb7f-aa949e0e0976}" startIndex="0" length="27"/>
      <x18tc:mention mentionpersonId="{e73254f3-38db-449f-8ef1-149e10740a6c}" mentionId="{be2884f9-ca9e-4ac0-a09d-93b2e5779bdf}" startIndex="59" length="26"/>
    </x18tc:mentions>
  </x18tc:threadedComment>
  <x18tc:threadedComment ref="A1" dT="2026-02-11T07:53:23.00" personId="{f3029071-9288-44f9-a7f8-09ea6954cdd8}" id="{997c52a9-69b3-44b6-b30c-ecf056ecf957}" parentId="{e42aa91f-66e6-42ac-a272-93b63b2f8106}">
    <x18tc:text xml:space="preserve">not ideal but since we have limited options we can swap</x18tc:text>
  </x18tc:threadedComment>
  <x18tc:threadedComment ref="A1" dT="2026-01-28T11:49:56.00" personId="{f3029071-9288-44f9-a7f8-09ea6954cdd8}" id="{74821c8b-7ade-400c-b452-b4e388a2877a}" done="0">
    <x18tc:text xml:space="preserve">@migle.labeikyte@factor75.eu added this!</x18tc:text>
    <x18tc:mentions>
      <x18tc:mention mentionpersonId="{737d4e43-26d2-497b-ba91-17e40ecc19f6}" mentionId="{eef09d26-4475-4a93-980d-7b297ad9fd2d}" startIndex="0" length="28"/>
    </x18tc:mentions>
  </x18tc:threadedComment>
  <x18tc:threadedComment ref="A1" dT="2026-01-28T12:01:22.00" personId="{f3029071-9288-44f9-a7f8-09ea6954cdd8}" id="{c3da5047-4aea-4b4e-9c3d-b6392ea0f718}" parentId="{74821c8b-7ade-400c-b452-b4e388a2877a}">
    <x18tc:text xml:space="preserve">We need to figure out the onboarding process for verden specific meals</x18tc:text>
  </x18tc:threadedComment>
  <x18tc:threadedComment ref="A1" dT="2026-02-23T16:45:50.00" personId="{b98a10b7-0921-4b3a-b92d-21598ec79d6e}" id="{41c198d1-369c-4fb2-b60c-7ffa9381cb93}" done="1">
    <x18tc:text xml:space="preserve">@christoph.struckmann@factor75.eu please see WFS Phasing that feeds into capacity planning.
Can you please confirm if values are accurate still?
Assigned to christoph.struckmann@factor75.eu</x18tc:text>
    <x18tc:mentions>
      <x18tc:mention mentionpersonId="{cb0a0229-de9d-4799-83e0-13a4cbc9d267}" mentionId="{b3c751e9-2714-4301-bdb6-dc3a64bda801}" startIndex="0" length="33"/>
    </x18tc:mentions>
  </x18tc:threadedComment>
  <x18tc:threadedComment ref="A1" dT="2026-03-05T10:26:55.00" personId="{b98a10b7-0921-4b3a-b92d-21598ec79d6e}" id="{d28ea5ab-4880-49fe-933a-02d247d644c9}" parentId="{41c198d1-369c-4fb2-b60c-7ffa9381cb93}">
    <x18tc:text xml:space="preserve">@christoph.struckmann@factor75.eu can you please come back on this.</x18tc:text>
    <x18tc:mentions>
      <x18tc:mention mentionpersonId="{cb0a0229-de9d-4799-83e0-13a4cbc9d267}" mentionId="{c8a946c2-4b4c-44ea-8bb2-45283312b332}" startIndex="0" length="33"/>
    </x18tc:mentions>
  </x18tc:threadedComment>
  <x18tc:threadedComment ref="A1" dT="2026-02-03T10:15:52.00" personId="{95a225ac-66e7-4c89-96c6-56a2172839b4}" id="{c9bd98a9-069f-4c46-95aa-7e3c0d7bbf61}" done="0">
    <x18tc:text xml:space="preserve">Challenging @carol.england@factor75.eu</x18tc:text>
    <x18tc:mentions>
      <x18tc:mention mentionpersonId="{e73254f3-38db-449f-8ef1-149e10740a6c}" mentionId="{23926dbb-2662-475d-a056-05e21fe4925f}" startIndex="12" length="26"/>
    </x18tc:mentions>
  </x18tc:threadedComment>
  <x18tc:threadedComment ref="A1" dT="2026-01-28T07:28:55.00" personId="{eed1323e-919d-4e67-a393-1909d7bc3d1a}" id="{be8c99bf-ac94-4e8f-94f0-f7390fa850a5}" done="1">
    <x18tc:text xml:space="preserve">@cornelia.binder@factor75.eu  working in the draft first until we confirm those meals!
@cornelia.binder@factor75.eu did you get a response whether shredded chicken here is ok?
@carol.england@factor75.eu for this slot we need a non-chicken breast meal due to equipment constraints (for this week only). So another option is Indian curry, but this one is performing ok at Maitre. So I thought we could plan shredded chicken? What are you thoughts?</x18tc:text>
    <x18tc:mentions>
      <x18tc:mention mentionpersonId="{fd8a6896-dfde-410a-8d6a-ac9b9883514b}" mentionId="{fd85d491-3654-435f-ba1a-78362edb11ec}" startIndex="0" length="28"/>
      <x18tc:mention mentionpersonId="{fd8a6896-dfde-410a-8d6a-ac9b9883514b}" mentionId="{1eacd681-7d61-430e-81c5-c9bf1bbbb7a7}" startIndex="88" length="28"/>
      <x18tc:mention mentionpersonId="{e73254f3-38db-449f-8ef1-149e10740a6c}" mentionId="{61a63268-f948-4ffc-985f-08be4945ea9f}" startIndex="178" length="26"/>
    </x18tc:mentions>
  </x18tc:threadedComment>
  <x18tc:threadedComment ref="A1" dT="2026-01-28T08:04:15.00" personId="{eed1323e-919d-4e67-a393-1909d7bc3d1a}" id="{882711e9-061c-4471-8ff0-e3e26756a89f}" parentId="{be8c99bf-ac94-4e8f-94f0-f7390fa850a5}">
    <x18tc:text xml:space="preserve">Shredded chicken does not work for this week unfortunately, so the only option is diced chicken(Indian style butter chicken)</x18tc:text>
  </x18tc:threadedComment>
  <x18tc:threadedComment ref="A1" dT="2026-02-11T07:05:11.00" personId="{5d589dcc-bde0-44b1-b8bd-aa54a3802df9}" id="{12dc6814-5b42-4a80-bdb1-d3c61dcd2178}" done="1">
    <x18tc:text xml:space="preserve">@sam.quaife@factor75.eu what's the status here from your side?</x18tc:text>
    <x18tc:mentions>
      <x18tc:mention mentionpersonId="{d8730ab5-af07-4a59-8fee-5f1a15d8b6e4}" mentionId="{3ba1328e-386b-41e2-ad53-c41fb6e14cc1}" startIndex="0" length="23"/>
    </x18tc:mentions>
  </x18tc:threadedComment>
  <x18tc:threadedComment ref="A1" dT="2026-02-03T17:06:05.00" personId="{95a225ac-66e7-4c89-96c6-56a2172839b4}" id="{09035d4f-b516-460b-bcd2-fbcb568d8eea}" done="1">
    <x18tc:text xml:space="preserve">Just buttermilk. 80% through fsqa onboarding. Should be fine</x18tc:text>
  </x18tc:threadedComment>
  <x18tc:threadedComment ref="A1" dT="2026-02-10T11:55:06.00" personId="{5a9bc371-b402-4681-aa68-a68bf2223aa6}" id="{e10573b2-452b-465a-ba1a-13f4ca0af70e}" parentId="{09035d4f-b516-460b-bcd2-fbcb568d8eea}">
    <x18tc:text xml:space="preserve">@tyler.sandlant@factor75.eu when can we expect nutritional values/100g so I can finalize nutrition calcs?
cc @dafna@hellofresh.nl</x18tc:text>
    <x18tc:mentions>
      <x18tc:mention mentionpersonId="{b9b1aeb8-5f20-4f60-ae18-db24233ec16a}" mentionId="{cc74352c-5c18-4415-b74e-a8453179a71c}" startIndex="0" length="27"/>
      <x18tc:mention mentionpersonId="{213e4ab3-462b-4aef-95fe-5edca673eefb}" mentionId="{65a6e2d7-b941-49c5-9e27-263889b9018d}" startIndex="110" length="20"/>
    </x18tc:mentions>
  </x18tc:threadedComment>
  <x18tc:threadedComment ref="A1" dT="2026-02-11T06:42:46.00" personId="{5d589dcc-bde0-44b1-b8bd-aa54a3802df9}" id="{cd56355f-4522-452a-b5b4-6612690fcdd3}" parentId="{09035d4f-b516-460b-bcd2-fbcb568d8eea}">
    <x18tc:text xml:space="preserve">@tyler.sandlant@factor75.eu what's the buttermilk status now?</x18tc:text>
    <x18tc:mentions>
      <x18tc:mention mentionpersonId="{b9b1aeb8-5f20-4f60-ae18-db24233ec16a}" mentionId="{eaf5bc96-6552-4879-b1f5-2d9adee787c7}" startIndex="0" length="27"/>
    </x18tc:mentions>
  </x18tc:threadedComment>
  <x18tc:threadedComment ref="A1" dT="2026-02-03T09:15:02.00" personId="{f3029071-9288-44f9-a7f8-09ea6954cdd8}" id="{bdab3e18-0b8d-4499-9b72-83142af09fde}" done="1">
    <x18tc:text xml:space="preserve">@cornelia.binder@factor75.eu is this for me? what am i checking off haha</x18tc:text>
    <x18tc:mentions>
      <x18tc:mention mentionpersonId="{fd8a6896-dfde-410a-8d6a-ac9b9883514b}" mentionId="{dd2ce155-41e4-49a1-b595-dff75353eba7}" startIndex="0" length="28"/>
    </x18tc:mentions>
  </x18tc:threadedComment>
  <x18tc:threadedComment ref="A1" dT="2026-01-28T11:51:34.00" personId="{f3029071-9288-44f9-a7f8-09ea6954cdd8}" id="{7b88230e-374f-4e81-8e6c-8968b2f3072e}" done="0">
    <x18tc:text xml:space="preserve">@migle.labeikyte@factor75.eu slotted this in
1 total reaction
Cornelia Binder reacted with 😋 at 2026-01-28 18:10 PM</x18tc:text>
    <x18tc:mentions>
      <x18tc:mention mentionpersonId="{737d4e43-26d2-497b-ba91-17e40ecc19f6}" mentionId="{b8cdf298-5e70-4819-92e0-40ce363c4a74}" startIndex="0" length="28"/>
    </x18tc:mentions>
  </x18tc:threadedComment>
  <x18tc:threadedComment ref="A1" dT="2026-02-03T09:45:42.00" personId="{17da4a2d-22ab-47fa-be83-aeb6cd548b97}" id="{2d0ecc7c-43fb-4d48-8520-132b2eda1889}" done="1">
    <x18tc:text xml:space="preserve">Shrimp is a risk @cornelia.binder@factor75.eu @carol.england@factor75.eu</x18tc:text>
    <x18tc:mentions>
      <x18tc:mention mentionpersonId="{fd8a6896-dfde-410a-8d6a-ac9b9883514b}" mentionId="{671f8209-31be-4208-b807-2505d6399547}" startIndex="17" length="28"/>
      <x18tc:mention mentionpersonId="{e73254f3-38db-449f-8ef1-149e10740a6c}" mentionId="{b6382f81-9b6a-4d33-bf13-c71262f1bdfa}" startIndex="46" length="26"/>
    </x18tc:mentions>
  </x18tc:threadedComment>
  <x18tc:threadedComment ref="A1" dT="2026-02-11T07:04:00.00" personId="{5d589dcc-bde0-44b1-b8bd-aa54a3802df9}" id="{0a228bc2-aa10-4460-9124-3aad138b48c7}" done="1">
    <x18tc:text xml:space="preserve">@carol.england@factor75.eu would we want to replace this one with a white fish recipe as well?</x18tc:text>
    <x18tc:mentions>
      <x18tc:mention mentionpersonId="{e73254f3-38db-449f-8ef1-149e10740a6c}" mentionId="{e0d9cf39-14f9-45f1-bd16-b5994972f825}" startIndex="0" length="26"/>
    </x18tc:mentions>
  </x18tc:threadedComment>
  <x18tc:threadedComment ref="A1" dT="2026-01-28T08:05:03.00" personId="{eed1323e-919d-4e67-a393-1909d7bc3d1a}" id="{cc6470ea-0778-4efd-aacb-f09785674e7a}" done="1">
    <x18tc:text xml:space="preserve">@carol.england@factor75.eu  are you ok with moving this first? My reasoning is purely costs, this is very difficult to plan right now
Assigned to carol.england@factor75.eu</x18tc:text>
    <x18tc:mentions>
      <x18tc:mention mentionpersonId="{e73254f3-38db-449f-8ef1-149e10740a6c}" mentionId="{14513908-bf03-425a-ab5d-07c58a458ceb}" startIndex="0" length="26"/>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16" dT="2026-03-23T17:56:53.00" personId="{5d589dcc-bde0-44b1-b8bd-aa54a3802df9}" id="{bf3d9026-69b2-4ddc-b268-301fb0be434e}" done="1">
    <x18tc:text xml:space="preserve">Growth Model Numbers until here</x18tc:text>
  </x18tc:threadedComment>
  <x18tc:threadedComment ref="R4" dT="2026-03-05T10:36:43.00" personId="{b98a10b7-0921-4b3a-b92d-21598ec79d6e}" id="{bf0ca320-8a8c-440f-beb6-f5a72e9f58d4}" done="1">
    <x18tc:text xml:space="preserve">@cornelia.binder@factor75.eu @dimitrios.psinakis@factor75.eu just to be clear; this is the volume required for production CW16 - is that correct?
Assigned to cornelia.binder@factor75.eu</x18tc:text>
    <x18tc:mentions>
      <x18tc:mention mentionpersonId="{fd8a6896-dfde-410a-8d6a-ac9b9883514b}" mentionId="{4d8510ee-6f83-44d5-95ec-7024b6641ad6}" startIndex="0" length="28"/>
      <x18tc:mention mentionpersonId="{af256842-732b-4a2c-a51c-65e566c7426f}" mentionId="{2987580b-0489-4b07-89a4-7c8ad54ed9c5}" startIndex="29" length="31"/>
    </x18tc:mentions>
  </x18tc:threadedComment>
  <x18tc:threadedComment ref="R4" dT="2026-03-05T13:16:37.00" personId="{5d589dcc-bde0-44b1-b8bd-aa54a3802df9}" id="{a70ed684-0237-4b0b-a9e4-db53518cff3e}" parentId="{bf0ca320-8a8c-440f-beb6-f5a72e9f58d4}">
    <x18tc:text xml:space="preserve">correct - Production Week 16 (first cooking day 13.4.) - Menu Week 17</x18tc:text>
  </x18tc:threadedComment>
  <x18tc:threadedComment ref="W3" dT="2026-04-10T11:39:29.00" personId="{d9ae845f-a08d-4980-85a2-792c002761d9}" id="{4f80d987-8e14-4aee-bd56-20b370b590a3}" done="0">
    <x18tc:text xml:space="preserve">moving to de Kas</x18tc:text>
  </x18tc:threadedComment>
  <x18tc:threadedComment ref="R16" dT="2026-03-11T18:51:52.00" personId="{5d589dcc-bde0-44b1-b8bd-aa54a3802df9}" id="{270df4ac-967f-4e95-a3c3-37edec77e744}" done="1">
    <x18tc:text xml:space="preserve">Growth Model Numbers until W16, Budgeted figures from W17 on</x18tc:text>
  </x18tc:threadedComment>
  <x18tc:threadedComment ref="U32" dT="2026-02-11T08:32:28.00" personId="{5d589dcc-bde0-44b1-b8bd-aa54a3802df9}" id="{bd68457c-3ccc-48c0-91b2-e096fd77e7da}" done="1">
    <x18tc:text xml:space="preserve">volumes from here on still business plan volumes and not adjusted to performance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F2" dT="2026-03-05T15:47:02.00" personId="{d9ae845f-a08d-4980-85a2-792c002761d9}" id="{827c5c96-d66b-4b60-a11b-4d975acd0fd2}" done="1">
    <x18tc:text xml:space="preserve">opening new DC BNL (PW 22, Menu week 23</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9" dT="2026-04-14T06:38:53.00" personId="{5a9bc371-b402-4681-aa68-a68bf2223aa6}" id="{189ebdac-f3de-4038-8989-904bc1df699b}" done="1">
    <x18tc:text xml:space="preserve">We can only run as keto, not P+ @cornelia.binder@factor75.eu @guilherme.terrarodrigues@factor75.eu
Assigned to cornelia.binder@factor75.eu</x18tc:text>
    <x18tc:mentions>
      <x18tc:mention mentionpersonId="{fd8a6896-dfde-410a-8d6a-ac9b9883514b}" mentionId="{4f15c4f3-ffa0-438e-b254-26d1341eb155}" startIndex="32" length="28"/>
      <x18tc:mention mentionpersonId="{0713dbf5-4283-4590-a6d8-7eb217786c5b}" mentionId="{a193cf51-2c65-4c5a-a55d-eeca4eaed372}" startIndex="61" length="37"/>
    </x18tc:mentions>
  </x18tc:threadedComment>
  <x18tc:threadedComment ref="D19" dT="2026-04-14T13:18:23.00" personId="{6ec4fcef-c234-4b0b-a0cf-8c187821541d}" id="{85613c04-ba6a-491f-8e1e-a2814df49da1}" parentId="{189ebdac-f3de-4038-8989-904bc1df699b}">
    <x18tc:text xml:space="preserve">Hi! Switched it with Spicy Citrus Salmon (Slot 6)!!</x18tc:text>
  </x18tc:threadedComment>
  <x18tc:threadedComment ref="D19" dT="2026-04-14T13:50:12.00" personId="{5a9bc371-b402-4681-aa68-a68bf2223aa6}" id="{ac0fc50d-3603-47d5-9180-43ac0cd98cbf}" parentId="{189ebdac-f3de-4038-8989-904bc1df699b}">
    <x18tc:text xml:space="preserve">spicy citrus salmon is also a keto meal! @guilherme.terrarodrigues@factor75.eu</x18tc:text>
    <x18tc:mentions>
      <x18tc:mention mentionpersonId="{0713dbf5-4283-4590-a6d8-7eb217786c5b}" mentionId="{efe4188c-5a79-464b-8935-f42bf7a322d4}" startIndex="41" length="37"/>
    </x18tc:mentions>
  </x18tc:threadedComment>
  <x18tc:threadedComment ref="D19" dT="2026-04-14T13:50:39.00" personId="{5a9bc371-b402-4681-aa68-a68bf2223aa6}" id="{45caafe1-f4b1-4468-a404-2c08aa7d555e}" parentId="{189ebdac-f3de-4038-8989-904bc1df699b}">
    <x18tc:text xml:space="preserve">see new verden database :)</x18tc:text>
  </x18tc:threadedComment>
  <x18tc:threadedComment ref="B16" dT="2026-02-03T16:00:47.00" personId="{5d589dcc-bde0-44b1-b8bd-aa54a3802df9}" id="{c6ca5f72-425e-4ea0-86ed-795bd16a7bf5}" done="1">
    <x18tc:text xml:space="preserve">@tyler.sandlant@factor75.eu @sam.quaife@factor75.eu this is the other selection - should have all available ingredients (+also more heavy cream @tyler.sandlant@factor75.eu :) ) - we would take out wine - Carol will share, it's a US meal at the moment
1 total reaction
Tyler Sandlant reacted with 🍦 at 2026-02-03 17:04 PM</x18tc:text>
    <x18tc:mentions>
      <x18tc:mention mentionpersonId="{b9b1aeb8-5f20-4f60-ae18-db24233ec16a}" mentionId="{fe9bdab5-13b2-4b75-89ae-2093bfe3cf82}" startIndex="0" length="27"/>
      <x18tc:mention mentionpersonId="{d8730ab5-af07-4a59-8fee-5f1a15d8b6e4}" mentionId="{b6c47f9f-1616-445c-b0b7-48cba41bb10a}" startIndex="28" length="23"/>
      <x18tc:mention mentionpersonId="{b9b1aeb8-5f20-4f60-ae18-db24233ec16a}" mentionId="{8ddfe986-511d-48d3-a18f-41f4da763ed1}" startIndex="144" length="27"/>
    </x18tc:mentions>
  </x18tc:threadedComment>
  <x18tc:threadedComment ref="B16" dT="2026-02-03T16:17:02.00" personId="{f3029071-9288-44f9-a7f8-09ea6954cdd8}" id="{b38d350b-8508-4a47-a968-f824e8a66369}" parentId="{c6ca5f72-425e-4ea0-86ed-795bd16a7bf5}">
    <x18tc:text xml:space="preserve">US export here, we would remove wine for launch: https://docs.google.com/spreadsheets/d/12eR8gqeXt6zISsVxAEzf3t-NWzoJ6YBp6c0OEP6uVOo/edit?gid=1484470003#gid=1484470003</x18tc:text>
    <x18tc:extLst>
      <ext uri="{F7C98A9C-CBB3-438F-8F68-D28B6AF4A901}">
        <xltc2:checksum/>
        <xltc2:hyperlink startIndex="49" length="118" url="https://docs.google.com/spreadsheets/d/12eR8gqeXt6zISsVxAEzf3t-NWzoJ6YBp6c0OEP6uVOo/edit?gid=1484470003#gid=1484470003"/>
      </ext>
    </x18tc:extLst>
  </x18tc:threadedComment>
  <x18tc:threadedComment ref="B16" dT="2026-02-11T07:52:43.00" personId="{f3029071-9288-44f9-a7f8-09ea6954cdd8}" id="{53dc1396-fce6-4e49-8036-cf336f8b3bb4}" parentId="{c6ca5f72-425e-4ea0-86ed-795bd16a7bf5}">
    <x18tc:text xml:space="preserve">has been added and updated to remove red wine in MSKU</x18tc:text>
  </x18tc:threadedComment>
  <x18tc:threadedComment ref="B16" dT="2026-02-11T08:54:19.00" personId="{5d589dcc-bde0-44b1-b8bd-aa54a3802df9}" id="{c904bac1-cbd0-44cb-a060-3859c04c2461}" parentId="{c6ca5f72-425e-4ea0-86ed-795bd16a7bf5}">
    <x18tc:text xml:space="preserve">thank you!!</x18tc:text>
  </x18tc:threadedComment>
  <x18tc:threadedComment ref="D17" dT="2026-03-18T05:51:10.00" personId="{5d589dcc-bde0-44b1-b8bd-aa54a3802df9}" id="{07d80af0-d4a9-4906-a41b-e3048fb27ff4}" done="1">
    <x18tc:text xml:space="preserve">@carol.england@factor75.eu this is the new meal here :)</x18tc:text>
    <x18tc:mentions>
      <x18tc:mention mentionpersonId="{e73254f3-38db-449f-8ef1-149e10740a6c}" mentionId="{9f432d74-049c-4dbf-ae57-64bee6ba7d46}" startIndex="0" length="26"/>
    </x18tc:mentions>
  </x18tc:threadedComment>
  <x18tc:threadedComment ref="B18" dT="2026-02-03T16:24:35.00" personId="{f3029071-9288-44f9-a7f8-09ea6954cdd8}" id="{7f8348fe-6dbd-45b4-84c0-8f71cbc65684}" done="1">
    <x18tc:text xml:space="preserve">@cornelia.binder@factor75.eu @tyler.sandlant@factor75.eu @sam.quaife@factor75.eu Here's an export of salmon meals that are not in MSKUY: https://docs.google.com/spreadsheets/d/1s5PwhJd01w5TCh7KMic8pLgkFkLEW8h9z99iVK0t3DY/edit?gid=2028254818#gid=2028254818 -- think some things might not be onboarded yet so if you an flag which ones i can see if we can work around them</x18tc:text>
    <x18tc:mentions>
      <x18tc:mention mentionpersonId="{fd8a6896-dfde-410a-8d6a-ac9b9883514b}" mentionId="{f3dce0a7-3953-4cf3-b81c-a09a38b5a1c6}" startIndex="0" length="28"/>
      <x18tc:mention mentionpersonId="{b9b1aeb8-5f20-4f60-ae18-db24233ec16a}" mentionId="{d1cc2f0d-95a0-4dd2-ba52-5bcfc56529e4}" startIndex="29" length="27"/>
      <x18tc:mention mentionpersonId="{d8730ab5-af07-4a59-8fee-5f1a15d8b6e4}" mentionId="{ead85df8-410f-43fa-924e-3196f3b540c6}" startIndex="57" length="23"/>
    </x18tc:mentions>
    <x18tc:extLst>
      <ext uri="{F7C98A9C-CBB3-438F-8F68-D28B6AF4A901}">
        <xltc2:checksum/>
        <xltc2:hyperlink startIndex="137" length="118" url="https://docs.google.com/spreadsheets/d/1s5PwhJd01w5TCh7KMic8pLgkFkLEW8h9z99iVK0t3DY/edit?gid=2028254818#gid=2028254818"/>
      </ext>
    </x18tc:extLst>
  </x18tc:threadedComment>
  <x18tc:threadedComment ref="B18" dT="2026-02-04T09:40:12.00" personId="{17da4a2d-22ab-47fa-be83-aeb6cd548b97}" id="{5ef3f6d1-d95c-46d8-91e1-aff242a19311}" parentId="{7f8348fe-6dbd-45b4-84c0-8f71cbc65684}">
    <x18tc:text xml:space="preserve">Pineapple, Pineapple Juice, coconut shavings, black beans, mango and lime powder are all not sourced or onboarding
@carol.england@factor75.eu</x18tc:text>
    <x18tc:mentions>
      <x18tc:mention mentionpersonId="{e73254f3-38db-449f-8ef1-149e10740a6c}" mentionId="{4e130d31-c895-4480-b4ac-d144f603295d}" startIndex="115" length="26"/>
    </x18tc:mentions>
  </x18tc:threadedComment>
  <x18tc:threadedComment ref="B18" dT="2026-02-04T09:51:58.00" personId="{f3029071-9288-44f9-a7f8-09ea6954cdd8}" id="{9a8ba574-3c90-4dd7-9228-116d66b793ad}" parentId="{7f8348fe-6dbd-45b4-84c0-8f71cbc65684}">
    <x18tc:text xml:space="preserve">we tasted and approved pineapple and mango recently, are those not in onboarding?
heard on the others!</x18tc:text>
  </x18tc:threadedComment>
  <x18tc:threadedComment ref="B18" dT="2026-02-10T21:16:11.00" personId="{f3029071-9288-44f9-a7f8-09ea6954cdd8}" id="{397f0f4a-e401-41d4-a5c2-31c37d83217d}" parentId="{7f8348fe-6dbd-45b4-84c0-8f71cbc65684}">
    <x18tc:text xml:space="preserve">Switched this meal! 
FE4009A - Salmon with a mustard dill sauce</x18tc:text>
  </x18tc:threadedComment>
  <x18tc:threadedComment ref="B17" dT="2026-03-04T16:50:04.00" personId="{f3029071-9288-44f9-a7f8-09ea6954cdd8}" id="{a3d938fd-8a5c-48ee-83c0-a5388eb45326}" done="1">
    <x18tc:text xml:space="preserve">@cornelia.binder@factor75.eu are we purposely running twice in launch?</x18tc:text>
    <x18tc:mentions>
      <x18tc:mention mentionpersonId="{fd8a6896-dfde-410a-8d6a-ac9b9883514b}" mentionId="{5a5c5e38-3367-4c77-bc82-042e6f192fb0}" startIndex="0" length="28"/>
    </x18tc:mentions>
  </x18tc:threadedComment>
  <x18tc:threadedComment ref="B9" dT="2026-02-06T15:40:40.00" personId="{5a9bc371-b402-4681-aa68-a68bf2223aa6}" id="{5f3e26c3-6541-492b-a90c-107eb624ea42}" done="1">
    <x18tc:text xml:space="preserve">@carol.england@factor75.eu in MSKU there is only FE4039A. Does this mean the recipe is still in development or is this the wrong code?
cc @dafna@hellofresh.nl</x18tc:text>
    <x18tc:mentions>
      <x18tc:mention mentionpersonId="{e73254f3-38db-449f-8ef1-149e10740a6c}" mentionId="{86b7643b-d27f-44e1-b13c-259d5b1fa19c}" startIndex="0" length="26"/>
      <x18tc:mention mentionpersonId="{213e4ab3-462b-4aef-95fe-5edca673eefb}" mentionId="{fb3f18ee-3f17-4c8b-8e28-d4e023fdcb34}" startIndex="138" length="20"/>
    </x18tc:mentions>
  </x18tc:threadedComment>
  <x18tc:threadedComment ref="B9" dT="2026-02-09T08:35:06.00" personId="{f3029071-9288-44f9-a7f8-09ea6954cdd8}" id="{f193072e-8bb9-46ac-93de-f4db47df37a7}" parentId="{5f3e26c3-6541-492b-a90c-107eb624ea42}">
    <x18tc:text xml:space="preserve">It means thats the wrong code - we will use the A version
1 total reaction
Theresia reacted with 👍 at 2026-02-09 15:41 PM</x18tc:text>
  </x18tc:threadedComment>
  <x18tc:threadedComment ref="B9" dT="2026-02-11T07:08:51.00" personId="{5d589dcc-bde0-44b1-b8bd-aa54a3802df9}" id="{dbc83a8d-c876-4fb4-9e62-771098688d4a}" parentId="{5f3e26c3-6541-492b-a90c-107eb624ea42}">
    <x18tc:text xml:space="preserve">@carol.england@factor75.eu so this should be changed to A in here?</x18tc:text>
    <x18tc:mentions>
      <x18tc:mention mentionpersonId="{e73254f3-38db-449f-8ef1-149e10740a6c}" mentionId="{db6d64d3-c4b4-4be6-8c7f-437d0e8cbd55}" startIndex="0" length="26"/>
    </x18tc:mentions>
  </x18tc:threadedComment>
  <x18tc:threadedComment ref="B9" dT="2026-02-11T07:51:14.00" personId="{f3029071-9288-44f9-a7f8-09ea6954cdd8}" id="{6a247799-dbdd-4298-a803-3b62f8c04307}" parentId="{5f3e26c3-6541-492b-a90c-107eb624ea42}">
    <x18tc:text xml:space="preserve">Yes - I changed it in the launch menu tracker but didnt also change it here</x18tc:text>
  </x18tc:threadedComment>
  <x18tc:threadedComment ref="B9" dT="2026-02-11T07:51:24.00" personId="{f3029071-9288-44f9-a7f8-09ea6954cdd8}" id="{3c016f26-603e-43f5-b3f1-f9cc1b91b8af}" parentId="{5f3e26c3-6541-492b-a90c-107eb624ea42}">
    <x18tc:text xml:space="preserve">updated now</x18tc:text>
  </x18tc:threadedComment>
  <x18tc:threadedComment ref="B12" dT="2026-02-03T09:36:46.00" personId="{17da4a2d-22ab-47fa-be83-aeb6cd548b97}" id="{4335b487-3926-4e83-be28-7d468709df7b}" done="1">
    <x18tc:text xml:space="preserve">Mirepoix again
1 total reaction
Cornelia Binder reacted with 👍 at 2026-02-03 15:51 PM</x18tc:text>
  </x18tc:threadedComment>
  <x18tc:threadedComment ref="B11" dT="2026-02-03T08:50:57.00" personId="{17da4a2d-22ab-47fa-be83-aeb6cd548b97}" id="{e5e3926b-f20d-4714-b17b-75b61a1df5d6}" done="1">
    <x18tc:text xml:space="preserve">@carol.england@factor75.eu can you confirm red wine is being removed here?
Assigned to carol.england@factor75.eu</x18tc:text>
    <x18tc:mentions>
      <x18tc:mention mentionpersonId="{e73254f3-38db-449f-8ef1-149e10740a6c}" mentionId="{161093ec-ea4d-4371-a162-271b8efbb5e0}" startIndex="0" length="26"/>
    </x18tc:mentions>
  </x18tc:threadedComment>
  <x18tc:threadedComment ref="B11" dT="2026-02-03T09:14:33.00" personId="{f3029071-9288-44f9-a7f8-09ea6954cdd8}" id="{4bae2fbc-7fbe-4f86-b96d-7682e709f265}" parentId="{e5e3926b-f20d-4714-b17b-75b61a1df5d6}">
    <x18tc:text xml:space="preserve">yes will remove red wine</x18tc:text>
  </x18tc:threadedComment>
  <x18tc:threadedComment ref="I8" dT="2026-04-15T05:27:11.00" personId="{5d589dcc-bde0-44b1-b8bd-aa54a3802df9}" id="{92ded664-4172-4e6d-805d-d5460c8068df}" done="1">
    <x18tc:text xml:space="preserve">@guilherme.terrarodrigues@factor75.eu can you update once again with the changes then here please?</x18tc:text>
    <x18tc:mentions>
      <x18tc:mention mentionpersonId="{0713dbf5-4283-4590-a6d8-7eb217786c5b}" mentionId="{3ce7d74f-584e-4e86-bc0f-14ff50d6d169}" startIndex="0" length="37"/>
    </x18tc:mentions>
  </x18tc:threadedComment>
  <x18tc:threadedComment ref="I8" dT="2026-04-15T09:34:21.00" personId="{6ec4fcef-c234-4b0b-a0cf-8c187821541d}" id="{5a30663e-1005-4df4-9e85-b1dd08bee883}" parentId="{92ded664-4172-4e6d-805d-d5460c8068df}">
    <x18tc:text xml:space="preserve">Rerunning the forecast! Will update these and the Volume Split file :)</x18tc:text>
  </x18tc:threadedComment>
  <x18tc:threadedComment ref="B9" dT="2026-01-27T22:21:38.00" personId="{5d589dcc-bde0-44b1-b8bd-aa54a3802df9}" id="{53563870-8438-477d-99bf-ec51aec97662}" done="1">
    <x18tc:text xml:space="preserve">@migle.labeikyte@factor75.eu could you pop in the meals in here please?</x18tc:text>
    <x18tc:mentions>
      <x18tc:mention mentionpersonId="{737d4e43-26d2-497b-ba91-17e40ecc19f6}" mentionId="{eefe5c01-5d81-45a5-bc49-d3b13c15a518}" startIndex="0" length="28"/>
    </x18tc:mentions>
  </x18tc:threadedComment>
  <x18tc:threadedComment ref="B9" dT="2026-01-29T15:12:02.00" personId="{eed1323e-919d-4e67-a393-1909d7bc3d1a}" id="{5a95a2dc-54af-476e-9a23-5298c153a1bb}" parentId="{53563870-8438-477d-99bf-ec51aec97662}">
    <x18tc:text xml:space="preserve">@cornelia.binder@factor75.eu @conal.gould@hellofresh.com @kaylyn@hellofresh.com 
The first draft of selected meal is available here. Green ones are approved by culinary, yellow ones are either TBD as they are new meals, or they still need to be checked for sourcing, which is in progress.
I did a mock menu for W16 that's almost half of the menu to see how the costs would look like with three salmon slots + shrimp. With Maitre prices we are of course way over budget, but considering salmon cost savings, plus additional savings from other ingredients (run by @cornelia.binder@factor75.eu ), we should meet the target. 
Main reasons for these meals:
*Salmon slots (cost-driven), the more expensive, the earlier planned.
*Culinary/execution-driven, meals that are not performing well with Maitre
*Meals that are performing well with Maitre, but spiked in price since Q1 2026 and are almost not plannable.</x18tc:text>
    <x18tc:mentions>
      <x18tc:mention mentionpersonId="{fd8a6896-dfde-410a-8d6a-ac9b9883514b}" mentionId="{faf97f89-73e1-40aa-9bc3-5fedb36c9208}" startIndex="0" length="28"/>
      <x18tc:mention mentionpersonId="{96e49ff9-6a91-4ed3-8c1d-7668ef901a0b}" mentionId="{0f05d6a8-08c1-4be2-8cee-ed274f14b015}" startIndex="29" length="27"/>
      <x18tc:mention mentionpersonId="{8904cd47-808e-4c8d-a4c4-7be3252998e0}" mentionId="{20ab8436-f7d5-4cb4-9133-ae069581d51d}" startIndex="57" length="22"/>
      <x18tc:mention mentionpersonId="{fd8a6896-dfde-410a-8d6a-ac9b9883514b}" mentionId="{1139422c-c103-47a2-b171-7dbc5b29d6ce}" startIndex="564" length="28"/>
    </x18tc:mentions>
  </x18tc:threadedComment>
  <x18tc:threadedComment ref="D14" dT="2026-03-04T14:11:22.00" personId="{beb9cfd6-9f68-44d8-9850-3f14344ddec2}" id="{75c07e02-3ede-4636-800b-357fff0cc045}" done="1">
    <x18tc:text xml:space="preserve">@cornelia.binder@factor75.eu I don't think this is the correct recipe code
Assigned to cornelia.binder@factor75.eu</x18tc:text>
    <x18tc:mentions>
      <x18tc:mention mentionpersonId="{fd8a6896-dfde-410a-8d6a-ac9b9883514b}" mentionId="{dd4eadcb-6bb0-4230-988f-33202218a3a4}" startIndex="0" length="28"/>
    </x18tc:mentions>
  </x18tc:threadedComment>
  <x18tc:threadedComment ref="D14" dT="2026-03-05T09:58:38.00" personId="{5d589dcc-bde0-44b1-b8bd-aa54a3802df9}" id="{a3963701-0b1e-405e-a35b-23eb4e3f7067}" parentId="{75c07e02-3ede-4636-800b-357fff0cc045}">
    <x18tc:text xml:space="preserve">ah yes - will update to a new meal! my mistake!</x18tc:text>
  </x18tc:threadedComment>
  <x18tc:threadedComment ref="D29" dT="2026-04-14T06:40:52.00" personId="{5a9bc371-b402-4681-aa68-a68bf2223aa6}" id="{c679a823-b97d-43e2-821b-e1f1636efc15}" done="1">
    <x18tc:text xml:space="preserve">this can only run as keto, with crowd pleaser exception due to high salt @cornelia.binder@factor75.eu @guilherme.terrarodrigues@factor75.eu
Assigned to cornelia.binder@factor75.eu</x18tc:text>
    <x18tc:mentions>
      <x18tc:mention mentionpersonId="{fd8a6896-dfde-410a-8d6a-ac9b9883514b}" mentionId="{ce4d6e00-50f2-4944-80a1-4cec6bce1908}" startIndex="73" length="28"/>
      <x18tc:mention mentionpersonId="{0713dbf5-4283-4590-a6d8-7eb217786c5b}" mentionId="{a88ad975-8eb8-4b6c-a265-cf338df2fbf2}" startIndex="102" length="37"/>
    </x18tc:mentions>
  </x18tc:threadedComment>
  <x18tc:threadedComment ref="I8" dT="2026-04-09T15:45:53.00" personId="{5d589dcc-bde0-44b1-b8bd-aa54a3802df9}" id="{e94d9ba6-b5f2-4ca0-8270-bebba39d6e97}" done="1">
    <x18tc:text xml:space="preserve">@guilherme.terrarodrigues@factor75.eu could you have a look and update the volumes for W18 to W20 please? :)</x18tc:text>
    <x18tc:mentions>
      <x18tc:mention mentionpersonId="{0713dbf5-4283-4590-a6d8-7eb217786c5b}" mentionId="{a1790173-f0b2-49fc-b5a6-a60447796158}" startIndex="0" length="37"/>
    </x18tc:mentions>
  </x18tc:threadedComment>
  <x18tc:threadedComment ref="I8" dT="2026-04-10T09:44:28.00" personId="{6ec4fcef-c234-4b0b-a0cf-8c187821541d}" id="{bcb5b0da-df42-4b27-a1b4-9b3319b8b74d}" parentId="{e94d9ba6-b5f2-4ca0-8270-bebba39d6e97}">
    <x18tc:text xml:space="preserve">Done!! Slight increase considering Thursday's values :)</x18tc:text>
  </x18tc:threadedComment>
  <x18tc:threadedComment ref="B15" dT="2026-02-03T09:45:09.00" personId="{17da4a2d-22ab-47fa-be83-aeb6cd548b97}" id="{6a04b311-bad6-4d88-8bd3-bf3acda4866a}" done="1">
    <x18tc:text xml:space="preserve">Red wine still onboarding</x18tc:text>
  </x18tc:threadedComment>
  <x18tc:threadedComment ref="B15" dT="2026-02-11T06:58:15.00" personId="{5d589dcc-bde0-44b1-b8bd-aa54a3802df9}" id="{8e609eff-f19b-420a-a4c5-8e3e2e8ea2ce}" parentId="{6a04b311-bad6-4d88-8bd3-bf3acda4866a}">
    <x18tc:text xml:space="preserve">are we good on this one? :)</x18tc:text>
  </x18tc:threadedComment>
  <x18tc:threadedComment ref="B15" dT="2026-02-11T07:52:05.00" personId="{f3029071-9288-44f9-a7f8-09ea6954cdd8}" id="{1f750c64-1507-446b-ba5d-7a1d04438401}" parentId="{6a04b311-bad6-4d88-8bd3-bf3acda4866a}">
    <x18tc:text xml:space="preserve">I removed red wine for now</x18tc:text>
  </x18tc:threadedComment>
  <x18tc:threadedComment ref="I8" dT="2026-04-13T21:44:57.00" personId="{5d589dcc-bde0-44b1-b8bd-aa54a3802df9}" id="{6b0570b0-e9eb-4131-b45e-04ce09935f84}" done="1">
    <x18tc:text xml:space="preserve">@guilherme.terrarodrigues@factor75.eu could you update these to forecast values please? :)</x18tc:text>
    <x18tc:mentions>
      <x18tc:mention mentionpersonId="{0713dbf5-4283-4590-a6d8-7eb217786c5b}" mentionId="{a8e1eede-8eec-42f8-8574-60057712935e}" startIndex="0" length="37"/>
    </x18tc:mentions>
  </x18tc:threadedComment>
  <x18tc:threadedComment ref="I8" dT="2026-04-14T09:25:00.00" personId="{6ec4fcef-c234-4b0b-a0cf-8c187821541d}" id="{89871a2e-ad51-4858-8fbb-7597d89f1a2e}" parentId="{6b0570b0-e9eb-4131-b45e-04ce09935f84}">
    <x18tc:text xml:space="preserve">Done! Updated until W20!!</x18tc:text>
  </x18tc:threadedComment>
  <x18tc:threadedComment ref="I8" dT="2026-04-15T04:19:42.00" personId="{5d589dcc-bde0-44b1-b8bd-aa54a3802df9}" id="{98763b4d-7e6b-42ab-97f2-94af01c1cfe0}" parentId="{6b0570b0-e9eb-4131-b45e-04ce09935f84}">
    <x18tc:text xml:space="preserve">thank you!</x18tc:text>
  </x18tc:threadedComment>
  <x18tc:threadedComment ref="D26" dT="2026-04-14T06:44:17.00" personId="{5a9bc371-b402-4681-aa68-a68bf2223aa6}" id="{6a1e1326-fcd1-46d5-b8ee-c94929f4b745}" done="1">
    <x18tc:text xml:space="preserve">also crowd pleaser exception due to excessive salt --&gt; 2 crowd pleaser in one week
@cornelia.binder@factor75.eu @guilherme.terrarodrigues@factor75.eu
Assigned to cornelia.binder@factor75.eu</x18tc:text>
    <x18tc:mentions>
      <x18tc:mention mentionpersonId="{fd8a6896-dfde-410a-8d6a-ac9b9883514b}" mentionId="{47a5dc3c-9011-4b5e-99eb-2bc60f6d6edc}" startIndex="83" length="28"/>
      <x18tc:mention mentionpersonId="{0713dbf5-4283-4590-a6d8-7eb217786c5b}" mentionId="{ac538fe3-8a03-4026-8f82-20e2db0a440d}" startIndex="112" length="37"/>
    </x18tc:mentions>
  </x18tc:threadedComment>
  <x18tc:threadedComment ref="B18" dT="2026-02-11T06:57:58.00" personId="{5d589dcc-bde0-44b1-b8bd-aa54a3802df9}" id="{803eb801-f35a-4f3f-b045-56df49ce0c6f}" done="1">
    <x18tc:text xml:space="preserve">@tyler.sandlant@factor75.eu @sam.quaife@factor75.eu new meal here - could you please review? :)</x18tc:text>
    <x18tc:mentions>
      <x18tc:mention mentionpersonId="{b9b1aeb8-5f20-4f60-ae18-db24233ec16a}" mentionId="{844df8ba-271d-4b46-b551-ba3debe7f7d0}" startIndex="0" length="27"/>
      <x18tc:mention mentionpersonId="{d8730ab5-af07-4a59-8fee-5f1a15d8b6e4}" mentionId="{48410331-46e3-4225-9c2d-bdec22e80904}" startIndex="28" length="23"/>
    </x18tc:mentions>
  </x18tc:threadedComment>
  <x18tc:threadedComment ref="B18" dT="2026-02-11T08:51:05.00" personId="{17da4a2d-22ab-47fa-be83-aeb6cd548b97}" id="{c5486084-dba6-4e7a-a030-5dfc56d45a05}" parentId="{803eb801-f35a-4f3f-b045-56df49ce0c6f}">
    <x18tc:text xml:space="preserve">Nothing of concern from me</x18tc:text>
  </x18tc:threadedComment>
  <x18tc:threadedComment ref="A2" dT="2026-01-27T22:27:38.00" personId="{5d589dcc-bde0-44b1-b8bd-aa54a3802df9}" id="{54c5b476-fe3a-42f2-ba39-0185f7c2b430}" done="1">
    <x18tc:text xml:space="preserve">@moritz.ochs@factor75.eu @matteo.spessotto@factor75.eu @dimitrios.psinakis@factor75.eu @christoph.struckmann@factor75.eu 
Updated Slot Selection and volume share - after our meeting earlier. Changes made to further enable innovation and new meal launches. Please let me know if you have any concerns with this! 
Thanks!</x18tc:text>
    <x18tc:mentions>
      <x18tc:mention mentionpersonId="{76d8a8ec-aec1-4f22-9a45-ddc68ff6e87b}" mentionId="{323c6a03-201d-4c2c-b0d9-d907f03fcda2}" startIndex="0" length="24"/>
      <x18tc:mention mentionpersonId="{5b93ca77-fe9f-4d2c-9632-ec25c6091123}" mentionId="{a21189f2-242e-48ba-8730-7a92362c3988}" startIndex="25" length="29"/>
      <x18tc:mention mentionpersonId="{af256842-732b-4a2c-a51c-65e566c7426f}" mentionId="{58a33fe4-60a7-49e2-95e9-834a0d68b349}" startIndex="55" length="31"/>
      <x18tc:mention mentionpersonId="{cb0a0229-de9d-4799-83e0-13a4cbc9d267}" mentionId="{d1d45d44-ff43-4b80-9887-3b8cedcb4976}" startIndex="87" length="33"/>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4" dT="2026-04-24T13:56:44.00" personId="{beb9cfd6-9f68-44d8-9850-3f14344ddec2}" id="{1db11b91-02e0-4cf3-a798-fddd9ee1d82e}" done="1">
    <x18tc:text xml:space="preserve">@cornelia.binder@factor75.eu  do you mean to have these in WK 20 and 22?
Assigned to cornelia.binder@factor75.eu</x18tc:text>
    <x18tc:mentions>
      <x18tc:mention mentionpersonId="{fd8a6896-dfde-410a-8d6a-ac9b9883514b}" mentionId="{b4c43efb-2081-44fd-83a3-417ac91ee43a}" startIndex="0" length="28"/>
    </x18tc:mentions>
  </x18tc:threadedComment>
  <x18tc:threadedComment ref="D34" dT="2026-04-24T19:38:30.00" personId="{5d589dcc-bde0-44b1-b8bd-aa54a3802df9}" id="{4073afc6-d75d-4875-9ddf-d37689ce96e4}" parentId="{1db11b91-02e0-4cf3-a798-fddd9ee1d82e}">
    <x18tc:text xml:space="preserve">yesssss :)</x18tc:text>
  </x18tc:threadedComment>
  <x18tc:threadedComment ref="C8" dT="2026-04-20T08:56:41.00" personId="{5d589dcc-bde0-44b1-b8bd-aa54a3802df9}" id="{e0ac0b9f-80e8-42d6-bfea-226769f84eaf}" done="1">
    <x18tc:text xml:space="preserve">@guilherme.terrarodrigues@factor75.eu do you know why we don't see anything here?</x18tc:text>
    <x18tc:mentions>
      <x18tc:mention mentionpersonId="{0713dbf5-4283-4590-a6d8-7eb217786c5b}" mentionId="{7a0daf5b-5f1d-4965-a6a4-164428289976}" startIndex="0" length="37"/>
    </x18tc:mentions>
  </x18tc:threadedComment>
  <x18tc:threadedComment ref="C8" dT="2026-04-20T09:07:01.00" personId="{6ec4fcef-c234-4b0b-a0cf-8c187821541d}" id="{6dc23f0a-0d32-4834-9c36-fc20a8534b0e}" parentId="{e0ac0b9f-80e8-42d6-bfea-226769f84eaf}">
    <x18tc:text xml:space="preserve">So FE0601B does not exist on Meal Database nor Verden Meal Database yet, only FV0601A exists. I don't see the new B version anywhere on Trello as well - let me check with Gintare!</x18tc:text>
  </x18tc:threadedComment>
  <x18tc:threadedComment ref="C8" dT="2026-04-20T09:09:35.00" personId="{5d589dcc-bde0-44b1-b8bd-aa54a3802df9}" id="{ddeadac3-6523-4d6a-978a-754a0ca622ba}" parentId="{e0ac0b9f-80e8-42d6-bfea-226769f84eaf}">
    <x18tc:text xml:space="preserve">thanks, we need this overview because it's the meals we're cooking this week</x18tc:text>
  </x18tc:threadedComment>
  <x18tc:threadedComment ref="C8" dT="2026-04-20T09:09:54.00" personId="{5d589dcc-bde0-44b1-b8bd-aa54a3802df9}" id="{77a57f3e-7877-461e-b4ba-4faf5e336771}" parentId="{e0ac0b9f-80e8-42d6-bfea-226769f84eaf}">
    <x18tc:text xml:space="preserve">they are not being sold but still cooked</x18tc:text>
  </x18tc:threadedComment>
  <x18tc:threadedComment ref="C8" dT="2026-04-20T09:10:44.00" personId="{5d589dcc-bde0-44b1-b8bd-aa54a3802df9}" id="{c6ad6aad-2fc4-4478-96c2-4765f39acbdb}" parentId="{e0ac0b9f-80e8-42d6-bfea-226769f84eaf}">
    <x18tc:text xml:space="preserve">orI can just use the old overview tab for it as well, haha</x18tc:text>
  </x18tc:threadedComment>
  <x18tc:threadedComment ref="C8" dT="2026-04-20T09:11:56.00" personId="{6ec4fcef-c234-4b0b-a0cf-8c187821541d}" id="{15d6f468-6d59-4c7e-adde-a44660df53e5}" parentId="{e0ac0b9f-80e8-42d6-bfea-226769f84eaf}">
    <x18tc:text xml:space="preserve">FV0601A definitely exists and will pull data! I'm just triple checking if there's actually a B version or not now, since it was on the menu already!</x18tc:text>
  </x18tc:threadedComment>
  <x18tc:threadedComment ref="C8" dT="2026-04-20T09:20:18.00" personId="{6ec4fcef-c234-4b0b-a0cf-8c187821541d}" id="{5ea1d742-476f-4bd3-8a05-5a5481ef46cd}" parentId="{e0ac0b9f-80e8-42d6-bfea-226769f84eaf}">
    <x18tc:text xml:space="preserve">Fixed!</x18tc:text>
  </x18tc:threadedComment>
  <x18tc:threadedComment ref="B37" dT="2026-04-21T07:29:47.00" personId="{5a9bc371-b402-4681-aa68-a68bf2223aa6}" id="{de20e34c-a02c-4904-8fa6-e5b3fc73e911}" done="1">
    <x18tc:text xml:space="preserve">Is this a repeat from WK19? should then be FV4009A - Salmon with a mustard dill sauce? (just to avoid confusion ;) )
@carol.england@factor75.eu @cornelia.binder@factor75.eu</x18tc:text>
    <x18tc:mentions>
      <x18tc:mention mentionpersonId="{e73254f3-38db-449f-8ef1-149e10740a6c}" mentionId="{6938a0b5-5637-41c6-a457-7160ece74a60}" startIndex="118" length="26"/>
      <x18tc:mention mentionpersonId="{fd8a6896-dfde-410a-8d6a-ac9b9883514b}" mentionId="{bc38785e-635f-435b-860a-ad3824ccad26}" startIndex="145" length="28"/>
    </x18tc:mentions>
  </x18tc:threadedComment>
  <x18tc:threadedComment ref="B37" dT="2026-04-21T16:19:22.00" personId="{f3029071-9288-44f9-a7f8-09ea6954cdd8}" id="{35b27db1-12fa-4983-9c46-41629142258d}" parentId="{de20e34c-a02c-4904-8fa6-e5b3fc73e911}">
    <x18tc:text xml:space="preserve">cc @guilherme.terrarodrigues@factor75.eu  -- when you plan something for Verden, are you pulling the codes from the new database?</x18tc:text>
    <x18tc:mentions>
      <x18tc:mention mentionpersonId="{0713dbf5-4283-4590-a6d8-7eb217786c5b}" mentionId="{df68ce96-a146-4b08-99c8-a02b32f6b077}" startIndex="3" length="37"/>
    </x18tc:mentions>
  </x18tc:threadedComment>
  <x18tc:threadedComment ref="B37" dT="2026-04-21T19:39:24.00" personId="{5d589dcc-bde0-44b1-b8bd-aa54a3802df9}" id="{e25f36d0-bfc1-4ca3-93a8-5efd0135f894}" parentId="{de20e34c-a02c-4904-8fa6-e5b3fc73e911}">
    <x18tc:text xml:space="preserve">the base code is still the active Maitre code - but the FV code is linked / associated with it from a planning / mapping perspective.
For non existing Maitre recipes - the base code created, and SPS recipe set-up is still an FE version as well
1 total reaction
Theresia reacted with 👍 at 2026-04-24 12:33 PM</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27T22:14:30.00" personId="{5d589dcc-bde0-44b1-b8bd-aa54a3802df9}" id="{447196b5-2d7c-42e2-95e7-c911583d4f10}" done="1">
    <x18tc:text xml:space="preserve">@emily.rushbrooke@factor75.eu  @munther.alahmad@factor75.eu updated middle mile requirement with adjusted ramp-up is here now</x18tc:text>
    <x18tc:mentions>
      <x18tc:mention mentionpersonId="{639d3c70-7d31-475a-84a6-f234ded73673}" mentionId="{0ca41c96-3e62-4c47-b6e0-bf0e732df389}" startIndex="0" length="29"/>
      <x18tc:mention mentionpersonId="{77fb1c73-3f00-459b-8af8-f516911e2468}" mentionId="{d0d54394-b4d9-4ed2-a5c8-44eb1e112c41}" startIndex="31" length="28"/>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6-04-24T19:40:46.00" personId="{5d589dcc-bde0-44b1-b8bd-aa54a3802df9}" id="{323603f9-aaa6-45ad-b578-173f35fab3b2}" done="0">
    <x18tc:text xml:space="preserve">@guilherme.terrarodrigues@factor75.eu can we make this bigger maybe? :)</x18tc:text>
    <x18tc:mentions>
      <x18tc:mention mentionpersonId="{0713dbf5-4283-4590-a6d8-7eb217786c5b}" mentionId="{ae1f7775-4ebc-4cb8-afad-99feef4db028}" startIndex="0" length="37"/>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WbE6HOh_eG5_DM53SVfuckYm0VQnhNvuwjql7Tw1FX0/edit?gid=1019983104" TargetMode="External"/><Relationship Id="rId2" Type="http://schemas.openxmlformats.org/officeDocument/2006/relationships/hyperlink" Target="https://docs.google.com/spreadsheets/d/1mnGm3iYGkB4FyqAD-LwwVYksgBMX_SY4qHQa16KgMiw/edit?gid=1956920866" TargetMode="External"/><Relationship Id="rId3" Type="http://schemas.openxmlformats.org/officeDocument/2006/relationships/hyperlink" Target="https://docs.google.com/spreadsheets/d/1NX4ccmp9EHgjcQcZPt2RVC4dGZm-Lhq_XEIxgs3iBP4/edit?gid=1472606005" TargetMode="External"/><Relationship Id="rId4" Type="http://schemas.openxmlformats.org/officeDocument/2006/relationships/hyperlink" Target="https://docs.google.com/spreadsheets/d/1NX4ccmp9EHgjcQcZPt2RVC4dGZm-Lhq_XEIxgs3iBP4/edit?gid=1472606005" TargetMode="External"/><Relationship Id="rId5" Type="http://schemas.openxmlformats.org/officeDocument/2006/relationships/hyperlink" Target="https://docs.google.com/spreadsheets/d/1NX4ccmp9EHgjcQcZPt2RVC4dGZm-Lhq_XEIxgs3iBP4/edit?gid=1472606005" TargetMode="External"/><Relationship Id="rId6" Type="http://schemas.openxmlformats.org/officeDocument/2006/relationships/hyperlink" Target="https://docs.google.com/spreadsheets/d/1NX4ccmp9EHgjcQcZPt2RVC4dGZm-Lhq_XEIxgs3iBP4/edit?gid=1472606005"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8.xml"/><Relationship Id="rId5"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qHOGFAbUmAa4nxqBF9LcAT3trl0inDoupZflQhqb8wU/edit?usp=sharing_eil_se_dm&amp;ts=69a98ca2"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drive.google.com/open?id=1dF82gaoNssr9KQmcVXD6lETy9lYOaEX6&amp;usp=drive_fs" TargetMode="External"/><Relationship Id="rId42" Type="http://schemas.openxmlformats.org/officeDocument/2006/relationships/hyperlink" Target="https://drive.google.com/drive/folders/1IYD-tXaQhBWmBOl-c00yRoGlHeZlWlPg" TargetMode="External"/><Relationship Id="rId41" Type="http://schemas.openxmlformats.org/officeDocument/2006/relationships/hyperlink" Target="https://drive.google.com/open?id=1jyIgX3OG61xtcVD7WlIfeGZ0Jcxi1NoB&amp;usp=drive_fs" TargetMode="External"/><Relationship Id="rId44" Type="http://schemas.openxmlformats.org/officeDocument/2006/relationships/hyperlink" Target="https://drive.google.com/drive/folders/1uLncg-k_RxgyctNwSR8Tm_AcfIb4X-F2" TargetMode="External"/><Relationship Id="rId43" Type="http://schemas.openxmlformats.org/officeDocument/2006/relationships/hyperlink" Target="https://drive.google.com/drive/folders/1pZutbKQylaSTcDZSc6kfGAGvrUedjHuM" TargetMode="External"/><Relationship Id="rId46" Type="http://schemas.openxmlformats.org/officeDocument/2006/relationships/hyperlink" Target="https://drive.google.com/drive/folders/1Y0AbH7RQeFIwpvywNySi6u3DTAqFa5kQ" TargetMode="External"/><Relationship Id="rId45" Type="http://schemas.openxmlformats.org/officeDocument/2006/relationships/hyperlink" Target="https://drive.google.com/drive/folders/1YDXMCMEAP5G3GHBOGpVyW6LwPsx97IND" TargetMode="External"/><Relationship Id="rId1" Type="http://schemas.openxmlformats.org/officeDocument/2006/relationships/comments" Target="../comments7.xml"/><Relationship Id="rId2" Type="http://schemas.openxmlformats.org/officeDocument/2006/relationships/hyperlink" Target="https://drive.google.com/open?id=1Ss8NoYLRDfv28UwTMmtt09ziPtI3PwsR&amp;usp=drive_fs" TargetMode="External"/><Relationship Id="rId3" Type="http://schemas.openxmlformats.org/officeDocument/2006/relationships/hyperlink" Target="https://drive.google.com/file/d/1iUFOWxHK1vVNPhsWWzuRskpgBrIckm6T/view?usp=sharing" TargetMode="External"/><Relationship Id="rId4" Type="http://schemas.openxmlformats.org/officeDocument/2006/relationships/hyperlink" Target="https://drive.google.com/open?id=12C-30_k1Twqdozo5tm-7kOSdMJxnehx9&amp;usp=drive_fs" TargetMode="External"/><Relationship Id="rId9" Type="http://schemas.openxmlformats.org/officeDocument/2006/relationships/hyperlink" Target="https://drive.google.com/file/d/1OjzhAoMoNCZSXGSzdxnY64aUdpxtfWuY/view?usp=sharing" TargetMode="External"/><Relationship Id="rId48" Type="http://schemas.openxmlformats.org/officeDocument/2006/relationships/hyperlink" Target="https://drive.google.com/drive/folders/1Xbv-2Y34Yf5lOpA2Wqy9B2yVBnMITx1Y" TargetMode="External"/><Relationship Id="rId47" Type="http://schemas.openxmlformats.org/officeDocument/2006/relationships/hyperlink" Target="https://drive.google.com/drive/folders/1F-Qz-t4uE5leQZ1NGCZb0pToqyiyLJqx" TargetMode="External"/><Relationship Id="rId49" Type="http://schemas.openxmlformats.org/officeDocument/2006/relationships/hyperlink" Target="https://drive.google.com/drive/folders/1H8eukI1IFDi5HBj63GrZchEBFXIYRBWV" TargetMode="External"/><Relationship Id="rId5" Type="http://schemas.openxmlformats.org/officeDocument/2006/relationships/hyperlink" Target="https://drive.google.com/open?id=1Ysv1iejgR00X3MMp6c4iO1NYs5bENjt4&amp;usp=drive_fs" TargetMode="External"/><Relationship Id="rId6" Type="http://schemas.openxmlformats.org/officeDocument/2006/relationships/hyperlink" Target="https://drive.google.com/open?id=1YA5LiyjWNjPN0GgeAYih3BQ3h4PbdGu9&amp;usp=drive_fs" TargetMode="External"/><Relationship Id="rId7" Type="http://schemas.openxmlformats.org/officeDocument/2006/relationships/hyperlink" Target="https://drive.google.com/file/d/14dLAp7sd3WrMHthqpfpBlunuFoE2xv5N/view?usp=sharing" TargetMode="External"/><Relationship Id="rId8" Type="http://schemas.openxmlformats.org/officeDocument/2006/relationships/hyperlink" Target="https://drive.google.com/open?id=13tWBsYmNdOTuXfsr8pi5YozvdSnJYCf0&amp;usp=drive_fs" TargetMode="External"/><Relationship Id="rId31" Type="http://schemas.openxmlformats.org/officeDocument/2006/relationships/hyperlink" Target="https://drive.google.com/open?id=1slXW24EldM06PQpQWVcBXgll3NL1NrKX&amp;usp=drive_fs" TargetMode="External"/><Relationship Id="rId30" Type="http://schemas.openxmlformats.org/officeDocument/2006/relationships/hyperlink" Target="https://drive.google.com/open?id=1y_EhL2jfHUBzsoa6Nd4cOWcag42A_fgj&amp;usp=drive_fs" TargetMode="External"/><Relationship Id="rId33" Type="http://schemas.openxmlformats.org/officeDocument/2006/relationships/hyperlink" Target="https://drive.google.com/open?id=1Nw-iHc8SM9isxtBJdsaikNCi5AMaAazE&amp;usp=drive_fs" TargetMode="External"/><Relationship Id="rId32" Type="http://schemas.openxmlformats.org/officeDocument/2006/relationships/hyperlink" Target="https://drive.google.com/open?id=1eGe64P_CuWem5ghZMRsE5XjMCdAFViHf&amp;usp=drive_fs" TargetMode="External"/><Relationship Id="rId35" Type="http://schemas.openxmlformats.org/officeDocument/2006/relationships/hyperlink" Target="https://drive.google.com/open?id=1y5rP6MZl38R-gi7B3x03l5EFgaOa0_m5&amp;usp=drive_fs" TargetMode="External"/><Relationship Id="rId34" Type="http://schemas.openxmlformats.org/officeDocument/2006/relationships/hyperlink" Target="https://drive.google.com/open?id=15VKRMrOOeaFDGLLCrmurdCafXyLnFjYC&amp;usp=drive_fs" TargetMode="External"/><Relationship Id="rId37" Type="http://schemas.openxmlformats.org/officeDocument/2006/relationships/hyperlink" Target="https://drive.google.com/open?id=1cK9nY5CEAaSssttc9MSGslr6JpMitN4o&amp;usp=drive_fs" TargetMode="External"/><Relationship Id="rId36" Type="http://schemas.openxmlformats.org/officeDocument/2006/relationships/hyperlink" Target="https://drive.google.com/open?id=1vbKd13fZrlLG8pjFVDWpgemItM08ZWZf&amp;usp=drive_fs" TargetMode="External"/><Relationship Id="rId39" Type="http://schemas.openxmlformats.org/officeDocument/2006/relationships/hyperlink" Target="https://drive.google.com/drive/folders/15RNd8BHqO5TyL_W1DZwtaQb4gHy7IZWP" TargetMode="External"/><Relationship Id="rId38" Type="http://schemas.openxmlformats.org/officeDocument/2006/relationships/hyperlink" Target="https://drive.google.com/open?id=1gtS-WsJfHDCXv4OjUDjgADyNwhh4e6B1&amp;usp=drive_fs" TargetMode="External"/><Relationship Id="rId20" Type="http://schemas.openxmlformats.org/officeDocument/2006/relationships/hyperlink" Target="https://drive.google.com/open?id=1Z8N4cGnIk8QZNyuyrzcZ2OECv-2lwFAW&amp;usp=drive_fs" TargetMode="External"/><Relationship Id="rId22" Type="http://schemas.openxmlformats.org/officeDocument/2006/relationships/hyperlink" Target="https://drive.google.com/open?id=1JA47jrFVQ5gVZBouzp5gAzn24k9zdr3m&amp;usp=drive_fs" TargetMode="External"/><Relationship Id="rId21" Type="http://schemas.openxmlformats.org/officeDocument/2006/relationships/hyperlink" Target="https://drive.google.com/open?id=1HUY8tEkwoP_TdFNrocBB65PTrCtgX5iW&amp;usp=drive_fs" TargetMode="External"/><Relationship Id="rId24" Type="http://schemas.openxmlformats.org/officeDocument/2006/relationships/hyperlink" Target="https://drive.google.com/open?id=1rUtKgmTPDnL_3_mFSTGILXXWJyvaKTbf&amp;usp=drive_fs" TargetMode="External"/><Relationship Id="rId23" Type="http://schemas.openxmlformats.org/officeDocument/2006/relationships/hyperlink" Target="https://drive.google.com/open?id=1EueykNgq0PWHJJ5_59sItGWL4R07m7aP&amp;usp=drive_fs" TargetMode="External"/><Relationship Id="rId26" Type="http://schemas.openxmlformats.org/officeDocument/2006/relationships/hyperlink" Target="https://drive.google.com/open?id=1HDsDotkgB8FnJHVb_ie0l2LY2Kg3qPzT&amp;usp=drive_fs" TargetMode="External"/><Relationship Id="rId25" Type="http://schemas.openxmlformats.org/officeDocument/2006/relationships/hyperlink" Target="https://drive.google.com/open?id=1ejsuqE6vfqXlDDVnWnE5DWqtsAmLRdSk&amp;usp=drive_fs" TargetMode="External"/><Relationship Id="rId28" Type="http://schemas.openxmlformats.org/officeDocument/2006/relationships/hyperlink" Target="https://drive.google.com/open?id=1kyCBgZZSjY4IMf1MVvevVjtSfQr69kYI&amp;usp=drive_fs" TargetMode="External"/><Relationship Id="rId27" Type="http://schemas.openxmlformats.org/officeDocument/2006/relationships/hyperlink" Target="https://drive.google.com/open?id=10r-orHlMjI3Ym0oaTjljAsqb732vqt6Y&amp;usp=drive_fs" TargetMode="External"/><Relationship Id="rId29" Type="http://schemas.openxmlformats.org/officeDocument/2006/relationships/hyperlink" Target="https://drive.google.com/drive/folders/1kyCBgZZSjY4IMf1MVvevVjtSfQr69kYI" TargetMode="External"/><Relationship Id="rId51" Type="http://schemas.openxmlformats.org/officeDocument/2006/relationships/vmlDrawing" Target="../drawings/vmlDrawing7.vml"/><Relationship Id="rId50" Type="http://schemas.openxmlformats.org/officeDocument/2006/relationships/drawing" Target="../drawings/drawing14.xml"/><Relationship Id="rId11" Type="http://schemas.openxmlformats.org/officeDocument/2006/relationships/hyperlink" Target="https://drive.google.com/file/d/1vqD-Fa-CRzqN7r3d7tkIPR_jF-SVCAnn/view?usp=sharing" TargetMode="External"/><Relationship Id="rId10" Type="http://schemas.openxmlformats.org/officeDocument/2006/relationships/hyperlink" Target="https://drive.google.com/open?id=1bipesgbpV76SdsX9B7IVrADTVvs5FO3o&amp;usp=drive_fs" TargetMode="External"/><Relationship Id="rId13" Type="http://schemas.openxmlformats.org/officeDocument/2006/relationships/hyperlink" Target="https://drive.google.com/open?id=19HLav8vQ0_oe9IBvs2vjrEg603rld2QO&amp;usp=drive_fs" TargetMode="External"/><Relationship Id="rId12" Type="http://schemas.openxmlformats.org/officeDocument/2006/relationships/hyperlink" Target="https://drive.google.com/open?id=19lRkv4xQ7z9fQ6F4nCMzXeGnYrky5puk&amp;usp=drive_fs" TargetMode="External"/><Relationship Id="rId15" Type="http://schemas.openxmlformats.org/officeDocument/2006/relationships/hyperlink" Target="https://drive.google.com/open?id=10hVrlNY3sNyvmfGwfHMRIXdcVAin7QrK&amp;usp=drive_fs" TargetMode="External"/><Relationship Id="rId14" Type="http://schemas.openxmlformats.org/officeDocument/2006/relationships/hyperlink" Target="https://drive.google.com/open?id=1EpjWsPy2ID_PMgES_qIcCnCpMwbmZZNZ&amp;usp=drive_fs" TargetMode="External"/><Relationship Id="rId17" Type="http://schemas.openxmlformats.org/officeDocument/2006/relationships/hyperlink" Target="https://drive.google.com/file/d/1EM-ezF4bONo_5ALoqzrf77jnOJyoYF19/view?usp=sharing" TargetMode="External"/><Relationship Id="rId16" Type="http://schemas.openxmlformats.org/officeDocument/2006/relationships/hyperlink" Target="https://drive.google.com/open?id=1aQNJReAFywQkC88oz9fiG1bwlYpBS3IS&amp;usp=drive_fs" TargetMode="External"/><Relationship Id="rId19" Type="http://schemas.openxmlformats.org/officeDocument/2006/relationships/hyperlink" Target="https://drive.google.com/open?id=1Mm2kDPxlLATPbnNa0Fjuslj5CX4Eo_ST&amp;usp=drive_fs" TargetMode="External"/><Relationship Id="rId18" Type="http://schemas.openxmlformats.org/officeDocument/2006/relationships/hyperlink" Target="https://drive.google.com/open?id=1OFip5ExNKQmXVcfdBjRGTx8omhn3FQlG&amp;usp=drive_fs" TargetMode="Externa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5.xml"/><Relationship Id="rId5"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1.5"/>
    <col customWidth="1" min="2" max="2" width="16.38"/>
    <col hidden="1" min="6" max="10" width="12.63"/>
    <col customWidth="1" min="14" max="14" width="4.25"/>
    <col customWidth="1" min="15" max="15" width="13.88"/>
  </cols>
  <sheetData>
    <row r="1">
      <c r="A1" s="1" t="s">
        <v>0</v>
      </c>
      <c r="C1" s="2" t="s">
        <v>1</v>
      </c>
      <c r="F1" s="3" t="s">
        <v>2</v>
      </c>
      <c r="J1" s="4"/>
      <c r="K1" s="3" t="s">
        <v>3</v>
      </c>
      <c r="M1" s="4"/>
      <c r="O1" s="5"/>
    </row>
    <row r="2">
      <c r="A2" s="6" t="s">
        <v>4</v>
      </c>
      <c r="B2" s="7" t="s">
        <v>5</v>
      </c>
      <c r="C2" s="6" t="s">
        <v>6</v>
      </c>
      <c r="D2" s="8" t="s">
        <v>7</v>
      </c>
      <c r="E2" s="7" t="s">
        <v>8</v>
      </c>
      <c r="F2" s="9" t="s">
        <v>9</v>
      </c>
      <c r="G2" s="10" t="s">
        <v>10</v>
      </c>
      <c r="H2" s="10" t="s">
        <v>11</v>
      </c>
      <c r="I2" s="10" t="s">
        <v>12</v>
      </c>
      <c r="J2" s="10" t="s">
        <v>13</v>
      </c>
      <c r="K2" s="6" t="s">
        <v>6</v>
      </c>
      <c r="L2" s="8" t="s">
        <v>7</v>
      </c>
      <c r="M2" s="11" t="s">
        <v>8</v>
      </c>
      <c r="O2" s="12"/>
    </row>
    <row r="3">
      <c r="A3" s="13" t="s">
        <v>14</v>
      </c>
      <c r="B3" s="14" t="s">
        <v>15</v>
      </c>
      <c r="C3" s="15">
        <f t="array" ref="C3:C54">transpose('Slot Selection'!K119:BJ119)</f>
        <v>18</v>
      </c>
      <c r="D3" s="12">
        <f t="array" ref="D3:D54">transpose('Slot Selection'!K118:BJ118)</f>
        <v>0</v>
      </c>
      <c r="E3" s="12">
        <f t="shared" ref="E3:E54" si="1">C3-D3</f>
        <v>18</v>
      </c>
      <c r="F3" s="16">
        <f t="array" ref="F3:J54">transpose('Volume Development'!B26:BA30)</f>
        <v>10563</v>
      </c>
      <c r="G3" s="17">
        <v>13838.0</v>
      </c>
      <c r="H3" s="17">
        <v>6383.0</v>
      </c>
      <c r="I3" s="17">
        <v>6520.0</v>
      </c>
      <c r="J3" s="17">
        <v>13120.0</v>
      </c>
      <c r="K3" s="16">
        <f t="array" ref="K3:K54">transpose('Volume Development'!B14:BA14)</f>
        <v>50424</v>
      </c>
      <c r="L3" s="17">
        <f t="array" ref="L3:L54">TRANSPOSE('Volume Development'!B4:BA4)</f>
        <v>0</v>
      </c>
      <c r="M3" s="18">
        <f t="array" ref="M3:M54">transpose('Volume Development'!B5:BA5)</f>
        <v>50424</v>
      </c>
      <c r="O3" s="12"/>
    </row>
    <row r="4">
      <c r="A4" s="13" t="s">
        <v>14</v>
      </c>
      <c r="B4" s="14" t="s">
        <v>16</v>
      </c>
      <c r="C4" s="15">
        <v>18.0</v>
      </c>
      <c r="D4" s="12">
        <v>0.0</v>
      </c>
      <c r="E4" s="12">
        <f t="shared" si="1"/>
        <v>18</v>
      </c>
      <c r="F4" s="16">
        <v>15788.0</v>
      </c>
      <c r="G4" s="17">
        <v>19716.0</v>
      </c>
      <c r="H4" s="17">
        <v>9142.0</v>
      </c>
      <c r="I4" s="17">
        <v>9662.0</v>
      </c>
      <c r="J4" s="17">
        <v>18009.0</v>
      </c>
      <c r="K4" s="16">
        <v>72317.0</v>
      </c>
      <c r="L4" s="17">
        <v>0.0</v>
      </c>
      <c r="M4" s="18">
        <v>72317.0</v>
      </c>
      <c r="O4" s="12"/>
    </row>
    <row r="5">
      <c r="A5" s="13" t="s">
        <v>14</v>
      </c>
      <c r="B5" s="14" t="s">
        <v>17</v>
      </c>
      <c r="C5" s="15">
        <v>18.0</v>
      </c>
      <c r="D5" s="12">
        <v>0.0</v>
      </c>
      <c r="E5" s="12">
        <f t="shared" si="1"/>
        <v>18</v>
      </c>
      <c r="F5" s="16">
        <v>18886.0</v>
      </c>
      <c r="G5" s="17">
        <v>24561.0</v>
      </c>
      <c r="H5" s="17">
        <v>15517.0</v>
      </c>
      <c r="I5" s="17">
        <v>14345.0</v>
      </c>
      <c r="J5" s="17">
        <v>23886.0</v>
      </c>
      <c r="K5" s="16">
        <v>97195.0</v>
      </c>
      <c r="L5" s="17">
        <v>0.0</v>
      </c>
      <c r="M5" s="18">
        <v>97195.0</v>
      </c>
      <c r="O5" s="12"/>
    </row>
    <row r="6">
      <c r="A6" s="13" t="s">
        <v>14</v>
      </c>
      <c r="B6" s="14" t="s">
        <v>18</v>
      </c>
      <c r="C6" s="15">
        <v>18.0</v>
      </c>
      <c r="D6" s="12">
        <v>0.0</v>
      </c>
      <c r="E6" s="12">
        <f t="shared" si="1"/>
        <v>18</v>
      </c>
      <c r="F6" s="16">
        <v>19226.0</v>
      </c>
      <c r="G6" s="17">
        <v>26659.0</v>
      </c>
      <c r="H6" s="17">
        <v>17674.0</v>
      </c>
      <c r="I6" s="17">
        <v>15250.0</v>
      </c>
      <c r="J6" s="17">
        <v>26001.0</v>
      </c>
      <c r="K6" s="16">
        <v>104810.0</v>
      </c>
      <c r="L6" s="17">
        <v>0.0</v>
      </c>
      <c r="M6" s="18">
        <v>104810.0</v>
      </c>
      <c r="O6" s="12"/>
    </row>
    <row r="7">
      <c r="A7" s="13" t="s">
        <v>14</v>
      </c>
      <c r="B7" s="14" t="s">
        <v>19</v>
      </c>
      <c r="C7" s="15">
        <v>18.0</v>
      </c>
      <c r="D7" s="12">
        <v>0.0</v>
      </c>
      <c r="E7" s="12">
        <f t="shared" si="1"/>
        <v>18</v>
      </c>
      <c r="F7" s="16">
        <v>19418.0</v>
      </c>
      <c r="G7" s="17">
        <v>26913.0</v>
      </c>
      <c r="H7" s="17">
        <v>17944.0</v>
      </c>
      <c r="I7" s="17">
        <v>14861.0</v>
      </c>
      <c r="J7" s="17">
        <v>26398.0</v>
      </c>
      <c r="K7" s="16">
        <v>105534.0</v>
      </c>
      <c r="L7" s="17">
        <v>0.0</v>
      </c>
      <c r="M7" s="18">
        <v>105534.0</v>
      </c>
      <c r="O7" s="12"/>
    </row>
    <row r="8">
      <c r="A8" s="13" t="s">
        <v>20</v>
      </c>
      <c r="B8" s="14" t="s">
        <v>21</v>
      </c>
      <c r="C8" s="15">
        <v>18.0</v>
      </c>
      <c r="D8" s="12">
        <v>0.0</v>
      </c>
      <c r="E8" s="12">
        <f t="shared" si="1"/>
        <v>18</v>
      </c>
      <c r="F8" s="16">
        <v>20138.0</v>
      </c>
      <c r="G8" s="17">
        <v>31395.0</v>
      </c>
      <c r="H8" s="17">
        <v>19481.0</v>
      </c>
      <c r="I8" s="17">
        <v>15666.0</v>
      </c>
      <c r="J8" s="17">
        <v>28331.0</v>
      </c>
      <c r="K8" s="16">
        <v>115011.0</v>
      </c>
      <c r="L8" s="17">
        <v>0.0</v>
      </c>
      <c r="M8" s="18">
        <v>115011.0</v>
      </c>
      <c r="O8" s="12"/>
    </row>
    <row r="9">
      <c r="A9" s="13" t="s">
        <v>20</v>
      </c>
      <c r="B9" s="14" t="s">
        <v>22</v>
      </c>
      <c r="C9" s="15">
        <v>18.0</v>
      </c>
      <c r="D9" s="12">
        <v>0.0</v>
      </c>
      <c r="E9" s="12">
        <f t="shared" si="1"/>
        <v>18</v>
      </c>
      <c r="F9" s="16">
        <v>20138.0</v>
      </c>
      <c r="G9" s="17">
        <v>31345.0</v>
      </c>
      <c r="H9" s="17">
        <v>18468.0</v>
      </c>
      <c r="I9" s="17">
        <v>15801.0</v>
      </c>
      <c r="J9" s="17">
        <v>28372.0</v>
      </c>
      <c r="K9" s="16">
        <v>114124.0</v>
      </c>
      <c r="L9" s="17">
        <v>0.0</v>
      </c>
      <c r="M9" s="18">
        <v>114124.0</v>
      </c>
      <c r="O9" s="12"/>
    </row>
    <row r="10">
      <c r="A10" s="13" t="s">
        <v>20</v>
      </c>
      <c r="B10" s="14" t="s">
        <v>23</v>
      </c>
      <c r="C10" s="15">
        <v>18.0</v>
      </c>
      <c r="D10" s="12">
        <v>0.0</v>
      </c>
      <c r="E10" s="12">
        <f t="shared" si="1"/>
        <v>18</v>
      </c>
      <c r="F10" s="16">
        <v>18990.0</v>
      </c>
      <c r="G10" s="17">
        <v>31766.0</v>
      </c>
      <c r="H10" s="17">
        <v>19056.0</v>
      </c>
      <c r="I10" s="17">
        <v>15684.0</v>
      </c>
      <c r="J10" s="17">
        <v>27692.0</v>
      </c>
      <c r="K10" s="16">
        <v>113188.0</v>
      </c>
      <c r="L10" s="17">
        <v>0.0</v>
      </c>
      <c r="M10" s="18">
        <v>113188.0</v>
      </c>
      <c r="O10" s="12"/>
    </row>
    <row r="11">
      <c r="A11" s="13" t="s">
        <v>20</v>
      </c>
      <c r="B11" s="14" t="s">
        <v>24</v>
      </c>
      <c r="C11" s="15">
        <v>18.0</v>
      </c>
      <c r="D11" s="12">
        <v>0.0</v>
      </c>
      <c r="E11" s="12">
        <f t="shared" si="1"/>
        <v>18</v>
      </c>
      <c r="F11" s="16">
        <v>19614.0</v>
      </c>
      <c r="G11" s="17">
        <v>31723.0</v>
      </c>
      <c r="H11" s="17">
        <v>17474.0</v>
      </c>
      <c r="I11" s="17">
        <v>16011.0</v>
      </c>
      <c r="J11" s="17">
        <v>26774.0</v>
      </c>
      <c r="K11" s="16">
        <v>111596.0</v>
      </c>
      <c r="L11" s="17">
        <v>0.0</v>
      </c>
      <c r="M11" s="18">
        <v>111596.0</v>
      </c>
      <c r="O11" s="12"/>
    </row>
    <row r="12">
      <c r="A12" s="13" t="s">
        <v>25</v>
      </c>
      <c r="B12" s="14" t="s">
        <v>26</v>
      </c>
      <c r="C12" s="15">
        <v>18.0</v>
      </c>
      <c r="D12" s="12">
        <v>0.0</v>
      </c>
      <c r="E12" s="12">
        <f t="shared" si="1"/>
        <v>18</v>
      </c>
      <c r="F12" s="16">
        <v>20866.0</v>
      </c>
      <c r="G12" s="17">
        <v>32924.0</v>
      </c>
      <c r="H12" s="17">
        <v>16220.0</v>
      </c>
      <c r="I12" s="17">
        <v>14086.0</v>
      </c>
      <c r="J12" s="17">
        <v>27372.0</v>
      </c>
      <c r="K12" s="16">
        <v>111468.0</v>
      </c>
      <c r="L12" s="17">
        <v>0.0</v>
      </c>
      <c r="M12" s="18">
        <v>111468.0</v>
      </c>
      <c r="O12" s="12"/>
    </row>
    <row r="13">
      <c r="A13" s="13" t="s">
        <v>25</v>
      </c>
      <c r="B13" s="14" t="s">
        <v>27</v>
      </c>
      <c r="C13" s="15">
        <v>18.0</v>
      </c>
      <c r="D13" s="12">
        <v>0.0</v>
      </c>
      <c r="E13" s="12">
        <f t="shared" si="1"/>
        <v>18</v>
      </c>
      <c r="F13" s="16">
        <v>21218.0</v>
      </c>
      <c r="G13" s="17">
        <v>32787.0</v>
      </c>
      <c r="H13" s="17">
        <v>16128.0</v>
      </c>
      <c r="I13" s="17">
        <v>14798.0</v>
      </c>
      <c r="J13" s="17">
        <v>26621.0</v>
      </c>
      <c r="K13" s="16">
        <v>111552.0</v>
      </c>
      <c r="L13" s="17">
        <v>0.0</v>
      </c>
      <c r="M13" s="18">
        <v>111552.0</v>
      </c>
      <c r="O13" s="12"/>
    </row>
    <row r="14">
      <c r="A14" s="13" t="s">
        <v>25</v>
      </c>
      <c r="B14" s="14" t="s">
        <v>28</v>
      </c>
      <c r="C14" s="15">
        <v>18.0</v>
      </c>
      <c r="D14" s="12">
        <v>0.0</v>
      </c>
      <c r="E14" s="12">
        <f t="shared" si="1"/>
        <v>18</v>
      </c>
      <c r="F14" s="16">
        <v>20414.0</v>
      </c>
      <c r="G14" s="17">
        <v>32817.0</v>
      </c>
      <c r="H14" s="17">
        <v>15996.0</v>
      </c>
      <c r="I14" s="17">
        <v>14038.0</v>
      </c>
      <c r="J14" s="17">
        <v>25038.0</v>
      </c>
      <c r="K14" s="16">
        <v>108303.0</v>
      </c>
      <c r="L14" s="17">
        <v>0.0</v>
      </c>
      <c r="M14" s="18">
        <v>108303.0</v>
      </c>
      <c r="O14" s="12"/>
    </row>
    <row r="15">
      <c r="A15" s="13" t="s">
        <v>25</v>
      </c>
      <c r="B15" s="14" t="s">
        <v>29</v>
      </c>
      <c r="C15" s="15">
        <v>18.0</v>
      </c>
      <c r="D15" s="12">
        <v>0.0</v>
      </c>
      <c r="E15" s="12">
        <f t="shared" si="1"/>
        <v>18</v>
      </c>
      <c r="F15" s="16">
        <v>18769.0</v>
      </c>
      <c r="G15" s="17">
        <v>30745.0</v>
      </c>
      <c r="H15" s="17">
        <v>15845.0</v>
      </c>
      <c r="I15" s="17">
        <v>13441.0</v>
      </c>
      <c r="J15" s="17">
        <v>23649.0</v>
      </c>
      <c r="K15" s="16">
        <v>102449.0</v>
      </c>
      <c r="L15" s="17">
        <v>0.0</v>
      </c>
      <c r="M15" s="18">
        <v>102449.0</v>
      </c>
      <c r="O15" s="12"/>
    </row>
    <row r="16">
      <c r="A16" s="13" t="s">
        <v>30</v>
      </c>
      <c r="B16" s="14" t="s">
        <v>31</v>
      </c>
      <c r="C16" s="15">
        <v>18.0</v>
      </c>
      <c r="D16" s="12">
        <v>0.0</v>
      </c>
      <c r="E16" s="12">
        <f t="shared" si="1"/>
        <v>18</v>
      </c>
      <c r="F16" s="16">
        <v>19652.0</v>
      </c>
      <c r="G16" s="17">
        <v>32738.0</v>
      </c>
      <c r="H16" s="17">
        <v>14994.0</v>
      </c>
      <c r="I16" s="17">
        <v>11734.0</v>
      </c>
      <c r="J16" s="17">
        <v>22044.0</v>
      </c>
      <c r="K16" s="16">
        <v>101162.0</v>
      </c>
      <c r="L16" s="17">
        <v>0.0</v>
      </c>
      <c r="M16" s="18">
        <v>101162.0</v>
      </c>
      <c r="O16" s="12"/>
    </row>
    <row r="17">
      <c r="A17" s="13" t="s">
        <v>30</v>
      </c>
      <c r="B17" s="14" t="s">
        <v>32</v>
      </c>
      <c r="C17" s="15">
        <v>18.0</v>
      </c>
      <c r="D17" s="12">
        <v>0.0</v>
      </c>
      <c r="E17" s="12">
        <f t="shared" si="1"/>
        <v>18</v>
      </c>
      <c r="F17" s="16">
        <v>16288.0</v>
      </c>
      <c r="G17" s="17">
        <v>27240.0</v>
      </c>
      <c r="H17" s="17">
        <v>13790.0</v>
      </c>
      <c r="I17" s="17">
        <v>11464.0</v>
      </c>
      <c r="J17" s="17">
        <v>20744.0</v>
      </c>
      <c r="K17" s="16">
        <v>89526.0</v>
      </c>
      <c r="L17" s="17">
        <v>0.0</v>
      </c>
      <c r="M17" s="18">
        <v>89526.0</v>
      </c>
      <c r="O17" s="12"/>
    </row>
    <row r="18">
      <c r="A18" s="13" t="s">
        <v>30</v>
      </c>
      <c r="B18" s="14" t="s">
        <v>33</v>
      </c>
      <c r="C18" s="15">
        <v>18.0</v>
      </c>
      <c r="D18" s="12">
        <v>0.0</v>
      </c>
      <c r="E18" s="12">
        <f t="shared" si="1"/>
        <v>18</v>
      </c>
      <c r="F18" s="16">
        <v>16666.0</v>
      </c>
      <c r="G18" s="17">
        <v>27352.0</v>
      </c>
      <c r="H18" s="17">
        <v>13928.0</v>
      </c>
      <c r="I18" s="17">
        <v>11013.0</v>
      </c>
      <c r="J18" s="17">
        <v>20643.0</v>
      </c>
      <c r="K18" s="16">
        <v>89602.0</v>
      </c>
      <c r="L18" s="17">
        <v>0.0</v>
      </c>
      <c r="M18" s="18">
        <v>89602.0</v>
      </c>
      <c r="O18" s="12"/>
    </row>
    <row r="19">
      <c r="A19" s="13" t="s">
        <v>30</v>
      </c>
      <c r="B19" s="14" t="s">
        <v>34</v>
      </c>
      <c r="C19" s="15">
        <v>18.0</v>
      </c>
      <c r="D19" s="12">
        <v>0.0</v>
      </c>
      <c r="E19" s="12">
        <f t="shared" si="1"/>
        <v>18</v>
      </c>
      <c r="F19" s="16">
        <v>17594.0</v>
      </c>
      <c r="G19" s="17">
        <v>29468.0</v>
      </c>
      <c r="H19" s="17">
        <v>14056.0</v>
      </c>
      <c r="I19" s="17">
        <v>11407.0</v>
      </c>
      <c r="J19" s="17">
        <v>21910.0</v>
      </c>
      <c r="K19" s="16">
        <v>94435.0</v>
      </c>
      <c r="L19" s="17">
        <v>0.0</v>
      </c>
      <c r="M19" s="18">
        <v>94435.0</v>
      </c>
      <c r="O19" s="12"/>
    </row>
    <row r="20">
      <c r="A20" s="13" t="s">
        <v>30</v>
      </c>
      <c r="B20" s="14" t="s">
        <v>35</v>
      </c>
      <c r="C20" s="15">
        <v>18.0</v>
      </c>
      <c r="D20" s="12">
        <v>1.0</v>
      </c>
      <c r="E20" s="12">
        <f t="shared" si="1"/>
        <v>17</v>
      </c>
      <c r="F20" s="16">
        <v>18043.0</v>
      </c>
      <c r="G20" s="17">
        <v>29782.0</v>
      </c>
      <c r="H20" s="17">
        <v>14565.0</v>
      </c>
      <c r="I20" s="17">
        <v>12376.0</v>
      </c>
      <c r="J20" s="17">
        <v>22089.0</v>
      </c>
      <c r="K20" s="16">
        <v>96855.0</v>
      </c>
      <c r="L20" s="17">
        <v>2905.65</v>
      </c>
      <c r="M20" s="18">
        <v>93949.35</v>
      </c>
      <c r="O20" s="12"/>
    </row>
    <row r="21">
      <c r="A21" s="13" t="s">
        <v>36</v>
      </c>
      <c r="B21" s="14" t="s">
        <v>37</v>
      </c>
      <c r="C21" s="15">
        <v>21.0</v>
      </c>
      <c r="D21" s="12">
        <v>3.0</v>
      </c>
      <c r="E21" s="12">
        <f t="shared" si="1"/>
        <v>18</v>
      </c>
      <c r="F21" s="16">
        <v>20107.748015999998</v>
      </c>
      <c r="G21" s="17">
        <v>26827.8512372</v>
      </c>
      <c r="H21" s="17">
        <v>12984.594356999998</v>
      </c>
      <c r="I21" s="17">
        <v>11762.426400000002</v>
      </c>
      <c r="J21" s="17">
        <v>19881.4252</v>
      </c>
      <c r="K21" s="16">
        <v>91564.04521019998</v>
      </c>
      <c r="L21" s="17">
        <v>7939.400535750301</v>
      </c>
      <c r="M21" s="18">
        <v>83624.6446744497</v>
      </c>
      <c r="O21" s="12"/>
    </row>
    <row r="22">
      <c r="A22" s="13" t="s">
        <v>36</v>
      </c>
      <c r="B22" s="14" t="s">
        <v>38</v>
      </c>
      <c r="C22" s="15">
        <v>21.0</v>
      </c>
      <c r="D22" s="12">
        <v>5.0</v>
      </c>
      <c r="E22" s="12">
        <f t="shared" si="1"/>
        <v>16</v>
      </c>
      <c r="F22" s="16">
        <v>22046.859984</v>
      </c>
      <c r="G22" s="17">
        <v>28511.7135376</v>
      </c>
      <c r="H22" s="17">
        <v>13369.497637999999</v>
      </c>
      <c r="I22" s="17">
        <v>11769.117200000002</v>
      </c>
      <c r="J22" s="17">
        <v>20623.3885</v>
      </c>
      <c r="K22" s="16">
        <v>96320.57685960001</v>
      </c>
      <c r="L22" s="17">
        <v>20179.1608520862</v>
      </c>
      <c r="M22" s="18">
        <v>76141.4160075138</v>
      </c>
      <c r="O22" s="12"/>
    </row>
    <row r="23">
      <c r="A23" s="13" t="s">
        <v>36</v>
      </c>
      <c r="B23" s="14" t="s">
        <v>39</v>
      </c>
      <c r="C23" s="15">
        <v>21.0</v>
      </c>
      <c r="D23" s="12">
        <v>8.0</v>
      </c>
      <c r="E23" s="12">
        <f t="shared" si="1"/>
        <v>13</v>
      </c>
      <c r="F23" s="16">
        <v>21379.412023999997</v>
      </c>
      <c r="G23" s="17">
        <v>28017.9494044</v>
      </c>
      <c r="H23" s="17">
        <v>13338.076962</v>
      </c>
      <c r="I23" s="17">
        <v>11615.228800000003</v>
      </c>
      <c r="J23" s="17">
        <v>20256.3959</v>
      </c>
      <c r="K23" s="16">
        <v>94607.0630904</v>
      </c>
      <c r="L23" s="17">
        <v>29894.046217861563</v>
      </c>
      <c r="M23" s="18">
        <v>64713.016872538436</v>
      </c>
      <c r="O23" s="12"/>
    </row>
    <row r="24">
      <c r="A24" s="13" t="s">
        <v>36</v>
      </c>
      <c r="B24" s="14" t="s">
        <v>40</v>
      </c>
      <c r="C24" s="15">
        <v>21.0</v>
      </c>
      <c r="D24" s="12">
        <v>12.0</v>
      </c>
      <c r="E24" s="12">
        <f t="shared" si="1"/>
        <v>9</v>
      </c>
      <c r="F24" s="16">
        <v>22145.220736</v>
      </c>
      <c r="G24" s="17">
        <v>27283.633514</v>
      </c>
      <c r="H24" s="17">
        <v>13471.614834999998</v>
      </c>
      <c r="I24" s="17">
        <v>11601.847200000002</v>
      </c>
      <c r="J24" s="17">
        <v>18804.3817</v>
      </c>
      <c r="K24" s="16">
        <v>93306.697985</v>
      </c>
      <c r="L24" s="17">
        <v>45440.36191869501</v>
      </c>
      <c r="M24" s="18">
        <v>47866.33606630499</v>
      </c>
      <c r="O24" s="12"/>
    </row>
    <row r="25">
      <c r="A25" s="13" t="s">
        <v>41</v>
      </c>
      <c r="B25" s="14" t="s">
        <v>42</v>
      </c>
      <c r="C25" s="15">
        <v>24.0</v>
      </c>
      <c r="D25" s="12">
        <v>17.0</v>
      </c>
      <c r="E25" s="12">
        <f t="shared" si="1"/>
        <v>7</v>
      </c>
      <c r="F25" s="16">
        <v>23838.430824</v>
      </c>
      <c r="G25" s="17">
        <v>27638.1308404</v>
      </c>
      <c r="H25" s="17">
        <v>14045.042171999998</v>
      </c>
      <c r="I25" s="17">
        <v>12217.400800000003</v>
      </c>
      <c r="J25" s="17">
        <v>19370.826800000003</v>
      </c>
      <c r="K25" s="16">
        <v>97109.83143640001</v>
      </c>
      <c r="L25" s="17">
        <v>61247.17068693749</v>
      </c>
      <c r="M25" s="18">
        <v>35862.66074946252</v>
      </c>
      <c r="O25" s="12"/>
    </row>
    <row r="26">
      <c r="A26" s="13" t="s">
        <v>41</v>
      </c>
      <c r="B26" s="14" t="s">
        <v>43</v>
      </c>
      <c r="C26" s="15">
        <v>24.0</v>
      </c>
      <c r="D26" s="12">
        <v>19.0</v>
      </c>
      <c r="E26" s="12">
        <f t="shared" si="1"/>
        <v>5</v>
      </c>
      <c r="F26" s="16">
        <v>23697.915463999998</v>
      </c>
      <c r="G26" s="17">
        <v>26751.8875244</v>
      </c>
      <c r="H26" s="17">
        <v>13667.994059999999</v>
      </c>
      <c r="I26" s="17">
        <v>12270.927200000002</v>
      </c>
      <c r="J26" s="17">
        <v>18381.542400000002</v>
      </c>
      <c r="K26" s="16">
        <v>94770.26664840001</v>
      </c>
      <c r="L26" s="17">
        <v>65448.34614738505</v>
      </c>
      <c r="M26" s="18">
        <v>29321.920501014953</v>
      </c>
      <c r="O26" s="12"/>
    </row>
    <row r="27">
      <c r="A27" s="13" t="s">
        <v>41</v>
      </c>
      <c r="B27" s="14" t="s">
        <v>44</v>
      </c>
      <c r="C27" s="15">
        <v>24.0</v>
      </c>
      <c r="D27" s="12">
        <v>20.0</v>
      </c>
      <c r="E27" s="12">
        <f t="shared" si="1"/>
        <v>4</v>
      </c>
      <c r="F27" s="16">
        <v>23142.929202</v>
      </c>
      <c r="G27" s="17">
        <v>27416.654899000005</v>
      </c>
      <c r="H27" s="17">
        <v>12560.485586999997</v>
      </c>
      <c r="I27" s="17">
        <v>11902.933200000001</v>
      </c>
      <c r="J27" s="17">
        <v>18995.8561</v>
      </c>
      <c r="K27" s="16">
        <v>94018.858988</v>
      </c>
      <c r="L27" s="17">
        <v>75403.124908376</v>
      </c>
      <c r="M27" s="18">
        <v>18615.734079624002</v>
      </c>
      <c r="O27" s="12"/>
    </row>
    <row r="28">
      <c r="A28" s="13" t="s">
        <v>41</v>
      </c>
      <c r="B28" s="14" t="s">
        <v>45</v>
      </c>
      <c r="C28" s="15">
        <v>24.0</v>
      </c>
      <c r="D28" s="12">
        <v>21.0</v>
      </c>
      <c r="E28" s="12">
        <f t="shared" si="1"/>
        <v>3</v>
      </c>
      <c r="F28" s="16">
        <v>22019.684576</v>
      </c>
      <c r="G28" s="17">
        <v>27328.8565668</v>
      </c>
      <c r="H28" s="17">
        <v>12498.278691999998</v>
      </c>
      <c r="I28" s="17">
        <v>11635.649000000001</v>
      </c>
      <c r="J28" s="17">
        <v>18285.805200000003</v>
      </c>
      <c r="K28" s="16">
        <v>91768.27403480001</v>
      </c>
      <c r="L28" s="17">
        <v>79397.91069490896</v>
      </c>
      <c r="M28" s="18">
        <v>12370.363339891039</v>
      </c>
      <c r="O28" s="12"/>
    </row>
    <row r="29">
      <c r="A29" s="13" t="s">
        <v>46</v>
      </c>
      <c r="B29" s="14" t="s">
        <v>47</v>
      </c>
      <c r="C29" s="15">
        <v>27.0</v>
      </c>
      <c r="D29" s="12">
        <v>24.0</v>
      </c>
      <c r="E29" s="12">
        <f t="shared" si="1"/>
        <v>3</v>
      </c>
      <c r="F29" s="16">
        <v>21147.868447999997</v>
      </c>
      <c r="G29" s="17">
        <v>27941.60994</v>
      </c>
      <c r="H29" s="17">
        <v>12332.3928</v>
      </c>
      <c r="I29" s="17">
        <v>11154.534500000002</v>
      </c>
      <c r="J29" s="17">
        <v>19262.64</v>
      </c>
      <c r="K29" s="16">
        <v>91839.045688</v>
      </c>
      <c r="L29" s="17">
        <v>79459.1423292576</v>
      </c>
      <c r="M29" s="18">
        <v>12379.903358742406</v>
      </c>
      <c r="O29" s="12"/>
    </row>
    <row r="30">
      <c r="A30" s="13" t="s">
        <v>46</v>
      </c>
      <c r="B30" s="14" t="s">
        <v>48</v>
      </c>
      <c r="C30" s="15">
        <v>27.0</v>
      </c>
      <c r="D30" s="12">
        <v>24.0</v>
      </c>
      <c r="E30" s="12">
        <f t="shared" si="1"/>
        <v>3</v>
      </c>
      <c r="F30" s="16">
        <v>20068.145685</v>
      </c>
      <c r="G30" s="17">
        <v>26439.907189499998</v>
      </c>
      <c r="H30" s="17">
        <v>11217.142883999997</v>
      </c>
      <c r="I30" s="17">
        <v>11030.566400000002</v>
      </c>
      <c r="J30" s="17">
        <v>18427.9256</v>
      </c>
      <c r="K30" s="16">
        <v>87183.68775849999</v>
      </c>
      <c r="L30" s="17">
        <v>78465.31898264999</v>
      </c>
      <c r="M30" s="18">
        <v>11752.3611098458</v>
      </c>
      <c r="O30" s="12"/>
    </row>
    <row r="31">
      <c r="A31" s="13" t="s">
        <v>46</v>
      </c>
      <c r="B31" s="14" t="s">
        <v>49</v>
      </c>
      <c r="C31" s="15">
        <v>27.0</v>
      </c>
      <c r="D31" s="12">
        <v>24.0</v>
      </c>
      <c r="E31" s="12">
        <f t="shared" si="1"/>
        <v>3</v>
      </c>
      <c r="F31" s="16">
        <v>18423.8262</v>
      </c>
      <c r="G31" s="17">
        <v>24839.4400669</v>
      </c>
      <c r="H31" s="17">
        <v>10456.4988</v>
      </c>
      <c r="I31" s="17">
        <v>9775.243800000002</v>
      </c>
      <c r="J31" s="17">
        <v>17922.2813</v>
      </c>
      <c r="K31" s="16">
        <v>81417.2901669</v>
      </c>
      <c r="L31" s="17">
        <v>73275.56115021001</v>
      </c>
      <c r="M31" s="18">
        <v>10975.050714498124</v>
      </c>
      <c r="O31" s="12"/>
    </row>
    <row r="32">
      <c r="A32" s="13" t="s">
        <v>46</v>
      </c>
      <c r="B32" s="14" t="s">
        <v>50</v>
      </c>
      <c r="C32" s="15">
        <v>27.0</v>
      </c>
      <c r="D32" s="12">
        <v>25.0</v>
      </c>
      <c r="E32" s="12">
        <f t="shared" si="1"/>
        <v>2</v>
      </c>
      <c r="F32" s="16">
        <v>16560.583531</v>
      </c>
      <c r="G32" s="17">
        <v>24720.132629</v>
      </c>
      <c r="H32" s="17">
        <v>10123.493624999997</v>
      </c>
      <c r="I32" s="17">
        <v>9425.457</v>
      </c>
      <c r="J32" s="17">
        <v>16501.6616</v>
      </c>
      <c r="K32" s="16">
        <v>77331.328385</v>
      </c>
      <c r="L32" s="17">
        <v>69598.1955465</v>
      </c>
      <c r="M32" s="18">
        <v>8715.240708989497</v>
      </c>
      <c r="O32" s="12"/>
    </row>
    <row r="33">
      <c r="A33" s="13" t="s">
        <v>46</v>
      </c>
      <c r="B33" s="14" t="s">
        <v>51</v>
      </c>
      <c r="C33" s="15">
        <v>30.0</v>
      </c>
      <c r="D33" s="12">
        <v>30.0</v>
      </c>
      <c r="E33" s="12">
        <f t="shared" si="1"/>
        <v>0</v>
      </c>
      <c r="F33" s="16">
        <v>16534.871892</v>
      </c>
      <c r="G33" s="17">
        <v>24374.579252400003</v>
      </c>
      <c r="H33" s="17">
        <v>10537.127432999998</v>
      </c>
      <c r="I33" s="17">
        <v>9414.844400000002</v>
      </c>
      <c r="J33" s="17">
        <v>16429.4267</v>
      </c>
      <c r="K33" s="16">
        <v>77290.8496774</v>
      </c>
      <c r="L33" s="17">
        <v>77290.8496774</v>
      </c>
      <c r="M33" s="18">
        <v>0.0</v>
      </c>
      <c r="O33" s="12"/>
    </row>
    <row r="34">
      <c r="A34" s="13" t="s">
        <v>52</v>
      </c>
      <c r="B34" s="14" t="s">
        <v>53</v>
      </c>
      <c r="C34" s="15">
        <v>30.0</v>
      </c>
      <c r="D34" s="12">
        <v>30.0</v>
      </c>
      <c r="E34" s="12">
        <f t="shared" si="1"/>
        <v>0</v>
      </c>
      <c r="F34" s="16">
        <v>17324.677327999998</v>
      </c>
      <c r="G34" s="17">
        <v>24011.46946</v>
      </c>
      <c r="H34" s="17">
        <v>11786.556849999999</v>
      </c>
      <c r="I34" s="17">
        <v>10320.682000000003</v>
      </c>
      <c r="J34" s="17">
        <v>15819.443099999999</v>
      </c>
      <c r="K34" s="16">
        <v>79262.828738</v>
      </c>
      <c r="L34" s="17">
        <v>79262.828738</v>
      </c>
      <c r="M34" s="18">
        <v>0.0</v>
      </c>
      <c r="O34" s="12"/>
    </row>
    <row r="35">
      <c r="A35" s="13" t="s">
        <v>52</v>
      </c>
      <c r="B35" s="14" t="s">
        <v>54</v>
      </c>
      <c r="C35" s="15">
        <v>30.0</v>
      </c>
      <c r="D35" s="12">
        <v>30.0</v>
      </c>
      <c r="E35" s="12">
        <f t="shared" si="1"/>
        <v>0</v>
      </c>
      <c r="F35" s="16">
        <v>17453.213315999998</v>
      </c>
      <c r="G35" s="17">
        <v>25220.9951808</v>
      </c>
      <c r="H35" s="17">
        <v>13221.119999999997</v>
      </c>
      <c r="I35" s="17">
        <v>12116.392800000001</v>
      </c>
      <c r="J35" s="17">
        <v>16782.5751</v>
      </c>
      <c r="K35" s="16">
        <v>84794.2963968</v>
      </c>
      <c r="L35" s="17">
        <v>84794.2963968</v>
      </c>
      <c r="M35" s="18">
        <v>0.0</v>
      </c>
      <c r="O35" s="12"/>
    </row>
    <row r="36">
      <c r="A36" s="13" t="s">
        <v>52</v>
      </c>
      <c r="B36" s="14" t="s">
        <v>55</v>
      </c>
      <c r="C36" s="15">
        <v>30.0</v>
      </c>
      <c r="D36" s="12">
        <v>30.0</v>
      </c>
      <c r="E36" s="12">
        <f t="shared" si="1"/>
        <v>0</v>
      </c>
      <c r="F36" s="16">
        <v>20041.844046</v>
      </c>
      <c r="G36" s="17">
        <v>28050.099652800003</v>
      </c>
      <c r="H36" s="17">
        <v>14982.645127999996</v>
      </c>
      <c r="I36" s="17">
        <v>13696.761</v>
      </c>
      <c r="J36" s="17">
        <v>17938.3335</v>
      </c>
      <c r="K36" s="16">
        <v>94709.6833268</v>
      </c>
      <c r="L36" s="17">
        <v>94709.6833268</v>
      </c>
      <c r="M36" s="18">
        <v>0.0</v>
      </c>
      <c r="O36" s="12"/>
    </row>
    <row r="37">
      <c r="A37" s="13" t="s">
        <v>52</v>
      </c>
      <c r="B37" s="14" t="s">
        <v>56</v>
      </c>
      <c r="C37" s="15">
        <v>33.0</v>
      </c>
      <c r="D37" s="12">
        <v>33.0</v>
      </c>
      <c r="E37" s="12">
        <f t="shared" si="1"/>
        <v>0</v>
      </c>
      <c r="F37" s="16">
        <v>20235.035688</v>
      </c>
      <c r="G37" s="17">
        <v>29974.601671200002</v>
      </c>
      <c r="H37" s="17">
        <v>15897.493303999996</v>
      </c>
      <c r="I37" s="17">
        <v>14784.345000000001</v>
      </c>
      <c r="J37" s="17">
        <v>18588.4476</v>
      </c>
      <c r="K37" s="16">
        <v>99479.92326319999</v>
      </c>
      <c r="L37" s="17">
        <v>99479.92326319999</v>
      </c>
      <c r="M37" s="18">
        <v>0.0</v>
      </c>
      <c r="O37" s="12"/>
    </row>
    <row r="38">
      <c r="A38" s="13" t="s">
        <v>57</v>
      </c>
      <c r="B38" s="14" t="s">
        <v>58</v>
      </c>
      <c r="C38" s="19">
        <v>33.0</v>
      </c>
      <c r="D38" s="12">
        <v>33.0</v>
      </c>
      <c r="E38" s="12">
        <f t="shared" si="1"/>
        <v>0</v>
      </c>
      <c r="F38" s="16">
        <v>21830.655546</v>
      </c>
      <c r="G38" s="17">
        <v>31789.6838424</v>
      </c>
      <c r="H38" s="17">
        <v>17117.290871999998</v>
      </c>
      <c r="I38" s="17">
        <v>15586.4382</v>
      </c>
      <c r="J38" s="17">
        <v>18805.152299999998</v>
      </c>
      <c r="K38" s="16">
        <v>105129.22076040001</v>
      </c>
      <c r="L38" s="17">
        <v>105129.22076040001</v>
      </c>
      <c r="M38" s="18">
        <v>0.0</v>
      </c>
      <c r="O38" s="12"/>
    </row>
    <row r="39">
      <c r="A39" s="13" t="s">
        <v>57</v>
      </c>
      <c r="B39" s="14" t="s">
        <v>59</v>
      </c>
      <c r="C39" s="19">
        <v>33.0</v>
      </c>
      <c r="D39" s="12">
        <v>33.0</v>
      </c>
      <c r="E39" s="12">
        <f t="shared" si="1"/>
        <v>0</v>
      </c>
      <c r="F39" s="16">
        <v>24571.114764</v>
      </c>
      <c r="G39" s="17">
        <v>35580.7597248</v>
      </c>
      <c r="H39" s="17">
        <v>19267.986583999995</v>
      </c>
      <c r="I39" s="17">
        <v>16721.604000000003</v>
      </c>
      <c r="J39" s="17">
        <v>20899.964399999997</v>
      </c>
      <c r="K39" s="16">
        <v>117041.42947280001</v>
      </c>
      <c r="L39" s="17">
        <v>117041.42947280001</v>
      </c>
      <c r="M39" s="18">
        <v>0.0</v>
      </c>
      <c r="O39" s="12"/>
    </row>
    <row r="40">
      <c r="A40" s="13" t="s">
        <v>57</v>
      </c>
      <c r="B40" s="14" t="s">
        <v>60</v>
      </c>
      <c r="C40" s="19">
        <v>33.0</v>
      </c>
      <c r="D40" s="12">
        <v>33.0</v>
      </c>
      <c r="E40" s="12">
        <f t="shared" si="1"/>
        <v>0</v>
      </c>
      <c r="F40" s="16">
        <v>27104.071848</v>
      </c>
      <c r="G40" s="17">
        <v>38811.863448000004</v>
      </c>
      <c r="H40" s="17">
        <v>21514.982103999995</v>
      </c>
      <c r="I40" s="17">
        <v>17319.7752</v>
      </c>
      <c r="J40" s="17">
        <v>23725.151599999997</v>
      </c>
      <c r="K40" s="16">
        <v>128475.8442</v>
      </c>
      <c r="L40" s="17">
        <v>128475.8442</v>
      </c>
      <c r="M40" s="18">
        <v>0.0</v>
      </c>
      <c r="O40" s="12"/>
    </row>
    <row r="41">
      <c r="A41" s="13" t="s">
        <v>57</v>
      </c>
      <c r="B41" s="14" t="s">
        <v>61</v>
      </c>
      <c r="C41" s="19">
        <v>33.0</v>
      </c>
      <c r="D41" s="12">
        <v>33.0</v>
      </c>
      <c r="E41" s="12">
        <f t="shared" si="1"/>
        <v>0</v>
      </c>
      <c r="F41" s="16">
        <v>28900.038594</v>
      </c>
      <c r="G41" s="17">
        <v>41437.9397808</v>
      </c>
      <c r="H41" s="17">
        <v>22879.229383999995</v>
      </c>
      <c r="I41" s="17">
        <v>17917.9464</v>
      </c>
      <c r="J41" s="17">
        <v>26132.9816</v>
      </c>
      <c r="K41" s="16">
        <v>137268.1357588</v>
      </c>
      <c r="L41" s="17">
        <v>137268.1357588</v>
      </c>
      <c r="M41" s="18">
        <v>0.0</v>
      </c>
      <c r="O41" s="12"/>
    </row>
    <row r="42">
      <c r="A42" s="13" t="s">
        <v>62</v>
      </c>
      <c r="B42" s="14" t="s">
        <v>63</v>
      </c>
      <c r="C42" s="19">
        <v>33.0</v>
      </c>
      <c r="D42" s="12">
        <v>33.0</v>
      </c>
      <c r="E42" s="12">
        <f t="shared" si="1"/>
        <v>0</v>
      </c>
      <c r="F42" s="16">
        <v>31648.849806000002</v>
      </c>
      <c r="G42" s="17">
        <v>44840.7696528</v>
      </c>
      <c r="H42" s="17">
        <v>23877.078991999995</v>
      </c>
      <c r="I42" s="17">
        <v>19518.4026</v>
      </c>
      <c r="J42" s="17">
        <v>28488.9905</v>
      </c>
      <c r="K42" s="16">
        <v>148374.09155080002</v>
      </c>
      <c r="L42" s="17">
        <v>148374.09155080002</v>
      </c>
      <c r="M42" s="18">
        <v>0.0</v>
      </c>
      <c r="O42" s="12"/>
    </row>
    <row r="43">
      <c r="A43" s="13" t="s">
        <v>62</v>
      </c>
      <c r="B43" s="14" t="s">
        <v>64</v>
      </c>
      <c r="C43" s="19">
        <v>33.0</v>
      </c>
      <c r="D43" s="12">
        <v>33.0</v>
      </c>
      <c r="E43" s="12">
        <f t="shared" si="1"/>
        <v>0</v>
      </c>
      <c r="F43" s="16">
        <v>32592.291786</v>
      </c>
      <c r="G43" s="17">
        <v>45638.461967999996</v>
      </c>
      <c r="H43" s="17">
        <v>24844.190087999996</v>
      </c>
      <c r="I43" s="17">
        <v>19256.225400000003</v>
      </c>
      <c r="J43" s="17">
        <v>30561.656</v>
      </c>
      <c r="K43" s="16">
        <v>152892.825242</v>
      </c>
      <c r="L43" s="17">
        <v>152892.825242</v>
      </c>
      <c r="M43" s="18">
        <v>0.0</v>
      </c>
      <c r="O43" s="12"/>
    </row>
    <row r="44">
      <c r="A44" s="13" t="s">
        <v>62</v>
      </c>
      <c r="B44" s="14" t="s">
        <v>65</v>
      </c>
      <c r="C44" s="19">
        <v>33.0</v>
      </c>
      <c r="D44" s="12">
        <v>33.0</v>
      </c>
      <c r="E44" s="12">
        <f t="shared" si="1"/>
        <v>0</v>
      </c>
      <c r="F44" s="16">
        <v>32548.748310000003</v>
      </c>
      <c r="G44" s="17">
        <v>43036.1542512</v>
      </c>
      <c r="H44" s="17">
        <v>24348.444063999996</v>
      </c>
      <c r="I44" s="17">
        <v>17690.0616</v>
      </c>
      <c r="J44" s="17">
        <v>29374.9534</v>
      </c>
      <c r="K44" s="16">
        <v>146998.3616252</v>
      </c>
      <c r="L44" s="17">
        <v>146998.3616252</v>
      </c>
      <c r="M44" s="18">
        <v>0.0</v>
      </c>
      <c r="O44" s="12"/>
    </row>
    <row r="45">
      <c r="A45" s="13" t="s">
        <v>62</v>
      </c>
      <c r="B45" s="14" t="s">
        <v>66</v>
      </c>
      <c r="C45" s="19">
        <v>33.0</v>
      </c>
      <c r="D45" s="12">
        <v>33.0</v>
      </c>
      <c r="E45" s="12">
        <f t="shared" si="1"/>
        <v>0</v>
      </c>
      <c r="F45" s="16">
        <v>32708.407722</v>
      </c>
      <c r="G45" s="17">
        <v>43435.0004088</v>
      </c>
      <c r="H45" s="17">
        <v>24397.205967999995</v>
      </c>
      <c r="I45" s="17">
        <v>18373.1022</v>
      </c>
      <c r="J45" s="17">
        <v>29188.0071</v>
      </c>
      <c r="K45" s="16">
        <v>148101.72339879998</v>
      </c>
      <c r="L45" s="17">
        <v>148101.72339879998</v>
      </c>
      <c r="M45" s="18">
        <v>0.0</v>
      </c>
      <c r="O45" s="12"/>
    </row>
    <row r="46">
      <c r="A46" s="13" t="s">
        <v>62</v>
      </c>
      <c r="B46" s="14" t="s">
        <v>67</v>
      </c>
      <c r="C46" s="19">
        <v>33.0</v>
      </c>
      <c r="D46" s="12">
        <v>33.0</v>
      </c>
      <c r="E46" s="12">
        <f t="shared" si="1"/>
        <v>0</v>
      </c>
      <c r="F46" s="16">
        <v>31307.759244</v>
      </c>
      <c r="G46" s="17">
        <v>43219.231176</v>
      </c>
      <c r="H46" s="17">
        <v>24689.777391999996</v>
      </c>
      <c r="I46" s="17">
        <v>17724.558600000004</v>
      </c>
      <c r="J46" s="17">
        <v>29057.9575</v>
      </c>
      <c r="K46" s="16">
        <v>145999.283912</v>
      </c>
      <c r="L46" s="17">
        <v>145999.283912</v>
      </c>
      <c r="M46" s="18">
        <v>0.0</v>
      </c>
      <c r="O46" s="12"/>
    </row>
    <row r="47">
      <c r="A47" s="13" t="s">
        <v>68</v>
      </c>
      <c r="B47" s="14" t="s">
        <v>69</v>
      </c>
      <c r="C47" s="19">
        <v>33.0</v>
      </c>
      <c r="D47" s="12">
        <v>33.0</v>
      </c>
      <c r="E47" s="12">
        <f t="shared" si="1"/>
        <v>0</v>
      </c>
      <c r="F47" s="16">
        <v>34508.204730000005</v>
      </c>
      <c r="G47" s="17">
        <v>45272.3081184</v>
      </c>
      <c r="H47" s="17">
        <v>25445.586903999996</v>
      </c>
      <c r="I47" s="17">
        <v>18497.291400000002</v>
      </c>
      <c r="J47" s="17">
        <v>28399.5814</v>
      </c>
      <c r="K47" s="16">
        <v>152122.9725524</v>
      </c>
      <c r="L47" s="17">
        <v>152122.9725524</v>
      </c>
      <c r="M47" s="18">
        <v>0.0</v>
      </c>
      <c r="O47" s="12"/>
    </row>
    <row r="48">
      <c r="A48" s="13" t="s">
        <v>68</v>
      </c>
      <c r="B48" s="14" t="s">
        <v>70</v>
      </c>
      <c r="C48" s="19">
        <v>33.0</v>
      </c>
      <c r="D48" s="12">
        <v>33.0</v>
      </c>
      <c r="E48" s="12">
        <f t="shared" si="1"/>
        <v>0</v>
      </c>
      <c r="F48" s="16">
        <v>33376.074354000004</v>
      </c>
      <c r="G48" s="17">
        <v>44723.077344</v>
      </c>
      <c r="H48" s="17">
        <v>25071.745639999994</v>
      </c>
      <c r="I48" s="17">
        <v>18787.0662</v>
      </c>
      <c r="J48" s="17">
        <v>30838.0114</v>
      </c>
      <c r="K48" s="16">
        <v>152795.974938</v>
      </c>
      <c r="L48" s="17">
        <v>152795.974938</v>
      </c>
      <c r="M48" s="18">
        <v>0.0</v>
      </c>
      <c r="O48" s="12"/>
    </row>
    <row r="49">
      <c r="A49" s="13" t="s">
        <v>68</v>
      </c>
      <c r="B49" s="14" t="s">
        <v>71</v>
      </c>
      <c r="C49" s="19">
        <v>33.0</v>
      </c>
      <c r="D49" s="12">
        <v>33.0</v>
      </c>
      <c r="E49" s="12">
        <f t="shared" si="1"/>
        <v>0</v>
      </c>
      <c r="F49" s="16">
        <v>35451.64671</v>
      </c>
      <c r="G49" s="17">
        <v>43350.000408</v>
      </c>
      <c r="H49" s="17">
        <v>23625.142487999994</v>
      </c>
      <c r="I49" s="17">
        <v>17972.937</v>
      </c>
      <c r="J49" s="17">
        <v>27603.0276</v>
      </c>
      <c r="K49" s="16">
        <v>148002.754206</v>
      </c>
      <c r="L49" s="17">
        <v>148002.754206</v>
      </c>
      <c r="M49" s="18">
        <v>0.0</v>
      </c>
      <c r="O49" s="12"/>
    </row>
    <row r="50">
      <c r="A50" s="13" t="s">
        <v>68</v>
      </c>
      <c r="B50" s="14" t="s">
        <v>72</v>
      </c>
      <c r="C50" s="19">
        <v>33.0</v>
      </c>
      <c r="D50" s="12">
        <v>33.0</v>
      </c>
      <c r="E50" s="12">
        <f t="shared" si="1"/>
        <v>0</v>
      </c>
      <c r="F50" s="16">
        <v>35545.990908</v>
      </c>
      <c r="G50" s="17">
        <v>43696.538872799996</v>
      </c>
      <c r="H50" s="17">
        <v>24194.031367999996</v>
      </c>
      <c r="I50" s="17">
        <v>17903.943000000003</v>
      </c>
      <c r="J50" s="17">
        <v>27976.9202</v>
      </c>
      <c r="K50" s="16">
        <v>149317.42434879998</v>
      </c>
      <c r="L50" s="17">
        <v>149317.42434879998</v>
      </c>
      <c r="M50" s="18">
        <v>0.0</v>
      </c>
      <c r="O50" s="12"/>
    </row>
    <row r="51">
      <c r="A51" s="13" t="s">
        <v>73</v>
      </c>
      <c r="B51" s="14" t="s">
        <v>74</v>
      </c>
      <c r="C51" s="19">
        <v>36.0</v>
      </c>
      <c r="D51" s="12">
        <v>36.0</v>
      </c>
      <c r="E51" s="12">
        <f t="shared" si="1"/>
        <v>0</v>
      </c>
      <c r="F51" s="16">
        <v>36068.51262</v>
      </c>
      <c r="G51" s="17">
        <v>42820.3850184</v>
      </c>
      <c r="H51" s="17">
        <v>24722.285327999994</v>
      </c>
      <c r="I51" s="17">
        <v>17455.482000000004</v>
      </c>
      <c r="J51" s="17">
        <v>26554.5027</v>
      </c>
      <c r="K51" s="16">
        <v>147621.1676664</v>
      </c>
      <c r="L51" s="17">
        <v>147621.1676664</v>
      </c>
      <c r="M51" s="18">
        <v>0.0</v>
      </c>
      <c r="O51" s="12"/>
    </row>
    <row r="52">
      <c r="A52" s="13" t="s">
        <v>73</v>
      </c>
      <c r="B52" s="14" t="s">
        <v>75</v>
      </c>
      <c r="C52" s="19">
        <v>36.0</v>
      </c>
      <c r="D52" s="12">
        <v>36.0</v>
      </c>
      <c r="E52" s="12">
        <f t="shared" si="1"/>
        <v>0</v>
      </c>
      <c r="F52" s="16">
        <v>32621.320770000002</v>
      </c>
      <c r="G52" s="17">
        <v>38321.9234376</v>
      </c>
      <c r="H52" s="17">
        <v>21390.221887999996</v>
      </c>
      <c r="I52" s="17">
        <v>16137.696600000001</v>
      </c>
      <c r="J52" s="17">
        <v>25042.6761</v>
      </c>
      <c r="K52" s="16">
        <v>133513.8387956</v>
      </c>
      <c r="L52" s="17">
        <v>133513.8387956</v>
      </c>
      <c r="M52" s="18">
        <v>0.0</v>
      </c>
      <c r="O52" s="12"/>
    </row>
    <row r="53">
      <c r="A53" s="13" t="s">
        <v>73</v>
      </c>
      <c r="B53" s="14" t="s">
        <v>76</v>
      </c>
      <c r="C53" s="19">
        <v>36.0</v>
      </c>
      <c r="D53" s="12">
        <v>36.0</v>
      </c>
      <c r="E53" s="12">
        <f t="shared" si="1"/>
        <v>0</v>
      </c>
      <c r="F53" s="16">
        <v>30545.748414</v>
      </c>
      <c r="G53" s="17">
        <v>34751.923404</v>
      </c>
      <c r="H53" s="17">
        <v>18041.904479999997</v>
      </c>
      <c r="I53" s="17">
        <v>13888.492200000002</v>
      </c>
      <c r="J53" s="17">
        <v>22709.9114</v>
      </c>
      <c r="K53" s="16">
        <v>119937.979898</v>
      </c>
      <c r="L53" s="17">
        <v>119937.979898</v>
      </c>
      <c r="M53" s="18">
        <v>0.0</v>
      </c>
      <c r="O53" s="12"/>
    </row>
    <row r="54">
      <c r="A54" s="20" t="s">
        <v>73</v>
      </c>
      <c r="B54" s="21" t="s">
        <v>77</v>
      </c>
      <c r="C54" s="22">
        <v>36.0</v>
      </c>
      <c r="D54" s="23">
        <v>36.0</v>
      </c>
      <c r="E54" s="23">
        <f t="shared" si="1"/>
        <v>0</v>
      </c>
      <c r="F54" s="24">
        <v>18476.948316</v>
      </c>
      <c r="G54" s="25">
        <v>22374.6155952</v>
      </c>
      <c r="H54" s="25">
        <v>10743.872847999997</v>
      </c>
      <c r="I54" s="25">
        <v>8341.374600000001</v>
      </c>
      <c r="J54" s="25">
        <v>14663.0924</v>
      </c>
      <c r="K54" s="24">
        <v>74599.90375920001</v>
      </c>
      <c r="L54" s="25">
        <v>74599.90375920001</v>
      </c>
      <c r="M54" s="26">
        <v>0.0</v>
      </c>
    </row>
  </sheetData>
  <mergeCells count="4">
    <mergeCell ref="A1:B1"/>
    <mergeCell ref="C1:E1"/>
    <mergeCell ref="F1:J1"/>
    <mergeCell ref="K1:M1"/>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outlineLevelCol="1" outlineLevelRow="1"/>
  <cols>
    <col collapsed="1" customWidth="1" min="1" max="1" width="25.5"/>
    <col hidden="1" min="2" max="19" width="12.63" outlineLevel="1"/>
  </cols>
  <sheetData>
    <row r="1">
      <c r="A1" s="27"/>
      <c r="B1" s="28"/>
      <c r="C1" s="28"/>
      <c r="D1" s="28"/>
      <c r="E1" s="28"/>
      <c r="F1" s="28"/>
      <c r="G1" s="28"/>
      <c r="H1" s="28"/>
      <c r="I1" s="29"/>
      <c r="J1" s="28"/>
      <c r="K1" s="28"/>
      <c r="L1" s="28"/>
      <c r="M1" s="28"/>
      <c r="N1" s="30"/>
      <c r="O1" s="30"/>
      <c r="P1" s="30"/>
      <c r="Q1" s="30"/>
      <c r="R1" s="31"/>
      <c r="S1" s="30"/>
      <c r="T1" s="30"/>
      <c r="U1" s="30"/>
      <c r="V1" s="30"/>
      <c r="W1" s="30"/>
      <c r="X1" s="30"/>
      <c r="Y1" s="30"/>
      <c r="Z1" s="30"/>
      <c r="AA1" s="30"/>
      <c r="AB1" s="28"/>
      <c r="AC1" s="28"/>
      <c r="AD1" s="28"/>
      <c r="AE1" s="28"/>
      <c r="AF1" s="28"/>
      <c r="AG1" s="28"/>
      <c r="AH1" s="28"/>
      <c r="AI1" s="28"/>
      <c r="AJ1" s="28"/>
      <c r="AK1" s="28"/>
      <c r="AL1" s="28"/>
      <c r="AM1" s="28"/>
      <c r="AN1" s="28"/>
      <c r="AO1" s="28"/>
      <c r="AP1" s="28"/>
      <c r="AQ1" s="28"/>
      <c r="AR1" s="28"/>
      <c r="AS1" s="28"/>
      <c r="AT1" s="28"/>
      <c r="AU1" s="28"/>
      <c r="AV1" s="28"/>
      <c r="AW1" s="28"/>
      <c r="AX1" s="28"/>
      <c r="AY1" s="32"/>
      <c r="AZ1" s="32"/>
      <c r="BA1" s="32"/>
    </row>
    <row r="2">
      <c r="A2" s="33" t="s">
        <v>4</v>
      </c>
      <c r="B2" s="34" t="s">
        <v>14</v>
      </c>
      <c r="C2" s="34" t="s">
        <v>14</v>
      </c>
      <c r="D2" s="34" t="s">
        <v>14</v>
      </c>
      <c r="E2" s="34" t="s">
        <v>14</v>
      </c>
      <c r="F2" s="34" t="s">
        <v>14</v>
      </c>
      <c r="G2" s="34" t="s">
        <v>20</v>
      </c>
      <c r="H2" s="34" t="s">
        <v>20</v>
      </c>
      <c r="I2" s="35" t="s">
        <v>20</v>
      </c>
      <c r="J2" s="35" t="s">
        <v>20</v>
      </c>
      <c r="K2" s="35" t="s">
        <v>25</v>
      </c>
      <c r="L2" s="35" t="s">
        <v>25</v>
      </c>
      <c r="M2" s="35" t="s">
        <v>25</v>
      </c>
      <c r="N2" s="35" t="s">
        <v>25</v>
      </c>
      <c r="O2" s="35" t="s">
        <v>30</v>
      </c>
      <c r="P2" s="35" t="s">
        <v>30</v>
      </c>
      <c r="Q2" s="35" t="s">
        <v>30</v>
      </c>
      <c r="R2" s="35" t="s">
        <v>30</v>
      </c>
      <c r="S2" s="35" t="s">
        <v>30</v>
      </c>
      <c r="T2" s="36" t="s">
        <v>36</v>
      </c>
      <c r="U2" s="35" t="s">
        <v>36</v>
      </c>
      <c r="V2" s="35" t="s">
        <v>36</v>
      </c>
      <c r="W2" s="35" t="s">
        <v>36</v>
      </c>
      <c r="X2" s="35" t="s">
        <v>41</v>
      </c>
      <c r="Y2" s="35" t="s">
        <v>41</v>
      </c>
      <c r="Z2" s="35" t="s">
        <v>41</v>
      </c>
      <c r="AA2" s="36" t="s">
        <v>41</v>
      </c>
      <c r="AB2" s="35" t="s">
        <v>46</v>
      </c>
      <c r="AC2" s="35" t="s">
        <v>46</v>
      </c>
      <c r="AD2" s="35" t="s">
        <v>46</v>
      </c>
      <c r="AE2" s="35" t="s">
        <v>46</v>
      </c>
      <c r="AF2" s="35" t="s">
        <v>46</v>
      </c>
      <c r="AG2" s="35" t="s">
        <v>52</v>
      </c>
      <c r="AH2" s="35" t="s">
        <v>52</v>
      </c>
      <c r="AI2" s="35" t="s">
        <v>52</v>
      </c>
      <c r="AJ2" s="35" t="s">
        <v>52</v>
      </c>
      <c r="AK2" s="35" t="s">
        <v>57</v>
      </c>
      <c r="AL2" s="35" t="s">
        <v>57</v>
      </c>
      <c r="AM2" s="35" t="s">
        <v>57</v>
      </c>
      <c r="AN2" s="35" t="s">
        <v>57</v>
      </c>
      <c r="AO2" s="35" t="s">
        <v>62</v>
      </c>
      <c r="AP2" s="35" t="s">
        <v>62</v>
      </c>
      <c r="AQ2" s="35" t="s">
        <v>62</v>
      </c>
      <c r="AR2" s="35" t="s">
        <v>62</v>
      </c>
      <c r="AS2" s="35" t="s">
        <v>62</v>
      </c>
      <c r="AT2" s="35" t="s">
        <v>68</v>
      </c>
      <c r="AU2" s="35" t="s">
        <v>68</v>
      </c>
      <c r="AV2" s="35" t="s">
        <v>68</v>
      </c>
      <c r="AW2" s="35" t="s">
        <v>68</v>
      </c>
      <c r="AX2" s="35" t="s">
        <v>73</v>
      </c>
      <c r="AY2" s="35" t="s">
        <v>73</v>
      </c>
      <c r="AZ2" s="35" t="s">
        <v>73</v>
      </c>
      <c r="BA2" s="35" t="s">
        <v>73</v>
      </c>
    </row>
    <row r="3">
      <c r="A3" s="33" t="s">
        <v>5</v>
      </c>
      <c r="B3" s="35" t="s">
        <v>15</v>
      </c>
      <c r="C3" s="35" t="s">
        <v>16</v>
      </c>
      <c r="D3" s="35" t="s">
        <v>17</v>
      </c>
      <c r="E3" s="35" t="s">
        <v>18</v>
      </c>
      <c r="F3" s="35" t="s">
        <v>19</v>
      </c>
      <c r="G3" s="35" t="s">
        <v>21</v>
      </c>
      <c r="H3" s="35" t="s">
        <v>22</v>
      </c>
      <c r="I3" s="35" t="s">
        <v>23</v>
      </c>
      <c r="J3" s="35" t="s">
        <v>24</v>
      </c>
      <c r="K3" s="35" t="s">
        <v>26</v>
      </c>
      <c r="L3" s="35" t="s">
        <v>27</v>
      </c>
      <c r="M3" s="35" t="s">
        <v>28</v>
      </c>
      <c r="N3" s="35" t="s">
        <v>29</v>
      </c>
      <c r="O3" s="35" t="s">
        <v>31</v>
      </c>
      <c r="P3" s="35" t="s">
        <v>32</v>
      </c>
      <c r="Q3" s="35" t="s">
        <v>33</v>
      </c>
      <c r="R3" s="35" t="s">
        <v>34</v>
      </c>
      <c r="S3" s="35" t="s">
        <v>35</v>
      </c>
      <c r="T3" s="36" t="s">
        <v>37</v>
      </c>
      <c r="U3" s="35" t="s">
        <v>38</v>
      </c>
      <c r="V3" s="35" t="s">
        <v>39</v>
      </c>
      <c r="W3" s="35" t="s">
        <v>40</v>
      </c>
      <c r="X3" s="35" t="s">
        <v>42</v>
      </c>
      <c r="Y3" s="35" t="s">
        <v>43</v>
      </c>
      <c r="Z3" s="35" t="s">
        <v>44</v>
      </c>
      <c r="AA3" s="36" t="s">
        <v>45</v>
      </c>
      <c r="AB3" s="35" t="s">
        <v>47</v>
      </c>
      <c r="AC3" s="35" t="s">
        <v>48</v>
      </c>
      <c r="AD3" s="35" t="s">
        <v>49</v>
      </c>
      <c r="AE3" s="35" t="s">
        <v>50</v>
      </c>
      <c r="AF3" s="35" t="s">
        <v>51</v>
      </c>
      <c r="AG3" s="35" t="s">
        <v>53</v>
      </c>
      <c r="AH3" s="35" t="s">
        <v>54</v>
      </c>
      <c r="AI3" s="35" t="s">
        <v>55</v>
      </c>
      <c r="AJ3" s="35" t="s">
        <v>56</v>
      </c>
      <c r="AK3" s="35" t="s">
        <v>58</v>
      </c>
      <c r="AL3" s="35" t="s">
        <v>59</v>
      </c>
      <c r="AM3" s="35" t="s">
        <v>60</v>
      </c>
      <c r="AN3" s="35" t="s">
        <v>61</v>
      </c>
      <c r="AO3" s="35" t="s">
        <v>63</v>
      </c>
      <c r="AP3" s="35" t="s">
        <v>64</v>
      </c>
      <c r="AQ3" s="35" t="s">
        <v>65</v>
      </c>
      <c r="AR3" s="35" t="s">
        <v>66</v>
      </c>
      <c r="AS3" s="35" t="s">
        <v>67</v>
      </c>
      <c r="AT3" s="35" t="s">
        <v>69</v>
      </c>
      <c r="AU3" s="35" t="s">
        <v>70</v>
      </c>
      <c r="AV3" s="35" t="s">
        <v>71</v>
      </c>
      <c r="AW3" s="35" t="s">
        <v>72</v>
      </c>
      <c r="AX3" s="35" t="s">
        <v>74</v>
      </c>
      <c r="AY3" s="35" t="s">
        <v>75</v>
      </c>
      <c r="AZ3" s="35" t="s">
        <v>76</v>
      </c>
      <c r="BA3" s="35" t="s">
        <v>77</v>
      </c>
    </row>
    <row r="4">
      <c r="A4" s="37" t="s">
        <v>78</v>
      </c>
      <c r="B4" s="38">
        <f t="shared" ref="B4:AB4" si="1">B35+B39+B43</f>
        <v>0</v>
      </c>
      <c r="C4" s="38">
        <f t="shared" si="1"/>
        <v>0</v>
      </c>
      <c r="D4" s="38">
        <f t="shared" si="1"/>
        <v>0</v>
      </c>
      <c r="E4" s="38">
        <f t="shared" si="1"/>
        <v>0</v>
      </c>
      <c r="F4" s="38">
        <f t="shared" si="1"/>
        <v>0</v>
      </c>
      <c r="G4" s="38">
        <f t="shared" si="1"/>
        <v>0</v>
      </c>
      <c r="H4" s="38">
        <f t="shared" si="1"/>
        <v>0</v>
      </c>
      <c r="I4" s="38">
        <f t="shared" si="1"/>
        <v>0</v>
      </c>
      <c r="J4" s="38">
        <f t="shared" si="1"/>
        <v>0</v>
      </c>
      <c r="K4" s="38">
        <f t="shared" si="1"/>
        <v>0</v>
      </c>
      <c r="L4" s="38">
        <f t="shared" si="1"/>
        <v>0</v>
      </c>
      <c r="M4" s="38">
        <f t="shared" si="1"/>
        <v>0</v>
      </c>
      <c r="N4" s="38">
        <f t="shared" si="1"/>
        <v>0</v>
      </c>
      <c r="O4" s="38">
        <f t="shared" si="1"/>
        <v>0</v>
      </c>
      <c r="P4" s="38">
        <f t="shared" si="1"/>
        <v>0</v>
      </c>
      <c r="Q4" s="38">
        <f t="shared" si="1"/>
        <v>0</v>
      </c>
      <c r="R4" s="38">
        <f t="shared" si="1"/>
        <v>0</v>
      </c>
      <c r="S4" s="39">
        <f t="shared" si="1"/>
        <v>2905.65</v>
      </c>
      <c r="T4" s="39">
        <f t="shared" si="1"/>
        <v>7939.400536</v>
      </c>
      <c r="U4" s="39">
        <f t="shared" si="1"/>
        <v>20179.16085</v>
      </c>
      <c r="V4" s="39">
        <f t="shared" si="1"/>
        <v>29894.04622</v>
      </c>
      <c r="W4" s="39">
        <f t="shared" si="1"/>
        <v>45440.36192</v>
      </c>
      <c r="X4" s="39">
        <f t="shared" si="1"/>
        <v>61247.17069</v>
      </c>
      <c r="Y4" s="39">
        <f t="shared" si="1"/>
        <v>65448.34615</v>
      </c>
      <c r="Z4" s="39">
        <f t="shared" si="1"/>
        <v>75403.12491</v>
      </c>
      <c r="AA4" s="39">
        <f t="shared" si="1"/>
        <v>79397.91069</v>
      </c>
      <c r="AB4" s="39">
        <f t="shared" si="1"/>
        <v>79459.14233</v>
      </c>
      <c r="AC4" s="39">
        <f t="shared" ref="AC4:BA4" si="2">AC11</f>
        <v>78465.31898</v>
      </c>
      <c r="AD4" s="39">
        <f t="shared" si="2"/>
        <v>73275.56115</v>
      </c>
      <c r="AE4" s="39">
        <f t="shared" si="2"/>
        <v>69598.19555</v>
      </c>
      <c r="AF4" s="39">
        <f t="shared" si="2"/>
        <v>77290.84968</v>
      </c>
      <c r="AG4" s="39">
        <f t="shared" si="2"/>
        <v>79262.82874</v>
      </c>
      <c r="AH4" s="39">
        <f t="shared" si="2"/>
        <v>84794.2964</v>
      </c>
      <c r="AI4" s="39">
        <f t="shared" si="2"/>
        <v>94709.68333</v>
      </c>
      <c r="AJ4" s="39">
        <f t="shared" si="2"/>
        <v>99479.92326</v>
      </c>
      <c r="AK4" s="39">
        <f t="shared" si="2"/>
        <v>105129.2208</v>
      </c>
      <c r="AL4" s="39">
        <f t="shared" si="2"/>
        <v>117041.4295</v>
      </c>
      <c r="AM4" s="39">
        <f t="shared" si="2"/>
        <v>128475.8442</v>
      </c>
      <c r="AN4" s="39">
        <f t="shared" si="2"/>
        <v>137268.1358</v>
      </c>
      <c r="AO4" s="39">
        <f t="shared" si="2"/>
        <v>148374.0916</v>
      </c>
      <c r="AP4" s="39">
        <f t="shared" si="2"/>
        <v>152892.8252</v>
      </c>
      <c r="AQ4" s="39">
        <f t="shared" si="2"/>
        <v>146998.3616</v>
      </c>
      <c r="AR4" s="39">
        <f t="shared" si="2"/>
        <v>148101.7234</v>
      </c>
      <c r="AS4" s="39">
        <f t="shared" si="2"/>
        <v>145999.2839</v>
      </c>
      <c r="AT4" s="39">
        <f t="shared" si="2"/>
        <v>152122.9726</v>
      </c>
      <c r="AU4" s="39">
        <f t="shared" si="2"/>
        <v>152795.9749</v>
      </c>
      <c r="AV4" s="39">
        <f t="shared" si="2"/>
        <v>148002.7542</v>
      </c>
      <c r="AW4" s="39">
        <f t="shared" si="2"/>
        <v>149317.4243</v>
      </c>
      <c r="AX4" s="39">
        <f t="shared" si="2"/>
        <v>147621.1677</v>
      </c>
      <c r="AY4" s="39">
        <f t="shared" si="2"/>
        <v>133513.8388</v>
      </c>
      <c r="AZ4" s="39">
        <f t="shared" si="2"/>
        <v>119937.9799</v>
      </c>
      <c r="BA4" s="39">
        <f t="shared" si="2"/>
        <v>74599.90376</v>
      </c>
    </row>
    <row r="5">
      <c r="A5" s="37" t="s">
        <v>79</v>
      </c>
      <c r="B5" s="40">
        <f t="shared" ref="B5:AE5" si="3">B36+B40+B44</f>
        <v>50424</v>
      </c>
      <c r="C5" s="40">
        <f t="shared" si="3"/>
        <v>72317</v>
      </c>
      <c r="D5" s="40">
        <f t="shared" si="3"/>
        <v>97195</v>
      </c>
      <c r="E5" s="40">
        <f t="shared" si="3"/>
        <v>104810</v>
      </c>
      <c r="F5" s="40">
        <f t="shared" si="3"/>
        <v>105534</v>
      </c>
      <c r="G5" s="40">
        <f t="shared" si="3"/>
        <v>115011</v>
      </c>
      <c r="H5" s="40">
        <f t="shared" si="3"/>
        <v>114124</v>
      </c>
      <c r="I5" s="40">
        <f t="shared" si="3"/>
        <v>113188</v>
      </c>
      <c r="J5" s="40">
        <f t="shared" si="3"/>
        <v>111596</v>
      </c>
      <c r="K5" s="40">
        <f t="shared" si="3"/>
        <v>111468</v>
      </c>
      <c r="L5" s="40">
        <f t="shared" si="3"/>
        <v>111552</v>
      </c>
      <c r="M5" s="40">
        <f t="shared" si="3"/>
        <v>108303</v>
      </c>
      <c r="N5" s="40">
        <f t="shared" si="3"/>
        <v>102449</v>
      </c>
      <c r="O5" s="40">
        <f t="shared" si="3"/>
        <v>101162</v>
      </c>
      <c r="P5" s="40">
        <f t="shared" si="3"/>
        <v>89526</v>
      </c>
      <c r="Q5" s="40">
        <f t="shared" si="3"/>
        <v>89602</v>
      </c>
      <c r="R5" s="40">
        <f t="shared" si="3"/>
        <v>94435</v>
      </c>
      <c r="S5" s="40">
        <f t="shared" si="3"/>
        <v>93949.35</v>
      </c>
      <c r="T5" s="40">
        <f t="shared" si="3"/>
        <v>83624.64467</v>
      </c>
      <c r="U5" s="40">
        <f t="shared" si="3"/>
        <v>76141.41601</v>
      </c>
      <c r="V5" s="40">
        <f t="shared" si="3"/>
        <v>64713.01687</v>
      </c>
      <c r="W5" s="40">
        <f t="shared" si="3"/>
        <v>47866.33607</v>
      </c>
      <c r="X5" s="40">
        <f t="shared" si="3"/>
        <v>35862.66075</v>
      </c>
      <c r="Y5" s="40">
        <f t="shared" si="3"/>
        <v>29321.9205</v>
      </c>
      <c r="Z5" s="40">
        <f t="shared" si="3"/>
        <v>18615.73408</v>
      </c>
      <c r="AA5" s="40">
        <f t="shared" si="3"/>
        <v>12370.36334</v>
      </c>
      <c r="AB5" s="40">
        <f t="shared" si="3"/>
        <v>12379.90336</v>
      </c>
      <c r="AC5" s="40">
        <f t="shared" si="3"/>
        <v>11752.36111</v>
      </c>
      <c r="AD5" s="40">
        <f t="shared" si="3"/>
        <v>10975.05071</v>
      </c>
      <c r="AE5" s="40">
        <f t="shared" si="3"/>
        <v>8715.240709</v>
      </c>
      <c r="AF5" s="40">
        <f t="shared" ref="AF5:BA5" si="4">AF12</f>
        <v>0</v>
      </c>
      <c r="AG5" s="40">
        <f t="shared" si="4"/>
        <v>0</v>
      </c>
      <c r="AH5" s="40">
        <f t="shared" si="4"/>
        <v>0</v>
      </c>
      <c r="AI5" s="40">
        <f t="shared" si="4"/>
        <v>0</v>
      </c>
      <c r="AJ5" s="40">
        <f t="shared" si="4"/>
        <v>0</v>
      </c>
      <c r="AK5" s="40">
        <f t="shared" si="4"/>
        <v>0</v>
      </c>
      <c r="AL5" s="40">
        <f t="shared" si="4"/>
        <v>0</v>
      </c>
      <c r="AM5" s="40">
        <f t="shared" si="4"/>
        <v>0</v>
      </c>
      <c r="AN5" s="40">
        <f t="shared" si="4"/>
        <v>0</v>
      </c>
      <c r="AO5" s="40">
        <f t="shared" si="4"/>
        <v>0</v>
      </c>
      <c r="AP5" s="40">
        <f t="shared" si="4"/>
        <v>0</v>
      </c>
      <c r="AQ5" s="40">
        <f t="shared" si="4"/>
        <v>0</v>
      </c>
      <c r="AR5" s="40">
        <f t="shared" si="4"/>
        <v>0</v>
      </c>
      <c r="AS5" s="40">
        <f t="shared" si="4"/>
        <v>0</v>
      </c>
      <c r="AT5" s="40">
        <f t="shared" si="4"/>
        <v>0</v>
      </c>
      <c r="AU5" s="40">
        <f t="shared" si="4"/>
        <v>0</v>
      </c>
      <c r="AV5" s="40">
        <f t="shared" si="4"/>
        <v>0</v>
      </c>
      <c r="AW5" s="40">
        <f t="shared" si="4"/>
        <v>0</v>
      </c>
      <c r="AX5" s="40">
        <f t="shared" si="4"/>
        <v>0</v>
      </c>
      <c r="AY5" s="40">
        <f t="shared" si="4"/>
        <v>0</v>
      </c>
      <c r="AZ5" s="40">
        <f t="shared" si="4"/>
        <v>0</v>
      </c>
      <c r="BA5" s="40">
        <f t="shared" si="4"/>
        <v>0</v>
      </c>
    </row>
    <row r="6">
      <c r="A6" s="41" t="s">
        <v>80</v>
      </c>
      <c r="B6" s="42">
        <f t="shared" ref="B6:AE6" si="5">B4/(B4+B5)</f>
        <v>0</v>
      </c>
      <c r="C6" s="42">
        <f t="shared" si="5"/>
        <v>0</v>
      </c>
      <c r="D6" s="42">
        <f t="shared" si="5"/>
        <v>0</v>
      </c>
      <c r="E6" s="42">
        <f t="shared" si="5"/>
        <v>0</v>
      </c>
      <c r="F6" s="42">
        <f t="shared" si="5"/>
        <v>0</v>
      </c>
      <c r="G6" s="42">
        <f t="shared" si="5"/>
        <v>0</v>
      </c>
      <c r="H6" s="42">
        <f t="shared" si="5"/>
        <v>0</v>
      </c>
      <c r="I6" s="42">
        <f t="shared" si="5"/>
        <v>0</v>
      </c>
      <c r="J6" s="42">
        <f t="shared" si="5"/>
        <v>0</v>
      </c>
      <c r="K6" s="42">
        <f t="shared" si="5"/>
        <v>0</v>
      </c>
      <c r="L6" s="42">
        <f t="shared" si="5"/>
        <v>0</v>
      </c>
      <c r="M6" s="42">
        <f t="shared" si="5"/>
        <v>0</v>
      </c>
      <c r="N6" s="42">
        <f t="shared" si="5"/>
        <v>0</v>
      </c>
      <c r="O6" s="42">
        <f t="shared" si="5"/>
        <v>0</v>
      </c>
      <c r="P6" s="42">
        <f t="shared" si="5"/>
        <v>0</v>
      </c>
      <c r="Q6" s="42">
        <f t="shared" si="5"/>
        <v>0</v>
      </c>
      <c r="R6" s="42">
        <f t="shared" si="5"/>
        <v>0</v>
      </c>
      <c r="S6" s="43">
        <f t="shared" si="5"/>
        <v>0.03</v>
      </c>
      <c r="T6" s="43">
        <f t="shared" si="5"/>
        <v>0.0867087132</v>
      </c>
      <c r="U6" s="43">
        <f t="shared" si="5"/>
        <v>0.2095</v>
      </c>
      <c r="V6" s="43">
        <f t="shared" si="5"/>
        <v>0.3159811249</v>
      </c>
      <c r="W6" s="43">
        <f t="shared" si="5"/>
        <v>0.487</v>
      </c>
      <c r="X6" s="43">
        <f t="shared" si="5"/>
        <v>0.6307</v>
      </c>
      <c r="Y6" s="43">
        <f t="shared" si="5"/>
        <v>0.6906</v>
      </c>
      <c r="Z6" s="43">
        <f t="shared" si="5"/>
        <v>0.802</v>
      </c>
      <c r="AA6" s="43">
        <f t="shared" si="5"/>
        <v>0.8652</v>
      </c>
      <c r="AB6" s="43">
        <f t="shared" si="5"/>
        <v>0.8652</v>
      </c>
      <c r="AC6" s="43">
        <f t="shared" si="5"/>
        <v>0.8697332818</v>
      </c>
      <c r="AD6" s="43">
        <f t="shared" si="5"/>
        <v>0.8697332818</v>
      </c>
      <c r="AE6" s="43">
        <f t="shared" si="5"/>
        <v>0.8887133406</v>
      </c>
      <c r="AF6" s="42">
        <f t="shared" ref="AF6:BA6" si="6">AF7</f>
        <v>1</v>
      </c>
      <c r="AG6" s="42">
        <f t="shared" si="6"/>
        <v>1</v>
      </c>
      <c r="AH6" s="42">
        <f t="shared" si="6"/>
        <v>1</v>
      </c>
      <c r="AI6" s="42">
        <f t="shared" si="6"/>
        <v>1</v>
      </c>
      <c r="AJ6" s="42">
        <f t="shared" si="6"/>
        <v>1</v>
      </c>
      <c r="AK6" s="42">
        <f t="shared" si="6"/>
        <v>1</v>
      </c>
      <c r="AL6" s="42">
        <f t="shared" si="6"/>
        <v>1</v>
      </c>
      <c r="AM6" s="42">
        <f t="shared" si="6"/>
        <v>1</v>
      </c>
      <c r="AN6" s="42">
        <f t="shared" si="6"/>
        <v>1</v>
      </c>
      <c r="AO6" s="42">
        <f t="shared" si="6"/>
        <v>1</v>
      </c>
      <c r="AP6" s="42">
        <f t="shared" si="6"/>
        <v>1</v>
      </c>
      <c r="AQ6" s="42">
        <f t="shared" si="6"/>
        <v>1</v>
      </c>
      <c r="AR6" s="42">
        <f t="shared" si="6"/>
        <v>1</v>
      </c>
      <c r="AS6" s="42">
        <f t="shared" si="6"/>
        <v>1</v>
      </c>
      <c r="AT6" s="42">
        <f t="shared" si="6"/>
        <v>1</v>
      </c>
      <c r="AU6" s="42">
        <f t="shared" si="6"/>
        <v>1</v>
      </c>
      <c r="AV6" s="42">
        <f t="shared" si="6"/>
        <v>1</v>
      </c>
      <c r="AW6" s="42">
        <f t="shared" si="6"/>
        <v>1</v>
      </c>
      <c r="AX6" s="42">
        <f t="shared" si="6"/>
        <v>1</v>
      </c>
      <c r="AY6" s="42">
        <f t="shared" si="6"/>
        <v>1</v>
      </c>
      <c r="AZ6" s="42">
        <f t="shared" si="6"/>
        <v>1</v>
      </c>
      <c r="BA6" s="42">
        <f t="shared" si="6"/>
        <v>1</v>
      </c>
    </row>
    <row r="7">
      <c r="A7" s="41" t="s">
        <v>81</v>
      </c>
      <c r="B7" s="44">
        <f t="shared" ref="B7:BA7" si="7">B13</f>
        <v>0</v>
      </c>
      <c r="C7" s="44">
        <f t="shared" si="7"/>
        <v>0</v>
      </c>
      <c r="D7" s="44">
        <f t="shared" si="7"/>
        <v>0</v>
      </c>
      <c r="E7" s="44">
        <f t="shared" si="7"/>
        <v>0</v>
      </c>
      <c r="F7" s="44">
        <f t="shared" si="7"/>
        <v>0</v>
      </c>
      <c r="G7" s="44">
        <f t="shared" si="7"/>
        <v>0</v>
      </c>
      <c r="H7" s="44">
        <f t="shared" si="7"/>
        <v>0</v>
      </c>
      <c r="I7" s="44">
        <f t="shared" si="7"/>
        <v>0</v>
      </c>
      <c r="J7" s="44">
        <f t="shared" si="7"/>
        <v>0</v>
      </c>
      <c r="K7" s="44">
        <f t="shared" si="7"/>
        <v>0</v>
      </c>
      <c r="L7" s="44">
        <f t="shared" si="7"/>
        <v>0</v>
      </c>
      <c r="M7" s="44">
        <f t="shared" si="7"/>
        <v>0</v>
      </c>
      <c r="N7" s="44">
        <f t="shared" si="7"/>
        <v>0</v>
      </c>
      <c r="O7" s="44">
        <f t="shared" si="7"/>
        <v>0</v>
      </c>
      <c r="P7" s="44">
        <f t="shared" si="7"/>
        <v>0</v>
      </c>
      <c r="Q7" s="44">
        <f t="shared" si="7"/>
        <v>0</v>
      </c>
      <c r="R7" s="44">
        <f t="shared" si="7"/>
        <v>0</v>
      </c>
      <c r="S7" s="44">
        <f t="shared" si="7"/>
        <v>0</v>
      </c>
      <c r="T7" s="45">
        <f t="shared" si="7"/>
        <v>0.08</v>
      </c>
      <c r="U7" s="45">
        <f t="shared" si="7"/>
        <v>0.2</v>
      </c>
      <c r="V7" s="45">
        <f t="shared" si="7"/>
        <v>0.31</v>
      </c>
      <c r="W7" s="45">
        <f t="shared" si="7"/>
        <v>0.45</v>
      </c>
      <c r="X7" s="45">
        <f t="shared" si="7"/>
        <v>0.6</v>
      </c>
      <c r="Y7" s="45">
        <f t="shared" si="7"/>
        <v>0.65</v>
      </c>
      <c r="Z7" s="45">
        <f t="shared" si="7"/>
        <v>0.75</v>
      </c>
      <c r="AA7" s="45">
        <f t="shared" si="7"/>
        <v>0.8</v>
      </c>
      <c r="AB7" s="45">
        <f t="shared" si="7"/>
        <v>0.85</v>
      </c>
      <c r="AC7" s="45">
        <f t="shared" si="7"/>
        <v>0.9</v>
      </c>
      <c r="AD7" s="45">
        <f t="shared" si="7"/>
        <v>0.9</v>
      </c>
      <c r="AE7" s="45">
        <f t="shared" si="7"/>
        <v>0.9</v>
      </c>
      <c r="AF7" s="45">
        <f t="shared" si="7"/>
        <v>1</v>
      </c>
      <c r="AG7" s="45">
        <f t="shared" si="7"/>
        <v>1</v>
      </c>
      <c r="AH7" s="45">
        <f t="shared" si="7"/>
        <v>1</v>
      </c>
      <c r="AI7" s="45">
        <f t="shared" si="7"/>
        <v>1</v>
      </c>
      <c r="AJ7" s="45">
        <f t="shared" si="7"/>
        <v>1</v>
      </c>
      <c r="AK7" s="45">
        <f t="shared" si="7"/>
        <v>1</v>
      </c>
      <c r="AL7" s="45">
        <f t="shared" si="7"/>
        <v>1</v>
      </c>
      <c r="AM7" s="45">
        <f t="shared" si="7"/>
        <v>1</v>
      </c>
      <c r="AN7" s="45">
        <f t="shared" si="7"/>
        <v>1</v>
      </c>
      <c r="AO7" s="45">
        <f t="shared" si="7"/>
        <v>1</v>
      </c>
      <c r="AP7" s="45">
        <f t="shared" si="7"/>
        <v>1</v>
      </c>
      <c r="AQ7" s="45">
        <f t="shared" si="7"/>
        <v>1</v>
      </c>
      <c r="AR7" s="45">
        <f t="shared" si="7"/>
        <v>1</v>
      </c>
      <c r="AS7" s="45">
        <f t="shared" si="7"/>
        <v>1</v>
      </c>
      <c r="AT7" s="45">
        <f t="shared" si="7"/>
        <v>1</v>
      </c>
      <c r="AU7" s="45">
        <f t="shared" si="7"/>
        <v>1</v>
      </c>
      <c r="AV7" s="45">
        <f t="shared" si="7"/>
        <v>1</v>
      </c>
      <c r="AW7" s="45">
        <f t="shared" si="7"/>
        <v>1</v>
      </c>
      <c r="AX7" s="45">
        <f t="shared" si="7"/>
        <v>1</v>
      </c>
      <c r="AY7" s="45">
        <f t="shared" si="7"/>
        <v>1</v>
      </c>
      <c r="AZ7" s="45">
        <f t="shared" si="7"/>
        <v>1</v>
      </c>
      <c r="BA7" s="45">
        <f t="shared" si="7"/>
        <v>1</v>
      </c>
    </row>
    <row r="8">
      <c r="A8" s="46" t="s">
        <v>82</v>
      </c>
      <c r="B8" s="47">
        <f t="array" ref="B8:BA8">transpose(Overview!D3:D54)</f>
        <v>0</v>
      </c>
      <c r="C8" s="47">
        <v>0.0</v>
      </c>
      <c r="D8" s="47">
        <v>0.0</v>
      </c>
      <c r="E8" s="47">
        <v>0.0</v>
      </c>
      <c r="F8" s="47">
        <v>0.0</v>
      </c>
      <c r="G8" s="47">
        <v>0.0</v>
      </c>
      <c r="H8" s="47">
        <v>0.0</v>
      </c>
      <c r="I8" s="48">
        <v>0.0</v>
      </c>
      <c r="J8" s="48">
        <v>0.0</v>
      </c>
      <c r="K8" s="48">
        <v>0.0</v>
      </c>
      <c r="L8" s="48">
        <v>0.0</v>
      </c>
      <c r="M8" s="48">
        <v>0.0</v>
      </c>
      <c r="N8" s="48">
        <v>0.0</v>
      </c>
      <c r="O8" s="48">
        <v>0.0</v>
      </c>
      <c r="P8" s="48">
        <v>0.0</v>
      </c>
      <c r="Q8" s="48">
        <v>0.0</v>
      </c>
      <c r="R8" s="48">
        <v>0.0</v>
      </c>
      <c r="S8" s="48">
        <v>1.0</v>
      </c>
      <c r="T8" s="48">
        <v>3.0</v>
      </c>
      <c r="U8" s="48">
        <v>5.0</v>
      </c>
      <c r="V8" s="48">
        <v>8.0</v>
      </c>
      <c r="W8" s="48">
        <v>12.0</v>
      </c>
      <c r="X8" s="48">
        <v>17.0</v>
      </c>
      <c r="Y8" s="48">
        <v>19.0</v>
      </c>
      <c r="Z8" s="48">
        <v>20.0</v>
      </c>
      <c r="AA8" s="48">
        <v>21.0</v>
      </c>
      <c r="AB8" s="47">
        <v>24.0</v>
      </c>
      <c r="AC8" s="47">
        <v>24.0</v>
      </c>
      <c r="AD8" s="47">
        <v>24.0</v>
      </c>
      <c r="AE8" s="47">
        <v>25.0</v>
      </c>
      <c r="AF8" s="47">
        <v>30.0</v>
      </c>
      <c r="AG8" s="47">
        <v>30.0</v>
      </c>
      <c r="AH8" s="47">
        <v>30.0</v>
      </c>
      <c r="AI8" s="47">
        <v>30.0</v>
      </c>
      <c r="AJ8" s="47">
        <v>33.0</v>
      </c>
      <c r="AK8" s="47">
        <v>33.0</v>
      </c>
      <c r="AL8" s="47">
        <v>33.0</v>
      </c>
      <c r="AM8" s="47">
        <v>33.0</v>
      </c>
      <c r="AN8" s="47">
        <v>33.0</v>
      </c>
      <c r="AO8" s="47">
        <v>33.0</v>
      </c>
      <c r="AP8" s="47">
        <v>33.0</v>
      </c>
      <c r="AQ8" s="47">
        <v>33.0</v>
      </c>
      <c r="AR8" s="47">
        <v>33.0</v>
      </c>
      <c r="AS8" s="47">
        <v>33.0</v>
      </c>
      <c r="AT8" s="47">
        <v>33.0</v>
      </c>
      <c r="AU8" s="47">
        <v>33.0</v>
      </c>
      <c r="AV8" s="47">
        <v>33.0</v>
      </c>
      <c r="AW8" s="47">
        <v>33.0</v>
      </c>
      <c r="AX8" s="47">
        <v>36.0</v>
      </c>
      <c r="AY8" s="47">
        <v>36.0</v>
      </c>
      <c r="AZ8" s="47">
        <v>36.0</v>
      </c>
      <c r="BA8" s="47">
        <v>36.0</v>
      </c>
    </row>
    <row r="9" collapsed="1">
      <c r="A9" s="49"/>
      <c r="B9" s="49"/>
      <c r="C9" s="49"/>
      <c r="D9" s="49"/>
      <c r="E9" s="49"/>
      <c r="F9" s="49"/>
      <c r="G9" s="49"/>
      <c r="H9" s="49"/>
      <c r="I9" s="49"/>
      <c r="J9" s="49"/>
      <c r="K9" s="49"/>
      <c r="L9" s="49"/>
      <c r="M9" s="49"/>
      <c r="N9" s="49"/>
      <c r="O9" s="49"/>
      <c r="P9" s="49"/>
      <c r="Q9" s="49"/>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row>
    <row r="10" hidden="1" outlineLevel="1">
      <c r="A10" s="51" t="s">
        <v>83</v>
      </c>
      <c r="B10" s="52" t="s">
        <v>15</v>
      </c>
      <c r="C10" s="53" t="s">
        <v>16</v>
      </c>
      <c r="D10" s="53" t="s">
        <v>17</v>
      </c>
      <c r="E10" s="53" t="s">
        <v>18</v>
      </c>
      <c r="F10" s="53" t="s">
        <v>19</v>
      </c>
      <c r="G10" s="53" t="s">
        <v>21</v>
      </c>
      <c r="H10" s="53" t="s">
        <v>22</v>
      </c>
      <c r="I10" s="53" t="s">
        <v>23</v>
      </c>
      <c r="J10" s="53" t="s">
        <v>24</v>
      </c>
      <c r="K10" s="53" t="s">
        <v>26</v>
      </c>
      <c r="L10" s="53" t="s">
        <v>27</v>
      </c>
      <c r="M10" s="53" t="s">
        <v>28</v>
      </c>
      <c r="N10" s="53" t="s">
        <v>29</v>
      </c>
      <c r="O10" s="53" t="s">
        <v>31</v>
      </c>
      <c r="P10" s="53" t="s">
        <v>32</v>
      </c>
      <c r="Q10" s="53" t="s">
        <v>33</v>
      </c>
      <c r="R10" s="53" t="s">
        <v>34</v>
      </c>
      <c r="S10" s="53" t="s">
        <v>35</v>
      </c>
      <c r="T10" s="53" t="s">
        <v>37</v>
      </c>
      <c r="U10" s="53" t="s">
        <v>38</v>
      </c>
      <c r="V10" s="53" t="s">
        <v>39</v>
      </c>
      <c r="W10" s="53" t="s">
        <v>40</v>
      </c>
      <c r="X10" s="53" t="s">
        <v>42</v>
      </c>
      <c r="Y10" s="53" t="s">
        <v>43</v>
      </c>
      <c r="Z10" s="53" t="s">
        <v>44</v>
      </c>
      <c r="AA10" s="53" t="s">
        <v>45</v>
      </c>
      <c r="AB10" s="53" t="s">
        <v>47</v>
      </c>
      <c r="AC10" s="53" t="s">
        <v>48</v>
      </c>
      <c r="AD10" s="53" t="s">
        <v>49</v>
      </c>
      <c r="AE10" s="53" t="s">
        <v>50</v>
      </c>
      <c r="AF10" s="53" t="s">
        <v>51</v>
      </c>
      <c r="AG10" s="53" t="s">
        <v>53</v>
      </c>
      <c r="AH10" s="53" t="s">
        <v>54</v>
      </c>
      <c r="AI10" s="53" t="s">
        <v>55</v>
      </c>
      <c r="AJ10" s="53" t="s">
        <v>56</v>
      </c>
      <c r="AK10" s="53" t="s">
        <v>58</v>
      </c>
      <c r="AL10" s="53" t="s">
        <v>59</v>
      </c>
      <c r="AM10" s="53" t="s">
        <v>60</v>
      </c>
      <c r="AN10" s="53" t="s">
        <v>61</v>
      </c>
      <c r="AO10" s="53" t="s">
        <v>63</v>
      </c>
      <c r="AP10" s="53" t="s">
        <v>64</v>
      </c>
      <c r="AQ10" s="53" t="s">
        <v>65</v>
      </c>
      <c r="AR10" s="53" t="s">
        <v>66</v>
      </c>
      <c r="AS10" s="53" t="s">
        <v>67</v>
      </c>
      <c r="AT10" s="53" t="s">
        <v>69</v>
      </c>
      <c r="AU10" s="53" t="s">
        <v>70</v>
      </c>
      <c r="AV10" s="53" t="s">
        <v>71</v>
      </c>
      <c r="AW10" s="53" t="s">
        <v>72</v>
      </c>
      <c r="AX10" s="53" t="s">
        <v>74</v>
      </c>
      <c r="AY10" s="53" t="s">
        <v>75</v>
      </c>
      <c r="AZ10" s="53" t="s">
        <v>76</v>
      </c>
      <c r="BA10" s="53" t="s">
        <v>77</v>
      </c>
    </row>
    <row r="11" hidden="1" outlineLevel="1">
      <c r="A11" s="37" t="s">
        <v>78</v>
      </c>
      <c r="B11" s="54">
        <f t="shared" ref="B11:BA11" si="8">B32*B13</f>
        <v>0</v>
      </c>
      <c r="C11" s="54">
        <f t="shared" si="8"/>
        <v>0</v>
      </c>
      <c r="D11" s="54">
        <f t="shared" si="8"/>
        <v>0</v>
      </c>
      <c r="E11" s="54">
        <f t="shared" si="8"/>
        <v>0</v>
      </c>
      <c r="F11" s="54">
        <f t="shared" si="8"/>
        <v>0</v>
      </c>
      <c r="G11" s="54">
        <f t="shared" si="8"/>
        <v>0</v>
      </c>
      <c r="H11" s="54">
        <f t="shared" si="8"/>
        <v>0</v>
      </c>
      <c r="I11" s="54">
        <f t="shared" si="8"/>
        <v>0</v>
      </c>
      <c r="J11" s="54">
        <f t="shared" si="8"/>
        <v>0</v>
      </c>
      <c r="K11" s="54">
        <f t="shared" si="8"/>
        <v>0</v>
      </c>
      <c r="L11" s="54">
        <f t="shared" si="8"/>
        <v>0</v>
      </c>
      <c r="M11" s="54">
        <f t="shared" si="8"/>
        <v>0</v>
      </c>
      <c r="N11" s="54">
        <f t="shared" si="8"/>
        <v>0</v>
      </c>
      <c r="O11" s="54">
        <f t="shared" si="8"/>
        <v>0</v>
      </c>
      <c r="P11" s="54">
        <f t="shared" si="8"/>
        <v>0</v>
      </c>
      <c r="Q11" s="54">
        <f t="shared" si="8"/>
        <v>0</v>
      </c>
      <c r="R11" s="54">
        <f t="shared" si="8"/>
        <v>0</v>
      </c>
      <c r="S11" s="54">
        <f t="shared" si="8"/>
        <v>0</v>
      </c>
      <c r="T11" s="54">
        <f t="shared" si="8"/>
        <v>7325.123617</v>
      </c>
      <c r="U11" s="54">
        <f t="shared" si="8"/>
        <v>19264.11537</v>
      </c>
      <c r="V11" s="54">
        <f t="shared" si="8"/>
        <v>29328.18956</v>
      </c>
      <c r="W11" s="54">
        <f t="shared" si="8"/>
        <v>41988.01409</v>
      </c>
      <c r="X11" s="54">
        <f t="shared" si="8"/>
        <v>58265.89886</v>
      </c>
      <c r="Y11" s="54">
        <f t="shared" si="8"/>
        <v>61600.67332</v>
      </c>
      <c r="Z11" s="54">
        <f t="shared" si="8"/>
        <v>70514.14424</v>
      </c>
      <c r="AA11" s="54">
        <f t="shared" si="8"/>
        <v>73414.61923</v>
      </c>
      <c r="AB11" s="54">
        <f t="shared" si="8"/>
        <v>78063.18883</v>
      </c>
      <c r="AC11" s="54">
        <f t="shared" si="8"/>
        <v>78465.31898</v>
      </c>
      <c r="AD11" s="54">
        <f t="shared" si="8"/>
        <v>73275.56115</v>
      </c>
      <c r="AE11" s="54">
        <f t="shared" si="8"/>
        <v>69598.19555</v>
      </c>
      <c r="AF11" s="54">
        <f t="shared" si="8"/>
        <v>77290.84968</v>
      </c>
      <c r="AG11" s="54">
        <f t="shared" si="8"/>
        <v>79262.82874</v>
      </c>
      <c r="AH11" s="54">
        <f t="shared" si="8"/>
        <v>84794.2964</v>
      </c>
      <c r="AI11" s="54">
        <f t="shared" si="8"/>
        <v>94709.68333</v>
      </c>
      <c r="AJ11" s="54">
        <f t="shared" si="8"/>
        <v>99479.92326</v>
      </c>
      <c r="AK11" s="54">
        <f t="shared" si="8"/>
        <v>105129.2208</v>
      </c>
      <c r="AL11" s="54">
        <f t="shared" si="8"/>
        <v>117041.4295</v>
      </c>
      <c r="AM11" s="54">
        <f t="shared" si="8"/>
        <v>128475.8442</v>
      </c>
      <c r="AN11" s="54">
        <f t="shared" si="8"/>
        <v>137268.1358</v>
      </c>
      <c r="AO11" s="54">
        <f t="shared" si="8"/>
        <v>148374.0916</v>
      </c>
      <c r="AP11" s="54">
        <f t="shared" si="8"/>
        <v>152892.8252</v>
      </c>
      <c r="AQ11" s="54">
        <f t="shared" si="8"/>
        <v>146998.3616</v>
      </c>
      <c r="AR11" s="54">
        <f t="shared" si="8"/>
        <v>148101.7234</v>
      </c>
      <c r="AS11" s="54">
        <f t="shared" si="8"/>
        <v>145999.2839</v>
      </c>
      <c r="AT11" s="54">
        <f t="shared" si="8"/>
        <v>152122.9726</v>
      </c>
      <c r="AU11" s="54">
        <f t="shared" si="8"/>
        <v>152795.9749</v>
      </c>
      <c r="AV11" s="54">
        <f t="shared" si="8"/>
        <v>148002.7542</v>
      </c>
      <c r="AW11" s="54">
        <f t="shared" si="8"/>
        <v>149317.4243</v>
      </c>
      <c r="AX11" s="54">
        <f t="shared" si="8"/>
        <v>147621.1677</v>
      </c>
      <c r="AY11" s="54">
        <f t="shared" si="8"/>
        <v>133513.8388</v>
      </c>
      <c r="AZ11" s="54">
        <f t="shared" si="8"/>
        <v>119937.9799</v>
      </c>
      <c r="BA11" s="54">
        <f t="shared" si="8"/>
        <v>74599.90376</v>
      </c>
    </row>
    <row r="12" hidden="1" outlineLevel="1">
      <c r="A12" s="37" t="s">
        <v>79</v>
      </c>
      <c r="B12" s="54">
        <f t="shared" ref="B12:BA12" si="9">B32-B11</f>
        <v>50424</v>
      </c>
      <c r="C12" s="54">
        <f t="shared" si="9"/>
        <v>72317</v>
      </c>
      <c r="D12" s="54">
        <f t="shared" si="9"/>
        <v>97195</v>
      </c>
      <c r="E12" s="54">
        <f t="shared" si="9"/>
        <v>104810</v>
      </c>
      <c r="F12" s="54">
        <f t="shared" si="9"/>
        <v>105534</v>
      </c>
      <c r="G12" s="54">
        <f t="shared" si="9"/>
        <v>115011</v>
      </c>
      <c r="H12" s="54">
        <f t="shared" si="9"/>
        <v>114124</v>
      </c>
      <c r="I12" s="54">
        <f t="shared" si="9"/>
        <v>113188</v>
      </c>
      <c r="J12" s="54">
        <f t="shared" si="9"/>
        <v>111596</v>
      </c>
      <c r="K12" s="54">
        <f t="shared" si="9"/>
        <v>111468</v>
      </c>
      <c r="L12" s="54">
        <f t="shared" si="9"/>
        <v>111552</v>
      </c>
      <c r="M12" s="54">
        <f t="shared" si="9"/>
        <v>108303</v>
      </c>
      <c r="N12" s="54">
        <f t="shared" si="9"/>
        <v>102449</v>
      </c>
      <c r="O12" s="54">
        <f t="shared" si="9"/>
        <v>101162</v>
      </c>
      <c r="P12" s="54">
        <f t="shared" si="9"/>
        <v>89526</v>
      </c>
      <c r="Q12" s="54">
        <f t="shared" si="9"/>
        <v>89602</v>
      </c>
      <c r="R12" s="54">
        <f t="shared" si="9"/>
        <v>94435</v>
      </c>
      <c r="S12" s="54">
        <f t="shared" si="9"/>
        <v>96855</v>
      </c>
      <c r="T12" s="54">
        <f t="shared" si="9"/>
        <v>84238.92159</v>
      </c>
      <c r="U12" s="54">
        <f t="shared" si="9"/>
        <v>77056.46149</v>
      </c>
      <c r="V12" s="54">
        <f t="shared" si="9"/>
        <v>65278.87353</v>
      </c>
      <c r="W12" s="54">
        <f t="shared" si="9"/>
        <v>51318.68389</v>
      </c>
      <c r="X12" s="54">
        <f t="shared" si="9"/>
        <v>38843.93257</v>
      </c>
      <c r="Y12" s="54">
        <f t="shared" si="9"/>
        <v>33169.59333</v>
      </c>
      <c r="Z12" s="54">
        <f t="shared" si="9"/>
        <v>23504.71475</v>
      </c>
      <c r="AA12" s="54">
        <f t="shared" si="9"/>
        <v>18353.65481</v>
      </c>
      <c r="AB12" s="54">
        <f t="shared" si="9"/>
        <v>13775.85685</v>
      </c>
      <c r="AC12" s="54">
        <f t="shared" si="9"/>
        <v>8718.368776</v>
      </c>
      <c r="AD12" s="54">
        <f t="shared" si="9"/>
        <v>8141.729017</v>
      </c>
      <c r="AE12" s="54">
        <f t="shared" si="9"/>
        <v>7733.132838</v>
      </c>
      <c r="AF12" s="54">
        <f t="shared" si="9"/>
        <v>0</v>
      </c>
      <c r="AG12" s="54">
        <f t="shared" si="9"/>
        <v>0</v>
      </c>
      <c r="AH12" s="54">
        <f t="shared" si="9"/>
        <v>0</v>
      </c>
      <c r="AI12" s="54">
        <f t="shared" si="9"/>
        <v>0</v>
      </c>
      <c r="AJ12" s="54">
        <f t="shared" si="9"/>
        <v>0</v>
      </c>
      <c r="AK12" s="54">
        <f t="shared" si="9"/>
        <v>0</v>
      </c>
      <c r="AL12" s="54">
        <f t="shared" si="9"/>
        <v>0</v>
      </c>
      <c r="AM12" s="54">
        <f t="shared" si="9"/>
        <v>0</v>
      </c>
      <c r="AN12" s="54">
        <f t="shared" si="9"/>
        <v>0</v>
      </c>
      <c r="AO12" s="54">
        <f t="shared" si="9"/>
        <v>0</v>
      </c>
      <c r="AP12" s="54">
        <f t="shared" si="9"/>
        <v>0</v>
      </c>
      <c r="AQ12" s="54">
        <f t="shared" si="9"/>
        <v>0</v>
      </c>
      <c r="AR12" s="54">
        <f t="shared" si="9"/>
        <v>0</v>
      </c>
      <c r="AS12" s="54">
        <f t="shared" si="9"/>
        <v>0</v>
      </c>
      <c r="AT12" s="54">
        <f t="shared" si="9"/>
        <v>0</v>
      </c>
      <c r="AU12" s="54">
        <f t="shared" si="9"/>
        <v>0</v>
      </c>
      <c r="AV12" s="54">
        <f t="shared" si="9"/>
        <v>0</v>
      </c>
      <c r="AW12" s="54">
        <f t="shared" si="9"/>
        <v>0</v>
      </c>
      <c r="AX12" s="54">
        <f t="shared" si="9"/>
        <v>0</v>
      </c>
      <c r="AY12" s="54">
        <f t="shared" si="9"/>
        <v>0</v>
      </c>
      <c r="AZ12" s="54">
        <f t="shared" si="9"/>
        <v>0</v>
      </c>
      <c r="BA12" s="54">
        <f t="shared" si="9"/>
        <v>0</v>
      </c>
    </row>
    <row r="13" hidden="1" outlineLevel="1">
      <c r="A13" s="55"/>
      <c r="B13" s="56">
        <v>0.0</v>
      </c>
      <c r="C13" s="56">
        <v>0.0</v>
      </c>
      <c r="D13" s="56">
        <v>0.0</v>
      </c>
      <c r="E13" s="56">
        <v>0.0</v>
      </c>
      <c r="F13" s="56">
        <v>0.0</v>
      </c>
      <c r="G13" s="56">
        <v>0.0</v>
      </c>
      <c r="H13" s="56">
        <v>0.0</v>
      </c>
      <c r="I13" s="56">
        <v>0.0</v>
      </c>
      <c r="J13" s="56">
        <v>0.0</v>
      </c>
      <c r="K13" s="56">
        <v>0.0</v>
      </c>
      <c r="L13" s="56">
        <v>0.0</v>
      </c>
      <c r="M13" s="56">
        <v>0.0</v>
      </c>
      <c r="N13" s="56">
        <v>0.0</v>
      </c>
      <c r="O13" s="56">
        <v>0.0</v>
      </c>
      <c r="P13" s="56">
        <v>0.0</v>
      </c>
      <c r="Q13" s="56">
        <v>0.0</v>
      </c>
      <c r="R13" s="56">
        <v>0.0</v>
      </c>
      <c r="S13" s="56">
        <v>0.0</v>
      </c>
      <c r="T13" s="57">
        <v>0.08</v>
      </c>
      <c r="U13" s="57">
        <v>0.2</v>
      </c>
      <c r="V13" s="57">
        <v>0.31</v>
      </c>
      <c r="W13" s="57">
        <v>0.45</v>
      </c>
      <c r="X13" s="57">
        <v>0.6</v>
      </c>
      <c r="Y13" s="57">
        <v>0.65</v>
      </c>
      <c r="Z13" s="57">
        <v>0.75</v>
      </c>
      <c r="AA13" s="57">
        <v>0.8</v>
      </c>
      <c r="AB13" s="57">
        <v>0.85</v>
      </c>
      <c r="AC13" s="57">
        <v>0.9</v>
      </c>
      <c r="AD13" s="57">
        <v>0.9</v>
      </c>
      <c r="AE13" s="57">
        <v>0.9</v>
      </c>
      <c r="AF13" s="57">
        <v>1.0</v>
      </c>
      <c r="AG13" s="57">
        <v>1.0</v>
      </c>
      <c r="AH13" s="57">
        <v>1.0</v>
      </c>
      <c r="AI13" s="57">
        <v>1.0</v>
      </c>
      <c r="AJ13" s="57">
        <v>1.0</v>
      </c>
      <c r="AK13" s="57">
        <v>1.0</v>
      </c>
      <c r="AL13" s="57">
        <v>1.0</v>
      </c>
      <c r="AM13" s="57">
        <v>1.0</v>
      </c>
      <c r="AN13" s="57">
        <v>1.0</v>
      </c>
      <c r="AO13" s="57">
        <v>1.0</v>
      </c>
      <c r="AP13" s="57">
        <v>1.0</v>
      </c>
      <c r="AQ13" s="57">
        <v>1.0</v>
      </c>
      <c r="AR13" s="57">
        <v>1.0</v>
      </c>
      <c r="AS13" s="57">
        <v>1.0</v>
      </c>
      <c r="AT13" s="57">
        <v>1.0</v>
      </c>
      <c r="AU13" s="57">
        <v>1.0</v>
      </c>
      <c r="AV13" s="57">
        <v>1.0</v>
      </c>
      <c r="AW13" s="57">
        <v>1.0</v>
      </c>
      <c r="AX13" s="57">
        <v>1.0</v>
      </c>
      <c r="AY13" s="57">
        <v>1.0</v>
      </c>
      <c r="AZ13" s="57">
        <v>1.0</v>
      </c>
      <c r="BA13" s="57">
        <v>1.0</v>
      </c>
    </row>
    <row r="14" hidden="1" outlineLevel="1">
      <c r="A14" s="58" t="s">
        <v>84</v>
      </c>
      <c r="B14" s="59">
        <f t="shared" ref="B14:BA14" si="10">B11+B12</f>
        <v>50424</v>
      </c>
      <c r="C14" s="59">
        <f t="shared" si="10"/>
        <v>72317</v>
      </c>
      <c r="D14" s="59">
        <f t="shared" si="10"/>
        <v>97195</v>
      </c>
      <c r="E14" s="59">
        <f t="shared" si="10"/>
        <v>104810</v>
      </c>
      <c r="F14" s="59">
        <f t="shared" si="10"/>
        <v>105534</v>
      </c>
      <c r="G14" s="59">
        <f t="shared" si="10"/>
        <v>115011</v>
      </c>
      <c r="H14" s="59">
        <f t="shared" si="10"/>
        <v>114124</v>
      </c>
      <c r="I14" s="59">
        <f t="shared" si="10"/>
        <v>113188</v>
      </c>
      <c r="J14" s="59">
        <f t="shared" si="10"/>
        <v>111596</v>
      </c>
      <c r="K14" s="59">
        <f t="shared" si="10"/>
        <v>111468</v>
      </c>
      <c r="L14" s="59">
        <f t="shared" si="10"/>
        <v>111552</v>
      </c>
      <c r="M14" s="59">
        <f t="shared" si="10"/>
        <v>108303</v>
      </c>
      <c r="N14" s="59">
        <f t="shared" si="10"/>
        <v>102449</v>
      </c>
      <c r="O14" s="59">
        <f t="shared" si="10"/>
        <v>101162</v>
      </c>
      <c r="P14" s="59">
        <f t="shared" si="10"/>
        <v>89526</v>
      </c>
      <c r="Q14" s="59">
        <f t="shared" si="10"/>
        <v>89602</v>
      </c>
      <c r="R14" s="59">
        <f t="shared" si="10"/>
        <v>94435</v>
      </c>
      <c r="S14" s="59">
        <f t="shared" si="10"/>
        <v>96855</v>
      </c>
      <c r="T14" s="59">
        <f t="shared" si="10"/>
        <v>91564.04521</v>
      </c>
      <c r="U14" s="59">
        <f t="shared" si="10"/>
        <v>96320.57686</v>
      </c>
      <c r="V14" s="59">
        <f t="shared" si="10"/>
        <v>94607.06309</v>
      </c>
      <c r="W14" s="59">
        <f t="shared" si="10"/>
        <v>93306.69799</v>
      </c>
      <c r="X14" s="59">
        <f t="shared" si="10"/>
        <v>97109.83144</v>
      </c>
      <c r="Y14" s="59">
        <f t="shared" si="10"/>
        <v>94770.26665</v>
      </c>
      <c r="Z14" s="59">
        <f t="shared" si="10"/>
        <v>94018.85899</v>
      </c>
      <c r="AA14" s="59">
        <f t="shared" si="10"/>
        <v>91768.27403</v>
      </c>
      <c r="AB14" s="59">
        <f t="shared" si="10"/>
        <v>91839.04569</v>
      </c>
      <c r="AC14" s="59">
        <f t="shared" si="10"/>
        <v>87183.68776</v>
      </c>
      <c r="AD14" s="59">
        <f t="shared" si="10"/>
        <v>81417.29017</v>
      </c>
      <c r="AE14" s="59">
        <f t="shared" si="10"/>
        <v>77331.32839</v>
      </c>
      <c r="AF14" s="59">
        <f t="shared" si="10"/>
        <v>77290.84968</v>
      </c>
      <c r="AG14" s="59">
        <f t="shared" si="10"/>
        <v>79262.82874</v>
      </c>
      <c r="AH14" s="59">
        <f t="shared" si="10"/>
        <v>84794.2964</v>
      </c>
      <c r="AI14" s="59">
        <f t="shared" si="10"/>
        <v>94709.68333</v>
      </c>
      <c r="AJ14" s="59">
        <f t="shared" si="10"/>
        <v>99479.92326</v>
      </c>
      <c r="AK14" s="59">
        <f t="shared" si="10"/>
        <v>105129.2208</v>
      </c>
      <c r="AL14" s="59">
        <f t="shared" si="10"/>
        <v>117041.4295</v>
      </c>
      <c r="AM14" s="59">
        <f t="shared" si="10"/>
        <v>128475.8442</v>
      </c>
      <c r="AN14" s="59">
        <f t="shared" si="10"/>
        <v>137268.1358</v>
      </c>
      <c r="AO14" s="59">
        <f t="shared" si="10"/>
        <v>148374.0916</v>
      </c>
      <c r="AP14" s="59">
        <f t="shared" si="10"/>
        <v>152892.8252</v>
      </c>
      <c r="AQ14" s="59">
        <f t="shared" si="10"/>
        <v>146998.3616</v>
      </c>
      <c r="AR14" s="59">
        <f t="shared" si="10"/>
        <v>148101.7234</v>
      </c>
      <c r="AS14" s="59">
        <f t="shared" si="10"/>
        <v>145999.2839</v>
      </c>
      <c r="AT14" s="59">
        <f t="shared" si="10"/>
        <v>152122.9726</v>
      </c>
      <c r="AU14" s="59">
        <f t="shared" si="10"/>
        <v>152795.9749</v>
      </c>
      <c r="AV14" s="59">
        <f t="shared" si="10"/>
        <v>148002.7542</v>
      </c>
      <c r="AW14" s="59">
        <f t="shared" si="10"/>
        <v>149317.4243</v>
      </c>
      <c r="AX14" s="59">
        <f t="shared" si="10"/>
        <v>147621.1677</v>
      </c>
      <c r="AY14" s="59">
        <f t="shared" si="10"/>
        <v>133513.8388</v>
      </c>
      <c r="AZ14" s="59">
        <f t="shared" si="10"/>
        <v>119937.9799</v>
      </c>
      <c r="BA14" s="59">
        <f t="shared" si="10"/>
        <v>74599.90376</v>
      </c>
    </row>
    <row r="15">
      <c r="A15" s="60"/>
      <c r="B15" s="61"/>
      <c r="C15" s="61"/>
      <c r="D15" s="61"/>
      <c r="E15" s="61"/>
      <c r="F15" s="61"/>
      <c r="G15" s="61"/>
      <c r="H15" s="61"/>
      <c r="I15" s="61"/>
      <c r="J15" s="61"/>
      <c r="K15" s="61"/>
      <c r="L15" s="61"/>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row>
    <row r="16">
      <c r="A16" s="63" t="s">
        <v>85</v>
      </c>
      <c r="B16" s="34" t="s">
        <v>15</v>
      </c>
      <c r="C16" s="34" t="s">
        <v>16</v>
      </c>
      <c r="D16" s="34" t="s">
        <v>17</v>
      </c>
      <c r="E16" s="34" t="s">
        <v>18</v>
      </c>
      <c r="F16" s="34" t="s">
        <v>19</v>
      </c>
      <c r="G16" s="34" t="s">
        <v>21</v>
      </c>
      <c r="H16" s="34" t="s">
        <v>22</v>
      </c>
      <c r="I16" s="34" t="s">
        <v>23</v>
      </c>
      <c r="J16" s="34" t="s">
        <v>24</v>
      </c>
      <c r="K16" s="34" t="s">
        <v>26</v>
      </c>
      <c r="L16" s="34" t="s">
        <v>27</v>
      </c>
      <c r="M16" s="34" t="s">
        <v>28</v>
      </c>
      <c r="N16" s="34" t="s">
        <v>29</v>
      </c>
      <c r="O16" s="34" t="s">
        <v>31</v>
      </c>
      <c r="P16" s="34" t="s">
        <v>32</v>
      </c>
      <c r="Q16" s="34" t="s">
        <v>33</v>
      </c>
      <c r="R16" s="34" t="s">
        <v>34</v>
      </c>
      <c r="S16" s="34" t="s">
        <v>35</v>
      </c>
      <c r="T16" s="34" t="s">
        <v>37</v>
      </c>
      <c r="U16" s="34" t="s">
        <v>38</v>
      </c>
      <c r="V16" s="34" t="s">
        <v>39</v>
      </c>
      <c r="W16" s="34" t="s">
        <v>40</v>
      </c>
      <c r="X16" s="34" t="s">
        <v>42</v>
      </c>
      <c r="Y16" s="34" t="s">
        <v>43</v>
      </c>
      <c r="Z16" s="34" t="s">
        <v>44</v>
      </c>
      <c r="AA16" s="34" t="s">
        <v>45</v>
      </c>
      <c r="AB16" s="34" t="s">
        <v>47</v>
      </c>
      <c r="AC16" s="34" t="s">
        <v>48</v>
      </c>
      <c r="AD16" s="34" t="s">
        <v>49</v>
      </c>
      <c r="AE16" s="34" t="s">
        <v>50</v>
      </c>
      <c r="AF16" s="34" t="s">
        <v>51</v>
      </c>
      <c r="AG16" s="34" t="s">
        <v>53</v>
      </c>
      <c r="AH16" s="34" t="s">
        <v>54</v>
      </c>
      <c r="AI16" s="34" t="s">
        <v>55</v>
      </c>
      <c r="AJ16" s="34" t="s">
        <v>56</v>
      </c>
      <c r="AK16" s="34" t="s">
        <v>58</v>
      </c>
      <c r="AL16" s="34" t="s">
        <v>59</v>
      </c>
      <c r="AM16" s="34" t="s">
        <v>60</v>
      </c>
      <c r="AN16" s="34" t="s">
        <v>61</v>
      </c>
      <c r="AO16" s="34" t="s">
        <v>63</v>
      </c>
      <c r="AP16" s="34" t="s">
        <v>64</v>
      </c>
      <c r="AQ16" s="34" t="s">
        <v>65</v>
      </c>
      <c r="AR16" s="34" t="s">
        <v>66</v>
      </c>
      <c r="AS16" s="34" t="s">
        <v>67</v>
      </c>
      <c r="AT16" s="34" t="s">
        <v>69</v>
      </c>
      <c r="AU16" s="34" t="s">
        <v>70</v>
      </c>
      <c r="AV16" s="34" t="s">
        <v>71</v>
      </c>
      <c r="AW16" s="34" t="s">
        <v>72</v>
      </c>
      <c r="AX16" s="34" t="s">
        <v>74</v>
      </c>
      <c r="AY16" s="34" t="s">
        <v>75</v>
      </c>
      <c r="AZ16" s="34" t="s">
        <v>76</v>
      </c>
      <c r="BA16" s="34" t="s">
        <v>77</v>
      </c>
    </row>
    <row r="17" outlineLevel="1">
      <c r="A17" s="64" t="s">
        <v>9</v>
      </c>
      <c r="B17" s="65">
        <v>1712.0</v>
      </c>
      <c r="C17" s="65">
        <v>2563.0</v>
      </c>
      <c r="D17" s="65">
        <v>2910.0</v>
      </c>
      <c r="E17" s="65">
        <v>2967.0</v>
      </c>
      <c r="F17" s="65">
        <v>2992.0</v>
      </c>
      <c r="G17" s="65">
        <v>3127.0</v>
      </c>
      <c r="H17" s="65">
        <v>3127.0</v>
      </c>
      <c r="I17" s="65">
        <v>2958.0</v>
      </c>
      <c r="J17" s="65">
        <v>3084.0</v>
      </c>
      <c r="K17" s="65">
        <v>3240.0</v>
      </c>
      <c r="L17" s="65">
        <v>3305.0</v>
      </c>
      <c r="M17" s="65">
        <v>3198.0</v>
      </c>
      <c r="N17" s="65">
        <v>2940.0</v>
      </c>
      <c r="O17" s="65">
        <v>3127.0</v>
      </c>
      <c r="P17" s="65">
        <v>2577.0</v>
      </c>
      <c r="Q17" s="65">
        <v>2637.0</v>
      </c>
      <c r="R17" s="65">
        <v>2800.0</v>
      </c>
      <c r="S17" s="65">
        <v>2871.0</v>
      </c>
      <c r="T17" s="66">
        <f>'Budget Volumes'!AF4</f>
        <v>2862</v>
      </c>
      <c r="U17" s="66">
        <f>'Budget Volumes'!AG4</f>
        <v>3138</v>
      </c>
      <c r="V17" s="66">
        <f>'Budget Volumes'!AH4</f>
        <v>3043</v>
      </c>
      <c r="W17" s="66">
        <f>'Budget Volumes'!AI4</f>
        <v>3152</v>
      </c>
      <c r="X17" s="66">
        <f>'Budget Volumes'!AJ4</f>
        <v>3393</v>
      </c>
      <c r="Y17" s="66">
        <f>'Budget Volumes'!AK4</f>
        <v>3373</v>
      </c>
      <c r="Z17" s="66">
        <f>'Budget Volumes'!AL4</f>
        <v>3294</v>
      </c>
      <c r="AA17" s="66">
        <f>'Budget Volumes'!AM4</f>
        <v>3134</v>
      </c>
      <c r="AB17" s="66">
        <f>'Budget Volumes'!AN4</f>
        <v>2989</v>
      </c>
      <c r="AC17" s="66">
        <f>'Budget Volumes'!AO4</f>
        <v>2835</v>
      </c>
      <c r="AD17" s="66">
        <f>'Budget Volumes'!AP4</f>
        <v>2600</v>
      </c>
      <c r="AE17" s="66">
        <f>'Budget Volumes'!AQ4</f>
        <v>2333</v>
      </c>
      <c r="AF17" s="66">
        <f>'Budget Volumes'!AR4</f>
        <v>2324</v>
      </c>
      <c r="AG17" s="66">
        <f>'Budget Volumes'!AS4</f>
        <v>2429</v>
      </c>
      <c r="AH17" s="66">
        <f>'Budget Volumes'!AT4</f>
        <v>2442</v>
      </c>
      <c r="AI17" s="66">
        <f>'Budget Volumes'!AU4</f>
        <v>2801</v>
      </c>
      <c r="AJ17" s="66">
        <f>'Budget Volumes'!AV4</f>
        <v>2828</v>
      </c>
      <c r="AK17" s="66">
        <f>'Budget Volumes'!AW4</f>
        <v>3051</v>
      </c>
      <c r="AL17" s="66">
        <f>'Budget Volumes'!AX4</f>
        <v>3434</v>
      </c>
      <c r="AM17" s="66">
        <f>'Budget Volumes'!AY4</f>
        <v>3788</v>
      </c>
      <c r="AN17" s="66">
        <f>'Budget Volumes'!AZ4</f>
        <v>4039</v>
      </c>
      <c r="AO17" s="66">
        <f>'Budget Volumes'!BA4</f>
        <v>4361</v>
      </c>
      <c r="AP17" s="66">
        <f>'Budget Volumes'!BB4</f>
        <v>4491</v>
      </c>
      <c r="AQ17" s="66">
        <f>'Budget Volumes'!BC4</f>
        <v>4485</v>
      </c>
      <c r="AR17" s="66">
        <f>'Budget Volumes'!BD4</f>
        <v>4507</v>
      </c>
      <c r="AS17" s="66">
        <f>'Budget Volumes'!BE4</f>
        <v>4314</v>
      </c>
      <c r="AT17" s="66">
        <f>'Budget Volumes'!BF4</f>
        <v>4755</v>
      </c>
      <c r="AU17" s="66">
        <f>'Budget Volumes'!BG4</f>
        <v>4599</v>
      </c>
      <c r="AV17" s="66">
        <f>'Budget Volumes'!BH4</f>
        <v>4885</v>
      </c>
      <c r="AW17" s="66">
        <f>'Budget Volumes'!BI4</f>
        <v>4898</v>
      </c>
      <c r="AX17" s="66">
        <f>'Budget Volumes'!BJ4</f>
        <v>4970</v>
      </c>
      <c r="AY17" s="66">
        <f>'Budget Volumes'!BK4</f>
        <v>4495</v>
      </c>
      <c r="AZ17" s="66">
        <f>'Budget Volumes'!BL4</f>
        <v>4209</v>
      </c>
      <c r="BA17" s="66">
        <f>'Budget Volumes'!BM4</f>
        <v>2546</v>
      </c>
    </row>
    <row r="18" outlineLevel="1">
      <c r="A18" s="64" t="s">
        <v>10</v>
      </c>
      <c r="B18" s="65">
        <v>1994.0</v>
      </c>
      <c r="C18" s="65">
        <v>2845.0</v>
      </c>
      <c r="D18" s="65">
        <v>3469.0</v>
      </c>
      <c r="E18" s="65">
        <v>3776.0</v>
      </c>
      <c r="F18" s="65">
        <v>4035.0</v>
      </c>
      <c r="G18" s="65">
        <v>4428.0</v>
      </c>
      <c r="H18" s="65">
        <v>4421.0</v>
      </c>
      <c r="I18" s="65">
        <v>4449.0</v>
      </c>
      <c r="J18" s="65">
        <v>4487.0</v>
      </c>
      <c r="K18" s="65">
        <v>4670.0</v>
      </c>
      <c r="L18" s="65">
        <v>4644.0</v>
      </c>
      <c r="M18" s="65">
        <v>4648.0</v>
      </c>
      <c r="N18" s="65">
        <v>4357.0</v>
      </c>
      <c r="O18" s="65">
        <v>4670.0</v>
      </c>
      <c r="P18" s="65">
        <v>3959.0</v>
      </c>
      <c r="Q18" s="65">
        <v>4022.0</v>
      </c>
      <c r="R18" s="65">
        <v>4273.0</v>
      </c>
      <c r="S18" s="65">
        <v>4342.0</v>
      </c>
      <c r="T18" s="66">
        <f>'Budget Volumes'!AF5</f>
        <v>4238</v>
      </c>
      <c r="U18" s="66">
        <f>'Budget Volumes'!AG5</f>
        <v>4504</v>
      </c>
      <c r="V18" s="66">
        <f>'Budget Volumes'!AH5</f>
        <v>4426</v>
      </c>
      <c r="W18" s="66">
        <f>'Budget Volumes'!AI5</f>
        <v>4310</v>
      </c>
      <c r="X18" s="66">
        <f>'Budget Volumes'!AJ5</f>
        <v>4366</v>
      </c>
      <c r="Y18" s="66">
        <f>'Budget Volumes'!AK5</f>
        <v>4226</v>
      </c>
      <c r="Z18" s="66">
        <f>'Budget Volumes'!AL5</f>
        <v>4331</v>
      </c>
      <c r="AA18" s="66">
        <f>'Budget Volumes'!AM5</f>
        <v>4317</v>
      </c>
      <c r="AB18" s="66">
        <f>'Budget Volumes'!AN5</f>
        <v>4380</v>
      </c>
      <c r="AC18" s="66">
        <f>'Budget Volumes'!AO5</f>
        <v>4143</v>
      </c>
      <c r="AD18" s="66">
        <f>'Budget Volumes'!AP5</f>
        <v>3889</v>
      </c>
      <c r="AE18" s="66">
        <f>'Budget Volumes'!AQ5</f>
        <v>3865</v>
      </c>
      <c r="AF18" s="66">
        <f>'Budget Volumes'!AR5</f>
        <v>3804</v>
      </c>
      <c r="AG18" s="66">
        <f>'Budget Volumes'!AS5</f>
        <v>3740</v>
      </c>
      <c r="AH18" s="66">
        <f>'Budget Volumes'!AT5</f>
        <v>3922</v>
      </c>
      <c r="AI18" s="66">
        <f>'Budget Volumes'!AU5</f>
        <v>4358</v>
      </c>
      <c r="AJ18" s="66">
        <f>'Budget Volumes'!AV5</f>
        <v>4657</v>
      </c>
      <c r="AK18" s="66">
        <f>'Budget Volumes'!AW5</f>
        <v>4939</v>
      </c>
      <c r="AL18" s="66">
        <f>'Budget Volumes'!AX5</f>
        <v>5528</v>
      </c>
      <c r="AM18" s="66">
        <f>'Budget Volumes'!AY5</f>
        <v>6030</v>
      </c>
      <c r="AN18" s="66">
        <f>'Budget Volumes'!AZ5</f>
        <v>6438</v>
      </c>
      <c r="AO18" s="66">
        <f>'Budget Volumes'!BA5</f>
        <v>6858</v>
      </c>
      <c r="AP18" s="66">
        <f>'Budget Volumes'!BB5</f>
        <v>6980</v>
      </c>
      <c r="AQ18" s="66">
        <f>'Budget Volumes'!BC5</f>
        <v>6582</v>
      </c>
      <c r="AR18" s="66">
        <f>'Budget Volumes'!BD5</f>
        <v>6643</v>
      </c>
      <c r="AS18" s="66">
        <f>'Budget Volumes'!BE5</f>
        <v>6610</v>
      </c>
      <c r="AT18" s="66">
        <f>'Budget Volumes'!BF5</f>
        <v>6924</v>
      </c>
      <c r="AU18" s="66">
        <f>'Budget Volumes'!BG5</f>
        <v>6840</v>
      </c>
      <c r="AV18" s="66">
        <f>'Budget Volumes'!BH5</f>
        <v>6630</v>
      </c>
      <c r="AW18" s="66">
        <f>'Budget Volumes'!BI5</f>
        <v>6683</v>
      </c>
      <c r="AX18" s="66">
        <f>'Budget Volumes'!BJ5</f>
        <v>6549</v>
      </c>
      <c r="AY18" s="66">
        <f>'Budget Volumes'!BK5</f>
        <v>5861</v>
      </c>
      <c r="AZ18" s="66">
        <f>'Budget Volumes'!BL5</f>
        <v>5315</v>
      </c>
      <c r="BA18" s="66">
        <f>'Budget Volumes'!BM5</f>
        <v>3422</v>
      </c>
    </row>
    <row r="19" outlineLevel="1">
      <c r="A19" s="64" t="s">
        <v>11</v>
      </c>
      <c r="B19" s="65">
        <v>790.0</v>
      </c>
      <c r="C19" s="65">
        <v>1130.0</v>
      </c>
      <c r="D19" s="65">
        <v>1865.0</v>
      </c>
      <c r="E19" s="65">
        <v>2099.0</v>
      </c>
      <c r="F19" s="65">
        <v>2191.0</v>
      </c>
      <c r="G19" s="65">
        <v>2370.0</v>
      </c>
      <c r="H19" s="65">
        <v>2280.0</v>
      </c>
      <c r="I19" s="65">
        <v>2403.0</v>
      </c>
      <c r="J19" s="65">
        <v>2246.0</v>
      </c>
      <c r="K19" s="65">
        <v>2112.0</v>
      </c>
      <c r="L19" s="65">
        <v>2073.0</v>
      </c>
      <c r="M19" s="65">
        <v>2076.0</v>
      </c>
      <c r="N19" s="65">
        <v>2057.0</v>
      </c>
      <c r="O19" s="65">
        <v>1952.0</v>
      </c>
      <c r="P19" s="65">
        <v>1724.0</v>
      </c>
      <c r="Q19" s="65">
        <v>1748.0</v>
      </c>
      <c r="R19" s="65">
        <v>1830.0</v>
      </c>
      <c r="S19" s="65">
        <v>1897.0</v>
      </c>
      <c r="T19" s="66">
        <f>'Budget Volumes'!AF8</f>
        <v>1653</v>
      </c>
      <c r="U19" s="66">
        <f>'Budget Volumes'!AG8</f>
        <v>1702</v>
      </c>
      <c r="V19" s="66">
        <f>'Budget Volumes'!AH8</f>
        <v>1698</v>
      </c>
      <c r="W19" s="66">
        <f>'Budget Volumes'!AI8</f>
        <v>1715</v>
      </c>
      <c r="X19" s="66">
        <f>'Budget Volumes'!AJ8</f>
        <v>1788</v>
      </c>
      <c r="Y19" s="66">
        <f>'Budget Volumes'!AK8</f>
        <v>1740</v>
      </c>
      <c r="Z19" s="66">
        <f>'Budget Volumes'!AL8</f>
        <v>1599</v>
      </c>
      <c r="AA19" s="66">
        <f>'Budget Volumes'!AM8</f>
        <v>1591</v>
      </c>
      <c r="AB19" s="66">
        <f>'Budget Volumes'!AN8</f>
        <v>1560</v>
      </c>
      <c r="AC19" s="66">
        <f>'Budget Volumes'!AO8</f>
        <v>1418</v>
      </c>
      <c r="AD19" s="66">
        <f>'Budget Volumes'!AP8</f>
        <v>1320</v>
      </c>
      <c r="AE19" s="66">
        <f>'Budget Volumes'!AQ8</f>
        <v>1275</v>
      </c>
      <c r="AF19" s="66">
        <f>'Budget Volumes'!AR8</f>
        <v>1323</v>
      </c>
      <c r="AG19" s="66">
        <f>'Budget Volumes'!AS8</f>
        <v>1475</v>
      </c>
      <c r="AH19" s="66">
        <f>'Budget Volumes'!AT8</f>
        <v>1650</v>
      </c>
      <c r="AI19" s="66">
        <f>'Budget Volumes'!AU8</f>
        <v>1867</v>
      </c>
      <c r="AJ19" s="66">
        <f>'Budget Volumes'!AV8</f>
        <v>1981</v>
      </c>
      <c r="AK19" s="66">
        <f>'Budget Volumes'!AW8</f>
        <v>2133</v>
      </c>
      <c r="AL19" s="66">
        <f>'Budget Volumes'!AX8</f>
        <v>2401</v>
      </c>
      <c r="AM19" s="66">
        <f>'Budget Volumes'!AY8</f>
        <v>2681</v>
      </c>
      <c r="AN19" s="66">
        <f>'Budget Volumes'!AZ8</f>
        <v>2851</v>
      </c>
      <c r="AO19" s="66">
        <f>'Budget Volumes'!BA8</f>
        <v>2938</v>
      </c>
      <c r="AP19" s="66">
        <f>'Budget Volumes'!BB8</f>
        <v>3057</v>
      </c>
      <c r="AQ19" s="66">
        <f>'Budget Volumes'!BC8</f>
        <v>2996</v>
      </c>
      <c r="AR19" s="66">
        <f>'Budget Volumes'!BD8</f>
        <v>3002</v>
      </c>
      <c r="AS19" s="66">
        <f>'Budget Volumes'!BE8</f>
        <v>3038</v>
      </c>
      <c r="AT19" s="66">
        <f>'Budget Volumes'!BF8</f>
        <v>3131</v>
      </c>
      <c r="AU19" s="66">
        <f>'Budget Volumes'!BG8</f>
        <v>3085</v>
      </c>
      <c r="AV19" s="66">
        <f>'Budget Volumes'!BH8</f>
        <v>2907</v>
      </c>
      <c r="AW19" s="66">
        <f>'Budget Volumes'!BI8</f>
        <v>2977</v>
      </c>
      <c r="AX19" s="66">
        <f>'Budget Volumes'!BJ8</f>
        <v>3042</v>
      </c>
      <c r="AY19" s="66">
        <f>'Budget Volumes'!BK8</f>
        <v>2632</v>
      </c>
      <c r="AZ19" s="66">
        <f>'Budget Volumes'!BL8</f>
        <v>2220</v>
      </c>
      <c r="BA19" s="66">
        <f>'Budget Volumes'!BM8</f>
        <v>1322</v>
      </c>
    </row>
    <row r="20" outlineLevel="1">
      <c r="A20" s="64" t="s">
        <v>12</v>
      </c>
      <c r="B20" s="65">
        <v>1003.0</v>
      </c>
      <c r="C20" s="65">
        <v>1505.0</v>
      </c>
      <c r="D20" s="65">
        <v>2061.0</v>
      </c>
      <c r="E20" s="65">
        <v>2207.0</v>
      </c>
      <c r="F20" s="65">
        <v>2160.0</v>
      </c>
      <c r="G20" s="65">
        <v>2277.0</v>
      </c>
      <c r="H20" s="65">
        <v>2290.0</v>
      </c>
      <c r="I20" s="65">
        <v>2334.0</v>
      </c>
      <c r="J20" s="65">
        <v>2365.0</v>
      </c>
      <c r="K20" s="65">
        <v>2131.0</v>
      </c>
      <c r="L20" s="65">
        <v>2212.0</v>
      </c>
      <c r="M20" s="65">
        <v>2110.0</v>
      </c>
      <c r="N20" s="65">
        <v>2021.0</v>
      </c>
      <c r="O20" s="65">
        <v>1726.0</v>
      </c>
      <c r="P20" s="65">
        <v>1688.0</v>
      </c>
      <c r="Q20" s="65">
        <v>1680.0</v>
      </c>
      <c r="R20" s="65">
        <v>1740.0</v>
      </c>
      <c r="S20" s="65">
        <v>1888.0</v>
      </c>
      <c r="T20" s="66">
        <f>'Budget Volumes'!AF7</f>
        <v>1758</v>
      </c>
      <c r="U20" s="66">
        <f>'Budget Volumes'!AG7</f>
        <v>1759</v>
      </c>
      <c r="V20" s="66">
        <f>'Budget Volumes'!AH7</f>
        <v>1736</v>
      </c>
      <c r="W20" s="66">
        <f>'Budget Volumes'!AI7</f>
        <v>1734</v>
      </c>
      <c r="X20" s="66">
        <f>'Budget Volumes'!AJ7</f>
        <v>1826</v>
      </c>
      <c r="Y20" s="66">
        <f>'Budget Volumes'!AK7</f>
        <v>1834</v>
      </c>
      <c r="Z20" s="66">
        <f>'Budget Volumes'!AL7</f>
        <v>1779</v>
      </c>
      <c r="AA20" s="66">
        <f>'Budget Volumes'!AM7</f>
        <v>1739</v>
      </c>
      <c r="AB20" s="66">
        <f>'Budget Volumes'!AN7</f>
        <v>1655</v>
      </c>
      <c r="AC20" s="66">
        <f>'Budget Volumes'!AO7</f>
        <v>1636</v>
      </c>
      <c r="AD20" s="66">
        <f>'Budget Volumes'!AP7</f>
        <v>1449</v>
      </c>
      <c r="AE20" s="66">
        <f>'Budget Volumes'!AQ7</f>
        <v>1395</v>
      </c>
      <c r="AF20" s="66">
        <f>'Budget Volumes'!AR7</f>
        <v>1391</v>
      </c>
      <c r="AG20" s="66">
        <f>'Budget Volumes'!AS7</f>
        <v>1522</v>
      </c>
      <c r="AH20" s="66">
        <f>'Budget Volumes'!AT7</f>
        <v>1784</v>
      </c>
      <c r="AI20" s="66">
        <f>'Budget Volumes'!AU7</f>
        <v>2015</v>
      </c>
      <c r="AJ20" s="66">
        <f>'Budget Volumes'!AV7</f>
        <v>2175</v>
      </c>
      <c r="AK20" s="66">
        <f>'Budget Volumes'!AW7</f>
        <v>2293</v>
      </c>
      <c r="AL20" s="66">
        <f>'Budget Volumes'!AX7</f>
        <v>2460</v>
      </c>
      <c r="AM20" s="66">
        <f>'Budget Volumes'!AY7</f>
        <v>2548</v>
      </c>
      <c r="AN20" s="66">
        <f>'Budget Volumes'!AZ7</f>
        <v>2636</v>
      </c>
      <c r="AO20" s="66">
        <f>'Budget Volumes'!BA7</f>
        <v>2829</v>
      </c>
      <c r="AP20" s="66">
        <f>'Budget Volumes'!BB7</f>
        <v>2791</v>
      </c>
      <c r="AQ20" s="66">
        <f>'Budget Volumes'!BC7</f>
        <v>2564</v>
      </c>
      <c r="AR20" s="66">
        <f>'Budget Volumes'!BD7</f>
        <v>2663</v>
      </c>
      <c r="AS20" s="66">
        <f>'Budget Volumes'!BE7</f>
        <v>2569</v>
      </c>
      <c r="AT20" s="66">
        <f>'Budget Volumes'!BF7</f>
        <v>2681</v>
      </c>
      <c r="AU20" s="66">
        <f>'Budget Volumes'!BG7</f>
        <v>2723</v>
      </c>
      <c r="AV20" s="66">
        <f>'Budget Volumes'!BH7</f>
        <v>2605</v>
      </c>
      <c r="AW20" s="66">
        <f>'Budget Volumes'!BI7</f>
        <v>2595</v>
      </c>
      <c r="AX20" s="66">
        <f>'Budget Volumes'!BJ7</f>
        <v>2530</v>
      </c>
      <c r="AY20" s="66">
        <f>'Budget Volumes'!BK7</f>
        <v>2339</v>
      </c>
      <c r="AZ20" s="66">
        <f>'Budget Volumes'!BL7</f>
        <v>2013</v>
      </c>
      <c r="BA20" s="66">
        <f>'Budget Volumes'!BM7</f>
        <v>1209</v>
      </c>
    </row>
    <row r="21" outlineLevel="1">
      <c r="A21" s="64" t="s">
        <v>13</v>
      </c>
      <c r="B21" s="65">
        <v>1638.0</v>
      </c>
      <c r="C21" s="65">
        <v>2271.0</v>
      </c>
      <c r="D21" s="65">
        <v>2920.0</v>
      </c>
      <c r="E21" s="65">
        <v>3210.0</v>
      </c>
      <c r="F21" s="65">
        <v>3235.0</v>
      </c>
      <c r="G21" s="65">
        <v>3455.0</v>
      </c>
      <c r="H21" s="65">
        <v>3507.0</v>
      </c>
      <c r="I21" s="65">
        <v>3423.0</v>
      </c>
      <c r="J21" s="65">
        <v>3351.0</v>
      </c>
      <c r="K21" s="65">
        <v>3396.0</v>
      </c>
      <c r="L21" s="65">
        <v>3323.0</v>
      </c>
      <c r="M21" s="65">
        <v>3125.0</v>
      </c>
      <c r="N21" s="65">
        <v>2952.0</v>
      </c>
      <c r="O21" s="65">
        <v>2792.0</v>
      </c>
      <c r="P21" s="65">
        <v>2593.0</v>
      </c>
      <c r="Q21" s="65">
        <v>2590.0</v>
      </c>
      <c r="R21" s="65">
        <v>2775.0</v>
      </c>
      <c r="S21" s="65">
        <v>2798.0</v>
      </c>
      <c r="T21" s="66">
        <f>'Budget Volumes'!AF6</f>
        <v>2492</v>
      </c>
      <c r="U21" s="66">
        <f>'Budget Volumes'!AG6</f>
        <v>2585</v>
      </c>
      <c r="V21" s="66">
        <f>'Budget Volumes'!AH6</f>
        <v>2539</v>
      </c>
      <c r="W21" s="66">
        <f>'Budget Volumes'!AI6</f>
        <v>2357</v>
      </c>
      <c r="X21" s="66">
        <f>'Budget Volumes'!AJ6</f>
        <v>2428</v>
      </c>
      <c r="Y21" s="66">
        <f>'Budget Volumes'!AK6</f>
        <v>2304</v>
      </c>
      <c r="Z21" s="66">
        <f>'Budget Volumes'!AL6</f>
        <v>2381</v>
      </c>
      <c r="AA21" s="66">
        <f>'Budget Volumes'!AM6</f>
        <v>2292</v>
      </c>
      <c r="AB21" s="66">
        <f>'Budget Volumes'!AN6</f>
        <v>2400</v>
      </c>
      <c r="AC21" s="66">
        <f>'Budget Volumes'!AO6</f>
        <v>2296</v>
      </c>
      <c r="AD21" s="66">
        <f>'Budget Volumes'!AP6</f>
        <v>2233</v>
      </c>
      <c r="AE21" s="66">
        <f>'Budget Volumes'!AQ6</f>
        <v>2056</v>
      </c>
      <c r="AF21" s="66">
        <f>'Budget Volumes'!AR6</f>
        <v>2047</v>
      </c>
      <c r="AG21" s="66">
        <f>'Budget Volumes'!AS6</f>
        <v>1971</v>
      </c>
      <c r="AH21" s="66">
        <f>'Budget Volumes'!AT6</f>
        <v>2091</v>
      </c>
      <c r="AI21" s="66">
        <f>'Budget Volumes'!AU6</f>
        <v>2235</v>
      </c>
      <c r="AJ21" s="66">
        <f>'Budget Volumes'!AV6</f>
        <v>2316</v>
      </c>
      <c r="AK21" s="66">
        <f>'Budget Volumes'!AW6</f>
        <v>2343</v>
      </c>
      <c r="AL21" s="66">
        <f>'Budget Volumes'!AX6</f>
        <v>2604</v>
      </c>
      <c r="AM21" s="66">
        <f>'Budget Volumes'!AY6</f>
        <v>2956</v>
      </c>
      <c r="AN21" s="66">
        <f>'Budget Volumes'!AZ6</f>
        <v>3256</v>
      </c>
      <c r="AO21" s="66">
        <f>'Budget Volumes'!BA6</f>
        <v>3505</v>
      </c>
      <c r="AP21" s="66">
        <f>'Budget Volumes'!BB6</f>
        <v>3760</v>
      </c>
      <c r="AQ21" s="66">
        <f>'Budget Volumes'!BC6</f>
        <v>3614</v>
      </c>
      <c r="AR21" s="66">
        <f>'Budget Volumes'!BD6</f>
        <v>3591</v>
      </c>
      <c r="AS21" s="66">
        <f>'Budget Volumes'!BE6</f>
        <v>3575</v>
      </c>
      <c r="AT21" s="66">
        <f>'Budget Volumes'!BF6</f>
        <v>3494</v>
      </c>
      <c r="AU21" s="66">
        <f>'Budget Volumes'!BG6</f>
        <v>3794</v>
      </c>
      <c r="AV21" s="66">
        <f>'Budget Volumes'!BH6</f>
        <v>3396</v>
      </c>
      <c r="AW21" s="66">
        <f>'Budget Volumes'!BI6</f>
        <v>3442</v>
      </c>
      <c r="AX21" s="66">
        <f>'Budget Volumes'!BJ6</f>
        <v>3267</v>
      </c>
      <c r="AY21" s="66">
        <f>'Budget Volumes'!BK6</f>
        <v>3081</v>
      </c>
      <c r="AZ21" s="66">
        <f>'Budget Volumes'!BL6</f>
        <v>2794</v>
      </c>
      <c r="BA21" s="66">
        <f>'Budget Volumes'!BM6</f>
        <v>1804</v>
      </c>
    </row>
    <row r="22" outlineLevel="1">
      <c r="A22" s="64" t="s">
        <v>86</v>
      </c>
      <c r="B22" s="66">
        <f>'Budget Volumes'!N9</f>
        <v>0</v>
      </c>
      <c r="C22" s="66">
        <f>'Budget Volumes'!O9</f>
        <v>0</v>
      </c>
      <c r="D22" s="66">
        <f>'Budget Volumes'!P9</f>
        <v>0</v>
      </c>
      <c r="E22" s="66">
        <f>'Budget Volumes'!Q9</f>
        <v>0</v>
      </c>
      <c r="F22" s="66">
        <f>'Budget Volumes'!R9</f>
        <v>0</v>
      </c>
      <c r="G22" s="66">
        <f>'Budget Volumes'!S9</f>
        <v>0</v>
      </c>
      <c r="H22" s="66">
        <f>'Budget Volumes'!T9</f>
        <v>0</v>
      </c>
      <c r="I22" s="66">
        <f>'Budget Volumes'!U9</f>
        <v>0</v>
      </c>
      <c r="J22" s="66">
        <f>'Budget Volumes'!V9</f>
        <v>0</v>
      </c>
      <c r="K22" s="66">
        <f>'Budget Volumes'!W9</f>
        <v>0</v>
      </c>
      <c r="L22" s="66">
        <f>'Budget Volumes'!X9</f>
        <v>0</v>
      </c>
      <c r="M22" s="66">
        <f>'Budget Volumes'!Y9</f>
        <v>0</v>
      </c>
      <c r="N22" s="66">
        <f>'Budget Volumes'!Z9</f>
        <v>0</v>
      </c>
      <c r="O22" s="66">
        <f>'Budget Volumes'!AA9</f>
        <v>0</v>
      </c>
      <c r="P22" s="66">
        <f>'Budget Volumes'!AB9</f>
        <v>0</v>
      </c>
      <c r="Q22" s="66">
        <f>'Budget Volumes'!AC9</f>
        <v>0</v>
      </c>
      <c r="R22" s="66">
        <f>'Budget Volumes'!AD9</f>
        <v>0</v>
      </c>
      <c r="S22" s="66">
        <f>'Budget Volumes'!AE9</f>
        <v>0</v>
      </c>
      <c r="T22" s="66">
        <f>'Budget Volumes'!AF9</f>
        <v>0</v>
      </c>
      <c r="U22" s="66">
        <f>'Budget Volumes'!AG9</f>
        <v>0</v>
      </c>
      <c r="V22" s="66">
        <f>'Budget Volumes'!AH9</f>
        <v>0</v>
      </c>
      <c r="W22" s="66">
        <f>'Budget Volumes'!AI9</f>
        <v>0</v>
      </c>
      <c r="X22" s="66">
        <f>'Budget Volumes'!AJ9</f>
        <v>0</v>
      </c>
      <c r="Y22" s="66">
        <f>'Budget Volumes'!AK9</f>
        <v>0</v>
      </c>
      <c r="Z22" s="66">
        <f>'Budget Volumes'!AL9</f>
        <v>0</v>
      </c>
      <c r="AA22" s="66">
        <f>'Budget Volumes'!AM9</f>
        <v>0</v>
      </c>
      <c r="AB22" s="66">
        <f>'Budget Volumes'!AN9</f>
        <v>0</v>
      </c>
      <c r="AC22" s="66">
        <f>'Budget Volumes'!AO9</f>
        <v>0</v>
      </c>
      <c r="AD22" s="66">
        <f>'Budget Volumes'!AP9</f>
        <v>0</v>
      </c>
      <c r="AE22" s="66">
        <f>'Budget Volumes'!AQ9</f>
        <v>0</v>
      </c>
      <c r="AF22" s="66">
        <f>'Budget Volumes'!AR9</f>
        <v>0</v>
      </c>
      <c r="AG22" s="66">
        <f>'Budget Volumes'!AS9</f>
        <v>0</v>
      </c>
      <c r="AH22" s="66">
        <f>'Budget Volumes'!AT9</f>
        <v>0</v>
      </c>
      <c r="AI22" s="66">
        <f>'Budget Volumes'!AU9</f>
        <v>0</v>
      </c>
      <c r="AJ22" s="66">
        <f>'Budget Volumes'!AV9</f>
        <v>0</v>
      </c>
      <c r="AK22" s="66">
        <f>'Budget Volumes'!AW9</f>
        <v>0</v>
      </c>
      <c r="AL22" s="66">
        <f>'Budget Volumes'!AX9</f>
        <v>0</v>
      </c>
      <c r="AM22" s="66">
        <f>'Budget Volumes'!AY9</f>
        <v>0</v>
      </c>
      <c r="AN22" s="66">
        <f>'Budget Volumes'!AZ9</f>
        <v>0</v>
      </c>
      <c r="AO22" s="66">
        <f>'Budget Volumes'!BA9</f>
        <v>0</v>
      </c>
      <c r="AP22" s="66">
        <f>'Budget Volumes'!BB9</f>
        <v>0</v>
      </c>
      <c r="AQ22" s="66">
        <f>'Budget Volumes'!BC9</f>
        <v>0</v>
      </c>
      <c r="AR22" s="66">
        <f>'Budget Volumes'!BD9</f>
        <v>0</v>
      </c>
      <c r="AS22" s="66">
        <f>'Budget Volumes'!BE9</f>
        <v>0</v>
      </c>
      <c r="AT22" s="66">
        <f>'Budget Volumes'!BF9</f>
        <v>0</v>
      </c>
      <c r="AU22" s="66">
        <f>'Budget Volumes'!BG9</f>
        <v>0</v>
      </c>
      <c r="AV22" s="66">
        <f>'Budget Volumes'!BH9</f>
        <v>0</v>
      </c>
      <c r="AW22" s="66">
        <f>'Budget Volumes'!BI9</f>
        <v>0</v>
      </c>
      <c r="AX22" s="66">
        <f>'Budget Volumes'!BJ9</f>
        <v>0</v>
      </c>
      <c r="AY22" s="66">
        <f>'Budget Volumes'!BK9</f>
        <v>0</v>
      </c>
      <c r="AZ22" s="66">
        <f>'Budget Volumes'!BL9</f>
        <v>0</v>
      </c>
      <c r="BA22" s="66">
        <f>'Budget Volumes'!BM9</f>
        <v>0</v>
      </c>
    </row>
    <row r="23">
      <c r="A23" s="67" t="s">
        <v>6</v>
      </c>
      <c r="B23" s="68">
        <f t="shared" ref="B23:BA23" si="11">sum(B17:B22)</f>
        <v>7137</v>
      </c>
      <c r="C23" s="68">
        <f t="shared" si="11"/>
        <v>10314</v>
      </c>
      <c r="D23" s="68">
        <f t="shared" si="11"/>
        <v>13225</v>
      </c>
      <c r="E23" s="68">
        <f t="shared" si="11"/>
        <v>14259</v>
      </c>
      <c r="F23" s="68">
        <f t="shared" si="11"/>
        <v>14613</v>
      </c>
      <c r="G23" s="68">
        <f t="shared" si="11"/>
        <v>15657</v>
      </c>
      <c r="H23" s="68">
        <f t="shared" si="11"/>
        <v>15625</v>
      </c>
      <c r="I23" s="68">
        <f t="shared" si="11"/>
        <v>15567</v>
      </c>
      <c r="J23" s="68">
        <f t="shared" si="11"/>
        <v>15533</v>
      </c>
      <c r="K23" s="68">
        <f t="shared" si="11"/>
        <v>15549</v>
      </c>
      <c r="L23" s="68">
        <f t="shared" si="11"/>
        <v>15557</v>
      </c>
      <c r="M23" s="68">
        <f t="shared" si="11"/>
        <v>15157</v>
      </c>
      <c r="N23" s="68">
        <f t="shared" si="11"/>
        <v>14327</v>
      </c>
      <c r="O23" s="68">
        <f t="shared" si="11"/>
        <v>14267</v>
      </c>
      <c r="P23" s="68">
        <f t="shared" si="11"/>
        <v>12541</v>
      </c>
      <c r="Q23" s="68">
        <f t="shared" si="11"/>
        <v>12677</v>
      </c>
      <c r="R23" s="68">
        <f t="shared" si="11"/>
        <v>13418</v>
      </c>
      <c r="S23" s="68">
        <f t="shared" si="11"/>
        <v>13796</v>
      </c>
      <c r="T23" s="68">
        <f t="shared" si="11"/>
        <v>13003</v>
      </c>
      <c r="U23" s="68">
        <f t="shared" si="11"/>
        <v>13688</v>
      </c>
      <c r="V23" s="68">
        <f t="shared" si="11"/>
        <v>13442</v>
      </c>
      <c r="W23" s="68">
        <f t="shared" si="11"/>
        <v>13268</v>
      </c>
      <c r="X23" s="68">
        <f t="shared" si="11"/>
        <v>13801</v>
      </c>
      <c r="Y23" s="68">
        <f t="shared" si="11"/>
        <v>13477</v>
      </c>
      <c r="Z23" s="68">
        <f t="shared" si="11"/>
        <v>13384</v>
      </c>
      <c r="AA23" s="68">
        <f t="shared" si="11"/>
        <v>13073</v>
      </c>
      <c r="AB23" s="68">
        <f t="shared" si="11"/>
        <v>12984</v>
      </c>
      <c r="AC23" s="68">
        <f t="shared" si="11"/>
        <v>12328</v>
      </c>
      <c r="AD23" s="68">
        <f t="shared" si="11"/>
        <v>11491</v>
      </c>
      <c r="AE23" s="68">
        <f t="shared" si="11"/>
        <v>10924</v>
      </c>
      <c r="AF23" s="68">
        <f t="shared" si="11"/>
        <v>10889</v>
      </c>
      <c r="AG23" s="68">
        <f t="shared" si="11"/>
        <v>11137</v>
      </c>
      <c r="AH23" s="68">
        <f t="shared" si="11"/>
        <v>11889</v>
      </c>
      <c r="AI23" s="68">
        <f t="shared" si="11"/>
        <v>13276</v>
      </c>
      <c r="AJ23" s="68">
        <f t="shared" si="11"/>
        <v>13957</v>
      </c>
      <c r="AK23" s="68">
        <f t="shared" si="11"/>
        <v>14759</v>
      </c>
      <c r="AL23" s="68">
        <f t="shared" si="11"/>
        <v>16427</v>
      </c>
      <c r="AM23" s="68">
        <f t="shared" si="11"/>
        <v>18003</v>
      </c>
      <c r="AN23" s="68">
        <f t="shared" si="11"/>
        <v>19220</v>
      </c>
      <c r="AO23" s="68">
        <f t="shared" si="11"/>
        <v>20491</v>
      </c>
      <c r="AP23" s="68">
        <f t="shared" si="11"/>
        <v>21079</v>
      </c>
      <c r="AQ23" s="68">
        <f t="shared" si="11"/>
        <v>20241</v>
      </c>
      <c r="AR23" s="68">
        <f t="shared" si="11"/>
        <v>20406</v>
      </c>
      <c r="AS23" s="68">
        <f t="shared" si="11"/>
        <v>20106</v>
      </c>
      <c r="AT23" s="68">
        <f t="shared" si="11"/>
        <v>20985</v>
      </c>
      <c r="AU23" s="68">
        <f t="shared" si="11"/>
        <v>21041</v>
      </c>
      <c r="AV23" s="68">
        <f t="shared" si="11"/>
        <v>20423</v>
      </c>
      <c r="AW23" s="68">
        <f t="shared" si="11"/>
        <v>20595</v>
      </c>
      <c r="AX23" s="68">
        <f t="shared" si="11"/>
        <v>20358</v>
      </c>
      <c r="AY23" s="68">
        <f t="shared" si="11"/>
        <v>18408</v>
      </c>
      <c r="AZ23" s="68">
        <f t="shared" si="11"/>
        <v>16551</v>
      </c>
      <c r="BA23" s="68">
        <f t="shared" si="11"/>
        <v>10303</v>
      </c>
    </row>
    <row r="24">
      <c r="A24" s="69"/>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row>
    <row r="25">
      <c r="A25" s="63" t="s">
        <v>87</v>
      </c>
      <c r="B25" s="35" t="s">
        <v>15</v>
      </c>
      <c r="C25" s="35" t="s">
        <v>16</v>
      </c>
      <c r="D25" s="35" t="s">
        <v>17</v>
      </c>
      <c r="E25" s="35" t="s">
        <v>18</v>
      </c>
      <c r="F25" s="35" t="s">
        <v>19</v>
      </c>
      <c r="G25" s="35" t="s">
        <v>21</v>
      </c>
      <c r="H25" s="35" t="s">
        <v>22</v>
      </c>
      <c r="I25" s="35" t="s">
        <v>23</v>
      </c>
      <c r="J25" s="35" t="s">
        <v>24</v>
      </c>
      <c r="K25" s="35" t="s">
        <v>26</v>
      </c>
      <c r="L25" s="35" t="s">
        <v>27</v>
      </c>
      <c r="M25" s="35" t="s">
        <v>28</v>
      </c>
      <c r="N25" s="35" t="s">
        <v>29</v>
      </c>
      <c r="O25" s="35" t="s">
        <v>31</v>
      </c>
      <c r="P25" s="35" t="s">
        <v>32</v>
      </c>
      <c r="Q25" s="35" t="s">
        <v>33</v>
      </c>
      <c r="R25" s="35" t="s">
        <v>34</v>
      </c>
      <c r="S25" s="35" t="s">
        <v>35</v>
      </c>
      <c r="T25" s="35" t="s">
        <v>37</v>
      </c>
      <c r="U25" s="35" t="s">
        <v>38</v>
      </c>
      <c r="V25" s="35" t="s">
        <v>39</v>
      </c>
      <c r="W25" s="35" t="s">
        <v>40</v>
      </c>
      <c r="X25" s="35" t="s">
        <v>42</v>
      </c>
      <c r="Y25" s="35" t="s">
        <v>43</v>
      </c>
      <c r="Z25" s="35" t="s">
        <v>44</v>
      </c>
      <c r="AA25" s="35" t="s">
        <v>45</v>
      </c>
      <c r="AB25" s="35" t="s">
        <v>47</v>
      </c>
      <c r="AC25" s="35" t="s">
        <v>48</v>
      </c>
      <c r="AD25" s="35" t="s">
        <v>49</v>
      </c>
      <c r="AE25" s="35" t="s">
        <v>50</v>
      </c>
      <c r="AF25" s="35" t="s">
        <v>51</v>
      </c>
      <c r="AG25" s="35" t="s">
        <v>53</v>
      </c>
      <c r="AH25" s="35" t="s">
        <v>54</v>
      </c>
      <c r="AI25" s="35" t="s">
        <v>55</v>
      </c>
      <c r="AJ25" s="35" t="s">
        <v>56</v>
      </c>
      <c r="AK25" s="35" t="s">
        <v>58</v>
      </c>
      <c r="AL25" s="35" t="s">
        <v>59</v>
      </c>
      <c r="AM25" s="35" t="s">
        <v>60</v>
      </c>
      <c r="AN25" s="35" t="s">
        <v>61</v>
      </c>
      <c r="AO25" s="35" t="s">
        <v>63</v>
      </c>
      <c r="AP25" s="35" t="s">
        <v>64</v>
      </c>
      <c r="AQ25" s="35" t="s">
        <v>65</v>
      </c>
      <c r="AR25" s="35" t="s">
        <v>66</v>
      </c>
      <c r="AS25" s="35" t="s">
        <v>67</v>
      </c>
      <c r="AT25" s="35" t="s">
        <v>69</v>
      </c>
      <c r="AU25" s="35" t="s">
        <v>70</v>
      </c>
      <c r="AV25" s="35" t="s">
        <v>71</v>
      </c>
      <c r="AW25" s="35" t="s">
        <v>72</v>
      </c>
      <c r="AX25" s="35" t="s">
        <v>74</v>
      </c>
      <c r="AY25" s="35" t="s">
        <v>75</v>
      </c>
      <c r="AZ25" s="35" t="s">
        <v>76</v>
      </c>
      <c r="BA25" s="35" t="s">
        <v>77</v>
      </c>
    </row>
    <row r="26" outlineLevel="1">
      <c r="A26" s="64" t="s">
        <v>9</v>
      </c>
      <c r="B26" s="71">
        <v>10563.0</v>
      </c>
      <c r="C26" s="71">
        <v>15788.0</v>
      </c>
      <c r="D26" s="71">
        <v>18886.0</v>
      </c>
      <c r="E26" s="71">
        <v>19226.0</v>
      </c>
      <c r="F26" s="71">
        <v>19418.0</v>
      </c>
      <c r="G26" s="71">
        <v>20138.0</v>
      </c>
      <c r="H26" s="71">
        <v>20138.0</v>
      </c>
      <c r="I26" s="71">
        <v>18990.0</v>
      </c>
      <c r="J26" s="71">
        <v>19614.0</v>
      </c>
      <c r="K26" s="71">
        <v>20866.0</v>
      </c>
      <c r="L26" s="71">
        <v>21218.0</v>
      </c>
      <c r="M26" s="71">
        <v>20414.0</v>
      </c>
      <c r="N26" s="71">
        <v>18769.0</v>
      </c>
      <c r="O26" s="71">
        <v>19652.0</v>
      </c>
      <c r="P26" s="71">
        <v>16288.0</v>
      </c>
      <c r="Q26" s="71">
        <v>16666.0</v>
      </c>
      <c r="R26" s="71">
        <v>17594.0</v>
      </c>
      <c r="S26" s="71">
        <v>18043.0</v>
      </c>
      <c r="T26" s="72">
        <f>'Budget Volumes'!AF12</f>
        <v>20107.74802</v>
      </c>
      <c r="U26" s="72">
        <f>'Budget Volumes'!AG12</f>
        <v>22046.85998</v>
      </c>
      <c r="V26" s="72">
        <f>'Budget Volumes'!AH12</f>
        <v>21379.41202</v>
      </c>
      <c r="W26" s="72">
        <f>'Budget Volumes'!AI12</f>
        <v>22145.22074</v>
      </c>
      <c r="X26" s="72">
        <f>'Budget Volumes'!AJ12</f>
        <v>23838.43082</v>
      </c>
      <c r="Y26" s="72">
        <f>'Budget Volumes'!AK12</f>
        <v>23697.91546</v>
      </c>
      <c r="Z26" s="72">
        <f>'Budget Volumes'!AL12</f>
        <v>23142.9292</v>
      </c>
      <c r="AA26" s="72">
        <f>'Budget Volumes'!AM12</f>
        <v>22019.68458</v>
      </c>
      <c r="AB26" s="72">
        <f>'Budget Volumes'!AN12</f>
        <v>21147.86845</v>
      </c>
      <c r="AC26" s="72">
        <f>'Budget Volumes'!AO12</f>
        <v>20068.14569</v>
      </c>
      <c r="AD26" s="72">
        <f>'Budget Volumes'!AP12</f>
        <v>18423.8262</v>
      </c>
      <c r="AE26" s="72">
        <f>'Budget Volumes'!AQ12</f>
        <v>16560.58353</v>
      </c>
      <c r="AF26" s="72">
        <f>'Budget Volumes'!AR12</f>
        <v>16534.87189</v>
      </c>
      <c r="AG26" s="72">
        <f>'Budget Volumes'!AS12</f>
        <v>17324.67733</v>
      </c>
      <c r="AH26" s="72">
        <f>'Budget Volumes'!AT12</f>
        <v>17453.21332</v>
      </c>
      <c r="AI26" s="72">
        <f>'Budget Volumes'!AU12</f>
        <v>20041.84405</v>
      </c>
      <c r="AJ26" s="72">
        <f>'Budget Volumes'!AV12</f>
        <v>20235.03569</v>
      </c>
      <c r="AK26" s="72">
        <f>'Budget Volumes'!AW12</f>
        <v>21830.65555</v>
      </c>
      <c r="AL26" s="72">
        <f>'Budget Volumes'!AX12</f>
        <v>24571.11476</v>
      </c>
      <c r="AM26" s="72">
        <f>'Budget Volumes'!AY12</f>
        <v>27104.07185</v>
      </c>
      <c r="AN26" s="72">
        <f>'Budget Volumes'!AZ12</f>
        <v>28900.03859</v>
      </c>
      <c r="AO26" s="72">
        <f>'Budget Volumes'!BA12</f>
        <v>31648.84981</v>
      </c>
      <c r="AP26" s="72">
        <f>'Budget Volumes'!BB12</f>
        <v>32592.29179</v>
      </c>
      <c r="AQ26" s="72">
        <f>'Budget Volumes'!BC12</f>
        <v>32548.74831</v>
      </c>
      <c r="AR26" s="72">
        <f>'Budget Volumes'!BD12</f>
        <v>32708.40772</v>
      </c>
      <c r="AS26" s="72">
        <f>'Budget Volumes'!BE12</f>
        <v>31307.75924</v>
      </c>
      <c r="AT26" s="72">
        <f>'Budget Volumes'!BF12</f>
        <v>34508.20473</v>
      </c>
      <c r="AU26" s="72">
        <f>'Budget Volumes'!BG12</f>
        <v>33376.07435</v>
      </c>
      <c r="AV26" s="72">
        <f>'Budget Volumes'!BH12</f>
        <v>35451.64671</v>
      </c>
      <c r="AW26" s="72">
        <f>'Budget Volumes'!BI12</f>
        <v>35545.99091</v>
      </c>
      <c r="AX26" s="72">
        <f>'Budget Volumes'!BJ12</f>
        <v>36068.51262</v>
      </c>
      <c r="AY26" s="72">
        <f>'Budget Volumes'!BK12</f>
        <v>32621.32077</v>
      </c>
      <c r="AZ26" s="72">
        <f>'Budget Volumes'!BL12</f>
        <v>30545.74841</v>
      </c>
      <c r="BA26" s="72">
        <f>'Budget Volumes'!BM12</f>
        <v>18476.94832</v>
      </c>
    </row>
    <row r="27" outlineLevel="1">
      <c r="A27" s="64" t="s">
        <v>10</v>
      </c>
      <c r="B27" s="71">
        <v>13838.0</v>
      </c>
      <c r="C27" s="71">
        <v>19716.0</v>
      </c>
      <c r="D27" s="71">
        <v>24561.0</v>
      </c>
      <c r="E27" s="71">
        <v>26659.0</v>
      </c>
      <c r="F27" s="71">
        <v>26913.0</v>
      </c>
      <c r="G27" s="71">
        <v>31395.0</v>
      </c>
      <c r="H27" s="71">
        <v>31345.0</v>
      </c>
      <c r="I27" s="71">
        <v>31766.0</v>
      </c>
      <c r="J27" s="71">
        <v>31723.0</v>
      </c>
      <c r="K27" s="71">
        <v>32924.0</v>
      </c>
      <c r="L27" s="71">
        <v>32787.0</v>
      </c>
      <c r="M27" s="71">
        <v>32817.0</v>
      </c>
      <c r="N27" s="71">
        <v>30745.0</v>
      </c>
      <c r="O27" s="71">
        <v>32738.0</v>
      </c>
      <c r="P27" s="71">
        <v>27240.0</v>
      </c>
      <c r="Q27" s="71">
        <v>27352.0</v>
      </c>
      <c r="R27" s="71">
        <v>29468.0</v>
      </c>
      <c r="S27" s="71">
        <v>29782.0</v>
      </c>
      <c r="T27" s="72">
        <f>'Budget Volumes'!AF13</f>
        <v>26827.85124</v>
      </c>
      <c r="U27" s="72">
        <f>'Budget Volumes'!AG13</f>
        <v>28511.71354</v>
      </c>
      <c r="V27" s="72">
        <f>'Budget Volumes'!AH13</f>
        <v>28017.9494</v>
      </c>
      <c r="W27" s="72">
        <f>'Budget Volumes'!AI13</f>
        <v>27283.63351</v>
      </c>
      <c r="X27" s="72">
        <f>'Budget Volumes'!AJ13</f>
        <v>27638.13084</v>
      </c>
      <c r="Y27" s="72">
        <f>'Budget Volumes'!AK13</f>
        <v>26751.88752</v>
      </c>
      <c r="Z27" s="72">
        <f>'Budget Volumes'!AL13</f>
        <v>27416.6549</v>
      </c>
      <c r="AA27" s="72">
        <f>'Budget Volumes'!AM13</f>
        <v>27328.85657</v>
      </c>
      <c r="AB27" s="72">
        <f>'Budget Volumes'!AN13</f>
        <v>27941.60994</v>
      </c>
      <c r="AC27" s="72">
        <f>'Budget Volumes'!AO13</f>
        <v>26439.90719</v>
      </c>
      <c r="AD27" s="72">
        <f>'Budget Volumes'!AP13</f>
        <v>24839.44007</v>
      </c>
      <c r="AE27" s="72">
        <f>'Budget Volumes'!AQ13</f>
        <v>24720.13263</v>
      </c>
      <c r="AF27" s="72">
        <f>'Budget Volumes'!AR13</f>
        <v>24374.57925</v>
      </c>
      <c r="AG27" s="72">
        <f>'Budget Volumes'!AS13</f>
        <v>24011.46946</v>
      </c>
      <c r="AH27" s="72">
        <f>'Budget Volumes'!AT13</f>
        <v>25220.99518</v>
      </c>
      <c r="AI27" s="72">
        <f>'Budget Volumes'!AU13</f>
        <v>28050.09965</v>
      </c>
      <c r="AJ27" s="72">
        <f>'Budget Volumes'!AV13</f>
        <v>29974.60167</v>
      </c>
      <c r="AK27" s="72">
        <f>'Budget Volumes'!AW13</f>
        <v>31789.68384</v>
      </c>
      <c r="AL27" s="72">
        <f>'Budget Volumes'!AX13</f>
        <v>35580.75972</v>
      </c>
      <c r="AM27" s="72">
        <f>'Budget Volumes'!AY13</f>
        <v>38811.86345</v>
      </c>
      <c r="AN27" s="72">
        <f>'Budget Volumes'!AZ13</f>
        <v>41437.93978</v>
      </c>
      <c r="AO27" s="72">
        <f>'Budget Volumes'!BA13</f>
        <v>44840.76965</v>
      </c>
      <c r="AP27" s="72">
        <f>'Budget Volumes'!BB13</f>
        <v>45638.46197</v>
      </c>
      <c r="AQ27" s="72">
        <f>'Budget Volumes'!BC13</f>
        <v>43036.15425</v>
      </c>
      <c r="AR27" s="72">
        <f>'Budget Volumes'!BD13</f>
        <v>43435.00041</v>
      </c>
      <c r="AS27" s="72">
        <f>'Budget Volumes'!BE13</f>
        <v>43219.23118</v>
      </c>
      <c r="AT27" s="72">
        <f>'Budget Volumes'!BF13</f>
        <v>45272.30812</v>
      </c>
      <c r="AU27" s="72">
        <f>'Budget Volumes'!BG13</f>
        <v>44723.07734</v>
      </c>
      <c r="AV27" s="72">
        <f>'Budget Volumes'!BH13</f>
        <v>43350.00041</v>
      </c>
      <c r="AW27" s="72">
        <f>'Budget Volumes'!BI13</f>
        <v>43696.53887</v>
      </c>
      <c r="AX27" s="72">
        <f>'Budget Volumes'!BJ13</f>
        <v>42820.38502</v>
      </c>
      <c r="AY27" s="72">
        <f>'Budget Volumes'!BK13</f>
        <v>38321.92344</v>
      </c>
      <c r="AZ27" s="72">
        <f>'Budget Volumes'!BL13</f>
        <v>34751.9234</v>
      </c>
      <c r="BA27" s="72">
        <f>'Budget Volumes'!BM13</f>
        <v>22374.6156</v>
      </c>
    </row>
    <row r="28" outlineLevel="1">
      <c r="A28" s="64" t="s">
        <v>11</v>
      </c>
      <c r="B28" s="71">
        <v>6383.0</v>
      </c>
      <c r="C28" s="71">
        <v>9142.0</v>
      </c>
      <c r="D28" s="71">
        <v>15517.0</v>
      </c>
      <c r="E28" s="71">
        <v>17674.0</v>
      </c>
      <c r="F28" s="71">
        <v>17944.0</v>
      </c>
      <c r="G28" s="71">
        <v>19481.0</v>
      </c>
      <c r="H28" s="71">
        <v>18468.0</v>
      </c>
      <c r="I28" s="71">
        <v>19056.0</v>
      </c>
      <c r="J28" s="71">
        <v>17474.0</v>
      </c>
      <c r="K28" s="71">
        <v>16220.0</v>
      </c>
      <c r="L28" s="71">
        <v>16128.0</v>
      </c>
      <c r="M28" s="71">
        <v>15996.0</v>
      </c>
      <c r="N28" s="71">
        <v>15845.0</v>
      </c>
      <c r="O28" s="71">
        <v>14994.0</v>
      </c>
      <c r="P28" s="71">
        <v>13790.0</v>
      </c>
      <c r="Q28" s="71">
        <v>13928.0</v>
      </c>
      <c r="R28" s="71">
        <v>14056.0</v>
      </c>
      <c r="S28" s="71">
        <v>14565.0</v>
      </c>
      <c r="T28" s="72">
        <f>'Budget Volumes'!AF16</f>
        <v>12984.59436</v>
      </c>
      <c r="U28" s="72">
        <f>'Budget Volumes'!AG16</f>
        <v>13369.49764</v>
      </c>
      <c r="V28" s="72">
        <f>'Budget Volumes'!AH16</f>
        <v>13338.07696</v>
      </c>
      <c r="W28" s="72">
        <f>'Budget Volumes'!AI16</f>
        <v>13471.61484</v>
      </c>
      <c r="X28" s="72">
        <f>'Budget Volumes'!AJ16</f>
        <v>14045.04217</v>
      </c>
      <c r="Y28" s="72">
        <f>'Budget Volumes'!AK16</f>
        <v>13667.99406</v>
      </c>
      <c r="Z28" s="72">
        <f>'Budget Volumes'!AL16</f>
        <v>12560.48559</v>
      </c>
      <c r="AA28" s="72">
        <f>'Budget Volumes'!AM16</f>
        <v>12498.27869</v>
      </c>
      <c r="AB28" s="72">
        <f>'Budget Volumes'!AN16</f>
        <v>12332.3928</v>
      </c>
      <c r="AC28" s="72">
        <f>'Budget Volumes'!AO16</f>
        <v>11217.14288</v>
      </c>
      <c r="AD28" s="72">
        <f>'Budget Volumes'!AP16</f>
        <v>10456.4988</v>
      </c>
      <c r="AE28" s="72">
        <f>'Budget Volumes'!AQ16</f>
        <v>10123.49363</v>
      </c>
      <c r="AF28" s="72">
        <f>'Budget Volumes'!AR16</f>
        <v>10537.12743</v>
      </c>
      <c r="AG28" s="72">
        <f>'Budget Volumes'!AS16</f>
        <v>11786.55685</v>
      </c>
      <c r="AH28" s="72">
        <f>'Budget Volumes'!AT16</f>
        <v>13221.12</v>
      </c>
      <c r="AI28" s="72">
        <f>'Budget Volumes'!AU16</f>
        <v>14982.64513</v>
      </c>
      <c r="AJ28" s="72">
        <f>'Budget Volumes'!AV16</f>
        <v>15897.4933</v>
      </c>
      <c r="AK28" s="72">
        <f>'Budget Volumes'!AW16</f>
        <v>17117.29087</v>
      </c>
      <c r="AL28" s="72">
        <f>'Budget Volumes'!AX16</f>
        <v>19267.98658</v>
      </c>
      <c r="AM28" s="72">
        <f>'Budget Volumes'!AY16</f>
        <v>21514.9821</v>
      </c>
      <c r="AN28" s="72">
        <f>'Budget Volumes'!AZ16</f>
        <v>22879.22938</v>
      </c>
      <c r="AO28" s="72">
        <f>'Budget Volumes'!BA16</f>
        <v>23877.07899</v>
      </c>
      <c r="AP28" s="72">
        <f>'Budget Volumes'!BB16</f>
        <v>24844.19009</v>
      </c>
      <c r="AQ28" s="72">
        <f>'Budget Volumes'!BC16</f>
        <v>24348.44406</v>
      </c>
      <c r="AR28" s="72">
        <f>'Budget Volumes'!BD16</f>
        <v>24397.20597</v>
      </c>
      <c r="AS28" s="72">
        <f>'Budget Volumes'!BE16</f>
        <v>24689.77739</v>
      </c>
      <c r="AT28" s="72">
        <f>'Budget Volumes'!BF16</f>
        <v>25445.5869</v>
      </c>
      <c r="AU28" s="72">
        <f>'Budget Volumes'!BG16</f>
        <v>25071.74564</v>
      </c>
      <c r="AV28" s="72">
        <f>'Budget Volumes'!BH16</f>
        <v>23625.14249</v>
      </c>
      <c r="AW28" s="72">
        <f>'Budget Volumes'!BI16</f>
        <v>24194.03137</v>
      </c>
      <c r="AX28" s="72">
        <f>'Budget Volumes'!BJ16</f>
        <v>24722.28533</v>
      </c>
      <c r="AY28" s="72">
        <f>'Budget Volumes'!BK16</f>
        <v>21390.22189</v>
      </c>
      <c r="AZ28" s="72">
        <f>'Budget Volumes'!BL16</f>
        <v>18041.90448</v>
      </c>
      <c r="BA28" s="72">
        <f>'Budget Volumes'!BM16</f>
        <v>10743.87285</v>
      </c>
    </row>
    <row r="29" outlineLevel="1">
      <c r="A29" s="64" t="s">
        <v>12</v>
      </c>
      <c r="B29" s="71">
        <v>6520.0</v>
      </c>
      <c r="C29" s="71">
        <v>9662.0</v>
      </c>
      <c r="D29" s="71">
        <v>14345.0</v>
      </c>
      <c r="E29" s="71">
        <v>15250.0</v>
      </c>
      <c r="F29" s="71">
        <v>14861.0</v>
      </c>
      <c r="G29" s="71">
        <v>15666.0</v>
      </c>
      <c r="H29" s="71">
        <v>15801.0</v>
      </c>
      <c r="I29" s="71">
        <v>15684.0</v>
      </c>
      <c r="J29" s="71">
        <v>16011.0</v>
      </c>
      <c r="K29" s="71">
        <v>14086.0</v>
      </c>
      <c r="L29" s="71">
        <v>14798.0</v>
      </c>
      <c r="M29" s="71">
        <v>14038.0</v>
      </c>
      <c r="N29" s="71">
        <v>13441.0</v>
      </c>
      <c r="O29" s="71">
        <v>11734.0</v>
      </c>
      <c r="P29" s="71">
        <v>11464.0</v>
      </c>
      <c r="Q29" s="71">
        <v>11013.0</v>
      </c>
      <c r="R29" s="71">
        <v>11407.0</v>
      </c>
      <c r="S29" s="71">
        <v>12376.0</v>
      </c>
      <c r="T29" s="72">
        <f>'Budget Volumes'!AF15</f>
        <v>11762.4264</v>
      </c>
      <c r="U29" s="72">
        <f>'Budget Volumes'!AG15</f>
        <v>11769.1172</v>
      </c>
      <c r="V29" s="72">
        <f>'Budget Volumes'!AH15</f>
        <v>11615.2288</v>
      </c>
      <c r="W29" s="72">
        <f>'Budget Volumes'!AI15</f>
        <v>11601.8472</v>
      </c>
      <c r="X29" s="72">
        <f>'Budget Volumes'!AJ15</f>
        <v>12217.4008</v>
      </c>
      <c r="Y29" s="72">
        <f>'Budget Volumes'!AK15</f>
        <v>12270.9272</v>
      </c>
      <c r="Z29" s="72">
        <f>'Budget Volumes'!AL15</f>
        <v>11902.9332</v>
      </c>
      <c r="AA29" s="72">
        <f>'Budget Volumes'!AM15</f>
        <v>11635.649</v>
      </c>
      <c r="AB29" s="72">
        <f>'Budget Volumes'!AN15</f>
        <v>11154.5345</v>
      </c>
      <c r="AC29" s="72">
        <f>'Budget Volumes'!AO15</f>
        <v>11030.5664</v>
      </c>
      <c r="AD29" s="72">
        <f>'Budget Volumes'!AP15</f>
        <v>9775.2438</v>
      </c>
      <c r="AE29" s="72">
        <f>'Budget Volumes'!AQ15</f>
        <v>9425.457</v>
      </c>
      <c r="AF29" s="72">
        <f>'Budget Volumes'!AR15</f>
        <v>9414.8444</v>
      </c>
      <c r="AG29" s="72">
        <f>'Budget Volumes'!AS15</f>
        <v>10320.682</v>
      </c>
      <c r="AH29" s="72">
        <f>'Budget Volumes'!AT15</f>
        <v>12116.3928</v>
      </c>
      <c r="AI29" s="72">
        <f>'Budget Volumes'!AU15</f>
        <v>13696.761</v>
      </c>
      <c r="AJ29" s="72">
        <f>'Budget Volumes'!AV15</f>
        <v>14784.345</v>
      </c>
      <c r="AK29" s="72">
        <f>'Budget Volumes'!AW15</f>
        <v>15586.4382</v>
      </c>
      <c r="AL29" s="72">
        <f>'Budget Volumes'!AX15</f>
        <v>16721.604</v>
      </c>
      <c r="AM29" s="72">
        <f>'Budget Volumes'!AY15</f>
        <v>17319.7752</v>
      </c>
      <c r="AN29" s="72">
        <f>'Budget Volumes'!AZ15</f>
        <v>17917.9464</v>
      </c>
      <c r="AO29" s="72">
        <f>'Budget Volumes'!BA15</f>
        <v>19518.4026</v>
      </c>
      <c r="AP29" s="72">
        <f>'Budget Volumes'!BB15</f>
        <v>19256.2254</v>
      </c>
      <c r="AQ29" s="72">
        <f>'Budget Volumes'!BC15</f>
        <v>17690.0616</v>
      </c>
      <c r="AR29" s="72">
        <f>'Budget Volumes'!BD15</f>
        <v>18373.1022</v>
      </c>
      <c r="AS29" s="72">
        <f>'Budget Volumes'!BE15</f>
        <v>17724.5586</v>
      </c>
      <c r="AT29" s="72">
        <f>'Budget Volumes'!BF15</f>
        <v>18497.2914</v>
      </c>
      <c r="AU29" s="72">
        <f>'Budget Volumes'!BG15</f>
        <v>18787.0662</v>
      </c>
      <c r="AV29" s="72">
        <f>'Budget Volumes'!BH15</f>
        <v>17972.937</v>
      </c>
      <c r="AW29" s="72">
        <f>'Budget Volumes'!BI15</f>
        <v>17903.943</v>
      </c>
      <c r="AX29" s="72">
        <f>'Budget Volumes'!BJ15</f>
        <v>17455.482</v>
      </c>
      <c r="AY29" s="72">
        <f>'Budget Volumes'!BK15</f>
        <v>16137.6966</v>
      </c>
      <c r="AZ29" s="72">
        <f>'Budget Volumes'!BL15</f>
        <v>13888.4922</v>
      </c>
      <c r="BA29" s="72">
        <f>'Budget Volumes'!BM15</f>
        <v>8341.3746</v>
      </c>
    </row>
    <row r="30" outlineLevel="1">
      <c r="A30" s="64" t="s">
        <v>13</v>
      </c>
      <c r="B30" s="71">
        <v>13120.0</v>
      </c>
      <c r="C30" s="71">
        <v>18009.0</v>
      </c>
      <c r="D30" s="71">
        <v>23886.0</v>
      </c>
      <c r="E30" s="71">
        <v>26001.0</v>
      </c>
      <c r="F30" s="71">
        <v>26398.0</v>
      </c>
      <c r="G30" s="71">
        <v>28331.0</v>
      </c>
      <c r="H30" s="71">
        <v>28372.0</v>
      </c>
      <c r="I30" s="71">
        <v>27692.0</v>
      </c>
      <c r="J30" s="71">
        <v>26774.0</v>
      </c>
      <c r="K30" s="71">
        <v>27372.0</v>
      </c>
      <c r="L30" s="71">
        <v>26621.0</v>
      </c>
      <c r="M30" s="71">
        <v>25038.0</v>
      </c>
      <c r="N30" s="71">
        <v>23649.0</v>
      </c>
      <c r="O30" s="71">
        <v>22044.0</v>
      </c>
      <c r="P30" s="71">
        <v>20744.0</v>
      </c>
      <c r="Q30" s="71">
        <v>20643.0</v>
      </c>
      <c r="R30" s="71">
        <v>21910.0</v>
      </c>
      <c r="S30" s="71">
        <v>22089.0</v>
      </c>
      <c r="T30" s="72">
        <f>'Budget Volumes'!AF14</f>
        <v>19881.4252</v>
      </c>
      <c r="U30" s="72">
        <f>'Budget Volumes'!AG14</f>
        <v>20623.3885</v>
      </c>
      <c r="V30" s="72">
        <f>'Budget Volumes'!AH14</f>
        <v>20256.3959</v>
      </c>
      <c r="W30" s="72">
        <f>'Budget Volumes'!AI14</f>
        <v>18804.3817</v>
      </c>
      <c r="X30" s="72">
        <f>'Budget Volumes'!AJ14</f>
        <v>19370.8268</v>
      </c>
      <c r="Y30" s="72">
        <f>'Budget Volumes'!AK14</f>
        <v>18381.5424</v>
      </c>
      <c r="Z30" s="72">
        <f>'Budget Volumes'!AL14</f>
        <v>18995.8561</v>
      </c>
      <c r="AA30" s="72">
        <f>'Budget Volumes'!AM14</f>
        <v>18285.8052</v>
      </c>
      <c r="AB30" s="72">
        <f>'Budget Volumes'!AN14</f>
        <v>19262.64</v>
      </c>
      <c r="AC30" s="72">
        <f>'Budget Volumes'!AO14</f>
        <v>18427.9256</v>
      </c>
      <c r="AD30" s="72">
        <f>'Budget Volumes'!AP14</f>
        <v>17922.2813</v>
      </c>
      <c r="AE30" s="72">
        <f>'Budget Volumes'!AQ14</f>
        <v>16501.6616</v>
      </c>
      <c r="AF30" s="72">
        <f>'Budget Volumes'!AR14</f>
        <v>16429.4267</v>
      </c>
      <c r="AG30" s="72">
        <f>'Budget Volumes'!AS14</f>
        <v>15819.4431</v>
      </c>
      <c r="AH30" s="72">
        <f>'Budget Volumes'!AT14</f>
        <v>16782.5751</v>
      </c>
      <c r="AI30" s="72">
        <f>'Budget Volumes'!AU14</f>
        <v>17938.3335</v>
      </c>
      <c r="AJ30" s="72">
        <f>'Budget Volumes'!AV14</f>
        <v>18588.4476</v>
      </c>
      <c r="AK30" s="72">
        <f>'Budget Volumes'!AW14</f>
        <v>18805.1523</v>
      </c>
      <c r="AL30" s="72">
        <f>'Budget Volumes'!AX14</f>
        <v>20899.9644</v>
      </c>
      <c r="AM30" s="72">
        <f>'Budget Volumes'!AY14</f>
        <v>23725.1516</v>
      </c>
      <c r="AN30" s="72">
        <f>'Budget Volumes'!AZ14</f>
        <v>26132.9816</v>
      </c>
      <c r="AO30" s="72">
        <f>'Budget Volumes'!BA14</f>
        <v>28488.9905</v>
      </c>
      <c r="AP30" s="72">
        <f>'Budget Volumes'!BB14</f>
        <v>30561.656</v>
      </c>
      <c r="AQ30" s="72">
        <f>'Budget Volumes'!BC14</f>
        <v>29374.9534</v>
      </c>
      <c r="AR30" s="72">
        <f>'Budget Volumes'!BD14</f>
        <v>29188.0071</v>
      </c>
      <c r="AS30" s="72">
        <f>'Budget Volumes'!BE14</f>
        <v>29057.9575</v>
      </c>
      <c r="AT30" s="72">
        <f>'Budget Volumes'!BF14</f>
        <v>28399.5814</v>
      </c>
      <c r="AU30" s="72">
        <f>'Budget Volumes'!BG14</f>
        <v>30838.0114</v>
      </c>
      <c r="AV30" s="72">
        <f>'Budget Volumes'!BH14</f>
        <v>27603.0276</v>
      </c>
      <c r="AW30" s="72">
        <f>'Budget Volumes'!BI14</f>
        <v>27976.9202</v>
      </c>
      <c r="AX30" s="72">
        <f>'Budget Volumes'!BJ14</f>
        <v>26554.5027</v>
      </c>
      <c r="AY30" s="72">
        <f>'Budget Volumes'!BK14</f>
        <v>25042.6761</v>
      </c>
      <c r="AZ30" s="72">
        <f>'Budget Volumes'!BL14</f>
        <v>22709.9114</v>
      </c>
      <c r="BA30" s="72">
        <f>'Budget Volumes'!BM14</f>
        <v>14663.0924</v>
      </c>
    </row>
    <row r="31" outlineLevel="1">
      <c r="A31" s="64" t="s">
        <v>86</v>
      </c>
      <c r="B31" s="72">
        <f>'Budget Volumes'!N17</f>
        <v>0</v>
      </c>
      <c r="C31" s="72">
        <f>'Budget Volumes'!O17</f>
        <v>0</v>
      </c>
      <c r="D31" s="72">
        <f>'Budget Volumes'!P17</f>
        <v>0</v>
      </c>
      <c r="E31" s="72">
        <f>'Budget Volumes'!Q17</f>
        <v>0</v>
      </c>
      <c r="F31" s="72">
        <f>'Budget Volumes'!R17</f>
        <v>0</v>
      </c>
      <c r="G31" s="72">
        <f>'Budget Volumes'!S17</f>
        <v>0</v>
      </c>
      <c r="H31" s="72">
        <f>'Budget Volumes'!T17</f>
        <v>0</v>
      </c>
      <c r="I31" s="72">
        <f>'Budget Volumes'!U17</f>
        <v>0</v>
      </c>
      <c r="J31" s="72">
        <f>'Budget Volumes'!V17</f>
        <v>0</v>
      </c>
      <c r="K31" s="72">
        <f>'Budget Volumes'!W17</f>
        <v>0</v>
      </c>
      <c r="L31" s="72">
        <f>'Budget Volumes'!X17</f>
        <v>0</v>
      </c>
      <c r="M31" s="72">
        <f>'Budget Volumes'!Y17</f>
        <v>0</v>
      </c>
      <c r="N31" s="72">
        <f>'Budget Volumes'!Z17</f>
        <v>0</v>
      </c>
      <c r="O31" s="72">
        <f>'Budget Volumes'!AA17</f>
        <v>0</v>
      </c>
      <c r="P31" s="72">
        <f>'Budget Volumes'!AB17</f>
        <v>0</v>
      </c>
      <c r="Q31" s="72">
        <f>'Budget Volumes'!AC17</f>
        <v>0</v>
      </c>
      <c r="R31" s="72">
        <f>'Budget Volumes'!AD17</f>
        <v>0</v>
      </c>
      <c r="S31" s="72">
        <f>'Budget Volumes'!AE17</f>
        <v>0</v>
      </c>
      <c r="T31" s="72">
        <f>'Budget Volumes'!AF17</f>
        <v>0</v>
      </c>
      <c r="U31" s="72">
        <f>'Budget Volumes'!AG17</f>
        <v>0</v>
      </c>
      <c r="V31" s="72">
        <f>'Budget Volumes'!AH17</f>
        <v>0</v>
      </c>
      <c r="W31" s="72">
        <f>'Budget Volumes'!AI17</f>
        <v>0</v>
      </c>
      <c r="X31" s="72">
        <f>'Budget Volumes'!AJ17</f>
        <v>0</v>
      </c>
      <c r="Y31" s="72">
        <f>'Budget Volumes'!AK17</f>
        <v>0</v>
      </c>
      <c r="Z31" s="72">
        <f>'Budget Volumes'!AL17</f>
        <v>0</v>
      </c>
      <c r="AA31" s="72">
        <f>'Budget Volumes'!AM17</f>
        <v>0</v>
      </c>
      <c r="AB31" s="72">
        <f>'Budget Volumes'!AN17</f>
        <v>0</v>
      </c>
      <c r="AC31" s="72">
        <f>'Budget Volumes'!AO17</f>
        <v>0</v>
      </c>
      <c r="AD31" s="72">
        <f>'Budget Volumes'!AP17</f>
        <v>0</v>
      </c>
      <c r="AE31" s="72">
        <f>'Budget Volumes'!AQ17</f>
        <v>0</v>
      </c>
      <c r="AF31" s="72">
        <f>'Budget Volumes'!AR17</f>
        <v>0</v>
      </c>
      <c r="AG31" s="72">
        <f>'Budget Volumes'!AS17</f>
        <v>0</v>
      </c>
      <c r="AH31" s="72">
        <f>'Budget Volumes'!AT17</f>
        <v>0</v>
      </c>
      <c r="AI31" s="72">
        <f>'Budget Volumes'!AU17</f>
        <v>0</v>
      </c>
      <c r="AJ31" s="72">
        <f>'Budget Volumes'!AV17</f>
        <v>0</v>
      </c>
      <c r="AK31" s="72">
        <f>'Budget Volumes'!AW17</f>
        <v>0</v>
      </c>
      <c r="AL31" s="72">
        <f>'Budget Volumes'!AX17</f>
        <v>0</v>
      </c>
      <c r="AM31" s="72">
        <f>'Budget Volumes'!AY17</f>
        <v>0</v>
      </c>
      <c r="AN31" s="72">
        <f>'Budget Volumes'!AZ17</f>
        <v>0</v>
      </c>
      <c r="AO31" s="72">
        <f>'Budget Volumes'!BA17</f>
        <v>0</v>
      </c>
      <c r="AP31" s="72">
        <f>'Budget Volumes'!BB17</f>
        <v>0</v>
      </c>
      <c r="AQ31" s="72">
        <f>'Budget Volumes'!BC17</f>
        <v>0</v>
      </c>
      <c r="AR31" s="72">
        <f>'Budget Volumes'!BD17</f>
        <v>0</v>
      </c>
      <c r="AS31" s="72">
        <f>'Budget Volumes'!BE17</f>
        <v>0</v>
      </c>
      <c r="AT31" s="72">
        <f>'Budget Volumes'!BF17</f>
        <v>0</v>
      </c>
      <c r="AU31" s="72">
        <f>'Budget Volumes'!BG17</f>
        <v>0</v>
      </c>
      <c r="AV31" s="72">
        <f>'Budget Volumes'!BH17</f>
        <v>0</v>
      </c>
      <c r="AW31" s="72">
        <f>'Budget Volumes'!BI17</f>
        <v>0</v>
      </c>
      <c r="AX31" s="72">
        <f>'Budget Volumes'!BJ17</f>
        <v>0</v>
      </c>
      <c r="AY31" s="72">
        <f>'Budget Volumes'!BK17</f>
        <v>0</v>
      </c>
      <c r="AZ31" s="72">
        <f>'Budget Volumes'!BL17</f>
        <v>0</v>
      </c>
      <c r="BA31" s="72">
        <f>'Budget Volumes'!BM17</f>
        <v>0</v>
      </c>
    </row>
    <row r="32">
      <c r="A32" s="67" t="s">
        <v>6</v>
      </c>
      <c r="B32" s="68">
        <f t="shared" ref="B32:BA32" si="12">sum(B26:B31)</f>
        <v>50424</v>
      </c>
      <c r="C32" s="68">
        <f t="shared" si="12"/>
        <v>72317</v>
      </c>
      <c r="D32" s="68">
        <f t="shared" si="12"/>
        <v>97195</v>
      </c>
      <c r="E32" s="68">
        <f t="shared" si="12"/>
        <v>104810</v>
      </c>
      <c r="F32" s="68">
        <f t="shared" si="12"/>
        <v>105534</v>
      </c>
      <c r="G32" s="68">
        <f t="shared" si="12"/>
        <v>115011</v>
      </c>
      <c r="H32" s="68">
        <f t="shared" si="12"/>
        <v>114124</v>
      </c>
      <c r="I32" s="68">
        <f t="shared" si="12"/>
        <v>113188</v>
      </c>
      <c r="J32" s="68">
        <f t="shared" si="12"/>
        <v>111596</v>
      </c>
      <c r="K32" s="68">
        <f t="shared" si="12"/>
        <v>111468</v>
      </c>
      <c r="L32" s="68">
        <f t="shared" si="12"/>
        <v>111552</v>
      </c>
      <c r="M32" s="68">
        <f t="shared" si="12"/>
        <v>108303</v>
      </c>
      <c r="N32" s="68">
        <f t="shared" si="12"/>
        <v>102449</v>
      </c>
      <c r="O32" s="68">
        <f t="shared" si="12"/>
        <v>101162</v>
      </c>
      <c r="P32" s="68">
        <f t="shared" si="12"/>
        <v>89526</v>
      </c>
      <c r="Q32" s="68">
        <f t="shared" si="12"/>
        <v>89602</v>
      </c>
      <c r="R32" s="68">
        <f t="shared" si="12"/>
        <v>94435</v>
      </c>
      <c r="S32" s="68">
        <f t="shared" si="12"/>
        <v>96855</v>
      </c>
      <c r="T32" s="68">
        <f t="shared" si="12"/>
        <v>91564.04521</v>
      </c>
      <c r="U32" s="68">
        <f t="shared" si="12"/>
        <v>96320.57686</v>
      </c>
      <c r="V32" s="68">
        <f t="shared" si="12"/>
        <v>94607.06309</v>
      </c>
      <c r="W32" s="68">
        <f t="shared" si="12"/>
        <v>93306.69799</v>
      </c>
      <c r="X32" s="68">
        <f t="shared" si="12"/>
        <v>97109.83144</v>
      </c>
      <c r="Y32" s="68">
        <f t="shared" si="12"/>
        <v>94770.26665</v>
      </c>
      <c r="Z32" s="68">
        <f t="shared" si="12"/>
        <v>94018.85899</v>
      </c>
      <c r="AA32" s="68">
        <f t="shared" si="12"/>
        <v>91768.27403</v>
      </c>
      <c r="AB32" s="68">
        <f t="shared" si="12"/>
        <v>91839.04569</v>
      </c>
      <c r="AC32" s="68">
        <f t="shared" si="12"/>
        <v>87183.68776</v>
      </c>
      <c r="AD32" s="68">
        <f t="shared" si="12"/>
        <v>81417.29017</v>
      </c>
      <c r="AE32" s="68">
        <f t="shared" si="12"/>
        <v>77331.32839</v>
      </c>
      <c r="AF32" s="68">
        <f t="shared" si="12"/>
        <v>77290.84968</v>
      </c>
      <c r="AG32" s="68">
        <f t="shared" si="12"/>
        <v>79262.82874</v>
      </c>
      <c r="AH32" s="68">
        <f t="shared" si="12"/>
        <v>84794.2964</v>
      </c>
      <c r="AI32" s="68">
        <f t="shared" si="12"/>
        <v>94709.68333</v>
      </c>
      <c r="AJ32" s="68">
        <f t="shared" si="12"/>
        <v>99479.92326</v>
      </c>
      <c r="AK32" s="68">
        <f t="shared" si="12"/>
        <v>105129.2208</v>
      </c>
      <c r="AL32" s="68">
        <f t="shared" si="12"/>
        <v>117041.4295</v>
      </c>
      <c r="AM32" s="68">
        <f t="shared" si="12"/>
        <v>128475.8442</v>
      </c>
      <c r="AN32" s="68">
        <f t="shared" si="12"/>
        <v>137268.1358</v>
      </c>
      <c r="AO32" s="68">
        <f t="shared" si="12"/>
        <v>148374.0916</v>
      </c>
      <c r="AP32" s="68">
        <f t="shared" si="12"/>
        <v>152892.8252</v>
      </c>
      <c r="AQ32" s="68">
        <f t="shared" si="12"/>
        <v>146998.3616</v>
      </c>
      <c r="AR32" s="68">
        <f t="shared" si="12"/>
        <v>148101.7234</v>
      </c>
      <c r="AS32" s="68">
        <f t="shared" si="12"/>
        <v>145999.2839</v>
      </c>
      <c r="AT32" s="68">
        <f t="shared" si="12"/>
        <v>152122.9726</v>
      </c>
      <c r="AU32" s="68">
        <f t="shared" si="12"/>
        <v>152795.9749</v>
      </c>
      <c r="AV32" s="68">
        <f t="shared" si="12"/>
        <v>148002.7542</v>
      </c>
      <c r="AW32" s="68">
        <f t="shared" si="12"/>
        <v>149317.4243</v>
      </c>
      <c r="AX32" s="68">
        <f t="shared" si="12"/>
        <v>147621.1677</v>
      </c>
      <c r="AY32" s="68">
        <f t="shared" si="12"/>
        <v>133513.8388</v>
      </c>
      <c r="AZ32" s="68">
        <f t="shared" si="12"/>
        <v>119937.9799</v>
      </c>
      <c r="BA32" s="68">
        <f t="shared" si="12"/>
        <v>74599.90376</v>
      </c>
    </row>
    <row r="33">
      <c r="A33" s="69"/>
      <c r="B33" s="70"/>
      <c r="C33" s="70"/>
      <c r="D33" s="70"/>
      <c r="E33" s="70"/>
      <c r="F33" s="70"/>
      <c r="G33" s="70"/>
      <c r="H33" s="70"/>
      <c r="I33" s="70"/>
      <c r="J33" s="70"/>
      <c r="K33" s="70"/>
      <c r="L33" s="73"/>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row>
    <row r="34">
      <c r="A34" s="63" t="s">
        <v>88</v>
      </c>
      <c r="B34" s="35" t="s">
        <v>15</v>
      </c>
      <c r="C34" s="35" t="s">
        <v>16</v>
      </c>
      <c r="D34" s="35" t="s">
        <v>17</v>
      </c>
      <c r="E34" s="35" t="s">
        <v>18</v>
      </c>
      <c r="F34" s="35" t="s">
        <v>19</v>
      </c>
      <c r="G34" s="35" t="s">
        <v>21</v>
      </c>
      <c r="H34" s="35" t="s">
        <v>22</v>
      </c>
      <c r="I34" s="35" t="s">
        <v>23</v>
      </c>
      <c r="J34" s="35" t="s">
        <v>24</v>
      </c>
      <c r="K34" s="35" t="s">
        <v>26</v>
      </c>
      <c r="L34" s="35" t="s">
        <v>27</v>
      </c>
      <c r="M34" s="35" t="s">
        <v>28</v>
      </c>
      <c r="N34" s="35" t="s">
        <v>29</v>
      </c>
      <c r="O34" s="35" t="s">
        <v>31</v>
      </c>
      <c r="P34" s="35" t="s">
        <v>32</v>
      </c>
      <c r="Q34" s="35" t="s">
        <v>33</v>
      </c>
      <c r="R34" s="35" t="s">
        <v>34</v>
      </c>
      <c r="S34" s="35" t="s">
        <v>35</v>
      </c>
      <c r="T34" s="35" t="s">
        <v>37</v>
      </c>
      <c r="U34" s="35" t="s">
        <v>38</v>
      </c>
      <c r="V34" s="35" t="s">
        <v>39</v>
      </c>
      <c r="W34" s="35" t="s">
        <v>40</v>
      </c>
      <c r="X34" s="35" t="s">
        <v>42</v>
      </c>
      <c r="Y34" s="35" t="s">
        <v>43</v>
      </c>
      <c r="Z34" s="35" t="s">
        <v>44</v>
      </c>
      <c r="AA34" s="35" t="s">
        <v>45</v>
      </c>
      <c r="AB34" s="35" t="s">
        <v>47</v>
      </c>
      <c r="AC34" s="35" t="s">
        <v>48</v>
      </c>
      <c r="AD34" s="35" t="s">
        <v>49</v>
      </c>
      <c r="AE34" s="35" t="s">
        <v>50</v>
      </c>
      <c r="AF34" s="35" t="s">
        <v>51</v>
      </c>
      <c r="AG34" s="35" t="s">
        <v>53</v>
      </c>
      <c r="AH34" s="35" t="s">
        <v>54</v>
      </c>
      <c r="AI34" s="35" t="s">
        <v>55</v>
      </c>
      <c r="AJ34" s="35" t="s">
        <v>56</v>
      </c>
      <c r="AK34" s="35" t="s">
        <v>58</v>
      </c>
      <c r="AL34" s="35" t="s">
        <v>59</v>
      </c>
      <c r="AM34" s="35" t="s">
        <v>60</v>
      </c>
      <c r="AN34" s="35" t="s">
        <v>61</v>
      </c>
      <c r="AO34" s="35" t="s">
        <v>63</v>
      </c>
      <c r="AP34" s="35" t="s">
        <v>64</v>
      </c>
      <c r="AQ34" s="35" t="s">
        <v>65</v>
      </c>
      <c r="AR34" s="35" t="s">
        <v>66</v>
      </c>
      <c r="AS34" s="35" t="s">
        <v>67</v>
      </c>
      <c r="AT34" s="35" t="s">
        <v>69</v>
      </c>
      <c r="AU34" s="35" t="s">
        <v>70</v>
      </c>
      <c r="AV34" s="35" t="s">
        <v>71</v>
      </c>
      <c r="AW34" s="35" t="s">
        <v>72</v>
      </c>
      <c r="AX34" s="35" t="s">
        <v>74</v>
      </c>
      <c r="AY34" s="35" t="s">
        <v>75</v>
      </c>
      <c r="AZ34" s="35" t="s">
        <v>76</v>
      </c>
      <c r="BA34" s="35" t="s">
        <v>77</v>
      </c>
    </row>
    <row r="35">
      <c r="A35" s="74" t="s">
        <v>78</v>
      </c>
      <c r="B35" s="75">
        <f>(B26+B27)*SUMIF('Slot Selection'!K3:K32,TRUE,'Slot Selection'!$D$3:$D$32)</f>
        <v>0</v>
      </c>
      <c r="C35" s="75">
        <f>(C26+C27)*SUMIF('Slot Selection'!L3:L32,TRUE,'Slot Selection'!$D$3:$D$32)</f>
        <v>0</v>
      </c>
      <c r="D35" s="75">
        <f>(D26+D27)*SUMIF('Slot Selection'!M3:M32,TRUE,'Slot Selection'!$D$3:$D$32)</f>
        <v>0</v>
      </c>
      <c r="E35" s="75">
        <f>(E26+E27)*SUMIF('Slot Selection'!N3:N32,TRUE,'Slot Selection'!$D$3:$D$32)</f>
        <v>0</v>
      </c>
      <c r="F35" s="75">
        <f>(F26+F27)*SUMIF('Slot Selection'!O3:O32,TRUE,'Slot Selection'!$D$3:$D$32)</f>
        <v>0</v>
      </c>
      <c r="G35" s="75">
        <f>(G26+G27)*SUMIF('Slot Selection'!P3:P32,TRUE,'Slot Selection'!$D$3:$D$32)</f>
        <v>0</v>
      </c>
      <c r="H35" s="75">
        <f>(H26+H27)*SUMIF('Slot Selection'!Q3:Q32,TRUE,'Slot Selection'!$D$3:$D$32)</f>
        <v>0</v>
      </c>
      <c r="I35" s="75">
        <f>(I26+I27)*SUMIF('Slot Selection'!R3:R32,TRUE,'Slot Selection'!$D$3:$D$32)</f>
        <v>0</v>
      </c>
      <c r="J35" s="75">
        <f>(J26+J27)*SUMIF('Slot Selection'!S3:S32,TRUE,'Slot Selection'!$D$3:$D$32)</f>
        <v>0</v>
      </c>
      <c r="K35" s="75">
        <f>(K26+K27)*SUMIF('Slot Selection'!T3:T32,TRUE,'Slot Selection'!$D$3:$D$32)</f>
        <v>0</v>
      </c>
      <c r="L35" s="75">
        <f>(L26+L27)*SUMIF('Slot Selection'!U3:U32,TRUE,'Slot Selection'!$D$3:$D$32)</f>
        <v>0</v>
      </c>
      <c r="M35" s="75">
        <f>(M26+M27)*SUMIF('Slot Selection'!V3:V32,TRUE,'Slot Selection'!$D$3:$D$32)</f>
        <v>0</v>
      </c>
      <c r="N35" s="75">
        <f>(N26+N27)*SUMIF('Slot Selection'!W3:W38,TRUE,'Slot Selection'!$D$3:$D$38)</f>
        <v>0</v>
      </c>
      <c r="O35" s="75">
        <f>(O26+O27)*SUMIF('Slot Selection'!X3:X38,TRUE,'Slot Selection'!$E$3:$E$38)</f>
        <v>0</v>
      </c>
      <c r="P35" s="75">
        <f>(P26+P27)*SUMIF('Slot Selection'!Y3:Y38,TRUE,'Slot Selection'!$E$3:$E$38)</f>
        <v>0</v>
      </c>
      <c r="Q35" s="75">
        <f>(Q26+Q27)*SUMIF('Slot Selection'!Z3:Z38,TRUE,'Slot Selection'!$E$3:$E$38)</f>
        <v>0</v>
      </c>
      <c r="R35" s="75">
        <f>(R26+R27)*SUMIF('Slot Selection'!AA3:AA38,TRUE,'Slot Selection'!$D$3:$D$38)</f>
        <v>0</v>
      </c>
      <c r="S35" s="75">
        <f>(S26+S27)*SUMIF('Slot Selection'!AB3:AB38,TRUE,'Slot Selection'!$D$3:$D$38)</f>
        <v>1434.75</v>
      </c>
      <c r="T35" s="75">
        <f>(T26+T27)*SUMIF('Slot Selection'!AC3:AC38,TRUE,'Slot Selection'!$E$3:$E$38)</f>
        <v>0</v>
      </c>
      <c r="U35" s="75">
        <f>(U26+U27)*SUMIF('Slot Selection'!AD3:AD38,TRUE,'Slot Selection'!$E$3:$E$38)</f>
        <v>10592.02115</v>
      </c>
      <c r="V35" s="75">
        <f>(V26+V27)*SUMIF('Slot Selection'!AE3:AE38,TRUE,'Slot Selection'!$E$3:$E$38)</f>
        <v>12122.11249</v>
      </c>
      <c r="W35" s="75">
        <f>(W26+W27)*SUMIF('Slot Selection'!AF3:AF38,TRUE,'Slot Selection'!$E$3:$E$38)</f>
        <v>24071.85202</v>
      </c>
      <c r="X35" s="75">
        <f>(X26+X27)*SUMIF('Slot Selection'!AG3:AG38,TRUE,'Slot Selection'!$F$3:$F$38)</f>
        <v>32466.26744</v>
      </c>
      <c r="Y35" s="75">
        <f>(Y26+Y27)*SUMIF('Slot Selection'!AH3:AH38,TRUE,'Slot Selection'!$F$3:$F$38)</f>
        <v>34840.63394</v>
      </c>
      <c r="Z35" s="75">
        <f>(Z26+Z27)*SUMIF('Slot Selection'!AI3:AI38,TRUE,'Slot Selection'!$F$3:$F$38)</f>
        <v>40548.78645</v>
      </c>
      <c r="AA35" s="75">
        <f>(AA26+AA27)*SUMIF('Slot Selection'!AJ3:AJ38,TRUE,'Slot Selection'!$F$3:$F$38)</f>
        <v>42696.3578</v>
      </c>
      <c r="AB35" s="75">
        <f>(AB26+AB27)*SUMIF('Slot Selection'!AK3:AK38,TRUE,'Slot Selection'!$F$3:$F$38)</f>
        <v>42472.2167</v>
      </c>
      <c r="AC35" s="75">
        <f>(AC26+AC27)*SUMIF('Slot Selection'!AL3:AL38,TRUE,'Slot Selection'!$F$3:$F$38)</f>
        <v>40238.76735</v>
      </c>
      <c r="AD35" s="75">
        <f>(AD26+AD27)*SUMIF('Slot Selection'!AM3:AM38,TRUE,'Slot Selection'!$F$3:$F$38)</f>
        <v>37431.37797</v>
      </c>
      <c r="AE35" s="75">
        <f>(AE26+AE27)*SUMIF('Slot Selection'!AN3:AN38,TRUE,'Slot Selection'!$F$3:$F$38)</f>
        <v>36628.37945</v>
      </c>
      <c r="AF35" s="75">
        <f t="shared" ref="AF35:BA35" si="13">(AF26+AF27)</f>
        <v>40909.45114</v>
      </c>
      <c r="AG35" s="75">
        <f t="shared" si="13"/>
        <v>41336.14679</v>
      </c>
      <c r="AH35" s="75">
        <f t="shared" si="13"/>
        <v>42674.2085</v>
      </c>
      <c r="AI35" s="75">
        <f t="shared" si="13"/>
        <v>48091.9437</v>
      </c>
      <c r="AJ35" s="75">
        <f t="shared" si="13"/>
        <v>50209.63736</v>
      </c>
      <c r="AK35" s="75">
        <f t="shared" si="13"/>
        <v>53620.33939</v>
      </c>
      <c r="AL35" s="75">
        <f t="shared" si="13"/>
        <v>60151.87449</v>
      </c>
      <c r="AM35" s="75">
        <f t="shared" si="13"/>
        <v>65915.9353</v>
      </c>
      <c r="AN35" s="75">
        <f t="shared" si="13"/>
        <v>70337.97837</v>
      </c>
      <c r="AO35" s="75">
        <f t="shared" si="13"/>
        <v>76489.61946</v>
      </c>
      <c r="AP35" s="75">
        <f t="shared" si="13"/>
        <v>78230.75375</v>
      </c>
      <c r="AQ35" s="75">
        <f t="shared" si="13"/>
        <v>75584.90256</v>
      </c>
      <c r="AR35" s="75">
        <f t="shared" si="13"/>
        <v>76143.40813</v>
      </c>
      <c r="AS35" s="75">
        <f t="shared" si="13"/>
        <v>74526.99042</v>
      </c>
      <c r="AT35" s="75">
        <f t="shared" si="13"/>
        <v>79780.51285</v>
      </c>
      <c r="AU35" s="75">
        <f t="shared" si="13"/>
        <v>78099.1517</v>
      </c>
      <c r="AV35" s="75">
        <f t="shared" si="13"/>
        <v>78801.64712</v>
      </c>
      <c r="AW35" s="75">
        <f t="shared" si="13"/>
        <v>79242.52978</v>
      </c>
      <c r="AX35" s="75">
        <f t="shared" si="13"/>
        <v>78888.89764</v>
      </c>
      <c r="AY35" s="75">
        <f t="shared" si="13"/>
        <v>70943.24421</v>
      </c>
      <c r="AZ35" s="75">
        <f t="shared" si="13"/>
        <v>65297.67182</v>
      </c>
      <c r="BA35" s="75">
        <f t="shared" si="13"/>
        <v>40851.56391</v>
      </c>
    </row>
    <row r="36">
      <c r="A36" s="74" t="s">
        <v>79</v>
      </c>
      <c r="B36" s="75">
        <f t="shared" ref="B36:BA36" si="14">(B26+B27)-B35</f>
        <v>24401</v>
      </c>
      <c r="C36" s="75">
        <f t="shared" si="14"/>
        <v>35504</v>
      </c>
      <c r="D36" s="75">
        <f t="shared" si="14"/>
        <v>43447</v>
      </c>
      <c r="E36" s="75">
        <f t="shared" si="14"/>
        <v>45885</v>
      </c>
      <c r="F36" s="75">
        <f t="shared" si="14"/>
        <v>46331</v>
      </c>
      <c r="G36" s="75">
        <f t="shared" si="14"/>
        <v>51533</v>
      </c>
      <c r="H36" s="75">
        <f t="shared" si="14"/>
        <v>51483</v>
      </c>
      <c r="I36" s="75">
        <f t="shared" si="14"/>
        <v>50756</v>
      </c>
      <c r="J36" s="75">
        <f t="shared" si="14"/>
        <v>51337</v>
      </c>
      <c r="K36" s="75">
        <f t="shared" si="14"/>
        <v>53790</v>
      </c>
      <c r="L36" s="75">
        <f t="shared" si="14"/>
        <v>54005</v>
      </c>
      <c r="M36" s="75">
        <f t="shared" si="14"/>
        <v>53231</v>
      </c>
      <c r="N36" s="75">
        <f t="shared" si="14"/>
        <v>49514</v>
      </c>
      <c r="O36" s="75">
        <f t="shared" si="14"/>
        <v>52390</v>
      </c>
      <c r="P36" s="75">
        <f t="shared" si="14"/>
        <v>43528</v>
      </c>
      <c r="Q36" s="75">
        <f t="shared" si="14"/>
        <v>44018</v>
      </c>
      <c r="R36" s="75">
        <f t="shared" si="14"/>
        <v>47062</v>
      </c>
      <c r="S36" s="75">
        <f t="shared" si="14"/>
        <v>46390.25</v>
      </c>
      <c r="T36" s="75">
        <f t="shared" si="14"/>
        <v>46935.59925</v>
      </c>
      <c r="U36" s="75">
        <f t="shared" si="14"/>
        <v>39966.55237</v>
      </c>
      <c r="V36" s="75">
        <f t="shared" si="14"/>
        <v>37275.24893</v>
      </c>
      <c r="W36" s="75">
        <f t="shared" si="14"/>
        <v>25357.00223</v>
      </c>
      <c r="X36" s="75">
        <f t="shared" si="14"/>
        <v>19010.29422</v>
      </c>
      <c r="Y36" s="75">
        <f t="shared" si="14"/>
        <v>15609.16904</v>
      </c>
      <c r="Z36" s="75">
        <f t="shared" si="14"/>
        <v>10010.79765</v>
      </c>
      <c r="AA36" s="75">
        <f t="shared" si="14"/>
        <v>6652.183346</v>
      </c>
      <c r="AB36" s="75">
        <f t="shared" si="14"/>
        <v>6617.261687</v>
      </c>
      <c r="AC36" s="75">
        <f t="shared" si="14"/>
        <v>6269.285527</v>
      </c>
      <c r="AD36" s="75">
        <f t="shared" si="14"/>
        <v>5831.888293</v>
      </c>
      <c r="AE36" s="75">
        <f t="shared" si="14"/>
        <v>4652.336711</v>
      </c>
      <c r="AF36" s="75">
        <f t="shared" si="14"/>
        <v>0</v>
      </c>
      <c r="AG36" s="75">
        <f t="shared" si="14"/>
        <v>0</v>
      </c>
      <c r="AH36" s="75">
        <f t="shared" si="14"/>
        <v>0</v>
      </c>
      <c r="AI36" s="75">
        <f t="shared" si="14"/>
        <v>0</v>
      </c>
      <c r="AJ36" s="75">
        <f t="shared" si="14"/>
        <v>0</v>
      </c>
      <c r="AK36" s="75">
        <f t="shared" si="14"/>
        <v>0</v>
      </c>
      <c r="AL36" s="75">
        <f t="shared" si="14"/>
        <v>0</v>
      </c>
      <c r="AM36" s="75">
        <f t="shared" si="14"/>
        <v>0</v>
      </c>
      <c r="AN36" s="75">
        <f t="shared" si="14"/>
        <v>0</v>
      </c>
      <c r="AO36" s="75">
        <f t="shared" si="14"/>
        <v>0</v>
      </c>
      <c r="AP36" s="75">
        <f t="shared" si="14"/>
        <v>0</v>
      </c>
      <c r="AQ36" s="75">
        <f t="shared" si="14"/>
        <v>0</v>
      </c>
      <c r="AR36" s="75">
        <f t="shared" si="14"/>
        <v>0</v>
      </c>
      <c r="AS36" s="75">
        <f t="shared" si="14"/>
        <v>0</v>
      </c>
      <c r="AT36" s="75">
        <f t="shared" si="14"/>
        <v>0</v>
      </c>
      <c r="AU36" s="75">
        <f t="shared" si="14"/>
        <v>0</v>
      </c>
      <c r="AV36" s="75">
        <f t="shared" si="14"/>
        <v>0</v>
      </c>
      <c r="AW36" s="75">
        <f t="shared" si="14"/>
        <v>0</v>
      </c>
      <c r="AX36" s="75">
        <f t="shared" si="14"/>
        <v>0</v>
      </c>
      <c r="AY36" s="75">
        <f t="shared" si="14"/>
        <v>0</v>
      </c>
      <c r="AZ36" s="75">
        <f t="shared" si="14"/>
        <v>0</v>
      </c>
      <c r="BA36" s="75">
        <f t="shared" si="14"/>
        <v>0</v>
      </c>
    </row>
    <row r="37">
      <c r="A37" s="69"/>
      <c r="B37" s="70"/>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row>
    <row r="38">
      <c r="A38" s="76" t="s">
        <v>89</v>
      </c>
      <c r="B38" s="35" t="s">
        <v>15</v>
      </c>
      <c r="C38" s="34" t="s">
        <v>16</v>
      </c>
      <c r="D38" s="34" t="s">
        <v>17</v>
      </c>
      <c r="E38" s="34" t="s">
        <v>18</v>
      </c>
      <c r="F38" s="34" t="s">
        <v>19</v>
      </c>
      <c r="G38" s="34" t="s">
        <v>21</v>
      </c>
      <c r="H38" s="34" t="s">
        <v>22</v>
      </c>
      <c r="I38" s="34" t="s">
        <v>23</v>
      </c>
      <c r="J38" s="34" t="s">
        <v>24</v>
      </c>
      <c r="K38" s="34" t="s">
        <v>26</v>
      </c>
      <c r="L38" s="34" t="s">
        <v>27</v>
      </c>
      <c r="M38" s="34" t="s">
        <v>28</v>
      </c>
      <c r="N38" s="34" t="s">
        <v>29</v>
      </c>
      <c r="O38" s="34" t="s">
        <v>31</v>
      </c>
      <c r="P38" s="34" t="s">
        <v>32</v>
      </c>
      <c r="Q38" s="34" t="s">
        <v>33</v>
      </c>
      <c r="R38" s="34" t="s">
        <v>34</v>
      </c>
      <c r="S38" s="34" t="s">
        <v>35</v>
      </c>
      <c r="T38" s="34" t="s">
        <v>37</v>
      </c>
      <c r="U38" s="34" t="s">
        <v>38</v>
      </c>
      <c r="V38" s="34" t="s">
        <v>39</v>
      </c>
      <c r="W38" s="34" t="s">
        <v>40</v>
      </c>
      <c r="X38" s="34" t="s">
        <v>42</v>
      </c>
      <c r="Y38" s="34" t="s">
        <v>43</v>
      </c>
      <c r="Z38" s="34" t="s">
        <v>44</v>
      </c>
      <c r="AA38" s="34" t="s">
        <v>45</v>
      </c>
      <c r="AB38" s="34" t="s">
        <v>47</v>
      </c>
      <c r="AC38" s="34" t="s">
        <v>48</v>
      </c>
      <c r="AD38" s="34" t="s">
        <v>49</v>
      </c>
      <c r="AE38" s="34" t="s">
        <v>50</v>
      </c>
      <c r="AF38" s="34" t="s">
        <v>51</v>
      </c>
      <c r="AG38" s="34" t="s">
        <v>53</v>
      </c>
      <c r="AH38" s="34" t="s">
        <v>54</v>
      </c>
      <c r="AI38" s="34" t="s">
        <v>55</v>
      </c>
      <c r="AJ38" s="34" t="s">
        <v>56</v>
      </c>
      <c r="AK38" s="34" t="s">
        <v>58</v>
      </c>
      <c r="AL38" s="34" t="s">
        <v>59</v>
      </c>
      <c r="AM38" s="34" t="s">
        <v>60</v>
      </c>
      <c r="AN38" s="34" t="s">
        <v>61</v>
      </c>
      <c r="AO38" s="34" t="s">
        <v>63</v>
      </c>
      <c r="AP38" s="34" t="s">
        <v>64</v>
      </c>
      <c r="AQ38" s="34" t="s">
        <v>65</v>
      </c>
      <c r="AR38" s="34" t="s">
        <v>66</v>
      </c>
      <c r="AS38" s="34" t="s">
        <v>67</v>
      </c>
      <c r="AT38" s="34" t="s">
        <v>69</v>
      </c>
      <c r="AU38" s="34" t="s">
        <v>70</v>
      </c>
      <c r="AV38" s="34" t="s">
        <v>71</v>
      </c>
      <c r="AW38" s="34" t="s">
        <v>72</v>
      </c>
      <c r="AX38" s="34" t="s">
        <v>74</v>
      </c>
      <c r="AY38" s="34" t="s">
        <v>75</v>
      </c>
      <c r="AZ38" s="34" t="s">
        <v>76</v>
      </c>
      <c r="BA38" s="34" t="s">
        <v>77</v>
      </c>
    </row>
    <row r="39">
      <c r="A39" s="74" t="s">
        <v>78</v>
      </c>
      <c r="B39" s="75">
        <f>(B28+B29)*SUMIF('Slot Selection'!K81:K116,TRUE,'Slot Selection'!$D$81:$D$116)</f>
        <v>0</v>
      </c>
      <c r="C39" s="75">
        <f>(C28+C29)*SUMIF('Slot Selection'!L81:L116,TRUE,'Slot Selection'!$D$81:$D$116)</f>
        <v>0</v>
      </c>
      <c r="D39" s="75">
        <f>(D28+D29)*SUMIF('Slot Selection'!M81:M116,TRUE,'Slot Selection'!$D$81:$D$116)</f>
        <v>0</v>
      </c>
      <c r="E39" s="75">
        <f>(E28+E29)*SUMIF('Slot Selection'!N81:N116,TRUE,'Slot Selection'!$D$81:$D$116)</f>
        <v>0</v>
      </c>
      <c r="F39" s="75">
        <f>(F28+F29)*SUMIF('Slot Selection'!O81:O116,TRUE,'Slot Selection'!$D$81:$D$116)</f>
        <v>0</v>
      </c>
      <c r="G39" s="75">
        <f>(G28+G29)*SUMIF('Slot Selection'!P81:P116,TRUE,'Slot Selection'!$D$81:$D$116)</f>
        <v>0</v>
      </c>
      <c r="H39" s="75">
        <f>(H28+H29)*SUMIF('Slot Selection'!Q81:Q116,TRUE,'Slot Selection'!$D$81:$D$116)</f>
        <v>0</v>
      </c>
      <c r="I39" s="75">
        <f>(I28+I29)*SUMIF('Slot Selection'!R81:R116,TRUE,'Slot Selection'!$D$81:$D$116)</f>
        <v>0</v>
      </c>
      <c r="J39" s="75">
        <f>(J28+J29)*SUMIF('Slot Selection'!S81:S116,TRUE,'Slot Selection'!$D$81:$D$116)</f>
        <v>0</v>
      </c>
      <c r="K39" s="75">
        <f>(K28+K29)*SUMIF('Slot Selection'!T81:T116,TRUE,'Slot Selection'!$D$81:$D$116)</f>
        <v>0</v>
      </c>
      <c r="L39" s="75">
        <f>(L28+L29)*SUMIF('Slot Selection'!U81:U116,TRUE,'Slot Selection'!$D$81:$D$116)</f>
        <v>0</v>
      </c>
      <c r="M39" s="75">
        <f>(M28+M29)*SUMIF('Slot Selection'!V81:V116,TRUE,'Slot Selection'!$D$81:$D$116)</f>
        <v>0</v>
      </c>
      <c r="N39" s="75">
        <f>(N28+N29)*SUMIF('Slot Selection'!W81:W116,TRUE,'Slot Selection'!$D$81:$D$116)</f>
        <v>0</v>
      </c>
      <c r="O39" s="75">
        <f>(O28+O29)*SUMIF('Slot Selection'!X81:X116,TRUE,'Slot Selection'!$E$81:$E$116)</f>
        <v>0</v>
      </c>
      <c r="P39" s="75">
        <f>(P28+P29)*SUMIF('Slot Selection'!Y81:Y116,TRUE,'Slot Selection'!$E$81:$E$116)</f>
        <v>0</v>
      </c>
      <c r="Q39" s="75">
        <f>(Q28+Q29)*SUMIF('Slot Selection'!Z81:Z116,TRUE,'Slot Selection'!$E$81:$E$116)</f>
        <v>0</v>
      </c>
      <c r="R39" s="75">
        <f>(R28+R29)*SUMIF('Slot Selection'!AA81:AA116,TRUE,'Slot Selection'!$D$81:$D$116)</f>
        <v>0</v>
      </c>
      <c r="S39" s="75">
        <f>(S28+S29)*SUMIF('Slot Selection'!AB81:AB116,TRUE,'Slot Selection'!$D$81:$D$116)</f>
        <v>808.23</v>
      </c>
      <c r="T39" s="75">
        <f>(T28+T29)*SUMIF('Slot Selection'!AC81:AC116,TRUE,'Slot Selection'!$E$81:$E$116)</f>
        <v>4402.494993</v>
      </c>
      <c r="U39" s="75">
        <f>(U28+U29)*SUMIF('Slot Selection'!AD81:AD116,TRUE,'Slot Selection'!$E$81:$E$116)</f>
        <v>5266.539809</v>
      </c>
      <c r="V39" s="75">
        <f>(V28+V29)*SUMIF('Slot Selection'!AE81:AE116,TRUE,'Slot Selection'!$E$81:$E$116)</f>
        <v>9809.144495</v>
      </c>
      <c r="W39" s="75">
        <f>(W28+W29)*SUMIF('Slot Selection'!AF81:AF116,TRUE,'Slot Selection'!$E$81:$E$116)</f>
        <v>12210.77601</v>
      </c>
      <c r="X39" s="75">
        <f>(X28+X29)*SUMIF('Slot Selection'!AG81:AG116,TRUE,'Slot Selection'!$F$81:$F$116)</f>
        <v>16563.72278</v>
      </c>
      <c r="Y39" s="75">
        <f>(Y28+Y29)*SUMIF('Slot Selection'!AH81:AH116,TRUE,'Slot Selection'!$F$81:$F$116)</f>
        <v>17913.41902</v>
      </c>
      <c r="Z39" s="75">
        <f>(Z28+Z29)*SUMIF('Slot Selection'!AI81:AI116,TRUE,'Slot Selection'!$F$81:$F$116)</f>
        <v>19619.66187</v>
      </c>
      <c r="AA39" s="75">
        <f>(AA28+AA29)*SUMIF('Slot Selection'!AJ81:AJ116,TRUE,'Slot Selection'!$F$81:$F$116)</f>
        <v>20880.67424</v>
      </c>
      <c r="AB39" s="75">
        <f>(AB28+AB29)*SUMIF('Slot Selection'!AK81:AK116,TRUE,'Slot Selection'!$F$81:$F$116)</f>
        <v>20320.8895</v>
      </c>
      <c r="AC39" s="75">
        <f>(AC28+AC29)*SUMIF('Slot Selection'!AL81:AL116,TRUE,'Slot Selection'!$F$81:$F$116)</f>
        <v>19248.71807</v>
      </c>
      <c r="AD39" s="75">
        <f>(AD28+AD29)*SUMIF('Slot Selection'!AM81:AM116,TRUE,'Slot Selection'!$F$81:$F$116)</f>
        <v>17504.5037</v>
      </c>
      <c r="AE39" s="75">
        <f>(AE28+AE29)*SUMIF('Slot Selection'!AN81:AN116,TRUE,'Slot Selection'!$F$81:$F$116)</f>
        <v>17345.78389</v>
      </c>
      <c r="AF39" s="75">
        <f t="shared" ref="AF39:BA39" si="15">(AF28+AF29)</f>
        <v>19951.97183</v>
      </c>
      <c r="AG39" s="75">
        <f t="shared" si="15"/>
        <v>22107.23885</v>
      </c>
      <c r="AH39" s="75">
        <f t="shared" si="15"/>
        <v>25337.5128</v>
      </c>
      <c r="AI39" s="75">
        <f t="shared" si="15"/>
        <v>28679.40613</v>
      </c>
      <c r="AJ39" s="75">
        <f t="shared" si="15"/>
        <v>30681.8383</v>
      </c>
      <c r="AK39" s="75">
        <f t="shared" si="15"/>
        <v>32703.72907</v>
      </c>
      <c r="AL39" s="75">
        <f t="shared" si="15"/>
        <v>35989.59058</v>
      </c>
      <c r="AM39" s="75">
        <f t="shared" si="15"/>
        <v>38834.7573</v>
      </c>
      <c r="AN39" s="75">
        <f t="shared" si="15"/>
        <v>40797.17578</v>
      </c>
      <c r="AO39" s="75">
        <f t="shared" si="15"/>
        <v>43395.48159</v>
      </c>
      <c r="AP39" s="75">
        <f t="shared" si="15"/>
        <v>44100.41549</v>
      </c>
      <c r="AQ39" s="75">
        <f t="shared" si="15"/>
        <v>42038.50566</v>
      </c>
      <c r="AR39" s="75">
        <f t="shared" si="15"/>
        <v>42770.30817</v>
      </c>
      <c r="AS39" s="75">
        <f t="shared" si="15"/>
        <v>42414.33599</v>
      </c>
      <c r="AT39" s="75">
        <f t="shared" si="15"/>
        <v>43942.8783</v>
      </c>
      <c r="AU39" s="75">
        <f t="shared" si="15"/>
        <v>43858.81184</v>
      </c>
      <c r="AV39" s="75">
        <f t="shared" si="15"/>
        <v>41598.07949</v>
      </c>
      <c r="AW39" s="75">
        <f t="shared" si="15"/>
        <v>42097.97437</v>
      </c>
      <c r="AX39" s="75">
        <f t="shared" si="15"/>
        <v>42177.76733</v>
      </c>
      <c r="AY39" s="75">
        <f t="shared" si="15"/>
        <v>37527.91849</v>
      </c>
      <c r="AZ39" s="75">
        <f t="shared" si="15"/>
        <v>31930.39668</v>
      </c>
      <c r="BA39" s="75">
        <f t="shared" si="15"/>
        <v>19085.24745</v>
      </c>
    </row>
    <row r="40">
      <c r="A40" s="74" t="s">
        <v>79</v>
      </c>
      <c r="B40" s="75">
        <f t="shared" ref="B40:BA40" si="16">(B28+B29)-B39</f>
        <v>12903</v>
      </c>
      <c r="C40" s="75">
        <f t="shared" si="16"/>
        <v>18804</v>
      </c>
      <c r="D40" s="75">
        <f t="shared" si="16"/>
        <v>29862</v>
      </c>
      <c r="E40" s="75">
        <f t="shared" si="16"/>
        <v>32924</v>
      </c>
      <c r="F40" s="75">
        <f t="shared" si="16"/>
        <v>32805</v>
      </c>
      <c r="G40" s="75">
        <f t="shared" si="16"/>
        <v>35147</v>
      </c>
      <c r="H40" s="75">
        <f t="shared" si="16"/>
        <v>34269</v>
      </c>
      <c r="I40" s="75">
        <f t="shared" si="16"/>
        <v>34740</v>
      </c>
      <c r="J40" s="75">
        <f t="shared" si="16"/>
        <v>33485</v>
      </c>
      <c r="K40" s="75">
        <f t="shared" si="16"/>
        <v>30306</v>
      </c>
      <c r="L40" s="75">
        <f t="shared" si="16"/>
        <v>30926</v>
      </c>
      <c r="M40" s="75">
        <f t="shared" si="16"/>
        <v>30034</v>
      </c>
      <c r="N40" s="75">
        <f t="shared" si="16"/>
        <v>29286</v>
      </c>
      <c r="O40" s="75">
        <f t="shared" si="16"/>
        <v>26728</v>
      </c>
      <c r="P40" s="75">
        <f t="shared" si="16"/>
        <v>25254</v>
      </c>
      <c r="Q40" s="75">
        <f t="shared" si="16"/>
        <v>24941</v>
      </c>
      <c r="R40" s="75">
        <f t="shared" si="16"/>
        <v>25463</v>
      </c>
      <c r="S40" s="75">
        <f t="shared" si="16"/>
        <v>26132.77</v>
      </c>
      <c r="T40" s="75">
        <f t="shared" si="16"/>
        <v>20344.52576</v>
      </c>
      <c r="U40" s="75">
        <f t="shared" si="16"/>
        <v>19872.07503</v>
      </c>
      <c r="V40" s="75">
        <f t="shared" si="16"/>
        <v>15144.16127</v>
      </c>
      <c r="W40" s="75">
        <f t="shared" si="16"/>
        <v>12862.68602</v>
      </c>
      <c r="X40" s="75">
        <f t="shared" si="16"/>
        <v>9698.72019</v>
      </c>
      <c r="Y40" s="75">
        <f t="shared" si="16"/>
        <v>8025.502238</v>
      </c>
      <c r="Z40" s="75">
        <f t="shared" si="16"/>
        <v>4843.75692</v>
      </c>
      <c r="AA40" s="75">
        <f t="shared" si="16"/>
        <v>3253.253453</v>
      </c>
      <c r="AB40" s="75">
        <f t="shared" si="16"/>
        <v>3166.0378</v>
      </c>
      <c r="AC40" s="75">
        <f t="shared" si="16"/>
        <v>2998.991211</v>
      </c>
      <c r="AD40" s="75">
        <f t="shared" si="16"/>
        <v>2727.238902</v>
      </c>
      <c r="AE40" s="75">
        <f t="shared" si="16"/>
        <v>2203.166735</v>
      </c>
      <c r="AF40" s="75">
        <f t="shared" si="16"/>
        <v>0</v>
      </c>
      <c r="AG40" s="75">
        <f t="shared" si="16"/>
        <v>0</v>
      </c>
      <c r="AH40" s="75">
        <f t="shared" si="16"/>
        <v>0</v>
      </c>
      <c r="AI40" s="75">
        <f t="shared" si="16"/>
        <v>0</v>
      </c>
      <c r="AJ40" s="75">
        <f t="shared" si="16"/>
        <v>0</v>
      </c>
      <c r="AK40" s="75">
        <f t="shared" si="16"/>
        <v>0</v>
      </c>
      <c r="AL40" s="75">
        <f t="shared" si="16"/>
        <v>0</v>
      </c>
      <c r="AM40" s="75">
        <f t="shared" si="16"/>
        <v>0</v>
      </c>
      <c r="AN40" s="75">
        <f t="shared" si="16"/>
        <v>0</v>
      </c>
      <c r="AO40" s="75">
        <f t="shared" si="16"/>
        <v>0</v>
      </c>
      <c r="AP40" s="75">
        <f t="shared" si="16"/>
        <v>0</v>
      </c>
      <c r="AQ40" s="75">
        <f t="shared" si="16"/>
        <v>0</v>
      </c>
      <c r="AR40" s="75">
        <f t="shared" si="16"/>
        <v>0</v>
      </c>
      <c r="AS40" s="75">
        <f t="shared" si="16"/>
        <v>0</v>
      </c>
      <c r="AT40" s="75">
        <f t="shared" si="16"/>
        <v>0</v>
      </c>
      <c r="AU40" s="75">
        <f t="shared" si="16"/>
        <v>0</v>
      </c>
      <c r="AV40" s="75">
        <f t="shared" si="16"/>
        <v>0</v>
      </c>
      <c r="AW40" s="75">
        <f t="shared" si="16"/>
        <v>0</v>
      </c>
      <c r="AX40" s="75">
        <f t="shared" si="16"/>
        <v>0</v>
      </c>
      <c r="AY40" s="75">
        <f t="shared" si="16"/>
        <v>0</v>
      </c>
      <c r="AZ40" s="75">
        <f t="shared" si="16"/>
        <v>0</v>
      </c>
      <c r="BA40" s="75">
        <f t="shared" si="16"/>
        <v>0</v>
      </c>
    </row>
    <row r="41">
      <c r="A41" s="69"/>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row>
    <row r="42">
      <c r="A42" s="76" t="s">
        <v>90</v>
      </c>
      <c r="B42" s="35" t="s">
        <v>15</v>
      </c>
      <c r="C42" s="34" t="s">
        <v>16</v>
      </c>
      <c r="D42" s="34" t="s">
        <v>17</v>
      </c>
      <c r="E42" s="34" t="s">
        <v>18</v>
      </c>
      <c r="F42" s="34" t="s">
        <v>19</v>
      </c>
      <c r="G42" s="34" t="s">
        <v>21</v>
      </c>
      <c r="H42" s="34" t="s">
        <v>22</v>
      </c>
      <c r="I42" s="34" t="s">
        <v>23</v>
      </c>
      <c r="J42" s="34" t="s">
        <v>24</v>
      </c>
      <c r="K42" s="34" t="s">
        <v>26</v>
      </c>
      <c r="L42" s="34" t="s">
        <v>27</v>
      </c>
      <c r="M42" s="34" t="s">
        <v>28</v>
      </c>
      <c r="N42" s="34" t="s">
        <v>29</v>
      </c>
      <c r="O42" s="34" t="s">
        <v>31</v>
      </c>
      <c r="P42" s="34" t="s">
        <v>32</v>
      </c>
      <c r="Q42" s="34" t="s">
        <v>33</v>
      </c>
      <c r="R42" s="34" t="s">
        <v>34</v>
      </c>
      <c r="S42" s="34" t="s">
        <v>35</v>
      </c>
      <c r="T42" s="34" t="s">
        <v>37</v>
      </c>
      <c r="U42" s="34" t="s">
        <v>38</v>
      </c>
      <c r="V42" s="34" t="s">
        <v>39</v>
      </c>
      <c r="W42" s="34" t="s">
        <v>40</v>
      </c>
      <c r="X42" s="34" t="s">
        <v>42</v>
      </c>
      <c r="Y42" s="34" t="s">
        <v>43</v>
      </c>
      <c r="Z42" s="34" t="s">
        <v>44</v>
      </c>
      <c r="AA42" s="34" t="s">
        <v>45</v>
      </c>
      <c r="AB42" s="34" t="s">
        <v>47</v>
      </c>
      <c r="AC42" s="34" t="s">
        <v>48</v>
      </c>
      <c r="AD42" s="34" t="s">
        <v>49</v>
      </c>
      <c r="AE42" s="34" t="s">
        <v>50</v>
      </c>
      <c r="AF42" s="34" t="s">
        <v>51</v>
      </c>
      <c r="AG42" s="34" t="s">
        <v>53</v>
      </c>
      <c r="AH42" s="34" t="s">
        <v>54</v>
      </c>
      <c r="AI42" s="34" t="s">
        <v>55</v>
      </c>
      <c r="AJ42" s="34" t="s">
        <v>56</v>
      </c>
      <c r="AK42" s="34" t="s">
        <v>58</v>
      </c>
      <c r="AL42" s="34" t="s">
        <v>59</v>
      </c>
      <c r="AM42" s="34" t="s">
        <v>60</v>
      </c>
      <c r="AN42" s="34" t="s">
        <v>61</v>
      </c>
      <c r="AO42" s="34" t="s">
        <v>63</v>
      </c>
      <c r="AP42" s="34" t="s">
        <v>64</v>
      </c>
      <c r="AQ42" s="34" t="s">
        <v>65</v>
      </c>
      <c r="AR42" s="34" t="s">
        <v>66</v>
      </c>
      <c r="AS42" s="34" t="s">
        <v>67</v>
      </c>
      <c r="AT42" s="34" t="s">
        <v>69</v>
      </c>
      <c r="AU42" s="34" t="s">
        <v>70</v>
      </c>
      <c r="AV42" s="34" t="s">
        <v>71</v>
      </c>
      <c r="AW42" s="34" t="s">
        <v>72</v>
      </c>
      <c r="AX42" s="34" t="s">
        <v>74</v>
      </c>
      <c r="AY42" s="34" t="s">
        <v>75</v>
      </c>
      <c r="AZ42" s="34" t="s">
        <v>76</v>
      </c>
      <c r="BA42" s="34" t="s">
        <v>77</v>
      </c>
    </row>
    <row r="43">
      <c r="A43" s="74" t="s">
        <v>78</v>
      </c>
      <c r="B43" s="75">
        <f>(B30)*SUMIF('Slot Selection'!K42:K71,TRUE,'Slot Selection'!$D$42:$D$77)</f>
        <v>0</v>
      </c>
      <c r="C43" s="75">
        <f>(C30)*SUMIF('Slot Selection'!L42:L71,TRUE,'Slot Selection'!$D$42:$D$77)</f>
        <v>0</v>
      </c>
      <c r="D43" s="75">
        <f>(D30)*SUMIF('Slot Selection'!M42:M71,TRUE,'Slot Selection'!$D$42:$D$77)</f>
        <v>0</v>
      </c>
      <c r="E43" s="75">
        <f>(E30)*SUMIF('Slot Selection'!N42:N71,TRUE,'Slot Selection'!$D$42:$D$77)</f>
        <v>0</v>
      </c>
      <c r="F43" s="75">
        <f>(F30)*SUMIF('Slot Selection'!O42:O71,TRUE,'Slot Selection'!$D$42:$D$77)</f>
        <v>0</v>
      </c>
      <c r="G43" s="75">
        <f>(G30)*SUMIF('Slot Selection'!P42:P71,TRUE,'Slot Selection'!$D$42:$D$77)</f>
        <v>0</v>
      </c>
      <c r="H43" s="75">
        <f>(H30)*SUMIF('Slot Selection'!Q42:Q71,TRUE,'Slot Selection'!$D$42:$D$77)</f>
        <v>0</v>
      </c>
      <c r="I43" s="75">
        <f>(I30)*SUMIF('Slot Selection'!R42:R71,TRUE,'Slot Selection'!$D$42:$D$77)</f>
        <v>0</v>
      </c>
      <c r="J43" s="75">
        <f>(J30)*SUMIF('Slot Selection'!S42:S71,TRUE,'Slot Selection'!$D$42:$D$77)</f>
        <v>0</v>
      </c>
      <c r="K43" s="75">
        <f>(K30)*SUMIF('Slot Selection'!T42:T71,TRUE,'Slot Selection'!$D$42:$D$77)</f>
        <v>0</v>
      </c>
      <c r="L43" s="75">
        <f>(L30)*SUMIF('Slot Selection'!U42:U71,TRUE,'Slot Selection'!$D$42:$D$77)</f>
        <v>0</v>
      </c>
      <c r="M43" s="75">
        <f>(M30)*SUMIF('Slot Selection'!V42:V71,TRUE,'Slot Selection'!$D$42:$D$77)</f>
        <v>0</v>
      </c>
      <c r="N43" s="75">
        <f>(N30)*SUMIF('Slot Selection'!W42:W71,TRUE,'Slot Selection'!$D$42:$D$77)</f>
        <v>0</v>
      </c>
      <c r="O43" s="75">
        <f>(O30)*SUMIF('Slot Selection'!X42:X71,TRUE,'Slot Selection'!$E$42:$E$77)</f>
        <v>0</v>
      </c>
      <c r="P43" s="75">
        <f>(P30)*SUMIF('Slot Selection'!Y42:Y71,TRUE,'Slot Selection'!$E$42:$E$77)</f>
        <v>0</v>
      </c>
      <c r="Q43" s="75">
        <f>(Q30)*SUMIF('Slot Selection'!Z42:Z71,TRUE,'Slot Selection'!$E$42:$E$77)</f>
        <v>0</v>
      </c>
      <c r="R43" s="75">
        <f>(R30)*SUMIF('Slot Selection'!AA42:AA71,TRUE,'Slot Selection'!$D$42:$D$77)</f>
        <v>0</v>
      </c>
      <c r="S43" s="75">
        <f>(S30)*SUMIF('Slot Selection'!AB42:AB71,TRUE,'Slot Selection'!$D$42:$D$77)</f>
        <v>662.67</v>
      </c>
      <c r="T43" s="75">
        <f>(T30)*SUMIF('Slot Selection'!AC42:AC71,TRUE,'Slot Selection'!$E$42:$E$77)</f>
        <v>3536.905543</v>
      </c>
      <c r="U43" s="75">
        <f>(U30)*SUMIF('Slot Selection'!AD42:AD71,TRUE,'Slot Selection'!$E$42:$E$77)</f>
        <v>4320.599891</v>
      </c>
      <c r="V43" s="75">
        <f>(V30)*SUMIF('Slot Selection'!AE42:AE71,TRUE,'Slot Selection'!$E$42:$E$77)</f>
        <v>7962.789228</v>
      </c>
      <c r="W43" s="75">
        <f>(W30)*SUMIF('Slot Selection'!AF42:AF71,TRUE,'Slot Selection'!$E$42:$E$77)</f>
        <v>9157.733888</v>
      </c>
      <c r="X43" s="75">
        <f>(X30)*SUMIF('Slot Selection'!AG42:AG71,TRUE,'Slot Selection'!$F$42:$F$77)</f>
        <v>12217.18046</v>
      </c>
      <c r="Y43" s="75">
        <f>(Y30)*SUMIF('Slot Selection'!AH42:AH71,TRUE,'Slot Selection'!$F$42:$F$77)</f>
        <v>12694.29318</v>
      </c>
      <c r="Z43" s="75">
        <f>(Z30)*SUMIF('Slot Selection'!AI42:AI71,TRUE,'Slot Selection'!$F$42:$F$77)</f>
        <v>15234.67659</v>
      </c>
      <c r="AA43" s="75">
        <f>(AA30)*SUMIF('Slot Selection'!AJ42:AJ71,TRUE,'Slot Selection'!$F$42:$F$77)</f>
        <v>15820.87866</v>
      </c>
      <c r="AB43" s="75">
        <f>(AB30)*SUMIF('Slot Selection'!AK42:AK71,TRUE,'Slot Selection'!$F$42:$F$77)</f>
        <v>16666.03613</v>
      </c>
      <c r="AC43" s="75">
        <f>(AC30)*SUMIF('Slot Selection'!AL42:AL71,TRUE,'Slot Selection'!$F$42:$F$77)</f>
        <v>15943.84123</v>
      </c>
      <c r="AD43" s="75">
        <f>(AD30)*SUMIF('Slot Selection'!AM42:AM71,TRUE,'Slot Selection'!$F$42:$F$77)</f>
        <v>15506.35778</v>
      </c>
      <c r="AE43" s="75">
        <f>(AE30)*SUMIF('Slot Selection'!AN42:AN71,TRUE,'Slot Selection'!$F$42:$F$77)</f>
        <v>14641.92434</v>
      </c>
      <c r="AF43" s="75">
        <f t="shared" ref="AF43:BA43" si="17">(AF30)</f>
        <v>16429.4267</v>
      </c>
      <c r="AG43" s="75">
        <f t="shared" si="17"/>
        <v>15819.4431</v>
      </c>
      <c r="AH43" s="75">
        <f t="shared" si="17"/>
        <v>16782.5751</v>
      </c>
      <c r="AI43" s="75">
        <f t="shared" si="17"/>
        <v>17938.3335</v>
      </c>
      <c r="AJ43" s="75">
        <f t="shared" si="17"/>
        <v>18588.4476</v>
      </c>
      <c r="AK43" s="75">
        <f t="shared" si="17"/>
        <v>18805.1523</v>
      </c>
      <c r="AL43" s="75">
        <f t="shared" si="17"/>
        <v>20899.9644</v>
      </c>
      <c r="AM43" s="75">
        <f t="shared" si="17"/>
        <v>23725.1516</v>
      </c>
      <c r="AN43" s="75">
        <f t="shared" si="17"/>
        <v>26132.9816</v>
      </c>
      <c r="AO43" s="75">
        <f t="shared" si="17"/>
        <v>28488.9905</v>
      </c>
      <c r="AP43" s="75">
        <f t="shared" si="17"/>
        <v>30561.656</v>
      </c>
      <c r="AQ43" s="75">
        <f t="shared" si="17"/>
        <v>29374.9534</v>
      </c>
      <c r="AR43" s="75">
        <f t="shared" si="17"/>
        <v>29188.0071</v>
      </c>
      <c r="AS43" s="75">
        <f t="shared" si="17"/>
        <v>29057.9575</v>
      </c>
      <c r="AT43" s="75">
        <f t="shared" si="17"/>
        <v>28399.5814</v>
      </c>
      <c r="AU43" s="75">
        <f t="shared" si="17"/>
        <v>30838.0114</v>
      </c>
      <c r="AV43" s="75">
        <f t="shared" si="17"/>
        <v>27603.0276</v>
      </c>
      <c r="AW43" s="75">
        <f t="shared" si="17"/>
        <v>27976.9202</v>
      </c>
      <c r="AX43" s="75">
        <f t="shared" si="17"/>
        <v>26554.5027</v>
      </c>
      <c r="AY43" s="75">
        <f t="shared" si="17"/>
        <v>25042.6761</v>
      </c>
      <c r="AZ43" s="75">
        <f t="shared" si="17"/>
        <v>22709.9114</v>
      </c>
      <c r="BA43" s="75">
        <f t="shared" si="17"/>
        <v>14663.0924</v>
      </c>
    </row>
    <row r="44">
      <c r="A44" s="74" t="s">
        <v>79</v>
      </c>
      <c r="B44" s="75">
        <f t="shared" ref="B44:BA44" si="18">B30-B43</f>
        <v>13120</v>
      </c>
      <c r="C44" s="75">
        <f t="shared" si="18"/>
        <v>18009</v>
      </c>
      <c r="D44" s="75">
        <f t="shared" si="18"/>
        <v>23886</v>
      </c>
      <c r="E44" s="75">
        <f t="shared" si="18"/>
        <v>26001</v>
      </c>
      <c r="F44" s="75">
        <f t="shared" si="18"/>
        <v>26398</v>
      </c>
      <c r="G44" s="75">
        <f t="shared" si="18"/>
        <v>28331</v>
      </c>
      <c r="H44" s="75">
        <f t="shared" si="18"/>
        <v>28372</v>
      </c>
      <c r="I44" s="75">
        <f t="shared" si="18"/>
        <v>27692</v>
      </c>
      <c r="J44" s="75">
        <f t="shared" si="18"/>
        <v>26774</v>
      </c>
      <c r="K44" s="75">
        <f t="shared" si="18"/>
        <v>27372</v>
      </c>
      <c r="L44" s="75">
        <f t="shared" si="18"/>
        <v>26621</v>
      </c>
      <c r="M44" s="75">
        <f t="shared" si="18"/>
        <v>25038</v>
      </c>
      <c r="N44" s="75">
        <f t="shared" si="18"/>
        <v>23649</v>
      </c>
      <c r="O44" s="75">
        <f t="shared" si="18"/>
        <v>22044</v>
      </c>
      <c r="P44" s="75">
        <f t="shared" si="18"/>
        <v>20744</v>
      </c>
      <c r="Q44" s="75">
        <f t="shared" si="18"/>
        <v>20643</v>
      </c>
      <c r="R44" s="75">
        <f t="shared" si="18"/>
        <v>21910</v>
      </c>
      <c r="S44" s="75">
        <f t="shared" si="18"/>
        <v>21426.33</v>
      </c>
      <c r="T44" s="75">
        <f t="shared" si="18"/>
        <v>16344.51966</v>
      </c>
      <c r="U44" s="75">
        <f t="shared" si="18"/>
        <v>16302.78861</v>
      </c>
      <c r="V44" s="75">
        <f t="shared" si="18"/>
        <v>12293.60667</v>
      </c>
      <c r="W44" s="75">
        <f t="shared" si="18"/>
        <v>9646.647812</v>
      </c>
      <c r="X44" s="75">
        <f t="shared" si="18"/>
        <v>7153.646337</v>
      </c>
      <c r="Y44" s="75">
        <f t="shared" si="18"/>
        <v>5687.249219</v>
      </c>
      <c r="Z44" s="75">
        <f t="shared" si="18"/>
        <v>3761.179508</v>
      </c>
      <c r="AA44" s="75">
        <f t="shared" si="18"/>
        <v>2464.926541</v>
      </c>
      <c r="AB44" s="75">
        <f t="shared" si="18"/>
        <v>2596.603872</v>
      </c>
      <c r="AC44" s="75">
        <f t="shared" si="18"/>
        <v>2484.084371</v>
      </c>
      <c r="AD44" s="75">
        <f t="shared" si="18"/>
        <v>2415.923519</v>
      </c>
      <c r="AE44" s="75">
        <f t="shared" si="18"/>
        <v>1859.737262</v>
      </c>
      <c r="AF44" s="75">
        <f t="shared" si="18"/>
        <v>0</v>
      </c>
      <c r="AG44" s="75">
        <f t="shared" si="18"/>
        <v>0</v>
      </c>
      <c r="AH44" s="75">
        <f t="shared" si="18"/>
        <v>0</v>
      </c>
      <c r="AI44" s="75">
        <f t="shared" si="18"/>
        <v>0</v>
      </c>
      <c r="AJ44" s="75">
        <f t="shared" si="18"/>
        <v>0</v>
      </c>
      <c r="AK44" s="75">
        <f t="shared" si="18"/>
        <v>0</v>
      </c>
      <c r="AL44" s="75">
        <f t="shared" si="18"/>
        <v>0</v>
      </c>
      <c r="AM44" s="75">
        <f t="shared" si="18"/>
        <v>0</v>
      </c>
      <c r="AN44" s="75">
        <f t="shared" si="18"/>
        <v>0</v>
      </c>
      <c r="AO44" s="75">
        <f t="shared" si="18"/>
        <v>0</v>
      </c>
      <c r="AP44" s="75">
        <f t="shared" si="18"/>
        <v>0</v>
      </c>
      <c r="AQ44" s="75">
        <f t="shared" si="18"/>
        <v>0</v>
      </c>
      <c r="AR44" s="75">
        <f t="shared" si="18"/>
        <v>0</v>
      </c>
      <c r="AS44" s="75">
        <f t="shared" si="18"/>
        <v>0</v>
      </c>
      <c r="AT44" s="75">
        <f t="shared" si="18"/>
        <v>0</v>
      </c>
      <c r="AU44" s="75">
        <f t="shared" si="18"/>
        <v>0</v>
      </c>
      <c r="AV44" s="75">
        <f t="shared" si="18"/>
        <v>0</v>
      </c>
      <c r="AW44" s="75">
        <f t="shared" si="18"/>
        <v>0</v>
      </c>
      <c r="AX44" s="75">
        <f t="shared" si="18"/>
        <v>0</v>
      </c>
      <c r="AY44" s="75">
        <f t="shared" si="18"/>
        <v>0</v>
      </c>
      <c r="AZ44" s="75">
        <f t="shared" si="18"/>
        <v>0</v>
      </c>
      <c r="BA44" s="75">
        <f t="shared" si="18"/>
        <v>0</v>
      </c>
    </row>
    <row r="45">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row>
  </sheetData>
  <conditionalFormatting sqref="B6:BA6">
    <cfRule type="expression" dxfId="0" priority="1">
      <formula>B6&gt;B7</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0" topLeftCell="K1" activePane="topRight" state="frozen"/>
      <selection activeCell="L2" sqref="L2" pane="topRight"/>
    </sheetView>
  </sheetViews>
  <sheetFormatPr customHeight="1" defaultColWidth="12.63" defaultRowHeight="15.75" outlineLevelCol="1" outlineLevelRow="1"/>
  <cols>
    <col customWidth="1" min="1" max="1" width="7.38"/>
    <col customWidth="1" hidden="1" min="2" max="3" width="14.75"/>
    <col customWidth="1" min="4" max="7" width="5.25"/>
    <col customWidth="1" hidden="1" min="8" max="9" width="5.25"/>
    <col collapsed="1" customWidth="1" hidden="1" min="10" max="10" width="5.25"/>
    <col customWidth="1" hidden="1" min="11" max="26" width="8.75" outlineLevel="1"/>
    <col customWidth="1" min="27" max="36" width="8.75"/>
    <col customWidth="1" min="37" max="62" width="8.75" outlineLevel="1"/>
  </cols>
  <sheetData>
    <row r="1">
      <c r="A1" s="77" t="s">
        <v>91</v>
      </c>
      <c r="B1" s="34"/>
      <c r="C1" s="34"/>
      <c r="D1" s="78"/>
      <c r="E1" s="78"/>
      <c r="F1" s="78"/>
      <c r="G1" s="78"/>
      <c r="H1" s="78"/>
      <c r="I1" s="78"/>
      <c r="J1" s="78"/>
      <c r="K1" s="79" t="s">
        <v>14</v>
      </c>
      <c r="L1" s="79" t="s">
        <v>14</v>
      </c>
      <c r="M1" s="79" t="s">
        <v>14</v>
      </c>
      <c r="N1" s="79" t="s">
        <v>14</v>
      </c>
      <c r="O1" s="79" t="s">
        <v>14</v>
      </c>
      <c r="P1" s="79" t="s">
        <v>20</v>
      </c>
      <c r="Q1" s="79" t="s">
        <v>20</v>
      </c>
      <c r="R1" s="79" t="s">
        <v>20</v>
      </c>
      <c r="S1" s="79" t="s">
        <v>20</v>
      </c>
      <c r="T1" s="79" t="s">
        <v>25</v>
      </c>
      <c r="U1" s="79" t="s">
        <v>25</v>
      </c>
      <c r="V1" s="79" t="s">
        <v>25</v>
      </c>
      <c r="W1" s="79" t="s">
        <v>25</v>
      </c>
      <c r="X1" s="79" t="s">
        <v>30</v>
      </c>
      <c r="Y1" s="79" t="s">
        <v>30</v>
      </c>
      <c r="Z1" s="79" t="s">
        <v>30</v>
      </c>
      <c r="AA1" s="79" t="s">
        <v>30</v>
      </c>
      <c r="AB1" s="79" t="s">
        <v>30</v>
      </c>
      <c r="AC1" s="79" t="s">
        <v>36</v>
      </c>
      <c r="AD1" s="79" t="s">
        <v>36</v>
      </c>
      <c r="AE1" s="79" t="s">
        <v>36</v>
      </c>
      <c r="AF1" s="79" t="s">
        <v>36</v>
      </c>
      <c r="AG1" s="79" t="s">
        <v>41</v>
      </c>
      <c r="AH1" s="79" t="s">
        <v>41</v>
      </c>
      <c r="AI1" s="79" t="s">
        <v>41</v>
      </c>
      <c r="AJ1" s="79" t="s">
        <v>41</v>
      </c>
      <c r="AK1" s="80" t="s">
        <v>46</v>
      </c>
      <c r="AL1" s="79" t="s">
        <v>46</v>
      </c>
      <c r="AM1" s="79" t="s">
        <v>46</v>
      </c>
      <c r="AN1" s="79" t="s">
        <v>46</v>
      </c>
      <c r="AO1" s="79" t="s">
        <v>46</v>
      </c>
      <c r="AP1" s="79" t="s">
        <v>52</v>
      </c>
      <c r="AQ1" s="79" t="s">
        <v>52</v>
      </c>
      <c r="AR1" s="79" t="s">
        <v>52</v>
      </c>
      <c r="AS1" s="79" t="s">
        <v>52</v>
      </c>
      <c r="AT1" s="79" t="s">
        <v>57</v>
      </c>
      <c r="AU1" s="79" t="s">
        <v>57</v>
      </c>
      <c r="AV1" s="79" t="s">
        <v>57</v>
      </c>
      <c r="AW1" s="79" t="s">
        <v>57</v>
      </c>
      <c r="AX1" s="79" t="s">
        <v>62</v>
      </c>
      <c r="AY1" s="79" t="s">
        <v>62</v>
      </c>
      <c r="AZ1" s="79" t="s">
        <v>62</v>
      </c>
      <c r="BA1" s="79" t="s">
        <v>62</v>
      </c>
      <c r="BB1" s="79" t="s">
        <v>62</v>
      </c>
      <c r="BC1" s="79" t="s">
        <v>68</v>
      </c>
      <c r="BD1" s="79" t="s">
        <v>68</v>
      </c>
      <c r="BE1" s="79" t="s">
        <v>68</v>
      </c>
      <c r="BF1" s="79" t="s">
        <v>68</v>
      </c>
      <c r="BG1" s="79" t="s">
        <v>73</v>
      </c>
      <c r="BH1" s="79" t="s">
        <v>73</v>
      </c>
      <c r="BI1" s="79" t="s">
        <v>73</v>
      </c>
      <c r="BJ1" s="79" t="s">
        <v>73</v>
      </c>
    </row>
    <row r="2">
      <c r="A2" s="34" t="s">
        <v>92</v>
      </c>
      <c r="B2" s="34" t="s">
        <v>93</v>
      </c>
      <c r="C2" s="34" t="s">
        <v>94</v>
      </c>
      <c r="D2" s="78">
        <v>18.0</v>
      </c>
      <c r="E2" s="78">
        <v>21.0</v>
      </c>
      <c r="F2" s="78">
        <v>24.0</v>
      </c>
      <c r="G2" s="78">
        <v>27.0</v>
      </c>
      <c r="H2" s="78">
        <v>30.0</v>
      </c>
      <c r="I2" s="78">
        <v>33.0</v>
      </c>
      <c r="J2" s="78">
        <v>36.0</v>
      </c>
      <c r="K2" s="34" t="s">
        <v>15</v>
      </c>
      <c r="L2" s="34" t="s">
        <v>16</v>
      </c>
      <c r="M2" s="34" t="s">
        <v>17</v>
      </c>
      <c r="N2" s="34" t="s">
        <v>18</v>
      </c>
      <c r="O2" s="34" t="s">
        <v>19</v>
      </c>
      <c r="P2" s="34" t="s">
        <v>21</v>
      </c>
      <c r="Q2" s="34" t="s">
        <v>22</v>
      </c>
      <c r="R2" s="34" t="s">
        <v>23</v>
      </c>
      <c r="S2" s="34" t="s">
        <v>24</v>
      </c>
      <c r="T2" s="34" t="s">
        <v>26</v>
      </c>
      <c r="U2" s="34" t="s">
        <v>27</v>
      </c>
      <c r="V2" s="34" t="s">
        <v>28</v>
      </c>
      <c r="W2" s="34" t="s">
        <v>29</v>
      </c>
      <c r="X2" s="34" t="s">
        <v>31</v>
      </c>
      <c r="Y2" s="34" t="s">
        <v>32</v>
      </c>
      <c r="Z2" s="34" t="s">
        <v>33</v>
      </c>
      <c r="AA2" s="34" t="s">
        <v>34</v>
      </c>
      <c r="AB2" s="34" t="s">
        <v>35</v>
      </c>
      <c r="AC2" s="34" t="s">
        <v>37</v>
      </c>
      <c r="AD2" s="34" t="s">
        <v>38</v>
      </c>
      <c r="AE2" s="34" t="s">
        <v>39</v>
      </c>
      <c r="AF2" s="34" t="s">
        <v>40</v>
      </c>
      <c r="AG2" s="34" t="s">
        <v>42</v>
      </c>
      <c r="AH2" s="34" t="s">
        <v>43</v>
      </c>
      <c r="AI2" s="34" t="s">
        <v>44</v>
      </c>
      <c r="AJ2" s="34" t="s">
        <v>45</v>
      </c>
      <c r="AK2" s="81" t="s">
        <v>47</v>
      </c>
      <c r="AL2" s="34" t="s">
        <v>48</v>
      </c>
      <c r="AM2" s="34" t="s">
        <v>49</v>
      </c>
      <c r="AN2" s="34" t="s">
        <v>50</v>
      </c>
      <c r="AO2" s="34" t="s">
        <v>51</v>
      </c>
      <c r="AP2" s="34" t="s">
        <v>53</v>
      </c>
      <c r="AQ2" s="34" t="s">
        <v>54</v>
      </c>
      <c r="AR2" s="34" t="s">
        <v>55</v>
      </c>
      <c r="AS2" s="34" t="s">
        <v>56</v>
      </c>
      <c r="AT2" s="34" t="s">
        <v>58</v>
      </c>
      <c r="AU2" s="34" t="s">
        <v>59</v>
      </c>
      <c r="AV2" s="34" t="s">
        <v>60</v>
      </c>
      <c r="AW2" s="34" t="s">
        <v>61</v>
      </c>
      <c r="AX2" s="34" t="s">
        <v>63</v>
      </c>
      <c r="AY2" s="34" t="s">
        <v>64</v>
      </c>
      <c r="AZ2" s="34" t="s">
        <v>65</v>
      </c>
      <c r="BA2" s="34" t="s">
        <v>66</v>
      </c>
      <c r="BB2" s="34" t="s">
        <v>67</v>
      </c>
      <c r="BC2" s="34" t="s">
        <v>69</v>
      </c>
      <c r="BD2" s="34" t="s">
        <v>70</v>
      </c>
      <c r="BE2" s="34" t="s">
        <v>71</v>
      </c>
      <c r="BF2" s="34" t="s">
        <v>72</v>
      </c>
      <c r="BG2" s="34" t="s">
        <v>74</v>
      </c>
      <c r="BH2" s="34" t="s">
        <v>75</v>
      </c>
      <c r="BI2" s="34" t="s">
        <v>76</v>
      </c>
      <c r="BJ2" s="34" t="s">
        <v>77</v>
      </c>
    </row>
    <row r="3" outlineLevel="1">
      <c r="A3" s="82">
        <v>1.0</v>
      </c>
      <c r="B3" s="82" t="s">
        <v>95</v>
      </c>
      <c r="C3" s="82" t="s">
        <v>96</v>
      </c>
      <c r="D3" s="83">
        <v>0.1193</v>
      </c>
      <c r="E3" s="83">
        <v>0.1114</v>
      </c>
      <c r="F3" s="83">
        <v>0.1114</v>
      </c>
      <c r="G3" s="83">
        <v>0.1114</v>
      </c>
      <c r="H3" s="83">
        <v>0.0798</v>
      </c>
      <c r="I3" s="83">
        <v>0.0692</v>
      </c>
      <c r="J3" s="83">
        <v>0.0602</v>
      </c>
      <c r="K3" s="84" t="b">
        <v>0</v>
      </c>
      <c r="L3" s="84" t="b">
        <v>0</v>
      </c>
      <c r="M3" s="84" t="b">
        <v>0</v>
      </c>
      <c r="N3" s="84" t="b">
        <v>0</v>
      </c>
      <c r="O3" s="84" t="b">
        <v>0</v>
      </c>
      <c r="P3" s="84" t="b">
        <v>0</v>
      </c>
      <c r="Q3" s="84" t="b">
        <v>0</v>
      </c>
      <c r="R3" s="84" t="b">
        <v>0</v>
      </c>
      <c r="S3" s="85" t="b">
        <v>0</v>
      </c>
      <c r="T3" s="85" t="b">
        <v>0</v>
      </c>
      <c r="U3" s="85" t="b">
        <v>0</v>
      </c>
      <c r="V3" s="84" t="b">
        <v>0</v>
      </c>
      <c r="W3" s="82" t="b">
        <v>0</v>
      </c>
      <c r="X3" s="82" t="b">
        <v>0</v>
      </c>
      <c r="Y3" s="82" t="b">
        <v>0</v>
      </c>
      <c r="Z3" s="82" t="b">
        <v>0</v>
      </c>
      <c r="AA3" s="82" t="b">
        <v>0</v>
      </c>
      <c r="AB3" s="82" t="b">
        <v>0</v>
      </c>
      <c r="AC3" s="82" t="b">
        <v>0</v>
      </c>
      <c r="AD3" s="82" t="b">
        <v>0</v>
      </c>
      <c r="AE3" s="82" t="b">
        <v>0</v>
      </c>
      <c r="AF3" s="82" t="b">
        <v>0</v>
      </c>
      <c r="AG3" s="82" t="b">
        <v>0</v>
      </c>
      <c r="AH3" s="82" t="b">
        <v>0</v>
      </c>
      <c r="AI3" s="82" t="b">
        <v>1</v>
      </c>
      <c r="AJ3" s="82" t="b">
        <v>1</v>
      </c>
      <c r="AK3" s="82" t="b">
        <v>1</v>
      </c>
      <c r="AL3" s="82" t="b">
        <v>1</v>
      </c>
      <c r="AM3" s="82" t="b">
        <v>1</v>
      </c>
      <c r="AN3" s="82" t="b">
        <v>1</v>
      </c>
      <c r="AO3" s="82" t="b">
        <v>1</v>
      </c>
      <c r="AP3" s="82" t="b">
        <v>1</v>
      </c>
      <c r="AQ3" s="82" t="b">
        <v>1</v>
      </c>
      <c r="AR3" s="82" t="b">
        <v>1</v>
      </c>
      <c r="AS3" s="82" t="b">
        <v>1</v>
      </c>
      <c r="AT3" s="82" t="b">
        <v>1</v>
      </c>
      <c r="AU3" s="82" t="b">
        <v>1</v>
      </c>
      <c r="AV3" s="82" t="b">
        <v>1</v>
      </c>
      <c r="AW3" s="82" t="b">
        <v>1</v>
      </c>
      <c r="AX3" s="82" t="b">
        <v>1</v>
      </c>
      <c r="AY3" s="82" t="b">
        <v>1</v>
      </c>
      <c r="AZ3" s="82" t="b">
        <v>1</v>
      </c>
      <c r="BA3" s="82" t="b">
        <v>1</v>
      </c>
      <c r="BB3" s="82" t="b">
        <v>1</v>
      </c>
      <c r="BC3" s="82" t="b">
        <v>1</v>
      </c>
      <c r="BD3" s="82" t="b">
        <v>1</v>
      </c>
      <c r="BE3" s="82" t="b">
        <v>1</v>
      </c>
      <c r="BF3" s="82" t="b">
        <v>1</v>
      </c>
      <c r="BG3" s="82" t="b">
        <v>1</v>
      </c>
      <c r="BH3" s="82" t="b">
        <v>1</v>
      </c>
      <c r="BI3" s="82" t="b">
        <v>1</v>
      </c>
      <c r="BJ3" s="82" t="b">
        <v>1</v>
      </c>
    </row>
    <row r="4" outlineLevel="1">
      <c r="A4" s="82">
        <v>2.0</v>
      </c>
      <c r="B4" s="82" t="s">
        <v>95</v>
      </c>
      <c r="C4" s="82" t="s">
        <v>97</v>
      </c>
      <c r="D4" s="83">
        <v>0.1033</v>
      </c>
      <c r="E4" s="83">
        <v>0.0964</v>
      </c>
      <c r="F4" s="83">
        <v>0.0964</v>
      </c>
      <c r="G4" s="83">
        <v>0.0964</v>
      </c>
      <c r="H4" s="83">
        <v>0.0632</v>
      </c>
      <c r="I4" s="83">
        <v>0.0574</v>
      </c>
      <c r="J4" s="83">
        <v>0.0463</v>
      </c>
      <c r="K4" s="84" t="b">
        <v>0</v>
      </c>
      <c r="L4" s="84" t="b">
        <v>0</v>
      </c>
      <c r="M4" s="84" t="b">
        <v>0</v>
      </c>
      <c r="N4" s="84" t="b">
        <v>0</v>
      </c>
      <c r="O4" s="84" t="b">
        <v>0</v>
      </c>
      <c r="P4" s="84" t="b">
        <v>0</v>
      </c>
      <c r="Q4" s="84" t="b">
        <v>0</v>
      </c>
      <c r="R4" s="84" t="b">
        <v>0</v>
      </c>
      <c r="S4" s="85" t="b">
        <v>0</v>
      </c>
      <c r="T4" s="85" t="b">
        <v>0</v>
      </c>
      <c r="U4" s="85" t="b">
        <v>0</v>
      </c>
      <c r="V4" s="84" t="b">
        <v>0</v>
      </c>
      <c r="W4" s="82" t="b">
        <v>0</v>
      </c>
      <c r="X4" s="82" t="b">
        <v>0</v>
      </c>
      <c r="Y4" s="82" t="b">
        <v>0</v>
      </c>
      <c r="Z4" s="82" t="b">
        <v>0</v>
      </c>
      <c r="AA4" s="82" t="b">
        <v>0</v>
      </c>
      <c r="AB4" s="82" t="b">
        <v>0</v>
      </c>
      <c r="AC4" s="82" t="b">
        <v>0</v>
      </c>
      <c r="AD4" s="82" t="b">
        <v>0</v>
      </c>
      <c r="AE4" s="82" t="b">
        <v>1</v>
      </c>
      <c r="AF4" s="82" t="b">
        <v>0</v>
      </c>
      <c r="AG4" s="82" t="b">
        <v>1</v>
      </c>
      <c r="AH4" s="82" t="b">
        <v>1</v>
      </c>
      <c r="AI4" s="82" t="b">
        <v>1</v>
      </c>
      <c r="AJ4" s="82" t="b">
        <v>1</v>
      </c>
      <c r="AK4" s="82" t="b">
        <v>1</v>
      </c>
      <c r="AL4" s="82" t="b">
        <v>1</v>
      </c>
      <c r="AM4" s="82" t="b">
        <v>1</v>
      </c>
      <c r="AN4" s="82" t="b">
        <v>1</v>
      </c>
      <c r="AO4" s="82" t="b">
        <v>1</v>
      </c>
      <c r="AP4" s="82" t="b">
        <v>1</v>
      </c>
      <c r="AQ4" s="82" t="b">
        <v>1</v>
      </c>
      <c r="AR4" s="82" t="b">
        <v>1</v>
      </c>
      <c r="AS4" s="82" t="b">
        <v>1</v>
      </c>
      <c r="AT4" s="82" t="b">
        <v>1</v>
      </c>
      <c r="AU4" s="82" t="b">
        <v>1</v>
      </c>
      <c r="AV4" s="82" t="b">
        <v>1</v>
      </c>
      <c r="AW4" s="82" t="b">
        <v>1</v>
      </c>
      <c r="AX4" s="82" t="b">
        <v>1</v>
      </c>
      <c r="AY4" s="82" t="b">
        <v>1</v>
      </c>
      <c r="AZ4" s="82" t="b">
        <v>1</v>
      </c>
      <c r="BA4" s="82" t="b">
        <v>1</v>
      </c>
      <c r="BB4" s="82" t="b">
        <v>1</v>
      </c>
      <c r="BC4" s="82" t="b">
        <v>1</v>
      </c>
      <c r="BD4" s="82" t="b">
        <v>1</v>
      </c>
      <c r="BE4" s="82" t="b">
        <v>1</v>
      </c>
      <c r="BF4" s="82" t="b">
        <v>1</v>
      </c>
      <c r="BG4" s="82" t="b">
        <v>1</v>
      </c>
      <c r="BH4" s="82" t="b">
        <v>1</v>
      </c>
      <c r="BI4" s="82" t="b">
        <v>1</v>
      </c>
      <c r="BJ4" s="82" t="b">
        <v>1</v>
      </c>
    </row>
    <row r="5" outlineLevel="1">
      <c r="A5" s="82">
        <v>3.0</v>
      </c>
      <c r="B5" s="82" t="s">
        <v>98</v>
      </c>
      <c r="C5" s="82" t="s">
        <v>99</v>
      </c>
      <c r="D5" s="83">
        <v>0.097</v>
      </c>
      <c r="E5" s="83">
        <v>0.0808</v>
      </c>
      <c r="F5" s="83">
        <v>0.0673</v>
      </c>
      <c r="G5" s="83">
        <v>0.0673</v>
      </c>
      <c r="H5" s="83">
        <v>0.0525</v>
      </c>
      <c r="I5" s="83">
        <v>0.0412</v>
      </c>
      <c r="J5" s="83">
        <v>0.0324</v>
      </c>
      <c r="K5" s="84" t="b">
        <v>0</v>
      </c>
      <c r="L5" s="84" t="b">
        <v>0</v>
      </c>
      <c r="M5" s="84" t="b">
        <v>0</v>
      </c>
      <c r="N5" s="84" t="b">
        <v>0</v>
      </c>
      <c r="O5" s="84" t="b">
        <v>0</v>
      </c>
      <c r="P5" s="84" t="b">
        <v>0</v>
      </c>
      <c r="Q5" s="84" t="b">
        <v>0</v>
      </c>
      <c r="R5" s="84" t="b">
        <v>0</v>
      </c>
      <c r="S5" s="85" t="b">
        <v>0</v>
      </c>
      <c r="T5" s="85" t="b">
        <v>0</v>
      </c>
      <c r="U5" s="85" t="b">
        <v>0</v>
      </c>
      <c r="V5" s="84" t="b">
        <v>0</v>
      </c>
      <c r="W5" s="84" t="b">
        <v>0</v>
      </c>
      <c r="X5" s="84" t="b">
        <v>0</v>
      </c>
      <c r="Y5" s="84" t="b">
        <v>0</v>
      </c>
      <c r="Z5" s="84" t="b">
        <v>0</v>
      </c>
      <c r="AA5" s="84" t="b">
        <v>0</v>
      </c>
      <c r="AB5" s="82" t="b">
        <v>0</v>
      </c>
      <c r="AC5" s="82" t="b">
        <v>0</v>
      </c>
      <c r="AD5" s="82" t="b">
        <v>0</v>
      </c>
      <c r="AE5" s="82" t="b">
        <v>0</v>
      </c>
      <c r="AF5" s="82" t="b">
        <v>1</v>
      </c>
      <c r="AG5" s="82" t="b">
        <v>1</v>
      </c>
      <c r="AH5" s="82" t="b">
        <v>1</v>
      </c>
      <c r="AI5" s="82" t="b">
        <v>1</v>
      </c>
      <c r="AJ5" s="82" t="b">
        <v>1</v>
      </c>
      <c r="AK5" s="82" t="b">
        <v>1</v>
      </c>
      <c r="AL5" s="82" t="b">
        <v>1</v>
      </c>
      <c r="AM5" s="82" t="b">
        <v>1</v>
      </c>
      <c r="AN5" s="82" t="b">
        <v>1</v>
      </c>
      <c r="AO5" s="82" t="b">
        <v>1</v>
      </c>
      <c r="AP5" s="82" t="b">
        <v>1</v>
      </c>
      <c r="AQ5" s="82" t="b">
        <v>1</v>
      </c>
      <c r="AR5" s="82" t="b">
        <v>1</v>
      </c>
      <c r="AS5" s="82" t="b">
        <v>1</v>
      </c>
      <c r="AT5" s="82" t="b">
        <v>1</v>
      </c>
      <c r="AU5" s="82" t="b">
        <v>1</v>
      </c>
      <c r="AV5" s="82" t="b">
        <v>1</v>
      </c>
      <c r="AW5" s="82" t="b">
        <v>1</v>
      </c>
      <c r="AX5" s="82" t="b">
        <v>1</v>
      </c>
      <c r="AY5" s="82" t="b">
        <v>1</v>
      </c>
      <c r="AZ5" s="82" t="b">
        <v>1</v>
      </c>
      <c r="BA5" s="82" t="b">
        <v>1</v>
      </c>
      <c r="BB5" s="82" t="b">
        <v>1</v>
      </c>
      <c r="BC5" s="82" t="b">
        <v>1</v>
      </c>
      <c r="BD5" s="82" t="b">
        <v>1</v>
      </c>
      <c r="BE5" s="82" t="b">
        <v>1</v>
      </c>
      <c r="BF5" s="82" t="b">
        <v>1</v>
      </c>
      <c r="BG5" s="82" t="b">
        <v>1</v>
      </c>
      <c r="BH5" s="82" t="b">
        <v>1</v>
      </c>
      <c r="BI5" s="82" t="b">
        <v>1</v>
      </c>
      <c r="BJ5" s="82" t="b">
        <v>1</v>
      </c>
    </row>
    <row r="6" outlineLevel="1">
      <c r="A6" s="82">
        <v>4.0</v>
      </c>
      <c r="B6" s="82" t="s">
        <v>100</v>
      </c>
      <c r="C6" s="82" t="s">
        <v>101</v>
      </c>
      <c r="D6" s="83">
        <v>0.0825</v>
      </c>
      <c r="E6" s="83">
        <v>0.0632</v>
      </c>
      <c r="F6" s="83">
        <v>0.0519</v>
      </c>
      <c r="G6" s="83">
        <v>0.0366</v>
      </c>
      <c r="H6" s="83">
        <v>0.0578</v>
      </c>
      <c r="I6" s="83">
        <v>0.0435</v>
      </c>
      <c r="J6" s="83">
        <v>0.0417</v>
      </c>
      <c r="K6" s="84" t="b">
        <v>0</v>
      </c>
      <c r="L6" s="84" t="b">
        <v>0</v>
      </c>
      <c r="M6" s="84" t="b">
        <v>0</v>
      </c>
      <c r="N6" s="84" t="b">
        <v>0</v>
      </c>
      <c r="O6" s="84" t="b">
        <v>0</v>
      </c>
      <c r="P6" s="84" t="b">
        <v>0</v>
      </c>
      <c r="Q6" s="84" t="b">
        <v>0</v>
      </c>
      <c r="R6" s="84" t="b">
        <v>0</v>
      </c>
      <c r="S6" s="85" t="b">
        <v>0</v>
      </c>
      <c r="T6" s="85" t="b">
        <v>0</v>
      </c>
      <c r="U6" s="85" t="b">
        <v>0</v>
      </c>
      <c r="V6" s="84" t="b">
        <v>0</v>
      </c>
      <c r="W6" s="84" t="b">
        <v>0</v>
      </c>
      <c r="X6" s="84" t="b">
        <v>0</v>
      </c>
      <c r="Y6" s="84" t="b">
        <v>0</v>
      </c>
      <c r="Z6" s="84" t="b">
        <v>0</v>
      </c>
      <c r="AA6" s="82" t="b">
        <v>0</v>
      </c>
      <c r="AB6" s="82" t="b">
        <v>0</v>
      </c>
      <c r="AC6" s="82" t="b">
        <v>0</v>
      </c>
      <c r="AD6" s="82" t="b">
        <v>0</v>
      </c>
      <c r="AE6" s="82" t="b">
        <v>0</v>
      </c>
      <c r="AF6" s="82" t="b">
        <v>1</v>
      </c>
      <c r="AG6" s="82" t="b">
        <v>1</v>
      </c>
      <c r="AH6" s="82" t="b">
        <v>1</v>
      </c>
      <c r="AI6" s="82" t="b">
        <v>1</v>
      </c>
      <c r="AJ6" s="82" t="b">
        <v>1</v>
      </c>
      <c r="AK6" s="82" t="b">
        <v>1</v>
      </c>
      <c r="AL6" s="82" t="b">
        <v>1</v>
      </c>
      <c r="AM6" s="82" t="b">
        <v>1</v>
      </c>
      <c r="AN6" s="82" t="b">
        <v>1</v>
      </c>
      <c r="AO6" s="82" t="b">
        <v>1</v>
      </c>
      <c r="AP6" s="82" t="b">
        <v>1</v>
      </c>
      <c r="AQ6" s="82" t="b">
        <v>1</v>
      </c>
      <c r="AR6" s="82" t="b">
        <v>1</v>
      </c>
      <c r="AS6" s="82" t="b">
        <v>1</v>
      </c>
      <c r="AT6" s="82" t="b">
        <v>1</v>
      </c>
      <c r="AU6" s="82" t="b">
        <v>1</v>
      </c>
      <c r="AV6" s="82" t="b">
        <v>1</v>
      </c>
      <c r="AW6" s="82" t="b">
        <v>1</v>
      </c>
      <c r="AX6" s="82" t="b">
        <v>1</v>
      </c>
      <c r="AY6" s="82" t="b">
        <v>1</v>
      </c>
      <c r="AZ6" s="82" t="b">
        <v>1</v>
      </c>
      <c r="BA6" s="82" t="b">
        <v>1</v>
      </c>
      <c r="BB6" s="82" t="b">
        <v>1</v>
      </c>
      <c r="BC6" s="82" t="b">
        <v>1</v>
      </c>
      <c r="BD6" s="82" t="b">
        <v>1</v>
      </c>
      <c r="BE6" s="82" t="b">
        <v>1</v>
      </c>
      <c r="BF6" s="82" t="b">
        <v>1</v>
      </c>
      <c r="BG6" s="82" t="b">
        <v>1</v>
      </c>
      <c r="BH6" s="82" t="b">
        <v>1</v>
      </c>
      <c r="BI6" s="82" t="b">
        <v>1</v>
      </c>
      <c r="BJ6" s="82" t="b">
        <v>1</v>
      </c>
    </row>
    <row r="7" outlineLevel="1">
      <c r="A7" s="82">
        <v>5.0</v>
      </c>
      <c r="B7" s="82" t="s">
        <v>95</v>
      </c>
      <c r="C7" s="82" t="s">
        <v>97</v>
      </c>
      <c r="D7" s="83">
        <v>0.0976</v>
      </c>
      <c r="E7" s="83">
        <v>0.0911</v>
      </c>
      <c r="F7" s="83">
        <v>0.0911</v>
      </c>
      <c r="G7" s="83">
        <v>0.0911</v>
      </c>
      <c r="H7" s="83">
        <v>0.0592</v>
      </c>
      <c r="I7" s="83">
        <v>0.0489</v>
      </c>
      <c r="J7" s="83">
        <v>0.037</v>
      </c>
      <c r="K7" s="84" t="b">
        <v>0</v>
      </c>
      <c r="L7" s="84" t="b">
        <v>0</v>
      </c>
      <c r="M7" s="84" t="b">
        <v>0</v>
      </c>
      <c r="N7" s="84" t="b">
        <v>0</v>
      </c>
      <c r="O7" s="84" t="b">
        <v>0</v>
      </c>
      <c r="P7" s="84" t="b">
        <v>0</v>
      </c>
      <c r="Q7" s="84" t="b">
        <v>0</v>
      </c>
      <c r="R7" s="84" t="b">
        <v>0</v>
      </c>
      <c r="S7" s="85" t="b">
        <v>0</v>
      </c>
      <c r="T7" s="85" t="b">
        <v>0</v>
      </c>
      <c r="U7" s="85" t="b">
        <v>0</v>
      </c>
      <c r="V7" s="84" t="b">
        <v>0</v>
      </c>
      <c r="W7" s="84" t="b">
        <v>0</v>
      </c>
      <c r="X7" s="84" t="b">
        <v>0</v>
      </c>
      <c r="Y7" s="84" t="b">
        <v>0</v>
      </c>
      <c r="Z7" s="84" t="b">
        <v>0</v>
      </c>
      <c r="AA7" s="84" t="b">
        <v>0</v>
      </c>
      <c r="AB7" s="82" t="b">
        <v>0</v>
      </c>
      <c r="AC7" s="82" t="b">
        <v>0</v>
      </c>
      <c r="AD7" s="82" t="b">
        <v>0</v>
      </c>
      <c r="AE7" s="82" t="b">
        <v>0</v>
      </c>
      <c r="AF7" s="82" t="b">
        <v>0</v>
      </c>
      <c r="AG7" s="82" t="b">
        <v>0</v>
      </c>
      <c r="AH7" s="82" t="b">
        <v>0</v>
      </c>
      <c r="AI7" s="82" t="b">
        <v>0</v>
      </c>
      <c r="AJ7" s="82" t="b">
        <v>0</v>
      </c>
      <c r="AK7" s="82" t="b">
        <v>0</v>
      </c>
      <c r="AL7" s="82" t="b">
        <v>0</v>
      </c>
      <c r="AM7" s="82" t="b">
        <v>0</v>
      </c>
      <c r="AN7" s="82" t="b">
        <v>0</v>
      </c>
      <c r="AO7" s="82" t="b">
        <v>1</v>
      </c>
      <c r="AP7" s="82" t="b">
        <v>1</v>
      </c>
      <c r="AQ7" s="82" t="b">
        <v>1</v>
      </c>
      <c r="AR7" s="82" t="b">
        <v>1</v>
      </c>
      <c r="AS7" s="82" t="b">
        <v>1</v>
      </c>
      <c r="AT7" s="82" t="b">
        <v>1</v>
      </c>
      <c r="AU7" s="82" t="b">
        <v>1</v>
      </c>
      <c r="AV7" s="82" t="b">
        <v>1</v>
      </c>
      <c r="AW7" s="82" t="b">
        <v>1</v>
      </c>
      <c r="AX7" s="82" t="b">
        <v>1</v>
      </c>
      <c r="AY7" s="82" t="b">
        <v>1</v>
      </c>
      <c r="AZ7" s="82" t="b">
        <v>1</v>
      </c>
      <c r="BA7" s="82" t="b">
        <v>1</v>
      </c>
      <c r="BB7" s="82" t="b">
        <v>1</v>
      </c>
      <c r="BC7" s="82" t="b">
        <v>1</v>
      </c>
      <c r="BD7" s="82" t="b">
        <v>1</v>
      </c>
      <c r="BE7" s="82" t="b">
        <v>1</v>
      </c>
      <c r="BF7" s="82" t="b">
        <v>1</v>
      </c>
      <c r="BG7" s="82" t="b">
        <v>1</v>
      </c>
      <c r="BH7" s="82" t="b">
        <v>1</v>
      </c>
      <c r="BI7" s="82" t="b">
        <v>1</v>
      </c>
      <c r="BJ7" s="82" t="b">
        <v>1</v>
      </c>
    </row>
    <row r="8" outlineLevel="1">
      <c r="A8" s="82">
        <v>6.0</v>
      </c>
      <c r="B8" s="82" t="s">
        <v>102</v>
      </c>
      <c r="C8" s="82" t="s">
        <v>99</v>
      </c>
      <c r="D8" s="83">
        <v>0.0739</v>
      </c>
      <c r="E8" s="83">
        <v>0.0566</v>
      </c>
      <c r="F8" s="83">
        <v>0.0465</v>
      </c>
      <c r="G8" s="83">
        <v>0.0328</v>
      </c>
      <c r="H8" s="83">
        <v>0.046</v>
      </c>
      <c r="I8" s="83">
        <v>0.0399</v>
      </c>
      <c r="J8" s="83">
        <v>0.037</v>
      </c>
      <c r="K8" s="84" t="b">
        <v>0</v>
      </c>
      <c r="L8" s="84" t="b">
        <v>0</v>
      </c>
      <c r="M8" s="84" t="b">
        <v>0</v>
      </c>
      <c r="N8" s="84" t="b">
        <v>0</v>
      </c>
      <c r="O8" s="84" t="b">
        <v>0</v>
      </c>
      <c r="P8" s="84" t="b">
        <v>0</v>
      </c>
      <c r="Q8" s="84" t="b">
        <v>0</v>
      </c>
      <c r="R8" s="84" t="b">
        <v>0</v>
      </c>
      <c r="S8" s="85" t="b">
        <v>0</v>
      </c>
      <c r="T8" s="85" t="b">
        <v>0</v>
      </c>
      <c r="U8" s="85" t="b">
        <v>0</v>
      </c>
      <c r="V8" s="84" t="b">
        <v>0</v>
      </c>
      <c r="W8" s="84" t="b">
        <v>0</v>
      </c>
      <c r="X8" s="84" t="b">
        <v>0</v>
      </c>
      <c r="Y8" s="84" t="b">
        <v>0</v>
      </c>
      <c r="Z8" s="84" t="b">
        <v>0</v>
      </c>
      <c r="AA8" s="82" t="b">
        <v>0</v>
      </c>
      <c r="AB8" s="82" t="b">
        <v>0</v>
      </c>
      <c r="AC8" s="82" t="b">
        <v>0</v>
      </c>
      <c r="AD8" s="82" t="b">
        <v>1</v>
      </c>
      <c r="AE8" s="82" t="b">
        <v>0</v>
      </c>
      <c r="AF8" s="82" t="b">
        <v>1</v>
      </c>
      <c r="AG8" s="82" t="b">
        <v>1</v>
      </c>
      <c r="AH8" s="82" t="b">
        <v>1</v>
      </c>
      <c r="AI8" s="82" t="b">
        <v>1</v>
      </c>
      <c r="AJ8" s="82" t="b">
        <v>1</v>
      </c>
      <c r="AK8" s="82" t="b">
        <v>1</v>
      </c>
      <c r="AL8" s="82" t="b">
        <v>1</v>
      </c>
      <c r="AM8" s="82" t="b">
        <v>1</v>
      </c>
      <c r="AN8" s="82" t="b">
        <v>1</v>
      </c>
      <c r="AO8" s="82" t="b">
        <v>1</v>
      </c>
      <c r="AP8" s="82" t="b">
        <v>1</v>
      </c>
      <c r="AQ8" s="82" t="b">
        <v>1</v>
      </c>
      <c r="AR8" s="82" t="b">
        <v>1</v>
      </c>
      <c r="AS8" s="82" t="b">
        <v>1</v>
      </c>
      <c r="AT8" s="82" t="b">
        <v>1</v>
      </c>
      <c r="AU8" s="82" t="b">
        <v>1</v>
      </c>
      <c r="AV8" s="82" t="b">
        <v>1</v>
      </c>
      <c r="AW8" s="82" t="b">
        <v>1</v>
      </c>
      <c r="AX8" s="82" t="b">
        <v>1</v>
      </c>
      <c r="AY8" s="82" t="b">
        <v>1</v>
      </c>
      <c r="AZ8" s="82" t="b">
        <v>1</v>
      </c>
      <c r="BA8" s="82" t="b">
        <v>1</v>
      </c>
      <c r="BB8" s="82" t="b">
        <v>1</v>
      </c>
      <c r="BC8" s="82" t="b">
        <v>1</v>
      </c>
      <c r="BD8" s="82" t="b">
        <v>1</v>
      </c>
      <c r="BE8" s="82" t="b">
        <v>1</v>
      </c>
      <c r="BF8" s="82" t="b">
        <v>1</v>
      </c>
      <c r="BG8" s="82" t="b">
        <v>1</v>
      </c>
      <c r="BH8" s="82" t="b">
        <v>1</v>
      </c>
      <c r="BI8" s="82" t="b">
        <v>1</v>
      </c>
      <c r="BJ8" s="82" t="b">
        <v>1</v>
      </c>
    </row>
    <row r="9" outlineLevel="1">
      <c r="A9" s="82">
        <v>7.0</v>
      </c>
      <c r="B9" s="82" t="s">
        <v>95</v>
      </c>
      <c r="C9" s="82" t="s">
        <v>99</v>
      </c>
      <c r="D9" s="83">
        <v>0.0622</v>
      </c>
      <c r="E9" s="83">
        <v>0.0581</v>
      </c>
      <c r="F9" s="83">
        <v>0.0581</v>
      </c>
      <c r="G9" s="83">
        <v>0.0581</v>
      </c>
      <c r="H9" s="83">
        <v>0.0402</v>
      </c>
      <c r="I9" s="83">
        <v>0.0376</v>
      </c>
      <c r="J9" s="83">
        <v>0.0324</v>
      </c>
      <c r="K9" s="84" t="b">
        <v>0</v>
      </c>
      <c r="L9" s="84" t="b">
        <v>0</v>
      </c>
      <c r="M9" s="84" t="b">
        <v>0</v>
      </c>
      <c r="N9" s="84" t="b">
        <v>0</v>
      </c>
      <c r="O9" s="84" t="b">
        <v>0</v>
      </c>
      <c r="P9" s="84" t="b">
        <v>0</v>
      </c>
      <c r="Q9" s="84" t="b">
        <v>0</v>
      </c>
      <c r="R9" s="84" t="b">
        <v>0</v>
      </c>
      <c r="S9" s="85" t="b">
        <v>0</v>
      </c>
      <c r="T9" s="85" t="b">
        <v>0</v>
      </c>
      <c r="U9" s="85" t="b">
        <v>0</v>
      </c>
      <c r="V9" s="84" t="b">
        <v>0</v>
      </c>
      <c r="W9" s="82" t="b">
        <v>0</v>
      </c>
      <c r="X9" s="82" t="b">
        <v>0</v>
      </c>
      <c r="Y9" s="82" t="b">
        <v>0</v>
      </c>
      <c r="Z9" s="82" t="b">
        <v>0</v>
      </c>
      <c r="AA9" s="82" t="b">
        <v>0</v>
      </c>
      <c r="AB9" s="82" t="b">
        <v>0</v>
      </c>
      <c r="AC9" s="82" t="b">
        <v>0</v>
      </c>
      <c r="AD9" s="82" t="b">
        <v>1</v>
      </c>
      <c r="AE9" s="82" t="b">
        <v>0</v>
      </c>
      <c r="AF9" s="82" t="b">
        <v>1</v>
      </c>
      <c r="AG9" s="82" t="b">
        <v>1</v>
      </c>
      <c r="AH9" s="82" t="b">
        <v>1</v>
      </c>
      <c r="AI9" s="82" t="b">
        <v>1</v>
      </c>
      <c r="AJ9" s="82" t="b">
        <v>1</v>
      </c>
      <c r="AK9" s="82" t="b">
        <v>1</v>
      </c>
      <c r="AL9" s="82" t="b">
        <v>1</v>
      </c>
      <c r="AM9" s="82" t="b">
        <v>1</v>
      </c>
      <c r="AN9" s="82" t="b">
        <v>1</v>
      </c>
      <c r="AO9" s="82" t="b">
        <v>1</v>
      </c>
      <c r="AP9" s="82" t="b">
        <v>1</v>
      </c>
      <c r="AQ9" s="82" t="b">
        <v>1</v>
      </c>
      <c r="AR9" s="82" t="b">
        <v>1</v>
      </c>
      <c r="AS9" s="82" t="b">
        <v>1</v>
      </c>
      <c r="AT9" s="82" t="b">
        <v>1</v>
      </c>
      <c r="AU9" s="82" t="b">
        <v>1</v>
      </c>
      <c r="AV9" s="82" t="b">
        <v>1</v>
      </c>
      <c r="AW9" s="82" t="b">
        <v>1</v>
      </c>
      <c r="AX9" s="82" t="b">
        <v>1</v>
      </c>
      <c r="AY9" s="82" t="b">
        <v>1</v>
      </c>
      <c r="AZ9" s="82" t="b">
        <v>1</v>
      </c>
      <c r="BA9" s="82" t="b">
        <v>1</v>
      </c>
      <c r="BB9" s="82" t="b">
        <v>1</v>
      </c>
      <c r="BC9" s="82" t="b">
        <v>1</v>
      </c>
      <c r="BD9" s="82" t="b">
        <v>1</v>
      </c>
      <c r="BE9" s="82" t="b">
        <v>1</v>
      </c>
      <c r="BF9" s="82" t="b">
        <v>1</v>
      </c>
      <c r="BG9" s="82" t="b">
        <v>1</v>
      </c>
      <c r="BH9" s="82" t="b">
        <v>1</v>
      </c>
      <c r="BI9" s="82" t="b">
        <v>1</v>
      </c>
      <c r="BJ9" s="82" t="b">
        <v>1</v>
      </c>
    </row>
    <row r="10" outlineLevel="1">
      <c r="A10" s="82">
        <v>8.0</v>
      </c>
      <c r="B10" s="82" t="s">
        <v>95</v>
      </c>
      <c r="C10" s="82" t="s">
        <v>99</v>
      </c>
      <c r="D10" s="83">
        <v>0.0677</v>
      </c>
      <c r="E10" s="83">
        <v>0.0632</v>
      </c>
      <c r="F10" s="83">
        <v>0.0632</v>
      </c>
      <c r="G10" s="83">
        <v>0.0632</v>
      </c>
      <c r="H10" s="83">
        <v>0.0451</v>
      </c>
      <c r="I10" s="83">
        <v>0.0388</v>
      </c>
      <c r="J10" s="83">
        <v>0.0324</v>
      </c>
      <c r="K10" s="84" t="b">
        <v>0</v>
      </c>
      <c r="L10" s="84" t="b">
        <v>0</v>
      </c>
      <c r="M10" s="84" t="b">
        <v>0</v>
      </c>
      <c r="N10" s="84" t="b">
        <v>0</v>
      </c>
      <c r="O10" s="84" t="b">
        <v>0</v>
      </c>
      <c r="P10" s="84" t="b">
        <v>0</v>
      </c>
      <c r="Q10" s="84" t="b">
        <v>0</v>
      </c>
      <c r="R10" s="84" t="b">
        <v>0</v>
      </c>
      <c r="S10" s="85" t="b">
        <v>0</v>
      </c>
      <c r="T10" s="85" t="b">
        <v>0</v>
      </c>
      <c r="U10" s="85" t="b">
        <v>0</v>
      </c>
      <c r="V10" s="84" t="b">
        <v>0</v>
      </c>
      <c r="W10" s="84" t="b">
        <v>0</v>
      </c>
      <c r="X10" s="84" t="b">
        <v>0</v>
      </c>
      <c r="Y10" s="84" t="b">
        <v>0</v>
      </c>
      <c r="Z10" s="84" t="b">
        <v>0</v>
      </c>
      <c r="AA10" s="84" t="b">
        <v>0</v>
      </c>
      <c r="AB10" s="82" t="b">
        <v>0</v>
      </c>
      <c r="AC10" s="82" t="b">
        <v>0</v>
      </c>
      <c r="AD10" s="82" t="b">
        <v>0</v>
      </c>
      <c r="AE10" s="85" t="b">
        <v>0</v>
      </c>
      <c r="AF10" s="85" t="b">
        <v>0</v>
      </c>
      <c r="AG10" s="85" t="b">
        <v>0</v>
      </c>
      <c r="AH10" s="85" t="b">
        <v>0</v>
      </c>
      <c r="AI10" s="85" t="b">
        <v>0</v>
      </c>
      <c r="AJ10" s="82" t="b">
        <v>1</v>
      </c>
      <c r="AK10" s="82" t="b">
        <v>1</v>
      </c>
      <c r="AL10" s="82" t="b">
        <v>1</v>
      </c>
      <c r="AM10" s="82" t="b">
        <v>1</v>
      </c>
      <c r="AN10" s="82" t="b">
        <v>1</v>
      </c>
      <c r="AO10" s="82" t="b">
        <v>1</v>
      </c>
      <c r="AP10" s="82" t="b">
        <v>1</v>
      </c>
      <c r="AQ10" s="82" t="b">
        <v>1</v>
      </c>
      <c r="AR10" s="82" t="b">
        <v>1</v>
      </c>
      <c r="AS10" s="82" t="b">
        <v>1</v>
      </c>
      <c r="AT10" s="82" t="b">
        <v>1</v>
      </c>
      <c r="AU10" s="82" t="b">
        <v>1</v>
      </c>
      <c r="AV10" s="82" t="b">
        <v>1</v>
      </c>
      <c r="AW10" s="82" t="b">
        <v>1</v>
      </c>
      <c r="AX10" s="82" t="b">
        <v>1</v>
      </c>
      <c r="AY10" s="82" t="b">
        <v>1</v>
      </c>
      <c r="AZ10" s="82" t="b">
        <v>1</v>
      </c>
      <c r="BA10" s="82" t="b">
        <v>1</v>
      </c>
      <c r="BB10" s="82" t="b">
        <v>1</v>
      </c>
      <c r="BC10" s="82" t="b">
        <v>1</v>
      </c>
      <c r="BD10" s="82" t="b">
        <v>1</v>
      </c>
      <c r="BE10" s="82" t="b">
        <v>1</v>
      </c>
      <c r="BF10" s="82" t="b">
        <v>1</v>
      </c>
      <c r="BG10" s="82" t="b">
        <v>1</v>
      </c>
      <c r="BH10" s="82" t="b">
        <v>1</v>
      </c>
      <c r="BI10" s="82" t="b">
        <v>1</v>
      </c>
      <c r="BJ10" s="82" t="b">
        <v>1</v>
      </c>
    </row>
    <row r="11" outlineLevel="1">
      <c r="A11" s="82">
        <v>9.0</v>
      </c>
      <c r="B11" s="82" t="s">
        <v>103</v>
      </c>
      <c r="C11" s="82" t="s">
        <v>104</v>
      </c>
      <c r="D11" s="83">
        <v>0.0166</v>
      </c>
      <c r="E11" s="83">
        <v>0.0166</v>
      </c>
      <c r="F11" s="83">
        <v>0.0166</v>
      </c>
      <c r="G11" s="83">
        <v>0.0093</v>
      </c>
      <c r="H11" s="83">
        <v>0.0154</v>
      </c>
      <c r="I11" s="83">
        <v>0.0159</v>
      </c>
      <c r="J11" s="83">
        <v>0.0162</v>
      </c>
      <c r="K11" s="84" t="b">
        <v>0</v>
      </c>
      <c r="L11" s="84" t="b">
        <v>0</v>
      </c>
      <c r="M11" s="84" t="b">
        <v>0</v>
      </c>
      <c r="N11" s="84" t="b">
        <v>0</v>
      </c>
      <c r="O11" s="84" t="b">
        <v>0</v>
      </c>
      <c r="P11" s="84" t="b">
        <v>0</v>
      </c>
      <c r="Q11" s="84" t="b">
        <v>0</v>
      </c>
      <c r="R11" s="84" t="b">
        <v>0</v>
      </c>
      <c r="S11" s="85" t="b">
        <v>0</v>
      </c>
      <c r="T11" s="85" t="b">
        <v>0</v>
      </c>
      <c r="U11" s="85" t="b">
        <v>0</v>
      </c>
      <c r="V11" s="84" t="b">
        <v>0</v>
      </c>
      <c r="W11" s="84" t="b">
        <v>0</v>
      </c>
      <c r="X11" s="84" t="b">
        <v>0</v>
      </c>
      <c r="Y11" s="84" t="b">
        <v>0</v>
      </c>
      <c r="Z11" s="84" t="b">
        <v>0</v>
      </c>
      <c r="AA11" s="84" t="b">
        <v>0</v>
      </c>
      <c r="AB11" s="82" t="b">
        <v>0</v>
      </c>
      <c r="AC11" s="82" t="b">
        <v>0</v>
      </c>
      <c r="AD11" s="82" t="b">
        <v>0</v>
      </c>
      <c r="AE11" s="82" t="b">
        <v>1</v>
      </c>
      <c r="AF11" s="82" t="b">
        <v>1</v>
      </c>
      <c r="AG11" s="82" t="b">
        <v>1</v>
      </c>
      <c r="AH11" s="82" t="b">
        <v>1</v>
      </c>
      <c r="AI11" s="82" t="b">
        <v>1</v>
      </c>
      <c r="AJ11" s="82" t="b">
        <v>1</v>
      </c>
      <c r="AK11" s="82" t="b">
        <v>1</v>
      </c>
      <c r="AL11" s="82" t="b">
        <v>1</v>
      </c>
      <c r="AM11" s="82" t="b">
        <v>1</v>
      </c>
      <c r="AN11" s="82" t="b">
        <v>1</v>
      </c>
      <c r="AO11" s="82" t="b">
        <v>1</v>
      </c>
      <c r="AP11" s="82" t="b">
        <v>1</v>
      </c>
      <c r="AQ11" s="82" t="b">
        <v>1</v>
      </c>
      <c r="AR11" s="82" t="b">
        <v>1</v>
      </c>
      <c r="AS11" s="82" t="b">
        <v>1</v>
      </c>
      <c r="AT11" s="82" t="b">
        <v>1</v>
      </c>
      <c r="AU11" s="82" t="b">
        <v>1</v>
      </c>
      <c r="AV11" s="82" t="b">
        <v>1</v>
      </c>
      <c r="AW11" s="82" t="b">
        <v>1</v>
      </c>
      <c r="AX11" s="82" t="b">
        <v>1</v>
      </c>
      <c r="AY11" s="82" t="b">
        <v>1</v>
      </c>
      <c r="AZ11" s="82" t="b">
        <v>1</v>
      </c>
      <c r="BA11" s="82" t="b">
        <v>1</v>
      </c>
      <c r="BB11" s="82" t="b">
        <v>1</v>
      </c>
      <c r="BC11" s="82" t="b">
        <v>1</v>
      </c>
      <c r="BD11" s="82" t="b">
        <v>1</v>
      </c>
      <c r="BE11" s="82" t="b">
        <v>1</v>
      </c>
      <c r="BF11" s="82" t="b">
        <v>1</v>
      </c>
      <c r="BG11" s="82" t="b">
        <v>1</v>
      </c>
      <c r="BH11" s="82" t="b">
        <v>1</v>
      </c>
      <c r="BI11" s="82" t="b">
        <v>1</v>
      </c>
      <c r="BJ11" s="82" t="b">
        <v>1</v>
      </c>
    </row>
    <row r="12" outlineLevel="1">
      <c r="A12" s="82">
        <v>10.0</v>
      </c>
      <c r="B12" s="82" t="s">
        <v>103</v>
      </c>
      <c r="C12" s="82" t="s">
        <v>104</v>
      </c>
      <c r="D12" s="83">
        <v>0.0211</v>
      </c>
      <c r="E12" s="83">
        <v>0.0211</v>
      </c>
      <c r="F12" s="83">
        <v>0.0211</v>
      </c>
      <c r="G12" s="83">
        <v>0.0118</v>
      </c>
      <c r="H12" s="83">
        <v>0.0162</v>
      </c>
      <c r="I12" s="83">
        <v>0.017</v>
      </c>
      <c r="J12" s="83">
        <v>0.0162</v>
      </c>
      <c r="K12" s="84" t="b">
        <v>0</v>
      </c>
      <c r="L12" s="84" t="b">
        <v>0</v>
      </c>
      <c r="M12" s="82" t="b">
        <v>0</v>
      </c>
      <c r="N12" s="84" t="b">
        <v>0</v>
      </c>
      <c r="O12" s="84" t="b">
        <v>0</v>
      </c>
      <c r="P12" s="84" t="b">
        <v>0</v>
      </c>
      <c r="Q12" s="84" t="b">
        <v>0</v>
      </c>
      <c r="R12" s="84" t="b">
        <v>0</v>
      </c>
      <c r="S12" s="85" t="b">
        <v>0</v>
      </c>
      <c r="T12" s="85" t="b">
        <v>0</v>
      </c>
      <c r="U12" s="85" t="b">
        <v>0</v>
      </c>
      <c r="V12" s="84" t="b">
        <v>0</v>
      </c>
      <c r="W12" s="84" t="b">
        <v>0</v>
      </c>
      <c r="X12" s="84" t="b">
        <v>0</v>
      </c>
      <c r="Y12" s="84" t="b">
        <v>0</v>
      </c>
      <c r="Z12" s="84" t="b">
        <v>0</v>
      </c>
      <c r="AA12" s="84" t="b">
        <v>0</v>
      </c>
      <c r="AB12" s="82" t="b">
        <v>0</v>
      </c>
      <c r="AC12" s="82" t="b">
        <v>0</v>
      </c>
      <c r="AD12" s="82" t="b">
        <v>0</v>
      </c>
      <c r="AE12" s="82" t="b">
        <v>0</v>
      </c>
      <c r="AF12" s="82" t="b">
        <v>1</v>
      </c>
      <c r="AG12" s="82" t="b">
        <v>1</v>
      </c>
      <c r="AH12" s="82" t="b">
        <v>1</v>
      </c>
      <c r="AI12" s="82" t="b">
        <v>1</v>
      </c>
      <c r="AJ12" s="82" t="b">
        <v>1</v>
      </c>
      <c r="AK12" s="82" t="b">
        <v>1</v>
      </c>
      <c r="AL12" s="82" t="b">
        <v>1</v>
      </c>
      <c r="AM12" s="82" t="b">
        <v>1</v>
      </c>
      <c r="AN12" s="82" t="b">
        <v>1</v>
      </c>
      <c r="AO12" s="82" t="b">
        <v>1</v>
      </c>
      <c r="AP12" s="82" t="b">
        <v>1</v>
      </c>
      <c r="AQ12" s="82" t="b">
        <v>1</v>
      </c>
      <c r="AR12" s="82" t="b">
        <v>1</v>
      </c>
      <c r="AS12" s="82" t="b">
        <v>1</v>
      </c>
      <c r="AT12" s="82" t="b">
        <v>1</v>
      </c>
      <c r="AU12" s="82" t="b">
        <v>1</v>
      </c>
      <c r="AV12" s="82" t="b">
        <v>1</v>
      </c>
      <c r="AW12" s="82" t="b">
        <v>1</v>
      </c>
      <c r="AX12" s="82" t="b">
        <v>1</v>
      </c>
      <c r="AY12" s="82" t="b">
        <v>1</v>
      </c>
      <c r="AZ12" s="82" t="b">
        <v>1</v>
      </c>
      <c r="BA12" s="82" t="b">
        <v>1</v>
      </c>
      <c r="BB12" s="82" t="b">
        <v>1</v>
      </c>
      <c r="BC12" s="82" t="b">
        <v>1</v>
      </c>
      <c r="BD12" s="82" t="b">
        <v>1</v>
      </c>
      <c r="BE12" s="82" t="b">
        <v>1</v>
      </c>
      <c r="BF12" s="82" t="b">
        <v>1</v>
      </c>
      <c r="BG12" s="82" t="b">
        <v>1</v>
      </c>
      <c r="BH12" s="82" t="b">
        <v>1</v>
      </c>
      <c r="BI12" s="82" t="b">
        <v>1</v>
      </c>
      <c r="BJ12" s="82" t="b">
        <v>1</v>
      </c>
    </row>
    <row r="13" outlineLevel="1">
      <c r="A13" s="82">
        <v>11.0</v>
      </c>
      <c r="B13" s="82" t="s">
        <v>105</v>
      </c>
      <c r="C13" s="82" t="s">
        <v>106</v>
      </c>
      <c r="D13" s="83">
        <v>0.0215</v>
      </c>
      <c r="E13" s="83">
        <v>0.0215</v>
      </c>
      <c r="F13" s="83">
        <v>0.0215</v>
      </c>
      <c r="G13" s="83">
        <v>0.0215</v>
      </c>
      <c r="H13" s="83">
        <v>0.0212</v>
      </c>
      <c r="I13" s="83">
        <v>0.0195</v>
      </c>
      <c r="J13" s="83">
        <v>0.0185</v>
      </c>
      <c r="K13" s="84" t="b">
        <v>0</v>
      </c>
      <c r="L13" s="84" t="b">
        <v>0</v>
      </c>
      <c r="M13" s="84" t="b">
        <v>0</v>
      </c>
      <c r="N13" s="84" t="b">
        <v>0</v>
      </c>
      <c r="O13" s="84" t="b">
        <v>0</v>
      </c>
      <c r="P13" s="84" t="b">
        <v>0</v>
      </c>
      <c r="Q13" s="84" t="b">
        <v>0</v>
      </c>
      <c r="R13" s="84" t="b">
        <v>0</v>
      </c>
      <c r="S13" s="85" t="b">
        <v>0</v>
      </c>
      <c r="T13" s="85" t="b">
        <v>0</v>
      </c>
      <c r="U13" s="85" t="b">
        <v>0</v>
      </c>
      <c r="V13" s="84" t="b">
        <v>0</v>
      </c>
      <c r="W13" s="84" t="b">
        <v>0</v>
      </c>
      <c r="X13" s="84" t="b">
        <v>0</v>
      </c>
      <c r="Y13" s="84" t="b">
        <v>0</v>
      </c>
      <c r="Z13" s="84" t="b">
        <v>0</v>
      </c>
      <c r="AA13" s="84" t="b">
        <v>0</v>
      </c>
      <c r="AB13" s="82" t="b">
        <v>0</v>
      </c>
      <c r="AC13" s="82" t="b">
        <v>0</v>
      </c>
      <c r="AD13" s="82" t="b">
        <v>0</v>
      </c>
      <c r="AE13" s="82" t="b">
        <v>0</v>
      </c>
      <c r="AF13" s="82" t="b">
        <v>0</v>
      </c>
      <c r="AG13" s="82" t="b">
        <v>0</v>
      </c>
      <c r="AH13" s="82" t="b">
        <v>0</v>
      </c>
      <c r="AI13" s="82" t="b">
        <v>0</v>
      </c>
      <c r="AJ13" s="82" t="b">
        <v>0</v>
      </c>
      <c r="AK13" s="82" t="b">
        <v>0</v>
      </c>
      <c r="AL13" s="82" t="b">
        <v>0</v>
      </c>
      <c r="AM13" s="82" t="b">
        <v>0</v>
      </c>
      <c r="AN13" s="82" t="b">
        <v>0</v>
      </c>
      <c r="AO13" s="82" t="b">
        <v>1</v>
      </c>
      <c r="AP13" s="82" t="b">
        <v>1</v>
      </c>
      <c r="AQ13" s="82" t="b">
        <v>1</v>
      </c>
      <c r="AR13" s="82" t="b">
        <v>1</v>
      </c>
      <c r="AS13" s="82" t="b">
        <v>1</v>
      </c>
      <c r="AT13" s="82" t="b">
        <v>1</v>
      </c>
      <c r="AU13" s="82" t="b">
        <v>1</v>
      </c>
      <c r="AV13" s="82" t="b">
        <v>1</v>
      </c>
      <c r="AW13" s="82" t="b">
        <v>1</v>
      </c>
      <c r="AX13" s="82" t="b">
        <v>1</v>
      </c>
      <c r="AY13" s="82" t="b">
        <v>1</v>
      </c>
      <c r="AZ13" s="82" t="b">
        <v>1</v>
      </c>
      <c r="BA13" s="82" t="b">
        <v>1</v>
      </c>
      <c r="BB13" s="82" t="b">
        <v>1</v>
      </c>
      <c r="BC13" s="82" t="b">
        <v>1</v>
      </c>
      <c r="BD13" s="82" t="b">
        <v>1</v>
      </c>
      <c r="BE13" s="82" t="b">
        <v>1</v>
      </c>
      <c r="BF13" s="82" t="b">
        <v>1</v>
      </c>
      <c r="BG13" s="82" t="b">
        <v>1</v>
      </c>
      <c r="BH13" s="82" t="b">
        <v>1</v>
      </c>
      <c r="BI13" s="82" t="b">
        <v>1</v>
      </c>
      <c r="BJ13" s="82" t="b">
        <v>1</v>
      </c>
    </row>
    <row r="14" outlineLevel="1">
      <c r="A14" s="82">
        <v>12.0</v>
      </c>
      <c r="B14" s="82" t="s">
        <v>102</v>
      </c>
      <c r="C14" s="82" t="s">
        <v>101</v>
      </c>
      <c r="D14" s="83">
        <v>0.0478</v>
      </c>
      <c r="E14" s="83">
        <v>0.0366</v>
      </c>
      <c r="F14" s="83">
        <v>0.03</v>
      </c>
      <c r="G14" s="83">
        <v>0.0212</v>
      </c>
      <c r="H14" s="83">
        <v>0.0355</v>
      </c>
      <c r="I14" s="83">
        <v>0.0325</v>
      </c>
      <c r="J14" s="83">
        <v>0.0324</v>
      </c>
      <c r="K14" s="84" t="b">
        <v>0</v>
      </c>
      <c r="L14" s="84" t="b">
        <v>0</v>
      </c>
      <c r="M14" s="84" t="b">
        <v>0</v>
      </c>
      <c r="N14" s="84" t="b">
        <v>0</v>
      </c>
      <c r="O14" s="84" t="b">
        <v>0</v>
      </c>
      <c r="P14" s="84" t="b">
        <v>0</v>
      </c>
      <c r="Q14" s="84" t="b">
        <v>0</v>
      </c>
      <c r="R14" s="84" t="b">
        <v>0</v>
      </c>
      <c r="S14" s="85" t="b">
        <v>0</v>
      </c>
      <c r="T14" s="85" t="b">
        <v>0</v>
      </c>
      <c r="U14" s="85" t="b">
        <v>0</v>
      </c>
      <c r="V14" s="84" t="b">
        <v>0</v>
      </c>
      <c r="W14" s="84" t="b">
        <v>0</v>
      </c>
      <c r="X14" s="84" t="b">
        <v>0</v>
      </c>
      <c r="Y14" s="84" t="b">
        <v>0</v>
      </c>
      <c r="Z14" s="84" t="b">
        <v>0</v>
      </c>
      <c r="AA14" s="84" t="b">
        <v>0</v>
      </c>
      <c r="AB14" s="82" t="b">
        <v>0</v>
      </c>
      <c r="AC14" s="82" t="b">
        <v>0</v>
      </c>
      <c r="AD14" s="82" t="b">
        <v>1</v>
      </c>
      <c r="AE14" s="82" t="b">
        <v>1</v>
      </c>
      <c r="AF14" s="82" t="b">
        <v>1</v>
      </c>
      <c r="AG14" s="82" t="b">
        <v>1</v>
      </c>
      <c r="AH14" s="82" t="b">
        <v>1</v>
      </c>
      <c r="AI14" s="82" t="b">
        <v>1</v>
      </c>
      <c r="AJ14" s="82" t="b">
        <v>1</v>
      </c>
      <c r="AK14" s="82" t="b">
        <v>1</v>
      </c>
      <c r="AL14" s="82" t="b">
        <v>1</v>
      </c>
      <c r="AM14" s="82" t="b">
        <v>1</v>
      </c>
      <c r="AN14" s="82" t="b">
        <v>1</v>
      </c>
      <c r="AO14" s="82" t="b">
        <v>1</v>
      </c>
      <c r="AP14" s="82" t="b">
        <v>1</v>
      </c>
      <c r="AQ14" s="82" t="b">
        <v>1</v>
      </c>
      <c r="AR14" s="82" t="b">
        <v>1</v>
      </c>
      <c r="AS14" s="82" t="b">
        <v>1</v>
      </c>
      <c r="AT14" s="82" t="b">
        <v>1</v>
      </c>
      <c r="AU14" s="82" t="b">
        <v>1</v>
      </c>
      <c r="AV14" s="82" t="b">
        <v>1</v>
      </c>
      <c r="AW14" s="82" t="b">
        <v>1</v>
      </c>
      <c r="AX14" s="82" t="b">
        <v>1</v>
      </c>
      <c r="AY14" s="82" t="b">
        <v>1</v>
      </c>
      <c r="AZ14" s="82" t="b">
        <v>1</v>
      </c>
      <c r="BA14" s="82" t="b">
        <v>1</v>
      </c>
      <c r="BB14" s="82" t="b">
        <v>1</v>
      </c>
      <c r="BC14" s="82" t="b">
        <v>1</v>
      </c>
      <c r="BD14" s="82" t="b">
        <v>1</v>
      </c>
      <c r="BE14" s="82" t="b">
        <v>1</v>
      </c>
      <c r="BF14" s="82" t="b">
        <v>1</v>
      </c>
      <c r="BG14" s="82" t="b">
        <v>1</v>
      </c>
      <c r="BH14" s="82" t="b">
        <v>1</v>
      </c>
      <c r="BI14" s="82" t="b">
        <v>1</v>
      </c>
      <c r="BJ14" s="82" t="b">
        <v>1</v>
      </c>
    </row>
    <row r="15" outlineLevel="1">
      <c r="A15" s="82">
        <v>13.0</v>
      </c>
      <c r="B15" s="82" t="s">
        <v>106</v>
      </c>
      <c r="C15" s="82" t="s">
        <v>101</v>
      </c>
      <c r="D15" s="83">
        <v>0.0547</v>
      </c>
      <c r="E15" s="83">
        <v>0.0547</v>
      </c>
      <c r="F15" s="83">
        <v>0.0406</v>
      </c>
      <c r="G15" s="83">
        <v>0.0406</v>
      </c>
      <c r="H15" s="83">
        <v>0.0323</v>
      </c>
      <c r="I15" s="83">
        <v>0.0276</v>
      </c>
      <c r="J15" s="83">
        <v>0.0231</v>
      </c>
      <c r="K15" s="84" t="b">
        <v>0</v>
      </c>
      <c r="L15" s="84" t="b">
        <v>0</v>
      </c>
      <c r="M15" s="84" t="b">
        <v>0</v>
      </c>
      <c r="N15" s="84" t="b">
        <v>0</v>
      </c>
      <c r="O15" s="84" t="b">
        <v>0</v>
      </c>
      <c r="P15" s="84" t="b">
        <v>0</v>
      </c>
      <c r="Q15" s="84" t="b">
        <v>0</v>
      </c>
      <c r="R15" s="84" t="b">
        <v>0</v>
      </c>
      <c r="S15" s="85" t="b">
        <v>0</v>
      </c>
      <c r="T15" s="85" t="b">
        <v>0</v>
      </c>
      <c r="U15" s="85" t="b">
        <v>0</v>
      </c>
      <c r="V15" s="84" t="b">
        <v>0</v>
      </c>
      <c r="W15" s="84" t="b">
        <v>0</v>
      </c>
      <c r="X15" s="84" t="b">
        <v>0</v>
      </c>
      <c r="Y15" s="84" t="b">
        <v>0</v>
      </c>
      <c r="Z15" s="84" t="b">
        <v>0</v>
      </c>
      <c r="AA15" s="82" t="b">
        <v>0</v>
      </c>
      <c r="AB15" s="82" t="b">
        <v>0</v>
      </c>
      <c r="AC15" s="82" t="b">
        <v>0</v>
      </c>
      <c r="AD15" s="82" t="b">
        <v>0</v>
      </c>
      <c r="AE15" s="82" t="b">
        <v>0</v>
      </c>
      <c r="AF15" s="82" t="b">
        <v>0</v>
      </c>
      <c r="AG15" s="82" t="b">
        <v>1</v>
      </c>
      <c r="AH15" s="82" t="b">
        <v>1</v>
      </c>
      <c r="AI15" s="82" t="b">
        <v>1</v>
      </c>
      <c r="AJ15" s="82" t="b">
        <v>1</v>
      </c>
      <c r="AK15" s="82" t="b">
        <v>1</v>
      </c>
      <c r="AL15" s="82" t="b">
        <v>1</v>
      </c>
      <c r="AM15" s="82" t="b">
        <v>1</v>
      </c>
      <c r="AN15" s="82" t="b">
        <v>1</v>
      </c>
      <c r="AO15" s="82" t="b">
        <v>1</v>
      </c>
      <c r="AP15" s="82" t="b">
        <v>1</v>
      </c>
      <c r="AQ15" s="82" t="b">
        <v>1</v>
      </c>
      <c r="AR15" s="82" t="b">
        <v>1</v>
      </c>
      <c r="AS15" s="82" t="b">
        <v>1</v>
      </c>
      <c r="AT15" s="82" t="b">
        <v>1</v>
      </c>
      <c r="AU15" s="82" t="b">
        <v>1</v>
      </c>
      <c r="AV15" s="82" t="b">
        <v>1</v>
      </c>
      <c r="AW15" s="82" t="b">
        <v>1</v>
      </c>
      <c r="AX15" s="82" t="b">
        <v>1</v>
      </c>
      <c r="AY15" s="82" t="b">
        <v>1</v>
      </c>
      <c r="AZ15" s="82" t="b">
        <v>1</v>
      </c>
      <c r="BA15" s="82" t="b">
        <v>1</v>
      </c>
      <c r="BB15" s="82" t="b">
        <v>1</v>
      </c>
      <c r="BC15" s="82" t="b">
        <v>1</v>
      </c>
      <c r="BD15" s="82" t="b">
        <v>1</v>
      </c>
      <c r="BE15" s="82" t="b">
        <v>1</v>
      </c>
      <c r="BF15" s="82" t="b">
        <v>1</v>
      </c>
      <c r="BG15" s="82" t="b">
        <v>1</v>
      </c>
      <c r="BH15" s="82" t="b">
        <v>1</v>
      </c>
      <c r="BI15" s="82" t="b">
        <v>1</v>
      </c>
      <c r="BJ15" s="82" t="b">
        <v>1</v>
      </c>
    </row>
    <row r="16" outlineLevel="1">
      <c r="A16" s="82">
        <v>14.0</v>
      </c>
      <c r="B16" s="82" t="s">
        <v>106</v>
      </c>
      <c r="C16" s="82" t="s">
        <v>106</v>
      </c>
      <c r="D16" s="83">
        <v>0.0317</v>
      </c>
      <c r="E16" s="83">
        <v>0.0317</v>
      </c>
      <c r="F16" s="83">
        <v>0.0235</v>
      </c>
      <c r="G16" s="83">
        <v>0.0235</v>
      </c>
      <c r="H16" s="83">
        <v>0.0227</v>
      </c>
      <c r="I16" s="83">
        <v>0.02</v>
      </c>
      <c r="J16" s="83">
        <v>0.0185</v>
      </c>
      <c r="K16" s="84" t="b">
        <v>0</v>
      </c>
      <c r="L16" s="84" t="b">
        <v>0</v>
      </c>
      <c r="M16" s="84" t="b">
        <v>0</v>
      </c>
      <c r="N16" s="84" t="b">
        <v>0</v>
      </c>
      <c r="O16" s="84" t="b">
        <v>0</v>
      </c>
      <c r="P16" s="84" t="b">
        <v>0</v>
      </c>
      <c r="Q16" s="84" t="b">
        <v>0</v>
      </c>
      <c r="R16" s="84" t="b">
        <v>0</v>
      </c>
      <c r="S16" s="85" t="b">
        <v>0</v>
      </c>
      <c r="T16" s="85" t="b">
        <v>0</v>
      </c>
      <c r="U16" s="85" t="b">
        <v>0</v>
      </c>
      <c r="V16" s="84" t="b">
        <v>0</v>
      </c>
      <c r="W16" s="82" t="b">
        <v>0</v>
      </c>
      <c r="X16" s="82" t="b">
        <v>0</v>
      </c>
      <c r="Y16" s="82" t="b">
        <v>0</v>
      </c>
      <c r="Z16" s="82" t="b">
        <v>0</v>
      </c>
      <c r="AA16" s="82" t="b">
        <v>0</v>
      </c>
      <c r="AB16" s="82" t="b">
        <v>0</v>
      </c>
      <c r="AC16" s="82" t="b">
        <v>0</v>
      </c>
      <c r="AD16" s="82" t="b">
        <v>1</v>
      </c>
      <c r="AE16" s="82" t="b">
        <v>0</v>
      </c>
      <c r="AF16" s="82" t="b">
        <v>1</v>
      </c>
      <c r="AG16" s="82" t="b">
        <v>1</v>
      </c>
      <c r="AH16" s="82" t="b">
        <v>1</v>
      </c>
      <c r="AI16" s="82" t="b">
        <v>1</v>
      </c>
      <c r="AJ16" s="82" t="b">
        <v>1</v>
      </c>
      <c r="AK16" s="82" t="b">
        <v>1</v>
      </c>
      <c r="AL16" s="82" t="b">
        <v>1</v>
      </c>
      <c r="AM16" s="82" t="b">
        <v>1</v>
      </c>
      <c r="AN16" s="82" t="b">
        <v>1</v>
      </c>
      <c r="AO16" s="82" t="b">
        <v>1</v>
      </c>
      <c r="AP16" s="82" t="b">
        <v>1</v>
      </c>
      <c r="AQ16" s="82" t="b">
        <v>1</v>
      </c>
      <c r="AR16" s="82" t="b">
        <v>1</v>
      </c>
      <c r="AS16" s="82" t="b">
        <v>1</v>
      </c>
      <c r="AT16" s="82" t="b">
        <v>1</v>
      </c>
      <c r="AU16" s="82" t="b">
        <v>1</v>
      </c>
      <c r="AV16" s="82" t="b">
        <v>1</v>
      </c>
      <c r="AW16" s="82" t="b">
        <v>1</v>
      </c>
      <c r="AX16" s="82" t="b">
        <v>1</v>
      </c>
      <c r="AY16" s="82" t="b">
        <v>1</v>
      </c>
      <c r="AZ16" s="82" t="b">
        <v>1</v>
      </c>
      <c r="BA16" s="82" t="b">
        <v>1</v>
      </c>
      <c r="BB16" s="82" t="b">
        <v>1</v>
      </c>
      <c r="BC16" s="82" t="b">
        <v>1</v>
      </c>
      <c r="BD16" s="82" t="b">
        <v>1</v>
      </c>
      <c r="BE16" s="82" t="b">
        <v>1</v>
      </c>
      <c r="BF16" s="82" t="b">
        <v>1</v>
      </c>
      <c r="BG16" s="82" t="b">
        <v>1</v>
      </c>
      <c r="BH16" s="82" t="b">
        <v>1</v>
      </c>
      <c r="BI16" s="82" t="b">
        <v>1</v>
      </c>
      <c r="BJ16" s="82" t="b">
        <v>1</v>
      </c>
    </row>
    <row r="17" outlineLevel="1">
      <c r="A17" s="82">
        <v>15.0</v>
      </c>
      <c r="B17" s="82" t="s">
        <v>98</v>
      </c>
      <c r="C17" s="82" t="s">
        <v>99</v>
      </c>
      <c r="D17" s="83">
        <v>0.0318</v>
      </c>
      <c r="E17" s="83">
        <v>0.0265</v>
      </c>
      <c r="F17" s="83">
        <v>0.0221</v>
      </c>
      <c r="G17" s="83">
        <v>0.0221</v>
      </c>
      <c r="H17" s="83">
        <v>0.0206</v>
      </c>
      <c r="I17" s="83">
        <v>0.0197</v>
      </c>
      <c r="J17" s="83">
        <v>0.0185</v>
      </c>
      <c r="K17" s="84" t="b">
        <v>0</v>
      </c>
      <c r="L17" s="84" t="b">
        <v>0</v>
      </c>
      <c r="M17" s="84" t="b">
        <v>0</v>
      </c>
      <c r="N17" s="84" t="b">
        <v>0</v>
      </c>
      <c r="O17" s="84" t="b">
        <v>0</v>
      </c>
      <c r="P17" s="84" t="b">
        <v>0</v>
      </c>
      <c r="Q17" s="84" t="b">
        <v>0</v>
      </c>
      <c r="R17" s="84" t="b">
        <v>0</v>
      </c>
      <c r="S17" s="85" t="b">
        <v>0</v>
      </c>
      <c r="T17" s="85" t="b">
        <v>0</v>
      </c>
      <c r="U17" s="85" t="b">
        <v>0</v>
      </c>
      <c r="V17" s="84" t="b">
        <v>0</v>
      </c>
      <c r="W17" s="84" t="b">
        <v>0</v>
      </c>
      <c r="X17" s="84" t="b">
        <v>0</v>
      </c>
      <c r="Y17" s="84" t="b">
        <v>0</v>
      </c>
      <c r="Z17" s="84" t="b">
        <v>0</v>
      </c>
      <c r="AA17" s="82" t="b">
        <v>0</v>
      </c>
      <c r="AB17" s="82" t="b">
        <v>0</v>
      </c>
      <c r="AC17" s="82" t="b">
        <v>0</v>
      </c>
      <c r="AD17" s="82" t="b">
        <v>1</v>
      </c>
      <c r="AE17" s="82" t="b">
        <v>1</v>
      </c>
      <c r="AF17" s="82" t="b">
        <v>1</v>
      </c>
      <c r="AG17" s="82" t="b">
        <v>0</v>
      </c>
      <c r="AH17" s="82" t="b">
        <v>0</v>
      </c>
      <c r="AI17" s="82" t="b">
        <v>0</v>
      </c>
      <c r="AJ17" s="82" t="b">
        <v>0</v>
      </c>
      <c r="AK17" s="82" t="b">
        <v>0</v>
      </c>
      <c r="AL17" s="82" t="b">
        <v>0</v>
      </c>
      <c r="AM17" s="82" t="b">
        <v>0</v>
      </c>
      <c r="AN17" s="82" t="b">
        <v>1</v>
      </c>
      <c r="AO17" s="82" t="b">
        <v>1</v>
      </c>
      <c r="AP17" s="82" t="b">
        <v>1</v>
      </c>
      <c r="AQ17" s="82" t="b">
        <v>1</v>
      </c>
      <c r="AR17" s="82" t="b">
        <v>1</v>
      </c>
      <c r="AS17" s="82" t="b">
        <v>1</v>
      </c>
      <c r="AT17" s="82" t="b">
        <v>1</v>
      </c>
      <c r="AU17" s="82" t="b">
        <v>1</v>
      </c>
      <c r="AV17" s="82" t="b">
        <v>1</v>
      </c>
      <c r="AW17" s="82" t="b">
        <v>1</v>
      </c>
      <c r="AX17" s="82" t="b">
        <v>1</v>
      </c>
      <c r="AY17" s="82" t="b">
        <v>1</v>
      </c>
      <c r="AZ17" s="82" t="b">
        <v>1</v>
      </c>
      <c r="BA17" s="82" t="b">
        <v>1</v>
      </c>
      <c r="BB17" s="82" t="b">
        <v>1</v>
      </c>
      <c r="BC17" s="82" t="b">
        <v>1</v>
      </c>
      <c r="BD17" s="82" t="b">
        <v>1</v>
      </c>
      <c r="BE17" s="82" t="b">
        <v>1</v>
      </c>
      <c r="BF17" s="82" t="b">
        <v>1</v>
      </c>
      <c r="BG17" s="82" t="b">
        <v>1</v>
      </c>
      <c r="BH17" s="82" t="b">
        <v>1</v>
      </c>
      <c r="BI17" s="82" t="b">
        <v>1</v>
      </c>
      <c r="BJ17" s="82" t="b">
        <v>1</v>
      </c>
    </row>
    <row r="18" outlineLevel="1">
      <c r="A18" s="82">
        <v>16.0</v>
      </c>
      <c r="B18" s="82" t="s">
        <v>106</v>
      </c>
      <c r="C18" s="82" t="s">
        <v>106</v>
      </c>
      <c r="D18" s="83">
        <v>0.03</v>
      </c>
      <c r="E18" s="83">
        <v>0.03</v>
      </c>
      <c r="F18" s="83">
        <v>0.0223</v>
      </c>
      <c r="G18" s="83">
        <v>0.0223</v>
      </c>
      <c r="H18" s="83">
        <v>0.0198</v>
      </c>
      <c r="I18" s="83">
        <v>0.0197</v>
      </c>
      <c r="J18" s="83">
        <v>0.0185</v>
      </c>
      <c r="K18" s="84" t="b">
        <v>0</v>
      </c>
      <c r="L18" s="84" t="b">
        <v>0</v>
      </c>
      <c r="M18" s="84" t="b">
        <v>0</v>
      </c>
      <c r="N18" s="84" t="b">
        <v>0</v>
      </c>
      <c r="O18" s="84" t="b">
        <v>0</v>
      </c>
      <c r="P18" s="84" t="b">
        <v>0</v>
      </c>
      <c r="Q18" s="84" t="b">
        <v>0</v>
      </c>
      <c r="R18" s="84" t="b">
        <v>0</v>
      </c>
      <c r="S18" s="85" t="b">
        <v>0</v>
      </c>
      <c r="T18" s="85" t="b">
        <v>0</v>
      </c>
      <c r="U18" s="85" t="b">
        <v>0</v>
      </c>
      <c r="V18" s="84" t="b">
        <v>0</v>
      </c>
      <c r="W18" s="84" t="b">
        <v>0</v>
      </c>
      <c r="X18" s="84" t="b">
        <v>0</v>
      </c>
      <c r="Y18" s="84" t="b">
        <v>0</v>
      </c>
      <c r="Z18" s="84" t="b">
        <v>0</v>
      </c>
      <c r="AA18" s="82" t="b">
        <v>0</v>
      </c>
      <c r="AB18" s="82" t="b">
        <v>1</v>
      </c>
      <c r="AC18" s="82" t="b">
        <v>0</v>
      </c>
      <c r="AD18" s="82" t="b">
        <v>0</v>
      </c>
      <c r="AE18" s="82" t="b">
        <v>0</v>
      </c>
      <c r="AF18" s="82" t="b">
        <v>0</v>
      </c>
      <c r="AG18" s="82" t="b">
        <v>1</v>
      </c>
      <c r="AH18" s="82" t="b">
        <v>1</v>
      </c>
      <c r="AI18" s="82" t="b">
        <v>1</v>
      </c>
      <c r="AJ18" s="82" t="b">
        <v>1</v>
      </c>
      <c r="AK18" s="82" t="b">
        <v>1</v>
      </c>
      <c r="AL18" s="82" t="b">
        <v>1</v>
      </c>
      <c r="AM18" s="82" t="b">
        <v>1</v>
      </c>
      <c r="AN18" s="82" t="b">
        <v>1</v>
      </c>
      <c r="AO18" s="82" t="b">
        <v>1</v>
      </c>
      <c r="AP18" s="82" t="b">
        <v>1</v>
      </c>
      <c r="AQ18" s="82" t="b">
        <v>1</v>
      </c>
      <c r="AR18" s="82" t="b">
        <v>1</v>
      </c>
      <c r="AS18" s="82" t="b">
        <v>1</v>
      </c>
      <c r="AT18" s="82" t="b">
        <v>1</v>
      </c>
      <c r="AU18" s="82" t="b">
        <v>1</v>
      </c>
      <c r="AV18" s="82" t="b">
        <v>1</v>
      </c>
      <c r="AW18" s="82" t="b">
        <v>1</v>
      </c>
      <c r="AX18" s="82" t="b">
        <v>1</v>
      </c>
      <c r="AY18" s="82" t="b">
        <v>1</v>
      </c>
      <c r="AZ18" s="82" t="b">
        <v>1</v>
      </c>
      <c r="BA18" s="82" t="b">
        <v>1</v>
      </c>
      <c r="BB18" s="82" t="b">
        <v>1</v>
      </c>
      <c r="BC18" s="82" t="b">
        <v>1</v>
      </c>
      <c r="BD18" s="82" t="b">
        <v>1</v>
      </c>
      <c r="BE18" s="82" t="b">
        <v>1</v>
      </c>
      <c r="BF18" s="82" t="b">
        <v>1</v>
      </c>
      <c r="BG18" s="82" t="b">
        <v>1</v>
      </c>
      <c r="BH18" s="82" t="b">
        <v>1</v>
      </c>
      <c r="BI18" s="82" t="b">
        <v>1</v>
      </c>
      <c r="BJ18" s="82" t="b">
        <v>1</v>
      </c>
    </row>
    <row r="19" outlineLevel="1">
      <c r="A19" s="82">
        <v>17.0</v>
      </c>
      <c r="B19" s="82" t="s">
        <v>105</v>
      </c>
      <c r="C19" s="82" t="s">
        <v>101</v>
      </c>
      <c r="D19" s="83">
        <v>0.018</v>
      </c>
      <c r="E19" s="83">
        <v>0.018</v>
      </c>
      <c r="F19" s="83">
        <v>0.018</v>
      </c>
      <c r="G19" s="83">
        <v>0.018</v>
      </c>
      <c r="H19" s="83">
        <v>0.0214</v>
      </c>
      <c r="I19" s="83">
        <v>0.0224</v>
      </c>
      <c r="J19" s="83">
        <v>0.0231</v>
      </c>
      <c r="K19" s="84" t="b">
        <v>0</v>
      </c>
      <c r="L19" s="84" t="b">
        <v>0</v>
      </c>
      <c r="M19" s="84" t="b">
        <v>0</v>
      </c>
      <c r="N19" s="84" t="b">
        <v>0</v>
      </c>
      <c r="O19" s="84" t="b">
        <v>0</v>
      </c>
      <c r="P19" s="84" t="b">
        <v>0</v>
      </c>
      <c r="Q19" s="84" t="b">
        <v>0</v>
      </c>
      <c r="R19" s="84" t="b">
        <v>0</v>
      </c>
      <c r="S19" s="85" t="b">
        <v>0</v>
      </c>
      <c r="T19" s="85" t="b">
        <v>0</v>
      </c>
      <c r="U19" s="85" t="b">
        <v>0</v>
      </c>
      <c r="V19" s="84" t="b">
        <v>0</v>
      </c>
      <c r="W19" s="84" t="b">
        <v>0</v>
      </c>
      <c r="X19" s="84" t="b">
        <v>0</v>
      </c>
      <c r="Y19" s="84" t="b">
        <v>0</v>
      </c>
      <c r="Z19" s="84" t="b">
        <v>0</v>
      </c>
      <c r="AA19" s="84" t="b">
        <v>0</v>
      </c>
      <c r="AB19" s="82" t="b">
        <v>0</v>
      </c>
      <c r="AC19" s="82" t="b">
        <v>0</v>
      </c>
      <c r="AD19" s="82" t="b">
        <v>0</v>
      </c>
      <c r="AE19" s="82" t="b">
        <v>0</v>
      </c>
      <c r="AF19" s="82" t="b">
        <v>1</v>
      </c>
      <c r="AG19" s="82" t="b">
        <v>1</v>
      </c>
      <c r="AH19" s="82" t="b">
        <v>1</v>
      </c>
      <c r="AI19" s="82" t="b">
        <v>1</v>
      </c>
      <c r="AJ19" s="82" t="b">
        <v>1</v>
      </c>
      <c r="AK19" s="82" t="b">
        <v>1</v>
      </c>
      <c r="AL19" s="82" t="b">
        <v>1</v>
      </c>
      <c r="AM19" s="82" t="b">
        <v>1</v>
      </c>
      <c r="AN19" s="82" t="b">
        <v>1</v>
      </c>
      <c r="AO19" s="82" t="b">
        <v>1</v>
      </c>
      <c r="AP19" s="82" t="b">
        <v>1</v>
      </c>
      <c r="AQ19" s="82" t="b">
        <v>1</v>
      </c>
      <c r="AR19" s="82" t="b">
        <v>1</v>
      </c>
      <c r="AS19" s="82" t="b">
        <v>1</v>
      </c>
      <c r="AT19" s="82" t="b">
        <v>1</v>
      </c>
      <c r="AU19" s="82" t="b">
        <v>1</v>
      </c>
      <c r="AV19" s="82" t="b">
        <v>1</v>
      </c>
      <c r="AW19" s="82" t="b">
        <v>1</v>
      </c>
      <c r="AX19" s="82" t="b">
        <v>1</v>
      </c>
      <c r="AY19" s="82" t="b">
        <v>1</v>
      </c>
      <c r="AZ19" s="82" t="b">
        <v>1</v>
      </c>
      <c r="BA19" s="82" t="b">
        <v>1</v>
      </c>
      <c r="BB19" s="82" t="b">
        <v>1</v>
      </c>
      <c r="BC19" s="82" t="b">
        <v>1</v>
      </c>
      <c r="BD19" s="82" t="b">
        <v>1</v>
      </c>
      <c r="BE19" s="82" t="b">
        <v>1</v>
      </c>
      <c r="BF19" s="82" t="b">
        <v>1</v>
      </c>
      <c r="BG19" s="82" t="b">
        <v>1</v>
      </c>
      <c r="BH19" s="82" t="b">
        <v>1</v>
      </c>
      <c r="BI19" s="82" t="b">
        <v>1</v>
      </c>
      <c r="BJ19" s="82" t="b">
        <v>1</v>
      </c>
    </row>
    <row r="20" outlineLevel="1">
      <c r="A20" s="82">
        <v>18.0</v>
      </c>
      <c r="B20" s="82" t="s">
        <v>105</v>
      </c>
      <c r="C20" s="82" t="s">
        <v>97</v>
      </c>
      <c r="D20" s="83">
        <v>0.0233</v>
      </c>
      <c r="E20" s="83">
        <v>0.0233</v>
      </c>
      <c r="F20" s="83">
        <v>0.0233</v>
      </c>
      <c r="G20" s="83">
        <v>0.0233</v>
      </c>
      <c r="H20" s="83">
        <v>0.0196</v>
      </c>
      <c r="I20" s="83">
        <v>0.02</v>
      </c>
      <c r="J20" s="83">
        <v>0.0185</v>
      </c>
      <c r="K20" s="84" t="b">
        <v>0</v>
      </c>
      <c r="L20" s="84" t="b">
        <v>0</v>
      </c>
      <c r="M20" s="84" t="b">
        <v>0</v>
      </c>
      <c r="N20" s="84" t="b">
        <v>0</v>
      </c>
      <c r="O20" s="84" t="b">
        <v>0</v>
      </c>
      <c r="P20" s="84" t="b">
        <v>0</v>
      </c>
      <c r="Q20" s="84" t="b">
        <v>0</v>
      </c>
      <c r="R20" s="84" t="b">
        <v>0</v>
      </c>
      <c r="S20" s="85" t="b">
        <v>0</v>
      </c>
      <c r="T20" s="85" t="b">
        <v>0</v>
      </c>
      <c r="U20" s="85" t="b">
        <v>0</v>
      </c>
      <c r="V20" s="84" t="b">
        <v>0</v>
      </c>
      <c r="W20" s="84" t="b">
        <v>0</v>
      </c>
      <c r="X20" s="84" t="b">
        <v>0</v>
      </c>
      <c r="Y20" s="84" t="b">
        <v>0</v>
      </c>
      <c r="Z20" s="84" t="b">
        <v>0</v>
      </c>
      <c r="AA20" s="84" t="b">
        <v>0</v>
      </c>
      <c r="AB20" s="82" t="b">
        <v>0</v>
      </c>
      <c r="AC20" s="82" t="b">
        <v>0</v>
      </c>
      <c r="AD20" s="82" t="b">
        <v>0</v>
      </c>
      <c r="AE20" s="82" t="b">
        <v>0</v>
      </c>
      <c r="AF20" s="82" t="b">
        <v>0</v>
      </c>
      <c r="AG20" s="82" t="b">
        <v>1</v>
      </c>
      <c r="AH20" s="82" t="b">
        <v>1</v>
      </c>
      <c r="AI20" s="82" t="b">
        <v>1</v>
      </c>
      <c r="AJ20" s="82" t="b">
        <v>1</v>
      </c>
      <c r="AK20" s="82" t="b">
        <v>1</v>
      </c>
      <c r="AL20" s="82" t="b">
        <v>1</v>
      </c>
      <c r="AM20" s="82" t="b">
        <v>1</v>
      </c>
      <c r="AN20" s="82" t="b">
        <v>1</v>
      </c>
      <c r="AO20" s="82" t="b">
        <v>1</v>
      </c>
      <c r="AP20" s="82" t="b">
        <v>1</v>
      </c>
      <c r="AQ20" s="82" t="b">
        <v>1</v>
      </c>
      <c r="AR20" s="82" t="b">
        <v>1</v>
      </c>
      <c r="AS20" s="82" t="b">
        <v>1</v>
      </c>
      <c r="AT20" s="82" t="b">
        <v>1</v>
      </c>
      <c r="AU20" s="82" t="b">
        <v>1</v>
      </c>
      <c r="AV20" s="82" t="b">
        <v>1</v>
      </c>
      <c r="AW20" s="82" t="b">
        <v>1</v>
      </c>
      <c r="AX20" s="82" t="b">
        <v>1</v>
      </c>
      <c r="AY20" s="82" t="b">
        <v>1</v>
      </c>
      <c r="AZ20" s="82" t="b">
        <v>1</v>
      </c>
      <c r="BA20" s="82" t="b">
        <v>1</v>
      </c>
      <c r="BB20" s="82" t="b">
        <v>1</v>
      </c>
      <c r="BC20" s="82" t="b">
        <v>1</v>
      </c>
      <c r="BD20" s="82" t="b">
        <v>1</v>
      </c>
      <c r="BE20" s="82" t="b">
        <v>1</v>
      </c>
      <c r="BF20" s="82" t="b">
        <v>1</v>
      </c>
      <c r="BG20" s="82" t="b">
        <v>1</v>
      </c>
      <c r="BH20" s="82" t="b">
        <v>1</v>
      </c>
      <c r="BI20" s="82" t="b">
        <v>1</v>
      </c>
      <c r="BJ20" s="82" t="b">
        <v>1</v>
      </c>
    </row>
    <row r="21" outlineLevel="1">
      <c r="A21" s="86">
        <v>19.0</v>
      </c>
      <c r="B21" s="86" t="s">
        <v>102</v>
      </c>
      <c r="C21" s="86" t="s">
        <v>107</v>
      </c>
      <c r="D21" s="87"/>
      <c r="E21" s="88">
        <v>0.0478</v>
      </c>
      <c r="F21" s="88">
        <v>0.042</v>
      </c>
      <c r="G21" s="88">
        <v>0.0277</v>
      </c>
      <c r="H21" s="89">
        <v>0.0338</v>
      </c>
      <c r="I21" s="89">
        <v>0.0346</v>
      </c>
      <c r="J21" s="89">
        <v>0.0324</v>
      </c>
      <c r="K21" s="82"/>
      <c r="L21" s="82"/>
      <c r="M21" s="82"/>
      <c r="N21" s="84"/>
      <c r="O21" s="84"/>
      <c r="P21" s="84"/>
      <c r="Q21" s="84"/>
      <c r="R21" s="84"/>
      <c r="S21" s="90"/>
      <c r="T21" s="90"/>
      <c r="U21" s="90"/>
      <c r="V21" s="91"/>
      <c r="W21" s="90"/>
      <c r="X21" s="90"/>
      <c r="Y21" s="90"/>
      <c r="Z21" s="90"/>
      <c r="AA21" s="90"/>
      <c r="AB21" s="90"/>
      <c r="AC21" s="86" t="b">
        <v>0</v>
      </c>
      <c r="AD21" s="86" t="b">
        <v>0</v>
      </c>
      <c r="AE21" s="86" t="b">
        <v>1</v>
      </c>
      <c r="AF21" s="86" t="b">
        <v>1</v>
      </c>
      <c r="AG21" s="86" t="b">
        <v>0</v>
      </c>
      <c r="AH21" s="86" t="b">
        <v>1</v>
      </c>
      <c r="AI21" s="86" t="b">
        <v>1</v>
      </c>
      <c r="AJ21" s="86" t="b">
        <v>1</v>
      </c>
      <c r="AK21" s="86" t="b">
        <v>1</v>
      </c>
      <c r="AL21" s="86" t="b">
        <v>1</v>
      </c>
      <c r="AM21" s="86" t="b">
        <v>1</v>
      </c>
      <c r="AN21" s="86" t="b">
        <v>1</v>
      </c>
      <c r="AO21" s="86" t="b">
        <v>1</v>
      </c>
      <c r="AP21" s="86" t="b">
        <v>1</v>
      </c>
      <c r="AQ21" s="86" t="b">
        <v>1</v>
      </c>
      <c r="AR21" s="86" t="b">
        <v>1</v>
      </c>
      <c r="AS21" s="86" t="b">
        <v>1</v>
      </c>
      <c r="AT21" s="86" t="b">
        <v>1</v>
      </c>
      <c r="AU21" s="86" t="b">
        <v>1</v>
      </c>
      <c r="AV21" s="86" t="b">
        <v>1</v>
      </c>
      <c r="AW21" s="86" t="b">
        <v>1</v>
      </c>
      <c r="AX21" s="86" t="b">
        <v>1</v>
      </c>
      <c r="AY21" s="86" t="b">
        <v>1</v>
      </c>
      <c r="AZ21" s="86" t="b">
        <v>1</v>
      </c>
      <c r="BA21" s="86" t="b">
        <v>1</v>
      </c>
      <c r="BB21" s="86" t="b">
        <v>1</v>
      </c>
      <c r="BC21" s="86" t="b">
        <v>1</v>
      </c>
      <c r="BD21" s="86" t="b">
        <v>1</v>
      </c>
      <c r="BE21" s="86" t="b">
        <v>1</v>
      </c>
      <c r="BF21" s="86" t="b">
        <v>1</v>
      </c>
      <c r="BG21" s="86" t="b">
        <v>1</v>
      </c>
      <c r="BH21" s="86" t="b">
        <v>1</v>
      </c>
      <c r="BI21" s="86" t="b">
        <v>1</v>
      </c>
      <c r="BJ21" s="86" t="b">
        <v>1</v>
      </c>
    </row>
    <row r="22" outlineLevel="1">
      <c r="A22" s="86">
        <v>20.0</v>
      </c>
      <c r="B22" s="86" t="s">
        <v>98</v>
      </c>
      <c r="C22" s="86" t="s">
        <v>107</v>
      </c>
      <c r="D22" s="87"/>
      <c r="E22" s="88">
        <v>0.0215</v>
      </c>
      <c r="F22" s="88">
        <v>0.0179</v>
      </c>
      <c r="G22" s="88">
        <v>0.0179</v>
      </c>
      <c r="H22" s="89">
        <v>0.0208</v>
      </c>
      <c r="I22" s="89">
        <v>0.0224</v>
      </c>
      <c r="J22" s="89">
        <v>0.0231</v>
      </c>
      <c r="K22" s="84"/>
      <c r="L22" s="84"/>
      <c r="M22" s="84"/>
      <c r="N22" s="84"/>
      <c r="O22" s="84"/>
      <c r="P22" s="84"/>
      <c r="Q22" s="84"/>
      <c r="R22" s="84"/>
      <c r="S22" s="90"/>
      <c r="T22" s="90"/>
      <c r="U22" s="90"/>
      <c r="V22" s="91"/>
      <c r="W22" s="90"/>
      <c r="X22" s="90"/>
      <c r="Y22" s="90"/>
      <c r="Z22" s="90"/>
      <c r="AA22" s="90"/>
      <c r="AB22" s="90"/>
      <c r="AC22" s="86" t="b">
        <v>0</v>
      </c>
      <c r="AD22" s="86" t="b">
        <v>0</v>
      </c>
      <c r="AE22" s="86" t="b">
        <v>1</v>
      </c>
      <c r="AF22" s="86" t="b">
        <v>0</v>
      </c>
      <c r="AG22" s="86" t="b">
        <v>0</v>
      </c>
      <c r="AH22" s="86" t="b">
        <v>1</v>
      </c>
      <c r="AI22" s="86" t="b">
        <v>1</v>
      </c>
      <c r="AJ22" s="86" t="b">
        <v>1</v>
      </c>
      <c r="AK22" s="86" t="b">
        <v>1</v>
      </c>
      <c r="AL22" s="86" t="b">
        <v>1</v>
      </c>
      <c r="AM22" s="86" t="b">
        <v>1</v>
      </c>
      <c r="AN22" s="86" t="b">
        <v>1</v>
      </c>
      <c r="AO22" s="86" t="b">
        <v>1</v>
      </c>
      <c r="AP22" s="86" t="b">
        <v>1</v>
      </c>
      <c r="AQ22" s="86" t="b">
        <v>1</v>
      </c>
      <c r="AR22" s="86" t="b">
        <v>1</v>
      </c>
      <c r="AS22" s="86" t="b">
        <v>1</v>
      </c>
      <c r="AT22" s="86" t="b">
        <v>1</v>
      </c>
      <c r="AU22" s="86" t="b">
        <v>1</v>
      </c>
      <c r="AV22" s="86" t="b">
        <v>1</v>
      </c>
      <c r="AW22" s="86" t="b">
        <v>1</v>
      </c>
      <c r="AX22" s="86" t="b">
        <v>1</v>
      </c>
      <c r="AY22" s="86" t="b">
        <v>1</v>
      </c>
      <c r="AZ22" s="86" t="b">
        <v>1</v>
      </c>
      <c r="BA22" s="86" t="b">
        <v>1</v>
      </c>
      <c r="BB22" s="86" t="b">
        <v>1</v>
      </c>
      <c r="BC22" s="86" t="b">
        <v>1</v>
      </c>
      <c r="BD22" s="86" t="b">
        <v>1</v>
      </c>
      <c r="BE22" s="86" t="b">
        <v>1</v>
      </c>
      <c r="BF22" s="86" t="b">
        <v>1</v>
      </c>
      <c r="BG22" s="86" t="b">
        <v>1</v>
      </c>
      <c r="BH22" s="86" t="b">
        <v>1</v>
      </c>
      <c r="BI22" s="86" t="b">
        <v>1</v>
      </c>
      <c r="BJ22" s="86" t="b">
        <v>1</v>
      </c>
    </row>
    <row r="23" outlineLevel="1">
      <c r="A23" s="86">
        <v>21.0</v>
      </c>
      <c r="B23" s="86" t="s">
        <v>95</v>
      </c>
      <c r="C23" s="86" t="s">
        <v>107</v>
      </c>
      <c r="D23" s="87"/>
      <c r="E23" s="88">
        <v>0.03</v>
      </c>
      <c r="F23" s="88">
        <v>0.03</v>
      </c>
      <c r="G23" s="88">
        <v>0.03</v>
      </c>
      <c r="H23" s="89">
        <v>0.0301</v>
      </c>
      <c r="I23" s="89">
        <v>0.0334</v>
      </c>
      <c r="J23" s="89">
        <v>0.037</v>
      </c>
      <c r="K23" s="84"/>
      <c r="L23" s="84"/>
      <c r="M23" s="82"/>
      <c r="N23" s="84"/>
      <c r="O23" s="84"/>
      <c r="P23" s="84"/>
      <c r="Q23" s="84"/>
      <c r="R23" s="84"/>
      <c r="S23" s="90"/>
      <c r="T23" s="90"/>
      <c r="U23" s="90"/>
      <c r="V23" s="91"/>
      <c r="W23" s="90"/>
      <c r="X23" s="90"/>
      <c r="Y23" s="90"/>
      <c r="Z23" s="90"/>
      <c r="AA23" s="90"/>
      <c r="AB23" s="90"/>
      <c r="AC23" s="86" t="b">
        <v>0</v>
      </c>
      <c r="AD23" s="86" t="b">
        <v>0</v>
      </c>
      <c r="AE23" s="86" t="b">
        <v>0</v>
      </c>
      <c r="AF23" s="86" t="b">
        <v>1</v>
      </c>
      <c r="AG23" s="86" t="b">
        <v>1</v>
      </c>
      <c r="AH23" s="86" t="b">
        <v>1</v>
      </c>
      <c r="AI23" s="86" t="b">
        <v>1</v>
      </c>
      <c r="AJ23" s="86" t="b">
        <v>1</v>
      </c>
      <c r="AK23" s="86" t="b">
        <v>1</v>
      </c>
      <c r="AL23" s="86" t="b">
        <v>1</v>
      </c>
      <c r="AM23" s="86" t="b">
        <v>1</v>
      </c>
      <c r="AN23" s="86" t="b">
        <v>1</v>
      </c>
      <c r="AO23" s="86" t="b">
        <v>1</v>
      </c>
      <c r="AP23" s="86" t="b">
        <v>1</v>
      </c>
      <c r="AQ23" s="86" t="b">
        <v>1</v>
      </c>
      <c r="AR23" s="86" t="b">
        <v>1</v>
      </c>
      <c r="AS23" s="86" t="b">
        <v>1</v>
      </c>
      <c r="AT23" s="86" t="b">
        <v>1</v>
      </c>
      <c r="AU23" s="86" t="b">
        <v>1</v>
      </c>
      <c r="AV23" s="86" t="b">
        <v>1</v>
      </c>
      <c r="AW23" s="86" t="b">
        <v>1</v>
      </c>
      <c r="AX23" s="86" t="b">
        <v>1</v>
      </c>
      <c r="AY23" s="86" t="b">
        <v>1</v>
      </c>
      <c r="AZ23" s="86" t="b">
        <v>1</v>
      </c>
      <c r="BA23" s="86" t="b">
        <v>1</v>
      </c>
      <c r="BB23" s="86" t="b">
        <v>1</v>
      </c>
      <c r="BC23" s="86" t="b">
        <v>1</v>
      </c>
      <c r="BD23" s="86" t="b">
        <v>1</v>
      </c>
      <c r="BE23" s="86" t="b">
        <v>1</v>
      </c>
      <c r="BF23" s="86" t="b">
        <v>1</v>
      </c>
      <c r="BG23" s="86" t="b">
        <v>1</v>
      </c>
      <c r="BH23" s="86" t="b">
        <v>1</v>
      </c>
      <c r="BI23" s="86" t="b">
        <v>1</v>
      </c>
      <c r="BJ23" s="86" t="b">
        <v>1</v>
      </c>
    </row>
    <row r="24" outlineLevel="1">
      <c r="A24" s="86">
        <v>22.0</v>
      </c>
      <c r="B24" s="86" t="s">
        <v>98</v>
      </c>
      <c r="C24" s="86" t="s">
        <v>97</v>
      </c>
      <c r="D24" s="87"/>
      <c r="E24" s="87"/>
      <c r="F24" s="88">
        <v>0.0215</v>
      </c>
      <c r="G24" s="88">
        <v>0.0215</v>
      </c>
      <c r="H24" s="89">
        <v>0.0231</v>
      </c>
      <c r="I24" s="89">
        <v>0.0255</v>
      </c>
      <c r="J24" s="89">
        <v>0.0278</v>
      </c>
      <c r="K24" s="84"/>
      <c r="L24" s="84"/>
      <c r="M24" s="82"/>
      <c r="N24" s="84"/>
      <c r="O24" s="84"/>
      <c r="P24" s="84"/>
      <c r="Q24" s="84"/>
      <c r="R24" s="84"/>
      <c r="S24" s="90"/>
      <c r="T24" s="90"/>
      <c r="U24" s="90"/>
      <c r="V24" s="90"/>
      <c r="W24" s="90"/>
      <c r="X24" s="90"/>
      <c r="Y24" s="90"/>
      <c r="Z24" s="90"/>
      <c r="AA24" s="90"/>
      <c r="AB24" s="90"/>
      <c r="AC24" s="90"/>
      <c r="AD24" s="90"/>
      <c r="AE24" s="90"/>
      <c r="AF24" s="90"/>
      <c r="AG24" s="86" t="b">
        <v>1</v>
      </c>
      <c r="AH24" s="86" t="b">
        <v>1</v>
      </c>
      <c r="AI24" s="86" t="b">
        <v>1</v>
      </c>
      <c r="AJ24" s="86" t="b">
        <v>1</v>
      </c>
      <c r="AK24" s="86" t="b">
        <v>1</v>
      </c>
      <c r="AL24" s="86" t="b">
        <v>1</v>
      </c>
      <c r="AM24" s="86" t="b">
        <v>1</v>
      </c>
      <c r="AN24" s="86" t="b">
        <v>1</v>
      </c>
      <c r="AO24" s="86" t="b">
        <v>1</v>
      </c>
      <c r="AP24" s="86" t="b">
        <v>1</v>
      </c>
      <c r="AQ24" s="86" t="b">
        <v>1</v>
      </c>
      <c r="AR24" s="86" t="b">
        <v>1</v>
      </c>
      <c r="AS24" s="86" t="b">
        <v>1</v>
      </c>
      <c r="AT24" s="86" t="b">
        <v>1</v>
      </c>
      <c r="AU24" s="86" t="b">
        <v>1</v>
      </c>
      <c r="AV24" s="86" t="b">
        <v>1</v>
      </c>
      <c r="AW24" s="86" t="b">
        <v>1</v>
      </c>
      <c r="AX24" s="86" t="b">
        <v>1</v>
      </c>
      <c r="AY24" s="86" t="b">
        <v>1</v>
      </c>
      <c r="AZ24" s="86" t="b">
        <v>1</v>
      </c>
      <c r="BA24" s="86" t="b">
        <v>1</v>
      </c>
      <c r="BB24" s="86" t="b">
        <v>1</v>
      </c>
      <c r="BC24" s="86" t="b">
        <v>1</v>
      </c>
      <c r="BD24" s="86" t="b">
        <v>1</v>
      </c>
      <c r="BE24" s="86" t="b">
        <v>1</v>
      </c>
      <c r="BF24" s="86" t="b">
        <v>1</v>
      </c>
      <c r="BG24" s="86" t="b">
        <v>1</v>
      </c>
      <c r="BH24" s="86" t="b">
        <v>1</v>
      </c>
      <c r="BI24" s="86" t="b">
        <v>1</v>
      </c>
      <c r="BJ24" s="86" t="b">
        <v>1</v>
      </c>
    </row>
    <row r="25" outlineLevel="1">
      <c r="A25" s="86">
        <v>23.0</v>
      </c>
      <c r="B25" s="86" t="s">
        <v>106</v>
      </c>
      <c r="C25" s="86" t="s">
        <v>108</v>
      </c>
      <c r="D25" s="87"/>
      <c r="E25" s="87"/>
      <c r="F25" s="88">
        <v>0.03</v>
      </c>
      <c r="G25" s="88">
        <v>0.03</v>
      </c>
      <c r="H25" s="89">
        <v>0.0278</v>
      </c>
      <c r="I25" s="89">
        <v>0.0288</v>
      </c>
      <c r="J25" s="89">
        <v>0.0278</v>
      </c>
      <c r="K25" s="84"/>
      <c r="L25" s="84"/>
      <c r="M25" s="82"/>
      <c r="N25" s="84"/>
      <c r="O25" s="84"/>
      <c r="P25" s="84"/>
      <c r="Q25" s="84"/>
      <c r="R25" s="84"/>
      <c r="S25" s="90"/>
      <c r="T25" s="90"/>
      <c r="U25" s="90"/>
      <c r="V25" s="90"/>
      <c r="W25" s="90"/>
      <c r="X25" s="90"/>
      <c r="Y25" s="90"/>
      <c r="Z25" s="90"/>
      <c r="AA25" s="90"/>
      <c r="AB25" s="90"/>
      <c r="AC25" s="90"/>
      <c r="AD25" s="90"/>
      <c r="AE25" s="90"/>
      <c r="AF25" s="90"/>
      <c r="AG25" s="86" t="b">
        <v>1</v>
      </c>
      <c r="AH25" s="86" t="b">
        <v>1</v>
      </c>
      <c r="AI25" s="86" t="b">
        <v>1</v>
      </c>
      <c r="AJ25" s="86" t="b">
        <v>1</v>
      </c>
      <c r="AK25" s="86" t="b">
        <v>1</v>
      </c>
      <c r="AL25" s="86" t="b">
        <v>1</v>
      </c>
      <c r="AM25" s="86" t="b">
        <v>1</v>
      </c>
      <c r="AN25" s="86" t="b">
        <v>1</v>
      </c>
      <c r="AO25" s="86" t="b">
        <v>1</v>
      </c>
      <c r="AP25" s="86" t="b">
        <v>1</v>
      </c>
      <c r="AQ25" s="86" t="b">
        <v>1</v>
      </c>
      <c r="AR25" s="86" t="b">
        <v>1</v>
      </c>
      <c r="AS25" s="86" t="b">
        <v>1</v>
      </c>
      <c r="AT25" s="86" t="b">
        <v>1</v>
      </c>
      <c r="AU25" s="86" t="b">
        <v>1</v>
      </c>
      <c r="AV25" s="86" t="b">
        <v>1</v>
      </c>
      <c r="AW25" s="86" t="b">
        <v>1</v>
      </c>
      <c r="AX25" s="86" t="b">
        <v>1</v>
      </c>
      <c r="AY25" s="86" t="b">
        <v>1</v>
      </c>
      <c r="AZ25" s="86" t="b">
        <v>1</v>
      </c>
      <c r="BA25" s="86" t="b">
        <v>1</v>
      </c>
      <c r="BB25" s="86" t="b">
        <v>1</v>
      </c>
      <c r="BC25" s="86" t="b">
        <v>1</v>
      </c>
      <c r="BD25" s="86" t="b">
        <v>1</v>
      </c>
      <c r="BE25" s="86" t="b">
        <v>1</v>
      </c>
      <c r="BF25" s="86" t="b">
        <v>1</v>
      </c>
      <c r="BG25" s="86" t="b">
        <v>1</v>
      </c>
      <c r="BH25" s="86" t="b">
        <v>1</v>
      </c>
      <c r="BI25" s="86" t="b">
        <v>1</v>
      </c>
      <c r="BJ25" s="86" t="b">
        <v>1</v>
      </c>
    </row>
    <row r="26" outlineLevel="1">
      <c r="A26" s="86">
        <v>24.0</v>
      </c>
      <c r="B26" s="86" t="s">
        <v>109</v>
      </c>
      <c r="C26" s="86" t="s">
        <v>108</v>
      </c>
      <c r="D26" s="87"/>
      <c r="E26" s="87"/>
      <c r="F26" s="88">
        <v>0.0336</v>
      </c>
      <c r="G26" s="88">
        <v>0.0258</v>
      </c>
      <c r="H26" s="89">
        <v>0.0329</v>
      </c>
      <c r="I26" s="89">
        <v>0.034</v>
      </c>
      <c r="J26" s="89">
        <v>0.0324</v>
      </c>
      <c r="K26" s="84"/>
      <c r="L26" s="84"/>
      <c r="M26" s="82"/>
      <c r="N26" s="84"/>
      <c r="O26" s="84"/>
      <c r="P26" s="84"/>
      <c r="Q26" s="84"/>
      <c r="R26" s="84"/>
      <c r="S26" s="90"/>
      <c r="T26" s="90"/>
      <c r="U26" s="90"/>
      <c r="V26" s="90"/>
      <c r="W26" s="90"/>
      <c r="X26" s="90"/>
      <c r="Y26" s="90"/>
      <c r="Z26" s="90"/>
      <c r="AA26" s="90"/>
      <c r="AB26" s="90"/>
      <c r="AC26" s="90"/>
      <c r="AD26" s="90"/>
      <c r="AE26" s="90"/>
      <c r="AF26" s="90"/>
      <c r="AG26" s="86" t="b">
        <v>1</v>
      </c>
      <c r="AH26" s="86" t="b">
        <v>1</v>
      </c>
      <c r="AI26" s="86" t="b">
        <v>1</v>
      </c>
      <c r="AJ26" s="86" t="b">
        <v>1</v>
      </c>
      <c r="AK26" s="86" t="b">
        <v>1</v>
      </c>
      <c r="AL26" s="86" t="b">
        <v>1</v>
      </c>
      <c r="AM26" s="86" t="b">
        <v>1</v>
      </c>
      <c r="AN26" s="86" t="b">
        <v>1</v>
      </c>
      <c r="AO26" s="86" t="b">
        <v>1</v>
      </c>
      <c r="AP26" s="86" t="b">
        <v>1</v>
      </c>
      <c r="AQ26" s="86" t="b">
        <v>1</v>
      </c>
      <c r="AR26" s="86" t="b">
        <v>1</v>
      </c>
      <c r="AS26" s="86" t="b">
        <v>1</v>
      </c>
      <c r="AT26" s="86" t="b">
        <v>1</v>
      </c>
      <c r="AU26" s="86" t="b">
        <v>1</v>
      </c>
      <c r="AV26" s="86" t="b">
        <v>1</v>
      </c>
      <c r="AW26" s="86" t="b">
        <v>1</v>
      </c>
      <c r="AX26" s="86" t="b">
        <v>1</v>
      </c>
      <c r="AY26" s="86" t="b">
        <v>1</v>
      </c>
      <c r="AZ26" s="86" t="b">
        <v>1</v>
      </c>
      <c r="BA26" s="86" t="b">
        <v>1</v>
      </c>
      <c r="BB26" s="86" t="b">
        <v>1</v>
      </c>
      <c r="BC26" s="86" t="b">
        <v>1</v>
      </c>
      <c r="BD26" s="86" t="b">
        <v>1</v>
      </c>
      <c r="BE26" s="86" t="b">
        <v>1</v>
      </c>
      <c r="BF26" s="86" t="b">
        <v>1</v>
      </c>
      <c r="BG26" s="86" t="b">
        <v>1</v>
      </c>
      <c r="BH26" s="86" t="b">
        <v>1</v>
      </c>
      <c r="BI26" s="86" t="b">
        <v>1</v>
      </c>
      <c r="BJ26" s="86" t="b">
        <v>1</v>
      </c>
    </row>
    <row r="27" outlineLevel="1">
      <c r="A27" s="86">
        <v>25.0</v>
      </c>
      <c r="B27" s="86" t="s">
        <v>102</v>
      </c>
      <c r="C27" s="86" t="s">
        <v>108</v>
      </c>
      <c r="D27" s="87"/>
      <c r="E27" s="87"/>
      <c r="F27" s="87"/>
      <c r="G27" s="88">
        <v>0.03</v>
      </c>
      <c r="H27" s="89">
        <v>0.0319</v>
      </c>
      <c r="I27" s="89">
        <v>0.0325</v>
      </c>
      <c r="J27" s="89">
        <v>0.0324</v>
      </c>
      <c r="K27" s="84"/>
      <c r="L27" s="84"/>
      <c r="M27" s="82"/>
      <c r="N27" s="84"/>
      <c r="O27" s="84"/>
      <c r="P27" s="84"/>
      <c r="Q27" s="84"/>
      <c r="R27" s="84"/>
      <c r="S27" s="90"/>
      <c r="T27" s="90"/>
      <c r="U27" s="90"/>
      <c r="V27" s="90"/>
      <c r="W27" s="90"/>
      <c r="X27" s="90"/>
      <c r="Y27" s="90"/>
      <c r="Z27" s="90"/>
      <c r="AA27" s="90"/>
      <c r="AB27" s="90"/>
      <c r="AC27" s="90"/>
      <c r="AD27" s="90"/>
      <c r="AE27" s="90"/>
      <c r="AF27" s="90"/>
      <c r="AG27" s="90"/>
      <c r="AH27" s="90"/>
      <c r="AI27" s="90"/>
      <c r="AJ27" s="90"/>
      <c r="AK27" s="86" t="b">
        <v>1</v>
      </c>
      <c r="AL27" s="86" t="b">
        <v>1</v>
      </c>
      <c r="AM27" s="86" t="b">
        <v>1</v>
      </c>
      <c r="AN27" s="86" t="b">
        <v>1</v>
      </c>
      <c r="AO27" s="86" t="b">
        <v>1</v>
      </c>
      <c r="AP27" s="86" t="b">
        <v>1</v>
      </c>
      <c r="AQ27" s="86" t="b">
        <v>1</v>
      </c>
      <c r="AR27" s="86" t="b">
        <v>1</v>
      </c>
      <c r="AS27" s="86" t="b">
        <v>1</v>
      </c>
      <c r="AT27" s="86" t="b">
        <v>1</v>
      </c>
      <c r="AU27" s="86" t="b">
        <v>1</v>
      </c>
      <c r="AV27" s="86" t="b">
        <v>1</v>
      </c>
      <c r="AW27" s="86" t="b">
        <v>1</v>
      </c>
      <c r="AX27" s="86" t="b">
        <v>1</v>
      </c>
      <c r="AY27" s="86" t="b">
        <v>1</v>
      </c>
      <c r="AZ27" s="86" t="b">
        <v>1</v>
      </c>
      <c r="BA27" s="86" t="b">
        <v>1</v>
      </c>
      <c r="BB27" s="86" t="b">
        <v>1</v>
      </c>
      <c r="BC27" s="86" t="b">
        <v>1</v>
      </c>
      <c r="BD27" s="86" t="b">
        <v>1</v>
      </c>
      <c r="BE27" s="86" t="b">
        <v>1</v>
      </c>
      <c r="BF27" s="86" t="b">
        <v>1</v>
      </c>
      <c r="BG27" s="86" t="b">
        <v>1</v>
      </c>
      <c r="BH27" s="86" t="b">
        <v>1</v>
      </c>
      <c r="BI27" s="86" t="b">
        <v>1</v>
      </c>
      <c r="BJ27" s="86" t="b">
        <v>1</v>
      </c>
    </row>
    <row r="28" outlineLevel="1">
      <c r="A28" s="86">
        <v>26.0</v>
      </c>
      <c r="B28" s="86" t="s">
        <v>102</v>
      </c>
      <c r="C28" s="86" t="s">
        <v>108</v>
      </c>
      <c r="D28" s="87"/>
      <c r="E28" s="87"/>
      <c r="F28" s="87"/>
      <c r="G28" s="88">
        <v>0.03</v>
      </c>
      <c r="H28" s="89">
        <v>0.0319</v>
      </c>
      <c r="I28" s="89">
        <v>0.0325</v>
      </c>
      <c r="J28" s="89">
        <v>0.0324</v>
      </c>
      <c r="K28" s="84"/>
      <c r="L28" s="84"/>
      <c r="M28" s="82"/>
      <c r="N28" s="84"/>
      <c r="O28" s="84"/>
      <c r="P28" s="84"/>
      <c r="Q28" s="84"/>
      <c r="R28" s="84"/>
      <c r="S28" s="90"/>
      <c r="T28" s="90"/>
      <c r="U28" s="90"/>
      <c r="V28" s="90"/>
      <c r="W28" s="90"/>
      <c r="X28" s="90"/>
      <c r="Y28" s="90"/>
      <c r="Z28" s="90"/>
      <c r="AA28" s="90"/>
      <c r="AB28" s="90"/>
      <c r="AC28" s="90"/>
      <c r="AD28" s="90"/>
      <c r="AE28" s="90"/>
      <c r="AF28" s="90"/>
      <c r="AG28" s="90"/>
      <c r="AH28" s="90"/>
      <c r="AI28" s="90"/>
      <c r="AJ28" s="90"/>
      <c r="AK28" s="86" t="b">
        <v>1</v>
      </c>
      <c r="AL28" s="86" t="b">
        <v>1</v>
      </c>
      <c r="AM28" s="86" t="b">
        <v>1</v>
      </c>
      <c r="AN28" s="86" t="b">
        <v>1</v>
      </c>
      <c r="AO28" s="86" t="b">
        <v>1</v>
      </c>
      <c r="AP28" s="86" t="b">
        <v>1</v>
      </c>
      <c r="AQ28" s="86" t="b">
        <v>1</v>
      </c>
      <c r="AR28" s="86" t="b">
        <v>1</v>
      </c>
      <c r="AS28" s="86" t="b">
        <v>1</v>
      </c>
      <c r="AT28" s="86" t="b">
        <v>1</v>
      </c>
      <c r="AU28" s="86" t="b">
        <v>1</v>
      </c>
      <c r="AV28" s="86" t="b">
        <v>1</v>
      </c>
      <c r="AW28" s="86" t="b">
        <v>1</v>
      </c>
      <c r="AX28" s="86" t="b">
        <v>1</v>
      </c>
      <c r="AY28" s="86" t="b">
        <v>1</v>
      </c>
      <c r="AZ28" s="86" t="b">
        <v>1</v>
      </c>
      <c r="BA28" s="86" t="b">
        <v>1</v>
      </c>
      <c r="BB28" s="86" t="b">
        <v>1</v>
      </c>
      <c r="BC28" s="86" t="b">
        <v>1</v>
      </c>
      <c r="BD28" s="86" t="b">
        <v>1</v>
      </c>
      <c r="BE28" s="86" t="b">
        <v>1</v>
      </c>
      <c r="BF28" s="86" t="b">
        <v>1</v>
      </c>
      <c r="BG28" s="86" t="b">
        <v>1</v>
      </c>
      <c r="BH28" s="86" t="b">
        <v>1</v>
      </c>
      <c r="BI28" s="86" t="b">
        <v>1</v>
      </c>
      <c r="BJ28" s="86" t="b">
        <v>1</v>
      </c>
    </row>
    <row r="29" outlineLevel="1">
      <c r="A29" s="86">
        <v>27.0</v>
      </c>
      <c r="B29" s="86" t="s">
        <v>103</v>
      </c>
      <c r="C29" s="86" t="s">
        <v>97</v>
      </c>
      <c r="D29" s="87"/>
      <c r="E29" s="87"/>
      <c r="F29" s="87"/>
      <c r="G29" s="88">
        <v>0.0166</v>
      </c>
      <c r="H29" s="89">
        <v>0.0125</v>
      </c>
      <c r="I29" s="89">
        <v>0.0127</v>
      </c>
      <c r="J29" s="89">
        <v>0.0162</v>
      </c>
      <c r="K29" s="84"/>
      <c r="L29" s="84"/>
      <c r="M29" s="82"/>
      <c r="N29" s="84"/>
      <c r="O29" s="84"/>
      <c r="P29" s="84"/>
      <c r="Q29" s="84"/>
      <c r="R29" s="84"/>
      <c r="S29" s="90"/>
      <c r="T29" s="90"/>
      <c r="U29" s="90"/>
      <c r="V29" s="90"/>
      <c r="W29" s="90"/>
      <c r="X29" s="90"/>
      <c r="Y29" s="90"/>
      <c r="Z29" s="90"/>
      <c r="AA29" s="90"/>
      <c r="AB29" s="90"/>
      <c r="AC29" s="90"/>
      <c r="AD29" s="90"/>
      <c r="AE29" s="90"/>
      <c r="AF29" s="90"/>
      <c r="AG29" s="90"/>
      <c r="AH29" s="90"/>
      <c r="AI29" s="90"/>
      <c r="AJ29" s="90"/>
      <c r="AK29" s="86" t="b">
        <v>1</v>
      </c>
      <c r="AL29" s="86" t="b">
        <v>1</v>
      </c>
      <c r="AM29" s="86" t="b">
        <v>1</v>
      </c>
      <c r="AN29" s="86" t="b">
        <v>1</v>
      </c>
      <c r="AO29" s="86" t="b">
        <v>1</v>
      </c>
      <c r="AP29" s="86" t="b">
        <v>1</v>
      </c>
      <c r="AQ29" s="86" t="b">
        <v>1</v>
      </c>
      <c r="AR29" s="86" t="b">
        <v>1</v>
      </c>
      <c r="AS29" s="86" t="b">
        <v>1</v>
      </c>
      <c r="AT29" s="86" t="b">
        <v>1</v>
      </c>
      <c r="AU29" s="86" t="b">
        <v>1</v>
      </c>
      <c r="AV29" s="86" t="b">
        <v>1</v>
      </c>
      <c r="AW29" s="86" t="b">
        <v>1</v>
      </c>
      <c r="AX29" s="86" t="b">
        <v>1</v>
      </c>
      <c r="AY29" s="86" t="b">
        <v>1</v>
      </c>
      <c r="AZ29" s="86" t="b">
        <v>1</v>
      </c>
      <c r="BA29" s="86" t="b">
        <v>1</v>
      </c>
      <c r="BB29" s="86" t="b">
        <v>1</v>
      </c>
      <c r="BC29" s="86" t="b">
        <v>1</v>
      </c>
      <c r="BD29" s="86" t="b">
        <v>1</v>
      </c>
      <c r="BE29" s="86" t="b">
        <v>1</v>
      </c>
      <c r="BF29" s="86" t="b">
        <v>1</v>
      </c>
      <c r="BG29" s="86" t="b">
        <v>1</v>
      </c>
      <c r="BH29" s="86" t="b">
        <v>1</v>
      </c>
      <c r="BI29" s="86" t="b">
        <v>1</v>
      </c>
      <c r="BJ29" s="86" t="b">
        <v>1</v>
      </c>
    </row>
    <row r="30" outlineLevel="1">
      <c r="A30" s="86">
        <v>28.0</v>
      </c>
      <c r="B30" s="86" t="s">
        <v>109</v>
      </c>
      <c r="C30" s="86" t="s">
        <v>108</v>
      </c>
      <c r="D30" s="87"/>
      <c r="E30" s="87"/>
      <c r="F30" s="87"/>
      <c r="G30" s="87"/>
      <c r="H30" s="89">
        <v>0.0319</v>
      </c>
      <c r="I30" s="89">
        <v>0.0325</v>
      </c>
      <c r="J30" s="89">
        <v>0.0324</v>
      </c>
      <c r="K30" s="84"/>
      <c r="L30" s="84"/>
      <c r="M30" s="82"/>
      <c r="N30" s="84"/>
      <c r="O30" s="84"/>
      <c r="P30" s="84"/>
      <c r="Q30" s="84"/>
      <c r="R30" s="84"/>
      <c r="S30" s="90"/>
      <c r="T30" s="90"/>
      <c r="U30" s="90"/>
      <c r="V30" s="90"/>
      <c r="W30" s="90"/>
      <c r="X30" s="90"/>
      <c r="Y30" s="90"/>
      <c r="Z30" s="90"/>
      <c r="AA30" s="90"/>
      <c r="AB30" s="90"/>
      <c r="AC30" s="90"/>
      <c r="AD30" s="84"/>
      <c r="AE30" s="84"/>
      <c r="AF30" s="84"/>
      <c r="AG30" s="84"/>
      <c r="AH30" s="90"/>
      <c r="AI30" s="90"/>
      <c r="AJ30" s="90"/>
      <c r="AK30" s="90"/>
      <c r="AL30" s="90"/>
      <c r="AM30" s="90"/>
      <c r="AN30" s="90"/>
      <c r="AO30" s="86" t="b">
        <v>1</v>
      </c>
      <c r="AP30" s="86" t="b">
        <v>1</v>
      </c>
      <c r="AQ30" s="86" t="b">
        <v>1</v>
      </c>
      <c r="AR30" s="86" t="b">
        <v>1</v>
      </c>
      <c r="AS30" s="86" t="b">
        <v>1</v>
      </c>
      <c r="AT30" s="86" t="b">
        <v>1</v>
      </c>
      <c r="AU30" s="86" t="b">
        <v>1</v>
      </c>
      <c r="AV30" s="86" t="b">
        <v>1</v>
      </c>
      <c r="AW30" s="86" t="b">
        <v>1</v>
      </c>
      <c r="AX30" s="86" t="b">
        <v>1</v>
      </c>
      <c r="AY30" s="86" t="b">
        <v>1</v>
      </c>
      <c r="AZ30" s="86" t="b">
        <v>1</v>
      </c>
      <c r="BA30" s="86" t="b">
        <v>1</v>
      </c>
      <c r="BB30" s="86" t="b">
        <v>1</v>
      </c>
      <c r="BC30" s="86" t="b">
        <v>1</v>
      </c>
      <c r="BD30" s="86" t="b">
        <v>1</v>
      </c>
      <c r="BE30" s="86" t="b">
        <v>1</v>
      </c>
      <c r="BF30" s="86" t="b">
        <v>1</v>
      </c>
      <c r="BG30" s="86" t="b">
        <v>1</v>
      </c>
      <c r="BH30" s="86" t="b">
        <v>1</v>
      </c>
      <c r="BI30" s="86" t="b">
        <v>1</v>
      </c>
      <c r="BJ30" s="86" t="b">
        <v>1</v>
      </c>
    </row>
    <row r="31" outlineLevel="1">
      <c r="A31" s="86">
        <v>29.0</v>
      </c>
      <c r="B31" s="86" t="s">
        <v>110</v>
      </c>
      <c r="C31" s="86" t="s">
        <v>107</v>
      </c>
      <c r="D31" s="87"/>
      <c r="E31" s="87"/>
      <c r="F31" s="87"/>
      <c r="G31" s="87"/>
      <c r="H31" s="89">
        <v>0.0273</v>
      </c>
      <c r="I31" s="89">
        <v>0.0278</v>
      </c>
      <c r="J31" s="89">
        <v>0.0278</v>
      </c>
      <c r="K31" s="84"/>
      <c r="L31" s="84"/>
      <c r="M31" s="82"/>
      <c r="N31" s="84"/>
      <c r="O31" s="84"/>
      <c r="P31" s="84"/>
      <c r="Q31" s="84"/>
      <c r="R31" s="84"/>
      <c r="S31" s="90"/>
      <c r="T31" s="90"/>
      <c r="U31" s="90"/>
      <c r="V31" s="90"/>
      <c r="W31" s="90"/>
      <c r="X31" s="90"/>
      <c r="Y31" s="90"/>
      <c r="Z31" s="90"/>
      <c r="AA31" s="90"/>
      <c r="AB31" s="90"/>
      <c r="AC31" s="90"/>
      <c r="AD31" s="84"/>
      <c r="AE31" s="84"/>
      <c r="AF31" s="84"/>
      <c r="AG31" s="84"/>
      <c r="AH31" s="90"/>
      <c r="AI31" s="90"/>
      <c r="AJ31" s="90"/>
      <c r="AK31" s="90"/>
      <c r="AL31" s="90"/>
      <c r="AM31" s="90"/>
      <c r="AN31" s="90"/>
      <c r="AO31" s="86" t="b">
        <v>1</v>
      </c>
      <c r="AP31" s="86" t="b">
        <v>1</v>
      </c>
      <c r="AQ31" s="86" t="b">
        <v>1</v>
      </c>
      <c r="AR31" s="86" t="b">
        <v>1</v>
      </c>
      <c r="AS31" s="86" t="b">
        <v>1</v>
      </c>
      <c r="AT31" s="86" t="b">
        <v>1</v>
      </c>
      <c r="AU31" s="86" t="b">
        <v>1</v>
      </c>
      <c r="AV31" s="86" t="b">
        <v>1</v>
      </c>
      <c r="AW31" s="86" t="b">
        <v>1</v>
      </c>
      <c r="AX31" s="86" t="b">
        <v>1</v>
      </c>
      <c r="AY31" s="86" t="b">
        <v>1</v>
      </c>
      <c r="AZ31" s="86" t="b">
        <v>1</v>
      </c>
      <c r="BA31" s="86" t="b">
        <v>1</v>
      </c>
      <c r="BB31" s="86" t="b">
        <v>1</v>
      </c>
      <c r="BC31" s="86" t="b">
        <v>1</v>
      </c>
      <c r="BD31" s="86" t="b">
        <v>1</v>
      </c>
      <c r="BE31" s="86" t="b">
        <v>1</v>
      </c>
      <c r="BF31" s="86" t="b">
        <v>1</v>
      </c>
      <c r="BG31" s="86" t="b">
        <v>1</v>
      </c>
      <c r="BH31" s="86" t="b">
        <v>1</v>
      </c>
      <c r="BI31" s="86" t="b">
        <v>1</v>
      </c>
      <c r="BJ31" s="86" t="b">
        <v>1</v>
      </c>
    </row>
    <row r="32" outlineLevel="1">
      <c r="A32" s="86">
        <v>30.0</v>
      </c>
      <c r="B32" s="86" t="s">
        <v>110</v>
      </c>
      <c r="C32" s="86" t="s">
        <v>108</v>
      </c>
      <c r="D32" s="87"/>
      <c r="E32" s="87"/>
      <c r="F32" s="87"/>
      <c r="G32" s="87"/>
      <c r="H32" s="89">
        <v>0.0273</v>
      </c>
      <c r="I32" s="89">
        <v>0.0278</v>
      </c>
      <c r="J32" s="89">
        <v>0.0278</v>
      </c>
      <c r="K32" s="84"/>
      <c r="L32" s="84"/>
      <c r="M32" s="82"/>
      <c r="N32" s="84"/>
      <c r="O32" s="84"/>
      <c r="P32" s="84"/>
      <c r="Q32" s="84"/>
      <c r="R32" s="84"/>
      <c r="S32" s="90"/>
      <c r="T32" s="90"/>
      <c r="U32" s="90"/>
      <c r="V32" s="90"/>
      <c r="W32" s="90"/>
      <c r="X32" s="90"/>
      <c r="Y32" s="90"/>
      <c r="Z32" s="90"/>
      <c r="AA32" s="90"/>
      <c r="AB32" s="90"/>
      <c r="AC32" s="90"/>
      <c r="AD32" s="84"/>
      <c r="AE32" s="84"/>
      <c r="AF32" s="84"/>
      <c r="AG32" s="84"/>
      <c r="AH32" s="90"/>
      <c r="AI32" s="90"/>
      <c r="AJ32" s="90"/>
      <c r="AK32" s="90"/>
      <c r="AL32" s="90"/>
      <c r="AM32" s="90"/>
      <c r="AN32" s="90"/>
      <c r="AO32" s="86" t="b">
        <v>1</v>
      </c>
      <c r="AP32" s="86" t="b">
        <v>1</v>
      </c>
      <c r="AQ32" s="86" t="b">
        <v>1</v>
      </c>
      <c r="AR32" s="86" t="b">
        <v>1</v>
      </c>
      <c r="AS32" s="86" t="b">
        <v>1</v>
      </c>
      <c r="AT32" s="86" t="b">
        <v>1</v>
      </c>
      <c r="AU32" s="86" t="b">
        <v>1</v>
      </c>
      <c r="AV32" s="86" t="b">
        <v>1</v>
      </c>
      <c r="AW32" s="86" t="b">
        <v>1</v>
      </c>
      <c r="AX32" s="86" t="b">
        <v>1</v>
      </c>
      <c r="AY32" s="86" t="b">
        <v>1</v>
      </c>
      <c r="AZ32" s="86" t="b">
        <v>1</v>
      </c>
      <c r="BA32" s="86" t="b">
        <v>1</v>
      </c>
      <c r="BB32" s="86" t="b">
        <v>1</v>
      </c>
      <c r="BC32" s="86" t="b">
        <v>1</v>
      </c>
      <c r="BD32" s="86" t="b">
        <v>1</v>
      </c>
      <c r="BE32" s="86" t="b">
        <v>1</v>
      </c>
      <c r="BF32" s="86" t="b">
        <v>1</v>
      </c>
      <c r="BG32" s="86" t="b">
        <v>1</v>
      </c>
      <c r="BH32" s="86" t="b">
        <v>1</v>
      </c>
      <c r="BI32" s="86" t="b">
        <v>1</v>
      </c>
      <c r="BJ32" s="86" t="b">
        <v>1</v>
      </c>
    </row>
    <row r="33" outlineLevel="1">
      <c r="A33" s="86">
        <v>31.0</v>
      </c>
      <c r="B33" s="86" t="s">
        <v>98</v>
      </c>
      <c r="C33" s="86"/>
      <c r="D33" s="87"/>
      <c r="E33" s="87"/>
      <c r="F33" s="87"/>
      <c r="G33" s="87"/>
      <c r="H33" s="89"/>
      <c r="I33" s="89">
        <v>0.0249</v>
      </c>
      <c r="J33" s="89">
        <v>0.0231</v>
      </c>
      <c r="K33" s="84"/>
      <c r="L33" s="84"/>
      <c r="M33" s="82"/>
      <c r="N33" s="84"/>
      <c r="O33" s="84"/>
      <c r="P33" s="84"/>
      <c r="Q33" s="84"/>
      <c r="R33" s="84"/>
      <c r="S33" s="90"/>
      <c r="T33" s="90"/>
      <c r="U33" s="90"/>
      <c r="V33" s="90"/>
      <c r="W33" s="90"/>
      <c r="X33" s="90"/>
      <c r="Y33" s="90"/>
      <c r="Z33" s="90"/>
      <c r="AA33" s="90"/>
      <c r="AB33" s="90"/>
      <c r="AC33" s="90"/>
      <c r="AD33" s="84"/>
      <c r="AE33" s="84"/>
      <c r="AF33" s="84"/>
      <c r="AG33" s="84"/>
      <c r="AH33" s="90"/>
      <c r="AI33" s="82"/>
      <c r="AJ33" s="82"/>
      <c r="AK33" s="82"/>
      <c r="AL33" s="82"/>
      <c r="AM33" s="82"/>
      <c r="AN33" s="90"/>
      <c r="AO33" s="82"/>
      <c r="AP33" s="82"/>
      <c r="AQ33" s="82"/>
      <c r="AR33" s="82"/>
      <c r="AS33" s="86" t="b">
        <v>1</v>
      </c>
      <c r="AT33" s="86" t="b">
        <v>1</v>
      </c>
      <c r="AU33" s="86" t="b">
        <v>1</v>
      </c>
      <c r="AV33" s="86" t="b">
        <v>1</v>
      </c>
      <c r="AW33" s="86" t="b">
        <v>1</v>
      </c>
      <c r="AX33" s="86" t="b">
        <v>1</v>
      </c>
      <c r="AY33" s="86" t="b">
        <v>1</v>
      </c>
      <c r="AZ33" s="86" t="b">
        <v>1</v>
      </c>
      <c r="BA33" s="86" t="b">
        <v>1</v>
      </c>
      <c r="BB33" s="86" t="b">
        <v>1</v>
      </c>
      <c r="BC33" s="86" t="b">
        <v>1</v>
      </c>
      <c r="BD33" s="86" t="b">
        <v>1</v>
      </c>
      <c r="BE33" s="86" t="b">
        <v>1</v>
      </c>
      <c r="BF33" s="86" t="b">
        <v>1</v>
      </c>
      <c r="BG33" s="86" t="b">
        <v>1</v>
      </c>
      <c r="BH33" s="86" t="b">
        <v>1</v>
      </c>
      <c r="BI33" s="86" t="b">
        <v>1</v>
      </c>
      <c r="BJ33" s="86" t="b">
        <v>1</v>
      </c>
    </row>
    <row r="34" outlineLevel="1">
      <c r="A34" s="86">
        <v>32.0</v>
      </c>
      <c r="B34" s="86" t="s">
        <v>98</v>
      </c>
      <c r="C34" s="86"/>
      <c r="D34" s="87"/>
      <c r="E34" s="87"/>
      <c r="F34" s="87"/>
      <c r="G34" s="87"/>
      <c r="H34" s="89"/>
      <c r="I34" s="89">
        <v>0.0249</v>
      </c>
      <c r="J34" s="89">
        <v>0.0231</v>
      </c>
      <c r="K34" s="84"/>
      <c r="L34" s="84"/>
      <c r="M34" s="82"/>
      <c r="N34" s="84"/>
      <c r="O34" s="84"/>
      <c r="P34" s="84"/>
      <c r="Q34" s="84"/>
      <c r="R34" s="84"/>
      <c r="S34" s="90"/>
      <c r="T34" s="90"/>
      <c r="U34" s="90"/>
      <c r="V34" s="90"/>
      <c r="W34" s="90"/>
      <c r="X34" s="90"/>
      <c r="Y34" s="90"/>
      <c r="Z34" s="90"/>
      <c r="AA34" s="90"/>
      <c r="AB34" s="90"/>
      <c r="AC34" s="90"/>
      <c r="AD34" s="84"/>
      <c r="AE34" s="84"/>
      <c r="AF34" s="84"/>
      <c r="AG34" s="84"/>
      <c r="AH34" s="82"/>
      <c r="AI34" s="82"/>
      <c r="AJ34" s="82"/>
      <c r="AK34" s="82"/>
      <c r="AL34" s="82"/>
      <c r="AM34" s="82"/>
      <c r="AN34" s="82"/>
      <c r="AO34" s="82"/>
      <c r="AP34" s="82"/>
      <c r="AQ34" s="82"/>
      <c r="AR34" s="82"/>
      <c r="AS34" s="86" t="b">
        <v>1</v>
      </c>
      <c r="AT34" s="86" t="b">
        <v>1</v>
      </c>
      <c r="AU34" s="86" t="b">
        <v>1</v>
      </c>
      <c r="AV34" s="86" t="b">
        <v>1</v>
      </c>
      <c r="AW34" s="86" t="b">
        <v>1</v>
      </c>
      <c r="AX34" s="86" t="b">
        <v>1</v>
      </c>
      <c r="AY34" s="86" t="b">
        <v>1</v>
      </c>
      <c r="AZ34" s="86" t="b">
        <v>1</v>
      </c>
      <c r="BA34" s="86" t="b">
        <v>1</v>
      </c>
      <c r="BB34" s="86" t="b">
        <v>1</v>
      </c>
      <c r="BC34" s="86" t="b">
        <v>1</v>
      </c>
      <c r="BD34" s="86" t="b">
        <v>1</v>
      </c>
      <c r="BE34" s="86" t="b">
        <v>1</v>
      </c>
      <c r="BF34" s="86" t="b">
        <v>1</v>
      </c>
      <c r="BG34" s="86" t="b">
        <v>1</v>
      </c>
      <c r="BH34" s="86" t="b">
        <v>1</v>
      </c>
      <c r="BI34" s="86" t="b">
        <v>1</v>
      </c>
      <c r="BJ34" s="86" t="b">
        <v>1</v>
      </c>
    </row>
    <row r="35" outlineLevel="1">
      <c r="A35" s="86">
        <v>33.0</v>
      </c>
      <c r="B35" s="86" t="s">
        <v>103</v>
      </c>
      <c r="C35" s="86"/>
      <c r="D35" s="87"/>
      <c r="E35" s="87"/>
      <c r="F35" s="87"/>
      <c r="G35" s="87"/>
      <c r="H35" s="89"/>
      <c r="I35" s="89">
        <v>0.015</v>
      </c>
      <c r="J35" s="89">
        <v>0.0162</v>
      </c>
      <c r="K35" s="84"/>
      <c r="L35" s="84"/>
      <c r="M35" s="82"/>
      <c r="N35" s="84"/>
      <c r="O35" s="84"/>
      <c r="P35" s="84"/>
      <c r="Q35" s="84"/>
      <c r="R35" s="84"/>
      <c r="S35" s="90"/>
      <c r="T35" s="90"/>
      <c r="U35" s="90"/>
      <c r="V35" s="90"/>
      <c r="W35" s="90"/>
      <c r="X35" s="90"/>
      <c r="Y35" s="90"/>
      <c r="Z35" s="90"/>
      <c r="AA35" s="90"/>
      <c r="AB35" s="90"/>
      <c r="AC35" s="90"/>
      <c r="AD35" s="84"/>
      <c r="AE35" s="84"/>
      <c r="AF35" s="84"/>
      <c r="AG35" s="84"/>
      <c r="AH35" s="82"/>
      <c r="AI35" s="82"/>
      <c r="AJ35" s="82"/>
      <c r="AK35" s="82"/>
      <c r="AL35" s="82"/>
      <c r="AM35" s="82"/>
      <c r="AN35" s="82"/>
      <c r="AO35" s="82"/>
      <c r="AP35" s="82"/>
      <c r="AQ35" s="82"/>
      <c r="AR35" s="82"/>
      <c r="AS35" s="86" t="b">
        <v>1</v>
      </c>
      <c r="AT35" s="86" t="b">
        <v>1</v>
      </c>
      <c r="AU35" s="86" t="b">
        <v>1</v>
      </c>
      <c r="AV35" s="86" t="b">
        <v>1</v>
      </c>
      <c r="AW35" s="86" t="b">
        <v>1</v>
      </c>
      <c r="AX35" s="86" t="b">
        <v>1</v>
      </c>
      <c r="AY35" s="86" t="b">
        <v>1</v>
      </c>
      <c r="AZ35" s="86" t="b">
        <v>1</v>
      </c>
      <c r="BA35" s="86" t="b">
        <v>1</v>
      </c>
      <c r="BB35" s="86" t="b">
        <v>1</v>
      </c>
      <c r="BC35" s="86" t="b">
        <v>1</v>
      </c>
      <c r="BD35" s="86" t="b">
        <v>1</v>
      </c>
      <c r="BE35" s="86" t="b">
        <v>1</v>
      </c>
      <c r="BF35" s="86" t="b">
        <v>1</v>
      </c>
      <c r="BG35" s="86" t="b">
        <v>1</v>
      </c>
      <c r="BH35" s="86" t="b">
        <v>1</v>
      </c>
      <c r="BI35" s="86" t="b">
        <v>1</v>
      </c>
      <c r="BJ35" s="86" t="b">
        <v>1</v>
      </c>
    </row>
    <row r="36" outlineLevel="1">
      <c r="A36" s="86">
        <v>34.0</v>
      </c>
      <c r="B36" s="86" t="s">
        <v>103</v>
      </c>
      <c r="C36" s="86"/>
      <c r="D36" s="87"/>
      <c r="E36" s="87"/>
      <c r="F36" s="87"/>
      <c r="G36" s="87"/>
      <c r="H36" s="89"/>
      <c r="I36" s="89"/>
      <c r="J36" s="89">
        <v>0.0162</v>
      </c>
      <c r="K36" s="84"/>
      <c r="L36" s="84"/>
      <c r="M36" s="82"/>
      <c r="N36" s="84"/>
      <c r="O36" s="84"/>
      <c r="P36" s="84"/>
      <c r="Q36" s="84"/>
      <c r="R36" s="84"/>
      <c r="S36" s="90"/>
      <c r="T36" s="90"/>
      <c r="U36" s="90"/>
      <c r="V36" s="90"/>
      <c r="W36" s="90"/>
      <c r="X36" s="90"/>
      <c r="Y36" s="90"/>
      <c r="Z36" s="90"/>
      <c r="AA36" s="90"/>
      <c r="AB36" s="90"/>
      <c r="AC36" s="90"/>
      <c r="AD36" s="84"/>
      <c r="AE36" s="84"/>
      <c r="AF36" s="84"/>
      <c r="AG36" s="84"/>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6" t="b">
        <v>1</v>
      </c>
      <c r="BH36" s="86" t="b">
        <v>1</v>
      </c>
      <c r="BI36" s="86" t="b">
        <v>1</v>
      </c>
      <c r="BJ36" s="86" t="b">
        <v>1</v>
      </c>
    </row>
    <row r="37" outlineLevel="1">
      <c r="A37" s="86">
        <v>35.0</v>
      </c>
      <c r="B37" s="86" t="s">
        <v>103</v>
      </c>
      <c r="C37" s="86"/>
      <c r="D37" s="87"/>
      <c r="E37" s="87"/>
      <c r="F37" s="87"/>
      <c r="G37" s="87"/>
      <c r="H37" s="89"/>
      <c r="I37" s="89"/>
      <c r="J37" s="89">
        <v>0.0162</v>
      </c>
      <c r="K37" s="84"/>
      <c r="L37" s="84"/>
      <c r="M37" s="82"/>
      <c r="N37" s="84"/>
      <c r="O37" s="84"/>
      <c r="P37" s="84"/>
      <c r="Q37" s="84"/>
      <c r="R37" s="84"/>
      <c r="S37" s="90"/>
      <c r="T37" s="90"/>
      <c r="U37" s="90"/>
      <c r="V37" s="90"/>
      <c r="W37" s="90"/>
      <c r="X37" s="90"/>
      <c r="Y37" s="90"/>
      <c r="Z37" s="90"/>
      <c r="AA37" s="90"/>
      <c r="AB37" s="90"/>
      <c r="AC37" s="90"/>
      <c r="AD37" s="84"/>
      <c r="AE37" s="84"/>
      <c r="AF37" s="84"/>
      <c r="AG37" s="84"/>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6" t="b">
        <v>1</v>
      </c>
      <c r="BH37" s="86" t="b">
        <v>1</v>
      </c>
      <c r="BI37" s="86" t="b">
        <v>1</v>
      </c>
      <c r="BJ37" s="86" t="b">
        <v>1</v>
      </c>
    </row>
    <row r="38" outlineLevel="1">
      <c r="A38" s="86">
        <v>36.0</v>
      </c>
      <c r="B38" s="86" t="s">
        <v>111</v>
      </c>
      <c r="C38" s="86"/>
      <c r="D38" s="87"/>
      <c r="E38" s="87"/>
      <c r="F38" s="87"/>
      <c r="G38" s="87"/>
      <c r="H38" s="89"/>
      <c r="I38" s="89"/>
      <c r="J38" s="89">
        <v>0.0324</v>
      </c>
      <c r="K38" s="84"/>
      <c r="L38" s="84"/>
      <c r="M38" s="82"/>
      <c r="N38" s="84"/>
      <c r="O38" s="84"/>
      <c r="P38" s="84"/>
      <c r="Q38" s="84"/>
      <c r="R38" s="84"/>
      <c r="S38" s="90"/>
      <c r="T38" s="90"/>
      <c r="U38" s="90"/>
      <c r="V38" s="90"/>
      <c r="W38" s="90"/>
      <c r="X38" s="90"/>
      <c r="Y38" s="90"/>
      <c r="Z38" s="90"/>
      <c r="AA38" s="90"/>
      <c r="AB38" s="90"/>
      <c r="AC38" s="90"/>
      <c r="AD38" s="84"/>
      <c r="AE38" s="84"/>
      <c r="AF38" s="84"/>
      <c r="AG38" s="84"/>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6" t="b">
        <v>1</v>
      </c>
      <c r="BH38" s="86" t="b">
        <v>1</v>
      </c>
      <c r="BI38" s="86" t="b">
        <v>1</v>
      </c>
      <c r="BJ38" s="86" t="b">
        <v>1</v>
      </c>
    </row>
    <row r="39">
      <c r="A39" s="84"/>
      <c r="B39" s="84"/>
      <c r="C39" s="84"/>
      <c r="D39" s="92"/>
      <c r="E39" s="92"/>
      <c r="F39" s="92"/>
      <c r="G39" s="92"/>
      <c r="H39" s="92"/>
      <c r="I39" s="92"/>
      <c r="J39" s="92"/>
      <c r="K39" s="84">
        <f t="shared" ref="K39:R39" si="1">countif(K2:K20,FALSE)</f>
        <v>18</v>
      </c>
      <c r="L39" s="84">
        <f t="shared" si="1"/>
        <v>18</v>
      </c>
      <c r="M39" s="84">
        <f t="shared" si="1"/>
        <v>18</v>
      </c>
      <c r="N39" s="84">
        <f t="shared" si="1"/>
        <v>18</v>
      </c>
      <c r="O39" s="84">
        <f t="shared" si="1"/>
        <v>18</v>
      </c>
      <c r="P39" s="84">
        <f t="shared" si="1"/>
        <v>18</v>
      </c>
      <c r="Q39" s="84">
        <f t="shared" si="1"/>
        <v>18</v>
      </c>
      <c r="R39" s="84">
        <f t="shared" si="1"/>
        <v>18</v>
      </c>
      <c r="S39" s="84">
        <f t="shared" ref="S39:U39" si="2">countif(S2:S23,FALSE)</f>
        <v>18</v>
      </c>
      <c r="T39" s="84">
        <f t="shared" si="2"/>
        <v>18</v>
      </c>
      <c r="U39" s="84">
        <f t="shared" si="2"/>
        <v>18</v>
      </c>
      <c r="V39" s="84">
        <f>countif(V$2:V$26,FALSE)</f>
        <v>18</v>
      </c>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row>
    <row r="40">
      <c r="A40" s="93" t="s">
        <v>13</v>
      </c>
      <c r="B40" s="34"/>
      <c r="C40" s="34"/>
      <c r="D40" s="78"/>
      <c r="E40" s="78"/>
      <c r="F40" s="78"/>
      <c r="G40" s="78"/>
      <c r="H40" s="78"/>
      <c r="I40" s="78"/>
      <c r="J40" s="78"/>
      <c r="K40" s="79" t="s">
        <v>14</v>
      </c>
      <c r="L40" s="79" t="s">
        <v>14</v>
      </c>
      <c r="M40" s="79" t="s">
        <v>14</v>
      </c>
      <c r="N40" s="79" t="s">
        <v>14</v>
      </c>
      <c r="O40" s="79" t="s">
        <v>14</v>
      </c>
      <c r="P40" s="79" t="s">
        <v>20</v>
      </c>
      <c r="Q40" s="79" t="s">
        <v>20</v>
      </c>
      <c r="R40" s="79" t="s">
        <v>20</v>
      </c>
      <c r="S40" s="79" t="s">
        <v>20</v>
      </c>
      <c r="T40" s="79" t="s">
        <v>25</v>
      </c>
      <c r="U40" s="79" t="s">
        <v>25</v>
      </c>
      <c r="V40" s="79" t="s">
        <v>25</v>
      </c>
      <c r="W40" s="79" t="s">
        <v>25</v>
      </c>
      <c r="X40" s="79" t="s">
        <v>30</v>
      </c>
      <c r="Y40" s="79" t="s">
        <v>30</v>
      </c>
      <c r="Z40" s="79" t="s">
        <v>30</v>
      </c>
      <c r="AA40" s="79" t="s">
        <v>30</v>
      </c>
      <c r="AB40" s="79" t="s">
        <v>30</v>
      </c>
      <c r="AC40" s="79" t="s">
        <v>36</v>
      </c>
      <c r="AD40" s="79" t="s">
        <v>36</v>
      </c>
      <c r="AE40" s="79" t="s">
        <v>36</v>
      </c>
      <c r="AF40" s="79" t="s">
        <v>36</v>
      </c>
      <c r="AG40" s="79" t="s">
        <v>41</v>
      </c>
      <c r="AH40" s="79" t="s">
        <v>41</v>
      </c>
      <c r="AI40" s="79" t="s">
        <v>41</v>
      </c>
      <c r="AJ40" s="79" t="s">
        <v>41</v>
      </c>
      <c r="AK40" s="80" t="s">
        <v>46</v>
      </c>
      <c r="AL40" s="79" t="s">
        <v>46</v>
      </c>
      <c r="AM40" s="79" t="s">
        <v>46</v>
      </c>
      <c r="AN40" s="79" t="s">
        <v>46</v>
      </c>
      <c r="AO40" s="79" t="s">
        <v>46</v>
      </c>
      <c r="AP40" s="79" t="s">
        <v>52</v>
      </c>
      <c r="AQ40" s="79" t="s">
        <v>52</v>
      </c>
      <c r="AR40" s="79" t="s">
        <v>52</v>
      </c>
      <c r="AS40" s="79" t="s">
        <v>52</v>
      </c>
      <c r="AT40" s="79" t="s">
        <v>57</v>
      </c>
      <c r="AU40" s="79" t="s">
        <v>57</v>
      </c>
      <c r="AV40" s="79" t="s">
        <v>57</v>
      </c>
      <c r="AW40" s="79" t="s">
        <v>57</v>
      </c>
      <c r="AX40" s="79" t="s">
        <v>62</v>
      </c>
      <c r="AY40" s="79" t="s">
        <v>62</v>
      </c>
      <c r="AZ40" s="79" t="s">
        <v>62</v>
      </c>
      <c r="BA40" s="79" t="s">
        <v>62</v>
      </c>
      <c r="BB40" s="79" t="s">
        <v>62</v>
      </c>
      <c r="BC40" s="79" t="s">
        <v>68</v>
      </c>
      <c r="BD40" s="79" t="s">
        <v>68</v>
      </c>
      <c r="BE40" s="79" t="s">
        <v>68</v>
      </c>
      <c r="BF40" s="79" t="s">
        <v>68</v>
      </c>
      <c r="BG40" s="79" t="s">
        <v>73</v>
      </c>
      <c r="BH40" s="79" t="s">
        <v>73</v>
      </c>
      <c r="BI40" s="79" t="s">
        <v>73</v>
      </c>
      <c r="BJ40" s="79" t="s">
        <v>73</v>
      </c>
    </row>
    <row r="41">
      <c r="A41" s="34" t="s">
        <v>92</v>
      </c>
      <c r="B41" s="34" t="s">
        <v>93</v>
      </c>
      <c r="C41" s="34" t="s">
        <v>94</v>
      </c>
      <c r="D41" s="78">
        <v>18.0</v>
      </c>
      <c r="E41" s="78">
        <v>21.0</v>
      </c>
      <c r="F41" s="78">
        <v>24.0</v>
      </c>
      <c r="G41" s="78">
        <v>27.0</v>
      </c>
      <c r="H41" s="78">
        <v>30.0</v>
      </c>
      <c r="I41" s="78">
        <v>33.0</v>
      </c>
      <c r="J41" s="78">
        <v>36.0</v>
      </c>
      <c r="K41" s="34" t="s">
        <v>15</v>
      </c>
      <c r="L41" s="34" t="s">
        <v>16</v>
      </c>
      <c r="M41" s="34" t="s">
        <v>17</v>
      </c>
      <c r="N41" s="34" t="s">
        <v>18</v>
      </c>
      <c r="O41" s="34" t="s">
        <v>19</v>
      </c>
      <c r="P41" s="34" t="s">
        <v>21</v>
      </c>
      <c r="Q41" s="34" t="s">
        <v>22</v>
      </c>
      <c r="R41" s="34" t="s">
        <v>23</v>
      </c>
      <c r="S41" s="34" t="s">
        <v>24</v>
      </c>
      <c r="T41" s="34" t="s">
        <v>26</v>
      </c>
      <c r="U41" s="34" t="s">
        <v>27</v>
      </c>
      <c r="V41" s="34" t="s">
        <v>28</v>
      </c>
      <c r="W41" s="34" t="s">
        <v>29</v>
      </c>
      <c r="X41" s="34" t="s">
        <v>31</v>
      </c>
      <c r="Y41" s="34" t="s">
        <v>32</v>
      </c>
      <c r="Z41" s="34" t="s">
        <v>33</v>
      </c>
      <c r="AA41" s="34" t="s">
        <v>34</v>
      </c>
      <c r="AB41" s="34" t="s">
        <v>35</v>
      </c>
      <c r="AC41" s="34" t="s">
        <v>37</v>
      </c>
      <c r="AD41" s="34" t="s">
        <v>38</v>
      </c>
      <c r="AE41" s="34" t="s">
        <v>39</v>
      </c>
      <c r="AF41" s="34" t="s">
        <v>40</v>
      </c>
      <c r="AG41" s="34" t="s">
        <v>42</v>
      </c>
      <c r="AH41" s="34" t="s">
        <v>43</v>
      </c>
      <c r="AI41" s="34" t="s">
        <v>44</v>
      </c>
      <c r="AJ41" s="34" t="s">
        <v>45</v>
      </c>
      <c r="AK41" s="81" t="s">
        <v>47</v>
      </c>
      <c r="AL41" s="34" t="s">
        <v>48</v>
      </c>
      <c r="AM41" s="34" t="s">
        <v>49</v>
      </c>
      <c r="AN41" s="34" t="s">
        <v>50</v>
      </c>
      <c r="AO41" s="34" t="s">
        <v>51</v>
      </c>
      <c r="AP41" s="34" t="s">
        <v>53</v>
      </c>
      <c r="AQ41" s="34" t="s">
        <v>54</v>
      </c>
      <c r="AR41" s="34" t="s">
        <v>55</v>
      </c>
      <c r="AS41" s="34" t="s">
        <v>56</v>
      </c>
      <c r="AT41" s="34" t="s">
        <v>58</v>
      </c>
      <c r="AU41" s="34" t="s">
        <v>59</v>
      </c>
      <c r="AV41" s="34" t="s">
        <v>60</v>
      </c>
      <c r="AW41" s="34" t="s">
        <v>61</v>
      </c>
      <c r="AX41" s="34" t="s">
        <v>63</v>
      </c>
      <c r="AY41" s="34" t="s">
        <v>64</v>
      </c>
      <c r="AZ41" s="34" t="s">
        <v>65</v>
      </c>
      <c r="BA41" s="34" t="s">
        <v>66</v>
      </c>
      <c r="BB41" s="34" t="s">
        <v>67</v>
      </c>
      <c r="BC41" s="34" t="s">
        <v>69</v>
      </c>
      <c r="BD41" s="34" t="s">
        <v>70</v>
      </c>
      <c r="BE41" s="34" t="s">
        <v>71</v>
      </c>
      <c r="BF41" s="34" t="s">
        <v>72</v>
      </c>
      <c r="BG41" s="34" t="s">
        <v>74</v>
      </c>
      <c r="BH41" s="34" t="s">
        <v>75</v>
      </c>
      <c r="BI41" s="34" t="s">
        <v>76</v>
      </c>
      <c r="BJ41" s="34" t="s">
        <v>77</v>
      </c>
    </row>
    <row r="42" outlineLevel="1">
      <c r="A42" s="82">
        <v>1.0</v>
      </c>
      <c r="B42" s="82" t="s">
        <v>95</v>
      </c>
      <c r="C42" s="82" t="s">
        <v>96</v>
      </c>
      <c r="D42" s="83">
        <v>0.1193</v>
      </c>
      <c r="E42" s="83">
        <v>0.1114</v>
      </c>
      <c r="F42" s="83">
        <v>0.1114</v>
      </c>
      <c r="G42" s="83">
        <v>0.1114</v>
      </c>
      <c r="H42" s="83">
        <v>0.0798</v>
      </c>
      <c r="I42" s="83">
        <v>0.0692</v>
      </c>
      <c r="J42" s="83">
        <v>0.0602</v>
      </c>
      <c r="K42" s="84" t="b">
        <v>0</v>
      </c>
      <c r="L42" s="84" t="b">
        <v>0</v>
      </c>
      <c r="M42" s="84" t="b">
        <v>0</v>
      </c>
      <c r="N42" s="84" t="b">
        <v>0</v>
      </c>
      <c r="O42" s="84" t="b">
        <v>0</v>
      </c>
      <c r="P42" s="84" t="b">
        <v>0</v>
      </c>
      <c r="Q42" s="84" t="b">
        <v>0</v>
      </c>
      <c r="R42" s="84" t="b">
        <v>0</v>
      </c>
      <c r="S42" s="85" t="b">
        <v>0</v>
      </c>
      <c r="T42" s="85" t="b">
        <v>0</v>
      </c>
      <c r="U42" s="85" t="b">
        <v>0</v>
      </c>
      <c r="V42" s="84" t="b">
        <v>0</v>
      </c>
      <c r="W42" s="82" t="b">
        <v>0</v>
      </c>
      <c r="X42" s="82" t="b">
        <v>0</v>
      </c>
      <c r="Y42" s="82" t="b">
        <v>0</v>
      </c>
      <c r="Z42" s="82" t="b">
        <v>0</v>
      </c>
      <c r="AA42" s="82" t="b">
        <v>0</v>
      </c>
      <c r="AB42" s="82" t="b">
        <v>0</v>
      </c>
      <c r="AC42" s="82" t="b">
        <v>0</v>
      </c>
      <c r="AD42" s="82" t="b">
        <v>0</v>
      </c>
      <c r="AE42" s="82" t="b">
        <v>0</v>
      </c>
      <c r="AF42" s="82" t="b">
        <v>0</v>
      </c>
      <c r="AG42" s="82" t="b">
        <v>0</v>
      </c>
      <c r="AH42" s="82" t="b">
        <v>0</v>
      </c>
      <c r="AI42" s="82" t="b">
        <v>1</v>
      </c>
      <c r="AJ42" s="82" t="b">
        <v>1</v>
      </c>
      <c r="AK42" s="82" t="b">
        <v>1</v>
      </c>
      <c r="AL42" s="82" t="b">
        <v>1</v>
      </c>
      <c r="AM42" s="82" t="b">
        <v>1</v>
      </c>
      <c r="AN42" s="82" t="b">
        <v>1</v>
      </c>
      <c r="AO42" s="82" t="b">
        <v>1</v>
      </c>
      <c r="AP42" s="82" t="b">
        <v>1</v>
      </c>
      <c r="AQ42" s="82" t="b">
        <v>1</v>
      </c>
      <c r="AR42" s="82" t="b">
        <v>1</v>
      </c>
      <c r="AS42" s="82" t="b">
        <v>1</v>
      </c>
      <c r="AT42" s="82" t="b">
        <v>1</v>
      </c>
      <c r="AU42" s="82" t="b">
        <v>1</v>
      </c>
      <c r="AV42" s="82" t="b">
        <v>1</v>
      </c>
      <c r="AW42" s="82" t="b">
        <v>1</v>
      </c>
      <c r="AX42" s="82" t="b">
        <v>1</v>
      </c>
      <c r="AY42" s="82" t="b">
        <v>1</v>
      </c>
      <c r="AZ42" s="82" t="b">
        <v>1</v>
      </c>
      <c r="BA42" s="82" t="b">
        <v>1</v>
      </c>
      <c r="BB42" s="82" t="b">
        <v>1</v>
      </c>
      <c r="BC42" s="82" t="b">
        <v>1</v>
      </c>
      <c r="BD42" s="82" t="b">
        <v>1</v>
      </c>
      <c r="BE42" s="82" t="b">
        <v>1</v>
      </c>
      <c r="BF42" s="82" t="b">
        <v>1</v>
      </c>
      <c r="BG42" s="82" t="b">
        <v>1</v>
      </c>
      <c r="BH42" s="82" t="b">
        <v>1</v>
      </c>
      <c r="BI42" s="82" t="b">
        <v>1</v>
      </c>
      <c r="BJ42" s="82" t="b">
        <v>1</v>
      </c>
    </row>
    <row r="43" outlineLevel="1">
      <c r="A43" s="82">
        <v>2.0</v>
      </c>
      <c r="B43" s="82" t="s">
        <v>95</v>
      </c>
      <c r="C43" s="82" t="s">
        <v>97</v>
      </c>
      <c r="D43" s="83">
        <v>0.1033</v>
      </c>
      <c r="E43" s="83">
        <v>0.0964</v>
      </c>
      <c r="F43" s="83">
        <v>0.0964</v>
      </c>
      <c r="G43" s="83">
        <v>0.0964</v>
      </c>
      <c r="H43" s="83">
        <v>0.0632</v>
      </c>
      <c r="I43" s="83">
        <v>0.0574</v>
      </c>
      <c r="J43" s="83">
        <v>0.0463</v>
      </c>
      <c r="K43" s="84" t="b">
        <v>0</v>
      </c>
      <c r="L43" s="84" t="b">
        <v>0</v>
      </c>
      <c r="M43" s="84" t="b">
        <v>0</v>
      </c>
      <c r="N43" s="84" t="b">
        <v>0</v>
      </c>
      <c r="O43" s="84" t="b">
        <v>0</v>
      </c>
      <c r="P43" s="84" t="b">
        <v>0</v>
      </c>
      <c r="Q43" s="84" t="b">
        <v>0</v>
      </c>
      <c r="R43" s="84" t="b">
        <v>0</v>
      </c>
      <c r="S43" s="85" t="b">
        <v>0</v>
      </c>
      <c r="T43" s="85" t="b">
        <v>0</v>
      </c>
      <c r="U43" s="85" t="b">
        <v>0</v>
      </c>
      <c r="V43" s="84" t="b">
        <v>0</v>
      </c>
      <c r="W43" s="82" t="b">
        <v>0</v>
      </c>
      <c r="X43" s="82" t="b">
        <v>0</v>
      </c>
      <c r="Y43" s="82" t="b">
        <v>0</v>
      </c>
      <c r="Z43" s="82" t="b">
        <v>0</v>
      </c>
      <c r="AA43" s="82" t="b">
        <v>0</v>
      </c>
      <c r="AB43" s="82" t="b">
        <v>0</v>
      </c>
      <c r="AC43" s="82" t="b">
        <v>0</v>
      </c>
      <c r="AD43" s="82" t="b">
        <v>0</v>
      </c>
      <c r="AE43" s="82" t="b">
        <v>1</v>
      </c>
      <c r="AF43" s="82" t="b">
        <v>0</v>
      </c>
      <c r="AG43" s="82" t="b">
        <v>1</v>
      </c>
      <c r="AH43" s="82" t="b">
        <v>1</v>
      </c>
      <c r="AI43" s="82" t="b">
        <v>1</v>
      </c>
      <c r="AJ43" s="82" t="b">
        <v>1</v>
      </c>
      <c r="AK43" s="82" t="b">
        <v>1</v>
      </c>
      <c r="AL43" s="82" t="b">
        <v>1</v>
      </c>
      <c r="AM43" s="82" t="b">
        <v>1</v>
      </c>
      <c r="AN43" s="82" t="b">
        <v>1</v>
      </c>
      <c r="AO43" s="82" t="b">
        <v>1</v>
      </c>
      <c r="AP43" s="82" t="b">
        <v>1</v>
      </c>
      <c r="AQ43" s="82" t="b">
        <v>1</v>
      </c>
      <c r="AR43" s="82" t="b">
        <v>1</v>
      </c>
      <c r="AS43" s="82" t="b">
        <v>1</v>
      </c>
      <c r="AT43" s="82" t="b">
        <v>1</v>
      </c>
      <c r="AU43" s="82" t="b">
        <v>1</v>
      </c>
      <c r="AV43" s="82" t="b">
        <v>1</v>
      </c>
      <c r="AW43" s="82" t="b">
        <v>1</v>
      </c>
      <c r="AX43" s="82" t="b">
        <v>1</v>
      </c>
      <c r="AY43" s="82" t="b">
        <v>1</v>
      </c>
      <c r="AZ43" s="82" t="b">
        <v>1</v>
      </c>
      <c r="BA43" s="82" t="b">
        <v>1</v>
      </c>
      <c r="BB43" s="82" t="b">
        <v>1</v>
      </c>
      <c r="BC43" s="82" t="b">
        <v>1</v>
      </c>
      <c r="BD43" s="82" t="b">
        <v>1</v>
      </c>
      <c r="BE43" s="82" t="b">
        <v>1</v>
      </c>
      <c r="BF43" s="82" t="b">
        <v>1</v>
      </c>
      <c r="BG43" s="82" t="b">
        <v>1</v>
      </c>
      <c r="BH43" s="82" t="b">
        <v>1</v>
      </c>
      <c r="BI43" s="82" t="b">
        <v>1</v>
      </c>
      <c r="BJ43" s="82" t="b">
        <v>1</v>
      </c>
    </row>
    <row r="44" outlineLevel="1">
      <c r="A44" s="82">
        <v>3.0</v>
      </c>
      <c r="B44" s="82" t="s">
        <v>98</v>
      </c>
      <c r="C44" s="82" t="s">
        <v>99</v>
      </c>
      <c r="D44" s="83">
        <v>0.097</v>
      </c>
      <c r="E44" s="83">
        <v>0.0808</v>
      </c>
      <c r="F44" s="83">
        <v>0.0673</v>
      </c>
      <c r="G44" s="83">
        <v>0.0673</v>
      </c>
      <c r="H44" s="83">
        <v>0.0525</v>
      </c>
      <c r="I44" s="83">
        <v>0.0412</v>
      </c>
      <c r="J44" s="83">
        <v>0.0324</v>
      </c>
      <c r="K44" s="84" t="b">
        <v>0</v>
      </c>
      <c r="L44" s="84" t="b">
        <v>0</v>
      </c>
      <c r="M44" s="84" t="b">
        <v>0</v>
      </c>
      <c r="N44" s="84" t="b">
        <v>0</v>
      </c>
      <c r="O44" s="84" t="b">
        <v>0</v>
      </c>
      <c r="P44" s="84" t="b">
        <v>0</v>
      </c>
      <c r="Q44" s="84" t="b">
        <v>0</v>
      </c>
      <c r="R44" s="84" t="b">
        <v>0</v>
      </c>
      <c r="S44" s="85" t="b">
        <v>0</v>
      </c>
      <c r="T44" s="85" t="b">
        <v>0</v>
      </c>
      <c r="U44" s="85" t="b">
        <v>0</v>
      </c>
      <c r="V44" s="84" t="b">
        <v>0</v>
      </c>
      <c r="W44" s="84" t="b">
        <v>0</v>
      </c>
      <c r="X44" s="84" t="b">
        <v>0</v>
      </c>
      <c r="Y44" s="84" t="b">
        <v>0</v>
      </c>
      <c r="Z44" s="84" t="b">
        <v>0</v>
      </c>
      <c r="AA44" s="84" t="b">
        <v>0</v>
      </c>
      <c r="AB44" s="82" t="b">
        <v>0</v>
      </c>
      <c r="AC44" s="82" t="b">
        <v>0</v>
      </c>
      <c r="AD44" s="82" t="b">
        <v>0</v>
      </c>
      <c r="AE44" s="82" t="b">
        <v>0</v>
      </c>
      <c r="AF44" s="82" t="b">
        <v>1</v>
      </c>
      <c r="AG44" s="82" t="b">
        <v>1</v>
      </c>
      <c r="AH44" s="82" t="b">
        <v>1</v>
      </c>
      <c r="AI44" s="82" t="b">
        <v>1</v>
      </c>
      <c r="AJ44" s="82" t="b">
        <v>1</v>
      </c>
      <c r="AK44" s="82" t="b">
        <v>1</v>
      </c>
      <c r="AL44" s="82" t="b">
        <v>1</v>
      </c>
      <c r="AM44" s="82" t="b">
        <v>1</v>
      </c>
      <c r="AN44" s="82" t="b">
        <v>1</v>
      </c>
      <c r="AO44" s="82" t="b">
        <v>1</v>
      </c>
      <c r="AP44" s="82" t="b">
        <v>1</v>
      </c>
      <c r="AQ44" s="82" t="b">
        <v>1</v>
      </c>
      <c r="AR44" s="82" t="b">
        <v>1</v>
      </c>
      <c r="AS44" s="82" t="b">
        <v>1</v>
      </c>
      <c r="AT44" s="82" t="b">
        <v>1</v>
      </c>
      <c r="AU44" s="82" t="b">
        <v>1</v>
      </c>
      <c r="AV44" s="82" t="b">
        <v>1</v>
      </c>
      <c r="AW44" s="82" t="b">
        <v>1</v>
      </c>
      <c r="AX44" s="82" t="b">
        <v>1</v>
      </c>
      <c r="AY44" s="82" t="b">
        <v>1</v>
      </c>
      <c r="AZ44" s="82" t="b">
        <v>1</v>
      </c>
      <c r="BA44" s="82" t="b">
        <v>1</v>
      </c>
      <c r="BB44" s="82" t="b">
        <v>1</v>
      </c>
      <c r="BC44" s="82" t="b">
        <v>1</v>
      </c>
      <c r="BD44" s="82" t="b">
        <v>1</v>
      </c>
      <c r="BE44" s="82" t="b">
        <v>1</v>
      </c>
      <c r="BF44" s="82" t="b">
        <v>1</v>
      </c>
      <c r="BG44" s="82" t="b">
        <v>1</v>
      </c>
      <c r="BH44" s="82" t="b">
        <v>1</v>
      </c>
      <c r="BI44" s="82" t="b">
        <v>1</v>
      </c>
      <c r="BJ44" s="82" t="b">
        <v>1</v>
      </c>
    </row>
    <row r="45" outlineLevel="1">
      <c r="A45" s="82">
        <v>4.0</v>
      </c>
      <c r="B45" s="82" t="s">
        <v>100</v>
      </c>
      <c r="C45" s="82" t="s">
        <v>101</v>
      </c>
      <c r="D45" s="83">
        <v>0.0825</v>
      </c>
      <c r="E45" s="83">
        <v>0.0632</v>
      </c>
      <c r="F45" s="83">
        <v>0.0519</v>
      </c>
      <c r="G45" s="83">
        <v>0.0366</v>
      </c>
      <c r="H45" s="83">
        <v>0.0578</v>
      </c>
      <c r="I45" s="83">
        <v>0.0435</v>
      </c>
      <c r="J45" s="83">
        <v>0.0417</v>
      </c>
      <c r="K45" s="84" t="b">
        <v>0</v>
      </c>
      <c r="L45" s="84" t="b">
        <v>0</v>
      </c>
      <c r="M45" s="84" t="b">
        <v>0</v>
      </c>
      <c r="N45" s="84" t="b">
        <v>0</v>
      </c>
      <c r="O45" s="84" t="b">
        <v>0</v>
      </c>
      <c r="P45" s="84" t="b">
        <v>0</v>
      </c>
      <c r="Q45" s="84" t="b">
        <v>0</v>
      </c>
      <c r="R45" s="84" t="b">
        <v>0</v>
      </c>
      <c r="S45" s="85" t="b">
        <v>0</v>
      </c>
      <c r="T45" s="85" t="b">
        <v>0</v>
      </c>
      <c r="U45" s="85" t="b">
        <v>0</v>
      </c>
      <c r="V45" s="84" t="b">
        <v>0</v>
      </c>
      <c r="W45" s="84" t="b">
        <v>0</v>
      </c>
      <c r="X45" s="84" t="b">
        <v>0</v>
      </c>
      <c r="Y45" s="84" t="b">
        <v>0</v>
      </c>
      <c r="Z45" s="84" t="b">
        <v>0</v>
      </c>
      <c r="AA45" s="82" t="b">
        <v>0</v>
      </c>
      <c r="AB45" s="82" t="b">
        <v>0</v>
      </c>
      <c r="AC45" s="82" t="b">
        <v>1</v>
      </c>
      <c r="AD45" s="82" t="b">
        <v>0</v>
      </c>
      <c r="AE45" s="82" t="b">
        <v>0</v>
      </c>
      <c r="AF45" s="82" t="b">
        <v>1</v>
      </c>
      <c r="AG45" s="82" t="b">
        <v>1</v>
      </c>
      <c r="AH45" s="82" t="b">
        <v>1</v>
      </c>
      <c r="AI45" s="82" t="b">
        <v>1</v>
      </c>
      <c r="AJ45" s="82" t="b">
        <v>1</v>
      </c>
      <c r="AK45" s="82" t="b">
        <v>1</v>
      </c>
      <c r="AL45" s="82" t="b">
        <v>1</v>
      </c>
      <c r="AM45" s="82" t="b">
        <v>1</v>
      </c>
      <c r="AN45" s="82" t="b">
        <v>1</v>
      </c>
      <c r="AO45" s="82" t="b">
        <v>1</v>
      </c>
      <c r="AP45" s="82" t="b">
        <v>1</v>
      </c>
      <c r="AQ45" s="82" t="b">
        <v>1</v>
      </c>
      <c r="AR45" s="82" t="b">
        <v>1</v>
      </c>
      <c r="AS45" s="82" t="b">
        <v>1</v>
      </c>
      <c r="AT45" s="82" t="b">
        <v>1</v>
      </c>
      <c r="AU45" s="82" t="b">
        <v>1</v>
      </c>
      <c r="AV45" s="82" t="b">
        <v>1</v>
      </c>
      <c r="AW45" s="82" t="b">
        <v>1</v>
      </c>
      <c r="AX45" s="82" t="b">
        <v>1</v>
      </c>
      <c r="AY45" s="82" t="b">
        <v>1</v>
      </c>
      <c r="AZ45" s="82" t="b">
        <v>1</v>
      </c>
      <c r="BA45" s="82" t="b">
        <v>1</v>
      </c>
      <c r="BB45" s="82" t="b">
        <v>1</v>
      </c>
      <c r="BC45" s="82" t="b">
        <v>1</v>
      </c>
      <c r="BD45" s="82" t="b">
        <v>1</v>
      </c>
      <c r="BE45" s="82" t="b">
        <v>1</v>
      </c>
      <c r="BF45" s="82" t="b">
        <v>1</v>
      </c>
      <c r="BG45" s="82" t="b">
        <v>1</v>
      </c>
      <c r="BH45" s="82" t="b">
        <v>1</v>
      </c>
      <c r="BI45" s="82" t="b">
        <v>1</v>
      </c>
      <c r="BJ45" s="82" t="b">
        <v>1</v>
      </c>
    </row>
    <row r="46" outlineLevel="1">
      <c r="A46" s="82">
        <v>5.0</v>
      </c>
      <c r="B46" s="82" t="s">
        <v>95</v>
      </c>
      <c r="C46" s="82" t="s">
        <v>97</v>
      </c>
      <c r="D46" s="83">
        <v>0.0976</v>
      </c>
      <c r="E46" s="83">
        <v>0.0911</v>
      </c>
      <c r="F46" s="83">
        <v>0.0911</v>
      </c>
      <c r="G46" s="83">
        <v>0.0911</v>
      </c>
      <c r="H46" s="83">
        <v>0.0592</v>
      </c>
      <c r="I46" s="83">
        <v>0.0489</v>
      </c>
      <c r="J46" s="83">
        <v>0.037</v>
      </c>
      <c r="K46" s="84" t="b">
        <v>0</v>
      </c>
      <c r="L46" s="84" t="b">
        <v>0</v>
      </c>
      <c r="M46" s="84" t="b">
        <v>0</v>
      </c>
      <c r="N46" s="84" t="b">
        <v>0</v>
      </c>
      <c r="O46" s="84" t="b">
        <v>0</v>
      </c>
      <c r="P46" s="84" t="b">
        <v>0</v>
      </c>
      <c r="Q46" s="84" t="b">
        <v>0</v>
      </c>
      <c r="R46" s="84" t="b">
        <v>0</v>
      </c>
      <c r="S46" s="85" t="b">
        <v>0</v>
      </c>
      <c r="T46" s="85" t="b">
        <v>0</v>
      </c>
      <c r="U46" s="85" t="b">
        <v>0</v>
      </c>
      <c r="V46" s="84" t="b">
        <v>0</v>
      </c>
      <c r="W46" s="84" t="b">
        <v>0</v>
      </c>
      <c r="X46" s="84" t="b">
        <v>0</v>
      </c>
      <c r="Y46" s="84" t="b">
        <v>0</v>
      </c>
      <c r="Z46" s="84" t="b">
        <v>0</v>
      </c>
      <c r="AA46" s="84" t="b">
        <v>0</v>
      </c>
      <c r="AB46" s="82" t="b">
        <v>0</v>
      </c>
      <c r="AC46" s="82" t="b">
        <v>0</v>
      </c>
      <c r="AD46" s="82" t="b">
        <v>0</v>
      </c>
      <c r="AE46" s="82" t="b">
        <v>1</v>
      </c>
      <c r="AF46" s="82" t="b">
        <v>0</v>
      </c>
      <c r="AG46" s="82" t="b">
        <v>0</v>
      </c>
      <c r="AH46" s="82" t="b">
        <v>0</v>
      </c>
      <c r="AI46" s="82" t="b">
        <v>0</v>
      </c>
      <c r="AJ46" s="82" t="b">
        <v>0</v>
      </c>
      <c r="AK46" s="82" t="b">
        <v>0</v>
      </c>
      <c r="AL46" s="82" t="b">
        <v>0</v>
      </c>
      <c r="AM46" s="82" t="b">
        <v>0</v>
      </c>
      <c r="AN46" s="82" t="b">
        <v>0</v>
      </c>
      <c r="AO46" s="82" t="b">
        <v>1</v>
      </c>
      <c r="AP46" s="82" t="b">
        <v>1</v>
      </c>
      <c r="AQ46" s="82" t="b">
        <v>1</v>
      </c>
      <c r="AR46" s="82" t="b">
        <v>1</v>
      </c>
      <c r="AS46" s="82" t="b">
        <v>1</v>
      </c>
      <c r="AT46" s="82" t="b">
        <v>1</v>
      </c>
      <c r="AU46" s="82" t="b">
        <v>1</v>
      </c>
      <c r="AV46" s="82" t="b">
        <v>1</v>
      </c>
      <c r="AW46" s="82" t="b">
        <v>1</v>
      </c>
      <c r="AX46" s="82" t="b">
        <v>1</v>
      </c>
      <c r="AY46" s="82" t="b">
        <v>1</v>
      </c>
      <c r="AZ46" s="82" t="b">
        <v>1</v>
      </c>
      <c r="BA46" s="82" t="b">
        <v>1</v>
      </c>
      <c r="BB46" s="82" t="b">
        <v>1</v>
      </c>
      <c r="BC46" s="82" t="b">
        <v>1</v>
      </c>
      <c r="BD46" s="82" t="b">
        <v>1</v>
      </c>
      <c r="BE46" s="82" t="b">
        <v>1</v>
      </c>
      <c r="BF46" s="82" t="b">
        <v>1</v>
      </c>
      <c r="BG46" s="82" t="b">
        <v>1</v>
      </c>
      <c r="BH46" s="82" t="b">
        <v>1</v>
      </c>
      <c r="BI46" s="82" t="b">
        <v>1</v>
      </c>
      <c r="BJ46" s="82" t="b">
        <v>1</v>
      </c>
    </row>
    <row r="47" outlineLevel="1">
      <c r="A47" s="82">
        <v>6.0</v>
      </c>
      <c r="B47" s="82" t="s">
        <v>102</v>
      </c>
      <c r="C47" s="82" t="s">
        <v>99</v>
      </c>
      <c r="D47" s="83">
        <v>0.0739</v>
      </c>
      <c r="E47" s="83">
        <v>0.0566</v>
      </c>
      <c r="F47" s="83">
        <v>0.0465</v>
      </c>
      <c r="G47" s="83">
        <v>0.0328</v>
      </c>
      <c r="H47" s="83">
        <v>0.046</v>
      </c>
      <c r="I47" s="83">
        <v>0.0399</v>
      </c>
      <c r="J47" s="83">
        <v>0.037</v>
      </c>
      <c r="K47" s="84" t="b">
        <v>0</v>
      </c>
      <c r="L47" s="84" t="b">
        <v>0</v>
      </c>
      <c r="M47" s="84" t="b">
        <v>0</v>
      </c>
      <c r="N47" s="84" t="b">
        <v>0</v>
      </c>
      <c r="O47" s="84" t="b">
        <v>0</v>
      </c>
      <c r="P47" s="84" t="b">
        <v>0</v>
      </c>
      <c r="Q47" s="84" t="b">
        <v>0</v>
      </c>
      <c r="R47" s="84" t="b">
        <v>0</v>
      </c>
      <c r="S47" s="85" t="b">
        <v>0</v>
      </c>
      <c r="T47" s="85" t="b">
        <v>0</v>
      </c>
      <c r="U47" s="85" t="b">
        <v>0</v>
      </c>
      <c r="V47" s="84" t="b">
        <v>0</v>
      </c>
      <c r="W47" s="84" t="b">
        <v>0</v>
      </c>
      <c r="X47" s="84" t="b">
        <v>0</v>
      </c>
      <c r="Y47" s="84" t="b">
        <v>0</v>
      </c>
      <c r="Z47" s="84" t="b">
        <v>0</v>
      </c>
      <c r="AA47" s="82" t="b">
        <v>0</v>
      </c>
      <c r="AB47" s="82" t="b">
        <v>0</v>
      </c>
      <c r="AC47" s="82" t="b">
        <v>1</v>
      </c>
      <c r="AD47" s="82" t="b">
        <v>1</v>
      </c>
      <c r="AE47" s="82" t="b">
        <v>1</v>
      </c>
      <c r="AF47" s="82" t="b">
        <v>1</v>
      </c>
      <c r="AG47" s="82" t="b">
        <v>1</v>
      </c>
      <c r="AH47" s="82" t="b">
        <v>1</v>
      </c>
      <c r="AI47" s="82" t="b">
        <v>1</v>
      </c>
      <c r="AJ47" s="82" t="b">
        <v>1</v>
      </c>
      <c r="AK47" s="82" t="b">
        <v>1</v>
      </c>
      <c r="AL47" s="82" t="b">
        <v>1</v>
      </c>
      <c r="AM47" s="82" t="b">
        <v>1</v>
      </c>
      <c r="AN47" s="82" t="b">
        <v>1</v>
      </c>
      <c r="AO47" s="82" t="b">
        <v>1</v>
      </c>
      <c r="AP47" s="82" t="b">
        <v>1</v>
      </c>
      <c r="AQ47" s="82" t="b">
        <v>1</v>
      </c>
      <c r="AR47" s="82" t="b">
        <v>1</v>
      </c>
      <c r="AS47" s="82" t="b">
        <v>1</v>
      </c>
      <c r="AT47" s="82" t="b">
        <v>1</v>
      </c>
      <c r="AU47" s="82" t="b">
        <v>1</v>
      </c>
      <c r="AV47" s="82" t="b">
        <v>1</v>
      </c>
      <c r="AW47" s="82" t="b">
        <v>1</v>
      </c>
      <c r="AX47" s="82" t="b">
        <v>1</v>
      </c>
      <c r="AY47" s="82" t="b">
        <v>1</v>
      </c>
      <c r="AZ47" s="82" t="b">
        <v>1</v>
      </c>
      <c r="BA47" s="82" t="b">
        <v>1</v>
      </c>
      <c r="BB47" s="82" t="b">
        <v>1</v>
      </c>
      <c r="BC47" s="82" t="b">
        <v>1</v>
      </c>
      <c r="BD47" s="82" t="b">
        <v>1</v>
      </c>
      <c r="BE47" s="82" t="b">
        <v>1</v>
      </c>
      <c r="BF47" s="82" t="b">
        <v>1</v>
      </c>
      <c r="BG47" s="82" t="b">
        <v>1</v>
      </c>
      <c r="BH47" s="82" t="b">
        <v>1</v>
      </c>
      <c r="BI47" s="82" t="b">
        <v>1</v>
      </c>
      <c r="BJ47" s="82" t="b">
        <v>1</v>
      </c>
    </row>
    <row r="48" outlineLevel="1">
      <c r="A48" s="82">
        <v>7.0</v>
      </c>
      <c r="B48" s="82" t="s">
        <v>95</v>
      </c>
      <c r="C48" s="82" t="s">
        <v>99</v>
      </c>
      <c r="D48" s="83">
        <v>0.0622</v>
      </c>
      <c r="E48" s="83">
        <v>0.0581</v>
      </c>
      <c r="F48" s="83">
        <v>0.0581</v>
      </c>
      <c r="G48" s="83">
        <v>0.0581</v>
      </c>
      <c r="H48" s="83">
        <v>0.0402</v>
      </c>
      <c r="I48" s="83">
        <v>0.0376</v>
      </c>
      <c r="J48" s="83">
        <v>0.0324</v>
      </c>
      <c r="K48" s="84" t="b">
        <v>0</v>
      </c>
      <c r="L48" s="84" t="b">
        <v>0</v>
      </c>
      <c r="M48" s="84" t="b">
        <v>0</v>
      </c>
      <c r="N48" s="84" t="b">
        <v>0</v>
      </c>
      <c r="O48" s="84" t="b">
        <v>0</v>
      </c>
      <c r="P48" s="84" t="b">
        <v>0</v>
      </c>
      <c r="Q48" s="84" t="b">
        <v>0</v>
      </c>
      <c r="R48" s="84" t="b">
        <v>0</v>
      </c>
      <c r="S48" s="85" t="b">
        <v>0</v>
      </c>
      <c r="T48" s="85" t="b">
        <v>0</v>
      </c>
      <c r="U48" s="85" t="b">
        <v>0</v>
      </c>
      <c r="V48" s="84" t="b">
        <v>0</v>
      </c>
      <c r="W48" s="82" t="b">
        <v>0</v>
      </c>
      <c r="X48" s="82" t="b">
        <v>0</v>
      </c>
      <c r="Y48" s="82" t="b">
        <v>0</v>
      </c>
      <c r="Z48" s="82" t="b">
        <v>0</v>
      </c>
      <c r="AA48" s="82" t="b">
        <v>0</v>
      </c>
      <c r="AB48" s="82" t="b">
        <v>0</v>
      </c>
      <c r="AC48" s="82" t="b">
        <v>1</v>
      </c>
      <c r="AD48" s="82" t="b">
        <v>1</v>
      </c>
      <c r="AE48" s="82" t="b">
        <v>0</v>
      </c>
      <c r="AF48" s="82" t="b">
        <v>1</v>
      </c>
      <c r="AG48" s="82" t="b">
        <v>1</v>
      </c>
      <c r="AH48" s="82" t="b">
        <v>1</v>
      </c>
      <c r="AI48" s="82" t="b">
        <v>1</v>
      </c>
      <c r="AJ48" s="82" t="b">
        <v>1</v>
      </c>
      <c r="AK48" s="82" t="b">
        <v>1</v>
      </c>
      <c r="AL48" s="82" t="b">
        <v>1</v>
      </c>
      <c r="AM48" s="82" t="b">
        <v>1</v>
      </c>
      <c r="AN48" s="82" t="b">
        <v>1</v>
      </c>
      <c r="AO48" s="82" t="b">
        <v>1</v>
      </c>
      <c r="AP48" s="82" t="b">
        <v>1</v>
      </c>
      <c r="AQ48" s="82" t="b">
        <v>1</v>
      </c>
      <c r="AR48" s="82" t="b">
        <v>1</v>
      </c>
      <c r="AS48" s="82" t="b">
        <v>1</v>
      </c>
      <c r="AT48" s="82" t="b">
        <v>1</v>
      </c>
      <c r="AU48" s="82" t="b">
        <v>1</v>
      </c>
      <c r="AV48" s="82" t="b">
        <v>1</v>
      </c>
      <c r="AW48" s="82" t="b">
        <v>1</v>
      </c>
      <c r="AX48" s="82" t="b">
        <v>1</v>
      </c>
      <c r="AY48" s="82" t="b">
        <v>1</v>
      </c>
      <c r="AZ48" s="82" t="b">
        <v>1</v>
      </c>
      <c r="BA48" s="82" t="b">
        <v>1</v>
      </c>
      <c r="BB48" s="82" t="b">
        <v>1</v>
      </c>
      <c r="BC48" s="82" t="b">
        <v>1</v>
      </c>
      <c r="BD48" s="82" t="b">
        <v>1</v>
      </c>
      <c r="BE48" s="82" t="b">
        <v>1</v>
      </c>
      <c r="BF48" s="82" t="b">
        <v>1</v>
      </c>
      <c r="BG48" s="82" t="b">
        <v>1</v>
      </c>
      <c r="BH48" s="82" t="b">
        <v>1</v>
      </c>
      <c r="BI48" s="82" t="b">
        <v>1</v>
      </c>
      <c r="BJ48" s="82" t="b">
        <v>1</v>
      </c>
    </row>
    <row r="49" outlineLevel="1">
      <c r="A49" s="82">
        <v>8.0</v>
      </c>
      <c r="B49" s="82" t="s">
        <v>95</v>
      </c>
      <c r="C49" s="82" t="s">
        <v>99</v>
      </c>
      <c r="D49" s="83">
        <v>0.0677</v>
      </c>
      <c r="E49" s="83">
        <v>0.0632</v>
      </c>
      <c r="F49" s="83">
        <v>0.0632</v>
      </c>
      <c r="G49" s="83">
        <v>0.0632</v>
      </c>
      <c r="H49" s="83">
        <v>0.0451</v>
      </c>
      <c r="I49" s="83">
        <v>0.0388</v>
      </c>
      <c r="J49" s="83">
        <v>0.0324</v>
      </c>
      <c r="K49" s="84" t="b">
        <v>0</v>
      </c>
      <c r="L49" s="84" t="b">
        <v>0</v>
      </c>
      <c r="M49" s="84" t="b">
        <v>0</v>
      </c>
      <c r="N49" s="84" t="b">
        <v>0</v>
      </c>
      <c r="O49" s="84" t="b">
        <v>0</v>
      </c>
      <c r="P49" s="84" t="b">
        <v>0</v>
      </c>
      <c r="Q49" s="84" t="b">
        <v>0</v>
      </c>
      <c r="R49" s="84" t="b">
        <v>0</v>
      </c>
      <c r="S49" s="85" t="b">
        <v>0</v>
      </c>
      <c r="T49" s="85" t="b">
        <v>0</v>
      </c>
      <c r="U49" s="85" t="b">
        <v>0</v>
      </c>
      <c r="V49" s="84" t="b">
        <v>0</v>
      </c>
      <c r="W49" s="84" t="b">
        <v>0</v>
      </c>
      <c r="X49" s="84" t="b">
        <v>0</v>
      </c>
      <c r="Y49" s="84" t="b">
        <v>0</v>
      </c>
      <c r="Z49" s="84" t="b">
        <v>0</v>
      </c>
      <c r="AA49" s="84" t="b">
        <v>0</v>
      </c>
      <c r="AB49" s="82" t="b">
        <v>0</v>
      </c>
      <c r="AC49" s="82" t="b">
        <v>0</v>
      </c>
      <c r="AD49" s="82" t="b">
        <v>0</v>
      </c>
      <c r="AE49" s="85" t="b">
        <v>0</v>
      </c>
      <c r="AF49" s="85" t="b">
        <v>0</v>
      </c>
      <c r="AG49" s="85" t="b">
        <v>0</v>
      </c>
      <c r="AH49" s="85" t="b">
        <v>0</v>
      </c>
      <c r="AI49" s="85" t="b">
        <v>0</v>
      </c>
      <c r="AJ49" s="82" t="b">
        <v>1</v>
      </c>
      <c r="AK49" s="82" t="b">
        <v>1</v>
      </c>
      <c r="AL49" s="82" t="b">
        <v>1</v>
      </c>
      <c r="AM49" s="82" t="b">
        <v>1</v>
      </c>
      <c r="AN49" s="82" t="b">
        <v>1</v>
      </c>
      <c r="AO49" s="82" t="b">
        <v>1</v>
      </c>
      <c r="AP49" s="82" t="b">
        <v>1</v>
      </c>
      <c r="AQ49" s="82" t="b">
        <v>1</v>
      </c>
      <c r="AR49" s="82" t="b">
        <v>1</v>
      </c>
      <c r="AS49" s="82" t="b">
        <v>1</v>
      </c>
      <c r="AT49" s="82" t="b">
        <v>1</v>
      </c>
      <c r="AU49" s="82" t="b">
        <v>1</v>
      </c>
      <c r="AV49" s="82" t="b">
        <v>1</v>
      </c>
      <c r="AW49" s="82" t="b">
        <v>1</v>
      </c>
      <c r="AX49" s="82" t="b">
        <v>1</v>
      </c>
      <c r="AY49" s="82" t="b">
        <v>1</v>
      </c>
      <c r="AZ49" s="82" t="b">
        <v>1</v>
      </c>
      <c r="BA49" s="82" t="b">
        <v>1</v>
      </c>
      <c r="BB49" s="82" t="b">
        <v>1</v>
      </c>
      <c r="BC49" s="82" t="b">
        <v>1</v>
      </c>
      <c r="BD49" s="82" t="b">
        <v>1</v>
      </c>
      <c r="BE49" s="82" t="b">
        <v>1</v>
      </c>
      <c r="BF49" s="82" t="b">
        <v>1</v>
      </c>
      <c r="BG49" s="82" t="b">
        <v>1</v>
      </c>
      <c r="BH49" s="82" t="b">
        <v>1</v>
      </c>
      <c r="BI49" s="82" t="b">
        <v>1</v>
      </c>
      <c r="BJ49" s="82" t="b">
        <v>1</v>
      </c>
    </row>
    <row r="50" outlineLevel="1">
      <c r="A50" s="82">
        <v>9.0</v>
      </c>
      <c r="B50" s="82" t="s">
        <v>103</v>
      </c>
      <c r="C50" s="82" t="s">
        <v>104</v>
      </c>
      <c r="D50" s="83">
        <v>0.0166</v>
      </c>
      <c r="E50" s="83">
        <v>0.0166</v>
      </c>
      <c r="F50" s="83">
        <v>0.0166</v>
      </c>
      <c r="G50" s="83">
        <v>0.0093</v>
      </c>
      <c r="H50" s="83">
        <v>0.0154</v>
      </c>
      <c r="I50" s="83">
        <v>0.0159</v>
      </c>
      <c r="J50" s="83">
        <v>0.0162</v>
      </c>
      <c r="K50" s="84" t="b">
        <v>0</v>
      </c>
      <c r="L50" s="84" t="b">
        <v>0</v>
      </c>
      <c r="M50" s="84" t="b">
        <v>0</v>
      </c>
      <c r="N50" s="84" t="b">
        <v>0</v>
      </c>
      <c r="O50" s="84" t="b">
        <v>0</v>
      </c>
      <c r="P50" s="84" t="b">
        <v>0</v>
      </c>
      <c r="Q50" s="84" t="b">
        <v>0</v>
      </c>
      <c r="R50" s="84" t="b">
        <v>0</v>
      </c>
      <c r="S50" s="85" t="b">
        <v>0</v>
      </c>
      <c r="T50" s="85" t="b">
        <v>0</v>
      </c>
      <c r="U50" s="85" t="b">
        <v>0</v>
      </c>
      <c r="V50" s="84" t="b">
        <v>0</v>
      </c>
      <c r="W50" s="84" t="b">
        <v>0</v>
      </c>
      <c r="X50" s="84" t="b">
        <v>0</v>
      </c>
      <c r="Y50" s="84" t="b">
        <v>0</v>
      </c>
      <c r="Z50" s="84" t="b">
        <v>0</v>
      </c>
      <c r="AA50" s="84" t="b">
        <v>0</v>
      </c>
      <c r="AB50" s="82" t="b">
        <v>0</v>
      </c>
      <c r="AC50" s="82" t="b">
        <v>0</v>
      </c>
      <c r="AD50" s="82" t="b">
        <v>0</v>
      </c>
      <c r="AE50" s="82" t="b">
        <v>1</v>
      </c>
      <c r="AF50" s="82" t="b">
        <v>1</v>
      </c>
      <c r="AG50" s="82" t="b">
        <v>1</v>
      </c>
      <c r="AH50" s="82" t="b">
        <v>1</v>
      </c>
      <c r="AI50" s="82" t="b">
        <v>1</v>
      </c>
      <c r="AJ50" s="82" t="b">
        <v>1</v>
      </c>
      <c r="AK50" s="82" t="b">
        <v>1</v>
      </c>
      <c r="AL50" s="82" t="b">
        <v>1</v>
      </c>
      <c r="AM50" s="82" t="b">
        <v>1</v>
      </c>
      <c r="AN50" s="82" t="b">
        <v>1</v>
      </c>
      <c r="AO50" s="82" t="b">
        <v>1</v>
      </c>
      <c r="AP50" s="82" t="b">
        <v>1</v>
      </c>
      <c r="AQ50" s="82" t="b">
        <v>1</v>
      </c>
      <c r="AR50" s="82" t="b">
        <v>1</v>
      </c>
      <c r="AS50" s="82" t="b">
        <v>1</v>
      </c>
      <c r="AT50" s="82" t="b">
        <v>1</v>
      </c>
      <c r="AU50" s="82" t="b">
        <v>1</v>
      </c>
      <c r="AV50" s="82" t="b">
        <v>1</v>
      </c>
      <c r="AW50" s="82" t="b">
        <v>1</v>
      </c>
      <c r="AX50" s="82" t="b">
        <v>1</v>
      </c>
      <c r="AY50" s="82" t="b">
        <v>1</v>
      </c>
      <c r="AZ50" s="82" t="b">
        <v>1</v>
      </c>
      <c r="BA50" s="82" t="b">
        <v>1</v>
      </c>
      <c r="BB50" s="82" t="b">
        <v>1</v>
      </c>
      <c r="BC50" s="82" t="b">
        <v>1</v>
      </c>
      <c r="BD50" s="82" t="b">
        <v>1</v>
      </c>
      <c r="BE50" s="82" t="b">
        <v>1</v>
      </c>
      <c r="BF50" s="82" t="b">
        <v>1</v>
      </c>
      <c r="BG50" s="82" t="b">
        <v>1</v>
      </c>
      <c r="BH50" s="82" t="b">
        <v>1</v>
      </c>
      <c r="BI50" s="82" t="b">
        <v>1</v>
      </c>
      <c r="BJ50" s="82" t="b">
        <v>1</v>
      </c>
    </row>
    <row r="51" outlineLevel="1">
      <c r="A51" s="82">
        <v>10.0</v>
      </c>
      <c r="B51" s="82" t="s">
        <v>103</v>
      </c>
      <c r="C51" s="82" t="s">
        <v>104</v>
      </c>
      <c r="D51" s="83">
        <v>0.0211</v>
      </c>
      <c r="E51" s="83">
        <v>0.0211</v>
      </c>
      <c r="F51" s="83">
        <v>0.0211</v>
      </c>
      <c r="G51" s="83">
        <v>0.0118</v>
      </c>
      <c r="H51" s="83">
        <v>0.0162</v>
      </c>
      <c r="I51" s="83">
        <v>0.017</v>
      </c>
      <c r="J51" s="83">
        <v>0.0162</v>
      </c>
      <c r="K51" s="84" t="b">
        <v>0</v>
      </c>
      <c r="L51" s="84" t="b">
        <v>0</v>
      </c>
      <c r="M51" s="82" t="b">
        <v>0</v>
      </c>
      <c r="N51" s="84" t="b">
        <v>0</v>
      </c>
      <c r="O51" s="84" t="b">
        <v>0</v>
      </c>
      <c r="P51" s="84" t="b">
        <v>0</v>
      </c>
      <c r="Q51" s="84" t="b">
        <v>0</v>
      </c>
      <c r="R51" s="84" t="b">
        <v>0</v>
      </c>
      <c r="S51" s="85" t="b">
        <v>0</v>
      </c>
      <c r="T51" s="85" t="b">
        <v>0</v>
      </c>
      <c r="U51" s="85" t="b">
        <v>0</v>
      </c>
      <c r="V51" s="84" t="b">
        <v>0</v>
      </c>
      <c r="W51" s="84" t="b">
        <v>0</v>
      </c>
      <c r="X51" s="84" t="b">
        <v>0</v>
      </c>
      <c r="Y51" s="84" t="b">
        <v>0</v>
      </c>
      <c r="Z51" s="84" t="b">
        <v>0</v>
      </c>
      <c r="AA51" s="84" t="b">
        <v>0</v>
      </c>
      <c r="AB51" s="82" t="b">
        <v>0</v>
      </c>
      <c r="AC51" s="82" t="b">
        <v>0</v>
      </c>
      <c r="AD51" s="82" t="b">
        <v>0</v>
      </c>
      <c r="AE51" s="82" t="b">
        <v>0</v>
      </c>
      <c r="AF51" s="82" t="b">
        <v>1</v>
      </c>
      <c r="AG51" s="82" t="b">
        <v>1</v>
      </c>
      <c r="AH51" s="82" t="b">
        <v>1</v>
      </c>
      <c r="AI51" s="82" t="b">
        <v>1</v>
      </c>
      <c r="AJ51" s="82" t="b">
        <v>1</v>
      </c>
      <c r="AK51" s="82" t="b">
        <v>1</v>
      </c>
      <c r="AL51" s="82" t="b">
        <v>1</v>
      </c>
      <c r="AM51" s="82" t="b">
        <v>1</v>
      </c>
      <c r="AN51" s="82" t="b">
        <v>1</v>
      </c>
      <c r="AO51" s="82" t="b">
        <v>1</v>
      </c>
      <c r="AP51" s="82" t="b">
        <v>1</v>
      </c>
      <c r="AQ51" s="82" t="b">
        <v>1</v>
      </c>
      <c r="AR51" s="82" t="b">
        <v>1</v>
      </c>
      <c r="AS51" s="82" t="b">
        <v>1</v>
      </c>
      <c r="AT51" s="82" t="b">
        <v>1</v>
      </c>
      <c r="AU51" s="82" t="b">
        <v>1</v>
      </c>
      <c r="AV51" s="82" t="b">
        <v>1</v>
      </c>
      <c r="AW51" s="82" t="b">
        <v>1</v>
      </c>
      <c r="AX51" s="82" t="b">
        <v>1</v>
      </c>
      <c r="AY51" s="82" t="b">
        <v>1</v>
      </c>
      <c r="AZ51" s="82" t="b">
        <v>1</v>
      </c>
      <c r="BA51" s="82" t="b">
        <v>1</v>
      </c>
      <c r="BB51" s="82" t="b">
        <v>1</v>
      </c>
      <c r="BC51" s="82" t="b">
        <v>1</v>
      </c>
      <c r="BD51" s="82" t="b">
        <v>1</v>
      </c>
      <c r="BE51" s="82" t="b">
        <v>1</v>
      </c>
      <c r="BF51" s="82" t="b">
        <v>1</v>
      </c>
      <c r="BG51" s="82" t="b">
        <v>1</v>
      </c>
      <c r="BH51" s="82" t="b">
        <v>1</v>
      </c>
      <c r="BI51" s="82" t="b">
        <v>1</v>
      </c>
      <c r="BJ51" s="82" t="b">
        <v>1</v>
      </c>
    </row>
    <row r="52" outlineLevel="1">
      <c r="A52" s="82">
        <v>11.0</v>
      </c>
      <c r="B52" s="82" t="s">
        <v>105</v>
      </c>
      <c r="C52" s="82" t="s">
        <v>106</v>
      </c>
      <c r="D52" s="83">
        <v>0.0215</v>
      </c>
      <c r="E52" s="83">
        <v>0.0215</v>
      </c>
      <c r="F52" s="83">
        <v>0.0215</v>
      </c>
      <c r="G52" s="83">
        <v>0.0215</v>
      </c>
      <c r="H52" s="83">
        <v>0.0212</v>
      </c>
      <c r="I52" s="83">
        <v>0.0195</v>
      </c>
      <c r="J52" s="83">
        <v>0.0185</v>
      </c>
      <c r="K52" s="84" t="b">
        <v>0</v>
      </c>
      <c r="L52" s="84" t="b">
        <v>0</v>
      </c>
      <c r="M52" s="84" t="b">
        <v>0</v>
      </c>
      <c r="N52" s="84" t="b">
        <v>0</v>
      </c>
      <c r="O52" s="84" t="b">
        <v>0</v>
      </c>
      <c r="P52" s="84" t="b">
        <v>0</v>
      </c>
      <c r="Q52" s="84" t="b">
        <v>0</v>
      </c>
      <c r="R52" s="84" t="b">
        <v>0</v>
      </c>
      <c r="S52" s="85" t="b">
        <v>0</v>
      </c>
      <c r="T52" s="85" t="b">
        <v>0</v>
      </c>
      <c r="U52" s="85" t="b">
        <v>0</v>
      </c>
      <c r="V52" s="84" t="b">
        <v>0</v>
      </c>
      <c r="W52" s="84" t="b">
        <v>0</v>
      </c>
      <c r="X52" s="84" t="b">
        <v>0</v>
      </c>
      <c r="Y52" s="84" t="b">
        <v>0</v>
      </c>
      <c r="Z52" s="84" t="b">
        <v>0</v>
      </c>
      <c r="AA52" s="84" t="b">
        <v>0</v>
      </c>
      <c r="AB52" s="82" t="b">
        <v>0</v>
      </c>
      <c r="AC52" s="82" t="b">
        <v>0</v>
      </c>
      <c r="AD52" s="82" t="b">
        <v>0</v>
      </c>
      <c r="AE52" s="82" t="b">
        <v>0</v>
      </c>
      <c r="AF52" s="82" t="b">
        <v>0</v>
      </c>
      <c r="AG52" s="82" t="b">
        <v>0</v>
      </c>
      <c r="AH52" s="82" t="b">
        <v>0</v>
      </c>
      <c r="AI52" s="82" t="b">
        <v>0</v>
      </c>
      <c r="AJ52" s="82" t="b">
        <v>0</v>
      </c>
      <c r="AK52" s="82" t="b">
        <v>0</v>
      </c>
      <c r="AL52" s="82" t="b">
        <v>0</v>
      </c>
      <c r="AM52" s="82" t="b">
        <v>0</v>
      </c>
      <c r="AN52" s="82" t="b">
        <v>0</v>
      </c>
      <c r="AO52" s="82" t="b">
        <v>1</v>
      </c>
      <c r="AP52" s="82" t="b">
        <v>1</v>
      </c>
      <c r="AQ52" s="82" t="b">
        <v>1</v>
      </c>
      <c r="AR52" s="82" t="b">
        <v>1</v>
      </c>
      <c r="AS52" s="82" t="b">
        <v>1</v>
      </c>
      <c r="AT52" s="82" t="b">
        <v>1</v>
      </c>
      <c r="AU52" s="82" t="b">
        <v>1</v>
      </c>
      <c r="AV52" s="82" t="b">
        <v>1</v>
      </c>
      <c r="AW52" s="82" t="b">
        <v>1</v>
      </c>
      <c r="AX52" s="82" t="b">
        <v>1</v>
      </c>
      <c r="AY52" s="82" t="b">
        <v>1</v>
      </c>
      <c r="AZ52" s="82" t="b">
        <v>1</v>
      </c>
      <c r="BA52" s="82" t="b">
        <v>1</v>
      </c>
      <c r="BB52" s="82" t="b">
        <v>1</v>
      </c>
      <c r="BC52" s="82" t="b">
        <v>1</v>
      </c>
      <c r="BD52" s="82" t="b">
        <v>1</v>
      </c>
      <c r="BE52" s="82" t="b">
        <v>1</v>
      </c>
      <c r="BF52" s="82" t="b">
        <v>1</v>
      </c>
      <c r="BG52" s="82" t="b">
        <v>1</v>
      </c>
      <c r="BH52" s="82" t="b">
        <v>1</v>
      </c>
      <c r="BI52" s="82" t="b">
        <v>1</v>
      </c>
      <c r="BJ52" s="82" t="b">
        <v>1</v>
      </c>
    </row>
    <row r="53" outlineLevel="1">
      <c r="A53" s="82">
        <v>12.0</v>
      </c>
      <c r="B53" s="82" t="s">
        <v>102</v>
      </c>
      <c r="C53" s="82" t="s">
        <v>112</v>
      </c>
      <c r="D53" s="83">
        <v>0.0478</v>
      </c>
      <c r="E53" s="83">
        <v>0.0366</v>
      </c>
      <c r="F53" s="83">
        <v>0.03</v>
      </c>
      <c r="G53" s="83">
        <v>0.0212</v>
      </c>
      <c r="H53" s="83">
        <v>0.0355</v>
      </c>
      <c r="I53" s="83">
        <v>0.0325</v>
      </c>
      <c r="J53" s="83">
        <v>0.0324</v>
      </c>
      <c r="K53" s="84" t="b">
        <v>0</v>
      </c>
      <c r="L53" s="84" t="b">
        <v>0</v>
      </c>
      <c r="M53" s="84" t="b">
        <v>0</v>
      </c>
      <c r="N53" s="84" t="b">
        <v>0</v>
      </c>
      <c r="O53" s="84" t="b">
        <v>0</v>
      </c>
      <c r="P53" s="84" t="b">
        <v>0</v>
      </c>
      <c r="Q53" s="84" t="b">
        <v>0</v>
      </c>
      <c r="R53" s="84" t="b">
        <v>0</v>
      </c>
      <c r="S53" s="85" t="b">
        <v>0</v>
      </c>
      <c r="T53" s="85" t="b">
        <v>0</v>
      </c>
      <c r="U53" s="85" t="b">
        <v>0</v>
      </c>
      <c r="V53" s="84" t="b">
        <v>0</v>
      </c>
      <c r="W53" s="84" t="b">
        <v>0</v>
      </c>
      <c r="X53" s="84" t="b">
        <v>0</v>
      </c>
      <c r="Y53" s="84" t="b">
        <v>0</v>
      </c>
      <c r="Z53" s="84" t="b">
        <v>0</v>
      </c>
      <c r="AA53" s="84" t="b">
        <v>0</v>
      </c>
      <c r="AB53" s="82" t="b">
        <v>0</v>
      </c>
      <c r="AC53" s="82" t="b">
        <v>0</v>
      </c>
      <c r="AD53" s="82" t="b">
        <v>1</v>
      </c>
      <c r="AE53" s="82" t="b">
        <v>1</v>
      </c>
      <c r="AF53" s="82" t="b">
        <v>1</v>
      </c>
      <c r="AG53" s="82" t="b">
        <v>1</v>
      </c>
      <c r="AH53" s="82" t="b">
        <v>1</v>
      </c>
      <c r="AI53" s="82" t="b">
        <v>1</v>
      </c>
      <c r="AJ53" s="82" t="b">
        <v>1</v>
      </c>
      <c r="AK53" s="82" t="b">
        <v>1</v>
      </c>
      <c r="AL53" s="82" t="b">
        <v>1</v>
      </c>
      <c r="AM53" s="82" t="b">
        <v>1</v>
      </c>
      <c r="AN53" s="82" t="b">
        <v>1</v>
      </c>
      <c r="AO53" s="82" t="b">
        <v>1</v>
      </c>
      <c r="AP53" s="82" t="b">
        <v>1</v>
      </c>
      <c r="AQ53" s="82" t="b">
        <v>1</v>
      </c>
      <c r="AR53" s="82" t="b">
        <v>1</v>
      </c>
      <c r="AS53" s="82" t="b">
        <v>1</v>
      </c>
      <c r="AT53" s="82" t="b">
        <v>1</v>
      </c>
      <c r="AU53" s="82" t="b">
        <v>1</v>
      </c>
      <c r="AV53" s="82" t="b">
        <v>1</v>
      </c>
      <c r="AW53" s="82" t="b">
        <v>1</v>
      </c>
      <c r="AX53" s="82" t="b">
        <v>1</v>
      </c>
      <c r="AY53" s="82" t="b">
        <v>1</v>
      </c>
      <c r="AZ53" s="82" t="b">
        <v>1</v>
      </c>
      <c r="BA53" s="82" t="b">
        <v>1</v>
      </c>
      <c r="BB53" s="82" t="b">
        <v>1</v>
      </c>
      <c r="BC53" s="82" t="b">
        <v>1</v>
      </c>
      <c r="BD53" s="82" t="b">
        <v>1</v>
      </c>
      <c r="BE53" s="82" t="b">
        <v>1</v>
      </c>
      <c r="BF53" s="82" t="b">
        <v>1</v>
      </c>
      <c r="BG53" s="82" t="b">
        <v>1</v>
      </c>
      <c r="BH53" s="82" t="b">
        <v>1</v>
      </c>
      <c r="BI53" s="82" t="b">
        <v>1</v>
      </c>
      <c r="BJ53" s="82" t="b">
        <v>1</v>
      </c>
    </row>
    <row r="54" outlineLevel="1">
      <c r="A54" s="82">
        <v>13.0</v>
      </c>
      <c r="B54" s="82" t="s">
        <v>106</v>
      </c>
      <c r="C54" s="82" t="s">
        <v>96</v>
      </c>
      <c r="D54" s="83">
        <v>0.0547</v>
      </c>
      <c r="E54" s="83">
        <v>0.0547</v>
      </c>
      <c r="F54" s="83">
        <v>0.0406</v>
      </c>
      <c r="G54" s="83">
        <v>0.0406</v>
      </c>
      <c r="H54" s="83">
        <v>0.0323</v>
      </c>
      <c r="I54" s="83">
        <v>0.0276</v>
      </c>
      <c r="J54" s="83">
        <v>0.0231</v>
      </c>
      <c r="K54" s="84" t="b">
        <v>0</v>
      </c>
      <c r="L54" s="84" t="b">
        <v>0</v>
      </c>
      <c r="M54" s="84" t="b">
        <v>0</v>
      </c>
      <c r="N54" s="84" t="b">
        <v>0</v>
      </c>
      <c r="O54" s="84" t="b">
        <v>0</v>
      </c>
      <c r="P54" s="84" t="b">
        <v>0</v>
      </c>
      <c r="Q54" s="84" t="b">
        <v>0</v>
      </c>
      <c r="R54" s="84" t="b">
        <v>0</v>
      </c>
      <c r="S54" s="85" t="b">
        <v>0</v>
      </c>
      <c r="T54" s="85" t="b">
        <v>0</v>
      </c>
      <c r="U54" s="85" t="b">
        <v>0</v>
      </c>
      <c r="V54" s="84" t="b">
        <v>0</v>
      </c>
      <c r="W54" s="84" t="b">
        <v>0</v>
      </c>
      <c r="X54" s="84" t="b">
        <v>0</v>
      </c>
      <c r="Y54" s="84" t="b">
        <v>0</v>
      </c>
      <c r="Z54" s="84" t="b">
        <v>0</v>
      </c>
      <c r="AA54" s="82" t="b">
        <v>0</v>
      </c>
      <c r="AB54" s="82" t="b">
        <v>0</v>
      </c>
      <c r="AC54" s="82" t="b">
        <v>0</v>
      </c>
      <c r="AD54" s="82" t="b">
        <v>0</v>
      </c>
      <c r="AE54" s="82" t="b">
        <v>0</v>
      </c>
      <c r="AF54" s="82" t="b">
        <v>0</v>
      </c>
      <c r="AG54" s="82" t="b">
        <v>1</v>
      </c>
      <c r="AH54" s="82" t="b">
        <v>1</v>
      </c>
      <c r="AI54" s="82" t="b">
        <v>1</v>
      </c>
      <c r="AJ54" s="82" t="b">
        <v>1</v>
      </c>
      <c r="AK54" s="82" t="b">
        <v>1</v>
      </c>
      <c r="AL54" s="82" t="b">
        <v>1</v>
      </c>
      <c r="AM54" s="82" t="b">
        <v>1</v>
      </c>
      <c r="AN54" s="82" t="b">
        <v>1</v>
      </c>
      <c r="AO54" s="82" t="b">
        <v>1</v>
      </c>
      <c r="AP54" s="82" t="b">
        <v>1</v>
      </c>
      <c r="AQ54" s="82" t="b">
        <v>1</v>
      </c>
      <c r="AR54" s="82" t="b">
        <v>1</v>
      </c>
      <c r="AS54" s="82" t="b">
        <v>1</v>
      </c>
      <c r="AT54" s="82" t="b">
        <v>1</v>
      </c>
      <c r="AU54" s="82" t="b">
        <v>1</v>
      </c>
      <c r="AV54" s="82" t="b">
        <v>1</v>
      </c>
      <c r="AW54" s="82" t="b">
        <v>1</v>
      </c>
      <c r="AX54" s="82" t="b">
        <v>1</v>
      </c>
      <c r="AY54" s="82" t="b">
        <v>1</v>
      </c>
      <c r="AZ54" s="82" t="b">
        <v>1</v>
      </c>
      <c r="BA54" s="82" t="b">
        <v>1</v>
      </c>
      <c r="BB54" s="82" t="b">
        <v>1</v>
      </c>
      <c r="BC54" s="82" t="b">
        <v>1</v>
      </c>
      <c r="BD54" s="82" t="b">
        <v>1</v>
      </c>
      <c r="BE54" s="82" t="b">
        <v>1</v>
      </c>
      <c r="BF54" s="82" t="b">
        <v>1</v>
      </c>
      <c r="BG54" s="82" t="b">
        <v>1</v>
      </c>
      <c r="BH54" s="82" t="b">
        <v>1</v>
      </c>
      <c r="BI54" s="82" t="b">
        <v>1</v>
      </c>
      <c r="BJ54" s="82" t="b">
        <v>1</v>
      </c>
    </row>
    <row r="55" outlineLevel="1">
      <c r="A55" s="82">
        <v>14.0</v>
      </c>
      <c r="B55" s="82" t="s">
        <v>106</v>
      </c>
      <c r="C55" s="82" t="s">
        <v>106</v>
      </c>
      <c r="D55" s="83">
        <v>0.0317</v>
      </c>
      <c r="E55" s="83">
        <v>0.0317</v>
      </c>
      <c r="F55" s="83">
        <v>0.0235</v>
      </c>
      <c r="G55" s="83">
        <v>0.0235</v>
      </c>
      <c r="H55" s="83">
        <v>0.0227</v>
      </c>
      <c r="I55" s="83">
        <v>0.02</v>
      </c>
      <c r="J55" s="83">
        <v>0.0185</v>
      </c>
      <c r="K55" s="84" t="b">
        <v>0</v>
      </c>
      <c r="L55" s="84" t="b">
        <v>0</v>
      </c>
      <c r="M55" s="84" t="b">
        <v>0</v>
      </c>
      <c r="N55" s="84" t="b">
        <v>0</v>
      </c>
      <c r="O55" s="84" t="b">
        <v>0</v>
      </c>
      <c r="P55" s="84" t="b">
        <v>0</v>
      </c>
      <c r="Q55" s="84" t="b">
        <v>0</v>
      </c>
      <c r="R55" s="84" t="b">
        <v>0</v>
      </c>
      <c r="S55" s="85" t="b">
        <v>0</v>
      </c>
      <c r="T55" s="85" t="b">
        <v>0</v>
      </c>
      <c r="U55" s="85" t="b">
        <v>0</v>
      </c>
      <c r="V55" s="84" t="b">
        <v>0</v>
      </c>
      <c r="W55" s="82" t="b">
        <v>0</v>
      </c>
      <c r="X55" s="82" t="b">
        <v>0</v>
      </c>
      <c r="Y55" s="82" t="b">
        <v>0</v>
      </c>
      <c r="Z55" s="82" t="b">
        <v>0</v>
      </c>
      <c r="AA55" s="82" t="b">
        <v>0</v>
      </c>
      <c r="AB55" s="82" t="b">
        <v>0</v>
      </c>
      <c r="AC55" s="82" t="b">
        <v>0</v>
      </c>
      <c r="AD55" s="82" t="b">
        <v>1</v>
      </c>
      <c r="AE55" s="82" t="b">
        <v>0</v>
      </c>
      <c r="AF55" s="82" t="b">
        <v>1</v>
      </c>
      <c r="AG55" s="82" t="b">
        <v>1</v>
      </c>
      <c r="AH55" s="82" t="b">
        <v>1</v>
      </c>
      <c r="AI55" s="82" t="b">
        <v>1</v>
      </c>
      <c r="AJ55" s="82" t="b">
        <v>1</v>
      </c>
      <c r="AK55" s="82" t="b">
        <v>1</v>
      </c>
      <c r="AL55" s="82" t="b">
        <v>1</v>
      </c>
      <c r="AM55" s="82" t="b">
        <v>1</v>
      </c>
      <c r="AN55" s="82" t="b">
        <v>1</v>
      </c>
      <c r="AO55" s="82" t="b">
        <v>1</v>
      </c>
      <c r="AP55" s="82" t="b">
        <v>1</v>
      </c>
      <c r="AQ55" s="82" t="b">
        <v>1</v>
      </c>
      <c r="AR55" s="82" t="b">
        <v>1</v>
      </c>
      <c r="AS55" s="82" t="b">
        <v>1</v>
      </c>
      <c r="AT55" s="82" t="b">
        <v>1</v>
      </c>
      <c r="AU55" s="82" t="b">
        <v>1</v>
      </c>
      <c r="AV55" s="82" t="b">
        <v>1</v>
      </c>
      <c r="AW55" s="82" t="b">
        <v>1</v>
      </c>
      <c r="AX55" s="82" t="b">
        <v>1</v>
      </c>
      <c r="AY55" s="82" t="b">
        <v>1</v>
      </c>
      <c r="AZ55" s="82" t="b">
        <v>1</v>
      </c>
      <c r="BA55" s="82" t="b">
        <v>1</v>
      </c>
      <c r="BB55" s="82" t="b">
        <v>1</v>
      </c>
      <c r="BC55" s="82" t="b">
        <v>1</v>
      </c>
      <c r="BD55" s="82" t="b">
        <v>1</v>
      </c>
      <c r="BE55" s="82" t="b">
        <v>1</v>
      </c>
      <c r="BF55" s="82" t="b">
        <v>1</v>
      </c>
      <c r="BG55" s="82" t="b">
        <v>1</v>
      </c>
      <c r="BH55" s="82" t="b">
        <v>1</v>
      </c>
      <c r="BI55" s="82" t="b">
        <v>1</v>
      </c>
      <c r="BJ55" s="82" t="b">
        <v>1</v>
      </c>
    </row>
    <row r="56" outlineLevel="1">
      <c r="A56" s="82">
        <v>15.0</v>
      </c>
      <c r="B56" s="82" t="s">
        <v>98</v>
      </c>
      <c r="C56" s="82" t="s">
        <v>99</v>
      </c>
      <c r="D56" s="83">
        <v>0.0318</v>
      </c>
      <c r="E56" s="83">
        <v>0.0265</v>
      </c>
      <c r="F56" s="83">
        <v>0.0221</v>
      </c>
      <c r="G56" s="83">
        <v>0.0221</v>
      </c>
      <c r="H56" s="83">
        <v>0.0206</v>
      </c>
      <c r="I56" s="83">
        <v>0.0197</v>
      </c>
      <c r="J56" s="83">
        <v>0.0185</v>
      </c>
      <c r="K56" s="84" t="b">
        <v>0</v>
      </c>
      <c r="L56" s="84" t="b">
        <v>0</v>
      </c>
      <c r="M56" s="84" t="b">
        <v>0</v>
      </c>
      <c r="N56" s="84" t="b">
        <v>0</v>
      </c>
      <c r="O56" s="84" t="b">
        <v>0</v>
      </c>
      <c r="P56" s="84" t="b">
        <v>0</v>
      </c>
      <c r="Q56" s="84" t="b">
        <v>0</v>
      </c>
      <c r="R56" s="84" t="b">
        <v>0</v>
      </c>
      <c r="S56" s="85" t="b">
        <v>0</v>
      </c>
      <c r="T56" s="85" t="b">
        <v>0</v>
      </c>
      <c r="U56" s="85" t="b">
        <v>0</v>
      </c>
      <c r="V56" s="84" t="b">
        <v>0</v>
      </c>
      <c r="W56" s="84" t="b">
        <v>0</v>
      </c>
      <c r="X56" s="84" t="b">
        <v>0</v>
      </c>
      <c r="Y56" s="84" t="b">
        <v>0</v>
      </c>
      <c r="Z56" s="84" t="b">
        <v>0</v>
      </c>
      <c r="AA56" s="82" t="b">
        <v>0</v>
      </c>
      <c r="AB56" s="82" t="b">
        <v>0</v>
      </c>
      <c r="AC56" s="82" t="b">
        <v>0</v>
      </c>
      <c r="AD56" s="82" t="b">
        <v>1</v>
      </c>
      <c r="AE56" s="82" t="b">
        <v>1</v>
      </c>
      <c r="AF56" s="82" t="b">
        <v>1</v>
      </c>
      <c r="AG56" s="82" t="b">
        <v>0</v>
      </c>
      <c r="AH56" s="82" t="b">
        <v>0</v>
      </c>
      <c r="AI56" s="82" t="b">
        <v>0</v>
      </c>
      <c r="AJ56" s="82" t="b">
        <v>0</v>
      </c>
      <c r="AK56" s="82" t="b">
        <v>0</v>
      </c>
      <c r="AL56" s="82" t="b">
        <v>0</v>
      </c>
      <c r="AM56" s="82" t="b">
        <v>0</v>
      </c>
      <c r="AN56" s="82" t="b">
        <v>1</v>
      </c>
      <c r="AO56" s="82" t="b">
        <v>1</v>
      </c>
      <c r="AP56" s="82" t="b">
        <v>1</v>
      </c>
      <c r="AQ56" s="82" t="b">
        <v>1</v>
      </c>
      <c r="AR56" s="82" t="b">
        <v>1</v>
      </c>
      <c r="AS56" s="82" t="b">
        <v>1</v>
      </c>
      <c r="AT56" s="82" t="b">
        <v>1</v>
      </c>
      <c r="AU56" s="82" t="b">
        <v>1</v>
      </c>
      <c r="AV56" s="82" t="b">
        <v>1</v>
      </c>
      <c r="AW56" s="82" t="b">
        <v>1</v>
      </c>
      <c r="AX56" s="82" t="b">
        <v>1</v>
      </c>
      <c r="AY56" s="82" t="b">
        <v>1</v>
      </c>
      <c r="AZ56" s="82" t="b">
        <v>1</v>
      </c>
      <c r="BA56" s="82" t="b">
        <v>1</v>
      </c>
      <c r="BB56" s="82" t="b">
        <v>1</v>
      </c>
      <c r="BC56" s="82" t="b">
        <v>1</v>
      </c>
      <c r="BD56" s="82" t="b">
        <v>1</v>
      </c>
      <c r="BE56" s="82" t="b">
        <v>1</v>
      </c>
      <c r="BF56" s="82" t="b">
        <v>1</v>
      </c>
      <c r="BG56" s="82" t="b">
        <v>1</v>
      </c>
      <c r="BH56" s="82" t="b">
        <v>1</v>
      </c>
      <c r="BI56" s="82" t="b">
        <v>1</v>
      </c>
      <c r="BJ56" s="82" t="b">
        <v>1</v>
      </c>
    </row>
    <row r="57" outlineLevel="1">
      <c r="A57" s="82">
        <v>16.0</v>
      </c>
      <c r="B57" s="82" t="s">
        <v>106</v>
      </c>
      <c r="C57" s="82" t="s">
        <v>106</v>
      </c>
      <c r="D57" s="83">
        <v>0.03</v>
      </c>
      <c r="E57" s="83">
        <v>0.03</v>
      </c>
      <c r="F57" s="83">
        <v>0.0223</v>
      </c>
      <c r="G57" s="83">
        <v>0.0223</v>
      </c>
      <c r="H57" s="83">
        <v>0.0198</v>
      </c>
      <c r="I57" s="83">
        <v>0.0197</v>
      </c>
      <c r="J57" s="83">
        <v>0.0185</v>
      </c>
      <c r="K57" s="84" t="b">
        <v>0</v>
      </c>
      <c r="L57" s="84" t="b">
        <v>0</v>
      </c>
      <c r="M57" s="84" t="b">
        <v>0</v>
      </c>
      <c r="N57" s="84" t="b">
        <v>0</v>
      </c>
      <c r="O57" s="84" t="b">
        <v>0</v>
      </c>
      <c r="P57" s="84" t="b">
        <v>0</v>
      </c>
      <c r="Q57" s="84" t="b">
        <v>0</v>
      </c>
      <c r="R57" s="84" t="b">
        <v>0</v>
      </c>
      <c r="S57" s="85" t="b">
        <v>0</v>
      </c>
      <c r="T57" s="85" t="b">
        <v>0</v>
      </c>
      <c r="U57" s="85" t="b">
        <v>0</v>
      </c>
      <c r="V57" s="84" t="b">
        <v>0</v>
      </c>
      <c r="W57" s="84" t="b">
        <v>0</v>
      </c>
      <c r="X57" s="84" t="b">
        <v>0</v>
      </c>
      <c r="Y57" s="84" t="b">
        <v>0</v>
      </c>
      <c r="Z57" s="84" t="b">
        <v>0</v>
      </c>
      <c r="AA57" s="82" t="b">
        <v>0</v>
      </c>
      <c r="AB57" s="82" t="b">
        <v>1</v>
      </c>
      <c r="AC57" s="82" t="b">
        <v>0</v>
      </c>
      <c r="AD57" s="82" t="b">
        <v>0</v>
      </c>
      <c r="AE57" s="82" t="b">
        <v>0</v>
      </c>
      <c r="AF57" s="82" t="b">
        <v>0</v>
      </c>
      <c r="AG57" s="82" t="b">
        <v>1</v>
      </c>
      <c r="AH57" s="82" t="b">
        <v>1</v>
      </c>
      <c r="AI57" s="82" t="b">
        <v>1</v>
      </c>
      <c r="AJ57" s="82" t="b">
        <v>1</v>
      </c>
      <c r="AK57" s="82" t="b">
        <v>1</v>
      </c>
      <c r="AL57" s="82" t="b">
        <v>1</v>
      </c>
      <c r="AM57" s="82" t="b">
        <v>1</v>
      </c>
      <c r="AN57" s="82" t="b">
        <v>1</v>
      </c>
      <c r="AO57" s="82" t="b">
        <v>1</v>
      </c>
      <c r="AP57" s="82" t="b">
        <v>1</v>
      </c>
      <c r="AQ57" s="82" t="b">
        <v>1</v>
      </c>
      <c r="AR57" s="82" t="b">
        <v>1</v>
      </c>
      <c r="AS57" s="82" t="b">
        <v>1</v>
      </c>
      <c r="AT57" s="82" t="b">
        <v>1</v>
      </c>
      <c r="AU57" s="82" t="b">
        <v>1</v>
      </c>
      <c r="AV57" s="82" t="b">
        <v>1</v>
      </c>
      <c r="AW57" s="82" t="b">
        <v>1</v>
      </c>
      <c r="AX57" s="82" t="b">
        <v>1</v>
      </c>
      <c r="AY57" s="82" t="b">
        <v>1</v>
      </c>
      <c r="AZ57" s="82" t="b">
        <v>1</v>
      </c>
      <c r="BA57" s="82" t="b">
        <v>1</v>
      </c>
      <c r="BB57" s="82" t="b">
        <v>1</v>
      </c>
      <c r="BC57" s="82" t="b">
        <v>1</v>
      </c>
      <c r="BD57" s="82" t="b">
        <v>1</v>
      </c>
      <c r="BE57" s="82" t="b">
        <v>1</v>
      </c>
      <c r="BF57" s="82" t="b">
        <v>1</v>
      </c>
      <c r="BG57" s="82" t="b">
        <v>1</v>
      </c>
      <c r="BH57" s="82" t="b">
        <v>1</v>
      </c>
      <c r="BI57" s="82" t="b">
        <v>1</v>
      </c>
      <c r="BJ57" s="82" t="b">
        <v>1</v>
      </c>
    </row>
    <row r="58" outlineLevel="1">
      <c r="A58" s="82">
        <v>17.0</v>
      </c>
      <c r="B58" s="82" t="s">
        <v>105</v>
      </c>
      <c r="C58" s="82" t="s">
        <v>101</v>
      </c>
      <c r="D58" s="83">
        <v>0.018</v>
      </c>
      <c r="E58" s="83">
        <v>0.018</v>
      </c>
      <c r="F58" s="83">
        <v>0.018</v>
      </c>
      <c r="G58" s="83">
        <v>0.018</v>
      </c>
      <c r="H58" s="83">
        <v>0.0214</v>
      </c>
      <c r="I58" s="83">
        <v>0.0224</v>
      </c>
      <c r="J58" s="83">
        <v>0.0231</v>
      </c>
      <c r="K58" s="84" t="b">
        <v>0</v>
      </c>
      <c r="L58" s="84" t="b">
        <v>0</v>
      </c>
      <c r="M58" s="84" t="b">
        <v>0</v>
      </c>
      <c r="N58" s="84" t="b">
        <v>0</v>
      </c>
      <c r="O58" s="84" t="b">
        <v>0</v>
      </c>
      <c r="P58" s="84" t="b">
        <v>0</v>
      </c>
      <c r="Q58" s="84" t="b">
        <v>0</v>
      </c>
      <c r="R58" s="84" t="b">
        <v>0</v>
      </c>
      <c r="S58" s="85" t="b">
        <v>0</v>
      </c>
      <c r="T58" s="85" t="b">
        <v>0</v>
      </c>
      <c r="U58" s="85" t="b">
        <v>0</v>
      </c>
      <c r="V58" s="84" t="b">
        <v>0</v>
      </c>
      <c r="W58" s="84" t="b">
        <v>0</v>
      </c>
      <c r="X58" s="84" t="b">
        <v>0</v>
      </c>
      <c r="Y58" s="84" t="b">
        <v>0</v>
      </c>
      <c r="Z58" s="84" t="b">
        <v>0</v>
      </c>
      <c r="AA58" s="84" t="b">
        <v>0</v>
      </c>
      <c r="AB58" s="82" t="b">
        <v>0</v>
      </c>
      <c r="AC58" s="82" t="b">
        <v>0</v>
      </c>
      <c r="AD58" s="82" t="b">
        <v>0</v>
      </c>
      <c r="AE58" s="82" t="b">
        <v>0</v>
      </c>
      <c r="AF58" s="82" t="b">
        <v>1</v>
      </c>
      <c r="AG58" s="82" t="b">
        <v>1</v>
      </c>
      <c r="AH58" s="82" t="b">
        <v>1</v>
      </c>
      <c r="AI58" s="82" t="b">
        <v>1</v>
      </c>
      <c r="AJ58" s="82" t="b">
        <v>1</v>
      </c>
      <c r="AK58" s="82" t="b">
        <v>1</v>
      </c>
      <c r="AL58" s="82" t="b">
        <v>1</v>
      </c>
      <c r="AM58" s="82" t="b">
        <v>1</v>
      </c>
      <c r="AN58" s="82" t="b">
        <v>1</v>
      </c>
      <c r="AO58" s="82" t="b">
        <v>1</v>
      </c>
      <c r="AP58" s="82" t="b">
        <v>1</v>
      </c>
      <c r="AQ58" s="82" t="b">
        <v>1</v>
      </c>
      <c r="AR58" s="82" t="b">
        <v>1</v>
      </c>
      <c r="AS58" s="82" t="b">
        <v>1</v>
      </c>
      <c r="AT58" s="82" t="b">
        <v>1</v>
      </c>
      <c r="AU58" s="82" t="b">
        <v>1</v>
      </c>
      <c r="AV58" s="82" t="b">
        <v>1</v>
      </c>
      <c r="AW58" s="82" t="b">
        <v>1</v>
      </c>
      <c r="AX58" s="82" t="b">
        <v>1</v>
      </c>
      <c r="AY58" s="82" t="b">
        <v>1</v>
      </c>
      <c r="AZ58" s="82" t="b">
        <v>1</v>
      </c>
      <c r="BA58" s="82" t="b">
        <v>1</v>
      </c>
      <c r="BB58" s="82" t="b">
        <v>1</v>
      </c>
      <c r="BC58" s="82" t="b">
        <v>1</v>
      </c>
      <c r="BD58" s="82" t="b">
        <v>1</v>
      </c>
      <c r="BE58" s="82" t="b">
        <v>1</v>
      </c>
      <c r="BF58" s="82" t="b">
        <v>1</v>
      </c>
      <c r="BG58" s="82" t="b">
        <v>1</v>
      </c>
      <c r="BH58" s="82" t="b">
        <v>1</v>
      </c>
      <c r="BI58" s="82" t="b">
        <v>1</v>
      </c>
      <c r="BJ58" s="82" t="b">
        <v>1</v>
      </c>
    </row>
    <row r="59" outlineLevel="1">
      <c r="A59" s="82">
        <v>18.0</v>
      </c>
      <c r="B59" s="82" t="s">
        <v>105</v>
      </c>
      <c r="C59" s="82" t="s">
        <v>97</v>
      </c>
      <c r="D59" s="83">
        <v>0.0233</v>
      </c>
      <c r="E59" s="83">
        <v>0.0233</v>
      </c>
      <c r="F59" s="83">
        <v>0.0233</v>
      </c>
      <c r="G59" s="83">
        <v>0.0233</v>
      </c>
      <c r="H59" s="83">
        <v>0.0196</v>
      </c>
      <c r="I59" s="83">
        <v>0.02</v>
      </c>
      <c r="J59" s="83">
        <v>0.0185</v>
      </c>
      <c r="K59" s="84" t="b">
        <v>0</v>
      </c>
      <c r="L59" s="84" t="b">
        <v>0</v>
      </c>
      <c r="M59" s="84" t="b">
        <v>0</v>
      </c>
      <c r="N59" s="84" t="b">
        <v>0</v>
      </c>
      <c r="O59" s="84" t="b">
        <v>0</v>
      </c>
      <c r="P59" s="84" t="b">
        <v>0</v>
      </c>
      <c r="Q59" s="84" t="b">
        <v>0</v>
      </c>
      <c r="R59" s="84" t="b">
        <v>0</v>
      </c>
      <c r="S59" s="85" t="b">
        <v>0</v>
      </c>
      <c r="T59" s="85" t="b">
        <v>0</v>
      </c>
      <c r="U59" s="85" t="b">
        <v>0</v>
      </c>
      <c r="V59" s="84" t="b">
        <v>0</v>
      </c>
      <c r="W59" s="84" t="b">
        <v>0</v>
      </c>
      <c r="X59" s="84" t="b">
        <v>0</v>
      </c>
      <c r="Y59" s="84" t="b">
        <v>0</v>
      </c>
      <c r="Z59" s="84" t="b">
        <v>0</v>
      </c>
      <c r="AA59" s="84" t="b">
        <v>0</v>
      </c>
      <c r="AB59" s="82" t="b">
        <v>0</v>
      </c>
      <c r="AC59" s="82" t="b">
        <v>0</v>
      </c>
      <c r="AD59" s="82" t="b">
        <v>0</v>
      </c>
      <c r="AE59" s="82" t="b">
        <v>0</v>
      </c>
      <c r="AF59" s="82" t="b">
        <v>0</v>
      </c>
      <c r="AG59" s="82" t="b">
        <v>1</v>
      </c>
      <c r="AH59" s="82" t="b">
        <v>1</v>
      </c>
      <c r="AI59" s="82" t="b">
        <v>1</v>
      </c>
      <c r="AJ59" s="82" t="b">
        <v>1</v>
      </c>
      <c r="AK59" s="82" t="b">
        <v>1</v>
      </c>
      <c r="AL59" s="82" t="b">
        <v>1</v>
      </c>
      <c r="AM59" s="82" t="b">
        <v>1</v>
      </c>
      <c r="AN59" s="82" t="b">
        <v>1</v>
      </c>
      <c r="AO59" s="82" t="b">
        <v>1</v>
      </c>
      <c r="AP59" s="82" t="b">
        <v>1</v>
      </c>
      <c r="AQ59" s="82" t="b">
        <v>1</v>
      </c>
      <c r="AR59" s="82" t="b">
        <v>1</v>
      </c>
      <c r="AS59" s="82" t="b">
        <v>1</v>
      </c>
      <c r="AT59" s="82" t="b">
        <v>1</v>
      </c>
      <c r="AU59" s="82" t="b">
        <v>1</v>
      </c>
      <c r="AV59" s="82" t="b">
        <v>1</v>
      </c>
      <c r="AW59" s="82" t="b">
        <v>1</v>
      </c>
      <c r="AX59" s="82" t="b">
        <v>1</v>
      </c>
      <c r="AY59" s="82" t="b">
        <v>1</v>
      </c>
      <c r="AZ59" s="82" t="b">
        <v>1</v>
      </c>
      <c r="BA59" s="82" t="b">
        <v>1</v>
      </c>
      <c r="BB59" s="82" t="b">
        <v>1</v>
      </c>
      <c r="BC59" s="82" t="b">
        <v>1</v>
      </c>
      <c r="BD59" s="82" t="b">
        <v>1</v>
      </c>
      <c r="BE59" s="82" t="b">
        <v>1</v>
      </c>
      <c r="BF59" s="82" t="b">
        <v>1</v>
      </c>
      <c r="BG59" s="82" t="b">
        <v>1</v>
      </c>
      <c r="BH59" s="82" t="b">
        <v>1</v>
      </c>
      <c r="BI59" s="82" t="b">
        <v>1</v>
      </c>
      <c r="BJ59" s="82" t="b">
        <v>1</v>
      </c>
    </row>
    <row r="60" outlineLevel="1">
      <c r="A60" s="86">
        <v>19.0</v>
      </c>
      <c r="B60" s="86" t="s">
        <v>102</v>
      </c>
      <c r="C60" s="86" t="s">
        <v>107</v>
      </c>
      <c r="D60" s="87"/>
      <c r="E60" s="88">
        <v>0.0478</v>
      </c>
      <c r="F60" s="88">
        <v>0.042</v>
      </c>
      <c r="G60" s="88">
        <v>0.0277</v>
      </c>
      <c r="H60" s="89">
        <v>0.0338</v>
      </c>
      <c r="I60" s="89">
        <v>0.0346</v>
      </c>
      <c r="J60" s="89">
        <v>0.0324</v>
      </c>
      <c r="K60" s="82" t="b">
        <v>0</v>
      </c>
      <c r="L60" s="82" t="b">
        <v>0</v>
      </c>
      <c r="M60" s="82" t="b">
        <v>0</v>
      </c>
      <c r="N60" s="84" t="b">
        <v>0</v>
      </c>
      <c r="O60" s="84" t="b">
        <v>0</v>
      </c>
      <c r="P60" s="84" t="b">
        <v>0</v>
      </c>
      <c r="Q60" s="84" t="b">
        <v>0</v>
      </c>
      <c r="R60" s="84"/>
      <c r="S60" s="90"/>
      <c r="T60" s="90"/>
      <c r="U60" s="90"/>
      <c r="V60" s="91"/>
      <c r="W60" s="90"/>
      <c r="X60" s="90"/>
      <c r="Y60" s="90"/>
      <c r="Z60" s="90"/>
      <c r="AA60" s="90"/>
      <c r="AB60" s="90"/>
      <c r="AC60" s="86" t="b">
        <v>0</v>
      </c>
      <c r="AD60" s="86" t="b">
        <v>0</v>
      </c>
      <c r="AE60" s="86" t="b">
        <v>1</v>
      </c>
      <c r="AF60" s="86" t="b">
        <v>1</v>
      </c>
      <c r="AG60" s="86" t="b">
        <v>0</v>
      </c>
      <c r="AH60" s="86" t="b">
        <v>1</v>
      </c>
      <c r="AI60" s="86" t="b">
        <v>1</v>
      </c>
      <c r="AJ60" s="86" t="b">
        <v>1</v>
      </c>
      <c r="AK60" s="86" t="b">
        <v>1</v>
      </c>
      <c r="AL60" s="86" t="b">
        <v>1</v>
      </c>
      <c r="AM60" s="86" t="b">
        <v>1</v>
      </c>
      <c r="AN60" s="86" t="b">
        <v>1</v>
      </c>
      <c r="AO60" s="86" t="b">
        <v>1</v>
      </c>
      <c r="AP60" s="86" t="b">
        <v>1</v>
      </c>
      <c r="AQ60" s="86" t="b">
        <v>1</v>
      </c>
      <c r="AR60" s="86" t="b">
        <v>1</v>
      </c>
      <c r="AS60" s="86" t="b">
        <v>1</v>
      </c>
      <c r="AT60" s="86" t="b">
        <v>1</v>
      </c>
      <c r="AU60" s="86" t="b">
        <v>1</v>
      </c>
      <c r="AV60" s="86" t="b">
        <v>1</v>
      </c>
      <c r="AW60" s="86" t="b">
        <v>1</v>
      </c>
      <c r="AX60" s="86" t="b">
        <v>1</v>
      </c>
      <c r="AY60" s="86" t="b">
        <v>1</v>
      </c>
      <c r="AZ60" s="86" t="b">
        <v>1</v>
      </c>
      <c r="BA60" s="86" t="b">
        <v>1</v>
      </c>
      <c r="BB60" s="86" t="b">
        <v>1</v>
      </c>
      <c r="BC60" s="86" t="b">
        <v>1</v>
      </c>
      <c r="BD60" s="86" t="b">
        <v>1</v>
      </c>
      <c r="BE60" s="86" t="b">
        <v>1</v>
      </c>
      <c r="BF60" s="86" t="b">
        <v>1</v>
      </c>
      <c r="BG60" s="86" t="b">
        <v>1</v>
      </c>
      <c r="BH60" s="86" t="b">
        <v>1</v>
      </c>
      <c r="BI60" s="86" t="b">
        <v>1</v>
      </c>
      <c r="BJ60" s="86" t="b">
        <v>1</v>
      </c>
    </row>
    <row r="61" outlineLevel="1">
      <c r="A61" s="86">
        <v>20.0</v>
      </c>
      <c r="B61" s="86" t="s">
        <v>98</v>
      </c>
      <c r="C61" s="86" t="s">
        <v>107</v>
      </c>
      <c r="D61" s="87"/>
      <c r="E61" s="88">
        <v>0.0215</v>
      </c>
      <c r="F61" s="88">
        <v>0.0179</v>
      </c>
      <c r="G61" s="88">
        <v>0.0179</v>
      </c>
      <c r="H61" s="89">
        <v>0.0208</v>
      </c>
      <c r="I61" s="89">
        <v>0.0224</v>
      </c>
      <c r="J61" s="89">
        <v>0.0231</v>
      </c>
      <c r="K61" s="84" t="b">
        <v>0</v>
      </c>
      <c r="L61" s="84" t="b">
        <v>0</v>
      </c>
      <c r="M61" s="84" t="b">
        <v>0</v>
      </c>
      <c r="N61" s="84" t="b">
        <v>0</v>
      </c>
      <c r="O61" s="84" t="b">
        <v>0</v>
      </c>
      <c r="P61" s="84" t="b">
        <v>0</v>
      </c>
      <c r="Q61" s="84" t="b">
        <v>0</v>
      </c>
      <c r="R61" s="84"/>
      <c r="S61" s="90"/>
      <c r="T61" s="90"/>
      <c r="U61" s="90"/>
      <c r="V61" s="91"/>
      <c r="W61" s="90"/>
      <c r="X61" s="90"/>
      <c r="Y61" s="90"/>
      <c r="Z61" s="90"/>
      <c r="AA61" s="90"/>
      <c r="AB61" s="90"/>
      <c r="AC61" s="86" t="b">
        <v>0</v>
      </c>
      <c r="AD61" s="86" t="b">
        <v>0</v>
      </c>
      <c r="AE61" s="86" t="b">
        <v>1</v>
      </c>
      <c r="AF61" s="86" t="b">
        <v>0</v>
      </c>
      <c r="AG61" s="86" t="b">
        <v>0</v>
      </c>
      <c r="AH61" s="86" t="b">
        <v>1</v>
      </c>
      <c r="AI61" s="86" t="b">
        <v>1</v>
      </c>
      <c r="AJ61" s="86" t="b">
        <v>1</v>
      </c>
      <c r="AK61" s="86" t="b">
        <v>1</v>
      </c>
      <c r="AL61" s="86" t="b">
        <v>1</v>
      </c>
      <c r="AM61" s="86" t="b">
        <v>1</v>
      </c>
      <c r="AN61" s="86" t="b">
        <v>1</v>
      </c>
      <c r="AO61" s="86" t="b">
        <v>1</v>
      </c>
      <c r="AP61" s="86" t="b">
        <v>1</v>
      </c>
      <c r="AQ61" s="86" t="b">
        <v>1</v>
      </c>
      <c r="AR61" s="86" t="b">
        <v>1</v>
      </c>
      <c r="AS61" s="86" t="b">
        <v>1</v>
      </c>
      <c r="AT61" s="86" t="b">
        <v>1</v>
      </c>
      <c r="AU61" s="86" t="b">
        <v>1</v>
      </c>
      <c r="AV61" s="86" t="b">
        <v>1</v>
      </c>
      <c r="AW61" s="86" t="b">
        <v>1</v>
      </c>
      <c r="AX61" s="86" t="b">
        <v>1</v>
      </c>
      <c r="AY61" s="86" t="b">
        <v>1</v>
      </c>
      <c r="AZ61" s="86" t="b">
        <v>1</v>
      </c>
      <c r="BA61" s="86" t="b">
        <v>1</v>
      </c>
      <c r="BB61" s="86" t="b">
        <v>1</v>
      </c>
      <c r="BC61" s="86" t="b">
        <v>1</v>
      </c>
      <c r="BD61" s="86" t="b">
        <v>1</v>
      </c>
      <c r="BE61" s="86" t="b">
        <v>1</v>
      </c>
      <c r="BF61" s="86" t="b">
        <v>1</v>
      </c>
      <c r="BG61" s="86" t="b">
        <v>1</v>
      </c>
      <c r="BH61" s="86" t="b">
        <v>1</v>
      </c>
      <c r="BI61" s="86" t="b">
        <v>1</v>
      </c>
      <c r="BJ61" s="86" t="b">
        <v>1</v>
      </c>
    </row>
    <row r="62" outlineLevel="1">
      <c r="A62" s="86">
        <v>21.0</v>
      </c>
      <c r="B62" s="86" t="s">
        <v>95</v>
      </c>
      <c r="C62" s="86" t="s">
        <v>107</v>
      </c>
      <c r="D62" s="87"/>
      <c r="E62" s="88">
        <v>0.03</v>
      </c>
      <c r="F62" s="88">
        <v>0.03</v>
      </c>
      <c r="G62" s="88">
        <v>0.03</v>
      </c>
      <c r="H62" s="89">
        <v>0.0301</v>
      </c>
      <c r="I62" s="89">
        <v>0.0334</v>
      </c>
      <c r="J62" s="89">
        <v>0.037</v>
      </c>
      <c r="K62" s="84" t="b">
        <v>0</v>
      </c>
      <c r="L62" s="84" t="b">
        <v>0</v>
      </c>
      <c r="M62" s="82" t="b">
        <v>0</v>
      </c>
      <c r="N62" s="84" t="b">
        <v>0</v>
      </c>
      <c r="O62" s="84" t="b">
        <v>0</v>
      </c>
      <c r="P62" s="84" t="b">
        <v>0</v>
      </c>
      <c r="Q62" s="84" t="b">
        <v>0</v>
      </c>
      <c r="R62" s="84"/>
      <c r="S62" s="90"/>
      <c r="T62" s="90"/>
      <c r="U62" s="90"/>
      <c r="V62" s="91"/>
      <c r="W62" s="90"/>
      <c r="X62" s="90"/>
      <c r="Y62" s="90"/>
      <c r="Z62" s="90"/>
      <c r="AA62" s="90"/>
      <c r="AB62" s="90"/>
      <c r="AC62" s="86" t="b">
        <v>0</v>
      </c>
      <c r="AD62" s="86" t="b">
        <v>0</v>
      </c>
      <c r="AE62" s="86" t="b">
        <v>0</v>
      </c>
      <c r="AF62" s="86" t="b">
        <v>1</v>
      </c>
      <c r="AG62" s="86" t="b">
        <v>1</v>
      </c>
      <c r="AH62" s="86" t="b">
        <v>1</v>
      </c>
      <c r="AI62" s="86" t="b">
        <v>1</v>
      </c>
      <c r="AJ62" s="86" t="b">
        <v>1</v>
      </c>
      <c r="AK62" s="86" t="b">
        <v>1</v>
      </c>
      <c r="AL62" s="86" t="b">
        <v>1</v>
      </c>
      <c r="AM62" s="86" t="b">
        <v>1</v>
      </c>
      <c r="AN62" s="86" t="b">
        <v>1</v>
      </c>
      <c r="AO62" s="86" t="b">
        <v>1</v>
      </c>
      <c r="AP62" s="86" t="b">
        <v>1</v>
      </c>
      <c r="AQ62" s="86" t="b">
        <v>1</v>
      </c>
      <c r="AR62" s="86" t="b">
        <v>1</v>
      </c>
      <c r="AS62" s="86" t="b">
        <v>1</v>
      </c>
      <c r="AT62" s="86" t="b">
        <v>1</v>
      </c>
      <c r="AU62" s="86" t="b">
        <v>1</v>
      </c>
      <c r="AV62" s="86" t="b">
        <v>1</v>
      </c>
      <c r="AW62" s="86" t="b">
        <v>1</v>
      </c>
      <c r="AX62" s="86" t="b">
        <v>1</v>
      </c>
      <c r="AY62" s="86" t="b">
        <v>1</v>
      </c>
      <c r="AZ62" s="86" t="b">
        <v>1</v>
      </c>
      <c r="BA62" s="86" t="b">
        <v>1</v>
      </c>
      <c r="BB62" s="86" t="b">
        <v>1</v>
      </c>
      <c r="BC62" s="86" t="b">
        <v>1</v>
      </c>
      <c r="BD62" s="86" t="b">
        <v>1</v>
      </c>
      <c r="BE62" s="86" t="b">
        <v>1</v>
      </c>
      <c r="BF62" s="86" t="b">
        <v>1</v>
      </c>
      <c r="BG62" s="86" t="b">
        <v>1</v>
      </c>
      <c r="BH62" s="86" t="b">
        <v>1</v>
      </c>
      <c r="BI62" s="86" t="b">
        <v>1</v>
      </c>
      <c r="BJ62" s="86" t="b">
        <v>1</v>
      </c>
    </row>
    <row r="63" outlineLevel="1">
      <c r="A63" s="86">
        <v>22.0</v>
      </c>
      <c r="B63" s="86" t="s">
        <v>98</v>
      </c>
      <c r="C63" s="86" t="s">
        <v>97</v>
      </c>
      <c r="D63" s="87"/>
      <c r="E63" s="87"/>
      <c r="F63" s="88">
        <v>0.0215</v>
      </c>
      <c r="G63" s="88">
        <v>0.0215</v>
      </c>
      <c r="H63" s="89">
        <v>0.0231</v>
      </c>
      <c r="I63" s="89">
        <v>0.0255</v>
      </c>
      <c r="J63" s="89">
        <v>0.0278</v>
      </c>
      <c r="K63" s="84" t="b">
        <v>0</v>
      </c>
      <c r="L63" s="84" t="b">
        <v>0</v>
      </c>
      <c r="M63" s="82" t="b">
        <v>0</v>
      </c>
      <c r="N63" s="84" t="b">
        <v>0</v>
      </c>
      <c r="O63" s="84" t="b">
        <v>0</v>
      </c>
      <c r="P63" s="84" t="b">
        <v>0</v>
      </c>
      <c r="Q63" s="84" t="b">
        <v>0</v>
      </c>
      <c r="R63" s="84"/>
      <c r="S63" s="90"/>
      <c r="T63" s="90"/>
      <c r="U63" s="90"/>
      <c r="V63" s="90"/>
      <c r="W63" s="90"/>
      <c r="X63" s="90"/>
      <c r="Y63" s="90"/>
      <c r="Z63" s="90"/>
      <c r="AA63" s="90"/>
      <c r="AB63" s="90"/>
      <c r="AC63" s="90"/>
      <c r="AD63" s="90"/>
      <c r="AE63" s="90"/>
      <c r="AF63" s="90"/>
      <c r="AG63" s="86" t="b">
        <v>1</v>
      </c>
      <c r="AH63" s="86" t="b">
        <v>1</v>
      </c>
      <c r="AI63" s="86" t="b">
        <v>1</v>
      </c>
      <c r="AJ63" s="86" t="b">
        <v>1</v>
      </c>
      <c r="AK63" s="86" t="b">
        <v>1</v>
      </c>
      <c r="AL63" s="86" t="b">
        <v>1</v>
      </c>
      <c r="AM63" s="86" t="b">
        <v>1</v>
      </c>
      <c r="AN63" s="86" t="b">
        <v>1</v>
      </c>
      <c r="AO63" s="86" t="b">
        <v>1</v>
      </c>
      <c r="AP63" s="86" t="b">
        <v>1</v>
      </c>
      <c r="AQ63" s="86" t="b">
        <v>1</v>
      </c>
      <c r="AR63" s="86" t="b">
        <v>1</v>
      </c>
      <c r="AS63" s="86" t="b">
        <v>1</v>
      </c>
      <c r="AT63" s="86" t="b">
        <v>1</v>
      </c>
      <c r="AU63" s="86" t="b">
        <v>1</v>
      </c>
      <c r="AV63" s="86" t="b">
        <v>1</v>
      </c>
      <c r="AW63" s="86" t="b">
        <v>1</v>
      </c>
      <c r="AX63" s="86" t="b">
        <v>1</v>
      </c>
      <c r="AY63" s="86" t="b">
        <v>1</v>
      </c>
      <c r="AZ63" s="86" t="b">
        <v>1</v>
      </c>
      <c r="BA63" s="86" t="b">
        <v>1</v>
      </c>
      <c r="BB63" s="86" t="b">
        <v>1</v>
      </c>
      <c r="BC63" s="86" t="b">
        <v>1</v>
      </c>
      <c r="BD63" s="86" t="b">
        <v>1</v>
      </c>
      <c r="BE63" s="86" t="b">
        <v>1</v>
      </c>
      <c r="BF63" s="86" t="b">
        <v>1</v>
      </c>
      <c r="BG63" s="86" t="b">
        <v>1</v>
      </c>
      <c r="BH63" s="86" t="b">
        <v>1</v>
      </c>
      <c r="BI63" s="86" t="b">
        <v>1</v>
      </c>
      <c r="BJ63" s="86" t="b">
        <v>1</v>
      </c>
    </row>
    <row r="64" outlineLevel="1">
      <c r="A64" s="86">
        <v>23.0</v>
      </c>
      <c r="B64" s="86" t="s">
        <v>106</v>
      </c>
      <c r="C64" s="86" t="s">
        <v>108</v>
      </c>
      <c r="D64" s="87"/>
      <c r="E64" s="87"/>
      <c r="F64" s="88">
        <v>0.03</v>
      </c>
      <c r="G64" s="88">
        <v>0.03</v>
      </c>
      <c r="H64" s="89">
        <v>0.0278</v>
      </c>
      <c r="I64" s="89">
        <v>0.0288</v>
      </c>
      <c r="J64" s="89">
        <v>0.0278</v>
      </c>
      <c r="K64" s="84" t="b">
        <v>0</v>
      </c>
      <c r="L64" s="84" t="b">
        <v>0</v>
      </c>
      <c r="M64" s="82" t="b">
        <v>0</v>
      </c>
      <c r="N64" s="84" t="b">
        <v>0</v>
      </c>
      <c r="O64" s="84" t="b">
        <v>0</v>
      </c>
      <c r="P64" s="84" t="b">
        <v>0</v>
      </c>
      <c r="Q64" s="84" t="b">
        <v>0</v>
      </c>
      <c r="R64" s="84"/>
      <c r="S64" s="90"/>
      <c r="T64" s="90"/>
      <c r="U64" s="90"/>
      <c r="V64" s="90"/>
      <c r="W64" s="90"/>
      <c r="X64" s="90"/>
      <c r="Y64" s="90"/>
      <c r="Z64" s="90"/>
      <c r="AA64" s="90"/>
      <c r="AB64" s="90"/>
      <c r="AC64" s="90"/>
      <c r="AD64" s="90"/>
      <c r="AE64" s="90"/>
      <c r="AF64" s="90"/>
      <c r="AG64" s="86" t="b">
        <v>1</v>
      </c>
      <c r="AH64" s="86" t="b">
        <v>1</v>
      </c>
      <c r="AI64" s="86" t="b">
        <v>1</v>
      </c>
      <c r="AJ64" s="86" t="b">
        <v>1</v>
      </c>
      <c r="AK64" s="86" t="b">
        <v>1</v>
      </c>
      <c r="AL64" s="86" t="b">
        <v>1</v>
      </c>
      <c r="AM64" s="86" t="b">
        <v>1</v>
      </c>
      <c r="AN64" s="86" t="b">
        <v>1</v>
      </c>
      <c r="AO64" s="86" t="b">
        <v>1</v>
      </c>
      <c r="AP64" s="86" t="b">
        <v>1</v>
      </c>
      <c r="AQ64" s="86" t="b">
        <v>1</v>
      </c>
      <c r="AR64" s="86" t="b">
        <v>1</v>
      </c>
      <c r="AS64" s="86" t="b">
        <v>1</v>
      </c>
      <c r="AT64" s="86" t="b">
        <v>1</v>
      </c>
      <c r="AU64" s="86" t="b">
        <v>1</v>
      </c>
      <c r="AV64" s="86" t="b">
        <v>1</v>
      </c>
      <c r="AW64" s="86" t="b">
        <v>1</v>
      </c>
      <c r="AX64" s="86" t="b">
        <v>1</v>
      </c>
      <c r="AY64" s="86" t="b">
        <v>1</v>
      </c>
      <c r="AZ64" s="86" t="b">
        <v>1</v>
      </c>
      <c r="BA64" s="86" t="b">
        <v>1</v>
      </c>
      <c r="BB64" s="86" t="b">
        <v>1</v>
      </c>
      <c r="BC64" s="86" t="b">
        <v>1</v>
      </c>
      <c r="BD64" s="86" t="b">
        <v>1</v>
      </c>
      <c r="BE64" s="86" t="b">
        <v>1</v>
      </c>
      <c r="BF64" s="86" t="b">
        <v>1</v>
      </c>
      <c r="BG64" s="86" t="b">
        <v>1</v>
      </c>
      <c r="BH64" s="86" t="b">
        <v>1</v>
      </c>
      <c r="BI64" s="86" t="b">
        <v>1</v>
      </c>
      <c r="BJ64" s="86" t="b">
        <v>1</v>
      </c>
    </row>
    <row r="65" outlineLevel="1">
      <c r="A65" s="86">
        <v>24.0</v>
      </c>
      <c r="B65" s="86" t="s">
        <v>109</v>
      </c>
      <c r="C65" s="86" t="s">
        <v>108</v>
      </c>
      <c r="D65" s="87"/>
      <c r="E65" s="87"/>
      <c r="F65" s="88">
        <v>0.0336</v>
      </c>
      <c r="G65" s="88">
        <v>0.0258</v>
      </c>
      <c r="H65" s="89">
        <v>0.0329</v>
      </c>
      <c r="I65" s="89">
        <v>0.034</v>
      </c>
      <c r="J65" s="89">
        <v>0.0324</v>
      </c>
      <c r="K65" s="84" t="b">
        <v>0</v>
      </c>
      <c r="L65" s="84" t="b">
        <v>0</v>
      </c>
      <c r="M65" s="82" t="b">
        <v>0</v>
      </c>
      <c r="N65" s="84" t="b">
        <v>0</v>
      </c>
      <c r="O65" s="84" t="b">
        <v>0</v>
      </c>
      <c r="P65" s="84" t="b">
        <v>0</v>
      </c>
      <c r="Q65" s="84" t="b">
        <v>0</v>
      </c>
      <c r="R65" s="84"/>
      <c r="S65" s="90"/>
      <c r="T65" s="90"/>
      <c r="U65" s="90"/>
      <c r="V65" s="90"/>
      <c r="W65" s="90"/>
      <c r="X65" s="90"/>
      <c r="Y65" s="90"/>
      <c r="Z65" s="90"/>
      <c r="AA65" s="90"/>
      <c r="AB65" s="90"/>
      <c r="AC65" s="90"/>
      <c r="AD65" s="90"/>
      <c r="AE65" s="90"/>
      <c r="AF65" s="90"/>
      <c r="AG65" s="86" t="b">
        <v>1</v>
      </c>
      <c r="AH65" s="86" t="b">
        <v>1</v>
      </c>
      <c r="AI65" s="86" t="b">
        <v>1</v>
      </c>
      <c r="AJ65" s="86" t="b">
        <v>1</v>
      </c>
      <c r="AK65" s="86" t="b">
        <v>1</v>
      </c>
      <c r="AL65" s="86" t="b">
        <v>1</v>
      </c>
      <c r="AM65" s="86" t="b">
        <v>1</v>
      </c>
      <c r="AN65" s="86" t="b">
        <v>1</v>
      </c>
      <c r="AO65" s="86" t="b">
        <v>1</v>
      </c>
      <c r="AP65" s="86" t="b">
        <v>1</v>
      </c>
      <c r="AQ65" s="86" t="b">
        <v>1</v>
      </c>
      <c r="AR65" s="86" t="b">
        <v>1</v>
      </c>
      <c r="AS65" s="86" t="b">
        <v>1</v>
      </c>
      <c r="AT65" s="86" t="b">
        <v>1</v>
      </c>
      <c r="AU65" s="86" t="b">
        <v>1</v>
      </c>
      <c r="AV65" s="86" t="b">
        <v>1</v>
      </c>
      <c r="AW65" s="86" t="b">
        <v>1</v>
      </c>
      <c r="AX65" s="86" t="b">
        <v>1</v>
      </c>
      <c r="AY65" s="86" t="b">
        <v>1</v>
      </c>
      <c r="AZ65" s="86" t="b">
        <v>1</v>
      </c>
      <c r="BA65" s="86" t="b">
        <v>1</v>
      </c>
      <c r="BB65" s="86" t="b">
        <v>1</v>
      </c>
      <c r="BC65" s="86" t="b">
        <v>1</v>
      </c>
      <c r="BD65" s="86" t="b">
        <v>1</v>
      </c>
      <c r="BE65" s="86" t="b">
        <v>1</v>
      </c>
      <c r="BF65" s="86" t="b">
        <v>1</v>
      </c>
      <c r="BG65" s="86" t="b">
        <v>1</v>
      </c>
      <c r="BH65" s="86" t="b">
        <v>1</v>
      </c>
      <c r="BI65" s="86" t="b">
        <v>1</v>
      </c>
      <c r="BJ65" s="86" t="b">
        <v>1</v>
      </c>
    </row>
    <row r="66" outlineLevel="1">
      <c r="A66" s="86">
        <v>25.0</v>
      </c>
      <c r="B66" s="86" t="s">
        <v>102</v>
      </c>
      <c r="C66" s="86" t="s">
        <v>108</v>
      </c>
      <c r="D66" s="87"/>
      <c r="E66" s="87"/>
      <c r="F66" s="87"/>
      <c r="G66" s="88">
        <v>0.03</v>
      </c>
      <c r="H66" s="89">
        <v>0.0319</v>
      </c>
      <c r="I66" s="89">
        <v>0.0325</v>
      </c>
      <c r="J66" s="89">
        <v>0.0324</v>
      </c>
      <c r="K66" s="84" t="b">
        <v>0</v>
      </c>
      <c r="L66" s="84" t="b">
        <v>0</v>
      </c>
      <c r="M66" s="82" t="b">
        <v>0</v>
      </c>
      <c r="N66" s="84" t="b">
        <v>0</v>
      </c>
      <c r="O66" s="84" t="b">
        <v>0</v>
      </c>
      <c r="P66" s="84" t="b">
        <v>0</v>
      </c>
      <c r="Q66" s="84" t="b">
        <v>0</v>
      </c>
      <c r="R66" s="84"/>
      <c r="S66" s="90"/>
      <c r="T66" s="90"/>
      <c r="U66" s="90"/>
      <c r="V66" s="90"/>
      <c r="W66" s="90"/>
      <c r="X66" s="90"/>
      <c r="Y66" s="90"/>
      <c r="Z66" s="90"/>
      <c r="AA66" s="90"/>
      <c r="AB66" s="90"/>
      <c r="AC66" s="90"/>
      <c r="AD66" s="90"/>
      <c r="AE66" s="90"/>
      <c r="AF66" s="90"/>
      <c r="AG66" s="90"/>
      <c r="AH66" s="90"/>
      <c r="AI66" s="90"/>
      <c r="AJ66" s="90"/>
      <c r="AK66" s="86" t="b">
        <v>1</v>
      </c>
      <c r="AL66" s="86" t="b">
        <v>1</v>
      </c>
      <c r="AM66" s="86" t="b">
        <v>1</v>
      </c>
      <c r="AN66" s="86" t="b">
        <v>1</v>
      </c>
      <c r="AO66" s="86" t="b">
        <v>1</v>
      </c>
      <c r="AP66" s="86" t="b">
        <v>1</v>
      </c>
      <c r="AQ66" s="86" t="b">
        <v>1</v>
      </c>
      <c r="AR66" s="86" t="b">
        <v>1</v>
      </c>
      <c r="AS66" s="86" t="b">
        <v>1</v>
      </c>
      <c r="AT66" s="86" t="b">
        <v>1</v>
      </c>
      <c r="AU66" s="86" t="b">
        <v>1</v>
      </c>
      <c r="AV66" s="86" t="b">
        <v>1</v>
      </c>
      <c r="AW66" s="86" t="b">
        <v>1</v>
      </c>
      <c r="AX66" s="86" t="b">
        <v>1</v>
      </c>
      <c r="AY66" s="86" t="b">
        <v>1</v>
      </c>
      <c r="AZ66" s="86" t="b">
        <v>1</v>
      </c>
      <c r="BA66" s="86" t="b">
        <v>1</v>
      </c>
      <c r="BB66" s="86" t="b">
        <v>1</v>
      </c>
      <c r="BC66" s="86" t="b">
        <v>1</v>
      </c>
      <c r="BD66" s="86" t="b">
        <v>1</v>
      </c>
      <c r="BE66" s="86" t="b">
        <v>1</v>
      </c>
      <c r="BF66" s="86" t="b">
        <v>1</v>
      </c>
      <c r="BG66" s="86" t="b">
        <v>1</v>
      </c>
      <c r="BH66" s="86" t="b">
        <v>1</v>
      </c>
      <c r="BI66" s="86" t="b">
        <v>1</v>
      </c>
      <c r="BJ66" s="86" t="b">
        <v>1</v>
      </c>
    </row>
    <row r="67" outlineLevel="1">
      <c r="A67" s="86">
        <v>26.0</v>
      </c>
      <c r="B67" s="86" t="s">
        <v>102</v>
      </c>
      <c r="C67" s="86" t="s">
        <v>108</v>
      </c>
      <c r="D67" s="87"/>
      <c r="E67" s="87"/>
      <c r="F67" s="87"/>
      <c r="G67" s="88">
        <v>0.03</v>
      </c>
      <c r="H67" s="89">
        <v>0.0319</v>
      </c>
      <c r="I67" s="89">
        <v>0.0325</v>
      </c>
      <c r="J67" s="89">
        <v>0.0324</v>
      </c>
      <c r="K67" s="84" t="b">
        <v>0</v>
      </c>
      <c r="L67" s="84" t="b">
        <v>0</v>
      </c>
      <c r="M67" s="82" t="b">
        <v>0</v>
      </c>
      <c r="N67" s="84" t="b">
        <v>0</v>
      </c>
      <c r="O67" s="84" t="b">
        <v>0</v>
      </c>
      <c r="P67" s="84" t="b">
        <v>0</v>
      </c>
      <c r="Q67" s="84" t="b">
        <v>0</v>
      </c>
      <c r="R67" s="84"/>
      <c r="S67" s="90"/>
      <c r="T67" s="90"/>
      <c r="U67" s="90"/>
      <c r="V67" s="90"/>
      <c r="W67" s="90"/>
      <c r="X67" s="90"/>
      <c r="Y67" s="90"/>
      <c r="Z67" s="90"/>
      <c r="AA67" s="90"/>
      <c r="AB67" s="90"/>
      <c r="AC67" s="90"/>
      <c r="AD67" s="90"/>
      <c r="AE67" s="90"/>
      <c r="AF67" s="90"/>
      <c r="AG67" s="90"/>
      <c r="AH67" s="90"/>
      <c r="AI67" s="90"/>
      <c r="AJ67" s="90"/>
      <c r="AK67" s="86" t="b">
        <v>1</v>
      </c>
      <c r="AL67" s="86" t="b">
        <v>1</v>
      </c>
      <c r="AM67" s="86" t="b">
        <v>1</v>
      </c>
      <c r="AN67" s="86" t="b">
        <v>1</v>
      </c>
      <c r="AO67" s="86" t="b">
        <v>1</v>
      </c>
      <c r="AP67" s="86" t="b">
        <v>1</v>
      </c>
      <c r="AQ67" s="86" t="b">
        <v>1</v>
      </c>
      <c r="AR67" s="86" t="b">
        <v>1</v>
      </c>
      <c r="AS67" s="86" t="b">
        <v>1</v>
      </c>
      <c r="AT67" s="86" t="b">
        <v>1</v>
      </c>
      <c r="AU67" s="86" t="b">
        <v>1</v>
      </c>
      <c r="AV67" s="86" t="b">
        <v>1</v>
      </c>
      <c r="AW67" s="86" t="b">
        <v>1</v>
      </c>
      <c r="AX67" s="86" t="b">
        <v>1</v>
      </c>
      <c r="AY67" s="86" t="b">
        <v>1</v>
      </c>
      <c r="AZ67" s="86" t="b">
        <v>1</v>
      </c>
      <c r="BA67" s="86" t="b">
        <v>1</v>
      </c>
      <c r="BB67" s="86" t="b">
        <v>1</v>
      </c>
      <c r="BC67" s="86" t="b">
        <v>1</v>
      </c>
      <c r="BD67" s="86" t="b">
        <v>1</v>
      </c>
      <c r="BE67" s="86" t="b">
        <v>1</v>
      </c>
      <c r="BF67" s="86" t="b">
        <v>1</v>
      </c>
      <c r="BG67" s="86" t="b">
        <v>1</v>
      </c>
      <c r="BH67" s="86" t="b">
        <v>1</v>
      </c>
      <c r="BI67" s="86" t="b">
        <v>1</v>
      </c>
      <c r="BJ67" s="86" t="b">
        <v>1</v>
      </c>
    </row>
    <row r="68" outlineLevel="1">
      <c r="A68" s="86">
        <v>27.0</v>
      </c>
      <c r="B68" s="86" t="s">
        <v>103</v>
      </c>
      <c r="C68" s="86" t="s">
        <v>97</v>
      </c>
      <c r="D68" s="87"/>
      <c r="E68" s="87"/>
      <c r="F68" s="87"/>
      <c r="G68" s="88">
        <v>0.0166</v>
      </c>
      <c r="H68" s="89">
        <v>0.0125</v>
      </c>
      <c r="I68" s="89">
        <v>0.0127</v>
      </c>
      <c r="J68" s="89">
        <v>0.0162</v>
      </c>
      <c r="K68" s="84" t="b">
        <v>0</v>
      </c>
      <c r="L68" s="84" t="b">
        <v>0</v>
      </c>
      <c r="M68" s="82" t="b">
        <v>0</v>
      </c>
      <c r="N68" s="84" t="b">
        <v>0</v>
      </c>
      <c r="O68" s="84" t="b">
        <v>0</v>
      </c>
      <c r="P68" s="84" t="b">
        <v>0</v>
      </c>
      <c r="Q68" s="84" t="b">
        <v>0</v>
      </c>
      <c r="R68" s="84"/>
      <c r="S68" s="90"/>
      <c r="T68" s="90"/>
      <c r="U68" s="90"/>
      <c r="V68" s="90"/>
      <c r="W68" s="90"/>
      <c r="X68" s="90"/>
      <c r="Y68" s="90"/>
      <c r="Z68" s="90"/>
      <c r="AA68" s="90"/>
      <c r="AB68" s="90"/>
      <c r="AC68" s="90"/>
      <c r="AD68" s="90"/>
      <c r="AE68" s="90"/>
      <c r="AF68" s="90"/>
      <c r="AG68" s="90"/>
      <c r="AH68" s="90"/>
      <c r="AI68" s="90"/>
      <c r="AJ68" s="90"/>
      <c r="AK68" s="86" t="b">
        <v>1</v>
      </c>
      <c r="AL68" s="86" t="b">
        <v>1</v>
      </c>
      <c r="AM68" s="86" t="b">
        <v>1</v>
      </c>
      <c r="AN68" s="86" t="b">
        <v>1</v>
      </c>
      <c r="AO68" s="86" t="b">
        <v>1</v>
      </c>
      <c r="AP68" s="86" t="b">
        <v>1</v>
      </c>
      <c r="AQ68" s="86" t="b">
        <v>1</v>
      </c>
      <c r="AR68" s="86" t="b">
        <v>1</v>
      </c>
      <c r="AS68" s="86" t="b">
        <v>1</v>
      </c>
      <c r="AT68" s="86" t="b">
        <v>1</v>
      </c>
      <c r="AU68" s="86" t="b">
        <v>1</v>
      </c>
      <c r="AV68" s="86" t="b">
        <v>1</v>
      </c>
      <c r="AW68" s="86" t="b">
        <v>1</v>
      </c>
      <c r="AX68" s="86" t="b">
        <v>1</v>
      </c>
      <c r="AY68" s="86" t="b">
        <v>1</v>
      </c>
      <c r="AZ68" s="86" t="b">
        <v>1</v>
      </c>
      <c r="BA68" s="86" t="b">
        <v>1</v>
      </c>
      <c r="BB68" s="86" t="b">
        <v>1</v>
      </c>
      <c r="BC68" s="86" t="b">
        <v>1</v>
      </c>
      <c r="BD68" s="86" t="b">
        <v>1</v>
      </c>
      <c r="BE68" s="86" t="b">
        <v>1</v>
      </c>
      <c r="BF68" s="86" t="b">
        <v>1</v>
      </c>
      <c r="BG68" s="86" t="b">
        <v>1</v>
      </c>
      <c r="BH68" s="86" t="b">
        <v>1</v>
      </c>
      <c r="BI68" s="86" t="b">
        <v>1</v>
      </c>
      <c r="BJ68" s="86" t="b">
        <v>1</v>
      </c>
    </row>
    <row r="69" outlineLevel="1">
      <c r="A69" s="86">
        <v>28.0</v>
      </c>
      <c r="B69" s="86" t="s">
        <v>109</v>
      </c>
      <c r="C69" s="86" t="s">
        <v>108</v>
      </c>
      <c r="D69" s="87"/>
      <c r="E69" s="87"/>
      <c r="F69" s="87"/>
      <c r="G69" s="87"/>
      <c r="H69" s="89">
        <v>0.0319</v>
      </c>
      <c r="I69" s="89">
        <v>0.0325</v>
      </c>
      <c r="J69" s="89">
        <v>0.0324</v>
      </c>
      <c r="K69" s="84" t="b">
        <v>0</v>
      </c>
      <c r="L69" s="84" t="b">
        <v>0</v>
      </c>
      <c r="M69" s="82" t="b">
        <v>0</v>
      </c>
      <c r="N69" s="84" t="b">
        <v>0</v>
      </c>
      <c r="O69" s="84" t="b">
        <v>0</v>
      </c>
      <c r="P69" s="84" t="b">
        <v>0</v>
      </c>
      <c r="Q69" s="84" t="b">
        <v>0</v>
      </c>
      <c r="R69" s="84"/>
      <c r="S69" s="90"/>
      <c r="T69" s="90"/>
      <c r="U69" s="90"/>
      <c r="V69" s="90"/>
      <c r="W69" s="90"/>
      <c r="X69" s="90"/>
      <c r="Y69" s="90"/>
      <c r="Z69" s="90"/>
      <c r="AA69" s="90"/>
      <c r="AB69" s="90"/>
      <c r="AC69" s="90"/>
      <c r="AD69" s="84"/>
      <c r="AE69" s="84"/>
      <c r="AF69" s="84"/>
      <c r="AG69" s="84"/>
      <c r="AH69" s="90"/>
      <c r="AI69" s="90"/>
      <c r="AJ69" s="90"/>
      <c r="AK69" s="90"/>
      <c r="AL69" s="90"/>
      <c r="AM69" s="90"/>
      <c r="AN69" s="90"/>
      <c r="AO69" s="86" t="b">
        <v>1</v>
      </c>
      <c r="AP69" s="86" t="b">
        <v>1</v>
      </c>
      <c r="AQ69" s="86" t="b">
        <v>1</v>
      </c>
      <c r="AR69" s="86" t="b">
        <v>1</v>
      </c>
      <c r="AS69" s="86" t="b">
        <v>1</v>
      </c>
      <c r="AT69" s="86" t="b">
        <v>1</v>
      </c>
      <c r="AU69" s="86" t="b">
        <v>1</v>
      </c>
      <c r="AV69" s="86" t="b">
        <v>1</v>
      </c>
      <c r="AW69" s="86" t="b">
        <v>1</v>
      </c>
      <c r="AX69" s="86" t="b">
        <v>1</v>
      </c>
      <c r="AY69" s="86" t="b">
        <v>1</v>
      </c>
      <c r="AZ69" s="86" t="b">
        <v>1</v>
      </c>
      <c r="BA69" s="86" t="b">
        <v>1</v>
      </c>
      <c r="BB69" s="86" t="b">
        <v>1</v>
      </c>
      <c r="BC69" s="86" t="b">
        <v>1</v>
      </c>
      <c r="BD69" s="86" t="b">
        <v>1</v>
      </c>
      <c r="BE69" s="86" t="b">
        <v>1</v>
      </c>
      <c r="BF69" s="86" t="b">
        <v>1</v>
      </c>
      <c r="BG69" s="86" t="b">
        <v>1</v>
      </c>
      <c r="BH69" s="86" t="b">
        <v>1</v>
      </c>
      <c r="BI69" s="86" t="b">
        <v>1</v>
      </c>
      <c r="BJ69" s="86" t="b">
        <v>1</v>
      </c>
    </row>
    <row r="70" outlineLevel="1">
      <c r="A70" s="86">
        <v>29.0</v>
      </c>
      <c r="B70" s="86" t="s">
        <v>110</v>
      </c>
      <c r="C70" s="86" t="s">
        <v>107</v>
      </c>
      <c r="D70" s="87"/>
      <c r="E70" s="87"/>
      <c r="F70" s="87"/>
      <c r="G70" s="87"/>
      <c r="H70" s="89">
        <v>0.0273</v>
      </c>
      <c r="I70" s="89">
        <v>0.0278</v>
      </c>
      <c r="J70" s="89">
        <v>0.0278</v>
      </c>
      <c r="K70" s="84" t="b">
        <v>0</v>
      </c>
      <c r="L70" s="84" t="b">
        <v>0</v>
      </c>
      <c r="M70" s="82" t="b">
        <v>0</v>
      </c>
      <c r="N70" s="84" t="b">
        <v>0</v>
      </c>
      <c r="O70" s="84" t="b">
        <v>0</v>
      </c>
      <c r="P70" s="84" t="b">
        <v>0</v>
      </c>
      <c r="Q70" s="84" t="b">
        <v>0</v>
      </c>
      <c r="R70" s="84"/>
      <c r="S70" s="90"/>
      <c r="T70" s="90"/>
      <c r="U70" s="90"/>
      <c r="V70" s="90"/>
      <c r="W70" s="90"/>
      <c r="X70" s="90"/>
      <c r="Y70" s="90"/>
      <c r="Z70" s="90"/>
      <c r="AA70" s="90"/>
      <c r="AB70" s="90"/>
      <c r="AC70" s="90"/>
      <c r="AD70" s="84"/>
      <c r="AE70" s="84"/>
      <c r="AF70" s="84"/>
      <c r="AG70" s="84"/>
      <c r="AH70" s="90"/>
      <c r="AI70" s="90"/>
      <c r="AJ70" s="90"/>
      <c r="AK70" s="90"/>
      <c r="AL70" s="90"/>
      <c r="AM70" s="90"/>
      <c r="AN70" s="90"/>
      <c r="AO70" s="86" t="b">
        <v>1</v>
      </c>
      <c r="AP70" s="86" t="b">
        <v>1</v>
      </c>
      <c r="AQ70" s="86" t="b">
        <v>1</v>
      </c>
      <c r="AR70" s="86" t="b">
        <v>1</v>
      </c>
      <c r="AS70" s="86" t="b">
        <v>1</v>
      </c>
      <c r="AT70" s="86" t="b">
        <v>1</v>
      </c>
      <c r="AU70" s="86" t="b">
        <v>1</v>
      </c>
      <c r="AV70" s="86" t="b">
        <v>1</v>
      </c>
      <c r="AW70" s="86" t="b">
        <v>1</v>
      </c>
      <c r="AX70" s="86" t="b">
        <v>1</v>
      </c>
      <c r="AY70" s="86" t="b">
        <v>1</v>
      </c>
      <c r="AZ70" s="86" t="b">
        <v>1</v>
      </c>
      <c r="BA70" s="86" t="b">
        <v>1</v>
      </c>
      <c r="BB70" s="86" t="b">
        <v>1</v>
      </c>
      <c r="BC70" s="86" t="b">
        <v>1</v>
      </c>
      <c r="BD70" s="86" t="b">
        <v>1</v>
      </c>
      <c r="BE70" s="86" t="b">
        <v>1</v>
      </c>
      <c r="BF70" s="86" t="b">
        <v>1</v>
      </c>
      <c r="BG70" s="86" t="b">
        <v>1</v>
      </c>
      <c r="BH70" s="86" t="b">
        <v>1</v>
      </c>
      <c r="BI70" s="86" t="b">
        <v>1</v>
      </c>
      <c r="BJ70" s="86" t="b">
        <v>1</v>
      </c>
    </row>
    <row r="71" outlineLevel="1">
      <c r="A71" s="86">
        <v>30.0</v>
      </c>
      <c r="B71" s="86" t="s">
        <v>110</v>
      </c>
      <c r="C71" s="86" t="s">
        <v>108</v>
      </c>
      <c r="D71" s="87"/>
      <c r="E71" s="87"/>
      <c r="F71" s="87"/>
      <c r="G71" s="87"/>
      <c r="H71" s="89">
        <v>0.0273</v>
      </c>
      <c r="I71" s="89">
        <v>0.0278</v>
      </c>
      <c r="J71" s="89">
        <v>0.0278</v>
      </c>
      <c r="K71" s="84" t="b">
        <v>0</v>
      </c>
      <c r="L71" s="84" t="b">
        <v>0</v>
      </c>
      <c r="M71" s="82" t="b">
        <v>0</v>
      </c>
      <c r="N71" s="84" t="b">
        <v>0</v>
      </c>
      <c r="O71" s="84" t="b">
        <v>0</v>
      </c>
      <c r="P71" s="84" t="b">
        <v>0</v>
      </c>
      <c r="Q71" s="84" t="b">
        <v>0</v>
      </c>
      <c r="R71" s="84"/>
      <c r="S71" s="90"/>
      <c r="T71" s="90"/>
      <c r="U71" s="90"/>
      <c r="V71" s="90"/>
      <c r="W71" s="90"/>
      <c r="X71" s="90"/>
      <c r="Y71" s="90"/>
      <c r="Z71" s="90"/>
      <c r="AA71" s="90"/>
      <c r="AB71" s="90"/>
      <c r="AC71" s="90"/>
      <c r="AD71" s="84"/>
      <c r="AE71" s="84"/>
      <c r="AF71" s="84"/>
      <c r="AG71" s="84"/>
      <c r="AH71" s="90"/>
      <c r="AI71" s="90"/>
      <c r="AJ71" s="90"/>
      <c r="AK71" s="90"/>
      <c r="AL71" s="90"/>
      <c r="AM71" s="90"/>
      <c r="AN71" s="90"/>
      <c r="AO71" s="86" t="b">
        <v>1</v>
      </c>
      <c r="AP71" s="86" t="b">
        <v>1</v>
      </c>
      <c r="AQ71" s="86" t="b">
        <v>1</v>
      </c>
      <c r="AR71" s="86" t="b">
        <v>1</v>
      </c>
      <c r="AS71" s="86" t="b">
        <v>1</v>
      </c>
      <c r="AT71" s="86" t="b">
        <v>1</v>
      </c>
      <c r="AU71" s="86" t="b">
        <v>1</v>
      </c>
      <c r="AV71" s="86" t="b">
        <v>1</v>
      </c>
      <c r="AW71" s="86" t="b">
        <v>1</v>
      </c>
      <c r="AX71" s="86" t="b">
        <v>1</v>
      </c>
      <c r="AY71" s="86" t="b">
        <v>1</v>
      </c>
      <c r="AZ71" s="86" t="b">
        <v>1</v>
      </c>
      <c r="BA71" s="86" t="b">
        <v>1</v>
      </c>
      <c r="BB71" s="86" t="b">
        <v>1</v>
      </c>
      <c r="BC71" s="86" t="b">
        <v>1</v>
      </c>
      <c r="BD71" s="86" t="b">
        <v>1</v>
      </c>
      <c r="BE71" s="86" t="b">
        <v>1</v>
      </c>
      <c r="BF71" s="86" t="b">
        <v>1</v>
      </c>
      <c r="BG71" s="86" t="b">
        <v>1</v>
      </c>
      <c r="BH71" s="86" t="b">
        <v>1</v>
      </c>
      <c r="BI71" s="86" t="b">
        <v>1</v>
      </c>
      <c r="BJ71" s="86" t="b">
        <v>1</v>
      </c>
    </row>
    <row r="72" outlineLevel="1">
      <c r="A72" s="86">
        <v>31.0</v>
      </c>
      <c r="B72" s="86" t="s">
        <v>98</v>
      </c>
      <c r="C72" s="86"/>
      <c r="D72" s="87"/>
      <c r="E72" s="87"/>
      <c r="F72" s="87"/>
      <c r="G72" s="87"/>
      <c r="H72" s="89"/>
      <c r="I72" s="89">
        <v>0.0249</v>
      </c>
      <c r="J72" s="89">
        <v>0.0231</v>
      </c>
      <c r="K72" s="84" t="b">
        <v>0</v>
      </c>
      <c r="L72" s="84" t="b">
        <v>0</v>
      </c>
      <c r="M72" s="82" t="b">
        <v>0</v>
      </c>
      <c r="N72" s="84" t="b">
        <v>0</v>
      </c>
      <c r="O72" s="84" t="b">
        <v>0</v>
      </c>
      <c r="P72" s="84" t="b">
        <v>0</v>
      </c>
      <c r="Q72" s="84" t="b">
        <v>0</v>
      </c>
      <c r="R72" s="84"/>
      <c r="S72" s="90"/>
      <c r="T72" s="90"/>
      <c r="U72" s="90"/>
      <c r="V72" s="90"/>
      <c r="W72" s="90"/>
      <c r="X72" s="90"/>
      <c r="Y72" s="90"/>
      <c r="Z72" s="90"/>
      <c r="AA72" s="90"/>
      <c r="AB72" s="90"/>
      <c r="AC72" s="90"/>
      <c r="AD72" s="84"/>
      <c r="AE72" s="84"/>
      <c r="AF72" s="84"/>
      <c r="AG72" s="84"/>
      <c r="AH72" s="90"/>
      <c r="AI72" s="82"/>
      <c r="AJ72" s="82"/>
      <c r="AK72" s="82"/>
      <c r="AL72" s="82"/>
      <c r="AM72" s="82"/>
      <c r="AN72" s="90"/>
      <c r="AO72" s="82"/>
      <c r="AP72" s="82"/>
      <c r="AQ72" s="82"/>
      <c r="AR72" s="82"/>
      <c r="AS72" s="86" t="b">
        <v>1</v>
      </c>
      <c r="AT72" s="86" t="b">
        <v>1</v>
      </c>
      <c r="AU72" s="86" t="b">
        <v>1</v>
      </c>
      <c r="AV72" s="86" t="b">
        <v>1</v>
      </c>
      <c r="AW72" s="86" t="b">
        <v>1</v>
      </c>
      <c r="AX72" s="86" t="b">
        <v>1</v>
      </c>
      <c r="AY72" s="86" t="b">
        <v>1</v>
      </c>
      <c r="AZ72" s="86" t="b">
        <v>1</v>
      </c>
      <c r="BA72" s="86" t="b">
        <v>1</v>
      </c>
      <c r="BB72" s="86" t="b">
        <v>1</v>
      </c>
      <c r="BC72" s="86" t="b">
        <v>1</v>
      </c>
      <c r="BD72" s="86" t="b">
        <v>1</v>
      </c>
      <c r="BE72" s="86" t="b">
        <v>1</v>
      </c>
      <c r="BF72" s="86" t="b">
        <v>1</v>
      </c>
      <c r="BG72" s="86" t="b">
        <v>1</v>
      </c>
      <c r="BH72" s="86" t="b">
        <v>1</v>
      </c>
      <c r="BI72" s="86" t="b">
        <v>1</v>
      </c>
      <c r="BJ72" s="86" t="b">
        <v>1</v>
      </c>
    </row>
    <row r="73" outlineLevel="1">
      <c r="A73" s="86">
        <v>32.0</v>
      </c>
      <c r="B73" s="86" t="s">
        <v>98</v>
      </c>
      <c r="C73" s="86"/>
      <c r="D73" s="87"/>
      <c r="E73" s="87"/>
      <c r="F73" s="87"/>
      <c r="G73" s="87"/>
      <c r="H73" s="89"/>
      <c r="I73" s="89">
        <v>0.0249</v>
      </c>
      <c r="J73" s="89">
        <v>0.0231</v>
      </c>
      <c r="K73" s="84" t="b">
        <v>0</v>
      </c>
      <c r="L73" s="84" t="b">
        <v>0</v>
      </c>
      <c r="M73" s="82" t="b">
        <v>0</v>
      </c>
      <c r="N73" s="84" t="b">
        <v>0</v>
      </c>
      <c r="O73" s="84" t="b">
        <v>0</v>
      </c>
      <c r="P73" s="84" t="b">
        <v>0</v>
      </c>
      <c r="Q73" s="84" t="b">
        <v>0</v>
      </c>
      <c r="R73" s="84"/>
      <c r="S73" s="90"/>
      <c r="T73" s="90"/>
      <c r="U73" s="90"/>
      <c r="V73" s="90"/>
      <c r="W73" s="90"/>
      <c r="X73" s="90"/>
      <c r="Y73" s="90"/>
      <c r="Z73" s="90"/>
      <c r="AA73" s="90"/>
      <c r="AB73" s="90"/>
      <c r="AC73" s="90"/>
      <c r="AD73" s="84"/>
      <c r="AE73" s="84"/>
      <c r="AF73" s="84"/>
      <c r="AG73" s="84"/>
      <c r="AH73" s="82"/>
      <c r="AI73" s="82"/>
      <c r="AJ73" s="82"/>
      <c r="AK73" s="82"/>
      <c r="AL73" s="82"/>
      <c r="AM73" s="82"/>
      <c r="AN73" s="82"/>
      <c r="AO73" s="82"/>
      <c r="AP73" s="82"/>
      <c r="AQ73" s="82"/>
      <c r="AR73" s="82"/>
      <c r="AS73" s="86" t="b">
        <v>1</v>
      </c>
      <c r="AT73" s="86" t="b">
        <v>1</v>
      </c>
      <c r="AU73" s="86" t="b">
        <v>1</v>
      </c>
      <c r="AV73" s="86" t="b">
        <v>1</v>
      </c>
      <c r="AW73" s="86" t="b">
        <v>1</v>
      </c>
      <c r="AX73" s="86" t="b">
        <v>1</v>
      </c>
      <c r="AY73" s="86" t="b">
        <v>1</v>
      </c>
      <c r="AZ73" s="86" t="b">
        <v>1</v>
      </c>
      <c r="BA73" s="86" t="b">
        <v>1</v>
      </c>
      <c r="BB73" s="86" t="b">
        <v>1</v>
      </c>
      <c r="BC73" s="86" t="b">
        <v>1</v>
      </c>
      <c r="BD73" s="86" t="b">
        <v>1</v>
      </c>
      <c r="BE73" s="86" t="b">
        <v>1</v>
      </c>
      <c r="BF73" s="86" t="b">
        <v>1</v>
      </c>
      <c r="BG73" s="86" t="b">
        <v>1</v>
      </c>
      <c r="BH73" s="86" t="b">
        <v>1</v>
      </c>
      <c r="BI73" s="86" t="b">
        <v>1</v>
      </c>
      <c r="BJ73" s="86" t="b">
        <v>1</v>
      </c>
    </row>
    <row r="74" outlineLevel="1">
      <c r="A74" s="86">
        <v>33.0</v>
      </c>
      <c r="B74" s="86" t="s">
        <v>103</v>
      </c>
      <c r="C74" s="86"/>
      <c r="D74" s="87"/>
      <c r="E74" s="87"/>
      <c r="F74" s="87"/>
      <c r="G74" s="87"/>
      <c r="H74" s="89"/>
      <c r="I74" s="89">
        <v>0.015</v>
      </c>
      <c r="J74" s="89">
        <v>0.0162</v>
      </c>
      <c r="K74" s="84" t="b">
        <v>0</v>
      </c>
      <c r="L74" s="84" t="b">
        <v>0</v>
      </c>
      <c r="M74" s="82" t="b">
        <v>0</v>
      </c>
      <c r="N74" s="84" t="b">
        <v>0</v>
      </c>
      <c r="O74" s="84" t="b">
        <v>0</v>
      </c>
      <c r="P74" s="84" t="b">
        <v>0</v>
      </c>
      <c r="Q74" s="84" t="b">
        <v>0</v>
      </c>
      <c r="R74" s="84"/>
      <c r="S74" s="90"/>
      <c r="T74" s="90"/>
      <c r="U74" s="90"/>
      <c r="V74" s="90"/>
      <c r="W74" s="90"/>
      <c r="X74" s="90"/>
      <c r="Y74" s="90"/>
      <c r="Z74" s="90"/>
      <c r="AA74" s="90"/>
      <c r="AB74" s="90"/>
      <c r="AC74" s="90"/>
      <c r="AD74" s="84"/>
      <c r="AE74" s="84"/>
      <c r="AF74" s="84"/>
      <c r="AG74" s="84"/>
      <c r="AH74" s="82"/>
      <c r="AI74" s="82"/>
      <c r="AJ74" s="82"/>
      <c r="AK74" s="82"/>
      <c r="AL74" s="82"/>
      <c r="AM74" s="82"/>
      <c r="AN74" s="82"/>
      <c r="AO74" s="82"/>
      <c r="AP74" s="82"/>
      <c r="AQ74" s="82"/>
      <c r="AR74" s="82"/>
      <c r="AS74" s="86" t="b">
        <v>1</v>
      </c>
      <c r="AT74" s="86" t="b">
        <v>1</v>
      </c>
      <c r="AU74" s="86" t="b">
        <v>1</v>
      </c>
      <c r="AV74" s="86" t="b">
        <v>1</v>
      </c>
      <c r="AW74" s="86" t="b">
        <v>1</v>
      </c>
      <c r="AX74" s="86" t="b">
        <v>1</v>
      </c>
      <c r="AY74" s="86" t="b">
        <v>1</v>
      </c>
      <c r="AZ74" s="86" t="b">
        <v>1</v>
      </c>
      <c r="BA74" s="86" t="b">
        <v>1</v>
      </c>
      <c r="BB74" s="86" t="b">
        <v>1</v>
      </c>
      <c r="BC74" s="86" t="b">
        <v>1</v>
      </c>
      <c r="BD74" s="86" t="b">
        <v>1</v>
      </c>
      <c r="BE74" s="86" t="b">
        <v>1</v>
      </c>
      <c r="BF74" s="86" t="b">
        <v>1</v>
      </c>
      <c r="BG74" s="86" t="b">
        <v>1</v>
      </c>
      <c r="BH74" s="86" t="b">
        <v>1</v>
      </c>
      <c r="BI74" s="86" t="b">
        <v>1</v>
      </c>
      <c r="BJ74" s="86" t="b">
        <v>1</v>
      </c>
    </row>
    <row r="75" outlineLevel="1">
      <c r="A75" s="86">
        <v>34.0</v>
      </c>
      <c r="B75" s="86" t="s">
        <v>103</v>
      </c>
      <c r="C75" s="86"/>
      <c r="D75" s="87"/>
      <c r="E75" s="87"/>
      <c r="F75" s="87"/>
      <c r="G75" s="87"/>
      <c r="H75" s="89"/>
      <c r="I75" s="89"/>
      <c r="J75" s="89">
        <v>0.0162</v>
      </c>
      <c r="K75" s="84" t="b">
        <v>0</v>
      </c>
      <c r="L75" s="84" t="b">
        <v>0</v>
      </c>
      <c r="M75" s="82" t="b">
        <v>0</v>
      </c>
      <c r="N75" s="84" t="b">
        <v>0</v>
      </c>
      <c r="O75" s="84" t="b">
        <v>0</v>
      </c>
      <c r="P75" s="84" t="b">
        <v>0</v>
      </c>
      <c r="Q75" s="84" t="b">
        <v>0</v>
      </c>
      <c r="R75" s="84"/>
      <c r="S75" s="90"/>
      <c r="T75" s="90"/>
      <c r="U75" s="90"/>
      <c r="V75" s="90"/>
      <c r="W75" s="90"/>
      <c r="X75" s="90"/>
      <c r="Y75" s="90"/>
      <c r="Z75" s="90"/>
      <c r="AA75" s="90"/>
      <c r="AB75" s="90"/>
      <c r="AC75" s="90"/>
      <c r="AD75" s="84"/>
      <c r="AE75" s="84"/>
      <c r="AF75" s="84"/>
      <c r="AG75" s="84"/>
      <c r="AH75" s="82"/>
      <c r="AI75" s="82"/>
      <c r="AJ75" s="82"/>
      <c r="AK75" s="82"/>
      <c r="AL75" s="82"/>
      <c r="AM75" s="82"/>
      <c r="AN75" s="82"/>
      <c r="AO75" s="82"/>
      <c r="AP75" s="82"/>
      <c r="AQ75" s="82"/>
      <c r="AR75" s="82"/>
      <c r="AS75" s="82"/>
      <c r="AT75" s="82"/>
      <c r="AU75" s="82"/>
      <c r="AV75" s="82"/>
      <c r="AW75" s="82"/>
      <c r="AX75" s="82"/>
      <c r="AY75" s="82"/>
      <c r="AZ75" s="82"/>
      <c r="BA75" s="82"/>
      <c r="BB75" s="82"/>
      <c r="BC75" s="82"/>
      <c r="BD75" s="82"/>
      <c r="BE75" s="82"/>
      <c r="BF75" s="82"/>
      <c r="BG75" s="86" t="b">
        <v>1</v>
      </c>
      <c r="BH75" s="86" t="b">
        <v>1</v>
      </c>
      <c r="BI75" s="86" t="b">
        <v>1</v>
      </c>
      <c r="BJ75" s="86" t="b">
        <v>1</v>
      </c>
    </row>
    <row r="76" outlineLevel="1">
      <c r="A76" s="86">
        <v>35.0</v>
      </c>
      <c r="B76" s="86" t="s">
        <v>103</v>
      </c>
      <c r="C76" s="86"/>
      <c r="D76" s="87"/>
      <c r="E76" s="87"/>
      <c r="F76" s="87"/>
      <c r="G76" s="87"/>
      <c r="H76" s="89"/>
      <c r="I76" s="89"/>
      <c r="J76" s="89">
        <v>0.0162</v>
      </c>
      <c r="K76" s="84" t="b">
        <v>0</v>
      </c>
      <c r="L76" s="84" t="b">
        <v>0</v>
      </c>
      <c r="M76" s="82" t="b">
        <v>0</v>
      </c>
      <c r="N76" s="84" t="b">
        <v>0</v>
      </c>
      <c r="O76" s="84" t="b">
        <v>0</v>
      </c>
      <c r="P76" s="84" t="b">
        <v>0</v>
      </c>
      <c r="Q76" s="84" t="b">
        <v>0</v>
      </c>
      <c r="R76" s="84"/>
      <c r="S76" s="90"/>
      <c r="T76" s="90"/>
      <c r="U76" s="90"/>
      <c r="V76" s="90"/>
      <c r="W76" s="90"/>
      <c r="X76" s="90"/>
      <c r="Y76" s="90"/>
      <c r="Z76" s="90"/>
      <c r="AA76" s="90"/>
      <c r="AB76" s="90"/>
      <c r="AC76" s="90"/>
      <c r="AD76" s="84"/>
      <c r="AE76" s="84"/>
      <c r="AF76" s="84"/>
      <c r="AG76" s="84"/>
      <c r="AH76" s="82"/>
      <c r="AI76" s="82"/>
      <c r="AJ76" s="82"/>
      <c r="AK76" s="82"/>
      <c r="AL76" s="82"/>
      <c r="AM76" s="82"/>
      <c r="AN76" s="82"/>
      <c r="AO76" s="82"/>
      <c r="AP76" s="82"/>
      <c r="AQ76" s="82"/>
      <c r="AR76" s="82"/>
      <c r="AS76" s="82"/>
      <c r="AT76" s="82"/>
      <c r="AU76" s="82"/>
      <c r="AV76" s="82"/>
      <c r="AW76" s="82"/>
      <c r="AX76" s="82"/>
      <c r="AY76" s="82"/>
      <c r="AZ76" s="82"/>
      <c r="BA76" s="82"/>
      <c r="BB76" s="82"/>
      <c r="BC76" s="82"/>
      <c r="BD76" s="82"/>
      <c r="BE76" s="82"/>
      <c r="BF76" s="82"/>
      <c r="BG76" s="86" t="b">
        <v>1</v>
      </c>
      <c r="BH76" s="86" t="b">
        <v>1</v>
      </c>
      <c r="BI76" s="86" t="b">
        <v>1</v>
      </c>
      <c r="BJ76" s="86" t="b">
        <v>1</v>
      </c>
    </row>
    <row r="77" outlineLevel="1">
      <c r="A77" s="86">
        <v>36.0</v>
      </c>
      <c r="B77" s="86" t="s">
        <v>111</v>
      </c>
      <c r="C77" s="86"/>
      <c r="D77" s="87"/>
      <c r="E77" s="87"/>
      <c r="F77" s="87"/>
      <c r="G77" s="87"/>
      <c r="H77" s="89"/>
      <c r="I77" s="89"/>
      <c r="J77" s="89">
        <v>0.0324</v>
      </c>
      <c r="K77" s="84" t="b">
        <v>0</v>
      </c>
      <c r="L77" s="84" t="b">
        <v>0</v>
      </c>
      <c r="M77" s="82" t="b">
        <v>0</v>
      </c>
      <c r="N77" s="84" t="b">
        <v>0</v>
      </c>
      <c r="O77" s="84" t="b">
        <v>0</v>
      </c>
      <c r="P77" s="84" t="b">
        <v>0</v>
      </c>
      <c r="Q77" s="84" t="b">
        <v>0</v>
      </c>
      <c r="R77" s="84"/>
      <c r="S77" s="90"/>
      <c r="T77" s="90"/>
      <c r="U77" s="90"/>
      <c r="V77" s="90"/>
      <c r="W77" s="90"/>
      <c r="X77" s="90"/>
      <c r="Y77" s="90"/>
      <c r="Z77" s="90"/>
      <c r="AA77" s="90"/>
      <c r="AB77" s="90"/>
      <c r="AC77" s="90"/>
      <c r="AD77" s="84"/>
      <c r="AE77" s="84"/>
      <c r="AF77" s="84"/>
      <c r="AG77" s="84"/>
      <c r="AH77" s="82"/>
      <c r="AI77" s="82"/>
      <c r="AJ77" s="82"/>
      <c r="AK77" s="82"/>
      <c r="AL77" s="82"/>
      <c r="AM77" s="82"/>
      <c r="AN77" s="82"/>
      <c r="AO77" s="82"/>
      <c r="AP77" s="82"/>
      <c r="AQ77" s="82"/>
      <c r="AR77" s="82"/>
      <c r="AS77" s="82"/>
      <c r="AT77" s="82"/>
      <c r="AU77" s="82"/>
      <c r="AV77" s="82"/>
      <c r="AW77" s="82"/>
      <c r="AX77" s="82"/>
      <c r="AY77" s="82"/>
      <c r="AZ77" s="82"/>
      <c r="BA77" s="82"/>
      <c r="BB77" s="82"/>
      <c r="BC77" s="82"/>
      <c r="BD77" s="82"/>
      <c r="BE77" s="82"/>
      <c r="BF77" s="82"/>
      <c r="BG77" s="86" t="b">
        <v>1</v>
      </c>
      <c r="BH77" s="86" t="b">
        <v>1</v>
      </c>
      <c r="BI77" s="86" t="b">
        <v>1</v>
      </c>
      <c r="BJ77" s="86" t="b">
        <v>1</v>
      </c>
    </row>
    <row r="78">
      <c r="A78" s="84"/>
      <c r="B78" s="84"/>
      <c r="C78" s="84"/>
      <c r="D78" s="92"/>
      <c r="E78" s="92"/>
      <c r="F78" s="92"/>
      <c r="G78" s="92"/>
      <c r="H78" s="92"/>
      <c r="I78" s="92"/>
      <c r="J78" s="92"/>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row>
    <row r="79">
      <c r="A79" s="94" t="s">
        <v>113</v>
      </c>
      <c r="B79" s="34"/>
      <c r="C79" s="34"/>
      <c r="D79" s="78"/>
      <c r="E79" s="78"/>
      <c r="F79" s="78"/>
      <c r="G79" s="78"/>
      <c r="H79" s="78"/>
      <c r="I79" s="78"/>
      <c r="J79" s="78"/>
      <c r="K79" s="79" t="s">
        <v>14</v>
      </c>
      <c r="L79" s="79" t="s">
        <v>14</v>
      </c>
      <c r="M79" s="79" t="s">
        <v>14</v>
      </c>
      <c r="N79" s="79" t="s">
        <v>14</v>
      </c>
      <c r="O79" s="79" t="s">
        <v>14</v>
      </c>
      <c r="P79" s="79" t="s">
        <v>20</v>
      </c>
      <c r="Q79" s="79" t="s">
        <v>20</v>
      </c>
      <c r="R79" s="79" t="s">
        <v>20</v>
      </c>
      <c r="S79" s="79" t="s">
        <v>20</v>
      </c>
      <c r="T79" s="79" t="s">
        <v>25</v>
      </c>
      <c r="U79" s="79" t="s">
        <v>25</v>
      </c>
      <c r="V79" s="79" t="s">
        <v>25</v>
      </c>
      <c r="W79" s="79" t="s">
        <v>25</v>
      </c>
      <c r="X79" s="79" t="s">
        <v>30</v>
      </c>
      <c r="Y79" s="79" t="s">
        <v>30</v>
      </c>
      <c r="Z79" s="79" t="s">
        <v>30</v>
      </c>
      <c r="AA79" s="79" t="s">
        <v>30</v>
      </c>
      <c r="AB79" s="79" t="s">
        <v>30</v>
      </c>
      <c r="AC79" s="79" t="s">
        <v>36</v>
      </c>
      <c r="AD79" s="79" t="s">
        <v>36</v>
      </c>
      <c r="AE79" s="79" t="s">
        <v>36</v>
      </c>
      <c r="AF79" s="79" t="s">
        <v>36</v>
      </c>
      <c r="AG79" s="79" t="s">
        <v>41</v>
      </c>
      <c r="AH79" s="79" t="s">
        <v>41</v>
      </c>
      <c r="AI79" s="79" t="s">
        <v>41</v>
      </c>
      <c r="AJ79" s="79" t="s">
        <v>41</v>
      </c>
      <c r="AK79" s="80" t="s">
        <v>46</v>
      </c>
      <c r="AL79" s="79" t="s">
        <v>46</v>
      </c>
      <c r="AM79" s="79" t="s">
        <v>46</v>
      </c>
      <c r="AN79" s="79" t="s">
        <v>46</v>
      </c>
      <c r="AO79" s="79" t="s">
        <v>46</v>
      </c>
      <c r="AP79" s="79" t="s">
        <v>52</v>
      </c>
      <c r="AQ79" s="79" t="s">
        <v>52</v>
      </c>
      <c r="AR79" s="79" t="s">
        <v>52</v>
      </c>
      <c r="AS79" s="79" t="s">
        <v>52</v>
      </c>
      <c r="AT79" s="79" t="s">
        <v>57</v>
      </c>
      <c r="AU79" s="79" t="s">
        <v>57</v>
      </c>
      <c r="AV79" s="79" t="s">
        <v>57</v>
      </c>
      <c r="AW79" s="79" t="s">
        <v>57</v>
      </c>
      <c r="AX79" s="79" t="s">
        <v>62</v>
      </c>
      <c r="AY79" s="79" t="s">
        <v>62</v>
      </c>
      <c r="AZ79" s="79" t="s">
        <v>62</v>
      </c>
      <c r="BA79" s="79" t="s">
        <v>62</v>
      </c>
      <c r="BB79" s="79" t="s">
        <v>62</v>
      </c>
      <c r="BC79" s="79" t="s">
        <v>68</v>
      </c>
      <c r="BD79" s="79" t="s">
        <v>68</v>
      </c>
      <c r="BE79" s="79" t="s">
        <v>68</v>
      </c>
      <c r="BF79" s="79" t="s">
        <v>68</v>
      </c>
      <c r="BG79" s="79" t="s">
        <v>73</v>
      </c>
      <c r="BH79" s="79" t="s">
        <v>73</v>
      </c>
      <c r="BI79" s="79" t="s">
        <v>73</v>
      </c>
      <c r="BJ79" s="79" t="s">
        <v>73</v>
      </c>
    </row>
    <row r="80">
      <c r="A80" s="34" t="s">
        <v>92</v>
      </c>
      <c r="B80" s="34" t="s">
        <v>93</v>
      </c>
      <c r="C80" s="34" t="s">
        <v>94</v>
      </c>
      <c r="D80" s="78">
        <v>18.0</v>
      </c>
      <c r="E80" s="78">
        <v>21.0</v>
      </c>
      <c r="F80" s="78">
        <v>24.0</v>
      </c>
      <c r="G80" s="78">
        <v>27.0</v>
      </c>
      <c r="H80" s="78">
        <v>30.0</v>
      </c>
      <c r="I80" s="78">
        <v>33.0</v>
      </c>
      <c r="J80" s="78">
        <v>36.0</v>
      </c>
      <c r="K80" s="34" t="s">
        <v>15</v>
      </c>
      <c r="L80" s="34" t="s">
        <v>16</v>
      </c>
      <c r="M80" s="34" t="s">
        <v>17</v>
      </c>
      <c r="N80" s="34" t="s">
        <v>18</v>
      </c>
      <c r="O80" s="34" t="s">
        <v>19</v>
      </c>
      <c r="P80" s="34" t="s">
        <v>21</v>
      </c>
      <c r="Q80" s="34" t="s">
        <v>22</v>
      </c>
      <c r="R80" s="34" t="s">
        <v>23</v>
      </c>
      <c r="S80" s="34" t="s">
        <v>24</v>
      </c>
      <c r="T80" s="34" t="s">
        <v>26</v>
      </c>
      <c r="U80" s="34" t="s">
        <v>27</v>
      </c>
      <c r="V80" s="34" t="s">
        <v>28</v>
      </c>
      <c r="W80" s="34" t="s">
        <v>29</v>
      </c>
      <c r="X80" s="34" t="s">
        <v>31</v>
      </c>
      <c r="Y80" s="34" t="s">
        <v>32</v>
      </c>
      <c r="Z80" s="34" t="s">
        <v>33</v>
      </c>
      <c r="AA80" s="34" t="s">
        <v>34</v>
      </c>
      <c r="AB80" s="34" t="s">
        <v>35</v>
      </c>
      <c r="AC80" s="34" t="s">
        <v>37</v>
      </c>
      <c r="AD80" s="34" t="s">
        <v>38</v>
      </c>
      <c r="AE80" s="34" t="s">
        <v>39</v>
      </c>
      <c r="AF80" s="34" t="s">
        <v>40</v>
      </c>
      <c r="AG80" s="34" t="s">
        <v>42</v>
      </c>
      <c r="AH80" s="34" t="s">
        <v>43</v>
      </c>
      <c r="AI80" s="34" t="s">
        <v>44</v>
      </c>
      <c r="AJ80" s="34" t="s">
        <v>45</v>
      </c>
      <c r="AK80" s="81" t="s">
        <v>47</v>
      </c>
      <c r="AL80" s="34" t="s">
        <v>48</v>
      </c>
      <c r="AM80" s="34" t="s">
        <v>49</v>
      </c>
      <c r="AN80" s="34" t="s">
        <v>50</v>
      </c>
      <c r="AO80" s="34" t="s">
        <v>51</v>
      </c>
      <c r="AP80" s="34" t="s">
        <v>53</v>
      </c>
      <c r="AQ80" s="34" t="s">
        <v>54</v>
      </c>
      <c r="AR80" s="34" t="s">
        <v>55</v>
      </c>
      <c r="AS80" s="34" t="s">
        <v>56</v>
      </c>
      <c r="AT80" s="34" t="s">
        <v>58</v>
      </c>
      <c r="AU80" s="34" t="s">
        <v>59</v>
      </c>
      <c r="AV80" s="34" t="s">
        <v>60</v>
      </c>
      <c r="AW80" s="34" t="s">
        <v>61</v>
      </c>
      <c r="AX80" s="34" t="s">
        <v>63</v>
      </c>
      <c r="AY80" s="34" t="s">
        <v>64</v>
      </c>
      <c r="AZ80" s="34" t="s">
        <v>65</v>
      </c>
      <c r="BA80" s="34" t="s">
        <v>66</v>
      </c>
      <c r="BB80" s="34" t="s">
        <v>67</v>
      </c>
      <c r="BC80" s="34" t="s">
        <v>69</v>
      </c>
      <c r="BD80" s="34" t="s">
        <v>70</v>
      </c>
      <c r="BE80" s="34" t="s">
        <v>71</v>
      </c>
      <c r="BF80" s="34" t="s">
        <v>72</v>
      </c>
      <c r="BG80" s="34" t="s">
        <v>74</v>
      </c>
      <c r="BH80" s="34" t="s">
        <v>75</v>
      </c>
      <c r="BI80" s="34" t="s">
        <v>76</v>
      </c>
      <c r="BJ80" s="34" t="s">
        <v>77</v>
      </c>
    </row>
    <row r="81" outlineLevel="1">
      <c r="A81" s="82">
        <v>1.0</v>
      </c>
      <c r="B81" s="82" t="s">
        <v>95</v>
      </c>
      <c r="C81" s="82" t="s">
        <v>114</v>
      </c>
      <c r="D81" s="83">
        <v>0.1193</v>
      </c>
      <c r="E81" s="83">
        <v>0.1114</v>
      </c>
      <c r="F81" s="83">
        <v>0.1114</v>
      </c>
      <c r="G81" s="83">
        <v>0.1114</v>
      </c>
      <c r="H81" s="83">
        <v>0.0798</v>
      </c>
      <c r="I81" s="83">
        <v>0.0692</v>
      </c>
      <c r="J81" s="83">
        <v>0.0602</v>
      </c>
      <c r="K81" s="84" t="b">
        <v>0</v>
      </c>
      <c r="L81" s="84" t="b">
        <v>0</v>
      </c>
      <c r="M81" s="84" t="b">
        <v>0</v>
      </c>
      <c r="N81" s="84" t="b">
        <v>0</v>
      </c>
      <c r="O81" s="84" t="b">
        <v>0</v>
      </c>
      <c r="P81" s="84" t="b">
        <v>0</v>
      </c>
      <c r="Q81" s="84" t="b">
        <v>0</v>
      </c>
      <c r="R81" s="84" t="b">
        <v>0</v>
      </c>
      <c r="S81" s="85" t="b">
        <v>0</v>
      </c>
      <c r="T81" s="85" t="b">
        <v>0</v>
      </c>
      <c r="U81" s="85" t="b">
        <v>0</v>
      </c>
      <c r="V81" s="84" t="b">
        <v>0</v>
      </c>
      <c r="W81" s="82" t="b">
        <v>0</v>
      </c>
      <c r="X81" s="82" t="b">
        <v>0</v>
      </c>
      <c r="Y81" s="82" t="b">
        <v>0</v>
      </c>
      <c r="Z81" s="82" t="b">
        <v>0</v>
      </c>
      <c r="AA81" s="82" t="b">
        <v>0</v>
      </c>
      <c r="AB81" s="82" t="b">
        <v>0</v>
      </c>
      <c r="AC81" s="82" t="b">
        <v>0</v>
      </c>
      <c r="AD81" s="82" t="b">
        <v>0</v>
      </c>
      <c r="AE81" s="82" t="b">
        <v>0</v>
      </c>
      <c r="AF81" s="82" t="b">
        <v>0</v>
      </c>
      <c r="AG81" s="82" t="b">
        <v>0</v>
      </c>
      <c r="AH81" s="82" t="b">
        <v>0</v>
      </c>
      <c r="AI81" s="82" t="b">
        <v>1</v>
      </c>
      <c r="AJ81" s="82" t="b">
        <v>1</v>
      </c>
      <c r="AK81" s="82" t="b">
        <v>1</v>
      </c>
      <c r="AL81" s="82" t="b">
        <v>1</v>
      </c>
      <c r="AM81" s="82" t="b">
        <v>1</v>
      </c>
      <c r="AN81" s="82" t="b">
        <v>1</v>
      </c>
      <c r="AO81" s="82" t="b">
        <v>1</v>
      </c>
      <c r="AP81" s="82" t="b">
        <v>1</v>
      </c>
      <c r="AQ81" s="82" t="b">
        <v>1</v>
      </c>
      <c r="AR81" s="82" t="b">
        <v>1</v>
      </c>
      <c r="AS81" s="82" t="b">
        <v>1</v>
      </c>
      <c r="AT81" s="82" t="b">
        <v>1</v>
      </c>
      <c r="AU81" s="82" t="b">
        <v>1</v>
      </c>
      <c r="AV81" s="82" t="b">
        <v>1</v>
      </c>
      <c r="AW81" s="82" t="b">
        <v>1</v>
      </c>
      <c r="AX81" s="82" t="b">
        <v>1</v>
      </c>
      <c r="AY81" s="82" t="b">
        <v>1</v>
      </c>
      <c r="AZ81" s="82" t="b">
        <v>1</v>
      </c>
      <c r="BA81" s="82" t="b">
        <v>1</v>
      </c>
      <c r="BB81" s="82" t="b">
        <v>1</v>
      </c>
      <c r="BC81" s="82" t="b">
        <v>1</v>
      </c>
      <c r="BD81" s="82" t="b">
        <v>1</v>
      </c>
      <c r="BE81" s="82" t="b">
        <v>1</v>
      </c>
      <c r="BF81" s="82" t="b">
        <v>1</v>
      </c>
      <c r="BG81" s="82" t="b">
        <v>1</v>
      </c>
      <c r="BH81" s="82" t="b">
        <v>1</v>
      </c>
      <c r="BI81" s="82" t="b">
        <v>1</v>
      </c>
      <c r="BJ81" s="82" t="b">
        <v>1</v>
      </c>
    </row>
    <row r="82" outlineLevel="1">
      <c r="A82" s="82">
        <v>2.0</v>
      </c>
      <c r="B82" s="82" t="s">
        <v>95</v>
      </c>
      <c r="C82" s="82" t="s">
        <v>97</v>
      </c>
      <c r="D82" s="83">
        <v>0.1033</v>
      </c>
      <c r="E82" s="83">
        <v>0.0964</v>
      </c>
      <c r="F82" s="83">
        <v>0.0964</v>
      </c>
      <c r="G82" s="83">
        <v>0.0964</v>
      </c>
      <c r="H82" s="83">
        <v>0.0632</v>
      </c>
      <c r="I82" s="83">
        <v>0.0574</v>
      </c>
      <c r="J82" s="83">
        <v>0.0463</v>
      </c>
      <c r="K82" s="84" t="b">
        <v>0</v>
      </c>
      <c r="L82" s="84" t="b">
        <v>0</v>
      </c>
      <c r="M82" s="84" t="b">
        <v>0</v>
      </c>
      <c r="N82" s="84" t="b">
        <v>0</v>
      </c>
      <c r="O82" s="84" t="b">
        <v>0</v>
      </c>
      <c r="P82" s="84" t="b">
        <v>0</v>
      </c>
      <c r="Q82" s="84" t="b">
        <v>0</v>
      </c>
      <c r="R82" s="84" t="b">
        <v>0</v>
      </c>
      <c r="S82" s="85" t="b">
        <v>0</v>
      </c>
      <c r="T82" s="85" t="b">
        <v>0</v>
      </c>
      <c r="U82" s="85" t="b">
        <v>0</v>
      </c>
      <c r="V82" s="84" t="b">
        <v>0</v>
      </c>
      <c r="W82" s="82" t="b">
        <v>0</v>
      </c>
      <c r="X82" s="82" t="b">
        <v>0</v>
      </c>
      <c r="Y82" s="82" t="b">
        <v>0</v>
      </c>
      <c r="Z82" s="82" t="b">
        <v>0</v>
      </c>
      <c r="AA82" s="82" t="b">
        <v>0</v>
      </c>
      <c r="AB82" s="82" t="b">
        <v>0</v>
      </c>
      <c r="AC82" s="82" t="b">
        <v>0</v>
      </c>
      <c r="AD82" s="82" t="b">
        <v>0</v>
      </c>
      <c r="AE82" s="82" t="b">
        <v>1</v>
      </c>
      <c r="AF82" s="82" t="b">
        <v>0</v>
      </c>
      <c r="AG82" s="82" t="b">
        <v>1</v>
      </c>
      <c r="AH82" s="82" t="b">
        <v>1</v>
      </c>
      <c r="AI82" s="82" t="b">
        <v>1</v>
      </c>
      <c r="AJ82" s="82" t="b">
        <v>1</v>
      </c>
      <c r="AK82" s="82" t="b">
        <v>1</v>
      </c>
      <c r="AL82" s="82" t="b">
        <v>1</v>
      </c>
      <c r="AM82" s="82" t="b">
        <v>1</v>
      </c>
      <c r="AN82" s="82" t="b">
        <v>1</v>
      </c>
      <c r="AO82" s="82" t="b">
        <v>1</v>
      </c>
      <c r="AP82" s="82" t="b">
        <v>1</v>
      </c>
      <c r="AQ82" s="82" t="b">
        <v>1</v>
      </c>
      <c r="AR82" s="82" t="b">
        <v>1</v>
      </c>
      <c r="AS82" s="82" t="b">
        <v>1</v>
      </c>
      <c r="AT82" s="82" t="b">
        <v>1</v>
      </c>
      <c r="AU82" s="82" t="b">
        <v>1</v>
      </c>
      <c r="AV82" s="82" t="b">
        <v>1</v>
      </c>
      <c r="AW82" s="82" t="b">
        <v>1</v>
      </c>
      <c r="AX82" s="82" t="b">
        <v>1</v>
      </c>
      <c r="AY82" s="82" t="b">
        <v>1</v>
      </c>
      <c r="AZ82" s="82" t="b">
        <v>1</v>
      </c>
      <c r="BA82" s="82" t="b">
        <v>1</v>
      </c>
      <c r="BB82" s="82" t="b">
        <v>1</v>
      </c>
      <c r="BC82" s="82" t="b">
        <v>1</v>
      </c>
      <c r="BD82" s="82" t="b">
        <v>1</v>
      </c>
      <c r="BE82" s="82" t="b">
        <v>1</v>
      </c>
      <c r="BF82" s="82" t="b">
        <v>1</v>
      </c>
      <c r="BG82" s="82" t="b">
        <v>1</v>
      </c>
      <c r="BH82" s="82" t="b">
        <v>1</v>
      </c>
      <c r="BI82" s="82" t="b">
        <v>1</v>
      </c>
      <c r="BJ82" s="82" t="b">
        <v>1</v>
      </c>
    </row>
    <row r="83" outlineLevel="1">
      <c r="A83" s="82">
        <v>3.0</v>
      </c>
      <c r="B83" s="82" t="s">
        <v>98</v>
      </c>
      <c r="C83" s="82" t="s">
        <v>99</v>
      </c>
      <c r="D83" s="83">
        <v>0.097</v>
      </c>
      <c r="E83" s="83">
        <v>0.0808</v>
      </c>
      <c r="F83" s="83">
        <v>0.0673</v>
      </c>
      <c r="G83" s="83">
        <v>0.0673</v>
      </c>
      <c r="H83" s="83">
        <v>0.0525</v>
      </c>
      <c r="I83" s="83">
        <v>0.0412</v>
      </c>
      <c r="J83" s="83">
        <v>0.0324</v>
      </c>
      <c r="K83" s="84" t="b">
        <v>0</v>
      </c>
      <c r="L83" s="84" t="b">
        <v>0</v>
      </c>
      <c r="M83" s="84" t="b">
        <v>0</v>
      </c>
      <c r="N83" s="84" t="b">
        <v>0</v>
      </c>
      <c r="O83" s="84" t="b">
        <v>0</v>
      </c>
      <c r="P83" s="84" t="b">
        <v>0</v>
      </c>
      <c r="Q83" s="84" t="b">
        <v>0</v>
      </c>
      <c r="R83" s="84" t="b">
        <v>0</v>
      </c>
      <c r="S83" s="85" t="b">
        <v>0</v>
      </c>
      <c r="T83" s="85" t="b">
        <v>0</v>
      </c>
      <c r="U83" s="85" t="b">
        <v>0</v>
      </c>
      <c r="V83" s="84" t="b">
        <v>0</v>
      </c>
      <c r="W83" s="84" t="b">
        <v>0</v>
      </c>
      <c r="X83" s="84" t="b">
        <v>0</v>
      </c>
      <c r="Y83" s="84" t="b">
        <v>0</v>
      </c>
      <c r="Z83" s="84" t="b">
        <v>0</v>
      </c>
      <c r="AA83" s="84" t="b">
        <v>0</v>
      </c>
      <c r="AB83" s="82" t="b">
        <v>0</v>
      </c>
      <c r="AC83" s="82" t="b">
        <v>0</v>
      </c>
      <c r="AD83" s="82" t="b">
        <v>0</v>
      </c>
      <c r="AE83" s="82" t="b">
        <v>0</v>
      </c>
      <c r="AF83" s="82" t="b">
        <v>1</v>
      </c>
      <c r="AG83" s="82" t="b">
        <v>1</v>
      </c>
      <c r="AH83" s="82" t="b">
        <v>1</v>
      </c>
      <c r="AI83" s="82" t="b">
        <v>1</v>
      </c>
      <c r="AJ83" s="82" t="b">
        <v>1</v>
      </c>
      <c r="AK83" s="82" t="b">
        <v>1</v>
      </c>
      <c r="AL83" s="82" t="b">
        <v>1</v>
      </c>
      <c r="AM83" s="82" t="b">
        <v>1</v>
      </c>
      <c r="AN83" s="82" t="b">
        <v>1</v>
      </c>
      <c r="AO83" s="82" t="b">
        <v>1</v>
      </c>
      <c r="AP83" s="82" t="b">
        <v>1</v>
      </c>
      <c r="AQ83" s="82" t="b">
        <v>1</v>
      </c>
      <c r="AR83" s="82" t="b">
        <v>1</v>
      </c>
      <c r="AS83" s="82" t="b">
        <v>1</v>
      </c>
      <c r="AT83" s="82" t="b">
        <v>1</v>
      </c>
      <c r="AU83" s="82" t="b">
        <v>1</v>
      </c>
      <c r="AV83" s="82" t="b">
        <v>1</v>
      </c>
      <c r="AW83" s="82" t="b">
        <v>1</v>
      </c>
      <c r="AX83" s="82" t="b">
        <v>1</v>
      </c>
      <c r="AY83" s="82" t="b">
        <v>1</v>
      </c>
      <c r="AZ83" s="82" t="b">
        <v>1</v>
      </c>
      <c r="BA83" s="82" t="b">
        <v>1</v>
      </c>
      <c r="BB83" s="82" t="b">
        <v>1</v>
      </c>
      <c r="BC83" s="82" t="b">
        <v>1</v>
      </c>
      <c r="BD83" s="82" t="b">
        <v>1</v>
      </c>
      <c r="BE83" s="82" t="b">
        <v>1</v>
      </c>
      <c r="BF83" s="82" t="b">
        <v>1</v>
      </c>
      <c r="BG83" s="82" t="b">
        <v>1</v>
      </c>
      <c r="BH83" s="82" t="b">
        <v>1</v>
      </c>
      <c r="BI83" s="82" t="b">
        <v>1</v>
      </c>
      <c r="BJ83" s="82" t="b">
        <v>1</v>
      </c>
    </row>
    <row r="84" outlineLevel="1">
      <c r="A84" s="82">
        <v>4.0</v>
      </c>
      <c r="B84" s="82" t="s">
        <v>100</v>
      </c>
      <c r="C84" s="82" t="s">
        <v>101</v>
      </c>
      <c r="D84" s="83">
        <v>0.0825</v>
      </c>
      <c r="E84" s="83">
        <v>0.0632</v>
      </c>
      <c r="F84" s="83">
        <v>0.0519</v>
      </c>
      <c r="G84" s="83">
        <v>0.0366</v>
      </c>
      <c r="H84" s="83">
        <v>0.0578</v>
      </c>
      <c r="I84" s="83">
        <v>0.0435</v>
      </c>
      <c r="J84" s="83">
        <v>0.0417</v>
      </c>
      <c r="K84" s="84" t="b">
        <v>0</v>
      </c>
      <c r="L84" s="84" t="b">
        <v>0</v>
      </c>
      <c r="M84" s="84" t="b">
        <v>0</v>
      </c>
      <c r="N84" s="84" t="b">
        <v>0</v>
      </c>
      <c r="O84" s="84" t="b">
        <v>0</v>
      </c>
      <c r="P84" s="84" t="b">
        <v>0</v>
      </c>
      <c r="Q84" s="84" t="b">
        <v>0</v>
      </c>
      <c r="R84" s="84" t="b">
        <v>0</v>
      </c>
      <c r="S84" s="85" t="b">
        <v>0</v>
      </c>
      <c r="T84" s="85" t="b">
        <v>0</v>
      </c>
      <c r="U84" s="85" t="b">
        <v>0</v>
      </c>
      <c r="V84" s="84" t="b">
        <v>0</v>
      </c>
      <c r="W84" s="84" t="b">
        <v>0</v>
      </c>
      <c r="X84" s="84" t="b">
        <v>0</v>
      </c>
      <c r="Y84" s="84" t="b">
        <v>0</v>
      </c>
      <c r="Z84" s="84" t="b">
        <v>0</v>
      </c>
      <c r="AA84" s="82" t="b">
        <v>0</v>
      </c>
      <c r="AB84" s="82" t="b">
        <v>0</v>
      </c>
      <c r="AC84" s="82" t="b">
        <v>1</v>
      </c>
      <c r="AD84" s="82" t="b">
        <v>0</v>
      </c>
      <c r="AE84" s="82" t="b">
        <v>0</v>
      </c>
      <c r="AF84" s="82" t="b">
        <v>1</v>
      </c>
      <c r="AG84" s="82" t="b">
        <v>1</v>
      </c>
      <c r="AH84" s="82" t="b">
        <v>1</v>
      </c>
      <c r="AI84" s="82" t="b">
        <v>1</v>
      </c>
      <c r="AJ84" s="82" t="b">
        <v>1</v>
      </c>
      <c r="AK84" s="82" t="b">
        <v>1</v>
      </c>
      <c r="AL84" s="82" t="b">
        <v>1</v>
      </c>
      <c r="AM84" s="82" t="b">
        <v>1</v>
      </c>
      <c r="AN84" s="82" t="b">
        <v>1</v>
      </c>
      <c r="AO84" s="82" t="b">
        <v>1</v>
      </c>
      <c r="AP84" s="82" t="b">
        <v>1</v>
      </c>
      <c r="AQ84" s="82" t="b">
        <v>1</v>
      </c>
      <c r="AR84" s="82" t="b">
        <v>1</v>
      </c>
      <c r="AS84" s="82" t="b">
        <v>1</v>
      </c>
      <c r="AT84" s="82" t="b">
        <v>1</v>
      </c>
      <c r="AU84" s="82" t="b">
        <v>1</v>
      </c>
      <c r="AV84" s="82" t="b">
        <v>1</v>
      </c>
      <c r="AW84" s="82" t="b">
        <v>1</v>
      </c>
      <c r="AX84" s="82" t="b">
        <v>1</v>
      </c>
      <c r="AY84" s="82" t="b">
        <v>1</v>
      </c>
      <c r="AZ84" s="82" t="b">
        <v>1</v>
      </c>
      <c r="BA84" s="82" t="b">
        <v>1</v>
      </c>
      <c r="BB84" s="82" t="b">
        <v>1</v>
      </c>
      <c r="BC84" s="82" t="b">
        <v>1</v>
      </c>
      <c r="BD84" s="82" t="b">
        <v>1</v>
      </c>
      <c r="BE84" s="82" t="b">
        <v>1</v>
      </c>
      <c r="BF84" s="82" t="b">
        <v>1</v>
      </c>
      <c r="BG84" s="82" t="b">
        <v>1</v>
      </c>
      <c r="BH84" s="82" t="b">
        <v>1</v>
      </c>
      <c r="BI84" s="82" t="b">
        <v>1</v>
      </c>
      <c r="BJ84" s="82" t="b">
        <v>1</v>
      </c>
    </row>
    <row r="85" outlineLevel="1">
      <c r="A85" s="82">
        <v>5.0</v>
      </c>
      <c r="B85" s="82" t="s">
        <v>95</v>
      </c>
      <c r="C85" s="82" t="s">
        <v>97</v>
      </c>
      <c r="D85" s="83">
        <v>0.0976</v>
      </c>
      <c r="E85" s="83">
        <v>0.0911</v>
      </c>
      <c r="F85" s="83">
        <v>0.0911</v>
      </c>
      <c r="G85" s="83">
        <v>0.0911</v>
      </c>
      <c r="H85" s="83">
        <v>0.0592</v>
      </c>
      <c r="I85" s="83">
        <v>0.0489</v>
      </c>
      <c r="J85" s="83">
        <v>0.037</v>
      </c>
      <c r="K85" s="84" t="b">
        <v>0</v>
      </c>
      <c r="L85" s="84" t="b">
        <v>0</v>
      </c>
      <c r="M85" s="84" t="b">
        <v>0</v>
      </c>
      <c r="N85" s="84" t="b">
        <v>0</v>
      </c>
      <c r="O85" s="84" t="b">
        <v>0</v>
      </c>
      <c r="P85" s="84" t="b">
        <v>0</v>
      </c>
      <c r="Q85" s="84" t="b">
        <v>0</v>
      </c>
      <c r="R85" s="84" t="b">
        <v>0</v>
      </c>
      <c r="S85" s="85" t="b">
        <v>0</v>
      </c>
      <c r="T85" s="85" t="b">
        <v>0</v>
      </c>
      <c r="U85" s="85" t="b">
        <v>0</v>
      </c>
      <c r="V85" s="84" t="b">
        <v>0</v>
      </c>
      <c r="W85" s="84" t="b">
        <v>0</v>
      </c>
      <c r="X85" s="84" t="b">
        <v>0</v>
      </c>
      <c r="Y85" s="84" t="b">
        <v>0</v>
      </c>
      <c r="Z85" s="84" t="b">
        <v>0</v>
      </c>
      <c r="AA85" s="84" t="b">
        <v>0</v>
      </c>
      <c r="AB85" s="82" t="b">
        <v>0</v>
      </c>
      <c r="AC85" s="82" t="b">
        <v>0</v>
      </c>
      <c r="AD85" s="82" t="b">
        <v>0</v>
      </c>
      <c r="AE85" s="82" t="b">
        <v>1</v>
      </c>
      <c r="AF85" s="82" t="b">
        <v>0</v>
      </c>
      <c r="AG85" s="82" t="b">
        <v>0</v>
      </c>
      <c r="AH85" s="82" t="b">
        <v>0</v>
      </c>
      <c r="AI85" s="82" t="b">
        <v>0</v>
      </c>
      <c r="AJ85" s="82" t="b">
        <v>0</v>
      </c>
      <c r="AK85" s="82" t="b">
        <v>0</v>
      </c>
      <c r="AL85" s="82" t="b">
        <v>0</v>
      </c>
      <c r="AM85" s="82" t="b">
        <v>0</v>
      </c>
      <c r="AN85" s="82" t="b">
        <v>0</v>
      </c>
      <c r="AO85" s="82" t="b">
        <v>1</v>
      </c>
      <c r="AP85" s="82" t="b">
        <v>1</v>
      </c>
      <c r="AQ85" s="82" t="b">
        <v>1</v>
      </c>
      <c r="AR85" s="82" t="b">
        <v>1</v>
      </c>
      <c r="AS85" s="82" t="b">
        <v>1</v>
      </c>
      <c r="AT85" s="82" t="b">
        <v>1</v>
      </c>
      <c r="AU85" s="82" t="b">
        <v>1</v>
      </c>
      <c r="AV85" s="82" t="b">
        <v>1</v>
      </c>
      <c r="AW85" s="82" t="b">
        <v>1</v>
      </c>
      <c r="AX85" s="82" t="b">
        <v>1</v>
      </c>
      <c r="AY85" s="82" t="b">
        <v>1</v>
      </c>
      <c r="AZ85" s="82" t="b">
        <v>1</v>
      </c>
      <c r="BA85" s="82" t="b">
        <v>1</v>
      </c>
      <c r="BB85" s="82" t="b">
        <v>1</v>
      </c>
      <c r="BC85" s="82" t="b">
        <v>1</v>
      </c>
      <c r="BD85" s="82" t="b">
        <v>1</v>
      </c>
      <c r="BE85" s="82" t="b">
        <v>1</v>
      </c>
      <c r="BF85" s="82" t="b">
        <v>1</v>
      </c>
      <c r="BG85" s="82" t="b">
        <v>1</v>
      </c>
      <c r="BH85" s="82" t="b">
        <v>1</v>
      </c>
      <c r="BI85" s="82" t="b">
        <v>1</v>
      </c>
      <c r="BJ85" s="82" t="b">
        <v>1</v>
      </c>
    </row>
    <row r="86" outlineLevel="1">
      <c r="A86" s="82">
        <v>6.0</v>
      </c>
      <c r="B86" s="82" t="s">
        <v>102</v>
      </c>
      <c r="C86" s="82" t="s">
        <v>99</v>
      </c>
      <c r="D86" s="83">
        <v>0.0739</v>
      </c>
      <c r="E86" s="83">
        <v>0.0566</v>
      </c>
      <c r="F86" s="83">
        <v>0.0465</v>
      </c>
      <c r="G86" s="83">
        <v>0.0328</v>
      </c>
      <c r="H86" s="83">
        <v>0.046</v>
      </c>
      <c r="I86" s="83">
        <v>0.0399</v>
      </c>
      <c r="J86" s="83">
        <v>0.037</v>
      </c>
      <c r="K86" s="84" t="b">
        <v>0</v>
      </c>
      <c r="L86" s="84" t="b">
        <v>0</v>
      </c>
      <c r="M86" s="84" t="b">
        <v>0</v>
      </c>
      <c r="N86" s="84" t="b">
        <v>0</v>
      </c>
      <c r="O86" s="84" t="b">
        <v>0</v>
      </c>
      <c r="P86" s="84" t="b">
        <v>0</v>
      </c>
      <c r="Q86" s="84" t="b">
        <v>0</v>
      </c>
      <c r="R86" s="84" t="b">
        <v>0</v>
      </c>
      <c r="S86" s="85" t="b">
        <v>0</v>
      </c>
      <c r="T86" s="85" t="b">
        <v>0</v>
      </c>
      <c r="U86" s="85" t="b">
        <v>0</v>
      </c>
      <c r="V86" s="84" t="b">
        <v>0</v>
      </c>
      <c r="W86" s="84" t="b">
        <v>0</v>
      </c>
      <c r="X86" s="84" t="b">
        <v>0</v>
      </c>
      <c r="Y86" s="84" t="b">
        <v>0</v>
      </c>
      <c r="Z86" s="84" t="b">
        <v>0</v>
      </c>
      <c r="AA86" s="82" t="b">
        <v>0</v>
      </c>
      <c r="AB86" s="82" t="b">
        <v>0</v>
      </c>
      <c r="AC86" s="82" t="b">
        <v>1</v>
      </c>
      <c r="AD86" s="82" t="b">
        <v>1</v>
      </c>
      <c r="AE86" s="82" t="b">
        <v>1</v>
      </c>
      <c r="AF86" s="82" t="b">
        <v>1</v>
      </c>
      <c r="AG86" s="82" t="b">
        <v>1</v>
      </c>
      <c r="AH86" s="82" t="b">
        <v>1</v>
      </c>
      <c r="AI86" s="82" t="b">
        <v>1</v>
      </c>
      <c r="AJ86" s="82" t="b">
        <v>1</v>
      </c>
      <c r="AK86" s="82" t="b">
        <v>1</v>
      </c>
      <c r="AL86" s="82" t="b">
        <v>1</v>
      </c>
      <c r="AM86" s="82" t="b">
        <v>1</v>
      </c>
      <c r="AN86" s="82" t="b">
        <v>1</v>
      </c>
      <c r="AO86" s="82" t="b">
        <v>1</v>
      </c>
      <c r="AP86" s="82" t="b">
        <v>1</v>
      </c>
      <c r="AQ86" s="82" t="b">
        <v>1</v>
      </c>
      <c r="AR86" s="82" t="b">
        <v>1</v>
      </c>
      <c r="AS86" s="82" t="b">
        <v>1</v>
      </c>
      <c r="AT86" s="82" t="b">
        <v>1</v>
      </c>
      <c r="AU86" s="82" t="b">
        <v>1</v>
      </c>
      <c r="AV86" s="82" t="b">
        <v>1</v>
      </c>
      <c r="AW86" s="82" t="b">
        <v>1</v>
      </c>
      <c r="AX86" s="82" t="b">
        <v>1</v>
      </c>
      <c r="AY86" s="82" t="b">
        <v>1</v>
      </c>
      <c r="AZ86" s="82" t="b">
        <v>1</v>
      </c>
      <c r="BA86" s="82" t="b">
        <v>1</v>
      </c>
      <c r="BB86" s="82" t="b">
        <v>1</v>
      </c>
      <c r="BC86" s="82" t="b">
        <v>1</v>
      </c>
      <c r="BD86" s="82" t="b">
        <v>1</v>
      </c>
      <c r="BE86" s="82" t="b">
        <v>1</v>
      </c>
      <c r="BF86" s="82" t="b">
        <v>1</v>
      </c>
      <c r="BG86" s="82" t="b">
        <v>1</v>
      </c>
      <c r="BH86" s="82" t="b">
        <v>1</v>
      </c>
      <c r="BI86" s="82" t="b">
        <v>1</v>
      </c>
      <c r="BJ86" s="82" t="b">
        <v>1</v>
      </c>
    </row>
    <row r="87" outlineLevel="1">
      <c r="A87" s="82">
        <v>7.0</v>
      </c>
      <c r="B87" s="82" t="s">
        <v>95</v>
      </c>
      <c r="C87" s="82" t="s">
        <v>99</v>
      </c>
      <c r="D87" s="83">
        <v>0.0622</v>
      </c>
      <c r="E87" s="83">
        <v>0.0581</v>
      </c>
      <c r="F87" s="83">
        <v>0.0581</v>
      </c>
      <c r="G87" s="83">
        <v>0.0581</v>
      </c>
      <c r="H87" s="83">
        <v>0.0402</v>
      </c>
      <c r="I87" s="83">
        <v>0.0376</v>
      </c>
      <c r="J87" s="83">
        <v>0.0324</v>
      </c>
      <c r="K87" s="84" t="b">
        <v>0</v>
      </c>
      <c r="L87" s="84" t="b">
        <v>0</v>
      </c>
      <c r="M87" s="84" t="b">
        <v>0</v>
      </c>
      <c r="N87" s="84" t="b">
        <v>0</v>
      </c>
      <c r="O87" s="84" t="b">
        <v>0</v>
      </c>
      <c r="P87" s="84" t="b">
        <v>0</v>
      </c>
      <c r="Q87" s="84" t="b">
        <v>0</v>
      </c>
      <c r="R87" s="84" t="b">
        <v>0</v>
      </c>
      <c r="S87" s="85" t="b">
        <v>0</v>
      </c>
      <c r="T87" s="85" t="b">
        <v>0</v>
      </c>
      <c r="U87" s="85" t="b">
        <v>0</v>
      </c>
      <c r="V87" s="84" t="b">
        <v>0</v>
      </c>
      <c r="W87" s="82" t="b">
        <v>0</v>
      </c>
      <c r="X87" s="82" t="b">
        <v>0</v>
      </c>
      <c r="Y87" s="82" t="b">
        <v>0</v>
      </c>
      <c r="Z87" s="82" t="b">
        <v>0</v>
      </c>
      <c r="AA87" s="82" t="b">
        <v>0</v>
      </c>
      <c r="AB87" s="82" t="b">
        <v>0</v>
      </c>
      <c r="AC87" s="82" t="b">
        <v>1</v>
      </c>
      <c r="AD87" s="82" t="b">
        <v>1</v>
      </c>
      <c r="AE87" s="82" t="b">
        <v>0</v>
      </c>
      <c r="AF87" s="82" t="b">
        <v>1</v>
      </c>
      <c r="AG87" s="82" t="b">
        <v>1</v>
      </c>
      <c r="AH87" s="82" t="b">
        <v>1</v>
      </c>
      <c r="AI87" s="82" t="b">
        <v>1</v>
      </c>
      <c r="AJ87" s="82" t="b">
        <v>1</v>
      </c>
      <c r="AK87" s="82" t="b">
        <v>1</v>
      </c>
      <c r="AL87" s="82" t="b">
        <v>1</v>
      </c>
      <c r="AM87" s="82" t="b">
        <v>1</v>
      </c>
      <c r="AN87" s="82" t="b">
        <v>1</v>
      </c>
      <c r="AO87" s="82" t="b">
        <v>1</v>
      </c>
      <c r="AP87" s="82" t="b">
        <v>1</v>
      </c>
      <c r="AQ87" s="82" t="b">
        <v>1</v>
      </c>
      <c r="AR87" s="82" t="b">
        <v>1</v>
      </c>
      <c r="AS87" s="82" t="b">
        <v>1</v>
      </c>
      <c r="AT87" s="82" t="b">
        <v>1</v>
      </c>
      <c r="AU87" s="82" t="b">
        <v>1</v>
      </c>
      <c r="AV87" s="82" t="b">
        <v>1</v>
      </c>
      <c r="AW87" s="82" t="b">
        <v>1</v>
      </c>
      <c r="AX87" s="82" t="b">
        <v>1</v>
      </c>
      <c r="AY87" s="82" t="b">
        <v>1</v>
      </c>
      <c r="AZ87" s="82" t="b">
        <v>1</v>
      </c>
      <c r="BA87" s="82" t="b">
        <v>1</v>
      </c>
      <c r="BB87" s="82" t="b">
        <v>1</v>
      </c>
      <c r="BC87" s="82" t="b">
        <v>1</v>
      </c>
      <c r="BD87" s="82" t="b">
        <v>1</v>
      </c>
      <c r="BE87" s="82" t="b">
        <v>1</v>
      </c>
      <c r="BF87" s="82" t="b">
        <v>1</v>
      </c>
      <c r="BG87" s="82" t="b">
        <v>1</v>
      </c>
      <c r="BH87" s="82" t="b">
        <v>1</v>
      </c>
      <c r="BI87" s="82" t="b">
        <v>1</v>
      </c>
      <c r="BJ87" s="82" t="b">
        <v>1</v>
      </c>
    </row>
    <row r="88" outlineLevel="1">
      <c r="A88" s="82">
        <v>8.0</v>
      </c>
      <c r="B88" s="82" t="s">
        <v>95</v>
      </c>
      <c r="C88" s="82" t="s">
        <v>99</v>
      </c>
      <c r="D88" s="83">
        <v>0.0677</v>
      </c>
      <c r="E88" s="83">
        <v>0.0632</v>
      </c>
      <c r="F88" s="83">
        <v>0.0632</v>
      </c>
      <c r="G88" s="83">
        <v>0.0632</v>
      </c>
      <c r="H88" s="83">
        <v>0.0451</v>
      </c>
      <c r="I88" s="83">
        <v>0.0388</v>
      </c>
      <c r="J88" s="83">
        <v>0.0324</v>
      </c>
      <c r="K88" s="84" t="b">
        <v>0</v>
      </c>
      <c r="L88" s="84" t="b">
        <v>0</v>
      </c>
      <c r="M88" s="84" t="b">
        <v>0</v>
      </c>
      <c r="N88" s="84" t="b">
        <v>0</v>
      </c>
      <c r="O88" s="84" t="b">
        <v>0</v>
      </c>
      <c r="P88" s="84" t="b">
        <v>0</v>
      </c>
      <c r="Q88" s="84" t="b">
        <v>0</v>
      </c>
      <c r="R88" s="84" t="b">
        <v>0</v>
      </c>
      <c r="S88" s="85" t="b">
        <v>0</v>
      </c>
      <c r="T88" s="85" t="b">
        <v>0</v>
      </c>
      <c r="U88" s="85" t="b">
        <v>0</v>
      </c>
      <c r="V88" s="84" t="b">
        <v>0</v>
      </c>
      <c r="W88" s="84" t="b">
        <v>0</v>
      </c>
      <c r="X88" s="84" t="b">
        <v>0</v>
      </c>
      <c r="Y88" s="84" t="b">
        <v>0</v>
      </c>
      <c r="Z88" s="84" t="b">
        <v>0</v>
      </c>
      <c r="AA88" s="84" t="b">
        <v>0</v>
      </c>
      <c r="AB88" s="82" t="b">
        <v>0</v>
      </c>
      <c r="AC88" s="82" t="b">
        <v>0</v>
      </c>
      <c r="AD88" s="82" t="b">
        <v>0</v>
      </c>
      <c r="AE88" s="85" t="b">
        <v>0</v>
      </c>
      <c r="AF88" s="85" t="b">
        <v>0</v>
      </c>
      <c r="AG88" s="85" t="b">
        <v>0</v>
      </c>
      <c r="AH88" s="85" t="b">
        <v>0</v>
      </c>
      <c r="AI88" s="85" t="b">
        <v>0</v>
      </c>
      <c r="AJ88" s="82" t="b">
        <v>1</v>
      </c>
      <c r="AK88" s="82" t="b">
        <v>1</v>
      </c>
      <c r="AL88" s="82" t="b">
        <v>1</v>
      </c>
      <c r="AM88" s="82" t="b">
        <v>1</v>
      </c>
      <c r="AN88" s="82" t="b">
        <v>1</v>
      </c>
      <c r="AO88" s="82" t="b">
        <v>1</v>
      </c>
      <c r="AP88" s="82" t="b">
        <v>1</v>
      </c>
      <c r="AQ88" s="82" t="b">
        <v>1</v>
      </c>
      <c r="AR88" s="82" t="b">
        <v>1</v>
      </c>
      <c r="AS88" s="82" t="b">
        <v>1</v>
      </c>
      <c r="AT88" s="82" t="b">
        <v>1</v>
      </c>
      <c r="AU88" s="82" t="b">
        <v>1</v>
      </c>
      <c r="AV88" s="82" t="b">
        <v>1</v>
      </c>
      <c r="AW88" s="82" t="b">
        <v>1</v>
      </c>
      <c r="AX88" s="82" t="b">
        <v>1</v>
      </c>
      <c r="AY88" s="82" t="b">
        <v>1</v>
      </c>
      <c r="AZ88" s="82" t="b">
        <v>1</v>
      </c>
      <c r="BA88" s="82" t="b">
        <v>1</v>
      </c>
      <c r="BB88" s="82" t="b">
        <v>1</v>
      </c>
      <c r="BC88" s="82" t="b">
        <v>1</v>
      </c>
      <c r="BD88" s="82" t="b">
        <v>1</v>
      </c>
      <c r="BE88" s="82" t="b">
        <v>1</v>
      </c>
      <c r="BF88" s="82" t="b">
        <v>1</v>
      </c>
      <c r="BG88" s="82" t="b">
        <v>1</v>
      </c>
      <c r="BH88" s="82" t="b">
        <v>1</v>
      </c>
      <c r="BI88" s="82" t="b">
        <v>1</v>
      </c>
      <c r="BJ88" s="82" t="b">
        <v>1</v>
      </c>
    </row>
    <row r="89" outlineLevel="1">
      <c r="A89" s="82">
        <v>9.0</v>
      </c>
      <c r="B89" s="82" t="s">
        <v>103</v>
      </c>
      <c r="C89" s="82" t="s">
        <v>104</v>
      </c>
      <c r="D89" s="83">
        <v>0.0166</v>
      </c>
      <c r="E89" s="83">
        <v>0.0166</v>
      </c>
      <c r="F89" s="83">
        <v>0.0166</v>
      </c>
      <c r="G89" s="83">
        <v>0.0093</v>
      </c>
      <c r="H89" s="83">
        <v>0.0154</v>
      </c>
      <c r="I89" s="83">
        <v>0.0159</v>
      </c>
      <c r="J89" s="83">
        <v>0.0162</v>
      </c>
      <c r="K89" s="84" t="b">
        <v>0</v>
      </c>
      <c r="L89" s="84" t="b">
        <v>0</v>
      </c>
      <c r="M89" s="84" t="b">
        <v>0</v>
      </c>
      <c r="N89" s="84" t="b">
        <v>0</v>
      </c>
      <c r="O89" s="84" t="b">
        <v>0</v>
      </c>
      <c r="P89" s="84" t="b">
        <v>0</v>
      </c>
      <c r="Q89" s="84" t="b">
        <v>0</v>
      </c>
      <c r="R89" s="84" t="b">
        <v>0</v>
      </c>
      <c r="S89" s="85" t="b">
        <v>0</v>
      </c>
      <c r="T89" s="85" t="b">
        <v>0</v>
      </c>
      <c r="U89" s="85" t="b">
        <v>0</v>
      </c>
      <c r="V89" s="84" t="b">
        <v>0</v>
      </c>
      <c r="W89" s="84" t="b">
        <v>0</v>
      </c>
      <c r="X89" s="84" t="b">
        <v>0</v>
      </c>
      <c r="Y89" s="84" t="b">
        <v>0</v>
      </c>
      <c r="Z89" s="84" t="b">
        <v>0</v>
      </c>
      <c r="AA89" s="84" t="b">
        <v>0</v>
      </c>
      <c r="AB89" s="82" t="b">
        <v>0</v>
      </c>
      <c r="AC89" s="82" t="b">
        <v>0</v>
      </c>
      <c r="AD89" s="82" t="b">
        <v>0</v>
      </c>
      <c r="AE89" s="82" t="b">
        <v>1</v>
      </c>
      <c r="AF89" s="82" t="b">
        <v>1</v>
      </c>
      <c r="AG89" s="82" t="b">
        <v>1</v>
      </c>
      <c r="AH89" s="82" t="b">
        <v>1</v>
      </c>
      <c r="AI89" s="82" t="b">
        <v>1</v>
      </c>
      <c r="AJ89" s="82" t="b">
        <v>1</v>
      </c>
      <c r="AK89" s="82" t="b">
        <v>1</v>
      </c>
      <c r="AL89" s="82" t="b">
        <v>1</v>
      </c>
      <c r="AM89" s="82" t="b">
        <v>1</v>
      </c>
      <c r="AN89" s="82" t="b">
        <v>1</v>
      </c>
      <c r="AO89" s="82" t="b">
        <v>1</v>
      </c>
      <c r="AP89" s="82" t="b">
        <v>1</v>
      </c>
      <c r="AQ89" s="82" t="b">
        <v>1</v>
      </c>
      <c r="AR89" s="82" t="b">
        <v>1</v>
      </c>
      <c r="AS89" s="82" t="b">
        <v>1</v>
      </c>
      <c r="AT89" s="82" t="b">
        <v>1</v>
      </c>
      <c r="AU89" s="82" t="b">
        <v>1</v>
      </c>
      <c r="AV89" s="82" t="b">
        <v>1</v>
      </c>
      <c r="AW89" s="82" t="b">
        <v>1</v>
      </c>
      <c r="AX89" s="82" t="b">
        <v>1</v>
      </c>
      <c r="AY89" s="82" t="b">
        <v>1</v>
      </c>
      <c r="AZ89" s="82" t="b">
        <v>1</v>
      </c>
      <c r="BA89" s="82" t="b">
        <v>1</v>
      </c>
      <c r="BB89" s="82" t="b">
        <v>1</v>
      </c>
      <c r="BC89" s="82" t="b">
        <v>1</v>
      </c>
      <c r="BD89" s="82" t="b">
        <v>1</v>
      </c>
      <c r="BE89" s="82" t="b">
        <v>1</v>
      </c>
      <c r="BF89" s="82" t="b">
        <v>1</v>
      </c>
      <c r="BG89" s="82" t="b">
        <v>1</v>
      </c>
      <c r="BH89" s="82" t="b">
        <v>1</v>
      </c>
      <c r="BI89" s="82" t="b">
        <v>1</v>
      </c>
      <c r="BJ89" s="82" t="b">
        <v>1</v>
      </c>
    </row>
    <row r="90" outlineLevel="1">
      <c r="A90" s="82">
        <v>10.0</v>
      </c>
      <c r="B90" s="82" t="s">
        <v>103</v>
      </c>
      <c r="C90" s="82" t="s">
        <v>104</v>
      </c>
      <c r="D90" s="83">
        <v>0.0211</v>
      </c>
      <c r="E90" s="83">
        <v>0.0211</v>
      </c>
      <c r="F90" s="83">
        <v>0.0211</v>
      </c>
      <c r="G90" s="83">
        <v>0.0118</v>
      </c>
      <c r="H90" s="83">
        <v>0.0162</v>
      </c>
      <c r="I90" s="83">
        <v>0.017</v>
      </c>
      <c r="J90" s="83">
        <v>0.0162</v>
      </c>
      <c r="K90" s="84" t="b">
        <v>0</v>
      </c>
      <c r="L90" s="84" t="b">
        <v>0</v>
      </c>
      <c r="M90" s="82" t="b">
        <v>0</v>
      </c>
      <c r="N90" s="84" t="b">
        <v>0</v>
      </c>
      <c r="O90" s="84" t="b">
        <v>0</v>
      </c>
      <c r="P90" s="84" t="b">
        <v>0</v>
      </c>
      <c r="Q90" s="84" t="b">
        <v>0</v>
      </c>
      <c r="R90" s="84" t="b">
        <v>0</v>
      </c>
      <c r="S90" s="85" t="b">
        <v>0</v>
      </c>
      <c r="T90" s="85" t="b">
        <v>0</v>
      </c>
      <c r="U90" s="85" t="b">
        <v>0</v>
      </c>
      <c r="V90" s="84" t="b">
        <v>0</v>
      </c>
      <c r="W90" s="84" t="b">
        <v>0</v>
      </c>
      <c r="X90" s="84" t="b">
        <v>0</v>
      </c>
      <c r="Y90" s="84" t="b">
        <v>0</v>
      </c>
      <c r="Z90" s="84" t="b">
        <v>0</v>
      </c>
      <c r="AA90" s="84" t="b">
        <v>0</v>
      </c>
      <c r="AB90" s="82" t="b">
        <v>0</v>
      </c>
      <c r="AC90" s="82" t="b">
        <v>0</v>
      </c>
      <c r="AD90" s="82" t="b">
        <v>0</v>
      </c>
      <c r="AE90" s="82" t="b">
        <v>0</v>
      </c>
      <c r="AF90" s="82" t="b">
        <v>1</v>
      </c>
      <c r="AG90" s="82" t="b">
        <v>1</v>
      </c>
      <c r="AH90" s="82" t="b">
        <v>1</v>
      </c>
      <c r="AI90" s="82" t="b">
        <v>1</v>
      </c>
      <c r="AJ90" s="82" t="b">
        <v>1</v>
      </c>
      <c r="AK90" s="82" t="b">
        <v>1</v>
      </c>
      <c r="AL90" s="82" t="b">
        <v>1</v>
      </c>
      <c r="AM90" s="82" t="b">
        <v>1</v>
      </c>
      <c r="AN90" s="82" t="b">
        <v>1</v>
      </c>
      <c r="AO90" s="82" t="b">
        <v>1</v>
      </c>
      <c r="AP90" s="82" t="b">
        <v>1</v>
      </c>
      <c r="AQ90" s="82" t="b">
        <v>1</v>
      </c>
      <c r="AR90" s="82" t="b">
        <v>1</v>
      </c>
      <c r="AS90" s="82" t="b">
        <v>1</v>
      </c>
      <c r="AT90" s="82" t="b">
        <v>1</v>
      </c>
      <c r="AU90" s="82" t="b">
        <v>1</v>
      </c>
      <c r="AV90" s="82" t="b">
        <v>1</v>
      </c>
      <c r="AW90" s="82" t="b">
        <v>1</v>
      </c>
      <c r="AX90" s="82" t="b">
        <v>1</v>
      </c>
      <c r="AY90" s="82" t="b">
        <v>1</v>
      </c>
      <c r="AZ90" s="82" t="b">
        <v>1</v>
      </c>
      <c r="BA90" s="82" t="b">
        <v>1</v>
      </c>
      <c r="BB90" s="82" t="b">
        <v>1</v>
      </c>
      <c r="BC90" s="82" t="b">
        <v>1</v>
      </c>
      <c r="BD90" s="82" t="b">
        <v>1</v>
      </c>
      <c r="BE90" s="82" t="b">
        <v>1</v>
      </c>
      <c r="BF90" s="82" t="b">
        <v>1</v>
      </c>
      <c r="BG90" s="82" t="b">
        <v>1</v>
      </c>
      <c r="BH90" s="82" t="b">
        <v>1</v>
      </c>
      <c r="BI90" s="82" t="b">
        <v>1</v>
      </c>
      <c r="BJ90" s="82" t="b">
        <v>1</v>
      </c>
    </row>
    <row r="91" outlineLevel="1">
      <c r="A91" s="82">
        <v>11.0</v>
      </c>
      <c r="B91" s="82" t="s">
        <v>105</v>
      </c>
      <c r="C91" s="82" t="s">
        <v>106</v>
      </c>
      <c r="D91" s="83">
        <v>0.0215</v>
      </c>
      <c r="E91" s="83">
        <v>0.0215</v>
      </c>
      <c r="F91" s="83">
        <v>0.0215</v>
      </c>
      <c r="G91" s="83">
        <v>0.0215</v>
      </c>
      <c r="H91" s="83">
        <v>0.0212</v>
      </c>
      <c r="I91" s="83">
        <v>0.0195</v>
      </c>
      <c r="J91" s="83">
        <v>0.0185</v>
      </c>
      <c r="K91" s="84" t="b">
        <v>0</v>
      </c>
      <c r="L91" s="84" t="b">
        <v>0</v>
      </c>
      <c r="M91" s="84" t="b">
        <v>0</v>
      </c>
      <c r="N91" s="84" t="b">
        <v>0</v>
      </c>
      <c r="O91" s="84" t="b">
        <v>0</v>
      </c>
      <c r="P91" s="84" t="b">
        <v>0</v>
      </c>
      <c r="Q91" s="84" t="b">
        <v>0</v>
      </c>
      <c r="R91" s="84" t="b">
        <v>0</v>
      </c>
      <c r="S91" s="85" t="b">
        <v>0</v>
      </c>
      <c r="T91" s="85" t="b">
        <v>0</v>
      </c>
      <c r="U91" s="85" t="b">
        <v>0</v>
      </c>
      <c r="V91" s="84" t="b">
        <v>0</v>
      </c>
      <c r="W91" s="84" t="b">
        <v>0</v>
      </c>
      <c r="X91" s="84" t="b">
        <v>0</v>
      </c>
      <c r="Y91" s="84" t="b">
        <v>0</v>
      </c>
      <c r="Z91" s="84" t="b">
        <v>0</v>
      </c>
      <c r="AA91" s="84" t="b">
        <v>0</v>
      </c>
      <c r="AB91" s="82" t="b">
        <v>0</v>
      </c>
      <c r="AC91" s="82" t="b">
        <v>0</v>
      </c>
      <c r="AD91" s="82" t="b">
        <v>0</v>
      </c>
      <c r="AE91" s="82" t="b">
        <v>0</v>
      </c>
      <c r="AF91" s="82" t="b">
        <v>0</v>
      </c>
      <c r="AG91" s="82" t="b">
        <v>0</v>
      </c>
      <c r="AH91" s="82" t="b">
        <v>0</v>
      </c>
      <c r="AI91" s="82" t="b">
        <v>0</v>
      </c>
      <c r="AJ91" s="82" t="b">
        <v>0</v>
      </c>
      <c r="AK91" s="82" t="b">
        <v>0</v>
      </c>
      <c r="AL91" s="82" t="b">
        <v>0</v>
      </c>
      <c r="AM91" s="82" t="b">
        <v>0</v>
      </c>
      <c r="AN91" s="82" t="b">
        <v>0</v>
      </c>
      <c r="AO91" s="82" t="b">
        <v>1</v>
      </c>
      <c r="AP91" s="82" t="b">
        <v>1</v>
      </c>
      <c r="AQ91" s="82" t="b">
        <v>1</v>
      </c>
      <c r="AR91" s="82" t="b">
        <v>1</v>
      </c>
      <c r="AS91" s="82" t="b">
        <v>1</v>
      </c>
      <c r="AT91" s="82" t="b">
        <v>1</v>
      </c>
      <c r="AU91" s="82" t="b">
        <v>1</v>
      </c>
      <c r="AV91" s="82" t="b">
        <v>1</v>
      </c>
      <c r="AW91" s="82" t="b">
        <v>1</v>
      </c>
      <c r="AX91" s="82" t="b">
        <v>1</v>
      </c>
      <c r="AY91" s="82" t="b">
        <v>1</v>
      </c>
      <c r="AZ91" s="82" t="b">
        <v>1</v>
      </c>
      <c r="BA91" s="82" t="b">
        <v>1</v>
      </c>
      <c r="BB91" s="82" t="b">
        <v>1</v>
      </c>
      <c r="BC91" s="82" t="b">
        <v>1</v>
      </c>
      <c r="BD91" s="82" t="b">
        <v>1</v>
      </c>
      <c r="BE91" s="82" t="b">
        <v>1</v>
      </c>
      <c r="BF91" s="82" t="b">
        <v>1</v>
      </c>
      <c r="BG91" s="82" t="b">
        <v>1</v>
      </c>
      <c r="BH91" s="82" t="b">
        <v>1</v>
      </c>
      <c r="BI91" s="82" t="b">
        <v>1</v>
      </c>
      <c r="BJ91" s="82" t="b">
        <v>1</v>
      </c>
    </row>
    <row r="92" outlineLevel="1">
      <c r="A92" s="82">
        <v>12.0</v>
      </c>
      <c r="B92" s="82" t="s">
        <v>102</v>
      </c>
      <c r="C92" s="82" t="s">
        <v>101</v>
      </c>
      <c r="D92" s="83">
        <v>0.0478</v>
      </c>
      <c r="E92" s="83">
        <v>0.0366</v>
      </c>
      <c r="F92" s="83">
        <v>0.03</v>
      </c>
      <c r="G92" s="83">
        <v>0.0212</v>
      </c>
      <c r="H92" s="83">
        <v>0.0355</v>
      </c>
      <c r="I92" s="83">
        <v>0.0325</v>
      </c>
      <c r="J92" s="83">
        <v>0.0324</v>
      </c>
      <c r="K92" s="84" t="b">
        <v>0</v>
      </c>
      <c r="L92" s="84" t="b">
        <v>0</v>
      </c>
      <c r="M92" s="84" t="b">
        <v>0</v>
      </c>
      <c r="N92" s="84" t="b">
        <v>0</v>
      </c>
      <c r="O92" s="84" t="b">
        <v>0</v>
      </c>
      <c r="P92" s="84" t="b">
        <v>0</v>
      </c>
      <c r="Q92" s="84" t="b">
        <v>0</v>
      </c>
      <c r="R92" s="84" t="b">
        <v>0</v>
      </c>
      <c r="S92" s="85" t="b">
        <v>0</v>
      </c>
      <c r="T92" s="85" t="b">
        <v>0</v>
      </c>
      <c r="U92" s="85" t="b">
        <v>0</v>
      </c>
      <c r="V92" s="84" t="b">
        <v>0</v>
      </c>
      <c r="W92" s="84" t="b">
        <v>0</v>
      </c>
      <c r="X92" s="84" t="b">
        <v>0</v>
      </c>
      <c r="Y92" s="84" t="b">
        <v>0</v>
      </c>
      <c r="Z92" s="84" t="b">
        <v>0</v>
      </c>
      <c r="AA92" s="84" t="b">
        <v>0</v>
      </c>
      <c r="AB92" s="82" t="b">
        <v>0</v>
      </c>
      <c r="AC92" s="82" t="b">
        <v>0</v>
      </c>
      <c r="AD92" s="82" t="b">
        <v>1</v>
      </c>
      <c r="AE92" s="82" t="b">
        <v>1</v>
      </c>
      <c r="AF92" s="82" t="b">
        <v>1</v>
      </c>
      <c r="AG92" s="82" t="b">
        <v>1</v>
      </c>
      <c r="AH92" s="82" t="b">
        <v>1</v>
      </c>
      <c r="AI92" s="82" t="b">
        <v>1</v>
      </c>
      <c r="AJ92" s="82" t="b">
        <v>1</v>
      </c>
      <c r="AK92" s="82" t="b">
        <v>1</v>
      </c>
      <c r="AL92" s="82" t="b">
        <v>1</v>
      </c>
      <c r="AM92" s="82" t="b">
        <v>1</v>
      </c>
      <c r="AN92" s="82" t="b">
        <v>1</v>
      </c>
      <c r="AO92" s="82" t="b">
        <v>1</v>
      </c>
      <c r="AP92" s="82" t="b">
        <v>1</v>
      </c>
      <c r="AQ92" s="82" t="b">
        <v>1</v>
      </c>
      <c r="AR92" s="82" t="b">
        <v>1</v>
      </c>
      <c r="AS92" s="82" t="b">
        <v>1</v>
      </c>
      <c r="AT92" s="82" t="b">
        <v>1</v>
      </c>
      <c r="AU92" s="82" t="b">
        <v>1</v>
      </c>
      <c r="AV92" s="82" t="b">
        <v>1</v>
      </c>
      <c r="AW92" s="82" t="b">
        <v>1</v>
      </c>
      <c r="AX92" s="82" t="b">
        <v>1</v>
      </c>
      <c r="AY92" s="82" t="b">
        <v>1</v>
      </c>
      <c r="AZ92" s="82" t="b">
        <v>1</v>
      </c>
      <c r="BA92" s="82" t="b">
        <v>1</v>
      </c>
      <c r="BB92" s="82" t="b">
        <v>1</v>
      </c>
      <c r="BC92" s="82" t="b">
        <v>1</v>
      </c>
      <c r="BD92" s="82" t="b">
        <v>1</v>
      </c>
      <c r="BE92" s="82" t="b">
        <v>1</v>
      </c>
      <c r="BF92" s="82" t="b">
        <v>1</v>
      </c>
      <c r="BG92" s="82" t="b">
        <v>1</v>
      </c>
      <c r="BH92" s="82" t="b">
        <v>1</v>
      </c>
      <c r="BI92" s="82" t="b">
        <v>1</v>
      </c>
      <c r="BJ92" s="82" t="b">
        <v>1</v>
      </c>
    </row>
    <row r="93" outlineLevel="1">
      <c r="A93" s="82">
        <v>13.0</v>
      </c>
      <c r="B93" s="82" t="s">
        <v>106</v>
      </c>
      <c r="C93" s="82" t="s">
        <v>101</v>
      </c>
      <c r="D93" s="83">
        <v>0.0547</v>
      </c>
      <c r="E93" s="83">
        <v>0.0547</v>
      </c>
      <c r="F93" s="83">
        <v>0.0406</v>
      </c>
      <c r="G93" s="83">
        <v>0.0406</v>
      </c>
      <c r="H93" s="83">
        <v>0.0323</v>
      </c>
      <c r="I93" s="83">
        <v>0.0276</v>
      </c>
      <c r="J93" s="83">
        <v>0.0231</v>
      </c>
      <c r="K93" s="84" t="b">
        <v>0</v>
      </c>
      <c r="L93" s="84" t="b">
        <v>0</v>
      </c>
      <c r="M93" s="84" t="b">
        <v>0</v>
      </c>
      <c r="N93" s="84" t="b">
        <v>0</v>
      </c>
      <c r="O93" s="84" t="b">
        <v>0</v>
      </c>
      <c r="P93" s="84" t="b">
        <v>0</v>
      </c>
      <c r="Q93" s="84" t="b">
        <v>0</v>
      </c>
      <c r="R93" s="84" t="b">
        <v>0</v>
      </c>
      <c r="S93" s="85" t="b">
        <v>0</v>
      </c>
      <c r="T93" s="85" t="b">
        <v>0</v>
      </c>
      <c r="U93" s="85" t="b">
        <v>0</v>
      </c>
      <c r="V93" s="84" t="b">
        <v>0</v>
      </c>
      <c r="W93" s="84" t="b">
        <v>0</v>
      </c>
      <c r="X93" s="84" t="b">
        <v>0</v>
      </c>
      <c r="Y93" s="84" t="b">
        <v>0</v>
      </c>
      <c r="Z93" s="84" t="b">
        <v>0</v>
      </c>
      <c r="AA93" s="82" t="b">
        <v>0</v>
      </c>
      <c r="AB93" s="82" t="b">
        <v>0</v>
      </c>
      <c r="AC93" s="82" t="b">
        <v>0</v>
      </c>
      <c r="AD93" s="82" t="b">
        <v>0</v>
      </c>
      <c r="AE93" s="82" t="b">
        <v>0</v>
      </c>
      <c r="AF93" s="82" t="b">
        <v>0</v>
      </c>
      <c r="AG93" s="82" t="b">
        <v>1</v>
      </c>
      <c r="AH93" s="82" t="b">
        <v>1</v>
      </c>
      <c r="AI93" s="82" t="b">
        <v>1</v>
      </c>
      <c r="AJ93" s="82" t="b">
        <v>1</v>
      </c>
      <c r="AK93" s="82" t="b">
        <v>1</v>
      </c>
      <c r="AL93" s="82" t="b">
        <v>1</v>
      </c>
      <c r="AM93" s="82" t="b">
        <v>1</v>
      </c>
      <c r="AN93" s="82" t="b">
        <v>1</v>
      </c>
      <c r="AO93" s="82" t="b">
        <v>1</v>
      </c>
      <c r="AP93" s="82" t="b">
        <v>1</v>
      </c>
      <c r="AQ93" s="82" t="b">
        <v>1</v>
      </c>
      <c r="AR93" s="82" t="b">
        <v>1</v>
      </c>
      <c r="AS93" s="82" t="b">
        <v>1</v>
      </c>
      <c r="AT93" s="82" t="b">
        <v>1</v>
      </c>
      <c r="AU93" s="82" t="b">
        <v>1</v>
      </c>
      <c r="AV93" s="82" t="b">
        <v>1</v>
      </c>
      <c r="AW93" s="82" t="b">
        <v>1</v>
      </c>
      <c r="AX93" s="82" t="b">
        <v>1</v>
      </c>
      <c r="AY93" s="82" t="b">
        <v>1</v>
      </c>
      <c r="AZ93" s="82" t="b">
        <v>1</v>
      </c>
      <c r="BA93" s="82" t="b">
        <v>1</v>
      </c>
      <c r="BB93" s="82" t="b">
        <v>1</v>
      </c>
      <c r="BC93" s="82" t="b">
        <v>1</v>
      </c>
      <c r="BD93" s="82" t="b">
        <v>1</v>
      </c>
      <c r="BE93" s="82" t="b">
        <v>1</v>
      </c>
      <c r="BF93" s="82" t="b">
        <v>1</v>
      </c>
      <c r="BG93" s="82" t="b">
        <v>1</v>
      </c>
      <c r="BH93" s="82" t="b">
        <v>1</v>
      </c>
      <c r="BI93" s="82" t="b">
        <v>1</v>
      </c>
      <c r="BJ93" s="82" t="b">
        <v>1</v>
      </c>
    </row>
    <row r="94" outlineLevel="1">
      <c r="A94" s="82">
        <v>14.0</v>
      </c>
      <c r="B94" s="82" t="s">
        <v>106</v>
      </c>
      <c r="C94" s="82" t="s">
        <v>106</v>
      </c>
      <c r="D94" s="83">
        <v>0.0317</v>
      </c>
      <c r="E94" s="83">
        <v>0.0317</v>
      </c>
      <c r="F94" s="83">
        <v>0.0235</v>
      </c>
      <c r="G94" s="83">
        <v>0.0235</v>
      </c>
      <c r="H94" s="83">
        <v>0.0227</v>
      </c>
      <c r="I94" s="83">
        <v>0.02</v>
      </c>
      <c r="J94" s="83">
        <v>0.0185</v>
      </c>
      <c r="K94" s="84" t="b">
        <v>0</v>
      </c>
      <c r="L94" s="84" t="b">
        <v>0</v>
      </c>
      <c r="M94" s="84" t="b">
        <v>0</v>
      </c>
      <c r="N94" s="84" t="b">
        <v>0</v>
      </c>
      <c r="O94" s="84" t="b">
        <v>0</v>
      </c>
      <c r="P94" s="84" t="b">
        <v>0</v>
      </c>
      <c r="Q94" s="84" t="b">
        <v>0</v>
      </c>
      <c r="R94" s="84" t="b">
        <v>0</v>
      </c>
      <c r="S94" s="85" t="b">
        <v>0</v>
      </c>
      <c r="T94" s="85" t="b">
        <v>0</v>
      </c>
      <c r="U94" s="85" t="b">
        <v>0</v>
      </c>
      <c r="V94" s="84" t="b">
        <v>0</v>
      </c>
      <c r="W94" s="82" t="b">
        <v>0</v>
      </c>
      <c r="X94" s="82" t="b">
        <v>0</v>
      </c>
      <c r="Y94" s="82" t="b">
        <v>0</v>
      </c>
      <c r="Z94" s="82" t="b">
        <v>0</v>
      </c>
      <c r="AA94" s="82" t="b">
        <v>0</v>
      </c>
      <c r="AB94" s="82" t="b">
        <v>0</v>
      </c>
      <c r="AC94" s="82" t="b">
        <v>0</v>
      </c>
      <c r="AD94" s="82" t="b">
        <v>1</v>
      </c>
      <c r="AE94" s="82" t="b">
        <v>0</v>
      </c>
      <c r="AF94" s="82" t="b">
        <v>1</v>
      </c>
      <c r="AG94" s="82" t="b">
        <v>1</v>
      </c>
      <c r="AH94" s="82" t="b">
        <v>1</v>
      </c>
      <c r="AI94" s="82" t="b">
        <v>1</v>
      </c>
      <c r="AJ94" s="82" t="b">
        <v>1</v>
      </c>
      <c r="AK94" s="82" t="b">
        <v>1</v>
      </c>
      <c r="AL94" s="82" t="b">
        <v>1</v>
      </c>
      <c r="AM94" s="82" t="b">
        <v>1</v>
      </c>
      <c r="AN94" s="82" t="b">
        <v>1</v>
      </c>
      <c r="AO94" s="82" t="b">
        <v>1</v>
      </c>
      <c r="AP94" s="82" t="b">
        <v>1</v>
      </c>
      <c r="AQ94" s="82" t="b">
        <v>1</v>
      </c>
      <c r="AR94" s="82" t="b">
        <v>1</v>
      </c>
      <c r="AS94" s="82" t="b">
        <v>1</v>
      </c>
      <c r="AT94" s="82" t="b">
        <v>1</v>
      </c>
      <c r="AU94" s="82" t="b">
        <v>1</v>
      </c>
      <c r="AV94" s="82" t="b">
        <v>1</v>
      </c>
      <c r="AW94" s="82" t="b">
        <v>1</v>
      </c>
      <c r="AX94" s="82" t="b">
        <v>1</v>
      </c>
      <c r="AY94" s="82" t="b">
        <v>1</v>
      </c>
      <c r="AZ94" s="82" t="b">
        <v>1</v>
      </c>
      <c r="BA94" s="82" t="b">
        <v>1</v>
      </c>
      <c r="BB94" s="82" t="b">
        <v>1</v>
      </c>
      <c r="BC94" s="82" t="b">
        <v>1</v>
      </c>
      <c r="BD94" s="82" t="b">
        <v>1</v>
      </c>
      <c r="BE94" s="82" t="b">
        <v>1</v>
      </c>
      <c r="BF94" s="82" t="b">
        <v>1</v>
      </c>
      <c r="BG94" s="82" t="b">
        <v>1</v>
      </c>
      <c r="BH94" s="82" t="b">
        <v>1</v>
      </c>
      <c r="BI94" s="82" t="b">
        <v>1</v>
      </c>
      <c r="BJ94" s="82" t="b">
        <v>1</v>
      </c>
    </row>
    <row r="95" outlineLevel="1">
      <c r="A95" s="82">
        <v>15.0</v>
      </c>
      <c r="B95" s="82" t="s">
        <v>98</v>
      </c>
      <c r="C95" s="82" t="s">
        <v>99</v>
      </c>
      <c r="D95" s="83">
        <v>0.0318</v>
      </c>
      <c r="E95" s="83">
        <v>0.0265</v>
      </c>
      <c r="F95" s="83">
        <v>0.0221</v>
      </c>
      <c r="G95" s="83">
        <v>0.0221</v>
      </c>
      <c r="H95" s="83">
        <v>0.0206</v>
      </c>
      <c r="I95" s="83">
        <v>0.0197</v>
      </c>
      <c r="J95" s="83">
        <v>0.0185</v>
      </c>
      <c r="K95" s="84" t="b">
        <v>0</v>
      </c>
      <c r="L95" s="84" t="b">
        <v>0</v>
      </c>
      <c r="M95" s="84" t="b">
        <v>0</v>
      </c>
      <c r="N95" s="84" t="b">
        <v>0</v>
      </c>
      <c r="O95" s="84" t="b">
        <v>0</v>
      </c>
      <c r="P95" s="84" t="b">
        <v>0</v>
      </c>
      <c r="Q95" s="84" t="b">
        <v>0</v>
      </c>
      <c r="R95" s="84" t="b">
        <v>0</v>
      </c>
      <c r="S95" s="85" t="b">
        <v>0</v>
      </c>
      <c r="T95" s="85" t="b">
        <v>0</v>
      </c>
      <c r="U95" s="85" t="b">
        <v>0</v>
      </c>
      <c r="V95" s="84" t="b">
        <v>0</v>
      </c>
      <c r="W95" s="84" t="b">
        <v>0</v>
      </c>
      <c r="X95" s="84" t="b">
        <v>0</v>
      </c>
      <c r="Y95" s="84" t="b">
        <v>0</v>
      </c>
      <c r="Z95" s="84" t="b">
        <v>0</v>
      </c>
      <c r="AA95" s="82" t="b">
        <v>0</v>
      </c>
      <c r="AB95" s="82" t="b">
        <v>0</v>
      </c>
      <c r="AC95" s="82" t="b">
        <v>0</v>
      </c>
      <c r="AD95" s="82" t="b">
        <v>1</v>
      </c>
      <c r="AE95" s="82" t="b">
        <v>1</v>
      </c>
      <c r="AF95" s="82" t="b">
        <v>1</v>
      </c>
      <c r="AG95" s="82" t="b">
        <v>0</v>
      </c>
      <c r="AH95" s="82" t="b">
        <v>0</v>
      </c>
      <c r="AI95" s="82" t="b">
        <v>0</v>
      </c>
      <c r="AJ95" s="82" t="b">
        <v>0</v>
      </c>
      <c r="AK95" s="82" t="b">
        <v>0</v>
      </c>
      <c r="AL95" s="82" t="b">
        <v>0</v>
      </c>
      <c r="AM95" s="82" t="b">
        <v>0</v>
      </c>
      <c r="AN95" s="82" t="b">
        <v>1</v>
      </c>
      <c r="AO95" s="82" t="b">
        <v>1</v>
      </c>
      <c r="AP95" s="82" t="b">
        <v>1</v>
      </c>
      <c r="AQ95" s="82" t="b">
        <v>1</v>
      </c>
      <c r="AR95" s="82" t="b">
        <v>1</v>
      </c>
      <c r="AS95" s="82" t="b">
        <v>1</v>
      </c>
      <c r="AT95" s="82" t="b">
        <v>1</v>
      </c>
      <c r="AU95" s="82" t="b">
        <v>1</v>
      </c>
      <c r="AV95" s="82" t="b">
        <v>1</v>
      </c>
      <c r="AW95" s="82" t="b">
        <v>1</v>
      </c>
      <c r="AX95" s="82" t="b">
        <v>1</v>
      </c>
      <c r="AY95" s="82" t="b">
        <v>1</v>
      </c>
      <c r="AZ95" s="82" t="b">
        <v>1</v>
      </c>
      <c r="BA95" s="82" t="b">
        <v>1</v>
      </c>
      <c r="BB95" s="82" t="b">
        <v>1</v>
      </c>
      <c r="BC95" s="82" t="b">
        <v>1</v>
      </c>
      <c r="BD95" s="82" t="b">
        <v>1</v>
      </c>
      <c r="BE95" s="82" t="b">
        <v>1</v>
      </c>
      <c r="BF95" s="82" t="b">
        <v>1</v>
      </c>
      <c r="BG95" s="82" t="b">
        <v>1</v>
      </c>
      <c r="BH95" s="82" t="b">
        <v>1</v>
      </c>
      <c r="BI95" s="82" t="b">
        <v>1</v>
      </c>
      <c r="BJ95" s="82" t="b">
        <v>1</v>
      </c>
    </row>
    <row r="96" outlineLevel="1">
      <c r="A96" s="82">
        <v>16.0</v>
      </c>
      <c r="B96" s="82" t="s">
        <v>106</v>
      </c>
      <c r="C96" s="82" t="s">
        <v>106</v>
      </c>
      <c r="D96" s="83">
        <v>0.03</v>
      </c>
      <c r="E96" s="83">
        <v>0.03</v>
      </c>
      <c r="F96" s="83">
        <v>0.0223</v>
      </c>
      <c r="G96" s="83">
        <v>0.0223</v>
      </c>
      <c r="H96" s="83">
        <v>0.0198</v>
      </c>
      <c r="I96" s="83">
        <v>0.0197</v>
      </c>
      <c r="J96" s="83">
        <v>0.0185</v>
      </c>
      <c r="K96" s="84" t="b">
        <v>0</v>
      </c>
      <c r="L96" s="84" t="b">
        <v>0</v>
      </c>
      <c r="M96" s="84" t="b">
        <v>0</v>
      </c>
      <c r="N96" s="84" t="b">
        <v>0</v>
      </c>
      <c r="O96" s="84" t="b">
        <v>0</v>
      </c>
      <c r="P96" s="84" t="b">
        <v>0</v>
      </c>
      <c r="Q96" s="84" t="b">
        <v>0</v>
      </c>
      <c r="R96" s="84" t="b">
        <v>0</v>
      </c>
      <c r="S96" s="85" t="b">
        <v>0</v>
      </c>
      <c r="T96" s="85" t="b">
        <v>0</v>
      </c>
      <c r="U96" s="85" t="b">
        <v>0</v>
      </c>
      <c r="V96" s="84" t="b">
        <v>0</v>
      </c>
      <c r="W96" s="84" t="b">
        <v>0</v>
      </c>
      <c r="X96" s="84" t="b">
        <v>0</v>
      </c>
      <c r="Y96" s="84" t="b">
        <v>0</v>
      </c>
      <c r="Z96" s="84" t="b">
        <v>0</v>
      </c>
      <c r="AA96" s="82" t="b">
        <v>0</v>
      </c>
      <c r="AB96" s="82" t="b">
        <v>1</v>
      </c>
      <c r="AC96" s="82" t="b">
        <v>0</v>
      </c>
      <c r="AD96" s="82" t="b">
        <v>0</v>
      </c>
      <c r="AE96" s="82" t="b">
        <v>0</v>
      </c>
      <c r="AF96" s="82" t="b">
        <v>0</v>
      </c>
      <c r="AG96" s="82" t="b">
        <v>1</v>
      </c>
      <c r="AH96" s="82" t="b">
        <v>1</v>
      </c>
      <c r="AI96" s="82" t="b">
        <v>1</v>
      </c>
      <c r="AJ96" s="82" t="b">
        <v>1</v>
      </c>
      <c r="AK96" s="82" t="b">
        <v>1</v>
      </c>
      <c r="AL96" s="82" t="b">
        <v>1</v>
      </c>
      <c r="AM96" s="82" t="b">
        <v>1</v>
      </c>
      <c r="AN96" s="82" t="b">
        <v>1</v>
      </c>
      <c r="AO96" s="82" t="b">
        <v>1</v>
      </c>
      <c r="AP96" s="82" t="b">
        <v>1</v>
      </c>
      <c r="AQ96" s="82" t="b">
        <v>1</v>
      </c>
      <c r="AR96" s="82" t="b">
        <v>1</v>
      </c>
      <c r="AS96" s="82" t="b">
        <v>1</v>
      </c>
      <c r="AT96" s="82" t="b">
        <v>1</v>
      </c>
      <c r="AU96" s="82" t="b">
        <v>1</v>
      </c>
      <c r="AV96" s="82" t="b">
        <v>1</v>
      </c>
      <c r="AW96" s="82" t="b">
        <v>1</v>
      </c>
      <c r="AX96" s="82" t="b">
        <v>1</v>
      </c>
      <c r="AY96" s="82" t="b">
        <v>1</v>
      </c>
      <c r="AZ96" s="82" t="b">
        <v>1</v>
      </c>
      <c r="BA96" s="82" t="b">
        <v>1</v>
      </c>
      <c r="BB96" s="82" t="b">
        <v>1</v>
      </c>
      <c r="BC96" s="82" t="b">
        <v>1</v>
      </c>
      <c r="BD96" s="82" t="b">
        <v>1</v>
      </c>
      <c r="BE96" s="82" t="b">
        <v>1</v>
      </c>
      <c r="BF96" s="82" t="b">
        <v>1</v>
      </c>
      <c r="BG96" s="82" t="b">
        <v>1</v>
      </c>
      <c r="BH96" s="82" t="b">
        <v>1</v>
      </c>
      <c r="BI96" s="82" t="b">
        <v>1</v>
      </c>
      <c r="BJ96" s="82" t="b">
        <v>1</v>
      </c>
    </row>
    <row r="97" outlineLevel="1">
      <c r="A97" s="82">
        <v>17.0</v>
      </c>
      <c r="B97" s="82" t="s">
        <v>105</v>
      </c>
      <c r="C97" s="82" t="s">
        <v>101</v>
      </c>
      <c r="D97" s="83">
        <v>0.018</v>
      </c>
      <c r="E97" s="83">
        <v>0.018</v>
      </c>
      <c r="F97" s="83">
        <v>0.018</v>
      </c>
      <c r="G97" s="83">
        <v>0.018</v>
      </c>
      <c r="H97" s="83">
        <v>0.0214</v>
      </c>
      <c r="I97" s="83">
        <v>0.0224</v>
      </c>
      <c r="J97" s="83">
        <v>0.0231</v>
      </c>
      <c r="K97" s="84" t="b">
        <v>0</v>
      </c>
      <c r="L97" s="84" t="b">
        <v>0</v>
      </c>
      <c r="M97" s="84" t="b">
        <v>0</v>
      </c>
      <c r="N97" s="84" t="b">
        <v>0</v>
      </c>
      <c r="O97" s="84" t="b">
        <v>0</v>
      </c>
      <c r="P97" s="84" t="b">
        <v>0</v>
      </c>
      <c r="Q97" s="84" t="b">
        <v>0</v>
      </c>
      <c r="R97" s="84" t="b">
        <v>0</v>
      </c>
      <c r="S97" s="85" t="b">
        <v>0</v>
      </c>
      <c r="T97" s="85" t="b">
        <v>0</v>
      </c>
      <c r="U97" s="85" t="b">
        <v>0</v>
      </c>
      <c r="V97" s="84" t="b">
        <v>0</v>
      </c>
      <c r="W97" s="84" t="b">
        <v>0</v>
      </c>
      <c r="X97" s="84" t="b">
        <v>0</v>
      </c>
      <c r="Y97" s="84" t="b">
        <v>0</v>
      </c>
      <c r="Z97" s="84" t="b">
        <v>0</v>
      </c>
      <c r="AA97" s="84" t="b">
        <v>0</v>
      </c>
      <c r="AB97" s="82" t="b">
        <v>0</v>
      </c>
      <c r="AC97" s="82" t="b">
        <v>0</v>
      </c>
      <c r="AD97" s="82" t="b">
        <v>0</v>
      </c>
      <c r="AE97" s="82" t="b">
        <v>0</v>
      </c>
      <c r="AF97" s="82" t="b">
        <v>1</v>
      </c>
      <c r="AG97" s="82" t="b">
        <v>1</v>
      </c>
      <c r="AH97" s="82" t="b">
        <v>1</v>
      </c>
      <c r="AI97" s="82" t="b">
        <v>1</v>
      </c>
      <c r="AJ97" s="82" t="b">
        <v>1</v>
      </c>
      <c r="AK97" s="82" t="b">
        <v>1</v>
      </c>
      <c r="AL97" s="82" t="b">
        <v>1</v>
      </c>
      <c r="AM97" s="82" t="b">
        <v>1</v>
      </c>
      <c r="AN97" s="82" t="b">
        <v>1</v>
      </c>
      <c r="AO97" s="82" t="b">
        <v>1</v>
      </c>
      <c r="AP97" s="82" t="b">
        <v>1</v>
      </c>
      <c r="AQ97" s="82" t="b">
        <v>1</v>
      </c>
      <c r="AR97" s="82" t="b">
        <v>1</v>
      </c>
      <c r="AS97" s="82" t="b">
        <v>1</v>
      </c>
      <c r="AT97" s="82" t="b">
        <v>1</v>
      </c>
      <c r="AU97" s="82" t="b">
        <v>1</v>
      </c>
      <c r="AV97" s="82" t="b">
        <v>1</v>
      </c>
      <c r="AW97" s="82" t="b">
        <v>1</v>
      </c>
      <c r="AX97" s="82" t="b">
        <v>1</v>
      </c>
      <c r="AY97" s="82" t="b">
        <v>1</v>
      </c>
      <c r="AZ97" s="82" t="b">
        <v>1</v>
      </c>
      <c r="BA97" s="82" t="b">
        <v>1</v>
      </c>
      <c r="BB97" s="82" t="b">
        <v>1</v>
      </c>
      <c r="BC97" s="82" t="b">
        <v>1</v>
      </c>
      <c r="BD97" s="82" t="b">
        <v>1</v>
      </c>
      <c r="BE97" s="82" t="b">
        <v>1</v>
      </c>
      <c r="BF97" s="82" t="b">
        <v>1</v>
      </c>
      <c r="BG97" s="82" t="b">
        <v>1</v>
      </c>
      <c r="BH97" s="82" t="b">
        <v>1</v>
      </c>
      <c r="BI97" s="82" t="b">
        <v>1</v>
      </c>
      <c r="BJ97" s="82" t="b">
        <v>1</v>
      </c>
    </row>
    <row r="98" outlineLevel="1">
      <c r="A98" s="82">
        <v>18.0</v>
      </c>
      <c r="B98" s="82" t="s">
        <v>105</v>
      </c>
      <c r="C98" s="82" t="s">
        <v>97</v>
      </c>
      <c r="D98" s="83">
        <v>0.0233</v>
      </c>
      <c r="E98" s="83">
        <v>0.0233</v>
      </c>
      <c r="F98" s="83">
        <v>0.0233</v>
      </c>
      <c r="G98" s="83">
        <v>0.0233</v>
      </c>
      <c r="H98" s="83">
        <v>0.0196</v>
      </c>
      <c r="I98" s="83">
        <v>0.02</v>
      </c>
      <c r="J98" s="83">
        <v>0.0185</v>
      </c>
      <c r="K98" s="84" t="b">
        <v>0</v>
      </c>
      <c r="L98" s="84" t="b">
        <v>0</v>
      </c>
      <c r="M98" s="84" t="b">
        <v>0</v>
      </c>
      <c r="N98" s="84" t="b">
        <v>0</v>
      </c>
      <c r="O98" s="84" t="b">
        <v>0</v>
      </c>
      <c r="P98" s="84" t="b">
        <v>0</v>
      </c>
      <c r="Q98" s="84" t="b">
        <v>0</v>
      </c>
      <c r="R98" s="84" t="b">
        <v>0</v>
      </c>
      <c r="S98" s="85" t="b">
        <v>0</v>
      </c>
      <c r="T98" s="85" t="b">
        <v>0</v>
      </c>
      <c r="U98" s="85" t="b">
        <v>0</v>
      </c>
      <c r="V98" s="84" t="b">
        <v>0</v>
      </c>
      <c r="W98" s="84" t="b">
        <v>0</v>
      </c>
      <c r="X98" s="84" t="b">
        <v>0</v>
      </c>
      <c r="Y98" s="84" t="b">
        <v>0</v>
      </c>
      <c r="Z98" s="84" t="b">
        <v>0</v>
      </c>
      <c r="AA98" s="84" t="b">
        <v>0</v>
      </c>
      <c r="AB98" s="82" t="b">
        <v>0</v>
      </c>
      <c r="AC98" s="82" t="b">
        <v>0</v>
      </c>
      <c r="AD98" s="82" t="b">
        <v>0</v>
      </c>
      <c r="AE98" s="82" t="b">
        <v>0</v>
      </c>
      <c r="AF98" s="82" t="b">
        <v>0</v>
      </c>
      <c r="AG98" s="82" t="b">
        <v>1</v>
      </c>
      <c r="AH98" s="82" t="b">
        <v>1</v>
      </c>
      <c r="AI98" s="82" t="b">
        <v>1</v>
      </c>
      <c r="AJ98" s="82" t="b">
        <v>1</v>
      </c>
      <c r="AK98" s="82" t="b">
        <v>1</v>
      </c>
      <c r="AL98" s="82" t="b">
        <v>1</v>
      </c>
      <c r="AM98" s="82" t="b">
        <v>1</v>
      </c>
      <c r="AN98" s="82" t="b">
        <v>1</v>
      </c>
      <c r="AO98" s="82" t="b">
        <v>1</v>
      </c>
      <c r="AP98" s="82" t="b">
        <v>1</v>
      </c>
      <c r="AQ98" s="82" t="b">
        <v>1</v>
      </c>
      <c r="AR98" s="82" t="b">
        <v>1</v>
      </c>
      <c r="AS98" s="82" t="b">
        <v>1</v>
      </c>
      <c r="AT98" s="82" t="b">
        <v>1</v>
      </c>
      <c r="AU98" s="82" t="b">
        <v>1</v>
      </c>
      <c r="AV98" s="82" t="b">
        <v>1</v>
      </c>
      <c r="AW98" s="82" t="b">
        <v>1</v>
      </c>
      <c r="AX98" s="82" t="b">
        <v>1</v>
      </c>
      <c r="AY98" s="82" t="b">
        <v>1</v>
      </c>
      <c r="AZ98" s="82" t="b">
        <v>1</v>
      </c>
      <c r="BA98" s="82" t="b">
        <v>1</v>
      </c>
      <c r="BB98" s="82" t="b">
        <v>1</v>
      </c>
      <c r="BC98" s="82" t="b">
        <v>1</v>
      </c>
      <c r="BD98" s="82" t="b">
        <v>1</v>
      </c>
      <c r="BE98" s="82" t="b">
        <v>1</v>
      </c>
      <c r="BF98" s="82" t="b">
        <v>1</v>
      </c>
      <c r="BG98" s="82" t="b">
        <v>1</v>
      </c>
      <c r="BH98" s="82" t="b">
        <v>1</v>
      </c>
      <c r="BI98" s="82" t="b">
        <v>1</v>
      </c>
      <c r="BJ98" s="82" t="b">
        <v>1</v>
      </c>
    </row>
    <row r="99" outlineLevel="1">
      <c r="A99" s="86">
        <v>19.0</v>
      </c>
      <c r="B99" s="86" t="s">
        <v>102</v>
      </c>
      <c r="C99" s="86" t="s">
        <v>107</v>
      </c>
      <c r="D99" s="87"/>
      <c r="E99" s="88">
        <v>0.0478</v>
      </c>
      <c r="F99" s="88">
        <v>0.042</v>
      </c>
      <c r="G99" s="88">
        <v>0.0277</v>
      </c>
      <c r="H99" s="89">
        <v>0.0338</v>
      </c>
      <c r="I99" s="89">
        <v>0.0346</v>
      </c>
      <c r="J99" s="89">
        <v>0.0324</v>
      </c>
      <c r="K99" s="82"/>
      <c r="L99" s="82"/>
      <c r="M99" s="82"/>
      <c r="N99" s="84"/>
      <c r="O99" s="84"/>
      <c r="P99" s="84"/>
      <c r="Q99" s="84"/>
      <c r="R99" s="84"/>
      <c r="S99" s="90"/>
      <c r="T99" s="90"/>
      <c r="U99" s="90"/>
      <c r="V99" s="91"/>
      <c r="W99" s="90"/>
      <c r="X99" s="90"/>
      <c r="Y99" s="90"/>
      <c r="Z99" s="90"/>
      <c r="AA99" s="90"/>
      <c r="AB99" s="90"/>
      <c r="AC99" s="86" t="b">
        <v>0</v>
      </c>
      <c r="AD99" s="86" t="b">
        <v>0</v>
      </c>
      <c r="AE99" s="86" t="b">
        <v>1</v>
      </c>
      <c r="AF99" s="86" t="b">
        <v>1</v>
      </c>
      <c r="AG99" s="86" t="b">
        <v>0</v>
      </c>
      <c r="AH99" s="86" t="b">
        <v>1</v>
      </c>
      <c r="AI99" s="86" t="b">
        <v>1</v>
      </c>
      <c r="AJ99" s="86" t="b">
        <v>1</v>
      </c>
      <c r="AK99" s="86" t="b">
        <v>1</v>
      </c>
      <c r="AL99" s="86" t="b">
        <v>1</v>
      </c>
      <c r="AM99" s="86" t="b">
        <v>1</v>
      </c>
      <c r="AN99" s="86" t="b">
        <v>1</v>
      </c>
      <c r="AO99" s="86" t="b">
        <v>1</v>
      </c>
      <c r="AP99" s="86" t="b">
        <v>1</v>
      </c>
      <c r="AQ99" s="86" t="b">
        <v>1</v>
      </c>
      <c r="AR99" s="86" t="b">
        <v>1</v>
      </c>
      <c r="AS99" s="86" t="b">
        <v>1</v>
      </c>
      <c r="AT99" s="86" t="b">
        <v>1</v>
      </c>
      <c r="AU99" s="86" t="b">
        <v>1</v>
      </c>
      <c r="AV99" s="86" t="b">
        <v>1</v>
      </c>
      <c r="AW99" s="86" t="b">
        <v>1</v>
      </c>
      <c r="AX99" s="86" t="b">
        <v>1</v>
      </c>
      <c r="AY99" s="86" t="b">
        <v>1</v>
      </c>
      <c r="AZ99" s="86" t="b">
        <v>1</v>
      </c>
      <c r="BA99" s="86" t="b">
        <v>1</v>
      </c>
      <c r="BB99" s="86" t="b">
        <v>1</v>
      </c>
      <c r="BC99" s="86" t="b">
        <v>1</v>
      </c>
      <c r="BD99" s="86" t="b">
        <v>1</v>
      </c>
      <c r="BE99" s="86" t="b">
        <v>1</v>
      </c>
      <c r="BF99" s="86" t="b">
        <v>1</v>
      </c>
      <c r="BG99" s="86" t="b">
        <v>1</v>
      </c>
      <c r="BH99" s="86" t="b">
        <v>1</v>
      </c>
      <c r="BI99" s="86" t="b">
        <v>1</v>
      </c>
      <c r="BJ99" s="86" t="b">
        <v>1</v>
      </c>
    </row>
    <row r="100" outlineLevel="1">
      <c r="A100" s="86">
        <v>20.0</v>
      </c>
      <c r="B100" s="86" t="s">
        <v>98</v>
      </c>
      <c r="C100" s="86" t="s">
        <v>107</v>
      </c>
      <c r="D100" s="87"/>
      <c r="E100" s="88">
        <v>0.0215</v>
      </c>
      <c r="F100" s="88">
        <v>0.0179</v>
      </c>
      <c r="G100" s="88">
        <v>0.0179</v>
      </c>
      <c r="H100" s="89">
        <v>0.0208</v>
      </c>
      <c r="I100" s="89">
        <v>0.0224</v>
      </c>
      <c r="J100" s="89">
        <v>0.0231</v>
      </c>
      <c r="K100" s="84"/>
      <c r="L100" s="84"/>
      <c r="M100" s="84"/>
      <c r="N100" s="84"/>
      <c r="O100" s="84"/>
      <c r="P100" s="84"/>
      <c r="Q100" s="84"/>
      <c r="R100" s="84"/>
      <c r="S100" s="90"/>
      <c r="T100" s="90"/>
      <c r="U100" s="90"/>
      <c r="V100" s="91"/>
      <c r="W100" s="90"/>
      <c r="X100" s="90"/>
      <c r="Y100" s="90"/>
      <c r="Z100" s="90"/>
      <c r="AA100" s="90"/>
      <c r="AB100" s="90"/>
      <c r="AC100" s="86" t="b">
        <v>0</v>
      </c>
      <c r="AD100" s="86" t="b">
        <v>0</v>
      </c>
      <c r="AE100" s="86" t="b">
        <v>1</v>
      </c>
      <c r="AF100" s="86" t="b">
        <v>0</v>
      </c>
      <c r="AG100" s="86" t="b">
        <v>0</v>
      </c>
      <c r="AH100" s="86" t="b">
        <v>1</v>
      </c>
      <c r="AI100" s="86" t="b">
        <v>1</v>
      </c>
      <c r="AJ100" s="86" t="b">
        <v>1</v>
      </c>
      <c r="AK100" s="86" t="b">
        <v>1</v>
      </c>
      <c r="AL100" s="86" t="b">
        <v>1</v>
      </c>
      <c r="AM100" s="86" t="b">
        <v>1</v>
      </c>
      <c r="AN100" s="86" t="b">
        <v>1</v>
      </c>
      <c r="AO100" s="86" t="b">
        <v>1</v>
      </c>
      <c r="AP100" s="86" t="b">
        <v>1</v>
      </c>
      <c r="AQ100" s="86" t="b">
        <v>1</v>
      </c>
      <c r="AR100" s="86" t="b">
        <v>1</v>
      </c>
      <c r="AS100" s="86" t="b">
        <v>1</v>
      </c>
      <c r="AT100" s="86" t="b">
        <v>1</v>
      </c>
      <c r="AU100" s="86" t="b">
        <v>1</v>
      </c>
      <c r="AV100" s="86" t="b">
        <v>1</v>
      </c>
      <c r="AW100" s="86" t="b">
        <v>1</v>
      </c>
      <c r="AX100" s="86" t="b">
        <v>1</v>
      </c>
      <c r="AY100" s="86" t="b">
        <v>1</v>
      </c>
      <c r="AZ100" s="86" t="b">
        <v>1</v>
      </c>
      <c r="BA100" s="86" t="b">
        <v>1</v>
      </c>
      <c r="BB100" s="86" t="b">
        <v>1</v>
      </c>
      <c r="BC100" s="86" t="b">
        <v>1</v>
      </c>
      <c r="BD100" s="86" t="b">
        <v>1</v>
      </c>
      <c r="BE100" s="86" t="b">
        <v>1</v>
      </c>
      <c r="BF100" s="86" t="b">
        <v>1</v>
      </c>
      <c r="BG100" s="86" t="b">
        <v>1</v>
      </c>
      <c r="BH100" s="86" t="b">
        <v>1</v>
      </c>
      <c r="BI100" s="86" t="b">
        <v>1</v>
      </c>
      <c r="BJ100" s="86" t="b">
        <v>1</v>
      </c>
    </row>
    <row r="101" outlineLevel="1">
      <c r="A101" s="86">
        <v>21.0</v>
      </c>
      <c r="B101" s="86" t="s">
        <v>95</v>
      </c>
      <c r="C101" s="86" t="s">
        <v>107</v>
      </c>
      <c r="D101" s="87"/>
      <c r="E101" s="88">
        <v>0.03</v>
      </c>
      <c r="F101" s="88">
        <v>0.03</v>
      </c>
      <c r="G101" s="88">
        <v>0.03</v>
      </c>
      <c r="H101" s="89">
        <v>0.0301</v>
      </c>
      <c r="I101" s="89">
        <v>0.0334</v>
      </c>
      <c r="J101" s="89">
        <v>0.037</v>
      </c>
      <c r="K101" s="84"/>
      <c r="L101" s="84"/>
      <c r="M101" s="82"/>
      <c r="N101" s="84"/>
      <c r="O101" s="84"/>
      <c r="P101" s="84"/>
      <c r="Q101" s="84"/>
      <c r="R101" s="84"/>
      <c r="S101" s="90"/>
      <c r="T101" s="90"/>
      <c r="U101" s="90"/>
      <c r="V101" s="91"/>
      <c r="W101" s="90"/>
      <c r="X101" s="90"/>
      <c r="Y101" s="90"/>
      <c r="Z101" s="90"/>
      <c r="AA101" s="90"/>
      <c r="AB101" s="90"/>
      <c r="AC101" s="86" t="b">
        <v>0</v>
      </c>
      <c r="AD101" s="86" t="b">
        <v>0</v>
      </c>
      <c r="AE101" s="86" t="b">
        <v>0</v>
      </c>
      <c r="AF101" s="86" t="b">
        <v>1</v>
      </c>
      <c r="AG101" s="86" t="b">
        <v>1</v>
      </c>
      <c r="AH101" s="86" t="b">
        <v>1</v>
      </c>
      <c r="AI101" s="86" t="b">
        <v>1</v>
      </c>
      <c r="AJ101" s="86" t="b">
        <v>1</v>
      </c>
      <c r="AK101" s="86" t="b">
        <v>1</v>
      </c>
      <c r="AL101" s="86" t="b">
        <v>1</v>
      </c>
      <c r="AM101" s="86" t="b">
        <v>1</v>
      </c>
      <c r="AN101" s="86" t="b">
        <v>1</v>
      </c>
      <c r="AO101" s="86" t="b">
        <v>1</v>
      </c>
      <c r="AP101" s="86" t="b">
        <v>1</v>
      </c>
      <c r="AQ101" s="86" t="b">
        <v>1</v>
      </c>
      <c r="AR101" s="86" t="b">
        <v>1</v>
      </c>
      <c r="AS101" s="86" t="b">
        <v>1</v>
      </c>
      <c r="AT101" s="86" t="b">
        <v>1</v>
      </c>
      <c r="AU101" s="86" t="b">
        <v>1</v>
      </c>
      <c r="AV101" s="86" t="b">
        <v>1</v>
      </c>
      <c r="AW101" s="86" t="b">
        <v>1</v>
      </c>
      <c r="AX101" s="86" t="b">
        <v>1</v>
      </c>
      <c r="AY101" s="86" t="b">
        <v>1</v>
      </c>
      <c r="AZ101" s="86" t="b">
        <v>1</v>
      </c>
      <c r="BA101" s="86" t="b">
        <v>1</v>
      </c>
      <c r="BB101" s="86" t="b">
        <v>1</v>
      </c>
      <c r="BC101" s="86" t="b">
        <v>1</v>
      </c>
      <c r="BD101" s="86" t="b">
        <v>1</v>
      </c>
      <c r="BE101" s="86" t="b">
        <v>1</v>
      </c>
      <c r="BF101" s="86" t="b">
        <v>1</v>
      </c>
      <c r="BG101" s="86" t="b">
        <v>1</v>
      </c>
      <c r="BH101" s="86" t="b">
        <v>1</v>
      </c>
      <c r="BI101" s="86" t="b">
        <v>1</v>
      </c>
      <c r="BJ101" s="86" t="b">
        <v>1</v>
      </c>
    </row>
    <row r="102" outlineLevel="1">
      <c r="A102" s="86">
        <v>22.0</v>
      </c>
      <c r="B102" s="86" t="s">
        <v>98</v>
      </c>
      <c r="C102" s="86" t="s">
        <v>97</v>
      </c>
      <c r="D102" s="87"/>
      <c r="E102" s="87"/>
      <c r="F102" s="88">
        <v>0.0215</v>
      </c>
      <c r="G102" s="88">
        <v>0.0215</v>
      </c>
      <c r="H102" s="89">
        <v>0.0231</v>
      </c>
      <c r="I102" s="89">
        <v>0.0255</v>
      </c>
      <c r="J102" s="89">
        <v>0.0278</v>
      </c>
      <c r="K102" s="84"/>
      <c r="L102" s="84"/>
      <c r="M102" s="82"/>
      <c r="N102" s="84"/>
      <c r="O102" s="84"/>
      <c r="P102" s="84"/>
      <c r="Q102" s="84"/>
      <c r="R102" s="84"/>
      <c r="S102" s="90"/>
      <c r="T102" s="90"/>
      <c r="U102" s="90"/>
      <c r="V102" s="90"/>
      <c r="W102" s="90"/>
      <c r="X102" s="90"/>
      <c r="Y102" s="90"/>
      <c r="Z102" s="90"/>
      <c r="AA102" s="90"/>
      <c r="AB102" s="90"/>
      <c r="AC102" s="90"/>
      <c r="AD102" s="90"/>
      <c r="AE102" s="90"/>
      <c r="AF102" s="90"/>
      <c r="AG102" s="86" t="b">
        <v>1</v>
      </c>
      <c r="AH102" s="86" t="b">
        <v>1</v>
      </c>
      <c r="AI102" s="86" t="b">
        <v>1</v>
      </c>
      <c r="AJ102" s="86" t="b">
        <v>1</v>
      </c>
      <c r="AK102" s="86" t="b">
        <v>1</v>
      </c>
      <c r="AL102" s="86" t="b">
        <v>1</v>
      </c>
      <c r="AM102" s="86" t="b">
        <v>1</v>
      </c>
      <c r="AN102" s="86" t="b">
        <v>1</v>
      </c>
      <c r="AO102" s="86" t="b">
        <v>1</v>
      </c>
      <c r="AP102" s="86" t="b">
        <v>1</v>
      </c>
      <c r="AQ102" s="86" t="b">
        <v>1</v>
      </c>
      <c r="AR102" s="86" t="b">
        <v>1</v>
      </c>
      <c r="AS102" s="86" t="b">
        <v>1</v>
      </c>
      <c r="AT102" s="86" t="b">
        <v>1</v>
      </c>
      <c r="AU102" s="86" t="b">
        <v>1</v>
      </c>
      <c r="AV102" s="86" t="b">
        <v>1</v>
      </c>
      <c r="AW102" s="86" t="b">
        <v>1</v>
      </c>
      <c r="AX102" s="86" t="b">
        <v>1</v>
      </c>
      <c r="AY102" s="86" t="b">
        <v>1</v>
      </c>
      <c r="AZ102" s="86" t="b">
        <v>1</v>
      </c>
      <c r="BA102" s="86" t="b">
        <v>1</v>
      </c>
      <c r="BB102" s="86" t="b">
        <v>1</v>
      </c>
      <c r="BC102" s="86" t="b">
        <v>1</v>
      </c>
      <c r="BD102" s="86" t="b">
        <v>1</v>
      </c>
      <c r="BE102" s="86" t="b">
        <v>1</v>
      </c>
      <c r="BF102" s="86" t="b">
        <v>1</v>
      </c>
      <c r="BG102" s="86" t="b">
        <v>1</v>
      </c>
      <c r="BH102" s="86" t="b">
        <v>1</v>
      </c>
      <c r="BI102" s="86" t="b">
        <v>1</v>
      </c>
      <c r="BJ102" s="86" t="b">
        <v>1</v>
      </c>
    </row>
    <row r="103" outlineLevel="1">
      <c r="A103" s="86">
        <v>23.0</v>
      </c>
      <c r="B103" s="86" t="s">
        <v>106</v>
      </c>
      <c r="C103" s="86" t="s">
        <v>108</v>
      </c>
      <c r="D103" s="87"/>
      <c r="E103" s="87"/>
      <c r="F103" s="88">
        <v>0.03</v>
      </c>
      <c r="G103" s="88">
        <v>0.03</v>
      </c>
      <c r="H103" s="89">
        <v>0.0278</v>
      </c>
      <c r="I103" s="89">
        <v>0.0288</v>
      </c>
      <c r="J103" s="89">
        <v>0.0278</v>
      </c>
      <c r="K103" s="84"/>
      <c r="L103" s="84"/>
      <c r="M103" s="82"/>
      <c r="N103" s="84"/>
      <c r="O103" s="84"/>
      <c r="P103" s="84"/>
      <c r="Q103" s="84"/>
      <c r="R103" s="84"/>
      <c r="S103" s="90"/>
      <c r="T103" s="90"/>
      <c r="U103" s="90"/>
      <c r="V103" s="90"/>
      <c r="W103" s="90"/>
      <c r="X103" s="90"/>
      <c r="Y103" s="90"/>
      <c r="Z103" s="90"/>
      <c r="AA103" s="90"/>
      <c r="AB103" s="90"/>
      <c r="AC103" s="90"/>
      <c r="AD103" s="90"/>
      <c r="AE103" s="90"/>
      <c r="AF103" s="90"/>
      <c r="AG103" s="86" t="b">
        <v>1</v>
      </c>
      <c r="AH103" s="86" t="b">
        <v>1</v>
      </c>
      <c r="AI103" s="86" t="b">
        <v>1</v>
      </c>
      <c r="AJ103" s="86" t="b">
        <v>1</v>
      </c>
      <c r="AK103" s="86" t="b">
        <v>1</v>
      </c>
      <c r="AL103" s="86" t="b">
        <v>1</v>
      </c>
      <c r="AM103" s="86" t="b">
        <v>1</v>
      </c>
      <c r="AN103" s="86" t="b">
        <v>1</v>
      </c>
      <c r="AO103" s="86" t="b">
        <v>1</v>
      </c>
      <c r="AP103" s="86" t="b">
        <v>1</v>
      </c>
      <c r="AQ103" s="86" t="b">
        <v>1</v>
      </c>
      <c r="AR103" s="86" t="b">
        <v>1</v>
      </c>
      <c r="AS103" s="86" t="b">
        <v>1</v>
      </c>
      <c r="AT103" s="86" t="b">
        <v>1</v>
      </c>
      <c r="AU103" s="86" t="b">
        <v>1</v>
      </c>
      <c r="AV103" s="86" t="b">
        <v>1</v>
      </c>
      <c r="AW103" s="86" t="b">
        <v>1</v>
      </c>
      <c r="AX103" s="86" t="b">
        <v>1</v>
      </c>
      <c r="AY103" s="86" t="b">
        <v>1</v>
      </c>
      <c r="AZ103" s="86" t="b">
        <v>1</v>
      </c>
      <c r="BA103" s="86" t="b">
        <v>1</v>
      </c>
      <c r="BB103" s="86" t="b">
        <v>1</v>
      </c>
      <c r="BC103" s="86" t="b">
        <v>1</v>
      </c>
      <c r="BD103" s="86" t="b">
        <v>1</v>
      </c>
      <c r="BE103" s="86" t="b">
        <v>1</v>
      </c>
      <c r="BF103" s="86" t="b">
        <v>1</v>
      </c>
      <c r="BG103" s="86" t="b">
        <v>1</v>
      </c>
      <c r="BH103" s="86" t="b">
        <v>1</v>
      </c>
      <c r="BI103" s="86" t="b">
        <v>1</v>
      </c>
      <c r="BJ103" s="86" t="b">
        <v>1</v>
      </c>
    </row>
    <row r="104" outlineLevel="1">
      <c r="A104" s="86">
        <v>24.0</v>
      </c>
      <c r="B104" s="86" t="s">
        <v>109</v>
      </c>
      <c r="C104" s="86" t="s">
        <v>108</v>
      </c>
      <c r="D104" s="87"/>
      <c r="E104" s="87"/>
      <c r="F104" s="88">
        <v>0.0336</v>
      </c>
      <c r="G104" s="88">
        <v>0.0258</v>
      </c>
      <c r="H104" s="89">
        <v>0.0329</v>
      </c>
      <c r="I104" s="89">
        <v>0.034</v>
      </c>
      <c r="J104" s="89">
        <v>0.0324</v>
      </c>
      <c r="K104" s="84"/>
      <c r="L104" s="84"/>
      <c r="M104" s="82"/>
      <c r="N104" s="84"/>
      <c r="O104" s="84"/>
      <c r="P104" s="84"/>
      <c r="Q104" s="84"/>
      <c r="R104" s="84"/>
      <c r="S104" s="90"/>
      <c r="T104" s="90"/>
      <c r="U104" s="90"/>
      <c r="V104" s="90"/>
      <c r="W104" s="90"/>
      <c r="X104" s="90"/>
      <c r="Y104" s="90"/>
      <c r="Z104" s="90"/>
      <c r="AA104" s="90"/>
      <c r="AB104" s="90"/>
      <c r="AC104" s="90"/>
      <c r="AD104" s="90"/>
      <c r="AE104" s="90"/>
      <c r="AF104" s="90"/>
      <c r="AG104" s="86" t="b">
        <v>1</v>
      </c>
      <c r="AH104" s="86" t="b">
        <v>1</v>
      </c>
      <c r="AI104" s="86" t="b">
        <v>1</v>
      </c>
      <c r="AJ104" s="86" t="b">
        <v>1</v>
      </c>
      <c r="AK104" s="86" t="b">
        <v>1</v>
      </c>
      <c r="AL104" s="86" t="b">
        <v>1</v>
      </c>
      <c r="AM104" s="86" t="b">
        <v>1</v>
      </c>
      <c r="AN104" s="86" t="b">
        <v>1</v>
      </c>
      <c r="AO104" s="86" t="b">
        <v>1</v>
      </c>
      <c r="AP104" s="86" t="b">
        <v>1</v>
      </c>
      <c r="AQ104" s="86" t="b">
        <v>1</v>
      </c>
      <c r="AR104" s="86" t="b">
        <v>1</v>
      </c>
      <c r="AS104" s="86" t="b">
        <v>1</v>
      </c>
      <c r="AT104" s="86" t="b">
        <v>1</v>
      </c>
      <c r="AU104" s="86" t="b">
        <v>1</v>
      </c>
      <c r="AV104" s="86" t="b">
        <v>1</v>
      </c>
      <c r="AW104" s="86" t="b">
        <v>1</v>
      </c>
      <c r="AX104" s="86" t="b">
        <v>1</v>
      </c>
      <c r="AY104" s="86" t="b">
        <v>1</v>
      </c>
      <c r="AZ104" s="86" t="b">
        <v>1</v>
      </c>
      <c r="BA104" s="86" t="b">
        <v>1</v>
      </c>
      <c r="BB104" s="86" t="b">
        <v>1</v>
      </c>
      <c r="BC104" s="86" t="b">
        <v>1</v>
      </c>
      <c r="BD104" s="86" t="b">
        <v>1</v>
      </c>
      <c r="BE104" s="86" t="b">
        <v>1</v>
      </c>
      <c r="BF104" s="86" t="b">
        <v>1</v>
      </c>
      <c r="BG104" s="86" t="b">
        <v>1</v>
      </c>
      <c r="BH104" s="86" t="b">
        <v>1</v>
      </c>
      <c r="BI104" s="86" t="b">
        <v>1</v>
      </c>
      <c r="BJ104" s="86" t="b">
        <v>1</v>
      </c>
    </row>
    <row r="105" outlineLevel="1">
      <c r="A105" s="86">
        <v>25.0</v>
      </c>
      <c r="B105" s="86" t="s">
        <v>102</v>
      </c>
      <c r="C105" s="86" t="s">
        <v>108</v>
      </c>
      <c r="D105" s="87"/>
      <c r="E105" s="87"/>
      <c r="F105" s="87"/>
      <c r="G105" s="88">
        <v>0.03</v>
      </c>
      <c r="H105" s="89">
        <v>0.0319</v>
      </c>
      <c r="I105" s="89">
        <v>0.0325</v>
      </c>
      <c r="J105" s="89">
        <v>0.0324</v>
      </c>
      <c r="K105" s="84"/>
      <c r="L105" s="84"/>
      <c r="M105" s="82"/>
      <c r="N105" s="84"/>
      <c r="O105" s="84"/>
      <c r="P105" s="84"/>
      <c r="Q105" s="84"/>
      <c r="R105" s="84"/>
      <c r="S105" s="90"/>
      <c r="T105" s="90"/>
      <c r="U105" s="90"/>
      <c r="V105" s="90"/>
      <c r="W105" s="90"/>
      <c r="X105" s="90"/>
      <c r="Y105" s="90"/>
      <c r="Z105" s="90"/>
      <c r="AA105" s="90"/>
      <c r="AB105" s="90"/>
      <c r="AC105" s="90"/>
      <c r="AD105" s="90"/>
      <c r="AE105" s="90"/>
      <c r="AF105" s="90"/>
      <c r="AG105" s="90"/>
      <c r="AH105" s="90"/>
      <c r="AI105" s="90"/>
      <c r="AJ105" s="90"/>
      <c r="AK105" s="86" t="b">
        <v>1</v>
      </c>
      <c r="AL105" s="86" t="b">
        <v>1</v>
      </c>
      <c r="AM105" s="86" t="b">
        <v>1</v>
      </c>
      <c r="AN105" s="86" t="b">
        <v>1</v>
      </c>
      <c r="AO105" s="86" t="b">
        <v>1</v>
      </c>
      <c r="AP105" s="86" t="b">
        <v>1</v>
      </c>
      <c r="AQ105" s="86" t="b">
        <v>1</v>
      </c>
      <c r="AR105" s="86" t="b">
        <v>1</v>
      </c>
      <c r="AS105" s="86" t="b">
        <v>1</v>
      </c>
      <c r="AT105" s="86" t="b">
        <v>1</v>
      </c>
      <c r="AU105" s="86" t="b">
        <v>1</v>
      </c>
      <c r="AV105" s="86" t="b">
        <v>1</v>
      </c>
      <c r="AW105" s="86" t="b">
        <v>1</v>
      </c>
      <c r="AX105" s="86" t="b">
        <v>1</v>
      </c>
      <c r="AY105" s="86" t="b">
        <v>1</v>
      </c>
      <c r="AZ105" s="86" t="b">
        <v>1</v>
      </c>
      <c r="BA105" s="86" t="b">
        <v>1</v>
      </c>
      <c r="BB105" s="86" t="b">
        <v>1</v>
      </c>
      <c r="BC105" s="86" t="b">
        <v>1</v>
      </c>
      <c r="BD105" s="86" t="b">
        <v>1</v>
      </c>
      <c r="BE105" s="86" t="b">
        <v>1</v>
      </c>
      <c r="BF105" s="86" t="b">
        <v>1</v>
      </c>
      <c r="BG105" s="86" t="b">
        <v>1</v>
      </c>
      <c r="BH105" s="86" t="b">
        <v>1</v>
      </c>
      <c r="BI105" s="86" t="b">
        <v>1</v>
      </c>
      <c r="BJ105" s="86" t="b">
        <v>1</v>
      </c>
    </row>
    <row r="106" outlineLevel="1">
      <c r="A106" s="86">
        <v>26.0</v>
      </c>
      <c r="B106" s="86" t="s">
        <v>102</v>
      </c>
      <c r="C106" s="86" t="s">
        <v>108</v>
      </c>
      <c r="D106" s="87"/>
      <c r="E106" s="87"/>
      <c r="F106" s="87"/>
      <c r="G106" s="88">
        <v>0.03</v>
      </c>
      <c r="H106" s="89">
        <v>0.0319</v>
      </c>
      <c r="I106" s="89">
        <v>0.0325</v>
      </c>
      <c r="J106" s="89">
        <v>0.0324</v>
      </c>
      <c r="K106" s="84"/>
      <c r="L106" s="84"/>
      <c r="M106" s="82"/>
      <c r="N106" s="84"/>
      <c r="O106" s="84"/>
      <c r="P106" s="84"/>
      <c r="Q106" s="84"/>
      <c r="R106" s="84"/>
      <c r="S106" s="90"/>
      <c r="T106" s="90"/>
      <c r="U106" s="90"/>
      <c r="V106" s="90"/>
      <c r="W106" s="90"/>
      <c r="X106" s="90"/>
      <c r="Y106" s="90"/>
      <c r="Z106" s="90"/>
      <c r="AA106" s="90"/>
      <c r="AB106" s="90"/>
      <c r="AC106" s="90"/>
      <c r="AD106" s="90"/>
      <c r="AE106" s="90"/>
      <c r="AF106" s="90"/>
      <c r="AG106" s="90"/>
      <c r="AH106" s="90"/>
      <c r="AI106" s="90"/>
      <c r="AJ106" s="90"/>
      <c r="AK106" s="86" t="b">
        <v>1</v>
      </c>
      <c r="AL106" s="86" t="b">
        <v>1</v>
      </c>
      <c r="AM106" s="86" t="b">
        <v>1</v>
      </c>
      <c r="AN106" s="86" t="b">
        <v>1</v>
      </c>
      <c r="AO106" s="86" t="b">
        <v>1</v>
      </c>
      <c r="AP106" s="86" t="b">
        <v>1</v>
      </c>
      <c r="AQ106" s="86" t="b">
        <v>1</v>
      </c>
      <c r="AR106" s="86" t="b">
        <v>1</v>
      </c>
      <c r="AS106" s="86" t="b">
        <v>1</v>
      </c>
      <c r="AT106" s="86" t="b">
        <v>1</v>
      </c>
      <c r="AU106" s="86" t="b">
        <v>1</v>
      </c>
      <c r="AV106" s="86" t="b">
        <v>1</v>
      </c>
      <c r="AW106" s="86" t="b">
        <v>1</v>
      </c>
      <c r="AX106" s="86" t="b">
        <v>1</v>
      </c>
      <c r="AY106" s="86" t="b">
        <v>1</v>
      </c>
      <c r="AZ106" s="86" t="b">
        <v>1</v>
      </c>
      <c r="BA106" s="86" t="b">
        <v>1</v>
      </c>
      <c r="BB106" s="86" t="b">
        <v>1</v>
      </c>
      <c r="BC106" s="86" t="b">
        <v>1</v>
      </c>
      <c r="BD106" s="86" t="b">
        <v>1</v>
      </c>
      <c r="BE106" s="86" t="b">
        <v>1</v>
      </c>
      <c r="BF106" s="86" t="b">
        <v>1</v>
      </c>
      <c r="BG106" s="86" t="b">
        <v>1</v>
      </c>
      <c r="BH106" s="86" t="b">
        <v>1</v>
      </c>
      <c r="BI106" s="86" t="b">
        <v>1</v>
      </c>
      <c r="BJ106" s="86" t="b">
        <v>1</v>
      </c>
    </row>
    <row r="107" outlineLevel="1">
      <c r="A107" s="86">
        <v>27.0</v>
      </c>
      <c r="B107" s="86" t="s">
        <v>103</v>
      </c>
      <c r="C107" s="86" t="s">
        <v>97</v>
      </c>
      <c r="D107" s="87"/>
      <c r="E107" s="87"/>
      <c r="F107" s="87"/>
      <c r="G107" s="88">
        <v>0.0166</v>
      </c>
      <c r="H107" s="89">
        <v>0.0125</v>
      </c>
      <c r="I107" s="89">
        <v>0.0127</v>
      </c>
      <c r="J107" s="89">
        <v>0.0162</v>
      </c>
      <c r="K107" s="84"/>
      <c r="L107" s="84"/>
      <c r="M107" s="82"/>
      <c r="N107" s="84"/>
      <c r="O107" s="84"/>
      <c r="P107" s="84"/>
      <c r="Q107" s="84"/>
      <c r="R107" s="84"/>
      <c r="S107" s="90"/>
      <c r="T107" s="90"/>
      <c r="U107" s="90"/>
      <c r="V107" s="90"/>
      <c r="W107" s="90"/>
      <c r="X107" s="90"/>
      <c r="Y107" s="90"/>
      <c r="Z107" s="90"/>
      <c r="AA107" s="90"/>
      <c r="AB107" s="90"/>
      <c r="AC107" s="90"/>
      <c r="AD107" s="90"/>
      <c r="AE107" s="90"/>
      <c r="AF107" s="90"/>
      <c r="AG107" s="90"/>
      <c r="AH107" s="90"/>
      <c r="AI107" s="90"/>
      <c r="AJ107" s="90"/>
      <c r="AK107" s="86" t="b">
        <v>1</v>
      </c>
      <c r="AL107" s="86" t="b">
        <v>1</v>
      </c>
      <c r="AM107" s="86" t="b">
        <v>1</v>
      </c>
      <c r="AN107" s="86" t="b">
        <v>1</v>
      </c>
      <c r="AO107" s="86" t="b">
        <v>1</v>
      </c>
      <c r="AP107" s="86" t="b">
        <v>1</v>
      </c>
      <c r="AQ107" s="86" t="b">
        <v>1</v>
      </c>
      <c r="AR107" s="86" t="b">
        <v>1</v>
      </c>
      <c r="AS107" s="86" t="b">
        <v>1</v>
      </c>
      <c r="AT107" s="86" t="b">
        <v>1</v>
      </c>
      <c r="AU107" s="86" t="b">
        <v>1</v>
      </c>
      <c r="AV107" s="86" t="b">
        <v>1</v>
      </c>
      <c r="AW107" s="86" t="b">
        <v>1</v>
      </c>
      <c r="AX107" s="86" t="b">
        <v>1</v>
      </c>
      <c r="AY107" s="86" t="b">
        <v>1</v>
      </c>
      <c r="AZ107" s="86" t="b">
        <v>1</v>
      </c>
      <c r="BA107" s="86" t="b">
        <v>1</v>
      </c>
      <c r="BB107" s="86" t="b">
        <v>1</v>
      </c>
      <c r="BC107" s="86" t="b">
        <v>1</v>
      </c>
      <c r="BD107" s="86" t="b">
        <v>1</v>
      </c>
      <c r="BE107" s="86" t="b">
        <v>1</v>
      </c>
      <c r="BF107" s="86" t="b">
        <v>1</v>
      </c>
      <c r="BG107" s="86" t="b">
        <v>1</v>
      </c>
      <c r="BH107" s="86" t="b">
        <v>1</v>
      </c>
      <c r="BI107" s="86" t="b">
        <v>1</v>
      </c>
      <c r="BJ107" s="86" t="b">
        <v>1</v>
      </c>
    </row>
    <row r="108" outlineLevel="1">
      <c r="A108" s="86">
        <v>28.0</v>
      </c>
      <c r="B108" s="86" t="s">
        <v>109</v>
      </c>
      <c r="C108" s="86" t="s">
        <v>108</v>
      </c>
      <c r="D108" s="87"/>
      <c r="E108" s="87"/>
      <c r="F108" s="87"/>
      <c r="G108" s="87"/>
      <c r="H108" s="89">
        <v>0.0319</v>
      </c>
      <c r="I108" s="89">
        <v>0.0325</v>
      </c>
      <c r="J108" s="89">
        <v>0.0324</v>
      </c>
      <c r="K108" s="84"/>
      <c r="L108" s="84"/>
      <c r="M108" s="82"/>
      <c r="N108" s="84"/>
      <c r="O108" s="84"/>
      <c r="P108" s="84"/>
      <c r="Q108" s="84"/>
      <c r="R108" s="84"/>
      <c r="S108" s="90"/>
      <c r="T108" s="90"/>
      <c r="U108" s="90"/>
      <c r="V108" s="90"/>
      <c r="W108" s="90"/>
      <c r="X108" s="90"/>
      <c r="Y108" s="90"/>
      <c r="Z108" s="90"/>
      <c r="AA108" s="90"/>
      <c r="AB108" s="90"/>
      <c r="AC108" s="90"/>
      <c r="AD108" s="84"/>
      <c r="AE108" s="84"/>
      <c r="AF108" s="84"/>
      <c r="AG108" s="84"/>
      <c r="AH108" s="90"/>
      <c r="AI108" s="90"/>
      <c r="AJ108" s="90"/>
      <c r="AK108" s="90"/>
      <c r="AL108" s="90"/>
      <c r="AM108" s="90"/>
      <c r="AN108" s="90"/>
      <c r="AO108" s="86" t="b">
        <v>1</v>
      </c>
      <c r="AP108" s="86" t="b">
        <v>1</v>
      </c>
      <c r="AQ108" s="86" t="b">
        <v>1</v>
      </c>
      <c r="AR108" s="86" t="b">
        <v>1</v>
      </c>
      <c r="AS108" s="86" t="b">
        <v>1</v>
      </c>
      <c r="AT108" s="86" t="b">
        <v>1</v>
      </c>
      <c r="AU108" s="86" t="b">
        <v>1</v>
      </c>
      <c r="AV108" s="86" t="b">
        <v>1</v>
      </c>
      <c r="AW108" s="86" t="b">
        <v>1</v>
      </c>
      <c r="AX108" s="86" t="b">
        <v>1</v>
      </c>
      <c r="AY108" s="86" t="b">
        <v>1</v>
      </c>
      <c r="AZ108" s="86" t="b">
        <v>1</v>
      </c>
      <c r="BA108" s="86" t="b">
        <v>1</v>
      </c>
      <c r="BB108" s="86" t="b">
        <v>1</v>
      </c>
      <c r="BC108" s="86" t="b">
        <v>1</v>
      </c>
      <c r="BD108" s="86" t="b">
        <v>1</v>
      </c>
      <c r="BE108" s="86" t="b">
        <v>1</v>
      </c>
      <c r="BF108" s="86" t="b">
        <v>1</v>
      </c>
      <c r="BG108" s="86" t="b">
        <v>1</v>
      </c>
      <c r="BH108" s="86" t="b">
        <v>1</v>
      </c>
      <c r="BI108" s="86" t="b">
        <v>1</v>
      </c>
      <c r="BJ108" s="86" t="b">
        <v>1</v>
      </c>
    </row>
    <row r="109" outlineLevel="1">
      <c r="A109" s="86">
        <v>29.0</v>
      </c>
      <c r="B109" s="86" t="s">
        <v>110</v>
      </c>
      <c r="C109" s="86" t="s">
        <v>107</v>
      </c>
      <c r="D109" s="87"/>
      <c r="E109" s="87"/>
      <c r="F109" s="87"/>
      <c r="G109" s="87"/>
      <c r="H109" s="89">
        <v>0.0273</v>
      </c>
      <c r="I109" s="89">
        <v>0.0278</v>
      </c>
      <c r="J109" s="89">
        <v>0.0278</v>
      </c>
      <c r="K109" s="84"/>
      <c r="L109" s="84"/>
      <c r="M109" s="82"/>
      <c r="N109" s="84"/>
      <c r="O109" s="84"/>
      <c r="P109" s="84"/>
      <c r="Q109" s="84"/>
      <c r="R109" s="84"/>
      <c r="S109" s="90"/>
      <c r="T109" s="90"/>
      <c r="U109" s="90"/>
      <c r="V109" s="90"/>
      <c r="W109" s="90"/>
      <c r="X109" s="90"/>
      <c r="Y109" s="90"/>
      <c r="Z109" s="90"/>
      <c r="AA109" s="90"/>
      <c r="AB109" s="90"/>
      <c r="AC109" s="90"/>
      <c r="AD109" s="84"/>
      <c r="AE109" s="84"/>
      <c r="AF109" s="84"/>
      <c r="AG109" s="84"/>
      <c r="AH109" s="90"/>
      <c r="AI109" s="90"/>
      <c r="AJ109" s="90"/>
      <c r="AK109" s="90"/>
      <c r="AL109" s="90"/>
      <c r="AM109" s="90"/>
      <c r="AN109" s="90"/>
      <c r="AO109" s="86" t="b">
        <v>1</v>
      </c>
      <c r="AP109" s="86" t="b">
        <v>1</v>
      </c>
      <c r="AQ109" s="86" t="b">
        <v>1</v>
      </c>
      <c r="AR109" s="86" t="b">
        <v>1</v>
      </c>
      <c r="AS109" s="86" t="b">
        <v>1</v>
      </c>
      <c r="AT109" s="86" t="b">
        <v>1</v>
      </c>
      <c r="AU109" s="86" t="b">
        <v>1</v>
      </c>
      <c r="AV109" s="86" t="b">
        <v>1</v>
      </c>
      <c r="AW109" s="86" t="b">
        <v>1</v>
      </c>
      <c r="AX109" s="86" t="b">
        <v>1</v>
      </c>
      <c r="AY109" s="86" t="b">
        <v>1</v>
      </c>
      <c r="AZ109" s="86" t="b">
        <v>1</v>
      </c>
      <c r="BA109" s="86" t="b">
        <v>1</v>
      </c>
      <c r="BB109" s="86" t="b">
        <v>1</v>
      </c>
      <c r="BC109" s="86" t="b">
        <v>1</v>
      </c>
      <c r="BD109" s="86" t="b">
        <v>1</v>
      </c>
      <c r="BE109" s="86" t="b">
        <v>1</v>
      </c>
      <c r="BF109" s="86" t="b">
        <v>1</v>
      </c>
      <c r="BG109" s="86" t="b">
        <v>1</v>
      </c>
      <c r="BH109" s="86" t="b">
        <v>1</v>
      </c>
      <c r="BI109" s="86" t="b">
        <v>1</v>
      </c>
      <c r="BJ109" s="86" t="b">
        <v>1</v>
      </c>
    </row>
    <row r="110" outlineLevel="1">
      <c r="A110" s="86">
        <v>30.0</v>
      </c>
      <c r="B110" s="86" t="s">
        <v>110</v>
      </c>
      <c r="C110" s="86" t="s">
        <v>108</v>
      </c>
      <c r="D110" s="87"/>
      <c r="E110" s="87"/>
      <c r="F110" s="87"/>
      <c r="G110" s="87"/>
      <c r="H110" s="89">
        <v>0.0273</v>
      </c>
      <c r="I110" s="89">
        <v>0.0278</v>
      </c>
      <c r="J110" s="89">
        <v>0.0278</v>
      </c>
      <c r="K110" s="84"/>
      <c r="L110" s="84"/>
      <c r="M110" s="82"/>
      <c r="N110" s="84"/>
      <c r="O110" s="84"/>
      <c r="P110" s="84"/>
      <c r="Q110" s="84"/>
      <c r="R110" s="84"/>
      <c r="S110" s="90"/>
      <c r="T110" s="90"/>
      <c r="U110" s="90"/>
      <c r="V110" s="90"/>
      <c r="W110" s="90"/>
      <c r="X110" s="90"/>
      <c r="Y110" s="90"/>
      <c r="Z110" s="90"/>
      <c r="AA110" s="90"/>
      <c r="AB110" s="90"/>
      <c r="AC110" s="90"/>
      <c r="AD110" s="84"/>
      <c r="AE110" s="84"/>
      <c r="AF110" s="84"/>
      <c r="AG110" s="84"/>
      <c r="AH110" s="90"/>
      <c r="AI110" s="90"/>
      <c r="AJ110" s="90"/>
      <c r="AK110" s="90"/>
      <c r="AL110" s="90"/>
      <c r="AM110" s="90"/>
      <c r="AN110" s="90"/>
      <c r="AO110" s="86" t="b">
        <v>1</v>
      </c>
      <c r="AP110" s="86" t="b">
        <v>1</v>
      </c>
      <c r="AQ110" s="86" t="b">
        <v>1</v>
      </c>
      <c r="AR110" s="86" t="b">
        <v>1</v>
      </c>
      <c r="AS110" s="86" t="b">
        <v>1</v>
      </c>
      <c r="AT110" s="86" t="b">
        <v>1</v>
      </c>
      <c r="AU110" s="86" t="b">
        <v>1</v>
      </c>
      <c r="AV110" s="86" t="b">
        <v>1</v>
      </c>
      <c r="AW110" s="86" t="b">
        <v>1</v>
      </c>
      <c r="AX110" s="86" t="b">
        <v>1</v>
      </c>
      <c r="AY110" s="86" t="b">
        <v>1</v>
      </c>
      <c r="AZ110" s="86" t="b">
        <v>1</v>
      </c>
      <c r="BA110" s="86" t="b">
        <v>1</v>
      </c>
      <c r="BB110" s="86" t="b">
        <v>1</v>
      </c>
      <c r="BC110" s="86" t="b">
        <v>1</v>
      </c>
      <c r="BD110" s="86" t="b">
        <v>1</v>
      </c>
      <c r="BE110" s="86" t="b">
        <v>1</v>
      </c>
      <c r="BF110" s="86" t="b">
        <v>1</v>
      </c>
      <c r="BG110" s="86" t="b">
        <v>1</v>
      </c>
      <c r="BH110" s="86" t="b">
        <v>1</v>
      </c>
      <c r="BI110" s="86" t="b">
        <v>1</v>
      </c>
      <c r="BJ110" s="86" t="b">
        <v>1</v>
      </c>
    </row>
    <row r="111" outlineLevel="1">
      <c r="A111" s="86">
        <v>31.0</v>
      </c>
      <c r="B111" s="86" t="s">
        <v>98</v>
      </c>
      <c r="C111" s="86"/>
      <c r="D111" s="87"/>
      <c r="E111" s="87"/>
      <c r="F111" s="87"/>
      <c r="G111" s="87"/>
      <c r="H111" s="89"/>
      <c r="I111" s="89">
        <v>0.0249</v>
      </c>
      <c r="J111" s="89">
        <v>0.0231</v>
      </c>
      <c r="K111" s="84"/>
      <c r="L111" s="84"/>
      <c r="M111" s="82"/>
      <c r="N111" s="84"/>
      <c r="O111" s="84"/>
      <c r="P111" s="84"/>
      <c r="Q111" s="84"/>
      <c r="R111" s="84"/>
      <c r="S111" s="90"/>
      <c r="T111" s="90"/>
      <c r="U111" s="90"/>
      <c r="V111" s="90"/>
      <c r="W111" s="90"/>
      <c r="X111" s="90"/>
      <c r="Y111" s="90"/>
      <c r="Z111" s="90"/>
      <c r="AA111" s="90"/>
      <c r="AB111" s="90"/>
      <c r="AC111" s="90"/>
      <c r="AD111" s="84"/>
      <c r="AE111" s="84"/>
      <c r="AF111" s="84"/>
      <c r="AG111" s="84"/>
      <c r="AH111" s="90"/>
      <c r="AI111" s="82"/>
      <c r="AJ111" s="82"/>
      <c r="AK111" s="82"/>
      <c r="AL111" s="82"/>
      <c r="AM111" s="82"/>
      <c r="AN111" s="90"/>
      <c r="AO111" s="82"/>
      <c r="AP111" s="82"/>
      <c r="AQ111" s="82"/>
      <c r="AR111" s="82"/>
      <c r="AS111" s="86" t="b">
        <v>1</v>
      </c>
      <c r="AT111" s="86" t="b">
        <v>1</v>
      </c>
      <c r="AU111" s="86" t="b">
        <v>1</v>
      </c>
      <c r="AV111" s="86" t="b">
        <v>1</v>
      </c>
      <c r="AW111" s="86" t="b">
        <v>1</v>
      </c>
      <c r="AX111" s="86" t="b">
        <v>1</v>
      </c>
      <c r="AY111" s="86" t="b">
        <v>1</v>
      </c>
      <c r="AZ111" s="86" t="b">
        <v>1</v>
      </c>
      <c r="BA111" s="86" t="b">
        <v>1</v>
      </c>
      <c r="BB111" s="86" t="b">
        <v>1</v>
      </c>
      <c r="BC111" s="86" t="b">
        <v>1</v>
      </c>
      <c r="BD111" s="86" t="b">
        <v>1</v>
      </c>
      <c r="BE111" s="86" t="b">
        <v>1</v>
      </c>
      <c r="BF111" s="86" t="b">
        <v>1</v>
      </c>
      <c r="BG111" s="86" t="b">
        <v>1</v>
      </c>
      <c r="BH111" s="86" t="b">
        <v>1</v>
      </c>
      <c r="BI111" s="86" t="b">
        <v>1</v>
      </c>
      <c r="BJ111" s="86" t="b">
        <v>1</v>
      </c>
    </row>
    <row r="112" outlineLevel="1">
      <c r="A112" s="86">
        <v>32.0</v>
      </c>
      <c r="B112" s="86" t="s">
        <v>98</v>
      </c>
      <c r="C112" s="86"/>
      <c r="D112" s="87"/>
      <c r="E112" s="87"/>
      <c r="F112" s="87"/>
      <c r="G112" s="87"/>
      <c r="H112" s="89"/>
      <c r="I112" s="89">
        <v>0.0249</v>
      </c>
      <c r="J112" s="89">
        <v>0.0231</v>
      </c>
      <c r="K112" s="84"/>
      <c r="L112" s="84"/>
      <c r="M112" s="82"/>
      <c r="N112" s="84"/>
      <c r="O112" s="84"/>
      <c r="P112" s="84"/>
      <c r="Q112" s="84"/>
      <c r="R112" s="84"/>
      <c r="S112" s="90"/>
      <c r="T112" s="90"/>
      <c r="U112" s="90"/>
      <c r="V112" s="90"/>
      <c r="W112" s="90"/>
      <c r="X112" s="90"/>
      <c r="Y112" s="90"/>
      <c r="Z112" s="90"/>
      <c r="AA112" s="90"/>
      <c r="AB112" s="90"/>
      <c r="AC112" s="90"/>
      <c r="AD112" s="84"/>
      <c r="AE112" s="84"/>
      <c r="AF112" s="84"/>
      <c r="AG112" s="84"/>
      <c r="AH112" s="82"/>
      <c r="AI112" s="82"/>
      <c r="AJ112" s="82"/>
      <c r="AK112" s="82"/>
      <c r="AL112" s="82"/>
      <c r="AM112" s="82"/>
      <c r="AN112" s="82"/>
      <c r="AO112" s="82"/>
      <c r="AP112" s="82"/>
      <c r="AQ112" s="82"/>
      <c r="AR112" s="82"/>
      <c r="AS112" s="86" t="b">
        <v>1</v>
      </c>
      <c r="AT112" s="86" t="b">
        <v>1</v>
      </c>
      <c r="AU112" s="86" t="b">
        <v>1</v>
      </c>
      <c r="AV112" s="86" t="b">
        <v>1</v>
      </c>
      <c r="AW112" s="86" t="b">
        <v>1</v>
      </c>
      <c r="AX112" s="86" t="b">
        <v>1</v>
      </c>
      <c r="AY112" s="86" t="b">
        <v>1</v>
      </c>
      <c r="AZ112" s="86" t="b">
        <v>1</v>
      </c>
      <c r="BA112" s="86" t="b">
        <v>1</v>
      </c>
      <c r="BB112" s="86" t="b">
        <v>1</v>
      </c>
      <c r="BC112" s="86" t="b">
        <v>1</v>
      </c>
      <c r="BD112" s="86" t="b">
        <v>1</v>
      </c>
      <c r="BE112" s="86" t="b">
        <v>1</v>
      </c>
      <c r="BF112" s="86" t="b">
        <v>1</v>
      </c>
      <c r="BG112" s="86" t="b">
        <v>1</v>
      </c>
      <c r="BH112" s="86" t="b">
        <v>1</v>
      </c>
      <c r="BI112" s="86" t="b">
        <v>1</v>
      </c>
      <c r="BJ112" s="86" t="b">
        <v>1</v>
      </c>
    </row>
    <row r="113" outlineLevel="1">
      <c r="A113" s="86">
        <v>33.0</v>
      </c>
      <c r="B113" s="86" t="s">
        <v>103</v>
      </c>
      <c r="C113" s="86"/>
      <c r="D113" s="87"/>
      <c r="E113" s="87"/>
      <c r="F113" s="87"/>
      <c r="G113" s="87"/>
      <c r="H113" s="89"/>
      <c r="I113" s="89">
        <v>0.015</v>
      </c>
      <c r="J113" s="89">
        <v>0.0162</v>
      </c>
      <c r="K113" s="84"/>
      <c r="L113" s="84"/>
      <c r="M113" s="82"/>
      <c r="N113" s="84"/>
      <c r="O113" s="84"/>
      <c r="P113" s="84"/>
      <c r="Q113" s="84"/>
      <c r="R113" s="84"/>
      <c r="S113" s="90"/>
      <c r="T113" s="90"/>
      <c r="U113" s="90"/>
      <c r="V113" s="90"/>
      <c r="W113" s="90"/>
      <c r="X113" s="90"/>
      <c r="Y113" s="90"/>
      <c r="Z113" s="90"/>
      <c r="AA113" s="90"/>
      <c r="AB113" s="90"/>
      <c r="AC113" s="90"/>
      <c r="AD113" s="84"/>
      <c r="AE113" s="84"/>
      <c r="AF113" s="84"/>
      <c r="AG113" s="84"/>
      <c r="AH113" s="82"/>
      <c r="AI113" s="82"/>
      <c r="AJ113" s="82"/>
      <c r="AK113" s="82"/>
      <c r="AL113" s="82"/>
      <c r="AM113" s="82"/>
      <c r="AN113" s="82"/>
      <c r="AO113" s="82"/>
      <c r="AP113" s="82"/>
      <c r="AQ113" s="82"/>
      <c r="AR113" s="82"/>
      <c r="AS113" s="86" t="b">
        <v>1</v>
      </c>
      <c r="AT113" s="86" t="b">
        <v>1</v>
      </c>
      <c r="AU113" s="86" t="b">
        <v>1</v>
      </c>
      <c r="AV113" s="86" t="b">
        <v>1</v>
      </c>
      <c r="AW113" s="86" t="b">
        <v>1</v>
      </c>
      <c r="AX113" s="86" t="b">
        <v>1</v>
      </c>
      <c r="AY113" s="86" t="b">
        <v>1</v>
      </c>
      <c r="AZ113" s="86" t="b">
        <v>1</v>
      </c>
      <c r="BA113" s="86" t="b">
        <v>1</v>
      </c>
      <c r="BB113" s="86" t="b">
        <v>1</v>
      </c>
      <c r="BC113" s="86" t="b">
        <v>1</v>
      </c>
      <c r="BD113" s="86" t="b">
        <v>1</v>
      </c>
      <c r="BE113" s="86" t="b">
        <v>1</v>
      </c>
      <c r="BF113" s="86" t="b">
        <v>1</v>
      </c>
      <c r="BG113" s="86" t="b">
        <v>1</v>
      </c>
      <c r="BH113" s="86" t="b">
        <v>1</v>
      </c>
      <c r="BI113" s="86" t="b">
        <v>1</v>
      </c>
      <c r="BJ113" s="86" t="b">
        <v>1</v>
      </c>
    </row>
    <row r="114" outlineLevel="1">
      <c r="A114" s="86">
        <v>34.0</v>
      </c>
      <c r="B114" s="86" t="s">
        <v>103</v>
      </c>
      <c r="C114" s="86"/>
      <c r="D114" s="87"/>
      <c r="E114" s="87"/>
      <c r="F114" s="87"/>
      <c r="G114" s="87"/>
      <c r="H114" s="89"/>
      <c r="I114" s="89"/>
      <c r="J114" s="89">
        <v>0.0162</v>
      </c>
      <c r="K114" s="84"/>
      <c r="L114" s="84"/>
      <c r="M114" s="82"/>
      <c r="N114" s="84"/>
      <c r="O114" s="84"/>
      <c r="P114" s="84"/>
      <c r="Q114" s="84"/>
      <c r="R114" s="84"/>
      <c r="S114" s="90"/>
      <c r="T114" s="90"/>
      <c r="U114" s="90"/>
      <c r="V114" s="90"/>
      <c r="W114" s="90"/>
      <c r="X114" s="90"/>
      <c r="Y114" s="90"/>
      <c r="Z114" s="90"/>
      <c r="AA114" s="90"/>
      <c r="AB114" s="90"/>
      <c r="AC114" s="90"/>
      <c r="AD114" s="84"/>
      <c r="AE114" s="84"/>
      <c r="AF114" s="84"/>
      <c r="AG114" s="84"/>
      <c r="AH114" s="82"/>
      <c r="AI114" s="82"/>
      <c r="AJ114" s="82"/>
      <c r="AK114" s="82"/>
      <c r="AL114" s="82"/>
      <c r="AM114" s="82"/>
      <c r="AN114" s="82"/>
      <c r="AO114" s="82"/>
      <c r="AP114" s="82"/>
      <c r="AQ114" s="82"/>
      <c r="AR114" s="82"/>
      <c r="AS114" s="82"/>
      <c r="AT114" s="82"/>
      <c r="AU114" s="82"/>
      <c r="AV114" s="82"/>
      <c r="AW114" s="82"/>
      <c r="AX114" s="82"/>
      <c r="AY114" s="82"/>
      <c r="AZ114" s="82"/>
      <c r="BA114" s="82"/>
      <c r="BB114" s="82"/>
      <c r="BC114" s="82"/>
      <c r="BD114" s="82"/>
      <c r="BE114" s="82"/>
      <c r="BF114" s="82"/>
      <c r="BG114" s="86" t="b">
        <v>1</v>
      </c>
      <c r="BH114" s="86" t="b">
        <v>1</v>
      </c>
      <c r="BI114" s="86" t="b">
        <v>1</v>
      </c>
      <c r="BJ114" s="86" t="b">
        <v>1</v>
      </c>
    </row>
    <row r="115" outlineLevel="1">
      <c r="A115" s="86">
        <v>35.0</v>
      </c>
      <c r="B115" s="86" t="s">
        <v>103</v>
      </c>
      <c r="C115" s="86"/>
      <c r="D115" s="87"/>
      <c r="E115" s="87"/>
      <c r="F115" s="87"/>
      <c r="G115" s="87"/>
      <c r="H115" s="89"/>
      <c r="I115" s="89"/>
      <c r="J115" s="89">
        <v>0.0162</v>
      </c>
      <c r="K115" s="84"/>
      <c r="L115" s="84"/>
      <c r="M115" s="82"/>
      <c r="N115" s="84"/>
      <c r="O115" s="84"/>
      <c r="P115" s="84"/>
      <c r="Q115" s="84"/>
      <c r="R115" s="84"/>
      <c r="S115" s="90"/>
      <c r="T115" s="90"/>
      <c r="U115" s="90"/>
      <c r="V115" s="90"/>
      <c r="W115" s="90"/>
      <c r="X115" s="90"/>
      <c r="Y115" s="90"/>
      <c r="Z115" s="90"/>
      <c r="AA115" s="90"/>
      <c r="AB115" s="90"/>
      <c r="AC115" s="90"/>
      <c r="AD115" s="84"/>
      <c r="AE115" s="84"/>
      <c r="AF115" s="84"/>
      <c r="AG115" s="84"/>
      <c r="AH115" s="82"/>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6" t="b">
        <v>1</v>
      </c>
      <c r="BH115" s="86" t="b">
        <v>1</v>
      </c>
      <c r="BI115" s="86" t="b">
        <v>1</v>
      </c>
      <c r="BJ115" s="86" t="b">
        <v>1</v>
      </c>
    </row>
    <row r="116" outlineLevel="1">
      <c r="A116" s="86">
        <v>36.0</v>
      </c>
      <c r="B116" s="86" t="s">
        <v>111</v>
      </c>
      <c r="C116" s="86"/>
      <c r="D116" s="87"/>
      <c r="E116" s="87"/>
      <c r="F116" s="87"/>
      <c r="G116" s="87"/>
      <c r="H116" s="89"/>
      <c r="I116" s="89"/>
      <c r="J116" s="89">
        <v>0.0324</v>
      </c>
      <c r="K116" s="84"/>
      <c r="L116" s="84"/>
      <c r="M116" s="82"/>
      <c r="N116" s="84"/>
      <c r="O116" s="84"/>
      <c r="P116" s="84"/>
      <c r="Q116" s="84"/>
      <c r="R116" s="84"/>
      <c r="S116" s="90"/>
      <c r="T116" s="90"/>
      <c r="U116" s="90"/>
      <c r="V116" s="90"/>
      <c r="W116" s="90"/>
      <c r="X116" s="90"/>
      <c r="Y116" s="90"/>
      <c r="Z116" s="90"/>
      <c r="AA116" s="90"/>
      <c r="AB116" s="90"/>
      <c r="AC116" s="90"/>
      <c r="AD116" s="84"/>
      <c r="AE116" s="84"/>
      <c r="AF116" s="84"/>
      <c r="AG116" s="84"/>
      <c r="AH116" s="82"/>
      <c r="AI116" s="82"/>
      <c r="AJ116" s="82"/>
      <c r="AK116" s="82"/>
      <c r="AL116" s="82"/>
      <c r="AM116" s="82"/>
      <c r="AN116" s="82"/>
      <c r="AO116" s="82"/>
      <c r="AP116" s="82"/>
      <c r="AQ116" s="82"/>
      <c r="AR116" s="82"/>
      <c r="AS116" s="82"/>
      <c r="AT116" s="82"/>
      <c r="AU116" s="82"/>
      <c r="AV116" s="82"/>
      <c r="AW116" s="82"/>
      <c r="AX116" s="82"/>
      <c r="AY116" s="82"/>
      <c r="AZ116" s="82"/>
      <c r="BA116" s="82"/>
      <c r="BB116" s="82"/>
      <c r="BC116" s="82"/>
      <c r="BD116" s="82"/>
      <c r="BE116" s="82"/>
      <c r="BF116" s="82"/>
      <c r="BG116" s="86" t="b">
        <v>1</v>
      </c>
      <c r="BH116" s="86" t="b">
        <v>1</v>
      </c>
      <c r="BI116" s="86" t="b">
        <v>1</v>
      </c>
      <c r="BJ116" s="86" t="b">
        <v>1</v>
      </c>
    </row>
    <row r="117">
      <c r="A117" s="84"/>
      <c r="B117" s="84"/>
      <c r="C117" s="84"/>
      <c r="D117" s="92"/>
      <c r="E117" s="92"/>
      <c r="F117" s="92"/>
      <c r="G117" s="92"/>
      <c r="H117" s="92"/>
      <c r="I117" s="92"/>
      <c r="J117" s="92"/>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4"/>
      <c r="BG117" s="84"/>
      <c r="BH117" s="84"/>
      <c r="BI117" s="84"/>
      <c r="BJ117" s="84"/>
    </row>
    <row r="118">
      <c r="A118" s="84"/>
      <c r="B118" s="95" t="s">
        <v>115</v>
      </c>
      <c r="C118" s="95"/>
      <c r="D118" s="92"/>
      <c r="E118" s="92"/>
      <c r="F118" s="92"/>
      <c r="G118" s="92"/>
      <c r="H118" s="92"/>
      <c r="I118" s="92"/>
      <c r="J118" s="92"/>
      <c r="K118" s="84">
        <f t="shared" ref="K118:BJ118" si="3">countif(K81:K116,TRUE)</f>
        <v>0</v>
      </c>
      <c r="L118" s="84">
        <f t="shared" si="3"/>
        <v>0</v>
      </c>
      <c r="M118" s="84">
        <f t="shared" si="3"/>
        <v>0</v>
      </c>
      <c r="N118" s="84">
        <f t="shared" si="3"/>
        <v>0</v>
      </c>
      <c r="O118" s="84">
        <f t="shared" si="3"/>
        <v>0</v>
      </c>
      <c r="P118" s="84">
        <f t="shared" si="3"/>
        <v>0</v>
      </c>
      <c r="Q118" s="84">
        <f t="shared" si="3"/>
        <v>0</v>
      </c>
      <c r="R118" s="84">
        <f t="shared" si="3"/>
        <v>0</v>
      </c>
      <c r="S118" s="84">
        <f t="shared" si="3"/>
        <v>0</v>
      </c>
      <c r="T118" s="84">
        <f t="shared" si="3"/>
        <v>0</v>
      </c>
      <c r="U118" s="84">
        <f t="shared" si="3"/>
        <v>0</v>
      </c>
      <c r="V118" s="84">
        <f t="shared" si="3"/>
        <v>0</v>
      </c>
      <c r="W118" s="84">
        <f t="shared" si="3"/>
        <v>0</v>
      </c>
      <c r="X118" s="84">
        <f t="shared" si="3"/>
        <v>0</v>
      </c>
      <c r="Y118" s="84">
        <f t="shared" si="3"/>
        <v>0</v>
      </c>
      <c r="Z118" s="84">
        <f t="shared" si="3"/>
        <v>0</v>
      </c>
      <c r="AA118" s="84">
        <f t="shared" si="3"/>
        <v>0</v>
      </c>
      <c r="AB118" s="84">
        <f t="shared" si="3"/>
        <v>1</v>
      </c>
      <c r="AC118" s="84">
        <f t="shared" si="3"/>
        <v>3</v>
      </c>
      <c r="AD118" s="84">
        <f t="shared" si="3"/>
        <v>5</v>
      </c>
      <c r="AE118" s="84">
        <f t="shared" si="3"/>
        <v>8</v>
      </c>
      <c r="AF118" s="84">
        <f t="shared" si="3"/>
        <v>12</v>
      </c>
      <c r="AG118" s="84">
        <f t="shared" si="3"/>
        <v>17</v>
      </c>
      <c r="AH118" s="84">
        <f t="shared" si="3"/>
        <v>19</v>
      </c>
      <c r="AI118" s="84">
        <f t="shared" si="3"/>
        <v>20</v>
      </c>
      <c r="AJ118" s="84">
        <f t="shared" si="3"/>
        <v>21</v>
      </c>
      <c r="AK118" s="84">
        <f t="shared" si="3"/>
        <v>24</v>
      </c>
      <c r="AL118" s="84">
        <f t="shared" si="3"/>
        <v>24</v>
      </c>
      <c r="AM118" s="84">
        <f t="shared" si="3"/>
        <v>24</v>
      </c>
      <c r="AN118" s="84">
        <f t="shared" si="3"/>
        <v>25</v>
      </c>
      <c r="AO118" s="84">
        <f t="shared" si="3"/>
        <v>30</v>
      </c>
      <c r="AP118" s="84">
        <f t="shared" si="3"/>
        <v>30</v>
      </c>
      <c r="AQ118" s="84">
        <f t="shared" si="3"/>
        <v>30</v>
      </c>
      <c r="AR118" s="84">
        <f t="shared" si="3"/>
        <v>30</v>
      </c>
      <c r="AS118" s="84">
        <f t="shared" si="3"/>
        <v>33</v>
      </c>
      <c r="AT118" s="84">
        <f t="shared" si="3"/>
        <v>33</v>
      </c>
      <c r="AU118" s="84">
        <f t="shared" si="3"/>
        <v>33</v>
      </c>
      <c r="AV118" s="84">
        <f t="shared" si="3"/>
        <v>33</v>
      </c>
      <c r="AW118" s="84">
        <f t="shared" si="3"/>
        <v>33</v>
      </c>
      <c r="AX118" s="84">
        <f t="shared" si="3"/>
        <v>33</v>
      </c>
      <c r="AY118" s="84">
        <f t="shared" si="3"/>
        <v>33</v>
      </c>
      <c r="AZ118" s="84">
        <f t="shared" si="3"/>
        <v>33</v>
      </c>
      <c r="BA118" s="84">
        <f t="shared" si="3"/>
        <v>33</v>
      </c>
      <c r="BB118" s="84">
        <f t="shared" si="3"/>
        <v>33</v>
      </c>
      <c r="BC118" s="84">
        <f t="shared" si="3"/>
        <v>33</v>
      </c>
      <c r="BD118" s="84">
        <f t="shared" si="3"/>
        <v>33</v>
      </c>
      <c r="BE118" s="84">
        <f t="shared" si="3"/>
        <v>33</v>
      </c>
      <c r="BF118" s="84">
        <f t="shared" si="3"/>
        <v>33</v>
      </c>
      <c r="BG118" s="84">
        <f t="shared" si="3"/>
        <v>36</v>
      </c>
      <c r="BH118" s="84">
        <f t="shared" si="3"/>
        <v>36</v>
      </c>
      <c r="BI118" s="84">
        <f t="shared" si="3"/>
        <v>36</v>
      </c>
      <c r="BJ118" s="84">
        <f t="shared" si="3"/>
        <v>36</v>
      </c>
    </row>
    <row r="119">
      <c r="A119" s="84"/>
      <c r="B119" s="95" t="s">
        <v>116</v>
      </c>
      <c r="C119" s="95"/>
      <c r="D119" s="92"/>
      <c r="E119" s="92"/>
      <c r="F119" s="92"/>
      <c r="G119" s="92"/>
      <c r="H119" s="92"/>
      <c r="I119" s="92"/>
      <c r="J119" s="92"/>
      <c r="K119" s="82">
        <v>18.0</v>
      </c>
      <c r="L119" s="82">
        <v>18.0</v>
      </c>
      <c r="M119" s="82">
        <v>18.0</v>
      </c>
      <c r="N119" s="82">
        <v>18.0</v>
      </c>
      <c r="O119" s="82">
        <v>18.0</v>
      </c>
      <c r="P119" s="82">
        <v>18.0</v>
      </c>
      <c r="Q119" s="82">
        <v>18.0</v>
      </c>
      <c r="R119" s="82">
        <v>18.0</v>
      </c>
      <c r="S119" s="82">
        <v>18.0</v>
      </c>
      <c r="T119" s="82">
        <v>18.0</v>
      </c>
      <c r="U119" s="82">
        <v>18.0</v>
      </c>
      <c r="V119" s="82">
        <v>18.0</v>
      </c>
      <c r="W119" s="82">
        <v>18.0</v>
      </c>
      <c r="X119" s="82">
        <v>18.0</v>
      </c>
      <c r="Y119" s="82">
        <v>18.0</v>
      </c>
      <c r="Z119" s="82">
        <v>18.0</v>
      </c>
      <c r="AA119" s="82">
        <v>18.0</v>
      </c>
      <c r="AB119" s="82">
        <v>18.0</v>
      </c>
      <c r="AC119" s="82">
        <v>21.0</v>
      </c>
      <c r="AD119" s="82">
        <v>21.0</v>
      </c>
      <c r="AE119" s="82">
        <v>21.0</v>
      </c>
      <c r="AF119" s="82">
        <v>21.0</v>
      </c>
      <c r="AG119" s="82">
        <v>24.0</v>
      </c>
      <c r="AH119" s="82">
        <v>24.0</v>
      </c>
      <c r="AI119" s="82">
        <v>24.0</v>
      </c>
      <c r="AJ119" s="82">
        <v>24.0</v>
      </c>
      <c r="AK119" s="82">
        <v>27.0</v>
      </c>
      <c r="AL119" s="82">
        <v>27.0</v>
      </c>
      <c r="AM119" s="82">
        <v>27.0</v>
      </c>
      <c r="AN119" s="82">
        <v>27.0</v>
      </c>
      <c r="AO119" s="82">
        <v>30.0</v>
      </c>
      <c r="AP119" s="82">
        <v>30.0</v>
      </c>
      <c r="AQ119" s="82">
        <v>30.0</v>
      </c>
      <c r="AR119" s="82">
        <v>30.0</v>
      </c>
      <c r="AS119" s="82">
        <v>33.0</v>
      </c>
      <c r="AT119" s="82">
        <v>33.0</v>
      </c>
      <c r="AU119" s="82">
        <v>33.0</v>
      </c>
      <c r="AV119" s="82">
        <v>33.0</v>
      </c>
      <c r="AW119" s="82">
        <v>33.0</v>
      </c>
      <c r="AX119" s="82">
        <v>33.0</v>
      </c>
      <c r="AY119" s="82">
        <v>33.0</v>
      </c>
      <c r="AZ119" s="82">
        <v>33.0</v>
      </c>
      <c r="BA119" s="82">
        <v>33.0</v>
      </c>
      <c r="BB119" s="82">
        <v>33.0</v>
      </c>
      <c r="BC119" s="82">
        <v>33.0</v>
      </c>
      <c r="BD119" s="82">
        <v>33.0</v>
      </c>
      <c r="BE119" s="82">
        <v>33.0</v>
      </c>
      <c r="BF119" s="82">
        <v>33.0</v>
      </c>
      <c r="BG119" s="82">
        <v>36.0</v>
      </c>
      <c r="BH119" s="82">
        <v>36.0</v>
      </c>
      <c r="BI119" s="82">
        <v>36.0</v>
      </c>
      <c r="BJ119" s="82">
        <v>36.0</v>
      </c>
    </row>
    <row r="120">
      <c r="A120" s="84"/>
      <c r="B120" s="84"/>
      <c r="C120" s="84"/>
      <c r="D120" s="92"/>
      <c r="E120" s="92"/>
      <c r="F120" s="92"/>
      <c r="G120" s="92"/>
      <c r="H120" s="92"/>
      <c r="I120" s="92"/>
      <c r="J120" s="92"/>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84"/>
      <c r="AP120" s="84"/>
      <c r="AQ120" s="84"/>
      <c r="AR120" s="84"/>
      <c r="AS120" s="84"/>
      <c r="AT120" s="84"/>
      <c r="AU120" s="84"/>
      <c r="AV120" s="84"/>
      <c r="AW120" s="84"/>
      <c r="AX120" s="84"/>
      <c r="AY120" s="84"/>
      <c r="AZ120" s="84"/>
      <c r="BA120" s="84"/>
      <c r="BB120" s="84"/>
      <c r="BC120" s="84"/>
      <c r="BD120" s="84"/>
      <c r="BE120" s="84"/>
      <c r="BF120" s="84"/>
      <c r="BG120" s="84"/>
      <c r="BH120" s="84"/>
      <c r="BI120" s="84"/>
      <c r="BJ120" s="84"/>
    </row>
    <row r="121">
      <c r="A121" s="84"/>
      <c r="B121" s="84"/>
      <c r="C121" s="84"/>
      <c r="D121" s="92"/>
      <c r="E121" s="92"/>
      <c r="F121" s="92"/>
      <c r="G121" s="92"/>
      <c r="H121" s="92"/>
      <c r="I121" s="92"/>
      <c r="J121" s="92"/>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c r="AP121" s="84"/>
      <c r="AQ121" s="84"/>
      <c r="AR121" s="84"/>
      <c r="AS121" s="84"/>
      <c r="AT121" s="84"/>
      <c r="AU121" s="84"/>
      <c r="AV121" s="84"/>
      <c r="AW121" s="84"/>
      <c r="AX121" s="84"/>
      <c r="AY121" s="84"/>
      <c r="AZ121" s="84"/>
      <c r="BA121" s="84"/>
      <c r="BB121" s="84"/>
      <c r="BC121" s="84"/>
      <c r="BD121" s="84"/>
      <c r="BE121" s="84"/>
      <c r="BF121" s="84"/>
      <c r="BG121" s="84"/>
      <c r="BH121" s="84"/>
      <c r="BI121" s="84"/>
      <c r="BJ121" s="84"/>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pageSetUpPr fitToPage="1"/>
  </sheetPr>
  <sheetViews>
    <sheetView showGridLines="0" workbookViewId="0">
      <pane xSplit="4.0" topLeftCell="E1" activePane="topRight" state="frozen"/>
      <selection activeCell="F2" sqref="F2" pane="topRight"/>
    </sheetView>
  </sheetViews>
  <sheetFormatPr customHeight="1" defaultColWidth="12.63" defaultRowHeight="15.75"/>
  <cols>
    <col customWidth="1" min="1" max="1" width="8.75"/>
    <col customWidth="1" min="2" max="3" width="8.5"/>
    <col customWidth="1" min="4" max="4" width="33.0"/>
    <col customWidth="1" min="5" max="5" width="16.5"/>
    <col customWidth="1" min="6" max="6" width="14.13"/>
    <col customWidth="1" min="7" max="7" width="5.75"/>
    <col customWidth="1" min="8" max="8" width="7.75"/>
    <col customWidth="1" min="9" max="9" width="19.13"/>
    <col customWidth="1" hidden="1" min="10" max="10" width="11.5"/>
    <col customWidth="1" min="11" max="11" width="11.5"/>
    <col customWidth="1" min="12" max="12" width="19.13"/>
    <col customWidth="1" min="13" max="13" width="5.63"/>
    <col customWidth="1" hidden="1" min="14" max="14" width="11.5"/>
    <col customWidth="1" min="15" max="15" width="19.13"/>
    <col customWidth="1" min="16" max="16" width="5.63"/>
    <col customWidth="1" hidden="1" min="17" max="17" width="11.5"/>
    <col customWidth="1" min="18" max="18" width="19.13"/>
    <col customWidth="1" min="19" max="19" width="5.63"/>
  </cols>
  <sheetData>
    <row r="1">
      <c r="A1" s="96"/>
      <c r="B1" s="97"/>
      <c r="C1" s="97"/>
      <c r="D1" s="97"/>
      <c r="E1" s="98"/>
      <c r="F1" s="98"/>
      <c r="G1" s="96"/>
      <c r="H1" s="96"/>
      <c r="I1" s="96"/>
      <c r="J1" s="96"/>
      <c r="K1" s="96"/>
      <c r="L1" s="99" t="s">
        <v>113</v>
      </c>
      <c r="M1" s="4"/>
      <c r="N1" s="99"/>
      <c r="O1" s="99" t="s">
        <v>13</v>
      </c>
      <c r="P1" s="4"/>
      <c r="Q1" s="99"/>
      <c r="R1" s="99" t="s">
        <v>91</v>
      </c>
    </row>
    <row r="2">
      <c r="A2" s="100" t="s">
        <v>5</v>
      </c>
      <c r="B2" s="101" t="s">
        <v>117</v>
      </c>
      <c r="C2" s="101" t="s">
        <v>118</v>
      </c>
      <c r="D2" s="101" t="s">
        <v>119</v>
      </c>
      <c r="E2" s="102" t="s">
        <v>93</v>
      </c>
      <c r="F2" s="102" t="s">
        <v>94</v>
      </c>
      <c r="G2" s="100" t="s">
        <v>92</v>
      </c>
      <c r="H2" s="103" t="s">
        <v>120</v>
      </c>
      <c r="I2" s="100" t="s">
        <v>121</v>
      </c>
      <c r="J2" s="100" t="s">
        <v>122</v>
      </c>
      <c r="K2" s="100" t="s">
        <v>123</v>
      </c>
      <c r="L2" s="100" t="s">
        <v>124</v>
      </c>
      <c r="M2" s="100" t="s">
        <v>125</v>
      </c>
      <c r="N2" s="100" t="s">
        <v>126</v>
      </c>
      <c r="O2" s="100" t="s">
        <v>124</v>
      </c>
      <c r="P2" s="100" t="s">
        <v>13</v>
      </c>
      <c r="Q2" s="100" t="s">
        <v>127</v>
      </c>
      <c r="R2" s="100" t="s">
        <v>124</v>
      </c>
      <c r="S2" s="100" t="s">
        <v>91</v>
      </c>
    </row>
    <row r="3">
      <c r="A3" s="104" t="s">
        <v>34</v>
      </c>
      <c r="B3" s="105" t="s">
        <v>128</v>
      </c>
      <c r="C3" s="105" t="s">
        <v>129</v>
      </c>
      <c r="D3" s="106" t="s">
        <v>130</v>
      </c>
      <c r="E3" s="107" t="s">
        <v>100</v>
      </c>
      <c r="F3" s="107" t="str">
        <f>vlookup(G3,'Slot Selection'!A:C,3,false)</f>
        <v>P+</v>
      </c>
      <c r="G3" s="108">
        <v>4.0</v>
      </c>
      <c r="H3" s="109">
        <f>vlookup(G3,'Slot Selection'!A:D,4,false)</f>
        <v>0.0825</v>
      </c>
      <c r="I3" s="110">
        <v>4931.0</v>
      </c>
      <c r="J3" s="110"/>
      <c r="K3" s="110">
        <f>vlookup(A3,Overview!B:J,7,false)+vlookup(A3,Overview!B:J,8,false)</f>
        <v>25463</v>
      </c>
      <c r="L3" s="110">
        <f t="shared" ref="L3:L51" si="1">K3*H3*M3</f>
        <v>1890.62775</v>
      </c>
      <c r="M3" s="111">
        <v>0.9</v>
      </c>
      <c r="N3" s="110">
        <f>vlookup(A3,Overview!B:J,9,false)</f>
        <v>21910</v>
      </c>
      <c r="O3" s="110">
        <f t="shared" ref="O3:O51" si="2">N3*H3*P3</f>
        <v>1626.8175</v>
      </c>
      <c r="P3" s="111">
        <v>0.9</v>
      </c>
      <c r="Q3" s="110">
        <f>vlookup(A3,Overview!B:G,5,false)+vlookup(A3,Overview!B:G,6,false)</f>
        <v>47062</v>
      </c>
      <c r="R3" s="110">
        <f t="shared" ref="R3:R51" si="3">Q3*H3*S3</f>
        <v>0</v>
      </c>
      <c r="S3" s="111">
        <v>0.0</v>
      </c>
    </row>
    <row r="4">
      <c r="A4" s="104" t="s">
        <v>34</v>
      </c>
      <c r="B4" s="105" t="s">
        <v>131</v>
      </c>
      <c r="C4" s="105" t="s">
        <v>132</v>
      </c>
      <c r="D4" s="106" t="s">
        <v>133</v>
      </c>
      <c r="E4" s="112" t="str">
        <f>vlookup(G4,'Slot Selection'!A:B,2,false)</f>
        <v>Fish / Seafood</v>
      </c>
      <c r="F4" s="112" t="str">
        <f>vlookup(G4,'Slot Selection'!A:C,3,false)</f>
        <v>Keto</v>
      </c>
      <c r="G4" s="108">
        <v>6.0</v>
      </c>
      <c r="H4" s="109">
        <f>vlookup(G4,'Slot Selection'!A:D,4,false)</f>
        <v>0.0739</v>
      </c>
      <c r="I4" s="110">
        <v>3005.0</v>
      </c>
      <c r="J4" s="110"/>
      <c r="K4" s="110">
        <f>vlookup(A4,Overview!B:J,7,false)+vlookup(A4,Overview!B:J,8,false)</f>
        <v>25463</v>
      </c>
      <c r="L4" s="110">
        <f t="shared" si="1"/>
        <v>1693.54413</v>
      </c>
      <c r="M4" s="111">
        <v>0.9</v>
      </c>
      <c r="N4" s="110">
        <f>vlookup(A4,Overview!B:J,9,false)</f>
        <v>21910</v>
      </c>
      <c r="O4" s="110">
        <f t="shared" si="2"/>
        <v>1457.2341</v>
      </c>
      <c r="P4" s="111">
        <v>0.9</v>
      </c>
      <c r="Q4" s="110">
        <f>vlookup(A4,Overview!B:G,5,false)+vlookup(A4,Overview!B:G,6,false)</f>
        <v>47062</v>
      </c>
      <c r="R4" s="110">
        <f t="shared" si="3"/>
        <v>0</v>
      </c>
      <c r="S4" s="111">
        <v>0.0</v>
      </c>
    </row>
    <row r="5">
      <c r="A5" s="104" t="s">
        <v>34</v>
      </c>
      <c r="B5" s="113" t="s">
        <v>134</v>
      </c>
      <c r="C5" s="113" t="s">
        <v>135</v>
      </c>
      <c r="D5" s="114" t="s">
        <v>136</v>
      </c>
      <c r="E5" s="112" t="str">
        <f>vlookup(G5,'Slot Selection'!A:B,2,false)</f>
        <v>Chicken</v>
      </c>
      <c r="F5" s="112" t="str">
        <f>vlookup(G5,'Slot Selection'!A:C,3,false)</f>
        <v>Keto</v>
      </c>
      <c r="G5" s="108">
        <v>7.0</v>
      </c>
      <c r="H5" s="109">
        <f>vlookup(G5,'Slot Selection'!A:D,4,false)</f>
        <v>0.0622</v>
      </c>
      <c r="I5" s="110">
        <v>2675.0</v>
      </c>
      <c r="J5" s="110"/>
      <c r="K5" s="110">
        <f>vlookup(A5,Overview!B:J,7,false)+vlookup(A5,Overview!B:J,8,false)</f>
        <v>25463</v>
      </c>
      <c r="L5" s="110">
        <f t="shared" si="1"/>
        <v>1425.41874</v>
      </c>
      <c r="M5" s="111">
        <v>0.9</v>
      </c>
      <c r="N5" s="110">
        <f>vlookup(A5,Overview!B:J,9,false)</f>
        <v>21910</v>
      </c>
      <c r="O5" s="110">
        <f t="shared" si="2"/>
        <v>1226.5218</v>
      </c>
      <c r="P5" s="111">
        <v>0.9</v>
      </c>
      <c r="Q5" s="110">
        <f>vlookup(A5,Overview!B:G,5,false)+vlookup(A5,Overview!B:G,6,false)</f>
        <v>47062</v>
      </c>
      <c r="R5" s="110">
        <f t="shared" si="3"/>
        <v>0</v>
      </c>
      <c r="S5" s="111">
        <v>0.0</v>
      </c>
    </row>
    <row r="6">
      <c r="A6" s="104" t="s">
        <v>34</v>
      </c>
      <c r="B6" s="113" t="s">
        <v>137</v>
      </c>
      <c r="C6" s="113" t="s">
        <v>138</v>
      </c>
      <c r="D6" s="114" t="s">
        <v>139</v>
      </c>
      <c r="E6" s="112" t="str">
        <f>vlookup(G6,'Slot Selection'!A:B,2,false)</f>
        <v>Flexible Slot</v>
      </c>
      <c r="F6" s="112" t="str">
        <f>vlookup(G6,'Slot Selection'!A:C,3,false)</f>
        <v>Flexible Slot</v>
      </c>
      <c r="G6" s="108">
        <v>14.0</v>
      </c>
      <c r="H6" s="109">
        <f>vlookup(G6,'Slot Selection'!A:D,4,false)</f>
        <v>0.0317</v>
      </c>
      <c r="I6" s="110">
        <v>863.0</v>
      </c>
      <c r="J6" s="110"/>
      <c r="K6" s="110">
        <f>vlookup(A6,Overview!B:J,7,false)+vlookup(A6,Overview!B:J,8,false)</f>
        <v>25463</v>
      </c>
      <c r="L6" s="110">
        <f t="shared" si="1"/>
        <v>726.45939</v>
      </c>
      <c r="M6" s="111">
        <v>0.9</v>
      </c>
      <c r="N6" s="110">
        <f>vlookup(A6,Overview!B:J,9,false)</f>
        <v>21910</v>
      </c>
      <c r="O6" s="110">
        <f t="shared" si="2"/>
        <v>625.0923</v>
      </c>
      <c r="P6" s="111">
        <v>0.9</v>
      </c>
      <c r="Q6" s="110">
        <f>vlookup(A6,Overview!B:G,5,false)+vlookup(A6,Overview!B:G,6,false)</f>
        <v>47062</v>
      </c>
      <c r="R6" s="110">
        <f t="shared" si="3"/>
        <v>0</v>
      </c>
      <c r="S6" s="111">
        <v>0.0</v>
      </c>
    </row>
    <row r="7">
      <c r="A7" s="115" t="s">
        <v>34</v>
      </c>
      <c r="B7" s="116" t="s">
        <v>140</v>
      </c>
      <c r="C7" s="116" t="s">
        <v>141</v>
      </c>
      <c r="D7" s="117" t="s">
        <v>142</v>
      </c>
      <c r="E7" s="118" t="str">
        <f>vlookup(G7,'Slot Selection'!A:B,2,false)</f>
        <v>Flexible Slot</v>
      </c>
      <c r="F7" s="118" t="str">
        <f>vlookup(G7,'Slot Selection'!A:C,3,false)</f>
        <v>Flexible Slot</v>
      </c>
      <c r="G7" s="119">
        <v>16.0</v>
      </c>
      <c r="H7" s="120">
        <f>vlookup(G7,'Slot Selection'!A:D,4,false)</f>
        <v>0.03</v>
      </c>
      <c r="I7" s="121">
        <v>938.0</v>
      </c>
      <c r="J7" s="121"/>
      <c r="K7" s="121">
        <f>vlookup(A7,Overview!B:J,7,false)+vlookup(A7,Overview!B:J,8,false)</f>
        <v>25463</v>
      </c>
      <c r="L7" s="121">
        <f t="shared" si="1"/>
        <v>687.501</v>
      </c>
      <c r="M7" s="122">
        <v>0.9</v>
      </c>
      <c r="N7" s="121">
        <f>vlookup(A7,Overview!B:J,9,false)</f>
        <v>21910</v>
      </c>
      <c r="O7" s="121">
        <f t="shared" si="2"/>
        <v>591.57</v>
      </c>
      <c r="P7" s="122">
        <v>0.9</v>
      </c>
      <c r="Q7" s="121">
        <f>vlookup(A7,Overview!B:G,5,false)+vlookup(A7,Overview!B:G,6,false)</f>
        <v>47062</v>
      </c>
      <c r="R7" s="121">
        <f t="shared" si="3"/>
        <v>0</v>
      </c>
      <c r="S7" s="122">
        <v>0.0</v>
      </c>
    </row>
    <row r="8">
      <c r="A8" s="123" t="s">
        <v>35</v>
      </c>
      <c r="B8" s="124" t="s">
        <v>143</v>
      </c>
      <c r="C8" s="124" t="s">
        <v>144</v>
      </c>
      <c r="D8" s="125" t="s">
        <v>145</v>
      </c>
      <c r="E8" s="126" t="str">
        <f>vlookup(G8,'Slot Selection'!A:B,2,false)</f>
        <v>Beef</v>
      </c>
      <c r="F8" s="126" t="str">
        <f>vlookup(G8,'Slot Selection'!A:C,3,false)</f>
        <v>Keto</v>
      </c>
      <c r="G8" s="127">
        <v>3.0</v>
      </c>
      <c r="H8" s="128">
        <f>vlookup(G8,'Slot Selection'!A:E,4,false)</f>
        <v>0.097</v>
      </c>
      <c r="I8" s="129">
        <f>1206+600</f>
        <v>1806</v>
      </c>
      <c r="J8" s="130">
        <v>600.0</v>
      </c>
      <c r="K8" s="130">
        <f>vlookup(A8,Overview!B:J,7,false)+vlookup(A8,Overview!B:J,8,false)</f>
        <v>26941</v>
      </c>
      <c r="L8" s="131">
        <f t="shared" si="1"/>
        <v>783.9831</v>
      </c>
      <c r="M8" s="132">
        <v>0.3</v>
      </c>
      <c r="N8" s="131">
        <f>vlookup(A8,Overview!B:J,9,false)</f>
        <v>22089</v>
      </c>
      <c r="O8" s="131">
        <f t="shared" si="2"/>
        <v>642.7899</v>
      </c>
      <c r="P8" s="132">
        <v>0.3</v>
      </c>
      <c r="Q8" s="131">
        <f>vlookup(A8,Overview!B:G,5,false)+vlookup(A8,Overview!B:G,6,false)</f>
        <v>47825</v>
      </c>
      <c r="R8" s="133">
        <f t="shared" si="3"/>
        <v>0</v>
      </c>
      <c r="S8" s="134">
        <v>0.0</v>
      </c>
    </row>
    <row r="9">
      <c r="A9" s="123" t="s">
        <v>35</v>
      </c>
      <c r="B9" s="124" t="s">
        <v>146</v>
      </c>
      <c r="C9" s="124" t="s">
        <v>147</v>
      </c>
      <c r="D9" s="135" t="s">
        <v>148</v>
      </c>
      <c r="E9" s="126" t="str">
        <f>vlookup(G9,'Slot Selection'!A:B,2,false)</f>
        <v>Fish / Seafood</v>
      </c>
      <c r="F9" s="126" t="str">
        <f>vlookup(G9,'Slot Selection'!A:C,3,false)</f>
        <v>Keto</v>
      </c>
      <c r="G9" s="127">
        <v>6.0</v>
      </c>
      <c r="H9" s="128">
        <f>vlookup(G9,'Slot Selection'!A:E,4,false)</f>
        <v>0.0739</v>
      </c>
      <c r="I9" s="129">
        <f>1711+600</f>
        <v>2311</v>
      </c>
      <c r="J9" s="130">
        <v>600.0</v>
      </c>
      <c r="K9" s="130">
        <f>vlookup(A9,Overview!B:J,7,false)+vlookup(A9,Overview!B:J,8,false)</f>
        <v>26941</v>
      </c>
      <c r="L9" s="131">
        <f t="shared" si="1"/>
        <v>995.46995</v>
      </c>
      <c r="M9" s="132">
        <v>0.5</v>
      </c>
      <c r="N9" s="131">
        <f>vlookup(A9,Overview!B:J,9,false)</f>
        <v>22089</v>
      </c>
      <c r="O9" s="131">
        <f t="shared" si="2"/>
        <v>816.18855</v>
      </c>
      <c r="P9" s="132">
        <v>0.5</v>
      </c>
      <c r="Q9" s="131">
        <f>vlookup(A9,Overview!B:G,5,false)+vlookup(A9,Overview!B:G,6,false)</f>
        <v>47825</v>
      </c>
      <c r="R9" s="133">
        <f t="shared" si="3"/>
        <v>0</v>
      </c>
      <c r="S9" s="134">
        <v>0.0</v>
      </c>
    </row>
    <row r="10">
      <c r="A10" s="136" t="s">
        <v>35</v>
      </c>
      <c r="B10" s="137" t="s">
        <v>149</v>
      </c>
      <c r="C10" s="137" t="s">
        <v>150</v>
      </c>
      <c r="D10" s="138" t="s">
        <v>151</v>
      </c>
      <c r="E10" s="139" t="str">
        <f>vlookup(G10,'Slot Selection'!A:B,2,false)</f>
        <v>Flexible Slot</v>
      </c>
      <c r="F10" s="139" t="str">
        <f>vlookup(G10,'Slot Selection'!A:C,3,false)</f>
        <v>Flexible Slot</v>
      </c>
      <c r="G10" s="140">
        <v>16.0</v>
      </c>
      <c r="H10" s="141">
        <f>vlookup(G10,'Slot Selection'!A:E,4,false)</f>
        <v>0.03</v>
      </c>
      <c r="I10" s="142">
        <f>3508+600</f>
        <v>4108</v>
      </c>
      <c r="J10" s="143">
        <v>600.0</v>
      </c>
      <c r="K10" s="143">
        <f>vlookup(A10,Overview!B:J,7,false)+vlookup(A10,Overview!B:J,8,false)</f>
        <v>26941</v>
      </c>
      <c r="L10" s="144">
        <f t="shared" si="1"/>
        <v>808.23</v>
      </c>
      <c r="M10" s="145">
        <v>1.0</v>
      </c>
      <c r="N10" s="144">
        <f>vlookup(A10,Overview!B:J,9,false)</f>
        <v>22089</v>
      </c>
      <c r="O10" s="144">
        <f t="shared" si="2"/>
        <v>662.67</v>
      </c>
      <c r="P10" s="145">
        <v>1.0</v>
      </c>
      <c r="Q10" s="144">
        <f>vlookup(A10,Overview!B:G,5,false)+vlookup(A10,Overview!B:G,6,false)</f>
        <v>47825</v>
      </c>
      <c r="R10" s="144">
        <f t="shared" si="3"/>
        <v>1434.75</v>
      </c>
      <c r="S10" s="145">
        <v>1.0</v>
      </c>
    </row>
    <row r="11">
      <c r="A11" s="123" t="s">
        <v>37</v>
      </c>
      <c r="B11" s="124" t="s">
        <v>152</v>
      </c>
      <c r="C11" s="124" t="s">
        <v>153</v>
      </c>
      <c r="D11" s="125" t="s">
        <v>154</v>
      </c>
      <c r="E11" s="126" t="str">
        <f>vlookup(G11,'Slot Selection'!A:B,2,false)</f>
        <v>Beef</v>
      </c>
      <c r="F11" s="126" t="str">
        <f>vlookup(G11,'Slot Selection'!A:C,3,false)</f>
        <v>Keto</v>
      </c>
      <c r="G11" s="127">
        <v>3.0</v>
      </c>
      <c r="H11" s="128">
        <f>vlookup(G11,'Slot Selection'!A:E,5,false)</f>
        <v>0.0808</v>
      </c>
      <c r="I11" s="129">
        <v>3692.0</v>
      </c>
      <c r="J11" s="130"/>
      <c r="K11" s="130">
        <f>vlookup(A11,Overview!B:J,7,false)+vlookup(A11,Overview!B:J,8,false)</f>
        <v>24747.02076</v>
      </c>
      <c r="L11" s="131">
        <f t="shared" si="1"/>
        <v>1999.559277</v>
      </c>
      <c r="M11" s="146">
        <v>1.0</v>
      </c>
      <c r="N11" s="131">
        <f>vlookup(A11,Overview!B:J,9,false)</f>
        <v>19881.4252</v>
      </c>
      <c r="O11" s="131">
        <f t="shared" si="2"/>
        <v>1606.419156</v>
      </c>
      <c r="P11" s="146">
        <v>1.0</v>
      </c>
      <c r="Q11" s="131">
        <f>vlookup(A11,Overview!B:G,5,false)+vlookup(A11,Overview!B:G,6,false)</f>
        <v>46935.59925</v>
      </c>
      <c r="R11" s="133">
        <f t="shared" si="3"/>
        <v>0</v>
      </c>
      <c r="S11" s="134">
        <v>0.0</v>
      </c>
    </row>
    <row r="12">
      <c r="A12" s="123" t="s">
        <v>37</v>
      </c>
      <c r="B12" s="124" t="s">
        <v>155</v>
      </c>
      <c r="C12" s="124" t="s">
        <v>156</v>
      </c>
      <c r="D12" s="147" t="s">
        <v>157</v>
      </c>
      <c r="E12" s="126" t="str">
        <f>vlookup(G12,'Slot Selection'!A:B,2,false)</f>
        <v>Fish / Seafood / Beef</v>
      </c>
      <c r="F12" s="126" t="str">
        <f>vlookup(G12,'Slot Selection'!A:C,3,false)</f>
        <v>P+</v>
      </c>
      <c r="G12" s="127">
        <v>4.0</v>
      </c>
      <c r="H12" s="128">
        <f>vlookup(G12,'Slot Selection'!A:E,5,false)</f>
        <v>0.0632</v>
      </c>
      <c r="I12" s="129">
        <v>5410.0</v>
      </c>
      <c r="J12" s="130"/>
      <c r="K12" s="130">
        <f>vlookup(A12,Overview!B:J,7,false)+vlookup(A12,Overview!B:J,8,false)</f>
        <v>24747.02076</v>
      </c>
      <c r="L12" s="131">
        <f t="shared" si="1"/>
        <v>1564.011712</v>
      </c>
      <c r="M12" s="146">
        <v>1.0</v>
      </c>
      <c r="N12" s="131">
        <f>vlookup(A12,Overview!B:J,9,false)</f>
        <v>19881.4252</v>
      </c>
      <c r="O12" s="131">
        <f t="shared" si="2"/>
        <v>1256.506073</v>
      </c>
      <c r="P12" s="146">
        <v>1.0</v>
      </c>
      <c r="Q12" s="131">
        <f>vlookup(A12,Overview!B:G,5,false)+vlookup(A12,Overview!B:G,6,false)</f>
        <v>46935.59925</v>
      </c>
      <c r="R12" s="129">
        <f t="shared" si="3"/>
        <v>0</v>
      </c>
      <c r="S12" s="132">
        <v>0.0</v>
      </c>
    </row>
    <row r="13">
      <c r="A13" s="123" t="s">
        <v>37</v>
      </c>
      <c r="B13" s="124" t="s">
        <v>158</v>
      </c>
      <c r="C13" s="124" t="s">
        <v>159</v>
      </c>
      <c r="D13" s="147" t="s">
        <v>160</v>
      </c>
      <c r="E13" s="126" t="str">
        <f>vlookup(G13,'Slot Selection'!A:B,2,false)</f>
        <v>Fish / Seafood</v>
      </c>
      <c r="F13" s="126" t="str">
        <f>vlookup(G13,'Slot Selection'!A:C,3,false)</f>
        <v>Keto</v>
      </c>
      <c r="G13" s="127">
        <v>6.0</v>
      </c>
      <c r="H13" s="128">
        <f>vlookup(G13,'Slot Selection'!A:E,5,false)</f>
        <v>0.0566</v>
      </c>
      <c r="I13" s="129">
        <v>3605.0</v>
      </c>
      <c r="J13" s="130"/>
      <c r="K13" s="130">
        <f>vlookup(A13,Overview!B:J,7,false)+vlookup(A13,Overview!B:J,8,false)</f>
        <v>24747.02076</v>
      </c>
      <c r="L13" s="131">
        <f t="shared" si="1"/>
        <v>1400.681375</v>
      </c>
      <c r="M13" s="146">
        <v>1.0</v>
      </c>
      <c r="N13" s="131">
        <f>vlookup(A13,Overview!B:J,9,false)</f>
        <v>19881.4252</v>
      </c>
      <c r="O13" s="131">
        <f t="shared" si="2"/>
        <v>1125.288666</v>
      </c>
      <c r="P13" s="146">
        <v>1.0</v>
      </c>
      <c r="Q13" s="131">
        <f>vlookup(A13,Overview!B:G,5,false)+vlookup(A13,Overview!B:G,6,false)</f>
        <v>46935.59925</v>
      </c>
      <c r="R13" s="129">
        <f t="shared" si="3"/>
        <v>0</v>
      </c>
      <c r="S13" s="132">
        <v>0.0</v>
      </c>
    </row>
    <row r="14">
      <c r="A14" s="136" t="s">
        <v>37</v>
      </c>
      <c r="B14" s="137" t="s">
        <v>161</v>
      </c>
      <c r="C14" s="137" t="s">
        <v>162</v>
      </c>
      <c r="D14" s="138" t="s">
        <v>163</v>
      </c>
      <c r="E14" s="139" t="str">
        <f>vlookup(G14,'Slot Selection'!A:B,2,false)</f>
        <v>Chicken</v>
      </c>
      <c r="F14" s="139" t="str">
        <f>vlookup(G14,'Slot Selection'!A:C,3,false)</f>
        <v>Keto</v>
      </c>
      <c r="G14" s="140">
        <v>7.0</v>
      </c>
      <c r="H14" s="141">
        <f>vlookup(G14,'Slot Selection'!A:E,5,false)</f>
        <v>0.0581</v>
      </c>
      <c r="I14" s="142">
        <v>3192.0</v>
      </c>
      <c r="J14" s="143"/>
      <c r="K14" s="143">
        <f>vlookup(A14,Overview!B:J,7,false)+vlookup(A14,Overview!B:J,8,false)</f>
        <v>24747.02076</v>
      </c>
      <c r="L14" s="144">
        <f t="shared" si="1"/>
        <v>1437.801906</v>
      </c>
      <c r="M14" s="145">
        <v>1.0</v>
      </c>
      <c r="N14" s="144">
        <f>vlookup(A14,Overview!B:J,9,false)</f>
        <v>19881.4252</v>
      </c>
      <c r="O14" s="144">
        <f t="shared" si="2"/>
        <v>1155.110804</v>
      </c>
      <c r="P14" s="145">
        <v>1.0</v>
      </c>
      <c r="Q14" s="144">
        <f>vlookup(A14,Overview!B:G,5,false)+vlookup(A14,Overview!B:G,6,false)</f>
        <v>46935.59925</v>
      </c>
      <c r="R14" s="148">
        <f t="shared" si="3"/>
        <v>0</v>
      </c>
      <c r="S14" s="149">
        <v>0.0</v>
      </c>
    </row>
    <row r="15">
      <c r="A15" s="123" t="s">
        <v>38</v>
      </c>
      <c r="B15" s="150" t="s">
        <v>131</v>
      </c>
      <c r="C15" s="150" t="s">
        <v>132</v>
      </c>
      <c r="D15" s="151" t="s">
        <v>133</v>
      </c>
      <c r="E15" s="126" t="str">
        <f>vlookup(G15,'Slot Selection'!A:B,2,false)</f>
        <v>Fish / Seafood</v>
      </c>
      <c r="F15" s="126" t="str">
        <f>vlookup(G15,'Slot Selection'!A:C,3,false)</f>
        <v>Keto</v>
      </c>
      <c r="G15" s="127">
        <v>6.0</v>
      </c>
      <c r="H15" s="128">
        <f>vlookup(G15,'Slot Selection'!A:E,5,false)</f>
        <v>0.0566</v>
      </c>
      <c r="I15" s="129">
        <v>6106.0</v>
      </c>
      <c r="J15" s="130"/>
      <c r="K15" s="130">
        <f>vlookup(A15,Overview!B:J,7,false)+vlookup(A15,Overview!B:J,8,false)</f>
        <v>25138.61484</v>
      </c>
      <c r="L15" s="131">
        <f t="shared" si="1"/>
        <v>1422.8456</v>
      </c>
      <c r="M15" s="146">
        <v>1.0</v>
      </c>
      <c r="N15" s="131">
        <f>vlookup(A15,Overview!B:J,9,false)</f>
        <v>20623.3885</v>
      </c>
      <c r="O15" s="131">
        <f t="shared" si="2"/>
        <v>1167.283789</v>
      </c>
      <c r="P15" s="146">
        <v>1.0</v>
      </c>
      <c r="Q15" s="131">
        <f>vlookup(A15,Overview!B:G,5,false)+vlookup(A15,Overview!B:G,6,false)</f>
        <v>50558.57352</v>
      </c>
      <c r="R15" s="131">
        <f t="shared" si="3"/>
        <v>2861.615261</v>
      </c>
      <c r="S15" s="146">
        <v>1.0</v>
      </c>
    </row>
    <row r="16">
      <c r="A16" s="123" t="s">
        <v>38</v>
      </c>
      <c r="B16" s="124" t="s">
        <v>140</v>
      </c>
      <c r="C16" s="124" t="s">
        <v>141</v>
      </c>
      <c r="D16" s="147" t="s">
        <v>142</v>
      </c>
      <c r="E16" s="126" t="str">
        <f>vlookup(G16,'Slot Selection'!A:B,2,false)</f>
        <v>Chicken</v>
      </c>
      <c r="F16" s="126" t="str">
        <f>vlookup(G16,'Slot Selection'!A:C,3,false)</f>
        <v>Keto</v>
      </c>
      <c r="G16" s="127">
        <v>7.0</v>
      </c>
      <c r="H16" s="128">
        <f>vlookup(G16,'Slot Selection'!A:E,5,false)</f>
        <v>0.0581</v>
      </c>
      <c r="I16" s="129">
        <v>5453.0</v>
      </c>
      <c r="J16" s="130"/>
      <c r="K16" s="130">
        <f>vlookup(A16,Overview!B:J,7,false)+vlookup(A16,Overview!B:J,8,false)</f>
        <v>25138.61484</v>
      </c>
      <c r="L16" s="131">
        <f t="shared" si="1"/>
        <v>1460.553522</v>
      </c>
      <c r="M16" s="146">
        <v>1.0</v>
      </c>
      <c r="N16" s="131">
        <f>vlookup(A16,Overview!B:J,9,false)</f>
        <v>20623.3885</v>
      </c>
      <c r="O16" s="131">
        <f t="shared" si="2"/>
        <v>1198.218872</v>
      </c>
      <c r="P16" s="146">
        <v>1.0</v>
      </c>
      <c r="Q16" s="131">
        <f>vlookup(A16,Overview!B:G,5,false)+vlookup(A16,Overview!B:G,6,false)</f>
        <v>50558.57352</v>
      </c>
      <c r="R16" s="131">
        <f t="shared" si="3"/>
        <v>2937.453122</v>
      </c>
      <c r="S16" s="146">
        <v>1.0</v>
      </c>
    </row>
    <row r="17">
      <c r="A17" s="123" t="s">
        <v>38</v>
      </c>
      <c r="B17" s="124" t="s">
        <v>164</v>
      </c>
      <c r="C17" s="124" t="s">
        <v>165</v>
      </c>
      <c r="D17" s="147" t="s">
        <v>166</v>
      </c>
      <c r="E17" s="126" t="str">
        <f>vlookup(G17,'Slot Selection'!A:B,2,false)</f>
        <v>Chicken</v>
      </c>
      <c r="F17" s="126" t="str">
        <f>vlookup(G17,'Slot Selection'!A:C,3,false)</f>
        <v>Keto</v>
      </c>
      <c r="G17" s="127">
        <v>8.0</v>
      </c>
      <c r="H17" s="128">
        <f>vlookup(G17,'Slot Selection'!A:E,5,false)</f>
        <v>0.0632</v>
      </c>
      <c r="I17" s="129">
        <v>2110.0</v>
      </c>
      <c r="J17" s="130"/>
      <c r="K17" s="130">
        <f>vlookup(A17,Overview!B:J,7,false)+vlookup(A17,Overview!B:J,8,false)</f>
        <v>25138.61484</v>
      </c>
      <c r="L17" s="131">
        <f t="shared" si="1"/>
        <v>1588.760458</v>
      </c>
      <c r="M17" s="146">
        <v>1.0</v>
      </c>
      <c r="N17" s="131">
        <f>vlookup(A17,Overview!B:J,9,false)</f>
        <v>20623.3885</v>
      </c>
      <c r="O17" s="131">
        <f t="shared" si="2"/>
        <v>1303.398153</v>
      </c>
      <c r="P17" s="146">
        <v>1.0</v>
      </c>
      <c r="Q17" s="131">
        <f>vlookup(A17,Overview!B:G,5,false)+vlookup(A17,Overview!B:G,6,false)</f>
        <v>50558.57352</v>
      </c>
      <c r="R17" s="133">
        <f t="shared" si="3"/>
        <v>0</v>
      </c>
      <c r="S17" s="134">
        <v>0.0</v>
      </c>
    </row>
    <row r="18">
      <c r="A18" s="123" t="s">
        <v>38</v>
      </c>
      <c r="B18" s="124" t="s">
        <v>167</v>
      </c>
      <c r="C18" s="124" t="s">
        <v>168</v>
      </c>
      <c r="D18" s="147" t="s">
        <v>169</v>
      </c>
      <c r="E18" s="126" t="str">
        <f>vlookup(G18,'Slot Selection'!A:B,2,false)</f>
        <v>Pork</v>
      </c>
      <c r="F18" s="126" t="str">
        <f>vlookup(G18,'Slot Selection'!A:C,3,false)</f>
        <v>Flexible Slot</v>
      </c>
      <c r="G18" s="127">
        <v>11.0</v>
      </c>
      <c r="H18" s="128">
        <f>vlookup(G18,'Slot Selection'!A:E,5,false)</f>
        <v>0.0215</v>
      </c>
      <c r="I18" s="129">
        <v>754.0</v>
      </c>
      <c r="J18" s="130"/>
      <c r="K18" s="130">
        <f>vlookup(A18,Overview!B:J,7,false)+vlookup(A18,Overview!B:J,8,false)</f>
        <v>25138.61484</v>
      </c>
      <c r="L18" s="131">
        <f t="shared" si="1"/>
        <v>540.480219</v>
      </c>
      <c r="M18" s="146">
        <v>1.0</v>
      </c>
      <c r="N18" s="131">
        <f>vlookup(A18,Overview!B:J,9,false)</f>
        <v>20623.3885</v>
      </c>
      <c r="O18" s="131">
        <f t="shared" si="2"/>
        <v>443.4028528</v>
      </c>
      <c r="P18" s="146">
        <v>1.0</v>
      </c>
      <c r="Q18" s="131">
        <f>vlookup(A18,Overview!B:G,5,false)+vlookup(A18,Overview!B:G,6,false)</f>
        <v>50558.57352</v>
      </c>
      <c r="R18" s="133">
        <f t="shared" si="3"/>
        <v>0</v>
      </c>
      <c r="S18" s="134">
        <v>0.0</v>
      </c>
    </row>
    <row r="19">
      <c r="A19" s="123" t="s">
        <v>38</v>
      </c>
      <c r="B19" s="152" t="s">
        <v>170</v>
      </c>
      <c r="C19" s="152" t="s">
        <v>171</v>
      </c>
      <c r="D19" s="153" t="s">
        <v>172</v>
      </c>
      <c r="E19" s="126" t="str">
        <f>vlookup(G19,'Slot Selection'!A:B,2,false)</f>
        <v>Fish / Seafood</v>
      </c>
      <c r="F19" s="126" t="str">
        <f>vlookup(G19,'Slot Selection'!A:C,3,false)</f>
        <v>P+</v>
      </c>
      <c r="G19" s="127">
        <v>12.0</v>
      </c>
      <c r="H19" s="128">
        <f>vlookup(G19,'Slot Selection'!A:E,5,false)</f>
        <v>0.0366</v>
      </c>
      <c r="I19" s="129">
        <v>6087.0</v>
      </c>
      <c r="J19" s="130"/>
      <c r="K19" s="130">
        <f>vlookup(A19,Overview!B:J,7,false)+vlookup(A19,Overview!B:J,8,false)</f>
        <v>25138.61484</v>
      </c>
      <c r="L19" s="131">
        <f t="shared" si="1"/>
        <v>920.0733031</v>
      </c>
      <c r="M19" s="146">
        <v>1.0</v>
      </c>
      <c r="N19" s="131">
        <f>vlookup(A19,Overview!B:J,9,false)</f>
        <v>20623.3885</v>
      </c>
      <c r="O19" s="131">
        <f t="shared" si="2"/>
        <v>754.8160191</v>
      </c>
      <c r="P19" s="146">
        <v>1.0</v>
      </c>
      <c r="Q19" s="131">
        <f>vlookup(A19,Overview!B:G,5,false)+vlookup(A19,Overview!B:G,6,false)</f>
        <v>50558.57352</v>
      </c>
      <c r="R19" s="131">
        <f t="shared" si="3"/>
        <v>1850.443791</v>
      </c>
      <c r="S19" s="146">
        <v>1.0</v>
      </c>
    </row>
    <row r="20">
      <c r="A20" s="123" t="s">
        <v>38</v>
      </c>
      <c r="B20" s="124" t="s">
        <v>173</v>
      </c>
      <c r="C20" s="124" t="s">
        <v>174</v>
      </c>
      <c r="D20" s="125" t="s">
        <v>175</v>
      </c>
      <c r="E20" s="126" t="str">
        <f>vlookup(G20,'Slot Selection'!A:B,2,false)</f>
        <v>Flexible Slot</v>
      </c>
      <c r="F20" s="126" t="str">
        <f>vlookup(G20,'Slot Selection'!A:C,3,false)</f>
        <v>P+</v>
      </c>
      <c r="G20" s="127">
        <v>13.0</v>
      </c>
      <c r="H20" s="128">
        <f>vlookup(G20,'Slot Selection'!A:E,5,false)</f>
        <v>0.0547</v>
      </c>
      <c r="I20" s="129">
        <v>7004.0</v>
      </c>
      <c r="J20" s="130"/>
      <c r="K20" s="130">
        <f>vlookup(A20,Overview!B:J,7,false)+vlookup(A20,Overview!B:J,8,false)</f>
        <v>25138.61484</v>
      </c>
      <c r="L20" s="131">
        <f t="shared" si="1"/>
        <v>1375.082232</v>
      </c>
      <c r="M20" s="146">
        <v>1.0</v>
      </c>
      <c r="N20" s="131">
        <f>vlookup(A20,Overview!B:J,9,false)</f>
        <v>20623.3885</v>
      </c>
      <c r="O20" s="131">
        <f t="shared" si="2"/>
        <v>1128.099351</v>
      </c>
      <c r="P20" s="146">
        <v>1.0</v>
      </c>
      <c r="Q20" s="131">
        <f>vlookup(A20,Overview!B:G,5,false)+vlookup(A20,Overview!B:G,6,false)</f>
        <v>50558.57352</v>
      </c>
      <c r="R20" s="131">
        <f t="shared" si="3"/>
        <v>2765.553972</v>
      </c>
      <c r="S20" s="146">
        <v>1.0</v>
      </c>
    </row>
    <row r="21">
      <c r="A21" s="136" t="s">
        <v>38</v>
      </c>
      <c r="B21" s="137" t="s">
        <v>176</v>
      </c>
      <c r="C21" s="137" t="s">
        <v>177</v>
      </c>
      <c r="D21" s="138" t="s">
        <v>178</v>
      </c>
      <c r="E21" s="139" t="str">
        <f>vlookup(G21,'Slot Selection'!A:B,2,false)</f>
        <v>Flexible Slot</v>
      </c>
      <c r="F21" s="139" t="str">
        <f>vlookup(G21,'Slot Selection'!A:C,3,false)</f>
        <v>Flexible Slot</v>
      </c>
      <c r="G21" s="140">
        <v>14.0</v>
      </c>
      <c r="H21" s="141">
        <f>vlookup(G21,'Slot Selection'!A:E,5,false)</f>
        <v>0.0317</v>
      </c>
      <c r="I21" s="142">
        <v>2574.0</v>
      </c>
      <c r="J21" s="143"/>
      <c r="K21" s="143">
        <f>vlookup(A21,Overview!B:J,7,false)+vlookup(A21,Overview!B:J,8,false)</f>
        <v>25138.61484</v>
      </c>
      <c r="L21" s="144">
        <f t="shared" si="1"/>
        <v>796.8940904</v>
      </c>
      <c r="M21" s="145">
        <v>1.0</v>
      </c>
      <c r="N21" s="144">
        <f>vlookup(A21,Overview!B:J,9,false)</f>
        <v>20623.3885</v>
      </c>
      <c r="O21" s="144">
        <f t="shared" si="2"/>
        <v>653.7614155</v>
      </c>
      <c r="P21" s="145">
        <v>1.0</v>
      </c>
      <c r="Q21" s="144">
        <f>vlookup(A21,Overview!B:G,5,false)+vlookup(A21,Overview!B:G,6,false)</f>
        <v>50558.57352</v>
      </c>
      <c r="R21" s="144">
        <f t="shared" si="3"/>
        <v>1602.706781</v>
      </c>
      <c r="S21" s="145">
        <v>1.0</v>
      </c>
    </row>
    <row r="22">
      <c r="A22" s="123" t="s">
        <v>39</v>
      </c>
      <c r="B22" s="124" t="s">
        <v>179</v>
      </c>
      <c r="C22" s="124" t="s">
        <v>180</v>
      </c>
      <c r="D22" s="147" t="s">
        <v>181</v>
      </c>
      <c r="E22" s="126" t="str">
        <f>vlookup(G22,'Slot Selection'!A:B,2,false)</f>
        <v>Chicken</v>
      </c>
      <c r="F22" s="126" t="str">
        <f>vlookup(G22,'Slot Selection'!A:C,3,false)</f>
        <v>CS</v>
      </c>
      <c r="G22" s="127">
        <v>2.0</v>
      </c>
      <c r="H22" s="128">
        <f>vlookup(G22,'Slot Selection'!A:E,5,false)</f>
        <v>0.0964</v>
      </c>
      <c r="I22" s="129">
        <v>7543.0</v>
      </c>
      <c r="J22" s="130"/>
      <c r="K22" s="130">
        <f>vlookup(A22,Overview!B:J,7,false)+vlookup(A22,Overview!B:J,8,false)</f>
        <v>24953.30576</v>
      </c>
      <c r="L22" s="131">
        <f t="shared" si="1"/>
        <v>2405.498675</v>
      </c>
      <c r="M22" s="146">
        <v>1.0</v>
      </c>
      <c r="N22" s="131">
        <f>vlookup(A22,Overview!B:J,9,false)</f>
        <v>20256.3959</v>
      </c>
      <c r="O22" s="131">
        <f t="shared" si="2"/>
        <v>1952.716565</v>
      </c>
      <c r="P22" s="146">
        <v>1.0</v>
      </c>
      <c r="Q22" s="131">
        <f>vlookup(A22,Overview!B:G,5,false)+vlookup(A22,Overview!B:G,6,false)</f>
        <v>49397.36143</v>
      </c>
      <c r="R22" s="131">
        <f t="shared" si="3"/>
        <v>4761.905642</v>
      </c>
      <c r="S22" s="146">
        <v>1.0</v>
      </c>
    </row>
    <row r="23">
      <c r="A23" s="123" t="s">
        <v>39</v>
      </c>
      <c r="B23" s="124" t="s">
        <v>128</v>
      </c>
      <c r="C23" s="124" t="s">
        <v>129</v>
      </c>
      <c r="D23" s="154" t="s">
        <v>182</v>
      </c>
      <c r="E23" s="126" t="str">
        <f>vlookup(G23,'Slot Selection'!A:B,2,false)</f>
        <v>Fish / Seafood / Beef</v>
      </c>
      <c r="F23" s="126" t="str">
        <f>vlookup(G23,'Slot Selection'!A:C,3,false)</f>
        <v>P+</v>
      </c>
      <c r="G23" s="127">
        <v>4.0</v>
      </c>
      <c r="H23" s="128">
        <f>vlookup(G23,'Slot Selection'!A:E,5,false)</f>
        <v>0.0632</v>
      </c>
      <c r="I23" s="129">
        <v>10070.0</v>
      </c>
      <c r="J23" s="130"/>
      <c r="K23" s="130">
        <f>vlookup(A23,Overview!B:J,7,false)+vlookup(A23,Overview!B:J,8,false)</f>
        <v>24953.30576</v>
      </c>
      <c r="L23" s="131">
        <f t="shared" si="1"/>
        <v>1577.048924</v>
      </c>
      <c r="M23" s="146">
        <v>1.0</v>
      </c>
      <c r="N23" s="131">
        <f>vlookup(A23,Overview!B:J,9,false)</f>
        <v>20256.3959</v>
      </c>
      <c r="O23" s="131">
        <f t="shared" si="2"/>
        <v>1280.204221</v>
      </c>
      <c r="P23" s="146">
        <v>1.0</v>
      </c>
      <c r="Q23" s="131">
        <f>vlookup(A23,Overview!B:G,5,false)+vlookup(A23,Overview!B:G,6,false)</f>
        <v>49397.36143</v>
      </c>
      <c r="R23" s="131">
        <f t="shared" si="3"/>
        <v>3121.913242</v>
      </c>
      <c r="S23" s="146">
        <v>1.0</v>
      </c>
    </row>
    <row r="24">
      <c r="A24" s="123" t="s">
        <v>39</v>
      </c>
      <c r="B24" s="124" t="s">
        <v>183</v>
      </c>
      <c r="C24" s="124" t="s">
        <v>184</v>
      </c>
      <c r="D24" s="147" t="s">
        <v>185</v>
      </c>
      <c r="E24" s="126" t="str">
        <f>vlookup(G24,'Slot Selection'!A:B,2,false)</f>
        <v>Chicken</v>
      </c>
      <c r="F24" s="126" t="str">
        <f>vlookup(G24,'Slot Selection'!A:C,3,false)</f>
        <v>CS</v>
      </c>
      <c r="G24" s="127">
        <v>5.0</v>
      </c>
      <c r="H24" s="128">
        <f>vlookup(G24,'Slot Selection'!A:E,5,false)</f>
        <v>0.0911</v>
      </c>
      <c r="I24" s="129">
        <v>3098.0</v>
      </c>
      <c r="J24" s="130"/>
      <c r="K24" s="130">
        <f>vlookup(A24,Overview!B:J,7,false)+vlookup(A24,Overview!B:J,8,false)</f>
        <v>24953.30576</v>
      </c>
      <c r="L24" s="131">
        <f t="shared" si="1"/>
        <v>2273.246155</v>
      </c>
      <c r="M24" s="146">
        <v>1.0</v>
      </c>
      <c r="N24" s="131">
        <f>vlookup(A24,Overview!B:J,9,false)</f>
        <v>20256.3959</v>
      </c>
      <c r="O24" s="131">
        <f t="shared" si="2"/>
        <v>1845.357666</v>
      </c>
      <c r="P24" s="146">
        <v>1.0</v>
      </c>
      <c r="Q24" s="131">
        <f>vlookup(A24,Overview!B:G,5,false)+vlookup(A24,Overview!B:G,6,false)</f>
        <v>49397.36143</v>
      </c>
      <c r="R24" s="131">
        <f t="shared" si="3"/>
        <v>4500.099626</v>
      </c>
      <c r="S24" s="146">
        <v>1.0</v>
      </c>
    </row>
    <row r="25">
      <c r="A25" s="123" t="s">
        <v>39</v>
      </c>
      <c r="B25" s="155" t="s">
        <v>186</v>
      </c>
      <c r="C25" s="155" t="s">
        <v>147</v>
      </c>
      <c r="D25" s="156" t="s">
        <v>148</v>
      </c>
      <c r="E25" s="157" t="str">
        <f>vlookup(G25,'Slot Selection'!A:B,2,false)</f>
        <v>Fish / Seafood</v>
      </c>
      <c r="F25" s="157" t="str">
        <f>vlookup(G25,'Slot Selection'!A:C,3,false)</f>
        <v>Keto</v>
      </c>
      <c r="G25" s="158">
        <v>6.0</v>
      </c>
      <c r="H25" s="159">
        <f>vlookup(G25,'Slot Selection'!A:E,5,false)</f>
        <v>0.0566</v>
      </c>
      <c r="I25" s="129">
        <v>3340.0</v>
      </c>
      <c r="J25" s="160"/>
      <c r="K25" s="160">
        <f>vlookup(A25,Overview!B:J,7,false)+vlookup(A25,Overview!B:J,8,false)</f>
        <v>24953.30576</v>
      </c>
      <c r="L25" s="161">
        <f t="shared" si="1"/>
        <v>1412.357106</v>
      </c>
      <c r="M25" s="162">
        <v>1.0</v>
      </c>
      <c r="N25" s="161">
        <f>vlookup(A25,Overview!B:J,9,false)</f>
        <v>20256.3959</v>
      </c>
      <c r="O25" s="161">
        <f t="shared" si="2"/>
        <v>1146.512008</v>
      </c>
      <c r="P25" s="162">
        <v>1.0</v>
      </c>
      <c r="Q25" s="161">
        <f>vlookup(A25,Overview!B:G,5,false)+vlookup(A25,Overview!B:G,6,false)</f>
        <v>49397.36143</v>
      </c>
      <c r="R25" s="161">
        <f t="shared" si="3"/>
        <v>2795.890657</v>
      </c>
      <c r="S25" s="162">
        <v>1.0</v>
      </c>
    </row>
    <row r="26">
      <c r="A26" s="123" t="s">
        <v>39</v>
      </c>
      <c r="B26" s="124" t="s">
        <v>187</v>
      </c>
      <c r="C26" s="124" t="s">
        <v>188</v>
      </c>
      <c r="D26" s="147" t="s">
        <v>189</v>
      </c>
      <c r="E26" s="126" t="str">
        <f>vlookup(G26,'Slot Selection'!A:B,2,false)</f>
        <v>Chicken</v>
      </c>
      <c r="F26" s="126" t="str">
        <f>vlookup(G26,'Slot Selection'!A:C,3,false)</f>
        <v>Keto</v>
      </c>
      <c r="G26" s="127">
        <v>7.0</v>
      </c>
      <c r="H26" s="128">
        <f>vlookup(G26,'Slot Selection'!A:E,5,false)</f>
        <v>0.0581</v>
      </c>
      <c r="I26" s="129">
        <v>2951.0</v>
      </c>
      <c r="J26" s="130"/>
      <c r="K26" s="130">
        <f>vlookup(A26,Overview!B:J,7,false)+vlookup(A26,Overview!B:J,8,false)</f>
        <v>24953.30576</v>
      </c>
      <c r="L26" s="131">
        <f t="shared" si="1"/>
        <v>1449.787065</v>
      </c>
      <c r="M26" s="146">
        <v>1.0</v>
      </c>
      <c r="N26" s="131">
        <f>vlookup(A26,Overview!B:J,9,false)</f>
        <v>20256.3959</v>
      </c>
      <c r="O26" s="131">
        <f t="shared" si="2"/>
        <v>1176.896602</v>
      </c>
      <c r="P26" s="146">
        <v>1.0</v>
      </c>
      <c r="Q26" s="131">
        <f>vlookup(A26,Overview!B:G,5,false)+vlookup(A26,Overview!B:G,6,false)</f>
        <v>49397.36143</v>
      </c>
      <c r="R26" s="131">
        <f t="shared" si="3"/>
        <v>2869.986699</v>
      </c>
      <c r="S26" s="146">
        <v>1.0</v>
      </c>
    </row>
    <row r="27">
      <c r="A27" s="123" t="s">
        <v>39</v>
      </c>
      <c r="B27" s="124" t="s">
        <v>190</v>
      </c>
      <c r="C27" s="124" t="s">
        <v>191</v>
      </c>
      <c r="D27" s="147" t="s">
        <v>192</v>
      </c>
      <c r="E27" s="126" t="str">
        <f>vlookup(G27,'Slot Selection'!A:B,2,false)</f>
        <v>Vegetarian</v>
      </c>
      <c r="F27" s="126" t="str">
        <f>vlookup(G27,'Slot Selection'!A:C,3,false)</f>
        <v>Veg</v>
      </c>
      <c r="G27" s="127">
        <v>9.0</v>
      </c>
      <c r="H27" s="128">
        <f>vlookup(G27,'Slot Selection'!A:E,5,false)</f>
        <v>0.0166</v>
      </c>
      <c r="I27" s="129">
        <v>1064.0</v>
      </c>
      <c r="J27" s="130"/>
      <c r="K27" s="130">
        <f>vlookup(A27,Overview!B:J,7,false)+vlookup(A27,Overview!B:J,8,false)</f>
        <v>24953.30576</v>
      </c>
      <c r="L27" s="131">
        <f t="shared" si="1"/>
        <v>414.2248756</v>
      </c>
      <c r="M27" s="146">
        <v>1.0</v>
      </c>
      <c r="N27" s="131">
        <f>vlookup(A27,Overview!B:J,9,false)</f>
        <v>20256.3959</v>
      </c>
      <c r="O27" s="131">
        <f t="shared" si="2"/>
        <v>336.2561719</v>
      </c>
      <c r="P27" s="146">
        <v>1.0</v>
      </c>
      <c r="Q27" s="131">
        <f>vlookup(A27,Overview!B:G,5,false)+vlookup(A27,Overview!B:G,6,false)</f>
        <v>49397.36143</v>
      </c>
      <c r="R27" s="131">
        <f t="shared" si="3"/>
        <v>819.9961997</v>
      </c>
      <c r="S27" s="146">
        <v>1.0</v>
      </c>
    </row>
    <row r="28">
      <c r="A28" s="123" t="s">
        <v>39</v>
      </c>
      <c r="B28" s="124" t="s">
        <v>193</v>
      </c>
      <c r="C28" s="124" t="s">
        <v>194</v>
      </c>
      <c r="D28" s="147" t="s">
        <v>195</v>
      </c>
      <c r="E28" s="126" t="str">
        <f>vlookup(G28,'Slot Selection'!A:B,2,false)</f>
        <v>Fish / Seafood</v>
      </c>
      <c r="F28" s="126" t="str">
        <f>vlookup(G28,'Slot Selection'!A:C,3,false)</f>
        <v>P+</v>
      </c>
      <c r="G28" s="127">
        <v>12.0</v>
      </c>
      <c r="H28" s="128">
        <f>vlookup(G28,'Slot Selection'!A:E,5,false)</f>
        <v>0.0366</v>
      </c>
      <c r="I28" s="129">
        <v>6314.0</v>
      </c>
      <c r="J28" s="130"/>
      <c r="K28" s="130">
        <f>vlookup(A28,Overview!B:J,7,false)+vlookup(A28,Overview!B:J,8,false)</f>
        <v>24953.30576</v>
      </c>
      <c r="L28" s="131">
        <f t="shared" si="1"/>
        <v>913.2909909</v>
      </c>
      <c r="M28" s="146">
        <v>1.0</v>
      </c>
      <c r="N28" s="131">
        <f>vlookup(A28,Overview!B:J,9,false)</f>
        <v>20256.3959</v>
      </c>
      <c r="O28" s="131">
        <f t="shared" si="2"/>
        <v>741.3840899</v>
      </c>
      <c r="P28" s="146">
        <v>1.0</v>
      </c>
      <c r="Q28" s="131">
        <f>vlookup(A28,Overview!B:G,5,false)+vlookup(A28,Overview!B:G,6,false)</f>
        <v>49397.36143</v>
      </c>
      <c r="R28" s="131">
        <f t="shared" si="3"/>
        <v>1807.943428</v>
      </c>
      <c r="S28" s="146">
        <v>1.0</v>
      </c>
    </row>
    <row r="29">
      <c r="A29" s="123" t="s">
        <v>39</v>
      </c>
      <c r="B29" s="124" t="s">
        <v>196</v>
      </c>
      <c r="C29" s="124" t="s">
        <v>197</v>
      </c>
      <c r="D29" s="147" t="s">
        <v>198</v>
      </c>
      <c r="E29" s="126" t="str">
        <f>vlookup(G29,'Slot Selection'!A:B,2,false)</f>
        <v>Flexible Slot</v>
      </c>
      <c r="F29" s="126" t="str">
        <f>vlookup(G29,'Slot Selection'!A:C,3,false)</f>
        <v>P+</v>
      </c>
      <c r="G29" s="127">
        <v>13.0</v>
      </c>
      <c r="H29" s="128">
        <f>vlookup(G29,'Slot Selection'!A:E,5,false)</f>
        <v>0.0547</v>
      </c>
      <c r="I29" s="129">
        <v>3341.0</v>
      </c>
      <c r="J29" s="130"/>
      <c r="K29" s="130">
        <f>vlookup(A29,Overview!B:J,7,false)+vlookup(A29,Overview!B:J,8,false)</f>
        <v>24953.30576</v>
      </c>
      <c r="L29" s="131">
        <f t="shared" si="1"/>
        <v>1364.945825</v>
      </c>
      <c r="M29" s="146">
        <v>1.0</v>
      </c>
      <c r="N29" s="131">
        <f>vlookup(A29,Overview!B:J,9,false)</f>
        <v>20256.3959</v>
      </c>
      <c r="O29" s="131">
        <f t="shared" si="2"/>
        <v>1108.024856</v>
      </c>
      <c r="P29" s="146">
        <v>1.0</v>
      </c>
      <c r="Q29" s="131">
        <f>vlookup(A29,Overview!B:G,5,false)+vlookup(A29,Overview!B:G,6,false)</f>
        <v>49397.36143</v>
      </c>
      <c r="R29" s="131">
        <f t="shared" si="3"/>
        <v>2702.03567</v>
      </c>
      <c r="S29" s="146">
        <v>1.0</v>
      </c>
    </row>
    <row r="30">
      <c r="A30" s="123" t="s">
        <v>39</v>
      </c>
      <c r="B30" s="124" t="s">
        <v>199</v>
      </c>
      <c r="C30" s="124" t="s">
        <v>199</v>
      </c>
      <c r="D30" s="147" t="s">
        <v>200</v>
      </c>
      <c r="E30" s="126" t="str">
        <f>vlookup(G30,'Slot Selection'!A:B,2,false)</f>
        <v>Beef</v>
      </c>
      <c r="F30" s="126" t="str">
        <f>vlookup(G30,'Slot Selection'!A:C,3,false)</f>
        <v>Keto</v>
      </c>
      <c r="G30" s="127">
        <v>15.0</v>
      </c>
      <c r="H30" s="128">
        <f>vlookup(G30,'Slot Selection'!A:E,5,false)</f>
        <v>0.0265</v>
      </c>
      <c r="I30" s="129">
        <v>2841.0</v>
      </c>
      <c r="J30" s="130"/>
      <c r="K30" s="130">
        <f>vlookup(A30,Overview!B:J,7,false)+vlookup(A30,Overview!B:J,8,false)</f>
        <v>24953.30576</v>
      </c>
      <c r="L30" s="131">
        <f t="shared" si="1"/>
        <v>661.2626027</v>
      </c>
      <c r="M30" s="146">
        <v>1.0</v>
      </c>
      <c r="N30" s="131">
        <f>vlookup(A30,Overview!B:J,9,false)</f>
        <v>20256.3959</v>
      </c>
      <c r="O30" s="131">
        <f t="shared" si="2"/>
        <v>536.7944914</v>
      </c>
      <c r="P30" s="146">
        <v>1.0</v>
      </c>
      <c r="Q30" s="131">
        <f>vlookup(A30,Overview!B:G,5,false)+vlookup(A30,Overview!B:G,6,false)</f>
        <v>49397.36143</v>
      </c>
      <c r="R30" s="131">
        <f t="shared" si="3"/>
        <v>1309.030078</v>
      </c>
      <c r="S30" s="146">
        <v>1.0</v>
      </c>
    </row>
    <row r="31">
      <c r="A31" s="123" t="s">
        <v>39</v>
      </c>
      <c r="B31" s="124" t="s">
        <v>199</v>
      </c>
      <c r="C31" s="124" t="s">
        <v>199</v>
      </c>
      <c r="D31" s="147" t="s">
        <v>201</v>
      </c>
      <c r="E31" s="126" t="str">
        <f>vlookup(G31,'Slot Selection'!A:B,2,false)</f>
        <v>Fish / Seafood</v>
      </c>
      <c r="F31" s="126" t="str">
        <f>vlookup(G31,'Slot Selection'!A:C,3,false)</f>
        <v>Athlete</v>
      </c>
      <c r="G31" s="127">
        <v>19.0</v>
      </c>
      <c r="H31" s="128">
        <f>vlookup(G31,'Slot Selection'!A:E,5,false)</f>
        <v>0.0478</v>
      </c>
      <c r="I31" s="129">
        <v>4663.0</v>
      </c>
      <c r="J31" s="130"/>
      <c r="K31" s="130">
        <f>vlookup(A31,Overview!B:J,7,false)+vlookup(A31,Overview!B:J,8,false)</f>
        <v>24953.30576</v>
      </c>
      <c r="L31" s="131">
        <f t="shared" si="1"/>
        <v>1192.768015</v>
      </c>
      <c r="M31" s="146">
        <v>1.0</v>
      </c>
      <c r="N31" s="131">
        <f>vlookup(A31,Overview!B:J,9,false)</f>
        <v>20256.3959</v>
      </c>
      <c r="O31" s="131">
        <f t="shared" si="2"/>
        <v>968.255724</v>
      </c>
      <c r="P31" s="146">
        <v>1.0</v>
      </c>
      <c r="Q31" s="131">
        <f>vlookup(A31,Overview!B:G,5,false)+vlookup(A31,Overview!B:G,6,false)</f>
        <v>49397.36143</v>
      </c>
      <c r="R31" s="131">
        <f t="shared" si="3"/>
        <v>2361.193876</v>
      </c>
      <c r="S31" s="146">
        <v>1.0</v>
      </c>
    </row>
    <row r="32">
      <c r="A32" s="136" t="s">
        <v>39</v>
      </c>
      <c r="B32" s="137" t="s">
        <v>199</v>
      </c>
      <c r="C32" s="137" t="s">
        <v>199</v>
      </c>
      <c r="D32" s="138" t="s">
        <v>202</v>
      </c>
      <c r="E32" s="139" t="str">
        <f>vlookup(G32,'Slot Selection'!A:B,2,false)</f>
        <v>Beef</v>
      </c>
      <c r="F32" s="139" t="str">
        <f>vlookup(G32,'Slot Selection'!A:C,3,false)</f>
        <v>Athlete</v>
      </c>
      <c r="G32" s="140">
        <v>20.0</v>
      </c>
      <c r="H32" s="141">
        <f>vlookup(G32,'Slot Selection'!A:E,5,false)</f>
        <v>0.0215</v>
      </c>
      <c r="I32" s="142">
        <v>2171.0</v>
      </c>
      <c r="J32" s="143"/>
      <c r="K32" s="143">
        <f>vlookup(A32,Overview!B:J,7,false)+vlookup(A32,Overview!B:J,8,false)</f>
        <v>24953.30576</v>
      </c>
      <c r="L32" s="144">
        <f t="shared" si="1"/>
        <v>536.4960739</v>
      </c>
      <c r="M32" s="145">
        <v>1.0</v>
      </c>
      <c r="N32" s="144">
        <f>vlookup(A32,Overview!B:J,9,false)</f>
        <v>20256.3959</v>
      </c>
      <c r="O32" s="144">
        <f t="shared" si="2"/>
        <v>435.5125119</v>
      </c>
      <c r="P32" s="145">
        <v>1.0</v>
      </c>
      <c r="Q32" s="144">
        <f>vlookup(A32,Overview!B:G,5,false)+vlookup(A32,Overview!B:G,6,false)</f>
        <v>49397.36143</v>
      </c>
      <c r="R32" s="144">
        <f t="shared" si="3"/>
        <v>1062.043271</v>
      </c>
      <c r="S32" s="145">
        <v>1.0</v>
      </c>
    </row>
    <row r="33">
      <c r="A33" s="123"/>
      <c r="B33" s="124"/>
      <c r="C33" s="124"/>
      <c r="D33" s="147"/>
      <c r="E33" s="126" t="str">
        <f>vlookup(G33,'Slot Selection'!A:B,2,false)</f>
        <v>#N/A</v>
      </c>
      <c r="F33" s="126" t="str">
        <f>vlookup(G33,'Slot Selection'!A:C,3,false)</f>
        <v>#N/A</v>
      </c>
      <c r="G33" s="127"/>
      <c r="H33" s="128" t="str">
        <f>vlookup(G33,'Slot Selection'!A:E,5,false)</f>
        <v>#N/A</v>
      </c>
      <c r="I33" s="129" t="str">
        <f t="shared" ref="I33:I51" si="4">L33+O33+R33</f>
        <v>#N/A</v>
      </c>
      <c r="J33" s="130"/>
      <c r="K33" s="130" t="str">
        <f>vlookup(A33,Overview!B:J,7,false)+vlookup(A33,Overview!B:J,8,false)</f>
        <v>#N/A</v>
      </c>
      <c r="L33" s="131" t="str">
        <f t="shared" si="1"/>
        <v>#N/A</v>
      </c>
      <c r="M33" s="146">
        <v>1.0</v>
      </c>
      <c r="N33" s="131" t="str">
        <f>vlookup(A33,Overview!B:J,9,false)</f>
        <v>#N/A</v>
      </c>
      <c r="O33" s="131" t="str">
        <f t="shared" si="2"/>
        <v>#N/A</v>
      </c>
      <c r="P33" s="146">
        <v>1.0</v>
      </c>
      <c r="Q33" s="131" t="str">
        <f>vlookup(A33,Overview!B:G,5,false)+vlookup(A33,Overview!B:G,6,false)</f>
        <v>#N/A</v>
      </c>
      <c r="R33" s="131" t="str">
        <f t="shared" si="3"/>
        <v>#N/A</v>
      </c>
      <c r="S33" s="146">
        <v>1.0</v>
      </c>
    </row>
    <row r="34">
      <c r="A34" s="123"/>
      <c r="B34" s="124"/>
      <c r="C34" s="124"/>
      <c r="D34" s="147"/>
      <c r="E34" s="126" t="str">
        <f>vlookup(G34,'Slot Selection'!A:B,2,false)</f>
        <v>#N/A</v>
      </c>
      <c r="F34" s="126" t="str">
        <f>vlookup(G34,'Slot Selection'!A:C,3,false)</f>
        <v>#N/A</v>
      </c>
      <c r="G34" s="127"/>
      <c r="H34" s="128" t="str">
        <f>vlookup(G34,'Slot Selection'!A:E,5,false)</f>
        <v>#N/A</v>
      </c>
      <c r="I34" s="129" t="str">
        <f t="shared" si="4"/>
        <v>#N/A</v>
      </c>
      <c r="J34" s="130"/>
      <c r="K34" s="130" t="str">
        <f>vlookup(A34,Overview!B:J,7,false)+vlookup(A34,Overview!B:J,8,false)</f>
        <v>#N/A</v>
      </c>
      <c r="L34" s="131" t="str">
        <f t="shared" si="1"/>
        <v>#N/A</v>
      </c>
      <c r="M34" s="146">
        <v>1.0</v>
      </c>
      <c r="N34" s="131" t="str">
        <f>vlookup(A34,Overview!B:J,9,false)</f>
        <v>#N/A</v>
      </c>
      <c r="O34" s="131" t="str">
        <f t="shared" si="2"/>
        <v>#N/A</v>
      </c>
      <c r="P34" s="146">
        <v>1.0</v>
      </c>
      <c r="Q34" s="131" t="str">
        <f>vlookup(A34,Overview!B:G,5,false)+vlookup(A34,Overview!B:G,6,false)</f>
        <v>#N/A</v>
      </c>
      <c r="R34" s="131" t="str">
        <f t="shared" si="3"/>
        <v>#N/A</v>
      </c>
      <c r="S34" s="146">
        <v>1.0</v>
      </c>
    </row>
    <row r="35">
      <c r="A35" s="123"/>
      <c r="B35" s="124"/>
      <c r="C35" s="124"/>
      <c r="D35" s="147"/>
      <c r="E35" s="126" t="str">
        <f>vlookup(G35,'Slot Selection'!A:B,2,false)</f>
        <v>#N/A</v>
      </c>
      <c r="F35" s="126" t="str">
        <f>vlookup(G35,'Slot Selection'!A:C,3,false)</f>
        <v>#N/A</v>
      </c>
      <c r="G35" s="127"/>
      <c r="H35" s="128" t="str">
        <f>vlookup(G35,'Slot Selection'!A:E,5,false)</f>
        <v>#N/A</v>
      </c>
      <c r="I35" s="129" t="str">
        <f t="shared" si="4"/>
        <v>#N/A</v>
      </c>
      <c r="J35" s="130"/>
      <c r="K35" s="130" t="str">
        <f>vlookup(A35,Overview!B:J,7,false)+vlookup(A35,Overview!B:J,8,false)</f>
        <v>#N/A</v>
      </c>
      <c r="L35" s="131" t="str">
        <f t="shared" si="1"/>
        <v>#N/A</v>
      </c>
      <c r="M35" s="146">
        <v>1.0</v>
      </c>
      <c r="N35" s="131" t="str">
        <f>vlookup(A35,Overview!B:J,9,false)</f>
        <v>#N/A</v>
      </c>
      <c r="O35" s="131" t="str">
        <f t="shared" si="2"/>
        <v>#N/A</v>
      </c>
      <c r="P35" s="146">
        <v>1.0</v>
      </c>
      <c r="Q35" s="131" t="str">
        <f>vlookup(A35,Overview!B:G,5,false)+vlookup(A35,Overview!B:G,6,false)</f>
        <v>#N/A</v>
      </c>
      <c r="R35" s="131" t="str">
        <f t="shared" si="3"/>
        <v>#N/A</v>
      </c>
      <c r="S35" s="146">
        <v>1.0</v>
      </c>
    </row>
    <row r="36">
      <c r="A36" s="123"/>
      <c r="B36" s="124"/>
      <c r="C36" s="124"/>
      <c r="D36" s="147"/>
      <c r="E36" s="126" t="str">
        <f>vlookup(G36,'Slot Selection'!A:B,2,false)</f>
        <v>#N/A</v>
      </c>
      <c r="F36" s="126" t="str">
        <f>vlookup(G36,'Slot Selection'!A:C,3,false)</f>
        <v>#N/A</v>
      </c>
      <c r="G36" s="127"/>
      <c r="H36" s="128" t="str">
        <f>vlookup(G36,'Slot Selection'!A:E,5,false)</f>
        <v>#N/A</v>
      </c>
      <c r="I36" s="129" t="str">
        <f t="shared" si="4"/>
        <v>#N/A</v>
      </c>
      <c r="J36" s="130"/>
      <c r="K36" s="130" t="str">
        <f>vlookup(A36,Overview!B:J,7,false)+vlookup(A36,Overview!B:J,8,false)</f>
        <v>#N/A</v>
      </c>
      <c r="L36" s="131" t="str">
        <f t="shared" si="1"/>
        <v>#N/A</v>
      </c>
      <c r="M36" s="146">
        <v>1.0</v>
      </c>
      <c r="N36" s="131" t="str">
        <f>vlookup(A36,Overview!B:J,9,false)</f>
        <v>#N/A</v>
      </c>
      <c r="O36" s="131" t="str">
        <f t="shared" si="2"/>
        <v>#N/A</v>
      </c>
      <c r="P36" s="146">
        <v>1.0</v>
      </c>
      <c r="Q36" s="131" t="str">
        <f>vlookup(A36,Overview!B:G,5,false)+vlookup(A36,Overview!B:G,6,false)</f>
        <v>#N/A</v>
      </c>
      <c r="R36" s="131" t="str">
        <f t="shared" si="3"/>
        <v>#N/A</v>
      </c>
      <c r="S36" s="146">
        <v>1.0</v>
      </c>
    </row>
    <row r="37">
      <c r="A37" s="123"/>
      <c r="B37" s="124"/>
      <c r="C37" s="124"/>
      <c r="D37" s="147"/>
      <c r="E37" s="126" t="str">
        <f>vlookup(G37,'Slot Selection'!A:B,2,false)</f>
        <v>#N/A</v>
      </c>
      <c r="F37" s="126" t="str">
        <f>vlookup(G37,'Slot Selection'!A:C,3,false)</f>
        <v>#N/A</v>
      </c>
      <c r="G37" s="127"/>
      <c r="H37" s="128" t="str">
        <f>vlookup(G37,'Slot Selection'!A:E,5,false)</f>
        <v>#N/A</v>
      </c>
      <c r="I37" s="129" t="str">
        <f t="shared" si="4"/>
        <v>#N/A</v>
      </c>
      <c r="J37" s="130"/>
      <c r="K37" s="130" t="str">
        <f>vlookup(A37,Overview!B:J,7,false)+vlookup(A37,Overview!B:J,8,false)</f>
        <v>#N/A</v>
      </c>
      <c r="L37" s="131" t="str">
        <f t="shared" si="1"/>
        <v>#N/A</v>
      </c>
      <c r="M37" s="146">
        <v>1.0</v>
      </c>
      <c r="N37" s="131" t="str">
        <f>vlookup(A37,Overview!B:J,9,false)</f>
        <v>#N/A</v>
      </c>
      <c r="O37" s="131" t="str">
        <f t="shared" si="2"/>
        <v>#N/A</v>
      </c>
      <c r="P37" s="146">
        <v>1.0</v>
      </c>
      <c r="Q37" s="131" t="str">
        <f>vlookup(A37,Overview!B:G,5,false)+vlookup(A37,Overview!B:G,6,false)</f>
        <v>#N/A</v>
      </c>
      <c r="R37" s="131" t="str">
        <f t="shared" si="3"/>
        <v>#N/A</v>
      </c>
      <c r="S37" s="146">
        <v>1.0</v>
      </c>
    </row>
    <row r="38">
      <c r="A38" s="123"/>
      <c r="B38" s="124"/>
      <c r="C38" s="124"/>
      <c r="D38" s="147"/>
      <c r="E38" s="126" t="str">
        <f>vlookup(G38,'Slot Selection'!A:B,2,false)</f>
        <v>#N/A</v>
      </c>
      <c r="F38" s="126" t="str">
        <f>vlookup(G38,'Slot Selection'!A:C,3,false)</f>
        <v>#N/A</v>
      </c>
      <c r="G38" s="127"/>
      <c r="H38" s="128" t="str">
        <f>vlookup(G38,'Slot Selection'!A:E,5,false)</f>
        <v>#N/A</v>
      </c>
      <c r="I38" s="129" t="str">
        <f t="shared" si="4"/>
        <v>#N/A</v>
      </c>
      <c r="J38" s="130"/>
      <c r="K38" s="130" t="str">
        <f>vlookup(A38,Overview!B:J,7,false)+vlookup(A38,Overview!B:J,8,false)</f>
        <v>#N/A</v>
      </c>
      <c r="L38" s="131" t="str">
        <f t="shared" si="1"/>
        <v>#N/A</v>
      </c>
      <c r="M38" s="146">
        <v>1.0</v>
      </c>
      <c r="N38" s="131" t="str">
        <f>vlookup(A38,Overview!B:J,9,false)</f>
        <v>#N/A</v>
      </c>
      <c r="O38" s="131" t="str">
        <f t="shared" si="2"/>
        <v>#N/A</v>
      </c>
      <c r="P38" s="146">
        <v>1.0</v>
      </c>
      <c r="Q38" s="131" t="str">
        <f>vlookup(A38,Overview!B:G,5,false)+vlookup(A38,Overview!B:G,6,false)</f>
        <v>#N/A</v>
      </c>
      <c r="R38" s="131" t="str">
        <f t="shared" si="3"/>
        <v>#N/A</v>
      </c>
      <c r="S38" s="146">
        <v>1.0</v>
      </c>
    </row>
    <row r="39">
      <c r="A39" s="123"/>
      <c r="B39" s="124"/>
      <c r="C39" s="124"/>
      <c r="D39" s="147"/>
      <c r="E39" s="126" t="str">
        <f>vlookup(G39,'Slot Selection'!A:B,2,false)</f>
        <v>#N/A</v>
      </c>
      <c r="F39" s="126" t="str">
        <f>vlookup(G39,'Slot Selection'!A:C,3,false)</f>
        <v>#N/A</v>
      </c>
      <c r="G39" s="127"/>
      <c r="H39" s="128" t="str">
        <f>vlookup(G39,'Slot Selection'!A:E,5,false)</f>
        <v>#N/A</v>
      </c>
      <c r="I39" s="129" t="str">
        <f t="shared" si="4"/>
        <v>#N/A</v>
      </c>
      <c r="J39" s="130"/>
      <c r="K39" s="130" t="str">
        <f>vlookup(A39,Overview!B:J,7,false)+vlookup(A39,Overview!B:J,8,false)</f>
        <v>#N/A</v>
      </c>
      <c r="L39" s="131" t="str">
        <f t="shared" si="1"/>
        <v>#N/A</v>
      </c>
      <c r="M39" s="146">
        <v>1.0</v>
      </c>
      <c r="N39" s="131" t="str">
        <f>vlookup(A39,Overview!B:J,9,false)</f>
        <v>#N/A</v>
      </c>
      <c r="O39" s="131" t="str">
        <f t="shared" si="2"/>
        <v>#N/A</v>
      </c>
      <c r="P39" s="146">
        <v>1.0</v>
      </c>
      <c r="Q39" s="131" t="str">
        <f>vlookup(A39,Overview!B:G,5,false)+vlookup(A39,Overview!B:G,6,false)</f>
        <v>#N/A</v>
      </c>
      <c r="R39" s="131" t="str">
        <f t="shared" si="3"/>
        <v>#N/A</v>
      </c>
      <c r="S39" s="146">
        <v>1.0</v>
      </c>
    </row>
    <row r="40">
      <c r="A40" s="123"/>
      <c r="B40" s="124"/>
      <c r="C40" s="124"/>
      <c r="D40" s="147"/>
      <c r="E40" s="126" t="str">
        <f>vlookup(G40,'Slot Selection'!A:B,2,false)</f>
        <v>#N/A</v>
      </c>
      <c r="F40" s="126" t="str">
        <f>vlookup(G40,'Slot Selection'!A:C,3,false)</f>
        <v>#N/A</v>
      </c>
      <c r="G40" s="127"/>
      <c r="H40" s="128" t="str">
        <f>vlookup(G40,'Slot Selection'!A:E,5,false)</f>
        <v>#N/A</v>
      </c>
      <c r="I40" s="129" t="str">
        <f t="shared" si="4"/>
        <v>#N/A</v>
      </c>
      <c r="J40" s="130"/>
      <c r="K40" s="130" t="str">
        <f>vlookup(A40,Overview!B:J,7,false)+vlookup(A40,Overview!B:J,8,false)</f>
        <v>#N/A</v>
      </c>
      <c r="L40" s="131" t="str">
        <f t="shared" si="1"/>
        <v>#N/A</v>
      </c>
      <c r="M40" s="146">
        <v>1.0</v>
      </c>
      <c r="N40" s="131" t="str">
        <f>vlookup(A40,Overview!B:J,9,false)</f>
        <v>#N/A</v>
      </c>
      <c r="O40" s="131" t="str">
        <f t="shared" si="2"/>
        <v>#N/A</v>
      </c>
      <c r="P40" s="146">
        <v>1.0</v>
      </c>
      <c r="Q40" s="131" t="str">
        <f>vlookup(A40,Overview!B:G,5,false)+vlookup(A40,Overview!B:G,6,false)</f>
        <v>#N/A</v>
      </c>
      <c r="R40" s="131" t="str">
        <f t="shared" si="3"/>
        <v>#N/A</v>
      </c>
      <c r="S40" s="146">
        <v>1.0</v>
      </c>
    </row>
    <row r="41">
      <c r="A41" s="136"/>
      <c r="B41" s="137"/>
      <c r="C41" s="137"/>
      <c r="D41" s="138"/>
      <c r="E41" s="139" t="str">
        <f>vlookup(G41,'Slot Selection'!A:B,2,false)</f>
        <v>#N/A</v>
      </c>
      <c r="F41" s="139" t="str">
        <f>vlookup(G41,'Slot Selection'!A:C,3,false)</f>
        <v>#N/A</v>
      </c>
      <c r="G41" s="140"/>
      <c r="H41" s="141" t="str">
        <f>vlookup(G41,'Slot Selection'!A:E,5,false)</f>
        <v>#N/A</v>
      </c>
      <c r="I41" s="142" t="str">
        <f t="shared" si="4"/>
        <v>#N/A</v>
      </c>
      <c r="J41" s="143"/>
      <c r="K41" s="143" t="str">
        <f>vlookup(A41,Overview!B:J,7,false)+vlookup(A41,Overview!B:J,8,false)</f>
        <v>#N/A</v>
      </c>
      <c r="L41" s="144" t="str">
        <f t="shared" si="1"/>
        <v>#N/A</v>
      </c>
      <c r="M41" s="145">
        <v>1.0</v>
      </c>
      <c r="N41" s="144" t="str">
        <f>vlookup(A41,Overview!B:J,9,false)</f>
        <v>#N/A</v>
      </c>
      <c r="O41" s="144" t="str">
        <f t="shared" si="2"/>
        <v>#N/A</v>
      </c>
      <c r="P41" s="145">
        <v>1.0</v>
      </c>
      <c r="Q41" s="144" t="str">
        <f>vlookup(A41,Overview!B:G,5,false)+vlookup(A41,Overview!B:G,6,false)</f>
        <v>#N/A</v>
      </c>
      <c r="R41" s="144" t="str">
        <f t="shared" si="3"/>
        <v>#N/A</v>
      </c>
      <c r="S41" s="145">
        <v>1.0</v>
      </c>
    </row>
    <row r="42">
      <c r="A42" s="123"/>
      <c r="B42" s="124"/>
      <c r="C42" s="124"/>
      <c r="D42" s="147"/>
      <c r="E42" s="126" t="str">
        <f>vlookup(G42,'Slot Selection'!A:B,2,false)</f>
        <v>#N/A</v>
      </c>
      <c r="F42" s="126" t="str">
        <f>vlookup(G42,'Slot Selection'!A:C,3,false)</f>
        <v>#N/A</v>
      </c>
      <c r="G42" s="127"/>
      <c r="H42" s="128" t="str">
        <f>vlookup(G42,'Slot Selection'!A:E,5,false)</f>
        <v>#N/A</v>
      </c>
      <c r="I42" s="129" t="str">
        <f t="shared" si="4"/>
        <v>#N/A</v>
      </c>
      <c r="J42" s="130"/>
      <c r="K42" s="130" t="str">
        <f>vlookup(A42,Overview!B:J,7,false)+vlookup(A42,Overview!B:J,8,false)</f>
        <v>#N/A</v>
      </c>
      <c r="L42" s="131" t="str">
        <f t="shared" si="1"/>
        <v>#N/A</v>
      </c>
      <c r="M42" s="146">
        <v>1.0</v>
      </c>
      <c r="N42" s="131" t="str">
        <f>vlookup(A42,Overview!B:J,9,false)</f>
        <v>#N/A</v>
      </c>
      <c r="O42" s="131" t="str">
        <f t="shared" si="2"/>
        <v>#N/A</v>
      </c>
      <c r="P42" s="146">
        <v>1.0</v>
      </c>
      <c r="Q42" s="131" t="str">
        <f>vlookup(A42,Overview!B:G,5,false)+vlookup(A42,Overview!B:G,6,false)</f>
        <v>#N/A</v>
      </c>
      <c r="R42" s="131" t="str">
        <f t="shared" si="3"/>
        <v>#N/A</v>
      </c>
      <c r="S42" s="146">
        <v>1.0</v>
      </c>
    </row>
    <row r="43">
      <c r="A43" s="123"/>
      <c r="B43" s="124"/>
      <c r="C43" s="124"/>
      <c r="D43" s="147"/>
      <c r="E43" s="126" t="str">
        <f>vlookup(G43,'Slot Selection'!A:B,2,false)</f>
        <v>#N/A</v>
      </c>
      <c r="F43" s="126" t="str">
        <f>vlookup(G43,'Slot Selection'!A:C,3,false)</f>
        <v>#N/A</v>
      </c>
      <c r="G43" s="127"/>
      <c r="H43" s="128" t="str">
        <f>vlookup(G43,'Slot Selection'!A:E,5,false)</f>
        <v>#N/A</v>
      </c>
      <c r="I43" s="129" t="str">
        <f t="shared" si="4"/>
        <v>#N/A</v>
      </c>
      <c r="J43" s="130"/>
      <c r="K43" s="130" t="str">
        <f>vlookup(A43,Overview!B:J,7,false)+vlookup(A43,Overview!B:J,8,false)</f>
        <v>#N/A</v>
      </c>
      <c r="L43" s="131" t="str">
        <f t="shared" si="1"/>
        <v>#N/A</v>
      </c>
      <c r="M43" s="146">
        <v>1.0</v>
      </c>
      <c r="N43" s="131" t="str">
        <f>vlookup(A43,Overview!B:J,9,false)</f>
        <v>#N/A</v>
      </c>
      <c r="O43" s="131" t="str">
        <f t="shared" si="2"/>
        <v>#N/A</v>
      </c>
      <c r="P43" s="146">
        <v>1.0</v>
      </c>
      <c r="Q43" s="131" t="str">
        <f>vlookup(A43,Overview!B:G,5,false)+vlookup(A43,Overview!B:G,6,false)</f>
        <v>#N/A</v>
      </c>
      <c r="R43" s="131" t="str">
        <f t="shared" si="3"/>
        <v>#N/A</v>
      </c>
      <c r="S43" s="146">
        <v>1.0</v>
      </c>
    </row>
    <row r="44">
      <c r="A44" s="123"/>
      <c r="B44" s="124"/>
      <c r="C44" s="124"/>
      <c r="D44" s="147"/>
      <c r="E44" s="126" t="str">
        <f>vlookup(G44,'Slot Selection'!A:B,2,false)</f>
        <v>#N/A</v>
      </c>
      <c r="F44" s="126" t="str">
        <f>vlookup(G44,'Slot Selection'!A:C,3,false)</f>
        <v>#N/A</v>
      </c>
      <c r="G44" s="127"/>
      <c r="H44" s="128" t="str">
        <f>vlookup(G44,'Slot Selection'!A:E,5,false)</f>
        <v>#N/A</v>
      </c>
      <c r="I44" s="129" t="str">
        <f t="shared" si="4"/>
        <v>#N/A</v>
      </c>
      <c r="J44" s="130"/>
      <c r="K44" s="130" t="str">
        <f>vlookup(A44,Overview!B:J,7,false)+vlookup(A44,Overview!B:J,8,false)</f>
        <v>#N/A</v>
      </c>
      <c r="L44" s="131" t="str">
        <f t="shared" si="1"/>
        <v>#N/A</v>
      </c>
      <c r="M44" s="146">
        <v>1.0</v>
      </c>
      <c r="N44" s="131" t="str">
        <f>vlookup(A44,Overview!B:J,9,false)</f>
        <v>#N/A</v>
      </c>
      <c r="O44" s="131" t="str">
        <f t="shared" si="2"/>
        <v>#N/A</v>
      </c>
      <c r="P44" s="146">
        <v>1.0</v>
      </c>
      <c r="Q44" s="131" t="str">
        <f>vlookup(A44,Overview!B:G,5,false)+vlookup(A44,Overview!B:G,6,false)</f>
        <v>#N/A</v>
      </c>
      <c r="R44" s="131" t="str">
        <f t="shared" si="3"/>
        <v>#N/A</v>
      </c>
      <c r="S44" s="146">
        <v>1.0</v>
      </c>
    </row>
    <row r="45">
      <c r="A45" s="123"/>
      <c r="B45" s="124"/>
      <c r="C45" s="124"/>
      <c r="D45" s="147"/>
      <c r="E45" s="126" t="str">
        <f>vlookup(G45,'Slot Selection'!A:B,2,false)</f>
        <v>#N/A</v>
      </c>
      <c r="F45" s="126" t="str">
        <f>vlookup(G45,'Slot Selection'!A:C,3,false)</f>
        <v>#N/A</v>
      </c>
      <c r="G45" s="127"/>
      <c r="H45" s="128" t="str">
        <f>vlookup(G45,'Slot Selection'!A:E,5,false)</f>
        <v>#N/A</v>
      </c>
      <c r="I45" s="129" t="str">
        <f t="shared" si="4"/>
        <v>#N/A</v>
      </c>
      <c r="J45" s="130"/>
      <c r="K45" s="130" t="str">
        <f>vlookup(A45,Overview!B:J,7,false)+vlookup(A45,Overview!B:J,8,false)</f>
        <v>#N/A</v>
      </c>
      <c r="L45" s="131" t="str">
        <f t="shared" si="1"/>
        <v>#N/A</v>
      </c>
      <c r="M45" s="146">
        <v>1.0</v>
      </c>
      <c r="N45" s="131" t="str">
        <f>vlookup(A45,Overview!B:J,9,false)</f>
        <v>#N/A</v>
      </c>
      <c r="O45" s="131" t="str">
        <f t="shared" si="2"/>
        <v>#N/A</v>
      </c>
      <c r="P45" s="146">
        <v>1.0</v>
      </c>
      <c r="Q45" s="131" t="str">
        <f>vlookup(A45,Overview!B:G,5,false)+vlookup(A45,Overview!B:G,6,false)</f>
        <v>#N/A</v>
      </c>
      <c r="R45" s="131" t="str">
        <f t="shared" si="3"/>
        <v>#N/A</v>
      </c>
      <c r="S45" s="146">
        <v>1.0</v>
      </c>
    </row>
    <row r="46">
      <c r="A46" s="123"/>
      <c r="B46" s="124"/>
      <c r="C46" s="124"/>
      <c r="D46" s="147"/>
      <c r="E46" s="126" t="str">
        <f>vlookup(G46,'Slot Selection'!A:B,2,false)</f>
        <v>#N/A</v>
      </c>
      <c r="F46" s="126" t="str">
        <f>vlookup(G46,'Slot Selection'!A:C,3,false)</f>
        <v>#N/A</v>
      </c>
      <c r="G46" s="127"/>
      <c r="H46" s="128" t="str">
        <f>vlookup(G46,'Slot Selection'!A:E,5,false)</f>
        <v>#N/A</v>
      </c>
      <c r="I46" s="129" t="str">
        <f t="shared" si="4"/>
        <v>#N/A</v>
      </c>
      <c r="J46" s="130"/>
      <c r="K46" s="130" t="str">
        <f>vlookup(A46,Overview!B:J,7,false)+vlookup(A46,Overview!B:J,8,false)</f>
        <v>#N/A</v>
      </c>
      <c r="L46" s="131" t="str">
        <f t="shared" si="1"/>
        <v>#N/A</v>
      </c>
      <c r="M46" s="146">
        <v>1.0</v>
      </c>
      <c r="N46" s="131" t="str">
        <f>vlookup(A46,Overview!B:J,9,false)</f>
        <v>#N/A</v>
      </c>
      <c r="O46" s="131" t="str">
        <f t="shared" si="2"/>
        <v>#N/A</v>
      </c>
      <c r="P46" s="146">
        <v>1.0</v>
      </c>
      <c r="Q46" s="131" t="str">
        <f>vlookup(A46,Overview!B:G,5,false)+vlookup(A46,Overview!B:G,6,false)</f>
        <v>#N/A</v>
      </c>
      <c r="R46" s="131" t="str">
        <f t="shared" si="3"/>
        <v>#N/A</v>
      </c>
      <c r="S46" s="146">
        <v>1.0</v>
      </c>
    </row>
    <row r="47">
      <c r="A47" s="123"/>
      <c r="B47" s="124"/>
      <c r="C47" s="124"/>
      <c r="D47" s="147"/>
      <c r="E47" s="126" t="str">
        <f>vlookup(G47,'Slot Selection'!A:B,2,false)</f>
        <v>#N/A</v>
      </c>
      <c r="F47" s="126" t="str">
        <f>vlookup(G47,'Slot Selection'!A:C,3,false)</f>
        <v>#N/A</v>
      </c>
      <c r="G47" s="127"/>
      <c r="H47" s="128" t="str">
        <f>vlookup(G47,'Slot Selection'!A:E,5,false)</f>
        <v>#N/A</v>
      </c>
      <c r="I47" s="129" t="str">
        <f t="shared" si="4"/>
        <v>#N/A</v>
      </c>
      <c r="J47" s="130"/>
      <c r="K47" s="130" t="str">
        <f>vlookup(A47,Overview!B:J,7,false)+vlookup(A47,Overview!B:J,8,false)</f>
        <v>#N/A</v>
      </c>
      <c r="L47" s="131" t="str">
        <f t="shared" si="1"/>
        <v>#N/A</v>
      </c>
      <c r="M47" s="146">
        <v>1.0</v>
      </c>
      <c r="N47" s="131" t="str">
        <f>vlookup(A47,Overview!B:J,9,false)</f>
        <v>#N/A</v>
      </c>
      <c r="O47" s="131" t="str">
        <f t="shared" si="2"/>
        <v>#N/A</v>
      </c>
      <c r="P47" s="146">
        <v>1.0</v>
      </c>
      <c r="Q47" s="131" t="str">
        <f>vlookup(A47,Overview!B:G,5,false)+vlookup(A47,Overview!B:G,6,false)</f>
        <v>#N/A</v>
      </c>
      <c r="R47" s="131" t="str">
        <f t="shared" si="3"/>
        <v>#N/A</v>
      </c>
      <c r="S47" s="146">
        <v>1.0</v>
      </c>
    </row>
    <row r="48">
      <c r="A48" s="123"/>
      <c r="B48" s="124"/>
      <c r="C48" s="124"/>
      <c r="D48" s="147"/>
      <c r="E48" s="126" t="str">
        <f>vlookup(G48,'Slot Selection'!A:B,2,false)</f>
        <v>#N/A</v>
      </c>
      <c r="F48" s="126" t="str">
        <f>vlookup(G48,'Slot Selection'!A:C,3,false)</f>
        <v>#N/A</v>
      </c>
      <c r="G48" s="127"/>
      <c r="H48" s="128" t="str">
        <f>vlookup(G48,'Slot Selection'!A:E,5,false)</f>
        <v>#N/A</v>
      </c>
      <c r="I48" s="129" t="str">
        <f t="shared" si="4"/>
        <v>#N/A</v>
      </c>
      <c r="J48" s="130"/>
      <c r="K48" s="130" t="str">
        <f>vlookup(A48,Overview!B:J,7,false)+vlookup(A48,Overview!B:J,8,false)</f>
        <v>#N/A</v>
      </c>
      <c r="L48" s="131" t="str">
        <f t="shared" si="1"/>
        <v>#N/A</v>
      </c>
      <c r="M48" s="146">
        <v>1.0</v>
      </c>
      <c r="N48" s="131" t="str">
        <f>vlookup(A48,Overview!B:J,9,false)</f>
        <v>#N/A</v>
      </c>
      <c r="O48" s="131" t="str">
        <f t="shared" si="2"/>
        <v>#N/A</v>
      </c>
      <c r="P48" s="146">
        <v>1.0</v>
      </c>
      <c r="Q48" s="131" t="str">
        <f>vlookup(A48,Overview!B:G,5,false)+vlookup(A48,Overview!B:G,6,false)</f>
        <v>#N/A</v>
      </c>
      <c r="R48" s="131" t="str">
        <f t="shared" si="3"/>
        <v>#N/A</v>
      </c>
      <c r="S48" s="146">
        <v>1.0</v>
      </c>
    </row>
    <row r="49">
      <c r="A49" s="123"/>
      <c r="B49" s="124"/>
      <c r="C49" s="124"/>
      <c r="D49" s="147"/>
      <c r="E49" s="126" t="str">
        <f>vlookup(G49,'Slot Selection'!A:B,2,false)</f>
        <v>#N/A</v>
      </c>
      <c r="F49" s="126" t="str">
        <f>vlookup(G49,'Slot Selection'!A:C,3,false)</f>
        <v>#N/A</v>
      </c>
      <c r="G49" s="127"/>
      <c r="H49" s="128" t="str">
        <f>vlookup(G49,'Slot Selection'!A:E,5,false)</f>
        <v>#N/A</v>
      </c>
      <c r="I49" s="129" t="str">
        <f t="shared" si="4"/>
        <v>#N/A</v>
      </c>
      <c r="J49" s="130"/>
      <c r="K49" s="130" t="str">
        <f>vlookup(A49,Overview!B:J,7,false)+vlookup(A49,Overview!B:J,8,false)</f>
        <v>#N/A</v>
      </c>
      <c r="L49" s="131" t="str">
        <f t="shared" si="1"/>
        <v>#N/A</v>
      </c>
      <c r="M49" s="146">
        <v>1.0</v>
      </c>
      <c r="N49" s="131" t="str">
        <f>vlookup(A49,Overview!B:J,9,false)</f>
        <v>#N/A</v>
      </c>
      <c r="O49" s="131" t="str">
        <f t="shared" si="2"/>
        <v>#N/A</v>
      </c>
      <c r="P49" s="146">
        <v>1.0</v>
      </c>
      <c r="Q49" s="131" t="str">
        <f>vlookup(A49,Overview!B:G,5,false)+vlookup(A49,Overview!B:G,6,false)</f>
        <v>#N/A</v>
      </c>
      <c r="R49" s="131" t="str">
        <f t="shared" si="3"/>
        <v>#N/A</v>
      </c>
      <c r="S49" s="146">
        <v>1.0</v>
      </c>
    </row>
    <row r="50">
      <c r="A50" s="123"/>
      <c r="B50" s="124"/>
      <c r="C50" s="124"/>
      <c r="D50" s="147"/>
      <c r="E50" s="126" t="str">
        <f>vlookup(G50,'Slot Selection'!A:B,2,false)</f>
        <v>#N/A</v>
      </c>
      <c r="F50" s="126" t="str">
        <f>vlookup(G50,'Slot Selection'!A:C,3,false)</f>
        <v>#N/A</v>
      </c>
      <c r="G50" s="127"/>
      <c r="H50" s="128" t="str">
        <f>vlookup(G50,'Slot Selection'!A:E,5,false)</f>
        <v>#N/A</v>
      </c>
      <c r="I50" s="129" t="str">
        <f t="shared" si="4"/>
        <v>#N/A</v>
      </c>
      <c r="J50" s="130"/>
      <c r="K50" s="130" t="str">
        <f>vlookup(A50,Overview!B:J,7,false)+vlookup(A50,Overview!B:J,8,false)</f>
        <v>#N/A</v>
      </c>
      <c r="L50" s="131" t="str">
        <f t="shared" si="1"/>
        <v>#N/A</v>
      </c>
      <c r="M50" s="146">
        <v>1.0</v>
      </c>
      <c r="N50" s="131" t="str">
        <f>vlookup(A50,Overview!B:J,9,false)</f>
        <v>#N/A</v>
      </c>
      <c r="O50" s="131" t="str">
        <f t="shared" si="2"/>
        <v>#N/A</v>
      </c>
      <c r="P50" s="146">
        <v>1.0</v>
      </c>
      <c r="Q50" s="131" t="str">
        <f>vlookup(A50,Overview!B:G,5,false)+vlookup(A50,Overview!B:G,6,false)</f>
        <v>#N/A</v>
      </c>
      <c r="R50" s="131" t="str">
        <f t="shared" si="3"/>
        <v>#N/A</v>
      </c>
      <c r="S50" s="146">
        <v>1.0</v>
      </c>
    </row>
    <row r="51">
      <c r="A51" s="136"/>
      <c r="B51" s="137"/>
      <c r="C51" s="137"/>
      <c r="D51" s="138"/>
      <c r="E51" s="139" t="str">
        <f>vlookup(G51,'Slot Selection'!A:B,2,false)</f>
        <v>#N/A</v>
      </c>
      <c r="F51" s="139" t="str">
        <f>vlookup(G51,'Slot Selection'!A:C,3,false)</f>
        <v>#N/A</v>
      </c>
      <c r="G51" s="140"/>
      <c r="H51" s="141" t="str">
        <f>vlookup(G51,'Slot Selection'!A:E,5,false)</f>
        <v>#N/A</v>
      </c>
      <c r="I51" s="142" t="str">
        <f t="shared" si="4"/>
        <v>#N/A</v>
      </c>
      <c r="J51" s="143"/>
      <c r="K51" s="143" t="str">
        <f>vlookup(A51,Overview!B:J,7,false)+vlookup(A51,Overview!B:J,8,false)</f>
        <v>#N/A</v>
      </c>
      <c r="L51" s="144" t="str">
        <f t="shared" si="1"/>
        <v>#N/A</v>
      </c>
      <c r="M51" s="145">
        <v>1.0</v>
      </c>
      <c r="N51" s="144" t="str">
        <f>vlookup(A51,Overview!B:J,9,false)</f>
        <v>#N/A</v>
      </c>
      <c r="O51" s="144" t="str">
        <f t="shared" si="2"/>
        <v>#N/A</v>
      </c>
      <c r="P51" s="145">
        <v>1.0</v>
      </c>
      <c r="Q51" s="144" t="str">
        <f>vlookup(A51,Overview!B:G,5,false)+vlookup(A51,Overview!B:G,6,false)</f>
        <v>#N/A</v>
      </c>
      <c r="R51" s="144" t="str">
        <f t="shared" si="3"/>
        <v>#N/A</v>
      </c>
      <c r="S51" s="145">
        <v>1.0</v>
      </c>
    </row>
    <row r="52">
      <c r="A52" s="126"/>
      <c r="B52" s="126"/>
      <c r="C52" s="126"/>
      <c r="D52" s="126"/>
      <c r="E52" s="126"/>
      <c r="F52" s="126"/>
      <c r="G52" s="126"/>
      <c r="H52" s="126"/>
      <c r="I52" s="126"/>
      <c r="J52" s="126"/>
      <c r="K52" s="126"/>
      <c r="L52" s="126"/>
      <c r="M52" s="126"/>
      <c r="N52" s="126"/>
      <c r="O52" s="126"/>
      <c r="P52" s="126"/>
      <c r="Q52" s="126"/>
      <c r="R52" s="126"/>
      <c r="S52" s="126"/>
    </row>
    <row r="53">
      <c r="A53" s="126"/>
      <c r="B53" s="126"/>
      <c r="C53" s="126"/>
      <c r="D53" s="126"/>
      <c r="E53" s="126"/>
      <c r="F53" s="126"/>
      <c r="G53" s="126"/>
      <c r="H53" s="126"/>
      <c r="I53" s="126"/>
      <c r="J53" s="126"/>
      <c r="K53" s="126"/>
      <c r="L53" s="126"/>
      <c r="M53" s="126"/>
      <c r="N53" s="126"/>
      <c r="O53" s="126"/>
      <c r="P53" s="126"/>
      <c r="Q53" s="126"/>
      <c r="R53" s="126"/>
      <c r="S53" s="126"/>
    </row>
    <row r="54">
      <c r="A54" s="126"/>
      <c r="B54" s="126"/>
      <c r="C54" s="126"/>
      <c r="D54" s="126"/>
      <c r="E54" s="126"/>
      <c r="F54" s="126"/>
      <c r="G54" s="126"/>
      <c r="H54" s="126"/>
      <c r="I54" s="126"/>
      <c r="J54" s="126"/>
      <c r="K54" s="126"/>
      <c r="L54" s="126"/>
      <c r="M54" s="126"/>
      <c r="N54" s="126"/>
      <c r="O54" s="126"/>
      <c r="P54" s="126"/>
      <c r="Q54" s="126"/>
      <c r="R54" s="126"/>
      <c r="S54" s="126"/>
    </row>
    <row r="55">
      <c r="A55" s="126"/>
      <c r="B55" s="126"/>
      <c r="C55" s="126"/>
      <c r="D55" s="126"/>
      <c r="E55" s="126"/>
      <c r="F55" s="126"/>
      <c r="G55" s="126"/>
      <c r="H55" s="126"/>
      <c r="I55" s="126"/>
      <c r="J55" s="126"/>
      <c r="K55" s="126"/>
      <c r="L55" s="126"/>
      <c r="M55" s="126"/>
      <c r="N55" s="126"/>
      <c r="O55" s="126"/>
      <c r="P55" s="126"/>
      <c r="Q55" s="126"/>
      <c r="R55" s="126"/>
      <c r="S55" s="126"/>
    </row>
    <row r="56">
      <c r="A56" s="126"/>
      <c r="B56" s="126"/>
      <c r="C56" s="126"/>
      <c r="D56" s="126"/>
      <c r="E56" s="126"/>
      <c r="F56" s="126"/>
      <c r="G56" s="126"/>
      <c r="H56" s="126"/>
      <c r="I56" s="126"/>
      <c r="J56" s="126"/>
      <c r="K56" s="126"/>
      <c r="L56" s="126"/>
      <c r="M56" s="126"/>
      <c r="N56" s="126"/>
      <c r="O56" s="126"/>
      <c r="P56" s="126"/>
      <c r="Q56" s="126"/>
      <c r="R56" s="126"/>
      <c r="S56" s="126"/>
    </row>
    <row r="57">
      <c r="A57" s="126"/>
      <c r="B57" s="126"/>
      <c r="C57" s="126"/>
      <c r="D57" s="126"/>
      <c r="E57" s="126"/>
      <c r="F57" s="126"/>
      <c r="G57" s="126"/>
      <c r="H57" s="126"/>
      <c r="I57" s="126"/>
      <c r="J57" s="126"/>
      <c r="K57" s="126"/>
      <c r="L57" s="126"/>
      <c r="M57" s="126"/>
      <c r="N57" s="126"/>
      <c r="O57" s="126"/>
      <c r="P57" s="126"/>
      <c r="Q57" s="126"/>
      <c r="R57" s="126"/>
      <c r="S57" s="126"/>
    </row>
    <row r="58">
      <c r="A58" s="126"/>
      <c r="B58" s="126"/>
      <c r="C58" s="126"/>
      <c r="D58" s="126"/>
      <c r="E58" s="126"/>
      <c r="F58" s="126"/>
      <c r="G58" s="126"/>
      <c r="H58" s="126"/>
      <c r="I58" s="126"/>
      <c r="J58" s="126"/>
      <c r="K58" s="126"/>
      <c r="L58" s="126"/>
      <c r="M58" s="126"/>
      <c r="N58" s="126"/>
      <c r="O58" s="126"/>
      <c r="P58" s="126"/>
      <c r="Q58" s="126"/>
      <c r="R58" s="126"/>
      <c r="S58" s="126"/>
    </row>
    <row r="59">
      <c r="A59" s="126"/>
      <c r="B59" s="126"/>
      <c r="C59" s="126"/>
      <c r="D59" s="126"/>
      <c r="E59" s="126"/>
      <c r="F59" s="126"/>
      <c r="G59" s="126"/>
      <c r="H59" s="126"/>
      <c r="I59" s="126"/>
      <c r="J59" s="126"/>
      <c r="K59" s="126"/>
      <c r="L59" s="126"/>
      <c r="M59" s="126"/>
      <c r="N59" s="126"/>
      <c r="O59" s="126"/>
      <c r="P59" s="126"/>
      <c r="Q59" s="126"/>
      <c r="R59" s="126"/>
      <c r="S59" s="126"/>
    </row>
    <row r="60">
      <c r="A60" s="126"/>
      <c r="B60" s="126"/>
      <c r="C60" s="126"/>
      <c r="D60" s="126"/>
      <c r="E60" s="126"/>
      <c r="F60" s="126"/>
      <c r="G60" s="126"/>
      <c r="H60" s="126"/>
      <c r="I60" s="126"/>
      <c r="J60" s="126"/>
      <c r="K60" s="126"/>
      <c r="L60" s="126"/>
      <c r="M60" s="126"/>
      <c r="N60" s="126"/>
      <c r="O60" s="126"/>
      <c r="P60" s="126"/>
      <c r="Q60" s="126"/>
      <c r="R60" s="126"/>
      <c r="S60" s="126"/>
    </row>
    <row r="61">
      <c r="A61" s="126"/>
      <c r="B61" s="126"/>
      <c r="C61" s="126"/>
      <c r="D61" s="126"/>
      <c r="E61" s="126"/>
      <c r="F61" s="126"/>
      <c r="G61" s="126"/>
      <c r="H61" s="126"/>
      <c r="I61" s="126"/>
      <c r="J61" s="126"/>
      <c r="K61" s="126"/>
      <c r="L61" s="126"/>
      <c r="M61" s="126"/>
      <c r="N61" s="126"/>
      <c r="O61" s="126"/>
      <c r="P61" s="126"/>
      <c r="Q61" s="126"/>
      <c r="R61" s="126"/>
      <c r="S61" s="126"/>
    </row>
    <row r="62">
      <c r="A62" s="126"/>
      <c r="B62" s="126"/>
      <c r="C62" s="126"/>
      <c r="D62" s="126"/>
      <c r="E62" s="126"/>
      <c r="F62" s="126"/>
      <c r="G62" s="126"/>
      <c r="H62" s="126"/>
      <c r="I62" s="126"/>
      <c r="J62" s="126"/>
      <c r="K62" s="126"/>
      <c r="L62" s="126"/>
      <c r="M62" s="126"/>
      <c r="N62" s="126"/>
      <c r="O62" s="126"/>
      <c r="P62" s="126"/>
      <c r="Q62" s="126"/>
      <c r="R62" s="126"/>
      <c r="S62" s="126"/>
    </row>
    <row r="63">
      <c r="A63" s="126"/>
      <c r="B63" s="126"/>
      <c r="C63" s="126"/>
      <c r="D63" s="126"/>
      <c r="E63" s="126"/>
      <c r="F63" s="126"/>
      <c r="G63" s="126"/>
      <c r="H63" s="126"/>
      <c r="I63" s="126"/>
      <c r="J63" s="126"/>
      <c r="K63" s="126"/>
      <c r="L63" s="126"/>
      <c r="M63" s="126"/>
      <c r="N63" s="126"/>
      <c r="O63" s="126"/>
      <c r="P63" s="126"/>
      <c r="Q63" s="126"/>
      <c r="R63" s="126"/>
      <c r="S63" s="126"/>
    </row>
    <row r="64">
      <c r="A64" s="126"/>
      <c r="B64" s="126"/>
      <c r="C64" s="126"/>
      <c r="D64" s="126"/>
      <c r="E64" s="126"/>
      <c r="F64" s="126"/>
      <c r="G64" s="126"/>
      <c r="H64" s="126"/>
      <c r="I64" s="126"/>
      <c r="J64" s="126"/>
      <c r="K64" s="126"/>
      <c r="L64" s="126"/>
      <c r="M64" s="126"/>
      <c r="N64" s="126"/>
      <c r="O64" s="126"/>
      <c r="P64" s="126"/>
      <c r="Q64" s="126"/>
      <c r="R64" s="126"/>
      <c r="S64" s="126"/>
    </row>
    <row r="65">
      <c r="A65" s="126"/>
      <c r="B65" s="126"/>
      <c r="C65" s="126"/>
      <c r="D65" s="126"/>
      <c r="E65" s="126"/>
      <c r="F65" s="126"/>
      <c r="G65" s="126"/>
      <c r="H65" s="126"/>
      <c r="I65" s="126"/>
      <c r="J65" s="126"/>
      <c r="K65" s="126"/>
      <c r="L65" s="126"/>
      <c r="M65" s="126"/>
      <c r="N65" s="126"/>
      <c r="O65" s="126"/>
      <c r="P65" s="126"/>
      <c r="Q65" s="126"/>
      <c r="R65" s="126"/>
      <c r="S65" s="126"/>
    </row>
    <row r="66">
      <c r="A66" s="126"/>
      <c r="B66" s="126"/>
      <c r="C66" s="126"/>
      <c r="D66" s="126"/>
      <c r="E66" s="126"/>
      <c r="F66" s="126"/>
      <c r="G66" s="126"/>
      <c r="H66" s="126"/>
      <c r="I66" s="126"/>
      <c r="J66" s="126"/>
      <c r="K66" s="126"/>
      <c r="L66" s="126"/>
      <c r="M66" s="126"/>
      <c r="N66" s="126"/>
      <c r="O66" s="126"/>
      <c r="P66" s="126"/>
      <c r="Q66" s="126"/>
      <c r="R66" s="126"/>
      <c r="S66" s="126"/>
    </row>
    <row r="67">
      <c r="A67" s="126"/>
      <c r="B67" s="126"/>
      <c r="C67" s="126"/>
      <c r="D67" s="126"/>
      <c r="E67" s="126"/>
      <c r="F67" s="126"/>
      <c r="G67" s="126"/>
      <c r="H67" s="126"/>
      <c r="I67" s="126"/>
      <c r="J67" s="126"/>
      <c r="K67" s="126"/>
      <c r="L67" s="126"/>
      <c r="M67" s="126"/>
      <c r="N67" s="126"/>
      <c r="O67" s="126"/>
      <c r="P67" s="126"/>
      <c r="Q67" s="126"/>
      <c r="R67" s="126"/>
      <c r="S67" s="126"/>
    </row>
    <row r="68">
      <c r="A68" s="126"/>
      <c r="B68" s="126"/>
      <c r="C68" s="126"/>
      <c r="D68" s="126"/>
      <c r="E68" s="126"/>
      <c r="F68" s="126"/>
      <c r="G68" s="126"/>
      <c r="H68" s="126"/>
      <c r="I68" s="126"/>
      <c r="J68" s="126"/>
      <c r="K68" s="126"/>
      <c r="L68" s="126"/>
      <c r="M68" s="126"/>
      <c r="N68" s="126"/>
      <c r="O68" s="126"/>
      <c r="P68" s="126"/>
      <c r="Q68" s="126"/>
      <c r="R68" s="126"/>
      <c r="S68" s="126"/>
    </row>
    <row r="69">
      <c r="A69" s="126"/>
      <c r="B69" s="126"/>
      <c r="C69" s="126"/>
      <c r="D69" s="126"/>
      <c r="E69" s="126"/>
      <c r="F69" s="126"/>
      <c r="G69" s="126"/>
      <c r="H69" s="126"/>
      <c r="I69" s="126"/>
      <c r="J69" s="126"/>
      <c r="K69" s="126"/>
      <c r="L69" s="126"/>
      <c r="M69" s="126"/>
      <c r="N69" s="126"/>
      <c r="O69" s="126"/>
      <c r="P69" s="126"/>
      <c r="Q69" s="126"/>
      <c r="R69" s="126"/>
      <c r="S69" s="126"/>
    </row>
    <row r="70">
      <c r="A70" s="126"/>
      <c r="B70" s="126"/>
      <c r="C70" s="126"/>
      <c r="D70" s="126"/>
      <c r="E70" s="126"/>
      <c r="F70" s="126"/>
      <c r="G70" s="126"/>
      <c r="H70" s="126"/>
      <c r="I70" s="126"/>
      <c r="J70" s="126"/>
      <c r="K70" s="126"/>
      <c r="L70" s="126"/>
      <c r="M70" s="126"/>
      <c r="N70" s="126"/>
      <c r="O70" s="126"/>
      <c r="P70" s="126"/>
      <c r="Q70" s="126"/>
      <c r="R70" s="126"/>
      <c r="S70" s="126"/>
    </row>
    <row r="71">
      <c r="A71" s="126"/>
      <c r="B71" s="126"/>
      <c r="C71" s="126"/>
      <c r="D71" s="126"/>
      <c r="E71" s="126"/>
      <c r="F71" s="126"/>
      <c r="G71" s="126"/>
      <c r="H71" s="126"/>
      <c r="I71" s="126"/>
      <c r="J71" s="126"/>
      <c r="K71" s="126"/>
      <c r="L71" s="126"/>
      <c r="M71" s="126"/>
      <c r="N71" s="126"/>
      <c r="O71" s="126"/>
      <c r="P71" s="126"/>
      <c r="Q71" s="126"/>
      <c r="R71" s="126"/>
      <c r="S71" s="126"/>
    </row>
    <row r="72">
      <c r="A72" s="126"/>
      <c r="B72" s="126"/>
      <c r="C72" s="126"/>
      <c r="D72" s="126"/>
      <c r="E72" s="126"/>
      <c r="F72" s="126"/>
      <c r="G72" s="126"/>
      <c r="H72" s="126"/>
      <c r="I72" s="126"/>
      <c r="J72" s="126"/>
      <c r="K72" s="126"/>
      <c r="L72" s="126"/>
      <c r="M72" s="126"/>
      <c r="N72" s="126"/>
      <c r="O72" s="126"/>
      <c r="P72" s="126"/>
      <c r="Q72" s="126"/>
      <c r="R72" s="126"/>
      <c r="S72" s="126"/>
    </row>
    <row r="73">
      <c r="A73" s="126"/>
      <c r="B73" s="126"/>
      <c r="C73" s="126"/>
      <c r="D73" s="126"/>
      <c r="E73" s="126"/>
      <c r="F73" s="126"/>
      <c r="G73" s="126"/>
      <c r="H73" s="126"/>
      <c r="I73" s="126"/>
      <c r="J73" s="126"/>
      <c r="K73" s="126"/>
      <c r="L73" s="126"/>
      <c r="M73" s="126"/>
      <c r="N73" s="126"/>
      <c r="O73" s="126"/>
      <c r="P73" s="126"/>
      <c r="Q73" s="126"/>
      <c r="R73" s="126"/>
      <c r="S73" s="126"/>
    </row>
    <row r="74">
      <c r="A74" s="126"/>
      <c r="B74" s="126"/>
      <c r="C74" s="126"/>
      <c r="D74" s="126"/>
      <c r="E74" s="126"/>
      <c r="F74" s="126"/>
      <c r="G74" s="126"/>
      <c r="H74" s="126"/>
      <c r="I74" s="126"/>
      <c r="J74" s="126"/>
      <c r="K74" s="126"/>
      <c r="L74" s="126"/>
      <c r="M74" s="126"/>
      <c r="N74" s="126"/>
      <c r="O74" s="126"/>
      <c r="P74" s="126"/>
      <c r="Q74" s="126"/>
      <c r="R74" s="126"/>
      <c r="S74" s="126"/>
    </row>
    <row r="75">
      <c r="A75" s="126"/>
      <c r="B75" s="126"/>
      <c r="C75" s="126"/>
      <c r="D75" s="126"/>
      <c r="E75" s="126"/>
      <c r="F75" s="126"/>
      <c r="G75" s="126"/>
      <c r="H75" s="126"/>
      <c r="I75" s="126"/>
      <c r="J75" s="126"/>
      <c r="K75" s="126"/>
      <c r="L75" s="126"/>
      <c r="M75" s="126"/>
      <c r="N75" s="126"/>
      <c r="O75" s="126"/>
      <c r="P75" s="126"/>
      <c r="Q75" s="126"/>
      <c r="R75" s="126"/>
      <c r="S75" s="126"/>
    </row>
    <row r="76">
      <c r="A76" s="126"/>
      <c r="B76" s="126"/>
      <c r="C76" s="126"/>
      <c r="D76" s="126"/>
      <c r="E76" s="126"/>
      <c r="F76" s="126"/>
      <c r="G76" s="126"/>
      <c r="H76" s="126"/>
      <c r="I76" s="126"/>
      <c r="J76" s="126"/>
      <c r="K76" s="126"/>
      <c r="L76" s="126"/>
      <c r="M76" s="126"/>
      <c r="N76" s="126"/>
      <c r="O76" s="126"/>
      <c r="P76" s="126"/>
      <c r="Q76" s="126"/>
      <c r="R76" s="126"/>
      <c r="S76" s="126"/>
    </row>
    <row r="77">
      <c r="A77" s="126"/>
      <c r="B77" s="126"/>
      <c r="C77" s="126"/>
      <c r="D77" s="126"/>
      <c r="E77" s="126"/>
      <c r="F77" s="126"/>
      <c r="G77" s="126"/>
      <c r="H77" s="126"/>
      <c r="I77" s="126"/>
      <c r="J77" s="126"/>
      <c r="K77" s="126"/>
      <c r="L77" s="126"/>
      <c r="M77" s="126"/>
      <c r="N77" s="126"/>
      <c r="O77" s="126"/>
      <c r="P77" s="126"/>
      <c r="Q77" s="126"/>
      <c r="R77" s="126"/>
      <c r="S77" s="126"/>
    </row>
    <row r="78">
      <c r="A78" s="126"/>
      <c r="B78" s="126"/>
      <c r="C78" s="126"/>
      <c r="D78" s="126"/>
      <c r="E78" s="126"/>
      <c r="F78" s="126"/>
      <c r="G78" s="126"/>
      <c r="H78" s="126"/>
      <c r="I78" s="126"/>
      <c r="J78" s="126"/>
      <c r="K78" s="126"/>
      <c r="L78" s="126"/>
      <c r="M78" s="126"/>
      <c r="N78" s="126"/>
      <c r="O78" s="126"/>
      <c r="P78" s="126"/>
      <c r="Q78" s="126"/>
      <c r="R78" s="126"/>
      <c r="S78" s="126"/>
    </row>
    <row r="79">
      <c r="A79" s="126"/>
      <c r="B79" s="126"/>
      <c r="C79" s="126"/>
      <c r="D79" s="126"/>
      <c r="E79" s="126"/>
      <c r="F79" s="126"/>
      <c r="G79" s="126"/>
      <c r="H79" s="126"/>
      <c r="I79" s="126"/>
      <c r="J79" s="126"/>
      <c r="K79" s="126"/>
      <c r="L79" s="126"/>
      <c r="M79" s="126"/>
      <c r="N79" s="126"/>
      <c r="O79" s="126"/>
      <c r="P79" s="126"/>
      <c r="Q79" s="126"/>
      <c r="R79" s="126"/>
      <c r="S79" s="126"/>
    </row>
    <row r="80">
      <c r="A80" s="126"/>
      <c r="B80" s="126"/>
      <c r="C80" s="126"/>
      <c r="D80" s="126"/>
      <c r="E80" s="126"/>
      <c r="F80" s="126"/>
      <c r="G80" s="126"/>
      <c r="H80" s="126"/>
      <c r="I80" s="126"/>
      <c r="J80" s="126"/>
      <c r="K80" s="126"/>
      <c r="L80" s="126"/>
      <c r="M80" s="126"/>
      <c r="N80" s="126"/>
      <c r="O80" s="126"/>
      <c r="P80" s="126"/>
      <c r="Q80" s="126"/>
      <c r="R80" s="126"/>
      <c r="S80" s="126"/>
    </row>
    <row r="81">
      <c r="A81" s="126"/>
      <c r="B81" s="126"/>
      <c r="C81" s="126"/>
      <c r="D81" s="126"/>
      <c r="E81" s="126"/>
      <c r="F81" s="126"/>
      <c r="G81" s="126"/>
      <c r="H81" s="126"/>
      <c r="I81" s="126"/>
      <c r="J81" s="126"/>
      <c r="K81" s="126"/>
      <c r="L81" s="126"/>
      <c r="M81" s="126"/>
      <c r="N81" s="126"/>
      <c r="O81" s="126"/>
      <c r="P81" s="126"/>
      <c r="Q81" s="126"/>
      <c r="R81" s="126"/>
      <c r="S81" s="126"/>
    </row>
    <row r="82">
      <c r="A82" s="126"/>
      <c r="B82" s="126"/>
      <c r="C82" s="126"/>
      <c r="D82" s="126"/>
      <c r="E82" s="126"/>
      <c r="F82" s="126"/>
      <c r="G82" s="126"/>
      <c r="H82" s="126"/>
      <c r="I82" s="126"/>
      <c r="J82" s="126"/>
      <c r="K82" s="126"/>
      <c r="L82" s="126"/>
      <c r="M82" s="126"/>
      <c r="N82" s="126"/>
      <c r="O82" s="126"/>
      <c r="P82" s="126"/>
      <c r="Q82" s="126"/>
      <c r="R82" s="126"/>
      <c r="S82" s="126"/>
    </row>
    <row r="83">
      <c r="A83" s="126"/>
      <c r="B83" s="126"/>
      <c r="C83" s="126"/>
      <c r="D83" s="126"/>
      <c r="E83" s="126"/>
      <c r="F83" s="126"/>
      <c r="G83" s="126"/>
      <c r="H83" s="126"/>
      <c r="I83" s="126"/>
      <c r="J83" s="126"/>
      <c r="K83" s="126"/>
      <c r="L83" s="126"/>
      <c r="M83" s="126"/>
      <c r="N83" s="126"/>
      <c r="O83" s="126"/>
      <c r="P83" s="126"/>
      <c r="Q83" s="126"/>
      <c r="R83" s="126"/>
      <c r="S83" s="126"/>
    </row>
    <row r="84">
      <c r="A84" s="126"/>
      <c r="B84" s="126"/>
      <c r="C84" s="126"/>
      <c r="D84" s="126"/>
      <c r="E84" s="126"/>
      <c r="F84" s="126"/>
      <c r="G84" s="126"/>
      <c r="H84" s="126"/>
      <c r="I84" s="126"/>
      <c r="J84" s="126"/>
      <c r="K84" s="126"/>
      <c r="L84" s="126"/>
      <c r="M84" s="126"/>
      <c r="N84" s="126"/>
      <c r="O84" s="126"/>
      <c r="P84" s="126"/>
      <c r="Q84" s="126"/>
      <c r="R84" s="126"/>
      <c r="S84" s="126"/>
    </row>
    <row r="85">
      <c r="A85" s="126"/>
      <c r="B85" s="126"/>
      <c r="C85" s="126"/>
      <c r="D85" s="126"/>
      <c r="E85" s="126"/>
      <c r="F85" s="126"/>
      <c r="G85" s="126"/>
      <c r="H85" s="126"/>
      <c r="I85" s="126"/>
      <c r="J85" s="126"/>
      <c r="K85" s="126"/>
      <c r="L85" s="126"/>
      <c r="M85" s="126"/>
      <c r="N85" s="126"/>
      <c r="O85" s="126"/>
      <c r="P85" s="126"/>
      <c r="Q85" s="126"/>
      <c r="R85" s="126"/>
      <c r="S85" s="126"/>
    </row>
    <row r="86">
      <c r="A86" s="126"/>
      <c r="B86" s="126"/>
      <c r="C86" s="126"/>
      <c r="D86" s="126"/>
      <c r="E86" s="126"/>
      <c r="F86" s="126"/>
      <c r="G86" s="126"/>
      <c r="H86" s="126"/>
      <c r="I86" s="126"/>
      <c r="J86" s="126"/>
      <c r="K86" s="126"/>
      <c r="L86" s="126"/>
      <c r="M86" s="126"/>
      <c r="N86" s="126"/>
      <c r="O86" s="126"/>
      <c r="P86" s="126"/>
      <c r="Q86" s="126"/>
      <c r="R86" s="126"/>
      <c r="S86" s="126"/>
    </row>
    <row r="87">
      <c r="A87" s="126"/>
      <c r="B87" s="126"/>
      <c r="C87" s="126"/>
      <c r="D87" s="126"/>
      <c r="E87" s="126"/>
      <c r="F87" s="126"/>
      <c r="G87" s="126"/>
      <c r="H87" s="126"/>
      <c r="I87" s="126"/>
      <c r="J87" s="126"/>
      <c r="K87" s="126"/>
      <c r="L87" s="126"/>
      <c r="M87" s="126"/>
      <c r="N87" s="126"/>
      <c r="O87" s="126"/>
      <c r="P87" s="126"/>
      <c r="Q87" s="126"/>
      <c r="R87" s="126"/>
      <c r="S87" s="126"/>
    </row>
    <row r="88">
      <c r="A88" s="126"/>
      <c r="B88" s="126"/>
      <c r="C88" s="126"/>
      <c r="D88" s="126"/>
      <c r="E88" s="126"/>
      <c r="F88" s="126"/>
      <c r="G88" s="126"/>
      <c r="H88" s="126"/>
      <c r="I88" s="126"/>
      <c r="J88" s="126"/>
      <c r="K88" s="126"/>
      <c r="L88" s="126"/>
      <c r="M88" s="126"/>
      <c r="N88" s="126"/>
      <c r="O88" s="126"/>
      <c r="P88" s="126"/>
      <c r="Q88" s="126"/>
      <c r="R88" s="126"/>
      <c r="S88" s="126"/>
    </row>
    <row r="89">
      <c r="A89" s="126"/>
      <c r="B89" s="126"/>
      <c r="C89" s="126"/>
      <c r="D89" s="126"/>
      <c r="E89" s="126"/>
      <c r="F89" s="126"/>
      <c r="G89" s="126"/>
      <c r="H89" s="126"/>
      <c r="I89" s="126"/>
      <c r="J89" s="126"/>
      <c r="K89" s="126"/>
      <c r="L89" s="126"/>
      <c r="M89" s="126"/>
      <c r="N89" s="126"/>
      <c r="O89" s="126"/>
      <c r="P89" s="126"/>
      <c r="Q89" s="126"/>
      <c r="R89" s="126"/>
      <c r="S89" s="126"/>
    </row>
    <row r="90">
      <c r="A90" s="126"/>
      <c r="B90" s="126"/>
      <c r="C90" s="126"/>
      <c r="D90" s="126"/>
      <c r="E90" s="126"/>
      <c r="F90" s="126"/>
      <c r="G90" s="126"/>
      <c r="H90" s="126"/>
      <c r="I90" s="126"/>
      <c r="J90" s="126"/>
      <c r="K90" s="126"/>
      <c r="L90" s="126"/>
      <c r="M90" s="126"/>
      <c r="N90" s="126"/>
      <c r="O90" s="126"/>
      <c r="P90" s="126"/>
      <c r="Q90" s="126"/>
      <c r="R90" s="126"/>
      <c r="S90" s="126"/>
    </row>
    <row r="91">
      <c r="A91" s="126"/>
      <c r="B91" s="126"/>
      <c r="C91" s="126"/>
      <c r="D91" s="126"/>
      <c r="E91" s="126"/>
      <c r="F91" s="126"/>
      <c r="G91" s="126"/>
      <c r="H91" s="126"/>
      <c r="I91" s="126"/>
      <c r="J91" s="126"/>
      <c r="K91" s="126"/>
      <c r="L91" s="126"/>
      <c r="M91" s="126"/>
      <c r="N91" s="126"/>
      <c r="O91" s="126"/>
      <c r="P91" s="126"/>
      <c r="Q91" s="126"/>
      <c r="R91" s="126"/>
      <c r="S91" s="126"/>
    </row>
    <row r="92">
      <c r="A92" s="126"/>
      <c r="B92" s="126"/>
      <c r="C92" s="126"/>
      <c r="D92" s="126"/>
      <c r="E92" s="126"/>
      <c r="F92" s="126"/>
      <c r="G92" s="126"/>
      <c r="H92" s="126"/>
      <c r="I92" s="126"/>
      <c r="J92" s="126"/>
      <c r="K92" s="126"/>
      <c r="L92" s="126"/>
      <c r="M92" s="126"/>
      <c r="N92" s="126"/>
      <c r="O92" s="126"/>
      <c r="P92" s="126"/>
      <c r="Q92" s="126"/>
      <c r="R92" s="126"/>
      <c r="S92" s="126"/>
    </row>
    <row r="93">
      <c r="A93" s="126"/>
      <c r="B93" s="126"/>
      <c r="C93" s="126"/>
      <c r="D93" s="126"/>
      <c r="E93" s="126"/>
      <c r="F93" s="126"/>
      <c r="G93" s="126"/>
      <c r="H93" s="126"/>
      <c r="I93" s="126"/>
      <c r="J93" s="126"/>
      <c r="K93" s="126"/>
      <c r="L93" s="126"/>
      <c r="M93" s="126"/>
      <c r="N93" s="126"/>
      <c r="O93" s="126"/>
      <c r="P93" s="126"/>
      <c r="Q93" s="126"/>
      <c r="R93" s="126"/>
      <c r="S93" s="126"/>
    </row>
    <row r="94">
      <c r="A94" s="126"/>
      <c r="B94" s="126"/>
      <c r="C94" s="126"/>
      <c r="D94" s="126"/>
      <c r="E94" s="126"/>
      <c r="F94" s="126"/>
      <c r="G94" s="126"/>
      <c r="H94" s="126"/>
      <c r="I94" s="126"/>
      <c r="J94" s="126"/>
      <c r="K94" s="126"/>
      <c r="L94" s="126"/>
      <c r="M94" s="126"/>
      <c r="N94" s="126"/>
      <c r="O94" s="126"/>
      <c r="P94" s="126"/>
      <c r="Q94" s="126"/>
      <c r="R94" s="126"/>
      <c r="S94" s="126"/>
    </row>
    <row r="95">
      <c r="A95" s="126"/>
      <c r="B95" s="126"/>
      <c r="C95" s="126"/>
      <c r="D95" s="126"/>
      <c r="E95" s="126"/>
      <c r="F95" s="126"/>
      <c r="G95" s="126"/>
      <c r="H95" s="126"/>
      <c r="I95" s="126"/>
      <c r="J95" s="126"/>
      <c r="K95" s="126"/>
      <c r="L95" s="126"/>
      <c r="M95" s="126"/>
      <c r="N95" s="126"/>
      <c r="O95" s="126"/>
      <c r="P95" s="126"/>
      <c r="Q95" s="126"/>
      <c r="R95" s="126"/>
      <c r="S95" s="126"/>
    </row>
    <row r="96">
      <c r="A96" s="126"/>
      <c r="B96" s="126"/>
      <c r="C96" s="126"/>
      <c r="D96" s="126"/>
      <c r="E96" s="126"/>
      <c r="F96" s="126"/>
      <c r="G96" s="126"/>
      <c r="H96" s="126"/>
      <c r="I96" s="126"/>
      <c r="J96" s="126"/>
      <c r="K96" s="126"/>
      <c r="L96" s="126"/>
      <c r="M96" s="126"/>
      <c r="N96" s="126"/>
      <c r="O96" s="126"/>
      <c r="P96" s="126"/>
      <c r="Q96" s="126"/>
      <c r="R96" s="126"/>
      <c r="S96" s="126"/>
    </row>
    <row r="97">
      <c r="A97" s="126"/>
      <c r="B97" s="126"/>
      <c r="C97" s="126"/>
      <c r="D97" s="126"/>
      <c r="E97" s="126"/>
      <c r="F97" s="126"/>
      <c r="G97" s="126"/>
      <c r="H97" s="126"/>
      <c r="I97" s="126"/>
      <c r="J97" s="126"/>
      <c r="K97" s="126"/>
      <c r="L97" s="126"/>
      <c r="M97" s="126"/>
      <c r="N97" s="126"/>
      <c r="O97" s="126"/>
      <c r="P97" s="126"/>
      <c r="Q97" s="126"/>
      <c r="R97" s="126"/>
      <c r="S97" s="126"/>
    </row>
    <row r="98">
      <c r="A98" s="126"/>
      <c r="B98" s="126"/>
      <c r="C98" s="126"/>
      <c r="D98" s="126"/>
      <c r="E98" s="126"/>
      <c r="F98" s="126"/>
      <c r="G98" s="126"/>
      <c r="H98" s="126"/>
      <c r="I98" s="126"/>
      <c r="J98" s="126"/>
      <c r="K98" s="126"/>
      <c r="L98" s="126"/>
      <c r="M98" s="126"/>
      <c r="N98" s="126"/>
      <c r="O98" s="126"/>
      <c r="P98" s="126"/>
      <c r="Q98" s="126"/>
      <c r="R98" s="126"/>
      <c r="S98" s="126"/>
    </row>
    <row r="99">
      <c r="A99" s="126"/>
      <c r="B99" s="126"/>
      <c r="C99" s="126"/>
      <c r="D99" s="126"/>
      <c r="E99" s="126"/>
      <c r="F99" s="126"/>
      <c r="G99" s="126"/>
      <c r="H99" s="126"/>
      <c r="I99" s="126"/>
      <c r="J99" s="126"/>
      <c r="K99" s="126"/>
      <c r="L99" s="126"/>
      <c r="M99" s="126"/>
      <c r="N99" s="126"/>
      <c r="O99" s="126"/>
      <c r="P99" s="126"/>
      <c r="Q99" s="126"/>
      <c r="R99" s="126"/>
      <c r="S99" s="126"/>
    </row>
    <row r="100">
      <c r="A100" s="126"/>
      <c r="B100" s="126"/>
      <c r="C100" s="126"/>
      <c r="D100" s="126"/>
      <c r="E100" s="126"/>
      <c r="F100" s="126"/>
      <c r="G100" s="126"/>
      <c r="H100" s="126"/>
      <c r="I100" s="126"/>
      <c r="J100" s="126"/>
      <c r="K100" s="126"/>
      <c r="L100" s="126"/>
      <c r="M100" s="126"/>
      <c r="N100" s="126"/>
      <c r="O100" s="126"/>
      <c r="P100" s="126"/>
      <c r="Q100" s="126"/>
      <c r="R100" s="126"/>
      <c r="S100" s="126"/>
    </row>
    <row r="101">
      <c r="A101" s="126"/>
      <c r="B101" s="126"/>
      <c r="C101" s="126"/>
      <c r="D101" s="126"/>
      <c r="E101" s="126"/>
      <c r="F101" s="126"/>
      <c r="G101" s="126"/>
      <c r="H101" s="126"/>
      <c r="I101" s="126"/>
      <c r="J101" s="126"/>
      <c r="K101" s="126"/>
      <c r="L101" s="126"/>
      <c r="M101" s="126"/>
      <c r="N101" s="126"/>
      <c r="O101" s="126"/>
      <c r="P101" s="126"/>
      <c r="Q101" s="126"/>
      <c r="R101" s="126"/>
      <c r="S101" s="126"/>
    </row>
    <row r="102">
      <c r="A102" s="126"/>
      <c r="B102" s="126"/>
      <c r="C102" s="126"/>
      <c r="D102" s="126"/>
      <c r="E102" s="126"/>
      <c r="F102" s="126"/>
      <c r="G102" s="126"/>
      <c r="H102" s="126"/>
      <c r="I102" s="126"/>
      <c r="J102" s="126"/>
      <c r="K102" s="126"/>
      <c r="L102" s="126"/>
      <c r="M102" s="126"/>
      <c r="N102" s="126"/>
      <c r="O102" s="126"/>
      <c r="P102" s="126"/>
      <c r="Q102" s="126"/>
      <c r="R102" s="126"/>
      <c r="S102" s="126"/>
    </row>
    <row r="103">
      <c r="A103" s="126"/>
      <c r="B103" s="126"/>
      <c r="C103" s="126"/>
      <c r="D103" s="126"/>
      <c r="E103" s="126"/>
      <c r="F103" s="126"/>
      <c r="G103" s="126"/>
      <c r="H103" s="126"/>
      <c r="I103" s="126"/>
      <c r="J103" s="126"/>
      <c r="K103" s="126"/>
      <c r="L103" s="126"/>
      <c r="M103" s="126"/>
      <c r="N103" s="126"/>
      <c r="O103" s="126"/>
      <c r="P103" s="126"/>
      <c r="Q103" s="126"/>
      <c r="R103" s="126"/>
      <c r="S103" s="126"/>
    </row>
    <row r="104">
      <c r="A104" s="126"/>
      <c r="B104" s="126"/>
      <c r="C104" s="126"/>
      <c r="D104" s="126"/>
      <c r="E104" s="126"/>
      <c r="F104" s="126"/>
      <c r="G104" s="126"/>
      <c r="H104" s="126"/>
      <c r="I104" s="126"/>
      <c r="J104" s="126"/>
      <c r="K104" s="126"/>
      <c r="L104" s="126"/>
      <c r="M104" s="126"/>
      <c r="N104" s="126"/>
      <c r="O104" s="126"/>
      <c r="P104" s="126"/>
      <c r="Q104" s="126"/>
      <c r="R104" s="126"/>
      <c r="S104" s="126"/>
    </row>
    <row r="105">
      <c r="A105" s="126"/>
      <c r="B105" s="126"/>
      <c r="C105" s="126"/>
      <c r="D105" s="126"/>
      <c r="E105" s="126"/>
      <c r="F105" s="126"/>
      <c r="G105" s="126"/>
      <c r="H105" s="126"/>
      <c r="I105" s="126"/>
      <c r="J105" s="126"/>
      <c r="K105" s="126"/>
      <c r="L105" s="126"/>
      <c r="M105" s="126"/>
      <c r="N105" s="126"/>
      <c r="O105" s="126"/>
      <c r="P105" s="126"/>
      <c r="Q105" s="126"/>
      <c r="R105" s="126"/>
      <c r="S105" s="126"/>
    </row>
    <row r="106">
      <c r="A106" s="126"/>
      <c r="B106" s="126"/>
      <c r="C106" s="126"/>
      <c r="D106" s="126"/>
      <c r="E106" s="126"/>
      <c r="F106" s="126"/>
      <c r="G106" s="126"/>
      <c r="H106" s="126"/>
      <c r="I106" s="126"/>
      <c r="J106" s="126"/>
      <c r="K106" s="126"/>
      <c r="L106" s="126"/>
      <c r="M106" s="126"/>
      <c r="N106" s="126"/>
      <c r="O106" s="126"/>
      <c r="P106" s="126"/>
      <c r="Q106" s="126"/>
      <c r="R106" s="126"/>
      <c r="S106" s="126"/>
    </row>
    <row r="107">
      <c r="A107" s="126"/>
      <c r="B107" s="126"/>
      <c r="C107" s="126"/>
      <c r="D107" s="126"/>
      <c r="E107" s="126"/>
      <c r="F107" s="126"/>
      <c r="G107" s="126"/>
      <c r="H107" s="126"/>
      <c r="I107" s="126"/>
      <c r="J107" s="126"/>
      <c r="K107" s="126"/>
      <c r="L107" s="126"/>
      <c r="M107" s="126"/>
      <c r="N107" s="126"/>
      <c r="O107" s="126"/>
      <c r="P107" s="126"/>
      <c r="Q107" s="126"/>
      <c r="R107" s="126"/>
      <c r="S107" s="126"/>
    </row>
    <row r="108">
      <c r="A108" s="126"/>
      <c r="B108" s="126"/>
      <c r="C108" s="126"/>
      <c r="D108" s="126"/>
      <c r="E108" s="126"/>
      <c r="F108" s="126"/>
      <c r="G108" s="126"/>
      <c r="H108" s="126"/>
      <c r="I108" s="126"/>
      <c r="J108" s="126"/>
      <c r="K108" s="126"/>
      <c r="L108" s="126"/>
      <c r="M108" s="126"/>
      <c r="N108" s="126"/>
      <c r="O108" s="126"/>
      <c r="P108" s="126"/>
      <c r="Q108" s="126"/>
      <c r="R108" s="126"/>
      <c r="S108" s="126"/>
    </row>
    <row r="109">
      <c r="A109" s="126"/>
      <c r="B109" s="126"/>
      <c r="C109" s="126"/>
      <c r="D109" s="126"/>
      <c r="E109" s="126"/>
      <c r="F109" s="126"/>
      <c r="G109" s="126"/>
      <c r="H109" s="126"/>
      <c r="I109" s="126"/>
      <c r="J109" s="126"/>
      <c r="K109" s="126"/>
      <c r="L109" s="126"/>
      <c r="M109" s="126"/>
      <c r="N109" s="126"/>
      <c r="O109" s="126"/>
      <c r="P109" s="126"/>
      <c r="Q109" s="126"/>
      <c r="R109" s="126"/>
      <c r="S109" s="126"/>
    </row>
    <row r="110">
      <c r="A110" s="126"/>
      <c r="B110" s="126"/>
      <c r="C110" s="126"/>
      <c r="D110" s="126"/>
      <c r="E110" s="126"/>
      <c r="F110" s="126"/>
      <c r="G110" s="126"/>
      <c r="H110" s="126"/>
      <c r="I110" s="126"/>
      <c r="J110" s="126"/>
      <c r="K110" s="126"/>
      <c r="L110" s="126"/>
      <c r="M110" s="126"/>
      <c r="N110" s="126"/>
      <c r="O110" s="126"/>
      <c r="P110" s="126"/>
      <c r="Q110" s="126"/>
      <c r="R110" s="126"/>
      <c r="S110" s="126"/>
    </row>
    <row r="111">
      <c r="A111" s="126"/>
      <c r="B111" s="126"/>
      <c r="C111" s="126"/>
      <c r="D111" s="126"/>
      <c r="E111" s="126"/>
      <c r="F111" s="126"/>
      <c r="G111" s="126"/>
      <c r="H111" s="126"/>
      <c r="I111" s="126"/>
      <c r="J111" s="126"/>
      <c r="K111" s="126"/>
      <c r="L111" s="126"/>
      <c r="M111" s="126"/>
      <c r="N111" s="126"/>
      <c r="O111" s="126"/>
      <c r="P111" s="126"/>
      <c r="Q111" s="126"/>
      <c r="R111" s="126"/>
      <c r="S111" s="126"/>
    </row>
    <row r="112">
      <c r="A112" s="126"/>
      <c r="B112" s="126"/>
      <c r="C112" s="126"/>
      <c r="D112" s="126"/>
      <c r="E112" s="126"/>
      <c r="F112" s="126"/>
      <c r="G112" s="126"/>
      <c r="H112" s="126"/>
      <c r="I112" s="126"/>
      <c r="J112" s="126"/>
      <c r="K112" s="126"/>
      <c r="L112" s="126"/>
      <c r="M112" s="126"/>
      <c r="N112" s="126"/>
      <c r="O112" s="126"/>
      <c r="P112" s="126"/>
      <c r="Q112" s="126"/>
      <c r="R112" s="126"/>
      <c r="S112" s="126"/>
    </row>
    <row r="113">
      <c r="A113" s="126"/>
      <c r="B113" s="126"/>
      <c r="C113" s="126"/>
      <c r="D113" s="126"/>
      <c r="E113" s="126"/>
      <c r="F113" s="126"/>
      <c r="G113" s="126"/>
      <c r="H113" s="126"/>
      <c r="I113" s="126"/>
      <c r="J113" s="126"/>
      <c r="K113" s="126"/>
      <c r="L113" s="126"/>
      <c r="M113" s="126"/>
      <c r="N113" s="126"/>
      <c r="O113" s="126"/>
      <c r="P113" s="126"/>
      <c r="Q113" s="126"/>
      <c r="R113" s="126"/>
      <c r="S113" s="126"/>
    </row>
    <row r="114">
      <c r="A114" s="126"/>
      <c r="B114" s="126"/>
      <c r="C114" s="126"/>
      <c r="D114" s="126"/>
      <c r="E114" s="126"/>
      <c r="F114" s="126"/>
      <c r="G114" s="126"/>
      <c r="H114" s="126"/>
      <c r="I114" s="126"/>
      <c r="J114" s="126"/>
      <c r="K114" s="126"/>
      <c r="L114" s="126"/>
      <c r="M114" s="126"/>
      <c r="N114" s="126"/>
      <c r="O114" s="126"/>
      <c r="P114" s="126"/>
      <c r="Q114" s="126"/>
      <c r="R114" s="126"/>
      <c r="S114" s="126"/>
    </row>
    <row r="115">
      <c r="A115" s="126"/>
      <c r="B115" s="126"/>
      <c r="C115" s="126"/>
      <c r="D115" s="126"/>
      <c r="E115" s="126"/>
      <c r="F115" s="126"/>
      <c r="G115" s="126"/>
      <c r="H115" s="126"/>
      <c r="I115" s="126"/>
      <c r="J115" s="126"/>
      <c r="K115" s="126"/>
      <c r="L115" s="126"/>
      <c r="M115" s="126"/>
      <c r="N115" s="126"/>
      <c r="O115" s="126"/>
      <c r="P115" s="126"/>
      <c r="Q115" s="126"/>
      <c r="R115" s="126"/>
      <c r="S115" s="126"/>
    </row>
    <row r="116">
      <c r="A116" s="126"/>
      <c r="B116" s="126"/>
      <c r="C116" s="126"/>
      <c r="D116" s="126"/>
      <c r="E116" s="126"/>
      <c r="F116" s="126"/>
      <c r="G116" s="126"/>
      <c r="H116" s="126"/>
      <c r="I116" s="126"/>
      <c r="J116" s="126"/>
      <c r="K116" s="126"/>
      <c r="L116" s="126"/>
      <c r="M116" s="126"/>
      <c r="N116" s="126"/>
      <c r="O116" s="126"/>
      <c r="P116" s="126"/>
      <c r="Q116" s="126"/>
      <c r="R116" s="126"/>
      <c r="S116" s="126"/>
    </row>
    <row r="117">
      <c r="A117" s="126"/>
      <c r="B117" s="126"/>
      <c r="C117" s="126"/>
      <c r="D117" s="126"/>
      <c r="E117" s="126"/>
      <c r="F117" s="126"/>
      <c r="G117" s="126"/>
      <c r="H117" s="126"/>
      <c r="I117" s="126"/>
      <c r="J117" s="126"/>
      <c r="K117" s="126"/>
      <c r="L117" s="126"/>
      <c r="M117" s="126"/>
      <c r="N117" s="126"/>
      <c r="O117" s="126"/>
      <c r="P117" s="126"/>
      <c r="Q117" s="126"/>
      <c r="R117" s="126"/>
      <c r="S117" s="126"/>
    </row>
    <row r="118">
      <c r="A118" s="126"/>
      <c r="B118" s="126"/>
      <c r="C118" s="126"/>
      <c r="D118" s="126"/>
      <c r="E118" s="126"/>
      <c r="F118" s="126"/>
      <c r="G118" s="126"/>
      <c r="H118" s="126"/>
      <c r="I118" s="126"/>
      <c r="J118" s="126"/>
      <c r="K118" s="126"/>
      <c r="L118" s="126"/>
      <c r="M118" s="126"/>
      <c r="N118" s="126"/>
      <c r="O118" s="126"/>
      <c r="P118" s="126"/>
      <c r="Q118" s="126"/>
      <c r="R118" s="126"/>
      <c r="S118" s="126"/>
    </row>
    <row r="119">
      <c r="A119" s="126"/>
      <c r="B119" s="126"/>
      <c r="C119" s="126"/>
      <c r="D119" s="126"/>
      <c r="E119" s="126"/>
      <c r="F119" s="126"/>
      <c r="G119" s="126"/>
      <c r="H119" s="126"/>
      <c r="I119" s="126"/>
      <c r="J119" s="126"/>
      <c r="K119" s="126"/>
      <c r="L119" s="126"/>
      <c r="M119" s="126"/>
      <c r="N119" s="126"/>
      <c r="O119" s="126"/>
      <c r="P119" s="126"/>
      <c r="Q119" s="126"/>
      <c r="R119" s="126"/>
      <c r="S119" s="126"/>
    </row>
    <row r="120">
      <c r="A120" s="126"/>
      <c r="B120" s="126"/>
      <c r="C120" s="126"/>
      <c r="D120" s="126"/>
      <c r="E120" s="126"/>
      <c r="F120" s="126"/>
      <c r="G120" s="126"/>
      <c r="H120" s="126"/>
      <c r="I120" s="126"/>
      <c r="J120" s="126"/>
      <c r="K120" s="126"/>
      <c r="L120" s="126"/>
      <c r="M120" s="126"/>
      <c r="N120" s="126"/>
      <c r="O120" s="126"/>
      <c r="P120" s="126"/>
      <c r="Q120" s="126"/>
      <c r="R120" s="126"/>
      <c r="S120" s="126"/>
    </row>
    <row r="121">
      <c r="A121" s="126"/>
      <c r="B121" s="126"/>
      <c r="C121" s="126"/>
      <c r="D121" s="126"/>
      <c r="E121" s="126"/>
      <c r="F121" s="126"/>
      <c r="G121" s="126"/>
      <c r="H121" s="126"/>
      <c r="I121" s="126"/>
      <c r="J121" s="126"/>
      <c r="K121" s="126"/>
      <c r="L121" s="126"/>
      <c r="M121" s="126"/>
      <c r="N121" s="126"/>
      <c r="O121" s="126"/>
      <c r="P121" s="126"/>
      <c r="Q121" s="126"/>
      <c r="R121" s="126"/>
      <c r="S121" s="126"/>
    </row>
    <row r="122">
      <c r="A122" s="126"/>
      <c r="B122" s="126"/>
      <c r="C122" s="126"/>
      <c r="D122" s="126"/>
      <c r="E122" s="126"/>
      <c r="F122" s="126"/>
      <c r="G122" s="126"/>
      <c r="H122" s="126"/>
      <c r="I122" s="126"/>
      <c r="J122" s="126"/>
      <c r="K122" s="126"/>
      <c r="L122" s="126"/>
      <c r="M122" s="126"/>
      <c r="N122" s="126"/>
      <c r="O122" s="126"/>
      <c r="P122" s="126"/>
      <c r="Q122" s="126"/>
      <c r="R122" s="126"/>
      <c r="S122" s="126"/>
    </row>
    <row r="123">
      <c r="A123" s="126"/>
      <c r="B123" s="126"/>
      <c r="C123" s="126"/>
      <c r="D123" s="126"/>
      <c r="E123" s="126"/>
      <c r="F123" s="126"/>
      <c r="G123" s="126"/>
      <c r="H123" s="126"/>
      <c r="I123" s="126"/>
      <c r="J123" s="126"/>
      <c r="K123" s="126"/>
      <c r="L123" s="126"/>
      <c r="M123" s="126"/>
      <c r="N123" s="126"/>
      <c r="O123" s="126"/>
      <c r="P123" s="126"/>
      <c r="Q123" s="126"/>
      <c r="R123" s="126"/>
      <c r="S123" s="126"/>
    </row>
  </sheetData>
  <mergeCells count="3">
    <mergeCell ref="L1:M1"/>
    <mergeCell ref="O1:P1"/>
    <mergeCell ref="R1:S1"/>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3" max="3" width="13.0"/>
    <col customWidth="1" min="4" max="4" width="44.5"/>
    <col customWidth="1" min="16" max="18" width="9.88"/>
    <col customWidth="1" min="19" max="21" width="10.5"/>
    <col customWidth="1" min="22" max="22" width="19.0"/>
  </cols>
  <sheetData>
    <row r="1">
      <c r="A1" s="163"/>
      <c r="B1" s="163"/>
      <c r="C1" s="164"/>
      <c r="D1" s="165"/>
      <c r="E1" s="165"/>
      <c r="F1" s="166"/>
      <c r="G1" s="166"/>
      <c r="H1" s="163"/>
      <c r="I1" s="96"/>
      <c r="J1" s="96"/>
      <c r="K1" s="163"/>
      <c r="L1" s="163"/>
      <c r="M1" s="163"/>
      <c r="N1" s="163"/>
      <c r="O1" s="163"/>
      <c r="P1" s="167" t="s">
        <v>203</v>
      </c>
      <c r="S1" s="168" t="s">
        <v>204</v>
      </c>
      <c r="V1" s="169"/>
      <c r="W1" s="78"/>
      <c r="X1" s="78"/>
    </row>
    <row r="2">
      <c r="A2" s="170" t="s">
        <v>205</v>
      </c>
      <c r="B2" s="170" t="s">
        <v>117</v>
      </c>
      <c r="C2" s="171" t="s">
        <v>94</v>
      </c>
      <c r="D2" s="171" t="s">
        <v>206</v>
      </c>
      <c r="E2" s="172" t="s">
        <v>5</v>
      </c>
      <c r="F2" s="173" t="s">
        <v>207</v>
      </c>
      <c r="G2" s="173" t="s">
        <v>208</v>
      </c>
      <c r="H2" s="172" t="s">
        <v>209</v>
      </c>
      <c r="I2" s="78" t="s">
        <v>210</v>
      </c>
      <c r="J2" s="78" t="s">
        <v>211</v>
      </c>
      <c r="K2" s="170" t="s">
        <v>212</v>
      </c>
      <c r="L2" s="170" t="s">
        <v>213</v>
      </c>
      <c r="M2" s="170" t="s">
        <v>214</v>
      </c>
      <c r="N2" s="170" t="s">
        <v>215</v>
      </c>
      <c r="O2" s="170" t="s">
        <v>126</v>
      </c>
      <c r="P2" s="78" t="s">
        <v>91</v>
      </c>
      <c r="Q2" s="170" t="s">
        <v>113</v>
      </c>
      <c r="R2" s="78" t="s">
        <v>13</v>
      </c>
      <c r="S2" s="78" t="s">
        <v>91</v>
      </c>
      <c r="T2" s="170" t="s">
        <v>216</v>
      </c>
      <c r="U2" s="78" t="s">
        <v>13</v>
      </c>
      <c r="V2" s="174" t="s">
        <v>121</v>
      </c>
      <c r="W2" s="78" t="s">
        <v>217</v>
      </c>
      <c r="X2" s="78" t="s">
        <v>218</v>
      </c>
    </row>
    <row r="3">
      <c r="A3" s="175" t="str">
        <f t="shared" ref="A3:A92" si="1">if(E3="","", CONCAT("2026-",E3))</f>
        <v>2026-W17</v>
      </c>
      <c r="B3" s="175" t="str">
        <f>IFERROR(__xludf.DUMMYFUNCTION("FILTER('Volume Split Up-To-Date'!$A$3:$T1000, ('Volume Split Up-To-Date'!$O$3:$O1000 + 'Volume Split Up-To-Date'!$P$3:P1000 + 'Volume Split Up-To-Date'!$Q$3:$Q1000) &gt; 0)"),"FE1346B")</f>
        <v>FE1346B</v>
      </c>
      <c r="C3" s="176" t="str">
        <f>IFERROR(__xludf.DUMMYFUNCTION("""COMPUTED_VALUE"""),"P+")</f>
        <v>P+</v>
      </c>
      <c r="D3" s="175" t="str">
        <f>IFERROR(__xludf.DUMMYFUNCTION("""COMPUTED_VALUE"""),"Parmesan &amp; Garlic Cream Pulled Beef")</f>
        <v>Parmesan &amp; Garlic Cream Pulled Beef</v>
      </c>
      <c r="E3" s="175" t="str">
        <f>IFERROR(__xludf.DUMMYFUNCTION("""COMPUTED_VALUE"""),"W17")</f>
        <v>W17</v>
      </c>
      <c r="F3" s="12">
        <f>IFERROR(__xludf.DUMMYFUNCTION("""COMPUTED_VALUE"""),404.0)</f>
        <v>404</v>
      </c>
      <c r="G3" s="12">
        <f>IFERROR(__xludf.DUMMYFUNCTION("""COMPUTED_VALUE"""),604.0)</f>
        <v>604</v>
      </c>
      <c r="H3" s="175">
        <f>IFERROR(__xludf.DUMMYFUNCTION("""COMPUTED_VALUE"""),304.0)</f>
        <v>304</v>
      </c>
      <c r="I3" s="17">
        <f>IFERROR(__xludf.DUMMYFUNCTION("""COMPUTED_VALUE"""),6272.0)</f>
        <v>6272</v>
      </c>
      <c r="J3" s="17">
        <f>IFERROR(__xludf.DUMMYFUNCTION("""COMPUTED_VALUE"""),3388.0)</f>
        <v>3388</v>
      </c>
      <c r="K3" s="18">
        <f>IFERROR(__xludf.DUMMYFUNCTION("""COMPUTED_VALUE"""),2796.0)</f>
        <v>2796</v>
      </c>
      <c r="L3" s="175"/>
      <c r="M3" s="18">
        <f>IFERROR(__xludf.DUMMYFUNCTION("""COMPUTED_VALUE"""),6292.0)</f>
        <v>6292</v>
      </c>
      <c r="N3" s="18">
        <f>IFERROR(__xludf.DUMMYFUNCTION("""COMPUTED_VALUE"""),3408.0)</f>
        <v>3408</v>
      </c>
      <c r="O3" s="18">
        <f>IFERROR(__xludf.DUMMYFUNCTION("""COMPUTED_VALUE"""),2816.0)</f>
        <v>2816</v>
      </c>
      <c r="P3" s="177">
        <f>IFERROR(__xludf.DUMMYFUNCTION("""COMPUTED_VALUE"""),0.0)</f>
        <v>0</v>
      </c>
      <c r="Q3" s="177">
        <f>IFERROR(__xludf.DUMMYFUNCTION("""COMPUTED_VALUE"""),0.9)</f>
        <v>0.9</v>
      </c>
      <c r="R3" s="178">
        <f>IFERROR(__xludf.DUMMYFUNCTION("""COMPUTED_VALUE"""),0.9)</f>
        <v>0.9</v>
      </c>
      <c r="S3" s="12">
        <f>IFERROR(__xludf.DUMMYFUNCTION("""COMPUTED_VALUE"""),0.0)</f>
        <v>0</v>
      </c>
      <c r="T3" s="179">
        <f>IFERROR(__xludf.DUMMYFUNCTION("""COMPUTED_VALUE"""),3067.2000000000003)</f>
        <v>3067.2</v>
      </c>
      <c r="U3" s="180">
        <f>IFERROR(__xludf.DUMMYFUNCTION("""COMPUTED_VALUE"""),2534.4)</f>
        <v>2534.4</v>
      </c>
      <c r="V3" s="181">
        <f t="shared" ref="V3:V45" si="2">if(W3&gt;0,W3,SUM(R3:T3)+X3)</f>
        <v>4931</v>
      </c>
      <c r="W3" s="182">
        <v>4931.0</v>
      </c>
      <c r="X3" s="183"/>
    </row>
    <row r="4">
      <c r="A4" s="175" t="str">
        <f t="shared" si="1"/>
        <v>2026-W17</v>
      </c>
      <c r="B4" s="175" t="str">
        <f>IFERROR(__xludf.DUMMYFUNCTION("""COMPUTED_VALUE"""),"FE0035F")</f>
        <v>FE0035F</v>
      </c>
      <c r="C4" s="176" t="str">
        <f>IFERROR(__xludf.DUMMYFUNCTION("""COMPUTED_VALUE"""),"Keto")</f>
        <v>Keto</v>
      </c>
      <c r="D4" s="175" t="str">
        <f>IFERROR(__xludf.DUMMYFUNCTION("""COMPUTED_VALUE"""),"Salmon with pesto")</f>
        <v>Salmon with pesto</v>
      </c>
      <c r="E4" s="175" t="str">
        <f>IFERROR(__xludf.DUMMYFUNCTION("""COMPUTED_VALUE"""),"W17")</f>
        <v>W17</v>
      </c>
      <c r="F4" s="12">
        <f>IFERROR(__xludf.DUMMYFUNCTION("""COMPUTED_VALUE"""),406.0)</f>
        <v>406</v>
      </c>
      <c r="G4" s="12">
        <f>IFERROR(__xludf.DUMMYFUNCTION("""COMPUTED_VALUE"""),606.0)</f>
        <v>606</v>
      </c>
      <c r="H4" s="175">
        <f>IFERROR(__xludf.DUMMYFUNCTION("""COMPUTED_VALUE"""),306.0)</f>
        <v>306</v>
      </c>
      <c r="I4" s="17">
        <f>IFERROR(__xludf.DUMMYFUNCTION("""COMPUTED_VALUE"""),2991.0)</f>
        <v>2991</v>
      </c>
      <c r="J4" s="17">
        <f>IFERROR(__xludf.DUMMYFUNCTION("""COMPUTED_VALUE"""),1672.0)</f>
        <v>1672</v>
      </c>
      <c r="K4" s="18">
        <f>IFERROR(__xludf.DUMMYFUNCTION("""COMPUTED_VALUE"""),1791.0)</f>
        <v>1791</v>
      </c>
      <c r="L4" s="175"/>
      <c r="M4" s="18">
        <f>IFERROR(__xludf.DUMMYFUNCTION("""COMPUTED_VALUE"""),3011.0)</f>
        <v>3011</v>
      </c>
      <c r="N4" s="18">
        <f>IFERROR(__xludf.DUMMYFUNCTION("""COMPUTED_VALUE"""),1692.0)</f>
        <v>1692</v>
      </c>
      <c r="O4" s="18">
        <f>IFERROR(__xludf.DUMMYFUNCTION("""COMPUTED_VALUE"""),1811.0)</f>
        <v>1811</v>
      </c>
      <c r="P4" s="177">
        <f>IFERROR(__xludf.DUMMYFUNCTION("""COMPUTED_VALUE"""),0.0)</f>
        <v>0</v>
      </c>
      <c r="Q4" s="177">
        <f>IFERROR(__xludf.DUMMYFUNCTION("""COMPUTED_VALUE"""),0.9)</f>
        <v>0.9</v>
      </c>
      <c r="R4" s="178">
        <f>IFERROR(__xludf.DUMMYFUNCTION("""COMPUTED_VALUE"""),0.9)</f>
        <v>0.9</v>
      </c>
      <c r="S4" s="12">
        <f>IFERROR(__xludf.DUMMYFUNCTION("""COMPUTED_VALUE"""),0.0)</f>
        <v>0</v>
      </c>
      <c r="T4" s="179">
        <f>IFERROR(__xludf.DUMMYFUNCTION("""COMPUTED_VALUE"""),1522.8)</f>
        <v>1522.8</v>
      </c>
      <c r="U4" s="180">
        <f>IFERROR(__xludf.DUMMYFUNCTION("""COMPUTED_VALUE"""),1629.9)</f>
        <v>1629.9</v>
      </c>
      <c r="V4" s="181">
        <f t="shared" si="2"/>
        <v>3005</v>
      </c>
      <c r="W4" s="182">
        <v>3005.0</v>
      </c>
      <c r="X4" s="183"/>
    </row>
    <row r="5">
      <c r="A5" s="175" t="str">
        <f t="shared" si="1"/>
        <v>2026-W17</v>
      </c>
      <c r="B5" s="175" t="str">
        <f>IFERROR(__xludf.DUMMYFUNCTION("""COMPUTED_VALUE"""),"FE4053A")</f>
        <v>FE4053A</v>
      </c>
      <c r="C5" s="176" t="str">
        <f>IFERROR(__xludf.DUMMYFUNCTION("""COMPUTED_VALUE"""),"Keto")</f>
        <v>Keto</v>
      </c>
      <c r="D5" s="175" t="str">
        <f>IFERROR(__xludf.DUMMYFUNCTION("""COMPUTED_VALUE"""),"Gochugaru Chicken")</f>
        <v>Gochugaru Chicken</v>
      </c>
      <c r="E5" s="175" t="str">
        <f>IFERROR(__xludf.DUMMYFUNCTION("""COMPUTED_VALUE"""),"W17")</f>
        <v>W17</v>
      </c>
      <c r="F5" s="12">
        <f>IFERROR(__xludf.DUMMYFUNCTION("""COMPUTED_VALUE"""),407.0)</f>
        <v>407</v>
      </c>
      <c r="G5" s="12">
        <f>IFERROR(__xludf.DUMMYFUNCTION("""COMPUTED_VALUE"""),607.0)</f>
        <v>607</v>
      </c>
      <c r="H5" s="18">
        <f>IFERROR(__xludf.DUMMYFUNCTION("""COMPUTED_VALUE"""),307.0)</f>
        <v>307</v>
      </c>
      <c r="I5" s="17">
        <f>IFERROR(__xludf.DUMMYFUNCTION("""COMPUTED_VALUE"""),2527.0)</f>
        <v>2527</v>
      </c>
      <c r="J5" s="17">
        <f>IFERROR(__xludf.DUMMYFUNCTION("""COMPUTED_VALUE"""),1535.0)</f>
        <v>1535</v>
      </c>
      <c r="K5" s="18">
        <f>IFERROR(__xludf.DUMMYFUNCTION("""COMPUTED_VALUE"""),1438.0)</f>
        <v>1438</v>
      </c>
      <c r="L5" s="18">
        <f>IFERROR(__xludf.DUMMYFUNCTION("""COMPUTED_VALUE"""),32.0)</f>
        <v>32</v>
      </c>
      <c r="M5" s="18">
        <f>IFERROR(__xludf.DUMMYFUNCTION("""COMPUTED_VALUE"""),2547.0)</f>
        <v>2547</v>
      </c>
      <c r="N5" s="18">
        <f>IFERROR(__xludf.DUMMYFUNCTION("""COMPUTED_VALUE"""),1555.0)</f>
        <v>1555</v>
      </c>
      <c r="O5" s="18">
        <f>IFERROR(__xludf.DUMMYFUNCTION("""COMPUTED_VALUE"""),1490.0)</f>
        <v>1490</v>
      </c>
      <c r="P5" s="177">
        <f>IFERROR(__xludf.DUMMYFUNCTION("""COMPUTED_VALUE"""),0.0)</f>
        <v>0</v>
      </c>
      <c r="Q5" s="177">
        <f>IFERROR(__xludf.DUMMYFUNCTION("""COMPUTED_VALUE"""),0.9)</f>
        <v>0.9</v>
      </c>
      <c r="R5" s="178">
        <f>IFERROR(__xludf.DUMMYFUNCTION("""COMPUTED_VALUE"""),0.9)</f>
        <v>0.9</v>
      </c>
      <c r="S5" s="179">
        <f>IFERROR(__xludf.DUMMYFUNCTION("""COMPUTED_VALUE"""),0.0)</f>
        <v>0</v>
      </c>
      <c r="T5" s="179">
        <f>IFERROR(__xludf.DUMMYFUNCTION("""COMPUTED_VALUE"""),1399.5)</f>
        <v>1399.5</v>
      </c>
      <c r="U5" s="180">
        <f>IFERROR(__xludf.DUMMYFUNCTION("""COMPUTED_VALUE"""),1341.0)</f>
        <v>1341</v>
      </c>
      <c r="V5" s="181">
        <f t="shared" si="2"/>
        <v>2675</v>
      </c>
      <c r="W5" s="182">
        <v>2675.0</v>
      </c>
      <c r="X5" s="183"/>
    </row>
    <row r="6">
      <c r="A6" s="175" t="str">
        <f t="shared" si="1"/>
        <v>2026-W17</v>
      </c>
      <c r="B6" s="175" t="str">
        <f>IFERROR(__xludf.DUMMYFUNCTION("""COMPUTED_VALUE"""),"FE4064A")</f>
        <v>FE4064A</v>
      </c>
      <c r="C6" s="176" t="str">
        <f>IFERROR(__xludf.DUMMYFUNCTION("""COMPUTED_VALUE"""),"Flexible")</f>
        <v>Flexible</v>
      </c>
      <c r="D6" s="175" t="str">
        <f>IFERROR(__xludf.DUMMYFUNCTION("""COMPUTED_VALUE"""),"Ginger Garlic Grilled Chicken")</f>
        <v>Ginger Garlic Grilled Chicken</v>
      </c>
      <c r="E6" s="175" t="str">
        <f>IFERROR(__xludf.DUMMYFUNCTION("""COMPUTED_VALUE"""),"W17")</f>
        <v>W17</v>
      </c>
      <c r="F6" s="12">
        <f>IFERROR(__xludf.DUMMYFUNCTION("""COMPUTED_VALUE"""),414.0)</f>
        <v>414</v>
      </c>
      <c r="G6" s="12">
        <f>IFERROR(__xludf.DUMMYFUNCTION("""COMPUTED_VALUE"""),614.0)</f>
        <v>614</v>
      </c>
      <c r="H6" s="18">
        <f>IFERROR(__xludf.DUMMYFUNCTION("""COMPUTED_VALUE"""),314.0)</f>
        <v>314</v>
      </c>
      <c r="I6" s="17">
        <f>IFERROR(__xludf.DUMMYFUNCTION("""COMPUTED_VALUE"""),1249.0)</f>
        <v>1249</v>
      </c>
      <c r="J6" s="17">
        <f>IFERROR(__xludf.DUMMYFUNCTION("""COMPUTED_VALUE"""),737.0)</f>
        <v>737</v>
      </c>
      <c r="K6" s="18">
        <f>IFERROR(__xludf.DUMMYFUNCTION("""COMPUTED_VALUE"""),681.0)</f>
        <v>681</v>
      </c>
      <c r="L6" s="18"/>
      <c r="M6" s="18">
        <f>IFERROR(__xludf.DUMMYFUNCTION("""COMPUTED_VALUE"""),1269.0)</f>
        <v>1269</v>
      </c>
      <c r="N6" s="18">
        <f>IFERROR(__xludf.DUMMYFUNCTION("""COMPUTED_VALUE"""),757.0)</f>
        <v>757</v>
      </c>
      <c r="O6" s="18">
        <f>IFERROR(__xludf.DUMMYFUNCTION("""COMPUTED_VALUE"""),701.0)</f>
        <v>701</v>
      </c>
      <c r="P6" s="177">
        <f>IFERROR(__xludf.DUMMYFUNCTION("""COMPUTED_VALUE"""),0.0)</f>
        <v>0</v>
      </c>
      <c r="Q6" s="177">
        <f>IFERROR(__xludf.DUMMYFUNCTION("""COMPUTED_VALUE"""),0.9)</f>
        <v>0.9</v>
      </c>
      <c r="R6" s="178">
        <f>IFERROR(__xludf.DUMMYFUNCTION("""COMPUTED_VALUE"""),0.9)</f>
        <v>0.9</v>
      </c>
      <c r="S6" s="179">
        <f>IFERROR(__xludf.DUMMYFUNCTION("""COMPUTED_VALUE"""),0.0)</f>
        <v>0</v>
      </c>
      <c r="T6" s="179">
        <f>IFERROR(__xludf.DUMMYFUNCTION("""COMPUTED_VALUE"""),681.3000000000001)</f>
        <v>681.3</v>
      </c>
      <c r="U6" s="180">
        <f>IFERROR(__xludf.DUMMYFUNCTION("""COMPUTED_VALUE"""),630.9)</f>
        <v>630.9</v>
      </c>
      <c r="V6" s="181">
        <f t="shared" si="2"/>
        <v>863</v>
      </c>
      <c r="W6" s="182">
        <v>863.0</v>
      </c>
      <c r="X6" s="183"/>
    </row>
    <row r="7">
      <c r="A7" s="175" t="str">
        <f t="shared" si="1"/>
        <v>2026-W17</v>
      </c>
      <c r="B7" s="175" t="str">
        <f>IFERROR(__xludf.DUMMYFUNCTION("""COMPUTED_VALUE"""),"FE0472B")</f>
        <v>FE0472B</v>
      </c>
      <c r="C7" s="176" t="str">
        <f>IFERROR(__xludf.DUMMYFUNCTION("""COMPUTED_VALUE"""),"Flexible")</f>
        <v>Flexible</v>
      </c>
      <c r="D7" s="175" t="str">
        <f>IFERROR(__xludf.DUMMYFUNCTION("""COMPUTED_VALUE"""),"Indian style butter chicken")</f>
        <v>Indian style butter chicken</v>
      </c>
      <c r="E7" s="175" t="str">
        <f>IFERROR(__xludf.DUMMYFUNCTION("""COMPUTED_VALUE"""),"W17")</f>
        <v>W17</v>
      </c>
      <c r="F7" s="12">
        <f>IFERROR(__xludf.DUMMYFUNCTION("""COMPUTED_VALUE"""),416.0)</f>
        <v>416</v>
      </c>
      <c r="G7" s="12">
        <f>IFERROR(__xludf.DUMMYFUNCTION("""COMPUTED_VALUE"""),616.0)</f>
        <v>616</v>
      </c>
      <c r="H7" s="18">
        <f>IFERROR(__xludf.DUMMYFUNCTION("""COMPUTED_VALUE"""),316.0)</f>
        <v>316</v>
      </c>
      <c r="I7" s="17">
        <f>IFERROR(__xludf.DUMMYFUNCTION("""COMPUTED_VALUE"""),1331.0)</f>
        <v>1331</v>
      </c>
      <c r="J7" s="17">
        <f>IFERROR(__xludf.DUMMYFUNCTION("""COMPUTED_VALUE"""),661.0)</f>
        <v>661</v>
      </c>
      <c r="K7" s="18">
        <f>IFERROR(__xludf.DUMMYFUNCTION("""COMPUTED_VALUE"""),762.0)</f>
        <v>762</v>
      </c>
      <c r="L7" s="18"/>
      <c r="M7" s="18">
        <f>IFERROR(__xludf.DUMMYFUNCTION("""COMPUTED_VALUE"""),1351.0)</f>
        <v>1351</v>
      </c>
      <c r="N7" s="18">
        <f>IFERROR(__xludf.DUMMYFUNCTION("""COMPUTED_VALUE"""),681.0)</f>
        <v>681</v>
      </c>
      <c r="O7" s="18">
        <f>IFERROR(__xludf.DUMMYFUNCTION("""COMPUTED_VALUE"""),782.0)</f>
        <v>782</v>
      </c>
      <c r="P7" s="177">
        <f>IFERROR(__xludf.DUMMYFUNCTION("""COMPUTED_VALUE"""),0.0)</f>
        <v>0</v>
      </c>
      <c r="Q7" s="177">
        <f>IFERROR(__xludf.DUMMYFUNCTION("""COMPUTED_VALUE"""),0.9)</f>
        <v>0.9</v>
      </c>
      <c r="R7" s="178">
        <f>IFERROR(__xludf.DUMMYFUNCTION("""COMPUTED_VALUE"""),0.9)</f>
        <v>0.9</v>
      </c>
      <c r="S7" s="179">
        <f>IFERROR(__xludf.DUMMYFUNCTION("""COMPUTED_VALUE"""),0.0)</f>
        <v>0</v>
      </c>
      <c r="T7" s="179">
        <f>IFERROR(__xludf.DUMMYFUNCTION("""COMPUTED_VALUE"""),612.9)</f>
        <v>612.9</v>
      </c>
      <c r="U7" s="180">
        <f>IFERROR(__xludf.DUMMYFUNCTION("""COMPUTED_VALUE"""),703.8000000000001)</f>
        <v>703.8</v>
      </c>
      <c r="V7" s="181">
        <f t="shared" si="2"/>
        <v>938</v>
      </c>
      <c r="W7" s="182">
        <v>938.0</v>
      </c>
      <c r="X7" s="183"/>
    </row>
    <row r="8">
      <c r="A8" s="184" t="str">
        <f t="shared" si="1"/>
        <v>2026-W18</v>
      </c>
      <c r="B8" s="184" t="str">
        <f>IFERROR(__xludf.DUMMYFUNCTION("""COMPUTED_VALUE"""),"FV0601A")</f>
        <v>FV0601A</v>
      </c>
      <c r="C8" s="185" t="str">
        <f>IFERROR(__xludf.DUMMYFUNCTION("""COMPUTED_VALUE"""),"Flexible")</f>
        <v>Flexible</v>
      </c>
      <c r="D8" s="184" t="str">
        <f>IFERROR(__xludf.DUMMYFUNCTION("""COMPUTED_VALUE"""),"Mozzarella Burger &amp; Roasted Potatoes")</f>
        <v>Mozzarella Burger &amp; Roasted Potatoes</v>
      </c>
      <c r="E8" s="184" t="str">
        <f>IFERROR(__xludf.DUMMYFUNCTION("""COMPUTED_VALUE"""),"W18")</f>
        <v>W18</v>
      </c>
      <c r="F8" s="186">
        <f>IFERROR(__xludf.DUMMYFUNCTION("""COMPUTED_VALUE"""),416.0)</f>
        <v>416</v>
      </c>
      <c r="G8" s="186">
        <f>IFERROR(__xludf.DUMMYFUNCTION("""COMPUTED_VALUE"""),616.0)</f>
        <v>616</v>
      </c>
      <c r="H8" s="187">
        <f>IFERROR(__xludf.DUMMYFUNCTION("""COMPUTED_VALUE"""),316.0)</f>
        <v>316</v>
      </c>
      <c r="I8" s="188">
        <f>IFERROR(__xludf.DUMMYFUNCTION("""COMPUTED_VALUE"""),0.0)</f>
        <v>0</v>
      </c>
      <c r="J8" s="188">
        <f>IFERROR(__xludf.DUMMYFUNCTION("""COMPUTED_VALUE"""),0.0)</f>
        <v>0</v>
      </c>
      <c r="K8" s="187">
        <f>IFERROR(__xludf.DUMMYFUNCTION("""COMPUTED_VALUE"""),0.0)</f>
        <v>0</v>
      </c>
      <c r="L8" s="187"/>
      <c r="M8" s="187">
        <f>IFERROR(__xludf.DUMMYFUNCTION("""COMPUTED_VALUE"""),20.0)</f>
        <v>20</v>
      </c>
      <c r="N8" s="187">
        <f>IFERROR(__xludf.DUMMYFUNCTION("""COMPUTED_VALUE"""),20.0)</f>
        <v>20</v>
      </c>
      <c r="O8" s="187">
        <f>IFERROR(__xludf.DUMMYFUNCTION("""COMPUTED_VALUE"""),20.0)</f>
        <v>20</v>
      </c>
      <c r="P8" s="189">
        <f>IFERROR(__xludf.DUMMYFUNCTION("""COMPUTED_VALUE"""),1.0)</f>
        <v>1</v>
      </c>
      <c r="Q8" s="189">
        <f>IFERROR(__xludf.DUMMYFUNCTION("""COMPUTED_VALUE"""),1.0)</f>
        <v>1</v>
      </c>
      <c r="R8" s="190">
        <f>IFERROR(__xludf.DUMMYFUNCTION("""COMPUTED_VALUE"""),1.0)</f>
        <v>1</v>
      </c>
      <c r="S8" s="191">
        <f>IFERROR(__xludf.DUMMYFUNCTION("""COMPUTED_VALUE"""),20.0)</f>
        <v>20</v>
      </c>
      <c r="T8" s="191">
        <f>IFERROR(__xludf.DUMMYFUNCTION("""COMPUTED_VALUE"""),20.0)</f>
        <v>20</v>
      </c>
      <c r="U8" s="192">
        <f>IFERROR(__xludf.DUMMYFUNCTION("""COMPUTED_VALUE"""),20.0)</f>
        <v>20</v>
      </c>
      <c r="V8" s="193">
        <f t="shared" si="2"/>
        <v>641</v>
      </c>
      <c r="W8" s="194"/>
      <c r="X8" s="195">
        <v>600.0</v>
      </c>
    </row>
    <row r="9">
      <c r="A9" s="184" t="str">
        <f t="shared" si="1"/>
        <v>2026-W19</v>
      </c>
      <c r="B9" s="184" t="str">
        <f>IFERROR(__xludf.DUMMYFUNCTION("""COMPUTED_VALUE"""),"FE4009A")</f>
        <v>FE4009A</v>
      </c>
      <c r="C9" s="185" t="str">
        <f>IFERROR(__xludf.DUMMYFUNCTION("""COMPUTED_VALUE"""),"P+")</f>
        <v>P+</v>
      </c>
      <c r="D9" s="184" t="str">
        <f>IFERROR(__xludf.DUMMYFUNCTION("""COMPUTED_VALUE"""),"Salmon in mustard-dill sauce")</f>
        <v>Salmon in mustard-dill sauce</v>
      </c>
      <c r="E9" s="184" t="str">
        <f>IFERROR(__xludf.DUMMYFUNCTION("""COMPUTED_VALUE"""),"W19")</f>
        <v>W19</v>
      </c>
      <c r="F9" s="186">
        <f>IFERROR(__xludf.DUMMYFUNCTION("""COMPUTED_VALUE"""),404.0)</f>
        <v>404</v>
      </c>
      <c r="G9" s="186">
        <f>IFERROR(__xludf.DUMMYFUNCTION("""COMPUTED_VALUE"""),604.0)</f>
        <v>604</v>
      </c>
      <c r="H9" s="184">
        <f>IFERROR(__xludf.DUMMYFUNCTION("""COMPUTED_VALUE"""),304.0)</f>
        <v>304</v>
      </c>
      <c r="I9" s="188">
        <f>IFERROR(__xludf.DUMMYFUNCTION("""COMPUTED_VALUE"""),5769.0)</f>
        <v>5769</v>
      </c>
      <c r="J9" s="188">
        <f>IFERROR(__xludf.DUMMYFUNCTION("""COMPUTED_VALUE"""),2905.0)</f>
        <v>2905</v>
      </c>
      <c r="K9" s="187">
        <f>IFERROR(__xludf.DUMMYFUNCTION("""COMPUTED_VALUE"""),2346.0)</f>
        <v>2346</v>
      </c>
      <c r="L9" s="184"/>
      <c r="M9" s="187">
        <f>IFERROR(__xludf.DUMMYFUNCTION("""COMPUTED_VALUE"""),5789.0)</f>
        <v>5789</v>
      </c>
      <c r="N9" s="187">
        <f>IFERROR(__xludf.DUMMYFUNCTION("""COMPUTED_VALUE"""),2925.0)</f>
        <v>2925</v>
      </c>
      <c r="O9" s="187">
        <f>IFERROR(__xludf.DUMMYFUNCTION("""COMPUTED_VALUE"""),2366.0)</f>
        <v>2366</v>
      </c>
      <c r="P9" s="189">
        <f>IFERROR(__xludf.DUMMYFUNCTION("""COMPUTED_VALUE"""),0.0)</f>
        <v>0</v>
      </c>
      <c r="Q9" s="189">
        <f>IFERROR(__xludf.DUMMYFUNCTION("""COMPUTED_VALUE"""),1.0)</f>
        <v>1</v>
      </c>
      <c r="R9" s="190">
        <f>IFERROR(__xludf.DUMMYFUNCTION("""COMPUTED_VALUE"""),1.0)</f>
        <v>1</v>
      </c>
      <c r="S9" s="186">
        <f>IFERROR(__xludf.DUMMYFUNCTION("""COMPUTED_VALUE"""),0.0)</f>
        <v>0</v>
      </c>
      <c r="T9" s="191">
        <f>IFERROR(__xludf.DUMMYFUNCTION("""COMPUTED_VALUE"""),2925.0)</f>
        <v>2925</v>
      </c>
      <c r="U9" s="192">
        <f>IFERROR(__xludf.DUMMYFUNCTION("""COMPUTED_VALUE"""),2366.0)</f>
        <v>2366</v>
      </c>
      <c r="V9" s="193">
        <f t="shared" si="2"/>
        <v>2926</v>
      </c>
      <c r="W9" s="186"/>
      <c r="X9" s="196"/>
    </row>
    <row r="10">
      <c r="A10" s="175" t="str">
        <f t="shared" si="1"/>
        <v>2026-W19</v>
      </c>
      <c r="B10" s="175" t="str">
        <f>IFERROR(__xludf.DUMMYFUNCTION("""COMPUTED_VALUE"""),"FE0972B")</f>
        <v>FE0972B</v>
      </c>
      <c r="C10" s="176" t="str">
        <f>IFERROR(__xludf.DUMMYFUNCTION("""COMPUTED_VALUE"""),"Keto")</f>
        <v>Keto</v>
      </c>
      <c r="D10" s="175" t="str">
        <f>IFERROR(__xludf.DUMMYFUNCTION("""COMPUTED_VALUE"""),"Salmon Piccata")</f>
        <v>Salmon Piccata</v>
      </c>
      <c r="E10" s="175" t="str">
        <f>IFERROR(__xludf.DUMMYFUNCTION("""COMPUTED_VALUE"""),"W19")</f>
        <v>W19</v>
      </c>
      <c r="F10" s="12">
        <f>IFERROR(__xludf.DUMMYFUNCTION("""COMPUTED_VALUE"""),406.0)</f>
        <v>406</v>
      </c>
      <c r="G10" s="12">
        <f>IFERROR(__xludf.DUMMYFUNCTION("""COMPUTED_VALUE"""),606.0)</f>
        <v>606</v>
      </c>
      <c r="H10" s="175">
        <f>IFERROR(__xludf.DUMMYFUNCTION("""COMPUTED_VALUE"""),306.0)</f>
        <v>306</v>
      </c>
      <c r="I10" s="17">
        <f>IFERROR(__xludf.DUMMYFUNCTION("""COMPUTED_VALUE"""),2837.0)</f>
        <v>2837</v>
      </c>
      <c r="J10" s="17">
        <f>IFERROR(__xludf.DUMMYFUNCTION("""COMPUTED_VALUE"""),1686.0)</f>
        <v>1686</v>
      </c>
      <c r="K10" s="18">
        <f>IFERROR(__xludf.DUMMYFUNCTION("""COMPUTED_VALUE"""),1728.0)</f>
        <v>1728</v>
      </c>
      <c r="L10" s="175"/>
      <c r="M10" s="18">
        <f>IFERROR(__xludf.DUMMYFUNCTION("""COMPUTED_VALUE"""),2857.0)</f>
        <v>2857</v>
      </c>
      <c r="N10" s="18">
        <f>IFERROR(__xludf.DUMMYFUNCTION("""COMPUTED_VALUE"""),1706.0)</f>
        <v>1706</v>
      </c>
      <c r="O10" s="18">
        <f>IFERROR(__xludf.DUMMYFUNCTION("""COMPUTED_VALUE"""),1748.0)</f>
        <v>1748</v>
      </c>
      <c r="P10" s="177">
        <f>IFERROR(__xludf.DUMMYFUNCTION("""COMPUTED_VALUE"""),0.0)</f>
        <v>0</v>
      </c>
      <c r="Q10" s="177">
        <f>IFERROR(__xludf.DUMMYFUNCTION("""COMPUTED_VALUE"""),1.0)</f>
        <v>1</v>
      </c>
      <c r="R10" s="178">
        <f>IFERROR(__xludf.DUMMYFUNCTION("""COMPUTED_VALUE"""),1.0)</f>
        <v>1</v>
      </c>
      <c r="S10" s="12">
        <f>IFERROR(__xludf.DUMMYFUNCTION("""COMPUTED_VALUE"""),0.0)</f>
        <v>0</v>
      </c>
      <c r="T10" s="179">
        <f>IFERROR(__xludf.DUMMYFUNCTION("""COMPUTED_VALUE"""),1706.0)</f>
        <v>1706</v>
      </c>
      <c r="U10" s="180">
        <f>IFERROR(__xludf.DUMMYFUNCTION("""COMPUTED_VALUE"""),1748.0)</f>
        <v>1748</v>
      </c>
      <c r="V10" s="181">
        <f t="shared" si="2"/>
        <v>1707</v>
      </c>
      <c r="W10" s="12"/>
      <c r="X10" s="197"/>
    </row>
    <row r="11">
      <c r="A11" s="175" t="str">
        <f t="shared" si="1"/>
        <v>2026-W19</v>
      </c>
      <c r="B11" s="175" t="str">
        <f>IFERROR(__xludf.DUMMYFUNCTION("""COMPUTED_VALUE"""),"FE0970B")</f>
        <v>FE0970B</v>
      </c>
      <c r="C11" s="176" t="str">
        <f>IFERROR(__xludf.DUMMYFUNCTION("""COMPUTED_VALUE"""),"Keto")</f>
        <v>Keto</v>
      </c>
      <c r="D11" s="175" t="str">
        <f>IFERROR(__xludf.DUMMYFUNCTION("""COMPUTED_VALUE"""),"Caramelized Onion &amp; Emmental Fondue Chicken")</f>
        <v>Caramelized Onion &amp; Emmental Fondue Chicken</v>
      </c>
      <c r="E11" s="175" t="str">
        <f>IFERROR(__xludf.DUMMYFUNCTION("""COMPUTED_VALUE"""),"W19")</f>
        <v>W19</v>
      </c>
      <c r="F11" s="12">
        <f>IFERROR(__xludf.DUMMYFUNCTION("""COMPUTED_VALUE"""),407.0)</f>
        <v>407</v>
      </c>
      <c r="G11" s="12">
        <f>IFERROR(__xludf.DUMMYFUNCTION("""COMPUTED_VALUE"""),607.0)</f>
        <v>607</v>
      </c>
      <c r="H11" s="18">
        <f>IFERROR(__xludf.DUMMYFUNCTION("""COMPUTED_VALUE"""),307.0)</f>
        <v>307</v>
      </c>
      <c r="I11" s="17">
        <f>IFERROR(__xludf.DUMMYFUNCTION("""COMPUTED_VALUE"""),2593.0)</f>
        <v>2593</v>
      </c>
      <c r="J11" s="17">
        <f>IFERROR(__xludf.DUMMYFUNCTION("""COMPUTED_VALUE"""),1390.0)</f>
        <v>1390</v>
      </c>
      <c r="K11" s="18">
        <f>IFERROR(__xludf.DUMMYFUNCTION("""COMPUTED_VALUE"""),1527.0)</f>
        <v>1527</v>
      </c>
      <c r="L11" s="18"/>
      <c r="M11" s="18">
        <f>IFERROR(__xludf.DUMMYFUNCTION("""COMPUTED_VALUE"""),2613.0)</f>
        <v>2613</v>
      </c>
      <c r="N11" s="18">
        <f>IFERROR(__xludf.DUMMYFUNCTION("""COMPUTED_VALUE"""),1410.0)</f>
        <v>1410</v>
      </c>
      <c r="O11" s="18">
        <f>IFERROR(__xludf.DUMMYFUNCTION("""COMPUTED_VALUE"""),1547.0)</f>
        <v>1547</v>
      </c>
      <c r="P11" s="177">
        <f>IFERROR(__xludf.DUMMYFUNCTION("""COMPUTED_VALUE"""),0.0)</f>
        <v>0</v>
      </c>
      <c r="Q11" s="177">
        <f>IFERROR(__xludf.DUMMYFUNCTION("""COMPUTED_VALUE"""),1.0)</f>
        <v>1</v>
      </c>
      <c r="R11" s="178">
        <f>IFERROR(__xludf.DUMMYFUNCTION("""COMPUTED_VALUE"""),1.0)</f>
        <v>1</v>
      </c>
      <c r="S11" s="179">
        <f>IFERROR(__xludf.DUMMYFUNCTION("""COMPUTED_VALUE"""),0.0)</f>
        <v>0</v>
      </c>
      <c r="T11" s="179">
        <f>IFERROR(__xludf.DUMMYFUNCTION("""COMPUTED_VALUE"""),1410.0)</f>
        <v>1410</v>
      </c>
      <c r="U11" s="180">
        <f>IFERROR(__xludf.DUMMYFUNCTION("""COMPUTED_VALUE"""),1547.0)</f>
        <v>1547</v>
      </c>
      <c r="V11" s="181">
        <f t="shared" si="2"/>
        <v>1411</v>
      </c>
      <c r="W11" s="12"/>
      <c r="X11" s="197"/>
    </row>
    <row r="12">
      <c r="A12" s="184" t="str">
        <f t="shared" si="1"/>
        <v>2026-W20</v>
      </c>
      <c r="B12" s="184" t="str">
        <f>IFERROR(__xludf.DUMMYFUNCTION("""COMPUTED_VALUE"""),"FE0035F")</f>
        <v>FE0035F</v>
      </c>
      <c r="C12" s="185" t="str">
        <f>IFERROR(__xludf.DUMMYFUNCTION("""COMPUTED_VALUE"""),"Keto")</f>
        <v>Keto</v>
      </c>
      <c r="D12" s="184" t="str">
        <f>IFERROR(__xludf.DUMMYFUNCTION("""COMPUTED_VALUE"""),"Salmon with pesto")</f>
        <v>Salmon with pesto</v>
      </c>
      <c r="E12" s="184" t="str">
        <f>IFERROR(__xludf.DUMMYFUNCTION("""COMPUTED_VALUE"""),"W20")</f>
        <v>W20</v>
      </c>
      <c r="F12" s="186">
        <f>IFERROR(__xludf.DUMMYFUNCTION("""COMPUTED_VALUE"""),406.0)</f>
        <v>406</v>
      </c>
      <c r="G12" s="186">
        <f>IFERROR(__xludf.DUMMYFUNCTION("""COMPUTED_VALUE"""),606.0)</f>
        <v>606</v>
      </c>
      <c r="H12" s="184">
        <f>IFERROR(__xludf.DUMMYFUNCTION("""COMPUTED_VALUE"""),306.0)</f>
        <v>306</v>
      </c>
      <c r="I12" s="188">
        <f>IFERROR(__xludf.DUMMYFUNCTION("""COMPUTED_VALUE"""),2718.0)</f>
        <v>2718</v>
      </c>
      <c r="J12" s="188">
        <f>IFERROR(__xludf.DUMMYFUNCTION("""COMPUTED_VALUE"""),1645.0)</f>
        <v>1645</v>
      </c>
      <c r="K12" s="187">
        <f>IFERROR(__xludf.DUMMYFUNCTION("""COMPUTED_VALUE"""),1546.0)</f>
        <v>1546</v>
      </c>
      <c r="L12" s="187">
        <f>IFERROR(__xludf.DUMMYFUNCTION("""COMPUTED_VALUE"""),0.0)</f>
        <v>0</v>
      </c>
      <c r="M12" s="187">
        <f>IFERROR(__xludf.DUMMYFUNCTION("""COMPUTED_VALUE"""),2738.0)</f>
        <v>2738</v>
      </c>
      <c r="N12" s="187">
        <f>IFERROR(__xludf.DUMMYFUNCTION("""COMPUTED_VALUE"""),1665.0)</f>
        <v>1665</v>
      </c>
      <c r="O12" s="187">
        <f>IFERROR(__xludf.DUMMYFUNCTION("""COMPUTED_VALUE"""),1566.0)</f>
        <v>1566</v>
      </c>
      <c r="P12" s="189">
        <f>IFERROR(__xludf.DUMMYFUNCTION("""COMPUTED_VALUE"""),1.0)</f>
        <v>1</v>
      </c>
      <c r="Q12" s="189">
        <f>IFERROR(__xludf.DUMMYFUNCTION("""COMPUTED_VALUE"""),1.0)</f>
        <v>1</v>
      </c>
      <c r="R12" s="190">
        <f>IFERROR(__xludf.DUMMYFUNCTION("""COMPUTED_VALUE"""),1.0)</f>
        <v>1</v>
      </c>
      <c r="S12" s="186">
        <f>IFERROR(__xludf.DUMMYFUNCTION("""COMPUTED_VALUE"""),2738.0)</f>
        <v>2738</v>
      </c>
      <c r="T12" s="191">
        <f>IFERROR(__xludf.DUMMYFUNCTION("""COMPUTED_VALUE"""),1665.0)</f>
        <v>1665</v>
      </c>
      <c r="U12" s="192">
        <f>IFERROR(__xludf.DUMMYFUNCTION("""COMPUTED_VALUE"""),1566.0)</f>
        <v>1566</v>
      </c>
      <c r="V12" s="193">
        <f t="shared" si="2"/>
        <v>4404</v>
      </c>
      <c r="W12" s="186"/>
      <c r="X12" s="195"/>
    </row>
    <row r="13">
      <c r="A13" s="175" t="str">
        <f t="shared" si="1"/>
        <v>2026-W20</v>
      </c>
      <c r="B13" s="175" t="str">
        <f>IFERROR(__xludf.DUMMYFUNCTION("""COMPUTED_VALUE"""),"FE0472B")</f>
        <v>FE0472B</v>
      </c>
      <c r="C13" s="176" t="str">
        <f>IFERROR(__xludf.DUMMYFUNCTION("""COMPUTED_VALUE"""),"Keto")</f>
        <v>Keto</v>
      </c>
      <c r="D13" s="175" t="str">
        <f>IFERROR(__xludf.DUMMYFUNCTION("""COMPUTED_VALUE"""),"Indian style butter chicken")</f>
        <v>Indian style butter chicken</v>
      </c>
      <c r="E13" s="175" t="str">
        <f>IFERROR(__xludf.DUMMYFUNCTION("""COMPUTED_VALUE"""),"W20")</f>
        <v>W20</v>
      </c>
      <c r="F13" s="12">
        <f>IFERROR(__xludf.DUMMYFUNCTION("""COMPUTED_VALUE"""),407.0)</f>
        <v>407</v>
      </c>
      <c r="G13" s="12">
        <f>IFERROR(__xludf.DUMMYFUNCTION("""COMPUTED_VALUE"""),607.0)</f>
        <v>607</v>
      </c>
      <c r="H13" s="175">
        <f>IFERROR(__xludf.DUMMYFUNCTION("""COMPUTED_VALUE"""),307.0)</f>
        <v>307</v>
      </c>
      <c r="I13" s="17">
        <f>IFERROR(__xludf.DUMMYFUNCTION("""COMPUTED_VALUE"""),2363.0)</f>
        <v>2363</v>
      </c>
      <c r="J13" s="17">
        <f>IFERROR(__xludf.DUMMYFUNCTION("""COMPUTED_VALUE"""),1485.0)</f>
        <v>1485</v>
      </c>
      <c r="K13" s="18">
        <f>IFERROR(__xludf.DUMMYFUNCTION("""COMPUTED_VALUE"""),1274.0)</f>
        <v>1274</v>
      </c>
      <c r="L13" s="18">
        <f>IFERROR(__xludf.DUMMYFUNCTION("""COMPUTED_VALUE"""),0.0)</f>
        <v>0</v>
      </c>
      <c r="M13" s="18">
        <f>IFERROR(__xludf.DUMMYFUNCTION("""COMPUTED_VALUE"""),2383.0)</f>
        <v>2383</v>
      </c>
      <c r="N13" s="18">
        <f>IFERROR(__xludf.DUMMYFUNCTION("""COMPUTED_VALUE"""),1505.0)</f>
        <v>1505</v>
      </c>
      <c r="O13" s="18">
        <f>IFERROR(__xludf.DUMMYFUNCTION("""COMPUTED_VALUE"""),1294.0)</f>
        <v>1294</v>
      </c>
      <c r="P13" s="177">
        <f>IFERROR(__xludf.DUMMYFUNCTION("""COMPUTED_VALUE"""),1.0)</f>
        <v>1</v>
      </c>
      <c r="Q13" s="177">
        <f>IFERROR(__xludf.DUMMYFUNCTION("""COMPUTED_VALUE"""),1.0)</f>
        <v>1</v>
      </c>
      <c r="R13" s="178">
        <f>IFERROR(__xludf.DUMMYFUNCTION("""COMPUTED_VALUE"""),1.0)</f>
        <v>1</v>
      </c>
      <c r="S13" s="12">
        <f>IFERROR(__xludf.DUMMYFUNCTION("""COMPUTED_VALUE"""),2383.0)</f>
        <v>2383</v>
      </c>
      <c r="T13" s="179">
        <f>IFERROR(__xludf.DUMMYFUNCTION("""COMPUTED_VALUE"""),1505.0)</f>
        <v>1505</v>
      </c>
      <c r="U13" s="180">
        <f>IFERROR(__xludf.DUMMYFUNCTION("""COMPUTED_VALUE"""),1294.0)</f>
        <v>1294</v>
      </c>
      <c r="V13" s="181">
        <f t="shared" si="2"/>
        <v>3889</v>
      </c>
      <c r="W13" s="12"/>
      <c r="X13" s="183"/>
    </row>
    <row r="14">
      <c r="A14" s="175" t="str">
        <f t="shared" si="1"/>
        <v>2026-W20</v>
      </c>
      <c r="B14" s="175" t="str">
        <f>IFERROR(__xludf.DUMMYFUNCTION("""COMPUTED_VALUE"""),"FE0281E")</f>
        <v>FE0281E</v>
      </c>
      <c r="C14" s="176" t="str">
        <f>IFERROR(__xludf.DUMMYFUNCTION("""COMPUTED_VALUE"""),"P+")</f>
        <v>P+</v>
      </c>
      <c r="D14" s="175" t="str">
        <f>IFERROR(__xludf.DUMMYFUNCTION("""COMPUTED_VALUE"""),"Spicy citrus salmon")</f>
        <v>Spicy citrus salmon</v>
      </c>
      <c r="E14" s="175" t="str">
        <f>IFERROR(__xludf.DUMMYFUNCTION("""COMPUTED_VALUE"""),"W20")</f>
        <v>W20</v>
      </c>
      <c r="F14" s="12">
        <f>IFERROR(__xludf.DUMMYFUNCTION("""COMPUTED_VALUE"""),412.0)</f>
        <v>412</v>
      </c>
      <c r="G14" s="12">
        <f>IFERROR(__xludf.DUMMYFUNCTION("""COMPUTED_VALUE"""),612.0)</f>
        <v>612</v>
      </c>
      <c r="H14" s="175">
        <f>IFERROR(__xludf.DUMMYFUNCTION("""COMPUTED_VALUE"""),312.0)</f>
        <v>312</v>
      </c>
      <c r="I14" s="17">
        <f>IFERROR(__xludf.DUMMYFUNCTION("""COMPUTED_VALUE"""),3127.0)</f>
        <v>3127</v>
      </c>
      <c r="J14" s="17">
        <f>IFERROR(__xludf.DUMMYFUNCTION("""COMPUTED_VALUE"""),1419.0)</f>
        <v>1419</v>
      </c>
      <c r="K14" s="18">
        <f>IFERROR(__xludf.DUMMYFUNCTION("""COMPUTED_VALUE"""),1159.0)</f>
        <v>1159</v>
      </c>
      <c r="L14" s="18">
        <f>IFERROR(__xludf.DUMMYFUNCTION("""COMPUTED_VALUE"""),0.0)</f>
        <v>0</v>
      </c>
      <c r="M14" s="18">
        <f>IFERROR(__xludf.DUMMYFUNCTION("""COMPUTED_VALUE"""),3147.0)</f>
        <v>3147</v>
      </c>
      <c r="N14" s="18">
        <f>IFERROR(__xludf.DUMMYFUNCTION("""COMPUTED_VALUE"""),1439.0)</f>
        <v>1439</v>
      </c>
      <c r="O14" s="18">
        <f>IFERROR(__xludf.DUMMYFUNCTION("""COMPUTED_VALUE"""),1179.0)</f>
        <v>1179</v>
      </c>
      <c r="P14" s="177">
        <f>IFERROR(__xludf.DUMMYFUNCTION("""COMPUTED_VALUE"""),1.0)</f>
        <v>1</v>
      </c>
      <c r="Q14" s="177">
        <f>IFERROR(__xludf.DUMMYFUNCTION("""COMPUTED_VALUE"""),1.0)</f>
        <v>1</v>
      </c>
      <c r="R14" s="178">
        <f>IFERROR(__xludf.DUMMYFUNCTION("""COMPUTED_VALUE"""),1.0)</f>
        <v>1</v>
      </c>
      <c r="S14" s="12">
        <f>IFERROR(__xludf.DUMMYFUNCTION("""COMPUTED_VALUE"""),3147.0)</f>
        <v>3147</v>
      </c>
      <c r="T14" s="179">
        <f>IFERROR(__xludf.DUMMYFUNCTION("""COMPUTED_VALUE"""),1439.0)</f>
        <v>1439</v>
      </c>
      <c r="U14" s="180">
        <f>IFERROR(__xludf.DUMMYFUNCTION("""COMPUTED_VALUE"""),1179.0)</f>
        <v>1179</v>
      </c>
      <c r="V14" s="181">
        <f t="shared" si="2"/>
        <v>4587</v>
      </c>
      <c r="W14" s="12"/>
      <c r="X14" s="183"/>
    </row>
    <row r="15">
      <c r="A15" s="175" t="str">
        <f t="shared" si="1"/>
        <v>2026-W20</v>
      </c>
      <c r="B15" s="175" t="str">
        <f>IFERROR(__xludf.DUMMYFUNCTION("""COMPUTED_VALUE"""),"FE1646A")</f>
        <v>FE1646A</v>
      </c>
      <c r="C15" s="176" t="str">
        <f>IFERROR(__xludf.DUMMYFUNCTION("""COMPUTED_VALUE"""),"Flexible")</f>
        <v>Flexible</v>
      </c>
      <c r="D15" s="175" t="str">
        <f>IFERROR(__xludf.DUMMYFUNCTION("""COMPUTED_VALUE"""),"Shrimp with Lemon Garlic Sauce &amp; Spanakopita Style Rice")</f>
        <v>Shrimp with Lemon Garlic Sauce &amp; Spanakopita Style Rice</v>
      </c>
      <c r="E15" s="175" t="str">
        <f>IFERROR(__xludf.DUMMYFUNCTION("""COMPUTED_VALUE"""),"W20")</f>
        <v>W20</v>
      </c>
      <c r="F15" s="12">
        <f>IFERROR(__xludf.DUMMYFUNCTION("""COMPUTED_VALUE"""),414.0)</f>
        <v>414</v>
      </c>
      <c r="G15" s="12">
        <f>IFERROR(__xludf.DUMMYFUNCTION("""COMPUTED_VALUE"""),614.0)</f>
        <v>614</v>
      </c>
      <c r="H15" s="175">
        <f>IFERROR(__xludf.DUMMYFUNCTION("""COMPUTED_VALUE"""),314.0)</f>
        <v>314</v>
      </c>
      <c r="I15" s="17">
        <f>IFERROR(__xludf.DUMMYFUNCTION("""COMPUTED_VALUE"""),1191.0)</f>
        <v>1191</v>
      </c>
      <c r="J15" s="17">
        <f>IFERROR(__xludf.DUMMYFUNCTION("""COMPUTED_VALUE"""),644.0)</f>
        <v>644</v>
      </c>
      <c r="K15" s="18">
        <f>IFERROR(__xludf.DUMMYFUNCTION("""COMPUTED_VALUE"""),655.0)</f>
        <v>655</v>
      </c>
      <c r="L15" s="18">
        <f>IFERROR(__xludf.DUMMYFUNCTION("""COMPUTED_VALUE"""),0.0)</f>
        <v>0</v>
      </c>
      <c r="M15" s="18">
        <f>IFERROR(__xludf.DUMMYFUNCTION("""COMPUTED_VALUE"""),1211.0)</f>
        <v>1211</v>
      </c>
      <c r="N15" s="18">
        <f>IFERROR(__xludf.DUMMYFUNCTION("""COMPUTED_VALUE"""),664.0)</f>
        <v>664</v>
      </c>
      <c r="O15" s="18">
        <f>IFERROR(__xludf.DUMMYFUNCTION("""COMPUTED_VALUE"""),675.0)</f>
        <v>675</v>
      </c>
      <c r="P15" s="177">
        <f>IFERROR(__xludf.DUMMYFUNCTION("""COMPUTED_VALUE"""),1.0)</f>
        <v>1</v>
      </c>
      <c r="Q15" s="177">
        <f>IFERROR(__xludf.DUMMYFUNCTION("""COMPUTED_VALUE"""),1.0)</f>
        <v>1</v>
      </c>
      <c r="R15" s="178">
        <f>IFERROR(__xludf.DUMMYFUNCTION("""COMPUTED_VALUE"""),1.0)</f>
        <v>1</v>
      </c>
      <c r="S15" s="12">
        <f>IFERROR(__xludf.DUMMYFUNCTION("""COMPUTED_VALUE"""),1211.0)</f>
        <v>1211</v>
      </c>
      <c r="T15" s="179">
        <f>IFERROR(__xludf.DUMMYFUNCTION("""COMPUTED_VALUE"""),664.0)</f>
        <v>664</v>
      </c>
      <c r="U15" s="180">
        <f>IFERROR(__xludf.DUMMYFUNCTION("""COMPUTED_VALUE"""),675.0)</f>
        <v>675</v>
      </c>
      <c r="V15" s="181">
        <f t="shared" si="2"/>
        <v>1876</v>
      </c>
      <c r="W15" s="12"/>
      <c r="X15" s="183"/>
    </row>
    <row r="16">
      <c r="A16" s="175" t="str">
        <f t="shared" si="1"/>
        <v>2026-W20</v>
      </c>
      <c r="B16" s="175" t="str">
        <f>IFERROR(__xludf.DUMMYFUNCTION("""COMPUTED_VALUE"""),"FV0846A")</f>
        <v>FV0846A</v>
      </c>
      <c r="C16" s="176" t="str">
        <f>IFERROR(__xludf.DUMMYFUNCTION("""COMPUTED_VALUE"""),"Keto")</f>
        <v>Keto</v>
      </c>
      <c r="D16" s="175" t="str">
        <f>IFERROR(__xludf.DUMMYFUNCTION("""COMPUTED_VALUE"""),"Stroganoff-Style Beef Burger")</f>
        <v>Stroganoff-Style Beef Burger</v>
      </c>
      <c r="E16" s="175" t="str">
        <f>IFERROR(__xludf.DUMMYFUNCTION("""COMPUTED_VALUE"""),"W20")</f>
        <v>W20</v>
      </c>
      <c r="F16" s="12">
        <f>IFERROR(__xludf.DUMMYFUNCTION("""COMPUTED_VALUE"""),415.0)</f>
        <v>415</v>
      </c>
      <c r="G16" s="12">
        <f>IFERROR(__xludf.DUMMYFUNCTION("""COMPUTED_VALUE"""),615.0)</f>
        <v>615</v>
      </c>
      <c r="H16" s="175">
        <f>IFERROR(__xludf.DUMMYFUNCTION("""COMPUTED_VALUE"""),315.0)</f>
        <v>315</v>
      </c>
      <c r="I16" s="17">
        <f>IFERROR(__xludf.DUMMYFUNCTION("""COMPUTED_VALUE"""),1087.0)</f>
        <v>1087</v>
      </c>
      <c r="J16" s="17">
        <f>IFERROR(__xludf.DUMMYFUNCTION("""COMPUTED_VALUE"""),644.0)</f>
        <v>644</v>
      </c>
      <c r="K16" s="18">
        <f>IFERROR(__xludf.DUMMYFUNCTION("""COMPUTED_VALUE"""),625.0)</f>
        <v>625</v>
      </c>
      <c r="L16" s="18">
        <f>IFERROR(__xludf.DUMMYFUNCTION("""COMPUTED_VALUE"""),0.0)</f>
        <v>0</v>
      </c>
      <c r="M16" s="18">
        <f>IFERROR(__xludf.DUMMYFUNCTION("""COMPUTED_VALUE"""),1107.0)</f>
        <v>1107</v>
      </c>
      <c r="N16" s="18">
        <f>IFERROR(__xludf.DUMMYFUNCTION("""COMPUTED_VALUE"""),664.0)</f>
        <v>664</v>
      </c>
      <c r="O16" s="18">
        <f>IFERROR(__xludf.DUMMYFUNCTION("""COMPUTED_VALUE"""),645.0)</f>
        <v>645</v>
      </c>
      <c r="P16" s="177">
        <f>IFERROR(__xludf.DUMMYFUNCTION("""COMPUTED_VALUE"""),1.0)</f>
        <v>1</v>
      </c>
      <c r="Q16" s="177">
        <f>IFERROR(__xludf.DUMMYFUNCTION("""COMPUTED_VALUE"""),1.0)</f>
        <v>1</v>
      </c>
      <c r="R16" s="178">
        <f>IFERROR(__xludf.DUMMYFUNCTION("""COMPUTED_VALUE"""),1.0)</f>
        <v>1</v>
      </c>
      <c r="S16" s="12">
        <f>IFERROR(__xludf.DUMMYFUNCTION("""COMPUTED_VALUE"""),1107.0)</f>
        <v>1107</v>
      </c>
      <c r="T16" s="179">
        <f>IFERROR(__xludf.DUMMYFUNCTION("""COMPUTED_VALUE"""),664.0)</f>
        <v>664</v>
      </c>
      <c r="U16" s="180">
        <f>IFERROR(__xludf.DUMMYFUNCTION("""COMPUTED_VALUE"""),645.0)</f>
        <v>645</v>
      </c>
      <c r="V16" s="181">
        <f t="shared" si="2"/>
        <v>1772</v>
      </c>
      <c r="W16" s="12"/>
      <c r="X16" s="183"/>
    </row>
    <row r="17">
      <c r="A17" s="184" t="str">
        <f t="shared" si="1"/>
        <v>2026-W21</v>
      </c>
      <c r="B17" s="184" t="str">
        <f>IFERROR(__xludf.DUMMYFUNCTION("""COMPUTED_VALUE"""),"FV0426A")</f>
        <v>FV0426A</v>
      </c>
      <c r="C17" s="185" t="str">
        <f>IFERROR(__xludf.DUMMYFUNCTION("""COMPUTED_VALUE"""),"CS")</f>
        <v>CS</v>
      </c>
      <c r="D17" s="184" t="str">
        <f>IFERROR(__xludf.DUMMYFUNCTION("""COMPUTED_VALUE"""),"Grilled chicken fillet and potato leek mash")</f>
        <v>Grilled chicken fillet and potato leek mash</v>
      </c>
      <c r="E17" s="184" t="str">
        <f>IFERROR(__xludf.DUMMYFUNCTION("""COMPUTED_VALUE"""),"W21")</f>
        <v>W21</v>
      </c>
      <c r="F17" s="186">
        <f>IFERROR(__xludf.DUMMYFUNCTION("""COMPUTED_VALUE"""),402.0)</f>
        <v>402</v>
      </c>
      <c r="G17" s="186">
        <f>IFERROR(__xludf.DUMMYFUNCTION("""COMPUTED_VALUE"""),602.0)</f>
        <v>602</v>
      </c>
      <c r="H17" s="184">
        <f>IFERROR(__xludf.DUMMYFUNCTION("""COMPUTED_VALUE"""),302.0)</f>
        <v>302</v>
      </c>
      <c r="I17" s="188">
        <f>IFERROR(__xludf.DUMMYFUNCTION("""COMPUTED_VALUE"""),3331.0)</f>
        <v>3331</v>
      </c>
      <c r="J17" s="188">
        <f>IFERROR(__xludf.DUMMYFUNCTION("""COMPUTED_VALUE"""),2096.0)</f>
        <v>2096</v>
      </c>
      <c r="K17" s="187">
        <f>IFERROR(__xludf.DUMMYFUNCTION("""COMPUTED_VALUE"""),1428.0)</f>
        <v>1428</v>
      </c>
      <c r="L17" s="187">
        <f>IFERROR(__xludf.DUMMYFUNCTION("""COMPUTED_VALUE"""),0.0)</f>
        <v>0</v>
      </c>
      <c r="M17" s="187">
        <f>IFERROR(__xludf.DUMMYFUNCTION("""COMPUTED_VALUE"""),3351.0)</f>
        <v>3351</v>
      </c>
      <c r="N17" s="187">
        <f>IFERROR(__xludf.DUMMYFUNCTION("""COMPUTED_VALUE"""),2116.0)</f>
        <v>2116</v>
      </c>
      <c r="O17" s="187">
        <f>IFERROR(__xludf.DUMMYFUNCTION("""COMPUTED_VALUE"""),1448.0)</f>
        <v>1448</v>
      </c>
      <c r="P17" s="189">
        <f>IFERROR(__xludf.DUMMYFUNCTION("""COMPUTED_VALUE"""),1.0)</f>
        <v>1</v>
      </c>
      <c r="Q17" s="189">
        <f>IFERROR(__xludf.DUMMYFUNCTION("""COMPUTED_VALUE"""),1.0)</f>
        <v>1</v>
      </c>
      <c r="R17" s="190">
        <f>IFERROR(__xludf.DUMMYFUNCTION("""COMPUTED_VALUE"""),1.0)</f>
        <v>1</v>
      </c>
      <c r="S17" s="186">
        <f>IFERROR(__xludf.DUMMYFUNCTION("""COMPUTED_VALUE"""),3351.0)</f>
        <v>3351</v>
      </c>
      <c r="T17" s="191">
        <f>IFERROR(__xludf.DUMMYFUNCTION("""COMPUTED_VALUE"""),2116.0)</f>
        <v>2116</v>
      </c>
      <c r="U17" s="192">
        <f>IFERROR(__xludf.DUMMYFUNCTION("""COMPUTED_VALUE"""),1448.0)</f>
        <v>1448</v>
      </c>
      <c r="V17" s="193">
        <f t="shared" si="2"/>
        <v>5468</v>
      </c>
      <c r="W17" s="186"/>
      <c r="X17" s="195"/>
    </row>
    <row r="18">
      <c r="A18" s="175" t="str">
        <f t="shared" si="1"/>
        <v>2026-W21</v>
      </c>
      <c r="B18" s="175" t="str">
        <f>IFERROR(__xludf.DUMMYFUNCTION("""COMPUTED_VALUE"""),"FE0322O")</f>
        <v>FE0322O</v>
      </c>
      <c r="C18" s="198" t="str">
        <f>IFERROR(__xludf.DUMMYFUNCTION("""COMPUTED_VALUE"""),"CS")</f>
        <v>CS</v>
      </c>
      <c r="D18" s="175" t="str">
        <f>IFERROR(__xludf.DUMMYFUNCTION("""COMPUTED_VALUE"""),"Sour Cream &amp; Chive Chicken")</f>
        <v>Sour Cream &amp; Chive Chicken</v>
      </c>
      <c r="E18" s="175" t="str">
        <f>IFERROR(__xludf.DUMMYFUNCTION("""COMPUTED_VALUE"""),"W21")</f>
        <v>W21</v>
      </c>
      <c r="F18" s="12">
        <f>IFERROR(__xludf.DUMMYFUNCTION("""COMPUTED_VALUE"""),405.0)</f>
        <v>405</v>
      </c>
      <c r="G18" s="12">
        <f>IFERROR(__xludf.DUMMYFUNCTION("""COMPUTED_VALUE"""),605.0)</f>
        <v>605</v>
      </c>
      <c r="H18" s="175">
        <f>IFERROR(__xludf.DUMMYFUNCTION("""COMPUTED_VALUE"""),305.0)</f>
        <v>305</v>
      </c>
      <c r="I18" s="17">
        <f>IFERROR(__xludf.DUMMYFUNCTION("""COMPUTED_VALUE"""),2304.0)</f>
        <v>2304</v>
      </c>
      <c r="J18" s="17">
        <f>IFERROR(__xludf.DUMMYFUNCTION("""COMPUTED_VALUE"""),1563.0)</f>
        <v>1563</v>
      </c>
      <c r="K18" s="18">
        <f>IFERROR(__xludf.DUMMYFUNCTION("""COMPUTED_VALUE"""),1331.0)</f>
        <v>1331</v>
      </c>
      <c r="L18" s="18">
        <f>IFERROR(__xludf.DUMMYFUNCTION("""COMPUTED_VALUE"""),0.0)</f>
        <v>0</v>
      </c>
      <c r="M18" s="18">
        <f>IFERROR(__xludf.DUMMYFUNCTION("""COMPUTED_VALUE"""),2324.0)</f>
        <v>2324</v>
      </c>
      <c r="N18" s="18">
        <f>IFERROR(__xludf.DUMMYFUNCTION("""COMPUTED_VALUE"""),1583.0)</f>
        <v>1583</v>
      </c>
      <c r="O18" s="18">
        <f>IFERROR(__xludf.DUMMYFUNCTION("""COMPUTED_VALUE"""),1351.0)</f>
        <v>1351</v>
      </c>
      <c r="P18" s="177">
        <f>IFERROR(__xludf.DUMMYFUNCTION("""COMPUTED_VALUE"""),0.0)</f>
        <v>0</v>
      </c>
      <c r="Q18" s="177">
        <f>IFERROR(__xludf.DUMMYFUNCTION("""COMPUTED_VALUE"""),1.0)</f>
        <v>1</v>
      </c>
      <c r="R18" s="178">
        <f>IFERROR(__xludf.DUMMYFUNCTION("""COMPUTED_VALUE"""),1.0)</f>
        <v>1</v>
      </c>
      <c r="S18" s="12">
        <f>IFERROR(__xludf.DUMMYFUNCTION("""COMPUTED_VALUE"""),0.0)</f>
        <v>0</v>
      </c>
      <c r="T18" s="179">
        <f>IFERROR(__xludf.DUMMYFUNCTION("""COMPUTED_VALUE"""),1583.0)</f>
        <v>1583</v>
      </c>
      <c r="U18" s="180">
        <f>IFERROR(__xludf.DUMMYFUNCTION("""COMPUTED_VALUE"""),1351.0)</f>
        <v>1351</v>
      </c>
      <c r="V18" s="181">
        <f t="shared" si="2"/>
        <v>1584</v>
      </c>
      <c r="W18" s="12"/>
      <c r="X18" s="183"/>
    </row>
    <row r="19">
      <c r="A19" s="175" t="str">
        <f t="shared" si="1"/>
        <v>2026-W21</v>
      </c>
      <c r="B19" s="175" t="str">
        <f>IFERROR(__xludf.DUMMYFUNCTION("""COMPUTED_VALUE"""),"FE4039C")</f>
        <v>FE4039C</v>
      </c>
      <c r="C19" s="176" t="str">
        <f>IFERROR(__xludf.DUMMYFUNCTION("""COMPUTED_VALUE"""),"Keto")</f>
        <v>Keto</v>
      </c>
      <c r="D19" s="175" t="str">
        <f>IFERROR(__xludf.DUMMYFUNCTION("""COMPUTED_VALUE"""),"Salmon in creamy gochugaru sauce")</f>
        <v>Salmon in creamy gochugaru sauce</v>
      </c>
      <c r="E19" s="175" t="str">
        <f>IFERROR(__xludf.DUMMYFUNCTION("""COMPUTED_VALUE"""),"W21")</f>
        <v>W21</v>
      </c>
      <c r="F19" s="12">
        <f>IFERROR(__xludf.DUMMYFUNCTION("""COMPUTED_VALUE"""),406.0)</f>
        <v>406</v>
      </c>
      <c r="G19" s="12">
        <f>IFERROR(__xludf.DUMMYFUNCTION("""COMPUTED_VALUE"""),606.0)</f>
        <v>606</v>
      </c>
      <c r="H19" s="175">
        <f>IFERROR(__xludf.DUMMYFUNCTION("""COMPUTED_VALUE"""),306.0)</f>
        <v>306</v>
      </c>
      <c r="I19" s="17">
        <f>IFERROR(__xludf.DUMMYFUNCTION("""COMPUTED_VALUE"""),2579.0)</f>
        <v>2579</v>
      </c>
      <c r="J19" s="17">
        <f>IFERROR(__xludf.DUMMYFUNCTION("""COMPUTED_VALUE"""),1565.0)</f>
        <v>1565</v>
      </c>
      <c r="K19" s="18">
        <f>IFERROR(__xludf.DUMMYFUNCTION("""COMPUTED_VALUE"""),1514.0)</f>
        <v>1514</v>
      </c>
      <c r="L19" s="18">
        <f>IFERROR(__xludf.DUMMYFUNCTION("""COMPUTED_VALUE"""),0.0)</f>
        <v>0</v>
      </c>
      <c r="M19" s="18">
        <f>IFERROR(__xludf.DUMMYFUNCTION("""COMPUTED_VALUE"""),2599.0)</f>
        <v>2599</v>
      </c>
      <c r="N19" s="18">
        <f>IFERROR(__xludf.DUMMYFUNCTION("""COMPUTED_VALUE"""),1585.0)</f>
        <v>1585</v>
      </c>
      <c r="O19" s="18">
        <f>IFERROR(__xludf.DUMMYFUNCTION("""COMPUTED_VALUE"""),1534.0)</f>
        <v>1534</v>
      </c>
      <c r="P19" s="177">
        <f>IFERROR(__xludf.DUMMYFUNCTION("""COMPUTED_VALUE"""),0.0)</f>
        <v>0</v>
      </c>
      <c r="Q19" s="177">
        <f>IFERROR(__xludf.DUMMYFUNCTION("""COMPUTED_VALUE"""),1.0)</f>
        <v>1</v>
      </c>
      <c r="R19" s="178">
        <f>IFERROR(__xludf.DUMMYFUNCTION("""COMPUTED_VALUE"""),1.0)</f>
        <v>1</v>
      </c>
      <c r="S19" s="12">
        <f>IFERROR(__xludf.DUMMYFUNCTION("""COMPUTED_VALUE"""),0.0)</f>
        <v>0</v>
      </c>
      <c r="T19" s="179">
        <f>IFERROR(__xludf.DUMMYFUNCTION("""COMPUTED_VALUE"""),1585.0)</f>
        <v>1585</v>
      </c>
      <c r="U19" s="180">
        <f>IFERROR(__xludf.DUMMYFUNCTION("""COMPUTED_VALUE"""),1534.0)</f>
        <v>1534</v>
      </c>
      <c r="V19" s="181">
        <f t="shared" si="2"/>
        <v>1586</v>
      </c>
      <c r="W19" s="12"/>
      <c r="X19" s="183"/>
    </row>
    <row r="20">
      <c r="A20" s="175" t="str">
        <f t="shared" si="1"/>
        <v>2026-W21</v>
      </c>
      <c r="B20" s="175" t="str">
        <f>IFERROR(__xludf.DUMMYFUNCTION("""COMPUTED_VALUE"""),"FE0090C")</f>
        <v>FE0090C</v>
      </c>
      <c r="C20" s="176" t="str">
        <f>IFERROR(__xludf.DUMMYFUNCTION("""COMPUTED_VALUE"""),"Veggie")</f>
        <v>Veggie</v>
      </c>
      <c r="D20" s="175" t="str">
        <f>IFERROR(__xludf.DUMMYFUNCTION("""COMPUTED_VALUE"""),"Ratatouille of zucchini and pepper")</f>
        <v>Ratatouille of zucchini and pepper</v>
      </c>
      <c r="E20" s="175" t="str">
        <f>IFERROR(__xludf.DUMMYFUNCTION("""COMPUTED_VALUE"""),"W21")</f>
        <v>W21</v>
      </c>
      <c r="F20" s="12">
        <f>IFERROR(__xludf.DUMMYFUNCTION("""COMPUTED_VALUE"""),409.0)</f>
        <v>409</v>
      </c>
      <c r="G20" s="12">
        <f>IFERROR(__xludf.DUMMYFUNCTION("""COMPUTED_VALUE"""),609.0)</f>
        <v>609</v>
      </c>
      <c r="H20" s="18">
        <f>IFERROR(__xludf.DUMMYFUNCTION("""COMPUTED_VALUE"""),309.0)</f>
        <v>309</v>
      </c>
      <c r="I20" s="17">
        <f>IFERROR(__xludf.DUMMYFUNCTION("""COMPUTED_VALUE"""),409.0)</f>
        <v>409</v>
      </c>
      <c r="J20" s="17">
        <f>IFERROR(__xludf.DUMMYFUNCTION("""COMPUTED_VALUE"""),181.0)</f>
        <v>181</v>
      </c>
      <c r="K20" s="18">
        <f>IFERROR(__xludf.DUMMYFUNCTION("""COMPUTED_VALUE"""),209.0)</f>
        <v>209</v>
      </c>
      <c r="L20" s="18">
        <f>IFERROR(__xludf.DUMMYFUNCTION("""COMPUTED_VALUE"""),0.0)</f>
        <v>0</v>
      </c>
      <c r="M20" s="18">
        <f>IFERROR(__xludf.DUMMYFUNCTION("""COMPUTED_VALUE"""),429.0)</f>
        <v>429</v>
      </c>
      <c r="N20" s="18">
        <f>IFERROR(__xludf.DUMMYFUNCTION("""COMPUTED_VALUE"""),201.0)</f>
        <v>201</v>
      </c>
      <c r="O20" s="18">
        <f>IFERROR(__xludf.DUMMYFUNCTION("""COMPUTED_VALUE"""),229.0)</f>
        <v>229</v>
      </c>
      <c r="P20" s="177">
        <f>IFERROR(__xludf.DUMMYFUNCTION("""COMPUTED_VALUE"""),1.0)</f>
        <v>1</v>
      </c>
      <c r="Q20" s="177">
        <f>IFERROR(__xludf.DUMMYFUNCTION("""COMPUTED_VALUE"""),1.0)</f>
        <v>1</v>
      </c>
      <c r="R20" s="178">
        <f>IFERROR(__xludf.DUMMYFUNCTION("""COMPUTED_VALUE"""),1.0)</f>
        <v>1</v>
      </c>
      <c r="S20" s="179">
        <f>IFERROR(__xludf.DUMMYFUNCTION("""COMPUTED_VALUE"""),429.0)</f>
        <v>429</v>
      </c>
      <c r="T20" s="179">
        <f>IFERROR(__xludf.DUMMYFUNCTION("""COMPUTED_VALUE"""),201.0)</f>
        <v>201</v>
      </c>
      <c r="U20" s="180">
        <f>IFERROR(__xludf.DUMMYFUNCTION("""COMPUTED_VALUE"""),229.0)</f>
        <v>229</v>
      </c>
      <c r="V20" s="181">
        <f t="shared" si="2"/>
        <v>631</v>
      </c>
      <c r="W20" s="12"/>
      <c r="X20" s="183"/>
    </row>
    <row r="21">
      <c r="A21" s="175" t="str">
        <f t="shared" si="1"/>
        <v>2026-W21</v>
      </c>
      <c r="B21" s="175" t="str">
        <f>IFERROR(__xludf.DUMMYFUNCTION("""COMPUTED_VALUE"""),"FE1439A")</f>
        <v>FE1439A</v>
      </c>
      <c r="C21" s="198" t="str">
        <f>IFERROR(__xludf.DUMMYFUNCTION("""COMPUTED_VALUE"""),"P+")</f>
        <v>P+</v>
      </c>
      <c r="D21" s="175" t="str">
        <f>IFERROR(__xludf.DUMMYFUNCTION("""COMPUTED_VALUE"""),"Tzatziki Salmon &amp; Lemon Rice")</f>
        <v>Tzatziki Salmon &amp; Lemon Rice</v>
      </c>
      <c r="E21" s="175" t="str">
        <f>IFERROR(__xludf.DUMMYFUNCTION("""COMPUTED_VALUE"""),"W21")</f>
        <v>W21</v>
      </c>
      <c r="F21" s="12">
        <f>IFERROR(__xludf.DUMMYFUNCTION("""COMPUTED_VALUE"""),412.0)</f>
        <v>412</v>
      </c>
      <c r="G21" s="12">
        <f>IFERROR(__xludf.DUMMYFUNCTION("""COMPUTED_VALUE"""),612.0)</f>
        <v>612</v>
      </c>
      <c r="H21" s="175">
        <f>IFERROR(__xludf.DUMMYFUNCTION("""COMPUTED_VALUE"""),312.0)</f>
        <v>312</v>
      </c>
      <c r="I21" s="17">
        <f>IFERROR(__xludf.DUMMYFUNCTION("""COMPUTED_VALUE"""),2963.0)</f>
        <v>2963</v>
      </c>
      <c r="J21" s="17">
        <f>IFERROR(__xludf.DUMMYFUNCTION("""COMPUTED_VALUE"""),1345.0)</f>
        <v>1345</v>
      </c>
      <c r="K21" s="18">
        <f>IFERROR(__xludf.DUMMYFUNCTION("""COMPUTED_VALUE"""),1134.0)</f>
        <v>1134</v>
      </c>
      <c r="L21" s="18">
        <f>IFERROR(__xludf.DUMMYFUNCTION("""COMPUTED_VALUE"""),0.0)</f>
        <v>0</v>
      </c>
      <c r="M21" s="18">
        <f>IFERROR(__xludf.DUMMYFUNCTION("""COMPUTED_VALUE"""),2983.0)</f>
        <v>2983</v>
      </c>
      <c r="N21" s="18">
        <f>IFERROR(__xludf.DUMMYFUNCTION("""COMPUTED_VALUE"""),1365.0)</f>
        <v>1365</v>
      </c>
      <c r="O21" s="18">
        <f>IFERROR(__xludf.DUMMYFUNCTION("""COMPUTED_VALUE"""),1154.0)</f>
        <v>1154</v>
      </c>
      <c r="P21" s="177">
        <f>IFERROR(__xludf.DUMMYFUNCTION("""COMPUTED_VALUE"""),1.0)</f>
        <v>1</v>
      </c>
      <c r="Q21" s="177">
        <f>IFERROR(__xludf.DUMMYFUNCTION("""COMPUTED_VALUE"""),1.0)</f>
        <v>1</v>
      </c>
      <c r="R21" s="178">
        <f>IFERROR(__xludf.DUMMYFUNCTION("""COMPUTED_VALUE"""),1.0)</f>
        <v>1</v>
      </c>
      <c r="S21" s="12">
        <f>IFERROR(__xludf.DUMMYFUNCTION("""COMPUTED_VALUE"""),2983.0)</f>
        <v>2983</v>
      </c>
      <c r="T21" s="179">
        <f>IFERROR(__xludf.DUMMYFUNCTION("""COMPUTED_VALUE"""),1365.0)</f>
        <v>1365</v>
      </c>
      <c r="U21" s="180">
        <f>IFERROR(__xludf.DUMMYFUNCTION("""COMPUTED_VALUE"""),1154.0)</f>
        <v>1154</v>
      </c>
      <c r="V21" s="181">
        <f t="shared" si="2"/>
        <v>4349</v>
      </c>
      <c r="W21" s="12"/>
      <c r="X21" s="183"/>
    </row>
    <row r="22">
      <c r="A22" s="175" t="str">
        <f t="shared" si="1"/>
        <v>2026-W21</v>
      </c>
      <c r="B22" s="175" t="str">
        <f>IFERROR(__xludf.DUMMYFUNCTION("""COMPUTED_VALUE"""),"FV0601A")</f>
        <v>FV0601A</v>
      </c>
      <c r="C22" s="176" t="str">
        <f>IFERROR(__xludf.DUMMYFUNCTION("""COMPUTED_VALUE"""),"Keto")</f>
        <v>Keto</v>
      </c>
      <c r="D22" s="175" t="str">
        <f>IFERROR(__xludf.DUMMYFUNCTION("""COMPUTED_VALUE"""),"Mozzarella Burger &amp; Roasted Potatoes")</f>
        <v>Mozzarella Burger &amp; Roasted Potatoes</v>
      </c>
      <c r="E22" s="175" t="str">
        <f>IFERROR(__xludf.DUMMYFUNCTION("""COMPUTED_VALUE"""),"W21")</f>
        <v>W21</v>
      </c>
      <c r="F22" s="12">
        <f>IFERROR(__xludf.DUMMYFUNCTION("""COMPUTED_VALUE"""),415.0)</f>
        <v>415</v>
      </c>
      <c r="G22" s="12">
        <f>IFERROR(__xludf.DUMMYFUNCTION("""COMPUTED_VALUE"""),615.0)</f>
        <v>615</v>
      </c>
      <c r="H22" s="175">
        <f>IFERROR(__xludf.DUMMYFUNCTION("""COMPUTED_VALUE"""),315.0)</f>
        <v>315</v>
      </c>
      <c r="I22" s="17">
        <f>IFERROR(__xludf.DUMMYFUNCTION("""COMPUTED_VALUE"""),1029.0)</f>
        <v>1029</v>
      </c>
      <c r="J22" s="17">
        <f>IFERROR(__xludf.DUMMYFUNCTION("""COMPUTED_VALUE"""),613.0)</f>
        <v>613</v>
      </c>
      <c r="K22" s="18">
        <f>IFERROR(__xludf.DUMMYFUNCTION("""COMPUTED_VALUE"""),612.0)</f>
        <v>612</v>
      </c>
      <c r="L22" s="18">
        <f>IFERROR(__xludf.DUMMYFUNCTION("""COMPUTED_VALUE"""),0.0)</f>
        <v>0</v>
      </c>
      <c r="M22" s="18">
        <f>IFERROR(__xludf.DUMMYFUNCTION("""COMPUTED_VALUE"""),1049.0)</f>
        <v>1049</v>
      </c>
      <c r="N22" s="18">
        <f>IFERROR(__xludf.DUMMYFUNCTION("""COMPUTED_VALUE"""),633.0)</f>
        <v>633</v>
      </c>
      <c r="O22" s="18">
        <f>IFERROR(__xludf.DUMMYFUNCTION("""COMPUTED_VALUE"""),632.0)</f>
        <v>632</v>
      </c>
      <c r="P22" s="177">
        <f>IFERROR(__xludf.DUMMYFUNCTION("""COMPUTED_VALUE"""),1.0)</f>
        <v>1</v>
      </c>
      <c r="Q22" s="177">
        <f>IFERROR(__xludf.DUMMYFUNCTION("""COMPUTED_VALUE"""),1.0)</f>
        <v>1</v>
      </c>
      <c r="R22" s="178">
        <f>IFERROR(__xludf.DUMMYFUNCTION("""COMPUTED_VALUE"""),1.0)</f>
        <v>1</v>
      </c>
      <c r="S22" s="12">
        <f>IFERROR(__xludf.DUMMYFUNCTION("""COMPUTED_VALUE"""),1049.0)</f>
        <v>1049</v>
      </c>
      <c r="T22" s="179">
        <f>IFERROR(__xludf.DUMMYFUNCTION("""COMPUTED_VALUE"""),633.0)</f>
        <v>633</v>
      </c>
      <c r="U22" s="180">
        <f>IFERROR(__xludf.DUMMYFUNCTION("""COMPUTED_VALUE"""),632.0)</f>
        <v>632</v>
      </c>
      <c r="V22" s="181">
        <f t="shared" si="2"/>
        <v>1683</v>
      </c>
      <c r="W22" s="12"/>
      <c r="X22" s="183"/>
    </row>
    <row r="23">
      <c r="A23" s="175" t="str">
        <f t="shared" si="1"/>
        <v>2026-W21</v>
      </c>
      <c r="B23" s="175" t="str">
        <f>IFERROR(__xludf.DUMMYFUNCTION("""COMPUTED_VALUE"""),"FV0333A")</f>
        <v>FV0333A</v>
      </c>
      <c r="C23" s="176" t="str">
        <f>IFERROR(__xludf.DUMMYFUNCTION("""COMPUTED_VALUE"""),"CS")</f>
        <v>CS</v>
      </c>
      <c r="D23" s="175" t="str">
        <f>IFERROR(__xludf.DUMMYFUNCTION("""COMPUTED_VALUE"""),"Tuscan Shrimp")</f>
        <v>Tuscan Shrimp</v>
      </c>
      <c r="E23" s="175" t="str">
        <f>IFERROR(__xludf.DUMMYFUNCTION("""COMPUTED_VALUE"""),"W21")</f>
        <v>W21</v>
      </c>
      <c r="F23" s="12">
        <f>IFERROR(__xludf.DUMMYFUNCTION("""COMPUTED_VALUE"""),419.0)</f>
        <v>419</v>
      </c>
      <c r="G23" s="12">
        <f>IFERROR(__xludf.DUMMYFUNCTION("""COMPUTED_VALUE"""),619.0)</f>
        <v>619</v>
      </c>
      <c r="H23" s="175">
        <f>IFERROR(__xludf.DUMMYFUNCTION("""COMPUTED_VALUE"""),319.0)</f>
        <v>319</v>
      </c>
      <c r="I23" s="17">
        <f>IFERROR(__xludf.DUMMYFUNCTION("""COMPUTED_VALUE"""),2116.0)</f>
        <v>2116</v>
      </c>
      <c r="J23" s="17">
        <f>IFERROR(__xludf.DUMMYFUNCTION("""COMPUTED_VALUE"""),1206.0)</f>
        <v>1206</v>
      </c>
      <c r="K23" s="18">
        <f>IFERROR(__xludf.DUMMYFUNCTION("""COMPUTED_VALUE"""),999.0)</f>
        <v>999</v>
      </c>
      <c r="L23" s="18">
        <f>IFERROR(__xludf.DUMMYFUNCTION("""COMPUTED_VALUE"""),0.0)</f>
        <v>0</v>
      </c>
      <c r="M23" s="18">
        <f>IFERROR(__xludf.DUMMYFUNCTION("""COMPUTED_VALUE"""),2136.0)</f>
        <v>2136</v>
      </c>
      <c r="N23" s="18">
        <f>IFERROR(__xludf.DUMMYFUNCTION("""COMPUTED_VALUE"""),1226.0)</f>
        <v>1226</v>
      </c>
      <c r="O23" s="18">
        <f>IFERROR(__xludf.DUMMYFUNCTION("""COMPUTED_VALUE"""),1019.0)</f>
        <v>1019</v>
      </c>
      <c r="P23" s="177">
        <f>IFERROR(__xludf.DUMMYFUNCTION("""COMPUTED_VALUE"""),1.0)</f>
        <v>1</v>
      </c>
      <c r="Q23" s="177">
        <f>IFERROR(__xludf.DUMMYFUNCTION("""COMPUTED_VALUE"""),1.0)</f>
        <v>1</v>
      </c>
      <c r="R23" s="178">
        <f>IFERROR(__xludf.DUMMYFUNCTION("""COMPUTED_VALUE"""),1.0)</f>
        <v>1</v>
      </c>
      <c r="S23" s="12">
        <f>IFERROR(__xludf.DUMMYFUNCTION("""COMPUTED_VALUE"""),2136.0)</f>
        <v>2136</v>
      </c>
      <c r="T23" s="179">
        <f>IFERROR(__xludf.DUMMYFUNCTION("""COMPUTED_VALUE"""),1226.0)</f>
        <v>1226</v>
      </c>
      <c r="U23" s="180">
        <f>IFERROR(__xludf.DUMMYFUNCTION("""COMPUTED_VALUE"""),1019.0)</f>
        <v>1019</v>
      </c>
      <c r="V23" s="181">
        <f t="shared" si="2"/>
        <v>3363</v>
      </c>
      <c r="W23" s="12"/>
      <c r="X23" s="183"/>
    </row>
    <row r="24">
      <c r="A24" s="199" t="str">
        <f t="shared" si="1"/>
        <v>2026-W21</v>
      </c>
      <c r="B24" s="199" t="str">
        <f>IFERROR(__xludf.DUMMYFUNCTION("""COMPUTED_VALUE"""),"FV0232A")</f>
        <v>FV0232A</v>
      </c>
      <c r="C24" s="200" t="str">
        <f>IFERROR(__xludf.DUMMYFUNCTION("""COMPUTED_VALUE"""),"Perf")</f>
        <v>Perf</v>
      </c>
      <c r="D24" s="199" t="str">
        <f>IFERROR(__xludf.DUMMYFUNCTION("""COMPUTED_VALUE"""),"Herb Crusted chicken and Parmesan cheese ")</f>
        <v>Herb Crusted chicken and Parmesan cheese </v>
      </c>
      <c r="E24" s="199" t="str">
        <f>IFERROR(__xludf.DUMMYFUNCTION("""COMPUTED_VALUE"""),"W21")</f>
        <v>W21</v>
      </c>
      <c r="F24" s="23">
        <f>IFERROR(__xludf.DUMMYFUNCTION("""COMPUTED_VALUE"""),420.0)</f>
        <v>420</v>
      </c>
      <c r="G24" s="23">
        <f>IFERROR(__xludf.DUMMYFUNCTION("""COMPUTED_VALUE"""),620.0)</f>
        <v>620</v>
      </c>
      <c r="H24" s="199">
        <f>IFERROR(__xludf.DUMMYFUNCTION("""COMPUTED_VALUE"""),320.0)</f>
        <v>320</v>
      </c>
      <c r="I24" s="25">
        <f>IFERROR(__xludf.DUMMYFUNCTION("""COMPUTED_VALUE"""),970.0)</f>
        <v>970</v>
      </c>
      <c r="J24" s="25">
        <f>IFERROR(__xludf.DUMMYFUNCTION("""COMPUTED_VALUE"""),553.0)</f>
        <v>553</v>
      </c>
      <c r="K24" s="26">
        <f>IFERROR(__xludf.DUMMYFUNCTION("""COMPUTED_VALUE"""),458.0)</f>
        <v>458</v>
      </c>
      <c r="L24" s="26">
        <f>IFERROR(__xludf.DUMMYFUNCTION("""COMPUTED_VALUE"""),0.0)</f>
        <v>0</v>
      </c>
      <c r="M24" s="26">
        <f>IFERROR(__xludf.DUMMYFUNCTION("""COMPUTED_VALUE"""),990.0)</f>
        <v>990</v>
      </c>
      <c r="N24" s="26">
        <f>IFERROR(__xludf.DUMMYFUNCTION("""COMPUTED_VALUE"""),573.0)</f>
        <v>573</v>
      </c>
      <c r="O24" s="26">
        <f>IFERROR(__xludf.DUMMYFUNCTION("""COMPUTED_VALUE"""),478.0)</f>
        <v>478</v>
      </c>
      <c r="P24" s="201">
        <f>IFERROR(__xludf.DUMMYFUNCTION("""COMPUTED_VALUE"""),1.0)</f>
        <v>1</v>
      </c>
      <c r="Q24" s="201">
        <f>IFERROR(__xludf.DUMMYFUNCTION("""COMPUTED_VALUE"""),1.0)</f>
        <v>1</v>
      </c>
      <c r="R24" s="202">
        <f>IFERROR(__xludf.DUMMYFUNCTION("""COMPUTED_VALUE"""),1.0)</f>
        <v>1</v>
      </c>
      <c r="S24" s="23">
        <f>IFERROR(__xludf.DUMMYFUNCTION("""COMPUTED_VALUE"""),990.0)</f>
        <v>990</v>
      </c>
      <c r="T24" s="203">
        <f>IFERROR(__xludf.DUMMYFUNCTION("""COMPUTED_VALUE"""),573.0)</f>
        <v>573</v>
      </c>
      <c r="U24" s="204">
        <f>IFERROR(__xludf.DUMMYFUNCTION("""COMPUTED_VALUE"""),478.0)</f>
        <v>478</v>
      </c>
      <c r="V24" s="205">
        <f t="shared" si="2"/>
        <v>1564</v>
      </c>
      <c r="W24" s="23"/>
      <c r="X24" s="206"/>
    </row>
    <row r="25">
      <c r="A25" s="175" t="str">
        <f t="shared" si="1"/>
        <v>2026-W22</v>
      </c>
      <c r="B25" s="175" t="str">
        <f>IFERROR(__xludf.DUMMYFUNCTION("""COMPUTED_VALUE"""),"FE0713B")</f>
        <v>FE0713B</v>
      </c>
      <c r="C25" s="176" t="str">
        <f>IFERROR(__xludf.DUMMYFUNCTION("""COMPUTED_VALUE"""),"Keto")</f>
        <v>Keto</v>
      </c>
      <c r="D25" s="175" t="str">
        <f>IFERROR(__xludf.DUMMYFUNCTION("""COMPUTED_VALUE"""),"Cabbage in cheese sauce with minced beef")</f>
        <v>Cabbage in cheese sauce with minced beef</v>
      </c>
      <c r="E25" s="175" t="str">
        <f>IFERROR(__xludf.DUMMYFUNCTION("""COMPUTED_VALUE"""),"W22")</f>
        <v>W22</v>
      </c>
      <c r="F25" s="12">
        <f>IFERROR(__xludf.DUMMYFUNCTION("""COMPUTED_VALUE"""),403.0)</f>
        <v>403</v>
      </c>
      <c r="G25" s="12">
        <f>IFERROR(__xludf.DUMMYFUNCTION("""COMPUTED_VALUE"""),603.0)</f>
        <v>603</v>
      </c>
      <c r="H25" s="175">
        <f>IFERROR(__xludf.DUMMYFUNCTION("""COMPUTED_VALUE"""),303.0)</f>
        <v>303</v>
      </c>
      <c r="I25" s="17">
        <f>IFERROR(__xludf.DUMMYFUNCTION("""COMPUTED_VALUE"""),3247.0)</f>
        <v>3247</v>
      </c>
      <c r="J25" s="17">
        <f>IFERROR(__xludf.DUMMYFUNCTION("""COMPUTED_VALUE"""),2027.0)</f>
        <v>2027</v>
      </c>
      <c r="K25" s="18">
        <f>IFERROR(__xludf.DUMMYFUNCTION("""COMPUTED_VALUE"""),1640.0)</f>
        <v>1640</v>
      </c>
      <c r="L25" s="18">
        <f>IFERROR(__xludf.DUMMYFUNCTION("""COMPUTED_VALUE"""),0.0)</f>
        <v>0</v>
      </c>
      <c r="M25" s="18">
        <f>IFERROR(__xludf.DUMMYFUNCTION("""COMPUTED_VALUE"""),3267.0)</f>
        <v>3267</v>
      </c>
      <c r="N25" s="18">
        <f>IFERROR(__xludf.DUMMYFUNCTION("""COMPUTED_VALUE"""),2047.0)</f>
        <v>2047</v>
      </c>
      <c r="O25" s="18">
        <f>IFERROR(__xludf.DUMMYFUNCTION("""COMPUTED_VALUE"""),1660.0)</f>
        <v>1660</v>
      </c>
      <c r="P25" s="177">
        <f>IFERROR(__xludf.DUMMYFUNCTION("""COMPUTED_VALUE"""),1.0)</f>
        <v>1</v>
      </c>
      <c r="Q25" s="177">
        <f>IFERROR(__xludf.DUMMYFUNCTION("""COMPUTED_VALUE"""),1.0)</f>
        <v>1</v>
      </c>
      <c r="R25" s="178">
        <f>IFERROR(__xludf.DUMMYFUNCTION("""COMPUTED_VALUE"""),1.0)</f>
        <v>1</v>
      </c>
      <c r="S25" s="12">
        <f>IFERROR(__xludf.DUMMYFUNCTION("""COMPUTED_VALUE"""),3267.0)</f>
        <v>3267</v>
      </c>
      <c r="T25" s="179">
        <f>IFERROR(__xludf.DUMMYFUNCTION("""COMPUTED_VALUE"""),2047.0)</f>
        <v>2047</v>
      </c>
      <c r="U25" s="180">
        <f>IFERROR(__xludf.DUMMYFUNCTION("""COMPUTED_VALUE"""),1660.0)</f>
        <v>1660</v>
      </c>
      <c r="V25" s="181">
        <f t="shared" si="2"/>
        <v>5315</v>
      </c>
      <c r="W25" s="12"/>
      <c r="X25" s="183"/>
    </row>
    <row r="26">
      <c r="A26" s="175" t="str">
        <f t="shared" si="1"/>
        <v>2026-W22</v>
      </c>
      <c r="B26" s="175" t="str">
        <f>IFERROR(__xludf.DUMMYFUNCTION("""COMPUTED_VALUE"""),"FE0281E")</f>
        <v>FE0281E</v>
      </c>
      <c r="C26" s="176" t="str">
        <f>IFERROR(__xludf.DUMMYFUNCTION("""COMPUTED_VALUE"""),"P+")</f>
        <v>P+</v>
      </c>
      <c r="D26" s="175" t="str">
        <f>IFERROR(__xludf.DUMMYFUNCTION("""COMPUTED_VALUE"""),"Spicy citrus salmon")</f>
        <v>Spicy citrus salmon</v>
      </c>
      <c r="E26" s="175" t="str">
        <f>IFERROR(__xludf.DUMMYFUNCTION("""COMPUTED_VALUE"""),"W22")</f>
        <v>W22</v>
      </c>
      <c r="F26" s="12">
        <f>IFERROR(__xludf.DUMMYFUNCTION("""COMPUTED_VALUE"""),404.0)</f>
        <v>404</v>
      </c>
      <c r="G26" s="12">
        <f>IFERROR(__xludf.DUMMYFUNCTION("""COMPUTED_VALUE"""),604.0)</f>
        <v>604</v>
      </c>
      <c r="H26" s="175">
        <f>IFERROR(__xludf.DUMMYFUNCTION("""COMPUTED_VALUE"""),304.0)</f>
        <v>304</v>
      </c>
      <c r="I26" s="17">
        <f>IFERROR(__xludf.DUMMYFUNCTION("""COMPUTED_VALUE"""),5301.0)</f>
        <v>5301</v>
      </c>
      <c r="J26" s="17">
        <f>IFERROR(__xludf.DUMMYFUNCTION("""COMPUTED_VALUE"""),2968.0)</f>
        <v>2968</v>
      </c>
      <c r="K26" s="18">
        <f>IFERROR(__xludf.DUMMYFUNCTION("""COMPUTED_VALUE"""),2263.0)</f>
        <v>2263</v>
      </c>
      <c r="L26" s="18">
        <f>IFERROR(__xludf.DUMMYFUNCTION("""COMPUTED_VALUE"""),0.0)</f>
        <v>0</v>
      </c>
      <c r="M26" s="18">
        <f>IFERROR(__xludf.DUMMYFUNCTION("""COMPUTED_VALUE"""),5321.0)</f>
        <v>5321</v>
      </c>
      <c r="N26" s="18">
        <f>IFERROR(__xludf.DUMMYFUNCTION("""COMPUTED_VALUE"""),2988.0)</f>
        <v>2988</v>
      </c>
      <c r="O26" s="18">
        <f>IFERROR(__xludf.DUMMYFUNCTION("""COMPUTED_VALUE"""),2283.0)</f>
        <v>2283</v>
      </c>
      <c r="P26" s="177">
        <f>IFERROR(__xludf.DUMMYFUNCTION("""COMPUTED_VALUE"""),1.0)</f>
        <v>1</v>
      </c>
      <c r="Q26" s="177">
        <f>IFERROR(__xludf.DUMMYFUNCTION("""COMPUTED_VALUE"""),1.0)</f>
        <v>1</v>
      </c>
      <c r="R26" s="178">
        <f>IFERROR(__xludf.DUMMYFUNCTION("""COMPUTED_VALUE"""),1.0)</f>
        <v>1</v>
      </c>
      <c r="S26" s="12">
        <f>IFERROR(__xludf.DUMMYFUNCTION("""COMPUTED_VALUE"""),5321.0)</f>
        <v>5321</v>
      </c>
      <c r="T26" s="179">
        <f>IFERROR(__xludf.DUMMYFUNCTION("""COMPUTED_VALUE"""),2988.0)</f>
        <v>2988</v>
      </c>
      <c r="U26" s="180">
        <f>IFERROR(__xludf.DUMMYFUNCTION("""COMPUTED_VALUE"""),2283.0)</f>
        <v>2283</v>
      </c>
      <c r="V26" s="181">
        <f t="shared" si="2"/>
        <v>8310</v>
      </c>
      <c r="W26" s="12"/>
      <c r="X26" s="183"/>
    </row>
    <row r="27">
      <c r="A27" s="175" t="str">
        <f t="shared" si="1"/>
        <v>2026-W22</v>
      </c>
      <c r="B27" s="175" t="str">
        <f>IFERROR(__xludf.DUMMYFUNCTION("""COMPUTED_VALUE"""),"FE0972B")</f>
        <v>FE0972B</v>
      </c>
      <c r="C27" s="176" t="str">
        <f>IFERROR(__xludf.DUMMYFUNCTION("""COMPUTED_VALUE"""),"Keto")</f>
        <v>Keto</v>
      </c>
      <c r="D27" s="175" t="str">
        <f>IFERROR(__xludf.DUMMYFUNCTION("""COMPUTED_VALUE"""),"Salmon Piccata")</f>
        <v>Salmon Piccata</v>
      </c>
      <c r="E27" s="175" t="str">
        <f>IFERROR(__xludf.DUMMYFUNCTION("""COMPUTED_VALUE"""),"W22")</f>
        <v>W22</v>
      </c>
      <c r="F27" s="12">
        <f>IFERROR(__xludf.DUMMYFUNCTION("""COMPUTED_VALUE"""),406.0)</f>
        <v>406</v>
      </c>
      <c r="G27" s="12">
        <f>IFERROR(__xludf.DUMMYFUNCTION("""COMPUTED_VALUE"""),606.0)</f>
        <v>606</v>
      </c>
      <c r="H27" s="175">
        <f>IFERROR(__xludf.DUMMYFUNCTION("""COMPUTED_VALUE"""),306.0)</f>
        <v>306</v>
      </c>
      <c r="I27" s="17">
        <f>IFERROR(__xludf.DUMMYFUNCTION("""COMPUTED_VALUE"""),2873.0)</f>
        <v>2873</v>
      </c>
      <c r="J27" s="17">
        <f>IFERROR(__xludf.DUMMYFUNCTION("""COMPUTED_VALUE"""),1741.0)</f>
        <v>1741</v>
      </c>
      <c r="K27" s="18">
        <f>IFERROR(__xludf.DUMMYFUNCTION("""COMPUTED_VALUE"""),1703.0)</f>
        <v>1703</v>
      </c>
      <c r="L27" s="18">
        <f>IFERROR(__xludf.DUMMYFUNCTION("""COMPUTED_VALUE"""),0.0)</f>
        <v>0</v>
      </c>
      <c r="M27" s="18">
        <f>IFERROR(__xludf.DUMMYFUNCTION("""COMPUTED_VALUE"""),2893.0)</f>
        <v>2893</v>
      </c>
      <c r="N27" s="18">
        <f>IFERROR(__xludf.DUMMYFUNCTION("""COMPUTED_VALUE"""),1761.0)</f>
        <v>1761</v>
      </c>
      <c r="O27" s="18">
        <f>IFERROR(__xludf.DUMMYFUNCTION("""COMPUTED_VALUE"""),1723.0)</f>
        <v>1723</v>
      </c>
      <c r="P27" s="177">
        <f>IFERROR(__xludf.DUMMYFUNCTION("""COMPUTED_VALUE"""),1.0)</f>
        <v>1</v>
      </c>
      <c r="Q27" s="177">
        <f>IFERROR(__xludf.DUMMYFUNCTION("""COMPUTED_VALUE"""),1.0)</f>
        <v>1</v>
      </c>
      <c r="R27" s="178">
        <f>IFERROR(__xludf.DUMMYFUNCTION("""COMPUTED_VALUE"""),1.0)</f>
        <v>1</v>
      </c>
      <c r="S27" s="12">
        <f>IFERROR(__xludf.DUMMYFUNCTION("""COMPUTED_VALUE"""),2893.0)</f>
        <v>2893</v>
      </c>
      <c r="T27" s="179">
        <f>IFERROR(__xludf.DUMMYFUNCTION("""COMPUTED_VALUE"""),1761.0)</f>
        <v>1761</v>
      </c>
      <c r="U27" s="180">
        <f>IFERROR(__xludf.DUMMYFUNCTION("""COMPUTED_VALUE"""),1723.0)</f>
        <v>1723</v>
      </c>
      <c r="V27" s="181">
        <f t="shared" si="2"/>
        <v>4655</v>
      </c>
      <c r="W27" s="12"/>
      <c r="X27" s="183"/>
    </row>
    <row r="28">
      <c r="A28" s="175" t="str">
        <f t="shared" si="1"/>
        <v>2026-W22</v>
      </c>
      <c r="B28" s="175" t="str">
        <f>IFERROR(__xludf.DUMMYFUNCTION("""COMPUTED_VALUE"""),"FE0794D")</f>
        <v>FE0794D</v>
      </c>
      <c r="C28" s="176" t="str">
        <f>IFERROR(__xludf.DUMMYFUNCTION("""COMPUTED_VALUE"""),"Keto")</f>
        <v>Keto</v>
      </c>
      <c r="D28" s="175" t="str">
        <f>IFERROR(__xludf.DUMMYFUNCTION("""COMPUTED_VALUE"""),"Loaded Bacon Shredded Chicken")</f>
        <v>Loaded Bacon Shredded Chicken</v>
      </c>
      <c r="E28" s="175" t="str">
        <f>IFERROR(__xludf.DUMMYFUNCTION("""COMPUTED_VALUE"""),"W22")</f>
        <v>W22</v>
      </c>
      <c r="F28" s="12">
        <f>IFERROR(__xludf.DUMMYFUNCTION("""COMPUTED_VALUE"""),407.0)</f>
        <v>407</v>
      </c>
      <c r="G28" s="12">
        <f>IFERROR(__xludf.DUMMYFUNCTION("""COMPUTED_VALUE"""),607.0)</f>
        <v>607</v>
      </c>
      <c r="H28" s="175">
        <f>IFERROR(__xludf.DUMMYFUNCTION("""COMPUTED_VALUE"""),307.0)</f>
        <v>307</v>
      </c>
      <c r="I28" s="17">
        <f>IFERROR(__xludf.DUMMYFUNCTION("""COMPUTED_VALUE"""),2499.0)</f>
        <v>2499</v>
      </c>
      <c r="J28" s="17">
        <f>IFERROR(__xludf.DUMMYFUNCTION("""COMPUTED_VALUE"""),1574.0)</f>
        <v>1574</v>
      </c>
      <c r="K28" s="18">
        <f>IFERROR(__xludf.DUMMYFUNCTION("""COMPUTED_VALUE"""),1402.0)</f>
        <v>1402</v>
      </c>
      <c r="L28" s="18">
        <f>IFERROR(__xludf.DUMMYFUNCTION("""COMPUTED_VALUE"""),0.0)</f>
        <v>0</v>
      </c>
      <c r="M28" s="18">
        <f>IFERROR(__xludf.DUMMYFUNCTION("""COMPUTED_VALUE"""),2519.0)</f>
        <v>2519</v>
      </c>
      <c r="N28" s="18">
        <f>IFERROR(__xludf.DUMMYFUNCTION("""COMPUTED_VALUE"""),1594.0)</f>
        <v>1594</v>
      </c>
      <c r="O28" s="18">
        <f>IFERROR(__xludf.DUMMYFUNCTION("""COMPUTED_VALUE"""),1422.0)</f>
        <v>1422</v>
      </c>
      <c r="P28" s="177">
        <f>IFERROR(__xludf.DUMMYFUNCTION("""COMPUTED_VALUE"""),1.0)</f>
        <v>1</v>
      </c>
      <c r="Q28" s="177">
        <f>IFERROR(__xludf.DUMMYFUNCTION("""COMPUTED_VALUE"""),1.0)</f>
        <v>1</v>
      </c>
      <c r="R28" s="178">
        <f>IFERROR(__xludf.DUMMYFUNCTION("""COMPUTED_VALUE"""),1.0)</f>
        <v>1</v>
      </c>
      <c r="S28" s="12">
        <f>IFERROR(__xludf.DUMMYFUNCTION("""COMPUTED_VALUE"""),2519.0)</f>
        <v>2519</v>
      </c>
      <c r="T28" s="179">
        <f>IFERROR(__xludf.DUMMYFUNCTION("""COMPUTED_VALUE"""),1594.0)</f>
        <v>1594</v>
      </c>
      <c r="U28" s="180">
        <f>IFERROR(__xludf.DUMMYFUNCTION("""COMPUTED_VALUE"""),1422.0)</f>
        <v>1422</v>
      </c>
      <c r="V28" s="181">
        <f t="shared" si="2"/>
        <v>4114</v>
      </c>
      <c r="W28" s="12"/>
      <c r="X28" s="183"/>
    </row>
    <row r="29">
      <c r="A29" s="175" t="str">
        <f t="shared" si="1"/>
        <v>2026-W22</v>
      </c>
      <c r="B29" s="175" t="str">
        <f>IFERROR(__xludf.DUMMYFUNCTION("""COMPUTED_VALUE"""),"FE0121C")</f>
        <v>FE0121C</v>
      </c>
      <c r="C29" s="176" t="str">
        <f>IFERROR(__xludf.DUMMYFUNCTION("""COMPUTED_VALUE"""),"Veggie")</f>
        <v>Veggie</v>
      </c>
      <c r="D29" s="175" t="str">
        <f>IFERROR(__xludf.DUMMYFUNCTION("""COMPUTED_VALUE"""),"Mexican style corn cake")</f>
        <v>Mexican style corn cake</v>
      </c>
      <c r="E29" s="175" t="str">
        <f>IFERROR(__xludf.DUMMYFUNCTION("""COMPUTED_VALUE"""),"W22")</f>
        <v>W22</v>
      </c>
      <c r="F29" s="12">
        <f>IFERROR(__xludf.DUMMYFUNCTION("""COMPUTED_VALUE"""),409.0)</f>
        <v>409</v>
      </c>
      <c r="G29" s="12">
        <f>IFERROR(__xludf.DUMMYFUNCTION("""COMPUTED_VALUE"""),609.0)</f>
        <v>609</v>
      </c>
      <c r="H29" s="175">
        <f>IFERROR(__xludf.DUMMYFUNCTION("""COMPUTED_VALUE"""),309.0)</f>
        <v>309</v>
      </c>
      <c r="I29" s="17">
        <f>IFERROR(__xludf.DUMMYFUNCTION("""COMPUTED_VALUE"""),451.0)</f>
        <v>451</v>
      </c>
      <c r="J29" s="17">
        <f>IFERROR(__xludf.DUMMYFUNCTION("""COMPUTED_VALUE"""),202.0)</f>
        <v>202</v>
      </c>
      <c r="K29" s="18">
        <f>IFERROR(__xludf.DUMMYFUNCTION("""COMPUTED_VALUE"""),236.0)</f>
        <v>236</v>
      </c>
      <c r="L29" s="18">
        <f>IFERROR(__xludf.DUMMYFUNCTION("""COMPUTED_VALUE"""),0.0)</f>
        <v>0</v>
      </c>
      <c r="M29" s="18">
        <f>IFERROR(__xludf.DUMMYFUNCTION("""COMPUTED_VALUE"""),471.0)</f>
        <v>471</v>
      </c>
      <c r="N29" s="18">
        <f>IFERROR(__xludf.DUMMYFUNCTION("""COMPUTED_VALUE"""),222.0)</f>
        <v>222</v>
      </c>
      <c r="O29" s="18">
        <f>IFERROR(__xludf.DUMMYFUNCTION("""COMPUTED_VALUE"""),256.0)</f>
        <v>256</v>
      </c>
      <c r="P29" s="177">
        <f>IFERROR(__xludf.DUMMYFUNCTION("""COMPUTED_VALUE"""),1.0)</f>
        <v>1</v>
      </c>
      <c r="Q29" s="177">
        <f>IFERROR(__xludf.DUMMYFUNCTION("""COMPUTED_VALUE"""),1.0)</f>
        <v>1</v>
      </c>
      <c r="R29" s="178">
        <f>IFERROR(__xludf.DUMMYFUNCTION("""COMPUTED_VALUE"""),1.0)</f>
        <v>1</v>
      </c>
      <c r="S29" s="12">
        <f>IFERROR(__xludf.DUMMYFUNCTION("""COMPUTED_VALUE"""),471.0)</f>
        <v>471</v>
      </c>
      <c r="T29" s="179">
        <f>IFERROR(__xludf.DUMMYFUNCTION("""COMPUTED_VALUE"""),222.0)</f>
        <v>222</v>
      </c>
      <c r="U29" s="180">
        <f>IFERROR(__xludf.DUMMYFUNCTION("""COMPUTED_VALUE"""),256.0)</f>
        <v>256</v>
      </c>
      <c r="V29" s="181">
        <f t="shared" si="2"/>
        <v>694</v>
      </c>
      <c r="W29" s="12"/>
      <c r="X29" s="183"/>
    </row>
    <row r="30">
      <c r="A30" s="175" t="str">
        <f t="shared" si="1"/>
        <v>2026-W22</v>
      </c>
      <c r="B30" s="175" t="str">
        <f>IFERROR(__xludf.DUMMYFUNCTION("""COMPUTED_VALUE"""),"FE0131C")</f>
        <v>FE0131C</v>
      </c>
      <c r="C30" s="176" t="str">
        <f>IFERROR(__xludf.DUMMYFUNCTION("""COMPUTED_VALUE"""),"Veggie")</f>
        <v>Veggie</v>
      </c>
      <c r="D30" s="175" t="str">
        <f>IFERROR(__xludf.DUMMYFUNCTION("""COMPUTED_VALUE"""),"Black bean bowl and enchilada sauce")</f>
        <v>Black bean bowl and enchilada sauce</v>
      </c>
      <c r="E30" s="175" t="str">
        <f>IFERROR(__xludf.DUMMYFUNCTION("""COMPUTED_VALUE"""),"W22")</f>
        <v>W22</v>
      </c>
      <c r="F30" s="12">
        <f>IFERROR(__xludf.DUMMYFUNCTION("""COMPUTED_VALUE"""),410.0)</f>
        <v>410</v>
      </c>
      <c r="G30" s="12">
        <f>IFERROR(__xludf.DUMMYFUNCTION("""COMPUTED_VALUE"""),610.0)</f>
        <v>610</v>
      </c>
      <c r="H30" s="175">
        <f>IFERROR(__xludf.DUMMYFUNCTION("""COMPUTED_VALUE"""),310.0)</f>
        <v>310</v>
      </c>
      <c r="I30" s="17">
        <f>IFERROR(__xludf.DUMMYFUNCTION("""COMPUTED_VALUE"""),593.0)</f>
        <v>593</v>
      </c>
      <c r="J30" s="17">
        <f>IFERROR(__xludf.DUMMYFUNCTION("""COMPUTED_VALUE"""),271.0)</f>
        <v>271</v>
      </c>
      <c r="K30" s="18">
        <f>IFERROR(__xludf.DUMMYFUNCTION("""COMPUTED_VALUE"""),284.0)</f>
        <v>284</v>
      </c>
      <c r="L30" s="18">
        <f>IFERROR(__xludf.DUMMYFUNCTION("""COMPUTED_VALUE"""),0.0)</f>
        <v>0</v>
      </c>
      <c r="M30" s="18">
        <f>IFERROR(__xludf.DUMMYFUNCTION("""COMPUTED_VALUE"""),613.0)</f>
        <v>613</v>
      </c>
      <c r="N30" s="18">
        <f>IFERROR(__xludf.DUMMYFUNCTION("""COMPUTED_VALUE"""),291.0)</f>
        <v>291</v>
      </c>
      <c r="O30" s="18">
        <f>IFERROR(__xludf.DUMMYFUNCTION("""COMPUTED_VALUE"""),304.0)</f>
        <v>304</v>
      </c>
      <c r="P30" s="177">
        <f>IFERROR(__xludf.DUMMYFUNCTION("""COMPUTED_VALUE"""),1.0)</f>
        <v>1</v>
      </c>
      <c r="Q30" s="177">
        <f>IFERROR(__xludf.DUMMYFUNCTION("""COMPUTED_VALUE"""),1.0)</f>
        <v>1</v>
      </c>
      <c r="R30" s="178">
        <f>IFERROR(__xludf.DUMMYFUNCTION("""COMPUTED_VALUE"""),1.0)</f>
        <v>1</v>
      </c>
      <c r="S30" s="12">
        <f>IFERROR(__xludf.DUMMYFUNCTION("""COMPUTED_VALUE"""),613.0)</f>
        <v>613</v>
      </c>
      <c r="T30" s="179">
        <f>IFERROR(__xludf.DUMMYFUNCTION("""COMPUTED_VALUE"""),291.0)</f>
        <v>291</v>
      </c>
      <c r="U30" s="180">
        <f>IFERROR(__xludf.DUMMYFUNCTION("""COMPUTED_VALUE"""),304.0)</f>
        <v>304</v>
      </c>
      <c r="V30" s="181">
        <f t="shared" si="2"/>
        <v>905</v>
      </c>
      <c r="W30" s="12"/>
      <c r="X30" s="183"/>
    </row>
    <row r="31">
      <c r="A31" s="175" t="str">
        <f t="shared" si="1"/>
        <v>2026-W22</v>
      </c>
      <c r="B31" s="175" t="str">
        <f>IFERROR(__xludf.DUMMYFUNCTION("""COMPUTED_VALUE"""),"FV4009A")</f>
        <v>FV4009A</v>
      </c>
      <c r="C31" s="176" t="str">
        <f>IFERROR(__xludf.DUMMYFUNCTION("""COMPUTED_VALUE"""),"P+")</f>
        <v>P+</v>
      </c>
      <c r="D31" s="175" t="str">
        <f>IFERROR(__xludf.DUMMYFUNCTION("""COMPUTED_VALUE"""),"Salmon with a mustard dill sauce")</f>
        <v>Salmon with a mustard dill sauce</v>
      </c>
      <c r="E31" s="175" t="str">
        <f>IFERROR(__xludf.DUMMYFUNCTION("""COMPUTED_VALUE"""),"W22")</f>
        <v>W22</v>
      </c>
      <c r="F31" s="12">
        <f>IFERROR(__xludf.DUMMYFUNCTION("""COMPUTED_VALUE"""),412.0)</f>
        <v>412</v>
      </c>
      <c r="G31" s="12">
        <f>IFERROR(__xludf.DUMMYFUNCTION("""COMPUTED_VALUE"""),612.0)</f>
        <v>612</v>
      </c>
      <c r="H31" s="18">
        <f>IFERROR(__xludf.DUMMYFUNCTION("""COMPUTED_VALUE"""),312.0)</f>
        <v>312</v>
      </c>
      <c r="I31" s="17">
        <f>IFERROR(__xludf.DUMMYFUNCTION("""COMPUTED_VALUE"""),3296.0)</f>
        <v>3296</v>
      </c>
      <c r="J31" s="17">
        <f>IFERROR(__xludf.DUMMYFUNCTION("""COMPUTED_VALUE"""),1499.0)</f>
        <v>1499</v>
      </c>
      <c r="K31" s="18">
        <f>IFERROR(__xludf.DUMMYFUNCTION("""COMPUTED_VALUE"""),1276.0)</f>
        <v>1276</v>
      </c>
      <c r="L31" s="18">
        <f>IFERROR(__xludf.DUMMYFUNCTION("""COMPUTED_VALUE"""),0.0)</f>
        <v>0</v>
      </c>
      <c r="M31" s="18">
        <f>IFERROR(__xludf.DUMMYFUNCTION("""COMPUTED_VALUE"""),3316.0)</f>
        <v>3316</v>
      </c>
      <c r="N31" s="18">
        <f>IFERROR(__xludf.DUMMYFUNCTION("""COMPUTED_VALUE"""),1519.0)</f>
        <v>1519</v>
      </c>
      <c r="O31" s="18">
        <f>IFERROR(__xludf.DUMMYFUNCTION("""COMPUTED_VALUE"""),1296.0)</f>
        <v>1296</v>
      </c>
      <c r="P31" s="177">
        <f>IFERROR(__xludf.DUMMYFUNCTION("""COMPUTED_VALUE"""),1.0)</f>
        <v>1</v>
      </c>
      <c r="Q31" s="177">
        <f>IFERROR(__xludf.DUMMYFUNCTION("""COMPUTED_VALUE"""),1.0)</f>
        <v>1</v>
      </c>
      <c r="R31" s="178">
        <f>IFERROR(__xludf.DUMMYFUNCTION("""COMPUTED_VALUE"""),1.0)</f>
        <v>1</v>
      </c>
      <c r="S31" s="179">
        <f>IFERROR(__xludf.DUMMYFUNCTION("""COMPUTED_VALUE"""),3316.0)</f>
        <v>3316</v>
      </c>
      <c r="T31" s="179">
        <f>IFERROR(__xludf.DUMMYFUNCTION("""COMPUTED_VALUE"""),1519.0)</f>
        <v>1519</v>
      </c>
      <c r="U31" s="180">
        <f>IFERROR(__xludf.DUMMYFUNCTION("""COMPUTED_VALUE"""),1296.0)</f>
        <v>1296</v>
      </c>
      <c r="V31" s="181">
        <f t="shared" si="2"/>
        <v>4836</v>
      </c>
      <c r="W31" s="12"/>
      <c r="X31" s="183"/>
    </row>
    <row r="32">
      <c r="A32" s="175" t="str">
        <f t="shared" si="1"/>
        <v>2026-W22</v>
      </c>
      <c r="B32" s="175" t="str">
        <f>IFERROR(__xludf.DUMMYFUNCTION("""COMPUTED_VALUE"""),"FE1068A")</f>
        <v>FE1068A</v>
      </c>
      <c r="C32" s="176" t="str">
        <f>IFERROR(__xludf.DUMMYFUNCTION("""COMPUTED_VALUE"""),"Flexible")</f>
        <v>Flexible</v>
      </c>
      <c r="D32" s="175" t="str">
        <f>IFERROR(__xludf.DUMMYFUNCTION("""COMPUTED_VALUE"""),"Moroccan-style chicken thighs &amp; tomato sauce")</f>
        <v>Moroccan-style chicken thighs &amp; tomato sauce</v>
      </c>
      <c r="E32" s="175" t="str">
        <f>IFERROR(__xludf.DUMMYFUNCTION("""COMPUTED_VALUE"""),"W22")</f>
        <v>W22</v>
      </c>
      <c r="F32" s="12">
        <f>IFERROR(__xludf.DUMMYFUNCTION("""COMPUTED_VALUE"""),414.0)</f>
        <v>414</v>
      </c>
      <c r="G32" s="12">
        <f>IFERROR(__xludf.DUMMYFUNCTION("""COMPUTED_VALUE"""),614.0)</f>
        <v>614</v>
      </c>
      <c r="H32" s="18">
        <f>IFERROR(__xludf.DUMMYFUNCTION("""COMPUTED_VALUE"""),314.0)</f>
        <v>314</v>
      </c>
      <c r="I32" s="17">
        <f>IFERROR(__xludf.DUMMYFUNCTION("""COMPUTED_VALUE"""),1254.0)</f>
        <v>1254</v>
      </c>
      <c r="J32" s="17">
        <f>IFERROR(__xludf.DUMMYFUNCTION("""COMPUTED_VALUE"""),681.0)</f>
        <v>681</v>
      </c>
      <c r="K32" s="18">
        <f>IFERROR(__xludf.DUMMYFUNCTION("""COMPUTED_VALUE"""),722.0)</f>
        <v>722</v>
      </c>
      <c r="L32" s="18">
        <f>IFERROR(__xludf.DUMMYFUNCTION("""COMPUTED_VALUE"""),0.0)</f>
        <v>0</v>
      </c>
      <c r="M32" s="18">
        <f>IFERROR(__xludf.DUMMYFUNCTION("""COMPUTED_VALUE"""),1274.0)</f>
        <v>1274</v>
      </c>
      <c r="N32" s="18">
        <f>IFERROR(__xludf.DUMMYFUNCTION("""COMPUTED_VALUE"""),701.0)</f>
        <v>701</v>
      </c>
      <c r="O32" s="18">
        <f>IFERROR(__xludf.DUMMYFUNCTION("""COMPUTED_VALUE"""),742.0)</f>
        <v>742</v>
      </c>
      <c r="P32" s="177">
        <f>IFERROR(__xludf.DUMMYFUNCTION("""COMPUTED_VALUE"""),1.0)</f>
        <v>1</v>
      </c>
      <c r="Q32" s="177">
        <f>IFERROR(__xludf.DUMMYFUNCTION("""COMPUTED_VALUE"""),1.0)</f>
        <v>1</v>
      </c>
      <c r="R32" s="178">
        <f>IFERROR(__xludf.DUMMYFUNCTION("""COMPUTED_VALUE"""),1.0)</f>
        <v>1</v>
      </c>
      <c r="S32" s="179">
        <f>IFERROR(__xludf.DUMMYFUNCTION("""COMPUTED_VALUE"""),1274.0)</f>
        <v>1274</v>
      </c>
      <c r="T32" s="179">
        <f>IFERROR(__xludf.DUMMYFUNCTION("""COMPUTED_VALUE"""),701.0)</f>
        <v>701</v>
      </c>
      <c r="U32" s="180">
        <f>IFERROR(__xludf.DUMMYFUNCTION("""COMPUTED_VALUE"""),742.0)</f>
        <v>742</v>
      </c>
      <c r="V32" s="181">
        <f t="shared" si="2"/>
        <v>1976</v>
      </c>
      <c r="W32" s="12"/>
      <c r="X32" s="183"/>
    </row>
    <row r="33">
      <c r="A33" s="175" t="str">
        <f t="shared" si="1"/>
        <v>2026-W22</v>
      </c>
      <c r="B33" s="175" t="str">
        <f>IFERROR(__xludf.DUMMYFUNCTION("""COMPUTED_VALUE"""),"FV0345A")</f>
        <v>FV0345A</v>
      </c>
      <c r="C33" s="176" t="str">
        <f>IFERROR(__xludf.DUMMYFUNCTION("""COMPUTED_VALUE"""),"Keto")</f>
        <v>Keto</v>
      </c>
      <c r="D33" s="175" t="str">
        <f>IFERROR(__xludf.DUMMYFUNCTION("""COMPUTED_VALUE"""),"Beef Stroganoff Meatballs")</f>
        <v>Beef Stroganoff Meatballs</v>
      </c>
      <c r="E33" s="175" t="str">
        <f>IFERROR(__xludf.DUMMYFUNCTION("""COMPUTED_VALUE"""),"W22")</f>
        <v>W22</v>
      </c>
      <c r="F33" s="12">
        <f>IFERROR(__xludf.DUMMYFUNCTION("""COMPUTED_VALUE"""),415.0)</f>
        <v>415</v>
      </c>
      <c r="G33" s="12">
        <f>IFERROR(__xludf.DUMMYFUNCTION("""COMPUTED_VALUE"""),615.0)</f>
        <v>615</v>
      </c>
      <c r="H33" s="18">
        <f>IFERROR(__xludf.DUMMYFUNCTION("""COMPUTED_VALUE"""),315.0)</f>
        <v>315</v>
      </c>
      <c r="I33" s="17">
        <f>IFERROR(__xludf.DUMMYFUNCTION("""COMPUTED_VALUE"""),1147.0)</f>
        <v>1147</v>
      </c>
      <c r="J33" s="17">
        <f>IFERROR(__xludf.DUMMYFUNCTION("""COMPUTED_VALUE"""),683.0)</f>
        <v>683</v>
      </c>
      <c r="K33" s="18">
        <f>IFERROR(__xludf.DUMMYFUNCTION("""COMPUTED_VALUE"""),689.0)</f>
        <v>689</v>
      </c>
      <c r="L33" s="18">
        <f>IFERROR(__xludf.DUMMYFUNCTION("""COMPUTED_VALUE"""),0.0)</f>
        <v>0</v>
      </c>
      <c r="M33" s="18">
        <f>IFERROR(__xludf.DUMMYFUNCTION("""COMPUTED_VALUE"""),1167.0)</f>
        <v>1167</v>
      </c>
      <c r="N33" s="18">
        <f>IFERROR(__xludf.DUMMYFUNCTION("""COMPUTED_VALUE"""),703.0)</f>
        <v>703</v>
      </c>
      <c r="O33" s="18">
        <f>IFERROR(__xludf.DUMMYFUNCTION("""COMPUTED_VALUE"""),709.0)</f>
        <v>709</v>
      </c>
      <c r="P33" s="177">
        <f>IFERROR(__xludf.DUMMYFUNCTION("""COMPUTED_VALUE"""),1.0)</f>
        <v>1</v>
      </c>
      <c r="Q33" s="177">
        <f>IFERROR(__xludf.DUMMYFUNCTION("""COMPUTED_VALUE"""),1.0)</f>
        <v>1</v>
      </c>
      <c r="R33" s="178">
        <f>IFERROR(__xludf.DUMMYFUNCTION("""COMPUTED_VALUE"""),1.0)</f>
        <v>1</v>
      </c>
      <c r="S33" s="179">
        <f>IFERROR(__xludf.DUMMYFUNCTION("""COMPUTED_VALUE"""),1167.0)</f>
        <v>1167</v>
      </c>
      <c r="T33" s="179">
        <f>IFERROR(__xludf.DUMMYFUNCTION("""COMPUTED_VALUE"""),703.0)</f>
        <v>703</v>
      </c>
      <c r="U33" s="180">
        <f>IFERROR(__xludf.DUMMYFUNCTION("""COMPUTED_VALUE"""),709.0)</f>
        <v>709</v>
      </c>
      <c r="V33" s="181">
        <f t="shared" si="2"/>
        <v>1871</v>
      </c>
      <c r="W33" s="12"/>
      <c r="X33" s="183"/>
    </row>
    <row r="34">
      <c r="A34" s="175" t="str">
        <f t="shared" si="1"/>
        <v>2026-W22</v>
      </c>
      <c r="B34" s="175" t="str">
        <f>IFERROR(__xludf.DUMMYFUNCTION("""COMPUTED_VALUE"""),"FE0472B")</f>
        <v>FE0472B</v>
      </c>
      <c r="C34" s="176" t="str">
        <f>IFERROR(__xludf.DUMMYFUNCTION("""COMPUTED_VALUE"""),"P+")</f>
        <v>P+</v>
      </c>
      <c r="D34" s="175" t="str">
        <f>IFERROR(__xludf.DUMMYFUNCTION("""COMPUTED_VALUE"""),"Indian style butter chicken")</f>
        <v>Indian style butter chicken</v>
      </c>
      <c r="E34" s="175" t="str">
        <f>IFERROR(__xludf.DUMMYFUNCTION("""COMPUTED_VALUE"""),"W22")</f>
        <v>W22</v>
      </c>
      <c r="F34" s="12">
        <f>IFERROR(__xludf.DUMMYFUNCTION("""COMPUTED_VALUE"""),417.0)</f>
        <v>417</v>
      </c>
      <c r="G34" s="12">
        <f>IFERROR(__xludf.DUMMYFUNCTION("""COMPUTED_VALUE"""),617.0)</f>
        <v>617</v>
      </c>
      <c r="H34" s="175">
        <f>IFERROR(__xludf.DUMMYFUNCTION("""COMPUTED_VALUE"""),317.0)</f>
        <v>317</v>
      </c>
      <c r="I34" s="17">
        <f>IFERROR(__xludf.DUMMYFUNCTION("""COMPUTED_VALUE"""),1939.0)</f>
        <v>1939</v>
      </c>
      <c r="J34" s="17">
        <f>IFERROR(__xludf.DUMMYFUNCTION("""COMPUTED_VALUE"""),1040.0)</f>
        <v>1040</v>
      </c>
      <c r="K34" s="18">
        <f>IFERROR(__xludf.DUMMYFUNCTION("""COMPUTED_VALUE"""),919.0)</f>
        <v>919</v>
      </c>
      <c r="L34" s="18">
        <f>IFERROR(__xludf.DUMMYFUNCTION("""COMPUTED_VALUE"""),0.0)</f>
        <v>0</v>
      </c>
      <c r="M34" s="18">
        <f>IFERROR(__xludf.DUMMYFUNCTION("""COMPUTED_VALUE"""),1959.0)</f>
        <v>1959</v>
      </c>
      <c r="N34" s="18">
        <f>IFERROR(__xludf.DUMMYFUNCTION("""COMPUTED_VALUE"""),1060.0)</f>
        <v>1060</v>
      </c>
      <c r="O34" s="18">
        <f>IFERROR(__xludf.DUMMYFUNCTION("""COMPUTED_VALUE"""),939.0)</f>
        <v>939</v>
      </c>
      <c r="P34" s="177">
        <f>IFERROR(__xludf.DUMMYFUNCTION("""COMPUTED_VALUE"""),1.0)</f>
        <v>1</v>
      </c>
      <c r="Q34" s="177">
        <f>IFERROR(__xludf.DUMMYFUNCTION("""COMPUTED_VALUE"""),1.0)</f>
        <v>1</v>
      </c>
      <c r="R34" s="178">
        <f>IFERROR(__xludf.DUMMYFUNCTION("""COMPUTED_VALUE"""),1.0)</f>
        <v>1</v>
      </c>
      <c r="S34" s="12">
        <f>IFERROR(__xludf.DUMMYFUNCTION("""COMPUTED_VALUE"""),1959.0)</f>
        <v>1959</v>
      </c>
      <c r="T34" s="179">
        <f>IFERROR(__xludf.DUMMYFUNCTION("""COMPUTED_VALUE"""),1060.0)</f>
        <v>1060</v>
      </c>
      <c r="U34" s="180">
        <f>IFERROR(__xludf.DUMMYFUNCTION("""COMPUTED_VALUE"""),939.0)</f>
        <v>939</v>
      </c>
      <c r="V34" s="181">
        <f t="shared" si="2"/>
        <v>3020</v>
      </c>
      <c r="W34" s="12"/>
      <c r="X34" s="183"/>
    </row>
    <row r="35">
      <c r="A35" s="175" t="str">
        <f t="shared" si="1"/>
        <v>2026-W22</v>
      </c>
      <c r="B35" s="175" t="str">
        <f>IFERROR(__xludf.DUMMYFUNCTION("""COMPUTED_VALUE"""),"FE1646A")</f>
        <v>FE1646A</v>
      </c>
      <c r="C35" s="176" t="str">
        <f>IFERROR(__xludf.DUMMYFUNCTION("""COMPUTED_VALUE"""),"CS")</f>
        <v>CS</v>
      </c>
      <c r="D35" s="175" t="str">
        <f>IFERROR(__xludf.DUMMYFUNCTION("""COMPUTED_VALUE"""),"Shrimp with Lemon Garlic Sauce &amp; Spanakopita Style Rice")</f>
        <v>Shrimp with Lemon Garlic Sauce &amp; Spanakopita Style Rice</v>
      </c>
      <c r="E35" s="175" t="str">
        <f>IFERROR(__xludf.DUMMYFUNCTION("""COMPUTED_VALUE"""),"W22")</f>
        <v>W22</v>
      </c>
      <c r="F35" s="12">
        <f>IFERROR(__xludf.DUMMYFUNCTION("""COMPUTED_VALUE"""),419.0)</f>
        <v>419</v>
      </c>
      <c r="G35" s="12">
        <f>IFERROR(__xludf.DUMMYFUNCTION("""COMPUTED_VALUE"""),619.0)</f>
        <v>619</v>
      </c>
      <c r="H35" s="175">
        <f>IFERROR(__xludf.DUMMYFUNCTION("""COMPUTED_VALUE"""),319.0)</f>
        <v>319</v>
      </c>
      <c r="I35" s="17">
        <f>IFERROR(__xludf.DUMMYFUNCTION("""COMPUTED_VALUE"""),2356.0)</f>
        <v>2356</v>
      </c>
      <c r="J35" s="17">
        <f>IFERROR(__xludf.DUMMYFUNCTION("""COMPUTED_VALUE"""),1343.0)</f>
        <v>1343</v>
      </c>
      <c r="K35" s="18">
        <f>IFERROR(__xludf.DUMMYFUNCTION("""COMPUTED_VALUE"""),1123.0)</f>
        <v>1123</v>
      </c>
      <c r="L35" s="18">
        <f>IFERROR(__xludf.DUMMYFUNCTION("""COMPUTED_VALUE"""),0.0)</f>
        <v>0</v>
      </c>
      <c r="M35" s="18">
        <f>IFERROR(__xludf.DUMMYFUNCTION("""COMPUTED_VALUE"""),2376.0)</f>
        <v>2376</v>
      </c>
      <c r="N35" s="18">
        <f>IFERROR(__xludf.DUMMYFUNCTION("""COMPUTED_VALUE"""),1363.0)</f>
        <v>1363</v>
      </c>
      <c r="O35" s="18">
        <f>IFERROR(__xludf.DUMMYFUNCTION("""COMPUTED_VALUE"""),1143.0)</f>
        <v>1143</v>
      </c>
      <c r="P35" s="177">
        <f>IFERROR(__xludf.DUMMYFUNCTION("""COMPUTED_VALUE"""),1.0)</f>
        <v>1</v>
      </c>
      <c r="Q35" s="177">
        <f>IFERROR(__xludf.DUMMYFUNCTION("""COMPUTED_VALUE"""),1.0)</f>
        <v>1</v>
      </c>
      <c r="R35" s="178">
        <f>IFERROR(__xludf.DUMMYFUNCTION("""COMPUTED_VALUE"""),1.0)</f>
        <v>1</v>
      </c>
      <c r="S35" s="12">
        <f>IFERROR(__xludf.DUMMYFUNCTION("""COMPUTED_VALUE"""),2376.0)</f>
        <v>2376</v>
      </c>
      <c r="T35" s="179">
        <f>IFERROR(__xludf.DUMMYFUNCTION("""COMPUTED_VALUE"""),1363.0)</f>
        <v>1363</v>
      </c>
      <c r="U35" s="180">
        <f>IFERROR(__xludf.DUMMYFUNCTION("""COMPUTED_VALUE"""),1143.0)</f>
        <v>1143</v>
      </c>
      <c r="V35" s="181">
        <f t="shared" si="2"/>
        <v>3740</v>
      </c>
      <c r="W35" s="12"/>
      <c r="X35" s="183"/>
    </row>
    <row r="36">
      <c r="A36" s="199" t="str">
        <f t="shared" si="1"/>
        <v>2026-W22</v>
      </c>
      <c r="B36" s="199" t="str">
        <f>IFERROR(__xludf.DUMMYFUNCTION("""COMPUTED_VALUE"""),"FE4065A")</f>
        <v>FE4065A</v>
      </c>
      <c r="C36" s="200" t="str">
        <f>IFERROR(__xludf.DUMMYFUNCTION("""COMPUTED_VALUE"""),"Perf")</f>
        <v>Perf</v>
      </c>
      <c r="D36" s="199" t="str">
        <f>IFERROR(__xludf.DUMMYFUNCTION("""COMPUTED_VALUE"""),"Spicy Beef &amp; Black Bean Chili")</f>
        <v>Spicy Beef &amp; Black Bean Chili</v>
      </c>
      <c r="E36" s="199" t="str">
        <f>IFERROR(__xludf.DUMMYFUNCTION("""COMPUTED_VALUE"""),"W22")</f>
        <v>W22</v>
      </c>
      <c r="F36" s="23">
        <f>IFERROR(__xludf.DUMMYFUNCTION("""COMPUTED_VALUE"""),421.0)</f>
        <v>421</v>
      </c>
      <c r="G36" s="23">
        <f>IFERROR(__xludf.DUMMYFUNCTION("""COMPUTED_VALUE"""),621.0)</f>
        <v>621</v>
      </c>
      <c r="H36" s="199">
        <f>IFERROR(__xludf.DUMMYFUNCTION("""COMPUTED_VALUE"""),321.0)</f>
        <v>321</v>
      </c>
      <c r="I36" s="25">
        <f>IFERROR(__xludf.DUMMYFUNCTION("""COMPUTED_VALUE"""),1472.0)</f>
        <v>1472</v>
      </c>
      <c r="J36" s="25">
        <f>IFERROR(__xludf.DUMMYFUNCTION("""COMPUTED_VALUE"""),839.0)</f>
        <v>839</v>
      </c>
      <c r="K36" s="26">
        <f>IFERROR(__xludf.DUMMYFUNCTION("""COMPUTED_VALUE"""),702.0)</f>
        <v>702</v>
      </c>
      <c r="L36" s="26">
        <f>IFERROR(__xludf.DUMMYFUNCTION("""COMPUTED_VALUE"""),0.0)</f>
        <v>0</v>
      </c>
      <c r="M36" s="26">
        <f>IFERROR(__xludf.DUMMYFUNCTION("""COMPUTED_VALUE"""),1492.0)</f>
        <v>1492</v>
      </c>
      <c r="N36" s="26">
        <f>IFERROR(__xludf.DUMMYFUNCTION("""COMPUTED_VALUE"""),859.0)</f>
        <v>859</v>
      </c>
      <c r="O36" s="26">
        <f>IFERROR(__xludf.DUMMYFUNCTION("""COMPUTED_VALUE"""),722.0)</f>
        <v>722</v>
      </c>
      <c r="P36" s="201">
        <f>IFERROR(__xludf.DUMMYFUNCTION("""COMPUTED_VALUE"""),1.0)</f>
        <v>1</v>
      </c>
      <c r="Q36" s="201">
        <f>IFERROR(__xludf.DUMMYFUNCTION("""COMPUTED_VALUE"""),1.0)</f>
        <v>1</v>
      </c>
      <c r="R36" s="202">
        <f>IFERROR(__xludf.DUMMYFUNCTION("""COMPUTED_VALUE"""),1.0)</f>
        <v>1</v>
      </c>
      <c r="S36" s="23">
        <f>IFERROR(__xludf.DUMMYFUNCTION("""COMPUTED_VALUE"""),1492.0)</f>
        <v>1492</v>
      </c>
      <c r="T36" s="203">
        <f>IFERROR(__xludf.DUMMYFUNCTION("""COMPUTED_VALUE"""),859.0)</f>
        <v>859</v>
      </c>
      <c r="U36" s="204">
        <f>IFERROR(__xludf.DUMMYFUNCTION("""COMPUTED_VALUE"""),722.0)</f>
        <v>722</v>
      </c>
      <c r="V36" s="205">
        <f t="shared" si="2"/>
        <v>2352</v>
      </c>
      <c r="W36" s="23"/>
      <c r="X36" s="206"/>
    </row>
    <row r="37">
      <c r="A37" s="175" t="str">
        <f t="shared" si="1"/>
        <v>2026-W23</v>
      </c>
      <c r="B37" s="175" t="str">
        <f>IFERROR(__xludf.DUMMYFUNCTION("""COMPUTED_VALUE"""),"FE0322O")</f>
        <v>FE0322O</v>
      </c>
      <c r="C37" s="176" t="str">
        <f>IFERROR(__xludf.DUMMYFUNCTION("""COMPUTED_VALUE"""),"CS")</f>
        <v>CS</v>
      </c>
      <c r="D37" s="175" t="str">
        <f>IFERROR(__xludf.DUMMYFUNCTION("""COMPUTED_VALUE"""),"Sour Cream &amp; Chive Chicken")</f>
        <v>Sour Cream &amp; Chive Chicken</v>
      </c>
      <c r="E37" s="175" t="str">
        <f>IFERROR(__xludf.DUMMYFUNCTION("""COMPUTED_VALUE"""),"W23")</f>
        <v>W23</v>
      </c>
      <c r="F37" s="12">
        <f>IFERROR(__xludf.DUMMYFUNCTION("""COMPUTED_VALUE"""),402.0)</f>
        <v>402</v>
      </c>
      <c r="G37" s="12">
        <f>IFERROR(__xludf.DUMMYFUNCTION("""COMPUTED_VALUE"""),602.0)</f>
        <v>602</v>
      </c>
      <c r="H37" s="175">
        <f>IFERROR(__xludf.DUMMYFUNCTION("""COMPUTED_VALUE"""),302.0)</f>
        <v>302</v>
      </c>
      <c r="I37" s="17">
        <f>IFERROR(__xludf.DUMMYFUNCTION("""COMPUTED_VALUE"""),3709.0)</f>
        <v>3709</v>
      </c>
      <c r="J37" s="17">
        <f>IFERROR(__xludf.DUMMYFUNCTION("""COMPUTED_VALUE"""),2335.0)</f>
        <v>2335</v>
      </c>
      <c r="K37" s="18">
        <f>IFERROR(__xludf.DUMMYFUNCTION("""COMPUTED_VALUE"""),1606.0)</f>
        <v>1606</v>
      </c>
      <c r="L37" s="18">
        <f>IFERROR(__xludf.DUMMYFUNCTION("""COMPUTED_VALUE"""),0.0)</f>
        <v>0</v>
      </c>
      <c r="M37" s="18">
        <f>IFERROR(__xludf.DUMMYFUNCTION("""COMPUTED_VALUE"""),3729.0)</f>
        <v>3729</v>
      </c>
      <c r="N37" s="18">
        <f>IFERROR(__xludf.DUMMYFUNCTION("""COMPUTED_VALUE"""),2355.0)</f>
        <v>2355</v>
      </c>
      <c r="O37" s="18">
        <f>IFERROR(__xludf.DUMMYFUNCTION("""COMPUTED_VALUE"""),1626.0)</f>
        <v>1626</v>
      </c>
      <c r="P37" s="177">
        <f>IFERROR(__xludf.DUMMYFUNCTION("""COMPUTED_VALUE"""),1.0)</f>
        <v>1</v>
      </c>
      <c r="Q37" s="177">
        <f>IFERROR(__xludf.DUMMYFUNCTION("""COMPUTED_VALUE"""),1.0)</f>
        <v>1</v>
      </c>
      <c r="R37" s="178">
        <f>IFERROR(__xludf.DUMMYFUNCTION("""COMPUTED_VALUE"""),1.0)</f>
        <v>1</v>
      </c>
      <c r="S37" s="12">
        <f>IFERROR(__xludf.DUMMYFUNCTION("""COMPUTED_VALUE"""),3729.0)</f>
        <v>3729</v>
      </c>
      <c r="T37" s="179">
        <f>IFERROR(__xludf.DUMMYFUNCTION("""COMPUTED_VALUE"""),2355.0)</f>
        <v>2355</v>
      </c>
      <c r="U37" s="180">
        <f>IFERROR(__xludf.DUMMYFUNCTION("""COMPUTED_VALUE"""),1626.0)</f>
        <v>1626</v>
      </c>
      <c r="V37" s="181">
        <f t="shared" si="2"/>
        <v>6085</v>
      </c>
      <c r="W37" s="12"/>
      <c r="X37" s="183"/>
    </row>
    <row r="38">
      <c r="A38" s="175" t="str">
        <f t="shared" si="1"/>
        <v>2026-W23</v>
      </c>
      <c r="B38" s="175" t="str">
        <f>IFERROR(__xludf.DUMMYFUNCTION("""COMPUTED_VALUE"""),"FV4063A")</f>
        <v>FV4063A</v>
      </c>
      <c r="C38" s="176" t="str">
        <f>IFERROR(__xludf.DUMMYFUNCTION("""COMPUTED_VALUE"""),"Keto")</f>
        <v>Keto</v>
      </c>
      <c r="D38" s="175" t="str">
        <f>IFERROR(__xludf.DUMMYFUNCTION("""COMPUTED_VALUE"""),"Cheddar pulled beef")</f>
        <v>Cheddar pulled beef</v>
      </c>
      <c r="E38" s="175" t="str">
        <f>IFERROR(__xludf.DUMMYFUNCTION("""COMPUTED_VALUE"""),"W23")</f>
        <v>W23</v>
      </c>
      <c r="F38" s="12">
        <f>IFERROR(__xludf.DUMMYFUNCTION("""COMPUTED_VALUE"""),403.0)</f>
        <v>403</v>
      </c>
      <c r="G38" s="12">
        <f>IFERROR(__xludf.DUMMYFUNCTION("""COMPUTED_VALUE"""),603.0)</f>
        <v>603</v>
      </c>
      <c r="H38" s="175">
        <f>IFERROR(__xludf.DUMMYFUNCTION("""COMPUTED_VALUE"""),303.0)</f>
        <v>303</v>
      </c>
      <c r="I38" s="17">
        <f>IFERROR(__xludf.DUMMYFUNCTION("""COMPUTED_VALUE"""),3247.0)</f>
        <v>3247</v>
      </c>
      <c r="J38" s="17">
        <f>IFERROR(__xludf.DUMMYFUNCTION("""COMPUTED_VALUE"""),2027.0)</f>
        <v>2027</v>
      </c>
      <c r="K38" s="18">
        <f>IFERROR(__xludf.DUMMYFUNCTION("""COMPUTED_VALUE"""),1640.0)</f>
        <v>1640</v>
      </c>
      <c r="L38" s="18">
        <f>IFERROR(__xludf.DUMMYFUNCTION("""COMPUTED_VALUE"""),0.0)</f>
        <v>0</v>
      </c>
      <c r="M38" s="18">
        <f>IFERROR(__xludf.DUMMYFUNCTION("""COMPUTED_VALUE"""),3267.0)</f>
        <v>3267</v>
      </c>
      <c r="N38" s="18">
        <f>IFERROR(__xludf.DUMMYFUNCTION("""COMPUTED_VALUE"""),2047.0)</f>
        <v>2047</v>
      </c>
      <c r="O38" s="18">
        <f>IFERROR(__xludf.DUMMYFUNCTION("""COMPUTED_VALUE"""),1660.0)</f>
        <v>1660</v>
      </c>
      <c r="P38" s="177">
        <f>IFERROR(__xludf.DUMMYFUNCTION("""COMPUTED_VALUE"""),1.0)</f>
        <v>1</v>
      </c>
      <c r="Q38" s="177">
        <f>IFERROR(__xludf.DUMMYFUNCTION("""COMPUTED_VALUE"""),1.0)</f>
        <v>1</v>
      </c>
      <c r="R38" s="178">
        <f>IFERROR(__xludf.DUMMYFUNCTION("""COMPUTED_VALUE"""),1.0)</f>
        <v>1</v>
      </c>
      <c r="S38" s="12">
        <f>IFERROR(__xludf.DUMMYFUNCTION("""COMPUTED_VALUE"""),3267.0)</f>
        <v>3267</v>
      </c>
      <c r="T38" s="179">
        <f>IFERROR(__xludf.DUMMYFUNCTION("""COMPUTED_VALUE"""),2047.0)</f>
        <v>2047</v>
      </c>
      <c r="U38" s="180">
        <f>IFERROR(__xludf.DUMMYFUNCTION("""COMPUTED_VALUE"""),1660.0)</f>
        <v>1660</v>
      </c>
      <c r="V38" s="181">
        <f t="shared" si="2"/>
        <v>5315</v>
      </c>
      <c r="W38" s="12"/>
      <c r="X38" s="183"/>
    </row>
    <row r="39">
      <c r="A39" s="175" t="str">
        <f t="shared" si="1"/>
        <v>2026-W23</v>
      </c>
      <c r="B39" s="175" t="str">
        <f>IFERROR(__xludf.DUMMYFUNCTION("""COMPUTED_VALUE"""),"FV1320A")</f>
        <v>FV1320A</v>
      </c>
      <c r="C39" s="176" t="str">
        <f>IFERROR(__xludf.DUMMYFUNCTION("""COMPUTED_VALUE"""),"P+")</f>
        <v>P+</v>
      </c>
      <c r="D39" s="175" t="str">
        <f>IFERROR(__xludf.DUMMYFUNCTION("""COMPUTED_VALUE"""),"Ají Verde Salmon")</f>
        <v>Ají Verde Salmon</v>
      </c>
      <c r="E39" s="175" t="str">
        <f>IFERROR(__xludf.DUMMYFUNCTION("""COMPUTED_VALUE"""),"W23")</f>
        <v>W23</v>
      </c>
      <c r="F39" s="12">
        <f>IFERROR(__xludf.DUMMYFUNCTION("""COMPUTED_VALUE"""),404.0)</f>
        <v>404</v>
      </c>
      <c r="G39" s="12">
        <f>IFERROR(__xludf.DUMMYFUNCTION("""COMPUTED_VALUE"""),604.0)</f>
        <v>604</v>
      </c>
      <c r="H39" s="175">
        <f>IFERROR(__xludf.DUMMYFUNCTION("""COMPUTED_VALUE"""),304.0)</f>
        <v>304</v>
      </c>
      <c r="I39" s="17">
        <f>IFERROR(__xludf.DUMMYFUNCTION("""COMPUTED_VALUE"""),5301.0)</f>
        <v>5301</v>
      </c>
      <c r="J39" s="17">
        <f>IFERROR(__xludf.DUMMYFUNCTION("""COMPUTED_VALUE"""),2968.0)</f>
        <v>2968</v>
      </c>
      <c r="K39" s="18">
        <f>IFERROR(__xludf.DUMMYFUNCTION("""COMPUTED_VALUE"""),2263.0)</f>
        <v>2263</v>
      </c>
      <c r="L39" s="18">
        <f>IFERROR(__xludf.DUMMYFUNCTION("""COMPUTED_VALUE"""),0.0)</f>
        <v>0</v>
      </c>
      <c r="M39" s="18">
        <f>IFERROR(__xludf.DUMMYFUNCTION("""COMPUTED_VALUE"""),5321.0)</f>
        <v>5321</v>
      </c>
      <c r="N39" s="18">
        <f>IFERROR(__xludf.DUMMYFUNCTION("""COMPUTED_VALUE"""),2988.0)</f>
        <v>2988</v>
      </c>
      <c r="O39" s="18">
        <f>IFERROR(__xludf.DUMMYFUNCTION("""COMPUTED_VALUE"""),2283.0)</f>
        <v>2283</v>
      </c>
      <c r="P39" s="177">
        <f>IFERROR(__xludf.DUMMYFUNCTION("""COMPUTED_VALUE"""),1.0)</f>
        <v>1</v>
      </c>
      <c r="Q39" s="177">
        <f>IFERROR(__xludf.DUMMYFUNCTION("""COMPUTED_VALUE"""),1.0)</f>
        <v>1</v>
      </c>
      <c r="R39" s="178">
        <f>IFERROR(__xludf.DUMMYFUNCTION("""COMPUTED_VALUE"""),1.0)</f>
        <v>1</v>
      </c>
      <c r="S39" s="12">
        <f>IFERROR(__xludf.DUMMYFUNCTION("""COMPUTED_VALUE"""),5321.0)</f>
        <v>5321</v>
      </c>
      <c r="T39" s="179">
        <f>IFERROR(__xludf.DUMMYFUNCTION("""COMPUTED_VALUE"""),2988.0)</f>
        <v>2988</v>
      </c>
      <c r="U39" s="180">
        <f>IFERROR(__xludf.DUMMYFUNCTION("""COMPUTED_VALUE"""),2283.0)</f>
        <v>2283</v>
      </c>
      <c r="V39" s="181">
        <f t="shared" si="2"/>
        <v>8310</v>
      </c>
      <c r="W39" s="12"/>
      <c r="X39" s="183"/>
    </row>
    <row r="40">
      <c r="A40" s="175" t="str">
        <f t="shared" si="1"/>
        <v>2026-W23</v>
      </c>
      <c r="B40" s="175" t="str">
        <f>IFERROR(__xludf.DUMMYFUNCTION("""COMPUTED_VALUE"""),"FV0035A")</f>
        <v>FV0035A</v>
      </c>
      <c r="C40" s="176" t="str">
        <f>IFERROR(__xludf.DUMMYFUNCTION("""COMPUTED_VALUE"""),"Keto")</f>
        <v>Keto</v>
      </c>
      <c r="D40" s="175" t="str">
        <f>IFERROR(__xludf.DUMMYFUNCTION("""COMPUTED_VALUE"""),"Salmon with spinach pesto")</f>
        <v>Salmon with spinach pesto</v>
      </c>
      <c r="E40" s="175" t="str">
        <f>IFERROR(__xludf.DUMMYFUNCTION("""COMPUTED_VALUE"""),"W23")</f>
        <v>W23</v>
      </c>
      <c r="F40" s="12">
        <f>IFERROR(__xludf.DUMMYFUNCTION("""COMPUTED_VALUE"""),406.0)</f>
        <v>406</v>
      </c>
      <c r="G40" s="12">
        <f>IFERROR(__xludf.DUMMYFUNCTION("""COMPUTED_VALUE"""),606.0)</f>
        <v>606</v>
      </c>
      <c r="H40" s="175">
        <f>IFERROR(__xludf.DUMMYFUNCTION("""COMPUTED_VALUE"""),306.0)</f>
        <v>306</v>
      </c>
      <c r="I40" s="17">
        <f>IFERROR(__xludf.DUMMYFUNCTION("""COMPUTED_VALUE"""),2873.0)</f>
        <v>2873</v>
      </c>
      <c r="J40" s="17">
        <f>IFERROR(__xludf.DUMMYFUNCTION("""COMPUTED_VALUE"""),1741.0)</f>
        <v>1741</v>
      </c>
      <c r="K40" s="18">
        <f>IFERROR(__xludf.DUMMYFUNCTION("""COMPUTED_VALUE"""),1703.0)</f>
        <v>1703</v>
      </c>
      <c r="L40" s="18">
        <f>IFERROR(__xludf.DUMMYFUNCTION("""COMPUTED_VALUE"""),0.0)</f>
        <v>0</v>
      </c>
      <c r="M40" s="18">
        <f>IFERROR(__xludf.DUMMYFUNCTION("""COMPUTED_VALUE"""),2893.0)</f>
        <v>2893</v>
      </c>
      <c r="N40" s="18">
        <f>IFERROR(__xludf.DUMMYFUNCTION("""COMPUTED_VALUE"""),1761.0)</f>
        <v>1761</v>
      </c>
      <c r="O40" s="18">
        <f>IFERROR(__xludf.DUMMYFUNCTION("""COMPUTED_VALUE"""),1723.0)</f>
        <v>1723</v>
      </c>
      <c r="P40" s="177">
        <f>IFERROR(__xludf.DUMMYFUNCTION("""COMPUTED_VALUE"""),1.0)</f>
        <v>1</v>
      </c>
      <c r="Q40" s="177">
        <f>IFERROR(__xludf.DUMMYFUNCTION("""COMPUTED_VALUE"""),1.0)</f>
        <v>1</v>
      </c>
      <c r="R40" s="178">
        <f>IFERROR(__xludf.DUMMYFUNCTION("""COMPUTED_VALUE"""),1.0)</f>
        <v>1</v>
      </c>
      <c r="S40" s="12">
        <f>IFERROR(__xludf.DUMMYFUNCTION("""COMPUTED_VALUE"""),2893.0)</f>
        <v>2893</v>
      </c>
      <c r="T40" s="179">
        <f>IFERROR(__xludf.DUMMYFUNCTION("""COMPUTED_VALUE"""),1761.0)</f>
        <v>1761</v>
      </c>
      <c r="U40" s="180">
        <f>IFERROR(__xludf.DUMMYFUNCTION("""COMPUTED_VALUE"""),1723.0)</f>
        <v>1723</v>
      </c>
      <c r="V40" s="181">
        <f t="shared" si="2"/>
        <v>4655</v>
      </c>
      <c r="W40" s="12"/>
      <c r="X40" s="183"/>
    </row>
    <row r="41">
      <c r="A41" s="175" t="str">
        <f t="shared" si="1"/>
        <v>2026-W23</v>
      </c>
      <c r="B41" s="175" t="str">
        <f>IFERROR(__xludf.DUMMYFUNCTION("""COMPUTED_VALUE"""),"FV0401A")</f>
        <v>FV0401A</v>
      </c>
      <c r="C41" s="176" t="str">
        <f>IFERROR(__xludf.DUMMYFUNCTION("""COMPUTED_VALUE"""),"Keto")</f>
        <v>Keto</v>
      </c>
      <c r="D41" s="175" t="str">
        <f>IFERROR(__xludf.DUMMYFUNCTION("""COMPUTED_VALUE"""),"Pulled chicken with cheddar and bacon")</f>
        <v>Pulled chicken with cheddar and bacon</v>
      </c>
      <c r="E41" s="175" t="str">
        <f>IFERROR(__xludf.DUMMYFUNCTION("""COMPUTED_VALUE"""),"W23")</f>
        <v>W23</v>
      </c>
      <c r="F41" s="12">
        <f>IFERROR(__xludf.DUMMYFUNCTION("""COMPUTED_VALUE"""),407.0)</f>
        <v>407</v>
      </c>
      <c r="G41" s="12">
        <f>IFERROR(__xludf.DUMMYFUNCTION("""COMPUTED_VALUE"""),607.0)</f>
        <v>607</v>
      </c>
      <c r="H41" s="175">
        <f>IFERROR(__xludf.DUMMYFUNCTION("""COMPUTED_VALUE"""),307.0)</f>
        <v>307</v>
      </c>
      <c r="I41" s="17">
        <f>IFERROR(__xludf.DUMMYFUNCTION("""COMPUTED_VALUE"""),2499.0)</f>
        <v>2499</v>
      </c>
      <c r="J41" s="17">
        <f>IFERROR(__xludf.DUMMYFUNCTION("""COMPUTED_VALUE"""),1574.0)</f>
        <v>1574</v>
      </c>
      <c r="K41" s="18">
        <f>IFERROR(__xludf.DUMMYFUNCTION("""COMPUTED_VALUE"""),1402.0)</f>
        <v>1402</v>
      </c>
      <c r="L41" s="18">
        <f>IFERROR(__xludf.DUMMYFUNCTION("""COMPUTED_VALUE"""),0.0)</f>
        <v>0</v>
      </c>
      <c r="M41" s="18">
        <f>IFERROR(__xludf.DUMMYFUNCTION("""COMPUTED_VALUE"""),2519.0)</f>
        <v>2519</v>
      </c>
      <c r="N41" s="18">
        <f>IFERROR(__xludf.DUMMYFUNCTION("""COMPUTED_VALUE"""),1594.0)</f>
        <v>1594</v>
      </c>
      <c r="O41" s="18">
        <f>IFERROR(__xludf.DUMMYFUNCTION("""COMPUTED_VALUE"""),1422.0)</f>
        <v>1422</v>
      </c>
      <c r="P41" s="177">
        <f>IFERROR(__xludf.DUMMYFUNCTION("""COMPUTED_VALUE"""),1.0)</f>
        <v>1</v>
      </c>
      <c r="Q41" s="177">
        <f>IFERROR(__xludf.DUMMYFUNCTION("""COMPUTED_VALUE"""),1.0)</f>
        <v>1</v>
      </c>
      <c r="R41" s="178">
        <f>IFERROR(__xludf.DUMMYFUNCTION("""COMPUTED_VALUE"""),1.0)</f>
        <v>1</v>
      </c>
      <c r="S41" s="12">
        <f>IFERROR(__xludf.DUMMYFUNCTION("""COMPUTED_VALUE"""),2519.0)</f>
        <v>2519</v>
      </c>
      <c r="T41" s="179">
        <f>IFERROR(__xludf.DUMMYFUNCTION("""COMPUTED_VALUE"""),1594.0)</f>
        <v>1594</v>
      </c>
      <c r="U41" s="180">
        <f>IFERROR(__xludf.DUMMYFUNCTION("""COMPUTED_VALUE"""),1422.0)</f>
        <v>1422</v>
      </c>
      <c r="V41" s="181">
        <f t="shared" si="2"/>
        <v>4114</v>
      </c>
      <c r="W41" s="12"/>
      <c r="X41" s="183"/>
    </row>
    <row r="42">
      <c r="A42" s="175" t="str">
        <f t="shared" si="1"/>
        <v>2026-W23</v>
      </c>
      <c r="B42" s="175" t="str">
        <f>IFERROR(__xludf.DUMMYFUNCTION("""COMPUTED_VALUE"""),"FE0121C")</f>
        <v>FE0121C</v>
      </c>
      <c r="C42" s="176" t="str">
        <f>IFERROR(__xludf.DUMMYFUNCTION("""COMPUTED_VALUE"""),"Veggie")</f>
        <v>Veggie</v>
      </c>
      <c r="D42" s="175" t="str">
        <f>IFERROR(__xludf.DUMMYFUNCTION("""COMPUTED_VALUE"""),"Mexican style corn cake")</f>
        <v>Mexican style corn cake</v>
      </c>
      <c r="E42" s="175" t="str">
        <f>IFERROR(__xludf.DUMMYFUNCTION("""COMPUTED_VALUE"""),"W23")</f>
        <v>W23</v>
      </c>
      <c r="F42" s="12">
        <f>IFERROR(__xludf.DUMMYFUNCTION("""COMPUTED_VALUE"""),409.0)</f>
        <v>409</v>
      </c>
      <c r="G42" s="12">
        <f>IFERROR(__xludf.DUMMYFUNCTION("""COMPUTED_VALUE"""),609.0)</f>
        <v>609</v>
      </c>
      <c r="H42" s="175">
        <f>IFERROR(__xludf.DUMMYFUNCTION("""COMPUTED_VALUE"""),309.0)</f>
        <v>309</v>
      </c>
      <c r="I42" s="17">
        <f>IFERROR(__xludf.DUMMYFUNCTION("""COMPUTED_VALUE"""),451.0)</f>
        <v>451</v>
      </c>
      <c r="J42" s="17">
        <f>IFERROR(__xludf.DUMMYFUNCTION("""COMPUTED_VALUE"""),202.0)</f>
        <v>202</v>
      </c>
      <c r="K42" s="18">
        <f>IFERROR(__xludf.DUMMYFUNCTION("""COMPUTED_VALUE"""),236.0)</f>
        <v>236</v>
      </c>
      <c r="L42" s="18">
        <f>IFERROR(__xludf.DUMMYFUNCTION("""COMPUTED_VALUE"""),0.0)</f>
        <v>0</v>
      </c>
      <c r="M42" s="18">
        <f>IFERROR(__xludf.DUMMYFUNCTION("""COMPUTED_VALUE"""),471.0)</f>
        <v>471</v>
      </c>
      <c r="N42" s="18">
        <f>IFERROR(__xludf.DUMMYFUNCTION("""COMPUTED_VALUE"""),222.0)</f>
        <v>222</v>
      </c>
      <c r="O42" s="18">
        <f>IFERROR(__xludf.DUMMYFUNCTION("""COMPUTED_VALUE"""),256.0)</f>
        <v>256</v>
      </c>
      <c r="P42" s="177">
        <f>IFERROR(__xludf.DUMMYFUNCTION("""COMPUTED_VALUE"""),1.0)</f>
        <v>1</v>
      </c>
      <c r="Q42" s="177">
        <f>IFERROR(__xludf.DUMMYFUNCTION("""COMPUTED_VALUE"""),1.0)</f>
        <v>1</v>
      </c>
      <c r="R42" s="178">
        <f>IFERROR(__xludf.DUMMYFUNCTION("""COMPUTED_VALUE"""),1.0)</f>
        <v>1</v>
      </c>
      <c r="S42" s="12">
        <f>IFERROR(__xludf.DUMMYFUNCTION("""COMPUTED_VALUE"""),471.0)</f>
        <v>471</v>
      </c>
      <c r="T42" s="179">
        <f>IFERROR(__xludf.DUMMYFUNCTION("""COMPUTED_VALUE"""),222.0)</f>
        <v>222</v>
      </c>
      <c r="U42" s="180">
        <f>IFERROR(__xludf.DUMMYFUNCTION("""COMPUTED_VALUE"""),256.0)</f>
        <v>256</v>
      </c>
      <c r="V42" s="181">
        <f t="shared" si="2"/>
        <v>694</v>
      </c>
      <c r="W42" s="12"/>
      <c r="X42" s="183"/>
    </row>
    <row r="43">
      <c r="A43" s="175" t="str">
        <f t="shared" si="1"/>
        <v>2026-W23</v>
      </c>
      <c r="B43" s="175" t="str">
        <f>IFERROR(__xludf.DUMMYFUNCTION("""COMPUTED_VALUE"""),"FE0131C")</f>
        <v>FE0131C</v>
      </c>
      <c r="C43" s="176" t="str">
        <f>IFERROR(__xludf.DUMMYFUNCTION("""COMPUTED_VALUE"""),"Veggie")</f>
        <v>Veggie</v>
      </c>
      <c r="D43" s="175" t="str">
        <f>IFERROR(__xludf.DUMMYFUNCTION("""COMPUTED_VALUE"""),"Black bean bowl and enchilada sauce")</f>
        <v>Black bean bowl and enchilada sauce</v>
      </c>
      <c r="E43" s="175" t="str">
        <f>IFERROR(__xludf.DUMMYFUNCTION("""COMPUTED_VALUE"""),"W23")</f>
        <v>W23</v>
      </c>
      <c r="F43" s="12">
        <f>IFERROR(__xludf.DUMMYFUNCTION("""COMPUTED_VALUE"""),410.0)</f>
        <v>410</v>
      </c>
      <c r="G43" s="12">
        <f>IFERROR(__xludf.DUMMYFUNCTION("""COMPUTED_VALUE"""),610.0)</f>
        <v>610</v>
      </c>
      <c r="H43" s="175">
        <f>IFERROR(__xludf.DUMMYFUNCTION("""COMPUTED_VALUE"""),310.0)</f>
        <v>310</v>
      </c>
      <c r="I43" s="17">
        <f>IFERROR(__xludf.DUMMYFUNCTION("""COMPUTED_VALUE"""),593.0)</f>
        <v>593</v>
      </c>
      <c r="J43" s="17">
        <f>IFERROR(__xludf.DUMMYFUNCTION("""COMPUTED_VALUE"""),271.0)</f>
        <v>271</v>
      </c>
      <c r="K43" s="18">
        <f>IFERROR(__xludf.DUMMYFUNCTION("""COMPUTED_VALUE"""),284.0)</f>
        <v>284</v>
      </c>
      <c r="L43" s="18">
        <f>IFERROR(__xludf.DUMMYFUNCTION("""COMPUTED_VALUE"""),0.0)</f>
        <v>0</v>
      </c>
      <c r="M43" s="18">
        <f>IFERROR(__xludf.DUMMYFUNCTION("""COMPUTED_VALUE"""),613.0)</f>
        <v>613</v>
      </c>
      <c r="N43" s="18">
        <f>IFERROR(__xludf.DUMMYFUNCTION("""COMPUTED_VALUE"""),291.0)</f>
        <v>291</v>
      </c>
      <c r="O43" s="18">
        <f>IFERROR(__xludf.DUMMYFUNCTION("""COMPUTED_VALUE"""),304.0)</f>
        <v>304</v>
      </c>
      <c r="P43" s="177">
        <f>IFERROR(__xludf.DUMMYFUNCTION("""COMPUTED_VALUE"""),1.0)</f>
        <v>1</v>
      </c>
      <c r="Q43" s="177">
        <f>IFERROR(__xludf.DUMMYFUNCTION("""COMPUTED_VALUE"""),1.0)</f>
        <v>1</v>
      </c>
      <c r="R43" s="178">
        <f>IFERROR(__xludf.DUMMYFUNCTION("""COMPUTED_VALUE"""),1.0)</f>
        <v>1</v>
      </c>
      <c r="S43" s="12">
        <f>IFERROR(__xludf.DUMMYFUNCTION("""COMPUTED_VALUE"""),613.0)</f>
        <v>613</v>
      </c>
      <c r="T43" s="179">
        <f>IFERROR(__xludf.DUMMYFUNCTION("""COMPUTED_VALUE"""),291.0)</f>
        <v>291</v>
      </c>
      <c r="U43" s="180">
        <f>IFERROR(__xludf.DUMMYFUNCTION("""COMPUTED_VALUE"""),304.0)</f>
        <v>304</v>
      </c>
      <c r="V43" s="207">
        <f t="shared" si="2"/>
        <v>905</v>
      </c>
      <c r="W43" s="12"/>
      <c r="X43" s="12"/>
    </row>
    <row r="44">
      <c r="A44" s="175" t="str">
        <f t="shared" si="1"/>
        <v>2026-W23</v>
      </c>
      <c r="B44" s="175" t="str">
        <f>IFERROR(__xludf.DUMMYFUNCTION("""COMPUTED_VALUE"""),"FV1145A")</f>
        <v>FV1145A</v>
      </c>
      <c r="C44" s="176" t="str">
        <f>IFERROR(__xludf.DUMMYFUNCTION("""COMPUTED_VALUE"""),"P+")</f>
        <v>P+</v>
      </c>
      <c r="D44" s="175" t="str">
        <f>IFERROR(__xludf.DUMMYFUNCTION("""COMPUTED_VALUE"""),"Roasted Salmon &amp; Dill Yogurt")</f>
        <v>Roasted Salmon &amp; Dill Yogurt</v>
      </c>
      <c r="E44" s="175" t="str">
        <f>IFERROR(__xludf.DUMMYFUNCTION("""COMPUTED_VALUE"""),"W23")</f>
        <v>W23</v>
      </c>
      <c r="F44" s="12">
        <f>IFERROR(__xludf.DUMMYFUNCTION("""COMPUTED_VALUE"""),412.0)</f>
        <v>412</v>
      </c>
      <c r="G44" s="12">
        <f>IFERROR(__xludf.DUMMYFUNCTION("""COMPUTED_VALUE"""),612.0)</f>
        <v>612</v>
      </c>
      <c r="H44" s="175">
        <f>IFERROR(__xludf.DUMMYFUNCTION("""COMPUTED_VALUE"""),312.0)</f>
        <v>312</v>
      </c>
      <c r="I44" s="17">
        <f>IFERROR(__xludf.DUMMYFUNCTION("""COMPUTED_VALUE"""),3296.0)</f>
        <v>3296</v>
      </c>
      <c r="J44" s="17">
        <f>IFERROR(__xludf.DUMMYFUNCTION("""COMPUTED_VALUE"""),1499.0)</f>
        <v>1499</v>
      </c>
      <c r="K44" s="18">
        <f>IFERROR(__xludf.DUMMYFUNCTION("""COMPUTED_VALUE"""),1276.0)</f>
        <v>1276</v>
      </c>
      <c r="L44" s="18">
        <f>IFERROR(__xludf.DUMMYFUNCTION("""COMPUTED_VALUE"""),0.0)</f>
        <v>0</v>
      </c>
      <c r="M44" s="18">
        <f>IFERROR(__xludf.DUMMYFUNCTION("""COMPUTED_VALUE"""),3316.0)</f>
        <v>3316</v>
      </c>
      <c r="N44" s="18">
        <f>IFERROR(__xludf.DUMMYFUNCTION("""COMPUTED_VALUE"""),1519.0)</f>
        <v>1519</v>
      </c>
      <c r="O44" s="18">
        <f>IFERROR(__xludf.DUMMYFUNCTION("""COMPUTED_VALUE"""),1296.0)</f>
        <v>1296</v>
      </c>
      <c r="P44" s="177">
        <f>IFERROR(__xludf.DUMMYFUNCTION("""COMPUTED_VALUE"""),1.0)</f>
        <v>1</v>
      </c>
      <c r="Q44" s="177">
        <f>IFERROR(__xludf.DUMMYFUNCTION("""COMPUTED_VALUE"""),1.0)</f>
        <v>1</v>
      </c>
      <c r="R44" s="178">
        <f>IFERROR(__xludf.DUMMYFUNCTION("""COMPUTED_VALUE"""),1.0)</f>
        <v>1</v>
      </c>
      <c r="S44" s="12">
        <f>IFERROR(__xludf.DUMMYFUNCTION("""COMPUTED_VALUE"""),3316.0)</f>
        <v>3316</v>
      </c>
      <c r="T44" s="179">
        <f>IFERROR(__xludf.DUMMYFUNCTION("""COMPUTED_VALUE"""),1519.0)</f>
        <v>1519</v>
      </c>
      <c r="U44" s="180">
        <f>IFERROR(__xludf.DUMMYFUNCTION("""COMPUTED_VALUE"""),1296.0)</f>
        <v>1296</v>
      </c>
      <c r="V44" s="207">
        <f t="shared" si="2"/>
        <v>4836</v>
      </c>
      <c r="W44" s="12"/>
      <c r="X44" s="12"/>
    </row>
    <row r="45">
      <c r="A45" s="175" t="str">
        <f t="shared" si="1"/>
        <v>2026-W23</v>
      </c>
      <c r="B45" s="175" t="str">
        <f>IFERROR(__xludf.DUMMYFUNCTION("""COMPUTED_VALUE"""),"FE0890B")</f>
        <v>FE0890B</v>
      </c>
      <c r="C45" s="176" t="str">
        <f>IFERROR(__xludf.DUMMYFUNCTION("""COMPUTED_VALUE"""),"CS")</f>
        <v>CS</v>
      </c>
      <c r="D45" s="175" t="str">
        <f>IFERROR(__xludf.DUMMYFUNCTION("""COMPUTED_VALUE"""),"Pork tenderloin with apple-mustard sauce")</f>
        <v>Pork tenderloin with apple-mustard sauce</v>
      </c>
      <c r="E45" s="175" t="str">
        <f>IFERROR(__xludf.DUMMYFUNCTION("""COMPUTED_VALUE"""),"W23")</f>
        <v>W23</v>
      </c>
      <c r="F45" s="12">
        <f>IFERROR(__xludf.DUMMYFUNCTION("""COMPUTED_VALUE"""),413.0)</f>
        <v>413</v>
      </c>
      <c r="G45" s="12">
        <f>IFERROR(__xludf.DUMMYFUNCTION("""COMPUTED_VALUE"""),613.0)</f>
        <v>613</v>
      </c>
      <c r="H45" s="175">
        <f>IFERROR(__xludf.DUMMYFUNCTION("""COMPUTED_VALUE"""),313.0)</f>
        <v>313</v>
      </c>
      <c r="I45" s="17">
        <f>IFERROR(__xludf.DUMMYFUNCTION("""COMPUTED_VALUE"""),4121.0)</f>
        <v>4121</v>
      </c>
      <c r="J45" s="17">
        <f>IFERROR(__xludf.DUMMYFUNCTION("""COMPUTED_VALUE"""),1998.0)</f>
        <v>1998</v>
      </c>
      <c r="K45" s="18">
        <f>IFERROR(__xludf.DUMMYFUNCTION("""COMPUTED_VALUE"""),1576.0)</f>
        <v>1576</v>
      </c>
      <c r="L45" s="18">
        <f>IFERROR(__xludf.DUMMYFUNCTION("""COMPUTED_VALUE"""),0.0)</f>
        <v>0</v>
      </c>
      <c r="M45" s="18">
        <f>IFERROR(__xludf.DUMMYFUNCTION("""COMPUTED_VALUE"""),4141.0)</f>
        <v>4141</v>
      </c>
      <c r="N45" s="18">
        <f>IFERROR(__xludf.DUMMYFUNCTION("""COMPUTED_VALUE"""),2018.0)</f>
        <v>2018</v>
      </c>
      <c r="O45" s="18">
        <f>IFERROR(__xludf.DUMMYFUNCTION("""COMPUTED_VALUE"""),1596.0)</f>
        <v>1596</v>
      </c>
      <c r="P45" s="177">
        <f>IFERROR(__xludf.DUMMYFUNCTION("""COMPUTED_VALUE"""),1.0)</f>
        <v>1</v>
      </c>
      <c r="Q45" s="177">
        <f>IFERROR(__xludf.DUMMYFUNCTION("""COMPUTED_VALUE"""),1.0)</f>
        <v>1</v>
      </c>
      <c r="R45" s="178">
        <f>IFERROR(__xludf.DUMMYFUNCTION("""COMPUTED_VALUE"""),1.0)</f>
        <v>1</v>
      </c>
      <c r="S45" s="179">
        <f>IFERROR(__xludf.DUMMYFUNCTION("""COMPUTED_VALUE"""),4141.0)</f>
        <v>4141</v>
      </c>
      <c r="T45" s="179">
        <f>IFERROR(__xludf.DUMMYFUNCTION("""COMPUTED_VALUE"""),2018.0)</f>
        <v>2018</v>
      </c>
      <c r="U45" s="180">
        <f>IFERROR(__xludf.DUMMYFUNCTION("""COMPUTED_VALUE"""),1596.0)</f>
        <v>1596</v>
      </c>
      <c r="V45" s="207">
        <f t="shared" si="2"/>
        <v>6160</v>
      </c>
      <c r="W45" s="12"/>
      <c r="X45" s="12"/>
    </row>
    <row r="46">
      <c r="A46" s="175" t="str">
        <f t="shared" si="1"/>
        <v>2026-W23</v>
      </c>
      <c r="B46" s="175" t="str">
        <f>IFERROR(__xludf.DUMMYFUNCTION("""COMPUTED_VALUE"""),"FE1068A")</f>
        <v>FE1068A</v>
      </c>
      <c r="C46" s="176" t="str">
        <f>IFERROR(__xludf.DUMMYFUNCTION("""COMPUTED_VALUE"""),"Flexible")</f>
        <v>Flexible</v>
      </c>
      <c r="D46" s="175" t="str">
        <f>IFERROR(__xludf.DUMMYFUNCTION("""COMPUTED_VALUE"""),"Moroccan-style chicken thighs &amp; tomato sauce")</f>
        <v>Moroccan-style chicken thighs &amp; tomato sauce</v>
      </c>
      <c r="E46" s="175" t="str">
        <f>IFERROR(__xludf.DUMMYFUNCTION("""COMPUTED_VALUE"""),"W23")</f>
        <v>W23</v>
      </c>
      <c r="F46" s="12">
        <f>IFERROR(__xludf.DUMMYFUNCTION("""COMPUTED_VALUE"""),414.0)</f>
        <v>414</v>
      </c>
      <c r="G46" s="12">
        <f>IFERROR(__xludf.DUMMYFUNCTION("""COMPUTED_VALUE"""),614.0)</f>
        <v>614</v>
      </c>
      <c r="H46" s="175">
        <f>IFERROR(__xludf.DUMMYFUNCTION("""COMPUTED_VALUE"""),314.0)</f>
        <v>314</v>
      </c>
      <c r="I46" s="17">
        <f>IFERROR(__xludf.DUMMYFUNCTION("""COMPUTED_VALUE"""),1254.0)</f>
        <v>1254</v>
      </c>
      <c r="J46" s="17">
        <f>IFERROR(__xludf.DUMMYFUNCTION("""COMPUTED_VALUE"""),681.0)</f>
        <v>681</v>
      </c>
      <c r="K46" s="18">
        <f>IFERROR(__xludf.DUMMYFUNCTION("""COMPUTED_VALUE"""),722.0)</f>
        <v>722</v>
      </c>
      <c r="L46" s="18">
        <f>IFERROR(__xludf.DUMMYFUNCTION("""COMPUTED_VALUE"""),0.0)</f>
        <v>0</v>
      </c>
      <c r="M46" s="18">
        <f>IFERROR(__xludf.DUMMYFUNCTION("""COMPUTED_VALUE"""),1274.0)</f>
        <v>1274</v>
      </c>
      <c r="N46" s="18">
        <f>IFERROR(__xludf.DUMMYFUNCTION("""COMPUTED_VALUE"""),701.0)</f>
        <v>701</v>
      </c>
      <c r="O46" s="18">
        <f>IFERROR(__xludf.DUMMYFUNCTION("""COMPUTED_VALUE"""),742.0)</f>
        <v>742</v>
      </c>
      <c r="P46" s="177">
        <f>IFERROR(__xludf.DUMMYFUNCTION("""COMPUTED_VALUE"""),1.0)</f>
        <v>1</v>
      </c>
      <c r="Q46" s="177">
        <f>IFERROR(__xludf.DUMMYFUNCTION("""COMPUTED_VALUE"""),1.0)</f>
        <v>1</v>
      </c>
      <c r="R46" s="178">
        <f>IFERROR(__xludf.DUMMYFUNCTION("""COMPUTED_VALUE"""),1.0)</f>
        <v>1</v>
      </c>
      <c r="S46" s="179">
        <f>IFERROR(__xludf.DUMMYFUNCTION("""COMPUTED_VALUE"""),1274.0)</f>
        <v>1274</v>
      </c>
      <c r="T46" s="179">
        <f>IFERROR(__xludf.DUMMYFUNCTION("""COMPUTED_VALUE"""),701.0)</f>
        <v>701</v>
      </c>
      <c r="U46" s="180">
        <f>IFERROR(__xludf.DUMMYFUNCTION("""COMPUTED_VALUE"""),742.0)</f>
        <v>742</v>
      </c>
      <c r="V46" s="207"/>
      <c r="W46" s="12"/>
      <c r="X46" s="12"/>
    </row>
    <row r="47">
      <c r="A47" s="175" t="str">
        <f t="shared" si="1"/>
        <v>2026-W23</v>
      </c>
      <c r="B47" s="175" t="str">
        <f>IFERROR(__xludf.DUMMYFUNCTION("""COMPUTED_VALUE"""),"FE1404B")</f>
        <v>FE1404B</v>
      </c>
      <c r="C47" s="176" t="str">
        <f>IFERROR(__xludf.DUMMYFUNCTION("""COMPUTED_VALUE"""),"Flexible")</f>
        <v>Flexible</v>
      </c>
      <c r="D47" s="175" t="str">
        <f>IFERROR(__xludf.DUMMYFUNCTION("""COMPUTED_VALUE"""),"Bulgogi Pulled Beef Bowl")</f>
        <v>Bulgogi Pulled Beef Bowl</v>
      </c>
      <c r="E47" s="175" t="str">
        <f>IFERROR(__xludf.DUMMYFUNCTION("""COMPUTED_VALUE"""),"W23")</f>
        <v>W23</v>
      </c>
      <c r="F47" s="12">
        <f>IFERROR(__xludf.DUMMYFUNCTION("""COMPUTED_VALUE"""),416.0)</f>
        <v>416</v>
      </c>
      <c r="G47" s="12">
        <f>IFERROR(__xludf.DUMMYFUNCTION("""COMPUTED_VALUE"""),616.0)</f>
        <v>616</v>
      </c>
      <c r="H47" s="175">
        <f>IFERROR(__xludf.DUMMYFUNCTION("""COMPUTED_VALUE"""),316.0)</f>
        <v>316</v>
      </c>
      <c r="I47" s="17">
        <f>IFERROR(__xludf.DUMMYFUNCTION("""COMPUTED_VALUE"""),971.0)</f>
        <v>971</v>
      </c>
      <c r="J47" s="17">
        <f>IFERROR(__xludf.DUMMYFUNCTION("""COMPUTED_VALUE"""),497.0)</f>
        <v>497</v>
      </c>
      <c r="K47" s="18">
        <f>IFERROR(__xludf.DUMMYFUNCTION("""COMPUTED_VALUE"""),514.0)</f>
        <v>514</v>
      </c>
      <c r="L47" s="18">
        <f>IFERROR(__xludf.DUMMYFUNCTION("""COMPUTED_VALUE"""),0.0)</f>
        <v>0</v>
      </c>
      <c r="M47" s="18">
        <f>IFERROR(__xludf.DUMMYFUNCTION("""COMPUTED_VALUE"""),991.0)</f>
        <v>991</v>
      </c>
      <c r="N47" s="18">
        <f>IFERROR(__xludf.DUMMYFUNCTION("""COMPUTED_VALUE"""),517.0)</f>
        <v>517</v>
      </c>
      <c r="O47" s="18">
        <f>IFERROR(__xludf.DUMMYFUNCTION("""COMPUTED_VALUE"""),534.0)</f>
        <v>534</v>
      </c>
      <c r="P47" s="177">
        <f>IFERROR(__xludf.DUMMYFUNCTION("""COMPUTED_VALUE"""),1.0)</f>
        <v>1</v>
      </c>
      <c r="Q47" s="177">
        <f>IFERROR(__xludf.DUMMYFUNCTION("""COMPUTED_VALUE"""),1.0)</f>
        <v>1</v>
      </c>
      <c r="R47" s="178">
        <f>IFERROR(__xludf.DUMMYFUNCTION("""COMPUTED_VALUE"""),1.0)</f>
        <v>1</v>
      </c>
      <c r="S47" s="12">
        <f>IFERROR(__xludf.DUMMYFUNCTION("""COMPUTED_VALUE"""),991.0)</f>
        <v>991</v>
      </c>
      <c r="T47" s="179">
        <f>IFERROR(__xludf.DUMMYFUNCTION("""COMPUTED_VALUE"""),517.0)</f>
        <v>517</v>
      </c>
      <c r="U47" s="180">
        <f>IFERROR(__xludf.DUMMYFUNCTION("""COMPUTED_VALUE"""),534.0)</f>
        <v>534</v>
      </c>
      <c r="V47" s="207"/>
      <c r="W47" s="12"/>
      <c r="X47" s="12"/>
    </row>
    <row r="48">
      <c r="A48" s="175" t="str">
        <f t="shared" si="1"/>
        <v>2026-W23</v>
      </c>
      <c r="B48" s="175" t="str">
        <f>IFERROR(__xludf.DUMMYFUNCTION("""COMPUTED_VALUE"""),"FV4053A")</f>
        <v>FV4053A</v>
      </c>
      <c r="C48" s="176" t="str">
        <f>IFERROR(__xludf.DUMMYFUNCTION("""COMPUTED_VALUE"""),"P+")</f>
        <v>P+</v>
      </c>
      <c r="D48" s="175" t="str">
        <f>IFERROR(__xludf.DUMMYFUNCTION("""COMPUTED_VALUE"""),"Gochugaru Chicken")</f>
        <v>Gochugaru Chicken</v>
      </c>
      <c r="E48" s="175" t="str">
        <f>IFERROR(__xludf.DUMMYFUNCTION("""COMPUTED_VALUE"""),"W23")</f>
        <v>W23</v>
      </c>
      <c r="F48" s="12">
        <f>IFERROR(__xludf.DUMMYFUNCTION("""COMPUTED_VALUE"""),417.0)</f>
        <v>417</v>
      </c>
      <c r="G48" s="12">
        <f>IFERROR(__xludf.DUMMYFUNCTION("""COMPUTED_VALUE"""),617.0)</f>
        <v>617</v>
      </c>
      <c r="H48" s="175">
        <f>IFERROR(__xludf.DUMMYFUNCTION("""COMPUTED_VALUE"""),317.0)</f>
        <v>317</v>
      </c>
      <c r="I48" s="17">
        <f>IFERROR(__xludf.DUMMYFUNCTION("""COMPUTED_VALUE"""),1939.0)</f>
        <v>1939</v>
      </c>
      <c r="J48" s="17">
        <f>IFERROR(__xludf.DUMMYFUNCTION("""COMPUTED_VALUE"""),1040.0)</f>
        <v>1040</v>
      </c>
      <c r="K48" s="18">
        <f>IFERROR(__xludf.DUMMYFUNCTION("""COMPUTED_VALUE"""),919.0)</f>
        <v>919</v>
      </c>
      <c r="L48" s="18">
        <f>IFERROR(__xludf.DUMMYFUNCTION("""COMPUTED_VALUE"""),0.0)</f>
        <v>0</v>
      </c>
      <c r="M48" s="18">
        <f>IFERROR(__xludf.DUMMYFUNCTION("""COMPUTED_VALUE"""),1959.0)</f>
        <v>1959</v>
      </c>
      <c r="N48" s="18">
        <f>IFERROR(__xludf.DUMMYFUNCTION("""COMPUTED_VALUE"""),1060.0)</f>
        <v>1060</v>
      </c>
      <c r="O48" s="18">
        <f>IFERROR(__xludf.DUMMYFUNCTION("""COMPUTED_VALUE"""),939.0)</f>
        <v>939</v>
      </c>
      <c r="P48" s="177">
        <f>IFERROR(__xludf.DUMMYFUNCTION("""COMPUTED_VALUE"""),1.0)</f>
        <v>1</v>
      </c>
      <c r="Q48" s="177">
        <f>IFERROR(__xludf.DUMMYFUNCTION("""COMPUTED_VALUE"""),1.0)</f>
        <v>1</v>
      </c>
      <c r="R48" s="178">
        <f>IFERROR(__xludf.DUMMYFUNCTION("""COMPUTED_VALUE"""),1.0)</f>
        <v>1</v>
      </c>
      <c r="S48" s="12">
        <f>IFERROR(__xludf.DUMMYFUNCTION("""COMPUTED_VALUE"""),1959.0)</f>
        <v>1959</v>
      </c>
      <c r="T48" s="179">
        <f>IFERROR(__xludf.DUMMYFUNCTION("""COMPUTED_VALUE"""),1060.0)</f>
        <v>1060</v>
      </c>
      <c r="U48" s="180">
        <f>IFERROR(__xludf.DUMMYFUNCTION("""COMPUTED_VALUE"""),939.0)</f>
        <v>939</v>
      </c>
      <c r="V48" s="207"/>
      <c r="W48" s="12"/>
      <c r="X48" s="12"/>
    </row>
    <row r="49">
      <c r="A49" s="175" t="str">
        <f t="shared" si="1"/>
        <v>2026-W23</v>
      </c>
      <c r="B49" s="175" t="str">
        <f>IFERROR(__xludf.DUMMYFUNCTION("""COMPUTED_VALUE"""),"FE4042A")</f>
        <v>FE4042A</v>
      </c>
      <c r="C49" s="176" t="str">
        <f>IFERROR(__xludf.DUMMYFUNCTION("""COMPUTED_VALUE"""),"CS")</f>
        <v>CS</v>
      </c>
      <c r="D49" s="175" t="str">
        <f>IFERROR(__xludf.DUMMYFUNCTION("""COMPUTED_VALUE"""),"Pork tenderloin and Mediterranean mash")</f>
        <v>Pork tenderloin and Mediterranean mash</v>
      </c>
      <c r="E49" s="175" t="str">
        <f>IFERROR(__xludf.DUMMYFUNCTION("""COMPUTED_VALUE"""),"W23")</f>
        <v>W23</v>
      </c>
      <c r="F49" s="12">
        <f>IFERROR(__xludf.DUMMYFUNCTION("""COMPUTED_VALUE"""),418.0)</f>
        <v>418</v>
      </c>
      <c r="G49" s="12">
        <f>IFERROR(__xludf.DUMMYFUNCTION("""COMPUTED_VALUE"""),618.0)</f>
        <v>618</v>
      </c>
      <c r="H49" s="175">
        <f>IFERROR(__xludf.DUMMYFUNCTION("""COMPUTED_VALUE"""),318.0)</f>
        <v>318</v>
      </c>
      <c r="I49" s="17">
        <f>IFERROR(__xludf.DUMMYFUNCTION("""COMPUTED_VALUE"""),976.0)</f>
        <v>976</v>
      </c>
      <c r="J49" s="17">
        <f>IFERROR(__xludf.DUMMYFUNCTION("""COMPUTED_VALUE"""),663.0)</f>
        <v>663</v>
      </c>
      <c r="K49" s="18">
        <f>IFERROR(__xludf.DUMMYFUNCTION("""COMPUTED_VALUE"""),451.0)</f>
        <v>451</v>
      </c>
      <c r="L49" s="18">
        <f>IFERROR(__xludf.DUMMYFUNCTION("""COMPUTED_VALUE"""),0.0)</f>
        <v>0</v>
      </c>
      <c r="M49" s="18">
        <f>IFERROR(__xludf.DUMMYFUNCTION("""COMPUTED_VALUE"""),996.0)</f>
        <v>996</v>
      </c>
      <c r="N49" s="18">
        <f>IFERROR(__xludf.DUMMYFUNCTION("""COMPUTED_VALUE"""),683.0)</f>
        <v>683</v>
      </c>
      <c r="O49" s="18">
        <f>IFERROR(__xludf.DUMMYFUNCTION("""COMPUTED_VALUE"""),471.0)</f>
        <v>471</v>
      </c>
      <c r="P49" s="177">
        <f>IFERROR(__xludf.DUMMYFUNCTION("""COMPUTED_VALUE"""),1.0)</f>
        <v>1</v>
      </c>
      <c r="Q49" s="177">
        <f>IFERROR(__xludf.DUMMYFUNCTION("""COMPUTED_VALUE"""),1.0)</f>
        <v>1</v>
      </c>
      <c r="R49" s="178">
        <f>IFERROR(__xludf.DUMMYFUNCTION("""COMPUTED_VALUE"""),1.0)</f>
        <v>1</v>
      </c>
      <c r="S49" s="12">
        <f>IFERROR(__xludf.DUMMYFUNCTION("""COMPUTED_VALUE"""),996.0)</f>
        <v>996</v>
      </c>
      <c r="T49" s="179">
        <f>IFERROR(__xludf.DUMMYFUNCTION("""COMPUTED_VALUE"""),683.0)</f>
        <v>683</v>
      </c>
      <c r="U49" s="180">
        <f>IFERROR(__xludf.DUMMYFUNCTION("""COMPUTED_VALUE"""),471.0)</f>
        <v>471</v>
      </c>
      <c r="V49" s="207"/>
      <c r="W49" s="12"/>
      <c r="X49" s="12"/>
    </row>
    <row r="50">
      <c r="A50" s="175" t="str">
        <f t="shared" si="1"/>
        <v>2026-W23</v>
      </c>
      <c r="B50" s="175" t="str">
        <f>IFERROR(__xludf.DUMMYFUNCTION("""COMPUTED_VALUE"""),"FV0601A")</f>
        <v>FV0601A</v>
      </c>
      <c r="C50" s="176" t="str">
        <f>IFERROR(__xludf.DUMMYFUNCTION("""COMPUTED_VALUE"""),"Perf")</f>
        <v>Perf</v>
      </c>
      <c r="D50" s="175" t="str">
        <f>IFERROR(__xludf.DUMMYFUNCTION("""COMPUTED_VALUE"""),"Mozzarella Burger &amp; Roasted Potatoes")</f>
        <v>Mozzarella Burger &amp; Roasted Potatoes</v>
      </c>
      <c r="E50" s="175" t="str">
        <f>IFERROR(__xludf.DUMMYFUNCTION("""COMPUTED_VALUE"""),"W23")</f>
        <v>W23</v>
      </c>
      <c r="F50" s="12">
        <f>IFERROR(__xludf.DUMMYFUNCTION("""COMPUTED_VALUE"""),421.0)</f>
        <v>421</v>
      </c>
      <c r="G50" s="12">
        <f>IFERROR(__xludf.DUMMYFUNCTION("""COMPUTED_VALUE"""),621.0)</f>
        <v>621</v>
      </c>
      <c r="H50" s="175">
        <f>IFERROR(__xludf.DUMMYFUNCTION("""COMPUTED_VALUE"""),321.0)</f>
        <v>321</v>
      </c>
      <c r="I50" s="17">
        <f>IFERROR(__xludf.DUMMYFUNCTION("""COMPUTED_VALUE"""),1472.0)</f>
        <v>1472</v>
      </c>
      <c r="J50" s="17">
        <f>IFERROR(__xludf.DUMMYFUNCTION("""COMPUTED_VALUE"""),839.0)</f>
        <v>839</v>
      </c>
      <c r="K50" s="18">
        <f>IFERROR(__xludf.DUMMYFUNCTION("""COMPUTED_VALUE"""),702.0)</f>
        <v>702</v>
      </c>
      <c r="L50" s="18">
        <f>IFERROR(__xludf.DUMMYFUNCTION("""COMPUTED_VALUE"""),0.0)</f>
        <v>0</v>
      </c>
      <c r="M50" s="18">
        <f>IFERROR(__xludf.DUMMYFUNCTION("""COMPUTED_VALUE"""),1492.0)</f>
        <v>1492</v>
      </c>
      <c r="N50" s="18">
        <f>IFERROR(__xludf.DUMMYFUNCTION("""COMPUTED_VALUE"""),859.0)</f>
        <v>859</v>
      </c>
      <c r="O50" s="18">
        <f>IFERROR(__xludf.DUMMYFUNCTION("""COMPUTED_VALUE"""),722.0)</f>
        <v>722</v>
      </c>
      <c r="P50" s="177">
        <f>IFERROR(__xludf.DUMMYFUNCTION("""COMPUTED_VALUE"""),1.0)</f>
        <v>1</v>
      </c>
      <c r="Q50" s="177">
        <f>IFERROR(__xludf.DUMMYFUNCTION("""COMPUTED_VALUE"""),1.0)</f>
        <v>1</v>
      </c>
      <c r="R50" s="178">
        <f>IFERROR(__xludf.DUMMYFUNCTION("""COMPUTED_VALUE"""),1.0)</f>
        <v>1</v>
      </c>
      <c r="S50" s="12">
        <f>IFERROR(__xludf.DUMMYFUNCTION("""COMPUTED_VALUE"""),1492.0)</f>
        <v>1492</v>
      </c>
      <c r="T50" s="179">
        <f>IFERROR(__xludf.DUMMYFUNCTION("""COMPUTED_VALUE"""),859.0)</f>
        <v>859</v>
      </c>
      <c r="U50" s="180">
        <f>IFERROR(__xludf.DUMMYFUNCTION("""COMPUTED_VALUE"""),722.0)</f>
        <v>722</v>
      </c>
      <c r="V50" s="207"/>
      <c r="W50" s="12"/>
      <c r="X50" s="12"/>
    </row>
    <row r="51">
      <c r="A51" s="175" t="str">
        <f t="shared" si="1"/>
        <v/>
      </c>
      <c r="B51" s="175"/>
      <c r="C51" s="176"/>
      <c r="D51" s="175"/>
      <c r="E51" s="175"/>
      <c r="F51" s="12"/>
      <c r="G51" s="12"/>
      <c r="H51" s="175"/>
      <c r="I51" s="12"/>
      <c r="J51" s="12"/>
      <c r="K51" s="175"/>
      <c r="L51" s="175"/>
      <c r="M51" s="175"/>
      <c r="N51" s="175"/>
      <c r="O51" s="18"/>
      <c r="P51" s="12"/>
      <c r="Q51" s="12"/>
      <c r="R51" s="175"/>
      <c r="S51" s="12"/>
      <c r="T51" s="12"/>
      <c r="U51" s="175"/>
      <c r="V51" s="207"/>
      <c r="W51" s="12"/>
      <c r="X51" s="12"/>
    </row>
    <row r="52">
      <c r="A52" s="175" t="str">
        <f t="shared" si="1"/>
        <v/>
      </c>
      <c r="B52" s="175"/>
      <c r="C52" s="176"/>
      <c r="D52" s="175"/>
      <c r="E52" s="175"/>
      <c r="F52" s="12"/>
      <c r="G52" s="12"/>
      <c r="H52" s="175"/>
      <c r="I52" s="12"/>
      <c r="J52" s="12"/>
      <c r="K52" s="175"/>
      <c r="L52" s="175"/>
      <c r="M52" s="175"/>
      <c r="N52" s="175"/>
      <c r="O52" s="18"/>
      <c r="P52" s="12"/>
      <c r="Q52" s="12"/>
      <c r="R52" s="175"/>
      <c r="S52" s="12"/>
      <c r="T52" s="12"/>
      <c r="U52" s="175"/>
      <c r="V52" s="207"/>
      <c r="W52" s="12"/>
      <c r="X52" s="12"/>
    </row>
    <row r="53">
      <c r="A53" s="175" t="str">
        <f t="shared" si="1"/>
        <v/>
      </c>
      <c r="B53" s="175"/>
      <c r="C53" s="176"/>
      <c r="D53" s="175"/>
      <c r="E53" s="175"/>
      <c r="F53" s="12"/>
      <c r="G53" s="12"/>
      <c r="H53" s="175"/>
      <c r="I53" s="12"/>
      <c r="J53" s="12"/>
      <c r="K53" s="175"/>
      <c r="L53" s="175"/>
      <c r="M53" s="175"/>
      <c r="N53" s="175"/>
      <c r="O53" s="18"/>
      <c r="P53" s="12"/>
      <c r="Q53" s="12"/>
      <c r="R53" s="175"/>
      <c r="S53" s="12"/>
      <c r="T53" s="12"/>
      <c r="U53" s="175"/>
      <c r="V53" s="207"/>
      <c r="W53" s="12"/>
      <c r="X53" s="12"/>
    </row>
    <row r="54">
      <c r="A54" s="175" t="str">
        <f t="shared" si="1"/>
        <v/>
      </c>
      <c r="B54" s="175"/>
      <c r="C54" s="176"/>
      <c r="D54" s="175"/>
      <c r="E54" s="175"/>
      <c r="F54" s="12"/>
      <c r="G54" s="12"/>
      <c r="H54" s="175"/>
      <c r="I54" s="12"/>
      <c r="J54" s="12"/>
      <c r="K54" s="175"/>
      <c r="L54" s="175"/>
      <c r="M54" s="175"/>
      <c r="N54" s="175"/>
      <c r="O54" s="18"/>
      <c r="P54" s="12"/>
      <c r="Q54" s="12"/>
      <c r="R54" s="175"/>
      <c r="S54" s="12"/>
      <c r="T54" s="175"/>
      <c r="U54" s="175"/>
      <c r="V54" s="207"/>
      <c r="W54" s="12"/>
      <c r="X54" s="12"/>
    </row>
    <row r="55">
      <c r="A55" s="175" t="str">
        <f t="shared" si="1"/>
        <v/>
      </c>
      <c r="B55" s="175"/>
      <c r="C55" s="176"/>
      <c r="D55" s="175"/>
      <c r="E55" s="175"/>
      <c r="F55" s="12"/>
      <c r="G55" s="12"/>
      <c r="H55" s="175"/>
      <c r="I55" s="12"/>
      <c r="J55" s="12"/>
      <c r="K55" s="175"/>
      <c r="L55" s="175"/>
      <c r="M55" s="175"/>
      <c r="N55" s="175"/>
      <c r="O55" s="18"/>
      <c r="P55" s="12"/>
      <c r="Q55" s="12"/>
      <c r="R55" s="175"/>
      <c r="S55" s="12"/>
      <c r="T55" s="175"/>
      <c r="U55" s="175"/>
      <c r="V55" s="207"/>
      <c r="W55" s="12"/>
      <c r="X55" s="12"/>
    </row>
    <row r="56">
      <c r="A56" s="175" t="str">
        <f t="shared" si="1"/>
        <v/>
      </c>
      <c r="B56" s="175"/>
      <c r="C56" s="176"/>
      <c r="D56" s="175"/>
      <c r="E56" s="175"/>
      <c r="F56" s="12"/>
      <c r="G56" s="12"/>
      <c r="H56" s="175"/>
      <c r="I56" s="12"/>
      <c r="J56" s="12"/>
      <c r="K56" s="175"/>
      <c r="L56" s="175"/>
      <c r="M56" s="175"/>
      <c r="N56" s="175"/>
      <c r="O56" s="18"/>
      <c r="P56" s="12"/>
      <c r="Q56" s="12"/>
      <c r="R56" s="175"/>
      <c r="S56" s="12"/>
      <c r="T56" s="175"/>
      <c r="U56" s="175"/>
      <c r="V56" s="207"/>
      <c r="W56" s="12"/>
      <c r="X56" s="12"/>
    </row>
    <row r="57">
      <c r="A57" s="175" t="str">
        <f t="shared" si="1"/>
        <v/>
      </c>
      <c r="B57" s="175"/>
      <c r="C57" s="176"/>
      <c r="D57" s="175"/>
      <c r="E57" s="175"/>
      <c r="F57" s="12"/>
      <c r="G57" s="12"/>
      <c r="H57" s="175"/>
      <c r="I57" s="12"/>
      <c r="J57" s="12"/>
      <c r="K57" s="175"/>
      <c r="L57" s="175"/>
      <c r="M57" s="175"/>
      <c r="N57" s="175"/>
      <c r="O57" s="18"/>
      <c r="P57" s="12"/>
      <c r="Q57" s="12"/>
      <c r="R57" s="175"/>
      <c r="S57" s="12"/>
      <c r="T57" s="175"/>
      <c r="U57" s="175"/>
      <c r="V57" s="207"/>
      <c r="W57" s="12"/>
      <c r="X57" s="12"/>
    </row>
    <row r="58">
      <c r="A58" s="175" t="str">
        <f t="shared" si="1"/>
        <v/>
      </c>
      <c r="B58" s="175"/>
      <c r="C58" s="176"/>
      <c r="D58" s="175"/>
      <c r="E58" s="175"/>
      <c r="F58" s="12"/>
      <c r="G58" s="12"/>
      <c r="H58" s="175"/>
      <c r="I58" s="12"/>
      <c r="J58" s="12"/>
      <c r="K58" s="175"/>
      <c r="L58" s="175"/>
      <c r="M58" s="175"/>
      <c r="N58" s="175"/>
      <c r="O58" s="18"/>
      <c r="P58" s="12"/>
      <c r="Q58" s="12"/>
      <c r="R58" s="175"/>
      <c r="S58" s="12"/>
      <c r="T58" s="175"/>
      <c r="U58" s="175"/>
      <c r="V58" s="207"/>
      <c r="W58" s="12"/>
      <c r="X58" s="12"/>
    </row>
    <row r="59">
      <c r="A59" s="175" t="str">
        <f t="shared" si="1"/>
        <v/>
      </c>
      <c r="B59" s="175"/>
      <c r="C59" s="176"/>
      <c r="D59" s="175"/>
      <c r="E59" s="175"/>
      <c r="F59" s="12"/>
      <c r="G59" s="12"/>
      <c r="H59" s="175"/>
      <c r="I59" s="12"/>
      <c r="J59" s="12"/>
      <c r="K59" s="175"/>
      <c r="L59" s="175"/>
      <c r="M59" s="175"/>
      <c r="N59" s="175"/>
      <c r="O59" s="18"/>
      <c r="P59" s="12"/>
      <c r="Q59" s="12"/>
      <c r="R59" s="175"/>
      <c r="S59" s="12"/>
      <c r="T59" s="175"/>
      <c r="U59" s="175"/>
      <c r="V59" s="208"/>
      <c r="W59" s="12"/>
      <c r="X59" s="12"/>
    </row>
    <row r="60">
      <c r="A60" s="175" t="str">
        <f t="shared" si="1"/>
        <v/>
      </c>
      <c r="B60" s="175"/>
      <c r="C60" s="176"/>
      <c r="D60" s="175"/>
      <c r="E60" s="175"/>
      <c r="F60" s="12"/>
      <c r="G60" s="12"/>
      <c r="H60" s="175"/>
      <c r="I60" s="12"/>
      <c r="J60" s="12"/>
      <c r="K60" s="175"/>
      <c r="L60" s="175"/>
      <c r="M60" s="175"/>
      <c r="N60" s="175"/>
      <c r="O60" s="18"/>
      <c r="P60" s="12"/>
      <c r="Q60" s="12"/>
      <c r="R60" s="175"/>
      <c r="S60" s="12"/>
      <c r="T60" s="175"/>
      <c r="U60" s="175"/>
      <c r="V60" s="208"/>
      <c r="W60" s="12"/>
      <c r="X60" s="12"/>
    </row>
    <row r="61">
      <c r="A61" s="175" t="str">
        <f t="shared" si="1"/>
        <v/>
      </c>
      <c r="B61" s="175"/>
      <c r="C61" s="176"/>
      <c r="D61" s="175"/>
      <c r="E61" s="175"/>
      <c r="F61" s="12"/>
      <c r="G61" s="12"/>
      <c r="H61" s="175"/>
      <c r="I61" s="12"/>
      <c r="J61" s="12"/>
      <c r="K61" s="175"/>
      <c r="L61" s="175"/>
      <c r="M61" s="175"/>
      <c r="N61" s="175"/>
      <c r="O61" s="18"/>
      <c r="P61" s="12"/>
      <c r="Q61" s="12"/>
      <c r="R61" s="175"/>
      <c r="S61" s="12"/>
      <c r="T61" s="175"/>
      <c r="U61" s="175"/>
      <c r="V61" s="208"/>
      <c r="W61" s="12"/>
      <c r="X61" s="12"/>
    </row>
    <row r="62">
      <c r="A62" s="175" t="str">
        <f t="shared" si="1"/>
        <v/>
      </c>
      <c r="B62" s="175"/>
      <c r="C62" s="176"/>
      <c r="D62" s="175"/>
      <c r="E62" s="175"/>
      <c r="F62" s="12"/>
      <c r="G62" s="12"/>
      <c r="H62" s="175"/>
      <c r="I62" s="12"/>
      <c r="J62" s="12"/>
      <c r="K62" s="175"/>
      <c r="L62" s="175"/>
      <c r="M62" s="175"/>
      <c r="N62" s="175"/>
      <c r="O62" s="18"/>
      <c r="P62" s="12"/>
      <c r="Q62" s="12"/>
      <c r="R62" s="175"/>
      <c r="S62" s="12"/>
      <c r="T62" s="175"/>
      <c r="U62" s="175"/>
      <c r="V62" s="208"/>
      <c r="W62" s="12"/>
      <c r="X62" s="12"/>
    </row>
    <row r="63">
      <c r="A63" s="175" t="str">
        <f t="shared" si="1"/>
        <v/>
      </c>
      <c r="B63" s="175"/>
      <c r="C63" s="176"/>
      <c r="D63" s="175"/>
      <c r="E63" s="175"/>
      <c r="F63" s="12"/>
      <c r="G63" s="12"/>
      <c r="H63" s="175"/>
      <c r="I63" s="12"/>
      <c r="J63" s="12"/>
      <c r="K63" s="175"/>
      <c r="L63" s="175"/>
      <c r="M63" s="175"/>
      <c r="N63" s="175"/>
      <c r="O63" s="18"/>
      <c r="P63" s="12"/>
      <c r="Q63" s="12"/>
      <c r="R63" s="175"/>
      <c r="S63" s="12"/>
      <c r="T63" s="175"/>
      <c r="U63" s="175"/>
      <c r="V63" s="208"/>
      <c r="W63" s="12"/>
      <c r="X63" s="12"/>
    </row>
    <row r="64">
      <c r="A64" s="175" t="str">
        <f t="shared" si="1"/>
        <v/>
      </c>
      <c r="B64" s="175"/>
      <c r="C64" s="176"/>
      <c r="D64" s="175"/>
      <c r="E64" s="175"/>
      <c r="F64" s="12"/>
      <c r="G64" s="12"/>
      <c r="H64" s="175"/>
      <c r="I64" s="12"/>
      <c r="J64" s="12"/>
      <c r="K64" s="175"/>
      <c r="L64" s="175"/>
      <c r="M64" s="175"/>
      <c r="N64" s="175"/>
      <c r="O64" s="18"/>
      <c r="P64" s="12"/>
      <c r="Q64" s="12"/>
      <c r="R64" s="175"/>
      <c r="S64" s="12"/>
      <c r="T64" s="175"/>
      <c r="U64" s="175"/>
      <c r="V64" s="208"/>
      <c r="W64" s="12"/>
      <c r="X64" s="12"/>
    </row>
    <row r="65">
      <c r="A65" s="175" t="str">
        <f t="shared" si="1"/>
        <v/>
      </c>
      <c r="B65" s="175"/>
      <c r="C65" s="176"/>
      <c r="D65" s="175"/>
      <c r="E65" s="175"/>
      <c r="F65" s="12"/>
      <c r="G65" s="12"/>
      <c r="H65" s="175"/>
      <c r="I65" s="12"/>
      <c r="J65" s="12"/>
      <c r="K65" s="175"/>
      <c r="L65" s="175"/>
      <c r="M65" s="175"/>
      <c r="N65" s="175"/>
      <c r="O65" s="18"/>
      <c r="P65" s="12"/>
      <c r="Q65" s="12"/>
      <c r="R65" s="175"/>
      <c r="S65" s="12"/>
      <c r="T65" s="175"/>
      <c r="U65" s="175"/>
      <c r="V65" s="208"/>
      <c r="W65" s="12"/>
      <c r="X65" s="12"/>
    </row>
    <row r="66">
      <c r="A66" s="175" t="str">
        <f t="shared" si="1"/>
        <v/>
      </c>
      <c r="B66" s="175"/>
      <c r="C66" s="176"/>
      <c r="D66" s="175"/>
      <c r="E66" s="175"/>
      <c r="F66" s="12"/>
      <c r="G66" s="12"/>
      <c r="H66" s="175"/>
      <c r="I66" s="12"/>
      <c r="J66" s="12"/>
      <c r="K66" s="175"/>
      <c r="L66" s="175"/>
      <c r="M66" s="175"/>
      <c r="N66" s="175"/>
      <c r="O66" s="18"/>
      <c r="P66" s="12"/>
      <c r="Q66" s="12"/>
      <c r="R66" s="175"/>
      <c r="S66" s="12"/>
      <c r="T66" s="175"/>
      <c r="U66" s="175"/>
      <c r="V66" s="208"/>
      <c r="W66" s="12"/>
      <c r="X66" s="12"/>
    </row>
    <row r="67">
      <c r="A67" s="175" t="str">
        <f t="shared" si="1"/>
        <v/>
      </c>
      <c r="B67" s="175"/>
      <c r="C67" s="176"/>
      <c r="D67" s="175"/>
      <c r="E67" s="175"/>
      <c r="F67" s="12"/>
      <c r="G67" s="12"/>
      <c r="H67" s="175"/>
      <c r="I67" s="12"/>
      <c r="J67" s="12"/>
      <c r="K67" s="175"/>
      <c r="L67" s="175"/>
      <c r="M67" s="175"/>
      <c r="N67" s="175"/>
      <c r="O67" s="18"/>
      <c r="P67" s="12"/>
      <c r="Q67" s="12"/>
      <c r="R67" s="175"/>
      <c r="S67" s="12"/>
      <c r="T67" s="175"/>
      <c r="U67" s="175"/>
      <c r="V67" s="208"/>
      <c r="W67" s="12"/>
      <c r="X67" s="12"/>
    </row>
    <row r="68">
      <c r="A68" s="175" t="str">
        <f t="shared" si="1"/>
        <v/>
      </c>
      <c r="B68" s="175"/>
      <c r="C68" s="176"/>
      <c r="D68" s="175"/>
      <c r="E68" s="175"/>
      <c r="F68" s="12"/>
      <c r="G68" s="12"/>
      <c r="H68" s="175"/>
      <c r="I68" s="12"/>
      <c r="J68" s="12"/>
      <c r="K68" s="175"/>
      <c r="L68" s="175"/>
      <c r="M68" s="175"/>
      <c r="N68" s="175"/>
      <c r="O68" s="18"/>
      <c r="P68" s="12"/>
      <c r="Q68" s="12"/>
      <c r="R68" s="12"/>
      <c r="S68" s="12"/>
      <c r="T68" s="175"/>
      <c r="U68" s="175"/>
      <c r="V68" s="208"/>
      <c r="W68" s="12"/>
      <c r="X68" s="12"/>
    </row>
    <row r="69">
      <c r="A69" s="175" t="str">
        <f t="shared" si="1"/>
        <v/>
      </c>
      <c r="B69" s="175"/>
      <c r="C69" s="176"/>
      <c r="D69" s="175"/>
      <c r="E69" s="175"/>
      <c r="F69" s="12"/>
      <c r="G69" s="12"/>
      <c r="H69" s="175"/>
      <c r="I69" s="12"/>
      <c r="J69" s="12"/>
      <c r="K69" s="175"/>
      <c r="L69" s="175"/>
      <c r="M69" s="175"/>
      <c r="N69" s="175"/>
      <c r="O69" s="18"/>
      <c r="P69" s="12"/>
      <c r="Q69" s="12"/>
      <c r="R69" s="12"/>
      <c r="S69" s="12"/>
      <c r="T69" s="175"/>
      <c r="U69" s="175"/>
      <c r="V69" s="208"/>
      <c r="W69" s="12"/>
      <c r="X69" s="12"/>
    </row>
    <row r="70">
      <c r="A70" s="175" t="str">
        <f t="shared" si="1"/>
        <v/>
      </c>
      <c r="B70" s="175"/>
      <c r="C70" s="176"/>
      <c r="D70" s="175"/>
      <c r="E70" s="175"/>
      <c r="F70" s="12"/>
      <c r="G70" s="12"/>
      <c r="H70" s="175"/>
      <c r="I70" s="12"/>
      <c r="J70" s="12"/>
      <c r="K70" s="175"/>
      <c r="L70" s="175"/>
      <c r="M70" s="175"/>
      <c r="N70" s="175"/>
      <c r="O70" s="18"/>
      <c r="P70" s="12"/>
      <c r="Q70" s="12"/>
      <c r="R70" s="12"/>
      <c r="S70" s="12"/>
      <c r="T70" s="175"/>
      <c r="U70" s="175"/>
      <c r="V70" s="208"/>
      <c r="W70" s="12"/>
      <c r="X70" s="12"/>
    </row>
    <row r="71">
      <c r="A71" s="175" t="str">
        <f t="shared" si="1"/>
        <v/>
      </c>
      <c r="B71" s="175"/>
      <c r="C71" s="176"/>
      <c r="D71" s="175"/>
      <c r="E71" s="175"/>
      <c r="F71" s="12"/>
      <c r="G71" s="12"/>
      <c r="H71" s="175"/>
      <c r="I71" s="12"/>
      <c r="J71" s="12"/>
      <c r="K71" s="175"/>
      <c r="L71" s="175"/>
      <c r="M71" s="175"/>
      <c r="N71" s="175"/>
      <c r="O71" s="18"/>
      <c r="P71" s="12"/>
      <c r="Q71" s="12"/>
      <c r="R71" s="12"/>
      <c r="S71" s="12"/>
      <c r="T71" s="175"/>
      <c r="U71" s="175"/>
      <c r="V71" s="208"/>
      <c r="W71" s="12"/>
      <c r="X71" s="12"/>
    </row>
    <row r="72">
      <c r="A72" s="175" t="str">
        <f t="shared" si="1"/>
        <v/>
      </c>
      <c r="B72" s="175"/>
      <c r="C72" s="176"/>
      <c r="D72" s="175"/>
      <c r="E72" s="175"/>
      <c r="F72" s="12"/>
      <c r="G72" s="12"/>
      <c r="H72" s="175"/>
      <c r="I72" s="12"/>
      <c r="J72" s="12"/>
      <c r="K72" s="175"/>
      <c r="L72" s="175"/>
      <c r="M72" s="175"/>
      <c r="N72" s="175"/>
      <c r="O72" s="18"/>
      <c r="P72" s="12"/>
      <c r="Q72" s="12"/>
      <c r="R72" s="12"/>
      <c r="S72" s="12"/>
      <c r="T72" s="175"/>
      <c r="U72" s="175"/>
      <c r="V72" s="208"/>
      <c r="W72" s="12"/>
      <c r="X72" s="12"/>
    </row>
    <row r="73">
      <c r="A73" s="175" t="str">
        <f t="shared" si="1"/>
        <v/>
      </c>
      <c r="B73" s="175"/>
      <c r="C73" s="176"/>
      <c r="D73" s="175"/>
      <c r="E73" s="175"/>
      <c r="F73" s="12"/>
      <c r="G73" s="12"/>
      <c r="H73" s="175"/>
      <c r="I73" s="12"/>
      <c r="J73" s="12"/>
      <c r="K73" s="175"/>
      <c r="L73" s="175"/>
      <c r="M73" s="175"/>
      <c r="N73" s="175"/>
      <c r="O73" s="18"/>
      <c r="P73" s="12"/>
      <c r="Q73" s="12"/>
      <c r="R73" s="12"/>
      <c r="S73" s="12"/>
      <c r="T73" s="175"/>
      <c r="U73" s="175"/>
      <c r="V73" s="208"/>
      <c r="W73" s="12"/>
      <c r="X73" s="12"/>
    </row>
    <row r="74">
      <c r="A74" s="175" t="str">
        <f t="shared" si="1"/>
        <v/>
      </c>
      <c r="B74" s="175"/>
      <c r="C74" s="176"/>
      <c r="D74" s="175"/>
      <c r="E74" s="175"/>
      <c r="F74" s="12"/>
      <c r="G74" s="12"/>
      <c r="H74" s="175"/>
      <c r="I74" s="12"/>
      <c r="J74" s="12"/>
      <c r="K74" s="175"/>
      <c r="L74" s="175"/>
      <c r="M74" s="175"/>
      <c r="N74" s="175"/>
      <c r="O74" s="18"/>
      <c r="P74" s="12"/>
      <c r="Q74" s="175"/>
      <c r="R74" s="12"/>
      <c r="S74" s="12"/>
      <c r="T74" s="175"/>
      <c r="U74" s="175"/>
      <c r="V74" s="208"/>
      <c r="W74" s="12"/>
      <c r="X74" s="12"/>
    </row>
    <row r="75">
      <c r="A75" s="175" t="str">
        <f t="shared" si="1"/>
        <v/>
      </c>
      <c r="B75" s="175"/>
      <c r="C75" s="176"/>
      <c r="D75" s="175"/>
      <c r="E75" s="175"/>
      <c r="F75" s="12"/>
      <c r="G75" s="12"/>
      <c r="H75" s="175"/>
      <c r="I75" s="12"/>
      <c r="J75" s="12"/>
      <c r="K75" s="175"/>
      <c r="L75" s="175"/>
      <c r="M75" s="175"/>
      <c r="N75" s="175"/>
      <c r="O75" s="18"/>
      <c r="P75" s="12"/>
      <c r="Q75" s="175"/>
      <c r="R75" s="12"/>
      <c r="S75" s="12"/>
      <c r="T75" s="175"/>
      <c r="U75" s="175"/>
      <c r="V75" s="208"/>
      <c r="W75" s="12"/>
      <c r="X75" s="12"/>
    </row>
    <row r="76">
      <c r="A76" s="175" t="str">
        <f t="shared" si="1"/>
        <v/>
      </c>
      <c r="B76" s="175"/>
      <c r="C76" s="176"/>
      <c r="D76" s="175"/>
      <c r="E76" s="175"/>
      <c r="F76" s="12"/>
      <c r="G76" s="12"/>
      <c r="H76" s="175"/>
      <c r="I76" s="12"/>
      <c r="J76" s="12"/>
      <c r="K76" s="175"/>
      <c r="L76" s="175"/>
      <c r="M76" s="175"/>
      <c r="N76" s="175"/>
      <c r="O76" s="18"/>
      <c r="P76" s="12"/>
      <c r="Q76" s="175"/>
      <c r="R76" s="12"/>
      <c r="S76" s="12"/>
      <c r="T76" s="175"/>
      <c r="U76" s="175"/>
      <c r="V76" s="208"/>
      <c r="W76" s="12"/>
      <c r="X76" s="12"/>
    </row>
    <row r="77">
      <c r="A77" s="175" t="str">
        <f t="shared" si="1"/>
        <v/>
      </c>
      <c r="B77" s="175"/>
      <c r="C77" s="176"/>
      <c r="D77" s="175"/>
      <c r="E77" s="175"/>
      <c r="F77" s="12"/>
      <c r="G77" s="12"/>
      <c r="H77" s="175"/>
      <c r="I77" s="12"/>
      <c r="J77" s="12"/>
      <c r="K77" s="175"/>
      <c r="L77" s="175"/>
      <c r="M77" s="175"/>
      <c r="N77" s="175"/>
      <c r="O77" s="18"/>
      <c r="P77" s="12"/>
      <c r="Q77" s="175"/>
      <c r="R77" s="12"/>
      <c r="S77" s="12"/>
      <c r="T77" s="175"/>
      <c r="U77" s="179"/>
      <c r="V77" s="208"/>
      <c r="W77" s="12"/>
      <c r="X77" s="12"/>
    </row>
    <row r="78">
      <c r="A78" s="175" t="str">
        <f t="shared" si="1"/>
        <v/>
      </c>
      <c r="B78" s="175"/>
      <c r="C78" s="176"/>
      <c r="D78" s="175"/>
      <c r="E78" s="175"/>
      <c r="F78" s="12"/>
      <c r="G78" s="12"/>
      <c r="H78" s="175"/>
      <c r="I78" s="12"/>
      <c r="J78" s="12"/>
      <c r="K78" s="175"/>
      <c r="L78" s="175"/>
      <c r="M78" s="175"/>
      <c r="N78" s="175"/>
      <c r="O78" s="18"/>
      <c r="P78" s="12"/>
      <c r="Q78" s="175"/>
      <c r="R78" s="12"/>
      <c r="S78" s="12"/>
      <c r="T78" s="175"/>
      <c r="U78" s="179"/>
      <c r="V78" s="208"/>
      <c r="W78" s="12"/>
      <c r="X78" s="12"/>
    </row>
    <row r="79">
      <c r="A79" s="175" t="str">
        <f t="shared" si="1"/>
        <v/>
      </c>
      <c r="B79" s="175"/>
      <c r="C79" s="176"/>
      <c r="D79" s="175"/>
      <c r="E79" s="175"/>
      <c r="F79" s="12"/>
      <c r="G79" s="12"/>
      <c r="H79" s="175"/>
      <c r="I79" s="12"/>
      <c r="J79" s="12"/>
      <c r="K79" s="175"/>
      <c r="L79" s="175"/>
      <c r="M79" s="175"/>
      <c r="N79" s="175"/>
      <c r="O79" s="18"/>
      <c r="P79" s="12"/>
      <c r="Q79" s="175"/>
      <c r="R79" s="12"/>
      <c r="S79" s="12"/>
      <c r="T79" s="175"/>
      <c r="U79" s="179"/>
      <c r="V79" s="208"/>
      <c r="W79" s="12"/>
      <c r="X79" s="12"/>
    </row>
    <row r="80">
      <c r="A80" s="175" t="str">
        <f t="shared" si="1"/>
        <v/>
      </c>
      <c r="B80" s="175"/>
      <c r="C80" s="176"/>
      <c r="D80" s="175"/>
      <c r="E80" s="175"/>
      <c r="F80" s="12"/>
      <c r="G80" s="12"/>
      <c r="H80" s="175"/>
      <c r="I80" s="12"/>
      <c r="J80" s="12"/>
      <c r="K80" s="175"/>
      <c r="L80" s="175"/>
      <c r="M80" s="175"/>
      <c r="N80" s="175"/>
      <c r="O80" s="18"/>
      <c r="P80" s="12"/>
      <c r="Q80" s="175"/>
      <c r="R80" s="12"/>
      <c r="S80" s="12"/>
      <c r="T80" s="175"/>
      <c r="U80" s="179"/>
      <c r="V80" s="208"/>
      <c r="W80" s="12"/>
      <c r="X80" s="12"/>
    </row>
    <row r="81">
      <c r="A81" s="175" t="str">
        <f t="shared" si="1"/>
        <v/>
      </c>
      <c r="B81" s="175"/>
      <c r="C81" s="176"/>
      <c r="D81" s="175"/>
      <c r="E81" s="175"/>
      <c r="F81" s="12"/>
      <c r="G81" s="12"/>
      <c r="H81" s="175"/>
      <c r="I81" s="12"/>
      <c r="J81" s="12"/>
      <c r="K81" s="175"/>
      <c r="L81" s="175"/>
      <c r="M81" s="175"/>
      <c r="N81" s="175"/>
      <c r="O81" s="18"/>
      <c r="P81" s="12"/>
      <c r="Q81" s="175"/>
      <c r="R81" s="12"/>
      <c r="S81" s="12"/>
      <c r="T81" s="175"/>
      <c r="U81" s="179"/>
      <c r="V81" s="208"/>
      <c r="W81" s="12"/>
      <c r="X81" s="12"/>
    </row>
    <row r="82">
      <c r="A82" s="175" t="str">
        <f t="shared" si="1"/>
        <v/>
      </c>
      <c r="B82" s="175"/>
      <c r="C82" s="176"/>
      <c r="D82" s="175"/>
      <c r="E82" s="175"/>
      <c r="F82" s="12"/>
      <c r="G82" s="12"/>
      <c r="H82" s="175"/>
      <c r="I82" s="12"/>
      <c r="J82" s="12"/>
      <c r="K82" s="175"/>
      <c r="L82" s="175"/>
      <c r="M82" s="175"/>
      <c r="N82" s="175"/>
      <c r="O82" s="18"/>
      <c r="P82" s="12"/>
      <c r="Q82" s="175"/>
      <c r="R82" s="12"/>
      <c r="S82" s="12"/>
      <c r="T82" s="175"/>
      <c r="U82" s="179"/>
      <c r="V82" s="208"/>
      <c r="W82" s="12"/>
      <c r="X82" s="12"/>
    </row>
    <row r="83">
      <c r="A83" s="175" t="str">
        <f t="shared" si="1"/>
        <v/>
      </c>
      <c r="B83" s="175"/>
      <c r="C83" s="176"/>
      <c r="D83" s="175"/>
      <c r="E83" s="175"/>
      <c r="F83" s="12"/>
      <c r="G83" s="12"/>
      <c r="H83" s="175"/>
      <c r="I83" s="12"/>
      <c r="J83" s="12"/>
      <c r="K83" s="175"/>
      <c r="L83" s="175"/>
      <c r="M83" s="175"/>
      <c r="N83" s="175"/>
      <c r="O83" s="175"/>
      <c r="P83" s="12"/>
      <c r="Q83" s="175"/>
      <c r="R83" s="12"/>
      <c r="S83" s="12"/>
      <c r="T83" s="175"/>
      <c r="U83" s="179"/>
      <c r="V83" s="208"/>
      <c r="W83" s="12"/>
      <c r="X83" s="12"/>
    </row>
    <row r="84">
      <c r="A84" s="175" t="str">
        <f t="shared" si="1"/>
        <v/>
      </c>
      <c r="B84" s="175"/>
      <c r="C84" s="176"/>
      <c r="D84" s="175"/>
      <c r="E84" s="175"/>
      <c r="F84" s="12"/>
      <c r="G84" s="12"/>
      <c r="H84" s="175"/>
      <c r="I84" s="12"/>
      <c r="J84" s="12"/>
      <c r="K84" s="175"/>
      <c r="L84" s="175"/>
      <c r="M84" s="175"/>
      <c r="N84" s="175"/>
      <c r="O84" s="175"/>
      <c r="P84" s="12"/>
      <c r="Q84" s="175"/>
      <c r="R84" s="12"/>
      <c r="S84" s="12"/>
      <c r="T84" s="175"/>
      <c r="U84" s="179"/>
      <c r="V84" s="208"/>
      <c r="W84" s="12"/>
      <c r="X84" s="12"/>
    </row>
    <row r="85">
      <c r="A85" s="175" t="str">
        <f t="shared" si="1"/>
        <v/>
      </c>
      <c r="B85" s="175"/>
      <c r="C85" s="176"/>
      <c r="D85" s="175"/>
      <c r="E85" s="175"/>
      <c r="F85" s="12"/>
      <c r="G85" s="12"/>
      <c r="H85" s="175"/>
      <c r="I85" s="12"/>
      <c r="J85" s="12"/>
      <c r="K85" s="175"/>
      <c r="L85" s="175"/>
      <c r="M85" s="175"/>
      <c r="N85" s="175"/>
      <c r="O85" s="175"/>
      <c r="P85" s="12"/>
      <c r="Q85" s="175"/>
      <c r="R85" s="12"/>
      <c r="S85" s="12"/>
      <c r="T85" s="175"/>
      <c r="U85" s="179"/>
      <c r="V85" s="208"/>
      <c r="W85" s="12"/>
      <c r="X85" s="12"/>
    </row>
    <row r="86">
      <c r="A86" s="175" t="str">
        <f t="shared" si="1"/>
        <v/>
      </c>
      <c r="B86" s="175"/>
      <c r="C86" s="176"/>
      <c r="D86" s="175"/>
      <c r="E86" s="175"/>
      <c r="F86" s="12"/>
      <c r="G86" s="12"/>
      <c r="H86" s="175"/>
      <c r="I86" s="12"/>
      <c r="J86" s="12"/>
      <c r="K86" s="175"/>
      <c r="L86" s="175"/>
      <c r="M86" s="175"/>
      <c r="N86" s="175"/>
      <c r="O86" s="175"/>
      <c r="P86" s="12"/>
      <c r="Q86" s="175"/>
      <c r="R86" s="12"/>
      <c r="S86" s="12"/>
      <c r="T86" s="175"/>
      <c r="U86" s="179"/>
      <c r="V86" s="208"/>
      <c r="W86" s="12"/>
      <c r="X86" s="12"/>
    </row>
    <row r="87">
      <c r="A87" s="175" t="str">
        <f t="shared" si="1"/>
        <v/>
      </c>
      <c r="B87" s="175"/>
      <c r="C87" s="176"/>
      <c r="D87" s="175"/>
      <c r="E87" s="175"/>
      <c r="F87" s="12"/>
      <c r="G87" s="12"/>
      <c r="H87" s="175"/>
      <c r="I87" s="12"/>
      <c r="J87" s="12"/>
      <c r="K87" s="175"/>
      <c r="L87" s="175"/>
      <c r="M87" s="175"/>
      <c r="N87" s="175"/>
      <c r="O87" s="175"/>
      <c r="P87" s="12"/>
      <c r="Q87" s="175"/>
      <c r="R87" s="12"/>
      <c r="S87" s="12"/>
      <c r="T87" s="175"/>
      <c r="U87" s="179"/>
      <c r="V87" s="208"/>
      <c r="W87" s="12"/>
      <c r="X87" s="12"/>
    </row>
    <row r="88">
      <c r="A88" s="175" t="str">
        <f t="shared" si="1"/>
        <v/>
      </c>
      <c r="B88" s="175"/>
      <c r="C88" s="176"/>
      <c r="D88" s="175"/>
      <c r="E88" s="175"/>
      <c r="F88" s="12"/>
      <c r="G88" s="12"/>
      <c r="H88" s="175"/>
      <c r="I88" s="12"/>
      <c r="J88" s="12"/>
      <c r="K88" s="175"/>
      <c r="L88" s="175"/>
      <c r="M88" s="175"/>
      <c r="N88" s="175"/>
      <c r="O88" s="175"/>
      <c r="P88" s="12"/>
      <c r="Q88" s="175"/>
      <c r="R88" s="12"/>
      <c r="S88" s="12"/>
      <c r="T88" s="175"/>
      <c r="U88" s="179"/>
      <c r="V88" s="208"/>
      <c r="W88" s="12"/>
      <c r="X88" s="12"/>
    </row>
    <row r="89">
      <c r="A89" s="175" t="str">
        <f t="shared" si="1"/>
        <v/>
      </c>
      <c r="B89" s="175"/>
      <c r="C89" s="176"/>
      <c r="D89" s="175"/>
      <c r="E89" s="175"/>
      <c r="F89" s="12"/>
      <c r="G89" s="12"/>
      <c r="H89" s="175"/>
      <c r="I89" s="12"/>
      <c r="J89" s="12"/>
      <c r="K89" s="175"/>
      <c r="L89" s="175"/>
      <c r="M89" s="175"/>
      <c r="N89" s="175"/>
      <c r="O89" s="175"/>
      <c r="P89" s="12"/>
      <c r="Q89" s="175"/>
      <c r="R89" s="12"/>
      <c r="S89" s="12"/>
      <c r="T89" s="175"/>
      <c r="U89" s="179"/>
      <c r="V89" s="208"/>
      <c r="W89" s="12"/>
      <c r="X89" s="12"/>
    </row>
    <row r="90">
      <c r="A90" s="175" t="str">
        <f t="shared" si="1"/>
        <v/>
      </c>
      <c r="B90" s="175"/>
      <c r="C90" s="176"/>
      <c r="D90" s="175"/>
      <c r="E90" s="175"/>
      <c r="F90" s="12"/>
      <c r="G90" s="12"/>
      <c r="H90" s="175"/>
      <c r="I90" s="12"/>
      <c r="J90" s="12"/>
      <c r="K90" s="175"/>
      <c r="L90" s="175"/>
      <c r="M90" s="175"/>
      <c r="N90" s="175"/>
      <c r="O90" s="175"/>
      <c r="P90" s="12"/>
      <c r="Q90" s="175"/>
      <c r="R90" s="12"/>
      <c r="S90" s="12"/>
      <c r="T90" s="175"/>
      <c r="U90" s="179"/>
      <c r="V90" s="208"/>
      <c r="W90" s="12"/>
      <c r="X90" s="12"/>
    </row>
    <row r="91">
      <c r="A91" s="175" t="str">
        <f t="shared" si="1"/>
        <v/>
      </c>
      <c r="B91" s="175"/>
      <c r="C91" s="176"/>
      <c r="D91" s="175"/>
      <c r="E91" s="175"/>
      <c r="F91" s="12"/>
      <c r="G91" s="12"/>
      <c r="H91" s="175"/>
      <c r="I91" s="12"/>
      <c r="J91" s="12"/>
      <c r="K91" s="175"/>
      <c r="L91" s="175"/>
      <c r="M91" s="175"/>
      <c r="N91" s="175"/>
      <c r="O91" s="175"/>
      <c r="P91" s="12"/>
      <c r="Q91" s="175"/>
      <c r="R91" s="12"/>
      <c r="S91" s="12"/>
      <c r="T91" s="175"/>
      <c r="U91" s="179"/>
      <c r="V91" s="208"/>
      <c r="W91" s="12"/>
      <c r="X91" s="12"/>
    </row>
    <row r="92">
      <c r="A92" s="175" t="str">
        <f t="shared" si="1"/>
        <v/>
      </c>
      <c r="B92" s="175"/>
      <c r="C92" s="176"/>
      <c r="D92" s="175"/>
      <c r="E92" s="175"/>
      <c r="F92" s="12"/>
      <c r="G92" s="12"/>
      <c r="H92" s="175"/>
      <c r="I92" s="12"/>
      <c r="J92" s="12"/>
      <c r="K92" s="175"/>
      <c r="L92" s="175"/>
      <c r="M92" s="175"/>
      <c r="N92" s="175"/>
      <c r="O92" s="175"/>
      <c r="P92" s="12"/>
      <c r="Q92" s="175"/>
      <c r="R92" s="12"/>
      <c r="S92" s="12"/>
      <c r="T92" s="175"/>
      <c r="U92" s="179"/>
      <c r="V92" s="208"/>
      <c r="W92" s="12"/>
      <c r="X92" s="12"/>
    </row>
    <row r="93">
      <c r="A93" s="175"/>
      <c r="B93" s="175"/>
      <c r="C93" s="176"/>
      <c r="D93" s="175"/>
      <c r="E93" s="175"/>
      <c r="F93" s="12"/>
      <c r="G93" s="12"/>
      <c r="H93" s="175"/>
      <c r="I93" s="12"/>
      <c r="J93" s="12"/>
      <c r="K93" s="175"/>
      <c r="L93" s="175"/>
      <c r="M93" s="175"/>
      <c r="N93" s="175"/>
      <c r="O93" s="175"/>
      <c r="P93" s="12"/>
      <c r="Q93" s="175"/>
      <c r="R93" s="12"/>
      <c r="S93" s="12"/>
      <c r="T93" s="175"/>
      <c r="U93" s="179"/>
      <c r="V93" s="208"/>
      <c r="W93" s="12"/>
      <c r="X93" s="12"/>
    </row>
    <row r="94">
      <c r="A94" s="175"/>
      <c r="B94" s="175"/>
      <c r="C94" s="176"/>
      <c r="D94" s="175"/>
      <c r="E94" s="175"/>
      <c r="F94" s="12"/>
      <c r="G94" s="12"/>
      <c r="H94" s="175"/>
      <c r="I94" s="12"/>
      <c r="J94" s="12"/>
      <c r="K94" s="175"/>
      <c r="L94" s="175"/>
      <c r="M94" s="175"/>
      <c r="N94" s="175"/>
      <c r="O94" s="175"/>
      <c r="P94" s="12"/>
      <c r="Q94" s="175"/>
      <c r="R94" s="12"/>
      <c r="S94" s="12"/>
      <c r="T94" s="175"/>
      <c r="U94" s="179"/>
      <c r="V94" s="208"/>
      <c r="W94" s="12"/>
      <c r="X94" s="12"/>
    </row>
    <row r="95">
      <c r="A95" s="175"/>
      <c r="B95" s="175"/>
      <c r="C95" s="176"/>
      <c r="D95" s="175"/>
      <c r="E95" s="175"/>
      <c r="F95" s="12"/>
      <c r="G95" s="12"/>
      <c r="H95" s="175"/>
      <c r="I95" s="12"/>
      <c r="J95" s="12"/>
      <c r="K95" s="175"/>
      <c r="L95" s="175"/>
      <c r="M95" s="175"/>
      <c r="N95" s="175"/>
      <c r="O95" s="175"/>
      <c r="P95" s="12"/>
      <c r="Q95" s="175"/>
      <c r="R95" s="12"/>
      <c r="S95" s="12"/>
      <c r="T95" s="175"/>
      <c r="U95" s="179"/>
      <c r="V95" s="208"/>
      <c r="W95" s="12"/>
      <c r="X95" s="12"/>
    </row>
    <row r="96">
      <c r="A96" s="175"/>
      <c r="B96" s="175"/>
      <c r="C96" s="176"/>
      <c r="D96" s="175"/>
      <c r="E96" s="175"/>
      <c r="F96" s="12"/>
      <c r="G96" s="12"/>
      <c r="H96" s="175"/>
      <c r="I96" s="12"/>
      <c r="J96" s="12"/>
      <c r="K96" s="175"/>
      <c r="L96" s="175"/>
      <c r="M96" s="175"/>
      <c r="N96" s="175"/>
      <c r="O96" s="175"/>
      <c r="P96" s="12"/>
      <c r="Q96" s="175"/>
      <c r="R96" s="12"/>
      <c r="S96" s="12"/>
      <c r="T96" s="175"/>
      <c r="U96" s="179"/>
      <c r="V96" s="208"/>
      <c r="W96" s="12"/>
      <c r="X96" s="12"/>
    </row>
    <row r="97">
      <c r="A97" s="175"/>
      <c r="B97" s="175"/>
      <c r="C97" s="176"/>
      <c r="D97" s="175"/>
      <c r="E97" s="175"/>
      <c r="F97" s="12"/>
      <c r="G97" s="12"/>
      <c r="H97" s="175"/>
      <c r="I97" s="12"/>
      <c r="J97" s="12"/>
      <c r="K97" s="175"/>
      <c r="L97" s="175"/>
      <c r="M97" s="175"/>
      <c r="N97" s="175"/>
      <c r="O97" s="175"/>
      <c r="P97" s="12"/>
      <c r="Q97" s="175"/>
      <c r="R97" s="12"/>
      <c r="S97" s="12"/>
      <c r="T97" s="175"/>
      <c r="U97" s="179"/>
      <c r="V97" s="208"/>
      <c r="W97" s="12"/>
      <c r="X97" s="12"/>
    </row>
    <row r="98">
      <c r="A98" s="175"/>
      <c r="B98" s="175"/>
      <c r="C98" s="176"/>
      <c r="D98" s="175"/>
      <c r="E98" s="175"/>
      <c r="F98" s="12"/>
      <c r="G98" s="12"/>
      <c r="H98" s="175"/>
      <c r="I98" s="12"/>
      <c r="J98" s="12"/>
      <c r="K98" s="175"/>
      <c r="L98" s="175"/>
      <c r="M98" s="175"/>
      <c r="N98" s="175"/>
      <c r="O98" s="175"/>
      <c r="P98" s="12"/>
      <c r="Q98" s="175"/>
      <c r="R98" s="12"/>
      <c r="S98" s="12"/>
      <c r="T98" s="175"/>
      <c r="U98" s="179"/>
      <c r="V98" s="208"/>
      <c r="W98" s="12"/>
      <c r="X98" s="12"/>
    </row>
    <row r="99">
      <c r="A99" s="175"/>
      <c r="B99" s="175"/>
      <c r="C99" s="176"/>
      <c r="D99" s="175"/>
      <c r="E99" s="175"/>
      <c r="F99" s="12"/>
      <c r="G99" s="12"/>
      <c r="H99" s="175"/>
      <c r="I99" s="12"/>
      <c r="J99" s="12"/>
      <c r="K99" s="175"/>
      <c r="L99" s="175"/>
      <c r="M99" s="175"/>
      <c r="N99" s="175"/>
      <c r="O99" s="175"/>
      <c r="P99" s="12"/>
      <c r="Q99" s="175"/>
      <c r="R99" s="12"/>
      <c r="S99" s="12"/>
      <c r="T99" s="175"/>
      <c r="U99" s="179"/>
      <c r="V99" s="208"/>
      <c r="W99" s="12"/>
      <c r="X99" s="12"/>
    </row>
    <row r="100">
      <c r="A100" s="175"/>
      <c r="B100" s="175"/>
      <c r="C100" s="176"/>
      <c r="D100" s="175"/>
      <c r="E100" s="175"/>
      <c r="F100" s="12"/>
      <c r="G100" s="12"/>
      <c r="H100" s="175"/>
      <c r="I100" s="12"/>
      <c r="J100" s="12"/>
      <c r="K100" s="175"/>
      <c r="L100" s="175"/>
      <c r="M100" s="175"/>
      <c r="N100" s="175"/>
      <c r="O100" s="175"/>
      <c r="P100" s="12"/>
      <c r="Q100" s="175"/>
      <c r="R100" s="12"/>
      <c r="S100" s="12"/>
      <c r="T100" s="175"/>
      <c r="U100" s="179"/>
      <c r="V100" s="208"/>
      <c r="W100" s="12"/>
      <c r="X100" s="12"/>
    </row>
    <row r="101">
      <c r="A101" s="175"/>
      <c r="B101" s="175"/>
      <c r="C101" s="176"/>
      <c r="D101" s="175"/>
      <c r="E101" s="175"/>
      <c r="F101" s="12"/>
      <c r="G101" s="12"/>
      <c r="H101" s="175"/>
      <c r="I101" s="12"/>
      <c r="J101" s="12"/>
      <c r="K101" s="175"/>
      <c r="L101" s="175"/>
      <c r="M101" s="175"/>
      <c r="N101" s="175"/>
      <c r="O101" s="175"/>
      <c r="P101" s="12"/>
      <c r="Q101" s="175"/>
      <c r="R101" s="12"/>
      <c r="S101" s="12"/>
      <c r="T101" s="175"/>
      <c r="U101" s="179"/>
      <c r="V101" s="208"/>
      <c r="W101" s="12"/>
      <c r="X101" s="12"/>
    </row>
    <row r="102">
      <c r="A102" s="175"/>
      <c r="B102" s="175"/>
      <c r="C102" s="176"/>
      <c r="D102" s="175"/>
      <c r="E102" s="175"/>
      <c r="F102" s="12"/>
      <c r="G102" s="12"/>
      <c r="H102" s="175"/>
      <c r="I102" s="12"/>
      <c r="J102" s="12"/>
      <c r="K102" s="175"/>
      <c r="L102" s="175"/>
      <c r="M102" s="175"/>
      <c r="N102" s="175"/>
      <c r="O102" s="175"/>
      <c r="P102" s="12"/>
      <c r="Q102" s="175"/>
      <c r="R102" s="12"/>
      <c r="S102" s="12"/>
      <c r="T102" s="175"/>
      <c r="U102" s="179"/>
      <c r="V102" s="208"/>
      <c r="W102" s="12"/>
      <c r="X102" s="12"/>
    </row>
    <row r="103">
      <c r="A103" s="175"/>
      <c r="B103" s="175"/>
      <c r="C103" s="176"/>
      <c r="D103" s="175"/>
      <c r="E103" s="175"/>
      <c r="F103" s="12"/>
      <c r="G103" s="12"/>
      <c r="H103" s="175"/>
      <c r="I103" s="12"/>
      <c r="J103" s="12"/>
      <c r="K103" s="175"/>
      <c r="L103" s="175"/>
      <c r="M103" s="175"/>
      <c r="N103" s="175"/>
      <c r="O103" s="175"/>
      <c r="P103" s="12"/>
      <c r="Q103" s="175"/>
      <c r="R103" s="12"/>
      <c r="S103" s="12"/>
      <c r="T103" s="175"/>
      <c r="U103" s="179"/>
      <c r="V103" s="208"/>
      <c r="W103" s="12"/>
      <c r="X103" s="12"/>
    </row>
    <row r="104">
      <c r="A104" s="175"/>
      <c r="B104" s="175"/>
      <c r="C104" s="176"/>
      <c r="D104" s="175"/>
      <c r="E104" s="175"/>
      <c r="F104" s="12"/>
      <c r="G104" s="12"/>
      <c r="H104" s="175"/>
      <c r="I104" s="12"/>
      <c r="J104" s="12"/>
      <c r="K104" s="175"/>
      <c r="L104" s="175"/>
      <c r="M104" s="175"/>
      <c r="N104" s="175"/>
      <c r="O104" s="175"/>
      <c r="P104" s="12"/>
      <c r="Q104" s="175"/>
      <c r="R104" s="12"/>
      <c r="S104" s="12"/>
      <c r="T104" s="175"/>
      <c r="U104" s="179"/>
      <c r="V104" s="208"/>
      <c r="W104" s="12"/>
      <c r="X104" s="12"/>
    </row>
    <row r="105">
      <c r="A105" s="175"/>
      <c r="B105" s="175"/>
      <c r="C105" s="176"/>
      <c r="D105" s="175"/>
      <c r="E105" s="175"/>
      <c r="F105" s="12"/>
      <c r="G105" s="12"/>
      <c r="H105" s="175"/>
      <c r="I105" s="12"/>
      <c r="J105" s="12"/>
      <c r="K105" s="175"/>
      <c r="L105" s="175"/>
      <c r="M105" s="175"/>
      <c r="N105" s="175"/>
      <c r="O105" s="175"/>
      <c r="P105" s="12"/>
      <c r="Q105" s="175"/>
      <c r="R105" s="12"/>
      <c r="S105" s="12"/>
      <c r="T105" s="175"/>
      <c r="U105" s="179"/>
      <c r="V105" s="208"/>
      <c r="W105" s="12"/>
      <c r="X105" s="12"/>
    </row>
    <row r="106">
      <c r="A106" s="175"/>
      <c r="B106" s="175"/>
      <c r="C106" s="176"/>
      <c r="D106" s="175"/>
      <c r="E106" s="175"/>
      <c r="F106" s="12"/>
      <c r="G106" s="12"/>
      <c r="H106" s="175"/>
      <c r="I106" s="12"/>
      <c r="J106" s="12"/>
      <c r="K106" s="175"/>
      <c r="L106" s="175"/>
      <c r="M106" s="175"/>
      <c r="N106" s="175"/>
      <c r="O106" s="175"/>
      <c r="P106" s="12"/>
      <c r="Q106" s="175"/>
      <c r="R106" s="12"/>
      <c r="S106" s="12"/>
      <c r="T106" s="175"/>
      <c r="U106" s="179"/>
      <c r="V106" s="208"/>
      <c r="W106" s="12"/>
      <c r="X106" s="12"/>
    </row>
    <row r="107">
      <c r="A107" s="175"/>
      <c r="B107" s="175"/>
      <c r="C107" s="176"/>
      <c r="D107" s="175"/>
      <c r="E107" s="175"/>
      <c r="F107" s="12"/>
      <c r="G107" s="12"/>
      <c r="H107" s="175"/>
      <c r="I107" s="12"/>
      <c r="J107" s="12"/>
      <c r="K107" s="175"/>
      <c r="L107" s="175"/>
      <c r="M107" s="175"/>
      <c r="N107" s="175"/>
      <c r="O107" s="175"/>
      <c r="P107" s="12"/>
      <c r="Q107" s="175"/>
      <c r="R107" s="12"/>
      <c r="S107" s="12"/>
      <c r="T107" s="175"/>
      <c r="U107" s="179"/>
      <c r="V107" s="208"/>
      <c r="W107" s="12"/>
      <c r="X107" s="12"/>
    </row>
    <row r="108">
      <c r="A108" s="175"/>
      <c r="B108" s="175"/>
      <c r="C108" s="176"/>
      <c r="D108" s="175"/>
      <c r="E108" s="175"/>
      <c r="F108" s="12"/>
      <c r="G108" s="12"/>
      <c r="H108" s="175"/>
      <c r="I108" s="12"/>
      <c r="J108" s="12"/>
      <c r="K108" s="175"/>
      <c r="L108" s="175"/>
      <c r="M108" s="175"/>
      <c r="N108" s="175"/>
      <c r="O108" s="175"/>
      <c r="P108" s="12"/>
      <c r="Q108" s="175"/>
      <c r="R108" s="12"/>
      <c r="S108" s="12"/>
      <c r="T108" s="175"/>
      <c r="U108" s="179"/>
      <c r="V108" s="208"/>
      <c r="W108" s="12"/>
      <c r="X108" s="12"/>
    </row>
    <row r="109">
      <c r="A109" s="175"/>
      <c r="B109" s="175"/>
      <c r="C109" s="176"/>
      <c r="D109" s="175"/>
      <c r="E109" s="175"/>
      <c r="F109" s="12"/>
      <c r="G109" s="12"/>
      <c r="H109" s="175"/>
      <c r="I109" s="12"/>
      <c r="J109" s="12"/>
      <c r="K109" s="175"/>
      <c r="L109" s="175"/>
      <c r="M109" s="175"/>
      <c r="N109" s="175"/>
      <c r="O109" s="175"/>
      <c r="P109" s="12"/>
      <c r="Q109" s="175"/>
      <c r="R109" s="12"/>
      <c r="S109" s="12"/>
      <c r="T109" s="175"/>
      <c r="U109" s="179"/>
      <c r="V109" s="208"/>
      <c r="W109" s="12"/>
      <c r="X109" s="12"/>
    </row>
    <row r="110">
      <c r="A110" s="175"/>
      <c r="B110" s="175"/>
      <c r="C110" s="176"/>
      <c r="D110" s="175"/>
      <c r="E110" s="175"/>
      <c r="F110" s="12"/>
      <c r="G110" s="12"/>
      <c r="H110" s="175"/>
      <c r="I110" s="12"/>
      <c r="J110" s="12"/>
      <c r="K110" s="175"/>
      <c r="L110" s="175"/>
      <c r="M110" s="175"/>
      <c r="N110" s="175"/>
      <c r="O110" s="175"/>
      <c r="P110" s="12"/>
      <c r="Q110" s="175"/>
      <c r="R110" s="12"/>
      <c r="S110" s="12"/>
      <c r="T110" s="175"/>
      <c r="U110" s="179"/>
      <c r="V110" s="208"/>
      <c r="W110" s="12"/>
      <c r="X110" s="12"/>
    </row>
    <row r="111">
      <c r="A111" s="175"/>
      <c r="B111" s="175"/>
      <c r="C111" s="176"/>
      <c r="D111" s="175"/>
      <c r="E111" s="175"/>
      <c r="F111" s="12"/>
      <c r="G111" s="12"/>
      <c r="H111" s="175"/>
      <c r="I111" s="12"/>
      <c r="J111" s="12"/>
      <c r="K111" s="175"/>
      <c r="L111" s="175"/>
      <c r="M111" s="175"/>
      <c r="N111" s="175"/>
      <c r="O111" s="175"/>
      <c r="P111" s="12"/>
      <c r="Q111" s="175"/>
      <c r="R111" s="12"/>
      <c r="S111" s="12"/>
      <c r="T111" s="175"/>
      <c r="U111" s="179"/>
      <c r="V111" s="208"/>
      <c r="W111" s="12"/>
      <c r="X111" s="12"/>
    </row>
    <row r="112">
      <c r="A112" s="175"/>
      <c r="B112" s="175"/>
      <c r="C112" s="176"/>
      <c r="D112" s="175"/>
      <c r="E112" s="175"/>
      <c r="F112" s="12"/>
      <c r="G112" s="12"/>
      <c r="H112" s="175"/>
      <c r="I112" s="12"/>
      <c r="J112" s="12"/>
      <c r="K112" s="175"/>
      <c r="L112" s="175"/>
      <c r="M112" s="175"/>
      <c r="N112" s="175"/>
      <c r="O112" s="175"/>
      <c r="P112" s="12"/>
      <c r="Q112" s="175"/>
      <c r="R112" s="12"/>
      <c r="S112" s="12"/>
      <c r="T112" s="175"/>
      <c r="U112" s="179"/>
      <c r="V112" s="208"/>
      <c r="W112" s="12"/>
      <c r="X112" s="12"/>
    </row>
    <row r="113">
      <c r="A113" s="175"/>
      <c r="B113" s="175"/>
      <c r="C113" s="176"/>
      <c r="D113" s="175"/>
      <c r="E113" s="175"/>
      <c r="F113" s="12"/>
      <c r="G113" s="12"/>
      <c r="H113" s="175"/>
      <c r="I113" s="12"/>
      <c r="J113" s="12"/>
      <c r="K113" s="175"/>
      <c r="L113" s="175"/>
      <c r="M113" s="175"/>
      <c r="N113" s="175"/>
      <c r="O113" s="175"/>
      <c r="P113" s="12"/>
      <c r="Q113" s="175"/>
      <c r="R113" s="12"/>
      <c r="S113" s="12"/>
      <c r="T113" s="175"/>
      <c r="U113" s="179"/>
      <c r="V113" s="208"/>
      <c r="W113" s="12"/>
      <c r="X113" s="12"/>
    </row>
    <row r="114">
      <c r="A114" s="175"/>
      <c r="B114" s="175"/>
      <c r="C114" s="176"/>
      <c r="D114" s="175"/>
      <c r="E114" s="175"/>
      <c r="F114" s="12"/>
      <c r="G114" s="12"/>
      <c r="H114" s="175"/>
      <c r="I114" s="12"/>
      <c r="J114" s="12"/>
      <c r="K114" s="175"/>
      <c r="L114" s="175"/>
      <c r="M114" s="175"/>
      <c r="N114" s="175"/>
      <c r="O114" s="175"/>
      <c r="P114" s="12"/>
      <c r="Q114" s="175"/>
      <c r="R114" s="12"/>
      <c r="S114" s="12"/>
      <c r="T114" s="175"/>
      <c r="U114" s="179"/>
      <c r="V114" s="208"/>
      <c r="W114" s="12"/>
      <c r="X114" s="12"/>
    </row>
    <row r="115">
      <c r="A115" s="175"/>
      <c r="B115" s="175"/>
      <c r="C115" s="176"/>
      <c r="D115" s="175"/>
      <c r="E115" s="175"/>
      <c r="F115" s="12"/>
      <c r="G115" s="12"/>
      <c r="H115" s="175"/>
      <c r="I115" s="12"/>
      <c r="J115" s="12"/>
      <c r="K115" s="175"/>
      <c r="L115" s="175"/>
      <c r="M115" s="175"/>
      <c r="N115" s="175"/>
      <c r="O115" s="175"/>
      <c r="P115" s="12"/>
      <c r="Q115" s="175"/>
      <c r="R115" s="12"/>
      <c r="S115" s="12"/>
      <c r="T115" s="175"/>
      <c r="U115" s="179"/>
      <c r="V115" s="208"/>
      <c r="W115" s="12"/>
      <c r="X115" s="12"/>
    </row>
    <row r="116">
      <c r="A116" s="175"/>
      <c r="B116" s="175"/>
      <c r="C116" s="176"/>
      <c r="D116" s="175"/>
      <c r="E116" s="175"/>
      <c r="F116" s="12"/>
      <c r="G116" s="12"/>
      <c r="H116" s="175"/>
      <c r="I116" s="12"/>
      <c r="J116" s="12"/>
      <c r="K116" s="175"/>
      <c r="L116" s="175"/>
      <c r="M116" s="175"/>
      <c r="N116" s="175"/>
      <c r="O116" s="175"/>
      <c r="P116" s="12"/>
      <c r="Q116" s="175"/>
      <c r="R116" s="12"/>
      <c r="S116" s="12"/>
      <c r="T116" s="175"/>
      <c r="U116" s="179"/>
      <c r="V116" s="208"/>
      <c r="W116" s="12"/>
      <c r="X116" s="12"/>
    </row>
    <row r="117">
      <c r="A117" s="175"/>
      <c r="B117" s="175"/>
      <c r="C117" s="176"/>
      <c r="D117" s="175"/>
      <c r="E117" s="175"/>
      <c r="F117" s="12"/>
      <c r="G117" s="12"/>
      <c r="H117" s="175"/>
      <c r="I117" s="12"/>
      <c r="J117" s="12"/>
      <c r="K117" s="175"/>
      <c r="L117" s="175"/>
      <c r="M117" s="175"/>
      <c r="N117" s="175"/>
      <c r="O117" s="175"/>
      <c r="P117" s="12"/>
      <c r="Q117" s="175"/>
      <c r="R117" s="12"/>
      <c r="S117" s="12"/>
      <c r="T117" s="175"/>
      <c r="U117" s="179"/>
      <c r="V117" s="208"/>
      <c r="W117" s="12"/>
      <c r="X117" s="12"/>
    </row>
    <row r="118">
      <c r="A118" s="175"/>
      <c r="B118" s="175"/>
      <c r="C118" s="176"/>
      <c r="D118" s="175"/>
      <c r="E118" s="175"/>
      <c r="F118" s="12"/>
      <c r="G118" s="12"/>
      <c r="H118" s="175"/>
      <c r="I118" s="12"/>
      <c r="J118" s="12"/>
      <c r="K118" s="175"/>
      <c r="L118" s="175"/>
      <c r="M118" s="175"/>
      <c r="N118" s="175"/>
      <c r="O118" s="175"/>
      <c r="P118" s="12"/>
      <c r="Q118" s="175"/>
      <c r="R118" s="12"/>
      <c r="S118" s="12"/>
      <c r="T118" s="175"/>
      <c r="U118" s="179"/>
      <c r="V118" s="208"/>
      <c r="W118" s="12"/>
      <c r="X118" s="12"/>
    </row>
    <row r="119">
      <c r="A119" s="175"/>
      <c r="B119" s="175"/>
      <c r="C119" s="176"/>
      <c r="D119" s="175"/>
      <c r="E119" s="175"/>
      <c r="F119" s="12"/>
      <c r="G119" s="12"/>
      <c r="H119" s="175"/>
      <c r="I119" s="12"/>
      <c r="J119" s="12"/>
      <c r="K119" s="175"/>
      <c r="L119" s="175"/>
      <c r="M119" s="175"/>
      <c r="N119" s="175"/>
      <c r="O119" s="175"/>
      <c r="P119" s="12"/>
      <c r="Q119" s="175"/>
      <c r="R119" s="12"/>
      <c r="S119" s="12"/>
      <c r="T119" s="175"/>
      <c r="U119" s="179"/>
      <c r="V119" s="208"/>
      <c r="W119" s="12"/>
      <c r="X119" s="12"/>
    </row>
    <row r="120">
      <c r="A120" s="175"/>
      <c r="B120" s="175"/>
      <c r="C120" s="176"/>
      <c r="D120" s="175"/>
      <c r="E120" s="175"/>
      <c r="F120" s="12"/>
      <c r="G120" s="12"/>
      <c r="H120" s="175"/>
      <c r="I120" s="12"/>
      <c r="J120" s="12"/>
      <c r="K120" s="175"/>
      <c r="L120" s="175"/>
      <c r="M120" s="175"/>
      <c r="N120" s="175"/>
      <c r="O120" s="175"/>
      <c r="P120" s="12"/>
      <c r="Q120" s="175"/>
      <c r="R120" s="12"/>
      <c r="S120" s="12"/>
      <c r="T120" s="175"/>
      <c r="U120" s="179"/>
      <c r="V120" s="208"/>
      <c r="W120" s="12"/>
      <c r="X120" s="12"/>
    </row>
    <row r="121">
      <c r="A121" s="175"/>
      <c r="B121" s="175"/>
      <c r="C121" s="176"/>
      <c r="D121" s="175"/>
      <c r="E121" s="175"/>
      <c r="F121" s="12"/>
      <c r="G121" s="12"/>
      <c r="H121" s="175"/>
      <c r="I121" s="12"/>
      <c r="J121" s="12"/>
      <c r="K121" s="175"/>
      <c r="L121" s="175"/>
      <c r="M121" s="175"/>
      <c r="N121" s="175"/>
      <c r="O121" s="175"/>
      <c r="P121" s="12"/>
      <c r="Q121" s="175"/>
      <c r="R121" s="12"/>
      <c r="S121" s="12"/>
      <c r="T121" s="175"/>
      <c r="U121" s="179"/>
      <c r="V121" s="208"/>
      <c r="W121" s="12"/>
      <c r="X121" s="12"/>
    </row>
    <row r="122">
      <c r="A122" s="175"/>
      <c r="B122" s="175"/>
      <c r="C122" s="176"/>
      <c r="D122" s="175"/>
      <c r="E122" s="175"/>
      <c r="F122" s="12"/>
      <c r="G122" s="12"/>
      <c r="H122" s="175"/>
      <c r="I122" s="12"/>
      <c r="J122" s="12"/>
      <c r="K122" s="175"/>
      <c r="L122" s="175"/>
      <c r="M122" s="175"/>
      <c r="N122" s="175"/>
      <c r="O122" s="175"/>
      <c r="P122" s="12"/>
      <c r="Q122" s="175"/>
      <c r="R122" s="12"/>
      <c r="S122" s="12"/>
      <c r="T122" s="175"/>
      <c r="U122" s="179"/>
      <c r="V122" s="208"/>
      <c r="W122" s="12"/>
      <c r="X122" s="12"/>
    </row>
    <row r="123">
      <c r="A123" s="175"/>
      <c r="B123" s="175"/>
      <c r="C123" s="176"/>
      <c r="D123" s="175"/>
      <c r="E123" s="175"/>
      <c r="F123" s="12"/>
      <c r="G123" s="12"/>
      <c r="H123" s="175"/>
      <c r="I123" s="12"/>
      <c r="J123" s="12"/>
      <c r="K123" s="175"/>
      <c r="L123" s="175"/>
      <c r="M123" s="175"/>
      <c r="N123" s="175"/>
      <c r="O123" s="175"/>
      <c r="P123" s="12"/>
      <c r="Q123" s="175"/>
      <c r="R123" s="12"/>
      <c r="S123" s="12"/>
      <c r="T123" s="175"/>
      <c r="U123" s="179"/>
      <c r="V123" s="208"/>
      <c r="W123" s="12"/>
      <c r="X123" s="12"/>
    </row>
    <row r="124">
      <c r="A124" s="175"/>
      <c r="B124" s="175"/>
      <c r="C124" s="176"/>
      <c r="D124" s="175"/>
      <c r="E124" s="175"/>
      <c r="F124" s="12"/>
      <c r="G124" s="12"/>
      <c r="H124" s="175"/>
      <c r="I124" s="12"/>
      <c r="J124" s="12"/>
      <c r="K124" s="175"/>
      <c r="L124" s="175"/>
      <c r="M124" s="175"/>
      <c r="N124" s="175"/>
      <c r="O124" s="175"/>
      <c r="P124" s="12"/>
      <c r="Q124" s="175"/>
      <c r="R124" s="12"/>
      <c r="S124" s="12"/>
      <c r="T124" s="175"/>
      <c r="U124" s="179"/>
      <c r="V124" s="208"/>
      <c r="W124" s="12"/>
      <c r="X124" s="12"/>
    </row>
    <row r="125">
      <c r="A125" s="175"/>
      <c r="B125" s="175"/>
      <c r="C125" s="176"/>
      <c r="D125" s="175"/>
      <c r="E125" s="175"/>
      <c r="F125" s="12"/>
      <c r="G125" s="12"/>
      <c r="H125" s="175"/>
      <c r="I125" s="12"/>
      <c r="J125" s="12"/>
      <c r="K125" s="175"/>
      <c r="L125" s="175"/>
      <c r="M125" s="175"/>
      <c r="N125" s="175"/>
      <c r="O125" s="175"/>
      <c r="P125" s="12"/>
      <c r="Q125" s="175"/>
      <c r="R125" s="12"/>
      <c r="S125" s="12"/>
      <c r="T125" s="175"/>
      <c r="U125" s="179"/>
      <c r="V125" s="208"/>
      <c r="W125" s="12"/>
      <c r="X125" s="12"/>
    </row>
    <row r="126">
      <c r="A126" s="175"/>
      <c r="B126" s="175"/>
      <c r="C126" s="176"/>
      <c r="D126" s="175"/>
      <c r="E126" s="175"/>
      <c r="F126" s="12"/>
      <c r="G126" s="12"/>
      <c r="H126" s="175"/>
      <c r="I126" s="12"/>
      <c r="J126" s="12"/>
      <c r="K126" s="175"/>
      <c r="L126" s="175"/>
      <c r="M126" s="175"/>
      <c r="N126" s="175"/>
      <c r="O126" s="175"/>
      <c r="P126" s="12"/>
      <c r="Q126" s="175"/>
      <c r="R126" s="12"/>
      <c r="S126" s="12"/>
      <c r="T126" s="175"/>
      <c r="U126" s="179"/>
      <c r="V126" s="208"/>
      <c r="W126" s="12"/>
      <c r="X126" s="12"/>
    </row>
    <row r="127">
      <c r="A127" s="175"/>
      <c r="B127" s="175"/>
      <c r="C127" s="176"/>
      <c r="D127" s="175"/>
      <c r="E127" s="175"/>
      <c r="F127" s="12"/>
      <c r="G127" s="12"/>
      <c r="H127" s="175"/>
      <c r="I127" s="12"/>
      <c r="J127" s="12"/>
      <c r="K127" s="175"/>
      <c r="L127" s="175"/>
      <c r="M127" s="175"/>
      <c r="N127" s="175"/>
      <c r="O127" s="175"/>
      <c r="P127" s="12"/>
      <c r="Q127" s="175"/>
      <c r="R127" s="12"/>
      <c r="S127" s="12"/>
      <c r="T127" s="175"/>
      <c r="U127" s="179"/>
      <c r="V127" s="208"/>
      <c r="W127" s="12"/>
      <c r="X127" s="12"/>
    </row>
    <row r="128">
      <c r="A128" s="175"/>
      <c r="B128" s="175"/>
      <c r="C128" s="176"/>
      <c r="D128" s="175"/>
      <c r="E128" s="175"/>
      <c r="F128" s="12"/>
      <c r="G128" s="12"/>
      <c r="H128" s="175"/>
      <c r="I128" s="12"/>
      <c r="J128" s="12"/>
      <c r="K128" s="175"/>
      <c r="L128" s="175"/>
      <c r="M128" s="175"/>
      <c r="N128" s="175"/>
      <c r="O128" s="175"/>
      <c r="P128" s="12"/>
      <c r="Q128" s="175"/>
      <c r="R128" s="12"/>
      <c r="S128" s="12"/>
      <c r="T128" s="175"/>
      <c r="U128" s="179"/>
      <c r="V128" s="208"/>
      <c r="W128" s="12"/>
      <c r="X128" s="12"/>
    </row>
    <row r="129">
      <c r="A129" s="175"/>
      <c r="B129" s="175"/>
      <c r="C129" s="176"/>
      <c r="D129" s="175"/>
      <c r="E129" s="175"/>
      <c r="F129" s="12"/>
      <c r="G129" s="12"/>
      <c r="H129" s="175"/>
      <c r="I129" s="12"/>
      <c r="J129" s="12"/>
      <c r="K129" s="175"/>
      <c r="L129" s="175"/>
      <c r="M129" s="175"/>
      <c r="N129" s="175"/>
      <c r="O129" s="175"/>
      <c r="P129" s="12"/>
      <c r="Q129" s="175"/>
      <c r="R129" s="12"/>
      <c r="S129" s="12"/>
      <c r="T129" s="175"/>
      <c r="U129" s="179"/>
      <c r="V129" s="208"/>
      <c r="W129" s="12"/>
      <c r="X129" s="12"/>
    </row>
    <row r="130">
      <c r="A130" s="175"/>
      <c r="B130" s="175"/>
      <c r="C130" s="176"/>
      <c r="D130" s="175"/>
      <c r="E130" s="175"/>
      <c r="F130" s="12"/>
      <c r="G130" s="12"/>
      <c r="H130" s="175"/>
      <c r="I130" s="12"/>
      <c r="J130" s="12"/>
      <c r="K130" s="175"/>
      <c r="L130" s="175"/>
      <c r="M130" s="175"/>
      <c r="N130" s="175"/>
      <c r="O130" s="175"/>
      <c r="P130" s="12"/>
      <c r="Q130" s="175"/>
      <c r="R130" s="12"/>
      <c r="S130" s="12"/>
      <c r="T130" s="175"/>
      <c r="U130" s="179"/>
      <c r="V130" s="208"/>
      <c r="W130" s="12"/>
      <c r="X130" s="12"/>
    </row>
    <row r="131">
      <c r="A131" s="175"/>
      <c r="B131" s="175"/>
      <c r="C131" s="176"/>
      <c r="D131" s="175"/>
      <c r="E131" s="175"/>
      <c r="F131" s="12"/>
      <c r="G131" s="12"/>
      <c r="H131" s="175"/>
      <c r="I131" s="12"/>
      <c r="J131" s="12"/>
      <c r="K131" s="175"/>
      <c r="L131" s="175"/>
      <c r="M131" s="175"/>
      <c r="N131" s="175"/>
      <c r="O131" s="175"/>
      <c r="P131" s="12"/>
      <c r="Q131" s="175"/>
      <c r="R131" s="12"/>
      <c r="S131" s="12"/>
      <c r="T131" s="175"/>
      <c r="U131" s="179"/>
      <c r="V131" s="208"/>
      <c r="W131" s="12"/>
      <c r="X131" s="12"/>
    </row>
    <row r="132">
      <c r="A132" s="175"/>
      <c r="B132" s="175"/>
      <c r="C132" s="176"/>
      <c r="D132" s="175"/>
      <c r="E132" s="175"/>
      <c r="F132" s="12"/>
      <c r="G132" s="12"/>
      <c r="H132" s="175"/>
      <c r="I132" s="12"/>
      <c r="J132" s="12"/>
      <c r="K132" s="175"/>
      <c r="L132" s="175"/>
      <c r="M132" s="175"/>
      <c r="N132" s="175"/>
      <c r="O132" s="175"/>
      <c r="P132" s="12"/>
      <c r="Q132" s="175"/>
      <c r="R132" s="12"/>
      <c r="S132" s="12"/>
      <c r="T132" s="175"/>
      <c r="U132" s="179"/>
      <c r="V132" s="208"/>
      <c r="W132" s="12"/>
      <c r="X132" s="12"/>
    </row>
    <row r="133">
      <c r="A133" s="175"/>
      <c r="B133" s="175"/>
      <c r="C133" s="176"/>
      <c r="D133" s="175"/>
      <c r="E133" s="175"/>
      <c r="F133" s="12"/>
      <c r="G133" s="12"/>
      <c r="H133" s="175"/>
      <c r="I133" s="12"/>
      <c r="J133" s="12"/>
      <c r="K133" s="175"/>
      <c r="L133" s="175"/>
      <c r="M133" s="175"/>
      <c r="N133" s="175"/>
      <c r="O133" s="175"/>
      <c r="P133" s="12"/>
      <c r="Q133" s="175"/>
      <c r="R133" s="12"/>
      <c r="S133" s="12"/>
      <c r="T133" s="175"/>
      <c r="U133" s="179"/>
      <c r="V133" s="208"/>
      <c r="W133" s="12"/>
      <c r="X133" s="12"/>
    </row>
    <row r="134">
      <c r="A134" s="175"/>
      <c r="B134" s="175"/>
      <c r="C134" s="176"/>
      <c r="D134" s="175"/>
      <c r="E134" s="175"/>
      <c r="F134" s="12"/>
      <c r="G134" s="12"/>
      <c r="H134" s="175"/>
      <c r="I134" s="12"/>
      <c r="J134" s="12"/>
      <c r="K134" s="175"/>
      <c r="L134" s="175"/>
      <c r="M134" s="175"/>
      <c r="N134" s="175"/>
      <c r="O134" s="175"/>
      <c r="P134" s="12"/>
      <c r="Q134" s="175"/>
      <c r="R134" s="12"/>
      <c r="S134" s="12"/>
      <c r="T134" s="175"/>
      <c r="U134" s="179"/>
      <c r="V134" s="208"/>
      <c r="W134" s="12"/>
      <c r="X134" s="12"/>
    </row>
    <row r="135">
      <c r="A135" s="175"/>
      <c r="B135" s="175"/>
      <c r="C135" s="176"/>
      <c r="D135" s="175"/>
      <c r="E135" s="175"/>
      <c r="F135" s="12"/>
      <c r="G135" s="12"/>
      <c r="H135" s="175"/>
      <c r="I135" s="12"/>
      <c r="J135" s="12"/>
      <c r="K135" s="175"/>
      <c r="L135" s="175"/>
      <c r="M135" s="175"/>
      <c r="N135" s="175"/>
      <c r="O135" s="175"/>
      <c r="P135" s="12"/>
      <c r="Q135" s="175"/>
      <c r="R135" s="12"/>
      <c r="S135" s="12"/>
      <c r="T135" s="175"/>
      <c r="U135" s="179"/>
      <c r="V135" s="208"/>
      <c r="W135" s="12"/>
      <c r="X135" s="12"/>
    </row>
    <row r="136">
      <c r="A136" s="175"/>
      <c r="B136" s="175"/>
      <c r="C136" s="176"/>
      <c r="D136" s="175"/>
      <c r="E136" s="175"/>
      <c r="F136" s="12"/>
      <c r="G136" s="12"/>
      <c r="H136" s="175"/>
      <c r="I136" s="12"/>
      <c r="J136" s="12"/>
      <c r="K136" s="175"/>
      <c r="L136" s="175"/>
      <c r="M136" s="175"/>
      <c r="N136" s="175"/>
      <c r="O136" s="175"/>
      <c r="P136" s="12"/>
      <c r="Q136" s="175"/>
      <c r="R136" s="12"/>
      <c r="S136" s="12"/>
      <c r="T136" s="175"/>
      <c r="U136" s="179"/>
      <c r="V136" s="208"/>
      <c r="W136" s="12"/>
      <c r="X136" s="12"/>
    </row>
    <row r="137">
      <c r="A137" s="175"/>
      <c r="B137" s="175"/>
      <c r="C137" s="176"/>
      <c r="D137" s="175"/>
      <c r="E137" s="175"/>
      <c r="F137" s="12"/>
      <c r="G137" s="12"/>
      <c r="H137" s="175"/>
      <c r="I137" s="12"/>
      <c r="J137" s="12"/>
      <c r="K137" s="175"/>
      <c r="L137" s="175"/>
      <c r="M137" s="175"/>
      <c r="N137" s="175"/>
      <c r="O137" s="175"/>
      <c r="P137" s="12"/>
      <c r="Q137" s="175"/>
      <c r="R137" s="12"/>
      <c r="S137" s="12"/>
      <c r="T137" s="175"/>
      <c r="U137" s="179"/>
      <c r="V137" s="208"/>
      <c r="W137" s="12"/>
      <c r="X137" s="12"/>
    </row>
    <row r="138">
      <c r="A138" s="175"/>
      <c r="B138" s="175"/>
      <c r="C138" s="176"/>
      <c r="D138" s="175"/>
      <c r="E138" s="175"/>
      <c r="F138" s="12"/>
      <c r="G138" s="12"/>
      <c r="H138" s="175"/>
      <c r="I138" s="12"/>
      <c r="J138" s="12"/>
      <c r="K138" s="175"/>
      <c r="L138" s="175"/>
      <c r="M138" s="175"/>
      <c r="N138" s="175"/>
      <c r="O138" s="175"/>
      <c r="P138" s="12"/>
      <c r="Q138" s="175"/>
      <c r="R138" s="12"/>
      <c r="S138" s="12"/>
      <c r="T138" s="175"/>
      <c r="U138" s="179"/>
      <c r="V138" s="208"/>
      <c r="W138" s="12"/>
      <c r="X138" s="12"/>
    </row>
    <row r="139">
      <c r="A139" s="175"/>
      <c r="B139" s="175"/>
      <c r="C139" s="176"/>
      <c r="D139" s="175"/>
      <c r="E139" s="175"/>
      <c r="F139" s="12"/>
      <c r="G139" s="12"/>
      <c r="H139" s="175"/>
      <c r="I139" s="12"/>
      <c r="J139" s="12"/>
      <c r="K139" s="175"/>
      <c r="L139" s="175"/>
      <c r="M139" s="175"/>
      <c r="N139" s="175"/>
      <c r="O139" s="175"/>
      <c r="P139" s="12"/>
      <c r="Q139" s="175"/>
      <c r="R139" s="12"/>
      <c r="S139" s="12"/>
      <c r="T139" s="175"/>
      <c r="U139" s="179"/>
      <c r="V139" s="208"/>
      <c r="W139" s="12"/>
      <c r="X139" s="12"/>
    </row>
    <row r="140">
      <c r="A140" s="175"/>
      <c r="B140" s="175"/>
      <c r="C140" s="176"/>
      <c r="D140" s="175"/>
      <c r="E140" s="175"/>
      <c r="F140" s="12"/>
      <c r="G140" s="12"/>
      <c r="H140" s="175"/>
      <c r="I140" s="12"/>
      <c r="J140" s="12"/>
      <c r="K140" s="175"/>
      <c r="L140" s="175"/>
      <c r="M140" s="175"/>
      <c r="N140" s="175"/>
      <c r="O140" s="175"/>
      <c r="P140" s="12"/>
      <c r="Q140" s="175"/>
      <c r="R140" s="12"/>
      <c r="S140" s="12"/>
      <c r="T140" s="175"/>
      <c r="U140" s="179"/>
      <c r="V140" s="208"/>
      <c r="W140" s="12"/>
      <c r="X140" s="12"/>
    </row>
    <row r="141">
      <c r="A141" s="175"/>
      <c r="B141" s="175"/>
      <c r="C141" s="176"/>
      <c r="D141" s="175"/>
      <c r="E141" s="175"/>
      <c r="F141" s="12"/>
      <c r="G141" s="12"/>
      <c r="H141" s="175"/>
      <c r="I141" s="12"/>
      <c r="J141" s="12"/>
      <c r="K141" s="175"/>
      <c r="L141" s="175"/>
      <c r="M141" s="175"/>
      <c r="N141" s="175"/>
      <c r="O141" s="175"/>
      <c r="P141" s="12"/>
      <c r="Q141" s="175"/>
      <c r="R141" s="12"/>
      <c r="S141" s="12"/>
      <c r="T141" s="175"/>
      <c r="U141" s="179"/>
      <c r="V141" s="208"/>
      <c r="W141" s="12"/>
      <c r="X141" s="12"/>
    </row>
    <row r="142">
      <c r="A142" s="175"/>
      <c r="B142" s="175"/>
      <c r="C142" s="176"/>
      <c r="D142" s="175"/>
      <c r="E142" s="175"/>
      <c r="F142" s="12"/>
      <c r="G142" s="12"/>
      <c r="H142" s="175"/>
      <c r="I142" s="12"/>
      <c r="J142" s="12"/>
      <c r="K142" s="175"/>
      <c r="L142" s="175"/>
      <c r="M142" s="175"/>
      <c r="N142" s="175"/>
      <c r="O142" s="175"/>
      <c r="P142" s="12"/>
      <c r="Q142" s="175"/>
      <c r="R142" s="12"/>
      <c r="S142" s="12"/>
      <c r="T142" s="175"/>
      <c r="U142" s="179"/>
      <c r="V142" s="208"/>
      <c r="W142" s="12"/>
      <c r="X142" s="12"/>
    </row>
    <row r="143">
      <c r="A143" s="175"/>
      <c r="B143" s="175"/>
      <c r="C143" s="176"/>
      <c r="D143" s="175"/>
      <c r="E143" s="175"/>
      <c r="F143" s="12"/>
      <c r="G143" s="12"/>
      <c r="H143" s="175"/>
      <c r="I143" s="12"/>
      <c r="J143" s="12"/>
      <c r="K143" s="175"/>
      <c r="L143" s="175"/>
      <c r="M143" s="175"/>
      <c r="N143" s="175"/>
      <c r="O143" s="175"/>
      <c r="P143" s="12"/>
      <c r="Q143" s="175"/>
      <c r="R143" s="12"/>
      <c r="S143" s="12"/>
      <c r="T143" s="175"/>
      <c r="U143" s="179"/>
      <c r="V143" s="208"/>
      <c r="W143" s="12"/>
      <c r="X143" s="12"/>
    </row>
    <row r="144">
      <c r="A144" s="175"/>
      <c r="B144" s="175"/>
      <c r="C144" s="176"/>
      <c r="D144" s="175"/>
      <c r="E144" s="175"/>
      <c r="F144" s="12"/>
      <c r="G144" s="12"/>
      <c r="H144" s="175"/>
      <c r="I144" s="12"/>
      <c r="J144" s="12"/>
      <c r="K144" s="175"/>
      <c r="L144" s="175"/>
      <c r="M144" s="175"/>
      <c r="N144" s="175"/>
      <c r="O144" s="175"/>
      <c r="P144" s="12"/>
      <c r="Q144" s="175"/>
      <c r="R144" s="12"/>
      <c r="S144" s="12"/>
      <c r="T144" s="175"/>
      <c r="U144" s="179"/>
      <c r="V144" s="208"/>
      <c r="W144" s="12"/>
      <c r="X144" s="12"/>
    </row>
    <row r="145">
      <c r="A145" s="175"/>
      <c r="B145" s="175"/>
      <c r="C145" s="176"/>
      <c r="D145" s="175"/>
      <c r="E145" s="175"/>
      <c r="F145" s="12"/>
      <c r="G145" s="12"/>
      <c r="H145" s="175"/>
      <c r="I145" s="12"/>
      <c r="J145" s="12"/>
      <c r="K145" s="175"/>
      <c r="L145" s="175"/>
      <c r="M145" s="175"/>
      <c r="N145" s="175"/>
      <c r="O145" s="175"/>
      <c r="P145" s="12"/>
      <c r="Q145" s="175"/>
      <c r="R145" s="12"/>
      <c r="S145" s="12"/>
      <c r="T145" s="175"/>
      <c r="U145" s="179"/>
      <c r="V145" s="208"/>
      <c r="W145" s="12"/>
      <c r="X145" s="12"/>
    </row>
    <row r="146">
      <c r="A146" s="175"/>
      <c r="B146" s="175"/>
      <c r="C146" s="176"/>
      <c r="D146" s="175"/>
      <c r="E146" s="175"/>
      <c r="F146" s="12"/>
      <c r="G146" s="12"/>
      <c r="H146" s="175"/>
      <c r="I146" s="12"/>
      <c r="J146" s="12"/>
      <c r="K146" s="175"/>
      <c r="L146" s="175"/>
      <c r="M146" s="175"/>
      <c r="N146" s="175"/>
      <c r="O146" s="175"/>
      <c r="P146" s="12"/>
      <c r="Q146" s="175"/>
      <c r="R146" s="12"/>
      <c r="S146" s="12"/>
      <c r="T146" s="175"/>
      <c r="U146" s="179"/>
      <c r="V146" s="208"/>
      <c r="W146" s="12"/>
      <c r="X146" s="12"/>
    </row>
    <row r="147">
      <c r="A147" s="175"/>
      <c r="B147" s="175"/>
      <c r="C147" s="176"/>
      <c r="D147" s="175"/>
      <c r="E147" s="175"/>
      <c r="F147" s="12"/>
      <c r="G147" s="12"/>
      <c r="H147" s="175"/>
      <c r="I147" s="12"/>
      <c r="J147" s="12"/>
      <c r="K147" s="175"/>
      <c r="L147" s="175"/>
      <c r="M147" s="175"/>
      <c r="N147" s="175"/>
      <c r="O147" s="175"/>
      <c r="P147" s="12"/>
      <c r="Q147" s="175"/>
      <c r="R147" s="12"/>
      <c r="S147" s="12"/>
      <c r="T147" s="175"/>
      <c r="U147" s="179"/>
      <c r="V147" s="208"/>
      <c r="W147" s="12"/>
      <c r="X147" s="12"/>
    </row>
    <row r="148">
      <c r="A148" s="175"/>
      <c r="B148" s="175"/>
      <c r="C148" s="176"/>
      <c r="D148" s="175"/>
      <c r="E148" s="175"/>
      <c r="F148" s="12"/>
      <c r="G148" s="12"/>
      <c r="H148" s="175"/>
      <c r="I148" s="12"/>
      <c r="J148" s="12"/>
      <c r="K148" s="175"/>
      <c r="L148" s="175"/>
      <c r="M148" s="175"/>
      <c r="N148" s="175"/>
      <c r="O148" s="175"/>
      <c r="P148" s="12"/>
      <c r="Q148" s="175"/>
      <c r="R148" s="12"/>
      <c r="S148" s="12"/>
      <c r="T148" s="175"/>
      <c r="U148" s="179"/>
      <c r="V148" s="208"/>
      <c r="W148" s="12"/>
      <c r="X148" s="12"/>
    </row>
    <row r="149">
      <c r="A149" s="175"/>
      <c r="B149" s="175"/>
      <c r="C149" s="176"/>
      <c r="D149" s="175"/>
      <c r="E149" s="175"/>
      <c r="F149" s="12"/>
      <c r="G149" s="12"/>
      <c r="H149" s="175"/>
      <c r="I149" s="12"/>
      <c r="J149" s="12"/>
      <c r="K149" s="175"/>
      <c r="L149" s="175"/>
      <c r="M149" s="175"/>
      <c r="N149" s="175"/>
      <c r="O149" s="175"/>
      <c r="P149" s="12"/>
      <c r="Q149" s="175"/>
      <c r="R149" s="12"/>
      <c r="S149" s="12"/>
      <c r="T149" s="175"/>
      <c r="U149" s="179"/>
      <c r="V149" s="208"/>
      <c r="W149" s="12"/>
      <c r="X149" s="12"/>
    </row>
    <row r="150">
      <c r="A150" s="175"/>
      <c r="B150" s="175"/>
      <c r="C150" s="176"/>
      <c r="D150" s="175"/>
      <c r="E150" s="175"/>
      <c r="F150" s="12"/>
      <c r="G150" s="12"/>
      <c r="H150" s="175"/>
      <c r="I150" s="12"/>
      <c r="J150" s="12"/>
      <c r="K150" s="175"/>
      <c r="L150" s="175"/>
      <c r="M150" s="175"/>
      <c r="N150" s="175"/>
      <c r="O150" s="175"/>
      <c r="P150" s="12"/>
      <c r="Q150" s="175"/>
      <c r="R150" s="12"/>
      <c r="S150" s="12"/>
      <c r="T150" s="175"/>
      <c r="U150" s="179"/>
      <c r="V150" s="208"/>
      <c r="W150" s="12"/>
      <c r="X150" s="12"/>
    </row>
    <row r="151">
      <c r="A151" s="175"/>
      <c r="B151" s="175"/>
      <c r="C151" s="176"/>
      <c r="D151" s="175"/>
      <c r="E151" s="175"/>
      <c r="F151" s="12"/>
      <c r="G151" s="12"/>
      <c r="H151" s="175"/>
      <c r="I151" s="12"/>
      <c r="J151" s="12"/>
      <c r="K151" s="175"/>
      <c r="L151" s="175"/>
      <c r="M151" s="175"/>
      <c r="N151" s="175"/>
      <c r="O151" s="175"/>
      <c r="P151" s="12"/>
      <c r="Q151" s="175"/>
      <c r="R151" s="12"/>
      <c r="S151" s="12"/>
      <c r="T151" s="175"/>
      <c r="U151" s="179"/>
      <c r="V151" s="208"/>
      <c r="W151" s="12"/>
      <c r="X151" s="12"/>
    </row>
    <row r="152">
      <c r="A152" s="175"/>
      <c r="B152" s="175"/>
      <c r="C152" s="176"/>
      <c r="D152" s="175"/>
      <c r="E152" s="175"/>
      <c r="F152" s="12"/>
      <c r="G152" s="12"/>
      <c r="H152" s="175"/>
      <c r="I152" s="12"/>
      <c r="J152" s="12"/>
      <c r="K152" s="175"/>
      <c r="L152" s="175"/>
      <c r="M152" s="175"/>
      <c r="N152" s="175"/>
      <c r="O152" s="175"/>
      <c r="P152" s="12"/>
      <c r="Q152" s="175"/>
      <c r="R152" s="12"/>
      <c r="S152" s="12"/>
      <c r="T152" s="175"/>
      <c r="U152" s="179"/>
      <c r="V152" s="208"/>
      <c r="W152" s="12"/>
      <c r="X152" s="12"/>
    </row>
    <row r="153">
      <c r="A153" s="175"/>
      <c r="B153" s="175"/>
      <c r="C153" s="176"/>
      <c r="D153" s="175"/>
      <c r="E153" s="175"/>
      <c r="F153" s="12"/>
      <c r="G153" s="12"/>
      <c r="H153" s="175"/>
      <c r="I153" s="12"/>
      <c r="J153" s="12"/>
      <c r="K153" s="175"/>
      <c r="L153" s="175"/>
      <c r="M153" s="175"/>
      <c r="N153" s="175"/>
      <c r="O153" s="175"/>
      <c r="P153" s="12"/>
      <c r="Q153" s="175"/>
      <c r="R153" s="12"/>
      <c r="S153" s="12"/>
      <c r="T153" s="175"/>
      <c r="U153" s="179"/>
      <c r="V153" s="208"/>
      <c r="W153" s="12"/>
      <c r="X153" s="12"/>
    </row>
    <row r="154">
      <c r="A154" s="175"/>
      <c r="B154" s="175"/>
      <c r="C154" s="176"/>
      <c r="D154" s="175"/>
      <c r="E154" s="175"/>
      <c r="F154" s="12"/>
      <c r="G154" s="12"/>
      <c r="H154" s="175"/>
      <c r="I154" s="12"/>
      <c r="J154" s="12"/>
      <c r="K154" s="175"/>
      <c r="L154" s="175"/>
      <c r="M154" s="175"/>
      <c r="N154" s="175"/>
      <c r="O154" s="175"/>
      <c r="P154" s="12"/>
      <c r="Q154" s="175"/>
      <c r="R154" s="12"/>
      <c r="S154" s="12"/>
      <c r="T154" s="175"/>
      <c r="U154" s="179"/>
      <c r="V154" s="208"/>
      <c r="W154" s="12"/>
      <c r="X154" s="12"/>
    </row>
    <row r="155">
      <c r="A155" s="175"/>
      <c r="B155" s="175"/>
      <c r="C155" s="176"/>
      <c r="D155" s="175"/>
      <c r="E155" s="175"/>
      <c r="F155" s="12"/>
      <c r="G155" s="12"/>
      <c r="H155" s="175"/>
      <c r="I155" s="12"/>
      <c r="J155" s="12"/>
      <c r="K155" s="175"/>
      <c r="L155" s="175"/>
      <c r="M155" s="175"/>
      <c r="N155" s="175"/>
      <c r="O155" s="175"/>
      <c r="P155" s="12"/>
      <c r="Q155" s="175"/>
      <c r="R155" s="12"/>
      <c r="S155" s="12"/>
      <c r="T155" s="175"/>
      <c r="U155" s="179"/>
      <c r="V155" s="208"/>
      <c r="W155" s="12"/>
      <c r="X155" s="12"/>
    </row>
    <row r="156">
      <c r="A156" s="175"/>
      <c r="B156" s="175"/>
      <c r="C156" s="176"/>
      <c r="D156" s="175"/>
      <c r="E156" s="175"/>
      <c r="F156" s="12"/>
      <c r="G156" s="12"/>
      <c r="H156" s="175"/>
      <c r="I156" s="12"/>
      <c r="J156" s="12"/>
      <c r="K156" s="175"/>
      <c r="L156" s="175"/>
      <c r="M156" s="175"/>
      <c r="N156" s="175"/>
      <c r="O156" s="175"/>
      <c r="P156" s="12"/>
      <c r="Q156" s="175"/>
      <c r="R156" s="12"/>
      <c r="S156" s="12"/>
      <c r="T156" s="175"/>
      <c r="U156" s="179"/>
      <c r="V156" s="208"/>
      <c r="W156" s="12"/>
      <c r="X156" s="12"/>
    </row>
    <row r="157">
      <c r="A157" s="175"/>
      <c r="B157" s="175"/>
      <c r="C157" s="176"/>
      <c r="D157" s="175"/>
      <c r="E157" s="175"/>
      <c r="F157" s="12"/>
      <c r="G157" s="12"/>
      <c r="H157" s="175"/>
      <c r="I157" s="12"/>
      <c r="J157" s="12"/>
      <c r="K157" s="175"/>
      <c r="L157" s="175"/>
      <c r="M157" s="175"/>
      <c r="N157" s="175"/>
      <c r="O157" s="175"/>
      <c r="P157" s="12"/>
      <c r="Q157" s="175"/>
      <c r="R157" s="12"/>
      <c r="S157" s="12"/>
      <c r="T157" s="175"/>
      <c r="U157" s="179"/>
      <c r="V157" s="208"/>
      <c r="W157" s="12"/>
      <c r="X157" s="12"/>
    </row>
    <row r="158">
      <c r="A158" s="175"/>
      <c r="B158" s="175"/>
      <c r="C158" s="176"/>
      <c r="D158" s="175"/>
      <c r="E158" s="175"/>
      <c r="F158" s="12"/>
      <c r="G158" s="12"/>
      <c r="H158" s="175"/>
      <c r="I158" s="12"/>
      <c r="J158" s="12"/>
      <c r="K158" s="175"/>
      <c r="L158" s="175"/>
      <c r="M158" s="175"/>
      <c r="N158" s="175"/>
      <c r="O158" s="175"/>
      <c r="P158" s="12"/>
      <c r="Q158" s="175"/>
      <c r="R158" s="12"/>
      <c r="S158" s="12"/>
      <c r="T158" s="175"/>
      <c r="U158" s="179"/>
      <c r="V158" s="208"/>
      <c r="W158" s="12"/>
      <c r="X158" s="12"/>
    </row>
    <row r="159">
      <c r="A159" s="175"/>
      <c r="B159" s="175"/>
      <c r="C159" s="176"/>
      <c r="D159" s="175"/>
      <c r="E159" s="175"/>
      <c r="F159" s="12"/>
      <c r="G159" s="12"/>
      <c r="H159" s="175"/>
      <c r="I159" s="12"/>
      <c r="J159" s="12"/>
      <c r="K159" s="175"/>
      <c r="L159" s="175"/>
      <c r="M159" s="175"/>
      <c r="N159" s="175"/>
      <c r="O159" s="175"/>
      <c r="P159" s="12"/>
      <c r="Q159" s="175"/>
      <c r="R159" s="12"/>
      <c r="S159" s="12"/>
      <c r="T159" s="175"/>
      <c r="U159" s="179"/>
      <c r="V159" s="208"/>
      <c r="W159" s="12"/>
      <c r="X159" s="12"/>
    </row>
    <row r="160">
      <c r="A160" s="175"/>
      <c r="B160" s="175"/>
      <c r="C160" s="176"/>
      <c r="D160" s="175"/>
      <c r="E160" s="175"/>
      <c r="F160" s="12"/>
      <c r="G160" s="12"/>
      <c r="H160" s="175"/>
      <c r="I160" s="12"/>
      <c r="J160" s="12"/>
      <c r="K160" s="175"/>
      <c r="L160" s="175"/>
      <c r="M160" s="175"/>
      <c r="N160" s="175"/>
      <c r="O160" s="175"/>
      <c r="P160" s="12"/>
      <c r="Q160" s="175"/>
      <c r="R160" s="12"/>
      <c r="S160" s="12"/>
      <c r="T160" s="175"/>
      <c r="U160" s="179"/>
      <c r="V160" s="208"/>
      <c r="W160" s="12"/>
      <c r="X160" s="12"/>
    </row>
    <row r="161">
      <c r="A161" s="175"/>
      <c r="B161" s="175"/>
      <c r="C161" s="176"/>
      <c r="D161" s="175"/>
      <c r="E161" s="175"/>
      <c r="F161" s="12"/>
      <c r="G161" s="12"/>
      <c r="H161" s="175"/>
      <c r="I161" s="12"/>
      <c r="J161" s="12"/>
      <c r="K161" s="175"/>
      <c r="L161" s="175"/>
      <c r="M161" s="175"/>
      <c r="N161" s="175"/>
      <c r="O161" s="175"/>
      <c r="P161" s="12"/>
      <c r="Q161" s="175"/>
      <c r="R161" s="12"/>
      <c r="S161" s="12"/>
      <c r="T161" s="175"/>
      <c r="U161" s="179"/>
      <c r="V161" s="208"/>
      <c r="W161" s="12"/>
      <c r="X161" s="12"/>
    </row>
    <row r="162">
      <c r="A162" s="175"/>
      <c r="B162" s="175"/>
      <c r="C162" s="176"/>
      <c r="D162" s="175"/>
      <c r="E162" s="175"/>
      <c r="F162" s="12"/>
      <c r="G162" s="12"/>
      <c r="H162" s="175"/>
      <c r="I162" s="12"/>
      <c r="J162" s="12"/>
      <c r="K162" s="175"/>
      <c r="L162" s="175"/>
      <c r="M162" s="175"/>
      <c r="N162" s="175"/>
      <c r="O162" s="175"/>
      <c r="P162" s="12"/>
      <c r="Q162" s="175"/>
      <c r="R162" s="12"/>
      <c r="S162" s="12"/>
      <c r="T162" s="175"/>
      <c r="U162" s="179"/>
      <c r="V162" s="208"/>
      <c r="W162" s="12"/>
      <c r="X162" s="12"/>
    </row>
    <row r="163">
      <c r="A163" s="175"/>
      <c r="B163" s="175"/>
      <c r="C163" s="176"/>
      <c r="D163" s="175"/>
      <c r="E163" s="175"/>
      <c r="F163" s="12"/>
      <c r="G163" s="12"/>
      <c r="H163" s="175"/>
      <c r="I163" s="12"/>
      <c r="J163" s="12"/>
      <c r="K163" s="175"/>
      <c r="L163" s="175"/>
      <c r="M163" s="175"/>
      <c r="N163" s="175"/>
      <c r="O163" s="175"/>
      <c r="P163" s="12"/>
      <c r="Q163" s="175"/>
      <c r="R163" s="12"/>
      <c r="S163" s="12"/>
      <c r="T163" s="175"/>
      <c r="U163" s="179"/>
      <c r="V163" s="208"/>
      <c r="W163" s="12"/>
      <c r="X163" s="12"/>
    </row>
    <row r="164">
      <c r="A164" s="175"/>
      <c r="B164" s="175"/>
      <c r="C164" s="176"/>
      <c r="D164" s="175"/>
      <c r="E164" s="175"/>
      <c r="F164" s="12"/>
      <c r="G164" s="12"/>
      <c r="H164" s="175"/>
      <c r="I164" s="12"/>
      <c r="J164" s="12"/>
      <c r="K164" s="175"/>
      <c r="L164" s="175"/>
      <c r="M164" s="175"/>
      <c r="N164" s="175"/>
      <c r="O164" s="175"/>
      <c r="P164" s="12"/>
      <c r="Q164" s="175"/>
      <c r="R164" s="12"/>
      <c r="S164" s="12"/>
      <c r="T164" s="175"/>
      <c r="U164" s="179"/>
      <c r="V164" s="208"/>
      <c r="W164" s="12"/>
      <c r="X164" s="12"/>
    </row>
    <row r="165">
      <c r="A165" s="175"/>
      <c r="B165" s="175"/>
      <c r="C165" s="176"/>
      <c r="D165" s="175"/>
      <c r="E165" s="175"/>
      <c r="F165" s="12"/>
      <c r="G165" s="12"/>
      <c r="H165" s="175"/>
      <c r="I165" s="12"/>
      <c r="J165" s="12"/>
      <c r="K165" s="175"/>
      <c r="L165" s="175"/>
      <c r="M165" s="175"/>
      <c r="N165" s="175"/>
      <c r="O165" s="175"/>
      <c r="P165" s="12"/>
      <c r="Q165" s="175"/>
      <c r="R165" s="12"/>
      <c r="S165" s="12"/>
      <c r="T165" s="175"/>
      <c r="U165" s="179"/>
      <c r="V165" s="208"/>
      <c r="W165" s="12"/>
      <c r="X165" s="12"/>
    </row>
    <row r="166">
      <c r="A166" s="175"/>
      <c r="B166" s="175"/>
      <c r="C166" s="176"/>
      <c r="D166" s="175"/>
      <c r="E166" s="175"/>
      <c r="F166" s="12"/>
      <c r="G166" s="12"/>
      <c r="H166" s="175"/>
      <c r="I166" s="12"/>
      <c r="J166" s="12"/>
      <c r="K166" s="175"/>
      <c r="L166" s="175"/>
      <c r="M166" s="175"/>
      <c r="N166" s="175"/>
      <c r="O166" s="175"/>
      <c r="P166" s="12"/>
      <c r="Q166" s="175"/>
      <c r="R166" s="12"/>
      <c r="S166" s="12"/>
      <c r="T166" s="175"/>
      <c r="U166" s="179"/>
      <c r="V166" s="208"/>
      <c r="W166" s="12"/>
      <c r="X166" s="12"/>
    </row>
    <row r="167">
      <c r="A167" s="175"/>
      <c r="B167" s="175"/>
      <c r="C167" s="176"/>
      <c r="D167" s="175"/>
      <c r="E167" s="175"/>
      <c r="F167" s="12"/>
      <c r="G167" s="12"/>
      <c r="H167" s="175"/>
      <c r="I167" s="12"/>
      <c r="J167" s="12"/>
      <c r="K167" s="175"/>
      <c r="L167" s="175"/>
      <c r="M167" s="175"/>
      <c r="N167" s="175"/>
      <c r="O167" s="175"/>
      <c r="P167" s="12"/>
      <c r="Q167" s="175"/>
      <c r="R167" s="12"/>
      <c r="S167" s="12"/>
      <c r="T167" s="175"/>
      <c r="U167" s="179"/>
      <c r="V167" s="208"/>
      <c r="W167" s="12"/>
      <c r="X167" s="12"/>
    </row>
    <row r="168">
      <c r="A168" s="175"/>
      <c r="B168" s="175"/>
      <c r="C168" s="176"/>
      <c r="D168" s="175"/>
      <c r="E168" s="175"/>
      <c r="F168" s="12"/>
      <c r="G168" s="12"/>
      <c r="H168" s="175"/>
      <c r="I168" s="12"/>
      <c r="J168" s="12"/>
      <c r="K168" s="175"/>
      <c r="L168" s="175"/>
      <c r="M168" s="175"/>
      <c r="N168" s="175"/>
      <c r="O168" s="175"/>
      <c r="P168" s="12"/>
      <c r="Q168" s="175"/>
      <c r="R168" s="12"/>
      <c r="S168" s="12"/>
      <c r="T168" s="175"/>
      <c r="U168" s="179"/>
      <c r="V168" s="208"/>
      <c r="W168" s="12"/>
      <c r="X168" s="12"/>
    </row>
    <row r="169">
      <c r="A169" s="175"/>
      <c r="B169" s="175"/>
      <c r="C169" s="176"/>
      <c r="D169" s="175"/>
      <c r="E169" s="175"/>
      <c r="F169" s="12"/>
      <c r="G169" s="12"/>
      <c r="H169" s="175"/>
      <c r="I169" s="12"/>
      <c r="J169" s="12"/>
      <c r="K169" s="175"/>
      <c r="L169" s="175"/>
      <c r="M169" s="175"/>
      <c r="N169" s="175"/>
      <c r="O169" s="175"/>
      <c r="P169" s="12"/>
      <c r="Q169" s="175"/>
      <c r="R169" s="12"/>
      <c r="S169" s="12"/>
      <c r="T169" s="175"/>
      <c r="U169" s="179"/>
      <c r="V169" s="208"/>
      <c r="W169" s="12"/>
      <c r="X169" s="12"/>
    </row>
    <row r="170">
      <c r="A170" s="175"/>
      <c r="B170" s="175"/>
      <c r="C170" s="176"/>
      <c r="D170" s="175"/>
      <c r="E170" s="175"/>
      <c r="F170" s="12"/>
      <c r="G170" s="12"/>
      <c r="H170" s="175"/>
      <c r="I170" s="12"/>
      <c r="J170" s="12"/>
      <c r="K170" s="175"/>
      <c r="L170" s="175"/>
      <c r="M170" s="175"/>
      <c r="N170" s="175"/>
      <c r="O170" s="175"/>
      <c r="P170" s="12"/>
      <c r="Q170" s="175"/>
      <c r="R170" s="12"/>
      <c r="S170" s="12"/>
      <c r="T170" s="175"/>
      <c r="U170" s="179"/>
      <c r="V170" s="208"/>
      <c r="W170" s="12"/>
      <c r="X170" s="12"/>
    </row>
    <row r="171">
      <c r="A171" s="175"/>
      <c r="B171" s="175"/>
      <c r="C171" s="176"/>
      <c r="D171" s="175"/>
      <c r="E171" s="175"/>
      <c r="F171" s="12"/>
      <c r="G171" s="12"/>
      <c r="H171" s="175"/>
      <c r="I171" s="12"/>
      <c r="J171" s="12"/>
      <c r="K171" s="175"/>
      <c r="L171" s="175"/>
      <c r="M171" s="175"/>
      <c r="N171" s="175"/>
      <c r="O171" s="175"/>
      <c r="P171" s="12"/>
      <c r="Q171" s="175"/>
      <c r="R171" s="12"/>
      <c r="S171" s="12"/>
      <c r="T171" s="175"/>
      <c r="U171" s="179"/>
      <c r="V171" s="208"/>
      <c r="W171" s="12"/>
      <c r="X171" s="12"/>
    </row>
    <row r="172">
      <c r="A172" s="175"/>
      <c r="B172" s="175"/>
      <c r="C172" s="176"/>
      <c r="D172" s="175"/>
      <c r="E172" s="175"/>
      <c r="F172" s="12"/>
      <c r="G172" s="12"/>
      <c r="H172" s="175"/>
      <c r="I172" s="12"/>
      <c r="J172" s="12"/>
      <c r="K172" s="175"/>
      <c r="L172" s="175"/>
      <c r="M172" s="175"/>
      <c r="N172" s="175"/>
      <c r="O172" s="175"/>
      <c r="P172" s="12"/>
      <c r="Q172" s="175"/>
      <c r="R172" s="12"/>
      <c r="S172" s="12"/>
      <c r="T172" s="175"/>
      <c r="U172" s="179"/>
      <c r="V172" s="208"/>
      <c r="W172" s="12"/>
      <c r="X172" s="12"/>
    </row>
    <row r="173">
      <c r="A173" s="175"/>
      <c r="B173" s="175"/>
      <c r="C173" s="176"/>
      <c r="D173" s="175"/>
      <c r="E173" s="175"/>
      <c r="F173" s="12"/>
      <c r="G173" s="12"/>
      <c r="H173" s="175"/>
      <c r="I173" s="12"/>
      <c r="J173" s="12"/>
      <c r="K173" s="175"/>
      <c r="L173" s="175"/>
      <c r="M173" s="175"/>
      <c r="N173" s="175"/>
      <c r="O173" s="175"/>
      <c r="P173" s="12"/>
      <c r="Q173" s="175"/>
      <c r="R173" s="12"/>
      <c r="S173" s="12"/>
      <c r="T173" s="175"/>
      <c r="U173" s="179"/>
      <c r="V173" s="208"/>
      <c r="W173" s="12"/>
      <c r="X173" s="12"/>
    </row>
    <row r="174">
      <c r="A174" s="175"/>
      <c r="B174" s="175"/>
      <c r="C174" s="176"/>
      <c r="D174" s="175"/>
      <c r="E174" s="175"/>
      <c r="F174" s="12"/>
      <c r="G174" s="12"/>
      <c r="H174" s="175"/>
      <c r="I174" s="12"/>
      <c r="J174" s="12"/>
      <c r="K174" s="175"/>
      <c r="L174" s="175"/>
      <c r="M174" s="175"/>
      <c r="N174" s="175"/>
      <c r="O174" s="175"/>
      <c r="P174" s="12"/>
      <c r="Q174" s="175"/>
      <c r="R174" s="12"/>
      <c r="S174" s="12"/>
      <c r="T174" s="175"/>
      <c r="U174" s="179"/>
      <c r="V174" s="208"/>
      <c r="W174" s="12"/>
      <c r="X174" s="12"/>
    </row>
    <row r="175">
      <c r="A175" s="175"/>
      <c r="B175" s="175"/>
      <c r="C175" s="176"/>
      <c r="D175" s="175"/>
      <c r="E175" s="175"/>
      <c r="F175" s="12"/>
      <c r="G175" s="12"/>
      <c r="H175" s="175"/>
      <c r="I175" s="12"/>
      <c r="J175" s="12"/>
      <c r="K175" s="175"/>
      <c r="L175" s="175"/>
      <c r="M175" s="175"/>
      <c r="N175" s="175"/>
      <c r="O175" s="175"/>
      <c r="P175" s="12"/>
      <c r="Q175" s="175"/>
      <c r="R175" s="12"/>
      <c r="S175" s="12"/>
      <c r="T175" s="175"/>
      <c r="U175" s="179"/>
      <c r="V175" s="208"/>
      <c r="W175" s="12"/>
      <c r="X175" s="12"/>
    </row>
    <row r="176">
      <c r="A176" s="175"/>
      <c r="B176" s="175"/>
      <c r="C176" s="176"/>
      <c r="D176" s="175"/>
      <c r="E176" s="175"/>
      <c r="F176" s="12"/>
      <c r="G176" s="12"/>
      <c r="H176" s="175"/>
      <c r="I176" s="12"/>
      <c r="J176" s="12"/>
      <c r="K176" s="175"/>
      <c r="L176" s="175"/>
      <c r="M176" s="175"/>
      <c r="N176" s="175"/>
      <c r="O176" s="175"/>
      <c r="P176" s="12"/>
      <c r="Q176" s="175"/>
      <c r="R176" s="12"/>
      <c r="S176" s="12"/>
      <c r="T176" s="175"/>
      <c r="U176" s="179"/>
      <c r="V176" s="208"/>
      <c r="W176" s="12"/>
      <c r="X176" s="12"/>
    </row>
    <row r="177">
      <c r="A177" s="175"/>
      <c r="B177" s="175"/>
      <c r="C177" s="176"/>
      <c r="D177" s="175"/>
      <c r="E177" s="175"/>
      <c r="F177" s="12"/>
      <c r="G177" s="12"/>
      <c r="H177" s="175"/>
      <c r="I177" s="12"/>
      <c r="J177" s="12"/>
      <c r="K177" s="175"/>
      <c r="L177" s="175"/>
      <c r="M177" s="175"/>
      <c r="N177" s="175"/>
      <c r="O177" s="175"/>
      <c r="P177" s="12"/>
      <c r="Q177" s="175"/>
      <c r="R177" s="12"/>
      <c r="S177" s="12"/>
      <c r="T177" s="175"/>
      <c r="U177" s="179"/>
      <c r="V177" s="208"/>
      <c r="W177" s="12"/>
      <c r="X177" s="12"/>
    </row>
    <row r="178">
      <c r="A178" s="175"/>
      <c r="B178" s="175"/>
      <c r="C178" s="176"/>
      <c r="D178" s="175"/>
      <c r="E178" s="175"/>
      <c r="F178" s="12"/>
      <c r="G178" s="12"/>
      <c r="H178" s="175"/>
      <c r="I178" s="12"/>
      <c r="J178" s="12"/>
      <c r="K178" s="175"/>
      <c r="L178" s="175"/>
      <c r="M178" s="175"/>
      <c r="N178" s="175"/>
      <c r="O178" s="175"/>
      <c r="P178" s="12"/>
      <c r="Q178" s="175"/>
      <c r="R178" s="12"/>
      <c r="S178" s="12"/>
      <c r="T178" s="175"/>
      <c r="U178" s="179"/>
      <c r="V178" s="208"/>
      <c r="W178" s="12"/>
      <c r="X178" s="12"/>
    </row>
    <row r="179">
      <c r="A179" s="175"/>
      <c r="B179" s="175"/>
      <c r="C179" s="176"/>
      <c r="D179" s="175"/>
      <c r="E179" s="175"/>
      <c r="F179" s="12"/>
      <c r="G179" s="12"/>
      <c r="H179" s="175"/>
      <c r="I179" s="12"/>
      <c r="J179" s="12"/>
      <c r="K179" s="175"/>
      <c r="L179" s="175"/>
      <c r="M179" s="175"/>
      <c r="N179" s="175"/>
      <c r="O179" s="175"/>
      <c r="P179" s="12"/>
      <c r="Q179" s="175"/>
      <c r="R179" s="12"/>
      <c r="S179" s="12"/>
      <c r="T179" s="175"/>
      <c r="U179" s="179"/>
      <c r="V179" s="208"/>
      <c r="W179" s="12"/>
      <c r="X179" s="12"/>
    </row>
    <row r="180">
      <c r="A180" s="175"/>
      <c r="B180" s="175"/>
      <c r="C180" s="176"/>
      <c r="D180" s="175"/>
      <c r="E180" s="175"/>
      <c r="F180" s="12"/>
      <c r="G180" s="12"/>
      <c r="H180" s="175"/>
      <c r="I180" s="12"/>
      <c r="J180" s="12"/>
      <c r="K180" s="175"/>
      <c r="L180" s="175"/>
      <c r="M180" s="175"/>
      <c r="N180" s="175"/>
      <c r="O180" s="175"/>
      <c r="P180" s="12"/>
      <c r="Q180" s="175"/>
      <c r="R180" s="12"/>
      <c r="S180" s="12"/>
      <c r="T180" s="175"/>
      <c r="U180" s="179"/>
      <c r="V180" s="208"/>
      <c r="W180" s="12"/>
      <c r="X180" s="12"/>
    </row>
    <row r="181">
      <c r="A181" s="175"/>
      <c r="B181" s="175"/>
      <c r="C181" s="176"/>
      <c r="D181" s="175"/>
      <c r="E181" s="175"/>
      <c r="F181" s="12"/>
      <c r="G181" s="12"/>
      <c r="H181" s="175"/>
      <c r="I181" s="12"/>
      <c r="J181" s="12"/>
      <c r="K181" s="175"/>
      <c r="L181" s="175"/>
      <c r="M181" s="175"/>
      <c r="N181" s="175"/>
      <c r="O181" s="175"/>
      <c r="P181" s="12"/>
      <c r="Q181" s="175"/>
      <c r="R181" s="12"/>
      <c r="S181" s="12"/>
      <c r="T181" s="175"/>
      <c r="U181" s="179"/>
      <c r="V181" s="208"/>
      <c r="W181" s="12"/>
      <c r="X181" s="12"/>
    </row>
    <row r="182">
      <c r="A182" s="175"/>
      <c r="B182" s="175"/>
      <c r="C182" s="176"/>
      <c r="D182" s="175"/>
      <c r="E182" s="175"/>
      <c r="F182" s="12"/>
      <c r="G182" s="12"/>
      <c r="H182" s="175"/>
      <c r="I182" s="12"/>
      <c r="J182" s="12"/>
      <c r="K182" s="175"/>
      <c r="L182" s="175"/>
      <c r="M182" s="175"/>
      <c r="N182" s="175"/>
      <c r="O182" s="175"/>
      <c r="P182" s="12"/>
      <c r="Q182" s="175"/>
      <c r="R182" s="12"/>
      <c r="S182" s="12"/>
      <c r="T182" s="175"/>
      <c r="U182" s="179"/>
      <c r="V182" s="208"/>
      <c r="W182" s="12"/>
      <c r="X182" s="12"/>
    </row>
    <row r="183">
      <c r="A183" s="175"/>
      <c r="B183" s="175"/>
      <c r="C183" s="176"/>
      <c r="D183" s="175"/>
      <c r="E183" s="175"/>
      <c r="F183" s="12"/>
      <c r="G183" s="12"/>
      <c r="H183" s="175"/>
      <c r="I183" s="12"/>
      <c r="J183" s="12"/>
      <c r="K183" s="175"/>
      <c r="L183" s="175"/>
      <c r="M183" s="175"/>
      <c r="N183" s="175"/>
      <c r="O183" s="175"/>
      <c r="P183" s="12"/>
      <c r="Q183" s="175"/>
      <c r="R183" s="12"/>
      <c r="S183" s="12"/>
      <c r="T183" s="175"/>
      <c r="U183" s="179"/>
      <c r="V183" s="208"/>
      <c r="W183" s="12"/>
      <c r="X183" s="12"/>
    </row>
    <row r="184">
      <c r="A184" s="175"/>
      <c r="B184" s="175"/>
      <c r="C184" s="176"/>
      <c r="D184" s="175"/>
      <c r="E184" s="175"/>
      <c r="F184" s="12"/>
      <c r="G184" s="12"/>
      <c r="H184" s="175"/>
      <c r="I184" s="12"/>
      <c r="J184" s="12"/>
      <c r="K184" s="175"/>
      <c r="L184" s="175"/>
      <c r="M184" s="175"/>
      <c r="N184" s="175"/>
      <c r="O184" s="175"/>
      <c r="P184" s="12"/>
      <c r="Q184" s="175"/>
      <c r="R184" s="12"/>
      <c r="S184" s="12"/>
      <c r="T184" s="175"/>
      <c r="U184" s="179"/>
      <c r="V184" s="208"/>
      <c r="W184" s="12"/>
      <c r="X184" s="12"/>
    </row>
    <row r="185">
      <c r="A185" s="175"/>
      <c r="B185" s="175"/>
      <c r="C185" s="176"/>
      <c r="D185" s="175"/>
      <c r="E185" s="175"/>
      <c r="F185" s="12"/>
      <c r="G185" s="12"/>
      <c r="H185" s="175"/>
      <c r="I185" s="12"/>
      <c r="J185" s="12"/>
      <c r="K185" s="175"/>
      <c r="L185" s="175"/>
      <c r="M185" s="175"/>
      <c r="N185" s="175"/>
      <c r="O185" s="175"/>
      <c r="P185" s="12"/>
      <c r="Q185" s="175"/>
      <c r="R185" s="12"/>
      <c r="S185" s="12"/>
      <c r="T185" s="175"/>
      <c r="U185" s="179"/>
      <c r="V185" s="208"/>
      <c r="W185" s="12"/>
      <c r="X185" s="12"/>
    </row>
    <row r="186">
      <c r="A186" s="175"/>
      <c r="B186" s="175"/>
      <c r="C186" s="176"/>
      <c r="D186" s="175"/>
      <c r="E186" s="175"/>
      <c r="F186" s="12"/>
      <c r="G186" s="12"/>
      <c r="H186" s="175"/>
      <c r="I186" s="12"/>
      <c r="J186" s="12"/>
      <c r="K186" s="175"/>
      <c r="L186" s="175"/>
      <c r="M186" s="175"/>
      <c r="N186" s="175"/>
      <c r="O186" s="175"/>
      <c r="P186" s="12"/>
      <c r="Q186" s="175"/>
      <c r="R186" s="12"/>
      <c r="S186" s="12"/>
      <c r="T186" s="175"/>
      <c r="U186" s="179"/>
      <c r="V186" s="208"/>
      <c r="W186" s="12"/>
      <c r="X186" s="12"/>
    </row>
    <row r="187">
      <c r="A187" s="175"/>
      <c r="B187" s="175"/>
      <c r="C187" s="176"/>
      <c r="D187" s="175"/>
      <c r="E187" s="175"/>
      <c r="F187" s="12"/>
      <c r="G187" s="12"/>
      <c r="H187" s="175"/>
      <c r="I187" s="12"/>
      <c r="J187" s="12"/>
      <c r="K187" s="175"/>
      <c r="L187" s="175"/>
      <c r="M187" s="175"/>
      <c r="N187" s="175"/>
      <c r="O187" s="175"/>
      <c r="P187" s="12"/>
      <c r="Q187" s="175"/>
      <c r="R187" s="12"/>
      <c r="S187" s="12"/>
      <c r="T187" s="175"/>
      <c r="U187" s="179"/>
      <c r="V187" s="208"/>
      <c r="W187" s="12"/>
      <c r="X187" s="12"/>
    </row>
    <row r="188">
      <c r="A188" s="175"/>
      <c r="B188" s="175"/>
      <c r="C188" s="176"/>
      <c r="D188" s="175"/>
      <c r="E188" s="175"/>
      <c r="F188" s="12"/>
      <c r="G188" s="12"/>
      <c r="H188" s="175"/>
      <c r="I188" s="12"/>
      <c r="J188" s="12"/>
      <c r="K188" s="175"/>
      <c r="L188" s="175"/>
      <c r="M188" s="175"/>
      <c r="N188" s="175"/>
      <c r="O188" s="175"/>
      <c r="P188" s="12"/>
      <c r="Q188" s="175"/>
      <c r="R188" s="12"/>
      <c r="S188" s="12"/>
      <c r="T188" s="175"/>
      <c r="U188" s="179"/>
      <c r="V188" s="208"/>
      <c r="W188" s="12"/>
      <c r="X188" s="12"/>
    </row>
    <row r="189">
      <c r="A189" s="175"/>
      <c r="B189" s="175"/>
      <c r="C189" s="176"/>
      <c r="D189" s="175"/>
      <c r="E189" s="175"/>
      <c r="F189" s="12"/>
      <c r="G189" s="12"/>
      <c r="H189" s="175"/>
      <c r="I189" s="12"/>
      <c r="J189" s="12"/>
      <c r="K189" s="175"/>
      <c r="L189" s="175"/>
      <c r="M189" s="175"/>
      <c r="N189" s="175"/>
      <c r="O189" s="175"/>
      <c r="P189" s="12"/>
      <c r="Q189" s="175"/>
      <c r="R189" s="12"/>
      <c r="S189" s="12"/>
      <c r="T189" s="175"/>
      <c r="U189" s="179"/>
      <c r="V189" s="208"/>
      <c r="W189" s="12"/>
      <c r="X189" s="12"/>
    </row>
    <row r="190">
      <c r="A190" s="175"/>
      <c r="B190" s="175"/>
      <c r="C190" s="176"/>
      <c r="D190" s="175"/>
      <c r="E190" s="175"/>
      <c r="F190" s="12"/>
      <c r="G190" s="12"/>
      <c r="H190" s="175"/>
      <c r="I190" s="12"/>
      <c r="J190" s="12"/>
      <c r="K190" s="175"/>
      <c r="L190" s="175"/>
      <c r="M190" s="175"/>
      <c r="N190" s="175"/>
      <c r="O190" s="175"/>
      <c r="P190" s="12"/>
      <c r="Q190" s="175"/>
      <c r="R190" s="12"/>
      <c r="S190" s="12"/>
      <c r="T190" s="175"/>
      <c r="U190" s="179"/>
      <c r="V190" s="208"/>
      <c r="W190" s="12"/>
      <c r="X190" s="12"/>
    </row>
    <row r="191">
      <c r="A191" s="175"/>
      <c r="B191" s="175"/>
      <c r="C191" s="176"/>
      <c r="D191" s="175"/>
      <c r="E191" s="175"/>
      <c r="F191" s="12"/>
      <c r="G191" s="12"/>
      <c r="H191" s="175"/>
      <c r="I191" s="12"/>
      <c r="J191" s="12"/>
      <c r="K191" s="175"/>
      <c r="L191" s="175"/>
      <c r="M191" s="175"/>
      <c r="N191" s="175"/>
      <c r="O191" s="175"/>
      <c r="P191" s="12"/>
      <c r="Q191" s="175"/>
      <c r="R191" s="12"/>
      <c r="S191" s="12"/>
      <c r="T191" s="175"/>
      <c r="U191" s="179"/>
      <c r="V191" s="208"/>
      <c r="W191" s="12"/>
      <c r="X191" s="12"/>
    </row>
    <row r="192">
      <c r="A192" s="175"/>
      <c r="B192" s="175"/>
      <c r="C192" s="176"/>
      <c r="D192" s="175"/>
      <c r="E192" s="175"/>
      <c r="F192" s="12"/>
      <c r="G192" s="12"/>
      <c r="H192" s="175"/>
      <c r="I192" s="12"/>
      <c r="J192" s="12"/>
      <c r="K192" s="175"/>
      <c r="L192" s="175"/>
      <c r="M192" s="175"/>
      <c r="N192" s="175"/>
      <c r="O192" s="175"/>
      <c r="P192" s="12"/>
      <c r="Q192" s="175"/>
      <c r="R192" s="12"/>
      <c r="S192" s="12"/>
      <c r="T192" s="175"/>
      <c r="U192" s="179"/>
      <c r="V192" s="208"/>
      <c r="W192" s="12"/>
      <c r="X192" s="12"/>
    </row>
    <row r="193">
      <c r="A193" s="175"/>
      <c r="B193" s="175"/>
      <c r="C193" s="176"/>
      <c r="D193" s="175"/>
      <c r="E193" s="175"/>
      <c r="F193" s="12"/>
      <c r="G193" s="12"/>
      <c r="H193" s="175"/>
      <c r="I193" s="12"/>
      <c r="J193" s="12"/>
      <c r="K193" s="175"/>
      <c r="L193" s="175"/>
      <c r="M193" s="175"/>
      <c r="N193" s="175"/>
      <c r="O193" s="175"/>
      <c r="P193" s="12"/>
      <c r="Q193" s="175"/>
      <c r="R193" s="12"/>
      <c r="S193" s="12"/>
      <c r="T193" s="175"/>
      <c r="U193" s="179"/>
      <c r="V193" s="208"/>
      <c r="W193" s="12"/>
      <c r="X193" s="12"/>
    </row>
    <row r="194">
      <c r="A194" s="175"/>
      <c r="B194" s="175"/>
      <c r="C194" s="176"/>
      <c r="D194" s="175"/>
      <c r="E194" s="175"/>
      <c r="F194" s="12"/>
      <c r="G194" s="12"/>
      <c r="H194" s="175"/>
      <c r="I194" s="12"/>
      <c r="J194" s="12"/>
      <c r="K194" s="175"/>
      <c r="L194" s="175"/>
      <c r="M194" s="175"/>
      <c r="N194" s="175"/>
      <c r="O194" s="175"/>
      <c r="P194" s="12"/>
      <c r="Q194" s="175"/>
      <c r="R194" s="12"/>
      <c r="S194" s="12"/>
      <c r="T194" s="175"/>
      <c r="U194" s="179"/>
      <c r="V194" s="208"/>
      <c r="W194" s="12"/>
      <c r="X194" s="12"/>
    </row>
    <row r="195">
      <c r="A195" s="175"/>
      <c r="B195" s="175"/>
      <c r="C195" s="176"/>
      <c r="D195" s="175"/>
      <c r="E195" s="175"/>
      <c r="F195" s="12"/>
      <c r="G195" s="12"/>
      <c r="H195" s="175"/>
      <c r="I195" s="12"/>
      <c r="J195" s="12"/>
      <c r="K195" s="175"/>
      <c r="L195" s="175"/>
      <c r="M195" s="175"/>
      <c r="N195" s="175"/>
      <c r="O195" s="175"/>
      <c r="P195" s="12"/>
      <c r="Q195" s="175"/>
      <c r="R195" s="12"/>
      <c r="S195" s="12"/>
      <c r="T195" s="175"/>
      <c r="U195" s="179"/>
      <c r="V195" s="208"/>
      <c r="W195" s="12"/>
      <c r="X195" s="12"/>
    </row>
    <row r="196">
      <c r="A196" s="175"/>
      <c r="B196" s="175"/>
      <c r="C196" s="176"/>
      <c r="D196" s="175"/>
      <c r="E196" s="175"/>
      <c r="F196" s="12"/>
      <c r="G196" s="12"/>
      <c r="H196" s="175"/>
      <c r="I196" s="12"/>
      <c r="J196" s="12"/>
      <c r="K196" s="175"/>
      <c r="L196" s="175"/>
      <c r="M196" s="175"/>
      <c r="N196" s="175"/>
      <c r="O196" s="175"/>
      <c r="P196" s="12"/>
      <c r="Q196" s="175"/>
      <c r="R196" s="12"/>
      <c r="S196" s="12"/>
      <c r="T196" s="175"/>
      <c r="U196" s="179"/>
      <c r="V196" s="208"/>
      <c r="W196" s="12"/>
      <c r="X196" s="12"/>
    </row>
    <row r="197">
      <c r="A197" s="175"/>
      <c r="B197" s="175"/>
      <c r="C197" s="176"/>
      <c r="D197" s="175"/>
      <c r="E197" s="175"/>
      <c r="F197" s="12"/>
      <c r="G197" s="12"/>
      <c r="H197" s="175"/>
      <c r="I197" s="12"/>
      <c r="J197" s="12"/>
      <c r="K197" s="175"/>
      <c r="L197" s="175"/>
      <c r="M197" s="175"/>
      <c r="N197" s="175"/>
      <c r="O197" s="175"/>
      <c r="P197" s="12"/>
      <c r="Q197" s="175"/>
      <c r="R197" s="12"/>
      <c r="S197" s="12"/>
      <c r="T197" s="175"/>
      <c r="U197" s="179"/>
      <c r="V197" s="208"/>
      <c r="W197" s="12"/>
      <c r="X197" s="12"/>
    </row>
    <row r="198">
      <c r="A198" s="175"/>
      <c r="B198" s="175"/>
      <c r="C198" s="176"/>
      <c r="D198" s="175"/>
      <c r="E198" s="175"/>
      <c r="F198" s="12"/>
      <c r="G198" s="12"/>
      <c r="H198" s="175"/>
      <c r="I198" s="12"/>
      <c r="J198" s="12"/>
      <c r="K198" s="175"/>
      <c r="L198" s="175"/>
      <c r="M198" s="175"/>
      <c r="N198" s="175"/>
      <c r="O198" s="175"/>
      <c r="P198" s="12"/>
      <c r="Q198" s="175"/>
      <c r="R198" s="12"/>
      <c r="S198" s="12"/>
      <c r="T198" s="175"/>
      <c r="U198" s="179"/>
      <c r="V198" s="208"/>
      <c r="W198" s="12"/>
      <c r="X198" s="12"/>
    </row>
    <row r="199">
      <c r="A199" s="175"/>
      <c r="B199" s="175"/>
      <c r="C199" s="176"/>
      <c r="D199" s="175"/>
      <c r="E199" s="175"/>
      <c r="F199" s="12"/>
      <c r="G199" s="12"/>
      <c r="H199" s="175"/>
      <c r="I199" s="12"/>
      <c r="J199" s="12"/>
      <c r="K199" s="175"/>
      <c r="L199" s="175"/>
      <c r="M199" s="175"/>
      <c r="N199" s="175"/>
      <c r="O199" s="175"/>
      <c r="P199" s="12"/>
      <c r="Q199" s="175"/>
      <c r="R199" s="12"/>
      <c r="S199" s="12"/>
      <c r="T199" s="175"/>
      <c r="U199" s="179"/>
      <c r="V199" s="208"/>
      <c r="W199" s="12"/>
      <c r="X199" s="12"/>
    </row>
    <row r="200">
      <c r="A200" s="175"/>
      <c r="B200" s="175"/>
      <c r="C200" s="176"/>
      <c r="D200" s="175"/>
      <c r="E200" s="175"/>
      <c r="F200" s="12"/>
      <c r="G200" s="12"/>
      <c r="H200" s="175"/>
      <c r="I200" s="12"/>
      <c r="J200" s="12"/>
      <c r="K200" s="175"/>
      <c r="L200" s="175"/>
      <c r="M200" s="175"/>
      <c r="N200" s="175"/>
      <c r="O200" s="175"/>
      <c r="P200" s="12"/>
      <c r="Q200" s="175"/>
      <c r="R200" s="12"/>
      <c r="S200" s="12"/>
      <c r="T200" s="175"/>
      <c r="U200" s="179"/>
      <c r="V200" s="208"/>
      <c r="W200" s="12"/>
      <c r="X200" s="12"/>
    </row>
    <row r="201">
      <c r="A201" s="175"/>
      <c r="B201" s="175"/>
      <c r="C201" s="176"/>
      <c r="D201" s="175"/>
      <c r="E201" s="175"/>
      <c r="F201" s="12"/>
      <c r="G201" s="12"/>
      <c r="H201" s="175"/>
      <c r="I201" s="12"/>
      <c r="J201" s="12"/>
      <c r="K201" s="175"/>
      <c r="L201" s="175"/>
      <c r="M201" s="175"/>
      <c r="N201" s="175"/>
      <c r="O201" s="175"/>
      <c r="P201" s="12"/>
      <c r="Q201" s="175"/>
      <c r="R201" s="12"/>
      <c r="S201" s="12"/>
      <c r="T201" s="175"/>
      <c r="U201" s="179"/>
      <c r="V201" s="208"/>
      <c r="W201" s="12"/>
      <c r="X201" s="12"/>
    </row>
    <row r="202">
      <c r="A202" s="175"/>
      <c r="B202" s="175"/>
      <c r="C202" s="176"/>
      <c r="D202" s="175"/>
      <c r="E202" s="175"/>
      <c r="F202" s="12"/>
      <c r="G202" s="12"/>
      <c r="H202" s="175"/>
      <c r="I202" s="12"/>
      <c r="J202" s="12"/>
      <c r="K202" s="175"/>
      <c r="L202" s="175"/>
      <c r="M202" s="175"/>
      <c r="N202" s="175"/>
      <c r="O202" s="175"/>
      <c r="P202" s="12"/>
      <c r="Q202" s="175"/>
      <c r="R202" s="12"/>
      <c r="S202" s="12"/>
      <c r="T202" s="175"/>
      <c r="U202" s="179"/>
      <c r="V202" s="208"/>
      <c r="W202" s="12"/>
      <c r="X202" s="12"/>
    </row>
    <row r="203">
      <c r="A203" s="175"/>
      <c r="B203" s="175"/>
      <c r="C203" s="176"/>
      <c r="D203" s="175"/>
      <c r="E203" s="175"/>
      <c r="F203" s="12"/>
      <c r="G203" s="12"/>
      <c r="H203" s="175"/>
      <c r="I203" s="12"/>
      <c r="J203" s="12"/>
      <c r="K203" s="175"/>
      <c r="L203" s="175"/>
      <c r="M203" s="175"/>
      <c r="N203" s="175"/>
      <c r="O203" s="175"/>
      <c r="P203" s="12"/>
      <c r="Q203" s="175"/>
      <c r="R203" s="12"/>
      <c r="S203" s="12"/>
      <c r="T203" s="175"/>
      <c r="U203" s="179"/>
      <c r="V203" s="208"/>
      <c r="W203" s="12"/>
      <c r="X203" s="12"/>
    </row>
    <row r="204">
      <c r="A204" s="175"/>
      <c r="B204" s="175"/>
      <c r="C204" s="176"/>
      <c r="D204" s="175"/>
      <c r="E204" s="175"/>
      <c r="F204" s="12"/>
      <c r="G204" s="12"/>
      <c r="H204" s="175"/>
      <c r="I204" s="12"/>
      <c r="J204" s="12"/>
      <c r="K204" s="175"/>
      <c r="L204" s="175"/>
      <c r="M204" s="175"/>
      <c r="N204" s="175"/>
      <c r="O204" s="175"/>
      <c r="P204" s="12"/>
      <c r="Q204" s="175"/>
      <c r="R204" s="12"/>
      <c r="S204" s="12"/>
      <c r="T204" s="175"/>
      <c r="U204" s="179"/>
      <c r="V204" s="208"/>
      <c r="W204" s="12"/>
      <c r="X204" s="12"/>
    </row>
    <row r="205">
      <c r="A205" s="175"/>
      <c r="B205" s="175"/>
      <c r="C205" s="176"/>
      <c r="D205" s="175"/>
      <c r="E205" s="175"/>
      <c r="F205" s="12"/>
      <c r="G205" s="12"/>
      <c r="H205" s="175"/>
      <c r="I205" s="12"/>
      <c r="J205" s="12"/>
      <c r="K205" s="175"/>
      <c r="L205" s="175"/>
      <c r="M205" s="175"/>
      <c r="N205" s="175"/>
      <c r="O205" s="175"/>
      <c r="P205" s="12"/>
      <c r="Q205" s="175"/>
      <c r="R205" s="12"/>
      <c r="S205" s="12"/>
      <c r="T205" s="175"/>
      <c r="U205" s="179"/>
      <c r="V205" s="208"/>
      <c r="W205" s="12"/>
      <c r="X205" s="12"/>
    </row>
    <row r="206">
      <c r="A206" s="175"/>
      <c r="B206" s="175"/>
      <c r="C206" s="176"/>
      <c r="D206" s="175"/>
      <c r="E206" s="175"/>
      <c r="F206" s="12"/>
      <c r="G206" s="12"/>
      <c r="H206" s="175"/>
      <c r="I206" s="12"/>
      <c r="J206" s="12"/>
      <c r="K206" s="175"/>
      <c r="L206" s="175"/>
      <c r="M206" s="175"/>
      <c r="N206" s="175"/>
      <c r="O206" s="175"/>
      <c r="P206" s="12"/>
      <c r="Q206" s="175"/>
      <c r="R206" s="12"/>
      <c r="S206" s="12"/>
      <c r="T206" s="175"/>
      <c r="U206" s="179"/>
      <c r="V206" s="208"/>
      <c r="W206" s="12"/>
      <c r="X206" s="12"/>
    </row>
    <row r="207">
      <c r="A207" s="175"/>
      <c r="B207" s="175"/>
      <c r="C207" s="176"/>
      <c r="D207" s="175"/>
      <c r="E207" s="175"/>
      <c r="F207" s="12"/>
      <c r="G207" s="12"/>
      <c r="H207" s="175"/>
      <c r="I207" s="12"/>
      <c r="J207" s="12"/>
      <c r="K207" s="175"/>
      <c r="L207" s="175"/>
      <c r="M207" s="175"/>
      <c r="N207" s="175"/>
      <c r="O207" s="175"/>
      <c r="P207" s="12"/>
      <c r="Q207" s="175"/>
      <c r="R207" s="12"/>
      <c r="S207" s="12"/>
      <c r="T207" s="175"/>
      <c r="U207" s="179"/>
      <c r="V207" s="208"/>
      <c r="W207" s="12"/>
      <c r="X207" s="12"/>
    </row>
    <row r="208">
      <c r="A208" s="175"/>
      <c r="B208" s="175"/>
      <c r="C208" s="176"/>
      <c r="D208" s="175"/>
      <c r="E208" s="175"/>
      <c r="F208" s="12"/>
      <c r="G208" s="12"/>
      <c r="H208" s="175"/>
      <c r="I208" s="12"/>
      <c r="J208" s="12"/>
      <c r="K208" s="175"/>
      <c r="L208" s="175"/>
      <c r="M208" s="175"/>
      <c r="N208" s="175"/>
      <c r="O208" s="175"/>
      <c r="P208" s="12"/>
      <c r="Q208" s="175"/>
      <c r="R208" s="12"/>
      <c r="S208" s="12"/>
      <c r="T208" s="175"/>
      <c r="U208" s="179"/>
      <c r="V208" s="208"/>
      <c r="W208" s="12"/>
      <c r="X208" s="12"/>
    </row>
    <row r="209">
      <c r="A209" s="175"/>
      <c r="B209" s="175"/>
      <c r="C209" s="176"/>
      <c r="D209" s="175"/>
      <c r="E209" s="175"/>
      <c r="F209" s="12"/>
      <c r="G209" s="12"/>
      <c r="H209" s="175"/>
      <c r="I209" s="12"/>
      <c r="J209" s="12"/>
      <c r="K209" s="175"/>
      <c r="L209" s="175"/>
      <c r="M209" s="175"/>
      <c r="N209" s="175"/>
      <c r="O209" s="175"/>
      <c r="P209" s="12"/>
      <c r="Q209" s="175"/>
      <c r="R209" s="12"/>
      <c r="S209" s="12"/>
      <c r="T209" s="175"/>
      <c r="U209" s="179"/>
      <c r="V209" s="208"/>
      <c r="W209" s="12"/>
      <c r="X209" s="12"/>
    </row>
    <row r="210">
      <c r="A210" s="175"/>
      <c r="B210" s="175"/>
      <c r="C210" s="176"/>
      <c r="D210" s="175"/>
      <c r="E210" s="175"/>
      <c r="F210" s="12"/>
      <c r="G210" s="12"/>
      <c r="H210" s="175"/>
      <c r="I210" s="12"/>
      <c r="J210" s="12"/>
      <c r="K210" s="175"/>
      <c r="L210" s="175"/>
      <c r="M210" s="175"/>
      <c r="N210" s="175"/>
      <c r="O210" s="175"/>
      <c r="P210" s="12"/>
      <c r="Q210" s="175"/>
      <c r="R210" s="12"/>
      <c r="S210" s="12"/>
      <c r="T210" s="175"/>
      <c r="U210" s="179"/>
      <c r="V210" s="208"/>
      <c r="W210" s="12"/>
      <c r="X210" s="12"/>
    </row>
    <row r="211">
      <c r="A211" s="175"/>
      <c r="B211" s="175"/>
      <c r="C211" s="176"/>
      <c r="D211" s="175"/>
      <c r="E211" s="175"/>
      <c r="F211" s="12"/>
      <c r="G211" s="12"/>
      <c r="H211" s="175"/>
      <c r="I211" s="12"/>
      <c r="J211" s="12"/>
      <c r="K211" s="175"/>
      <c r="L211" s="175"/>
      <c r="M211" s="175"/>
      <c r="N211" s="175"/>
      <c r="O211" s="175"/>
      <c r="P211" s="12"/>
      <c r="Q211" s="175"/>
      <c r="R211" s="12"/>
      <c r="S211" s="12"/>
      <c r="T211" s="175"/>
      <c r="U211" s="179"/>
      <c r="V211" s="208"/>
      <c r="W211" s="12"/>
      <c r="X211" s="12"/>
    </row>
    <row r="212">
      <c r="A212" s="175"/>
      <c r="B212" s="175"/>
      <c r="C212" s="176"/>
      <c r="D212" s="175"/>
      <c r="E212" s="175"/>
      <c r="F212" s="12"/>
      <c r="G212" s="12"/>
      <c r="H212" s="175"/>
      <c r="I212" s="12"/>
      <c r="J212" s="12"/>
      <c r="K212" s="175"/>
      <c r="L212" s="175"/>
      <c r="M212" s="175"/>
      <c r="N212" s="175"/>
      <c r="O212" s="175"/>
      <c r="P212" s="12"/>
      <c r="Q212" s="175"/>
      <c r="R212" s="12"/>
      <c r="S212" s="12"/>
      <c r="T212" s="175"/>
      <c r="U212" s="179"/>
      <c r="V212" s="208"/>
      <c r="W212" s="12"/>
      <c r="X212" s="12"/>
    </row>
    <row r="213">
      <c r="A213" s="175"/>
      <c r="B213" s="175"/>
      <c r="C213" s="176"/>
      <c r="D213" s="175"/>
      <c r="E213" s="175"/>
      <c r="F213" s="12"/>
      <c r="G213" s="12"/>
      <c r="H213" s="175"/>
      <c r="I213" s="12"/>
      <c r="J213" s="12"/>
      <c r="K213" s="175"/>
      <c r="L213" s="175"/>
      <c r="M213" s="175"/>
      <c r="N213" s="175"/>
      <c r="O213" s="175"/>
      <c r="P213" s="12"/>
      <c r="Q213" s="175"/>
      <c r="R213" s="12"/>
      <c r="S213" s="12"/>
      <c r="T213" s="175"/>
      <c r="U213" s="179"/>
      <c r="V213" s="208"/>
      <c r="W213" s="12"/>
      <c r="X213" s="12"/>
    </row>
    <row r="214">
      <c r="A214" s="175"/>
      <c r="B214" s="175"/>
      <c r="C214" s="176"/>
      <c r="D214" s="175"/>
      <c r="E214" s="175"/>
      <c r="F214" s="12"/>
      <c r="G214" s="12"/>
      <c r="H214" s="175"/>
      <c r="I214" s="12"/>
      <c r="J214" s="12"/>
      <c r="K214" s="175"/>
      <c r="L214" s="175"/>
      <c r="M214" s="175"/>
      <c r="N214" s="175"/>
      <c r="O214" s="175"/>
      <c r="P214" s="12"/>
      <c r="Q214" s="175"/>
      <c r="R214" s="12"/>
      <c r="S214" s="12"/>
      <c r="T214" s="175"/>
      <c r="U214" s="179"/>
      <c r="V214" s="208"/>
      <c r="W214" s="12"/>
      <c r="X214" s="12"/>
    </row>
    <row r="215">
      <c r="A215" s="175"/>
      <c r="B215" s="175"/>
      <c r="C215" s="176"/>
      <c r="D215" s="175"/>
      <c r="E215" s="175"/>
      <c r="F215" s="12"/>
      <c r="G215" s="12"/>
      <c r="H215" s="175"/>
      <c r="I215" s="12"/>
      <c r="J215" s="12"/>
      <c r="K215" s="175"/>
      <c r="L215" s="175"/>
      <c r="M215" s="175"/>
      <c r="N215" s="175"/>
      <c r="O215" s="175"/>
      <c r="P215" s="12"/>
      <c r="Q215" s="175"/>
      <c r="R215" s="12"/>
      <c r="S215" s="12"/>
      <c r="T215" s="175"/>
      <c r="U215" s="179"/>
      <c r="V215" s="208"/>
      <c r="W215" s="12"/>
      <c r="X215" s="12"/>
    </row>
    <row r="216">
      <c r="A216" s="175"/>
      <c r="B216" s="175"/>
      <c r="C216" s="176"/>
      <c r="D216" s="175"/>
      <c r="E216" s="175"/>
      <c r="F216" s="12"/>
      <c r="G216" s="12"/>
      <c r="H216" s="175"/>
      <c r="I216" s="12"/>
      <c r="J216" s="12"/>
      <c r="K216" s="175"/>
      <c r="L216" s="175"/>
      <c r="M216" s="175"/>
      <c r="N216" s="175"/>
      <c r="O216" s="175"/>
      <c r="P216" s="12"/>
      <c r="Q216" s="175"/>
      <c r="R216" s="12"/>
      <c r="S216" s="12"/>
      <c r="T216" s="175"/>
      <c r="U216" s="179"/>
      <c r="V216" s="208"/>
      <c r="W216" s="12"/>
      <c r="X216" s="12"/>
    </row>
    <row r="217">
      <c r="A217" s="175"/>
      <c r="B217" s="175"/>
      <c r="C217" s="176"/>
      <c r="D217" s="175"/>
      <c r="E217" s="175"/>
      <c r="F217" s="12"/>
      <c r="G217" s="12"/>
      <c r="H217" s="175"/>
      <c r="I217" s="12"/>
      <c r="J217" s="12"/>
      <c r="K217" s="175"/>
      <c r="L217" s="175"/>
      <c r="M217" s="175"/>
      <c r="N217" s="175"/>
      <c r="O217" s="175"/>
      <c r="P217" s="12"/>
      <c r="Q217" s="175"/>
      <c r="R217" s="12"/>
      <c r="S217" s="12"/>
      <c r="T217" s="175"/>
      <c r="U217" s="179"/>
      <c r="V217" s="208"/>
      <c r="W217" s="12"/>
      <c r="X217" s="12"/>
    </row>
    <row r="218">
      <c r="A218" s="175"/>
      <c r="B218" s="175"/>
      <c r="C218" s="176"/>
      <c r="D218" s="175"/>
      <c r="E218" s="175"/>
      <c r="F218" s="12"/>
      <c r="G218" s="12"/>
      <c r="H218" s="175"/>
      <c r="I218" s="12"/>
      <c r="J218" s="12"/>
      <c r="K218" s="175"/>
      <c r="L218" s="175"/>
      <c r="M218" s="175"/>
      <c r="N218" s="175"/>
      <c r="O218" s="175"/>
      <c r="P218" s="12"/>
      <c r="Q218" s="175"/>
      <c r="R218" s="12"/>
      <c r="S218" s="12"/>
      <c r="T218" s="175"/>
      <c r="U218" s="179"/>
      <c r="V218" s="208"/>
      <c r="W218" s="12"/>
      <c r="X218" s="12"/>
    </row>
    <row r="219">
      <c r="A219" s="175"/>
      <c r="B219" s="175"/>
      <c r="C219" s="176"/>
      <c r="D219" s="175"/>
      <c r="E219" s="175"/>
      <c r="F219" s="12"/>
      <c r="G219" s="12"/>
      <c r="H219" s="175"/>
      <c r="I219" s="12"/>
      <c r="J219" s="12"/>
      <c r="K219" s="175"/>
      <c r="L219" s="175"/>
      <c r="M219" s="175"/>
      <c r="N219" s="175"/>
      <c r="O219" s="175"/>
      <c r="P219" s="12"/>
      <c r="Q219" s="175"/>
      <c r="R219" s="12"/>
      <c r="S219" s="12"/>
      <c r="T219" s="175"/>
      <c r="U219" s="179"/>
      <c r="V219" s="208"/>
      <c r="W219" s="12"/>
      <c r="X219" s="12"/>
    </row>
    <row r="220">
      <c r="A220" s="175"/>
      <c r="B220" s="175"/>
      <c r="C220" s="176"/>
      <c r="D220" s="175"/>
      <c r="E220" s="175"/>
      <c r="F220" s="12"/>
      <c r="G220" s="12"/>
      <c r="H220" s="175"/>
      <c r="I220" s="12"/>
      <c r="J220" s="12"/>
      <c r="K220" s="175"/>
      <c r="L220" s="175"/>
      <c r="M220" s="175"/>
      <c r="N220" s="175"/>
      <c r="O220" s="175"/>
      <c r="P220" s="12"/>
      <c r="Q220" s="175"/>
      <c r="R220" s="12"/>
      <c r="S220" s="12"/>
      <c r="T220" s="175"/>
      <c r="U220" s="179"/>
      <c r="V220" s="208"/>
      <c r="W220" s="12"/>
      <c r="X220" s="12"/>
    </row>
    <row r="221">
      <c r="A221" s="175"/>
      <c r="B221" s="175"/>
      <c r="C221" s="176"/>
      <c r="D221" s="175"/>
      <c r="E221" s="175"/>
      <c r="F221" s="12"/>
      <c r="G221" s="12"/>
      <c r="H221" s="175"/>
      <c r="I221" s="12"/>
      <c r="J221" s="12"/>
      <c r="K221" s="175"/>
      <c r="L221" s="175"/>
      <c r="M221" s="175"/>
      <c r="N221" s="175"/>
      <c r="O221" s="175"/>
      <c r="P221" s="12"/>
      <c r="Q221" s="175"/>
      <c r="R221" s="12"/>
      <c r="S221" s="12"/>
      <c r="T221" s="175"/>
      <c r="U221" s="179"/>
      <c r="V221" s="208"/>
      <c r="W221" s="12"/>
      <c r="X221" s="12"/>
    </row>
    <row r="222">
      <c r="A222" s="175"/>
      <c r="B222" s="175"/>
      <c r="C222" s="176"/>
      <c r="D222" s="175"/>
      <c r="E222" s="175"/>
      <c r="F222" s="12"/>
      <c r="G222" s="12"/>
      <c r="H222" s="175"/>
      <c r="I222" s="12"/>
      <c r="J222" s="12"/>
      <c r="K222" s="175"/>
      <c r="L222" s="175"/>
      <c r="M222" s="175"/>
      <c r="N222" s="175"/>
      <c r="O222" s="175"/>
      <c r="P222" s="12"/>
      <c r="Q222" s="175"/>
      <c r="R222" s="12"/>
      <c r="S222" s="12"/>
      <c r="T222" s="175"/>
      <c r="U222" s="179"/>
      <c r="V222" s="208"/>
      <c r="W222" s="12"/>
      <c r="X222" s="12"/>
    </row>
    <row r="223">
      <c r="A223" s="175"/>
      <c r="B223" s="175"/>
      <c r="C223" s="176"/>
      <c r="D223" s="175"/>
      <c r="E223" s="175"/>
      <c r="F223" s="12"/>
      <c r="G223" s="12"/>
      <c r="H223" s="175"/>
      <c r="I223" s="12"/>
      <c r="J223" s="12"/>
      <c r="K223" s="175"/>
      <c r="L223" s="175"/>
      <c r="M223" s="175"/>
      <c r="N223" s="175"/>
      <c r="O223" s="175"/>
      <c r="P223" s="12"/>
      <c r="Q223" s="175"/>
      <c r="R223" s="12"/>
      <c r="S223" s="12"/>
      <c r="T223" s="175"/>
      <c r="U223" s="179"/>
      <c r="V223" s="208"/>
      <c r="W223" s="12"/>
      <c r="X223" s="12"/>
    </row>
    <row r="224">
      <c r="A224" s="175"/>
      <c r="B224" s="175"/>
      <c r="C224" s="176"/>
      <c r="D224" s="175"/>
      <c r="E224" s="175"/>
      <c r="F224" s="12"/>
      <c r="G224" s="12"/>
      <c r="H224" s="175"/>
      <c r="I224" s="12"/>
      <c r="J224" s="12"/>
      <c r="K224" s="175"/>
      <c r="L224" s="175"/>
      <c r="M224" s="175"/>
      <c r="N224" s="175"/>
      <c r="O224" s="175"/>
      <c r="P224" s="12"/>
      <c r="Q224" s="175"/>
      <c r="R224" s="12"/>
      <c r="S224" s="12"/>
      <c r="T224" s="175"/>
      <c r="U224" s="179"/>
      <c r="V224" s="208"/>
      <c r="W224" s="12"/>
      <c r="X224" s="12"/>
    </row>
    <row r="225">
      <c r="A225" s="175"/>
      <c r="B225" s="175"/>
      <c r="C225" s="176"/>
      <c r="D225" s="175"/>
      <c r="E225" s="175"/>
      <c r="F225" s="12"/>
      <c r="G225" s="12"/>
      <c r="H225" s="175"/>
      <c r="I225" s="12"/>
      <c r="J225" s="12"/>
      <c r="K225" s="175"/>
      <c r="L225" s="175"/>
      <c r="M225" s="175"/>
      <c r="N225" s="175"/>
      <c r="O225" s="175"/>
      <c r="P225" s="12"/>
      <c r="Q225" s="175"/>
      <c r="R225" s="12"/>
      <c r="S225" s="12"/>
      <c r="T225" s="175"/>
      <c r="U225" s="179"/>
      <c r="V225" s="208"/>
      <c r="W225" s="12"/>
      <c r="X225" s="12"/>
    </row>
    <row r="226">
      <c r="A226" s="175"/>
      <c r="B226" s="175"/>
      <c r="C226" s="176"/>
      <c r="D226" s="175"/>
      <c r="E226" s="175"/>
      <c r="F226" s="12"/>
      <c r="G226" s="12"/>
      <c r="H226" s="175"/>
      <c r="I226" s="12"/>
      <c r="J226" s="12"/>
      <c r="K226" s="175"/>
      <c r="L226" s="175"/>
      <c r="M226" s="175"/>
      <c r="N226" s="175"/>
      <c r="O226" s="175"/>
      <c r="P226" s="12"/>
      <c r="Q226" s="175"/>
      <c r="R226" s="12"/>
      <c r="S226" s="12"/>
      <c r="T226" s="175"/>
      <c r="U226" s="179"/>
      <c r="V226" s="208"/>
      <c r="W226" s="12"/>
      <c r="X226" s="12"/>
    </row>
    <row r="227">
      <c r="A227" s="175"/>
      <c r="B227" s="175"/>
      <c r="C227" s="176"/>
      <c r="D227" s="175"/>
      <c r="E227" s="175"/>
      <c r="F227" s="12"/>
      <c r="G227" s="12"/>
      <c r="H227" s="175"/>
      <c r="I227" s="12"/>
      <c r="J227" s="12"/>
      <c r="K227" s="175"/>
      <c r="L227" s="175"/>
      <c r="M227" s="175"/>
      <c r="N227" s="175"/>
      <c r="O227" s="175"/>
      <c r="P227" s="12"/>
      <c r="Q227" s="175"/>
      <c r="R227" s="12"/>
      <c r="S227" s="12"/>
      <c r="T227" s="175"/>
      <c r="U227" s="179"/>
      <c r="V227" s="208"/>
      <c r="W227" s="12"/>
      <c r="X227" s="12"/>
    </row>
    <row r="228">
      <c r="A228" s="175"/>
      <c r="B228" s="175"/>
      <c r="C228" s="176"/>
      <c r="D228" s="175"/>
      <c r="E228" s="175"/>
      <c r="F228" s="12"/>
      <c r="G228" s="12"/>
      <c r="H228" s="175"/>
      <c r="I228" s="12"/>
      <c r="J228" s="12"/>
      <c r="K228" s="175"/>
      <c r="L228" s="175"/>
      <c r="M228" s="175"/>
      <c r="N228" s="175"/>
      <c r="O228" s="175"/>
      <c r="P228" s="12"/>
      <c r="Q228" s="175"/>
      <c r="R228" s="12"/>
      <c r="S228" s="12"/>
      <c r="T228" s="175"/>
      <c r="U228" s="179"/>
      <c r="V228" s="208"/>
      <c r="W228" s="12"/>
      <c r="X228" s="12"/>
    </row>
    <row r="229">
      <c r="A229" s="175"/>
      <c r="B229" s="175"/>
      <c r="C229" s="176"/>
      <c r="D229" s="175"/>
      <c r="E229" s="175"/>
      <c r="F229" s="12"/>
      <c r="G229" s="12"/>
      <c r="H229" s="175"/>
      <c r="I229" s="12"/>
      <c r="J229" s="12"/>
      <c r="K229" s="175"/>
      <c r="L229" s="175"/>
      <c r="M229" s="175"/>
      <c r="N229" s="175"/>
      <c r="O229" s="175"/>
      <c r="P229" s="12"/>
      <c r="Q229" s="175"/>
      <c r="R229" s="12"/>
      <c r="S229" s="12"/>
      <c r="T229" s="175"/>
      <c r="U229" s="179"/>
      <c r="V229" s="208"/>
      <c r="W229" s="12"/>
      <c r="X229" s="12"/>
    </row>
    <row r="230">
      <c r="A230" s="175"/>
      <c r="B230" s="175"/>
      <c r="C230" s="176"/>
      <c r="D230" s="175"/>
      <c r="E230" s="175"/>
      <c r="F230" s="12"/>
      <c r="G230" s="12"/>
      <c r="H230" s="175"/>
      <c r="I230" s="12"/>
      <c r="J230" s="12"/>
      <c r="K230" s="175"/>
      <c r="L230" s="175"/>
      <c r="M230" s="175"/>
      <c r="N230" s="175"/>
      <c r="O230" s="175"/>
      <c r="P230" s="12"/>
      <c r="Q230" s="175"/>
      <c r="R230" s="12"/>
      <c r="S230" s="12"/>
      <c r="T230" s="175"/>
      <c r="U230" s="179"/>
      <c r="V230" s="208"/>
      <c r="W230" s="12"/>
      <c r="X230" s="12"/>
    </row>
    <row r="231">
      <c r="A231" s="175"/>
      <c r="B231" s="175"/>
      <c r="C231" s="176"/>
      <c r="D231" s="175"/>
      <c r="E231" s="175"/>
      <c r="F231" s="12"/>
      <c r="G231" s="12"/>
      <c r="H231" s="175"/>
      <c r="I231" s="12"/>
      <c r="J231" s="12"/>
      <c r="K231" s="175"/>
      <c r="L231" s="175"/>
      <c r="M231" s="175"/>
      <c r="N231" s="175"/>
      <c r="O231" s="175"/>
      <c r="P231" s="12"/>
      <c r="Q231" s="175"/>
      <c r="R231" s="12"/>
      <c r="S231" s="12"/>
      <c r="T231" s="175"/>
      <c r="U231" s="179"/>
      <c r="V231" s="208"/>
      <c r="W231" s="12"/>
      <c r="X231" s="12"/>
    </row>
    <row r="232">
      <c r="A232" s="175"/>
      <c r="B232" s="175"/>
      <c r="C232" s="176"/>
      <c r="D232" s="175"/>
      <c r="E232" s="175"/>
      <c r="F232" s="12"/>
      <c r="G232" s="12"/>
      <c r="H232" s="175"/>
      <c r="I232" s="12"/>
      <c r="J232" s="12"/>
      <c r="K232" s="175"/>
      <c r="L232" s="175"/>
      <c r="M232" s="175"/>
      <c r="N232" s="175"/>
      <c r="O232" s="175"/>
      <c r="P232" s="12"/>
      <c r="Q232" s="175"/>
      <c r="R232" s="12"/>
      <c r="S232" s="12"/>
      <c r="T232" s="175"/>
      <c r="U232" s="179"/>
      <c r="V232" s="208"/>
      <c r="W232" s="12"/>
      <c r="X232" s="12"/>
    </row>
    <row r="233">
      <c r="A233" s="175"/>
      <c r="B233" s="175"/>
      <c r="C233" s="176"/>
      <c r="D233" s="175"/>
      <c r="E233" s="175"/>
      <c r="F233" s="12"/>
      <c r="G233" s="12"/>
      <c r="H233" s="175"/>
      <c r="I233" s="12"/>
      <c r="J233" s="12"/>
      <c r="K233" s="175"/>
      <c r="L233" s="175"/>
      <c r="M233" s="175"/>
      <c r="N233" s="175"/>
      <c r="O233" s="175"/>
      <c r="P233" s="12"/>
      <c r="Q233" s="175"/>
      <c r="R233" s="12"/>
      <c r="S233" s="12"/>
      <c r="T233" s="175"/>
      <c r="U233" s="179"/>
      <c r="V233" s="208"/>
      <c r="W233" s="12"/>
      <c r="X233" s="12"/>
    </row>
    <row r="234">
      <c r="A234" s="175"/>
      <c r="B234" s="175"/>
      <c r="C234" s="176"/>
      <c r="D234" s="175"/>
      <c r="E234" s="175"/>
      <c r="F234" s="12"/>
      <c r="G234" s="12"/>
      <c r="H234" s="175"/>
      <c r="I234" s="12"/>
      <c r="J234" s="12"/>
      <c r="K234" s="175"/>
      <c r="L234" s="175"/>
      <c r="M234" s="175"/>
      <c r="N234" s="175"/>
      <c r="O234" s="175"/>
      <c r="P234" s="12"/>
      <c r="Q234" s="175"/>
      <c r="R234" s="12"/>
      <c r="S234" s="12"/>
      <c r="T234" s="175"/>
      <c r="U234" s="179"/>
      <c r="V234" s="208"/>
      <c r="W234" s="12"/>
      <c r="X234" s="12"/>
    </row>
    <row r="235">
      <c r="A235" s="175"/>
      <c r="B235" s="175"/>
      <c r="C235" s="176"/>
      <c r="D235" s="175"/>
      <c r="E235" s="175"/>
      <c r="F235" s="12"/>
      <c r="G235" s="12"/>
      <c r="H235" s="175"/>
      <c r="I235" s="12"/>
      <c r="J235" s="12"/>
      <c r="K235" s="175"/>
      <c r="L235" s="175"/>
      <c r="M235" s="175"/>
      <c r="N235" s="175"/>
      <c r="O235" s="175"/>
      <c r="P235" s="12"/>
      <c r="Q235" s="175"/>
      <c r="R235" s="12"/>
      <c r="S235" s="12"/>
      <c r="T235" s="175"/>
      <c r="U235" s="179"/>
      <c r="V235" s="208"/>
      <c r="W235" s="12"/>
      <c r="X235" s="12"/>
    </row>
    <row r="236">
      <c r="A236" s="175"/>
      <c r="B236" s="175"/>
      <c r="C236" s="176"/>
      <c r="D236" s="175"/>
      <c r="E236" s="175"/>
      <c r="F236" s="12"/>
      <c r="G236" s="12"/>
      <c r="H236" s="175"/>
      <c r="I236" s="12"/>
      <c r="J236" s="12"/>
      <c r="K236" s="175"/>
      <c r="L236" s="175"/>
      <c r="M236" s="175"/>
      <c r="N236" s="175"/>
      <c r="O236" s="175"/>
      <c r="P236" s="12"/>
      <c r="Q236" s="175"/>
      <c r="R236" s="12"/>
      <c r="S236" s="12"/>
      <c r="T236" s="175"/>
      <c r="U236" s="179"/>
      <c r="V236" s="208"/>
      <c r="W236" s="12"/>
      <c r="X236" s="12"/>
    </row>
    <row r="237">
      <c r="A237" s="175"/>
      <c r="B237" s="175"/>
      <c r="C237" s="176"/>
      <c r="D237" s="175"/>
      <c r="E237" s="175"/>
      <c r="F237" s="12"/>
      <c r="G237" s="12"/>
      <c r="H237" s="175"/>
      <c r="I237" s="12"/>
      <c r="J237" s="12"/>
      <c r="K237" s="175"/>
      <c r="L237" s="175"/>
      <c r="M237" s="175"/>
      <c r="N237" s="175"/>
      <c r="O237" s="175"/>
      <c r="P237" s="12"/>
      <c r="Q237" s="175"/>
      <c r="R237" s="12"/>
      <c r="S237" s="12"/>
      <c r="T237" s="175"/>
      <c r="U237" s="179"/>
      <c r="V237" s="208"/>
      <c r="W237" s="12"/>
      <c r="X237" s="12"/>
    </row>
    <row r="238">
      <c r="A238" s="175"/>
      <c r="B238" s="175"/>
      <c r="C238" s="176"/>
      <c r="D238" s="175"/>
      <c r="E238" s="175"/>
      <c r="F238" s="12"/>
      <c r="G238" s="12"/>
      <c r="H238" s="175"/>
      <c r="I238" s="12"/>
      <c r="J238" s="12"/>
      <c r="K238" s="175"/>
      <c r="L238" s="175"/>
      <c r="M238" s="175"/>
      <c r="N238" s="175"/>
      <c r="O238" s="175"/>
      <c r="P238" s="12"/>
      <c r="Q238" s="175"/>
      <c r="R238" s="12"/>
      <c r="S238" s="12"/>
      <c r="T238" s="175"/>
      <c r="U238" s="179"/>
      <c r="V238" s="208"/>
      <c r="W238" s="12"/>
      <c r="X238" s="12"/>
    </row>
    <row r="239">
      <c r="A239" s="175"/>
      <c r="B239" s="175"/>
      <c r="C239" s="176"/>
      <c r="D239" s="175"/>
      <c r="E239" s="175"/>
      <c r="F239" s="12"/>
      <c r="G239" s="12"/>
      <c r="H239" s="175"/>
      <c r="I239" s="12"/>
      <c r="J239" s="12"/>
      <c r="K239" s="175"/>
      <c r="L239" s="175"/>
      <c r="M239" s="175"/>
      <c r="N239" s="175"/>
      <c r="O239" s="175"/>
      <c r="P239" s="12"/>
      <c r="Q239" s="175"/>
      <c r="R239" s="12"/>
      <c r="S239" s="12"/>
      <c r="T239" s="175"/>
      <c r="U239" s="179"/>
      <c r="V239" s="208"/>
      <c r="W239" s="12"/>
      <c r="X239" s="12"/>
    </row>
    <row r="240">
      <c r="A240" s="175"/>
      <c r="B240" s="175"/>
      <c r="C240" s="176"/>
      <c r="D240" s="175"/>
      <c r="E240" s="175"/>
      <c r="F240" s="12"/>
      <c r="G240" s="12"/>
      <c r="H240" s="175"/>
      <c r="I240" s="12"/>
      <c r="J240" s="12"/>
      <c r="K240" s="175"/>
      <c r="L240" s="175"/>
      <c r="M240" s="175"/>
      <c r="N240" s="175"/>
      <c r="O240" s="175"/>
      <c r="P240" s="12"/>
      <c r="Q240" s="175"/>
      <c r="R240" s="12"/>
      <c r="S240" s="12"/>
      <c r="T240" s="175"/>
      <c r="U240" s="179"/>
      <c r="V240" s="208"/>
      <c r="W240" s="12"/>
      <c r="X240" s="12"/>
    </row>
    <row r="241">
      <c r="A241" s="175"/>
      <c r="B241" s="175"/>
      <c r="C241" s="176"/>
      <c r="D241" s="175"/>
      <c r="E241" s="175"/>
      <c r="F241" s="12"/>
      <c r="G241" s="12"/>
      <c r="H241" s="175"/>
      <c r="I241" s="12"/>
      <c r="J241" s="12"/>
      <c r="K241" s="175"/>
      <c r="L241" s="175"/>
      <c r="M241" s="175"/>
      <c r="N241" s="175"/>
      <c r="O241" s="175"/>
      <c r="P241" s="12"/>
      <c r="Q241" s="175"/>
      <c r="R241" s="12"/>
      <c r="S241" s="12"/>
      <c r="T241" s="175"/>
      <c r="U241" s="179"/>
      <c r="V241" s="208"/>
      <c r="W241" s="12"/>
      <c r="X241" s="12"/>
    </row>
    <row r="242">
      <c r="A242" s="175"/>
      <c r="B242" s="175"/>
      <c r="C242" s="176"/>
      <c r="D242" s="175"/>
      <c r="E242" s="175"/>
      <c r="F242" s="12"/>
      <c r="G242" s="12"/>
      <c r="H242" s="175"/>
      <c r="I242" s="12"/>
      <c r="J242" s="12"/>
      <c r="K242" s="175"/>
      <c r="L242" s="175"/>
      <c r="M242" s="175"/>
      <c r="N242" s="175"/>
      <c r="O242" s="175"/>
      <c r="P242" s="12"/>
      <c r="Q242" s="175"/>
      <c r="R242" s="12"/>
      <c r="S242" s="12"/>
      <c r="T242" s="175"/>
      <c r="U242" s="179"/>
      <c r="V242" s="208"/>
      <c r="W242" s="12"/>
      <c r="X242" s="12"/>
    </row>
    <row r="243">
      <c r="A243" s="175"/>
      <c r="B243" s="175"/>
      <c r="C243" s="176"/>
      <c r="D243" s="175"/>
      <c r="E243" s="175"/>
      <c r="F243" s="12"/>
      <c r="G243" s="12"/>
      <c r="H243" s="175"/>
      <c r="I243" s="12"/>
      <c r="J243" s="12"/>
      <c r="K243" s="175"/>
      <c r="L243" s="175"/>
      <c r="M243" s="175"/>
      <c r="N243" s="175"/>
      <c r="O243" s="175"/>
      <c r="P243" s="12"/>
      <c r="Q243" s="175"/>
      <c r="R243" s="12"/>
      <c r="S243" s="12"/>
      <c r="T243" s="175"/>
      <c r="U243" s="179"/>
      <c r="V243" s="208"/>
      <c r="W243" s="12"/>
      <c r="X243" s="12"/>
    </row>
    <row r="244">
      <c r="A244" s="175"/>
      <c r="B244" s="175"/>
      <c r="C244" s="176"/>
      <c r="D244" s="175"/>
      <c r="E244" s="175"/>
      <c r="F244" s="12"/>
      <c r="G244" s="12"/>
      <c r="H244" s="175"/>
      <c r="I244" s="12"/>
      <c r="J244" s="12"/>
      <c r="K244" s="175"/>
      <c r="L244" s="175"/>
      <c r="M244" s="175"/>
      <c r="N244" s="175"/>
      <c r="O244" s="175"/>
      <c r="P244" s="12"/>
      <c r="Q244" s="175"/>
      <c r="R244" s="12"/>
      <c r="S244" s="12"/>
      <c r="T244" s="175"/>
      <c r="U244" s="179"/>
      <c r="V244" s="208"/>
      <c r="W244" s="12"/>
      <c r="X244" s="12"/>
    </row>
    <row r="245">
      <c r="A245" s="175"/>
      <c r="B245" s="175"/>
      <c r="C245" s="176"/>
      <c r="D245" s="175"/>
      <c r="E245" s="175"/>
      <c r="F245" s="12"/>
      <c r="G245" s="12"/>
      <c r="H245" s="175"/>
      <c r="I245" s="12"/>
      <c r="J245" s="12"/>
      <c r="K245" s="175"/>
      <c r="L245" s="175"/>
      <c r="M245" s="175"/>
      <c r="N245" s="175"/>
      <c r="O245" s="175"/>
      <c r="P245" s="12"/>
      <c r="Q245" s="175"/>
      <c r="R245" s="12"/>
      <c r="S245" s="12"/>
      <c r="T245" s="175"/>
      <c r="U245" s="179"/>
      <c r="V245" s="208"/>
      <c r="W245" s="12"/>
      <c r="X245" s="12"/>
    </row>
    <row r="246">
      <c r="A246" s="175"/>
      <c r="B246" s="175"/>
      <c r="C246" s="176"/>
      <c r="D246" s="175"/>
      <c r="E246" s="175"/>
      <c r="F246" s="12"/>
      <c r="G246" s="12"/>
      <c r="H246" s="175"/>
      <c r="I246" s="12"/>
      <c r="J246" s="12"/>
      <c r="K246" s="175"/>
      <c r="L246" s="175"/>
      <c r="M246" s="175"/>
      <c r="N246" s="175"/>
      <c r="O246" s="175"/>
      <c r="P246" s="12"/>
      <c r="Q246" s="175"/>
      <c r="R246" s="12"/>
      <c r="S246" s="12"/>
      <c r="T246" s="175"/>
      <c r="U246" s="179"/>
      <c r="V246" s="208"/>
      <c r="W246" s="12"/>
      <c r="X246" s="12"/>
    </row>
    <row r="247">
      <c r="A247" s="175"/>
      <c r="B247" s="175"/>
      <c r="C247" s="176"/>
      <c r="D247" s="175"/>
      <c r="E247" s="175"/>
      <c r="F247" s="12"/>
      <c r="G247" s="12"/>
      <c r="H247" s="175"/>
      <c r="I247" s="12"/>
      <c r="J247" s="12"/>
      <c r="K247" s="175"/>
      <c r="L247" s="175"/>
      <c r="M247" s="175"/>
      <c r="N247" s="175"/>
      <c r="O247" s="175"/>
      <c r="P247" s="12"/>
      <c r="Q247" s="175"/>
      <c r="R247" s="12"/>
      <c r="S247" s="12"/>
      <c r="T247" s="175"/>
      <c r="U247" s="179"/>
      <c r="V247" s="208"/>
      <c r="W247" s="12"/>
      <c r="X247" s="12"/>
    </row>
    <row r="248">
      <c r="A248" s="175"/>
      <c r="B248" s="175"/>
      <c r="C248" s="176"/>
      <c r="D248" s="175"/>
      <c r="E248" s="175"/>
      <c r="F248" s="12"/>
      <c r="G248" s="12"/>
      <c r="H248" s="175"/>
      <c r="I248" s="12"/>
      <c r="J248" s="12"/>
      <c r="K248" s="175"/>
      <c r="L248" s="175"/>
      <c r="M248" s="175"/>
      <c r="N248" s="175"/>
      <c r="O248" s="175"/>
      <c r="P248" s="12"/>
      <c r="Q248" s="175"/>
      <c r="R248" s="12"/>
      <c r="S248" s="12"/>
      <c r="T248" s="175"/>
      <c r="U248" s="179"/>
      <c r="V248" s="208"/>
      <c r="W248" s="12"/>
      <c r="X248" s="12"/>
    </row>
    <row r="249">
      <c r="A249" s="175"/>
      <c r="B249" s="175"/>
      <c r="C249" s="176"/>
      <c r="D249" s="175"/>
      <c r="E249" s="175"/>
      <c r="F249" s="12"/>
      <c r="G249" s="12"/>
      <c r="H249" s="175"/>
      <c r="I249" s="12"/>
      <c r="J249" s="12"/>
      <c r="K249" s="175"/>
      <c r="L249" s="175"/>
      <c r="M249" s="175"/>
      <c r="N249" s="175"/>
      <c r="O249" s="175"/>
      <c r="P249" s="12"/>
      <c r="Q249" s="175"/>
      <c r="R249" s="12"/>
      <c r="S249" s="12"/>
      <c r="T249" s="175"/>
      <c r="U249" s="179"/>
      <c r="V249" s="208"/>
      <c r="W249" s="12"/>
      <c r="X249" s="12"/>
    </row>
    <row r="250">
      <c r="A250" s="175"/>
      <c r="B250" s="175"/>
      <c r="C250" s="176"/>
      <c r="D250" s="175"/>
      <c r="E250" s="175"/>
      <c r="F250" s="12"/>
      <c r="G250" s="12"/>
      <c r="H250" s="175"/>
      <c r="I250" s="12"/>
      <c r="J250" s="12"/>
      <c r="K250" s="175"/>
      <c r="L250" s="175"/>
      <c r="M250" s="175"/>
      <c r="N250" s="175"/>
      <c r="O250" s="175"/>
      <c r="P250" s="12"/>
      <c r="Q250" s="175"/>
      <c r="R250" s="12"/>
      <c r="S250" s="12"/>
      <c r="T250" s="175"/>
      <c r="U250" s="179"/>
      <c r="V250" s="208"/>
      <c r="W250" s="12"/>
      <c r="X250" s="12"/>
    </row>
    <row r="251">
      <c r="A251" s="175"/>
      <c r="B251" s="175"/>
      <c r="C251" s="176"/>
      <c r="D251" s="175"/>
      <c r="E251" s="175"/>
      <c r="F251" s="12"/>
      <c r="G251" s="12"/>
      <c r="H251" s="175"/>
      <c r="I251" s="12"/>
      <c r="J251" s="12"/>
      <c r="K251" s="175"/>
      <c r="L251" s="175"/>
      <c r="M251" s="175"/>
      <c r="N251" s="175"/>
      <c r="O251" s="175"/>
      <c r="P251" s="12"/>
      <c r="Q251" s="175"/>
      <c r="R251" s="12"/>
      <c r="S251" s="12"/>
      <c r="T251" s="175"/>
      <c r="U251" s="179"/>
      <c r="V251" s="208"/>
      <c r="W251" s="12"/>
      <c r="X251" s="12"/>
    </row>
    <row r="252">
      <c r="A252" s="175"/>
      <c r="B252" s="175"/>
      <c r="C252" s="176"/>
      <c r="D252" s="175"/>
      <c r="E252" s="175"/>
      <c r="F252" s="12"/>
      <c r="G252" s="12"/>
      <c r="H252" s="175"/>
      <c r="I252" s="12"/>
      <c r="J252" s="12"/>
      <c r="K252" s="175"/>
      <c r="L252" s="175"/>
      <c r="M252" s="175"/>
      <c r="N252" s="175"/>
      <c r="O252" s="175"/>
      <c r="P252" s="12"/>
      <c r="Q252" s="175"/>
      <c r="R252" s="12"/>
      <c r="S252" s="12"/>
      <c r="T252" s="175"/>
      <c r="U252" s="179"/>
      <c r="V252" s="208"/>
      <c r="W252" s="12"/>
      <c r="X252" s="12"/>
    </row>
    <row r="253">
      <c r="A253" s="175"/>
      <c r="B253" s="175"/>
      <c r="C253" s="176"/>
      <c r="D253" s="175"/>
      <c r="E253" s="175"/>
      <c r="F253" s="12"/>
      <c r="G253" s="12"/>
      <c r="H253" s="175"/>
      <c r="I253" s="12"/>
      <c r="J253" s="12"/>
      <c r="K253" s="175"/>
      <c r="L253" s="175"/>
      <c r="M253" s="175"/>
      <c r="N253" s="175"/>
      <c r="O253" s="175"/>
      <c r="P253" s="12"/>
      <c r="Q253" s="175"/>
      <c r="R253" s="12"/>
      <c r="S253" s="12"/>
      <c r="T253" s="175"/>
      <c r="U253" s="179"/>
      <c r="V253" s="208"/>
      <c r="W253" s="12"/>
      <c r="X253" s="12"/>
    </row>
    <row r="254">
      <c r="A254" s="175"/>
      <c r="B254" s="175"/>
      <c r="C254" s="176"/>
      <c r="D254" s="175"/>
      <c r="E254" s="175"/>
      <c r="F254" s="12"/>
      <c r="G254" s="12"/>
      <c r="H254" s="175"/>
      <c r="I254" s="12"/>
      <c r="J254" s="12"/>
      <c r="K254" s="175"/>
      <c r="L254" s="175"/>
      <c r="M254" s="175"/>
      <c r="N254" s="175"/>
      <c r="O254" s="175"/>
      <c r="P254" s="12"/>
      <c r="Q254" s="175"/>
      <c r="R254" s="12"/>
      <c r="S254" s="12"/>
      <c r="T254" s="175"/>
      <c r="U254" s="179"/>
      <c r="V254" s="208"/>
      <c r="W254" s="12"/>
      <c r="X254" s="12"/>
    </row>
    <row r="255">
      <c r="A255" s="175"/>
      <c r="B255" s="175"/>
      <c r="C255" s="176"/>
      <c r="D255" s="175"/>
      <c r="E255" s="175"/>
      <c r="F255" s="12"/>
      <c r="G255" s="12"/>
      <c r="H255" s="175"/>
      <c r="I255" s="12"/>
      <c r="J255" s="12"/>
      <c r="K255" s="175"/>
      <c r="L255" s="175"/>
      <c r="M255" s="175"/>
      <c r="N255" s="175"/>
      <c r="O255" s="175"/>
      <c r="P255" s="12"/>
      <c r="Q255" s="175"/>
      <c r="R255" s="12"/>
      <c r="S255" s="12"/>
      <c r="T255" s="175"/>
      <c r="U255" s="179"/>
      <c r="V255" s="208"/>
      <c r="W255" s="12"/>
      <c r="X255" s="12"/>
    </row>
    <row r="256">
      <c r="A256" s="175"/>
      <c r="B256" s="175"/>
      <c r="C256" s="176"/>
      <c r="D256" s="175"/>
      <c r="E256" s="175"/>
      <c r="F256" s="12"/>
      <c r="G256" s="12"/>
      <c r="H256" s="175"/>
      <c r="I256" s="12"/>
      <c r="J256" s="12"/>
      <c r="K256" s="175"/>
      <c r="L256" s="175"/>
      <c r="M256" s="175"/>
      <c r="N256" s="175"/>
      <c r="O256" s="175"/>
      <c r="P256" s="12"/>
      <c r="Q256" s="175"/>
      <c r="R256" s="12"/>
      <c r="S256" s="12"/>
      <c r="T256" s="175"/>
      <c r="U256" s="179"/>
      <c r="V256" s="208"/>
      <c r="W256" s="12"/>
      <c r="X256" s="12"/>
    </row>
    <row r="257">
      <c r="A257" s="175"/>
      <c r="B257" s="175"/>
      <c r="C257" s="176"/>
      <c r="D257" s="175"/>
      <c r="E257" s="175"/>
      <c r="F257" s="12"/>
      <c r="G257" s="12"/>
      <c r="H257" s="175"/>
      <c r="I257" s="12"/>
      <c r="J257" s="12"/>
      <c r="K257" s="175"/>
      <c r="L257" s="175"/>
      <c r="M257" s="175"/>
      <c r="N257" s="175"/>
      <c r="O257" s="175"/>
      <c r="P257" s="12"/>
      <c r="Q257" s="175"/>
      <c r="R257" s="12"/>
      <c r="S257" s="12"/>
      <c r="T257" s="175"/>
      <c r="U257" s="179"/>
      <c r="V257" s="208"/>
      <c r="W257" s="12"/>
      <c r="X257" s="12"/>
    </row>
    <row r="258">
      <c r="A258" s="175"/>
      <c r="B258" s="175"/>
      <c r="C258" s="176"/>
      <c r="D258" s="175"/>
      <c r="E258" s="175"/>
      <c r="F258" s="12"/>
      <c r="G258" s="12"/>
      <c r="H258" s="175"/>
      <c r="I258" s="12"/>
      <c r="J258" s="12"/>
      <c r="K258" s="175"/>
      <c r="L258" s="175"/>
      <c r="M258" s="175"/>
      <c r="N258" s="175"/>
      <c r="O258" s="175"/>
      <c r="P258" s="12"/>
      <c r="Q258" s="175"/>
      <c r="R258" s="12"/>
      <c r="S258" s="12"/>
      <c r="T258" s="175"/>
      <c r="U258" s="179"/>
      <c r="V258" s="208"/>
      <c r="W258" s="12"/>
      <c r="X258" s="12"/>
    </row>
    <row r="259">
      <c r="A259" s="175"/>
      <c r="B259" s="175"/>
      <c r="C259" s="176"/>
      <c r="D259" s="175"/>
      <c r="E259" s="175"/>
      <c r="F259" s="12"/>
      <c r="G259" s="12"/>
      <c r="H259" s="175"/>
      <c r="I259" s="12"/>
      <c r="J259" s="12"/>
      <c r="K259" s="175"/>
      <c r="L259" s="175"/>
      <c r="M259" s="175"/>
      <c r="N259" s="175"/>
      <c r="O259" s="175"/>
      <c r="P259" s="12"/>
      <c r="Q259" s="175"/>
      <c r="R259" s="12"/>
      <c r="S259" s="12"/>
      <c r="T259" s="175"/>
      <c r="U259" s="179"/>
      <c r="V259" s="208"/>
      <c r="W259" s="12"/>
      <c r="X259" s="12"/>
    </row>
    <row r="260">
      <c r="A260" s="175"/>
      <c r="B260" s="175"/>
      <c r="C260" s="176"/>
      <c r="D260" s="175"/>
      <c r="E260" s="175"/>
      <c r="F260" s="12"/>
      <c r="G260" s="12"/>
      <c r="H260" s="175"/>
      <c r="I260" s="12"/>
      <c r="J260" s="12"/>
      <c r="K260" s="175"/>
      <c r="L260" s="175"/>
      <c r="M260" s="175"/>
      <c r="N260" s="175"/>
      <c r="O260" s="175"/>
      <c r="P260" s="12"/>
      <c r="Q260" s="175"/>
      <c r="R260" s="12"/>
      <c r="S260" s="12"/>
      <c r="T260" s="175"/>
      <c r="U260" s="179"/>
      <c r="V260" s="208"/>
      <c r="W260" s="12"/>
      <c r="X260" s="12"/>
    </row>
    <row r="261">
      <c r="A261" s="175"/>
      <c r="B261" s="175"/>
      <c r="C261" s="176"/>
      <c r="D261" s="175"/>
      <c r="E261" s="175"/>
      <c r="F261" s="12"/>
      <c r="G261" s="12"/>
      <c r="H261" s="175"/>
      <c r="I261" s="12"/>
      <c r="J261" s="12"/>
      <c r="K261" s="175"/>
      <c r="L261" s="175"/>
      <c r="M261" s="175"/>
      <c r="N261" s="175"/>
      <c r="O261" s="175"/>
      <c r="P261" s="12"/>
      <c r="Q261" s="175"/>
      <c r="R261" s="12"/>
      <c r="S261" s="12"/>
      <c r="T261" s="175"/>
      <c r="U261" s="179"/>
      <c r="V261" s="208"/>
      <c r="W261" s="12"/>
      <c r="X261" s="12"/>
    </row>
    <row r="262">
      <c r="A262" s="175"/>
      <c r="B262" s="175"/>
      <c r="C262" s="176"/>
      <c r="D262" s="175"/>
      <c r="E262" s="175"/>
      <c r="F262" s="12"/>
      <c r="G262" s="12"/>
      <c r="H262" s="175"/>
      <c r="I262" s="12"/>
      <c r="J262" s="12"/>
      <c r="K262" s="175"/>
      <c r="L262" s="175"/>
      <c r="M262" s="175"/>
      <c r="N262" s="175"/>
      <c r="O262" s="175"/>
      <c r="P262" s="12"/>
      <c r="Q262" s="175"/>
      <c r="R262" s="12"/>
      <c r="S262" s="12"/>
      <c r="T262" s="175"/>
      <c r="U262" s="179"/>
      <c r="V262" s="208"/>
      <c r="W262" s="12"/>
      <c r="X262" s="12"/>
    </row>
    <row r="263">
      <c r="A263" s="175"/>
      <c r="B263" s="175"/>
      <c r="C263" s="176"/>
      <c r="D263" s="175"/>
      <c r="E263" s="175"/>
      <c r="F263" s="12"/>
      <c r="G263" s="12"/>
      <c r="H263" s="175"/>
      <c r="I263" s="12"/>
      <c r="J263" s="12"/>
      <c r="K263" s="175"/>
      <c r="L263" s="175"/>
      <c r="M263" s="175"/>
      <c r="N263" s="175"/>
      <c r="O263" s="175"/>
      <c r="P263" s="12"/>
      <c r="Q263" s="175"/>
      <c r="R263" s="12"/>
      <c r="S263" s="12"/>
      <c r="T263" s="175"/>
      <c r="U263" s="179"/>
      <c r="V263" s="208"/>
      <c r="W263" s="12"/>
      <c r="X263" s="12"/>
    </row>
    <row r="264">
      <c r="A264" s="175"/>
      <c r="B264" s="175"/>
      <c r="C264" s="176"/>
      <c r="D264" s="175"/>
      <c r="E264" s="175"/>
      <c r="F264" s="12"/>
      <c r="G264" s="12"/>
      <c r="H264" s="175"/>
      <c r="I264" s="12"/>
      <c r="J264" s="12"/>
      <c r="K264" s="175"/>
      <c r="L264" s="175"/>
      <c r="M264" s="175"/>
      <c r="N264" s="175"/>
      <c r="O264" s="175"/>
      <c r="P264" s="12"/>
      <c r="Q264" s="175"/>
      <c r="R264" s="12"/>
      <c r="S264" s="12"/>
      <c r="T264" s="175"/>
      <c r="U264" s="179"/>
      <c r="V264" s="208"/>
      <c r="W264" s="12"/>
      <c r="X264" s="12"/>
    </row>
    <row r="265">
      <c r="A265" s="175"/>
      <c r="B265" s="175"/>
      <c r="C265" s="176"/>
      <c r="D265" s="175"/>
      <c r="E265" s="175"/>
      <c r="F265" s="12"/>
      <c r="G265" s="12"/>
      <c r="H265" s="175"/>
      <c r="I265" s="12"/>
      <c r="J265" s="12"/>
      <c r="K265" s="175"/>
      <c r="L265" s="175"/>
      <c r="M265" s="175"/>
      <c r="N265" s="175"/>
      <c r="O265" s="175"/>
      <c r="P265" s="12"/>
      <c r="Q265" s="175"/>
      <c r="R265" s="12"/>
      <c r="S265" s="12"/>
      <c r="T265" s="175"/>
      <c r="U265" s="179"/>
      <c r="V265" s="208"/>
      <c r="W265" s="12"/>
      <c r="X265" s="12"/>
    </row>
    <row r="266">
      <c r="A266" s="175"/>
      <c r="B266" s="175"/>
      <c r="C266" s="176"/>
      <c r="D266" s="175"/>
      <c r="E266" s="175"/>
      <c r="F266" s="12"/>
      <c r="G266" s="12"/>
      <c r="H266" s="175"/>
      <c r="I266" s="12"/>
      <c r="J266" s="12"/>
      <c r="K266" s="175"/>
      <c r="L266" s="175"/>
      <c r="M266" s="175"/>
      <c r="N266" s="175"/>
      <c r="O266" s="175"/>
      <c r="P266" s="12"/>
      <c r="Q266" s="175"/>
      <c r="R266" s="12"/>
      <c r="S266" s="12"/>
      <c r="T266" s="175"/>
      <c r="U266" s="179"/>
      <c r="V266" s="208"/>
      <c r="W266" s="12"/>
      <c r="X266" s="12"/>
    </row>
    <row r="267">
      <c r="A267" s="175"/>
      <c r="B267" s="175"/>
      <c r="C267" s="176"/>
      <c r="D267" s="175"/>
      <c r="E267" s="175"/>
      <c r="F267" s="12"/>
      <c r="G267" s="12"/>
      <c r="H267" s="175"/>
      <c r="I267" s="12"/>
      <c r="J267" s="12"/>
      <c r="K267" s="175"/>
      <c r="L267" s="175"/>
      <c r="M267" s="175"/>
      <c r="N267" s="175"/>
      <c r="O267" s="175"/>
      <c r="P267" s="12"/>
      <c r="Q267" s="175"/>
      <c r="R267" s="12"/>
      <c r="S267" s="12"/>
      <c r="T267" s="175"/>
      <c r="U267" s="179"/>
      <c r="V267" s="208"/>
      <c r="W267" s="12"/>
      <c r="X267" s="12"/>
    </row>
    <row r="268">
      <c r="A268" s="175"/>
      <c r="B268" s="175"/>
      <c r="C268" s="176"/>
      <c r="D268" s="175"/>
      <c r="E268" s="175"/>
      <c r="F268" s="12"/>
      <c r="G268" s="12"/>
      <c r="H268" s="175"/>
      <c r="I268" s="12"/>
      <c r="J268" s="12"/>
      <c r="K268" s="175"/>
      <c r="L268" s="175"/>
      <c r="M268" s="175"/>
      <c r="N268" s="175"/>
      <c r="O268" s="175"/>
      <c r="P268" s="12"/>
      <c r="Q268" s="175"/>
      <c r="R268" s="12"/>
      <c r="S268" s="12"/>
      <c r="T268" s="175"/>
      <c r="U268" s="179"/>
      <c r="V268" s="208"/>
      <c r="W268" s="12"/>
      <c r="X268" s="12"/>
    </row>
    <row r="269">
      <c r="A269" s="175"/>
      <c r="B269" s="175"/>
      <c r="C269" s="176"/>
      <c r="D269" s="175"/>
      <c r="E269" s="175"/>
      <c r="F269" s="12"/>
      <c r="G269" s="12"/>
      <c r="H269" s="175"/>
      <c r="I269" s="12"/>
      <c r="J269" s="12"/>
      <c r="K269" s="175"/>
      <c r="L269" s="175"/>
      <c r="M269" s="175"/>
      <c r="N269" s="175"/>
      <c r="O269" s="175"/>
      <c r="P269" s="12"/>
      <c r="Q269" s="175"/>
      <c r="R269" s="12"/>
      <c r="S269" s="12"/>
      <c r="T269" s="175"/>
      <c r="U269" s="179"/>
      <c r="V269" s="208"/>
      <c r="W269" s="12"/>
      <c r="X269" s="12"/>
    </row>
    <row r="270">
      <c r="A270" s="175"/>
      <c r="B270" s="175"/>
      <c r="C270" s="176"/>
      <c r="D270" s="175"/>
      <c r="E270" s="175"/>
      <c r="F270" s="12"/>
      <c r="G270" s="12"/>
      <c r="H270" s="175"/>
      <c r="I270" s="12"/>
      <c r="J270" s="12"/>
      <c r="K270" s="175"/>
      <c r="L270" s="175"/>
      <c r="M270" s="175"/>
      <c r="N270" s="175"/>
      <c r="O270" s="175"/>
      <c r="P270" s="12"/>
      <c r="Q270" s="175"/>
      <c r="R270" s="12"/>
      <c r="S270" s="12"/>
      <c r="T270" s="175"/>
      <c r="U270" s="179"/>
      <c r="V270" s="208"/>
      <c r="W270" s="12"/>
      <c r="X270" s="12"/>
    </row>
    <row r="271">
      <c r="A271" s="175"/>
      <c r="B271" s="175"/>
      <c r="C271" s="176"/>
      <c r="D271" s="175"/>
      <c r="E271" s="175"/>
      <c r="F271" s="12"/>
      <c r="G271" s="12"/>
      <c r="H271" s="175"/>
      <c r="I271" s="12"/>
      <c r="J271" s="12"/>
      <c r="K271" s="175"/>
      <c r="L271" s="175"/>
      <c r="M271" s="175"/>
      <c r="N271" s="175"/>
      <c r="O271" s="175"/>
      <c r="P271" s="12"/>
      <c r="Q271" s="175"/>
      <c r="R271" s="12"/>
      <c r="S271" s="12"/>
      <c r="T271" s="175"/>
      <c r="U271" s="179"/>
      <c r="V271" s="208"/>
      <c r="W271" s="12"/>
      <c r="X271" s="12"/>
    </row>
    <row r="272">
      <c r="A272" s="175"/>
      <c r="B272" s="175"/>
      <c r="C272" s="176"/>
      <c r="D272" s="175"/>
      <c r="E272" s="175"/>
      <c r="F272" s="12"/>
      <c r="G272" s="12"/>
      <c r="H272" s="175"/>
      <c r="I272" s="12"/>
      <c r="J272" s="12"/>
      <c r="K272" s="175"/>
      <c r="L272" s="175"/>
      <c r="M272" s="175"/>
      <c r="N272" s="175"/>
      <c r="O272" s="175"/>
      <c r="P272" s="12"/>
      <c r="Q272" s="175"/>
      <c r="R272" s="12"/>
      <c r="S272" s="12"/>
      <c r="T272" s="175"/>
      <c r="U272" s="179"/>
      <c r="V272" s="208"/>
      <c r="W272" s="12"/>
      <c r="X272" s="12"/>
    </row>
    <row r="273">
      <c r="A273" s="175"/>
      <c r="B273" s="175"/>
      <c r="C273" s="176"/>
      <c r="D273" s="175"/>
      <c r="E273" s="175"/>
      <c r="F273" s="12"/>
      <c r="G273" s="12"/>
      <c r="H273" s="175"/>
      <c r="I273" s="12"/>
      <c r="J273" s="12"/>
      <c r="K273" s="175"/>
      <c r="L273" s="175"/>
      <c r="M273" s="175"/>
      <c r="N273" s="175"/>
      <c r="O273" s="175"/>
      <c r="P273" s="12"/>
      <c r="Q273" s="175"/>
      <c r="R273" s="12"/>
      <c r="S273" s="12"/>
      <c r="T273" s="175"/>
      <c r="U273" s="179"/>
      <c r="V273" s="208"/>
      <c r="W273" s="12"/>
      <c r="X273" s="12"/>
    </row>
    <row r="274">
      <c r="A274" s="175"/>
      <c r="B274" s="175"/>
      <c r="C274" s="176"/>
      <c r="D274" s="175"/>
      <c r="E274" s="175"/>
      <c r="F274" s="12"/>
      <c r="G274" s="12"/>
      <c r="H274" s="175"/>
      <c r="I274" s="12"/>
      <c r="J274" s="12"/>
      <c r="K274" s="175"/>
      <c r="L274" s="175"/>
      <c r="M274" s="175"/>
      <c r="N274" s="175"/>
      <c r="O274" s="175"/>
      <c r="P274" s="12"/>
      <c r="Q274" s="175"/>
      <c r="R274" s="12"/>
      <c r="S274" s="12"/>
      <c r="T274" s="175"/>
      <c r="U274" s="179"/>
      <c r="V274" s="208"/>
      <c r="W274" s="12"/>
      <c r="X274" s="12"/>
    </row>
    <row r="275">
      <c r="A275" s="175"/>
      <c r="B275" s="175"/>
      <c r="C275" s="176"/>
      <c r="D275" s="175"/>
      <c r="E275" s="175"/>
      <c r="F275" s="12"/>
      <c r="G275" s="12"/>
      <c r="H275" s="175"/>
      <c r="I275" s="12"/>
      <c r="J275" s="12"/>
      <c r="K275" s="175"/>
      <c r="L275" s="175"/>
      <c r="M275" s="175"/>
      <c r="N275" s="175"/>
      <c r="O275" s="175"/>
      <c r="P275" s="12"/>
      <c r="Q275" s="175"/>
      <c r="R275" s="12"/>
      <c r="S275" s="12"/>
      <c r="T275" s="175"/>
      <c r="U275" s="179"/>
      <c r="V275" s="208"/>
      <c r="W275" s="12"/>
      <c r="X275" s="12"/>
    </row>
    <row r="276">
      <c r="A276" s="175"/>
      <c r="B276" s="175"/>
      <c r="C276" s="176"/>
      <c r="D276" s="175"/>
      <c r="E276" s="175"/>
      <c r="F276" s="12"/>
      <c r="G276" s="12"/>
      <c r="H276" s="175"/>
      <c r="I276" s="12"/>
      <c r="J276" s="12"/>
      <c r="K276" s="175"/>
      <c r="L276" s="175"/>
      <c r="M276" s="175"/>
      <c r="N276" s="175"/>
      <c r="O276" s="175"/>
      <c r="P276" s="12"/>
      <c r="Q276" s="175"/>
      <c r="R276" s="12"/>
      <c r="S276" s="12"/>
      <c r="T276" s="175"/>
      <c r="U276" s="179"/>
      <c r="V276" s="208"/>
      <c r="W276" s="12"/>
      <c r="X276" s="12"/>
    </row>
    <row r="277">
      <c r="A277" s="175"/>
      <c r="B277" s="175"/>
      <c r="C277" s="176"/>
      <c r="D277" s="175"/>
      <c r="E277" s="175"/>
      <c r="F277" s="12"/>
      <c r="G277" s="12"/>
      <c r="H277" s="175"/>
      <c r="I277" s="12"/>
      <c r="J277" s="12"/>
      <c r="K277" s="175"/>
      <c r="L277" s="175"/>
      <c r="M277" s="175"/>
      <c r="N277" s="175"/>
      <c r="O277" s="175"/>
      <c r="P277" s="12"/>
      <c r="Q277" s="175"/>
      <c r="R277" s="12"/>
      <c r="S277" s="12"/>
      <c r="T277" s="175"/>
      <c r="U277" s="179"/>
      <c r="V277" s="208"/>
      <c r="W277" s="12"/>
      <c r="X277" s="12"/>
    </row>
    <row r="278">
      <c r="A278" s="175"/>
      <c r="B278" s="175"/>
      <c r="C278" s="176"/>
      <c r="D278" s="175"/>
      <c r="E278" s="175"/>
      <c r="F278" s="12"/>
      <c r="G278" s="12"/>
      <c r="H278" s="175"/>
      <c r="I278" s="12"/>
      <c r="J278" s="12"/>
      <c r="K278" s="175"/>
      <c r="L278" s="175"/>
      <c r="M278" s="175"/>
      <c r="N278" s="175"/>
      <c r="O278" s="175"/>
      <c r="P278" s="12"/>
      <c r="Q278" s="175"/>
      <c r="R278" s="12"/>
      <c r="S278" s="12"/>
      <c r="T278" s="175"/>
      <c r="U278" s="179"/>
      <c r="V278" s="208"/>
      <c r="W278" s="12"/>
      <c r="X278" s="12"/>
    </row>
    <row r="279">
      <c r="A279" s="175"/>
      <c r="B279" s="175"/>
      <c r="C279" s="176"/>
      <c r="D279" s="175"/>
      <c r="E279" s="175"/>
      <c r="F279" s="12"/>
      <c r="G279" s="12"/>
      <c r="H279" s="175"/>
      <c r="I279" s="12"/>
      <c r="J279" s="12"/>
      <c r="K279" s="175"/>
      <c r="L279" s="175"/>
      <c r="M279" s="175"/>
      <c r="N279" s="175"/>
      <c r="O279" s="175"/>
      <c r="P279" s="12"/>
      <c r="Q279" s="175"/>
      <c r="R279" s="12"/>
      <c r="S279" s="12"/>
      <c r="T279" s="175"/>
      <c r="U279" s="179"/>
      <c r="V279" s="208"/>
      <c r="W279" s="12"/>
      <c r="X279" s="12"/>
    </row>
    <row r="280">
      <c r="A280" s="175"/>
      <c r="B280" s="175"/>
      <c r="C280" s="176"/>
      <c r="D280" s="175"/>
      <c r="E280" s="175"/>
      <c r="F280" s="12"/>
      <c r="G280" s="12"/>
      <c r="H280" s="175"/>
      <c r="I280" s="12"/>
      <c r="J280" s="12"/>
      <c r="K280" s="175"/>
      <c r="L280" s="175"/>
      <c r="M280" s="175"/>
      <c r="N280" s="175"/>
      <c r="O280" s="175"/>
      <c r="P280" s="12"/>
      <c r="Q280" s="175"/>
      <c r="R280" s="12"/>
      <c r="S280" s="12"/>
      <c r="T280" s="175"/>
      <c r="U280" s="179"/>
      <c r="V280" s="208"/>
      <c r="W280" s="12"/>
      <c r="X280" s="12"/>
    </row>
    <row r="281">
      <c r="A281" s="175"/>
      <c r="B281" s="175"/>
      <c r="C281" s="176"/>
      <c r="D281" s="175"/>
      <c r="E281" s="175"/>
      <c r="F281" s="12"/>
      <c r="G281" s="12"/>
      <c r="H281" s="175"/>
      <c r="I281" s="12"/>
      <c r="J281" s="12"/>
      <c r="K281" s="175"/>
      <c r="L281" s="175"/>
      <c r="M281" s="175"/>
      <c r="N281" s="175"/>
      <c r="O281" s="175"/>
      <c r="P281" s="12"/>
      <c r="Q281" s="175"/>
      <c r="R281" s="12"/>
      <c r="S281" s="12"/>
      <c r="T281" s="175"/>
      <c r="U281" s="179"/>
      <c r="V281" s="208"/>
      <c r="W281" s="12"/>
      <c r="X281" s="12"/>
    </row>
    <row r="282">
      <c r="A282" s="175"/>
      <c r="B282" s="175"/>
      <c r="C282" s="176"/>
      <c r="D282" s="175"/>
      <c r="E282" s="175"/>
      <c r="F282" s="12"/>
      <c r="G282" s="12"/>
      <c r="H282" s="175"/>
      <c r="I282" s="12"/>
      <c r="J282" s="12"/>
      <c r="K282" s="175"/>
      <c r="L282" s="175"/>
      <c r="M282" s="175"/>
      <c r="N282" s="175"/>
      <c r="O282" s="175"/>
      <c r="P282" s="12"/>
      <c r="Q282" s="175"/>
      <c r="R282" s="12"/>
      <c r="S282" s="12"/>
      <c r="T282" s="175"/>
      <c r="U282" s="179"/>
      <c r="V282" s="208"/>
      <c r="W282" s="12"/>
      <c r="X282" s="12"/>
    </row>
    <row r="283">
      <c r="A283" s="175"/>
      <c r="B283" s="175"/>
      <c r="C283" s="176"/>
      <c r="D283" s="175"/>
      <c r="E283" s="175"/>
      <c r="F283" s="12"/>
      <c r="G283" s="12"/>
      <c r="H283" s="175"/>
      <c r="I283" s="12"/>
      <c r="J283" s="12"/>
      <c r="K283" s="175"/>
      <c r="L283" s="175"/>
      <c r="M283" s="175"/>
      <c r="N283" s="175"/>
      <c r="O283" s="175"/>
      <c r="P283" s="12"/>
      <c r="Q283" s="175"/>
      <c r="R283" s="12"/>
      <c r="S283" s="12"/>
      <c r="T283" s="175"/>
      <c r="U283" s="179"/>
      <c r="V283" s="208"/>
      <c r="W283" s="12"/>
      <c r="X283" s="12"/>
    </row>
    <row r="284">
      <c r="A284" s="175"/>
      <c r="B284" s="175"/>
      <c r="C284" s="176"/>
      <c r="D284" s="175"/>
      <c r="E284" s="175"/>
      <c r="F284" s="12"/>
      <c r="G284" s="12"/>
      <c r="H284" s="175"/>
      <c r="I284" s="12"/>
      <c r="J284" s="12"/>
      <c r="K284" s="175"/>
      <c r="L284" s="175"/>
      <c r="M284" s="175"/>
      <c r="N284" s="175"/>
      <c r="O284" s="175"/>
      <c r="P284" s="12"/>
      <c r="Q284" s="175"/>
      <c r="R284" s="12"/>
      <c r="S284" s="12"/>
      <c r="T284" s="175"/>
      <c r="U284" s="179"/>
      <c r="V284" s="208"/>
      <c r="W284" s="12"/>
      <c r="X284" s="12"/>
    </row>
    <row r="285">
      <c r="A285" s="175"/>
      <c r="B285" s="175"/>
      <c r="C285" s="176"/>
      <c r="D285" s="175"/>
      <c r="E285" s="175"/>
      <c r="F285" s="12"/>
      <c r="G285" s="12"/>
      <c r="H285" s="175"/>
      <c r="I285" s="12"/>
      <c r="J285" s="12"/>
      <c r="K285" s="175"/>
      <c r="L285" s="175"/>
      <c r="M285" s="175"/>
      <c r="N285" s="175"/>
      <c r="O285" s="175"/>
      <c r="P285" s="12"/>
      <c r="Q285" s="175"/>
      <c r="R285" s="12"/>
      <c r="S285" s="12"/>
      <c r="T285" s="175"/>
      <c r="U285" s="179"/>
      <c r="V285" s="208"/>
      <c r="W285" s="12"/>
      <c r="X285" s="12"/>
    </row>
    <row r="286">
      <c r="A286" s="175"/>
      <c r="B286" s="175"/>
      <c r="C286" s="176"/>
      <c r="D286" s="175"/>
      <c r="E286" s="175"/>
      <c r="F286" s="12"/>
      <c r="G286" s="12"/>
      <c r="H286" s="175"/>
      <c r="I286" s="12"/>
      <c r="J286" s="12"/>
      <c r="K286" s="175"/>
      <c r="L286" s="175"/>
      <c r="M286" s="175"/>
      <c r="N286" s="175"/>
      <c r="O286" s="175"/>
      <c r="P286" s="12"/>
      <c r="Q286" s="175"/>
      <c r="R286" s="12"/>
      <c r="S286" s="12"/>
      <c r="T286" s="175"/>
      <c r="U286" s="179"/>
      <c r="V286" s="208"/>
      <c r="W286" s="12"/>
      <c r="X286" s="12"/>
    </row>
    <row r="287">
      <c r="A287" s="175"/>
      <c r="B287" s="175"/>
      <c r="C287" s="176"/>
      <c r="D287" s="175"/>
      <c r="E287" s="175"/>
      <c r="F287" s="12"/>
      <c r="G287" s="12"/>
      <c r="H287" s="175"/>
      <c r="I287" s="12"/>
      <c r="J287" s="12"/>
      <c r="K287" s="175"/>
      <c r="L287" s="175"/>
      <c r="M287" s="175"/>
      <c r="N287" s="175"/>
      <c r="O287" s="175"/>
      <c r="P287" s="12"/>
      <c r="Q287" s="175"/>
      <c r="R287" s="12"/>
      <c r="S287" s="12"/>
      <c r="T287" s="175"/>
      <c r="U287" s="179"/>
      <c r="V287" s="208"/>
      <c r="W287" s="12"/>
      <c r="X287" s="12"/>
    </row>
    <row r="288">
      <c r="A288" s="175"/>
      <c r="B288" s="175"/>
      <c r="C288" s="176"/>
      <c r="D288" s="175"/>
      <c r="E288" s="175"/>
      <c r="F288" s="12"/>
      <c r="G288" s="12"/>
      <c r="H288" s="175"/>
      <c r="I288" s="12"/>
      <c r="J288" s="12"/>
      <c r="K288" s="175"/>
      <c r="L288" s="175"/>
      <c r="M288" s="175"/>
      <c r="N288" s="175"/>
      <c r="O288" s="175"/>
      <c r="P288" s="12"/>
      <c r="Q288" s="175"/>
      <c r="R288" s="12"/>
      <c r="S288" s="12"/>
      <c r="T288" s="175"/>
      <c r="U288" s="179"/>
      <c r="V288" s="208"/>
      <c r="W288" s="12"/>
      <c r="X288" s="12"/>
    </row>
    <row r="289">
      <c r="A289" s="175"/>
      <c r="B289" s="175"/>
      <c r="C289" s="176"/>
      <c r="D289" s="175"/>
      <c r="E289" s="175"/>
      <c r="F289" s="12"/>
      <c r="G289" s="12"/>
      <c r="H289" s="175"/>
      <c r="I289" s="12"/>
      <c r="J289" s="12"/>
      <c r="K289" s="175"/>
      <c r="L289" s="175"/>
      <c r="M289" s="175"/>
      <c r="N289" s="175"/>
      <c r="O289" s="175"/>
      <c r="P289" s="12"/>
      <c r="Q289" s="175"/>
      <c r="R289" s="12"/>
      <c r="S289" s="12"/>
      <c r="T289" s="175"/>
      <c r="U289" s="179"/>
      <c r="V289" s="208"/>
      <c r="W289" s="12"/>
      <c r="X289" s="12"/>
    </row>
    <row r="290">
      <c r="A290" s="175"/>
      <c r="B290" s="175"/>
      <c r="C290" s="176"/>
      <c r="D290" s="175"/>
      <c r="E290" s="175"/>
      <c r="F290" s="12"/>
      <c r="G290" s="12"/>
      <c r="H290" s="175"/>
      <c r="I290" s="12"/>
      <c r="J290" s="12"/>
      <c r="K290" s="175"/>
      <c r="L290" s="175"/>
      <c r="M290" s="175"/>
      <c r="N290" s="175"/>
      <c r="O290" s="175"/>
      <c r="P290" s="12"/>
      <c r="Q290" s="175"/>
      <c r="R290" s="12"/>
      <c r="S290" s="12"/>
      <c r="T290" s="175"/>
      <c r="U290" s="179"/>
      <c r="V290" s="208"/>
      <c r="W290" s="12"/>
      <c r="X290" s="12"/>
    </row>
    <row r="291">
      <c r="A291" s="175"/>
      <c r="B291" s="175"/>
      <c r="C291" s="176"/>
      <c r="D291" s="175"/>
      <c r="E291" s="175"/>
      <c r="F291" s="12"/>
      <c r="G291" s="12"/>
      <c r="H291" s="175"/>
      <c r="I291" s="12"/>
      <c r="J291" s="12"/>
      <c r="K291" s="175"/>
      <c r="L291" s="175"/>
      <c r="M291" s="175"/>
      <c r="N291" s="175"/>
      <c r="O291" s="175"/>
      <c r="P291" s="12"/>
      <c r="Q291" s="175"/>
      <c r="R291" s="12"/>
      <c r="S291" s="12"/>
      <c r="T291" s="175"/>
      <c r="U291" s="179"/>
      <c r="V291" s="208"/>
      <c r="W291" s="12"/>
      <c r="X291" s="12"/>
    </row>
    <row r="292">
      <c r="A292" s="175"/>
      <c r="B292" s="175"/>
      <c r="C292" s="176"/>
      <c r="D292" s="175"/>
      <c r="E292" s="175"/>
      <c r="F292" s="12"/>
      <c r="G292" s="12"/>
      <c r="H292" s="175"/>
      <c r="I292" s="12"/>
      <c r="J292" s="12"/>
      <c r="K292" s="175"/>
      <c r="L292" s="175"/>
      <c r="M292" s="175"/>
      <c r="N292" s="175"/>
      <c r="O292" s="175"/>
      <c r="P292" s="12"/>
      <c r="Q292" s="175"/>
      <c r="R292" s="12"/>
      <c r="S292" s="12"/>
      <c r="T292" s="175"/>
      <c r="U292" s="179"/>
      <c r="V292" s="208"/>
      <c r="W292" s="12"/>
      <c r="X292" s="12"/>
    </row>
    <row r="293">
      <c r="A293" s="175"/>
      <c r="B293" s="175"/>
      <c r="C293" s="176"/>
      <c r="D293" s="175"/>
      <c r="E293" s="175"/>
      <c r="F293" s="12"/>
      <c r="G293" s="12"/>
      <c r="H293" s="175"/>
      <c r="I293" s="12"/>
      <c r="J293" s="12"/>
      <c r="K293" s="175"/>
      <c r="L293" s="175"/>
      <c r="M293" s="175"/>
      <c r="N293" s="175"/>
      <c r="O293" s="175"/>
      <c r="P293" s="12"/>
      <c r="Q293" s="175"/>
      <c r="R293" s="12"/>
      <c r="S293" s="12"/>
      <c r="T293" s="175"/>
      <c r="U293" s="179"/>
      <c r="V293" s="208"/>
      <c r="W293" s="12"/>
      <c r="X293" s="12"/>
    </row>
    <row r="294">
      <c r="A294" s="175"/>
      <c r="B294" s="175"/>
      <c r="C294" s="176"/>
      <c r="D294" s="175"/>
      <c r="E294" s="175"/>
      <c r="F294" s="12"/>
      <c r="G294" s="12"/>
      <c r="H294" s="175"/>
      <c r="I294" s="12"/>
      <c r="J294" s="12"/>
      <c r="K294" s="175"/>
      <c r="L294" s="175"/>
      <c r="M294" s="175"/>
      <c r="N294" s="175"/>
      <c r="O294" s="175"/>
      <c r="P294" s="12"/>
      <c r="Q294" s="175"/>
      <c r="R294" s="12"/>
      <c r="S294" s="12"/>
      <c r="T294" s="175"/>
      <c r="U294" s="179"/>
      <c r="V294" s="208"/>
      <c r="W294" s="12"/>
      <c r="X294" s="12"/>
    </row>
    <row r="295">
      <c r="A295" s="175"/>
      <c r="B295" s="175"/>
      <c r="C295" s="176"/>
      <c r="D295" s="175"/>
      <c r="E295" s="175"/>
      <c r="F295" s="12"/>
      <c r="G295" s="12"/>
      <c r="H295" s="175"/>
      <c r="I295" s="12"/>
      <c r="J295" s="12"/>
      <c r="K295" s="175"/>
      <c r="L295" s="175"/>
      <c r="M295" s="175"/>
      <c r="N295" s="175"/>
      <c r="O295" s="175"/>
      <c r="P295" s="12"/>
      <c r="Q295" s="175"/>
      <c r="R295" s="12"/>
      <c r="S295" s="12"/>
      <c r="T295" s="175"/>
      <c r="U295" s="179"/>
      <c r="V295" s="208"/>
      <c r="W295" s="12"/>
      <c r="X295" s="12"/>
    </row>
    <row r="296">
      <c r="A296" s="175"/>
      <c r="B296" s="175"/>
      <c r="C296" s="176"/>
      <c r="D296" s="175"/>
      <c r="E296" s="175"/>
      <c r="F296" s="12"/>
      <c r="G296" s="12"/>
      <c r="H296" s="175"/>
      <c r="I296" s="12"/>
      <c r="J296" s="12"/>
      <c r="K296" s="175"/>
      <c r="L296" s="175"/>
      <c r="M296" s="175"/>
      <c r="N296" s="175"/>
      <c r="O296" s="175"/>
      <c r="P296" s="12"/>
      <c r="Q296" s="175"/>
      <c r="R296" s="12"/>
      <c r="S296" s="12"/>
      <c r="T296" s="175"/>
      <c r="U296" s="179"/>
      <c r="V296" s="208"/>
      <c r="W296" s="12"/>
      <c r="X296" s="12"/>
    </row>
    <row r="297">
      <c r="A297" s="175"/>
      <c r="B297" s="175"/>
      <c r="C297" s="176"/>
      <c r="D297" s="175"/>
      <c r="E297" s="175"/>
      <c r="F297" s="12"/>
      <c r="G297" s="12"/>
      <c r="H297" s="175"/>
      <c r="I297" s="12"/>
      <c r="J297" s="12"/>
      <c r="K297" s="175"/>
      <c r="L297" s="175"/>
      <c r="M297" s="175"/>
      <c r="N297" s="175"/>
      <c r="O297" s="175"/>
      <c r="P297" s="12"/>
      <c r="Q297" s="175"/>
      <c r="R297" s="12"/>
      <c r="S297" s="12"/>
      <c r="T297" s="175"/>
      <c r="U297" s="179"/>
      <c r="V297" s="208"/>
      <c r="W297" s="12"/>
      <c r="X297" s="12"/>
    </row>
    <row r="298">
      <c r="A298" s="175"/>
      <c r="B298" s="175"/>
      <c r="C298" s="176"/>
      <c r="D298" s="175"/>
      <c r="E298" s="175"/>
      <c r="F298" s="12"/>
      <c r="G298" s="12"/>
      <c r="H298" s="175"/>
      <c r="I298" s="12"/>
      <c r="J298" s="12"/>
      <c r="K298" s="175"/>
      <c r="L298" s="175"/>
      <c r="M298" s="175"/>
      <c r="N298" s="175"/>
      <c r="O298" s="175"/>
      <c r="P298" s="12"/>
      <c r="Q298" s="175"/>
      <c r="R298" s="12"/>
      <c r="S298" s="12"/>
      <c r="T298" s="175"/>
      <c r="U298" s="179"/>
      <c r="V298" s="208"/>
      <c r="W298" s="12"/>
      <c r="X298" s="12"/>
    </row>
    <row r="299">
      <c r="A299" s="175"/>
      <c r="B299" s="175"/>
      <c r="C299" s="176"/>
      <c r="D299" s="175"/>
      <c r="E299" s="175"/>
      <c r="F299" s="12"/>
      <c r="G299" s="12"/>
      <c r="H299" s="175"/>
      <c r="I299" s="12"/>
      <c r="J299" s="12"/>
      <c r="K299" s="175"/>
      <c r="L299" s="175"/>
      <c r="M299" s="175"/>
      <c r="N299" s="175"/>
      <c r="O299" s="175"/>
      <c r="P299" s="12"/>
      <c r="Q299" s="175"/>
      <c r="R299" s="12"/>
      <c r="S299" s="12"/>
      <c r="T299" s="175"/>
      <c r="U299" s="179"/>
      <c r="V299" s="208"/>
      <c r="W299" s="12"/>
      <c r="X299" s="12"/>
    </row>
    <row r="300">
      <c r="A300" s="175"/>
      <c r="B300" s="175"/>
      <c r="C300" s="176"/>
      <c r="D300" s="175"/>
      <c r="E300" s="175"/>
      <c r="F300" s="12"/>
      <c r="G300" s="12"/>
      <c r="H300" s="175"/>
      <c r="I300" s="12"/>
      <c r="J300" s="12"/>
      <c r="K300" s="175"/>
      <c r="L300" s="175"/>
      <c r="M300" s="175"/>
      <c r="N300" s="175"/>
      <c r="O300" s="175"/>
      <c r="P300" s="12"/>
      <c r="Q300" s="175"/>
      <c r="R300" s="12"/>
      <c r="S300" s="12"/>
      <c r="T300" s="175"/>
      <c r="U300" s="179"/>
      <c r="V300" s="208"/>
      <c r="W300" s="12"/>
      <c r="X300" s="12"/>
    </row>
    <row r="301">
      <c r="A301" s="175"/>
      <c r="B301" s="175"/>
      <c r="C301" s="176"/>
      <c r="D301" s="175"/>
      <c r="E301" s="175"/>
      <c r="F301" s="12"/>
      <c r="G301" s="12"/>
      <c r="H301" s="175"/>
      <c r="I301" s="12"/>
      <c r="J301" s="12"/>
      <c r="K301" s="175"/>
      <c r="L301" s="175"/>
      <c r="M301" s="175"/>
      <c r="N301" s="175"/>
      <c r="O301" s="175"/>
      <c r="P301" s="12"/>
      <c r="Q301" s="175"/>
      <c r="R301" s="12"/>
      <c r="S301" s="12"/>
      <c r="T301" s="175"/>
      <c r="U301" s="179"/>
      <c r="V301" s="208"/>
      <c r="W301" s="12"/>
      <c r="X301" s="12"/>
    </row>
    <row r="302">
      <c r="A302" s="175"/>
      <c r="B302" s="175"/>
      <c r="C302" s="176"/>
      <c r="D302" s="175"/>
      <c r="E302" s="175"/>
      <c r="F302" s="12"/>
      <c r="G302" s="12"/>
      <c r="H302" s="175"/>
      <c r="I302" s="12"/>
      <c r="J302" s="12"/>
      <c r="K302" s="175"/>
      <c r="L302" s="175"/>
      <c r="M302" s="175"/>
      <c r="N302" s="175"/>
      <c r="O302" s="175"/>
      <c r="P302" s="12"/>
      <c r="Q302" s="175"/>
      <c r="R302" s="12"/>
      <c r="S302" s="12"/>
      <c r="T302" s="175"/>
      <c r="U302" s="179"/>
      <c r="V302" s="208"/>
      <c r="W302" s="12"/>
      <c r="X302" s="12"/>
    </row>
    <row r="303">
      <c r="A303" s="175"/>
      <c r="B303" s="175"/>
      <c r="C303" s="176"/>
      <c r="D303" s="175"/>
      <c r="E303" s="175"/>
      <c r="F303" s="12"/>
      <c r="G303" s="12"/>
      <c r="H303" s="175"/>
      <c r="I303" s="12"/>
      <c r="J303" s="12"/>
      <c r="K303" s="175"/>
      <c r="L303" s="175"/>
      <c r="M303" s="175"/>
      <c r="N303" s="175"/>
      <c r="O303" s="175"/>
      <c r="P303" s="12"/>
      <c r="Q303" s="175"/>
      <c r="R303" s="12"/>
      <c r="S303" s="12"/>
      <c r="T303" s="175"/>
      <c r="U303" s="179"/>
      <c r="V303" s="208"/>
      <c r="W303" s="12"/>
      <c r="X303" s="12"/>
    </row>
    <row r="304">
      <c r="A304" s="175"/>
      <c r="B304" s="175"/>
      <c r="C304" s="176"/>
      <c r="D304" s="175"/>
      <c r="E304" s="175"/>
      <c r="F304" s="12"/>
      <c r="G304" s="12"/>
      <c r="H304" s="175"/>
      <c r="I304" s="12"/>
      <c r="J304" s="12"/>
      <c r="K304" s="175"/>
      <c r="L304" s="175"/>
      <c r="M304" s="175"/>
      <c r="N304" s="175"/>
      <c r="O304" s="175"/>
      <c r="P304" s="12"/>
      <c r="Q304" s="175"/>
      <c r="R304" s="12"/>
      <c r="S304" s="12"/>
      <c r="T304" s="175"/>
      <c r="U304" s="179"/>
      <c r="V304" s="208"/>
      <c r="W304" s="12"/>
      <c r="X304" s="12"/>
    </row>
    <row r="305">
      <c r="A305" s="175"/>
      <c r="B305" s="175"/>
      <c r="C305" s="176"/>
      <c r="D305" s="175"/>
      <c r="E305" s="175"/>
      <c r="F305" s="12"/>
      <c r="G305" s="12"/>
      <c r="H305" s="175"/>
      <c r="I305" s="12"/>
      <c r="J305" s="12"/>
      <c r="K305" s="175"/>
      <c r="L305" s="175"/>
      <c r="M305" s="175"/>
      <c r="N305" s="175"/>
      <c r="O305" s="175"/>
      <c r="P305" s="12"/>
      <c r="Q305" s="175"/>
      <c r="R305" s="12"/>
      <c r="S305" s="12"/>
      <c r="T305" s="175"/>
      <c r="U305" s="179"/>
      <c r="V305" s="208"/>
      <c r="W305" s="12"/>
      <c r="X305" s="12"/>
    </row>
    <row r="306">
      <c r="A306" s="175"/>
      <c r="B306" s="175"/>
      <c r="C306" s="176"/>
      <c r="D306" s="175"/>
      <c r="E306" s="175"/>
      <c r="F306" s="12"/>
      <c r="G306" s="12"/>
      <c r="H306" s="175"/>
      <c r="I306" s="12"/>
      <c r="J306" s="12"/>
      <c r="K306" s="175"/>
      <c r="L306" s="175"/>
      <c r="M306" s="175"/>
      <c r="N306" s="175"/>
      <c r="O306" s="175"/>
      <c r="P306" s="12"/>
      <c r="Q306" s="175"/>
      <c r="R306" s="12"/>
      <c r="S306" s="12"/>
      <c r="T306" s="175"/>
      <c r="U306" s="179"/>
      <c r="V306" s="208"/>
      <c r="W306" s="12"/>
      <c r="X306" s="12"/>
    </row>
    <row r="307">
      <c r="A307" s="175"/>
      <c r="B307" s="175"/>
      <c r="C307" s="176"/>
      <c r="D307" s="175"/>
      <c r="E307" s="175"/>
      <c r="F307" s="12"/>
      <c r="G307" s="12"/>
      <c r="H307" s="175"/>
      <c r="I307" s="12"/>
      <c r="J307" s="12"/>
      <c r="K307" s="175"/>
      <c r="L307" s="175"/>
      <c r="M307" s="175"/>
      <c r="N307" s="175"/>
      <c r="O307" s="175"/>
      <c r="P307" s="12"/>
      <c r="Q307" s="175"/>
      <c r="R307" s="12"/>
      <c r="S307" s="12"/>
      <c r="T307" s="175"/>
      <c r="U307" s="179"/>
      <c r="V307" s="208"/>
      <c r="W307" s="12"/>
      <c r="X307" s="12"/>
    </row>
    <row r="308">
      <c r="A308" s="175"/>
      <c r="B308" s="175"/>
      <c r="C308" s="176"/>
      <c r="D308" s="175"/>
      <c r="E308" s="175"/>
      <c r="F308" s="12"/>
      <c r="G308" s="12"/>
      <c r="H308" s="175"/>
      <c r="I308" s="12"/>
      <c r="J308" s="12"/>
      <c r="K308" s="175"/>
      <c r="L308" s="175"/>
      <c r="M308" s="175"/>
      <c r="N308" s="175"/>
      <c r="O308" s="175"/>
      <c r="P308" s="12"/>
      <c r="Q308" s="175"/>
      <c r="R308" s="12"/>
      <c r="S308" s="12"/>
      <c r="T308" s="175"/>
      <c r="U308" s="179"/>
      <c r="V308" s="208"/>
      <c r="W308" s="12"/>
      <c r="X308" s="12"/>
    </row>
    <row r="309">
      <c r="A309" s="175"/>
      <c r="B309" s="175"/>
      <c r="C309" s="176"/>
      <c r="D309" s="175"/>
      <c r="E309" s="175"/>
      <c r="F309" s="12"/>
      <c r="G309" s="12"/>
      <c r="H309" s="175"/>
      <c r="I309" s="12"/>
      <c r="J309" s="12"/>
      <c r="K309" s="175"/>
      <c r="L309" s="175"/>
      <c r="M309" s="175"/>
      <c r="N309" s="175"/>
      <c r="O309" s="175"/>
      <c r="P309" s="12"/>
      <c r="Q309" s="175"/>
      <c r="R309" s="12"/>
      <c r="S309" s="12"/>
      <c r="T309" s="175"/>
      <c r="U309" s="179"/>
      <c r="V309" s="208"/>
      <c r="W309" s="12"/>
      <c r="X309" s="12"/>
    </row>
    <row r="310">
      <c r="A310" s="175"/>
      <c r="B310" s="175"/>
      <c r="C310" s="176"/>
      <c r="D310" s="175"/>
      <c r="E310" s="175"/>
      <c r="F310" s="12"/>
      <c r="G310" s="12"/>
      <c r="H310" s="175"/>
      <c r="I310" s="12"/>
      <c r="J310" s="12"/>
      <c r="K310" s="175"/>
      <c r="L310" s="175"/>
      <c r="M310" s="175"/>
      <c r="N310" s="175"/>
      <c r="O310" s="175"/>
      <c r="P310" s="12"/>
      <c r="Q310" s="175"/>
      <c r="R310" s="12"/>
      <c r="S310" s="12"/>
      <c r="T310" s="175"/>
      <c r="U310" s="179"/>
      <c r="V310" s="208"/>
      <c r="W310" s="12"/>
      <c r="X310" s="12"/>
    </row>
    <row r="311">
      <c r="A311" s="175"/>
      <c r="B311" s="175"/>
      <c r="C311" s="176"/>
      <c r="D311" s="175"/>
      <c r="E311" s="175"/>
      <c r="F311" s="12"/>
      <c r="G311" s="12"/>
      <c r="H311" s="175"/>
      <c r="I311" s="12"/>
      <c r="J311" s="12"/>
      <c r="K311" s="175"/>
      <c r="L311" s="175"/>
      <c r="M311" s="175"/>
      <c r="N311" s="175"/>
      <c r="O311" s="175"/>
      <c r="P311" s="12"/>
      <c r="Q311" s="175"/>
      <c r="R311" s="12"/>
      <c r="S311" s="12"/>
      <c r="T311" s="175"/>
      <c r="U311" s="179"/>
      <c r="V311" s="208"/>
      <c r="W311" s="12"/>
      <c r="X311" s="12"/>
    </row>
    <row r="312">
      <c r="A312" s="175"/>
      <c r="B312" s="175"/>
      <c r="C312" s="176"/>
      <c r="D312" s="175"/>
      <c r="E312" s="175"/>
      <c r="F312" s="12"/>
      <c r="G312" s="12"/>
      <c r="H312" s="175"/>
      <c r="I312" s="12"/>
      <c r="J312" s="12"/>
      <c r="K312" s="175"/>
      <c r="L312" s="175"/>
      <c r="M312" s="175"/>
      <c r="N312" s="175"/>
      <c r="O312" s="175"/>
      <c r="P312" s="12"/>
      <c r="Q312" s="175"/>
      <c r="R312" s="12"/>
      <c r="S312" s="12"/>
      <c r="T312" s="175"/>
      <c r="U312" s="179"/>
      <c r="V312" s="208"/>
      <c r="W312" s="12"/>
      <c r="X312" s="12"/>
    </row>
    <row r="313">
      <c r="A313" s="175"/>
      <c r="B313" s="175"/>
      <c r="C313" s="176"/>
      <c r="D313" s="175"/>
      <c r="E313" s="175"/>
      <c r="F313" s="12"/>
      <c r="G313" s="12"/>
      <c r="H313" s="175"/>
      <c r="I313" s="12"/>
      <c r="J313" s="12"/>
      <c r="K313" s="175"/>
      <c r="L313" s="175"/>
      <c r="M313" s="175"/>
      <c r="N313" s="175"/>
      <c r="O313" s="175"/>
      <c r="P313" s="12"/>
      <c r="Q313" s="175"/>
      <c r="R313" s="12"/>
      <c r="S313" s="12"/>
      <c r="T313" s="175"/>
      <c r="U313" s="179"/>
      <c r="V313" s="208"/>
      <c r="W313" s="12"/>
      <c r="X313" s="12"/>
    </row>
    <row r="314">
      <c r="A314" s="175"/>
      <c r="B314" s="175"/>
      <c r="C314" s="176"/>
      <c r="D314" s="175"/>
      <c r="E314" s="175"/>
      <c r="F314" s="12"/>
      <c r="G314" s="12"/>
      <c r="H314" s="175"/>
      <c r="I314" s="12"/>
      <c r="J314" s="12"/>
      <c r="K314" s="175"/>
      <c r="L314" s="175"/>
      <c r="M314" s="175"/>
      <c r="N314" s="175"/>
      <c r="O314" s="175"/>
      <c r="P314" s="12"/>
      <c r="Q314" s="175"/>
      <c r="R314" s="12"/>
      <c r="S314" s="12"/>
      <c r="T314" s="175"/>
      <c r="U314" s="179"/>
      <c r="V314" s="208"/>
      <c r="W314" s="12"/>
      <c r="X314" s="12"/>
    </row>
    <row r="315">
      <c r="A315" s="175"/>
      <c r="B315" s="175"/>
      <c r="C315" s="176"/>
      <c r="D315" s="175"/>
      <c r="E315" s="175"/>
      <c r="F315" s="12"/>
      <c r="G315" s="12"/>
      <c r="H315" s="175"/>
      <c r="I315" s="12"/>
      <c r="J315" s="12"/>
      <c r="K315" s="175"/>
      <c r="L315" s="175"/>
      <c r="M315" s="175"/>
      <c r="N315" s="175"/>
      <c r="O315" s="175"/>
      <c r="P315" s="12"/>
      <c r="Q315" s="175"/>
      <c r="R315" s="12"/>
      <c r="S315" s="12"/>
      <c r="T315" s="175"/>
      <c r="U315" s="179"/>
      <c r="V315" s="208"/>
      <c r="W315" s="12"/>
      <c r="X315" s="12"/>
    </row>
    <row r="316">
      <c r="A316" s="175"/>
      <c r="B316" s="175"/>
      <c r="C316" s="176"/>
      <c r="D316" s="175"/>
      <c r="E316" s="175"/>
      <c r="F316" s="12"/>
      <c r="G316" s="12"/>
      <c r="H316" s="175"/>
      <c r="I316" s="12"/>
      <c r="J316" s="12"/>
      <c r="K316" s="175"/>
      <c r="L316" s="175"/>
      <c r="M316" s="175"/>
      <c r="N316" s="175"/>
      <c r="O316" s="175"/>
      <c r="P316" s="12"/>
      <c r="Q316" s="175"/>
      <c r="R316" s="12"/>
      <c r="S316" s="12"/>
      <c r="T316" s="175"/>
      <c r="U316" s="179"/>
      <c r="V316" s="208"/>
      <c r="W316" s="12"/>
      <c r="X316" s="12"/>
    </row>
    <row r="317">
      <c r="A317" s="175"/>
      <c r="B317" s="175"/>
      <c r="C317" s="176"/>
      <c r="D317" s="175"/>
      <c r="E317" s="175"/>
      <c r="F317" s="12"/>
      <c r="G317" s="12"/>
      <c r="H317" s="175"/>
      <c r="I317" s="12"/>
      <c r="J317" s="12"/>
      <c r="K317" s="175"/>
      <c r="L317" s="175"/>
      <c r="M317" s="175"/>
      <c r="N317" s="175"/>
      <c r="O317" s="175"/>
      <c r="P317" s="12"/>
      <c r="Q317" s="175"/>
      <c r="R317" s="12"/>
      <c r="S317" s="12"/>
      <c r="T317" s="175"/>
      <c r="U317" s="179"/>
      <c r="V317" s="208"/>
      <c r="W317" s="12"/>
      <c r="X317" s="12"/>
    </row>
    <row r="318">
      <c r="A318" s="175"/>
      <c r="B318" s="175"/>
      <c r="C318" s="176"/>
      <c r="D318" s="175"/>
      <c r="E318" s="175"/>
      <c r="F318" s="12"/>
      <c r="G318" s="12"/>
      <c r="H318" s="175"/>
      <c r="I318" s="12"/>
      <c r="J318" s="12"/>
      <c r="K318" s="175"/>
      <c r="L318" s="175"/>
      <c r="M318" s="175"/>
      <c r="N318" s="175"/>
      <c r="O318" s="175"/>
      <c r="P318" s="12"/>
      <c r="Q318" s="175"/>
      <c r="R318" s="12"/>
      <c r="S318" s="12"/>
      <c r="T318" s="175"/>
      <c r="U318" s="179"/>
      <c r="V318" s="208"/>
      <c r="W318" s="12"/>
      <c r="X318" s="12"/>
    </row>
    <row r="319">
      <c r="A319" s="175"/>
      <c r="B319" s="175"/>
      <c r="C319" s="176"/>
      <c r="D319" s="175"/>
      <c r="E319" s="175"/>
      <c r="F319" s="12"/>
      <c r="G319" s="12"/>
      <c r="H319" s="175"/>
      <c r="I319" s="12"/>
      <c r="J319" s="12"/>
      <c r="K319" s="175"/>
      <c r="L319" s="175"/>
      <c r="M319" s="175"/>
      <c r="N319" s="175"/>
      <c r="O319" s="175"/>
      <c r="P319" s="12"/>
      <c r="Q319" s="175"/>
      <c r="R319" s="12"/>
      <c r="S319" s="12"/>
      <c r="T319" s="175"/>
      <c r="U319" s="179"/>
      <c r="V319" s="208"/>
      <c r="W319" s="12"/>
      <c r="X319" s="12"/>
    </row>
    <row r="320">
      <c r="A320" s="175"/>
      <c r="B320" s="175"/>
      <c r="C320" s="176"/>
      <c r="D320" s="175"/>
      <c r="E320" s="175"/>
      <c r="F320" s="12"/>
      <c r="G320" s="12"/>
      <c r="H320" s="175"/>
      <c r="I320" s="12"/>
      <c r="J320" s="12"/>
      <c r="K320" s="175"/>
      <c r="L320" s="175"/>
      <c r="M320" s="175"/>
      <c r="N320" s="175"/>
      <c r="O320" s="175"/>
      <c r="P320" s="12"/>
      <c r="Q320" s="175"/>
      <c r="R320" s="12"/>
      <c r="S320" s="12"/>
      <c r="T320" s="175"/>
      <c r="U320" s="179"/>
      <c r="V320" s="208"/>
      <c r="W320" s="12"/>
      <c r="X320" s="12"/>
    </row>
    <row r="321">
      <c r="A321" s="175"/>
      <c r="B321" s="175"/>
      <c r="C321" s="176"/>
      <c r="D321" s="175"/>
      <c r="E321" s="175"/>
      <c r="F321" s="12"/>
      <c r="G321" s="12"/>
      <c r="H321" s="175"/>
      <c r="I321" s="12"/>
      <c r="J321" s="12"/>
      <c r="K321" s="175"/>
      <c r="L321" s="175"/>
      <c r="M321" s="175"/>
      <c r="N321" s="175"/>
      <c r="O321" s="175"/>
      <c r="P321" s="12"/>
      <c r="Q321" s="175"/>
      <c r="R321" s="12"/>
      <c r="S321" s="12"/>
      <c r="T321" s="175"/>
      <c r="U321" s="179"/>
      <c r="V321" s="208"/>
      <c r="W321" s="12"/>
      <c r="X321" s="12"/>
    </row>
    <row r="322">
      <c r="A322" s="175"/>
      <c r="B322" s="175"/>
      <c r="C322" s="176"/>
      <c r="D322" s="175"/>
      <c r="E322" s="175"/>
      <c r="F322" s="12"/>
      <c r="G322" s="12"/>
      <c r="H322" s="175"/>
      <c r="I322" s="12"/>
      <c r="J322" s="12"/>
      <c r="K322" s="175"/>
      <c r="L322" s="175"/>
      <c r="M322" s="175"/>
      <c r="N322" s="175"/>
      <c r="O322" s="175"/>
      <c r="P322" s="12"/>
      <c r="Q322" s="175"/>
      <c r="R322" s="12"/>
      <c r="S322" s="12"/>
      <c r="T322" s="175"/>
      <c r="U322" s="179"/>
      <c r="V322" s="208"/>
      <c r="W322" s="12"/>
      <c r="X322" s="12"/>
    </row>
    <row r="323">
      <c r="A323" s="175"/>
      <c r="B323" s="175"/>
      <c r="C323" s="176"/>
      <c r="D323" s="175"/>
      <c r="E323" s="175"/>
      <c r="F323" s="12"/>
      <c r="G323" s="12"/>
      <c r="H323" s="175"/>
      <c r="I323" s="12"/>
      <c r="J323" s="12"/>
      <c r="K323" s="175"/>
      <c r="L323" s="175"/>
      <c r="M323" s="175"/>
      <c r="N323" s="175"/>
      <c r="O323" s="175"/>
      <c r="P323" s="12"/>
      <c r="Q323" s="175"/>
      <c r="R323" s="12"/>
      <c r="S323" s="12"/>
      <c r="T323" s="175"/>
      <c r="U323" s="179"/>
      <c r="V323" s="208"/>
      <c r="W323" s="12"/>
      <c r="X323" s="12"/>
    </row>
    <row r="324">
      <c r="A324" s="175"/>
      <c r="B324" s="175"/>
      <c r="C324" s="176"/>
      <c r="D324" s="175"/>
      <c r="E324" s="175"/>
      <c r="F324" s="12"/>
      <c r="G324" s="12"/>
      <c r="H324" s="175"/>
      <c r="I324" s="12"/>
      <c r="J324" s="12"/>
      <c r="K324" s="175"/>
      <c r="L324" s="175"/>
      <c r="M324" s="175"/>
      <c r="N324" s="175"/>
      <c r="O324" s="175"/>
      <c r="P324" s="12"/>
      <c r="Q324" s="175"/>
      <c r="R324" s="12"/>
      <c r="S324" s="12"/>
      <c r="T324" s="175"/>
      <c r="U324" s="179"/>
      <c r="V324" s="208"/>
      <c r="W324" s="12"/>
      <c r="X324" s="12"/>
    </row>
    <row r="325">
      <c r="A325" s="175"/>
      <c r="B325" s="175"/>
      <c r="C325" s="176"/>
      <c r="D325" s="175"/>
      <c r="E325" s="175"/>
      <c r="F325" s="12"/>
      <c r="G325" s="12"/>
      <c r="H325" s="175"/>
      <c r="I325" s="12"/>
      <c r="J325" s="12"/>
      <c r="K325" s="175"/>
      <c r="L325" s="175"/>
      <c r="M325" s="175"/>
      <c r="N325" s="175"/>
      <c r="O325" s="175"/>
      <c r="P325" s="12"/>
      <c r="Q325" s="175"/>
      <c r="R325" s="12"/>
      <c r="S325" s="12"/>
      <c r="T325" s="175"/>
      <c r="U325" s="179"/>
      <c r="V325" s="208"/>
      <c r="W325" s="12"/>
      <c r="X325" s="12"/>
    </row>
    <row r="326">
      <c r="A326" s="175"/>
      <c r="B326" s="175"/>
      <c r="C326" s="176"/>
      <c r="D326" s="175"/>
      <c r="E326" s="175"/>
      <c r="F326" s="12"/>
      <c r="G326" s="12"/>
      <c r="H326" s="175"/>
      <c r="I326" s="12"/>
      <c r="J326" s="12"/>
      <c r="K326" s="175"/>
      <c r="L326" s="175"/>
      <c r="M326" s="175"/>
      <c r="N326" s="175"/>
      <c r="O326" s="175"/>
      <c r="P326" s="12"/>
      <c r="Q326" s="175"/>
      <c r="R326" s="12"/>
      <c r="S326" s="12"/>
      <c r="T326" s="175"/>
      <c r="U326" s="179"/>
      <c r="V326" s="208"/>
      <c r="W326" s="12"/>
      <c r="X326" s="12"/>
    </row>
    <row r="327">
      <c r="A327" s="175"/>
      <c r="B327" s="175"/>
      <c r="C327" s="176"/>
      <c r="D327" s="175"/>
      <c r="E327" s="175"/>
      <c r="F327" s="12"/>
      <c r="G327" s="12"/>
      <c r="H327" s="175"/>
      <c r="I327" s="12"/>
      <c r="J327" s="12"/>
      <c r="K327" s="175"/>
      <c r="L327" s="175"/>
      <c r="M327" s="175"/>
      <c r="N327" s="175"/>
      <c r="O327" s="175"/>
      <c r="P327" s="12"/>
      <c r="Q327" s="175"/>
      <c r="R327" s="12"/>
      <c r="S327" s="12"/>
      <c r="T327" s="175"/>
      <c r="U327" s="179"/>
      <c r="V327" s="208"/>
      <c r="W327" s="12"/>
      <c r="X327" s="12"/>
    </row>
    <row r="328">
      <c r="A328" s="175"/>
      <c r="B328" s="175"/>
      <c r="C328" s="176"/>
      <c r="D328" s="175"/>
      <c r="E328" s="175"/>
      <c r="F328" s="12"/>
      <c r="G328" s="12"/>
      <c r="H328" s="175"/>
      <c r="I328" s="12"/>
      <c r="J328" s="12"/>
      <c r="K328" s="175"/>
      <c r="L328" s="175"/>
      <c r="M328" s="175"/>
      <c r="N328" s="175"/>
      <c r="O328" s="175"/>
      <c r="P328" s="12"/>
      <c r="Q328" s="175"/>
      <c r="R328" s="12"/>
      <c r="S328" s="12"/>
      <c r="T328" s="175"/>
      <c r="U328" s="179"/>
      <c r="V328" s="208"/>
      <c r="W328" s="12"/>
      <c r="X328" s="12"/>
    </row>
    <row r="329">
      <c r="A329" s="175"/>
      <c r="B329" s="175"/>
      <c r="C329" s="176"/>
      <c r="D329" s="175"/>
      <c r="E329" s="175"/>
      <c r="F329" s="12"/>
      <c r="G329" s="12"/>
      <c r="H329" s="175"/>
      <c r="I329" s="12"/>
      <c r="J329" s="12"/>
      <c r="K329" s="175"/>
      <c r="L329" s="175"/>
      <c r="M329" s="175"/>
      <c r="N329" s="175"/>
      <c r="O329" s="175"/>
      <c r="P329" s="12"/>
      <c r="Q329" s="175"/>
      <c r="R329" s="12"/>
      <c r="S329" s="12"/>
      <c r="T329" s="175"/>
      <c r="U329" s="179"/>
      <c r="V329" s="208"/>
      <c r="W329" s="12"/>
      <c r="X329" s="12"/>
    </row>
    <row r="330">
      <c r="A330" s="175"/>
      <c r="B330" s="175"/>
      <c r="C330" s="176"/>
      <c r="D330" s="175"/>
      <c r="E330" s="175"/>
      <c r="F330" s="12"/>
      <c r="G330" s="12"/>
      <c r="H330" s="175"/>
      <c r="I330" s="12"/>
      <c r="J330" s="12"/>
      <c r="K330" s="175"/>
      <c r="L330" s="175"/>
      <c r="M330" s="175"/>
      <c r="N330" s="175"/>
      <c r="O330" s="175"/>
      <c r="P330" s="12"/>
      <c r="Q330" s="175"/>
      <c r="R330" s="12"/>
      <c r="S330" s="12"/>
      <c r="T330" s="175"/>
      <c r="U330" s="179"/>
      <c r="V330" s="208"/>
      <c r="W330" s="12"/>
      <c r="X330" s="12"/>
    </row>
    <row r="331">
      <c r="A331" s="175"/>
      <c r="B331" s="175"/>
      <c r="C331" s="176"/>
      <c r="D331" s="175"/>
      <c r="E331" s="175"/>
      <c r="F331" s="12"/>
      <c r="G331" s="12"/>
      <c r="H331" s="175"/>
      <c r="I331" s="12"/>
      <c r="J331" s="12"/>
      <c r="K331" s="175"/>
      <c r="L331" s="175"/>
      <c r="M331" s="175"/>
      <c r="N331" s="175"/>
      <c r="O331" s="175"/>
      <c r="P331" s="12"/>
      <c r="Q331" s="175"/>
      <c r="R331" s="12"/>
      <c r="S331" s="12"/>
      <c r="T331" s="175"/>
      <c r="U331" s="179"/>
      <c r="V331" s="208"/>
      <c r="W331" s="12"/>
      <c r="X331" s="12"/>
    </row>
    <row r="332">
      <c r="A332" s="175"/>
      <c r="B332" s="175"/>
      <c r="C332" s="176"/>
      <c r="D332" s="175"/>
      <c r="E332" s="175"/>
      <c r="F332" s="12"/>
      <c r="G332" s="12"/>
      <c r="H332" s="175"/>
      <c r="I332" s="12"/>
      <c r="J332" s="12"/>
      <c r="K332" s="175"/>
      <c r="L332" s="175"/>
      <c r="M332" s="175"/>
      <c r="N332" s="175"/>
      <c r="O332" s="175"/>
      <c r="P332" s="12"/>
      <c r="Q332" s="175"/>
      <c r="R332" s="12"/>
      <c r="S332" s="12"/>
      <c r="T332" s="175"/>
      <c r="U332" s="179"/>
      <c r="V332" s="208"/>
      <c r="W332" s="12"/>
      <c r="X332" s="12"/>
    </row>
    <row r="333">
      <c r="A333" s="175"/>
      <c r="B333" s="175"/>
      <c r="C333" s="176"/>
      <c r="D333" s="175"/>
      <c r="E333" s="175"/>
      <c r="F333" s="12"/>
      <c r="G333" s="12"/>
      <c r="H333" s="175"/>
      <c r="I333" s="12"/>
      <c r="J333" s="12"/>
      <c r="K333" s="175"/>
      <c r="L333" s="175"/>
      <c r="M333" s="175"/>
      <c r="N333" s="175"/>
      <c r="O333" s="175"/>
      <c r="P333" s="12"/>
      <c r="Q333" s="175"/>
      <c r="R333" s="12"/>
      <c r="S333" s="12"/>
      <c r="T333" s="175"/>
      <c r="U333" s="179"/>
      <c r="V333" s="208"/>
      <c r="W333" s="12"/>
      <c r="X333" s="12"/>
    </row>
    <row r="334">
      <c r="A334" s="175"/>
      <c r="B334" s="175"/>
      <c r="C334" s="176"/>
      <c r="D334" s="175"/>
      <c r="E334" s="175"/>
      <c r="F334" s="12"/>
      <c r="G334" s="12"/>
      <c r="H334" s="175"/>
      <c r="I334" s="12"/>
      <c r="J334" s="12"/>
      <c r="K334" s="175"/>
      <c r="L334" s="175"/>
      <c r="M334" s="175"/>
      <c r="N334" s="175"/>
      <c r="O334" s="175"/>
      <c r="P334" s="12"/>
      <c r="Q334" s="175"/>
      <c r="R334" s="12"/>
      <c r="S334" s="12"/>
      <c r="T334" s="175"/>
      <c r="U334" s="179"/>
      <c r="V334" s="208"/>
      <c r="W334" s="12"/>
      <c r="X334" s="12"/>
    </row>
    <row r="335">
      <c r="A335" s="175"/>
      <c r="B335" s="175"/>
      <c r="C335" s="176"/>
      <c r="D335" s="175"/>
      <c r="E335" s="175"/>
      <c r="F335" s="12"/>
      <c r="G335" s="12"/>
      <c r="H335" s="175"/>
      <c r="I335" s="12"/>
      <c r="J335" s="12"/>
      <c r="K335" s="175"/>
      <c r="L335" s="175"/>
      <c r="M335" s="175"/>
      <c r="N335" s="175"/>
      <c r="O335" s="175"/>
      <c r="P335" s="12"/>
      <c r="Q335" s="175"/>
      <c r="R335" s="12"/>
      <c r="S335" s="12"/>
      <c r="T335" s="175"/>
      <c r="U335" s="179"/>
      <c r="V335" s="208"/>
      <c r="W335" s="12"/>
      <c r="X335" s="12"/>
    </row>
    <row r="336">
      <c r="A336" s="175"/>
      <c r="B336" s="175"/>
      <c r="C336" s="176"/>
      <c r="D336" s="175"/>
      <c r="E336" s="175"/>
      <c r="F336" s="12"/>
      <c r="G336" s="12"/>
      <c r="H336" s="175"/>
      <c r="I336" s="12"/>
      <c r="J336" s="12"/>
      <c r="K336" s="175"/>
      <c r="L336" s="175"/>
      <c r="M336" s="175"/>
      <c r="N336" s="175"/>
      <c r="O336" s="175"/>
      <c r="P336" s="12"/>
      <c r="Q336" s="175"/>
      <c r="R336" s="12"/>
      <c r="S336" s="12"/>
      <c r="T336" s="175"/>
      <c r="U336" s="179"/>
      <c r="V336" s="208"/>
      <c r="W336" s="12"/>
      <c r="X336" s="12"/>
    </row>
    <row r="337">
      <c r="A337" s="175"/>
      <c r="B337" s="175"/>
      <c r="C337" s="176"/>
      <c r="D337" s="175"/>
      <c r="E337" s="175"/>
      <c r="F337" s="12"/>
      <c r="G337" s="12"/>
      <c r="H337" s="175"/>
      <c r="I337" s="12"/>
      <c r="J337" s="12"/>
      <c r="K337" s="175"/>
      <c r="L337" s="175"/>
      <c r="M337" s="175"/>
      <c r="N337" s="175"/>
      <c r="O337" s="175"/>
      <c r="P337" s="12"/>
      <c r="Q337" s="175"/>
      <c r="R337" s="12"/>
      <c r="S337" s="12"/>
      <c r="T337" s="175"/>
      <c r="U337" s="179"/>
      <c r="V337" s="208"/>
      <c r="W337" s="12"/>
      <c r="X337" s="12"/>
    </row>
    <row r="338">
      <c r="A338" s="175"/>
      <c r="B338" s="175"/>
      <c r="C338" s="176"/>
      <c r="D338" s="175"/>
      <c r="E338" s="175"/>
      <c r="F338" s="12"/>
      <c r="G338" s="12"/>
      <c r="H338" s="175"/>
      <c r="I338" s="12"/>
      <c r="J338" s="12"/>
      <c r="K338" s="175"/>
      <c r="L338" s="175"/>
      <c r="M338" s="175"/>
      <c r="N338" s="175"/>
      <c r="O338" s="175"/>
      <c r="P338" s="12"/>
      <c r="Q338" s="175"/>
      <c r="R338" s="12"/>
      <c r="S338" s="12"/>
      <c r="T338" s="175"/>
      <c r="U338" s="179"/>
      <c r="V338" s="208"/>
      <c r="W338" s="12"/>
      <c r="X338" s="12"/>
    </row>
    <row r="339">
      <c r="A339" s="175"/>
      <c r="B339" s="175"/>
      <c r="C339" s="176"/>
      <c r="D339" s="175"/>
      <c r="E339" s="175"/>
      <c r="F339" s="12"/>
      <c r="G339" s="12"/>
      <c r="H339" s="175"/>
      <c r="I339" s="12"/>
      <c r="J339" s="12"/>
      <c r="K339" s="175"/>
      <c r="L339" s="175"/>
      <c r="M339" s="175"/>
      <c r="N339" s="175"/>
      <c r="O339" s="175"/>
      <c r="P339" s="12"/>
      <c r="Q339" s="175"/>
      <c r="R339" s="12"/>
      <c r="S339" s="12"/>
      <c r="T339" s="175"/>
      <c r="U339" s="179"/>
      <c r="V339" s="208"/>
      <c r="W339" s="12"/>
      <c r="X339" s="12"/>
    </row>
    <row r="340">
      <c r="A340" s="175"/>
      <c r="B340" s="175"/>
      <c r="C340" s="176"/>
      <c r="D340" s="175"/>
      <c r="E340" s="175"/>
      <c r="F340" s="12"/>
      <c r="G340" s="12"/>
      <c r="H340" s="175"/>
      <c r="I340" s="12"/>
      <c r="J340" s="12"/>
      <c r="K340" s="175"/>
      <c r="L340" s="175"/>
      <c r="M340" s="175"/>
      <c r="N340" s="175"/>
      <c r="O340" s="175"/>
      <c r="P340" s="12"/>
      <c r="Q340" s="175"/>
      <c r="R340" s="12"/>
      <c r="S340" s="12"/>
      <c r="T340" s="175"/>
      <c r="U340" s="179"/>
      <c r="V340" s="208"/>
      <c r="W340" s="12"/>
      <c r="X340" s="12"/>
    </row>
    <row r="341">
      <c r="A341" s="175"/>
      <c r="B341" s="175"/>
      <c r="C341" s="176"/>
      <c r="D341" s="175"/>
      <c r="E341" s="175"/>
      <c r="F341" s="12"/>
      <c r="G341" s="12"/>
      <c r="H341" s="175"/>
      <c r="I341" s="12"/>
      <c r="J341" s="12"/>
      <c r="K341" s="175"/>
      <c r="L341" s="175"/>
      <c r="M341" s="175"/>
      <c r="N341" s="175"/>
      <c r="O341" s="175"/>
      <c r="P341" s="12"/>
      <c r="Q341" s="175"/>
      <c r="R341" s="12"/>
      <c r="S341" s="12"/>
      <c r="T341" s="175"/>
      <c r="U341" s="179"/>
      <c r="V341" s="208"/>
      <c r="W341" s="12"/>
      <c r="X341" s="12"/>
    </row>
    <row r="342">
      <c r="A342" s="175"/>
      <c r="B342" s="175"/>
      <c r="C342" s="176"/>
      <c r="D342" s="175"/>
      <c r="E342" s="175"/>
      <c r="F342" s="12"/>
      <c r="G342" s="12"/>
      <c r="H342" s="175"/>
      <c r="I342" s="12"/>
      <c r="J342" s="12"/>
      <c r="K342" s="175"/>
      <c r="L342" s="175"/>
      <c r="M342" s="175"/>
      <c r="N342" s="175"/>
      <c r="O342" s="175"/>
      <c r="P342" s="12"/>
      <c r="Q342" s="175"/>
      <c r="R342" s="12"/>
      <c r="S342" s="12"/>
      <c r="T342" s="175"/>
      <c r="U342" s="179"/>
      <c r="V342" s="208"/>
      <c r="W342" s="12"/>
      <c r="X342" s="12"/>
    </row>
    <row r="343">
      <c r="A343" s="175"/>
      <c r="B343" s="175"/>
      <c r="C343" s="176"/>
      <c r="D343" s="175"/>
      <c r="E343" s="175"/>
      <c r="F343" s="12"/>
      <c r="G343" s="12"/>
      <c r="H343" s="175"/>
      <c r="I343" s="12"/>
      <c r="J343" s="12"/>
      <c r="K343" s="175"/>
      <c r="L343" s="175"/>
      <c r="M343" s="175"/>
      <c r="N343" s="175"/>
      <c r="O343" s="175"/>
      <c r="P343" s="12"/>
      <c r="Q343" s="175"/>
      <c r="R343" s="12"/>
      <c r="S343" s="12"/>
      <c r="T343" s="175"/>
      <c r="U343" s="179"/>
      <c r="V343" s="208"/>
      <c r="W343" s="12"/>
      <c r="X343" s="12"/>
    </row>
    <row r="344">
      <c r="A344" s="175"/>
      <c r="B344" s="175"/>
      <c r="C344" s="176"/>
      <c r="D344" s="175"/>
      <c r="E344" s="175"/>
      <c r="F344" s="12"/>
      <c r="G344" s="12"/>
      <c r="H344" s="175"/>
      <c r="I344" s="12"/>
      <c r="J344" s="12"/>
      <c r="K344" s="175"/>
      <c r="L344" s="175"/>
      <c r="M344" s="175"/>
      <c r="N344" s="175"/>
      <c r="O344" s="175"/>
      <c r="P344" s="12"/>
      <c r="Q344" s="175"/>
      <c r="R344" s="12"/>
      <c r="S344" s="12"/>
      <c r="T344" s="175"/>
      <c r="U344" s="179"/>
      <c r="V344" s="208"/>
      <c r="W344" s="12"/>
      <c r="X344" s="12"/>
    </row>
    <row r="345">
      <c r="A345" s="175"/>
      <c r="B345" s="175"/>
      <c r="C345" s="176"/>
      <c r="D345" s="175"/>
      <c r="E345" s="175"/>
      <c r="F345" s="12"/>
      <c r="G345" s="12"/>
      <c r="H345" s="175"/>
      <c r="I345" s="12"/>
      <c r="J345" s="12"/>
      <c r="K345" s="175"/>
      <c r="L345" s="175"/>
      <c r="M345" s="175"/>
      <c r="N345" s="175"/>
      <c r="O345" s="175"/>
      <c r="P345" s="12"/>
      <c r="Q345" s="175"/>
      <c r="R345" s="12"/>
      <c r="S345" s="12"/>
      <c r="T345" s="175"/>
      <c r="U345" s="179"/>
      <c r="V345" s="208"/>
      <c r="W345" s="12"/>
      <c r="X345" s="12"/>
    </row>
    <row r="346">
      <c r="A346" s="175"/>
      <c r="B346" s="175"/>
      <c r="C346" s="176"/>
      <c r="D346" s="175"/>
      <c r="E346" s="175"/>
      <c r="F346" s="12"/>
      <c r="G346" s="12"/>
      <c r="H346" s="175"/>
      <c r="I346" s="12"/>
      <c r="J346" s="12"/>
      <c r="K346" s="175"/>
      <c r="L346" s="175"/>
      <c r="M346" s="175"/>
      <c r="N346" s="175"/>
      <c r="O346" s="175"/>
      <c r="P346" s="12"/>
      <c r="Q346" s="175"/>
      <c r="R346" s="12"/>
      <c r="S346" s="12"/>
      <c r="T346" s="175"/>
      <c r="U346" s="179"/>
      <c r="V346" s="208"/>
      <c r="W346" s="12"/>
      <c r="X346" s="12"/>
    </row>
    <row r="347">
      <c r="A347" s="175"/>
      <c r="B347" s="175"/>
      <c r="C347" s="176"/>
      <c r="D347" s="175"/>
      <c r="E347" s="175"/>
      <c r="F347" s="12"/>
      <c r="G347" s="12"/>
      <c r="H347" s="175"/>
      <c r="I347" s="12"/>
      <c r="J347" s="12"/>
      <c r="K347" s="175"/>
      <c r="L347" s="175"/>
      <c r="M347" s="175"/>
      <c r="N347" s="175"/>
      <c r="O347" s="175"/>
      <c r="P347" s="12"/>
      <c r="Q347" s="175"/>
      <c r="R347" s="12"/>
      <c r="S347" s="12"/>
      <c r="T347" s="175"/>
      <c r="U347" s="179"/>
      <c r="V347" s="208"/>
      <c r="W347" s="12"/>
      <c r="X347" s="12"/>
    </row>
    <row r="348">
      <c r="A348" s="175"/>
      <c r="B348" s="175"/>
      <c r="C348" s="176"/>
      <c r="D348" s="175"/>
      <c r="E348" s="175"/>
      <c r="F348" s="12"/>
      <c r="G348" s="12"/>
      <c r="H348" s="175"/>
      <c r="I348" s="12"/>
      <c r="J348" s="12"/>
      <c r="K348" s="175"/>
      <c r="L348" s="175"/>
      <c r="M348" s="175"/>
      <c r="N348" s="175"/>
      <c r="O348" s="175"/>
      <c r="P348" s="12"/>
      <c r="Q348" s="175"/>
      <c r="R348" s="12"/>
      <c r="S348" s="12"/>
      <c r="T348" s="175"/>
      <c r="U348" s="179"/>
      <c r="V348" s="208"/>
      <c r="W348" s="12"/>
      <c r="X348" s="12"/>
    </row>
    <row r="349">
      <c r="A349" s="175"/>
      <c r="B349" s="175"/>
      <c r="C349" s="176"/>
      <c r="D349" s="175"/>
      <c r="E349" s="175"/>
      <c r="F349" s="12"/>
      <c r="G349" s="12"/>
      <c r="H349" s="175"/>
      <c r="I349" s="12"/>
      <c r="J349" s="12"/>
      <c r="K349" s="175"/>
      <c r="L349" s="175"/>
      <c r="M349" s="175"/>
      <c r="N349" s="175"/>
      <c r="O349" s="175"/>
      <c r="P349" s="12"/>
      <c r="Q349" s="175"/>
      <c r="R349" s="12"/>
      <c r="S349" s="12"/>
      <c r="T349" s="175"/>
      <c r="U349" s="179"/>
      <c r="V349" s="208"/>
      <c r="W349" s="12"/>
      <c r="X349" s="12"/>
    </row>
    <row r="350">
      <c r="A350" s="175"/>
      <c r="B350" s="175"/>
      <c r="C350" s="176"/>
      <c r="D350" s="175"/>
      <c r="E350" s="175"/>
      <c r="F350" s="12"/>
      <c r="G350" s="12"/>
      <c r="H350" s="175"/>
      <c r="I350" s="12"/>
      <c r="J350" s="12"/>
      <c r="K350" s="175"/>
      <c r="L350" s="175"/>
      <c r="M350" s="175"/>
      <c r="N350" s="175"/>
      <c r="O350" s="175"/>
      <c r="P350" s="12"/>
      <c r="Q350" s="175"/>
      <c r="R350" s="12"/>
      <c r="S350" s="12"/>
      <c r="T350" s="175"/>
      <c r="U350" s="179"/>
      <c r="V350" s="208"/>
      <c r="W350" s="12"/>
      <c r="X350" s="12"/>
    </row>
    <row r="351">
      <c r="A351" s="175"/>
      <c r="B351" s="175"/>
      <c r="C351" s="176"/>
      <c r="D351" s="175"/>
      <c r="E351" s="175"/>
      <c r="F351" s="12"/>
      <c r="G351" s="12"/>
      <c r="H351" s="175"/>
      <c r="I351" s="12"/>
      <c r="J351" s="12"/>
      <c r="K351" s="175"/>
      <c r="L351" s="175"/>
      <c r="M351" s="175"/>
      <c r="N351" s="175"/>
      <c r="O351" s="175"/>
      <c r="P351" s="12"/>
      <c r="Q351" s="175"/>
      <c r="R351" s="12"/>
      <c r="S351" s="12"/>
      <c r="T351" s="175"/>
      <c r="U351" s="179"/>
      <c r="V351" s="208"/>
      <c r="W351" s="12"/>
      <c r="X351" s="12"/>
    </row>
    <row r="352">
      <c r="A352" s="175"/>
      <c r="B352" s="175"/>
      <c r="C352" s="176"/>
      <c r="D352" s="175"/>
      <c r="E352" s="175"/>
      <c r="F352" s="12"/>
      <c r="G352" s="12"/>
      <c r="H352" s="175"/>
      <c r="I352" s="12"/>
      <c r="J352" s="12"/>
      <c r="K352" s="175"/>
      <c r="L352" s="175"/>
      <c r="M352" s="175"/>
      <c r="N352" s="175"/>
      <c r="O352" s="175"/>
      <c r="P352" s="12"/>
      <c r="Q352" s="175"/>
      <c r="R352" s="12"/>
      <c r="S352" s="12"/>
      <c r="T352" s="175"/>
      <c r="U352" s="179"/>
      <c r="V352" s="208"/>
      <c r="W352" s="12"/>
      <c r="X352" s="12"/>
    </row>
    <row r="353">
      <c r="A353" s="175"/>
      <c r="B353" s="175"/>
      <c r="C353" s="176"/>
      <c r="D353" s="175"/>
      <c r="E353" s="175"/>
      <c r="F353" s="12"/>
      <c r="G353" s="12"/>
      <c r="H353" s="175"/>
      <c r="I353" s="12"/>
      <c r="J353" s="12"/>
      <c r="K353" s="175"/>
      <c r="L353" s="175"/>
      <c r="M353" s="175"/>
      <c r="N353" s="175"/>
      <c r="O353" s="175"/>
      <c r="P353" s="12"/>
      <c r="Q353" s="175"/>
      <c r="R353" s="12"/>
      <c r="S353" s="12"/>
      <c r="T353" s="175"/>
      <c r="U353" s="179"/>
      <c r="V353" s="208"/>
      <c r="W353" s="12"/>
      <c r="X353" s="12"/>
    </row>
    <row r="354">
      <c r="A354" s="175"/>
      <c r="B354" s="175"/>
      <c r="C354" s="176"/>
      <c r="D354" s="175"/>
      <c r="E354" s="175"/>
      <c r="F354" s="12"/>
      <c r="G354" s="12"/>
      <c r="H354" s="175"/>
      <c r="I354" s="12"/>
      <c r="J354" s="12"/>
      <c r="K354" s="175"/>
      <c r="L354" s="175"/>
      <c r="M354" s="175"/>
      <c r="N354" s="175"/>
      <c r="O354" s="175"/>
      <c r="P354" s="12"/>
      <c r="Q354" s="175"/>
      <c r="R354" s="12"/>
      <c r="S354" s="12"/>
      <c r="T354" s="175"/>
      <c r="U354" s="179"/>
      <c r="V354" s="208"/>
      <c r="W354" s="12"/>
      <c r="X354" s="12"/>
    </row>
    <row r="355">
      <c r="A355" s="175"/>
      <c r="B355" s="175"/>
      <c r="C355" s="176"/>
      <c r="D355" s="175"/>
      <c r="E355" s="175"/>
      <c r="F355" s="12"/>
      <c r="G355" s="12"/>
      <c r="H355" s="175"/>
      <c r="I355" s="12"/>
      <c r="J355" s="12"/>
      <c r="K355" s="175"/>
      <c r="L355" s="175"/>
      <c r="M355" s="175"/>
      <c r="N355" s="175"/>
      <c r="O355" s="175"/>
      <c r="P355" s="12"/>
      <c r="Q355" s="175"/>
      <c r="R355" s="12"/>
      <c r="S355" s="12"/>
      <c r="T355" s="175"/>
      <c r="U355" s="179"/>
      <c r="V355" s="208"/>
      <c r="W355" s="12"/>
      <c r="X355" s="12"/>
    </row>
    <row r="356">
      <c r="A356" s="175"/>
      <c r="B356" s="175"/>
      <c r="C356" s="176"/>
      <c r="D356" s="175"/>
      <c r="E356" s="175"/>
      <c r="F356" s="12"/>
      <c r="G356" s="12"/>
      <c r="H356" s="175"/>
      <c r="I356" s="12"/>
      <c r="J356" s="12"/>
      <c r="K356" s="175"/>
      <c r="L356" s="175"/>
      <c r="M356" s="175"/>
      <c r="N356" s="175"/>
      <c r="O356" s="175"/>
      <c r="P356" s="12"/>
      <c r="Q356" s="175"/>
      <c r="R356" s="12"/>
      <c r="S356" s="12"/>
      <c r="T356" s="175"/>
      <c r="U356" s="179"/>
      <c r="V356" s="208"/>
      <c r="W356" s="12"/>
      <c r="X356" s="12"/>
    </row>
    <row r="357">
      <c r="A357" s="175"/>
      <c r="B357" s="175"/>
      <c r="C357" s="176"/>
      <c r="D357" s="175"/>
      <c r="E357" s="175"/>
      <c r="F357" s="12"/>
      <c r="G357" s="12"/>
      <c r="H357" s="175"/>
      <c r="I357" s="12"/>
      <c r="J357" s="12"/>
      <c r="K357" s="175"/>
      <c r="L357" s="175"/>
      <c r="M357" s="175"/>
      <c r="N357" s="175"/>
      <c r="O357" s="175"/>
      <c r="P357" s="12"/>
      <c r="Q357" s="175"/>
      <c r="R357" s="12"/>
      <c r="S357" s="12"/>
      <c r="T357" s="175"/>
      <c r="U357" s="179"/>
      <c r="V357" s="208"/>
      <c r="W357" s="12"/>
      <c r="X357" s="12"/>
    </row>
    <row r="358">
      <c r="A358" s="175"/>
      <c r="B358" s="175"/>
      <c r="C358" s="176"/>
      <c r="D358" s="175"/>
      <c r="E358" s="175"/>
      <c r="F358" s="12"/>
      <c r="G358" s="12"/>
      <c r="H358" s="175"/>
      <c r="I358" s="12"/>
      <c r="J358" s="12"/>
      <c r="K358" s="175"/>
      <c r="L358" s="175"/>
      <c r="M358" s="175"/>
      <c r="N358" s="175"/>
      <c r="O358" s="175"/>
      <c r="P358" s="12"/>
      <c r="Q358" s="175"/>
      <c r="R358" s="12"/>
      <c r="S358" s="12"/>
      <c r="T358" s="175"/>
      <c r="U358" s="179"/>
      <c r="V358" s="208"/>
      <c r="W358" s="12"/>
      <c r="X358" s="12"/>
    </row>
    <row r="359">
      <c r="A359" s="175"/>
      <c r="B359" s="175"/>
      <c r="C359" s="176"/>
      <c r="D359" s="175"/>
      <c r="E359" s="175"/>
      <c r="F359" s="12"/>
      <c r="G359" s="12"/>
      <c r="H359" s="175"/>
      <c r="I359" s="12"/>
      <c r="J359" s="12"/>
      <c r="K359" s="175"/>
      <c r="L359" s="175"/>
      <c r="M359" s="175"/>
      <c r="N359" s="175"/>
      <c r="O359" s="175"/>
      <c r="P359" s="12"/>
      <c r="Q359" s="175"/>
      <c r="R359" s="12"/>
      <c r="S359" s="12"/>
      <c r="T359" s="175"/>
      <c r="U359" s="179"/>
      <c r="V359" s="208"/>
      <c r="W359" s="12"/>
      <c r="X359" s="12"/>
    </row>
    <row r="360">
      <c r="A360" s="175"/>
      <c r="B360" s="175"/>
      <c r="C360" s="176"/>
      <c r="D360" s="175"/>
      <c r="E360" s="175"/>
      <c r="F360" s="12"/>
      <c r="G360" s="12"/>
      <c r="H360" s="175"/>
      <c r="I360" s="12"/>
      <c r="J360" s="12"/>
      <c r="K360" s="175"/>
      <c r="L360" s="175"/>
      <c r="M360" s="175"/>
      <c r="N360" s="175"/>
      <c r="O360" s="175"/>
      <c r="P360" s="12"/>
      <c r="Q360" s="175"/>
      <c r="R360" s="12"/>
      <c r="S360" s="12"/>
      <c r="T360" s="175"/>
      <c r="U360" s="179"/>
      <c r="V360" s="208"/>
      <c r="W360" s="12"/>
      <c r="X360" s="12"/>
    </row>
    <row r="361">
      <c r="A361" s="175"/>
      <c r="B361" s="175"/>
      <c r="C361" s="176"/>
      <c r="D361" s="175"/>
      <c r="E361" s="175"/>
      <c r="F361" s="12"/>
      <c r="G361" s="12"/>
      <c r="H361" s="175"/>
      <c r="I361" s="12"/>
      <c r="J361" s="12"/>
      <c r="K361" s="175"/>
      <c r="L361" s="175"/>
      <c r="M361" s="175"/>
      <c r="N361" s="175"/>
      <c r="O361" s="175"/>
      <c r="P361" s="12"/>
      <c r="Q361" s="175"/>
      <c r="R361" s="12"/>
      <c r="S361" s="12"/>
      <c r="T361" s="175"/>
      <c r="U361" s="179"/>
      <c r="V361" s="208"/>
      <c r="W361" s="12"/>
      <c r="X361" s="12"/>
    </row>
    <row r="362">
      <c r="A362" s="175"/>
      <c r="B362" s="175"/>
      <c r="C362" s="176"/>
      <c r="D362" s="175"/>
      <c r="E362" s="175"/>
      <c r="F362" s="12"/>
      <c r="G362" s="12"/>
      <c r="H362" s="175"/>
      <c r="I362" s="12"/>
      <c r="J362" s="12"/>
      <c r="K362" s="175"/>
      <c r="L362" s="175"/>
      <c r="M362" s="175"/>
      <c r="N362" s="175"/>
      <c r="O362" s="175"/>
      <c r="P362" s="12"/>
      <c r="Q362" s="175"/>
      <c r="R362" s="12"/>
      <c r="S362" s="12"/>
      <c r="T362" s="175"/>
      <c r="U362" s="179"/>
      <c r="V362" s="208"/>
      <c r="W362" s="12"/>
      <c r="X362" s="12"/>
    </row>
    <row r="363">
      <c r="A363" s="175"/>
      <c r="B363" s="175"/>
      <c r="C363" s="176"/>
      <c r="D363" s="175"/>
      <c r="E363" s="175"/>
      <c r="F363" s="12"/>
      <c r="G363" s="12"/>
      <c r="H363" s="175"/>
      <c r="I363" s="12"/>
      <c r="J363" s="12"/>
      <c r="K363" s="175"/>
      <c r="L363" s="175"/>
      <c r="M363" s="175"/>
      <c r="N363" s="175"/>
      <c r="O363" s="175"/>
      <c r="P363" s="12"/>
      <c r="Q363" s="175"/>
      <c r="R363" s="12"/>
      <c r="S363" s="12"/>
      <c r="T363" s="175"/>
      <c r="U363" s="179"/>
      <c r="V363" s="208"/>
      <c r="W363" s="12"/>
      <c r="X363" s="12"/>
    </row>
    <row r="364">
      <c r="A364" s="175"/>
      <c r="B364" s="175"/>
      <c r="C364" s="176"/>
      <c r="D364" s="175"/>
      <c r="E364" s="175"/>
      <c r="F364" s="12"/>
      <c r="G364" s="12"/>
      <c r="H364" s="175"/>
      <c r="I364" s="12"/>
      <c r="J364" s="12"/>
      <c r="K364" s="175"/>
      <c r="L364" s="175"/>
      <c r="M364" s="175"/>
      <c r="N364" s="175"/>
      <c r="O364" s="175"/>
      <c r="P364" s="12"/>
      <c r="Q364" s="175"/>
      <c r="R364" s="12"/>
      <c r="S364" s="12"/>
      <c r="T364" s="175"/>
      <c r="U364" s="179"/>
      <c r="V364" s="208"/>
      <c r="W364" s="12"/>
      <c r="X364" s="12"/>
    </row>
    <row r="365">
      <c r="A365" s="175"/>
      <c r="B365" s="175"/>
      <c r="C365" s="176"/>
      <c r="D365" s="175"/>
      <c r="E365" s="175"/>
      <c r="F365" s="12"/>
      <c r="G365" s="12"/>
      <c r="H365" s="175"/>
      <c r="I365" s="12"/>
      <c r="J365" s="12"/>
      <c r="K365" s="175"/>
      <c r="L365" s="175"/>
      <c r="M365" s="175"/>
      <c r="N365" s="175"/>
      <c r="O365" s="175"/>
      <c r="P365" s="12"/>
      <c r="Q365" s="175"/>
      <c r="R365" s="12"/>
      <c r="S365" s="12"/>
      <c r="T365" s="175"/>
      <c r="U365" s="179"/>
      <c r="V365" s="208"/>
      <c r="W365" s="12"/>
      <c r="X365" s="12"/>
    </row>
    <row r="366">
      <c r="A366" s="175"/>
      <c r="B366" s="175"/>
      <c r="C366" s="176"/>
      <c r="D366" s="175"/>
      <c r="E366" s="175"/>
      <c r="F366" s="12"/>
      <c r="G366" s="12"/>
      <c r="H366" s="175"/>
      <c r="I366" s="12"/>
      <c r="J366" s="12"/>
      <c r="K366" s="175"/>
      <c r="L366" s="175"/>
      <c r="M366" s="175"/>
      <c r="N366" s="175"/>
      <c r="O366" s="175"/>
      <c r="P366" s="12"/>
      <c r="Q366" s="175"/>
      <c r="R366" s="12"/>
      <c r="S366" s="12"/>
      <c r="T366" s="175"/>
      <c r="U366" s="179"/>
      <c r="V366" s="208"/>
      <c r="W366" s="12"/>
      <c r="X366" s="12"/>
    </row>
    <row r="367">
      <c r="A367" s="175"/>
      <c r="B367" s="175"/>
      <c r="C367" s="176"/>
      <c r="D367" s="175"/>
      <c r="E367" s="175"/>
      <c r="F367" s="12"/>
      <c r="G367" s="12"/>
      <c r="H367" s="175"/>
      <c r="I367" s="12"/>
      <c r="J367" s="12"/>
      <c r="K367" s="175"/>
      <c r="L367" s="175"/>
      <c r="M367" s="175"/>
      <c r="N367" s="175"/>
      <c r="O367" s="175"/>
      <c r="P367" s="12"/>
      <c r="Q367" s="175"/>
      <c r="R367" s="12"/>
      <c r="S367" s="12"/>
      <c r="T367" s="175"/>
      <c r="U367" s="179"/>
      <c r="V367" s="208"/>
      <c r="W367" s="12"/>
      <c r="X367" s="12"/>
    </row>
    <row r="368">
      <c r="A368" s="175"/>
      <c r="B368" s="175"/>
      <c r="C368" s="176"/>
      <c r="D368" s="175"/>
      <c r="E368" s="175"/>
      <c r="F368" s="12"/>
      <c r="G368" s="12"/>
      <c r="H368" s="175"/>
      <c r="I368" s="12"/>
      <c r="J368" s="12"/>
      <c r="K368" s="175"/>
      <c r="L368" s="175"/>
      <c r="M368" s="175"/>
      <c r="N368" s="175"/>
      <c r="O368" s="175"/>
      <c r="P368" s="12"/>
      <c r="Q368" s="175"/>
      <c r="R368" s="12"/>
      <c r="S368" s="12"/>
      <c r="T368" s="175"/>
      <c r="U368" s="179"/>
      <c r="V368" s="208"/>
      <c r="W368" s="12"/>
      <c r="X368" s="12"/>
    </row>
    <row r="369">
      <c r="A369" s="175"/>
      <c r="B369" s="175"/>
      <c r="C369" s="176"/>
      <c r="D369" s="175"/>
      <c r="E369" s="175"/>
      <c r="F369" s="12"/>
      <c r="G369" s="12"/>
      <c r="H369" s="175"/>
      <c r="I369" s="12"/>
      <c r="J369" s="12"/>
      <c r="K369" s="175"/>
      <c r="L369" s="175"/>
      <c r="M369" s="175"/>
      <c r="N369" s="175"/>
      <c r="O369" s="175"/>
      <c r="P369" s="12"/>
      <c r="Q369" s="175"/>
      <c r="R369" s="12"/>
      <c r="S369" s="12"/>
      <c r="T369" s="175"/>
      <c r="U369" s="179"/>
      <c r="V369" s="208"/>
      <c r="W369" s="12"/>
      <c r="X369" s="12"/>
    </row>
    <row r="370">
      <c r="A370" s="175"/>
      <c r="B370" s="175"/>
      <c r="C370" s="176"/>
      <c r="D370" s="175"/>
      <c r="E370" s="175"/>
      <c r="F370" s="12"/>
      <c r="G370" s="12"/>
      <c r="H370" s="175"/>
      <c r="I370" s="12"/>
      <c r="J370" s="12"/>
      <c r="K370" s="175"/>
      <c r="L370" s="175"/>
      <c r="M370" s="175"/>
      <c r="N370" s="175"/>
      <c r="O370" s="175"/>
      <c r="P370" s="12"/>
      <c r="Q370" s="175"/>
      <c r="R370" s="12"/>
      <c r="S370" s="12"/>
      <c r="T370" s="175"/>
      <c r="U370" s="179"/>
      <c r="V370" s="208"/>
      <c r="W370" s="12"/>
      <c r="X370" s="12"/>
    </row>
    <row r="371">
      <c r="A371" s="175"/>
      <c r="B371" s="175"/>
      <c r="C371" s="176"/>
      <c r="D371" s="175"/>
      <c r="E371" s="175"/>
      <c r="F371" s="12"/>
      <c r="G371" s="12"/>
      <c r="H371" s="175"/>
      <c r="I371" s="12"/>
      <c r="J371" s="12"/>
      <c r="K371" s="175"/>
      <c r="L371" s="175"/>
      <c r="M371" s="175"/>
      <c r="N371" s="175"/>
      <c r="O371" s="175"/>
      <c r="P371" s="12"/>
      <c r="Q371" s="175"/>
      <c r="R371" s="12"/>
      <c r="S371" s="12"/>
      <c r="T371" s="175"/>
      <c r="U371" s="179"/>
      <c r="V371" s="208"/>
      <c r="W371" s="12"/>
      <c r="X371" s="12"/>
    </row>
    <row r="372">
      <c r="A372" s="175"/>
      <c r="B372" s="175"/>
      <c r="C372" s="176"/>
      <c r="D372" s="175"/>
      <c r="E372" s="175"/>
      <c r="F372" s="12"/>
      <c r="G372" s="12"/>
      <c r="H372" s="175"/>
      <c r="I372" s="12"/>
      <c r="J372" s="12"/>
      <c r="K372" s="175"/>
      <c r="L372" s="175"/>
      <c r="M372" s="175"/>
      <c r="N372" s="175"/>
      <c r="O372" s="175"/>
      <c r="P372" s="12"/>
      <c r="Q372" s="175"/>
      <c r="R372" s="12"/>
      <c r="S372" s="12"/>
      <c r="T372" s="175"/>
      <c r="U372" s="179"/>
      <c r="V372" s="208"/>
      <c r="W372" s="12"/>
      <c r="X372" s="12"/>
    </row>
    <row r="373">
      <c r="A373" s="175"/>
      <c r="B373" s="175"/>
      <c r="C373" s="176"/>
      <c r="D373" s="175"/>
      <c r="E373" s="175"/>
      <c r="F373" s="12"/>
      <c r="G373" s="12"/>
      <c r="H373" s="175"/>
      <c r="I373" s="12"/>
      <c r="J373" s="12"/>
      <c r="K373" s="175"/>
      <c r="L373" s="175"/>
      <c r="M373" s="175"/>
      <c r="N373" s="175"/>
      <c r="O373" s="175"/>
      <c r="P373" s="12"/>
      <c r="Q373" s="175"/>
      <c r="R373" s="12"/>
      <c r="S373" s="12"/>
      <c r="T373" s="175"/>
      <c r="U373" s="179"/>
      <c r="V373" s="208"/>
      <c r="W373" s="12"/>
      <c r="X373" s="12"/>
    </row>
    <row r="374">
      <c r="A374" s="175"/>
      <c r="B374" s="175"/>
      <c r="C374" s="176"/>
      <c r="D374" s="175"/>
      <c r="E374" s="175"/>
      <c r="F374" s="12"/>
      <c r="G374" s="12"/>
      <c r="H374" s="175"/>
      <c r="I374" s="12"/>
      <c r="J374" s="12"/>
      <c r="K374" s="175"/>
      <c r="L374" s="175"/>
      <c r="M374" s="175"/>
      <c r="N374" s="175"/>
      <c r="O374" s="175"/>
      <c r="P374" s="12"/>
      <c r="Q374" s="175"/>
      <c r="R374" s="12"/>
      <c r="S374" s="12"/>
      <c r="T374" s="175"/>
      <c r="U374" s="179"/>
      <c r="V374" s="208"/>
      <c r="W374" s="12"/>
      <c r="X374" s="12"/>
    </row>
    <row r="375">
      <c r="A375" s="175"/>
      <c r="B375" s="175"/>
      <c r="C375" s="176"/>
      <c r="D375" s="175"/>
      <c r="E375" s="175"/>
      <c r="F375" s="12"/>
      <c r="G375" s="12"/>
      <c r="H375" s="175"/>
      <c r="I375" s="12"/>
      <c r="J375" s="12"/>
      <c r="K375" s="175"/>
      <c r="L375" s="175"/>
      <c r="M375" s="175"/>
      <c r="N375" s="175"/>
      <c r="O375" s="175"/>
      <c r="P375" s="12"/>
      <c r="Q375" s="175"/>
      <c r="R375" s="12"/>
      <c r="S375" s="12"/>
      <c r="T375" s="175"/>
      <c r="U375" s="179"/>
      <c r="V375" s="208"/>
      <c r="W375" s="12"/>
      <c r="X375" s="12"/>
    </row>
    <row r="376">
      <c r="A376" s="175"/>
      <c r="B376" s="175"/>
      <c r="C376" s="176"/>
      <c r="D376" s="175"/>
      <c r="E376" s="175"/>
      <c r="F376" s="12"/>
      <c r="G376" s="12"/>
      <c r="H376" s="175"/>
      <c r="I376" s="12"/>
      <c r="J376" s="12"/>
      <c r="K376" s="175"/>
      <c r="L376" s="175"/>
      <c r="M376" s="175"/>
      <c r="N376" s="175"/>
      <c r="O376" s="175"/>
      <c r="P376" s="12"/>
      <c r="Q376" s="175"/>
      <c r="R376" s="12"/>
      <c r="S376" s="12"/>
      <c r="T376" s="175"/>
      <c r="U376" s="179"/>
      <c r="V376" s="208"/>
      <c r="W376" s="12"/>
      <c r="X376" s="12"/>
    </row>
    <row r="377">
      <c r="A377" s="175"/>
      <c r="B377" s="175"/>
      <c r="C377" s="176"/>
      <c r="D377" s="175"/>
      <c r="E377" s="175"/>
      <c r="F377" s="12"/>
      <c r="G377" s="12"/>
      <c r="H377" s="175"/>
      <c r="I377" s="12"/>
      <c r="J377" s="12"/>
      <c r="K377" s="175"/>
      <c r="L377" s="175"/>
      <c r="M377" s="175"/>
      <c r="N377" s="175"/>
      <c r="O377" s="175"/>
      <c r="P377" s="12"/>
      <c r="Q377" s="175"/>
      <c r="R377" s="12"/>
      <c r="S377" s="12"/>
      <c r="T377" s="175"/>
      <c r="U377" s="179"/>
      <c r="V377" s="208"/>
      <c r="W377" s="12"/>
      <c r="X377" s="12"/>
    </row>
    <row r="378">
      <c r="A378" s="175"/>
      <c r="B378" s="175"/>
      <c r="C378" s="176"/>
      <c r="D378" s="175"/>
      <c r="E378" s="175"/>
      <c r="F378" s="12"/>
      <c r="G378" s="12"/>
      <c r="H378" s="175"/>
      <c r="I378" s="12"/>
      <c r="J378" s="12"/>
      <c r="K378" s="175"/>
      <c r="L378" s="175"/>
      <c r="M378" s="175"/>
      <c r="N378" s="175"/>
      <c r="O378" s="175"/>
      <c r="P378" s="12"/>
      <c r="Q378" s="175"/>
      <c r="R378" s="12"/>
      <c r="S378" s="12"/>
      <c r="T378" s="175"/>
      <c r="U378" s="179"/>
      <c r="V378" s="208"/>
      <c r="W378" s="12"/>
      <c r="X378" s="12"/>
    </row>
    <row r="379">
      <c r="A379" s="175"/>
      <c r="B379" s="175"/>
      <c r="C379" s="176"/>
      <c r="D379" s="175"/>
      <c r="E379" s="175"/>
      <c r="F379" s="12"/>
      <c r="G379" s="12"/>
      <c r="H379" s="175"/>
      <c r="I379" s="12"/>
      <c r="J379" s="12"/>
      <c r="K379" s="175"/>
      <c r="L379" s="175"/>
      <c r="M379" s="175"/>
      <c r="N379" s="175"/>
      <c r="O379" s="175"/>
      <c r="P379" s="12"/>
      <c r="Q379" s="175"/>
      <c r="R379" s="12"/>
      <c r="S379" s="12"/>
      <c r="T379" s="175"/>
      <c r="U379" s="179"/>
      <c r="V379" s="208"/>
      <c r="W379" s="12"/>
      <c r="X379" s="12"/>
    </row>
    <row r="380">
      <c r="A380" s="175"/>
      <c r="B380" s="175"/>
      <c r="C380" s="176"/>
      <c r="D380" s="175"/>
      <c r="E380" s="175"/>
      <c r="F380" s="12"/>
      <c r="G380" s="12"/>
      <c r="H380" s="175"/>
      <c r="I380" s="12"/>
      <c r="J380" s="12"/>
      <c r="K380" s="175"/>
      <c r="L380" s="175"/>
      <c r="M380" s="175"/>
      <c r="N380" s="175"/>
      <c r="O380" s="175"/>
      <c r="P380" s="12"/>
      <c r="Q380" s="175"/>
      <c r="R380" s="12"/>
      <c r="S380" s="12"/>
      <c r="T380" s="175"/>
      <c r="U380" s="179"/>
      <c r="V380" s="208"/>
      <c r="W380" s="12"/>
      <c r="X380" s="12"/>
    </row>
    <row r="381">
      <c r="A381" s="175"/>
      <c r="B381" s="175"/>
      <c r="C381" s="176"/>
      <c r="D381" s="175"/>
      <c r="E381" s="175"/>
      <c r="F381" s="12"/>
      <c r="G381" s="12"/>
      <c r="H381" s="175"/>
      <c r="I381" s="12"/>
      <c r="J381" s="12"/>
      <c r="K381" s="175"/>
      <c r="L381" s="175"/>
      <c r="M381" s="175"/>
      <c r="N381" s="175"/>
      <c r="O381" s="175"/>
      <c r="P381" s="12"/>
      <c r="Q381" s="175"/>
      <c r="R381" s="12"/>
      <c r="S381" s="12"/>
      <c r="T381" s="175"/>
      <c r="U381" s="179"/>
      <c r="V381" s="208"/>
      <c r="W381" s="12"/>
      <c r="X381" s="12"/>
    </row>
    <row r="382">
      <c r="A382" s="175"/>
      <c r="B382" s="175"/>
      <c r="C382" s="176"/>
      <c r="D382" s="175"/>
      <c r="E382" s="175"/>
      <c r="F382" s="12"/>
      <c r="G382" s="12"/>
      <c r="H382" s="175"/>
      <c r="I382" s="12"/>
      <c r="J382" s="12"/>
      <c r="K382" s="175"/>
      <c r="L382" s="175"/>
      <c r="M382" s="175"/>
      <c r="N382" s="175"/>
      <c r="O382" s="175"/>
      <c r="P382" s="12"/>
      <c r="Q382" s="175"/>
      <c r="R382" s="12"/>
      <c r="S382" s="12"/>
      <c r="T382" s="175"/>
      <c r="U382" s="179"/>
      <c r="V382" s="208"/>
      <c r="W382" s="12"/>
      <c r="X382" s="12"/>
    </row>
    <row r="383">
      <c r="A383" s="175"/>
      <c r="B383" s="175"/>
      <c r="C383" s="176"/>
      <c r="D383" s="175"/>
      <c r="E383" s="175"/>
      <c r="F383" s="12"/>
      <c r="G383" s="12"/>
      <c r="H383" s="175"/>
      <c r="I383" s="12"/>
      <c r="J383" s="12"/>
      <c r="K383" s="175"/>
      <c r="L383" s="175"/>
      <c r="M383" s="175"/>
      <c r="N383" s="175"/>
      <c r="O383" s="175"/>
      <c r="P383" s="12"/>
      <c r="Q383" s="175"/>
      <c r="R383" s="12"/>
      <c r="S383" s="12"/>
      <c r="T383" s="175"/>
      <c r="U383" s="179"/>
      <c r="V383" s="208"/>
      <c r="W383" s="12"/>
      <c r="X383" s="12"/>
    </row>
    <row r="384">
      <c r="A384" s="175"/>
      <c r="B384" s="175"/>
      <c r="C384" s="176"/>
      <c r="D384" s="175"/>
      <c r="E384" s="175"/>
      <c r="F384" s="12"/>
      <c r="G384" s="12"/>
      <c r="H384" s="175"/>
      <c r="I384" s="12"/>
      <c r="J384" s="12"/>
      <c r="K384" s="175"/>
      <c r="L384" s="175"/>
      <c r="M384" s="175"/>
      <c r="N384" s="175"/>
      <c r="O384" s="175"/>
      <c r="P384" s="12"/>
      <c r="Q384" s="175"/>
      <c r="R384" s="12"/>
      <c r="S384" s="12"/>
      <c r="T384" s="175"/>
      <c r="U384" s="179"/>
      <c r="V384" s="208"/>
      <c r="W384" s="12"/>
      <c r="X384" s="12"/>
    </row>
    <row r="385">
      <c r="A385" s="175"/>
      <c r="B385" s="175"/>
      <c r="C385" s="176"/>
      <c r="D385" s="175"/>
      <c r="E385" s="175"/>
      <c r="F385" s="12"/>
      <c r="G385" s="12"/>
      <c r="H385" s="175"/>
      <c r="I385" s="12"/>
      <c r="J385" s="12"/>
      <c r="K385" s="175"/>
      <c r="L385" s="175"/>
      <c r="M385" s="175"/>
      <c r="N385" s="175"/>
      <c r="O385" s="175"/>
      <c r="P385" s="12"/>
      <c r="Q385" s="175"/>
      <c r="R385" s="12"/>
      <c r="S385" s="12"/>
      <c r="T385" s="175"/>
      <c r="U385" s="179"/>
      <c r="V385" s="208"/>
      <c r="W385" s="12"/>
      <c r="X385" s="12"/>
    </row>
    <row r="386">
      <c r="A386" s="175"/>
      <c r="B386" s="175"/>
      <c r="C386" s="176"/>
      <c r="D386" s="175"/>
      <c r="E386" s="175"/>
      <c r="F386" s="12"/>
      <c r="G386" s="12"/>
      <c r="H386" s="175"/>
      <c r="I386" s="12"/>
      <c r="J386" s="12"/>
      <c r="K386" s="175"/>
      <c r="L386" s="175"/>
      <c r="M386" s="175"/>
      <c r="N386" s="175"/>
      <c r="O386" s="175"/>
      <c r="P386" s="12"/>
      <c r="Q386" s="175"/>
      <c r="R386" s="12"/>
      <c r="S386" s="12"/>
      <c r="T386" s="175"/>
      <c r="U386" s="179"/>
      <c r="V386" s="208"/>
      <c r="W386" s="12"/>
      <c r="X386" s="12"/>
    </row>
    <row r="387">
      <c r="A387" s="175"/>
      <c r="B387" s="175"/>
      <c r="C387" s="176"/>
      <c r="D387" s="175"/>
      <c r="E387" s="175"/>
      <c r="F387" s="12"/>
      <c r="G387" s="12"/>
      <c r="H387" s="175"/>
      <c r="I387" s="12"/>
      <c r="J387" s="12"/>
      <c r="K387" s="175"/>
      <c r="L387" s="175"/>
      <c r="M387" s="175"/>
      <c r="N387" s="175"/>
      <c r="O387" s="175"/>
      <c r="P387" s="12"/>
      <c r="Q387" s="175"/>
      <c r="R387" s="12"/>
      <c r="S387" s="12"/>
      <c r="T387" s="175"/>
      <c r="U387" s="179"/>
      <c r="V387" s="208"/>
      <c r="W387" s="12"/>
      <c r="X387" s="12"/>
    </row>
    <row r="388">
      <c r="A388" s="175"/>
      <c r="B388" s="175"/>
      <c r="C388" s="176"/>
      <c r="D388" s="175"/>
      <c r="E388" s="175"/>
      <c r="F388" s="12"/>
      <c r="G388" s="12"/>
      <c r="H388" s="175"/>
      <c r="I388" s="12"/>
      <c r="J388" s="12"/>
      <c r="K388" s="175"/>
      <c r="L388" s="175"/>
      <c r="M388" s="175"/>
      <c r="N388" s="175"/>
      <c r="O388" s="175"/>
      <c r="P388" s="12"/>
      <c r="Q388" s="175"/>
      <c r="R388" s="12"/>
      <c r="S388" s="12"/>
      <c r="T388" s="175"/>
      <c r="U388" s="179"/>
      <c r="V388" s="208"/>
      <c r="W388" s="12"/>
      <c r="X388" s="12"/>
    </row>
    <row r="389">
      <c r="A389" s="175"/>
      <c r="B389" s="175"/>
      <c r="C389" s="176"/>
      <c r="D389" s="175"/>
      <c r="E389" s="175"/>
      <c r="F389" s="12"/>
      <c r="G389" s="12"/>
      <c r="H389" s="175"/>
      <c r="I389" s="12"/>
      <c r="J389" s="12"/>
      <c r="K389" s="175"/>
      <c r="L389" s="175"/>
      <c r="M389" s="175"/>
      <c r="N389" s="175"/>
      <c r="O389" s="175"/>
      <c r="P389" s="12"/>
      <c r="Q389" s="175"/>
      <c r="R389" s="12"/>
      <c r="S389" s="12"/>
      <c r="T389" s="175"/>
      <c r="U389" s="179"/>
      <c r="V389" s="208"/>
      <c r="W389" s="12"/>
      <c r="X389" s="12"/>
    </row>
    <row r="390">
      <c r="A390" s="175"/>
      <c r="B390" s="175"/>
      <c r="C390" s="176"/>
      <c r="D390" s="175"/>
      <c r="E390" s="175"/>
      <c r="F390" s="12"/>
      <c r="G390" s="12"/>
      <c r="H390" s="175"/>
      <c r="I390" s="12"/>
      <c r="J390" s="12"/>
      <c r="K390" s="175"/>
      <c r="L390" s="175"/>
      <c r="M390" s="175"/>
      <c r="N390" s="175"/>
      <c r="O390" s="175"/>
      <c r="P390" s="12"/>
      <c r="Q390" s="175"/>
      <c r="R390" s="12"/>
      <c r="S390" s="12"/>
      <c r="T390" s="175"/>
      <c r="U390" s="179"/>
      <c r="V390" s="208"/>
      <c r="W390" s="12"/>
      <c r="X390" s="12"/>
    </row>
    <row r="391">
      <c r="A391" s="175"/>
      <c r="B391" s="175"/>
      <c r="C391" s="176"/>
      <c r="D391" s="175"/>
      <c r="E391" s="175"/>
      <c r="F391" s="12"/>
      <c r="G391" s="12"/>
      <c r="H391" s="175"/>
      <c r="I391" s="12"/>
      <c r="J391" s="12"/>
      <c r="K391" s="175"/>
      <c r="L391" s="175"/>
      <c r="M391" s="175"/>
      <c r="N391" s="175"/>
      <c r="O391" s="175"/>
      <c r="P391" s="12"/>
      <c r="Q391" s="175"/>
      <c r="R391" s="12"/>
      <c r="S391" s="12"/>
      <c r="T391" s="175"/>
      <c r="U391" s="179"/>
      <c r="V391" s="208"/>
      <c r="W391" s="12"/>
      <c r="X391" s="12"/>
    </row>
    <row r="392">
      <c r="A392" s="175"/>
      <c r="B392" s="175"/>
      <c r="C392" s="176"/>
      <c r="D392" s="175"/>
      <c r="E392" s="175"/>
      <c r="F392" s="12"/>
      <c r="G392" s="12"/>
      <c r="H392" s="175"/>
      <c r="I392" s="12"/>
      <c r="J392" s="12"/>
      <c r="K392" s="175"/>
      <c r="L392" s="175"/>
      <c r="M392" s="175"/>
      <c r="N392" s="175"/>
      <c r="O392" s="175"/>
      <c r="P392" s="12"/>
      <c r="Q392" s="175"/>
      <c r="R392" s="12"/>
      <c r="S392" s="12"/>
      <c r="T392" s="175"/>
      <c r="U392" s="179"/>
      <c r="V392" s="208"/>
      <c r="W392" s="12"/>
      <c r="X392" s="12"/>
    </row>
    <row r="393">
      <c r="A393" s="175"/>
      <c r="B393" s="175"/>
      <c r="C393" s="176"/>
      <c r="D393" s="175"/>
      <c r="E393" s="175"/>
      <c r="F393" s="12"/>
      <c r="G393" s="12"/>
      <c r="H393" s="175"/>
      <c r="I393" s="12"/>
      <c r="J393" s="12"/>
      <c r="K393" s="175"/>
      <c r="L393" s="175"/>
      <c r="M393" s="175"/>
      <c r="N393" s="175"/>
      <c r="O393" s="175"/>
      <c r="P393" s="12"/>
      <c r="Q393" s="175"/>
      <c r="R393" s="12"/>
      <c r="S393" s="12"/>
      <c r="T393" s="175"/>
      <c r="U393" s="179"/>
      <c r="V393" s="208"/>
      <c r="W393" s="12"/>
      <c r="X393" s="12"/>
    </row>
    <row r="394">
      <c r="A394" s="175"/>
      <c r="B394" s="175"/>
      <c r="C394" s="176"/>
      <c r="D394" s="175"/>
      <c r="E394" s="175"/>
      <c r="F394" s="12"/>
      <c r="G394" s="12"/>
      <c r="H394" s="175"/>
      <c r="I394" s="12"/>
      <c r="J394" s="12"/>
      <c r="K394" s="175"/>
      <c r="L394" s="175"/>
      <c r="M394" s="175"/>
      <c r="N394" s="175"/>
      <c r="O394" s="175"/>
      <c r="P394" s="12"/>
      <c r="Q394" s="175"/>
      <c r="R394" s="12"/>
      <c r="S394" s="12"/>
      <c r="T394" s="175"/>
      <c r="U394" s="179"/>
      <c r="V394" s="208"/>
      <c r="W394" s="12"/>
      <c r="X394" s="12"/>
    </row>
    <row r="395">
      <c r="A395" s="175"/>
      <c r="B395" s="175"/>
      <c r="C395" s="176"/>
      <c r="D395" s="175"/>
      <c r="E395" s="175"/>
      <c r="F395" s="12"/>
      <c r="G395" s="12"/>
      <c r="H395" s="175"/>
      <c r="I395" s="12"/>
      <c r="J395" s="12"/>
      <c r="K395" s="175"/>
      <c r="L395" s="175"/>
      <c r="M395" s="175"/>
      <c r="N395" s="175"/>
      <c r="O395" s="175"/>
      <c r="P395" s="12"/>
      <c r="Q395" s="175"/>
      <c r="R395" s="12"/>
      <c r="S395" s="12"/>
      <c r="T395" s="175"/>
      <c r="U395" s="179"/>
      <c r="V395" s="208"/>
      <c r="W395" s="12"/>
      <c r="X395" s="12"/>
    </row>
    <row r="396">
      <c r="A396" s="175"/>
      <c r="B396" s="175"/>
      <c r="C396" s="176"/>
      <c r="D396" s="175"/>
      <c r="E396" s="175"/>
      <c r="F396" s="12"/>
      <c r="G396" s="12"/>
      <c r="H396" s="175"/>
      <c r="I396" s="12"/>
      <c r="J396" s="12"/>
      <c r="K396" s="175"/>
      <c r="L396" s="175"/>
      <c r="M396" s="175"/>
      <c r="N396" s="175"/>
      <c r="O396" s="175"/>
      <c r="P396" s="12"/>
      <c r="Q396" s="175"/>
      <c r="R396" s="12"/>
      <c r="S396" s="12"/>
      <c r="T396" s="175"/>
      <c r="U396" s="179"/>
      <c r="V396" s="208"/>
      <c r="W396" s="12"/>
      <c r="X396" s="12"/>
    </row>
    <row r="397">
      <c r="A397" s="175"/>
      <c r="B397" s="175"/>
      <c r="C397" s="176"/>
      <c r="D397" s="175"/>
      <c r="E397" s="175"/>
      <c r="F397" s="12"/>
      <c r="G397" s="12"/>
      <c r="H397" s="175"/>
      <c r="I397" s="12"/>
      <c r="J397" s="12"/>
      <c r="K397" s="175"/>
      <c r="L397" s="175"/>
      <c r="M397" s="175"/>
      <c r="N397" s="175"/>
      <c r="O397" s="175"/>
      <c r="P397" s="12"/>
      <c r="Q397" s="175"/>
      <c r="R397" s="12"/>
      <c r="S397" s="12"/>
      <c r="T397" s="175"/>
      <c r="U397" s="179"/>
      <c r="V397" s="208"/>
      <c r="W397" s="12"/>
      <c r="X397" s="12"/>
    </row>
    <row r="398">
      <c r="A398" s="175"/>
      <c r="B398" s="175"/>
      <c r="C398" s="176"/>
      <c r="D398" s="175"/>
      <c r="E398" s="175"/>
      <c r="F398" s="12"/>
      <c r="G398" s="12"/>
      <c r="H398" s="175"/>
      <c r="I398" s="12"/>
      <c r="J398" s="12"/>
      <c r="K398" s="175"/>
      <c r="L398" s="175"/>
      <c r="M398" s="175"/>
      <c r="N398" s="175"/>
      <c r="O398" s="175"/>
      <c r="P398" s="12"/>
      <c r="Q398" s="175"/>
      <c r="R398" s="12"/>
      <c r="S398" s="12"/>
      <c r="T398" s="175"/>
      <c r="U398" s="179"/>
      <c r="V398" s="208"/>
      <c r="W398" s="12"/>
      <c r="X398" s="12"/>
    </row>
    <row r="399">
      <c r="A399" s="175"/>
      <c r="B399" s="175"/>
      <c r="C399" s="176"/>
      <c r="D399" s="175"/>
      <c r="E399" s="175"/>
      <c r="F399" s="12"/>
      <c r="G399" s="12"/>
      <c r="H399" s="175"/>
      <c r="I399" s="12"/>
      <c r="J399" s="12"/>
      <c r="K399" s="175"/>
      <c r="L399" s="175"/>
      <c r="M399" s="175"/>
      <c r="N399" s="175"/>
      <c r="O399" s="175"/>
      <c r="P399" s="12"/>
      <c r="Q399" s="175"/>
      <c r="R399" s="12"/>
      <c r="S399" s="12"/>
      <c r="T399" s="175"/>
      <c r="U399" s="179"/>
      <c r="V399" s="208"/>
      <c r="W399" s="12"/>
      <c r="X399" s="12"/>
    </row>
    <row r="400">
      <c r="A400" s="175"/>
      <c r="B400" s="175"/>
      <c r="C400" s="176"/>
      <c r="D400" s="175"/>
      <c r="E400" s="175"/>
      <c r="F400" s="12"/>
      <c r="G400" s="12"/>
      <c r="H400" s="175"/>
      <c r="I400" s="12"/>
      <c r="J400" s="12"/>
      <c r="K400" s="175"/>
      <c r="L400" s="175"/>
      <c r="M400" s="175"/>
      <c r="N400" s="175"/>
      <c r="O400" s="175"/>
      <c r="P400" s="12"/>
      <c r="Q400" s="175"/>
      <c r="R400" s="12"/>
      <c r="S400" s="12"/>
      <c r="T400" s="175"/>
      <c r="U400" s="179"/>
      <c r="V400" s="208"/>
      <c r="W400" s="12"/>
      <c r="X400" s="12"/>
    </row>
    <row r="401">
      <c r="A401" s="175"/>
      <c r="B401" s="175"/>
      <c r="C401" s="176"/>
      <c r="D401" s="175"/>
      <c r="E401" s="175"/>
      <c r="F401" s="12"/>
      <c r="G401" s="12"/>
      <c r="H401" s="175"/>
      <c r="I401" s="12"/>
      <c r="J401" s="12"/>
      <c r="K401" s="175"/>
      <c r="L401" s="175"/>
      <c r="M401" s="175"/>
      <c r="N401" s="175"/>
      <c r="O401" s="175"/>
      <c r="P401" s="12"/>
      <c r="Q401" s="175"/>
      <c r="R401" s="12"/>
      <c r="S401" s="12"/>
      <c r="T401" s="175"/>
      <c r="U401" s="179"/>
      <c r="V401" s="208"/>
      <c r="W401" s="12"/>
      <c r="X401" s="12"/>
    </row>
    <row r="402">
      <c r="A402" s="175"/>
      <c r="B402" s="175"/>
      <c r="C402" s="176"/>
      <c r="D402" s="175"/>
      <c r="E402" s="175"/>
      <c r="F402" s="12"/>
      <c r="G402" s="12"/>
      <c r="H402" s="175"/>
      <c r="I402" s="12"/>
      <c r="J402" s="12"/>
      <c r="K402" s="175"/>
      <c r="L402" s="175"/>
      <c r="M402" s="175"/>
      <c r="N402" s="175"/>
      <c r="O402" s="175"/>
      <c r="P402" s="12"/>
      <c r="Q402" s="175"/>
      <c r="R402" s="12"/>
      <c r="S402" s="12"/>
      <c r="T402" s="175"/>
      <c r="U402" s="179"/>
      <c r="V402" s="208"/>
      <c r="W402" s="12"/>
      <c r="X402" s="12"/>
    </row>
    <row r="403">
      <c r="A403" s="175"/>
      <c r="B403" s="175"/>
      <c r="C403" s="176"/>
      <c r="D403" s="175"/>
      <c r="E403" s="175"/>
      <c r="F403" s="12"/>
      <c r="G403" s="12"/>
      <c r="H403" s="175"/>
      <c r="I403" s="12"/>
      <c r="J403" s="12"/>
      <c r="K403" s="175"/>
      <c r="L403" s="175"/>
      <c r="M403" s="175"/>
      <c r="N403" s="175"/>
      <c r="O403" s="175"/>
      <c r="P403" s="12"/>
      <c r="Q403" s="175"/>
      <c r="R403" s="12"/>
      <c r="S403" s="12"/>
      <c r="T403" s="175"/>
      <c r="U403" s="179"/>
      <c r="V403" s="208"/>
      <c r="W403" s="12"/>
      <c r="X403" s="12"/>
    </row>
    <row r="404">
      <c r="A404" s="175"/>
      <c r="B404" s="175"/>
      <c r="C404" s="176"/>
      <c r="D404" s="175"/>
      <c r="E404" s="175"/>
      <c r="F404" s="12"/>
      <c r="G404" s="12"/>
      <c r="H404" s="175"/>
      <c r="I404" s="12"/>
      <c r="J404" s="12"/>
      <c r="K404" s="175"/>
      <c r="L404" s="175"/>
      <c r="M404" s="175"/>
      <c r="N404" s="175"/>
      <c r="O404" s="175"/>
      <c r="P404" s="12"/>
      <c r="Q404" s="175"/>
      <c r="R404" s="12"/>
      <c r="S404" s="12"/>
      <c r="T404" s="175"/>
      <c r="U404" s="179"/>
      <c r="V404" s="208"/>
      <c r="W404" s="12"/>
      <c r="X404" s="12"/>
    </row>
    <row r="405">
      <c r="A405" s="175"/>
      <c r="B405" s="175"/>
      <c r="C405" s="176"/>
      <c r="D405" s="175"/>
      <c r="E405" s="175"/>
      <c r="F405" s="12"/>
      <c r="G405" s="12"/>
      <c r="H405" s="175"/>
      <c r="I405" s="12"/>
      <c r="J405" s="12"/>
      <c r="K405" s="175"/>
      <c r="L405" s="175"/>
      <c r="M405" s="175"/>
      <c r="N405" s="175"/>
      <c r="O405" s="175"/>
      <c r="P405" s="12"/>
      <c r="Q405" s="175"/>
      <c r="R405" s="12"/>
      <c r="S405" s="12"/>
      <c r="T405" s="175"/>
      <c r="U405" s="179"/>
      <c r="V405" s="208"/>
      <c r="W405" s="12"/>
      <c r="X405" s="12"/>
    </row>
    <row r="406">
      <c r="A406" s="175"/>
      <c r="B406" s="175"/>
      <c r="C406" s="176"/>
      <c r="D406" s="175"/>
      <c r="E406" s="175"/>
      <c r="F406" s="12"/>
      <c r="G406" s="12"/>
      <c r="H406" s="175"/>
      <c r="I406" s="12"/>
      <c r="J406" s="12"/>
      <c r="K406" s="175"/>
      <c r="L406" s="175"/>
      <c r="M406" s="175"/>
      <c r="N406" s="175"/>
      <c r="O406" s="175"/>
      <c r="P406" s="12"/>
      <c r="Q406" s="175"/>
      <c r="R406" s="12"/>
      <c r="S406" s="12"/>
      <c r="T406" s="175"/>
      <c r="U406" s="179"/>
      <c r="V406" s="208"/>
      <c r="W406" s="12"/>
      <c r="X406" s="12"/>
    </row>
    <row r="407">
      <c r="A407" s="175"/>
      <c r="B407" s="175"/>
      <c r="C407" s="176"/>
      <c r="D407" s="175"/>
      <c r="E407" s="175"/>
      <c r="F407" s="12"/>
      <c r="G407" s="12"/>
      <c r="H407" s="175"/>
      <c r="I407" s="12"/>
      <c r="J407" s="12"/>
      <c r="K407" s="175"/>
      <c r="L407" s="175"/>
      <c r="M407" s="175"/>
      <c r="N407" s="175"/>
      <c r="O407" s="175"/>
      <c r="P407" s="12"/>
      <c r="Q407" s="175"/>
      <c r="R407" s="12"/>
      <c r="S407" s="12"/>
      <c r="T407" s="175"/>
      <c r="U407" s="179"/>
      <c r="V407" s="208"/>
      <c r="W407" s="12"/>
      <c r="X407" s="12"/>
    </row>
    <row r="408">
      <c r="A408" s="175"/>
      <c r="B408" s="175"/>
      <c r="C408" s="176"/>
      <c r="D408" s="175"/>
      <c r="E408" s="175"/>
      <c r="F408" s="12"/>
      <c r="G408" s="12"/>
      <c r="H408" s="175"/>
      <c r="I408" s="12"/>
      <c r="J408" s="12"/>
      <c r="K408" s="175"/>
      <c r="L408" s="175"/>
      <c r="M408" s="175"/>
      <c r="N408" s="175"/>
      <c r="O408" s="175"/>
      <c r="P408" s="12"/>
      <c r="Q408" s="175"/>
      <c r="R408" s="12"/>
      <c r="S408" s="12"/>
      <c r="T408" s="175"/>
      <c r="U408" s="179"/>
      <c r="V408" s="208"/>
      <c r="W408" s="12"/>
      <c r="X408" s="12"/>
    </row>
    <row r="409">
      <c r="A409" s="175"/>
      <c r="B409" s="175"/>
      <c r="C409" s="176"/>
      <c r="D409" s="175"/>
      <c r="E409" s="175"/>
      <c r="F409" s="12"/>
      <c r="G409" s="12"/>
      <c r="H409" s="175"/>
      <c r="I409" s="12"/>
      <c r="J409" s="12"/>
      <c r="K409" s="175"/>
      <c r="L409" s="175"/>
      <c r="M409" s="175"/>
      <c r="N409" s="175"/>
      <c r="O409" s="175"/>
      <c r="P409" s="12"/>
      <c r="Q409" s="175"/>
      <c r="R409" s="12"/>
      <c r="S409" s="12"/>
      <c r="T409" s="175"/>
      <c r="U409" s="179"/>
      <c r="V409" s="208"/>
      <c r="W409" s="12"/>
      <c r="X409" s="12"/>
    </row>
    <row r="410">
      <c r="A410" s="175"/>
      <c r="B410" s="175"/>
      <c r="C410" s="176"/>
      <c r="D410" s="175"/>
      <c r="E410" s="175"/>
      <c r="F410" s="12"/>
      <c r="G410" s="12"/>
      <c r="H410" s="175"/>
      <c r="I410" s="12"/>
      <c r="J410" s="12"/>
      <c r="K410" s="175"/>
      <c r="L410" s="175"/>
      <c r="M410" s="175"/>
      <c r="N410" s="175"/>
      <c r="O410" s="175"/>
      <c r="P410" s="12"/>
      <c r="Q410" s="175"/>
      <c r="R410" s="12"/>
      <c r="S410" s="12"/>
      <c r="T410" s="175"/>
      <c r="U410" s="179"/>
      <c r="V410" s="208"/>
      <c r="W410" s="12"/>
      <c r="X410" s="12"/>
    </row>
    <row r="411">
      <c r="A411" s="175"/>
      <c r="B411" s="175"/>
      <c r="C411" s="176"/>
      <c r="D411" s="175"/>
      <c r="E411" s="175"/>
      <c r="F411" s="12"/>
      <c r="G411" s="12"/>
      <c r="H411" s="175"/>
      <c r="I411" s="12"/>
      <c r="J411" s="12"/>
      <c r="K411" s="175"/>
      <c r="L411" s="175"/>
      <c r="M411" s="175"/>
      <c r="N411" s="175"/>
      <c r="O411" s="175"/>
      <c r="P411" s="12"/>
      <c r="Q411" s="175"/>
      <c r="R411" s="12"/>
      <c r="S411" s="12"/>
      <c r="T411" s="175"/>
      <c r="U411" s="179"/>
      <c r="V411" s="208"/>
      <c r="W411" s="12"/>
      <c r="X411" s="12"/>
    </row>
    <row r="412">
      <c r="A412" s="175"/>
      <c r="B412" s="175"/>
      <c r="C412" s="176"/>
      <c r="D412" s="175"/>
      <c r="E412" s="175"/>
      <c r="F412" s="12"/>
      <c r="G412" s="12"/>
      <c r="H412" s="175"/>
      <c r="I412" s="12"/>
      <c r="J412" s="12"/>
      <c r="K412" s="175"/>
      <c r="L412" s="175"/>
      <c r="M412" s="175"/>
      <c r="N412" s="175"/>
      <c r="O412" s="175"/>
      <c r="P412" s="12"/>
      <c r="Q412" s="175"/>
      <c r="R412" s="12"/>
      <c r="S412" s="12"/>
      <c r="T412" s="175"/>
      <c r="U412" s="179"/>
      <c r="V412" s="208"/>
      <c r="W412" s="12"/>
      <c r="X412" s="12"/>
    </row>
    <row r="413">
      <c r="A413" s="175"/>
      <c r="B413" s="175"/>
      <c r="C413" s="176"/>
      <c r="D413" s="175"/>
      <c r="E413" s="175"/>
      <c r="F413" s="12"/>
      <c r="G413" s="12"/>
      <c r="H413" s="175"/>
      <c r="I413" s="12"/>
      <c r="J413" s="12"/>
      <c r="K413" s="175"/>
      <c r="L413" s="175"/>
      <c r="M413" s="175"/>
      <c r="N413" s="175"/>
      <c r="O413" s="175"/>
      <c r="P413" s="12"/>
      <c r="Q413" s="175"/>
      <c r="R413" s="12"/>
      <c r="S413" s="12"/>
      <c r="T413" s="175"/>
      <c r="U413" s="179"/>
      <c r="V413" s="208"/>
      <c r="W413" s="12"/>
      <c r="X413" s="12"/>
    </row>
    <row r="414">
      <c r="A414" s="175"/>
      <c r="B414" s="175"/>
      <c r="C414" s="176"/>
      <c r="D414" s="175"/>
      <c r="E414" s="175"/>
      <c r="F414" s="12"/>
      <c r="G414" s="12"/>
      <c r="H414" s="175"/>
      <c r="I414" s="12"/>
      <c r="J414" s="12"/>
      <c r="K414" s="175"/>
      <c r="L414" s="175"/>
      <c r="M414" s="175"/>
      <c r="N414" s="175"/>
      <c r="O414" s="175"/>
      <c r="P414" s="12"/>
      <c r="Q414" s="175"/>
      <c r="R414" s="12"/>
      <c r="S414" s="12"/>
      <c r="T414" s="175"/>
      <c r="U414" s="179"/>
      <c r="V414" s="208"/>
      <c r="W414" s="12"/>
      <c r="X414" s="12"/>
    </row>
    <row r="415">
      <c r="A415" s="175"/>
      <c r="B415" s="175"/>
      <c r="C415" s="176"/>
      <c r="D415" s="175"/>
      <c r="E415" s="175"/>
      <c r="F415" s="12"/>
      <c r="G415" s="12"/>
      <c r="H415" s="175"/>
      <c r="I415" s="12"/>
      <c r="J415" s="12"/>
      <c r="K415" s="175"/>
      <c r="L415" s="175"/>
      <c r="M415" s="175"/>
      <c r="N415" s="175"/>
      <c r="O415" s="175"/>
      <c r="P415" s="12"/>
      <c r="Q415" s="175"/>
      <c r="R415" s="12"/>
      <c r="S415" s="12"/>
      <c r="T415" s="175"/>
      <c r="U415" s="179"/>
      <c r="V415" s="208"/>
      <c r="W415" s="12"/>
      <c r="X415" s="12"/>
    </row>
    <row r="416">
      <c r="A416" s="175"/>
      <c r="B416" s="175"/>
      <c r="C416" s="176"/>
      <c r="D416" s="175"/>
      <c r="E416" s="175"/>
      <c r="F416" s="12"/>
      <c r="G416" s="12"/>
      <c r="H416" s="175"/>
      <c r="I416" s="12"/>
      <c r="J416" s="12"/>
      <c r="K416" s="175"/>
      <c r="L416" s="175"/>
      <c r="M416" s="175"/>
      <c r="N416" s="175"/>
      <c r="O416" s="175"/>
      <c r="P416" s="12"/>
      <c r="Q416" s="175"/>
      <c r="R416" s="12"/>
      <c r="S416" s="12"/>
      <c r="T416" s="175"/>
      <c r="U416" s="179"/>
      <c r="V416" s="208"/>
      <c r="W416" s="12"/>
      <c r="X416" s="12"/>
    </row>
    <row r="417">
      <c r="A417" s="175"/>
      <c r="B417" s="175"/>
      <c r="C417" s="176"/>
      <c r="D417" s="175"/>
      <c r="E417" s="175"/>
      <c r="F417" s="12"/>
      <c r="G417" s="12"/>
      <c r="H417" s="175"/>
      <c r="I417" s="12"/>
      <c r="J417" s="12"/>
      <c r="K417" s="175"/>
      <c r="L417" s="175"/>
      <c r="M417" s="175"/>
      <c r="N417" s="175"/>
      <c r="O417" s="175"/>
      <c r="P417" s="12"/>
      <c r="Q417" s="175"/>
      <c r="R417" s="12"/>
      <c r="S417" s="12"/>
      <c r="T417" s="175"/>
      <c r="U417" s="179"/>
      <c r="V417" s="208"/>
      <c r="W417" s="12"/>
      <c r="X417" s="12"/>
    </row>
    <row r="418">
      <c r="A418" s="175"/>
      <c r="B418" s="175"/>
      <c r="C418" s="176"/>
      <c r="D418" s="175"/>
      <c r="E418" s="175"/>
      <c r="F418" s="12"/>
      <c r="G418" s="12"/>
      <c r="H418" s="175"/>
      <c r="I418" s="12"/>
      <c r="J418" s="12"/>
      <c r="K418" s="175"/>
      <c r="L418" s="175"/>
      <c r="M418" s="175"/>
      <c r="N418" s="175"/>
      <c r="O418" s="175"/>
      <c r="P418" s="12"/>
      <c r="Q418" s="175"/>
      <c r="R418" s="12"/>
      <c r="S418" s="12"/>
      <c r="T418" s="175"/>
      <c r="U418" s="179"/>
      <c r="V418" s="208"/>
      <c r="W418" s="12"/>
      <c r="X418" s="12"/>
    </row>
    <row r="419">
      <c r="A419" s="175"/>
      <c r="B419" s="175"/>
      <c r="C419" s="176"/>
      <c r="D419" s="175"/>
      <c r="E419" s="175"/>
      <c r="F419" s="12"/>
      <c r="G419" s="12"/>
      <c r="H419" s="175"/>
      <c r="I419" s="12"/>
      <c r="J419" s="12"/>
      <c r="K419" s="175"/>
      <c r="L419" s="175"/>
      <c r="M419" s="175"/>
      <c r="N419" s="175"/>
      <c r="O419" s="175"/>
      <c r="P419" s="12"/>
      <c r="Q419" s="175"/>
      <c r="R419" s="12"/>
      <c r="S419" s="12"/>
      <c r="T419" s="175"/>
      <c r="U419" s="179"/>
      <c r="V419" s="208"/>
      <c r="W419" s="12"/>
      <c r="X419" s="12"/>
    </row>
    <row r="420">
      <c r="A420" s="175"/>
      <c r="B420" s="175"/>
      <c r="C420" s="176"/>
      <c r="D420" s="175"/>
      <c r="E420" s="175"/>
      <c r="F420" s="12"/>
      <c r="G420" s="12"/>
      <c r="H420" s="175"/>
      <c r="I420" s="12"/>
      <c r="J420" s="12"/>
      <c r="K420" s="175"/>
      <c r="L420" s="175"/>
      <c r="M420" s="175"/>
      <c r="N420" s="175"/>
      <c r="O420" s="175"/>
      <c r="P420" s="12"/>
      <c r="Q420" s="175"/>
      <c r="R420" s="12"/>
      <c r="S420" s="12"/>
      <c r="T420" s="175"/>
      <c r="U420" s="179"/>
      <c r="V420" s="208"/>
      <c r="W420" s="12"/>
      <c r="X420" s="12"/>
    </row>
    <row r="421">
      <c r="A421" s="175"/>
      <c r="B421" s="175"/>
      <c r="C421" s="176"/>
      <c r="D421" s="175"/>
      <c r="E421" s="175"/>
      <c r="F421" s="12"/>
      <c r="G421" s="12"/>
      <c r="H421" s="175"/>
      <c r="I421" s="12"/>
      <c r="J421" s="12"/>
      <c r="K421" s="175"/>
      <c r="L421" s="175"/>
      <c r="M421" s="175"/>
      <c r="N421" s="175"/>
      <c r="O421" s="175"/>
      <c r="P421" s="12"/>
      <c r="Q421" s="175"/>
      <c r="R421" s="12"/>
      <c r="S421" s="12"/>
      <c r="T421" s="175"/>
      <c r="U421" s="179"/>
      <c r="V421" s="208"/>
      <c r="W421" s="12"/>
      <c r="X421" s="12"/>
    </row>
    <row r="422">
      <c r="A422" s="175"/>
      <c r="B422" s="175"/>
      <c r="C422" s="176"/>
      <c r="D422" s="175"/>
      <c r="E422" s="175"/>
      <c r="F422" s="12"/>
      <c r="G422" s="12"/>
      <c r="H422" s="175"/>
      <c r="I422" s="12"/>
      <c r="J422" s="12"/>
      <c r="K422" s="175"/>
      <c r="L422" s="175"/>
      <c r="M422" s="175"/>
      <c r="N422" s="175"/>
      <c r="O422" s="175"/>
      <c r="P422" s="12"/>
      <c r="Q422" s="175"/>
      <c r="R422" s="12"/>
      <c r="S422" s="12"/>
      <c r="T422" s="175"/>
      <c r="U422" s="179"/>
      <c r="V422" s="208"/>
      <c r="W422" s="12"/>
      <c r="X422" s="12"/>
    </row>
    <row r="423">
      <c r="A423" s="175"/>
      <c r="B423" s="175"/>
      <c r="C423" s="176"/>
      <c r="D423" s="175"/>
      <c r="E423" s="175"/>
      <c r="F423" s="12"/>
      <c r="G423" s="12"/>
      <c r="H423" s="175"/>
      <c r="I423" s="12"/>
      <c r="J423" s="12"/>
      <c r="K423" s="175"/>
      <c r="L423" s="175"/>
      <c r="M423" s="175"/>
      <c r="N423" s="175"/>
      <c r="O423" s="175"/>
      <c r="P423" s="12"/>
      <c r="Q423" s="175"/>
      <c r="R423" s="12"/>
      <c r="S423" s="12"/>
      <c r="T423" s="175"/>
      <c r="U423" s="179"/>
      <c r="V423" s="208"/>
      <c r="W423" s="12"/>
      <c r="X423" s="12"/>
    </row>
    <row r="424">
      <c r="A424" s="175"/>
      <c r="B424" s="175"/>
      <c r="C424" s="176"/>
      <c r="D424" s="175"/>
      <c r="E424" s="175"/>
      <c r="F424" s="12"/>
      <c r="G424" s="12"/>
      <c r="H424" s="175"/>
      <c r="I424" s="12"/>
      <c r="J424" s="12"/>
      <c r="K424" s="175"/>
      <c r="L424" s="175"/>
      <c r="M424" s="175"/>
      <c r="N424" s="175"/>
      <c r="O424" s="175"/>
      <c r="P424" s="12"/>
      <c r="Q424" s="175"/>
      <c r="R424" s="12"/>
      <c r="S424" s="12"/>
      <c r="T424" s="175"/>
      <c r="U424" s="179"/>
      <c r="V424" s="208"/>
      <c r="W424" s="12"/>
      <c r="X424" s="12"/>
    </row>
    <row r="425">
      <c r="A425" s="175"/>
      <c r="B425" s="175"/>
      <c r="C425" s="176"/>
      <c r="D425" s="175"/>
      <c r="E425" s="175"/>
      <c r="F425" s="12"/>
      <c r="G425" s="12"/>
      <c r="H425" s="175"/>
      <c r="I425" s="12"/>
      <c r="J425" s="12"/>
      <c r="K425" s="175"/>
      <c r="L425" s="175"/>
      <c r="M425" s="175"/>
      <c r="N425" s="175"/>
      <c r="O425" s="175"/>
      <c r="P425" s="12"/>
      <c r="Q425" s="175"/>
      <c r="R425" s="12"/>
      <c r="S425" s="12"/>
      <c r="T425" s="175"/>
      <c r="U425" s="179"/>
      <c r="V425" s="208"/>
      <c r="W425" s="12"/>
      <c r="X425" s="12"/>
    </row>
    <row r="426">
      <c r="A426" s="175"/>
      <c r="B426" s="175"/>
      <c r="C426" s="176"/>
      <c r="D426" s="175"/>
      <c r="E426" s="175"/>
      <c r="F426" s="12"/>
      <c r="G426" s="12"/>
      <c r="H426" s="175"/>
      <c r="I426" s="12"/>
      <c r="J426" s="12"/>
      <c r="K426" s="175"/>
      <c r="L426" s="175"/>
      <c r="M426" s="175"/>
      <c r="N426" s="175"/>
      <c r="O426" s="175"/>
      <c r="P426" s="12"/>
      <c r="Q426" s="175"/>
      <c r="R426" s="12"/>
      <c r="S426" s="12"/>
      <c r="T426" s="175"/>
      <c r="U426" s="179"/>
      <c r="V426" s="208"/>
      <c r="W426" s="12"/>
      <c r="X426" s="12"/>
    </row>
    <row r="427">
      <c r="A427" s="175"/>
      <c r="B427" s="175"/>
      <c r="C427" s="176"/>
      <c r="D427" s="175"/>
      <c r="E427" s="175"/>
      <c r="F427" s="12"/>
      <c r="G427" s="12"/>
      <c r="H427" s="175"/>
      <c r="I427" s="12"/>
      <c r="J427" s="12"/>
      <c r="K427" s="175"/>
      <c r="L427" s="175"/>
      <c r="M427" s="175"/>
      <c r="N427" s="175"/>
      <c r="O427" s="175"/>
      <c r="P427" s="12"/>
      <c r="Q427" s="175"/>
      <c r="R427" s="12"/>
      <c r="S427" s="12"/>
      <c r="T427" s="175"/>
      <c r="U427" s="179"/>
      <c r="V427" s="208"/>
      <c r="W427" s="12"/>
      <c r="X427" s="12"/>
    </row>
    <row r="428">
      <c r="A428" s="175"/>
      <c r="B428" s="175"/>
      <c r="C428" s="176"/>
      <c r="D428" s="175"/>
      <c r="E428" s="175"/>
      <c r="F428" s="12"/>
      <c r="G428" s="12"/>
      <c r="H428" s="175"/>
      <c r="I428" s="12"/>
      <c r="J428" s="12"/>
      <c r="K428" s="175"/>
      <c r="L428" s="175"/>
      <c r="M428" s="175"/>
      <c r="N428" s="175"/>
      <c r="O428" s="175"/>
      <c r="P428" s="12"/>
      <c r="Q428" s="175"/>
      <c r="R428" s="12"/>
      <c r="S428" s="12"/>
      <c r="T428" s="175"/>
      <c r="U428" s="179"/>
      <c r="V428" s="208"/>
      <c r="W428" s="12"/>
      <c r="X428" s="12"/>
    </row>
    <row r="429">
      <c r="A429" s="175"/>
      <c r="B429" s="175"/>
      <c r="C429" s="176"/>
      <c r="D429" s="175"/>
      <c r="E429" s="175"/>
      <c r="F429" s="12"/>
      <c r="G429" s="12"/>
      <c r="H429" s="175"/>
      <c r="I429" s="12"/>
      <c r="J429" s="12"/>
      <c r="K429" s="175"/>
      <c r="L429" s="175"/>
      <c r="M429" s="175"/>
      <c r="N429" s="175"/>
      <c r="O429" s="175"/>
      <c r="P429" s="12"/>
      <c r="Q429" s="175"/>
      <c r="R429" s="12"/>
      <c r="S429" s="12"/>
      <c r="T429" s="175"/>
      <c r="U429" s="179"/>
      <c r="V429" s="208"/>
      <c r="W429" s="12"/>
      <c r="X429" s="12"/>
    </row>
    <row r="430">
      <c r="A430" s="175"/>
      <c r="B430" s="175"/>
      <c r="C430" s="176"/>
      <c r="D430" s="175"/>
      <c r="E430" s="175"/>
      <c r="F430" s="12"/>
      <c r="G430" s="12"/>
      <c r="H430" s="175"/>
      <c r="I430" s="12"/>
      <c r="J430" s="12"/>
      <c r="K430" s="175"/>
      <c r="L430" s="175"/>
      <c r="M430" s="175"/>
      <c r="N430" s="175"/>
      <c r="O430" s="175"/>
      <c r="P430" s="12"/>
      <c r="Q430" s="175"/>
      <c r="R430" s="12"/>
      <c r="S430" s="12"/>
      <c r="T430" s="175"/>
      <c r="U430" s="179"/>
      <c r="V430" s="208"/>
      <c r="W430" s="12"/>
      <c r="X430" s="12"/>
    </row>
    <row r="431">
      <c r="A431" s="175"/>
      <c r="B431" s="175"/>
      <c r="C431" s="176"/>
      <c r="D431" s="175"/>
      <c r="E431" s="175"/>
      <c r="F431" s="12"/>
      <c r="G431" s="12"/>
      <c r="H431" s="175"/>
      <c r="I431" s="12"/>
      <c r="J431" s="12"/>
      <c r="K431" s="175"/>
      <c r="L431" s="175"/>
      <c r="M431" s="175"/>
      <c r="N431" s="175"/>
      <c r="O431" s="175"/>
      <c r="P431" s="12"/>
      <c r="Q431" s="175"/>
      <c r="R431" s="12"/>
      <c r="S431" s="12"/>
      <c r="T431" s="175"/>
      <c r="U431" s="179"/>
      <c r="V431" s="208"/>
      <c r="W431" s="12"/>
      <c r="X431" s="12"/>
    </row>
    <row r="432">
      <c r="A432" s="175"/>
      <c r="B432" s="175"/>
      <c r="C432" s="176"/>
      <c r="D432" s="175"/>
      <c r="E432" s="175"/>
      <c r="F432" s="12"/>
      <c r="G432" s="12"/>
      <c r="H432" s="175"/>
      <c r="I432" s="12"/>
      <c r="J432" s="12"/>
      <c r="K432" s="175"/>
      <c r="L432" s="175"/>
      <c r="M432" s="175"/>
      <c r="N432" s="175"/>
      <c r="O432" s="175"/>
      <c r="P432" s="12"/>
      <c r="Q432" s="175"/>
      <c r="R432" s="12"/>
      <c r="S432" s="12"/>
      <c r="T432" s="175"/>
      <c r="U432" s="179"/>
      <c r="V432" s="208"/>
      <c r="W432" s="12"/>
      <c r="X432" s="12"/>
    </row>
    <row r="433">
      <c r="A433" s="175"/>
      <c r="B433" s="175"/>
      <c r="C433" s="176"/>
      <c r="D433" s="175"/>
      <c r="E433" s="175"/>
      <c r="F433" s="12"/>
      <c r="G433" s="12"/>
      <c r="H433" s="175"/>
      <c r="I433" s="12"/>
      <c r="J433" s="12"/>
      <c r="K433" s="175"/>
      <c r="L433" s="175"/>
      <c r="M433" s="175"/>
      <c r="N433" s="175"/>
      <c r="O433" s="175"/>
      <c r="P433" s="12"/>
      <c r="Q433" s="175"/>
      <c r="R433" s="12"/>
      <c r="S433" s="12"/>
      <c r="T433" s="175"/>
      <c r="U433" s="179"/>
      <c r="V433" s="208"/>
      <c r="W433" s="12"/>
      <c r="X433" s="12"/>
    </row>
    <row r="434">
      <c r="A434" s="175"/>
      <c r="B434" s="175"/>
      <c r="C434" s="176"/>
      <c r="D434" s="175"/>
      <c r="E434" s="175"/>
      <c r="F434" s="12"/>
      <c r="G434" s="12"/>
      <c r="H434" s="175"/>
      <c r="I434" s="12"/>
      <c r="J434" s="12"/>
      <c r="K434" s="175"/>
      <c r="L434" s="175"/>
      <c r="M434" s="175"/>
      <c r="N434" s="175"/>
      <c r="O434" s="175"/>
      <c r="P434" s="12"/>
      <c r="Q434" s="175"/>
      <c r="R434" s="12"/>
      <c r="S434" s="12"/>
      <c r="T434" s="175"/>
      <c r="U434" s="179"/>
      <c r="V434" s="208"/>
      <c r="W434" s="12"/>
      <c r="X434" s="12"/>
    </row>
    <row r="435">
      <c r="A435" s="175"/>
      <c r="B435" s="175"/>
      <c r="C435" s="176"/>
      <c r="D435" s="175"/>
      <c r="E435" s="175"/>
      <c r="F435" s="12"/>
      <c r="G435" s="12"/>
      <c r="H435" s="175"/>
      <c r="I435" s="12"/>
      <c r="J435" s="12"/>
      <c r="K435" s="175"/>
      <c r="L435" s="175"/>
      <c r="M435" s="175"/>
      <c r="N435" s="175"/>
      <c r="O435" s="175"/>
      <c r="P435" s="12"/>
      <c r="Q435" s="175"/>
      <c r="R435" s="12"/>
      <c r="S435" s="12"/>
      <c r="T435" s="175"/>
      <c r="U435" s="179"/>
      <c r="V435" s="208"/>
      <c r="W435" s="12"/>
      <c r="X435" s="12"/>
    </row>
    <row r="436">
      <c r="A436" s="175"/>
      <c r="B436" s="175"/>
      <c r="C436" s="176"/>
      <c r="D436" s="175"/>
      <c r="E436" s="175"/>
      <c r="F436" s="12"/>
      <c r="G436" s="12"/>
      <c r="H436" s="175"/>
      <c r="I436" s="12"/>
      <c r="J436" s="12"/>
      <c r="K436" s="175"/>
      <c r="L436" s="175"/>
      <c r="M436" s="175"/>
      <c r="N436" s="175"/>
      <c r="O436" s="175"/>
      <c r="P436" s="12"/>
      <c r="Q436" s="175"/>
      <c r="R436" s="12"/>
      <c r="S436" s="12"/>
      <c r="T436" s="175"/>
      <c r="U436" s="179"/>
      <c r="V436" s="208"/>
      <c r="W436" s="12"/>
      <c r="X436" s="12"/>
    </row>
    <row r="437">
      <c r="A437" s="175"/>
      <c r="B437" s="175"/>
      <c r="C437" s="176"/>
      <c r="D437" s="175"/>
      <c r="E437" s="175"/>
      <c r="F437" s="12"/>
      <c r="G437" s="12"/>
      <c r="H437" s="175"/>
      <c r="I437" s="12"/>
      <c r="J437" s="12"/>
      <c r="K437" s="175"/>
      <c r="L437" s="175"/>
      <c r="M437" s="175"/>
      <c r="N437" s="175"/>
      <c r="O437" s="175"/>
      <c r="P437" s="12"/>
      <c r="Q437" s="175"/>
      <c r="R437" s="12"/>
      <c r="S437" s="12"/>
      <c r="T437" s="175"/>
      <c r="U437" s="179"/>
      <c r="V437" s="208"/>
      <c r="W437" s="12"/>
      <c r="X437" s="12"/>
    </row>
    <row r="438">
      <c r="A438" s="175"/>
      <c r="B438" s="175"/>
      <c r="C438" s="176"/>
      <c r="D438" s="175"/>
      <c r="E438" s="175"/>
      <c r="F438" s="12"/>
      <c r="G438" s="12"/>
      <c r="H438" s="175"/>
      <c r="I438" s="12"/>
      <c r="J438" s="12"/>
      <c r="K438" s="175"/>
      <c r="L438" s="175"/>
      <c r="M438" s="175"/>
      <c r="N438" s="175"/>
      <c r="O438" s="175"/>
      <c r="P438" s="12"/>
      <c r="Q438" s="175"/>
      <c r="R438" s="12"/>
      <c r="S438" s="12"/>
      <c r="T438" s="175"/>
      <c r="U438" s="179"/>
      <c r="V438" s="208"/>
      <c r="W438" s="12"/>
      <c r="X438" s="12"/>
    </row>
    <row r="439">
      <c r="A439" s="175"/>
      <c r="B439" s="175"/>
      <c r="C439" s="176"/>
      <c r="D439" s="175"/>
      <c r="E439" s="175"/>
      <c r="F439" s="12"/>
      <c r="G439" s="12"/>
      <c r="H439" s="175"/>
      <c r="I439" s="12"/>
      <c r="J439" s="12"/>
      <c r="K439" s="175"/>
      <c r="L439" s="175"/>
      <c r="M439" s="175"/>
      <c r="N439" s="175"/>
      <c r="O439" s="175"/>
      <c r="P439" s="12"/>
      <c r="Q439" s="175"/>
      <c r="R439" s="12"/>
      <c r="S439" s="12"/>
      <c r="T439" s="175"/>
      <c r="U439" s="179"/>
      <c r="V439" s="208"/>
      <c r="W439" s="12"/>
      <c r="X439" s="12"/>
    </row>
    <row r="440">
      <c r="A440" s="175"/>
      <c r="B440" s="175"/>
      <c r="C440" s="176"/>
      <c r="D440" s="175"/>
      <c r="E440" s="175"/>
      <c r="F440" s="12"/>
      <c r="G440" s="12"/>
      <c r="H440" s="175"/>
      <c r="I440" s="12"/>
      <c r="J440" s="12"/>
      <c r="K440" s="175"/>
      <c r="L440" s="175"/>
      <c r="M440" s="175"/>
      <c r="N440" s="175"/>
      <c r="O440" s="175"/>
      <c r="P440" s="12"/>
      <c r="Q440" s="175"/>
      <c r="R440" s="12"/>
      <c r="S440" s="12"/>
      <c r="T440" s="175"/>
      <c r="U440" s="179"/>
      <c r="V440" s="208"/>
      <c r="W440" s="12"/>
      <c r="X440" s="12"/>
    </row>
    <row r="441">
      <c r="A441" s="175"/>
      <c r="B441" s="175"/>
      <c r="C441" s="176"/>
      <c r="D441" s="175"/>
      <c r="E441" s="175"/>
      <c r="F441" s="12"/>
      <c r="G441" s="12"/>
      <c r="H441" s="175"/>
      <c r="I441" s="12"/>
      <c r="J441" s="12"/>
      <c r="K441" s="175"/>
      <c r="L441" s="175"/>
      <c r="M441" s="175"/>
      <c r="N441" s="175"/>
      <c r="O441" s="175"/>
      <c r="P441" s="12"/>
      <c r="Q441" s="175"/>
      <c r="R441" s="12"/>
      <c r="S441" s="12"/>
      <c r="T441" s="175"/>
      <c r="U441" s="179"/>
      <c r="V441" s="208"/>
      <c r="W441" s="12"/>
      <c r="X441" s="12"/>
    </row>
    <row r="442">
      <c r="A442" s="175"/>
      <c r="B442" s="175"/>
      <c r="C442" s="176"/>
      <c r="D442" s="175"/>
      <c r="E442" s="175"/>
      <c r="F442" s="12"/>
      <c r="G442" s="12"/>
      <c r="H442" s="175"/>
      <c r="I442" s="12"/>
      <c r="J442" s="12"/>
      <c r="K442" s="175"/>
      <c r="L442" s="175"/>
      <c r="M442" s="175"/>
      <c r="N442" s="175"/>
      <c r="O442" s="175"/>
      <c r="P442" s="12"/>
      <c r="Q442" s="175"/>
      <c r="R442" s="12"/>
      <c r="S442" s="12"/>
      <c r="T442" s="175"/>
      <c r="U442" s="179"/>
      <c r="V442" s="208"/>
      <c r="W442" s="12"/>
      <c r="X442" s="12"/>
    </row>
    <row r="443">
      <c r="A443" s="175"/>
      <c r="B443" s="175"/>
      <c r="C443" s="176"/>
      <c r="D443" s="175"/>
      <c r="E443" s="175"/>
      <c r="F443" s="12"/>
      <c r="G443" s="12"/>
      <c r="H443" s="175"/>
      <c r="I443" s="12"/>
      <c r="J443" s="12"/>
      <c r="K443" s="175"/>
      <c r="L443" s="175"/>
      <c r="M443" s="175"/>
      <c r="N443" s="175"/>
      <c r="O443" s="175"/>
      <c r="P443" s="12"/>
      <c r="Q443" s="175"/>
      <c r="R443" s="12"/>
      <c r="S443" s="12"/>
      <c r="T443" s="175"/>
      <c r="U443" s="179"/>
      <c r="V443" s="208"/>
      <c r="W443" s="12"/>
      <c r="X443" s="12"/>
    </row>
    <row r="444">
      <c r="A444" s="175"/>
      <c r="B444" s="175"/>
      <c r="C444" s="176"/>
      <c r="D444" s="175"/>
      <c r="E444" s="175"/>
      <c r="F444" s="12"/>
      <c r="G444" s="12"/>
      <c r="H444" s="175"/>
      <c r="I444" s="12"/>
      <c r="J444" s="12"/>
      <c r="K444" s="175"/>
      <c r="L444" s="175"/>
      <c r="M444" s="175"/>
      <c r="N444" s="175"/>
      <c r="O444" s="175"/>
      <c r="P444" s="12"/>
      <c r="Q444" s="175"/>
      <c r="R444" s="12"/>
      <c r="S444" s="12"/>
      <c r="T444" s="175"/>
      <c r="U444" s="179"/>
      <c r="V444" s="208"/>
      <c r="W444" s="12"/>
      <c r="X444" s="12"/>
    </row>
    <row r="445">
      <c r="A445" s="175"/>
      <c r="B445" s="175"/>
      <c r="C445" s="176"/>
      <c r="D445" s="175"/>
      <c r="E445" s="175"/>
      <c r="F445" s="12"/>
      <c r="G445" s="12"/>
      <c r="H445" s="175"/>
      <c r="I445" s="12"/>
      <c r="J445" s="12"/>
      <c r="K445" s="175"/>
      <c r="L445" s="175"/>
      <c r="M445" s="175"/>
      <c r="N445" s="175"/>
      <c r="O445" s="175"/>
      <c r="P445" s="12"/>
      <c r="Q445" s="175"/>
      <c r="R445" s="12"/>
      <c r="S445" s="12"/>
      <c r="T445" s="175"/>
      <c r="U445" s="179"/>
      <c r="V445" s="208"/>
      <c r="W445" s="12"/>
      <c r="X445" s="12"/>
    </row>
    <row r="446">
      <c r="A446" s="175"/>
      <c r="B446" s="175"/>
      <c r="C446" s="176"/>
      <c r="D446" s="175"/>
      <c r="E446" s="175"/>
      <c r="F446" s="12"/>
      <c r="G446" s="12"/>
      <c r="H446" s="175"/>
      <c r="I446" s="12"/>
      <c r="J446" s="12"/>
      <c r="K446" s="175"/>
      <c r="L446" s="175"/>
      <c r="M446" s="175"/>
      <c r="N446" s="175"/>
      <c r="O446" s="175"/>
      <c r="P446" s="12"/>
      <c r="Q446" s="175"/>
      <c r="R446" s="12"/>
      <c r="S446" s="12"/>
      <c r="T446" s="175"/>
      <c r="U446" s="179"/>
      <c r="V446" s="208"/>
      <c r="W446" s="12"/>
      <c r="X446" s="12"/>
    </row>
    <row r="447">
      <c r="A447" s="175"/>
      <c r="B447" s="175"/>
      <c r="C447" s="176"/>
      <c r="D447" s="175"/>
      <c r="E447" s="175"/>
      <c r="F447" s="12"/>
      <c r="G447" s="12"/>
      <c r="H447" s="175"/>
      <c r="I447" s="12"/>
      <c r="J447" s="12"/>
      <c r="K447" s="175"/>
      <c r="L447" s="175"/>
      <c r="M447" s="175"/>
      <c r="N447" s="175"/>
      <c r="O447" s="175"/>
      <c r="P447" s="12"/>
      <c r="Q447" s="175"/>
      <c r="R447" s="12"/>
      <c r="S447" s="12"/>
      <c r="T447" s="175"/>
      <c r="U447" s="179"/>
      <c r="V447" s="208"/>
      <c r="W447" s="12"/>
      <c r="X447" s="12"/>
    </row>
    <row r="448">
      <c r="A448" s="175"/>
      <c r="B448" s="175"/>
      <c r="C448" s="176"/>
      <c r="D448" s="175"/>
      <c r="E448" s="175"/>
      <c r="F448" s="12"/>
      <c r="G448" s="12"/>
      <c r="H448" s="175"/>
      <c r="I448" s="12"/>
      <c r="J448" s="12"/>
      <c r="K448" s="175"/>
      <c r="L448" s="175"/>
      <c r="M448" s="175"/>
      <c r="N448" s="175"/>
      <c r="O448" s="175"/>
      <c r="P448" s="12"/>
      <c r="Q448" s="175"/>
      <c r="R448" s="12"/>
      <c r="S448" s="12"/>
      <c r="T448" s="175"/>
      <c r="U448" s="179"/>
      <c r="V448" s="208"/>
      <c r="W448" s="12"/>
      <c r="X448" s="12"/>
    </row>
    <row r="449">
      <c r="A449" s="175"/>
      <c r="B449" s="175"/>
      <c r="C449" s="176"/>
      <c r="D449" s="175"/>
      <c r="E449" s="175"/>
      <c r="F449" s="12"/>
      <c r="G449" s="12"/>
      <c r="H449" s="175"/>
      <c r="I449" s="12"/>
      <c r="J449" s="12"/>
      <c r="K449" s="175"/>
      <c r="L449" s="175"/>
      <c r="M449" s="175"/>
      <c r="N449" s="175"/>
      <c r="O449" s="175"/>
      <c r="P449" s="12"/>
      <c r="Q449" s="175"/>
      <c r="R449" s="12"/>
      <c r="S449" s="12"/>
      <c r="T449" s="175"/>
      <c r="U449" s="179"/>
      <c r="V449" s="208"/>
      <c r="W449" s="12"/>
      <c r="X449" s="12"/>
    </row>
    <row r="450">
      <c r="A450" s="175"/>
      <c r="B450" s="175"/>
      <c r="C450" s="176"/>
      <c r="D450" s="175"/>
      <c r="E450" s="175"/>
      <c r="F450" s="12"/>
      <c r="G450" s="12"/>
      <c r="H450" s="175"/>
      <c r="I450" s="12"/>
      <c r="J450" s="12"/>
      <c r="K450" s="175"/>
      <c r="L450" s="175"/>
      <c r="M450" s="175"/>
      <c r="N450" s="175"/>
      <c r="O450" s="175"/>
      <c r="P450" s="12"/>
      <c r="Q450" s="175"/>
      <c r="R450" s="12"/>
      <c r="S450" s="12"/>
      <c r="T450" s="175"/>
      <c r="U450" s="179"/>
      <c r="V450" s="208"/>
      <c r="W450" s="12"/>
      <c r="X450" s="12"/>
    </row>
    <row r="451">
      <c r="A451" s="175"/>
      <c r="B451" s="175"/>
      <c r="C451" s="176"/>
      <c r="D451" s="175"/>
      <c r="E451" s="175"/>
      <c r="F451" s="12"/>
      <c r="G451" s="12"/>
      <c r="H451" s="175"/>
      <c r="I451" s="12"/>
      <c r="J451" s="12"/>
      <c r="K451" s="175"/>
      <c r="L451" s="175"/>
      <c r="M451" s="175"/>
      <c r="N451" s="175"/>
      <c r="O451" s="175"/>
      <c r="P451" s="12"/>
      <c r="Q451" s="175"/>
      <c r="R451" s="12"/>
      <c r="S451" s="12"/>
      <c r="T451" s="175"/>
      <c r="U451" s="179"/>
      <c r="V451" s="208"/>
      <c r="W451" s="12"/>
      <c r="X451" s="12"/>
    </row>
    <row r="452">
      <c r="A452" s="175"/>
      <c r="B452" s="175"/>
      <c r="C452" s="176"/>
      <c r="D452" s="175"/>
      <c r="E452" s="175"/>
      <c r="F452" s="12"/>
      <c r="G452" s="12"/>
      <c r="H452" s="175"/>
      <c r="I452" s="12"/>
      <c r="J452" s="12"/>
      <c r="K452" s="175"/>
      <c r="L452" s="175"/>
      <c r="M452" s="175"/>
      <c r="N452" s="175"/>
      <c r="O452" s="175"/>
      <c r="P452" s="12"/>
      <c r="Q452" s="175"/>
      <c r="R452" s="12"/>
      <c r="S452" s="12"/>
      <c r="T452" s="175"/>
      <c r="U452" s="179"/>
      <c r="V452" s="208"/>
      <c r="W452" s="12"/>
      <c r="X452" s="12"/>
    </row>
    <row r="453">
      <c r="A453" s="175"/>
      <c r="B453" s="175"/>
      <c r="C453" s="176"/>
      <c r="D453" s="175"/>
      <c r="E453" s="175"/>
      <c r="F453" s="12"/>
      <c r="G453" s="12"/>
      <c r="H453" s="175"/>
      <c r="I453" s="12"/>
      <c r="J453" s="12"/>
      <c r="K453" s="175"/>
      <c r="L453" s="175"/>
      <c r="M453" s="175"/>
      <c r="N453" s="175"/>
      <c r="O453" s="175"/>
      <c r="P453" s="12"/>
      <c r="Q453" s="175"/>
      <c r="R453" s="12"/>
      <c r="S453" s="12"/>
      <c r="T453" s="175"/>
      <c r="U453" s="179"/>
      <c r="V453" s="208"/>
      <c r="W453" s="12"/>
      <c r="X453" s="12"/>
    </row>
    <row r="454">
      <c r="A454" s="175"/>
      <c r="B454" s="175"/>
      <c r="C454" s="176"/>
      <c r="D454" s="175"/>
      <c r="E454" s="175"/>
      <c r="F454" s="12"/>
      <c r="G454" s="12"/>
      <c r="H454" s="175"/>
      <c r="I454" s="12"/>
      <c r="J454" s="12"/>
      <c r="K454" s="175"/>
      <c r="L454" s="175"/>
      <c r="M454" s="175"/>
      <c r="N454" s="175"/>
      <c r="O454" s="175"/>
      <c r="P454" s="12"/>
      <c r="Q454" s="175"/>
      <c r="R454" s="12"/>
      <c r="S454" s="12"/>
      <c r="T454" s="175"/>
      <c r="U454" s="179"/>
      <c r="V454" s="208"/>
      <c r="W454" s="12"/>
      <c r="X454" s="12"/>
    </row>
    <row r="455">
      <c r="A455" s="175"/>
      <c r="B455" s="175"/>
      <c r="C455" s="176"/>
      <c r="D455" s="175"/>
      <c r="E455" s="175"/>
      <c r="F455" s="12"/>
      <c r="G455" s="12"/>
      <c r="H455" s="175"/>
      <c r="I455" s="12"/>
      <c r="J455" s="12"/>
      <c r="K455" s="175"/>
      <c r="L455" s="175"/>
      <c r="M455" s="175"/>
      <c r="N455" s="175"/>
      <c r="O455" s="175"/>
      <c r="P455" s="12"/>
      <c r="Q455" s="175"/>
      <c r="R455" s="12"/>
      <c r="S455" s="12"/>
      <c r="T455" s="175"/>
      <c r="U455" s="179"/>
      <c r="V455" s="208"/>
      <c r="W455" s="12"/>
      <c r="X455" s="12"/>
    </row>
    <row r="456">
      <c r="A456" s="175"/>
      <c r="B456" s="175"/>
      <c r="C456" s="176"/>
      <c r="D456" s="175"/>
      <c r="E456" s="175"/>
      <c r="F456" s="12"/>
      <c r="G456" s="12"/>
      <c r="H456" s="175"/>
      <c r="I456" s="12"/>
      <c r="J456" s="12"/>
      <c r="K456" s="175"/>
      <c r="L456" s="175"/>
      <c r="M456" s="175"/>
      <c r="N456" s="175"/>
      <c r="O456" s="175"/>
      <c r="P456" s="12"/>
      <c r="Q456" s="175"/>
      <c r="R456" s="12"/>
      <c r="S456" s="12"/>
      <c r="T456" s="175"/>
      <c r="U456" s="179"/>
      <c r="V456" s="208"/>
      <c r="W456" s="12"/>
      <c r="X456" s="12"/>
    </row>
    <row r="457">
      <c r="A457" s="175"/>
      <c r="B457" s="175"/>
      <c r="C457" s="176"/>
      <c r="D457" s="175"/>
      <c r="E457" s="175"/>
      <c r="F457" s="12"/>
      <c r="G457" s="12"/>
      <c r="H457" s="175"/>
      <c r="I457" s="12"/>
      <c r="J457" s="12"/>
      <c r="K457" s="175"/>
      <c r="L457" s="175"/>
      <c r="M457" s="175"/>
      <c r="N457" s="175"/>
      <c r="O457" s="175"/>
      <c r="P457" s="12"/>
      <c r="Q457" s="175"/>
      <c r="R457" s="12"/>
      <c r="S457" s="12"/>
      <c r="T457" s="175"/>
      <c r="U457" s="179"/>
      <c r="V457" s="208"/>
      <c r="W457" s="12"/>
      <c r="X457" s="12"/>
    </row>
    <row r="458">
      <c r="A458" s="175"/>
      <c r="B458" s="175"/>
      <c r="C458" s="176"/>
      <c r="D458" s="175"/>
      <c r="E458" s="175"/>
      <c r="F458" s="12"/>
      <c r="G458" s="12"/>
      <c r="H458" s="175"/>
      <c r="I458" s="12"/>
      <c r="J458" s="12"/>
      <c r="K458" s="175"/>
      <c r="L458" s="175"/>
      <c r="M458" s="175"/>
      <c r="N458" s="175"/>
      <c r="O458" s="175"/>
      <c r="P458" s="12"/>
      <c r="Q458" s="175"/>
      <c r="R458" s="12"/>
      <c r="S458" s="12"/>
      <c r="T458" s="175"/>
      <c r="U458" s="179"/>
      <c r="V458" s="208"/>
      <c r="W458" s="12"/>
      <c r="X458" s="12"/>
    </row>
    <row r="459">
      <c r="A459" s="175"/>
      <c r="B459" s="175"/>
      <c r="C459" s="176"/>
      <c r="D459" s="175"/>
      <c r="E459" s="175"/>
      <c r="F459" s="12"/>
      <c r="G459" s="12"/>
      <c r="H459" s="175"/>
      <c r="I459" s="12"/>
      <c r="J459" s="12"/>
      <c r="K459" s="175"/>
      <c r="L459" s="175"/>
      <c r="M459" s="175"/>
      <c r="N459" s="175"/>
      <c r="O459" s="175"/>
      <c r="P459" s="12"/>
      <c r="Q459" s="175"/>
      <c r="R459" s="12"/>
      <c r="S459" s="12"/>
      <c r="T459" s="175"/>
      <c r="U459" s="179"/>
      <c r="V459" s="208"/>
      <c r="W459" s="12"/>
      <c r="X459" s="12"/>
    </row>
    <row r="460">
      <c r="A460" s="175"/>
      <c r="B460" s="175"/>
      <c r="C460" s="176"/>
      <c r="D460" s="175"/>
      <c r="E460" s="175"/>
      <c r="F460" s="12"/>
      <c r="G460" s="12"/>
      <c r="H460" s="175"/>
      <c r="I460" s="12"/>
      <c r="J460" s="12"/>
      <c r="K460" s="175"/>
      <c r="L460" s="175"/>
      <c r="M460" s="175"/>
      <c r="N460" s="175"/>
      <c r="O460" s="175"/>
      <c r="P460" s="12"/>
      <c r="Q460" s="175"/>
      <c r="R460" s="12"/>
      <c r="S460" s="12"/>
      <c r="T460" s="175"/>
      <c r="U460" s="179"/>
      <c r="V460" s="208"/>
      <c r="W460" s="12"/>
      <c r="X460" s="12"/>
    </row>
    <row r="461">
      <c r="A461" s="175"/>
      <c r="B461" s="175"/>
      <c r="C461" s="176"/>
      <c r="D461" s="175"/>
      <c r="E461" s="175"/>
      <c r="F461" s="12"/>
      <c r="G461" s="12"/>
      <c r="H461" s="175"/>
      <c r="I461" s="12"/>
      <c r="J461" s="12"/>
      <c r="K461" s="175"/>
      <c r="L461" s="175"/>
      <c r="M461" s="175"/>
      <c r="N461" s="175"/>
      <c r="O461" s="175"/>
      <c r="P461" s="12"/>
      <c r="Q461" s="175"/>
      <c r="R461" s="12"/>
      <c r="S461" s="12"/>
      <c r="T461" s="175"/>
      <c r="U461" s="179"/>
      <c r="V461" s="208"/>
      <c r="W461" s="12"/>
      <c r="X461" s="12"/>
    </row>
    <row r="462">
      <c r="A462" s="175"/>
      <c r="B462" s="175"/>
      <c r="C462" s="176"/>
      <c r="D462" s="175"/>
      <c r="E462" s="175"/>
      <c r="F462" s="12"/>
      <c r="G462" s="12"/>
      <c r="H462" s="175"/>
      <c r="I462" s="12"/>
      <c r="J462" s="12"/>
      <c r="K462" s="175"/>
      <c r="L462" s="175"/>
      <c r="M462" s="175"/>
      <c r="N462" s="175"/>
      <c r="O462" s="175"/>
      <c r="P462" s="12"/>
      <c r="Q462" s="175"/>
      <c r="R462" s="12"/>
      <c r="S462" s="12"/>
      <c r="T462" s="175"/>
      <c r="U462" s="179"/>
      <c r="V462" s="208"/>
      <c r="W462" s="12"/>
      <c r="X462" s="12"/>
    </row>
    <row r="463">
      <c r="A463" s="175"/>
      <c r="B463" s="175"/>
      <c r="C463" s="176"/>
      <c r="D463" s="175"/>
      <c r="E463" s="175"/>
      <c r="F463" s="12"/>
      <c r="G463" s="12"/>
      <c r="H463" s="175"/>
      <c r="I463" s="12"/>
      <c r="J463" s="12"/>
      <c r="K463" s="175"/>
      <c r="L463" s="175"/>
      <c r="M463" s="175"/>
      <c r="N463" s="175"/>
      <c r="O463" s="175"/>
      <c r="P463" s="12"/>
      <c r="Q463" s="175"/>
      <c r="R463" s="12"/>
      <c r="S463" s="12"/>
      <c r="T463" s="175"/>
      <c r="U463" s="179"/>
      <c r="V463" s="208"/>
      <c r="W463" s="12"/>
      <c r="X463" s="12"/>
    </row>
    <row r="464">
      <c r="A464" s="175"/>
      <c r="B464" s="175"/>
      <c r="C464" s="176"/>
      <c r="D464" s="175"/>
      <c r="E464" s="175"/>
      <c r="F464" s="12"/>
      <c r="G464" s="12"/>
      <c r="H464" s="175"/>
      <c r="I464" s="12"/>
      <c r="J464" s="12"/>
      <c r="K464" s="175"/>
      <c r="L464" s="175"/>
      <c r="M464" s="175"/>
      <c r="N464" s="175"/>
      <c r="O464" s="175"/>
      <c r="P464" s="12"/>
      <c r="Q464" s="175"/>
      <c r="R464" s="12"/>
      <c r="S464" s="12"/>
      <c r="T464" s="175"/>
      <c r="U464" s="179"/>
      <c r="V464" s="208"/>
      <c r="W464" s="12"/>
      <c r="X464" s="12"/>
    </row>
    <row r="465">
      <c r="A465" s="175"/>
      <c r="B465" s="175"/>
      <c r="C465" s="176"/>
      <c r="D465" s="175"/>
      <c r="E465" s="175"/>
      <c r="F465" s="12"/>
      <c r="G465" s="12"/>
      <c r="H465" s="175"/>
      <c r="I465" s="12"/>
      <c r="J465" s="12"/>
      <c r="K465" s="175"/>
      <c r="L465" s="175"/>
      <c r="M465" s="175"/>
      <c r="N465" s="175"/>
      <c r="O465" s="175"/>
      <c r="P465" s="12"/>
      <c r="Q465" s="175"/>
      <c r="R465" s="12"/>
      <c r="S465" s="12"/>
      <c r="T465" s="175"/>
      <c r="U465" s="179"/>
      <c r="V465" s="208"/>
      <c r="W465" s="12"/>
      <c r="X465" s="12"/>
    </row>
    <row r="466">
      <c r="A466" s="175"/>
      <c r="B466" s="175"/>
      <c r="C466" s="176"/>
      <c r="D466" s="175"/>
      <c r="E466" s="175"/>
      <c r="F466" s="12"/>
      <c r="G466" s="12"/>
      <c r="H466" s="175"/>
      <c r="I466" s="12"/>
      <c r="J466" s="12"/>
      <c r="K466" s="175"/>
      <c r="L466" s="175"/>
      <c r="M466" s="175"/>
      <c r="N466" s="175"/>
      <c r="O466" s="175"/>
      <c r="P466" s="12"/>
      <c r="Q466" s="175"/>
      <c r="R466" s="12"/>
      <c r="S466" s="12"/>
      <c r="T466" s="175"/>
      <c r="U466" s="179"/>
      <c r="V466" s="208"/>
      <c r="W466" s="12"/>
      <c r="X466" s="12"/>
    </row>
    <row r="467">
      <c r="A467" s="175"/>
      <c r="B467" s="175"/>
      <c r="C467" s="176"/>
      <c r="D467" s="175"/>
      <c r="E467" s="175"/>
      <c r="F467" s="12"/>
      <c r="G467" s="12"/>
      <c r="H467" s="175"/>
      <c r="I467" s="12"/>
      <c r="J467" s="12"/>
      <c r="K467" s="175"/>
      <c r="L467" s="175"/>
      <c r="M467" s="175"/>
      <c r="N467" s="175"/>
      <c r="O467" s="175"/>
      <c r="P467" s="12"/>
      <c r="Q467" s="175"/>
      <c r="R467" s="12"/>
      <c r="S467" s="12"/>
      <c r="T467" s="175"/>
      <c r="U467" s="179"/>
      <c r="V467" s="208"/>
      <c r="W467" s="12"/>
      <c r="X467" s="12"/>
    </row>
    <row r="468">
      <c r="A468" s="175"/>
      <c r="B468" s="175"/>
      <c r="C468" s="176"/>
      <c r="D468" s="175"/>
      <c r="E468" s="175"/>
      <c r="F468" s="12"/>
      <c r="G468" s="12"/>
      <c r="H468" s="175"/>
      <c r="I468" s="12"/>
      <c r="J468" s="12"/>
      <c r="K468" s="175"/>
      <c r="L468" s="175"/>
      <c r="M468" s="175"/>
      <c r="N468" s="175"/>
      <c r="O468" s="175"/>
      <c r="P468" s="12"/>
      <c r="Q468" s="175"/>
      <c r="R468" s="12"/>
      <c r="S468" s="12"/>
      <c r="T468" s="175"/>
      <c r="U468" s="179"/>
      <c r="V468" s="208"/>
      <c r="W468" s="12"/>
      <c r="X468" s="12"/>
    </row>
    <row r="469">
      <c r="A469" s="175"/>
      <c r="B469" s="175"/>
      <c r="C469" s="176"/>
      <c r="D469" s="175"/>
      <c r="E469" s="175"/>
      <c r="F469" s="12"/>
      <c r="G469" s="12"/>
      <c r="H469" s="175"/>
      <c r="I469" s="12"/>
      <c r="J469" s="12"/>
      <c r="K469" s="175"/>
      <c r="L469" s="175"/>
      <c r="M469" s="175"/>
      <c r="N469" s="175"/>
      <c r="O469" s="175"/>
      <c r="P469" s="12"/>
      <c r="Q469" s="175"/>
      <c r="R469" s="12"/>
      <c r="S469" s="12"/>
      <c r="T469" s="175"/>
      <c r="U469" s="179"/>
      <c r="V469" s="208"/>
      <c r="W469" s="12"/>
      <c r="X469" s="12"/>
    </row>
    <row r="470">
      <c r="A470" s="175"/>
      <c r="B470" s="175"/>
      <c r="C470" s="176"/>
      <c r="D470" s="175"/>
      <c r="E470" s="175"/>
      <c r="F470" s="12"/>
      <c r="G470" s="12"/>
      <c r="H470" s="175"/>
      <c r="I470" s="12"/>
      <c r="J470" s="12"/>
      <c r="K470" s="175"/>
      <c r="L470" s="175"/>
      <c r="M470" s="175"/>
      <c r="N470" s="175"/>
      <c r="O470" s="175"/>
      <c r="P470" s="12"/>
      <c r="Q470" s="175"/>
      <c r="R470" s="12"/>
      <c r="S470" s="12"/>
      <c r="T470" s="175"/>
      <c r="U470" s="179"/>
      <c r="V470" s="208"/>
      <c r="W470" s="12"/>
      <c r="X470" s="12"/>
    </row>
    <row r="471">
      <c r="A471" s="175"/>
      <c r="B471" s="175"/>
      <c r="C471" s="176"/>
      <c r="D471" s="175"/>
      <c r="E471" s="175"/>
      <c r="F471" s="12"/>
      <c r="G471" s="12"/>
      <c r="H471" s="175"/>
      <c r="I471" s="12"/>
      <c r="J471" s="12"/>
      <c r="K471" s="175"/>
      <c r="L471" s="175"/>
      <c r="M471" s="175"/>
      <c r="N471" s="175"/>
      <c r="O471" s="175"/>
      <c r="P471" s="12"/>
      <c r="Q471" s="175"/>
      <c r="R471" s="12"/>
      <c r="S471" s="12"/>
      <c r="T471" s="175"/>
      <c r="U471" s="179"/>
      <c r="V471" s="208"/>
      <c r="W471" s="12"/>
      <c r="X471" s="12"/>
    </row>
    <row r="472">
      <c r="A472" s="175"/>
      <c r="B472" s="175"/>
      <c r="C472" s="176"/>
      <c r="D472" s="175"/>
      <c r="E472" s="175"/>
      <c r="F472" s="12"/>
      <c r="G472" s="12"/>
      <c r="H472" s="175"/>
      <c r="I472" s="12"/>
      <c r="J472" s="12"/>
      <c r="K472" s="175"/>
      <c r="L472" s="175"/>
      <c r="M472" s="175"/>
      <c r="N472" s="175"/>
      <c r="O472" s="175"/>
      <c r="P472" s="12"/>
      <c r="Q472" s="175"/>
      <c r="R472" s="12"/>
      <c r="S472" s="12"/>
      <c r="T472" s="175"/>
      <c r="U472" s="179"/>
      <c r="V472" s="208"/>
      <c r="W472" s="12"/>
      <c r="X472" s="12"/>
    </row>
    <row r="473">
      <c r="A473" s="175"/>
      <c r="B473" s="175"/>
      <c r="C473" s="176"/>
      <c r="D473" s="175"/>
      <c r="E473" s="175"/>
      <c r="F473" s="12"/>
      <c r="G473" s="12"/>
      <c r="H473" s="175"/>
      <c r="I473" s="12"/>
      <c r="J473" s="12"/>
      <c r="K473" s="175"/>
      <c r="L473" s="175"/>
      <c r="M473" s="175"/>
      <c r="N473" s="175"/>
      <c r="O473" s="175"/>
      <c r="P473" s="12"/>
      <c r="Q473" s="175"/>
      <c r="R473" s="12"/>
      <c r="S473" s="12"/>
      <c r="T473" s="175"/>
      <c r="U473" s="179"/>
      <c r="V473" s="208"/>
      <c r="W473" s="12"/>
      <c r="X473" s="12"/>
    </row>
    <row r="474">
      <c r="A474" s="175"/>
      <c r="B474" s="175"/>
      <c r="C474" s="176"/>
      <c r="D474" s="175"/>
      <c r="E474" s="175"/>
      <c r="F474" s="12"/>
      <c r="G474" s="12"/>
      <c r="H474" s="175"/>
      <c r="I474" s="12"/>
      <c r="J474" s="12"/>
      <c r="K474" s="175"/>
      <c r="L474" s="175"/>
      <c r="M474" s="175"/>
      <c r="N474" s="175"/>
      <c r="O474" s="175"/>
      <c r="P474" s="12"/>
      <c r="Q474" s="175"/>
      <c r="R474" s="12"/>
      <c r="S474" s="12"/>
      <c r="T474" s="175"/>
      <c r="U474" s="179"/>
      <c r="V474" s="208"/>
      <c r="W474" s="12"/>
      <c r="X474" s="12"/>
    </row>
    <row r="475">
      <c r="A475" s="175"/>
      <c r="B475" s="175"/>
      <c r="C475" s="176"/>
      <c r="D475" s="175"/>
      <c r="E475" s="175"/>
      <c r="F475" s="12"/>
      <c r="G475" s="12"/>
      <c r="H475" s="175"/>
      <c r="I475" s="12"/>
      <c r="J475" s="12"/>
      <c r="K475" s="175"/>
      <c r="L475" s="175"/>
      <c r="M475" s="175"/>
      <c r="N475" s="175"/>
      <c r="O475" s="175"/>
      <c r="P475" s="12"/>
      <c r="Q475" s="175"/>
      <c r="R475" s="12"/>
      <c r="S475" s="12"/>
      <c r="T475" s="175"/>
      <c r="U475" s="179"/>
      <c r="V475" s="208"/>
      <c r="W475" s="12"/>
      <c r="X475" s="12"/>
    </row>
    <row r="476">
      <c r="A476" s="175"/>
      <c r="B476" s="175"/>
      <c r="C476" s="176"/>
      <c r="D476" s="175"/>
      <c r="E476" s="175"/>
      <c r="F476" s="12"/>
      <c r="G476" s="12"/>
      <c r="H476" s="175"/>
      <c r="I476" s="12"/>
      <c r="J476" s="12"/>
      <c r="K476" s="175"/>
      <c r="L476" s="175"/>
      <c r="M476" s="175"/>
      <c r="N476" s="175"/>
      <c r="O476" s="175"/>
      <c r="P476" s="12"/>
      <c r="Q476" s="175"/>
      <c r="R476" s="12"/>
      <c r="S476" s="12"/>
      <c r="T476" s="175"/>
      <c r="U476" s="179"/>
      <c r="V476" s="208"/>
      <c r="W476" s="12"/>
      <c r="X476" s="12"/>
    </row>
    <row r="477">
      <c r="A477" s="175"/>
      <c r="B477" s="175"/>
      <c r="C477" s="176"/>
      <c r="D477" s="175"/>
      <c r="E477" s="175"/>
      <c r="F477" s="12"/>
      <c r="G477" s="12"/>
      <c r="H477" s="175"/>
      <c r="I477" s="12"/>
      <c r="J477" s="12"/>
      <c r="K477" s="175"/>
      <c r="L477" s="175"/>
      <c r="M477" s="175"/>
      <c r="N477" s="175"/>
      <c r="O477" s="175"/>
      <c r="P477" s="12"/>
      <c r="Q477" s="175"/>
      <c r="R477" s="12"/>
      <c r="S477" s="12"/>
      <c r="T477" s="175"/>
      <c r="U477" s="179"/>
      <c r="V477" s="208"/>
      <c r="W477" s="12"/>
      <c r="X477" s="12"/>
    </row>
    <row r="478">
      <c r="A478" s="175"/>
      <c r="B478" s="175"/>
      <c r="C478" s="176"/>
      <c r="D478" s="175"/>
      <c r="E478" s="175"/>
      <c r="F478" s="12"/>
      <c r="G478" s="12"/>
      <c r="H478" s="175"/>
      <c r="I478" s="12"/>
      <c r="J478" s="12"/>
      <c r="K478" s="175"/>
      <c r="L478" s="175"/>
      <c r="M478" s="175"/>
      <c r="N478" s="175"/>
      <c r="O478" s="175"/>
      <c r="P478" s="12"/>
      <c r="Q478" s="175"/>
      <c r="R478" s="12"/>
      <c r="S478" s="12"/>
      <c r="T478" s="175"/>
      <c r="U478" s="179"/>
      <c r="V478" s="208"/>
      <c r="W478" s="12"/>
      <c r="X478" s="12"/>
    </row>
    <row r="479">
      <c r="A479" s="175"/>
      <c r="B479" s="175"/>
      <c r="C479" s="176"/>
      <c r="D479" s="175"/>
      <c r="E479" s="175"/>
      <c r="F479" s="12"/>
      <c r="G479" s="12"/>
      <c r="H479" s="175"/>
      <c r="I479" s="12"/>
      <c r="J479" s="12"/>
      <c r="K479" s="175"/>
      <c r="L479" s="175"/>
      <c r="M479" s="175"/>
      <c r="N479" s="175"/>
      <c r="O479" s="175"/>
      <c r="P479" s="12"/>
      <c r="Q479" s="175"/>
      <c r="R479" s="12"/>
      <c r="S479" s="12"/>
      <c r="T479" s="175"/>
      <c r="U479" s="179"/>
      <c r="V479" s="208"/>
      <c r="W479" s="12"/>
      <c r="X479" s="12"/>
    </row>
    <row r="480">
      <c r="A480" s="175"/>
      <c r="B480" s="175"/>
      <c r="C480" s="176"/>
      <c r="D480" s="175"/>
      <c r="E480" s="175"/>
      <c r="F480" s="12"/>
      <c r="G480" s="12"/>
      <c r="H480" s="175"/>
      <c r="I480" s="12"/>
      <c r="J480" s="12"/>
      <c r="K480" s="175"/>
      <c r="L480" s="175"/>
      <c r="M480" s="175"/>
      <c r="N480" s="175"/>
      <c r="O480" s="175"/>
      <c r="P480" s="12"/>
      <c r="Q480" s="175"/>
      <c r="R480" s="12"/>
      <c r="S480" s="12"/>
      <c r="T480" s="175"/>
      <c r="U480" s="179"/>
      <c r="V480" s="208"/>
      <c r="W480" s="12"/>
      <c r="X480" s="12"/>
    </row>
    <row r="481">
      <c r="A481" s="175"/>
      <c r="B481" s="175"/>
      <c r="C481" s="176"/>
      <c r="D481" s="175"/>
      <c r="E481" s="175"/>
      <c r="F481" s="12"/>
      <c r="G481" s="12"/>
      <c r="H481" s="175"/>
      <c r="I481" s="12"/>
      <c r="J481" s="12"/>
      <c r="K481" s="175"/>
      <c r="L481" s="175"/>
      <c r="M481" s="175"/>
      <c r="N481" s="175"/>
      <c r="O481" s="175"/>
      <c r="P481" s="12"/>
      <c r="Q481" s="175"/>
      <c r="R481" s="12"/>
      <c r="S481" s="12"/>
      <c r="T481" s="175"/>
      <c r="U481" s="179"/>
      <c r="V481" s="208"/>
      <c r="W481" s="12"/>
      <c r="X481" s="12"/>
    </row>
    <row r="482">
      <c r="A482" s="175"/>
      <c r="B482" s="175"/>
      <c r="C482" s="176"/>
      <c r="D482" s="175"/>
      <c r="E482" s="175"/>
      <c r="F482" s="12"/>
      <c r="G482" s="12"/>
      <c r="H482" s="175"/>
      <c r="I482" s="12"/>
      <c r="J482" s="12"/>
      <c r="K482" s="175"/>
      <c r="L482" s="175"/>
      <c r="M482" s="175"/>
      <c r="N482" s="175"/>
      <c r="O482" s="175"/>
      <c r="P482" s="12"/>
      <c r="Q482" s="175"/>
      <c r="R482" s="12"/>
      <c r="S482" s="12"/>
      <c r="T482" s="175"/>
      <c r="U482" s="179"/>
      <c r="V482" s="208"/>
      <c r="W482" s="12"/>
      <c r="X482" s="12"/>
    </row>
    <row r="483">
      <c r="A483" s="175"/>
      <c r="B483" s="175"/>
      <c r="C483" s="176"/>
      <c r="D483" s="175"/>
      <c r="E483" s="175"/>
      <c r="F483" s="12"/>
      <c r="G483" s="12"/>
      <c r="H483" s="175"/>
      <c r="I483" s="12"/>
      <c r="J483" s="12"/>
      <c r="K483" s="175"/>
      <c r="L483" s="175"/>
      <c r="M483" s="175"/>
      <c r="N483" s="175"/>
      <c r="O483" s="175"/>
      <c r="P483" s="12"/>
      <c r="Q483" s="175"/>
      <c r="R483" s="12"/>
      <c r="S483" s="12"/>
      <c r="T483" s="175"/>
      <c r="U483" s="179"/>
      <c r="V483" s="208"/>
      <c r="W483" s="12"/>
      <c r="X483" s="12"/>
    </row>
    <row r="484">
      <c r="A484" s="175"/>
      <c r="B484" s="175"/>
      <c r="C484" s="176"/>
      <c r="D484" s="175"/>
      <c r="E484" s="175"/>
      <c r="F484" s="12"/>
      <c r="G484" s="12"/>
      <c r="H484" s="175"/>
      <c r="I484" s="12"/>
      <c r="J484" s="12"/>
      <c r="K484" s="175"/>
      <c r="L484" s="175"/>
      <c r="M484" s="175"/>
      <c r="N484" s="175"/>
      <c r="O484" s="175"/>
      <c r="P484" s="12"/>
      <c r="Q484" s="175"/>
      <c r="R484" s="12"/>
      <c r="S484" s="12"/>
      <c r="T484" s="175"/>
      <c r="U484" s="179"/>
      <c r="V484" s="208"/>
      <c r="W484" s="12"/>
      <c r="X484" s="12"/>
    </row>
    <row r="485">
      <c r="A485" s="175"/>
      <c r="B485" s="175"/>
      <c r="C485" s="176"/>
      <c r="D485" s="175"/>
      <c r="E485" s="175"/>
      <c r="F485" s="12"/>
      <c r="G485" s="12"/>
      <c r="H485" s="175"/>
      <c r="I485" s="12"/>
      <c r="J485" s="12"/>
      <c r="K485" s="175"/>
      <c r="L485" s="175"/>
      <c r="M485" s="175"/>
      <c r="N485" s="175"/>
      <c r="O485" s="175"/>
      <c r="P485" s="12"/>
      <c r="Q485" s="175"/>
      <c r="R485" s="12"/>
      <c r="S485" s="12"/>
      <c r="T485" s="175"/>
      <c r="U485" s="179"/>
      <c r="V485" s="208"/>
      <c r="W485" s="12"/>
      <c r="X485" s="12"/>
    </row>
    <row r="486">
      <c r="A486" s="175"/>
      <c r="B486" s="175"/>
      <c r="C486" s="176"/>
      <c r="D486" s="175"/>
      <c r="E486" s="175"/>
      <c r="F486" s="12"/>
      <c r="G486" s="12"/>
      <c r="H486" s="175"/>
      <c r="I486" s="12"/>
      <c r="J486" s="12"/>
      <c r="K486" s="175"/>
      <c r="L486" s="175"/>
      <c r="M486" s="175"/>
      <c r="N486" s="175"/>
      <c r="O486" s="175"/>
      <c r="P486" s="12"/>
      <c r="Q486" s="175"/>
      <c r="R486" s="12"/>
      <c r="S486" s="12"/>
      <c r="T486" s="175"/>
      <c r="U486" s="179"/>
      <c r="V486" s="208"/>
      <c r="W486" s="12"/>
      <c r="X486" s="12"/>
    </row>
    <row r="487">
      <c r="A487" s="175"/>
      <c r="B487" s="175"/>
      <c r="C487" s="176"/>
      <c r="D487" s="175"/>
      <c r="E487" s="175"/>
      <c r="F487" s="12"/>
      <c r="G487" s="12"/>
      <c r="H487" s="175"/>
      <c r="I487" s="12"/>
      <c r="J487" s="12"/>
      <c r="K487" s="175"/>
      <c r="L487" s="175"/>
      <c r="M487" s="175"/>
      <c r="N487" s="175"/>
      <c r="O487" s="175"/>
      <c r="P487" s="12"/>
      <c r="Q487" s="175"/>
      <c r="R487" s="12"/>
      <c r="S487" s="12"/>
      <c r="T487" s="175"/>
      <c r="U487" s="179"/>
      <c r="V487" s="208"/>
      <c r="W487" s="12"/>
      <c r="X487" s="12"/>
    </row>
    <row r="488">
      <c r="A488" s="175"/>
      <c r="B488" s="175"/>
      <c r="C488" s="176"/>
      <c r="D488" s="175"/>
      <c r="E488" s="175"/>
      <c r="F488" s="12"/>
      <c r="G488" s="12"/>
      <c r="H488" s="175"/>
      <c r="I488" s="12"/>
      <c r="J488" s="12"/>
      <c r="K488" s="175"/>
      <c r="L488" s="175"/>
      <c r="M488" s="175"/>
      <c r="N488" s="175"/>
      <c r="O488" s="175"/>
      <c r="P488" s="12"/>
      <c r="Q488" s="175"/>
      <c r="R488" s="12"/>
      <c r="S488" s="12"/>
      <c r="T488" s="175"/>
      <c r="U488" s="179"/>
      <c r="V488" s="208"/>
      <c r="W488" s="12"/>
      <c r="X488" s="12"/>
    </row>
    <row r="489">
      <c r="A489" s="175"/>
      <c r="B489" s="175"/>
      <c r="C489" s="176"/>
      <c r="D489" s="175"/>
      <c r="E489" s="175"/>
      <c r="F489" s="12"/>
      <c r="G489" s="12"/>
      <c r="H489" s="175"/>
      <c r="I489" s="12"/>
      <c r="J489" s="12"/>
      <c r="K489" s="175"/>
      <c r="L489" s="175"/>
      <c r="M489" s="175"/>
      <c r="N489" s="175"/>
      <c r="O489" s="175"/>
      <c r="P489" s="12"/>
      <c r="Q489" s="175"/>
      <c r="R489" s="12"/>
      <c r="S489" s="12"/>
      <c r="T489" s="175"/>
      <c r="U489" s="179"/>
      <c r="V489" s="208"/>
      <c r="W489" s="12"/>
      <c r="X489" s="12"/>
    </row>
    <row r="490">
      <c r="A490" s="175"/>
      <c r="B490" s="175"/>
      <c r="C490" s="176"/>
      <c r="D490" s="175"/>
      <c r="E490" s="175"/>
      <c r="F490" s="12"/>
      <c r="G490" s="12"/>
      <c r="H490" s="175"/>
      <c r="I490" s="12"/>
      <c r="J490" s="12"/>
      <c r="K490" s="175"/>
      <c r="L490" s="175"/>
      <c r="M490" s="175"/>
      <c r="N490" s="175"/>
      <c r="O490" s="175"/>
      <c r="P490" s="12"/>
      <c r="Q490" s="175"/>
      <c r="R490" s="12"/>
      <c r="S490" s="12"/>
      <c r="T490" s="175"/>
      <c r="U490" s="179"/>
      <c r="V490" s="208"/>
      <c r="W490" s="12"/>
      <c r="X490" s="12"/>
    </row>
    <row r="491">
      <c r="A491" s="175"/>
      <c r="B491" s="175"/>
      <c r="C491" s="176"/>
      <c r="D491" s="175"/>
      <c r="E491" s="175"/>
      <c r="F491" s="12"/>
      <c r="G491" s="12"/>
      <c r="H491" s="175"/>
      <c r="I491" s="12"/>
      <c r="J491" s="12"/>
      <c r="K491" s="175"/>
      <c r="L491" s="175"/>
      <c r="M491" s="175"/>
      <c r="N491" s="175"/>
      <c r="O491" s="175"/>
      <c r="P491" s="12"/>
      <c r="Q491" s="175"/>
      <c r="R491" s="12"/>
      <c r="S491" s="12"/>
      <c r="T491" s="175"/>
      <c r="U491" s="179"/>
      <c r="V491" s="208"/>
      <c r="W491" s="12"/>
      <c r="X491" s="12"/>
    </row>
    <row r="492">
      <c r="A492" s="175"/>
      <c r="B492" s="175"/>
      <c r="C492" s="176"/>
      <c r="D492" s="175"/>
      <c r="E492" s="175"/>
      <c r="F492" s="12"/>
      <c r="G492" s="12"/>
      <c r="H492" s="175"/>
      <c r="I492" s="12"/>
      <c r="J492" s="12"/>
      <c r="K492" s="175"/>
      <c r="L492" s="175"/>
      <c r="M492" s="175"/>
      <c r="N492" s="175"/>
      <c r="O492" s="175"/>
      <c r="P492" s="12"/>
      <c r="Q492" s="175"/>
      <c r="R492" s="12"/>
      <c r="S492" s="12"/>
      <c r="T492" s="175"/>
      <c r="U492" s="179"/>
      <c r="V492" s="208"/>
      <c r="W492" s="12"/>
      <c r="X492" s="12"/>
    </row>
    <row r="493">
      <c r="A493" s="175"/>
      <c r="B493" s="175"/>
      <c r="C493" s="176"/>
      <c r="D493" s="175"/>
      <c r="E493" s="175"/>
      <c r="F493" s="12"/>
      <c r="G493" s="12"/>
      <c r="H493" s="175"/>
      <c r="I493" s="12"/>
      <c r="J493" s="12"/>
      <c r="K493" s="175"/>
      <c r="L493" s="175"/>
      <c r="M493" s="175"/>
      <c r="N493" s="175"/>
      <c r="O493" s="175"/>
      <c r="P493" s="12"/>
      <c r="Q493" s="175"/>
      <c r="R493" s="12"/>
      <c r="S493" s="12"/>
      <c r="T493" s="175"/>
      <c r="U493" s="179"/>
      <c r="V493" s="208"/>
      <c r="W493" s="12"/>
      <c r="X493" s="12"/>
    </row>
    <row r="494">
      <c r="A494" s="175"/>
      <c r="B494" s="175"/>
      <c r="C494" s="176"/>
      <c r="D494" s="175"/>
      <c r="E494" s="175"/>
      <c r="F494" s="12"/>
      <c r="G494" s="12"/>
      <c r="H494" s="175"/>
      <c r="I494" s="12"/>
      <c r="J494" s="12"/>
      <c r="K494" s="175"/>
      <c r="L494" s="175"/>
      <c r="M494" s="175"/>
      <c r="N494" s="175"/>
      <c r="O494" s="175"/>
      <c r="P494" s="12"/>
      <c r="Q494" s="175"/>
      <c r="R494" s="12"/>
      <c r="S494" s="12"/>
      <c r="T494" s="175"/>
      <c r="U494" s="179"/>
      <c r="V494" s="208"/>
      <c r="W494" s="12"/>
      <c r="X494" s="12"/>
    </row>
    <row r="495">
      <c r="A495" s="175"/>
      <c r="B495" s="175"/>
      <c r="C495" s="176"/>
      <c r="D495" s="175"/>
      <c r="E495" s="175"/>
      <c r="F495" s="12"/>
      <c r="G495" s="12"/>
      <c r="H495" s="175"/>
      <c r="I495" s="12"/>
      <c r="J495" s="12"/>
      <c r="K495" s="175"/>
      <c r="L495" s="175"/>
      <c r="M495" s="175"/>
      <c r="N495" s="175"/>
      <c r="O495" s="175"/>
      <c r="P495" s="12"/>
      <c r="Q495" s="175"/>
      <c r="R495" s="12"/>
      <c r="S495" s="12"/>
      <c r="T495" s="175"/>
      <c r="U495" s="179"/>
      <c r="V495" s="208"/>
      <c r="W495" s="12"/>
      <c r="X495" s="12"/>
    </row>
    <row r="496">
      <c r="A496" s="175"/>
      <c r="B496" s="175"/>
      <c r="C496" s="176"/>
      <c r="D496" s="175"/>
      <c r="E496" s="175"/>
      <c r="F496" s="12"/>
      <c r="G496" s="12"/>
      <c r="H496" s="175"/>
      <c r="I496" s="12"/>
      <c r="J496" s="12"/>
      <c r="K496" s="175"/>
      <c r="L496" s="175"/>
      <c r="M496" s="175"/>
      <c r="N496" s="175"/>
      <c r="O496" s="175"/>
      <c r="P496" s="12"/>
      <c r="Q496" s="175"/>
      <c r="R496" s="12"/>
      <c r="S496" s="12"/>
      <c r="T496" s="175"/>
      <c r="U496" s="179"/>
      <c r="V496" s="208"/>
      <c r="W496" s="12"/>
      <c r="X496" s="12"/>
    </row>
    <row r="497">
      <c r="A497" s="175"/>
      <c r="B497" s="175"/>
      <c r="C497" s="176"/>
      <c r="D497" s="175"/>
      <c r="E497" s="175"/>
      <c r="F497" s="12"/>
      <c r="G497" s="12"/>
      <c r="H497" s="175"/>
      <c r="I497" s="12"/>
      <c r="J497" s="12"/>
      <c r="K497" s="175"/>
      <c r="L497" s="175"/>
      <c r="M497" s="175"/>
      <c r="N497" s="175"/>
      <c r="O497" s="175"/>
      <c r="P497" s="12"/>
      <c r="Q497" s="175"/>
      <c r="R497" s="12"/>
      <c r="S497" s="12"/>
      <c r="T497" s="175"/>
      <c r="U497" s="179"/>
      <c r="V497" s="208"/>
      <c r="W497" s="12"/>
      <c r="X497" s="12"/>
    </row>
    <row r="498">
      <c r="A498" s="175"/>
      <c r="B498" s="175"/>
      <c r="C498" s="176"/>
      <c r="D498" s="175"/>
      <c r="E498" s="175"/>
      <c r="F498" s="12"/>
      <c r="G498" s="12"/>
      <c r="H498" s="175"/>
      <c r="I498" s="12"/>
      <c r="J498" s="12"/>
      <c r="K498" s="175"/>
      <c r="L498" s="175"/>
      <c r="M498" s="175"/>
      <c r="N498" s="175"/>
      <c r="O498" s="175"/>
      <c r="P498" s="12"/>
      <c r="Q498" s="175"/>
      <c r="R498" s="12"/>
      <c r="S498" s="12"/>
      <c r="T498" s="175"/>
      <c r="U498" s="179"/>
      <c r="V498" s="208"/>
      <c r="W498" s="12"/>
      <c r="X498" s="12"/>
    </row>
    <row r="499">
      <c r="A499" s="175"/>
      <c r="B499" s="175"/>
      <c r="C499" s="176"/>
      <c r="D499" s="175"/>
      <c r="E499" s="175"/>
      <c r="F499" s="12"/>
      <c r="G499" s="12"/>
      <c r="H499" s="175"/>
      <c r="I499" s="12"/>
      <c r="J499" s="12"/>
      <c r="K499" s="175"/>
      <c r="L499" s="175"/>
      <c r="M499" s="175"/>
      <c r="N499" s="175"/>
      <c r="O499" s="175"/>
      <c r="P499" s="12"/>
      <c r="Q499" s="175"/>
      <c r="R499" s="12"/>
      <c r="S499" s="12"/>
      <c r="T499" s="175"/>
      <c r="U499" s="179"/>
      <c r="V499" s="208"/>
      <c r="W499" s="12"/>
      <c r="X499" s="12"/>
    </row>
    <row r="500">
      <c r="A500" s="175"/>
      <c r="B500" s="175"/>
      <c r="C500" s="176"/>
      <c r="D500" s="175"/>
      <c r="E500" s="175"/>
      <c r="F500" s="12"/>
      <c r="G500" s="12"/>
      <c r="H500" s="175"/>
      <c r="I500" s="12"/>
      <c r="J500" s="12"/>
      <c r="K500" s="175"/>
      <c r="L500" s="175"/>
      <c r="M500" s="175"/>
      <c r="N500" s="175"/>
      <c r="O500" s="175"/>
      <c r="P500" s="12"/>
      <c r="Q500" s="175"/>
      <c r="R500" s="12"/>
      <c r="S500" s="12"/>
      <c r="T500" s="175"/>
      <c r="U500" s="179"/>
      <c r="V500" s="208"/>
      <c r="W500" s="12"/>
      <c r="X500" s="12"/>
    </row>
    <row r="501">
      <c r="A501" s="175"/>
      <c r="B501" s="175"/>
      <c r="C501" s="176"/>
      <c r="D501" s="175"/>
      <c r="E501" s="175"/>
      <c r="F501" s="12"/>
      <c r="G501" s="12"/>
      <c r="H501" s="175"/>
      <c r="I501" s="12"/>
      <c r="J501" s="12"/>
      <c r="K501" s="175"/>
      <c r="L501" s="175"/>
      <c r="M501" s="175"/>
      <c r="N501" s="175"/>
      <c r="O501" s="175"/>
      <c r="P501" s="12"/>
      <c r="Q501" s="175"/>
      <c r="R501" s="12"/>
      <c r="S501" s="12"/>
      <c r="T501" s="175"/>
      <c r="U501" s="179"/>
      <c r="V501" s="208"/>
      <c r="W501" s="12"/>
      <c r="X501" s="12"/>
    </row>
    <row r="502">
      <c r="A502" s="175"/>
      <c r="B502" s="175"/>
      <c r="C502" s="176"/>
      <c r="D502" s="175"/>
      <c r="E502" s="175"/>
      <c r="F502" s="12"/>
      <c r="G502" s="12"/>
      <c r="H502" s="175"/>
      <c r="I502" s="12"/>
      <c r="J502" s="12"/>
      <c r="K502" s="175"/>
      <c r="L502" s="175"/>
      <c r="M502" s="175"/>
      <c r="N502" s="175"/>
      <c r="O502" s="175"/>
      <c r="P502" s="12"/>
      <c r="Q502" s="175"/>
      <c r="R502" s="12"/>
      <c r="S502" s="12"/>
      <c r="T502" s="175"/>
      <c r="U502" s="179"/>
      <c r="V502" s="208"/>
      <c r="W502" s="12"/>
      <c r="X502" s="12"/>
    </row>
    <row r="503">
      <c r="A503" s="175"/>
      <c r="B503" s="175"/>
      <c r="C503" s="176"/>
      <c r="D503" s="175"/>
      <c r="E503" s="175"/>
      <c r="F503" s="12"/>
      <c r="G503" s="12"/>
      <c r="H503" s="175"/>
      <c r="I503" s="12"/>
      <c r="J503" s="12"/>
      <c r="K503" s="175"/>
      <c r="L503" s="175"/>
      <c r="M503" s="175"/>
      <c r="N503" s="175"/>
      <c r="O503" s="175"/>
      <c r="P503" s="12"/>
      <c r="Q503" s="175"/>
      <c r="R503" s="12"/>
      <c r="S503" s="12"/>
      <c r="T503" s="175"/>
      <c r="U503" s="179"/>
      <c r="V503" s="208"/>
      <c r="W503" s="12"/>
      <c r="X503" s="12"/>
    </row>
    <row r="504">
      <c r="A504" s="175"/>
      <c r="B504" s="175"/>
      <c r="C504" s="176"/>
      <c r="D504" s="175"/>
      <c r="E504" s="175"/>
      <c r="F504" s="12"/>
      <c r="G504" s="12"/>
      <c r="H504" s="175"/>
      <c r="I504" s="12"/>
      <c r="J504" s="12"/>
      <c r="K504" s="175"/>
      <c r="L504" s="175"/>
      <c r="M504" s="175"/>
      <c r="N504" s="175"/>
      <c r="O504" s="175"/>
      <c r="P504" s="12"/>
      <c r="Q504" s="175"/>
      <c r="R504" s="12"/>
      <c r="S504" s="12"/>
      <c r="T504" s="175"/>
      <c r="U504" s="179"/>
      <c r="V504" s="208"/>
      <c r="W504" s="12"/>
      <c r="X504" s="12"/>
    </row>
    <row r="505">
      <c r="A505" s="175"/>
      <c r="B505" s="175"/>
      <c r="C505" s="176"/>
      <c r="D505" s="175"/>
      <c r="E505" s="175"/>
      <c r="F505" s="12"/>
      <c r="G505" s="12"/>
      <c r="H505" s="175"/>
      <c r="I505" s="12"/>
      <c r="J505" s="12"/>
      <c r="K505" s="175"/>
      <c r="L505" s="175"/>
      <c r="M505" s="175"/>
      <c r="N505" s="175"/>
      <c r="O505" s="175"/>
      <c r="P505" s="12"/>
      <c r="Q505" s="175"/>
      <c r="R505" s="12"/>
      <c r="S505" s="12"/>
      <c r="T505" s="175"/>
      <c r="U505" s="179"/>
      <c r="V505" s="208"/>
      <c r="W505" s="12"/>
      <c r="X505" s="12"/>
    </row>
    <row r="506">
      <c r="A506" s="175"/>
      <c r="B506" s="175"/>
      <c r="C506" s="176"/>
      <c r="D506" s="175"/>
      <c r="E506" s="175"/>
      <c r="F506" s="12"/>
      <c r="G506" s="12"/>
      <c r="H506" s="175"/>
      <c r="I506" s="12"/>
      <c r="J506" s="12"/>
      <c r="K506" s="175"/>
      <c r="L506" s="175"/>
      <c r="M506" s="175"/>
      <c r="N506" s="175"/>
      <c r="O506" s="175"/>
      <c r="P506" s="12"/>
      <c r="Q506" s="175"/>
      <c r="R506" s="12"/>
      <c r="S506" s="12"/>
      <c r="T506" s="175"/>
      <c r="U506" s="179"/>
      <c r="V506" s="208"/>
      <c r="W506" s="12"/>
      <c r="X506" s="12"/>
    </row>
    <row r="507">
      <c r="A507" s="175"/>
      <c r="B507" s="175"/>
      <c r="C507" s="176"/>
      <c r="D507" s="175"/>
      <c r="E507" s="175"/>
      <c r="F507" s="12"/>
      <c r="G507" s="12"/>
      <c r="H507" s="175"/>
      <c r="I507" s="12"/>
      <c r="J507" s="12"/>
      <c r="K507" s="175"/>
      <c r="L507" s="175"/>
      <c r="M507" s="175"/>
      <c r="N507" s="175"/>
      <c r="O507" s="175"/>
      <c r="P507" s="12"/>
      <c r="Q507" s="175"/>
      <c r="R507" s="12"/>
      <c r="S507" s="12"/>
      <c r="T507" s="175"/>
      <c r="U507" s="179"/>
      <c r="V507" s="208"/>
      <c r="W507" s="12"/>
      <c r="X507" s="12"/>
    </row>
    <row r="508">
      <c r="A508" s="175"/>
      <c r="B508" s="175"/>
      <c r="C508" s="176"/>
      <c r="D508" s="175"/>
      <c r="E508" s="175"/>
      <c r="F508" s="12"/>
      <c r="G508" s="12"/>
      <c r="H508" s="175"/>
      <c r="I508" s="12"/>
      <c r="J508" s="12"/>
      <c r="K508" s="175"/>
      <c r="L508" s="175"/>
      <c r="M508" s="175"/>
      <c r="N508" s="175"/>
      <c r="O508" s="175"/>
      <c r="P508" s="12"/>
      <c r="Q508" s="175"/>
      <c r="R508" s="12"/>
      <c r="S508" s="12"/>
      <c r="T508" s="175"/>
      <c r="U508" s="179"/>
      <c r="V508" s="208"/>
      <c r="W508" s="12"/>
      <c r="X508" s="12"/>
    </row>
    <row r="509">
      <c r="A509" s="175"/>
      <c r="B509" s="175"/>
      <c r="C509" s="176"/>
      <c r="D509" s="175"/>
      <c r="E509" s="175"/>
      <c r="F509" s="12"/>
      <c r="G509" s="12"/>
      <c r="H509" s="175"/>
      <c r="I509" s="12"/>
      <c r="J509" s="12"/>
      <c r="K509" s="175"/>
      <c r="L509" s="175"/>
      <c r="M509" s="175"/>
      <c r="N509" s="175"/>
      <c r="O509" s="175"/>
      <c r="P509" s="12"/>
      <c r="Q509" s="175"/>
      <c r="R509" s="12"/>
      <c r="S509" s="12"/>
      <c r="T509" s="175"/>
      <c r="U509" s="179"/>
      <c r="V509" s="208"/>
      <c r="W509" s="12"/>
      <c r="X509" s="12"/>
    </row>
    <row r="510">
      <c r="A510" s="175"/>
      <c r="B510" s="175"/>
      <c r="C510" s="176"/>
      <c r="D510" s="175"/>
      <c r="E510" s="175"/>
      <c r="F510" s="12"/>
      <c r="G510" s="12"/>
      <c r="H510" s="175"/>
      <c r="I510" s="12"/>
      <c r="J510" s="12"/>
      <c r="K510" s="175"/>
      <c r="L510" s="175"/>
      <c r="M510" s="175"/>
      <c r="N510" s="175"/>
      <c r="O510" s="175"/>
      <c r="P510" s="12"/>
      <c r="Q510" s="175"/>
      <c r="R510" s="12"/>
      <c r="S510" s="12"/>
      <c r="T510" s="175"/>
      <c r="U510" s="179"/>
      <c r="V510" s="208"/>
      <c r="W510" s="12"/>
      <c r="X510" s="12"/>
    </row>
    <row r="511">
      <c r="A511" s="175"/>
      <c r="B511" s="175"/>
      <c r="C511" s="176"/>
      <c r="D511" s="175"/>
      <c r="E511" s="175"/>
      <c r="F511" s="12"/>
      <c r="G511" s="12"/>
      <c r="H511" s="175"/>
      <c r="I511" s="12"/>
      <c r="J511" s="12"/>
      <c r="K511" s="175"/>
      <c r="L511" s="175"/>
      <c r="M511" s="175"/>
      <c r="N511" s="175"/>
      <c r="O511" s="175"/>
      <c r="P511" s="12"/>
      <c r="Q511" s="175"/>
      <c r="R511" s="12"/>
      <c r="S511" s="12"/>
      <c r="T511" s="175"/>
      <c r="U511" s="179"/>
      <c r="V511" s="208"/>
      <c r="W511" s="12"/>
      <c r="X511" s="12"/>
    </row>
    <row r="512">
      <c r="A512" s="175"/>
      <c r="B512" s="175"/>
      <c r="C512" s="176"/>
      <c r="D512" s="175"/>
      <c r="E512" s="175"/>
      <c r="F512" s="12"/>
      <c r="G512" s="12"/>
      <c r="H512" s="175"/>
      <c r="I512" s="12"/>
      <c r="J512" s="12"/>
      <c r="K512" s="175"/>
      <c r="L512" s="175"/>
      <c r="M512" s="175"/>
      <c r="N512" s="175"/>
      <c r="O512" s="175"/>
      <c r="P512" s="12"/>
      <c r="Q512" s="175"/>
      <c r="R512" s="12"/>
      <c r="S512" s="12"/>
      <c r="T512" s="175"/>
      <c r="U512" s="179"/>
      <c r="V512" s="208"/>
      <c r="W512" s="12"/>
      <c r="X512" s="12"/>
    </row>
    <row r="513">
      <c r="A513" s="175"/>
      <c r="B513" s="175"/>
      <c r="C513" s="176"/>
      <c r="D513" s="175"/>
      <c r="E513" s="175"/>
      <c r="F513" s="12"/>
      <c r="G513" s="12"/>
      <c r="H513" s="175"/>
      <c r="I513" s="12"/>
      <c r="J513" s="12"/>
      <c r="K513" s="175"/>
      <c r="L513" s="175"/>
      <c r="M513" s="175"/>
      <c r="N513" s="175"/>
      <c r="O513" s="175"/>
      <c r="P513" s="12"/>
      <c r="Q513" s="175"/>
      <c r="R513" s="12"/>
      <c r="S513" s="12"/>
      <c r="T513" s="175"/>
      <c r="U513" s="179"/>
      <c r="V513" s="208"/>
      <c r="W513" s="12"/>
      <c r="X513" s="12"/>
    </row>
    <row r="514">
      <c r="A514" s="175"/>
      <c r="B514" s="175"/>
      <c r="C514" s="176"/>
      <c r="D514" s="175"/>
      <c r="E514" s="175"/>
      <c r="F514" s="12"/>
      <c r="G514" s="12"/>
      <c r="H514" s="175"/>
      <c r="I514" s="12"/>
      <c r="J514" s="12"/>
      <c r="K514" s="175"/>
      <c r="L514" s="175"/>
      <c r="M514" s="175"/>
      <c r="N514" s="175"/>
      <c r="O514" s="175"/>
      <c r="P514" s="12"/>
      <c r="Q514" s="175"/>
      <c r="R514" s="12"/>
      <c r="S514" s="12"/>
      <c r="T514" s="175"/>
      <c r="U514" s="179"/>
      <c r="V514" s="208"/>
      <c r="W514" s="12"/>
      <c r="X514" s="12"/>
    </row>
    <row r="515">
      <c r="A515" s="175"/>
      <c r="B515" s="175"/>
      <c r="C515" s="176"/>
      <c r="D515" s="175"/>
      <c r="E515" s="175"/>
      <c r="F515" s="12"/>
      <c r="G515" s="12"/>
      <c r="H515" s="175"/>
      <c r="I515" s="12"/>
      <c r="J515" s="12"/>
      <c r="K515" s="175"/>
      <c r="L515" s="175"/>
      <c r="M515" s="175"/>
      <c r="N515" s="175"/>
      <c r="O515" s="175"/>
      <c r="P515" s="12"/>
      <c r="Q515" s="175"/>
      <c r="R515" s="12"/>
      <c r="S515" s="12"/>
      <c r="T515" s="175"/>
      <c r="U515" s="179"/>
      <c r="V515" s="208"/>
      <c r="W515" s="12"/>
      <c r="X515" s="12"/>
    </row>
    <row r="516">
      <c r="A516" s="175"/>
      <c r="B516" s="175"/>
      <c r="C516" s="176"/>
      <c r="D516" s="175"/>
      <c r="E516" s="175"/>
      <c r="F516" s="12"/>
      <c r="G516" s="12"/>
      <c r="H516" s="175"/>
      <c r="I516" s="12"/>
      <c r="J516" s="12"/>
      <c r="K516" s="175"/>
      <c r="L516" s="175"/>
      <c r="M516" s="175"/>
      <c r="N516" s="175"/>
      <c r="O516" s="175"/>
      <c r="P516" s="12"/>
      <c r="Q516" s="175"/>
      <c r="R516" s="12"/>
      <c r="S516" s="12"/>
      <c r="T516" s="175"/>
      <c r="U516" s="179"/>
      <c r="V516" s="208"/>
      <c r="W516" s="12"/>
      <c r="X516" s="12"/>
    </row>
    <row r="517">
      <c r="A517" s="175"/>
      <c r="B517" s="175"/>
      <c r="C517" s="176"/>
      <c r="D517" s="175"/>
      <c r="E517" s="175"/>
      <c r="F517" s="12"/>
      <c r="G517" s="12"/>
      <c r="H517" s="175"/>
      <c r="I517" s="12"/>
      <c r="J517" s="12"/>
      <c r="K517" s="175"/>
      <c r="L517" s="175"/>
      <c r="M517" s="175"/>
      <c r="N517" s="175"/>
      <c r="O517" s="175"/>
      <c r="P517" s="12"/>
      <c r="Q517" s="175"/>
      <c r="R517" s="12"/>
      <c r="S517" s="12"/>
      <c r="T517" s="175"/>
      <c r="U517" s="179"/>
      <c r="V517" s="208"/>
      <c r="W517" s="12"/>
      <c r="X517" s="12"/>
    </row>
    <row r="518">
      <c r="A518" s="175"/>
      <c r="B518" s="175"/>
      <c r="C518" s="176"/>
      <c r="D518" s="175"/>
      <c r="E518" s="175"/>
      <c r="F518" s="12"/>
      <c r="G518" s="12"/>
      <c r="H518" s="175"/>
      <c r="I518" s="12"/>
      <c r="J518" s="12"/>
      <c r="K518" s="175"/>
      <c r="L518" s="175"/>
      <c r="M518" s="175"/>
      <c r="N518" s="175"/>
      <c r="O518" s="175"/>
      <c r="P518" s="12"/>
      <c r="Q518" s="175"/>
      <c r="R518" s="12"/>
      <c r="S518" s="12"/>
      <c r="T518" s="175"/>
      <c r="U518" s="179"/>
      <c r="V518" s="208"/>
      <c r="W518" s="12"/>
      <c r="X518" s="12"/>
    </row>
    <row r="519">
      <c r="A519" s="175"/>
      <c r="B519" s="175"/>
      <c r="C519" s="176"/>
      <c r="D519" s="175"/>
      <c r="E519" s="175"/>
      <c r="F519" s="12"/>
      <c r="G519" s="12"/>
      <c r="H519" s="175"/>
      <c r="I519" s="12"/>
      <c r="J519" s="12"/>
      <c r="K519" s="175"/>
      <c r="L519" s="175"/>
      <c r="M519" s="175"/>
      <c r="N519" s="175"/>
      <c r="O519" s="175"/>
      <c r="P519" s="12"/>
      <c r="Q519" s="175"/>
      <c r="R519" s="12"/>
      <c r="S519" s="12"/>
      <c r="T519" s="175"/>
      <c r="U519" s="179"/>
      <c r="V519" s="208"/>
      <c r="W519" s="12"/>
      <c r="X519" s="12"/>
    </row>
    <row r="520">
      <c r="A520" s="175"/>
      <c r="B520" s="175"/>
      <c r="C520" s="176"/>
      <c r="D520" s="175"/>
      <c r="E520" s="175"/>
      <c r="F520" s="12"/>
      <c r="G520" s="12"/>
      <c r="H520" s="175"/>
      <c r="I520" s="12"/>
      <c r="J520" s="12"/>
      <c r="K520" s="175"/>
      <c r="L520" s="175"/>
      <c r="M520" s="175"/>
      <c r="N520" s="175"/>
      <c r="O520" s="175"/>
      <c r="P520" s="12"/>
      <c r="Q520" s="175"/>
      <c r="R520" s="12"/>
      <c r="S520" s="12"/>
      <c r="T520" s="175"/>
      <c r="U520" s="179"/>
      <c r="V520" s="208"/>
      <c r="W520" s="12"/>
      <c r="X520" s="12"/>
    </row>
    <row r="521">
      <c r="A521" s="175"/>
      <c r="B521" s="175"/>
      <c r="C521" s="176"/>
      <c r="D521" s="175"/>
      <c r="E521" s="175"/>
      <c r="F521" s="12"/>
      <c r="G521" s="12"/>
      <c r="H521" s="175"/>
      <c r="I521" s="12"/>
      <c r="J521" s="12"/>
      <c r="K521" s="175"/>
      <c r="L521" s="175"/>
      <c r="M521" s="175"/>
      <c r="N521" s="175"/>
      <c r="O521" s="175"/>
      <c r="P521" s="12"/>
      <c r="Q521" s="175"/>
      <c r="R521" s="12"/>
      <c r="S521" s="12"/>
      <c r="T521" s="175"/>
      <c r="U521" s="179"/>
      <c r="V521" s="208"/>
      <c r="W521" s="12"/>
      <c r="X521" s="12"/>
    </row>
    <row r="522">
      <c r="A522" s="175"/>
      <c r="B522" s="175"/>
      <c r="C522" s="176"/>
      <c r="D522" s="175"/>
      <c r="E522" s="175"/>
      <c r="F522" s="12"/>
      <c r="G522" s="12"/>
      <c r="H522" s="175"/>
      <c r="I522" s="12"/>
      <c r="J522" s="12"/>
      <c r="K522" s="175"/>
      <c r="L522" s="175"/>
      <c r="M522" s="175"/>
      <c r="N522" s="175"/>
      <c r="O522" s="175"/>
      <c r="P522" s="12"/>
      <c r="Q522" s="175"/>
      <c r="R522" s="12"/>
      <c r="S522" s="12"/>
      <c r="T522" s="175"/>
      <c r="U522" s="179"/>
      <c r="V522" s="208"/>
      <c r="W522" s="12"/>
      <c r="X522" s="12"/>
    </row>
    <row r="523">
      <c r="A523" s="175"/>
      <c r="B523" s="175"/>
      <c r="C523" s="176"/>
      <c r="D523" s="175"/>
      <c r="E523" s="175"/>
      <c r="F523" s="12"/>
      <c r="G523" s="12"/>
      <c r="H523" s="175"/>
      <c r="I523" s="12"/>
      <c r="J523" s="12"/>
      <c r="K523" s="175"/>
      <c r="L523" s="175"/>
      <c r="M523" s="175"/>
      <c r="N523" s="175"/>
      <c r="O523" s="175"/>
      <c r="P523" s="12"/>
      <c r="Q523" s="175"/>
      <c r="R523" s="12"/>
      <c r="S523" s="12"/>
      <c r="T523" s="175"/>
      <c r="U523" s="179"/>
      <c r="V523" s="208"/>
      <c r="W523" s="12"/>
      <c r="X523" s="12"/>
    </row>
    <row r="524">
      <c r="A524" s="175"/>
      <c r="B524" s="175"/>
      <c r="C524" s="176"/>
      <c r="D524" s="175"/>
      <c r="E524" s="175"/>
      <c r="F524" s="12"/>
      <c r="G524" s="12"/>
      <c r="H524" s="175"/>
      <c r="I524" s="12"/>
      <c r="J524" s="12"/>
      <c r="K524" s="175"/>
      <c r="L524" s="175"/>
      <c r="M524" s="175"/>
      <c r="N524" s="175"/>
      <c r="O524" s="175"/>
      <c r="P524" s="12"/>
      <c r="Q524" s="175"/>
      <c r="R524" s="12"/>
      <c r="S524" s="12"/>
      <c r="T524" s="175"/>
      <c r="U524" s="179"/>
      <c r="V524" s="208"/>
      <c r="W524" s="12"/>
      <c r="X524" s="12"/>
    </row>
    <row r="525">
      <c r="A525" s="175"/>
      <c r="B525" s="175"/>
      <c r="C525" s="176"/>
      <c r="D525" s="175"/>
      <c r="E525" s="175"/>
      <c r="F525" s="12"/>
      <c r="G525" s="12"/>
      <c r="H525" s="175"/>
      <c r="I525" s="12"/>
      <c r="J525" s="12"/>
      <c r="K525" s="175"/>
      <c r="L525" s="175"/>
      <c r="M525" s="175"/>
      <c r="N525" s="175"/>
      <c r="O525" s="175"/>
      <c r="P525" s="12"/>
      <c r="Q525" s="175"/>
      <c r="R525" s="12"/>
      <c r="S525" s="12"/>
      <c r="T525" s="175"/>
      <c r="U525" s="179"/>
      <c r="V525" s="208"/>
      <c r="W525" s="12"/>
      <c r="X525" s="12"/>
    </row>
    <row r="526">
      <c r="A526" s="175"/>
      <c r="B526" s="175"/>
      <c r="C526" s="176"/>
      <c r="D526" s="175"/>
      <c r="E526" s="175"/>
      <c r="F526" s="12"/>
      <c r="G526" s="12"/>
      <c r="H526" s="175"/>
      <c r="I526" s="12"/>
      <c r="J526" s="12"/>
      <c r="K526" s="175"/>
      <c r="L526" s="175"/>
      <c r="M526" s="175"/>
      <c r="N526" s="175"/>
      <c r="O526" s="175"/>
      <c r="P526" s="12"/>
      <c r="Q526" s="175"/>
      <c r="R526" s="12"/>
      <c r="S526" s="12"/>
      <c r="T526" s="175"/>
      <c r="U526" s="179"/>
      <c r="V526" s="208"/>
      <c r="W526" s="12"/>
      <c r="X526" s="12"/>
    </row>
    <row r="527">
      <c r="A527" s="175"/>
      <c r="B527" s="175"/>
      <c r="C527" s="176"/>
      <c r="D527" s="175"/>
      <c r="E527" s="175"/>
      <c r="F527" s="12"/>
      <c r="G527" s="12"/>
      <c r="H527" s="175"/>
      <c r="I527" s="12"/>
      <c r="J527" s="12"/>
      <c r="K527" s="175"/>
      <c r="L527" s="175"/>
      <c r="M527" s="175"/>
      <c r="N527" s="175"/>
      <c r="O527" s="175"/>
      <c r="P527" s="12"/>
      <c r="Q527" s="175"/>
      <c r="R527" s="12"/>
      <c r="S527" s="12"/>
      <c r="T527" s="175"/>
      <c r="U527" s="179"/>
      <c r="V527" s="208"/>
      <c r="W527" s="12"/>
      <c r="X527" s="12"/>
    </row>
    <row r="528">
      <c r="A528" s="175"/>
      <c r="B528" s="175"/>
      <c r="C528" s="176"/>
      <c r="D528" s="175"/>
      <c r="E528" s="175"/>
      <c r="F528" s="12"/>
      <c r="G528" s="12"/>
      <c r="H528" s="175"/>
      <c r="I528" s="12"/>
      <c r="J528" s="12"/>
      <c r="K528" s="175"/>
      <c r="L528" s="175"/>
      <c r="M528" s="175"/>
      <c r="N528" s="175"/>
      <c r="O528" s="175"/>
      <c r="P528" s="12"/>
      <c r="Q528" s="175"/>
      <c r="R528" s="12"/>
      <c r="S528" s="12"/>
      <c r="T528" s="175"/>
      <c r="U528" s="179"/>
      <c r="V528" s="208"/>
      <c r="W528" s="12"/>
      <c r="X528" s="12"/>
    </row>
    <row r="529">
      <c r="A529" s="175"/>
      <c r="B529" s="175"/>
      <c r="C529" s="176"/>
      <c r="D529" s="175"/>
      <c r="E529" s="175"/>
      <c r="F529" s="12"/>
      <c r="G529" s="12"/>
      <c r="H529" s="175"/>
      <c r="I529" s="12"/>
      <c r="J529" s="12"/>
      <c r="K529" s="175"/>
      <c r="L529" s="175"/>
      <c r="M529" s="175"/>
      <c r="N529" s="175"/>
      <c r="O529" s="175"/>
      <c r="P529" s="12"/>
      <c r="Q529" s="175"/>
      <c r="R529" s="12"/>
      <c r="S529" s="12"/>
      <c r="T529" s="175"/>
      <c r="U529" s="179"/>
      <c r="V529" s="208"/>
      <c r="W529" s="12"/>
      <c r="X529" s="12"/>
    </row>
    <row r="530">
      <c r="A530" s="175"/>
      <c r="B530" s="175"/>
      <c r="C530" s="176"/>
      <c r="D530" s="175"/>
      <c r="E530" s="175"/>
      <c r="F530" s="12"/>
      <c r="G530" s="12"/>
      <c r="H530" s="175"/>
      <c r="I530" s="12"/>
      <c r="J530" s="12"/>
      <c r="K530" s="175"/>
      <c r="L530" s="175"/>
      <c r="M530" s="175"/>
      <c r="N530" s="175"/>
      <c r="O530" s="175"/>
      <c r="P530" s="12"/>
      <c r="Q530" s="175"/>
      <c r="R530" s="12"/>
      <c r="S530" s="12"/>
      <c r="T530" s="175"/>
      <c r="U530" s="179"/>
      <c r="V530" s="208"/>
      <c r="W530" s="12"/>
      <c r="X530" s="12"/>
    </row>
    <row r="531">
      <c r="A531" s="175"/>
      <c r="B531" s="175"/>
      <c r="C531" s="176"/>
      <c r="D531" s="175"/>
      <c r="E531" s="175"/>
      <c r="F531" s="12"/>
      <c r="G531" s="12"/>
      <c r="H531" s="175"/>
      <c r="I531" s="12"/>
      <c r="J531" s="12"/>
      <c r="K531" s="175"/>
      <c r="L531" s="175"/>
      <c r="M531" s="175"/>
      <c r="N531" s="175"/>
      <c r="O531" s="175"/>
      <c r="P531" s="12"/>
      <c r="Q531" s="175"/>
      <c r="R531" s="12"/>
      <c r="S531" s="12"/>
      <c r="T531" s="175"/>
      <c r="U531" s="179"/>
      <c r="V531" s="208"/>
      <c r="W531" s="12"/>
      <c r="X531" s="12"/>
    </row>
    <row r="532">
      <c r="A532" s="175"/>
      <c r="B532" s="175"/>
      <c r="C532" s="176"/>
      <c r="D532" s="175"/>
      <c r="E532" s="175"/>
      <c r="F532" s="12"/>
      <c r="G532" s="12"/>
      <c r="H532" s="175"/>
      <c r="I532" s="12"/>
      <c r="J532" s="12"/>
      <c r="K532" s="175"/>
      <c r="L532" s="175"/>
      <c r="M532" s="175"/>
      <c r="N532" s="175"/>
      <c r="O532" s="175"/>
      <c r="P532" s="12"/>
      <c r="Q532" s="175"/>
      <c r="R532" s="12"/>
      <c r="S532" s="12"/>
      <c r="T532" s="175"/>
      <c r="U532" s="179"/>
      <c r="V532" s="208"/>
      <c r="W532" s="12"/>
      <c r="X532" s="12"/>
    </row>
    <row r="533">
      <c r="A533" s="175"/>
      <c r="B533" s="175"/>
      <c r="C533" s="176"/>
      <c r="D533" s="175"/>
      <c r="E533" s="175"/>
      <c r="F533" s="12"/>
      <c r="G533" s="12"/>
      <c r="H533" s="175"/>
      <c r="I533" s="12"/>
      <c r="J533" s="12"/>
      <c r="K533" s="175"/>
      <c r="L533" s="175"/>
      <c r="M533" s="175"/>
      <c r="N533" s="175"/>
      <c r="O533" s="175"/>
      <c r="P533" s="12"/>
      <c r="Q533" s="175"/>
      <c r="R533" s="12"/>
      <c r="S533" s="12"/>
      <c r="T533" s="175"/>
      <c r="U533" s="179"/>
      <c r="V533" s="208"/>
      <c r="W533" s="12"/>
      <c r="X533" s="12"/>
    </row>
    <row r="534">
      <c r="A534" s="175"/>
      <c r="B534" s="175"/>
      <c r="C534" s="176"/>
      <c r="D534" s="175"/>
      <c r="E534" s="175"/>
      <c r="F534" s="12"/>
      <c r="G534" s="12"/>
      <c r="H534" s="175"/>
      <c r="I534" s="12"/>
      <c r="J534" s="12"/>
      <c r="K534" s="175"/>
      <c r="L534" s="175"/>
      <c r="M534" s="175"/>
      <c r="N534" s="175"/>
      <c r="O534" s="175"/>
      <c r="P534" s="12"/>
      <c r="Q534" s="175"/>
      <c r="R534" s="12"/>
      <c r="S534" s="12"/>
      <c r="T534" s="175"/>
      <c r="U534" s="179"/>
      <c r="V534" s="208"/>
      <c r="W534" s="12"/>
      <c r="X534" s="12"/>
    </row>
    <row r="535">
      <c r="A535" s="175"/>
      <c r="B535" s="175"/>
      <c r="C535" s="176"/>
      <c r="D535" s="175"/>
      <c r="E535" s="175"/>
      <c r="F535" s="12"/>
      <c r="G535" s="12"/>
      <c r="H535" s="175"/>
      <c r="I535" s="12"/>
      <c r="J535" s="12"/>
      <c r="K535" s="175"/>
      <c r="L535" s="175"/>
      <c r="M535" s="175"/>
      <c r="N535" s="175"/>
      <c r="O535" s="175"/>
      <c r="P535" s="12"/>
      <c r="Q535" s="175"/>
      <c r="R535" s="12"/>
      <c r="S535" s="12"/>
      <c r="T535" s="175"/>
      <c r="U535" s="179"/>
      <c r="V535" s="208"/>
      <c r="W535" s="12"/>
      <c r="X535" s="12"/>
    </row>
    <row r="536">
      <c r="A536" s="175"/>
      <c r="B536" s="175"/>
      <c r="C536" s="176"/>
      <c r="D536" s="175"/>
      <c r="E536" s="175"/>
      <c r="F536" s="12"/>
      <c r="G536" s="12"/>
      <c r="H536" s="175"/>
      <c r="I536" s="12"/>
      <c r="J536" s="12"/>
      <c r="K536" s="175"/>
      <c r="L536" s="175"/>
      <c r="M536" s="175"/>
      <c r="N536" s="175"/>
      <c r="O536" s="175"/>
      <c r="P536" s="12"/>
      <c r="Q536" s="175"/>
      <c r="R536" s="12"/>
      <c r="S536" s="12"/>
      <c r="T536" s="175"/>
      <c r="U536" s="179"/>
      <c r="V536" s="208"/>
      <c r="W536" s="12"/>
      <c r="X536" s="12"/>
    </row>
    <row r="537">
      <c r="A537" s="175"/>
      <c r="B537" s="175"/>
      <c r="C537" s="176"/>
      <c r="D537" s="175"/>
      <c r="E537" s="175"/>
      <c r="F537" s="12"/>
      <c r="G537" s="12"/>
      <c r="H537" s="175"/>
      <c r="I537" s="12"/>
      <c r="J537" s="12"/>
      <c r="K537" s="175"/>
      <c r="L537" s="175"/>
      <c r="M537" s="175"/>
      <c r="N537" s="175"/>
      <c r="O537" s="175"/>
      <c r="P537" s="12"/>
      <c r="Q537" s="175"/>
      <c r="R537" s="12"/>
      <c r="S537" s="12"/>
      <c r="T537" s="175"/>
      <c r="U537" s="179"/>
      <c r="V537" s="208"/>
      <c r="W537" s="12"/>
      <c r="X537" s="12"/>
    </row>
    <row r="538">
      <c r="A538" s="175"/>
      <c r="B538" s="175"/>
      <c r="C538" s="176"/>
      <c r="D538" s="175"/>
      <c r="E538" s="175"/>
      <c r="F538" s="12"/>
      <c r="G538" s="12"/>
      <c r="H538" s="175"/>
      <c r="I538" s="12"/>
      <c r="J538" s="12"/>
      <c r="K538" s="175"/>
      <c r="L538" s="175"/>
      <c r="M538" s="175"/>
      <c r="N538" s="175"/>
      <c r="O538" s="175"/>
      <c r="P538" s="12"/>
      <c r="Q538" s="175"/>
      <c r="R538" s="12"/>
      <c r="S538" s="12"/>
      <c r="T538" s="175"/>
      <c r="U538" s="179"/>
      <c r="V538" s="208"/>
      <c r="W538" s="12"/>
      <c r="X538" s="12"/>
    </row>
    <row r="539">
      <c r="A539" s="175"/>
      <c r="B539" s="175"/>
      <c r="C539" s="176"/>
      <c r="D539" s="175"/>
      <c r="E539" s="175"/>
      <c r="F539" s="12"/>
      <c r="G539" s="12"/>
      <c r="H539" s="175"/>
      <c r="I539" s="12"/>
      <c r="J539" s="12"/>
      <c r="K539" s="175"/>
      <c r="L539" s="175"/>
      <c r="M539" s="175"/>
      <c r="N539" s="175"/>
      <c r="O539" s="175"/>
      <c r="P539" s="12"/>
      <c r="Q539" s="175"/>
      <c r="R539" s="12"/>
      <c r="S539" s="12"/>
      <c r="T539" s="175"/>
      <c r="U539" s="179"/>
      <c r="V539" s="208"/>
      <c r="W539" s="12"/>
      <c r="X539" s="12"/>
    </row>
    <row r="540">
      <c r="A540" s="175"/>
      <c r="B540" s="175"/>
      <c r="C540" s="176"/>
      <c r="D540" s="175"/>
      <c r="E540" s="175"/>
      <c r="F540" s="12"/>
      <c r="G540" s="12"/>
      <c r="H540" s="175"/>
      <c r="I540" s="12"/>
      <c r="J540" s="12"/>
      <c r="K540" s="175"/>
      <c r="L540" s="175"/>
      <c r="M540" s="175"/>
      <c r="N540" s="175"/>
      <c r="O540" s="175"/>
      <c r="P540" s="12"/>
      <c r="Q540" s="175"/>
      <c r="R540" s="12"/>
      <c r="S540" s="12"/>
      <c r="T540" s="175"/>
      <c r="U540" s="179"/>
      <c r="V540" s="208"/>
      <c r="W540" s="12"/>
      <c r="X540" s="12"/>
    </row>
    <row r="541">
      <c r="A541" s="175"/>
      <c r="B541" s="175"/>
      <c r="C541" s="176"/>
      <c r="D541" s="175"/>
      <c r="E541" s="175"/>
      <c r="F541" s="12"/>
      <c r="G541" s="12"/>
      <c r="H541" s="175"/>
      <c r="I541" s="12"/>
      <c r="J541" s="12"/>
      <c r="K541" s="175"/>
      <c r="L541" s="175"/>
      <c r="M541" s="175"/>
      <c r="N541" s="175"/>
      <c r="O541" s="175"/>
      <c r="P541" s="12"/>
      <c r="Q541" s="175"/>
      <c r="R541" s="12"/>
      <c r="S541" s="12"/>
      <c r="T541" s="175"/>
      <c r="U541" s="179"/>
      <c r="V541" s="208"/>
      <c r="W541" s="12"/>
      <c r="X541" s="12"/>
    </row>
    <row r="542">
      <c r="A542" s="175"/>
      <c r="B542" s="175"/>
      <c r="C542" s="176"/>
      <c r="D542" s="175"/>
      <c r="E542" s="175"/>
      <c r="F542" s="12"/>
      <c r="G542" s="12"/>
      <c r="H542" s="175"/>
      <c r="I542" s="12"/>
      <c r="J542" s="12"/>
      <c r="K542" s="175"/>
      <c r="L542" s="175"/>
      <c r="M542" s="175"/>
      <c r="N542" s="175"/>
      <c r="O542" s="175"/>
      <c r="P542" s="12"/>
      <c r="Q542" s="175"/>
      <c r="R542" s="12"/>
      <c r="S542" s="12"/>
      <c r="T542" s="175"/>
      <c r="U542" s="179"/>
      <c r="V542" s="208"/>
      <c r="W542" s="12"/>
      <c r="X542" s="12"/>
    </row>
    <row r="543">
      <c r="A543" s="175"/>
      <c r="B543" s="175"/>
      <c r="C543" s="176"/>
      <c r="D543" s="175"/>
      <c r="E543" s="175"/>
      <c r="F543" s="12"/>
      <c r="G543" s="12"/>
      <c r="H543" s="175"/>
      <c r="I543" s="12"/>
      <c r="J543" s="12"/>
      <c r="K543" s="175"/>
      <c r="L543" s="175"/>
      <c r="M543" s="175"/>
      <c r="N543" s="175"/>
      <c r="O543" s="175"/>
      <c r="P543" s="12"/>
      <c r="Q543" s="175"/>
      <c r="R543" s="12"/>
      <c r="S543" s="12"/>
      <c r="T543" s="175"/>
      <c r="U543" s="179"/>
      <c r="V543" s="208"/>
      <c r="W543" s="12"/>
      <c r="X543" s="12"/>
    </row>
    <row r="544">
      <c r="A544" s="175"/>
      <c r="B544" s="175"/>
      <c r="C544" s="176"/>
      <c r="D544" s="175"/>
      <c r="E544" s="175"/>
      <c r="F544" s="12"/>
      <c r="G544" s="12"/>
      <c r="H544" s="175"/>
      <c r="I544" s="12"/>
      <c r="J544" s="12"/>
      <c r="K544" s="175"/>
      <c r="L544" s="175"/>
      <c r="M544" s="175"/>
      <c r="N544" s="175"/>
      <c r="O544" s="175"/>
      <c r="P544" s="12"/>
      <c r="Q544" s="175"/>
      <c r="R544" s="12"/>
      <c r="S544" s="12"/>
      <c r="T544" s="175"/>
      <c r="U544" s="179"/>
      <c r="V544" s="208"/>
      <c r="W544" s="12"/>
      <c r="X544" s="12"/>
    </row>
    <row r="545">
      <c r="A545" s="175"/>
      <c r="B545" s="175"/>
      <c r="C545" s="176"/>
      <c r="D545" s="175"/>
      <c r="E545" s="175"/>
      <c r="F545" s="12"/>
      <c r="G545" s="12"/>
      <c r="H545" s="175"/>
      <c r="I545" s="12"/>
      <c r="J545" s="12"/>
      <c r="K545" s="175"/>
      <c r="L545" s="175"/>
      <c r="M545" s="175"/>
      <c r="N545" s="175"/>
      <c r="O545" s="175"/>
      <c r="P545" s="12"/>
      <c r="Q545" s="175"/>
      <c r="R545" s="12"/>
      <c r="S545" s="12"/>
      <c r="T545" s="175"/>
      <c r="U545" s="179"/>
      <c r="V545" s="208"/>
      <c r="W545" s="12"/>
      <c r="X545" s="12"/>
    </row>
    <row r="546">
      <c r="A546" s="175"/>
      <c r="B546" s="175"/>
      <c r="C546" s="176"/>
      <c r="D546" s="175"/>
      <c r="E546" s="175"/>
      <c r="F546" s="12"/>
      <c r="G546" s="12"/>
      <c r="H546" s="175"/>
      <c r="I546" s="12"/>
      <c r="J546" s="12"/>
      <c r="K546" s="175"/>
      <c r="L546" s="175"/>
      <c r="M546" s="175"/>
      <c r="N546" s="175"/>
      <c r="O546" s="175"/>
      <c r="P546" s="12"/>
      <c r="Q546" s="175"/>
      <c r="R546" s="12"/>
      <c r="S546" s="12"/>
      <c r="T546" s="175"/>
      <c r="U546" s="179"/>
      <c r="V546" s="208"/>
      <c r="W546" s="12"/>
      <c r="X546" s="12"/>
    </row>
    <row r="547">
      <c r="A547" s="175"/>
      <c r="B547" s="175"/>
      <c r="C547" s="176"/>
      <c r="D547" s="175"/>
      <c r="E547" s="175"/>
      <c r="F547" s="12"/>
      <c r="G547" s="12"/>
      <c r="H547" s="175"/>
      <c r="I547" s="12"/>
      <c r="J547" s="12"/>
      <c r="K547" s="175"/>
      <c r="L547" s="175"/>
      <c r="M547" s="175"/>
      <c r="N547" s="175"/>
      <c r="O547" s="175"/>
      <c r="P547" s="12"/>
      <c r="Q547" s="175"/>
      <c r="R547" s="12"/>
      <c r="S547" s="12"/>
      <c r="T547" s="175"/>
      <c r="U547" s="179"/>
      <c r="V547" s="208"/>
      <c r="W547" s="12"/>
      <c r="X547" s="12"/>
    </row>
    <row r="548">
      <c r="A548" s="175"/>
      <c r="B548" s="175"/>
      <c r="C548" s="176"/>
      <c r="D548" s="175"/>
      <c r="E548" s="175"/>
      <c r="F548" s="12"/>
      <c r="G548" s="12"/>
      <c r="H548" s="175"/>
      <c r="I548" s="12"/>
      <c r="J548" s="12"/>
      <c r="K548" s="175"/>
      <c r="L548" s="175"/>
      <c r="M548" s="175"/>
      <c r="N548" s="175"/>
      <c r="O548" s="175"/>
      <c r="P548" s="12"/>
      <c r="Q548" s="175"/>
      <c r="R548" s="12"/>
      <c r="S548" s="12"/>
      <c r="T548" s="175"/>
      <c r="U548" s="179"/>
      <c r="V548" s="208"/>
      <c r="W548" s="12"/>
      <c r="X548" s="12"/>
    </row>
    <row r="549">
      <c r="A549" s="175"/>
      <c r="B549" s="175"/>
      <c r="C549" s="176"/>
      <c r="D549" s="175"/>
      <c r="E549" s="175"/>
      <c r="F549" s="12"/>
      <c r="G549" s="12"/>
      <c r="H549" s="175"/>
      <c r="I549" s="12"/>
      <c r="J549" s="12"/>
      <c r="K549" s="175"/>
      <c r="L549" s="175"/>
      <c r="M549" s="175"/>
      <c r="N549" s="175"/>
      <c r="O549" s="175"/>
      <c r="P549" s="12"/>
      <c r="Q549" s="175"/>
      <c r="R549" s="12"/>
      <c r="S549" s="12"/>
      <c r="T549" s="175"/>
      <c r="U549" s="179"/>
      <c r="V549" s="208"/>
      <c r="W549" s="12"/>
      <c r="X549" s="12"/>
    </row>
    <row r="550">
      <c r="A550" s="175"/>
      <c r="B550" s="175"/>
      <c r="C550" s="176"/>
      <c r="D550" s="175"/>
      <c r="E550" s="175"/>
      <c r="F550" s="12"/>
      <c r="G550" s="12"/>
      <c r="H550" s="175"/>
      <c r="I550" s="12"/>
      <c r="J550" s="12"/>
      <c r="K550" s="175"/>
      <c r="L550" s="175"/>
      <c r="M550" s="175"/>
      <c r="N550" s="175"/>
      <c r="O550" s="175"/>
      <c r="P550" s="12"/>
      <c r="Q550" s="175"/>
      <c r="R550" s="12"/>
      <c r="S550" s="12"/>
      <c r="T550" s="175"/>
      <c r="U550" s="179"/>
      <c r="V550" s="208"/>
      <c r="W550" s="12"/>
      <c r="X550" s="12"/>
    </row>
    <row r="551">
      <c r="A551" s="175"/>
      <c r="B551" s="175"/>
      <c r="C551" s="176"/>
      <c r="D551" s="175"/>
      <c r="E551" s="175"/>
      <c r="F551" s="12"/>
      <c r="G551" s="12"/>
      <c r="H551" s="175"/>
      <c r="I551" s="12"/>
      <c r="J551" s="12"/>
      <c r="K551" s="175"/>
      <c r="L551" s="175"/>
      <c r="M551" s="175"/>
      <c r="N551" s="175"/>
      <c r="O551" s="175"/>
      <c r="P551" s="12"/>
      <c r="Q551" s="175"/>
      <c r="R551" s="12"/>
      <c r="S551" s="12"/>
      <c r="T551" s="175"/>
      <c r="U551" s="179"/>
      <c r="V551" s="208"/>
      <c r="W551" s="12"/>
      <c r="X551" s="12"/>
    </row>
    <row r="552">
      <c r="A552" s="175"/>
      <c r="B552" s="175"/>
      <c r="C552" s="176"/>
      <c r="D552" s="175"/>
      <c r="E552" s="175"/>
      <c r="F552" s="12"/>
      <c r="G552" s="12"/>
      <c r="H552" s="175"/>
      <c r="I552" s="12"/>
      <c r="J552" s="12"/>
      <c r="K552" s="175"/>
      <c r="L552" s="175"/>
      <c r="M552" s="175"/>
      <c r="N552" s="175"/>
      <c r="O552" s="175"/>
      <c r="P552" s="12"/>
      <c r="Q552" s="175"/>
      <c r="R552" s="12"/>
      <c r="S552" s="12"/>
      <c r="T552" s="175"/>
      <c r="U552" s="179"/>
      <c r="V552" s="208"/>
      <c r="W552" s="12"/>
      <c r="X552" s="12"/>
    </row>
    <row r="553">
      <c r="A553" s="175"/>
      <c r="B553" s="175"/>
      <c r="C553" s="176"/>
      <c r="D553" s="175"/>
      <c r="E553" s="175"/>
      <c r="F553" s="12"/>
      <c r="G553" s="12"/>
      <c r="H553" s="175"/>
      <c r="I553" s="12"/>
      <c r="J553" s="12"/>
      <c r="K553" s="175"/>
      <c r="L553" s="175"/>
      <c r="M553" s="175"/>
      <c r="N553" s="175"/>
      <c r="O553" s="175"/>
      <c r="P553" s="12"/>
      <c r="Q553" s="175"/>
      <c r="R553" s="12"/>
      <c r="S553" s="12"/>
      <c r="T553" s="175"/>
      <c r="U553" s="179"/>
      <c r="V553" s="208"/>
      <c r="W553" s="12"/>
      <c r="X553" s="12"/>
    </row>
    <row r="554">
      <c r="A554" s="175"/>
      <c r="B554" s="175"/>
      <c r="C554" s="176"/>
      <c r="D554" s="175"/>
      <c r="E554" s="175"/>
      <c r="F554" s="12"/>
      <c r="G554" s="12"/>
      <c r="H554" s="175"/>
      <c r="I554" s="12"/>
      <c r="J554" s="12"/>
      <c r="K554" s="175"/>
      <c r="L554" s="175"/>
      <c r="M554" s="175"/>
      <c r="N554" s="175"/>
      <c r="O554" s="175"/>
      <c r="P554" s="12"/>
      <c r="Q554" s="175"/>
      <c r="R554" s="12"/>
      <c r="S554" s="12"/>
      <c r="T554" s="175"/>
      <c r="U554" s="179"/>
      <c r="V554" s="208"/>
      <c r="W554" s="12"/>
      <c r="X554" s="12"/>
    </row>
    <row r="555">
      <c r="A555" s="175"/>
      <c r="B555" s="175"/>
      <c r="C555" s="176"/>
      <c r="D555" s="175"/>
      <c r="E555" s="175"/>
      <c r="F555" s="12"/>
      <c r="G555" s="12"/>
      <c r="H555" s="175"/>
      <c r="I555" s="12"/>
      <c r="J555" s="12"/>
      <c r="K555" s="175"/>
      <c r="L555" s="175"/>
      <c r="M555" s="175"/>
      <c r="N555" s="175"/>
      <c r="O555" s="175"/>
      <c r="P555" s="12"/>
      <c r="Q555" s="175"/>
      <c r="R555" s="12"/>
      <c r="S555" s="12"/>
      <c r="T555" s="175"/>
      <c r="U555" s="179"/>
      <c r="V555" s="208"/>
      <c r="W555" s="12"/>
      <c r="X555" s="12"/>
    </row>
    <row r="556">
      <c r="A556" s="175"/>
      <c r="B556" s="175"/>
      <c r="C556" s="176"/>
      <c r="D556" s="175"/>
      <c r="E556" s="175"/>
      <c r="F556" s="12"/>
      <c r="G556" s="12"/>
      <c r="H556" s="175"/>
      <c r="I556" s="12"/>
      <c r="J556" s="12"/>
      <c r="K556" s="175"/>
      <c r="L556" s="175"/>
      <c r="M556" s="175"/>
      <c r="N556" s="175"/>
      <c r="O556" s="175"/>
      <c r="P556" s="12"/>
      <c r="Q556" s="175"/>
      <c r="R556" s="12"/>
      <c r="S556" s="12"/>
      <c r="T556" s="175"/>
      <c r="U556" s="179"/>
      <c r="V556" s="208"/>
      <c r="W556" s="12"/>
      <c r="X556" s="12"/>
    </row>
    <row r="557">
      <c r="A557" s="175"/>
      <c r="B557" s="175"/>
      <c r="C557" s="176"/>
      <c r="D557" s="175"/>
      <c r="E557" s="175"/>
      <c r="F557" s="12"/>
      <c r="G557" s="12"/>
      <c r="H557" s="175"/>
      <c r="I557" s="12"/>
      <c r="J557" s="12"/>
      <c r="K557" s="175"/>
      <c r="L557" s="175"/>
      <c r="M557" s="175"/>
      <c r="N557" s="175"/>
      <c r="O557" s="175"/>
      <c r="P557" s="12"/>
      <c r="Q557" s="175"/>
      <c r="R557" s="12"/>
      <c r="S557" s="12"/>
      <c r="T557" s="175"/>
      <c r="U557" s="179"/>
      <c r="V557" s="208"/>
      <c r="W557" s="12"/>
      <c r="X557" s="12"/>
    </row>
    <row r="558">
      <c r="A558" s="175"/>
      <c r="B558" s="175"/>
      <c r="C558" s="176"/>
      <c r="D558" s="175"/>
      <c r="E558" s="175"/>
      <c r="F558" s="12"/>
      <c r="G558" s="12"/>
      <c r="H558" s="175"/>
      <c r="I558" s="12"/>
      <c r="J558" s="12"/>
      <c r="K558" s="175"/>
      <c r="L558" s="175"/>
      <c r="M558" s="175"/>
      <c r="N558" s="175"/>
      <c r="O558" s="175"/>
      <c r="P558" s="12"/>
      <c r="Q558" s="175"/>
      <c r="R558" s="12"/>
      <c r="S558" s="12"/>
      <c r="T558" s="175"/>
      <c r="U558" s="179"/>
      <c r="V558" s="208"/>
      <c r="W558" s="12"/>
      <c r="X558" s="12"/>
    </row>
    <row r="559">
      <c r="A559" s="175"/>
      <c r="B559" s="175"/>
      <c r="C559" s="176"/>
      <c r="D559" s="175"/>
      <c r="E559" s="175"/>
      <c r="F559" s="12"/>
      <c r="G559" s="12"/>
      <c r="H559" s="175"/>
      <c r="I559" s="12"/>
      <c r="J559" s="12"/>
      <c r="K559" s="175"/>
      <c r="L559" s="175"/>
      <c r="M559" s="175"/>
      <c r="N559" s="175"/>
      <c r="O559" s="175"/>
      <c r="P559" s="12"/>
      <c r="Q559" s="175"/>
      <c r="R559" s="12"/>
      <c r="S559" s="12"/>
      <c r="T559" s="175"/>
      <c r="U559" s="179"/>
      <c r="V559" s="208"/>
      <c r="W559" s="12"/>
      <c r="X559" s="12"/>
    </row>
    <row r="560">
      <c r="A560" s="175"/>
      <c r="B560" s="175"/>
      <c r="C560" s="176"/>
      <c r="D560" s="175"/>
      <c r="E560" s="175"/>
      <c r="F560" s="12"/>
      <c r="G560" s="12"/>
      <c r="H560" s="175"/>
      <c r="I560" s="12"/>
      <c r="J560" s="12"/>
      <c r="K560" s="175"/>
      <c r="L560" s="175"/>
      <c r="M560" s="175"/>
      <c r="N560" s="175"/>
      <c r="O560" s="175"/>
      <c r="P560" s="12"/>
      <c r="Q560" s="175"/>
      <c r="R560" s="12"/>
      <c r="S560" s="12"/>
      <c r="T560" s="175"/>
      <c r="U560" s="179"/>
      <c r="V560" s="208"/>
      <c r="W560" s="12"/>
      <c r="X560" s="12"/>
    </row>
    <row r="561">
      <c r="A561" s="175"/>
      <c r="B561" s="175"/>
      <c r="C561" s="176"/>
      <c r="D561" s="175"/>
      <c r="E561" s="175"/>
      <c r="F561" s="12"/>
      <c r="G561" s="12"/>
      <c r="H561" s="175"/>
      <c r="I561" s="12"/>
      <c r="J561" s="12"/>
      <c r="K561" s="175"/>
      <c r="L561" s="175"/>
      <c r="M561" s="175"/>
      <c r="N561" s="175"/>
      <c r="O561" s="175"/>
      <c r="P561" s="12"/>
      <c r="Q561" s="175"/>
      <c r="R561" s="12"/>
      <c r="S561" s="12"/>
      <c r="T561" s="175"/>
      <c r="U561" s="179"/>
      <c r="V561" s="208"/>
      <c r="W561" s="12"/>
      <c r="X561" s="12"/>
    </row>
    <row r="562">
      <c r="A562" s="175"/>
      <c r="B562" s="175"/>
      <c r="C562" s="176"/>
      <c r="D562" s="175"/>
      <c r="E562" s="175"/>
      <c r="F562" s="12"/>
      <c r="G562" s="12"/>
      <c r="H562" s="175"/>
      <c r="I562" s="12"/>
      <c r="J562" s="12"/>
      <c r="K562" s="175"/>
      <c r="L562" s="175"/>
      <c r="M562" s="175"/>
      <c r="N562" s="175"/>
      <c r="O562" s="175"/>
      <c r="P562" s="12"/>
      <c r="Q562" s="175"/>
      <c r="R562" s="12"/>
      <c r="S562" s="12"/>
      <c r="T562" s="175"/>
      <c r="U562" s="179"/>
      <c r="V562" s="208"/>
      <c r="W562" s="12"/>
      <c r="X562" s="12"/>
    </row>
    <row r="563">
      <c r="A563" s="175"/>
      <c r="B563" s="175"/>
      <c r="C563" s="176"/>
      <c r="D563" s="175"/>
      <c r="E563" s="175"/>
      <c r="F563" s="12"/>
      <c r="G563" s="12"/>
      <c r="H563" s="175"/>
      <c r="I563" s="12"/>
      <c r="J563" s="12"/>
      <c r="K563" s="175"/>
      <c r="L563" s="175"/>
      <c r="M563" s="175"/>
      <c r="N563" s="175"/>
      <c r="O563" s="175"/>
      <c r="P563" s="12"/>
      <c r="Q563" s="175"/>
      <c r="R563" s="12"/>
      <c r="S563" s="12"/>
      <c r="T563" s="175"/>
      <c r="U563" s="179"/>
      <c r="V563" s="208"/>
      <c r="W563" s="12"/>
      <c r="X563" s="12"/>
    </row>
    <row r="564">
      <c r="A564" s="175"/>
      <c r="B564" s="175"/>
      <c r="C564" s="176"/>
      <c r="D564" s="175"/>
      <c r="E564" s="175"/>
      <c r="F564" s="12"/>
      <c r="G564" s="12"/>
      <c r="H564" s="175"/>
      <c r="I564" s="12"/>
      <c r="J564" s="12"/>
      <c r="K564" s="175"/>
      <c r="L564" s="175"/>
      <c r="M564" s="175"/>
      <c r="N564" s="175"/>
      <c r="O564" s="175"/>
      <c r="P564" s="12"/>
      <c r="Q564" s="175"/>
      <c r="R564" s="12"/>
      <c r="S564" s="12"/>
      <c r="T564" s="175"/>
      <c r="U564" s="179"/>
      <c r="V564" s="208"/>
      <c r="W564" s="12"/>
      <c r="X564" s="12"/>
    </row>
    <row r="565">
      <c r="A565" s="175"/>
      <c r="B565" s="175"/>
      <c r="C565" s="176"/>
      <c r="D565" s="175"/>
      <c r="E565" s="175"/>
      <c r="F565" s="12"/>
      <c r="G565" s="12"/>
      <c r="H565" s="175"/>
      <c r="I565" s="12"/>
      <c r="J565" s="12"/>
      <c r="K565" s="175"/>
      <c r="L565" s="175"/>
      <c r="M565" s="175"/>
      <c r="N565" s="175"/>
      <c r="O565" s="175"/>
      <c r="P565" s="12"/>
      <c r="Q565" s="175"/>
      <c r="R565" s="12"/>
      <c r="S565" s="12"/>
      <c r="T565" s="175"/>
      <c r="U565" s="179"/>
      <c r="V565" s="208"/>
      <c r="W565" s="12"/>
      <c r="X565" s="12"/>
    </row>
    <row r="566">
      <c r="A566" s="175"/>
      <c r="B566" s="175"/>
      <c r="C566" s="176"/>
      <c r="D566" s="175"/>
      <c r="E566" s="175"/>
      <c r="F566" s="12"/>
      <c r="G566" s="12"/>
      <c r="H566" s="175"/>
      <c r="I566" s="12"/>
      <c r="J566" s="12"/>
      <c r="K566" s="175"/>
      <c r="L566" s="175"/>
      <c r="M566" s="175"/>
      <c r="N566" s="175"/>
      <c r="O566" s="175"/>
      <c r="P566" s="12"/>
      <c r="Q566" s="175"/>
      <c r="R566" s="12"/>
      <c r="S566" s="12"/>
      <c r="T566" s="175"/>
      <c r="U566" s="179"/>
      <c r="V566" s="208"/>
      <c r="W566" s="12"/>
      <c r="X566" s="12"/>
    </row>
    <row r="567">
      <c r="A567" s="175"/>
      <c r="B567" s="175"/>
      <c r="C567" s="176"/>
      <c r="D567" s="175"/>
      <c r="E567" s="175"/>
      <c r="F567" s="12"/>
      <c r="G567" s="12"/>
      <c r="H567" s="175"/>
      <c r="I567" s="12"/>
      <c r="J567" s="12"/>
      <c r="K567" s="175"/>
      <c r="L567" s="175"/>
      <c r="M567" s="175"/>
      <c r="N567" s="175"/>
      <c r="O567" s="175"/>
      <c r="P567" s="12"/>
      <c r="Q567" s="175"/>
      <c r="R567" s="12"/>
      <c r="S567" s="12"/>
      <c r="T567" s="175"/>
      <c r="U567" s="179"/>
      <c r="V567" s="208"/>
      <c r="W567" s="12"/>
      <c r="X567" s="12"/>
    </row>
    <row r="568">
      <c r="A568" s="175"/>
      <c r="B568" s="175"/>
      <c r="C568" s="176"/>
      <c r="D568" s="175"/>
      <c r="E568" s="175"/>
      <c r="F568" s="12"/>
      <c r="G568" s="12"/>
      <c r="H568" s="175"/>
      <c r="I568" s="12"/>
      <c r="J568" s="12"/>
      <c r="K568" s="175"/>
      <c r="L568" s="175"/>
      <c r="M568" s="175"/>
      <c r="N568" s="175"/>
      <c r="O568" s="175"/>
      <c r="P568" s="12"/>
      <c r="Q568" s="175"/>
      <c r="R568" s="12"/>
      <c r="S568" s="12"/>
      <c r="T568" s="175"/>
      <c r="U568" s="179"/>
      <c r="V568" s="208"/>
      <c r="W568" s="12"/>
      <c r="X568" s="12"/>
    </row>
    <row r="569">
      <c r="A569" s="175"/>
      <c r="B569" s="175"/>
      <c r="C569" s="176"/>
      <c r="D569" s="175"/>
      <c r="E569" s="175"/>
      <c r="F569" s="12"/>
      <c r="G569" s="12"/>
      <c r="H569" s="175"/>
      <c r="I569" s="12"/>
      <c r="J569" s="12"/>
      <c r="K569" s="175"/>
      <c r="L569" s="175"/>
      <c r="M569" s="175"/>
      <c r="N569" s="175"/>
      <c r="O569" s="175"/>
      <c r="P569" s="12"/>
      <c r="Q569" s="175"/>
      <c r="R569" s="12"/>
      <c r="S569" s="12"/>
      <c r="T569" s="175"/>
      <c r="U569" s="179"/>
      <c r="V569" s="208"/>
      <c r="W569" s="12"/>
      <c r="X569" s="12"/>
    </row>
    <row r="570">
      <c r="A570" s="175"/>
      <c r="B570" s="175"/>
      <c r="C570" s="176"/>
      <c r="D570" s="175"/>
      <c r="E570" s="175"/>
      <c r="F570" s="12"/>
      <c r="G570" s="12"/>
      <c r="H570" s="175"/>
      <c r="I570" s="12"/>
      <c r="J570" s="12"/>
      <c r="K570" s="175"/>
      <c r="L570" s="175"/>
      <c r="M570" s="175"/>
      <c r="N570" s="175"/>
      <c r="O570" s="175"/>
      <c r="P570" s="12"/>
      <c r="Q570" s="175"/>
      <c r="R570" s="12"/>
      <c r="S570" s="12"/>
      <c r="T570" s="175"/>
      <c r="U570" s="179"/>
      <c r="V570" s="208"/>
      <c r="W570" s="12"/>
      <c r="X570" s="12"/>
    </row>
    <row r="571">
      <c r="A571" s="175"/>
      <c r="B571" s="175"/>
      <c r="C571" s="176"/>
      <c r="D571" s="175"/>
      <c r="E571" s="175"/>
      <c r="F571" s="12"/>
      <c r="G571" s="12"/>
      <c r="H571" s="175"/>
      <c r="I571" s="12"/>
      <c r="J571" s="12"/>
      <c r="K571" s="175"/>
      <c r="L571" s="175"/>
      <c r="M571" s="175"/>
      <c r="N571" s="175"/>
      <c r="O571" s="175"/>
      <c r="P571" s="12"/>
      <c r="Q571" s="175"/>
      <c r="R571" s="12"/>
      <c r="S571" s="12"/>
      <c r="T571" s="175"/>
      <c r="U571" s="179"/>
      <c r="V571" s="208"/>
      <c r="W571" s="12"/>
      <c r="X571" s="12"/>
    </row>
    <row r="572">
      <c r="A572" s="175"/>
      <c r="B572" s="175"/>
      <c r="C572" s="176"/>
      <c r="D572" s="175"/>
      <c r="E572" s="175"/>
      <c r="F572" s="12"/>
      <c r="G572" s="12"/>
      <c r="H572" s="175"/>
      <c r="I572" s="12"/>
      <c r="J572" s="12"/>
      <c r="K572" s="175"/>
      <c r="L572" s="175"/>
      <c r="M572" s="175"/>
      <c r="N572" s="175"/>
      <c r="O572" s="175"/>
      <c r="P572" s="12"/>
      <c r="Q572" s="175"/>
      <c r="R572" s="12"/>
      <c r="S572" s="12"/>
      <c r="T572" s="175"/>
      <c r="U572" s="179"/>
      <c r="V572" s="208"/>
      <c r="W572" s="12"/>
      <c r="X572" s="12"/>
    </row>
    <row r="573">
      <c r="A573" s="175"/>
      <c r="B573" s="175"/>
      <c r="C573" s="176"/>
      <c r="D573" s="175"/>
      <c r="E573" s="175"/>
      <c r="F573" s="12"/>
      <c r="G573" s="12"/>
      <c r="H573" s="175"/>
      <c r="I573" s="12"/>
      <c r="J573" s="12"/>
      <c r="K573" s="175"/>
      <c r="L573" s="175"/>
      <c r="M573" s="175"/>
      <c r="N573" s="175"/>
      <c r="O573" s="175"/>
      <c r="P573" s="12"/>
      <c r="Q573" s="175"/>
      <c r="R573" s="12"/>
      <c r="S573" s="12"/>
      <c r="T573" s="175"/>
      <c r="U573" s="179"/>
      <c r="V573" s="208"/>
      <c r="W573" s="12"/>
      <c r="X573" s="12"/>
    </row>
    <row r="574">
      <c r="A574" s="175"/>
      <c r="B574" s="175"/>
      <c r="C574" s="176"/>
      <c r="D574" s="175"/>
      <c r="E574" s="175"/>
      <c r="F574" s="12"/>
      <c r="G574" s="12"/>
      <c r="H574" s="175"/>
      <c r="I574" s="12"/>
      <c r="J574" s="12"/>
      <c r="K574" s="175"/>
      <c r="L574" s="175"/>
      <c r="M574" s="175"/>
      <c r="N574" s="175"/>
      <c r="O574" s="175"/>
      <c r="P574" s="12"/>
      <c r="Q574" s="175"/>
      <c r="R574" s="12"/>
      <c r="S574" s="12"/>
      <c r="T574" s="175"/>
      <c r="U574" s="179"/>
      <c r="V574" s="208"/>
      <c r="W574" s="12"/>
      <c r="X574" s="12"/>
    </row>
    <row r="575">
      <c r="A575" s="175"/>
      <c r="B575" s="175"/>
      <c r="C575" s="176"/>
      <c r="D575" s="175"/>
      <c r="E575" s="175"/>
      <c r="F575" s="12"/>
      <c r="G575" s="12"/>
      <c r="H575" s="175"/>
      <c r="I575" s="12"/>
      <c r="J575" s="12"/>
      <c r="K575" s="175"/>
      <c r="L575" s="175"/>
      <c r="M575" s="175"/>
      <c r="N575" s="175"/>
      <c r="O575" s="175"/>
      <c r="P575" s="12"/>
      <c r="Q575" s="175"/>
      <c r="R575" s="12"/>
      <c r="S575" s="12"/>
      <c r="T575" s="175"/>
      <c r="U575" s="179"/>
      <c r="V575" s="208"/>
      <c r="W575" s="12"/>
      <c r="X575" s="12"/>
    </row>
    <row r="576">
      <c r="A576" s="175"/>
      <c r="B576" s="175"/>
      <c r="C576" s="176"/>
      <c r="D576" s="175"/>
      <c r="E576" s="175"/>
      <c r="F576" s="12"/>
      <c r="G576" s="12"/>
      <c r="H576" s="175"/>
      <c r="I576" s="12"/>
      <c r="J576" s="12"/>
      <c r="K576" s="175"/>
      <c r="L576" s="175"/>
      <c r="M576" s="175"/>
      <c r="N576" s="175"/>
      <c r="O576" s="175"/>
      <c r="P576" s="12"/>
      <c r="Q576" s="175"/>
      <c r="R576" s="12"/>
      <c r="S576" s="12"/>
      <c r="T576" s="175"/>
      <c r="U576" s="179"/>
      <c r="V576" s="208"/>
      <c r="W576" s="12"/>
      <c r="X576" s="12"/>
    </row>
    <row r="577">
      <c r="A577" s="175"/>
      <c r="B577" s="175"/>
      <c r="C577" s="176"/>
      <c r="D577" s="175"/>
      <c r="E577" s="175"/>
      <c r="F577" s="12"/>
      <c r="G577" s="12"/>
      <c r="H577" s="175"/>
      <c r="I577" s="12"/>
      <c r="J577" s="12"/>
      <c r="K577" s="175"/>
      <c r="L577" s="175"/>
      <c r="M577" s="175"/>
      <c r="N577" s="175"/>
      <c r="O577" s="175"/>
      <c r="P577" s="12"/>
      <c r="Q577" s="175"/>
      <c r="R577" s="12"/>
      <c r="S577" s="12"/>
      <c r="T577" s="175"/>
      <c r="U577" s="179"/>
      <c r="V577" s="208"/>
      <c r="W577" s="12"/>
      <c r="X577" s="12"/>
    </row>
    <row r="578">
      <c r="A578" s="175"/>
      <c r="B578" s="175"/>
      <c r="C578" s="176"/>
      <c r="D578" s="175"/>
      <c r="E578" s="175"/>
      <c r="F578" s="12"/>
      <c r="G578" s="12"/>
      <c r="H578" s="175"/>
      <c r="I578" s="12"/>
      <c r="J578" s="12"/>
      <c r="K578" s="175"/>
      <c r="L578" s="175"/>
      <c r="M578" s="175"/>
      <c r="N578" s="175"/>
      <c r="O578" s="175"/>
      <c r="P578" s="12"/>
      <c r="Q578" s="175"/>
      <c r="R578" s="12"/>
      <c r="S578" s="12"/>
      <c r="T578" s="175"/>
      <c r="U578" s="179"/>
      <c r="V578" s="208"/>
      <c r="W578" s="12"/>
      <c r="X578" s="12"/>
    </row>
    <row r="579">
      <c r="A579" s="175"/>
      <c r="B579" s="175"/>
      <c r="C579" s="176"/>
      <c r="D579" s="175"/>
      <c r="E579" s="175"/>
      <c r="F579" s="12"/>
      <c r="G579" s="12"/>
      <c r="H579" s="175"/>
      <c r="I579" s="12"/>
      <c r="J579" s="12"/>
      <c r="K579" s="175"/>
      <c r="L579" s="175"/>
      <c r="M579" s="175"/>
      <c r="N579" s="175"/>
      <c r="O579" s="175"/>
      <c r="P579" s="12"/>
      <c r="Q579" s="175"/>
      <c r="R579" s="12"/>
      <c r="S579" s="12"/>
      <c r="T579" s="175"/>
      <c r="U579" s="179"/>
      <c r="V579" s="208"/>
      <c r="W579" s="12"/>
      <c r="X579" s="12"/>
    </row>
    <row r="580">
      <c r="A580" s="175"/>
      <c r="B580" s="175"/>
      <c r="C580" s="176"/>
      <c r="D580" s="175"/>
      <c r="E580" s="175"/>
      <c r="F580" s="12"/>
      <c r="G580" s="12"/>
      <c r="H580" s="175"/>
      <c r="I580" s="12"/>
      <c r="J580" s="12"/>
      <c r="K580" s="175"/>
      <c r="L580" s="175"/>
      <c r="M580" s="175"/>
      <c r="N580" s="175"/>
      <c r="O580" s="175"/>
      <c r="P580" s="12"/>
      <c r="Q580" s="175"/>
      <c r="R580" s="12"/>
      <c r="S580" s="12"/>
      <c r="T580" s="175"/>
      <c r="U580" s="179"/>
      <c r="V580" s="208"/>
      <c r="W580" s="12"/>
      <c r="X580" s="12"/>
    </row>
    <row r="581">
      <c r="A581" s="175"/>
      <c r="B581" s="175"/>
      <c r="C581" s="176"/>
      <c r="D581" s="175"/>
      <c r="E581" s="175"/>
      <c r="F581" s="12"/>
      <c r="G581" s="12"/>
      <c r="H581" s="175"/>
      <c r="I581" s="12"/>
      <c r="J581" s="12"/>
      <c r="K581" s="175"/>
      <c r="L581" s="175"/>
      <c r="M581" s="175"/>
      <c r="N581" s="175"/>
      <c r="O581" s="175"/>
      <c r="P581" s="12"/>
      <c r="Q581" s="175"/>
      <c r="R581" s="12"/>
      <c r="S581" s="12"/>
      <c r="T581" s="175"/>
      <c r="U581" s="179"/>
      <c r="V581" s="208"/>
      <c r="W581" s="12"/>
      <c r="X581" s="12"/>
    </row>
    <row r="582">
      <c r="A582" s="175"/>
      <c r="B582" s="175"/>
      <c r="C582" s="176"/>
      <c r="D582" s="175"/>
      <c r="E582" s="175"/>
      <c r="F582" s="12"/>
      <c r="G582" s="12"/>
      <c r="H582" s="175"/>
      <c r="I582" s="12"/>
      <c r="J582" s="12"/>
      <c r="K582" s="175"/>
      <c r="L582" s="175"/>
      <c r="M582" s="175"/>
      <c r="N582" s="175"/>
      <c r="O582" s="175"/>
      <c r="P582" s="12"/>
      <c r="Q582" s="175"/>
      <c r="R582" s="12"/>
      <c r="S582" s="12"/>
      <c r="T582" s="175"/>
      <c r="U582" s="179"/>
      <c r="V582" s="208"/>
      <c r="W582" s="12"/>
      <c r="X582" s="12"/>
    </row>
    <row r="583">
      <c r="A583" s="175"/>
      <c r="B583" s="175"/>
      <c r="C583" s="176"/>
      <c r="D583" s="175"/>
      <c r="E583" s="175"/>
      <c r="F583" s="12"/>
      <c r="G583" s="12"/>
      <c r="H583" s="175"/>
      <c r="I583" s="12"/>
      <c r="J583" s="12"/>
      <c r="K583" s="175"/>
      <c r="L583" s="175"/>
      <c r="M583" s="175"/>
      <c r="N583" s="175"/>
      <c r="O583" s="175"/>
      <c r="P583" s="12"/>
      <c r="Q583" s="175"/>
      <c r="R583" s="12"/>
      <c r="S583" s="12"/>
      <c r="T583" s="175"/>
      <c r="U583" s="179"/>
      <c r="V583" s="208"/>
      <c r="W583" s="12"/>
      <c r="X583" s="12"/>
    </row>
    <row r="584">
      <c r="A584" s="175"/>
      <c r="B584" s="175"/>
      <c r="C584" s="176"/>
      <c r="D584" s="175"/>
      <c r="E584" s="175"/>
      <c r="F584" s="12"/>
      <c r="G584" s="12"/>
      <c r="H584" s="175"/>
      <c r="I584" s="12"/>
      <c r="J584" s="12"/>
      <c r="K584" s="175"/>
      <c r="L584" s="175"/>
      <c r="M584" s="175"/>
      <c r="N584" s="175"/>
      <c r="O584" s="175"/>
      <c r="P584" s="12"/>
      <c r="Q584" s="175"/>
      <c r="R584" s="12"/>
      <c r="S584" s="12"/>
      <c r="T584" s="175"/>
      <c r="U584" s="179"/>
      <c r="V584" s="208"/>
      <c r="W584" s="12"/>
      <c r="X584" s="12"/>
    </row>
    <row r="585">
      <c r="A585" s="175"/>
      <c r="B585" s="175"/>
      <c r="C585" s="176"/>
      <c r="D585" s="175"/>
      <c r="E585" s="175"/>
      <c r="F585" s="12"/>
      <c r="G585" s="12"/>
      <c r="H585" s="175"/>
      <c r="I585" s="12"/>
      <c r="J585" s="12"/>
      <c r="K585" s="175"/>
      <c r="L585" s="175"/>
      <c r="M585" s="175"/>
      <c r="N585" s="175"/>
      <c r="O585" s="175"/>
      <c r="P585" s="12"/>
      <c r="Q585" s="175"/>
      <c r="R585" s="12"/>
      <c r="S585" s="12"/>
      <c r="T585" s="175"/>
      <c r="U585" s="179"/>
      <c r="V585" s="208"/>
      <c r="W585" s="12"/>
      <c r="X585" s="12"/>
    </row>
    <row r="586">
      <c r="A586" s="175"/>
      <c r="B586" s="175"/>
      <c r="C586" s="176"/>
      <c r="D586" s="175"/>
      <c r="E586" s="175"/>
      <c r="F586" s="12"/>
      <c r="G586" s="12"/>
      <c r="H586" s="175"/>
      <c r="I586" s="12"/>
      <c r="J586" s="12"/>
      <c r="K586" s="175"/>
      <c r="L586" s="175"/>
      <c r="M586" s="175"/>
      <c r="N586" s="175"/>
      <c r="O586" s="175"/>
      <c r="P586" s="12"/>
      <c r="Q586" s="175"/>
      <c r="R586" s="12"/>
      <c r="S586" s="12"/>
      <c r="T586" s="175"/>
      <c r="U586" s="179"/>
      <c r="V586" s="208"/>
      <c r="W586" s="12"/>
      <c r="X586" s="12"/>
    </row>
    <row r="587">
      <c r="A587" s="175"/>
      <c r="B587" s="175"/>
      <c r="C587" s="176"/>
      <c r="D587" s="175"/>
      <c r="E587" s="175"/>
      <c r="F587" s="12"/>
      <c r="G587" s="12"/>
      <c r="H587" s="175"/>
      <c r="I587" s="12"/>
      <c r="J587" s="12"/>
      <c r="K587" s="175"/>
      <c r="L587" s="175"/>
      <c r="M587" s="175"/>
      <c r="N587" s="175"/>
      <c r="O587" s="175"/>
      <c r="P587" s="12"/>
      <c r="Q587" s="175"/>
      <c r="R587" s="12"/>
      <c r="S587" s="12"/>
      <c r="T587" s="175"/>
      <c r="U587" s="179"/>
      <c r="V587" s="208"/>
      <c r="W587" s="12"/>
      <c r="X587" s="12"/>
    </row>
    <row r="588">
      <c r="A588" s="175"/>
      <c r="B588" s="175"/>
      <c r="C588" s="176"/>
      <c r="D588" s="175"/>
      <c r="E588" s="175"/>
      <c r="F588" s="12"/>
      <c r="G588" s="12"/>
      <c r="H588" s="175"/>
      <c r="I588" s="12"/>
      <c r="J588" s="12"/>
      <c r="K588" s="175"/>
      <c r="L588" s="175"/>
      <c r="M588" s="175"/>
      <c r="N588" s="175"/>
      <c r="O588" s="175"/>
      <c r="P588" s="12"/>
      <c r="Q588" s="175"/>
      <c r="R588" s="12"/>
      <c r="S588" s="12"/>
      <c r="T588" s="175"/>
      <c r="U588" s="179"/>
      <c r="V588" s="208"/>
      <c r="W588" s="12"/>
      <c r="X588" s="12"/>
    </row>
    <row r="589">
      <c r="A589" s="175"/>
      <c r="B589" s="175"/>
      <c r="C589" s="176"/>
      <c r="D589" s="175"/>
      <c r="E589" s="175"/>
      <c r="F589" s="12"/>
      <c r="G589" s="12"/>
      <c r="H589" s="175"/>
      <c r="I589" s="12"/>
      <c r="J589" s="12"/>
      <c r="K589" s="175"/>
      <c r="L589" s="175"/>
      <c r="M589" s="175"/>
      <c r="N589" s="175"/>
      <c r="O589" s="175"/>
      <c r="P589" s="12"/>
      <c r="Q589" s="175"/>
      <c r="R589" s="12"/>
      <c r="S589" s="12"/>
      <c r="T589" s="175"/>
      <c r="U589" s="179"/>
      <c r="V589" s="208"/>
      <c r="W589" s="12"/>
      <c r="X589" s="12"/>
    </row>
    <row r="590">
      <c r="A590" s="175"/>
      <c r="B590" s="175"/>
      <c r="C590" s="176"/>
      <c r="D590" s="175"/>
      <c r="E590" s="175"/>
      <c r="F590" s="12"/>
      <c r="G590" s="12"/>
      <c r="H590" s="175"/>
      <c r="I590" s="12"/>
      <c r="J590" s="12"/>
      <c r="K590" s="175"/>
      <c r="L590" s="175"/>
      <c r="M590" s="175"/>
      <c r="N590" s="175"/>
      <c r="O590" s="175"/>
      <c r="P590" s="12"/>
      <c r="Q590" s="175"/>
      <c r="R590" s="12"/>
      <c r="S590" s="12"/>
      <c r="T590" s="175"/>
      <c r="U590" s="179"/>
      <c r="V590" s="208"/>
      <c r="W590" s="12"/>
      <c r="X590" s="12"/>
    </row>
    <row r="591">
      <c r="A591" s="175"/>
      <c r="B591" s="175"/>
      <c r="C591" s="176"/>
      <c r="D591" s="175"/>
      <c r="E591" s="175"/>
      <c r="F591" s="12"/>
      <c r="G591" s="12"/>
      <c r="H591" s="175"/>
      <c r="I591" s="12"/>
      <c r="J591" s="12"/>
      <c r="K591" s="175"/>
      <c r="L591" s="175"/>
      <c r="M591" s="175"/>
      <c r="N591" s="175"/>
      <c r="O591" s="175"/>
      <c r="P591" s="12"/>
      <c r="Q591" s="175"/>
      <c r="R591" s="12"/>
      <c r="S591" s="12"/>
      <c r="T591" s="175"/>
      <c r="U591" s="179"/>
      <c r="V591" s="208"/>
      <c r="W591" s="12"/>
      <c r="X591" s="12"/>
    </row>
    <row r="592">
      <c r="A592" s="175"/>
      <c r="B592" s="175"/>
      <c r="C592" s="176"/>
      <c r="D592" s="175"/>
      <c r="E592" s="175"/>
      <c r="F592" s="12"/>
      <c r="G592" s="12"/>
      <c r="H592" s="175"/>
      <c r="I592" s="12"/>
      <c r="J592" s="12"/>
      <c r="K592" s="175"/>
      <c r="L592" s="175"/>
      <c r="M592" s="175"/>
      <c r="N592" s="175"/>
      <c r="O592" s="175"/>
      <c r="P592" s="12"/>
      <c r="Q592" s="175"/>
      <c r="R592" s="12"/>
      <c r="S592" s="12"/>
      <c r="T592" s="175"/>
      <c r="U592" s="179"/>
      <c r="V592" s="208"/>
      <c r="W592" s="12"/>
      <c r="X592" s="12"/>
    </row>
    <row r="593">
      <c r="A593" s="175"/>
      <c r="B593" s="175"/>
      <c r="C593" s="176"/>
      <c r="D593" s="175"/>
      <c r="E593" s="175"/>
      <c r="F593" s="12"/>
      <c r="G593" s="12"/>
      <c r="H593" s="175"/>
      <c r="I593" s="12"/>
      <c r="J593" s="12"/>
      <c r="K593" s="175"/>
      <c r="L593" s="175"/>
      <c r="M593" s="175"/>
      <c r="N593" s="175"/>
      <c r="O593" s="175"/>
      <c r="P593" s="12"/>
      <c r="Q593" s="175"/>
      <c r="R593" s="12"/>
      <c r="S593" s="12"/>
      <c r="T593" s="175"/>
      <c r="U593" s="179"/>
      <c r="V593" s="208"/>
      <c r="W593" s="12"/>
      <c r="X593" s="12"/>
    </row>
    <row r="594">
      <c r="A594" s="175"/>
      <c r="B594" s="175"/>
      <c r="C594" s="176"/>
      <c r="D594" s="175"/>
      <c r="E594" s="175"/>
      <c r="F594" s="12"/>
      <c r="G594" s="12"/>
      <c r="H594" s="175"/>
      <c r="I594" s="12"/>
      <c r="J594" s="12"/>
      <c r="K594" s="175"/>
      <c r="L594" s="175"/>
      <c r="M594" s="175"/>
      <c r="N594" s="175"/>
      <c r="O594" s="175"/>
      <c r="P594" s="12"/>
      <c r="Q594" s="175"/>
      <c r="R594" s="12"/>
      <c r="S594" s="12"/>
      <c r="T594" s="175"/>
      <c r="U594" s="179"/>
      <c r="V594" s="208"/>
      <c r="W594" s="12"/>
      <c r="X594" s="12"/>
    </row>
    <row r="595">
      <c r="A595" s="175"/>
      <c r="B595" s="175"/>
      <c r="C595" s="176"/>
      <c r="D595" s="175"/>
      <c r="E595" s="175"/>
      <c r="F595" s="12"/>
      <c r="G595" s="12"/>
      <c r="H595" s="175"/>
      <c r="I595" s="12"/>
      <c r="J595" s="12"/>
      <c r="K595" s="175"/>
      <c r="L595" s="175"/>
      <c r="M595" s="175"/>
      <c r="N595" s="175"/>
      <c r="O595" s="175"/>
      <c r="P595" s="12"/>
      <c r="Q595" s="175"/>
      <c r="R595" s="12"/>
      <c r="S595" s="12"/>
      <c r="T595" s="175"/>
      <c r="U595" s="179"/>
      <c r="V595" s="208"/>
      <c r="W595" s="12"/>
      <c r="X595" s="12"/>
    </row>
    <row r="596">
      <c r="A596" s="175"/>
      <c r="B596" s="175"/>
      <c r="C596" s="176"/>
      <c r="D596" s="175"/>
      <c r="E596" s="175"/>
      <c r="F596" s="12"/>
      <c r="G596" s="12"/>
      <c r="H596" s="175"/>
      <c r="I596" s="12"/>
      <c r="J596" s="12"/>
      <c r="K596" s="175"/>
      <c r="L596" s="175"/>
      <c r="M596" s="175"/>
      <c r="N596" s="175"/>
      <c r="O596" s="175"/>
      <c r="P596" s="12"/>
      <c r="Q596" s="175"/>
      <c r="R596" s="12"/>
      <c r="S596" s="12"/>
      <c r="T596" s="175"/>
      <c r="U596" s="179"/>
      <c r="V596" s="208"/>
      <c r="W596" s="12"/>
      <c r="X596" s="12"/>
    </row>
    <row r="597">
      <c r="A597" s="175"/>
      <c r="B597" s="175"/>
      <c r="C597" s="176"/>
      <c r="D597" s="175"/>
      <c r="E597" s="175"/>
      <c r="F597" s="12"/>
      <c r="G597" s="12"/>
      <c r="H597" s="175"/>
      <c r="I597" s="12"/>
      <c r="J597" s="12"/>
      <c r="K597" s="175"/>
      <c r="L597" s="175"/>
      <c r="M597" s="175"/>
      <c r="N597" s="175"/>
      <c r="O597" s="175"/>
      <c r="P597" s="12"/>
      <c r="Q597" s="175"/>
      <c r="R597" s="12"/>
      <c r="S597" s="12"/>
      <c r="T597" s="175"/>
      <c r="U597" s="179"/>
      <c r="V597" s="208"/>
      <c r="W597" s="12"/>
      <c r="X597" s="12"/>
    </row>
    <row r="598">
      <c r="A598" s="175"/>
      <c r="B598" s="175"/>
      <c r="C598" s="176"/>
      <c r="D598" s="175"/>
      <c r="E598" s="175"/>
      <c r="F598" s="12"/>
      <c r="G598" s="12"/>
      <c r="H598" s="175"/>
      <c r="I598" s="12"/>
      <c r="J598" s="12"/>
      <c r="K598" s="175"/>
      <c r="L598" s="175"/>
      <c r="M598" s="175"/>
      <c r="N598" s="175"/>
      <c r="O598" s="175"/>
      <c r="P598" s="12"/>
      <c r="Q598" s="175"/>
      <c r="R598" s="12"/>
      <c r="S598" s="12"/>
      <c r="T598" s="175"/>
      <c r="U598" s="179"/>
      <c r="V598" s="208"/>
      <c r="W598" s="12"/>
      <c r="X598" s="12"/>
    </row>
    <row r="599">
      <c r="A599" s="175"/>
      <c r="B599" s="175"/>
      <c r="C599" s="176"/>
      <c r="D599" s="175"/>
      <c r="E599" s="175"/>
      <c r="F599" s="12"/>
      <c r="G599" s="12"/>
      <c r="H599" s="175"/>
      <c r="I599" s="12"/>
      <c r="J599" s="12"/>
      <c r="K599" s="175"/>
      <c r="L599" s="175"/>
      <c r="M599" s="175"/>
      <c r="N599" s="175"/>
      <c r="O599" s="175"/>
      <c r="P599" s="12"/>
      <c r="Q599" s="175"/>
      <c r="R599" s="12"/>
      <c r="S599" s="12"/>
      <c r="T599" s="175"/>
      <c r="U599" s="179"/>
      <c r="V599" s="208"/>
      <c r="W599" s="12"/>
      <c r="X599" s="12"/>
    </row>
    <row r="600">
      <c r="A600" s="175"/>
      <c r="B600" s="175"/>
      <c r="C600" s="176"/>
      <c r="D600" s="175"/>
      <c r="E600" s="175"/>
      <c r="F600" s="12"/>
      <c r="G600" s="12"/>
      <c r="H600" s="175"/>
      <c r="I600" s="12"/>
      <c r="J600" s="12"/>
      <c r="K600" s="175"/>
      <c r="L600" s="175"/>
      <c r="M600" s="175"/>
      <c r="N600" s="175"/>
      <c r="O600" s="175"/>
      <c r="P600" s="12"/>
      <c r="Q600" s="175"/>
      <c r="R600" s="12"/>
      <c r="S600" s="12"/>
      <c r="T600" s="175"/>
      <c r="U600" s="179"/>
      <c r="V600" s="208"/>
      <c r="W600" s="12"/>
      <c r="X600" s="12"/>
    </row>
    <row r="601">
      <c r="A601" s="175"/>
      <c r="B601" s="175"/>
      <c r="C601" s="176"/>
      <c r="D601" s="175"/>
      <c r="E601" s="175"/>
      <c r="F601" s="12"/>
      <c r="G601" s="12"/>
      <c r="H601" s="175"/>
      <c r="I601" s="12"/>
      <c r="J601" s="12"/>
      <c r="K601" s="175"/>
      <c r="L601" s="175"/>
      <c r="M601" s="175"/>
      <c r="N601" s="175"/>
      <c r="O601" s="175"/>
      <c r="P601" s="12"/>
      <c r="Q601" s="175"/>
      <c r="R601" s="12"/>
      <c r="S601" s="12"/>
      <c r="T601" s="175"/>
      <c r="U601" s="179"/>
      <c r="V601" s="208"/>
      <c r="W601" s="12"/>
      <c r="X601" s="12"/>
    </row>
    <row r="602">
      <c r="A602" s="175"/>
      <c r="B602" s="175"/>
      <c r="C602" s="176"/>
      <c r="D602" s="175"/>
      <c r="E602" s="175"/>
      <c r="F602" s="12"/>
      <c r="G602" s="12"/>
      <c r="H602" s="175"/>
      <c r="I602" s="12"/>
      <c r="J602" s="12"/>
      <c r="K602" s="175"/>
      <c r="L602" s="175"/>
      <c r="M602" s="175"/>
      <c r="N602" s="175"/>
      <c r="O602" s="175"/>
      <c r="P602" s="12"/>
      <c r="Q602" s="175"/>
      <c r="R602" s="12"/>
      <c r="S602" s="12"/>
      <c r="T602" s="175"/>
      <c r="U602" s="179"/>
      <c r="V602" s="208"/>
      <c r="W602" s="12"/>
      <c r="X602" s="12"/>
    </row>
    <row r="603">
      <c r="A603" s="175"/>
      <c r="B603" s="175"/>
      <c r="C603" s="176"/>
      <c r="D603" s="175"/>
      <c r="E603" s="175"/>
      <c r="F603" s="12"/>
      <c r="G603" s="12"/>
      <c r="H603" s="175"/>
      <c r="I603" s="12"/>
      <c r="J603" s="12"/>
      <c r="K603" s="175"/>
      <c r="L603" s="175"/>
      <c r="M603" s="175"/>
      <c r="N603" s="175"/>
      <c r="O603" s="175"/>
      <c r="P603" s="12"/>
      <c r="Q603" s="175"/>
      <c r="R603" s="12"/>
      <c r="S603" s="12"/>
      <c r="T603" s="175"/>
      <c r="U603" s="179"/>
      <c r="V603" s="208"/>
      <c r="W603" s="12"/>
      <c r="X603" s="12"/>
    </row>
    <row r="604">
      <c r="A604" s="175"/>
      <c r="B604" s="175"/>
      <c r="C604" s="176"/>
      <c r="D604" s="175"/>
      <c r="E604" s="175"/>
      <c r="F604" s="12"/>
      <c r="G604" s="12"/>
      <c r="H604" s="175"/>
      <c r="I604" s="12"/>
      <c r="J604" s="12"/>
      <c r="K604" s="175"/>
      <c r="L604" s="175"/>
      <c r="M604" s="175"/>
      <c r="N604" s="175"/>
      <c r="O604" s="175"/>
      <c r="P604" s="12"/>
      <c r="Q604" s="175"/>
      <c r="R604" s="12"/>
      <c r="S604" s="12"/>
      <c r="T604" s="175"/>
      <c r="U604" s="179"/>
      <c r="V604" s="208"/>
      <c r="W604" s="12"/>
      <c r="X604" s="12"/>
    </row>
    <row r="605">
      <c r="A605" s="175"/>
      <c r="B605" s="175"/>
      <c r="C605" s="176"/>
      <c r="D605" s="175"/>
      <c r="E605" s="175"/>
      <c r="F605" s="12"/>
      <c r="G605" s="12"/>
      <c r="H605" s="175"/>
      <c r="I605" s="12"/>
      <c r="J605" s="12"/>
      <c r="K605" s="175"/>
      <c r="L605" s="175"/>
      <c r="M605" s="175"/>
      <c r="N605" s="175"/>
      <c r="O605" s="175"/>
      <c r="P605" s="12"/>
      <c r="Q605" s="175"/>
      <c r="R605" s="12"/>
      <c r="S605" s="12"/>
      <c r="T605" s="175"/>
      <c r="U605" s="179"/>
      <c r="V605" s="208"/>
      <c r="W605" s="12"/>
      <c r="X605" s="12"/>
    </row>
    <row r="606">
      <c r="A606" s="175"/>
      <c r="B606" s="175"/>
      <c r="C606" s="176"/>
      <c r="D606" s="175"/>
      <c r="E606" s="175"/>
      <c r="F606" s="12"/>
      <c r="G606" s="12"/>
      <c r="H606" s="175"/>
      <c r="I606" s="12"/>
      <c r="J606" s="12"/>
      <c r="K606" s="175"/>
      <c r="L606" s="175"/>
      <c r="M606" s="175"/>
      <c r="N606" s="175"/>
      <c r="O606" s="175"/>
      <c r="P606" s="12"/>
      <c r="Q606" s="175"/>
      <c r="R606" s="12"/>
      <c r="S606" s="12"/>
      <c r="T606" s="175"/>
      <c r="U606" s="179"/>
      <c r="V606" s="208"/>
      <c r="W606" s="12"/>
      <c r="X606" s="12"/>
    </row>
    <row r="607">
      <c r="A607" s="175"/>
      <c r="B607" s="175"/>
      <c r="C607" s="176"/>
      <c r="D607" s="175"/>
      <c r="E607" s="175"/>
      <c r="F607" s="12"/>
      <c r="G607" s="12"/>
      <c r="H607" s="175"/>
      <c r="I607" s="12"/>
      <c r="J607" s="12"/>
      <c r="K607" s="175"/>
      <c r="L607" s="175"/>
      <c r="M607" s="175"/>
      <c r="N607" s="175"/>
      <c r="O607" s="175"/>
      <c r="P607" s="12"/>
      <c r="Q607" s="175"/>
      <c r="R607" s="12"/>
      <c r="S607" s="12"/>
      <c r="T607" s="175"/>
      <c r="U607" s="179"/>
      <c r="V607" s="208"/>
      <c r="W607" s="12"/>
      <c r="X607" s="12"/>
    </row>
    <row r="608">
      <c r="A608" s="175"/>
      <c r="B608" s="175"/>
      <c r="C608" s="176"/>
      <c r="D608" s="175"/>
      <c r="E608" s="175"/>
      <c r="F608" s="12"/>
      <c r="G608" s="12"/>
      <c r="H608" s="175"/>
      <c r="I608" s="12"/>
      <c r="J608" s="12"/>
      <c r="K608" s="175"/>
      <c r="L608" s="175"/>
      <c r="M608" s="175"/>
      <c r="N608" s="175"/>
      <c r="O608" s="175"/>
      <c r="P608" s="12"/>
      <c r="Q608" s="175"/>
      <c r="R608" s="12"/>
      <c r="S608" s="12"/>
      <c r="T608" s="175"/>
      <c r="U608" s="179"/>
      <c r="V608" s="208"/>
      <c r="W608" s="12"/>
      <c r="X608" s="12"/>
    </row>
    <row r="609">
      <c r="A609" s="175"/>
      <c r="B609" s="175"/>
      <c r="C609" s="176"/>
      <c r="D609" s="175"/>
      <c r="E609" s="175"/>
      <c r="F609" s="12"/>
      <c r="G609" s="12"/>
      <c r="H609" s="175"/>
      <c r="I609" s="12"/>
      <c r="J609" s="12"/>
      <c r="K609" s="175"/>
      <c r="L609" s="175"/>
      <c r="M609" s="175"/>
      <c r="N609" s="175"/>
      <c r="O609" s="175"/>
      <c r="P609" s="12"/>
      <c r="Q609" s="175"/>
      <c r="R609" s="12"/>
      <c r="S609" s="12"/>
      <c r="T609" s="175"/>
      <c r="U609" s="179"/>
      <c r="V609" s="208"/>
      <c r="W609" s="12"/>
      <c r="X609" s="12"/>
    </row>
    <row r="610">
      <c r="A610" s="175"/>
      <c r="B610" s="175"/>
      <c r="C610" s="176"/>
      <c r="D610" s="175"/>
      <c r="E610" s="175"/>
      <c r="F610" s="12"/>
      <c r="G610" s="12"/>
      <c r="H610" s="175"/>
      <c r="I610" s="12"/>
      <c r="J610" s="12"/>
      <c r="K610" s="175"/>
      <c r="L610" s="175"/>
      <c r="M610" s="175"/>
      <c r="N610" s="175"/>
      <c r="O610" s="175"/>
      <c r="P610" s="12"/>
      <c r="Q610" s="175"/>
      <c r="R610" s="12"/>
      <c r="S610" s="12"/>
      <c r="T610" s="175"/>
      <c r="U610" s="179"/>
      <c r="V610" s="208"/>
      <c r="W610" s="12"/>
      <c r="X610" s="12"/>
    </row>
    <row r="611">
      <c r="A611" s="175"/>
      <c r="B611" s="175"/>
      <c r="C611" s="176"/>
      <c r="D611" s="175"/>
      <c r="E611" s="175"/>
      <c r="F611" s="12"/>
      <c r="G611" s="12"/>
      <c r="H611" s="175"/>
      <c r="I611" s="12"/>
      <c r="J611" s="12"/>
      <c r="K611" s="175"/>
      <c r="L611" s="175"/>
      <c r="M611" s="175"/>
      <c r="N611" s="175"/>
      <c r="O611" s="175"/>
      <c r="P611" s="12"/>
      <c r="Q611" s="175"/>
      <c r="R611" s="12"/>
      <c r="S611" s="12"/>
      <c r="T611" s="175"/>
      <c r="U611" s="179"/>
      <c r="V611" s="208"/>
      <c r="W611" s="12"/>
      <c r="X611" s="12"/>
    </row>
    <row r="612">
      <c r="A612" s="175"/>
      <c r="B612" s="175"/>
      <c r="C612" s="176"/>
      <c r="D612" s="175"/>
      <c r="E612" s="175"/>
      <c r="F612" s="12"/>
      <c r="G612" s="12"/>
      <c r="H612" s="175"/>
      <c r="I612" s="12"/>
      <c r="J612" s="12"/>
      <c r="K612" s="175"/>
      <c r="L612" s="175"/>
      <c r="M612" s="175"/>
      <c r="N612" s="175"/>
      <c r="O612" s="175"/>
      <c r="P612" s="12"/>
      <c r="Q612" s="175"/>
      <c r="R612" s="12"/>
      <c r="S612" s="12"/>
      <c r="T612" s="175"/>
      <c r="U612" s="179"/>
      <c r="V612" s="208"/>
      <c r="W612" s="12"/>
      <c r="X612" s="12"/>
    </row>
    <row r="613">
      <c r="A613" s="175"/>
      <c r="B613" s="175"/>
      <c r="C613" s="176"/>
      <c r="D613" s="175"/>
      <c r="E613" s="175"/>
      <c r="F613" s="12"/>
      <c r="G613" s="12"/>
      <c r="H613" s="175"/>
      <c r="I613" s="12"/>
      <c r="J613" s="12"/>
      <c r="K613" s="175"/>
      <c r="L613" s="175"/>
      <c r="M613" s="175"/>
      <c r="N613" s="175"/>
      <c r="O613" s="175"/>
      <c r="P613" s="12"/>
      <c r="Q613" s="175"/>
      <c r="R613" s="12"/>
      <c r="S613" s="12"/>
      <c r="T613" s="175"/>
      <c r="U613" s="179"/>
      <c r="V613" s="208"/>
      <c r="W613" s="12"/>
      <c r="X613" s="12"/>
    </row>
    <row r="614">
      <c r="A614" s="175"/>
      <c r="B614" s="175"/>
      <c r="C614" s="176"/>
      <c r="D614" s="175"/>
      <c r="E614" s="175"/>
      <c r="F614" s="12"/>
      <c r="G614" s="12"/>
      <c r="H614" s="175"/>
      <c r="I614" s="12"/>
      <c r="J614" s="12"/>
      <c r="K614" s="175"/>
      <c r="L614" s="175"/>
      <c r="M614" s="175"/>
      <c r="N614" s="175"/>
      <c r="O614" s="175"/>
      <c r="P614" s="12"/>
      <c r="Q614" s="175"/>
      <c r="R614" s="12"/>
      <c r="S614" s="12"/>
      <c r="T614" s="175"/>
      <c r="U614" s="179"/>
      <c r="V614" s="208"/>
      <c r="W614" s="12"/>
      <c r="X614" s="12"/>
    </row>
    <row r="615">
      <c r="A615" s="175"/>
      <c r="B615" s="175"/>
      <c r="C615" s="176"/>
      <c r="D615" s="175"/>
      <c r="E615" s="175"/>
      <c r="F615" s="12"/>
      <c r="G615" s="12"/>
      <c r="H615" s="175"/>
      <c r="I615" s="12"/>
      <c r="J615" s="12"/>
      <c r="K615" s="175"/>
      <c r="L615" s="175"/>
      <c r="M615" s="175"/>
      <c r="N615" s="175"/>
      <c r="O615" s="175"/>
      <c r="P615" s="12"/>
      <c r="Q615" s="175"/>
      <c r="R615" s="12"/>
      <c r="S615" s="12"/>
      <c r="T615" s="175"/>
      <c r="U615" s="179"/>
      <c r="V615" s="208"/>
      <c r="W615" s="12"/>
      <c r="X615" s="12"/>
    </row>
    <row r="616">
      <c r="A616" s="175"/>
      <c r="B616" s="175"/>
      <c r="C616" s="176"/>
      <c r="D616" s="175"/>
      <c r="E616" s="175"/>
      <c r="F616" s="12"/>
      <c r="G616" s="12"/>
      <c r="H616" s="175"/>
      <c r="I616" s="12"/>
      <c r="J616" s="12"/>
      <c r="K616" s="175"/>
      <c r="L616" s="175"/>
      <c r="M616" s="175"/>
      <c r="N616" s="175"/>
      <c r="O616" s="175"/>
      <c r="P616" s="12"/>
      <c r="Q616" s="175"/>
      <c r="R616" s="12"/>
      <c r="S616" s="12"/>
      <c r="T616" s="175"/>
      <c r="U616" s="179"/>
      <c r="V616" s="208"/>
      <c r="W616" s="12"/>
      <c r="X616" s="12"/>
    </row>
    <row r="617">
      <c r="A617" s="175"/>
      <c r="B617" s="175"/>
      <c r="C617" s="176"/>
      <c r="D617" s="175"/>
      <c r="E617" s="175"/>
      <c r="F617" s="12"/>
      <c r="G617" s="12"/>
      <c r="H617" s="175"/>
      <c r="I617" s="12"/>
      <c r="J617" s="12"/>
      <c r="K617" s="175"/>
      <c r="L617" s="175"/>
      <c r="M617" s="175"/>
      <c r="N617" s="175"/>
      <c r="O617" s="175"/>
      <c r="P617" s="12"/>
      <c r="Q617" s="175"/>
      <c r="R617" s="12"/>
      <c r="S617" s="12"/>
      <c r="T617" s="175"/>
      <c r="U617" s="179"/>
      <c r="V617" s="208"/>
      <c r="W617" s="12"/>
      <c r="X617" s="12"/>
    </row>
    <row r="618">
      <c r="A618" s="175"/>
      <c r="B618" s="175"/>
      <c r="C618" s="176"/>
      <c r="D618" s="175"/>
      <c r="E618" s="175"/>
      <c r="F618" s="12"/>
      <c r="G618" s="12"/>
      <c r="H618" s="175"/>
      <c r="I618" s="12"/>
      <c r="J618" s="12"/>
      <c r="K618" s="175"/>
      <c r="L618" s="175"/>
      <c r="M618" s="175"/>
      <c r="N618" s="175"/>
      <c r="O618" s="175"/>
      <c r="P618" s="12"/>
      <c r="Q618" s="175"/>
      <c r="R618" s="12"/>
      <c r="S618" s="12"/>
      <c r="T618" s="175"/>
      <c r="U618" s="179"/>
      <c r="V618" s="208"/>
      <c r="W618" s="12"/>
      <c r="X618" s="12"/>
    </row>
    <row r="619">
      <c r="A619" s="175"/>
      <c r="B619" s="175"/>
      <c r="C619" s="176"/>
      <c r="D619" s="175"/>
      <c r="E619" s="175"/>
      <c r="F619" s="12"/>
      <c r="G619" s="12"/>
      <c r="H619" s="175"/>
      <c r="I619" s="12"/>
      <c r="J619" s="12"/>
      <c r="K619" s="175"/>
      <c r="L619" s="175"/>
      <c r="M619" s="175"/>
      <c r="N619" s="175"/>
      <c r="O619" s="175"/>
      <c r="P619" s="12"/>
      <c r="Q619" s="175"/>
      <c r="R619" s="12"/>
      <c r="S619" s="12"/>
      <c r="T619" s="175"/>
      <c r="U619" s="179"/>
      <c r="V619" s="208"/>
      <c r="W619" s="12"/>
      <c r="X619" s="12"/>
    </row>
    <row r="620">
      <c r="A620" s="175"/>
      <c r="B620" s="175"/>
      <c r="C620" s="176"/>
      <c r="D620" s="175"/>
      <c r="E620" s="175"/>
      <c r="F620" s="12"/>
      <c r="G620" s="12"/>
      <c r="H620" s="175"/>
      <c r="I620" s="12"/>
      <c r="J620" s="12"/>
      <c r="K620" s="175"/>
      <c r="L620" s="175"/>
      <c r="M620" s="175"/>
      <c r="N620" s="175"/>
      <c r="O620" s="175"/>
      <c r="P620" s="12"/>
      <c r="Q620" s="175"/>
      <c r="R620" s="12"/>
      <c r="S620" s="12"/>
      <c r="T620" s="175"/>
      <c r="U620" s="179"/>
      <c r="V620" s="208"/>
      <c r="W620" s="12"/>
      <c r="X620" s="12"/>
    </row>
    <row r="621">
      <c r="A621" s="175"/>
      <c r="B621" s="175"/>
      <c r="C621" s="176"/>
      <c r="D621" s="175"/>
      <c r="E621" s="175"/>
      <c r="F621" s="12"/>
      <c r="G621" s="12"/>
      <c r="H621" s="175"/>
      <c r="I621" s="12"/>
      <c r="J621" s="12"/>
      <c r="K621" s="175"/>
      <c r="L621" s="175"/>
      <c r="M621" s="175"/>
      <c r="N621" s="175"/>
      <c r="O621" s="175"/>
      <c r="P621" s="12"/>
      <c r="Q621" s="175"/>
      <c r="R621" s="12"/>
      <c r="S621" s="12"/>
      <c r="T621" s="175"/>
      <c r="U621" s="179"/>
      <c r="V621" s="208"/>
      <c r="W621" s="12"/>
      <c r="X621" s="12"/>
    </row>
    <row r="622">
      <c r="A622" s="175"/>
      <c r="B622" s="175"/>
      <c r="C622" s="176"/>
      <c r="D622" s="175"/>
      <c r="E622" s="175"/>
      <c r="F622" s="12"/>
      <c r="G622" s="12"/>
      <c r="H622" s="175"/>
      <c r="I622" s="12"/>
      <c r="J622" s="12"/>
      <c r="K622" s="175"/>
      <c r="L622" s="175"/>
      <c r="M622" s="175"/>
      <c r="N622" s="175"/>
      <c r="O622" s="175"/>
      <c r="P622" s="12"/>
      <c r="Q622" s="175"/>
      <c r="R622" s="12"/>
      <c r="S622" s="12"/>
      <c r="T622" s="175"/>
      <c r="U622" s="179"/>
      <c r="V622" s="208"/>
      <c r="W622" s="12"/>
      <c r="X622" s="12"/>
    </row>
    <row r="623">
      <c r="A623" s="175"/>
      <c r="B623" s="175"/>
      <c r="C623" s="176"/>
      <c r="D623" s="175"/>
      <c r="E623" s="175"/>
      <c r="F623" s="12"/>
      <c r="G623" s="12"/>
      <c r="H623" s="175"/>
      <c r="I623" s="12"/>
      <c r="J623" s="12"/>
      <c r="K623" s="175"/>
      <c r="L623" s="175"/>
      <c r="M623" s="175"/>
      <c r="N623" s="175"/>
      <c r="O623" s="175"/>
      <c r="P623" s="12"/>
      <c r="Q623" s="175"/>
      <c r="R623" s="12"/>
      <c r="S623" s="12"/>
      <c r="T623" s="175"/>
      <c r="U623" s="179"/>
      <c r="V623" s="208"/>
      <c r="W623" s="12"/>
      <c r="X623" s="12"/>
    </row>
    <row r="624">
      <c r="A624" s="175"/>
      <c r="B624" s="175"/>
      <c r="C624" s="176"/>
      <c r="D624" s="175"/>
      <c r="E624" s="175"/>
      <c r="F624" s="12"/>
      <c r="G624" s="12"/>
      <c r="H624" s="175"/>
      <c r="I624" s="12"/>
      <c r="J624" s="12"/>
      <c r="K624" s="175"/>
      <c r="L624" s="175"/>
      <c r="M624" s="175"/>
      <c r="N624" s="175"/>
      <c r="O624" s="175"/>
      <c r="P624" s="12"/>
      <c r="Q624" s="175"/>
      <c r="R624" s="12"/>
      <c r="S624" s="12"/>
      <c r="T624" s="175"/>
      <c r="U624" s="179"/>
      <c r="V624" s="208"/>
      <c r="W624" s="12"/>
      <c r="X624" s="12"/>
    </row>
    <row r="625">
      <c r="A625" s="175"/>
      <c r="B625" s="175"/>
      <c r="C625" s="176"/>
      <c r="D625" s="175"/>
      <c r="E625" s="175"/>
      <c r="F625" s="12"/>
      <c r="G625" s="12"/>
      <c r="H625" s="175"/>
      <c r="I625" s="12"/>
      <c r="J625" s="12"/>
      <c r="K625" s="175"/>
      <c r="L625" s="175"/>
      <c r="M625" s="175"/>
      <c r="N625" s="175"/>
      <c r="O625" s="175"/>
      <c r="P625" s="12"/>
      <c r="Q625" s="175"/>
      <c r="R625" s="12"/>
      <c r="S625" s="12"/>
      <c r="T625" s="175"/>
      <c r="U625" s="179"/>
      <c r="V625" s="208"/>
      <c r="W625" s="12"/>
      <c r="X625" s="12"/>
    </row>
    <row r="626">
      <c r="A626" s="175"/>
      <c r="B626" s="175"/>
      <c r="C626" s="176"/>
      <c r="D626" s="175"/>
      <c r="E626" s="175"/>
      <c r="F626" s="12"/>
      <c r="G626" s="12"/>
      <c r="H626" s="175"/>
      <c r="I626" s="12"/>
      <c r="J626" s="12"/>
      <c r="K626" s="175"/>
      <c r="L626" s="175"/>
      <c r="M626" s="175"/>
      <c r="N626" s="175"/>
      <c r="O626" s="175"/>
      <c r="P626" s="12"/>
      <c r="Q626" s="175"/>
      <c r="R626" s="12"/>
      <c r="S626" s="12"/>
      <c r="T626" s="175"/>
      <c r="U626" s="179"/>
      <c r="V626" s="208"/>
      <c r="W626" s="12"/>
      <c r="X626" s="12"/>
    </row>
    <row r="627">
      <c r="A627" s="175"/>
      <c r="B627" s="175"/>
      <c r="C627" s="176"/>
      <c r="D627" s="175"/>
      <c r="E627" s="175"/>
      <c r="F627" s="12"/>
      <c r="G627" s="12"/>
      <c r="H627" s="175"/>
      <c r="I627" s="12"/>
      <c r="J627" s="12"/>
      <c r="K627" s="175"/>
      <c r="L627" s="175"/>
      <c r="M627" s="175"/>
      <c r="N627" s="175"/>
      <c r="O627" s="175"/>
      <c r="P627" s="12"/>
      <c r="Q627" s="175"/>
      <c r="R627" s="12"/>
      <c r="S627" s="12"/>
      <c r="T627" s="175"/>
      <c r="U627" s="179"/>
      <c r="V627" s="208"/>
      <c r="W627" s="12"/>
      <c r="X627" s="12"/>
    </row>
    <row r="628">
      <c r="A628" s="175"/>
      <c r="B628" s="175"/>
      <c r="C628" s="176"/>
      <c r="D628" s="175"/>
      <c r="E628" s="175"/>
      <c r="F628" s="12"/>
      <c r="G628" s="12"/>
      <c r="H628" s="175"/>
      <c r="I628" s="12"/>
      <c r="J628" s="12"/>
      <c r="K628" s="175"/>
      <c r="L628" s="175"/>
      <c r="M628" s="175"/>
      <c r="N628" s="175"/>
      <c r="O628" s="175"/>
      <c r="P628" s="12"/>
      <c r="Q628" s="175"/>
      <c r="R628" s="12"/>
      <c r="S628" s="12"/>
      <c r="T628" s="175"/>
      <c r="U628" s="179"/>
      <c r="V628" s="208"/>
      <c r="W628" s="12"/>
      <c r="X628" s="12"/>
    </row>
    <row r="629">
      <c r="A629" s="175"/>
      <c r="B629" s="175"/>
      <c r="C629" s="176"/>
      <c r="D629" s="175"/>
      <c r="E629" s="175"/>
      <c r="F629" s="12"/>
      <c r="G629" s="12"/>
      <c r="H629" s="175"/>
      <c r="I629" s="12"/>
      <c r="J629" s="12"/>
      <c r="K629" s="175"/>
      <c r="L629" s="175"/>
      <c r="M629" s="175"/>
      <c r="N629" s="175"/>
      <c r="O629" s="175"/>
      <c r="P629" s="12"/>
      <c r="Q629" s="175"/>
      <c r="R629" s="12"/>
      <c r="S629" s="12"/>
      <c r="T629" s="175"/>
      <c r="U629" s="179"/>
      <c r="V629" s="208"/>
      <c r="W629" s="12"/>
      <c r="X629" s="12"/>
    </row>
    <row r="630">
      <c r="A630" s="175"/>
      <c r="B630" s="175"/>
      <c r="C630" s="176"/>
      <c r="D630" s="175"/>
      <c r="E630" s="175"/>
      <c r="F630" s="12"/>
      <c r="G630" s="12"/>
      <c r="H630" s="175"/>
      <c r="I630" s="12"/>
      <c r="J630" s="12"/>
      <c r="K630" s="175"/>
      <c r="L630" s="175"/>
      <c r="M630" s="175"/>
      <c r="N630" s="175"/>
      <c r="O630" s="175"/>
      <c r="P630" s="12"/>
      <c r="Q630" s="175"/>
      <c r="R630" s="12"/>
      <c r="S630" s="12"/>
      <c r="T630" s="175"/>
      <c r="U630" s="179"/>
      <c r="V630" s="208"/>
      <c r="W630" s="12"/>
      <c r="X630" s="12"/>
    </row>
    <row r="631">
      <c r="A631" s="175"/>
      <c r="B631" s="175"/>
      <c r="C631" s="176"/>
      <c r="D631" s="175"/>
      <c r="E631" s="175"/>
      <c r="F631" s="12"/>
      <c r="G631" s="12"/>
      <c r="H631" s="175"/>
      <c r="I631" s="12"/>
      <c r="J631" s="12"/>
      <c r="K631" s="175"/>
      <c r="L631" s="175"/>
      <c r="M631" s="175"/>
      <c r="N631" s="175"/>
      <c r="O631" s="175"/>
      <c r="P631" s="12"/>
      <c r="Q631" s="175"/>
      <c r="R631" s="12"/>
      <c r="S631" s="12"/>
      <c r="T631" s="175"/>
      <c r="U631" s="179"/>
      <c r="V631" s="208"/>
      <c r="W631" s="12"/>
      <c r="X631" s="12"/>
    </row>
    <row r="632">
      <c r="A632" s="175"/>
      <c r="B632" s="175"/>
      <c r="C632" s="176"/>
      <c r="D632" s="175"/>
      <c r="E632" s="175"/>
      <c r="F632" s="12"/>
      <c r="G632" s="12"/>
      <c r="H632" s="175"/>
      <c r="I632" s="12"/>
      <c r="J632" s="12"/>
      <c r="K632" s="175"/>
      <c r="L632" s="175"/>
      <c r="M632" s="175"/>
      <c r="N632" s="175"/>
      <c r="O632" s="175"/>
      <c r="P632" s="12"/>
      <c r="Q632" s="175"/>
      <c r="R632" s="12"/>
      <c r="S632" s="12"/>
      <c r="T632" s="175"/>
      <c r="U632" s="179"/>
      <c r="V632" s="208"/>
      <c r="W632" s="12"/>
      <c r="X632" s="12"/>
    </row>
    <row r="633">
      <c r="A633" s="175"/>
      <c r="B633" s="175"/>
      <c r="C633" s="176"/>
      <c r="D633" s="175"/>
      <c r="E633" s="175"/>
      <c r="F633" s="12"/>
      <c r="G633" s="12"/>
      <c r="H633" s="175"/>
      <c r="I633" s="12"/>
      <c r="J633" s="12"/>
      <c r="K633" s="175"/>
      <c r="L633" s="175"/>
      <c r="M633" s="175"/>
      <c r="N633" s="175"/>
      <c r="O633" s="175"/>
      <c r="P633" s="12"/>
      <c r="Q633" s="175"/>
      <c r="R633" s="12"/>
      <c r="S633" s="12"/>
      <c r="T633" s="175"/>
      <c r="U633" s="179"/>
      <c r="V633" s="208"/>
      <c r="W633" s="12"/>
      <c r="X633" s="12"/>
    </row>
    <row r="634">
      <c r="A634" s="175"/>
      <c r="B634" s="175"/>
      <c r="C634" s="176"/>
      <c r="D634" s="175"/>
      <c r="E634" s="175"/>
      <c r="F634" s="12"/>
      <c r="G634" s="12"/>
      <c r="H634" s="175"/>
      <c r="I634" s="12"/>
      <c r="J634" s="12"/>
      <c r="K634" s="175"/>
      <c r="L634" s="175"/>
      <c r="M634" s="175"/>
      <c r="N634" s="175"/>
      <c r="O634" s="175"/>
      <c r="P634" s="12"/>
      <c r="Q634" s="175"/>
      <c r="R634" s="12"/>
      <c r="S634" s="12"/>
      <c r="T634" s="175"/>
      <c r="U634" s="179"/>
      <c r="V634" s="208"/>
      <c r="W634" s="12"/>
      <c r="X634" s="12"/>
    </row>
    <row r="635">
      <c r="A635" s="175"/>
      <c r="B635" s="175"/>
      <c r="C635" s="176"/>
      <c r="D635" s="175"/>
      <c r="E635" s="175"/>
      <c r="F635" s="12"/>
      <c r="G635" s="12"/>
      <c r="H635" s="175"/>
      <c r="I635" s="12"/>
      <c r="J635" s="12"/>
      <c r="K635" s="175"/>
      <c r="L635" s="175"/>
      <c r="M635" s="175"/>
      <c r="N635" s="175"/>
      <c r="O635" s="175"/>
      <c r="P635" s="12"/>
      <c r="Q635" s="175"/>
      <c r="R635" s="12"/>
      <c r="S635" s="12"/>
      <c r="T635" s="175"/>
      <c r="U635" s="179"/>
      <c r="V635" s="208"/>
      <c r="W635" s="12"/>
      <c r="X635" s="12"/>
    </row>
    <row r="636">
      <c r="A636" s="175"/>
      <c r="B636" s="175"/>
      <c r="C636" s="176"/>
      <c r="D636" s="175"/>
      <c r="E636" s="175"/>
      <c r="F636" s="12"/>
      <c r="G636" s="12"/>
      <c r="H636" s="175"/>
      <c r="I636" s="12"/>
      <c r="J636" s="12"/>
      <c r="K636" s="175"/>
      <c r="L636" s="175"/>
      <c r="M636" s="175"/>
      <c r="N636" s="175"/>
      <c r="O636" s="175"/>
      <c r="P636" s="12"/>
      <c r="Q636" s="175"/>
      <c r="R636" s="12"/>
      <c r="S636" s="12"/>
      <c r="T636" s="175"/>
      <c r="U636" s="179"/>
      <c r="V636" s="208"/>
      <c r="W636" s="12"/>
      <c r="X636" s="12"/>
    </row>
    <row r="637">
      <c r="A637" s="175"/>
      <c r="B637" s="175"/>
      <c r="C637" s="176"/>
      <c r="D637" s="175"/>
      <c r="E637" s="175"/>
      <c r="F637" s="12"/>
      <c r="G637" s="12"/>
      <c r="H637" s="175"/>
      <c r="I637" s="12"/>
      <c r="J637" s="12"/>
      <c r="K637" s="175"/>
      <c r="L637" s="175"/>
      <c r="M637" s="175"/>
      <c r="N637" s="175"/>
      <c r="O637" s="175"/>
      <c r="P637" s="12"/>
      <c r="Q637" s="175"/>
      <c r="R637" s="12"/>
      <c r="S637" s="12"/>
      <c r="T637" s="175"/>
      <c r="U637" s="179"/>
      <c r="V637" s="208"/>
      <c r="W637" s="12"/>
      <c r="X637" s="12"/>
    </row>
    <row r="638">
      <c r="A638" s="175"/>
      <c r="B638" s="175"/>
      <c r="C638" s="176"/>
      <c r="D638" s="175"/>
      <c r="E638" s="175"/>
      <c r="F638" s="12"/>
      <c r="G638" s="12"/>
      <c r="H638" s="175"/>
      <c r="I638" s="12"/>
      <c r="J638" s="12"/>
      <c r="K638" s="175"/>
      <c r="L638" s="175"/>
      <c r="M638" s="175"/>
      <c r="N638" s="175"/>
      <c r="O638" s="175"/>
      <c r="P638" s="12"/>
      <c r="Q638" s="175"/>
      <c r="R638" s="12"/>
      <c r="S638" s="12"/>
      <c r="T638" s="175"/>
      <c r="U638" s="179"/>
      <c r="V638" s="208"/>
      <c r="W638" s="12"/>
      <c r="X638" s="12"/>
    </row>
    <row r="639">
      <c r="A639" s="175"/>
      <c r="B639" s="175"/>
      <c r="C639" s="176"/>
      <c r="D639" s="175"/>
      <c r="E639" s="175"/>
      <c r="F639" s="12"/>
      <c r="G639" s="12"/>
      <c r="H639" s="175"/>
      <c r="I639" s="12"/>
      <c r="J639" s="12"/>
      <c r="K639" s="175"/>
      <c r="L639" s="175"/>
      <c r="M639" s="175"/>
      <c r="N639" s="175"/>
      <c r="O639" s="175"/>
      <c r="P639" s="12"/>
      <c r="Q639" s="175"/>
      <c r="R639" s="12"/>
      <c r="S639" s="12"/>
      <c r="T639" s="175"/>
      <c r="U639" s="179"/>
      <c r="V639" s="208"/>
      <c r="W639" s="12"/>
      <c r="X639" s="12"/>
    </row>
    <row r="640">
      <c r="A640" s="175"/>
      <c r="B640" s="175"/>
      <c r="C640" s="176"/>
      <c r="D640" s="175"/>
      <c r="E640" s="175"/>
      <c r="F640" s="12"/>
      <c r="G640" s="12"/>
      <c r="H640" s="175"/>
      <c r="I640" s="12"/>
      <c r="J640" s="12"/>
      <c r="K640" s="175"/>
      <c r="L640" s="175"/>
      <c r="M640" s="175"/>
      <c r="N640" s="175"/>
      <c r="O640" s="175"/>
      <c r="P640" s="12"/>
      <c r="Q640" s="175"/>
      <c r="R640" s="12"/>
      <c r="S640" s="12"/>
      <c r="T640" s="175"/>
      <c r="U640" s="179"/>
      <c r="V640" s="208"/>
      <c r="W640" s="12"/>
      <c r="X640" s="12"/>
    </row>
    <row r="641">
      <c r="A641" s="175"/>
      <c r="B641" s="175"/>
      <c r="C641" s="176"/>
      <c r="D641" s="175"/>
      <c r="E641" s="175"/>
      <c r="F641" s="12"/>
      <c r="G641" s="12"/>
      <c r="H641" s="175"/>
      <c r="I641" s="12"/>
      <c r="J641" s="12"/>
      <c r="K641" s="175"/>
      <c r="L641" s="175"/>
      <c r="M641" s="175"/>
      <c r="N641" s="175"/>
      <c r="O641" s="175"/>
      <c r="P641" s="12"/>
      <c r="Q641" s="175"/>
      <c r="R641" s="12"/>
      <c r="S641" s="12"/>
      <c r="T641" s="175"/>
      <c r="U641" s="179"/>
      <c r="V641" s="208"/>
      <c r="W641" s="12"/>
      <c r="X641" s="12"/>
    </row>
    <row r="642">
      <c r="A642" s="175"/>
      <c r="B642" s="175"/>
      <c r="C642" s="176"/>
      <c r="D642" s="175"/>
      <c r="E642" s="175"/>
      <c r="F642" s="12"/>
      <c r="G642" s="12"/>
      <c r="H642" s="175"/>
      <c r="I642" s="12"/>
      <c r="J642" s="12"/>
      <c r="K642" s="175"/>
      <c r="L642" s="175"/>
      <c r="M642" s="175"/>
      <c r="N642" s="175"/>
      <c r="O642" s="175"/>
      <c r="P642" s="12"/>
      <c r="Q642" s="175"/>
      <c r="R642" s="12"/>
      <c r="S642" s="12"/>
      <c r="T642" s="175"/>
      <c r="U642" s="179"/>
      <c r="V642" s="208"/>
      <c r="W642" s="12"/>
      <c r="X642" s="12"/>
    </row>
    <row r="643">
      <c r="A643" s="175"/>
      <c r="B643" s="175"/>
      <c r="C643" s="176"/>
      <c r="D643" s="175"/>
      <c r="E643" s="175"/>
      <c r="F643" s="12"/>
      <c r="G643" s="12"/>
      <c r="H643" s="175"/>
      <c r="I643" s="12"/>
      <c r="J643" s="12"/>
      <c r="K643" s="175"/>
      <c r="L643" s="175"/>
      <c r="M643" s="175"/>
      <c r="N643" s="175"/>
      <c r="O643" s="175"/>
      <c r="P643" s="12"/>
      <c r="Q643" s="175"/>
      <c r="R643" s="12"/>
      <c r="S643" s="12"/>
      <c r="T643" s="175"/>
      <c r="U643" s="179"/>
      <c r="V643" s="208"/>
      <c r="W643" s="12"/>
      <c r="X643" s="12"/>
    </row>
    <row r="644">
      <c r="A644" s="175"/>
      <c r="B644" s="175"/>
      <c r="C644" s="176"/>
      <c r="D644" s="175"/>
      <c r="E644" s="175"/>
      <c r="F644" s="12"/>
      <c r="G644" s="12"/>
      <c r="H644" s="175"/>
      <c r="I644" s="12"/>
      <c r="J644" s="12"/>
      <c r="K644" s="175"/>
      <c r="L644" s="175"/>
      <c r="M644" s="175"/>
      <c r="N644" s="175"/>
      <c r="O644" s="175"/>
      <c r="P644" s="12"/>
      <c r="Q644" s="175"/>
      <c r="R644" s="12"/>
      <c r="S644" s="12"/>
      <c r="T644" s="175"/>
      <c r="U644" s="179"/>
      <c r="V644" s="208"/>
      <c r="W644" s="12"/>
      <c r="X644" s="12"/>
    </row>
    <row r="645">
      <c r="A645" s="175"/>
      <c r="B645" s="175"/>
      <c r="C645" s="176"/>
      <c r="D645" s="175"/>
      <c r="E645" s="175"/>
      <c r="F645" s="12"/>
      <c r="G645" s="12"/>
      <c r="H645" s="175"/>
      <c r="I645" s="12"/>
      <c r="J645" s="12"/>
      <c r="K645" s="175"/>
      <c r="L645" s="175"/>
      <c r="M645" s="175"/>
      <c r="N645" s="175"/>
      <c r="O645" s="175"/>
      <c r="P645" s="12"/>
      <c r="Q645" s="175"/>
      <c r="R645" s="12"/>
      <c r="S645" s="12"/>
      <c r="T645" s="175"/>
      <c r="U645" s="179"/>
      <c r="V645" s="208"/>
      <c r="W645" s="12"/>
      <c r="X645" s="12"/>
    </row>
    <row r="646">
      <c r="A646" s="175"/>
      <c r="B646" s="175"/>
      <c r="C646" s="176"/>
      <c r="D646" s="175"/>
      <c r="E646" s="175"/>
      <c r="F646" s="12"/>
      <c r="G646" s="12"/>
      <c r="H646" s="175"/>
      <c r="I646" s="12"/>
      <c r="J646" s="12"/>
      <c r="K646" s="175"/>
      <c r="L646" s="175"/>
      <c r="M646" s="175"/>
      <c r="N646" s="175"/>
      <c r="O646" s="175"/>
      <c r="P646" s="12"/>
      <c r="Q646" s="175"/>
      <c r="R646" s="12"/>
      <c r="S646" s="12"/>
      <c r="T646" s="175"/>
      <c r="U646" s="179"/>
      <c r="V646" s="208"/>
      <c r="W646" s="12"/>
      <c r="X646" s="12"/>
    </row>
    <row r="647">
      <c r="A647" s="175"/>
      <c r="B647" s="175"/>
      <c r="C647" s="176"/>
      <c r="D647" s="175"/>
      <c r="E647" s="175"/>
      <c r="F647" s="12"/>
      <c r="G647" s="12"/>
      <c r="H647" s="175"/>
      <c r="I647" s="12"/>
      <c r="J647" s="12"/>
      <c r="K647" s="175"/>
      <c r="L647" s="175"/>
      <c r="M647" s="175"/>
      <c r="N647" s="175"/>
      <c r="O647" s="175"/>
      <c r="P647" s="12"/>
      <c r="Q647" s="175"/>
      <c r="R647" s="12"/>
      <c r="S647" s="12"/>
      <c r="T647" s="175"/>
      <c r="U647" s="179"/>
      <c r="V647" s="208"/>
      <c r="W647" s="12"/>
      <c r="X647" s="12"/>
    </row>
    <row r="648">
      <c r="A648" s="175"/>
      <c r="B648" s="175"/>
      <c r="C648" s="176"/>
      <c r="D648" s="175"/>
      <c r="E648" s="175"/>
      <c r="F648" s="12"/>
      <c r="G648" s="12"/>
      <c r="H648" s="175"/>
      <c r="I648" s="12"/>
      <c r="J648" s="12"/>
      <c r="K648" s="175"/>
      <c r="L648" s="175"/>
      <c r="M648" s="175"/>
      <c r="N648" s="175"/>
      <c r="O648" s="175"/>
      <c r="P648" s="12"/>
      <c r="Q648" s="175"/>
      <c r="R648" s="12"/>
      <c r="S648" s="12"/>
      <c r="T648" s="175"/>
      <c r="U648" s="179"/>
      <c r="V648" s="208"/>
      <c r="W648" s="12"/>
      <c r="X648" s="12"/>
    </row>
    <row r="649">
      <c r="A649" s="175"/>
      <c r="B649" s="175"/>
      <c r="C649" s="176"/>
      <c r="D649" s="175"/>
      <c r="E649" s="175"/>
      <c r="F649" s="12"/>
      <c r="G649" s="12"/>
      <c r="H649" s="175"/>
      <c r="I649" s="12"/>
      <c r="J649" s="12"/>
      <c r="K649" s="175"/>
      <c r="L649" s="175"/>
      <c r="M649" s="175"/>
      <c r="N649" s="175"/>
      <c r="O649" s="175"/>
      <c r="P649" s="12"/>
      <c r="Q649" s="175"/>
      <c r="R649" s="12"/>
      <c r="S649" s="12"/>
      <c r="T649" s="175"/>
      <c r="U649" s="179"/>
      <c r="V649" s="208"/>
      <c r="W649" s="12"/>
      <c r="X649" s="12"/>
    </row>
    <row r="650">
      <c r="A650" s="175"/>
      <c r="B650" s="175"/>
      <c r="C650" s="176"/>
      <c r="D650" s="175"/>
      <c r="E650" s="175"/>
      <c r="F650" s="12"/>
      <c r="G650" s="12"/>
      <c r="H650" s="175"/>
      <c r="I650" s="12"/>
      <c r="J650" s="12"/>
      <c r="K650" s="175"/>
      <c r="L650" s="175"/>
      <c r="M650" s="175"/>
      <c r="N650" s="175"/>
      <c r="O650" s="175"/>
      <c r="P650" s="12"/>
      <c r="Q650" s="175"/>
      <c r="R650" s="12"/>
      <c r="S650" s="12"/>
      <c r="T650" s="175"/>
      <c r="U650" s="179"/>
      <c r="V650" s="208"/>
      <c r="W650" s="12"/>
      <c r="X650" s="12"/>
    </row>
    <row r="651">
      <c r="A651" s="175"/>
      <c r="B651" s="175"/>
      <c r="C651" s="176"/>
      <c r="D651" s="175"/>
      <c r="E651" s="175"/>
      <c r="F651" s="12"/>
      <c r="G651" s="12"/>
      <c r="H651" s="175"/>
      <c r="I651" s="12"/>
      <c r="J651" s="12"/>
      <c r="K651" s="175"/>
      <c r="L651" s="175"/>
      <c r="M651" s="175"/>
      <c r="N651" s="175"/>
      <c r="O651" s="175"/>
      <c r="P651" s="12"/>
      <c r="Q651" s="175"/>
      <c r="R651" s="12"/>
      <c r="S651" s="12"/>
      <c r="T651" s="175"/>
      <c r="U651" s="179"/>
      <c r="V651" s="208"/>
      <c r="W651" s="12"/>
      <c r="X651" s="12"/>
    </row>
    <row r="652">
      <c r="A652" s="175"/>
      <c r="B652" s="175"/>
      <c r="C652" s="176"/>
      <c r="D652" s="175"/>
      <c r="E652" s="175"/>
      <c r="F652" s="12"/>
      <c r="G652" s="12"/>
      <c r="H652" s="175"/>
      <c r="I652" s="12"/>
      <c r="J652" s="12"/>
      <c r="K652" s="175"/>
      <c r="L652" s="175"/>
      <c r="M652" s="175"/>
      <c r="N652" s="175"/>
      <c r="O652" s="175"/>
      <c r="P652" s="12"/>
      <c r="Q652" s="175"/>
      <c r="R652" s="12"/>
      <c r="S652" s="12"/>
      <c r="T652" s="175"/>
      <c r="U652" s="179"/>
      <c r="V652" s="208"/>
      <c r="W652" s="12"/>
      <c r="X652" s="12"/>
    </row>
    <row r="653">
      <c r="A653" s="175"/>
      <c r="B653" s="175"/>
      <c r="C653" s="176"/>
      <c r="D653" s="175"/>
      <c r="E653" s="175"/>
      <c r="F653" s="12"/>
      <c r="G653" s="12"/>
      <c r="H653" s="175"/>
      <c r="I653" s="12"/>
      <c r="J653" s="12"/>
      <c r="K653" s="175"/>
      <c r="L653" s="175"/>
      <c r="M653" s="175"/>
      <c r="N653" s="175"/>
      <c r="O653" s="175"/>
      <c r="P653" s="12"/>
      <c r="Q653" s="175"/>
      <c r="R653" s="12"/>
      <c r="S653" s="12"/>
      <c r="T653" s="175"/>
      <c r="U653" s="179"/>
      <c r="V653" s="208"/>
      <c r="W653" s="12"/>
      <c r="X653" s="12"/>
    </row>
    <row r="654">
      <c r="A654" s="175"/>
      <c r="B654" s="175"/>
      <c r="C654" s="176"/>
      <c r="D654" s="175"/>
      <c r="E654" s="175"/>
      <c r="F654" s="12"/>
      <c r="G654" s="12"/>
      <c r="H654" s="175"/>
      <c r="I654" s="12"/>
      <c r="J654" s="12"/>
      <c r="K654" s="175"/>
      <c r="L654" s="175"/>
      <c r="M654" s="175"/>
      <c r="N654" s="175"/>
      <c r="O654" s="175"/>
      <c r="P654" s="12"/>
      <c r="Q654" s="175"/>
      <c r="R654" s="12"/>
      <c r="S654" s="12"/>
      <c r="T654" s="175"/>
      <c r="U654" s="179"/>
      <c r="V654" s="208"/>
      <c r="W654" s="12"/>
      <c r="X654" s="12"/>
    </row>
    <row r="655">
      <c r="A655" s="175"/>
      <c r="B655" s="175"/>
      <c r="C655" s="176"/>
      <c r="D655" s="175"/>
      <c r="E655" s="175"/>
      <c r="F655" s="12"/>
      <c r="G655" s="12"/>
      <c r="H655" s="175"/>
      <c r="I655" s="12"/>
      <c r="J655" s="12"/>
      <c r="K655" s="175"/>
      <c r="L655" s="175"/>
      <c r="M655" s="175"/>
      <c r="N655" s="175"/>
      <c r="O655" s="175"/>
      <c r="P655" s="12"/>
      <c r="Q655" s="175"/>
      <c r="R655" s="12"/>
      <c r="S655" s="12"/>
      <c r="T655" s="175"/>
      <c r="U655" s="179"/>
      <c r="V655" s="208"/>
      <c r="W655" s="12"/>
      <c r="X655" s="12"/>
    </row>
    <row r="656">
      <c r="A656" s="175"/>
      <c r="B656" s="175"/>
      <c r="C656" s="176"/>
      <c r="D656" s="175"/>
      <c r="E656" s="175"/>
      <c r="F656" s="12"/>
      <c r="G656" s="12"/>
      <c r="H656" s="175"/>
      <c r="I656" s="12"/>
      <c r="J656" s="12"/>
      <c r="K656" s="175"/>
      <c r="L656" s="175"/>
      <c r="M656" s="175"/>
      <c r="N656" s="175"/>
      <c r="O656" s="175"/>
      <c r="P656" s="12"/>
      <c r="Q656" s="175"/>
      <c r="R656" s="12"/>
      <c r="S656" s="12"/>
      <c r="T656" s="175"/>
      <c r="U656" s="179"/>
      <c r="V656" s="208"/>
      <c r="W656" s="12"/>
      <c r="X656" s="12"/>
    </row>
    <row r="657">
      <c r="A657" s="175"/>
      <c r="B657" s="175"/>
      <c r="C657" s="176"/>
      <c r="D657" s="175"/>
      <c r="E657" s="175"/>
      <c r="F657" s="12"/>
      <c r="G657" s="12"/>
      <c r="H657" s="175"/>
      <c r="I657" s="12"/>
      <c r="J657" s="12"/>
      <c r="K657" s="175"/>
      <c r="L657" s="175"/>
      <c r="M657" s="175"/>
      <c r="N657" s="175"/>
      <c r="O657" s="175"/>
      <c r="P657" s="12"/>
      <c r="Q657" s="175"/>
      <c r="R657" s="12"/>
      <c r="S657" s="12"/>
      <c r="T657" s="175"/>
      <c r="U657" s="179"/>
      <c r="V657" s="208"/>
      <c r="W657" s="12"/>
      <c r="X657" s="12"/>
    </row>
    <row r="658">
      <c r="A658" s="175"/>
      <c r="B658" s="175"/>
      <c r="C658" s="176"/>
      <c r="D658" s="175"/>
      <c r="E658" s="175"/>
      <c r="F658" s="12"/>
      <c r="G658" s="12"/>
      <c r="H658" s="175"/>
      <c r="I658" s="12"/>
      <c r="J658" s="12"/>
      <c r="K658" s="175"/>
      <c r="L658" s="175"/>
      <c r="M658" s="175"/>
      <c r="N658" s="175"/>
      <c r="O658" s="175"/>
      <c r="P658" s="12"/>
      <c r="Q658" s="175"/>
      <c r="R658" s="12"/>
      <c r="S658" s="12"/>
      <c r="T658" s="175"/>
      <c r="U658" s="179"/>
      <c r="V658" s="208"/>
      <c r="W658" s="12"/>
      <c r="X658" s="12"/>
    </row>
    <row r="659">
      <c r="A659" s="175"/>
      <c r="B659" s="175"/>
      <c r="C659" s="176"/>
      <c r="D659" s="175"/>
      <c r="E659" s="175"/>
      <c r="F659" s="12"/>
      <c r="G659" s="12"/>
      <c r="H659" s="175"/>
      <c r="I659" s="12"/>
      <c r="J659" s="12"/>
      <c r="K659" s="175"/>
      <c r="L659" s="175"/>
      <c r="M659" s="175"/>
      <c r="N659" s="175"/>
      <c r="O659" s="175"/>
      <c r="P659" s="12"/>
      <c r="Q659" s="175"/>
      <c r="R659" s="12"/>
      <c r="S659" s="12"/>
      <c r="T659" s="175"/>
      <c r="U659" s="179"/>
      <c r="V659" s="208"/>
      <c r="W659" s="12"/>
      <c r="X659" s="12"/>
    </row>
    <row r="660">
      <c r="A660" s="175"/>
      <c r="B660" s="175"/>
      <c r="C660" s="176"/>
      <c r="D660" s="175"/>
      <c r="E660" s="175"/>
      <c r="F660" s="12"/>
      <c r="G660" s="12"/>
      <c r="H660" s="175"/>
      <c r="I660" s="12"/>
      <c r="J660" s="12"/>
      <c r="K660" s="175"/>
      <c r="L660" s="175"/>
      <c r="M660" s="175"/>
      <c r="N660" s="175"/>
      <c r="O660" s="175"/>
      <c r="P660" s="12"/>
      <c r="Q660" s="175"/>
      <c r="R660" s="12"/>
      <c r="S660" s="12"/>
      <c r="T660" s="175"/>
      <c r="U660" s="179"/>
      <c r="V660" s="208"/>
      <c r="W660" s="12"/>
      <c r="X660" s="12"/>
    </row>
    <row r="661">
      <c r="A661" s="175"/>
      <c r="B661" s="175"/>
      <c r="C661" s="176"/>
      <c r="D661" s="175"/>
      <c r="E661" s="175"/>
      <c r="F661" s="12"/>
      <c r="G661" s="12"/>
      <c r="H661" s="175"/>
      <c r="I661" s="12"/>
      <c r="J661" s="12"/>
      <c r="K661" s="175"/>
      <c r="L661" s="175"/>
      <c r="M661" s="175"/>
      <c r="N661" s="175"/>
      <c r="O661" s="175"/>
      <c r="P661" s="12"/>
      <c r="Q661" s="175"/>
      <c r="R661" s="12"/>
      <c r="S661" s="12"/>
      <c r="T661" s="175"/>
      <c r="U661" s="179"/>
      <c r="V661" s="208"/>
      <c r="W661" s="12"/>
      <c r="X661" s="12"/>
    </row>
    <row r="662">
      <c r="A662" s="175"/>
      <c r="B662" s="175"/>
      <c r="C662" s="176"/>
      <c r="D662" s="175"/>
      <c r="E662" s="175"/>
      <c r="F662" s="12"/>
      <c r="G662" s="12"/>
      <c r="H662" s="175"/>
      <c r="I662" s="12"/>
      <c r="J662" s="12"/>
      <c r="K662" s="175"/>
      <c r="L662" s="175"/>
      <c r="M662" s="175"/>
      <c r="N662" s="175"/>
      <c r="O662" s="175"/>
      <c r="P662" s="12"/>
      <c r="Q662" s="175"/>
      <c r="R662" s="12"/>
      <c r="S662" s="12"/>
      <c r="T662" s="175"/>
      <c r="U662" s="179"/>
      <c r="V662" s="208"/>
      <c r="W662" s="12"/>
      <c r="X662" s="12"/>
    </row>
    <row r="663">
      <c r="A663" s="175"/>
      <c r="B663" s="175"/>
      <c r="C663" s="176"/>
      <c r="D663" s="175"/>
      <c r="E663" s="175"/>
      <c r="F663" s="12"/>
      <c r="G663" s="12"/>
      <c r="H663" s="175"/>
      <c r="I663" s="12"/>
      <c r="J663" s="12"/>
      <c r="K663" s="175"/>
      <c r="L663" s="175"/>
      <c r="M663" s="175"/>
      <c r="N663" s="175"/>
      <c r="O663" s="175"/>
      <c r="P663" s="12"/>
      <c r="Q663" s="175"/>
      <c r="R663" s="12"/>
      <c r="S663" s="12"/>
      <c r="T663" s="175"/>
      <c r="U663" s="179"/>
      <c r="V663" s="208"/>
      <c r="W663" s="12"/>
      <c r="X663" s="12"/>
    </row>
    <row r="664">
      <c r="A664" s="175"/>
      <c r="B664" s="175"/>
      <c r="C664" s="176"/>
      <c r="D664" s="175"/>
      <c r="E664" s="175"/>
      <c r="F664" s="12"/>
      <c r="G664" s="12"/>
      <c r="H664" s="175"/>
      <c r="I664" s="12"/>
      <c r="J664" s="12"/>
      <c r="K664" s="175"/>
      <c r="L664" s="175"/>
      <c r="M664" s="175"/>
      <c r="N664" s="175"/>
      <c r="O664" s="175"/>
      <c r="P664" s="12"/>
      <c r="Q664" s="175"/>
      <c r="R664" s="12"/>
      <c r="S664" s="12"/>
      <c r="T664" s="175"/>
      <c r="U664" s="179"/>
      <c r="V664" s="208"/>
      <c r="W664" s="12"/>
      <c r="X664" s="12"/>
    </row>
    <row r="665">
      <c r="A665" s="175"/>
      <c r="B665" s="175"/>
      <c r="C665" s="176"/>
      <c r="D665" s="175"/>
      <c r="E665" s="175"/>
      <c r="F665" s="12"/>
      <c r="G665" s="12"/>
      <c r="H665" s="175"/>
      <c r="I665" s="12"/>
      <c r="J665" s="12"/>
      <c r="K665" s="175"/>
      <c r="L665" s="175"/>
      <c r="M665" s="175"/>
      <c r="N665" s="175"/>
      <c r="O665" s="175"/>
      <c r="P665" s="12"/>
      <c r="Q665" s="175"/>
      <c r="R665" s="12"/>
      <c r="S665" s="12"/>
      <c r="T665" s="175"/>
      <c r="U665" s="179"/>
      <c r="V665" s="208"/>
      <c r="W665" s="12"/>
      <c r="X665" s="12"/>
    </row>
    <row r="666">
      <c r="A666" s="175"/>
      <c r="B666" s="175"/>
      <c r="C666" s="176"/>
      <c r="D666" s="175"/>
      <c r="E666" s="175"/>
      <c r="F666" s="12"/>
      <c r="G666" s="12"/>
      <c r="H666" s="175"/>
      <c r="I666" s="12"/>
      <c r="J666" s="12"/>
      <c r="K666" s="175"/>
      <c r="L666" s="175"/>
      <c r="M666" s="175"/>
      <c r="N666" s="175"/>
      <c r="O666" s="175"/>
      <c r="P666" s="12"/>
      <c r="Q666" s="175"/>
      <c r="R666" s="12"/>
      <c r="S666" s="12"/>
      <c r="T666" s="175"/>
      <c r="U666" s="179"/>
      <c r="V666" s="208"/>
      <c r="W666" s="12"/>
      <c r="X666" s="12"/>
    </row>
    <row r="667">
      <c r="A667" s="175"/>
      <c r="B667" s="175"/>
      <c r="C667" s="176"/>
      <c r="D667" s="175"/>
      <c r="E667" s="175"/>
      <c r="F667" s="12"/>
      <c r="G667" s="12"/>
      <c r="H667" s="175"/>
      <c r="I667" s="12"/>
      <c r="J667" s="12"/>
      <c r="K667" s="175"/>
      <c r="L667" s="175"/>
      <c r="M667" s="175"/>
      <c r="N667" s="175"/>
      <c r="O667" s="175"/>
      <c r="P667" s="12"/>
      <c r="Q667" s="175"/>
      <c r="R667" s="12"/>
      <c r="S667" s="12"/>
      <c r="T667" s="175"/>
      <c r="U667" s="179"/>
      <c r="V667" s="208"/>
      <c r="W667" s="12"/>
      <c r="X667" s="12"/>
    </row>
    <row r="668">
      <c r="A668" s="175"/>
      <c r="B668" s="175"/>
      <c r="C668" s="176"/>
      <c r="D668" s="175"/>
      <c r="E668" s="175"/>
      <c r="F668" s="12"/>
      <c r="G668" s="12"/>
      <c r="H668" s="175"/>
      <c r="I668" s="12"/>
      <c r="J668" s="12"/>
      <c r="K668" s="175"/>
      <c r="L668" s="175"/>
      <c r="M668" s="175"/>
      <c r="N668" s="175"/>
      <c r="O668" s="175"/>
      <c r="P668" s="12"/>
      <c r="Q668" s="175"/>
      <c r="R668" s="12"/>
      <c r="S668" s="12"/>
      <c r="T668" s="175"/>
      <c r="U668" s="179"/>
      <c r="V668" s="208"/>
      <c r="W668" s="12"/>
      <c r="X668" s="12"/>
    </row>
    <row r="669">
      <c r="A669" s="175"/>
      <c r="B669" s="175"/>
      <c r="C669" s="176"/>
      <c r="D669" s="175"/>
      <c r="E669" s="175"/>
      <c r="F669" s="12"/>
      <c r="G669" s="12"/>
      <c r="H669" s="175"/>
      <c r="I669" s="12"/>
      <c r="J669" s="12"/>
      <c r="K669" s="175"/>
      <c r="L669" s="175"/>
      <c r="M669" s="175"/>
      <c r="N669" s="175"/>
      <c r="O669" s="175"/>
      <c r="P669" s="12"/>
      <c r="Q669" s="175"/>
      <c r="R669" s="12"/>
      <c r="S669" s="12"/>
      <c r="T669" s="175"/>
      <c r="U669" s="179"/>
      <c r="V669" s="208"/>
      <c r="W669" s="12"/>
      <c r="X669" s="12"/>
    </row>
    <row r="670">
      <c r="A670" s="175"/>
      <c r="B670" s="175"/>
      <c r="C670" s="176"/>
      <c r="D670" s="175"/>
      <c r="E670" s="175"/>
      <c r="F670" s="12"/>
      <c r="G670" s="12"/>
      <c r="H670" s="175"/>
      <c r="I670" s="12"/>
      <c r="J670" s="12"/>
      <c r="K670" s="175"/>
      <c r="L670" s="175"/>
      <c r="M670" s="175"/>
      <c r="N670" s="175"/>
      <c r="O670" s="175"/>
      <c r="P670" s="12"/>
      <c r="Q670" s="175"/>
      <c r="R670" s="12"/>
      <c r="S670" s="12"/>
      <c r="T670" s="175"/>
      <c r="U670" s="179"/>
      <c r="V670" s="208"/>
      <c r="W670" s="12"/>
      <c r="X670" s="12"/>
    </row>
    <row r="671">
      <c r="A671" s="175"/>
      <c r="B671" s="175"/>
      <c r="C671" s="176"/>
      <c r="D671" s="175"/>
      <c r="E671" s="175"/>
      <c r="F671" s="12"/>
      <c r="G671" s="12"/>
      <c r="H671" s="175"/>
      <c r="I671" s="12"/>
      <c r="J671" s="12"/>
      <c r="K671" s="175"/>
      <c r="L671" s="175"/>
      <c r="M671" s="175"/>
      <c r="N671" s="175"/>
      <c r="O671" s="175"/>
      <c r="P671" s="12"/>
      <c r="Q671" s="175"/>
      <c r="R671" s="12"/>
      <c r="S671" s="12"/>
      <c r="T671" s="175"/>
      <c r="U671" s="179"/>
      <c r="V671" s="208"/>
      <c r="W671" s="12"/>
      <c r="X671" s="12"/>
    </row>
    <row r="672">
      <c r="A672" s="175"/>
      <c r="B672" s="175"/>
      <c r="C672" s="176"/>
      <c r="D672" s="175"/>
      <c r="E672" s="175"/>
      <c r="F672" s="12"/>
      <c r="G672" s="12"/>
      <c r="H672" s="175"/>
      <c r="I672" s="12"/>
      <c r="J672" s="12"/>
      <c r="K672" s="175"/>
      <c r="L672" s="175"/>
      <c r="M672" s="175"/>
      <c r="N672" s="175"/>
      <c r="O672" s="175"/>
      <c r="P672" s="12"/>
      <c r="Q672" s="175"/>
      <c r="R672" s="12"/>
      <c r="S672" s="12"/>
      <c r="T672" s="175"/>
      <c r="U672" s="179"/>
      <c r="V672" s="208"/>
      <c r="W672" s="12"/>
      <c r="X672" s="12"/>
    </row>
    <row r="673">
      <c r="A673" s="175"/>
      <c r="B673" s="175"/>
      <c r="C673" s="176"/>
      <c r="D673" s="175"/>
      <c r="E673" s="175"/>
      <c r="F673" s="12"/>
      <c r="G673" s="12"/>
      <c r="H673" s="175"/>
      <c r="I673" s="12"/>
      <c r="J673" s="12"/>
      <c r="K673" s="175"/>
      <c r="L673" s="175"/>
      <c r="M673" s="175"/>
      <c r="N673" s="175"/>
      <c r="O673" s="175"/>
      <c r="P673" s="12"/>
      <c r="Q673" s="175"/>
      <c r="R673" s="12"/>
      <c r="S673" s="12"/>
      <c r="T673" s="175"/>
      <c r="U673" s="179"/>
      <c r="V673" s="208"/>
      <c r="W673" s="12"/>
      <c r="X673" s="12"/>
    </row>
    <row r="674">
      <c r="A674" s="175"/>
      <c r="B674" s="175"/>
      <c r="C674" s="176"/>
      <c r="D674" s="175"/>
      <c r="E674" s="175"/>
      <c r="F674" s="12"/>
      <c r="G674" s="12"/>
      <c r="H674" s="175"/>
      <c r="I674" s="12"/>
      <c r="J674" s="12"/>
      <c r="K674" s="175"/>
      <c r="L674" s="175"/>
      <c r="M674" s="175"/>
      <c r="N674" s="175"/>
      <c r="O674" s="175"/>
      <c r="P674" s="12"/>
      <c r="Q674" s="175"/>
      <c r="R674" s="12"/>
      <c r="S674" s="12"/>
      <c r="T674" s="175"/>
      <c r="U674" s="179"/>
      <c r="V674" s="208"/>
      <c r="W674" s="12"/>
      <c r="X674" s="12"/>
    </row>
    <row r="675">
      <c r="A675" s="175"/>
      <c r="B675" s="175"/>
      <c r="C675" s="176"/>
      <c r="D675" s="175"/>
      <c r="E675" s="175"/>
      <c r="F675" s="12"/>
      <c r="G675" s="12"/>
      <c r="H675" s="175"/>
      <c r="I675" s="12"/>
      <c r="J675" s="12"/>
      <c r="K675" s="175"/>
      <c r="L675" s="175"/>
      <c r="M675" s="175"/>
      <c r="N675" s="175"/>
      <c r="O675" s="175"/>
      <c r="P675" s="12"/>
      <c r="Q675" s="175"/>
      <c r="R675" s="12"/>
      <c r="S675" s="12"/>
      <c r="T675" s="175"/>
      <c r="U675" s="179"/>
      <c r="V675" s="208"/>
      <c r="W675" s="12"/>
      <c r="X675" s="12"/>
    </row>
    <row r="676">
      <c r="A676" s="175"/>
      <c r="B676" s="175"/>
      <c r="C676" s="176"/>
      <c r="D676" s="175"/>
      <c r="E676" s="175"/>
      <c r="F676" s="12"/>
      <c r="G676" s="12"/>
      <c r="H676" s="175"/>
      <c r="I676" s="12"/>
      <c r="J676" s="12"/>
      <c r="K676" s="175"/>
      <c r="L676" s="175"/>
      <c r="M676" s="175"/>
      <c r="N676" s="175"/>
      <c r="O676" s="175"/>
      <c r="P676" s="12"/>
      <c r="Q676" s="175"/>
      <c r="R676" s="12"/>
      <c r="S676" s="12"/>
      <c r="T676" s="175"/>
      <c r="U676" s="179"/>
      <c r="V676" s="208"/>
      <c r="W676" s="12"/>
      <c r="X676" s="12"/>
    </row>
    <row r="677">
      <c r="A677" s="175"/>
      <c r="B677" s="175"/>
      <c r="C677" s="176"/>
      <c r="D677" s="175"/>
      <c r="E677" s="175"/>
      <c r="F677" s="12"/>
      <c r="G677" s="12"/>
      <c r="H677" s="175"/>
      <c r="I677" s="12"/>
      <c r="J677" s="12"/>
      <c r="K677" s="175"/>
      <c r="L677" s="175"/>
      <c r="M677" s="175"/>
      <c r="N677" s="175"/>
      <c r="O677" s="175"/>
      <c r="P677" s="12"/>
      <c r="Q677" s="175"/>
      <c r="R677" s="12"/>
      <c r="S677" s="12"/>
      <c r="T677" s="175"/>
      <c r="U677" s="179"/>
      <c r="V677" s="208"/>
      <c r="W677" s="12"/>
      <c r="X677" s="12"/>
    </row>
    <row r="678">
      <c r="A678" s="175"/>
      <c r="B678" s="175"/>
      <c r="C678" s="176"/>
      <c r="D678" s="175"/>
      <c r="E678" s="175"/>
      <c r="F678" s="12"/>
      <c r="G678" s="12"/>
      <c r="H678" s="175"/>
      <c r="I678" s="12"/>
      <c r="J678" s="12"/>
      <c r="K678" s="175"/>
      <c r="L678" s="175"/>
      <c r="M678" s="175"/>
      <c r="N678" s="175"/>
      <c r="O678" s="175"/>
      <c r="P678" s="12"/>
      <c r="Q678" s="175"/>
      <c r="R678" s="12"/>
      <c r="S678" s="12"/>
      <c r="T678" s="175"/>
      <c r="U678" s="179"/>
      <c r="V678" s="208"/>
      <c r="W678" s="12"/>
      <c r="X678" s="12"/>
    </row>
    <row r="679">
      <c r="A679" s="175"/>
      <c r="B679" s="175"/>
      <c r="C679" s="176"/>
      <c r="D679" s="175"/>
      <c r="E679" s="175"/>
      <c r="F679" s="12"/>
      <c r="G679" s="12"/>
      <c r="H679" s="175"/>
      <c r="I679" s="12"/>
      <c r="J679" s="12"/>
      <c r="K679" s="175"/>
      <c r="L679" s="175"/>
      <c r="M679" s="175"/>
      <c r="N679" s="175"/>
      <c r="O679" s="175"/>
      <c r="P679" s="12"/>
      <c r="Q679" s="175"/>
      <c r="R679" s="12"/>
      <c r="S679" s="12"/>
      <c r="T679" s="175"/>
      <c r="U679" s="179"/>
      <c r="V679" s="208"/>
      <c r="W679" s="12"/>
      <c r="X679" s="12"/>
    </row>
    <row r="680">
      <c r="A680" s="175"/>
      <c r="B680" s="175"/>
      <c r="C680" s="176"/>
      <c r="D680" s="175"/>
      <c r="E680" s="175"/>
      <c r="F680" s="12"/>
      <c r="G680" s="12"/>
      <c r="H680" s="175"/>
      <c r="I680" s="12"/>
      <c r="J680" s="12"/>
      <c r="K680" s="175"/>
      <c r="L680" s="175"/>
      <c r="M680" s="175"/>
      <c r="N680" s="175"/>
      <c r="O680" s="175"/>
      <c r="P680" s="12"/>
      <c r="Q680" s="175"/>
      <c r="R680" s="12"/>
      <c r="S680" s="12"/>
      <c r="T680" s="175"/>
      <c r="U680" s="179"/>
      <c r="V680" s="208"/>
      <c r="W680" s="12"/>
      <c r="X680" s="12"/>
    </row>
    <row r="681">
      <c r="A681" s="175"/>
      <c r="B681" s="175"/>
      <c r="C681" s="176"/>
      <c r="D681" s="175"/>
      <c r="E681" s="175"/>
      <c r="F681" s="12"/>
      <c r="G681" s="12"/>
      <c r="H681" s="175"/>
      <c r="I681" s="12"/>
      <c r="J681" s="12"/>
      <c r="K681" s="175"/>
      <c r="L681" s="175"/>
      <c r="M681" s="175"/>
      <c r="N681" s="175"/>
      <c r="O681" s="175"/>
      <c r="P681" s="12"/>
      <c r="Q681" s="175"/>
      <c r="R681" s="12"/>
      <c r="S681" s="12"/>
      <c r="T681" s="175"/>
      <c r="U681" s="179"/>
      <c r="V681" s="208"/>
      <c r="W681" s="12"/>
      <c r="X681" s="12"/>
    </row>
    <row r="682">
      <c r="A682" s="175"/>
      <c r="B682" s="175"/>
      <c r="C682" s="176"/>
      <c r="D682" s="175"/>
      <c r="E682" s="175"/>
      <c r="F682" s="12"/>
      <c r="G682" s="12"/>
      <c r="H682" s="175"/>
      <c r="I682" s="12"/>
      <c r="J682" s="12"/>
      <c r="K682" s="175"/>
      <c r="L682" s="175"/>
      <c r="M682" s="175"/>
      <c r="N682" s="175"/>
      <c r="O682" s="175"/>
      <c r="P682" s="12"/>
      <c r="Q682" s="175"/>
      <c r="R682" s="12"/>
      <c r="S682" s="12"/>
      <c r="T682" s="175"/>
      <c r="U682" s="179"/>
      <c r="V682" s="208"/>
      <c r="W682" s="12"/>
      <c r="X682" s="12"/>
    </row>
    <row r="683">
      <c r="A683" s="175"/>
      <c r="B683" s="175"/>
      <c r="C683" s="176"/>
      <c r="D683" s="175"/>
      <c r="E683" s="175"/>
      <c r="F683" s="12"/>
      <c r="G683" s="12"/>
      <c r="H683" s="175"/>
      <c r="I683" s="12"/>
      <c r="J683" s="12"/>
      <c r="K683" s="175"/>
      <c r="L683" s="175"/>
      <c r="M683" s="175"/>
      <c r="N683" s="175"/>
      <c r="O683" s="175"/>
      <c r="P683" s="12"/>
      <c r="Q683" s="175"/>
      <c r="R683" s="12"/>
      <c r="S683" s="12"/>
      <c r="T683" s="175"/>
      <c r="U683" s="179"/>
      <c r="V683" s="208"/>
      <c r="W683" s="12"/>
      <c r="X683" s="12"/>
    </row>
    <row r="684">
      <c r="A684" s="175"/>
      <c r="B684" s="175"/>
      <c r="C684" s="176"/>
      <c r="D684" s="175"/>
      <c r="E684" s="175"/>
      <c r="F684" s="12"/>
      <c r="G684" s="12"/>
      <c r="H684" s="175"/>
      <c r="I684" s="12"/>
      <c r="J684" s="12"/>
      <c r="K684" s="175"/>
      <c r="L684" s="175"/>
      <c r="M684" s="175"/>
      <c r="N684" s="175"/>
      <c r="O684" s="175"/>
      <c r="P684" s="12"/>
      <c r="Q684" s="175"/>
      <c r="R684" s="12"/>
      <c r="S684" s="12"/>
      <c r="T684" s="175"/>
      <c r="U684" s="179"/>
      <c r="V684" s="208"/>
      <c r="W684" s="12"/>
      <c r="X684" s="12"/>
    </row>
    <row r="685">
      <c r="A685" s="175"/>
      <c r="B685" s="175"/>
      <c r="C685" s="176"/>
      <c r="D685" s="175"/>
      <c r="E685" s="175"/>
      <c r="F685" s="12"/>
      <c r="G685" s="12"/>
      <c r="H685" s="175"/>
      <c r="I685" s="12"/>
      <c r="J685" s="12"/>
      <c r="K685" s="175"/>
      <c r="L685" s="175"/>
      <c r="M685" s="175"/>
      <c r="N685" s="175"/>
      <c r="O685" s="175"/>
      <c r="P685" s="12"/>
      <c r="Q685" s="175"/>
      <c r="R685" s="12"/>
      <c r="S685" s="12"/>
      <c r="T685" s="175"/>
      <c r="U685" s="179"/>
      <c r="V685" s="208"/>
      <c r="W685" s="12"/>
      <c r="X685" s="12"/>
    </row>
    <row r="686">
      <c r="A686" s="175"/>
      <c r="B686" s="175"/>
      <c r="C686" s="176"/>
      <c r="D686" s="175"/>
      <c r="E686" s="175"/>
      <c r="F686" s="12"/>
      <c r="G686" s="12"/>
      <c r="H686" s="175"/>
      <c r="I686" s="12"/>
      <c r="J686" s="12"/>
      <c r="K686" s="175"/>
      <c r="L686" s="175"/>
      <c r="M686" s="175"/>
      <c r="N686" s="175"/>
      <c r="O686" s="175"/>
      <c r="P686" s="12"/>
      <c r="Q686" s="175"/>
      <c r="R686" s="12"/>
      <c r="S686" s="12"/>
      <c r="T686" s="175"/>
      <c r="U686" s="179"/>
      <c r="V686" s="208"/>
      <c r="W686" s="12"/>
      <c r="X686" s="12"/>
    </row>
    <row r="687">
      <c r="A687" s="175"/>
      <c r="B687" s="175"/>
      <c r="C687" s="176"/>
      <c r="D687" s="175"/>
      <c r="E687" s="175"/>
      <c r="F687" s="12"/>
      <c r="G687" s="12"/>
      <c r="H687" s="175"/>
      <c r="I687" s="12"/>
      <c r="J687" s="12"/>
      <c r="K687" s="175"/>
      <c r="L687" s="175"/>
      <c r="M687" s="175"/>
      <c r="N687" s="175"/>
      <c r="O687" s="175"/>
      <c r="P687" s="12"/>
      <c r="Q687" s="175"/>
      <c r="R687" s="12"/>
      <c r="S687" s="12"/>
      <c r="T687" s="175"/>
      <c r="U687" s="179"/>
      <c r="V687" s="208"/>
      <c r="W687" s="12"/>
      <c r="X687" s="12"/>
    </row>
    <row r="688">
      <c r="A688" s="175"/>
      <c r="B688" s="175"/>
      <c r="C688" s="176"/>
      <c r="D688" s="175"/>
      <c r="E688" s="175"/>
      <c r="F688" s="12"/>
      <c r="G688" s="12"/>
      <c r="H688" s="175"/>
      <c r="I688" s="12"/>
      <c r="J688" s="12"/>
      <c r="K688" s="175"/>
      <c r="L688" s="175"/>
      <c r="M688" s="175"/>
      <c r="N688" s="175"/>
      <c r="O688" s="175"/>
      <c r="P688" s="12"/>
      <c r="Q688" s="175"/>
      <c r="R688" s="12"/>
      <c r="S688" s="12"/>
      <c r="T688" s="175"/>
      <c r="U688" s="179"/>
      <c r="V688" s="208"/>
      <c r="W688" s="12"/>
      <c r="X688" s="12"/>
    </row>
    <row r="689">
      <c r="A689" s="175"/>
      <c r="B689" s="175"/>
      <c r="C689" s="176"/>
      <c r="D689" s="175"/>
      <c r="E689" s="175"/>
      <c r="F689" s="12"/>
      <c r="G689" s="12"/>
      <c r="H689" s="175"/>
      <c r="I689" s="12"/>
      <c r="J689" s="12"/>
      <c r="K689" s="175"/>
      <c r="L689" s="175"/>
      <c r="M689" s="175"/>
      <c r="N689" s="175"/>
      <c r="O689" s="175"/>
      <c r="P689" s="12"/>
      <c r="Q689" s="175"/>
      <c r="R689" s="12"/>
      <c r="S689" s="12"/>
      <c r="T689" s="175"/>
      <c r="U689" s="179"/>
      <c r="V689" s="208"/>
      <c r="W689" s="12"/>
      <c r="X689" s="12"/>
    </row>
    <row r="690">
      <c r="A690" s="175"/>
      <c r="B690" s="175"/>
      <c r="C690" s="176"/>
      <c r="D690" s="175"/>
      <c r="E690" s="175"/>
      <c r="F690" s="12"/>
      <c r="G690" s="12"/>
      <c r="H690" s="175"/>
      <c r="I690" s="12"/>
      <c r="J690" s="12"/>
      <c r="K690" s="175"/>
      <c r="L690" s="175"/>
      <c r="M690" s="175"/>
      <c r="N690" s="175"/>
      <c r="O690" s="175"/>
      <c r="P690" s="12"/>
      <c r="Q690" s="175"/>
      <c r="R690" s="12"/>
      <c r="S690" s="12"/>
      <c r="T690" s="175"/>
      <c r="U690" s="179"/>
      <c r="V690" s="208"/>
      <c r="W690" s="12"/>
      <c r="X690" s="12"/>
    </row>
    <row r="691">
      <c r="A691" s="175"/>
      <c r="B691" s="175"/>
      <c r="C691" s="176"/>
      <c r="D691" s="175"/>
      <c r="E691" s="175"/>
      <c r="F691" s="12"/>
      <c r="G691" s="12"/>
      <c r="H691" s="175"/>
      <c r="I691" s="12"/>
      <c r="J691" s="12"/>
      <c r="K691" s="175"/>
      <c r="L691" s="175"/>
      <c r="M691" s="175"/>
      <c r="N691" s="175"/>
      <c r="O691" s="175"/>
      <c r="P691" s="12"/>
      <c r="Q691" s="175"/>
      <c r="R691" s="12"/>
      <c r="S691" s="12"/>
      <c r="T691" s="175"/>
      <c r="U691" s="179"/>
      <c r="V691" s="208"/>
      <c r="W691" s="12"/>
      <c r="X691" s="12"/>
    </row>
    <row r="692">
      <c r="A692" s="175"/>
      <c r="B692" s="175"/>
      <c r="C692" s="176"/>
      <c r="D692" s="175"/>
      <c r="E692" s="175"/>
      <c r="F692" s="12"/>
      <c r="G692" s="12"/>
      <c r="H692" s="175"/>
      <c r="I692" s="12"/>
      <c r="J692" s="12"/>
      <c r="K692" s="175"/>
      <c r="L692" s="175"/>
      <c r="M692" s="175"/>
      <c r="N692" s="175"/>
      <c r="O692" s="175"/>
      <c r="P692" s="12"/>
      <c r="Q692" s="175"/>
      <c r="R692" s="12"/>
      <c r="S692" s="12"/>
      <c r="T692" s="175"/>
      <c r="U692" s="179"/>
      <c r="V692" s="208"/>
      <c r="W692" s="12"/>
      <c r="X692" s="12"/>
    </row>
    <row r="693">
      <c r="A693" s="175"/>
      <c r="B693" s="175"/>
      <c r="C693" s="176"/>
      <c r="D693" s="175"/>
      <c r="E693" s="175"/>
      <c r="F693" s="12"/>
      <c r="G693" s="12"/>
      <c r="H693" s="175"/>
      <c r="I693" s="12"/>
      <c r="J693" s="12"/>
      <c r="K693" s="175"/>
      <c r="L693" s="175"/>
      <c r="M693" s="175"/>
      <c r="N693" s="175"/>
      <c r="O693" s="175"/>
      <c r="P693" s="12"/>
      <c r="Q693" s="175"/>
      <c r="R693" s="12"/>
      <c r="S693" s="12"/>
      <c r="T693" s="175"/>
      <c r="U693" s="179"/>
      <c r="V693" s="208"/>
      <c r="W693" s="12"/>
      <c r="X693" s="12"/>
    </row>
    <row r="694">
      <c r="A694" s="175"/>
      <c r="B694" s="175"/>
      <c r="C694" s="176"/>
      <c r="D694" s="175"/>
      <c r="E694" s="175"/>
      <c r="F694" s="12"/>
      <c r="G694" s="12"/>
      <c r="H694" s="175"/>
      <c r="I694" s="12"/>
      <c r="J694" s="12"/>
      <c r="K694" s="175"/>
      <c r="L694" s="175"/>
      <c r="M694" s="175"/>
      <c r="N694" s="175"/>
      <c r="O694" s="175"/>
      <c r="P694" s="12"/>
      <c r="Q694" s="175"/>
      <c r="R694" s="12"/>
      <c r="S694" s="12"/>
      <c r="T694" s="175"/>
      <c r="U694" s="179"/>
      <c r="V694" s="208"/>
      <c r="W694" s="12"/>
      <c r="X694" s="12"/>
    </row>
    <row r="695">
      <c r="A695" s="175"/>
      <c r="B695" s="175"/>
      <c r="C695" s="176"/>
      <c r="D695" s="175"/>
      <c r="E695" s="175"/>
      <c r="F695" s="12"/>
      <c r="G695" s="12"/>
      <c r="H695" s="175"/>
      <c r="I695" s="12"/>
      <c r="J695" s="12"/>
      <c r="K695" s="175"/>
      <c r="L695" s="175"/>
      <c r="M695" s="175"/>
      <c r="N695" s="175"/>
      <c r="O695" s="175"/>
      <c r="P695" s="12"/>
      <c r="Q695" s="175"/>
      <c r="R695" s="12"/>
      <c r="S695" s="12"/>
      <c r="T695" s="175"/>
      <c r="U695" s="179"/>
      <c r="V695" s="208"/>
      <c r="W695" s="12"/>
      <c r="X695" s="12"/>
    </row>
    <row r="696">
      <c r="A696" s="175"/>
      <c r="B696" s="175"/>
      <c r="C696" s="176"/>
      <c r="D696" s="175"/>
      <c r="E696" s="175"/>
      <c r="F696" s="12"/>
      <c r="G696" s="12"/>
      <c r="H696" s="175"/>
      <c r="I696" s="12"/>
      <c r="J696" s="12"/>
      <c r="K696" s="175"/>
      <c r="L696" s="175"/>
      <c r="M696" s="175"/>
      <c r="N696" s="175"/>
      <c r="O696" s="175"/>
      <c r="P696" s="12"/>
      <c r="Q696" s="175"/>
      <c r="R696" s="12"/>
      <c r="S696" s="12"/>
      <c r="T696" s="175"/>
      <c r="U696" s="179"/>
      <c r="V696" s="208"/>
      <c r="W696" s="12"/>
      <c r="X696" s="12"/>
    </row>
    <row r="697">
      <c r="A697" s="175"/>
      <c r="B697" s="175"/>
      <c r="C697" s="176"/>
      <c r="D697" s="175"/>
      <c r="E697" s="175"/>
      <c r="F697" s="12"/>
      <c r="G697" s="12"/>
      <c r="H697" s="175"/>
      <c r="I697" s="12"/>
      <c r="J697" s="12"/>
      <c r="K697" s="175"/>
      <c r="L697" s="175"/>
      <c r="M697" s="175"/>
      <c r="N697" s="175"/>
      <c r="O697" s="175"/>
      <c r="P697" s="12"/>
      <c r="Q697" s="175"/>
      <c r="R697" s="12"/>
      <c r="S697" s="12"/>
      <c r="T697" s="175"/>
      <c r="U697" s="179"/>
      <c r="V697" s="208"/>
      <c r="W697" s="12"/>
      <c r="X697" s="12"/>
    </row>
    <row r="698">
      <c r="A698" s="175"/>
      <c r="B698" s="175"/>
      <c r="C698" s="176"/>
      <c r="D698" s="175"/>
      <c r="E698" s="175"/>
      <c r="F698" s="12"/>
      <c r="G698" s="12"/>
      <c r="H698" s="175"/>
      <c r="I698" s="12"/>
      <c r="J698" s="12"/>
      <c r="K698" s="175"/>
      <c r="L698" s="175"/>
      <c r="M698" s="175"/>
      <c r="N698" s="175"/>
      <c r="O698" s="175"/>
      <c r="P698" s="12"/>
      <c r="Q698" s="175"/>
      <c r="R698" s="12"/>
      <c r="S698" s="12"/>
      <c r="T698" s="175"/>
      <c r="U698" s="179"/>
      <c r="V698" s="208"/>
      <c r="W698" s="12"/>
      <c r="X698" s="12"/>
    </row>
    <row r="699">
      <c r="A699" s="175"/>
      <c r="B699" s="175"/>
      <c r="C699" s="176"/>
      <c r="D699" s="175"/>
      <c r="E699" s="175"/>
      <c r="F699" s="12"/>
      <c r="G699" s="12"/>
      <c r="H699" s="175"/>
      <c r="I699" s="12"/>
      <c r="J699" s="12"/>
      <c r="K699" s="175"/>
      <c r="L699" s="175"/>
      <c r="M699" s="175"/>
      <c r="N699" s="175"/>
      <c r="O699" s="175"/>
      <c r="P699" s="12"/>
      <c r="Q699" s="175"/>
      <c r="R699" s="12"/>
      <c r="S699" s="12"/>
      <c r="T699" s="175"/>
      <c r="U699" s="179"/>
      <c r="V699" s="208"/>
      <c r="W699" s="12"/>
      <c r="X699" s="12"/>
    </row>
    <row r="700">
      <c r="A700" s="175"/>
      <c r="B700" s="175"/>
      <c r="C700" s="176"/>
      <c r="D700" s="175"/>
      <c r="E700" s="175"/>
      <c r="F700" s="12"/>
      <c r="G700" s="12"/>
      <c r="H700" s="175"/>
      <c r="I700" s="12"/>
      <c r="J700" s="12"/>
      <c r="K700" s="175"/>
      <c r="L700" s="175"/>
      <c r="M700" s="175"/>
      <c r="N700" s="175"/>
      <c r="O700" s="175"/>
      <c r="P700" s="12"/>
      <c r="Q700" s="175"/>
      <c r="R700" s="12"/>
      <c r="S700" s="12"/>
      <c r="T700" s="175"/>
      <c r="U700" s="179"/>
      <c r="V700" s="208"/>
      <c r="W700" s="12"/>
      <c r="X700" s="12"/>
    </row>
    <row r="701">
      <c r="A701" s="175"/>
      <c r="B701" s="175"/>
      <c r="C701" s="176"/>
      <c r="D701" s="175"/>
      <c r="E701" s="175"/>
      <c r="F701" s="12"/>
      <c r="G701" s="12"/>
      <c r="H701" s="175"/>
      <c r="I701" s="12"/>
      <c r="J701" s="12"/>
      <c r="K701" s="175"/>
      <c r="L701" s="175"/>
      <c r="M701" s="175"/>
      <c r="N701" s="175"/>
      <c r="O701" s="175"/>
      <c r="P701" s="12"/>
      <c r="Q701" s="175"/>
      <c r="R701" s="12"/>
      <c r="S701" s="12"/>
      <c r="T701" s="175"/>
      <c r="U701" s="179"/>
      <c r="V701" s="208"/>
      <c r="W701" s="12"/>
      <c r="X701" s="12"/>
    </row>
    <row r="702">
      <c r="A702" s="175"/>
      <c r="B702" s="175"/>
      <c r="C702" s="176"/>
      <c r="D702" s="175"/>
      <c r="E702" s="175"/>
      <c r="F702" s="12"/>
      <c r="G702" s="12"/>
      <c r="H702" s="175"/>
      <c r="I702" s="12"/>
      <c r="J702" s="12"/>
      <c r="K702" s="175"/>
      <c r="L702" s="175"/>
      <c r="M702" s="175"/>
      <c r="N702" s="175"/>
      <c r="O702" s="175"/>
      <c r="P702" s="12"/>
      <c r="Q702" s="175"/>
      <c r="R702" s="12"/>
      <c r="S702" s="12"/>
      <c r="T702" s="175"/>
      <c r="U702" s="179"/>
      <c r="V702" s="208"/>
      <c r="W702" s="12"/>
      <c r="X702" s="12"/>
    </row>
    <row r="703">
      <c r="A703" s="175"/>
      <c r="B703" s="175"/>
      <c r="C703" s="176"/>
      <c r="D703" s="175"/>
      <c r="E703" s="175"/>
      <c r="F703" s="12"/>
      <c r="G703" s="12"/>
      <c r="H703" s="175"/>
      <c r="I703" s="12"/>
      <c r="J703" s="12"/>
      <c r="K703" s="175"/>
      <c r="L703" s="175"/>
      <c r="M703" s="175"/>
      <c r="N703" s="175"/>
      <c r="O703" s="175"/>
      <c r="P703" s="12"/>
      <c r="Q703" s="175"/>
      <c r="R703" s="12"/>
      <c r="S703" s="12"/>
      <c r="T703" s="175"/>
      <c r="U703" s="179"/>
      <c r="V703" s="208"/>
      <c r="W703" s="12"/>
      <c r="X703" s="12"/>
    </row>
    <row r="704">
      <c r="A704" s="175"/>
      <c r="B704" s="175"/>
      <c r="C704" s="176"/>
      <c r="D704" s="175"/>
      <c r="E704" s="175"/>
      <c r="F704" s="12"/>
      <c r="G704" s="12"/>
      <c r="H704" s="175"/>
      <c r="I704" s="12"/>
      <c r="J704" s="12"/>
      <c r="K704" s="175"/>
      <c r="L704" s="175"/>
      <c r="M704" s="175"/>
      <c r="N704" s="175"/>
      <c r="O704" s="175"/>
      <c r="P704" s="12"/>
      <c r="Q704" s="175"/>
      <c r="R704" s="12"/>
      <c r="S704" s="12"/>
      <c r="T704" s="175"/>
      <c r="U704" s="179"/>
      <c r="V704" s="208"/>
      <c r="W704" s="12"/>
      <c r="X704" s="12"/>
    </row>
    <row r="705">
      <c r="A705" s="175"/>
      <c r="B705" s="175"/>
      <c r="C705" s="176"/>
      <c r="D705" s="175"/>
      <c r="E705" s="175"/>
      <c r="F705" s="12"/>
      <c r="G705" s="12"/>
      <c r="H705" s="175"/>
      <c r="I705" s="12"/>
      <c r="J705" s="12"/>
      <c r="K705" s="175"/>
      <c r="L705" s="175"/>
      <c r="M705" s="175"/>
      <c r="N705" s="175"/>
      <c r="O705" s="175"/>
      <c r="P705" s="12"/>
      <c r="Q705" s="175"/>
      <c r="R705" s="12"/>
      <c r="S705" s="12"/>
      <c r="T705" s="175"/>
      <c r="U705" s="179"/>
      <c r="V705" s="208"/>
      <c r="W705" s="12"/>
      <c r="X705" s="12"/>
    </row>
    <row r="706">
      <c r="A706" s="175"/>
      <c r="B706" s="175"/>
      <c r="C706" s="176"/>
      <c r="D706" s="175"/>
      <c r="E706" s="175"/>
      <c r="F706" s="12"/>
      <c r="G706" s="12"/>
      <c r="H706" s="175"/>
      <c r="I706" s="12"/>
      <c r="J706" s="12"/>
      <c r="K706" s="175"/>
      <c r="L706" s="175"/>
      <c r="M706" s="175"/>
      <c r="N706" s="175"/>
      <c r="O706" s="175"/>
      <c r="P706" s="12"/>
      <c r="Q706" s="175"/>
      <c r="R706" s="12"/>
      <c r="S706" s="12"/>
      <c r="T706" s="175"/>
      <c r="U706" s="179"/>
      <c r="V706" s="208"/>
      <c r="W706" s="12"/>
      <c r="X706" s="12"/>
    </row>
    <row r="707">
      <c r="A707" s="175"/>
      <c r="B707" s="175"/>
      <c r="C707" s="176"/>
      <c r="D707" s="175"/>
      <c r="E707" s="175"/>
      <c r="F707" s="12"/>
      <c r="G707" s="12"/>
      <c r="H707" s="175"/>
      <c r="I707" s="12"/>
      <c r="J707" s="12"/>
      <c r="K707" s="175"/>
      <c r="L707" s="175"/>
      <c r="M707" s="175"/>
      <c r="N707" s="175"/>
      <c r="O707" s="175"/>
      <c r="P707" s="12"/>
      <c r="Q707" s="175"/>
      <c r="R707" s="12"/>
      <c r="S707" s="12"/>
      <c r="T707" s="175"/>
      <c r="U707" s="179"/>
      <c r="V707" s="208"/>
      <c r="W707" s="12"/>
      <c r="X707" s="12"/>
    </row>
    <row r="708">
      <c r="A708" s="175"/>
      <c r="B708" s="175"/>
      <c r="C708" s="176"/>
      <c r="D708" s="175"/>
      <c r="E708" s="175"/>
      <c r="F708" s="12"/>
      <c r="G708" s="12"/>
      <c r="H708" s="175"/>
      <c r="I708" s="12"/>
      <c r="J708" s="12"/>
      <c r="K708" s="175"/>
      <c r="L708" s="175"/>
      <c r="M708" s="175"/>
      <c r="N708" s="175"/>
      <c r="O708" s="175"/>
      <c r="P708" s="12"/>
      <c r="Q708" s="175"/>
      <c r="R708" s="12"/>
      <c r="S708" s="12"/>
      <c r="T708" s="175"/>
      <c r="U708" s="179"/>
      <c r="V708" s="208"/>
      <c r="W708" s="12"/>
      <c r="X708" s="12"/>
    </row>
    <row r="709">
      <c r="A709" s="175"/>
      <c r="B709" s="175"/>
      <c r="C709" s="176"/>
      <c r="D709" s="175"/>
      <c r="E709" s="175"/>
      <c r="F709" s="12"/>
      <c r="G709" s="12"/>
      <c r="H709" s="175"/>
      <c r="I709" s="12"/>
      <c r="J709" s="12"/>
      <c r="K709" s="175"/>
      <c r="L709" s="175"/>
      <c r="M709" s="175"/>
      <c r="N709" s="175"/>
      <c r="O709" s="175"/>
      <c r="P709" s="12"/>
      <c r="Q709" s="175"/>
      <c r="R709" s="12"/>
      <c r="S709" s="12"/>
      <c r="T709" s="175"/>
      <c r="U709" s="179"/>
      <c r="V709" s="208"/>
      <c r="W709" s="12"/>
      <c r="X709" s="12"/>
    </row>
    <row r="710">
      <c r="A710" s="175"/>
      <c r="B710" s="175"/>
      <c r="C710" s="176"/>
      <c r="D710" s="175"/>
      <c r="E710" s="175"/>
      <c r="F710" s="12"/>
      <c r="G710" s="12"/>
      <c r="H710" s="175"/>
      <c r="I710" s="12"/>
      <c r="J710" s="12"/>
      <c r="K710" s="175"/>
      <c r="L710" s="175"/>
      <c r="M710" s="175"/>
      <c r="N710" s="175"/>
      <c r="O710" s="175"/>
      <c r="P710" s="12"/>
      <c r="Q710" s="175"/>
      <c r="R710" s="12"/>
      <c r="S710" s="12"/>
      <c r="T710" s="175"/>
      <c r="U710" s="179"/>
      <c r="V710" s="208"/>
      <c r="W710" s="12"/>
      <c r="X710" s="12"/>
    </row>
    <row r="711">
      <c r="A711" s="175"/>
      <c r="B711" s="175"/>
      <c r="C711" s="176"/>
      <c r="D711" s="175"/>
      <c r="E711" s="175"/>
      <c r="F711" s="12"/>
      <c r="G711" s="12"/>
      <c r="H711" s="175"/>
      <c r="I711" s="12"/>
      <c r="J711" s="12"/>
      <c r="K711" s="175"/>
      <c r="L711" s="175"/>
      <c r="M711" s="175"/>
      <c r="N711" s="175"/>
      <c r="O711" s="175"/>
      <c r="P711" s="12"/>
      <c r="Q711" s="175"/>
      <c r="R711" s="12"/>
      <c r="S711" s="12"/>
      <c r="T711" s="175"/>
      <c r="U711" s="179"/>
      <c r="V711" s="208"/>
      <c r="W711" s="12"/>
      <c r="X711" s="12"/>
    </row>
    <row r="712">
      <c r="A712" s="175"/>
      <c r="B712" s="175"/>
      <c r="C712" s="176"/>
      <c r="D712" s="175"/>
      <c r="E712" s="175"/>
      <c r="F712" s="12"/>
      <c r="G712" s="12"/>
      <c r="H712" s="175"/>
      <c r="I712" s="12"/>
      <c r="J712" s="12"/>
      <c r="K712" s="175"/>
      <c r="L712" s="175"/>
      <c r="M712" s="175"/>
      <c r="N712" s="175"/>
      <c r="O712" s="175"/>
      <c r="P712" s="12"/>
      <c r="Q712" s="175"/>
      <c r="R712" s="12"/>
      <c r="S712" s="12"/>
      <c r="T712" s="175"/>
      <c r="U712" s="179"/>
      <c r="V712" s="208"/>
      <c r="W712" s="12"/>
      <c r="X712" s="12"/>
    </row>
    <row r="713">
      <c r="A713" s="175"/>
      <c r="B713" s="175"/>
      <c r="C713" s="176"/>
      <c r="D713" s="175"/>
      <c r="E713" s="175"/>
      <c r="F713" s="12"/>
      <c r="G713" s="12"/>
      <c r="H713" s="175"/>
      <c r="I713" s="12"/>
      <c r="J713" s="12"/>
      <c r="K713" s="175"/>
      <c r="L713" s="175"/>
      <c r="M713" s="175"/>
      <c r="N713" s="175"/>
      <c r="O713" s="175"/>
      <c r="P713" s="12"/>
      <c r="Q713" s="175"/>
      <c r="R713" s="12"/>
      <c r="S713" s="12"/>
      <c r="T713" s="175"/>
      <c r="U713" s="179"/>
      <c r="V713" s="208"/>
      <c r="W713" s="12"/>
      <c r="X713" s="12"/>
    </row>
    <row r="714">
      <c r="A714" s="175"/>
      <c r="B714" s="175"/>
      <c r="C714" s="176"/>
      <c r="D714" s="175"/>
      <c r="E714" s="175"/>
      <c r="F714" s="12"/>
      <c r="G714" s="12"/>
      <c r="H714" s="175"/>
      <c r="I714" s="12"/>
      <c r="J714" s="12"/>
      <c r="K714" s="175"/>
      <c r="L714" s="175"/>
      <c r="M714" s="175"/>
      <c r="N714" s="175"/>
      <c r="O714" s="175"/>
      <c r="P714" s="12"/>
      <c r="Q714" s="175"/>
      <c r="R714" s="12"/>
      <c r="S714" s="12"/>
      <c r="T714" s="175"/>
      <c r="U714" s="179"/>
      <c r="V714" s="208"/>
      <c r="W714" s="12"/>
      <c r="X714" s="12"/>
    </row>
    <row r="715">
      <c r="A715" s="175"/>
      <c r="B715" s="175"/>
      <c r="C715" s="176"/>
      <c r="D715" s="175"/>
      <c r="E715" s="175"/>
      <c r="F715" s="12"/>
      <c r="G715" s="12"/>
      <c r="H715" s="175"/>
      <c r="I715" s="12"/>
      <c r="J715" s="12"/>
      <c r="K715" s="175"/>
      <c r="L715" s="175"/>
      <c r="M715" s="175"/>
      <c r="N715" s="175"/>
      <c r="O715" s="175"/>
      <c r="P715" s="12"/>
      <c r="Q715" s="175"/>
      <c r="R715" s="12"/>
      <c r="S715" s="12"/>
      <c r="T715" s="175"/>
      <c r="U715" s="179"/>
      <c r="V715" s="208"/>
      <c r="W715" s="12"/>
      <c r="X715" s="12"/>
    </row>
    <row r="716">
      <c r="A716" s="175"/>
      <c r="B716" s="175"/>
      <c r="C716" s="176"/>
      <c r="D716" s="175"/>
      <c r="E716" s="175"/>
      <c r="F716" s="12"/>
      <c r="G716" s="12"/>
      <c r="H716" s="175"/>
      <c r="I716" s="12"/>
      <c r="J716" s="12"/>
      <c r="K716" s="175"/>
      <c r="L716" s="175"/>
      <c r="M716" s="175"/>
      <c r="N716" s="175"/>
      <c r="O716" s="175"/>
      <c r="P716" s="12"/>
      <c r="Q716" s="175"/>
      <c r="R716" s="12"/>
      <c r="S716" s="12"/>
      <c r="T716" s="175"/>
      <c r="U716" s="179"/>
      <c r="V716" s="208"/>
      <c r="W716" s="12"/>
      <c r="X716" s="12"/>
    </row>
    <row r="717">
      <c r="A717" s="175"/>
      <c r="B717" s="175"/>
      <c r="C717" s="176"/>
      <c r="D717" s="175"/>
      <c r="E717" s="175"/>
      <c r="F717" s="12"/>
      <c r="G717" s="12"/>
      <c r="H717" s="175"/>
      <c r="I717" s="12"/>
      <c r="J717" s="12"/>
      <c r="K717" s="175"/>
      <c r="L717" s="175"/>
      <c r="M717" s="175"/>
      <c r="N717" s="175"/>
      <c r="O717" s="175"/>
      <c r="P717" s="12"/>
      <c r="Q717" s="175"/>
      <c r="R717" s="12"/>
      <c r="S717" s="12"/>
      <c r="T717" s="175"/>
      <c r="U717" s="179"/>
      <c r="V717" s="208"/>
      <c r="W717" s="12"/>
      <c r="X717" s="12"/>
    </row>
    <row r="718">
      <c r="A718" s="175"/>
      <c r="B718" s="175"/>
      <c r="C718" s="176"/>
      <c r="D718" s="175"/>
      <c r="E718" s="175"/>
      <c r="F718" s="12"/>
      <c r="G718" s="12"/>
      <c r="H718" s="175"/>
      <c r="I718" s="12"/>
      <c r="J718" s="12"/>
      <c r="K718" s="175"/>
      <c r="L718" s="175"/>
      <c r="M718" s="175"/>
      <c r="N718" s="175"/>
      <c r="O718" s="175"/>
      <c r="P718" s="12"/>
      <c r="Q718" s="175"/>
      <c r="R718" s="12"/>
      <c r="S718" s="12"/>
      <c r="T718" s="175"/>
      <c r="U718" s="179"/>
      <c r="V718" s="208"/>
      <c r="W718" s="12"/>
      <c r="X718" s="12"/>
    </row>
    <row r="719">
      <c r="A719" s="175"/>
      <c r="B719" s="175"/>
      <c r="C719" s="176"/>
      <c r="D719" s="175"/>
      <c r="E719" s="175"/>
      <c r="F719" s="12"/>
      <c r="G719" s="12"/>
      <c r="H719" s="175"/>
      <c r="I719" s="12"/>
      <c r="J719" s="12"/>
      <c r="K719" s="175"/>
      <c r="L719" s="175"/>
      <c r="M719" s="175"/>
      <c r="N719" s="175"/>
      <c r="O719" s="175"/>
      <c r="P719" s="12"/>
      <c r="Q719" s="175"/>
      <c r="R719" s="12"/>
      <c r="S719" s="12"/>
      <c r="T719" s="175"/>
      <c r="U719" s="179"/>
      <c r="V719" s="208"/>
      <c r="W719" s="12"/>
      <c r="X719" s="12"/>
    </row>
    <row r="720">
      <c r="A720" s="175"/>
      <c r="B720" s="175"/>
      <c r="C720" s="176"/>
      <c r="D720" s="175"/>
      <c r="E720" s="175"/>
      <c r="F720" s="12"/>
      <c r="G720" s="12"/>
      <c r="H720" s="175"/>
      <c r="I720" s="12"/>
      <c r="J720" s="12"/>
      <c r="K720" s="175"/>
      <c r="L720" s="175"/>
      <c r="M720" s="175"/>
      <c r="N720" s="175"/>
      <c r="O720" s="175"/>
      <c r="P720" s="12"/>
      <c r="Q720" s="175"/>
      <c r="R720" s="12"/>
      <c r="S720" s="12"/>
      <c r="T720" s="175"/>
      <c r="U720" s="179"/>
      <c r="V720" s="208"/>
      <c r="W720" s="12"/>
      <c r="X720" s="12"/>
    </row>
    <row r="721">
      <c r="A721" s="175"/>
      <c r="B721" s="175"/>
      <c r="C721" s="176"/>
      <c r="D721" s="175"/>
      <c r="E721" s="175"/>
      <c r="F721" s="12"/>
      <c r="G721" s="12"/>
      <c r="H721" s="175"/>
      <c r="I721" s="12"/>
      <c r="J721" s="12"/>
      <c r="K721" s="175"/>
      <c r="L721" s="175"/>
      <c r="M721" s="175"/>
      <c r="N721" s="175"/>
      <c r="O721" s="175"/>
      <c r="P721" s="12"/>
      <c r="Q721" s="175"/>
      <c r="R721" s="12"/>
      <c r="S721" s="12"/>
      <c r="T721" s="175"/>
      <c r="U721" s="179"/>
      <c r="V721" s="208"/>
      <c r="W721" s="12"/>
      <c r="X721" s="12"/>
    </row>
    <row r="722">
      <c r="A722" s="175"/>
      <c r="B722" s="175"/>
      <c r="C722" s="176"/>
      <c r="D722" s="175"/>
      <c r="E722" s="175"/>
      <c r="F722" s="12"/>
      <c r="G722" s="12"/>
      <c r="H722" s="175"/>
      <c r="I722" s="12"/>
      <c r="J722" s="12"/>
      <c r="K722" s="175"/>
      <c r="L722" s="175"/>
      <c r="M722" s="175"/>
      <c r="N722" s="175"/>
      <c r="O722" s="175"/>
      <c r="P722" s="12"/>
      <c r="Q722" s="175"/>
      <c r="R722" s="12"/>
      <c r="S722" s="12"/>
      <c r="T722" s="175"/>
      <c r="U722" s="179"/>
      <c r="V722" s="208"/>
      <c r="W722" s="12"/>
      <c r="X722" s="12"/>
    </row>
    <row r="723">
      <c r="A723" s="175"/>
      <c r="B723" s="175"/>
      <c r="C723" s="176"/>
      <c r="D723" s="175"/>
      <c r="E723" s="175"/>
      <c r="F723" s="12"/>
      <c r="G723" s="12"/>
      <c r="H723" s="175"/>
      <c r="I723" s="12"/>
      <c r="J723" s="12"/>
      <c r="K723" s="175"/>
      <c r="L723" s="175"/>
      <c r="M723" s="175"/>
      <c r="N723" s="175"/>
      <c r="O723" s="175"/>
      <c r="P723" s="12"/>
      <c r="Q723" s="175"/>
      <c r="R723" s="12"/>
      <c r="S723" s="12"/>
      <c r="T723" s="175"/>
      <c r="U723" s="179"/>
      <c r="V723" s="208"/>
      <c r="W723" s="12"/>
      <c r="X723" s="12"/>
    </row>
    <row r="724">
      <c r="A724" s="175"/>
      <c r="B724" s="175"/>
      <c r="C724" s="176"/>
      <c r="D724" s="175"/>
      <c r="E724" s="175"/>
      <c r="F724" s="12"/>
      <c r="G724" s="12"/>
      <c r="H724" s="175"/>
      <c r="I724" s="12"/>
      <c r="J724" s="12"/>
      <c r="K724" s="175"/>
      <c r="L724" s="175"/>
      <c r="M724" s="175"/>
      <c r="N724" s="175"/>
      <c r="O724" s="175"/>
      <c r="P724" s="12"/>
      <c r="Q724" s="175"/>
      <c r="R724" s="12"/>
      <c r="S724" s="12"/>
      <c r="T724" s="175"/>
      <c r="U724" s="179"/>
      <c r="V724" s="208"/>
      <c r="W724" s="12"/>
      <c r="X724" s="12"/>
    </row>
    <row r="725">
      <c r="A725" s="175"/>
      <c r="B725" s="175"/>
      <c r="C725" s="176"/>
      <c r="D725" s="175"/>
      <c r="E725" s="175"/>
      <c r="F725" s="12"/>
      <c r="G725" s="12"/>
      <c r="H725" s="175"/>
      <c r="I725" s="12"/>
      <c r="J725" s="12"/>
      <c r="K725" s="175"/>
      <c r="L725" s="175"/>
      <c r="M725" s="175"/>
      <c r="N725" s="175"/>
      <c r="O725" s="175"/>
      <c r="P725" s="12"/>
      <c r="Q725" s="175"/>
      <c r="R725" s="12"/>
      <c r="S725" s="12"/>
      <c r="T725" s="175"/>
      <c r="U725" s="179"/>
      <c r="V725" s="208"/>
      <c r="W725" s="12"/>
      <c r="X725" s="12"/>
    </row>
    <row r="726">
      <c r="A726" s="175"/>
      <c r="B726" s="175"/>
      <c r="C726" s="176"/>
      <c r="D726" s="175"/>
      <c r="E726" s="175"/>
      <c r="F726" s="12"/>
      <c r="G726" s="12"/>
      <c r="H726" s="175"/>
      <c r="I726" s="12"/>
      <c r="J726" s="12"/>
      <c r="K726" s="175"/>
      <c r="L726" s="175"/>
      <c r="M726" s="175"/>
      <c r="N726" s="175"/>
      <c r="O726" s="175"/>
      <c r="P726" s="12"/>
      <c r="Q726" s="175"/>
      <c r="R726" s="12"/>
      <c r="S726" s="12"/>
      <c r="T726" s="175"/>
      <c r="U726" s="179"/>
      <c r="V726" s="208"/>
      <c r="W726" s="12"/>
      <c r="X726" s="12"/>
    </row>
    <row r="727">
      <c r="A727" s="175"/>
      <c r="B727" s="175"/>
      <c r="C727" s="176"/>
      <c r="D727" s="175"/>
      <c r="E727" s="175"/>
      <c r="F727" s="12"/>
      <c r="G727" s="12"/>
      <c r="H727" s="175"/>
      <c r="I727" s="12"/>
      <c r="J727" s="12"/>
      <c r="K727" s="175"/>
      <c r="L727" s="175"/>
      <c r="M727" s="175"/>
      <c r="N727" s="175"/>
      <c r="O727" s="175"/>
      <c r="P727" s="12"/>
      <c r="Q727" s="175"/>
      <c r="R727" s="12"/>
      <c r="S727" s="12"/>
      <c r="T727" s="175"/>
      <c r="U727" s="179"/>
      <c r="V727" s="208"/>
      <c r="W727" s="12"/>
      <c r="X727" s="12"/>
    </row>
    <row r="728">
      <c r="A728" s="175"/>
      <c r="B728" s="175"/>
      <c r="C728" s="176"/>
      <c r="D728" s="175"/>
      <c r="E728" s="175"/>
      <c r="F728" s="12"/>
      <c r="G728" s="12"/>
      <c r="H728" s="175"/>
      <c r="I728" s="12"/>
      <c r="J728" s="12"/>
      <c r="K728" s="175"/>
      <c r="L728" s="175"/>
      <c r="M728" s="175"/>
      <c r="N728" s="175"/>
      <c r="O728" s="175"/>
      <c r="P728" s="12"/>
      <c r="Q728" s="175"/>
      <c r="R728" s="12"/>
      <c r="S728" s="12"/>
      <c r="T728" s="175"/>
      <c r="U728" s="179"/>
      <c r="V728" s="208"/>
      <c r="W728" s="12"/>
      <c r="X728" s="12"/>
    </row>
    <row r="729">
      <c r="A729" s="175"/>
      <c r="B729" s="175"/>
      <c r="C729" s="176"/>
      <c r="D729" s="175"/>
      <c r="E729" s="175"/>
      <c r="F729" s="12"/>
      <c r="G729" s="12"/>
      <c r="H729" s="175"/>
      <c r="I729" s="12"/>
      <c r="J729" s="12"/>
      <c r="K729" s="175"/>
      <c r="L729" s="175"/>
      <c r="M729" s="175"/>
      <c r="N729" s="175"/>
      <c r="O729" s="175"/>
      <c r="P729" s="12"/>
      <c r="Q729" s="175"/>
      <c r="R729" s="12"/>
      <c r="S729" s="12"/>
      <c r="T729" s="175"/>
      <c r="U729" s="179"/>
      <c r="V729" s="208"/>
      <c r="W729" s="12"/>
      <c r="X729" s="12"/>
    </row>
    <row r="730">
      <c r="A730" s="175"/>
      <c r="B730" s="175"/>
      <c r="C730" s="176"/>
      <c r="D730" s="175"/>
      <c r="E730" s="175"/>
      <c r="F730" s="12"/>
      <c r="G730" s="12"/>
      <c r="H730" s="175"/>
      <c r="I730" s="12"/>
      <c r="J730" s="12"/>
      <c r="K730" s="175"/>
      <c r="L730" s="175"/>
      <c r="M730" s="175"/>
      <c r="N730" s="175"/>
      <c r="O730" s="175"/>
      <c r="P730" s="12"/>
      <c r="Q730" s="175"/>
      <c r="R730" s="12"/>
      <c r="S730" s="12"/>
      <c r="T730" s="175"/>
      <c r="U730" s="179"/>
      <c r="V730" s="208"/>
      <c r="W730" s="12"/>
      <c r="X730" s="12"/>
    </row>
    <row r="731">
      <c r="A731" s="175"/>
      <c r="B731" s="175"/>
      <c r="C731" s="176"/>
      <c r="D731" s="175"/>
      <c r="E731" s="175"/>
      <c r="F731" s="12"/>
      <c r="G731" s="12"/>
      <c r="H731" s="175"/>
      <c r="I731" s="12"/>
      <c r="J731" s="12"/>
      <c r="K731" s="175"/>
      <c r="L731" s="175"/>
      <c r="M731" s="175"/>
      <c r="N731" s="175"/>
      <c r="O731" s="175"/>
      <c r="P731" s="12"/>
      <c r="Q731" s="175"/>
      <c r="R731" s="12"/>
      <c r="S731" s="12"/>
      <c r="T731" s="175"/>
      <c r="U731" s="179"/>
      <c r="V731" s="208"/>
      <c r="W731" s="12"/>
      <c r="X731" s="12"/>
    </row>
    <row r="732">
      <c r="A732" s="175"/>
      <c r="B732" s="175"/>
      <c r="C732" s="176"/>
      <c r="D732" s="175"/>
      <c r="E732" s="175"/>
      <c r="F732" s="12"/>
      <c r="G732" s="12"/>
      <c r="H732" s="175"/>
      <c r="I732" s="12"/>
      <c r="J732" s="12"/>
      <c r="K732" s="175"/>
      <c r="L732" s="175"/>
      <c r="M732" s="175"/>
      <c r="N732" s="175"/>
      <c r="O732" s="175"/>
      <c r="P732" s="12"/>
      <c r="Q732" s="175"/>
      <c r="R732" s="12"/>
      <c r="S732" s="12"/>
      <c r="T732" s="175"/>
      <c r="U732" s="179"/>
      <c r="V732" s="208"/>
      <c r="W732" s="12"/>
      <c r="X732" s="12"/>
    </row>
    <row r="733">
      <c r="A733" s="175"/>
      <c r="B733" s="175"/>
      <c r="C733" s="176"/>
      <c r="D733" s="175"/>
      <c r="E733" s="175"/>
      <c r="F733" s="12"/>
      <c r="G733" s="12"/>
      <c r="H733" s="175"/>
      <c r="I733" s="12"/>
      <c r="J733" s="12"/>
      <c r="K733" s="175"/>
      <c r="L733" s="175"/>
      <c r="M733" s="175"/>
      <c r="N733" s="175"/>
      <c r="O733" s="175"/>
      <c r="P733" s="12"/>
      <c r="Q733" s="175"/>
      <c r="R733" s="12"/>
      <c r="S733" s="12"/>
      <c r="T733" s="175"/>
      <c r="U733" s="179"/>
      <c r="V733" s="208"/>
      <c r="W733" s="12"/>
      <c r="X733" s="12"/>
    </row>
    <row r="734">
      <c r="A734" s="175"/>
      <c r="B734" s="175"/>
      <c r="C734" s="176"/>
      <c r="D734" s="175"/>
      <c r="E734" s="175"/>
      <c r="F734" s="12"/>
      <c r="G734" s="12"/>
      <c r="H734" s="175"/>
      <c r="I734" s="12"/>
      <c r="J734" s="12"/>
      <c r="K734" s="175"/>
      <c r="L734" s="175"/>
      <c r="M734" s="175"/>
      <c r="N734" s="175"/>
      <c r="O734" s="175"/>
      <c r="P734" s="12"/>
      <c r="Q734" s="175"/>
      <c r="R734" s="12"/>
      <c r="S734" s="12"/>
      <c r="T734" s="175"/>
      <c r="U734" s="179"/>
      <c r="V734" s="208"/>
      <c r="W734" s="12"/>
      <c r="X734" s="12"/>
    </row>
    <row r="735">
      <c r="A735" s="175"/>
      <c r="B735" s="175"/>
      <c r="C735" s="176"/>
      <c r="D735" s="175"/>
      <c r="E735" s="175"/>
      <c r="F735" s="12"/>
      <c r="G735" s="12"/>
      <c r="H735" s="175"/>
      <c r="I735" s="12"/>
      <c r="J735" s="12"/>
      <c r="K735" s="175"/>
      <c r="L735" s="175"/>
      <c r="M735" s="175"/>
      <c r="N735" s="175"/>
      <c r="O735" s="175"/>
      <c r="P735" s="12"/>
      <c r="Q735" s="175"/>
      <c r="R735" s="12"/>
      <c r="S735" s="12"/>
      <c r="T735" s="175"/>
      <c r="U735" s="179"/>
      <c r="V735" s="208"/>
      <c r="W735" s="12"/>
      <c r="X735" s="12"/>
    </row>
    <row r="736">
      <c r="A736" s="175"/>
      <c r="B736" s="175"/>
      <c r="C736" s="176"/>
      <c r="D736" s="175"/>
      <c r="E736" s="175"/>
      <c r="F736" s="12"/>
      <c r="G736" s="12"/>
      <c r="H736" s="175"/>
      <c r="I736" s="12"/>
      <c r="J736" s="12"/>
      <c r="K736" s="175"/>
      <c r="L736" s="175"/>
      <c r="M736" s="175"/>
      <c r="N736" s="175"/>
      <c r="O736" s="175"/>
      <c r="P736" s="12"/>
      <c r="Q736" s="175"/>
      <c r="R736" s="12"/>
      <c r="S736" s="12"/>
      <c r="T736" s="175"/>
      <c r="U736" s="179"/>
      <c r="V736" s="208"/>
      <c r="W736" s="12"/>
      <c r="X736" s="12"/>
    </row>
    <row r="737">
      <c r="A737" s="175"/>
      <c r="B737" s="175"/>
      <c r="C737" s="176"/>
      <c r="D737" s="175"/>
      <c r="E737" s="175"/>
      <c r="F737" s="12"/>
      <c r="G737" s="12"/>
      <c r="H737" s="175"/>
      <c r="I737" s="12"/>
      <c r="J737" s="12"/>
      <c r="K737" s="175"/>
      <c r="L737" s="175"/>
      <c r="M737" s="175"/>
      <c r="N737" s="175"/>
      <c r="O737" s="175"/>
      <c r="P737" s="12"/>
      <c r="Q737" s="175"/>
      <c r="R737" s="12"/>
      <c r="S737" s="12"/>
      <c r="T737" s="175"/>
      <c r="U737" s="179"/>
      <c r="V737" s="208"/>
      <c r="W737" s="12"/>
      <c r="X737" s="12"/>
    </row>
    <row r="738">
      <c r="A738" s="175"/>
      <c r="B738" s="175"/>
      <c r="C738" s="176"/>
      <c r="D738" s="175"/>
      <c r="E738" s="175"/>
      <c r="F738" s="12"/>
      <c r="G738" s="12"/>
      <c r="H738" s="175"/>
      <c r="I738" s="12"/>
      <c r="J738" s="12"/>
      <c r="K738" s="175"/>
      <c r="L738" s="175"/>
      <c r="M738" s="175"/>
      <c r="N738" s="175"/>
      <c r="O738" s="175"/>
      <c r="P738" s="12"/>
      <c r="Q738" s="175"/>
      <c r="R738" s="12"/>
      <c r="S738" s="12"/>
      <c r="T738" s="175"/>
      <c r="U738" s="179"/>
      <c r="V738" s="208"/>
      <c r="W738" s="12"/>
      <c r="X738" s="12"/>
    </row>
    <row r="739">
      <c r="A739" s="175"/>
      <c r="B739" s="175"/>
      <c r="C739" s="176"/>
      <c r="D739" s="175"/>
      <c r="E739" s="175"/>
      <c r="F739" s="12"/>
      <c r="G739" s="12"/>
      <c r="H739" s="175"/>
      <c r="I739" s="12"/>
      <c r="J739" s="12"/>
      <c r="K739" s="175"/>
      <c r="L739" s="175"/>
      <c r="M739" s="175"/>
      <c r="N739" s="175"/>
      <c r="O739" s="175"/>
      <c r="P739" s="12"/>
      <c r="Q739" s="175"/>
      <c r="R739" s="12"/>
      <c r="S739" s="12"/>
      <c r="T739" s="175"/>
      <c r="U739" s="179"/>
      <c r="V739" s="208"/>
      <c r="W739" s="12"/>
      <c r="X739" s="12"/>
    </row>
    <row r="740">
      <c r="A740" s="175"/>
      <c r="B740" s="175"/>
      <c r="C740" s="176"/>
      <c r="D740" s="175"/>
      <c r="E740" s="175"/>
      <c r="F740" s="12"/>
      <c r="G740" s="12"/>
      <c r="H740" s="175"/>
      <c r="I740" s="12"/>
      <c r="J740" s="12"/>
      <c r="K740" s="175"/>
      <c r="L740" s="175"/>
      <c r="M740" s="175"/>
      <c r="N740" s="175"/>
      <c r="O740" s="175"/>
      <c r="P740" s="12"/>
      <c r="Q740" s="175"/>
      <c r="R740" s="12"/>
      <c r="S740" s="12"/>
      <c r="T740" s="175"/>
      <c r="U740" s="179"/>
      <c r="V740" s="208"/>
      <c r="W740" s="12"/>
      <c r="X740" s="12"/>
    </row>
    <row r="741">
      <c r="A741" s="175"/>
      <c r="B741" s="175"/>
      <c r="C741" s="176"/>
      <c r="D741" s="175"/>
      <c r="E741" s="175"/>
      <c r="F741" s="12"/>
      <c r="G741" s="12"/>
      <c r="H741" s="175"/>
      <c r="I741" s="12"/>
      <c r="J741" s="12"/>
      <c r="K741" s="175"/>
      <c r="L741" s="175"/>
      <c r="M741" s="175"/>
      <c r="N741" s="175"/>
      <c r="O741" s="175"/>
      <c r="P741" s="12"/>
      <c r="Q741" s="175"/>
      <c r="R741" s="12"/>
      <c r="S741" s="12"/>
      <c r="T741" s="175"/>
      <c r="U741" s="179"/>
      <c r="V741" s="208"/>
      <c r="W741" s="12"/>
      <c r="X741" s="12"/>
    </row>
    <row r="742">
      <c r="A742" s="175"/>
      <c r="B742" s="175"/>
      <c r="C742" s="176"/>
      <c r="D742" s="175"/>
      <c r="E742" s="175"/>
      <c r="F742" s="12"/>
      <c r="G742" s="12"/>
      <c r="H742" s="175"/>
      <c r="I742" s="12"/>
      <c r="J742" s="12"/>
      <c r="K742" s="175"/>
      <c r="L742" s="175"/>
      <c r="M742" s="175"/>
      <c r="N742" s="175"/>
      <c r="O742" s="175"/>
      <c r="P742" s="12"/>
      <c r="Q742" s="175"/>
      <c r="R742" s="12"/>
      <c r="S742" s="12"/>
      <c r="T742" s="175"/>
      <c r="U742" s="179"/>
      <c r="V742" s="208"/>
      <c r="W742" s="12"/>
      <c r="X742" s="12"/>
    </row>
    <row r="743">
      <c r="A743" s="175"/>
      <c r="B743" s="175"/>
      <c r="C743" s="176"/>
      <c r="D743" s="175"/>
      <c r="E743" s="175"/>
      <c r="F743" s="12"/>
      <c r="G743" s="12"/>
      <c r="H743" s="175"/>
      <c r="I743" s="12"/>
      <c r="J743" s="12"/>
      <c r="K743" s="175"/>
      <c r="L743" s="175"/>
      <c r="M743" s="175"/>
      <c r="N743" s="175"/>
      <c r="O743" s="175"/>
      <c r="P743" s="12"/>
      <c r="Q743" s="175"/>
      <c r="R743" s="12"/>
      <c r="S743" s="12"/>
      <c r="T743" s="175"/>
      <c r="U743" s="179"/>
      <c r="V743" s="208"/>
      <c r="W743" s="12"/>
      <c r="X743" s="12"/>
    </row>
    <row r="744">
      <c r="A744" s="175"/>
      <c r="B744" s="175"/>
      <c r="C744" s="176"/>
      <c r="D744" s="175"/>
      <c r="E744" s="175"/>
      <c r="F744" s="12"/>
      <c r="G744" s="12"/>
      <c r="H744" s="175"/>
      <c r="I744" s="12"/>
      <c r="J744" s="12"/>
      <c r="K744" s="175"/>
      <c r="L744" s="175"/>
      <c r="M744" s="175"/>
      <c r="N744" s="175"/>
      <c r="O744" s="175"/>
      <c r="P744" s="12"/>
      <c r="Q744" s="175"/>
      <c r="R744" s="12"/>
      <c r="S744" s="12"/>
      <c r="T744" s="175"/>
      <c r="U744" s="179"/>
      <c r="V744" s="208"/>
      <c r="W744" s="12"/>
      <c r="X744" s="12"/>
    </row>
    <row r="745">
      <c r="A745" s="175"/>
      <c r="B745" s="175"/>
      <c r="C745" s="176"/>
      <c r="D745" s="175"/>
      <c r="E745" s="175"/>
      <c r="F745" s="12"/>
      <c r="G745" s="12"/>
      <c r="H745" s="175"/>
      <c r="I745" s="12"/>
      <c r="J745" s="12"/>
      <c r="K745" s="175"/>
      <c r="L745" s="175"/>
      <c r="M745" s="175"/>
      <c r="N745" s="175"/>
      <c r="O745" s="175"/>
      <c r="P745" s="12"/>
      <c r="Q745" s="175"/>
      <c r="R745" s="12"/>
      <c r="S745" s="12"/>
      <c r="T745" s="175"/>
      <c r="U745" s="179"/>
      <c r="V745" s="208"/>
      <c r="W745" s="12"/>
      <c r="X745" s="12"/>
    </row>
    <row r="746">
      <c r="A746" s="175"/>
      <c r="B746" s="175"/>
      <c r="C746" s="176"/>
      <c r="D746" s="175"/>
      <c r="E746" s="175"/>
      <c r="F746" s="12"/>
      <c r="G746" s="12"/>
      <c r="H746" s="175"/>
      <c r="I746" s="12"/>
      <c r="J746" s="12"/>
      <c r="K746" s="175"/>
      <c r="L746" s="175"/>
      <c r="M746" s="175"/>
      <c r="N746" s="175"/>
      <c r="O746" s="175"/>
      <c r="P746" s="12"/>
      <c r="Q746" s="175"/>
      <c r="R746" s="12"/>
      <c r="S746" s="12"/>
      <c r="T746" s="175"/>
      <c r="U746" s="179"/>
      <c r="V746" s="208"/>
      <c r="W746" s="12"/>
      <c r="X746" s="12"/>
    </row>
    <row r="747">
      <c r="A747" s="175"/>
      <c r="B747" s="175"/>
      <c r="C747" s="176"/>
      <c r="D747" s="175"/>
      <c r="E747" s="175"/>
      <c r="F747" s="12"/>
      <c r="G747" s="12"/>
      <c r="H747" s="175"/>
      <c r="I747" s="12"/>
      <c r="J747" s="12"/>
      <c r="K747" s="175"/>
      <c r="L747" s="175"/>
      <c r="M747" s="175"/>
      <c r="N747" s="175"/>
      <c r="O747" s="175"/>
      <c r="P747" s="12"/>
      <c r="Q747" s="175"/>
      <c r="R747" s="12"/>
      <c r="S747" s="12"/>
      <c r="T747" s="175"/>
      <c r="U747" s="179"/>
      <c r="V747" s="208"/>
      <c r="W747" s="12"/>
      <c r="X747" s="12"/>
    </row>
    <row r="748">
      <c r="A748" s="175"/>
      <c r="B748" s="175"/>
      <c r="C748" s="176"/>
      <c r="D748" s="175"/>
      <c r="E748" s="175"/>
      <c r="F748" s="12"/>
      <c r="G748" s="12"/>
      <c r="H748" s="175"/>
      <c r="I748" s="12"/>
      <c r="J748" s="12"/>
      <c r="K748" s="175"/>
      <c r="L748" s="175"/>
      <c r="M748" s="175"/>
      <c r="N748" s="175"/>
      <c r="O748" s="175"/>
      <c r="P748" s="12"/>
      <c r="Q748" s="175"/>
      <c r="R748" s="12"/>
      <c r="S748" s="12"/>
      <c r="T748" s="175"/>
      <c r="U748" s="179"/>
      <c r="V748" s="208"/>
      <c r="W748" s="12"/>
      <c r="X748" s="12"/>
    </row>
    <row r="749">
      <c r="A749" s="175"/>
      <c r="B749" s="175"/>
      <c r="C749" s="176"/>
      <c r="D749" s="175"/>
      <c r="E749" s="175"/>
      <c r="F749" s="12"/>
      <c r="G749" s="12"/>
      <c r="H749" s="175"/>
      <c r="I749" s="12"/>
      <c r="J749" s="12"/>
      <c r="K749" s="175"/>
      <c r="L749" s="175"/>
      <c r="M749" s="175"/>
      <c r="N749" s="175"/>
      <c r="O749" s="175"/>
      <c r="P749" s="12"/>
      <c r="Q749" s="175"/>
      <c r="R749" s="12"/>
      <c r="S749" s="12"/>
      <c r="T749" s="175"/>
      <c r="U749" s="179"/>
      <c r="V749" s="208"/>
      <c r="W749" s="12"/>
      <c r="X749" s="12"/>
    </row>
    <row r="750">
      <c r="A750" s="175"/>
      <c r="B750" s="175"/>
      <c r="C750" s="176"/>
      <c r="D750" s="175"/>
      <c r="E750" s="175"/>
      <c r="F750" s="12"/>
      <c r="G750" s="12"/>
      <c r="H750" s="175"/>
      <c r="I750" s="12"/>
      <c r="J750" s="12"/>
      <c r="K750" s="175"/>
      <c r="L750" s="175"/>
      <c r="M750" s="175"/>
      <c r="N750" s="175"/>
      <c r="O750" s="175"/>
      <c r="P750" s="12"/>
      <c r="Q750" s="175"/>
      <c r="R750" s="12"/>
      <c r="S750" s="12"/>
      <c r="T750" s="175"/>
      <c r="U750" s="179"/>
      <c r="V750" s="208"/>
      <c r="W750" s="12"/>
      <c r="X750" s="12"/>
    </row>
    <row r="751">
      <c r="A751" s="175"/>
      <c r="B751" s="175"/>
      <c r="C751" s="176"/>
      <c r="D751" s="175"/>
      <c r="E751" s="175"/>
      <c r="F751" s="12"/>
      <c r="G751" s="12"/>
      <c r="H751" s="175"/>
      <c r="I751" s="12"/>
      <c r="J751" s="12"/>
      <c r="K751" s="175"/>
      <c r="L751" s="175"/>
      <c r="M751" s="175"/>
      <c r="N751" s="175"/>
      <c r="O751" s="175"/>
      <c r="P751" s="12"/>
      <c r="Q751" s="175"/>
      <c r="R751" s="12"/>
      <c r="S751" s="12"/>
      <c r="T751" s="175"/>
      <c r="U751" s="179"/>
      <c r="V751" s="208"/>
      <c r="W751" s="12"/>
      <c r="X751" s="12"/>
    </row>
    <row r="752">
      <c r="A752" s="175"/>
      <c r="B752" s="175"/>
      <c r="C752" s="176"/>
      <c r="D752" s="175"/>
      <c r="E752" s="175"/>
      <c r="F752" s="12"/>
      <c r="G752" s="12"/>
      <c r="H752" s="175"/>
      <c r="I752" s="12"/>
      <c r="J752" s="12"/>
      <c r="K752" s="175"/>
      <c r="L752" s="175"/>
      <c r="M752" s="175"/>
      <c r="N752" s="175"/>
      <c r="O752" s="175"/>
      <c r="P752" s="12"/>
      <c r="Q752" s="175"/>
      <c r="R752" s="12"/>
      <c r="S752" s="12"/>
      <c r="T752" s="175"/>
      <c r="U752" s="179"/>
      <c r="V752" s="208"/>
      <c r="W752" s="12"/>
      <c r="X752" s="12"/>
    </row>
    <row r="753">
      <c r="A753" s="175"/>
      <c r="B753" s="175"/>
      <c r="C753" s="176"/>
      <c r="D753" s="175"/>
      <c r="E753" s="175"/>
      <c r="F753" s="12"/>
      <c r="G753" s="12"/>
      <c r="H753" s="175"/>
      <c r="I753" s="12"/>
      <c r="J753" s="12"/>
      <c r="K753" s="175"/>
      <c r="L753" s="175"/>
      <c r="M753" s="175"/>
      <c r="N753" s="175"/>
      <c r="O753" s="175"/>
      <c r="P753" s="12"/>
      <c r="Q753" s="175"/>
      <c r="R753" s="12"/>
      <c r="S753" s="12"/>
      <c r="T753" s="175"/>
      <c r="U753" s="179"/>
      <c r="V753" s="208"/>
      <c r="W753" s="12"/>
      <c r="X753" s="12"/>
    </row>
    <row r="754">
      <c r="A754" s="175"/>
      <c r="B754" s="175"/>
      <c r="C754" s="176"/>
      <c r="D754" s="175"/>
      <c r="E754" s="175"/>
      <c r="F754" s="12"/>
      <c r="G754" s="12"/>
      <c r="H754" s="175"/>
      <c r="I754" s="12"/>
      <c r="J754" s="12"/>
      <c r="K754" s="175"/>
      <c r="L754" s="175"/>
      <c r="M754" s="175"/>
      <c r="N754" s="175"/>
      <c r="O754" s="175"/>
      <c r="P754" s="12"/>
      <c r="Q754" s="175"/>
      <c r="R754" s="12"/>
      <c r="S754" s="12"/>
      <c r="T754" s="175"/>
      <c r="U754" s="179"/>
      <c r="V754" s="208"/>
      <c r="W754" s="12"/>
      <c r="X754" s="12"/>
    </row>
    <row r="755">
      <c r="A755" s="175"/>
      <c r="B755" s="175"/>
      <c r="C755" s="176"/>
      <c r="D755" s="175"/>
      <c r="E755" s="175"/>
      <c r="F755" s="12"/>
      <c r="G755" s="12"/>
      <c r="H755" s="175"/>
      <c r="I755" s="12"/>
      <c r="J755" s="12"/>
      <c r="K755" s="175"/>
      <c r="L755" s="175"/>
      <c r="M755" s="175"/>
      <c r="N755" s="175"/>
      <c r="O755" s="175"/>
      <c r="P755" s="12"/>
      <c r="Q755" s="175"/>
      <c r="R755" s="12"/>
      <c r="S755" s="12"/>
      <c r="T755" s="175"/>
      <c r="U755" s="179"/>
      <c r="V755" s="208"/>
      <c r="W755" s="12"/>
      <c r="X755" s="12"/>
    </row>
    <row r="756">
      <c r="A756" s="175"/>
      <c r="B756" s="175"/>
      <c r="C756" s="176"/>
      <c r="D756" s="175"/>
      <c r="E756" s="175"/>
      <c r="F756" s="12"/>
      <c r="G756" s="12"/>
      <c r="H756" s="175"/>
      <c r="I756" s="12"/>
      <c r="J756" s="12"/>
      <c r="K756" s="175"/>
      <c r="L756" s="175"/>
      <c r="M756" s="175"/>
      <c r="N756" s="175"/>
      <c r="O756" s="175"/>
      <c r="P756" s="12"/>
      <c r="Q756" s="175"/>
      <c r="R756" s="12"/>
      <c r="S756" s="12"/>
      <c r="T756" s="175"/>
      <c r="U756" s="179"/>
      <c r="V756" s="208"/>
      <c r="W756" s="12"/>
      <c r="X756" s="12"/>
    </row>
    <row r="757">
      <c r="A757" s="175"/>
      <c r="B757" s="175"/>
      <c r="C757" s="176"/>
      <c r="D757" s="175"/>
      <c r="E757" s="175"/>
      <c r="F757" s="12"/>
      <c r="G757" s="12"/>
      <c r="H757" s="175"/>
      <c r="I757" s="12"/>
      <c r="J757" s="12"/>
      <c r="K757" s="175"/>
      <c r="L757" s="175"/>
      <c r="M757" s="175"/>
      <c r="N757" s="175"/>
      <c r="O757" s="175"/>
      <c r="P757" s="12"/>
      <c r="Q757" s="175"/>
      <c r="R757" s="12"/>
      <c r="S757" s="12"/>
      <c r="T757" s="175"/>
      <c r="U757" s="179"/>
      <c r="V757" s="208"/>
      <c r="W757" s="12"/>
      <c r="X757" s="12"/>
    </row>
    <row r="758">
      <c r="A758" s="175"/>
      <c r="B758" s="175"/>
      <c r="C758" s="176"/>
      <c r="D758" s="175"/>
      <c r="E758" s="175"/>
      <c r="F758" s="12"/>
      <c r="G758" s="12"/>
      <c r="H758" s="175"/>
      <c r="I758" s="12"/>
      <c r="J758" s="12"/>
      <c r="K758" s="175"/>
      <c r="L758" s="175"/>
      <c r="M758" s="175"/>
      <c r="N758" s="175"/>
      <c r="O758" s="175"/>
      <c r="P758" s="12"/>
      <c r="Q758" s="175"/>
      <c r="R758" s="12"/>
      <c r="S758" s="12"/>
      <c r="T758" s="175"/>
      <c r="U758" s="179"/>
      <c r="V758" s="208"/>
      <c r="W758" s="12"/>
      <c r="X758" s="12"/>
    </row>
    <row r="759">
      <c r="A759" s="175"/>
      <c r="B759" s="175"/>
      <c r="C759" s="176"/>
      <c r="D759" s="175"/>
      <c r="E759" s="175"/>
      <c r="F759" s="12"/>
      <c r="G759" s="12"/>
      <c r="H759" s="175"/>
      <c r="I759" s="12"/>
      <c r="J759" s="12"/>
      <c r="K759" s="175"/>
      <c r="L759" s="175"/>
      <c r="M759" s="175"/>
      <c r="N759" s="175"/>
      <c r="O759" s="175"/>
      <c r="P759" s="12"/>
      <c r="Q759" s="175"/>
      <c r="R759" s="12"/>
      <c r="S759" s="12"/>
      <c r="T759" s="175"/>
      <c r="U759" s="179"/>
      <c r="V759" s="208"/>
      <c r="W759" s="12"/>
      <c r="X759" s="12"/>
    </row>
    <row r="760">
      <c r="A760" s="175"/>
      <c r="B760" s="175"/>
      <c r="C760" s="176"/>
      <c r="D760" s="175"/>
      <c r="E760" s="175"/>
      <c r="F760" s="12"/>
      <c r="G760" s="12"/>
      <c r="H760" s="175"/>
      <c r="I760" s="12"/>
      <c r="J760" s="12"/>
      <c r="K760" s="175"/>
      <c r="L760" s="175"/>
      <c r="M760" s="175"/>
      <c r="N760" s="175"/>
      <c r="O760" s="175"/>
      <c r="P760" s="12"/>
      <c r="Q760" s="175"/>
      <c r="R760" s="12"/>
      <c r="S760" s="12"/>
      <c r="T760" s="175"/>
      <c r="U760" s="179"/>
      <c r="V760" s="208"/>
      <c r="W760" s="12"/>
      <c r="X760" s="12"/>
    </row>
    <row r="761">
      <c r="A761" s="175"/>
      <c r="B761" s="175"/>
      <c r="C761" s="176"/>
      <c r="D761" s="175"/>
      <c r="E761" s="175"/>
      <c r="F761" s="12"/>
      <c r="G761" s="12"/>
      <c r="H761" s="175"/>
      <c r="I761" s="12"/>
      <c r="J761" s="12"/>
      <c r="K761" s="175"/>
      <c r="L761" s="175"/>
      <c r="M761" s="175"/>
      <c r="N761" s="175"/>
      <c r="O761" s="175"/>
      <c r="P761" s="12"/>
      <c r="Q761" s="175"/>
      <c r="R761" s="12"/>
      <c r="S761" s="12"/>
      <c r="T761" s="175"/>
      <c r="U761" s="179"/>
      <c r="V761" s="208"/>
      <c r="W761" s="12"/>
      <c r="X761" s="12"/>
    </row>
    <row r="762">
      <c r="A762" s="175"/>
      <c r="B762" s="175"/>
      <c r="C762" s="176"/>
      <c r="D762" s="175"/>
      <c r="E762" s="175"/>
      <c r="F762" s="12"/>
      <c r="G762" s="12"/>
      <c r="H762" s="175"/>
      <c r="I762" s="12"/>
      <c r="J762" s="12"/>
      <c r="K762" s="175"/>
      <c r="L762" s="175"/>
      <c r="M762" s="175"/>
      <c r="N762" s="175"/>
      <c r="O762" s="175"/>
      <c r="P762" s="12"/>
      <c r="Q762" s="175"/>
      <c r="R762" s="12"/>
      <c r="S762" s="12"/>
      <c r="T762" s="175"/>
      <c r="U762" s="179"/>
      <c r="V762" s="208"/>
      <c r="W762" s="12"/>
      <c r="X762" s="12"/>
    </row>
    <row r="763">
      <c r="A763" s="175"/>
      <c r="B763" s="175"/>
      <c r="C763" s="176"/>
      <c r="D763" s="175"/>
      <c r="E763" s="175"/>
      <c r="F763" s="12"/>
      <c r="G763" s="12"/>
      <c r="H763" s="175"/>
      <c r="I763" s="12"/>
      <c r="J763" s="12"/>
      <c r="K763" s="175"/>
      <c r="L763" s="175"/>
      <c r="M763" s="175"/>
      <c r="N763" s="175"/>
      <c r="O763" s="175"/>
      <c r="P763" s="12"/>
      <c r="Q763" s="175"/>
      <c r="R763" s="12"/>
      <c r="S763" s="12"/>
      <c r="T763" s="175"/>
      <c r="U763" s="179"/>
      <c r="V763" s="208"/>
      <c r="W763" s="12"/>
      <c r="X763" s="12"/>
    </row>
    <row r="764">
      <c r="A764" s="175"/>
      <c r="B764" s="175"/>
      <c r="C764" s="176"/>
      <c r="D764" s="175"/>
      <c r="E764" s="175"/>
      <c r="F764" s="12"/>
      <c r="G764" s="12"/>
      <c r="H764" s="175"/>
      <c r="I764" s="12"/>
      <c r="J764" s="12"/>
      <c r="K764" s="175"/>
      <c r="L764" s="175"/>
      <c r="M764" s="175"/>
      <c r="N764" s="175"/>
      <c r="O764" s="175"/>
      <c r="P764" s="12"/>
      <c r="Q764" s="175"/>
      <c r="R764" s="12"/>
      <c r="S764" s="12"/>
      <c r="T764" s="175"/>
      <c r="U764" s="179"/>
      <c r="V764" s="208"/>
      <c r="W764" s="12"/>
      <c r="X764" s="12"/>
    </row>
    <row r="765">
      <c r="A765" s="175"/>
      <c r="B765" s="175"/>
      <c r="C765" s="176"/>
      <c r="D765" s="175"/>
      <c r="E765" s="175"/>
      <c r="F765" s="12"/>
      <c r="G765" s="12"/>
      <c r="H765" s="175"/>
      <c r="I765" s="12"/>
      <c r="J765" s="12"/>
      <c r="K765" s="175"/>
      <c r="L765" s="175"/>
      <c r="M765" s="175"/>
      <c r="N765" s="175"/>
      <c r="O765" s="175"/>
      <c r="P765" s="12"/>
      <c r="Q765" s="175"/>
      <c r="R765" s="12"/>
      <c r="S765" s="12"/>
      <c r="T765" s="175"/>
      <c r="U765" s="179"/>
      <c r="V765" s="208"/>
      <c r="W765" s="12"/>
      <c r="X765" s="12"/>
    </row>
    <row r="766">
      <c r="A766" s="175"/>
      <c r="B766" s="175"/>
      <c r="C766" s="176"/>
      <c r="D766" s="175"/>
      <c r="E766" s="175"/>
      <c r="F766" s="12"/>
      <c r="G766" s="12"/>
      <c r="H766" s="175"/>
      <c r="I766" s="12"/>
      <c r="J766" s="12"/>
      <c r="K766" s="175"/>
      <c r="L766" s="175"/>
      <c r="M766" s="175"/>
      <c r="N766" s="175"/>
      <c r="O766" s="175"/>
      <c r="P766" s="12"/>
      <c r="Q766" s="175"/>
      <c r="R766" s="12"/>
      <c r="S766" s="12"/>
      <c r="T766" s="175"/>
      <c r="U766" s="179"/>
      <c r="V766" s="208"/>
      <c r="W766" s="12"/>
      <c r="X766" s="12"/>
    </row>
    <row r="767">
      <c r="A767" s="175"/>
      <c r="B767" s="175"/>
      <c r="C767" s="176"/>
      <c r="D767" s="175"/>
      <c r="E767" s="175"/>
      <c r="F767" s="12"/>
      <c r="G767" s="12"/>
      <c r="H767" s="175"/>
      <c r="I767" s="12"/>
      <c r="J767" s="12"/>
      <c r="K767" s="175"/>
      <c r="L767" s="175"/>
      <c r="M767" s="175"/>
      <c r="N767" s="175"/>
      <c r="O767" s="175"/>
      <c r="P767" s="12"/>
      <c r="Q767" s="175"/>
      <c r="R767" s="12"/>
      <c r="S767" s="12"/>
      <c r="T767" s="175"/>
      <c r="U767" s="179"/>
      <c r="V767" s="208"/>
      <c r="W767" s="12"/>
      <c r="X767" s="12"/>
    </row>
    <row r="768">
      <c r="A768" s="175"/>
      <c r="B768" s="175"/>
      <c r="C768" s="176"/>
      <c r="D768" s="175"/>
      <c r="E768" s="175"/>
      <c r="F768" s="12"/>
      <c r="G768" s="12"/>
      <c r="H768" s="175"/>
      <c r="I768" s="12"/>
      <c r="J768" s="12"/>
      <c r="K768" s="175"/>
      <c r="L768" s="175"/>
      <c r="M768" s="175"/>
      <c r="N768" s="175"/>
      <c r="O768" s="175"/>
      <c r="P768" s="12"/>
      <c r="Q768" s="175"/>
      <c r="R768" s="12"/>
      <c r="S768" s="12"/>
      <c r="T768" s="175"/>
      <c r="U768" s="179"/>
      <c r="V768" s="208"/>
      <c r="W768" s="12"/>
      <c r="X768" s="12"/>
    </row>
    <row r="769">
      <c r="A769" s="175"/>
      <c r="B769" s="175"/>
      <c r="C769" s="176"/>
      <c r="D769" s="175"/>
      <c r="E769" s="175"/>
      <c r="F769" s="12"/>
      <c r="G769" s="12"/>
      <c r="H769" s="175"/>
      <c r="I769" s="12"/>
      <c r="J769" s="12"/>
      <c r="K769" s="175"/>
      <c r="L769" s="175"/>
      <c r="M769" s="175"/>
      <c r="N769" s="175"/>
      <c r="O769" s="175"/>
      <c r="P769" s="12"/>
      <c r="Q769" s="175"/>
      <c r="R769" s="12"/>
      <c r="S769" s="12"/>
      <c r="T769" s="175"/>
      <c r="U769" s="179"/>
      <c r="V769" s="208"/>
      <c r="W769" s="12"/>
      <c r="X769" s="12"/>
    </row>
    <row r="770">
      <c r="A770" s="175"/>
      <c r="B770" s="175"/>
      <c r="C770" s="176"/>
      <c r="D770" s="175"/>
      <c r="E770" s="175"/>
      <c r="F770" s="12"/>
      <c r="G770" s="12"/>
      <c r="H770" s="175"/>
      <c r="I770" s="12"/>
      <c r="J770" s="12"/>
      <c r="K770" s="175"/>
      <c r="L770" s="175"/>
      <c r="M770" s="175"/>
      <c r="N770" s="175"/>
      <c r="O770" s="175"/>
      <c r="P770" s="12"/>
      <c r="Q770" s="175"/>
      <c r="R770" s="12"/>
      <c r="S770" s="12"/>
      <c r="T770" s="175"/>
      <c r="U770" s="179"/>
      <c r="V770" s="208"/>
      <c r="W770" s="12"/>
      <c r="X770" s="12"/>
    </row>
    <row r="771">
      <c r="A771" s="175"/>
      <c r="B771" s="175"/>
      <c r="C771" s="176"/>
      <c r="D771" s="175"/>
      <c r="E771" s="175"/>
      <c r="F771" s="12"/>
      <c r="G771" s="12"/>
      <c r="H771" s="175"/>
      <c r="I771" s="12"/>
      <c r="J771" s="12"/>
      <c r="K771" s="175"/>
      <c r="L771" s="175"/>
      <c r="M771" s="175"/>
      <c r="N771" s="175"/>
      <c r="O771" s="175"/>
      <c r="P771" s="12"/>
      <c r="Q771" s="175"/>
      <c r="R771" s="12"/>
      <c r="S771" s="12"/>
      <c r="T771" s="175"/>
      <c r="U771" s="179"/>
      <c r="V771" s="208"/>
      <c r="W771" s="12"/>
      <c r="X771" s="12"/>
    </row>
    <row r="772">
      <c r="A772" s="175"/>
      <c r="B772" s="175"/>
      <c r="C772" s="176"/>
      <c r="D772" s="175"/>
      <c r="E772" s="175"/>
      <c r="F772" s="12"/>
      <c r="G772" s="12"/>
      <c r="H772" s="175"/>
      <c r="I772" s="12"/>
      <c r="J772" s="12"/>
      <c r="K772" s="175"/>
      <c r="L772" s="175"/>
      <c r="M772" s="175"/>
      <c r="N772" s="175"/>
      <c r="O772" s="175"/>
      <c r="P772" s="12"/>
      <c r="Q772" s="175"/>
      <c r="R772" s="12"/>
      <c r="S772" s="12"/>
      <c r="T772" s="175"/>
      <c r="U772" s="179"/>
      <c r="V772" s="208"/>
      <c r="W772" s="12"/>
      <c r="X772" s="12"/>
    </row>
    <row r="773">
      <c r="A773" s="175"/>
      <c r="B773" s="175"/>
      <c r="C773" s="176"/>
      <c r="D773" s="175"/>
      <c r="E773" s="175"/>
      <c r="F773" s="12"/>
      <c r="G773" s="12"/>
      <c r="H773" s="175"/>
      <c r="I773" s="12"/>
      <c r="J773" s="12"/>
      <c r="K773" s="175"/>
      <c r="L773" s="175"/>
      <c r="M773" s="175"/>
      <c r="N773" s="175"/>
      <c r="O773" s="175"/>
      <c r="P773" s="12"/>
      <c r="Q773" s="175"/>
      <c r="R773" s="12"/>
      <c r="S773" s="12"/>
      <c r="T773" s="175"/>
      <c r="U773" s="179"/>
      <c r="V773" s="208"/>
      <c r="W773" s="12"/>
      <c r="X773" s="12"/>
    </row>
    <row r="774">
      <c r="A774" s="175"/>
      <c r="B774" s="175"/>
      <c r="C774" s="176"/>
      <c r="D774" s="175"/>
      <c r="E774" s="175"/>
      <c r="F774" s="12"/>
      <c r="G774" s="12"/>
      <c r="H774" s="175"/>
      <c r="I774" s="12"/>
      <c r="J774" s="12"/>
      <c r="K774" s="175"/>
      <c r="L774" s="175"/>
      <c r="M774" s="175"/>
      <c r="N774" s="175"/>
      <c r="O774" s="175"/>
      <c r="P774" s="12"/>
      <c r="Q774" s="175"/>
      <c r="R774" s="12"/>
      <c r="S774" s="12"/>
      <c r="T774" s="175"/>
      <c r="U774" s="179"/>
      <c r="V774" s="208"/>
      <c r="W774" s="12"/>
      <c r="X774" s="12"/>
    </row>
    <row r="775">
      <c r="A775" s="175"/>
      <c r="B775" s="175"/>
      <c r="C775" s="176"/>
      <c r="D775" s="175"/>
      <c r="E775" s="175"/>
      <c r="F775" s="12"/>
      <c r="G775" s="12"/>
      <c r="H775" s="175"/>
      <c r="I775" s="12"/>
      <c r="J775" s="12"/>
      <c r="K775" s="175"/>
      <c r="L775" s="175"/>
      <c r="M775" s="175"/>
      <c r="N775" s="175"/>
      <c r="O775" s="175"/>
      <c r="P775" s="12"/>
      <c r="Q775" s="175"/>
      <c r="R775" s="12"/>
      <c r="S775" s="12"/>
      <c r="T775" s="175"/>
      <c r="U775" s="179"/>
      <c r="V775" s="208"/>
      <c r="W775" s="12"/>
      <c r="X775" s="12"/>
    </row>
    <row r="776">
      <c r="A776" s="175"/>
      <c r="B776" s="175"/>
      <c r="C776" s="176"/>
      <c r="D776" s="175"/>
      <c r="E776" s="175"/>
      <c r="F776" s="12"/>
      <c r="G776" s="12"/>
      <c r="H776" s="175"/>
      <c r="I776" s="12"/>
      <c r="J776" s="12"/>
      <c r="K776" s="175"/>
      <c r="L776" s="175"/>
      <c r="M776" s="175"/>
      <c r="N776" s="175"/>
      <c r="O776" s="175"/>
      <c r="P776" s="12"/>
      <c r="Q776" s="175"/>
      <c r="R776" s="12"/>
      <c r="S776" s="12"/>
      <c r="T776" s="175"/>
      <c r="U776" s="179"/>
      <c r="V776" s="208"/>
      <c r="W776" s="12"/>
      <c r="X776" s="12"/>
    </row>
    <row r="777">
      <c r="A777" s="175"/>
      <c r="B777" s="175"/>
      <c r="C777" s="176"/>
      <c r="D777" s="175"/>
      <c r="E777" s="175"/>
      <c r="F777" s="12"/>
      <c r="G777" s="12"/>
      <c r="H777" s="175"/>
      <c r="I777" s="12"/>
      <c r="J777" s="12"/>
      <c r="K777" s="175"/>
      <c r="L777" s="175"/>
      <c r="M777" s="175"/>
      <c r="N777" s="175"/>
      <c r="O777" s="175"/>
      <c r="P777" s="12"/>
      <c r="Q777" s="175"/>
      <c r="R777" s="12"/>
      <c r="S777" s="12"/>
      <c r="T777" s="175"/>
      <c r="U777" s="179"/>
      <c r="V777" s="208"/>
      <c r="W777" s="12"/>
      <c r="X777" s="12"/>
    </row>
    <row r="778">
      <c r="A778" s="175"/>
      <c r="B778" s="175"/>
      <c r="C778" s="176"/>
      <c r="D778" s="175"/>
      <c r="E778" s="175"/>
      <c r="F778" s="12"/>
      <c r="G778" s="12"/>
      <c r="H778" s="175"/>
      <c r="I778" s="12"/>
      <c r="J778" s="12"/>
      <c r="K778" s="175"/>
      <c r="L778" s="175"/>
      <c r="M778" s="175"/>
      <c r="N778" s="175"/>
      <c r="O778" s="175"/>
      <c r="P778" s="12"/>
      <c r="Q778" s="175"/>
      <c r="R778" s="12"/>
      <c r="S778" s="12"/>
      <c r="T778" s="175"/>
      <c r="U778" s="179"/>
      <c r="V778" s="208"/>
      <c r="W778" s="12"/>
      <c r="X778" s="12"/>
    </row>
    <row r="779">
      <c r="A779" s="175"/>
      <c r="B779" s="175"/>
      <c r="C779" s="176"/>
      <c r="D779" s="175"/>
      <c r="E779" s="175"/>
      <c r="F779" s="12"/>
      <c r="G779" s="12"/>
      <c r="H779" s="175"/>
      <c r="I779" s="12"/>
      <c r="J779" s="12"/>
      <c r="K779" s="175"/>
      <c r="L779" s="175"/>
      <c r="M779" s="175"/>
      <c r="N779" s="175"/>
      <c r="O779" s="175"/>
      <c r="P779" s="12"/>
      <c r="Q779" s="175"/>
      <c r="R779" s="12"/>
      <c r="S779" s="12"/>
      <c r="T779" s="175"/>
      <c r="U779" s="179"/>
      <c r="V779" s="208"/>
      <c r="W779" s="12"/>
      <c r="X779" s="12"/>
    </row>
    <row r="780">
      <c r="A780" s="175"/>
      <c r="B780" s="175"/>
      <c r="C780" s="176"/>
      <c r="D780" s="175"/>
      <c r="E780" s="175"/>
      <c r="F780" s="12"/>
      <c r="G780" s="12"/>
      <c r="H780" s="175"/>
      <c r="I780" s="12"/>
      <c r="J780" s="12"/>
      <c r="K780" s="175"/>
      <c r="L780" s="175"/>
      <c r="M780" s="175"/>
      <c r="N780" s="175"/>
      <c r="O780" s="175"/>
      <c r="P780" s="12"/>
      <c r="Q780" s="175"/>
      <c r="R780" s="12"/>
      <c r="S780" s="12"/>
      <c r="T780" s="175"/>
      <c r="U780" s="179"/>
      <c r="V780" s="208"/>
      <c r="W780" s="12"/>
      <c r="X780" s="12"/>
    </row>
    <row r="781">
      <c r="A781" s="175"/>
      <c r="B781" s="175"/>
      <c r="C781" s="176"/>
      <c r="D781" s="175"/>
      <c r="E781" s="175"/>
      <c r="F781" s="12"/>
      <c r="G781" s="12"/>
      <c r="H781" s="175"/>
      <c r="I781" s="12"/>
      <c r="J781" s="12"/>
      <c r="K781" s="175"/>
      <c r="L781" s="175"/>
      <c r="M781" s="175"/>
      <c r="N781" s="175"/>
      <c r="O781" s="175"/>
      <c r="P781" s="12"/>
      <c r="Q781" s="175"/>
      <c r="R781" s="12"/>
      <c r="S781" s="12"/>
      <c r="T781" s="175"/>
      <c r="U781" s="179"/>
      <c r="V781" s="208"/>
      <c r="W781" s="12"/>
      <c r="X781" s="12"/>
    </row>
    <row r="782">
      <c r="A782" s="175"/>
      <c r="B782" s="175"/>
      <c r="C782" s="176"/>
      <c r="D782" s="175"/>
      <c r="E782" s="175"/>
      <c r="F782" s="12"/>
      <c r="G782" s="12"/>
      <c r="H782" s="175"/>
      <c r="I782" s="12"/>
      <c r="J782" s="12"/>
      <c r="K782" s="175"/>
      <c r="L782" s="175"/>
      <c r="M782" s="175"/>
      <c r="N782" s="175"/>
      <c r="O782" s="175"/>
      <c r="P782" s="12"/>
      <c r="Q782" s="175"/>
      <c r="R782" s="12"/>
      <c r="S782" s="12"/>
      <c r="T782" s="175"/>
      <c r="U782" s="179"/>
      <c r="V782" s="208"/>
      <c r="W782" s="12"/>
      <c r="X782" s="12"/>
    </row>
    <row r="783">
      <c r="A783" s="175"/>
      <c r="B783" s="175"/>
      <c r="C783" s="176"/>
      <c r="D783" s="175"/>
      <c r="E783" s="175"/>
      <c r="F783" s="12"/>
      <c r="G783" s="12"/>
      <c r="H783" s="175"/>
      <c r="I783" s="12"/>
      <c r="J783" s="12"/>
      <c r="K783" s="175"/>
      <c r="L783" s="175"/>
      <c r="M783" s="175"/>
      <c r="N783" s="175"/>
      <c r="O783" s="175"/>
      <c r="P783" s="12"/>
      <c r="Q783" s="175"/>
      <c r="R783" s="12"/>
      <c r="S783" s="12"/>
      <c r="T783" s="175"/>
      <c r="U783" s="179"/>
      <c r="V783" s="208"/>
      <c r="W783" s="12"/>
      <c r="X783" s="12"/>
    </row>
    <row r="784">
      <c r="A784" s="175"/>
      <c r="B784" s="175"/>
      <c r="C784" s="176"/>
      <c r="D784" s="175"/>
      <c r="E784" s="175"/>
      <c r="F784" s="12"/>
      <c r="G784" s="12"/>
      <c r="H784" s="175"/>
      <c r="I784" s="12"/>
      <c r="J784" s="12"/>
      <c r="K784" s="175"/>
      <c r="L784" s="175"/>
      <c r="M784" s="175"/>
      <c r="N784" s="175"/>
      <c r="O784" s="175"/>
      <c r="P784" s="12"/>
      <c r="Q784" s="175"/>
      <c r="R784" s="12"/>
      <c r="S784" s="12"/>
      <c r="T784" s="175"/>
      <c r="U784" s="179"/>
      <c r="V784" s="208"/>
      <c r="W784" s="12"/>
      <c r="X784" s="12"/>
    </row>
    <row r="785">
      <c r="A785" s="175"/>
      <c r="B785" s="175"/>
      <c r="C785" s="176"/>
      <c r="D785" s="175"/>
      <c r="E785" s="175"/>
      <c r="F785" s="12"/>
      <c r="G785" s="12"/>
      <c r="H785" s="175"/>
      <c r="I785" s="12"/>
      <c r="J785" s="12"/>
      <c r="K785" s="175"/>
      <c r="L785" s="175"/>
      <c r="M785" s="175"/>
      <c r="N785" s="175"/>
      <c r="O785" s="175"/>
      <c r="P785" s="12"/>
      <c r="Q785" s="175"/>
      <c r="R785" s="12"/>
      <c r="S785" s="12"/>
      <c r="T785" s="175"/>
      <c r="U785" s="179"/>
      <c r="V785" s="208"/>
      <c r="W785" s="12"/>
      <c r="X785" s="12"/>
    </row>
    <row r="786">
      <c r="A786" s="175"/>
      <c r="B786" s="175"/>
      <c r="C786" s="176"/>
      <c r="D786" s="175"/>
      <c r="E786" s="175"/>
      <c r="F786" s="12"/>
      <c r="G786" s="12"/>
      <c r="H786" s="175"/>
      <c r="I786" s="12"/>
      <c r="J786" s="12"/>
      <c r="K786" s="175"/>
      <c r="L786" s="175"/>
      <c r="M786" s="175"/>
      <c r="N786" s="175"/>
      <c r="O786" s="175"/>
      <c r="P786" s="12"/>
      <c r="Q786" s="175"/>
      <c r="R786" s="12"/>
      <c r="S786" s="12"/>
      <c r="T786" s="175"/>
      <c r="U786" s="179"/>
      <c r="V786" s="208"/>
      <c r="W786" s="12"/>
      <c r="X786" s="12"/>
    </row>
    <row r="787">
      <c r="A787" s="175"/>
      <c r="B787" s="175"/>
      <c r="C787" s="176"/>
      <c r="D787" s="175"/>
      <c r="E787" s="175"/>
      <c r="F787" s="12"/>
      <c r="G787" s="12"/>
      <c r="H787" s="175"/>
      <c r="I787" s="12"/>
      <c r="J787" s="12"/>
      <c r="K787" s="175"/>
      <c r="L787" s="175"/>
      <c r="M787" s="175"/>
      <c r="N787" s="175"/>
      <c r="O787" s="175"/>
      <c r="P787" s="12"/>
      <c r="Q787" s="175"/>
      <c r="R787" s="12"/>
      <c r="S787" s="12"/>
      <c r="T787" s="175"/>
      <c r="U787" s="179"/>
      <c r="V787" s="208"/>
      <c r="W787" s="12"/>
      <c r="X787" s="12"/>
    </row>
    <row r="788">
      <c r="A788" s="175"/>
      <c r="B788" s="175"/>
      <c r="C788" s="176"/>
      <c r="D788" s="175"/>
      <c r="E788" s="175"/>
      <c r="F788" s="12"/>
      <c r="G788" s="12"/>
      <c r="H788" s="175"/>
      <c r="I788" s="12"/>
      <c r="J788" s="12"/>
      <c r="K788" s="175"/>
      <c r="L788" s="175"/>
      <c r="M788" s="175"/>
      <c r="N788" s="175"/>
      <c r="O788" s="175"/>
      <c r="P788" s="12"/>
      <c r="Q788" s="175"/>
      <c r="R788" s="12"/>
      <c r="S788" s="12"/>
      <c r="T788" s="175"/>
      <c r="U788" s="179"/>
      <c r="V788" s="208"/>
      <c r="W788" s="12"/>
      <c r="X788" s="12"/>
    </row>
    <row r="789">
      <c r="A789" s="175"/>
      <c r="B789" s="175"/>
      <c r="C789" s="176"/>
      <c r="D789" s="175"/>
      <c r="E789" s="175"/>
      <c r="F789" s="12"/>
      <c r="G789" s="12"/>
      <c r="H789" s="175"/>
      <c r="I789" s="12"/>
      <c r="J789" s="12"/>
      <c r="K789" s="175"/>
      <c r="L789" s="175"/>
      <c r="M789" s="175"/>
      <c r="N789" s="175"/>
      <c r="O789" s="175"/>
      <c r="P789" s="12"/>
      <c r="Q789" s="175"/>
      <c r="R789" s="12"/>
      <c r="S789" s="12"/>
      <c r="T789" s="175"/>
      <c r="U789" s="179"/>
      <c r="V789" s="208"/>
      <c r="W789" s="12"/>
      <c r="X789" s="12"/>
    </row>
    <row r="790">
      <c r="A790" s="175"/>
      <c r="B790" s="175"/>
      <c r="C790" s="176"/>
      <c r="D790" s="175"/>
      <c r="E790" s="175"/>
      <c r="F790" s="12"/>
      <c r="G790" s="12"/>
      <c r="H790" s="175"/>
      <c r="I790" s="12"/>
      <c r="J790" s="12"/>
      <c r="K790" s="175"/>
      <c r="L790" s="175"/>
      <c r="M790" s="175"/>
      <c r="N790" s="175"/>
      <c r="O790" s="175"/>
      <c r="P790" s="12"/>
      <c r="Q790" s="175"/>
      <c r="R790" s="12"/>
      <c r="S790" s="12"/>
      <c r="T790" s="175"/>
      <c r="U790" s="179"/>
      <c r="V790" s="208"/>
      <c r="W790" s="12"/>
      <c r="X790" s="12"/>
    </row>
    <row r="791">
      <c r="A791" s="175"/>
      <c r="B791" s="175"/>
      <c r="C791" s="176"/>
      <c r="D791" s="175"/>
      <c r="E791" s="175"/>
      <c r="F791" s="12"/>
      <c r="G791" s="12"/>
      <c r="H791" s="175"/>
      <c r="I791" s="12"/>
      <c r="J791" s="12"/>
      <c r="K791" s="175"/>
      <c r="L791" s="175"/>
      <c r="M791" s="175"/>
      <c r="N791" s="175"/>
      <c r="O791" s="175"/>
      <c r="P791" s="12"/>
      <c r="Q791" s="175"/>
      <c r="R791" s="12"/>
      <c r="S791" s="12"/>
      <c r="T791" s="175"/>
      <c r="U791" s="179"/>
      <c r="V791" s="208"/>
      <c r="W791" s="12"/>
      <c r="X791" s="12"/>
    </row>
    <row r="792">
      <c r="A792" s="175"/>
      <c r="B792" s="175"/>
      <c r="C792" s="176"/>
      <c r="D792" s="175"/>
      <c r="E792" s="175"/>
      <c r="F792" s="12"/>
      <c r="G792" s="12"/>
      <c r="H792" s="175"/>
      <c r="I792" s="12"/>
      <c r="J792" s="12"/>
      <c r="K792" s="175"/>
      <c r="L792" s="175"/>
      <c r="M792" s="175"/>
      <c r="N792" s="175"/>
      <c r="O792" s="175"/>
      <c r="P792" s="12"/>
      <c r="Q792" s="175"/>
      <c r="R792" s="12"/>
      <c r="S792" s="12"/>
      <c r="T792" s="175"/>
      <c r="U792" s="179"/>
      <c r="V792" s="208"/>
      <c r="W792" s="12"/>
      <c r="X792" s="12"/>
    </row>
    <row r="793">
      <c r="A793" s="175"/>
      <c r="B793" s="175"/>
      <c r="C793" s="176"/>
      <c r="D793" s="175"/>
      <c r="E793" s="175"/>
      <c r="F793" s="12"/>
      <c r="G793" s="12"/>
      <c r="H793" s="175"/>
      <c r="I793" s="12"/>
      <c r="J793" s="12"/>
      <c r="K793" s="175"/>
      <c r="L793" s="175"/>
      <c r="M793" s="175"/>
      <c r="N793" s="175"/>
      <c r="O793" s="175"/>
      <c r="P793" s="12"/>
      <c r="Q793" s="175"/>
      <c r="R793" s="12"/>
      <c r="S793" s="12"/>
      <c r="T793" s="175"/>
      <c r="U793" s="179"/>
      <c r="V793" s="208"/>
      <c r="W793" s="12"/>
      <c r="X793" s="12"/>
    </row>
    <row r="794">
      <c r="A794" s="175"/>
      <c r="B794" s="175"/>
      <c r="C794" s="176"/>
      <c r="D794" s="175"/>
      <c r="E794" s="175"/>
      <c r="F794" s="12"/>
      <c r="G794" s="12"/>
      <c r="H794" s="175"/>
      <c r="I794" s="12"/>
      <c r="J794" s="12"/>
      <c r="K794" s="175"/>
      <c r="L794" s="175"/>
      <c r="M794" s="175"/>
      <c r="N794" s="175"/>
      <c r="O794" s="175"/>
      <c r="P794" s="12"/>
      <c r="Q794" s="175"/>
      <c r="R794" s="12"/>
      <c r="S794" s="12"/>
      <c r="T794" s="175"/>
      <c r="U794" s="179"/>
      <c r="V794" s="208"/>
      <c r="W794" s="12"/>
      <c r="X794" s="12"/>
    </row>
    <row r="795">
      <c r="A795" s="175"/>
      <c r="B795" s="175"/>
      <c r="C795" s="176"/>
      <c r="D795" s="175"/>
      <c r="E795" s="175"/>
      <c r="F795" s="12"/>
      <c r="G795" s="12"/>
      <c r="H795" s="175"/>
      <c r="I795" s="12"/>
      <c r="J795" s="12"/>
      <c r="K795" s="175"/>
      <c r="L795" s="175"/>
      <c r="M795" s="175"/>
      <c r="N795" s="175"/>
      <c r="O795" s="175"/>
      <c r="P795" s="12"/>
      <c r="Q795" s="175"/>
      <c r="R795" s="12"/>
      <c r="S795" s="12"/>
      <c r="T795" s="175"/>
      <c r="U795" s="179"/>
      <c r="V795" s="208"/>
      <c r="W795" s="12"/>
      <c r="X795" s="12"/>
    </row>
    <row r="796">
      <c r="A796" s="175"/>
      <c r="B796" s="175"/>
      <c r="C796" s="176"/>
      <c r="D796" s="175"/>
      <c r="E796" s="175"/>
      <c r="F796" s="12"/>
      <c r="G796" s="12"/>
      <c r="H796" s="175"/>
      <c r="I796" s="12"/>
      <c r="J796" s="12"/>
      <c r="K796" s="175"/>
      <c r="L796" s="175"/>
      <c r="M796" s="175"/>
      <c r="N796" s="175"/>
      <c r="O796" s="175"/>
      <c r="P796" s="12"/>
      <c r="Q796" s="175"/>
      <c r="R796" s="12"/>
      <c r="S796" s="12"/>
      <c r="T796" s="175"/>
      <c r="U796" s="179"/>
      <c r="V796" s="208"/>
      <c r="W796" s="12"/>
      <c r="X796" s="12"/>
    </row>
    <row r="797">
      <c r="A797" s="175"/>
      <c r="B797" s="175"/>
      <c r="C797" s="176"/>
      <c r="D797" s="175"/>
      <c r="E797" s="175"/>
      <c r="F797" s="12"/>
      <c r="G797" s="12"/>
      <c r="H797" s="175"/>
      <c r="I797" s="12"/>
      <c r="J797" s="12"/>
      <c r="K797" s="175"/>
      <c r="L797" s="175"/>
      <c r="M797" s="175"/>
      <c r="N797" s="175"/>
      <c r="O797" s="175"/>
      <c r="P797" s="12"/>
      <c r="Q797" s="175"/>
      <c r="R797" s="12"/>
      <c r="S797" s="12"/>
      <c r="T797" s="175"/>
      <c r="U797" s="179"/>
      <c r="V797" s="208"/>
      <c r="W797" s="12"/>
      <c r="X797" s="12"/>
    </row>
    <row r="798">
      <c r="A798" s="175"/>
      <c r="B798" s="175"/>
      <c r="C798" s="176"/>
      <c r="D798" s="175"/>
      <c r="E798" s="175"/>
      <c r="F798" s="12"/>
      <c r="G798" s="12"/>
      <c r="H798" s="175"/>
      <c r="I798" s="12"/>
      <c r="J798" s="12"/>
      <c r="K798" s="175"/>
      <c r="L798" s="175"/>
      <c r="M798" s="175"/>
      <c r="N798" s="175"/>
      <c r="O798" s="175"/>
      <c r="P798" s="12"/>
      <c r="Q798" s="175"/>
      <c r="R798" s="12"/>
      <c r="S798" s="12"/>
      <c r="T798" s="175"/>
      <c r="U798" s="179"/>
      <c r="V798" s="208"/>
      <c r="W798" s="12"/>
      <c r="X798" s="12"/>
    </row>
    <row r="799">
      <c r="A799" s="175"/>
      <c r="B799" s="175"/>
      <c r="C799" s="176"/>
      <c r="D799" s="175"/>
      <c r="E799" s="175"/>
      <c r="F799" s="12"/>
      <c r="G799" s="12"/>
      <c r="H799" s="175"/>
      <c r="I799" s="12"/>
      <c r="J799" s="12"/>
      <c r="K799" s="175"/>
      <c r="L799" s="175"/>
      <c r="M799" s="175"/>
      <c r="N799" s="175"/>
      <c r="O799" s="175"/>
      <c r="P799" s="12"/>
      <c r="Q799" s="175"/>
      <c r="R799" s="12"/>
      <c r="S799" s="12"/>
      <c r="T799" s="175"/>
      <c r="U799" s="179"/>
      <c r="V799" s="208"/>
      <c r="W799" s="12"/>
      <c r="X799" s="12"/>
    </row>
    <row r="800">
      <c r="A800" s="175"/>
      <c r="B800" s="175"/>
      <c r="C800" s="176"/>
      <c r="D800" s="175"/>
      <c r="E800" s="175"/>
      <c r="F800" s="12"/>
      <c r="G800" s="12"/>
      <c r="H800" s="175"/>
      <c r="I800" s="12"/>
      <c r="J800" s="12"/>
      <c r="K800" s="175"/>
      <c r="L800" s="175"/>
      <c r="M800" s="175"/>
      <c r="N800" s="175"/>
      <c r="O800" s="175"/>
      <c r="P800" s="12"/>
      <c r="Q800" s="175"/>
      <c r="R800" s="12"/>
      <c r="S800" s="12"/>
      <c r="T800" s="175"/>
      <c r="U800" s="179"/>
      <c r="V800" s="208"/>
      <c r="W800" s="12"/>
      <c r="X800" s="12"/>
    </row>
    <row r="801">
      <c r="A801" s="175"/>
      <c r="B801" s="175"/>
      <c r="C801" s="176"/>
      <c r="D801" s="175"/>
      <c r="E801" s="175"/>
      <c r="F801" s="12"/>
      <c r="G801" s="12"/>
      <c r="H801" s="175"/>
      <c r="I801" s="12"/>
      <c r="J801" s="12"/>
      <c r="K801" s="175"/>
      <c r="L801" s="175"/>
      <c r="M801" s="175"/>
      <c r="N801" s="175"/>
      <c r="O801" s="175"/>
      <c r="P801" s="12"/>
      <c r="Q801" s="175"/>
      <c r="R801" s="12"/>
      <c r="S801" s="12"/>
      <c r="T801" s="175"/>
      <c r="U801" s="179"/>
      <c r="V801" s="208"/>
      <c r="W801" s="12"/>
      <c r="X801" s="12"/>
    </row>
    <row r="802">
      <c r="A802" s="175"/>
      <c r="B802" s="175"/>
      <c r="C802" s="176"/>
      <c r="D802" s="175"/>
      <c r="E802" s="175"/>
      <c r="F802" s="12"/>
      <c r="G802" s="12"/>
      <c r="H802" s="175"/>
      <c r="I802" s="12"/>
      <c r="J802" s="12"/>
      <c r="K802" s="175"/>
      <c r="L802" s="175"/>
      <c r="M802" s="175"/>
      <c r="N802" s="175"/>
      <c r="O802" s="175"/>
      <c r="P802" s="12"/>
      <c r="Q802" s="175"/>
      <c r="R802" s="12"/>
      <c r="S802" s="12"/>
      <c r="T802" s="175"/>
      <c r="U802" s="179"/>
      <c r="V802" s="208"/>
      <c r="W802" s="12"/>
      <c r="X802" s="12"/>
    </row>
    <row r="803">
      <c r="A803" s="175"/>
      <c r="B803" s="175"/>
      <c r="C803" s="176"/>
      <c r="D803" s="175"/>
      <c r="E803" s="175"/>
      <c r="F803" s="12"/>
      <c r="G803" s="12"/>
      <c r="H803" s="175"/>
      <c r="I803" s="12"/>
      <c r="J803" s="12"/>
      <c r="K803" s="175"/>
      <c r="L803" s="175"/>
      <c r="M803" s="175"/>
      <c r="N803" s="175"/>
      <c r="O803" s="175"/>
      <c r="P803" s="12"/>
      <c r="Q803" s="175"/>
      <c r="R803" s="12"/>
      <c r="S803" s="12"/>
      <c r="T803" s="175"/>
      <c r="U803" s="179"/>
      <c r="V803" s="208"/>
      <c r="W803" s="12"/>
      <c r="X803" s="12"/>
    </row>
    <row r="804">
      <c r="A804" s="175"/>
      <c r="B804" s="175"/>
      <c r="C804" s="176"/>
      <c r="D804" s="175"/>
      <c r="E804" s="175"/>
      <c r="F804" s="12"/>
      <c r="G804" s="12"/>
      <c r="H804" s="175"/>
      <c r="I804" s="12"/>
      <c r="J804" s="12"/>
      <c r="K804" s="175"/>
      <c r="L804" s="175"/>
      <c r="M804" s="175"/>
      <c r="N804" s="175"/>
      <c r="O804" s="175"/>
      <c r="P804" s="12"/>
      <c r="Q804" s="175"/>
      <c r="R804" s="12"/>
      <c r="S804" s="12"/>
      <c r="T804" s="175"/>
      <c r="U804" s="179"/>
      <c r="V804" s="208"/>
      <c r="W804" s="12"/>
      <c r="X804" s="12"/>
    </row>
    <row r="805">
      <c r="A805" s="175"/>
      <c r="B805" s="175"/>
      <c r="C805" s="176"/>
      <c r="D805" s="175"/>
      <c r="E805" s="175"/>
      <c r="F805" s="12"/>
      <c r="G805" s="12"/>
      <c r="H805" s="175"/>
      <c r="I805" s="12"/>
      <c r="J805" s="12"/>
      <c r="K805" s="175"/>
      <c r="L805" s="175"/>
      <c r="M805" s="175"/>
      <c r="N805" s="175"/>
      <c r="O805" s="175"/>
      <c r="P805" s="12"/>
      <c r="Q805" s="175"/>
      <c r="R805" s="12"/>
      <c r="S805" s="12"/>
      <c r="T805" s="175"/>
      <c r="U805" s="179"/>
      <c r="V805" s="208"/>
      <c r="W805" s="12"/>
      <c r="X805" s="12"/>
    </row>
    <row r="806">
      <c r="A806" s="175"/>
      <c r="B806" s="175"/>
      <c r="C806" s="176"/>
      <c r="D806" s="175"/>
      <c r="E806" s="175"/>
      <c r="F806" s="12"/>
      <c r="G806" s="12"/>
      <c r="H806" s="175"/>
      <c r="I806" s="12"/>
      <c r="J806" s="12"/>
      <c r="K806" s="175"/>
      <c r="L806" s="175"/>
      <c r="M806" s="175"/>
      <c r="N806" s="175"/>
      <c r="O806" s="175"/>
      <c r="P806" s="12"/>
      <c r="Q806" s="175"/>
      <c r="R806" s="12"/>
      <c r="S806" s="12"/>
      <c r="T806" s="175"/>
      <c r="U806" s="179"/>
      <c r="V806" s="208"/>
      <c r="W806" s="12"/>
      <c r="X806" s="12"/>
    </row>
    <row r="807">
      <c r="A807" s="175"/>
      <c r="B807" s="175"/>
      <c r="C807" s="176"/>
      <c r="D807" s="175"/>
      <c r="E807" s="175"/>
      <c r="F807" s="12"/>
      <c r="G807" s="12"/>
      <c r="H807" s="175"/>
      <c r="I807" s="12"/>
      <c r="J807" s="12"/>
      <c r="K807" s="175"/>
      <c r="L807" s="175"/>
      <c r="M807" s="175"/>
      <c r="N807" s="175"/>
      <c r="O807" s="175"/>
      <c r="P807" s="12"/>
      <c r="Q807" s="175"/>
      <c r="R807" s="12"/>
      <c r="S807" s="12"/>
      <c r="T807" s="175"/>
      <c r="U807" s="179"/>
      <c r="V807" s="208"/>
      <c r="W807" s="12"/>
      <c r="X807" s="12"/>
    </row>
    <row r="808">
      <c r="A808" s="175"/>
      <c r="B808" s="175"/>
      <c r="C808" s="176"/>
      <c r="D808" s="175"/>
      <c r="E808" s="175"/>
      <c r="F808" s="12"/>
      <c r="G808" s="12"/>
      <c r="H808" s="175"/>
      <c r="I808" s="12"/>
      <c r="J808" s="12"/>
      <c r="K808" s="175"/>
      <c r="L808" s="175"/>
      <c r="M808" s="175"/>
      <c r="N808" s="175"/>
      <c r="O808" s="175"/>
      <c r="P808" s="12"/>
      <c r="Q808" s="175"/>
      <c r="R808" s="12"/>
      <c r="S808" s="12"/>
      <c r="T808" s="175"/>
      <c r="U808" s="179"/>
      <c r="V808" s="208"/>
      <c r="W808" s="12"/>
      <c r="X808" s="12"/>
    </row>
    <row r="809">
      <c r="A809" s="175"/>
      <c r="B809" s="175"/>
      <c r="C809" s="176"/>
      <c r="D809" s="175"/>
      <c r="E809" s="175"/>
      <c r="F809" s="12"/>
      <c r="G809" s="12"/>
      <c r="H809" s="175"/>
      <c r="I809" s="12"/>
      <c r="J809" s="12"/>
      <c r="K809" s="175"/>
      <c r="L809" s="175"/>
      <c r="M809" s="175"/>
      <c r="N809" s="175"/>
      <c r="O809" s="175"/>
      <c r="P809" s="12"/>
      <c r="Q809" s="175"/>
      <c r="R809" s="12"/>
      <c r="S809" s="12"/>
      <c r="T809" s="175"/>
      <c r="U809" s="179"/>
      <c r="V809" s="208"/>
      <c r="W809" s="12"/>
      <c r="X809" s="12"/>
    </row>
    <row r="810">
      <c r="A810" s="175"/>
      <c r="B810" s="175"/>
      <c r="C810" s="176"/>
      <c r="D810" s="175"/>
      <c r="E810" s="175"/>
      <c r="F810" s="12"/>
      <c r="G810" s="12"/>
      <c r="H810" s="175"/>
      <c r="I810" s="12"/>
      <c r="J810" s="12"/>
      <c r="K810" s="175"/>
      <c r="L810" s="175"/>
      <c r="M810" s="175"/>
      <c r="N810" s="175"/>
      <c r="O810" s="175"/>
      <c r="P810" s="12"/>
      <c r="Q810" s="175"/>
      <c r="R810" s="12"/>
      <c r="S810" s="12"/>
      <c r="T810" s="175"/>
      <c r="U810" s="179"/>
      <c r="V810" s="208"/>
      <c r="W810" s="12"/>
      <c r="X810" s="12"/>
    </row>
    <row r="811">
      <c r="A811" s="175"/>
      <c r="B811" s="175"/>
      <c r="C811" s="176"/>
      <c r="D811" s="175"/>
      <c r="E811" s="175"/>
      <c r="F811" s="12"/>
      <c r="G811" s="12"/>
      <c r="H811" s="175"/>
      <c r="I811" s="12"/>
      <c r="J811" s="12"/>
      <c r="K811" s="175"/>
      <c r="L811" s="175"/>
      <c r="M811" s="175"/>
      <c r="N811" s="175"/>
      <c r="O811" s="175"/>
      <c r="P811" s="12"/>
      <c r="Q811" s="175"/>
      <c r="R811" s="12"/>
      <c r="S811" s="12"/>
      <c r="T811" s="175"/>
      <c r="U811" s="179"/>
      <c r="V811" s="208"/>
      <c r="W811" s="12"/>
      <c r="X811" s="12"/>
    </row>
    <row r="812">
      <c r="A812" s="175"/>
      <c r="B812" s="175"/>
      <c r="C812" s="176"/>
      <c r="D812" s="175"/>
      <c r="E812" s="175"/>
      <c r="F812" s="12"/>
      <c r="G812" s="12"/>
      <c r="H812" s="175"/>
      <c r="I812" s="12"/>
      <c r="J812" s="12"/>
      <c r="K812" s="175"/>
      <c r="L812" s="175"/>
      <c r="M812" s="175"/>
      <c r="N812" s="175"/>
      <c r="O812" s="175"/>
      <c r="P812" s="12"/>
      <c r="Q812" s="175"/>
      <c r="R812" s="12"/>
      <c r="S812" s="12"/>
      <c r="T812" s="175"/>
      <c r="U812" s="179"/>
      <c r="V812" s="208"/>
      <c r="W812" s="12"/>
      <c r="X812" s="12"/>
    </row>
    <row r="813">
      <c r="A813" s="175"/>
      <c r="B813" s="175"/>
      <c r="C813" s="176"/>
      <c r="D813" s="175"/>
      <c r="E813" s="175"/>
      <c r="F813" s="12"/>
      <c r="G813" s="12"/>
      <c r="H813" s="175"/>
      <c r="I813" s="12"/>
      <c r="J813" s="12"/>
      <c r="K813" s="175"/>
      <c r="L813" s="175"/>
      <c r="M813" s="175"/>
      <c r="N813" s="175"/>
      <c r="O813" s="175"/>
      <c r="P813" s="12"/>
      <c r="Q813" s="175"/>
      <c r="R813" s="12"/>
      <c r="S813" s="12"/>
      <c r="T813" s="175"/>
      <c r="U813" s="179"/>
      <c r="V813" s="208"/>
      <c r="W813" s="12"/>
      <c r="X813" s="12"/>
    </row>
    <row r="814">
      <c r="A814" s="175"/>
      <c r="B814" s="175"/>
      <c r="C814" s="176"/>
      <c r="D814" s="175"/>
      <c r="E814" s="175"/>
      <c r="F814" s="12"/>
      <c r="G814" s="12"/>
      <c r="H814" s="175"/>
      <c r="I814" s="12"/>
      <c r="J814" s="12"/>
      <c r="K814" s="175"/>
      <c r="L814" s="175"/>
      <c r="M814" s="175"/>
      <c r="N814" s="175"/>
      <c r="O814" s="175"/>
      <c r="P814" s="12"/>
      <c r="Q814" s="175"/>
      <c r="R814" s="12"/>
      <c r="S814" s="12"/>
      <c r="T814" s="175"/>
      <c r="U814" s="179"/>
      <c r="V814" s="208"/>
      <c r="W814" s="12"/>
      <c r="X814" s="12"/>
    </row>
    <row r="815">
      <c r="A815" s="175"/>
      <c r="B815" s="175"/>
      <c r="C815" s="176"/>
      <c r="D815" s="175"/>
      <c r="E815" s="175"/>
      <c r="F815" s="12"/>
      <c r="G815" s="12"/>
      <c r="H815" s="175"/>
      <c r="I815" s="12"/>
      <c r="J815" s="12"/>
      <c r="K815" s="175"/>
      <c r="L815" s="175"/>
      <c r="M815" s="175"/>
      <c r="N815" s="175"/>
      <c r="O815" s="175"/>
      <c r="P815" s="12"/>
      <c r="Q815" s="175"/>
      <c r="R815" s="12"/>
      <c r="S815" s="12"/>
      <c r="T815" s="175"/>
      <c r="U815" s="179"/>
      <c r="V815" s="208"/>
      <c r="W815" s="12"/>
      <c r="X815" s="12"/>
    </row>
    <row r="816">
      <c r="A816" s="175"/>
      <c r="B816" s="175"/>
      <c r="C816" s="176"/>
      <c r="D816" s="175"/>
      <c r="E816" s="175"/>
      <c r="F816" s="12"/>
      <c r="G816" s="12"/>
      <c r="H816" s="175"/>
      <c r="I816" s="12"/>
      <c r="J816" s="12"/>
      <c r="K816" s="175"/>
      <c r="L816" s="175"/>
      <c r="M816" s="175"/>
      <c r="N816" s="175"/>
      <c r="O816" s="175"/>
      <c r="P816" s="12"/>
      <c r="Q816" s="175"/>
      <c r="R816" s="12"/>
      <c r="S816" s="12"/>
      <c r="T816" s="175"/>
      <c r="U816" s="179"/>
      <c r="V816" s="208"/>
      <c r="W816" s="12"/>
      <c r="X816" s="12"/>
    </row>
    <row r="817">
      <c r="A817" s="175"/>
      <c r="B817" s="175"/>
      <c r="C817" s="176"/>
      <c r="D817" s="175"/>
      <c r="E817" s="175"/>
      <c r="F817" s="12"/>
      <c r="G817" s="12"/>
      <c r="H817" s="175"/>
      <c r="I817" s="12"/>
      <c r="J817" s="12"/>
      <c r="K817" s="175"/>
      <c r="L817" s="175"/>
      <c r="M817" s="175"/>
      <c r="N817" s="175"/>
      <c r="O817" s="175"/>
      <c r="P817" s="12"/>
      <c r="Q817" s="175"/>
      <c r="R817" s="12"/>
      <c r="S817" s="12"/>
      <c r="T817" s="175"/>
      <c r="U817" s="179"/>
      <c r="V817" s="208"/>
      <c r="W817" s="12"/>
      <c r="X817" s="12"/>
    </row>
    <row r="818">
      <c r="A818" s="175"/>
      <c r="B818" s="175"/>
      <c r="C818" s="176"/>
      <c r="D818" s="175"/>
      <c r="E818" s="175"/>
      <c r="F818" s="12"/>
      <c r="G818" s="12"/>
      <c r="H818" s="175"/>
      <c r="I818" s="12"/>
      <c r="J818" s="12"/>
      <c r="K818" s="175"/>
      <c r="L818" s="175"/>
      <c r="M818" s="175"/>
      <c r="N818" s="175"/>
      <c r="O818" s="175"/>
      <c r="P818" s="12"/>
      <c r="Q818" s="175"/>
      <c r="R818" s="12"/>
      <c r="S818" s="12"/>
      <c r="T818" s="175"/>
      <c r="U818" s="179"/>
      <c r="V818" s="208"/>
      <c r="W818" s="12"/>
      <c r="X818" s="12"/>
    </row>
    <row r="819">
      <c r="A819" s="175"/>
      <c r="B819" s="175"/>
      <c r="C819" s="176"/>
      <c r="D819" s="175"/>
      <c r="E819" s="175"/>
      <c r="F819" s="12"/>
      <c r="G819" s="12"/>
      <c r="H819" s="175"/>
      <c r="I819" s="12"/>
      <c r="J819" s="12"/>
      <c r="K819" s="175"/>
      <c r="L819" s="175"/>
      <c r="M819" s="175"/>
      <c r="N819" s="175"/>
      <c r="O819" s="175"/>
      <c r="P819" s="12"/>
      <c r="Q819" s="175"/>
      <c r="R819" s="12"/>
      <c r="S819" s="12"/>
      <c r="T819" s="175"/>
      <c r="U819" s="179"/>
      <c r="V819" s="208"/>
      <c r="W819" s="12"/>
      <c r="X819" s="12"/>
    </row>
    <row r="820">
      <c r="A820" s="175"/>
      <c r="B820" s="175"/>
      <c r="C820" s="176"/>
      <c r="D820" s="175"/>
      <c r="E820" s="175"/>
      <c r="F820" s="12"/>
      <c r="G820" s="12"/>
      <c r="H820" s="175"/>
      <c r="I820" s="12"/>
      <c r="J820" s="12"/>
      <c r="K820" s="175"/>
      <c r="L820" s="175"/>
      <c r="M820" s="175"/>
      <c r="N820" s="175"/>
      <c r="O820" s="175"/>
      <c r="P820" s="12"/>
      <c r="Q820" s="175"/>
      <c r="R820" s="12"/>
      <c r="S820" s="12"/>
      <c r="T820" s="175"/>
      <c r="U820" s="179"/>
      <c r="V820" s="208"/>
      <c r="W820" s="12"/>
      <c r="X820" s="12"/>
    </row>
    <row r="821">
      <c r="A821" s="175"/>
      <c r="B821" s="175"/>
      <c r="C821" s="176"/>
      <c r="D821" s="175"/>
      <c r="E821" s="175"/>
      <c r="F821" s="12"/>
      <c r="G821" s="12"/>
      <c r="H821" s="175"/>
      <c r="I821" s="12"/>
      <c r="J821" s="12"/>
      <c r="K821" s="175"/>
      <c r="L821" s="175"/>
      <c r="M821" s="175"/>
      <c r="N821" s="175"/>
      <c r="O821" s="175"/>
      <c r="P821" s="12"/>
      <c r="Q821" s="175"/>
      <c r="R821" s="12"/>
      <c r="S821" s="12"/>
      <c r="T821" s="175"/>
      <c r="U821" s="179"/>
      <c r="V821" s="208"/>
      <c r="W821" s="12"/>
      <c r="X821" s="12"/>
    </row>
    <row r="822">
      <c r="A822" s="175"/>
      <c r="B822" s="175"/>
      <c r="C822" s="176"/>
      <c r="D822" s="175"/>
      <c r="E822" s="175"/>
      <c r="F822" s="12"/>
      <c r="G822" s="12"/>
      <c r="H822" s="175"/>
      <c r="I822" s="12"/>
      <c r="J822" s="12"/>
      <c r="K822" s="175"/>
      <c r="L822" s="175"/>
      <c r="M822" s="175"/>
      <c r="N822" s="175"/>
      <c r="O822" s="175"/>
      <c r="P822" s="12"/>
      <c r="Q822" s="175"/>
      <c r="R822" s="12"/>
      <c r="S822" s="12"/>
      <c r="T822" s="175"/>
      <c r="U822" s="179"/>
      <c r="V822" s="208"/>
      <c r="W822" s="12"/>
      <c r="X822" s="12"/>
    </row>
    <row r="823">
      <c r="A823" s="175"/>
      <c r="B823" s="175"/>
      <c r="C823" s="176"/>
      <c r="D823" s="175"/>
      <c r="E823" s="175"/>
      <c r="F823" s="12"/>
      <c r="G823" s="12"/>
      <c r="H823" s="175"/>
      <c r="I823" s="12"/>
      <c r="J823" s="12"/>
      <c r="K823" s="175"/>
      <c r="L823" s="175"/>
      <c r="M823" s="175"/>
      <c r="N823" s="175"/>
      <c r="O823" s="175"/>
      <c r="P823" s="12"/>
      <c r="Q823" s="175"/>
      <c r="R823" s="12"/>
      <c r="S823" s="12"/>
      <c r="T823" s="175"/>
      <c r="U823" s="179"/>
      <c r="V823" s="208"/>
      <c r="W823" s="12"/>
      <c r="X823" s="12"/>
    </row>
    <row r="824">
      <c r="A824" s="175"/>
      <c r="B824" s="175"/>
      <c r="C824" s="176"/>
      <c r="D824" s="175"/>
      <c r="E824" s="175"/>
      <c r="F824" s="12"/>
      <c r="G824" s="12"/>
      <c r="H824" s="175"/>
      <c r="I824" s="12"/>
      <c r="J824" s="12"/>
      <c r="K824" s="175"/>
      <c r="L824" s="175"/>
      <c r="M824" s="175"/>
      <c r="N824" s="175"/>
      <c r="O824" s="175"/>
      <c r="P824" s="12"/>
      <c r="Q824" s="175"/>
      <c r="R824" s="12"/>
      <c r="S824" s="12"/>
      <c r="T824" s="175"/>
      <c r="U824" s="179"/>
      <c r="V824" s="208"/>
      <c r="W824" s="12"/>
      <c r="X824" s="12"/>
    </row>
    <row r="825">
      <c r="A825" s="175"/>
      <c r="B825" s="175"/>
      <c r="C825" s="176"/>
      <c r="D825" s="175"/>
      <c r="E825" s="175"/>
      <c r="F825" s="12"/>
      <c r="G825" s="12"/>
      <c r="H825" s="175"/>
      <c r="I825" s="12"/>
      <c r="J825" s="12"/>
      <c r="K825" s="175"/>
      <c r="L825" s="175"/>
      <c r="M825" s="175"/>
      <c r="N825" s="175"/>
      <c r="O825" s="175"/>
      <c r="P825" s="12"/>
      <c r="Q825" s="175"/>
      <c r="R825" s="12"/>
      <c r="S825" s="12"/>
      <c r="T825" s="175"/>
      <c r="U825" s="179"/>
      <c r="V825" s="208"/>
      <c r="W825" s="12"/>
      <c r="X825" s="12"/>
    </row>
    <row r="826">
      <c r="A826" s="175"/>
      <c r="B826" s="175"/>
      <c r="C826" s="176"/>
      <c r="D826" s="175"/>
      <c r="E826" s="175"/>
      <c r="F826" s="12"/>
      <c r="G826" s="12"/>
      <c r="H826" s="175"/>
      <c r="I826" s="12"/>
      <c r="J826" s="12"/>
      <c r="K826" s="175"/>
      <c r="L826" s="175"/>
      <c r="M826" s="175"/>
      <c r="N826" s="175"/>
      <c r="O826" s="175"/>
      <c r="P826" s="12"/>
      <c r="Q826" s="175"/>
      <c r="R826" s="12"/>
      <c r="S826" s="12"/>
      <c r="T826" s="175"/>
      <c r="U826" s="179"/>
      <c r="V826" s="208"/>
      <c r="W826" s="12"/>
      <c r="X826" s="12"/>
    </row>
    <row r="827">
      <c r="A827" s="175"/>
      <c r="B827" s="175"/>
      <c r="C827" s="176"/>
      <c r="D827" s="175"/>
      <c r="E827" s="175"/>
      <c r="F827" s="12"/>
      <c r="G827" s="12"/>
      <c r="H827" s="175"/>
      <c r="I827" s="12"/>
      <c r="J827" s="12"/>
      <c r="K827" s="175"/>
      <c r="L827" s="175"/>
      <c r="M827" s="175"/>
      <c r="N827" s="175"/>
      <c r="O827" s="175"/>
      <c r="P827" s="12"/>
      <c r="Q827" s="175"/>
      <c r="R827" s="12"/>
      <c r="S827" s="12"/>
      <c r="T827" s="175"/>
      <c r="U827" s="179"/>
      <c r="V827" s="208"/>
      <c r="W827" s="12"/>
      <c r="X827" s="12"/>
    </row>
    <row r="828">
      <c r="A828" s="175"/>
      <c r="B828" s="175"/>
      <c r="C828" s="176"/>
      <c r="D828" s="175"/>
      <c r="E828" s="175"/>
      <c r="F828" s="12"/>
      <c r="G828" s="12"/>
      <c r="H828" s="175"/>
      <c r="I828" s="12"/>
      <c r="J828" s="12"/>
      <c r="K828" s="175"/>
      <c r="L828" s="175"/>
      <c r="M828" s="175"/>
      <c r="N828" s="175"/>
      <c r="O828" s="175"/>
      <c r="P828" s="12"/>
      <c r="Q828" s="175"/>
      <c r="R828" s="12"/>
      <c r="S828" s="12"/>
      <c r="T828" s="175"/>
      <c r="U828" s="179"/>
      <c r="V828" s="208"/>
      <c r="W828" s="12"/>
      <c r="X828" s="12"/>
    </row>
    <row r="829">
      <c r="A829" s="175"/>
      <c r="B829" s="175"/>
      <c r="C829" s="176"/>
      <c r="D829" s="175"/>
      <c r="E829" s="175"/>
      <c r="F829" s="12"/>
      <c r="G829" s="12"/>
      <c r="H829" s="175"/>
      <c r="I829" s="12"/>
      <c r="J829" s="12"/>
      <c r="K829" s="175"/>
      <c r="L829" s="175"/>
      <c r="M829" s="175"/>
      <c r="N829" s="175"/>
      <c r="O829" s="175"/>
      <c r="P829" s="12"/>
      <c r="Q829" s="175"/>
      <c r="R829" s="12"/>
      <c r="S829" s="12"/>
      <c r="T829" s="175"/>
      <c r="U829" s="179"/>
      <c r="V829" s="208"/>
      <c r="W829" s="12"/>
      <c r="X829" s="12"/>
    </row>
    <row r="830">
      <c r="A830" s="175"/>
      <c r="B830" s="175"/>
      <c r="C830" s="176"/>
      <c r="D830" s="175"/>
      <c r="E830" s="175"/>
      <c r="F830" s="12"/>
      <c r="G830" s="12"/>
      <c r="H830" s="175"/>
      <c r="I830" s="12"/>
      <c r="J830" s="12"/>
      <c r="K830" s="175"/>
      <c r="L830" s="175"/>
      <c r="M830" s="175"/>
      <c r="N830" s="175"/>
      <c r="O830" s="175"/>
      <c r="P830" s="12"/>
      <c r="Q830" s="175"/>
      <c r="R830" s="12"/>
      <c r="S830" s="12"/>
      <c r="T830" s="175"/>
      <c r="U830" s="179"/>
      <c r="V830" s="208"/>
      <c r="W830" s="12"/>
      <c r="X830" s="12"/>
    </row>
    <row r="831">
      <c r="A831" s="175"/>
      <c r="B831" s="175"/>
      <c r="C831" s="176"/>
      <c r="D831" s="175"/>
      <c r="E831" s="175"/>
      <c r="F831" s="12"/>
      <c r="G831" s="12"/>
      <c r="H831" s="175"/>
      <c r="I831" s="12"/>
      <c r="J831" s="12"/>
      <c r="K831" s="175"/>
      <c r="L831" s="175"/>
      <c r="M831" s="175"/>
      <c r="N831" s="175"/>
      <c r="O831" s="175"/>
      <c r="P831" s="12"/>
      <c r="Q831" s="175"/>
      <c r="R831" s="12"/>
      <c r="S831" s="12"/>
      <c r="T831" s="175"/>
      <c r="U831" s="179"/>
      <c r="V831" s="208"/>
      <c r="W831" s="12"/>
      <c r="X831" s="12"/>
    </row>
    <row r="832">
      <c r="A832" s="175"/>
      <c r="B832" s="175"/>
      <c r="C832" s="176"/>
      <c r="D832" s="175"/>
      <c r="E832" s="175"/>
      <c r="F832" s="12"/>
      <c r="G832" s="12"/>
      <c r="H832" s="175"/>
      <c r="I832" s="12"/>
      <c r="J832" s="12"/>
      <c r="K832" s="175"/>
      <c r="L832" s="175"/>
      <c r="M832" s="175"/>
      <c r="N832" s="175"/>
      <c r="O832" s="175"/>
      <c r="P832" s="12"/>
      <c r="Q832" s="175"/>
      <c r="R832" s="12"/>
      <c r="S832" s="12"/>
      <c r="T832" s="175"/>
      <c r="U832" s="179"/>
      <c r="V832" s="208"/>
      <c r="W832" s="12"/>
      <c r="X832" s="12"/>
    </row>
    <row r="833">
      <c r="A833" s="175"/>
      <c r="B833" s="175"/>
      <c r="C833" s="176"/>
      <c r="D833" s="175"/>
      <c r="E833" s="175"/>
      <c r="F833" s="12"/>
      <c r="G833" s="12"/>
      <c r="H833" s="175"/>
      <c r="I833" s="12"/>
      <c r="J833" s="12"/>
      <c r="K833" s="175"/>
      <c r="L833" s="175"/>
      <c r="M833" s="175"/>
      <c r="N833" s="175"/>
      <c r="O833" s="175"/>
      <c r="P833" s="12"/>
      <c r="Q833" s="175"/>
      <c r="R833" s="12"/>
      <c r="S833" s="12"/>
      <c r="T833" s="175"/>
      <c r="U833" s="179"/>
      <c r="V833" s="208"/>
      <c r="W833" s="12"/>
      <c r="X833" s="12"/>
    </row>
    <row r="834">
      <c r="A834" s="175"/>
      <c r="B834" s="175"/>
      <c r="C834" s="176"/>
      <c r="D834" s="175"/>
      <c r="E834" s="175"/>
      <c r="F834" s="12"/>
      <c r="G834" s="12"/>
      <c r="H834" s="175"/>
      <c r="I834" s="12"/>
      <c r="J834" s="12"/>
      <c r="K834" s="175"/>
      <c r="L834" s="175"/>
      <c r="M834" s="175"/>
      <c r="N834" s="175"/>
      <c r="O834" s="175"/>
      <c r="P834" s="12"/>
      <c r="Q834" s="175"/>
      <c r="R834" s="12"/>
      <c r="S834" s="12"/>
      <c r="T834" s="175"/>
      <c r="U834" s="179"/>
      <c r="V834" s="208"/>
      <c r="W834" s="12"/>
      <c r="X834" s="12"/>
    </row>
    <row r="835">
      <c r="A835" s="175"/>
      <c r="B835" s="175"/>
      <c r="C835" s="176"/>
      <c r="D835" s="175"/>
      <c r="E835" s="175"/>
      <c r="F835" s="12"/>
      <c r="G835" s="12"/>
      <c r="H835" s="175"/>
      <c r="I835" s="12"/>
      <c r="J835" s="12"/>
      <c r="K835" s="175"/>
      <c r="L835" s="175"/>
      <c r="M835" s="175"/>
      <c r="N835" s="175"/>
      <c r="O835" s="175"/>
      <c r="P835" s="12"/>
      <c r="Q835" s="175"/>
      <c r="R835" s="12"/>
      <c r="S835" s="12"/>
      <c r="T835" s="175"/>
      <c r="U835" s="179"/>
      <c r="V835" s="208"/>
      <c r="W835" s="12"/>
      <c r="X835" s="12"/>
    </row>
    <row r="836">
      <c r="A836" s="175"/>
      <c r="B836" s="175"/>
      <c r="C836" s="176"/>
      <c r="D836" s="175"/>
      <c r="E836" s="175"/>
      <c r="F836" s="12"/>
      <c r="G836" s="12"/>
      <c r="H836" s="175"/>
      <c r="I836" s="12"/>
      <c r="J836" s="12"/>
      <c r="K836" s="175"/>
      <c r="L836" s="175"/>
      <c r="M836" s="175"/>
      <c r="N836" s="175"/>
      <c r="O836" s="175"/>
      <c r="P836" s="12"/>
      <c r="Q836" s="175"/>
      <c r="R836" s="12"/>
      <c r="S836" s="12"/>
      <c r="T836" s="175"/>
      <c r="U836" s="179"/>
      <c r="V836" s="208"/>
      <c r="W836" s="12"/>
      <c r="X836" s="12"/>
    </row>
    <row r="837">
      <c r="A837" s="175"/>
      <c r="B837" s="175"/>
      <c r="C837" s="176"/>
      <c r="D837" s="175"/>
      <c r="E837" s="175"/>
      <c r="F837" s="12"/>
      <c r="G837" s="12"/>
      <c r="H837" s="175"/>
      <c r="I837" s="12"/>
      <c r="J837" s="12"/>
      <c r="K837" s="175"/>
      <c r="L837" s="175"/>
      <c r="M837" s="175"/>
      <c r="N837" s="175"/>
      <c r="O837" s="175"/>
      <c r="P837" s="12"/>
      <c r="Q837" s="175"/>
      <c r="R837" s="12"/>
      <c r="S837" s="12"/>
      <c r="T837" s="175"/>
      <c r="U837" s="179"/>
      <c r="V837" s="208"/>
      <c r="W837" s="12"/>
      <c r="X837" s="12"/>
    </row>
    <row r="838">
      <c r="A838" s="175"/>
      <c r="B838" s="175"/>
      <c r="C838" s="176"/>
      <c r="D838" s="175"/>
      <c r="E838" s="175"/>
      <c r="F838" s="12"/>
      <c r="G838" s="12"/>
      <c r="H838" s="175"/>
      <c r="I838" s="12"/>
      <c r="J838" s="12"/>
      <c r="K838" s="175"/>
      <c r="L838" s="175"/>
      <c r="M838" s="175"/>
      <c r="N838" s="175"/>
      <c r="O838" s="175"/>
      <c r="P838" s="12"/>
      <c r="Q838" s="175"/>
      <c r="R838" s="12"/>
      <c r="S838" s="12"/>
      <c r="T838" s="175"/>
      <c r="U838" s="179"/>
      <c r="V838" s="208"/>
      <c r="W838" s="12"/>
      <c r="X838" s="12"/>
    </row>
    <row r="839">
      <c r="A839" s="175"/>
      <c r="B839" s="175"/>
      <c r="C839" s="176"/>
      <c r="D839" s="175"/>
      <c r="E839" s="175"/>
      <c r="F839" s="12"/>
      <c r="G839" s="12"/>
      <c r="H839" s="175"/>
      <c r="I839" s="12"/>
      <c r="J839" s="12"/>
      <c r="K839" s="175"/>
      <c r="L839" s="175"/>
      <c r="M839" s="175"/>
      <c r="N839" s="175"/>
      <c r="O839" s="175"/>
      <c r="P839" s="12"/>
      <c r="Q839" s="175"/>
      <c r="R839" s="12"/>
      <c r="S839" s="12"/>
      <c r="T839" s="175"/>
      <c r="U839" s="179"/>
      <c r="V839" s="208"/>
      <c r="W839" s="12"/>
      <c r="X839" s="12"/>
    </row>
    <row r="840">
      <c r="A840" s="175"/>
      <c r="B840" s="175"/>
      <c r="C840" s="176"/>
      <c r="D840" s="175"/>
      <c r="E840" s="175"/>
      <c r="F840" s="12"/>
      <c r="G840" s="12"/>
      <c r="H840" s="175"/>
      <c r="I840" s="12"/>
      <c r="J840" s="12"/>
      <c r="K840" s="175"/>
      <c r="L840" s="175"/>
      <c r="M840" s="175"/>
      <c r="N840" s="175"/>
      <c r="O840" s="175"/>
      <c r="P840" s="12"/>
      <c r="Q840" s="175"/>
      <c r="R840" s="12"/>
      <c r="S840" s="12"/>
      <c r="T840" s="175"/>
      <c r="U840" s="179"/>
      <c r="V840" s="208"/>
      <c r="W840" s="12"/>
      <c r="X840" s="12"/>
    </row>
    <row r="841">
      <c r="A841" s="175"/>
      <c r="B841" s="175"/>
      <c r="C841" s="176"/>
      <c r="D841" s="175"/>
      <c r="E841" s="175"/>
      <c r="F841" s="12"/>
      <c r="G841" s="12"/>
      <c r="H841" s="175"/>
      <c r="I841" s="12"/>
      <c r="J841" s="12"/>
      <c r="K841" s="175"/>
      <c r="L841" s="175"/>
      <c r="M841" s="175"/>
      <c r="N841" s="175"/>
      <c r="O841" s="175"/>
      <c r="P841" s="12"/>
      <c r="Q841" s="175"/>
      <c r="R841" s="12"/>
      <c r="S841" s="12"/>
      <c r="T841" s="175"/>
      <c r="U841" s="179"/>
      <c r="V841" s="208"/>
      <c r="W841" s="12"/>
      <c r="X841" s="12"/>
    </row>
    <row r="842">
      <c r="A842" s="175"/>
      <c r="B842" s="175"/>
      <c r="C842" s="176"/>
      <c r="D842" s="175"/>
      <c r="E842" s="175"/>
      <c r="F842" s="12"/>
      <c r="G842" s="12"/>
      <c r="H842" s="175"/>
      <c r="I842" s="12"/>
      <c r="J842" s="12"/>
      <c r="K842" s="175"/>
      <c r="L842" s="175"/>
      <c r="M842" s="175"/>
      <c r="N842" s="175"/>
      <c r="O842" s="175"/>
      <c r="P842" s="12"/>
      <c r="Q842" s="175"/>
      <c r="R842" s="12"/>
      <c r="S842" s="12"/>
      <c r="T842" s="175"/>
      <c r="U842" s="179"/>
      <c r="V842" s="208"/>
      <c r="W842" s="12"/>
      <c r="X842" s="12"/>
    </row>
    <row r="843">
      <c r="A843" s="175"/>
      <c r="B843" s="175"/>
      <c r="C843" s="176"/>
      <c r="D843" s="175"/>
      <c r="E843" s="175"/>
      <c r="F843" s="12"/>
      <c r="G843" s="12"/>
      <c r="H843" s="175"/>
      <c r="I843" s="12"/>
      <c r="J843" s="12"/>
      <c r="K843" s="175"/>
      <c r="L843" s="175"/>
      <c r="M843" s="175"/>
      <c r="N843" s="175"/>
      <c r="O843" s="175"/>
      <c r="P843" s="12"/>
      <c r="Q843" s="175"/>
      <c r="R843" s="12"/>
      <c r="S843" s="12"/>
      <c r="T843" s="175"/>
      <c r="U843" s="179"/>
      <c r="V843" s="208"/>
      <c r="W843" s="12"/>
      <c r="X843" s="12"/>
    </row>
    <row r="844">
      <c r="A844" s="175"/>
      <c r="B844" s="175"/>
      <c r="C844" s="176"/>
      <c r="D844" s="175"/>
      <c r="E844" s="175"/>
      <c r="F844" s="12"/>
      <c r="G844" s="12"/>
      <c r="H844" s="175"/>
      <c r="I844" s="12"/>
      <c r="J844" s="12"/>
      <c r="K844" s="175"/>
      <c r="L844" s="175"/>
      <c r="M844" s="175"/>
      <c r="N844" s="175"/>
      <c r="O844" s="175"/>
      <c r="P844" s="12"/>
      <c r="Q844" s="175"/>
      <c r="R844" s="12"/>
      <c r="S844" s="12"/>
      <c r="T844" s="175"/>
      <c r="U844" s="179"/>
      <c r="V844" s="208"/>
      <c r="W844" s="12"/>
      <c r="X844" s="12"/>
    </row>
    <row r="845">
      <c r="A845" s="175"/>
      <c r="B845" s="175"/>
      <c r="C845" s="176"/>
      <c r="D845" s="175"/>
      <c r="E845" s="175"/>
      <c r="F845" s="12"/>
      <c r="G845" s="12"/>
      <c r="H845" s="175"/>
      <c r="I845" s="12"/>
      <c r="J845" s="12"/>
      <c r="K845" s="175"/>
      <c r="L845" s="175"/>
      <c r="M845" s="175"/>
      <c r="N845" s="175"/>
      <c r="O845" s="175"/>
      <c r="P845" s="12"/>
      <c r="Q845" s="175"/>
      <c r="R845" s="12"/>
      <c r="S845" s="12"/>
      <c r="T845" s="175"/>
      <c r="U845" s="179"/>
      <c r="V845" s="208"/>
      <c r="W845" s="12"/>
      <c r="X845" s="12"/>
    </row>
    <row r="846">
      <c r="A846" s="175"/>
      <c r="B846" s="175"/>
      <c r="C846" s="176"/>
      <c r="D846" s="175"/>
      <c r="E846" s="175"/>
      <c r="F846" s="12"/>
      <c r="G846" s="12"/>
      <c r="H846" s="175"/>
      <c r="I846" s="12"/>
      <c r="J846" s="12"/>
      <c r="K846" s="175"/>
      <c r="L846" s="175"/>
      <c r="M846" s="175"/>
      <c r="N846" s="175"/>
      <c r="O846" s="175"/>
      <c r="P846" s="12"/>
      <c r="Q846" s="175"/>
      <c r="R846" s="12"/>
      <c r="S846" s="12"/>
      <c r="T846" s="175"/>
      <c r="U846" s="179"/>
      <c r="V846" s="208"/>
      <c r="W846" s="12"/>
      <c r="X846" s="12"/>
    </row>
    <row r="847">
      <c r="A847" s="175"/>
      <c r="B847" s="175"/>
      <c r="C847" s="176"/>
      <c r="D847" s="175"/>
      <c r="E847" s="175"/>
      <c r="F847" s="12"/>
      <c r="G847" s="12"/>
      <c r="H847" s="175"/>
      <c r="I847" s="12"/>
      <c r="J847" s="12"/>
      <c r="K847" s="175"/>
      <c r="L847" s="175"/>
      <c r="M847" s="175"/>
      <c r="N847" s="175"/>
      <c r="O847" s="175"/>
      <c r="P847" s="12"/>
      <c r="Q847" s="175"/>
      <c r="R847" s="12"/>
      <c r="S847" s="12"/>
      <c r="T847" s="175"/>
      <c r="U847" s="179"/>
      <c r="V847" s="208"/>
      <c r="W847" s="12"/>
      <c r="X847" s="12"/>
    </row>
    <row r="848">
      <c r="A848" s="175"/>
      <c r="B848" s="175"/>
      <c r="C848" s="176"/>
      <c r="D848" s="175"/>
      <c r="E848" s="175"/>
      <c r="F848" s="12"/>
      <c r="G848" s="12"/>
      <c r="H848" s="175"/>
      <c r="I848" s="12"/>
      <c r="J848" s="12"/>
      <c r="K848" s="175"/>
      <c r="L848" s="175"/>
      <c r="M848" s="175"/>
      <c r="N848" s="175"/>
      <c r="O848" s="175"/>
      <c r="P848" s="12"/>
      <c r="Q848" s="175"/>
      <c r="R848" s="12"/>
      <c r="S848" s="12"/>
      <c r="T848" s="175"/>
      <c r="U848" s="179"/>
      <c r="V848" s="208"/>
      <c r="W848" s="12"/>
      <c r="X848" s="12"/>
    </row>
    <row r="849">
      <c r="A849" s="175"/>
      <c r="B849" s="175"/>
      <c r="C849" s="176"/>
      <c r="D849" s="175"/>
      <c r="E849" s="175"/>
      <c r="F849" s="12"/>
      <c r="G849" s="12"/>
      <c r="H849" s="175"/>
      <c r="I849" s="12"/>
      <c r="J849" s="12"/>
      <c r="K849" s="175"/>
      <c r="L849" s="175"/>
      <c r="M849" s="175"/>
      <c r="N849" s="175"/>
      <c r="O849" s="175"/>
      <c r="P849" s="12"/>
      <c r="Q849" s="175"/>
      <c r="R849" s="12"/>
      <c r="S849" s="12"/>
      <c r="T849" s="175"/>
      <c r="U849" s="179"/>
      <c r="V849" s="208"/>
      <c r="W849" s="12"/>
      <c r="X849" s="12"/>
    </row>
    <row r="850">
      <c r="A850" s="175"/>
      <c r="B850" s="175"/>
      <c r="C850" s="176"/>
      <c r="D850" s="175"/>
      <c r="E850" s="175"/>
      <c r="F850" s="12"/>
      <c r="G850" s="12"/>
      <c r="H850" s="175"/>
      <c r="I850" s="12"/>
      <c r="J850" s="12"/>
      <c r="K850" s="175"/>
      <c r="L850" s="175"/>
      <c r="M850" s="175"/>
      <c r="N850" s="175"/>
      <c r="O850" s="175"/>
      <c r="P850" s="12"/>
      <c r="Q850" s="175"/>
      <c r="R850" s="12"/>
      <c r="S850" s="12"/>
      <c r="T850" s="175"/>
      <c r="U850" s="179"/>
      <c r="V850" s="208"/>
      <c r="W850" s="12"/>
      <c r="X850" s="12"/>
    </row>
    <row r="851">
      <c r="A851" s="175"/>
      <c r="B851" s="175"/>
      <c r="C851" s="176"/>
      <c r="D851" s="175"/>
      <c r="E851" s="175"/>
      <c r="F851" s="12"/>
      <c r="G851" s="12"/>
      <c r="H851" s="175"/>
      <c r="I851" s="12"/>
      <c r="J851" s="12"/>
      <c r="K851" s="175"/>
      <c r="L851" s="175"/>
      <c r="M851" s="175"/>
      <c r="N851" s="175"/>
      <c r="O851" s="175"/>
      <c r="P851" s="12"/>
      <c r="Q851" s="175"/>
      <c r="R851" s="12"/>
      <c r="S851" s="12"/>
      <c r="T851" s="175"/>
      <c r="U851" s="179"/>
      <c r="V851" s="208"/>
      <c r="W851" s="12"/>
      <c r="X851" s="12"/>
    </row>
    <row r="852">
      <c r="A852" s="175"/>
      <c r="B852" s="175"/>
      <c r="C852" s="176"/>
      <c r="D852" s="175"/>
      <c r="E852" s="175"/>
      <c r="F852" s="12"/>
      <c r="G852" s="12"/>
      <c r="H852" s="175"/>
      <c r="I852" s="12"/>
      <c r="J852" s="12"/>
      <c r="K852" s="175"/>
      <c r="L852" s="175"/>
      <c r="M852" s="175"/>
      <c r="N852" s="175"/>
      <c r="O852" s="175"/>
      <c r="P852" s="12"/>
      <c r="Q852" s="175"/>
      <c r="R852" s="12"/>
      <c r="S852" s="12"/>
      <c r="T852" s="175"/>
      <c r="U852" s="179"/>
      <c r="V852" s="208"/>
      <c r="W852" s="12"/>
      <c r="X852" s="12"/>
    </row>
    <row r="853">
      <c r="A853" s="175"/>
      <c r="B853" s="175"/>
      <c r="C853" s="176"/>
      <c r="D853" s="175"/>
      <c r="E853" s="175"/>
      <c r="F853" s="12"/>
      <c r="G853" s="12"/>
      <c r="H853" s="175"/>
      <c r="I853" s="12"/>
      <c r="J853" s="12"/>
      <c r="K853" s="175"/>
      <c r="L853" s="175"/>
      <c r="M853" s="175"/>
      <c r="N853" s="175"/>
      <c r="O853" s="175"/>
      <c r="P853" s="12"/>
      <c r="Q853" s="175"/>
      <c r="R853" s="12"/>
      <c r="S853" s="12"/>
      <c r="T853" s="175"/>
      <c r="U853" s="179"/>
      <c r="V853" s="208"/>
      <c r="W853" s="12"/>
      <c r="X853" s="12"/>
    </row>
    <row r="854">
      <c r="A854" s="175"/>
      <c r="B854" s="175"/>
      <c r="C854" s="176"/>
      <c r="D854" s="175"/>
      <c r="E854" s="175"/>
      <c r="F854" s="12"/>
      <c r="G854" s="12"/>
      <c r="H854" s="175"/>
      <c r="I854" s="12"/>
      <c r="J854" s="12"/>
      <c r="K854" s="175"/>
      <c r="L854" s="175"/>
      <c r="M854" s="175"/>
      <c r="N854" s="175"/>
      <c r="O854" s="175"/>
      <c r="P854" s="12"/>
      <c r="Q854" s="175"/>
      <c r="R854" s="12"/>
      <c r="S854" s="12"/>
      <c r="T854" s="175"/>
      <c r="U854" s="179"/>
      <c r="V854" s="208"/>
      <c r="W854" s="12"/>
      <c r="X854" s="12"/>
    </row>
    <row r="855">
      <c r="A855" s="175"/>
      <c r="B855" s="175"/>
      <c r="C855" s="176"/>
      <c r="D855" s="175"/>
      <c r="E855" s="175"/>
      <c r="F855" s="12"/>
      <c r="G855" s="12"/>
      <c r="H855" s="175"/>
      <c r="I855" s="12"/>
      <c r="J855" s="12"/>
      <c r="K855" s="175"/>
      <c r="L855" s="175"/>
      <c r="M855" s="175"/>
      <c r="N855" s="175"/>
      <c r="O855" s="175"/>
      <c r="P855" s="12"/>
      <c r="Q855" s="175"/>
      <c r="R855" s="12"/>
      <c r="S855" s="12"/>
      <c r="T855" s="175"/>
      <c r="U855" s="179"/>
      <c r="V855" s="208"/>
      <c r="W855" s="12"/>
      <c r="X855" s="12"/>
    </row>
    <row r="856">
      <c r="A856" s="175"/>
      <c r="B856" s="175"/>
      <c r="C856" s="176"/>
      <c r="D856" s="175"/>
      <c r="E856" s="175"/>
      <c r="F856" s="12"/>
      <c r="G856" s="12"/>
      <c r="H856" s="175"/>
      <c r="I856" s="12"/>
      <c r="J856" s="12"/>
      <c r="K856" s="175"/>
      <c r="L856" s="175"/>
      <c r="M856" s="175"/>
      <c r="N856" s="175"/>
      <c r="O856" s="175"/>
      <c r="P856" s="12"/>
      <c r="Q856" s="175"/>
      <c r="R856" s="12"/>
      <c r="S856" s="12"/>
      <c r="T856" s="175"/>
      <c r="U856" s="179"/>
      <c r="V856" s="208"/>
      <c r="W856" s="12"/>
      <c r="X856" s="12"/>
    </row>
    <row r="857">
      <c r="A857" s="175"/>
      <c r="B857" s="175"/>
      <c r="C857" s="176"/>
      <c r="D857" s="175"/>
      <c r="E857" s="175"/>
      <c r="F857" s="12"/>
      <c r="G857" s="12"/>
      <c r="H857" s="175"/>
      <c r="I857" s="12"/>
      <c r="J857" s="12"/>
      <c r="K857" s="175"/>
      <c r="L857" s="175"/>
      <c r="M857" s="175"/>
      <c r="N857" s="175"/>
      <c r="O857" s="175"/>
      <c r="P857" s="12"/>
      <c r="Q857" s="175"/>
      <c r="R857" s="12"/>
      <c r="S857" s="12"/>
      <c r="T857" s="175"/>
      <c r="U857" s="179"/>
      <c r="V857" s="208"/>
      <c r="W857" s="12"/>
      <c r="X857" s="12"/>
    </row>
    <row r="858">
      <c r="A858" s="175"/>
      <c r="B858" s="175"/>
      <c r="C858" s="176"/>
      <c r="D858" s="175"/>
      <c r="E858" s="175"/>
      <c r="F858" s="12"/>
      <c r="G858" s="12"/>
      <c r="H858" s="175"/>
      <c r="I858" s="12"/>
      <c r="J858" s="12"/>
      <c r="K858" s="175"/>
      <c r="L858" s="175"/>
      <c r="M858" s="175"/>
      <c r="N858" s="175"/>
      <c r="O858" s="175"/>
      <c r="P858" s="12"/>
      <c r="Q858" s="175"/>
      <c r="R858" s="12"/>
      <c r="S858" s="12"/>
      <c r="T858" s="175"/>
      <c r="U858" s="179"/>
      <c r="V858" s="208"/>
      <c r="W858" s="12"/>
      <c r="X858" s="12"/>
    </row>
    <row r="859">
      <c r="A859" s="175"/>
      <c r="B859" s="175"/>
      <c r="C859" s="176"/>
      <c r="D859" s="175"/>
      <c r="E859" s="175"/>
      <c r="F859" s="12"/>
      <c r="G859" s="12"/>
      <c r="H859" s="175"/>
      <c r="I859" s="12"/>
      <c r="J859" s="12"/>
      <c r="K859" s="175"/>
      <c r="L859" s="175"/>
      <c r="M859" s="175"/>
      <c r="N859" s="175"/>
      <c r="O859" s="175"/>
      <c r="P859" s="12"/>
      <c r="Q859" s="175"/>
      <c r="R859" s="12"/>
      <c r="S859" s="12"/>
      <c r="T859" s="175"/>
      <c r="U859" s="179"/>
      <c r="V859" s="208"/>
      <c r="W859" s="12"/>
      <c r="X859" s="12"/>
    </row>
    <row r="860">
      <c r="A860" s="175"/>
      <c r="B860" s="175"/>
      <c r="C860" s="176"/>
      <c r="D860" s="175"/>
      <c r="E860" s="175"/>
      <c r="F860" s="12"/>
      <c r="G860" s="12"/>
      <c r="H860" s="175"/>
      <c r="I860" s="12"/>
      <c r="J860" s="12"/>
      <c r="K860" s="175"/>
      <c r="L860" s="175"/>
      <c r="M860" s="175"/>
      <c r="N860" s="175"/>
      <c r="O860" s="175"/>
      <c r="P860" s="12"/>
      <c r="Q860" s="175"/>
      <c r="R860" s="12"/>
      <c r="S860" s="12"/>
      <c r="T860" s="175"/>
      <c r="U860" s="179"/>
      <c r="V860" s="208"/>
      <c r="W860" s="12"/>
      <c r="X860" s="12"/>
    </row>
    <row r="861">
      <c r="A861" s="175"/>
      <c r="B861" s="175"/>
      <c r="C861" s="176"/>
      <c r="D861" s="175"/>
      <c r="E861" s="175"/>
      <c r="F861" s="12"/>
      <c r="G861" s="12"/>
      <c r="H861" s="175"/>
      <c r="I861" s="12"/>
      <c r="J861" s="12"/>
      <c r="K861" s="175"/>
      <c r="L861" s="175"/>
      <c r="M861" s="175"/>
      <c r="N861" s="175"/>
      <c r="O861" s="175"/>
      <c r="P861" s="12"/>
      <c r="Q861" s="175"/>
      <c r="R861" s="12"/>
      <c r="S861" s="12"/>
      <c r="T861" s="175"/>
      <c r="U861" s="179"/>
      <c r="V861" s="208"/>
      <c r="W861" s="12"/>
      <c r="X861" s="12"/>
    </row>
    <row r="862">
      <c r="A862" s="175"/>
      <c r="B862" s="175"/>
      <c r="C862" s="176"/>
      <c r="D862" s="175"/>
      <c r="E862" s="175"/>
      <c r="F862" s="12"/>
      <c r="G862" s="12"/>
      <c r="H862" s="175"/>
      <c r="I862" s="12"/>
      <c r="J862" s="12"/>
      <c r="K862" s="175"/>
      <c r="L862" s="175"/>
      <c r="M862" s="175"/>
      <c r="N862" s="175"/>
      <c r="O862" s="175"/>
      <c r="P862" s="12"/>
      <c r="Q862" s="175"/>
      <c r="R862" s="12"/>
      <c r="S862" s="12"/>
      <c r="T862" s="175"/>
      <c r="U862" s="179"/>
      <c r="V862" s="208"/>
      <c r="W862" s="12"/>
      <c r="X862" s="12"/>
    </row>
    <row r="863">
      <c r="A863" s="175"/>
      <c r="B863" s="175"/>
      <c r="C863" s="176"/>
      <c r="D863" s="175"/>
      <c r="E863" s="175"/>
      <c r="F863" s="12"/>
      <c r="G863" s="12"/>
      <c r="H863" s="175"/>
      <c r="I863" s="12"/>
      <c r="J863" s="12"/>
      <c r="K863" s="175"/>
      <c r="L863" s="175"/>
      <c r="M863" s="175"/>
      <c r="N863" s="175"/>
      <c r="O863" s="175"/>
      <c r="P863" s="12"/>
      <c r="Q863" s="175"/>
      <c r="R863" s="12"/>
      <c r="S863" s="12"/>
      <c r="T863" s="175"/>
      <c r="U863" s="179"/>
      <c r="V863" s="208"/>
      <c r="W863" s="12"/>
      <c r="X863" s="12"/>
    </row>
    <row r="864">
      <c r="A864" s="175"/>
      <c r="B864" s="175"/>
      <c r="C864" s="176"/>
      <c r="D864" s="175"/>
      <c r="E864" s="175"/>
      <c r="F864" s="12"/>
      <c r="G864" s="12"/>
      <c r="H864" s="175"/>
      <c r="I864" s="12"/>
      <c r="J864" s="12"/>
      <c r="K864" s="175"/>
      <c r="L864" s="175"/>
      <c r="M864" s="175"/>
      <c r="N864" s="175"/>
      <c r="O864" s="175"/>
      <c r="P864" s="12"/>
      <c r="Q864" s="175"/>
      <c r="R864" s="12"/>
      <c r="S864" s="12"/>
      <c r="T864" s="175"/>
      <c r="U864" s="179"/>
      <c r="V864" s="208"/>
      <c r="W864" s="12"/>
      <c r="X864" s="12"/>
    </row>
    <row r="865">
      <c r="A865" s="175"/>
      <c r="B865" s="175"/>
      <c r="C865" s="176"/>
      <c r="D865" s="175"/>
      <c r="E865" s="175"/>
      <c r="F865" s="12"/>
      <c r="G865" s="12"/>
      <c r="H865" s="175"/>
      <c r="I865" s="12"/>
      <c r="J865" s="12"/>
      <c r="K865" s="175"/>
      <c r="L865" s="175"/>
      <c r="M865" s="175"/>
      <c r="N865" s="175"/>
      <c r="O865" s="175"/>
      <c r="P865" s="12"/>
      <c r="Q865" s="175"/>
      <c r="R865" s="12"/>
      <c r="S865" s="12"/>
      <c r="T865" s="175"/>
      <c r="U865" s="179"/>
      <c r="V865" s="208"/>
      <c r="W865" s="12"/>
      <c r="X865" s="12"/>
    </row>
    <row r="866">
      <c r="A866" s="175"/>
      <c r="B866" s="175"/>
      <c r="C866" s="176"/>
      <c r="D866" s="175"/>
      <c r="E866" s="175"/>
      <c r="F866" s="12"/>
      <c r="G866" s="12"/>
      <c r="H866" s="175"/>
      <c r="I866" s="12"/>
      <c r="J866" s="12"/>
      <c r="K866" s="175"/>
      <c r="L866" s="175"/>
      <c r="M866" s="175"/>
      <c r="N866" s="175"/>
      <c r="O866" s="175"/>
      <c r="P866" s="12"/>
      <c r="Q866" s="175"/>
      <c r="R866" s="12"/>
      <c r="S866" s="12"/>
      <c r="T866" s="175"/>
      <c r="U866" s="179"/>
      <c r="V866" s="208"/>
      <c r="W866" s="12"/>
      <c r="X866" s="12"/>
    </row>
    <row r="867">
      <c r="A867" s="175"/>
      <c r="B867" s="175"/>
      <c r="C867" s="176"/>
      <c r="D867" s="175"/>
      <c r="E867" s="175"/>
      <c r="F867" s="12"/>
      <c r="G867" s="12"/>
      <c r="H867" s="175"/>
      <c r="I867" s="12"/>
      <c r="J867" s="12"/>
      <c r="K867" s="175"/>
      <c r="L867" s="175"/>
      <c r="M867" s="175"/>
      <c r="N867" s="175"/>
      <c r="O867" s="175"/>
      <c r="P867" s="12"/>
      <c r="Q867" s="175"/>
      <c r="R867" s="12"/>
      <c r="S867" s="12"/>
      <c r="T867" s="175"/>
      <c r="U867" s="179"/>
      <c r="V867" s="208"/>
      <c r="W867" s="12"/>
      <c r="X867" s="12"/>
    </row>
    <row r="868">
      <c r="A868" s="175"/>
      <c r="B868" s="175"/>
      <c r="C868" s="176"/>
      <c r="D868" s="175"/>
      <c r="E868" s="175"/>
      <c r="F868" s="12"/>
      <c r="G868" s="12"/>
      <c r="H868" s="175"/>
      <c r="I868" s="12"/>
      <c r="J868" s="12"/>
      <c r="K868" s="175"/>
      <c r="L868" s="175"/>
      <c r="M868" s="175"/>
      <c r="N868" s="175"/>
      <c r="O868" s="175"/>
      <c r="P868" s="12"/>
      <c r="Q868" s="175"/>
      <c r="R868" s="12"/>
      <c r="S868" s="12"/>
      <c r="T868" s="175"/>
      <c r="U868" s="179"/>
      <c r="V868" s="208"/>
      <c r="W868" s="12"/>
      <c r="X868" s="12"/>
    </row>
    <row r="869">
      <c r="A869" s="175"/>
      <c r="B869" s="175"/>
      <c r="C869" s="176"/>
      <c r="D869" s="175"/>
      <c r="E869" s="175"/>
      <c r="F869" s="12"/>
      <c r="G869" s="12"/>
      <c r="H869" s="175"/>
      <c r="I869" s="12"/>
      <c r="J869" s="12"/>
      <c r="K869" s="175"/>
      <c r="L869" s="175"/>
      <c r="M869" s="175"/>
      <c r="N869" s="175"/>
      <c r="O869" s="175"/>
      <c r="P869" s="12"/>
      <c r="Q869" s="175"/>
      <c r="R869" s="12"/>
      <c r="S869" s="12"/>
      <c r="T869" s="175"/>
      <c r="U869" s="179"/>
      <c r="V869" s="208"/>
      <c r="W869" s="12"/>
      <c r="X869" s="12"/>
    </row>
    <row r="870">
      <c r="A870" s="175"/>
      <c r="B870" s="175"/>
      <c r="C870" s="176"/>
      <c r="D870" s="175"/>
      <c r="E870" s="175"/>
      <c r="F870" s="12"/>
      <c r="G870" s="12"/>
      <c r="H870" s="175"/>
      <c r="I870" s="12"/>
      <c r="J870" s="12"/>
      <c r="K870" s="175"/>
      <c r="L870" s="175"/>
      <c r="M870" s="175"/>
      <c r="N870" s="175"/>
      <c r="O870" s="175"/>
      <c r="P870" s="12"/>
      <c r="Q870" s="175"/>
      <c r="R870" s="12"/>
      <c r="S870" s="12"/>
      <c r="T870" s="175"/>
      <c r="U870" s="179"/>
      <c r="V870" s="208"/>
      <c r="W870" s="12"/>
      <c r="X870" s="12"/>
    </row>
    <row r="871">
      <c r="A871" s="175"/>
      <c r="B871" s="175"/>
      <c r="C871" s="176"/>
      <c r="D871" s="175"/>
      <c r="E871" s="175"/>
      <c r="F871" s="12"/>
      <c r="G871" s="12"/>
      <c r="H871" s="175"/>
      <c r="I871" s="12"/>
      <c r="J871" s="12"/>
      <c r="K871" s="175"/>
      <c r="L871" s="175"/>
      <c r="M871" s="175"/>
      <c r="N871" s="175"/>
      <c r="O871" s="175"/>
      <c r="P871" s="12"/>
      <c r="Q871" s="175"/>
      <c r="R871" s="12"/>
      <c r="S871" s="12"/>
      <c r="T871" s="175"/>
      <c r="U871" s="179"/>
      <c r="V871" s="208"/>
      <c r="W871" s="12"/>
      <c r="X871" s="12"/>
    </row>
    <row r="872">
      <c r="A872" s="175"/>
      <c r="B872" s="175"/>
      <c r="C872" s="176"/>
      <c r="D872" s="175"/>
      <c r="E872" s="175"/>
      <c r="F872" s="12"/>
      <c r="G872" s="12"/>
      <c r="H872" s="175"/>
      <c r="I872" s="12"/>
      <c r="J872" s="12"/>
      <c r="K872" s="175"/>
      <c r="L872" s="175"/>
      <c r="M872" s="175"/>
      <c r="N872" s="175"/>
      <c r="O872" s="175"/>
      <c r="P872" s="12"/>
      <c r="Q872" s="175"/>
      <c r="R872" s="12"/>
      <c r="S872" s="12"/>
      <c r="T872" s="175"/>
      <c r="U872" s="179"/>
      <c r="V872" s="208"/>
      <c r="W872" s="12"/>
      <c r="X872" s="12"/>
    </row>
    <row r="873">
      <c r="A873" s="175"/>
      <c r="B873" s="175"/>
      <c r="C873" s="176"/>
      <c r="D873" s="175"/>
      <c r="E873" s="175"/>
      <c r="F873" s="12"/>
      <c r="G873" s="12"/>
      <c r="H873" s="175"/>
      <c r="I873" s="12"/>
      <c r="J873" s="12"/>
      <c r="K873" s="175"/>
      <c r="L873" s="175"/>
      <c r="M873" s="175"/>
      <c r="N873" s="175"/>
      <c r="O873" s="175"/>
      <c r="P873" s="12"/>
      <c r="Q873" s="175"/>
      <c r="R873" s="12"/>
      <c r="S873" s="12"/>
      <c r="T873" s="175"/>
      <c r="U873" s="179"/>
      <c r="V873" s="208"/>
      <c r="W873" s="12"/>
      <c r="X873" s="12"/>
    </row>
    <row r="874">
      <c r="A874" s="175"/>
      <c r="B874" s="175"/>
      <c r="C874" s="176"/>
      <c r="D874" s="175"/>
      <c r="E874" s="175"/>
      <c r="F874" s="12"/>
      <c r="G874" s="12"/>
      <c r="H874" s="175"/>
      <c r="I874" s="12"/>
      <c r="J874" s="12"/>
      <c r="K874" s="175"/>
      <c r="L874" s="175"/>
      <c r="M874" s="175"/>
      <c r="N874" s="175"/>
      <c r="O874" s="175"/>
      <c r="P874" s="12"/>
      <c r="Q874" s="175"/>
      <c r="R874" s="12"/>
      <c r="S874" s="12"/>
      <c r="T874" s="175"/>
      <c r="U874" s="179"/>
      <c r="V874" s="208"/>
      <c r="W874" s="12"/>
      <c r="X874" s="12"/>
    </row>
    <row r="875">
      <c r="A875" s="175"/>
      <c r="B875" s="175"/>
      <c r="C875" s="176"/>
      <c r="D875" s="175"/>
      <c r="E875" s="175"/>
      <c r="F875" s="12"/>
      <c r="G875" s="12"/>
      <c r="H875" s="175"/>
      <c r="I875" s="12"/>
      <c r="J875" s="12"/>
      <c r="K875" s="175"/>
      <c r="L875" s="175"/>
      <c r="M875" s="175"/>
      <c r="N875" s="175"/>
      <c r="O875" s="175"/>
      <c r="P875" s="12"/>
      <c r="Q875" s="175"/>
      <c r="R875" s="12"/>
      <c r="S875" s="12"/>
      <c r="T875" s="175"/>
      <c r="U875" s="179"/>
      <c r="V875" s="208"/>
      <c r="W875" s="12"/>
      <c r="X875" s="12"/>
    </row>
    <row r="876">
      <c r="A876" s="175"/>
      <c r="B876" s="175"/>
      <c r="C876" s="176"/>
      <c r="D876" s="175"/>
      <c r="E876" s="175"/>
      <c r="F876" s="12"/>
      <c r="G876" s="12"/>
      <c r="H876" s="175"/>
      <c r="I876" s="12"/>
      <c r="J876" s="12"/>
      <c r="K876" s="175"/>
      <c r="L876" s="175"/>
      <c r="M876" s="175"/>
      <c r="N876" s="175"/>
      <c r="O876" s="175"/>
      <c r="P876" s="12"/>
      <c r="Q876" s="175"/>
      <c r="R876" s="12"/>
      <c r="S876" s="12"/>
      <c r="T876" s="175"/>
      <c r="U876" s="179"/>
      <c r="V876" s="208"/>
      <c r="W876" s="12"/>
      <c r="X876" s="12"/>
    </row>
    <row r="877">
      <c r="A877" s="175"/>
      <c r="B877" s="175"/>
      <c r="C877" s="176"/>
      <c r="D877" s="175"/>
      <c r="E877" s="175"/>
      <c r="F877" s="12"/>
      <c r="G877" s="12"/>
      <c r="H877" s="175"/>
      <c r="I877" s="12"/>
      <c r="J877" s="12"/>
      <c r="K877" s="175"/>
      <c r="L877" s="175"/>
      <c r="M877" s="175"/>
      <c r="N877" s="175"/>
      <c r="O877" s="175"/>
      <c r="P877" s="12"/>
      <c r="Q877" s="175"/>
      <c r="R877" s="12"/>
      <c r="S877" s="12"/>
      <c r="T877" s="175"/>
      <c r="U877" s="179"/>
      <c r="V877" s="208"/>
      <c r="W877" s="12"/>
      <c r="X877" s="12"/>
    </row>
    <row r="878">
      <c r="A878" s="175"/>
      <c r="B878" s="175"/>
      <c r="C878" s="176"/>
      <c r="D878" s="175"/>
      <c r="E878" s="175"/>
      <c r="F878" s="12"/>
      <c r="G878" s="12"/>
      <c r="H878" s="175"/>
      <c r="I878" s="12"/>
      <c r="J878" s="12"/>
      <c r="K878" s="175"/>
      <c r="L878" s="175"/>
      <c r="M878" s="175"/>
      <c r="N878" s="175"/>
      <c r="O878" s="175"/>
      <c r="P878" s="12"/>
      <c r="Q878" s="175"/>
      <c r="R878" s="12"/>
      <c r="S878" s="12"/>
      <c r="T878" s="175"/>
      <c r="U878" s="179"/>
      <c r="V878" s="208"/>
      <c r="W878" s="12"/>
      <c r="X878" s="12"/>
    </row>
    <row r="879">
      <c r="A879" s="175"/>
      <c r="B879" s="175"/>
      <c r="C879" s="176"/>
      <c r="D879" s="175"/>
      <c r="E879" s="175"/>
      <c r="F879" s="12"/>
      <c r="G879" s="12"/>
      <c r="H879" s="175"/>
      <c r="I879" s="12"/>
      <c r="J879" s="12"/>
      <c r="K879" s="175"/>
      <c r="L879" s="175"/>
      <c r="M879" s="175"/>
      <c r="N879" s="175"/>
      <c r="O879" s="175"/>
      <c r="P879" s="12"/>
      <c r="Q879" s="175"/>
      <c r="R879" s="12"/>
      <c r="S879" s="12"/>
      <c r="T879" s="175"/>
      <c r="U879" s="179"/>
      <c r="V879" s="208"/>
      <c r="W879" s="12"/>
      <c r="X879" s="12"/>
    </row>
    <row r="880">
      <c r="A880" s="175"/>
      <c r="B880" s="175"/>
      <c r="C880" s="176"/>
      <c r="D880" s="175"/>
      <c r="E880" s="175"/>
      <c r="F880" s="12"/>
      <c r="G880" s="12"/>
      <c r="H880" s="175"/>
      <c r="I880" s="12"/>
      <c r="J880" s="12"/>
      <c r="K880" s="175"/>
      <c r="L880" s="175"/>
      <c r="M880" s="175"/>
      <c r="N880" s="175"/>
      <c r="O880" s="175"/>
      <c r="P880" s="12"/>
      <c r="Q880" s="175"/>
      <c r="R880" s="12"/>
      <c r="S880" s="12"/>
      <c r="T880" s="175"/>
      <c r="U880" s="179"/>
      <c r="V880" s="208"/>
      <c r="W880" s="12"/>
      <c r="X880" s="12"/>
    </row>
    <row r="881">
      <c r="A881" s="175"/>
      <c r="B881" s="175"/>
      <c r="C881" s="176"/>
      <c r="D881" s="175"/>
      <c r="E881" s="175"/>
      <c r="F881" s="12"/>
      <c r="G881" s="12"/>
      <c r="H881" s="175"/>
      <c r="I881" s="12"/>
      <c r="J881" s="12"/>
      <c r="K881" s="175"/>
      <c r="L881" s="175"/>
      <c r="M881" s="175"/>
      <c r="N881" s="175"/>
      <c r="O881" s="175"/>
      <c r="P881" s="12"/>
      <c r="Q881" s="175"/>
      <c r="R881" s="12"/>
      <c r="S881" s="12"/>
      <c r="T881" s="175"/>
      <c r="U881" s="179"/>
      <c r="V881" s="208"/>
      <c r="W881" s="12"/>
      <c r="X881" s="12"/>
    </row>
    <row r="882">
      <c r="A882" s="175"/>
      <c r="B882" s="175"/>
      <c r="C882" s="176"/>
      <c r="D882" s="175"/>
      <c r="E882" s="175"/>
      <c r="F882" s="12"/>
      <c r="G882" s="12"/>
      <c r="H882" s="175"/>
      <c r="I882" s="12"/>
      <c r="J882" s="12"/>
      <c r="K882" s="175"/>
      <c r="L882" s="175"/>
      <c r="M882" s="175"/>
      <c r="N882" s="175"/>
      <c r="O882" s="175"/>
      <c r="P882" s="12"/>
      <c r="Q882" s="175"/>
      <c r="R882" s="12"/>
      <c r="S882" s="12"/>
      <c r="T882" s="175"/>
      <c r="U882" s="179"/>
      <c r="V882" s="208"/>
      <c r="W882" s="12"/>
      <c r="X882" s="12"/>
    </row>
    <row r="883">
      <c r="A883" s="175"/>
      <c r="B883" s="175"/>
      <c r="C883" s="176"/>
      <c r="D883" s="175"/>
      <c r="E883" s="175"/>
      <c r="F883" s="12"/>
      <c r="G883" s="12"/>
      <c r="H883" s="175"/>
      <c r="I883" s="12"/>
      <c r="J883" s="12"/>
      <c r="K883" s="175"/>
      <c r="L883" s="175"/>
      <c r="M883" s="175"/>
      <c r="N883" s="175"/>
      <c r="O883" s="175"/>
      <c r="P883" s="12"/>
      <c r="Q883" s="175"/>
      <c r="R883" s="12"/>
      <c r="S883" s="12"/>
      <c r="T883" s="175"/>
      <c r="U883" s="179"/>
      <c r="V883" s="208"/>
      <c r="W883" s="12"/>
      <c r="X883" s="12"/>
    </row>
    <row r="884">
      <c r="A884" s="175"/>
      <c r="B884" s="175"/>
      <c r="C884" s="176"/>
      <c r="D884" s="175"/>
      <c r="E884" s="175"/>
      <c r="F884" s="12"/>
      <c r="G884" s="12"/>
      <c r="H884" s="175"/>
      <c r="I884" s="12"/>
      <c r="J884" s="12"/>
      <c r="K884" s="175"/>
      <c r="L884" s="175"/>
      <c r="M884" s="175"/>
      <c r="N884" s="175"/>
      <c r="O884" s="175"/>
      <c r="P884" s="12"/>
      <c r="Q884" s="175"/>
      <c r="R884" s="12"/>
      <c r="S884" s="12"/>
      <c r="T884" s="175"/>
      <c r="U884" s="179"/>
      <c r="V884" s="208"/>
      <c r="W884" s="12"/>
      <c r="X884" s="12"/>
    </row>
    <row r="885">
      <c r="A885" s="175"/>
      <c r="B885" s="175"/>
      <c r="C885" s="176"/>
      <c r="D885" s="175"/>
      <c r="E885" s="175"/>
      <c r="F885" s="12"/>
      <c r="G885" s="12"/>
      <c r="H885" s="175"/>
      <c r="I885" s="12"/>
      <c r="J885" s="12"/>
      <c r="K885" s="175"/>
      <c r="L885" s="175"/>
      <c r="M885" s="175"/>
      <c r="N885" s="175"/>
      <c r="O885" s="175"/>
      <c r="P885" s="12"/>
      <c r="Q885" s="175"/>
      <c r="R885" s="12"/>
      <c r="S885" s="12"/>
      <c r="T885" s="175"/>
      <c r="U885" s="179"/>
      <c r="V885" s="208"/>
      <c r="W885" s="12"/>
      <c r="X885" s="12"/>
    </row>
    <row r="886">
      <c r="A886" s="175"/>
      <c r="B886" s="175"/>
      <c r="C886" s="176"/>
      <c r="D886" s="175"/>
      <c r="E886" s="175"/>
      <c r="F886" s="12"/>
      <c r="G886" s="12"/>
      <c r="H886" s="175"/>
      <c r="I886" s="12"/>
      <c r="J886" s="12"/>
      <c r="K886" s="175"/>
      <c r="L886" s="175"/>
      <c r="M886" s="175"/>
      <c r="N886" s="175"/>
      <c r="O886" s="175"/>
      <c r="P886" s="12"/>
      <c r="Q886" s="175"/>
      <c r="R886" s="12"/>
      <c r="S886" s="12"/>
      <c r="T886" s="175"/>
      <c r="U886" s="179"/>
      <c r="V886" s="208"/>
      <c r="W886" s="12"/>
      <c r="X886" s="12"/>
    </row>
    <row r="887">
      <c r="A887" s="175"/>
      <c r="B887" s="175"/>
      <c r="C887" s="176"/>
      <c r="D887" s="175"/>
      <c r="E887" s="175"/>
      <c r="F887" s="12"/>
      <c r="G887" s="12"/>
      <c r="H887" s="175"/>
      <c r="I887" s="12"/>
      <c r="J887" s="12"/>
      <c r="K887" s="175"/>
      <c r="L887" s="175"/>
      <c r="M887" s="175"/>
      <c r="N887" s="175"/>
      <c r="O887" s="175"/>
      <c r="P887" s="12"/>
      <c r="Q887" s="175"/>
      <c r="R887" s="12"/>
      <c r="S887" s="12"/>
      <c r="T887" s="175"/>
      <c r="U887" s="179"/>
      <c r="V887" s="208"/>
      <c r="W887" s="12"/>
      <c r="X887" s="12"/>
    </row>
    <row r="888">
      <c r="A888" s="175"/>
      <c r="B888" s="175"/>
      <c r="C888" s="176"/>
      <c r="D888" s="175"/>
      <c r="E888" s="175"/>
      <c r="F888" s="12"/>
      <c r="G888" s="12"/>
      <c r="H888" s="175"/>
      <c r="I888" s="12"/>
      <c r="J888" s="12"/>
      <c r="K888" s="175"/>
      <c r="L888" s="175"/>
      <c r="M888" s="175"/>
      <c r="N888" s="175"/>
      <c r="O888" s="175"/>
      <c r="P888" s="12"/>
      <c r="Q888" s="175"/>
      <c r="R888" s="12"/>
      <c r="S888" s="12"/>
      <c r="T888" s="175"/>
      <c r="U888" s="179"/>
      <c r="V888" s="208"/>
      <c r="W888" s="12"/>
      <c r="X888" s="12"/>
    </row>
    <row r="889">
      <c r="A889" s="175"/>
      <c r="B889" s="175"/>
      <c r="C889" s="176"/>
      <c r="D889" s="175"/>
      <c r="E889" s="175"/>
      <c r="F889" s="12"/>
      <c r="G889" s="12"/>
      <c r="H889" s="175"/>
      <c r="I889" s="12"/>
      <c r="J889" s="12"/>
      <c r="K889" s="175"/>
      <c r="L889" s="175"/>
      <c r="M889" s="175"/>
      <c r="N889" s="175"/>
      <c r="O889" s="175"/>
      <c r="P889" s="12"/>
      <c r="Q889" s="175"/>
      <c r="R889" s="12"/>
      <c r="S889" s="12"/>
      <c r="T889" s="175"/>
      <c r="U889" s="179"/>
      <c r="V889" s="208"/>
      <c r="W889" s="12"/>
      <c r="X889" s="12"/>
    </row>
    <row r="890">
      <c r="A890" s="175"/>
      <c r="B890" s="175"/>
      <c r="C890" s="176"/>
      <c r="D890" s="175"/>
      <c r="E890" s="175"/>
      <c r="F890" s="12"/>
      <c r="G890" s="12"/>
      <c r="H890" s="175"/>
      <c r="I890" s="12"/>
      <c r="J890" s="12"/>
      <c r="K890" s="175"/>
      <c r="L890" s="175"/>
      <c r="M890" s="175"/>
      <c r="N890" s="175"/>
      <c r="O890" s="175"/>
      <c r="P890" s="12"/>
      <c r="Q890" s="175"/>
      <c r="R890" s="12"/>
      <c r="S890" s="12"/>
      <c r="T890" s="175"/>
      <c r="U890" s="179"/>
      <c r="V890" s="208"/>
      <c r="W890" s="12"/>
      <c r="X890" s="12"/>
    </row>
    <row r="891">
      <c r="A891" s="175"/>
      <c r="B891" s="175"/>
      <c r="C891" s="176"/>
      <c r="D891" s="175"/>
      <c r="E891" s="175"/>
      <c r="F891" s="12"/>
      <c r="G891" s="12"/>
      <c r="H891" s="175"/>
      <c r="I891" s="12"/>
      <c r="J891" s="12"/>
      <c r="K891" s="175"/>
      <c r="L891" s="175"/>
      <c r="M891" s="175"/>
      <c r="N891" s="175"/>
      <c r="O891" s="175"/>
      <c r="P891" s="12"/>
      <c r="Q891" s="175"/>
      <c r="R891" s="12"/>
      <c r="S891" s="12"/>
      <c r="T891" s="175"/>
      <c r="U891" s="179"/>
      <c r="V891" s="208"/>
      <c r="W891" s="12"/>
      <c r="X891" s="12"/>
    </row>
    <row r="892">
      <c r="A892" s="175"/>
      <c r="B892" s="175"/>
      <c r="C892" s="176"/>
      <c r="D892" s="175"/>
      <c r="E892" s="175"/>
      <c r="F892" s="12"/>
      <c r="G892" s="12"/>
      <c r="H892" s="175"/>
      <c r="I892" s="12"/>
      <c r="J892" s="12"/>
      <c r="K892" s="175"/>
      <c r="L892" s="175"/>
      <c r="M892" s="175"/>
      <c r="N892" s="175"/>
      <c r="O892" s="175"/>
      <c r="P892" s="12"/>
      <c r="Q892" s="175"/>
      <c r="R892" s="12"/>
      <c r="S892" s="12"/>
      <c r="T892" s="175"/>
      <c r="U892" s="179"/>
      <c r="V892" s="208"/>
      <c r="W892" s="12"/>
      <c r="X892" s="12"/>
    </row>
    <row r="893">
      <c r="A893" s="175"/>
      <c r="B893" s="175"/>
      <c r="C893" s="176"/>
      <c r="D893" s="175"/>
      <c r="E893" s="175"/>
      <c r="F893" s="12"/>
      <c r="G893" s="12"/>
      <c r="H893" s="175"/>
      <c r="I893" s="12"/>
      <c r="J893" s="12"/>
      <c r="K893" s="175"/>
      <c r="L893" s="175"/>
      <c r="M893" s="175"/>
      <c r="N893" s="175"/>
      <c r="O893" s="175"/>
      <c r="P893" s="12"/>
      <c r="Q893" s="175"/>
      <c r="R893" s="12"/>
      <c r="S893" s="12"/>
      <c r="T893" s="175"/>
      <c r="U893" s="179"/>
      <c r="V893" s="208"/>
      <c r="W893" s="12"/>
      <c r="X893" s="12"/>
    </row>
    <row r="894">
      <c r="A894" s="175"/>
      <c r="B894" s="175"/>
      <c r="C894" s="176"/>
      <c r="D894" s="175"/>
      <c r="E894" s="175"/>
      <c r="F894" s="12"/>
      <c r="G894" s="12"/>
      <c r="H894" s="175"/>
      <c r="I894" s="12"/>
      <c r="J894" s="12"/>
      <c r="K894" s="175"/>
      <c r="L894" s="175"/>
      <c r="M894" s="175"/>
      <c r="N894" s="175"/>
      <c r="O894" s="175"/>
      <c r="P894" s="12"/>
      <c r="Q894" s="175"/>
      <c r="R894" s="12"/>
      <c r="S894" s="12"/>
      <c r="T894" s="175"/>
      <c r="U894" s="179"/>
      <c r="V894" s="208"/>
      <c r="W894" s="12"/>
      <c r="X894" s="12"/>
    </row>
    <row r="895">
      <c r="A895" s="175"/>
      <c r="B895" s="175"/>
      <c r="C895" s="176"/>
      <c r="D895" s="175"/>
      <c r="E895" s="175"/>
      <c r="F895" s="12"/>
      <c r="G895" s="12"/>
      <c r="H895" s="175"/>
      <c r="I895" s="12"/>
      <c r="J895" s="12"/>
      <c r="K895" s="175"/>
      <c r="L895" s="175"/>
      <c r="M895" s="175"/>
      <c r="N895" s="175"/>
      <c r="O895" s="175"/>
      <c r="P895" s="12"/>
      <c r="Q895" s="175"/>
      <c r="R895" s="12"/>
      <c r="S895" s="12"/>
      <c r="T895" s="175"/>
      <c r="U895" s="179"/>
      <c r="V895" s="208"/>
      <c r="W895" s="12"/>
      <c r="X895" s="12"/>
    </row>
    <row r="896">
      <c r="A896" s="175"/>
      <c r="B896" s="175"/>
      <c r="C896" s="176"/>
      <c r="D896" s="175"/>
      <c r="E896" s="175"/>
      <c r="F896" s="12"/>
      <c r="G896" s="12"/>
      <c r="H896" s="175"/>
      <c r="I896" s="12"/>
      <c r="J896" s="12"/>
      <c r="K896" s="175"/>
      <c r="L896" s="175"/>
      <c r="M896" s="175"/>
      <c r="N896" s="175"/>
      <c r="O896" s="175"/>
      <c r="P896" s="12"/>
      <c r="Q896" s="175"/>
      <c r="R896" s="12"/>
      <c r="S896" s="12"/>
      <c r="T896" s="175"/>
      <c r="U896" s="179"/>
      <c r="V896" s="208"/>
      <c r="W896" s="12"/>
      <c r="X896" s="12"/>
    </row>
    <row r="897">
      <c r="A897" s="175"/>
      <c r="B897" s="175"/>
      <c r="C897" s="176"/>
      <c r="D897" s="175"/>
      <c r="E897" s="175"/>
      <c r="F897" s="12"/>
      <c r="G897" s="12"/>
      <c r="H897" s="175"/>
      <c r="I897" s="12"/>
      <c r="J897" s="12"/>
      <c r="K897" s="175"/>
      <c r="L897" s="175"/>
      <c r="M897" s="175"/>
      <c r="N897" s="175"/>
      <c r="O897" s="175"/>
      <c r="P897" s="12"/>
      <c r="Q897" s="175"/>
      <c r="R897" s="12"/>
      <c r="S897" s="12"/>
      <c r="T897" s="175"/>
      <c r="U897" s="179"/>
      <c r="V897" s="208"/>
      <c r="W897" s="12"/>
      <c r="X897" s="12"/>
    </row>
    <row r="898">
      <c r="A898" s="175"/>
      <c r="B898" s="175"/>
      <c r="C898" s="176"/>
      <c r="D898" s="175"/>
      <c r="E898" s="175"/>
      <c r="F898" s="12"/>
      <c r="G898" s="12"/>
      <c r="H898" s="175"/>
      <c r="I898" s="12"/>
      <c r="J898" s="12"/>
      <c r="K898" s="175"/>
      <c r="L898" s="175"/>
      <c r="M898" s="175"/>
      <c r="N898" s="175"/>
      <c r="O898" s="175"/>
      <c r="P898" s="12"/>
      <c r="Q898" s="175"/>
      <c r="R898" s="12"/>
      <c r="S898" s="12"/>
      <c r="T898" s="175"/>
      <c r="U898" s="179"/>
      <c r="V898" s="208"/>
      <c r="W898" s="12"/>
      <c r="X898" s="12"/>
    </row>
    <row r="899">
      <c r="A899" s="175"/>
      <c r="B899" s="175"/>
      <c r="C899" s="176"/>
      <c r="D899" s="175"/>
      <c r="E899" s="175"/>
      <c r="F899" s="12"/>
      <c r="G899" s="12"/>
      <c r="H899" s="175"/>
      <c r="I899" s="12"/>
      <c r="J899" s="12"/>
      <c r="K899" s="175"/>
      <c r="L899" s="175"/>
      <c r="M899" s="175"/>
      <c r="N899" s="175"/>
      <c r="O899" s="175"/>
      <c r="P899" s="12"/>
      <c r="Q899" s="175"/>
      <c r="R899" s="12"/>
      <c r="S899" s="12"/>
      <c r="T899" s="175"/>
      <c r="U899" s="179"/>
      <c r="V899" s="208"/>
      <c r="W899" s="12"/>
      <c r="X899" s="12"/>
    </row>
    <row r="900">
      <c r="A900" s="175"/>
      <c r="B900" s="175"/>
      <c r="C900" s="176"/>
      <c r="D900" s="175"/>
      <c r="E900" s="175"/>
      <c r="F900" s="12"/>
      <c r="G900" s="12"/>
      <c r="H900" s="175"/>
      <c r="I900" s="12"/>
      <c r="J900" s="12"/>
      <c r="K900" s="175"/>
      <c r="L900" s="175"/>
      <c r="M900" s="175"/>
      <c r="N900" s="175"/>
      <c r="O900" s="175"/>
      <c r="P900" s="12"/>
      <c r="Q900" s="175"/>
      <c r="R900" s="12"/>
      <c r="S900" s="12"/>
      <c r="T900" s="175"/>
      <c r="U900" s="179"/>
      <c r="V900" s="208"/>
      <c r="W900" s="12"/>
      <c r="X900" s="12"/>
    </row>
    <row r="901">
      <c r="A901" s="175"/>
      <c r="B901" s="175"/>
      <c r="C901" s="176"/>
      <c r="D901" s="175"/>
      <c r="E901" s="175"/>
      <c r="F901" s="12"/>
      <c r="G901" s="12"/>
      <c r="H901" s="175"/>
      <c r="I901" s="12"/>
      <c r="J901" s="12"/>
      <c r="K901" s="175"/>
      <c r="L901" s="175"/>
      <c r="M901" s="175"/>
      <c r="N901" s="175"/>
      <c r="O901" s="175"/>
      <c r="P901" s="12"/>
      <c r="Q901" s="175"/>
      <c r="R901" s="12"/>
      <c r="S901" s="12"/>
      <c r="T901" s="175"/>
      <c r="U901" s="179"/>
      <c r="V901" s="208"/>
      <c r="W901" s="12"/>
      <c r="X901" s="12"/>
    </row>
    <row r="902">
      <c r="A902" s="175"/>
      <c r="B902" s="175"/>
      <c r="C902" s="176"/>
      <c r="D902" s="175"/>
      <c r="E902" s="175"/>
      <c r="F902" s="12"/>
      <c r="G902" s="12"/>
      <c r="H902" s="175"/>
      <c r="I902" s="12"/>
      <c r="J902" s="12"/>
      <c r="K902" s="175"/>
      <c r="L902" s="175"/>
      <c r="M902" s="175"/>
      <c r="N902" s="175"/>
      <c r="O902" s="175"/>
      <c r="P902" s="12"/>
      <c r="Q902" s="175"/>
      <c r="R902" s="12"/>
      <c r="S902" s="12"/>
      <c r="T902" s="175"/>
      <c r="U902" s="179"/>
      <c r="V902" s="208"/>
      <c r="W902" s="12"/>
      <c r="X902" s="12"/>
    </row>
    <row r="903">
      <c r="A903" s="175"/>
      <c r="B903" s="175"/>
      <c r="C903" s="176"/>
      <c r="D903" s="175"/>
      <c r="E903" s="175"/>
      <c r="F903" s="12"/>
      <c r="G903" s="12"/>
      <c r="H903" s="175"/>
      <c r="I903" s="12"/>
      <c r="J903" s="12"/>
      <c r="K903" s="175"/>
      <c r="L903" s="175"/>
      <c r="M903" s="175"/>
      <c r="N903" s="175"/>
      <c r="O903" s="175"/>
      <c r="P903" s="12"/>
      <c r="Q903" s="175"/>
      <c r="R903" s="12"/>
      <c r="S903" s="12"/>
      <c r="T903" s="175"/>
      <c r="U903" s="179"/>
      <c r="V903" s="208"/>
      <c r="W903" s="12"/>
      <c r="X903" s="12"/>
    </row>
    <row r="904">
      <c r="A904" s="175"/>
      <c r="B904" s="175"/>
      <c r="C904" s="176"/>
      <c r="D904" s="175"/>
      <c r="E904" s="175"/>
      <c r="F904" s="12"/>
      <c r="G904" s="12"/>
      <c r="H904" s="175"/>
      <c r="I904" s="12"/>
      <c r="J904" s="12"/>
      <c r="K904" s="175"/>
      <c r="L904" s="175"/>
      <c r="M904" s="175"/>
      <c r="N904" s="175"/>
      <c r="O904" s="175"/>
      <c r="P904" s="12"/>
      <c r="Q904" s="175"/>
      <c r="R904" s="12"/>
      <c r="S904" s="12"/>
      <c r="T904" s="175"/>
      <c r="U904" s="179"/>
      <c r="V904" s="208"/>
      <c r="W904" s="12"/>
      <c r="X904" s="12"/>
    </row>
    <row r="905">
      <c r="A905" s="175"/>
      <c r="B905" s="175"/>
      <c r="C905" s="176"/>
      <c r="D905" s="175"/>
      <c r="E905" s="175"/>
      <c r="F905" s="12"/>
      <c r="G905" s="12"/>
      <c r="H905" s="175"/>
      <c r="I905" s="12"/>
      <c r="J905" s="12"/>
      <c r="K905" s="175"/>
      <c r="L905" s="175"/>
      <c r="M905" s="175"/>
      <c r="N905" s="175"/>
      <c r="O905" s="175"/>
      <c r="P905" s="12"/>
      <c r="Q905" s="175"/>
      <c r="R905" s="12"/>
      <c r="S905" s="12"/>
      <c r="T905" s="175"/>
      <c r="U905" s="179"/>
      <c r="V905" s="208"/>
      <c r="W905" s="12"/>
      <c r="X905" s="12"/>
    </row>
    <row r="906">
      <c r="A906" s="175"/>
      <c r="B906" s="175"/>
      <c r="C906" s="176"/>
      <c r="D906" s="175"/>
      <c r="E906" s="175"/>
      <c r="F906" s="12"/>
      <c r="G906" s="12"/>
      <c r="H906" s="175"/>
      <c r="I906" s="12"/>
      <c r="J906" s="12"/>
      <c r="K906" s="175"/>
      <c r="L906" s="175"/>
      <c r="M906" s="175"/>
      <c r="N906" s="175"/>
      <c r="O906" s="175"/>
      <c r="P906" s="12"/>
      <c r="Q906" s="175"/>
      <c r="R906" s="12"/>
      <c r="S906" s="12"/>
      <c r="T906" s="175"/>
      <c r="U906" s="179"/>
      <c r="V906" s="208"/>
      <c r="W906" s="12"/>
      <c r="X906" s="12"/>
    </row>
    <row r="907">
      <c r="A907" s="175"/>
      <c r="B907" s="175"/>
      <c r="C907" s="176"/>
      <c r="D907" s="175"/>
      <c r="E907" s="175"/>
      <c r="F907" s="12"/>
      <c r="G907" s="12"/>
      <c r="H907" s="175"/>
      <c r="I907" s="12"/>
      <c r="J907" s="12"/>
      <c r="K907" s="175"/>
      <c r="L907" s="175"/>
      <c r="M907" s="175"/>
      <c r="N907" s="175"/>
      <c r="O907" s="175"/>
      <c r="P907" s="12"/>
      <c r="Q907" s="175"/>
      <c r="R907" s="12"/>
      <c r="S907" s="12"/>
      <c r="T907" s="175"/>
      <c r="U907" s="179"/>
      <c r="V907" s="208"/>
      <c r="W907" s="12"/>
      <c r="X907" s="12"/>
    </row>
    <row r="908">
      <c r="A908" s="175"/>
      <c r="B908" s="175"/>
      <c r="C908" s="176"/>
      <c r="D908" s="175"/>
      <c r="E908" s="175"/>
      <c r="F908" s="12"/>
      <c r="G908" s="12"/>
      <c r="H908" s="175"/>
      <c r="I908" s="12"/>
      <c r="J908" s="12"/>
      <c r="K908" s="175"/>
      <c r="L908" s="175"/>
      <c r="M908" s="175"/>
      <c r="N908" s="175"/>
      <c r="O908" s="175"/>
      <c r="P908" s="12"/>
      <c r="Q908" s="175"/>
      <c r="R908" s="12"/>
      <c r="S908" s="12"/>
      <c r="T908" s="175"/>
      <c r="U908" s="179"/>
      <c r="V908" s="208"/>
      <c r="W908" s="12"/>
      <c r="X908" s="12"/>
    </row>
    <row r="909">
      <c r="A909" s="175"/>
      <c r="B909" s="175"/>
      <c r="C909" s="176"/>
      <c r="D909" s="175"/>
      <c r="E909" s="175"/>
      <c r="F909" s="12"/>
      <c r="G909" s="12"/>
      <c r="H909" s="175"/>
      <c r="I909" s="12"/>
      <c r="J909" s="12"/>
      <c r="K909" s="175"/>
      <c r="L909" s="175"/>
      <c r="M909" s="175"/>
      <c r="N909" s="175"/>
      <c r="O909" s="175"/>
      <c r="P909" s="12"/>
      <c r="Q909" s="175"/>
      <c r="R909" s="12"/>
      <c r="S909" s="12"/>
      <c r="T909" s="175"/>
      <c r="U909" s="179"/>
      <c r="V909" s="208"/>
      <c r="W909" s="12"/>
      <c r="X909" s="12"/>
    </row>
    <row r="910">
      <c r="A910" s="175"/>
      <c r="B910" s="175"/>
      <c r="C910" s="176"/>
      <c r="D910" s="175"/>
      <c r="E910" s="175"/>
      <c r="F910" s="12"/>
      <c r="G910" s="12"/>
      <c r="H910" s="175"/>
      <c r="I910" s="12"/>
      <c r="J910" s="12"/>
      <c r="K910" s="175"/>
      <c r="L910" s="175"/>
      <c r="M910" s="175"/>
      <c r="N910" s="175"/>
      <c r="O910" s="175"/>
      <c r="P910" s="12"/>
      <c r="Q910" s="175"/>
      <c r="R910" s="12"/>
      <c r="S910" s="12"/>
      <c r="T910" s="175"/>
      <c r="U910" s="179"/>
      <c r="V910" s="208"/>
      <c r="W910" s="12"/>
      <c r="X910" s="12"/>
    </row>
    <row r="911">
      <c r="A911" s="175"/>
      <c r="B911" s="175"/>
      <c r="C911" s="176"/>
      <c r="D911" s="175"/>
      <c r="E911" s="175"/>
      <c r="F911" s="12"/>
      <c r="G911" s="12"/>
      <c r="H911" s="175"/>
      <c r="I911" s="12"/>
      <c r="J911" s="12"/>
      <c r="K911" s="175"/>
      <c r="L911" s="175"/>
      <c r="M911" s="175"/>
      <c r="N911" s="175"/>
      <c r="O911" s="175"/>
      <c r="P911" s="12"/>
      <c r="Q911" s="175"/>
      <c r="R911" s="12"/>
      <c r="S911" s="12"/>
      <c r="T911" s="175"/>
      <c r="U911" s="179"/>
      <c r="V911" s="208"/>
      <c r="W911" s="12"/>
      <c r="X911" s="12"/>
    </row>
    <row r="912">
      <c r="A912" s="175"/>
      <c r="B912" s="175"/>
      <c r="C912" s="176"/>
      <c r="D912" s="175"/>
      <c r="E912" s="175"/>
      <c r="F912" s="12"/>
      <c r="G912" s="12"/>
      <c r="H912" s="175"/>
      <c r="I912" s="12"/>
      <c r="J912" s="12"/>
      <c r="K912" s="175"/>
      <c r="L912" s="175"/>
      <c r="M912" s="175"/>
      <c r="N912" s="175"/>
      <c r="O912" s="175"/>
      <c r="P912" s="12"/>
      <c r="Q912" s="175"/>
      <c r="R912" s="12"/>
      <c r="S912" s="12"/>
      <c r="T912" s="175"/>
      <c r="U912" s="179"/>
      <c r="V912" s="208"/>
      <c r="W912" s="12"/>
      <c r="X912" s="12"/>
    </row>
    <row r="913">
      <c r="A913" s="175"/>
      <c r="B913" s="175"/>
      <c r="C913" s="176"/>
      <c r="D913" s="175"/>
      <c r="E913" s="175"/>
      <c r="F913" s="12"/>
      <c r="G913" s="12"/>
      <c r="H913" s="175"/>
      <c r="I913" s="12"/>
      <c r="J913" s="12"/>
      <c r="K913" s="175"/>
      <c r="L913" s="175"/>
      <c r="M913" s="175"/>
      <c r="N913" s="175"/>
      <c r="O913" s="175"/>
      <c r="P913" s="12"/>
      <c r="Q913" s="175"/>
      <c r="R913" s="12"/>
      <c r="S913" s="12"/>
      <c r="T913" s="175"/>
      <c r="U913" s="179"/>
      <c r="V913" s="208"/>
      <c r="W913" s="12"/>
      <c r="X913" s="12"/>
    </row>
    <row r="914">
      <c r="A914" s="175"/>
      <c r="B914" s="175"/>
      <c r="C914" s="176"/>
      <c r="D914" s="175"/>
      <c r="E914" s="175"/>
      <c r="F914" s="12"/>
      <c r="G914" s="12"/>
      <c r="H914" s="175"/>
      <c r="I914" s="12"/>
      <c r="J914" s="12"/>
      <c r="K914" s="175"/>
      <c r="L914" s="175"/>
      <c r="M914" s="175"/>
      <c r="N914" s="175"/>
      <c r="O914" s="175"/>
      <c r="P914" s="12"/>
      <c r="Q914" s="175"/>
      <c r="R914" s="12"/>
      <c r="S914" s="12"/>
      <c r="T914" s="175"/>
      <c r="U914" s="179"/>
      <c r="V914" s="208"/>
      <c r="W914" s="12"/>
      <c r="X914" s="12"/>
    </row>
    <row r="915">
      <c r="A915" s="175"/>
      <c r="B915" s="175"/>
      <c r="C915" s="176"/>
      <c r="D915" s="175"/>
      <c r="E915" s="175"/>
      <c r="F915" s="12"/>
      <c r="G915" s="12"/>
      <c r="H915" s="175"/>
      <c r="I915" s="12"/>
      <c r="J915" s="12"/>
      <c r="K915" s="175"/>
      <c r="L915" s="175"/>
      <c r="M915" s="175"/>
      <c r="N915" s="175"/>
      <c r="O915" s="175"/>
      <c r="P915" s="12"/>
      <c r="Q915" s="175"/>
      <c r="R915" s="12"/>
      <c r="S915" s="12"/>
      <c r="T915" s="175"/>
      <c r="U915" s="179"/>
      <c r="V915" s="208"/>
      <c r="W915" s="12"/>
      <c r="X915" s="12"/>
    </row>
    <row r="916">
      <c r="A916" s="175"/>
      <c r="B916" s="175"/>
      <c r="C916" s="176"/>
      <c r="D916" s="175"/>
      <c r="E916" s="175"/>
      <c r="F916" s="12"/>
      <c r="G916" s="12"/>
      <c r="H916" s="175"/>
      <c r="I916" s="12"/>
      <c r="J916" s="12"/>
      <c r="K916" s="175"/>
      <c r="L916" s="175"/>
      <c r="M916" s="175"/>
      <c r="N916" s="175"/>
      <c r="O916" s="175"/>
      <c r="P916" s="12"/>
      <c r="Q916" s="175"/>
      <c r="R916" s="12"/>
      <c r="S916" s="12"/>
      <c r="T916" s="175"/>
      <c r="U916" s="179"/>
      <c r="V916" s="208"/>
      <c r="W916" s="12"/>
      <c r="X916" s="12"/>
    </row>
    <row r="917">
      <c r="A917" s="175"/>
      <c r="B917" s="175"/>
      <c r="C917" s="176"/>
      <c r="D917" s="175"/>
      <c r="E917" s="175"/>
      <c r="F917" s="12"/>
      <c r="G917" s="12"/>
      <c r="H917" s="175"/>
      <c r="I917" s="12"/>
      <c r="J917" s="12"/>
      <c r="K917" s="175"/>
      <c r="L917" s="175"/>
      <c r="M917" s="175"/>
      <c r="N917" s="175"/>
      <c r="O917" s="175"/>
      <c r="P917" s="12"/>
      <c r="Q917" s="175"/>
      <c r="R917" s="12"/>
      <c r="S917" s="12"/>
      <c r="T917" s="175"/>
      <c r="U917" s="179"/>
      <c r="V917" s="208"/>
      <c r="W917" s="12"/>
      <c r="X917" s="12"/>
    </row>
    <row r="918">
      <c r="A918" s="175"/>
      <c r="B918" s="175"/>
      <c r="C918" s="176"/>
      <c r="D918" s="175"/>
      <c r="E918" s="175"/>
      <c r="F918" s="12"/>
      <c r="G918" s="12"/>
      <c r="H918" s="175"/>
      <c r="I918" s="12"/>
      <c r="J918" s="12"/>
      <c r="K918" s="175"/>
      <c r="L918" s="175"/>
      <c r="M918" s="175"/>
      <c r="N918" s="175"/>
      <c r="O918" s="175"/>
      <c r="P918" s="12"/>
      <c r="Q918" s="175"/>
      <c r="R918" s="12"/>
      <c r="S918" s="12"/>
      <c r="T918" s="175"/>
      <c r="U918" s="179"/>
      <c r="V918" s="208"/>
      <c r="W918" s="12"/>
      <c r="X918" s="12"/>
    </row>
    <row r="919">
      <c r="A919" s="175"/>
      <c r="B919" s="175"/>
      <c r="C919" s="176"/>
      <c r="D919" s="175"/>
      <c r="E919" s="175"/>
      <c r="F919" s="12"/>
      <c r="G919" s="12"/>
      <c r="H919" s="175"/>
      <c r="I919" s="12"/>
      <c r="J919" s="12"/>
      <c r="K919" s="175"/>
      <c r="L919" s="175"/>
      <c r="M919" s="175"/>
      <c r="N919" s="175"/>
      <c r="O919" s="175"/>
      <c r="P919" s="12"/>
      <c r="Q919" s="175"/>
      <c r="R919" s="12"/>
      <c r="S919" s="12"/>
      <c r="T919" s="175"/>
      <c r="U919" s="179"/>
      <c r="V919" s="208"/>
      <c r="W919" s="12"/>
      <c r="X919" s="12"/>
    </row>
    <row r="920">
      <c r="A920" s="175"/>
      <c r="B920" s="175"/>
      <c r="C920" s="176"/>
      <c r="D920" s="175"/>
      <c r="E920" s="175"/>
      <c r="F920" s="12"/>
      <c r="G920" s="12"/>
      <c r="H920" s="175"/>
      <c r="I920" s="12"/>
      <c r="J920" s="12"/>
      <c r="K920" s="175"/>
      <c r="L920" s="175"/>
      <c r="M920" s="175"/>
      <c r="N920" s="175"/>
      <c r="O920" s="175"/>
      <c r="P920" s="12"/>
      <c r="Q920" s="175"/>
      <c r="R920" s="12"/>
      <c r="S920" s="12"/>
      <c r="T920" s="175"/>
      <c r="U920" s="179"/>
      <c r="V920" s="208"/>
      <c r="W920" s="12"/>
      <c r="X920" s="12"/>
    </row>
    <row r="921">
      <c r="A921" s="175"/>
      <c r="B921" s="175"/>
      <c r="C921" s="176"/>
      <c r="D921" s="175"/>
      <c r="E921" s="175"/>
      <c r="F921" s="12"/>
      <c r="G921" s="12"/>
      <c r="H921" s="175"/>
      <c r="I921" s="12"/>
      <c r="J921" s="12"/>
      <c r="K921" s="175"/>
      <c r="L921" s="175"/>
      <c r="M921" s="175"/>
      <c r="N921" s="175"/>
      <c r="O921" s="175"/>
      <c r="P921" s="12"/>
      <c r="Q921" s="175"/>
      <c r="R921" s="12"/>
      <c r="S921" s="12"/>
      <c r="T921" s="175"/>
      <c r="U921" s="179"/>
      <c r="V921" s="208"/>
      <c r="W921" s="12"/>
      <c r="X921" s="12"/>
    </row>
    <row r="922">
      <c r="A922" s="175"/>
      <c r="B922" s="175"/>
      <c r="C922" s="176"/>
      <c r="D922" s="175"/>
      <c r="E922" s="175"/>
      <c r="F922" s="12"/>
      <c r="G922" s="12"/>
      <c r="H922" s="175"/>
      <c r="I922" s="12"/>
      <c r="J922" s="12"/>
      <c r="K922" s="175"/>
      <c r="L922" s="175"/>
      <c r="M922" s="175"/>
      <c r="N922" s="175"/>
      <c r="O922" s="175"/>
      <c r="P922" s="12"/>
      <c r="Q922" s="175"/>
      <c r="R922" s="12"/>
      <c r="S922" s="12"/>
      <c r="T922" s="175"/>
      <c r="U922" s="179"/>
      <c r="V922" s="208"/>
      <c r="W922" s="12"/>
      <c r="X922" s="12"/>
    </row>
    <row r="923">
      <c r="A923" s="175"/>
      <c r="B923" s="175"/>
      <c r="C923" s="176"/>
      <c r="D923" s="175"/>
      <c r="E923" s="175"/>
      <c r="F923" s="12"/>
      <c r="G923" s="12"/>
      <c r="H923" s="175"/>
      <c r="I923" s="12"/>
      <c r="J923" s="12"/>
      <c r="K923" s="175"/>
      <c r="L923" s="175"/>
      <c r="M923" s="175"/>
      <c r="N923" s="175"/>
      <c r="O923" s="175"/>
      <c r="P923" s="12"/>
      <c r="Q923" s="175"/>
      <c r="R923" s="12"/>
      <c r="S923" s="12"/>
      <c r="T923" s="175"/>
      <c r="U923" s="179"/>
      <c r="V923" s="208"/>
      <c r="W923" s="12"/>
      <c r="X923" s="12"/>
    </row>
    <row r="924">
      <c r="A924" s="175"/>
      <c r="B924" s="175"/>
      <c r="C924" s="176"/>
      <c r="D924" s="175"/>
      <c r="E924" s="175"/>
      <c r="F924" s="12"/>
      <c r="G924" s="12"/>
      <c r="H924" s="175"/>
      <c r="I924" s="12"/>
      <c r="J924" s="12"/>
      <c r="K924" s="175"/>
      <c r="L924" s="175"/>
      <c r="M924" s="175"/>
      <c r="N924" s="175"/>
      <c r="O924" s="175"/>
      <c r="P924" s="12"/>
      <c r="Q924" s="175"/>
      <c r="R924" s="12"/>
      <c r="S924" s="12"/>
      <c r="T924" s="175"/>
      <c r="U924" s="179"/>
      <c r="V924" s="208"/>
      <c r="W924" s="12"/>
      <c r="X924" s="12"/>
    </row>
    <row r="925">
      <c r="A925" s="175"/>
      <c r="B925" s="175"/>
      <c r="C925" s="176"/>
      <c r="D925" s="175"/>
      <c r="E925" s="175"/>
      <c r="F925" s="12"/>
      <c r="G925" s="12"/>
      <c r="H925" s="175"/>
      <c r="I925" s="12"/>
      <c r="J925" s="12"/>
      <c r="K925" s="175"/>
      <c r="L925" s="175"/>
      <c r="M925" s="175"/>
      <c r="N925" s="175"/>
      <c r="O925" s="175"/>
      <c r="P925" s="12"/>
      <c r="Q925" s="175"/>
      <c r="R925" s="12"/>
      <c r="S925" s="12"/>
      <c r="T925" s="175"/>
      <c r="U925" s="179"/>
      <c r="V925" s="208"/>
      <c r="W925" s="12"/>
      <c r="X925" s="12"/>
    </row>
    <row r="926">
      <c r="A926" s="175"/>
      <c r="B926" s="175"/>
      <c r="C926" s="176"/>
      <c r="D926" s="175"/>
      <c r="E926" s="175"/>
      <c r="F926" s="12"/>
      <c r="G926" s="12"/>
      <c r="H926" s="175"/>
      <c r="I926" s="12"/>
      <c r="J926" s="12"/>
      <c r="K926" s="175"/>
      <c r="L926" s="175"/>
      <c r="M926" s="175"/>
      <c r="N926" s="175"/>
      <c r="O926" s="175"/>
      <c r="P926" s="12"/>
      <c r="Q926" s="175"/>
      <c r="R926" s="12"/>
      <c r="S926" s="12"/>
      <c r="T926" s="175"/>
      <c r="U926" s="179"/>
      <c r="V926" s="208"/>
      <c r="W926" s="12"/>
      <c r="X926" s="12"/>
    </row>
    <row r="927">
      <c r="A927" s="175"/>
      <c r="B927" s="175"/>
      <c r="C927" s="176"/>
      <c r="D927" s="175"/>
      <c r="E927" s="175"/>
      <c r="F927" s="12"/>
      <c r="G927" s="12"/>
      <c r="H927" s="175"/>
      <c r="I927" s="12"/>
      <c r="J927" s="12"/>
      <c r="K927" s="175"/>
      <c r="L927" s="175"/>
      <c r="M927" s="175"/>
      <c r="N927" s="175"/>
      <c r="O927" s="175"/>
      <c r="P927" s="12"/>
      <c r="Q927" s="175"/>
      <c r="R927" s="12"/>
      <c r="S927" s="12"/>
      <c r="T927" s="175"/>
      <c r="U927" s="179"/>
      <c r="V927" s="208"/>
      <c r="W927" s="12"/>
      <c r="X927" s="12"/>
    </row>
    <row r="928">
      <c r="A928" s="175"/>
      <c r="B928" s="175"/>
      <c r="C928" s="176"/>
      <c r="D928" s="175"/>
      <c r="E928" s="175"/>
      <c r="F928" s="12"/>
      <c r="G928" s="12"/>
      <c r="H928" s="175"/>
      <c r="I928" s="12"/>
      <c r="J928" s="12"/>
      <c r="K928" s="175"/>
      <c r="L928" s="175"/>
      <c r="M928" s="175"/>
      <c r="N928" s="175"/>
      <c r="O928" s="175"/>
      <c r="P928" s="12"/>
      <c r="Q928" s="175"/>
      <c r="R928" s="12"/>
      <c r="S928" s="12"/>
      <c r="T928" s="175"/>
      <c r="U928" s="179"/>
      <c r="V928" s="208"/>
      <c r="W928" s="12"/>
      <c r="X928" s="12"/>
    </row>
    <row r="929">
      <c r="A929" s="175"/>
      <c r="B929" s="175"/>
      <c r="C929" s="176"/>
      <c r="D929" s="175"/>
      <c r="E929" s="175"/>
      <c r="F929" s="12"/>
      <c r="G929" s="12"/>
      <c r="H929" s="175"/>
      <c r="I929" s="12"/>
      <c r="J929" s="12"/>
      <c r="K929" s="175"/>
      <c r="L929" s="175"/>
      <c r="M929" s="175"/>
      <c r="N929" s="175"/>
      <c r="O929" s="175"/>
      <c r="P929" s="12"/>
      <c r="Q929" s="175"/>
      <c r="R929" s="12"/>
      <c r="S929" s="12"/>
      <c r="T929" s="175"/>
      <c r="U929" s="179"/>
      <c r="V929" s="208"/>
      <c r="W929" s="12"/>
      <c r="X929" s="12"/>
    </row>
    <row r="930">
      <c r="A930" s="175"/>
      <c r="B930" s="175"/>
      <c r="C930" s="176"/>
      <c r="D930" s="175"/>
      <c r="E930" s="175"/>
      <c r="F930" s="12"/>
      <c r="G930" s="12"/>
      <c r="H930" s="175"/>
      <c r="I930" s="12"/>
      <c r="J930" s="12"/>
      <c r="K930" s="175"/>
      <c r="L930" s="175"/>
      <c r="M930" s="175"/>
      <c r="N930" s="175"/>
      <c r="O930" s="175"/>
      <c r="P930" s="12"/>
      <c r="Q930" s="175"/>
      <c r="R930" s="12"/>
      <c r="S930" s="12"/>
      <c r="T930" s="175"/>
      <c r="U930" s="179"/>
      <c r="V930" s="208"/>
      <c r="W930" s="12"/>
      <c r="X930" s="12"/>
    </row>
    <row r="931">
      <c r="A931" s="175"/>
      <c r="B931" s="175"/>
      <c r="C931" s="176"/>
      <c r="D931" s="175"/>
      <c r="E931" s="175"/>
      <c r="F931" s="12"/>
      <c r="G931" s="12"/>
      <c r="H931" s="175"/>
      <c r="I931" s="12"/>
      <c r="J931" s="12"/>
      <c r="K931" s="175"/>
      <c r="L931" s="175"/>
      <c r="M931" s="175"/>
      <c r="N931" s="175"/>
      <c r="O931" s="175"/>
      <c r="P931" s="12"/>
      <c r="Q931" s="175"/>
      <c r="R931" s="12"/>
      <c r="S931" s="12"/>
      <c r="T931" s="175"/>
      <c r="U931" s="179"/>
      <c r="V931" s="208"/>
      <c r="W931" s="12"/>
      <c r="X931" s="12"/>
    </row>
    <row r="932">
      <c r="A932" s="175"/>
      <c r="B932" s="175"/>
      <c r="C932" s="176"/>
      <c r="D932" s="175"/>
      <c r="E932" s="175"/>
      <c r="F932" s="12"/>
      <c r="G932" s="12"/>
      <c r="H932" s="175"/>
      <c r="I932" s="12"/>
      <c r="J932" s="12"/>
      <c r="K932" s="175"/>
      <c r="L932" s="175"/>
      <c r="M932" s="175"/>
      <c r="N932" s="175"/>
      <c r="O932" s="175"/>
      <c r="P932" s="12"/>
      <c r="Q932" s="175"/>
      <c r="R932" s="12"/>
      <c r="S932" s="12"/>
      <c r="T932" s="175"/>
      <c r="U932" s="179"/>
      <c r="V932" s="208"/>
      <c r="W932" s="12"/>
      <c r="X932" s="12"/>
    </row>
    <row r="933">
      <c r="A933" s="175"/>
      <c r="B933" s="175"/>
      <c r="C933" s="176"/>
      <c r="D933" s="175"/>
      <c r="E933" s="175"/>
      <c r="F933" s="12"/>
      <c r="G933" s="12"/>
      <c r="H933" s="175"/>
      <c r="I933" s="12"/>
      <c r="J933" s="12"/>
      <c r="K933" s="175"/>
      <c r="L933" s="175"/>
      <c r="M933" s="175"/>
      <c r="N933" s="175"/>
      <c r="O933" s="175"/>
      <c r="P933" s="12"/>
      <c r="Q933" s="175"/>
      <c r="R933" s="12"/>
      <c r="S933" s="12"/>
      <c r="T933" s="175"/>
      <c r="U933" s="179"/>
      <c r="V933" s="208"/>
      <c r="W933" s="12"/>
      <c r="X933" s="12"/>
    </row>
    <row r="934">
      <c r="A934" s="175"/>
      <c r="B934" s="175"/>
      <c r="C934" s="176"/>
      <c r="D934" s="175"/>
      <c r="E934" s="175"/>
      <c r="F934" s="12"/>
      <c r="G934" s="12"/>
      <c r="H934" s="175"/>
      <c r="I934" s="12"/>
      <c r="J934" s="12"/>
      <c r="K934" s="175"/>
      <c r="L934" s="175"/>
      <c r="M934" s="175"/>
      <c r="N934" s="175"/>
      <c r="O934" s="175"/>
      <c r="P934" s="12"/>
      <c r="Q934" s="175"/>
      <c r="R934" s="12"/>
      <c r="S934" s="12"/>
      <c r="T934" s="175"/>
      <c r="U934" s="179"/>
      <c r="V934" s="208"/>
      <c r="W934" s="12"/>
      <c r="X934" s="12"/>
    </row>
    <row r="935">
      <c r="A935" s="175"/>
      <c r="B935" s="175"/>
      <c r="C935" s="176"/>
      <c r="D935" s="175"/>
      <c r="E935" s="175"/>
      <c r="F935" s="12"/>
      <c r="G935" s="12"/>
      <c r="H935" s="175"/>
      <c r="I935" s="12"/>
      <c r="J935" s="12"/>
      <c r="K935" s="175"/>
      <c r="L935" s="175"/>
      <c r="M935" s="175"/>
      <c r="N935" s="175"/>
      <c r="O935" s="175"/>
      <c r="P935" s="12"/>
      <c r="Q935" s="175"/>
      <c r="R935" s="12"/>
      <c r="S935" s="12"/>
      <c r="T935" s="175"/>
      <c r="U935" s="179"/>
      <c r="V935" s="208"/>
      <c r="W935" s="12"/>
      <c r="X935" s="12"/>
    </row>
    <row r="936">
      <c r="A936" s="175"/>
      <c r="B936" s="175"/>
      <c r="C936" s="176"/>
      <c r="D936" s="175"/>
      <c r="E936" s="175"/>
      <c r="F936" s="12"/>
      <c r="G936" s="12"/>
      <c r="H936" s="175"/>
      <c r="I936" s="12"/>
      <c r="J936" s="12"/>
      <c r="K936" s="175"/>
      <c r="L936" s="175"/>
      <c r="M936" s="175"/>
      <c r="N936" s="175"/>
      <c r="O936" s="175"/>
      <c r="P936" s="12"/>
      <c r="Q936" s="175"/>
      <c r="R936" s="12"/>
      <c r="S936" s="12"/>
      <c r="T936" s="175"/>
      <c r="U936" s="179"/>
      <c r="V936" s="208"/>
      <c r="W936" s="12"/>
      <c r="X936" s="12"/>
    </row>
    <row r="937">
      <c r="A937" s="175"/>
      <c r="B937" s="175"/>
      <c r="C937" s="176"/>
      <c r="D937" s="175"/>
      <c r="E937" s="175"/>
      <c r="F937" s="12"/>
      <c r="G937" s="12"/>
      <c r="H937" s="175"/>
      <c r="I937" s="12"/>
      <c r="J937" s="12"/>
      <c r="K937" s="175"/>
      <c r="L937" s="175"/>
      <c r="M937" s="175"/>
      <c r="N937" s="175"/>
      <c r="O937" s="175"/>
      <c r="P937" s="12"/>
      <c r="Q937" s="175"/>
      <c r="R937" s="12"/>
      <c r="S937" s="12"/>
      <c r="T937" s="175"/>
      <c r="U937" s="179"/>
      <c r="V937" s="208"/>
      <c r="W937" s="12"/>
      <c r="X937" s="12"/>
    </row>
    <row r="938">
      <c r="A938" s="175"/>
      <c r="B938" s="175"/>
      <c r="C938" s="176"/>
      <c r="D938" s="175"/>
      <c r="E938" s="175"/>
      <c r="F938" s="12"/>
      <c r="G938" s="12"/>
      <c r="H938" s="175"/>
      <c r="I938" s="12"/>
      <c r="J938" s="12"/>
      <c r="K938" s="175"/>
      <c r="L938" s="175"/>
      <c r="M938" s="175"/>
      <c r="N938" s="175"/>
      <c r="O938" s="175"/>
      <c r="P938" s="12"/>
      <c r="Q938" s="175"/>
      <c r="R938" s="12"/>
      <c r="S938" s="12"/>
      <c r="T938" s="175"/>
      <c r="U938" s="179"/>
      <c r="V938" s="208"/>
      <c r="W938" s="12"/>
      <c r="X938" s="12"/>
    </row>
    <row r="939">
      <c r="A939" s="175"/>
      <c r="B939" s="175"/>
      <c r="C939" s="176"/>
      <c r="D939" s="175"/>
      <c r="E939" s="175"/>
      <c r="F939" s="12"/>
      <c r="G939" s="12"/>
      <c r="H939" s="175"/>
      <c r="I939" s="12"/>
      <c r="J939" s="12"/>
      <c r="K939" s="175"/>
      <c r="L939" s="175"/>
      <c r="M939" s="175"/>
      <c r="N939" s="175"/>
      <c r="O939" s="175"/>
      <c r="P939" s="12"/>
      <c r="Q939" s="175"/>
      <c r="R939" s="12"/>
      <c r="S939" s="12"/>
      <c r="T939" s="175"/>
      <c r="U939" s="179"/>
      <c r="V939" s="208"/>
      <c r="W939" s="12"/>
      <c r="X939" s="12"/>
    </row>
    <row r="940">
      <c r="A940" s="175"/>
      <c r="B940" s="175"/>
      <c r="C940" s="176"/>
      <c r="D940" s="175"/>
      <c r="E940" s="175"/>
      <c r="F940" s="12"/>
      <c r="G940" s="12"/>
      <c r="H940" s="175"/>
      <c r="I940" s="12"/>
      <c r="J940" s="12"/>
      <c r="K940" s="175"/>
      <c r="L940" s="175"/>
      <c r="M940" s="175"/>
      <c r="N940" s="175"/>
      <c r="O940" s="175"/>
      <c r="P940" s="12"/>
      <c r="Q940" s="175"/>
      <c r="R940" s="12"/>
      <c r="S940" s="12"/>
      <c r="T940" s="175"/>
      <c r="U940" s="179"/>
      <c r="V940" s="208"/>
      <c r="W940" s="12"/>
      <c r="X940" s="12"/>
    </row>
    <row r="941">
      <c r="A941" s="175"/>
      <c r="B941" s="175"/>
      <c r="C941" s="176"/>
      <c r="D941" s="175"/>
      <c r="E941" s="175"/>
      <c r="F941" s="12"/>
      <c r="G941" s="12"/>
      <c r="H941" s="175"/>
      <c r="I941" s="12"/>
      <c r="J941" s="12"/>
      <c r="K941" s="175"/>
      <c r="L941" s="175"/>
      <c r="M941" s="175"/>
      <c r="N941" s="175"/>
      <c r="O941" s="175"/>
      <c r="P941" s="12"/>
      <c r="Q941" s="175"/>
      <c r="R941" s="12"/>
      <c r="S941" s="12"/>
      <c r="T941" s="175"/>
      <c r="U941" s="179"/>
      <c r="V941" s="208"/>
      <c r="W941" s="12"/>
      <c r="X941" s="12"/>
    </row>
    <row r="942">
      <c r="A942" s="175"/>
      <c r="B942" s="175"/>
      <c r="C942" s="176"/>
      <c r="D942" s="175"/>
      <c r="E942" s="175"/>
      <c r="F942" s="12"/>
      <c r="G942" s="12"/>
      <c r="H942" s="175"/>
      <c r="I942" s="12"/>
      <c r="J942" s="12"/>
      <c r="K942" s="175"/>
      <c r="L942" s="175"/>
      <c r="M942" s="175"/>
      <c r="N942" s="175"/>
      <c r="O942" s="175"/>
      <c r="P942" s="12"/>
      <c r="Q942" s="175"/>
      <c r="R942" s="12"/>
      <c r="S942" s="12"/>
      <c r="T942" s="175"/>
      <c r="U942" s="179"/>
      <c r="V942" s="208"/>
      <c r="W942" s="12"/>
      <c r="X942" s="12"/>
    </row>
    <row r="943">
      <c r="A943" s="175"/>
      <c r="B943" s="175"/>
      <c r="C943" s="176"/>
      <c r="D943" s="175"/>
      <c r="E943" s="175"/>
      <c r="F943" s="12"/>
      <c r="G943" s="12"/>
      <c r="H943" s="175"/>
      <c r="I943" s="12"/>
      <c r="J943" s="12"/>
      <c r="K943" s="175"/>
      <c r="L943" s="175"/>
      <c r="M943" s="175"/>
      <c r="N943" s="175"/>
      <c r="O943" s="175"/>
      <c r="P943" s="12"/>
      <c r="Q943" s="175"/>
      <c r="R943" s="12"/>
      <c r="S943" s="12"/>
      <c r="T943" s="175"/>
      <c r="U943" s="179"/>
      <c r="V943" s="208"/>
      <c r="W943" s="12"/>
      <c r="X943" s="12"/>
    </row>
    <row r="944">
      <c r="A944" s="175"/>
      <c r="B944" s="175"/>
      <c r="C944" s="176"/>
      <c r="D944" s="175"/>
      <c r="E944" s="175"/>
      <c r="F944" s="12"/>
      <c r="G944" s="12"/>
      <c r="H944" s="175"/>
      <c r="I944" s="12"/>
      <c r="J944" s="12"/>
      <c r="K944" s="175"/>
      <c r="L944" s="175"/>
      <c r="M944" s="175"/>
      <c r="N944" s="175"/>
      <c r="O944" s="175"/>
      <c r="P944" s="12"/>
      <c r="Q944" s="175"/>
      <c r="R944" s="12"/>
      <c r="S944" s="12"/>
      <c r="T944" s="175"/>
      <c r="U944" s="179"/>
      <c r="V944" s="208"/>
      <c r="W944" s="12"/>
      <c r="X944" s="12"/>
    </row>
    <row r="945">
      <c r="A945" s="175"/>
      <c r="B945" s="175"/>
      <c r="C945" s="176"/>
      <c r="D945" s="175"/>
      <c r="E945" s="175"/>
      <c r="F945" s="12"/>
      <c r="G945" s="12"/>
      <c r="H945" s="175"/>
      <c r="I945" s="12"/>
      <c r="J945" s="12"/>
      <c r="K945" s="175"/>
      <c r="L945" s="175"/>
      <c r="M945" s="175"/>
      <c r="N945" s="175"/>
      <c r="O945" s="175"/>
      <c r="P945" s="12"/>
      <c r="Q945" s="175"/>
      <c r="R945" s="12"/>
      <c r="S945" s="12"/>
      <c r="T945" s="175"/>
      <c r="U945" s="179"/>
      <c r="V945" s="208"/>
      <c r="W945" s="12"/>
      <c r="X945" s="12"/>
    </row>
    <row r="946">
      <c r="A946" s="175"/>
      <c r="B946" s="175"/>
      <c r="C946" s="176"/>
      <c r="D946" s="175"/>
      <c r="E946" s="175"/>
      <c r="F946" s="12"/>
      <c r="G946" s="12"/>
      <c r="H946" s="175"/>
      <c r="I946" s="12"/>
      <c r="J946" s="12"/>
      <c r="K946" s="175"/>
      <c r="L946" s="175"/>
      <c r="M946" s="175"/>
      <c r="N946" s="175"/>
      <c r="O946" s="175"/>
      <c r="P946" s="12"/>
      <c r="Q946" s="175"/>
      <c r="R946" s="12"/>
      <c r="S946" s="12"/>
      <c r="T946" s="175"/>
      <c r="U946" s="179"/>
      <c r="V946" s="208"/>
      <c r="W946" s="12"/>
      <c r="X946" s="12"/>
    </row>
    <row r="947">
      <c r="A947" s="175"/>
      <c r="B947" s="175"/>
      <c r="C947" s="176"/>
      <c r="D947" s="175"/>
      <c r="E947" s="175"/>
      <c r="F947" s="12"/>
      <c r="G947" s="12"/>
      <c r="H947" s="175"/>
      <c r="I947" s="12"/>
      <c r="J947" s="12"/>
      <c r="K947" s="175"/>
      <c r="L947" s="175"/>
      <c r="M947" s="175"/>
      <c r="N947" s="175"/>
      <c r="O947" s="175"/>
      <c r="P947" s="12"/>
      <c r="Q947" s="175"/>
      <c r="R947" s="12"/>
      <c r="S947" s="12"/>
      <c r="T947" s="175"/>
      <c r="U947" s="179"/>
      <c r="V947" s="208"/>
      <c r="W947" s="12"/>
      <c r="X947" s="12"/>
    </row>
    <row r="948">
      <c r="A948" s="175"/>
      <c r="B948" s="175"/>
      <c r="C948" s="176"/>
      <c r="D948" s="175"/>
      <c r="E948" s="175"/>
      <c r="F948" s="12"/>
      <c r="G948" s="12"/>
      <c r="H948" s="175"/>
      <c r="I948" s="12"/>
      <c r="J948" s="12"/>
      <c r="K948" s="175"/>
      <c r="L948" s="175"/>
      <c r="M948" s="175"/>
      <c r="N948" s="175"/>
      <c r="O948" s="175"/>
      <c r="P948" s="12"/>
      <c r="Q948" s="175"/>
      <c r="R948" s="12"/>
      <c r="S948" s="12"/>
      <c r="T948" s="175"/>
      <c r="U948" s="179"/>
      <c r="V948" s="208"/>
      <c r="W948" s="12"/>
      <c r="X948" s="12"/>
    </row>
    <row r="949">
      <c r="A949" s="175"/>
      <c r="B949" s="175"/>
      <c r="C949" s="176"/>
      <c r="D949" s="175"/>
      <c r="E949" s="175"/>
      <c r="F949" s="12"/>
      <c r="G949" s="12"/>
      <c r="H949" s="175"/>
      <c r="I949" s="12"/>
      <c r="J949" s="12"/>
      <c r="K949" s="175"/>
      <c r="L949" s="175"/>
      <c r="M949" s="175"/>
      <c r="N949" s="175"/>
      <c r="O949" s="175"/>
      <c r="P949" s="12"/>
      <c r="Q949" s="175"/>
      <c r="R949" s="12"/>
      <c r="S949" s="12"/>
      <c r="T949" s="175"/>
      <c r="U949" s="179"/>
      <c r="V949" s="208"/>
      <c r="W949" s="12"/>
      <c r="X949" s="12"/>
    </row>
    <row r="950">
      <c r="A950" s="175"/>
      <c r="B950" s="175"/>
      <c r="C950" s="176"/>
      <c r="D950" s="175"/>
      <c r="E950" s="175"/>
      <c r="F950" s="12"/>
      <c r="G950" s="12"/>
      <c r="H950" s="175"/>
      <c r="I950" s="12"/>
      <c r="J950" s="12"/>
      <c r="K950" s="175"/>
      <c r="L950" s="175"/>
      <c r="M950" s="175"/>
      <c r="N950" s="175"/>
      <c r="O950" s="175"/>
      <c r="P950" s="12"/>
      <c r="Q950" s="175"/>
      <c r="R950" s="12"/>
      <c r="S950" s="12"/>
      <c r="T950" s="175"/>
      <c r="U950" s="179"/>
      <c r="V950" s="208"/>
      <c r="W950" s="12"/>
      <c r="X950" s="12"/>
    </row>
    <row r="951">
      <c r="A951" s="175"/>
      <c r="B951" s="175"/>
      <c r="C951" s="176"/>
      <c r="D951" s="175"/>
      <c r="E951" s="175"/>
      <c r="F951" s="12"/>
      <c r="G951" s="12"/>
      <c r="H951" s="175"/>
      <c r="I951" s="12"/>
      <c r="J951" s="12"/>
      <c r="K951" s="175"/>
      <c r="L951" s="175"/>
      <c r="M951" s="175"/>
      <c r="N951" s="175"/>
      <c r="O951" s="175"/>
      <c r="P951" s="12"/>
      <c r="Q951" s="175"/>
      <c r="R951" s="12"/>
      <c r="S951" s="12"/>
      <c r="T951" s="175"/>
      <c r="U951" s="179"/>
      <c r="V951" s="208"/>
      <c r="W951" s="12"/>
      <c r="X951" s="12"/>
    </row>
    <row r="952">
      <c r="A952" s="175"/>
      <c r="B952" s="175"/>
      <c r="C952" s="176"/>
      <c r="D952" s="175"/>
      <c r="E952" s="175"/>
      <c r="F952" s="12"/>
      <c r="G952" s="12"/>
      <c r="H952" s="175"/>
      <c r="I952" s="12"/>
      <c r="J952" s="12"/>
      <c r="K952" s="175"/>
      <c r="L952" s="175"/>
      <c r="M952" s="175"/>
      <c r="N952" s="175"/>
      <c r="O952" s="175"/>
      <c r="P952" s="12"/>
      <c r="Q952" s="175"/>
      <c r="R952" s="12"/>
      <c r="S952" s="12"/>
      <c r="T952" s="175"/>
      <c r="U952" s="179"/>
      <c r="V952" s="208"/>
      <c r="W952" s="12"/>
      <c r="X952" s="12"/>
    </row>
    <row r="953">
      <c r="A953" s="175"/>
      <c r="B953" s="175"/>
      <c r="C953" s="176"/>
      <c r="D953" s="175"/>
      <c r="E953" s="175"/>
      <c r="F953" s="12"/>
      <c r="G953" s="12"/>
      <c r="H953" s="175"/>
      <c r="I953" s="12"/>
      <c r="J953" s="12"/>
      <c r="K953" s="175"/>
      <c r="L953" s="175"/>
      <c r="M953" s="175"/>
      <c r="N953" s="175"/>
      <c r="O953" s="175"/>
      <c r="P953" s="12"/>
      <c r="Q953" s="175"/>
      <c r="R953" s="12"/>
      <c r="S953" s="12"/>
      <c r="T953" s="175"/>
      <c r="U953" s="179"/>
      <c r="V953" s="208"/>
      <c r="W953" s="12"/>
      <c r="X953" s="12"/>
    </row>
    <row r="954">
      <c r="A954" s="175"/>
      <c r="B954" s="175"/>
      <c r="C954" s="176"/>
      <c r="D954" s="175"/>
      <c r="E954" s="175"/>
      <c r="F954" s="12"/>
      <c r="G954" s="12"/>
      <c r="H954" s="175"/>
      <c r="I954" s="12"/>
      <c r="J954" s="12"/>
      <c r="K954" s="175"/>
      <c r="L954" s="175"/>
      <c r="M954" s="175"/>
      <c r="N954" s="175"/>
      <c r="O954" s="175"/>
      <c r="P954" s="12"/>
      <c r="Q954" s="175"/>
      <c r="R954" s="12"/>
      <c r="S954" s="12"/>
      <c r="T954" s="175"/>
      <c r="U954" s="179"/>
      <c r="V954" s="208"/>
      <c r="W954" s="12"/>
      <c r="X954" s="12"/>
    </row>
    <row r="955">
      <c r="A955" s="175"/>
      <c r="B955" s="175"/>
      <c r="C955" s="176"/>
      <c r="D955" s="175"/>
      <c r="E955" s="175"/>
      <c r="F955" s="12"/>
      <c r="G955" s="12"/>
      <c r="H955" s="175"/>
      <c r="I955" s="12"/>
      <c r="J955" s="12"/>
      <c r="K955" s="175"/>
      <c r="L955" s="175"/>
      <c r="M955" s="175"/>
      <c r="N955" s="175"/>
      <c r="O955" s="175"/>
      <c r="P955" s="12"/>
      <c r="Q955" s="175"/>
      <c r="R955" s="12"/>
      <c r="S955" s="12"/>
      <c r="T955" s="175"/>
      <c r="U955" s="179"/>
      <c r="V955" s="208"/>
      <c r="W955" s="12"/>
      <c r="X955" s="12"/>
    </row>
    <row r="956">
      <c r="A956" s="175"/>
      <c r="B956" s="175"/>
      <c r="C956" s="176"/>
      <c r="D956" s="175"/>
      <c r="E956" s="175"/>
      <c r="F956" s="12"/>
      <c r="G956" s="12"/>
      <c r="H956" s="175"/>
      <c r="I956" s="12"/>
      <c r="J956" s="12"/>
      <c r="K956" s="175"/>
      <c r="L956" s="175"/>
      <c r="M956" s="175"/>
      <c r="N956" s="175"/>
      <c r="O956" s="175"/>
      <c r="P956" s="12"/>
      <c r="Q956" s="175"/>
      <c r="R956" s="12"/>
      <c r="S956" s="12"/>
      <c r="T956" s="175"/>
      <c r="U956" s="179"/>
      <c r="V956" s="208"/>
      <c r="W956" s="12"/>
      <c r="X956" s="12"/>
    </row>
    <row r="957">
      <c r="A957" s="175"/>
      <c r="B957" s="175"/>
      <c r="C957" s="176"/>
      <c r="D957" s="175"/>
      <c r="E957" s="175"/>
      <c r="F957" s="12"/>
      <c r="G957" s="12"/>
      <c r="H957" s="175"/>
      <c r="I957" s="12"/>
      <c r="J957" s="12"/>
      <c r="K957" s="175"/>
      <c r="L957" s="175"/>
      <c r="M957" s="175"/>
      <c r="N957" s="175"/>
      <c r="O957" s="175"/>
      <c r="P957" s="12"/>
      <c r="Q957" s="175"/>
      <c r="R957" s="12"/>
      <c r="S957" s="12"/>
      <c r="T957" s="175"/>
      <c r="U957" s="179"/>
      <c r="V957" s="208"/>
      <c r="W957" s="12"/>
      <c r="X957" s="12"/>
    </row>
    <row r="958">
      <c r="A958" s="175"/>
      <c r="B958" s="175"/>
      <c r="C958" s="176"/>
      <c r="D958" s="175"/>
      <c r="E958" s="175"/>
      <c r="F958" s="12"/>
      <c r="G958" s="12"/>
      <c r="H958" s="175"/>
      <c r="I958" s="12"/>
      <c r="J958" s="12"/>
      <c r="K958" s="175"/>
      <c r="L958" s="175"/>
      <c r="M958" s="175"/>
      <c r="N958" s="175"/>
      <c r="O958" s="175"/>
      <c r="P958" s="12"/>
      <c r="Q958" s="175"/>
      <c r="R958" s="12"/>
      <c r="S958" s="12"/>
      <c r="T958" s="175"/>
      <c r="U958" s="179"/>
      <c r="V958" s="208"/>
      <c r="W958" s="12"/>
      <c r="X958" s="12"/>
    </row>
    <row r="959">
      <c r="A959" s="175"/>
      <c r="B959" s="175"/>
      <c r="C959" s="176"/>
      <c r="D959" s="175"/>
      <c r="E959" s="175"/>
      <c r="F959" s="12"/>
      <c r="G959" s="12"/>
      <c r="H959" s="175"/>
      <c r="I959" s="12"/>
      <c r="J959" s="12"/>
      <c r="K959" s="175"/>
      <c r="L959" s="175"/>
      <c r="M959" s="175"/>
      <c r="N959" s="175"/>
      <c r="O959" s="175"/>
      <c r="P959" s="12"/>
      <c r="Q959" s="175"/>
      <c r="R959" s="12"/>
      <c r="S959" s="12"/>
      <c r="T959" s="175"/>
      <c r="U959" s="179"/>
      <c r="V959" s="208"/>
      <c r="W959" s="12"/>
      <c r="X959" s="12"/>
    </row>
    <row r="960">
      <c r="A960" s="175"/>
      <c r="B960" s="175"/>
      <c r="C960" s="176"/>
      <c r="D960" s="175"/>
      <c r="E960" s="175"/>
      <c r="F960" s="12"/>
      <c r="G960" s="12"/>
      <c r="H960" s="175"/>
      <c r="I960" s="12"/>
      <c r="J960" s="12"/>
      <c r="K960" s="175"/>
      <c r="L960" s="175"/>
      <c r="M960" s="175"/>
      <c r="N960" s="175"/>
      <c r="O960" s="175"/>
      <c r="P960" s="12"/>
      <c r="Q960" s="175"/>
      <c r="R960" s="12"/>
      <c r="S960" s="12"/>
      <c r="T960" s="175"/>
      <c r="U960" s="179"/>
      <c r="V960" s="208"/>
      <c r="W960" s="12"/>
      <c r="X960" s="12"/>
    </row>
    <row r="961">
      <c r="A961" s="175"/>
      <c r="B961" s="175"/>
      <c r="C961" s="176"/>
      <c r="D961" s="175"/>
      <c r="E961" s="175"/>
      <c r="F961" s="12"/>
      <c r="G961" s="12"/>
      <c r="H961" s="175"/>
      <c r="I961" s="12"/>
      <c r="J961" s="12"/>
      <c r="K961" s="175"/>
      <c r="L961" s="175"/>
      <c r="M961" s="175"/>
      <c r="N961" s="175"/>
      <c r="O961" s="175"/>
      <c r="P961" s="12"/>
      <c r="Q961" s="175"/>
      <c r="R961" s="12"/>
      <c r="S961" s="12"/>
      <c r="T961" s="175"/>
      <c r="U961" s="179"/>
      <c r="V961" s="208"/>
      <c r="W961" s="12"/>
      <c r="X961" s="12"/>
    </row>
    <row r="962">
      <c r="A962" s="175"/>
      <c r="B962" s="175"/>
      <c r="C962" s="176"/>
      <c r="D962" s="175"/>
      <c r="E962" s="175"/>
      <c r="F962" s="12"/>
      <c r="G962" s="12"/>
      <c r="H962" s="175"/>
      <c r="I962" s="12"/>
      <c r="J962" s="12"/>
      <c r="K962" s="175"/>
      <c r="L962" s="175"/>
      <c r="M962" s="175"/>
      <c r="N962" s="175"/>
      <c r="O962" s="175"/>
      <c r="P962" s="12"/>
      <c r="Q962" s="175"/>
      <c r="R962" s="12"/>
      <c r="S962" s="12"/>
      <c r="T962" s="175"/>
      <c r="U962" s="179"/>
      <c r="V962" s="208"/>
      <c r="W962" s="12"/>
      <c r="X962" s="12"/>
    </row>
    <row r="963">
      <c r="A963" s="175"/>
      <c r="B963" s="175"/>
      <c r="C963" s="176"/>
      <c r="D963" s="175"/>
      <c r="E963" s="175"/>
      <c r="F963" s="12"/>
      <c r="G963" s="12"/>
      <c r="H963" s="175"/>
      <c r="I963" s="12"/>
      <c r="J963" s="12"/>
      <c r="K963" s="175"/>
      <c r="L963" s="175"/>
      <c r="M963" s="175"/>
      <c r="N963" s="175"/>
      <c r="O963" s="175"/>
      <c r="P963" s="12"/>
      <c r="Q963" s="175"/>
      <c r="R963" s="12"/>
      <c r="S963" s="12"/>
      <c r="T963" s="175"/>
      <c r="U963" s="179"/>
      <c r="V963" s="208"/>
      <c r="W963" s="12"/>
      <c r="X963" s="12"/>
    </row>
    <row r="964">
      <c r="A964" s="175"/>
      <c r="B964" s="175"/>
      <c r="C964" s="176"/>
      <c r="D964" s="175"/>
      <c r="E964" s="175"/>
      <c r="F964" s="12"/>
      <c r="G964" s="12"/>
      <c r="H964" s="175"/>
      <c r="I964" s="12"/>
      <c r="J964" s="12"/>
      <c r="K964" s="175"/>
      <c r="L964" s="175"/>
      <c r="M964" s="175"/>
      <c r="N964" s="175"/>
      <c r="O964" s="175"/>
      <c r="P964" s="12"/>
      <c r="Q964" s="175"/>
      <c r="R964" s="12"/>
      <c r="S964" s="12"/>
      <c r="T964" s="175"/>
      <c r="U964" s="179"/>
      <c r="V964" s="208"/>
      <c r="W964" s="12"/>
      <c r="X964" s="12"/>
    </row>
    <row r="965">
      <c r="A965" s="175"/>
      <c r="B965" s="175"/>
      <c r="C965" s="176"/>
      <c r="D965" s="175"/>
      <c r="E965" s="175"/>
      <c r="F965" s="12"/>
      <c r="G965" s="12"/>
      <c r="H965" s="175"/>
      <c r="I965" s="12"/>
      <c r="J965" s="12"/>
      <c r="K965" s="175"/>
      <c r="L965" s="175"/>
      <c r="M965" s="175"/>
      <c r="N965" s="175"/>
      <c r="O965" s="175"/>
      <c r="P965" s="12"/>
      <c r="Q965" s="175"/>
      <c r="R965" s="12"/>
      <c r="S965" s="12"/>
      <c r="T965" s="175"/>
      <c r="U965" s="179"/>
      <c r="V965" s="208"/>
      <c r="W965" s="12"/>
      <c r="X965" s="12"/>
    </row>
    <row r="966">
      <c r="A966" s="175"/>
      <c r="B966" s="175"/>
      <c r="C966" s="176"/>
      <c r="D966" s="175"/>
      <c r="E966" s="175"/>
      <c r="F966" s="12"/>
      <c r="G966" s="12"/>
      <c r="H966" s="175"/>
      <c r="I966" s="12"/>
      <c r="J966" s="12"/>
      <c r="K966" s="175"/>
      <c r="L966" s="175"/>
      <c r="M966" s="175"/>
      <c r="N966" s="175"/>
      <c r="O966" s="175"/>
      <c r="P966" s="12"/>
      <c r="Q966" s="175"/>
      <c r="R966" s="12"/>
      <c r="S966" s="12"/>
      <c r="T966" s="175"/>
      <c r="U966" s="179"/>
      <c r="V966" s="208"/>
      <c r="W966" s="12"/>
      <c r="X966" s="12"/>
    </row>
    <row r="967">
      <c r="A967" s="175"/>
      <c r="B967" s="175"/>
      <c r="C967" s="176"/>
      <c r="D967" s="175"/>
      <c r="E967" s="175"/>
      <c r="F967" s="12"/>
      <c r="G967" s="12"/>
      <c r="H967" s="175"/>
      <c r="I967" s="12"/>
      <c r="J967" s="12"/>
      <c r="K967" s="175"/>
      <c r="L967" s="175"/>
      <c r="M967" s="175"/>
      <c r="N967" s="175"/>
      <c r="O967" s="175"/>
      <c r="P967" s="12"/>
      <c r="Q967" s="175"/>
      <c r="R967" s="12"/>
      <c r="S967" s="12"/>
      <c r="T967" s="175"/>
      <c r="U967" s="179"/>
      <c r="V967" s="208"/>
      <c r="W967" s="12"/>
      <c r="X967" s="12"/>
    </row>
    <row r="968">
      <c r="A968" s="175"/>
      <c r="B968" s="175"/>
      <c r="C968" s="176"/>
      <c r="D968" s="175"/>
      <c r="E968" s="175"/>
      <c r="F968" s="12"/>
      <c r="G968" s="12"/>
      <c r="H968" s="175"/>
      <c r="I968" s="12"/>
      <c r="J968" s="12"/>
      <c r="K968" s="175"/>
      <c r="L968" s="175"/>
      <c r="M968" s="175"/>
      <c r="N968" s="175"/>
      <c r="O968" s="175"/>
      <c r="P968" s="12"/>
      <c r="Q968" s="175"/>
      <c r="R968" s="12"/>
      <c r="S968" s="12"/>
      <c r="T968" s="175"/>
      <c r="U968" s="179"/>
      <c r="V968" s="208"/>
      <c r="W968" s="12"/>
      <c r="X968" s="12"/>
    </row>
    <row r="969">
      <c r="A969" s="175"/>
      <c r="B969" s="175"/>
      <c r="C969" s="176"/>
      <c r="D969" s="175"/>
      <c r="E969" s="175"/>
      <c r="F969" s="12"/>
      <c r="G969" s="12"/>
      <c r="H969" s="175"/>
      <c r="I969" s="12"/>
      <c r="J969" s="12"/>
      <c r="K969" s="175"/>
      <c r="L969" s="175"/>
      <c r="M969" s="175"/>
      <c r="N969" s="175"/>
      <c r="O969" s="175"/>
      <c r="P969" s="12"/>
      <c r="Q969" s="175"/>
      <c r="R969" s="12"/>
      <c r="S969" s="12"/>
      <c r="T969" s="175"/>
      <c r="U969" s="179"/>
      <c r="V969" s="208"/>
      <c r="W969" s="12"/>
      <c r="X969" s="12"/>
    </row>
    <row r="970">
      <c r="A970" s="175"/>
      <c r="B970" s="175"/>
      <c r="C970" s="176"/>
      <c r="D970" s="175"/>
      <c r="E970" s="175"/>
      <c r="F970" s="12"/>
      <c r="G970" s="12"/>
      <c r="H970" s="175"/>
      <c r="I970" s="12"/>
      <c r="J970" s="12"/>
      <c r="K970" s="175"/>
      <c r="L970" s="175"/>
      <c r="M970" s="175"/>
      <c r="N970" s="175"/>
      <c r="O970" s="175"/>
      <c r="P970" s="12"/>
      <c r="Q970" s="175"/>
      <c r="R970" s="12"/>
      <c r="S970" s="12"/>
      <c r="T970" s="175"/>
      <c r="U970" s="179"/>
      <c r="V970" s="208"/>
      <c r="W970" s="12"/>
      <c r="X970" s="12"/>
    </row>
    <row r="971">
      <c r="A971" s="175"/>
      <c r="B971" s="175"/>
      <c r="C971" s="176"/>
      <c r="D971" s="175"/>
      <c r="E971" s="175"/>
      <c r="F971" s="12"/>
      <c r="G971" s="12"/>
      <c r="H971" s="175"/>
      <c r="I971" s="12"/>
      <c r="J971" s="12"/>
      <c r="K971" s="175"/>
      <c r="L971" s="175"/>
      <c r="M971" s="175"/>
      <c r="N971" s="175"/>
      <c r="O971" s="175"/>
      <c r="P971" s="12"/>
      <c r="Q971" s="175"/>
      <c r="R971" s="12"/>
      <c r="S971" s="12"/>
      <c r="T971" s="175"/>
      <c r="U971" s="179"/>
      <c r="V971" s="208"/>
      <c r="W971" s="12"/>
      <c r="X971" s="12"/>
    </row>
    <row r="972">
      <c r="A972" s="175"/>
      <c r="B972" s="175"/>
      <c r="C972" s="176"/>
      <c r="D972" s="175"/>
      <c r="E972" s="175"/>
      <c r="F972" s="12"/>
      <c r="G972" s="12"/>
      <c r="H972" s="175"/>
      <c r="I972" s="12"/>
      <c r="J972" s="12"/>
      <c r="K972" s="175"/>
      <c r="L972" s="175"/>
      <c r="M972" s="175"/>
      <c r="N972" s="175"/>
      <c r="O972" s="175"/>
      <c r="P972" s="12"/>
      <c r="Q972" s="175"/>
      <c r="R972" s="12"/>
      <c r="S972" s="12"/>
      <c r="T972" s="175"/>
      <c r="U972" s="179"/>
      <c r="V972" s="208"/>
      <c r="W972" s="12"/>
      <c r="X972" s="12"/>
    </row>
    <row r="973">
      <c r="A973" s="175"/>
      <c r="B973" s="175"/>
      <c r="C973" s="176"/>
      <c r="D973" s="175"/>
      <c r="E973" s="175"/>
      <c r="F973" s="12"/>
      <c r="G973" s="12"/>
      <c r="H973" s="175"/>
      <c r="I973" s="12"/>
      <c r="J973" s="12"/>
      <c r="K973" s="175"/>
      <c r="L973" s="175"/>
      <c r="M973" s="175"/>
      <c r="N973" s="175"/>
      <c r="O973" s="175"/>
      <c r="P973" s="12"/>
      <c r="Q973" s="175"/>
      <c r="R973" s="12"/>
      <c r="S973" s="12"/>
      <c r="T973" s="175"/>
      <c r="U973" s="179"/>
      <c r="V973" s="208"/>
      <c r="W973" s="12"/>
      <c r="X973" s="12"/>
    </row>
    <row r="974">
      <c r="A974" s="175"/>
      <c r="B974" s="175"/>
      <c r="C974" s="176"/>
      <c r="D974" s="175"/>
      <c r="E974" s="175"/>
      <c r="F974" s="12"/>
      <c r="G974" s="12"/>
      <c r="H974" s="175"/>
      <c r="I974" s="12"/>
      <c r="J974" s="12"/>
      <c r="K974" s="175"/>
      <c r="L974" s="175"/>
      <c r="M974" s="175"/>
      <c r="N974" s="175"/>
      <c r="O974" s="175"/>
      <c r="P974" s="12"/>
      <c r="Q974" s="175"/>
      <c r="R974" s="12"/>
      <c r="S974" s="12"/>
      <c r="T974" s="175"/>
      <c r="U974" s="179"/>
      <c r="V974" s="208"/>
      <c r="W974" s="12"/>
      <c r="X974" s="12"/>
    </row>
    <row r="975">
      <c r="A975" s="175"/>
      <c r="B975" s="175"/>
      <c r="C975" s="176"/>
      <c r="D975" s="175"/>
      <c r="E975" s="175"/>
      <c r="F975" s="12"/>
      <c r="G975" s="12"/>
      <c r="H975" s="175"/>
      <c r="I975" s="12"/>
      <c r="J975" s="12"/>
      <c r="K975" s="175"/>
      <c r="L975" s="175"/>
      <c r="M975" s="175"/>
      <c r="N975" s="175"/>
      <c r="O975" s="175"/>
      <c r="P975" s="12"/>
      <c r="Q975" s="175"/>
      <c r="R975" s="12"/>
      <c r="S975" s="12"/>
      <c r="T975" s="175"/>
      <c r="U975" s="179"/>
      <c r="V975" s="208"/>
      <c r="W975" s="12"/>
      <c r="X975" s="12"/>
    </row>
    <row r="976">
      <c r="A976" s="175"/>
      <c r="B976" s="175"/>
      <c r="C976" s="176"/>
      <c r="D976" s="175"/>
      <c r="E976" s="175"/>
      <c r="F976" s="12"/>
      <c r="G976" s="12"/>
      <c r="H976" s="175"/>
      <c r="I976" s="12"/>
      <c r="J976" s="12"/>
      <c r="K976" s="175"/>
      <c r="L976" s="175"/>
      <c r="M976" s="175"/>
      <c r="N976" s="175"/>
      <c r="O976" s="175"/>
      <c r="P976" s="12"/>
      <c r="Q976" s="175"/>
      <c r="R976" s="12"/>
      <c r="S976" s="12"/>
      <c r="T976" s="175"/>
      <c r="U976" s="179"/>
      <c r="V976" s="208"/>
      <c r="W976" s="12"/>
      <c r="X976" s="12"/>
    </row>
    <row r="977">
      <c r="A977" s="175"/>
      <c r="B977" s="175"/>
      <c r="C977" s="176"/>
      <c r="D977" s="175"/>
      <c r="E977" s="175"/>
      <c r="F977" s="12"/>
      <c r="G977" s="12"/>
      <c r="H977" s="175"/>
      <c r="I977" s="12"/>
      <c r="J977" s="12"/>
      <c r="K977" s="175"/>
      <c r="L977" s="175"/>
      <c r="M977" s="175"/>
      <c r="N977" s="175"/>
      <c r="O977" s="175"/>
      <c r="P977" s="12"/>
      <c r="Q977" s="175"/>
      <c r="R977" s="12"/>
      <c r="S977" s="12"/>
      <c r="T977" s="175"/>
      <c r="U977" s="179"/>
      <c r="V977" s="208"/>
      <c r="W977" s="12"/>
      <c r="X977" s="12"/>
    </row>
    <row r="978">
      <c r="A978" s="175"/>
      <c r="B978" s="175"/>
      <c r="C978" s="176"/>
      <c r="D978" s="175"/>
      <c r="E978" s="175"/>
      <c r="F978" s="12"/>
      <c r="G978" s="12"/>
      <c r="H978" s="175"/>
      <c r="I978" s="12"/>
      <c r="J978" s="12"/>
      <c r="K978" s="175"/>
      <c r="L978" s="175"/>
      <c r="M978" s="175"/>
      <c r="N978" s="175"/>
      <c r="O978" s="175"/>
      <c r="P978" s="12"/>
      <c r="Q978" s="175"/>
      <c r="R978" s="12"/>
      <c r="S978" s="12"/>
      <c r="T978" s="175"/>
      <c r="U978" s="179"/>
      <c r="V978" s="208"/>
      <c r="W978" s="12"/>
      <c r="X978" s="12"/>
    </row>
    <row r="979">
      <c r="A979" s="175"/>
      <c r="B979" s="175"/>
      <c r="C979" s="176"/>
      <c r="D979" s="175"/>
      <c r="E979" s="175"/>
      <c r="F979" s="12"/>
      <c r="G979" s="12"/>
      <c r="H979" s="175"/>
      <c r="I979" s="12"/>
      <c r="J979" s="12"/>
      <c r="K979" s="175"/>
      <c r="L979" s="175"/>
      <c r="M979" s="175"/>
      <c r="N979" s="175"/>
      <c r="O979" s="175"/>
      <c r="P979" s="12"/>
      <c r="Q979" s="175"/>
      <c r="R979" s="12"/>
      <c r="S979" s="12"/>
      <c r="T979" s="175"/>
      <c r="U979" s="179"/>
      <c r="V979" s="208"/>
      <c r="W979" s="12"/>
      <c r="X979" s="12"/>
    </row>
    <row r="980">
      <c r="A980" s="175"/>
      <c r="B980" s="175"/>
      <c r="C980" s="176"/>
      <c r="D980" s="175"/>
      <c r="E980" s="175"/>
      <c r="F980" s="12"/>
      <c r="G980" s="12"/>
      <c r="H980" s="175"/>
      <c r="I980" s="12"/>
      <c r="J980" s="12"/>
      <c r="K980" s="175"/>
      <c r="L980" s="175"/>
      <c r="M980" s="175"/>
      <c r="N980" s="175"/>
      <c r="O980" s="175"/>
      <c r="P980" s="12"/>
      <c r="Q980" s="175"/>
      <c r="R980" s="12"/>
      <c r="S980" s="12"/>
      <c r="T980" s="175"/>
      <c r="U980" s="179"/>
      <c r="V980" s="208"/>
      <c r="W980" s="12"/>
      <c r="X980" s="12"/>
    </row>
    <row r="981">
      <c r="A981" s="175"/>
      <c r="B981" s="175"/>
      <c r="C981" s="176"/>
      <c r="D981" s="175"/>
      <c r="E981" s="175"/>
      <c r="F981" s="12"/>
      <c r="G981" s="12"/>
      <c r="H981" s="175"/>
      <c r="I981" s="12"/>
      <c r="J981" s="12"/>
      <c r="K981" s="175"/>
      <c r="L981" s="175"/>
      <c r="M981" s="175"/>
      <c r="N981" s="175"/>
      <c r="O981" s="175"/>
      <c r="P981" s="12"/>
      <c r="Q981" s="175"/>
      <c r="R981" s="12"/>
      <c r="S981" s="12"/>
      <c r="T981" s="175"/>
      <c r="U981" s="179"/>
      <c r="V981" s="208"/>
      <c r="W981" s="12"/>
      <c r="X981" s="12"/>
    </row>
    <row r="982">
      <c r="A982" s="175"/>
      <c r="B982" s="175"/>
      <c r="C982" s="176"/>
      <c r="D982" s="175"/>
      <c r="E982" s="175"/>
      <c r="F982" s="12"/>
      <c r="G982" s="12"/>
      <c r="H982" s="175"/>
      <c r="I982" s="12"/>
      <c r="J982" s="12"/>
      <c r="K982" s="175"/>
      <c r="L982" s="175"/>
      <c r="M982" s="175"/>
      <c r="N982" s="175"/>
      <c r="O982" s="175"/>
      <c r="P982" s="12"/>
      <c r="Q982" s="175"/>
      <c r="R982" s="12"/>
      <c r="S982" s="12"/>
      <c r="T982" s="175"/>
      <c r="U982" s="179"/>
      <c r="V982" s="208"/>
      <c r="W982" s="12"/>
      <c r="X982" s="12"/>
    </row>
    <row r="983">
      <c r="A983" s="175"/>
      <c r="B983" s="175"/>
      <c r="C983" s="176"/>
      <c r="D983" s="175"/>
      <c r="E983" s="175"/>
      <c r="F983" s="12"/>
      <c r="G983" s="12"/>
      <c r="H983" s="175"/>
      <c r="I983" s="12"/>
      <c r="J983" s="12"/>
      <c r="K983" s="175"/>
      <c r="L983" s="175"/>
      <c r="M983" s="175"/>
      <c r="N983" s="175"/>
      <c r="O983" s="175"/>
      <c r="P983" s="12"/>
      <c r="Q983" s="175"/>
      <c r="R983" s="12"/>
      <c r="S983" s="12"/>
      <c r="T983" s="175"/>
      <c r="U983" s="179"/>
      <c r="V983" s="208"/>
      <c r="W983" s="12"/>
      <c r="X983" s="12"/>
    </row>
    <row r="984">
      <c r="A984" s="175"/>
      <c r="B984" s="175"/>
      <c r="C984" s="176"/>
      <c r="D984" s="175"/>
      <c r="E984" s="175"/>
      <c r="F984" s="12"/>
      <c r="G984" s="12"/>
      <c r="H984" s="175"/>
      <c r="I984" s="12"/>
      <c r="J984" s="12"/>
      <c r="K984" s="175"/>
      <c r="L984" s="175"/>
      <c r="M984" s="175"/>
      <c r="N984" s="175"/>
      <c r="O984" s="175"/>
      <c r="P984" s="12"/>
      <c r="Q984" s="175"/>
      <c r="R984" s="12"/>
      <c r="S984" s="12"/>
      <c r="T984" s="175"/>
      <c r="U984" s="179"/>
      <c r="V984" s="208"/>
      <c r="W984" s="12"/>
      <c r="X984" s="12"/>
    </row>
    <row r="985">
      <c r="A985" s="175"/>
      <c r="B985" s="175"/>
      <c r="C985" s="176"/>
      <c r="D985" s="175"/>
      <c r="E985" s="175"/>
      <c r="F985" s="12"/>
      <c r="G985" s="12"/>
      <c r="H985" s="175"/>
      <c r="I985" s="12"/>
      <c r="J985" s="12"/>
      <c r="K985" s="175"/>
      <c r="L985" s="175"/>
      <c r="M985" s="175"/>
      <c r="N985" s="175"/>
      <c r="O985" s="175"/>
      <c r="P985" s="12"/>
      <c r="Q985" s="175"/>
      <c r="R985" s="12"/>
      <c r="S985" s="12"/>
      <c r="T985" s="175"/>
      <c r="U985" s="179"/>
      <c r="V985" s="208"/>
      <c r="W985" s="12"/>
      <c r="X985" s="12"/>
    </row>
    <row r="986">
      <c r="A986" s="175"/>
      <c r="B986" s="175"/>
      <c r="C986" s="176"/>
      <c r="D986" s="175"/>
      <c r="E986" s="175"/>
      <c r="F986" s="12"/>
      <c r="G986" s="12"/>
      <c r="H986" s="175"/>
      <c r="I986" s="12"/>
      <c r="J986" s="12"/>
      <c r="K986" s="175"/>
      <c r="L986" s="175"/>
      <c r="M986" s="175"/>
      <c r="N986" s="175"/>
      <c r="O986" s="175"/>
      <c r="P986" s="12"/>
      <c r="Q986" s="175"/>
      <c r="R986" s="12"/>
      <c r="S986" s="12"/>
      <c r="T986" s="175"/>
      <c r="U986" s="179"/>
      <c r="V986" s="208"/>
      <c r="W986" s="12"/>
      <c r="X986" s="12"/>
    </row>
    <row r="987">
      <c r="A987" s="175"/>
      <c r="B987" s="175"/>
      <c r="C987" s="176"/>
      <c r="D987" s="175"/>
      <c r="E987" s="175"/>
      <c r="F987" s="12"/>
      <c r="G987" s="12"/>
      <c r="H987" s="175"/>
      <c r="I987" s="12"/>
      <c r="J987" s="12"/>
      <c r="K987" s="175"/>
      <c r="L987" s="175"/>
      <c r="M987" s="175"/>
      <c r="N987" s="175"/>
      <c r="O987" s="175"/>
      <c r="P987" s="12"/>
      <c r="Q987" s="175"/>
      <c r="R987" s="12"/>
      <c r="S987" s="12"/>
      <c r="T987" s="175"/>
      <c r="U987" s="179"/>
      <c r="V987" s="208"/>
      <c r="W987" s="12"/>
      <c r="X987" s="12"/>
    </row>
    <row r="988">
      <c r="A988" s="175"/>
      <c r="B988" s="175"/>
      <c r="C988" s="176"/>
      <c r="D988" s="175"/>
      <c r="E988" s="175"/>
      <c r="F988" s="12"/>
      <c r="G988" s="12"/>
      <c r="H988" s="175"/>
      <c r="I988" s="12"/>
      <c r="J988" s="12"/>
      <c r="K988" s="175"/>
      <c r="L988" s="175"/>
      <c r="M988" s="175"/>
      <c r="N988" s="175"/>
      <c r="O988" s="175"/>
      <c r="P988" s="12"/>
      <c r="Q988" s="175"/>
      <c r="R988" s="12"/>
      <c r="S988" s="12"/>
      <c r="T988" s="175"/>
      <c r="U988" s="179"/>
      <c r="V988" s="208"/>
      <c r="W988" s="12"/>
      <c r="X988" s="12"/>
    </row>
    <row r="989">
      <c r="A989" s="175"/>
      <c r="B989" s="175"/>
      <c r="C989" s="176"/>
      <c r="D989" s="175"/>
      <c r="E989" s="175"/>
      <c r="F989" s="12"/>
      <c r="G989" s="12"/>
      <c r="H989" s="175"/>
      <c r="I989" s="12"/>
      <c r="J989" s="12"/>
      <c r="K989" s="175"/>
      <c r="L989" s="175"/>
      <c r="M989" s="175"/>
      <c r="N989" s="175"/>
      <c r="O989" s="175"/>
      <c r="P989" s="12"/>
      <c r="Q989" s="175"/>
      <c r="R989" s="12"/>
      <c r="S989" s="12"/>
      <c r="T989" s="175"/>
      <c r="U989" s="179"/>
      <c r="V989" s="208"/>
      <c r="W989" s="12"/>
      <c r="X989" s="12"/>
    </row>
    <row r="990">
      <c r="A990" s="175"/>
      <c r="B990" s="175"/>
      <c r="C990" s="176"/>
      <c r="D990" s="175"/>
      <c r="E990" s="175"/>
      <c r="F990" s="12"/>
      <c r="G990" s="12"/>
      <c r="H990" s="175"/>
      <c r="I990" s="12"/>
      <c r="J990" s="12"/>
      <c r="K990" s="175"/>
      <c r="L990" s="175"/>
      <c r="M990" s="175"/>
      <c r="N990" s="175"/>
      <c r="O990" s="175"/>
      <c r="P990" s="12"/>
      <c r="Q990" s="175"/>
      <c r="R990" s="12"/>
      <c r="S990" s="12"/>
      <c r="T990" s="175"/>
      <c r="U990" s="179"/>
      <c r="V990" s="208"/>
      <c r="W990" s="12"/>
      <c r="X990" s="12"/>
    </row>
    <row r="991">
      <c r="A991" s="175"/>
      <c r="B991" s="175"/>
      <c r="C991" s="176"/>
      <c r="D991" s="175"/>
      <c r="E991" s="175"/>
      <c r="F991" s="12"/>
      <c r="G991" s="12"/>
      <c r="H991" s="175"/>
      <c r="I991" s="12"/>
      <c r="J991" s="12"/>
      <c r="K991" s="175"/>
      <c r="L991" s="175"/>
      <c r="M991" s="175"/>
      <c r="N991" s="175"/>
      <c r="O991" s="175"/>
      <c r="P991" s="12"/>
      <c r="Q991" s="175"/>
      <c r="R991" s="12"/>
      <c r="S991" s="12"/>
      <c r="T991" s="175"/>
      <c r="U991" s="179"/>
      <c r="V991" s="208"/>
      <c r="W991" s="12"/>
      <c r="X991" s="12"/>
    </row>
    <row r="992">
      <c r="A992" s="175"/>
      <c r="B992" s="175"/>
      <c r="C992" s="176"/>
      <c r="D992" s="175"/>
      <c r="E992" s="175"/>
      <c r="F992" s="12"/>
      <c r="G992" s="12"/>
      <c r="H992" s="175"/>
      <c r="I992" s="12"/>
      <c r="J992" s="12"/>
      <c r="K992" s="175"/>
      <c r="L992" s="175"/>
      <c r="M992" s="175"/>
      <c r="N992" s="175"/>
      <c r="O992" s="175"/>
      <c r="P992" s="12"/>
      <c r="Q992" s="175"/>
      <c r="R992" s="12"/>
      <c r="S992" s="12"/>
      <c r="T992" s="175"/>
      <c r="U992" s="179"/>
      <c r="V992" s="208"/>
      <c r="W992" s="12"/>
      <c r="X992" s="12"/>
    </row>
    <row r="993">
      <c r="A993" s="175"/>
      <c r="B993" s="175"/>
      <c r="C993" s="176"/>
      <c r="D993" s="175"/>
      <c r="E993" s="175"/>
      <c r="F993" s="12"/>
      <c r="G993" s="12"/>
      <c r="H993" s="175"/>
      <c r="I993" s="12"/>
      <c r="J993" s="12"/>
      <c r="K993" s="175"/>
      <c r="L993" s="175"/>
      <c r="M993" s="175"/>
      <c r="N993" s="175"/>
      <c r="O993" s="175"/>
      <c r="P993" s="12"/>
      <c r="Q993" s="175"/>
      <c r="R993" s="12"/>
      <c r="S993" s="12"/>
      <c r="T993" s="175"/>
      <c r="U993" s="179"/>
      <c r="V993" s="208"/>
      <c r="W993" s="12"/>
      <c r="X993" s="12"/>
    </row>
    <row r="994">
      <c r="A994" s="175"/>
      <c r="B994" s="175"/>
      <c r="C994" s="176"/>
      <c r="D994" s="175"/>
      <c r="E994" s="175"/>
      <c r="F994" s="12"/>
      <c r="G994" s="12"/>
      <c r="H994" s="175"/>
      <c r="I994" s="12"/>
      <c r="J994" s="12"/>
      <c r="K994" s="175"/>
      <c r="L994" s="175"/>
      <c r="M994" s="175"/>
      <c r="N994" s="175"/>
      <c r="O994" s="175"/>
      <c r="P994" s="12"/>
      <c r="Q994" s="175"/>
      <c r="R994" s="12"/>
      <c r="S994" s="12"/>
      <c r="T994" s="175"/>
      <c r="U994" s="179"/>
      <c r="V994" s="208"/>
      <c r="W994" s="12"/>
      <c r="X994" s="12"/>
    </row>
    <row r="995">
      <c r="A995" s="175"/>
      <c r="B995" s="175"/>
      <c r="C995" s="176"/>
      <c r="D995" s="175"/>
      <c r="E995" s="175"/>
      <c r="F995" s="12"/>
      <c r="G995" s="12"/>
      <c r="H995" s="175"/>
      <c r="I995" s="12"/>
      <c r="J995" s="12"/>
      <c r="K995" s="175"/>
      <c r="L995" s="175"/>
      <c r="M995" s="175"/>
      <c r="N995" s="175"/>
      <c r="O995" s="175"/>
      <c r="P995" s="12"/>
      <c r="Q995" s="175"/>
      <c r="R995" s="12"/>
      <c r="S995" s="12"/>
      <c r="T995" s="175"/>
      <c r="U995" s="179"/>
      <c r="V995" s="208"/>
      <c r="W995" s="12"/>
      <c r="X995" s="12"/>
    </row>
    <row r="996">
      <c r="A996" s="175"/>
      <c r="B996" s="175"/>
      <c r="C996" s="176"/>
      <c r="D996" s="175"/>
      <c r="E996" s="175"/>
      <c r="F996" s="12"/>
      <c r="G996" s="12"/>
      <c r="H996" s="175"/>
      <c r="I996" s="12"/>
      <c r="J996" s="12"/>
      <c r="K996" s="175"/>
      <c r="L996" s="175"/>
      <c r="M996" s="175"/>
      <c r="N996" s="175"/>
      <c r="O996" s="175"/>
      <c r="P996" s="12"/>
      <c r="Q996" s="175"/>
      <c r="R996" s="12"/>
      <c r="S996" s="12"/>
      <c r="T996" s="175"/>
      <c r="U996" s="179"/>
      <c r="V996" s="208"/>
      <c r="W996" s="12"/>
      <c r="X996" s="12"/>
    </row>
    <row r="997">
      <c r="A997" s="175"/>
      <c r="B997" s="175"/>
      <c r="C997" s="176"/>
      <c r="D997" s="175"/>
      <c r="E997" s="175"/>
      <c r="F997" s="12"/>
      <c r="G997" s="12"/>
      <c r="H997" s="175"/>
      <c r="I997" s="12"/>
      <c r="J997" s="12"/>
      <c r="K997" s="175"/>
      <c r="L997" s="175"/>
      <c r="M997" s="175"/>
      <c r="N997" s="175"/>
      <c r="O997" s="175"/>
      <c r="P997" s="12"/>
      <c r="Q997" s="175"/>
      <c r="R997" s="12"/>
      <c r="S997" s="12"/>
      <c r="T997" s="175"/>
      <c r="U997" s="179"/>
      <c r="V997" s="208"/>
      <c r="W997" s="12"/>
      <c r="X997" s="12"/>
    </row>
    <row r="998">
      <c r="A998" s="175"/>
      <c r="B998" s="175"/>
      <c r="C998" s="176"/>
      <c r="D998" s="175"/>
      <c r="E998" s="175"/>
      <c r="F998" s="12"/>
      <c r="G998" s="12"/>
      <c r="H998" s="175"/>
      <c r="I998" s="12"/>
      <c r="J998" s="12"/>
      <c r="K998" s="175"/>
      <c r="L998" s="175"/>
      <c r="M998" s="175"/>
      <c r="N998" s="175"/>
      <c r="O998" s="175"/>
      <c r="P998" s="12"/>
      <c r="Q998" s="175"/>
      <c r="R998" s="12"/>
      <c r="S998" s="12"/>
      <c r="T998" s="175"/>
      <c r="U998" s="179"/>
      <c r="V998" s="208"/>
      <c r="W998" s="12"/>
      <c r="X998" s="12"/>
    </row>
    <row r="999">
      <c r="A999" s="175"/>
      <c r="B999" s="175"/>
      <c r="C999" s="176"/>
      <c r="D999" s="175"/>
      <c r="E999" s="175"/>
      <c r="F999" s="12"/>
      <c r="G999" s="12"/>
      <c r="H999" s="175"/>
      <c r="I999" s="12"/>
      <c r="J999" s="12"/>
      <c r="K999" s="175"/>
      <c r="L999" s="175"/>
      <c r="M999" s="175"/>
      <c r="N999" s="175"/>
      <c r="O999" s="175"/>
      <c r="P999" s="12"/>
      <c r="Q999" s="175"/>
      <c r="R999" s="12"/>
      <c r="S999" s="12"/>
      <c r="T999" s="175"/>
      <c r="U999" s="179"/>
      <c r="V999" s="208"/>
      <c r="W999" s="12"/>
      <c r="X999" s="12"/>
    </row>
    <row r="1000">
      <c r="A1000" s="175"/>
      <c r="B1000" s="175"/>
      <c r="C1000" s="176"/>
      <c r="D1000" s="175"/>
      <c r="E1000" s="175"/>
      <c r="F1000" s="12"/>
      <c r="G1000" s="12"/>
      <c r="H1000" s="175"/>
      <c r="I1000" s="12"/>
      <c r="J1000" s="12"/>
      <c r="K1000" s="175"/>
      <c r="L1000" s="175"/>
      <c r="M1000" s="175"/>
      <c r="N1000" s="175"/>
      <c r="O1000" s="175"/>
      <c r="P1000" s="12"/>
      <c r="Q1000" s="175"/>
      <c r="R1000" s="12"/>
      <c r="S1000" s="12"/>
      <c r="T1000" s="175"/>
      <c r="U1000" s="179"/>
      <c r="V1000" s="209"/>
      <c r="W1000" s="12"/>
      <c r="X1000" s="12"/>
    </row>
  </sheetData>
  <mergeCells count="2">
    <mergeCell ref="P1:R1"/>
    <mergeCell ref="S1:U1"/>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1.0"/>
    <col customWidth="1" min="2" max="2" width="10.13"/>
    <col customWidth="1" min="3" max="3" width="38.38"/>
    <col customWidth="1" min="11" max="11" width="9.88"/>
  </cols>
  <sheetData>
    <row r="1">
      <c r="A1" s="210" t="s">
        <v>219</v>
      </c>
      <c r="B1" s="211"/>
      <c r="C1" s="210" t="s">
        <v>219</v>
      </c>
      <c r="D1" s="212"/>
      <c r="E1" s="213"/>
      <c r="F1" s="213"/>
      <c r="G1" s="213"/>
      <c r="H1" s="210" t="s">
        <v>219</v>
      </c>
      <c r="I1" s="210" t="s">
        <v>219</v>
      </c>
      <c r="J1" s="210" t="s">
        <v>219</v>
      </c>
      <c r="K1" s="214" t="s">
        <v>219</v>
      </c>
      <c r="L1" s="213"/>
      <c r="M1" s="213"/>
      <c r="N1" s="213"/>
      <c r="O1" s="215" t="s">
        <v>203</v>
      </c>
      <c r="R1" s="216" t="s">
        <v>204</v>
      </c>
      <c r="U1" s="215" t="s">
        <v>220</v>
      </c>
    </row>
    <row r="2">
      <c r="A2" s="217" t="s">
        <v>221</v>
      </c>
      <c r="B2" s="218" t="s">
        <v>222</v>
      </c>
      <c r="C2" s="217" t="s">
        <v>206</v>
      </c>
      <c r="D2" s="219" t="s">
        <v>5</v>
      </c>
      <c r="E2" s="220" t="s">
        <v>207</v>
      </c>
      <c r="F2" s="221" t="s">
        <v>208</v>
      </c>
      <c r="G2" s="222" t="s">
        <v>209</v>
      </c>
      <c r="H2" s="221" t="s">
        <v>88</v>
      </c>
      <c r="I2" s="221" t="s">
        <v>89</v>
      </c>
      <c r="J2" s="222" t="s">
        <v>90</v>
      </c>
      <c r="K2" s="222" t="s">
        <v>213</v>
      </c>
      <c r="L2" s="223" t="s">
        <v>223</v>
      </c>
      <c r="M2" s="224" t="s">
        <v>224</v>
      </c>
      <c r="N2" s="225" t="s">
        <v>225</v>
      </c>
      <c r="O2" s="226" t="s">
        <v>88</v>
      </c>
      <c r="P2" s="226" t="s">
        <v>89</v>
      </c>
      <c r="Q2" s="227" t="s">
        <v>90</v>
      </c>
      <c r="R2" s="226" t="s">
        <v>88</v>
      </c>
      <c r="S2" s="226" t="s">
        <v>89</v>
      </c>
      <c r="T2" s="227" t="s">
        <v>90</v>
      </c>
      <c r="U2" s="226" t="s">
        <v>88</v>
      </c>
      <c r="V2" s="226" t="s">
        <v>89</v>
      </c>
      <c r="W2" s="227" t="s">
        <v>90</v>
      </c>
    </row>
    <row r="3" hidden="1">
      <c r="A3" s="228" t="str">
        <f>IFERROR(__xludf.DUMMYFUNCTION("if(E3=506,""FEA006A"",INDEX(IMPORTRANGE(""https://docs.google.com/spreadsheets/d/1WbE6HOh_eG5_DM53SVfuckYm0VQnhNvuwjql7Tw1FX0/edit?gid=660406182#gid=660406182"", ""'""&amp;D3&amp;""'!H2:H45""),match(E3,IMPORTRANGE(""https://docs.google.com/spreadsheets/d/1WbE6HOh"&amp;"_eG5_DM53SVfuckYm0VQnhNvuwjql7Tw1FX0/edit?gid=660406182#gid=660406182"", ""'""&amp;D3&amp;""'!B2:B45""),0),1))"),"FE4014B")</f>
        <v>FE4014B</v>
      </c>
      <c r="B3" s="229" t="str">
        <f>IFERROR(__xludf.DUMMYFUNCTION("if(E3=506,""-"",INDEX(IMPORTRANGE(""https://docs.google.com/spreadsheets/d/1WbE6HOh_eG5_DM53SVfuckYm0VQnhNvuwjql7Tw1FX0/edit?gid=660406182#gid=660406182"", ""'""&amp;D3&amp;""'!D2:D45""),match(E3,IMPORTRANGE(""https://docs.google.com/spreadsheets/d/1WbE6HOh_eG5_D"&amp;"M53SVfuckYm0VQnhNvuwjql7Tw1FX0/edit?gid=660406182#gid=660406182"", ""'""&amp;D3&amp;""'!B2:B45""),0),1))"),"CS")</f>
        <v>CS</v>
      </c>
      <c r="C3" s="135" t="str">
        <f>IFERROR(__xludf.DUMMYFUNCTION("if(A3=""FEA006A"",""Garlic Herb Grilled Chicken"", ifna(INDEX(IMPORTRANGE(""https://docs.google.com/spreadsheets/d/1mnGm3iYGkB4FyqAD-LwwVYksgBMX_SY4qHQa16KgMiw/edit?gid=1956920866#gid=1956920866"", ""'EU Meal Database'!$E$2:$E""),MATCH(A3,IMPORTRANGE(""ht"&amp;"tps://docs.google.com/spreadsheets/d/1mnGm3iYGkB4FyqAD-LwwVYksgBMX_SY4qHQa16KgMiw/edit?gid=1956920866#gid=1956920866"", ""'EU Meal Database'!$A$2:$A""),0)),INDEX(IMPORTRANGE(""https://docs.google.com/spreadsheets/d/1n4t_JF5P_MLd0hMmhjv1A2rgLKdyee_-mrZZmdZ"&amp;"r9G4/edit?gid=670402169#gid=670402169"", ""'Meal DB_Product'!$B$2:$B""),MATCH(A3,IMPORTRANGE(""https://docs.google.com/spreadsheets/d/1n4t_JF5P_MLd0hMmhjv1A2rgLKdyee_-mrZZmdZr9G4/edit?gid=670402169#gid=670402169"", ""'Meal DB_Product'!$A$2:$A""),0))))"),"Creamy basil risotto with chicken")</f>
        <v>Creamy basil risotto with chicken</v>
      </c>
      <c r="D3" s="62" t="s">
        <v>226</v>
      </c>
      <c r="E3" s="230">
        <v>401.0</v>
      </c>
      <c r="F3" s="62">
        <v>601.0</v>
      </c>
      <c r="G3" s="231">
        <v>301.0</v>
      </c>
      <c r="H3" s="232">
        <f>IFERROR(__xludf.DUMMYFUNCTION("IMPORTRANGE(""https://docs.google.com/spreadsheets/d/1NX4ccmp9EHgjcQcZPt2RVC4dGZm-Lhq_XEIxgs3iBP4/edit?gid=535876848#gid=535876848"", ""'Running Forecast - All Markets'!$E$1298:$G"")"),7385.0)</f>
        <v>7385</v>
      </c>
      <c r="I3" s="232">
        <f>IFERROR(__xludf.DUMMYFUNCTION("""COMPUTED_VALUE"""),3806.0)</f>
        <v>3806</v>
      </c>
      <c r="J3" s="233">
        <f>IFERROR(__xludf.DUMMYFUNCTION("""COMPUTED_VALUE"""),3024.0)</f>
        <v>3024</v>
      </c>
      <c r="K3" s="62" t="str">
        <f>IFERROR(__xludf.DUMMYFUNCTION("IMPORTRANGE(""https://docs.google.com/spreadsheets/d/1NX4ccmp9EHgjcQcZPt2RVC4dGZm-Lhq_XEIxgs3iBP4/edit?gid=535876848#gid=535876848"", ""'Running Forecast - All Markets'!$k$1298:$k"")"),"")</f>
        <v/>
      </c>
      <c r="L3" s="234">
        <f t="shared" ref="L3:M3" si="1">H3+20</f>
        <v>7405</v>
      </c>
      <c r="M3" s="235">
        <f t="shared" si="1"/>
        <v>3826</v>
      </c>
      <c r="N3" s="236">
        <f t="shared" ref="N3:N20" si="5">J3+20+K3</f>
        <v>3044</v>
      </c>
      <c r="O3" s="237">
        <v>0.0</v>
      </c>
      <c r="P3" s="237">
        <v>0.0</v>
      </c>
      <c r="Q3" s="238">
        <v>0.0</v>
      </c>
      <c r="R3" s="239">
        <f t="shared" ref="R3:T3" si="2">L3*O3</f>
        <v>0</v>
      </c>
      <c r="S3" s="240">
        <f t="shared" si="2"/>
        <v>0</v>
      </c>
      <c r="T3" s="241">
        <f t="shared" si="2"/>
        <v>0</v>
      </c>
      <c r="U3" s="234">
        <f t="shared" ref="U3:W3" si="3">L3-R3</f>
        <v>7405</v>
      </c>
      <c r="V3" s="235">
        <f t="shared" si="3"/>
        <v>3826</v>
      </c>
      <c r="W3" s="236">
        <f t="shared" si="3"/>
        <v>3044</v>
      </c>
    </row>
    <row r="4" hidden="1">
      <c r="A4" s="242" t="str">
        <f>IFERROR(__xludf.DUMMYFUNCTION("if(E4=506,""FEA006A"",INDEX(IMPORTRANGE(""https://docs.google.com/spreadsheets/d/1WbE6HOh_eG5_DM53SVfuckYm0VQnhNvuwjql7Tw1FX0/edit?gid=660406182#gid=660406182"", ""'""&amp;D4&amp;""'!H2:H45""),match(E4,IMPORTRANGE(""https://docs.google.com/spreadsheets/d/1WbE6HOh"&amp;"_eG5_DM53SVfuckYm0VQnhNvuwjql7Tw1FX0/edit?gid=660406182#gid=660406182"", ""'""&amp;D4&amp;""'!B2:B45""),0),1))"),"FE0322O")</f>
        <v>FE0322O</v>
      </c>
      <c r="B4" s="229" t="str">
        <f>IFERROR(__xludf.DUMMYFUNCTION("if(E4=506,""-"",INDEX(IMPORTRANGE(""https://docs.google.com/spreadsheets/d/1WbE6HOh_eG5_DM53SVfuckYm0VQnhNvuwjql7Tw1FX0/edit?gid=660406182#gid=660406182"", ""'""&amp;D4&amp;""'!D2:D45""),match(E4,IMPORTRANGE(""https://docs.google.com/spreadsheets/d/1WbE6HOh_eG5_D"&amp;"M53SVfuckYm0VQnhNvuwjql7Tw1FX0/edit?gid=660406182#gid=660406182"", ""'""&amp;D4&amp;""'!B2:B45""),0),1))"),"CS")</f>
        <v>CS</v>
      </c>
      <c r="C4" s="135" t="str">
        <f>IFERROR(__xludf.DUMMYFUNCTION("if(A4=""FEA006A"",""Garlic Herb Grilled Chicken"", ifna(INDEX(IMPORTRANGE(""https://docs.google.com/spreadsheets/d/1mnGm3iYGkB4FyqAD-LwwVYksgBMX_SY4qHQa16KgMiw/edit?gid=1956920866#gid=1956920866"", ""'EU Meal Database'!$E$2:$E""),MATCH(A4,IMPORTRANGE(""ht"&amp;"tps://docs.google.com/spreadsheets/d/1mnGm3iYGkB4FyqAD-LwwVYksgBMX_SY4qHQa16KgMiw/edit?gid=1956920866#gid=1956920866"", ""'EU Meal Database'!$A$2:$A""),0)),INDEX(IMPORTRANGE(""https://docs.google.com/spreadsheets/d/1n4t_JF5P_MLd0hMmhjv1A2rgLKdyee_-mrZZmdZ"&amp;"r9G4/edit?gid=670402169#gid=670402169"", ""'Meal DB_Product'!$B$2:$B""),MATCH(A4,IMPORTRANGE(""https://docs.google.com/spreadsheets/d/1n4t_JF5P_MLd0hMmhjv1A2rgLKdyee_-mrZZmdZr9G4/edit?gid=670402169#gid=670402169"", ""'Meal DB_Product'!$A$2:$A""),0))))"),"Sour Cream &amp; Chive Chicken")</f>
        <v>Sour Cream &amp; Chive Chicken</v>
      </c>
      <c r="D4" s="62" t="s">
        <v>226</v>
      </c>
      <c r="E4" s="230">
        <v>402.0</v>
      </c>
      <c r="F4" s="62">
        <v>602.0</v>
      </c>
      <c r="G4" s="231">
        <v>302.0</v>
      </c>
      <c r="H4" s="232">
        <f>IFERROR(__xludf.DUMMYFUNCTION("""COMPUTED_VALUE"""),3290.0)</f>
        <v>3290</v>
      </c>
      <c r="I4" s="232">
        <f>IFERROR(__xludf.DUMMYFUNCTION("""COMPUTED_VALUE"""),2384.0)</f>
        <v>2384</v>
      </c>
      <c r="J4" s="233">
        <f>IFERROR(__xludf.DUMMYFUNCTION("""COMPUTED_VALUE"""),1662.0)</f>
        <v>1662</v>
      </c>
      <c r="K4" s="62"/>
      <c r="L4" s="243">
        <f t="shared" ref="L4:M4" si="4">H4+20</f>
        <v>3310</v>
      </c>
      <c r="M4" s="244">
        <f t="shared" si="4"/>
        <v>2404</v>
      </c>
      <c r="N4" s="245">
        <f t="shared" si="5"/>
        <v>1682</v>
      </c>
      <c r="O4" s="246">
        <v>0.0</v>
      </c>
      <c r="P4" s="246">
        <v>0.0</v>
      </c>
      <c r="Q4" s="247">
        <v>0.0</v>
      </c>
      <c r="R4" s="230">
        <f t="shared" ref="R4:T4" si="6">L4*O4</f>
        <v>0</v>
      </c>
      <c r="S4" s="248">
        <f t="shared" si="6"/>
        <v>0</v>
      </c>
      <c r="T4" s="249">
        <f t="shared" si="6"/>
        <v>0</v>
      </c>
      <c r="U4" s="243">
        <f t="shared" ref="U4:W4" si="7">L4-R4</f>
        <v>3310</v>
      </c>
      <c r="V4" s="244">
        <f t="shared" si="7"/>
        <v>2404</v>
      </c>
      <c r="W4" s="245">
        <f t="shared" si="7"/>
        <v>1682</v>
      </c>
    </row>
    <row r="5" hidden="1">
      <c r="A5" s="242" t="str">
        <f>IFERROR(__xludf.DUMMYFUNCTION("if(E5=506,""FEA006A"",INDEX(IMPORTRANGE(""https://docs.google.com/spreadsheets/d/1WbE6HOh_eG5_DM53SVfuckYm0VQnhNvuwjql7Tw1FX0/edit?gid=660406182#gid=660406182"", ""'""&amp;D5&amp;""'!H2:H45""),match(E5,IMPORTRANGE(""https://docs.google.com/spreadsheets/d/1WbE6HOh"&amp;"_eG5_DM53SVfuckYm0VQnhNvuwjql7Tw1FX0/edit?gid=660406182#gid=660406182"", ""'""&amp;D5&amp;""'!B2:B45""),0),1))"),"FE0849B")</f>
        <v>FE0849B</v>
      </c>
      <c r="B5" s="229" t="str">
        <f>IFERROR(__xludf.DUMMYFUNCTION("if(E5=506,""-"",INDEX(IMPORTRANGE(""https://docs.google.com/spreadsheets/d/1WbE6HOh_eG5_DM53SVfuckYm0VQnhNvuwjql7Tw1FX0/edit?gid=660406182#gid=660406182"", ""'""&amp;D5&amp;""'!D2:D45""),match(E5,IMPORTRANGE(""https://docs.google.com/spreadsheets/d/1WbE6HOh_eG5_D"&amp;"M53SVfuckYm0VQnhNvuwjql7Tw1FX0/edit?gid=660406182#gid=660406182"", ""'""&amp;D5&amp;""'!B2:B45""),0),1))"),"Keto")</f>
        <v>Keto</v>
      </c>
      <c r="C5" s="135" t="str">
        <f>IFERROR(__xludf.DUMMYFUNCTION("if(A5=""FEA006A"",""Garlic Herb Grilled Chicken"", ifna(INDEX(IMPORTRANGE(""https://docs.google.com/spreadsheets/d/1mnGm3iYGkB4FyqAD-LwwVYksgBMX_SY4qHQa16KgMiw/edit?gid=1956920866#gid=1956920866"", ""'EU Meal Database'!$E$2:$E""),MATCH(A5,IMPORTRANGE(""ht"&amp;"tps://docs.google.com/spreadsheets/d/1mnGm3iYGkB4FyqAD-LwwVYksgBMX_SY4qHQa16KgMiw/edit?gid=1956920866#gid=1956920866"", ""'EU Meal Database'!$A$2:$A""),0)),INDEX(IMPORTRANGE(""https://docs.google.com/spreadsheets/d/1n4t_JF5P_MLd0hMmhjv1A2rgLKdyee_-mrZZmdZ"&amp;"r9G4/edit?gid=670402169#gid=670402169"", ""'Meal DB_Product'!$B$2:$B""),MATCH(A5,IMPORTRANGE(""https://docs.google.com/spreadsheets/d/1n4t_JF5P_MLd0hMmhjv1A2rgLKdyee_-mrZZmdZr9G4/edit?gid=670402169#gid=670402169"", ""'Meal DB_Product'!$A$2:$A""),0))))"),"Courgette-spaghetti bolognese")</f>
        <v>Courgette-spaghetti bolognese</v>
      </c>
      <c r="D5" s="62" t="s">
        <v>226</v>
      </c>
      <c r="E5" s="230">
        <v>403.0</v>
      </c>
      <c r="F5" s="62">
        <v>603.0</v>
      </c>
      <c r="G5" s="231">
        <v>303.0</v>
      </c>
      <c r="H5" s="232">
        <f>IFERROR(__xludf.DUMMYFUNCTION("""COMPUTED_VALUE"""),3590.0)</f>
        <v>3590</v>
      </c>
      <c r="I5" s="232">
        <f>IFERROR(__xludf.DUMMYFUNCTION("""COMPUTED_VALUE"""),2147.0)</f>
        <v>2147</v>
      </c>
      <c r="J5" s="233">
        <f>IFERROR(__xludf.DUMMYFUNCTION("""COMPUTED_VALUE"""),1724.0)</f>
        <v>1724</v>
      </c>
      <c r="K5" s="244">
        <f>IFERROR(__xludf.DUMMYFUNCTION("""COMPUTED_VALUE"""),16.0)</f>
        <v>16</v>
      </c>
      <c r="L5" s="243">
        <f t="shared" ref="L5:M5" si="8">H5+20</f>
        <v>3610</v>
      </c>
      <c r="M5" s="244">
        <f t="shared" si="8"/>
        <v>2167</v>
      </c>
      <c r="N5" s="245">
        <f t="shared" si="5"/>
        <v>1760</v>
      </c>
      <c r="O5" s="246">
        <v>0.0</v>
      </c>
      <c r="P5" s="246">
        <v>0.0</v>
      </c>
      <c r="Q5" s="247">
        <v>0.0</v>
      </c>
      <c r="R5" s="230">
        <f t="shared" ref="R5:T5" si="9">L5*O5</f>
        <v>0</v>
      </c>
      <c r="S5" s="248">
        <f t="shared" si="9"/>
        <v>0</v>
      </c>
      <c r="T5" s="249">
        <f t="shared" si="9"/>
        <v>0</v>
      </c>
      <c r="U5" s="243">
        <f t="shared" ref="U5:W5" si="10">L5-R5</f>
        <v>3610</v>
      </c>
      <c r="V5" s="244">
        <f t="shared" si="10"/>
        <v>2167</v>
      </c>
      <c r="W5" s="245">
        <f t="shared" si="10"/>
        <v>1760</v>
      </c>
    </row>
    <row r="6" hidden="1">
      <c r="A6" s="242" t="str">
        <f>IFERROR(__xludf.DUMMYFUNCTION("if(E6=506,""FEA006A"",INDEX(IMPORTRANGE(""https://docs.google.com/spreadsheets/d/1WbE6HOh_eG5_DM53SVfuckYm0VQnhNvuwjql7Tw1FX0/edit?gid=660406182#gid=660406182"", ""'""&amp;D6&amp;""'!H2:H45""),match(E6,IMPORTRANGE(""https://docs.google.com/spreadsheets/d/1WbE6HOh"&amp;"_eG5_DM53SVfuckYm0VQnhNvuwjql7Tw1FX0/edit?gid=660406182#gid=660406182"", ""'""&amp;D6&amp;""'!B2:B45""),0),1))"),"FE1346B")</f>
        <v>FE1346B</v>
      </c>
      <c r="B6" s="229" t="str">
        <f>IFERROR(__xludf.DUMMYFUNCTION("if(E6=506,""-"",INDEX(IMPORTRANGE(""https://docs.google.com/spreadsheets/d/1WbE6HOh_eG5_DM53SVfuckYm0VQnhNvuwjql7Tw1FX0/edit?gid=660406182#gid=660406182"", ""'""&amp;D6&amp;""'!D2:D45""),match(E6,IMPORTRANGE(""https://docs.google.com/spreadsheets/d/1WbE6HOh_eG5_D"&amp;"M53SVfuckYm0VQnhNvuwjql7Tw1FX0/edit?gid=660406182#gid=660406182"", ""'""&amp;D6&amp;""'!B2:B45""),0),1))"),"P+")</f>
        <v>P+</v>
      </c>
      <c r="C6" s="135" t="str">
        <f>IFERROR(__xludf.DUMMYFUNCTION("if(A6=""FEA006A"",""Garlic Herb Grilled Chicken"", ifna(INDEX(IMPORTRANGE(""https://docs.google.com/spreadsheets/d/1mnGm3iYGkB4FyqAD-LwwVYksgBMX_SY4qHQa16KgMiw/edit?gid=1956920866#gid=1956920866"", ""'EU Meal Database'!$E$2:$E""),MATCH(A6,IMPORTRANGE(""ht"&amp;"tps://docs.google.com/spreadsheets/d/1mnGm3iYGkB4FyqAD-LwwVYksgBMX_SY4qHQa16KgMiw/edit?gid=1956920866#gid=1956920866"", ""'EU Meal Database'!$A$2:$A""),0)),INDEX(IMPORTRANGE(""https://docs.google.com/spreadsheets/d/1n4t_JF5P_MLd0hMmhjv1A2rgLKdyee_-mrZZmdZ"&amp;"r9G4/edit?gid=670402169#gid=670402169"", ""'Meal DB_Product'!$B$2:$B""),MATCH(A6,IMPORTRANGE(""https://docs.google.com/spreadsheets/d/1n4t_JF5P_MLd0hMmhjv1A2rgLKdyee_-mrZZmdZr9G4/edit?gid=670402169#gid=670402169"", ""'Meal DB_Product'!$A$2:$A""),0))))"),"Parmesan &amp; Garlic Cream Pulled Beef")</f>
        <v>Parmesan &amp; Garlic Cream Pulled Beef</v>
      </c>
      <c r="D6" s="62" t="s">
        <v>226</v>
      </c>
      <c r="E6" s="230">
        <v>404.0</v>
      </c>
      <c r="F6" s="62">
        <v>604.0</v>
      </c>
      <c r="G6" s="231">
        <v>304.0</v>
      </c>
      <c r="H6" s="232">
        <f>IFERROR(__xludf.DUMMYFUNCTION("""COMPUTED_VALUE"""),6272.0)</f>
        <v>6272</v>
      </c>
      <c r="I6" s="232">
        <f>IFERROR(__xludf.DUMMYFUNCTION("""COMPUTED_VALUE"""),3388.0)</f>
        <v>3388</v>
      </c>
      <c r="J6" s="233">
        <f>IFERROR(__xludf.DUMMYFUNCTION("""COMPUTED_VALUE"""),2796.0)</f>
        <v>2796</v>
      </c>
      <c r="K6" s="62"/>
      <c r="L6" s="243">
        <f t="shared" ref="L6:M6" si="11">H6+20</f>
        <v>6292</v>
      </c>
      <c r="M6" s="244">
        <f t="shared" si="11"/>
        <v>3408</v>
      </c>
      <c r="N6" s="245">
        <f t="shared" si="5"/>
        <v>2816</v>
      </c>
      <c r="O6" s="246">
        <v>0.0</v>
      </c>
      <c r="P6" s="246">
        <v>0.9</v>
      </c>
      <c r="Q6" s="247">
        <v>0.9</v>
      </c>
      <c r="R6" s="230">
        <f t="shared" ref="R6:T6" si="12">L6*O6</f>
        <v>0</v>
      </c>
      <c r="S6" s="248">
        <f t="shared" si="12"/>
        <v>3067.2</v>
      </c>
      <c r="T6" s="249">
        <f t="shared" si="12"/>
        <v>2534.4</v>
      </c>
      <c r="U6" s="243">
        <f t="shared" ref="U6:W6" si="13">L6-R6</f>
        <v>6292</v>
      </c>
      <c r="V6" s="244">
        <f t="shared" si="13"/>
        <v>340.8</v>
      </c>
      <c r="W6" s="245">
        <f t="shared" si="13"/>
        <v>281.6</v>
      </c>
    </row>
    <row r="7" hidden="1">
      <c r="A7" s="242" t="str">
        <f>IFERROR(__xludf.DUMMYFUNCTION("if(E7=506,""FEA006A"",INDEX(IMPORTRANGE(""https://docs.google.com/spreadsheets/d/1WbE6HOh_eG5_DM53SVfuckYm0VQnhNvuwjql7Tw1FX0/edit?gid=660406182#gid=660406182"", ""'""&amp;D7&amp;""'!H2:H45""),match(E7,IMPORTRANGE(""https://docs.google.com/spreadsheets/d/1WbE6HOh"&amp;"_eG5_DM53SVfuckYm0VQnhNvuwjql7Tw1FX0/edit?gid=660406182#gid=660406182"", ""'""&amp;D7&amp;""'!B2:B45""),0),1))"),"FE0224D")</f>
        <v>FE0224D</v>
      </c>
      <c r="B7" s="229" t="str">
        <f>IFERROR(__xludf.DUMMYFUNCTION("if(E7=506,""-"",INDEX(IMPORTRANGE(""https://docs.google.com/spreadsheets/d/1WbE6HOh_eG5_DM53SVfuckYm0VQnhNvuwjql7Tw1FX0/edit?gid=660406182#gid=660406182"", ""'""&amp;D7&amp;""'!D2:D45""),match(E7,IMPORTRANGE(""https://docs.google.com/spreadsheets/d/1WbE6HOh_eG5_D"&amp;"M53SVfuckYm0VQnhNvuwjql7Tw1FX0/edit?gid=660406182#gid=660406182"", ""'""&amp;D7&amp;""'!B2:B45""),0),1))"),"CS")</f>
        <v>CS</v>
      </c>
      <c r="C7" s="135" t="str">
        <f>IFERROR(__xludf.DUMMYFUNCTION("if(A7=""FEA006A"",""Garlic Herb Grilled Chicken"", ifna(INDEX(IMPORTRANGE(""https://docs.google.com/spreadsheets/d/1mnGm3iYGkB4FyqAD-LwwVYksgBMX_SY4qHQa16KgMiw/edit?gid=1956920866#gid=1956920866"", ""'EU Meal Database'!$E$2:$E""),MATCH(A7,IMPORTRANGE(""ht"&amp;"tps://docs.google.com/spreadsheets/d/1mnGm3iYGkB4FyqAD-LwwVYksgBMX_SY4qHQa16KgMiw/edit?gid=1956920866#gid=1956920866"", ""'EU Meal Database'!$A$2:$A""),0)),INDEX(IMPORTRANGE(""https://docs.google.com/spreadsheets/d/1n4t_JF5P_MLd0hMmhjv1A2rgLKdyee_-mrZZmdZ"&amp;"r9G4/edit?gid=670402169#gid=670402169"", ""'Meal DB_Product'!$B$2:$B""),MATCH(A7,IMPORTRANGE(""https://docs.google.com/spreadsheets/d/1n4t_JF5P_MLd0hMmhjv1A2rgLKdyee_-mrZZmdZr9G4/edit?gid=670402169#gid=670402169"", ""'Meal DB_Product'!$A$2:$A""),0))))"),"Chicken à la Florentine")</f>
        <v>Chicken à la Florentine</v>
      </c>
      <c r="D7" s="62" t="s">
        <v>226</v>
      </c>
      <c r="E7" s="230">
        <v>405.0</v>
      </c>
      <c r="F7" s="62">
        <v>605.0</v>
      </c>
      <c r="G7" s="231">
        <v>305.0</v>
      </c>
      <c r="H7" s="232">
        <f>IFERROR(__xludf.DUMMYFUNCTION("""COMPUTED_VALUE"""),2961.0)</f>
        <v>2961</v>
      </c>
      <c r="I7" s="232">
        <f>IFERROR(__xludf.DUMMYFUNCTION("""COMPUTED_VALUE"""),1821.0)</f>
        <v>1821</v>
      </c>
      <c r="J7" s="233">
        <f>IFERROR(__xludf.DUMMYFUNCTION("""COMPUTED_VALUE"""),1645.0)</f>
        <v>1645</v>
      </c>
      <c r="K7" s="244">
        <f>IFERROR(__xludf.DUMMYFUNCTION("""COMPUTED_VALUE"""),16.0)</f>
        <v>16</v>
      </c>
      <c r="L7" s="243">
        <f t="shared" ref="L7:M7" si="14">H7+20</f>
        <v>2981</v>
      </c>
      <c r="M7" s="244">
        <f t="shared" si="14"/>
        <v>1841</v>
      </c>
      <c r="N7" s="245">
        <f t="shared" si="5"/>
        <v>1681</v>
      </c>
      <c r="O7" s="246">
        <v>0.0</v>
      </c>
      <c r="P7" s="246">
        <v>0.0</v>
      </c>
      <c r="Q7" s="247">
        <v>0.0</v>
      </c>
      <c r="R7" s="230">
        <f t="shared" ref="R7:T7" si="15">L7*O7</f>
        <v>0</v>
      </c>
      <c r="S7" s="248">
        <f t="shared" si="15"/>
        <v>0</v>
      </c>
      <c r="T7" s="249">
        <f t="shared" si="15"/>
        <v>0</v>
      </c>
      <c r="U7" s="243">
        <f t="shared" ref="U7:W7" si="16">L7-R7</f>
        <v>2981</v>
      </c>
      <c r="V7" s="244">
        <f t="shared" si="16"/>
        <v>1841</v>
      </c>
      <c r="W7" s="245">
        <f t="shared" si="16"/>
        <v>1681</v>
      </c>
    </row>
    <row r="8" hidden="1">
      <c r="A8" s="242" t="str">
        <f>IFERROR(__xludf.DUMMYFUNCTION("if(E8=506,""FEA006A"",INDEX(IMPORTRANGE(""https://docs.google.com/spreadsheets/d/1WbE6HOh_eG5_DM53SVfuckYm0VQnhNvuwjql7Tw1FX0/edit?gid=660406182#gid=660406182"", ""'""&amp;D8&amp;""'!H2:H45""),match(E8,IMPORTRANGE(""https://docs.google.com/spreadsheets/d/1WbE6HOh"&amp;"_eG5_DM53SVfuckYm0VQnhNvuwjql7Tw1FX0/edit?gid=660406182#gid=660406182"", ""'""&amp;D8&amp;""'!B2:B45""),0),1))"),"FE0035F")</f>
        <v>FE0035F</v>
      </c>
      <c r="B8" s="229" t="str">
        <f>IFERROR(__xludf.DUMMYFUNCTION("if(E8=506,""-"",INDEX(IMPORTRANGE(""https://docs.google.com/spreadsheets/d/1WbE6HOh_eG5_DM53SVfuckYm0VQnhNvuwjql7Tw1FX0/edit?gid=660406182#gid=660406182"", ""'""&amp;D8&amp;""'!D2:D45""),match(E8,IMPORTRANGE(""https://docs.google.com/spreadsheets/d/1WbE6HOh_eG5_D"&amp;"M53SVfuckYm0VQnhNvuwjql7Tw1FX0/edit?gid=660406182#gid=660406182"", ""'""&amp;D8&amp;""'!B2:B45""),0),1))"),"Keto")</f>
        <v>Keto</v>
      </c>
      <c r="C8" s="135" t="str">
        <f>IFERROR(__xludf.DUMMYFUNCTION("if(A8=""FEA006A"",""Garlic Herb Grilled Chicken"", ifna(INDEX(IMPORTRANGE(""https://docs.google.com/spreadsheets/d/1mnGm3iYGkB4FyqAD-LwwVYksgBMX_SY4qHQa16KgMiw/edit?gid=1956920866#gid=1956920866"", ""'EU Meal Database'!$E$2:$E""),MATCH(A8,IMPORTRANGE(""ht"&amp;"tps://docs.google.com/spreadsheets/d/1mnGm3iYGkB4FyqAD-LwwVYksgBMX_SY4qHQa16KgMiw/edit?gid=1956920866#gid=1956920866"", ""'EU Meal Database'!$A$2:$A""),0)),INDEX(IMPORTRANGE(""https://docs.google.com/spreadsheets/d/1n4t_JF5P_MLd0hMmhjv1A2rgLKdyee_-mrZZmdZ"&amp;"r9G4/edit?gid=670402169#gid=670402169"", ""'Meal DB_Product'!$B$2:$B""),MATCH(A8,IMPORTRANGE(""https://docs.google.com/spreadsheets/d/1n4t_JF5P_MLd0hMmhjv1A2rgLKdyee_-mrZZmdZr9G4/edit?gid=670402169#gid=670402169"", ""'Meal DB_Product'!$A$2:$A""),0))))"),"Salmon with pesto")</f>
        <v>Salmon with pesto</v>
      </c>
      <c r="D8" s="62" t="s">
        <v>226</v>
      </c>
      <c r="E8" s="230">
        <v>406.0</v>
      </c>
      <c r="F8" s="62">
        <v>606.0</v>
      </c>
      <c r="G8" s="231">
        <v>306.0</v>
      </c>
      <c r="H8" s="232">
        <f>IFERROR(__xludf.DUMMYFUNCTION("""COMPUTED_VALUE"""),2991.0)</f>
        <v>2991</v>
      </c>
      <c r="I8" s="232">
        <f>IFERROR(__xludf.DUMMYFUNCTION("""COMPUTED_VALUE"""),1672.0)</f>
        <v>1672</v>
      </c>
      <c r="J8" s="233">
        <f>IFERROR(__xludf.DUMMYFUNCTION("""COMPUTED_VALUE"""),1791.0)</f>
        <v>1791</v>
      </c>
      <c r="K8" s="62"/>
      <c r="L8" s="243">
        <f t="shared" ref="L8:M8" si="17">H8+20</f>
        <v>3011</v>
      </c>
      <c r="M8" s="244">
        <f t="shared" si="17"/>
        <v>1692</v>
      </c>
      <c r="N8" s="245">
        <f t="shared" si="5"/>
        <v>1811</v>
      </c>
      <c r="O8" s="246">
        <v>0.0</v>
      </c>
      <c r="P8" s="246">
        <v>0.9</v>
      </c>
      <c r="Q8" s="247">
        <v>0.9</v>
      </c>
      <c r="R8" s="230">
        <f t="shared" ref="R8:T8" si="18">L8*O8</f>
        <v>0</v>
      </c>
      <c r="S8" s="248">
        <f t="shared" si="18"/>
        <v>1522.8</v>
      </c>
      <c r="T8" s="249">
        <f t="shared" si="18"/>
        <v>1629.9</v>
      </c>
      <c r="U8" s="243">
        <f t="shared" ref="U8:W8" si="19">L8-R8</f>
        <v>3011</v>
      </c>
      <c r="V8" s="244">
        <f t="shared" si="19"/>
        <v>169.2</v>
      </c>
      <c r="W8" s="245">
        <f t="shared" si="19"/>
        <v>181.1</v>
      </c>
    </row>
    <row r="9" hidden="1">
      <c r="A9" s="242" t="str">
        <f>IFERROR(__xludf.DUMMYFUNCTION("if(E9=506,""FEA006A"",INDEX(IMPORTRANGE(""https://docs.google.com/spreadsheets/d/1WbE6HOh_eG5_DM53SVfuckYm0VQnhNvuwjql7Tw1FX0/edit?gid=660406182#gid=660406182"", ""'""&amp;D9&amp;""'!H2:H45""),match(E9,IMPORTRANGE(""https://docs.google.com/spreadsheets/d/1WbE6HOh"&amp;"_eG5_DM53SVfuckYm0VQnhNvuwjql7Tw1FX0/edit?gid=660406182#gid=660406182"", ""'""&amp;D9&amp;""'!B2:B45""),0),1))"),"FE4053A")</f>
        <v>FE4053A</v>
      </c>
      <c r="B9" s="229" t="str">
        <f>IFERROR(__xludf.DUMMYFUNCTION("if(E9=506,""-"",INDEX(IMPORTRANGE(""https://docs.google.com/spreadsheets/d/1WbE6HOh_eG5_DM53SVfuckYm0VQnhNvuwjql7Tw1FX0/edit?gid=660406182#gid=660406182"", ""'""&amp;D9&amp;""'!D2:D45""),match(E9,IMPORTRANGE(""https://docs.google.com/spreadsheets/d/1WbE6HOh_eG5_D"&amp;"M53SVfuckYm0VQnhNvuwjql7Tw1FX0/edit?gid=660406182#gid=660406182"", ""'""&amp;D9&amp;""'!B2:B45""),0),1))"),"Keto")</f>
        <v>Keto</v>
      </c>
      <c r="C9" s="135" t="str">
        <f>IFERROR(__xludf.DUMMYFUNCTION("if(A9=""FEA006A"",""Garlic Herb Grilled Chicken"", ifna(INDEX(IMPORTRANGE(""https://docs.google.com/spreadsheets/d/1mnGm3iYGkB4FyqAD-LwwVYksgBMX_SY4qHQa16KgMiw/edit?gid=1956920866#gid=1956920866"", ""'EU Meal Database'!$E$2:$E""),MATCH(A9,IMPORTRANGE(""ht"&amp;"tps://docs.google.com/spreadsheets/d/1mnGm3iYGkB4FyqAD-LwwVYksgBMX_SY4qHQa16KgMiw/edit?gid=1956920866#gid=1956920866"", ""'EU Meal Database'!$A$2:$A""),0)),INDEX(IMPORTRANGE(""https://docs.google.com/spreadsheets/d/1n4t_JF5P_MLd0hMmhjv1A2rgLKdyee_-mrZZmdZ"&amp;"r9G4/edit?gid=670402169#gid=670402169"", ""'Meal DB_Product'!$B$2:$B""),MATCH(A9,IMPORTRANGE(""https://docs.google.com/spreadsheets/d/1n4t_JF5P_MLd0hMmhjv1A2rgLKdyee_-mrZZmdZr9G4/edit?gid=670402169#gid=670402169"", ""'Meal DB_Product'!$A$2:$A""),0))))"),"Gochugaru Chicken")</f>
        <v>Gochugaru Chicken</v>
      </c>
      <c r="D9" s="62" t="s">
        <v>226</v>
      </c>
      <c r="E9" s="230">
        <v>407.0</v>
      </c>
      <c r="F9" s="62">
        <v>607.0</v>
      </c>
      <c r="G9" s="231">
        <v>307.0</v>
      </c>
      <c r="H9" s="232">
        <f>IFERROR(__xludf.DUMMYFUNCTION("""COMPUTED_VALUE"""),2527.0)</f>
        <v>2527</v>
      </c>
      <c r="I9" s="232">
        <f>IFERROR(__xludf.DUMMYFUNCTION("""COMPUTED_VALUE"""),1535.0)</f>
        <v>1535</v>
      </c>
      <c r="J9" s="233">
        <f>IFERROR(__xludf.DUMMYFUNCTION("""COMPUTED_VALUE"""),1438.0)</f>
        <v>1438</v>
      </c>
      <c r="K9" s="244">
        <f>IFERROR(__xludf.DUMMYFUNCTION("""COMPUTED_VALUE"""),32.0)</f>
        <v>32</v>
      </c>
      <c r="L9" s="243">
        <f t="shared" ref="L9:M9" si="20">H9+20</f>
        <v>2547</v>
      </c>
      <c r="M9" s="244">
        <f t="shared" si="20"/>
        <v>1555</v>
      </c>
      <c r="N9" s="245">
        <f t="shared" si="5"/>
        <v>1490</v>
      </c>
      <c r="O9" s="246">
        <v>0.0</v>
      </c>
      <c r="P9" s="246">
        <v>0.9</v>
      </c>
      <c r="Q9" s="247">
        <v>0.9</v>
      </c>
      <c r="R9" s="230">
        <f t="shared" ref="R9:T9" si="21">L9*O9</f>
        <v>0</v>
      </c>
      <c r="S9" s="248">
        <f t="shared" si="21"/>
        <v>1399.5</v>
      </c>
      <c r="T9" s="249">
        <f t="shared" si="21"/>
        <v>1341</v>
      </c>
      <c r="U9" s="243">
        <f t="shared" ref="U9:W9" si="22">L9-R9</f>
        <v>2547</v>
      </c>
      <c r="V9" s="244">
        <f t="shared" si="22"/>
        <v>155.5</v>
      </c>
      <c r="W9" s="245">
        <f t="shared" si="22"/>
        <v>149</v>
      </c>
    </row>
    <row r="10" hidden="1">
      <c r="A10" s="242" t="str">
        <f>IFERROR(__xludf.DUMMYFUNCTION("if(E10=506,""FEA006A"",INDEX(IMPORTRANGE(""https://docs.google.com/spreadsheets/d/1WbE6HOh_eG5_DM53SVfuckYm0VQnhNvuwjql7Tw1FX0/edit?gid=660406182#gid=660406182"", ""'""&amp;D10&amp;""'!H2:H45""),match(E10,IMPORTRANGE(""https://docs.google.com/spreadsheets/d/1WbE6"&amp;"HOh_eG5_DM53SVfuckYm0VQnhNvuwjql7Tw1FX0/edit?gid=660406182#gid=660406182"", ""'""&amp;D10&amp;""'!B2:B45""),0),1))"),"FE0794D")</f>
        <v>FE0794D</v>
      </c>
      <c r="B10" s="229" t="str">
        <f>IFERROR(__xludf.DUMMYFUNCTION("if(E10=506,""-"",INDEX(IMPORTRANGE(""https://docs.google.com/spreadsheets/d/1WbE6HOh_eG5_DM53SVfuckYm0VQnhNvuwjql7Tw1FX0/edit?gid=660406182#gid=660406182"", ""'""&amp;D10&amp;""'!D2:D45""),match(E10,IMPORTRANGE(""https://docs.google.com/spreadsheets/d/1WbE6HOh_eG"&amp;"5_DM53SVfuckYm0VQnhNvuwjql7Tw1FX0/edit?gid=660406182#gid=660406182"", ""'""&amp;D10&amp;""'!B2:B45""),0),1))"),"Keto")</f>
        <v>Keto</v>
      </c>
      <c r="C10" s="135" t="str">
        <f>IFERROR(__xludf.DUMMYFUNCTION("if(A10=""FEA006A"",""Garlic Herb Grilled Chicken"", ifna(INDEX(IMPORTRANGE(""https://docs.google.com/spreadsheets/d/1mnGm3iYGkB4FyqAD-LwwVYksgBMX_SY4qHQa16KgMiw/edit?gid=1956920866#gid=1956920866"", ""'EU Meal Database'!$E$2:$E""),MATCH(A10,IMPORTRANGE("""&amp;"https://docs.google.com/spreadsheets/d/1mnGm3iYGkB4FyqAD-LwwVYksgBMX_SY4qHQa16KgMiw/edit?gid=1956920866#gid=1956920866"",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DB_Product'!$B$2:$B""),MATCH(A10,IMPORTRANGE(""https://docs.google.com/spreadsheets/d/1n4t_JF5P_MLd0hMmhjv1A2rgLKdyee_-mrZZmdZr9G4/edit?gid=670402169#gid=670402169"", ""'Meal DB_Product'!$A$2:$A""),0))))"),"Loaded Bacon Shredded Chicken")</f>
        <v>Loaded Bacon Shredded Chicken</v>
      </c>
      <c r="D10" s="62" t="s">
        <v>226</v>
      </c>
      <c r="E10" s="230">
        <v>408.0</v>
      </c>
      <c r="F10" s="62">
        <v>608.0</v>
      </c>
      <c r="G10" s="231">
        <v>308.0</v>
      </c>
      <c r="H10" s="232">
        <f>IFERROR(__xludf.DUMMYFUNCTION("""COMPUTED_VALUE"""),2895.0)</f>
        <v>2895</v>
      </c>
      <c r="I10" s="232">
        <f>IFERROR(__xludf.DUMMYFUNCTION("""COMPUTED_VALUE"""),1691.0)</f>
        <v>1691</v>
      </c>
      <c r="J10" s="233">
        <f>IFERROR(__xludf.DUMMYFUNCTION("""COMPUTED_VALUE"""),1476.0)</f>
        <v>1476</v>
      </c>
      <c r="K10" s="62"/>
      <c r="L10" s="243">
        <f t="shared" ref="L10:M10" si="23">H10+20</f>
        <v>2915</v>
      </c>
      <c r="M10" s="244">
        <f t="shared" si="23"/>
        <v>1711</v>
      </c>
      <c r="N10" s="245">
        <f t="shared" si="5"/>
        <v>1496</v>
      </c>
      <c r="O10" s="246">
        <v>0.0</v>
      </c>
      <c r="P10" s="246">
        <v>0.0</v>
      </c>
      <c r="Q10" s="247">
        <v>0.0</v>
      </c>
      <c r="R10" s="230">
        <f t="shared" ref="R10:T10" si="24">L10*O10</f>
        <v>0</v>
      </c>
      <c r="S10" s="248">
        <f t="shared" si="24"/>
        <v>0</v>
      </c>
      <c r="T10" s="249">
        <f t="shared" si="24"/>
        <v>0</v>
      </c>
      <c r="U10" s="243">
        <f t="shared" ref="U10:W10" si="25">L10-R10</f>
        <v>2915</v>
      </c>
      <c r="V10" s="244">
        <f t="shared" si="25"/>
        <v>1711</v>
      </c>
      <c r="W10" s="245">
        <f t="shared" si="25"/>
        <v>1496</v>
      </c>
    </row>
    <row r="11" hidden="1">
      <c r="A11" s="242" t="str">
        <f>IFERROR(__xludf.DUMMYFUNCTION("if(E11=506,""FEA006A"",INDEX(IMPORTRANGE(""https://docs.google.com/spreadsheets/d/1WbE6HOh_eG5_DM53SVfuckYm0VQnhNvuwjql7Tw1FX0/edit?gid=660406182#gid=660406182"", ""'""&amp;D11&amp;""'!H2:H45""),match(E11,IMPORTRANGE(""https://docs.google.com/spreadsheets/d/1WbE6"&amp;"HOh_eG5_DM53SVfuckYm0VQnhNvuwjql7Tw1FX0/edit?gid=660406182#gid=660406182"", ""'""&amp;D11&amp;""'!B2:B45""),0),1))"),"FE0090C")</f>
        <v>FE0090C</v>
      </c>
      <c r="B11" s="229" t="str">
        <f>IFERROR(__xludf.DUMMYFUNCTION("if(E11=506,""-"",INDEX(IMPORTRANGE(""https://docs.google.com/spreadsheets/d/1WbE6HOh_eG5_DM53SVfuckYm0VQnhNvuwjql7Tw1FX0/edit?gid=660406182#gid=660406182"", ""'""&amp;D11&amp;""'!D2:D45""),match(E11,IMPORTRANGE(""https://docs.google.com/spreadsheets/d/1WbE6HOh_eG"&amp;"5_DM53SVfuckYm0VQnhNvuwjql7Tw1FX0/edit?gid=660406182#gid=660406182"", ""'""&amp;D11&amp;""'!B2:B45""),0),1))"),"Veggie")</f>
        <v>Veggie</v>
      </c>
      <c r="C11" s="135" t="str">
        <f>IFERROR(__xludf.DUMMYFUNCTION("if(A11=""FEA006A"",""Garlic Herb Grilled Chicken"", ifna(INDEX(IMPORTRANGE(""https://docs.google.com/spreadsheets/d/1mnGm3iYGkB4FyqAD-LwwVYksgBMX_SY4qHQa16KgMiw/edit?gid=1956920866#gid=1956920866"", ""'EU Meal Database'!$E$2:$E""),MATCH(A11,IMPORTRANGE("""&amp;"https://docs.google.com/spreadsheets/d/1mnGm3iYGkB4FyqAD-LwwVYksgBMX_SY4qHQa16KgMiw/edit?gid=1956920866#gid=1956920866"",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DB_Product'!$B$2:$B""),MATCH(A11,IMPORTRANGE(""https://docs.google.com/spreadsheets/d/1n4t_JF5P_MLd0hMmhjv1A2rgLKdyee_-mrZZmdZr9G4/edit?gid=670402169#gid=670402169"", ""'Meal DB_Product'!$A$2:$A""),0))))"),"Ratatouille of zucchini and pepper")</f>
        <v>Ratatouille of zucchini and pepper</v>
      </c>
      <c r="D11" s="62" t="s">
        <v>226</v>
      </c>
      <c r="E11" s="230">
        <v>409.0</v>
      </c>
      <c r="F11" s="62">
        <v>609.0</v>
      </c>
      <c r="G11" s="231">
        <v>309.0</v>
      </c>
      <c r="H11" s="232">
        <f>IFERROR(__xludf.DUMMYFUNCTION("""COMPUTED_VALUE"""),433.0)</f>
        <v>433</v>
      </c>
      <c r="I11" s="232">
        <f>IFERROR(__xludf.DUMMYFUNCTION("""COMPUTED_VALUE"""),175.0)</f>
        <v>175</v>
      </c>
      <c r="J11" s="233">
        <f>IFERROR(__xludf.DUMMYFUNCTION("""COMPUTED_VALUE"""),240.0)</f>
        <v>240</v>
      </c>
      <c r="K11" s="62"/>
      <c r="L11" s="243">
        <f t="shared" ref="L11:M11" si="26">H11+20</f>
        <v>453</v>
      </c>
      <c r="M11" s="244">
        <f t="shared" si="26"/>
        <v>195</v>
      </c>
      <c r="N11" s="245">
        <f t="shared" si="5"/>
        <v>260</v>
      </c>
      <c r="O11" s="246">
        <v>0.0</v>
      </c>
      <c r="P11" s="246">
        <v>0.0</v>
      </c>
      <c r="Q11" s="247">
        <v>0.0</v>
      </c>
      <c r="R11" s="230">
        <f t="shared" ref="R11:T11" si="27">L11*O11</f>
        <v>0</v>
      </c>
      <c r="S11" s="248">
        <f t="shared" si="27"/>
        <v>0</v>
      </c>
      <c r="T11" s="249">
        <f t="shared" si="27"/>
        <v>0</v>
      </c>
      <c r="U11" s="243">
        <f t="shared" ref="U11:W11" si="28">L11-R11</f>
        <v>453</v>
      </c>
      <c r="V11" s="248">
        <f t="shared" si="28"/>
        <v>195</v>
      </c>
      <c r="W11" s="249">
        <f t="shared" si="28"/>
        <v>260</v>
      </c>
    </row>
    <row r="12" hidden="1">
      <c r="A12" s="242" t="str">
        <f>IFERROR(__xludf.DUMMYFUNCTION("if(E12=506,""FEA006A"",INDEX(IMPORTRANGE(""https://docs.google.com/spreadsheets/d/1WbE6HOh_eG5_DM53SVfuckYm0VQnhNvuwjql7Tw1FX0/edit?gid=660406182#gid=660406182"", ""'""&amp;D12&amp;""'!H2:H45""),match(E12,IMPORTRANGE(""https://docs.google.com/spreadsheets/d/1WbE6"&amp;"HOh_eG5_DM53SVfuckYm0VQnhNvuwjql7Tw1FX0/edit?gid=660406182#gid=660406182"", ""'""&amp;D12&amp;""'!B2:B45""),0),1))"),"FE0121C")</f>
        <v>FE0121C</v>
      </c>
      <c r="B12" s="229" t="str">
        <f>IFERROR(__xludf.DUMMYFUNCTION("if(E12=506,""-"",INDEX(IMPORTRANGE(""https://docs.google.com/spreadsheets/d/1WbE6HOh_eG5_DM53SVfuckYm0VQnhNvuwjql7Tw1FX0/edit?gid=660406182#gid=660406182"", ""'""&amp;D12&amp;""'!D2:D45""),match(E12,IMPORTRANGE(""https://docs.google.com/spreadsheets/d/1WbE6HOh_eG"&amp;"5_DM53SVfuckYm0VQnhNvuwjql7Tw1FX0/edit?gid=660406182#gid=660406182"", ""'""&amp;D12&amp;""'!B2:B45""),0),1))"),"Veggie")</f>
        <v>Veggie</v>
      </c>
      <c r="C12" s="135" t="str">
        <f>IFERROR(__xludf.DUMMYFUNCTION("if(A12=""FEA006A"",""Garlic Herb Grilled Chicken"", ifna(INDEX(IMPORTRANGE(""https://docs.google.com/spreadsheets/d/1mnGm3iYGkB4FyqAD-LwwVYksgBMX_SY4qHQa16KgMiw/edit?gid=1956920866#gid=1956920866"", ""'EU Meal Database'!$E$2:$E""),MATCH(A12,IMPORTRANGE("""&amp;"https://docs.google.com/spreadsheets/d/1mnGm3iYGkB4FyqAD-LwwVYksgBMX_SY4qHQa16KgMiw/edit?gid=1956920866#gid=1956920866"",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DB_Product'!$B$2:$B""),MATCH(A12,IMPORTRANGE(""https://docs.google.com/spreadsheets/d/1n4t_JF5P_MLd0hMmhjv1A2rgLKdyee_-mrZZmdZr9G4/edit?gid=670402169#gid=670402169"", ""'Meal DB_Product'!$A$2:$A""),0))))"),"Mexican style corn cake")</f>
        <v>Mexican style corn cake</v>
      </c>
      <c r="D12" s="62" t="s">
        <v>226</v>
      </c>
      <c r="E12" s="230">
        <v>410.0</v>
      </c>
      <c r="F12" s="62">
        <v>610.0</v>
      </c>
      <c r="G12" s="231">
        <v>310.0</v>
      </c>
      <c r="H12" s="232">
        <f>IFERROR(__xludf.DUMMYFUNCTION("""COMPUTED_VALUE"""),675.0)</f>
        <v>675</v>
      </c>
      <c r="I12" s="232">
        <f>IFERROR(__xludf.DUMMYFUNCTION("""COMPUTED_VALUE"""),274.0)</f>
        <v>274</v>
      </c>
      <c r="J12" s="233">
        <f>IFERROR(__xludf.DUMMYFUNCTION("""COMPUTED_VALUE"""),294.0)</f>
        <v>294</v>
      </c>
      <c r="K12" s="244">
        <f>IFERROR(__xludf.DUMMYFUNCTION("""COMPUTED_VALUE"""),32.0)</f>
        <v>32</v>
      </c>
      <c r="L12" s="243">
        <f t="shared" ref="L12:M12" si="29">H12+20</f>
        <v>695</v>
      </c>
      <c r="M12" s="244">
        <f t="shared" si="29"/>
        <v>294</v>
      </c>
      <c r="N12" s="245">
        <f t="shared" si="5"/>
        <v>346</v>
      </c>
      <c r="O12" s="246">
        <v>0.0</v>
      </c>
      <c r="P12" s="246">
        <v>0.0</v>
      </c>
      <c r="Q12" s="247">
        <v>0.0</v>
      </c>
      <c r="R12" s="230">
        <f t="shared" ref="R12:T12" si="30">L12*O12</f>
        <v>0</v>
      </c>
      <c r="S12" s="248">
        <f t="shared" si="30"/>
        <v>0</v>
      </c>
      <c r="T12" s="249">
        <f t="shared" si="30"/>
        <v>0</v>
      </c>
      <c r="U12" s="243">
        <f t="shared" ref="U12:W12" si="31">L12-R12</f>
        <v>695</v>
      </c>
      <c r="V12" s="248">
        <f t="shared" si="31"/>
        <v>294</v>
      </c>
      <c r="W12" s="249">
        <f t="shared" si="31"/>
        <v>346</v>
      </c>
    </row>
    <row r="13" hidden="1">
      <c r="A13" s="242" t="str">
        <f>IFERROR(__xludf.DUMMYFUNCTION("if(E13=506,""FEA006A"",INDEX(IMPORTRANGE(""https://docs.google.com/spreadsheets/d/1WbE6HOh_eG5_DM53SVfuckYm0VQnhNvuwjql7Tw1FX0/edit?gid=660406182#gid=660406182"", ""'""&amp;D13&amp;""'!H2:H45""),match(E13,IMPORTRANGE(""https://docs.google.com/spreadsheets/d/1WbE6"&amp;"HOh_eG5_DM53SVfuckYm0VQnhNvuwjql7Tw1FX0/edit?gid=660406182#gid=660406182"", ""'""&amp;D13&amp;""'!B2:B45""),0),1))"),"FE0890B")</f>
        <v>FE0890B</v>
      </c>
      <c r="B13" s="229" t="str">
        <f>IFERROR(__xludf.DUMMYFUNCTION("if(E13=506,""-"",INDEX(IMPORTRANGE(""https://docs.google.com/spreadsheets/d/1WbE6HOh_eG5_DM53SVfuckYm0VQnhNvuwjql7Tw1FX0/edit?gid=660406182#gid=660406182"", ""'""&amp;D13&amp;""'!D2:D45""),match(E13,IMPORTRANGE(""https://docs.google.com/spreadsheets/d/1WbE6HOh_eG"&amp;"5_DM53SVfuckYm0VQnhNvuwjql7Tw1FX0/edit?gid=660406182#gid=660406182"", ""'""&amp;D13&amp;""'!B2:B45""),0),1))"),"Flexible")</f>
        <v>Flexible</v>
      </c>
      <c r="C13" s="135" t="str">
        <f>IFERROR(__xludf.DUMMYFUNCTION("if(A13=""FEA006A"",""Garlic Herb Grilled Chicken"", ifna(INDEX(IMPORTRANGE(""https://docs.google.com/spreadsheets/d/1mnGm3iYGkB4FyqAD-LwwVYksgBMX_SY4qHQa16KgMiw/edit?gid=1956920866#gid=1956920866"", ""'EU Meal Database'!$E$2:$E""),MATCH(A13,IMPORTRANGE("""&amp;"https://docs.google.com/spreadsheets/d/1mnGm3iYGkB4FyqAD-LwwVYksgBMX_SY4qHQa16KgMiw/edit?gid=1956920866#gid=1956920866"",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DB_Product'!$B$2:$B""),MATCH(A13,IMPORTRANGE(""https://docs.google.com/spreadsheets/d/1n4t_JF5P_MLd0hMmhjv1A2rgLKdyee_-mrZZmdZr9G4/edit?gid=670402169#gid=670402169"", ""'Meal DB_Product'!$A$2:$A""),0))))"),"Pork tenderloin with apple-mustard sauce")</f>
        <v>Pork tenderloin with apple-mustard sauce</v>
      </c>
      <c r="D13" s="62" t="s">
        <v>226</v>
      </c>
      <c r="E13" s="230">
        <v>411.0</v>
      </c>
      <c r="F13" s="62">
        <v>611.0</v>
      </c>
      <c r="G13" s="231">
        <v>311.0</v>
      </c>
      <c r="H13" s="232">
        <f>IFERROR(__xludf.DUMMYFUNCTION("""COMPUTED_VALUE"""),818.0)</f>
        <v>818</v>
      </c>
      <c r="I13" s="232">
        <f>IFERROR(__xludf.DUMMYFUNCTION("""COMPUTED_VALUE"""),398.0)</f>
        <v>398</v>
      </c>
      <c r="J13" s="233">
        <f>IFERROR(__xludf.DUMMYFUNCTION("""COMPUTED_VALUE"""),384.0)</f>
        <v>384</v>
      </c>
      <c r="K13" s="62"/>
      <c r="L13" s="243">
        <f t="shared" ref="L13:M13" si="32">H13+20</f>
        <v>838</v>
      </c>
      <c r="M13" s="244">
        <f t="shared" si="32"/>
        <v>418</v>
      </c>
      <c r="N13" s="245">
        <f t="shared" si="5"/>
        <v>404</v>
      </c>
      <c r="O13" s="246">
        <v>0.0</v>
      </c>
      <c r="P13" s="246">
        <v>0.0</v>
      </c>
      <c r="Q13" s="247">
        <v>0.0</v>
      </c>
      <c r="R13" s="230">
        <f t="shared" ref="R13:T13" si="33">L13*O13</f>
        <v>0</v>
      </c>
      <c r="S13" s="248">
        <f t="shared" si="33"/>
        <v>0</v>
      </c>
      <c r="T13" s="249">
        <f t="shared" si="33"/>
        <v>0</v>
      </c>
      <c r="U13" s="243">
        <f t="shared" ref="U13:W13" si="34">L13-R13</f>
        <v>838</v>
      </c>
      <c r="V13" s="248">
        <f t="shared" si="34"/>
        <v>418</v>
      </c>
      <c r="W13" s="249">
        <f t="shared" si="34"/>
        <v>404</v>
      </c>
    </row>
    <row r="14" hidden="1">
      <c r="A14" s="242" t="str">
        <f>IFERROR(__xludf.DUMMYFUNCTION("if(E14=506,""FEA006A"",INDEX(IMPORTRANGE(""https://docs.google.com/spreadsheets/d/1WbE6HOh_eG5_DM53SVfuckYm0VQnhNvuwjql7Tw1FX0/edit?gid=660406182#gid=660406182"", ""'""&amp;D14&amp;""'!H2:H45""),match(E14,IMPORTRANGE(""https://docs.google.com/spreadsheets/d/1WbE6"&amp;"HOh_eG5_DM53SVfuckYm0VQnhNvuwjql7Tw1FX0/edit?gid=660406182#gid=660406182"", ""'""&amp;D14&amp;""'!B2:B45""),0),1))"),"FE1145B")</f>
        <v>FE1145B</v>
      </c>
      <c r="B14" s="229" t="str">
        <f>IFERROR(__xludf.DUMMYFUNCTION("if(E14=506,""-"",INDEX(IMPORTRANGE(""https://docs.google.com/spreadsheets/d/1WbE6HOh_eG5_DM53SVfuckYm0VQnhNvuwjql7Tw1FX0/edit?gid=660406182#gid=660406182"", ""'""&amp;D14&amp;""'!D2:D45""),match(E14,IMPORTRANGE(""https://docs.google.com/spreadsheets/d/1WbE6HOh_eG"&amp;"5_DM53SVfuckYm0VQnhNvuwjql7Tw1FX0/edit?gid=660406182#gid=660406182"", ""'""&amp;D14&amp;""'!B2:B45""),0),1))"),"P+")</f>
        <v>P+</v>
      </c>
      <c r="C14" s="135" t="str">
        <f>IFERROR(__xludf.DUMMYFUNCTION("if(A14=""FEA006A"",""Garlic Herb Grilled Chicken"", ifna(INDEX(IMPORTRANGE(""https://docs.google.com/spreadsheets/d/1mnGm3iYGkB4FyqAD-LwwVYksgBMX_SY4qHQa16KgMiw/edit?gid=1956920866#gid=1956920866"", ""'EU Meal Database'!$E$2:$E""),MATCH(A14,IMPORTRANGE("""&amp;"https://docs.google.com/spreadsheets/d/1mnGm3iYGkB4FyqAD-LwwVYksgBMX_SY4qHQa16KgMiw/edit?gid=1956920866#gid=1956920866"",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DB_Product'!$B$2:$B""),MATCH(A14,IMPORTRANGE(""https://docs.google.com/spreadsheets/d/1n4t_JF5P_MLd0hMmhjv1A2rgLKdyee_-mrZZmdZr9G4/edit?gid=670402169#gid=670402169"", ""'Meal DB_Product'!$A$2:$A""),0))))"),"Roasted Salmon &amp; Dill Yogurt")</f>
        <v>Roasted Salmon &amp; Dill Yogurt</v>
      </c>
      <c r="D14" s="62" t="s">
        <v>226</v>
      </c>
      <c r="E14" s="230">
        <v>412.0</v>
      </c>
      <c r="F14" s="62">
        <v>612.0</v>
      </c>
      <c r="G14" s="231">
        <v>312.0</v>
      </c>
      <c r="H14" s="232">
        <f>IFERROR(__xludf.DUMMYFUNCTION("""COMPUTED_VALUE"""),3519.0)</f>
        <v>3519</v>
      </c>
      <c r="I14" s="232">
        <f>IFERROR(__xludf.DUMMYFUNCTION("""COMPUTED_VALUE"""),1507.0)</f>
        <v>1507</v>
      </c>
      <c r="J14" s="233">
        <f>IFERROR(__xludf.DUMMYFUNCTION("""COMPUTED_VALUE"""),1340.0)</f>
        <v>1340</v>
      </c>
      <c r="K14" s="244">
        <f>IFERROR(__xludf.DUMMYFUNCTION("""COMPUTED_VALUE"""),32.0)</f>
        <v>32</v>
      </c>
      <c r="L14" s="243">
        <f t="shared" ref="L14:M14" si="35">H14+20</f>
        <v>3539</v>
      </c>
      <c r="M14" s="244">
        <f t="shared" si="35"/>
        <v>1527</v>
      </c>
      <c r="N14" s="245">
        <f t="shared" si="5"/>
        <v>1392</v>
      </c>
      <c r="O14" s="246">
        <v>0.0</v>
      </c>
      <c r="P14" s="246">
        <v>0.0</v>
      </c>
      <c r="Q14" s="247">
        <v>0.0</v>
      </c>
      <c r="R14" s="230">
        <f t="shared" ref="R14:T14" si="36">L14*O14</f>
        <v>0</v>
      </c>
      <c r="S14" s="248">
        <f t="shared" si="36"/>
        <v>0</v>
      </c>
      <c r="T14" s="249">
        <f t="shared" si="36"/>
        <v>0</v>
      </c>
      <c r="U14" s="243">
        <f t="shared" ref="U14:W14" si="37">L14-R14</f>
        <v>3539</v>
      </c>
      <c r="V14" s="244">
        <f t="shared" si="37"/>
        <v>1527</v>
      </c>
      <c r="W14" s="245">
        <f t="shared" si="37"/>
        <v>1392</v>
      </c>
    </row>
    <row r="15" hidden="1">
      <c r="A15" s="242" t="str">
        <f>IFERROR(__xludf.DUMMYFUNCTION("if(E15=506,""FEA006A"",INDEX(IMPORTRANGE(""https://docs.google.com/spreadsheets/d/1WbE6HOh_eG5_DM53SVfuckYm0VQnhNvuwjql7Tw1FX0/edit?gid=660406182#gid=660406182"", ""'""&amp;D15&amp;""'!H2:H45""),match(E15,IMPORTRANGE(""https://docs.google.com/spreadsheets/d/1WbE6"&amp;"HOh_eG5_DM53SVfuckYm0VQnhNvuwjql7Tw1FX0/edit?gid=660406182#gid=660406182"", ""'""&amp;D15&amp;""'!B2:B45""),0),1))"),"FE1777A")</f>
        <v>FE1777A</v>
      </c>
      <c r="B15" s="229" t="str">
        <f>IFERROR(__xludf.DUMMYFUNCTION("if(E15=506,""-"",INDEX(IMPORTRANGE(""https://docs.google.com/spreadsheets/d/1WbE6HOh_eG5_DM53SVfuckYm0VQnhNvuwjql7Tw1FX0/edit?gid=660406182#gid=660406182"", ""'""&amp;D15&amp;""'!D2:D45""),match(E15,IMPORTRANGE(""https://docs.google.com/spreadsheets/d/1WbE6HOh_eG"&amp;"5_DM53SVfuckYm0VQnhNvuwjql7Tw1FX0/edit?gid=660406182#gid=660406182"", ""'""&amp;D15&amp;""'!B2:B45""),0),1))"),"CS")</f>
        <v>CS</v>
      </c>
      <c r="C15" s="135" t="str">
        <f>IFERROR(__xludf.DUMMYFUNCTION("if(A15=""FEA006A"",""Garlic Herb Grilled Chicken"", ifna(INDEX(IMPORTRANGE(""https://docs.google.com/spreadsheets/d/1mnGm3iYGkB4FyqAD-LwwVYksgBMX_SY4qHQa16KgMiw/edit?gid=1956920866#gid=1956920866"", ""'EU Meal Database'!$E$2:$E""),MATCH(A15,IMPORTRANGE("""&amp;"https://docs.google.com/spreadsheets/d/1mnGm3iYGkB4FyqAD-LwwVYksgBMX_SY4qHQa16KgMiw/edit?gid=1956920866#gid=1956920866"",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DB_Product'!$B$2:$B""),MATCH(A15,IMPORTRANGE(""https://docs.google.com/spreadsheets/d/1n4t_JF5P_MLd0hMmhjv1A2rgLKdyee_-mrZZmdZr9G4/edit?gid=670402169#gid=670402169"", ""'Meal DB_Product'!$A$2:$A""),0))))"),"Chicken with Puttanesca-style sauce")</f>
        <v>Chicken with Puttanesca-style sauce</v>
      </c>
      <c r="D15" s="62" t="s">
        <v>226</v>
      </c>
      <c r="E15" s="230">
        <v>413.0</v>
      </c>
      <c r="F15" s="62">
        <v>613.0</v>
      </c>
      <c r="G15" s="231">
        <v>313.0</v>
      </c>
      <c r="H15" s="232">
        <f>IFERROR(__xludf.DUMMYFUNCTION("""COMPUTED_VALUE"""),4607.0)</f>
        <v>4607</v>
      </c>
      <c r="I15" s="232">
        <f>IFERROR(__xludf.DUMMYFUNCTION("""COMPUTED_VALUE"""),2020.0)</f>
        <v>2020</v>
      </c>
      <c r="J15" s="233">
        <f>IFERROR(__xludf.DUMMYFUNCTION("""COMPUTED_VALUE"""),1751.0)</f>
        <v>1751</v>
      </c>
      <c r="K15" s="62"/>
      <c r="L15" s="243">
        <f t="shared" ref="L15:M15" si="38">H15+20</f>
        <v>4627</v>
      </c>
      <c r="M15" s="244">
        <f t="shared" si="38"/>
        <v>2040</v>
      </c>
      <c r="N15" s="245">
        <f t="shared" si="5"/>
        <v>1771</v>
      </c>
      <c r="O15" s="246">
        <v>0.0</v>
      </c>
      <c r="P15" s="246">
        <v>0.0</v>
      </c>
      <c r="Q15" s="247">
        <v>0.0</v>
      </c>
      <c r="R15" s="230">
        <f t="shared" ref="R15:T15" si="39">L15*O15</f>
        <v>0</v>
      </c>
      <c r="S15" s="248">
        <f t="shared" si="39"/>
        <v>0</v>
      </c>
      <c r="T15" s="249">
        <f t="shared" si="39"/>
        <v>0</v>
      </c>
      <c r="U15" s="243">
        <f t="shared" ref="U15:W15" si="40">L15-R15</f>
        <v>4627</v>
      </c>
      <c r="V15" s="244">
        <f t="shared" si="40"/>
        <v>2040</v>
      </c>
      <c r="W15" s="245">
        <f t="shared" si="40"/>
        <v>1771</v>
      </c>
    </row>
    <row r="16" hidden="1">
      <c r="A16" s="242" t="str">
        <f>IFERROR(__xludf.DUMMYFUNCTION("if(E16=506,""FEA006A"",INDEX(IMPORTRANGE(""https://docs.google.com/spreadsheets/d/1WbE6HOh_eG5_DM53SVfuckYm0VQnhNvuwjql7Tw1FX0/edit?gid=660406182#gid=660406182"", ""'""&amp;D16&amp;""'!H2:H45""),match(E16,IMPORTRANGE(""https://docs.google.com/spreadsheets/d/1WbE6"&amp;"HOh_eG5_DM53SVfuckYm0VQnhNvuwjql7Tw1FX0/edit?gid=660406182#gid=660406182"", ""'""&amp;D16&amp;""'!B2:B45""),0),1))"),"FE4064A")</f>
        <v>FE4064A</v>
      </c>
      <c r="B16" s="229" t="str">
        <f>IFERROR(__xludf.DUMMYFUNCTION("if(E16=506,""-"",INDEX(IMPORTRANGE(""https://docs.google.com/spreadsheets/d/1WbE6HOh_eG5_DM53SVfuckYm0VQnhNvuwjql7Tw1FX0/edit?gid=660406182#gid=660406182"", ""'""&amp;D16&amp;""'!D2:D45""),match(E16,IMPORTRANGE(""https://docs.google.com/spreadsheets/d/1WbE6HOh_eG"&amp;"5_DM53SVfuckYm0VQnhNvuwjql7Tw1FX0/edit?gid=660406182#gid=660406182"", ""'""&amp;D16&amp;""'!B2:B45""),0),1))"),"Flexible")</f>
        <v>Flexible</v>
      </c>
      <c r="C16" s="135" t="str">
        <f>IFERROR(__xludf.DUMMYFUNCTION("if(A16=""FEA006A"",""Garlic Herb Grilled Chicken"", ifna(INDEX(IMPORTRANGE(""https://docs.google.com/spreadsheets/d/1mnGm3iYGkB4FyqAD-LwwVYksgBMX_SY4qHQa16KgMiw/edit?gid=1956920866#gid=1956920866"", ""'EU Meal Database'!$E$2:$E""),MATCH(A16,IMPORTRANGE("""&amp;"https://docs.google.com/spreadsheets/d/1mnGm3iYGkB4FyqAD-LwwVYksgBMX_SY4qHQa16KgMiw/edit?gid=1956920866#gid=1956920866"",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DB_Product'!$B$2:$B""),MATCH(A16,IMPORTRANGE(""https://docs.google.com/spreadsheets/d/1n4t_JF5P_MLd0hMmhjv1A2rgLKdyee_-mrZZmdZr9G4/edit?gid=670402169#gid=670402169"", ""'Meal DB_Product'!$A$2:$A""),0))))"),"Ginger Garlic Grilled Chicken")</f>
        <v>Ginger Garlic Grilled Chicken</v>
      </c>
      <c r="D16" s="62" t="s">
        <v>226</v>
      </c>
      <c r="E16" s="230">
        <v>414.0</v>
      </c>
      <c r="F16" s="62">
        <v>614.0</v>
      </c>
      <c r="G16" s="231">
        <v>314.0</v>
      </c>
      <c r="H16" s="232">
        <f>IFERROR(__xludf.DUMMYFUNCTION("""COMPUTED_VALUE"""),1249.0)</f>
        <v>1249</v>
      </c>
      <c r="I16" s="232">
        <f>IFERROR(__xludf.DUMMYFUNCTION("""COMPUTED_VALUE"""),737.0)</f>
        <v>737</v>
      </c>
      <c r="J16" s="233">
        <f>IFERROR(__xludf.DUMMYFUNCTION("""COMPUTED_VALUE"""),681.0)</f>
        <v>681</v>
      </c>
      <c r="K16" s="62"/>
      <c r="L16" s="243">
        <f t="shared" ref="L16:M16" si="41">H16+20</f>
        <v>1269</v>
      </c>
      <c r="M16" s="244">
        <f t="shared" si="41"/>
        <v>757</v>
      </c>
      <c r="N16" s="245">
        <f t="shared" si="5"/>
        <v>701</v>
      </c>
      <c r="O16" s="246">
        <v>0.0</v>
      </c>
      <c r="P16" s="246">
        <v>0.9</v>
      </c>
      <c r="Q16" s="247">
        <v>0.9</v>
      </c>
      <c r="R16" s="230">
        <f t="shared" ref="R16:T16" si="42">L16*O16</f>
        <v>0</v>
      </c>
      <c r="S16" s="248">
        <f t="shared" si="42"/>
        <v>681.3</v>
      </c>
      <c r="T16" s="249">
        <f t="shared" si="42"/>
        <v>630.9</v>
      </c>
      <c r="U16" s="243">
        <f t="shared" ref="U16:W16" si="43">L16-R16</f>
        <v>1269</v>
      </c>
      <c r="V16" s="244">
        <f t="shared" si="43"/>
        <v>75.7</v>
      </c>
      <c r="W16" s="249">
        <f t="shared" si="43"/>
        <v>70.1</v>
      </c>
    </row>
    <row r="17" hidden="1">
      <c r="A17" s="242" t="str">
        <f>IFERROR(__xludf.DUMMYFUNCTION("if(E17=506,""FEA006A"",INDEX(IMPORTRANGE(""https://docs.google.com/spreadsheets/d/1WbE6HOh_eG5_DM53SVfuckYm0VQnhNvuwjql7Tw1FX0/edit?gid=660406182#gid=660406182"", ""'""&amp;D17&amp;""'!H2:H45""),match(E17,IMPORTRANGE(""https://docs.google.com/spreadsheets/d/1WbE6"&amp;"HOh_eG5_DM53SVfuckYm0VQnhNvuwjql7Tw1FX0/edit?gid=660406182#gid=660406182"", ""'""&amp;D17&amp;""'!B2:B45""),0),1))"),"FE0713B")</f>
        <v>FE0713B</v>
      </c>
      <c r="B17" s="229" t="str">
        <f>IFERROR(__xludf.DUMMYFUNCTION("if(E17=506,""-"",INDEX(IMPORTRANGE(""https://docs.google.com/spreadsheets/d/1WbE6HOh_eG5_DM53SVfuckYm0VQnhNvuwjql7Tw1FX0/edit?gid=660406182#gid=660406182"", ""'""&amp;D17&amp;""'!D2:D45""),match(E17,IMPORTRANGE(""https://docs.google.com/spreadsheets/d/1WbE6HOh_eG"&amp;"5_DM53SVfuckYm0VQnhNvuwjql7Tw1FX0/edit?gid=660406182#gid=660406182"", ""'""&amp;D17&amp;""'!B2:B45""),0),1))"),"Keto")</f>
        <v>Keto</v>
      </c>
      <c r="C17" s="135" t="str">
        <f>IFERROR(__xludf.DUMMYFUNCTION("if(A17=""FEA006A"",""Garlic Herb Grilled Chicken"", ifna(INDEX(IMPORTRANGE(""https://docs.google.com/spreadsheets/d/1mnGm3iYGkB4FyqAD-LwwVYksgBMX_SY4qHQa16KgMiw/edit?gid=1956920866#gid=1956920866"", ""'EU Meal Database'!$E$2:$E""),MATCH(A17,IMPORTRANGE("""&amp;"https://docs.google.com/spreadsheets/d/1mnGm3iYGkB4FyqAD-LwwVYksgBMX_SY4qHQa16KgMiw/edit?gid=1956920866#gid=1956920866"",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DB_Product'!$B$2:$B""),MATCH(A17,IMPORTRANGE(""https://docs.google.com/spreadsheets/d/1n4t_JF5P_MLd0hMmhjv1A2rgLKdyee_-mrZZmdZr9G4/edit?gid=670402169#gid=670402169"", ""'Meal DB_Product'!$A$2:$A""),0))))"),"Cabbage in cheese sauce with minced beef")</f>
        <v>Cabbage in cheese sauce with minced beef</v>
      </c>
      <c r="D17" s="62" t="s">
        <v>226</v>
      </c>
      <c r="E17" s="230">
        <v>415.0</v>
      </c>
      <c r="F17" s="62">
        <v>615.0</v>
      </c>
      <c r="G17" s="231">
        <v>315.0</v>
      </c>
      <c r="H17" s="232">
        <f>IFERROR(__xludf.DUMMYFUNCTION("""COMPUTED_VALUE"""),1065.0)</f>
        <v>1065</v>
      </c>
      <c r="I17" s="232">
        <f>IFERROR(__xludf.DUMMYFUNCTION("""COMPUTED_VALUE"""),626.0)</f>
        <v>626</v>
      </c>
      <c r="J17" s="233">
        <f>IFERROR(__xludf.DUMMYFUNCTION("""COMPUTED_VALUE"""),646.0)</f>
        <v>646</v>
      </c>
      <c r="K17" s="62"/>
      <c r="L17" s="243">
        <f t="shared" ref="L17:M17" si="44">H17+20</f>
        <v>1085</v>
      </c>
      <c r="M17" s="244">
        <f t="shared" si="44"/>
        <v>646</v>
      </c>
      <c r="N17" s="245">
        <f t="shared" si="5"/>
        <v>666</v>
      </c>
      <c r="O17" s="246">
        <v>0.0</v>
      </c>
      <c r="P17" s="246">
        <v>0.0</v>
      </c>
      <c r="Q17" s="247">
        <v>0.0</v>
      </c>
      <c r="R17" s="230">
        <f t="shared" ref="R17:T17" si="45">L17*O17</f>
        <v>0</v>
      </c>
      <c r="S17" s="248">
        <f t="shared" si="45"/>
        <v>0</v>
      </c>
      <c r="T17" s="249">
        <f t="shared" si="45"/>
        <v>0</v>
      </c>
      <c r="U17" s="243">
        <f t="shared" ref="U17:W17" si="46">L17-R17</f>
        <v>1085</v>
      </c>
      <c r="V17" s="248">
        <f t="shared" si="46"/>
        <v>646</v>
      </c>
      <c r="W17" s="249">
        <f t="shared" si="46"/>
        <v>666</v>
      </c>
    </row>
    <row r="18" hidden="1">
      <c r="A18" s="242" t="str">
        <f>IFERROR(__xludf.DUMMYFUNCTION("if(E18=506,""FEA006A"",INDEX(IMPORTRANGE(""https://docs.google.com/spreadsheets/d/1WbE6HOh_eG5_DM53SVfuckYm0VQnhNvuwjql7Tw1FX0/edit?gid=660406182#gid=660406182"", ""'""&amp;D18&amp;""'!H2:H45""),match(E18,IMPORTRANGE(""https://docs.google.com/spreadsheets/d/1WbE6"&amp;"HOh_eG5_DM53SVfuckYm0VQnhNvuwjql7Tw1FX0/edit?gid=660406182#gid=660406182"", ""'""&amp;D18&amp;""'!B2:B45""),0),1))"),"FE0472B")</f>
        <v>FE0472B</v>
      </c>
      <c r="B18" s="229" t="str">
        <f>IFERROR(__xludf.DUMMYFUNCTION("if(E18=506,""-"",INDEX(IMPORTRANGE(""https://docs.google.com/spreadsheets/d/1WbE6HOh_eG5_DM53SVfuckYm0VQnhNvuwjql7Tw1FX0/edit?gid=660406182#gid=660406182"", ""'""&amp;D18&amp;""'!D2:D45""),match(E18,IMPORTRANGE(""https://docs.google.com/spreadsheets/d/1WbE6HOh_eG"&amp;"5_DM53SVfuckYm0VQnhNvuwjql7Tw1FX0/edit?gid=660406182#gid=660406182"", ""'""&amp;D18&amp;""'!B2:B45""),0),1))"),"Flexible")</f>
        <v>Flexible</v>
      </c>
      <c r="C18" s="135" t="str">
        <f>IFERROR(__xludf.DUMMYFUNCTION("if(A18=""FEA006A"",""Garlic Herb Grilled Chicken"", ifna(INDEX(IMPORTRANGE(""https://docs.google.com/spreadsheets/d/1mnGm3iYGkB4FyqAD-LwwVYksgBMX_SY4qHQa16KgMiw/edit?gid=1956920866#gid=1956920866"", ""'EU Meal Database'!$E$2:$E""),MATCH(A18,IMPORTRANGE("""&amp;"https://docs.google.com/spreadsheets/d/1mnGm3iYGkB4FyqAD-LwwVYksgBMX_SY4qHQa16KgMiw/edit?gid=1956920866#gid=1956920866"",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DB_Product'!$B$2:$B""),MATCH(A18,IMPORTRANGE(""https://docs.google.com/spreadsheets/d/1n4t_JF5P_MLd0hMmhjv1A2rgLKdyee_-mrZZmdZr9G4/edit?gid=670402169#gid=670402169"", ""'Meal DB_Product'!$A$2:$A""),0))))"),"Indian style butter chicken")</f>
        <v>Indian style butter chicken</v>
      </c>
      <c r="D18" s="62" t="s">
        <v>226</v>
      </c>
      <c r="E18" s="230">
        <v>416.0</v>
      </c>
      <c r="F18" s="62">
        <v>616.0</v>
      </c>
      <c r="G18" s="231">
        <v>316.0</v>
      </c>
      <c r="H18" s="232">
        <f>IFERROR(__xludf.DUMMYFUNCTION("""COMPUTED_VALUE"""),1331.0)</f>
        <v>1331</v>
      </c>
      <c r="I18" s="232">
        <f>IFERROR(__xludf.DUMMYFUNCTION("""COMPUTED_VALUE"""),661.0)</f>
        <v>661</v>
      </c>
      <c r="J18" s="233">
        <f>IFERROR(__xludf.DUMMYFUNCTION("""COMPUTED_VALUE"""),762.0)</f>
        <v>762</v>
      </c>
      <c r="K18" s="62"/>
      <c r="L18" s="243">
        <f t="shared" ref="L18:M18" si="47">H18+20</f>
        <v>1351</v>
      </c>
      <c r="M18" s="244">
        <f t="shared" si="47"/>
        <v>681</v>
      </c>
      <c r="N18" s="245">
        <f t="shared" si="5"/>
        <v>782</v>
      </c>
      <c r="O18" s="246">
        <v>0.0</v>
      </c>
      <c r="P18" s="246">
        <v>0.9</v>
      </c>
      <c r="Q18" s="247">
        <v>0.9</v>
      </c>
      <c r="R18" s="230">
        <f t="shared" ref="R18:T18" si="48">L18*O18</f>
        <v>0</v>
      </c>
      <c r="S18" s="248">
        <f t="shared" si="48"/>
        <v>612.9</v>
      </c>
      <c r="T18" s="249">
        <f t="shared" si="48"/>
        <v>703.8</v>
      </c>
      <c r="U18" s="243">
        <f t="shared" ref="U18:W18" si="49">L18-R18</f>
        <v>1351</v>
      </c>
      <c r="V18" s="248">
        <f t="shared" si="49"/>
        <v>68.1</v>
      </c>
      <c r="W18" s="249">
        <f t="shared" si="49"/>
        <v>78.2</v>
      </c>
    </row>
    <row r="19" hidden="1">
      <c r="A19" s="242" t="str">
        <f>IFERROR(__xludf.DUMMYFUNCTION("if(E19=506,""FEA006A"",INDEX(IMPORTRANGE(""https://docs.google.com/spreadsheets/d/1WbE6HOh_eG5_DM53SVfuckYm0VQnhNvuwjql7Tw1FX0/edit?gid=660406182#gid=660406182"", ""'""&amp;D19&amp;""'!H2:H45""),match(E19,IMPORTRANGE(""https://docs.google.com/spreadsheets/d/1WbE6"&amp;"HOh_eG5_DM53SVfuckYm0VQnhNvuwjql7Tw1FX0/edit?gid=660406182#gid=660406182"", ""'""&amp;D19&amp;""'!B2:B45""),0),1))"),"FE4010B")</f>
        <v>FE4010B</v>
      </c>
      <c r="B19" s="229" t="str">
        <f>IFERROR(__xludf.DUMMYFUNCTION("if(E19=506,""-"",INDEX(IMPORTRANGE(""https://docs.google.com/spreadsheets/d/1WbE6HOh_eG5_DM53SVfuckYm0VQnhNvuwjql7Tw1FX0/edit?gid=660406182#gid=660406182"", ""'""&amp;D19&amp;""'!D2:D45""),match(E19,IMPORTRANGE(""https://docs.google.com/spreadsheets/d/1WbE6HOh_eG"&amp;"5_DM53SVfuckYm0VQnhNvuwjql7Tw1FX0/edit?gid=660406182#gid=660406182"", ""'""&amp;D19&amp;""'!B2:B45""),0),1))"),"P+")</f>
        <v>P+</v>
      </c>
      <c r="C19" s="135" t="str">
        <f>IFERROR(__xludf.DUMMYFUNCTION("if(A19=""FEA006A"",""Garlic Herb Grilled Chicken"", ifna(INDEX(IMPORTRANGE(""https://docs.google.com/spreadsheets/d/1mnGm3iYGkB4FyqAD-LwwVYksgBMX_SY4qHQa16KgMiw/edit?gid=1956920866#gid=1956920866"", ""'EU Meal Database'!$E$2:$E""),MATCH(A19,IMPORTRANGE("""&amp;"https://docs.google.com/spreadsheets/d/1mnGm3iYGkB4FyqAD-LwwVYksgBMX_SY4qHQa16KgMiw/edit?gid=1956920866#gid=1956920866"",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DB_Product'!$B$2:$B""),MATCH(A19,IMPORTRANGE(""https://docs.google.com/spreadsheets/d/1n4t_JF5P_MLd0hMmhjv1A2rgLKdyee_-mrZZmdZr9G4/edit?gid=670402169#gid=670402169"", ""'Meal DB_Product'!$A$2:$A""),0))))"),"Grilled pork tenderloin and tomato butter")</f>
        <v>Grilled pork tenderloin and tomato butter</v>
      </c>
      <c r="D19" s="62" t="s">
        <v>226</v>
      </c>
      <c r="E19" s="230">
        <v>417.0</v>
      </c>
      <c r="F19" s="62">
        <v>617.0</v>
      </c>
      <c r="G19" s="231">
        <v>317.0</v>
      </c>
      <c r="H19" s="232">
        <f>IFERROR(__xludf.DUMMYFUNCTION("""COMPUTED_VALUE"""),2267.0)</f>
        <v>2267</v>
      </c>
      <c r="I19" s="232">
        <f>IFERROR(__xludf.DUMMYFUNCTION("""COMPUTED_VALUE"""),1234.0)</f>
        <v>1234</v>
      </c>
      <c r="J19" s="233">
        <f>IFERROR(__xludf.DUMMYFUNCTION("""COMPUTED_VALUE"""),1118.0)</f>
        <v>1118</v>
      </c>
      <c r="K19" s="62"/>
      <c r="L19" s="243">
        <f t="shared" ref="L19:M19" si="50">H19+20</f>
        <v>2287</v>
      </c>
      <c r="M19" s="244">
        <f t="shared" si="50"/>
        <v>1254</v>
      </c>
      <c r="N19" s="245">
        <f t="shared" si="5"/>
        <v>1138</v>
      </c>
      <c r="O19" s="246">
        <v>0.0</v>
      </c>
      <c r="P19" s="246">
        <v>0.0</v>
      </c>
      <c r="Q19" s="247">
        <v>0.0</v>
      </c>
      <c r="R19" s="230">
        <f t="shared" ref="R19:T19" si="51">L19*O19</f>
        <v>0</v>
      </c>
      <c r="S19" s="248">
        <f t="shared" si="51"/>
        <v>0</v>
      </c>
      <c r="T19" s="249">
        <f t="shared" si="51"/>
        <v>0</v>
      </c>
      <c r="U19" s="243">
        <f t="shared" ref="U19:W19" si="52">L19-R19</f>
        <v>2287</v>
      </c>
      <c r="V19" s="244">
        <f t="shared" si="52"/>
        <v>1254</v>
      </c>
      <c r="W19" s="245">
        <f t="shared" si="52"/>
        <v>1138</v>
      </c>
    </row>
    <row r="20" hidden="1">
      <c r="A20" s="242" t="str">
        <f>IFERROR(__xludf.DUMMYFUNCTION("if(E20=506,""FEA006A"",INDEX(IMPORTRANGE(""https://docs.google.com/spreadsheets/d/1WbE6HOh_eG5_DM53SVfuckYm0VQnhNvuwjql7Tw1FX0/edit?gid=660406182#gid=660406182"", ""'""&amp;D20&amp;""'!H2:H45""),match(E20,IMPORTRANGE(""https://docs.google.com/spreadsheets/d/1WbE6"&amp;"HOh_eG5_DM53SVfuckYm0VQnhNvuwjql7Tw1FX0/edit?gid=660406182#gid=660406182"", ""'""&amp;D20&amp;""'!B2:B45""),0),1))"),"FE4042A")</f>
        <v>FE4042A</v>
      </c>
      <c r="B20" s="229" t="str">
        <f>IFERROR(__xludf.DUMMYFUNCTION("if(E20=506,""-"",INDEX(IMPORTRANGE(""https://docs.google.com/spreadsheets/d/1WbE6HOh_eG5_DM53SVfuckYm0VQnhNvuwjql7Tw1FX0/edit?gid=660406182#gid=660406182"", ""'""&amp;D20&amp;""'!D2:D45""),match(E20,IMPORTRANGE(""https://docs.google.com/spreadsheets/d/1WbE6HOh_eG"&amp;"5_DM53SVfuckYm0VQnhNvuwjql7Tw1FX0/edit?gid=660406182#gid=660406182"", ""'""&amp;D20&amp;""'!B2:B45""),0),1))"),"CS")</f>
        <v>CS</v>
      </c>
      <c r="C20" s="135" t="str">
        <f>IFERROR(__xludf.DUMMYFUNCTION("if(A20=""FEA006A"",""Garlic Herb Grilled Chicken"", ifna(INDEX(IMPORTRANGE(""https://docs.google.com/spreadsheets/d/1mnGm3iYGkB4FyqAD-LwwVYksgBMX_SY4qHQa16KgMiw/edit?gid=1956920866#gid=1956920866"", ""'EU Meal Database'!$E$2:$E""),MATCH(A20,IMPORTRANGE("""&amp;"https://docs.google.com/spreadsheets/d/1mnGm3iYGkB4FyqAD-LwwVYksgBMX_SY4qHQa16KgMiw/edit?gid=1956920866#gid=1956920866"",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DB_Product'!$B$2:$B""),MATCH(A20,IMPORTRANGE(""https://docs.google.com/spreadsheets/d/1n4t_JF5P_MLd0hMmhjv1A2rgLKdyee_-mrZZmdZr9G4/edit?gid=670402169#gid=670402169"", ""'Meal DB_Product'!$A$2:$A""),0))))"),"Pork tenderloin and Mediterranean mash")</f>
        <v>Pork tenderloin and Mediterranean mash</v>
      </c>
      <c r="D20" s="62" t="s">
        <v>226</v>
      </c>
      <c r="E20" s="230">
        <v>418.0</v>
      </c>
      <c r="F20" s="62">
        <v>618.0</v>
      </c>
      <c r="G20" s="231">
        <v>318.0</v>
      </c>
      <c r="H20" s="232">
        <f>IFERROR(__xludf.DUMMYFUNCTION("""COMPUTED_VALUE"""),1224.0)</f>
        <v>1224</v>
      </c>
      <c r="I20" s="232">
        <f>IFERROR(__xludf.DUMMYFUNCTION("""COMPUTED_VALUE"""),864.0)</f>
        <v>864</v>
      </c>
      <c r="J20" s="233">
        <f>IFERROR(__xludf.DUMMYFUNCTION("""COMPUTED_VALUE"""),531.0)</f>
        <v>531</v>
      </c>
      <c r="K20" s="62"/>
      <c r="L20" s="243">
        <f t="shared" ref="L20:M20" si="53">H20+20</f>
        <v>1244</v>
      </c>
      <c r="M20" s="244">
        <f t="shared" si="53"/>
        <v>884</v>
      </c>
      <c r="N20" s="245">
        <f t="shared" si="5"/>
        <v>551</v>
      </c>
      <c r="O20" s="246">
        <v>0.0</v>
      </c>
      <c r="P20" s="246">
        <v>0.0</v>
      </c>
      <c r="Q20" s="247">
        <v>0.0</v>
      </c>
      <c r="R20" s="230">
        <f t="shared" ref="R20:T20" si="54">L20*O20</f>
        <v>0</v>
      </c>
      <c r="S20" s="248">
        <f t="shared" si="54"/>
        <v>0</v>
      </c>
      <c r="T20" s="249">
        <f t="shared" si="54"/>
        <v>0</v>
      </c>
      <c r="U20" s="243">
        <f t="shared" ref="U20:W20" si="55">L20-R20</f>
        <v>1244</v>
      </c>
      <c r="V20" s="248">
        <f t="shared" si="55"/>
        <v>884</v>
      </c>
      <c r="W20" s="249">
        <f t="shared" si="55"/>
        <v>551</v>
      </c>
    </row>
    <row r="21" hidden="1">
      <c r="A21" s="250" t="str">
        <f>IFERROR(__xludf.DUMMYFUNCTION("if(E21=506,""FEA006A"",INDEX(IMPORTRANGE(""https://docs.google.com/spreadsheets/d/1WbE6HOh_eG5_DM53SVfuckYm0VQnhNvuwjql7Tw1FX0/edit?gid=660406182#gid=660406182"", ""'""&amp;D21&amp;""'!H2:H45""),match(E21,IMPORTRANGE(""https://docs.google.com/spreadsheets/d/1WbE6"&amp;"HOh_eG5_DM53SVfuckYm0VQnhNvuwjql7Tw1FX0/edit?gid=660406182#gid=660406182"", ""'""&amp;D21&amp;""'!B2:B45""),0),1))"),"FEA006A")</f>
        <v>FEA006A</v>
      </c>
      <c r="B21" s="251" t="str">
        <f>IFERROR(__xludf.DUMMYFUNCTION("if(E21=506,""-"",INDEX(IMPORTRANGE(""https://docs.google.com/spreadsheets/d/1WbE6HOh_eG5_DM53SVfuckYm0VQnhNvuwjql7Tw1FX0/edit?gid=660406182#gid=660406182"", ""'""&amp;D21&amp;""'!D2:D45""),match(E21,IMPORTRANGE(""https://docs.google.com/spreadsheets/d/1WbE6HOh_eG"&amp;"5_DM53SVfuckYm0VQnhNvuwjql7Tw1FX0/edit?gid=660406182#gid=660406182"", ""'""&amp;D21&amp;""'!B2:B45""),0),1))"),"-")</f>
        <v>-</v>
      </c>
      <c r="C21" s="252" t="str">
        <f>IFERROR(__xludf.DUMMYFUNCTION("if(A21=""FEA006A"",""Garlic Herb Grilled Chicken"", ifna(INDEX(IMPORTRANGE(""https://docs.google.com/spreadsheets/d/1mnGm3iYGkB4FyqAD-LwwVYksgBMX_SY4qHQa16KgMiw/edit?gid=1956920866#gid=1956920866"", ""'EU Meal Database'!$E$2:$E""),MATCH(A21,IMPORTRANGE("""&amp;"https://docs.google.com/spreadsheets/d/1mnGm3iYGkB4FyqAD-LwwVYksgBMX_SY4qHQa16KgMiw/edit?gid=1956920866#gid=1956920866"",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DB_Product'!$B$2:$B""),MATCH(A21,IMPORTRANGE(""https://docs.google.com/spreadsheets/d/1n4t_JF5P_MLd0hMmhjv1A2rgLKdyee_-mrZZmdZr9G4/edit?gid=670402169#gid=670402169"", ""'Meal DB_Product'!$A$2:$A""),0))))"),"Garlic Herb Grilled Chicken")</f>
        <v>Garlic Herb Grilled Chicken</v>
      </c>
      <c r="D21" s="253" t="s">
        <v>226</v>
      </c>
      <c r="E21" s="254">
        <v>506.0</v>
      </c>
      <c r="F21" s="253">
        <v>706.0</v>
      </c>
      <c r="G21" s="255">
        <v>806.0</v>
      </c>
      <c r="H21" s="256">
        <f>IFERROR(__xludf.DUMMYFUNCTION("""COMPUTED_VALUE"""),93.0)</f>
        <v>93</v>
      </c>
      <c r="I21" s="256">
        <f>IFERROR(__xludf.DUMMYFUNCTION("""COMPUTED_VALUE"""),32.0)</f>
        <v>32</v>
      </c>
      <c r="J21" s="257">
        <f>IFERROR(__xludf.DUMMYFUNCTION("""COMPUTED_VALUE"""),21.0)</f>
        <v>21</v>
      </c>
      <c r="K21" s="258">
        <f>IFERROR(__xludf.DUMMYFUNCTION("""COMPUTED_VALUE"""),0.0)</f>
        <v>0</v>
      </c>
      <c r="L21" s="259">
        <f t="shared" ref="L21:M21" si="56">H21</f>
        <v>93</v>
      </c>
      <c r="M21" s="258">
        <f t="shared" si="56"/>
        <v>32</v>
      </c>
      <c r="N21" s="260">
        <f>J21+K21</f>
        <v>21</v>
      </c>
      <c r="O21" s="261">
        <v>0.0</v>
      </c>
      <c r="P21" s="261">
        <v>0.0</v>
      </c>
      <c r="Q21" s="262">
        <v>0.0</v>
      </c>
      <c r="R21" s="254">
        <f t="shared" ref="R21:T21" si="57">L21*O21</f>
        <v>0</v>
      </c>
      <c r="S21" s="263">
        <f t="shared" si="57"/>
        <v>0</v>
      </c>
      <c r="T21" s="264">
        <f t="shared" si="57"/>
        <v>0</v>
      </c>
      <c r="U21" s="259">
        <f t="shared" ref="U21:W21" si="58">L21-R21</f>
        <v>93</v>
      </c>
      <c r="V21" s="263">
        <f t="shared" si="58"/>
        <v>32</v>
      </c>
      <c r="W21" s="264">
        <f t="shared" si="58"/>
        <v>21</v>
      </c>
    </row>
    <row r="22">
      <c r="A22" s="228" t="str">
        <f>IFERROR(__xludf.DUMMYFUNCTION("if(E22=506,""FEA006A"",INDEX(IMPORTRANGE(""https://docs.google.com/spreadsheets/d/1WbE6HOh_eG5_DM53SVfuckYm0VQnhNvuwjql7Tw1FX0/edit?gid=660406182#gid=660406182"", ""'""&amp;D22&amp;""'!H2:H45""),match(E22,IMPORTRANGE(""https://docs.google.com/spreadsheets/d/1WbE6"&amp;"HOh_eG5_DM53SVfuckYm0VQnhNvuwjql7Tw1FX0/edit?gid=660406182#gid=660406182"", ""'""&amp;D22&amp;""'!B2:B45""),0),1))"),"FE0426B")</f>
        <v>FE0426B</v>
      </c>
      <c r="B22" s="229" t="str">
        <f>IFERROR(__xludf.DUMMYFUNCTION("if(E22=506,""-"",INDEX(IMPORTRANGE(""https://docs.google.com/spreadsheets/d/1WbE6HOh_eG5_DM53SVfuckYm0VQnhNvuwjql7Tw1FX0/edit?gid=660406182#gid=660406182"", ""'""&amp;D22&amp;""'!D2:D45""),match(E22,IMPORTRANGE(""https://docs.google.com/spreadsheets/d/1WbE6HOh_eG"&amp;"5_DM53SVfuckYm0VQnhNvuwjql7Tw1FX0/edit?gid=660406182#gid=660406182"", ""'""&amp;D22&amp;""'!B2:B45""),0),1))"),"CS")</f>
        <v>CS</v>
      </c>
      <c r="C22" s="135" t="str">
        <f>IFERROR(__xludf.DUMMYFUNCTION("if(A22=""FEA006A"",""Garlic Herb Grilled Chicken"", ifna(INDEX(IMPORTRANGE(""https://docs.google.com/spreadsheets/d/1mnGm3iYGkB4FyqAD-LwwVYksgBMX_SY4qHQa16KgMiw/edit?gid=1956920866#gid=1956920866"", ""'EU Meal Database'!$E$2:$E""),MATCH(A22,IMPORTRANGE("""&amp;"https://docs.google.com/spreadsheets/d/1mnGm3iYGkB4FyqAD-LwwVYksgBMX_SY4qHQa16KgMiw/edit?gid=1956920866#gid=1956920866"",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DB_Product'!$B$2:$B""),MATCH(A22,IMPORTRANGE(""https://docs.google.com/spreadsheets/d/1n4t_JF5P_MLd0hMmhjv1A2rgLKdyee_-mrZZmdZr9G4/edit?gid=670402169#gid=670402169"", ""'Meal DB_Product'!$A$2:$A""),0))))"),"Grilled chicken fillet and potato leek mash")</f>
        <v>Grilled chicken fillet and potato leek mash</v>
      </c>
      <c r="D22" s="62" t="s">
        <v>227</v>
      </c>
      <c r="E22" s="230">
        <v>401.0</v>
      </c>
      <c r="F22" s="62">
        <v>601.0</v>
      </c>
      <c r="G22" s="231">
        <v>301.0</v>
      </c>
      <c r="H22" s="232">
        <f>IFERROR(__xludf.DUMMYFUNCTION("""COMPUTED_VALUE"""),6885.0)</f>
        <v>6885</v>
      </c>
      <c r="I22" s="232">
        <f>IFERROR(__xludf.DUMMYFUNCTION("""COMPUTED_VALUE"""),3598.0)</f>
        <v>3598</v>
      </c>
      <c r="J22" s="233">
        <f>IFERROR(__xludf.DUMMYFUNCTION("""COMPUTED_VALUE"""),3077.0)</f>
        <v>3077</v>
      </c>
      <c r="K22" s="62"/>
      <c r="L22" s="234">
        <f t="shared" ref="L22:M22" si="59">H22+20</f>
        <v>6905</v>
      </c>
      <c r="M22" s="235">
        <f t="shared" si="59"/>
        <v>3618</v>
      </c>
      <c r="N22" s="236">
        <f t="shared" ref="N22:N39" si="63">J22+20+K22</f>
        <v>3097</v>
      </c>
      <c r="O22" s="265">
        <f t="array" ref="O22">iferror(if(INDEX('Slot Selection'!$A$2:$BJ$38, MATCH(E22-400,'Slot Selection'!$A$2:$A$38, 0), MATCH("2026-"&amp;D22,'Slot Selection'!$2:$2, 0)),1,0),0)</f>
        <v>0</v>
      </c>
      <c r="P22" s="266">
        <f t="array" ref="P22">iferror(if(INDEX('Slot Selection'!$A$80:$BJ$116, MATCH(F22-600,'Slot Selection'!$A$80:$A$116, 0), MATCH("2026-"&amp;E22,'Slot Selection'!$80:$80, 0)),1,0),0)</f>
        <v>0</v>
      </c>
      <c r="Q22" s="267">
        <f t="array" ref="Q22">iferror(if(INDEX('Slot Selection'!$A$41:$BJ$77, MATCH(F22-600,'Slot Selection'!$A$41:$A$77, 0), MATCH("2026-"&amp;D22,'Slot Selection'!$41:$41, 0)),1,0),0)</f>
        <v>0</v>
      </c>
      <c r="R22" s="239">
        <f t="shared" ref="R22:T22" si="60">L22*O22</f>
        <v>0</v>
      </c>
      <c r="S22" s="240">
        <f t="shared" si="60"/>
        <v>0</v>
      </c>
      <c r="T22" s="241">
        <f t="shared" si="60"/>
        <v>0</v>
      </c>
      <c r="U22" s="234">
        <f t="shared" ref="U22:W22" si="61">L22-R22</f>
        <v>6905</v>
      </c>
      <c r="V22" s="235">
        <f t="shared" si="61"/>
        <v>3618</v>
      </c>
      <c r="W22" s="236">
        <f t="shared" si="61"/>
        <v>3097</v>
      </c>
    </row>
    <row r="23">
      <c r="A23" s="242" t="str">
        <f>IFERROR(__xludf.DUMMYFUNCTION("if(E23=506,""FEA006A"",INDEX(IMPORTRANGE(""https://docs.google.com/spreadsheets/d/1WbE6HOh_eG5_DM53SVfuckYm0VQnhNvuwjql7Tw1FX0/edit?gid=660406182#gid=660406182"", ""'""&amp;D23&amp;""'!H2:H45""),match(E23,IMPORTRANGE(""https://docs.google.com/spreadsheets/d/1WbE6"&amp;"HOh_eG5_DM53SVfuckYm0VQnhNvuwjql7Tw1FX0/edit?gid=660406182#gid=660406182"", ""'""&amp;D23&amp;""'!B2:B45""),0),1))"),"FE0628C")</f>
        <v>FE0628C</v>
      </c>
      <c r="B23" s="229" t="str">
        <f>IFERROR(__xludf.DUMMYFUNCTION("if(E23=506,""-"",INDEX(IMPORTRANGE(""https://docs.google.com/spreadsheets/d/1WbE6HOh_eG5_DM53SVfuckYm0VQnhNvuwjql7Tw1FX0/edit?gid=660406182#gid=660406182"", ""'""&amp;D23&amp;""'!D2:D45""),match(E23,IMPORTRANGE(""https://docs.google.com/spreadsheets/d/1WbE6HOh_eG"&amp;"5_DM53SVfuckYm0VQnhNvuwjql7Tw1FX0/edit?gid=660406182#gid=660406182"", ""'""&amp;D23&amp;""'!B2:B45""),0),1))"),"CS")</f>
        <v>CS</v>
      </c>
      <c r="C23" s="135" t="str">
        <f>IFERROR(__xludf.DUMMYFUNCTION("if(A23=""FEA006A"",""Garlic Herb Grilled Chicken"", ifna(INDEX(IMPORTRANGE(""https://docs.google.com/spreadsheets/d/1mnGm3iYGkB4FyqAD-LwwVYksgBMX_SY4qHQa16KgMiw/edit?gid=1956920866#gid=1956920866"", ""'EU Meal Database'!$E$2:$E""),MATCH(A23,IMPORTRANGE("""&amp;"https://docs.google.com/spreadsheets/d/1mnGm3iYGkB4FyqAD-LwwVYksgBMX_SY4qHQa16KgMiw/edit?gid=1956920866#gid=1956920866"",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DB_Product'!$B$2:$B""),MATCH(A23,IMPORTRANGE(""https://docs.google.com/spreadsheets/d/1n4t_JF5P_MLd0hMmhjv1A2rgLKdyee_-mrZZmdZr9G4/edit?gid=670402169#gid=670402169"", ""'Meal DB_Product'!$A$2:$A""),0))))"),"Mushroom Chicken &amp; Rice")</f>
        <v>Mushroom Chicken &amp; Rice</v>
      </c>
      <c r="D23" s="62" t="s">
        <v>227</v>
      </c>
      <c r="E23" s="230">
        <v>402.0</v>
      </c>
      <c r="F23" s="62">
        <v>602.0</v>
      </c>
      <c r="G23" s="231">
        <v>302.0</v>
      </c>
      <c r="H23" s="232">
        <f>IFERROR(__xludf.DUMMYFUNCTION("""COMPUTED_VALUE"""),3837.0)</f>
        <v>3837</v>
      </c>
      <c r="I23" s="232">
        <f>IFERROR(__xludf.DUMMYFUNCTION("""COMPUTED_VALUE"""),2246.0)</f>
        <v>2246</v>
      </c>
      <c r="J23" s="233">
        <f>IFERROR(__xludf.DUMMYFUNCTION("""COMPUTED_VALUE"""),1937.0)</f>
        <v>1937</v>
      </c>
      <c r="K23" s="244">
        <f>IFERROR(__xludf.DUMMYFUNCTION("""COMPUTED_VALUE"""),16.0)</f>
        <v>16</v>
      </c>
      <c r="L23" s="243">
        <f t="shared" ref="L23:M23" si="62">H23+20</f>
        <v>3857</v>
      </c>
      <c r="M23" s="244">
        <f t="shared" si="62"/>
        <v>2266</v>
      </c>
      <c r="N23" s="245">
        <f t="shared" si="63"/>
        <v>1973</v>
      </c>
      <c r="O23" s="268">
        <f t="array" ref="O23">iferror(if(INDEX('Slot Selection'!$A$2:$BJ$38, MATCH(E23-400,'Slot Selection'!$A$2:$A$38, 0), MATCH("2026-"&amp;D23,'Slot Selection'!$2:$2, 0)),1,0),0)</f>
        <v>0</v>
      </c>
      <c r="P23" s="269">
        <f t="array" ref="P23">iferror(if(INDEX('Slot Selection'!$A$80:$BJ$116, MATCH(F23-600,'Slot Selection'!$A$80:$A$116, 0), MATCH("2026-"&amp;D23,'Slot Selection'!$80:$80, 0)),1,0),0)</f>
        <v>0</v>
      </c>
      <c r="Q23" s="270">
        <f t="array" ref="Q23">iferror(if(INDEX('Slot Selection'!$A$41:$BJ$77, MATCH(F23-600,'Slot Selection'!$A$41:$A$77, 0), MATCH("2026-"&amp;D23,'Slot Selection'!$41:$41, 0)),1,0),0)</f>
        <v>0</v>
      </c>
      <c r="R23" s="230">
        <f t="shared" ref="R23:T23" si="64">L23*O23</f>
        <v>0</v>
      </c>
      <c r="S23" s="248">
        <f t="shared" si="64"/>
        <v>0</v>
      </c>
      <c r="T23" s="249">
        <f t="shared" si="64"/>
        <v>0</v>
      </c>
      <c r="U23" s="243">
        <f t="shared" ref="U23:W23" si="65">L23-R23</f>
        <v>3857</v>
      </c>
      <c r="V23" s="244">
        <f t="shared" si="65"/>
        <v>2266</v>
      </c>
      <c r="W23" s="245">
        <f t="shared" si="65"/>
        <v>1973</v>
      </c>
    </row>
    <row r="24">
      <c r="A24" s="242" t="str">
        <f>IFERROR(__xludf.DUMMYFUNCTION("if(E24=506,""FEA006A"",INDEX(IMPORTRANGE(""https://docs.google.com/spreadsheets/d/1WbE6HOh_eG5_DM53SVfuckYm0VQnhNvuwjql7Tw1FX0/edit?gid=660406182#gid=660406182"", ""'""&amp;D24&amp;""'!H2:H45""),match(E24,IMPORTRANGE(""https://docs.google.com/spreadsheets/d/1WbE6"&amp;"HOh_eG5_DM53SVfuckYm0VQnhNvuwjql7Tw1FX0/edit?gid=660406182#gid=660406182"", ""'""&amp;D24&amp;""'!B2:B45""),0),1))"),"FE4063A")</f>
        <v>FE4063A</v>
      </c>
      <c r="B24" s="229" t="str">
        <f>IFERROR(__xludf.DUMMYFUNCTION("if(E24=506,""-"",INDEX(IMPORTRANGE(""https://docs.google.com/spreadsheets/d/1WbE6HOh_eG5_DM53SVfuckYm0VQnhNvuwjql7Tw1FX0/edit?gid=660406182#gid=660406182"", ""'""&amp;D24&amp;""'!D2:D45""),match(E24,IMPORTRANGE(""https://docs.google.com/spreadsheets/d/1WbE6HOh_eG"&amp;"5_DM53SVfuckYm0VQnhNvuwjql7Tw1FX0/edit?gid=660406182#gid=660406182"", ""'""&amp;D24&amp;""'!B2:B45""),0),1))"),"Keto")</f>
        <v>Keto</v>
      </c>
      <c r="C24" s="135" t="str">
        <f>IFERROR(__xludf.DUMMYFUNCTION("if(A24=""FEA006A"",""Garlic Herb Grilled Chicken"", ifna(INDEX(IMPORTRANGE(""https://docs.google.com/spreadsheets/d/1mnGm3iYGkB4FyqAD-LwwVYksgBMX_SY4qHQa16KgMiw/edit?gid=1956920866#gid=1956920866"", ""'EU Meal Database'!$E$2:$E""),MATCH(A24,IMPORTRANGE("""&amp;"https://docs.google.com/spreadsheets/d/1mnGm3iYGkB4FyqAD-LwwVYksgBMX_SY4qHQa16KgMiw/edit?gid=1956920866#gid=1956920866"",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DB_Product'!$B$2:$B""),MATCH(A24,IMPORTRANGE(""https://docs.google.com/spreadsheets/d/1n4t_JF5P_MLd0hMmhjv1A2rgLKdyee_-mrZZmdZr9G4/edit?gid=670402169#gid=670402169"", ""'Meal DB_Product'!$A$2:$A""),0))))"),"Cheddar pulled beef")</f>
        <v>Cheddar pulled beef</v>
      </c>
      <c r="D24" s="62" t="s">
        <v>227</v>
      </c>
      <c r="E24" s="230">
        <v>403.0</v>
      </c>
      <c r="F24" s="62">
        <v>603.0</v>
      </c>
      <c r="G24" s="231">
        <v>303.0</v>
      </c>
      <c r="H24" s="232">
        <f>IFERROR(__xludf.DUMMYFUNCTION("""COMPUTED_VALUE"""),3803.0)</f>
        <v>3803</v>
      </c>
      <c r="I24" s="232">
        <f>IFERROR(__xludf.DUMMYFUNCTION("""COMPUTED_VALUE"""),1968.0)</f>
        <v>1968</v>
      </c>
      <c r="J24" s="233">
        <f>IFERROR(__xludf.DUMMYFUNCTION("""COMPUTED_VALUE"""),2024.0)</f>
        <v>2024</v>
      </c>
      <c r="K24" s="62"/>
      <c r="L24" s="243">
        <f t="shared" ref="L24:M24" si="66">H24+20</f>
        <v>3823</v>
      </c>
      <c r="M24" s="244">
        <f t="shared" si="66"/>
        <v>1988</v>
      </c>
      <c r="N24" s="245">
        <f t="shared" si="63"/>
        <v>2044</v>
      </c>
      <c r="O24" s="268">
        <f t="array" ref="O24">iferror(if(INDEX('Slot Selection'!$A$2:$BJ$38, MATCH(E24-400,'Slot Selection'!$A$2:$A$38, 0), MATCH("2026-"&amp;D24,'Slot Selection'!$2:$2, 0)),1,0),0)</f>
        <v>0</v>
      </c>
      <c r="P24" s="269">
        <f t="array" ref="P24">iferror(if(INDEX('Slot Selection'!$A$80:$BJ$116, MATCH(F24-600,'Slot Selection'!$A$80:$A$116, 0), MATCH("2026-"&amp;D24,'Slot Selection'!$80:$80, 0)),1,0),0)</f>
        <v>0</v>
      </c>
      <c r="Q24" s="270">
        <f t="array" ref="Q24">iferror(if(INDEX('Slot Selection'!$A$41:$BJ$77, MATCH(F24-600,'Slot Selection'!$A$41:$A$77, 0), MATCH("2026-"&amp;D24,'Slot Selection'!$41:$41, 0)),1,0),0)</f>
        <v>0</v>
      </c>
      <c r="R24" s="230">
        <f t="shared" ref="R24:T24" si="67">L24*O24</f>
        <v>0</v>
      </c>
      <c r="S24" s="248">
        <f t="shared" si="67"/>
        <v>0</v>
      </c>
      <c r="T24" s="249">
        <f t="shared" si="67"/>
        <v>0</v>
      </c>
      <c r="U24" s="243">
        <f t="shared" ref="U24:W24" si="68">L24-R24</f>
        <v>3823</v>
      </c>
      <c r="V24" s="244">
        <f t="shared" si="68"/>
        <v>1988</v>
      </c>
      <c r="W24" s="245">
        <f t="shared" si="68"/>
        <v>2044</v>
      </c>
    </row>
    <row r="25">
      <c r="A25" s="242" t="str">
        <f>IFERROR(__xludf.DUMMYFUNCTION("if(E25=506,""FEA006A"",INDEX(IMPORTRANGE(""https://docs.google.com/spreadsheets/d/1WbE6HOh_eG5_DM53SVfuckYm0VQnhNvuwjql7Tw1FX0/edit?gid=660406182#gid=660406182"", ""'""&amp;D25&amp;""'!H2:H45""),match(E25,IMPORTRANGE(""https://docs.google.com/spreadsheets/d/1WbE6"&amp;"HOh_eG5_DM53SVfuckYm0VQnhNvuwjql7Tw1FX0/edit?gid=660406182#gid=660406182"", ""'""&amp;D25&amp;""'!B2:B45""),0),1))"),"FE4027B")</f>
        <v>FE4027B</v>
      </c>
      <c r="B25" s="229" t="str">
        <f>IFERROR(__xludf.DUMMYFUNCTION("if(E25=506,""-"",INDEX(IMPORTRANGE(""https://docs.google.com/spreadsheets/d/1WbE6HOh_eG5_DM53SVfuckYm0VQnhNvuwjql7Tw1FX0/edit?gid=660406182#gid=660406182"", ""'""&amp;D25&amp;""'!D2:D45""),match(E25,IMPORTRANGE(""https://docs.google.com/spreadsheets/d/1WbE6HOh_eG"&amp;"5_DM53SVfuckYm0VQnhNvuwjql7Tw1FX0/edit?gid=660406182#gid=660406182"", ""'""&amp;D25&amp;""'!B2:B45""),0),1))"),"P+")</f>
        <v>P+</v>
      </c>
      <c r="C25" s="135" t="str">
        <f>IFERROR(__xludf.DUMMYFUNCTION("if(A25=""FEA006A"",""Garlic Herb Grilled Chicken"", ifna(INDEX(IMPORTRANGE(""https://docs.google.com/spreadsheets/d/1mnGm3iYGkB4FyqAD-LwwVYksgBMX_SY4qHQa16KgMiw/edit?gid=1956920866#gid=1956920866"", ""'EU Meal Database'!$E$2:$E""),MATCH(A25,IMPORTRANGE("""&amp;"https://docs.google.com/spreadsheets/d/1mnGm3iYGkB4FyqAD-LwwVYksgBMX_SY4qHQa16KgMiw/edit?gid=1956920866#gid=1956920866"",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DB_Product'!$B$2:$B""),MATCH(A25,IMPORTRANGE(""https://docs.google.com/spreadsheets/d/1n4t_JF5P_MLd0hMmhjv1A2rgLKdyee_-mrZZmdZr9G4/edit?gid=670402169#gid=670402169"", ""'Meal DB_Product'!$A$2:$A""),0))))"),"Beef &amp; BBQ sauce")</f>
        <v>Beef &amp; BBQ sauce</v>
      </c>
      <c r="D25" s="62" t="s">
        <v>227</v>
      </c>
      <c r="E25" s="230">
        <v>404.0</v>
      </c>
      <c r="F25" s="62">
        <v>604.0</v>
      </c>
      <c r="G25" s="231">
        <v>304.0</v>
      </c>
      <c r="H25" s="232">
        <f>IFERROR(__xludf.DUMMYFUNCTION("""COMPUTED_VALUE"""),5361.0)</f>
        <v>5361</v>
      </c>
      <c r="I25" s="232">
        <f>IFERROR(__xludf.DUMMYFUNCTION("""COMPUTED_VALUE"""),2709.0)</f>
        <v>2709</v>
      </c>
      <c r="J25" s="233">
        <f>IFERROR(__xludf.DUMMYFUNCTION("""COMPUTED_VALUE"""),2356.0)</f>
        <v>2356</v>
      </c>
      <c r="K25" s="244">
        <f>IFERROR(__xludf.DUMMYFUNCTION("""COMPUTED_VALUE"""),16.0)</f>
        <v>16</v>
      </c>
      <c r="L25" s="243">
        <f t="shared" ref="L25:M25" si="69">H25+20</f>
        <v>5381</v>
      </c>
      <c r="M25" s="244">
        <f t="shared" si="69"/>
        <v>2729</v>
      </c>
      <c r="N25" s="245">
        <f t="shared" si="63"/>
        <v>2392</v>
      </c>
      <c r="O25" s="268">
        <f t="array" ref="O25">iferror(if(INDEX('Slot Selection'!$A$2:$BJ$38, MATCH(E25-400,'Slot Selection'!$A$2:$A$38, 0), MATCH("2026-"&amp;D25,'Slot Selection'!$2:$2, 0)),1,0),0)</f>
        <v>0</v>
      </c>
      <c r="P25" s="269">
        <f t="array" ref="P25">iferror(if(INDEX('Slot Selection'!$A$80:$BJ$116, MATCH(F25-600,'Slot Selection'!$A$80:$A$116, 0), MATCH("2026-"&amp;D25,'Slot Selection'!$80:$80, 0)),1,0),0)</f>
        <v>0</v>
      </c>
      <c r="Q25" s="270">
        <f t="array" ref="Q25">iferror(if(INDEX('Slot Selection'!$A$41:$BJ$77, MATCH(F25-600,'Slot Selection'!$A$41:$A$77, 0), MATCH("2026-"&amp;D25,'Slot Selection'!$41:$41, 0)),1,0),0)</f>
        <v>0</v>
      </c>
      <c r="R25" s="230">
        <f t="shared" ref="R25:T25" si="70">L25*O25</f>
        <v>0</v>
      </c>
      <c r="S25" s="248">
        <f t="shared" si="70"/>
        <v>0</v>
      </c>
      <c r="T25" s="249">
        <f t="shared" si="70"/>
        <v>0</v>
      </c>
      <c r="U25" s="243">
        <f t="shared" ref="U25:W25" si="71">L25-R25</f>
        <v>5381</v>
      </c>
      <c r="V25" s="244">
        <f t="shared" si="71"/>
        <v>2729</v>
      </c>
      <c r="W25" s="245">
        <f t="shared" si="71"/>
        <v>2392</v>
      </c>
    </row>
    <row r="26">
      <c r="A26" s="242" t="str">
        <f>IFERROR(__xludf.DUMMYFUNCTION("if(E26=506,""FEA006A"",INDEX(IMPORTRANGE(""https://docs.google.com/spreadsheets/d/1WbE6HOh_eG5_DM53SVfuckYm0VQnhNvuwjql7Tw1FX0/edit?gid=660406182#gid=660406182"", ""'""&amp;D26&amp;""'!H2:H45""),match(E26,IMPORTRANGE(""https://docs.google.com/spreadsheets/d/1WbE6"&amp;"HOh_eG5_DM53SVfuckYm0VQnhNvuwjql7Tw1FX0/edit?gid=660406182#gid=660406182"", ""'""&amp;D26&amp;""'!B2:B45""),0),1))"),"FE4015A")</f>
        <v>FE4015A</v>
      </c>
      <c r="B26" s="229" t="str">
        <f>IFERROR(__xludf.DUMMYFUNCTION("if(E26=506,""-"",INDEX(IMPORTRANGE(""https://docs.google.com/spreadsheets/d/1WbE6HOh_eG5_DM53SVfuckYm0VQnhNvuwjql7Tw1FX0/edit?gid=660406182#gid=660406182"", ""'""&amp;D26&amp;""'!D2:D45""),match(E26,IMPORTRANGE(""https://docs.google.com/spreadsheets/d/1WbE6HOh_eG"&amp;"5_DM53SVfuckYm0VQnhNvuwjql7Tw1FX0/edit?gid=660406182#gid=660406182"", ""'""&amp;D26&amp;""'!B2:B45""),0),1))"),"CS")</f>
        <v>CS</v>
      </c>
      <c r="C26" s="135" t="str">
        <f>IFERROR(__xludf.DUMMYFUNCTION("if(A26=""FEA006A"",""Garlic Herb Grilled Chicken"", ifna(INDEX(IMPORTRANGE(""https://docs.google.com/spreadsheets/d/1mnGm3iYGkB4FyqAD-LwwVYksgBMX_SY4qHQa16KgMiw/edit?gid=1956920866#gid=1956920866"", ""'EU Meal Database'!$E$2:$E""),MATCH(A26,IMPORTRANGE("""&amp;"https://docs.google.com/spreadsheets/d/1mnGm3iYGkB4FyqAD-LwwVYksgBMX_SY4qHQa16KgMiw/edit?gid=1956920866#gid=1956920866"",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DB_Product'!$B$2:$B""),MATCH(A26,IMPORTRANGE(""https://docs.google.com/spreadsheets/d/1n4t_JF5P_MLd0hMmhjv1A2rgLKdyee_-mrZZmdZr9G4/edit?gid=670402169#gid=670402169"", ""'Meal DB_Product'!$A$2:$A""),0))))"),"Grilled chicken and ratatouille")</f>
        <v>Grilled chicken and ratatouille</v>
      </c>
      <c r="D26" s="62" t="s">
        <v>227</v>
      </c>
      <c r="E26" s="230">
        <v>405.0</v>
      </c>
      <c r="F26" s="62">
        <v>605.0</v>
      </c>
      <c r="G26" s="231">
        <v>305.0</v>
      </c>
      <c r="H26" s="232">
        <f>IFERROR(__xludf.DUMMYFUNCTION("""COMPUTED_VALUE"""),3171.0)</f>
        <v>3171</v>
      </c>
      <c r="I26" s="232">
        <f>IFERROR(__xludf.DUMMYFUNCTION("""COMPUTED_VALUE"""),1850.0)</f>
        <v>1850</v>
      </c>
      <c r="J26" s="233">
        <f>IFERROR(__xludf.DUMMYFUNCTION("""COMPUTED_VALUE"""),1797.0)</f>
        <v>1797</v>
      </c>
      <c r="K26" s="62"/>
      <c r="L26" s="243">
        <f t="shared" ref="L26:M26" si="72">H26+20</f>
        <v>3191</v>
      </c>
      <c r="M26" s="244">
        <f t="shared" si="72"/>
        <v>1870</v>
      </c>
      <c r="N26" s="245">
        <f t="shared" si="63"/>
        <v>1817</v>
      </c>
      <c r="O26" s="268">
        <f t="array" ref="O26">iferror(if(INDEX('Slot Selection'!$A$2:$BJ$38, MATCH(E26-400,'Slot Selection'!$A$2:$A$38, 0), MATCH("2026-"&amp;D26,'Slot Selection'!$2:$2, 0)),1,0),0)</f>
        <v>0</v>
      </c>
      <c r="P26" s="269">
        <f t="array" ref="P26">iferror(if(INDEX('Slot Selection'!$A$80:$BJ$116, MATCH(F26-600,'Slot Selection'!$A$80:$A$116, 0), MATCH("2026-"&amp;D26,'Slot Selection'!$80:$80, 0)),1,0),0)</f>
        <v>0</v>
      </c>
      <c r="Q26" s="270">
        <f t="array" ref="Q26">iferror(if(INDEX('Slot Selection'!$A$41:$BJ$77, MATCH(F26-600,'Slot Selection'!$A$41:$A$77, 0), MATCH("2026-"&amp;D26,'Slot Selection'!$41:$41, 0)),1,0),0)</f>
        <v>0</v>
      </c>
      <c r="R26" s="230">
        <f t="shared" ref="R26:T26" si="73">L26*O26</f>
        <v>0</v>
      </c>
      <c r="S26" s="248">
        <f t="shared" si="73"/>
        <v>0</v>
      </c>
      <c r="T26" s="249">
        <f t="shared" si="73"/>
        <v>0</v>
      </c>
      <c r="U26" s="243">
        <f t="shared" ref="U26:W26" si="74">L26-R26</f>
        <v>3191</v>
      </c>
      <c r="V26" s="244">
        <f t="shared" si="74"/>
        <v>1870</v>
      </c>
      <c r="W26" s="245">
        <f t="shared" si="74"/>
        <v>1817</v>
      </c>
    </row>
    <row r="27">
      <c r="A27" s="242" t="str">
        <f>IFERROR(__xludf.DUMMYFUNCTION("if(E27=506,""FEA006A"",INDEX(IMPORTRANGE(""https://docs.google.com/spreadsheets/d/1WbE6HOh_eG5_DM53SVfuckYm0VQnhNvuwjql7Tw1FX0/edit?gid=660406182#gid=660406182"", ""'""&amp;D27&amp;""'!H2:H45""),match(E27,IMPORTRANGE(""https://docs.google.com/spreadsheets/d/1WbE6"&amp;"HOh_eG5_DM53SVfuckYm0VQnhNvuwjql7Tw1FX0/edit?gid=660406182#gid=660406182"", ""'""&amp;D27&amp;""'!B2:B45""),0),1))"),"FE4039C")</f>
        <v>FE4039C</v>
      </c>
      <c r="B27" s="229" t="str">
        <f>IFERROR(__xludf.DUMMYFUNCTION("if(E27=506,""-"",INDEX(IMPORTRANGE(""https://docs.google.com/spreadsheets/d/1WbE6HOh_eG5_DM53SVfuckYm0VQnhNvuwjql7Tw1FX0/edit?gid=660406182#gid=660406182"", ""'""&amp;D27&amp;""'!D2:D45""),match(E27,IMPORTRANGE(""https://docs.google.com/spreadsheets/d/1WbE6HOh_eG"&amp;"5_DM53SVfuckYm0VQnhNvuwjql7Tw1FX0/edit?gid=660406182#gid=660406182"", ""'""&amp;D27&amp;""'!B2:B45""),0),1))"),"Keto")</f>
        <v>Keto</v>
      </c>
      <c r="C27" s="135" t="str">
        <f>IFERROR(__xludf.DUMMYFUNCTION("if(A27=""FEA006A"",""Garlic Herb Grilled Chicken"", ifna(INDEX(IMPORTRANGE(""https://docs.google.com/spreadsheets/d/1mnGm3iYGkB4FyqAD-LwwVYksgBMX_SY4qHQa16KgMiw/edit?gid=1956920866#gid=1956920866"", ""'EU Meal Database'!$E$2:$E""),MATCH(A27,IMPORTRANGE("""&amp;"https://docs.google.com/spreadsheets/d/1mnGm3iYGkB4FyqAD-LwwVYksgBMX_SY4qHQa16KgMiw/edit?gid=1956920866#gid=1956920866"",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DB_Product'!$B$2:$B""),MATCH(A27,IMPORTRANGE(""https://docs.google.com/spreadsheets/d/1n4t_JF5P_MLd0hMmhjv1A2rgLKdyee_-mrZZmdZr9G4/edit?gid=670402169#gid=670402169"", ""'Meal DB_Product'!$A$2:$A""),0))))"),"Salmon in creamy gochugaru sauce")</f>
        <v>Salmon in creamy gochugaru sauce</v>
      </c>
      <c r="D27" s="62" t="s">
        <v>227</v>
      </c>
      <c r="E27" s="230">
        <v>406.0</v>
      </c>
      <c r="F27" s="62">
        <v>606.0</v>
      </c>
      <c r="G27" s="231">
        <v>306.0</v>
      </c>
      <c r="H27" s="232">
        <f>IFERROR(__xludf.DUMMYFUNCTION("""COMPUTED_VALUE"""),3026.0)</f>
        <v>3026</v>
      </c>
      <c r="I27" s="232">
        <f>IFERROR(__xludf.DUMMYFUNCTION("""COMPUTED_VALUE"""),1673.0)</f>
        <v>1673</v>
      </c>
      <c r="J27" s="233">
        <f>IFERROR(__xludf.DUMMYFUNCTION("""COMPUTED_VALUE"""),1844.0)</f>
        <v>1844</v>
      </c>
      <c r="K27" s="244">
        <f>IFERROR(__xludf.DUMMYFUNCTION("""COMPUTED_VALUE"""),16.0)</f>
        <v>16</v>
      </c>
      <c r="L27" s="243">
        <f t="shared" ref="L27:M27" si="75">H27+20</f>
        <v>3046</v>
      </c>
      <c r="M27" s="244">
        <f t="shared" si="75"/>
        <v>1693</v>
      </c>
      <c r="N27" s="245">
        <f t="shared" si="63"/>
        <v>1880</v>
      </c>
      <c r="O27" s="268">
        <f t="array" ref="O27">iferror(if(INDEX('Slot Selection'!$A$2:$BJ$38, MATCH(E27-400,'Slot Selection'!$A$2:$A$38, 0), MATCH("2026-"&amp;D27,'Slot Selection'!$2:$2, 0)),1,0),0)</f>
        <v>0</v>
      </c>
      <c r="P27" s="269">
        <f t="array" ref="P27">iferror(if(INDEX('Slot Selection'!$A$80:$BJ$116, MATCH(F27-600,'Slot Selection'!$A$80:$A$116, 0), MATCH("2026-"&amp;D27,'Slot Selection'!$80:$80, 0)),1,0),0)</f>
        <v>0</v>
      </c>
      <c r="Q27" s="270">
        <f t="array" ref="Q27">iferror(if(INDEX('Slot Selection'!$A$41:$BJ$77, MATCH(F27-600,'Slot Selection'!$A$41:$A$77, 0), MATCH("2026-"&amp;D27,'Slot Selection'!$41:$41, 0)),1,0),0)</f>
        <v>0</v>
      </c>
      <c r="R27" s="230">
        <f t="shared" ref="R27:T27" si="76">L27*O27</f>
        <v>0</v>
      </c>
      <c r="S27" s="248">
        <f t="shared" si="76"/>
        <v>0</v>
      </c>
      <c r="T27" s="249">
        <f t="shared" si="76"/>
        <v>0</v>
      </c>
      <c r="U27" s="243">
        <f t="shared" ref="U27:W27" si="77">L27-R27</f>
        <v>3046</v>
      </c>
      <c r="V27" s="244">
        <f t="shared" si="77"/>
        <v>1693</v>
      </c>
      <c r="W27" s="245">
        <f t="shared" si="77"/>
        <v>1880</v>
      </c>
    </row>
    <row r="28">
      <c r="A28" s="242" t="str">
        <f>IFERROR(__xludf.DUMMYFUNCTION("if(E28=506,""FEA006A"",INDEX(IMPORTRANGE(""https://docs.google.com/spreadsheets/d/1WbE6HOh_eG5_DM53SVfuckYm0VQnhNvuwjql7Tw1FX0/edit?gid=660406182#gid=660406182"", ""'""&amp;D28&amp;""'!H2:H45""),match(E28,IMPORTRANGE(""https://docs.google.com/spreadsheets/d/1WbE6"&amp;"HOh_eG5_DM53SVfuckYm0VQnhNvuwjql7Tw1FX0/edit?gid=660406182#gid=660406182"", ""'""&amp;D28&amp;""'!B2:B45""),0),1))"),"FE0794D")</f>
        <v>FE0794D</v>
      </c>
      <c r="B28" s="229" t="str">
        <f>IFERROR(__xludf.DUMMYFUNCTION("if(E28=506,""-"",INDEX(IMPORTRANGE(""https://docs.google.com/spreadsheets/d/1WbE6HOh_eG5_DM53SVfuckYm0VQnhNvuwjql7Tw1FX0/edit?gid=660406182#gid=660406182"", ""'""&amp;D28&amp;""'!D2:D45""),match(E28,IMPORTRANGE(""https://docs.google.com/spreadsheets/d/1WbE6HOh_eG"&amp;"5_DM53SVfuckYm0VQnhNvuwjql7Tw1FX0/edit?gid=660406182#gid=660406182"", ""'""&amp;D28&amp;""'!B2:B45""),0),1))"),"Keto")</f>
        <v>Keto</v>
      </c>
      <c r="C28" s="135" t="str">
        <f>IFERROR(__xludf.DUMMYFUNCTION("if(A28=""FEA006A"",""Garlic Herb Grilled Chicken"", ifna(INDEX(IMPORTRANGE(""https://docs.google.com/spreadsheets/d/1mnGm3iYGkB4FyqAD-LwwVYksgBMX_SY4qHQa16KgMiw/edit?gid=1956920866#gid=1956920866"", ""'EU Meal Database'!$E$2:$E""),MATCH(A28,IMPORTRANGE("""&amp;"https://docs.google.com/spreadsheets/d/1mnGm3iYGkB4FyqAD-LwwVYksgBMX_SY4qHQa16KgMiw/edit?gid=1956920866#gid=1956920866"",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DB_Product'!$B$2:$B""),MATCH(A28,IMPORTRANGE(""https://docs.google.com/spreadsheets/d/1n4t_JF5P_MLd0hMmhjv1A2rgLKdyee_-mrZZmdZr9G4/edit?gid=670402169#gid=670402169"", ""'Meal DB_Product'!$A$2:$A""),0))))"),"Loaded Bacon Shredded Chicken")</f>
        <v>Loaded Bacon Shredded Chicken</v>
      </c>
      <c r="D28" s="62" t="s">
        <v>227</v>
      </c>
      <c r="E28" s="230">
        <v>407.0</v>
      </c>
      <c r="F28" s="62">
        <v>607.0</v>
      </c>
      <c r="G28" s="231">
        <v>307.0</v>
      </c>
      <c r="H28" s="232">
        <f>IFERROR(__xludf.DUMMYFUNCTION("""COMPUTED_VALUE"""),2784.0)</f>
        <v>2784</v>
      </c>
      <c r="I28" s="232">
        <f>IFERROR(__xludf.DUMMYFUNCTION("""COMPUTED_VALUE"""),1471.0)</f>
        <v>1471</v>
      </c>
      <c r="J28" s="233">
        <f>IFERROR(__xludf.DUMMYFUNCTION("""COMPUTED_VALUE"""),1491.0)</f>
        <v>1491</v>
      </c>
      <c r="K28" s="62"/>
      <c r="L28" s="243">
        <f t="shared" ref="L28:M28" si="78">H28+20</f>
        <v>2804</v>
      </c>
      <c r="M28" s="244">
        <f t="shared" si="78"/>
        <v>1491</v>
      </c>
      <c r="N28" s="245">
        <f t="shared" si="63"/>
        <v>1511</v>
      </c>
      <c r="O28" s="268">
        <f t="array" ref="O28">iferror(if(INDEX('Slot Selection'!$A$2:$BJ$38, MATCH(E28-400,'Slot Selection'!$A$2:$A$38, 0), MATCH("2026-"&amp;D28,'Slot Selection'!$2:$2, 0)),1,0),0)</f>
        <v>0</v>
      </c>
      <c r="P28" s="269">
        <f t="array" ref="P28">iferror(if(INDEX('Slot Selection'!$A$80:$BJ$116, MATCH(F28-600,'Slot Selection'!$A$80:$A$116, 0), MATCH("2026-"&amp;D28,'Slot Selection'!$80:$80, 0)),1,0),0)</f>
        <v>0</v>
      </c>
      <c r="Q28" s="270">
        <f t="array" ref="Q28">iferror(if(INDEX('Slot Selection'!$A$41:$BJ$77, MATCH(F28-600,'Slot Selection'!$A$41:$A$77, 0), MATCH("2026-"&amp;D28,'Slot Selection'!$41:$41, 0)),1,0),0)</f>
        <v>0</v>
      </c>
      <c r="R28" s="230">
        <f t="shared" ref="R28:T28" si="79">L28*O28</f>
        <v>0</v>
      </c>
      <c r="S28" s="248">
        <f t="shared" si="79"/>
        <v>0</v>
      </c>
      <c r="T28" s="249">
        <f t="shared" si="79"/>
        <v>0</v>
      </c>
      <c r="U28" s="243">
        <f t="shared" ref="U28:W28" si="80">L28-R28</f>
        <v>2804</v>
      </c>
      <c r="V28" s="244">
        <f t="shared" si="80"/>
        <v>1491</v>
      </c>
      <c r="W28" s="245">
        <f t="shared" si="80"/>
        <v>1511</v>
      </c>
    </row>
    <row r="29">
      <c r="A29" s="242" t="str">
        <f>IFERROR(__xludf.DUMMYFUNCTION("if(E29=506,""FEA006A"",INDEX(IMPORTRANGE(""https://docs.google.com/spreadsheets/d/1WbE6HOh_eG5_DM53SVfuckYm0VQnhNvuwjql7Tw1FX0/edit?gid=660406182#gid=660406182"", ""'""&amp;D29&amp;""'!H2:H45""),match(E29,IMPORTRANGE(""https://docs.google.com/spreadsheets/d/1WbE6"&amp;"HOh_eG5_DM53SVfuckYm0VQnhNvuwjql7Tw1FX0/edit?gid=660406182#gid=660406182"", ""'""&amp;D29&amp;""'!B2:B45""),0),1))"),"FE0207I")</f>
        <v>FE0207I</v>
      </c>
      <c r="B29" s="229" t="str">
        <f>IFERROR(__xludf.DUMMYFUNCTION("if(E29=506,""-"",INDEX(IMPORTRANGE(""https://docs.google.com/spreadsheets/d/1WbE6HOh_eG5_DM53SVfuckYm0VQnhNvuwjql7Tw1FX0/edit?gid=660406182#gid=660406182"", ""'""&amp;D29&amp;""'!D2:D45""),match(E29,IMPORTRANGE(""https://docs.google.com/spreadsheets/d/1WbE6HOh_eG"&amp;"5_DM53SVfuckYm0VQnhNvuwjql7Tw1FX0/edit?gid=660406182#gid=660406182"", ""'""&amp;D29&amp;""'!B2:B45""),0),1))"),"Keto")</f>
        <v>Keto</v>
      </c>
      <c r="C29" s="135" t="str">
        <f>IFERROR(__xludf.DUMMYFUNCTION("if(A29=""FEA006A"",""Garlic Herb Grilled Chicken"", ifna(INDEX(IMPORTRANGE(""https://docs.google.com/spreadsheets/d/1mnGm3iYGkB4FyqAD-LwwVYksgBMX_SY4qHQa16KgMiw/edit?gid=1956920866#gid=1956920866"", ""'EU Meal Database'!$E$2:$E""),MATCH(A29,IMPORTRANGE("""&amp;"https://docs.google.com/spreadsheets/d/1mnGm3iYGkB4FyqAD-LwwVYksgBMX_SY4qHQa16KgMiw/edit?gid=1956920866#gid=1956920866"",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DB_Product'!$B$2:$B""),MATCH(A29,IMPORTRANGE(""https://docs.google.com/spreadsheets/d/1n4t_JF5P_MLd0hMmhjv1A2rgLKdyee_-mrZZmdZr9G4/edit?gid=670402169#gid=670402169"", ""'Meal DB_Product'!$A$2:$A""),0))))"),"Chicken in creamy spinach")</f>
        <v>Chicken in creamy spinach</v>
      </c>
      <c r="D29" s="62" t="s">
        <v>227</v>
      </c>
      <c r="E29" s="230">
        <v>408.0</v>
      </c>
      <c r="F29" s="62">
        <v>608.0</v>
      </c>
      <c r="G29" s="231">
        <v>308.0</v>
      </c>
      <c r="H29" s="232">
        <f>IFERROR(__xludf.DUMMYFUNCTION("""COMPUTED_VALUE"""),1984.0)</f>
        <v>1984</v>
      </c>
      <c r="I29" s="232">
        <f>IFERROR(__xludf.DUMMYFUNCTION("""COMPUTED_VALUE"""),1149.0)</f>
        <v>1149</v>
      </c>
      <c r="J29" s="233">
        <f>IFERROR(__xludf.DUMMYFUNCTION("""COMPUTED_VALUE"""),1231.0)</f>
        <v>1231</v>
      </c>
      <c r="K29" s="244">
        <f>IFERROR(__xludf.DUMMYFUNCTION("""COMPUTED_VALUE"""),16.0)</f>
        <v>16</v>
      </c>
      <c r="L29" s="243">
        <f t="shared" ref="L29:M29" si="81">H29+20</f>
        <v>2004</v>
      </c>
      <c r="M29" s="244">
        <f t="shared" si="81"/>
        <v>1169</v>
      </c>
      <c r="N29" s="245">
        <f t="shared" si="63"/>
        <v>1267</v>
      </c>
      <c r="O29" s="268">
        <f t="array" ref="O29">iferror(if(INDEX('Slot Selection'!$A$2:$BJ$38, MATCH(E29-400,'Slot Selection'!$A$2:$A$38, 0), MATCH("2026-"&amp;D29,'Slot Selection'!$2:$2, 0)),1,0),0)</f>
        <v>0</v>
      </c>
      <c r="P29" s="269">
        <f t="array" ref="P29">iferror(if(INDEX('Slot Selection'!$A$80:$BJ$116, MATCH(F29-600,'Slot Selection'!$A$80:$A$116, 0), MATCH("2026-"&amp;D29,'Slot Selection'!$80:$80, 0)),1,0),0)</f>
        <v>0</v>
      </c>
      <c r="Q29" s="270">
        <f t="array" ref="Q29">iferror(if(INDEX('Slot Selection'!$A$41:$BJ$77, MATCH(F29-600,'Slot Selection'!$A$41:$A$77, 0), MATCH("2026-"&amp;D29,'Slot Selection'!$41:$41, 0)),1,0),0)</f>
        <v>0</v>
      </c>
      <c r="R29" s="230">
        <f t="shared" ref="R29:T29" si="82">L29*O29</f>
        <v>0</v>
      </c>
      <c r="S29" s="248">
        <f t="shared" si="82"/>
        <v>0</v>
      </c>
      <c r="T29" s="249">
        <f t="shared" si="82"/>
        <v>0</v>
      </c>
      <c r="U29" s="243">
        <f t="shared" ref="U29:W29" si="83">L29-R29</f>
        <v>2004</v>
      </c>
      <c r="V29" s="244">
        <f t="shared" si="83"/>
        <v>1169</v>
      </c>
      <c r="W29" s="245">
        <f t="shared" si="83"/>
        <v>1267</v>
      </c>
    </row>
    <row r="30">
      <c r="A30" s="242" t="str">
        <f>IFERROR(__xludf.DUMMYFUNCTION("if(E30=506,""FEA006A"",INDEX(IMPORTRANGE(""https://docs.google.com/spreadsheets/d/1WbE6HOh_eG5_DM53SVfuckYm0VQnhNvuwjql7Tw1FX0/edit?gid=660406182#gid=660406182"", ""'""&amp;D30&amp;""'!H2:H45""),match(E30,IMPORTRANGE(""https://docs.google.com/spreadsheets/d/1WbE6"&amp;"HOh_eG5_DM53SVfuckYm0VQnhNvuwjql7Tw1FX0/edit?gid=660406182#gid=660406182"", ""'""&amp;D30&amp;""'!B2:B45""),0),1))"),"FE0121C")</f>
        <v>FE0121C</v>
      </c>
      <c r="B30" s="229" t="str">
        <f>IFERROR(__xludf.DUMMYFUNCTION("if(E30=506,""-"",INDEX(IMPORTRANGE(""https://docs.google.com/spreadsheets/d/1WbE6HOh_eG5_DM53SVfuckYm0VQnhNvuwjql7Tw1FX0/edit?gid=660406182#gid=660406182"", ""'""&amp;D30&amp;""'!D2:D45""),match(E30,IMPORTRANGE(""https://docs.google.com/spreadsheets/d/1WbE6HOh_eG"&amp;"5_DM53SVfuckYm0VQnhNvuwjql7Tw1FX0/edit?gid=660406182#gid=660406182"", ""'""&amp;D30&amp;""'!B2:B45""),0),1))"),"Veggie")</f>
        <v>Veggie</v>
      </c>
      <c r="C30" s="135" t="str">
        <f>IFERROR(__xludf.DUMMYFUNCTION("if(A30=""FEA006A"",""Garlic Herb Grilled Chicken"", ifna(INDEX(IMPORTRANGE(""https://docs.google.com/spreadsheets/d/1mnGm3iYGkB4FyqAD-LwwVYksgBMX_SY4qHQa16KgMiw/edit?gid=1956920866#gid=1956920866"", ""'EU Meal Database'!$E$2:$E""),MATCH(A30,IMPORTRANGE("""&amp;"https://docs.google.com/spreadsheets/d/1mnGm3iYGkB4FyqAD-LwwVYksgBMX_SY4qHQa16KgMiw/edit?gid=1956920866#gid=1956920866"",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DB_Product'!$B$2:$B""),MATCH(A30,IMPORTRANGE(""https://docs.google.com/spreadsheets/d/1n4t_JF5P_MLd0hMmhjv1A2rgLKdyee_-mrZZmdZr9G4/edit?gid=670402169#gid=670402169"", ""'Meal DB_Product'!$A$2:$A""),0))))"),"Mexican style corn cake")</f>
        <v>Mexican style corn cake</v>
      </c>
      <c r="D30" s="62" t="s">
        <v>227</v>
      </c>
      <c r="E30" s="230">
        <v>409.0</v>
      </c>
      <c r="F30" s="62">
        <v>609.0</v>
      </c>
      <c r="G30" s="231">
        <v>309.0</v>
      </c>
      <c r="H30" s="232">
        <f>IFERROR(__xludf.DUMMYFUNCTION("""COMPUTED_VALUE"""),697.0)</f>
        <v>697</v>
      </c>
      <c r="I30" s="232">
        <f>IFERROR(__xludf.DUMMYFUNCTION("""COMPUTED_VALUE"""),297.0)</f>
        <v>297</v>
      </c>
      <c r="J30" s="233">
        <f>IFERROR(__xludf.DUMMYFUNCTION("""COMPUTED_VALUE"""),307.0)</f>
        <v>307</v>
      </c>
      <c r="K30" s="62"/>
      <c r="L30" s="243">
        <f t="shared" ref="L30:M30" si="84">H30+20</f>
        <v>717</v>
      </c>
      <c r="M30" s="244">
        <f t="shared" si="84"/>
        <v>317</v>
      </c>
      <c r="N30" s="245">
        <f t="shared" si="63"/>
        <v>327</v>
      </c>
      <c r="O30" s="268">
        <f t="array" ref="O30">iferror(if(INDEX('Slot Selection'!$A$2:$BJ$38, MATCH(E30-400,'Slot Selection'!$A$2:$A$38, 0), MATCH("2026-"&amp;D30,'Slot Selection'!$2:$2, 0)),1,0),0)</f>
        <v>0</v>
      </c>
      <c r="P30" s="269">
        <f t="array" ref="P30">iferror(if(INDEX('Slot Selection'!$A$80:$BJ$116, MATCH(F30-600,'Slot Selection'!$A$80:$A$116, 0), MATCH("2026-"&amp;D30,'Slot Selection'!$80:$80, 0)),1,0),0)</f>
        <v>0</v>
      </c>
      <c r="Q30" s="270">
        <f t="array" ref="Q30">iferror(if(INDEX('Slot Selection'!$A$41:$BJ$77, MATCH(F30-600,'Slot Selection'!$A$41:$A$77, 0), MATCH("2026-"&amp;D30,'Slot Selection'!$41:$41, 0)),1,0),0)</f>
        <v>0</v>
      </c>
      <c r="R30" s="230">
        <f t="shared" ref="R30:T30" si="85">L30*O30</f>
        <v>0</v>
      </c>
      <c r="S30" s="248">
        <f t="shared" si="85"/>
        <v>0</v>
      </c>
      <c r="T30" s="249">
        <f t="shared" si="85"/>
        <v>0</v>
      </c>
      <c r="U30" s="243">
        <f t="shared" ref="U30:W30" si="86">L30-R30</f>
        <v>717</v>
      </c>
      <c r="V30" s="248">
        <f t="shared" si="86"/>
        <v>317</v>
      </c>
      <c r="W30" s="249">
        <f t="shared" si="86"/>
        <v>327</v>
      </c>
    </row>
    <row r="31">
      <c r="A31" s="242" t="str">
        <f>IFERROR(__xludf.DUMMYFUNCTION("if(E31=506,""FEA006A"",INDEX(IMPORTRANGE(""https://docs.google.com/spreadsheets/d/1WbE6HOh_eG5_DM53SVfuckYm0VQnhNvuwjql7Tw1FX0/edit?gid=660406182#gid=660406182"", ""'""&amp;D31&amp;""'!H2:H45""),match(E31,IMPORTRANGE(""https://docs.google.com/spreadsheets/d/1WbE6"&amp;"HOh_eG5_DM53SVfuckYm0VQnhNvuwjql7Tw1FX0/edit?gid=660406182#gid=660406182"", ""'""&amp;D31&amp;""'!B2:B45""),0),1))"),"FE0031C")</f>
        <v>FE0031C</v>
      </c>
      <c r="B31" s="229" t="str">
        <f>IFERROR(__xludf.DUMMYFUNCTION("if(E31=506,""-"",INDEX(IMPORTRANGE(""https://docs.google.com/spreadsheets/d/1WbE6HOh_eG5_DM53SVfuckYm0VQnhNvuwjql7Tw1FX0/edit?gid=660406182#gid=660406182"", ""'""&amp;D31&amp;""'!D2:D45""),match(E31,IMPORTRANGE(""https://docs.google.com/spreadsheets/d/1WbE6HOh_eG"&amp;"5_DM53SVfuckYm0VQnhNvuwjql7Tw1FX0/edit?gid=660406182#gid=660406182"", ""'""&amp;D31&amp;""'!B2:B45""),0),1))"),"Veggie")</f>
        <v>Veggie</v>
      </c>
      <c r="C31" s="135" t="str">
        <f>IFERROR(__xludf.DUMMYFUNCTION("if(A31=""FEA006A"",""Garlic Herb Grilled Chicken"", ifna(INDEX(IMPORTRANGE(""https://docs.google.com/spreadsheets/d/1mnGm3iYGkB4FyqAD-LwwVYksgBMX_SY4qHQa16KgMiw/edit?gid=1956920866#gid=1956920866"", ""'EU Meal Database'!$E$2:$E""),MATCH(A31,IMPORTRANGE("""&amp;"https://docs.google.com/spreadsheets/d/1mnGm3iYGkB4FyqAD-LwwVYksgBMX_SY4qHQa16KgMiw/edit?gid=1956920866#gid=1956920866"",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DB_Product'!$B$2:$B""),MATCH(A31,IMPORTRANGE(""https://docs.google.com/spreadsheets/d/1n4t_JF5P_MLd0hMmhjv1A2rgLKdyee_-mrZZmdZr9G4/edit?gid=670402169#gid=670402169"", ""'Meal DB_Product'!$A$2:$A""),0))))"),"Creamy tomato risotto")</f>
        <v>Creamy tomato risotto</v>
      </c>
      <c r="D31" s="62" t="s">
        <v>227</v>
      </c>
      <c r="E31" s="230">
        <v>410.0</v>
      </c>
      <c r="F31" s="62">
        <v>610.0</v>
      </c>
      <c r="G31" s="231">
        <v>310.0</v>
      </c>
      <c r="H31" s="232">
        <f>IFERROR(__xludf.DUMMYFUNCTION("""COMPUTED_VALUE"""),781.0)</f>
        <v>781</v>
      </c>
      <c r="I31" s="232">
        <f>IFERROR(__xludf.DUMMYFUNCTION("""COMPUTED_VALUE"""),306.0)</f>
        <v>306</v>
      </c>
      <c r="J31" s="233">
        <f>IFERROR(__xludf.DUMMYFUNCTION("""COMPUTED_VALUE"""),353.0)</f>
        <v>353</v>
      </c>
      <c r="K31" s="244">
        <f>IFERROR(__xludf.DUMMYFUNCTION("""COMPUTED_VALUE"""),32.0)</f>
        <v>32</v>
      </c>
      <c r="L31" s="243">
        <f t="shared" ref="L31:M31" si="87">H31+20</f>
        <v>801</v>
      </c>
      <c r="M31" s="244">
        <f t="shared" si="87"/>
        <v>326</v>
      </c>
      <c r="N31" s="245">
        <f t="shared" si="63"/>
        <v>405</v>
      </c>
      <c r="O31" s="268">
        <f t="array" ref="O31">iferror(if(INDEX('Slot Selection'!$A$2:$BJ$38, MATCH(E31-400,'Slot Selection'!$A$2:$A$38, 0), MATCH("2026-"&amp;D31,'Slot Selection'!$2:$2, 0)),1,0),0)</f>
        <v>0</v>
      </c>
      <c r="P31" s="269">
        <f t="array" ref="P31">iferror(if(INDEX('Slot Selection'!$A$80:$BJ$116, MATCH(F31-600,'Slot Selection'!$A$80:$A$116, 0), MATCH("2026-"&amp;D31,'Slot Selection'!$80:$80, 0)),1,0),0)</f>
        <v>0</v>
      </c>
      <c r="Q31" s="270">
        <f t="array" ref="Q31">iferror(if(INDEX('Slot Selection'!$A$41:$BJ$77, MATCH(F31-600,'Slot Selection'!$A$41:$A$77, 0), MATCH("2026-"&amp;D31,'Slot Selection'!$41:$41, 0)),1,0),0)</f>
        <v>0</v>
      </c>
      <c r="R31" s="230">
        <f t="shared" ref="R31:T31" si="88">L31*O31</f>
        <v>0</v>
      </c>
      <c r="S31" s="248">
        <f t="shared" si="88"/>
        <v>0</v>
      </c>
      <c r="T31" s="249">
        <f t="shared" si="88"/>
        <v>0</v>
      </c>
      <c r="U31" s="243">
        <f t="shared" ref="U31:W31" si="89">L31-R31</f>
        <v>801</v>
      </c>
      <c r="V31" s="248">
        <f t="shared" si="89"/>
        <v>326</v>
      </c>
      <c r="W31" s="249">
        <f t="shared" si="89"/>
        <v>405</v>
      </c>
    </row>
    <row r="32">
      <c r="A32" s="242" t="str">
        <f>IFERROR(__xludf.DUMMYFUNCTION("if(E32=506,""FEA006A"",INDEX(IMPORTRANGE(""https://docs.google.com/spreadsheets/d/1WbE6HOh_eG5_DM53SVfuckYm0VQnhNvuwjql7Tw1FX0/edit?gid=660406182#gid=660406182"", ""'""&amp;D32&amp;""'!H2:H45""),match(E32,IMPORTRANGE(""https://docs.google.com/spreadsheets/d/1WbE6"&amp;"HOh_eG5_DM53SVfuckYm0VQnhNvuwjql7Tw1FX0/edit?gid=660406182#gid=660406182"", ""'""&amp;D32&amp;""'!B2:B45""),0),1))"),"FE4048B")</f>
        <v>FE4048B</v>
      </c>
      <c r="B32" s="229" t="str">
        <f>IFERROR(__xludf.DUMMYFUNCTION("if(E32=506,""-"",INDEX(IMPORTRANGE(""https://docs.google.com/spreadsheets/d/1WbE6HOh_eG5_DM53SVfuckYm0VQnhNvuwjql7Tw1FX0/edit?gid=660406182#gid=660406182"", ""'""&amp;D32&amp;""'!D2:D45""),match(E32,IMPORTRANGE(""https://docs.google.com/spreadsheets/d/1WbE6HOh_eG"&amp;"5_DM53SVfuckYm0VQnhNvuwjql7Tw1FX0/edit?gid=660406182#gid=660406182"", ""'""&amp;D32&amp;""'!B2:B45""),0),1))"),"Flexible")</f>
        <v>Flexible</v>
      </c>
      <c r="C32" s="135" t="str">
        <f>IFERROR(__xludf.DUMMYFUNCTION("if(A32=""FEA006A"",""Garlic Herb Grilled Chicken"", ifna(INDEX(IMPORTRANGE(""https://docs.google.com/spreadsheets/d/1mnGm3iYGkB4FyqAD-LwwVYksgBMX_SY4qHQa16KgMiw/edit?gid=1956920866#gid=1956920866"", ""'EU Meal Database'!$E$2:$E""),MATCH(A32,IMPORTRANGE("""&amp;"https://docs.google.com/spreadsheets/d/1mnGm3iYGkB4FyqAD-LwwVYksgBMX_SY4qHQa16KgMiw/edit?gid=1956920866#gid=1956920866"",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DB_Product'!$B$2:$B""),MATCH(A32,IMPORTRANGE(""https://docs.google.com/spreadsheets/d/1n4t_JF5P_MLd0hMmhjv1A2rgLKdyee_-mrZZmdZr9G4/edit?gid=670402169#gid=670402169"", ""'Meal DB_Product'!$A$2:$A""),0))))"),"Creamy leek pork tenderloin")</f>
        <v>Creamy leek pork tenderloin</v>
      </c>
      <c r="D32" s="62" t="s">
        <v>227</v>
      </c>
      <c r="E32" s="230">
        <v>411.0</v>
      </c>
      <c r="F32" s="62">
        <v>611.0</v>
      </c>
      <c r="G32" s="231">
        <v>311.0</v>
      </c>
      <c r="H32" s="232">
        <f>IFERROR(__xludf.DUMMYFUNCTION("""COMPUTED_VALUE"""),917.0)</f>
        <v>917</v>
      </c>
      <c r="I32" s="232">
        <f>IFERROR(__xludf.DUMMYFUNCTION("""COMPUTED_VALUE"""),522.0)</f>
        <v>522</v>
      </c>
      <c r="J32" s="233">
        <f>IFERROR(__xludf.DUMMYFUNCTION("""COMPUTED_VALUE"""),436.0)</f>
        <v>436</v>
      </c>
      <c r="K32" s="62"/>
      <c r="L32" s="243">
        <f t="shared" ref="L32:M32" si="90">H32+20</f>
        <v>937</v>
      </c>
      <c r="M32" s="244">
        <f t="shared" si="90"/>
        <v>542</v>
      </c>
      <c r="N32" s="245">
        <f t="shared" si="63"/>
        <v>456</v>
      </c>
      <c r="O32" s="268">
        <f t="array" ref="O32">iferror(if(INDEX('Slot Selection'!$A$2:$BJ$38, MATCH(E32-400,'Slot Selection'!$A$2:$A$38, 0), MATCH("2026-"&amp;D32,'Slot Selection'!$2:$2, 0)),1,0),0)</f>
        <v>0</v>
      </c>
      <c r="P32" s="269">
        <f t="array" ref="P32">iferror(if(INDEX('Slot Selection'!$A$80:$BJ$116, MATCH(F32-600,'Slot Selection'!$A$80:$A$116, 0), MATCH("2026-"&amp;D32,'Slot Selection'!$80:$80, 0)),1,0),0)</f>
        <v>0</v>
      </c>
      <c r="Q32" s="270">
        <f t="array" ref="Q32">iferror(if(INDEX('Slot Selection'!$A$41:$BJ$77, MATCH(F32-600,'Slot Selection'!$A$41:$A$77, 0), MATCH("2026-"&amp;D32,'Slot Selection'!$41:$41, 0)),1,0),0)</f>
        <v>0</v>
      </c>
      <c r="R32" s="230">
        <f t="shared" ref="R32:T32" si="91">L32*O32</f>
        <v>0</v>
      </c>
      <c r="S32" s="248">
        <f t="shared" si="91"/>
        <v>0</v>
      </c>
      <c r="T32" s="249">
        <f t="shared" si="91"/>
        <v>0</v>
      </c>
      <c r="U32" s="243">
        <f t="shared" ref="U32:W32" si="92">L32-R32</f>
        <v>937</v>
      </c>
      <c r="V32" s="248">
        <f t="shared" si="92"/>
        <v>542</v>
      </c>
      <c r="W32" s="249">
        <f t="shared" si="92"/>
        <v>456</v>
      </c>
    </row>
    <row r="33">
      <c r="A33" s="242" t="str">
        <f>IFERROR(__xludf.DUMMYFUNCTION("if(E33=506,""FEA006A"",INDEX(IMPORTRANGE(""https://docs.google.com/spreadsheets/d/1WbE6HOh_eG5_DM53SVfuckYm0VQnhNvuwjql7Tw1FX0/edit?gid=660406182#gid=660406182"", ""'""&amp;D33&amp;""'!H2:H45""),match(E33,IMPORTRANGE(""https://docs.google.com/spreadsheets/d/1WbE6"&amp;"HOh_eG5_DM53SVfuckYm0VQnhNvuwjql7Tw1FX0/edit?gid=660406182#gid=660406182"", ""'""&amp;D33&amp;""'!B2:B45""),0),1))"),"FE1439A")</f>
        <v>FE1439A</v>
      </c>
      <c r="B33" s="229" t="str">
        <f>IFERROR(__xludf.DUMMYFUNCTION("if(E33=506,""-"",INDEX(IMPORTRANGE(""https://docs.google.com/spreadsheets/d/1WbE6HOh_eG5_DM53SVfuckYm0VQnhNvuwjql7Tw1FX0/edit?gid=660406182#gid=660406182"", ""'""&amp;D33&amp;""'!D2:D45""),match(E33,IMPORTRANGE(""https://docs.google.com/spreadsheets/d/1WbE6HOh_eG"&amp;"5_DM53SVfuckYm0VQnhNvuwjql7Tw1FX0/edit?gid=660406182#gid=660406182"", ""'""&amp;D33&amp;""'!B2:B45""),0),1))"),"P+")</f>
        <v>P+</v>
      </c>
      <c r="C33" s="135" t="str">
        <f>IFERROR(__xludf.DUMMYFUNCTION("if(A33=""FEA006A"",""Garlic Herb Grilled Chicken"", ifna(INDEX(IMPORTRANGE(""https://docs.google.com/spreadsheets/d/1mnGm3iYGkB4FyqAD-LwwVYksgBMX_SY4qHQa16KgMiw/edit?gid=1956920866#gid=1956920866"", ""'EU Meal Database'!$E$2:$E""),MATCH(A33,IMPORTRANGE("""&amp;"https://docs.google.com/spreadsheets/d/1mnGm3iYGkB4FyqAD-LwwVYksgBMX_SY4qHQa16KgMiw/edit?gid=1956920866#gid=1956920866"",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DB_Product'!$B$2:$B""),MATCH(A33,IMPORTRANGE(""https://docs.google.com/spreadsheets/d/1n4t_JF5P_MLd0hMmhjv1A2rgLKdyee_-mrZZmdZr9G4/edit?gid=670402169#gid=670402169"", ""'Meal DB_Product'!$A$2:$A""),0))))"),"Tzatziki Salmon &amp; Lemon Rice")</f>
        <v>Tzatziki Salmon &amp; Lemon Rice</v>
      </c>
      <c r="D33" s="62" t="s">
        <v>227</v>
      </c>
      <c r="E33" s="230">
        <v>412.0</v>
      </c>
      <c r="F33" s="62">
        <v>612.0</v>
      </c>
      <c r="G33" s="231">
        <v>312.0</v>
      </c>
      <c r="H33" s="232">
        <f>IFERROR(__xludf.DUMMYFUNCTION("""COMPUTED_VALUE"""),4092.0)</f>
        <v>4092</v>
      </c>
      <c r="I33" s="232">
        <f>IFERROR(__xludf.DUMMYFUNCTION("""COMPUTED_VALUE"""),1916.0)</f>
        <v>1916</v>
      </c>
      <c r="J33" s="233">
        <f>IFERROR(__xludf.DUMMYFUNCTION("""COMPUTED_VALUE"""),1782.0)</f>
        <v>1782</v>
      </c>
      <c r="K33" s="244">
        <f>IFERROR(__xludf.DUMMYFUNCTION("""COMPUTED_VALUE"""),32.0)</f>
        <v>32</v>
      </c>
      <c r="L33" s="243">
        <f t="shared" ref="L33:M33" si="93">H33+20</f>
        <v>4112</v>
      </c>
      <c r="M33" s="244">
        <f t="shared" si="93"/>
        <v>1936</v>
      </c>
      <c r="N33" s="245">
        <f t="shared" si="63"/>
        <v>1834</v>
      </c>
      <c r="O33" s="268">
        <f t="array" ref="O33">iferror(if(INDEX('Slot Selection'!$A$2:$BJ$38, MATCH(E33-400,'Slot Selection'!$A$2:$A$38, 0), MATCH("2026-"&amp;D33,'Slot Selection'!$2:$2, 0)),1,0),0)</f>
        <v>0</v>
      </c>
      <c r="P33" s="269">
        <f t="array" ref="P33">iferror(if(INDEX('Slot Selection'!$A$80:$BJ$116, MATCH(F33-600,'Slot Selection'!$A$80:$A$116, 0), MATCH("2026-"&amp;D33,'Slot Selection'!$80:$80, 0)),1,0),0)</f>
        <v>0</v>
      </c>
      <c r="Q33" s="270">
        <f t="array" ref="Q33">iferror(if(INDEX('Slot Selection'!$A$41:$BJ$77, MATCH(F33-600,'Slot Selection'!$A$41:$A$77, 0), MATCH("2026-"&amp;D33,'Slot Selection'!$41:$41, 0)),1,0),0)</f>
        <v>0</v>
      </c>
      <c r="R33" s="230">
        <f t="shared" ref="R33:T33" si="94">L33*O33</f>
        <v>0</v>
      </c>
      <c r="S33" s="248">
        <f t="shared" si="94"/>
        <v>0</v>
      </c>
      <c r="T33" s="249">
        <f t="shared" si="94"/>
        <v>0</v>
      </c>
      <c r="U33" s="243">
        <f t="shared" ref="U33:W33" si="95">L33-R33</f>
        <v>4112</v>
      </c>
      <c r="V33" s="244">
        <f t="shared" si="95"/>
        <v>1936</v>
      </c>
      <c r="W33" s="245">
        <f t="shared" si="95"/>
        <v>1834</v>
      </c>
    </row>
    <row r="34">
      <c r="A34" s="242" t="str">
        <f>IFERROR(__xludf.DUMMYFUNCTION("if(E34=506,""FEA006A"",INDEX(IMPORTRANGE(""https://docs.google.com/spreadsheets/d/1WbE6HOh_eG5_DM53SVfuckYm0VQnhNvuwjql7Tw1FX0/edit?gid=660406182#gid=660406182"", ""'""&amp;D34&amp;""'!H2:H45""),match(E34,IMPORTRANGE(""https://docs.google.com/spreadsheets/d/1WbE6"&amp;"HOh_eG5_DM53SVfuckYm0VQnhNvuwjql7Tw1FX0/edit?gid=660406182#gid=660406182"", ""'""&amp;D34&amp;""'!B2:B45""),0),1))"),"FE0386A")</f>
        <v>FE0386A</v>
      </c>
      <c r="B34" s="229" t="str">
        <f>IFERROR(__xludf.DUMMYFUNCTION("if(E34=506,""-"",INDEX(IMPORTRANGE(""https://docs.google.com/spreadsheets/d/1WbE6HOh_eG5_DM53SVfuckYm0VQnhNvuwjql7Tw1FX0/edit?gid=660406182#gid=660406182"", ""'""&amp;D34&amp;""'!D2:D45""),match(E34,IMPORTRANGE(""https://docs.google.com/spreadsheets/d/1WbE6HOh_eG"&amp;"5_DM53SVfuckYm0VQnhNvuwjql7Tw1FX0/edit?gid=660406182#gid=660406182"", ""'""&amp;D34&amp;""'!B2:B45""),0),1))"),"CS")</f>
        <v>CS</v>
      </c>
      <c r="C34" s="135" t="str">
        <f>IFERROR(__xludf.DUMMYFUNCTION("if(A34=""FEA006A"",""Garlic Herb Grilled Chicken"", ifna(INDEX(IMPORTRANGE(""https://docs.google.com/spreadsheets/d/1mnGm3iYGkB4FyqAD-LwwVYksgBMX_SY4qHQa16KgMiw/edit?gid=1956920866#gid=1956920866"", ""'EU Meal Database'!$E$2:$E""),MATCH(A34,IMPORTRANGE("""&amp;"https://docs.google.com/spreadsheets/d/1mnGm3iYGkB4FyqAD-LwwVYksgBMX_SY4qHQa16KgMiw/edit?gid=1956920866#gid=1956920866"",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DB_Product'!$B$2:$B""),MATCH(A34,IMPORTRANGE(""https://docs.google.com/spreadsheets/d/1n4t_JF5P_MLd0hMmhjv1A2rgLKdyee_-mrZZmdZr9G4/edit?gid=670402169#gid=670402169"", ""'Meal DB_Product'!$A$2:$A""),0))))"),"Chicken &amp; Mushroom Tetrazzini")</f>
        <v>Chicken &amp; Mushroom Tetrazzini</v>
      </c>
      <c r="D34" s="62" t="s">
        <v>227</v>
      </c>
      <c r="E34" s="230">
        <v>413.0</v>
      </c>
      <c r="F34" s="62">
        <v>613.0</v>
      </c>
      <c r="G34" s="231">
        <v>313.0</v>
      </c>
      <c r="H34" s="232">
        <f>IFERROR(__xludf.DUMMYFUNCTION("""COMPUTED_VALUE"""),4363.0)</f>
        <v>4363</v>
      </c>
      <c r="I34" s="232">
        <f>IFERROR(__xludf.DUMMYFUNCTION("""COMPUTED_VALUE"""),2124.0)</f>
        <v>2124</v>
      </c>
      <c r="J34" s="233">
        <f>IFERROR(__xludf.DUMMYFUNCTION("""COMPUTED_VALUE"""),1668.0)</f>
        <v>1668</v>
      </c>
      <c r="K34" s="62"/>
      <c r="L34" s="243">
        <f t="shared" ref="L34:M34" si="96">H34+20</f>
        <v>4383</v>
      </c>
      <c r="M34" s="244">
        <f t="shared" si="96"/>
        <v>2144</v>
      </c>
      <c r="N34" s="245">
        <f t="shared" si="63"/>
        <v>1688</v>
      </c>
      <c r="O34" s="268">
        <f t="array" ref="O34">iferror(if(INDEX('Slot Selection'!$A$2:$BJ$38, MATCH(E34-400,'Slot Selection'!$A$2:$A$38, 0), MATCH("2026-"&amp;D34,'Slot Selection'!$2:$2, 0)),1,0),0)</f>
        <v>0</v>
      </c>
      <c r="P34" s="269">
        <f t="array" ref="P34">iferror(if(INDEX('Slot Selection'!$A$80:$BJ$116, MATCH(F34-600,'Slot Selection'!$A$80:$A$116, 0), MATCH("2026-"&amp;D34,'Slot Selection'!$80:$80, 0)),1,0),0)</f>
        <v>0</v>
      </c>
      <c r="Q34" s="270">
        <f t="array" ref="Q34">iferror(if(INDEX('Slot Selection'!$A$41:$BJ$77, MATCH(F34-600,'Slot Selection'!$A$41:$A$77, 0), MATCH("2026-"&amp;D34,'Slot Selection'!$41:$41, 0)),1,0),0)</f>
        <v>0</v>
      </c>
      <c r="R34" s="230">
        <f t="shared" ref="R34:T34" si="97">L34*O34</f>
        <v>0</v>
      </c>
      <c r="S34" s="248">
        <f t="shared" si="97"/>
        <v>0</v>
      </c>
      <c r="T34" s="249">
        <f t="shared" si="97"/>
        <v>0</v>
      </c>
      <c r="U34" s="243">
        <f t="shared" ref="U34:W34" si="98">L34-R34</f>
        <v>4383</v>
      </c>
      <c r="V34" s="244">
        <f t="shared" si="98"/>
        <v>2144</v>
      </c>
      <c r="W34" s="245">
        <f t="shared" si="98"/>
        <v>1688</v>
      </c>
    </row>
    <row r="35">
      <c r="A35" s="242" t="str">
        <f>IFERROR(__xludf.DUMMYFUNCTION("if(E35=506,""FEA006A"",INDEX(IMPORTRANGE(""https://docs.google.com/spreadsheets/d/1WbE6HOh_eG5_DM53SVfuckYm0VQnhNvuwjql7Tw1FX0/edit?gid=660406182#gid=660406182"", ""'""&amp;D35&amp;""'!H2:H45""),match(E35,IMPORTRANGE(""https://docs.google.com/spreadsheets/d/1WbE6"&amp;"HOh_eG5_DM53SVfuckYm0VQnhNvuwjql7Tw1FX0/edit?gid=660406182#gid=660406182"", ""'""&amp;D35&amp;""'!B2:B45""),0),1))"),"FE0612C")</f>
        <v>FE0612C</v>
      </c>
      <c r="B35" s="229" t="str">
        <f>IFERROR(__xludf.DUMMYFUNCTION("if(E35=506,""-"",INDEX(IMPORTRANGE(""https://docs.google.com/spreadsheets/d/1WbE6HOh_eG5_DM53SVfuckYm0VQnhNvuwjql7Tw1FX0/edit?gid=660406182#gid=660406182"", ""'""&amp;D35&amp;""'!D2:D45""),match(E35,IMPORTRANGE(""https://docs.google.com/spreadsheets/d/1WbE6HOh_eG"&amp;"5_DM53SVfuckYm0VQnhNvuwjql7Tw1FX0/edit?gid=660406182#gid=660406182"", ""'""&amp;D35&amp;""'!B2:B45""),0),1))"),"Flexible")</f>
        <v>Flexible</v>
      </c>
      <c r="C35" s="135" t="str">
        <f>IFERROR(__xludf.DUMMYFUNCTION("if(A35=""FEA006A"",""Garlic Herb Grilled Chicken"", ifna(INDEX(IMPORTRANGE(""https://docs.google.com/spreadsheets/d/1mnGm3iYGkB4FyqAD-LwwVYksgBMX_SY4qHQa16KgMiw/edit?gid=1956920866#gid=1956920866"", ""'EU Meal Database'!$E$2:$E""),MATCH(A35,IMPORTRANGE("""&amp;"https://docs.google.com/spreadsheets/d/1mnGm3iYGkB4FyqAD-LwwVYksgBMX_SY4qHQa16KgMiw/edit?gid=1956920866#gid=1956920866"",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DB_Product'!$B$2:$B""),MATCH(A35,IMPORTRANGE(""https://docs.google.com/spreadsheets/d/1n4t_JF5P_MLd0hMmhjv1A2rgLKdyee_-mrZZmdZr9G4/edit?gid=670402169#gid=670402169"", ""'Meal DB_Product'!$A$2:$A""),0))))"),"Minced beef dish with cheese sauce")</f>
        <v>Minced beef dish with cheese sauce</v>
      </c>
      <c r="D35" s="62" t="s">
        <v>227</v>
      </c>
      <c r="E35" s="230">
        <v>414.0</v>
      </c>
      <c r="F35" s="62">
        <v>614.0</v>
      </c>
      <c r="G35" s="231">
        <v>314.0</v>
      </c>
      <c r="H35" s="232">
        <f>IFERROR(__xludf.DUMMYFUNCTION("""COMPUTED_VALUE"""),1281.0)</f>
        <v>1281</v>
      </c>
      <c r="I35" s="232">
        <f>IFERROR(__xludf.DUMMYFUNCTION("""COMPUTED_VALUE"""),704.0)</f>
        <v>704</v>
      </c>
      <c r="J35" s="233">
        <f>IFERROR(__xludf.DUMMYFUNCTION("""COMPUTED_VALUE"""),727.0)</f>
        <v>727</v>
      </c>
      <c r="K35" s="62"/>
      <c r="L35" s="243">
        <f t="shared" ref="L35:M35" si="99">H35+20</f>
        <v>1301</v>
      </c>
      <c r="M35" s="244">
        <f t="shared" si="99"/>
        <v>724</v>
      </c>
      <c r="N35" s="245">
        <f t="shared" si="63"/>
        <v>747</v>
      </c>
      <c r="O35" s="268">
        <f t="array" ref="O35">iferror(if(INDEX('Slot Selection'!$A$2:$BJ$38, MATCH(E35-400,'Slot Selection'!$A$2:$A$38, 0), MATCH("2026-"&amp;D35,'Slot Selection'!$2:$2, 0)),1,0),0)</f>
        <v>0</v>
      </c>
      <c r="P35" s="269">
        <f t="array" ref="P35">iferror(if(INDEX('Slot Selection'!$A$80:$BJ$116, MATCH(F35-600,'Slot Selection'!$A$80:$A$116, 0), MATCH("2026-"&amp;D35,'Slot Selection'!$80:$80, 0)),1,0),0)</f>
        <v>0</v>
      </c>
      <c r="Q35" s="270">
        <f t="array" ref="Q35">iferror(if(INDEX('Slot Selection'!$A$41:$BJ$77, MATCH(F35-600,'Slot Selection'!$A$41:$A$77, 0), MATCH("2026-"&amp;D35,'Slot Selection'!$41:$41, 0)),1,0),0)</f>
        <v>0</v>
      </c>
      <c r="R35" s="230">
        <f t="shared" ref="R35:T35" si="100">L35*O35</f>
        <v>0</v>
      </c>
      <c r="S35" s="248">
        <f t="shared" si="100"/>
        <v>0</v>
      </c>
      <c r="T35" s="249">
        <f t="shared" si="100"/>
        <v>0</v>
      </c>
      <c r="U35" s="243">
        <f t="shared" ref="U35:W35" si="101">L35-R35</f>
        <v>1301</v>
      </c>
      <c r="V35" s="244">
        <f t="shared" si="101"/>
        <v>724</v>
      </c>
      <c r="W35" s="249">
        <f t="shared" si="101"/>
        <v>747</v>
      </c>
    </row>
    <row r="36">
      <c r="A36" s="242" t="str">
        <f>IFERROR(__xludf.DUMMYFUNCTION("if(E36=506,""FEA006A"",INDEX(IMPORTRANGE(""https://docs.google.com/spreadsheets/d/1WbE6HOh_eG5_DM53SVfuckYm0VQnhNvuwjql7Tw1FX0/edit?gid=660406182#gid=660406182"", ""'""&amp;D36&amp;""'!H2:H45""),match(E36,IMPORTRANGE(""https://docs.google.com/spreadsheets/d/1WbE6"&amp;"HOh_eG5_DM53SVfuckYm0VQnhNvuwjql7Tw1FX0/edit?gid=660406182#gid=660406182"", ""'""&amp;D36&amp;""'!B2:B45""),0),1))"),"FE0849B")</f>
        <v>FE0849B</v>
      </c>
      <c r="B36" s="229" t="str">
        <f>IFERROR(__xludf.DUMMYFUNCTION("if(E36=506,""-"",INDEX(IMPORTRANGE(""https://docs.google.com/spreadsheets/d/1WbE6HOh_eG5_DM53SVfuckYm0VQnhNvuwjql7Tw1FX0/edit?gid=660406182#gid=660406182"", ""'""&amp;D36&amp;""'!D2:D45""),match(E36,IMPORTRANGE(""https://docs.google.com/spreadsheets/d/1WbE6HOh_eG"&amp;"5_DM53SVfuckYm0VQnhNvuwjql7Tw1FX0/edit?gid=660406182#gid=660406182"", ""'""&amp;D36&amp;""'!B2:B45""),0),1))"),"Keto")</f>
        <v>Keto</v>
      </c>
      <c r="C36" s="135" t="str">
        <f>IFERROR(__xludf.DUMMYFUNCTION("if(A36=""FEA006A"",""Garlic Herb Grilled Chicken"", ifna(INDEX(IMPORTRANGE(""https://docs.google.com/spreadsheets/d/1mnGm3iYGkB4FyqAD-LwwVYksgBMX_SY4qHQa16KgMiw/edit?gid=1956920866#gid=1956920866"", ""'EU Meal Database'!$E$2:$E""),MATCH(A36,IMPORTRANGE("""&amp;"https://docs.google.com/spreadsheets/d/1mnGm3iYGkB4FyqAD-LwwVYksgBMX_SY4qHQa16KgMiw/edit?gid=1956920866#gid=1956920866"",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DB_Product'!$B$2:$B""),MATCH(A36,IMPORTRANGE(""https://docs.google.com/spreadsheets/d/1n4t_JF5P_MLd0hMmhjv1A2rgLKdyee_-mrZZmdZr9G4/edit?gid=670402169#gid=670402169"", ""'Meal DB_Product'!$A$2:$A""),0))))"),"Courgette-spaghetti bolognese")</f>
        <v>Courgette-spaghetti bolognese</v>
      </c>
      <c r="D36" s="62" t="s">
        <v>227</v>
      </c>
      <c r="E36" s="230">
        <v>415.0</v>
      </c>
      <c r="F36" s="62">
        <v>615.0</v>
      </c>
      <c r="G36" s="231">
        <v>315.0</v>
      </c>
      <c r="H36" s="232">
        <f>IFERROR(__xludf.DUMMYFUNCTION("""COMPUTED_VALUE"""),1234.0)</f>
        <v>1234</v>
      </c>
      <c r="I36" s="232">
        <f>IFERROR(__xludf.DUMMYFUNCTION("""COMPUTED_VALUE"""),681.0)</f>
        <v>681</v>
      </c>
      <c r="J36" s="233">
        <f>IFERROR(__xludf.DUMMYFUNCTION("""COMPUTED_VALUE"""),637.0)</f>
        <v>637</v>
      </c>
      <c r="K36" s="62"/>
      <c r="L36" s="243">
        <f t="shared" ref="L36:M36" si="102">H36+20</f>
        <v>1254</v>
      </c>
      <c r="M36" s="244">
        <f t="shared" si="102"/>
        <v>701</v>
      </c>
      <c r="N36" s="245">
        <f t="shared" si="63"/>
        <v>657</v>
      </c>
      <c r="O36" s="271">
        <f t="array" ref="O36">iferror(if(INDEX('Slot Selection'!$A$2:$BJ$38, MATCH(E36-400,'Slot Selection'!$A$2:$A$38, 0), MATCH("2026-"&amp;D36,'Slot Selection'!$2:$2, 0)),1,0),0)</f>
        <v>0</v>
      </c>
      <c r="P36" s="272">
        <f t="array" ref="P36">iferror(if(INDEX('Slot Selection'!$A$80:$BJ$116, MATCH(F36-600,'Slot Selection'!$A$80:$A$116, 0), MATCH("2026-"&amp;D36,'Slot Selection'!$80:$80, 0)),1,0),0)</f>
        <v>0</v>
      </c>
      <c r="Q36" s="146">
        <f t="array" ref="Q36">iferror(if(INDEX('Slot Selection'!$A$41:$BJ$77, MATCH(F36-600,'Slot Selection'!$A$41:$A$77, 0), MATCH("2026-"&amp;D36,'Slot Selection'!$41:$41, 0)),1,0),0)</f>
        <v>0</v>
      </c>
      <c r="R36" s="230">
        <f t="shared" ref="R36:T36" si="103">L36*O36</f>
        <v>0</v>
      </c>
      <c r="S36" s="248">
        <f t="shared" si="103"/>
        <v>0</v>
      </c>
      <c r="T36" s="249">
        <f t="shared" si="103"/>
        <v>0</v>
      </c>
      <c r="U36" s="243">
        <f t="shared" ref="U36:W36" si="104">L36-R36</f>
        <v>1254</v>
      </c>
      <c r="V36" s="248">
        <f t="shared" si="104"/>
        <v>701</v>
      </c>
      <c r="W36" s="249">
        <f t="shared" si="104"/>
        <v>657</v>
      </c>
    </row>
    <row r="37">
      <c r="A37" s="242" t="str">
        <f>IFERROR(__xludf.DUMMYFUNCTION("if(E37=506,""FEA006A"",INDEX(IMPORTRANGE(""https://docs.google.com/spreadsheets/d/1WbE6HOh_eG5_DM53SVfuckYm0VQnhNvuwjql7Tw1FX0/edit?gid=660406182#gid=660406182"", ""'""&amp;D37&amp;""'!H2:H45""),match(E37,IMPORTRANGE(""https://docs.google.com/spreadsheets/d/1WbE6"&amp;"HOh_eG5_DM53SVfuckYm0VQnhNvuwjql7Tw1FX0/edit?gid=660406182#gid=660406182"", ""'""&amp;D37&amp;""'!B2:B45""),0),1))"),"FV0601A")</f>
        <v>FV0601A</v>
      </c>
      <c r="B37" s="229" t="str">
        <f>IFERROR(__xludf.DUMMYFUNCTION("if(E37=506,""-"",INDEX(IMPORTRANGE(""https://docs.google.com/spreadsheets/d/1WbE6HOh_eG5_DM53SVfuckYm0VQnhNvuwjql7Tw1FX0/edit?gid=660406182#gid=660406182"", ""'""&amp;D37&amp;""'!D2:D45""),match(E37,IMPORTRANGE(""https://docs.google.com/spreadsheets/d/1WbE6HOh_eG"&amp;"5_DM53SVfuckYm0VQnhNvuwjql7Tw1FX0/edit?gid=660406182#gid=660406182"", ""'""&amp;D37&amp;""'!B2:B45""),0),1))"),"Flexible")</f>
        <v>Flexible</v>
      </c>
      <c r="C37" s="135" t="str">
        <f>IFERROR(__xludf.DUMMYFUNCTION("if(A37=""FEA006A"",""Garlic Herb Grilled Chicken"", ifna(INDEX(IMPORTRANGE(""https://docs.google.com/spreadsheets/d/1mnGm3iYGkB4FyqAD-LwwVYksgBMX_SY4qHQa16KgMiw/edit?gid=1956920866#gid=1956920866"", ""'EU Meal Database'!$E$2:$E""),MATCH(A37,IMPORTRANGE("""&amp;"https://docs.google.com/spreadsheets/d/1mnGm3iYGkB4FyqAD-LwwVYksgBMX_SY4qHQa16KgMiw/edit?gid=1956920866#gid=1956920866"",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DB_Product'!$B$2:$B""),MATCH(A37,IMPORTRANGE(""https://docs.google.com/spreadsheets/d/1n4t_JF5P_MLd0hMmhjv1A2rgLKdyee_-mrZZmdZr9G4/edit?gid=670402169#gid=670402169"", ""'Meal DB_Product'!$A$2:$A""),0))))"),"Mozzarella Burger &amp; Roasted Potatoes")</f>
        <v>Mozzarella Burger &amp; Roasted Potatoes</v>
      </c>
      <c r="D37" s="62" t="s">
        <v>227</v>
      </c>
      <c r="E37" s="230">
        <v>416.0</v>
      </c>
      <c r="F37" s="62">
        <v>616.0</v>
      </c>
      <c r="G37" s="231">
        <v>316.0</v>
      </c>
      <c r="H37" s="232">
        <f>IFERROR(__xludf.DUMMYFUNCTION("""COMPUTED_VALUE"""),0.0)</f>
        <v>0</v>
      </c>
      <c r="I37" s="232">
        <f>IFERROR(__xludf.DUMMYFUNCTION("""COMPUTED_VALUE"""),0.0)</f>
        <v>0</v>
      </c>
      <c r="J37" s="233">
        <f>IFERROR(__xludf.DUMMYFUNCTION("""COMPUTED_VALUE"""),0.0)</f>
        <v>0</v>
      </c>
      <c r="K37" s="62"/>
      <c r="L37" s="243">
        <f t="shared" ref="L37:M37" si="105">H37+20</f>
        <v>20</v>
      </c>
      <c r="M37" s="244">
        <f t="shared" si="105"/>
        <v>20</v>
      </c>
      <c r="N37" s="245">
        <f t="shared" si="63"/>
        <v>20</v>
      </c>
      <c r="O37" s="271">
        <f t="array" ref="O37">iferror(if(INDEX('Slot Selection'!$A$2:$BJ$38, MATCH(E37-400,'Slot Selection'!$A$2:$A$38, 0), MATCH("2026-"&amp;D37,'Slot Selection'!$2:$2, 0)),1,0),0)</f>
        <v>1</v>
      </c>
      <c r="P37" s="272">
        <f t="array" ref="P37">iferror(if(INDEX('Slot Selection'!$A$80:$BJ$116, MATCH(F37-600,'Slot Selection'!$A$80:$A$116, 0), MATCH("2026-"&amp;D37,'Slot Selection'!$80:$80, 0)),1,0),0)</f>
        <v>1</v>
      </c>
      <c r="Q37" s="146">
        <f t="array" ref="Q37">iferror(if(INDEX('Slot Selection'!$A$41:$BJ$77, MATCH(F37-600,'Slot Selection'!$A$41:$A$77, 0), MATCH("2026-"&amp;D37,'Slot Selection'!$41:$41, 0)),1,0),0)</f>
        <v>1</v>
      </c>
      <c r="R37" s="230">
        <f t="shared" ref="R37:T37" si="106">L37*O37</f>
        <v>20</v>
      </c>
      <c r="S37" s="248">
        <f t="shared" si="106"/>
        <v>20</v>
      </c>
      <c r="T37" s="249">
        <f t="shared" si="106"/>
        <v>20</v>
      </c>
      <c r="U37" s="243">
        <f t="shared" ref="U37:W37" si="107">L37-R37</f>
        <v>0</v>
      </c>
      <c r="V37" s="248">
        <f t="shared" si="107"/>
        <v>0</v>
      </c>
      <c r="W37" s="249">
        <f t="shared" si="107"/>
        <v>0</v>
      </c>
    </row>
    <row r="38">
      <c r="A38" s="242" t="str">
        <f>IFERROR(__xludf.DUMMYFUNCTION("if(E38=506,""FEA006A"",INDEX(IMPORTRANGE(""https://docs.google.com/spreadsheets/d/1WbE6HOh_eG5_DM53SVfuckYm0VQnhNvuwjql7Tw1FX0/edit?gid=660406182#gid=660406182"", ""'""&amp;D38&amp;""'!H2:H45""),match(E38,IMPORTRANGE(""https://docs.google.com/spreadsheets/d/1WbE6"&amp;"HOh_eG5_DM53SVfuckYm0VQnhNvuwjql7Tw1FX0/edit?gid=660406182#gid=660406182"", ""'""&amp;D38&amp;""'!B2:B45""),0),1))"),"FE4006A")</f>
        <v>FE4006A</v>
      </c>
      <c r="B38" s="229" t="str">
        <f>IFERROR(__xludf.DUMMYFUNCTION("if(E38=506,""-"",INDEX(IMPORTRANGE(""https://docs.google.com/spreadsheets/d/1WbE6HOh_eG5_DM53SVfuckYm0VQnhNvuwjql7Tw1FX0/edit?gid=660406182#gid=660406182"", ""'""&amp;D38&amp;""'!D2:D45""),match(E38,IMPORTRANGE(""https://docs.google.com/spreadsheets/d/1WbE6HOh_eG"&amp;"5_DM53SVfuckYm0VQnhNvuwjql7Tw1FX0/edit?gid=660406182#gid=660406182"", ""'""&amp;D38&amp;""'!B2:B45""),0),1))"),"P+")</f>
        <v>P+</v>
      </c>
      <c r="C38" s="135" t="str">
        <f>IFERROR(__xludf.DUMMYFUNCTION("if(A38=""FEA006A"",""Garlic Herb Grilled Chicken"", ifna(INDEX(IMPORTRANGE(""https://docs.google.com/spreadsheets/d/1mnGm3iYGkB4FyqAD-LwwVYksgBMX_SY4qHQa16KgMiw/edit?gid=1956920866#gid=1956920866"", ""'EU Meal Database'!$E$2:$E""),MATCH(A38,IMPORTRANGE("""&amp;"https://docs.google.com/spreadsheets/d/1mnGm3iYGkB4FyqAD-LwwVYksgBMX_SY4qHQa16KgMiw/edit?gid=1956920866#gid=1956920866"",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DB_Product'!$B$2:$B""),MATCH(A38,IMPORTRANGE(""https://docs.google.com/spreadsheets/d/1n4t_JF5P_MLd0hMmhjv1A2rgLKdyee_-mrZZmdZr9G4/edit?gid=670402169#gid=670402169"", ""'Meal DB_Product'!$A$2:$A""),0))))"),"Pork tenderloin in sundried tomato sauce")</f>
        <v>Pork tenderloin in sundried tomato sauce</v>
      </c>
      <c r="D38" s="62" t="s">
        <v>227</v>
      </c>
      <c r="E38" s="230">
        <v>417.0</v>
      </c>
      <c r="F38" s="62">
        <v>617.0</v>
      </c>
      <c r="G38" s="231">
        <v>317.0</v>
      </c>
      <c r="H38" s="232">
        <f>IFERROR(__xludf.DUMMYFUNCTION("""COMPUTED_VALUE"""),2141.0)</f>
        <v>2141</v>
      </c>
      <c r="I38" s="232">
        <f>IFERROR(__xludf.DUMMYFUNCTION("""COMPUTED_VALUE"""),984.0)</f>
        <v>984</v>
      </c>
      <c r="J38" s="233">
        <f>IFERROR(__xludf.DUMMYFUNCTION("""COMPUTED_VALUE"""),1028.0)</f>
        <v>1028</v>
      </c>
      <c r="K38" s="62"/>
      <c r="L38" s="243">
        <f t="shared" ref="L38:M38" si="108">H38+20</f>
        <v>2161</v>
      </c>
      <c r="M38" s="244">
        <f t="shared" si="108"/>
        <v>1004</v>
      </c>
      <c r="N38" s="245">
        <f t="shared" si="63"/>
        <v>1048</v>
      </c>
      <c r="O38" s="271">
        <f t="array" ref="O38">iferror(if(INDEX('Slot Selection'!$A$2:$BJ$38, MATCH(E38-400,'Slot Selection'!$A$2:$A$38, 0), MATCH("2026-"&amp;D38,'Slot Selection'!$2:$2, 0)),1,0),0)</f>
        <v>0</v>
      </c>
      <c r="P38" s="272">
        <f t="array" ref="P38">iferror(if(INDEX('Slot Selection'!$A$80:$BJ$116, MATCH(F38-600,'Slot Selection'!$A$80:$A$116, 0), MATCH("2026-"&amp;D38,'Slot Selection'!$80:$80, 0)),1,0),0)</f>
        <v>0</v>
      </c>
      <c r="Q38" s="146">
        <f t="array" ref="Q38">iferror(if(INDEX('Slot Selection'!$A$41:$BJ$77, MATCH(F38-600,'Slot Selection'!$A$41:$A$77, 0), MATCH("2026-"&amp;D38,'Slot Selection'!$41:$41, 0)),1,0),0)</f>
        <v>0</v>
      </c>
      <c r="R38" s="230">
        <f t="shared" ref="R38:T38" si="109">L38*O38</f>
        <v>0</v>
      </c>
      <c r="S38" s="248">
        <f t="shared" si="109"/>
        <v>0</v>
      </c>
      <c r="T38" s="249">
        <f t="shared" si="109"/>
        <v>0</v>
      </c>
      <c r="U38" s="243">
        <f t="shared" ref="U38:W38" si="110">L38-R38</f>
        <v>2161</v>
      </c>
      <c r="V38" s="244">
        <f t="shared" si="110"/>
        <v>1004</v>
      </c>
      <c r="W38" s="245">
        <f t="shared" si="110"/>
        <v>1048</v>
      </c>
    </row>
    <row r="39">
      <c r="A39" s="242" t="str">
        <f>IFERROR(__xludf.DUMMYFUNCTION("if(E39=506,""FEA006A"",INDEX(IMPORTRANGE(""https://docs.google.com/spreadsheets/d/1WbE6HOh_eG5_DM53SVfuckYm0VQnhNvuwjql7Tw1FX0/edit?gid=660406182#gid=660406182"", ""'""&amp;D39&amp;""'!H2:H45""),match(E39,IMPORTRANGE(""https://docs.google.com/spreadsheets/d/1WbE6"&amp;"HOh_eG5_DM53SVfuckYm0VQnhNvuwjql7Tw1FX0/edit?gid=660406182#gid=660406182"", ""'""&amp;D39&amp;""'!B2:B45""),0),1))"),"FE0430E")</f>
        <v>FE0430E</v>
      </c>
      <c r="B39" s="229" t="str">
        <f>IFERROR(__xludf.DUMMYFUNCTION("if(E39=506,""-"",INDEX(IMPORTRANGE(""https://docs.google.com/spreadsheets/d/1WbE6HOh_eG5_DM53SVfuckYm0VQnhNvuwjql7Tw1FX0/edit?gid=660406182#gid=660406182"", ""'""&amp;D39&amp;""'!D2:D45""),match(E39,IMPORTRANGE(""https://docs.google.com/spreadsheets/d/1WbE6HOh_eG"&amp;"5_DM53SVfuckYm0VQnhNvuwjql7Tw1FX0/edit?gid=660406182#gid=660406182"", ""'""&amp;D39&amp;""'!B2:B45""),0),1))"),"CS")</f>
        <v>CS</v>
      </c>
      <c r="C39" s="135" t="str">
        <f>IFERROR(__xludf.DUMMYFUNCTION("if(A39=""FEA006A"",""Garlic Herb Grilled Chicken"", ifna(INDEX(IMPORTRANGE(""https://docs.google.com/spreadsheets/d/1mnGm3iYGkB4FyqAD-LwwVYksgBMX_SY4qHQa16KgMiw/edit?gid=1956920866#gid=1956920866"", ""'EU Meal Database'!$E$2:$E""),MATCH(A39,IMPORTRANGE("""&amp;"https://docs.google.com/spreadsheets/d/1mnGm3iYGkB4FyqAD-LwwVYksgBMX_SY4qHQa16KgMiw/edit?gid=1956920866#gid=1956920866"",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DB_Product'!$B$2:$B""),MATCH(A39,IMPORTRANGE(""https://docs.google.com/spreadsheets/d/1n4t_JF5P_MLd0hMmhjv1A2rgLKdyee_-mrZZmdZr9G4/edit?gid=670402169#gid=670402169"", ""'Meal DB_Product'!$A$2:$A""),0))))"),"Pork tenderloin in red pepper sauce")</f>
        <v>Pork tenderloin in red pepper sauce</v>
      </c>
      <c r="D39" s="62" t="s">
        <v>227</v>
      </c>
      <c r="E39" s="230">
        <v>418.0</v>
      </c>
      <c r="F39" s="62">
        <v>618.0</v>
      </c>
      <c r="G39" s="231">
        <v>318.0</v>
      </c>
      <c r="H39" s="232">
        <f>IFERROR(__xludf.DUMMYFUNCTION("""COMPUTED_VALUE"""),1048.0)</f>
        <v>1048</v>
      </c>
      <c r="I39" s="232">
        <f>IFERROR(__xludf.DUMMYFUNCTION("""COMPUTED_VALUE"""),734.0)</f>
        <v>734</v>
      </c>
      <c r="J39" s="233">
        <f>IFERROR(__xludf.DUMMYFUNCTION("""COMPUTED_VALUE"""),512.0)</f>
        <v>512</v>
      </c>
      <c r="K39" s="62"/>
      <c r="L39" s="243">
        <f t="shared" ref="L39:M39" si="111">H39+20</f>
        <v>1068</v>
      </c>
      <c r="M39" s="244">
        <f t="shared" si="111"/>
        <v>754</v>
      </c>
      <c r="N39" s="245">
        <f t="shared" si="63"/>
        <v>532</v>
      </c>
      <c r="O39" s="271">
        <f t="array" ref="O39">iferror(if(INDEX('Slot Selection'!$A$2:$BJ$38, MATCH(E39-400,'Slot Selection'!$A$2:$A$38, 0), MATCH("2026-"&amp;D39,'Slot Selection'!$2:$2, 0)),1,0),0)</f>
        <v>0</v>
      </c>
      <c r="P39" s="272">
        <f t="array" ref="P39">iferror(if(INDEX('Slot Selection'!$A$80:$BJ$116, MATCH(F39-600,'Slot Selection'!$A$80:$A$116, 0), MATCH("2026-"&amp;D39,'Slot Selection'!$80:$80, 0)),1,0),0)</f>
        <v>0</v>
      </c>
      <c r="Q39" s="146">
        <f t="array" ref="Q39">iferror(if(INDEX('Slot Selection'!$A$41:$BJ$77, MATCH(F39-600,'Slot Selection'!$A$41:$A$77, 0), MATCH("2026-"&amp;D39,'Slot Selection'!$41:$41, 0)),1,0),0)</f>
        <v>0</v>
      </c>
      <c r="R39" s="230">
        <f t="shared" ref="R39:T39" si="112">L39*O39</f>
        <v>0</v>
      </c>
      <c r="S39" s="248">
        <f t="shared" si="112"/>
        <v>0</v>
      </c>
      <c r="T39" s="249">
        <f t="shared" si="112"/>
        <v>0</v>
      </c>
      <c r="U39" s="243">
        <f t="shared" ref="U39:W39" si="113">L39-R39</f>
        <v>1068</v>
      </c>
      <c r="V39" s="248">
        <f t="shared" si="113"/>
        <v>754</v>
      </c>
      <c r="W39" s="249">
        <f t="shared" si="113"/>
        <v>532</v>
      </c>
    </row>
    <row r="40">
      <c r="A40" s="250" t="str">
        <f>IFERROR(__xludf.DUMMYFUNCTION("if(E40=506,""FEA006A"",INDEX(IMPORTRANGE(""https://docs.google.com/spreadsheets/d/1WbE6HOh_eG5_DM53SVfuckYm0VQnhNvuwjql7Tw1FX0/edit?gid=660406182#gid=660406182"", ""'""&amp;D40&amp;""'!H2:H45""),match(E40,IMPORTRANGE(""https://docs.google.com/spreadsheets/d/1WbE6"&amp;"HOh_eG5_DM53SVfuckYm0VQnhNvuwjql7Tw1FX0/edit?gid=660406182#gid=660406182"", ""'""&amp;D40&amp;""'!B2:B45""),0),1))"),"FEA006A")</f>
        <v>FEA006A</v>
      </c>
      <c r="B40" s="251" t="str">
        <f>IFERROR(__xludf.DUMMYFUNCTION("if(E40=506,""-"",INDEX(IMPORTRANGE(""https://docs.google.com/spreadsheets/d/1WbE6HOh_eG5_DM53SVfuckYm0VQnhNvuwjql7Tw1FX0/edit?gid=660406182#gid=660406182"", ""'""&amp;D40&amp;""'!D2:D45""),match(E40,IMPORTRANGE(""https://docs.google.com/spreadsheets/d/1WbE6HOh_eG"&amp;"5_DM53SVfuckYm0VQnhNvuwjql7Tw1FX0/edit?gid=660406182#gid=660406182"", ""'""&amp;D40&amp;""'!B2:B45""),0),1))"),"-")</f>
        <v>-</v>
      </c>
      <c r="C40" s="252" t="str">
        <f>IFERROR(__xludf.DUMMYFUNCTION("if(A40=""FEA006A"",""Garlic Herb Grilled Chicken"", ifna(INDEX(IMPORTRANGE(""https://docs.google.com/spreadsheets/d/1mnGm3iYGkB4FyqAD-LwwVYksgBMX_SY4qHQa16KgMiw/edit?gid=1956920866#gid=1956920866"", ""'EU Meal Database'!$E$2:$E""),MATCH(A40,IMPORTRANGE("""&amp;"https://docs.google.com/spreadsheets/d/1mnGm3iYGkB4FyqAD-LwwVYksgBMX_SY4qHQa16KgMiw/edit?gid=1956920866#gid=1956920866"",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DB_Product'!$B$2:$B""),MATCH(A40,IMPORTRANGE(""https://docs.google.com/spreadsheets/d/1n4t_JF5P_MLd0hMmhjv1A2rgLKdyee_-mrZZmdZr9G4/edit?gid=670402169#gid=670402169"", ""'Meal DB_Product'!$A$2:$A""),0))))"),"Garlic Herb Grilled Chicken")</f>
        <v>Garlic Herb Grilled Chicken</v>
      </c>
      <c r="D40" s="253" t="s">
        <v>227</v>
      </c>
      <c r="E40" s="254">
        <v>506.0</v>
      </c>
      <c r="F40" s="253">
        <v>706.0</v>
      </c>
      <c r="G40" s="255">
        <v>806.0</v>
      </c>
      <c r="H40" s="256">
        <f>IFERROR(__xludf.DUMMYFUNCTION("""COMPUTED_VALUE"""),81.0)</f>
        <v>81</v>
      </c>
      <c r="I40" s="256">
        <f>IFERROR(__xludf.DUMMYFUNCTION("""COMPUTED_VALUE"""),40.0)</f>
        <v>40</v>
      </c>
      <c r="J40" s="257">
        <f>IFERROR(__xludf.DUMMYFUNCTION("""COMPUTED_VALUE"""),33.0)</f>
        <v>33</v>
      </c>
      <c r="K40" s="258">
        <f>IFERROR(__xludf.DUMMYFUNCTION("""COMPUTED_VALUE"""),0.0)</f>
        <v>0</v>
      </c>
      <c r="L40" s="259">
        <f t="shared" ref="L40:M40" si="114">H40</f>
        <v>81</v>
      </c>
      <c r="M40" s="258">
        <f t="shared" si="114"/>
        <v>40</v>
      </c>
      <c r="N40" s="260">
        <f>J40+K40</f>
        <v>33</v>
      </c>
      <c r="O40" s="273">
        <f t="array" ref="O40">iferror(if(INDEX('Slot Selection'!$A$2:$BJ$38, MATCH(E40-400,'Slot Selection'!$A$2:$A$38, 0), MATCH("2026-"&amp;D40,'Slot Selection'!$2:$2, 0)),1,0),0)</f>
        <v>0</v>
      </c>
      <c r="P40" s="274">
        <f t="array" ref="P40">iferror(if(INDEX('Slot Selection'!$A$80:$BJ$116, MATCH(F40-600,'Slot Selection'!$A$80:$A$116, 0), MATCH("2026-"&amp;D40,'Slot Selection'!$80:$80, 0)),1,0),0)</f>
        <v>0</v>
      </c>
      <c r="Q40" s="145">
        <f t="array" ref="Q40">iferror(if(INDEX('Slot Selection'!$A$41:$BJ$77, MATCH(F40-600,'Slot Selection'!$A$41:$A$77, 0), MATCH("2026-"&amp;D40,'Slot Selection'!$41:$41, 0)),1,0),0)</f>
        <v>0</v>
      </c>
      <c r="R40" s="254">
        <f t="shared" ref="R40:T40" si="115">L40*O40</f>
        <v>0</v>
      </c>
      <c r="S40" s="263">
        <f t="shared" si="115"/>
        <v>0</v>
      </c>
      <c r="T40" s="264">
        <f t="shared" si="115"/>
        <v>0</v>
      </c>
      <c r="U40" s="259">
        <f t="shared" ref="U40:W40" si="116">L40-R40</f>
        <v>81</v>
      </c>
      <c r="V40" s="263">
        <f t="shared" si="116"/>
        <v>40</v>
      </c>
      <c r="W40" s="264">
        <f t="shared" si="116"/>
        <v>33</v>
      </c>
    </row>
    <row r="41">
      <c r="A41" s="228" t="str">
        <f>IFERROR(__xludf.DUMMYFUNCTION("if(E41=506,""FEA006A"",INDEX(IMPORTRANGE(""https://docs.google.com/spreadsheets/d/1WbE6HOh_eG5_DM53SVfuckYm0VQnhNvuwjql7Tw1FX0/edit?gid=660406182#gid=660406182"", ""'""&amp;D41&amp;""'!H2:H45""),match(E41,IMPORTRANGE(""https://docs.google.com/spreadsheets/d/1WbE6"&amp;"HOh_eG5_DM53SVfuckYm0VQnhNvuwjql7Tw1FX0/edit?gid=660406182#gid=660406182"", ""'""&amp;D41&amp;""'!B2:B45""),0),1))"),"FE4015B")</f>
        <v>FE4015B</v>
      </c>
      <c r="B41" s="229" t="str">
        <f>IFERROR(__xludf.DUMMYFUNCTION("if(E41=506,""-"",INDEX(IMPORTRANGE(""https://docs.google.com/spreadsheets/d/1WbE6HOh_eG5_DM53SVfuckYm0VQnhNvuwjql7Tw1FX0/edit?gid=660406182#gid=660406182"", ""'""&amp;D41&amp;""'!D2:D45""),match(E41,IMPORTRANGE(""https://docs.google.com/spreadsheets/d/1WbE6HOh_eG"&amp;"5_DM53SVfuckYm0VQnhNvuwjql7Tw1FX0/edit?gid=660406182#gid=660406182"", ""'""&amp;D41&amp;""'!B2:B45""),0),1))"),"CS")</f>
        <v>CS</v>
      </c>
      <c r="C41" s="135" t="str">
        <f>IFERROR(__xludf.DUMMYFUNCTION("if(A41=""FEA006A"",""Garlic Herb Grilled Chicken"", ifna(INDEX(IMPORTRANGE(""https://docs.google.com/spreadsheets/d/1mnGm3iYGkB4FyqAD-LwwVYksgBMX_SY4qHQa16KgMiw/edit?gid=1956920866#gid=1956920866"", ""'EU Meal Database'!$E$2:$E""),MATCH(A41,IMPORTRANGE("""&amp;"https://docs.google.com/spreadsheets/d/1mnGm3iYGkB4FyqAD-LwwVYksgBMX_SY4qHQa16KgMiw/edit?gid=1956920866#gid=1956920866"",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DB_Product'!$B$2:$B""),MATCH(A41,IMPORTRANGE(""https://docs.google.com/spreadsheets/d/1n4t_JF5P_MLd0hMmhjv1A2rgLKdyee_-mrZZmdZr9G4/edit?gid=670402169#gid=670402169"", ""'Meal DB_Product'!$A$2:$A""),0))))"),"Grilled chicken and ratatouille")</f>
        <v>Grilled chicken and ratatouille</v>
      </c>
      <c r="D41" s="62" t="s">
        <v>228</v>
      </c>
      <c r="E41" s="230">
        <v>401.0</v>
      </c>
      <c r="F41" s="62">
        <v>601.0</v>
      </c>
      <c r="G41" s="231">
        <v>301.0</v>
      </c>
      <c r="H41" s="232">
        <f>IFERROR(__xludf.DUMMYFUNCTION("""COMPUTED_VALUE"""),7349.0)</f>
        <v>7349</v>
      </c>
      <c r="I41" s="232">
        <f>IFERROR(__xludf.DUMMYFUNCTION("""COMPUTED_VALUE"""),3754.0)</f>
        <v>3754</v>
      </c>
      <c r="J41" s="233">
        <f>IFERROR(__xludf.DUMMYFUNCTION("""COMPUTED_VALUE"""),2994.0)</f>
        <v>2994</v>
      </c>
      <c r="K41" s="62"/>
      <c r="L41" s="234">
        <f t="shared" ref="L41:M41" si="117">H41+20</f>
        <v>7369</v>
      </c>
      <c r="M41" s="235">
        <f t="shared" si="117"/>
        <v>3774</v>
      </c>
      <c r="N41" s="236">
        <f t="shared" ref="N41:N58" si="121">J41+20+K41</f>
        <v>3014</v>
      </c>
      <c r="O41" s="265">
        <f t="array" ref="O41">iferror(if(INDEX('Slot Selection'!$A$2:$BJ$38, MATCH(E41-400,'Slot Selection'!$A$2:$A$38, 0), MATCH("2026-"&amp;D41,'Slot Selection'!$2:$2, 0)),1,0),0)</f>
        <v>0</v>
      </c>
      <c r="P41" s="266">
        <f t="array" ref="P41">iferror(if(INDEX('Slot Selection'!$A$80:$BJ$116, MATCH(F41-600,'Slot Selection'!$A$80:$A$116, 0), MATCH("2026-"&amp;E41,'Slot Selection'!$80:$80, 0)),1,0),0)</f>
        <v>0</v>
      </c>
      <c r="Q41" s="267">
        <f t="array" ref="Q41">iferror(if(INDEX('Slot Selection'!$A$41:$BJ$77, MATCH(F41-600,'Slot Selection'!$A$41:$A$77, 0), MATCH("2026-"&amp;D41,'Slot Selection'!$41:$41, 0)),1,0),0)</f>
        <v>0</v>
      </c>
      <c r="R41" s="239">
        <f t="shared" ref="R41:T41" si="118">L41*O41</f>
        <v>0</v>
      </c>
      <c r="S41" s="240">
        <f t="shared" si="118"/>
        <v>0</v>
      </c>
      <c r="T41" s="241">
        <f t="shared" si="118"/>
        <v>0</v>
      </c>
      <c r="U41" s="234">
        <f t="shared" ref="U41:W41" si="119">L41-R41</f>
        <v>7369</v>
      </c>
      <c r="V41" s="235">
        <f t="shared" si="119"/>
        <v>3774</v>
      </c>
      <c r="W41" s="236">
        <f t="shared" si="119"/>
        <v>3014</v>
      </c>
    </row>
    <row r="42">
      <c r="A42" s="242" t="str">
        <f>IFERROR(__xludf.DUMMYFUNCTION("if(E42=506,""FEA006A"",INDEX(IMPORTRANGE(""https://docs.google.com/spreadsheets/d/1WbE6HOh_eG5_DM53SVfuckYm0VQnhNvuwjql7Tw1FX0/edit?gid=660406182#gid=660406182"", ""'""&amp;D42&amp;""'!H2:H45""),match(E42,IMPORTRANGE(""https://docs.google.com/spreadsheets/d/1WbE6"&amp;"HOh_eG5_DM53SVfuckYm0VQnhNvuwjql7Tw1FX0/edit?gid=660406182#gid=660406182"", ""'""&amp;D42&amp;""'!B2:B45""),0),1))"),"FE1636A")</f>
        <v>FE1636A</v>
      </c>
      <c r="B42" s="229" t="str">
        <f>IFERROR(__xludf.DUMMYFUNCTION("if(E42=506,""-"",INDEX(IMPORTRANGE(""https://docs.google.com/spreadsheets/d/1WbE6HOh_eG5_DM53SVfuckYm0VQnhNvuwjql7Tw1FX0/edit?gid=660406182#gid=660406182"", ""'""&amp;D42&amp;""'!D2:D45""),match(E42,IMPORTRANGE(""https://docs.google.com/spreadsheets/d/1WbE6HOh_eG"&amp;"5_DM53SVfuckYm0VQnhNvuwjql7Tw1FX0/edit?gid=660406182#gid=660406182"", ""'""&amp;D42&amp;""'!B2:B45""),0),1))"),"CS")</f>
        <v>CS</v>
      </c>
      <c r="C42" s="135" t="str">
        <f>IFERROR(__xludf.DUMMYFUNCTION("if(A42=""FEA006A"",""Garlic Herb Grilled Chicken"", ifna(INDEX(IMPORTRANGE(""https://docs.google.com/spreadsheets/d/1mnGm3iYGkB4FyqAD-LwwVYksgBMX_SY4qHQa16KgMiw/edit?gid=1956920866#gid=1956920866"", ""'EU Meal Database'!$E$2:$E""),MATCH(A42,IMPORTRANGE("""&amp;"https://docs.google.com/spreadsheets/d/1mnGm3iYGkB4FyqAD-LwwVYksgBMX_SY4qHQa16KgMiw/edit?gid=1956920866#gid=1956920866"",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DB_Product'!$B$2:$B""),MATCH(A42,IMPORTRANGE(""https://docs.google.com/spreadsheets/d/1n4t_JF5P_MLd0hMmhjv1A2rgLKdyee_-mrZZmdZr9G4/edit?gid=670402169#gid=670402169"", ""'Meal DB_Product'!$A$2:$A""),0))))"),"Green Chile Chicken &amp; Salsa Quinoa")</f>
        <v>Green Chile Chicken &amp; Salsa Quinoa</v>
      </c>
      <c r="D42" s="62" t="s">
        <v>228</v>
      </c>
      <c r="E42" s="230">
        <v>402.0</v>
      </c>
      <c r="F42" s="62">
        <v>602.0</v>
      </c>
      <c r="G42" s="231">
        <v>302.0</v>
      </c>
      <c r="H42" s="232">
        <f>IFERROR(__xludf.DUMMYFUNCTION("""COMPUTED_VALUE"""),4207.0)</f>
        <v>4207</v>
      </c>
      <c r="I42" s="232">
        <f>IFERROR(__xludf.DUMMYFUNCTION("""COMPUTED_VALUE"""),2548.0)</f>
        <v>2548</v>
      </c>
      <c r="J42" s="233">
        <f>IFERROR(__xludf.DUMMYFUNCTION("""COMPUTED_VALUE"""),1895.0)</f>
        <v>1895</v>
      </c>
      <c r="K42" s="244">
        <f>IFERROR(__xludf.DUMMYFUNCTION("""COMPUTED_VALUE"""),16.0)</f>
        <v>16</v>
      </c>
      <c r="L42" s="243">
        <f t="shared" ref="L42:M42" si="120">H42+20</f>
        <v>4227</v>
      </c>
      <c r="M42" s="244">
        <f t="shared" si="120"/>
        <v>2568</v>
      </c>
      <c r="N42" s="245">
        <f t="shared" si="121"/>
        <v>1931</v>
      </c>
      <c r="O42" s="268">
        <f t="array" ref="O42">iferror(if(INDEX('Slot Selection'!$A$2:$BJ$38, MATCH(E42-400,'Slot Selection'!$A$2:$A$38, 0), MATCH("2026-"&amp;D42,'Slot Selection'!$2:$2, 0)),1,0),0)</f>
        <v>0</v>
      </c>
      <c r="P42" s="269">
        <f t="array" ref="P42">iferror(if(INDEX('Slot Selection'!$A$80:$BJ$116, MATCH(F42-600,'Slot Selection'!$A$80:$A$116, 0), MATCH("2026-"&amp;D42,'Slot Selection'!$80:$80, 0)),1,0),0)</f>
        <v>0</v>
      </c>
      <c r="Q42" s="270">
        <f t="array" ref="Q42">iferror(if(INDEX('Slot Selection'!$A$41:$BJ$77, MATCH(F42-600,'Slot Selection'!$A$41:$A$77, 0), MATCH("2026-"&amp;D42,'Slot Selection'!$41:$41, 0)),1,0),0)</f>
        <v>0</v>
      </c>
      <c r="R42" s="230">
        <f t="shared" ref="R42:T42" si="122">L42*O42</f>
        <v>0</v>
      </c>
      <c r="S42" s="248">
        <f t="shared" si="122"/>
        <v>0</v>
      </c>
      <c r="T42" s="249">
        <f t="shared" si="122"/>
        <v>0</v>
      </c>
      <c r="U42" s="243">
        <f t="shared" ref="U42:W42" si="123">L42-R42</f>
        <v>4227</v>
      </c>
      <c r="V42" s="244">
        <f t="shared" si="123"/>
        <v>2568</v>
      </c>
      <c r="W42" s="245">
        <f t="shared" si="123"/>
        <v>1931</v>
      </c>
    </row>
    <row r="43">
      <c r="A43" s="242" t="str">
        <f>IFERROR(__xludf.DUMMYFUNCTION("if(E43=506,""FEA006A"",INDEX(IMPORTRANGE(""https://docs.google.com/spreadsheets/d/1WbE6HOh_eG5_DM53SVfuckYm0VQnhNvuwjql7Tw1FX0/edit?gid=660406182#gid=660406182"", ""'""&amp;D43&amp;""'!H2:H45""),match(E43,IMPORTRANGE(""https://docs.google.com/spreadsheets/d/1WbE6"&amp;"HOh_eG5_DM53SVfuckYm0VQnhNvuwjql7Tw1FX0/edit?gid=660406182#gid=660406182"", ""'""&amp;D43&amp;""'!B2:B45""),0),1))"),"FE0413G")</f>
        <v>FE0413G</v>
      </c>
      <c r="B43" s="229" t="str">
        <f>IFERROR(__xludf.DUMMYFUNCTION("if(E43=506,""-"",INDEX(IMPORTRANGE(""https://docs.google.com/spreadsheets/d/1WbE6HOh_eG5_DM53SVfuckYm0VQnhNvuwjql7Tw1FX0/edit?gid=660406182#gid=660406182"", ""'""&amp;D43&amp;""'!D2:D45""),match(E43,IMPORTRANGE(""https://docs.google.com/spreadsheets/d/1WbE6HOh_eG"&amp;"5_DM53SVfuckYm0VQnhNvuwjql7Tw1FX0/edit?gid=660406182#gid=660406182"", ""'""&amp;D43&amp;""'!B2:B45""),0),1))"),"Keto")</f>
        <v>Keto</v>
      </c>
      <c r="C43" s="135" t="str">
        <f>IFERROR(__xludf.DUMMYFUNCTION("if(A43=""FEA006A"",""Garlic Herb Grilled Chicken"", ifna(INDEX(IMPORTRANGE(""https://docs.google.com/spreadsheets/d/1mnGm3iYGkB4FyqAD-LwwVYksgBMX_SY4qHQa16KgMiw/edit?gid=1956920866#gid=1956920866"", ""'EU Meal Database'!$E$2:$E""),MATCH(A43,IMPORTRANGE("""&amp;"https://docs.google.com/spreadsheets/d/1mnGm3iYGkB4FyqAD-LwwVYksgBMX_SY4qHQa16KgMiw/edit?gid=1956920866#gid=1956920866"",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DB_Product'!$B$2:$B""),MATCH(A43,IMPORTRANGE(""https://docs.google.com/spreadsheets/d/1n4t_JF5P_MLd0hMmhjv1A2rgLKdyee_-mrZZmdZr9G4/edit?gid=670402169#gid=670402169"", ""'Meal DB_Product'!$A$2:$A""),0))))"),"Braised beef in herby jus")</f>
        <v>Braised beef in herby jus</v>
      </c>
      <c r="D43" s="62" t="s">
        <v>228</v>
      </c>
      <c r="E43" s="230">
        <v>403.0</v>
      </c>
      <c r="F43" s="62">
        <v>603.0</v>
      </c>
      <c r="G43" s="231">
        <v>303.0</v>
      </c>
      <c r="H43" s="232">
        <f>IFERROR(__xludf.DUMMYFUNCTION("""COMPUTED_VALUE"""),4201.0)</f>
        <v>4201</v>
      </c>
      <c r="I43" s="232">
        <f>IFERROR(__xludf.DUMMYFUNCTION("""COMPUTED_VALUE"""),2345.0)</f>
        <v>2345</v>
      </c>
      <c r="J43" s="233">
        <f>IFERROR(__xludf.DUMMYFUNCTION("""COMPUTED_VALUE"""),2085.0)</f>
        <v>2085</v>
      </c>
      <c r="K43" s="62"/>
      <c r="L43" s="243">
        <f t="shared" ref="L43:M43" si="124">H43+20</f>
        <v>4221</v>
      </c>
      <c r="M43" s="244">
        <f t="shared" si="124"/>
        <v>2365</v>
      </c>
      <c r="N43" s="245">
        <f t="shared" si="121"/>
        <v>2105</v>
      </c>
      <c r="O43" s="268">
        <f t="array" ref="O43">iferror(if(INDEX('Slot Selection'!$A$2:$BJ$38, MATCH(E43-400,'Slot Selection'!$A$2:$A$38, 0), MATCH("2026-"&amp;D43,'Slot Selection'!$2:$2, 0)),1,0),0)</f>
        <v>0</v>
      </c>
      <c r="P43" s="269">
        <f t="array" ref="P43">iferror(if(INDEX('Slot Selection'!$A$80:$BJ$116, MATCH(F43-600,'Slot Selection'!$A$80:$A$116, 0), MATCH("2026-"&amp;D43,'Slot Selection'!$80:$80, 0)),1,0),0)</f>
        <v>0</v>
      </c>
      <c r="Q43" s="270">
        <f t="array" ref="Q43">iferror(if(INDEX('Slot Selection'!$A$41:$BJ$77, MATCH(F43-600,'Slot Selection'!$A$41:$A$77, 0), MATCH("2026-"&amp;D43,'Slot Selection'!$41:$41, 0)),1,0),0)</f>
        <v>0</v>
      </c>
      <c r="R43" s="230">
        <f t="shared" ref="R43:T43" si="125">L43*O43</f>
        <v>0</v>
      </c>
      <c r="S43" s="248">
        <f t="shared" si="125"/>
        <v>0</v>
      </c>
      <c r="T43" s="249">
        <f t="shared" si="125"/>
        <v>0</v>
      </c>
      <c r="U43" s="243">
        <f t="shared" ref="U43:W43" si="126">L43-R43</f>
        <v>4221</v>
      </c>
      <c r="V43" s="244">
        <f t="shared" si="126"/>
        <v>2365</v>
      </c>
      <c r="W43" s="245">
        <f t="shared" si="126"/>
        <v>2105</v>
      </c>
    </row>
    <row r="44">
      <c r="A44" s="242" t="str">
        <f>IFERROR(__xludf.DUMMYFUNCTION("if(E44=506,""FEA006A"",INDEX(IMPORTRANGE(""https://docs.google.com/spreadsheets/d/1WbE6HOh_eG5_DM53SVfuckYm0VQnhNvuwjql7Tw1FX0/edit?gid=660406182#gid=660406182"", ""'""&amp;D44&amp;""'!H2:H45""),match(E44,IMPORTRANGE(""https://docs.google.com/spreadsheets/d/1WbE6"&amp;"HOh_eG5_DM53SVfuckYm0VQnhNvuwjql7Tw1FX0/edit?gid=660406182#gid=660406182"", ""'""&amp;D44&amp;""'!B2:B45""),0),1))"),"FE4009A")</f>
        <v>FE4009A</v>
      </c>
      <c r="B44" s="229" t="str">
        <f>IFERROR(__xludf.DUMMYFUNCTION("if(E44=506,""-"",INDEX(IMPORTRANGE(""https://docs.google.com/spreadsheets/d/1WbE6HOh_eG5_DM53SVfuckYm0VQnhNvuwjql7Tw1FX0/edit?gid=660406182#gid=660406182"", ""'""&amp;D44&amp;""'!D2:D45""),match(E44,IMPORTRANGE(""https://docs.google.com/spreadsheets/d/1WbE6HOh_eG"&amp;"5_DM53SVfuckYm0VQnhNvuwjql7Tw1FX0/edit?gid=660406182#gid=660406182"", ""'""&amp;D44&amp;""'!B2:B45""),0),1))"),"P+")</f>
        <v>P+</v>
      </c>
      <c r="C44" s="135" t="str">
        <f>IFERROR(__xludf.DUMMYFUNCTION("if(A44=""FEA006A"",""Garlic Herb Grilled Chicken"", ifna(INDEX(IMPORTRANGE(""https://docs.google.com/spreadsheets/d/1mnGm3iYGkB4FyqAD-LwwVYksgBMX_SY4qHQa16KgMiw/edit?gid=1956920866#gid=1956920866"", ""'EU Meal Database'!$E$2:$E""),MATCH(A44,IMPORTRANGE("""&amp;"https://docs.google.com/spreadsheets/d/1mnGm3iYGkB4FyqAD-LwwVYksgBMX_SY4qHQa16KgMiw/edit?gid=1956920866#gid=1956920866"",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DB_Product'!$B$2:$B""),MATCH(A44,IMPORTRANGE(""https://docs.google.com/spreadsheets/d/1n4t_JF5P_MLd0hMmhjv1A2rgLKdyee_-mrZZmdZr9G4/edit?gid=670402169#gid=670402169"", ""'Meal DB_Product'!$A$2:$A""),0))))"),"Salmon in mustard-dill sauce")</f>
        <v>Salmon in mustard-dill sauce</v>
      </c>
      <c r="D44" s="62" t="s">
        <v>228</v>
      </c>
      <c r="E44" s="230">
        <v>404.0</v>
      </c>
      <c r="F44" s="62">
        <v>604.0</v>
      </c>
      <c r="G44" s="231">
        <v>304.0</v>
      </c>
      <c r="H44" s="232">
        <f>IFERROR(__xludf.DUMMYFUNCTION("""COMPUTED_VALUE"""),5769.0)</f>
        <v>5769</v>
      </c>
      <c r="I44" s="232">
        <f>IFERROR(__xludf.DUMMYFUNCTION("""COMPUTED_VALUE"""),2905.0)</f>
        <v>2905</v>
      </c>
      <c r="J44" s="233">
        <f>IFERROR(__xludf.DUMMYFUNCTION("""COMPUTED_VALUE"""),2346.0)</f>
        <v>2346</v>
      </c>
      <c r="K44" s="62"/>
      <c r="L44" s="243">
        <f t="shared" ref="L44:M44" si="127">H44+20</f>
        <v>5789</v>
      </c>
      <c r="M44" s="244">
        <f t="shared" si="127"/>
        <v>2925</v>
      </c>
      <c r="N44" s="245">
        <f t="shared" si="121"/>
        <v>2366</v>
      </c>
      <c r="O44" s="268">
        <f t="array" ref="O44">iferror(if(INDEX('Slot Selection'!$A$2:$BJ$38, MATCH(E44-400,'Slot Selection'!$A$2:$A$38, 0), MATCH("2026-"&amp;D44,'Slot Selection'!$2:$2, 0)),1,0),0)</f>
        <v>0</v>
      </c>
      <c r="P44" s="269">
        <f t="array" ref="P44">iferror(if(INDEX('Slot Selection'!$A$80:$BJ$116, MATCH(F44-600,'Slot Selection'!$A$80:$A$116, 0), MATCH("2026-"&amp;D44,'Slot Selection'!$80:$80, 0)),1,0),0)</f>
        <v>1</v>
      </c>
      <c r="Q44" s="270">
        <f t="array" ref="Q44">iferror(if(INDEX('Slot Selection'!$A$41:$BJ$77, MATCH(F44-600,'Slot Selection'!$A$41:$A$77, 0), MATCH("2026-"&amp;D44,'Slot Selection'!$41:$41, 0)),1,0),0)</f>
        <v>1</v>
      </c>
      <c r="R44" s="230">
        <f t="shared" ref="R44:T44" si="128">L44*O44</f>
        <v>0</v>
      </c>
      <c r="S44" s="248">
        <f t="shared" si="128"/>
        <v>2925</v>
      </c>
      <c r="T44" s="249">
        <f t="shared" si="128"/>
        <v>2366</v>
      </c>
      <c r="U44" s="243">
        <f t="shared" ref="U44:W44" si="129">L44-R44</f>
        <v>5789</v>
      </c>
      <c r="V44" s="244">
        <f t="shared" si="129"/>
        <v>0</v>
      </c>
      <c r="W44" s="245">
        <f t="shared" si="129"/>
        <v>0</v>
      </c>
    </row>
    <row r="45">
      <c r="A45" s="242" t="str">
        <f>IFERROR(__xludf.DUMMYFUNCTION("if(E45=506,""FEA006A"",INDEX(IMPORTRANGE(""https://docs.google.com/spreadsheets/d/1WbE6HOh_eG5_DM53SVfuckYm0VQnhNvuwjql7Tw1FX0/edit?gid=660406182#gid=660406182"", ""'""&amp;D45&amp;""'!H2:H45""),match(E45,IMPORTRANGE(""https://docs.google.com/spreadsheets/d/1WbE6"&amp;"HOh_eG5_DM53SVfuckYm0VQnhNvuwjql7Tw1FX0/edit?gid=660406182#gid=660406182"", ""'""&amp;D45&amp;""'!B2:B45""),0),1))"),"FE1451A")</f>
        <v>FE1451A</v>
      </c>
      <c r="B45" s="229" t="str">
        <f>IFERROR(__xludf.DUMMYFUNCTION("if(E45=506,""-"",INDEX(IMPORTRANGE(""https://docs.google.com/spreadsheets/d/1WbE6HOh_eG5_DM53SVfuckYm0VQnhNvuwjql7Tw1FX0/edit?gid=660406182#gid=660406182"", ""'""&amp;D45&amp;""'!D2:D45""),match(E45,IMPORTRANGE(""https://docs.google.com/spreadsheets/d/1WbE6HOh_eG"&amp;"5_DM53SVfuckYm0VQnhNvuwjql7Tw1FX0/edit?gid=660406182#gid=660406182"", ""'""&amp;D45&amp;""'!B2:B45""),0),1))"),"CS")</f>
        <v>CS</v>
      </c>
      <c r="C45" s="135" t="str">
        <f>IFERROR(__xludf.DUMMYFUNCTION("if(A45=""FEA006A"",""Garlic Herb Grilled Chicken"", ifna(INDEX(IMPORTRANGE(""https://docs.google.com/spreadsheets/d/1mnGm3iYGkB4FyqAD-LwwVYksgBMX_SY4qHQa16KgMiw/edit?gid=1956920866#gid=1956920866"", ""'EU Meal Database'!$E$2:$E""),MATCH(A45,IMPORTRANGE("""&amp;"https://docs.google.com/spreadsheets/d/1mnGm3iYGkB4FyqAD-LwwVYksgBMX_SY4qHQa16KgMiw/edit?gid=1956920866#gid=1956920866"",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DB_Product'!$B$2:$B""),MATCH(A45,IMPORTRANGE(""https://docs.google.com/spreadsheets/d/1n4t_JF5P_MLd0hMmhjv1A2rgLKdyee_-mrZZmdZr9G4/edit?gid=670402169#gid=670402169"", ""'Meal DB_Product'!$A$2:$A""),0))))"),"West African Style Chicken Peanut Curry")</f>
        <v>West African Style Chicken Peanut Curry</v>
      </c>
      <c r="D45" s="62" t="s">
        <v>228</v>
      </c>
      <c r="E45" s="230">
        <v>405.0</v>
      </c>
      <c r="F45" s="62">
        <v>605.0</v>
      </c>
      <c r="G45" s="231">
        <v>305.0</v>
      </c>
      <c r="H45" s="232">
        <f>IFERROR(__xludf.DUMMYFUNCTION("""COMPUTED_VALUE"""),3898.0)</f>
        <v>3898</v>
      </c>
      <c r="I45" s="232">
        <f>IFERROR(__xludf.DUMMYFUNCTION("""COMPUTED_VALUE"""),2327.0)</f>
        <v>2327</v>
      </c>
      <c r="J45" s="233">
        <f>IFERROR(__xludf.DUMMYFUNCTION("""COMPUTED_VALUE"""),2213.0)</f>
        <v>2213</v>
      </c>
      <c r="K45" s="62"/>
      <c r="L45" s="243">
        <f t="shared" ref="L45:M45" si="130">H45+20</f>
        <v>3918</v>
      </c>
      <c r="M45" s="244">
        <f t="shared" si="130"/>
        <v>2347</v>
      </c>
      <c r="N45" s="245">
        <f t="shared" si="121"/>
        <v>2233</v>
      </c>
      <c r="O45" s="268">
        <f t="array" ref="O45">iferror(if(INDEX('Slot Selection'!$A$2:$BJ$38, MATCH(E45-400,'Slot Selection'!$A$2:$A$38, 0), MATCH("2026-"&amp;D45,'Slot Selection'!$2:$2, 0)),1,0),0)</f>
        <v>0</v>
      </c>
      <c r="P45" s="269">
        <f t="array" ref="P45">iferror(if(INDEX('Slot Selection'!$A$80:$BJ$116, MATCH(F45-600,'Slot Selection'!$A$80:$A$116, 0), MATCH("2026-"&amp;D45,'Slot Selection'!$80:$80, 0)),1,0),0)</f>
        <v>0</v>
      </c>
      <c r="Q45" s="270">
        <f t="array" ref="Q45">iferror(if(INDEX('Slot Selection'!$A$41:$BJ$77, MATCH(F45-600,'Slot Selection'!$A$41:$A$77, 0), MATCH("2026-"&amp;D45,'Slot Selection'!$41:$41, 0)),1,0),0)</f>
        <v>0</v>
      </c>
      <c r="R45" s="230">
        <f t="shared" ref="R45:T45" si="131">L45*O45</f>
        <v>0</v>
      </c>
      <c r="S45" s="248">
        <f t="shared" si="131"/>
        <v>0</v>
      </c>
      <c r="T45" s="249">
        <f t="shared" si="131"/>
        <v>0</v>
      </c>
      <c r="U45" s="243">
        <f t="shared" ref="U45:W45" si="132">L45-R45</f>
        <v>3918</v>
      </c>
      <c r="V45" s="244">
        <f t="shared" si="132"/>
        <v>2347</v>
      </c>
      <c r="W45" s="245">
        <f t="shared" si="132"/>
        <v>2233</v>
      </c>
    </row>
    <row r="46">
      <c r="A46" s="242" t="str">
        <f>IFERROR(__xludf.DUMMYFUNCTION("if(E46=506,""FEA006A"",INDEX(IMPORTRANGE(""https://docs.google.com/spreadsheets/d/1WbE6HOh_eG5_DM53SVfuckYm0VQnhNvuwjql7Tw1FX0/edit?gid=660406182#gid=660406182"", ""'""&amp;D46&amp;""'!H2:H45""),match(E46,IMPORTRANGE(""https://docs.google.com/spreadsheets/d/1WbE6"&amp;"HOh_eG5_DM53SVfuckYm0VQnhNvuwjql7Tw1FX0/edit?gid=660406182#gid=660406182"", ""'""&amp;D46&amp;""'!B2:B45""),0),1))"),"FE0972B")</f>
        <v>FE0972B</v>
      </c>
      <c r="B46" s="229" t="str">
        <f>IFERROR(__xludf.DUMMYFUNCTION("if(E46=506,""-"",INDEX(IMPORTRANGE(""https://docs.google.com/spreadsheets/d/1WbE6HOh_eG5_DM53SVfuckYm0VQnhNvuwjql7Tw1FX0/edit?gid=660406182#gid=660406182"", ""'""&amp;D46&amp;""'!D2:D45""),match(E46,IMPORTRANGE(""https://docs.google.com/spreadsheets/d/1WbE6HOh_eG"&amp;"5_DM53SVfuckYm0VQnhNvuwjql7Tw1FX0/edit?gid=660406182#gid=660406182"", ""'""&amp;D46&amp;""'!B2:B45""),0),1))"),"Keto")</f>
        <v>Keto</v>
      </c>
      <c r="C46" s="135" t="str">
        <f>IFERROR(__xludf.DUMMYFUNCTION("if(A46=""FEA006A"",""Garlic Herb Grilled Chicken"", ifna(INDEX(IMPORTRANGE(""https://docs.google.com/spreadsheets/d/1mnGm3iYGkB4FyqAD-LwwVYksgBMX_SY4qHQa16KgMiw/edit?gid=1956920866#gid=1956920866"", ""'EU Meal Database'!$E$2:$E""),MATCH(A46,IMPORTRANGE("""&amp;"https://docs.google.com/spreadsheets/d/1mnGm3iYGkB4FyqAD-LwwVYksgBMX_SY4qHQa16KgMiw/edit?gid=1956920866#gid=1956920866"",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DB_Product'!$B$2:$B""),MATCH(A46,IMPORTRANGE(""https://docs.google.com/spreadsheets/d/1n4t_JF5P_MLd0hMmhjv1A2rgLKdyee_-mrZZmdZr9G4/edit?gid=670402169#gid=670402169"", ""'Meal DB_Product'!$A$2:$A""),0))))"),"Salmon Piccata")</f>
        <v>Salmon Piccata</v>
      </c>
      <c r="D46" s="62" t="s">
        <v>228</v>
      </c>
      <c r="E46" s="230">
        <v>406.0</v>
      </c>
      <c r="F46" s="62">
        <v>606.0</v>
      </c>
      <c r="G46" s="231">
        <v>306.0</v>
      </c>
      <c r="H46" s="232">
        <f>IFERROR(__xludf.DUMMYFUNCTION("""COMPUTED_VALUE"""),2837.0)</f>
        <v>2837</v>
      </c>
      <c r="I46" s="232">
        <f>IFERROR(__xludf.DUMMYFUNCTION("""COMPUTED_VALUE"""),1686.0)</f>
        <v>1686</v>
      </c>
      <c r="J46" s="233">
        <f>IFERROR(__xludf.DUMMYFUNCTION("""COMPUTED_VALUE"""),1728.0)</f>
        <v>1728</v>
      </c>
      <c r="K46" s="62"/>
      <c r="L46" s="243">
        <f t="shared" ref="L46:M46" si="133">H46+20</f>
        <v>2857</v>
      </c>
      <c r="M46" s="244">
        <f t="shared" si="133"/>
        <v>1706</v>
      </c>
      <c r="N46" s="245">
        <f t="shared" si="121"/>
        <v>1748</v>
      </c>
      <c r="O46" s="268">
        <f t="array" ref="O46">iferror(if(INDEX('Slot Selection'!$A$2:$BJ$38, MATCH(E46-400,'Slot Selection'!$A$2:$A$38, 0), MATCH("2026-"&amp;D46,'Slot Selection'!$2:$2, 0)),1,0),0)</f>
        <v>0</v>
      </c>
      <c r="P46" s="269">
        <f t="array" ref="P46">iferror(if(INDEX('Slot Selection'!$A$80:$BJ$116, MATCH(F46-600,'Slot Selection'!$A$80:$A$116, 0), MATCH("2026-"&amp;D46,'Slot Selection'!$80:$80, 0)),1,0),0)</f>
        <v>1</v>
      </c>
      <c r="Q46" s="270">
        <f t="array" ref="Q46">iferror(if(INDEX('Slot Selection'!$A$41:$BJ$77, MATCH(F46-600,'Slot Selection'!$A$41:$A$77, 0), MATCH("2026-"&amp;D46,'Slot Selection'!$41:$41, 0)),1,0),0)</f>
        <v>1</v>
      </c>
      <c r="R46" s="230">
        <f t="shared" ref="R46:T46" si="134">L46*O46</f>
        <v>0</v>
      </c>
      <c r="S46" s="248">
        <f t="shared" si="134"/>
        <v>1706</v>
      </c>
      <c r="T46" s="249">
        <f t="shared" si="134"/>
        <v>1748</v>
      </c>
      <c r="U46" s="243">
        <f t="shared" ref="U46:W46" si="135">L46-R46</f>
        <v>2857</v>
      </c>
      <c r="V46" s="244">
        <f t="shared" si="135"/>
        <v>0</v>
      </c>
      <c r="W46" s="245">
        <f t="shared" si="135"/>
        <v>0</v>
      </c>
    </row>
    <row r="47">
      <c r="A47" s="242" t="str">
        <f>IFERROR(__xludf.DUMMYFUNCTION("if(E47=506,""FEA006A"",INDEX(IMPORTRANGE(""https://docs.google.com/spreadsheets/d/1WbE6HOh_eG5_DM53SVfuckYm0VQnhNvuwjql7Tw1FX0/edit?gid=660406182#gid=660406182"", ""'""&amp;D47&amp;""'!H2:H45""),match(E47,IMPORTRANGE(""https://docs.google.com/spreadsheets/d/1WbE6"&amp;"HOh_eG5_DM53SVfuckYm0VQnhNvuwjql7Tw1FX0/edit?gid=660406182#gid=660406182"", ""'""&amp;D47&amp;""'!B2:B45""),0),1))"),"FE0970B")</f>
        <v>FE0970B</v>
      </c>
      <c r="B47" s="229" t="str">
        <f>IFERROR(__xludf.DUMMYFUNCTION("if(E47=506,""-"",INDEX(IMPORTRANGE(""https://docs.google.com/spreadsheets/d/1WbE6HOh_eG5_DM53SVfuckYm0VQnhNvuwjql7Tw1FX0/edit?gid=660406182#gid=660406182"", ""'""&amp;D47&amp;""'!D2:D45""),match(E47,IMPORTRANGE(""https://docs.google.com/spreadsheets/d/1WbE6HOh_eG"&amp;"5_DM53SVfuckYm0VQnhNvuwjql7Tw1FX0/edit?gid=660406182#gid=660406182"", ""'""&amp;D47&amp;""'!B2:B45""),0),1))"),"Keto")</f>
        <v>Keto</v>
      </c>
      <c r="C47" s="135" t="str">
        <f>IFERROR(__xludf.DUMMYFUNCTION("if(A47=""FEA006A"",""Garlic Herb Grilled Chicken"", ifna(INDEX(IMPORTRANGE(""https://docs.google.com/spreadsheets/d/1mnGm3iYGkB4FyqAD-LwwVYksgBMX_SY4qHQa16KgMiw/edit?gid=1956920866#gid=1956920866"", ""'EU Meal Database'!$E$2:$E""),MATCH(A47,IMPORTRANGE("""&amp;"https://docs.google.com/spreadsheets/d/1mnGm3iYGkB4FyqAD-LwwVYksgBMX_SY4qHQa16KgMiw/edit?gid=1956920866#gid=1956920866"",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DB_Product'!$B$2:$B""),MATCH(A47,IMPORTRANGE(""https://docs.google.com/spreadsheets/d/1n4t_JF5P_MLd0hMmhjv1A2rgLKdyee_-mrZZmdZr9G4/edit?gid=670402169#gid=670402169"", ""'Meal DB_Product'!$A$2:$A""),0))))"),"Caramelized Onion &amp; Emmental Fondue Chicken")</f>
        <v>Caramelized Onion &amp; Emmental Fondue Chicken</v>
      </c>
      <c r="D47" s="62" t="s">
        <v>228</v>
      </c>
      <c r="E47" s="230">
        <v>407.0</v>
      </c>
      <c r="F47" s="62">
        <v>607.0</v>
      </c>
      <c r="G47" s="231">
        <v>307.0</v>
      </c>
      <c r="H47" s="232">
        <f>IFERROR(__xludf.DUMMYFUNCTION("""COMPUTED_VALUE"""),2593.0)</f>
        <v>2593</v>
      </c>
      <c r="I47" s="232">
        <f>IFERROR(__xludf.DUMMYFUNCTION("""COMPUTED_VALUE"""),1390.0)</f>
        <v>1390</v>
      </c>
      <c r="J47" s="233">
        <f>IFERROR(__xludf.DUMMYFUNCTION("""COMPUTED_VALUE"""),1527.0)</f>
        <v>1527</v>
      </c>
      <c r="K47" s="62"/>
      <c r="L47" s="243">
        <f t="shared" ref="L47:M47" si="136">H47+20</f>
        <v>2613</v>
      </c>
      <c r="M47" s="244">
        <f t="shared" si="136"/>
        <v>1410</v>
      </c>
      <c r="N47" s="245">
        <f t="shared" si="121"/>
        <v>1547</v>
      </c>
      <c r="O47" s="268">
        <f t="array" ref="O47">iferror(if(INDEX('Slot Selection'!$A$2:$BJ$38, MATCH(E47-400,'Slot Selection'!$A$2:$A$38, 0), MATCH("2026-"&amp;D47,'Slot Selection'!$2:$2, 0)),1,0),0)</f>
        <v>0</v>
      </c>
      <c r="P47" s="269">
        <f t="array" ref="P47">iferror(if(INDEX('Slot Selection'!$A$80:$BJ$116, MATCH(F47-600,'Slot Selection'!$A$80:$A$116, 0), MATCH("2026-"&amp;D47,'Slot Selection'!$80:$80, 0)),1,0),0)</f>
        <v>1</v>
      </c>
      <c r="Q47" s="270">
        <f t="array" ref="Q47">iferror(if(INDEX('Slot Selection'!$A$41:$BJ$77, MATCH(F47-600,'Slot Selection'!$A$41:$A$77, 0), MATCH("2026-"&amp;D47,'Slot Selection'!$41:$41, 0)),1,0),0)</f>
        <v>1</v>
      </c>
      <c r="R47" s="230">
        <f t="shared" ref="R47:T47" si="137">L47*O47</f>
        <v>0</v>
      </c>
      <c r="S47" s="248">
        <f t="shared" si="137"/>
        <v>1410</v>
      </c>
      <c r="T47" s="249">
        <f t="shared" si="137"/>
        <v>1547</v>
      </c>
      <c r="U47" s="243">
        <f t="shared" ref="U47:W47" si="138">L47-R47</f>
        <v>2613</v>
      </c>
      <c r="V47" s="244">
        <f t="shared" si="138"/>
        <v>0</v>
      </c>
      <c r="W47" s="245">
        <f t="shared" si="138"/>
        <v>0</v>
      </c>
    </row>
    <row r="48">
      <c r="A48" s="242" t="str">
        <f>IFERROR(__xludf.DUMMYFUNCTION("if(E48=506,""FEA006A"",INDEX(IMPORTRANGE(""https://docs.google.com/spreadsheets/d/1WbE6HOh_eG5_DM53SVfuckYm0VQnhNvuwjql7Tw1FX0/edit?gid=660406182#gid=660406182"", ""'""&amp;D48&amp;""'!H2:H45""),match(E48,IMPORTRANGE(""https://docs.google.com/spreadsheets/d/1WbE6"&amp;"HOh_eG5_DM53SVfuckYm0VQnhNvuwjql7Tw1FX0/edit?gid=660406182#gid=660406182"", ""'""&amp;D48&amp;""'!B2:B45""),0),1))"),"FE0198D")</f>
        <v>FE0198D</v>
      </c>
      <c r="B48" s="229" t="str">
        <f>IFERROR(__xludf.DUMMYFUNCTION("if(E48=506,""-"",INDEX(IMPORTRANGE(""https://docs.google.com/spreadsheets/d/1WbE6HOh_eG5_DM53SVfuckYm0VQnhNvuwjql7Tw1FX0/edit?gid=660406182#gid=660406182"", ""'""&amp;D48&amp;""'!D2:D45""),match(E48,IMPORTRANGE(""https://docs.google.com/spreadsheets/d/1WbE6HOh_eG"&amp;"5_DM53SVfuckYm0VQnhNvuwjql7Tw1FX0/edit?gid=660406182#gid=660406182"", ""'""&amp;D48&amp;""'!B2:B45""),0),1))"),"Keto")</f>
        <v>Keto</v>
      </c>
      <c r="C48" s="135" t="str">
        <f>IFERROR(__xludf.DUMMYFUNCTION("if(A48=""FEA006A"",""Garlic Herb Grilled Chicken"", ifna(INDEX(IMPORTRANGE(""https://docs.google.com/spreadsheets/d/1mnGm3iYGkB4FyqAD-LwwVYksgBMX_SY4qHQa16KgMiw/edit?gid=1956920866#gid=1956920866"", ""'EU Meal Database'!$E$2:$E""),MATCH(A48,IMPORTRANGE("""&amp;"https://docs.google.com/spreadsheets/d/1mnGm3iYGkB4FyqAD-LwwVYksgBMX_SY4qHQa16KgMiw/edit?gid=1956920866#gid=1956920866"",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DB_Product'!$B$2:$B""),MATCH(A48,IMPORTRANGE(""https://docs.google.com/spreadsheets/d/1n4t_JF5P_MLd0hMmhjv1A2rgLKdyee_-mrZZmdZr9G4/edit?gid=670402169#gid=670402169"", ""'Meal DB_Product'!$A$2:$A""),0))))"),"Spicy chicken with jalapeño, lime and cheddar")</f>
        <v>Spicy chicken with jalapeño, lime and cheddar</v>
      </c>
      <c r="D48" s="62" t="s">
        <v>228</v>
      </c>
      <c r="E48" s="230">
        <v>408.0</v>
      </c>
      <c r="F48" s="62">
        <v>608.0</v>
      </c>
      <c r="G48" s="231">
        <v>308.0</v>
      </c>
      <c r="H48" s="232">
        <f>IFERROR(__xludf.DUMMYFUNCTION("""COMPUTED_VALUE"""),2062.0)</f>
        <v>2062</v>
      </c>
      <c r="I48" s="232">
        <f>IFERROR(__xludf.DUMMYFUNCTION("""COMPUTED_VALUE"""),1320.0)</f>
        <v>1320</v>
      </c>
      <c r="J48" s="233">
        <f>IFERROR(__xludf.DUMMYFUNCTION("""COMPUTED_VALUE"""),1279.0)</f>
        <v>1279</v>
      </c>
      <c r="K48" s="244">
        <f>IFERROR(__xludf.DUMMYFUNCTION("""COMPUTED_VALUE"""),32.0)</f>
        <v>32</v>
      </c>
      <c r="L48" s="243">
        <f t="shared" ref="L48:M48" si="139">H48+20</f>
        <v>2082</v>
      </c>
      <c r="M48" s="244">
        <f t="shared" si="139"/>
        <v>1340</v>
      </c>
      <c r="N48" s="245">
        <f t="shared" si="121"/>
        <v>1331</v>
      </c>
      <c r="O48" s="268">
        <f t="array" ref="O48">iferror(if(INDEX('Slot Selection'!$A$2:$BJ$38, MATCH(E48-400,'Slot Selection'!$A$2:$A$38, 0), MATCH("2026-"&amp;D48,'Slot Selection'!$2:$2, 0)),1,0),0)</f>
        <v>0</v>
      </c>
      <c r="P48" s="269">
        <f t="array" ref="P48">iferror(if(INDEX('Slot Selection'!$A$80:$BJ$116, MATCH(F48-600,'Slot Selection'!$A$80:$A$116, 0), MATCH("2026-"&amp;D48,'Slot Selection'!$80:$80, 0)),1,0),0)</f>
        <v>0</v>
      </c>
      <c r="Q48" s="270">
        <f t="array" ref="Q48">iferror(if(INDEX('Slot Selection'!$A$41:$BJ$77, MATCH(F48-600,'Slot Selection'!$A$41:$A$77, 0), MATCH("2026-"&amp;D48,'Slot Selection'!$41:$41, 0)),1,0),0)</f>
        <v>0</v>
      </c>
      <c r="R48" s="230">
        <f t="shared" ref="R48:T48" si="140">L48*O48</f>
        <v>0</v>
      </c>
      <c r="S48" s="248">
        <f t="shared" si="140"/>
        <v>0</v>
      </c>
      <c r="T48" s="249">
        <f t="shared" si="140"/>
        <v>0</v>
      </c>
      <c r="U48" s="243">
        <f t="shared" ref="U48:W48" si="141">L48-R48</f>
        <v>2082</v>
      </c>
      <c r="V48" s="244">
        <f t="shared" si="141"/>
        <v>1340</v>
      </c>
      <c r="W48" s="245">
        <f t="shared" si="141"/>
        <v>1331</v>
      </c>
    </row>
    <row r="49">
      <c r="A49" s="242" t="str">
        <f>IFERROR(__xludf.DUMMYFUNCTION("if(E49=506,""FEA006A"",INDEX(IMPORTRANGE(""https://docs.google.com/spreadsheets/d/1WbE6HOh_eG5_DM53SVfuckYm0VQnhNvuwjql7Tw1FX0/edit?gid=660406182#gid=660406182"", ""'""&amp;D49&amp;""'!H2:H45""),match(E49,IMPORTRANGE(""https://docs.google.com/spreadsheets/d/1WbE6"&amp;"HOh_eG5_DM53SVfuckYm0VQnhNvuwjql7Tw1FX0/edit?gid=660406182#gid=660406182"", ""'""&amp;D49&amp;""'!B2:B45""),0),1))"),"FE0031C")</f>
        <v>FE0031C</v>
      </c>
      <c r="B49" s="229" t="str">
        <f>IFERROR(__xludf.DUMMYFUNCTION("if(E49=506,""-"",INDEX(IMPORTRANGE(""https://docs.google.com/spreadsheets/d/1WbE6HOh_eG5_DM53SVfuckYm0VQnhNvuwjql7Tw1FX0/edit?gid=660406182#gid=660406182"", ""'""&amp;D49&amp;""'!D2:D45""),match(E49,IMPORTRANGE(""https://docs.google.com/spreadsheets/d/1WbE6HOh_eG"&amp;"5_DM53SVfuckYm0VQnhNvuwjql7Tw1FX0/edit?gid=660406182#gid=660406182"", ""'""&amp;D49&amp;""'!B2:B45""),0),1))"),"Veggie")</f>
        <v>Veggie</v>
      </c>
      <c r="C49" s="135" t="str">
        <f>IFERROR(__xludf.DUMMYFUNCTION("if(A49=""FEA006A"",""Garlic Herb Grilled Chicken"", ifna(INDEX(IMPORTRANGE(""https://docs.google.com/spreadsheets/d/1mnGm3iYGkB4FyqAD-LwwVYksgBMX_SY4qHQa16KgMiw/edit?gid=1956920866#gid=1956920866"", ""'EU Meal Database'!$E$2:$E""),MATCH(A49,IMPORTRANGE("""&amp;"https://docs.google.com/spreadsheets/d/1mnGm3iYGkB4FyqAD-LwwVYksgBMX_SY4qHQa16KgMiw/edit?gid=1956920866#gid=1956920866"",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DB_Product'!$B$2:$B""),MATCH(A49,IMPORTRANGE(""https://docs.google.com/spreadsheets/d/1n4t_JF5P_MLd0hMmhjv1A2rgLKdyee_-mrZZmdZr9G4/edit?gid=670402169#gid=670402169"", ""'Meal DB_Product'!$A$2:$A""),0))))"),"Creamy tomato risotto")</f>
        <v>Creamy tomato risotto</v>
      </c>
      <c r="D49" s="62" t="s">
        <v>228</v>
      </c>
      <c r="E49" s="230">
        <v>409.0</v>
      </c>
      <c r="F49" s="62">
        <v>609.0</v>
      </c>
      <c r="G49" s="231">
        <v>309.0</v>
      </c>
      <c r="H49" s="232">
        <f>IFERROR(__xludf.DUMMYFUNCTION("""COMPUTED_VALUE"""),613.0)</f>
        <v>613</v>
      </c>
      <c r="I49" s="232">
        <f>IFERROR(__xludf.DUMMYFUNCTION("""COMPUTED_VALUE"""),282.0)</f>
        <v>282</v>
      </c>
      <c r="J49" s="233">
        <f>IFERROR(__xludf.DUMMYFUNCTION("""COMPUTED_VALUE"""),313.0)</f>
        <v>313</v>
      </c>
      <c r="K49" s="62"/>
      <c r="L49" s="243">
        <f t="shared" ref="L49:M49" si="142">H49+20</f>
        <v>633</v>
      </c>
      <c r="M49" s="244">
        <f t="shared" si="142"/>
        <v>302</v>
      </c>
      <c r="N49" s="245">
        <f t="shared" si="121"/>
        <v>333</v>
      </c>
      <c r="O49" s="268">
        <f t="array" ref="O49">iferror(if(INDEX('Slot Selection'!$A$2:$BJ$38, MATCH(E49-400,'Slot Selection'!$A$2:$A$38, 0), MATCH("2026-"&amp;D49,'Slot Selection'!$2:$2, 0)),1,0),0)</f>
        <v>0</v>
      </c>
      <c r="P49" s="269">
        <f t="array" ref="P49">iferror(if(INDEX('Slot Selection'!$A$80:$BJ$116, MATCH(F49-600,'Slot Selection'!$A$80:$A$116, 0), MATCH("2026-"&amp;D49,'Slot Selection'!$80:$80, 0)),1,0),0)</f>
        <v>0</v>
      </c>
      <c r="Q49" s="270">
        <f t="array" ref="Q49">iferror(if(INDEX('Slot Selection'!$A$41:$BJ$77, MATCH(F49-600,'Slot Selection'!$A$41:$A$77, 0), MATCH("2026-"&amp;D49,'Slot Selection'!$41:$41, 0)),1,0),0)</f>
        <v>0</v>
      </c>
      <c r="R49" s="230">
        <f t="shared" ref="R49:T49" si="143">L49*O49</f>
        <v>0</v>
      </c>
      <c r="S49" s="248">
        <f t="shared" si="143"/>
        <v>0</v>
      </c>
      <c r="T49" s="249">
        <f t="shared" si="143"/>
        <v>0</v>
      </c>
      <c r="U49" s="243">
        <f t="shared" ref="U49:W49" si="144">L49-R49</f>
        <v>633</v>
      </c>
      <c r="V49" s="248">
        <f t="shared" si="144"/>
        <v>302</v>
      </c>
      <c r="W49" s="249">
        <f t="shared" si="144"/>
        <v>333</v>
      </c>
    </row>
    <row r="50">
      <c r="A50" s="242" t="str">
        <f>IFERROR(__xludf.DUMMYFUNCTION("if(E50=506,""FEA006A"",INDEX(IMPORTRANGE(""https://docs.google.com/spreadsheets/d/1WbE6HOh_eG5_DM53SVfuckYm0VQnhNvuwjql7Tw1FX0/edit?gid=660406182#gid=660406182"", ""'""&amp;D50&amp;""'!H2:H45""),match(E50,IMPORTRANGE(""https://docs.google.com/spreadsheets/d/1WbE6"&amp;"HOh_eG5_DM53SVfuckYm0VQnhNvuwjql7Tw1FX0/edit?gid=660406182#gid=660406182"", ""'""&amp;D50&amp;""'!B2:B45""),0),1))"),"FE0090C")</f>
        <v>FE0090C</v>
      </c>
      <c r="B50" s="229" t="str">
        <f>IFERROR(__xludf.DUMMYFUNCTION("if(E50=506,""-"",INDEX(IMPORTRANGE(""https://docs.google.com/spreadsheets/d/1WbE6HOh_eG5_DM53SVfuckYm0VQnhNvuwjql7Tw1FX0/edit?gid=660406182#gid=660406182"", ""'""&amp;D50&amp;""'!D2:D45""),match(E50,IMPORTRANGE(""https://docs.google.com/spreadsheets/d/1WbE6HOh_eG"&amp;"5_DM53SVfuckYm0VQnhNvuwjql7Tw1FX0/edit?gid=660406182#gid=660406182"", ""'""&amp;D50&amp;""'!B2:B45""),0),1))"),"Veggie")</f>
        <v>Veggie</v>
      </c>
      <c r="C50" s="135" t="str">
        <f>IFERROR(__xludf.DUMMYFUNCTION("if(A50=""FEA006A"",""Garlic Herb Grilled Chicken"", ifna(INDEX(IMPORTRANGE(""https://docs.google.com/spreadsheets/d/1mnGm3iYGkB4FyqAD-LwwVYksgBMX_SY4qHQa16KgMiw/edit?gid=1956920866#gid=1956920866"", ""'EU Meal Database'!$E$2:$E""),MATCH(A50,IMPORTRANGE("""&amp;"https://docs.google.com/spreadsheets/d/1mnGm3iYGkB4FyqAD-LwwVYksgBMX_SY4qHQa16KgMiw/edit?gid=1956920866#gid=1956920866"",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DB_Product'!$B$2:$B""),MATCH(A50,IMPORTRANGE(""https://docs.google.com/spreadsheets/d/1n4t_JF5P_MLd0hMmhjv1A2rgLKdyee_-mrZZmdZr9G4/edit?gid=670402169#gid=670402169"", ""'Meal DB_Product'!$A$2:$A""),0))))"),"Ratatouille of zucchini and pepper")</f>
        <v>Ratatouille of zucchini and pepper</v>
      </c>
      <c r="D50" s="62" t="s">
        <v>228</v>
      </c>
      <c r="E50" s="230">
        <v>410.0</v>
      </c>
      <c r="F50" s="62">
        <v>610.0</v>
      </c>
      <c r="G50" s="231">
        <v>310.0</v>
      </c>
      <c r="H50" s="232">
        <f>IFERROR(__xludf.DUMMYFUNCTION("""COMPUTED_VALUE"""),438.0)</f>
        <v>438</v>
      </c>
      <c r="I50" s="232">
        <f>IFERROR(__xludf.DUMMYFUNCTION("""COMPUTED_VALUE"""),240.0)</f>
        <v>240</v>
      </c>
      <c r="J50" s="233">
        <f>IFERROR(__xludf.DUMMYFUNCTION("""COMPUTED_VALUE"""),278.0)</f>
        <v>278</v>
      </c>
      <c r="K50" s="244">
        <f>IFERROR(__xludf.DUMMYFUNCTION("""COMPUTED_VALUE"""),16.0)</f>
        <v>16</v>
      </c>
      <c r="L50" s="243">
        <f t="shared" ref="L50:M50" si="145">H50+20</f>
        <v>458</v>
      </c>
      <c r="M50" s="244">
        <f t="shared" si="145"/>
        <v>260</v>
      </c>
      <c r="N50" s="245">
        <f t="shared" si="121"/>
        <v>314</v>
      </c>
      <c r="O50" s="268">
        <f t="array" ref="O50">iferror(if(INDEX('Slot Selection'!$A$2:$BJ$38, MATCH(E50-400,'Slot Selection'!$A$2:$A$38, 0), MATCH("2026-"&amp;D50,'Slot Selection'!$2:$2, 0)),1,0),0)</f>
        <v>0</v>
      </c>
      <c r="P50" s="269">
        <f t="array" ref="P50">iferror(if(INDEX('Slot Selection'!$A$80:$BJ$116, MATCH(F50-600,'Slot Selection'!$A$80:$A$116, 0), MATCH("2026-"&amp;D50,'Slot Selection'!$80:$80, 0)),1,0),0)</f>
        <v>0</v>
      </c>
      <c r="Q50" s="270">
        <f t="array" ref="Q50">iferror(if(INDEX('Slot Selection'!$A$41:$BJ$77, MATCH(F50-600,'Slot Selection'!$A$41:$A$77, 0), MATCH("2026-"&amp;D50,'Slot Selection'!$41:$41, 0)),1,0),0)</f>
        <v>0</v>
      </c>
      <c r="R50" s="230">
        <f t="shared" ref="R50:T50" si="146">L50*O50</f>
        <v>0</v>
      </c>
      <c r="S50" s="248">
        <f t="shared" si="146"/>
        <v>0</v>
      </c>
      <c r="T50" s="249">
        <f t="shared" si="146"/>
        <v>0</v>
      </c>
      <c r="U50" s="243">
        <f t="shared" ref="U50:W50" si="147">L50-R50</f>
        <v>458</v>
      </c>
      <c r="V50" s="248">
        <f t="shared" si="147"/>
        <v>260</v>
      </c>
      <c r="W50" s="249">
        <f t="shared" si="147"/>
        <v>314</v>
      </c>
    </row>
    <row r="51">
      <c r="A51" s="242" t="str">
        <f>IFERROR(__xludf.DUMMYFUNCTION("if(E51=506,""FEA006A"",INDEX(IMPORTRANGE(""https://docs.google.com/spreadsheets/d/1WbE6HOh_eG5_DM53SVfuckYm0VQnhNvuwjql7Tw1FX0/edit?gid=660406182#gid=660406182"", ""'""&amp;D51&amp;""'!H2:H45""),match(E51,IMPORTRANGE(""https://docs.google.com/spreadsheets/d/1WbE6"&amp;"HOh_eG5_DM53SVfuckYm0VQnhNvuwjql7Tw1FX0/edit?gid=660406182#gid=660406182"", ""'""&amp;D51&amp;""'!B2:B45""),0),1))"),"FE0169H")</f>
        <v>FE0169H</v>
      </c>
      <c r="B51" s="229" t="str">
        <f>IFERROR(__xludf.DUMMYFUNCTION("if(E51=506,""-"",INDEX(IMPORTRANGE(""https://docs.google.com/spreadsheets/d/1WbE6HOh_eG5_DM53SVfuckYm0VQnhNvuwjql7Tw1FX0/edit?gid=660406182#gid=660406182"", ""'""&amp;D51&amp;""'!D2:D45""),match(E51,IMPORTRANGE(""https://docs.google.com/spreadsheets/d/1WbE6HOh_eG"&amp;"5_DM53SVfuckYm0VQnhNvuwjql7Tw1FX0/edit?gid=660406182#gid=660406182"", ""'""&amp;D51&amp;""'!B2:B45""),0),1))"),"Flexible")</f>
        <v>Flexible</v>
      </c>
      <c r="C51" s="135" t="str">
        <f>IFERROR(__xludf.DUMMYFUNCTION("if(A51=""FEA006A"",""Garlic Herb Grilled Chicken"", ifna(INDEX(IMPORTRANGE(""https://docs.google.com/spreadsheets/d/1mnGm3iYGkB4FyqAD-LwwVYksgBMX_SY4qHQa16KgMiw/edit?gid=1956920866#gid=1956920866"", ""'EU Meal Database'!$E$2:$E""),MATCH(A51,IMPORTRANGE("""&amp;"https://docs.google.com/spreadsheets/d/1mnGm3iYGkB4FyqAD-LwwVYksgBMX_SY4qHQa16KgMiw/edit?gid=1956920866#gid=1956920866"",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DB_Product'!$B$2:$B""),MATCH(A51,IMPORTRANGE(""https://docs.google.com/spreadsheets/d/1n4t_JF5P_MLd0hMmhjv1A2rgLKdyee_-mrZZmdZr9G4/edit?gid=670402169#gid=670402169"", ""'Meal DB_Product'!$A$2:$A""),0))))"),"Pork tenderloin in creamy garlic-mustard sauce")</f>
        <v>Pork tenderloin in creamy garlic-mustard sauce</v>
      </c>
      <c r="D51" s="62" t="s">
        <v>228</v>
      </c>
      <c r="E51" s="230">
        <v>411.0</v>
      </c>
      <c r="F51" s="62">
        <v>611.0</v>
      </c>
      <c r="G51" s="231">
        <v>311.0</v>
      </c>
      <c r="H51" s="232">
        <f>IFERROR(__xludf.DUMMYFUNCTION("""COMPUTED_VALUE"""),925.0)</f>
        <v>925</v>
      </c>
      <c r="I51" s="232">
        <f>IFERROR(__xludf.DUMMYFUNCTION("""COMPUTED_VALUE"""),611.0)</f>
        <v>611</v>
      </c>
      <c r="J51" s="233">
        <f>IFERROR(__xludf.DUMMYFUNCTION("""COMPUTED_VALUE"""),586.0)</f>
        <v>586</v>
      </c>
      <c r="K51" s="62"/>
      <c r="L51" s="243">
        <f t="shared" ref="L51:M51" si="148">H51+20</f>
        <v>945</v>
      </c>
      <c r="M51" s="244">
        <f t="shared" si="148"/>
        <v>631</v>
      </c>
      <c r="N51" s="245">
        <f t="shared" si="121"/>
        <v>606</v>
      </c>
      <c r="O51" s="268">
        <f t="array" ref="O51">iferror(if(INDEX('Slot Selection'!$A$2:$BJ$38, MATCH(E51-400,'Slot Selection'!$A$2:$A$38, 0), MATCH("2026-"&amp;D51,'Slot Selection'!$2:$2, 0)),1,0),0)</f>
        <v>0</v>
      </c>
      <c r="P51" s="269">
        <f t="array" ref="P51">iferror(if(INDEX('Slot Selection'!$A$80:$BJ$116, MATCH(F51-600,'Slot Selection'!$A$80:$A$116, 0), MATCH("2026-"&amp;D51,'Slot Selection'!$80:$80, 0)),1,0),0)</f>
        <v>0</v>
      </c>
      <c r="Q51" s="270">
        <f t="array" ref="Q51">iferror(if(INDEX('Slot Selection'!$A$41:$BJ$77, MATCH(F51-600,'Slot Selection'!$A$41:$A$77, 0), MATCH("2026-"&amp;D51,'Slot Selection'!$41:$41, 0)),1,0),0)</f>
        <v>0</v>
      </c>
      <c r="R51" s="230">
        <f t="shared" ref="R51:T51" si="149">L51*O51</f>
        <v>0</v>
      </c>
      <c r="S51" s="248">
        <f t="shared" si="149"/>
        <v>0</v>
      </c>
      <c r="T51" s="249">
        <f t="shared" si="149"/>
        <v>0</v>
      </c>
      <c r="U51" s="243">
        <f t="shared" ref="U51:W51" si="150">L51-R51</f>
        <v>945</v>
      </c>
      <c r="V51" s="248">
        <f t="shared" si="150"/>
        <v>631</v>
      </c>
      <c r="W51" s="249">
        <f t="shared" si="150"/>
        <v>606</v>
      </c>
    </row>
    <row r="52">
      <c r="A52" s="242" t="str">
        <f>IFERROR(__xludf.DUMMYFUNCTION("if(E52=506,""FEA006A"",INDEX(IMPORTRANGE(""https://docs.google.com/spreadsheets/d/1WbE6HOh_eG5_DM53SVfuckYm0VQnhNvuwjql7Tw1FX0/edit?gid=660406182#gid=660406182"", ""'""&amp;D52&amp;""'!H2:H45""),match(E52,IMPORTRANGE(""https://docs.google.com/spreadsheets/d/1WbE6"&amp;"HOh_eG5_DM53SVfuckYm0VQnhNvuwjql7Tw1FX0/edit?gid=660406182#gid=660406182"", ""'""&amp;D52&amp;""'!B2:B45""),0),1))"),"FE1320C")</f>
        <v>FE1320C</v>
      </c>
      <c r="B52" s="229" t="str">
        <f>IFERROR(__xludf.DUMMYFUNCTION("if(E52=506,""-"",INDEX(IMPORTRANGE(""https://docs.google.com/spreadsheets/d/1WbE6HOh_eG5_DM53SVfuckYm0VQnhNvuwjql7Tw1FX0/edit?gid=660406182#gid=660406182"", ""'""&amp;D52&amp;""'!D2:D45""),match(E52,IMPORTRANGE(""https://docs.google.com/spreadsheets/d/1WbE6HOh_eG"&amp;"5_DM53SVfuckYm0VQnhNvuwjql7Tw1FX0/edit?gid=660406182#gid=660406182"", ""'""&amp;D52&amp;""'!B2:B45""),0),1))"),"P+")</f>
        <v>P+</v>
      </c>
      <c r="C52" s="135" t="str">
        <f>IFERROR(__xludf.DUMMYFUNCTION("if(A52=""FEA006A"",""Garlic Herb Grilled Chicken"", ifna(INDEX(IMPORTRANGE(""https://docs.google.com/spreadsheets/d/1mnGm3iYGkB4FyqAD-LwwVYksgBMX_SY4qHQa16KgMiw/edit?gid=1956920866#gid=1956920866"", ""'EU Meal Database'!$E$2:$E""),MATCH(A52,IMPORTRANGE("""&amp;"https://docs.google.com/spreadsheets/d/1mnGm3iYGkB4FyqAD-LwwVYksgBMX_SY4qHQa16KgMiw/edit?gid=1956920866#gid=1956920866"",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DB_Product'!$B$2:$B""),MATCH(A52,IMPORTRANGE(""https://docs.google.com/spreadsheets/d/1n4t_JF5P_MLd0hMmhjv1A2rgLKdyee_-mrZZmdZr9G4/edit?gid=670402169#gid=670402169"", ""'Meal DB_Product'!$A$2:$A""),0))))"),"Ají Verde Salmon")</f>
        <v>Ají Verde Salmon</v>
      </c>
      <c r="D52" s="62" t="s">
        <v>228</v>
      </c>
      <c r="E52" s="230">
        <v>412.0</v>
      </c>
      <c r="F52" s="62">
        <v>612.0</v>
      </c>
      <c r="G52" s="231">
        <v>312.0</v>
      </c>
      <c r="H52" s="232">
        <f>IFERROR(__xludf.DUMMYFUNCTION("""COMPUTED_VALUE"""),3298.0)</f>
        <v>3298</v>
      </c>
      <c r="I52" s="232">
        <f>IFERROR(__xludf.DUMMYFUNCTION("""COMPUTED_VALUE"""),1343.0)</f>
        <v>1343</v>
      </c>
      <c r="J52" s="233">
        <f>IFERROR(__xludf.DUMMYFUNCTION("""COMPUTED_VALUE"""),1262.0)</f>
        <v>1262</v>
      </c>
      <c r="K52" s="62"/>
      <c r="L52" s="243">
        <f t="shared" ref="L52:M52" si="151">H52+20</f>
        <v>3318</v>
      </c>
      <c r="M52" s="244">
        <f t="shared" si="151"/>
        <v>1363</v>
      </c>
      <c r="N52" s="245">
        <f t="shared" si="121"/>
        <v>1282</v>
      </c>
      <c r="O52" s="268">
        <f t="array" ref="O52">iferror(if(INDEX('Slot Selection'!$A$2:$BJ$38, MATCH(E52-400,'Slot Selection'!$A$2:$A$38, 0), MATCH("2026-"&amp;D52,'Slot Selection'!$2:$2, 0)),1,0),0)</f>
        <v>0</v>
      </c>
      <c r="P52" s="269">
        <f t="array" ref="P52">iferror(if(INDEX('Slot Selection'!$A$80:$BJ$116, MATCH(F52-600,'Slot Selection'!$A$80:$A$116, 0), MATCH("2026-"&amp;D52,'Slot Selection'!$80:$80, 0)),1,0),0)</f>
        <v>0</v>
      </c>
      <c r="Q52" s="270">
        <f t="array" ref="Q52">iferror(if(INDEX('Slot Selection'!$A$41:$BJ$77, MATCH(F52-600,'Slot Selection'!$A$41:$A$77, 0), MATCH("2026-"&amp;D52,'Slot Selection'!$41:$41, 0)),1,0),0)</f>
        <v>0</v>
      </c>
      <c r="R52" s="230">
        <f t="shared" ref="R52:T52" si="152">L52*O52</f>
        <v>0</v>
      </c>
      <c r="S52" s="248">
        <f t="shared" si="152"/>
        <v>0</v>
      </c>
      <c r="T52" s="249">
        <f t="shared" si="152"/>
        <v>0</v>
      </c>
      <c r="U52" s="243">
        <f t="shared" ref="U52:W52" si="153">L52-R52</f>
        <v>3318</v>
      </c>
      <c r="V52" s="244">
        <f t="shared" si="153"/>
        <v>1363</v>
      </c>
      <c r="W52" s="245">
        <f t="shared" si="153"/>
        <v>1282</v>
      </c>
    </row>
    <row r="53">
      <c r="A53" s="242" t="str">
        <f>IFERROR(__xludf.DUMMYFUNCTION("if(E53=506,""FEA006A"",INDEX(IMPORTRANGE(""https://docs.google.com/spreadsheets/d/1WbE6HOh_eG5_DM53SVfuckYm0VQnhNvuwjql7Tw1FX0/edit?gid=660406182#gid=660406182"", ""'""&amp;D53&amp;""'!H2:H45""),match(E53,IMPORTRANGE(""https://docs.google.com/spreadsheets/d/1WbE6"&amp;"HOh_eG5_DM53SVfuckYm0VQnhNvuwjql7Tw1FX0/edit?gid=660406182#gid=660406182"", ""'""&amp;D53&amp;""'!B2:B45""),0),1))"),"FE4049B")</f>
        <v>FE4049B</v>
      </c>
      <c r="B53" s="229" t="str">
        <f>IFERROR(__xludf.DUMMYFUNCTION("if(E53=506,""-"",INDEX(IMPORTRANGE(""https://docs.google.com/spreadsheets/d/1WbE6HOh_eG5_DM53SVfuckYm0VQnhNvuwjql7Tw1FX0/edit?gid=660406182#gid=660406182"", ""'""&amp;D53&amp;""'!D2:D45""),match(E53,IMPORTRANGE(""https://docs.google.com/spreadsheets/d/1WbE6HOh_eG"&amp;"5_DM53SVfuckYm0VQnhNvuwjql7Tw1FX0/edit?gid=660406182#gid=660406182"", ""'""&amp;D53&amp;""'!B2:B45""),0),1))"),"CS")</f>
        <v>CS</v>
      </c>
      <c r="C53" s="135" t="str">
        <f>IFERROR(__xludf.DUMMYFUNCTION("if(A53=""FEA006A"",""Garlic Herb Grilled Chicken"", ifna(INDEX(IMPORTRANGE(""https://docs.google.com/spreadsheets/d/1mnGm3iYGkB4FyqAD-LwwVYksgBMX_SY4qHQa16KgMiw/edit?gid=1956920866#gid=1956920866"", ""'EU Meal Database'!$E$2:$E""),MATCH(A53,IMPORTRANGE("""&amp;"https://docs.google.com/spreadsheets/d/1mnGm3iYGkB4FyqAD-LwwVYksgBMX_SY4qHQa16KgMiw/edit?gid=1956920866#gid=1956920866"",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DB_Product'!$B$2:$B""),MATCH(A53,IMPORTRANGE(""https://docs.google.com/spreadsheets/d/1n4t_JF5P_MLd0hMmhjv1A2rgLKdyee_-mrZZmdZr9G4/edit?gid=670402169#gid=670402169"", ""'Meal DB_Product'!$A$2:$A""),0))))"),"Red chile pulled pork")</f>
        <v>Red chile pulled pork</v>
      </c>
      <c r="D53" s="62" t="s">
        <v>228</v>
      </c>
      <c r="E53" s="230">
        <v>413.0</v>
      </c>
      <c r="F53" s="62">
        <v>613.0</v>
      </c>
      <c r="G53" s="231">
        <v>313.0</v>
      </c>
      <c r="H53" s="232">
        <f>IFERROR(__xludf.DUMMYFUNCTION("""COMPUTED_VALUE"""),3837.0)</f>
        <v>3837</v>
      </c>
      <c r="I53" s="232">
        <f>IFERROR(__xludf.DUMMYFUNCTION("""COMPUTED_VALUE"""),1940.0)</f>
        <v>1940</v>
      </c>
      <c r="J53" s="233">
        <f>IFERROR(__xludf.DUMMYFUNCTION("""COMPUTED_VALUE"""),1293.0)</f>
        <v>1293</v>
      </c>
      <c r="K53" s="62"/>
      <c r="L53" s="243">
        <f t="shared" ref="L53:M53" si="154">H53+20</f>
        <v>3857</v>
      </c>
      <c r="M53" s="244">
        <f t="shared" si="154"/>
        <v>1960</v>
      </c>
      <c r="N53" s="245">
        <f t="shared" si="121"/>
        <v>1313</v>
      </c>
      <c r="O53" s="268">
        <f t="array" ref="O53">iferror(if(INDEX('Slot Selection'!$A$2:$BJ$38, MATCH(E53-400,'Slot Selection'!$A$2:$A$38, 0), MATCH("2026-"&amp;D53,'Slot Selection'!$2:$2, 0)),1,0),0)</f>
        <v>0</v>
      </c>
      <c r="P53" s="269">
        <f t="array" ref="P53">iferror(if(INDEX('Slot Selection'!$A$80:$BJ$116, MATCH(F53-600,'Slot Selection'!$A$80:$A$116, 0), MATCH("2026-"&amp;D53,'Slot Selection'!$80:$80, 0)),1,0),0)</f>
        <v>0</v>
      </c>
      <c r="Q53" s="270">
        <f t="array" ref="Q53">iferror(if(INDEX('Slot Selection'!$A$41:$BJ$77, MATCH(F53-600,'Slot Selection'!$A$41:$A$77, 0), MATCH("2026-"&amp;D53,'Slot Selection'!$41:$41, 0)),1,0),0)</f>
        <v>0</v>
      </c>
      <c r="R53" s="230">
        <f t="shared" ref="R53:T53" si="155">L53*O53</f>
        <v>0</v>
      </c>
      <c r="S53" s="248">
        <f t="shared" si="155"/>
        <v>0</v>
      </c>
      <c r="T53" s="249">
        <f t="shared" si="155"/>
        <v>0</v>
      </c>
      <c r="U53" s="243">
        <f t="shared" ref="U53:W53" si="156">L53-R53</f>
        <v>3857</v>
      </c>
      <c r="V53" s="244">
        <f t="shared" si="156"/>
        <v>1960</v>
      </c>
      <c r="W53" s="245">
        <f t="shared" si="156"/>
        <v>1313</v>
      </c>
    </row>
    <row r="54">
      <c r="A54" s="242" t="str">
        <f>IFERROR(__xludf.DUMMYFUNCTION("if(E54=506,""FEA006A"",INDEX(IMPORTRANGE(""https://docs.google.com/spreadsheets/d/1WbE6HOh_eG5_DM53SVfuckYm0VQnhNvuwjql7Tw1FX0/edit?gid=660406182#gid=660406182"", ""'""&amp;D54&amp;""'!H2:H45""),match(E54,IMPORTRANGE(""https://docs.google.com/spreadsheets/d/1WbE6"&amp;"HOh_eG5_DM53SVfuckYm0VQnhNvuwjql7Tw1FX0/edit?gid=660406182#gid=660406182"", ""'""&amp;D54&amp;""'!B2:B45""),0),1))"),"FE4064A")</f>
        <v>FE4064A</v>
      </c>
      <c r="B54" s="229" t="str">
        <f>IFERROR(__xludf.DUMMYFUNCTION("if(E54=506,""-"",INDEX(IMPORTRANGE(""https://docs.google.com/spreadsheets/d/1WbE6HOh_eG5_DM53SVfuckYm0VQnhNvuwjql7Tw1FX0/edit?gid=660406182#gid=660406182"", ""'""&amp;D54&amp;""'!D2:D45""),match(E54,IMPORTRANGE(""https://docs.google.com/spreadsheets/d/1WbE6HOh_eG"&amp;"5_DM53SVfuckYm0VQnhNvuwjql7Tw1FX0/edit?gid=660406182#gid=660406182"", ""'""&amp;D54&amp;""'!B2:B45""),0),1))"),"Flexible")</f>
        <v>Flexible</v>
      </c>
      <c r="C54" s="135" t="str">
        <f>IFERROR(__xludf.DUMMYFUNCTION("if(A54=""FEA006A"",""Garlic Herb Grilled Chicken"", ifna(INDEX(IMPORTRANGE(""https://docs.google.com/spreadsheets/d/1mnGm3iYGkB4FyqAD-LwwVYksgBMX_SY4qHQa16KgMiw/edit?gid=1956920866#gid=1956920866"", ""'EU Meal Database'!$E$2:$E""),MATCH(A54,IMPORTRANGE("""&amp;"https://docs.google.com/spreadsheets/d/1mnGm3iYGkB4FyqAD-LwwVYksgBMX_SY4qHQa16KgMiw/edit?gid=1956920866#gid=1956920866"",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DB_Product'!$B$2:$B""),MATCH(A54,IMPORTRANGE(""https://docs.google.com/spreadsheets/d/1n4t_JF5P_MLd0hMmhjv1A2rgLKdyee_-mrZZmdZr9G4/edit?gid=670402169#gid=670402169"", ""'Meal DB_Product'!$A$2:$A""),0))))"),"Ginger Garlic Grilled Chicken")</f>
        <v>Ginger Garlic Grilled Chicken</v>
      </c>
      <c r="D54" s="62" t="s">
        <v>228</v>
      </c>
      <c r="E54" s="230">
        <v>414.0</v>
      </c>
      <c r="F54" s="62">
        <v>614.0</v>
      </c>
      <c r="G54" s="231">
        <v>314.0</v>
      </c>
      <c r="H54" s="232">
        <f>IFERROR(__xludf.DUMMYFUNCTION("""COMPUTED_VALUE"""),1172.0)</f>
        <v>1172</v>
      </c>
      <c r="I54" s="232">
        <f>IFERROR(__xludf.DUMMYFUNCTION("""COMPUTED_VALUE"""),648.0)</f>
        <v>648</v>
      </c>
      <c r="J54" s="233">
        <f>IFERROR(__xludf.DUMMYFUNCTION("""COMPUTED_VALUE"""),648.0)</f>
        <v>648</v>
      </c>
      <c r="K54" s="62"/>
      <c r="L54" s="243">
        <f t="shared" ref="L54:M54" si="157">H54+20</f>
        <v>1192</v>
      </c>
      <c r="M54" s="244">
        <f t="shared" si="157"/>
        <v>668</v>
      </c>
      <c r="N54" s="245">
        <f t="shared" si="121"/>
        <v>668</v>
      </c>
      <c r="O54" s="268">
        <f t="array" ref="O54">iferror(if(INDEX('Slot Selection'!$A$2:$BJ$38, MATCH(E54-400,'Slot Selection'!$A$2:$A$38, 0), MATCH("2026-"&amp;D54,'Slot Selection'!$2:$2, 0)),1,0),0)</f>
        <v>0</v>
      </c>
      <c r="P54" s="269">
        <f t="array" ref="P54">iferror(if(INDEX('Slot Selection'!$A$80:$BJ$116, MATCH(F54-600,'Slot Selection'!$A$80:$A$116, 0), MATCH("2026-"&amp;D54,'Slot Selection'!$80:$80, 0)),1,0),0)</f>
        <v>0</v>
      </c>
      <c r="Q54" s="270">
        <f t="array" ref="Q54">iferror(if(INDEX('Slot Selection'!$A$41:$BJ$77, MATCH(F54-600,'Slot Selection'!$A$41:$A$77, 0), MATCH("2026-"&amp;D54,'Slot Selection'!$41:$41, 0)),1,0),0)</f>
        <v>0</v>
      </c>
      <c r="R54" s="230">
        <f t="shared" ref="R54:T54" si="158">L54*O54</f>
        <v>0</v>
      </c>
      <c r="S54" s="248">
        <f t="shared" si="158"/>
        <v>0</v>
      </c>
      <c r="T54" s="249">
        <f t="shared" si="158"/>
        <v>0</v>
      </c>
      <c r="U54" s="243">
        <f t="shared" ref="U54:W54" si="159">L54-R54</f>
        <v>1192</v>
      </c>
      <c r="V54" s="244">
        <f t="shared" si="159"/>
        <v>668</v>
      </c>
      <c r="W54" s="249">
        <f t="shared" si="159"/>
        <v>668</v>
      </c>
    </row>
    <row r="55">
      <c r="A55" s="242" t="str">
        <f>IFERROR(__xludf.DUMMYFUNCTION("if(E55=506,""FEA006A"",INDEX(IMPORTRANGE(""https://docs.google.com/spreadsheets/d/1WbE6HOh_eG5_DM53SVfuckYm0VQnhNvuwjql7Tw1FX0/edit?gid=660406182#gid=660406182"", ""'""&amp;D55&amp;""'!H2:H45""),match(E55,IMPORTRANGE(""https://docs.google.com/spreadsheets/d/1WbE6"&amp;"HOh_eG5_DM53SVfuckYm0VQnhNvuwjql7Tw1FX0/edit?gid=660406182#gid=660406182"", ""'""&amp;D55&amp;""'!B2:B45""),0),1))"),"FE0746A")</f>
        <v>FE0746A</v>
      </c>
      <c r="B55" s="229" t="str">
        <f>IFERROR(__xludf.DUMMYFUNCTION("if(E55=506,""-"",INDEX(IMPORTRANGE(""https://docs.google.com/spreadsheets/d/1WbE6HOh_eG5_DM53SVfuckYm0VQnhNvuwjql7Tw1FX0/edit?gid=660406182#gid=660406182"", ""'""&amp;D55&amp;""'!D2:D45""),match(E55,IMPORTRANGE(""https://docs.google.com/spreadsheets/d/1WbE6HOh_eG"&amp;"5_DM53SVfuckYm0VQnhNvuwjql7Tw1FX0/edit?gid=660406182#gid=660406182"", ""'""&amp;D55&amp;""'!B2:B45""),0),1))"),"Keto")</f>
        <v>Keto</v>
      </c>
      <c r="C55" s="135" t="str">
        <f>IFERROR(__xludf.DUMMYFUNCTION("if(A55=""FEA006A"",""Garlic Herb Grilled Chicken"", ifna(INDEX(IMPORTRANGE(""https://docs.google.com/spreadsheets/d/1mnGm3iYGkB4FyqAD-LwwVYksgBMX_SY4qHQa16KgMiw/edit?gid=1956920866#gid=1956920866"", ""'EU Meal Database'!$E$2:$E""),MATCH(A55,IMPORTRANGE("""&amp;"https://docs.google.com/spreadsheets/d/1mnGm3iYGkB4FyqAD-LwwVYksgBMX_SY4qHQa16KgMiw/edit?gid=1956920866#gid=1956920866"",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DB_Product'!$B$2:$B""),MATCH(A55,IMPORTRANGE(""https://docs.google.com/spreadsheets/d/1n4t_JF5P_MLd0hMmhjv1A2rgLKdyee_-mrZZmdZr9G4/edit?gid=670402169#gid=670402169"", ""'Meal DB_Product'!$A$2:$A""),0))))"),"Spicy ground beef with jalapenos")</f>
        <v>Spicy ground beef with jalapenos</v>
      </c>
      <c r="D55" s="62" t="s">
        <v>228</v>
      </c>
      <c r="E55" s="230">
        <v>415.0</v>
      </c>
      <c r="F55" s="62">
        <v>615.0</v>
      </c>
      <c r="G55" s="231">
        <v>315.0</v>
      </c>
      <c r="H55" s="232">
        <f>IFERROR(__xludf.DUMMYFUNCTION("""COMPUTED_VALUE"""),1020.0)</f>
        <v>1020</v>
      </c>
      <c r="I55" s="232">
        <f>IFERROR(__xludf.DUMMYFUNCTION("""COMPUTED_VALUE"""),665.0)</f>
        <v>665</v>
      </c>
      <c r="J55" s="233">
        <f>IFERROR(__xludf.DUMMYFUNCTION("""COMPUTED_VALUE"""),624.0)</f>
        <v>624</v>
      </c>
      <c r="K55" s="62"/>
      <c r="L55" s="243">
        <f t="shared" ref="L55:M55" si="160">H55+20</f>
        <v>1040</v>
      </c>
      <c r="M55" s="244">
        <f t="shared" si="160"/>
        <v>685</v>
      </c>
      <c r="N55" s="245">
        <f t="shared" si="121"/>
        <v>644</v>
      </c>
      <c r="O55" s="271">
        <f t="array" ref="O55">iferror(if(INDEX('Slot Selection'!$A$2:$BJ$38, MATCH(E55-400,'Slot Selection'!$A$2:$A$38, 0), MATCH("2026-"&amp;D55,'Slot Selection'!$2:$2, 0)),1,0),0)</f>
        <v>0</v>
      </c>
      <c r="P55" s="272">
        <f t="array" ref="P55">iferror(if(INDEX('Slot Selection'!$A$80:$BJ$116, MATCH(F55-600,'Slot Selection'!$A$80:$A$116, 0), MATCH("2026-"&amp;D55,'Slot Selection'!$80:$80, 0)),1,0),0)</f>
        <v>0</v>
      </c>
      <c r="Q55" s="146">
        <f t="array" ref="Q55">iferror(if(INDEX('Slot Selection'!$A$41:$BJ$77, MATCH(F55-600,'Slot Selection'!$A$41:$A$77, 0), MATCH("2026-"&amp;D55,'Slot Selection'!$41:$41, 0)),1,0),0)</f>
        <v>0</v>
      </c>
      <c r="R55" s="230">
        <f t="shared" ref="R55:T55" si="161">L55*O55</f>
        <v>0</v>
      </c>
      <c r="S55" s="248">
        <f t="shared" si="161"/>
        <v>0</v>
      </c>
      <c r="T55" s="249">
        <f t="shared" si="161"/>
        <v>0</v>
      </c>
      <c r="U55" s="243">
        <f t="shared" ref="U55:W55" si="162">L55-R55</f>
        <v>1040</v>
      </c>
      <c r="V55" s="248">
        <f t="shared" si="162"/>
        <v>685</v>
      </c>
      <c r="W55" s="249">
        <f t="shared" si="162"/>
        <v>644</v>
      </c>
    </row>
    <row r="56">
      <c r="A56" s="242" t="str">
        <f>IFERROR(__xludf.DUMMYFUNCTION("if(E56=506,""FEA006A"",INDEX(IMPORTRANGE(""https://docs.google.com/spreadsheets/d/1WbE6HOh_eG5_DM53SVfuckYm0VQnhNvuwjql7Tw1FX0/edit?gid=660406182#gid=660406182"", ""'""&amp;D56&amp;""'!H2:H45""),match(E56,IMPORTRANGE(""https://docs.google.com/spreadsheets/d/1WbE6"&amp;"HOh_eG5_DM53SVfuckYm0VQnhNvuwjql7Tw1FX0/edit?gid=660406182#gid=660406182"", ""'""&amp;D56&amp;""'!B2:B45""),0),1))"),"FE1731A")</f>
        <v>FE1731A</v>
      </c>
      <c r="B56" s="229" t="str">
        <f>IFERROR(__xludf.DUMMYFUNCTION("if(E56=506,""-"",INDEX(IMPORTRANGE(""https://docs.google.com/spreadsheets/d/1WbE6HOh_eG5_DM53SVfuckYm0VQnhNvuwjql7Tw1FX0/edit?gid=660406182#gid=660406182"", ""'""&amp;D56&amp;""'!D2:D45""),match(E56,IMPORTRANGE(""https://docs.google.com/spreadsheets/d/1WbE6HOh_eG"&amp;"5_DM53SVfuckYm0VQnhNvuwjql7Tw1FX0/edit?gid=660406182#gid=660406182"", ""'""&amp;D56&amp;""'!B2:B45""),0),1))"),"Flexible")</f>
        <v>Flexible</v>
      </c>
      <c r="C56" s="135" t="str">
        <f>IFERROR(__xludf.DUMMYFUNCTION("if(A56=""FEA006A"",""Garlic Herb Grilled Chicken"", ifna(INDEX(IMPORTRANGE(""https://docs.google.com/spreadsheets/d/1mnGm3iYGkB4FyqAD-LwwVYksgBMX_SY4qHQa16KgMiw/edit?gid=1956920866#gid=1956920866"", ""'EU Meal Database'!$E$2:$E""),MATCH(A56,IMPORTRANGE("""&amp;"https://docs.google.com/spreadsheets/d/1mnGm3iYGkB4FyqAD-LwwVYksgBMX_SY4qHQa16KgMiw/edit?gid=1956920866#gid=1956920866"",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DB_Product'!$B$2:$B""),MATCH(A56,IMPORTRANGE(""https://docs.google.com/spreadsheets/d/1n4t_JF5P_MLd0hMmhjv1A2rgLKdyee_-mrZZmdZr9G4/edit?gid=670402169#gid=670402169"", ""'Meal DB_Product'!$A$2:$A""),0))))"),"Citrus–Miso Salmon Bowl")</f>
        <v>Citrus–Miso Salmon Bowl</v>
      </c>
      <c r="D56" s="62" t="s">
        <v>228</v>
      </c>
      <c r="E56" s="230">
        <v>416.0</v>
      </c>
      <c r="F56" s="62">
        <v>616.0</v>
      </c>
      <c r="G56" s="231">
        <v>316.0</v>
      </c>
      <c r="H56" s="232">
        <f>IFERROR(__xludf.DUMMYFUNCTION("""COMPUTED_VALUE"""),1148.0)</f>
        <v>1148</v>
      </c>
      <c r="I56" s="232">
        <f>IFERROR(__xludf.DUMMYFUNCTION("""COMPUTED_VALUE"""),557.0)</f>
        <v>557</v>
      </c>
      <c r="J56" s="233">
        <f>IFERROR(__xludf.DUMMYFUNCTION("""COMPUTED_VALUE"""),758.0)</f>
        <v>758</v>
      </c>
      <c r="K56" s="244">
        <f>IFERROR(__xludf.DUMMYFUNCTION("""COMPUTED_VALUE"""),32.0)</f>
        <v>32</v>
      </c>
      <c r="L56" s="243">
        <f t="shared" ref="L56:M56" si="163">H56+20</f>
        <v>1168</v>
      </c>
      <c r="M56" s="244">
        <f t="shared" si="163"/>
        <v>577</v>
      </c>
      <c r="N56" s="245">
        <f t="shared" si="121"/>
        <v>810</v>
      </c>
      <c r="O56" s="271">
        <f t="array" ref="O56">iferror(if(INDEX('Slot Selection'!$A$2:$BJ$38, MATCH(E56-400,'Slot Selection'!$A$2:$A$38, 0), MATCH("2026-"&amp;D56,'Slot Selection'!$2:$2, 0)),1,0),0)</f>
        <v>0</v>
      </c>
      <c r="P56" s="272">
        <f t="array" ref="P56">iferror(if(INDEX('Slot Selection'!$A$80:$BJ$116, MATCH(F56-600,'Slot Selection'!$A$80:$A$116, 0), MATCH("2026-"&amp;D56,'Slot Selection'!$80:$80, 0)),1,0),0)</f>
        <v>0</v>
      </c>
      <c r="Q56" s="146">
        <f t="array" ref="Q56">iferror(if(INDEX('Slot Selection'!$A$41:$BJ$77, MATCH(F56-600,'Slot Selection'!$A$41:$A$77, 0), MATCH("2026-"&amp;D56,'Slot Selection'!$41:$41, 0)),1,0),0)</f>
        <v>0</v>
      </c>
      <c r="R56" s="230">
        <f t="shared" ref="R56:T56" si="164">L56*O56</f>
        <v>0</v>
      </c>
      <c r="S56" s="248">
        <f t="shared" si="164"/>
        <v>0</v>
      </c>
      <c r="T56" s="249">
        <f t="shared" si="164"/>
        <v>0</v>
      </c>
      <c r="U56" s="243">
        <f t="shared" ref="U56:W56" si="165">L56-R56</f>
        <v>1168</v>
      </c>
      <c r="V56" s="248">
        <f t="shared" si="165"/>
        <v>577</v>
      </c>
      <c r="W56" s="249">
        <f t="shared" si="165"/>
        <v>810</v>
      </c>
    </row>
    <row r="57">
      <c r="A57" s="242" t="str">
        <f>IFERROR(__xludf.DUMMYFUNCTION("if(E57=506,""FEA006A"",INDEX(IMPORTRANGE(""https://docs.google.com/spreadsheets/d/1WbE6HOh_eG5_DM53SVfuckYm0VQnhNvuwjql7Tw1FX0/edit?gid=660406182#gid=660406182"", ""'""&amp;D57&amp;""'!H2:H45""),match(E57,IMPORTRANGE(""https://docs.google.com/spreadsheets/d/1WbE6"&amp;"HOh_eG5_DM53SVfuckYm0VQnhNvuwjql7Tw1FX0/edit?gid=660406182#gid=660406182"", ""'""&amp;D57&amp;""'!B2:B45""),0),1))"),"FE4075A")</f>
        <v>FE4075A</v>
      </c>
      <c r="B57" s="229" t="str">
        <f>IFERROR(__xludf.DUMMYFUNCTION("if(E57=506,""-"",INDEX(IMPORTRANGE(""https://docs.google.com/spreadsheets/d/1WbE6HOh_eG5_DM53SVfuckYm0VQnhNvuwjql7Tw1FX0/edit?gid=660406182#gid=660406182"", ""'""&amp;D57&amp;""'!D2:D45""),match(E57,IMPORTRANGE(""https://docs.google.com/spreadsheets/d/1WbE6HOh_eG"&amp;"5_DM53SVfuckYm0VQnhNvuwjql7Tw1FX0/edit?gid=660406182#gid=660406182"", ""'""&amp;D57&amp;""'!B2:B45""),0),1))"),"P+")</f>
        <v>P+</v>
      </c>
      <c r="C57" s="135" t="str">
        <f>IFERROR(__xludf.DUMMYFUNCTION("if(A57=""FEA006A"",""Garlic Herb Grilled Chicken"", ifna(INDEX(IMPORTRANGE(""https://docs.google.com/spreadsheets/d/1mnGm3iYGkB4FyqAD-LwwVYksgBMX_SY4qHQa16KgMiw/edit?gid=1956920866#gid=1956920866"", ""'EU Meal Database'!$E$2:$E""),MATCH(A57,IMPORTRANGE("""&amp;"https://docs.google.com/spreadsheets/d/1mnGm3iYGkB4FyqAD-LwwVYksgBMX_SY4qHQa16KgMiw/edit?gid=1956920866#gid=1956920866"",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DB_Product'!$B$2:$B""),MATCH(A57,IMPORTRANGE(""https://docs.google.com/spreadsheets/d/1n4t_JF5P_MLd0hMmhjv1A2rgLKdyee_-mrZZmdZr9G4/edit?gid=670402169#gid=670402169"", ""'Meal DB_Product'!$A$2:$A""),0))))"),"Sun-Dried Tomato Beef Ragu &amp; Pasta")</f>
        <v>Sun-Dried Tomato Beef Ragu &amp; Pasta</v>
      </c>
      <c r="D57" s="62" t="s">
        <v>228</v>
      </c>
      <c r="E57" s="230">
        <v>417.0</v>
      </c>
      <c r="F57" s="62">
        <v>617.0</v>
      </c>
      <c r="G57" s="231">
        <v>317.0</v>
      </c>
      <c r="H57" s="232">
        <f>IFERROR(__xludf.DUMMYFUNCTION("""COMPUTED_VALUE"""),3329.0)</f>
        <v>3329</v>
      </c>
      <c r="I57" s="232">
        <f>IFERROR(__xludf.DUMMYFUNCTION("""COMPUTED_VALUE"""),1808.0)</f>
        <v>1808</v>
      </c>
      <c r="J57" s="233">
        <f>IFERROR(__xludf.DUMMYFUNCTION("""COMPUTED_VALUE"""),1736.0)</f>
        <v>1736</v>
      </c>
      <c r="K57" s="244">
        <f>IFERROR(__xludf.DUMMYFUNCTION("""COMPUTED_VALUE"""),32.0)</f>
        <v>32</v>
      </c>
      <c r="L57" s="243">
        <f t="shared" ref="L57:M57" si="166">H57+20</f>
        <v>3349</v>
      </c>
      <c r="M57" s="244">
        <f t="shared" si="166"/>
        <v>1828</v>
      </c>
      <c r="N57" s="245">
        <f t="shared" si="121"/>
        <v>1788</v>
      </c>
      <c r="O57" s="271">
        <f t="array" ref="O57">iferror(if(INDEX('Slot Selection'!$A$2:$BJ$38, MATCH(E57-400,'Slot Selection'!$A$2:$A$38, 0), MATCH("2026-"&amp;D57,'Slot Selection'!$2:$2, 0)),1,0),0)</f>
        <v>0</v>
      </c>
      <c r="P57" s="272">
        <f t="array" ref="P57">iferror(if(INDEX('Slot Selection'!$A$80:$BJ$116, MATCH(F57-600,'Slot Selection'!$A$80:$A$116, 0), MATCH("2026-"&amp;D57,'Slot Selection'!$80:$80, 0)),1,0),0)</f>
        <v>0</v>
      </c>
      <c r="Q57" s="146">
        <f t="array" ref="Q57">iferror(if(INDEX('Slot Selection'!$A$41:$BJ$77, MATCH(F57-600,'Slot Selection'!$A$41:$A$77, 0), MATCH("2026-"&amp;D57,'Slot Selection'!$41:$41, 0)),1,0),0)</f>
        <v>0</v>
      </c>
      <c r="R57" s="230">
        <f t="shared" ref="R57:T57" si="167">L57*O57</f>
        <v>0</v>
      </c>
      <c r="S57" s="248">
        <f t="shared" si="167"/>
        <v>0</v>
      </c>
      <c r="T57" s="249">
        <f t="shared" si="167"/>
        <v>0</v>
      </c>
      <c r="U57" s="243">
        <f t="shared" ref="U57:W57" si="168">L57-R57</f>
        <v>3349</v>
      </c>
      <c r="V57" s="244">
        <f t="shared" si="168"/>
        <v>1828</v>
      </c>
      <c r="W57" s="245">
        <f t="shared" si="168"/>
        <v>1788</v>
      </c>
    </row>
    <row r="58">
      <c r="A58" s="242" t="str">
        <f>IFERROR(__xludf.DUMMYFUNCTION("if(E58=506,""FEA006A"",INDEX(IMPORTRANGE(""https://docs.google.com/spreadsheets/d/1WbE6HOh_eG5_DM53SVfuckYm0VQnhNvuwjql7Tw1FX0/edit?gid=660406182#gid=660406182"", ""'""&amp;D58&amp;""'!H2:H45""),match(E58,IMPORTRANGE(""https://docs.google.com/spreadsheets/d/1WbE6"&amp;"HOh_eG5_DM53SVfuckYm0VQnhNvuwjql7Tw1FX0/edit?gid=660406182#gid=660406182"", ""'""&amp;D58&amp;""'!B2:B45""),0),1))"),"FE1072B")</f>
        <v>FE1072B</v>
      </c>
      <c r="B58" s="229" t="str">
        <f>IFERROR(__xludf.DUMMYFUNCTION("if(E58=506,""-"",INDEX(IMPORTRANGE(""https://docs.google.com/spreadsheets/d/1WbE6HOh_eG5_DM53SVfuckYm0VQnhNvuwjql7Tw1FX0/edit?gid=660406182#gid=660406182"", ""'""&amp;D58&amp;""'!D2:D45""),match(E58,IMPORTRANGE(""https://docs.google.com/spreadsheets/d/1WbE6HOh_eG"&amp;"5_DM53SVfuckYm0VQnhNvuwjql7Tw1FX0/edit?gid=660406182#gid=660406182"", ""'""&amp;D58&amp;""'!B2:B45""),0),1))"),"CS")</f>
        <v>CS</v>
      </c>
      <c r="C58" s="135" t="str">
        <f>IFERROR(__xludf.DUMMYFUNCTION("if(A58=""FEA006A"",""Garlic Herb Grilled Chicken"", ifna(INDEX(IMPORTRANGE(""https://docs.google.com/spreadsheets/d/1mnGm3iYGkB4FyqAD-LwwVYksgBMX_SY4qHQa16KgMiw/edit?gid=1956920866#gid=1956920866"", ""'EU Meal Database'!$E$2:$E""),MATCH(A58,IMPORTRANGE("""&amp;"https://docs.google.com/spreadsheets/d/1mnGm3iYGkB4FyqAD-LwwVYksgBMX_SY4qHQa16KgMiw/edit?gid=1956920866#gid=1956920866"",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DB_Product'!$B$2:$B""),MATCH(A58,IMPORTRANGE(""https://docs.google.com/spreadsheets/d/1n4t_JF5P_MLd0hMmhjv1A2rgLKdyee_-mrZZmdZr9G4/edit?gid=670402169#gid=670402169"", ""'Meal DB_Product'!$A$2:$A""),0))))"),"Pork tenderloin in spicy ancho chili sauce")</f>
        <v>Pork tenderloin in spicy ancho chili sauce</v>
      </c>
      <c r="D58" s="62" t="s">
        <v>228</v>
      </c>
      <c r="E58" s="230">
        <v>418.0</v>
      </c>
      <c r="F58" s="62">
        <v>618.0</v>
      </c>
      <c r="G58" s="231">
        <v>318.0</v>
      </c>
      <c r="H58" s="232">
        <f>IFERROR(__xludf.DUMMYFUNCTION("""COMPUTED_VALUE"""),952.0)</f>
        <v>952</v>
      </c>
      <c r="I58" s="232">
        <f>IFERROR(__xludf.DUMMYFUNCTION("""COMPUTED_VALUE"""),640.0)</f>
        <v>640</v>
      </c>
      <c r="J58" s="233">
        <f>IFERROR(__xludf.DUMMYFUNCTION("""COMPUTED_VALUE"""),477.0)</f>
        <v>477</v>
      </c>
      <c r="K58" s="62"/>
      <c r="L58" s="243">
        <f t="shared" ref="L58:M58" si="169">H58+20</f>
        <v>972</v>
      </c>
      <c r="M58" s="244">
        <f t="shared" si="169"/>
        <v>660</v>
      </c>
      <c r="N58" s="245">
        <f t="shared" si="121"/>
        <v>497</v>
      </c>
      <c r="O58" s="271">
        <f t="array" ref="O58">iferror(if(INDEX('Slot Selection'!$A$2:$BJ$38, MATCH(E58-400,'Slot Selection'!$A$2:$A$38, 0), MATCH("2026-"&amp;D58,'Slot Selection'!$2:$2, 0)),1,0),0)</f>
        <v>0</v>
      </c>
      <c r="P58" s="272">
        <f t="array" ref="P58">iferror(if(INDEX('Slot Selection'!$A$80:$BJ$116, MATCH(F58-600,'Slot Selection'!$A$80:$A$116, 0), MATCH("2026-"&amp;D58,'Slot Selection'!$80:$80, 0)),1,0),0)</f>
        <v>0</v>
      </c>
      <c r="Q58" s="146">
        <f t="array" ref="Q58">iferror(if(INDEX('Slot Selection'!$A$41:$BJ$77, MATCH(F58-600,'Slot Selection'!$A$41:$A$77, 0), MATCH("2026-"&amp;D58,'Slot Selection'!$41:$41, 0)),1,0),0)</f>
        <v>0</v>
      </c>
      <c r="R58" s="230">
        <f t="shared" ref="R58:T58" si="170">L58*O58</f>
        <v>0</v>
      </c>
      <c r="S58" s="248">
        <f t="shared" si="170"/>
        <v>0</v>
      </c>
      <c r="T58" s="249">
        <f t="shared" si="170"/>
        <v>0</v>
      </c>
      <c r="U58" s="243">
        <f t="shared" ref="U58:W58" si="171">L58-R58</f>
        <v>972</v>
      </c>
      <c r="V58" s="248">
        <f t="shared" si="171"/>
        <v>660</v>
      </c>
      <c r="W58" s="249">
        <f t="shared" si="171"/>
        <v>497</v>
      </c>
    </row>
    <row r="59">
      <c r="A59" s="250" t="str">
        <f>IFERROR(__xludf.DUMMYFUNCTION("if(E59=506,""FEA006A"",INDEX(IMPORTRANGE(""https://docs.google.com/spreadsheets/d/1WbE6HOh_eG5_DM53SVfuckYm0VQnhNvuwjql7Tw1FX0/edit?gid=660406182#gid=660406182"", ""'""&amp;D59&amp;""'!H2:H45""),match(E59,IMPORTRANGE(""https://docs.google.com/spreadsheets/d/1WbE6"&amp;"HOh_eG5_DM53SVfuckYm0VQnhNvuwjql7Tw1FX0/edit?gid=660406182#gid=660406182"", ""'""&amp;D59&amp;""'!B2:B45""),0),1))"),"FEA006A")</f>
        <v>FEA006A</v>
      </c>
      <c r="B59" s="251" t="str">
        <f>IFERROR(__xludf.DUMMYFUNCTION("if(E59=506,""-"",INDEX(IMPORTRANGE(""https://docs.google.com/spreadsheets/d/1WbE6HOh_eG5_DM53SVfuckYm0VQnhNvuwjql7Tw1FX0/edit?gid=660406182#gid=660406182"", ""'""&amp;D59&amp;""'!D2:D45""),match(E59,IMPORTRANGE(""https://docs.google.com/spreadsheets/d/1WbE6HOh_eG"&amp;"5_DM53SVfuckYm0VQnhNvuwjql7Tw1FX0/edit?gid=660406182#gid=660406182"", ""'""&amp;D59&amp;""'!B2:B45""),0),1))"),"-")</f>
        <v>-</v>
      </c>
      <c r="C59" s="252" t="str">
        <f>IFERROR(__xludf.DUMMYFUNCTION("if(A59=""FEA006A"",""Garlic Herb Grilled Chicken"", ifna(INDEX(IMPORTRANGE(""https://docs.google.com/spreadsheets/d/1mnGm3iYGkB4FyqAD-LwwVYksgBMX_SY4qHQa16KgMiw/edit?gid=1956920866#gid=1956920866"", ""'EU Meal Database'!$E$2:$E""),MATCH(A59,IMPORTRANGE("""&amp;"https://docs.google.com/spreadsheets/d/1mnGm3iYGkB4FyqAD-LwwVYksgBMX_SY4qHQa16KgMiw/edit?gid=1956920866#gid=1956920866"",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DB_Product'!$B$2:$B""),MATCH(A59,IMPORTRANGE(""https://docs.google.com/spreadsheets/d/1n4t_JF5P_MLd0hMmhjv1A2rgLKdyee_-mrZZmdZr9G4/edit?gid=670402169#gid=670402169"", ""'Meal DB_Product'!$A$2:$A""),0))))"),"Garlic Herb Grilled Chicken")</f>
        <v>Garlic Herb Grilled Chicken</v>
      </c>
      <c r="D59" s="253" t="s">
        <v>228</v>
      </c>
      <c r="E59" s="254">
        <v>506.0</v>
      </c>
      <c r="F59" s="253">
        <v>706.0</v>
      </c>
      <c r="G59" s="255">
        <v>806.0</v>
      </c>
      <c r="H59" s="256">
        <f>IFERROR(__xludf.DUMMYFUNCTION("""COMPUTED_VALUE"""),83.0)</f>
        <v>83</v>
      </c>
      <c r="I59" s="256">
        <f>IFERROR(__xludf.DUMMYFUNCTION("""COMPUTED_VALUE"""),36.0)</f>
        <v>36</v>
      </c>
      <c r="J59" s="257">
        <f>IFERROR(__xludf.DUMMYFUNCTION("""COMPUTED_VALUE"""),67.0)</f>
        <v>67</v>
      </c>
      <c r="K59" s="258">
        <f>IFERROR(__xludf.DUMMYFUNCTION("""COMPUTED_VALUE"""),0.0)</f>
        <v>0</v>
      </c>
      <c r="L59" s="259">
        <f t="shared" ref="L59:M59" si="172">H59</f>
        <v>83</v>
      </c>
      <c r="M59" s="258">
        <f t="shared" si="172"/>
        <v>36</v>
      </c>
      <c r="N59" s="260">
        <f>J59+K59</f>
        <v>67</v>
      </c>
      <c r="O59" s="273">
        <f t="array" ref="O59">iferror(if(INDEX('Slot Selection'!$A$2:$BJ$38, MATCH(E59-400,'Slot Selection'!$A$2:$A$38, 0), MATCH("2026-"&amp;D59,'Slot Selection'!$2:$2, 0)),1,0),0)</f>
        <v>0</v>
      </c>
      <c r="P59" s="274">
        <f t="array" ref="P59">iferror(if(INDEX('Slot Selection'!$A$80:$BJ$116, MATCH(F59-600,'Slot Selection'!$A$80:$A$116, 0), MATCH("2026-"&amp;D59,'Slot Selection'!$80:$80, 0)),1,0),0)</f>
        <v>0</v>
      </c>
      <c r="Q59" s="145">
        <f t="array" ref="Q59">iferror(if(INDEX('Slot Selection'!$A$41:$BJ$77, MATCH(F59-600,'Slot Selection'!$A$41:$A$77, 0), MATCH("2026-"&amp;D59,'Slot Selection'!$41:$41, 0)),1,0),0)</f>
        <v>0</v>
      </c>
      <c r="R59" s="254">
        <f t="shared" ref="R59:T59" si="173">L59*O59</f>
        <v>0</v>
      </c>
      <c r="S59" s="263">
        <f t="shared" si="173"/>
        <v>0</v>
      </c>
      <c r="T59" s="264">
        <f t="shared" si="173"/>
        <v>0</v>
      </c>
      <c r="U59" s="259">
        <f t="shared" ref="U59:W59" si="174">L59-R59</f>
        <v>83</v>
      </c>
      <c r="V59" s="263">
        <f t="shared" si="174"/>
        <v>36</v>
      </c>
      <c r="W59" s="264">
        <f t="shared" si="174"/>
        <v>67</v>
      </c>
    </row>
    <row r="60">
      <c r="A60" s="228" t="str">
        <f>IFERROR(__xludf.DUMMYFUNCTION("if(E60=506,""FEA006A"",INDEX(IMPORTRANGE(""https://docs.google.com/spreadsheets/d/1WbE6HOh_eG5_DM53SVfuckYm0VQnhNvuwjql7Tw1FX0/edit?gid=660406182#gid=660406182"", ""'""&amp;D60&amp;""'!H2:H45""),match(E60,IMPORTRANGE(""https://docs.google.com/spreadsheets/d/1WbE6"&amp;"HOh_eG5_DM53SVfuckYm0VQnhNvuwjql7Tw1FX0/edit?gid=660406182#gid=660406182"", ""'""&amp;D60&amp;""'!B2:B45""),0),1))"),"FE0224D")</f>
        <v>FE0224D</v>
      </c>
      <c r="B60" s="229" t="str">
        <f>IFERROR(__xludf.DUMMYFUNCTION("if(E60=506,""-"",INDEX(IMPORTRANGE(""https://docs.google.com/spreadsheets/d/1WbE6HOh_eG5_DM53SVfuckYm0VQnhNvuwjql7Tw1FX0/edit?gid=660406182#gid=660406182"", ""'""&amp;D60&amp;""'!D2:D45""),match(E60,IMPORTRANGE(""https://docs.google.com/spreadsheets/d/1WbE6HOh_eG"&amp;"5_DM53SVfuckYm0VQnhNvuwjql7Tw1FX0/edit?gid=660406182#gid=660406182"", ""'""&amp;D60&amp;""'!B2:B45""),0),1))"),"CS")</f>
        <v>CS</v>
      </c>
      <c r="C60" s="135" t="str">
        <f>IFERROR(__xludf.DUMMYFUNCTION("if(A60=""FEA006A"",""Garlic Herb Grilled Chicken"", ifna(INDEX(IMPORTRANGE(""https://docs.google.com/spreadsheets/d/1mnGm3iYGkB4FyqAD-LwwVYksgBMX_SY4qHQa16KgMiw/edit?gid=1956920866#gid=1956920866"", ""'EU Meal Database'!$E$2:$E""),MATCH(A60,IMPORTRANGE("""&amp;"https://docs.google.com/spreadsheets/d/1mnGm3iYGkB4FyqAD-LwwVYksgBMX_SY4qHQa16KgMiw/edit?gid=1956920866#gid=1956920866"",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DB_Product'!$B$2:$B""),MATCH(A60,IMPORTRANGE(""https://docs.google.com/spreadsheets/d/1n4t_JF5P_MLd0hMmhjv1A2rgLKdyee_-mrZZmdZr9G4/edit?gid=670402169#gid=670402169"", ""'Meal DB_Product'!$A$2:$A""),0))))"),"Chicken à la Florentine")</f>
        <v>Chicken à la Florentine</v>
      </c>
      <c r="D60" s="62" t="s">
        <v>229</v>
      </c>
      <c r="E60" s="230">
        <v>401.0</v>
      </c>
      <c r="F60" s="62">
        <v>601.0</v>
      </c>
      <c r="G60" s="231">
        <v>301.0</v>
      </c>
      <c r="H60" s="232">
        <f>IFERROR(__xludf.DUMMYFUNCTION("""COMPUTED_VALUE"""),6207.0)</f>
        <v>6207</v>
      </c>
      <c r="I60" s="232">
        <f>IFERROR(__xludf.DUMMYFUNCTION("""COMPUTED_VALUE"""),3402.0)</f>
        <v>3402</v>
      </c>
      <c r="J60" s="233">
        <f>IFERROR(__xludf.DUMMYFUNCTION("""COMPUTED_VALUE"""),2512.0)</f>
        <v>2512</v>
      </c>
      <c r="K60" s="244">
        <f>IFERROR(__xludf.DUMMYFUNCTION("""COMPUTED_VALUE"""),0.0)</f>
        <v>0</v>
      </c>
      <c r="L60" s="234">
        <f t="shared" ref="L60:M60" si="175">H60+20</f>
        <v>6227</v>
      </c>
      <c r="M60" s="235">
        <f t="shared" si="175"/>
        <v>3422</v>
      </c>
      <c r="N60" s="236">
        <f t="shared" ref="N60:N80" si="179">J60+20+K60</f>
        <v>2532</v>
      </c>
      <c r="O60" s="265">
        <f t="array" ref="O60">iferror(if(INDEX('Slot Selection'!$A$2:$BJ$38, MATCH(E60-400,'Slot Selection'!$A$2:$A$38, 0), MATCH("2026-"&amp;D60,'Slot Selection'!$2:$2, 0)),1,0),0)</f>
        <v>0</v>
      </c>
      <c r="P60" s="266">
        <f t="array" ref="P60">iferror(if(INDEX('Slot Selection'!$A$80:$BJ$116, MATCH(F60-600,'Slot Selection'!$A$80:$A$116, 0), MATCH("2026-"&amp;E60,'Slot Selection'!$80:$80, 0)),1,0),0)</f>
        <v>0</v>
      </c>
      <c r="Q60" s="267">
        <f t="array" ref="Q60">iferror(if(INDEX('Slot Selection'!$A$41:$BJ$77, MATCH(F60-600,'Slot Selection'!$A$41:$A$77, 0), MATCH("2026-"&amp;D60,'Slot Selection'!$41:$41, 0)),1,0),0)</f>
        <v>0</v>
      </c>
      <c r="R60" s="239">
        <f t="shared" ref="R60:T60" si="176">L60*O60</f>
        <v>0</v>
      </c>
      <c r="S60" s="240">
        <f t="shared" si="176"/>
        <v>0</v>
      </c>
      <c r="T60" s="240">
        <f t="shared" si="176"/>
        <v>0</v>
      </c>
      <c r="U60" s="234">
        <f t="shared" ref="U60:W60" si="177">L60-R60</f>
        <v>6227</v>
      </c>
      <c r="V60" s="235">
        <f t="shared" si="177"/>
        <v>3422</v>
      </c>
      <c r="W60" s="236">
        <f t="shared" si="177"/>
        <v>2532</v>
      </c>
    </row>
    <row r="61">
      <c r="A61" s="242" t="str">
        <f>IFERROR(__xludf.DUMMYFUNCTION("if(E61=506,""FEA006A"",INDEX(IMPORTRANGE(""https://docs.google.com/spreadsheets/d/1WbE6HOh_eG5_DM53SVfuckYm0VQnhNvuwjql7Tw1FX0/edit?gid=660406182#gid=660406182"", ""'""&amp;D61&amp;""'!H2:H45""),match(E61,IMPORTRANGE(""https://docs.google.com/spreadsheets/d/1WbE6"&amp;"HOh_eG5_DM53SVfuckYm0VQnhNvuwjql7Tw1FX0/edit?gid=660406182#gid=660406182"", ""'""&amp;D61&amp;""'!B2:B45""),0),1))"),"FE4015A")</f>
        <v>FE4015A</v>
      </c>
      <c r="B61" s="229" t="str">
        <f>IFERROR(__xludf.DUMMYFUNCTION("if(E61=506,""-"",INDEX(IMPORTRANGE(""https://docs.google.com/spreadsheets/d/1WbE6HOh_eG5_DM53SVfuckYm0VQnhNvuwjql7Tw1FX0/edit?gid=660406182#gid=660406182"", ""'""&amp;D61&amp;""'!D2:D45""),match(E61,IMPORTRANGE(""https://docs.google.com/spreadsheets/d/1WbE6HOh_eG"&amp;"5_DM53SVfuckYm0VQnhNvuwjql7Tw1FX0/edit?gid=660406182#gid=660406182"", ""'""&amp;D61&amp;""'!B2:B45""),0),1))"),"CS")</f>
        <v>CS</v>
      </c>
      <c r="C61" s="135" t="str">
        <f>IFERROR(__xludf.DUMMYFUNCTION("if(A61=""FEA006A"",""Garlic Herb Grilled Chicken"", ifna(INDEX(IMPORTRANGE(""https://docs.google.com/spreadsheets/d/1mnGm3iYGkB4FyqAD-LwwVYksgBMX_SY4qHQa16KgMiw/edit?gid=1956920866#gid=1956920866"", ""'EU Meal Database'!$E$2:$E""),MATCH(A61,IMPORTRANGE("""&amp;"https://docs.google.com/spreadsheets/d/1mnGm3iYGkB4FyqAD-LwwVYksgBMX_SY4qHQa16KgMiw/edit?gid=1956920866#gid=1956920866"",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DB_Product'!$B$2:$B""),MATCH(A61,IMPORTRANGE(""https://docs.google.com/spreadsheets/d/1n4t_JF5P_MLd0hMmhjv1A2rgLKdyee_-mrZZmdZr9G4/edit?gid=670402169#gid=670402169"", ""'Meal DB_Product'!$A$2:$A""),0))))"),"Grilled chicken and ratatouille")</f>
        <v>Grilled chicken and ratatouille</v>
      </c>
      <c r="D61" s="62" t="s">
        <v>229</v>
      </c>
      <c r="E61" s="230">
        <v>402.0</v>
      </c>
      <c r="F61" s="62">
        <v>602.0</v>
      </c>
      <c r="G61" s="231">
        <v>302.0</v>
      </c>
      <c r="H61" s="232">
        <f>IFERROR(__xludf.DUMMYFUNCTION("""COMPUTED_VALUE"""),3504.0)</f>
        <v>3504</v>
      </c>
      <c r="I61" s="232">
        <f>IFERROR(__xludf.DUMMYFUNCTION("""COMPUTED_VALUE"""),2207.0)</f>
        <v>2207</v>
      </c>
      <c r="J61" s="233">
        <f>IFERROR(__xludf.DUMMYFUNCTION("""COMPUTED_VALUE"""),1458.0)</f>
        <v>1458</v>
      </c>
      <c r="K61" s="244">
        <f>IFERROR(__xludf.DUMMYFUNCTION("""COMPUTED_VALUE"""),0.0)</f>
        <v>0</v>
      </c>
      <c r="L61" s="243">
        <f t="shared" ref="L61:M61" si="178">H61+20</f>
        <v>3524</v>
      </c>
      <c r="M61" s="244">
        <f t="shared" si="178"/>
        <v>2227</v>
      </c>
      <c r="N61" s="245">
        <f t="shared" si="179"/>
        <v>1478</v>
      </c>
      <c r="O61" s="268">
        <f t="array" ref="O61">iferror(if(INDEX('Slot Selection'!$A$2:$BJ$38, MATCH(E61-400,'Slot Selection'!$A$2:$A$38, 0), MATCH("2026-"&amp;D61,'Slot Selection'!$2:$2, 0)),1,0),0)</f>
        <v>0</v>
      </c>
      <c r="P61" s="269">
        <f t="array" ref="P61">iferror(if(INDEX('Slot Selection'!$A$80:$BJ$116, MATCH(F61-600,'Slot Selection'!$A$80:$A$116, 0), MATCH("2026-"&amp;D61,'Slot Selection'!$80:$80, 0)),1,0),0)</f>
        <v>0</v>
      </c>
      <c r="Q61" s="270">
        <f t="array" ref="Q61">iferror(if(INDEX('Slot Selection'!$A$41:$BJ$77, MATCH(F61-600,'Slot Selection'!$A$41:$A$77, 0), MATCH("2026-"&amp;D61,'Slot Selection'!$41:$41, 0)),1,0),0)</f>
        <v>0</v>
      </c>
      <c r="R61" s="230">
        <f t="shared" ref="R61:T61" si="180">L61*O61</f>
        <v>0</v>
      </c>
      <c r="S61" s="248">
        <f t="shared" si="180"/>
        <v>0</v>
      </c>
      <c r="T61" s="248">
        <f t="shared" si="180"/>
        <v>0</v>
      </c>
      <c r="U61" s="243">
        <f t="shared" ref="U61:W61" si="181">L61-R61</f>
        <v>3524</v>
      </c>
      <c r="V61" s="244">
        <f t="shared" si="181"/>
        <v>2227</v>
      </c>
      <c r="W61" s="245">
        <f t="shared" si="181"/>
        <v>1478</v>
      </c>
    </row>
    <row r="62">
      <c r="A62" s="242" t="str">
        <f>IFERROR(__xludf.DUMMYFUNCTION("if(E62=506,""FEA006A"",INDEX(IMPORTRANGE(""https://docs.google.com/spreadsheets/d/1WbE6HOh_eG5_DM53SVfuckYm0VQnhNvuwjql7Tw1FX0/edit?gid=660406182#gid=660406182"", ""'""&amp;D62&amp;""'!H2:H45""),match(E62,IMPORTRANGE(""https://docs.google.com/spreadsheets/d/1WbE6"&amp;"HOh_eG5_DM53SVfuckYm0VQnhNvuwjql7Tw1FX0/edit?gid=660406182#gid=660406182"", ""'""&amp;D62&amp;""'!B2:B45""),0),1))"),"FE0746B")</f>
        <v>FE0746B</v>
      </c>
      <c r="B62" s="229" t="str">
        <f>IFERROR(__xludf.DUMMYFUNCTION("if(E62=506,""-"",INDEX(IMPORTRANGE(""https://docs.google.com/spreadsheets/d/1WbE6HOh_eG5_DM53SVfuckYm0VQnhNvuwjql7Tw1FX0/edit?gid=660406182#gid=660406182"", ""'""&amp;D62&amp;""'!D2:D45""),match(E62,IMPORTRANGE(""https://docs.google.com/spreadsheets/d/1WbE6HOh_eG"&amp;"5_DM53SVfuckYm0VQnhNvuwjql7Tw1FX0/edit?gid=660406182#gid=660406182"", ""'""&amp;D62&amp;""'!B2:B45""),0),1))"),"Keto")</f>
        <v>Keto</v>
      </c>
      <c r="C62" s="135" t="str">
        <f>IFERROR(__xludf.DUMMYFUNCTION("if(A62=""FEA006A"",""Garlic Herb Grilled Chicken"", ifna(INDEX(IMPORTRANGE(""https://docs.google.com/spreadsheets/d/1mnGm3iYGkB4FyqAD-LwwVYksgBMX_SY4qHQa16KgMiw/edit?gid=1956920866#gid=1956920866"", ""'EU Meal Database'!$E$2:$E""),MATCH(A62,IMPORTRANGE("""&amp;"https://docs.google.com/spreadsheets/d/1mnGm3iYGkB4FyqAD-LwwVYksgBMX_SY4qHQa16KgMiw/edit?gid=1956920866#gid=1956920866"",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DB_Product'!$B$2:$B""),MATCH(A62,IMPORTRANGE(""https://docs.google.com/spreadsheets/d/1n4t_JF5P_MLd0hMmhjv1A2rgLKdyee_-mrZZmdZr9G4/edit?gid=670402169#gid=670402169"", ""'Meal DB_Product'!$A$2:$A""),0))))"),"Spicy ground beef with jalapenos")</f>
        <v>Spicy ground beef with jalapenos</v>
      </c>
      <c r="D62" s="62" t="s">
        <v>229</v>
      </c>
      <c r="E62" s="230">
        <v>403.0</v>
      </c>
      <c r="F62" s="62">
        <v>603.0</v>
      </c>
      <c r="G62" s="231">
        <v>303.0</v>
      </c>
      <c r="H62" s="232">
        <f>IFERROR(__xludf.DUMMYFUNCTION("""COMPUTED_VALUE"""),3064.0)</f>
        <v>3064</v>
      </c>
      <c r="I62" s="232">
        <f>IFERROR(__xludf.DUMMYFUNCTION("""COMPUTED_VALUE"""),1915.0)</f>
        <v>1915</v>
      </c>
      <c r="J62" s="233">
        <f>IFERROR(__xludf.DUMMYFUNCTION("""COMPUTED_VALUE"""),1489.0)</f>
        <v>1489</v>
      </c>
      <c r="K62" s="244">
        <f>IFERROR(__xludf.DUMMYFUNCTION("""COMPUTED_VALUE"""),0.0)</f>
        <v>0</v>
      </c>
      <c r="L62" s="243">
        <f t="shared" ref="L62:M62" si="182">H62+20</f>
        <v>3084</v>
      </c>
      <c r="M62" s="244">
        <f t="shared" si="182"/>
        <v>1935</v>
      </c>
      <c r="N62" s="245">
        <f t="shared" si="179"/>
        <v>1509</v>
      </c>
      <c r="O62" s="268">
        <f t="array" ref="O62">iferror(if(INDEX('Slot Selection'!$A$2:$BJ$38, MATCH(E62-400,'Slot Selection'!$A$2:$A$38, 0), MATCH("2026-"&amp;D62,'Slot Selection'!$2:$2, 0)),1,0),0)</f>
        <v>0</v>
      </c>
      <c r="P62" s="269">
        <f t="array" ref="P62">iferror(if(INDEX('Slot Selection'!$A$80:$BJ$116, MATCH(F62-600,'Slot Selection'!$A$80:$A$116, 0), MATCH("2026-"&amp;D62,'Slot Selection'!$80:$80, 0)),1,0),0)</f>
        <v>0</v>
      </c>
      <c r="Q62" s="270">
        <f t="array" ref="Q62">iferror(if(INDEX('Slot Selection'!$A$41:$BJ$77, MATCH(F62-600,'Slot Selection'!$A$41:$A$77, 0), MATCH("2026-"&amp;D62,'Slot Selection'!$41:$41, 0)),1,0),0)</f>
        <v>0</v>
      </c>
      <c r="R62" s="230">
        <f t="shared" ref="R62:T62" si="183">L62*O62</f>
        <v>0</v>
      </c>
      <c r="S62" s="248">
        <f t="shared" si="183"/>
        <v>0</v>
      </c>
      <c r="T62" s="248">
        <f t="shared" si="183"/>
        <v>0</v>
      </c>
      <c r="U62" s="243">
        <f t="shared" ref="U62:W62" si="184">L62-R62</f>
        <v>3084</v>
      </c>
      <c r="V62" s="244">
        <f t="shared" si="184"/>
        <v>1935</v>
      </c>
      <c r="W62" s="245">
        <f t="shared" si="184"/>
        <v>1509</v>
      </c>
    </row>
    <row r="63">
      <c r="A63" s="242" t="str">
        <f>IFERROR(__xludf.DUMMYFUNCTION("if(E63=506,""FEA006A"",INDEX(IMPORTRANGE(""https://docs.google.com/spreadsheets/d/1WbE6HOh_eG5_DM53SVfuckYm0VQnhNvuwjql7Tw1FX0/edit?gid=660406182#gid=660406182"", ""'""&amp;D63&amp;""'!H2:H45""),match(E63,IMPORTRANGE(""https://docs.google.com/spreadsheets/d/1WbE6"&amp;"HOh_eG5_DM53SVfuckYm0VQnhNvuwjql7Tw1FX0/edit?gid=660406182#gid=660406182"", ""'""&amp;D63&amp;""'!B2:B45""),0),1))"),"FE1145B")</f>
        <v>FE1145B</v>
      </c>
      <c r="B63" s="229" t="str">
        <f>IFERROR(__xludf.DUMMYFUNCTION("if(E63=506,""-"",INDEX(IMPORTRANGE(""https://docs.google.com/spreadsheets/d/1WbE6HOh_eG5_DM53SVfuckYm0VQnhNvuwjql7Tw1FX0/edit?gid=660406182#gid=660406182"", ""'""&amp;D63&amp;""'!D2:D45""),match(E63,IMPORTRANGE(""https://docs.google.com/spreadsheets/d/1WbE6HOh_eG"&amp;"5_DM53SVfuckYm0VQnhNvuwjql7Tw1FX0/edit?gid=660406182#gid=660406182"", ""'""&amp;D63&amp;""'!B2:B45""),0),1))"),"P+")</f>
        <v>P+</v>
      </c>
      <c r="C63" s="135" t="str">
        <f>IFERROR(__xludf.DUMMYFUNCTION("if(A63=""FEA006A"",""Garlic Herb Grilled Chicken"", ifna(INDEX(IMPORTRANGE(""https://docs.google.com/spreadsheets/d/1mnGm3iYGkB4FyqAD-LwwVYksgBMX_SY4qHQa16KgMiw/edit?gid=1956920866#gid=1956920866"", ""'EU Meal Database'!$E$2:$E""),MATCH(A63,IMPORTRANGE("""&amp;"https://docs.google.com/spreadsheets/d/1mnGm3iYGkB4FyqAD-LwwVYksgBMX_SY4qHQa16KgMiw/edit?gid=1956920866#gid=1956920866"",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DB_Product'!$B$2:$B""),MATCH(A63,IMPORTRANGE(""https://docs.google.com/spreadsheets/d/1n4t_JF5P_MLd0hMmhjv1A2rgLKdyee_-mrZZmdZr9G4/edit?gid=670402169#gid=670402169"", ""'Meal DB_Product'!$A$2:$A""),0))))"),"Roasted Salmon &amp; Dill Yogurt")</f>
        <v>Roasted Salmon &amp; Dill Yogurt</v>
      </c>
      <c r="D63" s="62" t="s">
        <v>229</v>
      </c>
      <c r="E63" s="230">
        <v>404.0</v>
      </c>
      <c r="F63" s="62">
        <v>604.0</v>
      </c>
      <c r="G63" s="231">
        <v>304.0</v>
      </c>
      <c r="H63" s="232">
        <f>IFERROR(__xludf.DUMMYFUNCTION("""COMPUTED_VALUE"""),5021.0)</f>
        <v>5021</v>
      </c>
      <c r="I63" s="232">
        <f>IFERROR(__xludf.DUMMYFUNCTION("""COMPUTED_VALUE"""),2810.0)</f>
        <v>2810</v>
      </c>
      <c r="J63" s="233">
        <f>IFERROR(__xludf.DUMMYFUNCTION("""COMPUTED_VALUE"""),2055.0)</f>
        <v>2055</v>
      </c>
      <c r="K63" s="244">
        <f>IFERROR(__xludf.DUMMYFUNCTION("""COMPUTED_VALUE"""),0.0)</f>
        <v>0</v>
      </c>
      <c r="L63" s="243">
        <f t="shared" ref="L63:M63" si="185">H63+20</f>
        <v>5041</v>
      </c>
      <c r="M63" s="244">
        <f t="shared" si="185"/>
        <v>2830</v>
      </c>
      <c r="N63" s="245">
        <f t="shared" si="179"/>
        <v>2075</v>
      </c>
      <c r="O63" s="268">
        <f t="array" ref="O63">iferror(if(INDEX('Slot Selection'!$A$2:$BJ$38, MATCH(E63-400,'Slot Selection'!$A$2:$A$38, 0), MATCH("2026-"&amp;D63,'Slot Selection'!$2:$2, 0)),1,0),0)</f>
        <v>0</v>
      </c>
      <c r="P63" s="269">
        <f t="array" ref="P63">iferror(if(INDEX('Slot Selection'!$A$80:$BJ$116, MATCH(F63-600,'Slot Selection'!$A$80:$A$116, 0), MATCH("2026-"&amp;D63,'Slot Selection'!$80:$80, 0)),1,0),0)</f>
        <v>0</v>
      </c>
      <c r="Q63" s="270">
        <f t="array" ref="Q63">iferror(if(INDEX('Slot Selection'!$A$41:$BJ$77, MATCH(F63-600,'Slot Selection'!$A$41:$A$77, 0), MATCH("2026-"&amp;D63,'Slot Selection'!$41:$41, 0)),1,0),0)</f>
        <v>0</v>
      </c>
      <c r="R63" s="230">
        <f t="shared" ref="R63:T63" si="186">L63*O63</f>
        <v>0</v>
      </c>
      <c r="S63" s="248">
        <f t="shared" si="186"/>
        <v>0</v>
      </c>
      <c r="T63" s="248">
        <f t="shared" si="186"/>
        <v>0</v>
      </c>
      <c r="U63" s="243">
        <f t="shared" ref="U63:W63" si="187">L63-R63</f>
        <v>5041</v>
      </c>
      <c r="V63" s="244">
        <f t="shared" si="187"/>
        <v>2830</v>
      </c>
      <c r="W63" s="245">
        <f t="shared" si="187"/>
        <v>2075</v>
      </c>
    </row>
    <row r="64">
      <c r="A64" s="242" t="str">
        <f>IFERROR(__xludf.DUMMYFUNCTION("if(E64=506,""FEA006A"",INDEX(IMPORTRANGE(""https://docs.google.com/spreadsheets/d/1WbE6HOh_eG5_DM53SVfuckYm0VQnhNvuwjql7Tw1FX0/edit?gid=660406182#gid=660406182"", ""'""&amp;D64&amp;""'!H2:H45""),match(E64,IMPORTRANGE(""https://docs.google.com/spreadsheets/d/1WbE6"&amp;"HOh_eG5_DM53SVfuckYm0VQnhNvuwjql7Tw1FX0/edit?gid=660406182#gid=660406182"", ""'""&amp;D64&amp;""'!B2:B45""),0),1))"),"FE1636A")</f>
        <v>FE1636A</v>
      </c>
      <c r="B64" s="229" t="str">
        <f>IFERROR(__xludf.DUMMYFUNCTION("if(E64=506,""-"",INDEX(IMPORTRANGE(""https://docs.google.com/spreadsheets/d/1WbE6HOh_eG5_DM53SVfuckYm0VQnhNvuwjql7Tw1FX0/edit?gid=660406182#gid=660406182"", ""'""&amp;D64&amp;""'!D2:D45""),match(E64,IMPORTRANGE(""https://docs.google.com/spreadsheets/d/1WbE6HOh_eG"&amp;"5_DM53SVfuckYm0VQnhNvuwjql7Tw1FX0/edit?gid=660406182#gid=660406182"", ""'""&amp;D64&amp;""'!B2:B45""),0),1))"),"CS")</f>
        <v>CS</v>
      </c>
      <c r="C64" s="135" t="str">
        <f>IFERROR(__xludf.DUMMYFUNCTION("if(A64=""FEA006A"",""Garlic Herb Grilled Chicken"", ifna(INDEX(IMPORTRANGE(""https://docs.google.com/spreadsheets/d/1mnGm3iYGkB4FyqAD-LwwVYksgBMX_SY4qHQa16KgMiw/edit?gid=1956920866#gid=1956920866"", ""'EU Meal Database'!$E$2:$E""),MATCH(A64,IMPORTRANGE("""&amp;"https://docs.google.com/spreadsheets/d/1mnGm3iYGkB4FyqAD-LwwVYksgBMX_SY4qHQa16KgMiw/edit?gid=1956920866#gid=1956920866"",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DB_Product'!$B$2:$B""),MATCH(A64,IMPORTRANGE(""https://docs.google.com/spreadsheets/d/1n4t_JF5P_MLd0hMmhjv1A2rgLKdyee_-mrZZmdZr9G4/edit?gid=670402169#gid=670402169"", ""'Meal DB_Product'!$A$2:$A""),0))))"),"Green Chile Chicken &amp; Salsa Quinoa")</f>
        <v>Green Chile Chicken &amp; Salsa Quinoa</v>
      </c>
      <c r="D64" s="62" t="s">
        <v>229</v>
      </c>
      <c r="E64" s="230">
        <v>405.0</v>
      </c>
      <c r="F64" s="62">
        <v>605.0</v>
      </c>
      <c r="G64" s="231">
        <v>305.0</v>
      </c>
      <c r="H64" s="232">
        <f>IFERROR(__xludf.DUMMYFUNCTION("""COMPUTED_VALUE"""),2426.0)</f>
        <v>2426</v>
      </c>
      <c r="I64" s="232">
        <f>IFERROR(__xludf.DUMMYFUNCTION("""COMPUTED_VALUE"""),1647.0)</f>
        <v>1647</v>
      </c>
      <c r="J64" s="233">
        <f>IFERROR(__xludf.DUMMYFUNCTION("""COMPUTED_VALUE"""),1359.0)</f>
        <v>1359</v>
      </c>
      <c r="K64" s="244">
        <f>IFERROR(__xludf.DUMMYFUNCTION("""COMPUTED_VALUE"""),0.0)</f>
        <v>0</v>
      </c>
      <c r="L64" s="243">
        <f t="shared" ref="L64:M64" si="188">H64+20</f>
        <v>2446</v>
      </c>
      <c r="M64" s="244">
        <f t="shared" si="188"/>
        <v>1667</v>
      </c>
      <c r="N64" s="245">
        <f t="shared" si="179"/>
        <v>1379</v>
      </c>
      <c r="O64" s="268">
        <f t="array" ref="O64">iferror(if(INDEX('Slot Selection'!$A$2:$BJ$38, MATCH(E64-400,'Slot Selection'!$A$2:$A$38, 0), MATCH("2026-"&amp;D64,'Slot Selection'!$2:$2, 0)),1,0),0)</f>
        <v>0</v>
      </c>
      <c r="P64" s="269">
        <f t="array" ref="P64">iferror(if(INDEX('Slot Selection'!$A$80:$BJ$116, MATCH(F64-600,'Slot Selection'!$A$80:$A$116, 0), MATCH("2026-"&amp;D64,'Slot Selection'!$80:$80, 0)),1,0),0)</f>
        <v>0</v>
      </c>
      <c r="Q64" s="270">
        <f t="array" ref="Q64">iferror(if(INDEX('Slot Selection'!$A$41:$BJ$77, MATCH(F64-600,'Slot Selection'!$A$41:$A$77, 0), MATCH("2026-"&amp;D64,'Slot Selection'!$41:$41, 0)),1,0),0)</f>
        <v>0</v>
      </c>
      <c r="R64" s="230">
        <f t="shared" ref="R64:T64" si="189">L64*O64</f>
        <v>0</v>
      </c>
      <c r="S64" s="248">
        <f t="shared" si="189"/>
        <v>0</v>
      </c>
      <c r="T64" s="248">
        <f t="shared" si="189"/>
        <v>0</v>
      </c>
      <c r="U64" s="243">
        <f t="shared" ref="U64:W64" si="190">L64-R64</f>
        <v>2446</v>
      </c>
      <c r="V64" s="244">
        <f t="shared" si="190"/>
        <v>1667</v>
      </c>
      <c r="W64" s="245">
        <f t="shared" si="190"/>
        <v>1379</v>
      </c>
    </row>
    <row r="65">
      <c r="A65" s="242" t="str">
        <f>IFERROR(__xludf.DUMMYFUNCTION("if(E65=506,""FEA006A"",INDEX(IMPORTRANGE(""https://docs.google.com/spreadsheets/d/1WbE6HOh_eG5_DM53SVfuckYm0VQnhNvuwjql7Tw1FX0/edit?gid=660406182#gid=660406182"", ""'""&amp;D65&amp;""'!H2:H45""),match(E65,IMPORTRANGE(""https://docs.google.com/spreadsheets/d/1WbE6"&amp;"HOh_eG5_DM53SVfuckYm0VQnhNvuwjql7Tw1FX0/edit?gid=660406182#gid=660406182"", ""'""&amp;D65&amp;""'!B2:B45""),0),1))"),"FE0035F")</f>
        <v>FE0035F</v>
      </c>
      <c r="B65" s="229" t="str">
        <f>IFERROR(__xludf.DUMMYFUNCTION("if(E65=506,""-"",INDEX(IMPORTRANGE(""https://docs.google.com/spreadsheets/d/1WbE6HOh_eG5_DM53SVfuckYm0VQnhNvuwjql7Tw1FX0/edit?gid=660406182#gid=660406182"", ""'""&amp;D65&amp;""'!D2:D45""),match(E65,IMPORTRANGE(""https://docs.google.com/spreadsheets/d/1WbE6HOh_eG"&amp;"5_DM53SVfuckYm0VQnhNvuwjql7Tw1FX0/edit?gid=660406182#gid=660406182"", ""'""&amp;D65&amp;""'!B2:B45""),0),1))"),"Keto")</f>
        <v>Keto</v>
      </c>
      <c r="C65" s="135" t="str">
        <f>IFERROR(__xludf.DUMMYFUNCTION("if(A65=""FEA006A"",""Garlic Herb Grilled Chicken"", ifna(INDEX(IMPORTRANGE(""https://docs.google.com/spreadsheets/d/1mnGm3iYGkB4FyqAD-LwwVYksgBMX_SY4qHQa16KgMiw/edit?gid=1956920866#gid=1956920866"", ""'EU Meal Database'!$E$2:$E""),MATCH(A65,IMPORTRANGE("""&amp;"https://docs.google.com/spreadsheets/d/1mnGm3iYGkB4FyqAD-LwwVYksgBMX_SY4qHQa16KgMiw/edit?gid=1956920866#gid=1956920866"",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DB_Product'!$B$2:$B""),MATCH(A65,IMPORTRANGE(""https://docs.google.com/spreadsheets/d/1n4t_JF5P_MLd0hMmhjv1A2rgLKdyee_-mrZZmdZr9G4/edit?gid=670402169#gid=670402169"", ""'Meal DB_Product'!$A$2:$A""),0))))"),"Salmon with pesto")</f>
        <v>Salmon with pesto</v>
      </c>
      <c r="D65" s="62" t="s">
        <v>229</v>
      </c>
      <c r="E65" s="230">
        <v>406.0</v>
      </c>
      <c r="F65" s="62">
        <v>606.0</v>
      </c>
      <c r="G65" s="231">
        <v>306.0</v>
      </c>
      <c r="H65" s="232">
        <f>IFERROR(__xludf.DUMMYFUNCTION("""COMPUTED_VALUE"""),2718.0)</f>
        <v>2718</v>
      </c>
      <c r="I65" s="232">
        <f>IFERROR(__xludf.DUMMYFUNCTION("""COMPUTED_VALUE"""),1645.0)</f>
        <v>1645</v>
      </c>
      <c r="J65" s="233">
        <f>IFERROR(__xludf.DUMMYFUNCTION("""COMPUTED_VALUE"""),1546.0)</f>
        <v>1546</v>
      </c>
      <c r="K65" s="244">
        <f>IFERROR(__xludf.DUMMYFUNCTION("""COMPUTED_VALUE"""),0.0)</f>
        <v>0</v>
      </c>
      <c r="L65" s="243">
        <f t="shared" ref="L65:M65" si="191">H65+20</f>
        <v>2738</v>
      </c>
      <c r="M65" s="244">
        <f t="shared" si="191"/>
        <v>1665</v>
      </c>
      <c r="N65" s="245">
        <f t="shared" si="179"/>
        <v>1566</v>
      </c>
      <c r="O65" s="268">
        <f t="array" ref="O65">iferror(if(INDEX('Slot Selection'!$A$2:$BJ$38, MATCH(E65-400,'Slot Selection'!$A$2:$A$38, 0), MATCH("2026-"&amp;D65,'Slot Selection'!$2:$2, 0)),1,0),0)</f>
        <v>1</v>
      </c>
      <c r="P65" s="269">
        <f t="array" ref="P65">iferror(if(INDEX('Slot Selection'!$A$80:$BJ$116, MATCH(F65-600,'Slot Selection'!$A$80:$A$116, 0), MATCH("2026-"&amp;D65,'Slot Selection'!$80:$80, 0)),1,0),0)</f>
        <v>1</v>
      </c>
      <c r="Q65" s="270">
        <f t="array" ref="Q65">iferror(if(INDEX('Slot Selection'!$A$41:$BJ$77, MATCH(F65-600,'Slot Selection'!$A$41:$A$77, 0), MATCH("2026-"&amp;D65,'Slot Selection'!$41:$41, 0)),1,0),0)</f>
        <v>1</v>
      </c>
      <c r="R65" s="230">
        <f t="shared" ref="R65:T65" si="192">L65*O65</f>
        <v>2738</v>
      </c>
      <c r="S65" s="248">
        <f t="shared" si="192"/>
        <v>1665</v>
      </c>
      <c r="T65" s="248">
        <f t="shared" si="192"/>
        <v>1566</v>
      </c>
      <c r="U65" s="243">
        <f t="shared" ref="U65:W65" si="193">L65-R65</f>
        <v>0</v>
      </c>
      <c r="V65" s="244">
        <f t="shared" si="193"/>
        <v>0</v>
      </c>
      <c r="W65" s="245">
        <f t="shared" si="193"/>
        <v>0</v>
      </c>
    </row>
    <row r="66">
      <c r="A66" s="242" t="str">
        <f>IFERROR(__xludf.DUMMYFUNCTION("if(E66=506,""FEA006A"",INDEX(IMPORTRANGE(""https://docs.google.com/spreadsheets/d/1WbE6HOh_eG5_DM53SVfuckYm0VQnhNvuwjql7Tw1FX0/edit?gid=660406182#gid=660406182"", ""'""&amp;D66&amp;""'!H2:H45""),match(E66,IMPORTRANGE(""https://docs.google.com/spreadsheets/d/1WbE6"&amp;"HOh_eG5_DM53SVfuckYm0VQnhNvuwjql7Tw1FX0/edit?gid=660406182#gid=660406182"", ""'""&amp;D66&amp;""'!B2:B45""),0),1))"),"FE0472B")</f>
        <v>FE0472B</v>
      </c>
      <c r="B66" s="229" t="str">
        <f>IFERROR(__xludf.DUMMYFUNCTION("if(E66=506,""-"",INDEX(IMPORTRANGE(""https://docs.google.com/spreadsheets/d/1WbE6HOh_eG5_DM53SVfuckYm0VQnhNvuwjql7Tw1FX0/edit?gid=660406182#gid=660406182"", ""'""&amp;D66&amp;""'!D2:D45""),match(E66,IMPORTRANGE(""https://docs.google.com/spreadsheets/d/1WbE6HOh_eG"&amp;"5_DM53SVfuckYm0VQnhNvuwjql7Tw1FX0/edit?gid=660406182#gid=660406182"", ""'""&amp;D66&amp;""'!B2:B45""),0),1))"),"Keto")</f>
        <v>Keto</v>
      </c>
      <c r="C66" s="135" t="str">
        <f>IFERROR(__xludf.DUMMYFUNCTION("if(A66=""FEA006A"",""Garlic Herb Grilled Chicken"", ifna(INDEX(IMPORTRANGE(""https://docs.google.com/spreadsheets/d/1mnGm3iYGkB4FyqAD-LwwVYksgBMX_SY4qHQa16KgMiw/edit?gid=1956920866#gid=1956920866"", ""'EU Meal Database'!$E$2:$E""),MATCH(A66,IMPORTRANGE("""&amp;"https://docs.google.com/spreadsheets/d/1mnGm3iYGkB4FyqAD-LwwVYksgBMX_SY4qHQa16KgMiw/edit?gid=1956920866#gid=1956920866"",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DB_Product'!$B$2:$B""),MATCH(A66,IMPORTRANGE(""https://docs.google.com/spreadsheets/d/1n4t_JF5P_MLd0hMmhjv1A2rgLKdyee_-mrZZmdZr9G4/edit?gid=670402169#gid=670402169"", ""'Meal DB_Product'!$A$2:$A""),0))))"),"Indian style butter chicken")</f>
        <v>Indian style butter chicken</v>
      </c>
      <c r="D66" s="62" t="s">
        <v>229</v>
      </c>
      <c r="E66" s="230">
        <v>407.0</v>
      </c>
      <c r="F66" s="62">
        <v>607.0</v>
      </c>
      <c r="G66" s="231">
        <v>307.0</v>
      </c>
      <c r="H66" s="232">
        <f>IFERROR(__xludf.DUMMYFUNCTION("""COMPUTED_VALUE"""),2363.0)</f>
        <v>2363</v>
      </c>
      <c r="I66" s="232">
        <f>IFERROR(__xludf.DUMMYFUNCTION("""COMPUTED_VALUE"""),1485.0)</f>
        <v>1485</v>
      </c>
      <c r="J66" s="233">
        <f>IFERROR(__xludf.DUMMYFUNCTION("""COMPUTED_VALUE"""),1274.0)</f>
        <v>1274</v>
      </c>
      <c r="K66" s="244">
        <f>IFERROR(__xludf.DUMMYFUNCTION("""COMPUTED_VALUE"""),0.0)</f>
        <v>0</v>
      </c>
      <c r="L66" s="243">
        <f t="shared" ref="L66:M66" si="194">H66+20</f>
        <v>2383</v>
      </c>
      <c r="M66" s="244">
        <f t="shared" si="194"/>
        <v>1505</v>
      </c>
      <c r="N66" s="245">
        <f t="shared" si="179"/>
        <v>1294</v>
      </c>
      <c r="O66" s="268">
        <f t="array" ref="O66">iferror(if(INDEX('Slot Selection'!$A$2:$BJ$38, MATCH(E66-400,'Slot Selection'!$A$2:$A$38, 0), MATCH("2026-"&amp;D66,'Slot Selection'!$2:$2, 0)),1,0),0)</f>
        <v>1</v>
      </c>
      <c r="P66" s="269">
        <f t="array" ref="P66">iferror(if(INDEX('Slot Selection'!$A$80:$BJ$116, MATCH(F66-600,'Slot Selection'!$A$80:$A$116, 0), MATCH("2026-"&amp;D66,'Slot Selection'!$80:$80, 0)),1,0),0)</f>
        <v>1</v>
      </c>
      <c r="Q66" s="270">
        <f t="array" ref="Q66">iferror(if(INDEX('Slot Selection'!$A$41:$BJ$77, MATCH(F66-600,'Slot Selection'!$A$41:$A$77, 0), MATCH("2026-"&amp;D66,'Slot Selection'!$41:$41, 0)),1,0),0)</f>
        <v>1</v>
      </c>
      <c r="R66" s="230">
        <f t="shared" ref="R66:T66" si="195">L66*O66</f>
        <v>2383</v>
      </c>
      <c r="S66" s="248">
        <f t="shared" si="195"/>
        <v>1505</v>
      </c>
      <c r="T66" s="248">
        <f t="shared" si="195"/>
        <v>1294</v>
      </c>
      <c r="U66" s="243">
        <f t="shared" ref="U66:W66" si="196">L66-R66</f>
        <v>0</v>
      </c>
      <c r="V66" s="244">
        <f t="shared" si="196"/>
        <v>0</v>
      </c>
      <c r="W66" s="245">
        <f t="shared" si="196"/>
        <v>0</v>
      </c>
    </row>
    <row r="67">
      <c r="A67" s="242" t="str">
        <f>IFERROR(__xludf.DUMMYFUNCTION("if(E67=506,""FEA006A"",INDEX(IMPORTRANGE(""https://docs.google.com/spreadsheets/d/1WbE6HOh_eG5_DM53SVfuckYm0VQnhNvuwjql7Tw1FX0/edit?gid=660406182#gid=660406182"", ""'""&amp;D67&amp;""'!H2:H45""),match(E67,IMPORTRANGE(""https://docs.google.com/spreadsheets/d/1WbE6"&amp;"HOh_eG5_DM53SVfuckYm0VQnhNvuwjql7Tw1FX0/edit?gid=660406182#gid=660406182"", ""'""&amp;D67&amp;""'!B2:B45""),0),1))"),"FE0024E")</f>
        <v>FE0024E</v>
      </c>
      <c r="B67" s="229" t="str">
        <f>IFERROR(__xludf.DUMMYFUNCTION("if(E67=506,""-"",INDEX(IMPORTRANGE(""https://docs.google.com/spreadsheets/d/1WbE6HOh_eG5_DM53SVfuckYm0VQnhNvuwjql7Tw1FX0/edit?gid=660406182#gid=660406182"", ""'""&amp;D67&amp;""'!D2:D45""),match(E67,IMPORTRANGE(""https://docs.google.com/spreadsheets/d/1WbE6HOh_eG"&amp;"5_DM53SVfuckYm0VQnhNvuwjql7Tw1FX0/edit?gid=660406182#gid=660406182"", ""'""&amp;D67&amp;""'!B2:B45""),0),1))"),"Keto")</f>
        <v>Keto</v>
      </c>
      <c r="C67" s="135" t="str">
        <f>IFERROR(__xludf.DUMMYFUNCTION("if(A67=""FEA006A"",""Garlic Herb Grilled Chicken"", ifna(INDEX(IMPORTRANGE(""https://docs.google.com/spreadsheets/d/1mnGm3iYGkB4FyqAD-LwwVYksgBMX_SY4qHQa16KgMiw/edit?gid=1956920866#gid=1956920866"", ""'EU Meal Database'!$E$2:$E""),MATCH(A67,IMPORTRANGE("""&amp;"https://docs.google.com/spreadsheets/d/1mnGm3iYGkB4FyqAD-LwwVYksgBMX_SY4qHQa16KgMiw/edit?gid=1956920866#gid=1956920866"",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DB_Product'!$B$2:$B""),MATCH(A67,IMPORTRANGE(""https://docs.google.com/spreadsheets/d/1n4t_JF5P_MLd0hMmhjv1A2rgLKdyee_-mrZZmdZr9G4/edit?gid=670402169#gid=670402169"", ""'Meal DB_Product'!$A$2:$A""),0))))"),"Chicken in tomato cream sauce")</f>
        <v>Chicken in tomato cream sauce</v>
      </c>
      <c r="D67" s="62" t="s">
        <v>229</v>
      </c>
      <c r="E67" s="230">
        <v>408.0</v>
      </c>
      <c r="F67" s="62">
        <v>608.0</v>
      </c>
      <c r="G67" s="231">
        <v>308.0</v>
      </c>
      <c r="H67" s="232">
        <f>IFERROR(__xludf.DUMMYFUNCTION("""COMPUTED_VALUE"""),1850.0)</f>
        <v>1850</v>
      </c>
      <c r="I67" s="232">
        <f>IFERROR(__xludf.DUMMYFUNCTION("""COMPUTED_VALUE"""),1151.0)</f>
        <v>1151</v>
      </c>
      <c r="J67" s="233">
        <f>IFERROR(__xludf.DUMMYFUNCTION("""COMPUTED_VALUE"""),1068.0)</f>
        <v>1068</v>
      </c>
      <c r="K67" s="244">
        <f>IFERROR(__xludf.DUMMYFUNCTION("""COMPUTED_VALUE"""),0.0)</f>
        <v>0</v>
      </c>
      <c r="L67" s="243">
        <f t="shared" ref="L67:M67" si="197">H67+20</f>
        <v>1870</v>
      </c>
      <c r="M67" s="244">
        <f t="shared" si="197"/>
        <v>1171</v>
      </c>
      <c r="N67" s="245">
        <f t="shared" si="179"/>
        <v>1088</v>
      </c>
      <c r="O67" s="268">
        <f t="array" ref="O67">iferror(if(INDEX('Slot Selection'!$A$2:$BJ$38, MATCH(E67-400,'Slot Selection'!$A$2:$A$38, 0), MATCH("2026-"&amp;D67,'Slot Selection'!$2:$2, 0)),1,0),0)</f>
        <v>0</v>
      </c>
      <c r="P67" s="269">
        <f t="array" ref="P67">iferror(if(INDEX('Slot Selection'!$A$80:$BJ$116, MATCH(F67-600,'Slot Selection'!$A$80:$A$116, 0), MATCH("2026-"&amp;D67,'Slot Selection'!$80:$80, 0)),1,0),0)</f>
        <v>0</v>
      </c>
      <c r="Q67" s="270">
        <f t="array" ref="Q67">iferror(if(INDEX('Slot Selection'!$A$41:$BJ$77, MATCH(F67-600,'Slot Selection'!$A$41:$A$77, 0), MATCH("2026-"&amp;D67,'Slot Selection'!$41:$41, 0)),1,0),0)</f>
        <v>0</v>
      </c>
      <c r="R67" s="230">
        <f t="shared" ref="R67:T67" si="198">L67*O67</f>
        <v>0</v>
      </c>
      <c r="S67" s="248">
        <f t="shared" si="198"/>
        <v>0</v>
      </c>
      <c r="T67" s="248">
        <f t="shared" si="198"/>
        <v>0</v>
      </c>
      <c r="U67" s="243">
        <f t="shared" ref="U67:W67" si="199">L67-R67</f>
        <v>1870</v>
      </c>
      <c r="V67" s="244">
        <f t="shared" si="199"/>
        <v>1171</v>
      </c>
      <c r="W67" s="245">
        <f t="shared" si="199"/>
        <v>1088</v>
      </c>
    </row>
    <row r="68">
      <c r="A68" s="242" t="str">
        <f>IFERROR(__xludf.DUMMYFUNCTION("if(E68=506,""FEA006A"",INDEX(IMPORTRANGE(""https://docs.google.com/spreadsheets/d/1WbE6HOh_eG5_DM53SVfuckYm0VQnhNvuwjql7Tw1FX0/edit?gid=660406182#gid=660406182"", ""'""&amp;D68&amp;""'!H2:H45""),match(E68,IMPORTRANGE(""https://docs.google.com/spreadsheets/d/1WbE6"&amp;"HOh_eG5_DM53SVfuckYm0VQnhNvuwjql7Tw1FX0/edit?gid=660406182#gid=660406182"", ""'""&amp;D68&amp;""'!B2:B45""),0),1))"),"FE0090C")</f>
        <v>FE0090C</v>
      </c>
      <c r="B68" s="229" t="str">
        <f>IFERROR(__xludf.DUMMYFUNCTION("if(E68=506,""-"",INDEX(IMPORTRANGE(""https://docs.google.com/spreadsheets/d/1WbE6HOh_eG5_DM53SVfuckYm0VQnhNvuwjql7Tw1FX0/edit?gid=660406182#gid=660406182"", ""'""&amp;D68&amp;""'!D2:D45""),match(E68,IMPORTRANGE(""https://docs.google.com/spreadsheets/d/1WbE6HOh_eG"&amp;"5_DM53SVfuckYm0VQnhNvuwjql7Tw1FX0/edit?gid=660406182#gid=660406182"", ""'""&amp;D68&amp;""'!B2:B45""),0),1))"),"Veggie")</f>
        <v>Veggie</v>
      </c>
      <c r="C68" s="135" t="str">
        <f>IFERROR(__xludf.DUMMYFUNCTION("if(A68=""FEA006A"",""Garlic Herb Grilled Chicken"", ifna(INDEX(IMPORTRANGE(""https://docs.google.com/spreadsheets/d/1mnGm3iYGkB4FyqAD-LwwVYksgBMX_SY4qHQa16KgMiw/edit?gid=1956920866#gid=1956920866"", ""'EU Meal Database'!$E$2:$E""),MATCH(A68,IMPORTRANGE("""&amp;"https://docs.google.com/spreadsheets/d/1mnGm3iYGkB4FyqAD-LwwVYksgBMX_SY4qHQa16KgMiw/edit?gid=1956920866#gid=1956920866"",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DB_Product'!$B$2:$B""),MATCH(A68,IMPORTRANGE(""https://docs.google.com/spreadsheets/d/1n4t_JF5P_MLd0hMmhjv1A2rgLKdyee_-mrZZmdZr9G4/edit?gid=670402169#gid=670402169"", ""'Meal DB_Product'!$A$2:$A""),0))))"),"Ratatouille of zucchini and pepper")</f>
        <v>Ratatouille of zucchini and pepper</v>
      </c>
      <c r="D68" s="62" t="s">
        <v>229</v>
      </c>
      <c r="E68" s="230">
        <v>409.0</v>
      </c>
      <c r="F68" s="62">
        <v>609.0</v>
      </c>
      <c r="G68" s="231">
        <v>309.0</v>
      </c>
      <c r="H68" s="232">
        <f>IFERROR(__xludf.DUMMYFUNCTION("""COMPUTED_VALUE"""),429.0)</f>
        <v>429</v>
      </c>
      <c r="I68" s="232">
        <f>IFERROR(__xludf.DUMMYFUNCTION("""COMPUTED_VALUE"""),193.0)</f>
        <v>193</v>
      </c>
      <c r="J68" s="233">
        <f>IFERROR(__xludf.DUMMYFUNCTION("""COMPUTED_VALUE"""),215.0)</f>
        <v>215</v>
      </c>
      <c r="K68" s="244">
        <f>IFERROR(__xludf.DUMMYFUNCTION("""COMPUTED_VALUE"""),0.0)</f>
        <v>0</v>
      </c>
      <c r="L68" s="243">
        <f t="shared" ref="L68:M68" si="200">H68+20</f>
        <v>449</v>
      </c>
      <c r="M68" s="244">
        <f t="shared" si="200"/>
        <v>213</v>
      </c>
      <c r="N68" s="245">
        <f t="shared" si="179"/>
        <v>235</v>
      </c>
      <c r="O68" s="268">
        <f t="array" ref="O68">iferror(if(INDEX('Slot Selection'!$A$2:$BJ$38, MATCH(E68-400,'Slot Selection'!$A$2:$A$38, 0), MATCH("2026-"&amp;D68,'Slot Selection'!$2:$2, 0)),1,0),0)</f>
        <v>0</v>
      </c>
      <c r="P68" s="269">
        <f t="array" ref="P68">iferror(if(INDEX('Slot Selection'!$A$80:$BJ$116, MATCH(F68-600,'Slot Selection'!$A$80:$A$116, 0), MATCH("2026-"&amp;D68,'Slot Selection'!$80:$80, 0)),1,0),0)</f>
        <v>0</v>
      </c>
      <c r="Q68" s="270">
        <f t="array" ref="Q68">iferror(if(INDEX('Slot Selection'!$A$41:$BJ$77, MATCH(F68-600,'Slot Selection'!$A$41:$A$77, 0), MATCH("2026-"&amp;D68,'Slot Selection'!$41:$41, 0)),1,0),0)</f>
        <v>0</v>
      </c>
      <c r="R68" s="230">
        <f t="shared" ref="R68:T68" si="201">L68*O68</f>
        <v>0</v>
      </c>
      <c r="S68" s="248">
        <f t="shared" si="201"/>
        <v>0</v>
      </c>
      <c r="T68" s="248">
        <f t="shared" si="201"/>
        <v>0</v>
      </c>
      <c r="U68" s="243">
        <f t="shared" ref="U68:W68" si="202">L68-R68</f>
        <v>449</v>
      </c>
      <c r="V68" s="248">
        <f t="shared" si="202"/>
        <v>213</v>
      </c>
      <c r="W68" s="249">
        <f t="shared" si="202"/>
        <v>235</v>
      </c>
    </row>
    <row r="69">
      <c r="A69" s="242" t="str">
        <f>IFERROR(__xludf.DUMMYFUNCTION("if(E69=506,""FEA006A"",INDEX(IMPORTRANGE(""https://docs.google.com/spreadsheets/d/1WbE6HOh_eG5_DM53SVfuckYm0VQnhNvuwjql7Tw1FX0/edit?gid=660406182#gid=660406182"", ""'""&amp;D69&amp;""'!H2:H45""),match(E69,IMPORTRANGE(""https://docs.google.com/spreadsheets/d/1WbE6"&amp;"HOh_eG5_DM53SVfuckYm0VQnhNvuwjql7Tw1FX0/edit?gid=660406182#gid=660406182"", ""'""&amp;D69&amp;""'!B2:B45""),0),1))"),"FE0121D")</f>
        <v>FE0121D</v>
      </c>
      <c r="B69" s="229" t="str">
        <f>IFERROR(__xludf.DUMMYFUNCTION("if(E69=506,""-"",INDEX(IMPORTRANGE(""https://docs.google.com/spreadsheets/d/1WbE6HOh_eG5_DM53SVfuckYm0VQnhNvuwjql7Tw1FX0/edit?gid=660406182#gid=660406182"", ""'""&amp;D69&amp;""'!D2:D45""),match(E69,IMPORTRANGE(""https://docs.google.com/spreadsheets/d/1WbE6HOh_eG"&amp;"5_DM53SVfuckYm0VQnhNvuwjql7Tw1FX0/edit?gid=660406182#gid=660406182"", ""'""&amp;D69&amp;""'!B2:B45""),0),1))"),"Veggie")</f>
        <v>Veggie</v>
      </c>
      <c r="C69" s="135" t="str">
        <f>IFERROR(__xludf.DUMMYFUNCTION("if(A69=""FEA006A"",""Garlic Herb Grilled Chicken"", ifna(INDEX(IMPORTRANGE(""https://docs.google.com/spreadsheets/d/1mnGm3iYGkB4FyqAD-LwwVYksgBMX_SY4qHQa16KgMiw/edit?gid=1956920866#gid=1956920866"", ""'EU Meal Database'!$E$2:$E""),MATCH(A69,IMPORTRANGE("""&amp;"https://docs.google.com/spreadsheets/d/1mnGm3iYGkB4FyqAD-LwwVYksgBMX_SY4qHQa16KgMiw/edit?gid=1956920866#gid=1956920866"",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DB_Product'!$B$2:$B""),MATCH(A69,IMPORTRANGE(""https://docs.google.com/spreadsheets/d/1n4t_JF5P_MLd0hMmhjv1A2rgLKdyee_-mrZZmdZr9G4/edit?gid=670402169#gid=670402169"", ""'Meal DB_Product'!$A$2:$A""),0))))"),"Mexican style corn cake")</f>
        <v>Mexican style corn cake</v>
      </c>
      <c r="D69" s="62" t="s">
        <v>229</v>
      </c>
      <c r="E69" s="230">
        <v>410.0</v>
      </c>
      <c r="F69" s="62">
        <v>610.0</v>
      </c>
      <c r="G69" s="231">
        <v>310.0</v>
      </c>
      <c r="H69" s="232">
        <f>IFERROR(__xludf.DUMMYFUNCTION("""COMPUTED_VALUE"""),560.0)</f>
        <v>560</v>
      </c>
      <c r="I69" s="232">
        <f>IFERROR(__xludf.DUMMYFUNCTION("""COMPUTED_VALUE"""),257.0)</f>
        <v>257</v>
      </c>
      <c r="J69" s="233">
        <f>IFERROR(__xludf.DUMMYFUNCTION("""COMPUTED_VALUE"""),259.0)</f>
        <v>259</v>
      </c>
      <c r="K69" s="244">
        <f>IFERROR(__xludf.DUMMYFUNCTION("""COMPUTED_VALUE"""),0.0)</f>
        <v>0</v>
      </c>
      <c r="L69" s="243">
        <f t="shared" ref="L69:M69" si="203">H69+20</f>
        <v>580</v>
      </c>
      <c r="M69" s="244">
        <f t="shared" si="203"/>
        <v>277</v>
      </c>
      <c r="N69" s="245">
        <f t="shared" si="179"/>
        <v>279</v>
      </c>
      <c r="O69" s="268">
        <f t="array" ref="O69">iferror(if(INDEX('Slot Selection'!$A$2:$BJ$38, MATCH(E69-400,'Slot Selection'!$A$2:$A$38, 0), MATCH("2026-"&amp;D69,'Slot Selection'!$2:$2, 0)),1,0),0)</f>
        <v>0</v>
      </c>
      <c r="P69" s="269">
        <f t="array" ref="P69">iferror(if(INDEX('Slot Selection'!$A$80:$BJ$116, MATCH(F69-600,'Slot Selection'!$A$80:$A$116, 0), MATCH("2026-"&amp;D69,'Slot Selection'!$80:$80, 0)),1,0),0)</f>
        <v>0</v>
      </c>
      <c r="Q69" s="270">
        <f t="array" ref="Q69">iferror(if(INDEX('Slot Selection'!$A$41:$BJ$77, MATCH(F69-600,'Slot Selection'!$A$41:$A$77, 0), MATCH("2026-"&amp;D69,'Slot Selection'!$41:$41, 0)),1,0),0)</f>
        <v>0</v>
      </c>
      <c r="R69" s="230">
        <f t="shared" ref="R69:T69" si="204">L69*O69</f>
        <v>0</v>
      </c>
      <c r="S69" s="248">
        <f t="shared" si="204"/>
        <v>0</v>
      </c>
      <c r="T69" s="248">
        <f t="shared" si="204"/>
        <v>0</v>
      </c>
      <c r="U69" s="243">
        <f t="shared" ref="U69:W69" si="205">L69-R69</f>
        <v>580</v>
      </c>
      <c r="V69" s="248">
        <f t="shared" si="205"/>
        <v>277</v>
      </c>
      <c r="W69" s="249">
        <f t="shared" si="205"/>
        <v>279</v>
      </c>
    </row>
    <row r="70">
      <c r="A70" s="242" t="str">
        <f>IFERROR(__xludf.DUMMYFUNCTION("if(E70=506,""FEA006A"",INDEX(IMPORTRANGE(""https://docs.google.com/spreadsheets/d/1WbE6HOh_eG5_DM53SVfuckYm0VQnhNvuwjql7Tw1FX0/edit?gid=660406182#gid=660406182"", ""'""&amp;D70&amp;""'!H2:H45""),match(E70,IMPORTRANGE(""https://docs.google.com/spreadsheets/d/1WbE6"&amp;"HOh_eG5_DM53SVfuckYm0VQnhNvuwjql7Tw1FX0/edit?gid=660406182#gid=660406182"", ""'""&amp;D70&amp;""'!B2:B45""),0),1))"),"FE4006A")</f>
        <v>FE4006A</v>
      </c>
      <c r="B70" s="229" t="str">
        <f>IFERROR(__xludf.DUMMYFUNCTION("if(E70=506,""-"",INDEX(IMPORTRANGE(""https://docs.google.com/spreadsheets/d/1WbE6HOh_eG5_DM53SVfuckYm0VQnhNvuwjql7Tw1FX0/edit?gid=660406182#gid=660406182"", ""'""&amp;D70&amp;""'!D2:D45""),match(E70,IMPORTRANGE(""https://docs.google.com/spreadsheets/d/1WbE6HOh_eG"&amp;"5_DM53SVfuckYm0VQnhNvuwjql7Tw1FX0/edit?gid=660406182#gid=660406182"", ""'""&amp;D70&amp;""'!B2:B45""),0),1))"),"Flexible")</f>
        <v>Flexible</v>
      </c>
      <c r="C70" s="135" t="str">
        <f>IFERROR(__xludf.DUMMYFUNCTION("if(A70=""FEA006A"",""Garlic Herb Grilled Chicken"", ifna(INDEX(IMPORTRANGE(""https://docs.google.com/spreadsheets/d/1mnGm3iYGkB4FyqAD-LwwVYksgBMX_SY4qHQa16KgMiw/edit?gid=1956920866#gid=1956920866"", ""'EU Meal Database'!$E$2:$E""),MATCH(A70,IMPORTRANGE("""&amp;"https://docs.google.com/spreadsheets/d/1mnGm3iYGkB4FyqAD-LwwVYksgBMX_SY4qHQa16KgMiw/edit?gid=1956920866#gid=1956920866"",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DB_Product'!$B$2:$B""),MATCH(A70,IMPORTRANGE(""https://docs.google.com/spreadsheets/d/1n4t_JF5P_MLd0hMmhjv1A2rgLKdyee_-mrZZmdZr9G4/edit?gid=670402169#gid=670402169"", ""'Meal DB_Product'!$A$2:$A""),0))))"),"Pork tenderloin in sundried tomato sauce")</f>
        <v>Pork tenderloin in sundried tomato sauce</v>
      </c>
      <c r="D70" s="62" t="s">
        <v>229</v>
      </c>
      <c r="E70" s="230">
        <v>411.0</v>
      </c>
      <c r="F70" s="62">
        <v>611.0</v>
      </c>
      <c r="G70" s="231">
        <v>311.0</v>
      </c>
      <c r="H70" s="232">
        <f>IFERROR(__xludf.DUMMYFUNCTION("""COMPUTED_VALUE"""),679.0)</f>
        <v>679</v>
      </c>
      <c r="I70" s="232">
        <f>IFERROR(__xludf.DUMMYFUNCTION("""COMPUTED_VALUE"""),408.0)</f>
        <v>408</v>
      </c>
      <c r="J70" s="233">
        <f>IFERROR(__xludf.DUMMYFUNCTION("""COMPUTED_VALUE"""),318.0)</f>
        <v>318</v>
      </c>
      <c r="K70" s="244">
        <f>IFERROR(__xludf.DUMMYFUNCTION("""COMPUTED_VALUE"""),0.0)</f>
        <v>0</v>
      </c>
      <c r="L70" s="243">
        <f t="shared" ref="L70:M70" si="206">H70+20</f>
        <v>699</v>
      </c>
      <c r="M70" s="244">
        <f t="shared" si="206"/>
        <v>428</v>
      </c>
      <c r="N70" s="245">
        <f t="shared" si="179"/>
        <v>338</v>
      </c>
      <c r="O70" s="268">
        <f t="array" ref="O70">iferror(if(INDEX('Slot Selection'!$A$2:$BJ$38, MATCH(E70-400,'Slot Selection'!$A$2:$A$38, 0), MATCH("2026-"&amp;D70,'Slot Selection'!$2:$2, 0)),1,0),0)</f>
        <v>0</v>
      </c>
      <c r="P70" s="269">
        <f t="array" ref="P70">iferror(if(INDEX('Slot Selection'!$A$80:$BJ$116, MATCH(F70-600,'Slot Selection'!$A$80:$A$116, 0), MATCH("2026-"&amp;D70,'Slot Selection'!$80:$80, 0)),1,0),0)</f>
        <v>0</v>
      </c>
      <c r="Q70" s="270">
        <f t="array" ref="Q70">iferror(if(INDEX('Slot Selection'!$A$41:$BJ$77, MATCH(F70-600,'Slot Selection'!$A$41:$A$77, 0), MATCH("2026-"&amp;D70,'Slot Selection'!$41:$41, 0)),1,0),0)</f>
        <v>0</v>
      </c>
      <c r="R70" s="230">
        <f t="shared" ref="R70:T70" si="207">L70*O70</f>
        <v>0</v>
      </c>
      <c r="S70" s="248">
        <f t="shared" si="207"/>
        <v>0</v>
      </c>
      <c r="T70" s="248">
        <f t="shared" si="207"/>
        <v>0</v>
      </c>
      <c r="U70" s="243">
        <f t="shared" ref="U70:W70" si="208">L70-R70</f>
        <v>699</v>
      </c>
      <c r="V70" s="248">
        <f t="shared" si="208"/>
        <v>428</v>
      </c>
      <c r="W70" s="249">
        <f t="shared" si="208"/>
        <v>338</v>
      </c>
    </row>
    <row r="71">
      <c r="A71" s="242" t="str">
        <f>IFERROR(__xludf.DUMMYFUNCTION("if(E71=506,""FEA006A"",INDEX(IMPORTRANGE(""https://docs.google.com/spreadsheets/d/1WbE6HOh_eG5_DM53SVfuckYm0VQnhNvuwjql7Tw1FX0/edit?gid=660406182#gid=660406182"", ""'""&amp;D71&amp;""'!H2:H45""),match(E71,IMPORTRANGE(""https://docs.google.com/spreadsheets/d/1WbE6"&amp;"HOh_eG5_DM53SVfuckYm0VQnhNvuwjql7Tw1FX0/edit?gid=660406182#gid=660406182"", ""'""&amp;D71&amp;""'!B2:B45""),0),1))"),"FE0281E")</f>
        <v>FE0281E</v>
      </c>
      <c r="B71" s="229" t="str">
        <f>IFERROR(__xludf.DUMMYFUNCTION("if(E71=506,""-"",INDEX(IMPORTRANGE(""https://docs.google.com/spreadsheets/d/1WbE6HOh_eG5_DM53SVfuckYm0VQnhNvuwjql7Tw1FX0/edit?gid=660406182#gid=660406182"", ""'""&amp;D71&amp;""'!D2:D45""),match(E71,IMPORTRANGE(""https://docs.google.com/spreadsheets/d/1WbE6HOh_eG"&amp;"5_DM53SVfuckYm0VQnhNvuwjql7Tw1FX0/edit?gid=660406182#gid=660406182"", ""'""&amp;D71&amp;""'!B2:B45""),0),1))"),"P+")</f>
        <v>P+</v>
      </c>
      <c r="C71" s="135" t="str">
        <f>IFERROR(__xludf.DUMMYFUNCTION("if(A71=""FEA006A"",""Garlic Herb Grilled Chicken"", ifna(INDEX(IMPORTRANGE(""https://docs.google.com/spreadsheets/d/1mnGm3iYGkB4FyqAD-LwwVYksgBMX_SY4qHQa16KgMiw/edit?gid=1956920866#gid=1956920866"", ""'EU Meal Database'!$E$2:$E""),MATCH(A71,IMPORTRANGE("""&amp;"https://docs.google.com/spreadsheets/d/1mnGm3iYGkB4FyqAD-LwwVYksgBMX_SY4qHQa16KgMiw/edit?gid=1956920866#gid=1956920866"",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DB_Product'!$B$2:$B""),MATCH(A71,IMPORTRANGE(""https://docs.google.com/spreadsheets/d/1n4t_JF5P_MLd0hMmhjv1A2rgLKdyee_-mrZZmdZr9G4/edit?gid=670402169#gid=670402169"", ""'Meal DB_Product'!$A$2:$A""),0))))"),"Spicy citrus salmon")</f>
        <v>Spicy citrus salmon</v>
      </c>
      <c r="D71" s="62" t="s">
        <v>229</v>
      </c>
      <c r="E71" s="230">
        <v>412.0</v>
      </c>
      <c r="F71" s="62">
        <v>612.0</v>
      </c>
      <c r="G71" s="231">
        <v>312.0</v>
      </c>
      <c r="H71" s="232">
        <f>IFERROR(__xludf.DUMMYFUNCTION("""COMPUTED_VALUE"""),3127.0)</f>
        <v>3127</v>
      </c>
      <c r="I71" s="232">
        <f>IFERROR(__xludf.DUMMYFUNCTION("""COMPUTED_VALUE"""),1419.0)</f>
        <v>1419</v>
      </c>
      <c r="J71" s="233">
        <f>IFERROR(__xludf.DUMMYFUNCTION("""COMPUTED_VALUE"""),1159.0)</f>
        <v>1159</v>
      </c>
      <c r="K71" s="244">
        <f>IFERROR(__xludf.DUMMYFUNCTION("""COMPUTED_VALUE"""),0.0)</f>
        <v>0</v>
      </c>
      <c r="L71" s="243">
        <f t="shared" ref="L71:M71" si="209">H71+20</f>
        <v>3147</v>
      </c>
      <c r="M71" s="244">
        <f t="shared" si="209"/>
        <v>1439</v>
      </c>
      <c r="N71" s="245">
        <f t="shared" si="179"/>
        <v>1179</v>
      </c>
      <c r="O71" s="268">
        <f t="array" ref="O71">iferror(if(INDEX('Slot Selection'!$A$2:$BJ$38, MATCH(E71-400,'Slot Selection'!$A$2:$A$38, 0), MATCH("2026-"&amp;D71,'Slot Selection'!$2:$2, 0)),1,0),0)</f>
        <v>1</v>
      </c>
      <c r="P71" s="269">
        <f t="array" ref="P71">iferror(if(INDEX('Slot Selection'!$A$80:$BJ$116, MATCH(F71-600,'Slot Selection'!$A$80:$A$116, 0), MATCH("2026-"&amp;D71,'Slot Selection'!$80:$80, 0)),1,0),0)</f>
        <v>1</v>
      </c>
      <c r="Q71" s="270">
        <f t="array" ref="Q71">iferror(if(INDEX('Slot Selection'!$A$41:$BJ$77, MATCH(F71-600,'Slot Selection'!$A$41:$A$77, 0), MATCH("2026-"&amp;D71,'Slot Selection'!$41:$41, 0)),1,0),0)</f>
        <v>1</v>
      </c>
      <c r="R71" s="230">
        <f t="shared" ref="R71:T71" si="210">L71*O71</f>
        <v>3147</v>
      </c>
      <c r="S71" s="248">
        <f t="shared" si="210"/>
        <v>1439</v>
      </c>
      <c r="T71" s="248">
        <f t="shared" si="210"/>
        <v>1179</v>
      </c>
      <c r="U71" s="243">
        <f t="shared" ref="U71:W71" si="211">L71-R71</f>
        <v>0</v>
      </c>
      <c r="V71" s="244">
        <f t="shared" si="211"/>
        <v>0</v>
      </c>
      <c r="W71" s="245">
        <f t="shared" si="211"/>
        <v>0</v>
      </c>
    </row>
    <row r="72">
      <c r="A72" s="242" t="str">
        <f>IFERROR(__xludf.DUMMYFUNCTION("if(E72=506,""FEA006A"",INDEX(IMPORTRANGE(""https://docs.google.com/spreadsheets/d/1WbE6HOh_eG5_DM53SVfuckYm0VQnhNvuwjql7Tw1FX0/edit?gid=660406182#gid=660406182"", ""'""&amp;D72&amp;""'!H2:H45""),match(E72,IMPORTRANGE(""https://docs.google.com/spreadsheets/d/1WbE6"&amp;"HOh_eG5_DM53SVfuckYm0VQnhNvuwjql7Tw1FX0/edit?gid=660406182#gid=660406182"", ""'""&amp;D72&amp;""'!B2:B45""),0),1))"),"FE1404B")</f>
        <v>FE1404B</v>
      </c>
      <c r="B72" s="229" t="str">
        <f>IFERROR(__xludf.DUMMYFUNCTION("if(E72=506,""-"",INDEX(IMPORTRANGE(""https://docs.google.com/spreadsheets/d/1WbE6HOh_eG5_DM53SVfuckYm0VQnhNvuwjql7Tw1FX0/edit?gid=660406182#gid=660406182"", ""'""&amp;D72&amp;""'!D2:D45""),match(E72,IMPORTRANGE(""https://docs.google.com/spreadsheets/d/1WbE6HOh_eG"&amp;"5_DM53SVfuckYm0VQnhNvuwjql7Tw1FX0/edit?gid=660406182#gid=660406182"", ""'""&amp;D72&amp;""'!B2:B45""),0),1))"),"CS")</f>
        <v>CS</v>
      </c>
      <c r="C72" s="135" t="str">
        <f>IFERROR(__xludf.DUMMYFUNCTION("if(A72=""FEA006A"",""Garlic Herb Grilled Chicken"", ifna(INDEX(IMPORTRANGE(""https://docs.google.com/spreadsheets/d/1mnGm3iYGkB4FyqAD-LwwVYksgBMX_SY4qHQa16KgMiw/edit?gid=1956920866#gid=1956920866"", ""'EU Meal Database'!$E$2:$E""),MATCH(A72,IMPORTRANGE("""&amp;"https://docs.google.com/spreadsheets/d/1mnGm3iYGkB4FyqAD-LwwVYksgBMX_SY4qHQa16KgMiw/edit?gid=1956920866#gid=1956920866"",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DB_Product'!$B$2:$B""),MATCH(A72,IMPORTRANGE(""https://docs.google.com/spreadsheets/d/1n4t_JF5P_MLd0hMmhjv1A2rgLKdyee_-mrZZmdZr9G4/edit?gid=670402169#gid=670402169"", ""'Meal DB_Product'!$A$2:$A""),0))))"),"Bulgogi Pulled Beef Bowl")</f>
        <v>Bulgogi Pulled Beef Bowl</v>
      </c>
      <c r="D72" s="62" t="s">
        <v>229</v>
      </c>
      <c r="E72" s="230">
        <v>413.0</v>
      </c>
      <c r="F72" s="62">
        <v>613.0</v>
      </c>
      <c r="G72" s="231">
        <v>313.0</v>
      </c>
      <c r="H72" s="232">
        <f>IFERROR(__xludf.DUMMYFUNCTION("""COMPUTED_VALUE"""),3911.0)</f>
        <v>3911</v>
      </c>
      <c r="I72" s="232">
        <f>IFERROR(__xludf.DUMMYFUNCTION("""COMPUTED_VALUE"""),1893.0)</f>
        <v>1893</v>
      </c>
      <c r="J72" s="233">
        <f>IFERROR(__xludf.DUMMYFUNCTION("""COMPUTED_VALUE"""),1431.0)</f>
        <v>1431</v>
      </c>
      <c r="K72" s="244">
        <f>IFERROR(__xludf.DUMMYFUNCTION("""COMPUTED_VALUE"""),0.0)</f>
        <v>0</v>
      </c>
      <c r="L72" s="243">
        <f t="shared" ref="L72:M72" si="212">H72+20</f>
        <v>3931</v>
      </c>
      <c r="M72" s="244">
        <f t="shared" si="212"/>
        <v>1913</v>
      </c>
      <c r="N72" s="245">
        <f t="shared" si="179"/>
        <v>1451</v>
      </c>
      <c r="O72" s="268">
        <f t="array" ref="O72">iferror(if(INDEX('Slot Selection'!$A$2:$BJ$38, MATCH(E72-400,'Slot Selection'!$A$2:$A$38, 0), MATCH("2026-"&amp;D72,'Slot Selection'!$2:$2, 0)),1,0),0)</f>
        <v>0</v>
      </c>
      <c r="P72" s="269">
        <f t="array" ref="P72">iferror(if(INDEX('Slot Selection'!$A$80:$BJ$116, MATCH(F72-600,'Slot Selection'!$A$80:$A$116, 0), MATCH("2026-"&amp;D72,'Slot Selection'!$80:$80, 0)),1,0),0)</f>
        <v>0</v>
      </c>
      <c r="Q72" s="270">
        <f t="array" ref="Q72">iferror(if(INDEX('Slot Selection'!$A$41:$BJ$77, MATCH(F72-600,'Slot Selection'!$A$41:$A$77, 0), MATCH("2026-"&amp;D72,'Slot Selection'!$41:$41, 0)),1,0),0)</f>
        <v>0</v>
      </c>
      <c r="R72" s="230">
        <f t="shared" ref="R72:T72" si="213">L72*O72</f>
        <v>0</v>
      </c>
      <c r="S72" s="248">
        <f t="shared" si="213"/>
        <v>0</v>
      </c>
      <c r="T72" s="248">
        <f t="shared" si="213"/>
        <v>0</v>
      </c>
      <c r="U72" s="243">
        <f t="shared" ref="U72:W72" si="214">L72-R72</f>
        <v>3931</v>
      </c>
      <c r="V72" s="244">
        <f t="shared" si="214"/>
        <v>1913</v>
      </c>
      <c r="W72" s="245">
        <f t="shared" si="214"/>
        <v>1451</v>
      </c>
    </row>
    <row r="73">
      <c r="A73" s="242" t="str">
        <f>IFERROR(__xludf.DUMMYFUNCTION("if(E73=506,""FEA006A"",INDEX(IMPORTRANGE(""https://docs.google.com/spreadsheets/d/1WbE6HOh_eG5_DM53SVfuckYm0VQnhNvuwjql7Tw1FX0/edit?gid=660406182#gid=660406182"", ""'""&amp;D73&amp;""'!H2:H45""),match(E73,IMPORTRANGE(""https://docs.google.com/spreadsheets/d/1WbE6"&amp;"HOh_eG5_DM53SVfuckYm0VQnhNvuwjql7Tw1FX0/edit?gid=660406182#gid=660406182"", ""'""&amp;D73&amp;""'!B2:B45""),0),1))"),"FE1646A")</f>
        <v>FE1646A</v>
      </c>
      <c r="B73" s="229" t="str">
        <f>IFERROR(__xludf.DUMMYFUNCTION("if(E73=506,""-"",INDEX(IMPORTRANGE(""https://docs.google.com/spreadsheets/d/1WbE6HOh_eG5_DM53SVfuckYm0VQnhNvuwjql7Tw1FX0/edit?gid=660406182#gid=660406182"", ""'""&amp;D73&amp;""'!D2:D45""),match(E73,IMPORTRANGE(""https://docs.google.com/spreadsheets/d/1WbE6HOh_eG"&amp;"5_DM53SVfuckYm0VQnhNvuwjql7Tw1FX0/edit?gid=660406182#gid=660406182"", ""'""&amp;D73&amp;""'!B2:B45""),0),1))"),"Flexible")</f>
        <v>Flexible</v>
      </c>
      <c r="C73" s="135" t="str">
        <f>IFERROR(__xludf.DUMMYFUNCTION("if(A73=""FEA006A"",""Garlic Herb Grilled Chicken"", ifna(INDEX(IMPORTRANGE(""https://docs.google.com/spreadsheets/d/1mnGm3iYGkB4FyqAD-LwwVYksgBMX_SY4qHQa16KgMiw/edit?gid=1956920866#gid=1956920866"", ""'EU Meal Database'!$E$2:$E""),MATCH(A73,IMPORTRANGE("""&amp;"https://docs.google.com/spreadsheets/d/1mnGm3iYGkB4FyqAD-LwwVYksgBMX_SY4qHQa16KgMiw/edit?gid=1956920866#gid=1956920866"",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DB_Product'!$B$2:$B""),MATCH(A73,IMPORTRANGE(""https://docs.google.com/spreadsheets/d/1n4t_JF5P_MLd0hMmhjv1A2rgLKdyee_-mrZZmdZr9G4/edit?gid=670402169#gid=670402169"", ""'Meal DB_Product'!$A$2:$A""),0))))"),"Shrimp with Lemon Garlic Sauce &amp; Spanakopita Style Rice")</f>
        <v>Shrimp with Lemon Garlic Sauce &amp; Spanakopita Style Rice</v>
      </c>
      <c r="D73" s="62" t="s">
        <v>229</v>
      </c>
      <c r="E73" s="230">
        <v>414.0</v>
      </c>
      <c r="F73" s="62">
        <v>614.0</v>
      </c>
      <c r="G73" s="231">
        <v>314.0</v>
      </c>
      <c r="H73" s="232">
        <f>IFERROR(__xludf.DUMMYFUNCTION("""COMPUTED_VALUE"""),1191.0)</f>
        <v>1191</v>
      </c>
      <c r="I73" s="232">
        <f>IFERROR(__xludf.DUMMYFUNCTION("""COMPUTED_VALUE"""),644.0)</f>
        <v>644</v>
      </c>
      <c r="J73" s="233">
        <f>IFERROR(__xludf.DUMMYFUNCTION("""COMPUTED_VALUE"""),655.0)</f>
        <v>655</v>
      </c>
      <c r="K73" s="244">
        <f>IFERROR(__xludf.DUMMYFUNCTION("""COMPUTED_VALUE"""),0.0)</f>
        <v>0</v>
      </c>
      <c r="L73" s="243">
        <f t="shared" ref="L73:M73" si="215">H73+20</f>
        <v>1211</v>
      </c>
      <c r="M73" s="244">
        <f t="shared" si="215"/>
        <v>664</v>
      </c>
      <c r="N73" s="245">
        <f t="shared" si="179"/>
        <v>675</v>
      </c>
      <c r="O73" s="268">
        <f t="array" ref="O73">iferror(if(INDEX('Slot Selection'!$A$2:$BJ$38, MATCH(E73-400,'Slot Selection'!$A$2:$A$38, 0), MATCH("2026-"&amp;D73,'Slot Selection'!$2:$2, 0)),1,0),0)</f>
        <v>1</v>
      </c>
      <c r="P73" s="269">
        <f t="array" ref="P73">iferror(if(INDEX('Slot Selection'!$A$80:$BJ$116, MATCH(F73-600,'Slot Selection'!$A$80:$A$116, 0), MATCH("2026-"&amp;D73,'Slot Selection'!$80:$80, 0)),1,0),0)</f>
        <v>1</v>
      </c>
      <c r="Q73" s="270">
        <f t="array" ref="Q73">iferror(if(INDEX('Slot Selection'!$A$41:$BJ$77, MATCH(F73-600,'Slot Selection'!$A$41:$A$77, 0), MATCH("2026-"&amp;D73,'Slot Selection'!$41:$41, 0)),1,0),0)</f>
        <v>1</v>
      </c>
      <c r="R73" s="230">
        <f t="shared" ref="R73:T73" si="216">L73*O73</f>
        <v>1211</v>
      </c>
      <c r="S73" s="248">
        <f t="shared" si="216"/>
        <v>664</v>
      </c>
      <c r="T73" s="248">
        <f t="shared" si="216"/>
        <v>675</v>
      </c>
      <c r="U73" s="243">
        <f t="shared" ref="U73:W73" si="217">L73-R73</f>
        <v>0</v>
      </c>
      <c r="V73" s="244">
        <f t="shared" si="217"/>
        <v>0</v>
      </c>
      <c r="W73" s="249">
        <f t="shared" si="217"/>
        <v>0</v>
      </c>
    </row>
    <row r="74">
      <c r="A74" s="242" t="str">
        <f>IFERROR(__xludf.DUMMYFUNCTION("if(E74=506,""FEA006A"",INDEX(IMPORTRANGE(""https://docs.google.com/spreadsheets/d/1WbE6HOh_eG5_DM53SVfuckYm0VQnhNvuwjql7Tw1FX0/edit?gid=660406182#gid=660406182"", ""'""&amp;D74&amp;""'!H2:H45""),match(E74,IMPORTRANGE(""https://docs.google.com/spreadsheets/d/1WbE6"&amp;"HOh_eG5_DM53SVfuckYm0VQnhNvuwjql7Tw1FX0/edit?gid=660406182#gid=660406182"", ""'""&amp;D74&amp;""'!B2:B45""),0),1))"),"FV0846A")</f>
        <v>FV0846A</v>
      </c>
      <c r="B74" s="229" t="str">
        <f>IFERROR(__xludf.DUMMYFUNCTION("if(E74=506,""-"",INDEX(IMPORTRANGE(""https://docs.google.com/spreadsheets/d/1WbE6HOh_eG5_DM53SVfuckYm0VQnhNvuwjql7Tw1FX0/edit?gid=660406182#gid=660406182"", ""'""&amp;D74&amp;""'!D2:D45""),match(E74,IMPORTRANGE(""https://docs.google.com/spreadsheets/d/1WbE6HOh_eG"&amp;"5_DM53SVfuckYm0VQnhNvuwjql7Tw1FX0/edit?gid=660406182#gid=660406182"", ""'""&amp;D74&amp;""'!B2:B45""),0),1))"),"Keto")</f>
        <v>Keto</v>
      </c>
      <c r="C74" s="135" t="str">
        <f>IFERROR(__xludf.DUMMYFUNCTION("if(A74=""FEA006A"",""Garlic Herb Grilled Chicken"", ifna(INDEX(IMPORTRANGE(""https://docs.google.com/spreadsheets/d/1mnGm3iYGkB4FyqAD-LwwVYksgBMX_SY4qHQa16KgMiw/edit?gid=1956920866#gid=1956920866"", ""'EU Meal Database'!$E$2:$E""),MATCH(A74,IMPORTRANGE("""&amp;"https://docs.google.com/spreadsheets/d/1mnGm3iYGkB4FyqAD-LwwVYksgBMX_SY4qHQa16KgMiw/edit?gid=1956920866#gid=1956920866"",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DB_Product'!$B$2:$B""),MATCH(A74,IMPORTRANGE(""https://docs.google.com/spreadsheets/d/1n4t_JF5P_MLd0hMmhjv1A2rgLKdyee_-mrZZmdZr9G4/edit?gid=670402169#gid=670402169"", ""'Meal DB_Product'!$A$2:$A""),0))))"),"Stroganoff-Style Beef Burger")</f>
        <v>Stroganoff-Style Beef Burger</v>
      </c>
      <c r="D74" s="62" t="s">
        <v>229</v>
      </c>
      <c r="E74" s="230">
        <v>415.0</v>
      </c>
      <c r="F74" s="62">
        <v>615.0</v>
      </c>
      <c r="G74" s="231">
        <v>315.0</v>
      </c>
      <c r="H74" s="232">
        <f>IFERROR(__xludf.DUMMYFUNCTION("""COMPUTED_VALUE"""),1087.0)</f>
        <v>1087</v>
      </c>
      <c r="I74" s="232">
        <f>IFERROR(__xludf.DUMMYFUNCTION("""COMPUTED_VALUE"""),644.0)</f>
        <v>644</v>
      </c>
      <c r="J74" s="233">
        <f>IFERROR(__xludf.DUMMYFUNCTION("""COMPUTED_VALUE"""),625.0)</f>
        <v>625</v>
      </c>
      <c r="K74" s="244">
        <f>IFERROR(__xludf.DUMMYFUNCTION("""COMPUTED_VALUE"""),0.0)</f>
        <v>0</v>
      </c>
      <c r="L74" s="243">
        <f t="shared" ref="L74:M74" si="218">H74+20</f>
        <v>1107</v>
      </c>
      <c r="M74" s="244">
        <f t="shared" si="218"/>
        <v>664</v>
      </c>
      <c r="N74" s="245">
        <f t="shared" si="179"/>
        <v>645</v>
      </c>
      <c r="O74" s="271">
        <f t="array" ref="O74">iferror(if(INDEX('Slot Selection'!$A$2:$BJ$38, MATCH(E74-400,'Slot Selection'!$A$2:$A$38, 0), MATCH("2026-"&amp;D74,'Slot Selection'!$2:$2, 0)),1,0),0)</f>
        <v>1</v>
      </c>
      <c r="P74" s="272">
        <f t="array" ref="P74">iferror(if(INDEX('Slot Selection'!$A$80:$BJ$116, MATCH(F74-600,'Slot Selection'!$A$80:$A$116, 0), MATCH("2026-"&amp;D74,'Slot Selection'!$80:$80, 0)),1,0),0)</f>
        <v>1</v>
      </c>
      <c r="Q74" s="146">
        <f t="array" ref="Q74">iferror(if(INDEX('Slot Selection'!$A$41:$BJ$77, MATCH(F74-600,'Slot Selection'!$A$41:$A$77, 0), MATCH("2026-"&amp;D74,'Slot Selection'!$41:$41, 0)),1,0),0)</f>
        <v>1</v>
      </c>
      <c r="R74" s="230">
        <f t="shared" ref="R74:T74" si="219">L74*O74</f>
        <v>1107</v>
      </c>
      <c r="S74" s="248">
        <f t="shared" si="219"/>
        <v>664</v>
      </c>
      <c r="T74" s="248">
        <f t="shared" si="219"/>
        <v>645</v>
      </c>
      <c r="U74" s="243">
        <f t="shared" ref="U74:W74" si="220">L74-R74</f>
        <v>0</v>
      </c>
      <c r="V74" s="248">
        <f t="shared" si="220"/>
        <v>0</v>
      </c>
      <c r="W74" s="249">
        <f t="shared" si="220"/>
        <v>0</v>
      </c>
    </row>
    <row r="75">
      <c r="A75" s="242" t="str">
        <f>IFERROR(__xludf.DUMMYFUNCTION("if(E75=506,""FEA006A"",INDEX(IMPORTRANGE(""https://docs.google.com/spreadsheets/d/1WbE6HOh_eG5_DM53SVfuckYm0VQnhNvuwjql7Tw1FX0/edit?gid=660406182#gid=660406182"", ""'""&amp;D75&amp;""'!H2:H45""),match(E75,IMPORTRANGE(""https://docs.google.com/spreadsheets/d/1WbE6"&amp;"HOh_eG5_DM53SVfuckYm0VQnhNvuwjql7Tw1FX0/edit?gid=660406182#gid=660406182"", ""'""&amp;D75&amp;""'!B2:B45""),0),1))"),"FE0401F")</f>
        <v>FE0401F</v>
      </c>
      <c r="B75" s="229" t="str">
        <f>IFERROR(__xludf.DUMMYFUNCTION("if(E75=506,""-"",INDEX(IMPORTRANGE(""https://docs.google.com/spreadsheets/d/1WbE6HOh_eG5_DM53SVfuckYm0VQnhNvuwjql7Tw1FX0/edit?gid=660406182#gid=660406182"", ""'""&amp;D75&amp;""'!D2:D45""),match(E75,IMPORTRANGE(""https://docs.google.com/spreadsheets/d/1WbE6HOh_eG"&amp;"5_DM53SVfuckYm0VQnhNvuwjql7Tw1FX0/edit?gid=660406182#gid=660406182"", ""'""&amp;D75&amp;""'!B2:B45""),0),1))"),"Flexible")</f>
        <v>Flexible</v>
      </c>
      <c r="C75" s="135" t="str">
        <f>IFERROR(__xludf.DUMMYFUNCTION("if(A75=""FEA006A"",""Garlic Herb Grilled Chicken"", ifna(INDEX(IMPORTRANGE(""https://docs.google.com/spreadsheets/d/1mnGm3iYGkB4FyqAD-LwwVYksgBMX_SY4qHQa16KgMiw/edit?gid=1956920866#gid=1956920866"", ""'EU Meal Database'!$E$2:$E""),MATCH(A75,IMPORTRANGE("""&amp;"https://docs.google.com/spreadsheets/d/1mnGm3iYGkB4FyqAD-LwwVYksgBMX_SY4qHQa16KgMiw/edit?gid=1956920866#gid=1956920866"",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DB_Product'!$B$2:$B""),MATCH(A75,IMPORTRANGE(""https://docs.google.com/spreadsheets/d/1n4t_JF5P_MLd0hMmhjv1A2rgLKdyee_-mrZZmdZr9G4/edit?gid=670402169#gid=670402169"", ""'Meal DB_Product'!$A$2:$A""),0))))"),"Pulled chicken with cheddar and bacon")</f>
        <v>Pulled chicken with cheddar and bacon</v>
      </c>
      <c r="D75" s="62" t="s">
        <v>229</v>
      </c>
      <c r="E75" s="230">
        <v>416.0</v>
      </c>
      <c r="F75" s="62">
        <v>616.0</v>
      </c>
      <c r="G75" s="231">
        <v>316.0</v>
      </c>
      <c r="H75" s="232">
        <f>IFERROR(__xludf.DUMMYFUNCTION("""COMPUTED_VALUE"""),918.0)</f>
        <v>918</v>
      </c>
      <c r="I75" s="232">
        <f>IFERROR(__xludf.DUMMYFUNCTION("""COMPUTED_VALUE"""),469.0)</f>
        <v>469</v>
      </c>
      <c r="J75" s="233">
        <f>IFERROR(__xludf.DUMMYFUNCTION("""COMPUTED_VALUE"""),467.0)</f>
        <v>467</v>
      </c>
      <c r="K75" s="244">
        <f>IFERROR(__xludf.DUMMYFUNCTION("""COMPUTED_VALUE"""),0.0)</f>
        <v>0</v>
      </c>
      <c r="L75" s="243">
        <f t="shared" ref="L75:M75" si="221">H75+20</f>
        <v>938</v>
      </c>
      <c r="M75" s="244">
        <f t="shared" si="221"/>
        <v>489</v>
      </c>
      <c r="N75" s="245">
        <f t="shared" si="179"/>
        <v>487</v>
      </c>
      <c r="O75" s="271">
        <f t="array" ref="O75">iferror(if(INDEX('Slot Selection'!$A$2:$BJ$38, MATCH(E75-400,'Slot Selection'!$A$2:$A$38, 0), MATCH("2026-"&amp;D75,'Slot Selection'!$2:$2, 0)),1,0),0)</f>
        <v>0</v>
      </c>
      <c r="P75" s="272">
        <f t="array" ref="P75">iferror(if(INDEX('Slot Selection'!$A$80:$BJ$116, MATCH(F75-600,'Slot Selection'!$A$80:$A$116, 0), MATCH("2026-"&amp;D75,'Slot Selection'!$80:$80, 0)),1,0),0)</f>
        <v>0</v>
      </c>
      <c r="Q75" s="146">
        <f t="array" ref="Q75">iferror(if(INDEX('Slot Selection'!$A$41:$BJ$77, MATCH(F75-600,'Slot Selection'!$A$41:$A$77, 0), MATCH("2026-"&amp;D75,'Slot Selection'!$41:$41, 0)),1,0),0)</f>
        <v>0</v>
      </c>
      <c r="R75" s="230">
        <f t="shared" ref="R75:T75" si="222">L75*O75</f>
        <v>0</v>
      </c>
      <c r="S75" s="248">
        <f t="shared" si="222"/>
        <v>0</v>
      </c>
      <c r="T75" s="248">
        <f t="shared" si="222"/>
        <v>0</v>
      </c>
      <c r="U75" s="243">
        <f t="shared" ref="U75:W75" si="223">L75-R75</f>
        <v>938</v>
      </c>
      <c r="V75" s="248">
        <f t="shared" si="223"/>
        <v>489</v>
      </c>
      <c r="W75" s="249">
        <f t="shared" si="223"/>
        <v>487</v>
      </c>
    </row>
    <row r="76">
      <c r="A76" s="242" t="str">
        <f>IFERROR(__xludf.DUMMYFUNCTION("if(E76=506,""FEA006A"",INDEX(IMPORTRANGE(""https://docs.google.com/spreadsheets/d/1WbE6HOh_eG5_DM53SVfuckYm0VQnhNvuwjql7Tw1FX0/edit?gid=660406182#gid=660406182"", ""'""&amp;D76&amp;""'!H2:H45""),match(E76,IMPORTRANGE(""https://docs.google.com/spreadsheets/d/1WbE6"&amp;"HOh_eG5_DM53SVfuckYm0VQnhNvuwjql7Tw1FX0/edit?gid=660406182#gid=660406182"", ""'""&amp;D76&amp;""'!B2:B45""),0),1))"),"FE4060A")</f>
        <v>FE4060A</v>
      </c>
      <c r="B76" s="229" t="str">
        <f>IFERROR(__xludf.DUMMYFUNCTION("if(E76=506,""-"",INDEX(IMPORTRANGE(""https://docs.google.com/spreadsheets/d/1WbE6HOh_eG5_DM53SVfuckYm0VQnhNvuwjql7Tw1FX0/edit?gid=660406182#gid=660406182"", ""'""&amp;D76&amp;""'!D2:D45""),match(E76,IMPORTRANGE(""https://docs.google.com/spreadsheets/d/1WbE6HOh_eG"&amp;"5_DM53SVfuckYm0VQnhNvuwjql7Tw1FX0/edit?gid=660406182#gid=660406182"", ""'""&amp;D76&amp;""'!B2:B45""),0),1))"),"P+")</f>
        <v>P+</v>
      </c>
      <c r="C76" s="135" t="str">
        <f>IFERROR(__xludf.DUMMYFUNCTION("if(A76=""FEA006A"",""Garlic Herb Grilled Chicken"", ifna(INDEX(IMPORTRANGE(""https://docs.google.com/spreadsheets/d/1mnGm3iYGkB4FyqAD-LwwVYksgBMX_SY4qHQa16KgMiw/edit?gid=1956920866#gid=1956920866"", ""'EU Meal Database'!$E$2:$E""),MATCH(A76,IMPORTRANGE("""&amp;"https://docs.google.com/spreadsheets/d/1mnGm3iYGkB4FyqAD-LwwVYksgBMX_SY4qHQa16KgMiw/edit?gid=1956920866#gid=1956920866"",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DB_Product'!$B$2:$B""),MATCH(A76,IMPORTRANGE(""https://docs.google.com/spreadsheets/d/1n4t_JF5P_MLd0hMmhjv1A2rgLKdyee_-mrZZmdZr9G4/edit?gid=670402169#gid=670402169"", ""'Meal DB_Product'!$A$2:$A""),0))))"),"Artichoke &amp; Spinach Pork tenderloin")</f>
        <v>Artichoke &amp; Spinach Pork tenderloin</v>
      </c>
      <c r="D76" s="62" t="s">
        <v>229</v>
      </c>
      <c r="E76" s="230">
        <v>417.0</v>
      </c>
      <c r="F76" s="62">
        <v>617.0</v>
      </c>
      <c r="G76" s="231">
        <v>317.0</v>
      </c>
      <c r="H76" s="232">
        <f>IFERROR(__xludf.DUMMYFUNCTION("""COMPUTED_VALUE"""),1833.0)</f>
        <v>1833</v>
      </c>
      <c r="I76" s="232">
        <f>IFERROR(__xludf.DUMMYFUNCTION("""COMPUTED_VALUE"""),985.0)</f>
        <v>985</v>
      </c>
      <c r="J76" s="233">
        <f>IFERROR(__xludf.DUMMYFUNCTION("""COMPUTED_VALUE"""),832.0)</f>
        <v>832</v>
      </c>
      <c r="K76" s="244">
        <f>IFERROR(__xludf.DUMMYFUNCTION("""COMPUTED_VALUE"""),0.0)</f>
        <v>0</v>
      </c>
      <c r="L76" s="243">
        <f t="shared" ref="L76:M76" si="224">H76+20</f>
        <v>1853</v>
      </c>
      <c r="M76" s="244">
        <f t="shared" si="224"/>
        <v>1005</v>
      </c>
      <c r="N76" s="245">
        <f t="shared" si="179"/>
        <v>852</v>
      </c>
      <c r="O76" s="271">
        <f t="array" ref="O76">iferror(if(INDEX('Slot Selection'!$A$2:$BJ$38, MATCH(E76-400,'Slot Selection'!$A$2:$A$38, 0), MATCH("2026-"&amp;D76,'Slot Selection'!$2:$2, 0)),1,0),0)</f>
        <v>0</v>
      </c>
      <c r="P76" s="272">
        <f t="array" ref="P76">iferror(if(INDEX('Slot Selection'!$A$80:$BJ$116, MATCH(F76-600,'Slot Selection'!$A$80:$A$116, 0), MATCH("2026-"&amp;D76,'Slot Selection'!$80:$80, 0)),1,0),0)</f>
        <v>0</v>
      </c>
      <c r="Q76" s="146">
        <f t="array" ref="Q76">iferror(if(INDEX('Slot Selection'!$A$41:$BJ$77, MATCH(F76-600,'Slot Selection'!$A$41:$A$77, 0), MATCH("2026-"&amp;D76,'Slot Selection'!$41:$41, 0)),1,0),0)</f>
        <v>0</v>
      </c>
      <c r="R76" s="230">
        <f t="shared" ref="R76:T76" si="225">L76*O76</f>
        <v>0</v>
      </c>
      <c r="S76" s="248">
        <f t="shared" si="225"/>
        <v>0</v>
      </c>
      <c r="T76" s="248">
        <f t="shared" si="225"/>
        <v>0</v>
      </c>
      <c r="U76" s="243">
        <f t="shared" ref="U76:W76" si="226">L76-R76</f>
        <v>1853</v>
      </c>
      <c r="V76" s="244">
        <f t="shared" si="226"/>
        <v>1005</v>
      </c>
      <c r="W76" s="245">
        <f t="shared" si="226"/>
        <v>852</v>
      </c>
    </row>
    <row r="77">
      <c r="A77" s="242" t="str">
        <f>IFERROR(__xludf.DUMMYFUNCTION("if(E77=506,""FEA006A"",INDEX(IMPORTRANGE(""https://docs.google.com/spreadsheets/d/1WbE6HOh_eG5_DM53SVfuckYm0VQnhNvuwjql7Tw1FX0/edit?gid=660406182#gid=660406182"", ""'""&amp;D77&amp;""'!H2:H45""),match(E77,IMPORTRANGE(""https://docs.google.com/spreadsheets/d/1WbE6"&amp;"HOh_eG5_DM53SVfuckYm0VQnhNvuwjql7Tw1FX0/edit?gid=660406182#gid=660406182"", ""'""&amp;D77&amp;""'!B2:B45""),0),1))"),"FE4042A")</f>
        <v>FE4042A</v>
      </c>
      <c r="B77" s="229" t="str">
        <f>IFERROR(__xludf.DUMMYFUNCTION("if(E77=506,""-"",INDEX(IMPORTRANGE(""https://docs.google.com/spreadsheets/d/1WbE6HOh_eG5_DM53SVfuckYm0VQnhNvuwjql7Tw1FX0/edit?gid=660406182#gid=660406182"", ""'""&amp;D77&amp;""'!D2:D45""),match(E77,IMPORTRANGE(""https://docs.google.com/spreadsheets/d/1WbE6HOh_eG"&amp;"5_DM53SVfuckYm0VQnhNvuwjql7Tw1FX0/edit?gid=660406182#gid=660406182"", ""'""&amp;D77&amp;""'!B2:B45""),0),1))"),"CS")</f>
        <v>CS</v>
      </c>
      <c r="C77" s="135" t="str">
        <f>IFERROR(__xludf.DUMMYFUNCTION("if(A77=""FEA006A"",""Garlic Herb Grilled Chicken"", ifna(INDEX(IMPORTRANGE(""https://docs.google.com/spreadsheets/d/1mnGm3iYGkB4FyqAD-LwwVYksgBMX_SY4qHQa16KgMiw/edit?gid=1956920866#gid=1956920866"", ""'EU Meal Database'!$E$2:$E""),MATCH(A77,IMPORTRANGE("""&amp;"https://docs.google.com/spreadsheets/d/1mnGm3iYGkB4FyqAD-LwwVYksgBMX_SY4qHQa16KgMiw/edit?gid=1956920866#gid=1956920866"",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DB_Product'!$B$2:$B""),MATCH(A77,IMPORTRANGE(""https://docs.google.com/spreadsheets/d/1n4t_JF5P_MLd0hMmhjv1A2rgLKdyee_-mrZZmdZr9G4/edit?gid=670402169#gid=670402169"", ""'Meal DB_Product'!$A$2:$A""),0))))"),"Pork tenderloin and Mediterranean mash")</f>
        <v>Pork tenderloin and Mediterranean mash</v>
      </c>
      <c r="D77" s="62" t="s">
        <v>229</v>
      </c>
      <c r="E77" s="230">
        <v>418.0</v>
      </c>
      <c r="F77" s="62">
        <v>618.0</v>
      </c>
      <c r="G77" s="231">
        <v>318.0</v>
      </c>
      <c r="H77" s="232">
        <f>IFERROR(__xludf.DUMMYFUNCTION("""COMPUTED_VALUE"""),925.0)</f>
        <v>925</v>
      </c>
      <c r="I77" s="232">
        <f>IFERROR(__xludf.DUMMYFUNCTION("""COMPUTED_VALUE"""),627.0)</f>
        <v>627</v>
      </c>
      <c r="J77" s="233">
        <f>IFERROR(__xludf.DUMMYFUNCTION("""COMPUTED_VALUE"""),409.0)</f>
        <v>409</v>
      </c>
      <c r="K77" s="244">
        <f>IFERROR(__xludf.DUMMYFUNCTION("""COMPUTED_VALUE"""),0.0)</f>
        <v>0</v>
      </c>
      <c r="L77" s="243">
        <f t="shared" ref="L77:M77" si="227">H77+20</f>
        <v>945</v>
      </c>
      <c r="M77" s="244">
        <f t="shared" si="227"/>
        <v>647</v>
      </c>
      <c r="N77" s="245">
        <f t="shared" si="179"/>
        <v>429</v>
      </c>
      <c r="O77" s="271">
        <f t="array" ref="O77">iferror(if(INDEX('Slot Selection'!$A$2:$BJ$38, MATCH(E77-400,'Slot Selection'!$A$2:$A$38, 0), MATCH("2026-"&amp;D77,'Slot Selection'!$2:$2, 0)),1,0),0)</f>
        <v>0</v>
      </c>
      <c r="P77" s="272">
        <f t="array" ref="P77">iferror(if(INDEX('Slot Selection'!$A$80:$BJ$116, MATCH(F77-600,'Slot Selection'!$A$80:$A$116, 0), MATCH("2026-"&amp;D77,'Slot Selection'!$80:$80, 0)),1,0),0)</f>
        <v>0</v>
      </c>
      <c r="Q77" s="146">
        <f t="array" ref="Q77">iferror(if(INDEX('Slot Selection'!$A$41:$BJ$77, MATCH(F77-600,'Slot Selection'!$A$41:$A$77, 0), MATCH("2026-"&amp;D77,'Slot Selection'!$41:$41, 0)),1,0),0)</f>
        <v>0</v>
      </c>
      <c r="R77" s="230">
        <f t="shared" ref="R77:T77" si="228">L77*O77</f>
        <v>0</v>
      </c>
      <c r="S77" s="248">
        <f t="shared" si="228"/>
        <v>0</v>
      </c>
      <c r="T77" s="248">
        <f t="shared" si="228"/>
        <v>0</v>
      </c>
      <c r="U77" s="243">
        <f t="shared" ref="U77:W77" si="229">L77-R77</f>
        <v>945</v>
      </c>
      <c r="V77" s="248">
        <f t="shared" si="229"/>
        <v>647</v>
      </c>
      <c r="W77" s="249">
        <f t="shared" si="229"/>
        <v>429</v>
      </c>
    </row>
    <row r="78">
      <c r="A78" s="242" t="str">
        <f>IFERROR(__xludf.DUMMYFUNCTION("if(E78=506,""FEA006A"",INDEX(IMPORTRANGE(""https://docs.google.com/spreadsheets/d/1WbE6HOh_eG5_DM53SVfuckYm0VQnhNvuwjql7Tw1FX0/edit?gid=660406182#gid=660406182"", ""'""&amp;D78&amp;""'!H2:H45""),match(E78,IMPORTRANGE(""https://docs.google.com/spreadsheets/d/1WbE6"&amp;"HOh_eG5_DM53SVfuckYm0VQnhNvuwjql7Tw1FX0/edit?gid=660406182#gid=660406182"", ""'""&amp;D78&amp;""'!B2:B45""),0),1))"),"FE0160C")</f>
        <v>FE0160C</v>
      </c>
      <c r="B78" s="229" t="str">
        <f>IFERROR(__xludf.DUMMYFUNCTION("if(E78=506,""-"",INDEX(IMPORTRANGE(""https://docs.google.com/spreadsheets/d/1WbE6HOh_eG5_DM53SVfuckYm0VQnhNvuwjql7Tw1FX0/edit?gid=660406182#gid=660406182"", ""'""&amp;D78&amp;""'!D2:D45""),match(E78,IMPORTRANGE(""https://docs.google.com/spreadsheets/d/1WbE6HOh_eG"&amp;"5_DM53SVfuckYm0VQnhNvuwjql7Tw1FX0/edit?gid=660406182#gid=660406182"", ""'""&amp;D78&amp;""'!B2:B45""),0),1))"),"CS")</f>
        <v>CS</v>
      </c>
      <c r="C78" s="135" t="str">
        <f>IFERROR(__xludf.DUMMYFUNCTION("if(A78=""FEA006A"",""Garlic Herb Grilled Chicken"", ifna(INDEX(IMPORTRANGE(""https://docs.google.com/spreadsheets/d/1mnGm3iYGkB4FyqAD-LwwVYksgBMX_SY4qHQa16KgMiw/edit?gid=1956920866#gid=1956920866"", ""'EU Meal Database'!$E$2:$E""),MATCH(A78,IMPORTRANGE("""&amp;"https://docs.google.com/spreadsheets/d/1mnGm3iYGkB4FyqAD-LwwVYksgBMX_SY4qHQa16KgMiw/edit?gid=1956920866#gid=1956920866"",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DB_Product'!$B$2:$B""),MATCH(A78,IMPORTRANGE(""https://docs.google.com/spreadsheets/d/1n4t_JF5P_MLd0hMmhjv1A2rgLKdyee_-mrZZmdZr9G4/edit?gid=670402169#gid=670402169"", ""'Meal DB_Product'!$A$2:$A""),0))))"),"Beef Shepherd's Pie")</f>
        <v>Beef Shepherd's Pie</v>
      </c>
      <c r="D78" s="62" t="s">
        <v>229</v>
      </c>
      <c r="E78" s="230">
        <v>419.0</v>
      </c>
      <c r="F78" s="62">
        <v>619.0</v>
      </c>
      <c r="G78" s="231">
        <v>319.0</v>
      </c>
      <c r="H78" s="232">
        <f>IFERROR(__xludf.DUMMYFUNCTION("""COMPUTED_VALUE"""),2230.0)</f>
        <v>2230</v>
      </c>
      <c r="I78" s="232">
        <f>IFERROR(__xludf.DUMMYFUNCTION("""COMPUTED_VALUE"""),1269.0)</f>
        <v>1269</v>
      </c>
      <c r="J78" s="233">
        <f>IFERROR(__xludf.DUMMYFUNCTION("""COMPUTED_VALUE"""),1020.0)</f>
        <v>1020</v>
      </c>
      <c r="K78" s="244">
        <f>IFERROR(__xludf.DUMMYFUNCTION("""COMPUTED_VALUE"""),0.0)</f>
        <v>0</v>
      </c>
      <c r="L78" s="243">
        <f t="shared" ref="L78:M78" si="230">H78+20</f>
        <v>2250</v>
      </c>
      <c r="M78" s="244">
        <f t="shared" si="230"/>
        <v>1289</v>
      </c>
      <c r="N78" s="245">
        <f t="shared" si="179"/>
        <v>1040</v>
      </c>
      <c r="O78" s="271">
        <f t="array" ref="O78">iferror(if(INDEX('Slot Selection'!$A$2:$BJ$38, MATCH(E78-400,'Slot Selection'!$A$2:$A$38, 0), MATCH("2026-"&amp;D78,'Slot Selection'!$2:$2, 0)),1,0),0)</f>
        <v>0</v>
      </c>
      <c r="P78" s="272">
        <f t="array" ref="P78">iferror(if(INDEX('Slot Selection'!$A$80:$BJ$116, MATCH(F78-600,'Slot Selection'!$A$80:$A$116, 0), MATCH("2026-"&amp;D78,'Slot Selection'!$80:$80, 0)),1,0),0)</f>
        <v>0</v>
      </c>
      <c r="Q78" s="146">
        <f t="array" ref="Q78">iferror(if(INDEX('Slot Selection'!$A$41:$BJ$77, MATCH(F78-600,'Slot Selection'!$A$41:$A$77, 0), MATCH("2026-"&amp;D78,'Slot Selection'!$41:$41, 0)),1,0),0)</f>
        <v>0</v>
      </c>
      <c r="R78" s="230">
        <f t="shared" ref="R78:T78" si="231">L78*O78</f>
        <v>0</v>
      </c>
      <c r="S78" s="248">
        <f t="shared" si="231"/>
        <v>0</v>
      </c>
      <c r="T78" s="248">
        <f t="shared" si="231"/>
        <v>0</v>
      </c>
      <c r="U78" s="243">
        <f t="shared" ref="U78:W78" si="232">L78-R78</f>
        <v>2250</v>
      </c>
      <c r="V78" s="244">
        <f t="shared" si="232"/>
        <v>1289</v>
      </c>
      <c r="W78" s="245">
        <f t="shared" si="232"/>
        <v>1040</v>
      </c>
    </row>
    <row r="79">
      <c r="A79" s="242" t="str">
        <f>IFERROR(__xludf.DUMMYFUNCTION("if(E79=506,""FEA006A"",INDEX(IMPORTRANGE(""https://docs.google.com/spreadsheets/d/1WbE6HOh_eG5_DM53SVfuckYm0VQnhNvuwjql7Tw1FX0/edit?gid=660406182#gid=660406182"", ""'""&amp;D79&amp;""'!H2:H45""),match(E79,IMPORTRANGE(""https://docs.google.com/spreadsheets/d/1WbE6"&amp;"HOh_eG5_DM53SVfuckYm0VQnhNvuwjql7Tw1FX0/edit?gid=660406182#gid=660406182"", ""'""&amp;D79&amp;""'!B2:B45""),0),1))"),"FE4079A")</f>
        <v>FE4079A</v>
      </c>
      <c r="B79" s="229" t="str">
        <f>IFERROR(__xludf.DUMMYFUNCTION("if(E79=506,""-"",INDEX(IMPORTRANGE(""https://docs.google.com/spreadsheets/d/1WbE6HOh_eG5_DM53SVfuckYm0VQnhNvuwjql7Tw1FX0/edit?gid=660406182#gid=660406182"", ""'""&amp;D79&amp;""'!D2:D45""),match(E79,IMPORTRANGE(""https://docs.google.com/spreadsheets/d/1WbE6HOh_eG"&amp;"5_DM53SVfuckYm0VQnhNvuwjql7Tw1FX0/edit?gid=660406182#gid=660406182"", ""'""&amp;D79&amp;""'!B2:B45""),0),1))"),"Perf")</f>
        <v>Perf</v>
      </c>
      <c r="C79" s="135" t="str">
        <f>IFERROR(__xludf.DUMMYFUNCTION("if(A79=""FEA006A"",""Garlic Herb Grilled Chicken"", ifna(INDEX(IMPORTRANGE(""https://docs.google.com/spreadsheets/d/1mnGm3iYGkB4FyqAD-LwwVYksgBMX_SY4qHQa16KgMiw/edit?gid=1956920866#gid=1956920866"", ""'EU Meal Database'!$E$2:$E""),MATCH(A79,IMPORTRANGE("""&amp;"https://docs.google.com/spreadsheets/d/1mnGm3iYGkB4FyqAD-LwwVYksgBMX_SY4qHQa16KgMiw/edit?gid=1956920866#gid=1956920866"",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DB_Product'!$B$2:$B""),MATCH(A79,IMPORTRANGE(""https://docs.google.com/spreadsheets/d/1n4t_JF5P_MLd0hMmhjv1A2rgLKdyee_-mrZZmdZr9G4/edit?gid=670402169#gid=670402169"", ""'Meal DB_Product'!$A$2:$A""),0))))"),"Pulled Beef &amp; Mushroom Cream Pasta")</f>
        <v>Pulled Beef &amp; Mushroom Cream Pasta</v>
      </c>
      <c r="D79" s="62" t="s">
        <v>229</v>
      </c>
      <c r="E79" s="230">
        <v>420.0</v>
      </c>
      <c r="F79" s="62">
        <v>620.0</v>
      </c>
      <c r="G79" s="231">
        <v>320.0</v>
      </c>
      <c r="H79" s="232">
        <f>IFERROR(__xludf.DUMMYFUNCTION("""COMPUTED_VALUE"""),1022.0)</f>
        <v>1022</v>
      </c>
      <c r="I79" s="232">
        <f>IFERROR(__xludf.DUMMYFUNCTION("""COMPUTED_VALUE"""),582.0)</f>
        <v>582</v>
      </c>
      <c r="J79" s="233">
        <f>IFERROR(__xludf.DUMMYFUNCTION("""COMPUTED_VALUE"""),468.0)</f>
        <v>468</v>
      </c>
      <c r="K79" s="244">
        <f>IFERROR(__xludf.DUMMYFUNCTION("""COMPUTED_VALUE"""),0.0)</f>
        <v>0</v>
      </c>
      <c r="L79" s="243">
        <f t="shared" ref="L79:M79" si="233">H79+20</f>
        <v>1042</v>
      </c>
      <c r="M79" s="244">
        <f t="shared" si="233"/>
        <v>602</v>
      </c>
      <c r="N79" s="245">
        <f t="shared" si="179"/>
        <v>488</v>
      </c>
      <c r="O79" s="268">
        <f t="array" ref="O79">iferror(if(INDEX('Slot Selection'!$A$2:$BJ$38, MATCH(E79-400,'Slot Selection'!$A$2:$A$38, 0), MATCH("2026-"&amp;D79,'Slot Selection'!$2:$2, 0)),1,0),0)</f>
        <v>0</v>
      </c>
      <c r="P79" s="269">
        <f t="array" ref="P79">iferror(if(INDEX('Slot Selection'!$A$80:$BJ$116, MATCH(F79-600,'Slot Selection'!$A$80:$A$116, 0), MATCH("2026-"&amp;D79,'Slot Selection'!$80:$80, 0)),1,0),0)</f>
        <v>0</v>
      </c>
      <c r="Q79" s="270">
        <f t="array" ref="Q79">iferror(if(INDEX('Slot Selection'!$A$41:$BJ$77, MATCH(F79-600,'Slot Selection'!$A$41:$A$77, 0), MATCH("2026-"&amp;D79,'Slot Selection'!$41:$41, 0)),1,0),0)</f>
        <v>0</v>
      </c>
      <c r="R79" s="230">
        <f t="shared" ref="R79:T79" si="234">L79*O79</f>
        <v>0</v>
      </c>
      <c r="S79" s="248">
        <f t="shared" si="234"/>
        <v>0</v>
      </c>
      <c r="T79" s="248">
        <f t="shared" si="234"/>
        <v>0</v>
      </c>
      <c r="U79" s="243">
        <f t="shared" ref="U79:W79" si="235">L79-R79</f>
        <v>1042</v>
      </c>
      <c r="V79" s="248">
        <f t="shared" si="235"/>
        <v>602</v>
      </c>
      <c r="W79" s="249">
        <f t="shared" si="235"/>
        <v>488</v>
      </c>
    </row>
    <row r="80">
      <c r="A80" s="242" t="str">
        <f>IFERROR(__xludf.DUMMYFUNCTION("if(E80=506,""FEA006A"",INDEX(IMPORTRANGE(""https://docs.google.com/spreadsheets/d/1WbE6HOh_eG5_DM53SVfuckYm0VQnhNvuwjql7Tw1FX0/edit?gid=660406182#gid=660406182"", ""'""&amp;D80&amp;""'!H2:H45""),match(E80,IMPORTRANGE(""https://docs.google.com/spreadsheets/d/1WbE6"&amp;"HOh_eG5_DM53SVfuckYm0VQnhNvuwjql7Tw1FX0/edit?gid=660406182#gid=660406182"", ""'""&amp;D80&amp;""'!B2:B45""),0),1))"),"FE0962B")</f>
        <v>FE0962B</v>
      </c>
      <c r="B80" s="229" t="str">
        <f>IFERROR(__xludf.DUMMYFUNCTION("if(E80=506,""-"",INDEX(IMPORTRANGE(""https://docs.google.com/spreadsheets/d/1WbE6HOh_eG5_DM53SVfuckYm0VQnhNvuwjql7Tw1FX0/edit?gid=660406182#gid=660406182"", ""'""&amp;D80&amp;""'!D2:D45""),match(E80,IMPORTRANGE(""https://docs.google.com/spreadsheets/d/1WbE6HOh_eG"&amp;"5_DM53SVfuckYm0VQnhNvuwjql7Tw1FX0/edit?gid=660406182#gid=660406182"", ""'""&amp;D80&amp;""'!B2:B45""),0),1))"),"Perf")</f>
        <v>Perf</v>
      </c>
      <c r="C80" s="135" t="str">
        <f>IFERROR(__xludf.DUMMYFUNCTION("if(A80=""FEA006A"",""Garlic Herb Grilled Chicken"", ifna(INDEX(IMPORTRANGE(""https://docs.google.com/spreadsheets/d/1mnGm3iYGkB4FyqAD-LwwVYksgBMX_SY4qHQa16KgMiw/edit?gid=1956920866#gid=1956920866"", ""'EU Meal Database'!$E$2:$E""),MATCH(A80,IMPORTRANGE("""&amp;"https://docs.google.com/spreadsheets/d/1mnGm3iYGkB4FyqAD-LwwVYksgBMX_SY4qHQa16KgMiw/edit?gid=1956920866#gid=1956920866"",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DB_Product'!$B$2:$B""),MATCH(A80,IMPORTRANGE(""https://docs.google.com/spreadsheets/d/1n4t_JF5P_MLd0hMmhjv1A2rgLKdyee_-mrZZmdZr9G4/edit?gid=670402169#gid=670402169"", ""'Meal DB_Product'!$A$2:$A""),0))))"),"Apricot Smothered Pork Tenderloin")</f>
        <v>Apricot Smothered Pork Tenderloin</v>
      </c>
      <c r="D80" s="62" t="s">
        <v>229</v>
      </c>
      <c r="E80" s="230">
        <v>421.0</v>
      </c>
      <c r="F80" s="62">
        <v>621.0</v>
      </c>
      <c r="G80" s="231">
        <v>321.0</v>
      </c>
      <c r="H80" s="232">
        <f>IFERROR(__xludf.DUMMYFUNCTION("""COMPUTED_VALUE"""),1394.0)</f>
        <v>1394</v>
      </c>
      <c r="I80" s="232">
        <f>IFERROR(__xludf.DUMMYFUNCTION("""COMPUTED_VALUE"""),793.0)</f>
        <v>793</v>
      </c>
      <c r="J80" s="233">
        <f>IFERROR(__xludf.DUMMYFUNCTION("""COMPUTED_VALUE"""),638.0)</f>
        <v>638</v>
      </c>
      <c r="K80" s="244">
        <f>IFERROR(__xludf.DUMMYFUNCTION("""COMPUTED_VALUE"""),0.0)</f>
        <v>0</v>
      </c>
      <c r="L80" s="243">
        <f t="shared" ref="L80:M80" si="236">H80+20</f>
        <v>1414</v>
      </c>
      <c r="M80" s="244">
        <f t="shared" si="236"/>
        <v>813</v>
      </c>
      <c r="N80" s="245">
        <f t="shared" si="179"/>
        <v>658</v>
      </c>
      <c r="O80" s="268">
        <f t="array" ref="O80">iferror(if(INDEX('Slot Selection'!$A$2:$BJ$38, MATCH(E80-400,'Slot Selection'!$A$2:$A$38, 0), MATCH("2026-"&amp;D80,'Slot Selection'!$2:$2, 0)),1,0),0)</f>
        <v>0</v>
      </c>
      <c r="P80" s="269">
        <f t="array" ref="P80">iferror(if(INDEX('Slot Selection'!$A$80:$BJ$116, MATCH(F80-600,'Slot Selection'!$A$80:$A$116, 0), MATCH("2026-"&amp;D80,'Slot Selection'!$80:$80, 0)),1,0),0)</f>
        <v>0</v>
      </c>
      <c r="Q80" s="270">
        <f t="array" ref="Q80">iferror(if(INDEX('Slot Selection'!$A$41:$BJ$77, MATCH(F80-600,'Slot Selection'!$A$41:$A$77, 0), MATCH("2026-"&amp;D80,'Slot Selection'!$41:$41, 0)),1,0),0)</f>
        <v>0</v>
      </c>
      <c r="R80" s="230">
        <f t="shared" ref="R80:T80" si="237">L80*O80</f>
        <v>0</v>
      </c>
      <c r="S80" s="248">
        <f t="shared" si="237"/>
        <v>0</v>
      </c>
      <c r="T80" s="248">
        <f t="shared" si="237"/>
        <v>0</v>
      </c>
      <c r="U80" s="243">
        <f t="shared" ref="U80:W80" si="238">L80-R80</f>
        <v>1414</v>
      </c>
      <c r="V80" s="248">
        <f t="shared" si="238"/>
        <v>813</v>
      </c>
      <c r="W80" s="249">
        <f t="shared" si="238"/>
        <v>658</v>
      </c>
    </row>
    <row r="81">
      <c r="A81" s="250" t="str">
        <f>IFERROR(__xludf.DUMMYFUNCTION("if(E81=506,""FEA006A"",INDEX(IMPORTRANGE(""https://docs.google.com/spreadsheets/d/1WbE6HOh_eG5_DM53SVfuckYm0VQnhNvuwjql7Tw1FX0/edit?gid=660406182#gid=660406182"", ""'""&amp;D81&amp;""'!H2:H45""),match(E81,IMPORTRANGE(""https://docs.google.com/spreadsheets/d/1WbE6"&amp;"HOh_eG5_DM53SVfuckYm0VQnhNvuwjql7Tw1FX0/edit?gid=660406182#gid=660406182"", ""'""&amp;D81&amp;""'!B2:B45""),0),1))"),"FEA006A")</f>
        <v>FEA006A</v>
      </c>
      <c r="B81" s="251" t="str">
        <f>IFERROR(__xludf.DUMMYFUNCTION("if(E81=506,""-"",INDEX(IMPORTRANGE(""https://docs.google.com/spreadsheets/d/1WbE6HOh_eG5_DM53SVfuckYm0VQnhNvuwjql7Tw1FX0/edit?gid=660406182#gid=660406182"", ""'""&amp;D81&amp;""'!D2:D45""),match(E81,IMPORTRANGE(""https://docs.google.com/spreadsheets/d/1WbE6HOh_eG"&amp;"5_DM53SVfuckYm0VQnhNvuwjql7Tw1FX0/edit?gid=660406182#gid=660406182"", ""'""&amp;D81&amp;""'!B2:B45""),0),1))"),"-")</f>
        <v>-</v>
      </c>
      <c r="C81" s="252" t="str">
        <f>IFERROR(__xludf.DUMMYFUNCTION("if(A81=""FEA006A"",""Garlic Herb Grilled Chicken"", ifna(INDEX(IMPORTRANGE(""https://docs.google.com/spreadsheets/d/1mnGm3iYGkB4FyqAD-LwwVYksgBMX_SY4qHQa16KgMiw/edit?gid=1956920866#gid=1956920866"", ""'EU Meal Database'!$E$2:$E""),MATCH(A81,IMPORTRANGE("""&amp;"https://docs.google.com/spreadsheets/d/1mnGm3iYGkB4FyqAD-LwwVYksgBMX_SY4qHQa16KgMiw/edit?gid=1956920866#gid=1956920866"",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DB_Product'!$B$2:$B""),MATCH(A81,IMPORTRANGE(""https://docs.google.com/spreadsheets/d/1n4t_JF5P_MLd0hMmhjv1A2rgLKdyee_-mrZZmdZr9G4/edit?gid=670402169#gid=670402169"", ""'Meal DB_Product'!$A$2:$A""),0))))"),"Garlic Herb Grilled Chicken")</f>
        <v>Garlic Herb Grilled Chicken</v>
      </c>
      <c r="D81" s="253" t="s">
        <v>229</v>
      </c>
      <c r="E81" s="254">
        <v>506.0</v>
      </c>
      <c r="F81" s="253">
        <v>706.0</v>
      </c>
      <c r="G81" s="255">
        <v>806.0</v>
      </c>
      <c r="H81" s="256">
        <f>IFERROR(__xludf.DUMMYFUNCTION("""COMPUTED_VALUE"""),83.0)</f>
        <v>83</v>
      </c>
      <c r="I81" s="256">
        <f>IFERROR(__xludf.DUMMYFUNCTION("""COMPUTED_VALUE"""),36.0)</f>
        <v>36</v>
      </c>
      <c r="J81" s="257">
        <f>IFERROR(__xludf.DUMMYFUNCTION("""COMPUTED_VALUE"""),67.0)</f>
        <v>67</v>
      </c>
      <c r="K81" s="258">
        <f>IFERROR(__xludf.DUMMYFUNCTION("""COMPUTED_VALUE"""),0.0)</f>
        <v>0</v>
      </c>
      <c r="L81" s="259">
        <f t="shared" ref="L81:M81" si="239">H81</f>
        <v>83</v>
      </c>
      <c r="M81" s="258">
        <f t="shared" si="239"/>
        <v>36</v>
      </c>
      <c r="N81" s="260">
        <f>J81+K81</f>
        <v>67</v>
      </c>
      <c r="O81" s="275">
        <f t="array" ref="O81">iferror(if(INDEX('Slot Selection'!$A$2:$BJ$38, MATCH(E81-400,'Slot Selection'!$A$2:$A$38, 0), MATCH("2026-"&amp;D81,'Slot Selection'!$2:$2, 0)),1,0),0)</f>
        <v>0</v>
      </c>
      <c r="P81" s="276">
        <f t="array" ref="P81">iferror(if(INDEX('Slot Selection'!$A$80:$BJ$116, MATCH(F81-600,'Slot Selection'!$A$80:$A$116, 0), MATCH("2026-"&amp;D81,'Slot Selection'!$80:$80, 0)),1,0),0)</f>
        <v>0</v>
      </c>
      <c r="Q81" s="277">
        <f t="array" ref="Q81">iferror(if(INDEX('Slot Selection'!$A$41:$BJ$77, MATCH(F81-600,'Slot Selection'!$A$41:$A$77, 0), MATCH("2026-"&amp;D81,'Slot Selection'!$41:$41, 0)),1,0),0)</f>
        <v>0</v>
      </c>
      <c r="R81" s="254">
        <f t="shared" ref="R81:T81" si="240">L81*O81</f>
        <v>0</v>
      </c>
      <c r="S81" s="263">
        <f t="shared" si="240"/>
        <v>0</v>
      </c>
      <c r="T81" s="263">
        <f t="shared" si="240"/>
        <v>0</v>
      </c>
      <c r="U81" s="259">
        <f t="shared" ref="U81:W81" si="241">L81-R81</f>
        <v>83</v>
      </c>
      <c r="V81" s="263">
        <f t="shared" si="241"/>
        <v>36</v>
      </c>
      <c r="W81" s="264">
        <f t="shared" si="241"/>
        <v>67</v>
      </c>
    </row>
    <row r="82">
      <c r="A82" s="250" t="str">
        <f>IFERROR(__xludf.DUMMYFUNCTION("if(E82=506,""FEA006A"",INDEX(IMPORTRANGE(""https://docs.google.com/spreadsheets/d/1WbE6HOh_eG5_DM53SVfuckYm0VQnhNvuwjql7Tw1FX0/edit?gid=660406182#gid=660406182"", ""'""&amp;D82&amp;""'!H2:H45""),match(E82,IMPORTRANGE(""https://docs.google.com/spreadsheets/d/1WbE6"&amp;"HOh_eG5_DM53SVfuckYm0VQnhNvuwjql7Tw1FX0/edit?gid=660406182#gid=660406182"", ""'""&amp;D82&amp;""'!B2:B45""),0),1))"),"FE4014C")</f>
        <v>FE4014C</v>
      </c>
      <c r="B82" s="229" t="str">
        <f>IFERROR(__xludf.DUMMYFUNCTION("if(E82=506,""-"",INDEX(IMPORTRANGE(""https://docs.google.com/spreadsheets/d/1WbE6HOh_eG5_DM53SVfuckYm0VQnhNvuwjql7Tw1FX0/edit?gid=660406182#gid=660406182"", ""'""&amp;D82&amp;""'!D2:D45""),match(E82,IMPORTRANGE(""https://docs.google.com/spreadsheets/d/1WbE6HOh_eG"&amp;"5_DM53SVfuckYm0VQnhNvuwjql7Tw1FX0/edit?gid=660406182#gid=660406182"", ""'""&amp;D82&amp;""'!B2:B45""),0),1))"),"CS")</f>
        <v>CS</v>
      </c>
      <c r="C82" s="135" t="str">
        <f>IFERROR(__xludf.DUMMYFUNCTION("if(A82=""FEA006A"",""Garlic Herb Grilled Chicken"", ifna(INDEX(IMPORTRANGE(""https://docs.google.com/spreadsheets/d/1mnGm3iYGkB4FyqAD-LwwVYksgBMX_SY4qHQa16KgMiw/edit?gid=1956920866#gid=1956920866"", ""'EU Meal Database'!$E$2:$E""),MATCH(A82,IMPORTRANGE("""&amp;"https://docs.google.com/spreadsheets/d/1mnGm3iYGkB4FyqAD-LwwVYksgBMX_SY4qHQa16KgMiw/edit?gid=1956920866#gid=1956920866"",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DB_Product'!$B$2:$B""),MATCH(A82,IMPORTRANGE(""https://docs.google.com/spreadsheets/d/1n4t_JF5P_MLd0hMmhjv1A2rgLKdyee_-mrZZmdZr9G4/edit?gid=670402169#gid=670402169"", ""'Meal DB_Product'!$A$2:$A""),0))))"),"Creamy basil risotto with chicken")</f>
        <v>Creamy basil risotto with chicken</v>
      </c>
      <c r="D82" s="62" t="s">
        <v>230</v>
      </c>
      <c r="E82" s="230">
        <v>401.0</v>
      </c>
      <c r="F82" s="62">
        <v>601.0</v>
      </c>
      <c r="G82" s="231">
        <v>301.0</v>
      </c>
      <c r="H82" s="278">
        <f>IFERROR(__xludf.DUMMYFUNCTION("""COMPUTED_VALUE"""),5891.0)</f>
        <v>5891</v>
      </c>
      <c r="I82" s="279">
        <f>IFERROR(__xludf.DUMMYFUNCTION("""COMPUTED_VALUE"""),3230.0)</f>
        <v>3230</v>
      </c>
      <c r="J82" s="280">
        <f>IFERROR(__xludf.DUMMYFUNCTION("""COMPUTED_VALUE"""),2463.0)</f>
        <v>2463</v>
      </c>
      <c r="K82" s="244">
        <f>IFERROR(__xludf.DUMMYFUNCTION("""COMPUTED_VALUE"""),0.0)</f>
        <v>0</v>
      </c>
      <c r="L82" s="234">
        <f t="shared" ref="L82:M82" si="242">H82+20</f>
        <v>5911</v>
      </c>
      <c r="M82" s="235">
        <f t="shared" si="242"/>
        <v>3250</v>
      </c>
      <c r="N82" s="236">
        <f t="shared" ref="N82:N147" si="246">J82+20+K82</f>
        <v>2483</v>
      </c>
      <c r="O82" s="265">
        <f t="array" ref="O82">iferror(if(INDEX('Slot Selection'!$A$2:$BJ$38, MATCH(E82-400,'Slot Selection'!$A$2:$A$38, 0), MATCH("2026-"&amp;D82,'Slot Selection'!$2:$2, 0)),1,0),0)</f>
        <v>0</v>
      </c>
      <c r="P82" s="266">
        <f t="array" ref="P82">iferror(if(INDEX('Slot Selection'!$A$80:$BJ$116, MATCH(F82-600,'Slot Selection'!$A$80:$A$116, 0), MATCH("2026-"&amp;E82,'Slot Selection'!$80:$80, 0)),1,0),0)</f>
        <v>0</v>
      </c>
      <c r="Q82" s="267">
        <f t="array" ref="Q82">iferror(if(INDEX('Slot Selection'!$A$41:$BJ$77, MATCH(F82-600,'Slot Selection'!$A$41:$A$77, 0), MATCH("2026-"&amp;D82,'Slot Selection'!$41:$41, 0)),1,0),0)</f>
        <v>0</v>
      </c>
      <c r="R82" s="230">
        <f t="shared" ref="R82:T82" si="243">L82*O82</f>
        <v>0</v>
      </c>
      <c r="S82" s="248">
        <f t="shared" si="243"/>
        <v>0</v>
      </c>
      <c r="T82" s="248">
        <f t="shared" si="243"/>
        <v>0</v>
      </c>
      <c r="U82" s="243">
        <f t="shared" ref="U82:W82" si="244">L82-R82</f>
        <v>5911</v>
      </c>
      <c r="V82" s="244">
        <f t="shared" si="244"/>
        <v>3250</v>
      </c>
      <c r="W82" s="245">
        <f t="shared" si="244"/>
        <v>2483</v>
      </c>
    </row>
    <row r="83">
      <c r="A83" s="242" t="str">
        <f>IFERROR(__xludf.DUMMYFUNCTION("if(E83=506,""FEA006A"",INDEX(IMPORTRANGE(""https://docs.google.com/spreadsheets/d/1WbE6HOh_eG5_DM53SVfuckYm0VQnhNvuwjql7Tw1FX0/edit?gid=660406182#gid=660406182"", ""'""&amp;D83&amp;""'!H2:H45""),match(E83,IMPORTRANGE(""https://docs.google.com/spreadsheets/d/1WbE6"&amp;"HOh_eG5_DM53SVfuckYm0VQnhNvuwjql7Tw1FX0/edit?gid=660406182#gid=660406182"", ""'""&amp;D83&amp;""'!B2:B45""),0),1))"),"FV0426A")</f>
        <v>FV0426A</v>
      </c>
      <c r="B83" s="229" t="str">
        <f>IFERROR(__xludf.DUMMYFUNCTION("if(E83=506,""-"",INDEX(IMPORTRANGE(""https://docs.google.com/spreadsheets/d/1WbE6HOh_eG5_DM53SVfuckYm0VQnhNvuwjql7Tw1FX0/edit?gid=660406182#gid=660406182"", ""'""&amp;D83&amp;""'!D2:D45""),match(E83,IMPORTRANGE(""https://docs.google.com/spreadsheets/d/1WbE6HOh_eG"&amp;"5_DM53SVfuckYm0VQnhNvuwjql7Tw1FX0/edit?gid=660406182#gid=660406182"", ""'""&amp;D83&amp;""'!B2:B45""),0),1))"),"CS")</f>
        <v>CS</v>
      </c>
      <c r="C83" s="135" t="str">
        <f>IFERROR(__xludf.DUMMYFUNCTION("if(A83=""FEA006A"",""Garlic Herb Grilled Chicken"", ifna(INDEX(IMPORTRANGE(""https://docs.google.com/spreadsheets/d/1mnGm3iYGkB4FyqAD-LwwVYksgBMX_SY4qHQa16KgMiw/edit?gid=1956920866#gid=1956920866"", ""'EU Meal Database'!$E$2:$E""),MATCH(A83,IMPORTRANGE("""&amp;"https://docs.google.com/spreadsheets/d/1mnGm3iYGkB4FyqAD-LwwVYksgBMX_SY4qHQa16KgMiw/edit?gid=1956920866#gid=1956920866"",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DB_Product'!$B$2:$B""),MATCH(A83,IMPORTRANGE(""https://docs.google.com/spreadsheets/d/1n4t_JF5P_MLd0hMmhjv1A2rgLKdyee_-mrZZmdZr9G4/edit?gid=670402169#gid=670402169"", ""'Meal DB_Product'!$A$2:$A""),0))))"),"Grilled chicken fillet and potato leek mash")</f>
        <v>Grilled chicken fillet and potato leek mash</v>
      </c>
      <c r="D83" s="62" t="s">
        <v>230</v>
      </c>
      <c r="E83" s="230">
        <v>402.0</v>
      </c>
      <c r="F83" s="62">
        <v>602.0</v>
      </c>
      <c r="G83" s="231">
        <v>302.0</v>
      </c>
      <c r="H83" s="281">
        <f>IFERROR(__xludf.DUMMYFUNCTION("""COMPUTED_VALUE"""),3331.0)</f>
        <v>3331</v>
      </c>
      <c r="I83" s="232">
        <f>IFERROR(__xludf.DUMMYFUNCTION("""COMPUTED_VALUE"""),2096.0)</f>
        <v>2096</v>
      </c>
      <c r="J83" s="233">
        <f>IFERROR(__xludf.DUMMYFUNCTION("""COMPUTED_VALUE"""),1428.0)</f>
        <v>1428</v>
      </c>
      <c r="K83" s="244">
        <f>IFERROR(__xludf.DUMMYFUNCTION("""COMPUTED_VALUE"""),0.0)</f>
        <v>0</v>
      </c>
      <c r="L83" s="243">
        <f t="shared" ref="L83:M83" si="245">H83+20</f>
        <v>3351</v>
      </c>
      <c r="M83" s="244">
        <f t="shared" si="245"/>
        <v>2116</v>
      </c>
      <c r="N83" s="245">
        <f t="shared" si="246"/>
        <v>1448</v>
      </c>
      <c r="O83" s="268">
        <f t="array" ref="O83">iferror(if(INDEX('Slot Selection'!$A$2:$BJ$38, MATCH(E83-400,'Slot Selection'!$A$2:$A$38, 0), MATCH("2026-"&amp;D83,'Slot Selection'!$2:$2, 0)),1,0),0)</f>
        <v>1</v>
      </c>
      <c r="P83" s="269">
        <f t="array" ref="P83">iferror(if(INDEX('Slot Selection'!$A$80:$BJ$116, MATCH(F83-600,'Slot Selection'!$A$80:$A$116, 0), MATCH("2026-"&amp;D83,'Slot Selection'!$80:$80, 0)),1,0),0)</f>
        <v>1</v>
      </c>
      <c r="Q83" s="270">
        <f t="array" ref="Q83">iferror(if(INDEX('Slot Selection'!$A$41:$BJ$77, MATCH(F83-600,'Slot Selection'!$A$41:$A$77, 0), MATCH("2026-"&amp;D83,'Slot Selection'!$41:$41, 0)),1,0),0)</f>
        <v>1</v>
      </c>
      <c r="R83" s="230">
        <f t="shared" ref="R83:T83" si="247">L83*O83</f>
        <v>3351</v>
      </c>
      <c r="S83" s="248">
        <f t="shared" si="247"/>
        <v>2116</v>
      </c>
      <c r="T83" s="248">
        <f t="shared" si="247"/>
        <v>1448</v>
      </c>
      <c r="U83" s="243">
        <f t="shared" ref="U83:W83" si="248">L83-R83</f>
        <v>0</v>
      </c>
      <c r="V83" s="244">
        <f t="shared" si="248"/>
        <v>0</v>
      </c>
      <c r="W83" s="245">
        <f t="shared" si="248"/>
        <v>0</v>
      </c>
    </row>
    <row r="84">
      <c r="A84" s="242" t="str">
        <f>IFERROR(__xludf.DUMMYFUNCTION("if(E84=506,""FEA006A"",INDEX(IMPORTRANGE(""https://docs.google.com/spreadsheets/d/1WbE6HOh_eG5_DM53SVfuckYm0VQnhNvuwjql7Tw1FX0/edit?gid=660406182#gid=660406182"", ""'""&amp;D84&amp;""'!H2:H45""),match(E84,IMPORTRANGE(""https://docs.google.com/spreadsheets/d/1WbE6"&amp;"HOh_eG5_DM53SVfuckYm0VQnhNvuwjql7Tw1FX0/edit?gid=660406182#gid=660406182"", ""'""&amp;D84&amp;""'!B2:B45""),0),1))"),"FE0849B")</f>
        <v>FE0849B</v>
      </c>
      <c r="B84" s="229" t="str">
        <f>IFERROR(__xludf.DUMMYFUNCTION("if(E84=506,""-"",INDEX(IMPORTRANGE(""https://docs.google.com/spreadsheets/d/1WbE6HOh_eG5_DM53SVfuckYm0VQnhNvuwjql7Tw1FX0/edit?gid=660406182#gid=660406182"", ""'""&amp;D84&amp;""'!D2:D45""),match(E84,IMPORTRANGE(""https://docs.google.com/spreadsheets/d/1WbE6HOh_eG"&amp;"5_DM53SVfuckYm0VQnhNvuwjql7Tw1FX0/edit?gid=660406182#gid=660406182"", ""'""&amp;D84&amp;""'!B2:B45""),0),1))"),"Keto")</f>
        <v>Keto</v>
      </c>
      <c r="C84" s="135" t="str">
        <f>IFERROR(__xludf.DUMMYFUNCTION("if(A84=""FEA006A"",""Garlic Herb Grilled Chicken"", ifna(INDEX(IMPORTRANGE(""https://docs.google.com/spreadsheets/d/1mnGm3iYGkB4FyqAD-LwwVYksgBMX_SY4qHQa16KgMiw/edit?gid=1956920866#gid=1956920866"", ""'EU Meal Database'!$E$2:$E""),MATCH(A84,IMPORTRANGE("""&amp;"https://docs.google.com/spreadsheets/d/1mnGm3iYGkB4FyqAD-LwwVYksgBMX_SY4qHQa16KgMiw/edit?gid=1956920866#gid=1956920866"",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DB_Product'!$B$2:$B""),MATCH(A84,IMPORTRANGE(""https://docs.google.com/spreadsheets/d/1n4t_JF5P_MLd0hMmhjv1A2rgLKdyee_-mrZZmdZr9G4/edit?gid=670402169#gid=670402169"", ""'Meal DB_Product'!$A$2:$A""),0))))"),"Courgette-spaghetti bolognese")</f>
        <v>Courgette-spaghetti bolognese</v>
      </c>
      <c r="D84" s="62" t="s">
        <v>230</v>
      </c>
      <c r="E84" s="230">
        <v>403.0</v>
      </c>
      <c r="F84" s="62">
        <v>603.0</v>
      </c>
      <c r="G84" s="231">
        <v>303.0</v>
      </c>
      <c r="H84" s="281">
        <f>IFERROR(__xludf.DUMMYFUNCTION("""COMPUTED_VALUE"""),2916.0)</f>
        <v>2916</v>
      </c>
      <c r="I84" s="232">
        <f>IFERROR(__xludf.DUMMYFUNCTION("""COMPUTED_VALUE"""),1823.0)</f>
        <v>1823</v>
      </c>
      <c r="J84" s="233">
        <f>IFERROR(__xludf.DUMMYFUNCTION("""COMPUTED_VALUE"""),1460.0)</f>
        <v>1460</v>
      </c>
      <c r="K84" s="244">
        <f>IFERROR(__xludf.DUMMYFUNCTION("""COMPUTED_VALUE"""),0.0)</f>
        <v>0</v>
      </c>
      <c r="L84" s="243">
        <f t="shared" ref="L84:M84" si="249">H84+20</f>
        <v>2936</v>
      </c>
      <c r="M84" s="244">
        <f t="shared" si="249"/>
        <v>1843</v>
      </c>
      <c r="N84" s="245">
        <f t="shared" si="246"/>
        <v>1480</v>
      </c>
      <c r="O84" s="268">
        <f t="array" ref="O84">iferror(if(INDEX('Slot Selection'!$A$2:$BJ$38, MATCH(E84-400,'Slot Selection'!$A$2:$A$38, 0), MATCH("2026-"&amp;D84,'Slot Selection'!$2:$2, 0)),1,0),0)</f>
        <v>0</v>
      </c>
      <c r="P84" s="269">
        <f t="array" ref="P84">iferror(if(INDEX('Slot Selection'!$A$80:$BJ$116, MATCH(F84-600,'Slot Selection'!$A$80:$A$116, 0), MATCH("2026-"&amp;D84,'Slot Selection'!$80:$80, 0)),1,0),0)</f>
        <v>0</v>
      </c>
      <c r="Q84" s="270">
        <f t="array" ref="Q84">iferror(if(INDEX('Slot Selection'!$A$41:$BJ$77, MATCH(F84-600,'Slot Selection'!$A$41:$A$77, 0), MATCH("2026-"&amp;D84,'Slot Selection'!$41:$41, 0)),1,0),0)</f>
        <v>0</v>
      </c>
      <c r="R84" s="230">
        <f t="shared" ref="R84:T84" si="250">L84*O84</f>
        <v>0</v>
      </c>
      <c r="S84" s="248">
        <f t="shared" si="250"/>
        <v>0</v>
      </c>
      <c r="T84" s="248">
        <f t="shared" si="250"/>
        <v>0</v>
      </c>
      <c r="U84" s="243">
        <f t="shared" ref="U84:W84" si="251">L84-R84</f>
        <v>2936</v>
      </c>
      <c r="V84" s="244">
        <f t="shared" si="251"/>
        <v>1843</v>
      </c>
      <c r="W84" s="245">
        <f t="shared" si="251"/>
        <v>1480</v>
      </c>
    </row>
    <row r="85">
      <c r="A85" s="242" t="str">
        <f>IFERROR(__xludf.DUMMYFUNCTION("if(E85=506,""FEA006A"",INDEX(IMPORTRANGE(""https://docs.google.com/spreadsheets/d/1WbE6HOh_eG5_DM53SVfuckYm0VQnhNvuwjql7Tw1FX0/edit?gid=660406182#gid=660406182"", ""'""&amp;D85&amp;""'!H2:H45""),match(E85,IMPORTRANGE(""https://docs.google.com/spreadsheets/d/1WbE6"&amp;"HOh_eG5_DM53SVfuckYm0VQnhNvuwjql7Tw1FX0/edit?gid=660406182#gid=660406182"", ""'""&amp;D85&amp;""'!B2:B45""),0),1))"),"FE1346B")</f>
        <v>FE1346B</v>
      </c>
      <c r="B85" s="229" t="str">
        <f>IFERROR(__xludf.DUMMYFUNCTION("if(E85=506,""-"",INDEX(IMPORTRANGE(""https://docs.google.com/spreadsheets/d/1WbE6HOh_eG5_DM53SVfuckYm0VQnhNvuwjql7Tw1FX0/edit?gid=660406182#gid=660406182"", ""'""&amp;D85&amp;""'!D2:D45""),match(E85,IMPORTRANGE(""https://docs.google.com/spreadsheets/d/1WbE6HOh_eG"&amp;"5_DM53SVfuckYm0VQnhNvuwjql7Tw1FX0/edit?gid=660406182#gid=660406182"", ""'""&amp;D85&amp;""'!B2:B45""),0),1))"),"P+")</f>
        <v>P+</v>
      </c>
      <c r="C85" s="135" t="str">
        <f>IFERROR(__xludf.DUMMYFUNCTION("if(A85=""FEA006A"",""Garlic Herb Grilled Chicken"", ifna(INDEX(IMPORTRANGE(""https://docs.google.com/spreadsheets/d/1mnGm3iYGkB4FyqAD-LwwVYksgBMX_SY4qHQa16KgMiw/edit?gid=1956920866#gid=1956920866"", ""'EU Meal Database'!$E$2:$E""),MATCH(A85,IMPORTRANGE("""&amp;"https://docs.google.com/spreadsheets/d/1mnGm3iYGkB4FyqAD-LwwVYksgBMX_SY4qHQa16KgMiw/edit?gid=1956920866#gid=1956920866"",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DB_Product'!$B$2:$B""),MATCH(A85,IMPORTRANGE(""https://docs.google.com/spreadsheets/d/1n4t_JF5P_MLd0hMmhjv1A2rgLKdyee_-mrZZmdZr9G4/edit?gid=670402169#gid=670402169"", ""'Meal DB_Product'!$A$2:$A""),0))))"),"Parmesan &amp; Garlic Cream Pulled Beef")</f>
        <v>Parmesan &amp; Garlic Cream Pulled Beef</v>
      </c>
      <c r="D85" s="62" t="s">
        <v>230</v>
      </c>
      <c r="E85" s="230">
        <v>404.0</v>
      </c>
      <c r="F85" s="62">
        <v>604.0</v>
      </c>
      <c r="G85" s="231">
        <v>304.0</v>
      </c>
      <c r="H85" s="281">
        <f>IFERROR(__xludf.DUMMYFUNCTION("""COMPUTED_VALUE"""),4762.0)</f>
        <v>4762</v>
      </c>
      <c r="I85" s="232">
        <f>IFERROR(__xludf.DUMMYFUNCTION("""COMPUTED_VALUE"""),2668.0)</f>
        <v>2668</v>
      </c>
      <c r="J85" s="233">
        <f>IFERROR(__xludf.DUMMYFUNCTION("""COMPUTED_VALUE"""),2012.0)</f>
        <v>2012</v>
      </c>
      <c r="K85" s="244">
        <f>IFERROR(__xludf.DUMMYFUNCTION("""COMPUTED_VALUE"""),0.0)</f>
        <v>0</v>
      </c>
      <c r="L85" s="243">
        <f t="shared" ref="L85:M85" si="252">H85+20</f>
        <v>4782</v>
      </c>
      <c r="M85" s="244">
        <f t="shared" si="252"/>
        <v>2688</v>
      </c>
      <c r="N85" s="245">
        <f t="shared" si="246"/>
        <v>2032</v>
      </c>
      <c r="O85" s="268">
        <f t="array" ref="O85">iferror(if(INDEX('Slot Selection'!$A$2:$BJ$38, MATCH(E85-400,'Slot Selection'!$A$2:$A$38, 0), MATCH("2026-"&amp;D85,'Slot Selection'!$2:$2, 0)),1,0),0)</f>
        <v>0</v>
      </c>
      <c r="P85" s="269">
        <f t="array" ref="P85">iferror(if(INDEX('Slot Selection'!$A$80:$BJ$116, MATCH(F85-600,'Slot Selection'!$A$80:$A$116, 0), MATCH("2026-"&amp;D85,'Slot Selection'!$80:$80, 0)),1,0),0)</f>
        <v>0</v>
      </c>
      <c r="Q85" s="270">
        <f t="array" ref="Q85">iferror(if(INDEX('Slot Selection'!$A$41:$BJ$77, MATCH(F85-600,'Slot Selection'!$A$41:$A$77, 0), MATCH("2026-"&amp;D85,'Slot Selection'!$41:$41, 0)),1,0),0)</f>
        <v>0</v>
      </c>
      <c r="R85" s="230">
        <f t="shared" ref="R85:T85" si="253">L85*O85</f>
        <v>0</v>
      </c>
      <c r="S85" s="248">
        <f t="shared" si="253"/>
        <v>0</v>
      </c>
      <c r="T85" s="248">
        <f t="shared" si="253"/>
        <v>0</v>
      </c>
      <c r="U85" s="243">
        <f t="shared" ref="U85:W85" si="254">L85-R85</f>
        <v>4782</v>
      </c>
      <c r="V85" s="244">
        <f t="shared" si="254"/>
        <v>2688</v>
      </c>
      <c r="W85" s="245">
        <f t="shared" si="254"/>
        <v>2032</v>
      </c>
    </row>
    <row r="86">
      <c r="A86" s="242" t="str">
        <f>IFERROR(__xludf.DUMMYFUNCTION("if(E86=506,""FEA006A"",INDEX(IMPORTRANGE(""https://docs.google.com/spreadsheets/d/1WbE6HOh_eG5_DM53SVfuckYm0VQnhNvuwjql7Tw1FX0/edit?gid=660406182#gid=660406182"", ""'""&amp;D86&amp;""'!H2:H45""),match(E86,IMPORTRANGE(""https://docs.google.com/spreadsheets/d/1WbE6"&amp;"HOh_eG5_DM53SVfuckYm0VQnhNvuwjql7Tw1FX0/edit?gid=660406182#gid=660406182"", ""'""&amp;D86&amp;""'!B2:B45""),0),1))"),"FE0322O")</f>
        <v>FE0322O</v>
      </c>
      <c r="B86" s="229" t="str">
        <f>IFERROR(__xludf.DUMMYFUNCTION("if(E86=506,""-"",INDEX(IMPORTRANGE(""https://docs.google.com/spreadsheets/d/1WbE6HOh_eG5_DM53SVfuckYm0VQnhNvuwjql7Tw1FX0/edit?gid=660406182#gid=660406182"", ""'""&amp;D86&amp;""'!D2:D45""),match(E86,IMPORTRANGE(""https://docs.google.com/spreadsheets/d/1WbE6HOh_eG"&amp;"5_DM53SVfuckYm0VQnhNvuwjql7Tw1FX0/edit?gid=660406182#gid=660406182"", ""'""&amp;D86&amp;""'!B2:B45""),0),1))"),"CS")</f>
        <v>CS</v>
      </c>
      <c r="C86" s="135" t="str">
        <f>IFERROR(__xludf.DUMMYFUNCTION("if(A86=""FEA006A"",""Garlic Herb Grilled Chicken"", ifna(INDEX(IMPORTRANGE(""https://docs.google.com/spreadsheets/d/1mnGm3iYGkB4FyqAD-LwwVYksgBMX_SY4qHQa16KgMiw/edit?gid=1956920866#gid=1956920866"", ""'EU Meal Database'!$E$2:$E""),MATCH(A86,IMPORTRANGE("""&amp;"https://docs.google.com/spreadsheets/d/1mnGm3iYGkB4FyqAD-LwwVYksgBMX_SY4qHQa16KgMiw/edit?gid=1956920866#gid=1956920866"",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DB_Product'!$B$2:$B""),MATCH(A86,IMPORTRANGE(""https://docs.google.com/spreadsheets/d/1n4t_JF5P_MLd0hMmhjv1A2rgLKdyee_-mrZZmdZr9G4/edit?gid=670402169#gid=670402169"", ""'Meal DB_Product'!$A$2:$A""),0))))"),"Sour Cream &amp; Chive Chicken")</f>
        <v>Sour Cream &amp; Chive Chicken</v>
      </c>
      <c r="D86" s="62" t="s">
        <v>230</v>
      </c>
      <c r="E86" s="230">
        <v>405.0</v>
      </c>
      <c r="F86" s="62">
        <v>605.0</v>
      </c>
      <c r="G86" s="231">
        <v>305.0</v>
      </c>
      <c r="H86" s="281">
        <f>IFERROR(__xludf.DUMMYFUNCTION("""COMPUTED_VALUE"""),2304.0)</f>
        <v>2304</v>
      </c>
      <c r="I86" s="232">
        <f>IFERROR(__xludf.DUMMYFUNCTION("""COMPUTED_VALUE"""),1563.0)</f>
        <v>1563</v>
      </c>
      <c r="J86" s="233">
        <f>IFERROR(__xludf.DUMMYFUNCTION("""COMPUTED_VALUE"""),1331.0)</f>
        <v>1331</v>
      </c>
      <c r="K86" s="244">
        <f>IFERROR(__xludf.DUMMYFUNCTION("""COMPUTED_VALUE"""),0.0)</f>
        <v>0</v>
      </c>
      <c r="L86" s="243">
        <f t="shared" ref="L86:M86" si="255">H86+20</f>
        <v>2324</v>
      </c>
      <c r="M86" s="244">
        <f t="shared" si="255"/>
        <v>1583</v>
      </c>
      <c r="N86" s="245">
        <f t="shared" si="246"/>
        <v>1351</v>
      </c>
      <c r="O86" s="268">
        <f t="array" ref="O86">iferror(if(INDEX('Slot Selection'!$A$2:$BJ$38, MATCH(E86-400,'Slot Selection'!$A$2:$A$38, 0), MATCH("2026-"&amp;D86,'Slot Selection'!$2:$2, 0)),1,0),0)</f>
        <v>0</v>
      </c>
      <c r="P86" s="269">
        <f t="array" ref="P86">iferror(if(INDEX('Slot Selection'!$A$80:$BJ$116, MATCH(F86-600,'Slot Selection'!$A$80:$A$116, 0), MATCH("2026-"&amp;D86,'Slot Selection'!$80:$80, 0)),1,0),0)</f>
        <v>1</v>
      </c>
      <c r="Q86" s="270">
        <f t="array" ref="Q86">iferror(if(INDEX('Slot Selection'!$A$41:$BJ$77, MATCH(F86-600,'Slot Selection'!$A$41:$A$77, 0), MATCH("2026-"&amp;D86,'Slot Selection'!$41:$41, 0)),1,0),0)</f>
        <v>1</v>
      </c>
      <c r="R86" s="230">
        <f t="shared" ref="R86:T86" si="256">L86*O86</f>
        <v>0</v>
      </c>
      <c r="S86" s="248">
        <f t="shared" si="256"/>
        <v>1583</v>
      </c>
      <c r="T86" s="248">
        <f t="shared" si="256"/>
        <v>1351</v>
      </c>
      <c r="U86" s="243">
        <f t="shared" ref="U86:W86" si="257">L86-R86</f>
        <v>2324</v>
      </c>
      <c r="V86" s="244">
        <f t="shared" si="257"/>
        <v>0</v>
      </c>
      <c r="W86" s="245">
        <f t="shared" si="257"/>
        <v>0</v>
      </c>
    </row>
    <row r="87">
      <c r="A87" s="242" t="str">
        <f>IFERROR(__xludf.DUMMYFUNCTION("if(E87=506,""FEA006A"",INDEX(IMPORTRANGE(""https://docs.google.com/spreadsheets/d/1WbE6HOh_eG5_DM53SVfuckYm0VQnhNvuwjql7Tw1FX0/edit?gid=660406182#gid=660406182"", ""'""&amp;D87&amp;""'!H2:H45""),match(E87,IMPORTRANGE(""https://docs.google.com/spreadsheets/d/1WbE6"&amp;"HOh_eG5_DM53SVfuckYm0VQnhNvuwjql7Tw1FX0/edit?gid=660406182#gid=660406182"", ""'""&amp;D87&amp;""'!B2:B45""),0),1))"),"FE4039C")</f>
        <v>FE4039C</v>
      </c>
      <c r="B87" s="229" t="str">
        <f>IFERROR(__xludf.DUMMYFUNCTION("if(E87=506,""-"",INDEX(IMPORTRANGE(""https://docs.google.com/spreadsheets/d/1WbE6HOh_eG5_DM53SVfuckYm0VQnhNvuwjql7Tw1FX0/edit?gid=660406182#gid=660406182"", ""'""&amp;D87&amp;""'!D2:D45""),match(E87,IMPORTRANGE(""https://docs.google.com/spreadsheets/d/1WbE6HOh_eG"&amp;"5_DM53SVfuckYm0VQnhNvuwjql7Tw1FX0/edit?gid=660406182#gid=660406182"", ""'""&amp;D87&amp;""'!B2:B45""),0),1))"),"Keto")</f>
        <v>Keto</v>
      </c>
      <c r="C87" s="135" t="str">
        <f>IFERROR(__xludf.DUMMYFUNCTION("if(A87=""FEA006A"",""Garlic Herb Grilled Chicken"", ifna(INDEX(IMPORTRANGE(""https://docs.google.com/spreadsheets/d/1mnGm3iYGkB4FyqAD-LwwVYksgBMX_SY4qHQa16KgMiw/edit?gid=1956920866#gid=1956920866"", ""'EU Meal Database'!$E$2:$E""),MATCH(A87,IMPORTRANGE("""&amp;"https://docs.google.com/spreadsheets/d/1mnGm3iYGkB4FyqAD-LwwVYksgBMX_SY4qHQa16KgMiw/edit?gid=1956920866#gid=1956920866"",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DB_Product'!$B$2:$B""),MATCH(A87,IMPORTRANGE(""https://docs.google.com/spreadsheets/d/1n4t_JF5P_MLd0hMmhjv1A2rgLKdyee_-mrZZmdZr9G4/edit?gid=670402169#gid=670402169"", ""'Meal DB_Product'!$A$2:$A""),0))))"),"Salmon in creamy gochugaru sauce")</f>
        <v>Salmon in creamy gochugaru sauce</v>
      </c>
      <c r="D87" s="62" t="s">
        <v>230</v>
      </c>
      <c r="E87" s="230">
        <v>406.0</v>
      </c>
      <c r="F87" s="62">
        <v>606.0</v>
      </c>
      <c r="G87" s="231">
        <v>306.0</v>
      </c>
      <c r="H87" s="281">
        <f>IFERROR(__xludf.DUMMYFUNCTION("""COMPUTED_VALUE"""),2579.0)</f>
        <v>2579</v>
      </c>
      <c r="I87" s="232">
        <f>IFERROR(__xludf.DUMMYFUNCTION("""COMPUTED_VALUE"""),1565.0)</f>
        <v>1565</v>
      </c>
      <c r="J87" s="233">
        <f>IFERROR(__xludf.DUMMYFUNCTION("""COMPUTED_VALUE"""),1514.0)</f>
        <v>1514</v>
      </c>
      <c r="K87" s="244">
        <f>IFERROR(__xludf.DUMMYFUNCTION("""COMPUTED_VALUE"""),0.0)</f>
        <v>0</v>
      </c>
      <c r="L87" s="243">
        <f t="shared" ref="L87:M87" si="258">H87+20</f>
        <v>2599</v>
      </c>
      <c r="M87" s="244">
        <f t="shared" si="258"/>
        <v>1585</v>
      </c>
      <c r="N87" s="245">
        <f t="shared" si="246"/>
        <v>1534</v>
      </c>
      <c r="O87" s="268">
        <f t="array" ref="O87">iferror(if(INDEX('Slot Selection'!$A$2:$BJ$38, MATCH(E87-400,'Slot Selection'!$A$2:$A$38, 0), MATCH("2026-"&amp;D87,'Slot Selection'!$2:$2, 0)),1,0),0)</f>
        <v>0</v>
      </c>
      <c r="P87" s="269">
        <f t="array" ref="P87">iferror(if(INDEX('Slot Selection'!$A$80:$BJ$116, MATCH(F87-600,'Slot Selection'!$A$80:$A$116, 0), MATCH("2026-"&amp;D87,'Slot Selection'!$80:$80, 0)),1,0),0)</f>
        <v>1</v>
      </c>
      <c r="Q87" s="270">
        <f t="array" ref="Q87">iferror(if(INDEX('Slot Selection'!$A$41:$BJ$77, MATCH(F87-600,'Slot Selection'!$A$41:$A$77, 0), MATCH("2026-"&amp;D87,'Slot Selection'!$41:$41, 0)),1,0),0)</f>
        <v>1</v>
      </c>
      <c r="R87" s="230">
        <f t="shared" ref="R87:T87" si="259">L87*O87</f>
        <v>0</v>
      </c>
      <c r="S87" s="248">
        <f t="shared" si="259"/>
        <v>1585</v>
      </c>
      <c r="T87" s="248">
        <f t="shared" si="259"/>
        <v>1534</v>
      </c>
      <c r="U87" s="243">
        <f t="shared" ref="U87:W87" si="260">L87-R87</f>
        <v>2599</v>
      </c>
      <c r="V87" s="244">
        <f t="shared" si="260"/>
        <v>0</v>
      </c>
      <c r="W87" s="245">
        <f t="shared" si="260"/>
        <v>0</v>
      </c>
    </row>
    <row r="88">
      <c r="A88" s="242" t="str">
        <f>IFERROR(__xludf.DUMMYFUNCTION("if(E88=506,""FEA006A"",INDEX(IMPORTRANGE(""https://docs.google.com/spreadsheets/d/1WbE6HOh_eG5_DM53SVfuckYm0VQnhNvuwjql7Tw1FX0/edit?gid=660406182#gid=660406182"", ""'""&amp;D88&amp;""'!H2:H45""),match(E88,IMPORTRANGE(""https://docs.google.com/spreadsheets/d/1WbE6"&amp;"HOh_eG5_DM53SVfuckYm0VQnhNvuwjql7Tw1FX0/edit?gid=660406182#gid=660406182"", ""'""&amp;D88&amp;""'!B2:B45""),0),1))"),"FE0794D")</f>
        <v>FE0794D</v>
      </c>
      <c r="B88" s="229" t="str">
        <f>IFERROR(__xludf.DUMMYFUNCTION("if(E88=506,""-"",INDEX(IMPORTRANGE(""https://docs.google.com/spreadsheets/d/1WbE6HOh_eG5_DM53SVfuckYm0VQnhNvuwjql7Tw1FX0/edit?gid=660406182#gid=660406182"", ""'""&amp;D88&amp;""'!D2:D45""),match(E88,IMPORTRANGE(""https://docs.google.com/spreadsheets/d/1WbE6HOh_eG"&amp;"5_DM53SVfuckYm0VQnhNvuwjql7Tw1FX0/edit?gid=660406182#gid=660406182"", ""'""&amp;D88&amp;""'!B2:B45""),0),1))"),"Keto")</f>
        <v>Keto</v>
      </c>
      <c r="C88" s="135" t="str">
        <f>IFERROR(__xludf.DUMMYFUNCTION("if(A88=""FEA006A"",""Garlic Herb Grilled Chicken"", ifna(INDEX(IMPORTRANGE(""https://docs.google.com/spreadsheets/d/1mnGm3iYGkB4FyqAD-LwwVYksgBMX_SY4qHQa16KgMiw/edit?gid=1956920866#gid=1956920866"", ""'EU Meal Database'!$E$2:$E""),MATCH(A88,IMPORTRANGE("""&amp;"https://docs.google.com/spreadsheets/d/1mnGm3iYGkB4FyqAD-LwwVYksgBMX_SY4qHQa16KgMiw/edit?gid=1956920866#gid=1956920866"",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DB_Product'!$B$2:$B""),MATCH(A88,IMPORTRANGE(""https://docs.google.com/spreadsheets/d/1n4t_JF5P_MLd0hMmhjv1A2rgLKdyee_-mrZZmdZr9G4/edit?gid=670402169#gid=670402169"", ""'Meal DB_Product'!$A$2:$A""),0))))"),"Loaded Bacon Shredded Chicken")</f>
        <v>Loaded Bacon Shredded Chicken</v>
      </c>
      <c r="D88" s="62" t="s">
        <v>230</v>
      </c>
      <c r="E88" s="230">
        <v>407.0</v>
      </c>
      <c r="F88" s="62">
        <v>607.0</v>
      </c>
      <c r="G88" s="231">
        <v>307.0</v>
      </c>
      <c r="H88" s="281">
        <f>IFERROR(__xludf.DUMMYFUNCTION("""COMPUTED_VALUE"""),2242.0)</f>
        <v>2242</v>
      </c>
      <c r="I88" s="232">
        <f>IFERROR(__xludf.DUMMYFUNCTION("""COMPUTED_VALUE"""),1415.0)</f>
        <v>1415</v>
      </c>
      <c r="J88" s="233">
        <f>IFERROR(__xludf.DUMMYFUNCTION("""COMPUTED_VALUE"""),1246.0)</f>
        <v>1246</v>
      </c>
      <c r="K88" s="244">
        <f>IFERROR(__xludf.DUMMYFUNCTION("""COMPUTED_VALUE"""),0.0)</f>
        <v>0</v>
      </c>
      <c r="L88" s="243">
        <f t="shared" ref="L88:M88" si="261">H88+20</f>
        <v>2262</v>
      </c>
      <c r="M88" s="244">
        <f t="shared" si="261"/>
        <v>1435</v>
      </c>
      <c r="N88" s="245">
        <f t="shared" si="246"/>
        <v>1266</v>
      </c>
      <c r="O88" s="268">
        <f t="array" ref="O88">iferror(if(INDEX('Slot Selection'!$A$2:$BJ$38, MATCH(E88-400,'Slot Selection'!$A$2:$A$38, 0), MATCH("2026-"&amp;D88,'Slot Selection'!$2:$2, 0)),1,0),0)</f>
        <v>0</v>
      </c>
      <c r="P88" s="269">
        <f t="array" ref="P88">iferror(if(INDEX('Slot Selection'!$A$80:$BJ$116, MATCH(F88-600,'Slot Selection'!$A$80:$A$116, 0), MATCH("2026-"&amp;D88,'Slot Selection'!$80:$80, 0)),1,0),0)</f>
        <v>0</v>
      </c>
      <c r="Q88" s="270">
        <f t="array" ref="Q88">iferror(if(INDEX('Slot Selection'!$A$41:$BJ$77, MATCH(F88-600,'Slot Selection'!$A$41:$A$77, 0), MATCH("2026-"&amp;D88,'Slot Selection'!$41:$41, 0)),1,0),0)</f>
        <v>0</v>
      </c>
      <c r="R88" s="230">
        <f t="shared" ref="R88:T88" si="262">L88*O88</f>
        <v>0</v>
      </c>
      <c r="S88" s="248">
        <f t="shared" si="262"/>
        <v>0</v>
      </c>
      <c r="T88" s="248">
        <f t="shared" si="262"/>
        <v>0</v>
      </c>
      <c r="U88" s="243">
        <f t="shared" ref="U88:W88" si="263">L88-R88</f>
        <v>2262</v>
      </c>
      <c r="V88" s="244">
        <f t="shared" si="263"/>
        <v>1435</v>
      </c>
      <c r="W88" s="245">
        <f t="shared" si="263"/>
        <v>1266</v>
      </c>
    </row>
    <row r="89">
      <c r="A89" s="242" t="str">
        <f>IFERROR(__xludf.DUMMYFUNCTION("if(E89=506,""FEA006A"",INDEX(IMPORTRANGE(""https://docs.google.com/spreadsheets/d/1WbE6HOh_eG5_DM53SVfuckYm0VQnhNvuwjql7Tw1FX0/edit?gid=660406182#gid=660406182"", ""'""&amp;D89&amp;""'!H2:H45""),match(E89,IMPORTRANGE(""https://docs.google.com/spreadsheets/d/1WbE6"&amp;"HOh_eG5_DM53SVfuckYm0VQnhNvuwjql7Tw1FX0/edit?gid=660406182#gid=660406182"", ""'""&amp;D89&amp;""'!B2:B45""),0),1))"),"FE0198E")</f>
        <v>FE0198E</v>
      </c>
      <c r="B89" s="229" t="str">
        <f>IFERROR(__xludf.DUMMYFUNCTION("if(E89=506,""-"",INDEX(IMPORTRANGE(""https://docs.google.com/spreadsheets/d/1WbE6HOh_eG5_DM53SVfuckYm0VQnhNvuwjql7Tw1FX0/edit?gid=660406182#gid=660406182"", ""'""&amp;D89&amp;""'!D2:D45""),match(E89,IMPORTRANGE(""https://docs.google.com/spreadsheets/d/1WbE6HOh_eG"&amp;"5_DM53SVfuckYm0VQnhNvuwjql7Tw1FX0/edit?gid=660406182#gid=660406182"", ""'""&amp;D89&amp;""'!B2:B45""),0),1))"),"Keto")</f>
        <v>Keto</v>
      </c>
      <c r="C89" s="135" t="str">
        <f>IFERROR(__xludf.DUMMYFUNCTION("if(A89=""FEA006A"",""Garlic Herb Grilled Chicken"", ifna(INDEX(IMPORTRANGE(""https://docs.google.com/spreadsheets/d/1mnGm3iYGkB4FyqAD-LwwVYksgBMX_SY4qHQa16KgMiw/edit?gid=1956920866#gid=1956920866"", ""'EU Meal Database'!$E$2:$E""),MATCH(A89,IMPORTRANGE("""&amp;"https://docs.google.com/spreadsheets/d/1mnGm3iYGkB4FyqAD-LwwVYksgBMX_SY4qHQa16KgMiw/edit?gid=1956920866#gid=1956920866"",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DB_Product'!$B$2:$B""),MATCH(A89,IMPORTRANGE(""https://docs.google.com/spreadsheets/d/1n4t_JF5P_MLd0hMmhjv1A2rgLKdyee_-mrZZmdZr9G4/edit?gid=670402169#gid=670402169"", ""'Meal DB_Product'!$A$2:$A""),0))))"),"Spicy chicken with jalapeño, lime and cheddar")</f>
        <v>Spicy chicken with jalapeño, lime and cheddar</v>
      </c>
      <c r="D89" s="62" t="s">
        <v>230</v>
      </c>
      <c r="E89" s="230">
        <v>408.0</v>
      </c>
      <c r="F89" s="62">
        <v>608.0</v>
      </c>
      <c r="G89" s="231">
        <v>308.0</v>
      </c>
      <c r="H89" s="281">
        <f>IFERROR(__xludf.DUMMYFUNCTION("""COMPUTED_VALUE"""),1760.0)</f>
        <v>1760</v>
      </c>
      <c r="I89" s="232">
        <f>IFERROR(__xludf.DUMMYFUNCTION("""COMPUTED_VALUE"""),1096.0)</f>
        <v>1096</v>
      </c>
      <c r="J89" s="233">
        <f>IFERROR(__xludf.DUMMYFUNCTION("""COMPUTED_VALUE"""),1045.0)</f>
        <v>1045</v>
      </c>
      <c r="K89" s="244">
        <f>IFERROR(__xludf.DUMMYFUNCTION("""COMPUTED_VALUE"""),0.0)</f>
        <v>0</v>
      </c>
      <c r="L89" s="243">
        <f t="shared" ref="L89:M89" si="264">H89+20</f>
        <v>1780</v>
      </c>
      <c r="M89" s="244">
        <f t="shared" si="264"/>
        <v>1116</v>
      </c>
      <c r="N89" s="245">
        <f t="shared" si="246"/>
        <v>1065</v>
      </c>
      <c r="O89" s="268">
        <f t="array" ref="O89">iferror(if(INDEX('Slot Selection'!$A$2:$BJ$38, MATCH(E89-400,'Slot Selection'!$A$2:$A$38, 0), MATCH("2026-"&amp;D89,'Slot Selection'!$2:$2, 0)),1,0),0)</f>
        <v>0</v>
      </c>
      <c r="P89" s="269">
        <f t="array" ref="P89">iferror(if(INDEX('Slot Selection'!$A$80:$BJ$116, MATCH(F89-600,'Slot Selection'!$A$80:$A$116, 0), MATCH("2026-"&amp;D89,'Slot Selection'!$80:$80, 0)),1,0),0)</f>
        <v>0</v>
      </c>
      <c r="Q89" s="270">
        <f t="array" ref="Q89">iferror(if(INDEX('Slot Selection'!$A$41:$BJ$77, MATCH(F89-600,'Slot Selection'!$A$41:$A$77, 0), MATCH("2026-"&amp;D89,'Slot Selection'!$41:$41, 0)),1,0),0)</f>
        <v>0</v>
      </c>
      <c r="R89" s="230">
        <f t="shared" ref="R89:T89" si="265">L89*O89</f>
        <v>0</v>
      </c>
      <c r="S89" s="248">
        <f t="shared" si="265"/>
        <v>0</v>
      </c>
      <c r="T89" s="248">
        <f t="shared" si="265"/>
        <v>0</v>
      </c>
      <c r="U89" s="243">
        <f t="shared" ref="U89:W89" si="266">L89-R89</f>
        <v>1780</v>
      </c>
      <c r="V89" s="244">
        <f t="shared" si="266"/>
        <v>1116</v>
      </c>
      <c r="W89" s="245">
        <f t="shared" si="266"/>
        <v>1065</v>
      </c>
    </row>
    <row r="90">
      <c r="A90" s="242" t="str">
        <f>IFERROR(__xludf.DUMMYFUNCTION("if(E90=506,""FEA006A"",INDEX(IMPORTRANGE(""https://docs.google.com/spreadsheets/d/1WbE6HOh_eG5_DM53SVfuckYm0VQnhNvuwjql7Tw1FX0/edit?gid=660406182#gid=660406182"", ""'""&amp;D90&amp;""'!H2:H45""),match(E90,IMPORTRANGE(""https://docs.google.com/spreadsheets/d/1WbE6"&amp;"HOh_eG5_DM53SVfuckYm0VQnhNvuwjql7Tw1FX0/edit?gid=660406182#gid=660406182"", ""'""&amp;D90&amp;""'!B2:B45""),0),1))"),"FE0090C")</f>
        <v>FE0090C</v>
      </c>
      <c r="B90" s="229" t="str">
        <f>IFERROR(__xludf.DUMMYFUNCTION("if(E90=506,""-"",INDEX(IMPORTRANGE(""https://docs.google.com/spreadsheets/d/1WbE6HOh_eG5_DM53SVfuckYm0VQnhNvuwjql7Tw1FX0/edit?gid=660406182#gid=660406182"", ""'""&amp;D90&amp;""'!D2:D45""),match(E90,IMPORTRANGE(""https://docs.google.com/spreadsheets/d/1WbE6HOh_eG"&amp;"5_DM53SVfuckYm0VQnhNvuwjql7Tw1FX0/edit?gid=660406182#gid=660406182"", ""'""&amp;D90&amp;""'!B2:B45""),0),1))"),"Veggie")</f>
        <v>Veggie</v>
      </c>
      <c r="C90" s="135" t="str">
        <f>IFERROR(__xludf.DUMMYFUNCTION("if(A90=""FEA006A"",""Garlic Herb Grilled Chicken"", ifna(INDEX(IMPORTRANGE(""https://docs.google.com/spreadsheets/d/1mnGm3iYGkB4FyqAD-LwwVYksgBMX_SY4qHQa16KgMiw/edit?gid=1956920866#gid=1956920866"", ""'EU Meal Database'!$E$2:$E""),MATCH(A90,IMPORTRANGE("""&amp;"https://docs.google.com/spreadsheets/d/1mnGm3iYGkB4FyqAD-LwwVYksgBMX_SY4qHQa16KgMiw/edit?gid=1956920866#gid=1956920866"",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DB_Product'!$B$2:$B""),MATCH(A90,IMPORTRANGE(""https://docs.google.com/spreadsheets/d/1n4t_JF5P_MLd0hMmhjv1A2rgLKdyee_-mrZZmdZr9G4/edit?gid=670402169#gid=670402169"", ""'Meal DB_Product'!$A$2:$A""),0))))"),"Ratatouille of zucchini and pepper")</f>
        <v>Ratatouille of zucchini and pepper</v>
      </c>
      <c r="D90" s="62" t="s">
        <v>230</v>
      </c>
      <c r="E90" s="230">
        <v>409.0</v>
      </c>
      <c r="F90" s="62">
        <v>609.0</v>
      </c>
      <c r="G90" s="231">
        <v>309.0</v>
      </c>
      <c r="H90" s="281">
        <f>IFERROR(__xludf.DUMMYFUNCTION("""COMPUTED_VALUE"""),409.0)</f>
        <v>409</v>
      </c>
      <c r="I90" s="232">
        <f>IFERROR(__xludf.DUMMYFUNCTION("""COMPUTED_VALUE"""),181.0)</f>
        <v>181</v>
      </c>
      <c r="J90" s="233">
        <f>IFERROR(__xludf.DUMMYFUNCTION("""COMPUTED_VALUE"""),209.0)</f>
        <v>209</v>
      </c>
      <c r="K90" s="244">
        <f>IFERROR(__xludf.DUMMYFUNCTION("""COMPUTED_VALUE"""),0.0)</f>
        <v>0</v>
      </c>
      <c r="L90" s="243">
        <f t="shared" ref="L90:M90" si="267">H90+20</f>
        <v>429</v>
      </c>
      <c r="M90" s="244">
        <f t="shared" si="267"/>
        <v>201</v>
      </c>
      <c r="N90" s="245">
        <f t="shared" si="246"/>
        <v>229</v>
      </c>
      <c r="O90" s="268">
        <f t="array" ref="O90">iferror(if(INDEX('Slot Selection'!$A$2:$BJ$38, MATCH(E90-400,'Slot Selection'!$A$2:$A$38, 0), MATCH("2026-"&amp;D90,'Slot Selection'!$2:$2, 0)),1,0),0)</f>
        <v>1</v>
      </c>
      <c r="P90" s="269">
        <f t="array" ref="P90">iferror(if(INDEX('Slot Selection'!$A$80:$BJ$116, MATCH(F90-600,'Slot Selection'!$A$80:$A$116, 0), MATCH("2026-"&amp;D90,'Slot Selection'!$80:$80, 0)),1,0),0)</f>
        <v>1</v>
      </c>
      <c r="Q90" s="270">
        <f t="array" ref="Q90">iferror(if(INDEX('Slot Selection'!$A$41:$BJ$77, MATCH(F90-600,'Slot Selection'!$A$41:$A$77, 0), MATCH("2026-"&amp;D90,'Slot Selection'!$41:$41, 0)),1,0),0)</f>
        <v>1</v>
      </c>
      <c r="R90" s="230">
        <f t="shared" ref="R90:T90" si="268">L90*O90</f>
        <v>429</v>
      </c>
      <c r="S90" s="248">
        <f t="shared" si="268"/>
        <v>201</v>
      </c>
      <c r="T90" s="248">
        <f t="shared" si="268"/>
        <v>229</v>
      </c>
      <c r="U90" s="243">
        <f t="shared" ref="U90:W90" si="269">L90-R90</f>
        <v>0</v>
      </c>
      <c r="V90" s="248">
        <f t="shared" si="269"/>
        <v>0</v>
      </c>
      <c r="W90" s="249">
        <f t="shared" si="269"/>
        <v>0</v>
      </c>
    </row>
    <row r="91">
      <c r="A91" s="242" t="str">
        <f>IFERROR(__xludf.DUMMYFUNCTION("if(E91=506,""FEA006A"",INDEX(IMPORTRANGE(""https://docs.google.com/spreadsheets/d/1WbE6HOh_eG5_DM53SVfuckYm0VQnhNvuwjql7Tw1FX0/edit?gid=660406182#gid=660406182"", ""'""&amp;D91&amp;""'!H2:H45""),match(E91,IMPORTRANGE(""https://docs.google.com/spreadsheets/d/1WbE6"&amp;"HOh_eG5_DM53SVfuckYm0VQnhNvuwjql7Tw1FX0/edit?gid=660406182#gid=660406182"", ""'""&amp;D91&amp;""'!B2:B45""),0),1))"),"FE0031C")</f>
        <v>FE0031C</v>
      </c>
      <c r="B91" s="229" t="str">
        <f>IFERROR(__xludf.DUMMYFUNCTION("if(E91=506,""-"",INDEX(IMPORTRANGE(""https://docs.google.com/spreadsheets/d/1WbE6HOh_eG5_DM53SVfuckYm0VQnhNvuwjql7Tw1FX0/edit?gid=660406182#gid=660406182"", ""'""&amp;D91&amp;""'!D2:D45""),match(E91,IMPORTRANGE(""https://docs.google.com/spreadsheets/d/1WbE6HOh_eG"&amp;"5_DM53SVfuckYm0VQnhNvuwjql7Tw1FX0/edit?gid=660406182#gid=660406182"", ""'""&amp;D91&amp;""'!B2:B45""),0),1))"),"Veggie")</f>
        <v>Veggie</v>
      </c>
      <c r="C91" s="135" t="str">
        <f>IFERROR(__xludf.DUMMYFUNCTION("if(A91=""FEA006A"",""Garlic Herb Grilled Chicken"", ifna(INDEX(IMPORTRANGE(""https://docs.google.com/spreadsheets/d/1mnGm3iYGkB4FyqAD-LwwVYksgBMX_SY4qHQa16KgMiw/edit?gid=1956920866#gid=1956920866"", ""'EU Meal Database'!$E$2:$E""),MATCH(A91,IMPORTRANGE("""&amp;"https://docs.google.com/spreadsheets/d/1mnGm3iYGkB4FyqAD-LwwVYksgBMX_SY4qHQa16KgMiw/edit?gid=1956920866#gid=1956920866"",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DB_Product'!$B$2:$B""),MATCH(A91,IMPORTRANGE(""https://docs.google.com/spreadsheets/d/1n4t_JF5P_MLd0hMmhjv1A2rgLKdyee_-mrZZmdZr9G4/edit?gid=670402169#gid=670402169"", ""'Meal DB_Product'!$A$2:$A""),0))))"),"Creamy tomato risotto")</f>
        <v>Creamy tomato risotto</v>
      </c>
      <c r="D91" s="62" t="s">
        <v>230</v>
      </c>
      <c r="E91" s="230">
        <v>410.0</v>
      </c>
      <c r="F91" s="62">
        <v>610.0</v>
      </c>
      <c r="G91" s="231">
        <v>310.0</v>
      </c>
      <c r="H91" s="281">
        <f>IFERROR(__xludf.DUMMYFUNCTION("""COMPUTED_VALUE"""),527.0)</f>
        <v>527</v>
      </c>
      <c r="I91" s="232">
        <f>IFERROR(__xludf.DUMMYFUNCTION("""COMPUTED_VALUE"""),244.0)</f>
        <v>244</v>
      </c>
      <c r="J91" s="233">
        <f>IFERROR(__xludf.DUMMYFUNCTION("""COMPUTED_VALUE"""),252.0)</f>
        <v>252</v>
      </c>
      <c r="K91" s="244">
        <f>IFERROR(__xludf.DUMMYFUNCTION("""COMPUTED_VALUE"""),0.0)</f>
        <v>0</v>
      </c>
      <c r="L91" s="243">
        <f t="shared" ref="L91:M91" si="270">H91+20</f>
        <v>547</v>
      </c>
      <c r="M91" s="244">
        <f t="shared" si="270"/>
        <v>264</v>
      </c>
      <c r="N91" s="245">
        <f t="shared" si="246"/>
        <v>272</v>
      </c>
      <c r="O91" s="268">
        <f t="array" ref="O91">iferror(if(INDEX('Slot Selection'!$A$2:$BJ$38, MATCH(E91-400,'Slot Selection'!$A$2:$A$38, 0), MATCH("2026-"&amp;D91,'Slot Selection'!$2:$2, 0)),1,0),0)</f>
        <v>0</v>
      </c>
      <c r="P91" s="269">
        <f t="array" ref="P91">iferror(if(INDEX('Slot Selection'!$A$80:$BJ$116, MATCH(F91-600,'Slot Selection'!$A$80:$A$116, 0), MATCH("2026-"&amp;D91,'Slot Selection'!$80:$80, 0)),1,0),0)</f>
        <v>0</v>
      </c>
      <c r="Q91" s="270">
        <f t="array" ref="Q91">iferror(if(INDEX('Slot Selection'!$A$41:$BJ$77, MATCH(F91-600,'Slot Selection'!$A$41:$A$77, 0), MATCH("2026-"&amp;D91,'Slot Selection'!$41:$41, 0)),1,0),0)</f>
        <v>0</v>
      </c>
      <c r="R91" s="230">
        <f t="shared" ref="R91:T91" si="271">L91*O91</f>
        <v>0</v>
      </c>
      <c r="S91" s="248">
        <f t="shared" si="271"/>
        <v>0</v>
      </c>
      <c r="T91" s="248">
        <f t="shared" si="271"/>
        <v>0</v>
      </c>
      <c r="U91" s="243">
        <f t="shared" ref="U91:W91" si="272">L91-R91</f>
        <v>547</v>
      </c>
      <c r="V91" s="248">
        <f t="shared" si="272"/>
        <v>264</v>
      </c>
      <c r="W91" s="249">
        <f t="shared" si="272"/>
        <v>272</v>
      </c>
    </row>
    <row r="92">
      <c r="A92" s="242" t="str">
        <f>IFERROR(__xludf.DUMMYFUNCTION("if(E92=506,""FEA006A"",INDEX(IMPORTRANGE(""https://docs.google.com/spreadsheets/d/1WbE6HOh_eG5_DM53SVfuckYm0VQnhNvuwjql7Tw1FX0/edit?gid=660406182#gid=660406182"", ""'""&amp;D92&amp;""'!H2:H45""),match(E92,IMPORTRANGE(""https://docs.google.com/spreadsheets/d/1WbE6"&amp;"HOh_eG5_DM53SVfuckYm0VQnhNvuwjql7Tw1FX0/edit?gid=660406182#gid=660406182"", ""'""&amp;D92&amp;""'!B2:B45""),0),1))"),"FE1072B")</f>
        <v>FE1072B</v>
      </c>
      <c r="B92" s="229" t="str">
        <f>IFERROR(__xludf.DUMMYFUNCTION("if(E92=506,""-"",INDEX(IMPORTRANGE(""https://docs.google.com/spreadsheets/d/1WbE6HOh_eG5_DM53SVfuckYm0VQnhNvuwjql7Tw1FX0/edit?gid=660406182#gid=660406182"", ""'""&amp;D92&amp;""'!D2:D45""),match(E92,IMPORTRANGE(""https://docs.google.com/spreadsheets/d/1WbE6HOh_eG"&amp;"5_DM53SVfuckYm0VQnhNvuwjql7Tw1FX0/edit?gid=660406182#gid=660406182"", ""'""&amp;D92&amp;""'!B2:B45""),0),1))"),"Flexible")</f>
        <v>Flexible</v>
      </c>
      <c r="C92" s="135" t="str">
        <f>IFERROR(__xludf.DUMMYFUNCTION("if(A92=""FEA006A"",""Garlic Herb Grilled Chicken"", ifna(INDEX(IMPORTRANGE(""https://docs.google.com/spreadsheets/d/1mnGm3iYGkB4FyqAD-LwwVYksgBMX_SY4qHQa16KgMiw/edit?gid=1956920866#gid=1956920866"", ""'EU Meal Database'!$E$2:$E""),MATCH(A92,IMPORTRANGE("""&amp;"https://docs.google.com/spreadsheets/d/1mnGm3iYGkB4FyqAD-LwwVYksgBMX_SY4qHQa16KgMiw/edit?gid=1956920866#gid=1956920866"",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DB_Product'!$B$2:$B""),MATCH(A92,IMPORTRANGE(""https://docs.google.com/spreadsheets/d/1n4t_JF5P_MLd0hMmhjv1A2rgLKdyee_-mrZZmdZr9G4/edit?gid=670402169#gid=670402169"", ""'Meal DB_Product'!$A$2:$A""),0))))"),"Pork tenderloin in spicy ancho chili sauce")</f>
        <v>Pork tenderloin in spicy ancho chili sauce</v>
      </c>
      <c r="D92" s="62" t="s">
        <v>230</v>
      </c>
      <c r="E92" s="230">
        <v>411.0</v>
      </c>
      <c r="F92" s="62">
        <v>611.0</v>
      </c>
      <c r="G92" s="231">
        <v>311.0</v>
      </c>
      <c r="H92" s="281">
        <f>IFERROR(__xludf.DUMMYFUNCTION("""COMPUTED_VALUE"""),644.0)</f>
        <v>644</v>
      </c>
      <c r="I92" s="232">
        <f>IFERROR(__xludf.DUMMYFUNCTION("""COMPUTED_VALUE"""),387.0)</f>
        <v>387</v>
      </c>
      <c r="J92" s="233">
        <f>IFERROR(__xludf.DUMMYFUNCTION("""COMPUTED_VALUE"""),310.0)</f>
        <v>310</v>
      </c>
      <c r="K92" s="244">
        <f>IFERROR(__xludf.DUMMYFUNCTION("""COMPUTED_VALUE"""),0.0)</f>
        <v>0</v>
      </c>
      <c r="L92" s="243">
        <f t="shared" ref="L92:M92" si="273">H92+20</f>
        <v>664</v>
      </c>
      <c r="M92" s="244">
        <f t="shared" si="273"/>
        <v>407</v>
      </c>
      <c r="N92" s="245">
        <f t="shared" si="246"/>
        <v>330</v>
      </c>
      <c r="O92" s="268">
        <f t="array" ref="O92">iferror(if(INDEX('Slot Selection'!$A$2:$BJ$38, MATCH(E92-400,'Slot Selection'!$A$2:$A$38, 0), MATCH("2026-"&amp;D92,'Slot Selection'!$2:$2, 0)),1,0),0)</f>
        <v>0</v>
      </c>
      <c r="P92" s="269">
        <f t="array" ref="P92">iferror(if(INDEX('Slot Selection'!$A$80:$BJ$116, MATCH(F92-600,'Slot Selection'!$A$80:$A$116, 0), MATCH("2026-"&amp;D92,'Slot Selection'!$80:$80, 0)),1,0),0)</f>
        <v>0</v>
      </c>
      <c r="Q92" s="270">
        <f t="array" ref="Q92">iferror(if(INDEX('Slot Selection'!$A$41:$BJ$77, MATCH(F92-600,'Slot Selection'!$A$41:$A$77, 0), MATCH("2026-"&amp;D92,'Slot Selection'!$41:$41, 0)),1,0),0)</f>
        <v>0</v>
      </c>
      <c r="R92" s="230">
        <f t="shared" ref="R92:T92" si="274">L92*O92</f>
        <v>0</v>
      </c>
      <c r="S92" s="248">
        <f t="shared" si="274"/>
        <v>0</v>
      </c>
      <c r="T92" s="248">
        <f t="shared" si="274"/>
        <v>0</v>
      </c>
      <c r="U92" s="243">
        <f t="shared" ref="U92:W92" si="275">L92-R92</f>
        <v>664</v>
      </c>
      <c r="V92" s="248">
        <f t="shared" si="275"/>
        <v>407</v>
      </c>
      <c r="W92" s="249">
        <f t="shared" si="275"/>
        <v>330</v>
      </c>
    </row>
    <row r="93">
      <c r="A93" s="242" t="str">
        <f>IFERROR(__xludf.DUMMYFUNCTION("if(E93=506,""FEA006A"",INDEX(IMPORTRANGE(""https://docs.google.com/spreadsheets/d/1WbE6HOh_eG5_DM53SVfuckYm0VQnhNvuwjql7Tw1FX0/edit?gid=660406182#gid=660406182"", ""'""&amp;D93&amp;""'!H2:H45""),match(E93,IMPORTRANGE(""https://docs.google.com/spreadsheets/d/1WbE6"&amp;"HOh_eG5_DM53SVfuckYm0VQnhNvuwjql7Tw1FX0/edit?gid=660406182#gid=660406182"", ""'""&amp;D93&amp;""'!B2:B45""),0),1))"),"FE1439A")</f>
        <v>FE1439A</v>
      </c>
      <c r="B93" s="229" t="str">
        <f>IFERROR(__xludf.DUMMYFUNCTION("if(E93=506,""-"",INDEX(IMPORTRANGE(""https://docs.google.com/spreadsheets/d/1WbE6HOh_eG5_DM53SVfuckYm0VQnhNvuwjql7Tw1FX0/edit?gid=660406182#gid=660406182"", ""'""&amp;D93&amp;""'!D2:D45""),match(E93,IMPORTRANGE(""https://docs.google.com/spreadsheets/d/1WbE6HOh_eG"&amp;"5_DM53SVfuckYm0VQnhNvuwjql7Tw1FX0/edit?gid=660406182#gid=660406182"", ""'""&amp;D93&amp;""'!B2:B45""),0),1))"),"P+")</f>
        <v>P+</v>
      </c>
      <c r="C93" s="135" t="str">
        <f>IFERROR(__xludf.DUMMYFUNCTION("if(A93=""FEA006A"",""Garlic Herb Grilled Chicken"", ifna(INDEX(IMPORTRANGE(""https://docs.google.com/spreadsheets/d/1mnGm3iYGkB4FyqAD-LwwVYksgBMX_SY4qHQa16KgMiw/edit?gid=1956920866#gid=1956920866"", ""'EU Meal Database'!$E$2:$E""),MATCH(A93,IMPORTRANGE("""&amp;"https://docs.google.com/spreadsheets/d/1mnGm3iYGkB4FyqAD-LwwVYksgBMX_SY4qHQa16KgMiw/edit?gid=1956920866#gid=1956920866"",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DB_Product'!$B$2:$B""),MATCH(A93,IMPORTRANGE(""https://docs.google.com/spreadsheets/d/1n4t_JF5P_MLd0hMmhjv1A2rgLKdyee_-mrZZmdZr9G4/edit?gid=670402169#gid=670402169"", ""'Meal DB_Product'!$A$2:$A""),0))))"),"Tzatziki Salmon &amp; Lemon Rice")</f>
        <v>Tzatziki Salmon &amp; Lemon Rice</v>
      </c>
      <c r="D93" s="62" t="s">
        <v>230</v>
      </c>
      <c r="E93" s="230">
        <v>412.0</v>
      </c>
      <c r="F93" s="62">
        <v>612.0</v>
      </c>
      <c r="G93" s="231">
        <v>312.0</v>
      </c>
      <c r="H93" s="281">
        <f>IFERROR(__xludf.DUMMYFUNCTION("""COMPUTED_VALUE"""),2963.0)</f>
        <v>2963</v>
      </c>
      <c r="I93" s="232">
        <f>IFERROR(__xludf.DUMMYFUNCTION("""COMPUTED_VALUE"""),1345.0)</f>
        <v>1345</v>
      </c>
      <c r="J93" s="233">
        <f>IFERROR(__xludf.DUMMYFUNCTION("""COMPUTED_VALUE"""),1134.0)</f>
        <v>1134</v>
      </c>
      <c r="K93" s="244">
        <f>IFERROR(__xludf.DUMMYFUNCTION("""COMPUTED_VALUE"""),0.0)</f>
        <v>0</v>
      </c>
      <c r="L93" s="243">
        <f t="shared" ref="L93:M93" si="276">H93+20</f>
        <v>2983</v>
      </c>
      <c r="M93" s="244">
        <f t="shared" si="276"/>
        <v>1365</v>
      </c>
      <c r="N93" s="245">
        <f t="shared" si="246"/>
        <v>1154</v>
      </c>
      <c r="O93" s="268">
        <f t="array" ref="O93">iferror(if(INDEX('Slot Selection'!$A$2:$BJ$38, MATCH(E93-400,'Slot Selection'!$A$2:$A$38, 0), MATCH("2026-"&amp;D93,'Slot Selection'!$2:$2, 0)),1,0),0)</f>
        <v>1</v>
      </c>
      <c r="P93" s="269">
        <f t="array" ref="P93">iferror(if(INDEX('Slot Selection'!$A$80:$BJ$116, MATCH(F93-600,'Slot Selection'!$A$80:$A$116, 0), MATCH("2026-"&amp;D93,'Slot Selection'!$80:$80, 0)),1,0),0)</f>
        <v>1</v>
      </c>
      <c r="Q93" s="270">
        <f t="array" ref="Q93">iferror(if(INDEX('Slot Selection'!$A$41:$BJ$77, MATCH(F93-600,'Slot Selection'!$A$41:$A$77, 0), MATCH("2026-"&amp;D93,'Slot Selection'!$41:$41, 0)),1,0),0)</f>
        <v>1</v>
      </c>
      <c r="R93" s="230">
        <f t="shared" ref="R93:T93" si="277">L93*O93</f>
        <v>2983</v>
      </c>
      <c r="S93" s="248">
        <f t="shared" si="277"/>
        <v>1365</v>
      </c>
      <c r="T93" s="248">
        <f t="shared" si="277"/>
        <v>1154</v>
      </c>
      <c r="U93" s="243">
        <f t="shared" ref="U93:W93" si="278">L93-R93</f>
        <v>0</v>
      </c>
      <c r="V93" s="244">
        <f t="shared" si="278"/>
        <v>0</v>
      </c>
      <c r="W93" s="245">
        <f t="shared" si="278"/>
        <v>0</v>
      </c>
    </row>
    <row r="94">
      <c r="A94" s="242" t="str">
        <f>IFERROR(__xludf.DUMMYFUNCTION("if(E94=506,""FEA006A"",INDEX(IMPORTRANGE(""https://docs.google.com/spreadsheets/d/1WbE6HOh_eG5_DM53SVfuckYm0VQnhNvuwjql7Tw1FX0/edit?gid=660406182#gid=660406182"", ""'""&amp;D94&amp;""'!H2:H45""),match(E94,IMPORTRANGE(""https://docs.google.com/spreadsheets/d/1WbE6"&amp;"HOh_eG5_DM53SVfuckYm0VQnhNvuwjql7Tw1FX0/edit?gid=660406182#gid=660406182"", ""'""&amp;D94&amp;""'!B2:B45""),0),1))"),"FE0401F")</f>
        <v>FE0401F</v>
      </c>
      <c r="B94" s="229" t="str">
        <f>IFERROR(__xludf.DUMMYFUNCTION("if(E94=506,""-"",INDEX(IMPORTRANGE(""https://docs.google.com/spreadsheets/d/1WbE6HOh_eG5_DM53SVfuckYm0VQnhNvuwjql7Tw1FX0/edit?gid=660406182#gid=660406182"", ""'""&amp;D94&amp;""'!D2:D45""),match(E94,IMPORTRANGE(""https://docs.google.com/spreadsheets/d/1WbE6HOh_eG"&amp;"5_DM53SVfuckYm0VQnhNvuwjql7Tw1FX0/edit?gid=660406182#gid=660406182"", ""'""&amp;D94&amp;""'!B2:B45""),0),1))"),"CS")</f>
        <v>CS</v>
      </c>
      <c r="C94" s="135" t="str">
        <f>IFERROR(__xludf.DUMMYFUNCTION("if(A94=""FEA006A"",""Garlic Herb Grilled Chicken"", ifna(INDEX(IMPORTRANGE(""https://docs.google.com/spreadsheets/d/1mnGm3iYGkB4FyqAD-LwwVYksgBMX_SY4qHQa16KgMiw/edit?gid=1956920866#gid=1956920866"", ""'EU Meal Database'!$E$2:$E""),MATCH(A94,IMPORTRANGE("""&amp;"https://docs.google.com/spreadsheets/d/1mnGm3iYGkB4FyqAD-LwwVYksgBMX_SY4qHQa16KgMiw/edit?gid=1956920866#gid=1956920866"",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DB_Product'!$B$2:$B""),MATCH(A94,IMPORTRANGE(""https://docs.google.com/spreadsheets/d/1n4t_JF5P_MLd0hMmhjv1A2rgLKdyee_-mrZZmdZr9G4/edit?gid=670402169#gid=670402169"", ""'Meal DB_Product'!$A$2:$A""),0))))"),"Pulled chicken with cheddar and bacon")</f>
        <v>Pulled chicken with cheddar and bacon</v>
      </c>
      <c r="D94" s="62" t="s">
        <v>230</v>
      </c>
      <c r="E94" s="230">
        <v>413.0</v>
      </c>
      <c r="F94" s="62">
        <v>613.0</v>
      </c>
      <c r="G94" s="231">
        <v>313.0</v>
      </c>
      <c r="H94" s="281">
        <f>IFERROR(__xludf.DUMMYFUNCTION("""COMPUTED_VALUE"""),3705.0)</f>
        <v>3705</v>
      </c>
      <c r="I94" s="232">
        <f>IFERROR(__xludf.DUMMYFUNCTION("""COMPUTED_VALUE"""),1795.0)</f>
        <v>1795</v>
      </c>
      <c r="J94" s="233">
        <f>IFERROR(__xludf.DUMMYFUNCTION("""COMPUTED_VALUE"""),1400.0)</f>
        <v>1400</v>
      </c>
      <c r="K94" s="244">
        <f>IFERROR(__xludf.DUMMYFUNCTION("""COMPUTED_VALUE"""),0.0)</f>
        <v>0</v>
      </c>
      <c r="L94" s="243">
        <f t="shared" ref="L94:M94" si="279">H94+20</f>
        <v>3725</v>
      </c>
      <c r="M94" s="244">
        <f t="shared" si="279"/>
        <v>1815</v>
      </c>
      <c r="N94" s="245">
        <f t="shared" si="246"/>
        <v>1420</v>
      </c>
      <c r="O94" s="268">
        <f t="array" ref="O94">iferror(if(INDEX('Slot Selection'!$A$2:$BJ$38, MATCH(E94-400,'Slot Selection'!$A$2:$A$38, 0), MATCH("2026-"&amp;D94,'Slot Selection'!$2:$2, 0)),1,0),0)</f>
        <v>0</v>
      </c>
      <c r="P94" s="269">
        <f t="array" ref="P94">iferror(if(INDEX('Slot Selection'!$A$80:$BJ$116, MATCH(F94-600,'Slot Selection'!$A$80:$A$116, 0), MATCH("2026-"&amp;D94,'Slot Selection'!$80:$80, 0)),1,0),0)</f>
        <v>0</v>
      </c>
      <c r="Q94" s="270">
        <f t="array" ref="Q94">iferror(if(INDEX('Slot Selection'!$A$41:$BJ$77, MATCH(F94-600,'Slot Selection'!$A$41:$A$77, 0), MATCH("2026-"&amp;D94,'Slot Selection'!$41:$41, 0)),1,0),0)</f>
        <v>0</v>
      </c>
      <c r="R94" s="230">
        <f t="shared" ref="R94:T94" si="280">L94*O94</f>
        <v>0</v>
      </c>
      <c r="S94" s="248">
        <f t="shared" si="280"/>
        <v>0</v>
      </c>
      <c r="T94" s="248">
        <f t="shared" si="280"/>
        <v>0</v>
      </c>
      <c r="U94" s="243">
        <f t="shared" ref="U94:W94" si="281">L94-R94</f>
        <v>3725</v>
      </c>
      <c r="V94" s="244">
        <f t="shared" si="281"/>
        <v>1815</v>
      </c>
      <c r="W94" s="245">
        <f t="shared" si="281"/>
        <v>1420</v>
      </c>
    </row>
    <row r="95">
      <c r="A95" s="242" t="str">
        <f>IFERROR(__xludf.DUMMYFUNCTION("if(E95=506,""FEA006A"",INDEX(IMPORTRANGE(""https://docs.google.com/spreadsheets/d/1WbE6HOh_eG5_DM53SVfuckYm0VQnhNvuwjql7Tw1FX0/edit?gid=660406182#gid=660406182"", ""'""&amp;D95&amp;""'!H2:H45""),match(E95,IMPORTRANGE(""https://docs.google.com/spreadsheets/d/1WbE6"&amp;"HOh_eG5_DM53SVfuckYm0VQnhNvuwjql7Tw1FX0/edit?gid=660406182#gid=660406182"", ""'""&amp;D95&amp;""'!B2:B45""),0),1))"),"FE1790A")</f>
        <v>FE1790A</v>
      </c>
      <c r="B95" s="229" t="str">
        <f>IFERROR(__xludf.DUMMYFUNCTION("if(E95=506,""-"",INDEX(IMPORTRANGE(""https://docs.google.com/spreadsheets/d/1WbE6HOh_eG5_DM53SVfuckYm0VQnhNvuwjql7Tw1FX0/edit?gid=660406182#gid=660406182"", ""'""&amp;D95&amp;""'!D2:D45""),match(E95,IMPORTRANGE(""https://docs.google.com/spreadsheets/d/1WbE6HOh_eG"&amp;"5_DM53SVfuckYm0VQnhNvuwjql7Tw1FX0/edit?gid=660406182#gid=660406182"", ""'""&amp;D95&amp;""'!B2:B45""),0),1))"),"Flexible")</f>
        <v>Flexible</v>
      </c>
      <c r="C95" s="135" t="str">
        <f>IFERROR(__xludf.DUMMYFUNCTION("if(A95=""FEA006A"",""Garlic Herb Grilled Chicken"", ifna(INDEX(IMPORTRANGE(""https://docs.google.com/spreadsheets/d/1mnGm3iYGkB4FyqAD-LwwVYksgBMX_SY4qHQa16KgMiw/edit?gid=1956920866#gid=1956920866"", ""'EU Meal Database'!$E$2:$E""),MATCH(A95,IMPORTRANGE("""&amp;"https://docs.google.com/spreadsheets/d/1mnGm3iYGkB4FyqAD-LwwVYksgBMX_SY4qHQa16KgMiw/edit?gid=1956920866#gid=1956920866"",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DB_Product'!$B$2:$B""),MATCH(A95,IMPORTRANGE(""https://docs.google.com/spreadsheets/d/1n4t_JF5P_MLd0hMmhjv1A2rgLKdyee_-mrZZmdZr9G4/edit?gid=670402169#gid=670402169"", ""'Meal DB_Product'!$A$2:$A""),0))))"),"Tangy Miso Chicken Bowl")</f>
        <v>Tangy Miso Chicken Bowl</v>
      </c>
      <c r="D95" s="62" t="s">
        <v>230</v>
      </c>
      <c r="E95" s="230">
        <v>414.0</v>
      </c>
      <c r="F95" s="62">
        <v>614.0</v>
      </c>
      <c r="G95" s="231">
        <v>314.0</v>
      </c>
      <c r="H95" s="281">
        <f>IFERROR(__xludf.DUMMYFUNCTION("""COMPUTED_VALUE"""),1124.0)</f>
        <v>1124</v>
      </c>
      <c r="I95" s="232">
        <f>IFERROR(__xludf.DUMMYFUNCTION("""COMPUTED_VALUE"""),612.0)</f>
        <v>612</v>
      </c>
      <c r="J95" s="233">
        <f>IFERROR(__xludf.DUMMYFUNCTION("""COMPUTED_VALUE"""),640.0)</f>
        <v>640</v>
      </c>
      <c r="K95" s="244">
        <f>IFERROR(__xludf.DUMMYFUNCTION("""COMPUTED_VALUE"""),0.0)</f>
        <v>0</v>
      </c>
      <c r="L95" s="243">
        <f t="shared" ref="L95:M95" si="282">H95+20</f>
        <v>1144</v>
      </c>
      <c r="M95" s="244">
        <f t="shared" si="282"/>
        <v>632</v>
      </c>
      <c r="N95" s="245">
        <f t="shared" si="246"/>
        <v>660</v>
      </c>
      <c r="O95" s="268">
        <f t="array" ref="O95">iferror(if(INDEX('Slot Selection'!$A$2:$BJ$38, MATCH(E95-400,'Slot Selection'!$A$2:$A$38, 0), MATCH("2026-"&amp;D95,'Slot Selection'!$2:$2, 0)),1,0),0)</f>
        <v>0</v>
      </c>
      <c r="P95" s="269">
        <f t="array" ref="P95">iferror(if(INDEX('Slot Selection'!$A$80:$BJ$116, MATCH(F95-600,'Slot Selection'!$A$80:$A$116, 0), MATCH("2026-"&amp;D95,'Slot Selection'!$80:$80, 0)),1,0),0)</f>
        <v>0</v>
      </c>
      <c r="Q95" s="270">
        <f t="array" ref="Q95">iferror(if(INDEX('Slot Selection'!$A$41:$BJ$77, MATCH(F95-600,'Slot Selection'!$A$41:$A$77, 0), MATCH("2026-"&amp;D95,'Slot Selection'!$41:$41, 0)),1,0),0)</f>
        <v>0</v>
      </c>
      <c r="R95" s="230">
        <f t="shared" ref="R95:T95" si="283">L95*O95</f>
        <v>0</v>
      </c>
      <c r="S95" s="248">
        <f t="shared" si="283"/>
        <v>0</v>
      </c>
      <c r="T95" s="248">
        <f t="shared" si="283"/>
        <v>0</v>
      </c>
      <c r="U95" s="243">
        <f t="shared" ref="U95:W95" si="284">L95-R95</f>
        <v>1144</v>
      </c>
      <c r="V95" s="248">
        <f t="shared" si="284"/>
        <v>632</v>
      </c>
      <c r="W95" s="249">
        <f t="shared" si="284"/>
        <v>660</v>
      </c>
    </row>
    <row r="96">
      <c r="A96" s="242" t="str">
        <f>IFERROR(__xludf.DUMMYFUNCTION("if(E96=506,""FEA006A"",INDEX(IMPORTRANGE(""https://docs.google.com/spreadsheets/d/1WbE6HOh_eG5_DM53SVfuckYm0VQnhNvuwjql7Tw1FX0/edit?gid=660406182#gid=660406182"", ""'""&amp;D96&amp;""'!H2:H45""),match(E96,IMPORTRANGE(""https://docs.google.com/spreadsheets/d/1WbE6"&amp;"HOh_eG5_DM53SVfuckYm0VQnhNvuwjql7Tw1FX0/edit?gid=660406182#gid=660406182"", ""'""&amp;D96&amp;""'!B2:B45""),0),1))"),"FV0601A")</f>
        <v>FV0601A</v>
      </c>
      <c r="B96" s="229" t="str">
        <f>IFERROR(__xludf.DUMMYFUNCTION("if(E96=506,""-"",INDEX(IMPORTRANGE(""https://docs.google.com/spreadsheets/d/1WbE6HOh_eG5_DM53SVfuckYm0VQnhNvuwjql7Tw1FX0/edit?gid=660406182#gid=660406182"", ""'""&amp;D96&amp;""'!D2:D45""),match(E96,IMPORTRANGE(""https://docs.google.com/spreadsheets/d/1WbE6HOh_eG"&amp;"5_DM53SVfuckYm0VQnhNvuwjql7Tw1FX0/edit?gid=660406182#gid=660406182"", ""'""&amp;D96&amp;""'!B2:B45""),0),1))"),"Keto")</f>
        <v>Keto</v>
      </c>
      <c r="C96" s="135" t="str">
        <f>IFERROR(__xludf.DUMMYFUNCTION("if(A96=""FEA006A"",""Garlic Herb Grilled Chicken"", ifna(INDEX(IMPORTRANGE(""https://docs.google.com/spreadsheets/d/1mnGm3iYGkB4FyqAD-LwwVYksgBMX_SY4qHQa16KgMiw/edit?gid=1956920866#gid=1956920866"", ""'EU Meal Database'!$E$2:$E""),MATCH(A96,IMPORTRANGE("""&amp;"https://docs.google.com/spreadsheets/d/1mnGm3iYGkB4FyqAD-LwwVYksgBMX_SY4qHQa16KgMiw/edit?gid=1956920866#gid=1956920866"",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DB_Product'!$B$2:$B""),MATCH(A96,IMPORTRANGE(""https://docs.google.com/spreadsheets/d/1n4t_JF5P_MLd0hMmhjv1A2rgLKdyee_-mrZZmdZr9G4/edit?gid=670402169#gid=670402169"", ""'Meal DB_Product'!$A$2:$A""),0))))"),"Mozzarella Burger &amp; Roasted Potatoes")</f>
        <v>Mozzarella Burger &amp; Roasted Potatoes</v>
      </c>
      <c r="D96" s="62" t="s">
        <v>230</v>
      </c>
      <c r="E96" s="230">
        <v>415.0</v>
      </c>
      <c r="F96" s="62">
        <v>615.0</v>
      </c>
      <c r="G96" s="231">
        <v>315.0</v>
      </c>
      <c r="H96" s="281">
        <f>IFERROR(__xludf.DUMMYFUNCTION("""COMPUTED_VALUE"""),1029.0)</f>
        <v>1029</v>
      </c>
      <c r="I96" s="232">
        <f>IFERROR(__xludf.DUMMYFUNCTION("""COMPUTED_VALUE"""),613.0)</f>
        <v>613</v>
      </c>
      <c r="J96" s="233">
        <f>IFERROR(__xludf.DUMMYFUNCTION("""COMPUTED_VALUE"""),612.0)</f>
        <v>612</v>
      </c>
      <c r="K96" s="244">
        <f>IFERROR(__xludf.DUMMYFUNCTION("""COMPUTED_VALUE"""),0.0)</f>
        <v>0</v>
      </c>
      <c r="L96" s="243">
        <f t="shared" ref="L96:M96" si="285">H96+20</f>
        <v>1049</v>
      </c>
      <c r="M96" s="244">
        <f t="shared" si="285"/>
        <v>633</v>
      </c>
      <c r="N96" s="245">
        <f t="shared" si="246"/>
        <v>632</v>
      </c>
      <c r="O96" s="271">
        <f t="array" ref="O96">iferror(if(INDEX('Slot Selection'!$A$2:$BJ$38, MATCH(E96-400,'Slot Selection'!$A$2:$A$38, 0), MATCH("2026-"&amp;D96,'Slot Selection'!$2:$2, 0)),1,0),0)</f>
        <v>1</v>
      </c>
      <c r="P96" s="272">
        <f t="array" ref="P96">iferror(if(INDEX('Slot Selection'!$A$80:$BJ$116, MATCH(F96-600,'Slot Selection'!$A$80:$A$116, 0), MATCH("2026-"&amp;D96,'Slot Selection'!$80:$80, 0)),1,0),0)</f>
        <v>1</v>
      </c>
      <c r="Q96" s="146">
        <f t="array" ref="Q96">iferror(if(INDEX('Slot Selection'!$A$41:$BJ$77, MATCH(F96-600,'Slot Selection'!$A$41:$A$77, 0), MATCH("2026-"&amp;D96,'Slot Selection'!$41:$41, 0)),1,0),0)</f>
        <v>1</v>
      </c>
      <c r="R96" s="230">
        <f t="shared" ref="R96:T96" si="286">L96*O96</f>
        <v>1049</v>
      </c>
      <c r="S96" s="248">
        <f t="shared" si="286"/>
        <v>633</v>
      </c>
      <c r="T96" s="248">
        <f t="shared" si="286"/>
        <v>632</v>
      </c>
      <c r="U96" s="243">
        <f t="shared" ref="U96:W96" si="287">L96-R96</f>
        <v>0</v>
      </c>
      <c r="V96" s="248">
        <f t="shared" si="287"/>
        <v>0</v>
      </c>
      <c r="W96" s="249">
        <f t="shared" si="287"/>
        <v>0</v>
      </c>
    </row>
    <row r="97">
      <c r="A97" s="242" t="str">
        <f>IFERROR(__xludf.DUMMYFUNCTION("if(E97=506,""FEA006A"",INDEX(IMPORTRANGE(""https://docs.google.com/spreadsheets/d/1WbE6HOh_eG5_DM53SVfuckYm0VQnhNvuwjql7Tw1FX0/edit?gid=660406182#gid=660406182"", ""'""&amp;D97&amp;""'!H2:H45""),match(E97,IMPORTRANGE(""https://docs.google.com/spreadsheets/d/1WbE6"&amp;"HOh_eG5_DM53SVfuckYm0VQnhNvuwjql7Tw1FX0/edit?gid=660406182#gid=660406182"", ""'""&amp;D97&amp;""'!B2:B45""),0),1))"),"FE1487A")</f>
        <v>FE1487A</v>
      </c>
      <c r="B97" s="229" t="str">
        <f>IFERROR(__xludf.DUMMYFUNCTION("if(E97=506,""-"",INDEX(IMPORTRANGE(""https://docs.google.com/spreadsheets/d/1WbE6HOh_eG5_DM53SVfuckYm0VQnhNvuwjql7Tw1FX0/edit?gid=660406182#gid=660406182"", ""'""&amp;D97&amp;""'!D2:D45""),match(E97,IMPORTRANGE(""https://docs.google.com/spreadsheets/d/1WbE6HOh_eG"&amp;"5_DM53SVfuckYm0VQnhNvuwjql7Tw1FX0/edit?gid=660406182#gid=660406182"", ""'""&amp;D97&amp;""'!B2:B45""),0),1))"),"Flexible")</f>
        <v>Flexible</v>
      </c>
      <c r="C97" s="135" t="str">
        <f>IFERROR(__xludf.DUMMYFUNCTION("if(A97=""FEA006A"",""Garlic Herb Grilled Chicken"", ifna(INDEX(IMPORTRANGE(""https://docs.google.com/spreadsheets/d/1mnGm3iYGkB4FyqAD-LwwVYksgBMX_SY4qHQa16KgMiw/edit?gid=1956920866#gid=1956920866"", ""'EU Meal Database'!$E$2:$E""),MATCH(A97,IMPORTRANGE("""&amp;"https://docs.google.com/spreadsheets/d/1mnGm3iYGkB4FyqAD-LwwVYksgBMX_SY4qHQa16KgMiw/edit?gid=1956920866#gid=1956920866"",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DB_Product'!$B$2:$B""),MATCH(A97,IMPORTRANGE(""https://docs.google.com/spreadsheets/d/1n4t_JF5P_MLd0hMmhjv1A2rgLKdyee_-mrZZmdZr9G4/edit?gid=670402169#gid=670402169"", ""'Meal DB_Product'!$A$2:$A""),0))))"),"Grilled Pork Tenderloin &amp; Butternut Mash")</f>
        <v>Grilled Pork Tenderloin &amp; Butternut Mash</v>
      </c>
      <c r="D97" s="62" t="s">
        <v>230</v>
      </c>
      <c r="E97" s="230">
        <v>416.0</v>
      </c>
      <c r="F97" s="62">
        <v>616.0</v>
      </c>
      <c r="G97" s="231">
        <v>316.0</v>
      </c>
      <c r="H97" s="281">
        <f>IFERROR(__xludf.DUMMYFUNCTION("""COMPUTED_VALUE"""),870.0)</f>
        <v>870</v>
      </c>
      <c r="I97" s="232">
        <f>IFERROR(__xludf.DUMMYFUNCTION("""COMPUTED_VALUE"""),445.0)</f>
        <v>445</v>
      </c>
      <c r="J97" s="233">
        <f>IFERROR(__xludf.DUMMYFUNCTION("""COMPUTED_VALUE"""),457.0)</f>
        <v>457</v>
      </c>
      <c r="K97" s="244">
        <f>IFERROR(__xludf.DUMMYFUNCTION("""COMPUTED_VALUE"""),0.0)</f>
        <v>0</v>
      </c>
      <c r="L97" s="243">
        <f t="shared" ref="L97:M97" si="288">H97+20</f>
        <v>890</v>
      </c>
      <c r="M97" s="244">
        <f t="shared" si="288"/>
        <v>465</v>
      </c>
      <c r="N97" s="245">
        <f t="shared" si="246"/>
        <v>477</v>
      </c>
      <c r="O97" s="271">
        <f t="array" ref="O97">iferror(if(INDEX('Slot Selection'!$A$2:$BJ$38, MATCH(E97-400,'Slot Selection'!$A$2:$A$38, 0), MATCH("2026-"&amp;D97,'Slot Selection'!$2:$2, 0)),1,0),0)</f>
        <v>0</v>
      </c>
      <c r="P97" s="272">
        <f t="array" ref="P97">iferror(if(INDEX('Slot Selection'!$A$80:$BJ$116, MATCH(F97-600,'Slot Selection'!$A$80:$A$116, 0), MATCH("2026-"&amp;D97,'Slot Selection'!$80:$80, 0)),1,0),0)</f>
        <v>0</v>
      </c>
      <c r="Q97" s="146">
        <f t="array" ref="Q97">iferror(if(INDEX('Slot Selection'!$A$41:$BJ$77, MATCH(F97-600,'Slot Selection'!$A$41:$A$77, 0), MATCH("2026-"&amp;D97,'Slot Selection'!$41:$41, 0)),1,0),0)</f>
        <v>0</v>
      </c>
      <c r="R97" s="230">
        <f t="shared" ref="R97:T97" si="289">L97*O97</f>
        <v>0</v>
      </c>
      <c r="S97" s="248">
        <f t="shared" si="289"/>
        <v>0</v>
      </c>
      <c r="T97" s="248">
        <f t="shared" si="289"/>
        <v>0</v>
      </c>
      <c r="U97" s="243">
        <f t="shared" ref="U97:W97" si="290">L97-R97</f>
        <v>890</v>
      </c>
      <c r="V97" s="248">
        <f t="shared" si="290"/>
        <v>465</v>
      </c>
      <c r="W97" s="249">
        <f t="shared" si="290"/>
        <v>477</v>
      </c>
    </row>
    <row r="98">
      <c r="A98" s="242" t="str">
        <f>IFERROR(__xludf.DUMMYFUNCTION("if(E98=506,""FEA006A"",INDEX(IMPORTRANGE(""https://docs.google.com/spreadsheets/d/1WbE6HOh_eG5_DM53SVfuckYm0VQnhNvuwjql7Tw1FX0/edit?gid=660406182#gid=660406182"", ""'""&amp;D98&amp;""'!H2:H45""),match(E98,IMPORTRANGE(""https://docs.google.com/spreadsheets/d/1WbE6"&amp;"HOh_eG5_DM53SVfuckYm0VQnhNvuwjql7Tw1FX0/edit?gid=660406182#gid=660406182"", ""'""&amp;D98&amp;""'!B2:B45""),0),1))"),"FE0169I")</f>
        <v>FE0169I</v>
      </c>
      <c r="B98" s="229" t="str">
        <f>IFERROR(__xludf.DUMMYFUNCTION("if(E98=506,""-"",INDEX(IMPORTRANGE(""https://docs.google.com/spreadsheets/d/1WbE6HOh_eG5_DM53SVfuckYm0VQnhNvuwjql7Tw1FX0/edit?gid=660406182#gid=660406182"", ""'""&amp;D98&amp;""'!D2:D45""),match(E98,IMPORTRANGE(""https://docs.google.com/spreadsheets/d/1WbE6HOh_eG"&amp;"5_DM53SVfuckYm0VQnhNvuwjql7Tw1FX0/edit?gid=660406182#gid=660406182"", ""'""&amp;D98&amp;""'!B2:B45""),0),1))"),"P+")</f>
        <v>P+</v>
      </c>
      <c r="C98" s="135" t="str">
        <f>IFERROR(__xludf.DUMMYFUNCTION("if(A98=""FEA006A"",""Garlic Herb Grilled Chicken"", ifna(INDEX(IMPORTRANGE(""https://docs.google.com/spreadsheets/d/1mnGm3iYGkB4FyqAD-LwwVYksgBMX_SY4qHQa16KgMiw/edit?gid=1956920866#gid=1956920866"", ""'EU Meal Database'!$E$2:$E""),MATCH(A98,IMPORTRANGE("""&amp;"https://docs.google.com/spreadsheets/d/1mnGm3iYGkB4FyqAD-LwwVYksgBMX_SY4qHQa16KgMiw/edit?gid=1956920866#gid=1956920866"",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DB_Product'!$B$2:$B""),MATCH(A98,IMPORTRANGE(""https://docs.google.com/spreadsheets/d/1n4t_JF5P_MLd0hMmhjv1A2rgLKdyee_-mrZZmdZr9G4/edit?gid=670402169#gid=670402169"", ""'Meal DB_Product'!$A$2:$A""),0))))"),"Pork tenderloin in creamy garlic-mustard sauce")</f>
        <v>Pork tenderloin in creamy garlic-mustard sauce</v>
      </c>
      <c r="D98" s="62" t="s">
        <v>230</v>
      </c>
      <c r="E98" s="230">
        <v>417.0</v>
      </c>
      <c r="F98" s="62">
        <v>617.0</v>
      </c>
      <c r="G98" s="231">
        <v>317.0</v>
      </c>
      <c r="H98" s="281">
        <f>IFERROR(__xludf.DUMMYFUNCTION("""COMPUTED_VALUE"""),1743.0)</f>
        <v>1743</v>
      </c>
      <c r="I98" s="232">
        <f>IFERROR(__xludf.DUMMYFUNCTION("""COMPUTED_VALUE"""),934.0)</f>
        <v>934</v>
      </c>
      <c r="J98" s="233">
        <f>IFERROR(__xludf.DUMMYFUNCTION("""COMPUTED_VALUE"""),816.0)</f>
        <v>816</v>
      </c>
      <c r="K98" s="244">
        <f>IFERROR(__xludf.DUMMYFUNCTION("""COMPUTED_VALUE"""),0.0)</f>
        <v>0</v>
      </c>
      <c r="L98" s="243">
        <f t="shared" ref="L98:M98" si="291">H98+20</f>
        <v>1763</v>
      </c>
      <c r="M98" s="244">
        <f t="shared" si="291"/>
        <v>954</v>
      </c>
      <c r="N98" s="245">
        <f t="shared" si="246"/>
        <v>836</v>
      </c>
      <c r="O98" s="271">
        <f t="array" ref="O98">iferror(if(INDEX('Slot Selection'!$A$2:$BJ$38, MATCH(E98-400,'Slot Selection'!$A$2:$A$38, 0), MATCH("2026-"&amp;D98,'Slot Selection'!$2:$2, 0)),1,0),0)</f>
        <v>0</v>
      </c>
      <c r="P98" s="272">
        <f t="array" ref="P98">iferror(if(INDEX('Slot Selection'!$A$80:$BJ$116, MATCH(F98-600,'Slot Selection'!$A$80:$A$116, 0), MATCH("2026-"&amp;D98,'Slot Selection'!$80:$80, 0)),1,0),0)</f>
        <v>0</v>
      </c>
      <c r="Q98" s="146">
        <f t="array" ref="Q98">iferror(if(INDEX('Slot Selection'!$A$41:$BJ$77, MATCH(F98-600,'Slot Selection'!$A$41:$A$77, 0), MATCH("2026-"&amp;D98,'Slot Selection'!$41:$41, 0)),1,0),0)</f>
        <v>0</v>
      </c>
      <c r="R98" s="230">
        <f t="shared" ref="R98:T98" si="292">L98*O98</f>
        <v>0</v>
      </c>
      <c r="S98" s="248">
        <f t="shared" si="292"/>
        <v>0</v>
      </c>
      <c r="T98" s="248">
        <f t="shared" si="292"/>
        <v>0</v>
      </c>
      <c r="U98" s="243">
        <f t="shared" ref="U98:W98" si="293">L98-R98</f>
        <v>1763</v>
      </c>
      <c r="V98" s="248">
        <f t="shared" si="293"/>
        <v>954</v>
      </c>
      <c r="W98" s="249">
        <f t="shared" si="293"/>
        <v>836</v>
      </c>
    </row>
    <row r="99">
      <c r="A99" s="242" t="str">
        <f>IFERROR(__xludf.DUMMYFUNCTION("if(E99=506,""FEA006A"",INDEX(IMPORTRANGE(""https://docs.google.com/spreadsheets/d/1WbE6HOh_eG5_DM53SVfuckYm0VQnhNvuwjql7Tw1FX0/edit?gid=660406182#gid=660406182"", ""'""&amp;D99&amp;""'!H2:H45""),match(E99,IMPORTRANGE(""https://docs.google.com/spreadsheets/d/1WbE6"&amp;"HOh_eG5_DM53SVfuckYm0VQnhNvuwjql7Tw1FX0/edit?gid=660406182#gid=660406182"", ""'""&amp;D99&amp;""'!B2:B45""),0),1))"),"FE0890C")</f>
        <v>FE0890C</v>
      </c>
      <c r="B99" s="229" t="str">
        <f>IFERROR(__xludf.DUMMYFUNCTION("if(E99=506,""-"",INDEX(IMPORTRANGE(""https://docs.google.com/spreadsheets/d/1WbE6HOh_eG5_DM53SVfuckYm0VQnhNvuwjql7Tw1FX0/edit?gid=660406182#gid=660406182"", ""'""&amp;D99&amp;""'!D2:D45""),match(E99,IMPORTRANGE(""https://docs.google.com/spreadsheets/d/1WbE6HOh_eG"&amp;"5_DM53SVfuckYm0VQnhNvuwjql7Tw1FX0/edit?gid=660406182#gid=660406182"", ""'""&amp;D99&amp;""'!B2:B45""),0),1))"),"CS")</f>
        <v>CS</v>
      </c>
      <c r="C99" s="135" t="str">
        <f>IFERROR(__xludf.DUMMYFUNCTION("if(A99=""FEA006A"",""Garlic Herb Grilled Chicken"", ifna(INDEX(IMPORTRANGE(""https://docs.google.com/spreadsheets/d/1mnGm3iYGkB4FyqAD-LwwVYksgBMX_SY4qHQa16KgMiw/edit?gid=1956920866#gid=1956920866"", ""'EU Meal Database'!$E$2:$E""),MATCH(A99,IMPORTRANGE("""&amp;"https://docs.google.com/spreadsheets/d/1mnGm3iYGkB4FyqAD-LwwVYksgBMX_SY4qHQa16KgMiw/edit?gid=1956920866#gid=1956920866"", ""'EU Meal Database'!$A$2:$A""),0)),INDEX(IMPORTRANGE(""https://docs.google.com/spreadsheets/d/1n4t_JF5P_MLd0hMmhjv1A2rgLKdyee_-mrZZm"&amp;"dZr9G4/edit?gid=670402169#gid=670402169"", ""'Meal DB_Product'!$B$2:$B""),MATCH(A99,IMPORTRANGE(""https://docs.google.com/spreadsheets/d/1n4t_JF5P_MLd0hMmhjv1A2rgLKdyee_-mrZZmdZr9G4/edit?gid=670402169#gid=670402169"", ""'Meal DB_Product'!$A$2:$A""),0))))"),"Pork tenderloin with apple-mustard sauce")</f>
        <v>Pork tenderloin with apple-mustard sauce</v>
      </c>
      <c r="D99" s="62" t="s">
        <v>230</v>
      </c>
      <c r="E99" s="230">
        <v>418.0</v>
      </c>
      <c r="F99" s="62">
        <v>618.0</v>
      </c>
      <c r="G99" s="231">
        <v>318.0</v>
      </c>
      <c r="H99" s="281">
        <f>IFERROR(__xludf.DUMMYFUNCTION("""COMPUTED_VALUE"""),876.0)</f>
        <v>876</v>
      </c>
      <c r="I99" s="232">
        <f>IFERROR(__xludf.DUMMYFUNCTION("""COMPUTED_VALUE"""),596.0)</f>
        <v>596</v>
      </c>
      <c r="J99" s="233">
        <f>IFERROR(__xludf.DUMMYFUNCTION("""COMPUTED_VALUE"""),401.0)</f>
        <v>401</v>
      </c>
      <c r="K99" s="244">
        <f>IFERROR(__xludf.DUMMYFUNCTION("""COMPUTED_VALUE"""),0.0)</f>
        <v>0</v>
      </c>
      <c r="L99" s="243">
        <f t="shared" ref="L99:M99" si="294">H99+20</f>
        <v>896</v>
      </c>
      <c r="M99" s="244">
        <f t="shared" si="294"/>
        <v>616</v>
      </c>
      <c r="N99" s="245">
        <f t="shared" si="246"/>
        <v>421</v>
      </c>
      <c r="O99" s="271">
        <f t="array" ref="O99">iferror(if(INDEX('Slot Selection'!$A$2:$BJ$38, MATCH(E99-400,'Slot Selection'!$A$2:$A$38, 0), MATCH("2026-"&amp;D99,'Slot Selection'!$2:$2, 0)),1,0),0)</f>
        <v>0</v>
      </c>
      <c r="P99" s="272">
        <f t="array" ref="P99">iferror(if(INDEX('Slot Selection'!$A$80:$BJ$116, MATCH(F99-600,'Slot Selection'!$A$80:$A$116, 0), MATCH("2026-"&amp;D99,'Slot Selection'!$80:$80, 0)),1,0),0)</f>
        <v>0</v>
      </c>
      <c r="Q99" s="146">
        <f t="array" ref="Q99">iferror(if(INDEX('Slot Selection'!$A$41:$BJ$77, MATCH(F99-600,'Slot Selection'!$A$41:$A$77, 0), MATCH("2026-"&amp;D99,'Slot Selection'!$41:$41, 0)),1,0),0)</f>
        <v>0</v>
      </c>
      <c r="R99" s="230">
        <f t="shared" ref="R99:T99" si="295">L99*O99</f>
        <v>0</v>
      </c>
      <c r="S99" s="248">
        <f t="shared" si="295"/>
        <v>0</v>
      </c>
      <c r="T99" s="248">
        <f t="shared" si="295"/>
        <v>0</v>
      </c>
      <c r="U99" s="243">
        <f t="shared" ref="U99:W99" si="296">L99-R99</f>
        <v>896</v>
      </c>
      <c r="V99" s="248">
        <f t="shared" si="296"/>
        <v>616</v>
      </c>
      <c r="W99" s="249">
        <f t="shared" si="296"/>
        <v>421</v>
      </c>
    </row>
    <row r="100">
      <c r="A100" s="242" t="str">
        <f>IFERROR(__xludf.DUMMYFUNCTION("if(E100=506,""FEA006A"",INDEX(IMPORTRANGE(""https://docs.google.com/spreadsheets/d/1WbE6HOh_eG5_DM53SVfuckYm0VQnhNvuwjql7Tw1FX0/edit?gid=660406182#gid=660406182"", ""'""&amp;D100&amp;""'!H2:H45""),match(E100,IMPORTRANGE(""https://docs.google.com/spreadsheets/d/1W"&amp;"bE6HOh_eG5_DM53SVfuckYm0VQnhNvuwjql7Tw1FX0/edit?gid=660406182#gid=660406182"", ""'""&amp;D100&amp;""'!B2:B45""),0),1))"),"FV0333A")</f>
        <v>FV0333A</v>
      </c>
      <c r="B100" s="229" t="str">
        <f>IFERROR(__xludf.DUMMYFUNCTION("if(E100=506,""-"",INDEX(IMPORTRANGE(""https://docs.google.com/spreadsheets/d/1WbE6HOh_eG5_DM53SVfuckYm0VQnhNvuwjql7Tw1FX0/edit?gid=660406182#gid=660406182"", ""'""&amp;D100&amp;""'!D2:D45""),match(E100,IMPORTRANGE(""https://docs.google.com/spreadsheets/d/1WbE6HOh"&amp;"_eG5_DM53SVfuckYm0VQnhNvuwjql7Tw1FX0/edit?gid=660406182#gid=660406182"", ""'""&amp;D100&amp;""'!B2:B45""),0),1))"),"CS")</f>
        <v>CS</v>
      </c>
      <c r="C100" s="135" t="str">
        <f>IFERROR(__xludf.DUMMYFUNCTION("if(A100=""FEA006A"",""Garlic Herb Grilled Chicken"", ifna(INDEX(IMPORTRANGE(""https://docs.google.com/spreadsheets/d/1mnGm3iYGkB4FyqAD-LwwVYksgBMX_SY4qHQa16KgMiw/edit?gid=1956920866#gid=1956920866"", ""'EU Meal Database'!$E$2:$E""),MATCH(A100,IMPORTRANGE("&amp;"""https://docs.google.com/spreadsheets/d/1mnGm3iYGkB4FyqAD-LwwVYksgBMX_SY4qHQa16KgMiw/edit?gid=1956920866#gid=1956920866"",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DB_Product'!$B$2:$B""),MATCH(A100,IMPORTRANGE(""https://docs.google.com/spreadsheets/d/1n4t_JF5P_MLd0hMmhjv1A2rgLKdyee_-mrZZmdZr9G4/edit?gid=670402169#gid=670402169"", ""'Meal DB_Product'!$A$2:$A""),0))"&amp;"))"),"Tuscan Shrimp")</f>
        <v>Tuscan Shrimp</v>
      </c>
      <c r="D100" s="62" t="s">
        <v>230</v>
      </c>
      <c r="E100" s="230">
        <v>419.0</v>
      </c>
      <c r="F100" s="62">
        <v>619.0</v>
      </c>
      <c r="G100" s="231">
        <v>319.0</v>
      </c>
      <c r="H100" s="281">
        <f>IFERROR(__xludf.DUMMYFUNCTION("""COMPUTED_VALUE"""),2116.0)</f>
        <v>2116</v>
      </c>
      <c r="I100" s="232">
        <f>IFERROR(__xludf.DUMMYFUNCTION("""COMPUTED_VALUE"""),1206.0)</f>
        <v>1206</v>
      </c>
      <c r="J100" s="233">
        <f>IFERROR(__xludf.DUMMYFUNCTION("""COMPUTED_VALUE"""),999.0)</f>
        <v>999</v>
      </c>
      <c r="K100" s="244">
        <f>IFERROR(__xludf.DUMMYFUNCTION("""COMPUTED_VALUE"""),0.0)</f>
        <v>0</v>
      </c>
      <c r="L100" s="243">
        <f t="shared" ref="L100:M100" si="297">H100+20</f>
        <v>2136</v>
      </c>
      <c r="M100" s="244">
        <f t="shared" si="297"/>
        <v>1226</v>
      </c>
      <c r="N100" s="245">
        <f t="shared" si="246"/>
        <v>1019</v>
      </c>
      <c r="O100" s="271">
        <f t="array" ref="O100">iferror(if(INDEX('Slot Selection'!$A$2:$BJ$38, MATCH(E100-400,'Slot Selection'!$A$2:$A$38, 0), MATCH("2026-"&amp;D100,'Slot Selection'!$2:$2, 0)),1,0),0)</f>
        <v>1</v>
      </c>
      <c r="P100" s="272">
        <f t="array" ref="P100">iferror(if(INDEX('Slot Selection'!$A$80:$BJ$116, MATCH(F100-600,'Slot Selection'!$A$80:$A$116, 0), MATCH("2026-"&amp;D100,'Slot Selection'!$80:$80, 0)),1,0),0)</f>
        <v>1</v>
      </c>
      <c r="Q100" s="146">
        <f t="array" ref="Q100">iferror(if(INDEX('Slot Selection'!$A$41:$BJ$77, MATCH(F100-600,'Slot Selection'!$A$41:$A$77, 0), MATCH("2026-"&amp;D100,'Slot Selection'!$41:$41, 0)),1,0),0)</f>
        <v>1</v>
      </c>
      <c r="R100" s="230">
        <f t="shared" ref="R100:T100" si="298">L100*O100</f>
        <v>2136</v>
      </c>
      <c r="S100" s="248">
        <f t="shared" si="298"/>
        <v>1226</v>
      </c>
      <c r="T100" s="248">
        <f t="shared" si="298"/>
        <v>1019</v>
      </c>
      <c r="U100" s="243">
        <f t="shared" ref="U100:W100" si="299">L100-R100</f>
        <v>0</v>
      </c>
      <c r="V100" s="244">
        <f t="shared" si="299"/>
        <v>0</v>
      </c>
      <c r="W100" s="245">
        <f t="shared" si="299"/>
        <v>0</v>
      </c>
    </row>
    <row r="101">
      <c r="A101" s="242" t="str">
        <f>IFERROR(__xludf.DUMMYFUNCTION("if(E101=506,""FEA006A"",INDEX(IMPORTRANGE(""https://docs.google.com/spreadsheets/d/1WbE6HOh_eG5_DM53SVfuckYm0VQnhNvuwjql7Tw1FX0/edit?gid=660406182#gid=660406182"", ""'""&amp;D101&amp;""'!H2:H45""),match(E101,IMPORTRANGE(""https://docs.google.com/spreadsheets/d/1W"&amp;"bE6HOh_eG5_DM53SVfuckYm0VQnhNvuwjql7Tw1FX0/edit?gid=660406182#gid=660406182"", ""'""&amp;D101&amp;""'!B2:B45""),0),1))"),"FV0232A")</f>
        <v>FV0232A</v>
      </c>
      <c r="B101" s="229" t="str">
        <f>IFERROR(__xludf.DUMMYFUNCTION("if(E101=506,""-"",INDEX(IMPORTRANGE(""https://docs.google.com/spreadsheets/d/1WbE6HOh_eG5_DM53SVfuckYm0VQnhNvuwjql7Tw1FX0/edit?gid=660406182#gid=660406182"", ""'""&amp;D101&amp;""'!D2:D45""),match(E101,IMPORTRANGE(""https://docs.google.com/spreadsheets/d/1WbE6HOh"&amp;"_eG5_DM53SVfuckYm0VQnhNvuwjql7Tw1FX0/edit?gid=660406182#gid=660406182"", ""'""&amp;D101&amp;""'!B2:B45""),0),1))"),"Perf")</f>
        <v>Perf</v>
      </c>
      <c r="C101" s="135" t="str">
        <f>IFERROR(__xludf.DUMMYFUNCTION("if(A101=""FEA006A"",""Garlic Herb Grilled Chicken"", ifna(INDEX(IMPORTRANGE(""https://docs.google.com/spreadsheets/d/1mnGm3iYGkB4FyqAD-LwwVYksgBMX_SY4qHQa16KgMiw/edit?gid=1956920866#gid=1956920866"", ""'EU Meal Database'!$E$2:$E""),MATCH(A101,IMPORTRANGE("&amp;"""https://docs.google.com/spreadsheets/d/1mnGm3iYGkB4FyqAD-LwwVYksgBMX_SY4qHQa16KgMiw/edit?gid=1956920866#gid=1956920866"",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DB_Product'!$B$2:$B""),MATCH(A101,IMPORTRANGE(""https://docs.google.com/spreadsheets/d/1n4t_JF5P_MLd0hMmhjv1A2rgLKdyee_-mrZZmdZr9G4/edit?gid=670402169#gid=670402169"", ""'Meal DB_Product'!$A$2:$A""),0))"&amp;"))"),"Herb Crusted chicken and Parmesan cheese ")</f>
        <v>Herb Crusted chicken and Parmesan cheese </v>
      </c>
      <c r="D101" s="62" t="s">
        <v>230</v>
      </c>
      <c r="E101" s="230">
        <v>420.0</v>
      </c>
      <c r="F101" s="62">
        <v>620.0</v>
      </c>
      <c r="G101" s="231">
        <v>320.0</v>
      </c>
      <c r="H101" s="281">
        <f>IFERROR(__xludf.DUMMYFUNCTION("""COMPUTED_VALUE"""),970.0)</f>
        <v>970</v>
      </c>
      <c r="I101" s="232">
        <f>IFERROR(__xludf.DUMMYFUNCTION("""COMPUTED_VALUE"""),553.0)</f>
        <v>553</v>
      </c>
      <c r="J101" s="233">
        <f>IFERROR(__xludf.DUMMYFUNCTION("""COMPUTED_VALUE"""),458.0)</f>
        <v>458</v>
      </c>
      <c r="K101" s="244">
        <f>IFERROR(__xludf.DUMMYFUNCTION("""COMPUTED_VALUE"""),0.0)</f>
        <v>0</v>
      </c>
      <c r="L101" s="243">
        <f t="shared" ref="L101:M101" si="300">H101+20</f>
        <v>990</v>
      </c>
      <c r="M101" s="244">
        <f t="shared" si="300"/>
        <v>573</v>
      </c>
      <c r="N101" s="245">
        <f t="shared" si="246"/>
        <v>478</v>
      </c>
      <c r="O101" s="268">
        <f t="array" ref="O101">iferror(if(INDEX('Slot Selection'!$A$2:$BJ$38, MATCH(E101-400,'Slot Selection'!$A$2:$A$38, 0), MATCH("2026-"&amp;D101,'Slot Selection'!$2:$2, 0)),1,0),0)</f>
        <v>1</v>
      </c>
      <c r="P101" s="269">
        <f t="array" ref="P101">iferror(if(INDEX('Slot Selection'!$A$80:$BJ$116, MATCH(F101-600,'Slot Selection'!$A$80:$A$116, 0), MATCH("2026-"&amp;D101,'Slot Selection'!$80:$80, 0)),1,0),0)</f>
        <v>1</v>
      </c>
      <c r="Q101" s="270">
        <f t="array" ref="Q101">iferror(if(INDEX('Slot Selection'!$A$41:$BJ$77, MATCH(F101-600,'Slot Selection'!$A$41:$A$77, 0), MATCH("2026-"&amp;D101,'Slot Selection'!$41:$41, 0)),1,0),0)</f>
        <v>1</v>
      </c>
      <c r="R101" s="230">
        <f t="shared" ref="R101:T101" si="301">L101*O101</f>
        <v>990</v>
      </c>
      <c r="S101" s="248">
        <f t="shared" si="301"/>
        <v>573</v>
      </c>
      <c r="T101" s="248">
        <f t="shared" si="301"/>
        <v>478</v>
      </c>
      <c r="U101" s="243">
        <f t="shared" ref="U101:W101" si="302">L101-R101</f>
        <v>0</v>
      </c>
      <c r="V101" s="248">
        <f t="shared" si="302"/>
        <v>0</v>
      </c>
      <c r="W101" s="249">
        <f t="shared" si="302"/>
        <v>0</v>
      </c>
    </row>
    <row r="102">
      <c r="A102" s="242" t="str">
        <f>IFERROR(__xludf.DUMMYFUNCTION("if(E102=506,""FEA006A"",INDEX(IMPORTRANGE(""https://docs.google.com/spreadsheets/d/1WbE6HOh_eG5_DM53SVfuckYm0VQnhNvuwjql7Tw1FX0/edit?gid=660406182#gid=660406182"", ""'""&amp;D102&amp;""'!H2:H45""),match(E102,IMPORTRANGE(""https://docs.google.com/spreadsheets/d/1W"&amp;"bE6HOh_eG5_DM53SVfuckYm0VQnhNvuwjql7Tw1FX0/edit?gid=660406182#gid=660406182"", ""'""&amp;D102&amp;""'!B2:B45""),0),1))"),"FE4071A")</f>
        <v>FE4071A</v>
      </c>
      <c r="B102" s="229" t="str">
        <f>IFERROR(__xludf.DUMMYFUNCTION("if(E102=506,""-"",INDEX(IMPORTRANGE(""https://docs.google.com/spreadsheets/d/1WbE6HOh_eG5_DM53SVfuckYm0VQnhNvuwjql7Tw1FX0/edit?gid=660406182#gid=660406182"", ""'""&amp;D102&amp;""'!D2:D45""),match(E102,IMPORTRANGE(""https://docs.google.com/spreadsheets/d/1WbE6HOh"&amp;"_eG5_DM53SVfuckYm0VQnhNvuwjql7Tw1FX0/edit?gid=660406182#gid=660406182"", ""'""&amp;D102&amp;""'!B2:B45""),0),1))"),"Perf")</f>
        <v>Perf</v>
      </c>
      <c r="C102" s="135" t="str">
        <f>IFERROR(__xludf.DUMMYFUNCTION("if(A102=""FEA006A"",""Garlic Herb Grilled Chicken"", ifna(INDEX(IMPORTRANGE(""https://docs.google.com/spreadsheets/d/1mnGm3iYGkB4FyqAD-LwwVYksgBMX_SY4qHQa16KgMiw/edit?gid=1956920866#gid=1956920866"", ""'EU Meal Database'!$E$2:$E""),MATCH(A102,IMPORTRANGE("&amp;"""https://docs.google.com/spreadsheets/d/1mnGm3iYGkB4FyqAD-LwwVYksgBMX_SY4qHQa16KgMiw/edit?gid=1956920866#gid=1956920866"",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DB_Product'!$B$2:$B""),MATCH(A102,IMPORTRANGE(""https://docs.google.com/spreadsheets/d/1n4t_JF5P_MLd0hMmhjv1A2rgLKdyee_-mrZZmdZr9G4/edit?gid=670402169#gid=670402169"", ""'Meal DB_Product'!$A$2:$A""),0))"&amp;"))"),"Pulled Jerk Chicken &amp; Rice")</f>
        <v>Pulled Jerk Chicken &amp; Rice</v>
      </c>
      <c r="D102" s="62" t="s">
        <v>230</v>
      </c>
      <c r="E102" s="230">
        <v>421.0</v>
      </c>
      <c r="F102" s="62">
        <v>621.0</v>
      </c>
      <c r="G102" s="231">
        <v>321.0</v>
      </c>
      <c r="H102" s="281">
        <f>IFERROR(__xludf.DUMMYFUNCTION("""COMPUTED_VALUE"""),1322.0)</f>
        <v>1322</v>
      </c>
      <c r="I102" s="232">
        <f>IFERROR(__xludf.DUMMYFUNCTION("""COMPUTED_VALUE"""),754.0)</f>
        <v>754</v>
      </c>
      <c r="J102" s="233">
        <f>IFERROR(__xludf.DUMMYFUNCTION("""COMPUTED_VALUE"""),624.0)</f>
        <v>624</v>
      </c>
      <c r="K102" s="244">
        <f>IFERROR(__xludf.DUMMYFUNCTION("""COMPUTED_VALUE"""),0.0)</f>
        <v>0</v>
      </c>
      <c r="L102" s="243">
        <f t="shared" ref="L102:M102" si="303">H102+20</f>
        <v>1342</v>
      </c>
      <c r="M102" s="244">
        <f t="shared" si="303"/>
        <v>774</v>
      </c>
      <c r="N102" s="245">
        <f t="shared" si="246"/>
        <v>644</v>
      </c>
      <c r="O102" s="268">
        <f t="array" ref="O102">iferror(if(INDEX('Slot Selection'!$A$2:$BJ$38, MATCH(E102-400,'Slot Selection'!$A$2:$A$38, 0), MATCH("2026-"&amp;D102,'Slot Selection'!$2:$2, 0)),1,0),0)</f>
        <v>0</v>
      </c>
      <c r="P102" s="269">
        <f t="array" ref="P102">iferror(if(INDEX('Slot Selection'!$A$80:$BJ$116, MATCH(F102-600,'Slot Selection'!$A$80:$A$116, 0), MATCH("2026-"&amp;D102,'Slot Selection'!$80:$80, 0)),1,0),0)</f>
        <v>0</v>
      </c>
      <c r="Q102" s="270">
        <f t="array" ref="Q102">iferror(if(INDEX('Slot Selection'!$A$41:$BJ$77, MATCH(F102-600,'Slot Selection'!$A$41:$A$77, 0), MATCH("2026-"&amp;D102,'Slot Selection'!$41:$41, 0)),1,0),0)</f>
        <v>0</v>
      </c>
      <c r="R102" s="230">
        <f t="shared" ref="R102:T102" si="304">L102*O102</f>
        <v>0</v>
      </c>
      <c r="S102" s="248">
        <f t="shared" si="304"/>
        <v>0</v>
      </c>
      <c r="T102" s="248">
        <f t="shared" si="304"/>
        <v>0</v>
      </c>
      <c r="U102" s="243">
        <f t="shared" ref="U102:W102" si="305">L102-R102</f>
        <v>1342</v>
      </c>
      <c r="V102" s="248">
        <f t="shared" si="305"/>
        <v>774</v>
      </c>
      <c r="W102" s="249">
        <f t="shared" si="305"/>
        <v>644</v>
      </c>
    </row>
    <row r="103">
      <c r="A103" s="250" t="str">
        <f>IFERROR(__xludf.DUMMYFUNCTION("if(E103=506,""FEA006A"",INDEX(IMPORTRANGE(""https://docs.google.com/spreadsheets/d/1WbE6HOh_eG5_DM53SVfuckYm0VQnhNvuwjql7Tw1FX0/edit?gid=660406182#gid=660406182"", ""'""&amp;D103&amp;""'!H2:H45""),match(E103,IMPORTRANGE(""https://docs.google.com/spreadsheets/d/1W"&amp;"bE6HOh_eG5_DM53SVfuckYm0VQnhNvuwjql7Tw1FX0/edit?gid=660406182#gid=660406182"", ""'""&amp;D103&amp;""'!B2:B45""),0),1))"),"FEA006A")</f>
        <v>FEA006A</v>
      </c>
      <c r="B103" s="251" t="str">
        <f>IFERROR(__xludf.DUMMYFUNCTION("if(E103=506,""-"",INDEX(IMPORTRANGE(""https://docs.google.com/spreadsheets/d/1WbE6HOh_eG5_DM53SVfuckYm0VQnhNvuwjql7Tw1FX0/edit?gid=660406182#gid=660406182"", ""'""&amp;D103&amp;""'!D2:D45""),match(E103,IMPORTRANGE(""https://docs.google.com/spreadsheets/d/1WbE6HOh"&amp;"_eG5_DM53SVfuckYm0VQnhNvuwjql7Tw1FX0/edit?gid=660406182#gid=660406182"", ""'""&amp;D103&amp;""'!B2:B45""),0),1))"),"-")</f>
        <v>-</v>
      </c>
      <c r="C103" s="252" t="str">
        <f>IFERROR(__xludf.DUMMYFUNCTION("if(A103=""FEA006A"",""Garlic Herb Grilled Chicken"", ifna(INDEX(IMPORTRANGE(""https://docs.google.com/spreadsheets/d/1mnGm3iYGkB4FyqAD-LwwVYksgBMX_SY4qHQa16KgMiw/edit?gid=1956920866#gid=1956920866"", ""'EU Meal Database'!$E$2:$E""),MATCH(A103,IMPORTRANGE("&amp;"""https://docs.google.com/spreadsheets/d/1mnGm3iYGkB4FyqAD-LwwVYksgBMX_SY4qHQa16KgMiw/edit?gid=1956920866#gid=1956920866"",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DB_Product'!$B$2:$B""),MATCH(A103,IMPORTRANGE(""https://docs.google.com/spreadsheets/d/1n4t_JF5P_MLd0hMmhjv1A2rgLKdyee_-mrZZmdZr9G4/edit?gid=670402169#gid=670402169"", ""'Meal DB_Product'!$A$2:$A""),0))"&amp;"))"),"Garlic Herb Grilled Chicken")</f>
        <v>Garlic Herb Grilled Chicken</v>
      </c>
      <c r="D103" s="253" t="s">
        <v>230</v>
      </c>
      <c r="E103" s="254">
        <v>506.0</v>
      </c>
      <c r="F103" s="253">
        <v>706.0</v>
      </c>
      <c r="G103" s="255">
        <v>806.0</v>
      </c>
      <c r="H103" s="282">
        <f>IFERROR(__xludf.DUMMYFUNCTION("""COMPUTED_VALUE"""),83.0)</f>
        <v>83</v>
      </c>
      <c r="I103" s="256">
        <f>IFERROR(__xludf.DUMMYFUNCTION("""COMPUTED_VALUE"""),36.0)</f>
        <v>36</v>
      </c>
      <c r="J103" s="257">
        <f>IFERROR(__xludf.DUMMYFUNCTION("""COMPUTED_VALUE"""),67.0)</f>
        <v>67</v>
      </c>
      <c r="K103" s="258">
        <f>IFERROR(__xludf.DUMMYFUNCTION("""COMPUTED_VALUE"""),0.0)</f>
        <v>0</v>
      </c>
      <c r="L103" s="259">
        <f t="shared" ref="L103:M103" si="306">H103+20</f>
        <v>103</v>
      </c>
      <c r="M103" s="258">
        <f t="shared" si="306"/>
        <v>56</v>
      </c>
      <c r="N103" s="260">
        <f t="shared" si="246"/>
        <v>87</v>
      </c>
      <c r="O103" s="275">
        <f t="array" ref="O103">iferror(if(INDEX('Slot Selection'!$A$2:$BJ$38, MATCH(E103-400,'Slot Selection'!$A$2:$A$38, 0), MATCH("2026-"&amp;D103,'Slot Selection'!$2:$2, 0)),1,0),0)</f>
        <v>0</v>
      </c>
      <c r="P103" s="276">
        <f t="array" ref="P103">iferror(if(INDEX('Slot Selection'!$A$80:$BJ$116, MATCH(F103-600,'Slot Selection'!$A$80:$A$116, 0), MATCH("2026-"&amp;D103,'Slot Selection'!$80:$80, 0)),1,0),0)</f>
        <v>0</v>
      </c>
      <c r="Q103" s="277">
        <f t="array" ref="Q103">iferror(if(INDEX('Slot Selection'!$A$41:$BJ$77, MATCH(F103-600,'Slot Selection'!$A$41:$A$77, 0), MATCH("2026-"&amp;D103,'Slot Selection'!$41:$41, 0)),1,0),0)</f>
        <v>0</v>
      </c>
      <c r="R103" s="254">
        <f t="shared" ref="R103:T103" si="307">L103*O103</f>
        <v>0</v>
      </c>
      <c r="S103" s="263">
        <f t="shared" si="307"/>
        <v>0</v>
      </c>
      <c r="T103" s="263">
        <f t="shared" si="307"/>
        <v>0</v>
      </c>
      <c r="U103" s="259">
        <f t="shared" ref="U103:W103" si="308">L103-R103</f>
        <v>103</v>
      </c>
      <c r="V103" s="263">
        <f t="shared" si="308"/>
        <v>56</v>
      </c>
      <c r="W103" s="264">
        <f t="shared" si="308"/>
        <v>87</v>
      </c>
    </row>
    <row r="104">
      <c r="A104" s="228" t="str">
        <f>IFERROR(__xludf.DUMMYFUNCTION("if(E104=506,""FEA006A"",INDEX(IMPORTRANGE(""https://docs.google.com/spreadsheets/d/1WbE6HOh_eG5_DM53SVfuckYm0VQnhNvuwjql7Tw1FX0/edit?gid=660406182#gid=660406182"", ""'""&amp;D104&amp;""'!H2:H45""),match(E104,IMPORTRANGE(""https://docs.google.com/spreadsheets/d/1W"&amp;"bE6HOh_eG5_DM53SVfuckYm0VQnhNvuwjql7Tw1FX0/edit?gid=660406182#gid=660406182"", ""'""&amp;D104&amp;""'!B2:B45""),0),1))"),"FE4014C")</f>
        <v>FE4014C</v>
      </c>
      <c r="B104" s="229" t="str">
        <f>IFERROR(__xludf.DUMMYFUNCTION("if(E104=506,""-"",INDEX(IMPORTRANGE(""https://docs.google.com/spreadsheets/d/1WbE6HOh_eG5_DM53SVfuckYm0VQnhNvuwjql7Tw1FX0/edit?gid=660406182#gid=660406182"", ""'""&amp;D104&amp;""'!D2:D45""),match(E104,IMPORTRANGE(""https://docs.google.com/spreadsheets/d/1WbE6HOh"&amp;"_eG5_DM53SVfuckYm0VQnhNvuwjql7Tw1FX0/edit?gid=660406182#gid=660406182"", ""'""&amp;D104&amp;""'!B2:B45""),0),1))"),"CS")</f>
        <v>CS</v>
      </c>
      <c r="C104" s="135" t="str">
        <f>IFERROR(__xludf.DUMMYFUNCTION("if(A104=""FEA006A"",""Garlic Herb Grilled Chicken"", ifna(INDEX(IMPORTRANGE(""https://docs.google.com/spreadsheets/d/1mnGm3iYGkB4FyqAD-LwwVYksgBMX_SY4qHQa16KgMiw/edit?gid=1956920866#gid=1956920866"", ""'EU Meal Database'!$E$2:$E""),MATCH(A104,IMPORTRANGE("&amp;"""https://docs.google.com/spreadsheets/d/1mnGm3iYGkB4FyqAD-LwwVYksgBMX_SY4qHQa16KgMiw/edit?gid=1956920866#gid=1956920866"",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DB_Product'!$B$2:$B""),MATCH(A104,IMPORTRANGE(""https://docs.google.com/spreadsheets/d/1n4t_JF5P_MLd0hMmhjv1A2rgLKdyee_-mrZZmdZr9G4/edit?gid=670402169#gid=670402169"", ""'Meal DB_Product'!$A$2:$A""),0))"&amp;"))"),"Creamy basil risotto with chicken")</f>
        <v>Creamy basil risotto with chicken</v>
      </c>
      <c r="D104" s="283" t="s">
        <v>231</v>
      </c>
      <c r="E104" s="230">
        <v>401.0</v>
      </c>
      <c r="F104" s="62">
        <v>601.0</v>
      </c>
      <c r="G104" s="231">
        <v>301.0</v>
      </c>
      <c r="H104" s="284">
        <f>IFERROR(__xludf.DUMMYFUNCTION("""COMPUTED_VALUE"""),6551.0)</f>
        <v>6551</v>
      </c>
      <c r="I104" s="188">
        <f>IFERROR(__xludf.DUMMYFUNCTION("""COMPUTED_VALUE"""),3599.0)</f>
        <v>3599</v>
      </c>
      <c r="J104" s="187">
        <f>IFERROR(__xludf.DUMMYFUNCTION("""COMPUTED_VALUE"""),2769.0)</f>
        <v>2769</v>
      </c>
      <c r="K104" s="285">
        <f>IFERROR(__xludf.DUMMYFUNCTION("""COMPUTED_VALUE"""),0.0)</f>
        <v>0</v>
      </c>
      <c r="L104" s="234">
        <f t="shared" ref="L104:M104" si="309">H104+20</f>
        <v>6571</v>
      </c>
      <c r="M104" s="235">
        <f t="shared" si="309"/>
        <v>3619</v>
      </c>
      <c r="N104" s="235">
        <f t="shared" si="246"/>
        <v>2789</v>
      </c>
      <c r="O104" s="265">
        <f t="array" ref="O104">iferror(if(INDEX('Slot Selection'!$A$2:$BJ$38, MATCH(E104-400,'Slot Selection'!$A$2:$A$38, 0), MATCH("2026-"&amp;D104,'Slot Selection'!$2:$2, 0)),1,0),0)</f>
        <v>0</v>
      </c>
      <c r="P104" s="266">
        <f t="array" ref="P104">iferror(if(INDEX('Slot Selection'!$A$80:$BJ$116, MATCH(F104-600,'Slot Selection'!$A$80:$A$116, 0), MATCH("2026-"&amp;E104,'Slot Selection'!$80:$80, 0)),1,0),0)</f>
        <v>0</v>
      </c>
      <c r="Q104" s="267">
        <f t="array" ref="Q104">iferror(if(INDEX('Slot Selection'!$A$41:$BJ$77, MATCH(F104-600,'Slot Selection'!$A$41:$A$77, 0), MATCH("2026-"&amp;D104,'Slot Selection'!$41:$41, 0)),1,0),0)</f>
        <v>0</v>
      </c>
      <c r="R104" s="62">
        <f t="shared" ref="R104:T104" si="310">L104*O104</f>
        <v>0</v>
      </c>
      <c r="S104" s="248">
        <f t="shared" si="310"/>
        <v>0</v>
      </c>
      <c r="T104" s="248">
        <f t="shared" si="310"/>
        <v>0</v>
      </c>
      <c r="U104" s="243">
        <f t="shared" ref="U104:W104" si="311">L104-R104</f>
        <v>6571</v>
      </c>
      <c r="V104" s="244">
        <f t="shared" si="311"/>
        <v>3619</v>
      </c>
      <c r="W104" s="245">
        <f t="shared" si="311"/>
        <v>2789</v>
      </c>
    </row>
    <row r="105">
      <c r="A105" s="242" t="str">
        <f>IFERROR(__xludf.DUMMYFUNCTION("if(E105=506,""FEA006A"",INDEX(IMPORTRANGE(""https://docs.google.com/spreadsheets/d/1WbE6HOh_eG5_DM53SVfuckYm0VQnhNvuwjql7Tw1FX0/edit?gid=660406182#gid=660406182"", ""'""&amp;D105&amp;""'!H2:H45""),match(E105,IMPORTRANGE(""https://docs.google.com/spreadsheets/d/1W"&amp;"bE6HOh_eG5_DM53SVfuckYm0VQnhNvuwjql7Tw1FX0/edit?gid=660406182#gid=660406182"", ""'""&amp;D105&amp;""'!B2:B45""),0),1))"),"FE0224D")</f>
        <v>FE0224D</v>
      </c>
      <c r="B105" s="229" t="str">
        <f>IFERROR(__xludf.DUMMYFUNCTION("if(E105=506,""-"",INDEX(IMPORTRANGE(""https://docs.google.com/spreadsheets/d/1WbE6HOh_eG5_DM53SVfuckYm0VQnhNvuwjql7Tw1FX0/edit?gid=660406182#gid=660406182"", ""'""&amp;D105&amp;""'!D2:D45""),match(E105,IMPORTRANGE(""https://docs.google.com/spreadsheets/d/1WbE6HOh"&amp;"_eG5_DM53SVfuckYm0VQnhNvuwjql7Tw1FX0/edit?gid=660406182#gid=660406182"", ""'""&amp;D105&amp;""'!B2:B45""),0),1))"),"CS")</f>
        <v>CS</v>
      </c>
      <c r="C105" s="135" t="str">
        <f>IFERROR(__xludf.DUMMYFUNCTION("if(A105=""FEA006A"",""Garlic Herb Grilled Chicken"", ifna(INDEX(IMPORTRANGE(""https://docs.google.com/spreadsheets/d/1mnGm3iYGkB4FyqAD-LwwVYksgBMX_SY4qHQa16KgMiw/edit?gid=1956920866#gid=1956920866"", ""'EU Meal Database'!$E$2:$E""),MATCH(A105,IMPORTRANGE("&amp;"""https://docs.google.com/spreadsheets/d/1mnGm3iYGkB4FyqAD-LwwVYksgBMX_SY4qHQa16KgMiw/edit?gid=1956920866#gid=1956920866"",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DB_Product'!$B$2:$B""),MATCH(A105,IMPORTRANGE(""https://docs.google.com/spreadsheets/d/1n4t_JF5P_MLd0hMmhjv1A2rgLKdyee_-mrZZmdZr9G4/edit?gid=670402169#gid=670402169"", ""'Meal DB_Product'!$A$2:$A""),0))"&amp;"))"),"Chicken à la Florentine")</f>
        <v>Chicken à la Florentine</v>
      </c>
      <c r="D105" s="286" t="s">
        <v>231</v>
      </c>
      <c r="E105" s="230">
        <v>402.0</v>
      </c>
      <c r="F105" s="62">
        <v>602.0</v>
      </c>
      <c r="G105" s="231">
        <v>302.0</v>
      </c>
      <c r="H105" s="16">
        <f>IFERROR(__xludf.DUMMYFUNCTION("""COMPUTED_VALUE"""),3709.0)</f>
        <v>3709</v>
      </c>
      <c r="I105" s="17">
        <f>IFERROR(__xludf.DUMMYFUNCTION("""COMPUTED_VALUE"""),2335.0)</f>
        <v>2335</v>
      </c>
      <c r="J105" s="18">
        <f>IFERROR(__xludf.DUMMYFUNCTION("""COMPUTED_VALUE"""),1606.0)</f>
        <v>1606</v>
      </c>
      <c r="K105" s="287">
        <f>IFERROR(__xludf.DUMMYFUNCTION("""COMPUTED_VALUE"""),0.0)</f>
        <v>0</v>
      </c>
      <c r="L105" s="243">
        <f t="shared" ref="L105:M105" si="312">H105+20</f>
        <v>3729</v>
      </c>
      <c r="M105" s="244">
        <f t="shared" si="312"/>
        <v>2355</v>
      </c>
      <c r="N105" s="244">
        <f t="shared" si="246"/>
        <v>1626</v>
      </c>
      <c r="O105" s="268">
        <f t="array" ref="O105">iferror(if(INDEX('Slot Selection'!$A$2:$BJ$38, MATCH(E105-400,'Slot Selection'!$A$2:$A$38, 0), MATCH("2026-"&amp;D105,'Slot Selection'!$2:$2, 0)),1,0),0)</f>
        <v>0</v>
      </c>
      <c r="P105" s="269">
        <f t="array" ref="P105">iferror(if(INDEX('Slot Selection'!$A$80:$BJ$116, MATCH(F105-600,'Slot Selection'!$A$80:$A$116, 0), MATCH("2026-"&amp;D105,'Slot Selection'!$80:$80, 0)),1,0),0)</f>
        <v>0</v>
      </c>
      <c r="Q105" s="270">
        <f t="array" ref="Q105">iferror(if(INDEX('Slot Selection'!$A$41:$BJ$77, MATCH(F105-600,'Slot Selection'!$A$41:$A$77, 0), MATCH("2026-"&amp;D105,'Slot Selection'!$41:$41, 0)),1,0),0)</f>
        <v>0</v>
      </c>
      <c r="R105" s="62">
        <f t="shared" ref="R105:T105" si="313">L105*O105</f>
        <v>0</v>
      </c>
      <c r="S105" s="248">
        <f t="shared" si="313"/>
        <v>0</v>
      </c>
      <c r="T105" s="248">
        <f t="shared" si="313"/>
        <v>0</v>
      </c>
      <c r="U105" s="243">
        <f t="shared" ref="U105:W105" si="314">L105-R105</f>
        <v>3729</v>
      </c>
      <c r="V105" s="244">
        <f t="shared" si="314"/>
        <v>2355</v>
      </c>
      <c r="W105" s="245">
        <f t="shared" si="314"/>
        <v>1626</v>
      </c>
    </row>
    <row r="106">
      <c r="A106" s="242" t="str">
        <f>IFERROR(__xludf.DUMMYFUNCTION("if(E106=506,""FEA006A"",INDEX(IMPORTRANGE(""https://docs.google.com/spreadsheets/d/1WbE6HOh_eG5_DM53SVfuckYm0VQnhNvuwjql7Tw1FX0/edit?gid=660406182#gid=660406182"", ""'""&amp;D106&amp;""'!H2:H45""),match(E106,IMPORTRANGE(""https://docs.google.com/spreadsheets/d/1W"&amp;"bE6HOh_eG5_DM53SVfuckYm0VQnhNvuwjql7Tw1FX0/edit?gid=660406182#gid=660406182"", ""'""&amp;D106&amp;""'!B2:B45""),0),1))"),"FE0713B")</f>
        <v>FE0713B</v>
      </c>
      <c r="B106" s="229" t="str">
        <f>IFERROR(__xludf.DUMMYFUNCTION("if(E106=506,""-"",INDEX(IMPORTRANGE(""https://docs.google.com/spreadsheets/d/1WbE6HOh_eG5_DM53SVfuckYm0VQnhNvuwjql7Tw1FX0/edit?gid=660406182#gid=660406182"", ""'""&amp;D106&amp;""'!D2:D45""),match(E106,IMPORTRANGE(""https://docs.google.com/spreadsheets/d/1WbE6HOh"&amp;"_eG5_DM53SVfuckYm0VQnhNvuwjql7Tw1FX0/edit?gid=660406182#gid=660406182"", ""'""&amp;D106&amp;""'!B2:B45""),0),1))"),"Keto")</f>
        <v>Keto</v>
      </c>
      <c r="C106" s="135" t="str">
        <f>IFERROR(__xludf.DUMMYFUNCTION("if(A106=""FEA006A"",""Garlic Herb Grilled Chicken"", ifna(INDEX(IMPORTRANGE(""https://docs.google.com/spreadsheets/d/1mnGm3iYGkB4FyqAD-LwwVYksgBMX_SY4qHQa16KgMiw/edit?gid=1956920866#gid=1956920866"", ""'EU Meal Database'!$E$2:$E""),MATCH(A106,IMPORTRANGE("&amp;"""https://docs.google.com/spreadsheets/d/1mnGm3iYGkB4FyqAD-LwwVYksgBMX_SY4qHQa16KgMiw/edit?gid=1956920866#gid=1956920866"",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DB_Product'!$B$2:$B""),MATCH(A106,IMPORTRANGE(""https://docs.google.com/spreadsheets/d/1n4t_JF5P_MLd0hMmhjv1A2rgLKdyee_-mrZZmdZr9G4/edit?gid=670402169#gid=670402169"", ""'Meal DB_Product'!$A$2:$A""),0))"&amp;"))"),"Cabbage in cheese sauce with minced beef")</f>
        <v>Cabbage in cheese sauce with minced beef</v>
      </c>
      <c r="D106" s="286" t="s">
        <v>231</v>
      </c>
      <c r="E106" s="230">
        <v>403.0</v>
      </c>
      <c r="F106" s="62">
        <v>603.0</v>
      </c>
      <c r="G106" s="231">
        <v>303.0</v>
      </c>
      <c r="H106" s="16">
        <f>IFERROR(__xludf.DUMMYFUNCTION("""COMPUTED_VALUE"""),3247.0)</f>
        <v>3247</v>
      </c>
      <c r="I106" s="17">
        <f>IFERROR(__xludf.DUMMYFUNCTION("""COMPUTED_VALUE"""),2027.0)</f>
        <v>2027</v>
      </c>
      <c r="J106" s="18">
        <f>IFERROR(__xludf.DUMMYFUNCTION("""COMPUTED_VALUE"""),1640.0)</f>
        <v>1640</v>
      </c>
      <c r="K106" s="287">
        <f>IFERROR(__xludf.DUMMYFUNCTION("""COMPUTED_VALUE"""),0.0)</f>
        <v>0</v>
      </c>
      <c r="L106" s="243">
        <f t="shared" ref="L106:M106" si="315">H106+20</f>
        <v>3267</v>
      </c>
      <c r="M106" s="244">
        <f t="shared" si="315"/>
        <v>2047</v>
      </c>
      <c r="N106" s="244">
        <f t="shared" si="246"/>
        <v>1660</v>
      </c>
      <c r="O106" s="268">
        <f t="array" ref="O106">iferror(if(INDEX('Slot Selection'!$A$2:$BJ$38, MATCH(E106-400,'Slot Selection'!$A$2:$A$38, 0), MATCH("2026-"&amp;D106,'Slot Selection'!$2:$2, 0)),1,0),0)</f>
        <v>1</v>
      </c>
      <c r="P106" s="269">
        <f t="array" ref="P106">iferror(if(INDEX('Slot Selection'!$A$80:$BJ$116, MATCH(F106-600,'Slot Selection'!$A$80:$A$116, 0), MATCH("2026-"&amp;D106,'Slot Selection'!$80:$80, 0)),1,0),0)</f>
        <v>1</v>
      </c>
      <c r="Q106" s="270">
        <f t="array" ref="Q106">iferror(if(INDEX('Slot Selection'!$A$41:$BJ$77, MATCH(F106-600,'Slot Selection'!$A$41:$A$77, 0), MATCH("2026-"&amp;D106,'Slot Selection'!$41:$41, 0)),1,0),0)</f>
        <v>1</v>
      </c>
      <c r="R106" s="62">
        <f t="shared" ref="R106:T106" si="316">L106*O106</f>
        <v>3267</v>
      </c>
      <c r="S106" s="248">
        <f t="shared" si="316"/>
        <v>2047</v>
      </c>
      <c r="T106" s="248">
        <f t="shared" si="316"/>
        <v>1660</v>
      </c>
      <c r="U106" s="243">
        <f t="shared" ref="U106:W106" si="317">L106-R106</f>
        <v>0</v>
      </c>
      <c r="V106" s="244">
        <f t="shared" si="317"/>
        <v>0</v>
      </c>
      <c r="W106" s="245">
        <f t="shared" si="317"/>
        <v>0</v>
      </c>
    </row>
    <row r="107">
      <c r="A107" s="242" t="str">
        <f>IFERROR(__xludf.DUMMYFUNCTION("if(E107=506,""FEA006A"",INDEX(IMPORTRANGE(""https://docs.google.com/spreadsheets/d/1WbE6HOh_eG5_DM53SVfuckYm0VQnhNvuwjql7Tw1FX0/edit?gid=660406182#gid=660406182"", ""'""&amp;D107&amp;""'!H2:H45""),match(E107,IMPORTRANGE(""https://docs.google.com/spreadsheets/d/1W"&amp;"bE6HOh_eG5_DM53SVfuckYm0VQnhNvuwjql7Tw1FX0/edit?gid=660406182#gid=660406182"", ""'""&amp;D107&amp;""'!B2:B45""),0),1))"),"FE0281E")</f>
        <v>FE0281E</v>
      </c>
      <c r="B107" s="229" t="str">
        <f>IFERROR(__xludf.DUMMYFUNCTION("if(E107=506,""-"",INDEX(IMPORTRANGE(""https://docs.google.com/spreadsheets/d/1WbE6HOh_eG5_DM53SVfuckYm0VQnhNvuwjql7Tw1FX0/edit?gid=660406182#gid=660406182"", ""'""&amp;D107&amp;""'!D2:D45""),match(E107,IMPORTRANGE(""https://docs.google.com/spreadsheets/d/1WbE6HOh"&amp;"_eG5_DM53SVfuckYm0VQnhNvuwjql7Tw1FX0/edit?gid=660406182#gid=660406182"", ""'""&amp;D107&amp;""'!B2:B45""),0),1))"),"P+")</f>
        <v>P+</v>
      </c>
      <c r="C107" s="135" t="str">
        <f>IFERROR(__xludf.DUMMYFUNCTION("if(A107=""FEA006A"",""Garlic Herb Grilled Chicken"", ifna(INDEX(IMPORTRANGE(""https://docs.google.com/spreadsheets/d/1mnGm3iYGkB4FyqAD-LwwVYksgBMX_SY4qHQa16KgMiw/edit?gid=1956920866#gid=1956920866"", ""'EU Meal Database'!$E$2:$E""),MATCH(A107,IMPORTRANGE("&amp;"""https://docs.google.com/spreadsheets/d/1mnGm3iYGkB4FyqAD-LwwVYksgBMX_SY4qHQa16KgMiw/edit?gid=1956920866#gid=1956920866"",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DB_Product'!$B$2:$B""),MATCH(A107,IMPORTRANGE(""https://docs.google.com/spreadsheets/d/1n4t_JF5P_MLd0hMmhjv1A2rgLKdyee_-mrZZmdZr9G4/edit?gid=670402169#gid=670402169"", ""'Meal DB_Product'!$A$2:$A""),0))"&amp;"))"),"Spicy citrus salmon")</f>
        <v>Spicy citrus salmon</v>
      </c>
      <c r="D107" s="286" t="s">
        <v>231</v>
      </c>
      <c r="E107" s="230">
        <v>404.0</v>
      </c>
      <c r="F107" s="62">
        <v>604.0</v>
      </c>
      <c r="G107" s="231">
        <v>304.0</v>
      </c>
      <c r="H107" s="16">
        <f>IFERROR(__xludf.DUMMYFUNCTION("""COMPUTED_VALUE"""),5301.0)</f>
        <v>5301</v>
      </c>
      <c r="I107" s="17">
        <f>IFERROR(__xludf.DUMMYFUNCTION("""COMPUTED_VALUE"""),2968.0)</f>
        <v>2968</v>
      </c>
      <c r="J107" s="18">
        <f>IFERROR(__xludf.DUMMYFUNCTION("""COMPUTED_VALUE"""),2263.0)</f>
        <v>2263</v>
      </c>
      <c r="K107" s="287">
        <f>IFERROR(__xludf.DUMMYFUNCTION("""COMPUTED_VALUE"""),0.0)</f>
        <v>0</v>
      </c>
      <c r="L107" s="243">
        <f t="shared" ref="L107:M107" si="318">H107+20</f>
        <v>5321</v>
      </c>
      <c r="M107" s="244">
        <f t="shared" si="318"/>
        <v>2988</v>
      </c>
      <c r="N107" s="244">
        <f t="shared" si="246"/>
        <v>2283</v>
      </c>
      <c r="O107" s="268">
        <f t="array" ref="O107">iferror(if(INDEX('Slot Selection'!$A$2:$BJ$38, MATCH(E107-400,'Slot Selection'!$A$2:$A$38, 0), MATCH("2026-"&amp;D107,'Slot Selection'!$2:$2, 0)),1,0),0)</f>
        <v>1</v>
      </c>
      <c r="P107" s="269">
        <f t="array" ref="P107">iferror(if(INDEX('Slot Selection'!$A$80:$BJ$116, MATCH(F107-600,'Slot Selection'!$A$80:$A$116, 0), MATCH("2026-"&amp;D107,'Slot Selection'!$80:$80, 0)),1,0),0)</f>
        <v>1</v>
      </c>
      <c r="Q107" s="270">
        <f t="array" ref="Q107">iferror(if(INDEX('Slot Selection'!$A$41:$BJ$77, MATCH(F107-600,'Slot Selection'!$A$41:$A$77, 0), MATCH("2026-"&amp;D107,'Slot Selection'!$41:$41, 0)),1,0),0)</f>
        <v>1</v>
      </c>
      <c r="R107" s="62">
        <f t="shared" ref="R107:T107" si="319">L107*O107</f>
        <v>5321</v>
      </c>
      <c r="S107" s="248">
        <f t="shared" si="319"/>
        <v>2988</v>
      </c>
      <c r="T107" s="248">
        <f t="shared" si="319"/>
        <v>2283</v>
      </c>
      <c r="U107" s="243">
        <f t="shared" ref="U107:W107" si="320">L107-R107</f>
        <v>0</v>
      </c>
      <c r="V107" s="244">
        <f t="shared" si="320"/>
        <v>0</v>
      </c>
      <c r="W107" s="245">
        <f t="shared" si="320"/>
        <v>0</v>
      </c>
    </row>
    <row r="108">
      <c r="A108" s="242" t="str">
        <f>IFERROR(__xludf.DUMMYFUNCTION("if(E108=506,""FEA006A"",INDEX(IMPORTRANGE(""https://docs.google.com/spreadsheets/d/1WbE6HOh_eG5_DM53SVfuckYm0VQnhNvuwjql7Tw1FX0/edit?gid=660406182#gid=660406182"", ""'""&amp;D108&amp;""'!H2:H45""),match(E108,IMPORTRANGE(""https://docs.google.com/spreadsheets/d/1W"&amp;"bE6HOh_eG5_DM53SVfuckYm0VQnhNvuwjql7Tw1FX0/edit?gid=660406182#gid=660406182"", ""'""&amp;D108&amp;""'!B2:B45""),0),1))"),"FE1636A")</f>
        <v>FE1636A</v>
      </c>
      <c r="B108" s="229" t="str">
        <f>IFERROR(__xludf.DUMMYFUNCTION("if(E108=506,""-"",INDEX(IMPORTRANGE(""https://docs.google.com/spreadsheets/d/1WbE6HOh_eG5_DM53SVfuckYm0VQnhNvuwjql7Tw1FX0/edit?gid=660406182#gid=660406182"", ""'""&amp;D108&amp;""'!D2:D45""),match(E108,IMPORTRANGE(""https://docs.google.com/spreadsheets/d/1WbE6HOh"&amp;"_eG5_DM53SVfuckYm0VQnhNvuwjql7Tw1FX0/edit?gid=660406182#gid=660406182"", ""'""&amp;D108&amp;""'!B2:B45""),0),1))"),"CS")</f>
        <v>CS</v>
      </c>
      <c r="C108" s="135" t="str">
        <f>IFERROR(__xludf.DUMMYFUNCTION("if(A108=""FEA006A"",""Garlic Herb Grilled Chicken"", ifna(INDEX(IMPORTRANGE(""https://docs.google.com/spreadsheets/d/1mnGm3iYGkB4FyqAD-LwwVYksgBMX_SY4qHQa16KgMiw/edit?gid=1956920866#gid=1956920866"", ""'EU Meal Database'!$E$2:$E""),MATCH(A108,IMPORTRANGE("&amp;"""https://docs.google.com/spreadsheets/d/1mnGm3iYGkB4FyqAD-LwwVYksgBMX_SY4qHQa16KgMiw/edit?gid=1956920866#gid=1956920866"",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DB_Product'!$B$2:$B""),MATCH(A108,IMPORTRANGE(""https://docs.google.com/spreadsheets/d/1n4t_JF5P_MLd0hMmhjv1A2rgLKdyee_-mrZZmdZr9G4/edit?gid=670402169#gid=670402169"", ""'Meal DB_Product'!$A$2:$A""),0))"&amp;"))"),"Green Chile Chicken &amp; Salsa Quinoa")</f>
        <v>Green Chile Chicken &amp; Salsa Quinoa</v>
      </c>
      <c r="D108" s="286" t="s">
        <v>231</v>
      </c>
      <c r="E108" s="230">
        <v>405.0</v>
      </c>
      <c r="F108" s="62">
        <v>605.0</v>
      </c>
      <c r="G108" s="231">
        <v>305.0</v>
      </c>
      <c r="H108" s="16">
        <f>IFERROR(__xludf.DUMMYFUNCTION("""COMPUTED_VALUE"""),2565.0)</f>
        <v>2565</v>
      </c>
      <c r="I108" s="17">
        <f>IFERROR(__xludf.DUMMYFUNCTION("""COMPUTED_VALUE"""),1745.0)</f>
        <v>1745</v>
      </c>
      <c r="J108" s="18">
        <f>IFERROR(__xludf.DUMMYFUNCTION("""COMPUTED_VALUE"""),1494.0)</f>
        <v>1494</v>
      </c>
      <c r="K108" s="287">
        <f>IFERROR(__xludf.DUMMYFUNCTION("""COMPUTED_VALUE"""),0.0)</f>
        <v>0</v>
      </c>
      <c r="L108" s="243">
        <f t="shared" ref="L108:M108" si="321">H108+20</f>
        <v>2585</v>
      </c>
      <c r="M108" s="244">
        <f t="shared" si="321"/>
        <v>1765</v>
      </c>
      <c r="N108" s="244">
        <f t="shared" si="246"/>
        <v>1514</v>
      </c>
      <c r="O108" s="268">
        <f t="array" ref="O108">iferror(if(INDEX('Slot Selection'!$A$2:$BJ$38, MATCH(E108-400,'Slot Selection'!$A$2:$A$38, 0), MATCH("2026-"&amp;D108,'Slot Selection'!$2:$2, 0)),1,0),0)</f>
        <v>0</v>
      </c>
      <c r="P108" s="269">
        <f t="array" ref="P108">iferror(if(INDEX('Slot Selection'!$A$80:$BJ$116, MATCH(F108-600,'Slot Selection'!$A$80:$A$116, 0), MATCH("2026-"&amp;D108,'Slot Selection'!$80:$80, 0)),1,0),0)</f>
        <v>0</v>
      </c>
      <c r="Q108" s="270">
        <f t="array" ref="Q108">iferror(if(INDEX('Slot Selection'!$A$41:$BJ$77, MATCH(F108-600,'Slot Selection'!$A$41:$A$77, 0), MATCH("2026-"&amp;D108,'Slot Selection'!$41:$41, 0)),1,0),0)</f>
        <v>0</v>
      </c>
      <c r="R108" s="62">
        <f t="shared" ref="R108:T108" si="322">L108*O108</f>
        <v>0</v>
      </c>
      <c r="S108" s="248">
        <f t="shared" si="322"/>
        <v>0</v>
      </c>
      <c r="T108" s="248">
        <f t="shared" si="322"/>
        <v>0</v>
      </c>
      <c r="U108" s="243">
        <f t="shared" ref="U108:W108" si="323">L108-R108</f>
        <v>2585</v>
      </c>
      <c r="V108" s="244">
        <f t="shared" si="323"/>
        <v>1765</v>
      </c>
      <c r="W108" s="245">
        <f t="shared" si="323"/>
        <v>1514</v>
      </c>
    </row>
    <row r="109">
      <c r="A109" s="242" t="str">
        <f>IFERROR(__xludf.DUMMYFUNCTION("if(E109=506,""FEA006A"",INDEX(IMPORTRANGE(""https://docs.google.com/spreadsheets/d/1WbE6HOh_eG5_DM53SVfuckYm0VQnhNvuwjql7Tw1FX0/edit?gid=660406182#gid=660406182"", ""'""&amp;D109&amp;""'!H2:H45""),match(E109,IMPORTRANGE(""https://docs.google.com/spreadsheets/d/1W"&amp;"bE6HOh_eG5_DM53SVfuckYm0VQnhNvuwjql7Tw1FX0/edit?gid=660406182#gid=660406182"", ""'""&amp;D109&amp;""'!B2:B45""),0),1))"),"FE0972B")</f>
        <v>FE0972B</v>
      </c>
      <c r="B109" s="229" t="str">
        <f>IFERROR(__xludf.DUMMYFUNCTION("if(E109=506,""-"",INDEX(IMPORTRANGE(""https://docs.google.com/spreadsheets/d/1WbE6HOh_eG5_DM53SVfuckYm0VQnhNvuwjql7Tw1FX0/edit?gid=660406182#gid=660406182"", ""'""&amp;D109&amp;""'!D2:D45""),match(E109,IMPORTRANGE(""https://docs.google.com/spreadsheets/d/1WbE6HOh"&amp;"_eG5_DM53SVfuckYm0VQnhNvuwjql7Tw1FX0/edit?gid=660406182#gid=660406182"", ""'""&amp;D109&amp;""'!B2:B45""),0),1))"),"Keto")</f>
        <v>Keto</v>
      </c>
      <c r="C109" s="135" t="str">
        <f>IFERROR(__xludf.DUMMYFUNCTION("if(A109=""FEA006A"",""Garlic Herb Grilled Chicken"", ifna(INDEX(IMPORTRANGE(""https://docs.google.com/spreadsheets/d/1mnGm3iYGkB4FyqAD-LwwVYksgBMX_SY4qHQa16KgMiw/edit?gid=1956920866#gid=1956920866"", ""'EU Meal Database'!$E$2:$E""),MATCH(A109,IMPORTRANGE("&amp;"""https://docs.google.com/spreadsheets/d/1mnGm3iYGkB4FyqAD-LwwVYksgBMX_SY4qHQa16KgMiw/edit?gid=1956920866#gid=1956920866"",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DB_Product'!$B$2:$B""),MATCH(A109,IMPORTRANGE(""https://docs.google.com/spreadsheets/d/1n4t_JF5P_MLd0hMmhjv1A2rgLKdyee_-mrZZmdZr9G4/edit?gid=670402169#gid=670402169"", ""'Meal DB_Product'!$A$2:$A""),0))"&amp;"))"),"Salmon Piccata")</f>
        <v>Salmon Piccata</v>
      </c>
      <c r="D109" s="286" t="s">
        <v>231</v>
      </c>
      <c r="E109" s="230">
        <v>406.0</v>
      </c>
      <c r="F109" s="62">
        <v>606.0</v>
      </c>
      <c r="G109" s="231">
        <v>306.0</v>
      </c>
      <c r="H109" s="16">
        <f>IFERROR(__xludf.DUMMYFUNCTION("""COMPUTED_VALUE"""),2873.0)</f>
        <v>2873</v>
      </c>
      <c r="I109" s="17">
        <f>IFERROR(__xludf.DUMMYFUNCTION("""COMPUTED_VALUE"""),1741.0)</f>
        <v>1741</v>
      </c>
      <c r="J109" s="18">
        <f>IFERROR(__xludf.DUMMYFUNCTION("""COMPUTED_VALUE"""),1703.0)</f>
        <v>1703</v>
      </c>
      <c r="K109" s="287">
        <f>IFERROR(__xludf.DUMMYFUNCTION("""COMPUTED_VALUE"""),0.0)</f>
        <v>0</v>
      </c>
      <c r="L109" s="243">
        <f t="shared" ref="L109:M109" si="324">H109+20</f>
        <v>2893</v>
      </c>
      <c r="M109" s="244">
        <f t="shared" si="324"/>
        <v>1761</v>
      </c>
      <c r="N109" s="244">
        <f t="shared" si="246"/>
        <v>1723</v>
      </c>
      <c r="O109" s="268">
        <f t="array" ref="O109">iferror(if(INDEX('Slot Selection'!$A$2:$BJ$38, MATCH(E109-400,'Slot Selection'!$A$2:$A$38, 0), MATCH("2026-"&amp;D109,'Slot Selection'!$2:$2, 0)),1,0),0)</f>
        <v>1</v>
      </c>
      <c r="P109" s="269">
        <f t="array" ref="P109">iferror(if(INDEX('Slot Selection'!$A$80:$BJ$116, MATCH(F109-600,'Slot Selection'!$A$80:$A$116, 0), MATCH("2026-"&amp;D109,'Slot Selection'!$80:$80, 0)),1,0),0)</f>
        <v>1</v>
      </c>
      <c r="Q109" s="270">
        <f t="array" ref="Q109">iferror(if(INDEX('Slot Selection'!$A$41:$BJ$77, MATCH(F109-600,'Slot Selection'!$A$41:$A$77, 0), MATCH("2026-"&amp;D109,'Slot Selection'!$41:$41, 0)),1,0),0)</f>
        <v>1</v>
      </c>
      <c r="R109" s="62">
        <f t="shared" ref="R109:T109" si="325">L109*O109</f>
        <v>2893</v>
      </c>
      <c r="S109" s="248">
        <f t="shared" si="325"/>
        <v>1761</v>
      </c>
      <c r="T109" s="248">
        <f t="shared" si="325"/>
        <v>1723</v>
      </c>
      <c r="U109" s="243">
        <f t="shared" ref="U109:W109" si="326">L109-R109</f>
        <v>0</v>
      </c>
      <c r="V109" s="244">
        <f t="shared" si="326"/>
        <v>0</v>
      </c>
      <c r="W109" s="245">
        <f t="shared" si="326"/>
        <v>0</v>
      </c>
    </row>
    <row r="110">
      <c r="A110" s="242" t="str">
        <f>IFERROR(__xludf.DUMMYFUNCTION("if(E110=506,""FEA006A"",INDEX(IMPORTRANGE(""https://docs.google.com/spreadsheets/d/1WbE6HOh_eG5_DM53SVfuckYm0VQnhNvuwjql7Tw1FX0/edit?gid=660406182#gid=660406182"", ""'""&amp;D110&amp;""'!H2:H45""),match(E110,IMPORTRANGE(""https://docs.google.com/spreadsheets/d/1W"&amp;"bE6HOh_eG5_DM53SVfuckYm0VQnhNvuwjql7Tw1FX0/edit?gid=660406182#gid=660406182"", ""'""&amp;D110&amp;""'!B2:B45""),0),1))"),"FE0794D")</f>
        <v>FE0794D</v>
      </c>
      <c r="B110" s="229" t="str">
        <f>IFERROR(__xludf.DUMMYFUNCTION("if(E110=506,""-"",INDEX(IMPORTRANGE(""https://docs.google.com/spreadsheets/d/1WbE6HOh_eG5_DM53SVfuckYm0VQnhNvuwjql7Tw1FX0/edit?gid=660406182#gid=660406182"", ""'""&amp;D110&amp;""'!D2:D45""),match(E110,IMPORTRANGE(""https://docs.google.com/spreadsheets/d/1WbE6HOh"&amp;"_eG5_DM53SVfuckYm0VQnhNvuwjql7Tw1FX0/edit?gid=660406182#gid=660406182"", ""'""&amp;D110&amp;""'!B2:B45""),0),1))"),"Keto")</f>
        <v>Keto</v>
      </c>
      <c r="C110" s="135" t="str">
        <f>IFERROR(__xludf.DUMMYFUNCTION("if(A110=""FEA006A"",""Garlic Herb Grilled Chicken"", ifna(INDEX(IMPORTRANGE(""https://docs.google.com/spreadsheets/d/1mnGm3iYGkB4FyqAD-LwwVYksgBMX_SY4qHQa16KgMiw/edit?gid=1956920866#gid=1956920866"", ""'EU Meal Database'!$E$2:$E""),MATCH(A110,IMPORTRANGE("&amp;"""https://docs.google.com/spreadsheets/d/1mnGm3iYGkB4FyqAD-LwwVYksgBMX_SY4qHQa16KgMiw/edit?gid=1956920866#gid=1956920866"",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DB_Product'!$B$2:$B""),MATCH(A110,IMPORTRANGE(""https://docs.google.com/spreadsheets/d/1n4t_JF5P_MLd0hMmhjv1A2rgLKdyee_-mrZZmdZr9G4/edit?gid=670402169#gid=670402169"", ""'Meal DB_Product'!$A$2:$A""),0))"&amp;"))"),"Loaded Bacon Shredded Chicken")</f>
        <v>Loaded Bacon Shredded Chicken</v>
      </c>
      <c r="D110" s="286" t="s">
        <v>231</v>
      </c>
      <c r="E110" s="230">
        <v>407.0</v>
      </c>
      <c r="F110" s="62">
        <v>607.0</v>
      </c>
      <c r="G110" s="231">
        <v>307.0</v>
      </c>
      <c r="H110" s="16">
        <f>IFERROR(__xludf.DUMMYFUNCTION("""COMPUTED_VALUE"""),2499.0)</f>
        <v>2499</v>
      </c>
      <c r="I110" s="17">
        <f>IFERROR(__xludf.DUMMYFUNCTION("""COMPUTED_VALUE"""),1574.0)</f>
        <v>1574</v>
      </c>
      <c r="J110" s="18">
        <f>IFERROR(__xludf.DUMMYFUNCTION("""COMPUTED_VALUE"""),1402.0)</f>
        <v>1402</v>
      </c>
      <c r="K110" s="287">
        <f>IFERROR(__xludf.DUMMYFUNCTION("""COMPUTED_VALUE"""),0.0)</f>
        <v>0</v>
      </c>
      <c r="L110" s="243">
        <f t="shared" ref="L110:M110" si="327">H110+20</f>
        <v>2519</v>
      </c>
      <c r="M110" s="244">
        <f t="shared" si="327"/>
        <v>1594</v>
      </c>
      <c r="N110" s="244">
        <f t="shared" si="246"/>
        <v>1422</v>
      </c>
      <c r="O110" s="268">
        <f t="array" ref="O110">iferror(if(INDEX('Slot Selection'!$A$2:$BJ$38, MATCH(E110-400,'Slot Selection'!$A$2:$A$38, 0), MATCH("2026-"&amp;D110,'Slot Selection'!$2:$2, 0)),1,0),0)</f>
        <v>1</v>
      </c>
      <c r="P110" s="269">
        <f t="array" ref="P110">iferror(if(INDEX('Slot Selection'!$A$80:$BJ$116, MATCH(F110-600,'Slot Selection'!$A$80:$A$116, 0), MATCH("2026-"&amp;D110,'Slot Selection'!$80:$80, 0)),1,0),0)</f>
        <v>1</v>
      </c>
      <c r="Q110" s="270">
        <f t="array" ref="Q110">iferror(if(INDEX('Slot Selection'!$A$41:$BJ$77, MATCH(F110-600,'Slot Selection'!$A$41:$A$77, 0), MATCH("2026-"&amp;D110,'Slot Selection'!$41:$41, 0)),1,0),0)</f>
        <v>1</v>
      </c>
      <c r="R110" s="62">
        <f t="shared" ref="R110:T110" si="328">L110*O110</f>
        <v>2519</v>
      </c>
      <c r="S110" s="248">
        <f t="shared" si="328"/>
        <v>1594</v>
      </c>
      <c r="T110" s="248">
        <f t="shared" si="328"/>
        <v>1422</v>
      </c>
      <c r="U110" s="243">
        <f t="shared" ref="U110:W110" si="329">L110-R110</f>
        <v>0</v>
      </c>
      <c r="V110" s="244">
        <f t="shared" si="329"/>
        <v>0</v>
      </c>
      <c r="W110" s="245">
        <f t="shared" si="329"/>
        <v>0</v>
      </c>
    </row>
    <row r="111" ht="16.5" customHeight="1">
      <c r="A111" s="242" t="str">
        <f>IFERROR(__xludf.DUMMYFUNCTION("if(E111=506,""FEA006A"",INDEX(IMPORTRANGE(""https://docs.google.com/spreadsheets/d/1WbE6HOh_eG5_DM53SVfuckYm0VQnhNvuwjql7Tw1FX0/edit?gid=660406182#gid=660406182"", ""'""&amp;D111&amp;""'!H2:H45""),match(E111,IMPORTRANGE(""https://docs.google.com/spreadsheets/d/1W"&amp;"bE6HOh_eG5_DM53SVfuckYm0VQnhNvuwjql7Tw1FX0/edit?gid=660406182#gid=660406182"", ""'""&amp;D111&amp;""'!B2:B45""),0),1))"),"FE0207I")</f>
        <v>FE0207I</v>
      </c>
      <c r="B111" s="229" t="str">
        <f>IFERROR(__xludf.DUMMYFUNCTION("if(E111=506,""-"",INDEX(IMPORTRANGE(""https://docs.google.com/spreadsheets/d/1WbE6HOh_eG5_DM53SVfuckYm0VQnhNvuwjql7Tw1FX0/edit?gid=660406182#gid=660406182"", ""'""&amp;D111&amp;""'!D2:D45""),match(E111,IMPORTRANGE(""https://docs.google.com/spreadsheets/d/1WbE6HOh"&amp;"_eG5_DM53SVfuckYm0VQnhNvuwjql7Tw1FX0/edit?gid=660406182#gid=660406182"", ""'""&amp;D111&amp;""'!B2:B45""),0),1))"),"Keto")</f>
        <v>Keto</v>
      </c>
      <c r="C111" s="135" t="str">
        <f>IFERROR(__xludf.DUMMYFUNCTION("if(A111=""FEA006A"",""Garlic Herb Grilled Chicken"", ifna(INDEX(IMPORTRANGE(""https://docs.google.com/spreadsheets/d/1mnGm3iYGkB4FyqAD-LwwVYksgBMX_SY4qHQa16KgMiw/edit?gid=1956920866#gid=1956920866"", ""'EU Meal Database'!$E$2:$E""),MATCH(A111,IMPORTRANGE("&amp;"""https://docs.google.com/spreadsheets/d/1mnGm3iYGkB4FyqAD-LwwVYksgBMX_SY4qHQa16KgMiw/edit?gid=1956920866#gid=1956920866"",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DB_Product'!$B$2:$B""),MATCH(A111,IMPORTRANGE(""https://docs.google.com/spreadsheets/d/1n4t_JF5P_MLd0hMmhjv1A2rgLKdyee_-mrZZmdZr9G4/edit?gid=670402169#gid=670402169"", ""'Meal DB_Product'!$A$2:$A""),0))"&amp;"))"),"Chicken in creamy spinach")</f>
        <v>Chicken in creamy spinach</v>
      </c>
      <c r="D111" s="286" t="s">
        <v>231</v>
      </c>
      <c r="E111" s="230">
        <v>408.0</v>
      </c>
      <c r="F111" s="62">
        <v>608.0</v>
      </c>
      <c r="G111" s="231">
        <v>308.0</v>
      </c>
      <c r="H111" s="16">
        <f>IFERROR(__xludf.DUMMYFUNCTION("""COMPUTED_VALUE"""),1955.0)</f>
        <v>1955</v>
      </c>
      <c r="I111" s="17">
        <f>IFERROR(__xludf.DUMMYFUNCTION("""COMPUTED_VALUE"""),1220.0)</f>
        <v>1220</v>
      </c>
      <c r="J111" s="18">
        <f>IFERROR(__xludf.DUMMYFUNCTION("""COMPUTED_VALUE"""),1175.0)</f>
        <v>1175</v>
      </c>
      <c r="K111" s="287">
        <f>IFERROR(__xludf.DUMMYFUNCTION("""COMPUTED_VALUE"""),0.0)</f>
        <v>0</v>
      </c>
      <c r="L111" s="243">
        <f t="shared" ref="L111:M111" si="330">H111+20</f>
        <v>1975</v>
      </c>
      <c r="M111" s="244">
        <f t="shared" si="330"/>
        <v>1240</v>
      </c>
      <c r="N111" s="244">
        <f t="shared" si="246"/>
        <v>1195</v>
      </c>
      <c r="O111" s="268">
        <f t="array" ref="O111">iferror(if(INDEX('Slot Selection'!$A$2:$BJ$38, MATCH(E111-400,'Slot Selection'!$A$2:$A$38, 0), MATCH("2026-"&amp;D111,'Slot Selection'!$2:$2, 0)),1,0),0)</f>
        <v>0</v>
      </c>
      <c r="P111" s="269">
        <f t="array" ref="P111">iferror(if(INDEX('Slot Selection'!$A$80:$BJ$116, MATCH(F111-600,'Slot Selection'!$A$80:$A$116, 0), MATCH("2026-"&amp;D111,'Slot Selection'!$80:$80, 0)),1,0),0)</f>
        <v>0</v>
      </c>
      <c r="Q111" s="270">
        <f t="array" ref="Q111">iferror(if(INDEX('Slot Selection'!$A$41:$BJ$77, MATCH(F111-600,'Slot Selection'!$A$41:$A$77, 0), MATCH("2026-"&amp;D111,'Slot Selection'!$41:$41, 0)),1,0),0)</f>
        <v>0</v>
      </c>
      <c r="R111" s="62">
        <f t="shared" ref="R111:T111" si="331">L111*O111</f>
        <v>0</v>
      </c>
      <c r="S111" s="248">
        <f t="shared" si="331"/>
        <v>0</v>
      </c>
      <c r="T111" s="248">
        <f t="shared" si="331"/>
        <v>0</v>
      </c>
      <c r="U111" s="243">
        <f t="shared" ref="U111:W111" si="332">L111-R111</f>
        <v>1975</v>
      </c>
      <c r="V111" s="244">
        <f t="shared" si="332"/>
        <v>1240</v>
      </c>
      <c r="W111" s="245">
        <f t="shared" si="332"/>
        <v>1195</v>
      </c>
    </row>
    <row r="112">
      <c r="A112" s="242" t="str">
        <f>IFERROR(__xludf.DUMMYFUNCTION("if(E112=506,""FEA006A"",INDEX(IMPORTRANGE(""https://docs.google.com/spreadsheets/d/1WbE6HOh_eG5_DM53SVfuckYm0VQnhNvuwjql7Tw1FX0/edit?gid=660406182#gid=660406182"", ""'""&amp;D112&amp;""'!H2:H45""),match(E112,IMPORTRANGE(""https://docs.google.com/spreadsheets/d/1W"&amp;"bE6HOh_eG5_DM53SVfuckYm0VQnhNvuwjql7Tw1FX0/edit?gid=660406182#gid=660406182"", ""'""&amp;D112&amp;""'!B2:B45""),0),1))"),"FE0121C")</f>
        <v>FE0121C</v>
      </c>
      <c r="B112" s="229" t="str">
        <f>IFERROR(__xludf.DUMMYFUNCTION("if(E112=506,""-"",INDEX(IMPORTRANGE(""https://docs.google.com/spreadsheets/d/1WbE6HOh_eG5_DM53SVfuckYm0VQnhNvuwjql7Tw1FX0/edit?gid=660406182#gid=660406182"", ""'""&amp;D112&amp;""'!D2:D45""),match(E112,IMPORTRANGE(""https://docs.google.com/spreadsheets/d/1WbE6HOh"&amp;"_eG5_DM53SVfuckYm0VQnhNvuwjql7Tw1FX0/edit?gid=660406182#gid=660406182"", ""'""&amp;D112&amp;""'!B2:B45""),0),1))"),"Veggie")</f>
        <v>Veggie</v>
      </c>
      <c r="C112" s="135" t="str">
        <f>IFERROR(__xludf.DUMMYFUNCTION("if(A112=""FEA006A"",""Garlic Herb Grilled Chicken"", ifna(INDEX(IMPORTRANGE(""https://docs.google.com/spreadsheets/d/1mnGm3iYGkB4FyqAD-LwwVYksgBMX_SY4qHQa16KgMiw/edit?gid=1956920866#gid=1956920866"", ""'EU Meal Database'!$E$2:$E""),MATCH(A112,IMPORTRANGE("&amp;"""https://docs.google.com/spreadsheets/d/1mnGm3iYGkB4FyqAD-LwwVYksgBMX_SY4qHQa16KgMiw/edit?gid=1956920866#gid=1956920866"",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DB_Product'!$B$2:$B""),MATCH(A112,IMPORTRANGE(""https://docs.google.com/spreadsheets/d/1n4t_JF5P_MLd0hMmhjv1A2rgLKdyee_-mrZZmdZr9G4/edit?gid=670402169#gid=670402169"", ""'Meal DB_Product'!$A$2:$A""),0))"&amp;"))"),"Mexican style corn cake")</f>
        <v>Mexican style corn cake</v>
      </c>
      <c r="D112" s="286" t="s">
        <v>231</v>
      </c>
      <c r="E112" s="230">
        <v>409.0</v>
      </c>
      <c r="F112" s="62">
        <v>609.0</v>
      </c>
      <c r="G112" s="231">
        <v>309.0</v>
      </c>
      <c r="H112" s="16">
        <f>IFERROR(__xludf.DUMMYFUNCTION("""COMPUTED_VALUE"""),451.0)</f>
        <v>451</v>
      </c>
      <c r="I112" s="17">
        <f>IFERROR(__xludf.DUMMYFUNCTION("""COMPUTED_VALUE"""),202.0)</f>
        <v>202</v>
      </c>
      <c r="J112" s="18">
        <f>IFERROR(__xludf.DUMMYFUNCTION("""COMPUTED_VALUE"""),236.0)</f>
        <v>236</v>
      </c>
      <c r="K112" s="287">
        <f>IFERROR(__xludf.DUMMYFUNCTION("""COMPUTED_VALUE"""),0.0)</f>
        <v>0</v>
      </c>
      <c r="L112" s="243">
        <f t="shared" ref="L112:M112" si="333">H112+20</f>
        <v>471</v>
      </c>
      <c r="M112" s="244">
        <f t="shared" si="333"/>
        <v>222</v>
      </c>
      <c r="N112" s="244">
        <f t="shared" si="246"/>
        <v>256</v>
      </c>
      <c r="O112" s="268">
        <f t="array" ref="O112">iferror(if(INDEX('Slot Selection'!$A$2:$BJ$38, MATCH(E112-400,'Slot Selection'!$A$2:$A$38, 0), MATCH("2026-"&amp;D112,'Slot Selection'!$2:$2, 0)),1,0),0)</f>
        <v>1</v>
      </c>
      <c r="P112" s="269">
        <f t="array" ref="P112">iferror(if(INDEX('Slot Selection'!$A$80:$BJ$116, MATCH(F112-600,'Slot Selection'!$A$80:$A$116, 0), MATCH("2026-"&amp;D112,'Slot Selection'!$80:$80, 0)),1,0),0)</f>
        <v>1</v>
      </c>
      <c r="Q112" s="270">
        <f t="array" ref="Q112">iferror(if(INDEX('Slot Selection'!$A$41:$BJ$77, MATCH(F112-600,'Slot Selection'!$A$41:$A$77, 0), MATCH("2026-"&amp;D112,'Slot Selection'!$41:$41, 0)),1,0),0)</f>
        <v>1</v>
      </c>
      <c r="R112" s="62">
        <f t="shared" ref="R112:T112" si="334">L112*O112</f>
        <v>471</v>
      </c>
      <c r="S112" s="248">
        <f t="shared" si="334"/>
        <v>222</v>
      </c>
      <c r="T112" s="248">
        <f t="shared" si="334"/>
        <v>256</v>
      </c>
      <c r="U112" s="243">
        <f t="shared" ref="U112:W112" si="335">L112-R112</f>
        <v>0</v>
      </c>
      <c r="V112" s="248">
        <f t="shared" si="335"/>
        <v>0</v>
      </c>
      <c r="W112" s="249">
        <f t="shared" si="335"/>
        <v>0</v>
      </c>
    </row>
    <row r="113">
      <c r="A113" s="242" t="str">
        <f>IFERROR(__xludf.DUMMYFUNCTION("if(E113=506,""FEA006A"",INDEX(IMPORTRANGE(""https://docs.google.com/spreadsheets/d/1WbE6HOh_eG5_DM53SVfuckYm0VQnhNvuwjql7Tw1FX0/edit?gid=660406182#gid=660406182"", ""'""&amp;D113&amp;""'!H2:H45""),match(E113,IMPORTRANGE(""https://docs.google.com/spreadsheets/d/1W"&amp;"bE6HOh_eG5_DM53SVfuckYm0VQnhNvuwjql7Tw1FX0/edit?gid=660406182#gid=660406182"", ""'""&amp;D113&amp;""'!B2:B45""),0),1))"),"FE0131C")</f>
        <v>FE0131C</v>
      </c>
      <c r="B113" s="229" t="str">
        <f>IFERROR(__xludf.DUMMYFUNCTION("if(E113=506,""-"",INDEX(IMPORTRANGE(""https://docs.google.com/spreadsheets/d/1WbE6HOh_eG5_DM53SVfuckYm0VQnhNvuwjql7Tw1FX0/edit?gid=660406182#gid=660406182"", ""'""&amp;D113&amp;""'!D2:D45""),match(E113,IMPORTRANGE(""https://docs.google.com/spreadsheets/d/1WbE6HOh"&amp;"_eG5_DM53SVfuckYm0VQnhNvuwjql7Tw1FX0/edit?gid=660406182#gid=660406182"", ""'""&amp;D113&amp;""'!B2:B45""),0),1))"),"Veggie")</f>
        <v>Veggie</v>
      </c>
      <c r="C113" s="135" t="str">
        <f>IFERROR(__xludf.DUMMYFUNCTION("if(A113=""FEA006A"",""Garlic Herb Grilled Chicken"", ifna(INDEX(IMPORTRANGE(""https://docs.google.com/spreadsheets/d/1mnGm3iYGkB4FyqAD-LwwVYksgBMX_SY4qHQa16KgMiw/edit?gid=1956920866#gid=1956920866"", ""'EU Meal Database'!$E$2:$E""),MATCH(A113,IMPORTRANGE("&amp;"""https://docs.google.com/spreadsheets/d/1mnGm3iYGkB4FyqAD-LwwVYksgBMX_SY4qHQa16KgMiw/edit?gid=1956920866#gid=1956920866"",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DB_Product'!$B$2:$B""),MATCH(A113,IMPORTRANGE(""https://docs.google.com/spreadsheets/d/1n4t_JF5P_MLd0hMmhjv1A2rgLKdyee_-mrZZmdZr9G4/edit?gid=670402169#gid=670402169"", ""'Meal DB_Product'!$A$2:$A""),0))"&amp;"))"),"Black bean bowl and enchilada sauce")</f>
        <v>Black bean bowl and enchilada sauce</v>
      </c>
      <c r="D113" s="286" t="s">
        <v>231</v>
      </c>
      <c r="E113" s="230">
        <v>410.0</v>
      </c>
      <c r="F113" s="62">
        <v>610.0</v>
      </c>
      <c r="G113" s="231">
        <v>310.0</v>
      </c>
      <c r="H113" s="16">
        <f>IFERROR(__xludf.DUMMYFUNCTION("""COMPUTED_VALUE"""),593.0)</f>
        <v>593</v>
      </c>
      <c r="I113" s="17">
        <f>IFERROR(__xludf.DUMMYFUNCTION("""COMPUTED_VALUE"""),271.0)</f>
        <v>271</v>
      </c>
      <c r="J113" s="18">
        <f>IFERROR(__xludf.DUMMYFUNCTION("""COMPUTED_VALUE"""),284.0)</f>
        <v>284</v>
      </c>
      <c r="K113" s="287">
        <f>IFERROR(__xludf.DUMMYFUNCTION("""COMPUTED_VALUE"""),0.0)</f>
        <v>0</v>
      </c>
      <c r="L113" s="243">
        <f t="shared" ref="L113:M113" si="336">H113+20</f>
        <v>613</v>
      </c>
      <c r="M113" s="244">
        <f t="shared" si="336"/>
        <v>291</v>
      </c>
      <c r="N113" s="244">
        <f t="shared" si="246"/>
        <v>304</v>
      </c>
      <c r="O113" s="268">
        <f t="array" ref="O113">iferror(if(INDEX('Slot Selection'!$A$2:$BJ$38, MATCH(E113-400,'Slot Selection'!$A$2:$A$38, 0), MATCH("2026-"&amp;D113,'Slot Selection'!$2:$2, 0)),1,0),0)</f>
        <v>1</v>
      </c>
      <c r="P113" s="269">
        <f t="array" ref="P113">iferror(if(INDEX('Slot Selection'!$A$80:$BJ$116, MATCH(F113-600,'Slot Selection'!$A$80:$A$116, 0), MATCH("2026-"&amp;D113,'Slot Selection'!$80:$80, 0)),1,0),0)</f>
        <v>1</v>
      </c>
      <c r="Q113" s="270">
        <f t="array" ref="Q113">iferror(if(INDEX('Slot Selection'!$A$41:$BJ$77, MATCH(F113-600,'Slot Selection'!$A$41:$A$77, 0), MATCH("2026-"&amp;D113,'Slot Selection'!$41:$41, 0)),1,0),0)</f>
        <v>1</v>
      </c>
      <c r="R113" s="62">
        <f t="shared" ref="R113:T113" si="337">L113*O113</f>
        <v>613</v>
      </c>
      <c r="S113" s="248">
        <f t="shared" si="337"/>
        <v>291</v>
      </c>
      <c r="T113" s="248">
        <f t="shared" si="337"/>
        <v>304</v>
      </c>
      <c r="U113" s="243">
        <f t="shared" ref="U113:W113" si="338">L113-R113</f>
        <v>0</v>
      </c>
      <c r="V113" s="248">
        <f t="shared" si="338"/>
        <v>0</v>
      </c>
      <c r="W113" s="249">
        <f t="shared" si="338"/>
        <v>0</v>
      </c>
    </row>
    <row r="114">
      <c r="A114" s="242" t="str">
        <f>IFERROR(__xludf.DUMMYFUNCTION("if(E114=506,""FEA006A"",INDEX(IMPORTRANGE(""https://docs.google.com/spreadsheets/d/1WbE6HOh_eG5_DM53SVfuckYm0VQnhNvuwjql7Tw1FX0/edit?gid=660406182#gid=660406182"", ""'""&amp;D114&amp;""'!H2:H45""),match(E114,IMPORTRANGE(""https://docs.google.com/spreadsheets/d/1W"&amp;"bE6HOh_eG5_DM53SVfuckYm0VQnhNvuwjql7Tw1FX0/edit?gid=660406182#gid=660406182"", ""'""&amp;D114&amp;""'!B2:B45""),0),1))"),"FE4006A")</f>
        <v>FE4006A</v>
      </c>
      <c r="B114" s="229" t="str">
        <f>IFERROR(__xludf.DUMMYFUNCTION("if(E114=506,""-"",INDEX(IMPORTRANGE(""https://docs.google.com/spreadsheets/d/1WbE6HOh_eG5_DM53SVfuckYm0VQnhNvuwjql7Tw1FX0/edit?gid=660406182#gid=660406182"", ""'""&amp;D114&amp;""'!D2:D45""),match(E114,IMPORTRANGE(""https://docs.google.com/spreadsheets/d/1WbE6HOh"&amp;"_eG5_DM53SVfuckYm0VQnhNvuwjql7Tw1FX0/edit?gid=660406182#gid=660406182"", ""'""&amp;D114&amp;""'!B2:B45""),0),1))"),"Flexible")</f>
        <v>Flexible</v>
      </c>
      <c r="C114" s="135" t="str">
        <f>IFERROR(__xludf.DUMMYFUNCTION("if(A114=""FEA006A"",""Garlic Herb Grilled Chicken"", ifna(INDEX(IMPORTRANGE(""https://docs.google.com/spreadsheets/d/1mnGm3iYGkB4FyqAD-LwwVYksgBMX_SY4qHQa16KgMiw/edit?gid=1956920866#gid=1956920866"", ""'EU Meal Database'!$E$2:$E""),MATCH(A114,IMPORTRANGE("&amp;"""https://docs.google.com/spreadsheets/d/1mnGm3iYGkB4FyqAD-LwwVYksgBMX_SY4qHQa16KgMiw/edit?gid=1956920866#gid=1956920866"",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DB_Product'!$B$2:$B""),MATCH(A114,IMPORTRANGE(""https://docs.google.com/spreadsheets/d/1n4t_JF5P_MLd0hMmhjv1A2rgLKdyee_-mrZZmdZr9G4/edit?gid=670402169#gid=670402169"", ""'Meal DB_Product'!$A$2:$A""),0))"&amp;"))"),"Pork tenderloin in sundried tomato sauce")</f>
        <v>Pork tenderloin in sundried tomato sauce</v>
      </c>
      <c r="D114" s="286" t="s">
        <v>231</v>
      </c>
      <c r="E114" s="230">
        <v>411.0</v>
      </c>
      <c r="F114" s="62">
        <v>611.0</v>
      </c>
      <c r="G114" s="231">
        <v>311.0</v>
      </c>
      <c r="H114" s="16">
        <f>IFERROR(__xludf.DUMMYFUNCTION("""COMPUTED_VALUE"""),717.0)</f>
        <v>717</v>
      </c>
      <c r="I114" s="17">
        <f>IFERROR(__xludf.DUMMYFUNCTION("""COMPUTED_VALUE"""),429.0)</f>
        <v>429</v>
      </c>
      <c r="J114" s="18">
        <f>IFERROR(__xludf.DUMMYFUNCTION("""COMPUTED_VALUE"""),347.0)</f>
        <v>347</v>
      </c>
      <c r="K114" s="287">
        <f>IFERROR(__xludf.DUMMYFUNCTION("""COMPUTED_VALUE"""),0.0)</f>
        <v>0</v>
      </c>
      <c r="L114" s="243">
        <f t="shared" ref="L114:M114" si="339">H114+20</f>
        <v>737</v>
      </c>
      <c r="M114" s="244">
        <f t="shared" si="339"/>
        <v>449</v>
      </c>
      <c r="N114" s="244">
        <f t="shared" si="246"/>
        <v>367</v>
      </c>
      <c r="O114" s="268">
        <f t="array" ref="O114">iferror(if(INDEX('Slot Selection'!$A$2:$BJ$38, MATCH(E114-400,'Slot Selection'!$A$2:$A$38, 0), MATCH("2026-"&amp;D114,'Slot Selection'!$2:$2, 0)),1,0),0)</f>
        <v>0</v>
      </c>
      <c r="P114" s="269">
        <f t="array" ref="P114">iferror(if(INDEX('Slot Selection'!$A$80:$BJ$116, MATCH(F114-600,'Slot Selection'!$A$80:$A$116, 0), MATCH("2026-"&amp;D114,'Slot Selection'!$80:$80, 0)),1,0),0)</f>
        <v>0</v>
      </c>
      <c r="Q114" s="270">
        <f t="array" ref="Q114">iferror(if(INDEX('Slot Selection'!$A$41:$BJ$77, MATCH(F114-600,'Slot Selection'!$A$41:$A$77, 0), MATCH("2026-"&amp;D114,'Slot Selection'!$41:$41, 0)),1,0),0)</f>
        <v>0</v>
      </c>
      <c r="R114" s="62">
        <f t="shared" ref="R114:T114" si="340">L114*O114</f>
        <v>0</v>
      </c>
      <c r="S114" s="248">
        <f t="shared" si="340"/>
        <v>0</v>
      </c>
      <c r="T114" s="248">
        <f t="shared" si="340"/>
        <v>0</v>
      </c>
      <c r="U114" s="243">
        <f t="shared" ref="U114:W114" si="341">L114-R114</f>
        <v>737</v>
      </c>
      <c r="V114" s="248">
        <f t="shared" si="341"/>
        <v>449</v>
      </c>
      <c r="W114" s="249">
        <f t="shared" si="341"/>
        <v>367</v>
      </c>
    </row>
    <row r="115">
      <c r="A115" s="242" t="str">
        <f>IFERROR(__xludf.DUMMYFUNCTION("if(E115=506,""FEA006A"",INDEX(IMPORTRANGE(""https://docs.google.com/spreadsheets/d/1WbE6HOh_eG5_DM53SVfuckYm0VQnhNvuwjql7Tw1FX0/edit?gid=660406182#gid=660406182"", ""'""&amp;D115&amp;""'!H2:H45""),match(E115,IMPORTRANGE(""https://docs.google.com/spreadsheets/d/1W"&amp;"bE6HOh_eG5_DM53SVfuckYm0VQnhNvuwjql7Tw1FX0/edit?gid=660406182#gid=660406182"", ""'""&amp;D115&amp;""'!B2:B45""),0),1))"),"FV4009A")</f>
        <v>FV4009A</v>
      </c>
      <c r="B115" s="229" t="str">
        <f>IFERROR(__xludf.DUMMYFUNCTION("if(E115=506,""-"",INDEX(IMPORTRANGE(""https://docs.google.com/spreadsheets/d/1WbE6HOh_eG5_DM53SVfuckYm0VQnhNvuwjql7Tw1FX0/edit?gid=660406182#gid=660406182"", ""'""&amp;D115&amp;""'!D2:D45""),match(E115,IMPORTRANGE(""https://docs.google.com/spreadsheets/d/1WbE6HOh"&amp;"_eG5_DM53SVfuckYm0VQnhNvuwjql7Tw1FX0/edit?gid=660406182#gid=660406182"", ""'""&amp;D115&amp;""'!B2:B45""),0),1))"),"P+")</f>
        <v>P+</v>
      </c>
      <c r="C115" s="135" t="str">
        <f>IFERROR(__xludf.DUMMYFUNCTION("if(A115=""FEA006A"",""Garlic Herb Grilled Chicken"", ifna(INDEX(IMPORTRANGE(""https://docs.google.com/spreadsheets/d/1mnGm3iYGkB4FyqAD-LwwVYksgBMX_SY4qHQa16KgMiw/edit?gid=1956920866#gid=1956920866"", ""'EU Meal Database'!$E$2:$E""),MATCH(A115,IMPORTRANGE("&amp;"""https://docs.google.com/spreadsheets/d/1mnGm3iYGkB4FyqAD-LwwVYksgBMX_SY4qHQa16KgMiw/edit?gid=1956920866#gid=1956920866"",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DB_Product'!$B$2:$B""),MATCH(A115,IMPORTRANGE(""https://docs.google.com/spreadsheets/d/1n4t_JF5P_MLd0hMmhjv1A2rgLKdyee_-mrZZmdZr9G4/edit?gid=670402169#gid=670402169"", ""'Meal DB_Product'!$A$2:$A""),0))"&amp;"))"),"Salmon with a mustard dill sauce")</f>
        <v>Salmon with a mustard dill sauce</v>
      </c>
      <c r="D115" s="286" t="s">
        <v>231</v>
      </c>
      <c r="E115" s="230">
        <v>412.0</v>
      </c>
      <c r="F115" s="62">
        <v>612.0</v>
      </c>
      <c r="G115" s="231">
        <v>312.0</v>
      </c>
      <c r="H115" s="16">
        <f>IFERROR(__xludf.DUMMYFUNCTION("""COMPUTED_VALUE"""),3296.0)</f>
        <v>3296</v>
      </c>
      <c r="I115" s="17">
        <f>IFERROR(__xludf.DUMMYFUNCTION("""COMPUTED_VALUE"""),1499.0)</f>
        <v>1499</v>
      </c>
      <c r="J115" s="18">
        <f>IFERROR(__xludf.DUMMYFUNCTION("""COMPUTED_VALUE"""),1276.0)</f>
        <v>1276</v>
      </c>
      <c r="K115" s="287">
        <f>IFERROR(__xludf.DUMMYFUNCTION("""COMPUTED_VALUE"""),0.0)</f>
        <v>0</v>
      </c>
      <c r="L115" s="243">
        <f t="shared" ref="L115:M115" si="342">H115+20</f>
        <v>3316</v>
      </c>
      <c r="M115" s="244">
        <f t="shared" si="342"/>
        <v>1519</v>
      </c>
      <c r="N115" s="244">
        <f t="shared" si="246"/>
        <v>1296</v>
      </c>
      <c r="O115" s="268">
        <f t="array" ref="O115">iferror(if(INDEX('Slot Selection'!$A$2:$BJ$38, MATCH(E115-400,'Slot Selection'!$A$2:$A$38, 0), MATCH("2026-"&amp;D115,'Slot Selection'!$2:$2, 0)),1,0),0)</f>
        <v>1</v>
      </c>
      <c r="P115" s="269">
        <f t="array" ref="P115">iferror(if(INDEX('Slot Selection'!$A$80:$BJ$116, MATCH(F115-600,'Slot Selection'!$A$80:$A$116, 0), MATCH("2026-"&amp;D115,'Slot Selection'!$80:$80, 0)),1,0),0)</f>
        <v>1</v>
      </c>
      <c r="Q115" s="270">
        <f t="array" ref="Q115">iferror(if(INDEX('Slot Selection'!$A$41:$BJ$77, MATCH(F115-600,'Slot Selection'!$A$41:$A$77, 0), MATCH("2026-"&amp;D115,'Slot Selection'!$41:$41, 0)),1,0),0)</f>
        <v>1</v>
      </c>
      <c r="R115" s="62">
        <f t="shared" ref="R115:T115" si="343">L115*O115</f>
        <v>3316</v>
      </c>
      <c r="S115" s="248">
        <f t="shared" si="343"/>
        <v>1519</v>
      </c>
      <c r="T115" s="248">
        <f t="shared" si="343"/>
        <v>1296</v>
      </c>
      <c r="U115" s="243">
        <f t="shared" ref="U115:W115" si="344">L115-R115</f>
        <v>0</v>
      </c>
      <c r="V115" s="244">
        <f t="shared" si="344"/>
        <v>0</v>
      </c>
      <c r="W115" s="245">
        <f t="shared" si="344"/>
        <v>0</v>
      </c>
    </row>
    <row r="116">
      <c r="A116" s="242" t="str">
        <f>IFERROR(__xludf.DUMMYFUNCTION("if(E116=506,""FEA006A"",INDEX(IMPORTRANGE(""https://docs.google.com/spreadsheets/d/1WbE6HOh_eG5_DM53SVfuckYm0VQnhNvuwjql7Tw1FX0/edit?gid=660406182#gid=660406182"", ""'""&amp;D116&amp;""'!H2:H45""),match(E116,IMPORTRANGE(""https://docs.google.com/spreadsheets/d/1W"&amp;"bE6HOh_eG5_DM53SVfuckYm0VQnhNvuwjql7Tw1FX0/edit?gid=660406182#gid=660406182"", ""'""&amp;D116&amp;""'!B2:B45""),0),1))"),"FE4049B")</f>
        <v>FE4049B</v>
      </c>
      <c r="B116" s="229" t="str">
        <f>IFERROR(__xludf.DUMMYFUNCTION("if(E116=506,""-"",INDEX(IMPORTRANGE(""https://docs.google.com/spreadsheets/d/1WbE6HOh_eG5_DM53SVfuckYm0VQnhNvuwjql7Tw1FX0/edit?gid=660406182#gid=660406182"", ""'""&amp;D116&amp;""'!D2:D45""),match(E116,IMPORTRANGE(""https://docs.google.com/spreadsheets/d/1WbE6HOh"&amp;"_eG5_DM53SVfuckYm0VQnhNvuwjql7Tw1FX0/edit?gid=660406182#gid=660406182"", ""'""&amp;D116&amp;""'!B2:B45""),0),1))"),"CS")</f>
        <v>CS</v>
      </c>
      <c r="C116" s="135" t="str">
        <f>IFERROR(__xludf.DUMMYFUNCTION("if(A116=""FEA006A"",""Garlic Herb Grilled Chicken"", ifna(INDEX(IMPORTRANGE(""https://docs.google.com/spreadsheets/d/1mnGm3iYGkB4FyqAD-LwwVYksgBMX_SY4qHQa16KgMiw/edit?gid=1956920866#gid=1956920866"", ""'EU Meal Database'!$E$2:$E""),MATCH(A116,IMPORTRANGE("&amp;"""https://docs.google.com/spreadsheets/d/1mnGm3iYGkB4FyqAD-LwwVYksgBMX_SY4qHQa16KgMiw/edit?gid=1956920866#gid=1956920866"",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DB_Product'!$B$2:$B""),MATCH(A116,IMPORTRANGE(""https://docs.google.com/spreadsheets/d/1n4t_JF5P_MLd0hMmhjv1A2rgLKdyee_-mrZZmdZr9G4/edit?gid=670402169#gid=670402169"", ""'Meal DB_Product'!$A$2:$A""),0))"&amp;"))"),"Red chile pulled pork")</f>
        <v>Red chile pulled pork</v>
      </c>
      <c r="D116" s="286" t="s">
        <v>231</v>
      </c>
      <c r="E116" s="230">
        <v>413.0</v>
      </c>
      <c r="F116" s="62">
        <v>613.0</v>
      </c>
      <c r="G116" s="231">
        <v>313.0</v>
      </c>
      <c r="H116" s="16">
        <f>IFERROR(__xludf.DUMMYFUNCTION("""COMPUTED_VALUE"""),4121.0)</f>
        <v>4121</v>
      </c>
      <c r="I116" s="17">
        <f>IFERROR(__xludf.DUMMYFUNCTION("""COMPUTED_VALUE"""),1998.0)</f>
        <v>1998</v>
      </c>
      <c r="J116" s="18">
        <f>IFERROR(__xludf.DUMMYFUNCTION("""COMPUTED_VALUE"""),1576.0)</f>
        <v>1576</v>
      </c>
      <c r="K116" s="287">
        <f>IFERROR(__xludf.DUMMYFUNCTION("""COMPUTED_VALUE"""),0.0)</f>
        <v>0</v>
      </c>
      <c r="L116" s="243">
        <f t="shared" ref="L116:M116" si="345">H116+20</f>
        <v>4141</v>
      </c>
      <c r="M116" s="244">
        <f t="shared" si="345"/>
        <v>2018</v>
      </c>
      <c r="N116" s="244">
        <f t="shared" si="246"/>
        <v>1596</v>
      </c>
      <c r="O116" s="268">
        <f t="array" ref="O116">iferror(if(INDEX('Slot Selection'!$A$2:$BJ$38, MATCH(E116-400,'Slot Selection'!$A$2:$A$38, 0), MATCH("2026-"&amp;D116,'Slot Selection'!$2:$2, 0)),1,0),0)</f>
        <v>0</v>
      </c>
      <c r="P116" s="269">
        <f t="array" ref="P116">iferror(if(INDEX('Slot Selection'!$A$80:$BJ$116, MATCH(F116-600,'Slot Selection'!$A$80:$A$116, 0), MATCH("2026-"&amp;D116,'Slot Selection'!$80:$80, 0)),1,0),0)</f>
        <v>0</v>
      </c>
      <c r="Q116" s="270">
        <f t="array" ref="Q116">iferror(if(INDEX('Slot Selection'!$A$41:$BJ$77, MATCH(F116-600,'Slot Selection'!$A$41:$A$77, 0), MATCH("2026-"&amp;D116,'Slot Selection'!$41:$41, 0)),1,0),0)</f>
        <v>0</v>
      </c>
      <c r="R116" s="62">
        <f t="shared" ref="R116:T116" si="346">L116*O116</f>
        <v>0</v>
      </c>
      <c r="S116" s="248">
        <f t="shared" si="346"/>
        <v>0</v>
      </c>
      <c r="T116" s="248">
        <f t="shared" si="346"/>
        <v>0</v>
      </c>
      <c r="U116" s="243">
        <f t="shared" ref="U116:W116" si="347">L116-R116</f>
        <v>4141</v>
      </c>
      <c r="V116" s="244">
        <f t="shared" si="347"/>
        <v>2018</v>
      </c>
      <c r="W116" s="245">
        <f t="shared" si="347"/>
        <v>1596</v>
      </c>
    </row>
    <row r="117">
      <c r="A117" s="242" t="str">
        <f>IFERROR(__xludf.DUMMYFUNCTION("if(E117=506,""FEA006A"",INDEX(IMPORTRANGE(""https://docs.google.com/spreadsheets/d/1WbE6HOh_eG5_DM53SVfuckYm0VQnhNvuwjql7Tw1FX0/edit?gid=660406182#gid=660406182"", ""'""&amp;D117&amp;""'!H2:H45""),match(E117,IMPORTRANGE(""https://docs.google.com/spreadsheets/d/1W"&amp;"bE6HOh_eG5_DM53SVfuckYm0VQnhNvuwjql7Tw1FX0/edit?gid=660406182#gid=660406182"", ""'""&amp;D117&amp;""'!B2:B45""),0),1))"),"FE1068A")</f>
        <v>FE1068A</v>
      </c>
      <c r="B117" s="229" t="str">
        <f>IFERROR(__xludf.DUMMYFUNCTION("if(E117=506,""-"",INDEX(IMPORTRANGE(""https://docs.google.com/spreadsheets/d/1WbE6HOh_eG5_DM53SVfuckYm0VQnhNvuwjql7Tw1FX0/edit?gid=660406182#gid=660406182"", ""'""&amp;D117&amp;""'!D2:D45""),match(E117,IMPORTRANGE(""https://docs.google.com/spreadsheets/d/1WbE6HOh"&amp;"_eG5_DM53SVfuckYm0VQnhNvuwjql7Tw1FX0/edit?gid=660406182#gid=660406182"", ""'""&amp;D117&amp;""'!B2:B45""),0),1))"),"Flexible")</f>
        <v>Flexible</v>
      </c>
      <c r="C117" s="135" t="str">
        <f>IFERROR(__xludf.DUMMYFUNCTION("if(A117=""FEA006A"",""Garlic Herb Grilled Chicken"", ifna(INDEX(IMPORTRANGE(""https://docs.google.com/spreadsheets/d/1mnGm3iYGkB4FyqAD-LwwVYksgBMX_SY4qHQa16KgMiw/edit?gid=1956920866#gid=1956920866"", ""'EU Meal Database'!$E$2:$E""),MATCH(A117,IMPORTRANGE("&amp;"""https://docs.google.com/spreadsheets/d/1mnGm3iYGkB4FyqAD-LwwVYksgBMX_SY4qHQa16KgMiw/edit?gid=1956920866#gid=1956920866"",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DB_Product'!$B$2:$B""),MATCH(A117,IMPORTRANGE(""https://docs.google.com/spreadsheets/d/1n4t_JF5P_MLd0hMmhjv1A2rgLKdyee_-mrZZmdZr9G4/edit?gid=670402169#gid=670402169"", ""'Meal DB_Product'!$A$2:$A""),0))"&amp;"))"),"Moroccan-style chicken thighs &amp; tomato sauce")</f>
        <v>Moroccan-style chicken thighs &amp; tomato sauce</v>
      </c>
      <c r="D117" s="286" t="s">
        <v>231</v>
      </c>
      <c r="E117" s="230">
        <v>414.0</v>
      </c>
      <c r="F117" s="62">
        <v>614.0</v>
      </c>
      <c r="G117" s="231">
        <v>314.0</v>
      </c>
      <c r="H117" s="16">
        <f>IFERROR(__xludf.DUMMYFUNCTION("""COMPUTED_VALUE"""),1254.0)</f>
        <v>1254</v>
      </c>
      <c r="I117" s="17">
        <f>IFERROR(__xludf.DUMMYFUNCTION("""COMPUTED_VALUE"""),681.0)</f>
        <v>681</v>
      </c>
      <c r="J117" s="18">
        <f>IFERROR(__xludf.DUMMYFUNCTION("""COMPUTED_VALUE"""),722.0)</f>
        <v>722</v>
      </c>
      <c r="K117" s="287">
        <f>IFERROR(__xludf.DUMMYFUNCTION("""COMPUTED_VALUE"""),0.0)</f>
        <v>0</v>
      </c>
      <c r="L117" s="243">
        <f t="shared" ref="L117:M117" si="348">H117+20</f>
        <v>1274</v>
      </c>
      <c r="M117" s="244">
        <f t="shared" si="348"/>
        <v>701</v>
      </c>
      <c r="N117" s="244">
        <f t="shared" si="246"/>
        <v>742</v>
      </c>
      <c r="O117" s="268">
        <f t="array" ref="O117">iferror(if(INDEX('Slot Selection'!$A$2:$BJ$38, MATCH(E117-400,'Slot Selection'!$A$2:$A$38, 0), MATCH("2026-"&amp;D117,'Slot Selection'!$2:$2, 0)),1,0),0)</f>
        <v>1</v>
      </c>
      <c r="P117" s="269">
        <f t="array" ref="P117">iferror(if(INDEX('Slot Selection'!$A$80:$BJ$116, MATCH(F117-600,'Slot Selection'!$A$80:$A$116, 0), MATCH("2026-"&amp;D117,'Slot Selection'!$80:$80, 0)),1,0),0)</f>
        <v>1</v>
      </c>
      <c r="Q117" s="270">
        <f t="array" ref="Q117">iferror(if(INDEX('Slot Selection'!$A$41:$BJ$77, MATCH(F117-600,'Slot Selection'!$A$41:$A$77, 0), MATCH("2026-"&amp;D117,'Slot Selection'!$41:$41, 0)),1,0),0)</f>
        <v>1</v>
      </c>
      <c r="R117" s="62">
        <f t="shared" ref="R117:T117" si="349">L117*O117</f>
        <v>1274</v>
      </c>
      <c r="S117" s="248">
        <f t="shared" si="349"/>
        <v>701</v>
      </c>
      <c r="T117" s="248">
        <f t="shared" si="349"/>
        <v>742</v>
      </c>
      <c r="U117" s="243">
        <f t="shared" ref="U117:W117" si="350">L117-R117</f>
        <v>0</v>
      </c>
      <c r="V117" s="248">
        <f t="shared" si="350"/>
        <v>0</v>
      </c>
      <c r="W117" s="249">
        <f t="shared" si="350"/>
        <v>0</v>
      </c>
    </row>
    <row r="118">
      <c r="A118" s="242" t="str">
        <f>IFERROR(__xludf.DUMMYFUNCTION("if(E118=506,""FEA006A"",INDEX(IMPORTRANGE(""https://docs.google.com/spreadsheets/d/1WbE6HOh_eG5_DM53SVfuckYm0VQnhNvuwjql7Tw1FX0/edit?gid=660406182#gid=660406182"", ""'""&amp;D118&amp;""'!H2:H45""),match(E118,IMPORTRANGE(""https://docs.google.com/spreadsheets/d/1W"&amp;"bE6HOh_eG5_DM53SVfuckYm0VQnhNvuwjql7Tw1FX0/edit?gid=660406182#gid=660406182"", ""'""&amp;D118&amp;""'!B2:B45""),0),1))"),"FV0345A")</f>
        <v>FV0345A</v>
      </c>
      <c r="B118" s="229" t="str">
        <f>IFERROR(__xludf.DUMMYFUNCTION("if(E118=506,""-"",INDEX(IMPORTRANGE(""https://docs.google.com/spreadsheets/d/1WbE6HOh_eG5_DM53SVfuckYm0VQnhNvuwjql7Tw1FX0/edit?gid=660406182#gid=660406182"", ""'""&amp;D118&amp;""'!D2:D45""),match(E118,IMPORTRANGE(""https://docs.google.com/spreadsheets/d/1WbE6HOh"&amp;"_eG5_DM53SVfuckYm0VQnhNvuwjql7Tw1FX0/edit?gid=660406182#gid=660406182"", ""'""&amp;D118&amp;""'!B2:B45""),0),1))"),"Keto")</f>
        <v>Keto</v>
      </c>
      <c r="C118" s="135" t="str">
        <f>IFERROR(__xludf.DUMMYFUNCTION("if(A118=""FEA006A"",""Garlic Herb Grilled Chicken"", ifna(INDEX(IMPORTRANGE(""https://docs.google.com/spreadsheets/d/1mnGm3iYGkB4FyqAD-LwwVYksgBMX_SY4qHQa16KgMiw/edit?gid=1956920866#gid=1956920866"", ""'EU Meal Database'!$E$2:$E""),MATCH(A118,IMPORTRANGE("&amp;"""https://docs.google.com/spreadsheets/d/1mnGm3iYGkB4FyqAD-LwwVYksgBMX_SY4qHQa16KgMiw/edit?gid=1956920866#gid=1956920866"",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DB_Product'!$B$2:$B""),MATCH(A118,IMPORTRANGE(""https://docs.google.com/spreadsheets/d/1n4t_JF5P_MLd0hMmhjv1A2rgLKdyee_-mrZZmdZr9G4/edit?gid=670402169#gid=670402169"", ""'Meal DB_Product'!$A$2:$A""),0))"&amp;"))"),"Beef Stroganoff Meatballs")</f>
        <v>Beef Stroganoff Meatballs</v>
      </c>
      <c r="D118" s="286" t="s">
        <v>231</v>
      </c>
      <c r="E118" s="230">
        <v>415.0</v>
      </c>
      <c r="F118" s="62">
        <v>615.0</v>
      </c>
      <c r="G118" s="231">
        <v>315.0</v>
      </c>
      <c r="H118" s="16">
        <f>IFERROR(__xludf.DUMMYFUNCTION("""COMPUTED_VALUE"""),1147.0)</f>
        <v>1147</v>
      </c>
      <c r="I118" s="17">
        <f>IFERROR(__xludf.DUMMYFUNCTION("""COMPUTED_VALUE"""),683.0)</f>
        <v>683</v>
      </c>
      <c r="J118" s="18">
        <f>IFERROR(__xludf.DUMMYFUNCTION("""COMPUTED_VALUE"""),689.0)</f>
        <v>689</v>
      </c>
      <c r="K118" s="287">
        <f>IFERROR(__xludf.DUMMYFUNCTION("""COMPUTED_VALUE"""),0.0)</f>
        <v>0</v>
      </c>
      <c r="L118" s="243">
        <f t="shared" ref="L118:M118" si="351">H118+20</f>
        <v>1167</v>
      </c>
      <c r="M118" s="244">
        <f t="shared" si="351"/>
        <v>703</v>
      </c>
      <c r="N118" s="244">
        <f t="shared" si="246"/>
        <v>709</v>
      </c>
      <c r="O118" s="271">
        <f t="array" ref="O118">iferror(if(INDEX('Slot Selection'!$A$2:$BJ$38, MATCH(E118-400,'Slot Selection'!$A$2:$A$38, 0), MATCH("2026-"&amp;D118,'Slot Selection'!$2:$2, 0)),1,0),0)</f>
        <v>1</v>
      </c>
      <c r="P118" s="272">
        <f t="array" ref="P118">iferror(if(INDEX('Slot Selection'!$A$80:$BJ$116, MATCH(F118-600,'Slot Selection'!$A$80:$A$116, 0), MATCH("2026-"&amp;D118,'Slot Selection'!$80:$80, 0)),1,0),0)</f>
        <v>1</v>
      </c>
      <c r="Q118" s="146">
        <f t="array" ref="Q118">iferror(if(INDEX('Slot Selection'!$A$41:$BJ$77, MATCH(F118-600,'Slot Selection'!$A$41:$A$77, 0), MATCH("2026-"&amp;D118,'Slot Selection'!$41:$41, 0)),1,0),0)</f>
        <v>1</v>
      </c>
      <c r="R118" s="62">
        <f t="shared" ref="R118:T118" si="352">L118*O118</f>
        <v>1167</v>
      </c>
      <c r="S118" s="248">
        <f t="shared" si="352"/>
        <v>703</v>
      </c>
      <c r="T118" s="248">
        <f t="shared" si="352"/>
        <v>709</v>
      </c>
      <c r="U118" s="243">
        <f t="shared" ref="U118:W118" si="353">L118-R118</f>
        <v>0</v>
      </c>
      <c r="V118" s="248">
        <f t="shared" si="353"/>
        <v>0</v>
      </c>
      <c r="W118" s="249">
        <f t="shared" si="353"/>
        <v>0</v>
      </c>
    </row>
    <row r="119">
      <c r="A119" s="242" t="str">
        <f>IFERROR(__xludf.DUMMYFUNCTION("if(E119=506,""FEA006A"",INDEX(IMPORTRANGE(""https://docs.google.com/spreadsheets/d/1WbE6HOh_eG5_DM53SVfuckYm0VQnhNvuwjql7Tw1FX0/edit?gid=660406182#gid=660406182"", ""'""&amp;D119&amp;""'!H2:H45""),match(E119,IMPORTRANGE(""https://docs.google.com/spreadsheets/d/1W"&amp;"bE6HOh_eG5_DM53SVfuckYm0VQnhNvuwjql7Tw1FX0/edit?gid=660406182#gid=660406182"", ""'""&amp;D119&amp;""'!B2:B45""),0),1))"),"FE4079A")</f>
        <v>FE4079A</v>
      </c>
      <c r="B119" s="229" t="str">
        <f>IFERROR(__xludf.DUMMYFUNCTION("if(E119=506,""-"",INDEX(IMPORTRANGE(""https://docs.google.com/spreadsheets/d/1WbE6HOh_eG5_DM53SVfuckYm0VQnhNvuwjql7Tw1FX0/edit?gid=660406182#gid=660406182"", ""'""&amp;D119&amp;""'!D2:D45""),match(E119,IMPORTRANGE(""https://docs.google.com/spreadsheets/d/1WbE6HOh"&amp;"_eG5_DM53SVfuckYm0VQnhNvuwjql7Tw1FX0/edit?gid=660406182#gid=660406182"", ""'""&amp;D119&amp;""'!B2:B45""),0),1))"),"Flexible")</f>
        <v>Flexible</v>
      </c>
      <c r="C119" s="135" t="str">
        <f>IFERROR(__xludf.DUMMYFUNCTION("if(A119=""FEA006A"",""Garlic Herb Grilled Chicken"", ifna(INDEX(IMPORTRANGE(""https://docs.google.com/spreadsheets/d/1mnGm3iYGkB4FyqAD-LwwVYksgBMX_SY4qHQa16KgMiw/edit?gid=1956920866#gid=1956920866"", ""'EU Meal Database'!$E$2:$E""),MATCH(A119,IMPORTRANGE("&amp;"""https://docs.google.com/spreadsheets/d/1mnGm3iYGkB4FyqAD-LwwVYksgBMX_SY4qHQa16KgMiw/edit?gid=1956920866#gid=1956920866"",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DB_Product'!$B$2:$B""),MATCH(A119,IMPORTRANGE(""https://docs.google.com/spreadsheets/d/1n4t_JF5P_MLd0hMmhjv1A2rgLKdyee_-mrZZmdZr9G4/edit?gid=670402169#gid=670402169"", ""'Meal DB_Product'!$A$2:$A""),0))"&amp;"))"),"Pulled Beef &amp; Mushroom Cream Pasta")</f>
        <v>Pulled Beef &amp; Mushroom Cream Pasta</v>
      </c>
      <c r="D119" s="286" t="s">
        <v>231</v>
      </c>
      <c r="E119" s="230">
        <v>416.0</v>
      </c>
      <c r="F119" s="62">
        <v>616.0</v>
      </c>
      <c r="G119" s="231">
        <v>316.0</v>
      </c>
      <c r="H119" s="16">
        <f>IFERROR(__xludf.DUMMYFUNCTION("""COMPUTED_VALUE"""),971.0)</f>
        <v>971</v>
      </c>
      <c r="I119" s="17">
        <f>IFERROR(__xludf.DUMMYFUNCTION("""COMPUTED_VALUE"""),497.0)</f>
        <v>497</v>
      </c>
      <c r="J119" s="18">
        <f>IFERROR(__xludf.DUMMYFUNCTION("""COMPUTED_VALUE"""),514.0)</f>
        <v>514</v>
      </c>
      <c r="K119" s="287">
        <f>IFERROR(__xludf.DUMMYFUNCTION("""COMPUTED_VALUE"""),0.0)</f>
        <v>0</v>
      </c>
      <c r="L119" s="243">
        <f t="shared" ref="L119:M119" si="354">H119+20</f>
        <v>991</v>
      </c>
      <c r="M119" s="244">
        <f t="shared" si="354"/>
        <v>517</v>
      </c>
      <c r="N119" s="244">
        <f t="shared" si="246"/>
        <v>534</v>
      </c>
      <c r="O119" s="271">
        <f t="array" ref="O119">iferror(if(INDEX('Slot Selection'!$A$2:$BJ$38, MATCH(E119-400,'Slot Selection'!$A$2:$A$38, 0), MATCH("2026-"&amp;D119,'Slot Selection'!$2:$2, 0)),1,0),0)</f>
        <v>0</v>
      </c>
      <c r="P119" s="272">
        <f t="array" ref="P119">iferror(if(INDEX('Slot Selection'!$A$80:$BJ$116, MATCH(F119-600,'Slot Selection'!$A$80:$A$116, 0), MATCH("2026-"&amp;D119,'Slot Selection'!$80:$80, 0)),1,0),0)</f>
        <v>0</v>
      </c>
      <c r="Q119" s="146">
        <f t="array" ref="Q119">iferror(if(INDEX('Slot Selection'!$A$41:$BJ$77, MATCH(F119-600,'Slot Selection'!$A$41:$A$77, 0), MATCH("2026-"&amp;D119,'Slot Selection'!$41:$41, 0)),1,0),0)</f>
        <v>0</v>
      </c>
      <c r="R119" s="62">
        <f t="shared" ref="R119:T119" si="355">L119*O119</f>
        <v>0</v>
      </c>
      <c r="S119" s="248">
        <f t="shared" si="355"/>
        <v>0</v>
      </c>
      <c r="T119" s="248">
        <f t="shared" si="355"/>
        <v>0</v>
      </c>
      <c r="U119" s="243">
        <f t="shared" ref="U119:W119" si="356">L119-R119</f>
        <v>991</v>
      </c>
      <c r="V119" s="248">
        <f t="shared" si="356"/>
        <v>517</v>
      </c>
      <c r="W119" s="249">
        <f t="shared" si="356"/>
        <v>534</v>
      </c>
    </row>
    <row r="120">
      <c r="A120" s="242" t="str">
        <f>IFERROR(__xludf.DUMMYFUNCTION("if(E120=506,""FEA006A"",INDEX(IMPORTRANGE(""https://docs.google.com/spreadsheets/d/1WbE6HOh_eG5_DM53SVfuckYm0VQnhNvuwjql7Tw1FX0/edit?gid=660406182#gid=660406182"", ""'""&amp;D120&amp;""'!H2:H45""),match(E120,IMPORTRANGE(""https://docs.google.com/spreadsheets/d/1W"&amp;"bE6HOh_eG5_DM53SVfuckYm0VQnhNvuwjql7Tw1FX0/edit?gid=660406182#gid=660406182"", ""'""&amp;D120&amp;""'!B2:B45""),0),1))"),"FE0472B")</f>
        <v>FE0472B</v>
      </c>
      <c r="B120" s="229" t="str">
        <f>IFERROR(__xludf.DUMMYFUNCTION("if(E120=506,""-"",INDEX(IMPORTRANGE(""https://docs.google.com/spreadsheets/d/1WbE6HOh_eG5_DM53SVfuckYm0VQnhNvuwjql7Tw1FX0/edit?gid=660406182#gid=660406182"", ""'""&amp;D120&amp;""'!D2:D45""),match(E120,IMPORTRANGE(""https://docs.google.com/spreadsheets/d/1WbE6HOh"&amp;"_eG5_DM53SVfuckYm0VQnhNvuwjql7Tw1FX0/edit?gid=660406182#gid=660406182"", ""'""&amp;D120&amp;""'!B2:B45""),0),1))"),"P+")</f>
        <v>P+</v>
      </c>
      <c r="C120" s="135" t="str">
        <f>IFERROR(__xludf.DUMMYFUNCTION("if(A120=""FEA006A"",""Garlic Herb Grilled Chicken"", ifna(INDEX(IMPORTRANGE(""https://docs.google.com/spreadsheets/d/1mnGm3iYGkB4FyqAD-LwwVYksgBMX_SY4qHQa16KgMiw/edit?gid=1956920866#gid=1956920866"", ""'EU Meal Database'!$E$2:$E""),MATCH(A120,IMPORTRANGE("&amp;"""https://docs.google.com/spreadsheets/d/1mnGm3iYGkB4FyqAD-LwwVYksgBMX_SY4qHQa16KgMiw/edit?gid=1956920866#gid=1956920866"",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DB_Product'!$B$2:$B""),MATCH(A120,IMPORTRANGE(""https://docs.google.com/spreadsheets/d/1n4t_JF5P_MLd0hMmhjv1A2rgLKdyee_-mrZZmdZr9G4/edit?gid=670402169#gid=670402169"", ""'Meal DB_Product'!$A$2:$A""),0))"&amp;"))"),"Indian style butter chicken")</f>
        <v>Indian style butter chicken</v>
      </c>
      <c r="D120" s="286" t="s">
        <v>231</v>
      </c>
      <c r="E120" s="230">
        <v>417.0</v>
      </c>
      <c r="F120" s="62">
        <v>617.0</v>
      </c>
      <c r="G120" s="231">
        <v>317.0</v>
      </c>
      <c r="H120" s="16">
        <f>IFERROR(__xludf.DUMMYFUNCTION("""COMPUTED_VALUE"""),1939.0)</f>
        <v>1939</v>
      </c>
      <c r="I120" s="17">
        <f>IFERROR(__xludf.DUMMYFUNCTION("""COMPUTED_VALUE"""),1040.0)</f>
        <v>1040</v>
      </c>
      <c r="J120" s="18">
        <f>IFERROR(__xludf.DUMMYFUNCTION("""COMPUTED_VALUE"""),919.0)</f>
        <v>919</v>
      </c>
      <c r="K120" s="287">
        <f>IFERROR(__xludf.DUMMYFUNCTION("""COMPUTED_VALUE"""),0.0)</f>
        <v>0</v>
      </c>
      <c r="L120" s="243">
        <f t="shared" ref="L120:M120" si="357">H120+20</f>
        <v>1959</v>
      </c>
      <c r="M120" s="244">
        <f t="shared" si="357"/>
        <v>1060</v>
      </c>
      <c r="N120" s="244">
        <f t="shared" si="246"/>
        <v>939</v>
      </c>
      <c r="O120" s="271">
        <f t="array" ref="O120">iferror(if(INDEX('Slot Selection'!$A$2:$BJ$38, MATCH(E120-400,'Slot Selection'!$A$2:$A$38, 0), MATCH("2026-"&amp;D120,'Slot Selection'!$2:$2, 0)),1,0),0)</f>
        <v>1</v>
      </c>
      <c r="P120" s="272">
        <f t="array" ref="P120">iferror(if(INDEX('Slot Selection'!$A$80:$BJ$116, MATCH(F120-600,'Slot Selection'!$A$80:$A$116, 0), MATCH("2026-"&amp;D120,'Slot Selection'!$80:$80, 0)),1,0),0)</f>
        <v>1</v>
      </c>
      <c r="Q120" s="146">
        <f t="array" ref="Q120">iferror(if(INDEX('Slot Selection'!$A$41:$BJ$77, MATCH(F120-600,'Slot Selection'!$A$41:$A$77, 0), MATCH("2026-"&amp;D120,'Slot Selection'!$41:$41, 0)),1,0),0)</f>
        <v>1</v>
      </c>
      <c r="R120" s="62">
        <f t="shared" ref="R120:T120" si="358">L120*O120</f>
        <v>1959</v>
      </c>
      <c r="S120" s="248">
        <f t="shared" si="358"/>
        <v>1060</v>
      </c>
      <c r="T120" s="248">
        <f t="shared" si="358"/>
        <v>939</v>
      </c>
      <c r="U120" s="243">
        <f t="shared" ref="U120:W120" si="359">L120-R120</f>
        <v>0</v>
      </c>
      <c r="V120" s="248">
        <f t="shared" si="359"/>
        <v>0</v>
      </c>
      <c r="W120" s="249">
        <f t="shared" si="359"/>
        <v>0</v>
      </c>
    </row>
    <row r="121">
      <c r="A121" s="242" t="str">
        <f>IFERROR(__xludf.DUMMYFUNCTION("if(E121=506,""FEA006A"",INDEX(IMPORTRANGE(""https://docs.google.com/spreadsheets/d/1WbE6HOh_eG5_DM53SVfuckYm0VQnhNvuwjql7Tw1FX0/edit?gid=660406182#gid=660406182"", ""'""&amp;D121&amp;""'!H2:H45""),match(E121,IMPORTRANGE(""https://docs.google.com/spreadsheets/d/1W"&amp;"bE6HOh_eG5_DM53SVfuckYm0VQnhNvuwjql7Tw1FX0/edit?gid=660406182#gid=660406182"", ""'""&amp;D121&amp;""'!B2:B45""),0),1))"),"FE0430E")</f>
        <v>FE0430E</v>
      </c>
      <c r="B121" s="229" t="str">
        <f>IFERROR(__xludf.DUMMYFUNCTION("if(E121=506,""-"",INDEX(IMPORTRANGE(""https://docs.google.com/spreadsheets/d/1WbE6HOh_eG5_DM53SVfuckYm0VQnhNvuwjql7Tw1FX0/edit?gid=660406182#gid=660406182"", ""'""&amp;D121&amp;""'!D2:D45""),match(E121,IMPORTRANGE(""https://docs.google.com/spreadsheets/d/1WbE6HOh"&amp;"_eG5_DM53SVfuckYm0VQnhNvuwjql7Tw1FX0/edit?gid=660406182#gid=660406182"", ""'""&amp;D121&amp;""'!B2:B45""),0),1))"),"CS")</f>
        <v>CS</v>
      </c>
      <c r="C121" s="135" t="str">
        <f>IFERROR(__xludf.DUMMYFUNCTION("if(A121=""FEA006A"",""Garlic Herb Grilled Chicken"", ifna(INDEX(IMPORTRANGE(""https://docs.google.com/spreadsheets/d/1mnGm3iYGkB4FyqAD-LwwVYksgBMX_SY4qHQa16KgMiw/edit?gid=1956920866#gid=1956920866"", ""'EU Meal Database'!$E$2:$E""),MATCH(A121,IMPORTRANGE("&amp;"""https://docs.google.com/spreadsheets/d/1mnGm3iYGkB4FyqAD-LwwVYksgBMX_SY4qHQa16KgMiw/edit?gid=1956920866#gid=1956920866"",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DB_Product'!$B$2:$B""),MATCH(A121,IMPORTRANGE(""https://docs.google.com/spreadsheets/d/1n4t_JF5P_MLd0hMmhjv1A2rgLKdyee_-mrZZmdZr9G4/edit?gid=670402169#gid=670402169"", ""'Meal DB_Product'!$A$2:$A""),0))"&amp;"))"),"Pork tenderloin in red pepper sauce")</f>
        <v>Pork tenderloin in red pepper sauce</v>
      </c>
      <c r="D121" s="286" t="s">
        <v>231</v>
      </c>
      <c r="E121" s="230">
        <v>418.0</v>
      </c>
      <c r="F121" s="62">
        <v>618.0</v>
      </c>
      <c r="G121" s="231">
        <v>318.0</v>
      </c>
      <c r="H121" s="16">
        <f>IFERROR(__xludf.DUMMYFUNCTION("""COMPUTED_VALUE"""),976.0)</f>
        <v>976</v>
      </c>
      <c r="I121" s="17">
        <f>IFERROR(__xludf.DUMMYFUNCTION("""COMPUTED_VALUE"""),663.0)</f>
        <v>663</v>
      </c>
      <c r="J121" s="18">
        <f>IFERROR(__xludf.DUMMYFUNCTION("""COMPUTED_VALUE"""),451.0)</f>
        <v>451</v>
      </c>
      <c r="K121" s="287">
        <f>IFERROR(__xludf.DUMMYFUNCTION("""COMPUTED_VALUE"""),0.0)</f>
        <v>0</v>
      </c>
      <c r="L121" s="243">
        <f t="shared" ref="L121:M121" si="360">H121+20</f>
        <v>996</v>
      </c>
      <c r="M121" s="244">
        <f t="shared" si="360"/>
        <v>683</v>
      </c>
      <c r="N121" s="244">
        <f t="shared" si="246"/>
        <v>471</v>
      </c>
      <c r="O121" s="271">
        <f t="array" ref="O121">iferror(if(INDEX('Slot Selection'!$A$2:$BJ$38, MATCH(E121-400,'Slot Selection'!$A$2:$A$38, 0), MATCH("2026-"&amp;D121,'Slot Selection'!$2:$2, 0)),1,0),0)</f>
        <v>0</v>
      </c>
      <c r="P121" s="272">
        <f t="array" ref="P121">iferror(if(INDEX('Slot Selection'!$A$80:$BJ$116, MATCH(F121-600,'Slot Selection'!$A$80:$A$116, 0), MATCH("2026-"&amp;D121,'Slot Selection'!$80:$80, 0)),1,0),0)</f>
        <v>0</v>
      </c>
      <c r="Q121" s="146">
        <f t="array" ref="Q121">iferror(if(INDEX('Slot Selection'!$A$41:$BJ$77, MATCH(F121-600,'Slot Selection'!$A$41:$A$77, 0), MATCH("2026-"&amp;D121,'Slot Selection'!$41:$41, 0)),1,0),0)</f>
        <v>0</v>
      </c>
      <c r="R121" s="62">
        <f t="shared" ref="R121:T121" si="361">L121*O121</f>
        <v>0</v>
      </c>
      <c r="S121" s="248">
        <f t="shared" si="361"/>
        <v>0</v>
      </c>
      <c r="T121" s="248">
        <f t="shared" si="361"/>
        <v>0</v>
      </c>
      <c r="U121" s="243">
        <f t="shared" ref="U121:W121" si="362">L121-R121</f>
        <v>996</v>
      </c>
      <c r="V121" s="248">
        <f t="shared" si="362"/>
        <v>683</v>
      </c>
      <c r="W121" s="249">
        <f t="shared" si="362"/>
        <v>471</v>
      </c>
    </row>
    <row r="122">
      <c r="A122" s="242" t="str">
        <f>IFERROR(__xludf.DUMMYFUNCTION("if(E122=506,""FEA006A"",INDEX(IMPORTRANGE(""https://docs.google.com/spreadsheets/d/1WbE6HOh_eG5_DM53SVfuckYm0VQnhNvuwjql7Tw1FX0/edit?gid=660406182#gid=660406182"", ""'""&amp;D122&amp;""'!H2:H45""),match(E122,IMPORTRANGE(""https://docs.google.com/spreadsheets/d/1W"&amp;"bE6HOh_eG5_DM53SVfuckYm0VQnhNvuwjql7Tw1FX0/edit?gid=660406182#gid=660406182"", ""'""&amp;D122&amp;""'!B2:B45""),0),1))"),"FE1646A")</f>
        <v>FE1646A</v>
      </c>
      <c r="B122" s="229" t="str">
        <f>IFERROR(__xludf.DUMMYFUNCTION("if(E122=506,""-"",INDEX(IMPORTRANGE(""https://docs.google.com/spreadsheets/d/1WbE6HOh_eG5_DM53SVfuckYm0VQnhNvuwjql7Tw1FX0/edit?gid=660406182#gid=660406182"", ""'""&amp;D122&amp;""'!D2:D45""),match(E122,IMPORTRANGE(""https://docs.google.com/spreadsheets/d/1WbE6HOh"&amp;"_eG5_DM53SVfuckYm0VQnhNvuwjql7Tw1FX0/edit?gid=660406182#gid=660406182"", ""'""&amp;D122&amp;""'!B2:B45""),0),1))"),"CS")</f>
        <v>CS</v>
      </c>
      <c r="C122" s="135" t="str">
        <f>IFERROR(__xludf.DUMMYFUNCTION("if(A122=""FEA006A"",""Garlic Herb Grilled Chicken"", ifna(INDEX(IMPORTRANGE(""https://docs.google.com/spreadsheets/d/1mnGm3iYGkB4FyqAD-LwwVYksgBMX_SY4qHQa16KgMiw/edit?gid=1956920866#gid=1956920866"", ""'EU Meal Database'!$E$2:$E""),MATCH(A122,IMPORTRANGE("&amp;"""https://docs.google.com/spreadsheets/d/1mnGm3iYGkB4FyqAD-LwwVYksgBMX_SY4qHQa16KgMiw/edit?gid=1956920866#gid=1956920866"",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DB_Product'!$B$2:$B""),MATCH(A122,IMPORTRANGE(""https://docs.google.com/spreadsheets/d/1n4t_JF5P_MLd0hMmhjv1A2rgLKdyee_-mrZZmdZr9G4/edit?gid=670402169#gid=670402169"", ""'Meal DB_Product'!$A$2:$A""),0))"&amp;"))"),"Shrimp with Lemon Garlic Sauce &amp; Spanakopita Style Rice")</f>
        <v>Shrimp with Lemon Garlic Sauce &amp; Spanakopita Style Rice</v>
      </c>
      <c r="D122" s="286" t="s">
        <v>231</v>
      </c>
      <c r="E122" s="230">
        <v>419.0</v>
      </c>
      <c r="F122" s="62">
        <v>619.0</v>
      </c>
      <c r="G122" s="231">
        <v>319.0</v>
      </c>
      <c r="H122" s="16">
        <f>IFERROR(__xludf.DUMMYFUNCTION("""COMPUTED_VALUE"""),2356.0)</f>
        <v>2356</v>
      </c>
      <c r="I122" s="17">
        <f>IFERROR(__xludf.DUMMYFUNCTION("""COMPUTED_VALUE"""),1343.0)</f>
        <v>1343</v>
      </c>
      <c r="J122" s="18">
        <f>IFERROR(__xludf.DUMMYFUNCTION("""COMPUTED_VALUE"""),1123.0)</f>
        <v>1123</v>
      </c>
      <c r="K122" s="287">
        <f>IFERROR(__xludf.DUMMYFUNCTION("""COMPUTED_VALUE"""),0.0)</f>
        <v>0</v>
      </c>
      <c r="L122" s="243">
        <f t="shared" ref="L122:M122" si="363">H122+20</f>
        <v>2376</v>
      </c>
      <c r="M122" s="244">
        <f t="shared" si="363"/>
        <v>1363</v>
      </c>
      <c r="N122" s="244">
        <f t="shared" si="246"/>
        <v>1143</v>
      </c>
      <c r="O122" s="271">
        <f t="array" ref="O122">iferror(if(INDEX('Slot Selection'!$A$2:$BJ$38, MATCH(E122-400,'Slot Selection'!$A$2:$A$38, 0), MATCH("2026-"&amp;D122,'Slot Selection'!$2:$2, 0)),1,0),0)</f>
        <v>1</v>
      </c>
      <c r="P122" s="272">
        <f t="array" ref="P122">iferror(if(INDEX('Slot Selection'!$A$80:$BJ$116, MATCH(F122-600,'Slot Selection'!$A$80:$A$116, 0), MATCH("2026-"&amp;D122,'Slot Selection'!$80:$80, 0)),1,0),0)</f>
        <v>1</v>
      </c>
      <c r="Q122" s="146">
        <f t="array" ref="Q122">iferror(if(INDEX('Slot Selection'!$A$41:$BJ$77, MATCH(F122-600,'Slot Selection'!$A$41:$A$77, 0), MATCH("2026-"&amp;D122,'Slot Selection'!$41:$41, 0)),1,0),0)</f>
        <v>1</v>
      </c>
      <c r="R122" s="62">
        <f t="shared" ref="R122:T122" si="364">L122*O122</f>
        <v>2376</v>
      </c>
      <c r="S122" s="248">
        <f t="shared" si="364"/>
        <v>1363</v>
      </c>
      <c r="T122" s="248">
        <f t="shared" si="364"/>
        <v>1143</v>
      </c>
      <c r="U122" s="243">
        <f t="shared" ref="U122:W122" si="365">L122-R122</f>
        <v>0</v>
      </c>
      <c r="V122" s="244">
        <f t="shared" si="365"/>
        <v>0</v>
      </c>
      <c r="W122" s="245">
        <f t="shared" si="365"/>
        <v>0</v>
      </c>
    </row>
    <row r="123">
      <c r="A123" s="242" t="str">
        <f>IFERROR(__xludf.DUMMYFUNCTION("if(E123=506,""FEA006A"",INDEX(IMPORTRANGE(""https://docs.google.com/spreadsheets/d/1WbE6HOh_eG5_DM53SVfuckYm0VQnhNvuwjql7Tw1FX0/edit?gid=660406182#gid=660406182"", ""'""&amp;D123&amp;""'!H2:H45""),match(E123,IMPORTRANGE(""https://docs.google.com/spreadsheets/d/1W"&amp;"bE6HOh_eG5_DM53SVfuckYm0VQnhNvuwjql7Tw1FX0/edit?gid=660406182#gid=660406182"", ""'""&amp;D123&amp;""'!B2:B45""),0),1))"),"FE4070A")</f>
        <v>FE4070A</v>
      </c>
      <c r="B123" s="229" t="str">
        <f>IFERROR(__xludf.DUMMYFUNCTION("if(E123=506,""-"",INDEX(IMPORTRANGE(""https://docs.google.com/spreadsheets/d/1WbE6HOh_eG5_DM53SVfuckYm0VQnhNvuwjql7Tw1FX0/edit?gid=660406182#gid=660406182"", ""'""&amp;D123&amp;""'!D2:D45""),match(E123,IMPORTRANGE(""https://docs.google.com/spreadsheets/d/1WbE6HOh"&amp;"_eG5_DM53SVfuckYm0VQnhNvuwjql7Tw1FX0/edit?gid=660406182#gid=660406182"", ""'""&amp;D123&amp;""'!B2:B45""),0),1))"),"Perf")</f>
        <v>Perf</v>
      </c>
      <c r="C123" s="135" t="str">
        <f>IFERROR(__xludf.DUMMYFUNCTION("if(A123=""FEA006A"",""Garlic Herb Grilled Chicken"", ifna(INDEX(IMPORTRANGE(""https://docs.google.com/spreadsheets/d/1mnGm3iYGkB4FyqAD-LwwVYksgBMX_SY4qHQa16KgMiw/edit?gid=1956920866#gid=1956920866"", ""'EU Meal Database'!$E$2:$E""),MATCH(A123,IMPORTRANGE("&amp;"""https://docs.google.com/spreadsheets/d/1mnGm3iYGkB4FyqAD-LwwVYksgBMX_SY4qHQa16KgMiw/edit?gid=1956920866#gid=1956920866"",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DB_Product'!$B$2:$B""),MATCH(A123,IMPORTRANGE(""https://docs.google.com/spreadsheets/d/1n4t_JF5P_MLd0hMmhjv1A2rgLKdyee_-mrZZmdZr9G4/edit?gid=670402169#gid=670402169"", ""'Meal DB_Product'!$A$2:$A""),0))"&amp;"))"),"Herb-Grilled Chicken")</f>
        <v>Herb-Grilled Chicken</v>
      </c>
      <c r="D123" s="286" t="s">
        <v>231</v>
      </c>
      <c r="E123" s="230">
        <v>420.0</v>
      </c>
      <c r="F123" s="62">
        <v>620.0</v>
      </c>
      <c r="G123" s="231">
        <v>320.0</v>
      </c>
      <c r="H123" s="16">
        <f>IFERROR(__xludf.DUMMYFUNCTION("""COMPUTED_VALUE"""),1080.0)</f>
        <v>1080</v>
      </c>
      <c r="I123" s="17">
        <f>IFERROR(__xludf.DUMMYFUNCTION("""COMPUTED_VALUE"""),615.0)</f>
        <v>615</v>
      </c>
      <c r="J123" s="18">
        <f>IFERROR(__xludf.DUMMYFUNCTION("""COMPUTED_VALUE"""),515.0)</f>
        <v>515</v>
      </c>
      <c r="K123" s="287">
        <f>IFERROR(__xludf.DUMMYFUNCTION("""COMPUTED_VALUE"""),0.0)</f>
        <v>0</v>
      </c>
      <c r="L123" s="243">
        <f t="shared" ref="L123:M123" si="366">H123+20</f>
        <v>1100</v>
      </c>
      <c r="M123" s="244">
        <f t="shared" si="366"/>
        <v>635</v>
      </c>
      <c r="N123" s="244">
        <f t="shared" si="246"/>
        <v>535</v>
      </c>
      <c r="O123" s="268">
        <f t="array" ref="O123">iferror(if(INDEX('Slot Selection'!$A$2:$BJ$38, MATCH(E123-400,'Slot Selection'!$A$2:$A$38, 0), MATCH("2026-"&amp;D123,'Slot Selection'!$2:$2, 0)),1,0),0)</f>
        <v>0</v>
      </c>
      <c r="P123" s="269">
        <f t="array" ref="P123">iferror(if(INDEX('Slot Selection'!$A$80:$BJ$116, MATCH(F123-600,'Slot Selection'!$A$80:$A$116, 0), MATCH("2026-"&amp;D123,'Slot Selection'!$80:$80, 0)),1,0),0)</f>
        <v>0</v>
      </c>
      <c r="Q123" s="270">
        <f t="array" ref="Q123">iferror(if(INDEX('Slot Selection'!$A$41:$BJ$77, MATCH(F123-600,'Slot Selection'!$A$41:$A$77, 0), MATCH("2026-"&amp;D123,'Slot Selection'!$41:$41, 0)),1,0),0)</f>
        <v>0</v>
      </c>
      <c r="R123" s="62">
        <f t="shared" ref="R123:T123" si="367">L123*O123</f>
        <v>0</v>
      </c>
      <c r="S123" s="248">
        <f t="shared" si="367"/>
        <v>0</v>
      </c>
      <c r="T123" s="248">
        <f t="shared" si="367"/>
        <v>0</v>
      </c>
      <c r="U123" s="243">
        <f t="shared" ref="U123:W123" si="368">L123-R123</f>
        <v>1100</v>
      </c>
      <c r="V123" s="248">
        <f t="shared" si="368"/>
        <v>635</v>
      </c>
      <c r="W123" s="249">
        <f t="shared" si="368"/>
        <v>535</v>
      </c>
    </row>
    <row r="124">
      <c r="A124" s="242" t="str">
        <f>IFERROR(__xludf.DUMMYFUNCTION("if(E124=506,""FEA006A"",INDEX(IMPORTRANGE(""https://docs.google.com/spreadsheets/d/1WbE6HOh_eG5_DM53SVfuckYm0VQnhNvuwjql7Tw1FX0/edit?gid=660406182#gid=660406182"", ""'""&amp;D124&amp;""'!H2:H45""),match(E124,IMPORTRANGE(""https://docs.google.com/spreadsheets/d/1W"&amp;"bE6HOh_eG5_DM53SVfuckYm0VQnhNvuwjql7Tw1FX0/edit?gid=660406182#gid=660406182"", ""'""&amp;D124&amp;""'!B2:B45""),0),1))"),"FE4065A")</f>
        <v>FE4065A</v>
      </c>
      <c r="B124" s="229" t="str">
        <f>IFERROR(__xludf.DUMMYFUNCTION("if(E124=506,""-"",INDEX(IMPORTRANGE(""https://docs.google.com/spreadsheets/d/1WbE6HOh_eG5_DM53SVfuckYm0VQnhNvuwjql7Tw1FX0/edit?gid=660406182#gid=660406182"", ""'""&amp;D124&amp;""'!D2:D45""),match(E124,IMPORTRANGE(""https://docs.google.com/spreadsheets/d/1WbE6HOh"&amp;"_eG5_DM53SVfuckYm0VQnhNvuwjql7Tw1FX0/edit?gid=660406182#gid=660406182"", ""'""&amp;D124&amp;""'!B2:B45""),0),1))"),"Perf")</f>
        <v>Perf</v>
      </c>
      <c r="C124" s="135" t="str">
        <f>IFERROR(__xludf.DUMMYFUNCTION("if(A124=""FEA006A"",""Garlic Herb Grilled Chicken"", ifna(INDEX(IMPORTRANGE(""https://docs.google.com/spreadsheets/d/1mnGm3iYGkB4FyqAD-LwwVYksgBMX_SY4qHQa16KgMiw/edit?gid=1956920866#gid=1956920866"", ""'EU Meal Database'!$E$2:$E""),MATCH(A124,IMPORTRANGE("&amp;"""https://docs.google.com/spreadsheets/d/1mnGm3iYGkB4FyqAD-LwwVYksgBMX_SY4qHQa16KgMiw/edit?gid=1956920866#gid=1956920866"",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DB_Product'!$B$2:$B""),MATCH(A124,IMPORTRANGE(""https://docs.google.com/spreadsheets/d/1n4t_JF5P_MLd0hMmhjv1A2rgLKdyee_-mrZZmdZr9G4/edit?gid=670402169#gid=670402169"", ""'Meal DB_Product'!$A$2:$A""),0))"&amp;"))"),"Spicy Beef &amp; Black Bean Chili")</f>
        <v>Spicy Beef &amp; Black Bean Chili</v>
      </c>
      <c r="D124" s="286" t="s">
        <v>231</v>
      </c>
      <c r="E124" s="230">
        <v>421.0</v>
      </c>
      <c r="F124" s="62">
        <v>621.0</v>
      </c>
      <c r="G124" s="231">
        <v>321.0</v>
      </c>
      <c r="H124" s="16">
        <f>IFERROR(__xludf.DUMMYFUNCTION("""COMPUTED_VALUE"""),1472.0)</f>
        <v>1472</v>
      </c>
      <c r="I124" s="17">
        <f>IFERROR(__xludf.DUMMYFUNCTION("""COMPUTED_VALUE"""),839.0)</f>
        <v>839</v>
      </c>
      <c r="J124" s="18">
        <f>IFERROR(__xludf.DUMMYFUNCTION("""COMPUTED_VALUE"""),702.0)</f>
        <v>702</v>
      </c>
      <c r="K124" s="287">
        <f>IFERROR(__xludf.DUMMYFUNCTION("""COMPUTED_VALUE"""),0.0)</f>
        <v>0</v>
      </c>
      <c r="L124" s="243">
        <f t="shared" ref="L124:M124" si="369">H124+20</f>
        <v>1492</v>
      </c>
      <c r="M124" s="244">
        <f t="shared" si="369"/>
        <v>859</v>
      </c>
      <c r="N124" s="244">
        <f t="shared" si="246"/>
        <v>722</v>
      </c>
      <c r="O124" s="268">
        <f t="array" ref="O124">iferror(if(INDEX('Slot Selection'!$A$2:$BJ$38, MATCH(E124-400,'Slot Selection'!$A$2:$A$38, 0), MATCH("2026-"&amp;D124,'Slot Selection'!$2:$2, 0)),1,0),0)</f>
        <v>1</v>
      </c>
      <c r="P124" s="269">
        <f t="array" ref="P124">iferror(if(INDEX('Slot Selection'!$A$80:$BJ$116, MATCH(F124-600,'Slot Selection'!$A$80:$A$116, 0), MATCH("2026-"&amp;D124,'Slot Selection'!$80:$80, 0)),1,0),0)</f>
        <v>1</v>
      </c>
      <c r="Q124" s="270">
        <f t="array" ref="Q124">iferror(if(INDEX('Slot Selection'!$A$41:$BJ$77, MATCH(F124-600,'Slot Selection'!$A$41:$A$77, 0), MATCH("2026-"&amp;D124,'Slot Selection'!$41:$41, 0)),1,0),0)</f>
        <v>1</v>
      </c>
      <c r="R124" s="62">
        <f t="shared" ref="R124:T124" si="370">L124*O124</f>
        <v>1492</v>
      </c>
      <c r="S124" s="248">
        <f t="shared" si="370"/>
        <v>859</v>
      </c>
      <c r="T124" s="248">
        <f t="shared" si="370"/>
        <v>722</v>
      </c>
      <c r="U124" s="243">
        <f t="shared" ref="U124:W124" si="371">L124-R124</f>
        <v>0</v>
      </c>
      <c r="V124" s="248">
        <f t="shared" si="371"/>
        <v>0</v>
      </c>
      <c r="W124" s="249">
        <f t="shared" si="371"/>
        <v>0</v>
      </c>
    </row>
    <row r="125">
      <c r="A125" s="250" t="str">
        <f>IFERROR(__xludf.DUMMYFUNCTION("if(E125=506,""FEA006A"",INDEX(IMPORTRANGE(""https://docs.google.com/spreadsheets/d/1WbE6HOh_eG5_DM53SVfuckYm0VQnhNvuwjql7Tw1FX0/edit?gid=660406182#gid=660406182"", ""'""&amp;D125&amp;""'!H2:H45""),match(E125,IMPORTRANGE(""https://docs.google.com/spreadsheets/d/1W"&amp;"bE6HOh_eG5_DM53SVfuckYm0VQnhNvuwjql7Tw1FX0/edit?gid=660406182#gid=660406182"", ""'""&amp;D125&amp;""'!B2:B45""),0),1))"),"FEA006A")</f>
        <v>FEA006A</v>
      </c>
      <c r="B125" s="251" t="str">
        <f>IFERROR(__xludf.DUMMYFUNCTION("if(E125=506,""-"",INDEX(IMPORTRANGE(""https://docs.google.com/spreadsheets/d/1WbE6HOh_eG5_DM53SVfuckYm0VQnhNvuwjql7Tw1FX0/edit?gid=660406182#gid=660406182"", ""'""&amp;D125&amp;""'!D2:D45""),match(E125,IMPORTRANGE(""https://docs.google.com/spreadsheets/d/1WbE6HOh"&amp;"_eG5_DM53SVfuckYm0VQnhNvuwjql7Tw1FX0/edit?gid=660406182#gid=660406182"", ""'""&amp;D125&amp;""'!B2:B45""),0),1))"),"-")</f>
        <v>-</v>
      </c>
      <c r="C125" s="252" t="str">
        <f>IFERROR(__xludf.DUMMYFUNCTION("if(A125=""FEA006A"",""Garlic Herb Grilled Chicken"", ifna(INDEX(IMPORTRANGE(""https://docs.google.com/spreadsheets/d/1mnGm3iYGkB4FyqAD-LwwVYksgBMX_SY4qHQa16KgMiw/edit?gid=1956920866#gid=1956920866"", ""'EU Meal Database'!$E$2:$E""),MATCH(A125,IMPORTRANGE("&amp;"""https://docs.google.com/spreadsheets/d/1mnGm3iYGkB4FyqAD-LwwVYksgBMX_SY4qHQa16KgMiw/edit?gid=1956920866#gid=1956920866"",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DB_Product'!$B$2:$B""),MATCH(A125,IMPORTRANGE(""https://docs.google.com/spreadsheets/d/1n4t_JF5P_MLd0hMmhjv1A2rgLKdyee_-mrZZmdZr9G4/edit?gid=670402169#gid=670402169"", ""'Meal DB_Product'!$A$2:$A""),0))"&amp;"))"),"Garlic Herb Grilled Chicken")</f>
        <v>Garlic Herb Grilled Chicken</v>
      </c>
      <c r="D125" s="288" t="s">
        <v>231</v>
      </c>
      <c r="E125" s="254">
        <v>506.0</v>
      </c>
      <c r="F125" s="253">
        <v>706.0</v>
      </c>
      <c r="G125" s="255">
        <v>806.0</v>
      </c>
      <c r="H125" s="24">
        <f>IFERROR(__xludf.DUMMYFUNCTION("""COMPUTED_VALUE"""),83.0)</f>
        <v>83</v>
      </c>
      <c r="I125" s="25">
        <f>IFERROR(__xludf.DUMMYFUNCTION("""COMPUTED_VALUE"""),36.0)</f>
        <v>36</v>
      </c>
      <c r="J125" s="26">
        <f>IFERROR(__xludf.DUMMYFUNCTION("""COMPUTED_VALUE"""),67.0)</f>
        <v>67</v>
      </c>
      <c r="K125" s="289">
        <f>IFERROR(__xludf.DUMMYFUNCTION("""COMPUTED_VALUE"""),0.0)</f>
        <v>0</v>
      </c>
      <c r="L125" s="259">
        <f t="shared" ref="L125:M125" si="372">H125+20</f>
        <v>103</v>
      </c>
      <c r="M125" s="258">
        <f t="shared" si="372"/>
        <v>56</v>
      </c>
      <c r="N125" s="258">
        <f t="shared" si="246"/>
        <v>87</v>
      </c>
      <c r="O125" s="275">
        <f t="array" ref="O125">iferror(if(INDEX('Slot Selection'!$A$2:$BJ$38, MATCH(E125-400,'Slot Selection'!$A$2:$A$38, 0), MATCH("2026-"&amp;D125,'Slot Selection'!$2:$2, 0)),1,0),0)</f>
        <v>0</v>
      </c>
      <c r="P125" s="276">
        <f t="array" ref="P125">iferror(if(INDEX('Slot Selection'!$A$80:$BJ$116, MATCH(F125-600,'Slot Selection'!$A$80:$A$116, 0), MATCH("2026-"&amp;D125,'Slot Selection'!$80:$80, 0)),1,0),0)</f>
        <v>0</v>
      </c>
      <c r="Q125" s="277">
        <f t="array" ref="Q125">iferror(if(INDEX('Slot Selection'!$A$41:$BJ$77, MATCH(F125-600,'Slot Selection'!$A$41:$A$77, 0), MATCH("2026-"&amp;D125,'Slot Selection'!$41:$41, 0)),1,0),0)</f>
        <v>0</v>
      </c>
      <c r="R125" s="253">
        <f t="shared" ref="R125:T125" si="373">L125*O125</f>
        <v>0</v>
      </c>
      <c r="S125" s="263">
        <f t="shared" si="373"/>
        <v>0</v>
      </c>
      <c r="T125" s="263">
        <f t="shared" si="373"/>
        <v>0</v>
      </c>
      <c r="U125" s="259">
        <f t="shared" ref="U125:W125" si="374">L125-R125</f>
        <v>103</v>
      </c>
      <c r="V125" s="263">
        <f t="shared" si="374"/>
        <v>56</v>
      </c>
      <c r="W125" s="264">
        <f t="shared" si="374"/>
        <v>87</v>
      </c>
    </row>
    <row r="126">
      <c r="A126" s="228" t="str">
        <f>IFERROR(__xludf.DUMMYFUNCTION("if(E126=506,""FEA006A"",INDEX(IMPORTRANGE(""https://docs.google.com/spreadsheets/d/1WbE6HOh_eG5_DM53SVfuckYm0VQnhNvuwjql7Tw1FX0/edit?gid=660406182#gid=660406182"", ""'""&amp;D126&amp;""'!H2:H45""),match(E126,IMPORTRANGE(""https://docs.google.com/spreadsheets/d/1W"&amp;"bE6HOh_eG5_DM53SVfuckYm0VQnhNvuwjql7Tw1FX0/edit?gid=660406182#gid=660406182"", ""'""&amp;D126&amp;""'!B2:B45""),0),1))"),"FE4015B")</f>
        <v>FE4015B</v>
      </c>
      <c r="B126" s="229" t="str">
        <f>IFERROR(__xludf.DUMMYFUNCTION("if(E126=506,""-"",INDEX(IMPORTRANGE(""https://docs.google.com/spreadsheets/d/1WbE6HOh_eG5_DM53SVfuckYm0VQnhNvuwjql7Tw1FX0/edit?gid=660406182#gid=660406182"", ""'""&amp;D126&amp;""'!D2:D45""),match(E126,IMPORTRANGE(""https://docs.google.com/spreadsheets/d/1WbE6HOh"&amp;"_eG5_DM53SVfuckYm0VQnhNvuwjql7Tw1FX0/edit?gid=660406182#gid=660406182"", ""'""&amp;D126&amp;""'!B2:B45""),0),1))"),"CS")</f>
        <v>CS</v>
      </c>
      <c r="C126" s="135" t="str">
        <f>IFERROR(__xludf.DUMMYFUNCTION("if(A126=""FEA006A"",""Garlic Herb Grilled Chicken"", ifna(INDEX(IMPORTRANGE(""https://docs.google.com/spreadsheets/d/1mnGm3iYGkB4FyqAD-LwwVYksgBMX_SY4qHQa16KgMiw/edit?gid=1956920866#gid=1956920866"", ""'EU Meal Database'!$E$2:$E""),MATCH(A126,IMPORTRANGE("&amp;"""https://docs.google.com/spreadsheets/d/1mnGm3iYGkB4FyqAD-LwwVYksgBMX_SY4qHQa16KgMiw/edit?gid=1956920866#gid=1956920866"",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DB_Product'!$B$2:$B""),MATCH(A126,IMPORTRANGE(""https://docs.google.com/spreadsheets/d/1n4t_JF5P_MLd0hMmhjv1A2rgLKdyee_-mrZZmdZr9G4/edit?gid=670402169#gid=670402169"", ""'Meal DB_Product'!$A$2:$A""),0))"&amp;"))"),"Grilled chicken and ratatouille")</f>
        <v>Grilled chicken and ratatouille</v>
      </c>
      <c r="D126" s="283" t="s">
        <v>232</v>
      </c>
      <c r="E126" s="230">
        <v>401.0</v>
      </c>
      <c r="F126" s="62">
        <v>601.0</v>
      </c>
      <c r="G126" s="231">
        <v>301.0</v>
      </c>
      <c r="H126" s="284">
        <v>6551.0</v>
      </c>
      <c r="I126" s="188">
        <v>3599.0</v>
      </c>
      <c r="J126" s="187">
        <v>2769.0</v>
      </c>
      <c r="K126" s="285">
        <v>0.0</v>
      </c>
      <c r="L126" s="234">
        <f t="shared" ref="L126:M126" si="375">H126+20</f>
        <v>6571</v>
      </c>
      <c r="M126" s="235">
        <f t="shared" si="375"/>
        <v>3619</v>
      </c>
      <c r="N126" s="235">
        <f t="shared" si="246"/>
        <v>2789</v>
      </c>
      <c r="O126" s="265">
        <f t="array" ref="O126">iferror(if(INDEX('Slot Selection'!$A$2:$BJ$38, MATCH(E126-400,'Slot Selection'!$A$2:$A$38, 0), MATCH("2026-"&amp;D126,'Slot Selection'!$2:$2, 0)),1,0),0)</f>
        <v>0</v>
      </c>
      <c r="P126" s="266">
        <f t="array" ref="P126">iferror(if(INDEX('Slot Selection'!$A$80:$BJ$116, MATCH(F126-600,'Slot Selection'!$A$80:$A$116, 0), MATCH("2026-"&amp;E126,'Slot Selection'!$80:$80, 0)),1,0),0)</f>
        <v>0</v>
      </c>
      <c r="Q126" s="267">
        <f t="array" ref="Q126">iferror(if(INDEX('Slot Selection'!$A$41:$BJ$77, MATCH(F126-600,'Slot Selection'!$A$41:$A$77, 0), MATCH("2026-"&amp;D126,'Slot Selection'!$41:$41, 0)),1,0),0)</f>
        <v>0</v>
      </c>
      <c r="R126" s="62">
        <f t="shared" ref="R126:T126" si="376">L126*O126</f>
        <v>0</v>
      </c>
      <c r="S126" s="248">
        <f t="shared" si="376"/>
        <v>0</v>
      </c>
      <c r="T126" s="248">
        <f t="shared" si="376"/>
        <v>0</v>
      </c>
      <c r="U126" s="243">
        <f t="shared" ref="U126:W126" si="377">L126-R126</f>
        <v>6571</v>
      </c>
      <c r="V126" s="244">
        <f t="shared" si="377"/>
        <v>3619</v>
      </c>
      <c r="W126" s="245">
        <f t="shared" si="377"/>
        <v>2789</v>
      </c>
    </row>
    <row r="127">
      <c r="A127" s="242" t="str">
        <f>IFERROR(__xludf.DUMMYFUNCTION("if(E127=506,""FEA006A"",INDEX(IMPORTRANGE(""https://docs.google.com/spreadsheets/d/1WbE6HOh_eG5_DM53SVfuckYm0VQnhNvuwjql7Tw1FX0/edit?gid=660406182#gid=660406182"", ""'""&amp;D127&amp;""'!H2:H45""),match(E127,IMPORTRANGE(""https://docs.google.com/spreadsheets/d/1W"&amp;"bE6HOh_eG5_DM53SVfuckYm0VQnhNvuwjql7Tw1FX0/edit?gid=660406182#gid=660406182"", ""'""&amp;D127&amp;""'!B2:B45""),0),1))"),"FE0322O")</f>
        <v>FE0322O</v>
      </c>
      <c r="B127" s="229" t="str">
        <f>IFERROR(__xludf.DUMMYFUNCTION("if(E127=506,""-"",INDEX(IMPORTRANGE(""https://docs.google.com/spreadsheets/d/1WbE6HOh_eG5_DM53SVfuckYm0VQnhNvuwjql7Tw1FX0/edit?gid=660406182#gid=660406182"", ""'""&amp;D127&amp;""'!D2:D45""),match(E127,IMPORTRANGE(""https://docs.google.com/spreadsheets/d/1WbE6HOh"&amp;"_eG5_DM53SVfuckYm0VQnhNvuwjql7Tw1FX0/edit?gid=660406182#gid=660406182"", ""'""&amp;D127&amp;""'!B2:B45""),0),1))"),"CS")</f>
        <v>CS</v>
      </c>
      <c r="C127" s="135" t="str">
        <f>IFERROR(__xludf.DUMMYFUNCTION("if(A127=""FEA006A"",""Garlic Herb Grilled Chicken"", ifna(INDEX(IMPORTRANGE(""https://docs.google.com/spreadsheets/d/1mnGm3iYGkB4FyqAD-LwwVYksgBMX_SY4qHQa16KgMiw/edit?gid=1956920866#gid=1956920866"", ""'EU Meal Database'!$E$2:$E""),MATCH(A127,IMPORTRANGE("&amp;"""https://docs.google.com/spreadsheets/d/1mnGm3iYGkB4FyqAD-LwwVYksgBMX_SY4qHQa16KgMiw/edit?gid=1956920866#gid=1956920866"",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DB_Product'!$B$2:$B""),MATCH(A127,IMPORTRANGE(""https://docs.google.com/spreadsheets/d/1n4t_JF5P_MLd0hMmhjv1A2rgLKdyee_-mrZZmdZr9G4/edit?gid=670402169#gid=670402169"", ""'Meal DB_Product'!$A$2:$A""),0))"&amp;"))"),"Sour Cream &amp; Chive Chicken")</f>
        <v>Sour Cream &amp; Chive Chicken</v>
      </c>
      <c r="D127" s="286" t="s">
        <v>232</v>
      </c>
      <c r="E127" s="230">
        <v>402.0</v>
      </c>
      <c r="F127" s="62">
        <v>602.0</v>
      </c>
      <c r="G127" s="231">
        <v>302.0</v>
      </c>
      <c r="H127" s="16">
        <v>3709.0</v>
      </c>
      <c r="I127" s="17">
        <v>2335.0</v>
      </c>
      <c r="J127" s="18">
        <v>1606.0</v>
      </c>
      <c r="K127" s="287">
        <v>0.0</v>
      </c>
      <c r="L127" s="243">
        <f t="shared" ref="L127:M127" si="378">H127+20</f>
        <v>3729</v>
      </c>
      <c r="M127" s="244">
        <f t="shared" si="378"/>
        <v>2355</v>
      </c>
      <c r="N127" s="244">
        <f t="shared" si="246"/>
        <v>1626</v>
      </c>
      <c r="O127" s="268">
        <f t="array" ref="O127">iferror(if(INDEX('Slot Selection'!$A$2:$BJ$38, MATCH(E127-400,'Slot Selection'!$A$2:$A$38, 0), MATCH("2026-"&amp;D127,'Slot Selection'!$2:$2, 0)),1,0),0)</f>
        <v>1</v>
      </c>
      <c r="P127" s="269">
        <f t="array" ref="P127">iferror(if(INDEX('Slot Selection'!$A$80:$BJ$116, MATCH(F127-600,'Slot Selection'!$A$80:$A$116, 0), MATCH("2026-"&amp;D127,'Slot Selection'!$80:$80, 0)),1,0),0)</f>
        <v>1</v>
      </c>
      <c r="Q127" s="270">
        <f t="array" ref="Q127">iferror(if(INDEX('Slot Selection'!$A$41:$BJ$77, MATCH(F127-600,'Slot Selection'!$A$41:$A$77, 0), MATCH("2026-"&amp;D127,'Slot Selection'!$41:$41, 0)),1,0),0)</f>
        <v>1</v>
      </c>
      <c r="R127" s="62">
        <f t="shared" ref="R127:T127" si="379">L127*O127</f>
        <v>3729</v>
      </c>
      <c r="S127" s="248">
        <f t="shared" si="379"/>
        <v>2355</v>
      </c>
      <c r="T127" s="248">
        <f t="shared" si="379"/>
        <v>1626</v>
      </c>
      <c r="U127" s="243">
        <f t="shared" ref="U127:W127" si="380">L127-R127</f>
        <v>0</v>
      </c>
      <c r="V127" s="244">
        <f t="shared" si="380"/>
        <v>0</v>
      </c>
      <c r="W127" s="245">
        <f t="shared" si="380"/>
        <v>0</v>
      </c>
    </row>
    <row r="128">
      <c r="A128" s="242" t="str">
        <f>IFERROR(__xludf.DUMMYFUNCTION("if(E128=506,""FEA006A"",INDEX(IMPORTRANGE(""https://docs.google.com/spreadsheets/d/1WbE6HOh_eG5_DM53SVfuckYm0VQnhNvuwjql7Tw1FX0/edit?gid=660406182#gid=660406182"", ""'""&amp;D128&amp;""'!H2:H45""),match(E128,IMPORTRANGE(""https://docs.google.com/spreadsheets/d/1W"&amp;"bE6HOh_eG5_DM53SVfuckYm0VQnhNvuwjql7Tw1FX0/edit?gid=660406182#gid=660406182"", ""'""&amp;D128&amp;""'!B2:B45""),0),1))"),"FV4063A")</f>
        <v>FV4063A</v>
      </c>
      <c r="B128" s="229" t="str">
        <f>IFERROR(__xludf.DUMMYFUNCTION("if(E128=506,""-"",INDEX(IMPORTRANGE(""https://docs.google.com/spreadsheets/d/1WbE6HOh_eG5_DM53SVfuckYm0VQnhNvuwjql7Tw1FX0/edit?gid=660406182#gid=660406182"", ""'""&amp;D128&amp;""'!D2:D45""),match(E128,IMPORTRANGE(""https://docs.google.com/spreadsheets/d/1WbE6HOh"&amp;"_eG5_DM53SVfuckYm0VQnhNvuwjql7Tw1FX0/edit?gid=660406182#gid=660406182"", ""'""&amp;D128&amp;""'!B2:B45""),0),1))"),"Keto")</f>
        <v>Keto</v>
      </c>
      <c r="C128" s="135" t="str">
        <f>IFERROR(__xludf.DUMMYFUNCTION("if(A128=""FEA006A"",""Garlic Herb Grilled Chicken"", ifna(INDEX(IMPORTRANGE(""https://docs.google.com/spreadsheets/d/1mnGm3iYGkB4FyqAD-LwwVYksgBMX_SY4qHQa16KgMiw/edit?gid=1956920866#gid=1956920866"", ""'EU Meal Database'!$E$2:$E""),MATCH(A128,IMPORTRANGE("&amp;"""https://docs.google.com/spreadsheets/d/1mnGm3iYGkB4FyqAD-LwwVYksgBMX_SY4qHQa16KgMiw/edit?gid=1956920866#gid=1956920866"",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DB_Product'!$B$2:$B""),MATCH(A128,IMPORTRANGE(""https://docs.google.com/spreadsheets/d/1n4t_JF5P_MLd0hMmhjv1A2rgLKdyee_-mrZZmdZr9G4/edit?gid=670402169#gid=670402169"", ""'Meal DB_Product'!$A$2:$A""),0))"&amp;"))"),"Cheddar pulled beef")</f>
        <v>Cheddar pulled beef</v>
      </c>
      <c r="D128" s="286" t="s">
        <v>232</v>
      </c>
      <c r="E128" s="230">
        <v>403.0</v>
      </c>
      <c r="F128" s="62">
        <v>603.0</v>
      </c>
      <c r="G128" s="231">
        <v>303.0</v>
      </c>
      <c r="H128" s="16">
        <v>3247.0</v>
      </c>
      <c r="I128" s="17">
        <v>2027.0</v>
      </c>
      <c r="J128" s="18">
        <v>1640.0</v>
      </c>
      <c r="K128" s="287">
        <v>0.0</v>
      </c>
      <c r="L128" s="243">
        <f t="shared" ref="L128:M128" si="381">H128+20</f>
        <v>3267</v>
      </c>
      <c r="M128" s="244">
        <f t="shared" si="381"/>
        <v>2047</v>
      </c>
      <c r="N128" s="244">
        <f t="shared" si="246"/>
        <v>1660</v>
      </c>
      <c r="O128" s="268">
        <f t="array" ref="O128">iferror(if(INDEX('Slot Selection'!$A$2:$BJ$38, MATCH(E128-400,'Slot Selection'!$A$2:$A$38, 0), MATCH("2026-"&amp;D128,'Slot Selection'!$2:$2, 0)),1,0),0)</f>
        <v>1</v>
      </c>
      <c r="P128" s="269">
        <f t="array" ref="P128">iferror(if(INDEX('Slot Selection'!$A$80:$BJ$116, MATCH(F128-600,'Slot Selection'!$A$80:$A$116, 0), MATCH("2026-"&amp;D128,'Slot Selection'!$80:$80, 0)),1,0),0)</f>
        <v>1</v>
      </c>
      <c r="Q128" s="270">
        <f t="array" ref="Q128">iferror(if(INDEX('Slot Selection'!$A$41:$BJ$77, MATCH(F128-600,'Slot Selection'!$A$41:$A$77, 0), MATCH("2026-"&amp;D128,'Slot Selection'!$41:$41, 0)),1,0),0)</f>
        <v>1</v>
      </c>
      <c r="R128" s="62">
        <f t="shared" ref="R128:T128" si="382">L128*O128</f>
        <v>3267</v>
      </c>
      <c r="S128" s="248">
        <f t="shared" si="382"/>
        <v>2047</v>
      </c>
      <c r="T128" s="248">
        <f t="shared" si="382"/>
        <v>1660</v>
      </c>
      <c r="U128" s="243">
        <f t="shared" ref="U128:W128" si="383">L128-R128</f>
        <v>0</v>
      </c>
      <c r="V128" s="244">
        <f t="shared" si="383"/>
        <v>0</v>
      </c>
      <c r="W128" s="245">
        <f t="shared" si="383"/>
        <v>0</v>
      </c>
    </row>
    <row r="129">
      <c r="A129" s="242" t="str">
        <f>IFERROR(__xludf.DUMMYFUNCTION("if(E129=506,""FEA006A"",INDEX(IMPORTRANGE(""https://docs.google.com/spreadsheets/d/1WbE6HOh_eG5_DM53SVfuckYm0VQnhNvuwjql7Tw1FX0/edit?gid=660406182#gid=660406182"", ""'""&amp;D129&amp;""'!H2:H45""),match(E129,IMPORTRANGE(""https://docs.google.com/spreadsheets/d/1W"&amp;"bE6HOh_eG5_DM53SVfuckYm0VQnhNvuwjql7Tw1FX0/edit?gid=660406182#gid=660406182"", ""'""&amp;D129&amp;""'!B2:B45""),0),1))"),"FV1320A")</f>
        <v>FV1320A</v>
      </c>
      <c r="B129" s="229" t="str">
        <f>IFERROR(__xludf.DUMMYFUNCTION("if(E129=506,""-"",INDEX(IMPORTRANGE(""https://docs.google.com/spreadsheets/d/1WbE6HOh_eG5_DM53SVfuckYm0VQnhNvuwjql7Tw1FX0/edit?gid=660406182#gid=660406182"", ""'""&amp;D129&amp;""'!D2:D45""),match(E129,IMPORTRANGE(""https://docs.google.com/spreadsheets/d/1WbE6HOh"&amp;"_eG5_DM53SVfuckYm0VQnhNvuwjql7Tw1FX0/edit?gid=660406182#gid=660406182"", ""'""&amp;D129&amp;""'!B2:B45""),0),1))"),"P+")</f>
        <v>P+</v>
      </c>
      <c r="C129" s="135" t="str">
        <f>IFERROR(__xludf.DUMMYFUNCTION("if(A129=""FEA006A"",""Garlic Herb Grilled Chicken"", ifna(INDEX(IMPORTRANGE(""https://docs.google.com/spreadsheets/d/1mnGm3iYGkB4FyqAD-LwwVYksgBMX_SY4qHQa16KgMiw/edit?gid=1956920866#gid=1956920866"", ""'EU Meal Database'!$E$2:$E""),MATCH(A129,IMPORTRANGE("&amp;"""https://docs.google.com/spreadsheets/d/1mnGm3iYGkB4FyqAD-LwwVYksgBMX_SY4qHQa16KgMiw/edit?gid=1956920866#gid=1956920866"",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DB_Product'!$B$2:$B""),MATCH(A129,IMPORTRANGE(""https://docs.google.com/spreadsheets/d/1n4t_JF5P_MLd0hMmhjv1A2rgLKdyee_-mrZZmdZr9G4/edit?gid=670402169#gid=670402169"", ""'Meal DB_Product'!$A$2:$A""),0))"&amp;"))"),"Ají Verde Salmon")</f>
        <v>Ají Verde Salmon</v>
      </c>
      <c r="D129" s="286" t="s">
        <v>232</v>
      </c>
      <c r="E129" s="230">
        <v>404.0</v>
      </c>
      <c r="F129" s="62">
        <v>604.0</v>
      </c>
      <c r="G129" s="231">
        <v>304.0</v>
      </c>
      <c r="H129" s="16">
        <v>5301.0</v>
      </c>
      <c r="I129" s="17">
        <v>2968.0</v>
      </c>
      <c r="J129" s="18">
        <v>2263.0</v>
      </c>
      <c r="K129" s="287">
        <v>0.0</v>
      </c>
      <c r="L129" s="243">
        <f t="shared" ref="L129:M129" si="384">H129+20</f>
        <v>5321</v>
      </c>
      <c r="M129" s="244">
        <f t="shared" si="384"/>
        <v>2988</v>
      </c>
      <c r="N129" s="244">
        <f t="shared" si="246"/>
        <v>2283</v>
      </c>
      <c r="O129" s="268">
        <f t="array" ref="O129">iferror(if(INDEX('Slot Selection'!$A$2:$BJ$38, MATCH(E129-400,'Slot Selection'!$A$2:$A$38, 0), MATCH("2026-"&amp;D129,'Slot Selection'!$2:$2, 0)),1,0),0)</f>
        <v>1</v>
      </c>
      <c r="P129" s="269">
        <f t="array" ref="P129">iferror(if(INDEX('Slot Selection'!$A$80:$BJ$116, MATCH(F129-600,'Slot Selection'!$A$80:$A$116, 0), MATCH("2026-"&amp;D129,'Slot Selection'!$80:$80, 0)),1,0),0)</f>
        <v>1</v>
      </c>
      <c r="Q129" s="270">
        <f t="array" ref="Q129">iferror(if(INDEX('Slot Selection'!$A$41:$BJ$77, MATCH(F129-600,'Slot Selection'!$A$41:$A$77, 0), MATCH("2026-"&amp;D129,'Slot Selection'!$41:$41, 0)),1,0),0)</f>
        <v>1</v>
      </c>
      <c r="R129" s="62">
        <f t="shared" ref="R129:T129" si="385">L129*O129</f>
        <v>5321</v>
      </c>
      <c r="S129" s="248">
        <f t="shared" si="385"/>
        <v>2988</v>
      </c>
      <c r="T129" s="248">
        <f t="shared" si="385"/>
        <v>2283</v>
      </c>
      <c r="U129" s="243">
        <f t="shared" ref="U129:W129" si="386">L129-R129</f>
        <v>0</v>
      </c>
      <c r="V129" s="244">
        <f t="shared" si="386"/>
        <v>0</v>
      </c>
      <c r="W129" s="245">
        <f t="shared" si="386"/>
        <v>0</v>
      </c>
    </row>
    <row r="130">
      <c r="A130" s="242" t="str">
        <f>IFERROR(__xludf.DUMMYFUNCTION("if(E130=506,""FEA006A"",INDEX(IMPORTRANGE(""https://docs.google.com/spreadsheets/d/1WbE6HOh_eG5_DM53SVfuckYm0VQnhNvuwjql7Tw1FX0/edit?gid=660406182#gid=660406182"", ""'""&amp;D130&amp;""'!H2:H45""),match(E130,IMPORTRANGE(""https://docs.google.com/spreadsheets/d/1W"&amp;"bE6HOh_eG5_DM53SVfuckYm0VQnhNvuwjql7Tw1FX0/edit?gid=660406182#gid=660406182"", ""'""&amp;D130&amp;""'!B2:B45""),0),1))"),"FE1451A")</f>
        <v>FE1451A</v>
      </c>
      <c r="B130" s="229" t="str">
        <f>IFERROR(__xludf.DUMMYFUNCTION("if(E130=506,""-"",INDEX(IMPORTRANGE(""https://docs.google.com/spreadsheets/d/1WbE6HOh_eG5_DM53SVfuckYm0VQnhNvuwjql7Tw1FX0/edit?gid=660406182#gid=660406182"", ""'""&amp;D130&amp;""'!D2:D45""),match(E130,IMPORTRANGE(""https://docs.google.com/spreadsheets/d/1WbE6HOh"&amp;"_eG5_DM53SVfuckYm0VQnhNvuwjql7Tw1FX0/edit?gid=660406182#gid=660406182"", ""'""&amp;D130&amp;""'!B2:B45""),0),1))"),"CS")</f>
        <v>CS</v>
      </c>
      <c r="C130" s="135" t="str">
        <f>IFERROR(__xludf.DUMMYFUNCTION("if(A130=""FEA006A"",""Garlic Herb Grilled Chicken"", ifna(INDEX(IMPORTRANGE(""https://docs.google.com/spreadsheets/d/1mnGm3iYGkB4FyqAD-LwwVYksgBMX_SY4qHQa16KgMiw/edit?gid=1956920866#gid=1956920866"", ""'EU Meal Database'!$E$2:$E""),MATCH(A130,IMPORTRANGE("&amp;"""https://docs.google.com/spreadsheets/d/1mnGm3iYGkB4FyqAD-LwwVYksgBMX_SY4qHQa16KgMiw/edit?gid=1956920866#gid=1956920866"",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DB_Product'!$B$2:$B""),MATCH(A130,IMPORTRANGE(""https://docs.google.com/spreadsheets/d/1n4t_JF5P_MLd0hMmhjv1A2rgLKdyee_-mrZZmdZr9G4/edit?gid=670402169#gid=670402169"", ""'Meal DB_Product'!$A$2:$A""),0))"&amp;"))"),"West African Style Chicken Peanut Curry")</f>
        <v>West African Style Chicken Peanut Curry</v>
      </c>
      <c r="D130" s="286" t="s">
        <v>232</v>
      </c>
      <c r="E130" s="230">
        <v>405.0</v>
      </c>
      <c r="F130" s="62">
        <v>605.0</v>
      </c>
      <c r="G130" s="231">
        <v>305.0</v>
      </c>
      <c r="H130" s="16">
        <v>2565.0</v>
      </c>
      <c r="I130" s="17">
        <v>1745.0</v>
      </c>
      <c r="J130" s="18">
        <v>1494.0</v>
      </c>
      <c r="K130" s="287">
        <v>0.0</v>
      </c>
      <c r="L130" s="243">
        <f t="shared" ref="L130:M130" si="387">H130+20</f>
        <v>2585</v>
      </c>
      <c r="M130" s="244">
        <f t="shared" si="387"/>
        <v>1765</v>
      </c>
      <c r="N130" s="244">
        <f t="shared" si="246"/>
        <v>1514</v>
      </c>
      <c r="O130" s="268">
        <f t="array" ref="O130">iferror(if(INDEX('Slot Selection'!$A$2:$BJ$38, MATCH(E130-400,'Slot Selection'!$A$2:$A$38, 0), MATCH("2026-"&amp;D130,'Slot Selection'!$2:$2, 0)),1,0),0)</f>
        <v>0</v>
      </c>
      <c r="P130" s="269">
        <f t="array" ref="P130">iferror(if(INDEX('Slot Selection'!$A$80:$BJ$116, MATCH(F130-600,'Slot Selection'!$A$80:$A$116, 0), MATCH("2026-"&amp;D130,'Slot Selection'!$80:$80, 0)),1,0),0)</f>
        <v>0</v>
      </c>
      <c r="Q130" s="270">
        <f t="array" ref="Q130">iferror(if(INDEX('Slot Selection'!$A$41:$BJ$77, MATCH(F130-600,'Slot Selection'!$A$41:$A$77, 0), MATCH("2026-"&amp;D130,'Slot Selection'!$41:$41, 0)),1,0),0)</f>
        <v>0</v>
      </c>
      <c r="R130" s="62">
        <f t="shared" ref="R130:T130" si="388">L130*O130</f>
        <v>0</v>
      </c>
      <c r="S130" s="248">
        <f t="shared" si="388"/>
        <v>0</v>
      </c>
      <c r="T130" s="248">
        <f t="shared" si="388"/>
        <v>0</v>
      </c>
      <c r="U130" s="243">
        <f t="shared" ref="U130:W130" si="389">L130-R130</f>
        <v>2585</v>
      </c>
      <c r="V130" s="244">
        <f t="shared" si="389"/>
        <v>1765</v>
      </c>
      <c r="W130" s="245">
        <f t="shared" si="389"/>
        <v>1514</v>
      </c>
    </row>
    <row r="131">
      <c r="A131" s="242" t="str">
        <f>IFERROR(__xludf.DUMMYFUNCTION("if(E131=506,""FEA006A"",INDEX(IMPORTRANGE(""https://docs.google.com/spreadsheets/d/1WbE6HOh_eG5_DM53SVfuckYm0VQnhNvuwjql7Tw1FX0/edit?gid=660406182#gid=660406182"", ""'""&amp;D131&amp;""'!H2:H45""),match(E131,IMPORTRANGE(""https://docs.google.com/spreadsheets/d/1W"&amp;"bE6HOh_eG5_DM53SVfuckYm0VQnhNvuwjql7Tw1FX0/edit?gid=660406182#gid=660406182"", ""'""&amp;D131&amp;""'!B2:B45""),0),1))"),"FV0035A")</f>
        <v>FV0035A</v>
      </c>
      <c r="B131" s="229" t="str">
        <f>IFERROR(__xludf.DUMMYFUNCTION("if(E131=506,""-"",INDEX(IMPORTRANGE(""https://docs.google.com/spreadsheets/d/1WbE6HOh_eG5_DM53SVfuckYm0VQnhNvuwjql7Tw1FX0/edit?gid=660406182#gid=660406182"", ""'""&amp;D131&amp;""'!D2:D45""),match(E131,IMPORTRANGE(""https://docs.google.com/spreadsheets/d/1WbE6HOh"&amp;"_eG5_DM53SVfuckYm0VQnhNvuwjql7Tw1FX0/edit?gid=660406182#gid=660406182"", ""'""&amp;D131&amp;""'!B2:B45""),0),1))"),"Keto")</f>
        <v>Keto</v>
      </c>
      <c r="C131" s="135" t="str">
        <f>IFERROR(__xludf.DUMMYFUNCTION("if(A131=""FEA006A"",""Garlic Herb Grilled Chicken"", ifna(INDEX(IMPORTRANGE(""https://docs.google.com/spreadsheets/d/1mnGm3iYGkB4FyqAD-LwwVYksgBMX_SY4qHQa16KgMiw/edit?gid=1956920866#gid=1956920866"", ""'EU Meal Database'!$E$2:$E""),MATCH(A131,IMPORTRANGE("&amp;"""https://docs.google.com/spreadsheets/d/1mnGm3iYGkB4FyqAD-LwwVYksgBMX_SY4qHQa16KgMiw/edit?gid=1956920866#gid=1956920866"",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DB_Product'!$B$2:$B""),MATCH(A131,IMPORTRANGE(""https://docs.google.com/spreadsheets/d/1n4t_JF5P_MLd0hMmhjv1A2rgLKdyee_-mrZZmdZr9G4/edit?gid=670402169#gid=670402169"", ""'Meal DB_Product'!$A$2:$A""),0))"&amp;"))"),"Salmon with spinach pesto")</f>
        <v>Salmon with spinach pesto</v>
      </c>
      <c r="D131" s="286" t="s">
        <v>232</v>
      </c>
      <c r="E131" s="230">
        <v>406.0</v>
      </c>
      <c r="F131" s="62">
        <v>606.0</v>
      </c>
      <c r="G131" s="231">
        <v>306.0</v>
      </c>
      <c r="H131" s="16">
        <v>2873.0</v>
      </c>
      <c r="I131" s="17">
        <v>1741.0</v>
      </c>
      <c r="J131" s="18">
        <v>1703.0</v>
      </c>
      <c r="K131" s="287">
        <v>0.0</v>
      </c>
      <c r="L131" s="243">
        <f t="shared" ref="L131:M131" si="390">H131+20</f>
        <v>2893</v>
      </c>
      <c r="M131" s="244">
        <f t="shared" si="390"/>
        <v>1761</v>
      </c>
      <c r="N131" s="244">
        <f t="shared" si="246"/>
        <v>1723</v>
      </c>
      <c r="O131" s="268">
        <f t="array" ref="O131">iferror(if(INDEX('Slot Selection'!$A$2:$BJ$38, MATCH(E131-400,'Slot Selection'!$A$2:$A$38, 0), MATCH("2026-"&amp;D131,'Slot Selection'!$2:$2, 0)),1,0),0)</f>
        <v>1</v>
      </c>
      <c r="P131" s="269">
        <f t="array" ref="P131">iferror(if(INDEX('Slot Selection'!$A$80:$BJ$116, MATCH(F131-600,'Slot Selection'!$A$80:$A$116, 0), MATCH("2026-"&amp;D131,'Slot Selection'!$80:$80, 0)),1,0),0)</f>
        <v>1</v>
      </c>
      <c r="Q131" s="270">
        <f t="array" ref="Q131">iferror(if(INDEX('Slot Selection'!$A$41:$BJ$77, MATCH(F131-600,'Slot Selection'!$A$41:$A$77, 0), MATCH("2026-"&amp;D131,'Slot Selection'!$41:$41, 0)),1,0),0)</f>
        <v>1</v>
      </c>
      <c r="R131" s="62">
        <f t="shared" ref="R131:T131" si="391">L131*O131</f>
        <v>2893</v>
      </c>
      <c r="S131" s="248">
        <f t="shared" si="391"/>
        <v>1761</v>
      </c>
      <c r="T131" s="248">
        <f t="shared" si="391"/>
        <v>1723</v>
      </c>
      <c r="U131" s="243">
        <f t="shared" ref="U131:W131" si="392">L131-R131</f>
        <v>0</v>
      </c>
      <c r="V131" s="244">
        <f t="shared" si="392"/>
        <v>0</v>
      </c>
      <c r="W131" s="245">
        <f t="shared" si="392"/>
        <v>0</v>
      </c>
    </row>
    <row r="132">
      <c r="A132" s="242" t="str">
        <f>IFERROR(__xludf.DUMMYFUNCTION("if(E132=506,""FEA006A"",INDEX(IMPORTRANGE(""https://docs.google.com/spreadsheets/d/1WbE6HOh_eG5_DM53SVfuckYm0VQnhNvuwjql7Tw1FX0/edit?gid=660406182#gid=660406182"", ""'""&amp;D132&amp;""'!H2:H45""),match(E132,IMPORTRANGE(""https://docs.google.com/spreadsheets/d/1W"&amp;"bE6HOh_eG5_DM53SVfuckYm0VQnhNvuwjql7Tw1FX0/edit?gid=660406182#gid=660406182"", ""'""&amp;D132&amp;""'!B2:B45""),0),1))"),"FV0401A")</f>
        <v>FV0401A</v>
      </c>
      <c r="B132" s="229" t="str">
        <f>IFERROR(__xludf.DUMMYFUNCTION("if(E132=506,""-"",INDEX(IMPORTRANGE(""https://docs.google.com/spreadsheets/d/1WbE6HOh_eG5_DM53SVfuckYm0VQnhNvuwjql7Tw1FX0/edit?gid=660406182#gid=660406182"", ""'""&amp;D132&amp;""'!D2:D45""),match(E132,IMPORTRANGE(""https://docs.google.com/spreadsheets/d/1WbE6HOh"&amp;"_eG5_DM53SVfuckYm0VQnhNvuwjql7Tw1FX0/edit?gid=660406182#gid=660406182"", ""'""&amp;D132&amp;""'!B2:B45""),0),1))"),"Keto")</f>
        <v>Keto</v>
      </c>
      <c r="C132" s="135" t="str">
        <f>IFERROR(__xludf.DUMMYFUNCTION("if(A132=""FEA006A"",""Garlic Herb Grilled Chicken"", ifna(INDEX(IMPORTRANGE(""https://docs.google.com/spreadsheets/d/1mnGm3iYGkB4FyqAD-LwwVYksgBMX_SY4qHQa16KgMiw/edit?gid=1956920866#gid=1956920866"", ""'EU Meal Database'!$E$2:$E""),MATCH(A132,IMPORTRANGE("&amp;"""https://docs.google.com/spreadsheets/d/1mnGm3iYGkB4FyqAD-LwwVYksgBMX_SY4qHQa16KgMiw/edit?gid=1956920866#gid=1956920866"",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DB_Product'!$B$2:$B""),MATCH(A132,IMPORTRANGE(""https://docs.google.com/spreadsheets/d/1n4t_JF5P_MLd0hMmhjv1A2rgLKdyee_-mrZZmdZr9G4/edit?gid=670402169#gid=670402169"", ""'Meal DB_Product'!$A$2:$A""),0))"&amp;"))"),"Pulled chicken with cheddar and bacon")</f>
        <v>Pulled chicken with cheddar and bacon</v>
      </c>
      <c r="D132" s="286" t="s">
        <v>232</v>
      </c>
      <c r="E132" s="230">
        <v>407.0</v>
      </c>
      <c r="F132" s="62">
        <v>607.0</v>
      </c>
      <c r="G132" s="231">
        <v>307.0</v>
      </c>
      <c r="H132" s="16">
        <v>2499.0</v>
      </c>
      <c r="I132" s="17">
        <v>1574.0</v>
      </c>
      <c r="J132" s="18">
        <v>1402.0</v>
      </c>
      <c r="K132" s="287">
        <v>0.0</v>
      </c>
      <c r="L132" s="243">
        <f t="shared" ref="L132:M132" si="393">H132+20</f>
        <v>2519</v>
      </c>
      <c r="M132" s="244">
        <f t="shared" si="393"/>
        <v>1594</v>
      </c>
      <c r="N132" s="244">
        <f t="shared" si="246"/>
        <v>1422</v>
      </c>
      <c r="O132" s="268">
        <f t="array" ref="O132">iferror(if(INDEX('Slot Selection'!$A$2:$BJ$38, MATCH(E132-400,'Slot Selection'!$A$2:$A$38, 0), MATCH("2026-"&amp;D132,'Slot Selection'!$2:$2, 0)),1,0),0)</f>
        <v>1</v>
      </c>
      <c r="P132" s="269">
        <f t="array" ref="P132">iferror(if(INDEX('Slot Selection'!$A$80:$BJ$116, MATCH(F132-600,'Slot Selection'!$A$80:$A$116, 0), MATCH("2026-"&amp;D132,'Slot Selection'!$80:$80, 0)),1,0),0)</f>
        <v>1</v>
      </c>
      <c r="Q132" s="270">
        <f t="array" ref="Q132">iferror(if(INDEX('Slot Selection'!$A$41:$BJ$77, MATCH(F132-600,'Slot Selection'!$A$41:$A$77, 0), MATCH("2026-"&amp;D132,'Slot Selection'!$41:$41, 0)),1,0),0)</f>
        <v>1</v>
      </c>
      <c r="R132" s="62">
        <f t="shared" ref="R132:T132" si="394">L132*O132</f>
        <v>2519</v>
      </c>
      <c r="S132" s="248">
        <f t="shared" si="394"/>
        <v>1594</v>
      </c>
      <c r="T132" s="248">
        <f t="shared" si="394"/>
        <v>1422</v>
      </c>
      <c r="U132" s="243">
        <f t="shared" ref="U132:W132" si="395">L132-R132</f>
        <v>0</v>
      </c>
      <c r="V132" s="244">
        <f t="shared" si="395"/>
        <v>0</v>
      </c>
      <c r="W132" s="245">
        <f t="shared" si="395"/>
        <v>0</v>
      </c>
    </row>
    <row r="133" ht="16.5" customHeight="1">
      <c r="A133" s="242" t="str">
        <f>IFERROR(__xludf.DUMMYFUNCTION("if(E133=506,""FEA006A"",INDEX(IMPORTRANGE(""https://docs.google.com/spreadsheets/d/1WbE6HOh_eG5_DM53SVfuckYm0VQnhNvuwjql7Tw1FX0/edit?gid=660406182#gid=660406182"", ""'""&amp;D133&amp;""'!H2:H45""),match(E133,IMPORTRANGE(""https://docs.google.com/spreadsheets/d/1W"&amp;"bE6HOh_eG5_DM53SVfuckYm0VQnhNvuwjql7Tw1FX0/edit?gid=660406182#gid=660406182"", ""'""&amp;D133&amp;""'!B2:B45""),0),1))"),"FE0024E")</f>
        <v>FE0024E</v>
      </c>
      <c r="B133" s="229" t="str">
        <f>IFERROR(__xludf.DUMMYFUNCTION("if(E133=506,""-"",INDEX(IMPORTRANGE(""https://docs.google.com/spreadsheets/d/1WbE6HOh_eG5_DM53SVfuckYm0VQnhNvuwjql7Tw1FX0/edit?gid=660406182#gid=660406182"", ""'""&amp;D133&amp;""'!D2:D45""),match(E133,IMPORTRANGE(""https://docs.google.com/spreadsheets/d/1WbE6HOh"&amp;"_eG5_DM53SVfuckYm0VQnhNvuwjql7Tw1FX0/edit?gid=660406182#gid=660406182"", ""'""&amp;D133&amp;""'!B2:B45""),0),1))"),"Keto")</f>
        <v>Keto</v>
      </c>
      <c r="C133" s="135" t="str">
        <f>IFERROR(__xludf.DUMMYFUNCTION("if(A133=""FEA006A"",""Garlic Herb Grilled Chicken"", ifna(INDEX(IMPORTRANGE(""https://docs.google.com/spreadsheets/d/1mnGm3iYGkB4FyqAD-LwwVYksgBMX_SY4qHQa16KgMiw/edit?gid=1956920866#gid=1956920866"", ""'EU Meal Database'!$E$2:$E""),MATCH(A133,IMPORTRANGE("&amp;"""https://docs.google.com/spreadsheets/d/1mnGm3iYGkB4FyqAD-LwwVYksgBMX_SY4qHQa16KgMiw/edit?gid=1956920866#gid=1956920866"",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DB_Product'!$B$2:$B""),MATCH(A133,IMPORTRANGE(""https://docs.google.com/spreadsheets/d/1n4t_JF5P_MLd0hMmhjv1A2rgLKdyee_-mrZZmdZr9G4/edit?gid=670402169#gid=670402169"", ""'Meal DB_Product'!$A$2:$A""),0))"&amp;"))"),"Chicken in tomato cream sauce")</f>
        <v>Chicken in tomato cream sauce</v>
      </c>
      <c r="D133" s="286" t="s">
        <v>232</v>
      </c>
      <c r="E133" s="230">
        <v>408.0</v>
      </c>
      <c r="F133" s="62">
        <v>608.0</v>
      </c>
      <c r="G133" s="231">
        <v>308.0</v>
      </c>
      <c r="H133" s="16">
        <v>1955.0</v>
      </c>
      <c r="I133" s="17">
        <v>1220.0</v>
      </c>
      <c r="J133" s="18">
        <v>1175.0</v>
      </c>
      <c r="K133" s="287">
        <v>0.0</v>
      </c>
      <c r="L133" s="243">
        <f t="shared" ref="L133:M133" si="396">H133+20</f>
        <v>1975</v>
      </c>
      <c r="M133" s="244">
        <f t="shared" si="396"/>
        <v>1240</v>
      </c>
      <c r="N133" s="244">
        <f t="shared" si="246"/>
        <v>1195</v>
      </c>
      <c r="O133" s="268">
        <f t="array" ref="O133">iferror(if(INDEX('Slot Selection'!$A$2:$BJ$38, MATCH(E133-400,'Slot Selection'!$A$2:$A$38, 0), MATCH("2026-"&amp;D133,'Slot Selection'!$2:$2, 0)),1,0),0)</f>
        <v>0</v>
      </c>
      <c r="P133" s="269">
        <f t="array" ref="P133">iferror(if(INDEX('Slot Selection'!$A$80:$BJ$116, MATCH(F133-600,'Slot Selection'!$A$80:$A$116, 0), MATCH("2026-"&amp;D133,'Slot Selection'!$80:$80, 0)),1,0),0)</f>
        <v>0</v>
      </c>
      <c r="Q133" s="270">
        <f t="array" ref="Q133">iferror(if(INDEX('Slot Selection'!$A$41:$BJ$77, MATCH(F133-600,'Slot Selection'!$A$41:$A$77, 0), MATCH("2026-"&amp;D133,'Slot Selection'!$41:$41, 0)),1,0),0)</f>
        <v>0</v>
      </c>
      <c r="R133" s="62">
        <f t="shared" ref="R133:T133" si="397">L133*O133</f>
        <v>0</v>
      </c>
      <c r="S133" s="248">
        <f t="shared" si="397"/>
        <v>0</v>
      </c>
      <c r="T133" s="248">
        <f t="shared" si="397"/>
        <v>0</v>
      </c>
      <c r="U133" s="243">
        <f t="shared" ref="U133:W133" si="398">L133-R133</f>
        <v>1975</v>
      </c>
      <c r="V133" s="244">
        <f t="shared" si="398"/>
        <v>1240</v>
      </c>
      <c r="W133" s="245">
        <f t="shared" si="398"/>
        <v>1195</v>
      </c>
    </row>
    <row r="134">
      <c r="A134" s="242" t="str">
        <f>IFERROR(__xludf.DUMMYFUNCTION("if(E134=506,""FEA006A"",INDEX(IMPORTRANGE(""https://docs.google.com/spreadsheets/d/1WbE6HOh_eG5_DM53SVfuckYm0VQnhNvuwjql7Tw1FX0/edit?gid=660406182#gid=660406182"", ""'""&amp;D134&amp;""'!H2:H45""),match(E134,IMPORTRANGE(""https://docs.google.com/spreadsheets/d/1W"&amp;"bE6HOh_eG5_DM53SVfuckYm0VQnhNvuwjql7Tw1FX0/edit?gid=660406182#gid=660406182"", ""'""&amp;D134&amp;""'!B2:B45""),0),1))"),"FE0121C")</f>
        <v>FE0121C</v>
      </c>
      <c r="B134" s="229" t="str">
        <f>IFERROR(__xludf.DUMMYFUNCTION("if(E134=506,""-"",INDEX(IMPORTRANGE(""https://docs.google.com/spreadsheets/d/1WbE6HOh_eG5_DM53SVfuckYm0VQnhNvuwjql7Tw1FX0/edit?gid=660406182#gid=660406182"", ""'""&amp;D134&amp;""'!D2:D45""),match(E134,IMPORTRANGE(""https://docs.google.com/spreadsheets/d/1WbE6HOh"&amp;"_eG5_DM53SVfuckYm0VQnhNvuwjql7Tw1FX0/edit?gid=660406182#gid=660406182"", ""'""&amp;D134&amp;""'!B2:B45""),0),1))"),"Veggie")</f>
        <v>Veggie</v>
      </c>
      <c r="C134" s="135" t="str">
        <f>IFERROR(__xludf.DUMMYFUNCTION("if(A134=""FEA006A"",""Garlic Herb Grilled Chicken"", ifna(INDEX(IMPORTRANGE(""https://docs.google.com/spreadsheets/d/1mnGm3iYGkB4FyqAD-LwwVYksgBMX_SY4qHQa16KgMiw/edit?gid=1956920866#gid=1956920866"", ""'EU Meal Database'!$E$2:$E""),MATCH(A134,IMPORTRANGE("&amp;"""https://docs.google.com/spreadsheets/d/1mnGm3iYGkB4FyqAD-LwwVYksgBMX_SY4qHQa16KgMiw/edit?gid=1956920866#gid=1956920866"",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DB_Product'!$B$2:$B""),MATCH(A134,IMPORTRANGE(""https://docs.google.com/spreadsheets/d/1n4t_JF5P_MLd0hMmhjv1A2rgLKdyee_-mrZZmdZr9G4/edit?gid=670402169#gid=670402169"", ""'Meal DB_Product'!$A$2:$A""),0))"&amp;"))"),"Mexican style corn cake")</f>
        <v>Mexican style corn cake</v>
      </c>
      <c r="D134" s="286" t="s">
        <v>232</v>
      </c>
      <c r="E134" s="230">
        <v>409.0</v>
      </c>
      <c r="F134" s="62">
        <v>609.0</v>
      </c>
      <c r="G134" s="231">
        <v>309.0</v>
      </c>
      <c r="H134" s="16">
        <v>451.0</v>
      </c>
      <c r="I134" s="17">
        <v>202.0</v>
      </c>
      <c r="J134" s="18">
        <v>236.0</v>
      </c>
      <c r="K134" s="287">
        <v>0.0</v>
      </c>
      <c r="L134" s="243">
        <f t="shared" ref="L134:M134" si="399">H134+20</f>
        <v>471</v>
      </c>
      <c r="M134" s="244">
        <f t="shared" si="399"/>
        <v>222</v>
      </c>
      <c r="N134" s="244">
        <f t="shared" si="246"/>
        <v>256</v>
      </c>
      <c r="O134" s="268">
        <f t="array" ref="O134">iferror(if(INDEX('Slot Selection'!$A$2:$BJ$38, MATCH(E134-400,'Slot Selection'!$A$2:$A$38, 0), MATCH("2026-"&amp;D134,'Slot Selection'!$2:$2, 0)),1,0),0)</f>
        <v>1</v>
      </c>
      <c r="P134" s="269">
        <f t="array" ref="P134">iferror(if(INDEX('Slot Selection'!$A$80:$BJ$116, MATCH(F134-600,'Slot Selection'!$A$80:$A$116, 0), MATCH("2026-"&amp;D134,'Slot Selection'!$80:$80, 0)),1,0),0)</f>
        <v>1</v>
      </c>
      <c r="Q134" s="270">
        <f t="array" ref="Q134">iferror(if(INDEX('Slot Selection'!$A$41:$BJ$77, MATCH(F134-600,'Slot Selection'!$A$41:$A$77, 0), MATCH("2026-"&amp;D134,'Slot Selection'!$41:$41, 0)),1,0),0)</f>
        <v>1</v>
      </c>
      <c r="R134" s="62">
        <f t="shared" ref="R134:T134" si="400">L134*O134</f>
        <v>471</v>
      </c>
      <c r="S134" s="248">
        <f t="shared" si="400"/>
        <v>222</v>
      </c>
      <c r="T134" s="248">
        <f t="shared" si="400"/>
        <v>256</v>
      </c>
      <c r="U134" s="243">
        <f t="shared" ref="U134:W134" si="401">L134-R134</f>
        <v>0</v>
      </c>
      <c r="V134" s="248">
        <f t="shared" si="401"/>
        <v>0</v>
      </c>
      <c r="W134" s="249">
        <f t="shared" si="401"/>
        <v>0</v>
      </c>
    </row>
    <row r="135">
      <c r="A135" s="242" t="str">
        <f>IFERROR(__xludf.DUMMYFUNCTION("if(E135=506,""FEA006A"",INDEX(IMPORTRANGE(""https://docs.google.com/spreadsheets/d/1WbE6HOh_eG5_DM53SVfuckYm0VQnhNvuwjql7Tw1FX0/edit?gid=660406182#gid=660406182"", ""'""&amp;D135&amp;""'!H2:H45""),match(E135,IMPORTRANGE(""https://docs.google.com/spreadsheets/d/1W"&amp;"bE6HOh_eG5_DM53SVfuckYm0VQnhNvuwjql7Tw1FX0/edit?gid=660406182#gid=660406182"", ""'""&amp;D135&amp;""'!B2:B45""),0),1))"),"FE0131C")</f>
        <v>FE0131C</v>
      </c>
      <c r="B135" s="229" t="str">
        <f>IFERROR(__xludf.DUMMYFUNCTION("if(E135=506,""-"",INDEX(IMPORTRANGE(""https://docs.google.com/spreadsheets/d/1WbE6HOh_eG5_DM53SVfuckYm0VQnhNvuwjql7Tw1FX0/edit?gid=660406182#gid=660406182"", ""'""&amp;D135&amp;""'!D2:D45""),match(E135,IMPORTRANGE(""https://docs.google.com/spreadsheets/d/1WbE6HOh"&amp;"_eG5_DM53SVfuckYm0VQnhNvuwjql7Tw1FX0/edit?gid=660406182#gid=660406182"", ""'""&amp;D135&amp;""'!B2:B45""),0),1))"),"Veggie")</f>
        <v>Veggie</v>
      </c>
      <c r="C135" s="135" t="str">
        <f>IFERROR(__xludf.DUMMYFUNCTION("if(A135=""FEA006A"",""Garlic Herb Grilled Chicken"", ifna(INDEX(IMPORTRANGE(""https://docs.google.com/spreadsheets/d/1mnGm3iYGkB4FyqAD-LwwVYksgBMX_SY4qHQa16KgMiw/edit?gid=1956920866#gid=1956920866"", ""'EU Meal Database'!$E$2:$E""),MATCH(A135,IMPORTRANGE("&amp;"""https://docs.google.com/spreadsheets/d/1mnGm3iYGkB4FyqAD-LwwVYksgBMX_SY4qHQa16KgMiw/edit?gid=1956920866#gid=1956920866"",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DB_Product'!$B$2:$B""),MATCH(A135,IMPORTRANGE(""https://docs.google.com/spreadsheets/d/1n4t_JF5P_MLd0hMmhjv1A2rgLKdyee_-mrZZmdZr9G4/edit?gid=670402169#gid=670402169"", ""'Meal DB_Product'!$A$2:$A""),0))"&amp;"))"),"Black bean bowl and enchilada sauce")</f>
        <v>Black bean bowl and enchilada sauce</v>
      </c>
      <c r="D135" s="286" t="s">
        <v>232</v>
      </c>
      <c r="E135" s="230">
        <v>410.0</v>
      </c>
      <c r="F135" s="62">
        <v>610.0</v>
      </c>
      <c r="G135" s="231">
        <v>310.0</v>
      </c>
      <c r="H135" s="16">
        <v>593.0</v>
      </c>
      <c r="I135" s="17">
        <v>271.0</v>
      </c>
      <c r="J135" s="18">
        <v>284.0</v>
      </c>
      <c r="K135" s="287">
        <v>0.0</v>
      </c>
      <c r="L135" s="243">
        <f t="shared" ref="L135:M135" si="402">H135+20</f>
        <v>613</v>
      </c>
      <c r="M135" s="244">
        <f t="shared" si="402"/>
        <v>291</v>
      </c>
      <c r="N135" s="244">
        <f t="shared" si="246"/>
        <v>304</v>
      </c>
      <c r="O135" s="268">
        <f t="array" ref="O135">iferror(if(INDEX('Slot Selection'!$A$2:$BJ$38, MATCH(E135-400,'Slot Selection'!$A$2:$A$38, 0), MATCH("2026-"&amp;D135,'Slot Selection'!$2:$2, 0)),1,0),0)</f>
        <v>1</v>
      </c>
      <c r="P135" s="269">
        <f t="array" ref="P135">iferror(if(INDEX('Slot Selection'!$A$80:$BJ$116, MATCH(F135-600,'Slot Selection'!$A$80:$A$116, 0), MATCH("2026-"&amp;D135,'Slot Selection'!$80:$80, 0)),1,0),0)</f>
        <v>1</v>
      </c>
      <c r="Q135" s="270">
        <f t="array" ref="Q135">iferror(if(INDEX('Slot Selection'!$A$41:$BJ$77, MATCH(F135-600,'Slot Selection'!$A$41:$A$77, 0), MATCH("2026-"&amp;D135,'Slot Selection'!$41:$41, 0)),1,0),0)</f>
        <v>1</v>
      </c>
      <c r="R135" s="62">
        <f t="shared" ref="R135:T135" si="403">L135*O135</f>
        <v>613</v>
      </c>
      <c r="S135" s="248">
        <f t="shared" si="403"/>
        <v>291</v>
      </c>
      <c r="T135" s="248">
        <f t="shared" si="403"/>
        <v>304</v>
      </c>
      <c r="U135" s="243">
        <f t="shared" ref="U135:W135" si="404">L135-R135</f>
        <v>0</v>
      </c>
      <c r="V135" s="248">
        <f t="shared" si="404"/>
        <v>0</v>
      </c>
      <c r="W135" s="249">
        <f t="shared" si="404"/>
        <v>0</v>
      </c>
    </row>
    <row r="136">
      <c r="A136" s="242" t="str">
        <f>IFERROR(__xludf.DUMMYFUNCTION("if(E136=506,""FEA006A"",INDEX(IMPORTRANGE(""https://docs.google.com/spreadsheets/d/1WbE6HOh_eG5_DM53SVfuckYm0VQnhNvuwjql7Tw1FX0/edit?gid=660406182#gid=660406182"", ""'""&amp;D136&amp;""'!H2:H45""),match(E136,IMPORTRANGE(""https://docs.google.com/spreadsheets/d/1W"&amp;"bE6HOh_eG5_DM53SVfuckYm0VQnhNvuwjql7Tw1FX0/edit?gid=660406182#gid=660406182"", ""'""&amp;D136&amp;""'!B2:B45""),0),1))"),"FE0169H")</f>
        <v>FE0169H</v>
      </c>
      <c r="B136" s="229" t="str">
        <f>IFERROR(__xludf.DUMMYFUNCTION("if(E136=506,""-"",INDEX(IMPORTRANGE(""https://docs.google.com/spreadsheets/d/1WbE6HOh_eG5_DM53SVfuckYm0VQnhNvuwjql7Tw1FX0/edit?gid=660406182#gid=660406182"", ""'""&amp;D136&amp;""'!D2:D45""),match(E136,IMPORTRANGE(""https://docs.google.com/spreadsheets/d/1WbE6HOh"&amp;"_eG5_DM53SVfuckYm0VQnhNvuwjql7Tw1FX0/edit?gid=660406182#gid=660406182"", ""'""&amp;D136&amp;""'!B2:B45""),0),1))"),"Flexible")</f>
        <v>Flexible</v>
      </c>
      <c r="C136" s="135" t="str">
        <f>IFERROR(__xludf.DUMMYFUNCTION("if(A136=""FEA006A"",""Garlic Herb Grilled Chicken"", ifna(INDEX(IMPORTRANGE(""https://docs.google.com/spreadsheets/d/1mnGm3iYGkB4FyqAD-LwwVYksgBMX_SY4qHQa16KgMiw/edit?gid=1956920866#gid=1956920866"", ""'EU Meal Database'!$E$2:$E""),MATCH(A136,IMPORTRANGE("&amp;"""https://docs.google.com/spreadsheets/d/1mnGm3iYGkB4FyqAD-LwwVYksgBMX_SY4qHQa16KgMiw/edit?gid=1956920866#gid=1956920866"",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DB_Product'!$B$2:$B""),MATCH(A136,IMPORTRANGE(""https://docs.google.com/spreadsheets/d/1n4t_JF5P_MLd0hMmhjv1A2rgLKdyee_-mrZZmdZr9G4/edit?gid=670402169#gid=670402169"", ""'Meal DB_Product'!$A$2:$A""),0))"&amp;"))"),"Pork tenderloin in creamy garlic-mustard sauce")</f>
        <v>Pork tenderloin in creamy garlic-mustard sauce</v>
      </c>
      <c r="D136" s="286" t="s">
        <v>232</v>
      </c>
      <c r="E136" s="230">
        <v>411.0</v>
      </c>
      <c r="F136" s="62">
        <v>611.0</v>
      </c>
      <c r="G136" s="231">
        <v>311.0</v>
      </c>
      <c r="H136" s="16">
        <v>717.0</v>
      </c>
      <c r="I136" s="17">
        <v>429.0</v>
      </c>
      <c r="J136" s="18">
        <v>347.0</v>
      </c>
      <c r="K136" s="287">
        <v>0.0</v>
      </c>
      <c r="L136" s="243">
        <f t="shared" ref="L136:M136" si="405">H136+20</f>
        <v>737</v>
      </c>
      <c r="M136" s="244">
        <f t="shared" si="405"/>
        <v>449</v>
      </c>
      <c r="N136" s="244">
        <f t="shared" si="246"/>
        <v>367</v>
      </c>
      <c r="O136" s="268">
        <f t="array" ref="O136">iferror(if(INDEX('Slot Selection'!$A$2:$BJ$38, MATCH(E136-400,'Slot Selection'!$A$2:$A$38, 0), MATCH("2026-"&amp;D136,'Slot Selection'!$2:$2, 0)),1,0),0)</f>
        <v>0</v>
      </c>
      <c r="P136" s="269">
        <f t="array" ref="P136">iferror(if(INDEX('Slot Selection'!$A$80:$BJ$116, MATCH(F136-600,'Slot Selection'!$A$80:$A$116, 0), MATCH("2026-"&amp;D136,'Slot Selection'!$80:$80, 0)),1,0),0)</f>
        <v>0</v>
      </c>
      <c r="Q136" s="270">
        <f t="array" ref="Q136">iferror(if(INDEX('Slot Selection'!$A$41:$BJ$77, MATCH(F136-600,'Slot Selection'!$A$41:$A$77, 0), MATCH("2026-"&amp;D136,'Slot Selection'!$41:$41, 0)),1,0),0)</f>
        <v>0</v>
      </c>
      <c r="R136" s="62">
        <f t="shared" ref="R136:T136" si="406">L136*O136</f>
        <v>0</v>
      </c>
      <c r="S136" s="248">
        <f t="shared" si="406"/>
        <v>0</v>
      </c>
      <c r="T136" s="248">
        <f t="shared" si="406"/>
        <v>0</v>
      </c>
      <c r="U136" s="243">
        <f t="shared" ref="U136:W136" si="407">L136-R136</f>
        <v>737</v>
      </c>
      <c r="V136" s="248">
        <f t="shared" si="407"/>
        <v>449</v>
      </c>
      <c r="W136" s="249">
        <f t="shared" si="407"/>
        <v>367</v>
      </c>
    </row>
    <row r="137">
      <c r="A137" s="242" t="str">
        <f>IFERROR(__xludf.DUMMYFUNCTION("if(E137=506,""FEA006A"",INDEX(IMPORTRANGE(""https://docs.google.com/spreadsheets/d/1WbE6HOh_eG5_DM53SVfuckYm0VQnhNvuwjql7Tw1FX0/edit?gid=660406182#gid=660406182"", ""'""&amp;D137&amp;""'!H2:H45""),match(E137,IMPORTRANGE(""https://docs.google.com/spreadsheets/d/1W"&amp;"bE6HOh_eG5_DM53SVfuckYm0VQnhNvuwjql7Tw1FX0/edit?gid=660406182#gid=660406182"", ""'""&amp;D137&amp;""'!B2:B45""),0),1))"),"FV1145A")</f>
        <v>FV1145A</v>
      </c>
      <c r="B137" s="229" t="str">
        <f>IFERROR(__xludf.DUMMYFUNCTION("if(E137=506,""-"",INDEX(IMPORTRANGE(""https://docs.google.com/spreadsheets/d/1WbE6HOh_eG5_DM53SVfuckYm0VQnhNvuwjql7Tw1FX0/edit?gid=660406182#gid=660406182"", ""'""&amp;D137&amp;""'!D2:D45""),match(E137,IMPORTRANGE(""https://docs.google.com/spreadsheets/d/1WbE6HOh"&amp;"_eG5_DM53SVfuckYm0VQnhNvuwjql7Tw1FX0/edit?gid=660406182#gid=660406182"", ""'""&amp;D137&amp;""'!B2:B45""),0),1))"),"P+")</f>
        <v>P+</v>
      </c>
      <c r="C137" s="135" t="str">
        <f>IFERROR(__xludf.DUMMYFUNCTION("if(A137=""FEA006A"",""Garlic Herb Grilled Chicken"", ifna(INDEX(IMPORTRANGE(""https://docs.google.com/spreadsheets/d/1mnGm3iYGkB4FyqAD-LwwVYksgBMX_SY4qHQa16KgMiw/edit?gid=1956920866#gid=1956920866"", ""'EU Meal Database'!$E$2:$E""),MATCH(A137,IMPORTRANGE("&amp;"""https://docs.google.com/spreadsheets/d/1mnGm3iYGkB4FyqAD-LwwVYksgBMX_SY4qHQa16KgMiw/edit?gid=1956920866#gid=1956920866"",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DB_Product'!$B$2:$B""),MATCH(A137,IMPORTRANGE(""https://docs.google.com/spreadsheets/d/1n4t_JF5P_MLd0hMmhjv1A2rgLKdyee_-mrZZmdZr9G4/edit?gid=670402169#gid=670402169"", ""'Meal DB_Product'!$A$2:$A""),0))"&amp;"))"),"Roasted Salmon &amp; Dill Yogurt")</f>
        <v>Roasted Salmon &amp; Dill Yogurt</v>
      </c>
      <c r="D137" s="286" t="s">
        <v>232</v>
      </c>
      <c r="E137" s="230">
        <v>412.0</v>
      </c>
      <c r="F137" s="62">
        <v>612.0</v>
      </c>
      <c r="G137" s="231">
        <v>312.0</v>
      </c>
      <c r="H137" s="16">
        <v>3296.0</v>
      </c>
      <c r="I137" s="17">
        <v>1499.0</v>
      </c>
      <c r="J137" s="18">
        <v>1276.0</v>
      </c>
      <c r="K137" s="287">
        <v>0.0</v>
      </c>
      <c r="L137" s="243">
        <f t="shared" ref="L137:M137" si="408">H137+20</f>
        <v>3316</v>
      </c>
      <c r="M137" s="244">
        <f t="shared" si="408"/>
        <v>1519</v>
      </c>
      <c r="N137" s="244">
        <f t="shared" si="246"/>
        <v>1296</v>
      </c>
      <c r="O137" s="268">
        <f t="array" ref="O137">iferror(if(INDEX('Slot Selection'!$A$2:$BJ$38, MATCH(E137-400,'Slot Selection'!$A$2:$A$38, 0), MATCH("2026-"&amp;D137,'Slot Selection'!$2:$2, 0)),1,0),0)</f>
        <v>1</v>
      </c>
      <c r="P137" s="269">
        <f t="array" ref="P137">iferror(if(INDEX('Slot Selection'!$A$80:$BJ$116, MATCH(F137-600,'Slot Selection'!$A$80:$A$116, 0), MATCH("2026-"&amp;D137,'Slot Selection'!$80:$80, 0)),1,0),0)</f>
        <v>1</v>
      </c>
      <c r="Q137" s="270">
        <f t="array" ref="Q137">iferror(if(INDEX('Slot Selection'!$A$41:$BJ$77, MATCH(F137-600,'Slot Selection'!$A$41:$A$77, 0), MATCH("2026-"&amp;D137,'Slot Selection'!$41:$41, 0)),1,0),0)</f>
        <v>1</v>
      </c>
      <c r="R137" s="62">
        <f t="shared" ref="R137:T137" si="409">L137*O137</f>
        <v>3316</v>
      </c>
      <c r="S137" s="248">
        <f t="shared" si="409"/>
        <v>1519</v>
      </c>
      <c r="T137" s="248">
        <f t="shared" si="409"/>
        <v>1296</v>
      </c>
      <c r="U137" s="243">
        <f t="shared" ref="U137:W137" si="410">L137-R137</f>
        <v>0</v>
      </c>
      <c r="V137" s="244">
        <f t="shared" si="410"/>
        <v>0</v>
      </c>
      <c r="W137" s="245">
        <f t="shared" si="410"/>
        <v>0</v>
      </c>
    </row>
    <row r="138">
      <c r="A138" s="242" t="str">
        <f>IFERROR(__xludf.DUMMYFUNCTION("if(E138=506,""FEA006A"",INDEX(IMPORTRANGE(""https://docs.google.com/spreadsheets/d/1WbE6HOh_eG5_DM53SVfuckYm0VQnhNvuwjql7Tw1FX0/edit?gid=660406182#gid=660406182"", ""'""&amp;D138&amp;""'!H2:H45""),match(E138,IMPORTRANGE(""https://docs.google.com/spreadsheets/d/1W"&amp;"bE6HOh_eG5_DM53SVfuckYm0VQnhNvuwjql7Tw1FX0/edit?gid=660406182#gid=660406182"", ""'""&amp;D138&amp;""'!B2:B45""),0),1))"),"FE0890B")</f>
        <v>FE0890B</v>
      </c>
      <c r="B138" s="229" t="str">
        <f>IFERROR(__xludf.DUMMYFUNCTION("if(E138=506,""-"",INDEX(IMPORTRANGE(""https://docs.google.com/spreadsheets/d/1WbE6HOh_eG5_DM53SVfuckYm0VQnhNvuwjql7Tw1FX0/edit?gid=660406182#gid=660406182"", ""'""&amp;D138&amp;""'!D2:D45""),match(E138,IMPORTRANGE(""https://docs.google.com/spreadsheets/d/1WbE6HOh"&amp;"_eG5_DM53SVfuckYm0VQnhNvuwjql7Tw1FX0/edit?gid=660406182#gid=660406182"", ""'""&amp;D138&amp;""'!B2:B45""),0),1))"),"CS")</f>
        <v>CS</v>
      </c>
      <c r="C138" s="135" t="str">
        <f>IFERROR(__xludf.DUMMYFUNCTION("if(A138=""FEA006A"",""Garlic Herb Grilled Chicken"", ifna(INDEX(IMPORTRANGE(""https://docs.google.com/spreadsheets/d/1mnGm3iYGkB4FyqAD-LwwVYksgBMX_SY4qHQa16KgMiw/edit?gid=1956920866#gid=1956920866"", ""'EU Meal Database'!$E$2:$E""),MATCH(A138,IMPORTRANGE("&amp;"""https://docs.google.com/spreadsheets/d/1mnGm3iYGkB4FyqAD-LwwVYksgBMX_SY4qHQa16KgMiw/edit?gid=1956920866#gid=1956920866"",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DB_Product'!$B$2:$B""),MATCH(A138,IMPORTRANGE(""https://docs.google.com/spreadsheets/d/1n4t_JF5P_MLd0hMmhjv1A2rgLKdyee_-mrZZmdZr9G4/edit?gid=670402169#gid=670402169"", ""'Meal DB_Product'!$A$2:$A""),0))"&amp;"))"),"Pork tenderloin with apple-mustard sauce")</f>
        <v>Pork tenderloin with apple-mustard sauce</v>
      </c>
      <c r="D138" s="286" t="s">
        <v>232</v>
      </c>
      <c r="E138" s="230">
        <v>413.0</v>
      </c>
      <c r="F138" s="62">
        <v>613.0</v>
      </c>
      <c r="G138" s="231">
        <v>313.0</v>
      </c>
      <c r="H138" s="16">
        <v>4121.0</v>
      </c>
      <c r="I138" s="17">
        <v>1998.0</v>
      </c>
      <c r="J138" s="18">
        <v>1576.0</v>
      </c>
      <c r="K138" s="287">
        <v>0.0</v>
      </c>
      <c r="L138" s="243">
        <f t="shared" ref="L138:M138" si="411">H138+20</f>
        <v>4141</v>
      </c>
      <c r="M138" s="244">
        <f t="shared" si="411"/>
        <v>2018</v>
      </c>
      <c r="N138" s="244">
        <f t="shared" si="246"/>
        <v>1596</v>
      </c>
      <c r="O138" s="268">
        <f t="array" ref="O138">iferror(if(INDEX('Slot Selection'!$A$2:$BJ$38, MATCH(E138-400,'Slot Selection'!$A$2:$A$38, 0), MATCH("2026-"&amp;D138,'Slot Selection'!$2:$2, 0)),1,0),0)</f>
        <v>1</v>
      </c>
      <c r="P138" s="269">
        <f t="array" ref="P138">iferror(if(INDEX('Slot Selection'!$A$80:$BJ$116, MATCH(F138-600,'Slot Selection'!$A$80:$A$116, 0), MATCH("2026-"&amp;D138,'Slot Selection'!$80:$80, 0)),1,0),0)</f>
        <v>1</v>
      </c>
      <c r="Q138" s="270">
        <f t="array" ref="Q138">iferror(if(INDEX('Slot Selection'!$A$41:$BJ$77, MATCH(F138-600,'Slot Selection'!$A$41:$A$77, 0), MATCH("2026-"&amp;D138,'Slot Selection'!$41:$41, 0)),1,0),0)</f>
        <v>1</v>
      </c>
      <c r="R138" s="62">
        <f t="shared" ref="R138:T138" si="412">L138*O138</f>
        <v>4141</v>
      </c>
      <c r="S138" s="248">
        <f t="shared" si="412"/>
        <v>2018</v>
      </c>
      <c r="T138" s="248">
        <f t="shared" si="412"/>
        <v>1596</v>
      </c>
      <c r="U138" s="243">
        <f t="shared" ref="U138:W138" si="413">L138-R138</f>
        <v>0</v>
      </c>
      <c r="V138" s="244">
        <f t="shared" si="413"/>
        <v>0</v>
      </c>
      <c r="W138" s="245">
        <f t="shared" si="413"/>
        <v>0</v>
      </c>
    </row>
    <row r="139">
      <c r="A139" s="242" t="str">
        <f>IFERROR(__xludf.DUMMYFUNCTION("if(E139=506,""FEA006A"",INDEX(IMPORTRANGE(""https://docs.google.com/spreadsheets/d/1WbE6HOh_eG5_DM53SVfuckYm0VQnhNvuwjql7Tw1FX0/edit?gid=660406182#gid=660406182"", ""'""&amp;D139&amp;""'!H2:H45""),match(E139,IMPORTRANGE(""https://docs.google.com/spreadsheets/d/1W"&amp;"bE6HOh_eG5_DM53SVfuckYm0VQnhNvuwjql7Tw1FX0/edit?gid=660406182#gid=660406182"", ""'""&amp;D139&amp;""'!B2:B45""),0),1))"),"FE1068A")</f>
        <v>FE1068A</v>
      </c>
      <c r="B139" s="229" t="str">
        <f>IFERROR(__xludf.DUMMYFUNCTION("if(E139=506,""-"",INDEX(IMPORTRANGE(""https://docs.google.com/spreadsheets/d/1WbE6HOh_eG5_DM53SVfuckYm0VQnhNvuwjql7Tw1FX0/edit?gid=660406182#gid=660406182"", ""'""&amp;D139&amp;""'!D2:D45""),match(E139,IMPORTRANGE(""https://docs.google.com/spreadsheets/d/1WbE6HOh"&amp;"_eG5_DM53SVfuckYm0VQnhNvuwjql7Tw1FX0/edit?gid=660406182#gid=660406182"", ""'""&amp;D139&amp;""'!B2:B45""),0),1))"),"Flexible")</f>
        <v>Flexible</v>
      </c>
      <c r="C139" s="135" t="str">
        <f>IFERROR(__xludf.DUMMYFUNCTION("if(A139=""FEA006A"",""Garlic Herb Grilled Chicken"", ifna(INDEX(IMPORTRANGE(""https://docs.google.com/spreadsheets/d/1mnGm3iYGkB4FyqAD-LwwVYksgBMX_SY4qHQa16KgMiw/edit?gid=1956920866#gid=1956920866"", ""'EU Meal Database'!$E$2:$E""),MATCH(A139,IMPORTRANGE("&amp;"""https://docs.google.com/spreadsheets/d/1mnGm3iYGkB4FyqAD-LwwVYksgBMX_SY4qHQa16KgMiw/edit?gid=1956920866#gid=1956920866"",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DB_Product'!$B$2:$B""),MATCH(A139,IMPORTRANGE(""https://docs.google.com/spreadsheets/d/1n4t_JF5P_MLd0hMmhjv1A2rgLKdyee_-mrZZmdZr9G4/edit?gid=670402169#gid=670402169"", ""'Meal DB_Product'!$A$2:$A""),0))"&amp;"))"),"Moroccan-style chicken thighs &amp; tomato sauce")</f>
        <v>Moroccan-style chicken thighs &amp; tomato sauce</v>
      </c>
      <c r="D139" s="286" t="s">
        <v>232</v>
      </c>
      <c r="E139" s="230">
        <v>414.0</v>
      </c>
      <c r="F139" s="62">
        <v>614.0</v>
      </c>
      <c r="G139" s="231">
        <v>314.0</v>
      </c>
      <c r="H139" s="16">
        <v>1254.0</v>
      </c>
      <c r="I139" s="17">
        <v>681.0</v>
      </c>
      <c r="J139" s="18">
        <v>722.0</v>
      </c>
      <c r="K139" s="287">
        <v>0.0</v>
      </c>
      <c r="L139" s="243">
        <f t="shared" ref="L139:M139" si="414">H139+20</f>
        <v>1274</v>
      </c>
      <c r="M139" s="244">
        <f t="shared" si="414"/>
        <v>701</v>
      </c>
      <c r="N139" s="244">
        <f t="shared" si="246"/>
        <v>742</v>
      </c>
      <c r="O139" s="268">
        <f t="array" ref="O139">iferror(if(INDEX('Slot Selection'!$A$2:$BJ$38, MATCH(E139-400,'Slot Selection'!$A$2:$A$38, 0), MATCH("2026-"&amp;D139,'Slot Selection'!$2:$2, 0)),1,0),0)</f>
        <v>1</v>
      </c>
      <c r="P139" s="269">
        <f t="array" ref="P139">iferror(if(INDEX('Slot Selection'!$A$80:$BJ$116, MATCH(F139-600,'Slot Selection'!$A$80:$A$116, 0), MATCH("2026-"&amp;D139,'Slot Selection'!$80:$80, 0)),1,0),0)</f>
        <v>1</v>
      </c>
      <c r="Q139" s="270">
        <f t="array" ref="Q139">iferror(if(INDEX('Slot Selection'!$A$41:$BJ$77, MATCH(F139-600,'Slot Selection'!$A$41:$A$77, 0), MATCH("2026-"&amp;D139,'Slot Selection'!$41:$41, 0)),1,0),0)</f>
        <v>1</v>
      </c>
      <c r="R139" s="62">
        <f t="shared" ref="R139:T139" si="415">L139*O139</f>
        <v>1274</v>
      </c>
      <c r="S139" s="248">
        <f t="shared" si="415"/>
        <v>701</v>
      </c>
      <c r="T139" s="248">
        <f t="shared" si="415"/>
        <v>742</v>
      </c>
      <c r="U139" s="243">
        <f t="shared" ref="U139:W139" si="416">L139-R139</f>
        <v>0</v>
      </c>
      <c r="V139" s="248">
        <f t="shared" si="416"/>
        <v>0</v>
      </c>
      <c r="W139" s="249">
        <f t="shared" si="416"/>
        <v>0</v>
      </c>
    </row>
    <row r="140">
      <c r="A140" s="242" t="str">
        <f>IFERROR(__xludf.DUMMYFUNCTION("if(E140=506,""FEA006A"",INDEX(IMPORTRANGE(""https://docs.google.com/spreadsheets/d/1WbE6HOh_eG5_DM53SVfuckYm0VQnhNvuwjql7Tw1FX0/edit?gid=660406182#gid=660406182"", ""'""&amp;D140&amp;""'!H2:H45""),match(E140,IMPORTRANGE(""https://docs.google.com/spreadsheets/d/1W"&amp;"bE6HOh_eG5_DM53SVfuckYm0VQnhNvuwjql7Tw1FX0/edit?gid=660406182#gid=660406182"", ""'""&amp;D140&amp;""'!B2:B45""),0),1))"),"FV0846A")</f>
        <v>FV0846A</v>
      </c>
      <c r="B140" s="229" t="str">
        <f>IFERROR(__xludf.DUMMYFUNCTION("if(E140=506,""-"",INDEX(IMPORTRANGE(""https://docs.google.com/spreadsheets/d/1WbE6HOh_eG5_DM53SVfuckYm0VQnhNvuwjql7Tw1FX0/edit?gid=660406182#gid=660406182"", ""'""&amp;D140&amp;""'!D2:D45""),match(E140,IMPORTRANGE(""https://docs.google.com/spreadsheets/d/1WbE6HOh"&amp;"_eG5_DM53SVfuckYm0VQnhNvuwjql7Tw1FX0/edit?gid=660406182#gid=660406182"", ""'""&amp;D140&amp;""'!B2:B45""),0),1))"),"Keto")</f>
        <v>Keto</v>
      </c>
      <c r="C140" s="135" t="str">
        <f>IFERROR(__xludf.DUMMYFUNCTION("if(A140=""FEA006A"",""Garlic Herb Grilled Chicken"", ifna(INDEX(IMPORTRANGE(""https://docs.google.com/spreadsheets/d/1mnGm3iYGkB4FyqAD-LwwVYksgBMX_SY4qHQa16KgMiw/edit?gid=1956920866#gid=1956920866"", ""'EU Meal Database'!$E$2:$E""),MATCH(A140,IMPORTRANGE("&amp;"""https://docs.google.com/spreadsheets/d/1mnGm3iYGkB4FyqAD-LwwVYksgBMX_SY4qHQa16KgMiw/edit?gid=1956920866#gid=1956920866"",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DB_Product'!$B$2:$B""),MATCH(A140,IMPORTRANGE(""https://docs.google.com/spreadsheets/d/1n4t_JF5P_MLd0hMmhjv1A2rgLKdyee_-mrZZmdZr9G4/edit?gid=670402169#gid=670402169"", ""'Meal DB_Product'!$A$2:$A""),0))"&amp;"))"),"Stroganoff-Style Beef Burger")</f>
        <v>Stroganoff-Style Beef Burger</v>
      </c>
      <c r="D140" s="286" t="s">
        <v>232</v>
      </c>
      <c r="E140" s="230">
        <v>415.0</v>
      </c>
      <c r="F140" s="62">
        <v>615.0</v>
      </c>
      <c r="G140" s="231">
        <v>315.0</v>
      </c>
      <c r="H140" s="16">
        <v>1147.0</v>
      </c>
      <c r="I140" s="17">
        <v>683.0</v>
      </c>
      <c r="J140" s="18">
        <v>689.0</v>
      </c>
      <c r="K140" s="287">
        <v>0.0</v>
      </c>
      <c r="L140" s="243">
        <f t="shared" ref="L140:M140" si="417">H140+20</f>
        <v>1167</v>
      </c>
      <c r="M140" s="244">
        <f t="shared" si="417"/>
        <v>703</v>
      </c>
      <c r="N140" s="244">
        <f t="shared" si="246"/>
        <v>709</v>
      </c>
      <c r="O140" s="271">
        <f t="array" ref="O140">iferror(if(INDEX('Slot Selection'!$A$2:$BJ$38, MATCH(E140-400,'Slot Selection'!$A$2:$A$38, 0), MATCH("2026-"&amp;D140,'Slot Selection'!$2:$2, 0)),1,0),0)</f>
        <v>0</v>
      </c>
      <c r="P140" s="272">
        <f t="array" ref="P140">iferror(if(INDEX('Slot Selection'!$A$80:$BJ$116, MATCH(F140-600,'Slot Selection'!$A$80:$A$116, 0), MATCH("2026-"&amp;D140,'Slot Selection'!$80:$80, 0)),1,0),0)</f>
        <v>0</v>
      </c>
      <c r="Q140" s="146">
        <f t="array" ref="Q140">iferror(if(INDEX('Slot Selection'!$A$41:$BJ$77, MATCH(F140-600,'Slot Selection'!$A$41:$A$77, 0), MATCH("2026-"&amp;D140,'Slot Selection'!$41:$41, 0)),1,0),0)</f>
        <v>0</v>
      </c>
      <c r="R140" s="62">
        <f t="shared" ref="R140:T140" si="418">L140*O140</f>
        <v>0</v>
      </c>
      <c r="S140" s="248">
        <f t="shared" si="418"/>
        <v>0</v>
      </c>
      <c r="T140" s="248">
        <f t="shared" si="418"/>
        <v>0</v>
      </c>
      <c r="U140" s="243">
        <f t="shared" ref="U140:W140" si="419">L140-R140</f>
        <v>1167</v>
      </c>
      <c r="V140" s="248">
        <f t="shared" si="419"/>
        <v>703</v>
      </c>
      <c r="W140" s="249">
        <f t="shared" si="419"/>
        <v>709</v>
      </c>
    </row>
    <row r="141">
      <c r="A141" s="242" t="str">
        <f>IFERROR(__xludf.DUMMYFUNCTION("if(E141=506,""FEA006A"",INDEX(IMPORTRANGE(""https://docs.google.com/spreadsheets/d/1WbE6HOh_eG5_DM53SVfuckYm0VQnhNvuwjql7Tw1FX0/edit?gid=660406182#gid=660406182"", ""'""&amp;D141&amp;""'!H2:H45""),match(E141,IMPORTRANGE(""https://docs.google.com/spreadsheets/d/1W"&amp;"bE6HOh_eG5_DM53SVfuckYm0VQnhNvuwjql7Tw1FX0/edit?gid=660406182#gid=660406182"", ""'""&amp;D141&amp;""'!B2:B45""),0),1))"),"FE1404B")</f>
        <v>FE1404B</v>
      </c>
      <c r="B141" s="229" t="str">
        <f>IFERROR(__xludf.DUMMYFUNCTION("if(E141=506,""-"",INDEX(IMPORTRANGE(""https://docs.google.com/spreadsheets/d/1WbE6HOh_eG5_DM53SVfuckYm0VQnhNvuwjql7Tw1FX0/edit?gid=660406182#gid=660406182"", ""'""&amp;D141&amp;""'!D2:D45""),match(E141,IMPORTRANGE(""https://docs.google.com/spreadsheets/d/1WbE6HOh"&amp;"_eG5_DM53SVfuckYm0VQnhNvuwjql7Tw1FX0/edit?gid=660406182#gid=660406182"", ""'""&amp;D141&amp;""'!B2:B45""),0),1))"),"Flexible")</f>
        <v>Flexible</v>
      </c>
      <c r="C141" s="135" t="str">
        <f>IFERROR(__xludf.DUMMYFUNCTION("if(A141=""FEA006A"",""Garlic Herb Grilled Chicken"", ifna(INDEX(IMPORTRANGE(""https://docs.google.com/spreadsheets/d/1mnGm3iYGkB4FyqAD-LwwVYksgBMX_SY4qHQa16KgMiw/edit?gid=1956920866#gid=1956920866"", ""'EU Meal Database'!$E$2:$E""),MATCH(A141,IMPORTRANGE("&amp;"""https://docs.google.com/spreadsheets/d/1mnGm3iYGkB4FyqAD-LwwVYksgBMX_SY4qHQa16KgMiw/edit?gid=1956920866#gid=1956920866"",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DB_Product'!$B$2:$B""),MATCH(A141,IMPORTRANGE(""https://docs.google.com/spreadsheets/d/1n4t_JF5P_MLd0hMmhjv1A2rgLKdyee_-mrZZmdZr9G4/edit?gid=670402169#gid=670402169"", ""'Meal DB_Product'!$A$2:$A""),0))"&amp;"))"),"Bulgogi Pulled Beef Bowl")</f>
        <v>Bulgogi Pulled Beef Bowl</v>
      </c>
      <c r="D141" s="286" t="s">
        <v>232</v>
      </c>
      <c r="E141" s="230">
        <v>416.0</v>
      </c>
      <c r="F141" s="62">
        <v>616.0</v>
      </c>
      <c r="G141" s="231">
        <v>316.0</v>
      </c>
      <c r="H141" s="16">
        <v>971.0</v>
      </c>
      <c r="I141" s="17">
        <v>497.0</v>
      </c>
      <c r="J141" s="18">
        <v>514.0</v>
      </c>
      <c r="K141" s="287">
        <v>0.0</v>
      </c>
      <c r="L141" s="243">
        <f t="shared" ref="L141:M141" si="420">H141+20</f>
        <v>991</v>
      </c>
      <c r="M141" s="244">
        <f t="shared" si="420"/>
        <v>517</v>
      </c>
      <c r="N141" s="244">
        <f t="shared" si="246"/>
        <v>534</v>
      </c>
      <c r="O141" s="271">
        <f t="array" ref="O141">iferror(if(INDEX('Slot Selection'!$A$2:$BJ$38, MATCH(E141-400,'Slot Selection'!$A$2:$A$38, 0), MATCH("2026-"&amp;D141,'Slot Selection'!$2:$2, 0)),1,0),0)</f>
        <v>1</v>
      </c>
      <c r="P141" s="272">
        <f t="array" ref="P141">iferror(if(INDEX('Slot Selection'!$A$80:$BJ$116, MATCH(F141-600,'Slot Selection'!$A$80:$A$116, 0), MATCH("2026-"&amp;D141,'Slot Selection'!$80:$80, 0)),1,0),0)</f>
        <v>1</v>
      </c>
      <c r="Q141" s="146">
        <f t="array" ref="Q141">iferror(if(INDEX('Slot Selection'!$A$41:$BJ$77, MATCH(F141-600,'Slot Selection'!$A$41:$A$77, 0), MATCH("2026-"&amp;D141,'Slot Selection'!$41:$41, 0)),1,0),0)</f>
        <v>1</v>
      </c>
      <c r="R141" s="62">
        <f t="shared" ref="R141:T141" si="421">L141*O141</f>
        <v>991</v>
      </c>
      <c r="S141" s="248">
        <f t="shared" si="421"/>
        <v>517</v>
      </c>
      <c r="T141" s="248">
        <f t="shared" si="421"/>
        <v>534</v>
      </c>
      <c r="U141" s="243">
        <f t="shared" ref="U141:W141" si="422">L141-R141</f>
        <v>0</v>
      </c>
      <c r="V141" s="248">
        <f t="shared" si="422"/>
        <v>0</v>
      </c>
      <c r="W141" s="249">
        <f t="shared" si="422"/>
        <v>0</v>
      </c>
    </row>
    <row r="142">
      <c r="A142" s="242" t="str">
        <f>IFERROR(__xludf.DUMMYFUNCTION("if(E142=506,""FEA006A"",INDEX(IMPORTRANGE(""https://docs.google.com/spreadsheets/d/1WbE6HOh_eG5_DM53SVfuckYm0VQnhNvuwjql7Tw1FX0/edit?gid=660406182#gid=660406182"", ""'""&amp;D142&amp;""'!H2:H45""),match(E142,IMPORTRANGE(""https://docs.google.com/spreadsheets/d/1W"&amp;"bE6HOh_eG5_DM53SVfuckYm0VQnhNvuwjql7Tw1FX0/edit?gid=660406182#gid=660406182"", ""'""&amp;D142&amp;""'!B2:B45""),0),1))"),"FV4053A")</f>
        <v>FV4053A</v>
      </c>
      <c r="B142" s="229" t="str">
        <f>IFERROR(__xludf.DUMMYFUNCTION("if(E142=506,""-"",INDEX(IMPORTRANGE(""https://docs.google.com/spreadsheets/d/1WbE6HOh_eG5_DM53SVfuckYm0VQnhNvuwjql7Tw1FX0/edit?gid=660406182#gid=660406182"", ""'""&amp;D142&amp;""'!D2:D45""),match(E142,IMPORTRANGE(""https://docs.google.com/spreadsheets/d/1WbE6HOh"&amp;"_eG5_DM53SVfuckYm0VQnhNvuwjql7Tw1FX0/edit?gid=660406182#gid=660406182"", ""'""&amp;D142&amp;""'!B2:B45""),0),1))"),"P+")</f>
        <v>P+</v>
      </c>
      <c r="C142" s="135" t="str">
        <f>IFERROR(__xludf.DUMMYFUNCTION("if(A142=""FEA006A"",""Garlic Herb Grilled Chicken"", ifna(INDEX(IMPORTRANGE(""https://docs.google.com/spreadsheets/d/1mnGm3iYGkB4FyqAD-LwwVYksgBMX_SY4qHQa16KgMiw/edit?gid=1956920866#gid=1956920866"", ""'EU Meal Database'!$E$2:$E""),MATCH(A142,IMPORTRANGE("&amp;"""https://docs.google.com/spreadsheets/d/1mnGm3iYGkB4FyqAD-LwwVYksgBMX_SY4qHQa16KgMiw/edit?gid=1956920866#gid=1956920866"",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DB_Product'!$B$2:$B""),MATCH(A142,IMPORTRANGE(""https://docs.google.com/spreadsheets/d/1n4t_JF5P_MLd0hMmhjv1A2rgLKdyee_-mrZZmdZr9G4/edit?gid=670402169#gid=670402169"", ""'Meal DB_Product'!$A$2:$A""),0))"&amp;"))"),"Gochugaru Chicken")</f>
        <v>Gochugaru Chicken</v>
      </c>
      <c r="D142" s="286" t="s">
        <v>232</v>
      </c>
      <c r="E142" s="230">
        <v>417.0</v>
      </c>
      <c r="F142" s="62">
        <v>617.0</v>
      </c>
      <c r="G142" s="231">
        <v>317.0</v>
      </c>
      <c r="H142" s="16">
        <v>1939.0</v>
      </c>
      <c r="I142" s="17">
        <v>1040.0</v>
      </c>
      <c r="J142" s="18">
        <v>919.0</v>
      </c>
      <c r="K142" s="287">
        <v>0.0</v>
      </c>
      <c r="L142" s="243">
        <f t="shared" ref="L142:M142" si="423">H142+20</f>
        <v>1959</v>
      </c>
      <c r="M142" s="244">
        <f t="shared" si="423"/>
        <v>1060</v>
      </c>
      <c r="N142" s="244">
        <f t="shared" si="246"/>
        <v>939</v>
      </c>
      <c r="O142" s="271">
        <f t="array" ref="O142">iferror(if(INDEX('Slot Selection'!$A$2:$BJ$38, MATCH(E142-400,'Slot Selection'!$A$2:$A$38, 0), MATCH("2026-"&amp;D142,'Slot Selection'!$2:$2, 0)),1,0),0)</f>
        <v>1</v>
      </c>
      <c r="P142" s="272">
        <f t="array" ref="P142">iferror(if(INDEX('Slot Selection'!$A$80:$BJ$116, MATCH(F142-600,'Slot Selection'!$A$80:$A$116, 0), MATCH("2026-"&amp;D142,'Slot Selection'!$80:$80, 0)),1,0),0)</f>
        <v>1</v>
      </c>
      <c r="Q142" s="146">
        <f t="array" ref="Q142">iferror(if(INDEX('Slot Selection'!$A$41:$BJ$77, MATCH(F142-600,'Slot Selection'!$A$41:$A$77, 0), MATCH("2026-"&amp;D142,'Slot Selection'!$41:$41, 0)),1,0),0)</f>
        <v>1</v>
      </c>
      <c r="R142" s="62">
        <f t="shared" ref="R142:T142" si="424">L142*O142</f>
        <v>1959</v>
      </c>
      <c r="S142" s="248">
        <f t="shared" si="424"/>
        <v>1060</v>
      </c>
      <c r="T142" s="248">
        <f t="shared" si="424"/>
        <v>939</v>
      </c>
      <c r="U142" s="243">
        <f t="shared" ref="U142:W142" si="425">L142-R142</f>
        <v>0</v>
      </c>
      <c r="V142" s="248">
        <f t="shared" si="425"/>
        <v>0</v>
      </c>
      <c r="W142" s="249">
        <f t="shared" si="425"/>
        <v>0</v>
      </c>
    </row>
    <row r="143">
      <c r="A143" s="242" t="str">
        <f>IFERROR(__xludf.DUMMYFUNCTION("if(E143=506,""FEA006A"",INDEX(IMPORTRANGE(""https://docs.google.com/spreadsheets/d/1WbE6HOh_eG5_DM53SVfuckYm0VQnhNvuwjql7Tw1FX0/edit?gid=660406182#gid=660406182"", ""'""&amp;D143&amp;""'!H2:H45""),match(E143,IMPORTRANGE(""https://docs.google.com/spreadsheets/d/1W"&amp;"bE6HOh_eG5_DM53SVfuckYm0VQnhNvuwjql7Tw1FX0/edit?gid=660406182#gid=660406182"", ""'""&amp;D143&amp;""'!B2:B45""),0),1))"),"FE4042A")</f>
        <v>FE4042A</v>
      </c>
      <c r="B143" s="229" t="str">
        <f>IFERROR(__xludf.DUMMYFUNCTION("if(E143=506,""-"",INDEX(IMPORTRANGE(""https://docs.google.com/spreadsheets/d/1WbE6HOh_eG5_DM53SVfuckYm0VQnhNvuwjql7Tw1FX0/edit?gid=660406182#gid=660406182"", ""'""&amp;D143&amp;""'!D2:D45""),match(E143,IMPORTRANGE(""https://docs.google.com/spreadsheets/d/1WbE6HOh"&amp;"_eG5_DM53SVfuckYm0VQnhNvuwjql7Tw1FX0/edit?gid=660406182#gid=660406182"", ""'""&amp;D143&amp;""'!B2:B45""),0),1))"),"CS")</f>
        <v>CS</v>
      </c>
      <c r="C143" s="135" t="str">
        <f>IFERROR(__xludf.DUMMYFUNCTION("if(A143=""FEA006A"",""Garlic Herb Grilled Chicken"", ifna(INDEX(IMPORTRANGE(""https://docs.google.com/spreadsheets/d/1mnGm3iYGkB4FyqAD-LwwVYksgBMX_SY4qHQa16KgMiw/edit?gid=1956920866#gid=1956920866"", ""'EU Meal Database'!$E$2:$E""),MATCH(A143,IMPORTRANGE("&amp;"""https://docs.google.com/spreadsheets/d/1mnGm3iYGkB4FyqAD-LwwVYksgBMX_SY4qHQa16KgMiw/edit?gid=1956920866#gid=1956920866"",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DB_Product'!$B$2:$B""),MATCH(A143,IMPORTRANGE(""https://docs.google.com/spreadsheets/d/1n4t_JF5P_MLd0hMmhjv1A2rgLKdyee_-mrZZmdZr9G4/edit?gid=670402169#gid=670402169"", ""'Meal DB_Product'!$A$2:$A""),0))"&amp;"))"),"Pork tenderloin and Mediterranean mash")</f>
        <v>Pork tenderloin and Mediterranean mash</v>
      </c>
      <c r="D143" s="286" t="s">
        <v>232</v>
      </c>
      <c r="E143" s="230">
        <v>418.0</v>
      </c>
      <c r="F143" s="62">
        <v>618.0</v>
      </c>
      <c r="G143" s="231">
        <v>318.0</v>
      </c>
      <c r="H143" s="16">
        <v>976.0</v>
      </c>
      <c r="I143" s="17">
        <v>663.0</v>
      </c>
      <c r="J143" s="18">
        <v>451.0</v>
      </c>
      <c r="K143" s="287">
        <v>0.0</v>
      </c>
      <c r="L143" s="243">
        <f t="shared" ref="L143:M143" si="426">H143+20</f>
        <v>996</v>
      </c>
      <c r="M143" s="244">
        <f t="shared" si="426"/>
        <v>683</v>
      </c>
      <c r="N143" s="244">
        <f t="shared" si="246"/>
        <v>471</v>
      </c>
      <c r="O143" s="271">
        <f t="array" ref="O143">iferror(if(INDEX('Slot Selection'!$A$2:$BJ$38, MATCH(E143-400,'Slot Selection'!$A$2:$A$38, 0), MATCH("2026-"&amp;D143,'Slot Selection'!$2:$2, 0)),1,0),0)</f>
        <v>1</v>
      </c>
      <c r="P143" s="272">
        <f t="array" ref="P143">iferror(if(INDEX('Slot Selection'!$A$80:$BJ$116, MATCH(F143-600,'Slot Selection'!$A$80:$A$116, 0), MATCH("2026-"&amp;D143,'Slot Selection'!$80:$80, 0)),1,0),0)</f>
        <v>1</v>
      </c>
      <c r="Q143" s="146">
        <f t="array" ref="Q143">iferror(if(INDEX('Slot Selection'!$A$41:$BJ$77, MATCH(F143-600,'Slot Selection'!$A$41:$A$77, 0), MATCH("2026-"&amp;D143,'Slot Selection'!$41:$41, 0)),1,0),0)</f>
        <v>1</v>
      </c>
      <c r="R143" s="62">
        <f t="shared" ref="R143:T143" si="427">L143*O143</f>
        <v>996</v>
      </c>
      <c r="S143" s="248">
        <f t="shared" si="427"/>
        <v>683</v>
      </c>
      <c r="T143" s="248">
        <f t="shared" si="427"/>
        <v>471</v>
      </c>
      <c r="U143" s="243">
        <f t="shared" ref="U143:W143" si="428">L143-R143</f>
        <v>0</v>
      </c>
      <c r="V143" s="248">
        <f t="shared" si="428"/>
        <v>0</v>
      </c>
      <c r="W143" s="249">
        <f t="shared" si="428"/>
        <v>0</v>
      </c>
    </row>
    <row r="144">
      <c r="A144" s="242" t="str">
        <f>IFERROR(__xludf.DUMMYFUNCTION("if(E144=506,""FEA006A"",INDEX(IMPORTRANGE(""https://docs.google.com/spreadsheets/d/1WbE6HOh_eG5_DM53SVfuckYm0VQnhNvuwjql7Tw1FX0/edit?gid=660406182#gid=660406182"", ""'""&amp;D144&amp;""'!H2:H45""),match(E144,IMPORTRANGE(""https://docs.google.com/spreadsheets/d/1W"&amp;"bE6HOh_eG5_DM53SVfuckYm0VQnhNvuwjql7Tw1FX0/edit?gid=660406182#gid=660406182"", ""'""&amp;D144&amp;""'!B2:B45""),0),1))"),"FV1646A")</f>
        <v>FV1646A</v>
      </c>
      <c r="B144" s="229" t="str">
        <f>IFERROR(__xludf.DUMMYFUNCTION("if(E144=506,""-"",INDEX(IMPORTRANGE(""https://docs.google.com/spreadsheets/d/1WbE6HOh_eG5_DM53SVfuckYm0VQnhNvuwjql7Tw1FX0/edit?gid=660406182#gid=660406182"", ""'""&amp;D144&amp;""'!D2:D45""),match(E144,IMPORTRANGE(""https://docs.google.com/spreadsheets/d/1WbE6HOh"&amp;"_eG5_DM53SVfuckYm0VQnhNvuwjql7Tw1FX0/edit?gid=660406182#gid=660406182"", ""'""&amp;D144&amp;""'!B2:B45""),0),1))"),"CS")</f>
        <v>CS</v>
      </c>
      <c r="C144" s="135" t="str">
        <f>IFERROR(__xludf.DUMMYFUNCTION("if(A144=""FEA006A"",""Garlic Herb Grilled Chicken"", ifna(INDEX(IMPORTRANGE(""https://docs.google.com/spreadsheets/d/1mnGm3iYGkB4FyqAD-LwwVYksgBMX_SY4qHQa16KgMiw/edit?gid=1956920866#gid=1956920866"", ""'EU Meal Database'!$E$2:$E""),MATCH(A144,IMPORTRANGE("&amp;"""https://docs.google.com/spreadsheets/d/1mnGm3iYGkB4FyqAD-LwwVYksgBMX_SY4qHQa16KgMiw/edit?gid=1956920866#gid=1956920866"",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DB_Product'!$B$2:$B""),MATCH(A144,IMPORTRANGE(""https://docs.google.com/spreadsheets/d/1n4t_JF5P_MLd0hMmhjv1A2rgLKdyee_-mrZZmdZr9G4/edit?gid=670402169#gid=670402169"", ""'Meal DB_Product'!$A$2:$A""),0))"&amp;"))"),"Lemon Garlic Shrimp &amp; Spanakopita Rice")</f>
        <v>Lemon Garlic Shrimp &amp; Spanakopita Rice</v>
      </c>
      <c r="D144" s="286" t="s">
        <v>232</v>
      </c>
      <c r="E144" s="230">
        <v>419.0</v>
      </c>
      <c r="F144" s="62">
        <v>619.0</v>
      </c>
      <c r="G144" s="231">
        <v>319.0</v>
      </c>
      <c r="H144" s="16">
        <v>2356.0</v>
      </c>
      <c r="I144" s="17">
        <v>1343.0</v>
      </c>
      <c r="J144" s="18">
        <v>1123.0</v>
      </c>
      <c r="K144" s="287">
        <v>0.0</v>
      </c>
      <c r="L144" s="243">
        <f t="shared" ref="L144:M144" si="429">H144+20</f>
        <v>2376</v>
      </c>
      <c r="M144" s="244">
        <f t="shared" si="429"/>
        <v>1363</v>
      </c>
      <c r="N144" s="244">
        <f t="shared" si="246"/>
        <v>1143</v>
      </c>
      <c r="O144" s="271">
        <f t="array" ref="O144">iferror(if(INDEX('Slot Selection'!$A$2:$BJ$38, MATCH(E144-400,'Slot Selection'!$A$2:$A$38, 0), MATCH("2026-"&amp;D144,'Slot Selection'!$2:$2, 0)),1,0),0)</f>
        <v>0</v>
      </c>
      <c r="P144" s="272">
        <f t="array" ref="P144">iferror(if(INDEX('Slot Selection'!$A$80:$BJ$116, MATCH(F144-600,'Slot Selection'!$A$80:$A$116, 0), MATCH("2026-"&amp;D144,'Slot Selection'!$80:$80, 0)),1,0),0)</f>
        <v>0</v>
      </c>
      <c r="Q144" s="146">
        <f t="array" ref="Q144">iferror(if(INDEX('Slot Selection'!$A$41:$BJ$77, MATCH(F144-600,'Slot Selection'!$A$41:$A$77, 0), MATCH("2026-"&amp;D144,'Slot Selection'!$41:$41, 0)),1,0),0)</f>
        <v>0</v>
      </c>
      <c r="R144" s="62">
        <f t="shared" ref="R144:T144" si="430">L144*O144</f>
        <v>0</v>
      </c>
      <c r="S144" s="248">
        <f t="shared" si="430"/>
        <v>0</v>
      </c>
      <c r="T144" s="248">
        <f t="shared" si="430"/>
        <v>0</v>
      </c>
      <c r="U144" s="243">
        <f t="shared" ref="U144:W144" si="431">L144-R144</f>
        <v>2376</v>
      </c>
      <c r="V144" s="244">
        <f t="shared" si="431"/>
        <v>1363</v>
      </c>
      <c r="W144" s="245">
        <f t="shared" si="431"/>
        <v>1143</v>
      </c>
    </row>
    <row r="145">
      <c r="A145" s="242" t="str">
        <f>IFERROR(__xludf.DUMMYFUNCTION("if(E145=506,""FEA006A"",INDEX(IMPORTRANGE(""https://docs.google.com/spreadsheets/d/1WbE6HOh_eG5_DM53SVfuckYm0VQnhNvuwjql7Tw1FX0/edit?gid=660406182#gid=660406182"", ""'""&amp;D145&amp;""'!H2:H45""),match(E145,IMPORTRANGE(""https://docs.google.com/spreadsheets/d/1W"&amp;"bE6HOh_eG5_DM53SVfuckYm0VQnhNvuwjql7Tw1FX0/edit?gid=660406182#gid=660406182"", ""'""&amp;D145&amp;""'!B2:B45""),0),1))"),"FE1698A")</f>
        <v>FE1698A</v>
      </c>
      <c r="B145" s="229" t="str">
        <f>IFERROR(__xludf.DUMMYFUNCTION("if(E145=506,""-"",INDEX(IMPORTRANGE(""https://docs.google.com/spreadsheets/d/1WbE6HOh_eG5_DM53SVfuckYm0VQnhNvuwjql7Tw1FX0/edit?gid=660406182#gid=660406182"", ""'""&amp;D145&amp;""'!D2:D45""),match(E145,IMPORTRANGE(""https://docs.google.com/spreadsheets/d/1WbE6HOh"&amp;"_eG5_DM53SVfuckYm0VQnhNvuwjql7Tw1FX0/edit?gid=660406182#gid=660406182"", ""'""&amp;D145&amp;""'!B2:B45""),0),1))"),"Perf")</f>
        <v>Perf</v>
      </c>
      <c r="C145" s="135" t="str">
        <f>IFERROR(__xludf.DUMMYFUNCTION("if(A145=""FEA006A"",""Garlic Herb Grilled Chicken"", ifna(INDEX(IMPORTRANGE(""https://docs.google.com/spreadsheets/d/1mnGm3iYGkB4FyqAD-LwwVYksgBMX_SY4qHQa16KgMiw/edit?gid=1956920866#gid=1956920866"", ""'EU Meal Database'!$E$2:$E""),MATCH(A145,IMPORTRANGE("&amp;"""https://docs.google.com/spreadsheets/d/1mnGm3iYGkB4FyqAD-LwwVYksgBMX_SY4qHQa16KgMiw/edit?gid=1956920866#gid=1956920866"",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DB_Product'!$B$2:$B""),MATCH(A145,IMPORTRANGE(""https://docs.google.com/spreadsheets/d/1n4t_JF5P_MLd0hMmhjv1A2rgLKdyee_-mrZZmdZr9G4/edit?gid=670402169#gid=670402169"", ""'Meal DB_Product'!$A$2:$A""),0))"&amp;"))"),"Chermoula Chicken &amp; Lentils")</f>
        <v>Chermoula Chicken &amp; Lentils</v>
      </c>
      <c r="D145" s="286" t="s">
        <v>232</v>
      </c>
      <c r="E145" s="230">
        <v>420.0</v>
      </c>
      <c r="F145" s="62">
        <v>620.0</v>
      </c>
      <c r="G145" s="231">
        <v>320.0</v>
      </c>
      <c r="H145" s="16">
        <v>1080.0</v>
      </c>
      <c r="I145" s="17">
        <v>615.0</v>
      </c>
      <c r="J145" s="18">
        <v>515.0</v>
      </c>
      <c r="K145" s="287">
        <v>0.0</v>
      </c>
      <c r="L145" s="243">
        <f t="shared" ref="L145:M145" si="432">H145+20</f>
        <v>1100</v>
      </c>
      <c r="M145" s="244">
        <f t="shared" si="432"/>
        <v>635</v>
      </c>
      <c r="N145" s="244">
        <f t="shared" si="246"/>
        <v>535</v>
      </c>
      <c r="O145" s="268">
        <f t="array" ref="O145">iferror(if(INDEX('Slot Selection'!$A$2:$BJ$38, MATCH(E145-400,'Slot Selection'!$A$2:$A$38, 0), MATCH("2026-"&amp;D145,'Slot Selection'!$2:$2, 0)),1,0),0)</f>
        <v>0</v>
      </c>
      <c r="P145" s="269">
        <f t="array" ref="P145">iferror(if(INDEX('Slot Selection'!$A$80:$BJ$116, MATCH(F145-600,'Slot Selection'!$A$80:$A$116, 0), MATCH("2026-"&amp;D145,'Slot Selection'!$80:$80, 0)),1,0),0)</f>
        <v>0</v>
      </c>
      <c r="Q145" s="270">
        <f t="array" ref="Q145">iferror(if(INDEX('Slot Selection'!$A$41:$BJ$77, MATCH(F145-600,'Slot Selection'!$A$41:$A$77, 0), MATCH("2026-"&amp;D145,'Slot Selection'!$41:$41, 0)),1,0),0)</f>
        <v>0</v>
      </c>
      <c r="R145" s="62">
        <f t="shared" ref="R145:T145" si="433">L145*O145</f>
        <v>0</v>
      </c>
      <c r="S145" s="248">
        <f t="shared" si="433"/>
        <v>0</v>
      </c>
      <c r="T145" s="248">
        <f t="shared" si="433"/>
        <v>0</v>
      </c>
      <c r="U145" s="243">
        <f t="shared" ref="U145:W145" si="434">L145-R145</f>
        <v>1100</v>
      </c>
      <c r="V145" s="248">
        <f t="shared" si="434"/>
        <v>635</v>
      </c>
      <c r="W145" s="249">
        <f t="shared" si="434"/>
        <v>535</v>
      </c>
    </row>
    <row r="146">
      <c r="A146" s="242" t="str">
        <f>IFERROR(__xludf.DUMMYFUNCTION("if(E146=506,""FEA006A"",INDEX(IMPORTRANGE(""https://docs.google.com/spreadsheets/d/1WbE6HOh_eG5_DM53SVfuckYm0VQnhNvuwjql7Tw1FX0/edit?gid=660406182#gid=660406182"", ""'""&amp;D146&amp;""'!H2:H45""),match(E146,IMPORTRANGE(""https://docs.google.com/spreadsheets/d/1W"&amp;"bE6HOh_eG5_DM53SVfuckYm0VQnhNvuwjql7Tw1FX0/edit?gid=660406182#gid=660406182"", ""'""&amp;D146&amp;""'!B2:B45""),0),1))"),"FV0601A")</f>
        <v>FV0601A</v>
      </c>
      <c r="B146" s="229" t="str">
        <f>IFERROR(__xludf.DUMMYFUNCTION("if(E146=506,""-"",INDEX(IMPORTRANGE(""https://docs.google.com/spreadsheets/d/1WbE6HOh_eG5_DM53SVfuckYm0VQnhNvuwjql7Tw1FX0/edit?gid=660406182#gid=660406182"", ""'""&amp;D146&amp;""'!D2:D45""),match(E146,IMPORTRANGE(""https://docs.google.com/spreadsheets/d/1WbE6HOh"&amp;"_eG5_DM53SVfuckYm0VQnhNvuwjql7Tw1FX0/edit?gid=660406182#gid=660406182"", ""'""&amp;D146&amp;""'!B2:B45""),0),1))"),"Perf")</f>
        <v>Perf</v>
      </c>
      <c r="C146" s="135" t="str">
        <f>IFERROR(__xludf.DUMMYFUNCTION("if(A146=""FEA006A"",""Garlic Herb Grilled Chicken"", ifna(INDEX(IMPORTRANGE(""https://docs.google.com/spreadsheets/d/1mnGm3iYGkB4FyqAD-LwwVYksgBMX_SY4qHQa16KgMiw/edit?gid=1956920866#gid=1956920866"", ""'EU Meal Database'!$E$2:$E""),MATCH(A146,IMPORTRANGE("&amp;"""https://docs.google.com/spreadsheets/d/1mnGm3iYGkB4FyqAD-LwwVYksgBMX_SY4qHQa16KgMiw/edit?gid=1956920866#gid=1956920866"",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DB_Product'!$B$2:$B""),MATCH(A146,IMPORTRANGE(""https://docs.google.com/spreadsheets/d/1n4t_JF5P_MLd0hMmhjv1A2rgLKdyee_-mrZZmdZr9G4/edit?gid=670402169#gid=670402169"", ""'Meal DB_Product'!$A$2:$A""),0))"&amp;"))"),"Mozzarella Burger &amp; Roasted Potatoes")</f>
        <v>Mozzarella Burger &amp; Roasted Potatoes</v>
      </c>
      <c r="D146" s="286" t="s">
        <v>232</v>
      </c>
      <c r="E146" s="230">
        <v>421.0</v>
      </c>
      <c r="F146" s="62">
        <v>621.0</v>
      </c>
      <c r="G146" s="231">
        <v>321.0</v>
      </c>
      <c r="H146" s="16">
        <v>1472.0</v>
      </c>
      <c r="I146" s="17">
        <v>839.0</v>
      </c>
      <c r="J146" s="18">
        <v>702.0</v>
      </c>
      <c r="K146" s="287">
        <v>0.0</v>
      </c>
      <c r="L146" s="243">
        <f t="shared" ref="L146:M146" si="435">H146+20</f>
        <v>1492</v>
      </c>
      <c r="M146" s="244">
        <f t="shared" si="435"/>
        <v>859</v>
      </c>
      <c r="N146" s="244">
        <f t="shared" si="246"/>
        <v>722</v>
      </c>
      <c r="O146" s="268">
        <f t="array" ref="O146">iferror(if(INDEX('Slot Selection'!$A$2:$BJ$38, MATCH(E146-400,'Slot Selection'!$A$2:$A$38, 0), MATCH("2026-"&amp;D146,'Slot Selection'!$2:$2, 0)),1,0),0)</f>
        <v>1</v>
      </c>
      <c r="P146" s="269">
        <f t="array" ref="P146">iferror(if(INDEX('Slot Selection'!$A$80:$BJ$116, MATCH(F146-600,'Slot Selection'!$A$80:$A$116, 0), MATCH("2026-"&amp;D146,'Slot Selection'!$80:$80, 0)),1,0),0)</f>
        <v>1</v>
      </c>
      <c r="Q146" s="270">
        <f t="array" ref="Q146">iferror(if(INDEX('Slot Selection'!$A$41:$BJ$77, MATCH(F146-600,'Slot Selection'!$A$41:$A$77, 0), MATCH("2026-"&amp;D146,'Slot Selection'!$41:$41, 0)),1,0),0)</f>
        <v>1</v>
      </c>
      <c r="R146" s="62">
        <f t="shared" ref="R146:T146" si="436">L146*O146</f>
        <v>1492</v>
      </c>
      <c r="S146" s="248">
        <f t="shared" si="436"/>
        <v>859</v>
      </c>
      <c r="T146" s="248">
        <f t="shared" si="436"/>
        <v>722</v>
      </c>
      <c r="U146" s="243">
        <f t="shared" ref="U146:W146" si="437">L146-R146</f>
        <v>0</v>
      </c>
      <c r="V146" s="248">
        <f t="shared" si="437"/>
        <v>0</v>
      </c>
      <c r="W146" s="249">
        <f t="shared" si="437"/>
        <v>0</v>
      </c>
    </row>
    <row r="147">
      <c r="A147" s="250" t="str">
        <f>IFERROR(__xludf.DUMMYFUNCTION("if(E147=506,""FEA006A"",INDEX(IMPORTRANGE(""https://docs.google.com/spreadsheets/d/1WbE6HOh_eG5_DM53SVfuckYm0VQnhNvuwjql7Tw1FX0/edit?gid=660406182#gid=660406182"", ""'""&amp;D147&amp;""'!H2:H45""),match(E147,IMPORTRANGE(""https://docs.google.com/spreadsheets/d/1W"&amp;"bE6HOh_eG5_DM53SVfuckYm0VQnhNvuwjql7Tw1FX0/edit?gid=660406182#gid=660406182"", ""'""&amp;D147&amp;""'!B2:B45""),0),1))"),"FEA006A")</f>
        <v>FEA006A</v>
      </c>
      <c r="B147" s="251" t="str">
        <f>IFERROR(__xludf.DUMMYFUNCTION("if(E147=506,""-"",INDEX(IMPORTRANGE(""https://docs.google.com/spreadsheets/d/1WbE6HOh_eG5_DM53SVfuckYm0VQnhNvuwjql7Tw1FX0/edit?gid=660406182#gid=660406182"", ""'""&amp;D147&amp;""'!D2:D45""),match(E147,IMPORTRANGE(""https://docs.google.com/spreadsheets/d/1WbE6HOh"&amp;"_eG5_DM53SVfuckYm0VQnhNvuwjql7Tw1FX0/edit?gid=660406182#gid=660406182"", ""'""&amp;D147&amp;""'!B2:B45""),0),1))"),"-")</f>
        <v>-</v>
      </c>
      <c r="C147" s="252" t="str">
        <f>IFERROR(__xludf.DUMMYFUNCTION("if(A147=""FEA006A"",""Garlic Herb Grilled Chicken"", ifna(INDEX(IMPORTRANGE(""https://docs.google.com/spreadsheets/d/1mnGm3iYGkB4FyqAD-LwwVYksgBMX_SY4qHQa16KgMiw/edit?gid=1956920866#gid=1956920866"", ""'EU Meal Database'!$E$2:$E""),MATCH(A147,IMPORTRANGE("&amp;"""https://docs.google.com/spreadsheets/d/1mnGm3iYGkB4FyqAD-LwwVYksgBMX_SY4qHQa16KgMiw/edit?gid=1956920866#gid=1956920866"", ""'EU Meal Database'!$A$2:$A""),0)),INDEX(IMPORTRANGE(""https://docs.google.com/spreadsheets/d/1n4t_JF5P_MLd0hMmhjv1A2rgLKdyee_-mrZ"&amp;"ZmdZr9G4/edit?gid=670402169#gid=670402169"", ""'Meal DB_Product'!$B$2:$B""),MATCH(A147,IMPORTRANGE(""https://docs.google.com/spreadsheets/d/1n4t_JF5P_MLd0hMmhjv1A2rgLKdyee_-mrZZmdZr9G4/edit?gid=670402169#gid=670402169"", ""'Meal DB_Product'!$A$2:$A""),0))"&amp;"))"),"Garlic Herb Grilled Chicken")</f>
        <v>Garlic Herb Grilled Chicken</v>
      </c>
      <c r="D147" s="288" t="s">
        <v>232</v>
      </c>
      <c r="E147" s="254">
        <v>506.0</v>
      </c>
      <c r="F147" s="253">
        <v>706.0</v>
      </c>
      <c r="G147" s="255">
        <v>806.0</v>
      </c>
      <c r="H147" s="24">
        <v>83.0</v>
      </c>
      <c r="I147" s="25">
        <v>36.0</v>
      </c>
      <c r="J147" s="26">
        <v>67.0</v>
      </c>
      <c r="K147" s="289">
        <v>0.0</v>
      </c>
      <c r="L147" s="259">
        <f t="shared" ref="L147:M147" si="438">H147+20</f>
        <v>103</v>
      </c>
      <c r="M147" s="258">
        <f t="shared" si="438"/>
        <v>56</v>
      </c>
      <c r="N147" s="258">
        <f t="shared" si="246"/>
        <v>87</v>
      </c>
      <c r="O147" s="275">
        <f t="array" ref="O147">iferror(if(INDEX('Slot Selection'!$A$2:$BJ$38, MATCH(E147-400,'Slot Selection'!$A$2:$A$38, 0), MATCH("2026-"&amp;D147,'Slot Selection'!$2:$2, 0)),1,0),0)</f>
        <v>0</v>
      </c>
      <c r="P147" s="276">
        <f t="array" ref="P147">iferror(if(INDEX('Slot Selection'!$A$80:$BJ$116, MATCH(F147-600,'Slot Selection'!$A$80:$A$116, 0), MATCH("2026-"&amp;D147,'Slot Selection'!$80:$80, 0)),1,0),0)</f>
        <v>0</v>
      </c>
      <c r="Q147" s="277">
        <f t="array" ref="Q147">iferror(if(INDEX('Slot Selection'!$A$41:$BJ$77, MATCH(F147-600,'Slot Selection'!$A$41:$A$77, 0), MATCH("2026-"&amp;D147,'Slot Selection'!$41:$41, 0)),1,0),0)</f>
        <v>0</v>
      </c>
      <c r="R147" s="253">
        <f t="shared" ref="R147:T147" si="439">L147*O147</f>
        <v>0</v>
      </c>
      <c r="S147" s="263">
        <f t="shared" si="439"/>
        <v>0</v>
      </c>
      <c r="T147" s="263">
        <f t="shared" si="439"/>
        <v>0</v>
      </c>
      <c r="U147" s="259">
        <f t="shared" ref="U147:W147" si="440">L147-R147</f>
        <v>103</v>
      </c>
      <c r="V147" s="263">
        <f t="shared" si="440"/>
        <v>56</v>
      </c>
      <c r="W147" s="264">
        <f t="shared" si="440"/>
        <v>87</v>
      </c>
    </row>
    <row r="148">
      <c r="B148" s="290"/>
      <c r="K148" s="12"/>
    </row>
    <row r="149">
      <c r="B149" s="290"/>
      <c r="K149" s="12"/>
    </row>
    <row r="150">
      <c r="B150" s="290"/>
      <c r="K150" s="12"/>
    </row>
    <row r="151">
      <c r="B151" s="290"/>
      <c r="K151" s="12"/>
    </row>
    <row r="152">
      <c r="B152" s="290"/>
      <c r="K152" s="12"/>
    </row>
    <row r="153">
      <c r="B153" s="290"/>
      <c r="K153" s="12"/>
    </row>
    <row r="154">
      <c r="B154" s="290"/>
      <c r="K154" s="12"/>
    </row>
    <row r="155">
      <c r="B155" s="290"/>
      <c r="K155" s="12"/>
    </row>
    <row r="156">
      <c r="B156" s="290"/>
      <c r="K156" s="12"/>
    </row>
    <row r="157">
      <c r="B157" s="290"/>
      <c r="K157" s="12"/>
    </row>
    <row r="158">
      <c r="B158" s="290"/>
      <c r="K158" s="12"/>
    </row>
    <row r="159">
      <c r="B159" s="290"/>
      <c r="K159" s="12"/>
    </row>
    <row r="160">
      <c r="B160" s="290"/>
      <c r="K160" s="12"/>
    </row>
    <row r="161">
      <c r="B161" s="290"/>
      <c r="K161" s="12"/>
    </row>
    <row r="162">
      <c r="B162" s="290"/>
      <c r="K162" s="12"/>
    </row>
    <row r="163">
      <c r="B163" s="290"/>
      <c r="K163" s="12"/>
    </row>
    <row r="164">
      <c r="B164" s="290"/>
      <c r="K164" s="12"/>
    </row>
    <row r="165">
      <c r="B165" s="290"/>
      <c r="K165" s="12"/>
    </row>
    <row r="166">
      <c r="B166" s="290"/>
      <c r="K166" s="12"/>
    </row>
    <row r="167">
      <c r="B167" s="290"/>
      <c r="K167" s="12"/>
    </row>
    <row r="168">
      <c r="B168" s="290"/>
      <c r="K168" s="12"/>
    </row>
    <row r="169">
      <c r="B169" s="290"/>
      <c r="K169" s="12"/>
    </row>
    <row r="170">
      <c r="B170" s="290"/>
      <c r="K170" s="12"/>
    </row>
    <row r="171">
      <c r="B171" s="290"/>
      <c r="K171" s="12"/>
    </row>
    <row r="172">
      <c r="B172" s="290"/>
      <c r="K172" s="12"/>
    </row>
    <row r="173">
      <c r="B173" s="290"/>
      <c r="K173" s="12"/>
    </row>
    <row r="174">
      <c r="B174" s="290"/>
      <c r="K174" s="12"/>
    </row>
    <row r="175">
      <c r="B175" s="290"/>
      <c r="K175" s="12"/>
    </row>
    <row r="176">
      <c r="B176" s="290"/>
      <c r="K176" s="12"/>
    </row>
    <row r="177">
      <c r="B177" s="290"/>
      <c r="K177" s="12"/>
    </row>
    <row r="178">
      <c r="B178" s="290"/>
      <c r="K178" s="12"/>
    </row>
    <row r="179">
      <c r="B179" s="290"/>
      <c r="K179" s="12"/>
    </row>
    <row r="180">
      <c r="B180" s="290"/>
      <c r="K180" s="12"/>
    </row>
    <row r="181">
      <c r="B181" s="290"/>
      <c r="K181" s="12"/>
    </row>
    <row r="182">
      <c r="B182" s="290"/>
      <c r="K182" s="12"/>
    </row>
    <row r="183">
      <c r="B183" s="290"/>
      <c r="K183" s="12"/>
    </row>
    <row r="184">
      <c r="B184" s="290"/>
      <c r="K184" s="12"/>
    </row>
    <row r="185">
      <c r="B185" s="290"/>
      <c r="K185" s="12"/>
    </row>
    <row r="186">
      <c r="B186" s="290"/>
      <c r="K186" s="12"/>
    </row>
    <row r="187">
      <c r="B187" s="290"/>
      <c r="K187" s="12"/>
    </row>
    <row r="188">
      <c r="B188" s="290"/>
      <c r="K188" s="12"/>
    </row>
    <row r="189">
      <c r="B189" s="290"/>
      <c r="K189" s="12"/>
    </row>
    <row r="190">
      <c r="B190" s="290"/>
      <c r="K190" s="12"/>
    </row>
    <row r="191">
      <c r="B191" s="290"/>
      <c r="K191" s="12"/>
    </row>
    <row r="192">
      <c r="B192" s="290"/>
      <c r="K192" s="12"/>
    </row>
    <row r="193">
      <c r="B193" s="290"/>
      <c r="K193" s="12"/>
    </row>
    <row r="194">
      <c r="B194" s="290"/>
      <c r="K194" s="12"/>
    </row>
    <row r="195">
      <c r="B195" s="290"/>
      <c r="K195" s="12"/>
    </row>
    <row r="196">
      <c r="B196" s="290"/>
      <c r="K196" s="12"/>
    </row>
    <row r="197">
      <c r="B197" s="290"/>
      <c r="K197" s="12"/>
    </row>
    <row r="198">
      <c r="B198" s="290"/>
      <c r="K198" s="12"/>
    </row>
    <row r="199">
      <c r="B199" s="290"/>
      <c r="K199" s="12"/>
    </row>
    <row r="200">
      <c r="B200" s="290"/>
      <c r="K200" s="12"/>
    </row>
    <row r="201">
      <c r="B201" s="290"/>
      <c r="K201" s="12"/>
    </row>
    <row r="202">
      <c r="B202" s="290"/>
      <c r="K202" s="12"/>
    </row>
    <row r="203">
      <c r="B203" s="290"/>
      <c r="K203" s="12"/>
    </row>
    <row r="204">
      <c r="B204" s="290"/>
      <c r="K204" s="12"/>
    </row>
    <row r="205">
      <c r="B205" s="290"/>
      <c r="K205" s="12"/>
    </row>
    <row r="206">
      <c r="B206" s="290"/>
      <c r="K206" s="12"/>
    </row>
    <row r="207">
      <c r="B207" s="290"/>
      <c r="K207" s="12"/>
    </row>
    <row r="208">
      <c r="B208" s="290"/>
      <c r="K208" s="12"/>
    </row>
    <row r="209">
      <c r="B209" s="290"/>
      <c r="K209" s="12"/>
    </row>
    <row r="210">
      <c r="B210" s="290"/>
      <c r="K210" s="12"/>
    </row>
    <row r="211">
      <c r="B211" s="290"/>
      <c r="K211" s="12"/>
    </row>
    <row r="212">
      <c r="B212" s="290"/>
      <c r="K212" s="12"/>
    </row>
    <row r="213">
      <c r="B213" s="290"/>
      <c r="K213" s="12"/>
    </row>
    <row r="214">
      <c r="B214" s="290"/>
      <c r="K214" s="12"/>
    </row>
    <row r="215">
      <c r="B215" s="290"/>
      <c r="K215" s="12"/>
    </row>
    <row r="216">
      <c r="B216" s="290"/>
      <c r="K216" s="12"/>
    </row>
    <row r="217">
      <c r="B217" s="290"/>
      <c r="K217" s="12"/>
    </row>
    <row r="218">
      <c r="B218" s="290"/>
      <c r="K218" s="12"/>
    </row>
    <row r="219">
      <c r="B219" s="290"/>
      <c r="K219" s="12"/>
    </row>
    <row r="220">
      <c r="B220" s="290"/>
      <c r="K220" s="12"/>
    </row>
    <row r="221">
      <c r="B221" s="290"/>
      <c r="K221" s="12"/>
    </row>
    <row r="222">
      <c r="B222" s="290"/>
      <c r="K222" s="12"/>
    </row>
    <row r="223">
      <c r="B223" s="290"/>
      <c r="K223" s="12"/>
    </row>
    <row r="224">
      <c r="B224" s="290"/>
      <c r="K224" s="12"/>
    </row>
    <row r="225">
      <c r="B225" s="290"/>
      <c r="K225" s="12"/>
    </row>
    <row r="226">
      <c r="B226" s="290"/>
      <c r="K226" s="12"/>
    </row>
    <row r="227">
      <c r="B227" s="290"/>
      <c r="K227" s="12"/>
    </row>
    <row r="228">
      <c r="B228" s="290"/>
      <c r="K228" s="12"/>
    </row>
    <row r="229">
      <c r="B229" s="290"/>
      <c r="K229" s="12"/>
    </row>
    <row r="230">
      <c r="B230" s="290"/>
      <c r="K230" s="12"/>
    </row>
    <row r="231">
      <c r="B231" s="290"/>
      <c r="K231" s="12"/>
    </row>
    <row r="232">
      <c r="B232" s="290"/>
      <c r="K232" s="12"/>
    </row>
    <row r="233">
      <c r="B233" s="290"/>
      <c r="K233" s="12"/>
    </row>
    <row r="234">
      <c r="B234" s="290"/>
      <c r="K234" s="12"/>
    </row>
    <row r="235">
      <c r="B235" s="290"/>
      <c r="K235" s="12"/>
    </row>
    <row r="236">
      <c r="B236" s="290"/>
      <c r="K236" s="12"/>
    </row>
    <row r="237">
      <c r="B237" s="290"/>
      <c r="K237" s="12"/>
    </row>
    <row r="238">
      <c r="B238" s="290"/>
      <c r="K238" s="12"/>
    </row>
    <row r="239">
      <c r="B239" s="290"/>
      <c r="K239" s="12"/>
    </row>
    <row r="240">
      <c r="B240" s="290"/>
      <c r="K240" s="12"/>
    </row>
    <row r="241">
      <c r="B241" s="290"/>
      <c r="K241" s="12"/>
    </row>
    <row r="242">
      <c r="B242" s="290"/>
      <c r="K242" s="12"/>
    </row>
    <row r="243">
      <c r="B243" s="290"/>
      <c r="K243" s="12"/>
    </row>
    <row r="244">
      <c r="B244" s="290"/>
      <c r="K244" s="12"/>
    </row>
    <row r="245">
      <c r="B245" s="290"/>
      <c r="K245" s="12"/>
    </row>
    <row r="246">
      <c r="B246" s="290"/>
      <c r="K246" s="12"/>
    </row>
    <row r="247">
      <c r="B247" s="290"/>
      <c r="K247" s="12"/>
    </row>
    <row r="248">
      <c r="B248" s="290"/>
      <c r="K248" s="12"/>
    </row>
    <row r="249">
      <c r="B249" s="290"/>
      <c r="K249" s="12"/>
    </row>
    <row r="250">
      <c r="B250" s="290"/>
      <c r="K250" s="12"/>
    </row>
    <row r="251">
      <c r="B251" s="290"/>
      <c r="K251" s="12"/>
    </row>
    <row r="252">
      <c r="B252" s="290"/>
      <c r="K252" s="12"/>
    </row>
    <row r="253">
      <c r="B253" s="290"/>
      <c r="K253" s="12"/>
    </row>
    <row r="254">
      <c r="B254" s="290"/>
      <c r="K254" s="12"/>
    </row>
    <row r="255">
      <c r="B255" s="290"/>
      <c r="K255" s="12"/>
    </row>
    <row r="256">
      <c r="B256" s="290"/>
      <c r="K256" s="12"/>
    </row>
    <row r="257">
      <c r="B257" s="290"/>
      <c r="K257" s="12"/>
    </row>
    <row r="258">
      <c r="B258" s="290"/>
      <c r="K258" s="12"/>
    </row>
    <row r="259">
      <c r="B259" s="290"/>
      <c r="K259" s="12"/>
    </row>
    <row r="260">
      <c r="B260" s="290"/>
      <c r="K260" s="12"/>
    </row>
    <row r="261">
      <c r="B261" s="290"/>
      <c r="K261" s="12"/>
    </row>
    <row r="262">
      <c r="B262" s="290"/>
      <c r="K262" s="12"/>
    </row>
    <row r="263">
      <c r="B263" s="290"/>
      <c r="K263" s="12"/>
    </row>
    <row r="264">
      <c r="B264" s="290"/>
      <c r="K264" s="12"/>
    </row>
    <row r="265">
      <c r="B265" s="290"/>
      <c r="K265" s="12"/>
    </row>
    <row r="266">
      <c r="B266" s="290"/>
      <c r="K266" s="12"/>
    </row>
    <row r="267">
      <c r="B267" s="290"/>
      <c r="K267" s="12"/>
    </row>
    <row r="268">
      <c r="B268" s="290"/>
      <c r="K268" s="12"/>
    </row>
    <row r="269">
      <c r="B269" s="290"/>
      <c r="K269" s="12"/>
    </row>
    <row r="270">
      <c r="B270" s="290"/>
      <c r="K270" s="12"/>
    </row>
    <row r="271">
      <c r="B271" s="290"/>
      <c r="K271" s="12"/>
    </row>
    <row r="272">
      <c r="B272" s="290"/>
      <c r="K272" s="12"/>
    </row>
    <row r="273">
      <c r="B273" s="290"/>
      <c r="K273" s="12"/>
    </row>
    <row r="274">
      <c r="B274" s="290"/>
      <c r="K274" s="12"/>
    </row>
    <row r="275">
      <c r="B275" s="290"/>
      <c r="K275" s="12"/>
    </row>
    <row r="276">
      <c r="B276" s="290"/>
      <c r="K276" s="12"/>
    </row>
    <row r="277">
      <c r="B277" s="290"/>
      <c r="K277" s="12"/>
    </row>
    <row r="278">
      <c r="B278" s="290"/>
      <c r="K278" s="12"/>
    </row>
    <row r="279">
      <c r="B279" s="290"/>
      <c r="K279" s="12"/>
    </row>
    <row r="280">
      <c r="B280" s="290"/>
      <c r="K280" s="12"/>
    </row>
    <row r="281">
      <c r="B281" s="290"/>
      <c r="K281" s="12"/>
    </row>
    <row r="282">
      <c r="B282" s="290"/>
      <c r="K282" s="12"/>
    </row>
    <row r="283">
      <c r="B283" s="290"/>
      <c r="K283" s="12"/>
    </row>
    <row r="284">
      <c r="B284" s="290"/>
      <c r="K284" s="12"/>
    </row>
    <row r="285">
      <c r="B285" s="290"/>
      <c r="K285" s="12"/>
    </row>
    <row r="286">
      <c r="B286" s="290"/>
      <c r="K286" s="12"/>
    </row>
    <row r="287">
      <c r="B287" s="290"/>
      <c r="K287" s="12"/>
    </row>
    <row r="288">
      <c r="B288" s="290"/>
      <c r="K288" s="12"/>
    </row>
    <row r="289">
      <c r="B289" s="290"/>
      <c r="K289" s="12"/>
    </row>
    <row r="290">
      <c r="B290" s="290"/>
      <c r="K290" s="12"/>
    </row>
    <row r="291">
      <c r="B291" s="290"/>
      <c r="K291" s="12"/>
    </row>
    <row r="292">
      <c r="B292" s="290"/>
      <c r="K292" s="12"/>
    </row>
    <row r="293">
      <c r="B293" s="290"/>
      <c r="K293" s="12"/>
    </row>
    <row r="294">
      <c r="B294" s="290"/>
      <c r="K294" s="12"/>
    </row>
    <row r="295">
      <c r="B295" s="290"/>
      <c r="K295" s="12"/>
    </row>
    <row r="296">
      <c r="B296" s="290"/>
      <c r="K296" s="12"/>
    </row>
    <row r="297">
      <c r="B297" s="290"/>
      <c r="K297" s="12"/>
    </row>
    <row r="298">
      <c r="B298" s="290"/>
      <c r="K298" s="12"/>
    </row>
    <row r="299">
      <c r="B299" s="290"/>
      <c r="K299" s="12"/>
    </row>
    <row r="300">
      <c r="B300" s="290"/>
      <c r="K300" s="12"/>
    </row>
    <row r="301">
      <c r="B301" s="290"/>
      <c r="K301" s="12"/>
    </row>
    <row r="302">
      <c r="B302" s="290"/>
      <c r="K302" s="12"/>
    </row>
    <row r="303">
      <c r="B303" s="290"/>
      <c r="K303" s="12"/>
    </row>
    <row r="304">
      <c r="B304" s="290"/>
      <c r="K304" s="12"/>
    </row>
    <row r="305">
      <c r="B305" s="290"/>
      <c r="K305" s="12"/>
    </row>
    <row r="306">
      <c r="B306" s="290"/>
      <c r="K306" s="12"/>
    </row>
    <row r="307">
      <c r="B307" s="290"/>
      <c r="K307" s="12"/>
    </row>
    <row r="308">
      <c r="B308" s="290"/>
      <c r="K308" s="12"/>
    </row>
    <row r="309">
      <c r="B309" s="290"/>
      <c r="K309" s="12"/>
    </row>
    <row r="310">
      <c r="B310" s="290"/>
      <c r="K310" s="12"/>
    </row>
    <row r="311">
      <c r="B311" s="290"/>
      <c r="K311" s="12"/>
    </row>
    <row r="312">
      <c r="B312" s="290"/>
      <c r="K312" s="12"/>
    </row>
    <row r="313">
      <c r="B313" s="290"/>
      <c r="K313" s="12"/>
    </row>
    <row r="314">
      <c r="B314" s="290"/>
      <c r="K314" s="12"/>
    </row>
    <row r="315">
      <c r="B315" s="290"/>
      <c r="K315" s="12"/>
    </row>
    <row r="316">
      <c r="B316" s="290"/>
      <c r="K316" s="12"/>
    </row>
    <row r="317">
      <c r="B317" s="290"/>
      <c r="K317" s="12"/>
    </row>
    <row r="318">
      <c r="B318" s="290"/>
      <c r="K318" s="12"/>
    </row>
    <row r="319">
      <c r="B319" s="290"/>
      <c r="K319" s="12"/>
    </row>
    <row r="320">
      <c r="B320" s="290"/>
      <c r="K320" s="12"/>
    </row>
    <row r="321">
      <c r="B321" s="290"/>
      <c r="K321" s="12"/>
    </row>
    <row r="322">
      <c r="B322" s="290"/>
      <c r="K322" s="12"/>
    </row>
    <row r="323">
      <c r="B323" s="290"/>
      <c r="K323" s="12"/>
    </row>
    <row r="324">
      <c r="B324" s="290"/>
      <c r="K324" s="12"/>
    </row>
    <row r="325">
      <c r="B325" s="290"/>
      <c r="K325" s="12"/>
    </row>
    <row r="326">
      <c r="B326" s="290"/>
      <c r="K326" s="12"/>
    </row>
    <row r="327">
      <c r="B327" s="290"/>
      <c r="K327" s="12"/>
    </row>
    <row r="328">
      <c r="B328" s="290"/>
      <c r="K328" s="12"/>
    </row>
    <row r="329">
      <c r="B329" s="290"/>
      <c r="K329" s="12"/>
    </row>
    <row r="330">
      <c r="B330" s="290"/>
      <c r="K330" s="12"/>
    </row>
    <row r="331">
      <c r="B331" s="290"/>
      <c r="K331" s="12"/>
    </row>
    <row r="332">
      <c r="B332" s="290"/>
      <c r="K332" s="12"/>
    </row>
    <row r="333">
      <c r="B333" s="290"/>
      <c r="K333" s="12"/>
    </row>
    <row r="334">
      <c r="B334" s="290"/>
      <c r="K334" s="12"/>
    </row>
    <row r="335">
      <c r="B335" s="290"/>
      <c r="K335" s="12"/>
    </row>
    <row r="336">
      <c r="B336" s="290"/>
      <c r="K336" s="12"/>
    </row>
    <row r="337">
      <c r="B337" s="290"/>
      <c r="K337" s="12"/>
    </row>
    <row r="338">
      <c r="B338" s="290"/>
      <c r="K338" s="12"/>
    </row>
    <row r="339">
      <c r="B339" s="290"/>
      <c r="K339" s="12"/>
    </row>
    <row r="340">
      <c r="B340" s="290"/>
      <c r="K340" s="12"/>
    </row>
    <row r="341">
      <c r="B341" s="290"/>
      <c r="K341" s="12"/>
    </row>
    <row r="342">
      <c r="B342" s="290"/>
      <c r="K342" s="12"/>
    </row>
    <row r="343">
      <c r="B343" s="290"/>
      <c r="K343" s="12"/>
    </row>
    <row r="344">
      <c r="B344" s="290"/>
      <c r="K344" s="12"/>
    </row>
    <row r="345">
      <c r="B345" s="290"/>
      <c r="K345" s="12"/>
    </row>
    <row r="346">
      <c r="B346" s="290"/>
      <c r="K346" s="12"/>
    </row>
    <row r="347">
      <c r="B347" s="290"/>
      <c r="K347" s="12"/>
    </row>
    <row r="348">
      <c r="B348" s="290"/>
      <c r="K348" s="12"/>
    </row>
    <row r="349">
      <c r="B349" s="290"/>
      <c r="K349" s="12"/>
    </row>
    <row r="350">
      <c r="B350" s="290"/>
      <c r="K350" s="12"/>
    </row>
    <row r="351">
      <c r="B351" s="290"/>
      <c r="K351" s="12"/>
    </row>
    <row r="352">
      <c r="B352" s="290"/>
      <c r="K352" s="12"/>
    </row>
    <row r="353">
      <c r="B353" s="290"/>
      <c r="K353" s="12"/>
    </row>
    <row r="354">
      <c r="B354" s="290"/>
      <c r="K354" s="12"/>
    </row>
    <row r="355">
      <c r="B355" s="290"/>
      <c r="K355" s="12"/>
    </row>
    <row r="356">
      <c r="B356" s="290"/>
      <c r="K356" s="12"/>
    </row>
    <row r="357">
      <c r="B357" s="290"/>
      <c r="K357" s="12"/>
    </row>
    <row r="358">
      <c r="B358" s="290"/>
      <c r="K358" s="12"/>
    </row>
    <row r="359">
      <c r="B359" s="290"/>
      <c r="K359" s="12"/>
    </row>
    <row r="360">
      <c r="B360" s="290"/>
      <c r="K360" s="12"/>
    </row>
    <row r="361">
      <c r="B361" s="290"/>
      <c r="K361" s="12"/>
    </row>
    <row r="362">
      <c r="B362" s="290"/>
      <c r="K362" s="12"/>
    </row>
    <row r="363">
      <c r="B363" s="290"/>
      <c r="K363" s="12"/>
    </row>
    <row r="364">
      <c r="B364" s="290"/>
      <c r="K364" s="12"/>
    </row>
    <row r="365">
      <c r="B365" s="290"/>
      <c r="K365" s="12"/>
    </row>
    <row r="366">
      <c r="B366" s="290"/>
      <c r="K366" s="12"/>
    </row>
    <row r="367">
      <c r="B367" s="290"/>
      <c r="K367" s="12"/>
    </row>
    <row r="368">
      <c r="B368" s="290"/>
      <c r="K368" s="12"/>
    </row>
    <row r="369">
      <c r="B369" s="290"/>
      <c r="K369" s="12"/>
    </row>
    <row r="370">
      <c r="B370" s="290"/>
      <c r="K370" s="12"/>
    </row>
    <row r="371">
      <c r="B371" s="290"/>
      <c r="K371" s="12"/>
    </row>
    <row r="372">
      <c r="B372" s="290"/>
      <c r="K372" s="12"/>
    </row>
    <row r="373">
      <c r="B373" s="290"/>
      <c r="K373" s="12"/>
    </row>
    <row r="374">
      <c r="B374" s="290"/>
      <c r="K374" s="12"/>
    </row>
    <row r="375">
      <c r="B375" s="290"/>
      <c r="K375" s="12"/>
    </row>
    <row r="376">
      <c r="B376" s="290"/>
      <c r="K376" s="12"/>
    </row>
    <row r="377">
      <c r="B377" s="290"/>
      <c r="K377" s="12"/>
    </row>
    <row r="378">
      <c r="B378" s="290"/>
      <c r="K378" s="12"/>
    </row>
    <row r="379">
      <c r="B379" s="290"/>
      <c r="K379" s="12"/>
    </row>
    <row r="380">
      <c r="B380" s="290"/>
      <c r="K380" s="12"/>
    </row>
    <row r="381">
      <c r="B381" s="290"/>
      <c r="K381" s="12"/>
    </row>
    <row r="382">
      <c r="B382" s="290"/>
      <c r="K382" s="12"/>
    </row>
    <row r="383">
      <c r="B383" s="290"/>
      <c r="K383" s="12"/>
    </row>
    <row r="384">
      <c r="B384" s="290"/>
      <c r="K384" s="12"/>
    </row>
    <row r="385">
      <c r="B385" s="290"/>
      <c r="K385" s="12"/>
    </row>
    <row r="386">
      <c r="B386" s="290"/>
      <c r="K386" s="12"/>
    </row>
    <row r="387">
      <c r="B387" s="290"/>
      <c r="K387" s="12"/>
    </row>
    <row r="388">
      <c r="B388" s="290"/>
      <c r="K388" s="12"/>
    </row>
    <row r="389">
      <c r="B389" s="290"/>
      <c r="K389" s="12"/>
    </row>
    <row r="390">
      <c r="B390" s="290"/>
      <c r="K390" s="12"/>
    </row>
    <row r="391">
      <c r="B391" s="290"/>
      <c r="K391" s="12"/>
    </row>
    <row r="392">
      <c r="B392" s="290"/>
      <c r="K392" s="12"/>
    </row>
    <row r="393">
      <c r="B393" s="290"/>
      <c r="K393" s="12"/>
    </row>
    <row r="394">
      <c r="B394" s="290"/>
      <c r="K394" s="12"/>
    </row>
    <row r="395">
      <c r="B395" s="290"/>
      <c r="K395" s="12"/>
    </row>
    <row r="396">
      <c r="B396" s="290"/>
      <c r="K396" s="12"/>
    </row>
    <row r="397">
      <c r="B397" s="290"/>
      <c r="K397" s="12"/>
    </row>
    <row r="398">
      <c r="B398" s="290"/>
      <c r="K398" s="12"/>
    </row>
    <row r="399">
      <c r="B399" s="290"/>
      <c r="K399" s="12"/>
    </row>
    <row r="400">
      <c r="B400" s="290"/>
      <c r="K400" s="12"/>
    </row>
    <row r="401">
      <c r="B401" s="290"/>
      <c r="K401" s="12"/>
    </row>
    <row r="402">
      <c r="B402" s="290"/>
      <c r="K402" s="12"/>
    </row>
    <row r="403">
      <c r="B403" s="290"/>
      <c r="K403" s="12"/>
    </row>
    <row r="404">
      <c r="B404" s="290"/>
      <c r="K404" s="12"/>
    </row>
    <row r="405">
      <c r="B405" s="290"/>
      <c r="K405" s="12"/>
    </row>
    <row r="406">
      <c r="B406" s="290"/>
      <c r="K406" s="12"/>
    </row>
    <row r="407">
      <c r="B407" s="290"/>
      <c r="K407" s="12"/>
    </row>
    <row r="408">
      <c r="B408" s="290"/>
      <c r="K408" s="12"/>
    </row>
    <row r="409">
      <c r="B409" s="290"/>
      <c r="K409" s="12"/>
    </row>
    <row r="410">
      <c r="B410" s="290"/>
      <c r="K410" s="12"/>
    </row>
    <row r="411">
      <c r="B411" s="290"/>
      <c r="K411" s="12"/>
    </row>
    <row r="412">
      <c r="B412" s="290"/>
      <c r="K412" s="12"/>
    </row>
    <row r="413">
      <c r="B413" s="290"/>
      <c r="K413" s="12"/>
    </row>
    <row r="414">
      <c r="B414" s="290"/>
      <c r="K414" s="12"/>
    </row>
    <row r="415">
      <c r="B415" s="290"/>
      <c r="K415" s="12"/>
    </row>
    <row r="416">
      <c r="B416" s="290"/>
      <c r="K416" s="12"/>
    </row>
    <row r="417">
      <c r="B417" s="290"/>
      <c r="K417" s="12"/>
    </row>
    <row r="418">
      <c r="B418" s="290"/>
      <c r="K418" s="12"/>
    </row>
    <row r="419">
      <c r="B419" s="290"/>
      <c r="K419" s="12"/>
    </row>
    <row r="420">
      <c r="B420" s="290"/>
      <c r="K420" s="12"/>
    </row>
    <row r="421">
      <c r="B421" s="290"/>
      <c r="K421" s="12"/>
    </row>
    <row r="422">
      <c r="B422" s="290"/>
      <c r="K422" s="12"/>
    </row>
    <row r="423">
      <c r="B423" s="290"/>
      <c r="K423" s="12"/>
    </row>
    <row r="424">
      <c r="B424" s="290"/>
      <c r="K424" s="12"/>
    </row>
    <row r="425">
      <c r="B425" s="290"/>
      <c r="K425" s="12"/>
    </row>
    <row r="426">
      <c r="B426" s="290"/>
      <c r="K426" s="12"/>
    </row>
    <row r="427">
      <c r="B427" s="290"/>
      <c r="K427" s="12"/>
    </row>
    <row r="428">
      <c r="B428" s="290"/>
      <c r="K428" s="12"/>
    </row>
    <row r="429">
      <c r="B429" s="290"/>
      <c r="K429" s="12"/>
    </row>
    <row r="430">
      <c r="B430" s="290"/>
      <c r="K430" s="12"/>
    </row>
    <row r="431">
      <c r="B431" s="290"/>
      <c r="K431" s="12"/>
    </row>
    <row r="432">
      <c r="B432" s="290"/>
      <c r="K432" s="12"/>
    </row>
    <row r="433">
      <c r="B433" s="290"/>
      <c r="K433" s="12"/>
    </row>
    <row r="434">
      <c r="B434" s="290"/>
      <c r="K434" s="12"/>
    </row>
    <row r="435">
      <c r="B435" s="290"/>
      <c r="K435" s="12"/>
    </row>
    <row r="436">
      <c r="B436" s="290"/>
      <c r="K436" s="12"/>
    </row>
    <row r="437">
      <c r="B437" s="290"/>
      <c r="K437" s="12"/>
    </row>
    <row r="438">
      <c r="B438" s="290"/>
      <c r="K438" s="12"/>
    </row>
    <row r="439">
      <c r="B439" s="290"/>
      <c r="K439" s="12"/>
    </row>
    <row r="440">
      <c r="B440" s="290"/>
      <c r="K440" s="12"/>
    </row>
    <row r="441">
      <c r="B441" s="290"/>
      <c r="K441" s="12"/>
    </row>
    <row r="442">
      <c r="B442" s="290"/>
      <c r="K442" s="12"/>
    </row>
    <row r="443">
      <c r="B443" s="290"/>
      <c r="K443" s="12"/>
    </row>
    <row r="444">
      <c r="B444" s="290"/>
      <c r="K444" s="12"/>
    </row>
    <row r="445">
      <c r="B445" s="290"/>
      <c r="K445" s="12"/>
    </row>
    <row r="446">
      <c r="B446" s="290"/>
      <c r="K446" s="12"/>
    </row>
    <row r="447">
      <c r="B447" s="290"/>
      <c r="K447" s="12"/>
    </row>
    <row r="448">
      <c r="B448" s="290"/>
      <c r="K448" s="12"/>
    </row>
    <row r="449">
      <c r="B449" s="290"/>
      <c r="K449" s="12"/>
    </row>
    <row r="450">
      <c r="B450" s="290"/>
      <c r="K450" s="12"/>
    </row>
    <row r="451">
      <c r="B451" s="290"/>
      <c r="K451" s="12"/>
    </row>
    <row r="452">
      <c r="B452" s="290"/>
      <c r="K452" s="12"/>
    </row>
    <row r="453">
      <c r="B453" s="290"/>
      <c r="K453" s="12"/>
    </row>
    <row r="454">
      <c r="B454" s="290"/>
      <c r="K454" s="12"/>
    </row>
    <row r="455">
      <c r="B455" s="290"/>
      <c r="K455" s="12"/>
    </row>
    <row r="456">
      <c r="B456" s="290"/>
      <c r="K456" s="12"/>
    </row>
    <row r="457">
      <c r="B457" s="290"/>
      <c r="K457" s="12"/>
    </row>
    <row r="458">
      <c r="B458" s="290"/>
      <c r="K458" s="12"/>
    </row>
    <row r="459">
      <c r="B459" s="290"/>
      <c r="K459" s="12"/>
    </row>
    <row r="460">
      <c r="B460" s="290"/>
      <c r="K460" s="12"/>
    </row>
    <row r="461">
      <c r="B461" s="290"/>
      <c r="K461" s="12"/>
    </row>
    <row r="462">
      <c r="B462" s="290"/>
      <c r="K462" s="12"/>
    </row>
    <row r="463">
      <c r="B463" s="290"/>
      <c r="K463" s="12"/>
    </row>
    <row r="464">
      <c r="B464" s="290"/>
      <c r="K464" s="12"/>
    </row>
    <row r="465">
      <c r="B465" s="290"/>
      <c r="K465" s="12"/>
    </row>
    <row r="466">
      <c r="B466" s="290"/>
      <c r="K466" s="12"/>
    </row>
    <row r="467">
      <c r="B467" s="290"/>
      <c r="K467" s="12"/>
    </row>
    <row r="468">
      <c r="B468" s="290"/>
      <c r="K468" s="12"/>
    </row>
    <row r="469">
      <c r="B469" s="290"/>
      <c r="K469" s="12"/>
    </row>
    <row r="470">
      <c r="B470" s="290"/>
      <c r="K470" s="12"/>
    </row>
    <row r="471">
      <c r="B471" s="290"/>
      <c r="K471" s="12"/>
    </row>
    <row r="472">
      <c r="B472" s="290"/>
      <c r="K472" s="12"/>
    </row>
    <row r="473">
      <c r="B473" s="290"/>
      <c r="K473" s="12"/>
    </row>
    <row r="474">
      <c r="B474" s="290"/>
      <c r="K474" s="12"/>
    </row>
    <row r="475">
      <c r="B475" s="290"/>
      <c r="K475" s="12"/>
    </row>
    <row r="476">
      <c r="B476" s="290"/>
      <c r="K476" s="12"/>
    </row>
    <row r="477">
      <c r="B477" s="290"/>
      <c r="K477" s="12"/>
    </row>
    <row r="478">
      <c r="B478" s="290"/>
      <c r="K478" s="12"/>
    </row>
    <row r="479">
      <c r="B479" s="290"/>
      <c r="K479" s="12"/>
    </row>
    <row r="480">
      <c r="B480" s="290"/>
      <c r="K480" s="12"/>
    </row>
    <row r="481">
      <c r="B481" s="290"/>
      <c r="K481" s="12"/>
    </row>
    <row r="482">
      <c r="B482" s="290"/>
      <c r="K482" s="12"/>
    </row>
    <row r="483">
      <c r="B483" s="290"/>
      <c r="K483" s="12"/>
    </row>
    <row r="484">
      <c r="B484" s="290"/>
      <c r="K484" s="12"/>
    </row>
    <row r="485">
      <c r="B485" s="290"/>
      <c r="K485" s="12"/>
    </row>
    <row r="486">
      <c r="B486" s="290"/>
      <c r="K486" s="12"/>
    </row>
    <row r="487">
      <c r="B487" s="290"/>
      <c r="K487" s="12"/>
    </row>
    <row r="488">
      <c r="B488" s="290"/>
      <c r="K488" s="12"/>
    </row>
    <row r="489">
      <c r="B489" s="290"/>
      <c r="K489" s="12"/>
    </row>
    <row r="490">
      <c r="B490" s="290"/>
      <c r="K490" s="12"/>
    </row>
    <row r="491">
      <c r="B491" s="290"/>
      <c r="K491" s="12"/>
    </row>
    <row r="492">
      <c r="B492" s="290"/>
      <c r="K492" s="12"/>
    </row>
    <row r="493">
      <c r="B493" s="290"/>
      <c r="K493" s="12"/>
    </row>
    <row r="494">
      <c r="B494" s="290"/>
      <c r="K494" s="12"/>
    </row>
    <row r="495">
      <c r="B495" s="290"/>
      <c r="K495" s="12"/>
    </row>
    <row r="496">
      <c r="B496" s="290"/>
      <c r="K496" s="12"/>
    </row>
    <row r="497">
      <c r="B497" s="290"/>
      <c r="K497" s="12"/>
    </row>
    <row r="498">
      <c r="B498" s="290"/>
      <c r="K498" s="12"/>
    </row>
    <row r="499">
      <c r="B499" s="290"/>
      <c r="K499" s="12"/>
    </row>
    <row r="500">
      <c r="B500" s="290"/>
      <c r="K500" s="12"/>
    </row>
    <row r="501">
      <c r="B501" s="290"/>
      <c r="K501" s="12"/>
    </row>
    <row r="502">
      <c r="B502" s="290"/>
      <c r="K502" s="12"/>
    </row>
    <row r="503">
      <c r="B503" s="290"/>
      <c r="K503" s="12"/>
    </row>
    <row r="504">
      <c r="B504" s="290"/>
      <c r="K504" s="12"/>
    </row>
    <row r="505">
      <c r="B505" s="290"/>
      <c r="K505" s="12"/>
    </row>
    <row r="506">
      <c r="B506" s="290"/>
      <c r="K506" s="12"/>
    </row>
    <row r="507">
      <c r="B507" s="290"/>
      <c r="K507" s="12"/>
    </row>
    <row r="508">
      <c r="B508" s="290"/>
      <c r="K508" s="12"/>
    </row>
    <row r="509">
      <c r="B509" s="290"/>
      <c r="K509" s="12"/>
    </row>
    <row r="510">
      <c r="B510" s="290"/>
      <c r="K510" s="12"/>
    </row>
    <row r="511">
      <c r="B511" s="290"/>
      <c r="K511" s="12"/>
    </row>
    <row r="512">
      <c r="B512" s="290"/>
      <c r="K512" s="12"/>
    </row>
    <row r="513">
      <c r="B513" s="290"/>
      <c r="K513" s="12"/>
    </row>
    <row r="514">
      <c r="B514" s="290"/>
      <c r="K514" s="12"/>
    </row>
    <row r="515">
      <c r="B515" s="290"/>
      <c r="K515" s="12"/>
    </row>
    <row r="516">
      <c r="B516" s="290"/>
      <c r="K516" s="12"/>
    </row>
    <row r="517">
      <c r="B517" s="290"/>
      <c r="K517" s="12"/>
    </row>
    <row r="518">
      <c r="B518" s="290"/>
      <c r="K518" s="12"/>
    </row>
    <row r="519">
      <c r="B519" s="290"/>
      <c r="K519" s="12"/>
    </row>
    <row r="520">
      <c r="B520" s="290"/>
      <c r="K520" s="12"/>
    </row>
    <row r="521">
      <c r="B521" s="290"/>
      <c r="K521" s="12"/>
    </row>
    <row r="522">
      <c r="B522" s="290"/>
      <c r="K522" s="12"/>
    </row>
    <row r="523">
      <c r="B523" s="290"/>
      <c r="K523" s="12"/>
    </row>
    <row r="524">
      <c r="B524" s="290"/>
      <c r="K524" s="12"/>
    </row>
    <row r="525">
      <c r="B525" s="290"/>
      <c r="K525" s="12"/>
    </row>
    <row r="526">
      <c r="B526" s="290"/>
      <c r="K526" s="12"/>
    </row>
    <row r="527">
      <c r="B527" s="290"/>
      <c r="K527" s="12"/>
    </row>
    <row r="528">
      <c r="B528" s="290"/>
      <c r="K528" s="12"/>
    </row>
    <row r="529">
      <c r="B529" s="290"/>
      <c r="K529" s="12"/>
    </row>
    <row r="530">
      <c r="B530" s="290"/>
      <c r="K530" s="12"/>
    </row>
    <row r="531">
      <c r="B531" s="290"/>
      <c r="K531" s="12"/>
    </row>
    <row r="532">
      <c r="B532" s="290"/>
      <c r="K532" s="12"/>
    </row>
    <row r="533">
      <c r="B533" s="290"/>
      <c r="K533" s="12"/>
    </row>
    <row r="534">
      <c r="B534" s="290"/>
      <c r="K534" s="12"/>
    </row>
    <row r="535">
      <c r="B535" s="290"/>
      <c r="K535" s="12"/>
    </row>
    <row r="536">
      <c r="B536" s="290"/>
      <c r="K536" s="12"/>
    </row>
    <row r="537">
      <c r="B537" s="290"/>
      <c r="K537" s="12"/>
    </row>
    <row r="538">
      <c r="B538" s="290"/>
      <c r="K538" s="12"/>
    </row>
    <row r="539">
      <c r="B539" s="290"/>
      <c r="K539" s="12"/>
    </row>
    <row r="540">
      <c r="B540" s="290"/>
      <c r="K540" s="12"/>
    </row>
    <row r="541">
      <c r="B541" s="290"/>
      <c r="K541" s="12"/>
    </row>
    <row r="542">
      <c r="B542" s="290"/>
      <c r="K542" s="12"/>
    </row>
    <row r="543">
      <c r="B543" s="290"/>
      <c r="K543" s="12"/>
    </row>
    <row r="544">
      <c r="B544" s="290"/>
      <c r="K544" s="12"/>
    </row>
    <row r="545">
      <c r="B545" s="290"/>
      <c r="K545" s="12"/>
    </row>
    <row r="546">
      <c r="B546" s="290"/>
      <c r="K546" s="12"/>
    </row>
    <row r="547">
      <c r="B547" s="290"/>
      <c r="K547" s="12"/>
    </row>
    <row r="548">
      <c r="B548" s="290"/>
      <c r="K548" s="12"/>
    </row>
    <row r="549">
      <c r="B549" s="290"/>
      <c r="K549" s="12"/>
    </row>
    <row r="550">
      <c r="B550" s="290"/>
      <c r="K550" s="12"/>
    </row>
    <row r="551">
      <c r="B551" s="290"/>
      <c r="K551" s="12"/>
    </row>
    <row r="552">
      <c r="B552" s="290"/>
      <c r="K552" s="12"/>
    </row>
    <row r="553">
      <c r="B553" s="290"/>
      <c r="K553" s="12"/>
    </row>
    <row r="554">
      <c r="B554" s="290"/>
      <c r="K554" s="12"/>
    </row>
    <row r="555">
      <c r="B555" s="290"/>
      <c r="K555" s="12"/>
    </row>
    <row r="556">
      <c r="B556" s="290"/>
      <c r="K556" s="12"/>
    </row>
    <row r="557">
      <c r="B557" s="290"/>
      <c r="K557" s="12"/>
    </row>
    <row r="558">
      <c r="B558" s="290"/>
      <c r="K558" s="12"/>
    </row>
    <row r="559">
      <c r="B559" s="290"/>
      <c r="K559" s="12"/>
    </row>
    <row r="560">
      <c r="B560" s="290"/>
      <c r="K560" s="12"/>
    </row>
    <row r="561">
      <c r="B561" s="290"/>
      <c r="K561" s="12"/>
    </row>
    <row r="562">
      <c r="B562" s="290"/>
      <c r="K562" s="12"/>
    </row>
    <row r="563">
      <c r="B563" s="290"/>
      <c r="K563" s="12"/>
    </row>
    <row r="564">
      <c r="B564" s="290"/>
      <c r="K564" s="12"/>
    </row>
    <row r="565">
      <c r="B565" s="290"/>
      <c r="K565" s="12"/>
    </row>
    <row r="566">
      <c r="B566" s="290"/>
      <c r="K566" s="12"/>
    </row>
    <row r="567">
      <c r="B567" s="290"/>
      <c r="K567" s="12"/>
    </row>
    <row r="568">
      <c r="B568" s="290"/>
      <c r="K568" s="12"/>
    </row>
    <row r="569">
      <c r="B569" s="290"/>
      <c r="K569" s="12"/>
    </row>
    <row r="570">
      <c r="B570" s="290"/>
      <c r="K570" s="12"/>
    </row>
    <row r="571">
      <c r="B571" s="290"/>
      <c r="K571" s="12"/>
    </row>
    <row r="572">
      <c r="B572" s="290"/>
      <c r="K572" s="12"/>
    </row>
    <row r="573">
      <c r="B573" s="290"/>
      <c r="K573" s="12"/>
    </row>
    <row r="574">
      <c r="B574" s="290"/>
      <c r="K574" s="12"/>
    </row>
    <row r="575">
      <c r="B575" s="290"/>
      <c r="K575" s="12"/>
    </row>
    <row r="576">
      <c r="B576" s="290"/>
      <c r="K576" s="12"/>
    </row>
    <row r="577">
      <c r="B577" s="290"/>
      <c r="K577" s="12"/>
    </row>
    <row r="578">
      <c r="B578" s="290"/>
      <c r="K578" s="12"/>
    </row>
    <row r="579">
      <c r="B579" s="290"/>
      <c r="K579" s="12"/>
    </row>
    <row r="580">
      <c r="B580" s="290"/>
      <c r="K580" s="12"/>
    </row>
    <row r="581">
      <c r="B581" s="290"/>
      <c r="K581" s="12"/>
    </row>
    <row r="582">
      <c r="B582" s="290"/>
      <c r="K582" s="12"/>
    </row>
    <row r="583">
      <c r="B583" s="290"/>
      <c r="K583" s="12"/>
    </row>
    <row r="584">
      <c r="B584" s="290"/>
      <c r="K584" s="12"/>
    </row>
    <row r="585">
      <c r="B585" s="290"/>
      <c r="K585" s="12"/>
    </row>
    <row r="586">
      <c r="B586" s="290"/>
      <c r="K586" s="12"/>
    </row>
    <row r="587">
      <c r="B587" s="290"/>
      <c r="K587" s="12"/>
    </row>
    <row r="588">
      <c r="B588" s="290"/>
      <c r="K588" s="12"/>
    </row>
    <row r="589">
      <c r="B589" s="290"/>
      <c r="K589" s="12"/>
    </row>
    <row r="590">
      <c r="B590" s="290"/>
      <c r="K590" s="12"/>
    </row>
    <row r="591">
      <c r="B591" s="290"/>
      <c r="K591" s="12"/>
    </row>
    <row r="592">
      <c r="B592" s="290"/>
      <c r="K592" s="12"/>
    </row>
    <row r="593">
      <c r="B593" s="290"/>
      <c r="K593" s="12"/>
    </row>
    <row r="594">
      <c r="B594" s="290"/>
      <c r="K594" s="12"/>
    </row>
    <row r="595">
      <c r="B595" s="290"/>
      <c r="K595" s="12"/>
    </row>
    <row r="596">
      <c r="B596" s="290"/>
      <c r="K596" s="12"/>
    </row>
    <row r="597">
      <c r="B597" s="290"/>
      <c r="K597" s="12"/>
    </row>
    <row r="598">
      <c r="B598" s="290"/>
      <c r="K598" s="12"/>
    </row>
    <row r="599">
      <c r="B599" s="290"/>
      <c r="K599" s="12"/>
    </row>
    <row r="600">
      <c r="B600" s="290"/>
      <c r="K600" s="12"/>
    </row>
    <row r="601">
      <c r="B601" s="290"/>
      <c r="K601" s="12"/>
    </row>
    <row r="602">
      <c r="B602" s="290"/>
      <c r="K602" s="12"/>
    </row>
    <row r="603">
      <c r="B603" s="290"/>
      <c r="K603" s="12"/>
    </row>
    <row r="604">
      <c r="B604" s="290"/>
      <c r="K604" s="12"/>
    </row>
    <row r="605">
      <c r="B605" s="290"/>
      <c r="K605" s="12"/>
    </row>
    <row r="606">
      <c r="B606" s="290"/>
      <c r="K606" s="12"/>
    </row>
    <row r="607">
      <c r="B607" s="290"/>
      <c r="K607" s="12"/>
    </row>
    <row r="608">
      <c r="B608" s="290"/>
      <c r="K608" s="12"/>
    </row>
    <row r="609">
      <c r="B609" s="290"/>
      <c r="K609" s="12"/>
    </row>
    <row r="610">
      <c r="B610" s="290"/>
      <c r="K610" s="12"/>
    </row>
    <row r="611">
      <c r="B611" s="290"/>
      <c r="K611" s="12"/>
    </row>
    <row r="612">
      <c r="B612" s="290"/>
      <c r="K612" s="12"/>
    </row>
    <row r="613">
      <c r="B613" s="290"/>
      <c r="K613" s="12"/>
    </row>
    <row r="614">
      <c r="B614" s="290"/>
      <c r="K614" s="12"/>
    </row>
    <row r="615">
      <c r="B615" s="290"/>
      <c r="K615" s="12"/>
    </row>
    <row r="616">
      <c r="B616" s="290"/>
      <c r="K616" s="12"/>
    </row>
    <row r="617">
      <c r="B617" s="290"/>
      <c r="K617" s="12"/>
    </row>
    <row r="618">
      <c r="B618" s="290"/>
      <c r="K618" s="12"/>
    </row>
    <row r="619">
      <c r="B619" s="290"/>
      <c r="K619" s="12"/>
    </row>
    <row r="620">
      <c r="B620" s="290"/>
      <c r="K620" s="12"/>
    </row>
    <row r="621">
      <c r="B621" s="290"/>
      <c r="K621" s="12"/>
    </row>
    <row r="622">
      <c r="B622" s="290"/>
      <c r="K622" s="12"/>
    </row>
    <row r="623">
      <c r="B623" s="290"/>
      <c r="K623" s="12"/>
    </row>
    <row r="624">
      <c r="B624" s="290"/>
      <c r="K624" s="12"/>
    </row>
    <row r="625">
      <c r="B625" s="290"/>
      <c r="K625" s="12"/>
    </row>
    <row r="626">
      <c r="B626" s="290"/>
      <c r="K626" s="12"/>
    </row>
    <row r="627">
      <c r="B627" s="290"/>
      <c r="K627" s="12"/>
    </row>
    <row r="628">
      <c r="B628" s="290"/>
      <c r="K628" s="12"/>
    </row>
    <row r="629">
      <c r="B629" s="290"/>
      <c r="K629" s="12"/>
    </row>
    <row r="630">
      <c r="B630" s="290"/>
      <c r="K630" s="12"/>
    </row>
    <row r="631">
      <c r="B631" s="290"/>
      <c r="K631" s="12"/>
    </row>
    <row r="632">
      <c r="B632" s="290"/>
      <c r="K632" s="12"/>
    </row>
    <row r="633">
      <c r="B633" s="290"/>
      <c r="K633" s="12"/>
    </row>
    <row r="634">
      <c r="B634" s="290"/>
      <c r="K634" s="12"/>
    </row>
    <row r="635">
      <c r="B635" s="290"/>
      <c r="K635" s="12"/>
    </row>
    <row r="636">
      <c r="B636" s="290"/>
      <c r="K636" s="12"/>
    </row>
    <row r="637">
      <c r="B637" s="290"/>
      <c r="K637" s="12"/>
    </row>
    <row r="638">
      <c r="B638" s="290"/>
      <c r="K638" s="12"/>
    </row>
    <row r="639">
      <c r="B639" s="290"/>
      <c r="K639" s="12"/>
    </row>
    <row r="640">
      <c r="B640" s="290"/>
      <c r="K640" s="12"/>
    </row>
    <row r="641">
      <c r="B641" s="290"/>
      <c r="K641" s="12"/>
    </row>
    <row r="642">
      <c r="B642" s="290"/>
      <c r="K642" s="12"/>
    </row>
    <row r="643">
      <c r="B643" s="290"/>
      <c r="K643" s="12"/>
    </row>
    <row r="644">
      <c r="B644" s="290"/>
      <c r="K644" s="12"/>
    </row>
    <row r="645">
      <c r="B645" s="290"/>
      <c r="K645" s="12"/>
    </row>
    <row r="646">
      <c r="B646" s="290"/>
      <c r="K646" s="12"/>
    </row>
    <row r="647">
      <c r="B647" s="290"/>
      <c r="K647" s="12"/>
    </row>
    <row r="648">
      <c r="B648" s="290"/>
      <c r="K648" s="12"/>
    </row>
    <row r="649">
      <c r="B649" s="290"/>
      <c r="K649" s="12"/>
    </row>
    <row r="650">
      <c r="B650" s="290"/>
      <c r="K650" s="12"/>
    </row>
    <row r="651">
      <c r="B651" s="290"/>
      <c r="K651" s="12"/>
    </row>
    <row r="652">
      <c r="B652" s="290"/>
      <c r="K652" s="12"/>
    </row>
    <row r="653">
      <c r="B653" s="290"/>
      <c r="K653" s="12"/>
    </row>
    <row r="654">
      <c r="B654" s="290"/>
      <c r="K654" s="12"/>
    </row>
    <row r="655">
      <c r="B655" s="290"/>
      <c r="K655" s="12"/>
    </row>
    <row r="656">
      <c r="B656" s="290"/>
      <c r="K656" s="12"/>
    </row>
    <row r="657">
      <c r="B657" s="290"/>
      <c r="K657" s="12"/>
    </row>
    <row r="658">
      <c r="B658" s="290"/>
      <c r="K658" s="12"/>
    </row>
    <row r="659">
      <c r="B659" s="290"/>
      <c r="K659" s="12"/>
    </row>
    <row r="660">
      <c r="B660" s="290"/>
      <c r="K660" s="12"/>
    </row>
    <row r="661">
      <c r="B661" s="290"/>
      <c r="K661" s="12"/>
    </row>
    <row r="662">
      <c r="B662" s="290"/>
      <c r="K662" s="12"/>
    </row>
    <row r="663">
      <c r="B663" s="290"/>
      <c r="K663" s="12"/>
    </row>
    <row r="664">
      <c r="B664" s="290"/>
      <c r="K664" s="12"/>
    </row>
    <row r="665">
      <c r="B665" s="290"/>
      <c r="K665" s="12"/>
    </row>
    <row r="666">
      <c r="B666" s="290"/>
      <c r="K666" s="12"/>
    </row>
    <row r="667">
      <c r="B667" s="290"/>
      <c r="K667" s="12"/>
    </row>
    <row r="668">
      <c r="B668" s="290"/>
      <c r="K668" s="12"/>
    </row>
    <row r="669">
      <c r="B669" s="290"/>
      <c r="K669" s="12"/>
    </row>
    <row r="670">
      <c r="B670" s="290"/>
      <c r="K670" s="12"/>
    </row>
    <row r="671">
      <c r="B671" s="290"/>
      <c r="K671" s="12"/>
    </row>
    <row r="672">
      <c r="B672" s="290"/>
      <c r="K672" s="12"/>
    </row>
    <row r="673">
      <c r="B673" s="290"/>
      <c r="K673" s="12"/>
    </row>
    <row r="674">
      <c r="B674" s="290"/>
      <c r="K674" s="12"/>
    </row>
    <row r="675">
      <c r="B675" s="290"/>
      <c r="K675" s="12"/>
    </row>
    <row r="676">
      <c r="B676" s="290"/>
      <c r="K676" s="12"/>
    </row>
    <row r="677">
      <c r="B677" s="290"/>
      <c r="K677" s="12"/>
    </row>
    <row r="678">
      <c r="B678" s="290"/>
      <c r="K678" s="12"/>
    </row>
    <row r="679">
      <c r="B679" s="290"/>
      <c r="K679" s="12"/>
    </row>
    <row r="680">
      <c r="B680" s="290"/>
      <c r="K680" s="12"/>
    </row>
    <row r="681">
      <c r="B681" s="290"/>
      <c r="K681" s="12"/>
    </row>
    <row r="682">
      <c r="B682" s="290"/>
      <c r="K682" s="12"/>
    </row>
    <row r="683">
      <c r="B683" s="290"/>
      <c r="K683" s="12"/>
    </row>
    <row r="684">
      <c r="B684" s="290"/>
      <c r="K684" s="12"/>
    </row>
    <row r="685">
      <c r="B685" s="290"/>
      <c r="K685" s="12"/>
    </row>
    <row r="686">
      <c r="B686" s="290"/>
      <c r="K686" s="12"/>
    </row>
    <row r="687">
      <c r="B687" s="290"/>
      <c r="K687" s="12"/>
    </row>
    <row r="688">
      <c r="B688" s="290"/>
      <c r="K688" s="12"/>
    </row>
    <row r="689">
      <c r="B689" s="290"/>
      <c r="K689" s="12"/>
    </row>
    <row r="690">
      <c r="B690" s="290"/>
      <c r="K690" s="12"/>
    </row>
    <row r="691">
      <c r="B691" s="290"/>
      <c r="K691" s="12"/>
    </row>
    <row r="692">
      <c r="B692" s="290"/>
      <c r="K692" s="12"/>
    </row>
    <row r="693">
      <c r="B693" s="290"/>
      <c r="K693" s="12"/>
    </row>
    <row r="694">
      <c r="B694" s="290"/>
      <c r="K694" s="12"/>
    </row>
    <row r="695">
      <c r="B695" s="290"/>
      <c r="K695" s="12"/>
    </row>
    <row r="696">
      <c r="B696" s="290"/>
      <c r="K696" s="12"/>
    </row>
    <row r="697">
      <c r="B697" s="290"/>
      <c r="K697" s="12"/>
    </row>
    <row r="698">
      <c r="B698" s="290"/>
      <c r="K698" s="12"/>
    </row>
    <row r="699">
      <c r="B699" s="290"/>
      <c r="K699" s="12"/>
    </row>
    <row r="700">
      <c r="B700" s="290"/>
      <c r="K700" s="12"/>
    </row>
    <row r="701">
      <c r="B701" s="290"/>
      <c r="K701" s="12"/>
    </row>
    <row r="702">
      <c r="B702" s="290"/>
      <c r="K702" s="12"/>
    </row>
    <row r="703">
      <c r="B703" s="290"/>
      <c r="K703" s="12"/>
    </row>
    <row r="704">
      <c r="B704" s="290"/>
      <c r="K704" s="12"/>
    </row>
    <row r="705">
      <c r="B705" s="290"/>
      <c r="K705" s="12"/>
    </row>
    <row r="706">
      <c r="B706" s="290"/>
      <c r="K706" s="12"/>
    </row>
    <row r="707">
      <c r="B707" s="290"/>
      <c r="K707" s="12"/>
    </row>
    <row r="708">
      <c r="B708" s="290"/>
      <c r="K708" s="12"/>
    </row>
    <row r="709">
      <c r="B709" s="290"/>
      <c r="K709" s="12"/>
    </row>
    <row r="710">
      <c r="B710" s="290"/>
      <c r="K710" s="12"/>
    </row>
    <row r="711">
      <c r="B711" s="290"/>
      <c r="K711" s="12"/>
    </row>
    <row r="712">
      <c r="B712" s="290"/>
      <c r="K712" s="12"/>
    </row>
    <row r="713">
      <c r="B713" s="290"/>
      <c r="K713" s="12"/>
    </row>
    <row r="714">
      <c r="B714" s="290"/>
      <c r="K714" s="12"/>
    </row>
    <row r="715">
      <c r="B715" s="290"/>
      <c r="K715" s="12"/>
    </row>
    <row r="716">
      <c r="B716" s="290"/>
      <c r="K716" s="12"/>
    </row>
    <row r="717">
      <c r="B717" s="290"/>
      <c r="K717" s="12"/>
    </row>
    <row r="718">
      <c r="B718" s="290"/>
      <c r="K718" s="12"/>
    </row>
    <row r="719">
      <c r="B719" s="290"/>
      <c r="K719" s="12"/>
    </row>
    <row r="720">
      <c r="B720" s="290"/>
      <c r="K720" s="12"/>
    </row>
    <row r="721">
      <c r="B721" s="290"/>
      <c r="K721" s="12"/>
    </row>
    <row r="722">
      <c r="B722" s="290"/>
      <c r="K722" s="12"/>
    </row>
    <row r="723">
      <c r="B723" s="290"/>
      <c r="K723" s="12"/>
    </row>
    <row r="724">
      <c r="B724" s="290"/>
      <c r="K724" s="12"/>
    </row>
    <row r="725">
      <c r="B725" s="290"/>
      <c r="K725" s="12"/>
    </row>
    <row r="726">
      <c r="B726" s="290"/>
      <c r="K726" s="12"/>
    </row>
    <row r="727">
      <c r="B727" s="290"/>
      <c r="K727" s="12"/>
    </row>
    <row r="728">
      <c r="B728" s="290"/>
      <c r="K728" s="12"/>
    </row>
    <row r="729">
      <c r="B729" s="290"/>
      <c r="K729" s="12"/>
    </row>
    <row r="730">
      <c r="B730" s="290"/>
      <c r="K730" s="12"/>
    </row>
    <row r="731">
      <c r="B731" s="290"/>
      <c r="K731" s="12"/>
    </row>
    <row r="732">
      <c r="B732" s="290"/>
      <c r="K732" s="12"/>
    </row>
    <row r="733">
      <c r="B733" s="290"/>
      <c r="K733" s="12"/>
    </row>
    <row r="734">
      <c r="B734" s="290"/>
      <c r="K734" s="12"/>
    </row>
    <row r="735">
      <c r="B735" s="290"/>
      <c r="K735" s="12"/>
    </row>
    <row r="736">
      <c r="B736" s="290"/>
      <c r="K736" s="12"/>
    </row>
    <row r="737">
      <c r="B737" s="290"/>
      <c r="K737" s="12"/>
    </row>
    <row r="738">
      <c r="B738" s="290"/>
      <c r="K738" s="12"/>
    </row>
    <row r="739">
      <c r="B739" s="290"/>
      <c r="K739" s="12"/>
    </row>
    <row r="740">
      <c r="B740" s="290"/>
      <c r="K740" s="12"/>
    </row>
    <row r="741">
      <c r="B741" s="290"/>
      <c r="K741" s="12"/>
    </row>
    <row r="742">
      <c r="B742" s="290"/>
      <c r="K742" s="12"/>
    </row>
    <row r="743">
      <c r="B743" s="290"/>
      <c r="K743" s="12"/>
    </row>
    <row r="744">
      <c r="B744" s="290"/>
      <c r="K744" s="12"/>
    </row>
    <row r="745">
      <c r="B745" s="290"/>
      <c r="K745" s="12"/>
    </row>
    <row r="746">
      <c r="B746" s="290"/>
      <c r="K746" s="12"/>
    </row>
    <row r="747">
      <c r="B747" s="290"/>
      <c r="K747" s="12"/>
    </row>
    <row r="748">
      <c r="B748" s="290"/>
      <c r="K748" s="12"/>
    </row>
    <row r="749">
      <c r="B749" s="290"/>
      <c r="K749" s="12"/>
    </row>
    <row r="750">
      <c r="B750" s="290"/>
      <c r="K750" s="12"/>
    </row>
    <row r="751">
      <c r="B751" s="290"/>
      <c r="K751" s="12"/>
    </row>
    <row r="752">
      <c r="B752" s="290"/>
      <c r="K752" s="12"/>
    </row>
    <row r="753">
      <c r="B753" s="290"/>
      <c r="K753" s="12"/>
    </row>
    <row r="754">
      <c r="B754" s="290"/>
      <c r="K754" s="12"/>
    </row>
    <row r="755">
      <c r="B755" s="290"/>
      <c r="K755" s="12"/>
    </row>
    <row r="756">
      <c r="B756" s="290"/>
      <c r="K756" s="12"/>
    </row>
    <row r="757">
      <c r="B757" s="290"/>
      <c r="K757" s="12"/>
    </row>
    <row r="758">
      <c r="B758" s="290"/>
      <c r="K758" s="12"/>
    </row>
    <row r="759">
      <c r="B759" s="290"/>
      <c r="K759" s="12"/>
    </row>
    <row r="760">
      <c r="B760" s="290"/>
      <c r="K760" s="12"/>
    </row>
    <row r="761">
      <c r="B761" s="290"/>
      <c r="K761" s="12"/>
    </row>
    <row r="762">
      <c r="B762" s="290"/>
      <c r="K762" s="12"/>
    </row>
    <row r="763">
      <c r="B763" s="290"/>
      <c r="K763" s="12"/>
    </row>
    <row r="764">
      <c r="B764" s="290"/>
      <c r="K764" s="12"/>
    </row>
    <row r="765">
      <c r="B765" s="290"/>
      <c r="K765" s="12"/>
    </row>
    <row r="766">
      <c r="B766" s="290"/>
      <c r="K766" s="12"/>
    </row>
    <row r="767">
      <c r="B767" s="290"/>
      <c r="K767" s="12"/>
    </row>
    <row r="768">
      <c r="B768" s="290"/>
      <c r="K768" s="12"/>
    </row>
    <row r="769">
      <c r="B769" s="290"/>
      <c r="K769" s="12"/>
    </row>
    <row r="770">
      <c r="B770" s="290"/>
      <c r="K770" s="12"/>
    </row>
    <row r="771">
      <c r="B771" s="290"/>
      <c r="K771" s="12"/>
    </row>
    <row r="772">
      <c r="B772" s="290"/>
      <c r="K772" s="12"/>
    </row>
    <row r="773">
      <c r="B773" s="290"/>
      <c r="K773" s="12"/>
    </row>
    <row r="774">
      <c r="B774" s="290"/>
      <c r="K774" s="12"/>
    </row>
    <row r="775">
      <c r="B775" s="290"/>
      <c r="K775" s="12"/>
    </row>
    <row r="776">
      <c r="B776" s="290"/>
      <c r="K776" s="12"/>
    </row>
    <row r="777">
      <c r="B777" s="290"/>
      <c r="K777" s="12"/>
    </row>
    <row r="778">
      <c r="B778" s="290"/>
      <c r="K778" s="12"/>
    </row>
    <row r="779">
      <c r="B779" s="290"/>
      <c r="K779" s="12"/>
    </row>
    <row r="780">
      <c r="B780" s="290"/>
      <c r="K780" s="12"/>
    </row>
    <row r="781">
      <c r="B781" s="290"/>
      <c r="K781" s="12"/>
    </row>
    <row r="782">
      <c r="B782" s="290"/>
      <c r="K782" s="12"/>
    </row>
    <row r="783">
      <c r="B783" s="290"/>
      <c r="K783" s="12"/>
    </row>
    <row r="784">
      <c r="B784" s="290"/>
      <c r="K784" s="12"/>
    </row>
    <row r="785">
      <c r="B785" s="290"/>
      <c r="K785" s="12"/>
    </row>
    <row r="786">
      <c r="B786" s="290"/>
      <c r="K786" s="12"/>
    </row>
    <row r="787">
      <c r="B787" s="290"/>
      <c r="K787" s="12"/>
    </row>
    <row r="788">
      <c r="B788" s="290"/>
      <c r="K788" s="12"/>
    </row>
    <row r="789">
      <c r="B789" s="290"/>
      <c r="K789" s="12"/>
    </row>
    <row r="790">
      <c r="B790" s="290"/>
      <c r="K790" s="12"/>
    </row>
    <row r="791">
      <c r="B791" s="290"/>
      <c r="K791" s="12"/>
    </row>
    <row r="792">
      <c r="B792" s="290"/>
      <c r="K792" s="12"/>
    </row>
    <row r="793">
      <c r="B793" s="290"/>
      <c r="K793" s="12"/>
    </row>
    <row r="794">
      <c r="B794" s="290"/>
      <c r="K794" s="12"/>
    </row>
    <row r="795">
      <c r="B795" s="290"/>
      <c r="K795" s="12"/>
    </row>
    <row r="796">
      <c r="B796" s="290"/>
      <c r="K796" s="12"/>
    </row>
    <row r="797">
      <c r="B797" s="290"/>
      <c r="K797" s="12"/>
    </row>
    <row r="798">
      <c r="B798" s="290"/>
      <c r="K798" s="12"/>
    </row>
    <row r="799">
      <c r="B799" s="290"/>
      <c r="K799" s="12"/>
    </row>
    <row r="800">
      <c r="B800" s="290"/>
      <c r="K800" s="12"/>
    </row>
    <row r="801">
      <c r="B801" s="290"/>
      <c r="K801" s="12"/>
    </row>
    <row r="802">
      <c r="B802" s="290"/>
      <c r="K802" s="12"/>
    </row>
    <row r="803">
      <c r="B803" s="290"/>
      <c r="K803" s="12"/>
    </row>
    <row r="804">
      <c r="B804" s="290"/>
      <c r="K804" s="12"/>
    </row>
    <row r="805">
      <c r="B805" s="290"/>
      <c r="K805" s="12"/>
    </row>
    <row r="806">
      <c r="B806" s="290"/>
      <c r="K806" s="12"/>
    </row>
    <row r="807">
      <c r="B807" s="290"/>
      <c r="K807" s="12"/>
    </row>
    <row r="808">
      <c r="B808" s="290"/>
      <c r="K808" s="12"/>
    </row>
    <row r="809">
      <c r="B809" s="290"/>
      <c r="K809" s="12"/>
    </row>
    <row r="810">
      <c r="B810" s="290"/>
      <c r="K810" s="12"/>
    </row>
    <row r="811">
      <c r="B811" s="290"/>
      <c r="K811" s="12"/>
    </row>
    <row r="812">
      <c r="B812" s="290"/>
      <c r="K812" s="12"/>
    </row>
    <row r="813">
      <c r="B813" s="290"/>
      <c r="K813" s="12"/>
    </row>
    <row r="814">
      <c r="B814" s="290"/>
      <c r="K814" s="12"/>
    </row>
    <row r="815">
      <c r="B815" s="290"/>
      <c r="K815" s="12"/>
    </row>
    <row r="816">
      <c r="B816" s="290"/>
      <c r="K816" s="12"/>
    </row>
    <row r="817">
      <c r="B817" s="290"/>
      <c r="K817" s="12"/>
    </row>
    <row r="818">
      <c r="B818" s="290"/>
      <c r="K818" s="12"/>
    </row>
    <row r="819">
      <c r="B819" s="290"/>
      <c r="K819" s="12"/>
    </row>
    <row r="820">
      <c r="B820" s="290"/>
      <c r="K820" s="12"/>
    </row>
    <row r="821">
      <c r="B821" s="290"/>
      <c r="K821" s="12"/>
    </row>
    <row r="822">
      <c r="B822" s="290"/>
      <c r="K822" s="12"/>
    </row>
    <row r="823">
      <c r="B823" s="290"/>
      <c r="K823" s="12"/>
    </row>
    <row r="824">
      <c r="B824" s="290"/>
      <c r="K824" s="12"/>
    </row>
    <row r="825">
      <c r="B825" s="290"/>
      <c r="K825" s="12"/>
    </row>
    <row r="826">
      <c r="B826" s="290"/>
      <c r="K826" s="12"/>
    </row>
    <row r="827">
      <c r="B827" s="290"/>
      <c r="K827" s="12"/>
    </row>
    <row r="828">
      <c r="B828" s="290"/>
      <c r="K828" s="12"/>
    </row>
    <row r="829">
      <c r="B829" s="290"/>
      <c r="K829" s="12"/>
    </row>
    <row r="830">
      <c r="B830" s="290"/>
      <c r="K830" s="12"/>
    </row>
    <row r="831">
      <c r="B831" s="290"/>
      <c r="K831" s="12"/>
    </row>
    <row r="832">
      <c r="B832" s="290"/>
      <c r="K832" s="12"/>
    </row>
    <row r="833">
      <c r="B833" s="290"/>
      <c r="K833" s="12"/>
    </row>
    <row r="834">
      <c r="B834" s="290"/>
      <c r="K834" s="12"/>
    </row>
    <row r="835">
      <c r="B835" s="290"/>
      <c r="K835" s="12"/>
    </row>
    <row r="836">
      <c r="B836" s="290"/>
      <c r="K836" s="12"/>
    </row>
    <row r="837">
      <c r="B837" s="290"/>
      <c r="K837" s="12"/>
    </row>
    <row r="838">
      <c r="B838" s="290"/>
      <c r="K838" s="12"/>
    </row>
    <row r="839">
      <c r="B839" s="290"/>
      <c r="K839" s="12"/>
    </row>
    <row r="840">
      <c r="B840" s="290"/>
      <c r="K840" s="12"/>
    </row>
    <row r="841">
      <c r="B841" s="290"/>
      <c r="K841" s="12"/>
    </row>
    <row r="842">
      <c r="B842" s="290"/>
      <c r="K842" s="12"/>
    </row>
    <row r="843">
      <c r="B843" s="290"/>
      <c r="K843" s="12"/>
    </row>
    <row r="844">
      <c r="B844" s="290"/>
      <c r="K844" s="12"/>
    </row>
    <row r="845">
      <c r="B845" s="290"/>
      <c r="K845" s="12"/>
    </row>
    <row r="846">
      <c r="B846" s="290"/>
      <c r="K846" s="12"/>
    </row>
    <row r="847">
      <c r="B847" s="290"/>
      <c r="K847" s="12"/>
    </row>
    <row r="848">
      <c r="B848" s="290"/>
      <c r="K848" s="12"/>
    </row>
    <row r="849">
      <c r="B849" s="290"/>
      <c r="K849" s="12"/>
    </row>
    <row r="850">
      <c r="B850" s="290"/>
      <c r="K850" s="12"/>
    </row>
    <row r="851">
      <c r="B851" s="290"/>
      <c r="K851" s="12"/>
    </row>
    <row r="852">
      <c r="B852" s="290"/>
      <c r="K852" s="12"/>
    </row>
    <row r="853">
      <c r="B853" s="290"/>
      <c r="K853" s="12"/>
    </row>
    <row r="854">
      <c r="B854" s="290"/>
      <c r="K854" s="12"/>
    </row>
    <row r="855">
      <c r="B855" s="290"/>
      <c r="K855" s="12"/>
    </row>
    <row r="856">
      <c r="B856" s="290"/>
      <c r="K856" s="12"/>
    </row>
    <row r="857">
      <c r="B857" s="290"/>
      <c r="K857" s="12"/>
    </row>
    <row r="858">
      <c r="B858" s="290"/>
      <c r="K858" s="12"/>
    </row>
    <row r="859">
      <c r="B859" s="290"/>
      <c r="K859" s="12"/>
    </row>
    <row r="860">
      <c r="B860" s="290"/>
      <c r="K860" s="12"/>
    </row>
    <row r="861">
      <c r="B861" s="290"/>
      <c r="K861" s="12"/>
    </row>
    <row r="862">
      <c r="B862" s="290"/>
      <c r="K862" s="12"/>
    </row>
    <row r="863">
      <c r="B863" s="290"/>
      <c r="K863" s="12"/>
    </row>
    <row r="864">
      <c r="B864" s="290"/>
      <c r="K864" s="12"/>
    </row>
    <row r="865">
      <c r="B865" s="290"/>
      <c r="K865" s="12"/>
    </row>
    <row r="866">
      <c r="B866" s="290"/>
      <c r="K866" s="12"/>
    </row>
    <row r="867">
      <c r="B867" s="290"/>
      <c r="K867" s="12"/>
    </row>
    <row r="868">
      <c r="B868" s="290"/>
      <c r="K868" s="12"/>
    </row>
    <row r="869">
      <c r="B869" s="290"/>
      <c r="K869" s="12"/>
    </row>
    <row r="870">
      <c r="B870" s="290"/>
      <c r="K870" s="12"/>
    </row>
    <row r="871">
      <c r="B871" s="290"/>
      <c r="K871" s="12"/>
    </row>
    <row r="872">
      <c r="B872" s="290"/>
      <c r="K872" s="12"/>
    </row>
    <row r="873">
      <c r="B873" s="290"/>
      <c r="K873" s="12"/>
    </row>
    <row r="874">
      <c r="B874" s="290"/>
      <c r="K874" s="12"/>
    </row>
    <row r="875">
      <c r="B875" s="290"/>
      <c r="K875" s="12"/>
    </row>
    <row r="876">
      <c r="B876" s="290"/>
      <c r="K876" s="12"/>
    </row>
    <row r="877">
      <c r="B877" s="290"/>
      <c r="K877" s="12"/>
    </row>
    <row r="878">
      <c r="B878" s="290"/>
      <c r="K878" s="12"/>
    </row>
    <row r="879">
      <c r="B879" s="290"/>
      <c r="K879" s="12"/>
    </row>
    <row r="880">
      <c r="B880" s="290"/>
      <c r="K880" s="12"/>
    </row>
    <row r="881">
      <c r="B881" s="290"/>
      <c r="K881" s="12"/>
    </row>
    <row r="882">
      <c r="B882" s="290"/>
      <c r="K882" s="12"/>
    </row>
    <row r="883">
      <c r="B883" s="290"/>
      <c r="K883" s="12"/>
    </row>
    <row r="884">
      <c r="B884" s="290"/>
      <c r="K884" s="12"/>
    </row>
    <row r="885">
      <c r="B885" s="290"/>
      <c r="K885" s="12"/>
    </row>
    <row r="886">
      <c r="B886" s="290"/>
      <c r="K886" s="12"/>
    </row>
    <row r="887">
      <c r="B887" s="290"/>
      <c r="K887" s="12"/>
    </row>
    <row r="888">
      <c r="B888" s="290"/>
      <c r="K888" s="12"/>
    </row>
    <row r="889">
      <c r="B889" s="290"/>
      <c r="K889" s="12"/>
    </row>
    <row r="890">
      <c r="B890" s="290"/>
      <c r="K890" s="12"/>
    </row>
    <row r="891">
      <c r="B891" s="290"/>
      <c r="K891" s="12"/>
    </row>
    <row r="892">
      <c r="B892" s="290"/>
      <c r="K892" s="12"/>
    </row>
    <row r="893">
      <c r="B893" s="290"/>
      <c r="K893" s="12"/>
    </row>
    <row r="894">
      <c r="B894" s="290"/>
      <c r="K894" s="12"/>
    </row>
    <row r="895">
      <c r="B895" s="290"/>
      <c r="K895" s="12"/>
    </row>
    <row r="896">
      <c r="B896" s="290"/>
      <c r="K896" s="12"/>
    </row>
    <row r="897">
      <c r="B897" s="290"/>
      <c r="K897" s="12"/>
    </row>
    <row r="898">
      <c r="B898" s="290"/>
      <c r="K898" s="12"/>
    </row>
    <row r="899">
      <c r="B899" s="290"/>
      <c r="K899" s="12"/>
    </row>
    <row r="900">
      <c r="B900" s="290"/>
      <c r="K900" s="12"/>
    </row>
    <row r="901">
      <c r="B901" s="290"/>
      <c r="K901" s="12"/>
    </row>
    <row r="902">
      <c r="B902" s="290"/>
      <c r="K902" s="12"/>
    </row>
    <row r="903">
      <c r="B903" s="290"/>
      <c r="K903" s="12"/>
    </row>
    <row r="904">
      <c r="B904" s="290"/>
      <c r="K904" s="12"/>
    </row>
    <row r="905">
      <c r="B905" s="290"/>
      <c r="K905" s="12"/>
    </row>
    <row r="906">
      <c r="B906" s="290"/>
      <c r="K906" s="12"/>
    </row>
    <row r="907">
      <c r="B907" s="290"/>
      <c r="K907" s="12"/>
    </row>
    <row r="908">
      <c r="B908" s="290"/>
      <c r="K908" s="12"/>
    </row>
    <row r="909">
      <c r="B909" s="290"/>
      <c r="K909" s="12"/>
    </row>
    <row r="910">
      <c r="B910" s="290"/>
      <c r="K910" s="12"/>
    </row>
    <row r="911">
      <c r="B911" s="290"/>
      <c r="K911" s="12"/>
    </row>
    <row r="912">
      <c r="B912" s="290"/>
      <c r="K912" s="12"/>
    </row>
    <row r="913">
      <c r="B913" s="290"/>
      <c r="K913" s="12"/>
    </row>
    <row r="914">
      <c r="B914" s="290"/>
      <c r="K914" s="12"/>
    </row>
    <row r="915">
      <c r="B915" s="290"/>
      <c r="K915" s="12"/>
    </row>
    <row r="916">
      <c r="B916" s="290"/>
      <c r="K916" s="12"/>
    </row>
    <row r="917">
      <c r="B917" s="290"/>
      <c r="K917" s="12"/>
    </row>
    <row r="918">
      <c r="B918" s="290"/>
      <c r="K918" s="12"/>
    </row>
    <row r="919">
      <c r="B919" s="290"/>
      <c r="K919" s="12"/>
    </row>
    <row r="920">
      <c r="B920" s="290"/>
      <c r="K920" s="12"/>
    </row>
    <row r="921">
      <c r="B921" s="290"/>
      <c r="K921" s="12"/>
    </row>
    <row r="922">
      <c r="B922" s="290"/>
      <c r="K922" s="12"/>
    </row>
    <row r="923">
      <c r="B923" s="290"/>
      <c r="K923" s="12"/>
    </row>
    <row r="924">
      <c r="B924" s="290"/>
      <c r="K924" s="12"/>
    </row>
    <row r="925">
      <c r="B925" s="290"/>
      <c r="K925" s="12"/>
    </row>
    <row r="926">
      <c r="B926" s="290"/>
      <c r="K926" s="12"/>
    </row>
    <row r="927">
      <c r="B927" s="290"/>
      <c r="K927" s="12"/>
    </row>
    <row r="928">
      <c r="B928" s="290"/>
      <c r="K928" s="12"/>
    </row>
    <row r="929">
      <c r="B929" s="290"/>
      <c r="K929" s="12"/>
    </row>
    <row r="930">
      <c r="B930" s="290"/>
      <c r="K930" s="12"/>
    </row>
    <row r="931">
      <c r="B931" s="290"/>
      <c r="K931" s="12"/>
    </row>
    <row r="932">
      <c r="B932" s="290"/>
      <c r="K932" s="12"/>
    </row>
    <row r="933">
      <c r="B933" s="290"/>
      <c r="K933" s="12"/>
    </row>
    <row r="934">
      <c r="B934" s="290"/>
      <c r="K934" s="12"/>
    </row>
    <row r="935">
      <c r="B935" s="290"/>
      <c r="K935" s="12"/>
    </row>
    <row r="936">
      <c r="B936" s="290"/>
      <c r="K936" s="12"/>
    </row>
    <row r="937">
      <c r="B937" s="290"/>
      <c r="K937" s="12"/>
    </row>
    <row r="938">
      <c r="B938" s="290"/>
      <c r="K938" s="12"/>
    </row>
    <row r="939">
      <c r="B939" s="290"/>
      <c r="K939" s="12"/>
    </row>
    <row r="940">
      <c r="B940" s="290"/>
      <c r="K940" s="12"/>
    </row>
    <row r="941">
      <c r="B941" s="290"/>
      <c r="K941" s="12"/>
    </row>
    <row r="942">
      <c r="B942" s="290"/>
      <c r="K942" s="12"/>
    </row>
    <row r="943">
      <c r="B943" s="290"/>
      <c r="K943" s="12"/>
    </row>
    <row r="944">
      <c r="B944" s="290"/>
      <c r="K944" s="12"/>
    </row>
    <row r="945">
      <c r="B945" s="290"/>
      <c r="K945" s="12"/>
    </row>
    <row r="946">
      <c r="B946" s="290"/>
      <c r="K946" s="12"/>
    </row>
    <row r="947">
      <c r="B947" s="290"/>
      <c r="K947" s="12"/>
    </row>
    <row r="948">
      <c r="B948" s="290"/>
      <c r="K948" s="12"/>
    </row>
    <row r="949">
      <c r="B949" s="290"/>
      <c r="K949" s="12"/>
    </row>
    <row r="950">
      <c r="B950" s="290"/>
      <c r="K950" s="12"/>
    </row>
    <row r="951">
      <c r="B951" s="290"/>
      <c r="K951" s="12"/>
    </row>
    <row r="952">
      <c r="B952" s="290"/>
      <c r="K952" s="12"/>
    </row>
    <row r="953">
      <c r="B953" s="290"/>
      <c r="K953" s="12"/>
    </row>
    <row r="954">
      <c r="B954" s="290"/>
      <c r="K954" s="12"/>
    </row>
    <row r="955">
      <c r="B955" s="290"/>
      <c r="K955" s="12"/>
    </row>
    <row r="956">
      <c r="B956" s="290"/>
      <c r="K956" s="12"/>
    </row>
    <row r="957">
      <c r="B957" s="290"/>
      <c r="K957" s="12"/>
    </row>
    <row r="958">
      <c r="B958" s="290"/>
      <c r="K958" s="12"/>
    </row>
    <row r="959">
      <c r="B959" s="290"/>
      <c r="K959" s="12"/>
    </row>
    <row r="960">
      <c r="B960" s="290"/>
      <c r="K960" s="12"/>
    </row>
    <row r="961">
      <c r="B961" s="290"/>
      <c r="K961" s="12"/>
    </row>
    <row r="962">
      <c r="B962" s="290"/>
      <c r="K962" s="12"/>
    </row>
    <row r="963">
      <c r="B963" s="290"/>
      <c r="K963" s="12"/>
    </row>
    <row r="964">
      <c r="B964" s="290"/>
      <c r="K964" s="12"/>
    </row>
    <row r="965">
      <c r="B965" s="290"/>
      <c r="K965" s="12"/>
    </row>
    <row r="966">
      <c r="B966" s="290"/>
      <c r="K966" s="12"/>
    </row>
    <row r="967">
      <c r="B967" s="290"/>
      <c r="K967" s="12"/>
    </row>
    <row r="968">
      <c r="B968" s="290"/>
      <c r="K968" s="12"/>
    </row>
    <row r="969">
      <c r="B969" s="290"/>
      <c r="K969" s="12"/>
    </row>
    <row r="970">
      <c r="B970" s="290"/>
      <c r="K970" s="12"/>
    </row>
    <row r="971">
      <c r="B971" s="290"/>
      <c r="K971" s="12"/>
    </row>
    <row r="972">
      <c r="B972" s="290"/>
      <c r="K972" s="12"/>
    </row>
    <row r="973">
      <c r="B973" s="290"/>
      <c r="K973" s="12"/>
    </row>
    <row r="974">
      <c r="B974" s="290"/>
      <c r="K974" s="12"/>
    </row>
    <row r="975">
      <c r="B975" s="290"/>
      <c r="K975" s="12"/>
    </row>
    <row r="976">
      <c r="B976" s="290"/>
      <c r="K976" s="12"/>
    </row>
    <row r="977">
      <c r="B977" s="290"/>
      <c r="K977" s="12"/>
    </row>
    <row r="978">
      <c r="B978" s="290"/>
      <c r="K978" s="12"/>
    </row>
    <row r="979">
      <c r="B979" s="290"/>
      <c r="K979" s="12"/>
    </row>
    <row r="980">
      <c r="B980" s="290"/>
      <c r="K980" s="12"/>
    </row>
    <row r="981">
      <c r="B981" s="290"/>
      <c r="K981" s="12"/>
    </row>
    <row r="982">
      <c r="B982" s="290"/>
      <c r="K982" s="12"/>
    </row>
    <row r="983">
      <c r="B983" s="290"/>
      <c r="K983" s="12"/>
    </row>
    <row r="984">
      <c r="B984" s="290"/>
      <c r="K984" s="12"/>
    </row>
    <row r="985">
      <c r="B985" s="290"/>
      <c r="K985" s="12"/>
    </row>
    <row r="986">
      <c r="B986" s="290"/>
      <c r="K986" s="12"/>
    </row>
    <row r="987">
      <c r="B987" s="290"/>
      <c r="K987" s="12"/>
    </row>
    <row r="988">
      <c r="B988" s="290"/>
      <c r="K988" s="12"/>
    </row>
    <row r="989">
      <c r="B989" s="290"/>
      <c r="K989" s="12"/>
    </row>
    <row r="990">
      <c r="B990" s="290"/>
      <c r="K990" s="12"/>
    </row>
    <row r="991">
      <c r="B991" s="290"/>
      <c r="K991" s="12"/>
    </row>
    <row r="992">
      <c r="B992" s="290"/>
      <c r="K992" s="12"/>
    </row>
    <row r="993">
      <c r="B993" s="290"/>
      <c r="K993" s="12"/>
    </row>
    <row r="994">
      <c r="B994" s="290"/>
      <c r="K994" s="12"/>
    </row>
    <row r="995">
      <c r="B995" s="290"/>
      <c r="K995" s="12"/>
    </row>
    <row r="996">
      <c r="B996" s="290"/>
      <c r="K996" s="12"/>
    </row>
    <row r="997">
      <c r="B997" s="290"/>
      <c r="K997" s="12"/>
    </row>
    <row r="998">
      <c r="B998" s="290"/>
      <c r="K998" s="12"/>
    </row>
    <row r="999">
      <c r="B999" s="290"/>
      <c r="K999" s="12"/>
    </row>
    <row r="1000">
      <c r="B1000" s="290"/>
      <c r="K1000" s="12"/>
    </row>
  </sheetData>
  <mergeCells count="3">
    <mergeCell ref="O1:Q1"/>
    <mergeCell ref="R1:T1"/>
    <mergeCell ref="U1:W1"/>
  </mergeCells>
  <hyperlinks>
    <hyperlink r:id="rId1" location="gid=1019983104" ref="A1"/>
    <hyperlink r:id="rId2" location="gid=1956920866" ref="C1"/>
    <hyperlink r:id="rId3" location="gid=1472606005" ref="H1"/>
    <hyperlink r:id="rId4" location="gid=1472606005" ref="I1"/>
    <hyperlink r:id="rId5" location="gid=1472606005" ref="J1"/>
    <hyperlink r:id="rId6" location="gid=1472606005" ref="K1"/>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1" t="s">
        <v>87</v>
      </c>
      <c r="B1" s="291" t="s">
        <v>9</v>
      </c>
      <c r="C1" s="291" t="s">
        <v>10</v>
      </c>
      <c r="D1" s="197" t="s">
        <v>91</v>
      </c>
      <c r="E1" s="197" t="s">
        <v>13</v>
      </c>
      <c r="F1" s="291" t="s">
        <v>11</v>
      </c>
      <c r="G1" s="291" t="s">
        <v>12</v>
      </c>
      <c r="H1" s="197" t="s">
        <v>113</v>
      </c>
      <c r="I1" s="291" t="s">
        <v>86</v>
      </c>
      <c r="J1" s="291" t="s">
        <v>6</v>
      </c>
      <c r="L1" s="292" t="str">
        <f>IFERROR(__xludf.DUMMYFUNCTION("IMPORTRANGE(""https://docs.google.com/spreadsheets/d/13aDQw10aoQmsEs3uxk930WuOnUVjXR0FnlnQOLP3UVQ/edit?gid=537451252#gid=537451252"",""Topline!A1:BC104"")"),"")</f>
        <v/>
      </c>
      <c r="M1" s="292"/>
      <c r="N1" s="292" t="str">
        <f>IFERROR(__xludf.DUMMYFUNCTION("""COMPUTED_VALUE"""),"2026-M01")</f>
        <v>2026-M01</v>
      </c>
      <c r="O1" s="292" t="str">
        <f>IFERROR(__xludf.DUMMYFUNCTION("""COMPUTED_VALUE"""),"2026-M01")</f>
        <v>2026-M01</v>
      </c>
      <c r="P1" s="292" t="str">
        <f>IFERROR(__xludf.DUMMYFUNCTION("""COMPUTED_VALUE"""),"2026-M01")</f>
        <v>2026-M01</v>
      </c>
      <c r="Q1" s="292" t="str">
        <f>IFERROR(__xludf.DUMMYFUNCTION("""COMPUTED_VALUE"""),"2026-M01")</f>
        <v>2026-M01</v>
      </c>
      <c r="R1" s="292" t="str">
        <f>IFERROR(__xludf.DUMMYFUNCTION("""COMPUTED_VALUE"""),"2026-M01")</f>
        <v>2026-M01</v>
      </c>
      <c r="S1" s="292" t="str">
        <f>IFERROR(__xludf.DUMMYFUNCTION("""COMPUTED_VALUE"""),"2026-M02")</f>
        <v>2026-M02</v>
      </c>
      <c r="T1" s="292" t="str">
        <f>IFERROR(__xludf.DUMMYFUNCTION("""COMPUTED_VALUE"""),"2026-M02")</f>
        <v>2026-M02</v>
      </c>
      <c r="U1" s="292" t="str">
        <f>IFERROR(__xludf.DUMMYFUNCTION("""COMPUTED_VALUE"""),"2026-M02")</f>
        <v>2026-M02</v>
      </c>
      <c r="V1" s="292" t="str">
        <f>IFERROR(__xludf.DUMMYFUNCTION("""COMPUTED_VALUE"""),"2026-M02")</f>
        <v>2026-M02</v>
      </c>
      <c r="W1" s="292" t="str">
        <f>IFERROR(__xludf.DUMMYFUNCTION("""COMPUTED_VALUE"""),"2026-M03")</f>
        <v>2026-M03</v>
      </c>
      <c r="X1" s="292" t="str">
        <f>IFERROR(__xludf.DUMMYFUNCTION("""COMPUTED_VALUE"""),"2026-M03")</f>
        <v>2026-M03</v>
      </c>
      <c r="Y1" s="292" t="str">
        <f>IFERROR(__xludf.DUMMYFUNCTION("""COMPUTED_VALUE"""),"2026-M03")</f>
        <v>2026-M03</v>
      </c>
      <c r="Z1" s="292" t="str">
        <f>IFERROR(__xludf.DUMMYFUNCTION("""COMPUTED_VALUE"""),"2026-M03")</f>
        <v>2026-M03</v>
      </c>
      <c r="AA1" s="292" t="str">
        <f>IFERROR(__xludf.DUMMYFUNCTION("""COMPUTED_VALUE"""),"2026-M04")</f>
        <v>2026-M04</v>
      </c>
      <c r="AB1" s="292" t="str">
        <f>IFERROR(__xludf.DUMMYFUNCTION("""COMPUTED_VALUE"""),"2026-M04")</f>
        <v>2026-M04</v>
      </c>
      <c r="AC1" s="292" t="str">
        <f>IFERROR(__xludf.DUMMYFUNCTION("""COMPUTED_VALUE"""),"2026-M04")</f>
        <v>2026-M04</v>
      </c>
      <c r="AD1" s="292" t="str">
        <f>IFERROR(__xludf.DUMMYFUNCTION("""COMPUTED_VALUE"""),"2026-M04")</f>
        <v>2026-M04</v>
      </c>
      <c r="AE1" s="292" t="str">
        <f>IFERROR(__xludf.DUMMYFUNCTION("""COMPUTED_VALUE"""),"2026-M04")</f>
        <v>2026-M04</v>
      </c>
      <c r="AF1" s="292" t="str">
        <f>IFERROR(__xludf.DUMMYFUNCTION("""COMPUTED_VALUE"""),"2026-M05")</f>
        <v>2026-M05</v>
      </c>
      <c r="AG1" s="292" t="str">
        <f>IFERROR(__xludf.DUMMYFUNCTION("""COMPUTED_VALUE"""),"2026-M05")</f>
        <v>2026-M05</v>
      </c>
      <c r="AH1" s="292" t="str">
        <f>IFERROR(__xludf.DUMMYFUNCTION("""COMPUTED_VALUE"""),"2026-M05")</f>
        <v>2026-M05</v>
      </c>
      <c r="AI1" s="292" t="str">
        <f>IFERROR(__xludf.DUMMYFUNCTION("""COMPUTED_VALUE"""),"2026-M05")</f>
        <v>2026-M05</v>
      </c>
      <c r="AJ1" s="292" t="str">
        <f>IFERROR(__xludf.DUMMYFUNCTION("""COMPUTED_VALUE"""),"2026-M06")</f>
        <v>2026-M06</v>
      </c>
      <c r="AK1" s="292" t="str">
        <f>IFERROR(__xludf.DUMMYFUNCTION("""COMPUTED_VALUE"""),"2026-M06")</f>
        <v>2026-M06</v>
      </c>
      <c r="AL1" s="292" t="str">
        <f>IFERROR(__xludf.DUMMYFUNCTION("""COMPUTED_VALUE"""),"2026-M06")</f>
        <v>2026-M06</v>
      </c>
      <c r="AM1" s="292" t="str">
        <f>IFERROR(__xludf.DUMMYFUNCTION("""COMPUTED_VALUE"""),"2026-M06")</f>
        <v>2026-M06</v>
      </c>
      <c r="AN1" s="292" t="str">
        <f>IFERROR(__xludf.DUMMYFUNCTION("""COMPUTED_VALUE"""),"2026-M07")</f>
        <v>2026-M07</v>
      </c>
      <c r="AO1" s="292" t="str">
        <f>IFERROR(__xludf.DUMMYFUNCTION("""COMPUTED_VALUE"""),"2026-M07")</f>
        <v>2026-M07</v>
      </c>
      <c r="AP1" s="292" t="str">
        <f>IFERROR(__xludf.DUMMYFUNCTION("""COMPUTED_VALUE"""),"2026-M07")</f>
        <v>2026-M07</v>
      </c>
      <c r="AQ1" s="292" t="str">
        <f>IFERROR(__xludf.DUMMYFUNCTION("""COMPUTED_VALUE"""),"2026-M07")</f>
        <v>2026-M07</v>
      </c>
      <c r="AR1" s="292" t="str">
        <f>IFERROR(__xludf.DUMMYFUNCTION("""COMPUTED_VALUE"""),"2026-M07")</f>
        <v>2026-M07</v>
      </c>
      <c r="AS1" s="292" t="str">
        <f>IFERROR(__xludf.DUMMYFUNCTION("""COMPUTED_VALUE"""),"2026-M08")</f>
        <v>2026-M08</v>
      </c>
      <c r="AT1" s="292" t="str">
        <f>IFERROR(__xludf.DUMMYFUNCTION("""COMPUTED_VALUE"""),"2026-M08")</f>
        <v>2026-M08</v>
      </c>
      <c r="AU1" s="292" t="str">
        <f>IFERROR(__xludf.DUMMYFUNCTION("""COMPUTED_VALUE"""),"2026-M08")</f>
        <v>2026-M08</v>
      </c>
      <c r="AV1" s="292" t="str">
        <f>IFERROR(__xludf.DUMMYFUNCTION("""COMPUTED_VALUE"""),"2026-M08")</f>
        <v>2026-M08</v>
      </c>
      <c r="AW1" s="292" t="str">
        <f>IFERROR(__xludf.DUMMYFUNCTION("""COMPUTED_VALUE"""),"2026-M09")</f>
        <v>2026-M09</v>
      </c>
      <c r="AX1" s="292" t="str">
        <f>IFERROR(__xludf.DUMMYFUNCTION("""COMPUTED_VALUE"""),"2026-M09")</f>
        <v>2026-M09</v>
      </c>
      <c r="AY1" s="292" t="str">
        <f>IFERROR(__xludf.DUMMYFUNCTION("""COMPUTED_VALUE"""),"2026-M09")</f>
        <v>2026-M09</v>
      </c>
      <c r="AZ1" s="292" t="str">
        <f>IFERROR(__xludf.DUMMYFUNCTION("""COMPUTED_VALUE"""),"2026-M09")</f>
        <v>2026-M09</v>
      </c>
      <c r="BA1" s="292" t="str">
        <f>IFERROR(__xludf.DUMMYFUNCTION("""COMPUTED_VALUE"""),"2026-M10")</f>
        <v>2026-M10</v>
      </c>
      <c r="BB1" s="292" t="str">
        <f>IFERROR(__xludf.DUMMYFUNCTION("""COMPUTED_VALUE"""),"2026-M10")</f>
        <v>2026-M10</v>
      </c>
      <c r="BC1" s="292" t="str">
        <f>IFERROR(__xludf.DUMMYFUNCTION("""COMPUTED_VALUE"""),"2026-M10")</f>
        <v>2026-M10</v>
      </c>
      <c r="BD1" s="292" t="str">
        <f>IFERROR(__xludf.DUMMYFUNCTION("""COMPUTED_VALUE"""),"2026-M10")</f>
        <v>2026-M10</v>
      </c>
      <c r="BE1" s="292" t="str">
        <f>IFERROR(__xludf.DUMMYFUNCTION("""COMPUTED_VALUE"""),"2026-M10")</f>
        <v>2026-M10</v>
      </c>
      <c r="BF1" s="292" t="str">
        <f>IFERROR(__xludf.DUMMYFUNCTION("""COMPUTED_VALUE"""),"2026-M11")</f>
        <v>2026-M11</v>
      </c>
      <c r="BG1" s="292" t="str">
        <f>IFERROR(__xludf.DUMMYFUNCTION("""COMPUTED_VALUE"""),"2026-M11")</f>
        <v>2026-M11</v>
      </c>
      <c r="BH1" s="292" t="str">
        <f>IFERROR(__xludf.DUMMYFUNCTION("""COMPUTED_VALUE"""),"2026-M11")</f>
        <v>2026-M11</v>
      </c>
      <c r="BI1" s="292" t="str">
        <f>IFERROR(__xludf.DUMMYFUNCTION("""COMPUTED_VALUE"""),"2026-M11")</f>
        <v>2026-M11</v>
      </c>
      <c r="BJ1" s="292" t="str">
        <f>IFERROR(__xludf.DUMMYFUNCTION("""COMPUTED_VALUE"""),"2026-M12")</f>
        <v>2026-M12</v>
      </c>
      <c r="BK1" s="292" t="str">
        <f>IFERROR(__xludf.DUMMYFUNCTION("""COMPUTED_VALUE"""),"2026-M12")</f>
        <v>2026-M12</v>
      </c>
      <c r="BL1" s="292" t="str">
        <f>IFERROR(__xludf.DUMMYFUNCTION("""COMPUTED_VALUE"""),"2026-M12")</f>
        <v>2026-M12</v>
      </c>
      <c r="BM1" s="292" t="str">
        <f>IFERROR(__xludf.DUMMYFUNCTION("""COMPUTED_VALUE"""),"2026-M12")</f>
        <v>2026-M12</v>
      </c>
      <c r="BN1" s="292" t="str">
        <f>IFERROR(__xludf.DUMMYFUNCTION("""COMPUTED_VALUE"""),"2026-M12")</f>
        <v>2026-M12</v>
      </c>
    </row>
    <row r="2">
      <c r="A2" s="291" t="s">
        <v>15</v>
      </c>
      <c r="B2" s="293">
        <f t="array" ref="B2:B54">transpose(N12:BN12)</f>
        <v>10617.29647</v>
      </c>
      <c r="C2" s="293">
        <f t="array" ref="C2:C54">transpose(N13:BN13)</f>
        <v>12345.7165</v>
      </c>
      <c r="D2" s="294">
        <f t="shared" ref="D2:D53" si="1">B2+C2</f>
        <v>22963.01296</v>
      </c>
      <c r="E2" s="294">
        <f t="array" ref="E2:E54">transpose(N14:BN14)</f>
        <v>12756.2393</v>
      </c>
      <c r="F2" s="293">
        <f t="array" ref="F2:F54">transpose(N16:BN16)</f>
        <v>6121.717157</v>
      </c>
      <c r="G2" s="293">
        <f t="array" ref="G2:G54">transpose(N15:BN15)</f>
        <v>6634.5309</v>
      </c>
      <c r="H2" s="294">
        <f t="shared" ref="H2:H53" si="2">F2+G2</f>
        <v>12756.24806</v>
      </c>
      <c r="I2" s="293"/>
      <c r="J2" s="17"/>
      <c r="L2" s="292"/>
      <c r="M2" s="292"/>
      <c r="N2" s="292" t="str">
        <f>IFERROR(__xludf.DUMMYFUNCTION("""COMPUTED_VALUE"""),"2026-W01")</f>
        <v>2026-W01</v>
      </c>
      <c r="O2" s="292" t="str">
        <f>IFERROR(__xludf.DUMMYFUNCTION("""COMPUTED_VALUE"""),"2026-W02")</f>
        <v>2026-W02</v>
      </c>
      <c r="P2" s="292" t="str">
        <f>IFERROR(__xludf.DUMMYFUNCTION("""COMPUTED_VALUE"""),"2026-W03")</f>
        <v>2026-W03</v>
      </c>
      <c r="Q2" s="292" t="str">
        <f>IFERROR(__xludf.DUMMYFUNCTION("""COMPUTED_VALUE"""),"2026-W04")</f>
        <v>2026-W04</v>
      </c>
      <c r="R2" s="292" t="str">
        <f>IFERROR(__xludf.DUMMYFUNCTION("""COMPUTED_VALUE"""),"2026-W05")</f>
        <v>2026-W05</v>
      </c>
      <c r="S2" s="292" t="str">
        <f>IFERROR(__xludf.DUMMYFUNCTION("""COMPUTED_VALUE"""),"2026-W06")</f>
        <v>2026-W06</v>
      </c>
      <c r="T2" s="292" t="str">
        <f>IFERROR(__xludf.DUMMYFUNCTION("""COMPUTED_VALUE"""),"2026-W07")</f>
        <v>2026-W07</v>
      </c>
      <c r="U2" s="292" t="str">
        <f>IFERROR(__xludf.DUMMYFUNCTION("""COMPUTED_VALUE"""),"2026-W08")</f>
        <v>2026-W08</v>
      </c>
      <c r="V2" s="292" t="str">
        <f>IFERROR(__xludf.DUMMYFUNCTION("""COMPUTED_VALUE"""),"2026-W09")</f>
        <v>2026-W09</v>
      </c>
      <c r="W2" s="292" t="str">
        <f>IFERROR(__xludf.DUMMYFUNCTION("""COMPUTED_VALUE"""),"2026-W10")</f>
        <v>2026-W10</v>
      </c>
      <c r="X2" s="292" t="str">
        <f>IFERROR(__xludf.DUMMYFUNCTION("""COMPUTED_VALUE"""),"2026-W11")</f>
        <v>2026-W11</v>
      </c>
      <c r="Y2" s="292" t="str">
        <f>IFERROR(__xludf.DUMMYFUNCTION("""COMPUTED_VALUE"""),"2026-W12")</f>
        <v>2026-W12</v>
      </c>
      <c r="Z2" s="292" t="str">
        <f>IFERROR(__xludf.DUMMYFUNCTION("""COMPUTED_VALUE"""),"2026-W13")</f>
        <v>2026-W13</v>
      </c>
      <c r="AA2" s="292" t="str">
        <f>IFERROR(__xludf.DUMMYFUNCTION("""COMPUTED_VALUE"""),"2026-W14")</f>
        <v>2026-W14</v>
      </c>
      <c r="AB2" s="292" t="str">
        <f>IFERROR(__xludf.DUMMYFUNCTION("""COMPUTED_VALUE"""),"2026-W15")</f>
        <v>2026-W15</v>
      </c>
      <c r="AC2" s="292" t="str">
        <f>IFERROR(__xludf.DUMMYFUNCTION("""COMPUTED_VALUE"""),"2026-W16")</f>
        <v>2026-W16</v>
      </c>
      <c r="AD2" s="292" t="str">
        <f>IFERROR(__xludf.DUMMYFUNCTION("""COMPUTED_VALUE"""),"2026-W17")</f>
        <v>2026-W17</v>
      </c>
      <c r="AE2" s="292" t="str">
        <f>IFERROR(__xludf.DUMMYFUNCTION("""COMPUTED_VALUE"""),"2026-W18")</f>
        <v>2026-W18</v>
      </c>
      <c r="AF2" s="292" t="str">
        <f>IFERROR(__xludf.DUMMYFUNCTION("""COMPUTED_VALUE"""),"2026-W19")</f>
        <v>2026-W19</v>
      </c>
      <c r="AG2" s="292" t="str">
        <f>IFERROR(__xludf.DUMMYFUNCTION("""COMPUTED_VALUE"""),"2026-W20")</f>
        <v>2026-W20</v>
      </c>
      <c r="AH2" s="292" t="str">
        <f>IFERROR(__xludf.DUMMYFUNCTION("""COMPUTED_VALUE"""),"2026-W21")</f>
        <v>2026-W21</v>
      </c>
      <c r="AI2" s="292" t="str">
        <f>IFERROR(__xludf.DUMMYFUNCTION("""COMPUTED_VALUE"""),"2026-W22")</f>
        <v>2026-W22</v>
      </c>
      <c r="AJ2" s="292" t="str">
        <f>IFERROR(__xludf.DUMMYFUNCTION("""COMPUTED_VALUE"""),"2026-W23")</f>
        <v>2026-W23</v>
      </c>
      <c r="AK2" s="292" t="str">
        <f>IFERROR(__xludf.DUMMYFUNCTION("""COMPUTED_VALUE"""),"2026-W24")</f>
        <v>2026-W24</v>
      </c>
      <c r="AL2" s="292" t="str">
        <f>IFERROR(__xludf.DUMMYFUNCTION("""COMPUTED_VALUE"""),"2026-W25")</f>
        <v>2026-W25</v>
      </c>
      <c r="AM2" s="292" t="str">
        <f>IFERROR(__xludf.DUMMYFUNCTION("""COMPUTED_VALUE"""),"2026-W26")</f>
        <v>2026-W26</v>
      </c>
      <c r="AN2" s="292" t="str">
        <f>IFERROR(__xludf.DUMMYFUNCTION("""COMPUTED_VALUE"""),"2026-W27")</f>
        <v>2026-W27</v>
      </c>
      <c r="AO2" s="292" t="str">
        <f>IFERROR(__xludf.DUMMYFUNCTION("""COMPUTED_VALUE"""),"2026-W28")</f>
        <v>2026-W28</v>
      </c>
      <c r="AP2" s="292" t="str">
        <f>IFERROR(__xludf.DUMMYFUNCTION("""COMPUTED_VALUE"""),"2026-W29")</f>
        <v>2026-W29</v>
      </c>
      <c r="AQ2" s="292" t="str">
        <f>IFERROR(__xludf.DUMMYFUNCTION("""COMPUTED_VALUE"""),"2026-W30")</f>
        <v>2026-W30</v>
      </c>
      <c r="AR2" s="292" t="str">
        <f>IFERROR(__xludf.DUMMYFUNCTION("""COMPUTED_VALUE"""),"2026-W31")</f>
        <v>2026-W31</v>
      </c>
      <c r="AS2" s="292" t="str">
        <f>IFERROR(__xludf.DUMMYFUNCTION("""COMPUTED_VALUE"""),"2026-W32")</f>
        <v>2026-W32</v>
      </c>
      <c r="AT2" s="292" t="str">
        <f>IFERROR(__xludf.DUMMYFUNCTION("""COMPUTED_VALUE"""),"2026-W33")</f>
        <v>2026-W33</v>
      </c>
      <c r="AU2" s="292" t="str">
        <f>IFERROR(__xludf.DUMMYFUNCTION("""COMPUTED_VALUE"""),"2026-W34")</f>
        <v>2026-W34</v>
      </c>
      <c r="AV2" s="292" t="str">
        <f>IFERROR(__xludf.DUMMYFUNCTION("""COMPUTED_VALUE"""),"2026-W35")</f>
        <v>2026-W35</v>
      </c>
      <c r="AW2" s="292" t="str">
        <f>IFERROR(__xludf.DUMMYFUNCTION("""COMPUTED_VALUE"""),"2026-W36")</f>
        <v>2026-W36</v>
      </c>
      <c r="AX2" s="292" t="str">
        <f>IFERROR(__xludf.DUMMYFUNCTION("""COMPUTED_VALUE"""),"2026-W37")</f>
        <v>2026-W37</v>
      </c>
      <c r="AY2" s="292" t="str">
        <f>IFERROR(__xludf.DUMMYFUNCTION("""COMPUTED_VALUE"""),"2026-W38")</f>
        <v>2026-W38</v>
      </c>
      <c r="AZ2" s="292" t="str">
        <f>IFERROR(__xludf.DUMMYFUNCTION("""COMPUTED_VALUE"""),"2026-W39")</f>
        <v>2026-W39</v>
      </c>
      <c r="BA2" s="292" t="str">
        <f>IFERROR(__xludf.DUMMYFUNCTION("""COMPUTED_VALUE"""),"2026-W40")</f>
        <v>2026-W40</v>
      </c>
      <c r="BB2" s="292" t="str">
        <f>IFERROR(__xludf.DUMMYFUNCTION("""COMPUTED_VALUE"""),"2026-W41")</f>
        <v>2026-W41</v>
      </c>
      <c r="BC2" s="292" t="str">
        <f>IFERROR(__xludf.DUMMYFUNCTION("""COMPUTED_VALUE"""),"2026-W42")</f>
        <v>2026-W42</v>
      </c>
      <c r="BD2" s="292" t="str">
        <f>IFERROR(__xludf.DUMMYFUNCTION("""COMPUTED_VALUE"""),"2026-W43")</f>
        <v>2026-W43</v>
      </c>
      <c r="BE2" s="292" t="str">
        <f>IFERROR(__xludf.DUMMYFUNCTION("""COMPUTED_VALUE"""),"2026-W44")</f>
        <v>2026-W44</v>
      </c>
      <c r="BF2" s="292" t="str">
        <f>IFERROR(__xludf.DUMMYFUNCTION("""COMPUTED_VALUE"""),"2026-W45")</f>
        <v>2026-W45</v>
      </c>
      <c r="BG2" s="292" t="str">
        <f>IFERROR(__xludf.DUMMYFUNCTION("""COMPUTED_VALUE"""),"2026-W46")</f>
        <v>2026-W46</v>
      </c>
      <c r="BH2" s="292" t="str">
        <f>IFERROR(__xludf.DUMMYFUNCTION("""COMPUTED_VALUE"""),"2026-W47")</f>
        <v>2026-W47</v>
      </c>
      <c r="BI2" s="292" t="str">
        <f>IFERROR(__xludf.DUMMYFUNCTION("""COMPUTED_VALUE"""),"2026-W48")</f>
        <v>2026-W48</v>
      </c>
      <c r="BJ2" s="292" t="str">
        <f>IFERROR(__xludf.DUMMYFUNCTION("""COMPUTED_VALUE"""),"2026-W49")</f>
        <v>2026-W49</v>
      </c>
      <c r="BK2" s="292" t="str">
        <f>IFERROR(__xludf.DUMMYFUNCTION("""COMPUTED_VALUE"""),"2026-W50")</f>
        <v>2026-W50</v>
      </c>
      <c r="BL2" s="292" t="str">
        <f>IFERROR(__xludf.DUMMYFUNCTION("""COMPUTED_VALUE"""),"2026-W51")</f>
        <v>2026-W51</v>
      </c>
      <c r="BM2" s="292" t="str">
        <f>IFERROR(__xludf.DUMMYFUNCTION("""COMPUTED_VALUE"""),"2026-W52")</f>
        <v>2026-W52</v>
      </c>
      <c r="BN2" s="292" t="str">
        <f>IFERROR(__xludf.DUMMYFUNCTION("""COMPUTED_VALUE"""),"2026-W53")</f>
        <v>2026-W53</v>
      </c>
    </row>
    <row r="3">
      <c r="A3" s="291" t="s">
        <v>16</v>
      </c>
      <c r="B3" s="293">
        <v>15714.178592</v>
      </c>
      <c r="C3" s="293">
        <v>17297.48614969</v>
      </c>
      <c r="D3" s="294">
        <f t="shared" si="1"/>
        <v>33011.66474</v>
      </c>
      <c r="E3" s="294">
        <v>17385.410700000004</v>
      </c>
      <c r="F3" s="293">
        <v>8274.23085525</v>
      </c>
      <c r="G3" s="293">
        <v>9576.309099999999</v>
      </c>
      <c r="H3" s="294">
        <f t="shared" si="2"/>
        <v>17850.53996</v>
      </c>
      <c r="I3" s="293"/>
      <c r="J3" s="17"/>
      <c r="L3" s="292"/>
      <c r="M3" s="292" t="str">
        <f>IFERROR(__xludf.DUMMYFUNCTION("""COMPUTED_VALUE"""),"Production week")</f>
        <v>Production week</v>
      </c>
      <c r="N3" s="292"/>
      <c r="O3" s="292" t="str">
        <f>IFERROR(__xludf.DUMMYFUNCTION("""COMPUTED_VALUE"""),"W1")</f>
        <v>W1</v>
      </c>
      <c r="P3" s="292" t="str">
        <f>IFERROR(__xludf.DUMMYFUNCTION("""COMPUTED_VALUE"""),"W2")</f>
        <v>W2</v>
      </c>
      <c r="Q3" s="292" t="str">
        <f>IFERROR(__xludf.DUMMYFUNCTION("""COMPUTED_VALUE"""),"W3")</f>
        <v>W3</v>
      </c>
      <c r="R3" s="292" t="str">
        <f>IFERROR(__xludf.DUMMYFUNCTION("""COMPUTED_VALUE"""),"W4")</f>
        <v>W4</v>
      </c>
      <c r="S3" s="292" t="str">
        <f>IFERROR(__xludf.DUMMYFUNCTION("""COMPUTED_VALUE"""),"W5")</f>
        <v>W5</v>
      </c>
      <c r="T3" s="292" t="str">
        <f>IFERROR(__xludf.DUMMYFUNCTION("""COMPUTED_VALUE"""),"W6")</f>
        <v>W6</v>
      </c>
      <c r="U3" s="292" t="str">
        <f>IFERROR(__xludf.DUMMYFUNCTION("""COMPUTED_VALUE"""),"W7")</f>
        <v>W7</v>
      </c>
      <c r="V3" s="292" t="str">
        <f>IFERROR(__xludf.DUMMYFUNCTION("""COMPUTED_VALUE"""),"W8")</f>
        <v>W8</v>
      </c>
      <c r="W3" s="292" t="str">
        <f>IFERROR(__xludf.DUMMYFUNCTION("""COMPUTED_VALUE"""),"W9")</f>
        <v>W9</v>
      </c>
      <c r="X3" s="292" t="str">
        <f>IFERROR(__xludf.DUMMYFUNCTION("""COMPUTED_VALUE"""),"W10")</f>
        <v>W10</v>
      </c>
      <c r="Y3" s="292" t="str">
        <f>IFERROR(__xludf.DUMMYFUNCTION("""COMPUTED_VALUE"""),"W11")</f>
        <v>W11</v>
      </c>
      <c r="Z3" s="292" t="str">
        <f>IFERROR(__xludf.DUMMYFUNCTION("""COMPUTED_VALUE"""),"W12")</f>
        <v>W12</v>
      </c>
      <c r="AA3" s="292" t="str">
        <f>IFERROR(__xludf.DUMMYFUNCTION("""COMPUTED_VALUE"""),"W13")</f>
        <v>W13</v>
      </c>
      <c r="AB3" s="292" t="str">
        <f>IFERROR(__xludf.DUMMYFUNCTION("""COMPUTED_VALUE"""),"W14")</f>
        <v>W14</v>
      </c>
      <c r="AC3" s="292" t="str">
        <f>IFERROR(__xludf.DUMMYFUNCTION("""COMPUTED_VALUE"""),"W15")</f>
        <v>W15</v>
      </c>
      <c r="AD3" s="292" t="str">
        <f>IFERROR(__xludf.DUMMYFUNCTION("""COMPUTED_VALUE"""),"W16")</f>
        <v>W16</v>
      </c>
      <c r="AE3" s="292" t="str">
        <f>IFERROR(__xludf.DUMMYFUNCTION("""COMPUTED_VALUE"""),"W17")</f>
        <v>W17</v>
      </c>
      <c r="AF3" s="292" t="str">
        <f>IFERROR(__xludf.DUMMYFUNCTION("""COMPUTED_VALUE"""),"W18")</f>
        <v>W18</v>
      </c>
      <c r="AG3" s="292" t="str">
        <f>IFERROR(__xludf.DUMMYFUNCTION("""COMPUTED_VALUE"""),"W19")</f>
        <v>W19</v>
      </c>
      <c r="AH3" s="292" t="str">
        <f>IFERROR(__xludf.DUMMYFUNCTION("""COMPUTED_VALUE"""),"W20")</f>
        <v>W20</v>
      </c>
      <c r="AI3" s="292" t="str">
        <f>IFERROR(__xludf.DUMMYFUNCTION("""COMPUTED_VALUE"""),"W21")</f>
        <v>W21</v>
      </c>
      <c r="AJ3" s="292" t="str">
        <f>IFERROR(__xludf.DUMMYFUNCTION("""COMPUTED_VALUE"""),"W22")</f>
        <v>W22</v>
      </c>
      <c r="AK3" s="292" t="str">
        <f>IFERROR(__xludf.DUMMYFUNCTION("""COMPUTED_VALUE"""),"W23")</f>
        <v>W23</v>
      </c>
      <c r="AL3" s="292" t="str">
        <f>IFERROR(__xludf.DUMMYFUNCTION("""COMPUTED_VALUE"""),"W24")</f>
        <v>W24</v>
      </c>
      <c r="AM3" s="292" t="str">
        <f>IFERROR(__xludf.DUMMYFUNCTION("""COMPUTED_VALUE"""),"W25")</f>
        <v>W25</v>
      </c>
      <c r="AN3" s="292" t="str">
        <f>IFERROR(__xludf.DUMMYFUNCTION("""COMPUTED_VALUE"""),"W26")</f>
        <v>W26</v>
      </c>
      <c r="AO3" s="292" t="str">
        <f>IFERROR(__xludf.DUMMYFUNCTION("""COMPUTED_VALUE"""),"W27")</f>
        <v>W27</v>
      </c>
      <c r="AP3" s="292" t="str">
        <f>IFERROR(__xludf.DUMMYFUNCTION("""COMPUTED_VALUE"""),"W28")</f>
        <v>W28</v>
      </c>
      <c r="AQ3" s="292" t="str">
        <f>IFERROR(__xludf.DUMMYFUNCTION("""COMPUTED_VALUE"""),"W29")</f>
        <v>W29</v>
      </c>
      <c r="AR3" s="292" t="str">
        <f>IFERROR(__xludf.DUMMYFUNCTION("""COMPUTED_VALUE"""),"W30")</f>
        <v>W30</v>
      </c>
      <c r="AS3" s="292" t="str">
        <f>IFERROR(__xludf.DUMMYFUNCTION("""COMPUTED_VALUE"""),"W31")</f>
        <v>W31</v>
      </c>
      <c r="AT3" s="292" t="str">
        <f>IFERROR(__xludf.DUMMYFUNCTION("""COMPUTED_VALUE"""),"W32")</f>
        <v>W32</v>
      </c>
      <c r="AU3" s="292" t="str">
        <f>IFERROR(__xludf.DUMMYFUNCTION("""COMPUTED_VALUE"""),"W33")</f>
        <v>W33</v>
      </c>
      <c r="AV3" s="292" t="str">
        <f>IFERROR(__xludf.DUMMYFUNCTION("""COMPUTED_VALUE"""),"W34")</f>
        <v>W34</v>
      </c>
      <c r="AW3" s="292" t="str">
        <f>IFERROR(__xludf.DUMMYFUNCTION("""COMPUTED_VALUE"""),"W35")</f>
        <v>W35</v>
      </c>
      <c r="AX3" s="292" t="str">
        <f>IFERROR(__xludf.DUMMYFUNCTION("""COMPUTED_VALUE"""),"W36")</f>
        <v>W36</v>
      </c>
      <c r="AY3" s="292" t="str">
        <f>IFERROR(__xludf.DUMMYFUNCTION("""COMPUTED_VALUE"""),"W37")</f>
        <v>W37</v>
      </c>
      <c r="AZ3" s="292" t="str">
        <f>IFERROR(__xludf.DUMMYFUNCTION("""COMPUTED_VALUE"""),"W38")</f>
        <v>W38</v>
      </c>
      <c r="BA3" s="292" t="str">
        <f>IFERROR(__xludf.DUMMYFUNCTION("""COMPUTED_VALUE"""),"W39")</f>
        <v>W39</v>
      </c>
      <c r="BB3" s="292" t="str">
        <f>IFERROR(__xludf.DUMMYFUNCTION("""COMPUTED_VALUE"""),"W40")</f>
        <v>W40</v>
      </c>
      <c r="BC3" s="292" t="str">
        <f>IFERROR(__xludf.DUMMYFUNCTION("""COMPUTED_VALUE"""),"W41")</f>
        <v>W41</v>
      </c>
      <c r="BD3" s="292" t="str">
        <f>IFERROR(__xludf.DUMMYFUNCTION("""COMPUTED_VALUE"""),"W42")</f>
        <v>W42</v>
      </c>
      <c r="BE3" s="292" t="str">
        <f>IFERROR(__xludf.DUMMYFUNCTION("""COMPUTED_VALUE"""),"W43")</f>
        <v>W43</v>
      </c>
      <c r="BF3" s="292" t="str">
        <f>IFERROR(__xludf.DUMMYFUNCTION("""COMPUTED_VALUE"""),"W44")</f>
        <v>W44</v>
      </c>
      <c r="BG3" s="292" t="str">
        <f>IFERROR(__xludf.DUMMYFUNCTION("""COMPUTED_VALUE"""),"W45")</f>
        <v>W45</v>
      </c>
      <c r="BH3" s="292" t="str">
        <f>IFERROR(__xludf.DUMMYFUNCTION("""COMPUTED_VALUE"""),"W46")</f>
        <v>W46</v>
      </c>
      <c r="BI3" s="292" t="str">
        <f>IFERROR(__xludf.DUMMYFUNCTION("""COMPUTED_VALUE"""),"W47")</f>
        <v>W47</v>
      </c>
      <c r="BJ3" s="292" t="str">
        <f>IFERROR(__xludf.DUMMYFUNCTION("""COMPUTED_VALUE"""),"W48")</f>
        <v>W48</v>
      </c>
      <c r="BK3" s="292" t="str">
        <f>IFERROR(__xludf.DUMMYFUNCTION("""COMPUTED_VALUE"""),"W49")</f>
        <v>W49</v>
      </c>
      <c r="BL3" s="292" t="str">
        <f>IFERROR(__xludf.DUMMYFUNCTION("""COMPUTED_VALUE"""),"W50")</f>
        <v>W50</v>
      </c>
      <c r="BM3" s="292" t="str">
        <f>IFERROR(__xludf.DUMMYFUNCTION("""COMPUTED_VALUE"""),"W51")</f>
        <v>W51</v>
      </c>
      <c r="BN3" s="292" t="str">
        <f>IFERROR(__xludf.DUMMYFUNCTION("""COMPUTED_VALUE"""),"W52")</f>
        <v>W52</v>
      </c>
    </row>
    <row r="4">
      <c r="A4" s="291" t="s">
        <v>17</v>
      </c>
      <c r="B4" s="293">
        <v>18000.168831999996</v>
      </c>
      <c r="C4" s="293">
        <v>21433.7328195</v>
      </c>
      <c r="D4" s="294">
        <f t="shared" si="1"/>
        <v>39433.90165</v>
      </c>
      <c r="E4" s="294">
        <v>22179.78015</v>
      </c>
      <c r="F4" s="293">
        <v>14158.061207550001</v>
      </c>
      <c r="G4" s="293">
        <v>13669.9817</v>
      </c>
      <c r="H4" s="294">
        <f t="shared" si="2"/>
        <v>27828.04291</v>
      </c>
      <c r="I4" s="293"/>
      <c r="J4" s="17"/>
      <c r="L4" s="292" t="str">
        <f>IFERROR(__xludf.DUMMYFUNCTION("""COMPUTED_VALUE"""),"INPUT")</f>
        <v>INPUT</v>
      </c>
      <c r="M4" s="292" t="str">
        <f>IFERROR(__xludf.DUMMYFUNCTION("""COMPUTED_VALUE"""),"BE Factor")</f>
        <v>BE Factor</v>
      </c>
      <c r="N4" s="295">
        <f>IFERROR(__xludf.DUMMYFUNCTION("""COMPUTED_VALUE"""),1683.0)</f>
        <v>1683</v>
      </c>
      <c r="O4" s="295">
        <f>IFERROR(__xludf.DUMMYFUNCTION("""COMPUTED_VALUE"""),2498.0)</f>
        <v>2498</v>
      </c>
      <c r="P4" s="295">
        <f>IFERROR(__xludf.DUMMYFUNCTION("""COMPUTED_VALUE"""),2848.0)</f>
        <v>2848</v>
      </c>
      <c r="Q4" s="295">
        <f>IFERROR(__xludf.DUMMYFUNCTION("""COMPUTED_VALUE"""),2904.0)</f>
        <v>2904</v>
      </c>
      <c r="R4" s="295">
        <f>IFERROR(__xludf.DUMMYFUNCTION("""COMPUTED_VALUE"""),2945.0)</f>
        <v>2945</v>
      </c>
      <c r="S4" s="295">
        <f>IFERROR(__xludf.DUMMYFUNCTION("""COMPUTED_VALUE"""),3151.0)</f>
        <v>3151</v>
      </c>
      <c r="T4" s="295">
        <f>IFERROR(__xludf.DUMMYFUNCTION("""COMPUTED_VALUE"""),3165.0)</f>
        <v>3165</v>
      </c>
      <c r="U4" s="295">
        <f>IFERROR(__xludf.DUMMYFUNCTION("""COMPUTED_VALUE"""),2915.0)</f>
        <v>2915</v>
      </c>
      <c r="V4" s="295">
        <f>IFERROR(__xludf.DUMMYFUNCTION("""COMPUTED_VALUE"""),3026.0)</f>
        <v>3026</v>
      </c>
      <c r="W4" s="295">
        <f>IFERROR(__xludf.DUMMYFUNCTION("""COMPUTED_VALUE"""),3173.0)</f>
        <v>3173</v>
      </c>
      <c r="X4" s="295">
        <f>IFERROR(__xludf.DUMMYFUNCTION("""COMPUTED_VALUE"""),3291.0)</f>
        <v>3291</v>
      </c>
      <c r="Y4" s="295">
        <f>IFERROR(__xludf.DUMMYFUNCTION("""COMPUTED_VALUE"""),3176.0)</f>
        <v>3176</v>
      </c>
      <c r="Z4" s="295">
        <f>IFERROR(__xludf.DUMMYFUNCTION("""COMPUTED_VALUE"""),3086.0)</f>
        <v>3086</v>
      </c>
      <c r="AA4" s="295">
        <f>IFERROR(__xludf.DUMMYFUNCTION("""COMPUTED_VALUE"""),3085.0)</f>
        <v>3085</v>
      </c>
      <c r="AB4" s="295">
        <f>IFERROR(__xludf.DUMMYFUNCTION("""COMPUTED_VALUE"""),2797.0)</f>
        <v>2797</v>
      </c>
      <c r="AC4" s="295">
        <f>IFERROR(__xludf.DUMMYFUNCTION("""COMPUTED_VALUE"""),3237.0)</f>
        <v>3237</v>
      </c>
      <c r="AD4" s="295">
        <f>IFERROR(__xludf.DUMMYFUNCTION("""COMPUTED_VALUE"""),3145.0)</f>
        <v>3145</v>
      </c>
      <c r="AE4" s="295">
        <f>IFERROR(__xludf.DUMMYFUNCTION("""COMPUTED_VALUE"""),2911.0)</f>
        <v>2911</v>
      </c>
      <c r="AF4" s="295">
        <f>IFERROR(__xludf.DUMMYFUNCTION("""COMPUTED_VALUE"""),2862.0)</f>
        <v>2862</v>
      </c>
      <c r="AG4" s="295">
        <f>IFERROR(__xludf.DUMMYFUNCTION("""COMPUTED_VALUE"""),3138.0)</f>
        <v>3138</v>
      </c>
      <c r="AH4" s="295">
        <f>IFERROR(__xludf.DUMMYFUNCTION("""COMPUTED_VALUE"""),3043.0)</f>
        <v>3043</v>
      </c>
      <c r="AI4" s="295">
        <f>IFERROR(__xludf.DUMMYFUNCTION("""COMPUTED_VALUE"""),3152.0)</f>
        <v>3152</v>
      </c>
      <c r="AJ4" s="295">
        <f>IFERROR(__xludf.DUMMYFUNCTION("""COMPUTED_VALUE"""),3393.0)</f>
        <v>3393</v>
      </c>
      <c r="AK4" s="295">
        <f>IFERROR(__xludf.DUMMYFUNCTION("""COMPUTED_VALUE"""),3373.0)</f>
        <v>3373</v>
      </c>
      <c r="AL4" s="295">
        <f>IFERROR(__xludf.DUMMYFUNCTION("""COMPUTED_VALUE"""),3294.0)</f>
        <v>3294</v>
      </c>
      <c r="AM4" s="295">
        <f>IFERROR(__xludf.DUMMYFUNCTION("""COMPUTED_VALUE"""),3134.0)</f>
        <v>3134</v>
      </c>
      <c r="AN4" s="295">
        <f>IFERROR(__xludf.DUMMYFUNCTION("""COMPUTED_VALUE"""),2989.0)</f>
        <v>2989</v>
      </c>
      <c r="AO4" s="295">
        <f>IFERROR(__xludf.DUMMYFUNCTION("""COMPUTED_VALUE"""),2835.0)</f>
        <v>2835</v>
      </c>
      <c r="AP4" s="295">
        <f>IFERROR(__xludf.DUMMYFUNCTION("""COMPUTED_VALUE"""),2600.0)</f>
        <v>2600</v>
      </c>
      <c r="AQ4" s="295">
        <f>IFERROR(__xludf.DUMMYFUNCTION("""COMPUTED_VALUE"""),2333.0)</f>
        <v>2333</v>
      </c>
      <c r="AR4" s="295">
        <f>IFERROR(__xludf.DUMMYFUNCTION("""COMPUTED_VALUE"""),2324.0)</f>
        <v>2324</v>
      </c>
      <c r="AS4" s="295">
        <f>IFERROR(__xludf.DUMMYFUNCTION("""COMPUTED_VALUE"""),2429.0)</f>
        <v>2429</v>
      </c>
      <c r="AT4" s="295">
        <f>IFERROR(__xludf.DUMMYFUNCTION("""COMPUTED_VALUE"""),2442.0)</f>
        <v>2442</v>
      </c>
      <c r="AU4" s="295">
        <f>IFERROR(__xludf.DUMMYFUNCTION("""COMPUTED_VALUE"""),2801.0)</f>
        <v>2801</v>
      </c>
      <c r="AV4" s="295">
        <f>IFERROR(__xludf.DUMMYFUNCTION("""COMPUTED_VALUE"""),2828.0)</f>
        <v>2828</v>
      </c>
      <c r="AW4" s="295">
        <f>IFERROR(__xludf.DUMMYFUNCTION("""COMPUTED_VALUE"""),3051.0)</f>
        <v>3051</v>
      </c>
      <c r="AX4" s="295">
        <f>IFERROR(__xludf.DUMMYFUNCTION("""COMPUTED_VALUE"""),3434.0)</f>
        <v>3434</v>
      </c>
      <c r="AY4" s="295">
        <f>IFERROR(__xludf.DUMMYFUNCTION("""COMPUTED_VALUE"""),3788.0)</f>
        <v>3788</v>
      </c>
      <c r="AZ4" s="295">
        <f>IFERROR(__xludf.DUMMYFUNCTION("""COMPUTED_VALUE"""),4039.0)</f>
        <v>4039</v>
      </c>
      <c r="BA4" s="295">
        <f>IFERROR(__xludf.DUMMYFUNCTION("""COMPUTED_VALUE"""),4361.0)</f>
        <v>4361</v>
      </c>
      <c r="BB4" s="295">
        <f>IFERROR(__xludf.DUMMYFUNCTION("""COMPUTED_VALUE"""),4491.0)</f>
        <v>4491</v>
      </c>
      <c r="BC4" s="295">
        <f>IFERROR(__xludf.DUMMYFUNCTION("""COMPUTED_VALUE"""),4485.0)</f>
        <v>4485</v>
      </c>
      <c r="BD4" s="295">
        <f>IFERROR(__xludf.DUMMYFUNCTION("""COMPUTED_VALUE"""),4507.0)</f>
        <v>4507</v>
      </c>
      <c r="BE4" s="295">
        <f>IFERROR(__xludf.DUMMYFUNCTION("""COMPUTED_VALUE"""),4314.0)</f>
        <v>4314</v>
      </c>
      <c r="BF4" s="295">
        <f>IFERROR(__xludf.DUMMYFUNCTION("""COMPUTED_VALUE"""),4755.0)</f>
        <v>4755</v>
      </c>
      <c r="BG4" s="295">
        <f>IFERROR(__xludf.DUMMYFUNCTION("""COMPUTED_VALUE"""),4599.0)</f>
        <v>4599</v>
      </c>
      <c r="BH4" s="295">
        <f>IFERROR(__xludf.DUMMYFUNCTION("""COMPUTED_VALUE"""),4885.0)</f>
        <v>4885</v>
      </c>
      <c r="BI4" s="295">
        <f>IFERROR(__xludf.DUMMYFUNCTION("""COMPUTED_VALUE"""),4898.0)</f>
        <v>4898</v>
      </c>
      <c r="BJ4" s="295">
        <f>IFERROR(__xludf.DUMMYFUNCTION("""COMPUTED_VALUE"""),4970.0)</f>
        <v>4970</v>
      </c>
      <c r="BK4" s="295">
        <f>IFERROR(__xludf.DUMMYFUNCTION("""COMPUTED_VALUE"""),4495.0)</f>
        <v>4495</v>
      </c>
      <c r="BL4" s="295">
        <f>IFERROR(__xludf.DUMMYFUNCTION("""COMPUTED_VALUE"""),4209.0)</f>
        <v>4209</v>
      </c>
      <c r="BM4" s="295">
        <f>IFERROR(__xludf.DUMMYFUNCTION("""COMPUTED_VALUE"""),2546.0)</f>
        <v>2546</v>
      </c>
      <c r="BN4" s="295">
        <f>IFERROR(__xludf.DUMMYFUNCTION("""COMPUTED_VALUE"""),2278.0)</f>
        <v>2278</v>
      </c>
    </row>
    <row r="5">
      <c r="A5" s="291" t="s">
        <v>18</v>
      </c>
      <c r="B5" s="293">
        <v>18435.471911999997</v>
      </c>
      <c r="C5" s="293">
        <v>23524.23674098</v>
      </c>
      <c r="D5" s="294">
        <f t="shared" si="1"/>
        <v>41959.70865</v>
      </c>
      <c r="E5" s="294">
        <v>24875.020139999997</v>
      </c>
      <c r="F5" s="293">
        <v>16096.655817479997</v>
      </c>
      <c r="G5" s="293">
        <v>14748.354000000001</v>
      </c>
      <c r="H5" s="294">
        <f t="shared" si="2"/>
        <v>30845.00982</v>
      </c>
      <c r="I5" s="293"/>
      <c r="J5" s="17"/>
      <c r="L5" s="292" t="str">
        <f>IFERROR(__xludf.DUMMYFUNCTION("""COMPUTED_VALUE"""),"INPUT")</f>
        <v>INPUT</v>
      </c>
      <c r="M5" s="292" t="str">
        <f>IFERROR(__xludf.DUMMYFUNCTION("""COMPUTED_VALUE"""),"NL Factor")</f>
        <v>NL Factor</v>
      </c>
      <c r="N5" s="295">
        <f>IFERROR(__xludf.DUMMYFUNCTION("""COMPUTED_VALUE"""),1956.0)</f>
        <v>1956</v>
      </c>
      <c r="O5" s="295">
        <f>IFERROR(__xludf.DUMMYFUNCTION("""COMPUTED_VALUE"""),2747.0)</f>
        <v>2747</v>
      </c>
      <c r="P5" s="295">
        <f>IFERROR(__xludf.DUMMYFUNCTION("""COMPUTED_VALUE"""),3390.0)</f>
        <v>3390</v>
      </c>
      <c r="Q5" s="295">
        <f>IFERROR(__xludf.DUMMYFUNCTION("""COMPUTED_VALUE"""),3713.0)</f>
        <v>3713</v>
      </c>
      <c r="R5" s="295">
        <f>IFERROR(__xludf.DUMMYFUNCTION("""COMPUTED_VALUE"""),3954.0)</f>
        <v>3954</v>
      </c>
      <c r="S5" s="295">
        <f>IFERROR(__xludf.DUMMYFUNCTION("""COMPUTED_VALUE"""),4315.0)</f>
        <v>4315</v>
      </c>
      <c r="T5" s="295">
        <f>IFERROR(__xludf.DUMMYFUNCTION("""COMPUTED_VALUE"""),4355.0)</f>
        <v>4355</v>
      </c>
      <c r="U5" s="295">
        <f>IFERROR(__xludf.DUMMYFUNCTION("""COMPUTED_VALUE"""),4342.0)</f>
        <v>4342</v>
      </c>
      <c r="V5" s="295">
        <f>IFERROR(__xludf.DUMMYFUNCTION("""COMPUTED_VALUE"""),4378.0)</f>
        <v>4378</v>
      </c>
      <c r="W5" s="295">
        <f>IFERROR(__xludf.DUMMYFUNCTION("""COMPUTED_VALUE"""),4583.0)</f>
        <v>4583</v>
      </c>
      <c r="X5" s="295">
        <f>IFERROR(__xludf.DUMMYFUNCTION("""COMPUTED_VALUE"""),4608.0)</f>
        <v>4608</v>
      </c>
      <c r="Y5" s="295">
        <f>IFERROR(__xludf.DUMMYFUNCTION("""COMPUTED_VALUE"""),4615.0)</f>
        <v>4615</v>
      </c>
      <c r="Z5" s="295">
        <f>IFERROR(__xludf.DUMMYFUNCTION("""COMPUTED_VALUE"""),4620.0)</f>
        <v>4620</v>
      </c>
      <c r="AA5" s="295">
        <f>IFERROR(__xludf.DUMMYFUNCTION("""COMPUTED_VALUE"""),4779.0)</f>
        <v>4779</v>
      </c>
      <c r="AB5" s="295">
        <f>IFERROR(__xludf.DUMMYFUNCTION("""COMPUTED_VALUE"""),4195.0)</f>
        <v>4195</v>
      </c>
      <c r="AC5" s="295">
        <f>IFERROR(__xludf.DUMMYFUNCTION("""COMPUTED_VALUE"""),4471.0)</f>
        <v>4471</v>
      </c>
      <c r="AD5" s="295">
        <f>IFERROR(__xludf.DUMMYFUNCTION("""COMPUTED_VALUE"""),4522.0)</f>
        <v>4522</v>
      </c>
      <c r="AE5" s="295">
        <f>IFERROR(__xludf.DUMMYFUNCTION("""COMPUTED_VALUE"""),4298.0)</f>
        <v>4298</v>
      </c>
      <c r="AF5" s="295">
        <f>IFERROR(__xludf.DUMMYFUNCTION("""COMPUTED_VALUE"""),4238.0)</f>
        <v>4238</v>
      </c>
      <c r="AG5" s="295">
        <f>IFERROR(__xludf.DUMMYFUNCTION("""COMPUTED_VALUE"""),4504.0)</f>
        <v>4504</v>
      </c>
      <c r="AH5" s="295">
        <f>IFERROR(__xludf.DUMMYFUNCTION("""COMPUTED_VALUE"""),4426.0)</f>
        <v>4426</v>
      </c>
      <c r="AI5" s="295">
        <f>IFERROR(__xludf.DUMMYFUNCTION("""COMPUTED_VALUE"""),4310.0)</f>
        <v>4310</v>
      </c>
      <c r="AJ5" s="295">
        <f>IFERROR(__xludf.DUMMYFUNCTION("""COMPUTED_VALUE"""),4366.0)</f>
        <v>4366</v>
      </c>
      <c r="AK5" s="295">
        <f>IFERROR(__xludf.DUMMYFUNCTION("""COMPUTED_VALUE"""),4226.0)</f>
        <v>4226</v>
      </c>
      <c r="AL5" s="295">
        <f>IFERROR(__xludf.DUMMYFUNCTION("""COMPUTED_VALUE"""),4331.0)</f>
        <v>4331</v>
      </c>
      <c r="AM5" s="295">
        <f>IFERROR(__xludf.DUMMYFUNCTION("""COMPUTED_VALUE"""),4317.0)</f>
        <v>4317</v>
      </c>
      <c r="AN5" s="295">
        <f>IFERROR(__xludf.DUMMYFUNCTION("""COMPUTED_VALUE"""),4380.0)</f>
        <v>4380</v>
      </c>
      <c r="AO5" s="295">
        <f>IFERROR(__xludf.DUMMYFUNCTION("""COMPUTED_VALUE"""),4143.0)</f>
        <v>4143</v>
      </c>
      <c r="AP5" s="295">
        <f>IFERROR(__xludf.DUMMYFUNCTION("""COMPUTED_VALUE"""),3889.0)</f>
        <v>3889</v>
      </c>
      <c r="AQ5" s="295">
        <f>IFERROR(__xludf.DUMMYFUNCTION("""COMPUTED_VALUE"""),3865.0)</f>
        <v>3865</v>
      </c>
      <c r="AR5" s="295">
        <f>IFERROR(__xludf.DUMMYFUNCTION("""COMPUTED_VALUE"""),3804.0)</f>
        <v>3804</v>
      </c>
      <c r="AS5" s="295">
        <f>IFERROR(__xludf.DUMMYFUNCTION("""COMPUTED_VALUE"""),3740.0)</f>
        <v>3740</v>
      </c>
      <c r="AT5" s="295">
        <f>IFERROR(__xludf.DUMMYFUNCTION("""COMPUTED_VALUE"""),3922.0)</f>
        <v>3922</v>
      </c>
      <c r="AU5" s="295">
        <f>IFERROR(__xludf.DUMMYFUNCTION("""COMPUTED_VALUE"""),4358.0)</f>
        <v>4358</v>
      </c>
      <c r="AV5" s="295">
        <f>IFERROR(__xludf.DUMMYFUNCTION("""COMPUTED_VALUE"""),4657.0)</f>
        <v>4657</v>
      </c>
      <c r="AW5" s="295">
        <f>IFERROR(__xludf.DUMMYFUNCTION("""COMPUTED_VALUE"""),4939.0)</f>
        <v>4939</v>
      </c>
      <c r="AX5" s="295">
        <f>IFERROR(__xludf.DUMMYFUNCTION("""COMPUTED_VALUE"""),5528.0)</f>
        <v>5528</v>
      </c>
      <c r="AY5" s="295">
        <f>IFERROR(__xludf.DUMMYFUNCTION("""COMPUTED_VALUE"""),6030.0)</f>
        <v>6030</v>
      </c>
      <c r="AZ5" s="295">
        <f>IFERROR(__xludf.DUMMYFUNCTION("""COMPUTED_VALUE"""),6438.0)</f>
        <v>6438</v>
      </c>
      <c r="BA5" s="295">
        <f>IFERROR(__xludf.DUMMYFUNCTION("""COMPUTED_VALUE"""),6858.0)</f>
        <v>6858</v>
      </c>
      <c r="BB5" s="295">
        <f>IFERROR(__xludf.DUMMYFUNCTION("""COMPUTED_VALUE"""),6980.0)</f>
        <v>6980</v>
      </c>
      <c r="BC5" s="295">
        <f>IFERROR(__xludf.DUMMYFUNCTION("""COMPUTED_VALUE"""),6582.0)</f>
        <v>6582</v>
      </c>
      <c r="BD5" s="295">
        <f>IFERROR(__xludf.DUMMYFUNCTION("""COMPUTED_VALUE"""),6643.0)</f>
        <v>6643</v>
      </c>
      <c r="BE5" s="295">
        <f>IFERROR(__xludf.DUMMYFUNCTION("""COMPUTED_VALUE"""),6610.0)</f>
        <v>6610</v>
      </c>
      <c r="BF5" s="295">
        <f>IFERROR(__xludf.DUMMYFUNCTION("""COMPUTED_VALUE"""),6924.0)</f>
        <v>6924</v>
      </c>
      <c r="BG5" s="295">
        <f>IFERROR(__xludf.DUMMYFUNCTION("""COMPUTED_VALUE"""),6840.0)</f>
        <v>6840</v>
      </c>
      <c r="BH5" s="295">
        <f>IFERROR(__xludf.DUMMYFUNCTION("""COMPUTED_VALUE"""),6630.0)</f>
        <v>6630</v>
      </c>
      <c r="BI5" s="295">
        <f>IFERROR(__xludf.DUMMYFUNCTION("""COMPUTED_VALUE"""),6683.0)</f>
        <v>6683</v>
      </c>
      <c r="BJ5" s="295">
        <f>IFERROR(__xludf.DUMMYFUNCTION("""COMPUTED_VALUE"""),6549.0)</f>
        <v>6549</v>
      </c>
      <c r="BK5" s="295">
        <f>IFERROR(__xludf.DUMMYFUNCTION("""COMPUTED_VALUE"""),5861.0)</f>
        <v>5861</v>
      </c>
      <c r="BL5" s="295">
        <f>IFERROR(__xludf.DUMMYFUNCTION("""COMPUTED_VALUE"""),5315.0)</f>
        <v>5315</v>
      </c>
      <c r="BM5" s="295">
        <f>IFERROR(__xludf.DUMMYFUNCTION("""COMPUTED_VALUE"""),3422.0)</f>
        <v>3422</v>
      </c>
      <c r="BN5" s="295">
        <f>IFERROR(__xludf.DUMMYFUNCTION("""COMPUTED_VALUE"""),4413.0)</f>
        <v>4413</v>
      </c>
    </row>
    <row r="6">
      <c r="A6" s="291" t="s">
        <v>19</v>
      </c>
      <c r="B6" s="293">
        <v>18798.473935</v>
      </c>
      <c r="C6" s="293">
        <v>25153.317186059998</v>
      </c>
      <c r="D6" s="294">
        <f t="shared" si="1"/>
        <v>43951.79112</v>
      </c>
      <c r="E6" s="294">
        <v>25083.15498</v>
      </c>
      <c r="F6" s="293">
        <v>16811.38217704</v>
      </c>
      <c r="G6" s="293">
        <v>14438.969999999998</v>
      </c>
      <c r="H6" s="294">
        <f t="shared" si="2"/>
        <v>31250.35218</v>
      </c>
      <c r="I6" s="293"/>
      <c r="J6" s="17"/>
      <c r="L6" s="292" t="str">
        <f>IFERROR(__xludf.DUMMYFUNCTION("""COMPUTED_VALUE"""),"INPUT")</f>
        <v>INPUT</v>
      </c>
      <c r="M6" s="292" t="str">
        <f>IFERROR(__xludf.DUMMYFUNCTION("""COMPUTED_VALUE"""),"DE Factor")</f>
        <v>DE Factor</v>
      </c>
      <c r="N6" s="295">
        <f>IFERROR(__xludf.DUMMYFUNCTION("""COMPUTED_VALUE"""),1610.0)</f>
        <v>1610</v>
      </c>
      <c r="O6" s="295">
        <f>IFERROR(__xludf.DUMMYFUNCTION("""COMPUTED_VALUE"""),2205.0)</f>
        <v>2205</v>
      </c>
      <c r="P6" s="295">
        <f>IFERROR(__xludf.DUMMYFUNCTION("""COMPUTED_VALUE"""),2805.0)</f>
        <v>2805</v>
      </c>
      <c r="Q6" s="295">
        <f>IFERROR(__xludf.DUMMYFUNCTION("""COMPUTED_VALUE"""),3138.0)</f>
        <v>3138</v>
      </c>
      <c r="R6" s="295">
        <f>IFERROR(__xludf.DUMMYFUNCTION("""COMPUTED_VALUE"""),3159.0)</f>
        <v>3159</v>
      </c>
      <c r="S6" s="295">
        <f>IFERROR(__xludf.DUMMYFUNCTION("""COMPUTED_VALUE"""),3416.0)</f>
        <v>3416</v>
      </c>
      <c r="T6" s="295">
        <f>IFERROR(__xludf.DUMMYFUNCTION("""COMPUTED_VALUE"""),3447.0)</f>
        <v>3447</v>
      </c>
      <c r="U6" s="295">
        <f>IFERROR(__xludf.DUMMYFUNCTION("""COMPUTED_VALUE"""),3358.0)</f>
        <v>3358</v>
      </c>
      <c r="V6" s="295">
        <f>IFERROR(__xludf.DUMMYFUNCTION("""COMPUTED_VALUE"""),3295.0)</f>
        <v>3295</v>
      </c>
      <c r="W6" s="295">
        <f>IFERROR(__xludf.DUMMYFUNCTION("""COMPUTED_VALUE"""),3332.0)</f>
        <v>3332</v>
      </c>
      <c r="X6" s="295">
        <f>IFERROR(__xludf.DUMMYFUNCTION("""COMPUTED_VALUE"""),3315.0)</f>
        <v>3315</v>
      </c>
      <c r="Y6" s="295">
        <f>IFERROR(__xludf.DUMMYFUNCTION("""COMPUTED_VALUE"""),3145.0)</f>
        <v>3145</v>
      </c>
      <c r="Z6" s="295">
        <f>IFERROR(__xludf.DUMMYFUNCTION("""COMPUTED_VALUE"""),2723.0)</f>
        <v>2723</v>
      </c>
      <c r="AA6" s="295">
        <f>IFERROR(__xludf.DUMMYFUNCTION("""COMPUTED_VALUE"""),2715.0)</f>
        <v>2715</v>
      </c>
      <c r="AB6" s="295">
        <f>IFERROR(__xludf.DUMMYFUNCTION("""COMPUTED_VALUE"""),2361.0)</f>
        <v>2361</v>
      </c>
      <c r="AC6" s="295">
        <f>IFERROR(__xludf.DUMMYFUNCTION("""COMPUTED_VALUE"""),2546.0)</f>
        <v>2546</v>
      </c>
      <c r="AD6" s="295">
        <f>IFERROR(__xludf.DUMMYFUNCTION("""COMPUTED_VALUE"""),2668.0)</f>
        <v>2668</v>
      </c>
      <c r="AE6" s="295">
        <f>IFERROR(__xludf.DUMMYFUNCTION("""COMPUTED_VALUE"""),2573.0)</f>
        <v>2573</v>
      </c>
      <c r="AF6" s="295">
        <f>IFERROR(__xludf.DUMMYFUNCTION("""COMPUTED_VALUE"""),2492.0)</f>
        <v>2492</v>
      </c>
      <c r="AG6" s="295">
        <f>IFERROR(__xludf.DUMMYFUNCTION("""COMPUTED_VALUE"""),2585.0)</f>
        <v>2585</v>
      </c>
      <c r="AH6" s="295">
        <f>IFERROR(__xludf.DUMMYFUNCTION("""COMPUTED_VALUE"""),2539.0)</f>
        <v>2539</v>
      </c>
      <c r="AI6" s="295">
        <f>IFERROR(__xludf.DUMMYFUNCTION("""COMPUTED_VALUE"""),2357.0)</f>
        <v>2357</v>
      </c>
      <c r="AJ6" s="295">
        <f>IFERROR(__xludf.DUMMYFUNCTION("""COMPUTED_VALUE"""),2428.0)</f>
        <v>2428</v>
      </c>
      <c r="AK6" s="295">
        <f>IFERROR(__xludf.DUMMYFUNCTION("""COMPUTED_VALUE"""),2304.0)</f>
        <v>2304</v>
      </c>
      <c r="AL6" s="295">
        <f>IFERROR(__xludf.DUMMYFUNCTION("""COMPUTED_VALUE"""),2381.0)</f>
        <v>2381</v>
      </c>
      <c r="AM6" s="295">
        <f>IFERROR(__xludf.DUMMYFUNCTION("""COMPUTED_VALUE"""),2292.0)</f>
        <v>2292</v>
      </c>
      <c r="AN6" s="295">
        <f>IFERROR(__xludf.DUMMYFUNCTION("""COMPUTED_VALUE"""),2400.0)</f>
        <v>2400</v>
      </c>
      <c r="AO6" s="295">
        <f>IFERROR(__xludf.DUMMYFUNCTION("""COMPUTED_VALUE"""),2296.0)</f>
        <v>2296</v>
      </c>
      <c r="AP6" s="295">
        <f>IFERROR(__xludf.DUMMYFUNCTION("""COMPUTED_VALUE"""),2233.0)</f>
        <v>2233</v>
      </c>
      <c r="AQ6" s="295">
        <f>IFERROR(__xludf.DUMMYFUNCTION("""COMPUTED_VALUE"""),2056.0)</f>
        <v>2056</v>
      </c>
      <c r="AR6" s="295">
        <f>IFERROR(__xludf.DUMMYFUNCTION("""COMPUTED_VALUE"""),2047.0)</f>
        <v>2047</v>
      </c>
      <c r="AS6" s="295">
        <f>IFERROR(__xludf.DUMMYFUNCTION("""COMPUTED_VALUE"""),1971.0)</f>
        <v>1971</v>
      </c>
      <c r="AT6" s="295">
        <f>IFERROR(__xludf.DUMMYFUNCTION("""COMPUTED_VALUE"""),2091.0)</f>
        <v>2091</v>
      </c>
      <c r="AU6" s="295">
        <f>IFERROR(__xludf.DUMMYFUNCTION("""COMPUTED_VALUE"""),2235.0)</f>
        <v>2235</v>
      </c>
      <c r="AV6" s="295">
        <f>IFERROR(__xludf.DUMMYFUNCTION("""COMPUTED_VALUE"""),2316.0)</f>
        <v>2316</v>
      </c>
      <c r="AW6" s="295">
        <f>IFERROR(__xludf.DUMMYFUNCTION("""COMPUTED_VALUE"""),2343.0)</f>
        <v>2343</v>
      </c>
      <c r="AX6" s="295">
        <f>IFERROR(__xludf.DUMMYFUNCTION("""COMPUTED_VALUE"""),2604.0)</f>
        <v>2604</v>
      </c>
      <c r="AY6" s="295">
        <f>IFERROR(__xludf.DUMMYFUNCTION("""COMPUTED_VALUE"""),2956.0)</f>
        <v>2956</v>
      </c>
      <c r="AZ6" s="295">
        <f>IFERROR(__xludf.DUMMYFUNCTION("""COMPUTED_VALUE"""),3256.0)</f>
        <v>3256</v>
      </c>
      <c r="BA6" s="295">
        <f>IFERROR(__xludf.DUMMYFUNCTION("""COMPUTED_VALUE"""),3505.0)</f>
        <v>3505</v>
      </c>
      <c r="BB6" s="295">
        <f>IFERROR(__xludf.DUMMYFUNCTION("""COMPUTED_VALUE"""),3760.0)</f>
        <v>3760</v>
      </c>
      <c r="BC6" s="295">
        <f>IFERROR(__xludf.DUMMYFUNCTION("""COMPUTED_VALUE"""),3614.0)</f>
        <v>3614</v>
      </c>
      <c r="BD6" s="295">
        <f>IFERROR(__xludf.DUMMYFUNCTION("""COMPUTED_VALUE"""),3591.0)</f>
        <v>3591</v>
      </c>
      <c r="BE6" s="295">
        <f>IFERROR(__xludf.DUMMYFUNCTION("""COMPUTED_VALUE"""),3575.0)</f>
        <v>3575</v>
      </c>
      <c r="BF6" s="295">
        <f>IFERROR(__xludf.DUMMYFUNCTION("""COMPUTED_VALUE"""),3494.0)</f>
        <v>3494</v>
      </c>
      <c r="BG6" s="295">
        <f>IFERROR(__xludf.DUMMYFUNCTION("""COMPUTED_VALUE"""),3794.0)</f>
        <v>3794</v>
      </c>
      <c r="BH6" s="295">
        <f>IFERROR(__xludf.DUMMYFUNCTION("""COMPUTED_VALUE"""),3396.0)</f>
        <v>3396</v>
      </c>
      <c r="BI6" s="295">
        <f>IFERROR(__xludf.DUMMYFUNCTION("""COMPUTED_VALUE"""),3442.0)</f>
        <v>3442</v>
      </c>
      <c r="BJ6" s="295">
        <f>IFERROR(__xludf.DUMMYFUNCTION("""COMPUTED_VALUE"""),3267.0)</f>
        <v>3267</v>
      </c>
      <c r="BK6" s="295">
        <f>IFERROR(__xludf.DUMMYFUNCTION("""COMPUTED_VALUE"""),3081.0)</f>
        <v>3081</v>
      </c>
      <c r="BL6" s="295">
        <f>IFERROR(__xludf.DUMMYFUNCTION("""COMPUTED_VALUE"""),2794.0)</f>
        <v>2794</v>
      </c>
      <c r="BM6" s="295">
        <f>IFERROR(__xludf.DUMMYFUNCTION("""COMPUTED_VALUE"""),1804.0)</f>
        <v>1804</v>
      </c>
      <c r="BN6" s="295">
        <f>IFERROR(__xludf.DUMMYFUNCTION("""COMPUTED_VALUE"""),2111.0)</f>
        <v>2111</v>
      </c>
    </row>
    <row r="7">
      <c r="A7" s="291" t="s">
        <v>21</v>
      </c>
      <c r="B7" s="293">
        <v>20210.416319000004</v>
      </c>
      <c r="C7" s="293">
        <v>27570.318044300002</v>
      </c>
      <c r="D7" s="294">
        <f t="shared" si="1"/>
        <v>47780.73436</v>
      </c>
      <c r="E7" s="294">
        <v>27156.89256</v>
      </c>
      <c r="F7" s="293">
        <v>18169.1136753</v>
      </c>
      <c r="G7" s="293">
        <v>15260.322</v>
      </c>
      <c r="H7" s="294">
        <f t="shared" si="2"/>
        <v>33429.43568</v>
      </c>
      <c r="I7" s="293"/>
      <c r="J7" s="17"/>
      <c r="L7" s="292" t="str">
        <f>IFERROR(__xludf.DUMMYFUNCTION("""COMPUTED_VALUE"""),"INPUT")</f>
        <v>INPUT</v>
      </c>
      <c r="M7" s="292" t="str">
        <f>IFERROR(__xludf.DUMMYFUNCTION("""COMPUTED_VALUE"""),"DK Factor")</f>
        <v>DK Factor</v>
      </c>
      <c r="N7" s="295">
        <f>IFERROR(__xludf.DUMMYFUNCTION("""COMPUTED_VALUE"""),993.0)</f>
        <v>993</v>
      </c>
      <c r="O7" s="295">
        <f>IFERROR(__xludf.DUMMYFUNCTION("""COMPUTED_VALUE"""),1433.0)</f>
        <v>1433</v>
      </c>
      <c r="P7" s="295">
        <f>IFERROR(__xludf.DUMMYFUNCTION("""COMPUTED_VALUE"""),2029.0)</f>
        <v>2029</v>
      </c>
      <c r="Q7" s="295">
        <f>IFERROR(__xludf.DUMMYFUNCTION("""COMPUTED_VALUE"""),2180.0)</f>
        <v>2180</v>
      </c>
      <c r="R7" s="295">
        <f>IFERROR(__xludf.DUMMYFUNCTION("""COMPUTED_VALUE"""),2132.0)</f>
        <v>2132</v>
      </c>
      <c r="S7" s="295">
        <f>IFERROR(__xludf.DUMMYFUNCTION("""COMPUTED_VALUE"""),2244.0)</f>
        <v>2244</v>
      </c>
      <c r="T7" s="295">
        <f>IFERROR(__xludf.DUMMYFUNCTION("""COMPUTED_VALUE"""),2234.0)</f>
        <v>2234</v>
      </c>
      <c r="U7" s="295">
        <f>IFERROR(__xludf.DUMMYFUNCTION("""COMPUTED_VALUE"""),2300.0)</f>
        <v>2300</v>
      </c>
      <c r="V7" s="295">
        <f>IFERROR(__xludf.DUMMYFUNCTION("""COMPUTED_VALUE"""),2319.0)</f>
        <v>2319</v>
      </c>
      <c r="W7" s="295">
        <f>IFERROR(__xludf.DUMMYFUNCTION("""COMPUTED_VALUE"""),2107.0)</f>
        <v>2107</v>
      </c>
      <c r="X7" s="295">
        <f>IFERROR(__xludf.DUMMYFUNCTION("""COMPUTED_VALUE"""),2194.0)</f>
        <v>2194</v>
      </c>
      <c r="Y7" s="295">
        <f>IFERROR(__xludf.DUMMYFUNCTION("""COMPUTED_VALUE"""),2112.0)</f>
        <v>2112</v>
      </c>
      <c r="Z7" s="295">
        <f>IFERROR(__xludf.DUMMYFUNCTION("""COMPUTED_VALUE"""),1790.0)</f>
        <v>1790</v>
      </c>
      <c r="AA7" s="295">
        <f>IFERROR(__xludf.DUMMYFUNCTION("""COMPUTED_VALUE"""),1814.0)</f>
        <v>1814</v>
      </c>
      <c r="AB7" s="295">
        <f>IFERROR(__xludf.DUMMYFUNCTION("""COMPUTED_VALUE"""),1709.0)</f>
        <v>1709</v>
      </c>
      <c r="AC7" s="295">
        <f>IFERROR(__xludf.DUMMYFUNCTION("""COMPUTED_VALUE"""),1573.0)</f>
        <v>1573</v>
      </c>
      <c r="AD7" s="295">
        <f>IFERROR(__xludf.DUMMYFUNCTION("""COMPUTED_VALUE"""),1745.0)</f>
        <v>1745</v>
      </c>
      <c r="AE7" s="295">
        <f>IFERROR(__xludf.DUMMYFUNCTION("""COMPUTED_VALUE"""),1663.0)</f>
        <v>1663</v>
      </c>
      <c r="AF7" s="295">
        <f>IFERROR(__xludf.DUMMYFUNCTION("""COMPUTED_VALUE"""),1758.0)</f>
        <v>1758</v>
      </c>
      <c r="AG7" s="295">
        <f>IFERROR(__xludf.DUMMYFUNCTION("""COMPUTED_VALUE"""),1759.0)</f>
        <v>1759</v>
      </c>
      <c r="AH7" s="295">
        <f>IFERROR(__xludf.DUMMYFUNCTION("""COMPUTED_VALUE"""),1736.0)</f>
        <v>1736</v>
      </c>
      <c r="AI7" s="295">
        <f>IFERROR(__xludf.DUMMYFUNCTION("""COMPUTED_VALUE"""),1734.0)</f>
        <v>1734</v>
      </c>
      <c r="AJ7" s="295">
        <f>IFERROR(__xludf.DUMMYFUNCTION("""COMPUTED_VALUE"""),1826.0)</f>
        <v>1826</v>
      </c>
      <c r="AK7" s="295">
        <f>IFERROR(__xludf.DUMMYFUNCTION("""COMPUTED_VALUE"""),1834.0)</f>
        <v>1834</v>
      </c>
      <c r="AL7" s="295">
        <f>IFERROR(__xludf.DUMMYFUNCTION("""COMPUTED_VALUE"""),1779.0)</f>
        <v>1779</v>
      </c>
      <c r="AM7" s="295">
        <f>IFERROR(__xludf.DUMMYFUNCTION("""COMPUTED_VALUE"""),1739.0)</f>
        <v>1739</v>
      </c>
      <c r="AN7" s="295">
        <f>IFERROR(__xludf.DUMMYFUNCTION("""COMPUTED_VALUE"""),1655.0)</f>
        <v>1655</v>
      </c>
      <c r="AO7" s="295">
        <f>IFERROR(__xludf.DUMMYFUNCTION("""COMPUTED_VALUE"""),1636.0)</f>
        <v>1636</v>
      </c>
      <c r="AP7" s="295">
        <f>IFERROR(__xludf.DUMMYFUNCTION("""COMPUTED_VALUE"""),1449.0)</f>
        <v>1449</v>
      </c>
      <c r="AQ7" s="295">
        <f>IFERROR(__xludf.DUMMYFUNCTION("""COMPUTED_VALUE"""),1395.0)</f>
        <v>1395</v>
      </c>
      <c r="AR7" s="295">
        <f>IFERROR(__xludf.DUMMYFUNCTION("""COMPUTED_VALUE"""),1391.0)</f>
        <v>1391</v>
      </c>
      <c r="AS7" s="295">
        <f>IFERROR(__xludf.DUMMYFUNCTION("""COMPUTED_VALUE"""),1522.0)</f>
        <v>1522</v>
      </c>
      <c r="AT7" s="295">
        <f>IFERROR(__xludf.DUMMYFUNCTION("""COMPUTED_VALUE"""),1784.0)</f>
        <v>1784</v>
      </c>
      <c r="AU7" s="295">
        <f>IFERROR(__xludf.DUMMYFUNCTION("""COMPUTED_VALUE"""),2015.0)</f>
        <v>2015</v>
      </c>
      <c r="AV7" s="295">
        <f>IFERROR(__xludf.DUMMYFUNCTION("""COMPUTED_VALUE"""),2175.0)</f>
        <v>2175</v>
      </c>
      <c r="AW7" s="295">
        <f>IFERROR(__xludf.DUMMYFUNCTION("""COMPUTED_VALUE"""),2293.0)</f>
        <v>2293</v>
      </c>
      <c r="AX7" s="295">
        <f>IFERROR(__xludf.DUMMYFUNCTION("""COMPUTED_VALUE"""),2460.0)</f>
        <v>2460</v>
      </c>
      <c r="AY7" s="295">
        <f>IFERROR(__xludf.DUMMYFUNCTION("""COMPUTED_VALUE"""),2548.0)</f>
        <v>2548</v>
      </c>
      <c r="AZ7" s="295">
        <f>IFERROR(__xludf.DUMMYFUNCTION("""COMPUTED_VALUE"""),2636.0)</f>
        <v>2636</v>
      </c>
      <c r="BA7" s="295">
        <f>IFERROR(__xludf.DUMMYFUNCTION("""COMPUTED_VALUE"""),2829.0)</f>
        <v>2829</v>
      </c>
      <c r="BB7" s="295">
        <f>IFERROR(__xludf.DUMMYFUNCTION("""COMPUTED_VALUE"""),2791.0)</f>
        <v>2791</v>
      </c>
      <c r="BC7" s="295">
        <f>IFERROR(__xludf.DUMMYFUNCTION("""COMPUTED_VALUE"""),2564.0)</f>
        <v>2564</v>
      </c>
      <c r="BD7" s="295">
        <f>IFERROR(__xludf.DUMMYFUNCTION("""COMPUTED_VALUE"""),2663.0)</f>
        <v>2663</v>
      </c>
      <c r="BE7" s="295">
        <f>IFERROR(__xludf.DUMMYFUNCTION("""COMPUTED_VALUE"""),2569.0)</f>
        <v>2569</v>
      </c>
      <c r="BF7" s="295">
        <f>IFERROR(__xludf.DUMMYFUNCTION("""COMPUTED_VALUE"""),2681.0)</f>
        <v>2681</v>
      </c>
      <c r="BG7" s="295">
        <f>IFERROR(__xludf.DUMMYFUNCTION("""COMPUTED_VALUE"""),2723.0)</f>
        <v>2723</v>
      </c>
      <c r="BH7" s="295">
        <f>IFERROR(__xludf.DUMMYFUNCTION("""COMPUTED_VALUE"""),2605.0)</f>
        <v>2605</v>
      </c>
      <c r="BI7" s="295">
        <f>IFERROR(__xludf.DUMMYFUNCTION("""COMPUTED_VALUE"""),2595.0)</f>
        <v>2595</v>
      </c>
      <c r="BJ7" s="295">
        <f>IFERROR(__xludf.DUMMYFUNCTION("""COMPUTED_VALUE"""),2530.0)</f>
        <v>2530</v>
      </c>
      <c r="BK7" s="295">
        <f>IFERROR(__xludf.DUMMYFUNCTION("""COMPUTED_VALUE"""),2339.0)</f>
        <v>2339</v>
      </c>
      <c r="BL7" s="295">
        <f>IFERROR(__xludf.DUMMYFUNCTION("""COMPUTED_VALUE"""),2013.0)</f>
        <v>2013</v>
      </c>
      <c r="BM7" s="295">
        <f>IFERROR(__xludf.DUMMYFUNCTION("""COMPUTED_VALUE"""),1209.0)</f>
        <v>1209</v>
      </c>
      <c r="BN7" s="295">
        <f>IFERROR(__xludf.DUMMYFUNCTION("""COMPUTED_VALUE"""),1618.0)</f>
        <v>1618</v>
      </c>
    </row>
    <row r="8">
      <c r="A8" s="291" t="s">
        <v>22</v>
      </c>
      <c r="B8" s="293">
        <v>20378.526644999998</v>
      </c>
      <c r="C8" s="293">
        <v>27920.47389365</v>
      </c>
      <c r="D8" s="294">
        <f t="shared" si="1"/>
        <v>48299.00054</v>
      </c>
      <c r="E8" s="294">
        <v>27393.860520000002</v>
      </c>
      <c r="F8" s="293">
        <v>17596.45975582</v>
      </c>
      <c r="G8" s="293">
        <v>15194.104200000003</v>
      </c>
      <c r="H8" s="294">
        <f t="shared" si="2"/>
        <v>32790.56396</v>
      </c>
      <c r="I8" s="293"/>
      <c r="J8" s="17"/>
      <c r="L8" s="292" t="str">
        <f>IFERROR(__xludf.DUMMYFUNCTION("""COMPUTED_VALUE"""),"INPUT")</f>
        <v>INPUT</v>
      </c>
      <c r="M8" s="292" t="str">
        <f>IFERROR(__xludf.DUMMYFUNCTION("""COMPUTED_VALUE"""),"SE Factor")</f>
        <v>SE Factor</v>
      </c>
      <c r="N8" s="295">
        <f>IFERROR(__xludf.DUMMYFUNCTION("""COMPUTED_VALUE"""),782.0)</f>
        <v>782</v>
      </c>
      <c r="O8" s="295">
        <f>IFERROR(__xludf.DUMMYFUNCTION("""COMPUTED_VALUE"""),1065.0)</f>
        <v>1065</v>
      </c>
      <c r="P8" s="295">
        <f>IFERROR(__xludf.DUMMYFUNCTION("""COMPUTED_VALUE"""),1807.0)</f>
        <v>1807</v>
      </c>
      <c r="Q8" s="295">
        <f>IFERROR(__xludf.DUMMYFUNCTION("""COMPUTED_VALUE"""),2047.0)</f>
        <v>2047</v>
      </c>
      <c r="R8" s="295">
        <f>IFERROR(__xludf.DUMMYFUNCTION("""COMPUTED_VALUE"""),2134.0)</f>
        <v>2134</v>
      </c>
      <c r="S8" s="295">
        <f>IFERROR(__xludf.DUMMYFUNCTION("""COMPUTED_VALUE"""),2298.0)</f>
        <v>2298</v>
      </c>
      <c r="T8" s="295">
        <f>IFERROR(__xludf.DUMMYFUNCTION("""COMPUTED_VALUE"""),2222.0)</f>
        <v>2222</v>
      </c>
      <c r="U8" s="295">
        <f>IFERROR(__xludf.DUMMYFUNCTION("""COMPUTED_VALUE"""),2323.0)</f>
        <v>2323</v>
      </c>
      <c r="V8" s="295">
        <f>IFERROR(__xludf.DUMMYFUNCTION("""COMPUTED_VALUE"""),2188.0)</f>
        <v>2188</v>
      </c>
      <c r="W8" s="295">
        <f>IFERROR(__xludf.DUMMYFUNCTION("""COMPUTED_VALUE"""),2066.0)</f>
        <v>2066</v>
      </c>
      <c r="X8" s="295">
        <f>IFERROR(__xludf.DUMMYFUNCTION("""COMPUTED_VALUE"""),2061.0)</f>
        <v>2061</v>
      </c>
      <c r="Y8" s="295">
        <f>IFERROR(__xludf.DUMMYFUNCTION("""COMPUTED_VALUE"""),2000.0)</f>
        <v>2000</v>
      </c>
      <c r="Z8" s="295">
        <f>IFERROR(__xludf.DUMMYFUNCTION("""COMPUTED_VALUE"""),1723.0)</f>
        <v>1723</v>
      </c>
      <c r="AA8" s="295">
        <f>IFERROR(__xludf.DUMMYFUNCTION("""COMPUTED_VALUE"""),1789.0)</f>
        <v>1789</v>
      </c>
      <c r="AB8" s="295">
        <f>IFERROR(__xludf.DUMMYFUNCTION("""COMPUTED_VALUE"""),1604.0)</f>
        <v>1604</v>
      </c>
      <c r="AC8" s="295">
        <f>IFERROR(__xludf.DUMMYFUNCTION("""COMPUTED_VALUE"""),1523.0)</f>
        <v>1523</v>
      </c>
      <c r="AD8" s="295">
        <f>IFERROR(__xludf.DUMMYFUNCTION("""COMPUTED_VALUE"""),1619.0)</f>
        <v>1619</v>
      </c>
      <c r="AE8" s="295">
        <f>IFERROR(__xludf.DUMMYFUNCTION("""COMPUTED_VALUE"""),1548.0)</f>
        <v>1548</v>
      </c>
      <c r="AF8" s="295">
        <f>IFERROR(__xludf.DUMMYFUNCTION("""COMPUTED_VALUE"""),1653.0)</f>
        <v>1653</v>
      </c>
      <c r="AG8" s="295">
        <f>IFERROR(__xludf.DUMMYFUNCTION("""COMPUTED_VALUE"""),1702.0)</f>
        <v>1702</v>
      </c>
      <c r="AH8" s="295">
        <f>IFERROR(__xludf.DUMMYFUNCTION("""COMPUTED_VALUE"""),1698.0)</f>
        <v>1698</v>
      </c>
      <c r="AI8" s="295">
        <f>IFERROR(__xludf.DUMMYFUNCTION("""COMPUTED_VALUE"""),1715.0)</f>
        <v>1715</v>
      </c>
      <c r="AJ8" s="295">
        <f>IFERROR(__xludf.DUMMYFUNCTION("""COMPUTED_VALUE"""),1788.0)</f>
        <v>1788</v>
      </c>
      <c r="AK8" s="295">
        <f>IFERROR(__xludf.DUMMYFUNCTION("""COMPUTED_VALUE"""),1740.0)</f>
        <v>1740</v>
      </c>
      <c r="AL8" s="295">
        <f>IFERROR(__xludf.DUMMYFUNCTION("""COMPUTED_VALUE"""),1599.0)</f>
        <v>1599</v>
      </c>
      <c r="AM8" s="295">
        <f>IFERROR(__xludf.DUMMYFUNCTION("""COMPUTED_VALUE"""),1591.0)</f>
        <v>1591</v>
      </c>
      <c r="AN8" s="295">
        <f>IFERROR(__xludf.DUMMYFUNCTION("""COMPUTED_VALUE"""),1560.0)</f>
        <v>1560</v>
      </c>
      <c r="AO8" s="295">
        <f>IFERROR(__xludf.DUMMYFUNCTION("""COMPUTED_VALUE"""),1418.0)</f>
        <v>1418</v>
      </c>
      <c r="AP8" s="295">
        <f>IFERROR(__xludf.DUMMYFUNCTION("""COMPUTED_VALUE"""),1320.0)</f>
        <v>1320</v>
      </c>
      <c r="AQ8" s="295">
        <f>IFERROR(__xludf.DUMMYFUNCTION("""COMPUTED_VALUE"""),1275.0)</f>
        <v>1275</v>
      </c>
      <c r="AR8" s="295">
        <f>IFERROR(__xludf.DUMMYFUNCTION("""COMPUTED_VALUE"""),1323.0)</f>
        <v>1323</v>
      </c>
      <c r="AS8" s="295">
        <f>IFERROR(__xludf.DUMMYFUNCTION("""COMPUTED_VALUE"""),1475.0)</f>
        <v>1475</v>
      </c>
      <c r="AT8" s="295">
        <f>IFERROR(__xludf.DUMMYFUNCTION("""COMPUTED_VALUE"""),1650.0)</f>
        <v>1650</v>
      </c>
      <c r="AU8" s="295">
        <f>IFERROR(__xludf.DUMMYFUNCTION("""COMPUTED_VALUE"""),1867.0)</f>
        <v>1867</v>
      </c>
      <c r="AV8" s="295">
        <f>IFERROR(__xludf.DUMMYFUNCTION("""COMPUTED_VALUE"""),1981.0)</f>
        <v>1981</v>
      </c>
      <c r="AW8" s="295">
        <f>IFERROR(__xludf.DUMMYFUNCTION("""COMPUTED_VALUE"""),2133.0)</f>
        <v>2133</v>
      </c>
      <c r="AX8" s="295">
        <f>IFERROR(__xludf.DUMMYFUNCTION("""COMPUTED_VALUE"""),2401.0)</f>
        <v>2401</v>
      </c>
      <c r="AY8" s="295">
        <f>IFERROR(__xludf.DUMMYFUNCTION("""COMPUTED_VALUE"""),2681.0)</f>
        <v>2681</v>
      </c>
      <c r="AZ8" s="295">
        <f>IFERROR(__xludf.DUMMYFUNCTION("""COMPUTED_VALUE"""),2851.0)</f>
        <v>2851</v>
      </c>
      <c r="BA8" s="295">
        <f>IFERROR(__xludf.DUMMYFUNCTION("""COMPUTED_VALUE"""),2938.0)</f>
        <v>2938</v>
      </c>
      <c r="BB8" s="295">
        <f>IFERROR(__xludf.DUMMYFUNCTION("""COMPUTED_VALUE"""),3057.0)</f>
        <v>3057</v>
      </c>
      <c r="BC8" s="295">
        <f>IFERROR(__xludf.DUMMYFUNCTION("""COMPUTED_VALUE"""),2996.0)</f>
        <v>2996</v>
      </c>
      <c r="BD8" s="295">
        <f>IFERROR(__xludf.DUMMYFUNCTION("""COMPUTED_VALUE"""),3002.0)</f>
        <v>3002</v>
      </c>
      <c r="BE8" s="295">
        <f>IFERROR(__xludf.DUMMYFUNCTION("""COMPUTED_VALUE"""),3038.0)</f>
        <v>3038</v>
      </c>
      <c r="BF8" s="295">
        <f>IFERROR(__xludf.DUMMYFUNCTION("""COMPUTED_VALUE"""),3131.0)</f>
        <v>3131</v>
      </c>
      <c r="BG8" s="295">
        <f>IFERROR(__xludf.DUMMYFUNCTION("""COMPUTED_VALUE"""),3085.0)</f>
        <v>3085</v>
      </c>
      <c r="BH8" s="295">
        <f>IFERROR(__xludf.DUMMYFUNCTION("""COMPUTED_VALUE"""),2907.0)</f>
        <v>2907</v>
      </c>
      <c r="BI8" s="295">
        <f>IFERROR(__xludf.DUMMYFUNCTION("""COMPUTED_VALUE"""),2977.0)</f>
        <v>2977</v>
      </c>
      <c r="BJ8" s="295">
        <f>IFERROR(__xludf.DUMMYFUNCTION("""COMPUTED_VALUE"""),3042.0)</f>
        <v>3042</v>
      </c>
      <c r="BK8" s="295">
        <f>IFERROR(__xludf.DUMMYFUNCTION("""COMPUTED_VALUE"""),2632.0)</f>
        <v>2632</v>
      </c>
      <c r="BL8" s="295">
        <f>IFERROR(__xludf.DUMMYFUNCTION("""COMPUTED_VALUE"""),2220.0)</f>
        <v>2220</v>
      </c>
      <c r="BM8" s="295">
        <f>IFERROR(__xludf.DUMMYFUNCTION("""COMPUTED_VALUE"""),1322.0)</f>
        <v>1322</v>
      </c>
      <c r="BN8" s="295">
        <f>IFERROR(__xludf.DUMMYFUNCTION("""COMPUTED_VALUE"""),1722.0)</f>
        <v>1722</v>
      </c>
    </row>
    <row r="9">
      <c r="A9" s="291" t="s">
        <v>23</v>
      </c>
      <c r="B9" s="293">
        <v>18823.48424</v>
      </c>
      <c r="C9" s="293">
        <v>27867.05265292</v>
      </c>
      <c r="D9" s="294">
        <f t="shared" si="1"/>
        <v>46690.53689</v>
      </c>
      <c r="E9" s="294">
        <v>26675.817680000004</v>
      </c>
      <c r="F9" s="293">
        <v>18384.97646394</v>
      </c>
      <c r="G9" s="293">
        <v>15614.239999999998</v>
      </c>
      <c r="H9" s="294">
        <f t="shared" si="2"/>
        <v>33999.21646</v>
      </c>
      <c r="I9" s="293"/>
      <c r="J9" s="17"/>
      <c r="L9" s="292" t="str">
        <f>IFERROR(__xludf.DUMMYFUNCTION("""COMPUTED_VALUE"""),"INPUT")</f>
        <v>INPUT</v>
      </c>
      <c r="M9" s="292" t="str">
        <f>IFERROR(__xludf.DUMMYFUNCTION("""COMPUTED_VALUE"""),"FR Factor")</f>
        <v>FR Factor</v>
      </c>
      <c r="N9" s="295">
        <f>IFERROR(__xludf.DUMMYFUNCTION("""COMPUTED_VALUE"""),0.0)</f>
        <v>0</v>
      </c>
      <c r="O9" s="295">
        <f>IFERROR(__xludf.DUMMYFUNCTION("""COMPUTED_VALUE"""),0.0)</f>
        <v>0</v>
      </c>
      <c r="P9" s="295">
        <f>IFERROR(__xludf.DUMMYFUNCTION("""COMPUTED_VALUE"""),0.0)</f>
        <v>0</v>
      </c>
      <c r="Q9" s="295">
        <f>IFERROR(__xludf.DUMMYFUNCTION("""COMPUTED_VALUE"""),0.0)</f>
        <v>0</v>
      </c>
      <c r="R9" s="295">
        <f>IFERROR(__xludf.DUMMYFUNCTION("""COMPUTED_VALUE"""),0.0)</f>
        <v>0</v>
      </c>
      <c r="S9" s="295">
        <f>IFERROR(__xludf.DUMMYFUNCTION("""COMPUTED_VALUE"""),0.0)</f>
        <v>0</v>
      </c>
      <c r="T9" s="295">
        <f>IFERROR(__xludf.DUMMYFUNCTION("""COMPUTED_VALUE"""),0.0)</f>
        <v>0</v>
      </c>
      <c r="U9" s="295">
        <f>IFERROR(__xludf.DUMMYFUNCTION("""COMPUTED_VALUE"""),0.0)</f>
        <v>0</v>
      </c>
      <c r="V9" s="295">
        <f>IFERROR(__xludf.DUMMYFUNCTION("""COMPUTED_VALUE"""),0.0)</f>
        <v>0</v>
      </c>
      <c r="W9" s="295">
        <f>IFERROR(__xludf.DUMMYFUNCTION("""COMPUTED_VALUE"""),0.0)</f>
        <v>0</v>
      </c>
      <c r="X9" s="295">
        <f>IFERROR(__xludf.DUMMYFUNCTION("""COMPUTED_VALUE"""),0.0)</f>
        <v>0</v>
      </c>
      <c r="Y9" s="295">
        <f>IFERROR(__xludf.DUMMYFUNCTION("""COMPUTED_VALUE"""),0.0)</f>
        <v>0</v>
      </c>
      <c r="Z9" s="295">
        <f>IFERROR(__xludf.DUMMYFUNCTION("""COMPUTED_VALUE"""),0.0)</f>
        <v>0</v>
      </c>
      <c r="AA9" s="295">
        <f>IFERROR(__xludf.DUMMYFUNCTION("""COMPUTED_VALUE"""),0.0)</f>
        <v>0</v>
      </c>
      <c r="AB9" s="295">
        <f>IFERROR(__xludf.DUMMYFUNCTION("""COMPUTED_VALUE"""),0.0)</f>
        <v>0</v>
      </c>
      <c r="AC9" s="295">
        <f>IFERROR(__xludf.DUMMYFUNCTION("""COMPUTED_VALUE"""),0.0)</f>
        <v>0</v>
      </c>
      <c r="AD9" s="295">
        <f>IFERROR(__xludf.DUMMYFUNCTION("""COMPUTED_VALUE"""),0.0)</f>
        <v>0</v>
      </c>
      <c r="AE9" s="295">
        <f>IFERROR(__xludf.DUMMYFUNCTION("""COMPUTED_VALUE"""),0.0)</f>
        <v>0</v>
      </c>
      <c r="AF9" s="295">
        <f>IFERROR(__xludf.DUMMYFUNCTION("""COMPUTED_VALUE"""),0.0)</f>
        <v>0</v>
      </c>
      <c r="AG9" s="295">
        <f>IFERROR(__xludf.DUMMYFUNCTION("""COMPUTED_VALUE"""),0.0)</f>
        <v>0</v>
      </c>
      <c r="AH9" s="295">
        <f>IFERROR(__xludf.DUMMYFUNCTION("""COMPUTED_VALUE"""),0.0)</f>
        <v>0</v>
      </c>
      <c r="AI9" s="295">
        <f>IFERROR(__xludf.DUMMYFUNCTION("""COMPUTED_VALUE"""),0.0)</f>
        <v>0</v>
      </c>
      <c r="AJ9" s="295">
        <f>IFERROR(__xludf.DUMMYFUNCTION("""COMPUTED_VALUE"""),0.0)</f>
        <v>0</v>
      </c>
      <c r="AK9" s="295">
        <f>IFERROR(__xludf.DUMMYFUNCTION("""COMPUTED_VALUE"""),0.0)</f>
        <v>0</v>
      </c>
      <c r="AL9" s="295">
        <f>IFERROR(__xludf.DUMMYFUNCTION("""COMPUTED_VALUE"""),0.0)</f>
        <v>0</v>
      </c>
      <c r="AM9" s="295">
        <f>IFERROR(__xludf.DUMMYFUNCTION("""COMPUTED_VALUE"""),0.0)</f>
        <v>0</v>
      </c>
      <c r="AN9" s="295">
        <f>IFERROR(__xludf.DUMMYFUNCTION("""COMPUTED_VALUE"""),0.0)</f>
        <v>0</v>
      </c>
      <c r="AO9" s="295">
        <f>IFERROR(__xludf.DUMMYFUNCTION("""COMPUTED_VALUE"""),0.0)</f>
        <v>0</v>
      </c>
      <c r="AP9" s="295">
        <f>IFERROR(__xludf.DUMMYFUNCTION("""COMPUTED_VALUE"""),0.0)</f>
        <v>0</v>
      </c>
      <c r="AQ9" s="295">
        <f>IFERROR(__xludf.DUMMYFUNCTION("""COMPUTED_VALUE"""),0.0)</f>
        <v>0</v>
      </c>
      <c r="AR9" s="295">
        <f>IFERROR(__xludf.DUMMYFUNCTION("""COMPUTED_VALUE"""),0.0)</f>
        <v>0</v>
      </c>
      <c r="AS9" s="295">
        <f>IFERROR(__xludf.DUMMYFUNCTION("""COMPUTED_VALUE"""),0.0)</f>
        <v>0</v>
      </c>
      <c r="AT9" s="295">
        <f>IFERROR(__xludf.DUMMYFUNCTION("""COMPUTED_VALUE"""),0.0)</f>
        <v>0</v>
      </c>
      <c r="AU9" s="295">
        <f>IFERROR(__xludf.DUMMYFUNCTION("""COMPUTED_VALUE"""),0.0)</f>
        <v>0</v>
      </c>
      <c r="AV9" s="295">
        <f>IFERROR(__xludf.DUMMYFUNCTION("""COMPUTED_VALUE"""),0.0)</f>
        <v>0</v>
      </c>
      <c r="AW9" s="295">
        <f>IFERROR(__xludf.DUMMYFUNCTION("""COMPUTED_VALUE"""),0.0)</f>
        <v>0</v>
      </c>
      <c r="AX9" s="295">
        <f>IFERROR(__xludf.DUMMYFUNCTION("""COMPUTED_VALUE"""),0.0)</f>
        <v>0</v>
      </c>
      <c r="AY9" s="295">
        <f>IFERROR(__xludf.DUMMYFUNCTION("""COMPUTED_VALUE"""),0.0)</f>
        <v>0</v>
      </c>
      <c r="AZ9" s="295">
        <f>IFERROR(__xludf.DUMMYFUNCTION("""COMPUTED_VALUE"""),0.0)</f>
        <v>0</v>
      </c>
      <c r="BA9" s="295">
        <f>IFERROR(__xludf.DUMMYFUNCTION("""COMPUTED_VALUE"""),0.0)</f>
        <v>0</v>
      </c>
      <c r="BB9" s="295">
        <f>IFERROR(__xludf.DUMMYFUNCTION("""COMPUTED_VALUE"""),0.0)</f>
        <v>0</v>
      </c>
      <c r="BC9" s="295">
        <f>IFERROR(__xludf.DUMMYFUNCTION("""COMPUTED_VALUE"""),0.0)</f>
        <v>0</v>
      </c>
      <c r="BD9" s="295">
        <f>IFERROR(__xludf.DUMMYFUNCTION("""COMPUTED_VALUE"""),0.0)</f>
        <v>0</v>
      </c>
      <c r="BE9" s="295">
        <f>IFERROR(__xludf.DUMMYFUNCTION("""COMPUTED_VALUE"""),0.0)</f>
        <v>0</v>
      </c>
      <c r="BF9" s="295">
        <f>IFERROR(__xludf.DUMMYFUNCTION("""COMPUTED_VALUE"""),0.0)</f>
        <v>0</v>
      </c>
      <c r="BG9" s="295">
        <f>IFERROR(__xludf.DUMMYFUNCTION("""COMPUTED_VALUE"""),0.0)</f>
        <v>0</v>
      </c>
      <c r="BH9" s="295">
        <f>IFERROR(__xludf.DUMMYFUNCTION("""COMPUTED_VALUE"""),0.0)</f>
        <v>0</v>
      </c>
      <c r="BI9" s="295">
        <f>IFERROR(__xludf.DUMMYFUNCTION("""COMPUTED_VALUE"""),0.0)</f>
        <v>0</v>
      </c>
      <c r="BJ9" s="295">
        <f>IFERROR(__xludf.DUMMYFUNCTION("""COMPUTED_VALUE"""),0.0)</f>
        <v>0</v>
      </c>
      <c r="BK9" s="295">
        <f>IFERROR(__xludf.DUMMYFUNCTION("""COMPUTED_VALUE"""),0.0)</f>
        <v>0</v>
      </c>
      <c r="BL9" s="295">
        <f>IFERROR(__xludf.DUMMYFUNCTION("""COMPUTED_VALUE"""),0.0)</f>
        <v>0</v>
      </c>
      <c r="BM9" s="295">
        <f>IFERROR(__xludf.DUMMYFUNCTION("""COMPUTED_VALUE"""),0.0)</f>
        <v>0</v>
      </c>
      <c r="BN9" s="295">
        <f>IFERROR(__xludf.DUMMYFUNCTION("""COMPUTED_VALUE"""),0.0)</f>
        <v>0</v>
      </c>
    </row>
    <row r="10">
      <c r="A10" s="291" t="s">
        <v>24</v>
      </c>
      <c r="B10" s="293">
        <v>19575.726576000005</v>
      </c>
      <c r="C10" s="293">
        <v>28171.72763746</v>
      </c>
      <c r="D10" s="294">
        <f t="shared" si="1"/>
        <v>47747.45421</v>
      </c>
      <c r="E10" s="294">
        <v>26148.88935</v>
      </c>
      <c r="F10" s="293">
        <v>17326.674152640004</v>
      </c>
      <c r="G10" s="293">
        <v>15746.01</v>
      </c>
      <c r="H10" s="294">
        <f t="shared" si="2"/>
        <v>33072.68415</v>
      </c>
      <c r="I10" s="293"/>
      <c r="J10" s="17"/>
      <c r="L10" s="292"/>
      <c r="M10" s="292" t="str">
        <f>IFERROR(__xludf.DUMMYFUNCTION("""COMPUTED_VALUE"""),"Total orders")</f>
        <v>Total orders</v>
      </c>
      <c r="N10" s="295">
        <f>IFERROR(__xludf.DUMMYFUNCTION("""COMPUTED_VALUE"""),7024.0)</f>
        <v>7024</v>
      </c>
      <c r="O10" s="295">
        <f>IFERROR(__xludf.DUMMYFUNCTION("""COMPUTED_VALUE"""),9948.0)</f>
        <v>9948</v>
      </c>
      <c r="P10" s="295">
        <f>IFERROR(__xludf.DUMMYFUNCTION("""COMPUTED_VALUE"""),12879.0)</f>
        <v>12879</v>
      </c>
      <c r="Q10" s="295">
        <f>IFERROR(__xludf.DUMMYFUNCTION("""COMPUTED_VALUE"""),13982.0)</f>
        <v>13982</v>
      </c>
      <c r="R10" s="295">
        <f>IFERROR(__xludf.DUMMYFUNCTION("""COMPUTED_VALUE"""),14324.0)</f>
        <v>14324</v>
      </c>
      <c r="S10" s="295">
        <f>IFERROR(__xludf.DUMMYFUNCTION("""COMPUTED_VALUE"""),15424.0)</f>
        <v>15424</v>
      </c>
      <c r="T10" s="295">
        <f>IFERROR(__xludf.DUMMYFUNCTION("""COMPUTED_VALUE"""),15423.0)</f>
        <v>15423</v>
      </c>
      <c r="U10" s="295">
        <f>IFERROR(__xludf.DUMMYFUNCTION("""COMPUTED_VALUE"""),15238.0)</f>
        <v>15238</v>
      </c>
      <c r="V10" s="295">
        <f>IFERROR(__xludf.DUMMYFUNCTION("""COMPUTED_VALUE"""),15206.0)</f>
        <v>15206</v>
      </c>
      <c r="W10" s="295">
        <f>IFERROR(__xludf.DUMMYFUNCTION("""COMPUTED_VALUE"""),15261.0)</f>
        <v>15261</v>
      </c>
      <c r="X10" s="295">
        <f>IFERROR(__xludf.DUMMYFUNCTION("""COMPUTED_VALUE"""),15469.0)</f>
        <v>15469</v>
      </c>
      <c r="Y10" s="295">
        <f>IFERROR(__xludf.DUMMYFUNCTION("""COMPUTED_VALUE"""),15048.0)</f>
        <v>15048</v>
      </c>
      <c r="Z10" s="295">
        <f>IFERROR(__xludf.DUMMYFUNCTION("""COMPUTED_VALUE"""),13942.0)</f>
        <v>13942</v>
      </c>
      <c r="AA10" s="295">
        <f>IFERROR(__xludf.DUMMYFUNCTION("""COMPUTED_VALUE"""),14182.0)</f>
        <v>14182</v>
      </c>
      <c r="AB10" s="295">
        <f>IFERROR(__xludf.DUMMYFUNCTION("""COMPUTED_VALUE"""),12666.0)</f>
        <v>12666</v>
      </c>
      <c r="AC10" s="295">
        <f>IFERROR(__xludf.DUMMYFUNCTION("""COMPUTED_VALUE"""),13350.0)</f>
        <v>13350</v>
      </c>
      <c r="AD10" s="295">
        <f>IFERROR(__xludf.DUMMYFUNCTION("""COMPUTED_VALUE"""),13699.0)</f>
        <v>13699</v>
      </c>
      <c r="AE10" s="295">
        <f>IFERROR(__xludf.DUMMYFUNCTION("""COMPUTED_VALUE"""),12993.0)</f>
        <v>12993</v>
      </c>
      <c r="AF10" s="295">
        <f>IFERROR(__xludf.DUMMYFUNCTION("""COMPUTED_VALUE"""),13003.0)</f>
        <v>13003</v>
      </c>
      <c r="AG10" s="295">
        <f>IFERROR(__xludf.DUMMYFUNCTION("""COMPUTED_VALUE"""),13688.0)</f>
        <v>13688</v>
      </c>
      <c r="AH10" s="295">
        <f>IFERROR(__xludf.DUMMYFUNCTION("""COMPUTED_VALUE"""),13442.0)</f>
        <v>13442</v>
      </c>
      <c r="AI10" s="295">
        <f>IFERROR(__xludf.DUMMYFUNCTION("""COMPUTED_VALUE"""),13268.0)</f>
        <v>13268</v>
      </c>
      <c r="AJ10" s="295">
        <f>IFERROR(__xludf.DUMMYFUNCTION("""COMPUTED_VALUE"""),13801.0)</f>
        <v>13801</v>
      </c>
      <c r="AK10" s="295">
        <f>IFERROR(__xludf.DUMMYFUNCTION("""COMPUTED_VALUE"""),13477.0)</f>
        <v>13477</v>
      </c>
      <c r="AL10" s="295">
        <f>IFERROR(__xludf.DUMMYFUNCTION("""COMPUTED_VALUE"""),13384.0)</f>
        <v>13384</v>
      </c>
      <c r="AM10" s="295">
        <f>IFERROR(__xludf.DUMMYFUNCTION("""COMPUTED_VALUE"""),13073.0)</f>
        <v>13073</v>
      </c>
      <c r="AN10" s="295">
        <f>IFERROR(__xludf.DUMMYFUNCTION("""COMPUTED_VALUE"""),12984.0)</f>
        <v>12984</v>
      </c>
      <c r="AO10" s="295">
        <f>IFERROR(__xludf.DUMMYFUNCTION("""COMPUTED_VALUE"""),12328.0)</f>
        <v>12328</v>
      </c>
      <c r="AP10" s="295">
        <f>IFERROR(__xludf.DUMMYFUNCTION("""COMPUTED_VALUE"""),11491.0)</f>
        <v>11491</v>
      </c>
      <c r="AQ10" s="295">
        <f>IFERROR(__xludf.DUMMYFUNCTION("""COMPUTED_VALUE"""),10924.0)</f>
        <v>10924</v>
      </c>
      <c r="AR10" s="295">
        <f>IFERROR(__xludf.DUMMYFUNCTION("""COMPUTED_VALUE"""),10889.0)</f>
        <v>10889</v>
      </c>
      <c r="AS10" s="295">
        <f>IFERROR(__xludf.DUMMYFUNCTION("""COMPUTED_VALUE"""),11137.0)</f>
        <v>11137</v>
      </c>
      <c r="AT10" s="295">
        <f>IFERROR(__xludf.DUMMYFUNCTION("""COMPUTED_VALUE"""),11889.0)</f>
        <v>11889</v>
      </c>
      <c r="AU10" s="295">
        <f>IFERROR(__xludf.DUMMYFUNCTION("""COMPUTED_VALUE"""),13276.0)</f>
        <v>13276</v>
      </c>
      <c r="AV10" s="295">
        <f>IFERROR(__xludf.DUMMYFUNCTION("""COMPUTED_VALUE"""),13957.0)</f>
        <v>13957</v>
      </c>
      <c r="AW10" s="295">
        <f>IFERROR(__xludf.DUMMYFUNCTION("""COMPUTED_VALUE"""),14759.0)</f>
        <v>14759</v>
      </c>
      <c r="AX10" s="295">
        <f>IFERROR(__xludf.DUMMYFUNCTION("""COMPUTED_VALUE"""),16427.0)</f>
        <v>16427</v>
      </c>
      <c r="AY10" s="295">
        <f>IFERROR(__xludf.DUMMYFUNCTION("""COMPUTED_VALUE"""),18003.0)</f>
        <v>18003</v>
      </c>
      <c r="AZ10" s="295">
        <f>IFERROR(__xludf.DUMMYFUNCTION("""COMPUTED_VALUE"""),19220.0)</f>
        <v>19220</v>
      </c>
      <c r="BA10" s="295">
        <f>IFERROR(__xludf.DUMMYFUNCTION("""COMPUTED_VALUE"""),20491.0)</f>
        <v>20491</v>
      </c>
      <c r="BB10" s="295">
        <f>IFERROR(__xludf.DUMMYFUNCTION("""COMPUTED_VALUE"""),21079.0)</f>
        <v>21079</v>
      </c>
      <c r="BC10" s="295">
        <f>IFERROR(__xludf.DUMMYFUNCTION("""COMPUTED_VALUE"""),20241.0)</f>
        <v>20241</v>
      </c>
      <c r="BD10" s="295">
        <f>IFERROR(__xludf.DUMMYFUNCTION("""COMPUTED_VALUE"""),20406.0)</f>
        <v>20406</v>
      </c>
      <c r="BE10" s="295">
        <f>IFERROR(__xludf.DUMMYFUNCTION("""COMPUTED_VALUE"""),20106.0)</f>
        <v>20106</v>
      </c>
      <c r="BF10" s="295">
        <f>IFERROR(__xludf.DUMMYFUNCTION("""COMPUTED_VALUE"""),20985.0)</f>
        <v>20985</v>
      </c>
      <c r="BG10" s="295">
        <f>IFERROR(__xludf.DUMMYFUNCTION("""COMPUTED_VALUE"""),21041.0)</f>
        <v>21041</v>
      </c>
      <c r="BH10" s="295">
        <f>IFERROR(__xludf.DUMMYFUNCTION("""COMPUTED_VALUE"""),20423.0)</f>
        <v>20423</v>
      </c>
      <c r="BI10" s="295">
        <f>IFERROR(__xludf.DUMMYFUNCTION("""COMPUTED_VALUE"""),20595.0)</f>
        <v>20595</v>
      </c>
      <c r="BJ10" s="295">
        <f>IFERROR(__xludf.DUMMYFUNCTION("""COMPUTED_VALUE"""),20358.0)</f>
        <v>20358</v>
      </c>
      <c r="BK10" s="295">
        <f>IFERROR(__xludf.DUMMYFUNCTION("""COMPUTED_VALUE"""),18408.0)</f>
        <v>18408</v>
      </c>
      <c r="BL10" s="295">
        <f>IFERROR(__xludf.DUMMYFUNCTION("""COMPUTED_VALUE"""),16551.0)</f>
        <v>16551</v>
      </c>
      <c r="BM10" s="295">
        <f>IFERROR(__xludf.DUMMYFUNCTION("""COMPUTED_VALUE"""),10303.0)</f>
        <v>10303</v>
      </c>
      <c r="BN10" s="295">
        <f>IFERROR(__xludf.DUMMYFUNCTION("""COMPUTED_VALUE"""),12142.0)</f>
        <v>12142</v>
      </c>
    </row>
    <row r="11">
      <c r="A11" s="291" t="s">
        <v>26</v>
      </c>
      <c r="B11" s="293">
        <v>20559.745416</v>
      </c>
      <c r="C11" s="293">
        <v>29549.302082709997</v>
      </c>
      <c r="D11" s="294">
        <f t="shared" si="1"/>
        <v>50109.0475</v>
      </c>
      <c r="E11" s="294">
        <v>26431.55648</v>
      </c>
      <c r="F11" s="293">
        <v>16361.00858758</v>
      </c>
      <c r="G11" s="293">
        <v>14307.794199999998</v>
      </c>
      <c r="H11" s="294">
        <f t="shared" si="2"/>
        <v>30668.80279</v>
      </c>
      <c r="I11" s="293"/>
      <c r="J11" s="17"/>
      <c r="L11" s="292"/>
      <c r="M11" s="292"/>
      <c r="N11" s="292"/>
      <c r="O11" s="292"/>
      <c r="P11" s="292"/>
      <c r="Q11" s="292"/>
      <c r="R11" s="292"/>
      <c r="S11" s="292"/>
      <c r="T11" s="292"/>
      <c r="U11" s="292"/>
      <c r="V11" s="292"/>
      <c r="W11" s="292"/>
      <c r="X11" s="292"/>
      <c r="Y11" s="292"/>
      <c r="Z11" s="292"/>
      <c r="AA11" s="292"/>
      <c r="AB11" s="292"/>
      <c r="AC11" s="292"/>
      <c r="AD11" s="292"/>
      <c r="AE11" s="292"/>
      <c r="AF11" s="292"/>
      <c r="AG11" s="292"/>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2"/>
      <c r="BD11" s="292"/>
      <c r="BE11" s="292"/>
      <c r="BF11" s="292"/>
      <c r="BG11" s="292"/>
      <c r="BH11" s="292"/>
      <c r="BI11" s="292"/>
      <c r="BJ11" s="292"/>
      <c r="BK11" s="292"/>
      <c r="BL11" s="292"/>
      <c r="BM11" s="292"/>
      <c r="BN11" s="292"/>
    </row>
    <row r="12">
      <c r="A12" s="291" t="s">
        <v>27</v>
      </c>
      <c r="B12" s="293">
        <v>21401.251233000003</v>
      </c>
      <c r="C12" s="293">
        <v>29761.11272448</v>
      </c>
      <c r="D12" s="294">
        <f t="shared" si="1"/>
        <v>51162.36396</v>
      </c>
      <c r="E12" s="294">
        <v>26250.457349999993</v>
      </c>
      <c r="F12" s="293">
        <v>16309.021997429998</v>
      </c>
      <c r="G12" s="293">
        <v>14802.040400000002</v>
      </c>
      <c r="H12" s="294">
        <f t="shared" si="2"/>
        <v>31111.0624</v>
      </c>
      <c r="I12" s="293"/>
      <c r="J12" s="17"/>
      <c r="L12" s="292" t="str">
        <f>IFERROR(__xludf.DUMMYFUNCTION("""COMPUTED_VALUE"""),"CALCULATED")</f>
        <v>CALCULATED</v>
      </c>
      <c r="M12" s="292" t="str">
        <f>IFERROR(__xludf.DUMMYFUNCTION("""COMPUTED_VALUE"""),"BE Factor")</f>
        <v>BE Factor</v>
      </c>
      <c r="N12" s="295">
        <f>IFERROR(__xludf.DUMMYFUNCTION("""COMPUTED_VALUE"""),10617.296466150001)</f>
        <v>10617.29647</v>
      </c>
      <c r="O12" s="295">
        <f>IFERROR(__xludf.DUMMYFUNCTION("""COMPUTED_VALUE"""),15714.178592)</f>
        <v>15714.17859</v>
      </c>
      <c r="P12" s="295">
        <f>IFERROR(__xludf.DUMMYFUNCTION("""COMPUTED_VALUE"""),18000.168831999996)</f>
        <v>18000.16883</v>
      </c>
      <c r="Q12" s="295">
        <f>IFERROR(__xludf.DUMMYFUNCTION("""COMPUTED_VALUE"""),18435.471911999997)</f>
        <v>18435.47191</v>
      </c>
      <c r="R12" s="295">
        <f>IFERROR(__xludf.DUMMYFUNCTION("""COMPUTED_VALUE"""),18798.473935)</f>
        <v>18798.47394</v>
      </c>
      <c r="S12" s="295">
        <f>IFERROR(__xludf.DUMMYFUNCTION("""COMPUTED_VALUE"""),20210.416319000004)</f>
        <v>20210.41632</v>
      </c>
      <c r="T12" s="295">
        <f>IFERROR(__xludf.DUMMYFUNCTION("""COMPUTED_VALUE"""),20378.526644999998)</f>
        <v>20378.52665</v>
      </c>
      <c r="U12" s="295">
        <f>IFERROR(__xludf.DUMMYFUNCTION("""COMPUTED_VALUE"""),18823.48424)</f>
        <v>18823.48424</v>
      </c>
      <c r="V12" s="295">
        <f>IFERROR(__xludf.DUMMYFUNCTION("""COMPUTED_VALUE"""),19575.726576000005)</f>
        <v>19575.72658</v>
      </c>
      <c r="W12" s="295">
        <f>IFERROR(__xludf.DUMMYFUNCTION("""COMPUTED_VALUE"""),20559.745416)</f>
        <v>20559.74542</v>
      </c>
      <c r="X12" s="295">
        <f>IFERROR(__xludf.DUMMYFUNCTION("""COMPUTED_VALUE"""),21401.251233000003)</f>
        <v>21401.25123</v>
      </c>
      <c r="Y12" s="295">
        <f>IFERROR(__xludf.DUMMYFUNCTION("""COMPUTED_VALUE"""),20707.459656)</f>
        <v>20707.45966</v>
      </c>
      <c r="Z12" s="295">
        <f>IFERROR(__xludf.DUMMYFUNCTION("""COMPUTED_VALUE"""),20159.353634)</f>
        <v>20159.35363</v>
      </c>
      <c r="AA12" s="295">
        <f>IFERROR(__xludf.DUMMYFUNCTION("""COMPUTED_VALUE"""),21674.49428)</f>
        <v>21674.49428</v>
      </c>
      <c r="AB12" s="295">
        <f>IFERROR(__xludf.DUMMYFUNCTION("""COMPUTED_VALUE"""),19651.073095999996)</f>
        <v>19651.0731</v>
      </c>
      <c r="AC12" s="295">
        <f>IFERROR(__xludf.DUMMYFUNCTION("""COMPUTED_VALUE"""),22742.411016)</f>
        <v>22742.41102</v>
      </c>
      <c r="AD12" s="295">
        <f>IFERROR(__xludf.DUMMYFUNCTION("""COMPUTED_VALUE"""),22096.04036)</f>
        <v>22096.04036</v>
      </c>
      <c r="AE12" s="295">
        <f>IFERROR(__xludf.DUMMYFUNCTION("""COMPUTED_VALUE"""),20452.010648)</f>
        <v>20452.01065</v>
      </c>
      <c r="AF12" s="295">
        <f>IFERROR(__xludf.DUMMYFUNCTION("""COMPUTED_VALUE"""),20107.748015999998)</f>
        <v>20107.74802</v>
      </c>
      <c r="AG12" s="295">
        <f>IFERROR(__xludf.DUMMYFUNCTION("""COMPUTED_VALUE"""),22046.859984)</f>
        <v>22046.85998</v>
      </c>
      <c r="AH12" s="295">
        <f>IFERROR(__xludf.DUMMYFUNCTION("""COMPUTED_VALUE"""),21379.412023999997)</f>
        <v>21379.41202</v>
      </c>
      <c r="AI12" s="295">
        <f>IFERROR(__xludf.DUMMYFUNCTION("""COMPUTED_VALUE"""),22145.220736)</f>
        <v>22145.22074</v>
      </c>
      <c r="AJ12" s="295">
        <f>IFERROR(__xludf.DUMMYFUNCTION("""COMPUTED_VALUE"""),23838.430824)</f>
        <v>23838.43082</v>
      </c>
      <c r="AK12" s="295">
        <f>IFERROR(__xludf.DUMMYFUNCTION("""COMPUTED_VALUE"""),23697.915463999998)</f>
        <v>23697.91546</v>
      </c>
      <c r="AL12" s="295">
        <f>IFERROR(__xludf.DUMMYFUNCTION("""COMPUTED_VALUE"""),23142.929202)</f>
        <v>23142.9292</v>
      </c>
      <c r="AM12" s="295">
        <f>IFERROR(__xludf.DUMMYFUNCTION("""COMPUTED_VALUE"""),22019.684576)</f>
        <v>22019.68458</v>
      </c>
      <c r="AN12" s="295">
        <f>IFERROR(__xludf.DUMMYFUNCTION("""COMPUTED_VALUE"""),21147.868447999997)</f>
        <v>21147.86845</v>
      </c>
      <c r="AO12" s="295">
        <f>IFERROR(__xludf.DUMMYFUNCTION("""COMPUTED_VALUE"""),20068.145685)</f>
        <v>20068.14569</v>
      </c>
      <c r="AP12" s="295">
        <f>IFERROR(__xludf.DUMMYFUNCTION("""COMPUTED_VALUE"""),18423.8262)</f>
        <v>18423.8262</v>
      </c>
      <c r="AQ12" s="295">
        <f>IFERROR(__xludf.DUMMYFUNCTION("""COMPUTED_VALUE"""),16560.583531)</f>
        <v>16560.58353</v>
      </c>
      <c r="AR12" s="295">
        <f>IFERROR(__xludf.DUMMYFUNCTION("""COMPUTED_VALUE"""),16534.871892)</f>
        <v>16534.87189</v>
      </c>
      <c r="AS12" s="295">
        <f>IFERROR(__xludf.DUMMYFUNCTION("""COMPUTED_VALUE"""),17324.677327999998)</f>
        <v>17324.67733</v>
      </c>
      <c r="AT12" s="295">
        <f>IFERROR(__xludf.DUMMYFUNCTION("""COMPUTED_VALUE"""),17453.213315999998)</f>
        <v>17453.21332</v>
      </c>
      <c r="AU12" s="295">
        <f>IFERROR(__xludf.DUMMYFUNCTION("""COMPUTED_VALUE"""),20041.844046)</f>
        <v>20041.84405</v>
      </c>
      <c r="AV12" s="295">
        <f>IFERROR(__xludf.DUMMYFUNCTION("""COMPUTED_VALUE"""),20235.035688)</f>
        <v>20235.03569</v>
      </c>
      <c r="AW12" s="295">
        <f>IFERROR(__xludf.DUMMYFUNCTION("""COMPUTED_VALUE"""),21830.655546)</f>
        <v>21830.65555</v>
      </c>
      <c r="AX12" s="295">
        <f>IFERROR(__xludf.DUMMYFUNCTION("""COMPUTED_VALUE"""),24571.114764)</f>
        <v>24571.11476</v>
      </c>
      <c r="AY12" s="295">
        <f>IFERROR(__xludf.DUMMYFUNCTION("""COMPUTED_VALUE"""),27104.071848)</f>
        <v>27104.07185</v>
      </c>
      <c r="AZ12" s="295">
        <f>IFERROR(__xludf.DUMMYFUNCTION("""COMPUTED_VALUE"""),28900.038594)</f>
        <v>28900.03859</v>
      </c>
      <c r="BA12" s="295">
        <f>IFERROR(__xludf.DUMMYFUNCTION("""COMPUTED_VALUE"""),31648.849806000002)</f>
        <v>31648.84981</v>
      </c>
      <c r="BB12" s="295">
        <f>IFERROR(__xludf.DUMMYFUNCTION("""COMPUTED_VALUE"""),32592.291786)</f>
        <v>32592.29179</v>
      </c>
      <c r="BC12" s="295">
        <f>IFERROR(__xludf.DUMMYFUNCTION("""COMPUTED_VALUE"""),32548.748310000003)</f>
        <v>32548.74831</v>
      </c>
      <c r="BD12" s="295">
        <f>IFERROR(__xludf.DUMMYFUNCTION("""COMPUTED_VALUE"""),32708.407722)</f>
        <v>32708.40772</v>
      </c>
      <c r="BE12" s="295">
        <f>IFERROR(__xludf.DUMMYFUNCTION("""COMPUTED_VALUE"""),31307.759244)</f>
        <v>31307.75924</v>
      </c>
      <c r="BF12" s="295">
        <f>IFERROR(__xludf.DUMMYFUNCTION("""COMPUTED_VALUE"""),34508.204730000005)</f>
        <v>34508.20473</v>
      </c>
      <c r="BG12" s="295">
        <f>IFERROR(__xludf.DUMMYFUNCTION("""COMPUTED_VALUE"""),33376.074354000004)</f>
        <v>33376.07435</v>
      </c>
      <c r="BH12" s="295">
        <f>IFERROR(__xludf.DUMMYFUNCTION("""COMPUTED_VALUE"""),35451.64671)</f>
        <v>35451.64671</v>
      </c>
      <c r="BI12" s="295">
        <f>IFERROR(__xludf.DUMMYFUNCTION("""COMPUTED_VALUE"""),35545.990908)</f>
        <v>35545.99091</v>
      </c>
      <c r="BJ12" s="295">
        <f>IFERROR(__xludf.DUMMYFUNCTION("""COMPUTED_VALUE"""),36068.51262)</f>
        <v>36068.51262</v>
      </c>
      <c r="BK12" s="295">
        <f>IFERROR(__xludf.DUMMYFUNCTION("""COMPUTED_VALUE"""),32621.320770000002)</f>
        <v>32621.32077</v>
      </c>
      <c r="BL12" s="295">
        <f>IFERROR(__xludf.DUMMYFUNCTION("""COMPUTED_VALUE"""),30545.748414)</f>
        <v>30545.74841</v>
      </c>
      <c r="BM12" s="295">
        <f>IFERROR(__xludf.DUMMYFUNCTION("""COMPUTED_VALUE"""),18476.948316)</f>
        <v>18476.94832</v>
      </c>
      <c r="BN12" s="295">
        <f>IFERROR(__xludf.DUMMYFUNCTION("""COMPUTED_VALUE"""),16532.006388)</f>
        <v>16532.00639</v>
      </c>
    </row>
    <row r="13">
      <c r="A13" s="291" t="s">
        <v>28</v>
      </c>
      <c r="B13" s="293">
        <v>20707.459656</v>
      </c>
      <c r="C13" s="293">
        <v>29844.21863605</v>
      </c>
      <c r="D13" s="294">
        <f t="shared" si="1"/>
        <v>50551.67829</v>
      </c>
      <c r="E13" s="294">
        <v>24861.0992</v>
      </c>
      <c r="F13" s="293">
        <v>15819.661039999997</v>
      </c>
      <c r="G13" s="293">
        <v>14221.9968</v>
      </c>
      <c r="H13" s="294">
        <f t="shared" si="2"/>
        <v>30041.65784</v>
      </c>
      <c r="I13" s="293"/>
      <c r="J13" s="17"/>
      <c r="L13" s="292" t="str">
        <f>IFERROR(__xludf.DUMMYFUNCTION("""COMPUTED_VALUE"""),"CALCULATED")</f>
        <v>CALCULATED</v>
      </c>
      <c r="M13" s="292" t="str">
        <f>IFERROR(__xludf.DUMMYFUNCTION("""COMPUTED_VALUE"""),"NL Factor")</f>
        <v>NL Factor</v>
      </c>
      <c r="N13" s="295">
        <f>IFERROR(__xludf.DUMMYFUNCTION("""COMPUTED_VALUE"""),12345.716496)</f>
        <v>12345.7165</v>
      </c>
      <c r="O13" s="295">
        <f>IFERROR(__xludf.DUMMYFUNCTION("""COMPUTED_VALUE"""),17297.48614969)</f>
        <v>17297.48615</v>
      </c>
      <c r="P13" s="295">
        <f>IFERROR(__xludf.DUMMYFUNCTION("""COMPUTED_VALUE"""),21433.7328195)</f>
        <v>21433.73282</v>
      </c>
      <c r="Q13" s="295">
        <f>IFERROR(__xludf.DUMMYFUNCTION("""COMPUTED_VALUE"""),23524.23674098)</f>
        <v>23524.23674</v>
      </c>
      <c r="R13" s="295">
        <f>IFERROR(__xludf.DUMMYFUNCTION("""COMPUTED_VALUE"""),25153.317186059998)</f>
        <v>25153.31719</v>
      </c>
      <c r="S13" s="295">
        <f>IFERROR(__xludf.DUMMYFUNCTION("""COMPUTED_VALUE"""),27570.318044300002)</f>
        <v>27570.31804</v>
      </c>
      <c r="T13" s="295">
        <f>IFERROR(__xludf.DUMMYFUNCTION("""COMPUTED_VALUE"""),27920.47389365)</f>
        <v>27920.47389</v>
      </c>
      <c r="U13" s="295">
        <f>IFERROR(__xludf.DUMMYFUNCTION("""COMPUTED_VALUE"""),27867.05265292)</f>
        <v>27867.05265</v>
      </c>
      <c r="V13" s="295">
        <f>IFERROR(__xludf.DUMMYFUNCTION("""COMPUTED_VALUE"""),28171.72763746)</f>
        <v>28171.72764</v>
      </c>
      <c r="W13" s="295">
        <f>IFERROR(__xludf.DUMMYFUNCTION("""COMPUTED_VALUE"""),29549.302082709997)</f>
        <v>29549.30208</v>
      </c>
      <c r="X13" s="295">
        <f>IFERROR(__xludf.DUMMYFUNCTION("""COMPUTED_VALUE"""),29761.11272448)</f>
        <v>29761.11272</v>
      </c>
      <c r="Y13" s="295">
        <f>IFERROR(__xludf.DUMMYFUNCTION("""COMPUTED_VALUE"""),29844.21863605)</f>
        <v>29844.21864</v>
      </c>
      <c r="Z13" s="295">
        <f>IFERROR(__xludf.DUMMYFUNCTION("""COMPUTED_VALUE"""),29936.916932999997)</f>
        <v>29936.91693</v>
      </c>
      <c r="AA13" s="295">
        <f>IFERROR(__xludf.DUMMYFUNCTION("""COMPUTED_VALUE"""),30252.5486226)</f>
        <v>30252.54862</v>
      </c>
      <c r="AB13" s="295">
        <f>IFERROR(__xludf.DUMMYFUNCTION("""COMPUTED_VALUE"""),26555.647933)</f>
        <v>26555.64793</v>
      </c>
      <c r="AC13" s="295">
        <f>IFERROR(__xludf.DUMMYFUNCTION("""COMPUTED_VALUE"""),28302.8133274)</f>
        <v>28302.81333</v>
      </c>
      <c r="AD13" s="295">
        <f>IFERROR(__xludf.DUMMYFUNCTION("""COMPUTED_VALUE"""),28625.6591068)</f>
        <v>28625.65911</v>
      </c>
      <c r="AE13" s="295">
        <f>IFERROR(__xludf.DUMMYFUNCTION("""COMPUTED_VALUE"""),27207.6698012)</f>
        <v>27207.6698</v>
      </c>
      <c r="AF13" s="295">
        <f>IFERROR(__xludf.DUMMYFUNCTION("""COMPUTED_VALUE"""),26827.8512372)</f>
        <v>26827.85124</v>
      </c>
      <c r="AG13" s="295">
        <f>IFERROR(__xludf.DUMMYFUNCTION("""COMPUTED_VALUE"""),28511.7135376)</f>
        <v>28511.71354</v>
      </c>
      <c r="AH13" s="295">
        <f>IFERROR(__xludf.DUMMYFUNCTION("""COMPUTED_VALUE"""),28017.9494044)</f>
        <v>28017.9494</v>
      </c>
      <c r="AI13" s="295">
        <f>IFERROR(__xludf.DUMMYFUNCTION("""COMPUTED_VALUE"""),27283.633514)</f>
        <v>27283.63351</v>
      </c>
      <c r="AJ13" s="295">
        <f>IFERROR(__xludf.DUMMYFUNCTION("""COMPUTED_VALUE"""),27638.1308404)</f>
        <v>27638.13084</v>
      </c>
      <c r="AK13" s="295">
        <f>IFERROR(__xludf.DUMMYFUNCTION("""COMPUTED_VALUE"""),26751.8875244)</f>
        <v>26751.88752</v>
      </c>
      <c r="AL13" s="295">
        <f>IFERROR(__xludf.DUMMYFUNCTION("""COMPUTED_VALUE"""),27416.654899000005)</f>
        <v>27416.6549</v>
      </c>
      <c r="AM13" s="295">
        <f>IFERROR(__xludf.DUMMYFUNCTION("""COMPUTED_VALUE"""),27328.8565668)</f>
        <v>27328.85657</v>
      </c>
      <c r="AN13" s="295">
        <f>IFERROR(__xludf.DUMMYFUNCTION("""COMPUTED_VALUE"""),27941.60994)</f>
        <v>27941.60994</v>
      </c>
      <c r="AO13" s="295">
        <f>IFERROR(__xludf.DUMMYFUNCTION("""COMPUTED_VALUE"""),26439.907189499998)</f>
        <v>26439.90719</v>
      </c>
      <c r="AP13" s="295">
        <f>IFERROR(__xludf.DUMMYFUNCTION("""COMPUTED_VALUE"""),24839.4400669)</f>
        <v>24839.44007</v>
      </c>
      <c r="AQ13" s="295">
        <f>IFERROR(__xludf.DUMMYFUNCTION("""COMPUTED_VALUE"""),24720.132629)</f>
        <v>24720.13263</v>
      </c>
      <c r="AR13" s="295">
        <f>IFERROR(__xludf.DUMMYFUNCTION("""COMPUTED_VALUE"""),24374.579252400003)</f>
        <v>24374.57925</v>
      </c>
      <c r="AS13" s="295">
        <f>IFERROR(__xludf.DUMMYFUNCTION("""COMPUTED_VALUE"""),24011.46946)</f>
        <v>24011.46946</v>
      </c>
      <c r="AT13" s="295">
        <f>IFERROR(__xludf.DUMMYFUNCTION("""COMPUTED_VALUE"""),25220.9951808)</f>
        <v>25220.99518</v>
      </c>
      <c r="AU13" s="295">
        <f>IFERROR(__xludf.DUMMYFUNCTION("""COMPUTED_VALUE"""),28050.099652800003)</f>
        <v>28050.09965</v>
      </c>
      <c r="AV13" s="295">
        <f>IFERROR(__xludf.DUMMYFUNCTION("""COMPUTED_VALUE"""),29974.601671200002)</f>
        <v>29974.60167</v>
      </c>
      <c r="AW13" s="295">
        <f>IFERROR(__xludf.DUMMYFUNCTION("""COMPUTED_VALUE"""),31789.6838424)</f>
        <v>31789.68384</v>
      </c>
      <c r="AX13" s="295">
        <f>IFERROR(__xludf.DUMMYFUNCTION("""COMPUTED_VALUE"""),35580.7597248)</f>
        <v>35580.75972</v>
      </c>
      <c r="AY13" s="295">
        <f>IFERROR(__xludf.DUMMYFUNCTION("""COMPUTED_VALUE"""),38811.863448000004)</f>
        <v>38811.86345</v>
      </c>
      <c r="AZ13" s="295">
        <f>IFERROR(__xludf.DUMMYFUNCTION("""COMPUTED_VALUE"""),41437.9397808)</f>
        <v>41437.93978</v>
      </c>
      <c r="BA13" s="295">
        <f>IFERROR(__xludf.DUMMYFUNCTION("""COMPUTED_VALUE"""),44840.7696528)</f>
        <v>44840.76965</v>
      </c>
      <c r="BB13" s="295">
        <f>IFERROR(__xludf.DUMMYFUNCTION("""COMPUTED_VALUE"""),45638.461967999996)</f>
        <v>45638.46197</v>
      </c>
      <c r="BC13" s="295">
        <f>IFERROR(__xludf.DUMMYFUNCTION("""COMPUTED_VALUE"""),43036.1542512)</f>
        <v>43036.15425</v>
      </c>
      <c r="BD13" s="295">
        <f>IFERROR(__xludf.DUMMYFUNCTION("""COMPUTED_VALUE"""),43435.0004088)</f>
        <v>43435.00041</v>
      </c>
      <c r="BE13" s="295">
        <f>IFERROR(__xludf.DUMMYFUNCTION("""COMPUTED_VALUE"""),43219.231176)</f>
        <v>43219.23118</v>
      </c>
      <c r="BF13" s="295">
        <f>IFERROR(__xludf.DUMMYFUNCTION("""COMPUTED_VALUE"""),45272.3081184)</f>
        <v>45272.30812</v>
      </c>
      <c r="BG13" s="295">
        <f>IFERROR(__xludf.DUMMYFUNCTION("""COMPUTED_VALUE"""),44723.077344)</f>
        <v>44723.07734</v>
      </c>
      <c r="BH13" s="295">
        <f>IFERROR(__xludf.DUMMYFUNCTION("""COMPUTED_VALUE"""),43350.000408)</f>
        <v>43350.00041</v>
      </c>
      <c r="BI13" s="295">
        <f>IFERROR(__xludf.DUMMYFUNCTION("""COMPUTED_VALUE"""),43696.538872799996)</f>
        <v>43696.53887</v>
      </c>
      <c r="BJ13" s="295">
        <f>IFERROR(__xludf.DUMMYFUNCTION("""COMPUTED_VALUE"""),42820.3850184)</f>
        <v>42820.38502</v>
      </c>
      <c r="BK13" s="295">
        <f>IFERROR(__xludf.DUMMYFUNCTION("""COMPUTED_VALUE"""),38321.9234376)</f>
        <v>38321.92344</v>
      </c>
      <c r="BL13" s="295">
        <f>IFERROR(__xludf.DUMMYFUNCTION("""COMPUTED_VALUE"""),34751.923404)</f>
        <v>34751.9234</v>
      </c>
      <c r="BM13" s="295">
        <f>IFERROR(__xludf.DUMMYFUNCTION("""COMPUTED_VALUE"""),22374.6155952)</f>
        <v>22374.6156</v>
      </c>
      <c r="BN13" s="295">
        <f>IFERROR(__xludf.DUMMYFUNCTION("""COMPUTED_VALUE"""),28854.231040799998)</f>
        <v>28854.23104</v>
      </c>
    </row>
    <row r="14">
      <c r="A14" s="291" t="s">
        <v>29</v>
      </c>
      <c r="B14" s="293">
        <v>20159.353634</v>
      </c>
      <c r="C14" s="293">
        <v>29936.916932999997</v>
      </c>
      <c r="D14" s="294">
        <f t="shared" si="1"/>
        <v>50096.27057</v>
      </c>
      <c r="E14" s="294">
        <v>21483.435260000002</v>
      </c>
      <c r="F14" s="293">
        <v>13608.64008984</v>
      </c>
      <c r="G14" s="293">
        <v>12023.609</v>
      </c>
      <c r="H14" s="294">
        <f t="shared" si="2"/>
        <v>25632.24909</v>
      </c>
      <c r="I14" s="293"/>
      <c r="J14" s="17"/>
      <c r="L14" s="292" t="str">
        <f>IFERROR(__xludf.DUMMYFUNCTION("""COMPUTED_VALUE"""),"CALCULATED")</f>
        <v>CALCULATED</v>
      </c>
      <c r="M14" s="292" t="str">
        <f>IFERROR(__xludf.DUMMYFUNCTION("""COMPUTED_VALUE"""),"DE Factor")</f>
        <v>DE Factor</v>
      </c>
      <c r="N14" s="295">
        <f>IFERROR(__xludf.DUMMYFUNCTION("""COMPUTED_VALUE"""),12756.239299999997)</f>
        <v>12756.2393</v>
      </c>
      <c r="O14" s="295">
        <f>IFERROR(__xludf.DUMMYFUNCTION("""COMPUTED_VALUE"""),17385.410700000004)</f>
        <v>17385.4107</v>
      </c>
      <c r="P14" s="295">
        <f>IFERROR(__xludf.DUMMYFUNCTION("""COMPUTED_VALUE"""),22179.78015)</f>
        <v>22179.78015</v>
      </c>
      <c r="Q14" s="295">
        <f>IFERROR(__xludf.DUMMYFUNCTION("""COMPUTED_VALUE"""),24875.020139999997)</f>
        <v>24875.02014</v>
      </c>
      <c r="R14" s="295">
        <f>IFERROR(__xludf.DUMMYFUNCTION("""COMPUTED_VALUE"""),25083.15498)</f>
        <v>25083.15498</v>
      </c>
      <c r="S14" s="295">
        <f>IFERROR(__xludf.DUMMYFUNCTION("""COMPUTED_VALUE"""),27156.89256)</f>
        <v>27156.89256</v>
      </c>
      <c r="T14" s="295">
        <f>IFERROR(__xludf.DUMMYFUNCTION("""COMPUTED_VALUE"""),27393.860520000002)</f>
        <v>27393.86052</v>
      </c>
      <c r="U14" s="295">
        <f>IFERROR(__xludf.DUMMYFUNCTION("""COMPUTED_VALUE"""),26675.817680000004)</f>
        <v>26675.81768</v>
      </c>
      <c r="V14" s="295">
        <f>IFERROR(__xludf.DUMMYFUNCTION("""COMPUTED_VALUE"""),26148.88935)</f>
        <v>26148.88935</v>
      </c>
      <c r="W14" s="295">
        <f>IFERROR(__xludf.DUMMYFUNCTION("""COMPUTED_VALUE"""),26431.55648)</f>
        <v>26431.55648</v>
      </c>
      <c r="X14" s="295">
        <f>IFERROR(__xludf.DUMMYFUNCTION("""COMPUTED_VALUE"""),26250.457349999993)</f>
        <v>26250.45735</v>
      </c>
      <c r="Y14" s="295">
        <f>IFERROR(__xludf.DUMMYFUNCTION("""COMPUTED_VALUE"""),24861.0992)</f>
        <v>24861.0992</v>
      </c>
      <c r="Z14" s="295">
        <f>IFERROR(__xludf.DUMMYFUNCTION("""COMPUTED_VALUE"""),21483.435260000002)</f>
        <v>21483.43526</v>
      </c>
      <c r="AA14" s="295">
        <f>IFERROR(__xludf.DUMMYFUNCTION("""COMPUTED_VALUE"""),21660.5415)</f>
        <v>21660.5415</v>
      </c>
      <c r="AB14" s="295">
        <f>IFERROR(__xludf.DUMMYFUNCTION("""COMPUTED_VALUE"""),18836.2941)</f>
        <v>18836.2941</v>
      </c>
      <c r="AC14" s="295">
        <f>IFERROR(__xludf.DUMMYFUNCTION("""COMPUTED_VALUE"""),20312.2426)</f>
        <v>20312.2426</v>
      </c>
      <c r="AD14" s="295">
        <f>IFERROR(__xludf.DUMMYFUNCTION("""COMPUTED_VALUE"""),21285.5708)</f>
        <v>21285.5708</v>
      </c>
      <c r="AE14" s="295">
        <f>IFERROR(__xludf.DUMMYFUNCTION("""COMPUTED_VALUE"""),20527.6513)</f>
        <v>20527.6513</v>
      </c>
      <c r="AF14" s="295">
        <f>IFERROR(__xludf.DUMMYFUNCTION("""COMPUTED_VALUE"""),19881.4252)</f>
        <v>19881.4252</v>
      </c>
      <c r="AG14" s="295">
        <f>IFERROR(__xludf.DUMMYFUNCTION("""COMPUTED_VALUE"""),20623.3885)</f>
        <v>20623.3885</v>
      </c>
      <c r="AH14" s="295">
        <f>IFERROR(__xludf.DUMMYFUNCTION("""COMPUTED_VALUE"""),20256.3959)</f>
        <v>20256.3959</v>
      </c>
      <c r="AI14" s="295">
        <f>IFERROR(__xludf.DUMMYFUNCTION("""COMPUTED_VALUE"""),18804.3817)</f>
        <v>18804.3817</v>
      </c>
      <c r="AJ14" s="295">
        <f>IFERROR(__xludf.DUMMYFUNCTION("""COMPUTED_VALUE"""),19370.826800000003)</f>
        <v>19370.8268</v>
      </c>
      <c r="AK14" s="295">
        <f>IFERROR(__xludf.DUMMYFUNCTION("""COMPUTED_VALUE"""),18381.542400000002)</f>
        <v>18381.5424</v>
      </c>
      <c r="AL14" s="295">
        <f>IFERROR(__xludf.DUMMYFUNCTION("""COMPUTED_VALUE"""),18995.8561)</f>
        <v>18995.8561</v>
      </c>
      <c r="AM14" s="295">
        <f>IFERROR(__xludf.DUMMYFUNCTION("""COMPUTED_VALUE"""),18285.805200000003)</f>
        <v>18285.8052</v>
      </c>
      <c r="AN14" s="295">
        <f>IFERROR(__xludf.DUMMYFUNCTION("""COMPUTED_VALUE"""),19262.64)</f>
        <v>19262.64</v>
      </c>
      <c r="AO14" s="295">
        <f>IFERROR(__xludf.DUMMYFUNCTION("""COMPUTED_VALUE"""),18427.9256)</f>
        <v>18427.9256</v>
      </c>
      <c r="AP14" s="295">
        <f>IFERROR(__xludf.DUMMYFUNCTION("""COMPUTED_VALUE"""),17922.2813)</f>
        <v>17922.2813</v>
      </c>
      <c r="AQ14" s="295">
        <f>IFERROR(__xludf.DUMMYFUNCTION("""COMPUTED_VALUE"""),16501.6616)</f>
        <v>16501.6616</v>
      </c>
      <c r="AR14" s="295">
        <f>IFERROR(__xludf.DUMMYFUNCTION("""COMPUTED_VALUE"""),16429.4267)</f>
        <v>16429.4267</v>
      </c>
      <c r="AS14" s="295">
        <f>IFERROR(__xludf.DUMMYFUNCTION("""COMPUTED_VALUE"""),15819.443099999999)</f>
        <v>15819.4431</v>
      </c>
      <c r="AT14" s="295">
        <f>IFERROR(__xludf.DUMMYFUNCTION("""COMPUTED_VALUE"""),16782.5751)</f>
        <v>16782.5751</v>
      </c>
      <c r="AU14" s="295">
        <f>IFERROR(__xludf.DUMMYFUNCTION("""COMPUTED_VALUE"""),17938.3335)</f>
        <v>17938.3335</v>
      </c>
      <c r="AV14" s="295">
        <f>IFERROR(__xludf.DUMMYFUNCTION("""COMPUTED_VALUE"""),18588.4476)</f>
        <v>18588.4476</v>
      </c>
      <c r="AW14" s="295">
        <f>IFERROR(__xludf.DUMMYFUNCTION("""COMPUTED_VALUE"""),18805.152299999998)</f>
        <v>18805.1523</v>
      </c>
      <c r="AX14" s="295">
        <f>IFERROR(__xludf.DUMMYFUNCTION("""COMPUTED_VALUE"""),20899.964399999997)</f>
        <v>20899.9644</v>
      </c>
      <c r="AY14" s="295">
        <f>IFERROR(__xludf.DUMMYFUNCTION("""COMPUTED_VALUE"""),23725.151599999997)</f>
        <v>23725.1516</v>
      </c>
      <c r="AZ14" s="295">
        <f>IFERROR(__xludf.DUMMYFUNCTION("""COMPUTED_VALUE"""),26132.9816)</f>
        <v>26132.9816</v>
      </c>
      <c r="BA14" s="295">
        <f>IFERROR(__xludf.DUMMYFUNCTION("""COMPUTED_VALUE"""),28488.9905)</f>
        <v>28488.9905</v>
      </c>
      <c r="BB14" s="295">
        <f>IFERROR(__xludf.DUMMYFUNCTION("""COMPUTED_VALUE"""),30561.656)</f>
        <v>30561.656</v>
      </c>
      <c r="BC14" s="295">
        <f>IFERROR(__xludf.DUMMYFUNCTION("""COMPUTED_VALUE"""),29374.9534)</f>
        <v>29374.9534</v>
      </c>
      <c r="BD14" s="295">
        <f>IFERROR(__xludf.DUMMYFUNCTION("""COMPUTED_VALUE"""),29188.0071)</f>
        <v>29188.0071</v>
      </c>
      <c r="BE14" s="295">
        <f>IFERROR(__xludf.DUMMYFUNCTION("""COMPUTED_VALUE"""),29057.9575)</f>
        <v>29057.9575</v>
      </c>
      <c r="BF14" s="295">
        <f>IFERROR(__xludf.DUMMYFUNCTION("""COMPUTED_VALUE"""),28399.5814)</f>
        <v>28399.5814</v>
      </c>
      <c r="BG14" s="295">
        <f>IFERROR(__xludf.DUMMYFUNCTION("""COMPUTED_VALUE"""),30838.0114)</f>
        <v>30838.0114</v>
      </c>
      <c r="BH14" s="295">
        <f>IFERROR(__xludf.DUMMYFUNCTION("""COMPUTED_VALUE"""),27603.0276)</f>
        <v>27603.0276</v>
      </c>
      <c r="BI14" s="295">
        <f>IFERROR(__xludf.DUMMYFUNCTION("""COMPUTED_VALUE"""),27976.9202)</f>
        <v>27976.9202</v>
      </c>
      <c r="BJ14" s="295">
        <f>IFERROR(__xludf.DUMMYFUNCTION("""COMPUTED_VALUE"""),26554.5027)</f>
        <v>26554.5027</v>
      </c>
      <c r="BK14" s="295">
        <f>IFERROR(__xludf.DUMMYFUNCTION("""COMPUTED_VALUE"""),25042.6761)</f>
        <v>25042.6761</v>
      </c>
      <c r="BL14" s="295">
        <f>IFERROR(__xludf.DUMMYFUNCTION("""COMPUTED_VALUE"""),22709.9114)</f>
        <v>22709.9114</v>
      </c>
      <c r="BM14" s="295">
        <f>IFERROR(__xludf.DUMMYFUNCTION("""COMPUTED_VALUE"""),14663.0924)</f>
        <v>14663.0924</v>
      </c>
      <c r="BN14" s="295">
        <f>IFERROR(__xludf.DUMMYFUNCTION("""COMPUTED_VALUE"""),17158.4191)</f>
        <v>17158.4191</v>
      </c>
    </row>
    <row r="15">
      <c r="A15" s="291" t="s">
        <v>31</v>
      </c>
      <c r="B15" s="293">
        <v>21674.49428</v>
      </c>
      <c r="C15" s="293">
        <v>30252.5486226</v>
      </c>
      <c r="D15" s="294">
        <f t="shared" si="1"/>
        <v>51927.0429</v>
      </c>
      <c r="E15" s="294">
        <v>21660.5415</v>
      </c>
      <c r="F15" s="293">
        <v>14052.897340999998</v>
      </c>
      <c r="G15" s="293">
        <v>12137.111200000003</v>
      </c>
      <c r="H15" s="294">
        <f t="shared" si="2"/>
        <v>26190.00854</v>
      </c>
      <c r="I15" s="293"/>
      <c r="J15" s="17"/>
      <c r="L15" s="292" t="str">
        <f>IFERROR(__xludf.DUMMYFUNCTION("""COMPUTED_VALUE"""),"CALCULATED")</f>
        <v>CALCULATED</v>
      </c>
      <c r="M15" s="292" t="str">
        <f>IFERROR(__xludf.DUMMYFUNCTION("""COMPUTED_VALUE"""),"DK Factor")</f>
        <v>DK Factor</v>
      </c>
      <c r="N15" s="295">
        <f>IFERROR(__xludf.DUMMYFUNCTION("""COMPUTED_VALUE"""),6634.530900000001)</f>
        <v>6634.5309</v>
      </c>
      <c r="O15" s="295">
        <f>IFERROR(__xludf.DUMMYFUNCTION("""COMPUTED_VALUE"""),9576.309099999999)</f>
        <v>9576.3091</v>
      </c>
      <c r="P15" s="295">
        <f>IFERROR(__xludf.DUMMYFUNCTION("""COMPUTED_VALUE"""),13669.9817)</f>
        <v>13669.9817</v>
      </c>
      <c r="Q15" s="295">
        <f>IFERROR(__xludf.DUMMYFUNCTION("""COMPUTED_VALUE"""),14748.354000000001)</f>
        <v>14748.354</v>
      </c>
      <c r="R15" s="295">
        <f>IFERROR(__xludf.DUMMYFUNCTION("""COMPUTED_VALUE"""),14438.969999999998)</f>
        <v>14438.97</v>
      </c>
      <c r="S15" s="295">
        <f>IFERROR(__xludf.DUMMYFUNCTION("""COMPUTED_VALUE"""),15260.322)</f>
        <v>15260.322</v>
      </c>
      <c r="T15" s="295">
        <f>IFERROR(__xludf.DUMMYFUNCTION("""COMPUTED_VALUE"""),15194.104200000003)</f>
        <v>15194.1042</v>
      </c>
      <c r="U15" s="295">
        <f>IFERROR(__xludf.DUMMYFUNCTION("""COMPUTED_VALUE"""),15614.239999999998)</f>
        <v>15614.24</v>
      </c>
      <c r="V15" s="295">
        <f>IFERROR(__xludf.DUMMYFUNCTION("""COMPUTED_VALUE"""),15746.01)</f>
        <v>15746.01</v>
      </c>
      <c r="W15" s="295">
        <f>IFERROR(__xludf.DUMMYFUNCTION("""COMPUTED_VALUE"""),14307.794199999998)</f>
        <v>14307.7942</v>
      </c>
      <c r="X15" s="295">
        <f>IFERROR(__xludf.DUMMYFUNCTION("""COMPUTED_VALUE"""),14802.040400000002)</f>
        <v>14802.0404</v>
      </c>
      <c r="Y15" s="295">
        <f>IFERROR(__xludf.DUMMYFUNCTION("""COMPUTED_VALUE"""),14221.9968)</f>
        <v>14221.9968</v>
      </c>
      <c r="Z15" s="295">
        <f>IFERROR(__xludf.DUMMYFUNCTION("""COMPUTED_VALUE"""),12023.609)</f>
        <v>12023.609</v>
      </c>
      <c r="AA15" s="295">
        <f>IFERROR(__xludf.DUMMYFUNCTION("""COMPUTED_VALUE"""),12137.111200000003)</f>
        <v>12137.1112</v>
      </c>
      <c r="AB15" s="295">
        <f>IFERROR(__xludf.DUMMYFUNCTION("""COMPUTED_VALUE"""),11434.577200000002)</f>
        <v>11434.5772</v>
      </c>
      <c r="AC15" s="295">
        <f>IFERROR(__xludf.DUMMYFUNCTION("""COMPUTED_VALUE"""),10524.628400000001)</f>
        <v>10524.6284</v>
      </c>
      <c r="AD15" s="295">
        <f>IFERROR(__xludf.DUMMYFUNCTION("""COMPUTED_VALUE"""),11675.446000000002)</f>
        <v>11675.446</v>
      </c>
      <c r="AE15" s="295">
        <f>IFERROR(__xludf.DUMMYFUNCTION("""COMPUTED_VALUE"""),11126.800400000002)</f>
        <v>11126.8004</v>
      </c>
      <c r="AF15" s="295">
        <f>IFERROR(__xludf.DUMMYFUNCTION("""COMPUTED_VALUE"""),11762.426400000002)</f>
        <v>11762.4264</v>
      </c>
      <c r="AG15" s="295">
        <f>IFERROR(__xludf.DUMMYFUNCTION("""COMPUTED_VALUE"""),11769.117200000002)</f>
        <v>11769.1172</v>
      </c>
      <c r="AH15" s="295">
        <f>IFERROR(__xludf.DUMMYFUNCTION("""COMPUTED_VALUE"""),11615.228800000003)</f>
        <v>11615.2288</v>
      </c>
      <c r="AI15" s="295">
        <f>IFERROR(__xludf.DUMMYFUNCTION("""COMPUTED_VALUE"""),11601.847200000002)</f>
        <v>11601.8472</v>
      </c>
      <c r="AJ15" s="295">
        <f>IFERROR(__xludf.DUMMYFUNCTION("""COMPUTED_VALUE"""),12217.400800000003)</f>
        <v>12217.4008</v>
      </c>
      <c r="AK15" s="295">
        <f>IFERROR(__xludf.DUMMYFUNCTION("""COMPUTED_VALUE"""),12270.927200000002)</f>
        <v>12270.9272</v>
      </c>
      <c r="AL15" s="295">
        <f>IFERROR(__xludf.DUMMYFUNCTION("""COMPUTED_VALUE"""),11902.933200000001)</f>
        <v>11902.9332</v>
      </c>
      <c r="AM15" s="295">
        <f>IFERROR(__xludf.DUMMYFUNCTION("""COMPUTED_VALUE"""),11635.649000000001)</f>
        <v>11635.649</v>
      </c>
      <c r="AN15" s="295">
        <f>IFERROR(__xludf.DUMMYFUNCTION("""COMPUTED_VALUE"""),11154.534500000002)</f>
        <v>11154.5345</v>
      </c>
      <c r="AO15" s="295">
        <f>IFERROR(__xludf.DUMMYFUNCTION("""COMPUTED_VALUE"""),11030.566400000002)</f>
        <v>11030.5664</v>
      </c>
      <c r="AP15" s="295">
        <f>IFERROR(__xludf.DUMMYFUNCTION("""COMPUTED_VALUE"""),9775.243800000002)</f>
        <v>9775.2438</v>
      </c>
      <c r="AQ15" s="295">
        <f>IFERROR(__xludf.DUMMYFUNCTION("""COMPUTED_VALUE"""),9425.457)</f>
        <v>9425.457</v>
      </c>
      <c r="AR15" s="295">
        <f>IFERROR(__xludf.DUMMYFUNCTION("""COMPUTED_VALUE"""),9414.844400000002)</f>
        <v>9414.8444</v>
      </c>
      <c r="AS15" s="295">
        <f>IFERROR(__xludf.DUMMYFUNCTION("""COMPUTED_VALUE"""),10320.682000000003)</f>
        <v>10320.682</v>
      </c>
      <c r="AT15" s="295">
        <f>IFERROR(__xludf.DUMMYFUNCTION("""COMPUTED_VALUE"""),12116.392800000001)</f>
        <v>12116.3928</v>
      </c>
      <c r="AU15" s="295">
        <f>IFERROR(__xludf.DUMMYFUNCTION("""COMPUTED_VALUE"""),13696.761)</f>
        <v>13696.761</v>
      </c>
      <c r="AV15" s="295">
        <f>IFERROR(__xludf.DUMMYFUNCTION("""COMPUTED_VALUE"""),14784.345000000001)</f>
        <v>14784.345</v>
      </c>
      <c r="AW15" s="295">
        <f>IFERROR(__xludf.DUMMYFUNCTION("""COMPUTED_VALUE"""),15586.4382)</f>
        <v>15586.4382</v>
      </c>
      <c r="AX15" s="295">
        <f>IFERROR(__xludf.DUMMYFUNCTION("""COMPUTED_VALUE"""),16721.604000000003)</f>
        <v>16721.604</v>
      </c>
      <c r="AY15" s="295">
        <f>IFERROR(__xludf.DUMMYFUNCTION("""COMPUTED_VALUE"""),17319.7752)</f>
        <v>17319.7752</v>
      </c>
      <c r="AZ15" s="295">
        <f>IFERROR(__xludf.DUMMYFUNCTION("""COMPUTED_VALUE"""),17917.9464)</f>
        <v>17917.9464</v>
      </c>
      <c r="BA15" s="295">
        <f>IFERROR(__xludf.DUMMYFUNCTION("""COMPUTED_VALUE"""),19518.4026)</f>
        <v>19518.4026</v>
      </c>
      <c r="BB15" s="295">
        <f>IFERROR(__xludf.DUMMYFUNCTION("""COMPUTED_VALUE"""),19256.225400000003)</f>
        <v>19256.2254</v>
      </c>
      <c r="BC15" s="295">
        <f>IFERROR(__xludf.DUMMYFUNCTION("""COMPUTED_VALUE"""),17690.0616)</f>
        <v>17690.0616</v>
      </c>
      <c r="BD15" s="295">
        <f>IFERROR(__xludf.DUMMYFUNCTION("""COMPUTED_VALUE"""),18373.1022)</f>
        <v>18373.1022</v>
      </c>
      <c r="BE15" s="295">
        <f>IFERROR(__xludf.DUMMYFUNCTION("""COMPUTED_VALUE"""),17724.558600000004)</f>
        <v>17724.5586</v>
      </c>
      <c r="BF15" s="295">
        <f>IFERROR(__xludf.DUMMYFUNCTION("""COMPUTED_VALUE"""),18497.291400000002)</f>
        <v>18497.2914</v>
      </c>
      <c r="BG15" s="295">
        <f>IFERROR(__xludf.DUMMYFUNCTION("""COMPUTED_VALUE"""),18787.0662)</f>
        <v>18787.0662</v>
      </c>
      <c r="BH15" s="295">
        <f>IFERROR(__xludf.DUMMYFUNCTION("""COMPUTED_VALUE"""),17972.937)</f>
        <v>17972.937</v>
      </c>
      <c r="BI15" s="295">
        <f>IFERROR(__xludf.DUMMYFUNCTION("""COMPUTED_VALUE"""),17903.943000000003)</f>
        <v>17903.943</v>
      </c>
      <c r="BJ15" s="295">
        <f>IFERROR(__xludf.DUMMYFUNCTION("""COMPUTED_VALUE"""),17455.482000000004)</f>
        <v>17455.482</v>
      </c>
      <c r="BK15" s="295">
        <f>IFERROR(__xludf.DUMMYFUNCTION("""COMPUTED_VALUE"""),16137.696600000001)</f>
        <v>16137.6966</v>
      </c>
      <c r="BL15" s="295">
        <f>IFERROR(__xludf.DUMMYFUNCTION("""COMPUTED_VALUE"""),13888.492200000002)</f>
        <v>13888.4922</v>
      </c>
      <c r="BM15" s="295">
        <f>IFERROR(__xludf.DUMMYFUNCTION("""COMPUTED_VALUE"""),8341.374600000001)</f>
        <v>8341.3746</v>
      </c>
      <c r="BN15" s="295">
        <f>IFERROR(__xludf.DUMMYFUNCTION("""COMPUTED_VALUE"""),11163.229200000002)</f>
        <v>11163.2292</v>
      </c>
    </row>
    <row r="16">
      <c r="A16" s="291" t="s">
        <v>32</v>
      </c>
      <c r="B16" s="293">
        <v>19651.073095999996</v>
      </c>
      <c r="C16" s="293">
        <v>26555.647933</v>
      </c>
      <c r="D16" s="294">
        <f t="shared" si="1"/>
        <v>46206.72103</v>
      </c>
      <c r="E16" s="294">
        <v>18836.2941</v>
      </c>
      <c r="F16" s="293">
        <v>12599.691076</v>
      </c>
      <c r="G16" s="293">
        <v>11434.577200000002</v>
      </c>
      <c r="H16" s="294">
        <f t="shared" si="2"/>
        <v>24034.26828</v>
      </c>
      <c r="I16" s="293"/>
      <c r="J16" s="17"/>
      <c r="L16" s="292" t="str">
        <f>IFERROR(__xludf.DUMMYFUNCTION("""COMPUTED_VALUE"""),"CALCULATED")</f>
        <v>CALCULATED</v>
      </c>
      <c r="M16" s="292" t="str">
        <f>IFERROR(__xludf.DUMMYFUNCTION("""COMPUTED_VALUE"""),"SE Factor")</f>
        <v>SE Factor</v>
      </c>
      <c r="N16" s="295">
        <f>IFERROR(__xludf.DUMMYFUNCTION("""COMPUTED_VALUE"""),6121.717157420001)</f>
        <v>6121.717157</v>
      </c>
      <c r="O16" s="295">
        <f>IFERROR(__xludf.DUMMYFUNCTION("""COMPUTED_VALUE"""),8274.23085525)</f>
        <v>8274.230855</v>
      </c>
      <c r="P16" s="295">
        <f>IFERROR(__xludf.DUMMYFUNCTION("""COMPUTED_VALUE"""),14158.061207550001)</f>
        <v>14158.06121</v>
      </c>
      <c r="Q16" s="295">
        <f>IFERROR(__xludf.DUMMYFUNCTION("""COMPUTED_VALUE"""),16096.655817479997)</f>
        <v>16096.65582</v>
      </c>
      <c r="R16" s="295">
        <f>IFERROR(__xludf.DUMMYFUNCTION("""COMPUTED_VALUE"""),16811.38217704)</f>
        <v>16811.38218</v>
      </c>
      <c r="S16" s="295">
        <f>IFERROR(__xludf.DUMMYFUNCTION("""COMPUTED_VALUE"""),18169.1136753)</f>
        <v>18169.11368</v>
      </c>
      <c r="T16" s="295">
        <f>IFERROR(__xludf.DUMMYFUNCTION("""COMPUTED_VALUE"""),17596.45975582)</f>
        <v>17596.45976</v>
      </c>
      <c r="U16" s="295">
        <f>IFERROR(__xludf.DUMMYFUNCTION("""COMPUTED_VALUE"""),18384.97646394)</f>
        <v>18384.97646</v>
      </c>
      <c r="V16" s="295">
        <f>IFERROR(__xludf.DUMMYFUNCTION("""COMPUTED_VALUE"""),17326.674152640004)</f>
        <v>17326.67415</v>
      </c>
      <c r="W16" s="295">
        <f>IFERROR(__xludf.DUMMYFUNCTION("""COMPUTED_VALUE"""),16361.00858758)</f>
        <v>16361.00859</v>
      </c>
      <c r="X16" s="295">
        <f>IFERROR(__xludf.DUMMYFUNCTION("""COMPUTED_VALUE"""),16309.021997429998)</f>
        <v>16309.022</v>
      </c>
      <c r="Y16" s="295">
        <f>IFERROR(__xludf.DUMMYFUNCTION("""COMPUTED_VALUE"""),15819.661039999997)</f>
        <v>15819.66104</v>
      </c>
      <c r="Z16" s="295">
        <f>IFERROR(__xludf.DUMMYFUNCTION("""COMPUTED_VALUE"""),13608.64008984)</f>
        <v>13608.64009</v>
      </c>
      <c r="AA16" s="295">
        <f>IFERROR(__xludf.DUMMYFUNCTION("""COMPUTED_VALUE"""),14052.897340999998)</f>
        <v>14052.89734</v>
      </c>
      <c r="AB16" s="295">
        <f>IFERROR(__xludf.DUMMYFUNCTION("""COMPUTED_VALUE"""),12599.691076)</f>
        <v>12599.69108</v>
      </c>
      <c r="AC16" s="295">
        <f>IFERROR(__xludf.DUMMYFUNCTION("""COMPUTED_VALUE"""),11963.422386999999)</f>
        <v>11963.42239</v>
      </c>
      <c r="AD16" s="295">
        <f>IFERROR(__xludf.DUMMYFUNCTION("""COMPUTED_VALUE"""),12717.518611)</f>
        <v>12717.51861</v>
      </c>
      <c r="AE16" s="295">
        <f>IFERROR(__xludf.DUMMYFUNCTION("""COMPUTED_VALUE"""),12159.801612)</f>
        <v>12159.80161</v>
      </c>
      <c r="AF16" s="295">
        <f>IFERROR(__xludf.DUMMYFUNCTION("""COMPUTED_VALUE"""),12984.594356999998)</f>
        <v>12984.59436</v>
      </c>
      <c r="AG16" s="295">
        <f>IFERROR(__xludf.DUMMYFUNCTION("""COMPUTED_VALUE"""),13369.497637999999)</f>
        <v>13369.49764</v>
      </c>
      <c r="AH16" s="295">
        <f>IFERROR(__xludf.DUMMYFUNCTION("""COMPUTED_VALUE"""),13338.076962)</f>
        <v>13338.07696</v>
      </c>
      <c r="AI16" s="295">
        <f>IFERROR(__xludf.DUMMYFUNCTION("""COMPUTED_VALUE"""),13471.614834999998)</f>
        <v>13471.61484</v>
      </c>
      <c r="AJ16" s="295">
        <f>IFERROR(__xludf.DUMMYFUNCTION("""COMPUTED_VALUE"""),14045.042171999998)</f>
        <v>14045.04217</v>
      </c>
      <c r="AK16" s="295">
        <f>IFERROR(__xludf.DUMMYFUNCTION("""COMPUTED_VALUE"""),13667.994059999999)</f>
        <v>13667.99406</v>
      </c>
      <c r="AL16" s="295">
        <f>IFERROR(__xludf.DUMMYFUNCTION("""COMPUTED_VALUE"""),12560.485586999997)</f>
        <v>12560.48559</v>
      </c>
      <c r="AM16" s="295">
        <f>IFERROR(__xludf.DUMMYFUNCTION("""COMPUTED_VALUE"""),12498.278691999998)</f>
        <v>12498.27869</v>
      </c>
      <c r="AN16" s="295">
        <f>IFERROR(__xludf.DUMMYFUNCTION("""COMPUTED_VALUE"""),12332.3928)</f>
        <v>12332.3928</v>
      </c>
      <c r="AO16" s="295">
        <f>IFERROR(__xludf.DUMMYFUNCTION("""COMPUTED_VALUE"""),11217.142883999997)</f>
        <v>11217.14288</v>
      </c>
      <c r="AP16" s="295">
        <f>IFERROR(__xludf.DUMMYFUNCTION("""COMPUTED_VALUE"""),10456.4988)</f>
        <v>10456.4988</v>
      </c>
      <c r="AQ16" s="295">
        <f>IFERROR(__xludf.DUMMYFUNCTION("""COMPUTED_VALUE"""),10123.493624999997)</f>
        <v>10123.49363</v>
      </c>
      <c r="AR16" s="295">
        <f>IFERROR(__xludf.DUMMYFUNCTION("""COMPUTED_VALUE"""),10537.127432999998)</f>
        <v>10537.12743</v>
      </c>
      <c r="AS16" s="295">
        <f>IFERROR(__xludf.DUMMYFUNCTION("""COMPUTED_VALUE"""),11786.556849999999)</f>
        <v>11786.55685</v>
      </c>
      <c r="AT16" s="295">
        <f>IFERROR(__xludf.DUMMYFUNCTION("""COMPUTED_VALUE"""),13221.119999999997)</f>
        <v>13221.12</v>
      </c>
      <c r="AU16" s="295">
        <f>IFERROR(__xludf.DUMMYFUNCTION("""COMPUTED_VALUE"""),14982.645127999996)</f>
        <v>14982.64513</v>
      </c>
      <c r="AV16" s="295">
        <f>IFERROR(__xludf.DUMMYFUNCTION("""COMPUTED_VALUE"""),15897.493303999996)</f>
        <v>15897.4933</v>
      </c>
      <c r="AW16" s="295">
        <f>IFERROR(__xludf.DUMMYFUNCTION("""COMPUTED_VALUE"""),17117.290871999998)</f>
        <v>17117.29087</v>
      </c>
      <c r="AX16" s="295">
        <f>IFERROR(__xludf.DUMMYFUNCTION("""COMPUTED_VALUE"""),19267.986583999995)</f>
        <v>19267.98658</v>
      </c>
      <c r="AY16" s="295">
        <f>IFERROR(__xludf.DUMMYFUNCTION("""COMPUTED_VALUE"""),21514.982103999995)</f>
        <v>21514.9821</v>
      </c>
      <c r="AZ16" s="295">
        <f>IFERROR(__xludf.DUMMYFUNCTION("""COMPUTED_VALUE"""),22879.229383999995)</f>
        <v>22879.22938</v>
      </c>
      <c r="BA16" s="295">
        <f>IFERROR(__xludf.DUMMYFUNCTION("""COMPUTED_VALUE"""),23877.078991999995)</f>
        <v>23877.07899</v>
      </c>
      <c r="BB16" s="295">
        <f>IFERROR(__xludf.DUMMYFUNCTION("""COMPUTED_VALUE"""),24844.190087999996)</f>
        <v>24844.19009</v>
      </c>
      <c r="BC16" s="295">
        <f>IFERROR(__xludf.DUMMYFUNCTION("""COMPUTED_VALUE"""),24348.444063999996)</f>
        <v>24348.44406</v>
      </c>
      <c r="BD16" s="295">
        <f>IFERROR(__xludf.DUMMYFUNCTION("""COMPUTED_VALUE"""),24397.205967999995)</f>
        <v>24397.20597</v>
      </c>
      <c r="BE16" s="295">
        <f>IFERROR(__xludf.DUMMYFUNCTION("""COMPUTED_VALUE"""),24689.777391999996)</f>
        <v>24689.77739</v>
      </c>
      <c r="BF16" s="295">
        <f>IFERROR(__xludf.DUMMYFUNCTION("""COMPUTED_VALUE"""),25445.586903999996)</f>
        <v>25445.5869</v>
      </c>
      <c r="BG16" s="295">
        <f>IFERROR(__xludf.DUMMYFUNCTION("""COMPUTED_VALUE"""),25071.745639999994)</f>
        <v>25071.74564</v>
      </c>
      <c r="BH16" s="295">
        <f>IFERROR(__xludf.DUMMYFUNCTION("""COMPUTED_VALUE"""),23625.142487999994)</f>
        <v>23625.14249</v>
      </c>
      <c r="BI16" s="295">
        <f>IFERROR(__xludf.DUMMYFUNCTION("""COMPUTED_VALUE"""),24194.031367999996)</f>
        <v>24194.03137</v>
      </c>
      <c r="BJ16" s="295">
        <f>IFERROR(__xludf.DUMMYFUNCTION("""COMPUTED_VALUE"""),24722.285327999994)</f>
        <v>24722.28533</v>
      </c>
      <c r="BK16" s="295">
        <f>IFERROR(__xludf.DUMMYFUNCTION("""COMPUTED_VALUE"""),21390.221887999996)</f>
        <v>21390.22189</v>
      </c>
      <c r="BL16" s="295">
        <f>IFERROR(__xludf.DUMMYFUNCTION("""COMPUTED_VALUE"""),18041.904479999997)</f>
        <v>18041.90448</v>
      </c>
      <c r="BM16" s="295">
        <f>IFERROR(__xludf.DUMMYFUNCTION("""COMPUTED_VALUE"""),10743.872847999997)</f>
        <v>10743.87285</v>
      </c>
      <c r="BN16" s="295">
        <f>IFERROR(__xludf.DUMMYFUNCTION("""COMPUTED_VALUE"""),13994.666447999998)</f>
        <v>13994.66645</v>
      </c>
    </row>
    <row r="17">
      <c r="A17" s="291" t="s">
        <v>33</v>
      </c>
      <c r="B17" s="293">
        <v>22742.411016</v>
      </c>
      <c r="C17" s="293">
        <v>28302.8133274</v>
      </c>
      <c r="D17" s="294">
        <f t="shared" si="1"/>
        <v>51045.22434</v>
      </c>
      <c r="E17" s="294">
        <v>20312.2426</v>
      </c>
      <c r="F17" s="293">
        <v>11963.422386999999</v>
      </c>
      <c r="G17" s="293">
        <v>10524.628400000001</v>
      </c>
      <c r="H17" s="294">
        <f t="shared" si="2"/>
        <v>22488.05079</v>
      </c>
      <c r="I17" s="293"/>
      <c r="J17" s="17"/>
      <c r="L17" s="292" t="str">
        <f>IFERROR(__xludf.DUMMYFUNCTION("""COMPUTED_VALUE"""),"CALCULATED")</f>
        <v>CALCULATED</v>
      </c>
      <c r="M17" s="292" t="str">
        <f>IFERROR(__xludf.DUMMYFUNCTION("""COMPUTED_VALUE"""),"FR Factor")</f>
        <v>FR Factor</v>
      </c>
      <c r="N17" s="295">
        <f>IFERROR(__xludf.DUMMYFUNCTION("""COMPUTED_VALUE"""),0.0)</f>
        <v>0</v>
      </c>
      <c r="O17" s="295">
        <f>IFERROR(__xludf.DUMMYFUNCTION("""COMPUTED_VALUE"""),0.0)</f>
        <v>0</v>
      </c>
      <c r="P17" s="295">
        <f>IFERROR(__xludf.DUMMYFUNCTION("""COMPUTED_VALUE"""),0.0)</f>
        <v>0</v>
      </c>
      <c r="Q17" s="295">
        <f>IFERROR(__xludf.DUMMYFUNCTION("""COMPUTED_VALUE"""),0.0)</f>
        <v>0</v>
      </c>
      <c r="R17" s="295">
        <f>IFERROR(__xludf.DUMMYFUNCTION("""COMPUTED_VALUE"""),0.0)</f>
        <v>0</v>
      </c>
      <c r="S17" s="295">
        <f>IFERROR(__xludf.DUMMYFUNCTION("""COMPUTED_VALUE"""),0.0)</f>
        <v>0</v>
      </c>
      <c r="T17" s="295">
        <f>IFERROR(__xludf.DUMMYFUNCTION("""COMPUTED_VALUE"""),0.0)</f>
        <v>0</v>
      </c>
      <c r="U17" s="295">
        <f>IFERROR(__xludf.DUMMYFUNCTION("""COMPUTED_VALUE"""),0.0)</f>
        <v>0</v>
      </c>
      <c r="V17" s="295">
        <f>IFERROR(__xludf.DUMMYFUNCTION("""COMPUTED_VALUE"""),0.0)</f>
        <v>0</v>
      </c>
      <c r="W17" s="295">
        <f>IFERROR(__xludf.DUMMYFUNCTION("""COMPUTED_VALUE"""),0.0)</f>
        <v>0</v>
      </c>
      <c r="X17" s="295">
        <f>IFERROR(__xludf.DUMMYFUNCTION("""COMPUTED_VALUE"""),0.0)</f>
        <v>0</v>
      </c>
      <c r="Y17" s="295">
        <f>IFERROR(__xludf.DUMMYFUNCTION("""COMPUTED_VALUE"""),0.0)</f>
        <v>0</v>
      </c>
      <c r="Z17" s="295">
        <f>IFERROR(__xludf.DUMMYFUNCTION("""COMPUTED_VALUE"""),0.0)</f>
        <v>0</v>
      </c>
      <c r="AA17" s="295">
        <f>IFERROR(__xludf.DUMMYFUNCTION("""COMPUTED_VALUE"""),0.0)</f>
        <v>0</v>
      </c>
      <c r="AB17" s="295">
        <f>IFERROR(__xludf.DUMMYFUNCTION("""COMPUTED_VALUE"""),0.0)</f>
        <v>0</v>
      </c>
      <c r="AC17" s="295">
        <f>IFERROR(__xludf.DUMMYFUNCTION("""COMPUTED_VALUE"""),0.0)</f>
        <v>0</v>
      </c>
      <c r="AD17" s="295">
        <f>IFERROR(__xludf.DUMMYFUNCTION("""COMPUTED_VALUE"""),0.0)</f>
        <v>0</v>
      </c>
      <c r="AE17" s="295">
        <f>IFERROR(__xludf.DUMMYFUNCTION("""COMPUTED_VALUE"""),0.0)</f>
        <v>0</v>
      </c>
      <c r="AF17" s="295">
        <f>IFERROR(__xludf.DUMMYFUNCTION("""COMPUTED_VALUE"""),0.0)</f>
        <v>0</v>
      </c>
      <c r="AG17" s="295">
        <f>IFERROR(__xludf.DUMMYFUNCTION("""COMPUTED_VALUE"""),0.0)</f>
        <v>0</v>
      </c>
      <c r="AH17" s="295">
        <f>IFERROR(__xludf.DUMMYFUNCTION("""COMPUTED_VALUE"""),0.0)</f>
        <v>0</v>
      </c>
      <c r="AI17" s="295">
        <f>IFERROR(__xludf.DUMMYFUNCTION("""COMPUTED_VALUE"""),0.0)</f>
        <v>0</v>
      </c>
      <c r="AJ17" s="295">
        <f>IFERROR(__xludf.DUMMYFUNCTION("""COMPUTED_VALUE"""),0.0)</f>
        <v>0</v>
      </c>
      <c r="AK17" s="295">
        <f>IFERROR(__xludf.DUMMYFUNCTION("""COMPUTED_VALUE"""),0.0)</f>
        <v>0</v>
      </c>
      <c r="AL17" s="295">
        <f>IFERROR(__xludf.DUMMYFUNCTION("""COMPUTED_VALUE"""),0.0)</f>
        <v>0</v>
      </c>
      <c r="AM17" s="295">
        <f>IFERROR(__xludf.DUMMYFUNCTION("""COMPUTED_VALUE"""),0.0)</f>
        <v>0</v>
      </c>
      <c r="AN17" s="295">
        <f>IFERROR(__xludf.DUMMYFUNCTION("""COMPUTED_VALUE"""),0.0)</f>
        <v>0</v>
      </c>
      <c r="AO17" s="295">
        <f>IFERROR(__xludf.DUMMYFUNCTION("""COMPUTED_VALUE"""),0.0)</f>
        <v>0</v>
      </c>
      <c r="AP17" s="295">
        <f>IFERROR(__xludf.DUMMYFUNCTION("""COMPUTED_VALUE"""),0.0)</f>
        <v>0</v>
      </c>
      <c r="AQ17" s="295">
        <f>IFERROR(__xludf.DUMMYFUNCTION("""COMPUTED_VALUE"""),0.0)</f>
        <v>0</v>
      </c>
      <c r="AR17" s="295">
        <f>IFERROR(__xludf.DUMMYFUNCTION("""COMPUTED_VALUE"""),0.0)</f>
        <v>0</v>
      </c>
      <c r="AS17" s="295">
        <f>IFERROR(__xludf.DUMMYFUNCTION("""COMPUTED_VALUE"""),0.0)</f>
        <v>0</v>
      </c>
      <c r="AT17" s="295">
        <f>IFERROR(__xludf.DUMMYFUNCTION("""COMPUTED_VALUE"""),0.0)</f>
        <v>0</v>
      </c>
      <c r="AU17" s="295">
        <f>IFERROR(__xludf.DUMMYFUNCTION("""COMPUTED_VALUE"""),0.0)</f>
        <v>0</v>
      </c>
      <c r="AV17" s="295">
        <f>IFERROR(__xludf.DUMMYFUNCTION("""COMPUTED_VALUE"""),0.0)</f>
        <v>0</v>
      </c>
      <c r="AW17" s="295">
        <f>IFERROR(__xludf.DUMMYFUNCTION("""COMPUTED_VALUE"""),0.0)</f>
        <v>0</v>
      </c>
      <c r="AX17" s="295">
        <f>IFERROR(__xludf.DUMMYFUNCTION("""COMPUTED_VALUE"""),0.0)</f>
        <v>0</v>
      </c>
      <c r="AY17" s="295">
        <f>IFERROR(__xludf.DUMMYFUNCTION("""COMPUTED_VALUE"""),0.0)</f>
        <v>0</v>
      </c>
      <c r="AZ17" s="295">
        <f>IFERROR(__xludf.DUMMYFUNCTION("""COMPUTED_VALUE"""),0.0)</f>
        <v>0</v>
      </c>
      <c r="BA17" s="295">
        <f>IFERROR(__xludf.DUMMYFUNCTION("""COMPUTED_VALUE"""),0.0)</f>
        <v>0</v>
      </c>
      <c r="BB17" s="295">
        <f>IFERROR(__xludf.DUMMYFUNCTION("""COMPUTED_VALUE"""),0.0)</f>
        <v>0</v>
      </c>
      <c r="BC17" s="295">
        <f>IFERROR(__xludf.DUMMYFUNCTION("""COMPUTED_VALUE"""),0.0)</f>
        <v>0</v>
      </c>
      <c r="BD17" s="295">
        <f>IFERROR(__xludf.DUMMYFUNCTION("""COMPUTED_VALUE"""),0.0)</f>
        <v>0</v>
      </c>
      <c r="BE17" s="295">
        <f>IFERROR(__xludf.DUMMYFUNCTION("""COMPUTED_VALUE"""),0.0)</f>
        <v>0</v>
      </c>
      <c r="BF17" s="295">
        <f>IFERROR(__xludf.DUMMYFUNCTION("""COMPUTED_VALUE"""),0.0)</f>
        <v>0</v>
      </c>
      <c r="BG17" s="295">
        <f>IFERROR(__xludf.DUMMYFUNCTION("""COMPUTED_VALUE"""),0.0)</f>
        <v>0</v>
      </c>
      <c r="BH17" s="295">
        <f>IFERROR(__xludf.DUMMYFUNCTION("""COMPUTED_VALUE"""),0.0)</f>
        <v>0</v>
      </c>
      <c r="BI17" s="295">
        <f>IFERROR(__xludf.DUMMYFUNCTION("""COMPUTED_VALUE"""),0.0)</f>
        <v>0</v>
      </c>
      <c r="BJ17" s="295">
        <f>IFERROR(__xludf.DUMMYFUNCTION("""COMPUTED_VALUE"""),0.0)</f>
        <v>0</v>
      </c>
      <c r="BK17" s="295">
        <f>IFERROR(__xludf.DUMMYFUNCTION("""COMPUTED_VALUE"""),0.0)</f>
        <v>0</v>
      </c>
      <c r="BL17" s="295">
        <f>IFERROR(__xludf.DUMMYFUNCTION("""COMPUTED_VALUE"""),0.0)</f>
        <v>0</v>
      </c>
      <c r="BM17" s="295">
        <f>IFERROR(__xludf.DUMMYFUNCTION("""COMPUTED_VALUE"""),0.0)</f>
        <v>0</v>
      </c>
      <c r="BN17" s="295">
        <f>IFERROR(__xludf.DUMMYFUNCTION("""COMPUTED_VALUE"""),0.0)</f>
        <v>0</v>
      </c>
    </row>
    <row r="18">
      <c r="A18" s="291" t="s">
        <v>34</v>
      </c>
      <c r="B18" s="293">
        <v>22096.04036</v>
      </c>
      <c r="C18" s="293">
        <v>28625.6591068</v>
      </c>
      <c r="D18" s="294">
        <f t="shared" si="1"/>
        <v>50721.69947</v>
      </c>
      <c r="E18" s="294">
        <v>21285.5708</v>
      </c>
      <c r="F18" s="293">
        <v>12717.518611</v>
      </c>
      <c r="G18" s="293">
        <v>11675.446000000002</v>
      </c>
      <c r="H18" s="294">
        <f t="shared" si="2"/>
        <v>24392.96461</v>
      </c>
      <c r="I18" s="293"/>
      <c r="J18" s="17"/>
      <c r="L18" s="292"/>
      <c r="M18" s="292" t="str">
        <f>IFERROR(__xludf.DUMMYFUNCTION("""COMPUTED_VALUE"""),"Total meals")</f>
        <v>Total meals</v>
      </c>
      <c r="N18" s="295">
        <f>IFERROR(__xludf.DUMMYFUNCTION("""COMPUTED_VALUE"""),48475.50031957)</f>
        <v>48475.50032</v>
      </c>
      <c r="O18" s="295">
        <f>IFERROR(__xludf.DUMMYFUNCTION("""COMPUTED_VALUE"""),68247.61539694)</f>
        <v>68247.6154</v>
      </c>
      <c r="P18" s="295">
        <f>IFERROR(__xludf.DUMMYFUNCTION("""COMPUTED_VALUE"""),89441.72470904999)</f>
        <v>89441.72471</v>
      </c>
      <c r="Q18" s="295">
        <f>IFERROR(__xludf.DUMMYFUNCTION("""COMPUTED_VALUE"""),97679.73861046)</f>
        <v>97679.73861</v>
      </c>
      <c r="R18" s="295">
        <f>IFERROR(__xludf.DUMMYFUNCTION("""COMPUTED_VALUE"""),100285.29827809999)</f>
        <v>100285.2983</v>
      </c>
      <c r="S18" s="295">
        <f>IFERROR(__xludf.DUMMYFUNCTION("""COMPUTED_VALUE"""),108367.06259860001)</f>
        <v>108367.0626</v>
      </c>
      <c r="T18" s="295">
        <f>IFERROR(__xludf.DUMMYFUNCTION("""COMPUTED_VALUE"""),108483.42501447)</f>
        <v>108483.425</v>
      </c>
      <c r="U18" s="295">
        <f>IFERROR(__xludf.DUMMYFUNCTION("""COMPUTED_VALUE"""),107365.57103686)</f>
        <v>107365.571</v>
      </c>
      <c r="V18" s="295">
        <f>IFERROR(__xludf.DUMMYFUNCTION("""COMPUTED_VALUE"""),106969.0277161)</f>
        <v>106969.0277</v>
      </c>
      <c r="W18" s="295">
        <f>IFERROR(__xludf.DUMMYFUNCTION("""COMPUTED_VALUE"""),107209.40676629)</f>
        <v>107209.4068</v>
      </c>
      <c r="X18" s="295">
        <f>IFERROR(__xludf.DUMMYFUNCTION("""COMPUTED_VALUE"""),108523.88370491)</f>
        <v>108523.8837</v>
      </c>
      <c r="Y18" s="295">
        <f>IFERROR(__xludf.DUMMYFUNCTION("""COMPUTED_VALUE"""),105454.43533204998)</f>
        <v>105454.4353</v>
      </c>
      <c r="Z18" s="295">
        <f>IFERROR(__xludf.DUMMYFUNCTION("""COMPUTED_VALUE"""),97211.95491684)</f>
        <v>97211.95492</v>
      </c>
      <c r="AA18" s="295">
        <f>IFERROR(__xludf.DUMMYFUNCTION("""COMPUTED_VALUE"""),99777.5929436)</f>
        <v>99777.59294</v>
      </c>
      <c r="AB18" s="295">
        <f>IFERROR(__xludf.DUMMYFUNCTION("""COMPUTED_VALUE"""),89077.283405)</f>
        <v>89077.28341</v>
      </c>
      <c r="AC18" s="295">
        <f>IFERROR(__xludf.DUMMYFUNCTION("""COMPUTED_VALUE"""),93845.5177304)</f>
        <v>93845.51773</v>
      </c>
      <c r="AD18" s="295">
        <f>IFERROR(__xludf.DUMMYFUNCTION("""COMPUTED_VALUE"""),96400.23487779999)</f>
        <v>96400.23488</v>
      </c>
      <c r="AE18" s="295">
        <f>IFERROR(__xludf.DUMMYFUNCTION("""COMPUTED_VALUE"""),91473.93376120001)</f>
        <v>91473.93376</v>
      </c>
      <c r="AF18" s="295">
        <f>IFERROR(__xludf.DUMMYFUNCTION("""COMPUTED_VALUE"""),91564.04521019998)</f>
        <v>91564.04521</v>
      </c>
      <c r="AG18" s="295">
        <f>IFERROR(__xludf.DUMMYFUNCTION("""COMPUTED_VALUE"""),96320.57685960001)</f>
        <v>96320.57686</v>
      </c>
      <c r="AH18" s="295">
        <f>IFERROR(__xludf.DUMMYFUNCTION("""COMPUTED_VALUE"""),94607.06309039998)</f>
        <v>94607.06309</v>
      </c>
      <c r="AI18" s="295">
        <f>IFERROR(__xludf.DUMMYFUNCTION("""COMPUTED_VALUE"""),93306.697985)</f>
        <v>93306.69799</v>
      </c>
      <c r="AJ18" s="295">
        <f>IFERROR(__xludf.DUMMYFUNCTION("""COMPUTED_VALUE"""),97109.8314364)</f>
        <v>97109.83144</v>
      </c>
      <c r="AK18" s="295">
        <f>IFERROR(__xludf.DUMMYFUNCTION("""COMPUTED_VALUE"""),94770.26664840001)</f>
        <v>94770.26665</v>
      </c>
      <c r="AL18" s="295">
        <f>IFERROR(__xludf.DUMMYFUNCTION("""COMPUTED_VALUE"""),94018.858988)</f>
        <v>94018.85899</v>
      </c>
      <c r="AM18" s="295">
        <f>IFERROR(__xludf.DUMMYFUNCTION("""COMPUTED_VALUE"""),91768.27403480001)</f>
        <v>91768.27403</v>
      </c>
      <c r="AN18" s="295">
        <f>IFERROR(__xludf.DUMMYFUNCTION("""COMPUTED_VALUE"""),91839.04568800001)</f>
        <v>91839.04569</v>
      </c>
      <c r="AO18" s="295">
        <f>IFERROR(__xludf.DUMMYFUNCTION("""COMPUTED_VALUE"""),87183.68775849999)</f>
        <v>87183.68776</v>
      </c>
      <c r="AP18" s="295">
        <f>IFERROR(__xludf.DUMMYFUNCTION("""COMPUTED_VALUE"""),81417.2901669)</f>
        <v>81417.29017</v>
      </c>
      <c r="AQ18" s="295">
        <f>IFERROR(__xludf.DUMMYFUNCTION("""COMPUTED_VALUE"""),77331.328385)</f>
        <v>77331.32839</v>
      </c>
      <c r="AR18" s="295">
        <f>IFERROR(__xludf.DUMMYFUNCTION("""COMPUTED_VALUE"""),77290.84967740001)</f>
        <v>77290.84968</v>
      </c>
      <c r="AS18" s="295">
        <f>IFERROR(__xludf.DUMMYFUNCTION("""COMPUTED_VALUE"""),79262.828738)</f>
        <v>79262.82874</v>
      </c>
      <c r="AT18" s="295">
        <f>IFERROR(__xludf.DUMMYFUNCTION("""COMPUTED_VALUE"""),84794.2963968)</f>
        <v>84794.2964</v>
      </c>
      <c r="AU18" s="295">
        <f>IFERROR(__xludf.DUMMYFUNCTION("""COMPUTED_VALUE"""),94709.6833268)</f>
        <v>94709.68333</v>
      </c>
      <c r="AV18" s="295">
        <f>IFERROR(__xludf.DUMMYFUNCTION("""COMPUTED_VALUE"""),99479.9232632)</f>
        <v>99479.92326</v>
      </c>
      <c r="AW18" s="295">
        <f>IFERROR(__xludf.DUMMYFUNCTION("""COMPUTED_VALUE"""),105129.2207604)</f>
        <v>105129.2208</v>
      </c>
      <c r="AX18" s="295">
        <f>IFERROR(__xludf.DUMMYFUNCTION("""COMPUTED_VALUE"""),117041.42947280001)</f>
        <v>117041.4295</v>
      </c>
      <c r="AY18" s="295">
        <f>IFERROR(__xludf.DUMMYFUNCTION("""COMPUTED_VALUE"""),128475.8442)</f>
        <v>128475.8442</v>
      </c>
      <c r="AZ18" s="295">
        <f>IFERROR(__xludf.DUMMYFUNCTION("""COMPUTED_VALUE"""),137268.1357588)</f>
        <v>137268.1358</v>
      </c>
      <c r="BA18" s="295">
        <f>IFERROR(__xludf.DUMMYFUNCTION("""COMPUTED_VALUE"""),148374.09155080002)</f>
        <v>148374.0916</v>
      </c>
      <c r="BB18" s="295">
        <f>IFERROR(__xludf.DUMMYFUNCTION("""COMPUTED_VALUE"""),152892.82524200002)</f>
        <v>152892.8252</v>
      </c>
      <c r="BC18" s="295">
        <f>IFERROR(__xludf.DUMMYFUNCTION("""COMPUTED_VALUE"""),146998.3616252)</f>
        <v>146998.3616</v>
      </c>
      <c r="BD18" s="295">
        <f>IFERROR(__xludf.DUMMYFUNCTION("""COMPUTED_VALUE"""),148101.7233988)</f>
        <v>148101.7234</v>
      </c>
      <c r="BE18" s="295">
        <f>IFERROR(__xludf.DUMMYFUNCTION("""COMPUTED_VALUE"""),145999.283912)</f>
        <v>145999.2839</v>
      </c>
      <c r="BF18" s="295">
        <f>IFERROR(__xludf.DUMMYFUNCTION("""COMPUTED_VALUE"""),152122.9725524)</f>
        <v>152122.9726</v>
      </c>
      <c r="BG18" s="295">
        <f>IFERROR(__xludf.DUMMYFUNCTION("""COMPUTED_VALUE"""),152795.974938)</f>
        <v>152795.9749</v>
      </c>
      <c r="BH18" s="295">
        <f>IFERROR(__xludf.DUMMYFUNCTION("""COMPUTED_VALUE"""),148002.75420599998)</f>
        <v>148002.7542</v>
      </c>
      <c r="BI18" s="295">
        <f>IFERROR(__xludf.DUMMYFUNCTION("""COMPUTED_VALUE"""),149317.42434879998)</f>
        <v>149317.4243</v>
      </c>
      <c r="BJ18" s="295">
        <f>IFERROR(__xludf.DUMMYFUNCTION("""COMPUTED_VALUE"""),147621.1676664)</f>
        <v>147621.1677</v>
      </c>
      <c r="BK18" s="295">
        <f>IFERROR(__xludf.DUMMYFUNCTION("""COMPUTED_VALUE"""),133513.8387956)</f>
        <v>133513.8388</v>
      </c>
      <c r="BL18" s="295">
        <f>IFERROR(__xludf.DUMMYFUNCTION("""COMPUTED_VALUE"""),119937.979898)</f>
        <v>119937.9799</v>
      </c>
      <c r="BM18" s="295">
        <f>IFERROR(__xludf.DUMMYFUNCTION("""COMPUTED_VALUE"""),74599.90375920001)</f>
        <v>74599.90376</v>
      </c>
      <c r="BN18" s="295">
        <f>IFERROR(__xludf.DUMMYFUNCTION("""COMPUTED_VALUE"""),87702.5521768)</f>
        <v>87702.55218</v>
      </c>
    </row>
    <row r="19">
      <c r="A19" s="291" t="s">
        <v>35</v>
      </c>
      <c r="B19" s="293">
        <v>20452.010648</v>
      </c>
      <c r="C19" s="293">
        <v>27207.6698012</v>
      </c>
      <c r="D19" s="294">
        <f t="shared" si="1"/>
        <v>47659.68045</v>
      </c>
      <c r="E19" s="294">
        <v>20527.6513</v>
      </c>
      <c r="F19" s="293">
        <v>12159.801612</v>
      </c>
      <c r="G19" s="293">
        <v>11126.800400000002</v>
      </c>
      <c r="H19" s="294">
        <f t="shared" si="2"/>
        <v>23286.60201</v>
      </c>
      <c r="I19" s="293"/>
      <c r="J19" s="17"/>
      <c r="L19" s="292"/>
      <c r="M19" s="292"/>
      <c r="N19" s="292"/>
      <c r="O19" s="292"/>
      <c r="P19" s="292"/>
      <c r="Q19" s="292"/>
      <c r="R19" s="292"/>
      <c r="S19" s="292"/>
      <c r="T19" s="292"/>
      <c r="U19" s="292"/>
      <c r="V19" s="292"/>
      <c r="W19" s="292"/>
      <c r="X19" s="292"/>
      <c r="Y19" s="292"/>
      <c r="Z19" s="292"/>
      <c r="AA19" s="292"/>
      <c r="AB19" s="292"/>
      <c r="AC19" s="292"/>
      <c r="AD19" s="292"/>
      <c r="AE19" s="292"/>
      <c r="AF19" s="292"/>
      <c r="AG19" s="292"/>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2"/>
      <c r="BD19" s="292"/>
      <c r="BE19" s="292"/>
      <c r="BF19" s="292"/>
      <c r="BG19" s="292"/>
      <c r="BH19" s="292"/>
      <c r="BI19" s="292"/>
      <c r="BJ19" s="292"/>
      <c r="BK19" s="292"/>
      <c r="BL19" s="292"/>
      <c r="BM19" s="292"/>
      <c r="BN19" s="292"/>
    </row>
    <row r="20">
      <c r="A20" s="291" t="s">
        <v>37</v>
      </c>
      <c r="B20" s="293">
        <v>20107.748015999998</v>
      </c>
      <c r="C20" s="293">
        <v>26827.8512372</v>
      </c>
      <c r="D20" s="294">
        <f t="shared" si="1"/>
        <v>46935.59925</v>
      </c>
      <c r="E20" s="294">
        <v>19881.4252</v>
      </c>
      <c r="F20" s="293">
        <v>12984.594356999998</v>
      </c>
      <c r="G20" s="293">
        <v>11762.426400000002</v>
      </c>
      <c r="H20" s="294">
        <f t="shared" si="2"/>
        <v>24747.02076</v>
      </c>
      <c r="I20" s="293"/>
      <c r="J20" s="17"/>
      <c r="L20" s="292"/>
      <c r="M20" s="292" t="str">
        <f>IFERROR(__xludf.DUMMYFUNCTION("""COMPUTED_VALUE"""),"meal/order")</f>
        <v>meal/order</v>
      </c>
      <c r="N20" s="296">
        <f>IFERROR(__xludf.DUMMYFUNCTION("""COMPUTED_VALUE"""),6.901409498799829)</f>
        <v>6.901409499</v>
      </c>
      <c r="O20" s="296">
        <f>IFERROR(__xludf.DUMMYFUNCTION("""COMPUTED_VALUE"""),6.860435805884601)</f>
        <v>6.860435806</v>
      </c>
      <c r="P20" s="296">
        <f>IFERROR(__xludf.DUMMYFUNCTION("""COMPUTED_VALUE"""),6.944772475273701)</f>
        <v>6.944772475</v>
      </c>
      <c r="Q20" s="296">
        <f>IFERROR(__xludf.DUMMYFUNCTION("""COMPUTED_VALUE"""),6.9861063231626375)</f>
        <v>6.986106323</v>
      </c>
      <c r="R20" s="296">
        <f>IFERROR(__xludf.DUMMYFUNCTION("""COMPUTED_VALUE"""),7.001207642983802)</f>
        <v>7.001207643</v>
      </c>
      <c r="S20" s="296">
        <f>IFERROR(__xludf.DUMMYFUNCTION("""COMPUTED_VALUE"""),7.025872834452802)</f>
        <v>7.025872834</v>
      </c>
      <c r="T20" s="296">
        <f>IFERROR(__xludf.DUMMYFUNCTION("""COMPUTED_VALUE"""),7.033873112524801)</f>
        <v>7.033873113</v>
      </c>
      <c r="U20" s="296">
        <f>IFERROR(__xludf.DUMMYFUNCTION("""COMPUTED_VALUE"""),7.0459096362291636)</f>
        <v>7.045909636</v>
      </c>
      <c r="V20" s="296">
        <f>IFERROR(__xludf.DUMMYFUNCTION("""COMPUTED_VALUE"""),7.034659194798106)</f>
        <v>7.034659195</v>
      </c>
      <c r="W20" s="296">
        <f>IFERROR(__xludf.DUMMYFUNCTION("""COMPUTED_VALUE"""),7.025057779063626)</f>
        <v>7.025057779</v>
      </c>
      <c r="X20" s="296">
        <f>IFERROR(__xludf.DUMMYFUNCTION("""COMPUTED_VALUE"""),7.01557202824423)</f>
        <v>7.015572028</v>
      </c>
      <c r="Y20" s="296">
        <f>IFERROR(__xludf.DUMMYFUNCTION("""COMPUTED_VALUE"""),7.007870503193114)</f>
        <v>7.007870503</v>
      </c>
      <c r="Z20" s="296">
        <f>IFERROR(__xludf.DUMMYFUNCTION("""COMPUTED_VALUE"""),6.972597541015636)</f>
        <v>6.972597541</v>
      </c>
      <c r="AA20" s="296">
        <f>IFERROR(__xludf.DUMMYFUNCTION("""COMPUTED_VALUE"""),7.035509303596108)</f>
        <v>7.035509304</v>
      </c>
      <c r="AB20" s="296">
        <f>IFERROR(__xludf.DUMMYFUNCTION("""COMPUTED_VALUE"""),7.032787257618821)</f>
        <v>7.032787258</v>
      </c>
      <c r="AC20" s="296">
        <f>IFERROR(__xludf.DUMMYFUNCTION("""COMPUTED_VALUE"""),7.029626796284644)</f>
        <v>7.029626796</v>
      </c>
      <c r="AD20" s="296">
        <f>IFERROR(__xludf.DUMMYFUNCTION("""COMPUTED_VALUE"""),7.037027146346448)</f>
        <v>7.037027146</v>
      </c>
      <c r="AE20" s="296">
        <f>IFERROR(__xludf.DUMMYFUNCTION("""COMPUTED_VALUE"""),7.040247345586086)</f>
        <v>7.040247346</v>
      </c>
      <c r="AF20" s="296">
        <f>IFERROR(__xludf.DUMMYFUNCTION("""COMPUTED_VALUE"""),7.041763070845188)</f>
        <v>7.041763071</v>
      </c>
      <c r="AG20" s="296">
        <f>IFERROR(__xludf.DUMMYFUNCTION("""COMPUTED_VALUE"""),7.036862716218587)</f>
        <v>7.036862716</v>
      </c>
      <c r="AH20" s="296">
        <f>IFERROR(__xludf.DUMMYFUNCTION("""COMPUTED_VALUE"""),7.038168657223626)</f>
        <v>7.038168657</v>
      </c>
      <c r="AI20" s="296">
        <f>IFERROR(__xludf.DUMMYFUNCTION("""COMPUTED_VALUE"""),7.032461409782937)</f>
        <v>7.03246141</v>
      </c>
      <c r="AJ20" s="296">
        <f>IFERROR(__xludf.DUMMYFUNCTION("""COMPUTED_VALUE"""),7.036434420433301)</f>
        <v>7.03643442</v>
      </c>
      <c r="AK20" s="296">
        <f>IFERROR(__xludf.DUMMYFUNCTION("""COMPUTED_VALUE"""),7.032000196512578)</f>
        <v>7.032000197</v>
      </c>
      <c r="AL20" s="296">
        <f>IFERROR(__xludf.DUMMYFUNCTION("""COMPUTED_VALUE"""),7.024720486252242)</f>
        <v>7.024720486</v>
      </c>
      <c r="AM20" s="296">
        <f>IFERROR(__xludf.DUMMYFUNCTION("""COMPUTED_VALUE"""),7.0196798007190395)</f>
        <v>7.019679801</v>
      </c>
      <c r="AN20" s="296">
        <f>IFERROR(__xludf.DUMMYFUNCTION("""COMPUTED_VALUE"""),7.0732475113986455)</f>
        <v>7.073247511</v>
      </c>
      <c r="AO20" s="296">
        <f>IFERROR(__xludf.DUMMYFUNCTION("""COMPUTED_VALUE"""),7.072005820773847)</f>
        <v>7.072005821</v>
      </c>
      <c r="AP20" s="296">
        <f>IFERROR(__xludf.DUMMYFUNCTION("""COMPUTED_VALUE"""),7.085309387076842)</f>
        <v>7.085309387</v>
      </c>
      <c r="AQ20" s="296">
        <f>IFERROR(__xludf.DUMMYFUNCTION("""COMPUTED_VALUE"""),7.079030427041377)</f>
        <v>7.079030427</v>
      </c>
      <c r="AR20" s="296">
        <f>IFERROR(__xludf.DUMMYFUNCTION("""COMPUTED_VALUE"""),7.098066826834421)</f>
        <v>7.098066827</v>
      </c>
      <c r="AS20" s="296">
        <f>IFERROR(__xludf.DUMMYFUNCTION("""COMPUTED_VALUE"""),7.117071809104785)</f>
        <v>7.117071809</v>
      </c>
      <c r="AT20" s="296">
        <f>IFERROR(__xludf.DUMMYFUNCTION("""COMPUTED_VALUE"""),7.13216388231138)</f>
        <v>7.132163882</v>
      </c>
      <c r="AU20" s="296">
        <f>IFERROR(__xludf.DUMMYFUNCTION("""COMPUTED_VALUE"""),7.133902028231395)</f>
        <v>7.133902028</v>
      </c>
      <c r="AV20" s="296">
        <f>IFERROR(__xludf.DUMMYFUNCTION("""COMPUTED_VALUE"""),7.127600721014545)</f>
        <v>7.127600721</v>
      </c>
      <c r="AW20" s="296">
        <f>IFERROR(__xludf.DUMMYFUNCTION("""COMPUTED_VALUE"""),7.123058524317366)</f>
        <v>7.123058524</v>
      </c>
      <c r="AX20" s="296">
        <f>IFERROR(__xludf.DUMMYFUNCTION("""COMPUTED_VALUE"""),7.12494244066476)</f>
        <v>7.124942441</v>
      </c>
      <c r="AY20" s="296">
        <f>IFERROR(__xludf.DUMMYFUNCTION("""COMPUTED_VALUE"""),7.136357507082153)</f>
        <v>7.136357507</v>
      </c>
      <c r="AZ20" s="296">
        <f>IFERROR(__xludf.DUMMYFUNCTION("""COMPUTED_VALUE"""),7.141942547284079)</f>
        <v>7.141942547</v>
      </c>
      <c r="BA20" s="296">
        <f>IFERROR(__xludf.DUMMYFUNCTION("""COMPUTED_VALUE"""),7.240939512507931)</f>
        <v>7.240939513</v>
      </c>
      <c r="BB20" s="296">
        <f>IFERROR(__xludf.DUMMYFUNCTION("""COMPUTED_VALUE"""),7.2533244101712615)</f>
        <v>7.25332441</v>
      </c>
      <c r="BC20" s="296">
        <f>IFERROR(__xludf.DUMMYFUNCTION("""COMPUTED_VALUE"""),7.2624060879007954)</f>
        <v>7.262406088</v>
      </c>
      <c r="BD20" s="296">
        <f>IFERROR(__xludf.DUMMYFUNCTION("""COMPUTED_VALUE"""),7.257753768440655)</f>
        <v>7.257753768</v>
      </c>
      <c r="BE20" s="296">
        <f>IFERROR(__xludf.DUMMYFUNCTION("""COMPUTED_VALUE"""),7.261478360290461)</f>
        <v>7.26147836</v>
      </c>
      <c r="BF20" s="296">
        <f>IFERROR(__xludf.DUMMYFUNCTION("""COMPUTED_VALUE"""),7.249129023226113)</f>
        <v>7.249129023</v>
      </c>
      <c r="BG20" s="296">
        <f>IFERROR(__xludf.DUMMYFUNCTION("""COMPUTED_VALUE"""),7.261820965638515)</f>
        <v>7.261820966</v>
      </c>
      <c r="BH20" s="296">
        <f>IFERROR(__xludf.DUMMYFUNCTION("""COMPUTED_VALUE"""),7.246866484160015)</f>
        <v>7.246866484</v>
      </c>
      <c r="BI20" s="296">
        <f>IFERROR(__xludf.DUMMYFUNCTION("""COMPUTED_VALUE"""),7.250178409749938)</f>
        <v>7.25017841</v>
      </c>
      <c r="BJ20" s="296">
        <f>IFERROR(__xludf.DUMMYFUNCTION("""COMPUTED_VALUE"""),7.251260814736222)</f>
        <v>7.251260815</v>
      </c>
      <c r="BK20" s="296">
        <f>IFERROR(__xludf.DUMMYFUNCTION("""COMPUTED_VALUE"""),7.253033398283355)</f>
        <v>7.253033398</v>
      </c>
      <c r="BL20" s="296">
        <f>IFERROR(__xludf.DUMMYFUNCTION("""COMPUTED_VALUE"""),7.246569989607879)</f>
        <v>7.24656999</v>
      </c>
      <c r="BM20" s="296">
        <f>IFERROR(__xludf.DUMMYFUNCTION("""COMPUTED_VALUE"""),7.240600190158207)</f>
        <v>7.24060019</v>
      </c>
      <c r="BN20" s="296">
        <f>IFERROR(__xludf.DUMMYFUNCTION("""COMPUTED_VALUE"""),7.2230729844177235)</f>
        <v>7.223072984</v>
      </c>
    </row>
    <row r="21">
      <c r="A21" s="291" t="s">
        <v>38</v>
      </c>
      <c r="B21" s="293">
        <v>22046.859984</v>
      </c>
      <c r="C21" s="293">
        <v>28511.7135376</v>
      </c>
      <c r="D21" s="294">
        <f t="shared" si="1"/>
        <v>50558.57352</v>
      </c>
      <c r="E21" s="294">
        <v>20623.3885</v>
      </c>
      <c r="F21" s="293">
        <v>13369.497637999999</v>
      </c>
      <c r="G21" s="293">
        <v>11769.117200000002</v>
      </c>
      <c r="H21" s="294">
        <f t="shared" si="2"/>
        <v>25138.61484</v>
      </c>
      <c r="I21" s="293"/>
      <c r="J21" s="17"/>
      <c r="L21" s="292" t="str">
        <f>IFERROR(__xludf.DUMMYFUNCTION("""COMPUTED_VALUE"""),"INPUT")</f>
        <v>INPUT</v>
      </c>
      <c r="M21" s="292" t="str">
        <f>IFERROR(__xludf.DUMMYFUNCTION("""COMPUTED_VALUE"""),"Verden Share")</f>
        <v>Verden Share</v>
      </c>
      <c r="N21" s="297">
        <f>IFERROR(__xludf.DUMMYFUNCTION("""COMPUTED_VALUE"""),0.0)</f>
        <v>0</v>
      </c>
      <c r="O21" s="297">
        <f>IFERROR(__xludf.DUMMYFUNCTION("""COMPUTED_VALUE"""),0.0)</f>
        <v>0</v>
      </c>
      <c r="P21" s="297">
        <f>IFERROR(__xludf.DUMMYFUNCTION("""COMPUTED_VALUE"""),0.0)</f>
        <v>0</v>
      </c>
      <c r="Q21" s="297">
        <f>IFERROR(__xludf.DUMMYFUNCTION("""COMPUTED_VALUE"""),0.0)</f>
        <v>0</v>
      </c>
      <c r="R21" s="297">
        <f>IFERROR(__xludf.DUMMYFUNCTION("""COMPUTED_VALUE"""),0.0)</f>
        <v>0</v>
      </c>
      <c r="S21" s="297">
        <f>IFERROR(__xludf.DUMMYFUNCTION("""COMPUTED_VALUE"""),0.0)</f>
        <v>0</v>
      </c>
      <c r="T21" s="297">
        <f>IFERROR(__xludf.DUMMYFUNCTION("""COMPUTED_VALUE"""),0.0)</f>
        <v>0</v>
      </c>
      <c r="U21" s="297">
        <f>IFERROR(__xludf.DUMMYFUNCTION("""COMPUTED_VALUE"""),0.0)</f>
        <v>0</v>
      </c>
      <c r="V21" s="297">
        <f>IFERROR(__xludf.DUMMYFUNCTION("""COMPUTED_VALUE"""),0.0)</f>
        <v>0</v>
      </c>
      <c r="W21" s="297">
        <f>IFERROR(__xludf.DUMMYFUNCTION("""COMPUTED_VALUE"""),0.0)</f>
        <v>0</v>
      </c>
      <c r="X21" s="297">
        <f>IFERROR(__xludf.DUMMYFUNCTION("""COMPUTED_VALUE"""),0.0)</f>
        <v>0</v>
      </c>
      <c r="Y21" s="297">
        <f>IFERROR(__xludf.DUMMYFUNCTION("""COMPUTED_VALUE"""),0.0)</f>
        <v>0</v>
      </c>
      <c r="Z21" s="297">
        <f>IFERROR(__xludf.DUMMYFUNCTION("""COMPUTED_VALUE"""),0.0)</f>
        <v>0</v>
      </c>
      <c r="AA21" s="297">
        <f>IFERROR(__xludf.DUMMYFUNCTION("""COMPUTED_VALUE"""),0.0)</f>
        <v>0</v>
      </c>
      <c r="AB21" s="297">
        <f>IFERROR(__xludf.DUMMYFUNCTION("""COMPUTED_VALUE"""),0.0)</f>
        <v>0</v>
      </c>
      <c r="AC21" s="297">
        <f>IFERROR(__xludf.DUMMYFUNCTION("""COMPUTED_VALUE"""),0.0)</f>
        <v>0</v>
      </c>
      <c r="AD21" s="297">
        <f>IFERROR(__xludf.DUMMYFUNCTION("""COMPUTED_VALUE"""),0.0)</f>
        <v>0</v>
      </c>
      <c r="AE21" s="297">
        <f>IFERROR(__xludf.DUMMYFUNCTION("""COMPUTED_VALUE"""),0.0)</f>
        <v>0</v>
      </c>
      <c r="AF21" s="297">
        <f>IFERROR(__xludf.DUMMYFUNCTION("""COMPUTED_VALUE"""),0.08)</f>
        <v>0.08</v>
      </c>
      <c r="AG21" s="297">
        <f>IFERROR(__xludf.DUMMYFUNCTION("""COMPUTED_VALUE"""),0.2)</f>
        <v>0.2</v>
      </c>
      <c r="AH21" s="297">
        <f>IFERROR(__xludf.DUMMYFUNCTION("""COMPUTED_VALUE"""),0.31)</f>
        <v>0.31</v>
      </c>
      <c r="AI21" s="297">
        <f>IFERROR(__xludf.DUMMYFUNCTION("""COMPUTED_VALUE"""),0.45)</f>
        <v>0.45</v>
      </c>
      <c r="AJ21" s="297">
        <f>IFERROR(__xludf.DUMMYFUNCTION("""COMPUTED_VALUE"""),0.6)</f>
        <v>0.6</v>
      </c>
      <c r="AK21" s="297">
        <f>IFERROR(__xludf.DUMMYFUNCTION("""COMPUTED_VALUE"""),0.65)</f>
        <v>0.65</v>
      </c>
      <c r="AL21" s="297">
        <f>IFERROR(__xludf.DUMMYFUNCTION("""COMPUTED_VALUE"""),0.75)</f>
        <v>0.75</v>
      </c>
      <c r="AM21" s="297">
        <f>IFERROR(__xludf.DUMMYFUNCTION("""COMPUTED_VALUE"""),0.8)</f>
        <v>0.8</v>
      </c>
      <c r="AN21" s="297">
        <f>IFERROR(__xludf.DUMMYFUNCTION("""COMPUTED_VALUE"""),0.85)</f>
        <v>0.85</v>
      </c>
      <c r="AO21" s="297">
        <f>IFERROR(__xludf.DUMMYFUNCTION("""COMPUTED_VALUE"""),0.9)</f>
        <v>0.9</v>
      </c>
      <c r="AP21" s="297">
        <f>IFERROR(__xludf.DUMMYFUNCTION("""COMPUTED_VALUE"""),0.9)</f>
        <v>0.9</v>
      </c>
      <c r="AQ21" s="297">
        <f>IFERROR(__xludf.DUMMYFUNCTION("""COMPUTED_VALUE"""),0.9)</f>
        <v>0.9</v>
      </c>
      <c r="AR21" s="297">
        <f>IFERROR(__xludf.DUMMYFUNCTION("""COMPUTED_VALUE"""),1.0)</f>
        <v>1</v>
      </c>
      <c r="AS21" s="297">
        <f>IFERROR(__xludf.DUMMYFUNCTION("""COMPUTED_VALUE"""),1.0)</f>
        <v>1</v>
      </c>
      <c r="AT21" s="297">
        <f>IFERROR(__xludf.DUMMYFUNCTION("""COMPUTED_VALUE"""),1.0)</f>
        <v>1</v>
      </c>
      <c r="AU21" s="297">
        <f>IFERROR(__xludf.DUMMYFUNCTION("""COMPUTED_VALUE"""),1.0)</f>
        <v>1</v>
      </c>
      <c r="AV21" s="297">
        <f>IFERROR(__xludf.DUMMYFUNCTION("""COMPUTED_VALUE"""),1.0)</f>
        <v>1</v>
      </c>
      <c r="AW21" s="297">
        <f>IFERROR(__xludf.DUMMYFUNCTION("""COMPUTED_VALUE"""),1.0)</f>
        <v>1</v>
      </c>
      <c r="AX21" s="297">
        <f>IFERROR(__xludf.DUMMYFUNCTION("""COMPUTED_VALUE"""),1.0)</f>
        <v>1</v>
      </c>
      <c r="AY21" s="297">
        <f>IFERROR(__xludf.DUMMYFUNCTION("""COMPUTED_VALUE"""),1.0)</f>
        <v>1</v>
      </c>
      <c r="AZ21" s="297">
        <f>IFERROR(__xludf.DUMMYFUNCTION("""COMPUTED_VALUE"""),1.0)</f>
        <v>1</v>
      </c>
      <c r="BA21" s="297">
        <f>IFERROR(__xludf.DUMMYFUNCTION("""COMPUTED_VALUE"""),1.0)</f>
        <v>1</v>
      </c>
      <c r="BB21" s="297">
        <f>IFERROR(__xludf.DUMMYFUNCTION("""COMPUTED_VALUE"""),1.0)</f>
        <v>1</v>
      </c>
      <c r="BC21" s="297">
        <f>IFERROR(__xludf.DUMMYFUNCTION("""COMPUTED_VALUE"""),1.0)</f>
        <v>1</v>
      </c>
      <c r="BD21" s="297">
        <f>IFERROR(__xludf.DUMMYFUNCTION("""COMPUTED_VALUE"""),1.0)</f>
        <v>1</v>
      </c>
      <c r="BE21" s="297">
        <f>IFERROR(__xludf.DUMMYFUNCTION("""COMPUTED_VALUE"""),1.0)</f>
        <v>1</v>
      </c>
      <c r="BF21" s="297">
        <f>IFERROR(__xludf.DUMMYFUNCTION("""COMPUTED_VALUE"""),1.0)</f>
        <v>1</v>
      </c>
      <c r="BG21" s="297">
        <f>IFERROR(__xludf.DUMMYFUNCTION("""COMPUTED_VALUE"""),1.0)</f>
        <v>1</v>
      </c>
      <c r="BH21" s="297">
        <f>IFERROR(__xludf.DUMMYFUNCTION("""COMPUTED_VALUE"""),1.0)</f>
        <v>1</v>
      </c>
      <c r="BI21" s="297">
        <f>IFERROR(__xludf.DUMMYFUNCTION("""COMPUTED_VALUE"""),1.0)</f>
        <v>1</v>
      </c>
      <c r="BJ21" s="297">
        <f>IFERROR(__xludf.DUMMYFUNCTION("""COMPUTED_VALUE"""),1.0)</f>
        <v>1</v>
      </c>
      <c r="BK21" s="297">
        <f>IFERROR(__xludf.DUMMYFUNCTION("""COMPUTED_VALUE"""),1.0)</f>
        <v>1</v>
      </c>
      <c r="BL21" s="297">
        <f>IFERROR(__xludf.DUMMYFUNCTION("""COMPUTED_VALUE"""),1.0)</f>
        <v>1</v>
      </c>
      <c r="BM21" s="297">
        <f>IFERROR(__xludf.DUMMYFUNCTION("""COMPUTED_VALUE"""),1.0)</f>
        <v>1</v>
      </c>
      <c r="BN21" s="297">
        <f>IFERROR(__xludf.DUMMYFUNCTION("""COMPUTED_VALUE"""),1.0)</f>
        <v>1</v>
      </c>
    </row>
    <row r="22">
      <c r="A22" s="291" t="s">
        <v>39</v>
      </c>
      <c r="B22" s="293">
        <v>21379.412023999997</v>
      </c>
      <c r="C22" s="293">
        <v>28017.9494044</v>
      </c>
      <c r="D22" s="294">
        <f t="shared" si="1"/>
        <v>49397.36143</v>
      </c>
      <c r="E22" s="294">
        <v>20256.3959</v>
      </c>
      <c r="F22" s="293">
        <v>13338.076962</v>
      </c>
      <c r="G22" s="293">
        <v>11615.228800000003</v>
      </c>
      <c r="H22" s="294">
        <f t="shared" si="2"/>
        <v>24953.30576</v>
      </c>
      <c r="I22" s="293"/>
      <c r="J22" s="17"/>
      <c r="L22" s="292"/>
      <c r="M22" s="292"/>
      <c r="N22" s="292"/>
      <c r="O22" s="292"/>
      <c r="P22" s="292"/>
      <c r="Q22" s="292"/>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292"/>
      <c r="BH22" s="292"/>
      <c r="BI22" s="292"/>
      <c r="BJ22" s="292"/>
      <c r="BK22" s="292"/>
      <c r="BL22" s="292"/>
      <c r="BM22" s="292"/>
      <c r="BN22" s="292"/>
    </row>
    <row r="23">
      <c r="A23" s="291" t="s">
        <v>40</v>
      </c>
      <c r="B23" s="293">
        <v>22145.220736</v>
      </c>
      <c r="C23" s="293">
        <v>27283.633514</v>
      </c>
      <c r="D23" s="294">
        <f t="shared" si="1"/>
        <v>49428.85425</v>
      </c>
      <c r="E23" s="294">
        <v>18804.3817</v>
      </c>
      <c r="F23" s="293">
        <v>13471.614834999998</v>
      </c>
      <c r="G23" s="293">
        <v>11601.847200000002</v>
      </c>
      <c r="H23" s="294">
        <f t="shared" si="2"/>
        <v>25073.46204</v>
      </c>
      <c r="I23" s="293"/>
      <c r="J23" s="17"/>
      <c r="L23" s="292" t="str">
        <f>IFERROR(__xludf.DUMMYFUNCTION("""COMPUTED_VALUE"""),"Coman")</f>
        <v>Coman</v>
      </c>
      <c r="M23" s="292" t="str">
        <f>IFERROR(__xludf.DUMMYFUNCTION("""COMPUTED_VALUE"""),"Orders")</f>
        <v>Orders</v>
      </c>
      <c r="N23" s="295">
        <f>IFERROR(__xludf.DUMMYFUNCTION("""COMPUTED_VALUE"""),7024.0)</f>
        <v>7024</v>
      </c>
      <c r="O23" s="295">
        <f>IFERROR(__xludf.DUMMYFUNCTION("""COMPUTED_VALUE"""),9948.0)</f>
        <v>9948</v>
      </c>
      <c r="P23" s="295">
        <f>IFERROR(__xludf.DUMMYFUNCTION("""COMPUTED_VALUE"""),12879.0)</f>
        <v>12879</v>
      </c>
      <c r="Q23" s="295">
        <f>IFERROR(__xludf.DUMMYFUNCTION("""COMPUTED_VALUE"""),13982.0)</f>
        <v>13982</v>
      </c>
      <c r="R23" s="295">
        <f>IFERROR(__xludf.DUMMYFUNCTION("""COMPUTED_VALUE"""),14324.0)</f>
        <v>14324</v>
      </c>
      <c r="S23" s="295">
        <f>IFERROR(__xludf.DUMMYFUNCTION("""COMPUTED_VALUE"""),15424.0)</f>
        <v>15424</v>
      </c>
      <c r="T23" s="295">
        <f>IFERROR(__xludf.DUMMYFUNCTION("""COMPUTED_VALUE"""),15423.0)</f>
        <v>15423</v>
      </c>
      <c r="U23" s="295">
        <f>IFERROR(__xludf.DUMMYFUNCTION("""COMPUTED_VALUE"""),15238.0)</f>
        <v>15238</v>
      </c>
      <c r="V23" s="295">
        <f>IFERROR(__xludf.DUMMYFUNCTION("""COMPUTED_VALUE"""),15206.0)</f>
        <v>15206</v>
      </c>
      <c r="W23" s="295">
        <f>IFERROR(__xludf.DUMMYFUNCTION("""COMPUTED_VALUE"""),15261.0)</f>
        <v>15261</v>
      </c>
      <c r="X23" s="295">
        <f>IFERROR(__xludf.DUMMYFUNCTION("""COMPUTED_VALUE"""),15469.0)</f>
        <v>15469</v>
      </c>
      <c r="Y23" s="295">
        <f>IFERROR(__xludf.DUMMYFUNCTION("""COMPUTED_VALUE"""),15048.0)</f>
        <v>15048</v>
      </c>
      <c r="Z23" s="295">
        <f>IFERROR(__xludf.DUMMYFUNCTION("""COMPUTED_VALUE"""),13942.0)</f>
        <v>13942</v>
      </c>
      <c r="AA23" s="295">
        <f>IFERROR(__xludf.DUMMYFUNCTION("""COMPUTED_VALUE"""),14182.0)</f>
        <v>14182</v>
      </c>
      <c r="AB23" s="295">
        <f>IFERROR(__xludf.DUMMYFUNCTION("""COMPUTED_VALUE"""),12666.0)</f>
        <v>12666</v>
      </c>
      <c r="AC23" s="295">
        <f>IFERROR(__xludf.DUMMYFUNCTION("""COMPUTED_VALUE"""),13350.0)</f>
        <v>13350</v>
      </c>
      <c r="AD23" s="295">
        <f>IFERROR(__xludf.DUMMYFUNCTION("""COMPUTED_VALUE"""),13699.0)</f>
        <v>13699</v>
      </c>
      <c r="AE23" s="295">
        <f>IFERROR(__xludf.DUMMYFUNCTION("""COMPUTED_VALUE"""),12993.0)</f>
        <v>12993</v>
      </c>
      <c r="AF23" s="295">
        <f>IFERROR(__xludf.DUMMYFUNCTION("""COMPUTED_VALUE"""),11962.76)</f>
        <v>11962.76</v>
      </c>
      <c r="AG23" s="295">
        <f>IFERROR(__xludf.DUMMYFUNCTION("""COMPUTED_VALUE"""),10950.400000000001)</f>
        <v>10950.4</v>
      </c>
      <c r="AH23" s="295">
        <f>IFERROR(__xludf.DUMMYFUNCTION("""COMPUTED_VALUE"""),9274.98)</f>
        <v>9274.98</v>
      </c>
      <c r="AI23" s="295">
        <f>IFERROR(__xludf.DUMMYFUNCTION("""COMPUTED_VALUE"""),7297.400000000001)</f>
        <v>7297.4</v>
      </c>
      <c r="AJ23" s="295">
        <f>IFERROR(__xludf.DUMMYFUNCTION("""COMPUTED_VALUE"""),5520.400000000001)</f>
        <v>5520.4</v>
      </c>
      <c r="AK23" s="295">
        <f>IFERROR(__xludf.DUMMYFUNCTION("""COMPUTED_VALUE"""),4716.95)</f>
        <v>4716.95</v>
      </c>
      <c r="AL23" s="295">
        <f>IFERROR(__xludf.DUMMYFUNCTION("""COMPUTED_VALUE"""),3346.0)</f>
        <v>3346</v>
      </c>
      <c r="AM23" s="295">
        <f>IFERROR(__xludf.DUMMYFUNCTION("""COMPUTED_VALUE"""),2614.5999999999995)</f>
        <v>2614.6</v>
      </c>
      <c r="AN23" s="295">
        <f>IFERROR(__xludf.DUMMYFUNCTION("""COMPUTED_VALUE"""),1947.6000000000004)</f>
        <v>1947.6</v>
      </c>
      <c r="AO23" s="295">
        <f>IFERROR(__xludf.DUMMYFUNCTION("""COMPUTED_VALUE"""),1232.7999999999997)</f>
        <v>1232.8</v>
      </c>
      <c r="AP23" s="295">
        <f>IFERROR(__xludf.DUMMYFUNCTION("""COMPUTED_VALUE"""),1149.0999999999997)</f>
        <v>1149.1</v>
      </c>
      <c r="AQ23" s="295">
        <f>IFERROR(__xludf.DUMMYFUNCTION("""COMPUTED_VALUE"""),1092.3999999999999)</f>
        <v>1092.4</v>
      </c>
      <c r="AR23" s="295">
        <f>IFERROR(__xludf.DUMMYFUNCTION("""COMPUTED_VALUE"""),0.0)</f>
        <v>0</v>
      </c>
      <c r="AS23" s="295">
        <f>IFERROR(__xludf.DUMMYFUNCTION("""COMPUTED_VALUE"""),0.0)</f>
        <v>0</v>
      </c>
      <c r="AT23" s="295">
        <f>IFERROR(__xludf.DUMMYFUNCTION("""COMPUTED_VALUE"""),0.0)</f>
        <v>0</v>
      </c>
      <c r="AU23" s="295">
        <f>IFERROR(__xludf.DUMMYFUNCTION("""COMPUTED_VALUE"""),0.0)</f>
        <v>0</v>
      </c>
      <c r="AV23" s="295">
        <f>IFERROR(__xludf.DUMMYFUNCTION("""COMPUTED_VALUE"""),0.0)</f>
        <v>0</v>
      </c>
      <c r="AW23" s="295">
        <f>IFERROR(__xludf.DUMMYFUNCTION("""COMPUTED_VALUE"""),0.0)</f>
        <v>0</v>
      </c>
      <c r="AX23" s="295">
        <f>IFERROR(__xludf.DUMMYFUNCTION("""COMPUTED_VALUE"""),0.0)</f>
        <v>0</v>
      </c>
      <c r="AY23" s="295">
        <f>IFERROR(__xludf.DUMMYFUNCTION("""COMPUTED_VALUE"""),0.0)</f>
        <v>0</v>
      </c>
      <c r="AZ23" s="295">
        <f>IFERROR(__xludf.DUMMYFUNCTION("""COMPUTED_VALUE"""),0.0)</f>
        <v>0</v>
      </c>
      <c r="BA23" s="295">
        <f>IFERROR(__xludf.DUMMYFUNCTION("""COMPUTED_VALUE"""),0.0)</f>
        <v>0</v>
      </c>
      <c r="BB23" s="295">
        <f>IFERROR(__xludf.DUMMYFUNCTION("""COMPUTED_VALUE"""),0.0)</f>
        <v>0</v>
      </c>
      <c r="BC23" s="295">
        <f>IFERROR(__xludf.DUMMYFUNCTION("""COMPUTED_VALUE"""),0.0)</f>
        <v>0</v>
      </c>
      <c r="BD23" s="295">
        <f>IFERROR(__xludf.DUMMYFUNCTION("""COMPUTED_VALUE"""),0.0)</f>
        <v>0</v>
      </c>
      <c r="BE23" s="295">
        <f>IFERROR(__xludf.DUMMYFUNCTION("""COMPUTED_VALUE"""),0.0)</f>
        <v>0</v>
      </c>
      <c r="BF23" s="295">
        <f>IFERROR(__xludf.DUMMYFUNCTION("""COMPUTED_VALUE"""),0.0)</f>
        <v>0</v>
      </c>
      <c r="BG23" s="295">
        <f>IFERROR(__xludf.DUMMYFUNCTION("""COMPUTED_VALUE"""),0.0)</f>
        <v>0</v>
      </c>
      <c r="BH23" s="295">
        <f>IFERROR(__xludf.DUMMYFUNCTION("""COMPUTED_VALUE"""),0.0)</f>
        <v>0</v>
      </c>
      <c r="BI23" s="295">
        <f>IFERROR(__xludf.DUMMYFUNCTION("""COMPUTED_VALUE"""),0.0)</f>
        <v>0</v>
      </c>
      <c r="BJ23" s="295">
        <f>IFERROR(__xludf.DUMMYFUNCTION("""COMPUTED_VALUE"""),0.0)</f>
        <v>0</v>
      </c>
      <c r="BK23" s="295">
        <f>IFERROR(__xludf.DUMMYFUNCTION("""COMPUTED_VALUE"""),0.0)</f>
        <v>0</v>
      </c>
      <c r="BL23" s="295">
        <f>IFERROR(__xludf.DUMMYFUNCTION("""COMPUTED_VALUE"""),0.0)</f>
        <v>0</v>
      </c>
      <c r="BM23" s="295">
        <f>IFERROR(__xludf.DUMMYFUNCTION("""COMPUTED_VALUE"""),0.0)</f>
        <v>0</v>
      </c>
      <c r="BN23" s="295">
        <f>IFERROR(__xludf.DUMMYFUNCTION("""COMPUTED_VALUE"""),0.0)</f>
        <v>0</v>
      </c>
    </row>
    <row r="24">
      <c r="A24" s="291" t="s">
        <v>42</v>
      </c>
      <c r="B24" s="293">
        <v>23838.430824</v>
      </c>
      <c r="C24" s="293">
        <v>27638.1308404</v>
      </c>
      <c r="D24" s="294">
        <f t="shared" si="1"/>
        <v>51476.56166</v>
      </c>
      <c r="E24" s="294">
        <v>19370.826800000003</v>
      </c>
      <c r="F24" s="293">
        <v>14045.042171999998</v>
      </c>
      <c r="G24" s="293">
        <v>12217.400800000003</v>
      </c>
      <c r="H24" s="294">
        <f t="shared" si="2"/>
        <v>26262.44297</v>
      </c>
      <c r="I24" s="293"/>
      <c r="J24" s="17"/>
      <c r="L24" s="292" t="str">
        <f>IFERROR(__xludf.DUMMYFUNCTION("""COMPUTED_VALUE"""),"Coman")</f>
        <v>Coman</v>
      </c>
      <c r="M24" s="292" t="str">
        <f>IFERROR(__xludf.DUMMYFUNCTION("""COMPUTED_VALUE"""),"Meals")</f>
        <v>Meals</v>
      </c>
      <c r="N24" s="295">
        <f>IFERROR(__xludf.DUMMYFUNCTION("""COMPUTED_VALUE"""),48475.50031957)</f>
        <v>48475.50032</v>
      </c>
      <c r="O24" s="295">
        <f>IFERROR(__xludf.DUMMYFUNCTION("""COMPUTED_VALUE"""),68247.61539694)</f>
        <v>68247.6154</v>
      </c>
      <c r="P24" s="295">
        <f>IFERROR(__xludf.DUMMYFUNCTION("""COMPUTED_VALUE"""),89441.72470904999)</f>
        <v>89441.72471</v>
      </c>
      <c r="Q24" s="295">
        <f>IFERROR(__xludf.DUMMYFUNCTION("""COMPUTED_VALUE"""),97679.73861046)</f>
        <v>97679.73861</v>
      </c>
      <c r="R24" s="295">
        <f>IFERROR(__xludf.DUMMYFUNCTION("""COMPUTED_VALUE"""),100285.29827809999)</f>
        <v>100285.2983</v>
      </c>
      <c r="S24" s="295">
        <f>IFERROR(__xludf.DUMMYFUNCTION("""COMPUTED_VALUE"""),108367.06259860001)</f>
        <v>108367.0626</v>
      </c>
      <c r="T24" s="295">
        <f>IFERROR(__xludf.DUMMYFUNCTION("""COMPUTED_VALUE"""),108483.42501447)</f>
        <v>108483.425</v>
      </c>
      <c r="U24" s="295">
        <f>IFERROR(__xludf.DUMMYFUNCTION("""COMPUTED_VALUE"""),107365.57103686)</f>
        <v>107365.571</v>
      </c>
      <c r="V24" s="295">
        <f>IFERROR(__xludf.DUMMYFUNCTION("""COMPUTED_VALUE"""),106969.0277161)</f>
        <v>106969.0277</v>
      </c>
      <c r="W24" s="295">
        <f>IFERROR(__xludf.DUMMYFUNCTION("""COMPUTED_VALUE"""),107209.40676629)</f>
        <v>107209.4068</v>
      </c>
      <c r="X24" s="295">
        <f>IFERROR(__xludf.DUMMYFUNCTION("""COMPUTED_VALUE"""),108523.88370491)</f>
        <v>108523.8837</v>
      </c>
      <c r="Y24" s="295">
        <f>IFERROR(__xludf.DUMMYFUNCTION("""COMPUTED_VALUE"""),105454.43533204998)</f>
        <v>105454.4353</v>
      </c>
      <c r="Z24" s="295">
        <f>IFERROR(__xludf.DUMMYFUNCTION("""COMPUTED_VALUE"""),97211.95491684)</f>
        <v>97211.95492</v>
      </c>
      <c r="AA24" s="295">
        <f>IFERROR(__xludf.DUMMYFUNCTION("""COMPUTED_VALUE"""),99777.5929436)</f>
        <v>99777.59294</v>
      </c>
      <c r="AB24" s="295">
        <f>IFERROR(__xludf.DUMMYFUNCTION("""COMPUTED_VALUE"""),89077.283405)</f>
        <v>89077.28341</v>
      </c>
      <c r="AC24" s="295">
        <f>IFERROR(__xludf.DUMMYFUNCTION("""COMPUTED_VALUE"""),93845.5177304)</f>
        <v>93845.51773</v>
      </c>
      <c r="AD24" s="295">
        <f>IFERROR(__xludf.DUMMYFUNCTION("""COMPUTED_VALUE"""),96400.23487779999)</f>
        <v>96400.23488</v>
      </c>
      <c r="AE24" s="295">
        <f>IFERROR(__xludf.DUMMYFUNCTION("""COMPUTED_VALUE"""),91473.93376120001)</f>
        <v>91473.93376</v>
      </c>
      <c r="AF24" s="295">
        <f>IFERROR(__xludf.DUMMYFUNCTION("""COMPUTED_VALUE"""),84238.92159338399)</f>
        <v>84238.92159</v>
      </c>
      <c r="AG24" s="295">
        <f>IFERROR(__xludf.DUMMYFUNCTION("""COMPUTED_VALUE"""),77056.46148768002)</f>
        <v>77056.46149</v>
      </c>
      <c r="AH24" s="295">
        <f>IFERROR(__xludf.DUMMYFUNCTION("""COMPUTED_VALUE"""),65278.87353237598)</f>
        <v>65278.87353</v>
      </c>
      <c r="AI24" s="295">
        <f>IFERROR(__xludf.DUMMYFUNCTION("""COMPUTED_VALUE"""),51318.683891750006)</f>
        <v>51318.68389</v>
      </c>
      <c r="AJ24" s="295">
        <f>IFERROR(__xludf.DUMMYFUNCTION("""COMPUTED_VALUE"""),38843.93257456)</f>
        <v>38843.93257</v>
      </c>
      <c r="AK24" s="295">
        <f>IFERROR(__xludf.DUMMYFUNCTION("""COMPUTED_VALUE"""),33169.59332694)</f>
        <v>33169.59333</v>
      </c>
      <c r="AL24" s="295">
        <f>IFERROR(__xludf.DUMMYFUNCTION("""COMPUTED_VALUE"""),23504.714747)</f>
        <v>23504.71475</v>
      </c>
      <c r="AM24" s="295">
        <f>IFERROR(__xludf.DUMMYFUNCTION("""COMPUTED_VALUE"""),18353.654806959996)</f>
        <v>18353.65481</v>
      </c>
      <c r="AN24" s="295">
        <f>IFERROR(__xludf.DUMMYFUNCTION("""COMPUTED_VALUE"""),13775.856853200004)</f>
        <v>13775.85685</v>
      </c>
      <c r="AO24" s="295">
        <f>IFERROR(__xludf.DUMMYFUNCTION("""COMPUTED_VALUE"""),8718.368775849996)</f>
        <v>8718.368776</v>
      </c>
      <c r="AP24" s="295">
        <f>IFERROR(__xludf.DUMMYFUNCTION("""COMPUTED_VALUE"""),8141.729016689998)</f>
        <v>8141.729017</v>
      </c>
      <c r="AQ24" s="295">
        <f>IFERROR(__xludf.DUMMYFUNCTION("""COMPUTED_VALUE"""),7733.132838499999)</f>
        <v>7733.132839</v>
      </c>
      <c r="AR24" s="295">
        <f>IFERROR(__xludf.DUMMYFUNCTION("""COMPUTED_VALUE"""),0.0)</f>
        <v>0</v>
      </c>
      <c r="AS24" s="295">
        <f>IFERROR(__xludf.DUMMYFUNCTION("""COMPUTED_VALUE"""),0.0)</f>
        <v>0</v>
      </c>
      <c r="AT24" s="295">
        <f>IFERROR(__xludf.DUMMYFUNCTION("""COMPUTED_VALUE"""),0.0)</f>
        <v>0</v>
      </c>
      <c r="AU24" s="295">
        <f>IFERROR(__xludf.DUMMYFUNCTION("""COMPUTED_VALUE"""),0.0)</f>
        <v>0</v>
      </c>
      <c r="AV24" s="295">
        <f>IFERROR(__xludf.DUMMYFUNCTION("""COMPUTED_VALUE"""),0.0)</f>
        <v>0</v>
      </c>
      <c r="AW24" s="295">
        <f>IFERROR(__xludf.DUMMYFUNCTION("""COMPUTED_VALUE"""),0.0)</f>
        <v>0</v>
      </c>
      <c r="AX24" s="295">
        <f>IFERROR(__xludf.DUMMYFUNCTION("""COMPUTED_VALUE"""),0.0)</f>
        <v>0</v>
      </c>
      <c r="AY24" s="295">
        <f>IFERROR(__xludf.DUMMYFUNCTION("""COMPUTED_VALUE"""),0.0)</f>
        <v>0</v>
      </c>
      <c r="AZ24" s="295">
        <f>IFERROR(__xludf.DUMMYFUNCTION("""COMPUTED_VALUE"""),0.0)</f>
        <v>0</v>
      </c>
      <c r="BA24" s="295">
        <f>IFERROR(__xludf.DUMMYFUNCTION("""COMPUTED_VALUE"""),0.0)</f>
        <v>0</v>
      </c>
      <c r="BB24" s="295">
        <f>IFERROR(__xludf.DUMMYFUNCTION("""COMPUTED_VALUE"""),0.0)</f>
        <v>0</v>
      </c>
      <c r="BC24" s="295">
        <f>IFERROR(__xludf.DUMMYFUNCTION("""COMPUTED_VALUE"""),0.0)</f>
        <v>0</v>
      </c>
      <c r="BD24" s="295">
        <f>IFERROR(__xludf.DUMMYFUNCTION("""COMPUTED_VALUE"""),0.0)</f>
        <v>0</v>
      </c>
      <c r="BE24" s="295">
        <f>IFERROR(__xludf.DUMMYFUNCTION("""COMPUTED_VALUE"""),0.0)</f>
        <v>0</v>
      </c>
      <c r="BF24" s="295">
        <f>IFERROR(__xludf.DUMMYFUNCTION("""COMPUTED_VALUE"""),0.0)</f>
        <v>0</v>
      </c>
      <c r="BG24" s="295">
        <f>IFERROR(__xludf.DUMMYFUNCTION("""COMPUTED_VALUE"""),0.0)</f>
        <v>0</v>
      </c>
      <c r="BH24" s="295">
        <f>IFERROR(__xludf.DUMMYFUNCTION("""COMPUTED_VALUE"""),0.0)</f>
        <v>0</v>
      </c>
      <c r="BI24" s="295">
        <f>IFERROR(__xludf.DUMMYFUNCTION("""COMPUTED_VALUE"""),0.0)</f>
        <v>0</v>
      </c>
      <c r="BJ24" s="295">
        <f>IFERROR(__xludf.DUMMYFUNCTION("""COMPUTED_VALUE"""),0.0)</f>
        <v>0</v>
      </c>
      <c r="BK24" s="295">
        <f>IFERROR(__xludf.DUMMYFUNCTION("""COMPUTED_VALUE"""),0.0)</f>
        <v>0</v>
      </c>
      <c r="BL24" s="295">
        <f>IFERROR(__xludf.DUMMYFUNCTION("""COMPUTED_VALUE"""),0.0)</f>
        <v>0</v>
      </c>
      <c r="BM24" s="295">
        <f>IFERROR(__xludf.DUMMYFUNCTION("""COMPUTED_VALUE"""),0.0)</f>
        <v>0</v>
      </c>
      <c r="BN24" s="295">
        <f>IFERROR(__xludf.DUMMYFUNCTION("""COMPUTED_VALUE"""),0.0)</f>
        <v>0</v>
      </c>
    </row>
    <row r="25">
      <c r="A25" s="291" t="s">
        <v>43</v>
      </c>
      <c r="B25" s="293">
        <v>23697.915463999998</v>
      </c>
      <c r="C25" s="293">
        <v>26751.8875244</v>
      </c>
      <c r="D25" s="294">
        <f t="shared" si="1"/>
        <v>50449.80299</v>
      </c>
      <c r="E25" s="294">
        <v>18381.542400000002</v>
      </c>
      <c r="F25" s="293">
        <v>13667.994059999999</v>
      </c>
      <c r="G25" s="293">
        <v>12270.927200000002</v>
      </c>
      <c r="H25" s="294">
        <f t="shared" si="2"/>
        <v>25938.92126</v>
      </c>
      <c r="I25" s="293"/>
      <c r="J25" s="17"/>
      <c r="L25" s="292"/>
      <c r="M25" s="292"/>
      <c r="N25" s="292"/>
      <c r="O25" s="292"/>
      <c r="P25" s="292"/>
      <c r="Q25" s="292"/>
      <c r="R25" s="292"/>
      <c r="S25" s="292"/>
      <c r="T25" s="292"/>
      <c r="U25" s="292"/>
      <c r="V25" s="292"/>
      <c r="W25" s="292"/>
      <c r="X25" s="292"/>
      <c r="Y25" s="292"/>
      <c r="Z25" s="292"/>
      <c r="AA25" s="292"/>
      <c r="AB25" s="292"/>
      <c r="AC25" s="292"/>
      <c r="AD25" s="292"/>
      <c r="AE25" s="292"/>
      <c r="AF25" s="292"/>
      <c r="AG25" s="292"/>
      <c r="AH25" s="292"/>
      <c r="AI25" s="292"/>
      <c r="AJ25" s="292"/>
      <c r="AK25" s="292"/>
      <c r="AL25" s="292"/>
      <c r="AM25" s="292"/>
      <c r="AN25" s="292"/>
      <c r="AO25" s="292"/>
      <c r="AP25" s="292"/>
      <c r="AQ25" s="292"/>
      <c r="AR25" s="292"/>
      <c r="AS25" s="292"/>
      <c r="AT25" s="292"/>
      <c r="AU25" s="292"/>
      <c r="AV25" s="292"/>
      <c r="AW25" s="292"/>
      <c r="AX25" s="292"/>
      <c r="AY25" s="292"/>
      <c r="AZ25" s="292"/>
      <c r="BA25" s="292"/>
      <c r="BB25" s="292"/>
      <c r="BC25" s="292"/>
      <c r="BD25" s="292"/>
      <c r="BE25" s="292"/>
      <c r="BF25" s="292"/>
      <c r="BG25" s="292"/>
      <c r="BH25" s="292"/>
      <c r="BI25" s="292"/>
      <c r="BJ25" s="292"/>
      <c r="BK25" s="292"/>
      <c r="BL25" s="292"/>
      <c r="BM25" s="292"/>
      <c r="BN25" s="292"/>
    </row>
    <row r="26">
      <c r="A26" s="291" t="s">
        <v>44</v>
      </c>
      <c r="B26" s="293">
        <v>23142.929202</v>
      </c>
      <c r="C26" s="293">
        <v>27416.654899000005</v>
      </c>
      <c r="D26" s="294">
        <f t="shared" si="1"/>
        <v>50559.5841</v>
      </c>
      <c r="E26" s="294">
        <v>18995.8561</v>
      </c>
      <c r="F26" s="293">
        <v>12560.485586999997</v>
      </c>
      <c r="G26" s="293">
        <v>11902.933200000001</v>
      </c>
      <c r="H26" s="294">
        <f t="shared" si="2"/>
        <v>24463.41879</v>
      </c>
      <c r="I26" s="293"/>
      <c r="J26" s="17"/>
      <c r="L26" s="292" t="str">
        <f>IFERROR(__xludf.DUMMYFUNCTION("""COMPUTED_VALUE"""),"Verden")</f>
        <v>Verden</v>
      </c>
      <c r="M26" s="292" t="str">
        <f>IFERROR(__xludf.DUMMYFUNCTION("""COMPUTED_VALUE"""),"Orders")</f>
        <v>Orders</v>
      </c>
      <c r="N26" s="295">
        <f>IFERROR(__xludf.DUMMYFUNCTION("""COMPUTED_VALUE"""),0.0)</f>
        <v>0</v>
      </c>
      <c r="O26" s="295">
        <f>IFERROR(__xludf.DUMMYFUNCTION("""COMPUTED_VALUE"""),0.0)</f>
        <v>0</v>
      </c>
      <c r="P26" s="295">
        <f>IFERROR(__xludf.DUMMYFUNCTION("""COMPUTED_VALUE"""),0.0)</f>
        <v>0</v>
      </c>
      <c r="Q26" s="295">
        <f>IFERROR(__xludf.DUMMYFUNCTION("""COMPUTED_VALUE"""),0.0)</f>
        <v>0</v>
      </c>
      <c r="R26" s="295">
        <f>IFERROR(__xludf.DUMMYFUNCTION("""COMPUTED_VALUE"""),0.0)</f>
        <v>0</v>
      </c>
      <c r="S26" s="295">
        <f>IFERROR(__xludf.DUMMYFUNCTION("""COMPUTED_VALUE"""),0.0)</f>
        <v>0</v>
      </c>
      <c r="T26" s="295">
        <f>IFERROR(__xludf.DUMMYFUNCTION("""COMPUTED_VALUE"""),0.0)</f>
        <v>0</v>
      </c>
      <c r="U26" s="295">
        <f>IFERROR(__xludf.DUMMYFUNCTION("""COMPUTED_VALUE"""),0.0)</f>
        <v>0</v>
      </c>
      <c r="V26" s="295">
        <f>IFERROR(__xludf.DUMMYFUNCTION("""COMPUTED_VALUE"""),0.0)</f>
        <v>0</v>
      </c>
      <c r="W26" s="295">
        <f>IFERROR(__xludf.DUMMYFUNCTION("""COMPUTED_VALUE"""),0.0)</f>
        <v>0</v>
      </c>
      <c r="X26" s="295">
        <f>IFERROR(__xludf.DUMMYFUNCTION("""COMPUTED_VALUE"""),0.0)</f>
        <v>0</v>
      </c>
      <c r="Y26" s="295">
        <f>IFERROR(__xludf.DUMMYFUNCTION("""COMPUTED_VALUE"""),0.0)</f>
        <v>0</v>
      </c>
      <c r="Z26" s="295">
        <f>IFERROR(__xludf.DUMMYFUNCTION("""COMPUTED_VALUE"""),0.0)</f>
        <v>0</v>
      </c>
      <c r="AA26" s="295">
        <f>IFERROR(__xludf.DUMMYFUNCTION("""COMPUTED_VALUE"""),0.0)</f>
        <v>0</v>
      </c>
      <c r="AB26" s="295">
        <f>IFERROR(__xludf.DUMMYFUNCTION("""COMPUTED_VALUE"""),0.0)</f>
        <v>0</v>
      </c>
      <c r="AC26" s="295">
        <f>IFERROR(__xludf.DUMMYFUNCTION("""COMPUTED_VALUE"""),0.0)</f>
        <v>0</v>
      </c>
      <c r="AD26" s="295">
        <f>IFERROR(__xludf.DUMMYFUNCTION("""COMPUTED_VALUE"""),0.0)</f>
        <v>0</v>
      </c>
      <c r="AE26" s="295">
        <f>IFERROR(__xludf.DUMMYFUNCTION("""COMPUTED_VALUE"""),0.0)</f>
        <v>0</v>
      </c>
      <c r="AF26" s="295">
        <f>IFERROR(__xludf.DUMMYFUNCTION("""COMPUTED_VALUE"""),1040.24)</f>
        <v>1040.24</v>
      </c>
      <c r="AG26" s="295">
        <f>IFERROR(__xludf.DUMMYFUNCTION("""COMPUTED_VALUE"""),2737.6000000000004)</f>
        <v>2737.6</v>
      </c>
      <c r="AH26" s="295">
        <f>IFERROR(__xludf.DUMMYFUNCTION("""COMPUTED_VALUE"""),4167.0199999999995)</f>
        <v>4167.02</v>
      </c>
      <c r="AI26" s="295">
        <f>IFERROR(__xludf.DUMMYFUNCTION("""COMPUTED_VALUE"""),5970.6)</f>
        <v>5970.6</v>
      </c>
      <c r="AJ26" s="295">
        <f>IFERROR(__xludf.DUMMYFUNCTION("""COMPUTED_VALUE"""),8280.6)</f>
        <v>8280.6</v>
      </c>
      <c r="AK26" s="295">
        <f>IFERROR(__xludf.DUMMYFUNCTION("""COMPUTED_VALUE"""),8760.050000000001)</f>
        <v>8760.05</v>
      </c>
      <c r="AL26" s="295">
        <f>IFERROR(__xludf.DUMMYFUNCTION("""COMPUTED_VALUE"""),10038.0)</f>
        <v>10038</v>
      </c>
      <c r="AM26" s="295">
        <f>IFERROR(__xludf.DUMMYFUNCTION("""COMPUTED_VALUE"""),10458.400000000001)</f>
        <v>10458.4</v>
      </c>
      <c r="AN26" s="295">
        <f>IFERROR(__xludf.DUMMYFUNCTION("""COMPUTED_VALUE"""),11036.4)</f>
        <v>11036.4</v>
      </c>
      <c r="AO26" s="295">
        <f>IFERROR(__xludf.DUMMYFUNCTION("""COMPUTED_VALUE"""),11095.2)</f>
        <v>11095.2</v>
      </c>
      <c r="AP26" s="295">
        <f>IFERROR(__xludf.DUMMYFUNCTION("""COMPUTED_VALUE"""),10341.9)</f>
        <v>10341.9</v>
      </c>
      <c r="AQ26" s="295">
        <f>IFERROR(__xludf.DUMMYFUNCTION("""COMPUTED_VALUE"""),9831.6)</f>
        <v>9831.6</v>
      </c>
      <c r="AR26" s="295">
        <f>IFERROR(__xludf.DUMMYFUNCTION("""COMPUTED_VALUE"""),10889.0)</f>
        <v>10889</v>
      </c>
      <c r="AS26" s="295">
        <f>IFERROR(__xludf.DUMMYFUNCTION("""COMPUTED_VALUE"""),11137.0)</f>
        <v>11137</v>
      </c>
      <c r="AT26" s="295">
        <f>IFERROR(__xludf.DUMMYFUNCTION("""COMPUTED_VALUE"""),11889.0)</f>
        <v>11889</v>
      </c>
      <c r="AU26" s="295">
        <f>IFERROR(__xludf.DUMMYFUNCTION("""COMPUTED_VALUE"""),13276.0)</f>
        <v>13276</v>
      </c>
      <c r="AV26" s="295">
        <f>IFERROR(__xludf.DUMMYFUNCTION("""COMPUTED_VALUE"""),13957.0)</f>
        <v>13957</v>
      </c>
      <c r="AW26" s="295">
        <f>IFERROR(__xludf.DUMMYFUNCTION("""COMPUTED_VALUE"""),14759.0)</f>
        <v>14759</v>
      </c>
      <c r="AX26" s="295">
        <f>IFERROR(__xludf.DUMMYFUNCTION("""COMPUTED_VALUE"""),16427.0)</f>
        <v>16427</v>
      </c>
      <c r="AY26" s="295">
        <f>IFERROR(__xludf.DUMMYFUNCTION("""COMPUTED_VALUE"""),18003.0)</f>
        <v>18003</v>
      </c>
      <c r="AZ26" s="295">
        <f>IFERROR(__xludf.DUMMYFUNCTION("""COMPUTED_VALUE"""),19220.0)</f>
        <v>19220</v>
      </c>
      <c r="BA26" s="295">
        <f>IFERROR(__xludf.DUMMYFUNCTION("""COMPUTED_VALUE"""),20491.0)</f>
        <v>20491</v>
      </c>
      <c r="BB26" s="295">
        <f>IFERROR(__xludf.DUMMYFUNCTION("""COMPUTED_VALUE"""),21079.0)</f>
        <v>21079</v>
      </c>
      <c r="BC26" s="295">
        <f>IFERROR(__xludf.DUMMYFUNCTION("""COMPUTED_VALUE"""),20241.0)</f>
        <v>20241</v>
      </c>
      <c r="BD26" s="295">
        <f>IFERROR(__xludf.DUMMYFUNCTION("""COMPUTED_VALUE"""),20406.0)</f>
        <v>20406</v>
      </c>
      <c r="BE26" s="295">
        <f>IFERROR(__xludf.DUMMYFUNCTION("""COMPUTED_VALUE"""),20106.0)</f>
        <v>20106</v>
      </c>
      <c r="BF26" s="295">
        <f>IFERROR(__xludf.DUMMYFUNCTION("""COMPUTED_VALUE"""),20985.0)</f>
        <v>20985</v>
      </c>
      <c r="BG26" s="295">
        <f>IFERROR(__xludf.DUMMYFUNCTION("""COMPUTED_VALUE"""),21041.0)</f>
        <v>21041</v>
      </c>
      <c r="BH26" s="295">
        <f>IFERROR(__xludf.DUMMYFUNCTION("""COMPUTED_VALUE"""),20423.0)</f>
        <v>20423</v>
      </c>
      <c r="BI26" s="295">
        <f>IFERROR(__xludf.DUMMYFUNCTION("""COMPUTED_VALUE"""),20595.0)</f>
        <v>20595</v>
      </c>
      <c r="BJ26" s="295">
        <f>IFERROR(__xludf.DUMMYFUNCTION("""COMPUTED_VALUE"""),20358.0)</f>
        <v>20358</v>
      </c>
      <c r="BK26" s="295">
        <f>IFERROR(__xludf.DUMMYFUNCTION("""COMPUTED_VALUE"""),18408.0)</f>
        <v>18408</v>
      </c>
      <c r="BL26" s="295">
        <f>IFERROR(__xludf.DUMMYFUNCTION("""COMPUTED_VALUE"""),16551.0)</f>
        <v>16551</v>
      </c>
      <c r="BM26" s="295">
        <f>IFERROR(__xludf.DUMMYFUNCTION("""COMPUTED_VALUE"""),10303.0)</f>
        <v>10303</v>
      </c>
      <c r="BN26" s="295">
        <f>IFERROR(__xludf.DUMMYFUNCTION("""COMPUTED_VALUE"""),12142.0)</f>
        <v>12142</v>
      </c>
    </row>
    <row r="27">
      <c r="A27" s="291" t="s">
        <v>45</v>
      </c>
      <c r="B27" s="293">
        <v>22019.684576</v>
      </c>
      <c r="C27" s="293">
        <v>27328.8565668</v>
      </c>
      <c r="D27" s="294">
        <f t="shared" si="1"/>
        <v>49348.54114</v>
      </c>
      <c r="E27" s="294">
        <v>18285.805200000003</v>
      </c>
      <c r="F27" s="293">
        <v>12498.278691999998</v>
      </c>
      <c r="G27" s="293">
        <v>11635.649000000001</v>
      </c>
      <c r="H27" s="294">
        <f t="shared" si="2"/>
        <v>24133.92769</v>
      </c>
      <c r="I27" s="293"/>
      <c r="J27" s="17"/>
      <c r="L27" s="292" t="str">
        <f>IFERROR(__xludf.DUMMYFUNCTION("""COMPUTED_VALUE"""),"Verden")</f>
        <v>Verden</v>
      </c>
      <c r="M27" s="292" t="str">
        <f>IFERROR(__xludf.DUMMYFUNCTION("""COMPUTED_VALUE"""),"Meals")</f>
        <v>Meals</v>
      </c>
      <c r="N27" s="295">
        <f>IFERROR(__xludf.DUMMYFUNCTION("""COMPUTED_VALUE"""),0.0)</f>
        <v>0</v>
      </c>
      <c r="O27" s="295">
        <f>IFERROR(__xludf.DUMMYFUNCTION("""COMPUTED_VALUE"""),0.0)</f>
        <v>0</v>
      </c>
      <c r="P27" s="295">
        <f>IFERROR(__xludf.DUMMYFUNCTION("""COMPUTED_VALUE"""),0.0)</f>
        <v>0</v>
      </c>
      <c r="Q27" s="295">
        <f>IFERROR(__xludf.DUMMYFUNCTION("""COMPUTED_VALUE"""),0.0)</f>
        <v>0</v>
      </c>
      <c r="R27" s="295">
        <f>IFERROR(__xludf.DUMMYFUNCTION("""COMPUTED_VALUE"""),0.0)</f>
        <v>0</v>
      </c>
      <c r="S27" s="295">
        <f>IFERROR(__xludf.DUMMYFUNCTION("""COMPUTED_VALUE"""),0.0)</f>
        <v>0</v>
      </c>
      <c r="T27" s="295">
        <f>IFERROR(__xludf.DUMMYFUNCTION("""COMPUTED_VALUE"""),0.0)</f>
        <v>0</v>
      </c>
      <c r="U27" s="295">
        <f>IFERROR(__xludf.DUMMYFUNCTION("""COMPUTED_VALUE"""),0.0)</f>
        <v>0</v>
      </c>
      <c r="V27" s="295">
        <f>IFERROR(__xludf.DUMMYFUNCTION("""COMPUTED_VALUE"""),0.0)</f>
        <v>0</v>
      </c>
      <c r="W27" s="295">
        <f>IFERROR(__xludf.DUMMYFUNCTION("""COMPUTED_VALUE"""),0.0)</f>
        <v>0</v>
      </c>
      <c r="X27" s="295">
        <f>IFERROR(__xludf.DUMMYFUNCTION("""COMPUTED_VALUE"""),0.0)</f>
        <v>0</v>
      </c>
      <c r="Y27" s="295">
        <f>IFERROR(__xludf.DUMMYFUNCTION("""COMPUTED_VALUE"""),0.0)</f>
        <v>0</v>
      </c>
      <c r="Z27" s="295">
        <f>IFERROR(__xludf.DUMMYFUNCTION("""COMPUTED_VALUE"""),0.0)</f>
        <v>0</v>
      </c>
      <c r="AA27" s="295">
        <f>IFERROR(__xludf.DUMMYFUNCTION("""COMPUTED_VALUE"""),0.0)</f>
        <v>0</v>
      </c>
      <c r="AB27" s="295">
        <f>IFERROR(__xludf.DUMMYFUNCTION("""COMPUTED_VALUE"""),0.0)</f>
        <v>0</v>
      </c>
      <c r="AC27" s="295">
        <f>IFERROR(__xludf.DUMMYFUNCTION("""COMPUTED_VALUE"""),0.0)</f>
        <v>0</v>
      </c>
      <c r="AD27" s="295">
        <f>IFERROR(__xludf.DUMMYFUNCTION("""COMPUTED_VALUE"""),0.0)</f>
        <v>0</v>
      </c>
      <c r="AE27" s="295">
        <f>IFERROR(__xludf.DUMMYFUNCTION("""COMPUTED_VALUE"""),0.0)</f>
        <v>0</v>
      </c>
      <c r="AF27" s="295">
        <f>IFERROR(__xludf.DUMMYFUNCTION("""COMPUTED_VALUE"""),7325.1236168159985)</f>
        <v>7325.123617</v>
      </c>
      <c r="AG27" s="295">
        <f>IFERROR(__xludf.DUMMYFUNCTION("""COMPUTED_VALUE"""),19264.115371920005)</f>
        <v>19264.11537</v>
      </c>
      <c r="AH27" s="295">
        <f>IFERROR(__xludf.DUMMYFUNCTION("""COMPUTED_VALUE"""),29328.189558023994)</f>
        <v>29328.18956</v>
      </c>
      <c r="AI27" s="295">
        <f>IFERROR(__xludf.DUMMYFUNCTION("""COMPUTED_VALUE"""),41988.01409325001)</f>
        <v>41988.01409</v>
      </c>
      <c r="AJ27" s="295">
        <f>IFERROR(__xludf.DUMMYFUNCTION("""COMPUTED_VALUE"""),58265.898861839996)</f>
        <v>58265.89886</v>
      </c>
      <c r="AK27" s="295">
        <f>IFERROR(__xludf.DUMMYFUNCTION("""COMPUTED_VALUE"""),61600.67332146001)</f>
        <v>61600.67332</v>
      </c>
      <c r="AL27" s="295">
        <f>IFERROR(__xludf.DUMMYFUNCTION("""COMPUTED_VALUE"""),70514.144241)</f>
        <v>70514.14424</v>
      </c>
      <c r="AM27" s="295">
        <f>IFERROR(__xludf.DUMMYFUNCTION("""COMPUTED_VALUE"""),73414.61922784001)</f>
        <v>73414.61923</v>
      </c>
      <c r="AN27" s="295">
        <f>IFERROR(__xludf.DUMMYFUNCTION("""COMPUTED_VALUE"""),78063.1888348)</f>
        <v>78063.18883</v>
      </c>
      <c r="AO27" s="295">
        <f>IFERROR(__xludf.DUMMYFUNCTION("""COMPUTED_VALUE"""),78465.31898264999)</f>
        <v>78465.31898</v>
      </c>
      <c r="AP27" s="295">
        <f>IFERROR(__xludf.DUMMYFUNCTION("""COMPUTED_VALUE"""),73275.56115021001)</f>
        <v>73275.56115</v>
      </c>
      <c r="AQ27" s="295">
        <f>IFERROR(__xludf.DUMMYFUNCTION("""COMPUTED_VALUE"""),69598.1955465)</f>
        <v>69598.19555</v>
      </c>
      <c r="AR27" s="295">
        <f>IFERROR(__xludf.DUMMYFUNCTION("""COMPUTED_VALUE"""),77290.84967740001)</f>
        <v>77290.84968</v>
      </c>
      <c r="AS27" s="295">
        <f>IFERROR(__xludf.DUMMYFUNCTION("""COMPUTED_VALUE"""),79262.828738)</f>
        <v>79262.82874</v>
      </c>
      <c r="AT27" s="295">
        <f>IFERROR(__xludf.DUMMYFUNCTION("""COMPUTED_VALUE"""),84794.2963968)</f>
        <v>84794.2964</v>
      </c>
      <c r="AU27" s="295">
        <f>IFERROR(__xludf.DUMMYFUNCTION("""COMPUTED_VALUE"""),94709.6833268)</f>
        <v>94709.68333</v>
      </c>
      <c r="AV27" s="295">
        <f>IFERROR(__xludf.DUMMYFUNCTION("""COMPUTED_VALUE"""),99479.9232632)</f>
        <v>99479.92326</v>
      </c>
      <c r="AW27" s="295">
        <f>IFERROR(__xludf.DUMMYFUNCTION("""COMPUTED_VALUE"""),105129.2207604)</f>
        <v>105129.2208</v>
      </c>
      <c r="AX27" s="295">
        <f>IFERROR(__xludf.DUMMYFUNCTION("""COMPUTED_VALUE"""),117041.42947280001)</f>
        <v>117041.4295</v>
      </c>
      <c r="AY27" s="295">
        <f>IFERROR(__xludf.DUMMYFUNCTION("""COMPUTED_VALUE"""),128475.8442)</f>
        <v>128475.8442</v>
      </c>
      <c r="AZ27" s="295">
        <f>IFERROR(__xludf.DUMMYFUNCTION("""COMPUTED_VALUE"""),137268.1357588)</f>
        <v>137268.1358</v>
      </c>
      <c r="BA27" s="295">
        <f>IFERROR(__xludf.DUMMYFUNCTION("""COMPUTED_VALUE"""),148374.09155080002)</f>
        <v>148374.0916</v>
      </c>
      <c r="BB27" s="295">
        <f>IFERROR(__xludf.DUMMYFUNCTION("""COMPUTED_VALUE"""),152892.82524200002)</f>
        <v>152892.8252</v>
      </c>
      <c r="BC27" s="295">
        <f>IFERROR(__xludf.DUMMYFUNCTION("""COMPUTED_VALUE"""),146998.3616252)</f>
        <v>146998.3616</v>
      </c>
      <c r="BD27" s="295">
        <f>IFERROR(__xludf.DUMMYFUNCTION("""COMPUTED_VALUE"""),148101.7233988)</f>
        <v>148101.7234</v>
      </c>
      <c r="BE27" s="295">
        <f>IFERROR(__xludf.DUMMYFUNCTION("""COMPUTED_VALUE"""),145999.283912)</f>
        <v>145999.2839</v>
      </c>
      <c r="BF27" s="295">
        <f>IFERROR(__xludf.DUMMYFUNCTION("""COMPUTED_VALUE"""),152122.9725524)</f>
        <v>152122.9726</v>
      </c>
      <c r="BG27" s="295">
        <f>IFERROR(__xludf.DUMMYFUNCTION("""COMPUTED_VALUE"""),152795.974938)</f>
        <v>152795.9749</v>
      </c>
      <c r="BH27" s="295">
        <f>IFERROR(__xludf.DUMMYFUNCTION("""COMPUTED_VALUE"""),148002.75420599998)</f>
        <v>148002.7542</v>
      </c>
      <c r="BI27" s="295">
        <f>IFERROR(__xludf.DUMMYFUNCTION("""COMPUTED_VALUE"""),149317.42434879998)</f>
        <v>149317.4243</v>
      </c>
      <c r="BJ27" s="295">
        <f>IFERROR(__xludf.DUMMYFUNCTION("""COMPUTED_VALUE"""),147621.1676664)</f>
        <v>147621.1677</v>
      </c>
      <c r="BK27" s="295">
        <f>IFERROR(__xludf.DUMMYFUNCTION("""COMPUTED_VALUE"""),133513.8387956)</f>
        <v>133513.8388</v>
      </c>
      <c r="BL27" s="295">
        <f>IFERROR(__xludf.DUMMYFUNCTION("""COMPUTED_VALUE"""),119937.979898)</f>
        <v>119937.9799</v>
      </c>
      <c r="BM27" s="295">
        <f>IFERROR(__xludf.DUMMYFUNCTION("""COMPUTED_VALUE"""),74599.90375920001)</f>
        <v>74599.90376</v>
      </c>
      <c r="BN27" s="295">
        <f>IFERROR(__xludf.DUMMYFUNCTION("""COMPUTED_VALUE"""),87702.5521768)</f>
        <v>87702.55218</v>
      </c>
    </row>
    <row r="28">
      <c r="A28" s="291" t="s">
        <v>47</v>
      </c>
      <c r="B28" s="293">
        <v>21147.868447999997</v>
      </c>
      <c r="C28" s="293">
        <v>27941.60994</v>
      </c>
      <c r="D28" s="294">
        <f t="shared" si="1"/>
        <v>49089.47839</v>
      </c>
      <c r="E28" s="294">
        <v>19262.64</v>
      </c>
      <c r="F28" s="293">
        <v>12332.3928</v>
      </c>
      <c r="G28" s="293">
        <v>11154.534500000002</v>
      </c>
      <c r="H28" s="294">
        <f t="shared" si="2"/>
        <v>23486.9273</v>
      </c>
      <c r="I28" s="293"/>
      <c r="J28" s="17"/>
      <c r="L28" s="292"/>
      <c r="M28" s="292"/>
      <c r="N28" s="292"/>
      <c r="O28" s="292"/>
      <c r="P28" s="292"/>
      <c r="Q28" s="292"/>
      <c r="R28" s="292"/>
      <c r="S28" s="292"/>
      <c r="T28" s="292"/>
      <c r="U28" s="292"/>
      <c r="V28" s="292"/>
      <c r="W28" s="292"/>
      <c r="X28" s="292"/>
      <c r="Y28" s="292"/>
      <c r="Z28" s="292"/>
      <c r="AA28" s="292"/>
      <c r="AB28" s="292"/>
      <c r="AC28" s="292"/>
      <c r="AD28" s="292"/>
      <c r="AE28" s="292"/>
      <c r="AF28" s="292"/>
      <c r="AG28" s="292"/>
      <c r="AH28" s="292"/>
      <c r="AI28" s="292"/>
      <c r="AJ28" s="292"/>
      <c r="AK28" s="292"/>
      <c r="AL28" s="292"/>
      <c r="AM28" s="292"/>
      <c r="AN28" s="292"/>
      <c r="AO28" s="292"/>
      <c r="AP28" s="292"/>
      <c r="AQ28" s="292"/>
      <c r="AR28" s="292"/>
      <c r="AS28" s="292"/>
      <c r="AT28" s="292"/>
      <c r="AU28" s="292"/>
      <c r="AV28" s="292"/>
      <c r="AW28" s="292"/>
      <c r="AX28" s="292"/>
      <c r="AY28" s="292"/>
      <c r="AZ28" s="292"/>
      <c r="BA28" s="292"/>
      <c r="BB28" s="292"/>
      <c r="BC28" s="292"/>
      <c r="BD28" s="292"/>
      <c r="BE28" s="292"/>
      <c r="BF28" s="292"/>
      <c r="BG28" s="292"/>
      <c r="BH28" s="292"/>
      <c r="BI28" s="292"/>
      <c r="BJ28" s="292"/>
      <c r="BK28" s="292"/>
      <c r="BL28" s="292"/>
      <c r="BM28" s="292"/>
      <c r="BN28" s="292"/>
    </row>
    <row r="29">
      <c r="A29" s="291" t="s">
        <v>48</v>
      </c>
      <c r="B29" s="293">
        <v>20068.145685</v>
      </c>
      <c r="C29" s="293">
        <v>26439.907189499998</v>
      </c>
      <c r="D29" s="294">
        <f t="shared" si="1"/>
        <v>46508.05287</v>
      </c>
      <c r="E29" s="294">
        <v>18427.9256</v>
      </c>
      <c r="F29" s="293">
        <v>11217.142883999997</v>
      </c>
      <c r="G29" s="293">
        <v>11030.566400000002</v>
      </c>
      <c r="H29" s="294">
        <f t="shared" si="2"/>
        <v>22247.70928</v>
      </c>
      <c r="I29" s="293"/>
      <c r="J29" s="17"/>
      <c r="L29" s="292" t="str">
        <f>IFERROR(__xludf.DUMMYFUNCTION("""COMPUTED_VALUE"""),"Orders breakdown")</f>
        <v>Orders breakdown</v>
      </c>
      <c r="M29" s="292"/>
      <c r="N29" s="292"/>
      <c r="O29" s="292"/>
      <c r="P29" s="292"/>
      <c r="Q29" s="292"/>
      <c r="R29" s="292"/>
      <c r="S29" s="292"/>
      <c r="T29" s="292"/>
      <c r="U29" s="292"/>
      <c r="V29" s="292"/>
      <c r="W29" s="292"/>
      <c r="X29" s="292"/>
      <c r="Y29" s="292"/>
      <c r="Z29" s="292"/>
      <c r="AA29" s="292"/>
      <c r="AB29" s="292"/>
      <c r="AC29" s="292"/>
      <c r="AD29" s="292"/>
      <c r="AE29" s="292"/>
      <c r="AF29" s="292"/>
      <c r="AG29" s="292"/>
      <c r="AH29" s="292"/>
      <c r="AI29" s="292"/>
      <c r="AJ29" s="292"/>
      <c r="AK29" s="292"/>
      <c r="AL29" s="292"/>
      <c r="AM29" s="292"/>
      <c r="AN29" s="292"/>
      <c r="AO29" s="292"/>
      <c r="AP29" s="292"/>
      <c r="AQ29" s="292"/>
      <c r="AR29" s="292"/>
      <c r="AS29" s="292"/>
      <c r="AT29" s="292"/>
      <c r="AU29" s="292"/>
      <c r="AV29" s="292"/>
      <c r="AW29" s="292"/>
      <c r="AX29" s="292"/>
      <c r="AY29" s="292"/>
      <c r="AZ29" s="292"/>
      <c r="BA29" s="292"/>
      <c r="BB29" s="292"/>
      <c r="BC29" s="292"/>
      <c r="BD29" s="292"/>
      <c r="BE29" s="292"/>
      <c r="BF29" s="292"/>
      <c r="BG29" s="292"/>
      <c r="BH29" s="292"/>
      <c r="BI29" s="292"/>
      <c r="BJ29" s="292"/>
      <c r="BK29" s="292"/>
      <c r="BL29" s="292"/>
      <c r="BM29" s="292"/>
      <c r="BN29" s="292"/>
    </row>
    <row r="30">
      <c r="A30" s="291" t="s">
        <v>49</v>
      </c>
      <c r="B30" s="293">
        <v>18423.8262</v>
      </c>
      <c r="C30" s="293">
        <v>24839.4400669</v>
      </c>
      <c r="D30" s="294">
        <f t="shared" si="1"/>
        <v>43263.26627</v>
      </c>
      <c r="E30" s="294">
        <v>17922.2813</v>
      </c>
      <c r="F30" s="293">
        <v>10456.4988</v>
      </c>
      <c r="G30" s="293">
        <v>9775.243800000002</v>
      </c>
      <c r="H30" s="294">
        <f t="shared" si="2"/>
        <v>20231.7426</v>
      </c>
      <c r="I30" s="293"/>
      <c r="J30" s="17"/>
      <c r="L30" s="292" t="str">
        <f>IFERROR(__xludf.DUMMYFUNCTION("""COMPUTED_VALUE"""),"BE")</f>
        <v>BE</v>
      </c>
      <c r="M30" s="292">
        <f>IFERROR(__xludf.DUMMYFUNCTION("""COMPUTED_VALUE"""),4.0)</f>
        <v>4</v>
      </c>
      <c r="N30" s="298">
        <f>IFERROR(__xludf.DUMMYFUNCTION("""COMPUTED_VALUE"""),0.40733198)</f>
        <v>0.40733198</v>
      </c>
      <c r="O30" s="298">
        <f>IFERROR(__xludf.DUMMYFUNCTION("""COMPUTED_VALUE"""),0.39756098)</f>
        <v>0.39756098</v>
      </c>
      <c r="P30" s="298">
        <f>IFERROR(__xludf.DUMMYFUNCTION("""COMPUTED_VALUE"""),0.38581081)</f>
        <v>0.38581081</v>
      </c>
      <c r="Q30" s="298">
        <f>IFERROR(__xludf.DUMMYFUNCTION("""COMPUTED_VALUE"""),0.3768546)</f>
        <v>0.3768546</v>
      </c>
      <c r="R30" s="298">
        <f>IFERROR(__xludf.DUMMYFUNCTION("""COMPUTED_VALUE"""),0.36587838)</f>
        <v>0.36587838</v>
      </c>
      <c r="S30" s="298">
        <f>IFERROR(__xludf.DUMMYFUNCTION("""COMPUTED_VALUE"""),0.35468645)</f>
        <v>0.35468645</v>
      </c>
      <c r="T30" s="298">
        <f>IFERROR(__xludf.DUMMYFUNCTION("""COMPUTED_VALUE"""),0.34434783)</f>
        <v>0.34434783</v>
      </c>
      <c r="U30" s="298">
        <f>IFERROR(__xludf.DUMMYFUNCTION("""COMPUTED_VALUE"""),0.33474301)</f>
        <v>0.33474301</v>
      </c>
      <c r="V30" s="298">
        <f>IFERROR(__xludf.DUMMYFUNCTION("""COMPUTED_VALUE"""),0.32481991)</f>
        <v>0.32481991</v>
      </c>
      <c r="W30" s="298">
        <f>IFERROR(__xludf.DUMMYFUNCTION("""COMPUTED_VALUE"""),0.3147745)</f>
        <v>0.3147745</v>
      </c>
      <c r="X30" s="298">
        <f>IFERROR(__xludf.DUMMYFUNCTION("""COMPUTED_VALUE"""),0.30548926)</f>
        <v>0.30548926</v>
      </c>
      <c r="Y30" s="298">
        <f>IFERROR(__xludf.DUMMYFUNCTION("""COMPUTED_VALUE"""),0.29551167)</f>
        <v>0.29551167</v>
      </c>
      <c r="Z30" s="298">
        <f>IFERROR(__xludf.DUMMYFUNCTION("""COMPUTED_VALUE"""),0.28613678)</f>
        <v>0.28613678</v>
      </c>
      <c r="AA30" s="298">
        <f>IFERROR(__xludf.DUMMYFUNCTION("""COMPUTED_VALUE"""),0.4100307)</f>
        <v>0.4100307</v>
      </c>
      <c r="AB30" s="298">
        <f>IFERROR(__xludf.DUMMYFUNCTION("""COMPUTED_VALUE"""),0.4100307)</f>
        <v>0.4100307</v>
      </c>
      <c r="AC30" s="298">
        <f>IFERROR(__xludf.DUMMYFUNCTION("""COMPUTED_VALUE"""),0.4100307)</f>
        <v>0.4100307</v>
      </c>
      <c r="AD30" s="298">
        <f>IFERROR(__xludf.DUMMYFUNCTION("""COMPUTED_VALUE"""),0.4100307)</f>
        <v>0.4100307</v>
      </c>
      <c r="AE30" s="298">
        <f>IFERROR(__xludf.DUMMYFUNCTION("""COMPUTED_VALUE"""),0.4100307)</f>
        <v>0.4100307</v>
      </c>
      <c r="AF30" s="298">
        <f>IFERROR(__xludf.DUMMYFUNCTION("""COMPUTED_VALUE"""),0.4100307)</f>
        <v>0.4100307</v>
      </c>
      <c r="AG30" s="298">
        <f>IFERROR(__xludf.DUMMYFUNCTION("""COMPUTED_VALUE"""),0.4100307)</f>
        <v>0.4100307</v>
      </c>
      <c r="AH30" s="298">
        <f>IFERROR(__xludf.DUMMYFUNCTION("""COMPUTED_VALUE"""),0.4100307)</f>
        <v>0.4100307</v>
      </c>
      <c r="AI30" s="298">
        <f>IFERROR(__xludf.DUMMYFUNCTION("""COMPUTED_VALUE"""),0.4100307)</f>
        <v>0.4100307</v>
      </c>
      <c r="AJ30" s="298">
        <f>IFERROR(__xludf.DUMMYFUNCTION("""COMPUTED_VALUE"""),0.4100307)</f>
        <v>0.4100307</v>
      </c>
      <c r="AK30" s="298">
        <f>IFERROR(__xludf.DUMMYFUNCTION("""COMPUTED_VALUE"""),0.4100307)</f>
        <v>0.4100307</v>
      </c>
      <c r="AL30" s="298">
        <f>IFERROR(__xludf.DUMMYFUNCTION("""COMPUTED_VALUE"""),0.4100307)</f>
        <v>0.4100307</v>
      </c>
      <c r="AM30" s="298">
        <f>IFERROR(__xludf.DUMMYFUNCTION("""COMPUTED_VALUE"""),0.4100307)</f>
        <v>0.4100307</v>
      </c>
      <c r="AN30" s="298">
        <f>IFERROR(__xludf.DUMMYFUNCTION("""COMPUTED_VALUE"""),0.4100307)</f>
        <v>0.4100307</v>
      </c>
      <c r="AO30" s="298">
        <f>IFERROR(__xludf.DUMMYFUNCTION("""COMPUTED_VALUE"""),0.4100307)</f>
        <v>0.4100307</v>
      </c>
      <c r="AP30" s="298">
        <f>IFERROR(__xludf.DUMMYFUNCTION("""COMPUTED_VALUE"""),0.4100307)</f>
        <v>0.4100307</v>
      </c>
      <c r="AQ30" s="298">
        <f>IFERROR(__xludf.DUMMYFUNCTION("""COMPUTED_VALUE"""),0.4100307)</f>
        <v>0.4100307</v>
      </c>
      <c r="AR30" s="298">
        <f>IFERROR(__xludf.DUMMYFUNCTION("""COMPUTED_VALUE"""),0.4100307)</f>
        <v>0.4100307</v>
      </c>
      <c r="AS30" s="298">
        <f>IFERROR(__xludf.DUMMYFUNCTION("""COMPUTED_VALUE"""),0.4100307)</f>
        <v>0.4100307</v>
      </c>
      <c r="AT30" s="298">
        <f>IFERROR(__xludf.DUMMYFUNCTION("""COMPUTED_VALUE"""),0.4100307)</f>
        <v>0.4100307</v>
      </c>
      <c r="AU30" s="298">
        <f>IFERROR(__xludf.DUMMYFUNCTION("""COMPUTED_VALUE"""),0.4100307)</f>
        <v>0.4100307</v>
      </c>
      <c r="AV30" s="298">
        <f>IFERROR(__xludf.DUMMYFUNCTION("""COMPUTED_VALUE"""),0.4100307)</f>
        <v>0.4100307</v>
      </c>
      <c r="AW30" s="298">
        <f>IFERROR(__xludf.DUMMYFUNCTION("""COMPUTED_VALUE"""),0.4100307)</f>
        <v>0.4100307</v>
      </c>
      <c r="AX30" s="298">
        <f>IFERROR(__xludf.DUMMYFUNCTION("""COMPUTED_VALUE"""),0.4100307)</f>
        <v>0.4100307</v>
      </c>
      <c r="AY30" s="298">
        <f>IFERROR(__xludf.DUMMYFUNCTION("""COMPUTED_VALUE"""),0.4100307)</f>
        <v>0.4100307</v>
      </c>
      <c r="AZ30" s="298">
        <f>IFERROR(__xludf.DUMMYFUNCTION("""COMPUTED_VALUE"""),0.4100307)</f>
        <v>0.4100307</v>
      </c>
      <c r="BA30" s="298">
        <f>IFERROR(__xludf.DUMMYFUNCTION("""COMPUTED_VALUE"""),0.4100307)</f>
        <v>0.4100307</v>
      </c>
      <c r="BB30" s="298">
        <f>IFERROR(__xludf.DUMMYFUNCTION("""COMPUTED_VALUE"""),0.4100307)</f>
        <v>0.4100307</v>
      </c>
      <c r="BC30" s="298">
        <f>IFERROR(__xludf.DUMMYFUNCTION("""COMPUTED_VALUE"""),0.4100307)</f>
        <v>0.4100307</v>
      </c>
      <c r="BD30" s="298">
        <f>IFERROR(__xludf.DUMMYFUNCTION("""COMPUTED_VALUE"""),0.4100307)</f>
        <v>0.4100307</v>
      </c>
      <c r="BE30" s="298">
        <f>IFERROR(__xludf.DUMMYFUNCTION("""COMPUTED_VALUE"""),0.4100307)</f>
        <v>0.4100307</v>
      </c>
      <c r="BF30" s="298">
        <f>IFERROR(__xludf.DUMMYFUNCTION("""COMPUTED_VALUE"""),0.4100307)</f>
        <v>0.4100307</v>
      </c>
      <c r="BG30" s="298">
        <f>IFERROR(__xludf.DUMMYFUNCTION("""COMPUTED_VALUE"""),0.4100307)</f>
        <v>0.4100307</v>
      </c>
      <c r="BH30" s="298">
        <f>IFERROR(__xludf.DUMMYFUNCTION("""COMPUTED_VALUE"""),0.4100307)</f>
        <v>0.4100307</v>
      </c>
      <c r="BI30" s="298">
        <f>IFERROR(__xludf.DUMMYFUNCTION("""COMPUTED_VALUE"""),0.4100307)</f>
        <v>0.4100307</v>
      </c>
      <c r="BJ30" s="298">
        <f>IFERROR(__xludf.DUMMYFUNCTION("""COMPUTED_VALUE"""),0.4100307)</f>
        <v>0.4100307</v>
      </c>
      <c r="BK30" s="298">
        <f>IFERROR(__xludf.DUMMYFUNCTION("""COMPUTED_VALUE"""),0.4100307)</f>
        <v>0.4100307</v>
      </c>
      <c r="BL30" s="298">
        <f>IFERROR(__xludf.DUMMYFUNCTION("""COMPUTED_VALUE"""),0.4100307)</f>
        <v>0.4100307</v>
      </c>
      <c r="BM30" s="298">
        <f>IFERROR(__xludf.DUMMYFUNCTION("""COMPUTED_VALUE"""),0.4100307)</f>
        <v>0.4100307</v>
      </c>
      <c r="BN30" s="298">
        <f>IFERROR(__xludf.DUMMYFUNCTION("""COMPUTED_VALUE"""),0.4100307)</f>
        <v>0.4100307</v>
      </c>
    </row>
    <row r="31">
      <c r="A31" s="291" t="s">
        <v>50</v>
      </c>
      <c r="B31" s="293">
        <v>16560.583531</v>
      </c>
      <c r="C31" s="293">
        <v>24720.132629</v>
      </c>
      <c r="D31" s="294">
        <f t="shared" si="1"/>
        <v>41280.71616</v>
      </c>
      <c r="E31" s="294">
        <v>16501.6616</v>
      </c>
      <c r="F31" s="293">
        <v>10123.493624999997</v>
      </c>
      <c r="G31" s="293">
        <v>9425.457</v>
      </c>
      <c r="H31" s="294">
        <f t="shared" si="2"/>
        <v>19548.95063</v>
      </c>
      <c r="I31" s="293"/>
      <c r="J31" s="17"/>
      <c r="L31" s="292"/>
      <c r="M31" s="292">
        <f>IFERROR(__xludf.DUMMYFUNCTION("""COMPUTED_VALUE"""),5.0)</f>
        <v>5</v>
      </c>
      <c r="N31" s="298">
        <f>IFERROR(__xludf.DUMMYFUNCTION("""COMPUTED_VALUE"""),0.01323829)</f>
        <v>0.01323829</v>
      </c>
      <c r="O31" s="298">
        <f>IFERROR(__xludf.DUMMYFUNCTION("""COMPUTED_VALUE"""),0.01463415)</f>
        <v>0.01463415</v>
      </c>
      <c r="P31" s="298">
        <f>IFERROR(__xludf.DUMMYFUNCTION("""COMPUTED_VALUE"""),0.01554054)</f>
        <v>0.01554054</v>
      </c>
      <c r="Q31" s="298">
        <f>IFERROR(__xludf.DUMMYFUNCTION("""COMPUTED_VALUE"""),0.0148368)</f>
        <v>0.0148368</v>
      </c>
      <c r="R31" s="298">
        <f>IFERROR(__xludf.DUMMYFUNCTION("""COMPUTED_VALUE"""),0.0152027)</f>
        <v>0.0152027</v>
      </c>
      <c r="S31" s="298">
        <f>IFERROR(__xludf.DUMMYFUNCTION("""COMPUTED_VALUE"""),0.0155091)</f>
        <v>0.0155091</v>
      </c>
      <c r="T31" s="298">
        <f>IFERROR(__xludf.DUMMYFUNCTION("""COMPUTED_VALUE"""),0.01530435)</f>
        <v>0.01530435</v>
      </c>
      <c r="U31" s="298">
        <f>IFERROR(__xludf.DUMMYFUNCTION("""COMPUTED_VALUE"""),0.01528953)</f>
        <v>0.01528953</v>
      </c>
      <c r="V31" s="298">
        <f>IFERROR(__xludf.DUMMYFUNCTION("""COMPUTED_VALUE"""),0.01473477)</f>
        <v>0.01473477</v>
      </c>
      <c r="W31" s="298">
        <f>IFERROR(__xludf.DUMMYFUNCTION("""COMPUTED_VALUE"""),0.01524106)</f>
        <v>0.01524106</v>
      </c>
      <c r="X31" s="298">
        <f>IFERROR(__xludf.DUMMYFUNCTION("""COMPUTED_VALUE"""),0.01500171)</f>
        <v>0.01500171</v>
      </c>
      <c r="Y31" s="298">
        <f>IFERROR(__xludf.DUMMYFUNCTION("""COMPUTED_VALUE"""),0.01508079)</f>
        <v>0.01508079</v>
      </c>
      <c r="Z31" s="298">
        <f>IFERROR(__xludf.DUMMYFUNCTION("""COMPUTED_VALUE"""),0.01515712)</f>
        <v>0.01515712</v>
      </c>
      <c r="AA31" s="298">
        <f>IFERROR(__xludf.DUMMYFUNCTION("""COMPUTED_VALUE"""),0.0190774)</f>
        <v>0.0190774</v>
      </c>
      <c r="AB31" s="298">
        <f>IFERROR(__xludf.DUMMYFUNCTION("""COMPUTED_VALUE"""),0.0190774)</f>
        <v>0.0190774</v>
      </c>
      <c r="AC31" s="298">
        <f>IFERROR(__xludf.DUMMYFUNCTION("""COMPUTED_VALUE"""),0.0190774)</f>
        <v>0.0190774</v>
      </c>
      <c r="AD31" s="298">
        <f>IFERROR(__xludf.DUMMYFUNCTION("""COMPUTED_VALUE"""),0.0190774)</f>
        <v>0.0190774</v>
      </c>
      <c r="AE31" s="298">
        <f>IFERROR(__xludf.DUMMYFUNCTION("""COMPUTED_VALUE"""),0.0190774)</f>
        <v>0.0190774</v>
      </c>
      <c r="AF31" s="298">
        <f>IFERROR(__xludf.DUMMYFUNCTION("""COMPUTED_VALUE"""),0.0190774)</f>
        <v>0.0190774</v>
      </c>
      <c r="AG31" s="298">
        <f>IFERROR(__xludf.DUMMYFUNCTION("""COMPUTED_VALUE"""),0.0190774)</f>
        <v>0.0190774</v>
      </c>
      <c r="AH31" s="298">
        <f>IFERROR(__xludf.DUMMYFUNCTION("""COMPUTED_VALUE"""),0.0190774)</f>
        <v>0.0190774</v>
      </c>
      <c r="AI31" s="298">
        <f>IFERROR(__xludf.DUMMYFUNCTION("""COMPUTED_VALUE"""),0.0190774)</f>
        <v>0.0190774</v>
      </c>
      <c r="AJ31" s="298">
        <f>IFERROR(__xludf.DUMMYFUNCTION("""COMPUTED_VALUE"""),0.0190774)</f>
        <v>0.0190774</v>
      </c>
      <c r="AK31" s="298">
        <f>IFERROR(__xludf.DUMMYFUNCTION("""COMPUTED_VALUE"""),0.0190774)</f>
        <v>0.0190774</v>
      </c>
      <c r="AL31" s="298">
        <f>IFERROR(__xludf.DUMMYFUNCTION("""COMPUTED_VALUE"""),0.0190774)</f>
        <v>0.0190774</v>
      </c>
      <c r="AM31" s="298">
        <f>IFERROR(__xludf.DUMMYFUNCTION("""COMPUTED_VALUE"""),0.0190774)</f>
        <v>0.0190774</v>
      </c>
      <c r="AN31" s="298">
        <f>IFERROR(__xludf.DUMMYFUNCTION("""COMPUTED_VALUE"""),0.0190774)</f>
        <v>0.0190774</v>
      </c>
      <c r="AO31" s="298">
        <f>IFERROR(__xludf.DUMMYFUNCTION("""COMPUTED_VALUE"""),0.0190774)</f>
        <v>0.0190774</v>
      </c>
      <c r="AP31" s="298">
        <f>IFERROR(__xludf.DUMMYFUNCTION("""COMPUTED_VALUE"""),0.0190774)</f>
        <v>0.0190774</v>
      </c>
      <c r="AQ31" s="298">
        <f>IFERROR(__xludf.DUMMYFUNCTION("""COMPUTED_VALUE"""),0.0190774)</f>
        <v>0.0190774</v>
      </c>
      <c r="AR31" s="298">
        <f>IFERROR(__xludf.DUMMYFUNCTION("""COMPUTED_VALUE"""),0.0190774)</f>
        <v>0.0190774</v>
      </c>
      <c r="AS31" s="298">
        <f>IFERROR(__xludf.DUMMYFUNCTION("""COMPUTED_VALUE"""),0.0190774)</f>
        <v>0.0190774</v>
      </c>
      <c r="AT31" s="298">
        <f>IFERROR(__xludf.DUMMYFUNCTION("""COMPUTED_VALUE"""),0.0190774)</f>
        <v>0.0190774</v>
      </c>
      <c r="AU31" s="298">
        <f>IFERROR(__xludf.DUMMYFUNCTION("""COMPUTED_VALUE"""),0.0190774)</f>
        <v>0.0190774</v>
      </c>
      <c r="AV31" s="298">
        <f>IFERROR(__xludf.DUMMYFUNCTION("""COMPUTED_VALUE"""),0.0190774)</f>
        <v>0.0190774</v>
      </c>
      <c r="AW31" s="298">
        <f>IFERROR(__xludf.DUMMYFUNCTION("""COMPUTED_VALUE"""),0.0190774)</f>
        <v>0.0190774</v>
      </c>
      <c r="AX31" s="298">
        <f>IFERROR(__xludf.DUMMYFUNCTION("""COMPUTED_VALUE"""),0.0190774)</f>
        <v>0.0190774</v>
      </c>
      <c r="AY31" s="298">
        <f>IFERROR(__xludf.DUMMYFUNCTION("""COMPUTED_VALUE"""),0.0190774)</f>
        <v>0.0190774</v>
      </c>
      <c r="AZ31" s="298">
        <f>IFERROR(__xludf.DUMMYFUNCTION("""COMPUTED_VALUE"""),0.0190774)</f>
        <v>0.0190774</v>
      </c>
      <c r="BA31" s="298">
        <f>IFERROR(__xludf.DUMMYFUNCTION("""COMPUTED_VALUE"""),0.0190774)</f>
        <v>0.0190774</v>
      </c>
      <c r="BB31" s="298">
        <f>IFERROR(__xludf.DUMMYFUNCTION("""COMPUTED_VALUE"""),0.0190774)</f>
        <v>0.0190774</v>
      </c>
      <c r="BC31" s="298">
        <f>IFERROR(__xludf.DUMMYFUNCTION("""COMPUTED_VALUE"""),0.0190774)</f>
        <v>0.0190774</v>
      </c>
      <c r="BD31" s="298">
        <f>IFERROR(__xludf.DUMMYFUNCTION("""COMPUTED_VALUE"""),0.0190774)</f>
        <v>0.0190774</v>
      </c>
      <c r="BE31" s="298">
        <f>IFERROR(__xludf.DUMMYFUNCTION("""COMPUTED_VALUE"""),0.0190774)</f>
        <v>0.0190774</v>
      </c>
      <c r="BF31" s="298">
        <f>IFERROR(__xludf.DUMMYFUNCTION("""COMPUTED_VALUE"""),0.0190774)</f>
        <v>0.0190774</v>
      </c>
      <c r="BG31" s="298">
        <f>IFERROR(__xludf.DUMMYFUNCTION("""COMPUTED_VALUE"""),0.0190774)</f>
        <v>0.0190774</v>
      </c>
      <c r="BH31" s="298">
        <f>IFERROR(__xludf.DUMMYFUNCTION("""COMPUTED_VALUE"""),0.0190774)</f>
        <v>0.0190774</v>
      </c>
      <c r="BI31" s="298">
        <f>IFERROR(__xludf.DUMMYFUNCTION("""COMPUTED_VALUE"""),0.0190774)</f>
        <v>0.0190774</v>
      </c>
      <c r="BJ31" s="298">
        <f>IFERROR(__xludf.DUMMYFUNCTION("""COMPUTED_VALUE"""),0.0190774)</f>
        <v>0.0190774</v>
      </c>
      <c r="BK31" s="298">
        <f>IFERROR(__xludf.DUMMYFUNCTION("""COMPUTED_VALUE"""),0.0190774)</f>
        <v>0.0190774</v>
      </c>
      <c r="BL31" s="298">
        <f>IFERROR(__xludf.DUMMYFUNCTION("""COMPUTED_VALUE"""),0.0190774)</f>
        <v>0.0190774</v>
      </c>
      <c r="BM31" s="298">
        <f>IFERROR(__xludf.DUMMYFUNCTION("""COMPUTED_VALUE"""),0.0190774)</f>
        <v>0.0190774</v>
      </c>
      <c r="BN31" s="298">
        <f>IFERROR(__xludf.DUMMYFUNCTION("""COMPUTED_VALUE"""),0.0190774)</f>
        <v>0.0190774</v>
      </c>
    </row>
    <row r="32">
      <c r="A32" s="291" t="s">
        <v>51</v>
      </c>
      <c r="B32" s="293">
        <v>16534.871892</v>
      </c>
      <c r="C32" s="293">
        <v>24374.579252400003</v>
      </c>
      <c r="D32" s="294">
        <f t="shared" si="1"/>
        <v>40909.45114</v>
      </c>
      <c r="E32" s="294">
        <v>16429.4267</v>
      </c>
      <c r="F32" s="293">
        <v>10537.127432999998</v>
      </c>
      <c r="G32" s="293">
        <v>9414.844400000002</v>
      </c>
      <c r="H32" s="294">
        <f t="shared" si="2"/>
        <v>19951.97183</v>
      </c>
      <c r="I32" s="293"/>
      <c r="J32" s="17"/>
      <c r="L32" s="292"/>
      <c r="M32" s="292">
        <f>IFERROR(__xludf.DUMMYFUNCTION("""COMPUTED_VALUE"""),6.0)</f>
        <v>6</v>
      </c>
      <c r="N32" s="298">
        <f>IFERROR(__xludf.DUMMYFUNCTION("""COMPUTED_VALUE"""),0.29633401)</f>
        <v>0.29633401</v>
      </c>
      <c r="O32" s="298">
        <f>IFERROR(__xludf.DUMMYFUNCTION("""COMPUTED_VALUE"""),0.3087108)</f>
        <v>0.3087108</v>
      </c>
      <c r="P32" s="298">
        <f>IFERROR(__xludf.DUMMYFUNCTION("""COMPUTED_VALUE"""),0.31858108)</f>
        <v>0.31858108</v>
      </c>
      <c r="Q32" s="298">
        <f>IFERROR(__xludf.DUMMYFUNCTION("""COMPUTED_VALUE"""),0.32937686)</f>
        <v>0.32937686</v>
      </c>
      <c r="R32" s="298">
        <f>IFERROR(__xludf.DUMMYFUNCTION("""COMPUTED_VALUE"""),0.33952703)</f>
        <v>0.33952703</v>
      </c>
      <c r="S32" s="298">
        <f>IFERROR(__xludf.DUMMYFUNCTION("""COMPUTED_VALUE"""),0.34895482)</f>
        <v>0.34895482</v>
      </c>
      <c r="T32" s="298">
        <f>IFERROR(__xludf.DUMMYFUNCTION("""COMPUTED_VALUE"""),0.35895652)</f>
        <v>0.35895652</v>
      </c>
      <c r="U32" s="298">
        <f>IFERROR(__xludf.DUMMYFUNCTION("""COMPUTED_VALUE"""),0.37020169)</f>
        <v>0.37020169</v>
      </c>
      <c r="V32" s="298">
        <f>IFERROR(__xludf.DUMMYFUNCTION("""COMPUTED_VALUE"""),0.38113949)</f>
        <v>0.38113949</v>
      </c>
      <c r="W32" s="298">
        <f>IFERROR(__xludf.DUMMYFUNCTION("""COMPUTED_VALUE"""),0.39129082)</f>
        <v>0.39129082</v>
      </c>
      <c r="X32" s="298">
        <f>IFERROR(__xludf.DUMMYFUNCTION("""COMPUTED_VALUE"""),0.40300034)</f>
        <v>0.40300034</v>
      </c>
      <c r="Y32" s="298">
        <f>IFERROR(__xludf.DUMMYFUNCTION("""COMPUTED_VALUE"""),0.41472172)</f>
        <v>0.41472172</v>
      </c>
      <c r="Z32" s="298">
        <f>IFERROR(__xludf.DUMMYFUNCTION("""COMPUTED_VALUE"""),0.42550832)</f>
        <v>0.42550832</v>
      </c>
      <c r="AA32" s="298">
        <f>IFERROR(__xludf.DUMMYFUNCTION("""COMPUTED_VALUE"""),0.2715044)</f>
        <v>0.2715044</v>
      </c>
      <c r="AB32" s="298">
        <f>IFERROR(__xludf.DUMMYFUNCTION("""COMPUTED_VALUE"""),0.2715044)</f>
        <v>0.2715044</v>
      </c>
      <c r="AC32" s="298">
        <f>IFERROR(__xludf.DUMMYFUNCTION("""COMPUTED_VALUE"""),0.2715044)</f>
        <v>0.2715044</v>
      </c>
      <c r="AD32" s="298">
        <f>IFERROR(__xludf.DUMMYFUNCTION("""COMPUTED_VALUE"""),0.2715044)</f>
        <v>0.2715044</v>
      </c>
      <c r="AE32" s="298">
        <f>IFERROR(__xludf.DUMMYFUNCTION("""COMPUTED_VALUE"""),0.2715044)</f>
        <v>0.2715044</v>
      </c>
      <c r="AF32" s="298">
        <f>IFERROR(__xludf.DUMMYFUNCTION("""COMPUTED_VALUE"""),0.2715044)</f>
        <v>0.2715044</v>
      </c>
      <c r="AG32" s="298">
        <f>IFERROR(__xludf.DUMMYFUNCTION("""COMPUTED_VALUE"""),0.2715044)</f>
        <v>0.2715044</v>
      </c>
      <c r="AH32" s="298">
        <f>IFERROR(__xludf.DUMMYFUNCTION("""COMPUTED_VALUE"""),0.2715044)</f>
        <v>0.2715044</v>
      </c>
      <c r="AI32" s="298">
        <f>IFERROR(__xludf.DUMMYFUNCTION("""COMPUTED_VALUE"""),0.2715044)</f>
        <v>0.2715044</v>
      </c>
      <c r="AJ32" s="298">
        <f>IFERROR(__xludf.DUMMYFUNCTION("""COMPUTED_VALUE"""),0.2715044)</f>
        <v>0.2715044</v>
      </c>
      <c r="AK32" s="298">
        <f>IFERROR(__xludf.DUMMYFUNCTION("""COMPUTED_VALUE"""),0.2715044)</f>
        <v>0.2715044</v>
      </c>
      <c r="AL32" s="298">
        <f>IFERROR(__xludf.DUMMYFUNCTION("""COMPUTED_VALUE"""),0.2715044)</f>
        <v>0.2715044</v>
      </c>
      <c r="AM32" s="298">
        <f>IFERROR(__xludf.DUMMYFUNCTION("""COMPUTED_VALUE"""),0.2715044)</f>
        <v>0.2715044</v>
      </c>
      <c r="AN32" s="298">
        <f>IFERROR(__xludf.DUMMYFUNCTION("""COMPUTED_VALUE"""),0.2475044)</f>
        <v>0.2475044</v>
      </c>
      <c r="AO32" s="298">
        <f>IFERROR(__xludf.DUMMYFUNCTION("""COMPUTED_VALUE"""),0.2475044)</f>
        <v>0.2475044</v>
      </c>
      <c r="AP32" s="298">
        <f>IFERROR(__xludf.DUMMYFUNCTION("""COMPUTED_VALUE"""),0.2475044)</f>
        <v>0.2475044</v>
      </c>
      <c r="AQ32" s="298">
        <f>IFERROR(__xludf.DUMMYFUNCTION("""COMPUTED_VALUE"""),0.2475044)</f>
        <v>0.2475044</v>
      </c>
      <c r="AR32" s="298">
        <f>IFERROR(__xludf.DUMMYFUNCTION("""COMPUTED_VALUE"""),0.2475044)</f>
        <v>0.2475044</v>
      </c>
      <c r="AS32" s="298">
        <f>IFERROR(__xludf.DUMMYFUNCTION("""COMPUTED_VALUE"""),0.2475044)</f>
        <v>0.2475044</v>
      </c>
      <c r="AT32" s="298">
        <f>IFERROR(__xludf.DUMMYFUNCTION("""COMPUTED_VALUE"""),0.2475044)</f>
        <v>0.2475044</v>
      </c>
      <c r="AU32" s="298">
        <f>IFERROR(__xludf.DUMMYFUNCTION("""COMPUTED_VALUE"""),0.2475044)</f>
        <v>0.2475044</v>
      </c>
      <c r="AV32" s="298">
        <f>IFERROR(__xludf.DUMMYFUNCTION("""COMPUTED_VALUE"""),0.2475044)</f>
        <v>0.2475044</v>
      </c>
      <c r="AW32" s="298">
        <f>IFERROR(__xludf.DUMMYFUNCTION("""COMPUTED_VALUE"""),0.2475044)</f>
        <v>0.2475044</v>
      </c>
      <c r="AX32" s="298">
        <f>IFERROR(__xludf.DUMMYFUNCTION("""COMPUTED_VALUE"""),0.2475044)</f>
        <v>0.2475044</v>
      </c>
      <c r="AY32" s="298">
        <f>IFERROR(__xludf.DUMMYFUNCTION("""COMPUTED_VALUE"""),0.2475044)</f>
        <v>0.2475044</v>
      </c>
      <c r="AZ32" s="298">
        <f>IFERROR(__xludf.DUMMYFUNCTION("""COMPUTED_VALUE"""),0.2475044)</f>
        <v>0.2475044</v>
      </c>
      <c r="BA32" s="298">
        <f>IFERROR(__xludf.DUMMYFUNCTION("""COMPUTED_VALUE"""),0.1965044)</f>
        <v>0.1965044</v>
      </c>
      <c r="BB32" s="298">
        <f>IFERROR(__xludf.DUMMYFUNCTION("""COMPUTED_VALUE"""),0.1965044)</f>
        <v>0.1965044</v>
      </c>
      <c r="BC32" s="298">
        <f>IFERROR(__xludf.DUMMYFUNCTION("""COMPUTED_VALUE"""),0.1965044)</f>
        <v>0.1965044</v>
      </c>
      <c r="BD32" s="298">
        <f>IFERROR(__xludf.DUMMYFUNCTION("""COMPUTED_VALUE"""),0.1965044)</f>
        <v>0.1965044</v>
      </c>
      <c r="BE32" s="298">
        <f>IFERROR(__xludf.DUMMYFUNCTION("""COMPUTED_VALUE"""),0.1965044)</f>
        <v>0.1965044</v>
      </c>
      <c r="BF32" s="298">
        <f>IFERROR(__xludf.DUMMYFUNCTION("""COMPUTED_VALUE"""),0.1965044)</f>
        <v>0.1965044</v>
      </c>
      <c r="BG32" s="298">
        <f>IFERROR(__xludf.DUMMYFUNCTION("""COMPUTED_VALUE"""),0.1965044)</f>
        <v>0.1965044</v>
      </c>
      <c r="BH32" s="298">
        <f>IFERROR(__xludf.DUMMYFUNCTION("""COMPUTED_VALUE"""),0.1965044)</f>
        <v>0.1965044</v>
      </c>
      <c r="BI32" s="298">
        <f>IFERROR(__xludf.DUMMYFUNCTION("""COMPUTED_VALUE"""),0.1965044)</f>
        <v>0.1965044</v>
      </c>
      <c r="BJ32" s="298">
        <f>IFERROR(__xludf.DUMMYFUNCTION("""COMPUTED_VALUE"""),0.1965044)</f>
        <v>0.1965044</v>
      </c>
      <c r="BK32" s="298">
        <f>IFERROR(__xludf.DUMMYFUNCTION("""COMPUTED_VALUE"""),0.1965044)</f>
        <v>0.1965044</v>
      </c>
      <c r="BL32" s="298">
        <f>IFERROR(__xludf.DUMMYFUNCTION("""COMPUTED_VALUE"""),0.1965044)</f>
        <v>0.1965044</v>
      </c>
      <c r="BM32" s="298">
        <f>IFERROR(__xludf.DUMMYFUNCTION("""COMPUTED_VALUE"""),0.1965044)</f>
        <v>0.1965044</v>
      </c>
      <c r="BN32" s="298">
        <f>IFERROR(__xludf.DUMMYFUNCTION("""COMPUTED_VALUE"""),0.1965044)</f>
        <v>0.1965044</v>
      </c>
    </row>
    <row r="33">
      <c r="A33" s="291" t="s">
        <v>53</v>
      </c>
      <c r="B33" s="293">
        <v>17324.677327999998</v>
      </c>
      <c r="C33" s="293">
        <v>24011.46946</v>
      </c>
      <c r="D33" s="294">
        <f t="shared" si="1"/>
        <v>41336.14679</v>
      </c>
      <c r="E33" s="294">
        <v>15819.443099999999</v>
      </c>
      <c r="F33" s="293">
        <v>11786.556849999999</v>
      </c>
      <c r="G33" s="293">
        <v>10320.682000000003</v>
      </c>
      <c r="H33" s="294">
        <f t="shared" si="2"/>
        <v>22107.23885</v>
      </c>
      <c r="I33" s="293"/>
      <c r="J33" s="17"/>
      <c r="L33" s="292"/>
      <c r="M33" s="292">
        <f>IFERROR(__xludf.DUMMYFUNCTION("""COMPUTED_VALUE"""),7.0)</f>
        <v>7</v>
      </c>
      <c r="N33" s="298">
        <f>IFERROR(__xludf.DUMMYFUNCTION("""COMPUTED_VALUE"""),0.00610998)</f>
        <v>0.00610998</v>
      </c>
      <c r="O33" s="298">
        <f>IFERROR(__xludf.DUMMYFUNCTION("""COMPUTED_VALUE"""),0.00696864)</f>
        <v>0.00696864</v>
      </c>
      <c r="P33" s="298">
        <f>IFERROR(__xludf.DUMMYFUNCTION("""COMPUTED_VALUE"""),0.00743243)</f>
        <v>0.00743243</v>
      </c>
      <c r="Q33" s="298">
        <f>IFERROR(__xludf.DUMMYFUNCTION("""COMPUTED_VALUE"""),0.00725354)</f>
        <v>0.00725354</v>
      </c>
      <c r="R33" s="298">
        <f>IFERROR(__xludf.DUMMYFUNCTION("""COMPUTED_VALUE"""),0.00743243)</f>
        <v>0.00743243</v>
      </c>
      <c r="S33" s="298">
        <f>IFERROR(__xludf.DUMMYFUNCTION("""COMPUTED_VALUE"""),0.0074174)</f>
        <v>0.0074174</v>
      </c>
      <c r="T33" s="298">
        <f>IFERROR(__xludf.DUMMYFUNCTION("""COMPUTED_VALUE"""),0.00730435)</f>
        <v>0.00730435</v>
      </c>
      <c r="U33" s="298">
        <f>IFERROR(__xludf.DUMMYFUNCTION("""COMPUTED_VALUE"""),0.0071568)</f>
        <v>0.0071568</v>
      </c>
      <c r="V33" s="298">
        <f>IFERROR(__xludf.DUMMYFUNCTION("""COMPUTED_VALUE"""),0.00720367)</f>
        <v>0.00720367</v>
      </c>
      <c r="W33" s="298">
        <f>IFERROR(__xludf.DUMMYFUNCTION("""COMPUTED_VALUE"""),0.00715397)</f>
        <v>0.00715397</v>
      </c>
      <c r="X33" s="298">
        <f>IFERROR(__xludf.DUMMYFUNCTION("""COMPUTED_VALUE"""),0.00681896)</f>
        <v>0.00681896</v>
      </c>
      <c r="Y33" s="298">
        <f>IFERROR(__xludf.DUMMYFUNCTION("""COMPUTED_VALUE"""),0.00682226)</f>
        <v>0.00682226</v>
      </c>
      <c r="Z33" s="298">
        <f>IFERROR(__xludf.DUMMYFUNCTION("""COMPUTED_VALUE"""),0.00665434)</f>
        <v>0.00665434</v>
      </c>
      <c r="AA33" s="298">
        <f>IFERROR(__xludf.DUMMYFUNCTION("""COMPUTED_VALUE"""),0.0105093)</f>
        <v>0.0105093</v>
      </c>
      <c r="AB33" s="298">
        <f>IFERROR(__xludf.DUMMYFUNCTION("""COMPUTED_VALUE"""),0.0105093)</f>
        <v>0.0105093</v>
      </c>
      <c r="AC33" s="298">
        <f>IFERROR(__xludf.DUMMYFUNCTION("""COMPUTED_VALUE"""),0.0105093)</f>
        <v>0.0105093</v>
      </c>
      <c r="AD33" s="298">
        <f>IFERROR(__xludf.DUMMYFUNCTION("""COMPUTED_VALUE"""),0.0105093)</f>
        <v>0.0105093</v>
      </c>
      <c r="AE33" s="298">
        <f>IFERROR(__xludf.DUMMYFUNCTION("""COMPUTED_VALUE"""),0.0105093)</f>
        <v>0.0105093</v>
      </c>
      <c r="AF33" s="298">
        <f>IFERROR(__xludf.DUMMYFUNCTION("""COMPUTED_VALUE"""),0.0105093)</f>
        <v>0.0105093</v>
      </c>
      <c r="AG33" s="298">
        <f>IFERROR(__xludf.DUMMYFUNCTION("""COMPUTED_VALUE"""),0.0105093)</f>
        <v>0.0105093</v>
      </c>
      <c r="AH33" s="298">
        <f>IFERROR(__xludf.DUMMYFUNCTION("""COMPUTED_VALUE"""),0.0105093)</f>
        <v>0.0105093</v>
      </c>
      <c r="AI33" s="298">
        <f>IFERROR(__xludf.DUMMYFUNCTION("""COMPUTED_VALUE"""),0.0105093)</f>
        <v>0.0105093</v>
      </c>
      <c r="AJ33" s="298">
        <f>IFERROR(__xludf.DUMMYFUNCTION("""COMPUTED_VALUE"""),0.0105093)</f>
        <v>0.0105093</v>
      </c>
      <c r="AK33" s="298">
        <f>IFERROR(__xludf.DUMMYFUNCTION("""COMPUTED_VALUE"""),0.0105093)</f>
        <v>0.0105093</v>
      </c>
      <c r="AL33" s="298">
        <f>IFERROR(__xludf.DUMMYFUNCTION("""COMPUTED_VALUE"""),0.0105093)</f>
        <v>0.0105093</v>
      </c>
      <c r="AM33" s="298">
        <f>IFERROR(__xludf.DUMMYFUNCTION("""COMPUTED_VALUE"""),0.0105093)</f>
        <v>0.0105093</v>
      </c>
      <c r="AN33" s="298">
        <f>IFERROR(__xludf.DUMMYFUNCTION("""COMPUTED_VALUE"""),0.0105093)</f>
        <v>0.0105093</v>
      </c>
      <c r="AO33" s="298">
        <f>IFERROR(__xludf.DUMMYFUNCTION("""COMPUTED_VALUE"""),0.0105093)</f>
        <v>0.0105093</v>
      </c>
      <c r="AP33" s="298">
        <f>IFERROR(__xludf.DUMMYFUNCTION("""COMPUTED_VALUE"""),0.0105093)</f>
        <v>0.0105093</v>
      </c>
      <c r="AQ33" s="298">
        <f>IFERROR(__xludf.DUMMYFUNCTION("""COMPUTED_VALUE"""),0.0105093)</f>
        <v>0.0105093</v>
      </c>
      <c r="AR33" s="298">
        <f>IFERROR(__xludf.DUMMYFUNCTION("""COMPUTED_VALUE"""),0.0105093)</f>
        <v>0.0105093</v>
      </c>
      <c r="AS33" s="298">
        <f>IFERROR(__xludf.DUMMYFUNCTION("""COMPUTED_VALUE"""),0.0105093)</f>
        <v>0.0105093</v>
      </c>
      <c r="AT33" s="298">
        <f>IFERROR(__xludf.DUMMYFUNCTION("""COMPUTED_VALUE"""),0.0105093)</f>
        <v>0.0105093</v>
      </c>
      <c r="AU33" s="298">
        <f>IFERROR(__xludf.DUMMYFUNCTION("""COMPUTED_VALUE"""),0.0105093)</f>
        <v>0.0105093</v>
      </c>
      <c r="AV33" s="298">
        <f>IFERROR(__xludf.DUMMYFUNCTION("""COMPUTED_VALUE"""),0.0105093)</f>
        <v>0.0105093</v>
      </c>
      <c r="AW33" s="298">
        <f>IFERROR(__xludf.DUMMYFUNCTION("""COMPUTED_VALUE"""),0.0105093)</f>
        <v>0.0105093</v>
      </c>
      <c r="AX33" s="298">
        <f>IFERROR(__xludf.DUMMYFUNCTION("""COMPUTED_VALUE"""),0.0105093)</f>
        <v>0.0105093</v>
      </c>
      <c r="AY33" s="298">
        <f>IFERROR(__xludf.DUMMYFUNCTION("""COMPUTED_VALUE"""),0.0105093)</f>
        <v>0.0105093</v>
      </c>
      <c r="AZ33" s="298">
        <f>IFERROR(__xludf.DUMMYFUNCTION("""COMPUTED_VALUE"""),0.0105093)</f>
        <v>0.0105093</v>
      </c>
      <c r="BA33" s="298">
        <f>IFERROR(__xludf.DUMMYFUNCTION("""COMPUTED_VALUE"""),0.0105093)</f>
        <v>0.0105093</v>
      </c>
      <c r="BB33" s="298">
        <f>IFERROR(__xludf.DUMMYFUNCTION("""COMPUTED_VALUE"""),0.0105093)</f>
        <v>0.0105093</v>
      </c>
      <c r="BC33" s="298">
        <f>IFERROR(__xludf.DUMMYFUNCTION("""COMPUTED_VALUE"""),0.0105093)</f>
        <v>0.0105093</v>
      </c>
      <c r="BD33" s="298">
        <f>IFERROR(__xludf.DUMMYFUNCTION("""COMPUTED_VALUE"""),0.0105093)</f>
        <v>0.0105093</v>
      </c>
      <c r="BE33" s="298">
        <f>IFERROR(__xludf.DUMMYFUNCTION("""COMPUTED_VALUE"""),0.0105093)</f>
        <v>0.0105093</v>
      </c>
      <c r="BF33" s="298">
        <f>IFERROR(__xludf.DUMMYFUNCTION("""COMPUTED_VALUE"""),0.0105093)</f>
        <v>0.0105093</v>
      </c>
      <c r="BG33" s="298">
        <f>IFERROR(__xludf.DUMMYFUNCTION("""COMPUTED_VALUE"""),0.0105093)</f>
        <v>0.0105093</v>
      </c>
      <c r="BH33" s="298">
        <f>IFERROR(__xludf.DUMMYFUNCTION("""COMPUTED_VALUE"""),0.0105093)</f>
        <v>0.0105093</v>
      </c>
      <c r="BI33" s="298">
        <f>IFERROR(__xludf.DUMMYFUNCTION("""COMPUTED_VALUE"""),0.0105093)</f>
        <v>0.0105093</v>
      </c>
      <c r="BJ33" s="298">
        <f>IFERROR(__xludf.DUMMYFUNCTION("""COMPUTED_VALUE"""),0.0105093)</f>
        <v>0.0105093</v>
      </c>
      <c r="BK33" s="298">
        <f>IFERROR(__xludf.DUMMYFUNCTION("""COMPUTED_VALUE"""),0.0105093)</f>
        <v>0.0105093</v>
      </c>
      <c r="BL33" s="298">
        <f>IFERROR(__xludf.DUMMYFUNCTION("""COMPUTED_VALUE"""),0.0105093)</f>
        <v>0.0105093</v>
      </c>
      <c r="BM33" s="298">
        <f>IFERROR(__xludf.DUMMYFUNCTION("""COMPUTED_VALUE"""),0.0105093)</f>
        <v>0.0105093</v>
      </c>
      <c r="BN33" s="298">
        <f>IFERROR(__xludf.DUMMYFUNCTION("""COMPUTED_VALUE"""),0.0105093)</f>
        <v>0.0105093</v>
      </c>
    </row>
    <row r="34">
      <c r="A34" s="291" t="s">
        <v>54</v>
      </c>
      <c r="B34" s="293">
        <v>17453.213315999998</v>
      </c>
      <c r="C34" s="293">
        <v>25220.9951808</v>
      </c>
      <c r="D34" s="294">
        <f t="shared" si="1"/>
        <v>42674.2085</v>
      </c>
      <c r="E34" s="294">
        <v>16782.5751</v>
      </c>
      <c r="F34" s="293">
        <v>13221.119999999997</v>
      </c>
      <c r="G34" s="293">
        <v>12116.392800000001</v>
      </c>
      <c r="H34" s="294">
        <f t="shared" si="2"/>
        <v>25337.5128</v>
      </c>
      <c r="I34" s="293"/>
      <c r="J34" s="17"/>
      <c r="L34" s="292"/>
      <c r="M34" s="292">
        <f>IFERROR(__xludf.DUMMYFUNCTION("""COMPUTED_VALUE"""),8.0)</f>
        <v>8</v>
      </c>
      <c r="N34" s="298">
        <f>IFERROR(__xludf.DUMMYFUNCTION("""COMPUTED_VALUE"""),0.12219959)</f>
        <v>0.12219959</v>
      </c>
      <c r="O34" s="298">
        <f>IFERROR(__xludf.DUMMYFUNCTION("""COMPUTED_VALUE"""),0.12160279)</f>
        <v>0.12160279</v>
      </c>
      <c r="P34" s="298">
        <f>IFERROR(__xludf.DUMMYFUNCTION("""COMPUTED_VALUE"""),0.12195946)</f>
        <v>0.12195946</v>
      </c>
      <c r="Q34" s="298">
        <f>IFERROR(__xludf.DUMMYFUNCTION("""COMPUTED_VALUE"""),0.12166172)</f>
        <v>0.12166172</v>
      </c>
      <c r="R34" s="298">
        <f>IFERROR(__xludf.DUMMYFUNCTION("""COMPUTED_VALUE"""),0.12128378)</f>
        <v>0.12128378</v>
      </c>
      <c r="S34" s="298">
        <f>IFERROR(__xludf.DUMMYFUNCTION("""COMPUTED_VALUE"""),0.12171274)</f>
        <v>0.12171274</v>
      </c>
      <c r="T34" s="298">
        <f>IFERROR(__xludf.DUMMYFUNCTION("""COMPUTED_VALUE"""),0.12243478)</f>
        <v>0.12243478</v>
      </c>
      <c r="U34" s="298">
        <f>IFERROR(__xludf.DUMMYFUNCTION("""COMPUTED_VALUE"""),0.12329213)</f>
        <v>0.12329213</v>
      </c>
      <c r="V34" s="298">
        <f>IFERROR(__xludf.DUMMYFUNCTION("""COMPUTED_VALUE"""),0.12344466)</f>
        <v>0.12344466</v>
      </c>
      <c r="W34" s="298">
        <f>IFERROR(__xludf.DUMMYFUNCTION("""COMPUTED_VALUE"""),0.12379471)</f>
        <v>0.12379471</v>
      </c>
      <c r="X34" s="298">
        <f>IFERROR(__xludf.DUMMYFUNCTION("""COMPUTED_VALUE"""),0.12376406)</f>
        <v>0.12376406</v>
      </c>
      <c r="Y34" s="298">
        <f>IFERROR(__xludf.DUMMYFUNCTION("""COMPUTED_VALUE"""),0.12351885)</f>
        <v>0.12351885</v>
      </c>
      <c r="Z34" s="298">
        <f>IFERROR(__xludf.DUMMYFUNCTION("""COMPUTED_VALUE"""),0.12310536)</f>
        <v>0.12310536</v>
      </c>
      <c r="AA34" s="298">
        <f>IFERROR(__xludf.DUMMYFUNCTION("""COMPUTED_VALUE"""),0.1302511)</f>
        <v>0.1302511</v>
      </c>
      <c r="AB34" s="298">
        <f>IFERROR(__xludf.DUMMYFUNCTION("""COMPUTED_VALUE"""),0.1302511)</f>
        <v>0.1302511</v>
      </c>
      <c r="AC34" s="298">
        <f>IFERROR(__xludf.DUMMYFUNCTION("""COMPUTED_VALUE"""),0.1302511)</f>
        <v>0.1302511</v>
      </c>
      <c r="AD34" s="298">
        <f>IFERROR(__xludf.DUMMYFUNCTION("""COMPUTED_VALUE"""),0.1302511)</f>
        <v>0.1302511</v>
      </c>
      <c r="AE34" s="298">
        <f>IFERROR(__xludf.DUMMYFUNCTION("""COMPUTED_VALUE"""),0.1302511)</f>
        <v>0.1302511</v>
      </c>
      <c r="AF34" s="298">
        <f>IFERROR(__xludf.DUMMYFUNCTION("""COMPUTED_VALUE"""),0.1302511)</f>
        <v>0.1302511</v>
      </c>
      <c r="AG34" s="298">
        <f>IFERROR(__xludf.DUMMYFUNCTION("""COMPUTED_VALUE"""),0.1302511)</f>
        <v>0.1302511</v>
      </c>
      <c r="AH34" s="298">
        <f>IFERROR(__xludf.DUMMYFUNCTION("""COMPUTED_VALUE"""),0.1302511)</f>
        <v>0.1302511</v>
      </c>
      <c r="AI34" s="298">
        <f>IFERROR(__xludf.DUMMYFUNCTION("""COMPUTED_VALUE"""),0.1302511)</f>
        <v>0.1302511</v>
      </c>
      <c r="AJ34" s="298">
        <f>IFERROR(__xludf.DUMMYFUNCTION("""COMPUTED_VALUE"""),0.1302511)</f>
        <v>0.1302511</v>
      </c>
      <c r="AK34" s="298">
        <f>IFERROR(__xludf.DUMMYFUNCTION("""COMPUTED_VALUE"""),0.1302511)</f>
        <v>0.1302511</v>
      </c>
      <c r="AL34" s="298">
        <f>IFERROR(__xludf.DUMMYFUNCTION("""COMPUTED_VALUE"""),0.1302511)</f>
        <v>0.1302511</v>
      </c>
      <c r="AM34" s="298">
        <f>IFERROR(__xludf.DUMMYFUNCTION("""COMPUTED_VALUE"""),0.1302511)</f>
        <v>0.1302511</v>
      </c>
      <c r="AN34" s="298">
        <f>IFERROR(__xludf.DUMMYFUNCTION("""COMPUTED_VALUE"""),0.1542511)</f>
        <v>0.1542511</v>
      </c>
      <c r="AO34" s="298">
        <f>IFERROR(__xludf.DUMMYFUNCTION("""COMPUTED_VALUE"""),0.1542511)</f>
        <v>0.1542511</v>
      </c>
      <c r="AP34" s="298">
        <f>IFERROR(__xludf.DUMMYFUNCTION("""COMPUTED_VALUE"""),0.1542511)</f>
        <v>0.1542511</v>
      </c>
      <c r="AQ34" s="298">
        <f>IFERROR(__xludf.DUMMYFUNCTION("""COMPUTED_VALUE"""),0.1542511)</f>
        <v>0.1542511</v>
      </c>
      <c r="AR34" s="298">
        <f>IFERROR(__xludf.DUMMYFUNCTION("""COMPUTED_VALUE"""),0.1542511)</f>
        <v>0.1542511</v>
      </c>
      <c r="AS34" s="298">
        <f>IFERROR(__xludf.DUMMYFUNCTION("""COMPUTED_VALUE"""),0.1542511)</f>
        <v>0.1542511</v>
      </c>
      <c r="AT34" s="298">
        <f>IFERROR(__xludf.DUMMYFUNCTION("""COMPUTED_VALUE"""),0.1542511)</f>
        <v>0.1542511</v>
      </c>
      <c r="AU34" s="298">
        <f>IFERROR(__xludf.DUMMYFUNCTION("""COMPUTED_VALUE"""),0.1542511)</f>
        <v>0.1542511</v>
      </c>
      <c r="AV34" s="298">
        <f>IFERROR(__xludf.DUMMYFUNCTION("""COMPUTED_VALUE"""),0.1542511)</f>
        <v>0.1542511</v>
      </c>
      <c r="AW34" s="298">
        <f>IFERROR(__xludf.DUMMYFUNCTION("""COMPUTED_VALUE"""),0.1542511)</f>
        <v>0.1542511</v>
      </c>
      <c r="AX34" s="298">
        <f>IFERROR(__xludf.DUMMYFUNCTION("""COMPUTED_VALUE"""),0.1542511)</f>
        <v>0.1542511</v>
      </c>
      <c r="AY34" s="298">
        <f>IFERROR(__xludf.DUMMYFUNCTION("""COMPUTED_VALUE"""),0.1542511)</f>
        <v>0.1542511</v>
      </c>
      <c r="AZ34" s="298">
        <f>IFERROR(__xludf.DUMMYFUNCTION("""COMPUTED_VALUE"""),0.1542511)</f>
        <v>0.1542511</v>
      </c>
      <c r="BA34" s="298">
        <f>IFERROR(__xludf.DUMMYFUNCTION("""COMPUTED_VALUE"""),0.2052511)</f>
        <v>0.2052511</v>
      </c>
      <c r="BB34" s="298">
        <f>IFERROR(__xludf.DUMMYFUNCTION("""COMPUTED_VALUE"""),0.2052511)</f>
        <v>0.2052511</v>
      </c>
      <c r="BC34" s="298">
        <f>IFERROR(__xludf.DUMMYFUNCTION("""COMPUTED_VALUE"""),0.2052511)</f>
        <v>0.2052511</v>
      </c>
      <c r="BD34" s="298">
        <f>IFERROR(__xludf.DUMMYFUNCTION("""COMPUTED_VALUE"""),0.2052511)</f>
        <v>0.2052511</v>
      </c>
      <c r="BE34" s="298">
        <f>IFERROR(__xludf.DUMMYFUNCTION("""COMPUTED_VALUE"""),0.2052511)</f>
        <v>0.2052511</v>
      </c>
      <c r="BF34" s="298">
        <f>IFERROR(__xludf.DUMMYFUNCTION("""COMPUTED_VALUE"""),0.2052511)</f>
        <v>0.2052511</v>
      </c>
      <c r="BG34" s="298">
        <f>IFERROR(__xludf.DUMMYFUNCTION("""COMPUTED_VALUE"""),0.2052511)</f>
        <v>0.2052511</v>
      </c>
      <c r="BH34" s="298">
        <f>IFERROR(__xludf.DUMMYFUNCTION("""COMPUTED_VALUE"""),0.2052511)</f>
        <v>0.2052511</v>
      </c>
      <c r="BI34" s="298">
        <f>IFERROR(__xludf.DUMMYFUNCTION("""COMPUTED_VALUE"""),0.2052511)</f>
        <v>0.2052511</v>
      </c>
      <c r="BJ34" s="298">
        <f>IFERROR(__xludf.DUMMYFUNCTION("""COMPUTED_VALUE"""),0.2052511)</f>
        <v>0.2052511</v>
      </c>
      <c r="BK34" s="298">
        <f>IFERROR(__xludf.DUMMYFUNCTION("""COMPUTED_VALUE"""),0.2052511)</f>
        <v>0.2052511</v>
      </c>
      <c r="BL34" s="298">
        <f>IFERROR(__xludf.DUMMYFUNCTION("""COMPUTED_VALUE"""),0.2052511)</f>
        <v>0.2052511</v>
      </c>
      <c r="BM34" s="298">
        <f>IFERROR(__xludf.DUMMYFUNCTION("""COMPUTED_VALUE"""),0.2052511)</f>
        <v>0.2052511</v>
      </c>
      <c r="BN34" s="298">
        <f>IFERROR(__xludf.DUMMYFUNCTION("""COMPUTED_VALUE"""),0.2052511)</f>
        <v>0.2052511</v>
      </c>
    </row>
    <row r="35">
      <c r="A35" s="291" t="s">
        <v>55</v>
      </c>
      <c r="B35" s="293">
        <v>20041.844046</v>
      </c>
      <c r="C35" s="293">
        <v>28050.099652800003</v>
      </c>
      <c r="D35" s="294">
        <f t="shared" si="1"/>
        <v>48091.9437</v>
      </c>
      <c r="E35" s="294">
        <v>17938.3335</v>
      </c>
      <c r="F35" s="293">
        <v>14982.645127999996</v>
      </c>
      <c r="G35" s="293">
        <v>13696.761</v>
      </c>
      <c r="H35" s="294">
        <f t="shared" si="2"/>
        <v>28679.40613</v>
      </c>
      <c r="I35" s="293"/>
      <c r="J35" s="17"/>
      <c r="L35" s="292"/>
      <c r="M35" s="292">
        <f>IFERROR(__xludf.DUMMYFUNCTION("""COMPUTED_VALUE"""),9.0)</f>
        <v>9</v>
      </c>
      <c r="N35" s="298">
        <f>IFERROR(__xludf.DUMMYFUNCTION("""COMPUTED_VALUE"""),0.00356416)</f>
        <v>0.00356416</v>
      </c>
      <c r="O35" s="298">
        <f>IFERROR(__xludf.DUMMYFUNCTION("""COMPUTED_VALUE"""),0.00418119)</f>
        <v>0.00418119</v>
      </c>
      <c r="P35" s="298">
        <f>IFERROR(__xludf.DUMMYFUNCTION("""COMPUTED_VALUE"""),0.00405405)</f>
        <v>0.00405405</v>
      </c>
      <c r="Q35" s="298">
        <f>IFERROR(__xludf.DUMMYFUNCTION("""COMPUTED_VALUE"""),0.00428619)</f>
        <v>0.00428619</v>
      </c>
      <c r="R35" s="298">
        <f>IFERROR(__xludf.DUMMYFUNCTION("""COMPUTED_VALUE"""),0.00439189)</f>
        <v>0.00439189</v>
      </c>
      <c r="S35" s="298">
        <f>IFERROR(__xludf.DUMMYFUNCTION("""COMPUTED_VALUE"""),0.00438301)</f>
        <v>0.00438301</v>
      </c>
      <c r="T35" s="298">
        <f>IFERROR(__xludf.DUMMYFUNCTION("""COMPUTED_VALUE"""),0.00452174)</f>
        <v>0.00452174</v>
      </c>
      <c r="U35" s="298">
        <f>IFERROR(__xludf.DUMMYFUNCTION("""COMPUTED_VALUE"""),0.00455433)</f>
        <v>0.00455433</v>
      </c>
      <c r="V35" s="298">
        <f>IFERROR(__xludf.DUMMYFUNCTION("""COMPUTED_VALUE"""),0.00425671)</f>
        <v>0.00425671</v>
      </c>
      <c r="W35" s="298">
        <f>IFERROR(__xludf.DUMMYFUNCTION("""COMPUTED_VALUE"""),0.00466563)</f>
        <v>0.00466563</v>
      </c>
      <c r="X35" s="298">
        <f>IFERROR(__xludf.DUMMYFUNCTION("""COMPUTED_VALUE"""),0.00375043)</f>
        <v>0.00375043</v>
      </c>
      <c r="Y35" s="298">
        <f>IFERROR(__xludf.DUMMYFUNCTION("""COMPUTED_VALUE"""),0.00394973)</f>
        <v>0.00394973</v>
      </c>
      <c r="Z35" s="298">
        <f>IFERROR(__xludf.DUMMYFUNCTION("""COMPUTED_VALUE"""),0.00406654)</f>
        <v>0.00406654</v>
      </c>
      <c r="AA35" s="298">
        <f>IFERROR(__xludf.DUMMYFUNCTION("""COMPUTED_VALUE"""),0.0058738)</f>
        <v>0.0058738</v>
      </c>
      <c r="AB35" s="298">
        <f>IFERROR(__xludf.DUMMYFUNCTION("""COMPUTED_VALUE"""),0.0058738)</f>
        <v>0.0058738</v>
      </c>
      <c r="AC35" s="298">
        <f>IFERROR(__xludf.DUMMYFUNCTION("""COMPUTED_VALUE"""),0.0058738)</f>
        <v>0.0058738</v>
      </c>
      <c r="AD35" s="298">
        <f>IFERROR(__xludf.DUMMYFUNCTION("""COMPUTED_VALUE"""),0.0058738)</f>
        <v>0.0058738</v>
      </c>
      <c r="AE35" s="298">
        <f>IFERROR(__xludf.DUMMYFUNCTION("""COMPUTED_VALUE"""),0.0058738)</f>
        <v>0.0058738</v>
      </c>
      <c r="AF35" s="298">
        <f>IFERROR(__xludf.DUMMYFUNCTION("""COMPUTED_VALUE"""),0.0058738)</f>
        <v>0.0058738</v>
      </c>
      <c r="AG35" s="298">
        <f>IFERROR(__xludf.DUMMYFUNCTION("""COMPUTED_VALUE"""),0.0058738)</f>
        <v>0.0058738</v>
      </c>
      <c r="AH35" s="298">
        <f>IFERROR(__xludf.DUMMYFUNCTION("""COMPUTED_VALUE"""),0.0058738)</f>
        <v>0.0058738</v>
      </c>
      <c r="AI35" s="298">
        <f>IFERROR(__xludf.DUMMYFUNCTION("""COMPUTED_VALUE"""),0.0058738)</f>
        <v>0.0058738</v>
      </c>
      <c r="AJ35" s="298">
        <f>IFERROR(__xludf.DUMMYFUNCTION("""COMPUTED_VALUE"""),0.0058738)</f>
        <v>0.0058738</v>
      </c>
      <c r="AK35" s="298">
        <f>IFERROR(__xludf.DUMMYFUNCTION("""COMPUTED_VALUE"""),0.0058738)</f>
        <v>0.0058738</v>
      </c>
      <c r="AL35" s="298">
        <f>IFERROR(__xludf.DUMMYFUNCTION("""COMPUTED_VALUE"""),0.0058738)</f>
        <v>0.0058738</v>
      </c>
      <c r="AM35" s="298">
        <f>IFERROR(__xludf.DUMMYFUNCTION("""COMPUTED_VALUE"""),0.0058738)</f>
        <v>0.0058738</v>
      </c>
      <c r="AN35" s="298">
        <f>IFERROR(__xludf.DUMMYFUNCTION("""COMPUTED_VALUE"""),0.0058738)</f>
        <v>0.0058738</v>
      </c>
      <c r="AO35" s="298">
        <f>IFERROR(__xludf.DUMMYFUNCTION("""COMPUTED_VALUE"""),0.0058738)</f>
        <v>0.0058738</v>
      </c>
      <c r="AP35" s="298">
        <f>IFERROR(__xludf.DUMMYFUNCTION("""COMPUTED_VALUE"""),0.0058738)</f>
        <v>0.0058738</v>
      </c>
      <c r="AQ35" s="298">
        <f>IFERROR(__xludf.DUMMYFUNCTION("""COMPUTED_VALUE"""),0.0058738)</f>
        <v>0.0058738</v>
      </c>
      <c r="AR35" s="298">
        <f>IFERROR(__xludf.DUMMYFUNCTION("""COMPUTED_VALUE"""),0.0058738)</f>
        <v>0.0058738</v>
      </c>
      <c r="AS35" s="298">
        <f>IFERROR(__xludf.DUMMYFUNCTION("""COMPUTED_VALUE"""),0.0058738)</f>
        <v>0.0058738</v>
      </c>
      <c r="AT35" s="298">
        <f>IFERROR(__xludf.DUMMYFUNCTION("""COMPUTED_VALUE"""),0.0058738)</f>
        <v>0.0058738</v>
      </c>
      <c r="AU35" s="298">
        <f>IFERROR(__xludf.DUMMYFUNCTION("""COMPUTED_VALUE"""),0.0058738)</f>
        <v>0.0058738</v>
      </c>
      <c r="AV35" s="298">
        <f>IFERROR(__xludf.DUMMYFUNCTION("""COMPUTED_VALUE"""),0.0058738)</f>
        <v>0.0058738</v>
      </c>
      <c r="AW35" s="298">
        <f>IFERROR(__xludf.DUMMYFUNCTION("""COMPUTED_VALUE"""),0.0058738)</f>
        <v>0.0058738</v>
      </c>
      <c r="AX35" s="298">
        <f>IFERROR(__xludf.DUMMYFUNCTION("""COMPUTED_VALUE"""),0.0058738)</f>
        <v>0.0058738</v>
      </c>
      <c r="AY35" s="298">
        <f>IFERROR(__xludf.DUMMYFUNCTION("""COMPUTED_VALUE"""),0.0058738)</f>
        <v>0.0058738</v>
      </c>
      <c r="AZ35" s="298">
        <f>IFERROR(__xludf.DUMMYFUNCTION("""COMPUTED_VALUE"""),0.0058738)</f>
        <v>0.0058738</v>
      </c>
      <c r="BA35" s="298">
        <f>IFERROR(__xludf.DUMMYFUNCTION("""COMPUTED_VALUE"""),0.0058738)</f>
        <v>0.0058738</v>
      </c>
      <c r="BB35" s="298">
        <f>IFERROR(__xludf.DUMMYFUNCTION("""COMPUTED_VALUE"""),0.0058738)</f>
        <v>0.0058738</v>
      </c>
      <c r="BC35" s="298">
        <f>IFERROR(__xludf.DUMMYFUNCTION("""COMPUTED_VALUE"""),0.0058738)</f>
        <v>0.0058738</v>
      </c>
      <c r="BD35" s="298">
        <f>IFERROR(__xludf.DUMMYFUNCTION("""COMPUTED_VALUE"""),0.0058738)</f>
        <v>0.0058738</v>
      </c>
      <c r="BE35" s="298">
        <f>IFERROR(__xludf.DUMMYFUNCTION("""COMPUTED_VALUE"""),0.0058738)</f>
        <v>0.0058738</v>
      </c>
      <c r="BF35" s="298">
        <f>IFERROR(__xludf.DUMMYFUNCTION("""COMPUTED_VALUE"""),0.0058738)</f>
        <v>0.0058738</v>
      </c>
      <c r="BG35" s="298">
        <f>IFERROR(__xludf.DUMMYFUNCTION("""COMPUTED_VALUE"""),0.0058738)</f>
        <v>0.0058738</v>
      </c>
      <c r="BH35" s="298">
        <f>IFERROR(__xludf.DUMMYFUNCTION("""COMPUTED_VALUE"""),0.0058738)</f>
        <v>0.0058738</v>
      </c>
      <c r="BI35" s="298">
        <f>IFERROR(__xludf.DUMMYFUNCTION("""COMPUTED_VALUE"""),0.0058738)</f>
        <v>0.0058738</v>
      </c>
      <c r="BJ35" s="298">
        <f>IFERROR(__xludf.DUMMYFUNCTION("""COMPUTED_VALUE"""),0.0058738)</f>
        <v>0.0058738</v>
      </c>
      <c r="BK35" s="298">
        <f>IFERROR(__xludf.DUMMYFUNCTION("""COMPUTED_VALUE"""),0.0058738)</f>
        <v>0.0058738</v>
      </c>
      <c r="BL35" s="298">
        <f>IFERROR(__xludf.DUMMYFUNCTION("""COMPUTED_VALUE"""),0.0058738)</f>
        <v>0.0058738</v>
      </c>
      <c r="BM35" s="298">
        <f>IFERROR(__xludf.DUMMYFUNCTION("""COMPUTED_VALUE"""),0.0058738)</f>
        <v>0.0058738</v>
      </c>
      <c r="BN35" s="298">
        <f>IFERROR(__xludf.DUMMYFUNCTION("""COMPUTED_VALUE"""),0.0058738)</f>
        <v>0.0058738</v>
      </c>
    </row>
    <row r="36">
      <c r="A36" s="291" t="s">
        <v>56</v>
      </c>
      <c r="B36" s="293">
        <v>20235.035688</v>
      </c>
      <c r="C36" s="293">
        <v>29974.601671200002</v>
      </c>
      <c r="D36" s="294">
        <f t="shared" si="1"/>
        <v>50209.63736</v>
      </c>
      <c r="E36" s="294">
        <v>18588.4476</v>
      </c>
      <c r="F36" s="293">
        <v>15897.493303999996</v>
      </c>
      <c r="G36" s="293">
        <v>14784.345000000001</v>
      </c>
      <c r="H36" s="294">
        <f t="shared" si="2"/>
        <v>30681.8383</v>
      </c>
      <c r="I36" s="293"/>
      <c r="J36" s="17"/>
      <c r="L36" s="292"/>
      <c r="M36" s="292">
        <f>IFERROR(__xludf.DUMMYFUNCTION("""COMPUTED_VALUE"""),10.0)</f>
        <v>10</v>
      </c>
      <c r="N36" s="298">
        <f>IFERROR(__xludf.DUMMYFUNCTION("""COMPUTED_VALUE"""),0.07230143)</f>
        <v>0.07230143</v>
      </c>
      <c r="O36" s="298">
        <f>IFERROR(__xludf.DUMMYFUNCTION("""COMPUTED_VALUE"""),0.07073171)</f>
        <v>0.07073171</v>
      </c>
      <c r="P36" s="298">
        <f>IFERROR(__xludf.DUMMYFUNCTION("""COMPUTED_VALUE"""),0.07027027)</f>
        <v>0.07027027</v>
      </c>
      <c r="Q36" s="298">
        <f>IFERROR(__xludf.DUMMYFUNCTION("""COMPUTED_VALUE"""),0.0702275)</f>
        <v>0.0702275</v>
      </c>
      <c r="R36" s="298">
        <f>IFERROR(__xludf.DUMMYFUNCTION("""COMPUTED_VALUE"""),0.07027027)</f>
        <v>0.07027027</v>
      </c>
      <c r="S36" s="298">
        <f>IFERROR(__xludf.DUMMYFUNCTION("""COMPUTED_VALUE"""),0.07080243)</f>
        <v>0.07080243</v>
      </c>
      <c r="T36" s="298">
        <f>IFERROR(__xludf.DUMMYFUNCTION("""COMPUTED_VALUE"""),0.0706087)</f>
        <v>0.0706087</v>
      </c>
      <c r="U36" s="298">
        <f>IFERROR(__xludf.DUMMYFUNCTION("""COMPUTED_VALUE"""),0.06961614)</f>
        <v>0.06961614</v>
      </c>
      <c r="V36" s="298">
        <f>IFERROR(__xludf.DUMMYFUNCTION("""COMPUTED_VALUE"""),0.0697446)</f>
        <v>0.0697446</v>
      </c>
      <c r="W36" s="298">
        <f>IFERROR(__xludf.DUMMYFUNCTION("""COMPUTED_VALUE"""),0.06936236)</f>
        <v>0.06936236</v>
      </c>
      <c r="X36" s="298">
        <f>IFERROR(__xludf.DUMMYFUNCTION("""COMPUTED_VALUE"""),0.06887146)</f>
        <v>0.06887146</v>
      </c>
      <c r="Y36" s="298">
        <f>IFERROR(__xludf.DUMMYFUNCTION("""COMPUTED_VALUE"""),0.06822262)</f>
        <v>0.06822262</v>
      </c>
      <c r="Z36" s="298">
        <f>IFERROR(__xludf.DUMMYFUNCTION("""COMPUTED_VALUE"""),0.06728281)</f>
        <v>0.06728281</v>
      </c>
      <c r="AA36" s="298">
        <f>IFERROR(__xludf.DUMMYFUNCTION("""COMPUTED_VALUE"""),0.0726532)</f>
        <v>0.0726532</v>
      </c>
      <c r="AB36" s="298">
        <f>IFERROR(__xludf.DUMMYFUNCTION("""COMPUTED_VALUE"""),0.0726532)</f>
        <v>0.0726532</v>
      </c>
      <c r="AC36" s="298">
        <f>IFERROR(__xludf.DUMMYFUNCTION("""COMPUTED_VALUE"""),0.0726532)</f>
        <v>0.0726532</v>
      </c>
      <c r="AD36" s="298">
        <f>IFERROR(__xludf.DUMMYFUNCTION("""COMPUTED_VALUE"""),0.0726532)</f>
        <v>0.0726532</v>
      </c>
      <c r="AE36" s="298">
        <f>IFERROR(__xludf.DUMMYFUNCTION("""COMPUTED_VALUE"""),0.0726532)</f>
        <v>0.0726532</v>
      </c>
      <c r="AF36" s="298">
        <f>IFERROR(__xludf.DUMMYFUNCTION("""COMPUTED_VALUE"""),0.0726532)</f>
        <v>0.0726532</v>
      </c>
      <c r="AG36" s="298">
        <f>IFERROR(__xludf.DUMMYFUNCTION("""COMPUTED_VALUE"""),0.0726532)</f>
        <v>0.0726532</v>
      </c>
      <c r="AH36" s="298">
        <f>IFERROR(__xludf.DUMMYFUNCTION("""COMPUTED_VALUE"""),0.0726532)</f>
        <v>0.0726532</v>
      </c>
      <c r="AI36" s="298">
        <f>IFERROR(__xludf.DUMMYFUNCTION("""COMPUTED_VALUE"""),0.0726532)</f>
        <v>0.0726532</v>
      </c>
      <c r="AJ36" s="298">
        <f>IFERROR(__xludf.DUMMYFUNCTION("""COMPUTED_VALUE"""),0.0726532)</f>
        <v>0.0726532</v>
      </c>
      <c r="AK36" s="298">
        <f>IFERROR(__xludf.DUMMYFUNCTION("""COMPUTED_VALUE"""),0.0726532)</f>
        <v>0.0726532</v>
      </c>
      <c r="AL36" s="298">
        <f>IFERROR(__xludf.DUMMYFUNCTION("""COMPUTED_VALUE"""),0.0726532)</f>
        <v>0.0726532</v>
      </c>
      <c r="AM36" s="298">
        <f>IFERROR(__xludf.DUMMYFUNCTION("""COMPUTED_VALUE"""),0.0726532)</f>
        <v>0.0726532</v>
      </c>
      <c r="AN36" s="298">
        <f>IFERROR(__xludf.DUMMYFUNCTION("""COMPUTED_VALUE"""),0.0726532)</f>
        <v>0.0726532</v>
      </c>
      <c r="AO36" s="298">
        <f>IFERROR(__xludf.DUMMYFUNCTION("""COMPUTED_VALUE"""),0.0726532)</f>
        <v>0.0726532</v>
      </c>
      <c r="AP36" s="298">
        <f>IFERROR(__xludf.DUMMYFUNCTION("""COMPUTED_VALUE"""),0.0726532)</f>
        <v>0.0726532</v>
      </c>
      <c r="AQ36" s="298">
        <f>IFERROR(__xludf.DUMMYFUNCTION("""COMPUTED_VALUE"""),0.0726532)</f>
        <v>0.0726532</v>
      </c>
      <c r="AR36" s="298">
        <f>IFERROR(__xludf.DUMMYFUNCTION("""COMPUTED_VALUE"""),0.0726532)</f>
        <v>0.0726532</v>
      </c>
      <c r="AS36" s="298">
        <f>IFERROR(__xludf.DUMMYFUNCTION("""COMPUTED_VALUE"""),0.0726532)</f>
        <v>0.0726532</v>
      </c>
      <c r="AT36" s="298">
        <f>IFERROR(__xludf.DUMMYFUNCTION("""COMPUTED_VALUE"""),0.0726532)</f>
        <v>0.0726532</v>
      </c>
      <c r="AU36" s="298">
        <f>IFERROR(__xludf.DUMMYFUNCTION("""COMPUTED_VALUE"""),0.0726532)</f>
        <v>0.0726532</v>
      </c>
      <c r="AV36" s="298">
        <f>IFERROR(__xludf.DUMMYFUNCTION("""COMPUTED_VALUE"""),0.0726532)</f>
        <v>0.0726532</v>
      </c>
      <c r="AW36" s="298">
        <f>IFERROR(__xludf.DUMMYFUNCTION("""COMPUTED_VALUE"""),0.0726532)</f>
        <v>0.0726532</v>
      </c>
      <c r="AX36" s="298">
        <f>IFERROR(__xludf.DUMMYFUNCTION("""COMPUTED_VALUE"""),0.0726532)</f>
        <v>0.0726532</v>
      </c>
      <c r="AY36" s="298">
        <f>IFERROR(__xludf.DUMMYFUNCTION("""COMPUTED_VALUE"""),0.0726532)</f>
        <v>0.0726532</v>
      </c>
      <c r="AZ36" s="298">
        <f>IFERROR(__xludf.DUMMYFUNCTION("""COMPUTED_VALUE"""),0.0726532)</f>
        <v>0.0726532</v>
      </c>
      <c r="BA36" s="298">
        <f>IFERROR(__xludf.DUMMYFUNCTION("""COMPUTED_VALUE"""),0.0726532)</f>
        <v>0.0726532</v>
      </c>
      <c r="BB36" s="298">
        <f>IFERROR(__xludf.DUMMYFUNCTION("""COMPUTED_VALUE"""),0.0726532)</f>
        <v>0.0726532</v>
      </c>
      <c r="BC36" s="298">
        <f>IFERROR(__xludf.DUMMYFUNCTION("""COMPUTED_VALUE"""),0.0726532)</f>
        <v>0.0726532</v>
      </c>
      <c r="BD36" s="298">
        <f>IFERROR(__xludf.DUMMYFUNCTION("""COMPUTED_VALUE"""),0.0726532)</f>
        <v>0.0726532</v>
      </c>
      <c r="BE36" s="298">
        <f>IFERROR(__xludf.DUMMYFUNCTION("""COMPUTED_VALUE"""),0.0726532)</f>
        <v>0.0726532</v>
      </c>
      <c r="BF36" s="298">
        <f>IFERROR(__xludf.DUMMYFUNCTION("""COMPUTED_VALUE"""),0.0726532)</f>
        <v>0.0726532</v>
      </c>
      <c r="BG36" s="298">
        <f>IFERROR(__xludf.DUMMYFUNCTION("""COMPUTED_VALUE"""),0.0726532)</f>
        <v>0.0726532</v>
      </c>
      <c r="BH36" s="298">
        <f>IFERROR(__xludf.DUMMYFUNCTION("""COMPUTED_VALUE"""),0.0726532)</f>
        <v>0.0726532</v>
      </c>
      <c r="BI36" s="298">
        <f>IFERROR(__xludf.DUMMYFUNCTION("""COMPUTED_VALUE"""),0.0726532)</f>
        <v>0.0726532</v>
      </c>
      <c r="BJ36" s="298">
        <f>IFERROR(__xludf.DUMMYFUNCTION("""COMPUTED_VALUE"""),0.0726532)</f>
        <v>0.0726532</v>
      </c>
      <c r="BK36" s="298">
        <f>IFERROR(__xludf.DUMMYFUNCTION("""COMPUTED_VALUE"""),0.0726532)</f>
        <v>0.0726532</v>
      </c>
      <c r="BL36" s="298">
        <f>IFERROR(__xludf.DUMMYFUNCTION("""COMPUTED_VALUE"""),0.0726532)</f>
        <v>0.0726532</v>
      </c>
      <c r="BM36" s="298">
        <f>IFERROR(__xludf.DUMMYFUNCTION("""COMPUTED_VALUE"""),0.0726532)</f>
        <v>0.0726532</v>
      </c>
      <c r="BN36" s="298">
        <f>IFERROR(__xludf.DUMMYFUNCTION("""COMPUTED_VALUE"""),0.0726532)</f>
        <v>0.0726532</v>
      </c>
    </row>
    <row r="37">
      <c r="A37" s="291" t="s">
        <v>58</v>
      </c>
      <c r="B37" s="293">
        <v>21830.655546</v>
      </c>
      <c r="C37" s="293">
        <v>31789.6838424</v>
      </c>
      <c r="D37" s="294">
        <f t="shared" si="1"/>
        <v>53620.33939</v>
      </c>
      <c r="E37" s="294">
        <v>18805.152299999998</v>
      </c>
      <c r="F37" s="293">
        <v>17117.290871999998</v>
      </c>
      <c r="G37" s="293">
        <v>15586.4382</v>
      </c>
      <c r="H37" s="294">
        <f t="shared" si="2"/>
        <v>32703.72907</v>
      </c>
      <c r="I37" s="293"/>
      <c r="J37" s="17"/>
      <c r="L37" s="292"/>
      <c r="M37" s="292">
        <f>IFERROR(__xludf.DUMMYFUNCTION("""COMPUTED_VALUE"""),11.0)</f>
        <v>11</v>
      </c>
      <c r="N37" s="298">
        <f>IFERROR(__xludf.DUMMYFUNCTION("""COMPUTED_VALUE"""),0.00101833)</f>
        <v>0.00101833</v>
      </c>
      <c r="O37" s="298">
        <f>IFERROR(__xludf.DUMMYFUNCTION("""COMPUTED_VALUE"""),0.0010453)</f>
        <v>0.0010453</v>
      </c>
      <c r="P37" s="298">
        <f>IFERROR(__xludf.DUMMYFUNCTION("""COMPUTED_VALUE"""),0.00135135)</f>
        <v>0.00135135</v>
      </c>
      <c r="Q37" s="298">
        <f>IFERROR(__xludf.DUMMYFUNCTION("""COMPUTED_VALUE"""),9.8912E-4)</f>
        <v>0.00098912</v>
      </c>
      <c r="R37" s="298">
        <f>IFERROR(__xludf.DUMMYFUNCTION("""COMPUTED_VALUE"""),0.00101351)</f>
        <v>0.00101351</v>
      </c>
      <c r="S37" s="298">
        <f>IFERROR(__xludf.DUMMYFUNCTION("""COMPUTED_VALUE"""),0.00101146)</f>
        <v>0.00101146</v>
      </c>
      <c r="T37" s="298">
        <f>IFERROR(__xludf.DUMMYFUNCTION("""COMPUTED_VALUE"""),0.00104348)</f>
        <v>0.00104348</v>
      </c>
      <c r="U37" s="298">
        <f>IFERROR(__xludf.DUMMYFUNCTION("""COMPUTED_VALUE"""),9.7593E-4)</f>
        <v>0.00097593</v>
      </c>
      <c r="V37" s="298">
        <f>IFERROR(__xludf.DUMMYFUNCTION("""COMPUTED_VALUE"""),9.8232E-4)</f>
        <v>0.00098232</v>
      </c>
      <c r="W37" s="298">
        <f>IFERROR(__xludf.DUMMYFUNCTION("""COMPUTED_VALUE"""),9.3313E-4)</f>
        <v>0.00093313</v>
      </c>
      <c r="X37" s="298">
        <f>IFERROR(__xludf.DUMMYFUNCTION("""COMPUTED_VALUE"""),0.00102284)</f>
        <v>0.00102284</v>
      </c>
      <c r="Y37" s="298">
        <f>IFERROR(__xludf.DUMMYFUNCTION("""COMPUTED_VALUE"""),0.0010772)</f>
        <v>0.0010772</v>
      </c>
      <c r="Z37" s="298">
        <f>IFERROR(__xludf.DUMMYFUNCTION("""COMPUTED_VALUE"""),0.00110906)</f>
        <v>0.00110906</v>
      </c>
      <c r="AA37" s="298">
        <f>IFERROR(__xludf.DUMMYFUNCTION("""COMPUTED_VALUE"""),0.0021253)</f>
        <v>0.0021253</v>
      </c>
      <c r="AB37" s="298">
        <f>IFERROR(__xludf.DUMMYFUNCTION("""COMPUTED_VALUE"""),0.0021253)</f>
        <v>0.0021253</v>
      </c>
      <c r="AC37" s="298">
        <f>IFERROR(__xludf.DUMMYFUNCTION("""COMPUTED_VALUE"""),0.0021253)</f>
        <v>0.0021253</v>
      </c>
      <c r="AD37" s="298">
        <f>IFERROR(__xludf.DUMMYFUNCTION("""COMPUTED_VALUE"""),0.0021253)</f>
        <v>0.0021253</v>
      </c>
      <c r="AE37" s="298">
        <f>IFERROR(__xludf.DUMMYFUNCTION("""COMPUTED_VALUE"""),0.0021253)</f>
        <v>0.0021253</v>
      </c>
      <c r="AF37" s="298">
        <f>IFERROR(__xludf.DUMMYFUNCTION("""COMPUTED_VALUE"""),0.0021253)</f>
        <v>0.0021253</v>
      </c>
      <c r="AG37" s="298">
        <f>IFERROR(__xludf.DUMMYFUNCTION("""COMPUTED_VALUE"""),0.0021253)</f>
        <v>0.0021253</v>
      </c>
      <c r="AH37" s="298">
        <f>IFERROR(__xludf.DUMMYFUNCTION("""COMPUTED_VALUE"""),0.0021253)</f>
        <v>0.0021253</v>
      </c>
      <c r="AI37" s="298">
        <f>IFERROR(__xludf.DUMMYFUNCTION("""COMPUTED_VALUE"""),0.0021253)</f>
        <v>0.0021253</v>
      </c>
      <c r="AJ37" s="298">
        <f>IFERROR(__xludf.DUMMYFUNCTION("""COMPUTED_VALUE"""),0.0021253)</f>
        <v>0.0021253</v>
      </c>
      <c r="AK37" s="298">
        <f>IFERROR(__xludf.DUMMYFUNCTION("""COMPUTED_VALUE"""),0.0021253)</f>
        <v>0.0021253</v>
      </c>
      <c r="AL37" s="298">
        <f>IFERROR(__xludf.DUMMYFUNCTION("""COMPUTED_VALUE"""),0.0021253)</f>
        <v>0.0021253</v>
      </c>
      <c r="AM37" s="298">
        <f>IFERROR(__xludf.DUMMYFUNCTION("""COMPUTED_VALUE"""),0.0021253)</f>
        <v>0.0021253</v>
      </c>
      <c r="AN37" s="298">
        <f>IFERROR(__xludf.DUMMYFUNCTION("""COMPUTED_VALUE"""),0.0021253)</f>
        <v>0.0021253</v>
      </c>
      <c r="AO37" s="298">
        <f>IFERROR(__xludf.DUMMYFUNCTION("""COMPUTED_VALUE"""),0.0021253)</f>
        <v>0.0021253</v>
      </c>
      <c r="AP37" s="298">
        <f>IFERROR(__xludf.DUMMYFUNCTION("""COMPUTED_VALUE"""),0.0021253)</f>
        <v>0.0021253</v>
      </c>
      <c r="AQ37" s="298">
        <f>IFERROR(__xludf.DUMMYFUNCTION("""COMPUTED_VALUE"""),0.0021253)</f>
        <v>0.0021253</v>
      </c>
      <c r="AR37" s="298">
        <f>IFERROR(__xludf.DUMMYFUNCTION("""COMPUTED_VALUE"""),0.0021253)</f>
        <v>0.0021253</v>
      </c>
      <c r="AS37" s="298">
        <f>IFERROR(__xludf.DUMMYFUNCTION("""COMPUTED_VALUE"""),0.0021253)</f>
        <v>0.0021253</v>
      </c>
      <c r="AT37" s="298">
        <f>IFERROR(__xludf.DUMMYFUNCTION("""COMPUTED_VALUE"""),0.0021253)</f>
        <v>0.0021253</v>
      </c>
      <c r="AU37" s="298">
        <f>IFERROR(__xludf.DUMMYFUNCTION("""COMPUTED_VALUE"""),0.0021253)</f>
        <v>0.0021253</v>
      </c>
      <c r="AV37" s="298">
        <f>IFERROR(__xludf.DUMMYFUNCTION("""COMPUTED_VALUE"""),0.0021253)</f>
        <v>0.0021253</v>
      </c>
      <c r="AW37" s="298">
        <f>IFERROR(__xludf.DUMMYFUNCTION("""COMPUTED_VALUE"""),0.0021253)</f>
        <v>0.0021253</v>
      </c>
      <c r="AX37" s="298">
        <f>IFERROR(__xludf.DUMMYFUNCTION("""COMPUTED_VALUE"""),0.0021253)</f>
        <v>0.0021253</v>
      </c>
      <c r="AY37" s="298">
        <f>IFERROR(__xludf.DUMMYFUNCTION("""COMPUTED_VALUE"""),0.0021253)</f>
        <v>0.0021253</v>
      </c>
      <c r="AZ37" s="298">
        <f>IFERROR(__xludf.DUMMYFUNCTION("""COMPUTED_VALUE"""),0.0021253)</f>
        <v>0.0021253</v>
      </c>
      <c r="BA37" s="298">
        <f>IFERROR(__xludf.DUMMYFUNCTION("""COMPUTED_VALUE"""),0.0021253)</f>
        <v>0.0021253</v>
      </c>
      <c r="BB37" s="298">
        <f>IFERROR(__xludf.DUMMYFUNCTION("""COMPUTED_VALUE"""),0.0021253)</f>
        <v>0.0021253</v>
      </c>
      <c r="BC37" s="298">
        <f>IFERROR(__xludf.DUMMYFUNCTION("""COMPUTED_VALUE"""),0.0021253)</f>
        <v>0.0021253</v>
      </c>
      <c r="BD37" s="298">
        <f>IFERROR(__xludf.DUMMYFUNCTION("""COMPUTED_VALUE"""),0.0021253)</f>
        <v>0.0021253</v>
      </c>
      <c r="BE37" s="298">
        <f>IFERROR(__xludf.DUMMYFUNCTION("""COMPUTED_VALUE"""),0.0021253)</f>
        <v>0.0021253</v>
      </c>
      <c r="BF37" s="298">
        <f>IFERROR(__xludf.DUMMYFUNCTION("""COMPUTED_VALUE"""),0.0021253)</f>
        <v>0.0021253</v>
      </c>
      <c r="BG37" s="298">
        <f>IFERROR(__xludf.DUMMYFUNCTION("""COMPUTED_VALUE"""),0.0021253)</f>
        <v>0.0021253</v>
      </c>
      <c r="BH37" s="298">
        <f>IFERROR(__xludf.DUMMYFUNCTION("""COMPUTED_VALUE"""),0.0021253)</f>
        <v>0.0021253</v>
      </c>
      <c r="BI37" s="298">
        <f>IFERROR(__xludf.DUMMYFUNCTION("""COMPUTED_VALUE"""),0.0021253)</f>
        <v>0.0021253</v>
      </c>
      <c r="BJ37" s="298">
        <f>IFERROR(__xludf.DUMMYFUNCTION("""COMPUTED_VALUE"""),0.0021253)</f>
        <v>0.0021253</v>
      </c>
      <c r="BK37" s="298">
        <f>IFERROR(__xludf.DUMMYFUNCTION("""COMPUTED_VALUE"""),0.0021253)</f>
        <v>0.0021253</v>
      </c>
      <c r="BL37" s="298">
        <f>IFERROR(__xludf.DUMMYFUNCTION("""COMPUTED_VALUE"""),0.0021253)</f>
        <v>0.0021253</v>
      </c>
      <c r="BM37" s="298">
        <f>IFERROR(__xludf.DUMMYFUNCTION("""COMPUTED_VALUE"""),0.0021253)</f>
        <v>0.0021253</v>
      </c>
      <c r="BN37" s="298">
        <f>IFERROR(__xludf.DUMMYFUNCTION("""COMPUTED_VALUE"""),0.0021253)</f>
        <v>0.0021253</v>
      </c>
    </row>
    <row r="38">
      <c r="A38" s="291" t="s">
        <v>59</v>
      </c>
      <c r="B38" s="293">
        <v>24571.114764</v>
      </c>
      <c r="C38" s="293">
        <v>35580.7597248</v>
      </c>
      <c r="D38" s="294">
        <f t="shared" si="1"/>
        <v>60151.87449</v>
      </c>
      <c r="E38" s="294">
        <v>20899.964399999997</v>
      </c>
      <c r="F38" s="293">
        <v>19267.986583999995</v>
      </c>
      <c r="G38" s="293">
        <v>16721.604000000003</v>
      </c>
      <c r="H38" s="294">
        <f t="shared" si="2"/>
        <v>35989.59058</v>
      </c>
      <c r="I38" s="293"/>
      <c r="J38" s="17"/>
      <c r="L38" s="292"/>
      <c r="M38" s="292">
        <f>IFERROR(__xludf.DUMMYFUNCTION("""COMPUTED_VALUE"""),12.0)</f>
        <v>12</v>
      </c>
      <c r="N38" s="298">
        <f>IFERROR(__xludf.DUMMYFUNCTION("""COMPUTED_VALUE"""),0.02087576)</f>
        <v>0.02087576</v>
      </c>
      <c r="O38" s="298">
        <f>IFERROR(__xludf.DUMMYFUNCTION("""COMPUTED_VALUE"""),0.02020906)</f>
        <v>0.02020906</v>
      </c>
      <c r="P38" s="298">
        <f>IFERROR(__xludf.DUMMYFUNCTION("""COMPUTED_VALUE"""),0.02060811)</f>
        <v>0.02060811</v>
      </c>
      <c r="Q38" s="298">
        <f>IFERROR(__xludf.DUMMYFUNCTION("""COMPUTED_VALUE"""),0.02044181)</f>
        <v>0.02044181</v>
      </c>
      <c r="R38" s="298">
        <f>IFERROR(__xludf.DUMMYFUNCTION("""COMPUTED_VALUE"""),0.02027027)</f>
        <v>0.02027027</v>
      </c>
      <c r="S38" s="298">
        <f>IFERROR(__xludf.DUMMYFUNCTION("""COMPUTED_VALUE"""),0.02090357)</f>
        <v>0.02090357</v>
      </c>
      <c r="T38" s="298">
        <f>IFERROR(__xludf.DUMMYFUNCTION("""COMPUTED_VALUE"""),0.02086957)</f>
        <v>0.02086957</v>
      </c>
      <c r="U38" s="298">
        <f>IFERROR(__xludf.DUMMYFUNCTION("""COMPUTED_VALUE"""),0.02049447)</f>
        <v>0.02049447</v>
      </c>
      <c r="V38" s="298">
        <f>IFERROR(__xludf.DUMMYFUNCTION("""COMPUTED_VALUE"""),0.02030124)</f>
        <v>0.02030124</v>
      </c>
      <c r="W38" s="298">
        <f>IFERROR(__xludf.DUMMYFUNCTION("""COMPUTED_VALUE"""),0.02021773)</f>
        <v>0.02021773</v>
      </c>
      <c r="X38" s="298">
        <f>IFERROR(__xludf.DUMMYFUNCTION("""COMPUTED_VALUE"""),0.01977497)</f>
        <v>0.01977497</v>
      </c>
      <c r="Y38" s="298">
        <f>IFERROR(__xludf.DUMMYFUNCTION("""COMPUTED_VALUE"""),0.01974865)</f>
        <v>0.01974865</v>
      </c>
      <c r="Z38" s="298">
        <f>IFERROR(__xludf.DUMMYFUNCTION("""COMPUTED_VALUE"""),0.01996303)</f>
        <v>0.01996303</v>
      </c>
      <c r="AA38" s="298">
        <f>IFERROR(__xludf.DUMMYFUNCTION("""COMPUTED_VALUE"""),0.0216294)</f>
        <v>0.0216294</v>
      </c>
      <c r="AB38" s="298">
        <f>IFERROR(__xludf.DUMMYFUNCTION("""COMPUTED_VALUE"""),0.0216294)</f>
        <v>0.0216294</v>
      </c>
      <c r="AC38" s="298">
        <f>IFERROR(__xludf.DUMMYFUNCTION("""COMPUTED_VALUE"""),0.0216294)</f>
        <v>0.0216294</v>
      </c>
      <c r="AD38" s="298">
        <f>IFERROR(__xludf.DUMMYFUNCTION("""COMPUTED_VALUE"""),0.0216294)</f>
        <v>0.0216294</v>
      </c>
      <c r="AE38" s="298">
        <f>IFERROR(__xludf.DUMMYFUNCTION("""COMPUTED_VALUE"""),0.0216294)</f>
        <v>0.0216294</v>
      </c>
      <c r="AF38" s="298">
        <f>IFERROR(__xludf.DUMMYFUNCTION("""COMPUTED_VALUE"""),0.0216294)</f>
        <v>0.0216294</v>
      </c>
      <c r="AG38" s="298">
        <f>IFERROR(__xludf.DUMMYFUNCTION("""COMPUTED_VALUE"""),0.0216294)</f>
        <v>0.0216294</v>
      </c>
      <c r="AH38" s="298">
        <f>IFERROR(__xludf.DUMMYFUNCTION("""COMPUTED_VALUE"""),0.0216294)</f>
        <v>0.0216294</v>
      </c>
      <c r="AI38" s="298">
        <f>IFERROR(__xludf.DUMMYFUNCTION("""COMPUTED_VALUE"""),0.0216294)</f>
        <v>0.0216294</v>
      </c>
      <c r="AJ38" s="298">
        <f>IFERROR(__xludf.DUMMYFUNCTION("""COMPUTED_VALUE"""),0.0216294)</f>
        <v>0.0216294</v>
      </c>
      <c r="AK38" s="298">
        <f>IFERROR(__xludf.DUMMYFUNCTION("""COMPUTED_VALUE"""),0.0216294)</f>
        <v>0.0216294</v>
      </c>
      <c r="AL38" s="298">
        <f>IFERROR(__xludf.DUMMYFUNCTION("""COMPUTED_VALUE"""),0.0216294)</f>
        <v>0.0216294</v>
      </c>
      <c r="AM38" s="298">
        <f>IFERROR(__xludf.DUMMYFUNCTION("""COMPUTED_VALUE"""),0.0216294)</f>
        <v>0.0216294</v>
      </c>
      <c r="AN38" s="298">
        <f>IFERROR(__xludf.DUMMYFUNCTION("""COMPUTED_VALUE"""),0.0216294)</f>
        <v>0.0216294</v>
      </c>
      <c r="AO38" s="298">
        <f>IFERROR(__xludf.DUMMYFUNCTION("""COMPUTED_VALUE"""),0.0216294)</f>
        <v>0.0216294</v>
      </c>
      <c r="AP38" s="298">
        <f>IFERROR(__xludf.DUMMYFUNCTION("""COMPUTED_VALUE"""),0.0216294)</f>
        <v>0.0216294</v>
      </c>
      <c r="AQ38" s="298">
        <f>IFERROR(__xludf.DUMMYFUNCTION("""COMPUTED_VALUE"""),0.0216294)</f>
        <v>0.0216294</v>
      </c>
      <c r="AR38" s="298">
        <f>IFERROR(__xludf.DUMMYFUNCTION("""COMPUTED_VALUE"""),0.0216294)</f>
        <v>0.0216294</v>
      </c>
      <c r="AS38" s="298">
        <f>IFERROR(__xludf.DUMMYFUNCTION("""COMPUTED_VALUE"""),0.0216294)</f>
        <v>0.0216294</v>
      </c>
      <c r="AT38" s="298">
        <f>IFERROR(__xludf.DUMMYFUNCTION("""COMPUTED_VALUE"""),0.0216294)</f>
        <v>0.0216294</v>
      </c>
      <c r="AU38" s="298">
        <f>IFERROR(__xludf.DUMMYFUNCTION("""COMPUTED_VALUE"""),0.0216294)</f>
        <v>0.0216294</v>
      </c>
      <c r="AV38" s="298">
        <f>IFERROR(__xludf.DUMMYFUNCTION("""COMPUTED_VALUE"""),0.0216294)</f>
        <v>0.0216294</v>
      </c>
      <c r="AW38" s="298">
        <f>IFERROR(__xludf.DUMMYFUNCTION("""COMPUTED_VALUE"""),0.0216294)</f>
        <v>0.0216294</v>
      </c>
      <c r="AX38" s="298">
        <f>IFERROR(__xludf.DUMMYFUNCTION("""COMPUTED_VALUE"""),0.0216294)</f>
        <v>0.0216294</v>
      </c>
      <c r="AY38" s="298">
        <f>IFERROR(__xludf.DUMMYFUNCTION("""COMPUTED_VALUE"""),0.0216294)</f>
        <v>0.0216294</v>
      </c>
      <c r="AZ38" s="298">
        <f>IFERROR(__xludf.DUMMYFUNCTION("""COMPUTED_VALUE"""),0.0216294)</f>
        <v>0.0216294</v>
      </c>
      <c r="BA38" s="298">
        <f>IFERROR(__xludf.DUMMYFUNCTION("""COMPUTED_VALUE"""),0.0216294)</f>
        <v>0.0216294</v>
      </c>
      <c r="BB38" s="298">
        <f>IFERROR(__xludf.DUMMYFUNCTION("""COMPUTED_VALUE"""),0.0216294)</f>
        <v>0.0216294</v>
      </c>
      <c r="BC38" s="298">
        <f>IFERROR(__xludf.DUMMYFUNCTION("""COMPUTED_VALUE"""),0.0216294)</f>
        <v>0.0216294</v>
      </c>
      <c r="BD38" s="298">
        <f>IFERROR(__xludf.DUMMYFUNCTION("""COMPUTED_VALUE"""),0.0216294)</f>
        <v>0.0216294</v>
      </c>
      <c r="BE38" s="298">
        <f>IFERROR(__xludf.DUMMYFUNCTION("""COMPUTED_VALUE"""),0.0216294)</f>
        <v>0.0216294</v>
      </c>
      <c r="BF38" s="298">
        <f>IFERROR(__xludf.DUMMYFUNCTION("""COMPUTED_VALUE"""),0.0216294)</f>
        <v>0.0216294</v>
      </c>
      <c r="BG38" s="298">
        <f>IFERROR(__xludf.DUMMYFUNCTION("""COMPUTED_VALUE"""),0.0216294)</f>
        <v>0.0216294</v>
      </c>
      <c r="BH38" s="298">
        <f>IFERROR(__xludf.DUMMYFUNCTION("""COMPUTED_VALUE"""),0.0216294)</f>
        <v>0.0216294</v>
      </c>
      <c r="BI38" s="298">
        <f>IFERROR(__xludf.DUMMYFUNCTION("""COMPUTED_VALUE"""),0.0216294)</f>
        <v>0.0216294</v>
      </c>
      <c r="BJ38" s="298">
        <f>IFERROR(__xludf.DUMMYFUNCTION("""COMPUTED_VALUE"""),0.0216294)</f>
        <v>0.0216294</v>
      </c>
      <c r="BK38" s="298">
        <f>IFERROR(__xludf.DUMMYFUNCTION("""COMPUTED_VALUE"""),0.0216294)</f>
        <v>0.0216294</v>
      </c>
      <c r="BL38" s="298">
        <f>IFERROR(__xludf.DUMMYFUNCTION("""COMPUTED_VALUE"""),0.0216294)</f>
        <v>0.0216294</v>
      </c>
      <c r="BM38" s="298">
        <f>IFERROR(__xludf.DUMMYFUNCTION("""COMPUTED_VALUE"""),0.0216294)</f>
        <v>0.0216294</v>
      </c>
      <c r="BN38" s="298">
        <f>IFERROR(__xludf.DUMMYFUNCTION("""COMPUTED_VALUE"""),0.0216294)</f>
        <v>0.0216294</v>
      </c>
    </row>
    <row r="39">
      <c r="A39" s="291" t="s">
        <v>60</v>
      </c>
      <c r="B39" s="293">
        <v>27104.071848</v>
      </c>
      <c r="C39" s="293">
        <v>38811.863448000004</v>
      </c>
      <c r="D39" s="294">
        <f t="shared" si="1"/>
        <v>65915.9353</v>
      </c>
      <c r="E39" s="294">
        <v>23725.151599999997</v>
      </c>
      <c r="F39" s="293">
        <v>21514.982103999995</v>
      </c>
      <c r="G39" s="293">
        <v>17319.7752</v>
      </c>
      <c r="H39" s="294">
        <f t="shared" si="2"/>
        <v>38834.7573</v>
      </c>
      <c r="I39" s="293"/>
      <c r="J39" s="17"/>
      <c r="L39" s="292"/>
      <c r="M39" s="292">
        <f>IFERROR(__xludf.DUMMYFUNCTION("""COMPUTED_VALUE"""),13.0)</f>
        <v>13</v>
      </c>
      <c r="N39" s="298">
        <f>IFERROR(__xludf.DUMMYFUNCTION("""COMPUTED_VALUE"""),5.0917E-4)</f>
        <v>0.00050917</v>
      </c>
      <c r="O39" s="298">
        <f>IFERROR(__xludf.DUMMYFUNCTION("""COMPUTED_VALUE"""),3.4843E-4)</f>
        <v>0.00034843</v>
      </c>
      <c r="P39" s="298">
        <f>IFERROR(__xludf.DUMMYFUNCTION("""COMPUTED_VALUE"""),3.3784E-4)</f>
        <v>0.00033784</v>
      </c>
      <c r="Q39" s="298">
        <f>IFERROR(__xludf.DUMMYFUNCTION("""COMPUTED_VALUE"""),3.2971E-4)</f>
        <v>0.00032971</v>
      </c>
      <c r="R39" s="298">
        <f>IFERROR(__xludf.DUMMYFUNCTION("""COMPUTED_VALUE"""),3.3784E-4)</f>
        <v>0.00033784</v>
      </c>
      <c r="S39" s="298">
        <f>IFERROR(__xludf.DUMMYFUNCTION("""COMPUTED_VALUE"""),3.3715E-4)</f>
        <v>0.00033715</v>
      </c>
      <c r="T39" s="298">
        <f>IFERROR(__xludf.DUMMYFUNCTION("""COMPUTED_VALUE"""),3.4783E-4)</f>
        <v>0.00034783</v>
      </c>
      <c r="U39" s="298">
        <f>IFERROR(__xludf.DUMMYFUNCTION("""COMPUTED_VALUE"""),3.2531E-4)</f>
        <v>0.00032531</v>
      </c>
      <c r="V39" s="298">
        <f>IFERROR(__xludf.DUMMYFUNCTION("""COMPUTED_VALUE"""),3.2744E-4)</f>
        <v>0.00032744</v>
      </c>
      <c r="W39" s="298">
        <f>IFERROR(__xludf.DUMMYFUNCTION("""COMPUTED_VALUE"""),3.1104E-4)</f>
        <v>0.00031104</v>
      </c>
      <c r="X39" s="298">
        <f>IFERROR(__xludf.DUMMYFUNCTION("""COMPUTED_VALUE"""),3.4095E-4)</f>
        <v>0.00034095</v>
      </c>
      <c r="Y39" s="298">
        <f>IFERROR(__xludf.DUMMYFUNCTION("""COMPUTED_VALUE"""),3.5907E-4)</f>
        <v>0.00035907</v>
      </c>
      <c r="Z39" s="298">
        <f>IFERROR(__xludf.DUMMYFUNCTION("""COMPUTED_VALUE"""),3.6969E-4)</f>
        <v>0.00036969</v>
      </c>
      <c r="AA39" s="298">
        <f>IFERROR(__xludf.DUMMYFUNCTION("""COMPUTED_VALUE"""),9.622E-4)</f>
        <v>0.0009622</v>
      </c>
      <c r="AB39" s="298">
        <f>IFERROR(__xludf.DUMMYFUNCTION("""COMPUTED_VALUE"""),9.622E-4)</f>
        <v>0.0009622</v>
      </c>
      <c r="AC39" s="298">
        <f>IFERROR(__xludf.DUMMYFUNCTION("""COMPUTED_VALUE"""),9.622E-4)</f>
        <v>0.0009622</v>
      </c>
      <c r="AD39" s="298">
        <f>IFERROR(__xludf.DUMMYFUNCTION("""COMPUTED_VALUE"""),9.622E-4)</f>
        <v>0.0009622</v>
      </c>
      <c r="AE39" s="298">
        <f>IFERROR(__xludf.DUMMYFUNCTION("""COMPUTED_VALUE"""),9.622E-4)</f>
        <v>0.0009622</v>
      </c>
      <c r="AF39" s="298">
        <f>IFERROR(__xludf.DUMMYFUNCTION("""COMPUTED_VALUE"""),9.622E-4)</f>
        <v>0.0009622</v>
      </c>
      <c r="AG39" s="298">
        <f>IFERROR(__xludf.DUMMYFUNCTION("""COMPUTED_VALUE"""),9.622E-4)</f>
        <v>0.0009622</v>
      </c>
      <c r="AH39" s="298">
        <f>IFERROR(__xludf.DUMMYFUNCTION("""COMPUTED_VALUE"""),9.622E-4)</f>
        <v>0.0009622</v>
      </c>
      <c r="AI39" s="298">
        <f>IFERROR(__xludf.DUMMYFUNCTION("""COMPUTED_VALUE"""),9.622E-4)</f>
        <v>0.0009622</v>
      </c>
      <c r="AJ39" s="298">
        <f>IFERROR(__xludf.DUMMYFUNCTION("""COMPUTED_VALUE"""),9.622E-4)</f>
        <v>0.0009622</v>
      </c>
      <c r="AK39" s="298">
        <f>IFERROR(__xludf.DUMMYFUNCTION("""COMPUTED_VALUE"""),9.622E-4)</f>
        <v>0.0009622</v>
      </c>
      <c r="AL39" s="298">
        <f>IFERROR(__xludf.DUMMYFUNCTION("""COMPUTED_VALUE"""),9.622E-4)</f>
        <v>0.0009622</v>
      </c>
      <c r="AM39" s="298">
        <f>IFERROR(__xludf.DUMMYFUNCTION("""COMPUTED_VALUE"""),9.622E-4)</f>
        <v>0.0009622</v>
      </c>
      <c r="AN39" s="298">
        <f>IFERROR(__xludf.DUMMYFUNCTION("""COMPUTED_VALUE"""),9.622E-4)</f>
        <v>0.0009622</v>
      </c>
      <c r="AO39" s="298">
        <f>IFERROR(__xludf.DUMMYFUNCTION("""COMPUTED_VALUE"""),9.622E-4)</f>
        <v>0.0009622</v>
      </c>
      <c r="AP39" s="298">
        <f>IFERROR(__xludf.DUMMYFUNCTION("""COMPUTED_VALUE"""),9.622E-4)</f>
        <v>0.0009622</v>
      </c>
      <c r="AQ39" s="298">
        <f>IFERROR(__xludf.DUMMYFUNCTION("""COMPUTED_VALUE"""),9.622E-4)</f>
        <v>0.0009622</v>
      </c>
      <c r="AR39" s="298">
        <f>IFERROR(__xludf.DUMMYFUNCTION("""COMPUTED_VALUE"""),9.622E-4)</f>
        <v>0.0009622</v>
      </c>
      <c r="AS39" s="298">
        <f>IFERROR(__xludf.DUMMYFUNCTION("""COMPUTED_VALUE"""),9.622E-4)</f>
        <v>0.0009622</v>
      </c>
      <c r="AT39" s="298">
        <f>IFERROR(__xludf.DUMMYFUNCTION("""COMPUTED_VALUE"""),9.622E-4)</f>
        <v>0.0009622</v>
      </c>
      <c r="AU39" s="298">
        <f>IFERROR(__xludf.DUMMYFUNCTION("""COMPUTED_VALUE"""),9.622E-4)</f>
        <v>0.0009622</v>
      </c>
      <c r="AV39" s="298">
        <f>IFERROR(__xludf.DUMMYFUNCTION("""COMPUTED_VALUE"""),9.622E-4)</f>
        <v>0.0009622</v>
      </c>
      <c r="AW39" s="298">
        <f>IFERROR(__xludf.DUMMYFUNCTION("""COMPUTED_VALUE"""),9.622E-4)</f>
        <v>0.0009622</v>
      </c>
      <c r="AX39" s="298">
        <f>IFERROR(__xludf.DUMMYFUNCTION("""COMPUTED_VALUE"""),9.622E-4)</f>
        <v>0.0009622</v>
      </c>
      <c r="AY39" s="298">
        <f>IFERROR(__xludf.DUMMYFUNCTION("""COMPUTED_VALUE"""),9.622E-4)</f>
        <v>0.0009622</v>
      </c>
      <c r="AZ39" s="298">
        <f>IFERROR(__xludf.DUMMYFUNCTION("""COMPUTED_VALUE"""),9.622E-4)</f>
        <v>0.0009622</v>
      </c>
      <c r="BA39" s="298">
        <f>IFERROR(__xludf.DUMMYFUNCTION("""COMPUTED_VALUE"""),9.622E-4)</f>
        <v>0.0009622</v>
      </c>
      <c r="BB39" s="298">
        <f>IFERROR(__xludf.DUMMYFUNCTION("""COMPUTED_VALUE"""),9.622E-4)</f>
        <v>0.0009622</v>
      </c>
      <c r="BC39" s="298">
        <f>IFERROR(__xludf.DUMMYFUNCTION("""COMPUTED_VALUE"""),9.622E-4)</f>
        <v>0.0009622</v>
      </c>
      <c r="BD39" s="298">
        <f>IFERROR(__xludf.DUMMYFUNCTION("""COMPUTED_VALUE"""),9.622E-4)</f>
        <v>0.0009622</v>
      </c>
      <c r="BE39" s="298">
        <f>IFERROR(__xludf.DUMMYFUNCTION("""COMPUTED_VALUE"""),9.622E-4)</f>
        <v>0.0009622</v>
      </c>
      <c r="BF39" s="298">
        <f>IFERROR(__xludf.DUMMYFUNCTION("""COMPUTED_VALUE"""),9.622E-4)</f>
        <v>0.0009622</v>
      </c>
      <c r="BG39" s="298">
        <f>IFERROR(__xludf.DUMMYFUNCTION("""COMPUTED_VALUE"""),9.622E-4)</f>
        <v>0.0009622</v>
      </c>
      <c r="BH39" s="298">
        <f>IFERROR(__xludf.DUMMYFUNCTION("""COMPUTED_VALUE"""),9.622E-4)</f>
        <v>0.0009622</v>
      </c>
      <c r="BI39" s="298">
        <f>IFERROR(__xludf.DUMMYFUNCTION("""COMPUTED_VALUE"""),9.622E-4)</f>
        <v>0.0009622</v>
      </c>
      <c r="BJ39" s="298">
        <f>IFERROR(__xludf.DUMMYFUNCTION("""COMPUTED_VALUE"""),9.622E-4)</f>
        <v>0.0009622</v>
      </c>
      <c r="BK39" s="298">
        <f>IFERROR(__xludf.DUMMYFUNCTION("""COMPUTED_VALUE"""),9.622E-4)</f>
        <v>0.0009622</v>
      </c>
      <c r="BL39" s="298">
        <f>IFERROR(__xludf.DUMMYFUNCTION("""COMPUTED_VALUE"""),9.622E-4)</f>
        <v>0.0009622</v>
      </c>
      <c r="BM39" s="298">
        <f>IFERROR(__xludf.DUMMYFUNCTION("""COMPUTED_VALUE"""),9.622E-4)</f>
        <v>0.0009622</v>
      </c>
      <c r="BN39" s="298">
        <f>IFERROR(__xludf.DUMMYFUNCTION("""COMPUTED_VALUE"""),9.622E-4)</f>
        <v>0.0009622</v>
      </c>
    </row>
    <row r="40">
      <c r="A40" s="291" t="s">
        <v>61</v>
      </c>
      <c r="B40" s="293">
        <v>28900.038594</v>
      </c>
      <c r="C40" s="293">
        <v>41437.9397808</v>
      </c>
      <c r="D40" s="294">
        <f t="shared" si="1"/>
        <v>70337.97837</v>
      </c>
      <c r="E40" s="294">
        <v>26132.9816</v>
      </c>
      <c r="F40" s="293">
        <v>22879.229383999995</v>
      </c>
      <c r="G40" s="293">
        <v>17917.9464</v>
      </c>
      <c r="H40" s="294">
        <f t="shared" si="2"/>
        <v>40797.17578</v>
      </c>
      <c r="I40" s="293"/>
      <c r="J40" s="17"/>
      <c r="L40" s="292"/>
      <c r="M40" s="292">
        <f>IFERROR(__xludf.DUMMYFUNCTION("""COMPUTED_VALUE"""),14.0)</f>
        <v>14</v>
      </c>
      <c r="N40" s="298">
        <f>IFERROR(__xludf.DUMMYFUNCTION("""COMPUTED_VALUE"""),0.05651731)</f>
        <v>0.05651731</v>
      </c>
      <c r="O40" s="298">
        <f>IFERROR(__xludf.DUMMYFUNCTION("""COMPUTED_VALUE"""),0.05400697)</f>
        <v>0.05400697</v>
      </c>
      <c r="P40" s="298">
        <f>IFERROR(__xludf.DUMMYFUNCTION("""COMPUTED_VALUE"""),0.05405405)</f>
        <v>0.05405405</v>
      </c>
      <c r="Q40" s="298">
        <f>IFERROR(__xludf.DUMMYFUNCTION("""COMPUTED_VALUE"""),0.05374217)</f>
        <v>0.05374217</v>
      </c>
      <c r="R40" s="298">
        <f>IFERROR(__xludf.DUMMYFUNCTION("""COMPUTED_VALUE"""),0.05439189)</f>
        <v>0.05439189</v>
      </c>
      <c r="S40" s="298">
        <f>IFERROR(__xludf.DUMMYFUNCTION("""COMPUTED_VALUE"""),0.05428186)</f>
        <v>0.05428186</v>
      </c>
      <c r="T40" s="298">
        <f>IFERROR(__xludf.DUMMYFUNCTION("""COMPUTED_VALUE"""),0.05426087)</f>
        <v>0.05426087</v>
      </c>
      <c r="U40" s="298">
        <f>IFERROR(__xludf.DUMMYFUNCTION("""COMPUTED_VALUE"""),0.05335068)</f>
        <v>0.05335068</v>
      </c>
      <c r="V40" s="298">
        <f>IFERROR(__xludf.DUMMYFUNCTION("""COMPUTED_VALUE"""),0.05304519)</f>
        <v>0.05304519</v>
      </c>
      <c r="W40" s="298">
        <f>IFERROR(__xludf.DUMMYFUNCTION("""COMPUTED_VALUE"""),0.05225505)</f>
        <v>0.05225505</v>
      </c>
      <c r="X40" s="298">
        <f>IFERROR(__xludf.DUMMYFUNCTION("""COMPUTED_VALUE"""),0.05216502)</f>
        <v>0.05216502</v>
      </c>
      <c r="Y40" s="298">
        <f>IFERROR(__xludf.DUMMYFUNCTION("""COMPUTED_VALUE"""),0.05098743)</f>
        <v>0.05098743</v>
      </c>
      <c r="Z40" s="298">
        <f>IFERROR(__xludf.DUMMYFUNCTION("""COMPUTED_VALUE"""),0.05064695)</f>
        <v>0.05064695</v>
      </c>
      <c r="AA40" s="298">
        <f>IFERROR(__xludf.DUMMYFUNCTION("""COMPUTED_VALUE"""),0.0553831)</f>
        <v>0.0553831</v>
      </c>
      <c r="AB40" s="298">
        <f>IFERROR(__xludf.DUMMYFUNCTION("""COMPUTED_VALUE"""),0.0553831)</f>
        <v>0.0553831</v>
      </c>
      <c r="AC40" s="298">
        <f>IFERROR(__xludf.DUMMYFUNCTION("""COMPUTED_VALUE"""),0.0553831)</f>
        <v>0.0553831</v>
      </c>
      <c r="AD40" s="298">
        <f>IFERROR(__xludf.DUMMYFUNCTION("""COMPUTED_VALUE"""),0.0553831)</f>
        <v>0.0553831</v>
      </c>
      <c r="AE40" s="298">
        <f>IFERROR(__xludf.DUMMYFUNCTION("""COMPUTED_VALUE"""),0.0553831)</f>
        <v>0.0553831</v>
      </c>
      <c r="AF40" s="298">
        <f>IFERROR(__xludf.DUMMYFUNCTION("""COMPUTED_VALUE"""),0.0553831)</f>
        <v>0.0553831</v>
      </c>
      <c r="AG40" s="298">
        <f>IFERROR(__xludf.DUMMYFUNCTION("""COMPUTED_VALUE"""),0.0553831)</f>
        <v>0.0553831</v>
      </c>
      <c r="AH40" s="298">
        <f>IFERROR(__xludf.DUMMYFUNCTION("""COMPUTED_VALUE"""),0.0553831)</f>
        <v>0.0553831</v>
      </c>
      <c r="AI40" s="298">
        <f>IFERROR(__xludf.DUMMYFUNCTION("""COMPUTED_VALUE"""),0.0553831)</f>
        <v>0.0553831</v>
      </c>
      <c r="AJ40" s="298">
        <f>IFERROR(__xludf.DUMMYFUNCTION("""COMPUTED_VALUE"""),0.0553831)</f>
        <v>0.0553831</v>
      </c>
      <c r="AK40" s="298">
        <f>IFERROR(__xludf.DUMMYFUNCTION("""COMPUTED_VALUE"""),0.0553831)</f>
        <v>0.0553831</v>
      </c>
      <c r="AL40" s="298">
        <f>IFERROR(__xludf.DUMMYFUNCTION("""COMPUTED_VALUE"""),0.055372)</f>
        <v>0.055372</v>
      </c>
      <c r="AM40" s="298">
        <f>IFERROR(__xludf.DUMMYFUNCTION("""COMPUTED_VALUE"""),0.0552726)</f>
        <v>0.0552726</v>
      </c>
      <c r="AN40" s="298">
        <f>IFERROR(__xludf.DUMMYFUNCTION("""COMPUTED_VALUE"""),0.0548304)</f>
        <v>0.0548304</v>
      </c>
      <c r="AO40" s="298">
        <f>IFERROR(__xludf.DUMMYFUNCTION("""COMPUTED_VALUE"""),0.0535408)</f>
        <v>0.0535408</v>
      </c>
      <c r="AP40" s="298">
        <f>IFERROR(__xludf.DUMMYFUNCTION("""COMPUTED_VALUE"""),0.0507774)</f>
        <v>0.0507774</v>
      </c>
      <c r="AQ40" s="298">
        <f>IFERROR(__xludf.DUMMYFUNCTION("""COMPUTED_VALUE"""),0.0461718)</f>
        <v>0.0461718</v>
      </c>
      <c r="AR40" s="298">
        <f>IFERROR(__xludf.DUMMYFUNCTION("""COMPUTED_VALUE"""),0.0400309)</f>
        <v>0.0400309</v>
      </c>
      <c r="AS40" s="298">
        <f>IFERROR(__xludf.DUMMYFUNCTION("""COMPUTED_VALUE"""),0.0334514)</f>
        <v>0.0334514</v>
      </c>
      <c r="AT40" s="298">
        <f>IFERROR(__xludf.DUMMYFUNCTION("""COMPUTED_VALUE"""),0.0279685)</f>
        <v>0.0279685</v>
      </c>
      <c r="AU40" s="298">
        <f>IFERROR(__xludf.DUMMYFUNCTION("""COMPUTED_VALUE"""),0.0249224)</f>
        <v>0.0249224</v>
      </c>
      <c r="AV40" s="298">
        <f>IFERROR(__xludf.DUMMYFUNCTION("""COMPUTED_VALUE"""),0.0249224)</f>
        <v>0.0249224</v>
      </c>
      <c r="AW40" s="298">
        <f>IFERROR(__xludf.DUMMYFUNCTION("""COMPUTED_VALUE"""),0.0249224)</f>
        <v>0.0249224</v>
      </c>
      <c r="AX40" s="298">
        <f>IFERROR(__xludf.DUMMYFUNCTION("""COMPUTED_VALUE"""),0.0249224)</f>
        <v>0.0249224</v>
      </c>
      <c r="AY40" s="298">
        <f>IFERROR(__xludf.DUMMYFUNCTION("""COMPUTED_VALUE"""),0.0249224)</f>
        <v>0.0249224</v>
      </c>
      <c r="AZ40" s="298">
        <f>IFERROR(__xludf.DUMMYFUNCTION("""COMPUTED_VALUE"""),0.0249224)</f>
        <v>0.0249224</v>
      </c>
      <c r="BA40" s="298">
        <f>IFERROR(__xludf.DUMMYFUNCTION("""COMPUTED_VALUE"""),0.0249224)</f>
        <v>0.0249224</v>
      </c>
      <c r="BB40" s="298">
        <f>IFERROR(__xludf.DUMMYFUNCTION("""COMPUTED_VALUE"""),0.0249224)</f>
        <v>0.0249224</v>
      </c>
      <c r="BC40" s="298">
        <f>IFERROR(__xludf.DUMMYFUNCTION("""COMPUTED_VALUE"""),0.0249224)</f>
        <v>0.0249224</v>
      </c>
      <c r="BD40" s="298">
        <f>IFERROR(__xludf.DUMMYFUNCTION("""COMPUTED_VALUE"""),0.0249224)</f>
        <v>0.0249224</v>
      </c>
      <c r="BE40" s="298">
        <f>IFERROR(__xludf.DUMMYFUNCTION("""COMPUTED_VALUE"""),0.0249224)</f>
        <v>0.0249224</v>
      </c>
      <c r="BF40" s="298">
        <f>IFERROR(__xludf.DUMMYFUNCTION("""COMPUTED_VALUE"""),0.0249224)</f>
        <v>0.0249224</v>
      </c>
      <c r="BG40" s="298">
        <f>IFERROR(__xludf.DUMMYFUNCTION("""COMPUTED_VALUE"""),0.0249224)</f>
        <v>0.0249224</v>
      </c>
      <c r="BH40" s="298">
        <f>IFERROR(__xludf.DUMMYFUNCTION("""COMPUTED_VALUE"""),0.0249224)</f>
        <v>0.0249224</v>
      </c>
      <c r="BI40" s="298">
        <f>IFERROR(__xludf.DUMMYFUNCTION("""COMPUTED_VALUE"""),0.0249224)</f>
        <v>0.0249224</v>
      </c>
      <c r="BJ40" s="298">
        <f>IFERROR(__xludf.DUMMYFUNCTION("""COMPUTED_VALUE"""),0.0249224)</f>
        <v>0.0249224</v>
      </c>
      <c r="BK40" s="298">
        <f>IFERROR(__xludf.DUMMYFUNCTION("""COMPUTED_VALUE"""),0.0249224)</f>
        <v>0.0249224</v>
      </c>
      <c r="BL40" s="298">
        <f>IFERROR(__xludf.DUMMYFUNCTION("""COMPUTED_VALUE"""),0.0249224)</f>
        <v>0.0249224</v>
      </c>
      <c r="BM40" s="298">
        <f>IFERROR(__xludf.DUMMYFUNCTION("""COMPUTED_VALUE"""),0.0249224)</f>
        <v>0.0249224</v>
      </c>
      <c r="BN40" s="298">
        <f>IFERROR(__xludf.DUMMYFUNCTION("""COMPUTED_VALUE"""),0.0249224)</f>
        <v>0.0249224</v>
      </c>
    </row>
    <row r="41">
      <c r="A41" s="291" t="s">
        <v>63</v>
      </c>
      <c r="B41" s="293">
        <v>31648.849806000002</v>
      </c>
      <c r="C41" s="293">
        <v>44840.7696528</v>
      </c>
      <c r="D41" s="294">
        <f t="shared" si="1"/>
        <v>76489.61946</v>
      </c>
      <c r="E41" s="294">
        <v>28488.9905</v>
      </c>
      <c r="F41" s="293">
        <v>23877.078991999995</v>
      </c>
      <c r="G41" s="293">
        <v>19518.4026</v>
      </c>
      <c r="H41" s="294">
        <f t="shared" si="2"/>
        <v>43395.48159</v>
      </c>
      <c r="I41" s="293"/>
      <c r="J41" s="17"/>
      <c r="L41" s="292"/>
      <c r="M41" s="292">
        <f>IFERROR(__xludf.DUMMYFUNCTION("""COMPUTED_VALUE"""),15.0)</f>
        <v>15</v>
      </c>
      <c r="N41" s="298">
        <f>IFERROR(__xludf.DUMMYFUNCTION("""COMPUTED_VALUE"""),0.0)</f>
        <v>0</v>
      </c>
      <c r="O41" s="298">
        <f>IFERROR(__xludf.DUMMYFUNCTION("""COMPUTED_VALUE"""),0.0)</f>
        <v>0</v>
      </c>
      <c r="P41" s="298">
        <f>IFERROR(__xludf.DUMMYFUNCTION("""COMPUTED_VALUE"""),0.0)</f>
        <v>0</v>
      </c>
      <c r="Q41" s="298">
        <f>IFERROR(__xludf.DUMMYFUNCTION("""COMPUTED_VALUE"""),0.0)</f>
        <v>0</v>
      </c>
      <c r="R41" s="298">
        <f>IFERROR(__xludf.DUMMYFUNCTION("""COMPUTED_VALUE"""),0.0)</f>
        <v>0</v>
      </c>
      <c r="S41" s="298">
        <f>IFERROR(__xludf.DUMMYFUNCTION("""COMPUTED_VALUE"""),0.0)</f>
        <v>0</v>
      </c>
      <c r="T41" s="298">
        <f>IFERROR(__xludf.DUMMYFUNCTION("""COMPUTED_VALUE"""),0.0)</f>
        <v>0</v>
      </c>
      <c r="U41" s="298">
        <f>IFERROR(__xludf.DUMMYFUNCTION("""COMPUTED_VALUE"""),0.0)</f>
        <v>0</v>
      </c>
      <c r="V41" s="298">
        <f>IFERROR(__xludf.DUMMYFUNCTION("""COMPUTED_VALUE"""),0.0)</f>
        <v>0</v>
      </c>
      <c r="W41" s="298">
        <f>IFERROR(__xludf.DUMMYFUNCTION("""COMPUTED_VALUE"""),0.0)</f>
        <v>0</v>
      </c>
      <c r="X41" s="298">
        <f>IFERROR(__xludf.DUMMYFUNCTION("""COMPUTED_VALUE"""),0.0)</f>
        <v>0</v>
      </c>
      <c r="Y41" s="298">
        <f>IFERROR(__xludf.DUMMYFUNCTION("""COMPUTED_VALUE"""),0.0)</f>
        <v>0</v>
      </c>
      <c r="Z41" s="298">
        <f>IFERROR(__xludf.DUMMYFUNCTION("""COMPUTED_VALUE"""),0.0)</f>
        <v>0</v>
      </c>
      <c r="AA41" s="298">
        <f>IFERROR(__xludf.DUMMYFUNCTION("""COMPUTED_VALUE"""),0.0)</f>
        <v>0</v>
      </c>
      <c r="AB41" s="298">
        <f>IFERROR(__xludf.DUMMYFUNCTION("""COMPUTED_VALUE"""),0.0)</f>
        <v>0</v>
      </c>
      <c r="AC41" s="298">
        <f>IFERROR(__xludf.DUMMYFUNCTION("""COMPUTED_VALUE"""),0.0)</f>
        <v>0</v>
      </c>
      <c r="AD41" s="298">
        <f>IFERROR(__xludf.DUMMYFUNCTION("""COMPUTED_VALUE"""),0.0)</f>
        <v>0</v>
      </c>
      <c r="AE41" s="298">
        <f>IFERROR(__xludf.DUMMYFUNCTION("""COMPUTED_VALUE"""),0.0)</f>
        <v>0</v>
      </c>
      <c r="AF41" s="298">
        <f>IFERROR(__xludf.DUMMYFUNCTION("""COMPUTED_VALUE"""),0.0)</f>
        <v>0</v>
      </c>
      <c r="AG41" s="298">
        <f>IFERROR(__xludf.DUMMYFUNCTION("""COMPUTED_VALUE"""),0.0)</f>
        <v>0</v>
      </c>
      <c r="AH41" s="298">
        <f>IFERROR(__xludf.DUMMYFUNCTION("""COMPUTED_VALUE"""),0.0)</f>
        <v>0</v>
      </c>
      <c r="AI41" s="298">
        <f>IFERROR(__xludf.DUMMYFUNCTION("""COMPUTED_VALUE"""),0.0)</f>
        <v>0</v>
      </c>
      <c r="AJ41" s="298">
        <f>IFERROR(__xludf.DUMMYFUNCTION("""COMPUTED_VALUE"""),0.0)</f>
        <v>0</v>
      </c>
      <c r="AK41" s="298">
        <f>IFERROR(__xludf.DUMMYFUNCTION("""COMPUTED_VALUE"""),0.0)</f>
        <v>0</v>
      </c>
      <c r="AL41" s="298">
        <f>IFERROR(__xludf.DUMMYFUNCTION("""COMPUTED_VALUE"""),1.0E-6)</f>
        <v>0.000001</v>
      </c>
      <c r="AM41" s="298">
        <f>IFERROR(__xludf.DUMMYFUNCTION("""COMPUTED_VALUE"""),1.0E-5)</f>
        <v>0.00001</v>
      </c>
      <c r="AN41" s="298">
        <f>IFERROR(__xludf.DUMMYFUNCTION("""COMPUTED_VALUE"""),5.02E-5)</f>
        <v>0.0000502</v>
      </c>
      <c r="AO41" s="298">
        <f>IFERROR(__xludf.DUMMYFUNCTION("""COMPUTED_VALUE"""),1.675E-4)</f>
        <v>0.0001675</v>
      </c>
      <c r="AP41" s="298">
        <f>IFERROR(__xludf.DUMMYFUNCTION("""COMPUTED_VALUE"""),4.187E-4)</f>
        <v>0.0004187</v>
      </c>
      <c r="AQ41" s="298">
        <f>IFERROR(__xludf.DUMMYFUNCTION("""COMPUTED_VALUE"""),8.374E-4)</f>
        <v>0.0008374</v>
      </c>
      <c r="AR41" s="298">
        <f>IFERROR(__xludf.DUMMYFUNCTION("""COMPUTED_VALUE"""),0.0013957)</f>
        <v>0.0013957</v>
      </c>
      <c r="AS41" s="298">
        <f>IFERROR(__xludf.DUMMYFUNCTION("""COMPUTED_VALUE"""),0.0019938)</f>
        <v>0.0019938</v>
      </c>
      <c r="AT41" s="298">
        <f>IFERROR(__xludf.DUMMYFUNCTION("""COMPUTED_VALUE"""),0.0024922)</f>
        <v>0.0024922</v>
      </c>
      <c r="AU41" s="298">
        <f>IFERROR(__xludf.DUMMYFUNCTION("""COMPUTED_VALUE"""),0.0027692)</f>
        <v>0.0027692</v>
      </c>
      <c r="AV41" s="298">
        <f>IFERROR(__xludf.DUMMYFUNCTION("""COMPUTED_VALUE"""),0.0027692)</f>
        <v>0.0027692</v>
      </c>
      <c r="AW41" s="298">
        <f>IFERROR(__xludf.DUMMYFUNCTION("""COMPUTED_VALUE"""),0.0027692)</f>
        <v>0.0027692</v>
      </c>
      <c r="AX41" s="298">
        <f>IFERROR(__xludf.DUMMYFUNCTION("""COMPUTED_VALUE"""),0.0027692)</f>
        <v>0.0027692</v>
      </c>
      <c r="AY41" s="298">
        <f>IFERROR(__xludf.DUMMYFUNCTION("""COMPUTED_VALUE"""),0.0027692)</f>
        <v>0.0027692</v>
      </c>
      <c r="AZ41" s="298">
        <f>IFERROR(__xludf.DUMMYFUNCTION("""COMPUTED_VALUE"""),0.0027692)</f>
        <v>0.0027692</v>
      </c>
      <c r="BA41" s="298">
        <f>IFERROR(__xludf.DUMMYFUNCTION("""COMPUTED_VALUE"""),0.0027692)</f>
        <v>0.0027692</v>
      </c>
      <c r="BB41" s="298">
        <f>IFERROR(__xludf.DUMMYFUNCTION("""COMPUTED_VALUE"""),0.0027692)</f>
        <v>0.0027692</v>
      </c>
      <c r="BC41" s="298">
        <f>IFERROR(__xludf.DUMMYFUNCTION("""COMPUTED_VALUE"""),0.0027692)</f>
        <v>0.0027692</v>
      </c>
      <c r="BD41" s="298">
        <f>IFERROR(__xludf.DUMMYFUNCTION("""COMPUTED_VALUE"""),0.0027692)</f>
        <v>0.0027692</v>
      </c>
      <c r="BE41" s="298">
        <f>IFERROR(__xludf.DUMMYFUNCTION("""COMPUTED_VALUE"""),0.0027692)</f>
        <v>0.0027692</v>
      </c>
      <c r="BF41" s="298">
        <f>IFERROR(__xludf.DUMMYFUNCTION("""COMPUTED_VALUE"""),0.0027692)</f>
        <v>0.0027692</v>
      </c>
      <c r="BG41" s="298">
        <f>IFERROR(__xludf.DUMMYFUNCTION("""COMPUTED_VALUE"""),0.0027692)</f>
        <v>0.0027692</v>
      </c>
      <c r="BH41" s="298">
        <f>IFERROR(__xludf.DUMMYFUNCTION("""COMPUTED_VALUE"""),0.0027692)</f>
        <v>0.0027692</v>
      </c>
      <c r="BI41" s="298">
        <f>IFERROR(__xludf.DUMMYFUNCTION("""COMPUTED_VALUE"""),0.0027692)</f>
        <v>0.0027692</v>
      </c>
      <c r="BJ41" s="298">
        <f>IFERROR(__xludf.DUMMYFUNCTION("""COMPUTED_VALUE"""),0.0027692)</f>
        <v>0.0027692</v>
      </c>
      <c r="BK41" s="298">
        <f>IFERROR(__xludf.DUMMYFUNCTION("""COMPUTED_VALUE"""),0.0027692)</f>
        <v>0.0027692</v>
      </c>
      <c r="BL41" s="298">
        <f>IFERROR(__xludf.DUMMYFUNCTION("""COMPUTED_VALUE"""),0.0027692)</f>
        <v>0.0027692</v>
      </c>
      <c r="BM41" s="298">
        <f>IFERROR(__xludf.DUMMYFUNCTION("""COMPUTED_VALUE"""),0.0027692)</f>
        <v>0.0027692</v>
      </c>
      <c r="BN41" s="298">
        <f>IFERROR(__xludf.DUMMYFUNCTION("""COMPUTED_VALUE"""),0.0027692)</f>
        <v>0.0027692</v>
      </c>
    </row>
    <row r="42">
      <c r="A42" s="291" t="s">
        <v>64</v>
      </c>
      <c r="B42" s="293">
        <v>32592.291786</v>
      </c>
      <c r="C42" s="293">
        <v>45638.461967999996</v>
      </c>
      <c r="D42" s="294">
        <f t="shared" si="1"/>
        <v>78230.75375</v>
      </c>
      <c r="E42" s="294">
        <v>30561.656</v>
      </c>
      <c r="F42" s="293">
        <v>24844.190087999996</v>
      </c>
      <c r="G42" s="293">
        <v>19256.225400000003</v>
      </c>
      <c r="H42" s="294">
        <f t="shared" si="2"/>
        <v>44100.41549</v>
      </c>
      <c r="I42" s="293"/>
      <c r="J42" s="17"/>
      <c r="L42" s="292"/>
      <c r="M42" s="292">
        <f>IFERROR(__xludf.DUMMYFUNCTION("""COMPUTED_VALUE"""),16.0)</f>
        <v>16</v>
      </c>
      <c r="N42" s="298">
        <f>IFERROR(__xludf.DUMMYFUNCTION("""COMPUTED_VALUE"""),0.0)</f>
        <v>0</v>
      </c>
      <c r="O42" s="298">
        <f>IFERROR(__xludf.DUMMYFUNCTION("""COMPUTED_VALUE"""),0.0)</f>
        <v>0</v>
      </c>
      <c r="P42" s="298">
        <f>IFERROR(__xludf.DUMMYFUNCTION("""COMPUTED_VALUE"""),0.0)</f>
        <v>0</v>
      </c>
      <c r="Q42" s="298">
        <f>IFERROR(__xludf.DUMMYFUNCTION("""COMPUTED_VALUE"""),0.0)</f>
        <v>0</v>
      </c>
      <c r="R42" s="298">
        <f>IFERROR(__xludf.DUMMYFUNCTION("""COMPUTED_VALUE"""),0.0)</f>
        <v>0</v>
      </c>
      <c r="S42" s="298">
        <f>IFERROR(__xludf.DUMMYFUNCTION("""COMPUTED_VALUE"""),0.0)</f>
        <v>0</v>
      </c>
      <c r="T42" s="298">
        <f>IFERROR(__xludf.DUMMYFUNCTION("""COMPUTED_VALUE"""),0.0)</f>
        <v>0</v>
      </c>
      <c r="U42" s="298">
        <f>IFERROR(__xludf.DUMMYFUNCTION("""COMPUTED_VALUE"""),0.0)</f>
        <v>0</v>
      </c>
      <c r="V42" s="298">
        <f>IFERROR(__xludf.DUMMYFUNCTION("""COMPUTED_VALUE"""),0.0)</f>
        <v>0</v>
      </c>
      <c r="W42" s="298">
        <f>IFERROR(__xludf.DUMMYFUNCTION("""COMPUTED_VALUE"""),0.0)</f>
        <v>0</v>
      </c>
      <c r="X42" s="298">
        <f>IFERROR(__xludf.DUMMYFUNCTION("""COMPUTED_VALUE"""),0.0)</f>
        <v>0</v>
      </c>
      <c r="Y42" s="298">
        <f>IFERROR(__xludf.DUMMYFUNCTION("""COMPUTED_VALUE"""),0.0)</f>
        <v>0</v>
      </c>
      <c r="Z42" s="298">
        <f>IFERROR(__xludf.DUMMYFUNCTION("""COMPUTED_VALUE"""),0.0)</f>
        <v>0</v>
      </c>
      <c r="AA42" s="298">
        <f>IFERROR(__xludf.DUMMYFUNCTION("""COMPUTED_VALUE"""),0.0)</f>
        <v>0</v>
      </c>
      <c r="AB42" s="298">
        <f>IFERROR(__xludf.DUMMYFUNCTION("""COMPUTED_VALUE"""),0.0)</f>
        <v>0</v>
      </c>
      <c r="AC42" s="298">
        <f>IFERROR(__xludf.DUMMYFUNCTION("""COMPUTED_VALUE"""),0.0)</f>
        <v>0</v>
      </c>
      <c r="AD42" s="298">
        <f>IFERROR(__xludf.DUMMYFUNCTION("""COMPUTED_VALUE"""),0.0)</f>
        <v>0</v>
      </c>
      <c r="AE42" s="298">
        <f>IFERROR(__xludf.DUMMYFUNCTION("""COMPUTED_VALUE"""),0.0)</f>
        <v>0</v>
      </c>
      <c r="AF42" s="298">
        <f>IFERROR(__xludf.DUMMYFUNCTION("""COMPUTED_VALUE"""),0.0)</f>
        <v>0</v>
      </c>
      <c r="AG42" s="298">
        <f>IFERROR(__xludf.DUMMYFUNCTION("""COMPUTED_VALUE"""),0.0)</f>
        <v>0</v>
      </c>
      <c r="AH42" s="298">
        <f>IFERROR(__xludf.DUMMYFUNCTION("""COMPUTED_VALUE"""),0.0)</f>
        <v>0</v>
      </c>
      <c r="AI42" s="298">
        <f>IFERROR(__xludf.DUMMYFUNCTION("""COMPUTED_VALUE"""),0.0)</f>
        <v>0</v>
      </c>
      <c r="AJ42" s="298">
        <f>IFERROR(__xludf.DUMMYFUNCTION("""COMPUTED_VALUE"""),0.0)</f>
        <v>0</v>
      </c>
      <c r="AK42" s="298">
        <f>IFERROR(__xludf.DUMMYFUNCTION("""COMPUTED_VALUE"""),0.0)</f>
        <v>0</v>
      </c>
      <c r="AL42" s="298">
        <f>IFERROR(__xludf.DUMMYFUNCTION("""COMPUTED_VALUE"""),1.0E-5)</f>
        <v>0.00001</v>
      </c>
      <c r="AM42" s="298">
        <f>IFERROR(__xludf.DUMMYFUNCTION("""COMPUTED_VALUE"""),1.005E-4)</f>
        <v>0.0001005</v>
      </c>
      <c r="AN42" s="298">
        <f>IFERROR(__xludf.DUMMYFUNCTION("""COMPUTED_VALUE"""),5.024E-4)</f>
        <v>0.0005024</v>
      </c>
      <c r="AO42" s="298">
        <f>IFERROR(__xludf.DUMMYFUNCTION("""COMPUTED_VALUE"""),0.0016748)</f>
        <v>0.0016748</v>
      </c>
      <c r="AP42" s="298">
        <f>IFERROR(__xludf.DUMMYFUNCTION("""COMPUTED_VALUE"""),0.004187)</f>
        <v>0.004187</v>
      </c>
      <c r="AQ42" s="298">
        <f>IFERROR(__xludf.DUMMYFUNCTION("""COMPUTED_VALUE"""),0.0083739)</f>
        <v>0.0083739</v>
      </c>
      <c r="AR42" s="298">
        <f>IFERROR(__xludf.DUMMYFUNCTION("""COMPUTED_VALUE"""),0.0139565)</f>
        <v>0.0139565</v>
      </c>
      <c r="AS42" s="298">
        <f>IFERROR(__xludf.DUMMYFUNCTION("""COMPUTED_VALUE"""),0.0199379)</f>
        <v>0.0199379</v>
      </c>
      <c r="AT42" s="298">
        <f>IFERROR(__xludf.DUMMYFUNCTION("""COMPUTED_VALUE"""),0.0249224)</f>
        <v>0.0249224</v>
      </c>
      <c r="AU42" s="298">
        <f>IFERROR(__xludf.DUMMYFUNCTION("""COMPUTED_VALUE"""),0.0276915)</f>
        <v>0.0276915</v>
      </c>
      <c r="AV42" s="298">
        <f>IFERROR(__xludf.DUMMYFUNCTION("""COMPUTED_VALUE"""),0.0276915)</f>
        <v>0.0276915</v>
      </c>
      <c r="AW42" s="298">
        <f>IFERROR(__xludf.DUMMYFUNCTION("""COMPUTED_VALUE"""),0.0276915)</f>
        <v>0.0276915</v>
      </c>
      <c r="AX42" s="298">
        <f>IFERROR(__xludf.DUMMYFUNCTION("""COMPUTED_VALUE"""),0.0276915)</f>
        <v>0.0276915</v>
      </c>
      <c r="AY42" s="298">
        <f>IFERROR(__xludf.DUMMYFUNCTION("""COMPUTED_VALUE"""),0.0276915)</f>
        <v>0.0276915</v>
      </c>
      <c r="AZ42" s="298">
        <f>IFERROR(__xludf.DUMMYFUNCTION("""COMPUTED_VALUE"""),0.0276915)</f>
        <v>0.0276915</v>
      </c>
      <c r="BA42" s="298">
        <f>IFERROR(__xludf.DUMMYFUNCTION("""COMPUTED_VALUE"""),0.0276915)</f>
        <v>0.0276915</v>
      </c>
      <c r="BB42" s="298">
        <f>IFERROR(__xludf.DUMMYFUNCTION("""COMPUTED_VALUE"""),0.0276915)</f>
        <v>0.0276915</v>
      </c>
      <c r="BC42" s="298">
        <f>IFERROR(__xludf.DUMMYFUNCTION("""COMPUTED_VALUE"""),0.0276915)</f>
        <v>0.0276915</v>
      </c>
      <c r="BD42" s="298">
        <f>IFERROR(__xludf.DUMMYFUNCTION("""COMPUTED_VALUE"""),0.0276915)</f>
        <v>0.0276915</v>
      </c>
      <c r="BE42" s="298">
        <f>IFERROR(__xludf.DUMMYFUNCTION("""COMPUTED_VALUE"""),0.0276915)</f>
        <v>0.0276915</v>
      </c>
      <c r="BF42" s="298">
        <f>IFERROR(__xludf.DUMMYFUNCTION("""COMPUTED_VALUE"""),0.0276915)</f>
        <v>0.0276915</v>
      </c>
      <c r="BG42" s="298">
        <f>IFERROR(__xludf.DUMMYFUNCTION("""COMPUTED_VALUE"""),0.0276915)</f>
        <v>0.0276915</v>
      </c>
      <c r="BH42" s="298">
        <f>IFERROR(__xludf.DUMMYFUNCTION("""COMPUTED_VALUE"""),0.0276915)</f>
        <v>0.0276915</v>
      </c>
      <c r="BI42" s="298">
        <f>IFERROR(__xludf.DUMMYFUNCTION("""COMPUTED_VALUE"""),0.0276915)</f>
        <v>0.0276915</v>
      </c>
      <c r="BJ42" s="298">
        <f>IFERROR(__xludf.DUMMYFUNCTION("""COMPUTED_VALUE"""),0.0276915)</f>
        <v>0.0276915</v>
      </c>
      <c r="BK42" s="298">
        <f>IFERROR(__xludf.DUMMYFUNCTION("""COMPUTED_VALUE"""),0.0276915)</f>
        <v>0.0276915</v>
      </c>
      <c r="BL42" s="298">
        <f>IFERROR(__xludf.DUMMYFUNCTION("""COMPUTED_VALUE"""),0.0276915)</f>
        <v>0.0276915</v>
      </c>
      <c r="BM42" s="298">
        <f>IFERROR(__xludf.DUMMYFUNCTION("""COMPUTED_VALUE"""),0.0276915)</f>
        <v>0.0276915</v>
      </c>
      <c r="BN42" s="298">
        <f>IFERROR(__xludf.DUMMYFUNCTION("""COMPUTED_VALUE"""),0.0276915)</f>
        <v>0.0276915</v>
      </c>
    </row>
    <row r="43">
      <c r="A43" s="291" t="s">
        <v>65</v>
      </c>
      <c r="B43" s="293">
        <v>32548.748310000003</v>
      </c>
      <c r="C43" s="293">
        <v>43036.1542512</v>
      </c>
      <c r="D43" s="294">
        <f t="shared" si="1"/>
        <v>75584.90256</v>
      </c>
      <c r="E43" s="294">
        <v>29374.9534</v>
      </c>
      <c r="F43" s="293">
        <v>24348.444063999996</v>
      </c>
      <c r="G43" s="293">
        <v>17690.0616</v>
      </c>
      <c r="H43" s="294">
        <f t="shared" si="2"/>
        <v>42038.50566</v>
      </c>
      <c r="I43" s="293"/>
      <c r="J43" s="17"/>
      <c r="L43" s="292"/>
      <c r="M43" s="292" t="str">
        <f>IFERROR(__xludf.DUMMYFUNCTION("""COMPUTED_VALUE"""),"Meal/order")</f>
        <v>Meal/order</v>
      </c>
      <c r="N43" s="296">
        <f>IFERROR(__xludf.DUMMYFUNCTION("""COMPUTED_VALUE"""),6.308554050000001)</f>
        <v>6.30855405</v>
      </c>
      <c r="O43" s="296">
        <f>IFERROR(__xludf.DUMMYFUNCTION("""COMPUTED_VALUE"""),6.29686427)</f>
        <v>6.29686427</v>
      </c>
      <c r="P43" s="296">
        <f>IFERROR(__xludf.DUMMYFUNCTION("""COMPUTED_VALUE"""),6.322635050000001)</f>
        <v>6.32263505</v>
      </c>
      <c r="Q43" s="296">
        <f>IFERROR(__xludf.DUMMYFUNCTION("""COMPUTED_VALUE"""),6.33564146)</f>
        <v>6.33564146</v>
      </c>
      <c r="R43" s="296">
        <f>IFERROR(__xludf.DUMMYFUNCTION("""COMPUTED_VALUE"""),6.36148639)</f>
        <v>6.36148639</v>
      </c>
      <c r="S43" s="296">
        <f>IFERROR(__xludf.DUMMYFUNCTION("""COMPUTED_VALUE"""),6.389413220000001)</f>
        <v>6.38941322</v>
      </c>
      <c r="T43" s="296">
        <f>IFERROR(__xludf.DUMMYFUNCTION("""COMPUTED_VALUE"""),6.41113063)</f>
        <v>6.41113063</v>
      </c>
      <c r="U43" s="296">
        <f>IFERROR(__xludf.DUMMYFUNCTION("""COMPUTED_VALUE"""),6.41802226)</f>
        <v>6.41802226</v>
      </c>
      <c r="V43" s="296">
        <f>IFERROR(__xludf.DUMMYFUNCTION("""COMPUTED_VALUE"""),6.43483957)</f>
        <v>6.43483957</v>
      </c>
      <c r="W43" s="296">
        <f>IFERROR(__xludf.DUMMYFUNCTION("""COMPUTED_VALUE"""),6.447589369999999)</f>
        <v>6.44758937</v>
      </c>
      <c r="X43" s="296">
        <f>IFERROR(__xludf.DUMMYFUNCTION("""COMPUTED_VALUE"""),6.45857481)</f>
        <v>6.45857481</v>
      </c>
      <c r="Y43" s="296">
        <f>IFERROR(__xludf.DUMMYFUNCTION("""COMPUTED_VALUE"""),6.46678627)</f>
        <v>6.46678627</v>
      </c>
      <c r="Z43" s="296">
        <f>IFERROR(__xludf.DUMMYFUNCTION("""COMPUTED_VALUE"""),6.479852149999999)</f>
        <v>6.47985215</v>
      </c>
      <c r="AA43" s="296">
        <f>IFERROR(__xludf.DUMMYFUNCTION("""COMPUTED_VALUE"""),6.3303094)</f>
        <v>6.3303094</v>
      </c>
      <c r="AB43" s="296">
        <f>IFERROR(__xludf.DUMMYFUNCTION("""COMPUTED_VALUE"""),6.3303094)</f>
        <v>6.3303094</v>
      </c>
      <c r="AC43" s="296">
        <f>IFERROR(__xludf.DUMMYFUNCTION("""COMPUTED_VALUE"""),6.3303094)</f>
        <v>6.3303094</v>
      </c>
      <c r="AD43" s="296">
        <f>IFERROR(__xludf.DUMMYFUNCTION("""COMPUTED_VALUE"""),6.3303094)</f>
        <v>6.3303094</v>
      </c>
      <c r="AE43" s="296">
        <f>IFERROR(__xludf.DUMMYFUNCTION("""COMPUTED_VALUE"""),6.3303094)</f>
        <v>6.3303094</v>
      </c>
      <c r="AF43" s="296">
        <f>IFERROR(__xludf.DUMMYFUNCTION("""COMPUTED_VALUE"""),6.3303094)</f>
        <v>6.3303094</v>
      </c>
      <c r="AG43" s="296">
        <f>IFERROR(__xludf.DUMMYFUNCTION("""COMPUTED_VALUE"""),6.3303094)</f>
        <v>6.3303094</v>
      </c>
      <c r="AH43" s="296">
        <f>IFERROR(__xludf.DUMMYFUNCTION("""COMPUTED_VALUE"""),6.3303094)</f>
        <v>6.3303094</v>
      </c>
      <c r="AI43" s="296">
        <f>IFERROR(__xludf.DUMMYFUNCTION("""COMPUTED_VALUE"""),6.3303094)</f>
        <v>6.3303094</v>
      </c>
      <c r="AJ43" s="296">
        <f>IFERROR(__xludf.DUMMYFUNCTION("""COMPUTED_VALUE"""),6.3303094)</f>
        <v>6.3303094</v>
      </c>
      <c r="AK43" s="296">
        <f>IFERROR(__xludf.DUMMYFUNCTION("""COMPUTED_VALUE"""),6.3303094)</f>
        <v>6.3303094</v>
      </c>
      <c r="AL43" s="296">
        <f>IFERROR(__xludf.DUMMYFUNCTION("""COMPUTED_VALUE"""),6.330329000000001)</f>
        <v>6.330329</v>
      </c>
      <c r="AM43" s="296">
        <f>IFERROR(__xludf.DUMMYFUNCTION("""COMPUTED_VALUE"""),6.3305204)</f>
        <v>6.3305204</v>
      </c>
      <c r="AN43" s="296">
        <f>IFERROR(__xludf.DUMMYFUNCTION("""COMPUTED_VALUE"""),6.379363)</f>
        <v>6.379363</v>
      </c>
      <c r="AO43" s="296">
        <f>IFERROR(__xludf.DUMMYFUNCTION("""COMPUTED_VALUE"""),6.3818265)</f>
        <v>6.3818265</v>
      </c>
      <c r="AP43" s="296">
        <f>IFERROR(__xludf.DUMMYFUNCTION("""COMPUTED_VALUE"""),6.3871021)</f>
        <v>6.3871021</v>
      </c>
      <c r="AQ43" s="296">
        <f>IFERROR(__xludf.DUMMYFUNCTION("""COMPUTED_VALUE"""),6.3958946)</f>
        <v>6.3958946</v>
      </c>
      <c r="AR43" s="296">
        <f>IFERROR(__xludf.DUMMYFUNCTION("""COMPUTED_VALUE"""),6.4076181000000005)</f>
        <v>6.4076181</v>
      </c>
      <c r="AS43" s="296">
        <f>IFERROR(__xludf.DUMMYFUNCTION("""COMPUTED_VALUE"""),6.420179)</f>
        <v>6.420179</v>
      </c>
      <c r="AT43" s="296">
        <f>IFERROR(__xludf.DUMMYFUNCTION("""COMPUTED_VALUE"""),6.4306464000000005)</f>
        <v>6.4306464</v>
      </c>
      <c r="AU43" s="296">
        <f>IFERROR(__xludf.DUMMYFUNCTION("""COMPUTED_VALUE"""),6.4364616)</f>
        <v>6.4364616</v>
      </c>
      <c r="AV43" s="296">
        <f>IFERROR(__xludf.DUMMYFUNCTION("""COMPUTED_VALUE"""),6.4364616)</f>
        <v>6.4364616</v>
      </c>
      <c r="AW43" s="296">
        <f>IFERROR(__xludf.DUMMYFUNCTION("""COMPUTED_VALUE"""),6.4364616)</f>
        <v>6.4364616</v>
      </c>
      <c r="AX43" s="296">
        <f>IFERROR(__xludf.DUMMYFUNCTION("""COMPUTED_VALUE"""),6.4364616)</f>
        <v>6.4364616</v>
      </c>
      <c r="AY43" s="296">
        <f>IFERROR(__xludf.DUMMYFUNCTION("""COMPUTED_VALUE"""),6.4364616)</f>
        <v>6.4364616</v>
      </c>
      <c r="AZ43" s="296">
        <f>IFERROR(__xludf.DUMMYFUNCTION("""COMPUTED_VALUE"""),6.4364616)</f>
        <v>6.4364616</v>
      </c>
      <c r="BA43" s="296">
        <f>IFERROR(__xludf.DUMMYFUNCTION("""COMPUTED_VALUE"""),6.5384616)</f>
        <v>6.5384616</v>
      </c>
      <c r="BB43" s="296">
        <f>IFERROR(__xludf.DUMMYFUNCTION("""COMPUTED_VALUE"""),6.5384616)</f>
        <v>6.5384616</v>
      </c>
      <c r="BC43" s="296">
        <f>IFERROR(__xludf.DUMMYFUNCTION("""COMPUTED_VALUE"""),6.5384616)</f>
        <v>6.5384616</v>
      </c>
      <c r="BD43" s="296">
        <f>IFERROR(__xludf.DUMMYFUNCTION("""COMPUTED_VALUE"""),6.5384616)</f>
        <v>6.5384616</v>
      </c>
      <c r="BE43" s="296">
        <f>IFERROR(__xludf.DUMMYFUNCTION("""COMPUTED_VALUE"""),6.5384616)</f>
        <v>6.5384616</v>
      </c>
      <c r="BF43" s="296">
        <f>IFERROR(__xludf.DUMMYFUNCTION("""COMPUTED_VALUE"""),6.5384616)</f>
        <v>6.5384616</v>
      </c>
      <c r="BG43" s="296">
        <f>IFERROR(__xludf.DUMMYFUNCTION("""COMPUTED_VALUE"""),6.5384616)</f>
        <v>6.5384616</v>
      </c>
      <c r="BH43" s="296">
        <f>IFERROR(__xludf.DUMMYFUNCTION("""COMPUTED_VALUE"""),6.5384616)</f>
        <v>6.5384616</v>
      </c>
      <c r="BI43" s="296">
        <f>IFERROR(__xludf.DUMMYFUNCTION("""COMPUTED_VALUE"""),6.5384616)</f>
        <v>6.5384616</v>
      </c>
      <c r="BJ43" s="296">
        <f>IFERROR(__xludf.DUMMYFUNCTION("""COMPUTED_VALUE"""),6.5384616)</f>
        <v>6.5384616</v>
      </c>
      <c r="BK43" s="296">
        <f>IFERROR(__xludf.DUMMYFUNCTION("""COMPUTED_VALUE"""),6.5384616)</f>
        <v>6.5384616</v>
      </c>
      <c r="BL43" s="296">
        <f>IFERROR(__xludf.DUMMYFUNCTION("""COMPUTED_VALUE"""),6.5384616)</f>
        <v>6.5384616</v>
      </c>
      <c r="BM43" s="296">
        <f>IFERROR(__xludf.DUMMYFUNCTION("""COMPUTED_VALUE"""),6.5384616)</f>
        <v>6.5384616</v>
      </c>
      <c r="BN43" s="296">
        <f>IFERROR(__xludf.DUMMYFUNCTION("""COMPUTED_VALUE"""),6.5384616)</f>
        <v>6.5384616</v>
      </c>
    </row>
    <row r="44">
      <c r="A44" s="291" t="s">
        <v>66</v>
      </c>
      <c r="B44" s="293">
        <v>32708.407722</v>
      </c>
      <c r="C44" s="293">
        <v>43435.0004088</v>
      </c>
      <c r="D44" s="294">
        <f t="shared" si="1"/>
        <v>76143.40813</v>
      </c>
      <c r="E44" s="294">
        <v>29188.0071</v>
      </c>
      <c r="F44" s="293">
        <v>24397.205967999995</v>
      </c>
      <c r="G44" s="293">
        <v>18373.1022</v>
      </c>
      <c r="H44" s="294">
        <f t="shared" si="2"/>
        <v>42770.30817</v>
      </c>
      <c r="I44" s="293"/>
      <c r="J44" s="17"/>
      <c r="L44" s="292"/>
      <c r="M44" s="292"/>
      <c r="N44" s="292"/>
      <c r="O44" s="292"/>
      <c r="P44" s="292"/>
      <c r="Q44" s="292"/>
      <c r="R44" s="292"/>
      <c r="S44" s="292"/>
      <c r="T44" s="292"/>
      <c r="U44" s="292"/>
      <c r="V44" s="292"/>
      <c r="W44" s="292"/>
      <c r="X44" s="292"/>
      <c r="Y44" s="292"/>
      <c r="Z44" s="292"/>
      <c r="AA44" s="292"/>
      <c r="AB44" s="292"/>
      <c r="AC44" s="292"/>
      <c r="AD44" s="292"/>
      <c r="AE44" s="292"/>
      <c r="AF44" s="292"/>
      <c r="AG44" s="292"/>
      <c r="AH44" s="292"/>
      <c r="AI44" s="292"/>
      <c r="AJ44" s="292"/>
      <c r="AK44" s="292"/>
      <c r="AL44" s="292"/>
      <c r="AM44" s="292"/>
      <c r="AN44" s="292"/>
      <c r="AO44" s="292"/>
      <c r="AP44" s="292"/>
      <c r="AQ44" s="292"/>
      <c r="AR44" s="292"/>
      <c r="AS44" s="292"/>
      <c r="AT44" s="292"/>
      <c r="AU44" s="292"/>
      <c r="AV44" s="292"/>
      <c r="AW44" s="292"/>
      <c r="AX44" s="292"/>
      <c r="AY44" s="292"/>
      <c r="AZ44" s="292"/>
      <c r="BA44" s="292"/>
      <c r="BB44" s="292"/>
      <c r="BC44" s="292"/>
      <c r="BD44" s="292"/>
      <c r="BE44" s="292"/>
      <c r="BF44" s="292"/>
      <c r="BG44" s="292"/>
      <c r="BH44" s="292"/>
      <c r="BI44" s="292"/>
      <c r="BJ44" s="292"/>
      <c r="BK44" s="292"/>
      <c r="BL44" s="292"/>
      <c r="BM44" s="292"/>
      <c r="BN44" s="292"/>
    </row>
    <row r="45">
      <c r="A45" s="291" t="s">
        <v>67</v>
      </c>
      <c r="B45" s="293">
        <v>31307.759244</v>
      </c>
      <c r="C45" s="293">
        <v>43219.231176</v>
      </c>
      <c r="D45" s="294">
        <f t="shared" si="1"/>
        <v>74526.99042</v>
      </c>
      <c r="E45" s="294">
        <v>29057.9575</v>
      </c>
      <c r="F45" s="293">
        <v>24689.777391999996</v>
      </c>
      <c r="G45" s="293">
        <v>17724.558600000004</v>
      </c>
      <c r="H45" s="294">
        <f t="shared" si="2"/>
        <v>42414.33599</v>
      </c>
      <c r="I45" s="293"/>
      <c r="J45" s="17"/>
      <c r="L45" s="292" t="str">
        <f>IFERROR(__xludf.DUMMYFUNCTION("""COMPUTED_VALUE"""),"NL")</f>
        <v>NL</v>
      </c>
      <c r="M45" s="292">
        <f>IFERROR(__xludf.DUMMYFUNCTION("""COMPUTED_VALUE"""),4.0)</f>
        <v>4</v>
      </c>
      <c r="N45" s="298">
        <f>IFERROR(__xludf.DUMMYFUNCTION("""COMPUTED_VALUE"""),0.406904)</f>
        <v>0.406904</v>
      </c>
      <c r="O45" s="298">
        <f>IFERROR(__xludf.DUMMYFUNCTION("""COMPUTED_VALUE"""),0.397814)</f>
        <v>0.397814</v>
      </c>
      <c r="P45" s="298">
        <f>IFERROR(__xludf.DUMMYFUNCTION("""COMPUTED_VALUE"""),0.38608)</f>
        <v>0.38608</v>
      </c>
      <c r="Q45" s="298">
        <f>IFERROR(__xludf.DUMMYFUNCTION("""COMPUTED_VALUE"""),0.375491)</f>
        <v>0.375491</v>
      </c>
      <c r="R45" s="298">
        <f>IFERROR(__xludf.DUMMYFUNCTION("""COMPUTED_VALUE"""),0.364173)</f>
        <v>0.364173</v>
      </c>
      <c r="S45" s="298">
        <f>IFERROR(__xludf.DUMMYFUNCTION("""COMPUTED_VALUE"""),0.353816)</f>
        <v>0.353816</v>
      </c>
      <c r="T45" s="298">
        <f>IFERROR(__xludf.DUMMYFUNCTION("""COMPUTED_VALUE"""),0.342914)</f>
        <v>0.342914</v>
      </c>
      <c r="U45" s="298">
        <f>IFERROR(__xludf.DUMMYFUNCTION("""COMPUTED_VALUE"""),0.332922)</f>
        <v>0.332922</v>
      </c>
      <c r="V45" s="298">
        <f>IFERROR(__xludf.DUMMYFUNCTION("""COMPUTED_VALUE"""),0.323366)</f>
        <v>0.323366</v>
      </c>
      <c r="W45" s="298">
        <f>IFERROR(__xludf.DUMMYFUNCTION("""COMPUTED_VALUE"""),0.314244)</f>
        <v>0.314244</v>
      </c>
      <c r="X45" s="298">
        <f>IFERROR(__xludf.DUMMYFUNCTION("""COMPUTED_VALUE"""),0.303588)</f>
        <v>0.303588</v>
      </c>
      <c r="Y45" s="298">
        <f>IFERROR(__xludf.DUMMYFUNCTION("""COMPUTED_VALUE"""),0.293252)</f>
        <v>0.293252</v>
      </c>
      <c r="Z45" s="298">
        <f>IFERROR(__xludf.DUMMYFUNCTION("""COMPUTED_VALUE"""),0.283727)</f>
        <v>0.283727</v>
      </c>
      <c r="AA45" s="298">
        <f>IFERROR(__xludf.DUMMYFUNCTION("""COMPUTED_VALUE"""),0.274123)</f>
        <v>0.274123</v>
      </c>
      <c r="AB45" s="298">
        <f>IFERROR(__xludf.DUMMYFUNCTION("""COMPUTED_VALUE"""),0.274123)</f>
        <v>0.274123</v>
      </c>
      <c r="AC45" s="298">
        <f>IFERROR(__xludf.DUMMYFUNCTION("""COMPUTED_VALUE"""),0.274123)</f>
        <v>0.274123</v>
      </c>
      <c r="AD45" s="298">
        <f>IFERROR(__xludf.DUMMYFUNCTION("""COMPUTED_VALUE"""),0.274123)</f>
        <v>0.274123</v>
      </c>
      <c r="AE45" s="298">
        <f>IFERROR(__xludf.DUMMYFUNCTION("""COMPUTED_VALUE"""),0.274123)</f>
        <v>0.274123</v>
      </c>
      <c r="AF45" s="298">
        <f>IFERROR(__xludf.DUMMYFUNCTION("""COMPUTED_VALUE"""),0.274123)</f>
        <v>0.274123</v>
      </c>
      <c r="AG45" s="298">
        <f>IFERROR(__xludf.DUMMYFUNCTION("""COMPUTED_VALUE"""),0.274123)</f>
        <v>0.274123</v>
      </c>
      <c r="AH45" s="298">
        <f>IFERROR(__xludf.DUMMYFUNCTION("""COMPUTED_VALUE"""),0.274123)</f>
        <v>0.274123</v>
      </c>
      <c r="AI45" s="298">
        <f>IFERROR(__xludf.DUMMYFUNCTION("""COMPUTED_VALUE"""),0.274123)</f>
        <v>0.274123</v>
      </c>
      <c r="AJ45" s="298">
        <f>IFERROR(__xludf.DUMMYFUNCTION("""COMPUTED_VALUE"""),0.274123)</f>
        <v>0.274123</v>
      </c>
      <c r="AK45" s="298">
        <f>IFERROR(__xludf.DUMMYFUNCTION("""COMPUTED_VALUE"""),0.274123)</f>
        <v>0.274123</v>
      </c>
      <c r="AL45" s="298">
        <f>IFERROR(__xludf.DUMMYFUNCTION("""COMPUTED_VALUE"""),0.274123)</f>
        <v>0.274123</v>
      </c>
      <c r="AM45" s="298">
        <f>IFERROR(__xludf.DUMMYFUNCTION("""COMPUTED_VALUE"""),0.274123)</f>
        <v>0.274123</v>
      </c>
      <c r="AN45" s="298">
        <f>IFERROR(__xludf.DUMMYFUNCTION("""COMPUTED_VALUE"""),0.274123)</f>
        <v>0.274123</v>
      </c>
      <c r="AO45" s="298">
        <f>IFERROR(__xludf.DUMMYFUNCTION("""COMPUTED_VALUE"""),0.274123)</f>
        <v>0.274123</v>
      </c>
      <c r="AP45" s="298">
        <f>IFERROR(__xludf.DUMMYFUNCTION("""COMPUTED_VALUE"""),0.274123)</f>
        <v>0.274123</v>
      </c>
      <c r="AQ45" s="298">
        <f>IFERROR(__xludf.DUMMYFUNCTION("""COMPUTED_VALUE"""),0.274123)</f>
        <v>0.274123</v>
      </c>
      <c r="AR45" s="298">
        <f>IFERROR(__xludf.DUMMYFUNCTION("""COMPUTED_VALUE"""),0.274123)</f>
        <v>0.274123</v>
      </c>
      <c r="AS45" s="298">
        <f>IFERROR(__xludf.DUMMYFUNCTION("""COMPUTED_VALUE"""),0.274123)</f>
        <v>0.274123</v>
      </c>
      <c r="AT45" s="298">
        <f>IFERROR(__xludf.DUMMYFUNCTION("""COMPUTED_VALUE"""),0.274123)</f>
        <v>0.274123</v>
      </c>
      <c r="AU45" s="298">
        <f>IFERROR(__xludf.DUMMYFUNCTION("""COMPUTED_VALUE"""),0.274123)</f>
        <v>0.274123</v>
      </c>
      <c r="AV45" s="298">
        <f>IFERROR(__xludf.DUMMYFUNCTION("""COMPUTED_VALUE"""),0.274123)</f>
        <v>0.274123</v>
      </c>
      <c r="AW45" s="298">
        <f>IFERROR(__xludf.DUMMYFUNCTION("""COMPUTED_VALUE"""),0.274123)</f>
        <v>0.274123</v>
      </c>
      <c r="AX45" s="298">
        <f>IFERROR(__xludf.DUMMYFUNCTION("""COMPUTED_VALUE"""),0.274123)</f>
        <v>0.274123</v>
      </c>
      <c r="AY45" s="298">
        <f>IFERROR(__xludf.DUMMYFUNCTION("""COMPUTED_VALUE"""),0.274123)</f>
        <v>0.274123</v>
      </c>
      <c r="AZ45" s="298">
        <f>IFERROR(__xludf.DUMMYFUNCTION("""COMPUTED_VALUE"""),0.274123)</f>
        <v>0.274123</v>
      </c>
      <c r="BA45" s="298">
        <f>IFERROR(__xludf.DUMMYFUNCTION("""COMPUTED_VALUE"""),0.274123)</f>
        <v>0.274123</v>
      </c>
      <c r="BB45" s="298">
        <f>IFERROR(__xludf.DUMMYFUNCTION("""COMPUTED_VALUE"""),0.274123)</f>
        <v>0.274123</v>
      </c>
      <c r="BC45" s="298">
        <f>IFERROR(__xludf.DUMMYFUNCTION("""COMPUTED_VALUE"""),0.274123)</f>
        <v>0.274123</v>
      </c>
      <c r="BD45" s="298">
        <f>IFERROR(__xludf.DUMMYFUNCTION("""COMPUTED_VALUE"""),0.274123)</f>
        <v>0.274123</v>
      </c>
      <c r="BE45" s="298">
        <f>IFERROR(__xludf.DUMMYFUNCTION("""COMPUTED_VALUE"""),0.274123)</f>
        <v>0.274123</v>
      </c>
      <c r="BF45" s="298">
        <f>IFERROR(__xludf.DUMMYFUNCTION("""COMPUTED_VALUE"""),0.274123)</f>
        <v>0.274123</v>
      </c>
      <c r="BG45" s="298">
        <f>IFERROR(__xludf.DUMMYFUNCTION("""COMPUTED_VALUE"""),0.274123)</f>
        <v>0.274123</v>
      </c>
      <c r="BH45" s="298">
        <f>IFERROR(__xludf.DUMMYFUNCTION("""COMPUTED_VALUE"""),0.274123)</f>
        <v>0.274123</v>
      </c>
      <c r="BI45" s="298">
        <f>IFERROR(__xludf.DUMMYFUNCTION("""COMPUTED_VALUE"""),0.274123)</f>
        <v>0.274123</v>
      </c>
      <c r="BJ45" s="298">
        <f>IFERROR(__xludf.DUMMYFUNCTION("""COMPUTED_VALUE"""),0.274123)</f>
        <v>0.274123</v>
      </c>
      <c r="BK45" s="298">
        <f>IFERROR(__xludf.DUMMYFUNCTION("""COMPUTED_VALUE"""),0.274123)</f>
        <v>0.274123</v>
      </c>
      <c r="BL45" s="298">
        <f>IFERROR(__xludf.DUMMYFUNCTION("""COMPUTED_VALUE"""),0.274123)</f>
        <v>0.274123</v>
      </c>
      <c r="BM45" s="298">
        <f>IFERROR(__xludf.DUMMYFUNCTION("""COMPUTED_VALUE"""),0.274123)</f>
        <v>0.274123</v>
      </c>
      <c r="BN45" s="298">
        <f>IFERROR(__xludf.DUMMYFUNCTION("""COMPUTED_VALUE"""),0.274123)</f>
        <v>0.274123</v>
      </c>
    </row>
    <row r="46">
      <c r="A46" s="291" t="s">
        <v>69</v>
      </c>
      <c r="B46" s="293">
        <v>34508.204730000005</v>
      </c>
      <c r="C46" s="293">
        <v>45272.3081184</v>
      </c>
      <c r="D46" s="294">
        <f t="shared" si="1"/>
        <v>79780.51285</v>
      </c>
      <c r="E46" s="294">
        <v>28399.5814</v>
      </c>
      <c r="F46" s="293">
        <v>25445.586903999996</v>
      </c>
      <c r="G46" s="293">
        <v>18497.291400000002</v>
      </c>
      <c r="H46" s="294">
        <f t="shared" si="2"/>
        <v>43942.8783</v>
      </c>
      <c r="I46" s="293"/>
      <c r="J46" s="17"/>
      <c r="L46" s="292"/>
      <c r="M46" s="292">
        <f>IFERROR(__xludf.DUMMYFUNCTION("""COMPUTED_VALUE"""),5.0)</f>
        <v>5</v>
      </c>
      <c r="N46" s="298">
        <f>IFERROR(__xludf.DUMMYFUNCTION("""COMPUTED_VALUE"""),0.013598)</f>
        <v>0.013598</v>
      </c>
      <c r="O46" s="298">
        <f>IFERROR(__xludf.DUMMYFUNCTION("""COMPUTED_VALUE"""),0.014936)</f>
        <v>0.014936</v>
      </c>
      <c r="P46" s="298">
        <f>IFERROR(__xludf.DUMMYFUNCTION("""COMPUTED_VALUE"""),0.015235)</f>
        <v>0.015235</v>
      </c>
      <c r="Q46" s="298">
        <f>IFERROR(__xludf.DUMMYFUNCTION("""COMPUTED_VALUE"""),0.015072)</f>
        <v>0.015072</v>
      </c>
      <c r="R46" s="298">
        <f>IFERROR(__xludf.DUMMYFUNCTION("""COMPUTED_VALUE"""),0.01542)</f>
        <v>0.01542</v>
      </c>
      <c r="S46" s="298">
        <f>IFERROR(__xludf.DUMMYFUNCTION("""COMPUTED_VALUE"""),0.015201)</f>
        <v>0.015201</v>
      </c>
      <c r="T46" s="298">
        <f>IFERROR(__xludf.DUMMYFUNCTION("""COMPUTED_VALUE"""),0.015527)</f>
        <v>0.015527</v>
      </c>
      <c r="U46" s="298">
        <f>IFERROR(__xludf.DUMMYFUNCTION("""COMPUTED_VALUE"""),0.014797)</f>
        <v>0.014797</v>
      </c>
      <c r="V46" s="298">
        <f>IFERROR(__xludf.DUMMYFUNCTION("""COMPUTED_VALUE"""),0.015105)</f>
        <v>0.015105</v>
      </c>
      <c r="W46" s="298">
        <f>IFERROR(__xludf.DUMMYFUNCTION("""COMPUTED_VALUE"""),0.014978)</f>
        <v>0.014978</v>
      </c>
      <c r="X46" s="298">
        <f>IFERROR(__xludf.DUMMYFUNCTION("""COMPUTED_VALUE"""),0.014977)</f>
        <v>0.014977</v>
      </c>
      <c r="Y46" s="298">
        <f>IFERROR(__xludf.DUMMYFUNCTION("""COMPUTED_VALUE"""),0.01535)</f>
        <v>0.01535</v>
      </c>
      <c r="Z46" s="298">
        <f>IFERROR(__xludf.DUMMYFUNCTION("""COMPUTED_VALUE"""),0.015205)</f>
        <v>0.015205</v>
      </c>
      <c r="AA46" s="298">
        <f>IFERROR(__xludf.DUMMYFUNCTION("""COMPUTED_VALUE"""),0.019473)</f>
        <v>0.019473</v>
      </c>
      <c r="AB46" s="298">
        <f>IFERROR(__xludf.DUMMYFUNCTION("""COMPUTED_VALUE"""),0.019473)</f>
        <v>0.019473</v>
      </c>
      <c r="AC46" s="298">
        <f>IFERROR(__xludf.DUMMYFUNCTION("""COMPUTED_VALUE"""),0.019473)</f>
        <v>0.019473</v>
      </c>
      <c r="AD46" s="298">
        <f>IFERROR(__xludf.DUMMYFUNCTION("""COMPUTED_VALUE"""),0.019473)</f>
        <v>0.019473</v>
      </c>
      <c r="AE46" s="298">
        <f>IFERROR(__xludf.DUMMYFUNCTION("""COMPUTED_VALUE"""),0.019473)</f>
        <v>0.019473</v>
      </c>
      <c r="AF46" s="298">
        <f>IFERROR(__xludf.DUMMYFUNCTION("""COMPUTED_VALUE"""),0.019473)</f>
        <v>0.019473</v>
      </c>
      <c r="AG46" s="298">
        <f>IFERROR(__xludf.DUMMYFUNCTION("""COMPUTED_VALUE"""),0.019473)</f>
        <v>0.019473</v>
      </c>
      <c r="AH46" s="298">
        <f>IFERROR(__xludf.DUMMYFUNCTION("""COMPUTED_VALUE"""),0.019473)</f>
        <v>0.019473</v>
      </c>
      <c r="AI46" s="298">
        <f>IFERROR(__xludf.DUMMYFUNCTION("""COMPUTED_VALUE"""),0.019473)</f>
        <v>0.019473</v>
      </c>
      <c r="AJ46" s="298">
        <f>IFERROR(__xludf.DUMMYFUNCTION("""COMPUTED_VALUE"""),0.019473)</f>
        <v>0.019473</v>
      </c>
      <c r="AK46" s="298">
        <f>IFERROR(__xludf.DUMMYFUNCTION("""COMPUTED_VALUE"""),0.019473)</f>
        <v>0.019473</v>
      </c>
      <c r="AL46" s="298">
        <f>IFERROR(__xludf.DUMMYFUNCTION("""COMPUTED_VALUE"""),0.019473)</f>
        <v>0.019473</v>
      </c>
      <c r="AM46" s="298">
        <f>IFERROR(__xludf.DUMMYFUNCTION("""COMPUTED_VALUE"""),0.019473)</f>
        <v>0.019473</v>
      </c>
      <c r="AN46" s="298">
        <f>IFERROR(__xludf.DUMMYFUNCTION("""COMPUTED_VALUE"""),0.019473)</f>
        <v>0.019473</v>
      </c>
      <c r="AO46" s="298">
        <f>IFERROR(__xludf.DUMMYFUNCTION("""COMPUTED_VALUE"""),0.019473)</f>
        <v>0.019473</v>
      </c>
      <c r="AP46" s="298">
        <f>IFERROR(__xludf.DUMMYFUNCTION("""COMPUTED_VALUE"""),0.019473)</f>
        <v>0.019473</v>
      </c>
      <c r="AQ46" s="298">
        <f>IFERROR(__xludf.DUMMYFUNCTION("""COMPUTED_VALUE"""),0.019473)</f>
        <v>0.019473</v>
      </c>
      <c r="AR46" s="298">
        <f>IFERROR(__xludf.DUMMYFUNCTION("""COMPUTED_VALUE"""),0.019473)</f>
        <v>0.019473</v>
      </c>
      <c r="AS46" s="298">
        <f>IFERROR(__xludf.DUMMYFUNCTION("""COMPUTED_VALUE"""),0.019473)</f>
        <v>0.019473</v>
      </c>
      <c r="AT46" s="298">
        <f>IFERROR(__xludf.DUMMYFUNCTION("""COMPUTED_VALUE"""),0.019473)</f>
        <v>0.019473</v>
      </c>
      <c r="AU46" s="298">
        <f>IFERROR(__xludf.DUMMYFUNCTION("""COMPUTED_VALUE"""),0.019473)</f>
        <v>0.019473</v>
      </c>
      <c r="AV46" s="298">
        <f>IFERROR(__xludf.DUMMYFUNCTION("""COMPUTED_VALUE"""),0.019473)</f>
        <v>0.019473</v>
      </c>
      <c r="AW46" s="298">
        <f>IFERROR(__xludf.DUMMYFUNCTION("""COMPUTED_VALUE"""),0.019473)</f>
        <v>0.019473</v>
      </c>
      <c r="AX46" s="298">
        <f>IFERROR(__xludf.DUMMYFUNCTION("""COMPUTED_VALUE"""),0.019473)</f>
        <v>0.019473</v>
      </c>
      <c r="AY46" s="298">
        <f>IFERROR(__xludf.DUMMYFUNCTION("""COMPUTED_VALUE"""),0.019473)</f>
        <v>0.019473</v>
      </c>
      <c r="AZ46" s="298">
        <f>IFERROR(__xludf.DUMMYFUNCTION("""COMPUTED_VALUE"""),0.019473)</f>
        <v>0.019473</v>
      </c>
      <c r="BA46" s="298">
        <f>IFERROR(__xludf.DUMMYFUNCTION("""COMPUTED_VALUE"""),0.019473)</f>
        <v>0.019473</v>
      </c>
      <c r="BB46" s="298">
        <f>IFERROR(__xludf.DUMMYFUNCTION("""COMPUTED_VALUE"""),0.019473)</f>
        <v>0.019473</v>
      </c>
      <c r="BC46" s="298">
        <f>IFERROR(__xludf.DUMMYFUNCTION("""COMPUTED_VALUE"""),0.019473)</f>
        <v>0.019473</v>
      </c>
      <c r="BD46" s="298">
        <f>IFERROR(__xludf.DUMMYFUNCTION("""COMPUTED_VALUE"""),0.019473)</f>
        <v>0.019473</v>
      </c>
      <c r="BE46" s="298">
        <f>IFERROR(__xludf.DUMMYFUNCTION("""COMPUTED_VALUE"""),0.019473)</f>
        <v>0.019473</v>
      </c>
      <c r="BF46" s="298">
        <f>IFERROR(__xludf.DUMMYFUNCTION("""COMPUTED_VALUE"""),0.019473)</f>
        <v>0.019473</v>
      </c>
      <c r="BG46" s="298">
        <f>IFERROR(__xludf.DUMMYFUNCTION("""COMPUTED_VALUE"""),0.019473)</f>
        <v>0.019473</v>
      </c>
      <c r="BH46" s="298">
        <f>IFERROR(__xludf.DUMMYFUNCTION("""COMPUTED_VALUE"""),0.019473)</f>
        <v>0.019473</v>
      </c>
      <c r="BI46" s="298">
        <f>IFERROR(__xludf.DUMMYFUNCTION("""COMPUTED_VALUE"""),0.019473)</f>
        <v>0.019473</v>
      </c>
      <c r="BJ46" s="298">
        <f>IFERROR(__xludf.DUMMYFUNCTION("""COMPUTED_VALUE"""),0.019473)</f>
        <v>0.019473</v>
      </c>
      <c r="BK46" s="298">
        <f>IFERROR(__xludf.DUMMYFUNCTION("""COMPUTED_VALUE"""),0.019473)</f>
        <v>0.019473</v>
      </c>
      <c r="BL46" s="298">
        <f>IFERROR(__xludf.DUMMYFUNCTION("""COMPUTED_VALUE"""),0.019473)</f>
        <v>0.019473</v>
      </c>
      <c r="BM46" s="298">
        <f>IFERROR(__xludf.DUMMYFUNCTION("""COMPUTED_VALUE"""),0.019473)</f>
        <v>0.019473</v>
      </c>
      <c r="BN46" s="298">
        <f>IFERROR(__xludf.DUMMYFUNCTION("""COMPUTED_VALUE"""),0.019473)</f>
        <v>0.019473</v>
      </c>
    </row>
    <row r="47">
      <c r="A47" s="291" t="s">
        <v>70</v>
      </c>
      <c r="B47" s="293">
        <v>33376.074354000004</v>
      </c>
      <c r="C47" s="293">
        <v>44723.077344</v>
      </c>
      <c r="D47" s="294">
        <f t="shared" si="1"/>
        <v>78099.1517</v>
      </c>
      <c r="E47" s="294">
        <v>30838.0114</v>
      </c>
      <c r="F47" s="293">
        <v>25071.745639999994</v>
      </c>
      <c r="G47" s="293">
        <v>18787.0662</v>
      </c>
      <c r="H47" s="294">
        <f t="shared" si="2"/>
        <v>43858.81184</v>
      </c>
      <c r="I47" s="293"/>
      <c r="J47" s="17"/>
      <c r="L47" s="292"/>
      <c r="M47" s="292">
        <f>IFERROR(__xludf.DUMMYFUNCTION("""COMPUTED_VALUE"""),6.0)</f>
        <v>6</v>
      </c>
      <c r="N47" s="298">
        <f>IFERROR(__xludf.DUMMYFUNCTION("""COMPUTED_VALUE"""),0.295502)</f>
        <v>0.295502</v>
      </c>
      <c r="O47" s="298">
        <f>IFERROR(__xludf.DUMMYFUNCTION("""COMPUTED_VALUE"""),0.308925)</f>
        <v>0.308925</v>
      </c>
      <c r="P47" s="298">
        <f>IFERROR(__xludf.DUMMYFUNCTION("""COMPUTED_VALUE"""),0.318906)</f>
        <v>0.318906</v>
      </c>
      <c r="Q47" s="298">
        <f>IFERROR(__xludf.DUMMYFUNCTION("""COMPUTED_VALUE"""),0.328309)</f>
        <v>0.328309</v>
      </c>
      <c r="R47" s="298">
        <f>IFERROR(__xludf.DUMMYFUNCTION("""COMPUTED_VALUE"""),0.336942)</f>
        <v>0.336942</v>
      </c>
      <c r="S47" s="298">
        <f>IFERROR(__xludf.DUMMYFUNCTION("""COMPUTED_VALUE"""),0.346378)</f>
        <v>0.346378</v>
      </c>
      <c r="T47" s="298">
        <f>IFERROR(__xludf.DUMMYFUNCTION("""COMPUTED_VALUE"""),0.356128)</f>
        <v>0.356128</v>
      </c>
      <c r="U47" s="298">
        <f>IFERROR(__xludf.DUMMYFUNCTION("""COMPUTED_VALUE"""),0.366523)</f>
        <v>0.366523</v>
      </c>
      <c r="V47" s="298">
        <f>IFERROR(__xludf.DUMMYFUNCTION("""COMPUTED_VALUE"""),0.376695)</f>
        <v>0.376695</v>
      </c>
      <c r="W47" s="298">
        <f>IFERROR(__xludf.DUMMYFUNCTION("""COMPUTED_VALUE"""),0.387665)</f>
        <v>0.387665</v>
      </c>
      <c r="X47" s="298">
        <f>IFERROR(__xludf.DUMMYFUNCTION("""COMPUTED_VALUE"""),0.397504)</f>
        <v>0.397504</v>
      </c>
      <c r="Y47" s="298">
        <f>IFERROR(__xludf.DUMMYFUNCTION("""COMPUTED_VALUE"""),0.408059)</f>
        <v>0.408059</v>
      </c>
      <c r="Z47" s="298">
        <f>IFERROR(__xludf.DUMMYFUNCTION("""COMPUTED_VALUE"""),0.418958)</f>
        <v>0.418958</v>
      </c>
      <c r="AA47" s="298">
        <f>IFERROR(__xludf.DUMMYFUNCTION("""COMPUTED_VALUE"""),0.307827)</f>
        <v>0.307827</v>
      </c>
      <c r="AB47" s="298">
        <f>IFERROR(__xludf.DUMMYFUNCTION("""COMPUTED_VALUE"""),0.307827)</f>
        <v>0.307827</v>
      </c>
      <c r="AC47" s="298">
        <f>IFERROR(__xludf.DUMMYFUNCTION("""COMPUTED_VALUE"""),0.307827)</f>
        <v>0.307827</v>
      </c>
      <c r="AD47" s="298">
        <f>IFERROR(__xludf.DUMMYFUNCTION("""COMPUTED_VALUE"""),0.307827)</f>
        <v>0.307827</v>
      </c>
      <c r="AE47" s="298">
        <f>IFERROR(__xludf.DUMMYFUNCTION("""COMPUTED_VALUE"""),0.307827)</f>
        <v>0.307827</v>
      </c>
      <c r="AF47" s="298">
        <f>IFERROR(__xludf.DUMMYFUNCTION("""COMPUTED_VALUE"""),0.307827)</f>
        <v>0.307827</v>
      </c>
      <c r="AG47" s="298">
        <f>IFERROR(__xludf.DUMMYFUNCTION("""COMPUTED_VALUE"""),0.307827)</f>
        <v>0.307827</v>
      </c>
      <c r="AH47" s="298">
        <f>IFERROR(__xludf.DUMMYFUNCTION("""COMPUTED_VALUE"""),0.307827)</f>
        <v>0.307827</v>
      </c>
      <c r="AI47" s="298">
        <f>IFERROR(__xludf.DUMMYFUNCTION("""COMPUTED_VALUE"""),0.307827)</f>
        <v>0.307827</v>
      </c>
      <c r="AJ47" s="298">
        <f>IFERROR(__xludf.DUMMYFUNCTION("""COMPUTED_VALUE"""),0.307827)</f>
        <v>0.307827</v>
      </c>
      <c r="AK47" s="298">
        <f>IFERROR(__xludf.DUMMYFUNCTION("""COMPUTED_VALUE"""),0.307827)</f>
        <v>0.307827</v>
      </c>
      <c r="AL47" s="298">
        <f>IFERROR(__xludf.DUMMYFUNCTION("""COMPUTED_VALUE"""),0.307827)</f>
        <v>0.307827</v>
      </c>
      <c r="AM47" s="298">
        <f>IFERROR(__xludf.DUMMYFUNCTION("""COMPUTED_VALUE"""),0.307827)</f>
        <v>0.307827</v>
      </c>
      <c r="AN47" s="298">
        <f>IFERROR(__xludf.DUMMYFUNCTION("""COMPUTED_VALUE"""),0.283827)</f>
        <v>0.283827</v>
      </c>
      <c r="AO47" s="298">
        <f>IFERROR(__xludf.DUMMYFUNCTION("""COMPUTED_VALUE"""),0.283827)</f>
        <v>0.283827</v>
      </c>
      <c r="AP47" s="298">
        <f>IFERROR(__xludf.DUMMYFUNCTION("""COMPUTED_VALUE"""),0.283827)</f>
        <v>0.283827</v>
      </c>
      <c r="AQ47" s="298">
        <f>IFERROR(__xludf.DUMMYFUNCTION("""COMPUTED_VALUE"""),0.283827)</f>
        <v>0.283827</v>
      </c>
      <c r="AR47" s="298">
        <f>IFERROR(__xludf.DUMMYFUNCTION("""COMPUTED_VALUE"""),0.283827)</f>
        <v>0.283827</v>
      </c>
      <c r="AS47" s="298">
        <f>IFERROR(__xludf.DUMMYFUNCTION("""COMPUTED_VALUE"""),0.283827)</f>
        <v>0.283827</v>
      </c>
      <c r="AT47" s="298">
        <f>IFERROR(__xludf.DUMMYFUNCTION("""COMPUTED_VALUE"""),0.283827)</f>
        <v>0.283827</v>
      </c>
      <c r="AU47" s="298">
        <f>IFERROR(__xludf.DUMMYFUNCTION("""COMPUTED_VALUE"""),0.283827)</f>
        <v>0.283827</v>
      </c>
      <c r="AV47" s="298">
        <f>IFERROR(__xludf.DUMMYFUNCTION("""COMPUTED_VALUE"""),0.283827)</f>
        <v>0.283827</v>
      </c>
      <c r="AW47" s="298">
        <f>IFERROR(__xludf.DUMMYFUNCTION("""COMPUTED_VALUE"""),0.283827)</f>
        <v>0.283827</v>
      </c>
      <c r="AX47" s="298">
        <f>IFERROR(__xludf.DUMMYFUNCTION("""COMPUTED_VALUE"""),0.283827)</f>
        <v>0.283827</v>
      </c>
      <c r="AY47" s="298">
        <f>IFERROR(__xludf.DUMMYFUNCTION("""COMPUTED_VALUE"""),0.283827)</f>
        <v>0.283827</v>
      </c>
      <c r="AZ47" s="298">
        <f>IFERROR(__xludf.DUMMYFUNCTION("""COMPUTED_VALUE"""),0.283827)</f>
        <v>0.283827</v>
      </c>
      <c r="BA47" s="298">
        <f>IFERROR(__xludf.DUMMYFUNCTION("""COMPUTED_VALUE"""),0.232827)</f>
        <v>0.232827</v>
      </c>
      <c r="BB47" s="298">
        <f>IFERROR(__xludf.DUMMYFUNCTION("""COMPUTED_VALUE"""),0.232827)</f>
        <v>0.232827</v>
      </c>
      <c r="BC47" s="298">
        <f>IFERROR(__xludf.DUMMYFUNCTION("""COMPUTED_VALUE"""),0.232827)</f>
        <v>0.232827</v>
      </c>
      <c r="BD47" s="298">
        <f>IFERROR(__xludf.DUMMYFUNCTION("""COMPUTED_VALUE"""),0.232827)</f>
        <v>0.232827</v>
      </c>
      <c r="BE47" s="298">
        <f>IFERROR(__xludf.DUMMYFUNCTION("""COMPUTED_VALUE"""),0.232827)</f>
        <v>0.232827</v>
      </c>
      <c r="BF47" s="298">
        <f>IFERROR(__xludf.DUMMYFUNCTION("""COMPUTED_VALUE"""),0.232827)</f>
        <v>0.232827</v>
      </c>
      <c r="BG47" s="298">
        <f>IFERROR(__xludf.DUMMYFUNCTION("""COMPUTED_VALUE"""),0.232827)</f>
        <v>0.232827</v>
      </c>
      <c r="BH47" s="298">
        <f>IFERROR(__xludf.DUMMYFUNCTION("""COMPUTED_VALUE"""),0.232827)</f>
        <v>0.232827</v>
      </c>
      <c r="BI47" s="298">
        <f>IFERROR(__xludf.DUMMYFUNCTION("""COMPUTED_VALUE"""),0.232827)</f>
        <v>0.232827</v>
      </c>
      <c r="BJ47" s="298">
        <f>IFERROR(__xludf.DUMMYFUNCTION("""COMPUTED_VALUE"""),0.232827)</f>
        <v>0.232827</v>
      </c>
      <c r="BK47" s="298">
        <f>IFERROR(__xludf.DUMMYFUNCTION("""COMPUTED_VALUE"""),0.232827)</f>
        <v>0.232827</v>
      </c>
      <c r="BL47" s="298">
        <f>IFERROR(__xludf.DUMMYFUNCTION("""COMPUTED_VALUE"""),0.232827)</f>
        <v>0.232827</v>
      </c>
      <c r="BM47" s="298">
        <f>IFERROR(__xludf.DUMMYFUNCTION("""COMPUTED_VALUE"""),0.232827)</f>
        <v>0.232827</v>
      </c>
      <c r="BN47" s="298">
        <f>IFERROR(__xludf.DUMMYFUNCTION("""COMPUTED_VALUE"""),0.232827)</f>
        <v>0.232827</v>
      </c>
    </row>
    <row r="48">
      <c r="A48" s="291" t="s">
        <v>71</v>
      </c>
      <c r="B48" s="293">
        <v>35451.64671</v>
      </c>
      <c r="C48" s="293">
        <v>43350.000408</v>
      </c>
      <c r="D48" s="294">
        <f t="shared" si="1"/>
        <v>78801.64712</v>
      </c>
      <c r="E48" s="294">
        <v>27603.0276</v>
      </c>
      <c r="F48" s="293">
        <v>23625.142487999994</v>
      </c>
      <c r="G48" s="293">
        <v>17972.937</v>
      </c>
      <c r="H48" s="294">
        <f t="shared" si="2"/>
        <v>41598.07949</v>
      </c>
      <c r="I48" s="293"/>
      <c r="J48" s="17"/>
      <c r="L48" s="292"/>
      <c r="M48" s="292">
        <f>IFERROR(__xludf.DUMMYFUNCTION("""COMPUTED_VALUE"""),7.0)</f>
        <v>7</v>
      </c>
      <c r="N48" s="298">
        <f>IFERROR(__xludf.DUMMYFUNCTION("""COMPUTED_VALUE"""),0.006276)</f>
        <v>0.006276</v>
      </c>
      <c r="O48" s="298">
        <f>IFERROR(__xludf.DUMMYFUNCTION("""COMPUTED_VALUE"""),0.007286)</f>
        <v>0.007286</v>
      </c>
      <c r="P48" s="298">
        <f>IFERROR(__xludf.DUMMYFUNCTION("""COMPUTED_VALUE"""),0.007271)</f>
        <v>0.007271</v>
      </c>
      <c r="Q48" s="298">
        <f>IFERROR(__xludf.DUMMYFUNCTION("""COMPUTED_VALUE"""),0.007208)</f>
        <v>0.007208</v>
      </c>
      <c r="R48" s="298">
        <f>IFERROR(__xludf.DUMMYFUNCTION("""COMPUTED_VALUE"""),0.007546)</f>
        <v>0.007546</v>
      </c>
      <c r="S48" s="298">
        <f>IFERROR(__xludf.DUMMYFUNCTION("""COMPUTED_VALUE"""),0.007115)</f>
        <v>0.007115</v>
      </c>
      <c r="T48" s="298">
        <f>IFERROR(__xludf.DUMMYFUNCTION("""COMPUTED_VALUE"""),0.007268)</f>
        <v>0.007268</v>
      </c>
      <c r="U48" s="298">
        <f>IFERROR(__xludf.DUMMYFUNCTION("""COMPUTED_VALUE"""),0.00709)</f>
        <v>0.00709</v>
      </c>
      <c r="V48" s="298">
        <f>IFERROR(__xludf.DUMMYFUNCTION("""COMPUTED_VALUE"""),0.007398)</f>
        <v>0.007398</v>
      </c>
      <c r="W48" s="298">
        <f>IFERROR(__xludf.DUMMYFUNCTION("""COMPUTED_VALUE"""),0.007048)</f>
        <v>0.007048</v>
      </c>
      <c r="X48" s="298">
        <f>IFERROR(__xludf.DUMMYFUNCTION("""COMPUTED_VALUE"""),0.007176)</f>
        <v>0.007176</v>
      </c>
      <c r="Y48" s="298">
        <f>IFERROR(__xludf.DUMMYFUNCTION("""COMPUTED_VALUE"""),0.007355)</f>
        <v>0.007355</v>
      </c>
      <c r="Z48" s="298">
        <f>IFERROR(__xludf.DUMMYFUNCTION("""COMPUTED_VALUE"""),0.007117)</f>
        <v>0.007117</v>
      </c>
      <c r="AA48" s="298">
        <f>IFERROR(__xludf.DUMMYFUNCTION("""COMPUTED_VALUE"""),0.0124)</f>
        <v>0.0124</v>
      </c>
      <c r="AB48" s="298">
        <f>IFERROR(__xludf.DUMMYFUNCTION("""COMPUTED_VALUE"""),0.0124)</f>
        <v>0.0124</v>
      </c>
      <c r="AC48" s="298">
        <f>IFERROR(__xludf.DUMMYFUNCTION("""COMPUTED_VALUE"""),0.0124)</f>
        <v>0.0124</v>
      </c>
      <c r="AD48" s="298">
        <f>IFERROR(__xludf.DUMMYFUNCTION("""COMPUTED_VALUE"""),0.0124)</f>
        <v>0.0124</v>
      </c>
      <c r="AE48" s="298">
        <f>IFERROR(__xludf.DUMMYFUNCTION("""COMPUTED_VALUE"""),0.0124)</f>
        <v>0.0124</v>
      </c>
      <c r="AF48" s="298">
        <f>IFERROR(__xludf.DUMMYFUNCTION("""COMPUTED_VALUE"""),0.0124)</f>
        <v>0.0124</v>
      </c>
      <c r="AG48" s="298">
        <f>IFERROR(__xludf.DUMMYFUNCTION("""COMPUTED_VALUE"""),0.0124)</f>
        <v>0.0124</v>
      </c>
      <c r="AH48" s="298">
        <f>IFERROR(__xludf.DUMMYFUNCTION("""COMPUTED_VALUE"""),0.0124)</f>
        <v>0.0124</v>
      </c>
      <c r="AI48" s="298">
        <f>IFERROR(__xludf.DUMMYFUNCTION("""COMPUTED_VALUE"""),0.0124)</f>
        <v>0.0124</v>
      </c>
      <c r="AJ48" s="298">
        <f>IFERROR(__xludf.DUMMYFUNCTION("""COMPUTED_VALUE"""),0.0124)</f>
        <v>0.0124</v>
      </c>
      <c r="AK48" s="298">
        <f>IFERROR(__xludf.DUMMYFUNCTION("""COMPUTED_VALUE"""),0.0124)</f>
        <v>0.0124</v>
      </c>
      <c r="AL48" s="298">
        <f>IFERROR(__xludf.DUMMYFUNCTION("""COMPUTED_VALUE"""),0.0124)</f>
        <v>0.0124</v>
      </c>
      <c r="AM48" s="298">
        <f>IFERROR(__xludf.DUMMYFUNCTION("""COMPUTED_VALUE"""),0.0124)</f>
        <v>0.0124</v>
      </c>
      <c r="AN48" s="298">
        <f>IFERROR(__xludf.DUMMYFUNCTION("""COMPUTED_VALUE"""),0.0124)</f>
        <v>0.0124</v>
      </c>
      <c r="AO48" s="298">
        <f>IFERROR(__xludf.DUMMYFUNCTION("""COMPUTED_VALUE"""),0.0124)</f>
        <v>0.0124</v>
      </c>
      <c r="AP48" s="298">
        <f>IFERROR(__xludf.DUMMYFUNCTION("""COMPUTED_VALUE"""),0.0124)</f>
        <v>0.0124</v>
      </c>
      <c r="AQ48" s="298">
        <f>IFERROR(__xludf.DUMMYFUNCTION("""COMPUTED_VALUE"""),0.0124)</f>
        <v>0.0124</v>
      </c>
      <c r="AR48" s="298">
        <f>IFERROR(__xludf.DUMMYFUNCTION("""COMPUTED_VALUE"""),0.0124)</f>
        <v>0.0124</v>
      </c>
      <c r="AS48" s="298">
        <f>IFERROR(__xludf.DUMMYFUNCTION("""COMPUTED_VALUE"""),0.0124)</f>
        <v>0.0124</v>
      </c>
      <c r="AT48" s="298">
        <f>IFERROR(__xludf.DUMMYFUNCTION("""COMPUTED_VALUE"""),0.0124)</f>
        <v>0.0124</v>
      </c>
      <c r="AU48" s="298">
        <f>IFERROR(__xludf.DUMMYFUNCTION("""COMPUTED_VALUE"""),0.0124)</f>
        <v>0.0124</v>
      </c>
      <c r="AV48" s="298">
        <f>IFERROR(__xludf.DUMMYFUNCTION("""COMPUTED_VALUE"""),0.0124)</f>
        <v>0.0124</v>
      </c>
      <c r="AW48" s="298">
        <f>IFERROR(__xludf.DUMMYFUNCTION("""COMPUTED_VALUE"""),0.0124)</f>
        <v>0.0124</v>
      </c>
      <c r="AX48" s="298">
        <f>IFERROR(__xludf.DUMMYFUNCTION("""COMPUTED_VALUE"""),0.0124)</f>
        <v>0.0124</v>
      </c>
      <c r="AY48" s="298">
        <f>IFERROR(__xludf.DUMMYFUNCTION("""COMPUTED_VALUE"""),0.0124)</f>
        <v>0.0124</v>
      </c>
      <c r="AZ48" s="298">
        <f>IFERROR(__xludf.DUMMYFUNCTION("""COMPUTED_VALUE"""),0.0124)</f>
        <v>0.0124</v>
      </c>
      <c r="BA48" s="298">
        <f>IFERROR(__xludf.DUMMYFUNCTION("""COMPUTED_VALUE"""),0.0124)</f>
        <v>0.0124</v>
      </c>
      <c r="BB48" s="298">
        <f>IFERROR(__xludf.DUMMYFUNCTION("""COMPUTED_VALUE"""),0.0124)</f>
        <v>0.0124</v>
      </c>
      <c r="BC48" s="298">
        <f>IFERROR(__xludf.DUMMYFUNCTION("""COMPUTED_VALUE"""),0.0124)</f>
        <v>0.0124</v>
      </c>
      <c r="BD48" s="298">
        <f>IFERROR(__xludf.DUMMYFUNCTION("""COMPUTED_VALUE"""),0.0124)</f>
        <v>0.0124</v>
      </c>
      <c r="BE48" s="298">
        <f>IFERROR(__xludf.DUMMYFUNCTION("""COMPUTED_VALUE"""),0.0124)</f>
        <v>0.0124</v>
      </c>
      <c r="BF48" s="298">
        <f>IFERROR(__xludf.DUMMYFUNCTION("""COMPUTED_VALUE"""),0.0124)</f>
        <v>0.0124</v>
      </c>
      <c r="BG48" s="298">
        <f>IFERROR(__xludf.DUMMYFUNCTION("""COMPUTED_VALUE"""),0.0124)</f>
        <v>0.0124</v>
      </c>
      <c r="BH48" s="298">
        <f>IFERROR(__xludf.DUMMYFUNCTION("""COMPUTED_VALUE"""),0.0124)</f>
        <v>0.0124</v>
      </c>
      <c r="BI48" s="298">
        <f>IFERROR(__xludf.DUMMYFUNCTION("""COMPUTED_VALUE"""),0.0124)</f>
        <v>0.0124</v>
      </c>
      <c r="BJ48" s="298">
        <f>IFERROR(__xludf.DUMMYFUNCTION("""COMPUTED_VALUE"""),0.0124)</f>
        <v>0.0124</v>
      </c>
      <c r="BK48" s="298">
        <f>IFERROR(__xludf.DUMMYFUNCTION("""COMPUTED_VALUE"""),0.0124)</f>
        <v>0.0124</v>
      </c>
      <c r="BL48" s="298">
        <f>IFERROR(__xludf.DUMMYFUNCTION("""COMPUTED_VALUE"""),0.0124)</f>
        <v>0.0124</v>
      </c>
      <c r="BM48" s="298">
        <f>IFERROR(__xludf.DUMMYFUNCTION("""COMPUTED_VALUE"""),0.0124)</f>
        <v>0.0124</v>
      </c>
      <c r="BN48" s="298">
        <f>IFERROR(__xludf.DUMMYFUNCTION("""COMPUTED_VALUE"""),0.0124)</f>
        <v>0.0124</v>
      </c>
    </row>
    <row r="49">
      <c r="A49" s="291" t="s">
        <v>72</v>
      </c>
      <c r="B49" s="293">
        <v>35545.990908</v>
      </c>
      <c r="C49" s="293">
        <v>43696.538872799996</v>
      </c>
      <c r="D49" s="294">
        <f t="shared" si="1"/>
        <v>79242.52978</v>
      </c>
      <c r="E49" s="294">
        <v>27976.9202</v>
      </c>
      <c r="F49" s="293">
        <v>24194.031367999996</v>
      </c>
      <c r="G49" s="293">
        <v>17903.943000000003</v>
      </c>
      <c r="H49" s="294">
        <f t="shared" si="2"/>
        <v>42097.97437</v>
      </c>
      <c r="I49" s="293"/>
      <c r="J49" s="17"/>
      <c r="L49" s="292"/>
      <c r="M49" s="292">
        <f>IFERROR(__xludf.DUMMYFUNCTION("""COMPUTED_VALUE"""),8.0)</f>
        <v>8</v>
      </c>
      <c r="N49" s="298">
        <f>IFERROR(__xludf.DUMMYFUNCTION("""COMPUTED_VALUE"""),0.122385)</f>
        <v>0.122385</v>
      </c>
      <c r="O49" s="298">
        <f>IFERROR(__xludf.DUMMYFUNCTION("""COMPUTED_VALUE"""),0.121676)</f>
        <v>0.121676</v>
      </c>
      <c r="P49" s="298">
        <f>IFERROR(__xludf.DUMMYFUNCTION("""COMPUTED_VALUE"""),0.121884)</f>
        <v>0.121884</v>
      </c>
      <c r="Q49" s="298">
        <f>IFERROR(__xludf.DUMMYFUNCTION("""COMPUTED_VALUE"""),0.122543)</f>
        <v>0.122543</v>
      </c>
      <c r="R49" s="298">
        <f>IFERROR(__xludf.DUMMYFUNCTION("""COMPUTED_VALUE"""),0.122047)</f>
        <v>0.122047</v>
      </c>
      <c r="S49" s="298">
        <f>IFERROR(__xludf.DUMMYFUNCTION("""COMPUTED_VALUE"""),0.122251)</f>
        <v>0.122251</v>
      </c>
      <c r="T49" s="298">
        <f>IFERROR(__xludf.DUMMYFUNCTION("""COMPUTED_VALUE"""),0.122564)</f>
        <v>0.122564</v>
      </c>
      <c r="U49" s="298">
        <f>IFERROR(__xludf.DUMMYFUNCTION("""COMPUTED_VALUE"""),0.123613)</f>
        <v>0.123613</v>
      </c>
      <c r="V49" s="298">
        <f>IFERROR(__xludf.DUMMYFUNCTION("""COMPUTED_VALUE"""),0.123613)</f>
        <v>0.123613</v>
      </c>
      <c r="W49" s="298">
        <f>IFERROR(__xludf.DUMMYFUNCTION("""COMPUTED_VALUE"""),0.123348)</f>
        <v>0.123348</v>
      </c>
      <c r="X49" s="298">
        <f>IFERROR(__xludf.DUMMYFUNCTION("""COMPUTED_VALUE"""),0.123557)</f>
        <v>0.123557</v>
      </c>
      <c r="Y49" s="298">
        <f>IFERROR(__xludf.DUMMYFUNCTION("""COMPUTED_VALUE"""),0.123761)</f>
        <v>0.123761</v>
      </c>
      <c r="Z49" s="298">
        <f>IFERROR(__xludf.DUMMYFUNCTION("""COMPUTED_VALUE"""),0.123585)</f>
        <v>0.123585</v>
      </c>
      <c r="AA49" s="298">
        <f>IFERROR(__xludf.DUMMYFUNCTION("""COMPUTED_VALUE"""),0.168314)</f>
        <v>0.168314</v>
      </c>
      <c r="AB49" s="298">
        <f>IFERROR(__xludf.DUMMYFUNCTION("""COMPUTED_VALUE"""),0.168314)</f>
        <v>0.168314</v>
      </c>
      <c r="AC49" s="298">
        <f>IFERROR(__xludf.DUMMYFUNCTION("""COMPUTED_VALUE"""),0.168314)</f>
        <v>0.168314</v>
      </c>
      <c r="AD49" s="298">
        <f>IFERROR(__xludf.DUMMYFUNCTION("""COMPUTED_VALUE"""),0.168314)</f>
        <v>0.168314</v>
      </c>
      <c r="AE49" s="298">
        <f>IFERROR(__xludf.DUMMYFUNCTION("""COMPUTED_VALUE"""),0.168314)</f>
        <v>0.168314</v>
      </c>
      <c r="AF49" s="298">
        <f>IFERROR(__xludf.DUMMYFUNCTION("""COMPUTED_VALUE"""),0.168314)</f>
        <v>0.168314</v>
      </c>
      <c r="AG49" s="298">
        <f>IFERROR(__xludf.DUMMYFUNCTION("""COMPUTED_VALUE"""),0.168314)</f>
        <v>0.168314</v>
      </c>
      <c r="AH49" s="298">
        <f>IFERROR(__xludf.DUMMYFUNCTION("""COMPUTED_VALUE"""),0.168314)</f>
        <v>0.168314</v>
      </c>
      <c r="AI49" s="298">
        <f>IFERROR(__xludf.DUMMYFUNCTION("""COMPUTED_VALUE"""),0.168314)</f>
        <v>0.168314</v>
      </c>
      <c r="AJ49" s="298">
        <f>IFERROR(__xludf.DUMMYFUNCTION("""COMPUTED_VALUE"""),0.168314)</f>
        <v>0.168314</v>
      </c>
      <c r="AK49" s="298">
        <f>IFERROR(__xludf.DUMMYFUNCTION("""COMPUTED_VALUE"""),0.168314)</f>
        <v>0.168314</v>
      </c>
      <c r="AL49" s="298">
        <f>IFERROR(__xludf.DUMMYFUNCTION("""COMPUTED_VALUE"""),0.168314)</f>
        <v>0.168314</v>
      </c>
      <c r="AM49" s="298">
        <f>IFERROR(__xludf.DUMMYFUNCTION("""COMPUTED_VALUE"""),0.168314)</f>
        <v>0.168314</v>
      </c>
      <c r="AN49" s="298">
        <f>IFERROR(__xludf.DUMMYFUNCTION("""COMPUTED_VALUE"""),0.192314)</f>
        <v>0.192314</v>
      </c>
      <c r="AO49" s="298">
        <f>IFERROR(__xludf.DUMMYFUNCTION("""COMPUTED_VALUE"""),0.192314)</f>
        <v>0.192314</v>
      </c>
      <c r="AP49" s="298">
        <f>IFERROR(__xludf.DUMMYFUNCTION("""COMPUTED_VALUE"""),0.192314)</f>
        <v>0.192314</v>
      </c>
      <c r="AQ49" s="298">
        <f>IFERROR(__xludf.DUMMYFUNCTION("""COMPUTED_VALUE"""),0.192314)</f>
        <v>0.192314</v>
      </c>
      <c r="AR49" s="298">
        <f>IFERROR(__xludf.DUMMYFUNCTION("""COMPUTED_VALUE"""),0.192314)</f>
        <v>0.192314</v>
      </c>
      <c r="AS49" s="298">
        <f>IFERROR(__xludf.DUMMYFUNCTION("""COMPUTED_VALUE"""),0.192314)</f>
        <v>0.192314</v>
      </c>
      <c r="AT49" s="298">
        <f>IFERROR(__xludf.DUMMYFUNCTION("""COMPUTED_VALUE"""),0.192314)</f>
        <v>0.192314</v>
      </c>
      <c r="AU49" s="298">
        <f>IFERROR(__xludf.DUMMYFUNCTION("""COMPUTED_VALUE"""),0.192314)</f>
        <v>0.192314</v>
      </c>
      <c r="AV49" s="298">
        <f>IFERROR(__xludf.DUMMYFUNCTION("""COMPUTED_VALUE"""),0.192314)</f>
        <v>0.192314</v>
      </c>
      <c r="AW49" s="298">
        <f>IFERROR(__xludf.DUMMYFUNCTION("""COMPUTED_VALUE"""),0.192314)</f>
        <v>0.192314</v>
      </c>
      <c r="AX49" s="298">
        <f>IFERROR(__xludf.DUMMYFUNCTION("""COMPUTED_VALUE"""),0.192314)</f>
        <v>0.192314</v>
      </c>
      <c r="AY49" s="298">
        <f>IFERROR(__xludf.DUMMYFUNCTION("""COMPUTED_VALUE"""),0.192314)</f>
        <v>0.192314</v>
      </c>
      <c r="AZ49" s="298">
        <f>IFERROR(__xludf.DUMMYFUNCTION("""COMPUTED_VALUE"""),0.192314)</f>
        <v>0.192314</v>
      </c>
      <c r="BA49" s="298">
        <f>IFERROR(__xludf.DUMMYFUNCTION("""COMPUTED_VALUE"""),0.243314)</f>
        <v>0.243314</v>
      </c>
      <c r="BB49" s="298">
        <f>IFERROR(__xludf.DUMMYFUNCTION("""COMPUTED_VALUE"""),0.243314)</f>
        <v>0.243314</v>
      </c>
      <c r="BC49" s="298">
        <f>IFERROR(__xludf.DUMMYFUNCTION("""COMPUTED_VALUE"""),0.243314)</f>
        <v>0.243314</v>
      </c>
      <c r="BD49" s="298">
        <f>IFERROR(__xludf.DUMMYFUNCTION("""COMPUTED_VALUE"""),0.243314)</f>
        <v>0.243314</v>
      </c>
      <c r="BE49" s="298">
        <f>IFERROR(__xludf.DUMMYFUNCTION("""COMPUTED_VALUE"""),0.243314)</f>
        <v>0.243314</v>
      </c>
      <c r="BF49" s="298">
        <f>IFERROR(__xludf.DUMMYFUNCTION("""COMPUTED_VALUE"""),0.243314)</f>
        <v>0.243314</v>
      </c>
      <c r="BG49" s="298">
        <f>IFERROR(__xludf.DUMMYFUNCTION("""COMPUTED_VALUE"""),0.243314)</f>
        <v>0.243314</v>
      </c>
      <c r="BH49" s="298">
        <f>IFERROR(__xludf.DUMMYFUNCTION("""COMPUTED_VALUE"""),0.243314)</f>
        <v>0.243314</v>
      </c>
      <c r="BI49" s="298">
        <f>IFERROR(__xludf.DUMMYFUNCTION("""COMPUTED_VALUE"""),0.243314)</f>
        <v>0.243314</v>
      </c>
      <c r="BJ49" s="298">
        <f>IFERROR(__xludf.DUMMYFUNCTION("""COMPUTED_VALUE"""),0.243314)</f>
        <v>0.243314</v>
      </c>
      <c r="BK49" s="298">
        <f>IFERROR(__xludf.DUMMYFUNCTION("""COMPUTED_VALUE"""),0.243314)</f>
        <v>0.243314</v>
      </c>
      <c r="BL49" s="298">
        <f>IFERROR(__xludf.DUMMYFUNCTION("""COMPUTED_VALUE"""),0.243314)</f>
        <v>0.243314</v>
      </c>
      <c r="BM49" s="298">
        <f>IFERROR(__xludf.DUMMYFUNCTION("""COMPUTED_VALUE"""),0.243314)</f>
        <v>0.243314</v>
      </c>
      <c r="BN49" s="298">
        <f>IFERROR(__xludf.DUMMYFUNCTION("""COMPUTED_VALUE"""),0.243314)</f>
        <v>0.243314</v>
      </c>
    </row>
    <row r="50">
      <c r="A50" s="291" t="s">
        <v>74</v>
      </c>
      <c r="B50" s="293">
        <v>36068.51262</v>
      </c>
      <c r="C50" s="293">
        <v>42820.3850184</v>
      </c>
      <c r="D50" s="294">
        <f t="shared" si="1"/>
        <v>78888.89764</v>
      </c>
      <c r="E50" s="294">
        <v>26554.5027</v>
      </c>
      <c r="F50" s="293">
        <v>24722.285327999994</v>
      </c>
      <c r="G50" s="293">
        <v>17455.482000000004</v>
      </c>
      <c r="H50" s="294">
        <f t="shared" si="2"/>
        <v>42177.76733</v>
      </c>
      <c r="I50" s="293"/>
      <c r="J50" s="17"/>
      <c r="L50" s="292"/>
      <c r="M50" s="292">
        <f>IFERROR(__xludf.DUMMYFUNCTION("""COMPUTED_VALUE"""),9.0)</f>
        <v>9</v>
      </c>
      <c r="N50" s="298">
        <f>IFERROR(__xludf.DUMMYFUNCTION("""COMPUTED_VALUE"""),0.003661)</f>
        <v>0.003661</v>
      </c>
      <c r="O50" s="298">
        <f>IFERROR(__xludf.DUMMYFUNCTION("""COMPUTED_VALUE"""),0.004007)</f>
        <v>0.004007</v>
      </c>
      <c r="P50" s="298">
        <f>IFERROR(__xludf.DUMMYFUNCTION("""COMPUTED_VALUE"""),0.004155)</f>
        <v>0.004155</v>
      </c>
      <c r="Q50" s="298">
        <f>IFERROR(__xludf.DUMMYFUNCTION("""COMPUTED_VALUE"""),0.00426)</f>
        <v>0.00426</v>
      </c>
      <c r="R50" s="298">
        <f>IFERROR(__xludf.DUMMYFUNCTION("""COMPUTED_VALUE"""),0.004593)</f>
        <v>0.004593</v>
      </c>
      <c r="S50" s="298">
        <f>IFERROR(__xludf.DUMMYFUNCTION("""COMPUTED_VALUE"""),0.004528)</f>
        <v>0.004528</v>
      </c>
      <c r="T50" s="298">
        <f>IFERROR(__xludf.DUMMYFUNCTION("""COMPUTED_VALUE"""),0.004295)</f>
        <v>0.004295</v>
      </c>
      <c r="U50" s="298">
        <f>IFERROR(__xludf.DUMMYFUNCTION("""COMPUTED_VALUE"""),0.004316)</f>
        <v>0.004316</v>
      </c>
      <c r="V50" s="298">
        <f>IFERROR(__xludf.DUMMYFUNCTION("""COMPUTED_VALUE"""),0.004316)</f>
        <v>0.004316</v>
      </c>
      <c r="W50" s="298">
        <f>IFERROR(__xludf.DUMMYFUNCTION("""COMPUTED_VALUE"""),0.004405)</f>
        <v>0.004405</v>
      </c>
      <c r="X50" s="298">
        <f>IFERROR(__xludf.DUMMYFUNCTION("""COMPUTED_VALUE"""),0.004368)</f>
        <v>0.004368</v>
      </c>
      <c r="Y50" s="298">
        <f>IFERROR(__xludf.DUMMYFUNCTION("""COMPUTED_VALUE"""),0.004157)</f>
        <v>0.004157</v>
      </c>
      <c r="Z50" s="298">
        <f>IFERROR(__xludf.DUMMYFUNCTION("""COMPUTED_VALUE"""),0.004206)</f>
        <v>0.004206</v>
      </c>
      <c r="AA50" s="298">
        <f>IFERROR(__xludf.DUMMYFUNCTION("""COMPUTED_VALUE"""),0.00512)</f>
        <v>0.00512</v>
      </c>
      <c r="AB50" s="298">
        <f>IFERROR(__xludf.DUMMYFUNCTION("""COMPUTED_VALUE"""),0.00512)</f>
        <v>0.00512</v>
      </c>
      <c r="AC50" s="298">
        <f>IFERROR(__xludf.DUMMYFUNCTION("""COMPUTED_VALUE"""),0.00512)</f>
        <v>0.00512</v>
      </c>
      <c r="AD50" s="298">
        <f>IFERROR(__xludf.DUMMYFUNCTION("""COMPUTED_VALUE"""),0.00512)</f>
        <v>0.00512</v>
      </c>
      <c r="AE50" s="298">
        <f>IFERROR(__xludf.DUMMYFUNCTION("""COMPUTED_VALUE"""),0.00512)</f>
        <v>0.00512</v>
      </c>
      <c r="AF50" s="298">
        <f>IFERROR(__xludf.DUMMYFUNCTION("""COMPUTED_VALUE"""),0.00512)</f>
        <v>0.00512</v>
      </c>
      <c r="AG50" s="298">
        <f>IFERROR(__xludf.DUMMYFUNCTION("""COMPUTED_VALUE"""),0.00512)</f>
        <v>0.00512</v>
      </c>
      <c r="AH50" s="298">
        <f>IFERROR(__xludf.DUMMYFUNCTION("""COMPUTED_VALUE"""),0.00512)</f>
        <v>0.00512</v>
      </c>
      <c r="AI50" s="298">
        <f>IFERROR(__xludf.DUMMYFUNCTION("""COMPUTED_VALUE"""),0.00512)</f>
        <v>0.00512</v>
      </c>
      <c r="AJ50" s="298">
        <f>IFERROR(__xludf.DUMMYFUNCTION("""COMPUTED_VALUE"""),0.00512)</f>
        <v>0.00512</v>
      </c>
      <c r="AK50" s="298">
        <f>IFERROR(__xludf.DUMMYFUNCTION("""COMPUTED_VALUE"""),0.00512)</f>
        <v>0.00512</v>
      </c>
      <c r="AL50" s="298">
        <f>IFERROR(__xludf.DUMMYFUNCTION("""COMPUTED_VALUE"""),0.00512)</f>
        <v>0.00512</v>
      </c>
      <c r="AM50" s="298">
        <f>IFERROR(__xludf.DUMMYFUNCTION("""COMPUTED_VALUE"""),0.00512)</f>
        <v>0.00512</v>
      </c>
      <c r="AN50" s="298">
        <f>IFERROR(__xludf.DUMMYFUNCTION("""COMPUTED_VALUE"""),0.00512)</f>
        <v>0.00512</v>
      </c>
      <c r="AO50" s="298">
        <f>IFERROR(__xludf.DUMMYFUNCTION("""COMPUTED_VALUE"""),0.00512)</f>
        <v>0.00512</v>
      </c>
      <c r="AP50" s="298">
        <f>IFERROR(__xludf.DUMMYFUNCTION("""COMPUTED_VALUE"""),0.00512)</f>
        <v>0.00512</v>
      </c>
      <c r="AQ50" s="298">
        <f>IFERROR(__xludf.DUMMYFUNCTION("""COMPUTED_VALUE"""),0.00512)</f>
        <v>0.00512</v>
      </c>
      <c r="AR50" s="298">
        <f>IFERROR(__xludf.DUMMYFUNCTION("""COMPUTED_VALUE"""),0.00512)</f>
        <v>0.00512</v>
      </c>
      <c r="AS50" s="298">
        <f>IFERROR(__xludf.DUMMYFUNCTION("""COMPUTED_VALUE"""),0.00512)</f>
        <v>0.00512</v>
      </c>
      <c r="AT50" s="298">
        <f>IFERROR(__xludf.DUMMYFUNCTION("""COMPUTED_VALUE"""),0.00512)</f>
        <v>0.00512</v>
      </c>
      <c r="AU50" s="298">
        <f>IFERROR(__xludf.DUMMYFUNCTION("""COMPUTED_VALUE"""),0.00512)</f>
        <v>0.00512</v>
      </c>
      <c r="AV50" s="298">
        <f>IFERROR(__xludf.DUMMYFUNCTION("""COMPUTED_VALUE"""),0.00512)</f>
        <v>0.00512</v>
      </c>
      <c r="AW50" s="298">
        <f>IFERROR(__xludf.DUMMYFUNCTION("""COMPUTED_VALUE"""),0.00512)</f>
        <v>0.00512</v>
      </c>
      <c r="AX50" s="298">
        <f>IFERROR(__xludf.DUMMYFUNCTION("""COMPUTED_VALUE"""),0.00512)</f>
        <v>0.00512</v>
      </c>
      <c r="AY50" s="298">
        <f>IFERROR(__xludf.DUMMYFUNCTION("""COMPUTED_VALUE"""),0.00512)</f>
        <v>0.00512</v>
      </c>
      <c r="AZ50" s="298">
        <f>IFERROR(__xludf.DUMMYFUNCTION("""COMPUTED_VALUE"""),0.00512)</f>
        <v>0.00512</v>
      </c>
      <c r="BA50" s="298">
        <f>IFERROR(__xludf.DUMMYFUNCTION("""COMPUTED_VALUE"""),0.00512)</f>
        <v>0.00512</v>
      </c>
      <c r="BB50" s="298">
        <f>IFERROR(__xludf.DUMMYFUNCTION("""COMPUTED_VALUE"""),0.00512)</f>
        <v>0.00512</v>
      </c>
      <c r="BC50" s="298">
        <f>IFERROR(__xludf.DUMMYFUNCTION("""COMPUTED_VALUE"""),0.00512)</f>
        <v>0.00512</v>
      </c>
      <c r="BD50" s="298">
        <f>IFERROR(__xludf.DUMMYFUNCTION("""COMPUTED_VALUE"""),0.00512)</f>
        <v>0.00512</v>
      </c>
      <c r="BE50" s="298">
        <f>IFERROR(__xludf.DUMMYFUNCTION("""COMPUTED_VALUE"""),0.00512)</f>
        <v>0.00512</v>
      </c>
      <c r="BF50" s="298">
        <f>IFERROR(__xludf.DUMMYFUNCTION("""COMPUTED_VALUE"""),0.00512)</f>
        <v>0.00512</v>
      </c>
      <c r="BG50" s="298">
        <f>IFERROR(__xludf.DUMMYFUNCTION("""COMPUTED_VALUE"""),0.00512)</f>
        <v>0.00512</v>
      </c>
      <c r="BH50" s="298">
        <f>IFERROR(__xludf.DUMMYFUNCTION("""COMPUTED_VALUE"""),0.00512)</f>
        <v>0.00512</v>
      </c>
      <c r="BI50" s="298">
        <f>IFERROR(__xludf.DUMMYFUNCTION("""COMPUTED_VALUE"""),0.00512)</f>
        <v>0.00512</v>
      </c>
      <c r="BJ50" s="298">
        <f>IFERROR(__xludf.DUMMYFUNCTION("""COMPUTED_VALUE"""),0.00512)</f>
        <v>0.00512</v>
      </c>
      <c r="BK50" s="298">
        <f>IFERROR(__xludf.DUMMYFUNCTION("""COMPUTED_VALUE"""),0.00512)</f>
        <v>0.00512</v>
      </c>
      <c r="BL50" s="298">
        <f>IFERROR(__xludf.DUMMYFUNCTION("""COMPUTED_VALUE"""),0.00512)</f>
        <v>0.00512</v>
      </c>
      <c r="BM50" s="298">
        <f>IFERROR(__xludf.DUMMYFUNCTION("""COMPUTED_VALUE"""),0.00512)</f>
        <v>0.00512</v>
      </c>
      <c r="BN50" s="298">
        <f>IFERROR(__xludf.DUMMYFUNCTION("""COMPUTED_VALUE"""),0.00512)</f>
        <v>0.00512</v>
      </c>
    </row>
    <row r="51">
      <c r="A51" s="291" t="s">
        <v>75</v>
      </c>
      <c r="B51" s="293">
        <v>32621.320770000002</v>
      </c>
      <c r="C51" s="293">
        <v>38321.9234376</v>
      </c>
      <c r="D51" s="294">
        <f t="shared" si="1"/>
        <v>70943.24421</v>
      </c>
      <c r="E51" s="294">
        <v>25042.6761</v>
      </c>
      <c r="F51" s="293">
        <v>21390.221887999996</v>
      </c>
      <c r="G51" s="293">
        <v>16137.696600000001</v>
      </c>
      <c r="H51" s="294">
        <f t="shared" si="2"/>
        <v>37527.91849</v>
      </c>
      <c r="I51" s="293"/>
      <c r="J51" s="17"/>
      <c r="L51" s="292"/>
      <c r="M51" s="292">
        <f>IFERROR(__xludf.DUMMYFUNCTION("""COMPUTED_VALUE"""),10.0)</f>
        <v>10</v>
      </c>
      <c r="N51" s="298">
        <f>IFERROR(__xludf.DUMMYFUNCTION("""COMPUTED_VALUE"""),0.072699)</f>
        <v>0.072699</v>
      </c>
      <c r="O51" s="298">
        <f>IFERROR(__xludf.DUMMYFUNCTION("""COMPUTED_VALUE"""),0.069945)</f>
        <v>0.069945</v>
      </c>
      <c r="P51" s="298">
        <f>IFERROR(__xludf.DUMMYFUNCTION("""COMPUTED_VALUE"""),0.070637)</f>
        <v>0.070637</v>
      </c>
      <c r="Q51" s="298">
        <f>IFERROR(__xludf.DUMMYFUNCTION("""COMPUTED_VALUE"""),0.070773)</f>
        <v>0.070773</v>
      </c>
      <c r="R51" s="298">
        <f>IFERROR(__xludf.DUMMYFUNCTION("""COMPUTED_VALUE"""),0.07185)</f>
        <v>0.07185</v>
      </c>
      <c r="S51" s="298">
        <f>IFERROR(__xludf.DUMMYFUNCTION("""COMPUTED_VALUE"""),0.071798)</f>
        <v>0.071798</v>
      </c>
      <c r="T51" s="298">
        <f>IFERROR(__xludf.DUMMYFUNCTION("""COMPUTED_VALUE"""),0.072349)</f>
        <v>0.072349</v>
      </c>
      <c r="U51" s="298">
        <f>IFERROR(__xludf.DUMMYFUNCTION("""COMPUTED_VALUE"""),0.072133)</f>
        <v>0.072133</v>
      </c>
      <c r="V51" s="298">
        <f>IFERROR(__xludf.DUMMYFUNCTION("""COMPUTED_VALUE"""),0.071825)</f>
        <v>0.071825</v>
      </c>
      <c r="W51" s="298">
        <f>IFERROR(__xludf.DUMMYFUNCTION("""COMPUTED_VALUE"""),0.071072)</f>
        <v>0.071072</v>
      </c>
      <c r="X51" s="298">
        <f>IFERROR(__xludf.DUMMYFUNCTION("""COMPUTED_VALUE"""),0.071763)</f>
        <v>0.071763</v>
      </c>
      <c r="Y51" s="298">
        <f>IFERROR(__xludf.DUMMYFUNCTION("""COMPUTED_VALUE"""),0.071314)</f>
        <v>0.071314</v>
      </c>
      <c r="Z51" s="298">
        <f>IFERROR(__xludf.DUMMYFUNCTION("""COMPUTED_VALUE"""),0.071174)</f>
        <v>0.071174</v>
      </c>
      <c r="AA51" s="298">
        <f>IFERROR(__xludf.DUMMYFUNCTION("""COMPUTED_VALUE"""),0.100711)</f>
        <v>0.100711</v>
      </c>
      <c r="AB51" s="298">
        <f>IFERROR(__xludf.DUMMYFUNCTION("""COMPUTED_VALUE"""),0.100711)</f>
        <v>0.100711</v>
      </c>
      <c r="AC51" s="298">
        <f>IFERROR(__xludf.DUMMYFUNCTION("""COMPUTED_VALUE"""),0.100711)</f>
        <v>0.100711</v>
      </c>
      <c r="AD51" s="298">
        <f>IFERROR(__xludf.DUMMYFUNCTION("""COMPUTED_VALUE"""),0.100711)</f>
        <v>0.100711</v>
      </c>
      <c r="AE51" s="298">
        <f>IFERROR(__xludf.DUMMYFUNCTION("""COMPUTED_VALUE"""),0.100711)</f>
        <v>0.100711</v>
      </c>
      <c r="AF51" s="298">
        <f>IFERROR(__xludf.DUMMYFUNCTION("""COMPUTED_VALUE"""),0.100711)</f>
        <v>0.100711</v>
      </c>
      <c r="AG51" s="298">
        <f>IFERROR(__xludf.DUMMYFUNCTION("""COMPUTED_VALUE"""),0.100711)</f>
        <v>0.100711</v>
      </c>
      <c r="AH51" s="298">
        <f>IFERROR(__xludf.DUMMYFUNCTION("""COMPUTED_VALUE"""),0.100711)</f>
        <v>0.100711</v>
      </c>
      <c r="AI51" s="298">
        <f>IFERROR(__xludf.DUMMYFUNCTION("""COMPUTED_VALUE"""),0.100711)</f>
        <v>0.100711</v>
      </c>
      <c r="AJ51" s="298">
        <f>IFERROR(__xludf.DUMMYFUNCTION("""COMPUTED_VALUE"""),0.100711)</f>
        <v>0.100711</v>
      </c>
      <c r="AK51" s="298">
        <f>IFERROR(__xludf.DUMMYFUNCTION("""COMPUTED_VALUE"""),0.100711)</f>
        <v>0.100711</v>
      </c>
      <c r="AL51" s="298">
        <f>IFERROR(__xludf.DUMMYFUNCTION("""COMPUTED_VALUE"""),0.100711)</f>
        <v>0.100711</v>
      </c>
      <c r="AM51" s="298">
        <f>IFERROR(__xludf.DUMMYFUNCTION("""COMPUTED_VALUE"""),0.100711)</f>
        <v>0.100711</v>
      </c>
      <c r="AN51" s="298">
        <f>IFERROR(__xludf.DUMMYFUNCTION("""COMPUTED_VALUE"""),0.100711)</f>
        <v>0.100711</v>
      </c>
      <c r="AO51" s="298">
        <f>IFERROR(__xludf.DUMMYFUNCTION("""COMPUTED_VALUE"""),0.100711)</f>
        <v>0.100711</v>
      </c>
      <c r="AP51" s="298">
        <f>IFERROR(__xludf.DUMMYFUNCTION("""COMPUTED_VALUE"""),0.100711)</f>
        <v>0.100711</v>
      </c>
      <c r="AQ51" s="298">
        <f>IFERROR(__xludf.DUMMYFUNCTION("""COMPUTED_VALUE"""),0.100711)</f>
        <v>0.100711</v>
      </c>
      <c r="AR51" s="298">
        <f>IFERROR(__xludf.DUMMYFUNCTION("""COMPUTED_VALUE"""),0.100711)</f>
        <v>0.100711</v>
      </c>
      <c r="AS51" s="298">
        <f>IFERROR(__xludf.DUMMYFUNCTION("""COMPUTED_VALUE"""),0.100711)</f>
        <v>0.100711</v>
      </c>
      <c r="AT51" s="298">
        <f>IFERROR(__xludf.DUMMYFUNCTION("""COMPUTED_VALUE"""),0.100711)</f>
        <v>0.100711</v>
      </c>
      <c r="AU51" s="298">
        <f>IFERROR(__xludf.DUMMYFUNCTION("""COMPUTED_VALUE"""),0.100711)</f>
        <v>0.100711</v>
      </c>
      <c r="AV51" s="298">
        <f>IFERROR(__xludf.DUMMYFUNCTION("""COMPUTED_VALUE"""),0.100711)</f>
        <v>0.100711</v>
      </c>
      <c r="AW51" s="298">
        <f>IFERROR(__xludf.DUMMYFUNCTION("""COMPUTED_VALUE"""),0.100711)</f>
        <v>0.100711</v>
      </c>
      <c r="AX51" s="298">
        <f>IFERROR(__xludf.DUMMYFUNCTION("""COMPUTED_VALUE"""),0.100711)</f>
        <v>0.100711</v>
      </c>
      <c r="AY51" s="298">
        <f>IFERROR(__xludf.DUMMYFUNCTION("""COMPUTED_VALUE"""),0.100711)</f>
        <v>0.100711</v>
      </c>
      <c r="AZ51" s="298">
        <f>IFERROR(__xludf.DUMMYFUNCTION("""COMPUTED_VALUE"""),0.100711)</f>
        <v>0.100711</v>
      </c>
      <c r="BA51" s="298">
        <f>IFERROR(__xludf.DUMMYFUNCTION("""COMPUTED_VALUE"""),0.100711)</f>
        <v>0.100711</v>
      </c>
      <c r="BB51" s="298">
        <f>IFERROR(__xludf.DUMMYFUNCTION("""COMPUTED_VALUE"""),0.100711)</f>
        <v>0.100711</v>
      </c>
      <c r="BC51" s="298">
        <f>IFERROR(__xludf.DUMMYFUNCTION("""COMPUTED_VALUE"""),0.100711)</f>
        <v>0.100711</v>
      </c>
      <c r="BD51" s="298">
        <f>IFERROR(__xludf.DUMMYFUNCTION("""COMPUTED_VALUE"""),0.100711)</f>
        <v>0.100711</v>
      </c>
      <c r="BE51" s="298">
        <f>IFERROR(__xludf.DUMMYFUNCTION("""COMPUTED_VALUE"""),0.100711)</f>
        <v>0.100711</v>
      </c>
      <c r="BF51" s="298">
        <f>IFERROR(__xludf.DUMMYFUNCTION("""COMPUTED_VALUE"""),0.100711)</f>
        <v>0.100711</v>
      </c>
      <c r="BG51" s="298">
        <f>IFERROR(__xludf.DUMMYFUNCTION("""COMPUTED_VALUE"""),0.100711)</f>
        <v>0.100711</v>
      </c>
      <c r="BH51" s="298">
        <f>IFERROR(__xludf.DUMMYFUNCTION("""COMPUTED_VALUE"""),0.100711)</f>
        <v>0.100711</v>
      </c>
      <c r="BI51" s="298">
        <f>IFERROR(__xludf.DUMMYFUNCTION("""COMPUTED_VALUE"""),0.100711)</f>
        <v>0.100711</v>
      </c>
      <c r="BJ51" s="298">
        <f>IFERROR(__xludf.DUMMYFUNCTION("""COMPUTED_VALUE"""),0.100711)</f>
        <v>0.100711</v>
      </c>
      <c r="BK51" s="298">
        <f>IFERROR(__xludf.DUMMYFUNCTION("""COMPUTED_VALUE"""),0.100711)</f>
        <v>0.100711</v>
      </c>
      <c r="BL51" s="298">
        <f>IFERROR(__xludf.DUMMYFUNCTION("""COMPUTED_VALUE"""),0.100711)</f>
        <v>0.100711</v>
      </c>
      <c r="BM51" s="298">
        <f>IFERROR(__xludf.DUMMYFUNCTION("""COMPUTED_VALUE"""),0.100711)</f>
        <v>0.100711</v>
      </c>
      <c r="BN51" s="298">
        <f>IFERROR(__xludf.DUMMYFUNCTION("""COMPUTED_VALUE"""),0.100711)</f>
        <v>0.100711</v>
      </c>
    </row>
    <row r="52">
      <c r="A52" s="291" t="s">
        <v>76</v>
      </c>
      <c r="B52" s="293">
        <v>30545.748414</v>
      </c>
      <c r="C52" s="293">
        <v>34751.923404</v>
      </c>
      <c r="D52" s="294">
        <f t="shared" si="1"/>
        <v>65297.67182</v>
      </c>
      <c r="E52" s="294">
        <v>22709.9114</v>
      </c>
      <c r="F52" s="293">
        <v>18041.904479999997</v>
      </c>
      <c r="G52" s="293">
        <v>13888.492200000002</v>
      </c>
      <c r="H52" s="294">
        <f t="shared" si="2"/>
        <v>31930.39668</v>
      </c>
      <c r="I52" s="293"/>
      <c r="J52" s="17"/>
      <c r="L52" s="292"/>
      <c r="M52" s="292">
        <f>IFERROR(__xludf.DUMMYFUNCTION("""COMPUTED_VALUE"""),11.0)</f>
        <v>11</v>
      </c>
      <c r="N52" s="298">
        <f>IFERROR(__xludf.DUMMYFUNCTION("""COMPUTED_VALUE"""),0.001046)</f>
        <v>0.001046</v>
      </c>
      <c r="O52" s="298">
        <f>IFERROR(__xludf.DUMMYFUNCTION("""COMPUTED_VALUE"""),0.001093)</f>
        <v>0.001093</v>
      </c>
      <c r="P52" s="298">
        <f>IFERROR(__xludf.DUMMYFUNCTION("""COMPUTED_VALUE"""),0.001039)</f>
        <v>0.001039</v>
      </c>
      <c r="Q52" s="298">
        <f>IFERROR(__xludf.DUMMYFUNCTION("""COMPUTED_VALUE"""),9.83E-4)</f>
        <v>0.000983</v>
      </c>
      <c r="R52" s="298">
        <f>IFERROR(__xludf.DUMMYFUNCTION("""COMPUTED_VALUE"""),9.84E-4)</f>
        <v>0.000984</v>
      </c>
      <c r="S52" s="298">
        <f>IFERROR(__xludf.DUMMYFUNCTION("""COMPUTED_VALUE"""),0.001294)</f>
        <v>0.001294</v>
      </c>
      <c r="T52" s="298">
        <f>IFERROR(__xludf.DUMMYFUNCTION("""COMPUTED_VALUE"""),9.91E-4)</f>
        <v>0.000991</v>
      </c>
      <c r="U52" s="298">
        <f>IFERROR(__xludf.DUMMYFUNCTION("""COMPUTED_VALUE"""),0.001233)</f>
        <v>0.001233</v>
      </c>
      <c r="V52" s="298">
        <f>IFERROR(__xludf.DUMMYFUNCTION("""COMPUTED_VALUE"""),0.001233)</f>
        <v>0.001233</v>
      </c>
      <c r="W52" s="298">
        <f>IFERROR(__xludf.DUMMYFUNCTION("""COMPUTED_VALUE"""),0.001175)</f>
        <v>0.001175</v>
      </c>
      <c r="X52" s="298">
        <f>IFERROR(__xludf.DUMMYFUNCTION("""COMPUTED_VALUE"""),0.001248)</f>
        <v>0.001248</v>
      </c>
      <c r="Y52" s="298">
        <f>IFERROR(__xludf.DUMMYFUNCTION("""COMPUTED_VALUE"""),9.59E-4)</f>
        <v>0.000959</v>
      </c>
      <c r="Z52" s="298">
        <f>IFERROR(__xludf.DUMMYFUNCTION("""COMPUTED_VALUE"""),9.71E-4)</f>
        <v>0.000971</v>
      </c>
      <c r="AA52" s="298">
        <f>IFERROR(__xludf.DUMMYFUNCTION("""COMPUTED_VALUE"""),0.002177)</f>
        <v>0.002177</v>
      </c>
      <c r="AB52" s="298">
        <f>IFERROR(__xludf.DUMMYFUNCTION("""COMPUTED_VALUE"""),0.002177)</f>
        <v>0.002177</v>
      </c>
      <c r="AC52" s="298">
        <f>IFERROR(__xludf.DUMMYFUNCTION("""COMPUTED_VALUE"""),0.002177)</f>
        <v>0.002177</v>
      </c>
      <c r="AD52" s="298">
        <f>IFERROR(__xludf.DUMMYFUNCTION("""COMPUTED_VALUE"""),0.002177)</f>
        <v>0.002177</v>
      </c>
      <c r="AE52" s="298">
        <f>IFERROR(__xludf.DUMMYFUNCTION("""COMPUTED_VALUE"""),0.002177)</f>
        <v>0.002177</v>
      </c>
      <c r="AF52" s="298">
        <f>IFERROR(__xludf.DUMMYFUNCTION("""COMPUTED_VALUE"""),0.002177)</f>
        <v>0.002177</v>
      </c>
      <c r="AG52" s="298">
        <f>IFERROR(__xludf.DUMMYFUNCTION("""COMPUTED_VALUE"""),0.002177)</f>
        <v>0.002177</v>
      </c>
      <c r="AH52" s="298">
        <f>IFERROR(__xludf.DUMMYFUNCTION("""COMPUTED_VALUE"""),0.002177)</f>
        <v>0.002177</v>
      </c>
      <c r="AI52" s="298">
        <f>IFERROR(__xludf.DUMMYFUNCTION("""COMPUTED_VALUE"""),0.002177)</f>
        <v>0.002177</v>
      </c>
      <c r="AJ52" s="298">
        <f>IFERROR(__xludf.DUMMYFUNCTION("""COMPUTED_VALUE"""),0.002177)</f>
        <v>0.002177</v>
      </c>
      <c r="AK52" s="298">
        <f>IFERROR(__xludf.DUMMYFUNCTION("""COMPUTED_VALUE"""),0.002177)</f>
        <v>0.002177</v>
      </c>
      <c r="AL52" s="298">
        <f>IFERROR(__xludf.DUMMYFUNCTION("""COMPUTED_VALUE"""),0.002177)</f>
        <v>0.002177</v>
      </c>
      <c r="AM52" s="298">
        <f>IFERROR(__xludf.DUMMYFUNCTION("""COMPUTED_VALUE"""),0.002177)</f>
        <v>0.002177</v>
      </c>
      <c r="AN52" s="298">
        <f>IFERROR(__xludf.DUMMYFUNCTION("""COMPUTED_VALUE"""),0.002177)</f>
        <v>0.002177</v>
      </c>
      <c r="AO52" s="298">
        <f>IFERROR(__xludf.DUMMYFUNCTION("""COMPUTED_VALUE"""),0.002177)</f>
        <v>0.002177</v>
      </c>
      <c r="AP52" s="298">
        <f>IFERROR(__xludf.DUMMYFUNCTION("""COMPUTED_VALUE"""),0.002177)</f>
        <v>0.002177</v>
      </c>
      <c r="AQ52" s="298">
        <f>IFERROR(__xludf.DUMMYFUNCTION("""COMPUTED_VALUE"""),0.002177)</f>
        <v>0.002177</v>
      </c>
      <c r="AR52" s="298">
        <f>IFERROR(__xludf.DUMMYFUNCTION("""COMPUTED_VALUE"""),0.002177)</f>
        <v>0.002177</v>
      </c>
      <c r="AS52" s="298">
        <f>IFERROR(__xludf.DUMMYFUNCTION("""COMPUTED_VALUE"""),0.002177)</f>
        <v>0.002177</v>
      </c>
      <c r="AT52" s="298">
        <f>IFERROR(__xludf.DUMMYFUNCTION("""COMPUTED_VALUE"""),0.002177)</f>
        <v>0.002177</v>
      </c>
      <c r="AU52" s="298">
        <f>IFERROR(__xludf.DUMMYFUNCTION("""COMPUTED_VALUE"""),0.002177)</f>
        <v>0.002177</v>
      </c>
      <c r="AV52" s="298">
        <f>IFERROR(__xludf.DUMMYFUNCTION("""COMPUTED_VALUE"""),0.002177)</f>
        <v>0.002177</v>
      </c>
      <c r="AW52" s="298">
        <f>IFERROR(__xludf.DUMMYFUNCTION("""COMPUTED_VALUE"""),0.002177)</f>
        <v>0.002177</v>
      </c>
      <c r="AX52" s="298">
        <f>IFERROR(__xludf.DUMMYFUNCTION("""COMPUTED_VALUE"""),0.002177)</f>
        <v>0.002177</v>
      </c>
      <c r="AY52" s="298">
        <f>IFERROR(__xludf.DUMMYFUNCTION("""COMPUTED_VALUE"""),0.002177)</f>
        <v>0.002177</v>
      </c>
      <c r="AZ52" s="298">
        <f>IFERROR(__xludf.DUMMYFUNCTION("""COMPUTED_VALUE"""),0.002177)</f>
        <v>0.002177</v>
      </c>
      <c r="BA52" s="298">
        <f>IFERROR(__xludf.DUMMYFUNCTION("""COMPUTED_VALUE"""),0.002177)</f>
        <v>0.002177</v>
      </c>
      <c r="BB52" s="298">
        <f>IFERROR(__xludf.DUMMYFUNCTION("""COMPUTED_VALUE"""),0.002177)</f>
        <v>0.002177</v>
      </c>
      <c r="BC52" s="298">
        <f>IFERROR(__xludf.DUMMYFUNCTION("""COMPUTED_VALUE"""),0.002177)</f>
        <v>0.002177</v>
      </c>
      <c r="BD52" s="298">
        <f>IFERROR(__xludf.DUMMYFUNCTION("""COMPUTED_VALUE"""),0.002177)</f>
        <v>0.002177</v>
      </c>
      <c r="BE52" s="298">
        <f>IFERROR(__xludf.DUMMYFUNCTION("""COMPUTED_VALUE"""),0.002177)</f>
        <v>0.002177</v>
      </c>
      <c r="BF52" s="298">
        <f>IFERROR(__xludf.DUMMYFUNCTION("""COMPUTED_VALUE"""),0.002177)</f>
        <v>0.002177</v>
      </c>
      <c r="BG52" s="298">
        <f>IFERROR(__xludf.DUMMYFUNCTION("""COMPUTED_VALUE"""),0.002177)</f>
        <v>0.002177</v>
      </c>
      <c r="BH52" s="298">
        <f>IFERROR(__xludf.DUMMYFUNCTION("""COMPUTED_VALUE"""),0.002177)</f>
        <v>0.002177</v>
      </c>
      <c r="BI52" s="298">
        <f>IFERROR(__xludf.DUMMYFUNCTION("""COMPUTED_VALUE"""),0.002177)</f>
        <v>0.002177</v>
      </c>
      <c r="BJ52" s="298">
        <f>IFERROR(__xludf.DUMMYFUNCTION("""COMPUTED_VALUE"""),0.002177)</f>
        <v>0.002177</v>
      </c>
      <c r="BK52" s="298">
        <f>IFERROR(__xludf.DUMMYFUNCTION("""COMPUTED_VALUE"""),0.002177)</f>
        <v>0.002177</v>
      </c>
      <c r="BL52" s="298">
        <f>IFERROR(__xludf.DUMMYFUNCTION("""COMPUTED_VALUE"""),0.002177)</f>
        <v>0.002177</v>
      </c>
      <c r="BM52" s="298">
        <f>IFERROR(__xludf.DUMMYFUNCTION("""COMPUTED_VALUE"""),0.002177)</f>
        <v>0.002177</v>
      </c>
      <c r="BN52" s="298">
        <f>IFERROR(__xludf.DUMMYFUNCTION("""COMPUTED_VALUE"""),0.002177)</f>
        <v>0.002177</v>
      </c>
    </row>
    <row r="53">
      <c r="A53" s="291" t="s">
        <v>77</v>
      </c>
      <c r="B53" s="293">
        <v>18476.948316</v>
      </c>
      <c r="C53" s="293">
        <v>22374.6155952</v>
      </c>
      <c r="D53" s="294">
        <f t="shared" si="1"/>
        <v>40851.56391</v>
      </c>
      <c r="E53" s="294">
        <v>14663.0924</v>
      </c>
      <c r="F53" s="293">
        <v>10743.872847999997</v>
      </c>
      <c r="G53" s="293">
        <v>8341.374600000001</v>
      </c>
      <c r="H53" s="294">
        <f t="shared" si="2"/>
        <v>19085.24745</v>
      </c>
      <c r="I53" s="293"/>
      <c r="J53" s="17"/>
      <c r="L53" s="292"/>
      <c r="M53" s="292">
        <f>IFERROR(__xludf.DUMMYFUNCTION("""COMPUTED_VALUE"""),12.0)</f>
        <v>12</v>
      </c>
      <c r="N53" s="298">
        <f>IFERROR(__xludf.DUMMYFUNCTION("""COMPUTED_VALUE"""),0.020921)</f>
        <v>0.020921</v>
      </c>
      <c r="O53" s="298">
        <f>IFERROR(__xludf.DUMMYFUNCTION("""COMPUTED_VALUE"""),0.020401)</f>
        <v>0.020401</v>
      </c>
      <c r="P53" s="298">
        <f>IFERROR(__xludf.DUMMYFUNCTION("""COMPUTED_VALUE"""),0.020776)</f>
        <v>0.020776</v>
      </c>
      <c r="Q53" s="298">
        <f>IFERROR(__xludf.DUMMYFUNCTION("""COMPUTED_VALUE"""),0.020642)</f>
        <v>0.020642</v>
      </c>
      <c r="R53" s="298">
        <f>IFERROR(__xludf.DUMMYFUNCTION("""COMPUTED_VALUE"""),0.020997)</f>
        <v>0.020997</v>
      </c>
      <c r="S53" s="298">
        <f>IFERROR(__xludf.DUMMYFUNCTION("""COMPUTED_VALUE"""),0.021345)</f>
        <v>0.021345</v>
      </c>
      <c r="T53" s="298">
        <f>IFERROR(__xludf.DUMMYFUNCTION("""COMPUTED_VALUE"""),0.021473)</f>
        <v>0.021473</v>
      </c>
      <c r="U53" s="298">
        <f>IFERROR(__xludf.DUMMYFUNCTION("""COMPUTED_VALUE"""),0.02127)</f>
        <v>0.02127</v>
      </c>
      <c r="V53" s="298">
        <f>IFERROR(__xludf.DUMMYFUNCTION("""COMPUTED_VALUE"""),0.020654)</f>
        <v>0.020654</v>
      </c>
      <c r="W53" s="298">
        <f>IFERROR(__xludf.DUMMYFUNCTION("""COMPUTED_VALUE"""),0.021145)</f>
        <v>0.021145</v>
      </c>
      <c r="X53" s="298">
        <f>IFERROR(__xludf.DUMMYFUNCTION("""COMPUTED_VALUE"""),0.020905)</f>
        <v>0.020905</v>
      </c>
      <c r="Y53" s="298">
        <f>IFERROR(__xludf.DUMMYFUNCTION("""COMPUTED_VALUE"""),0.020787)</f>
        <v>0.020787</v>
      </c>
      <c r="Z53" s="298">
        <f>IFERROR(__xludf.DUMMYFUNCTION("""COMPUTED_VALUE"""),0.020705)</f>
        <v>0.020705</v>
      </c>
      <c r="AA53" s="298">
        <f>IFERROR(__xludf.DUMMYFUNCTION("""COMPUTED_VALUE"""),0.031213)</f>
        <v>0.031213</v>
      </c>
      <c r="AB53" s="298">
        <f>IFERROR(__xludf.DUMMYFUNCTION("""COMPUTED_VALUE"""),0.031213)</f>
        <v>0.031213</v>
      </c>
      <c r="AC53" s="298">
        <f>IFERROR(__xludf.DUMMYFUNCTION("""COMPUTED_VALUE"""),0.031213)</f>
        <v>0.031213</v>
      </c>
      <c r="AD53" s="298">
        <f>IFERROR(__xludf.DUMMYFUNCTION("""COMPUTED_VALUE"""),0.031213)</f>
        <v>0.031213</v>
      </c>
      <c r="AE53" s="298">
        <f>IFERROR(__xludf.DUMMYFUNCTION("""COMPUTED_VALUE"""),0.031213)</f>
        <v>0.031213</v>
      </c>
      <c r="AF53" s="298">
        <f>IFERROR(__xludf.DUMMYFUNCTION("""COMPUTED_VALUE"""),0.031213)</f>
        <v>0.031213</v>
      </c>
      <c r="AG53" s="298">
        <f>IFERROR(__xludf.DUMMYFUNCTION("""COMPUTED_VALUE"""),0.031213)</f>
        <v>0.031213</v>
      </c>
      <c r="AH53" s="298">
        <f>IFERROR(__xludf.DUMMYFUNCTION("""COMPUTED_VALUE"""),0.031213)</f>
        <v>0.031213</v>
      </c>
      <c r="AI53" s="298">
        <f>IFERROR(__xludf.DUMMYFUNCTION("""COMPUTED_VALUE"""),0.031213)</f>
        <v>0.031213</v>
      </c>
      <c r="AJ53" s="298">
        <f>IFERROR(__xludf.DUMMYFUNCTION("""COMPUTED_VALUE"""),0.031213)</f>
        <v>0.031213</v>
      </c>
      <c r="AK53" s="298">
        <f>IFERROR(__xludf.DUMMYFUNCTION("""COMPUTED_VALUE"""),0.031213)</f>
        <v>0.031213</v>
      </c>
      <c r="AL53" s="298">
        <f>IFERROR(__xludf.DUMMYFUNCTION("""COMPUTED_VALUE"""),0.031213)</f>
        <v>0.031213</v>
      </c>
      <c r="AM53" s="298">
        <f>IFERROR(__xludf.DUMMYFUNCTION("""COMPUTED_VALUE"""),0.031213)</f>
        <v>0.031213</v>
      </c>
      <c r="AN53" s="298">
        <f>IFERROR(__xludf.DUMMYFUNCTION("""COMPUTED_VALUE"""),0.031213)</f>
        <v>0.031213</v>
      </c>
      <c r="AO53" s="298">
        <f>IFERROR(__xludf.DUMMYFUNCTION("""COMPUTED_VALUE"""),0.031213)</f>
        <v>0.031213</v>
      </c>
      <c r="AP53" s="298">
        <f>IFERROR(__xludf.DUMMYFUNCTION("""COMPUTED_VALUE"""),0.031213)</f>
        <v>0.031213</v>
      </c>
      <c r="AQ53" s="298">
        <f>IFERROR(__xludf.DUMMYFUNCTION("""COMPUTED_VALUE"""),0.031213)</f>
        <v>0.031213</v>
      </c>
      <c r="AR53" s="298">
        <f>IFERROR(__xludf.DUMMYFUNCTION("""COMPUTED_VALUE"""),0.031213)</f>
        <v>0.031213</v>
      </c>
      <c r="AS53" s="298">
        <f>IFERROR(__xludf.DUMMYFUNCTION("""COMPUTED_VALUE"""),0.031213)</f>
        <v>0.031213</v>
      </c>
      <c r="AT53" s="298">
        <f>IFERROR(__xludf.DUMMYFUNCTION("""COMPUTED_VALUE"""),0.031213)</f>
        <v>0.031213</v>
      </c>
      <c r="AU53" s="298">
        <f>IFERROR(__xludf.DUMMYFUNCTION("""COMPUTED_VALUE"""),0.031213)</f>
        <v>0.031213</v>
      </c>
      <c r="AV53" s="298">
        <f>IFERROR(__xludf.DUMMYFUNCTION("""COMPUTED_VALUE"""),0.031213)</f>
        <v>0.031213</v>
      </c>
      <c r="AW53" s="298">
        <f>IFERROR(__xludf.DUMMYFUNCTION("""COMPUTED_VALUE"""),0.031213)</f>
        <v>0.031213</v>
      </c>
      <c r="AX53" s="298">
        <f>IFERROR(__xludf.DUMMYFUNCTION("""COMPUTED_VALUE"""),0.031213)</f>
        <v>0.031213</v>
      </c>
      <c r="AY53" s="298">
        <f>IFERROR(__xludf.DUMMYFUNCTION("""COMPUTED_VALUE"""),0.031213)</f>
        <v>0.031213</v>
      </c>
      <c r="AZ53" s="298">
        <f>IFERROR(__xludf.DUMMYFUNCTION("""COMPUTED_VALUE"""),0.031213)</f>
        <v>0.031213</v>
      </c>
      <c r="BA53" s="298">
        <f>IFERROR(__xludf.DUMMYFUNCTION("""COMPUTED_VALUE"""),0.031213)</f>
        <v>0.031213</v>
      </c>
      <c r="BB53" s="298">
        <f>IFERROR(__xludf.DUMMYFUNCTION("""COMPUTED_VALUE"""),0.031213)</f>
        <v>0.031213</v>
      </c>
      <c r="BC53" s="298">
        <f>IFERROR(__xludf.DUMMYFUNCTION("""COMPUTED_VALUE"""),0.031213)</f>
        <v>0.031213</v>
      </c>
      <c r="BD53" s="298">
        <f>IFERROR(__xludf.DUMMYFUNCTION("""COMPUTED_VALUE"""),0.031213)</f>
        <v>0.031213</v>
      </c>
      <c r="BE53" s="298">
        <f>IFERROR(__xludf.DUMMYFUNCTION("""COMPUTED_VALUE"""),0.031213)</f>
        <v>0.031213</v>
      </c>
      <c r="BF53" s="298">
        <f>IFERROR(__xludf.DUMMYFUNCTION("""COMPUTED_VALUE"""),0.031213)</f>
        <v>0.031213</v>
      </c>
      <c r="BG53" s="298">
        <f>IFERROR(__xludf.DUMMYFUNCTION("""COMPUTED_VALUE"""),0.031213)</f>
        <v>0.031213</v>
      </c>
      <c r="BH53" s="298">
        <f>IFERROR(__xludf.DUMMYFUNCTION("""COMPUTED_VALUE"""),0.031213)</f>
        <v>0.031213</v>
      </c>
      <c r="BI53" s="298">
        <f>IFERROR(__xludf.DUMMYFUNCTION("""COMPUTED_VALUE"""),0.031213)</f>
        <v>0.031213</v>
      </c>
      <c r="BJ53" s="298">
        <f>IFERROR(__xludf.DUMMYFUNCTION("""COMPUTED_VALUE"""),0.031213)</f>
        <v>0.031213</v>
      </c>
      <c r="BK53" s="298">
        <f>IFERROR(__xludf.DUMMYFUNCTION("""COMPUTED_VALUE"""),0.031213)</f>
        <v>0.031213</v>
      </c>
      <c r="BL53" s="298">
        <f>IFERROR(__xludf.DUMMYFUNCTION("""COMPUTED_VALUE"""),0.031213)</f>
        <v>0.031213</v>
      </c>
      <c r="BM53" s="298">
        <f>IFERROR(__xludf.DUMMYFUNCTION("""COMPUTED_VALUE"""),0.031213)</f>
        <v>0.031213</v>
      </c>
      <c r="BN53" s="298">
        <f>IFERROR(__xludf.DUMMYFUNCTION("""COMPUTED_VALUE"""),0.031213)</f>
        <v>0.031213</v>
      </c>
    </row>
    <row r="54">
      <c r="B54" s="295">
        <v>16532.006388</v>
      </c>
      <c r="C54" s="295">
        <v>28854.231040799998</v>
      </c>
      <c r="E54" s="295">
        <v>17158.4191</v>
      </c>
      <c r="F54" s="295">
        <v>13994.666447999998</v>
      </c>
      <c r="G54" s="295">
        <v>11163.229200000002</v>
      </c>
      <c r="L54" s="292"/>
      <c r="M54" s="292">
        <f>IFERROR(__xludf.DUMMYFUNCTION("""COMPUTED_VALUE"""),13.0)</f>
        <v>13</v>
      </c>
      <c r="N54" s="298">
        <f>IFERROR(__xludf.DUMMYFUNCTION("""COMPUTED_VALUE"""),5.23E-4)</f>
        <v>0.000523</v>
      </c>
      <c r="O54" s="298">
        <f>IFERROR(__xludf.DUMMYFUNCTION("""COMPUTED_VALUE"""),3.64E-4)</f>
        <v>0.000364</v>
      </c>
      <c r="P54" s="298">
        <f>IFERROR(__xludf.DUMMYFUNCTION("""COMPUTED_VALUE"""),3.46E-4)</f>
        <v>0.000346</v>
      </c>
      <c r="Q54" s="298">
        <f>IFERROR(__xludf.DUMMYFUNCTION("""COMPUTED_VALUE"""),3.28E-4)</f>
        <v>0.000328</v>
      </c>
      <c r="R54" s="298">
        <f>IFERROR(__xludf.DUMMYFUNCTION("""COMPUTED_VALUE"""),3.28E-4)</f>
        <v>0.000328</v>
      </c>
      <c r="S54" s="298">
        <f>IFERROR(__xludf.DUMMYFUNCTION("""COMPUTED_VALUE"""),3.23E-4)</f>
        <v>0.000323</v>
      </c>
      <c r="T54" s="298">
        <f>IFERROR(__xludf.DUMMYFUNCTION("""COMPUTED_VALUE"""),3.3E-4)</f>
        <v>0.00033</v>
      </c>
      <c r="U54" s="298">
        <f>IFERROR(__xludf.DUMMYFUNCTION("""COMPUTED_VALUE"""),3.08E-4)</f>
        <v>0.000308</v>
      </c>
      <c r="V54" s="298">
        <f>IFERROR(__xludf.DUMMYFUNCTION("""COMPUTED_VALUE"""),3.08E-4)</f>
        <v>0.000308</v>
      </c>
      <c r="W54" s="298">
        <f>IFERROR(__xludf.DUMMYFUNCTION("""COMPUTED_VALUE"""),2.94E-4)</f>
        <v>0.000294</v>
      </c>
      <c r="X54" s="298">
        <f>IFERROR(__xludf.DUMMYFUNCTION("""COMPUTED_VALUE"""),3.12E-4)</f>
        <v>0.000312</v>
      </c>
      <c r="Y54" s="298">
        <f>IFERROR(__xludf.DUMMYFUNCTION("""COMPUTED_VALUE"""),3.2E-4)</f>
        <v>0.00032</v>
      </c>
      <c r="Z54" s="298">
        <f>IFERROR(__xludf.DUMMYFUNCTION("""COMPUTED_VALUE"""),3.24E-4)</f>
        <v>0.000324</v>
      </c>
      <c r="AA54" s="298">
        <f>IFERROR(__xludf.DUMMYFUNCTION("""COMPUTED_VALUE"""),0.001044)</f>
        <v>0.001044</v>
      </c>
      <c r="AB54" s="298">
        <f>IFERROR(__xludf.DUMMYFUNCTION("""COMPUTED_VALUE"""),0.001044)</f>
        <v>0.001044</v>
      </c>
      <c r="AC54" s="298">
        <f>IFERROR(__xludf.DUMMYFUNCTION("""COMPUTED_VALUE"""),0.001044)</f>
        <v>0.001044</v>
      </c>
      <c r="AD54" s="298">
        <f>IFERROR(__xludf.DUMMYFUNCTION("""COMPUTED_VALUE"""),0.001044)</f>
        <v>0.001044</v>
      </c>
      <c r="AE54" s="298">
        <f>IFERROR(__xludf.DUMMYFUNCTION("""COMPUTED_VALUE"""),0.001044)</f>
        <v>0.001044</v>
      </c>
      <c r="AF54" s="298">
        <f>IFERROR(__xludf.DUMMYFUNCTION("""COMPUTED_VALUE"""),0.001044)</f>
        <v>0.001044</v>
      </c>
      <c r="AG54" s="298">
        <f>IFERROR(__xludf.DUMMYFUNCTION("""COMPUTED_VALUE"""),0.001044)</f>
        <v>0.001044</v>
      </c>
      <c r="AH54" s="298">
        <f>IFERROR(__xludf.DUMMYFUNCTION("""COMPUTED_VALUE"""),0.001044)</f>
        <v>0.001044</v>
      </c>
      <c r="AI54" s="298">
        <f>IFERROR(__xludf.DUMMYFUNCTION("""COMPUTED_VALUE"""),0.001044)</f>
        <v>0.001044</v>
      </c>
      <c r="AJ54" s="298">
        <f>IFERROR(__xludf.DUMMYFUNCTION("""COMPUTED_VALUE"""),0.001044)</f>
        <v>0.001044</v>
      </c>
      <c r="AK54" s="298">
        <f>IFERROR(__xludf.DUMMYFUNCTION("""COMPUTED_VALUE"""),0.001044)</f>
        <v>0.001044</v>
      </c>
      <c r="AL54" s="298">
        <f>IFERROR(__xludf.DUMMYFUNCTION("""COMPUTED_VALUE"""),0.001044)</f>
        <v>0.001044</v>
      </c>
      <c r="AM54" s="298">
        <f>IFERROR(__xludf.DUMMYFUNCTION("""COMPUTED_VALUE"""),0.001044)</f>
        <v>0.001044</v>
      </c>
      <c r="AN54" s="298">
        <f>IFERROR(__xludf.DUMMYFUNCTION("""COMPUTED_VALUE"""),0.001044)</f>
        <v>0.001044</v>
      </c>
      <c r="AO54" s="298">
        <f>IFERROR(__xludf.DUMMYFUNCTION("""COMPUTED_VALUE"""),0.001044)</f>
        <v>0.001044</v>
      </c>
      <c r="AP54" s="298">
        <f>IFERROR(__xludf.DUMMYFUNCTION("""COMPUTED_VALUE"""),0.001044)</f>
        <v>0.001044</v>
      </c>
      <c r="AQ54" s="298">
        <f>IFERROR(__xludf.DUMMYFUNCTION("""COMPUTED_VALUE"""),0.001044)</f>
        <v>0.001044</v>
      </c>
      <c r="AR54" s="298">
        <f>IFERROR(__xludf.DUMMYFUNCTION("""COMPUTED_VALUE"""),0.001044)</f>
        <v>0.001044</v>
      </c>
      <c r="AS54" s="298">
        <f>IFERROR(__xludf.DUMMYFUNCTION("""COMPUTED_VALUE"""),0.001044)</f>
        <v>0.001044</v>
      </c>
      <c r="AT54" s="298">
        <f>IFERROR(__xludf.DUMMYFUNCTION("""COMPUTED_VALUE"""),0.001044)</f>
        <v>0.001044</v>
      </c>
      <c r="AU54" s="298">
        <f>IFERROR(__xludf.DUMMYFUNCTION("""COMPUTED_VALUE"""),0.001044)</f>
        <v>0.001044</v>
      </c>
      <c r="AV54" s="298">
        <f>IFERROR(__xludf.DUMMYFUNCTION("""COMPUTED_VALUE"""),0.001044)</f>
        <v>0.001044</v>
      </c>
      <c r="AW54" s="298">
        <f>IFERROR(__xludf.DUMMYFUNCTION("""COMPUTED_VALUE"""),0.001044)</f>
        <v>0.001044</v>
      </c>
      <c r="AX54" s="298">
        <f>IFERROR(__xludf.DUMMYFUNCTION("""COMPUTED_VALUE"""),0.001044)</f>
        <v>0.001044</v>
      </c>
      <c r="AY54" s="298">
        <f>IFERROR(__xludf.DUMMYFUNCTION("""COMPUTED_VALUE"""),0.001044)</f>
        <v>0.001044</v>
      </c>
      <c r="AZ54" s="298">
        <f>IFERROR(__xludf.DUMMYFUNCTION("""COMPUTED_VALUE"""),0.001044)</f>
        <v>0.001044</v>
      </c>
      <c r="BA54" s="298">
        <f>IFERROR(__xludf.DUMMYFUNCTION("""COMPUTED_VALUE"""),0.001044)</f>
        <v>0.001044</v>
      </c>
      <c r="BB54" s="298">
        <f>IFERROR(__xludf.DUMMYFUNCTION("""COMPUTED_VALUE"""),0.001044)</f>
        <v>0.001044</v>
      </c>
      <c r="BC54" s="298">
        <f>IFERROR(__xludf.DUMMYFUNCTION("""COMPUTED_VALUE"""),0.001044)</f>
        <v>0.001044</v>
      </c>
      <c r="BD54" s="298">
        <f>IFERROR(__xludf.DUMMYFUNCTION("""COMPUTED_VALUE"""),0.001044)</f>
        <v>0.001044</v>
      </c>
      <c r="BE54" s="298">
        <f>IFERROR(__xludf.DUMMYFUNCTION("""COMPUTED_VALUE"""),0.001044)</f>
        <v>0.001044</v>
      </c>
      <c r="BF54" s="298">
        <f>IFERROR(__xludf.DUMMYFUNCTION("""COMPUTED_VALUE"""),0.001044)</f>
        <v>0.001044</v>
      </c>
      <c r="BG54" s="298">
        <f>IFERROR(__xludf.DUMMYFUNCTION("""COMPUTED_VALUE"""),0.001044)</f>
        <v>0.001044</v>
      </c>
      <c r="BH54" s="298">
        <f>IFERROR(__xludf.DUMMYFUNCTION("""COMPUTED_VALUE"""),0.001044)</f>
        <v>0.001044</v>
      </c>
      <c r="BI54" s="298">
        <f>IFERROR(__xludf.DUMMYFUNCTION("""COMPUTED_VALUE"""),0.001044)</f>
        <v>0.001044</v>
      </c>
      <c r="BJ54" s="298">
        <f>IFERROR(__xludf.DUMMYFUNCTION("""COMPUTED_VALUE"""),0.001044)</f>
        <v>0.001044</v>
      </c>
      <c r="BK54" s="298">
        <f>IFERROR(__xludf.DUMMYFUNCTION("""COMPUTED_VALUE"""),0.001044)</f>
        <v>0.001044</v>
      </c>
      <c r="BL54" s="298">
        <f>IFERROR(__xludf.DUMMYFUNCTION("""COMPUTED_VALUE"""),0.001044)</f>
        <v>0.001044</v>
      </c>
      <c r="BM54" s="298">
        <f>IFERROR(__xludf.DUMMYFUNCTION("""COMPUTED_VALUE"""),0.001044)</f>
        <v>0.001044</v>
      </c>
      <c r="BN54" s="298">
        <f>IFERROR(__xludf.DUMMYFUNCTION("""COMPUTED_VALUE"""),0.001044)</f>
        <v>0.001044</v>
      </c>
    </row>
    <row r="55">
      <c r="L55" s="292"/>
      <c r="M55" s="292">
        <f>IFERROR(__xludf.DUMMYFUNCTION("""COMPUTED_VALUE"""),14.0)</f>
        <v>14</v>
      </c>
      <c r="N55" s="298">
        <f>IFERROR(__xludf.DUMMYFUNCTION("""COMPUTED_VALUE"""),0.056485)</f>
        <v>0.056485</v>
      </c>
      <c r="O55" s="298">
        <f>IFERROR(__xludf.DUMMYFUNCTION("""COMPUTED_VALUE"""),0.053552)</f>
        <v>0.053552</v>
      </c>
      <c r="P55" s="298">
        <f>IFERROR(__xludf.DUMMYFUNCTION("""COMPUTED_VALUE"""),0.05367)</f>
        <v>0.05367</v>
      </c>
      <c r="Q55" s="298">
        <f>IFERROR(__xludf.DUMMYFUNCTION("""COMPUTED_VALUE"""),0.054391)</f>
        <v>0.054391</v>
      </c>
      <c r="R55" s="298">
        <f>IFERROR(__xludf.DUMMYFUNCTION("""COMPUTED_VALUE"""),0.055118)</f>
        <v>0.055118</v>
      </c>
      <c r="S55" s="298">
        <f>IFERROR(__xludf.DUMMYFUNCTION("""COMPUTED_VALUE"""),0.055951)</f>
        <v>0.055951</v>
      </c>
      <c r="T55" s="298">
        <f>IFERROR(__xludf.DUMMYFUNCTION("""COMPUTED_VALUE"""),0.056161)</f>
        <v>0.056161</v>
      </c>
      <c r="U55" s="298">
        <f>IFERROR(__xludf.DUMMYFUNCTION("""COMPUTED_VALUE"""),0.055795)</f>
        <v>0.055795</v>
      </c>
      <c r="V55" s="298">
        <f>IFERROR(__xludf.DUMMYFUNCTION("""COMPUTED_VALUE"""),0.055487)</f>
        <v>0.055487</v>
      </c>
      <c r="W55" s="298">
        <f>IFERROR(__xludf.DUMMYFUNCTION("""COMPUTED_VALUE"""),0.054626)</f>
        <v>0.054626</v>
      </c>
      <c r="X55" s="298">
        <f>IFERROR(__xludf.DUMMYFUNCTION("""COMPUTED_VALUE"""),0.054602)</f>
        <v>0.054602</v>
      </c>
      <c r="Y55" s="298">
        <f>IFERROR(__xludf.DUMMYFUNCTION("""COMPUTED_VALUE"""),0.054685)</f>
        <v>0.054685</v>
      </c>
      <c r="Z55" s="298">
        <f>IFERROR(__xludf.DUMMYFUNCTION("""COMPUTED_VALUE"""),0.054028)</f>
        <v>0.054028</v>
      </c>
      <c r="AA55" s="298">
        <f>IFERROR(__xludf.DUMMYFUNCTION("""COMPUTED_VALUE"""),0.077598)</f>
        <v>0.077598</v>
      </c>
      <c r="AB55" s="298">
        <f>IFERROR(__xludf.DUMMYFUNCTION("""COMPUTED_VALUE"""),0.077598)</f>
        <v>0.077598</v>
      </c>
      <c r="AC55" s="298">
        <f>IFERROR(__xludf.DUMMYFUNCTION("""COMPUTED_VALUE"""),0.077598)</f>
        <v>0.077598</v>
      </c>
      <c r="AD55" s="298">
        <f>IFERROR(__xludf.DUMMYFUNCTION("""COMPUTED_VALUE"""),0.077598)</f>
        <v>0.077598</v>
      </c>
      <c r="AE55" s="298">
        <f>IFERROR(__xludf.DUMMYFUNCTION("""COMPUTED_VALUE"""),0.077598)</f>
        <v>0.077598</v>
      </c>
      <c r="AF55" s="298">
        <f>IFERROR(__xludf.DUMMYFUNCTION("""COMPUTED_VALUE"""),0.077598)</f>
        <v>0.077598</v>
      </c>
      <c r="AG55" s="298">
        <f>IFERROR(__xludf.DUMMYFUNCTION("""COMPUTED_VALUE"""),0.077598)</f>
        <v>0.077598</v>
      </c>
      <c r="AH55" s="298">
        <f>IFERROR(__xludf.DUMMYFUNCTION("""COMPUTED_VALUE"""),0.077598)</f>
        <v>0.077598</v>
      </c>
      <c r="AI55" s="298">
        <f>IFERROR(__xludf.DUMMYFUNCTION("""COMPUTED_VALUE"""),0.077598)</f>
        <v>0.077598</v>
      </c>
      <c r="AJ55" s="298">
        <f>IFERROR(__xludf.DUMMYFUNCTION("""COMPUTED_VALUE"""),0.077598)</f>
        <v>0.077598</v>
      </c>
      <c r="AK55" s="298">
        <f>IFERROR(__xludf.DUMMYFUNCTION("""COMPUTED_VALUE"""),0.077598)</f>
        <v>0.077598</v>
      </c>
      <c r="AL55" s="298">
        <f>IFERROR(__xludf.DUMMYFUNCTION("""COMPUTED_VALUE"""),0.077582)</f>
        <v>0.077582</v>
      </c>
      <c r="AM55" s="298">
        <f>IFERROR(__xludf.DUMMYFUNCTION("""COMPUTED_VALUE"""),0.077443)</f>
        <v>0.077443</v>
      </c>
      <c r="AN55" s="298">
        <f>IFERROR(__xludf.DUMMYFUNCTION("""COMPUTED_VALUE"""),0.076823)</f>
        <v>0.076823</v>
      </c>
      <c r="AO55" s="298">
        <f>IFERROR(__xludf.DUMMYFUNCTION("""COMPUTED_VALUE"""),0.075017)</f>
        <v>0.075017</v>
      </c>
      <c r="AP55" s="298">
        <f>IFERROR(__xludf.DUMMYFUNCTION("""COMPUTED_VALUE"""),0.071145)</f>
        <v>0.071145</v>
      </c>
      <c r="AQ55" s="298">
        <f>IFERROR(__xludf.DUMMYFUNCTION("""COMPUTED_VALUE"""),0.064692)</f>
        <v>0.064692</v>
      </c>
      <c r="AR55" s="298">
        <f>IFERROR(__xludf.DUMMYFUNCTION("""COMPUTED_VALUE"""),0.056088)</f>
        <v>0.056088</v>
      </c>
      <c r="AS55" s="298">
        <f>IFERROR(__xludf.DUMMYFUNCTION("""COMPUTED_VALUE"""),0.046869)</f>
        <v>0.046869</v>
      </c>
      <c r="AT55" s="298">
        <f>IFERROR(__xludf.DUMMYFUNCTION("""COMPUTED_VALUE"""),0.039187)</f>
        <v>0.039187</v>
      </c>
      <c r="AU55" s="298">
        <f>IFERROR(__xludf.DUMMYFUNCTION("""COMPUTED_VALUE"""),0.034919)</f>
        <v>0.034919</v>
      </c>
      <c r="AV55" s="298">
        <f>IFERROR(__xludf.DUMMYFUNCTION("""COMPUTED_VALUE"""),0.034919)</f>
        <v>0.034919</v>
      </c>
      <c r="AW55" s="298">
        <f>IFERROR(__xludf.DUMMYFUNCTION("""COMPUTED_VALUE"""),0.034919)</f>
        <v>0.034919</v>
      </c>
      <c r="AX55" s="298">
        <f>IFERROR(__xludf.DUMMYFUNCTION("""COMPUTED_VALUE"""),0.034919)</f>
        <v>0.034919</v>
      </c>
      <c r="AY55" s="298">
        <f>IFERROR(__xludf.DUMMYFUNCTION("""COMPUTED_VALUE"""),0.034919)</f>
        <v>0.034919</v>
      </c>
      <c r="AZ55" s="298">
        <f>IFERROR(__xludf.DUMMYFUNCTION("""COMPUTED_VALUE"""),0.034919)</f>
        <v>0.034919</v>
      </c>
      <c r="BA55" s="298">
        <f>IFERROR(__xludf.DUMMYFUNCTION("""COMPUTED_VALUE"""),0.034919)</f>
        <v>0.034919</v>
      </c>
      <c r="BB55" s="298">
        <f>IFERROR(__xludf.DUMMYFUNCTION("""COMPUTED_VALUE"""),0.034919)</f>
        <v>0.034919</v>
      </c>
      <c r="BC55" s="298">
        <f>IFERROR(__xludf.DUMMYFUNCTION("""COMPUTED_VALUE"""),0.034919)</f>
        <v>0.034919</v>
      </c>
      <c r="BD55" s="298">
        <f>IFERROR(__xludf.DUMMYFUNCTION("""COMPUTED_VALUE"""),0.034919)</f>
        <v>0.034919</v>
      </c>
      <c r="BE55" s="298">
        <f>IFERROR(__xludf.DUMMYFUNCTION("""COMPUTED_VALUE"""),0.034919)</f>
        <v>0.034919</v>
      </c>
      <c r="BF55" s="298">
        <f>IFERROR(__xludf.DUMMYFUNCTION("""COMPUTED_VALUE"""),0.034919)</f>
        <v>0.034919</v>
      </c>
      <c r="BG55" s="298">
        <f>IFERROR(__xludf.DUMMYFUNCTION("""COMPUTED_VALUE"""),0.034919)</f>
        <v>0.034919</v>
      </c>
      <c r="BH55" s="298">
        <f>IFERROR(__xludf.DUMMYFUNCTION("""COMPUTED_VALUE"""),0.034919)</f>
        <v>0.034919</v>
      </c>
      <c r="BI55" s="298">
        <f>IFERROR(__xludf.DUMMYFUNCTION("""COMPUTED_VALUE"""),0.034919)</f>
        <v>0.034919</v>
      </c>
      <c r="BJ55" s="298">
        <f>IFERROR(__xludf.DUMMYFUNCTION("""COMPUTED_VALUE"""),0.034919)</f>
        <v>0.034919</v>
      </c>
      <c r="BK55" s="298">
        <f>IFERROR(__xludf.DUMMYFUNCTION("""COMPUTED_VALUE"""),0.034919)</f>
        <v>0.034919</v>
      </c>
      <c r="BL55" s="298">
        <f>IFERROR(__xludf.DUMMYFUNCTION("""COMPUTED_VALUE"""),0.034919)</f>
        <v>0.034919</v>
      </c>
      <c r="BM55" s="298">
        <f>IFERROR(__xludf.DUMMYFUNCTION("""COMPUTED_VALUE"""),0.034919)</f>
        <v>0.034919</v>
      </c>
      <c r="BN55" s="298">
        <f>IFERROR(__xludf.DUMMYFUNCTION("""COMPUTED_VALUE"""),0.034919)</f>
        <v>0.034919</v>
      </c>
    </row>
    <row r="56">
      <c r="L56" s="292"/>
      <c r="M56" s="292">
        <f>IFERROR(__xludf.DUMMYFUNCTION("""COMPUTED_VALUE"""),15.0)</f>
        <v>15</v>
      </c>
      <c r="N56" s="298">
        <f>IFERROR(__xludf.DUMMYFUNCTION("""COMPUTED_VALUE"""),0.0)</f>
        <v>0</v>
      </c>
      <c r="O56" s="298">
        <f>IFERROR(__xludf.DUMMYFUNCTION("""COMPUTED_VALUE"""),0.0)</f>
        <v>0</v>
      </c>
      <c r="P56" s="298">
        <f>IFERROR(__xludf.DUMMYFUNCTION("""COMPUTED_VALUE"""),0.0)</f>
        <v>0</v>
      </c>
      <c r="Q56" s="298">
        <f>IFERROR(__xludf.DUMMYFUNCTION("""COMPUTED_VALUE"""),0.0)</f>
        <v>0</v>
      </c>
      <c r="R56" s="298">
        <f>IFERROR(__xludf.DUMMYFUNCTION("""COMPUTED_VALUE"""),0.0)</f>
        <v>0</v>
      </c>
      <c r="S56" s="298">
        <f>IFERROR(__xludf.DUMMYFUNCTION("""COMPUTED_VALUE"""),0.0)</f>
        <v>0</v>
      </c>
      <c r="T56" s="298">
        <f>IFERROR(__xludf.DUMMYFUNCTION("""COMPUTED_VALUE"""),0.0)</f>
        <v>0</v>
      </c>
      <c r="U56" s="298">
        <f>IFERROR(__xludf.DUMMYFUNCTION("""COMPUTED_VALUE"""),0.0)</f>
        <v>0</v>
      </c>
      <c r="V56" s="298">
        <f>IFERROR(__xludf.DUMMYFUNCTION("""COMPUTED_VALUE"""),0.0)</f>
        <v>0</v>
      </c>
      <c r="W56" s="298">
        <f>IFERROR(__xludf.DUMMYFUNCTION("""COMPUTED_VALUE"""),0.0)</f>
        <v>0</v>
      </c>
      <c r="X56" s="298">
        <f>IFERROR(__xludf.DUMMYFUNCTION("""COMPUTED_VALUE"""),0.0)</f>
        <v>0</v>
      </c>
      <c r="Y56" s="298">
        <f>IFERROR(__xludf.DUMMYFUNCTION("""COMPUTED_VALUE"""),0.0)</f>
        <v>0</v>
      </c>
      <c r="Z56" s="298">
        <f>IFERROR(__xludf.DUMMYFUNCTION("""COMPUTED_VALUE"""),0.0)</f>
        <v>0</v>
      </c>
      <c r="AA56" s="298">
        <f>IFERROR(__xludf.DUMMYFUNCTION("""COMPUTED_VALUE"""),0.0)</f>
        <v>0</v>
      </c>
      <c r="AB56" s="298">
        <f>IFERROR(__xludf.DUMMYFUNCTION("""COMPUTED_VALUE"""),0.0)</f>
        <v>0</v>
      </c>
      <c r="AC56" s="298">
        <f>IFERROR(__xludf.DUMMYFUNCTION("""COMPUTED_VALUE"""),0.0)</f>
        <v>0</v>
      </c>
      <c r="AD56" s="298">
        <f>IFERROR(__xludf.DUMMYFUNCTION("""COMPUTED_VALUE"""),0.0)</f>
        <v>0</v>
      </c>
      <c r="AE56" s="298">
        <f>IFERROR(__xludf.DUMMYFUNCTION("""COMPUTED_VALUE"""),0.0)</f>
        <v>0</v>
      </c>
      <c r="AF56" s="298">
        <f>IFERROR(__xludf.DUMMYFUNCTION("""COMPUTED_VALUE"""),0.0)</f>
        <v>0</v>
      </c>
      <c r="AG56" s="298">
        <f>IFERROR(__xludf.DUMMYFUNCTION("""COMPUTED_VALUE"""),0.0)</f>
        <v>0</v>
      </c>
      <c r="AH56" s="298">
        <f>IFERROR(__xludf.DUMMYFUNCTION("""COMPUTED_VALUE"""),0.0)</f>
        <v>0</v>
      </c>
      <c r="AI56" s="298">
        <f>IFERROR(__xludf.DUMMYFUNCTION("""COMPUTED_VALUE"""),0.0)</f>
        <v>0</v>
      </c>
      <c r="AJ56" s="298">
        <f>IFERROR(__xludf.DUMMYFUNCTION("""COMPUTED_VALUE"""),0.0)</f>
        <v>0</v>
      </c>
      <c r="AK56" s="298">
        <f>IFERROR(__xludf.DUMMYFUNCTION("""COMPUTED_VALUE"""),0.0)</f>
        <v>0</v>
      </c>
      <c r="AL56" s="298">
        <f>IFERROR(__xludf.DUMMYFUNCTION("""COMPUTED_VALUE"""),1.0E-6)</f>
        <v>0.000001</v>
      </c>
      <c r="AM56" s="298">
        <f>IFERROR(__xludf.DUMMYFUNCTION("""COMPUTED_VALUE"""),1.4E-5)</f>
        <v>0.000014</v>
      </c>
      <c r="AN56" s="298">
        <f>IFERROR(__xludf.DUMMYFUNCTION("""COMPUTED_VALUE"""),7.0E-5)</f>
        <v>0.00007</v>
      </c>
      <c r="AO56" s="298">
        <f>IFERROR(__xludf.DUMMYFUNCTION("""COMPUTED_VALUE"""),2.35E-4)</f>
        <v>0.000235</v>
      </c>
      <c r="AP56" s="298">
        <f>IFERROR(__xludf.DUMMYFUNCTION("""COMPUTED_VALUE"""),5.87E-4)</f>
        <v>0.000587</v>
      </c>
      <c r="AQ56" s="298">
        <f>IFERROR(__xludf.DUMMYFUNCTION("""COMPUTED_VALUE"""),0.001173)</f>
        <v>0.001173</v>
      </c>
      <c r="AR56" s="298">
        <f>IFERROR(__xludf.DUMMYFUNCTION("""COMPUTED_VALUE"""),0.001955)</f>
        <v>0.001955</v>
      </c>
      <c r="AS56" s="298">
        <f>IFERROR(__xludf.DUMMYFUNCTION("""COMPUTED_VALUE"""),0.002794)</f>
        <v>0.002794</v>
      </c>
      <c r="AT56" s="298">
        <f>IFERROR(__xludf.DUMMYFUNCTION("""COMPUTED_VALUE"""),0.003492)</f>
        <v>0.003492</v>
      </c>
      <c r="AU56" s="298">
        <f>IFERROR(__xludf.DUMMYFUNCTION("""COMPUTED_VALUE"""),0.00388)</f>
        <v>0.00388</v>
      </c>
      <c r="AV56" s="298">
        <f>IFERROR(__xludf.DUMMYFUNCTION("""COMPUTED_VALUE"""),0.00388)</f>
        <v>0.00388</v>
      </c>
      <c r="AW56" s="298">
        <f>IFERROR(__xludf.DUMMYFUNCTION("""COMPUTED_VALUE"""),0.00388)</f>
        <v>0.00388</v>
      </c>
      <c r="AX56" s="298">
        <f>IFERROR(__xludf.DUMMYFUNCTION("""COMPUTED_VALUE"""),0.00388)</f>
        <v>0.00388</v>
      </c>
      <c r="AY56" s="298">
        <f>IFERROR(__xludf.DUMMYFUNCTION("""COMPUTED_VALUE"""),0.00388)</f>
        <v>0.00388</v>
      </c>
      <c r="AZ56" s="298">
        <f>IFERROR(__xludf.DUMMYFUNCTION("""COMPUTED_VALUE"""),0.00388)</f>
        <v>0.00388</v>
      </c>
      <c r="BA56" s="298">
        <f>IFERROR(__xludf.DUMMYFUNCTION("""COMPUTED_VALUE"""),0.00388)</f>
        <v>0.00388</v>
      </c>
      <c r="BB56" s="298">
        <f>IFERROR(__xludf.DUMMYFUNCTION("""COMPUTED_VALUE"""),0.00388)</f>
        <v>0.00388</v>
      </c>
      <c r="BC56" s="298">
        <f>IFERROR(__xludf.DUMMYFUNCTION("""COMPUTED_VALUE"""),0.00388)</f>
        <v>0.00388</v>
      </c>
      <c r="BD56" s="298">
        <f>IFERROR(__xludf.DUMMYFUNCTION("""COMPUTED_VALUE"""),0.00388)</f>
        <v>0.00388</v>
      </c>
      <c r="BE56" s="298">
        <f>IFERROR(__xludf.DUMMYFUNCTION("""COMPUTED_VALUE"""),0.00388)</f>
        <v>0.00388</v>
      </c>
      <c r="BF56" s="298">
        <f>IFERROR(__xludf.DUMMYFUNCTION("""COMPUTED_VALUE"""),0.00388)</f>
        <v>0.00388</v>
      </c>
      <c r="BG56" s="298">
        <f>IFERROR(__xludf.DUMMYFUNCTION("""COMPUTED_VALUE"""),0.00388)</f>
        <v>0.00388</v>
      </c>
      <c r="BH56" s="298">
        <f>IFERROR(__xludf.DUMMYFUNCTION("""COMPUTED_VALUE"""),0.00388)</f>
        <v>0.00388</v>
      </c>
      <c r="BI56" s="298">
        <f>IFERROR(__xludf.DUMMYFUNCTION("""COMPUTED_VALUE"""),0.00388)</f>
        <v>0.00388</v>
      </c>
      <c r="BJ56" s="298">
        <f>IFERROR(__xludf.DUMMYFUNCTION("""COMPUTED_VALUE"""),0.00388)</f>
        <v>0.00388</v>
      </c>
      <c r="BK56" s="298">
        <f>IFERROR(__xludf.DUMMYFUNCTION("""COMPUTED_VALUE"""),0.00388)</f>
        <v>0.00388</v>
      </c>
      <c r="BL56" s="298">
        <f>IFERROR(__xludf.DUMMYFUNCTION("""COMPUTED_VALUE"""),0.00388)</f>
        <v>0.00388</v>
      </c>
      <c r="BM56" s="298">
        <f>IFERROR(__xludf.DUMMYFUNCTION("""COMPUTED_VALUE"""),0.00388)</f>
        <v>0.00388</v>
      </c>
      <c r="BN56" s="298">
        <f>IFERROR(__xludf.DUMMYFUNCTION("""COMPUTED_VALUE"""),0.00388)</f>
        <v>0.00388</v>
      </c>
    </row>
    <row r="57">
      <c r="L57" s="292"/>
      <c r="M57" s="292">
        <f>IFERROR(__xludf.DUMMYFUNCTION("""COMPUTED_VALUE"""),16.0)</f>
        <v>16</v>
      </c>
      <c r="N57" s="298">
        <f>IFERROR(__xludf.DUMMYFUNCTION("""COMPUTED_VALUE"""),0.0)</f>
        <v>0</v>
      </c>
      <c r="O57" s="298">
        <f>IFERROR(__xludf.DUMMYFUNCTION("""COMPUTED_VALUE"""),0.0)</f>
        <v>0</v>
      </c>
      <c r="P57" s="298">
        <f>IFERROR(__xludf.DUMMYFUNCTION("""COMPUTED_VALUE"""),0.0)</f>
        <v>0</v>
      </c>
      <c r="Q57" s="298">
        <f>IFERROR(__xludf.DUMMYFUNCTION("""COMPUTED_VALUE"""),0.0)</f>
        <v>0</v>
      </c>
      <c r="R57" s="298">
        <f>IFERROR(__xludf.DUMMYFUNCTION("""COMPUTED_VALUE"""),0.0)</f>
        <v>0</v>
      </c>
      <c r="S57" s="298">
        <f>IFERROR(__xludf.DUMMYFUNCTION("""COMPUTED_VALUE"""),0.0)</f>
        <v>0</v>
      </c>
      <c r="T57" s="298">
        <f>IFERROR(__xludf.DUMMYFUNCTION("""COMPUTED_VALUE"""),0.0)</f>
        <v>0</v>
      </c>
      <c r="U57" s="298">
        <f>IFERROR(__xludf.DUMMYFUNCTION("""COMPUTED_VALUE"""),0.0)</f>
        <v>0</v>
      </c>
      <c r="V57" s="298">
        <f>IFERROR(__xludf.DUMMYFUNCTION("""COMPUTED_VALUE"""),0.0)</f>
        <v>0</v>
      </c>
      <c r="W57" s="298">
        <f>IFERROR(__xludf.DUMMYFUNCTION("""COMPUTED_VALUE"""),0.0)</f>
        <v>0</v>
      </c>
      <c r="X57" s="298">
        <f>IFERROR(__xludf.DUMMYFUNCTION("""COMPUTED_VALUE"""),0.0)</f>
        <v>0</v>
      </c>
      <c r="Y57" s="298">
        <f>IFERROR(__xludf.DUMMYFUNCTION("""COMPUTED_VALUE"""),0.0)</f>
        <v>0</v>
      </c>
      <c r="Z57" s="298">
        <f>IFERROR(__xludf.DUMMYFUNCTION("""COMPUTED_VALUE"""),0.0)</f>
        <v>0</v>
      </c>
      <c r="AA57" s="298">
        <f>IFERROR(__xludf.DUMMYFUNCTION("""COMPUTED_VALUE"""),0.0)</f>
        <v>0</v>
      </c>
      <c r="AB57" s="298">
        <f>IFERROR(__xludf.DUMMYFUNCTION("""COMPUTED_VALUE"""),0.0)</f>
        <v>0</v>
      </c>
      <c r="AC57" s="298">
        <f>IFERROR(__xludf.DUMMYFUNCTION("""COMPUTED_VALUE"""),0.0)</f>
        <v>0</v>
      </c>
      <c r="AD57" s="298">
        <f>IFERROR(__xludf.DUMMYFUNCTION("""COMPUTED_VALUE"""),0.0)</f>
        <v>0</v>
      </c>
      <c r="AE57" s="298">
        <f>IFERROR(__xludf.DUMMYFUNCTION("""COMPUTED_VALUE"""),0.0)</f>
        <v>0</v>
      </c>
      <c r="AF57" s="298">
        <f>IFERROR(__xludf.DUMMYFUNCTION("""COMPUTED_VALUE"""),0.0)</f>
        <v>0</v>
      </c>
      <c r="AG57" s="298">
        <f>IFERROR(__xludf.DUMMYFUNCTION("""COMPUTED_VALUE"""),0.0)</f>
        <v>0</v>
      </c>
      <c r="AH57" s="298">
        <f>IFERROR(__xludf.DUMMYFUNCTION("""COMPUTED_VALUE"""),0.0)</f>
        <v>0</v>
      </c>
      <c r="AI57" s="298">
        <f>IFERROR(__xludf.DUMMYFUNCTION("""COMPUTED_VALUE"""),0.0)</f>
        <v>0</v>
      </c>
      <c r="AJ57" s="298">
        <f>IFERROR(__xludf.DUMMYFUNCTION("""COMPUTED_VALUE"""),0.0)</f>
        <v>0</v>
      </c>
      <c r="AK57" s="298">
        <f>IFERROR(__xludf.DUMMYFUNCTION("""COMPUTED_VALUE"""),0.0)</f>
        <v>0</v>
      </c>
      <c r="AL57" s="298">
        <f>IFERROR(__xludf.DUMMYFUNCTION("""COMPUTED_VALUE"""),1.4E-5)</f>
        <v>0.000014</v>
      </c>
      <c r="AM57" s="298">
        <f>IFERROR(__xludf.DUMMYFUNCTION("""COMPUTED_VALUE"""),1.41E-4)</f>
        <v>0.000141</v>
      </c>
      <c r="AN57" s="298">
        <f>IFERROR(__xludf.DUMMYFUNCTION("""COMPUTED_VALUE"""),7.04E-4)</f>
        <v>0.000704</v>
      </c>
      <c r="AO57" s="298">
        <f>IFERROR(__xludf.DUMMYFUNCTION("""COMPUTED_VALUE"""),0.002347)</f>
        <v>0.002347</v>
      </c>
      <c r="AP57" s="298">
        <f>IFERROR(__xludf.DUMMYFUNCTION("""COMPUTED_VALUE"""),0.005866)</f>
        <v>0.005866</v>
      </c>
      <c r="AQ57" s="298">
        <f>IFERROR(__xludf.DUMMYFUNCTION("""COMPUTED_VALUE"""),0.011733)</f>
        <v>0.011733</v>
      </c>
      <c r="AR57" s="298">
        <f>IFERROR(__xludf.DUMMYFUNCTION("""COMPUTED_VALUE"""),0.019555)</f>
        <v>0.019555</v>
      </c>
      <c r="AS57" s="298">
        <f>IFERROR(__xludf.DUMMYFUNCTION("""COMPUTED_VALUE"""),0.027935)</f>
        <v>0.027935</v>
      </c>
      <c r="AT57" s="298">
        <f>IFERROR(__xludf.DUMMYFUNCTION("""COMPUTED_VALUE"""),0.034919)</f>
        <v>0.034919</v>
      </c>
      <c r="AU57" s="298">
        <f>IFERROR(__xludf.DUMMYFUNCTION("""COMPUTED_VALUE"""),0.038799)</f>
        <v>0.038799</v>
      </c>
      <c r="AV57" s="298">
        <f>IFERROR(__xludf.DUMMYFUNCTION("""COMPUTED_VALUE"""),0.038799)</f>
        <v>0.038799</v>
      </c>
      <c r="AW57" s="298">
        <f>IFERROR(__xludf.DUMMYFUNCTION("""COMPUTED_VALUE"""),0.038799)</f>
        <v>0.038799</v>
      </c>
      <c r="AX57" s="298">
        <f>IFERROR(__xludf.DUMMYFUNCTION("""COMPUTED_VALUE"""),0.038799)</f>
        <v>0.038799</v>
      </c>
      <c r="AY57" s="298">
        <f>IFERROR(__xludf.DUMMYFUNCTION("""COMPUTED_VALUE"""),0.038799)</f>
        <v>0.038799</v>
      </c>
      <c r="AZ57" s="298">
        <f>IFERROR(__xludf.DUMMYFUNCTION("""COMPUTED_VALUE"""),0.038799)</f>
        <v>0.038799</v>
      </c>
      <c r="BA57" s="298">
        <f>IFERROR(__xludf.DUMMYFUNCTION("""COMPUTED_VALUE"""),0.038799)</f>
        <v>0.038799</v>
      </c>
      <c r="BB57" s="298">
        <f>IFERROR(__xludf.DUMMYFUNCTION("""COMPUTED_VALUE"""),0.038799)</f>
        <v>0.038799</v>
      </c>
      <c r="BC57" s="298">
        <f>IFERROR(__xludf.DUMMYFUNCTION("""COMPUTED_VALUE"""),0.038799)</f>
        <v>0.038799</v>
      </c>
      <c r="BD57" s="298">
        <f>IFERROR(__xludf.DUMMYFUNCTION("""COMPUTED_VALUE"""),0.038799)</f>
        <v>0.038799</v>
      </c>
      <c r="BE57" s="298">
        <f>IFERROR(__xludf.DUMMYFUNCTION("""COMPUTED_VALUE"""),0.038799)</f>
        <v>0.038799</v>
      </c>
      <c r="BF57" s="298">
        <f>IFERROR(__xludf.DUMMYFUNCTION("""COMPUTED_VALUE"""),0.038799)</f>
        <v>0.038799</v>
      </c>
      <c r="BG57" s="298">
        <f>IFERROR(__xludf.DUMMYFUNCTION("""COMPUTED_VALUE"""),0.038799)</f>
        <v>0.038799</v>
      </c>
      <c r="BH57" s="298">
        <f>IFERROR(__xludf.DUMMYFUNCTION("""COMPUTED_VALUE"""),0.038799)</f>
        <v>0.038799</v>
      </c>
      <c r="BI57" s="298">
        <f>IFERROR(__xludf.DUMMYFUNCTION("""COMPUTED_VALUE"""),0.038799)</f>
        <v>0.038799</v>
      </c>
      <c r="BJ57" s="298">
        <f>IFERROR(__xludf.DUMMYFUNCTION("""COMPUTED_VALUE"""),0.038799)</f>
        <v>0.038799</v>
      </c>
      <c r="BK57" s="298">
        <f>IFERROR(__xludf.DUMMYFUNCTION("""COMPUTED_VALUE"""),0.038799)</f>
        <v>0.038799</v>
      </c>
      <c r="BL57" s="298">
        <f>IFERROR(__xludf.DUMMYFUNCTION("""COMPUTED_VALUE"""),0.038799)</f>
        <v>0.038799</v>
      </c>
      <c r="BM57" s="298">
        <f>IFERROR(__xludf.DUMMYFUNCTION("""COMPUTED_VALUE"""),0.038799)</f>
        <v>0.038799</v>
      </c>
      <c r="BN57" s="298">
        <f>IFERROR(__xludf.DUMMYFUNCTION("""COMPUTED_VALUE"""),0.038799)</f>
        <v>0.038799</v>
      </c>
    </row>
    <row r="58">
      <c r="L58" s="292"/>
      <c r="M58" s="292" t="str">
        <f>IFERROR(__xludf.DUMMYFUNCTION("""COMPUTED_VALUE"""),"Meal/order")</f>
        <v>Meal/order</v>
      </c>
      <c r="N58" s="296">
        <f>IFERROR(__xludf.DUMMYFUNCTION("""COMPUTED_VALUE"""),6.311716)</f>
        <v>6.311716</v>
      </c>
      <c r="O58" s="296">
        <f>IFERROR(__xludf.DUMMYFUNCTION("""COMPUTED_VALUE"""),6.290704)</f>
        <v>6.290704</v>
      </c>
      <c r="P58" s="296">
        <f>IFERROR(__xludf.DUMMYFUNCTION("""COMPUTED_VALUE"""),6.320283999999999)</f>
        <v>6.320284</v>
      </c>
      <c r="Q58" s="296">
        <f>IFERROR(__xludf.DUMMYFUNCTION("""COMPUTED_VALUE"""),6.348303)</f>
        <v>6.348303</v>
      </c>
      <c r="R58" s="296">
        <f>IFERROR(__xludf.DUMMYFUNCTION("""COMPUTED_VALUE"""),6.383183000000001)</f>
        <v>6.383183</v>
      </c>
      <c r="S58" s="296">
        <f>IFERROR(__xludf.DUMMYFUNCTION("""COMPUTED_VALUE"""),6.413969000000001)</f>
        <v>6.413969</v>
      </c>
      <c r="T58" s="296">
        <f>IFERROR(__xludf.DUMMYFUNCTION("""COMPUTED_VALUE"""),6.438713)</f>
        <v>6.438713</v>
      </c>
      <c r="U58" s="296">
        <f>IFERROR(__xludf.DUMMYFUNCTION("""COMPUTED_VALUE"""),6.4574560000000005)</f>
        <v>6.457456</v>
      </c>
      <c r="V58" s="296">
        <f>IFERROR(__xludf.DUMMYFUNCTION("""COMPUTED_VALUE"""),6.469176000000001)</f>
        <v>6.469176</v>
      </c>
      <c r="W58" s="296">
        <f>IFERROR(__xludf.DUMMYFUNCTION("""COMPUTED_VALUE"""),6.479592)</f>
        <v>6.479592</v>
      </c>
      <c r="X58" s="296">
        <f>IFERROR(__xludf.DUMMYFUNCTION("""COMPUTED_VALUE"""),6.502963)</f>
        <v>6.502963</v>
      </c>
      <c r="Y58" s="296">
        <f>IFERROR(__xludf.DUMMYFUNCTION("""COMPUTED_VALUE"""),6.519981)</f>
        <v>6.519981</v>
      </c>
      <c r="Z58" s="296">
        <f>IFERROR(__xludf.DUMMYFUNCTION("""COMPUTED_VALUE"""),6.532519)</f>
        <v>6.532519</v>
      </c>
      <c r="AA58" s="296">
        <f>IFERROR(__xludf.DUMMYFUNCTION("""COMPUTED_VALUE"""),7.025767999999999)</f>
        <v>7.025768</v>
      </c>
      <c r="AB58" s="296">
        <f>IFERROR(__xludf.DUMMYFUNCTION("""COMPUTED_VALUE"""),7.025767999999999)</f>
        <v>7.025768</v>
      </c>
      <c r="AC58" s="296">
        <f>IFERROR(__xludf.DUMMYFUNCTION("""COMPUTED_VALUE"""),7.025767999999999)</f>
        <v>7.025768</v>
      </c>
      <c r="AD58" s="296">
        <f>IFERROR(__xludf.DUMMYFUNCTION("""COMPUTED_VALUE"""),7.025767999999999)</f>
        <v>7.025768</v>
      </c>
      <c r="AE58" s="296">
        <f>IFERROR(__xludf.DUMMYFUNCTION("""COMPUTED_VALUE"""),7.025767999999999)</f>
        <v>7.025768</v>
      </c>
      <c r="AF58" s="296">
        <f>IFERROR(__xludf.DUMMYFUNCTION("""COMPUTED_VALUE"""),7.025767999999999)</f>
        <v>7.025768</v>
      </c>
      <c r="AG58" s="296">
        <f>IFERROR(__xludf.DUMMYFUNCTION("""COMPUTED_VALUE"""),7.025767999999999)</f>
        <v>7.025768</v>
      </c>
      <c r="AH58" s="296">
        <f>IFERROR(__xludf.DUMMYFUNCTION("""COMPUTED_VALUE"""),7.025767999999999)</f>
        <v>7.025768</v>
      </c>
      <c r="AI58" s="296">
        <f>IFERROR(__xludf.DUMMYFUNCTION("""COMPUTED_VALUE"""),7.025767999999999)</f>
        <v>7.025768</v>
      </c>
      <c r="AJ58" s="296">
        <f>IFERROR(__xludf.DUMMYFUNCTION("""COMPUTED_VALUE"""),7.025767999999999)</f>
        <v>7.025768</v>
      </c>
      <c r="AK58" s="296">
        <f>IFERROR(__xludf.DUMMYFUNCTION("""COMPUTED_VALUE"""),7.025767999999999)</f>
        <v>7.025768</v>
      </c>
      <c r="AL58" s="296">
        <f>IFERROR(__xludf.DUMMYFUNCTION("""COMPUTED_VALUE"""),7.025783)</f>
        <v>7.025783</v>
      </c>
      <c r="AM58" s="296">
        <f>IFERROR(__xludf.DUMMYFUNCTION("""COMPUTED_VALUE"""),7.026064)</f>
        <v>7.026064</v>
      </c>
      <c r="AN58" s="296">
        <f>IFERROR(__xludf.DUMMYFUNCTION("""COMPUTED_VALUE"""),7.075232)</f>
        <v>7.075232</v>
      </c>
      <c r="AO58" s="296">
        <f>IFERROR(__xludf.DUMMYFUNCTION("""COMPUTED_VALUE"""),7.078710999999999)</f>
        <v>7.078711</v>
      </c>
      <c r="AP58" s="296">
        <f>IFERROR(__xludf.DUMMYFUNCTION("""COMPUTED_VALUE"""),7.086086999999999)</f>
        <v>7.086087</v>
      </c>
      <c r="AQ58" s="296">
        <f>IFERROR(__xludf.DUMMYFUNCTION("""COMPUTED_VALUE"""),7.098407)</f>
        <v>7.098407</v>
      </c>
      <c r="AR58" s="296">
        <f>IFERROR(__xludf.DUMMYFUNCTION("""COMPUTED_VALUE"""),7.114832999999999)</f>
        <v>7.114833</v>
      </c>
      <c r="AS58" s="296">
        <f>IFERROR(__xludf.DUMMYFUNCTION("""COMPUTED_VALUE"""),7.132431999999999)</f>
        <v>7.132432</v>
      </c>
      <c r="AT58" s="296">
        <f>IFERROR(__xludf.DUMMYFUNCTION("""COMPUTED_VALUE"""),7.147098)</f>
        <v>7.147098</v>
      </c>
      <c r="AU58" s="296">
        <f>IFERROR(__xludf.DUMMYFUNCTION("""COMPUTED_VALUE"""),7.155246)</f>
        <v>7.155246</v>
      </c>
      <c r="AV58" s="296">
        <f>IFERROR(__xludf.DUMMYFUNCTION("""COMPUTED_VALUE"""),7.155246)</f>
        <v>7.155246</v>
      </c>
      <c r="AW58" s="296">
        <f>IFERROR(__xludf.DUMMYFUNCTION("""COMPUTED_VALUE"""),7.155246)</f>
        <v>7.155246</v>
      </c>
      <c r="AX58" s="296">
        <f>IFERROR(__xludf.DUMMYFUNCTION("""COMPUTED_VALUE"""),7.155246)</f>
        <v>7.155246</v>
      </c>
      <c r="AY58" s="296">
        <f>IFERROR(__xludf.DUMMYFUNCTION("""COMPUTED_VALUE"""),7.155246)</f>
        <v>7.155246</v>
      </c>
      <c r="AZ58" s="296">
        <f>IFERROR(__xludf.DUMMYFUNCTION("""COMPUTED_VALUE"""),7.155246)</f>
        <v>7.155246</v>
      </c>
      <c r="BA58" s="296">
        <f>IFERROR(__xludf.DUMMYFUNCTION("""COMPUTED_VALUE"""),7.257246)</f>
        <v>7.257246</v>
      </c>
      <c r="BB58" s="296">
        <f>IFERROR(__xludf.DUMMYFUNCTION("""COMPUTED_VALUE"""),7.257246)</f>
        <v>7.257246</v>
      </c>
      <c r="BC58" s="296">
        <f>IFERROR(__xludf.DUMMYFUNCTION("""COMPUTED_VALUE"""),7.257246)</f>
        <v>7.257246</v>
      </c>
      <c r="BD58" s="296">
        <f>IFERROR(__xludf.DUMMYFUNCTION("""COMPUTED_VALUE"""),7.257246)</f>
        <v>7.257246</v>
      </c>
      <c r="BE58" s="296">
        <f>IFERROR(__xludf.DUMMYFUNCTION("""COMPUTED_VALUE"""),7.257246)</f>
        <v>7.257246</v>
      </c>
      <c r="BF58" s="296">
        <f>IFERROR(__xludf.DUMMYFUNCTION("""COMPUTED_VALUE"""),7.257246)</f>
        <v>7.257246</v>
      </c>
      <c r="BG58" s="296">
        <f>IFERROR(__xludf.DUMMYFUNCTION("""COMPUTED_VALUE"""),7.257246)</f>
        <v>7.257246</v>
      </c>
      <c r="BH58" s="296">
        <f>IFERROR(__xludf.DUMMYFUNCTION("""COMPUTED_VALUE"""),7.257246)</f>
        <v>7.257246</v>
      </c>
      <c r="BI58" s="296">
        <f>IFERROR(__xludf.DUMMYFUNCTION("""COMPUTED_VALUE"""),7.257246)</f>
        <v>7.257246</v>
      </c>
      <c r="BJ58" s="296">
        <f>IFERROR(__xludf.DUMMYFUNCTION("""COMPUTED_VALUE"""),7.257246)</f>
        <v>7.257246</v>
      </c>
      <c r="BK58" s="296">
        <f>IFERROR(__xludf.DUMMYFUNCTION("""COMPUTED_VALUE"""),7.257246)</f>
        <v>7.257246</v>
      </c>
      <c r="BL58" s="296">
        <f>IFERROR(__xludf.DUMMYFUNCTION("""COMPUTED_VALUE"""),7.257246)</f>
        <v>7.257246</v>
      </c>
      <c r="BM58" s="296">
        <f>IFERROR(__xludf.DUMMYFUNCTION("""COMPUTED_VALUE"""),7.257246)</f>
        <v>7.257246</v>
      </c>
      <c r="BN58" s="296">
        <f>IFERROR(__xludf.DUMMYFUNCTION("""COMPUTED_VALUE"""),7.257246)</f>
        <v>7.257246</v>
      </c>
    </row>
    <row r="59">
      <c r="L59" s="292"/>
      <c r="M59" s="292"/>
      <c r="N59" s="292"/>
      <c r="O59" s="292"/>
      <c r="P59" s="292"/>
      <c r="Q59" s="292"/>
      <c r="R59" s="292"/>
      <c r="S59" s="292"/>
      <c r="T59" s="292"/>
      <c r="U59" s="292"/>
      <c r="V59" s="292"/>
      <c r="W59" s="292"/>
      <c r="X59" s="292"/>
      <c r="Y59" s="292"/>
      <c r="Z59" s="292"/>
      <c r="AA59" s="292"/>
      <c r="AB59" s="292"/>
      <c r="AC59" s="292"/>
      <c r="AD59" s="292"/>
      <c r="AE59" s="292"/>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row>
    <row r="60">
      <c r="L60" s="292" t="str">
        <f>IFERROR(__xludf.DUMMYFUNCTION("""COMPUTED_VALUE"""),"DE")</f>
        <v>DE</v>
      </c>
      <c r="M60" s="292">
        <f>IFERROR(__xludf.DUMMYFUNCTION("""COMPUTED_VALUE"""),6.0)</f>
        <v>6</v>
      </c>
      <c r="N60" s="298">
        <f>IFERROR(__xludf.DUMMYFUNCTION("""COMPUTED_VALUE"""),0.52552)</f>
        <v>0.52552</v>
      </c>
      <c r="O60" s="298">
        <f>IFERROR(__xludf.DUMMYFUNCTION("""COMPUTED_VALUE"""),0.52878)</f>
        <v>0.52878</v>
      </c>
      <c r="P60" s="298">
        <f>IFERROR(__xludf.DUMMYFUNCTION("""COMPUTED_VALUE"""),0.5269)</f>
        <v>0.5269</v>
      </c>
      <c r="Q60" s="298">
        <f>IFERROR(__xludf.DUMMYFUNCTION("""COMPUTED_VALUE"""),0.52494)</f>
        <v>0.52494</v>
      </c>
      <c r="R60" s="298">
        <f>IFERROR(__xludf.DUMMYFUNCTION("""COMPUTED_VALUE"""),0.52331)</f>
        <v>0.52331</v>
      </c>
      <c r="S60" s="298">
        <f>IFERROR(__xludf.DUMMYFUNCTION("""COMPUTED_VALUE"""),0.52208)</f>
        <v>0.52208</v>
      </c>
      <c r="T60" s="298">
        <f>IFERROR(__xludf.DUMMYFUNCTION("""COMPUTED_VALUE"""),0.52249)</f>
        <v>0.52249</v>
      </c>
      <c r="U60" s="298">
        <f>IFERROR(__xludf.DUMMYFUNCTION("""COMPUTED_VALUE"""),0.52292)</f>
        <v>0.52292</v>
      </c>
      <c r="V60" s="298">
        <f>IFERROR(__xludf.DUMMYFUNCTION("""COMPUTED_VALUE"""),0.52356)</f>
        <v>0.52356</v>
      </c>
      <c r="W60" s="298">
        <f>IFERROR(__xludf.DUMMYFUNCTION("""COMPUTED_VALUE"""),0.52415)</f>
        <v>0.52415</v>
      </c>
      <c r="X60" s="298">
        <f>IFERROR(__xludf.DUMMYFUNCTION("""COMPUTED_VALUE"""),0.5255)</f>
        <v>0.5255</v>
      </c>
      <c r="Y60" s="298">
        <f>IFERROR(__xludf.DUMMYFUNCTION("""COMPUTED_VALUE"""),0.52681)</f>
        <v>0.52681</v>
      </c>
      <c r="Z60" s="298">
        <f>IFERROR(__xludf.DUMMYFUNCTION("""COMPUTED_VALUE"""),0.52808)</f>
        <v>0.52808</v>
      </c>
      <c r="AA60" s="298">
        <f>IFERROR(__xludf.DUMMYFUNCTION("""COMPUTED_VALUE"""),0.5026)</f>
        <v>0.5026</v>
      </c>
      <c r="AB60" s="298">
        <f>IFERROR(__xludf.DUMMYFUNCTION("""COMPUTED_VALUE"""),0.5026)</f>
        <v>0.5026</v>
      </c>
      <c r="AC60" s="298">
        <f>IFERROR(__xludf.DUMMYFUNCTION("""COMPUTED_VALUE"""),0.5026)</f>
        <v>0.5026</v>
      </c>
      <c r="AD60" s="298">
        <f>IFERROR(__xludf.DUMMYFUNCTION("""COMPUTED_VALUE"""),0.5026)</f>
        <v>0.5026</v>
      </c>
      <c r="AE60" s="298">
        <f>IFERROR(__xludf.DUMMYFUNCTION("""COMPUTED_VALUE"""),0.5026)</f>
        <v>0.5026</v>
      </c>
      <c r="AF60" s="298">
        <f>IFERROR(__xludf.DUMMYFUNCTION("""COMPUTED_VALUE"""),0.5026)</f>
        <v>0.5026</v>
      </c>
      <c r="AG60" s="298">
        <f>IFERROR(__xludf.DUMMYFUNCTION("""COMPUTED_VALUE"""),0.5026)</f>
        <v>0.5026</v>
      </c>
      <c r="AH60" s="298">
        <f>IFERROR(__xludf.DUMMYFUNCTION("""COMPUTED_VALUE"""),0.5026)</f>
        <v>0.5026</v>
      </c>
      <c r="AI60" s="298">
        <f>IFERROR(__xludf.DUMMYFUNCTION("""COMPUTED_VALUE"""),0.5026)</f>
        <v>0.5026</v>
      </c>
      <c r="AJ60" s="298">
        <f>IFERROR(__xludf.DUMMYFUNCTION("""COMPUTED_VALUE"""),0.5026)</f>
        <v>0.5026</v>
      </c>
      <c r="AK60" s="298">
        <f>IFERROR(__xludf.DUMMYFUNCTION("""COMPUTED_VALUE"""),0.5026)</f>
        <v>0.5026</v>
      </c>
      <c r="AL60" s="298">
        <f>IFERROR(__xludf.DUMMYFUNCTION("""COMPUTED_VALUE"""),0.5026)</f>
        <v>0.5026</v>
      </c>
      <c r="AM60" s="298">
        <f>IFERROR(__xludf.DUMMYFUNCTION("""COMPUTED_VALUE"""),0.5026)</f>
        <v>0.5026</v>
      </c>
      <c r="AN60" s="298">
        <f>IFERROR(__xludf.DUMMYFUNCTION("""COMPUTED_VALUE"""),0.4786)</f>
        <v>0.4786</v>
      </c>
      <c r="AO60" s="298">
        <f>IFERROR(__xludf.DUMMYFUNCTION("""COMPUTED_VALUE"""),0.4786)</f>
        <v>0.4786</v>
      </c>
      <c r="AP60" s="298">
        <f>IFERROR(__xludf.DUMMYFUNCTION("""COMPUTED_VALUE"""),0.4786)</f>
        <v>0.4786</v>
      </c>
      <c r="AQ60" s="298">
        <f>IFERROR(__xludf.DUMMYFUNCTION("""COMPUTED_VALUE"""),0.4786)</f>
        <v>0.4786</v>
      </c>
      <c r="AR60" s="298">
        <f>IFERROR(__xludf.DUMMYFUNCTION("""COMPUTED_VALUE"""),0.4786)</f>
        <v>0.4786</v>
      </c>
      <c r="AS60" s="298">
        <f>IFERROR(__xludf.DUMMYFUNCTION("""COMPUTED_VALUE"""),0.4786)</f>
        <v>0.4786</v>
      </c>
      <c r="AT60" s="298">
        <f>IFERROR(__xludf.DUMMYFUNCTION("""COMPUTED_VALUE"""),0.4786)</f>
        <v>0.4786</v>
      </c>
      <c r="AU60" s="298">
        <f>IFERROR(__xludf.DUMMYFUNCTION("""COMPUTED_VALUE"""),0.4786)</f>
        <v>0.4786</v>
      </c>
      <c r="AV60" s="298">
        <f>IFERROR(__xludf.DUMMYFUNCTION("""COMPUTED_VALUE"""),0.4786)</f>
        <v>0.4786</v>
      </c>
      <c r="AW60" s="298">
        <f>IFERROR(__xludf.DUMMYFUNCTION("""COMPUTED_VALUE"""),0.4786)</f>
        <v>0.4786</v>
      </c>
      <c r="AX60" s="298">
        <f>IFERROR(__xludf.DUMMYFUNCTION("""COMPUTED_VALUE"""),0.4786)</f>
        <v>0.4786</v>
      </c>
      <c r="AY60" s="298">
        <f>IFERROR(__xludf.DUMMYFUNCTION("""COMPUTED_VALUE"""),0.4786)</f>
        <v>0.4786</v>
      </c>
      <c r="AZ60" s="298">
        <f>IFERROR(__xludf.DUMMYFUNCTION("""COMPUTED_VALUE"""),0.4786)</f>
        <v>0.4786</v>
      </c>
      <c r="BA60" s="298">
        <f>IFERROR(__xludf.DUMMYFUNCTION("""COMPUTED_VALUE"""),0.4276)</f>
        <v>0.4276</v>
      </c>
      <c r="BB60" s="298">
        <f>IFERROR(__xludf.DUMMYFUNCTION("""COMPUTED_VALUE"""),0.4276)</f>
        <v>0.4276</v>
      </c>
      <c r="BC60" s="298">
        <f>IFERROR(__xludf.DUMMYFUNCTION("""COMPUTED_VALUE"""),0.4276)</f>
        <v>0.4276</v>
      </c>
      <c r="BD60" s="298">
        <f>IFERROR(__xludf.DUMMYFUNCTION("""COMPUTED_VALUE"""),0.4276)</f>
        <v>0.4276</v>
      </c>
      <c r="BE60" s="298">
        <f>IFERROR(__xludf.DUMMYFUNCTION("""COMPUTED_VALUE"""),0.4276)</f>
        <v>0.4276</v>
      </c>
      <c r="BF60" s="298">
        <f>IFERROR(__xludf.DUMMYFUNCTION("""COMPUTED_VALUE"""),0.4276)</f>
        <v>0.4276</v>
      </c>
      <c r="BG60" s="298">
        <f>IFERROR(__xludf.DUMMYFUNCTION("""COMPUTED_VALUE"""),0.4276)</f>
        <v>0.4276</v>
      </c>
      <c r="BH60" s="298">
        <f>IFERROR(__xludf.DUMMYFUNCTION("""COMPUTED_VALUE"""),0.4276)</f>
        <v>0.4276</v>
      </c>
      <c r="BI60" s="298">
        <f>IFERROR(__xludf.DUMMYFUNCTION("""COMPUTED_VALUE"""),0.4276)</f>
        <v>0.4276</v>
      </c>
      <c r="BJ60" s="298">
        <f>IFERROR(__xludf.DUMMYFUNCTION("""COMPUTED_VALUE"""),0.4276)</f>
        <v>0.4276</v>
      </c>
      <c r="BK60" s="298">
        <f>IFERROR(__xludf.DUMMYFUNCTION("""COMPUTED_VALUE"""),0.4276)</f>
        <v>0.4276</v>
      </c>
      <c r="BL60" s="298">
        <f>IFERROR(__xludf.DUMMYFUNCTION("""COMPUTED_VALUE"""),0.4276)</f>
        <v>0.4276</v>
      </c>
      <c r="BM60" s="298">
        <f>IFERROR(__xludf.DUMMYFUNCTION("""COMPUTED_VALUE"""),0.4276)</f>
        <v>0.4276</v>
      </c>
      <c r="BN60" s="298">
        <f>IFERROR(__xludf.DUMMYFUNCTION("""COMPUTED_VALUE"""),0.4276)</f>
        <v>0.4276</v>
      </c>
    </row>
    <row r="61">
      <c r="L61" s="292"/>
      <c r="M61" s="292">
        <f>IFERROR(__xludf.DUMMYFUNCTION("""COMPUTED_VALUE"""),7.0)</f>
        <v>7</v>
      </c>
      <c r="N61" s="298">
        <f>IFERROR(__xludf.DUMMYFUNCTION("""COMPUTED_VALUE"""),0.01595)</f>
        <v>0.01595</v>
      </c>
      <c r="O61" s="298">
        <f>IFERROR(__xludf.DUMMYFUNCTION("""COMPUTED_VALUE"""),0.01639)</f>
        <v>0.01639</v>
      </c>
      <c r="P61" s="298">
        <f>IFERROR(__xludf.DUMMYFUNCTION("""COMPUTED_VALUE"""),0.01614)</f>
        <v>0.01614</v>
      </c>
      <c r="Q61" s="298">
        <f>IFERROR(__xludf.DUMMYFUNCTION("""COMPUTED_VALUE"""),0.01617)</f>
        <v>0.01617</v>
      </c>
      <c r="R61" s="298">
        <f>IFERROR(__xludf.DUMMYFUNCTION("""COMPUTED_VALUE"""),0.01554)</f>
        <v>0.01554</v>
      </c>
      <c r="S61" s="298">
        <f>IFERROR(__xludf.DUMMYFUNCTION("""COMPUTED_VALUE"""),0.01582)</f>
        <v>0.01582</v>
      </c>
      <c r="T61" s="298">
        <f>IFERROR(__xludf.DUMMYFUNCTION("""COMPUTED_VALUE"""),0.01565)</f>
        <v>0.01565</v>
      </c>
      <c r="U61" s="298">
        <f>IFERROR(__xludf.DUMMYFUNCTION("""COMPUTED_VALUE"""),0.01561)</f>
        <v>0.01561</v>
      </c>
      <c r="V61" s="298">
        <f>IFERROR(__xludf.DUMMYFUNCTION("""COMPUTED_VALUE"""),0.01593)</f>
        <v>0.01593</v>
      </c>
      <c r="W61" s="298">
        <f>IFERROR(__xludf.DUMMYFUNCTION("""COMPUTED_VALUE"""),0.01576)</f>
        <v>0.01576</v>
      </c>
      <c r="X61" s="298">
        <f>IFERROR(__xludf.DUMMYFUNCTION("""COMPUTED_VALUE"""),0.01585)</f>
        <v>0.01585</v>
      </c>
      <c r="Y61" s="298">
        <f>IFERROR(__xludf.DUMMYFUNCTION("""COMPUTED_VALUE"""),0.01594)</f>
        <v>0.01594</v>
      </c>
      <c r="Z61" s="298">
        <f>IFERROR(__xludf.DUMMYFUNCTION("""COMPUTED_VALUE"""),0.01615)</f>
        <v>0.01615</v>
      </c>
      <c r="AA61" s="298">
        <f>IFERROR(__xludf.DUMMYFUNCTION("""COMPUTED_VALUE"""),0.0183)</f>
        <v>0.0183</v>
      </c>
      <c r="AB61" s="298">
        <f>IFERROR(__xludf.DUMMYFUNCTION("""COMPUTED_VALUE"""),0.0183)</f>
        <v>0.0183</v>
      </c>
      <c r="AC61" s="298">
        <f>IFERROR(__xludf.DUMMYFUNCTION("""COMPUTED_VALUE"""),0.0183)</f>
        <v>0.0183</v>
      </c>
      <c r="AD61" s="298">
        <f>IFERROR(__xludf.DUMMYFUNCTION("""COMPUTED_VALUE"""),0.0183)</f>
        <v>0.0183</v>
      </c>
      <c r="AE61" s="298">
        <f>IFERROR(__xludf.DUMMYFUNCTION("""COMPUTED_VALUE"""),0.0183)</f>
        <v>0.0183</v>
      </c>
      <c r="AF61" s="298">
        <f>IFERROR(__xludf.DUMMYFUNCTION("""COMPUTED_VALUE"""),0.0183)</f>
        <v>0.0183</v>
      </c>
      <c r="AG61" s="298">
        <f>IFERROR(__xludf.DUMMYFUNCTION("""COMPUTED_VALUE"""),0.0183)</f>
        <v>0.0183</v>
      </c>
      <c r="AH61" s="298">
        <f>IFERROR(__xludf.DUMMYFUNCTION("""COMPUTED_VALUE"""),0.0183)</f>
        <v>0.0183</v>
      </c>
      <c r="AI61" s="298">
        <f>IFERROR(__xludf.DUMMYFUNCTION("""COMPUTED_VALUE"""),0.0183)</f>
        <v>0.0183</v>
      </c>
      <c r="AJ61" s="298">
        <f>IFERROR(__xludf.DUMMYFUNCTION("""COMPUTED_VALUE"""),0.0183)</f>
        <v>0.0183</v>
      </c>
      <c r="AK61" s="298">
        <f>IFERROR(__xludf.DUMMYFUNCTION("""COMPUTED_VALUE"""),0.0183)</f>
        <v>0.0183</v>
      </c>
      <c r="AL61" s="298">
        <f>IFERROR(__xludf.DUMMYFUNCTION("""COMPUTED_VALUE"""),0.0183)</f>
        <v>0.0183</v>
      </c>
      <c r="AM61" s="298">
        <f>IFERROR(__xludf.DUMMYFUNCTION("""COMPUTED_VALUE"""),0.0183)</f>
        <v>0.0183</v>
      </c>
      <c r="AN61" s="298">
        <f>IFERROR(__xludf.DUMMYFUNCTION("""COMPUTED_VALUE"""),0.0183)</f>
        <v>0.0183</v>
      </c>
      <c r="AO61" s="298">
        <f>IFERROR(__xludf.DUMMYFUNCTION("""COMPUTED_VALUE"""),0.0183)</f>
        <v>0.0183</v>
      </c>
      <c r="AP61" s="298">
        <f>IFERROR(__xludf.DUMMYFUNCTION("""COMPUTED_VALUE"""),0.0183)</f>
        <v>0.0183</v>
      </c>
      <c r="AQ61" s="298">
        <f>IFERROR(__xludf.DUMMYFUNCTION("""COMPUTED_VALUE"""),0.0183)</f>
        <v>0.0183</v>
      </c>
      <c r="AR61" s="298">
        <f>IFERROR(__xludf.DUMMYFUNCTION("""COMPUTED_VALUE"""),0.0183)</f>
        <v>0.0183</v>
      </c>
      <c r="AS61" s="298">
        <f>IFERROR(__xludf.DUMMYFUNCTION("""COMPUTED_VALUE"""),0.0183)</f>
        <v>0.0183</v>
      </c>
      <c r="AT61" s="298">
        <f>IFERROR(__xludf.DUMMYFUNCTION("""COMPUTED_VALUE"""),0.0183)</f>
        <v>0.0183</v>
      </c>
      <c r="AU61" s="298">
        <f>IFERROR(__xludf.DUMMYFUNCTION("""COMPUTED_VALUE"""),0.0183)</f>
        <v>0.0183</v>
      </c>
      <c r="AV61" s="298">
        <f>IFERROR(__xludf.DUMMYFUNCTION("""COMPUTED_VALUE"""),0.0183)</f>
        <v>0.0183</v>
      </c>
      <c r="AW61" s="298">
        <f>IFERROR(__xludf.DUMMYFUNCTION("""COMPUTED_VALUE"""),0.0183)</f>
        <v>0.0183</v>
      </c>
      <c r="AX61" s="298">
        <f>IFERROR(__xludf.DUMMYFUNCTION("""COMPUTED_VALUE"""),0.0183)</f>
        <v>0.0183</v>
      </c>
      <c r="AY61" s="298">
        <f>IFERROR(__xludf.DUMMYFUNCTION("""COMPUTED_VALUE"""),0.0183)</f>
        <v>0.0183</v>
      </c>
      <c r="AZ61" s="298">
        <f>IFERROR(__xludf.DUMMYFUNCTION("""COMPUTED_VALUE"""),0.0183)</f>
        <v>0.0183</v>
      </c>
      <c r="BA61" s="298">
        <f>IFERROR(__xludf.DUMMYFUNCTION("""COMPUTED_VALUE"""),0.0183)</f>
        <v>0.0183</v>
      </c>
      <c r="BB61" s="298">
        <f>IFERROR(__xludf.DUMMYFUNCTION("""COMPUTED_VALUE"""),0.0183)</f>
        <v>0.0183</v>
      </c>
      <c r="BC61" s="298">
        <f>IFERROR(__xludf.DUMMYFUNCTION("""COMPUTED_VALUE"""),0.0183)</f>
        <v>0.0183</v>
      </c>
      <c r="BD61" s="298">
        <f>IFERROR(__xludf.DUMMYFUNCTION("""COMPUTED_VALUE"""),0.0183)</f>
        <v>0.0183</v>
      </c>
      <c r="BE61" s="298">
        <f>IFERROR(__xludf.DUMMYFUNCTION("""COMPUTED_VALUE"""),0.0183)</f>
        <v>0.0183</v>
      </c>
      <c r="BF61" s="298">
        <f>IFERROR(__xludf.DUMMYFUNCTION("""COMPUTED_VALUE"""),0.0183)</f>
        <v>0.0183</v>
      </c>
      <c r="BG61" s="298">
        <f>IFERROR(__xludf.DUMMYFUNCTION("""COMPUTED_VALUE"""),0.0183)</f>
        <v>0.0183</v>
      </c>
      <c r="BH61" s="298">
        <f>IFERROR(__xludf.DUMMYFUNCTION("""COMPUTED_VALUE"""),0.0183)</f>
        <v>0.0183</v>
      </c>
      <c r="BI61" s="298">
        <f>IFERROR(__xludf.DUMMYFUNCTION("""COMPUTED_VALUE"""),0.0183)</f>
        <v>0.0183</v>
      </c>
      <c r="BJ61" s="298">
        <f>IFERROR(__xludf.DUMMYFUNCTION("""COMPUTED_VALUE"""),0.0183)</f>
        <v>0.0183</v>
      </c>
      <c r="BK61" s="298">
        <f>IFERROR(__xludf.DUMMYFUNCTION("""COMPUTED_VALUE"""),0.0183)</f>
        <v>0.0183</v>
      </c>
      <c r="BL61" s="298">
        <f>IFERROR(__xludf.DUMMYFUNCTION("""COMPUTED_VALUE"""),0.0183)</f>
        <v>0.0183</v>
      </c>
      <c r="BM61" s="298">
        <f>IFERROR(__xludf.DUMMYFUNCTION("""COMPUTED_VALUE"""),0.0183)</f>
        <v>0.0183</v>
      </c>
      <c r="BN61" s="298">
        <f>IFERROR(__xludf.DUMMYFUNCTION("""COMPUTED_VALUE"""),0.0183)</f>
        <v>0.0183</v>
      </c>
    </row>
    <row r="62">
      <c r="L62" s="292"/>
      <c r="M62" s="292">
        <f>IFERROR(__xludf.DUMMYFUNCTION("""COMPUTED_VALUE"""),8.0)</f>
        <v>8</v>
      </c>
      <c r="N62" s="298">
        <f>IFERROR(__xludf.DUMMYFUNCTION("""COMPUTED_VALUE"""),0.20921)</f>
        <v>0.20921</v>
      </c>
      <c r="O62" s="298">
        <f>IFERROR(__xludf.DUMMYFUNCTION("""COMPUTED_VALUE"""),0.21242)</f>
        <v>0.21242</v>
      </c>
      <c r="P62" s="298">
        <f>IFERROR(__xludf.DUMMYFUNCTION("""COMPUTED_VALUE"""),0.21055)</f>
        <v>0.21055</v>
      </c>
      <c r="Q62" s="298">
        <f>IFERROR(__xludf.DUMMYFUNCTION("""COMPUTED_VALUE"""),0.20915)</f>
        <v>0.20915</v>
      </c>
      <c r="R62" s="298">
        <f>IFERROR(__xludf.DUMMYFUNCTION("""COMPUTED_VALUE"""),0.20946)</f>
        <v>0.20946</v>
      </c>
      <c r="S62" s="298">
        <f>IFERROR(__xludf.DUMMYFUNCTION("""COMPUTED_VALUE"""),0.20831)</f>
        <v>0.20831</v>
      </c>
      <c r="T62" s="298">
        <f>IFERROR(__xludf.DUMMYFUNCTION("""COMPUTED_VALUE"""),0.20828)</f>
        <v>0.20828</v>
      </c>
      <c r="U62" s="298">
        <f>IFERROR(__xludf.DUMMYFUNCTION("""COMPUTED_VALUE"""),0.20831)</f>
        <v>0.20831</v>
      </c>
      <c r="V62" s="298">
        <f>IFERROR(__xludf.DUMMYFUNCTION("""COMPUTED_VALUE"""),0.20869)</f>
        <v>0.20869</v>
      </c>
      <c r="W62" s="298">
        <f>IFERROR(__xludf.DUMMYFUNCTION("""COMPUTED_VALUE"""),0.20898)</f>
        <v>0.20898</v>
      </c>
      <c r="X62" s="298">
        <f>IFERROR(__xludf.DUMMYFUNCTION("""COMPUTED_VALUE"""),0.20986)</f>
        <v>0.20986</v>
      </c>
      <c r="Y62" s="298">
        <f>IFERROR(__xludf.DUMMYFUNCTION("""COMPUTED_VALUE"""),0.21087)</f>
        <v>0.21087</v>
      </c>
      <c r="Z62" s="298">
        <f>IFERROR(__xludf.DUMMYFUNCTION("""COMPUTED_VALUE"""),0.21115)</f>
        <v>0.21115</v>
      </c>
      <c r="AA62" s="298">
        <f>IFERROR(__xludf.DUMMYFUNCTION("""COMPUTED_VALUE"""),0.2292)</f>
        <v>0.2292</v>
      </c>
      <c r="AB62" s="298">
        <f>IFERROR(__xludf.DUMMYFUNCTION("""COMPUTED_VALUE"""),0.2292)</f>
        <v>0.2292</v>
      </c>
      <c r="AC62" s="298">
        <f>IFERROR(__xludf.DUMMYFUNCTION("""COMPUTED_VALUE"""),0.2292)</f>
        <v>0.2292</v>
      </c>
      <c r="AD62" s="298">
        <f>IFERROR(__xludf.DUMMYFUNCTION("""COMPUTED_VALUE"""),0.2292)</f>
        <v>0.2292</v>
      </c>
      <c r="AE62" s="298">
        <f>IFERROR(__xludf.DUMMYFUNCTION("""COMPUTED_VALUE"""),0.2292)</f>
        <v>0.2292</v>
      </c>
      <c r="AF62" s="298">
        <f>IFERROR(__xludf.DUMMYFUNCTION("""COMPUTED_VALUE"""),0.2292)</f>
        <v>0.2292</v>
      </c>
      <c r="AG62" s="298">
        <f>IFERROR(__xludf.DUMMYFUNCTION("""COMPUTED_VALUE"""),0.2292)</f>
        <v>0.2292</v>
      </c>
      <c r="AH62" s="298">
        <f>IFERROR(__xludf.DUMMYFUNCTION("""COMPUTED_VALUE"""),0.2292)</f>
        <v>0.2292</v>
      </c>
      <c r="AI62" s="298">
        <f>IFERROR(__xludf.DUMMYFUNCTION("""COMPUTED_VALUE"""),0.2292)</f>
        <v>0.2292</v>
      </c>
      <c r="AJ62" s="298">
        <f>IFERROR(__xludf.DUMMYFUNCTION("""COMPUTED_VALUE"""),0.2292)</f>
        <v>0.2292</v>
      </c>
      <c r="AK62" s="298">
        <f>IFERROR(__xludf.DUMMYFUNCTION("""COMPUTED_VALUE"""),0.2292)</f>
        <v>0.2292</v>
      </c>
      <c r="AL62" s="298">
        <f>IFERROR(__xludf.DUMMYFUNCTION("""COMPUTED_VALUE"""),0.2292)</f>
        <v>0.2292</v>
      </c>
      <c r="AM62" s="298">
        <f>IFERROR(__xludf.DUMMYFUNCTION("""COMPUTED_VALUE"""),0.2292)</f>
        <v>0.2292</v>
      </c>
      <c r="AN62" s="298">
        <f>IFERROR(__xludf.DUMMYFUNCTION("""COMPUTED_VALUE"""),0.2532)</f>
        <v>0.2532</v>
      </c>
      <c r="AO62" s="298">
        <f>IFERROR(__xludf.DUMMYFUNCTION("""COMPUTED_VALUE"""),0.2532)</f>
        <v>0.2532</v>
      </c>
      <c r="AP62" s="298">
        <f>IFERROR(__xludf.DUMMYFUNCTION("""COMPUTED_VALUE"""),0.2532)</f>
        <v>0.2532</v>
      </c>
      <c r="AQ62" s="298">
        <f>IFERROR(__xludf.DUMMYFUNCTION("""COMPUTED_VALUE"""),0.2532)</f>
        <v>0.2532</v>
      </c>
      <c r="AR62" s="298">
        <f>IFERROR(__xludf.DUMMYFUNCTION("""COMPUTED_VALUE"""),0.2532)</f>
        <v>0.2532</v>
      </c>
      <c r="AS62" s="298">
        <f>IFERROR(__xludf.DUMMYFUNCTION("""COMPUTED_VALUE"""),0.2532)</f>
        <v>0.2532</v>
      </c>
      <c r="AT62" s="298">
        <f>IFERROR(__xludf.DUMMYFUNCTION("""COMPUTED_VALUE"""),0.2532)</f>
        <v>0.2532</v>
      </c>
      <c r="AU62" s="298">
        <f>IFERROR(__xludf.DUMMYFUNCTION("""COMPUTED_VALUE"""),0.2532)</f>
        <v>0.2532</v>
      </c>
      <c r="AV62" s="298">
        <f>IFERROR(__xludf.DUMMYFUNCTION("""COMPUTED_VALUE"""),0.2532)</f>
        <v>0.2532</v>
      </c>
      <c r="AW62" s="298">
        <f>IFERROR(__xludf.DUMMYFUNCTION("""COMPUTED_VALUE"""),0.2532)</f>
        <v>0.2532</v>
      </c>
      <c r="AX62" s="298">
        <f>IFERROR(__xludf.DUMMYFUNCTION("""COMPUTED_VALUE"""),0.2532)</f>
        <v>0.2532</v>
      </c>
      <c r="AY62" s="298">
        <f>IFERROR(__xludf.DUMMYFUNCTION("""COMPUTED_VALUE"""),0.2532)</f>
        <v>0.2532</v>
      </c>
      <c r="AZ62" s="298">
        <f>IFERROR(__xludf.DUMMYFUNCTION("""COMPUTED_VALUE"""),0.2532)</f>
        <v>0.2532</v>
      </c>
      <c r="BA62" s="298">
        <f>IFERROR(__xludf.DUMMYFUNCTION("""COMPUTED_VALUE"""),0.3042)</f>
        <v>0.3042</v>
      </c>
      <c r="BB62" s="298">
        <f>IFERROR(__xludf.DUMMYFUNCTION("""COMPUTED_VALUE"""),0.3042)</f>
        <v>0.3042</v>
      </c>
      <c r="BC62" s="298">
        <f>IFERROR(__xludf.DUMMYFUNCTION("""COMPUTED_VALUE"""),0.3042)</f>
        <v>0.3042</v>
      </c>
      <c r="BD62" s="298">
        <f>IFERROR(__xludf.DUMMYFUNCTION("""COMPUTED_VALUE"""),0.3042)</f>
        <v>0.3042</v>
      </c>
      <c r="BE62" s="298">
        <f>IFERROR(__xludf.DUMMYFUNCTION("""COMPUTED_VALUE"""),0.3042)</f>
        <v>0.3042</v>
      </c>
      <c r="BF62" s="298">
        <f>IFERROR(__xludf.DUMMYFUNCTION("""COMPUTED_VALUE"""),0.3042)</f>
        <v>0.3042</v>
      </c>
      <c r="BG62" s="298">
        <f>IFERROR(__xludf.DUMMYFUNCTION("""COMPUTED_VALUE"""),0.3042)</f>
        <v>0.3042</v>
      </c>
      <c r="BH62" s="298">
        <f>IFERROR(__xludf.DUMMYFUNCTION("""COMPUTED_VALUE"""),0.3042)</f>
        <v>0.3042</v>
      </c>
      <c r="BI62" s="298">
        <f>IFERROR(__xludf.DUMMYFUNCTION("""COMPUTED_VALUE"""),0.3042)</f>
        <v>0.3042</v>
      </c>
      <c r="BJ62" s="298">
        <f>IFERROR(__xludf.DUMMYFUNCTION("""COMPUTED_VALUE"""),0.3042)</f>
        <v>0.3042</v>
      </c>
      <c r="BK62" s="298">
        <f>IFERROR(__xludf.DUMMYFUNCTION("""COMPUTED_VALUE"""),0.3042)</f>
        <v>0.3042</v>
      </c>
      <c r="BL62" s="298">
        <f>IFERROR(__xludf.DUMMYFUNCTION("""COMPUTED_VALUE"""),0.3042)</f>
        <v>0.3042</v>
      </c>
      <c r="BM62" s="298">
        <f>IFERROR(__xludf.DUMMYFUNCTION("""COMPUTED_VALUE"""),0.3042)</f>
        <v>0.3042</v>
      </c>
      <c r="BN62" s="298">
        <f>IFERROR(__xludf.DUMMYFUNCTION("""COMPUTED_VALUE"""),0.3042)</f>
        <v>0.3042</v>
      </c>
    </row>
    <row r="63">
      <c r="L63" s="292"/>
      <c r="M63" s="292">
        <f>IFERROR(__xludf.DUMMYFUNCTION("""COMPUTED_VALUE"""),9.0)</f>
        <v>9</v>
      </c>
      <c r="N63" s="298">
        <f>IFERROR(__xludf.DUMMYFUNCTION("""COMPUTED_VALUE"""),0.00638)</f>
        <v>0.00638</v>
      </c>
      <c r="O63" s="298">
        <f>IFERROR(__xludf.DUMMYFUNCTION("""COMPUTED_VALUE"""),0.00628)</f>
        <v>0.00628</v>
      </c>
      <c r="P63" s="298">
        <f>IFERROR(__xludf.DUMMYFUNCTION("""COMPUTED_VALUE"""),0.00646)</f>
        <v>0.00646</v>
      </c>
      <c r="Q63" s="298">
        <f>IFERROR(__xludf.DUMMYFUNCTION("""COMPUTED_VALUE"""),0.00654)</f>
        <v>0.00654</v>
      </c>
      <c r="R63" s="298">
        <f>IFERROR(__xludf.DUMMYFUNCTION("""COMPUTED_VALUE"""),0.00608)</f>
        <v>0.00608</v>
      </c>
      <c r="S63" s="298">
        <f>IFERROR(__xludf.DUMMYFUNCTION("""COMPUTED_VALUE"""),0.00659)</f>
        <v>0.00659</v>
      </c>
      <c r="T63" s="298">
        <f>IFERROR(__xludf.DUMMYFUNCTION("""COMPUTED_VALUE"""),0.00652)</f>
        <v>0.00652</v>
      </c>
      <c r="U63" s="298">
        <f>IFERROR(__xludf.DUMMYFUNCTION("""COMPUTED_VALUE"""),0.00631)</f>
        <v>0.00631</v>
      </c>
      <c r="V63" s="298">
        <f>IFERROR(__xludf.DUMMYFUNCTION("""COMPUTED_VALUE"""),0.0063)</f>
        <v>0.0063</v>
      </c>
      <c r="W63" s="298">
        <f>IFERROR(__xludf.DUMMYFUNCTION("""COMPUTED_VALUE"""),0.00617)</f>
        <v>0.00617</v>
      </c>
      <c r="X63" s="298">
        <f>IFERROR(__xludf.DUMMYFUNCTION("""COMPUTED_VALUE"""),0.0062)</f>
        <v>0.0062</v>
      </c>
      <c r="Y63" s="298">
        <f>IFERROR(__xludf.DUMMYFUNCTION("""COMPUTED_VALUE"""),0.00616)</f>
        <v>0.00616</v>
      </c>
      <c r="Z63" s="298">
        <f>IFERROR(__xludf.DUMMYFUNCTION("""COMPUTED_VALUE"""),0.00654)</f>
        <v>0.00654</v>
      </c>
      <c r="AA63" s="298">
        <f>IFERROR(__xludf.DUMMYFUNCTION("""COMPUTED_VALUE"""),0.0074)</f>
        <v>0.0074</v>
      </c>
      <c r="AB63" s="298">
        <f>IFERROR(__xludf.DUMMYFUNCTION("""COMPUTED_VALUE"""),0.0074)</f>
        <v>0.0074</v>
      </c>
      <c r="AC63" s="298">
        <f>IFERROR(__xludf.DUMMYFUNCTION("""COMPUTED_VALUE"""),0.0074)</f>
        <v>0.0074</v>
      </c>
      <c r="AD63" s="298">
        <f>IFERROR(__xludf.DUMMYFUNCTION("""COMPUTED_VALUE"""),0.0074)</f>
        <v>0.0074</v>
      </c>
      <c r="AE63" s="298">
        <f>IFERROR(__xludf.DUMMYFUNCTION("""COMPUTED_VALUE"""),0.0074)</f>
        <v>0.0074</v>
      </c>
      <c r="AF63" s="298">
        <f>IFERROR(__xludf.DUMMYFUNCTION("""COMPUTED_VALUE"""),0.0074)</f>
        <v>0.0074</v>
      </c>
      <c r="AG63" s="298">
        <f>IFERROR(__xludf.DUMMYFUNCTION("""COMPUTED_VALUE"""),0.0074)</f>
        <v>0.0074</v>
      </c>
      <c r="AH63" s="298">
        <f>IFERROR(__xludf.DUMMYFUNCTION("""COMPUTED_VALUE"""),0.0074)</f>
        <v>0.0074</v>
      </c>
      <c r="AI63" s="298">
        <f>IFERROR(__xludf.DUMMYFUNCTION("""COMPUTED_VALUE"""),0.0074)</f>
        <v>0.0074</v>
      </c>
      <c r="AJ63" s="298">
        <f>IFERROR(__xludf.DUMMYFUNCTION("""COMPUTED_VALUE"""),0.0074)</f>
        <v>0.0074</v>
      </c>
      <c r="AK63" s="298">
        <f>IFERROR(__xludf.DUMMYFUNCTION("""COMPUTED_VALUE"""),0.0074)</f>
        <v>0.0074</v>
      </c>
      <c r="AL63" s="298">
        <f>IFERROR(__xludf.DUMMYFUNCTION("""COMPUTED_VALUE"""),0.0074)</f>
        <v>0.0074</v>
      </c>
      <c r="AM63" s="298">
        <f>IFERROR(__xludf.DUMMYFUNCTION("""COMPUTED_VALUE"""),0.0074)</f>
        <v>0.0074</v>
      </c>
      <c r="AN63" s="298">
        <f>IFERROR(__xludf.DUMMYFUNCTION("""COMPUTED_VALUE"""),0.0074)</f>
        <v>0.0074</v>
      </c>
      <c r="AO63" s="298">
        <f>IFERROR(__xludf.DUMMYFUNCTION("""COMPUTED_VALUE"""),0.0074)</f>
        <v>0.0074</v>
      </c>
      <c r="AP63" s="298">
        <f>IFERROR(__xludf.DUMMYFUNCTION("""COMPUTED_VALUE"""),0.0074)</f>
        <v>0.0074</v>
      </c>
      <c r="AQ63" s="298">
        <f>IFERROR(__xludf.DUMMYFUNCTION("""COMPUTED_VALUE"""),0.0074)</f>
        <v>0.0074</v>
      </c>
      <c r="AR63" s="298">
        <f>IFERROR(__xludf.DUMMYFUNCTION("""COMPUTED_VALUE"""),0.0074)</f>
        <v>0.0074</v>
      </c>
      <c r="AS63" s="298">
        <f>IFERROR(__xludf.DUMMYFUNCTION("""COMPUTED_VALUE"""),0.0074)</f>
        <v>0.0074</v>
      </c>
      <c r="AT63" s="298">
        <f>IFERROR(__xludf.DUMMYFUNCTION("""COMPUTED_VALUE"""),0.0074)</f>
        <v>0.0074</v>
      </c>
      <c r="AU63" s="298">
        <f>IFERROR(__xludf.DUMMYFUNCTION("""COMPUTED_VALUE"""),0.0074)</f>
        <v>0.0074</v>
      </c>
      <c r="AV63" s="298">
        <f>IFERROR(__xludf.DUMMYFUNCTION("""COMPUTED_VALUE"""),0.0074)</f>
        <v>0.0074</v>
      </c>
      <c r="AW63" s="298">
        <f>IFERROR(__xludf.DUMMYFUNCTION("""COMPUTED_VALUE"""),0.0074)</f>
        <v>0.0074</v>
      </c>
      <c r="AX63" s="298">
        <f>IFERROR(__xludf.DUMMYFUNCTION("""COMPUTED_VALUE"""),0.0074)</f>
        <v>0.0074</v>
      </c>
      <c r="AY63" s="298">
        <f>IFERROR(__xludf.DUMMYFUNCTION("""COMPUTED_VALUE"""),0.0074)</f>
        <v>0.0074</v>
      </c>
      <c r="AZ63" s="298">
        <f>IFERROR(__xludf.DUMMYFUNCTION("""COMPUTED_VALUE"""),0.0074)</f>
        <v>0.0074</v>
      </c>
      <c r="BA63" s="298">
        <f>IFERROR(__xludf.DUMMYFUNCTION("""COMPUTED_VALUE"""),0.0074)</f>
        <v>0.0074</v>
      </c>
      <c r="BB63" s="298">
        <f>IFERROR(__xludf.DUMMYFUNCTION("""COMPUTED_VALUE"""),0.0074)</f>
        <v>0.0074</v>
      </c>
      <c r="BC63" s="298">
        <f>IFERROR(__xludf.DUMMYFUNCTION("""COMPUTED_VALUE"""),0.0074)</f>
        <v>0.0074</v>
      </c>
      <c r="BD63" s="298">
        <f>IFERROR(__xludf.DUMMYFUNCTION("""COMPUTED_VALUE"""),0.0074)</f>
        <v>0.0074</v>
      </c>
      <c r="BE63" s="298">
        <f>IFERROR(__xludf.DUMMYFUNCTION("""COMPUTED_VALUE"""),0.0074)</f>
        <v>0.0074</v>
      </c>
      <c r="BF63" s="298">
        <f>IFERROR(__xludf.DUMMYFUNCTION("""COMPUTED_VALUE"""),0.0074)</f>
        <v>0.0074</v>
      </c>
      <c r="BG63" s="298">
        <f>IFERROR(__xludf.DUMMYFUNCTION("""COMPUTED_VALUE"""),0.0074)</f>
        <v>0.0074</v>
      </c>
      <c r="BH63" s="298">
        <f>IFERROR(__xludf.DUMMYFUNCTION("""COMPUTED_VALUE"""),0.0074)</f>
        <v>0.0074</v>
      </c>
      <c r="BI63" s="298">
        <f>IFERROR(__xludf.DUMMYFUNCTION("""COMPUTED_VALUE"""),0.0074)</f>
        <v>0.0074</v>
      </c>
      <c r="BJ63" s="298">
        <f>IFERROR(__xludf.DUMMYFUNCTION("""COMPUTED_VALUE"""),0.0074)</f>
        <v>0.0074</v>
      </c>
      <c r="BK63" s="298">
        <f>IFERROR(__xludf.DUMMYFUNCTION("""COMPUTED_VALUE"""),0.0074)</f>
        <v>0.0074</v>
      </c>
      <c r="BL63" s="298">
        <f>IFERROR(__xludf.DUMMYFUNCTION("""COMPUTED_VALUE"""),0.0074)</f>
        <v>0.0074</v>
      </c>
      <c r="BM63" s="298">
        <f>IFERROR(__xludf.DUMMYFUNCTION("""COMPUTED_VALUE"""),0.0074)</f>
        <v>0.0074</v>
      </c>
      <c r="BN63" s="298">
        <f>IFERROR(__xludf.DUMMYFUNCTION("""COMPUTED_VALUE"""),0.0074)</f>
        <v>0.0074</v>
      </c>
    </row>
    <row r="64">
      <c r="L64" s="292"/>
      <c r="M64" s="292">
        <f>IFERROR(__xludf.DUMMYFUNCTION("""COMPUTED_VALUE"""),10.0)</f>
        <v>10</v>
      </c>
      <c r="N64" s="298">
        <f>IFERROR(__xludf.DUMMYFUNCTION("""COMPUTED_VALUE"""),0.11304)</f>
        <v>0.11304</v>
      </c>
      <c r="O64" s="298">
        <f>IFERROR(__xludf.DUMMYFUNCTION("""COMPUTED_VALUE"""),0.10952)</f>
        <v>0.10952</v>
      </c>
      <c r="P64" s="298">
        <f>IFERROR(__xludf.DUMMYFUNCTION("""COMPUTED_VALUE"""),0.11047)</f>
        <v>0.11047</v>
      </c>
      <c r="Q64" s="298">
        <f>IFERROR(__xludf.DUMMYFUNCTION("""COMPUTED_VALUE"""),0.1118)</f>
        <v>0.1118</v>
      </c>
      <c r="R64" s="298">
        <f>IFERROR(__xludf.DUMMYFUNCTION("""COMPUTED_VALUE"""),0.11284)</f>
        <v>0.11284</v>
      </c>
      <c r="S64" s="298">
        <f>IFERROR(__xludf.DUMMYFUNCTION("""COMPUTED_VALUE"""),0.11371)</f>
        <v>0.11371</v>
      </c>
      <c r="T64" s="298">
        <f>IFERROR(__xludf.DUMMYFUNCTION("""COMPUTED_VALUE"""),0.11375)</f>
        <v>0.11375</v>
      </c>
      <c r="U64" s="298">
        <f>IFERROR(__xludf.DUMMYFUNCTION("""COMPUTED_VALUE"""),0.11362)</f>
        <v>0.11362</v>
      </c>
      <c r="V64" s="298">
        <f>IFERROR(__xludf.DUMMYFUNCTION("""COMPUTED_VALUE"""),0.11314)</f>
        <v>0.11314</v>
      </c>
      <c r="W64" s="298">
        <f>IFERROR(__xludf.DUMMYFUNCTION("""COMPUTED_VALUE"""),0.11305)</f>
        <v>0.11305</v>
      </c>
      <c r="X64" s="298">
        <f>IFERROR(__xludf.DUMMYFUNCTION("""COMPUTED_VALUE"""),0.11199)</f>
        <v>0.11199</v>
      </c>
      <c r="Y64" s="298">
        <f>IFERROR(__xludf.DUMMYFUNCTION("""COMPUTED_VALUE"""),0.11123)</f>
        <v>0.11123</v>
      </c>
      <c r="Z64" s="298">
        <f>IFERROR(__xludf.DUMMYFUNCTION("""COMPUTED_VALUE"""),0.11077)</f>
        <v>0.11077</v>
      </c>
      <c r="AA64" s="298">
        <f>IFERROR(__xludf.DUMMYFUNCTION("""COMPUTED_VALUE"""),0.1103)</f>
        <v>0.1103</v>
      </c>
      <c r="AB64" s="298">
        <f>IFERROR(__xludf.DUMMYFUNCTION("""COMPUTED_VALUE"""),0.1103)</f>
        <v>0.1103</v>
      </c>
      <c r="AC64" s="298">
        <f>IFERROR(__xludf.DUMMYFUNCTION("""COMPUTED_VALUE"""),0.1103)</f>
        <v>0.1103</v>
      </c>
      <c r="AD64" s="298">
        <f>IFERROR(__xludf.DUMMYFUNCTION("""COMPUTED_VALUE"""),0.1103)</f>
        <v>0.1103</v>
      </c>
      <c r="AE64" s="298">
        <f>IFERROR(__xludf.DUMMYFUNCTION("""COMPUTED_VALUE"""),0.1103)</f>
        <v>0.1103</v>
      </c>
      <c r="AF64" s="298">
        <f>IFERROR(__xludf.DUMMYFUNCTION("""COMPUTED_VALUE"""),0.1103)</f>
        <v>0.1103</v>
      </c>
      <c r="AG64" s="298">
        <f>IFERROR(__xludf.DUMMYFUNCTION("""COMPUTED_VALUE"""),0.1103)</f>
        <v>0.1103</v>
      </c>
      <c r="AH64" s="298">
        <f>IFERROR(__xludf.DUMMYFUNCTION("""COMPUTED_VALUE"""),0.1103)</f>
        <v>0.1103</v>
      </c>
      <c r="AI64" s="298">
        <f>IFERROR(__xludf.DUMMYFUNCTION("""COMPUTED_VALUE"""),0.1103)</f>
        <v>0.1103</v>
      </c>
      <c r="AJ64" s="298">
        <f>IFERROR(__xludf.DUMMYFUNCTION("""COMPUTED_VALUE"""),0.1103)</f>
        <v>0.1103</v>
      </c>
      <c r="AK64" s="298">
        <f>IFERROR(__xludf.DUMMYFUNCTION("""COMPUTED_VALUE"""),0.1103)</f>
        <v>0.1103</v>
      </c>
      <c r="AL64" s="298">
        <f>IFERROR(__xludf.DUMMYFUNCTION("""COMPUTED_VALUE"""),0.1103)</f>
        <v>0.1103</v>
      </c>
      <c r="AM64" s="298">
        <f>IFERROR(__xludf.DUMMYFUNCTION("""COMPUTED_VALUE"""),0.1103)</f>
        <v>0.1103</v>
      </c>
      <c r="AN64" s="298">
        <f>IFERROR(__xludf.DUMMYFUNCTION("""COMPUTED_VALUE"""),0.1103)</f>
        <v>0.1103</v>
      </c>
      <c r="AO64" s="298">
        <f>IFERROR(__xludf.DUMMYFUNCTION("""COMPUTED_VALUE"""),0.1103)</f>
        <v>0.1103</v>
      </c>
      <c r="AP64" s="298">
        <f>IFERROR(__xludf.DUMMYFUNCTION("""COMPUTED_VALUE"""),0.1103)</f>
        <v>0.1103</v>
      </c>
      <c r="AQ64" s="298">
        <f>IFERROR(__xludf.DUMMYFUNCTION("""COMPUTED_VALUE"""),0.1103)</f>
        <v>0.1103</v>
      </c>
      <c r="AR64" s="298">
        <f>IFERROR(__xludf.DUMMYFUNCTION("""COMPUTED_VALUE"""),0.1103)</f>
        <v>0.1103</v>
      </c>
      <c r="AS64" s="298">
        <f>IFERROR(__xludf.DUMMYFUNCTION("""COMPUTED_VALUE"""),0.1103)</f>
        <v>0.1103</v>
      </c>
      <c r="AT64" s="298">
        <f>IFERROR(__xludf.DUMMYFUNCTION("""COMPUTED_VALUE"""),0.1103)</f>
        <v>0.1103</v>
      </c>
      <c r="AU64" s="298">
        <f>IFERROR(__xludf.DUMMYFUNCTION("""COMPUTED_VALUE"""),0.1103)</f>
        <v>0.1103</v>
      </c>
      <c r="AV64" s="298">
        <f>IFERROR(__xludf.DUMMYFUNCTION("""COMPUTED_VALUE"""),0.1103)</f>
        <v>0.1103</v>
      </c>
      <c r="AW64" s="298">
        <f>IFERROR(__xludf.DUMMYFUNCTION("""COMPUTED_VALUE"""),0.1103)</f>
        <v>0.1103</v>
      </c>
      <c r="AX64" s="298">
        <f>IFERROR(__xludf.DUMMYFUNCTION("""COMPUTED_VALUE"""),0.1103)</f>
        <v>0.1103</v>
      </c>
      <c r="AY64" s="298">
        <f>IFERROR(__xludf.DUMMYFUNCTION("""COMPUTED_VALUE"""),0.1103)</f>
        <v>0.1103</v>
      </c>
      <c r="AZ64" s="298">
        <f>IFERROR(__xludf.DUMMYFUNCTION("""COMPUTED_VALUE"""),0.1103)</f>
        <v>0.1103</v>
      </c>
      <c r="BA64" s="298">
        <f>IFERROR(__xludf.DUMMYFUNCTION("""COMPUTED_VALUE"""),0.1103)</f>
        <v>0.1103</v>
      </c>
      <c r="BB64" s="298">
        <f>IFERROR(__xludf.DUMMYFUNCTION("""COMPUTED_VALUE"""),0.1103)</f>
        <v>0.1103</v>
      </c>
      <c r="BC64" s="298">
        <f>IFERROR(__xludf.DUMMYFUNCTION("""COMPUTED_VALUE"""),0.1103)</f>
        <v>0.1103</v>
      </c>
      <c r="BD64" s="298">
        <f>IFERROR(__xludf.DUMMYFUNCTION("""COMPUTED_VALUE"""),0.1103)</f>
        <v>0.1103</v>
      </c>
      <c r="BE64" s="298">
        <f>IFERROR(__xludf.DUMMYFUNCTION("""COMPUTED_VALUE"""),0.1103)</f>
        <v>0.1103</v>
      </c>
      <c r="BF64" s="298">
        <f>IFERROR(__xludf.DUMMYFUNCTION("""COMPUTED_VALUE"""),0.1103)</f>
        <v>0.1103</v>
      </c>
      <c r="BG64" s="298">
        <f>IFERROR(__xludf.DUMMYFUNCTION("""COMPUTED_VALUE"""),0.1103)</f>
        <v>0.1103</v>
      </c>
      <c r="BH64" s="298">
        <f>IFERROR(__xludf.DUMMYFUNCTION("""COMPUTED_VALUE"""),0.1103)</f>
        <v>0.1103</v>
      </c>
      <c r="BI64" s="298">
        <f>IFERROR(__xludf.DUMMYFUNCTION("""COMPUTED_VALUE"""),0.1103)</f>
        <v>0.1103</v>
      </c>
      <c r="BJ64" s="298">
        <f>IFERROR(__xludf.DUMMYFUNCTION("""COMPUTED_VALUE"""),0.1103)</f>
        <v>0.1103</v>
      </c>
      <c r="BK64" s="298">
        <f>IFERROR(__xludf.DUMMYFUNCTION("""COMPUTED_VALUE"""),0.1103)</f>
        <v>0.1103</v>
      </c>
      <c r="BL64" s="298">
        <f>IFERROR(__xludf.DUMMYFUNCTION("""COMPUTED_VALUE"""),0.1103)</f>
        <v>0.1103</v>
      </c>
      <c r="BM64" s="298">
        <f>IFERROR(__xludf.DUMMYFUNCTION("""COMPUTED_VALUE"""),0.1103)</f>
        <v>0.1103</v>
      </c>
      <c r="BN64" s="298">
        <f>IFERROR(__xludf.DUMMYFUNCTION("""COMPUTED_VALUE"""),0.1103)</f>
        <v>0.1103</v>
      </c>
    </row>
    <row r="65">
      <c r="L65" s="292"/>
      <c r="M65" s="292">
        <f>IFERROR(__xludf.DUMMYFUNCTION("""COMPUTED_VALUE"""),11.0)</f>
        <v>11</v>
      </c>
      <c r="N65" s="298">
        <f>IFERROR(__xludf.DUMMYFUNCTION("""COMPUTED_VALUE"""),0.00137)</f>
        <v>0.00137</v>
      </c>
      <c r="O65" s="298">
        <f>IFERROR(__xludf.DUMMYFUNCTION("""COMPUTED_VALUE"""),0.00174)</f>
        <v>0.00174</v>
      </c>
      <c r="P65" s="298">
        <f>IFERROR(__xludf.DUMMYFUNCTION("""COMPUTED_VALUE"""),0.00179)</f>
        <v>0.00179</v>
      </c>
      <c r="Q65" s="298">
        <f>IFERROR(__xludf.DUMMYFUNCTION("""COMPUTED_VALUE"""),0.00172)</f>
        <v>0.00172</v>
      </c>
      <c r="R65" s="298">
        <f>IFERROR(__xludf.DUMMYFUNCTION("""COMPUTED_VALUE"""),0.00169)</f>
        <v>0.00169</v>
      </c>
      <c r="S65" s="298">
        <f>IFERROR(__xludf.DUMMYFUNCTION("""COMPUTED_VALUE"""),0.00198)</f>
        <v>0.00198</v>
      </c>
      <c r="T65" s="298">
        <f>IFERROR(__xludf.DUMMYFUNCTION("""COMPUTED_VALUE"""),0.00196)</f>
        <v>0.00196</v>
      </c>
      <c r="U65" s="298">
        <f>IFERROR(__xludf.DUMMYFUNCTION("""COMPUTED_VALUE"""),0.00199)</f>
        <v>0.00199</v>
      </c>
      <c r="V65" s="298">
        <f>IFERROR(__xludf.DUMMYFUNCTION("""COMPUTED_VALUE"""),0.00199)</f>
        <v>0.00199</v>
      </c>
      <c r="W65" s="298">
        <f>IFERROR(__xludf.DUMMYFUNCTION("""COMPUTED_VALUE"""),0.00171)</f>
        <v>0.00171</v>
      </c>
      <c r="X65" s="298">
        <f>IFERROR(__xludf.DUMMYFUNCTION("""COMPUTED_VALUE"""),0.00172)</f>
        <v>0.00172</v>
      </c>
      <c r="Y65" s="298">
        <f>IFERROR(__xludf.DUMMYFUNCTION("""COMPUTED_VALUE"""),0.00181)</f>
        <v>0.00181</v>
      </c>
      <c r="Z65" s="298">
        <f>IFERROR(__xludf.DUMMYFUNCTION("""COMPUTED_VALUE"""),0.00154)</f>
        <v>0.00154</v>
      </c>
      <c r="AA65" s="298">
        <f>IFERROR(__xludf.DUMMYFUNCTION("""COMPUTED_VALUE"""),0.003)</f>
        <v>0.003</v>
      </c>
      <c r="AB65" s="298">
        <f>IFERROR(__xludf.DUMMYFUNCTION("""COMPUTED_VALUE"""),0.003)</f>
        <v>0.003</v>
      </c>
      <c r="AC65" s="298">
        <f>IFERROR(__xludf.DUMMYFUNCTION("""COMPUTED_VALUE"""),0.003)</f>
        <v>0.003</v>
      </c>
      <c r="AD65" s="298">
        <f>IFERROR(__xludf.DUMMYFUNCTION("""COMPUTED_VALUE"""),0.003)</f>
        <v>0.003</v>
      </c>
      <c r="AE65" s="298">
        <f>IFERROR(__xludf.DUMMYFUNCTION("""COMPUTED_VALUE"""),0.003)</f>
        <v>0.003</v>
      </c>
      <c r="AF65" s="298">
        <f>IFERROR(__xludf.DUMMYFUNCTION("""COMPUTED_VALUE"""),0.003)</f>
        <v>0.003</v>
      </c>
      <c r="AG65" s="298">
        <f>IFERROR(__xludf.DUMMYFUNCTION("""COMPUTED_VALUE"""),0.003)</f>
        <v>0.003</v>
      </c>
      <c r="AH65" s="298">
        <f>IFERROR(__xludf.DUMMYFUNCTION("""COMPUTED_VALUE"""),0.003)</f>
        <v>0.003</v>
      </c>
      <c r="AI65" s="298">
        <f>IFERROR(__xludf.DUMMYFUNCTION("""COMPUTED_VALUE"""),0.003)</f>
        <v>0.003</v>
      </c>
      <c r="AJ65" s="298">
        <f>IFERROR(__xludf.DUMMYFUNCTION("""COMPUTED_VALUE"""),0.003)</f>
        <v>0.003</v>
      </c>
      <c r="AK65" s="298">
        <f>IFERROR(__xludf.DUMMYFUNCTION("""COMPUTED_VALUE"""),0.003)</f>
        <v>0.003</v>
      </c>
      <c r="AL65" s="298">
        <f>IFERROR(__xludf.DUMMYFUNCTION("""COMPUTED_VALUE"""),0.003)</f>
        <v>0.003</v>
      </c>
      <c r="AM65" s="298">
        <f>IFERROR(__xludf.DUMMYFUNCTION("""COMPUTED_VALUE"""),0.003)</f>
        <v>0.003</v>
      </c>
      <c r="AN65" s="298">
        <f>IFERROR(__xludf.DUMMYFUNCTION("""COMPUTED_VALUE"""),0.003)</f>
        <v>0.003</v>
      </c>
      <c r="AO65" s="298">
        <f>IFERROR(__xludf.DUMMYFUNCTION("""COMPUTED_VALUE"""),0.003)</f>
        <v>0.003</v>
      </c>
      <c r="AP65" s="298">
        <f>IFERROR(__xludf.DUMMYFUNCTION("""COMPUTED_VALUE"""),0.003)</f>
        <v>0.003</v>
      </c>
      <c r="AQ65" s="298">
        <f>IFERROR(__xludf.DUMMYFUNCTION("""COMPUTED_VALUE"""),0.003)</f>
        <v>0.003</v>
      </c>
      <c r="AR65" s="298">
        <f>IFERROR(__xludf.DUMMYFUNCTION("""COMPUTED_VALUE"""),0.003)</f>
        <v>0.003</v>
      </c>
      <c r="AS65" s="298">
        <f>IFERROR(__xludf.DUMMYFUNCTION("""COMPUTED_VALUE"""),0.003)</f>
        <v>0.003</v>
      </c>
      <c r="AT65" s="298">
        <f>IFERROR(__xludf.DUMMYFUNCTION("""COMPUTED_VALUE"""),0.003)</f>
        <v>0.003</v>
      </c>
      <c r="AU65" s="298">
        <f>IFERROR(__xludf.DUMMYFUNCTION("""COMPUTED_VALUE"""),0.003)</f>
        <v>0.003</v>
      </c>
      <c r="AV65" s="298">
        <f>IFERROR(__xludf.DUMMYFUNCTION("""COMPUTED_VALUE"""),0.003)</f>
        <v>0.003</v>
      </c>
      <c r="AW65" s="298">
        <f>IFERROR(__xludf.DUMMYFUNCTION("""COMPUTED_VALUE"""),0.003)</f>
        <v>0.003</v>
      </c>
      <c r="AX65" s="298">
        <f>IFERROR(__xludf.DUMMYFUNCTION("""COMPUTED_VALUE"""),0.003)</f>
        <v>0.003</v>
      </c>
      <c r="AY65" s="298">
        <f>IFERROR(__xludf.DUMMYFUNCTION("""COMPUTED_VALUE"""),0.003)</f>
        <v>0.003</v>
      </c>
      <c r="AZ65" s="298">
        <f>IFERROR(__xludf.DUMMYFUNCTION("""COMPUTED_VALUE"""),0.003)</f>
        <v>0.003</v>
      </c>
      <c r="BA65" s="298">
        <f>IFERROR(__xludf.DUMMYFUNCTION("""COMPUTED_VALUE"""),0.003)</f>
        <v>0.003</v>
      </c>
      <c r="BB65" s="298">
        <f>IFERROR(__xludf.DUMMYFUNCTION("""COMPUTED_VALUE"""),0.003)</f>
        <v>0.003</v>
      </c>
      <c r="BC65" s="298">
        <f>IFERROR(__xludf.DUMMYFUNCTION("""COMPUTED_VALUE"""),0.003)</f>
        <v>0.003</v>
      </c>
      <c r="BD65" s="298">
        <f>IFERROR(__xludf.DUMMYFUNCTION("""COMPUTED_VALUE"""),0.003)</f>
        <v>0.003</v>
      </c>
      <c r="BE65" s="298">
        <f>IFERROR(__xludf.DUMMYFUNCTION("""COMPUTED_VALUE"""),0.003)</f>
        <v>0.003</v>
      </c>
      <c r="BF65" s="298">
        <f>IFERROR(__xludf.DUMMYFUNCTION("""COMPUTED_VALUE"""),0.003)</f>
        <v>0.003</v>
      </c>
      <c r="BG65" s="298">
        <f>IFERROR(__xludf.DUMMYFUNCTION("""COMPUTED_VALUE"""),0.003)</f>
        <v>0.003</v>
      </c>
      <c r="BH65" s="298">
        <f>IFERROR(__xludf.DUMMYFUNCTION("""COMPUTED_VALUE"""),0.003)</f>
        <v>0.003</v>
      </c>
      <c r="BI65" s="298">
        <f>IFERROR(__xludf.DUMMYFUNCTION("""COMPUTED_VALUE"""),0.003)</f>
        <v>0.003</v>
      </c>
      <c r="BJ65" s="298">
        <f>IFERROR(__xludf.DUMMYFUNCTION("""COMPUTED_VALUE"""),0.003)</f>
        <v>0.003</v>
      </c>
      <c r="BK65" s="298">
        <f>IFERROR(__xludf.DUMMYFUNCTION("""COMPUTED_VALUE"""),0.003)</f>
        <v>0.003</v>
      </c>
      <c r="BL65" s="298">
        <f>IFERROR(__xludf.DUMMYFUNCTION("""COMPUTED_VALUE"""),0.003)</f>
        <v>0.003</v>
      </c>
      <c r="BM65" s="298">
        <f>IFERROR(__xludf.DUMMYFUNCTION("""COMPUTED_VALUE"""),0.003)</f>
        <v>0.003</v>
      </c>
      <c r="BN65" s="298">
        <f>IFERROR(__xludf.DUMMYFUNCTION("""COMPUTED_VALUE"""),0.003)</f>
        <v>0.003</v>
      </c>
    </row>
    <row r="66">
      <c r="L66" s="292"/>
      <c r="M66" s="292">
        <f>IFERROR(__xludf.DUMMYFUNCTION("""COMPUTED_VALUE"""),12.0)</f>
        <v>12</v>
      </c>
      <c r="N66" s="298">
        <f>IFERROR(__xludf.DUMMYFUNCTION("""COMPUTED_VALUE"""),0.05424)</f>
        <v>0.05424</v>
      </c>
      <c r="O66" s="298">
        <f>IFERROR(__xludf.DUMMYFUNCTION("""COMPUTED_VALUE"""),0.05371)</f>
        <v>0.05371</v>
      </c>
      <c r="P66" s="298">
        <f>IFERROR(__xludf.DUMMYFUNCTION("""COMPUTED_VALUE"""),0.05488)</f>
        <v>0.05488</v>
      </c>
      <c r="Q66" s="298">
        <f>IFERROR(__xludf.DUMMYFUNCTION("""COMPUTED_VALUE"""),0.05504)</f>
        <v>0.05504</v>
      </c>
      <c r="R66" s="298">
        <f>IFERROR(__xludf.DUMMYFUNCTION("""COMPUTED_VALUE"""),0.05574)</f>
        <v>0.05574</v>
      </c>
      <c r="S66" s="298">
        <f>IFERROR(__xludf.DUMMYFUNCTION("""COMPUTED_VALUE"""),0.05537)</f>
        <v>0.05537</v>
      </c>
      <c r="T66" s="298">
        <f>IFERROR(__xludf.DUMMYFUNCTION("""COMPUTED_VALUE"""),0.05541)</f>
        <v>0.05541</v>
      </c>
      <c r="U66" s="298">
        <f>IFERROR(__xludf.DUMMYFUNCTION("""COMPUTED_VALUE"""),0.05581)</f>
        <v>0.05581</v>
      </c>
      <c r="V66" s="298">
        <f>IFERROR(__xludf.DUMMYFUNCTION("""COMPUTED_VALUE"""),0.05574)</f>
        <v>0.05574</v>
      </c>
      <c r="W66" s="298">
        <f>IFERROR(__xludf.DUMMYFUNCTION("""COMPUTED_VALUE"""),0.0555)</f>
        <v>0.0555</v>
      </c>
      <c r="X66" s="298">
        <f>IFERROR(__xludf.DUMMYFUNCTION("""COMPUTED_VALUE"""),0.05548)</f>
        <v>0.05548</v>
      </c>
      <c r="Y66" s="298">
        <f>IFERROR(__xludf.DUMMYFUNCTION("""COMPUTED_VALUE"""),0.05471)</f>
        <v>0.05471</v>
      </c>
      <c r="Z66" s="298">
        <f>IFERROR(__xludf.DUMMYFUNCTION("""COMPUTED_VALUE"""),0.05462)</f>
        <v>0.05462</v>
      </c>
      <c r="AA66" s="298">
        <f>IFERROR(__xludf.DUMMYFUNCTION("""COMPUTED_VALUE"""),0.0508)</f>
        <v>0.0508</v>
      </c>
      <c r="AB66" s="298">
        <f>IFERROR(__xludf.DUMMYFUNCTION("""COMPUTED_VALUE"""),0.0508)</f>
        <v>0.0508</v>
      </c>
      <c r="AC66" s="298">
        <f>IFERROR(__xludf.DUMMYFUNCTION("""COMPUTED_VALUE"""),0.0508)</f>
        <v>0.0508</v>
      </c>
      <c r="AD66" s="298">
        <f>IFERROR(__xludf.DUMMYFUNCTION("""COMPUTED_VALUE"""),0.0508)</f>
        <v>0.0508</v>
      </c>
      <c r="AE66" s="298">
        <f>IFERROR(__xludf.DUMMYFUNCTION("""COMPUTED_VALUE"""),0.0508)</f>
        <v>0.0508</v>
      </c>
      <c r="AF66" s="298">
        <f>IFERROR(__xludf.DUMMYFUNCTION("""COMPUTED_VALUE"""),0.0508)</f>
        <v>0.0508</v>
      </c>
      <c r="AG66" s="298">
        <f>IFERROR(__xludf.DUMMYFUNCTION("""COMPUTED_VALUE"""),0.0508)</f>
        <v>0.0508</v>
      </c>
      <c r="AH66" s="298">
        <f>IFERROR(__xludf.DUMMYFUNCTION("""COMPUTED_VALUE"""),0.0508)</f>
        <v>0.0508</v>
      </c>
      <c r="AI66" s="298">
        <f>IFERROR(__xludf.DUMMYFUNCTION("""COMPUTED_VALUE"""),0.0508)</f>
        <v>0.0508</v>
      </c>
      <c r="AJ66" s="298">
        <f>IFERROR(__xludf.DUMMYFUNCTION("""COMPUTED_VALUE"""),0.0508)</f>
        <v>0.0508</v>
      </c>
      <c r="AK66" s="298">
        <f>IFERROR(__xludf.DUMMYFUNCTION("""COMPUTED_VALUE"""),0.0508)</f>
        <v>0.0508</v>
      </c>
      <c r="AL66" s="298">
        <f>IFERROR(__xludf.DUMMYFUNCTION("""COMPUTED_VALUE"""),0.0508)</f>
        <v>0.0508</v>
      </c>
      <c r="AM66" s="298">
        <f>IFERROR(__xludf.DUMMYFUNCTION("""COMPUTED_VALUE"""),0.0508)</f>
        <v>0.0508</v>
      </c>
      <c r="AN66" s="298">
        <f>IFERROR(__xludf.DUMMYFUNCTION("""COMPUTED_VALUE"""),0.0508)</f>
        <v>0.0508</v>
      </c>
      <c r="AO66" s="298">
        <f>IFERROR(__xludf.DUMMYFUNCTION("""COMPUTED_VALUE"""),0.0508)</f>
        <v>0.0508</v>
      </c>
      <c r="AP66" s="298">
        <f>IFERROR(__xludf.DUMMYFUNCTION("""COMPUTED_VALUE"""),0.0508)</f>
        <v>0.0508</v>
      </c>
      <c r="AQ66" s="298">
        <f>IFERROR(__xludf.DUMMYFUNCTION("""COMPUTED_VALUE"""),0.0508)</f>
        <v>0.0508</v>
      </c>
      <c r="AR66" s="298">
        <f>IFERROR(__xludf.DUMMYFUNCTION("""COMPUTED_VALUE"""),0.0508)</f>
        <v>0.0508</v>
      </c>
      <c r="AS66" s="298">
        <f>IFERROR(__xludf.DUMMYFUNCTION("""COMPUTED_VALUE"""),0.0508)</f>
        <v>0.0508</v>
      </c>
      <c r="AT66" s="298">
        <f>IFERROR(__xludf.DUMMYFUNCTION("""COMPUTED_VALUE"""),0.0508)</f>
        <v>0.0508</v>
      </c>
      <c r="AU66" s="298">
        <f>IFERROR(__xludf.DUMMYFUNCTION("""COMPUTED_VALUE"""),0.0508)</f>
        <v>0.0508</v>
      </c>
      <c r="AV66" s="298">
        <f>IFERROR(__xludf.DUMMYFUNCTION("""COMPUTED_VALUE"""),0.0508)</f>
        <v>0.0508</v>
      </c>
      <c r="AW66" s="298">
        <f>IFERROR(__xludf.DUMMYFUNCTION("""COMPUTED_VALUE"""),0.0508)</f>
        <v>0.0508</v>
      </c>
      <c r="AX66" s="298">
        <f>IFERROR(__xludf.DUMMYFUNCTION("""COMPUTED_VALUE"""),0.0508)</f>
        <v>0.0508</v>
      </c>
      <c r="AY66" s="298">
        <f>IFERROR(__xludf.DUMMYFUNCTION("""COMPUTED_VALUE"""),0.0508)</f>
        <v>0.0508</v>
      </c>
      <c r="AZ66" s="298">
        <f>IFERROR(__xludf.DUMMYFUNCTION("""COMPUTED_VALUE"""),0.0508)</f>
        <v>0.0508</v>
      </c>
      <c r="BA66" s="298">
        <f>IFERROR(__xludf.DUMMYFUNCTION("""COMPUTED_VALUE"""),0.0508)</f>
        <v>0.0508</v>
      </c>
      <c r="BB66" s="298">
        <f>IFERROR(__xludf.DUMMYFUNCTION("""COMPUTED_VALUE"""),0.0508)</f>
        <v>0.0508</v>
      </c>
      <c r="BC66" s="298">
        <f>IFERROR(__xludf.DUMMYFUNCTION("""COMPUTED_VALUE"""),0.0508)</f>
        <v>0.0508</v>
      </c>
      <c r="BD66" s="298">
        <f>IFERROR(__xludf.DUMMYFUNCTION("""COMPUTED_VALUE"""),0.0508)</f>
        <v>0.0508</v>
      </c>
      <c r="BE66" s="298">
        <f>IFERROR(__xludf.DUMMYFUNCTION("""COMPUTED_VALUE"""),0.0508)</f>
        <v>0.0508</v>
      </c>
      <c r="BF66" s="298">
        <f>IFERROR(__xludf.DUMMYFUNCTION("""COMPUTED_VALUE"""),0.0508)</f>
        <v>0.0508</v>
      </c>
      <c r="BG66" s="298">
        <f>IFERROR(__xludf.DUMMYFUNCTION("""COMPUTED_VALUE"""),0.0508)</f>
        <v>0.0508</v>
      </c>
      <c r="BH66" s="298">
        <f>IFERROR(__xludf.DUMMYFUNCTION("""COMPUTED_VALUE"""),0.0508)</f>
        <v>0.0508</v>
      </c>
      <c r="BI66" s="298">
        <f>IFERROR(__xludf.DUMMYFUNCTION("""COMPUTED_VALUE"""),0.0508)</f>
        <v>0.0508</v>
      </c>
      <c r="BJ66" s="298">
        <f>IFERROR(__xludf.DUMMYFUNCTION("""COMPUTED_VALUE"""),0.0508)</f>
        <v>0.0508</v>
      </c>
      <c r="BK66" s="298">
        <f>IFERROR(__xludf.DUMMYFUNCTION("""COMPUTED_VALUE"""),0.0508)</f>
        <v>0.0508</v>
      </c>
      <c r="BL66" s="298">
        <f>IFERROR(__xludf.DUMMYFUNCTION("""COMPUTED_VALUE"""),0.0508)</f>
        <v>0.0508</v>
      </c>
      <c r="BM66" s="298">
        <f>IFERROR(__xludf.DUMMYFUNCTION("""COMPUTED_VALUE"""),0.0508)</f>
        <v>0.0508</v>
      </c>
      <c r="BN66" s="298">
        <f>IFERROR(__xludf.DUMMYFUNCTION("""COMPUTED_VALUE"""),0.0508)</f>
        <v>0.0508</v>
      </c>
    </row>
    <row r="67">
      <c r="L67" s="292"/>
      <c r="M67" s="292">
        <f>IFERROR(__xludf.DUMMYFUNCTION("""COMPUTED_VALUE"""),13.0)</f>
        <v>13</v>
      </c>
      <c r="N67" s="298">
        <f>IFERROR(__xludf.DUMMYFUNCTION("""COMPUTED_VALUE"""),9.1E-4)</f>
        <v>0.00091</v>
      </c>
      <c r="O67" s="298">
        <f>IFERROR(__xludf.DUMMYFUNCTION("""COMPUTED_VALUE"""),0.00105)</f>
        <v>0.00105</v>
      </c>
      <c r="P67" s="298">
        <f>IFERROR(__xludf.DUMMYFUNCTION("""COMPUTED_VALUE"""),0.00108)</f>
        <v>0.00108</v>
      </c>
      <c r="Q67" s="298">
        <f>IFERROR(__xludf.DUMMYFUNCTION("""COMPUTED_VALUE"""),0.00103)</f>
        <v>0.00103</v>
      </c>
      <c r="R67" s="298">
        <f>IFERROR(__xludf.DUMMYFUNCTION("""COMPUTED_VALUE"""),0.00135)</f>
        <v>0.00135</v>
      </c>
      <c r="S67" s="298">
        <f>IFERROR(__xludf.DUMMYFUNCTION("""COMPUTED_VALUE"""),0.00132)</f>
        <v>0.00132</v>
      </c>
      <c r="T67" s="298">
        <f>IFERROR(__xludf.DUMMYFUNCTION("""COMPUTED_VALUE"""),0.0013)</f>
        <v>0.0013</v>
      </c>
      <c r="U67" s="298">
        <f>IFERROR(__xludf.DUMMYFUNCTION("""COMPUTED_VALUE"""),0.00133)</f>
        <v>0.00133</v>
      </c>
      <c r="V67" s="298">
        <f>IFERROR(__xludf.DUMMYFUNCTION("""COMPUTED_VALUE"""),0.00133)</f>
        <v>0.00133</v>
      </c>
      <c r="W67" s="298">
        <f>IFERROR(__xludf.DUMMYFUNCTION("""COMPUTED_VALUE"""),0.00137)</f>
        <v>0.00137</v>
      </c>
      <c r="X67" s="298">
        <f>IFERROR(__xludf.DUMMYFUNCTION("""COMPUTED_VALUE"""),0.00103)</f>
        <v>0.00103</v>
      </c>
      <c r="Y67" s="298">
        <f>IFERROR(__xludf.DUMMYFUNCTION("""COMPUTED_VALUE"""),0.00109)</f>
        <v>0.00109</v>
      </c>
      <c r="Z67" s="298">
        <f>IFERROR(__xludf.DUMMYFUNCTION("""COMPUTED_VALUE"""),0.00115)</f>
        <v>0.00115</v>
      </c>
      <c r="AA67" s="298">
        <f>IFERROR(__xludf.DUMMYFUNCTION("""COMPUTED_VALUE"""),0.0017)</f>
        <v>0.0017</v>
      </c>
      <c r="AB67" s="298">
        <f>IFERROR(__xludf.DUMMYFUNCTION("""COMPUTED_VALUE"""),0.0017)</f>
        <v>0.0017</v>
      </c>
      <c r="AC67" s="298">
        <f>IFERROR(__xludf.DUMMYFUNCTION("""COMPUTED_VALUE"""),0.0017)</f>
        <v>0.0017</v>
      </c>
      <c r="AD67" s="298">
        <f>IFERROR(__xludf.DUMMYFUNCTION("""COMPUTED_VALUE"""),0.0017)</f>
        <v>0.0017</v>
      </c>
      <c r="AE67" s="298">
        <f>IFERROR(__xludf.DUMMYFUNCTION("""COMPUTED_VALUE"""),0.0017)</f>
        <v>0.0017</v>
      </c>
      <c r="AF67" s="298">
        <f>IFERROR(__xludf.DUMMYFUNCTION("""COMPUTED_VALUE"""),0.0017)</f>
        <v>0.0017</v>
      </c>
      <c r="AG67" s="298">
        <f>IFERROR(__xludf.DUMMYFUNCTION("""COMPUTED_VALUE"""),0.0017)</f>
        <v>0.0017</v>
      </c>
      <c r="AH67" s="298">
        <f>IFERROR(__xludf.DUMMYFUNCTION("""COMPUTED_VALUE"""),0.0017)</f>
        <v>0.0017</v>
      </c>
      <c r="AI67" s="298">
        <f>IFERROR(__xludf.DUMMYFUNCTION("""COMPUTED_VALUE"""),0.0017)</f>
        <v>0.0017</v>
      </c>
      <c r="AJ67" s="298">
        <f>IFERROR(__xludf.DUMMYFUNCTION("""COMPUTED_VALUE"""),0.0017)</f>
        <v>0.0017</v>
      </c>
      <c r="AK67" s="298">
        <f>IFERROR(__xludf.DUMMYFUNCTION("""COMPUTED_VALUE"""),0.0017)</f>
        <v>0.0017</v>
      </c>
      <c r="AL67" s="298">
        <f>IFERROR(__xludf.DUMMYFUNCTION("""COMPUTED_VALUE"""),0.0017)</f>
        <v>0.0017</v>
      </c>
      <c r="AM67" s="298">
        <f>IFERROR(__xludf.DUMMYFUNCTION("""COMPUTED_VALUE"""),0.0017)</f>
        <v>0.0017</v>
      </c>
      <c r="AN67" s="298">
        <f>IFERROR(__xludf.DUMMYFUNCTION("""COMPUTED_VALUE"""),0.0017)</f>
        <v>0.0017</v>
      </c>
      <c r="AO67" s="298">
        <f>IFERROR(__xludf.DUMMYFUNCTION("""COMPUTED_VALUE"""),0.0017)</f>
        <v>0.0017</v>
      </c>
      <c r="AP67" s="298">
        <f>IFERROR(__xludf.DUMMYFUNCTION("""COMPUTED_VALUE"""),0.0017)</f>
        <v>0.0017</v>
      </c>
      <c r="AQ67" s="298">
        <f>IFERROR(__xludf.DUMMYFUNCTION("""COMPUTED_VALUE"""),0.0017)</f>
        <v>0.0017</v>
      </c>
      <c r="AR67" s="298">
        <f>IFERROR(__xludf.DUMMYFUNCTION("""COMPUTED_VALUE"""),0.0017)</f>
        <v>0.0017</v>
      </c>
      <c r="AS67" s="298">
        <f>IFERROR(__xludf.DUMMYFUNCTION("""COMPUTED_VALUE"""),0.0017)</f>
        <v>0.0017</v>
      </c>
      <c r="AT67" s="298">
        <f>IFERROR(__xludf.DUMMYFUNCTION("""COMPUTED_VALUE"""),0.0017)</f>
        <v>0.0017</v>
      </c>
      <c r="AU67" s="298">
        <f>IFERROR(__xludf.DUMMYFUNCTION("""COMPUTED_VALUE"""),0.0017)</f>
        <v>0.0017</v>
      </c>
      <c r="AV67" s="298">
        <f>IFERROR(__xludf.DUMMYFUNCTION("""COMPUTED_VALUE"""),0.0017)</f>
        <v>0.0017</v>
      </c>
      <c r="AW67" s="298">
        <f>IFERROR(__xludf.DUMMYFUNCTION("""COMPUTED_VALUE"""),0.0017)</f>
        <v>0.0017</v>
      </c>
      <c r="AX67" s="298">
        <f>IFERROR(__xludf.DUMMYFUNCTION("""COMPUTED_VALUE"""),0.0017)</f>
        <v>0.0017</v>
      </c>
      <c r="AY67" s="298">
        <f>IFERROR(__xludf.DUMMYFUNCTION("""COMPUTED_VALUE"""),0.0017)</f>
        <v>0.0017</v>
      </c>
      <c r="AZ67" s="298">
        <f>IFERROR(__xludf.DUMMYFUNCTION("""COMPUTED_VALUE"""),0.0017)</f>
        <v>0.0017</v>
      </c>
      <c r="BA67" s="298">
        <f>IFERROR(__xludf.DUMMYFUNCTION("""COMPUTED_VALUE"""),0.0017)</f>
        <v>0.0017</v>
      </c>
      <c r="BB67" s="298">
        <f>IFERROR(__xludf.DUMMYFUNCTION("""COMPUTED_VALUE"""),0.0017)</f>
        <v>0.0017</v>
      </c>
      <c r="BC67" s="298">
        <f>IFERROR(__xludf.DUMMYFUNCTION("""COMPUTED_VALUE"""),0.0017)</f>
        <v>0.0017</v>
      </c>
      <c r="BD67" s="298">
        <f>IFERROR(__xludf.DUMMYFUNCTION("""COMPUTED_VALUE"""),0.0017)</f>
        <v>0.0017</v>
      </c>
      <c r="BE67" s="298">
        <f>IFERROR(__xludf.DUMMYFUNCTION("""COMPUTED_VALUE"""),0.0017)</f>
        <v>0.0017</v>
      </c>
      <c r="BF67" s="298">
        <f>IFERROR(__xludf.DUMMYFUNCTION("""COMPUTED_VALUE"""),0.0017)</f>
        <v>0.0017</v>
      </c>
      <c r="BG67" s="298">
        <f>IFERROR(__xludf.DUMMYFUNCTION("""COMPUTED_VALUE"""),0.0017)</f>
        <v>0.0017</v>
      </c>
      <c r="BH67" s="298">
        <f>IFERROR(__xludf.DUMMYFUNCTION("""COMPUTED_VALUE"""),0.0017)</f>
        <v>0.0017</v>
      </c>
      <c r="BI67" s="298">
        <f>IFERROR(__xludf.DUMMYFUNCTION("""COMPUTED_VALUE"""),0.0017)</f>
        <v>0.0017</v>
      </c>
      <c r="BJ67" s="298">
        <f>IFERROR(__xludf.DUMMYFUNCTION("""COMPUTED_VALUE"""),0.0017)</f>
        <v>0.0017</v>
      </c>
      <c r="BK67" s="298">
        <f>IFERROR(__xludf.DUMMYFUNCTION("""COMPUTED_VALUE"""),0.0017)</f>
        <v>0.0017</v>
      </c>
      <c r="BL67" s="298">
        <f>IFERROR(__xludf.DUMMYFUNCTION("""COMPUTED_VALUE"""),0.0017)</f>
        <v>0.0017</v>
      </c>
      <c r="BM67" s="298">
        <f>IFERROR(__xludf.DUMMYFUNCTION("""COMPUTED_VALUE"""),0.0017)</f>
        <v>0.0017</v>
      </c>
      <c r="BN67" s="298">
        <f>IFERROR(__xludf.DUMMYFUNCTION("""COMPUTED_VALUE"""),0.0017)</f>
        <v>0.0017</v>
      </c>
    </row>
    <row r="68">
      <c r="L68" s="292"/>
      <c r="M68" s="292">
        <f>IFERROR(__xludf.DUMMYFUNCTION("""COMPUTED_VALUE"""),14.0)</f>
        <v>14</v>
      </c>
      <c r="N68" s="298">
        <f>IFERROR(__xludf.DUMMYFUNCTION("""COMPUTED_VALUE"""),0.02735)</f>
        <v>0.02735</v>
      </c>
      <c r="O68" s="298">
        <f>IFERROR(__xludf.DUMMYFUNCTION("""COMPUTED_VALUE"""),0.02616)</f>
        <v>0.02616</v>
      </c>
      <c r="P68" s="298">
        <f>IFERROR(__xludf.DUMMYFUNCTION("""COMPUTED_VALUE"""),0.0269)</f>
        <v>0.0269</v>
      </c>
      <c r="Q68" s="298">
        <f>IFERROR(__xludf.DUMMYFUNCTION("""COMPUTED_VALUE"""),0.02786)</f>
        <v>0.02786</v>
      </c>
      <c r="R68" s="298">
        <f>IFERROR(__xludf.DUMMYFUNCTION("""COMPUTED_VALUE"""),0.0277)</f>
        <v>0.0277</v>
      </c>
      <c r="S68" s="298">
        <f>IFERROR(__xludf.DUMMYFUNCTION("""COMPUTED_VALUE"""),0.02802)</f>
        <v>0.02802</v>
      </c>
      <c r="T68" s="298">
        <f>IFERROR(__xludf.DUMMYFUNCTION("""COMPUTED_VALUE"""),0.02836)</f>
        <v>0.02836</v>
      </c>
      <c r="U68" s="298">
        <f>IFERROR(__xludf.DUMMYFUNCTION("""COMPUTED_VALUE"""),0.02791)</f>
        <v>0.02791</v>
      </c>
      <c r="V68" s="298">
        <f>IFERROR(__xludf.DUMMYFUNCTION("""COMPUTED_VALUE"""),0.02754)</f>
        <v>0.02754</v>
      </c>
      <c r="W68" s="298">
        <f>IFERROR(__xludf.DUMMYFUNCTION("""COMPUTED_VALUE"""),0.02775)</f>
        <v>0.02775</v>
      </c>
      <c r="X68" s="298">
        <f>IFERROR(__xludf.DUMMYFUNCTION("""COMPUTED_VALUE"""),0.02757)</f>
        <v>0.02757</v>
      </c>
      <c r="Y68" s="298">
        <f>IFERROR(__xludf.DUMMYFUNCTION("""COMPUTED_VALUE"""),0.02717)</f>
        <v>0.02717</v>
      </c>
      <c r="Z68" s="298">
        <f>IFERROR(__xludf.DUMMYFUNCTION("""COMPUTED_VALUE"""),0.02731)</f>
        <v>0.02731</v>
      </c>
      <c r="AA68" s="298">
        <f>IFERROR(__xludf.DUMMYFUNCTION("""COMPUTED_VALUE"""),0.0297)</f>
        <v>0.0297</v>
      </c>
      <c r="AB68" s="298">
        <f>IFERROR(__xludf.DUMMYFUNCTION("""COMPUTED_VALUE"""),0.0297)</f>
        <v>0.0297</v>
      </c>
      <c r="AC68" s="298">
        <f>IFERROR(__xludf.DUMMYFUNCTION("""COMPUTED_VALUE"""),0.0297)</f>
        <v>0.0297</v>
      </c>
      <c r="AD68" s="298">
        <f>IFERROR(__xludf.DUMMYFUNCTION("""COMPUTED_VALUE"""),0.0297)</f>
        <v>0.0297</v>
      </c>
      <c r="AE68" s="298">
        <f>IFERROR(__xludf.DUMMYFUNCTION("""COMPUTED_VALUE"""),0.0297)</f>
        <v>0.0297</v>
      </c>
      <c r="AF68" s="298">
        <f>IFERROR(__xludf.DUMMYFUNCTION("""COMPUTED_VALUE"""),0.0297)</f>
        <v>0.0297</v>
      </c>
      <c r="AG68" s="298">
        <f>IFERROR(__xludf.DUMMYFUNCTION("""COMPUTED_VALUE"""),0.0297)</f>
        <v>0.0297</v>
      </c>
      <c r="AH68" s="298">
        <f>IFERROR(__xludf.DUMMYFUNCTION("""COMPUTED_VALUE"""),0.0297)</f>
        <v>0.0297</v>
      </c>
      <c r="AI68" s="298">
        <f>IFERROR(__xludf.DUMMYFUNCTION("""COMPUTED_VALUE"""),0.0297)</f>
        <v>0.0297</v>
      </c>
      <c r="AJ68" s="298">
        <f>IFERROR(__xludf.DUMMYFUNCTION("""COMPUTED_VALUE"""),0.0297)</f>
        <v>0.0297</v>
      </c>
      <c r="AK68" s="298">
        <f>IFERROR(__xludf.DUMMYFUNCTION("""COMPUTED_VALUE"""),0.0297)</f>
        <v>0.0297</v>
      </c>
      <c r="AL68" s="298">
        <f>IFERROR(__xludf.DUMMYFUNCTION("""COMPUTED_VALUE"""),0.0297)</f>
        <v>0.0297</v>
      </c>
      <c r="AM68" s="298">
        <f>IFERROR(__xludf.DUMMYFUNCTION("""COMPUTED_VALUE"""),0.0297)</f>
        <v>0.0297</v>
      </c>
      <c r="AN68" s="298">
        <f>IFERROR(__xludf.DUMMYFUNCTION("""COMPUTED_VALUE"""),0.0297)</f>
        <v>0.0297</v>
      </c>
      <c r="AO68" s="298">
        <f>IFERROR(__xludf.DUMMYFUNCTION("""COMPUTED_VALUE"""),0.0297)</f>
        <v>0.0297</v>
      </c>
      <c r="AP68" s="298">
        <f>IFERROR(__xludf.DUMMYFUNCTION("""COMPUTED_VALUE"""),0.0297)</f>
        <v>0.0297</v>
      </c>
      <c r="AQ68" s="298">
        <f>IFERROR(__xludf.DUMMYFUNCTION("""COMPUTED_VALUE"""),0.0297)</f>
        <v>0.0297</v>
      </c>
      <c r="AR68" s="298">
        <f>IFERROR(__xludf.DUMMYFUNCTION("""COMPUTED_VALUE"""),0.0297)</f>
        <v>0.0297</v>
      </c>
      <c r="AS68" s="298">
        <f>IFERROR(__xludf.DUMMYFUNCTION("""COMPUTED_VALUE"""),0.0297)</f>
        <v>0.0297</v>
      </c>
      <c r="AT68" s="298">
        <f>IFERROR(__xludf.DUMMYFUNCTION("""COMPUTED_VALUE"""),0.0297)</f>
        <v>0.0297</v>
      </c>
      <c r="AU68" s="298">
        <f>IFERROR(__xludf.DUMMYFUNCTION("""COMPUTED_VALUE"""),0.0297)</f>
        <v>0.0297</v>
      </c>
      <c r="AV68" s="298">
        <f>IFERROR(__xludf.DUMMYFUNCTION("""COMPUTED_VALUE"""),0.0297)</f>
        <v>0.0297</v>
      </c>
      <c r="AW68" s="298">
        <f>IFERROR(__xludf.DUMMYFUNCTION("""COMPUTED_VALUE"""),0.0297)</f>
        <v>0.0297</v>
      </c>
      <c r="AX68" s="298">
        <f>IFERROR(__xludf.DUMMYFUNCTION("""COMPUTED_VALUE"""),0.0297)</f>
        <v>0.0297</v>
      </c>
      <c r="AY68" s="298">
        <f>IFERROR(__xludf.DUMMYFUNCTION("""COMPUTED_VALUE"""),0.0297)</f>
        <v>0.0297</v>
      </c>
      <c r="AZ68" s="298">
        <f>IFERROR(__xludf.DUMMYFUNCTION("""COMPUTED_VALUE"""),0.0297)</f>
        <v>0.0297</v>
      </c>
      <c r="BA68" s="298">
        <f>IFERROR(__xludf.DUMMYFUNCTION("""COMPUTED_VALUE"""),0.0297)</f>
        <v>0.0297</v>
      </c>
      <c r="BB68" s="298">
        <f>IFERROR(__xludf.DUMMYFUNCTION("""COMPUTED_VALUE"""),0.0297)</f>
        <v>0.0297</v>
      </c>
      <c r="BC68" s="298">
        <f>IFERROR(__xludf.DUMMYFUNCTION("""COMPUTED_VALUE"""),0.0297)</f>
        <v>0.0297</v>
      </c>
      <c r="BD68" s="298">
        <f>IFERROR(__xludf.DUMMYFUNCTION("""COMPUTED_VALUE"""),0.0297)</f>
        <v>0.0297</v>
      </c>
      <c r="BE68" s="298">
        <f>IFERROR(__xludf.DUMMYFUNCTION("""COMPUTED_VALUE"""),0.0297)</f>
        <v>0.0297</v>
      </c>
      <c r="BF68" s="298">
        <f>IFERROR(__xludf.DUMMYFUNCTION("""COMPUTED_VALUE"""),0.0297)</f>
        <v>0.0297</v>
      </c>
      <c r="BG68" s="298">
        <f>IFERROR(__xludf.DUMMYFUNCTION("""COMPUTED_VALUE"""),0.0297)</f>
        <v>0.0297</v>
      </c>
      <c r="BH68" s="298">
        <f>IFERROR(__xludf.DUMMYFUNCTION("""COMPUTED_VALUE"""),0.0297)</f>
        <v>0.0297</v>
      </c>
      <c r="BI68" s="298">
        <f>IFERROR(__xludf.DUMMYFUNCTION("""COMPUTED_VALUE"""),0.0297)</f>
        <v>0.0297</v>
      </c>
      <c r="BJ68" s="298">
        <f>IFERROR(__xludf.DUMMYFUNCTION("""COMPUTED_VALUE"""),0.0297)</f>
        <v>0.0297</v>
      </c>
      <c r="BK68" s="298">
        <f>IFERROR(__xludf.DUMMYFUNCTION("""COMPUTED_VALUE"""),0.0297)</f>
        <v>0.0297</v>
      </c>
      <c r="BL68" s="298">
        <f>IFERROR(__xludf.DUMMYFUNCTION("""COMPUTED_VALUE"""),0.0297)</f>
        <v>0.0297</v>
      </c>
      <c r="BM68" s="298">
        <f>IFERROR(__xludf.DUMMYFUNCTION("""COMPUTED_VALUE"""),0.0297)</f>
        <v>0.0297</v>
      </c>
      <c r="BN68" s="298">
        <f>IFERROR(__xludf.DUMMYFUNCTION("""COMPUTED_VALUE"""),0.0297)</f>
        <v>0.0297</v>
      </c>
    </row>
    <row r="69">
      <c r="L69" s="292"/>
      <c r="M69" s="292">
        <f>IFERROR(__xludf.DUMMYFUNCTION("""COMPUTED_VALUE"""),15.0)</f>
        <v>15</v>
      </c>
      <c r="N69" s="298">
        <f>IFERROR(__xludf.DUMMYFUNCTION("""COMPUTED_VALUE"""),4.6E-4)</f>
        <v>0.00046</v>
      </c>
      <c r="O69" s="298">
        <f>IFERROR(__xludf.DUMMYFUNCTION("""COMPUTED_VALUE"""),7.0E-4)</f>
        <v>0.0007</v>
      </c>
      <c r="P69" s="298">
        <f>IFERROR(__xludf.DUMMYFUNCTION("""COMPUTED_VALUE"""),7.2E-4)</f>
        <v>0.00072</v>
      </c>
      <c r="Q69" s="298">
        <f>IFERROR(__xludf.DUMMYFUNCTION("""COMPUTED_VALUE"""),6.9E-4)</f>
        <v>0.00069</v>
      </c>
      <c r="R69" s="298">
        <f>IFERROR(__xludf.DUMMYFUNCTION("""COMPUTED_VALUE"""),6.8E-4)</f>
        <v>0.00068</v>
      </c>
      <c r="S69" s="298">
        <f>IFERROR(__xludf.DUMMYFUNCTION("""COMPUTED_VALUE"""),6.6E-4)</f>
        <v>0.00066</v>
      </c>
      <c r="T69" s="298">
        <f>IFERROR(__xludf.DUMMYFUNCTION("""COMPUTED_VALUE"""),6.5E-4)</f>
        <v>0.00065</v>
      </c>
      <c r="U69" s="298">
        <f>IFERROR(__xludf.DUMMYFUNCTION("""COMPUTED_VALUE"""),6.6E-4)</f>
        <v>0.00066</v>
      </c>
      <c r="V69" s="298">
        <f>IFERROR(__xludf.DUMMYFUNCTION("""COMPUTED_VALUE"""),6.6E-4)</f>
        <v>0.00066</v>
      </c>
      <c r="W69" s="298">
        <f>IFERROR(__xludf.DUMMYFUNCTION("""COMPUTED_VALUE"""),6.9E-4)</f>
        <v>0.00069</v>
      </c>
      <c r="X69" s="298">
        <f>IFERROR(__xludf.DUMMYFUNCTION("""COMPUTED_VALUE"""),6.9E-4)</f>
        <v>0.00069</v>
      </c>
      <c r="Y69" s="298">
        <f>IFERROR(__xludf.DUMMYFUNCTION("""COMPUTED_VALUE"""),3.6E-4)</f>
        <v>0.00036</v>
      </c>
      <c r="Z69" s="298">
        <f>IFERROR(__xludf.DUMMYFUNCTION("""COMPUTED_VALUE"""),3.8E-4)</f>
        <v>0.00038</v>
      </c>
      <c r="AA69" s="298">
        <f>IFERROR(__xludf.DUMMYFUNCTION("""COMPUTED_VALUE"""),0.0013)</f>
        <v>0.0013</v>
      </c>
      <c r="AB69" s="298">
        <f>IFERROR(__xludf.DUMMYFUNCTION("""COMPUTED_VALUE"""),0.0013)</f>
        <v>0.0013</v>
      </c>
      <c r="AC69" s="298">
        <f>IFERROR(__xludf.DUMMYFUNCTION("""COMPUTED_VALUE"""),0.0013)</f>
        <v>0.0013</v>
      </c>
      <c r="AD69" s="298">
        <f>IFERROR(__xludf.DUMMYFUNCTION("""COMPUTED_VALUE"""),0.0013)</f>
        <v>0.0013</v>
      </c>
      <c r="AE69" s="298">
        <f>IFERROR(__xludf.DUMMYFUNCTION("""COMPUTED_VALUE"""),0.0013)</f>
        <v>0.0013</v>
      </c>
      <c r="AF69" s="298">
        <f>IFERROR(__xludf.DUMMYFUNCTION("""COMPUTED_VALUE"""),0.0013)</f>
        <v>0.0013</v>
      </c>
      <c r="AG69" s="298">
        <f>IFERROR(__xludf.DUMMYFUNCTION("""COMPUTED_VALUE"""),0.0013)</f>
        <v>0.0013</v>
      </c>
      <c r="AH69" s="298">
        <f>IFERROR(__xludf.DUMMYFUNCTION("""COMPUTED_VALUE"""),0.0013)</f>
        <v>0.0013</v>
      </c>
      <c r="AI69" s="298">
        <f>IFERROR(__xludf.DUMMYFUNCTION("""COMPUTED_VALUE"""),0.0013)</f>
        <v>0.0013</v>
      </c>
      <c r="AJ69" s="298">
        <f>IFERROR(__xludf.DUMMYFUNCTION("""COMPUTED_VALUE"""),0.0013)</f>
        <v>0.0013</v>
      </c>
      <c r="AK69" s="298">
        <f>IFERROR(__xludf.DUMMYFUNCTION("""COMPUTED_VALUE"""),0.0013)</f>
        <v>0.0013</v>
      </c>
      <c r="AL69" s="298">
        <f>IFERROR(__xludf.DUMMYFUNCTION("""COMPUTED_VALUE"""),0.0013)</f>
        <v>0.0013</v>
      </c>
      <c r="AM69" s="298">
        <f>IFERROR(__xludf.DUMMYFUNCTION("""COMPUTED_VALUE"""),0.0013)</f>
        <v>0.0013</v>
      </c>
      <c r="AN69" s="298">
        <f>IFERROR(__xludf.DUMMYFUNCTION("""COMPUTED_VALUE"""),0.0013)</f>
        <v>0.0013</v>
      </c>
      <c r="AO69" s="298">
        <f>IFERROR(__xludf.DUMMYFUNCTION("""COMPUTED_VALUE"""),0.0013)</f>
        <v>0.0013</v>
      </c>
      <c r="AP69" s="298">
        <f>IFERROR(__xludf.DUMMYFUNCTION("""COMPUTED_VALUE"""),0.0013)</f>
        <v>0.0013</v>
      </c>
      <c r="AQ69" s="298">
        <f>IFERROR(__xludf.DUMMYFUNCTION("""COMPUTED_VALUE"""),0.0013)</f>
        <v>0.0013</v>
      </c>
      <c r="AR69" s="298">
        <f>IFERROR(__xludf.DUMMYFUNCTION("""COMPUTED_VALUE"""),0.0013)</f>
        <v>0.0013</v>
      </c>
      <c r="AS69" s="298">
        <f>IFERROR(__xludf.DUMMYFUNCTION("""COMPUTED_VALUE"""),0.0013)</f>
        <v>0.0013</v>
      </c>
      <c r="AT69" s="298">
        <f>IFERROR(__xludf.DUMMYFUNCTION("""COMPUTED_VALUE"""),0.0013)</f>
        <v>0.0013</v>
      </c>
      <c r="AU69" s="298">
        <f>IFERROR(__xludf.DUMMYFUNCTION("""COMPUTED_VALUE"""),0.0013)</f>
        <v>0.0013</v>
      </c>
      <c r="AV69" s="298">
        <f>IFERROR(__xludf.DUMMYFUNCTION("""COMPUTED_VALUE"""),0.0013)</f>
        <v>0.0013</v>
      </c>
      <c r="AW69" s="298">
        <f>IFERROR(__xludf.DUMMYFUNCTION("""COMPUTED_VALUE"""),0.0013)</f>
        <v>0.0013</v>
      </c>
      <c r="AX69" s="298">
        <f>IFERROR(__xludf.DUMMYFUNCTION("""COMPUTED_VALUE"""),0.0013)</f>
        <v>0.0013</v>
      </c>
      <c r="AY69" s="298">
        <f>IFERROR(__xludf.DUMMYFUNCTION("""COMPUTED_VALUE"""),0.0013)</f>
        <v>0.0013</v>
      </c>
      <c r="AZ69" s="298">
        <f>IFERROR(__xludf.DUMMYFUNCTION("""COMPUTED_VALUE"""),0.0013)</f>
        <v>0.0013</v>
      </c>
      <c r="BA69" s="298">
        <f>IFERROR(__xludf.DUMMYFUNCTION("""COMPUTED_VALUE"""),0.0013)</f>
        <v>0.0013</v>
      </c>
      <c r="BB69" s="298">
        <f>IFERROR(__xludf.DUMMYFUNCTION("""COMPUTED_VALUE"""),0.0013)</f>
        <v>0.0013</v>
      </c>
      <c r="BC69" s="298">
        <f>IFERROR(__xludf.DUMMYFUNCTION("""COMPUTED_VALUE"""),0.0013)</f>
        <v>0.0013</v>
      </c>
      <c r="BD69" s="298">
        <f>IFERROR(__xludf.DUMMYFUNCTION("""COMPUTED_VALUE"""),0.0013)</f>
        <v>0.0013</v>
      </c>
      <c r="BE69" s="298">
        <f>IFERROR(__xludf.DUMMYFUNCTION("""COMPUTED_VALUE"""),0.0013)</f>
        <v>0.0013</v>
      </c>
      <c r="BF69" s="298">
        <f>IFERROR(__xludf.DUMMYFUNCTION("""COMPUTED_VALUE"""),0.0013)</f>
        <v>0.0013</v>
      </c>
      <c r="BG69" s="298">
        <f>IFERROR(__xludf.DUMMYFUNCTION("""COMPUTED_VALUE"""),0.0013)</f>
        <v>0.0013</v>
      </c>
      <c r="BH69" s="298">
        <f>IFERROR(__xludf.DUMMYFUNCTION("""COMPUTED_VALUE"""),0.0013)</f>
        <v>0.0013</v>
      </c>
      <c r="BI69" s="298">
        <f>IFERROR(__xludf.DUMMYFUNCTION("""COMPUTED_VALUE"""),0.0013)</f>
        <v>0.0013</v>
      </c>
      <c r="BJ69" s="298">
        <f>IFERROR(__xludf.DUMMYFUNCTION("""COMPUTED_VALUE"""),0.0013)</f>
        <v>0.0013</v>
      </c>
      <c r="BK69" s="298">
        <f>IFERROR(__xludf.DUMMYFUNCTION("""COMPUTED_VALUE"""),0.0013)</f>
        <v>0.0013</v>
      </c>
      <c r="BL69" s="298">
        <f>IFERROR(__xludf.DUMMYFUNCTION("""COMPUTED_VALUE"""),0.0013)</f>
        <v>0.0013</v>
      </c>
      <c r="BM69" s="298">
        <f>IFERROR(__xludf.DUMMYFUNCTION("""COMPUTED_VALUE"""),0.0013)</f>
        <v>0.0013</v>
      </c>
      <c r="BN69" s="298">
        <f>IFERROR(__xludf.DUMMYFUNCTION("""COMPUTED_VALUE"""),0.0013)</f>
        <v>0.0013</v>
      </c>
    </row>
    <row r="70">
      <c r="L70" s="292"/>
      <c r="M70" s="292">
        <f>IFERROR(__xludf.DUMMYFUNCTION("""COMPUTED_VALUE"""),16.0)</f>
        <v>16</v>
      </c>
      <c r="N70" s="298">
        <f>IFERROR(__xludf.DUMMYFUNCTION("""COMPUTED_VALUE"""),0.04558)</f>
        <v>0.04558</v>
      </c>
      <c r="O70" s="298">
        <f>IFERROR(__xludf.DUMMYFUNCTION("""COMPUTED_VALUE"""),0.04325)</f>
        <v>0.04325</v>
      </c>
      <c r="P70" s="298">
        <f>IFERROR(__xludf.DUMMYFUNCTION("""COMPUTED_VALUE"""),0.04412)</f>
        <v>0.04412</v>
      </c>
      <c r="Q70" s="298">
        <f>IFERROR(__xludf.DUMMYFUNCTION("""COMPUTED_VALUE"""),0.04506)</f>
        <v>0.04506</v>
      </c>
      <c r="R70" s="298">
        <f>IFERROR(__xludf.DUMMYFUNCTION("""COMPUTED_VALUE"""),0.04561)</f>
        <v>0.04561</v>
      </c>
      <c r="S70" s="298">
        <f>IFERROR(__xludf.DUMMYFUNCTION("""COMPUTED_VALUE"""),0.04614)</f>
        <v>0.04614</v>
      </c>
      <c r="T70" s="298">
        <f>IFERROR(__xludf.DUMMYFUNCTION("""COMPUTED_VALUE"""),0.04563)</f>
        <v>0.04563</v>
      </c>
      <c r="U70" s="298">
        <f>IFERROR(__xludf.DUMMYFUNCTION("""COMPUTED_VALUE"""),0.04551)</f>
        <v>0.04551</v>
      </c>
      <c r="V70" s="298">
        <f>IFERROR(__xludf.DUMMYFUNCTION("""COMPUTED_VALUE"""),0.04512)</f>
        <v>0.04512</v>
      </c>
      <c r="W70" s="298">
        <f>IFERROR(__xludf.DUMMYFUNCTION("""COMPUTED_VALUE"""),0.04488)</f>
        <v>0.04488</v>
      </c>
      <c r="X70" s="298">
        <f>IFERROR(__xludf.DUMMYFUNCTION("""COMPUTED_VALUE"""),0.04411)</f>
        <v>0.04411</v>
      </c>
      <c r="Y70" s="298">
        <f>IFERROR(__xludf.DUMMYFUNCTION("""COMPUTED_VALUE"""),0.04384)</f>
        <v>0.04384</v>
      </c>
      <c r="Z70" s="298">
        <f>IFERROR(__xludf.DUMMYFUNCTION("""COMPUTED_VALUE"""),0.04231)</f>
        <v>0.04231</v>
      </c>
      <c r="AA70" s="298">
        <f>IFERROR(__xludf.DUMMYFUNCTION("""COMPUTED_VALUE"""),0.0457)</f>
        <v>0.0457</v>
      </c>
      <c r="AB70" s="298">
        <f>IFERROR(__xludf.DUMMYFUNCTION("""COMPUTED_VALUE"""),0.0457)</f>
        <v>0.0457</v>
      </c>
      <c r="AC70" s="298">
        <f>IFERROR(__xludf.DUMMYFUNCTION("""COMPUTED_VALUE"""),0.0457)</f>
        <v>0.0457</v>
      </c>
      <c r="AD70" s="298">
        <f>IFERROR(__xludf.DUMMYFUNCTION("""COMPUTED_VALUE"""),0.0457)</f>
        <v>0.0457</v>
      </c>
      <c r="AE70" s="298">
        <f>IFERROR(__xludf.DUMMYFUNCTION("""COMPUTED_VALUE"""),0.0457)</f>
        <v>0.0457</v>
      </c>
      <c r="AF70" s="298">
        <f>IFERROR(__xludf.DUMMYFUNCTION("""COMPUTED_VALUE"""),0.0457)</f>
        <v>0.0457</v>
      </c>
      <c r="AG70" s="298">
        <f>IFERROR(__xludf.DUMMYFUNCTION("""COMPUTED_VALUE"""),0.0457)</f>
        <v>0.0457</v>
      </c>
      <c r="AH70" s="298">
        <f>IFERROR(__xludf.DUMMYFUNCTION("""COMPUTED_VALUE"""),0.0457)</f>
        <v>0.0457</v>
      </c>
      <c r="AI70" s="298">
        <f>IFERROR(__xludf.DUMMYFUNCTION("""COMPUTED_VALUE"""),0.0457)</f>
        <v>0.0457</v>
      </c>
      <c r="AJ70" s="298">
        <f>IFERROR(__xludf.DUMMYFUNCTION("""COMPUTED_VALUE"""),0.0457)</f>
        <v>0.0457</v>
      </c>
      <c r="AK70" s="298">
        <f>IFERROR(__xludf.DUMMYFUNCTION("""COMPUTED_VALUE"""),0.0457)</f>
        <v>0.0457</v>
      </c>
      <c r="AL70" s="298">
        <f>IFERROR(__xludf.DUMMYFUNCTION("""COMPUTED_VALUE"""),0.0457)</f>
        <v>0.0457</v>
      </c>
      <c r="AM70" s="298">
        <f>IFERROR(__xludf.DUMMYFUNCTION("""COMPUTED_VALUE"""),0.0457)</f>
        <v>0.0457</v>
      </c>
      <c r="AN70" s="298">
        <f>IFERROR(__xludf.DUMMYFUNCTION("""COMPUTED_VALUE"""),0.0457)</f>
        <v>0.0457</v>
      </c>
      <c r="AO70" s="298">
        <f>IFERROR(__xludf.DUMMYFUNCTION("""COMPUTED_VALUE"""),0.0457)</f>
        <v>0.0457</v>
      </c>
      <c r="AP70" s="298">
        <f>IFERROR(__xludf.DUMMYFUNCTION("""COMPUTED_VALUE"""),0.0457)</f>
        <v>0.0457</v>
      </c>
      <c r="AQ70" s="298">
        <f>IFERROR(__xludf.DUMMYFUNCTION("""COMPUTED_VALUE"""),0.0457)</f>
        <v>0.0457</v>
      </c>
      <c r="AR70" s="298">
        <f>IFERROR(__xludf.DUMMYFUNCTION("""COMPUTED_VALUE"""),0.0457)</f>
        <v>0.0457</v>
      </c>
      <c r="AS70" s="298">
        <f>IFERROR(__xludf.DUMMYFUNCTION("""COMPUTED_VALUE"""),0.0457)</f>
        <v>0.0457</v>
      </c>
      <c r="AT70" s="298">
        <f>IFERROR(__xludf.DUMMYFUNCTION("""COMPUTED_VALUE"""),0.0457)</f>
        <v>0.0457</v>
      </c>
      <c r="AU70" s="298">
        <f>IFERROR(__xludf.DUMMYFUNCTION("""COMPUTED_VALUE"""),0.0457)</f>
        <v>0.0457</v>
      </c>
      <c r="AV70" s="298">
        <f>IFERROR(__xludf.DUMMYFUNCTION("""COMPUTED_VALUE"""),0.0457)</f>
        <v>0.0457</v>
      </c>
      <c r="AW70" s="298">
        <f>IFERROR(__xludf.DUMMYFUNCTION("""COMPUTED_VALUE"""),0.0457)</f>
        <v>0.0457</v>
      </c>
      <c r="AX70" s="298">
        <f>IFERROR(__xludf.DUMMYFUNCTION("""COMPUTED_VALUE"""),0.0457)</f>
        <v>0.0457</v>
      </c>
      <c r="AY70" s="298">
        <f>IFERROR(__xludf.DUMMYFUNCTION("""COMPUTED_VALUE"""),0.0457)</f>
        <v>0.0457</v>
      </c>
      <c r="AZ70" s="298">
        <f>IFERROR(__xludf.DUMMYFUNCTION("""COMPUTED_VALUE"""),0.0457)</f>
        <v>0.0457</v>
      </c>
      <c r="BA70" s="298">
        <f>IFERROR(__xludf.DUMMYFUNCTION("""COMPUTED_VALUE"""),0.0457)</f>
        <v>0.0457</v>
      </c>
      <c r="BB70" s="298">
        <f>IFERROR(__xludf.DUMMYFUNCTION("""COMPUTED_VALUE"""),0.0457)</f>
        <v>0.0457</v>
      </c>
      <c r="BC70" s="298">
        <f>IFERROR(__xludf.DUMMYFUNCTION("""COMPUTED_VALUE"""),0.0457)</f>
        <v>0.0457</v>
      </c>
      <c r="BD70" s="298">
        <f>IFERROR(__xludf.DUMMYFUNCTION("""COMPUTED_VALUE"""),0.0457)</f>
        <v>0.0457</v>
      </c>
      <c r="BE70" s="298">
        <f>IFERROR(__xludf.DUMMYFUNCTION("""COMPUTED_VALUE"""),0.0457)</f>
        <v>0.0457</v>
      </c>
      <c r="BF70" s="298">
        <f>IFERROR(__xludf.DUMMYFUNCTION("""COMPUTED_VALUE"""),0.0457)</f>
        <v>0.0457</v>
      </c>
      <c r="BG70" s="298">
        <f>IFERROR(__xludf.DUMMYFUNCTION("""COMPUTED_VALUE"""),0.0457)</f>
        <v>0.0457</v>
      </c>
      <c r="BH70" s="298">
        <f>IFERROR(__xludf.DUMMYFUNCTION("""COMPUTED_VALUE"""),0.0457)</f>
        <v>0.0457</v>
      </c>
      <c r="BI70" s="298">
        <f>IFERROR(__xludf.DUMMYFUNCTION("""COMPUTED_VALUE"""),0.0457)</f>
        <v>0.0457</v>
      </c>
      <c r="BJ70" s="298">
        <f>IFERROR(__xludf.DUMMYFUNCTION("""COMPUTED_VALUE"""),0.0457)</f>
        <v>0.0457</v>
      </c>
      <c r="BK70" s="298">
        <f>IFERROR(__xludf.DUMMYFUNCTION("""COMPUTED_VALUE"""),0.0457)</f>
        <v>0.0457</v>
      </c>
      <c r="BL70" s="298">
        <f>IFERROR(__xludf.DUMMYFUNCTION("""COMPUTED_VALUE"""),0.0457)</f>
        <v>0.0457</v>
      </c>
      <c r="BM70" s="298">
        <f>IFERROR(__xludf.DUMMYFUNCTION("""COMPUTED_VALUE"""),0.0457)</f>
        <v>0.0457</v>
      </c>
      <c r="BN70" s="298">
        <f>IFERROR(__xludf.DUMMYFUNCTION("""COMPUTED_VALUE"""),0.0457)</f>
        <v>0.0457</v>
      </c>
    </row>
    <row r="71">
      <c r="L71" s="292"/>
      <c r="M71" s="292" t="str">
        <f>IFERROR(__xludf.DUMMYFUNCTION("""COMPUTED_VALUE"""),"Meal/order")</f>
        <v>Meal/order</v>
      </c>
      <c r="N71" s="296">
        <f>IFERROR(__xludf.DUMMYFUNCTION("""COMPUTED_VALUE"""),7.923129999999999)</f>
        <v>7.92313</v>
      </c>
      <c r="O71" s="296">
        <f>IFERROR(__xludf.DUMMYFUNCTION("""COMPUTED_VALUE"""),7.884540000000001)</f>
        <v>7.88454</v>
      </c>
      <c r="P71" s="296">
        <f>IFERROR(__xludf.DUMMYFUNCTION("""COMPUTED_VALUE"""),7.907229999999999)</f>
        <v>7.90723</v>
      </c>
      <c r="Q71" s="296">
        <f>IFERROR(__xludf.DUMMYFUNCTION("""COMPUTED_VALUE"""),7.927029999999999)</f>
        <v>7.92703</v>
      </c>
      <c r="R71" s="296">
        <f>IFERROR(__xludf.DUMMYFUNCTION("""COMPUTED_VALUE"""),7.94022)</f>
        <v>7.94022</v>
      </c>
      <c r="S71" s="296">
        <f>IFERROR(__xludf.DUMMYFUNCTION("""COMPUTED_VALUE"""),7.94991)</f>
        <v>7.94991</v>
      </c>
      <c r="T71" s="296">
        <f>IFERROR(__xludf.DUMMYFUNCTION("""COMPUTED_VALUE"""),7.94716)</f>
        <v>7.94716</v>
      </c>
      <c r="U71" s="296">
        <f>IFERROR(__xludf.DUMMYFUNCTION("""COMPUTED_VALUE"""),7.943960000000001)</f>
        <v>7.94396</v>
      </c>
      <c r="V71" s="296">
        <f>IFERROR(__xludf.DUMMYFUNCTION("""COMPUTED_VALUE"""),7.93593)</f>
        <v>7.93593</v>
      </c>
      <c r="W71" s="296">
        <f>IFERROR(__xludf.DUMMYFUNCTION("""COMPUTED_VALUE"""),7.932639999999999)</f>
        <v>7.93264</v>
      </c>
      <c r="X71" s="296">
        <f>IFERROR(__xludf.DUMMYFUNCTION("""COMPUTED_VALUE"""),7.918689999999998)</f>
        <v>7.91869</v>
      </c>
      <c r="Y71" s="296">
        <f>IFERROR(__xludf.DUMMYFUNCTION("""COMPUTED_VALUE"""),7.90496)</f>
        <v>7.90496</v>
      </c>
      <c r="Z71" s="296">
        <f>IFERROR(__xludf.DUMMYFUNCTION("""COMPUTED_VALUE"""),7.889620000000001)</f>
        <v>7.88962</v>
      </c>
      <c r="AA71" s="296">
        <f>IFERROR(__xludf.DUMMYFUNCTION("""COMPUTED_VALUE"""),7.9781)</f>
        <v>7.9781</v>
      </c>
      <c r="AB71" s="296">
        <f>IFERROR(__xludf.DUMMYFUNCTION("""COMPUTED_VALUE"""),7.9781)</f>
        <v>7.9781</v>
      </c>
      <c r="AC71" s="296">
        <f>IFERROR(__xludf.DUMMYFUNCTION("""COMPUTED_VALUE"""),7.9781)</f>
        <v>7.9781</v>
      </c>
      <c r="AD71" s="296">
        <f>IFERROR(__xludf.DUMMYFUNCTION("""COMPUTED_VALUE"""),7.9781)</f>
        <v>7.9781</v>
      </c>
      <c r="AE71" s="296">
        <f>IFERROR(__xludf.DUMMYFUNCTION("""COMPUTED_VALUE"""),7.9781)</f>
        <v>7.9781</v>
      </c>
      <c r="AF71" s="296">
        <f>IFERROR(__xludf.DUMMYFUNCTION("""COMPUTED_VALUE"""),7.9781)</f>
        <v>7.9781</v>
      </c>
      <c r="AG71" s="296">
        <f>IFERROR(__xludf.DUMMYFUNCTION("""COMPUTED_VALUE"""),7.9781)</f>
        <v>7.9781</v>
      </c>
      <c r="AH71" s="296">
        <f>IFERROR(__xludf.DUMMYFUNCTION("""COMPUTED_VALUE"""),7.9781)</f>
        <v>7.9781</v>
      </c>
      <c r="AI71" s="296">
        <f>IFERROR(__xludf.DUMMYFUNCTION("""COMPUTED_VALUE"""),7.9781)</f>
        <v>7.9781</v>
      </c>
      <c r="AJ71" s="296">
        <f>IFERROR(__xludf.DUMMYFUNCTION("""COMPUTED_VALUE"""),7.9781)</f>
        <v>7.9781</v>
      </c>
      <c r="AK71" s="296">
        <f>IFERROR(__xludf.DUMMYFUNCTION("""COMPUTED_VALUE"""),7.9781)</f>
        <v>7.9781</v>
      </c>
      <c r="AL71" s="296">
        <f>IFERROR(__xludf.DUMMYFUNCTION("""COMPUTED_VALUE"""),7.9781)</f>
        <v>7.9781</v>
      </c>
      <c r="AM71" s="296">
        <f>IFERROR(__xludf.DUMMYFUNCTION("""COMPUTED_VALUE"""),7.9781)</f>
        <v>7.9781</v>
      </c>
      <c r="AN71" s="296">
        <f>IFERROR(__xludf.DUMMYFUNCTION("""COMPUTED_VALUE"""),8.0261)</f>
        <v>8.0261</v>
      </c>
      <c r="AO71" s="296">
        <f>IFERROR(__xludf.DUMMYFUNCTION("""COMPUTED_VALUE"""),8.0261)</f>
        <v>8.0261</v>
      </c>
      <c r="AP71" s="296">
        <f>IFERROR(__xludf.DUMMYFUNCTION("""COMPUTED_VALUE"""),8.0261)</f>
        <v>8.0261</v>
      </c>
      <c r="AQ71" s="296">
        <f>IFERROR(__xludf.DUMMYFUNCTION("""COMPUTED_VALUE"""),8.0261)</f>
        <v>8.0261</v>
      </c>
      <c r="AR71" s="296">
        <f>IFERROR(__xludf.DUMMYFUNCTION("""COMPUTED_VALUE"""),8.0261)</f>
        <v>8.0261</v>
      </c>
      <c r="AS71" s="296">
        <f>IFERROR(__xludf.DUMMYFUNCTION("""COMPUTED_VALUE"""),8.0261)</f>
        <v>8.0261</v>
      </c>
      <c r="AT71" s="296">
        <f>IFERROR(__xludf.DUMMYFUNCTION("""COMPUTED_VALUE"""),8.0261)</f>
        <v>8.0261</v>
      </c>
      <c r="AU71" s="296">
        <f>IFERROR(__xludf.DUMMYFUNCTION("""COMPUTED_VALUE"""),8.0261)</f>
        <v>8.0261</v>
      </c>
      <c r="AV71" s="296">
        <f>IFERROR(__xludf.DUMMYFUNCTION("""COMPUTED_VALUE"""),8.0261)</f>
        <v>8.0261</v>
      </c>
      <c r="AW71" s="296">
        <f>IFERROR(__xludf.DUMMYFUNCTION("""COMPUTED_VALUE"""),8.0261)</f>
        <v>8.0261</v>
      </c>
      <c r="AX71" s="296">
        <f>IFERROR(__xludf.DUMMYFUNCTION("""COMPUTED_VALUE"""),8.0261)</f>
        <v>8.0261</v>
      </c>
      <c r="AY71" s="296">
        <f>IFERROR(__xludf.DUMMYFUNCTION("""COMPUTED_VALUE"""),8.0261)</f>
        <v>8.0261</v>
      </c>
      <c r="AZ71" s="296">
        <f>IFERROR(__xludf.DUMMYFUNCTION("""COMPUTED_VALUE"""),8.0261)</f>
        <v>8.0261</v>
      </c>
      <c r="BA71" s="296">
        <f>IFERROR(__xludf.DUMMYFUNCTION("""COMPUTED_VALUE"""),8.1281)</f>
        <v>8.1281</v>
      </c>
      <c r="BB71" s="296">
        <f>IFERROR(__xludf.DUMMYFUNCTION("""COMPUTED_VALUE"""),8.1281)</f>
        <v>8.1281</v>
      </c>
      <c r="BC71" s="296">
        <f>IFERROR(__xludf.DUMMYFUNCTION("""COMPUTED_VALUE"""),8.1281)</f>
        <v>8.1281</v>
      </c>
      <c r="BD71" s="296">
        <f>IFERROR(__xludf.DUMMYFUNCTION("""COMPUTED_VALUE"""),8.1281)</f>
        <v>8.1281</v>
      </c>
      <c r="BE71" s="296">
        <f>IFERROR(__xludf.DUMMYFUNCTION("""COMPUTED_VALUE"""),8.1281)</f>
        <v>8.1281</v>
      </c>
      <c r="BF71" s="296">
        <f>IFERROR(__xludf.DUMMYFUNCTION("""COMPUTED_VALUE"""),8.1281)</f>
        <v>8.1281</v>
      </c>
      <c r="BG71" s="296">
        <f>IFERROR(__xludf.DUMMYFUNCTION("""COMPUTED_VALUE"""),8.1281)</f>
        <v>8.1281</v>
      </c>
      <c r="BH71" s="296">
        <f>IFERROR(__xludf.DUMMYFUNCTION("""COMPUTED_VALUE"""),8.1281)</f>
        <v>8.1281</v>
      </c>
      <c r="BI71" s="296">
        <f>IFERROR(__xludf.DUMMYFUNCTION("""COMPUTED_VALUE"""),8.1281)</f>
        <v>8.1281</v>
      </c>
      <c r="BJ71" s="296">
        <f>IFERROR(__xludf.DUMMYFUNCTION("""COMPUTED_VALUE"""),8.1281)</f>
        <v>8.1281</v>
      </c>
      <c r="BK71" s="296">
        <f>IFERROR(__xludf.DUMMYFUNCTION("""COMPUTED_VALUE"""),8.1281)</f>
        <v>8.1281</v>
      </c>
      <c r="BL71" s="296">
        <f>IFERROR(__xludf.DUMMYFUNCTION("""COMPUTED_VALUE"""),8.1281)</f>
        <v>8.1281</v>
      </c>
      <c r="BM71" s="296">
        <f>IFERROR(__xludf.DUMMYFUNCTION("""COMPUTED_VALUE"""),8.1281)</f>
        <v>8.1281</v>
      </c>
      <c r="BN71" s="296">
        <f>IFERROR(__xludf.DUMMYFUNCTION("""COMPUTED_VALUE"""),8.1281)</f>
        <v>8.1281</v>
      </c>
    </row>
    <row r="7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row>
    <row r="73">
      <c r="L73" s="292" t="str">
        <f>IFERROR(__xludf.DUMMYFUNCTION("""COMPUTED_VALUE"""),"DK")</f>
        <v>DK</v>
      </c>
      <c r="M73" s="292">
        <f>IFERROR(__xludf.DUMMYFUNCTION("""COMPUTED_VALUE"""),4.0)</f>
        <v>4</v>
      </c>
      <c r="N73" s="298">
        <f>IFERROR(__xludf.DUMMYFUNCTION("""COMPUTED_VALUE"""),0.3443)</f>
        <v>0.3443</v>
      </c>
      <c r="O73" s="298">
        <f>IFERROR(__xludf.DUMMYFUNCTION("""COMPUTED_VALUE"""),0.3443)</f>
        <v>0.3443</v>
      </c>
      <c r="P73" s="298">
        <f>IFERROR(__xludf.DUMMYFUNCTION("""COMPUTED_VALUE"""),0.3388)</f>
        <v>0.3388</v>
      </c>
      <c r="Q73" s="298">
        <f>IFERROR(__xludf.DUMMYFUNCTION("""COMPUTED_VALUE"""),0.3354)</f>
        <v>0.3354</v>
      </c>
      <c r="R73" s="298">
        <f>IFERROR(__xludf.DUMMYFUNCTION("""COMPUTED_VALUE"""),0.3338)</f>
        <v>0.3338</v>
      </c>
      <c r="S73" s="298">
        <f>IFERROR(__xludf.DUMMYFUNCTION("""COMPUTED_VALUE"""),0.3317)</f>
        <v>0.3317</v>
      </c>
      <c r="T73" s="298">
        <f>IFERROR(__xludf.DUMMYFUNCTION("""COMPUTED_VALUE"""),0.3311)</f>
        <v>0.3311</v>
      </c>
      <c r="U73" s="298">
        <f>IFERROR(__xludf.DUMMYFUNCTION("""COMPUTED_VALUE"""),0.3326)</f>
        <v>0.3326</v>
      </c>
      <c r="V73" s="298">
        <f>IFERROR(__xludf.DUMMYFUNCTION("""COMPUTED_VALUE"""),0.3326)</f>
        <v>0.3326</v>
      </c>
      <c r="W73" s="298">
        <f>IFERROR(__xludf.DUMMYFUNCTION("""COMPUTED_VALUE"""),0.3329)</f>
        <v>0.3329</v>
      </c>
      <c r="X73" s="298">
        <f>IFERROR(__xludf.DUMMYFUNCTION("""COMPUTED_VALUE"""),0.3372)</f>
        <v>0.3372</v>
      </c>
      <c r="Y73" s="298">
        <f>IFERROR(__xludf.DUMMYFUNCTION("""COMPUTED_VALUE"""),0.3395)</f>
        <v>0.3395</v>
      </c>
      <c r="Z73" s="298">
        <f>IFERROR(__xludf.DUMMYFUNCTION("""COMPUTED_VALUE"""),0.3411)</f>
        <v>0.3411</v>
      </c>
      <c r="AA73" s="298">
        <f>IFERROR(__xludf.DUMMYFUNCTION("""COMPUTED_VALUE"""),0.3452)</f>
        <v>0.3452</v>
      </c>
      <c r="AB73" s="298">
        <f>IFERROR(__xludf.DUMMYFUNCTION("""COMPUTED_VALUE"""),0.3452)</f>
        <v>0.3452</v>
      </c>
      <c r="AC73" s="298">
        <f>IFERROR(__xludf.DUMMYFUNCTION("""COMPUTED_VALUE"""),0.3452)</f>
        <v>0.3452</v>
      </c>
      <c r="AD73" s="298">
        <f>IFERROR(__xludf.DUMMYFUNCTION("""COMPUTED_VALUE"""),0.3452)</f>
        <v>0.3452</v>
      </c>
      <c r="AE73" s="298">
        <f>IFERROR(__xludf.DUMMYFUNCTION("""COMPUTED_VALUE"""),0.3452)</f>
        <v>0.3452</v>
      </c>
      <c r="AF73" s="298">
        <f>IFERROR(__xludf.DUMMYFUNCTION("""COMPUTED_VALUE"""),0.3452)</f>
        <v>0.3452</v>
      </c>
      <c r="AG73" s="298">
        <f>IFERROR(__xludf.DUMMYFUNCTION("""COMPUTED_VALUE"""),0.3452)</f>
        <v>0.3452</v>
      </c>
      <c r="AH73" s="298">
        <f>IFERROR(__xludf.DUMMYFUNCTION("""COMPUTED_VALUE"""),0.3452)</f>
        <v>0.3452</v>
      </c>
      <c r="AI73" s="298">
        <f>IFERROR(__xludf.DUMMYFUNCTION("""COMPUTED_VALUE"""),0.3452)</f>
        <v>0.3452</v>
      </c>
      <c r="AJ73" s="298">
        <f>IFERROR(__xludf.DUMMYFUNCTION("""COMPUTED_VALUE"""),0.3452)</f>
        <v>0.3452</v>
      </c>
      <c r="AK73" s="298">
        <f>IFERROR(__xludf.DUMMYFUNCTION("""COMPUTED_VALUE"""),0.3452)</f>
        <v>0.3452</v>
      </c>
      <c r="AL73" s="298">
        <f>IFERROR(__xludf.DUMMYFUNCTION("""COMPUTED_VALUE"""),0.3452)</f>
        <v>0.3452</v>
      </c>
      <c r="AM73" s="298">
        <f>IFERROR(__xludf.DUMMYFUNCTION("""COMPUTED_VALUE"""),0.3452)</f>
        <v>0.3452</v>
      </c>
      <c r="AN73" s="298">
        <f>IFERROR(__xludf.DUMMYFUNCTION("""COMPUTED_VALUE"""),0.3452)</f>
        <v>0.3452</v>
      </c>
      <c r="AO73" s="298">
        <f>IFERROR(__xludf.DUMMYFUNCTION("""COMPUTED_VALUE"""),0.3452)</f>
        <v>0.3452</v>
      </c>
      <c r="AP73" s="298">
        <f>IFERROR(__xludf.DUMMYFUNCTION("""COMPUTED_VALUE"""),0.3452)</f>
        <v>0.3452</v>
      </c>
      <c r="AQ73" s="298">
        <f>IFERROR(__xludf.DUMMYFUNCTION("""COMPUTED_VALUE"""),0.3452)</f>
        <v>0.3452</v>
      </c>
      <c r="AR73" s="298">
        <f>IFERROR(__xludf.DUMMYFUNCTION("""COMPUTED_VALUE"""),0.3452)</f>
        <v>0.3452</v>
      </c>
      <c r="AS73" s="298">
        <f>IFERROR(__xludf.DUMMYFUNCTION("""COMPUTED_VALUE"""),0.3452)</f>
        <v>0.3452</v>
      </c>
      <c r="AT73" s="298">
        <f>IFERROR(__xludf.DUMMYFUNCTION("""COMPUTED_VALUE"""),0.3452)</f>
        <v>0.3452</v>
      </c>
      <c r="AU73" s="298">
        <f>IFERROR(__xludf.DUMMYFUNCTION("""COMPUTED_VALUE"""),0.3452)</f>
        <v>0.3452</v>
      </c>
      <c r="AV73" s="298">
        <f>IFERROR(__xludf.DUMMYFUNCTION("""COMPUTED_VALUE"""),0.3452)</f>
        <v>0.3452</v>
      </c>
      <c r="AW73" s="298">
        <f>IFERROR(__xludf.DUMMYFUNCTION("""COMPUTED_VALUE"""),0.3452)</f>
        <v>0.3452</v>
      </c>
      <c r="AX73" s="298">
        <f>IFERROR(__xludf.DUMMYFUNCTION("""COMPUTED_VALUE"""),0.3452)</f>
        <v>0.3452</v>
      </c>
      <c r="AY73" s="298">
        <f>IFERROR(__xludf.DUMMYFUNCTION("""COMPUTED_VALUE"""),0.3452)</f>
        <v>0.3452</v>
      </c>
      <c r="AZ73" s="298">
        <f>IFERROR(__xludf.DUMMYFUNCTION("""COMPUTED_VALUE"""),0.3452)</f>
        <v>0.3452</v>
      </c>
      <c r="BA73" s="298">
        <f>IFERROR(__xludf.DUMMYFUNCTION("""COMPUTED_VALUE"""),0.3452)</f>
        <v>0.3452</v>
      </c>
      <c r="BB73" s="298">
        <f>IFERROR(__xludf.DUMMYFUNCTION("""COMPUTED_VALUE"""),0.3452)</f>
        <v>0.3452</v>
      </c>
      <c r="BC73" s="298">
        <f>IFERROR(__xludf.DUMMYFUNCTION("""COMPUTED_VALUE"""),0.3452)</f>
        <v>0.3452</v>
      </c>
      <c r="BD73" s="298">
        <f>IFERROR(__xludf.DUMMYFUNCTION("""COMPUTED_VALUE"""),0.3452)</f>
        <v>0.3452</v>
      </c>
      <c r="BE73" s="298">
        <f>IFERROR(__xludf.DUMMYFUNCTION("""COMPUTED_VALUE"""),0.3452)</f>
        <v>0.3452</v>
      </c>
      <c r="BF73" s="298">
        <f>IFERROR(__xludf.DUMMYFUNCTION("""COMPUTED_VALUE"""),0.3452)</f>
        <v>0.3452</v>
      </c>
      <c r="BG73" s="298">
        <f>IFERROR(__xludf.DUMMYFUNCTION("""COMPUTED_VALUE"""),0.3452)</f>
        <v>0.3452</v>
      </c>
      <c r="BH73" s="298">
        <f>IFERROR(__xludf.DUMMYFUNCTION("""COMPUTED_VALUE"""),0.3452)</f>
        <v>0.3452</v>
      </c>
      <c r="BI73" s="298">
        <f>IFERROR(__xludf.DUMMYFUNCTION("""COMPUTED_VALUE"""),0.3452)</f>
        <v>0.3452</v>
      </c>
      <c r="BJ73" s="298">
        <f>IFERROR(__xludf.DUMMYFUNCTION("""COMPUTED_VALUE"""),0.3452)</f>
        <v>0.3452</v>
      </c>
      <c r="BK73" s="298">
        <f>IFERROR(__xludf.DUMMYFUNCTION("""COMPUTED_VALUE"""),0.3452)</f>
        <v>0.3452</v>
      </c>
      <c r="BL73" s="298">
        <f>IFERROR(__xludf.DUMMYFUNCTION("""COMPUTED_VALUE"""),0.3452)</f>
        <v>0.3452</v>
      </c>
      <c r="BM73" s="298">
        <f>IFERROR(__xludf.DUMMYFUNCTION("""COMPUTED_VALUE"""),0.3452)</f>
        <v>0.3452</v>
      </c>
      <c r="BN73" s="298">
        <f>IFERROR(__xludf.DUMMYFUNCTION("""COMPUTED_VALUE"""),0.3452)</f>
        <v>0.3452</v>
      </c>
    </row>
    <row r="74">
      <c r="L74" s="292"/>
      <c r="M74" s="292">
        <f>IFERROR(__xludf.DUMMYFUNCTION("""COMPUTED_VALUE"""),5.0)</f>
        <v>5</v>
      </c>
      <c r="N74" s="298">
        <f>IFERROR(__xludf.DUMMYFUNCTION("""COMPUTED_VALUE"""),0.014)</f>
        <v>0.014</v>
      </c>
      <c r="O74" s="298">
        <f>IFERROR(__xludf.DUMMYFUNCTION("""COMPUTED_VALUE"""),0.0154)</f>
        <v>0.0154</v>
      </c>
      <c r="P74" s="298">
        <f>IFERROR(__xludf.DUMMYFUNCTION("""COMPUTED_VALUE"""),0.0143)</f>
        <v>0.0143</v>
      </c>
      <c r="Q74" s="298">
        <f>IFERROR(__xludf.DUMMYFUNCTION("""COMPUTED_VALUE"""),0.0143)</f>
        <v>0.0143</v>
      </c>
      <c r="R74" s="298">
        <f>IFERROR(__xludf.DUMMYFUNCTION("""COMPUTED_VALUE"""),0.0147)</f>
        <v>0.0147</v>
      </c>
      <c r="S74" s="298">
        <f>IFERROR(__xludf.DUMMYFUNCTION("""COMPUTED_VALUE"""),0.0142)</f>
        <v>0.0142</v>
      </c>
      <c r="T74" s="298">
        <f>IFERROR(__xludf.DUMMYFUNCTION("""COMPUTED_VALUE"""),0.0145)</f>
        <v>0.0145</v>
      </c>
      <c r="U74" s="298">
        <f>IFERROR(__xludf.DUMMYFUNCTION("""COMPUTED_VALUE"""),0.0142)</f>
        <v>0.0142</v>
      </c>
      <c r="V74" s="298">
        <f>IFERROR(__xludf.DUMMYFUNCTION("""COMPUTED_VALUE"""),0.0142)</f>
        <v>0.0142</v>
      </c>
      <c r="W74" s="298">
        <f>IFERROR(__xludf.DUMMYFUNCTION("""COMPUTED_VALUE"""),0.0141)</f>
        <v>0.0141</v>
      </c>
      <c r="X74" s="298">
        <f>IFERROR(__xludf.DUMMYFUNCTION("""COMPUTED_VALUE"""),0.0143)</f>
        <v>0.0143</v>
      </c>
      <c r="Y74" s="298">
        <f>IFERROR(__xludf.DUMMYFUNCTION("""COMPUTED_VALUE"""),0.0142)</f>
        <v>0.0142</v>
      </c>
      <c r="Z74" s="298">
        <f>IFERROR(__xludf.DUMMYFUNCTION("""COMPUTED_VALUE"""),0.0144)</f>
        <v>0.0144</v>
      </c>
      <c r="AA74" s="298">
        <f>IFERROR(__xludf.DUMMYFUNCTION("""COMPUTED_VALUE"""),0.0193)</f>
        <v>0.0193</v>
      </c>
      <c r="AB74" s="298">
        <f>IFERROR(__xludf.DUMMYFUNCTION("""COMPUTED_VALUE"""),0.0193)</f>
        <v>0.0193</v>
      </c>
      <c r="AC74" s="298">
        <f>IFERROR(__xludf.DUMMYFUNCTION("""COMPUTED_VALUE"""),0.0193)</f>
        <v>0.0193</v>
      </c>
      <c r="AD74" s="298">
        <f>IFERROR(__xludf.DUMMYFUNCTION("""COMPUTED_VALUE"""),0.0193)</f>
        <v>0.0193</v>
      </c>
      <c r="AE74" s="298">
        <f>IFERROR(__xludf.DUMMYFUNCTION("""COMPUTED_VALUE"""),0.0193)</f>
        <v>0.0193</v>
      </c>
      <c r="AF74" s="298">
        <f>IFERROR(__xludf.DUMMYFUNCTION("""COMPUTED_VALUE"""),0.0193)</f>
        <v>0.0193</v>
      </c>
      <c r="AG74" s="298">
        <f>IFERROR(__xludf.DUMMYFUNCTION("""COMPUTED_VALUE"""),0.0193)</f>
        <v>0.0193</v>
      </c>
      <c r="AH74" s="298">
        <f>IFERROR(__xludf.DUMMYFUNCTION("""COMPUTED_VALUE"""),0.0193)</f>
        <v>0.0193</v>
      </c>
      <c r="AI74" s="298">
        <f>IFERROR(__xludf.DUMMYFUNCTION("""COMPUTED_VALUE"""),0.0193)</f>
        <v>0.0193</v>
      </c>
      <c r="AJ74" s="298">
        <f>IFERROR(__xludf.DUMMYFUNCTION("""COMPUTED_VALUE"""),0.0193)</f>
        <v>0.0193</v>
      </c>
      <c r="AK74" s="298">
        <f>IFERROR(__xludf.DUMMYFUNCTION("""COMPUTED_VALUE"""),0.0193)</f>
        <v>0.0193</v>
      </c>
      <c r="AL74" s="298">
        <f>IFERROR(__xludf.DUMMYFUNCTION("""COMPUTED_VALUE"""),0.0193)</f>
        <v>0.0193</v>
      </c>
      <c r="AM74" s="298">
        <f>IFERROR(__xludf.DUMMYFUNCTION("""COMPUTED_VALUE"""),0.0193)</f>
        <v>0.0193</v>
      </c>
      <c r="AN74" s="298">
        <f>IFERROR(__xludf.DUMMYFUNCTION("""COMPUTED_VALUE"""),0.0193)</f>
        <v>0.0193</v>
      </c>
      <c r="AO74" s="298">
        <f>IFERROR(__xludf.DUMMYFUNCTION("""COMPUTED_VALUE"""),0.0193)</f>
        <v>0.0193</v>
      </c>
      <c r="AP74" s="298">
        <f>IFERROR(__xludf.DUMMYFUNCTION("""COMPUTED_VALUE"""),0.0193)</f>
        <v>0.0193</v>
      </c>
      <c r="AQ74" s="298">
        <f>IFERROR(__xludf.DUMMYFUNCTION("""COMPUTED_VALUE"""),0.0193)</f>
        <v>0.0193</v>
      </c>
      <c r="AR74" s="298">
        <f>IFERROR(__xludf.DUMMYFUNCTION("""COMPUTED_VALUE"""),0.0193)</f>
        <v>0.0193</v>
      </c>
      <c r="AS74" s="298">
        <f>IFERROR(__xludf.DUMMYFUNCTION("""COMPUTED_VALUE"""),0.0193)</f>
        <v>0.0193</v>
      </c>
      <c r="AT74" s="298">
        <f>IFERROR(__xludf.DUMMYFUNCTION("""COMPUTED_VALUE"""),0.0193)</f>
        <v>0.0193</v>
      </c>
      <c r="AU74" s="298">
        <f>IFERROR(__xludf.DUMMYFUNCTION("""COMPUTED_VALUE"""),0.0193)</f>
        <v>0.0193</v>
      </c>
      <c r="AV74" s="298">
        <f>IFERROR(__xludf.DUMMYFUNCTION("""COMPUTED_VALUE"""),0.0193)</f>
        <v>0.0193</v>
      </c>
      <c r="AW74" s="298">
        <f>IFERROR(__xludf.DUMMYFUNCTION("""COMPUTED_VALUE"""),0.0193)</f>
        <v>0.0193</v>
      </c>
      <c r="AX74" s="298">
        <f>IFERROR(__xludf.DUMMYFUNCTION("""COMPUTED_VALUE"""),0.0193)</f>
        <v>0.0193</v>
      </c>
      <c r="AY74" s="298">
        <f>IFERROR(__xludf.DUMMYFUNCTION("""COMPUTED_VALUE"""),0.0193)</f>
        <v>0.0193</v>
      </c>
      <c r="AZ74" s="298">
        <f>IFERROR(__xludf.DUMMYFUNCTION("""COMPUTED_VALUE"""),0.0193)</f>
        <v>0.0193</v>
      </c>
      <c r="BA74" s="298">
        <f>IFERROR(__xludf.DUMMYFUNCTION("""COMPUTED_VALUE"""),0.0193)</f>
        <v>0.0193</v>
      </c>
      <c r="BB74" s="298">
        <f>IFERROR(__xludf.DUMMYFUNCTION("""COMPUTED_VALUE"""),0.0193)</f>
        <v>0.0193</v>
      </c>
      <c r="BC74" s="298">
        <f>IFERROR(__xludf.DUMMYFUNCTION("""COMPUTED_VALUE"""),0.0193)</f>
        <v>0.0193</v>
      </c>
      <c r="BD74" s="298">
        <f>IFERROR(__xludf.DUMMYFUNCTION("""COMPUTED_VALUE"""),0.0193)</f>
        <v>0.0193</v>
      </c>
      <c r="BE74" s="298">
        <f>IFERROR(__xludf.DUMMYFUNCTION("""COMPUTED_VALUE"""),0.0193)</f>
        <v>0.0193</v>
      </c>
      <c r="BF74" s="298">
        <f>IFERROR(__xludf.DUMMYFUNCTION("""COMPUTED_VALUE"""),0.0193)</f>
        <v>0.0193</v>
      </c>
      <c r="BG74" s="298">
        <f>IFERROR(__xludf.DUMMYFUNCTION("""COMPUTED_VALUE"""),0.0193)</f>
        <v>0.0193</v>
      </c>
      <c r="BH74" s="298">
        <f>IFERROR(__xludf.DUMMYFUNCTION("""COMPUTED_VALUE"""),0.0193)</f>
        <v>0.0193</v>
      </c>
      <c r="BI74" s="298">
        <f>IFERROR(__xludf.DUMMYFUNCTION("""COMPUTED_VALUE"""),0.0193)</f>
        <v>0.0193</v>
      </c>
      <c r="BJ74" s="298">
        <f>IFERROR(__xludf.DUMMYFUNCTION("""COMPUTED_VALUE"""),0.0193)</f>
        <v>0.0193</v>
      </c>
      <c r="BK74" s="298">
        <f>IFERROR(__xludf.DUMMYFUNCTION("""COMPUTED_VALUE"""),0.0193)</f>
        <v>0.0193</v>
      </c>
      <c r="BL74" s="298">
        <f>IFERROR(__xludf.DUMMYFUNCTION("""COMPUTED_VALUE"""),0.0193)</f>
        <v>0.0193</v>
      </c>
      <c r="BM74" s="298">
        <f>IFERROR(__xludf.DUMMYFUNCTION("""COMPUTED_VALUE"""),0.0193)</f>
        <v>0.0193</v>
      </c>
      <c r="BN74" s="298">
        <f>IFERROR(__xludf.DUMMYFUNCTION("""COMPUTED_VALUE"""),0.0193)</f>
        <v>0.0193</v>
      </c>
    </row>
    <row r="75">
      <c r="L75" s="292"/>
      <c r="M75" s="292">
        <f>IFERROR(__xludf.DUMMYFUNCTION("""COMPUTED_VALUE"""),6.0)</f>
        <v>6</v>
      </c>
      <c r="N75" s="298">
        <f>IFERROR(__xludf.DUMMYFUNCTION("""COMPUTED_VALUE"""),0.2847)</f>
        <v>0.2847</v>
      </c>
      <c r="O75" s="298">
        <f>IFERROR(__xludf.DUMMYFUNCTION("""COMPUTED_VALUE"""),0.283)</f>
        <v>0.283</v>
      </c>
      <c r="P75" s="298">
        <f>IFERROR(__xludf.DUMMYFUNCTION("""COMPUTED_VALUE"""),0.2831)</f>
        <v>0.2831</v>
      </c>
      <c r="Q75" s="298">
        <f>IFERROR(__xludf.DUMMYFUNCTION("""COMPUTED_VALUE"""),0.2832)</f>
        <v>0.2832</v>
      </c>
      <c r="R75" s="298">
        <f>IFERROR(__xludf.DUMMYFUNCTION("""COMPUTED_VALUE"""),0.2837)</f>
        <v>0.2837</v>
      </c>
      <c r="S75" s="298">
        <f>IFERROR(__xludf.DUMMYFUNCTION("""COMPUTED_VALUE"""),0.2829)</f>
        <v>0.2829</v>
      </c>
      <c r="T75" s="298">
        <f>IFERROR(__xludf.DUMMYFUNCTION("""COMPUTED_VALUE"""),0.2828)</f>
        <v>0.2828</v>
      </c>
      <c r="U75" s="298">
        <f>IFERROR(__xludf.DUMMYFUNCTION("""COMPUTED_VALUE"""),0.2834)</f>
        <v>0.2834</v>
      </c>
      <c r="V75" s="298">
        <f>IFERROR(__xludf.DUMMYFUNCTION("""COMPUTED_VALUE"""),0.2831)</f>
        <v>0.2831</v>
      </c>
      <c r="W75" s="298">
        <f>IFERROR(__xludf.DUMMYFUNCTION("""COMPUTED_VALUE"""),0.2832)</f>
        <v>0.2832</v>
      </c>
      <c r="X75" s="298">
        <f>IFERROR(__xludf.DUMMYFUNCTION("""COMPUTED_VALUE"""),0.2841)</f>
        <v>0.2841</v>
      </c>
      <c r="Y75" s="298">
        <f>IFERROR(__xludf.DUMMYFUNCTION("""COMPUTED_VALUE"""),0.2837)</f>
        <v>0.2837</v>
      </c>
      <c r="Z75" s="298">
        <f>IFERROR(__xludf.DUMMYFUNCTION("""COMPUTED_VALUE"""),0.2844)</f>
        <v>0.2844</v>
      </c>
      <c r="AA75" s="298">
        <f>IFERROR(__xludf.DUMMYFUNCTION("""COMPUTED_VALUE"""),0.2575)</f>
        <v>0.2575</v>
      </c>
      <c r="AB75" s="298">
        <f>IFERROR(__xludf.DUMMYFUNCTION("""COMPUTED_VALUE"""),0.2575)</f>
        <v>0.2575</v>
      </c>
      <c r="AC75" s="298">
        <f>IFERROR(__xludf.DUMMYFUNCTION("""COMPUTED_VALUE"""),0.2575)</f>
        <v>0.2575</v>
      </c>
      <c r="AD75" s="298">
        <f>IFERROR(__xludf.DUMMYFUNCTION("""COMPUTED_VALUE"""),0.2575)</f>
        <v>0.2575</v>
      </c>
      <c r="AE75" s="298">
        <f>IFERROR(__xludf.DUMMYFUNCTION("""COMPUTED_VALUE"""),0.2575)</f>
        <v>0.2575</v>
      </c>
      <c r="AF75" s="298">
        <f>IFERROR(__xludf.DUMMYFUNCTION("""COMPUTED_VALUE"""),0.2575)</f>
        <v>0.2575</v>
      </c>
      <c r="AG75" s="298">
        <f>IFERROR(__xludf.DUMMYFUNCTION("""COMPUTED_VALUE"""),0.2575)</f>
        <v>0.2575</v>
      </c>
      <c r="AH75" s="298">
        <f>IFERROR(__xludf.DUMMYFUNCTION("""COMPUTED_VALUE"""),0.2575)</f>
        <v>0.2575</v>
      </c>
      <c r="AI75" s="298">
        <f>IFERROR(__xludf.DUMMYFUNCTION("""COMPUTED_VALUE"""),0.2575)</f>
        <v>0.2575</v>
      </c>
      <c r="AJ75" s="298">
        <f>IFERROR(__xludf.DUMMYFUNCTION("""COMPUTED_VALUE"""),0.2575)</f>
        <v>0.2575</v>
      </c>
      <c r="AK75" s="298">
        <f>IFERROR(__xludf.DUMMYFUNCTION("""COMPUTED_VALUE"""),0.2575)</f>
        <v>0.2575</v>
      </c>
      <c r="AL75" s="298">
        <f>IFERROR(__xludf.DUMMYFUNCTION("""COMPUTED_VALUE"""),0.2575)</f>
        <v>0.2575</v>
      </c>
      <c r="AM75" s="298">
        <f>IFERROR(__xludf.DUMMYFUNCTION("""COMPUTED_VALUE"""),0.2575)</f>
        <v>0.2575</v>
      </c>
      <c r="AN75" s="298">
        <f>IFERROR(__xludf.DUMMYFUNCTION("""COMPUTED_VALUE"""),0.2335)</f>
        <v>0.2335</v>
      </c>
      <c r="AO75" s="298">
        <f>IFERROR(__xludf.DUMMYFUNCTION("""COMPUTED_VALUE"""),0.2335)</f>
        <v>0.2335</v>
      </c>
      <c r="AP75" s="298">
        <f>IFERROR(__xludf.DUMMYFUNCTION("""COMPUTED_VALUE"""),0.2335)</f>
        <v>0.2335</v>
      </c>
      <c r="AQ75" s="298">
        <f>IFERROR(__xludf.DUMMYFUNCTION("""COMPUTED_VALUE"""),0.2335)</f>
        <v>0.2335</v>
      </c>
      <c r="AR75" s="298">
        <f>IFERROR(__xludf.DUMMYFUNCTION("""COMPUTED_VALUE"""),0.2335)</f>
        <v>0.2335</v>
      </c>
      <c r="AS75" s="298">
        <f>IFERROR(__xludf.DUMMYFUNCTION("""COMPUTED_VALUE"""),0.2335)</f>
        <v>0.2335</v>
      </c>
      <c r="AT75" s="298">
        <f>IFERROR(__xludf.DUMMYFUNCTION("""COMPUTED_VALUE"""),0.2335)</f>
        <v>0.2335</v>
      </c>
      <c r="AU75" s="298">
        <f>IFERROR(__xludf.DUMMYFUNCTION("""COMPUTED_VALUE"""),0.2335)</f>
        <v>0.2335</v>
      </c>
      <c r="AV75" s="298">
        <f>IFERROR(__xludf.DUMMYFUNCTION("""COMPUTED_VALUE"""),0.2335)</f>
        <v>0.2335</v>
      </c>
      <c r="AW75" s="298">
        <f>IFERROR(__xludf.DUMMYFUNCTION("""COMPUTED_VALUE"""),0.2335)</f>
        <v>0.2335</v>
      </c>
      <c r="AX75" s="298">
        <f>IFERROR(__xludf.DUMMYFUNCTION("""COMPUTED_VALUE"""),0.2335)</f>
        <v>0.2335</v>
      </c>
      <c r="AY75" s="298">
        <f>IFERROR(__xludf.DUMMYFUNCTION("""COMPUTED_VALUE"""),0.2335)</f>
        <v>0.2335</v>
      </c>
      <c r="AZ75" s="298">
        <f>IFERROR(__xludf.DUMMYFUNCTION("""COMPUTED_VALUE"""),0.2335)</f>
        <v>0.2335</v>
      </c>
      <c r="BA75" s="298">
        <f>IFERROR(__xludf.DUMMYFUNCTION("""COMPUTED_VALUE"""),0.1825)</f>
        <v>0.1825</v>
      </c>
      <c r="BB75" s="298">
        <f>IFERROR(__xludf.DUMMYFUNCTION("""COMPUTED_VALUE"""),0.1825)</f>
        <v>0.1825</v>
      </c>
      <c r="BC75" s="298">
        <f>IFERROR(__xludf.DUMMYFUNCTION("""COMPUTED_VALUE"""),0.1825)</f>
        <v>0.1825</v>
      </c>
      <c r="BD75" s="298">
        <f>IFERROR(__xludf.DUMMYFUNCTION("""COMPUTED_VALUE"""),0.1825)</f>
        <v>0.1825</v>
      </c>
      <c r="BE75" s="298">
        <f>IFERROR(__xludf.DUMMYFUNCTION("""COMPUTED_VALUE"""),0.1825)</f>
        <v>0.1825</v>
      </c>
      <c r="BF75" s="298">
        <f>IFERROR(__xludf.DUMMYFUNCTION("""COMPUTED_VALUE"""),0.1825)</f>
        <v>0.1825</v>
      </c>
      <c r="BG75" s="298">
        <f>IFERROR(__xludf.DUMMYFUNCTION("""COMPUTED_VALUE"""),0.1825)</f>
        <v>0.1825</v>
      </c>
      <c r="BH75" s="298">
        <f>IFERROR(__xludf.DUMMYFUNCTION("""COMPUTED_VALUE"""),0.1825)</f>
        <v>0.1825</v>
      </c>
      <c r="BI75" s="298">
        <f>IFERROR(__xludf.DUMMYFUNCTION("""COMPUTED_VALUE"""),0.1825)</f>
        <v>0.1825</v>
      </c>
      <c r="BJ75" s="298">
        <f>IFERROR(__xludf.DUMMYFUNCTION("""COMPUTED_VALUE"""),0.1825)</f>
        <v>0.1825</v>
      </c>
      <c r="BK75" s="298">
        <f>IFERROR(__xludf.DUMMYFUNCTION("""COMPUTED_VALUE"""),0.1825)</f>
        <v>0.1825</v>
      </c>
      <c r="BL75" s="298">
        <f>IFERROR(__xludf.DUMMYFUNCTION("""COMPUTED_VALUE"""),0.1825)</f>
        <v>0.1825</v>
      </c>
      <c r="BM75" s="298">
        <f>IFERROR(__xludf.DUMMYFUNCTION("""COMPUTED_VALUE"""),0.1825)</f>
        <v>0.1825</v>
      </c>
      <c r="BN75" s="298">
        <f>IFERROR(__xludf.DUMMYFUNCTION("""COMPUTED_VALUE"""),0.1825)</f>
        <v>0.1825</v>
      </c>
    </row>
    <row r="76">
      <c r="L76" s="292"/>
      <c r="M76" s="292">
        <f>IFERROR(__xludf.DUMMYFUNCTION("""COMPUTED_VALUE"""),7.0)</f>
        <v>7</v>
      </c>
      <c r="N76" s="298">
        <f>IFERROR(__xludf.DUMMYFUNCTION("""COMPUTED_VALUE"""),0.0077)</f>
        <v>0.0077</v>
      </c>
      <c r="O76" s="298">
        <f>IFERROR(__xludf.DUMMYFUNCTION("""COMPUTED_VALUE"""),0.0075)</f>
        <v>0.0075</v>
      </c>
      <c r="P76" s="298">
        <f>IFERROR(__xludf.DUMMYFUNCTION("""COMPUTED_VALUE"""),0.0074)</f>
        <v>0.0074</v>
      </c>
      <c r="Q76" s="298">
        <f>IFERROR(__xludf.DUMMYFUNCTION("""COMPUTED_VALUE"""),0.0077)</f>
        <v>0.0077</v>
      </c>
      <c r="R76" s="298">
        <f>IFERROR(__xludf.DUMMYFUNCTION("""COMPUTED_VALUE"""),0.0074)</f>
        <v>0.0074</v>
      </c>
      <c r="S76" s="298">
        <f>IFERROR(__xludf.DUMMYFUNCTION("""COMPUTED_VALUE"""),0.0078)</f>
        <v>0.0078</v>
      </c>
      <c r="T76" s="298">
        <f>IFERROR(__xludf.DUMMYFUNCTION("""COMPUTED_VALUE"""),0.0075)</f>
        <v>0.0075</v>
      </c>
      <c r="U76" s="298">
        <f>IFERROR(__xludf.DUMMYFUNCTION("""COMPUTED_VALUE"""),0.0073)</f>
        <v>0.0073</v>
      </c>
      <c r="V76" s="298">
        <f>IFERROR(__xludf.DUMMYFUNCTION("""COMPUTED_VALUE"""),0.0073)</f>
        <v>0.0073</v>
      </c>
      <c r="W76" s="298">
        <f>IFERROR(__xludf.DUMMYFUNCTION("""COMPUTED_VALUE"""),0.007)</f>
        <v>0.007</v>
      </c>
      <c r="X76" s="298">
        <f>IFERROR(__xludf.DUMMYFUNCTION("""COMPUTED_VALUE"""),0.0065)</f>
        <v>0.0065</v>
      </c>
      <c r="Y76" s="298">
        <f>IFERROR(__xludf.DUMMYFUNCTION("""COMPUTED_VALUE"""),0.0064)</f>
        <v>0.0064</v>
      </c>
      <c r="Z76" s="298">
        <f>IFERROR(__xludf.DUMMYFUNCTION("""COMPUTED_VALUE"""),0.0067)</f>
        <v>0.0067</v>
      </c>
      <c r="AA76" s="298">
        <f>IFERROR(__xludf.DUMMYFUNCTION("""COMPUTED_VALUE"""),0.011)</f>
        <v>0.011</v>
      </c>
      <c r="AB76" s="298">
        <f>IFERROR(__xludf.DUMMYFUNCTION("""COMPUTED_VALUE"""),0.011)</f>
        <v>0.011</v>
      </c>
      <c r="AC76" s="298">
        <f>IFERROR(__xludf.DUMMYFUNCTION("""COMPUTED_VALUE"""),0.011)</f>
        <v>0.011</v>
      </c>
      <c r="AD76" s="298">
        <f>IFERROR(__xludf.DUMMYFUNCTION("""COMPUTED_VALUE"""),0.011)</f>
        <v>0.011</v>
      </c>
      <c r="AE76" s="298">
        <f>IFERROR(__xludf.DUMMYFUNCTION("""COMPUTED_VALUE"""),0.011)</f>
        <v>0.011</v>
      </c>
      <c r="AF76" s="298">
        <f>IFERROR(__xludf.DUMMYFUNCTION("""COMPUTED_VALUE"""),0.011)</f>
        <v>0.011</v>
      </c>
      <c r="AG76" s="298">
        <f>IFERROR(__xludf.DUMMYFUNCTION("""COMPUTED_VALUE"""),0.011)</f>
        <v>0.011</v>
      </c>
      <c r="AH76" s="298">
        <f>IFERROR(__xludf.DUMMYFUNCTION("""COMPUTED_VALUE"""),0.011)</f>
        <v>0.011</v>
      </c>
      <c r="AI76" s="298">
        <f>IFERROR(__xludf.DUMMYFUNCTION("""COMPUTED_VALUE"""),0.011)</f>
        <v>0.011</v>
      </c>
      <c r="AJ76" s="298">
        <f>IFERROR(__xludf.DUMMYFUNCTION("""COMPUTED_VALUE"""),0.011)</f>
        <v>0.011</v>
      </c>
      <c r="AK76" s="298">
        <f>IFERROR(__xludf.DUMMYFUNCTION("""COMPUTED_VALUE"""),0.011)</f>
        <v>0.011</v>
      </c>
      <c r="AL76" s="298">
        <f>IFERROR(__xludf.DUMMYFUNCTION("""COMPUTED_VALUE"""),0.011)</f>
        <v>0.011</v>
      </c>
      <c r="AM76" s="298">
        <f>IFERROR(__xludf.DUMMYFUNCTION("""COMPUTED_VALUE"""),0.011)</f>
        <v>0.011</v>
      </c>
      <c r="AN76" s="298">
        <f>IFERROR(__xludf.DUMMYFUNCTION("""COMPUTED_VALUE"""),0.011)</f>
        <v>0.011</v>
      </c>
      <c r="AO76" s="298">
        <f>IFERROR(__xludf.DUMMYFUNCTION("""COMPUTED_VALUE"""),0.011)</f>
        <v>0.011</v>
      </c>
      <c r="AP76" s="298">
        <f>IFERROR(__xludf.DUMMYFUNCTION("""COMPUTED_VALUE"""),0.011)</f>
        <v>0.011</v>
      </c>
      <c r="AQ76" s="298">
        <f>IFERROR(__xludf.DUMMYFUNCTION("""COMPUTED_VALUE"""),0.011)</f>
        <v>0.011</v>
      </c>
      <c r="AR76" s="298">
        <f>IFERROR(__xludf.DUMMYFUNCTION("""COMPUTED_VALUE"""),0.011)</f>
        <v>0.011</v>
      </c>
      <c r="AS76" s="298">
        <f>IFERROR(__xludf.DUMMYFUNCTION("""COMPUTED_VALUE"""),0.011)</f>
        <v>0.011</v>
      </c>
      <c r="AT76" s="298">
        <f>IFERROR(__xludf.DUMMYFUNCTION("""COMPUTED_VALUE"""),0.011)</f>
        <v>0.011</v>
      </c>
      <c r="AU76" s="298">
        <f>IFERROR(__xludf.DUMMYFUNCTION("""COMPUTED_VALUE"""),0.011)</f>
        <v>0.011</v>
      </c>
      <c r="AV76" s="298">
        <f>IFERROR(__xludf.DUMMYFUNCTION("""COMPUTED_VALUE"""),0.011)</f>
        <v>0.011</v>
      </c>
      <c r="AW76" s="298">
        <f>IFERROR(__xludf.DUMMYFUNCTION("""COMPUTED_VALUE"""),0.011)</f>
        <v>0.011</v>
      </c>
      <c r="AX76" s="298">
        <f>IFERROR(__xludf.DUMMYFUNCTION("""COMPUTED_VALUE"""),0.011)</f>
        <v>0.011</v>
      </c>
      <c r="AY76" s="298">
        <f>IFERROR(__xludf.DUMMYFUNCTION("""COMPUTED_VALUE"""),0.011)</f>
        <v>0.011</v>
      </c>
      <c r="AZ76" s="298">
        <f>IFERROR(__xludf.DUMMYFUNCTION("""COMPUTED_VALUE"""),0.011)</f>
        <v>0.011</v>
      </c>
      <c r="BA76" s="298">
        <f>IFERROR(__xludf.DUMMYFUNCTION("""COMPUTED_VALUE"""),0.011)</f>
        <v>0.011</v>
      </c>
      <c r="BB76" s="298">
        <f>IFERROR(__xludf.DUMMYFUNCTION("""COMPUTED_VALUE"""),0.011)</f>
        <v>0.011</v>
      </c>
      <c r="BC76" s="298">
        <f>IFERROR(__xludf.DUMMYFUNCTION("""COMPUTED_VALUE"""),0.011)</f>
        <v>0.011</v>
      </c>
      <c r="BD76" s="298">
        <f>IFERROR(__xludf.DUMMYFUNCTION("""COMPUTED_VALUE"""),0.011)</f>
        <v>0.011</v>
      </c>
      <c r="BE76" s="298">
        <f>IFERROR(__xludf.DUMMYFUNCTION("""COMPUTED_VALUE"""),0.011)</f>
        <v>0.011</v>
      </c>
      <c r="BF76" s="298">
        <f>IFERROR(__xludf.DUMMYFUNCTION("""COMPUTED_VALUE"""),0.011)</f>
        <v>0.011</v>
      </c>
      <c r="BG76" s="298">
        <f>IFERROR(__xludf.DUMMYFUNCTION("""COMPUTED_VALUE"""),0.011)</f>
        <v>0.011</v>
      </c>
      <c r="BH76" s="298">
        <f>IFERROR(__xludf.DUMMYFUNCTION("""COMPUTED_VALUE"""),0.011)</f>
        <v>0.011</v>
      </c>
      <c r="BI76" s="298">
        <f>IFERROR(__xludf.DUMMYFUNCTION("""COMPUTED_VALUE"""),0.011)</f>
        <v>0.011</v>
      </c>
      <c r="BJ76" s="298">
        <f>IFERROR(__xludf.DUMMYFUNCTION("""COMPUTED_VALUE"""),0.011)</f>
        <v>0.011</v>
      </c>
      <c r="BK76" s="298">
        <f>IFERROR(__xludf.DUMMYFUNCTION("""COMPUTED_VALUE"""),0.011)</f>
        <v>0.011</v>
      </c>
      <c r="BL76" s="298">
        <f>IFERROR(__xludf.DUMMYFUNCTION("""COMPUTED_VALUE"""),0.011)</f>
        <v>0.011</v>
      </c>
      <c r="BM76" s="298">
        <f>IFERROR(__xludf.DUMMYFUNCTION("""COMPUTED_VALUE"""),0.011)</f>
        <v>0.011</v>
      </c>
      <c r="BN76" s="298">
        <f>IFERROR(__xludf.DUMMYFUNCTION("""COMPUTED_VALUE"""),0.011)</f>
        <v>0.011</v>
      </c>
    </row>
    <row r="77">
      <c r="L77" s="292"/>
      <c r="M77" s="292">
        <f>IFERROR(__xludf.DUMMYFUNCTION("""COMPUTED_VALUE"""),8.0)</f>
        <v>8</v>
      </c>
      <c r="N77" s="298">
        <f>IFERROR(__xludf.DUMMYFUNCTION("""COMPUTED_VALUE"""),0.1536)</f>
        <v>0.1536</v>
      </c>
      <c r="O77" s="298">
        <f>IFERROR(__xludf.DUMMYFUNCTION("""COMPUTED_VALUE"""),0.154)</f>
        <v>0.154</v>
      </c>
      <c r="P77" s="298">
        <f>IFERROR(__xludf.DUMMYFUNCTION("""COMPUTED_VALUE"""),0.1522)</f>
        <v>0.1522</v>
      </c>
      <c r="Q77" s="298">
        <f>IFERROR(__xludf.DUMMYFUNCTION("""COMPUTED_VALUE"""),0.1521)</f>
        <v>0.1521</v>
      </c>
      <c r="R77" s="298">
        <f>IFERROR(__xludf.DUMMYFUNCTION("""COMPUTED_VALUE"""),0.1519)</f>
        <v>0.1519</v>
      </c>
      <c r="S77" s="298">
        <f>IFERROR(__xludf.DUMMYFUNCTION("""COMPUTED_VALUE"""),0.151)</f>
        <v>0.151</v>
      </c>
      <c r="T77" s="298">
        <f>IFERROR(__xludf.DUMMYFUNCTION("""COMPUTED_VALUE"""),0.151)</f>
        <v>0.151</v>
      </c>
      <c r="U77" s="298">
        <f>IFERROR(__xludf.DUMMYFUNCTION("""COMPUTED_VALUE"""),0.1511)</f>
        <v>0.1511</v>
      </c>
      <c r="V77" s="298">
        <f>IFERROR(__xludf.DUMMYFUNCTION("""COMPUTED_VALUE"""),0.1521)</f>
        <v>0.1521</v>
      </c>
      <c r="W77" s="298">
        <f>IFERROR(__xludf.DUMMYFUNCTION("""COMPUTED_VALUE"""),0.1514)</f>
        <v>0.1514</v>
      </c>
      <c r="X77" s="298">
        <f>IFERROR(__xludf.DUMMYFUNCTION("""COMPUTED_VALUE"""),0.1533)</f>
        <v>0.1533</v>
      </c>
      <c r="Y77" s="298">
        <f>IFERROR(__xludf.DUMMYFUNCTION("""COMPUTED_VALUE"""),0.1534)</f>
        <v>0.1534</v>
      </c>
      <c r="Z77" s="298">
        <f>IFERROR(__xludf.DUMMYFUNCTION("""COMPUTED_VALUE"""),0.153)</f>
        <v>0.153</v>
      </c>
      <c r="AA77" s="298">
        <f>IFERROR(__xludf.DUMMYFUNCTION("""COMPUTED_VALUE"""),0.1778)</f>
        <v>0.1778</v>
      </c>
      <c r="AB77" s="298">
        <f>IFERROR(__xludf.DUMMYFUNCTION("""COMPUTED_VALUE"""),0.1778)</f>
        <v>0.1778</v>
      </c>
      <c r="AC77" s="298">
        <f>IFERROR(__xludf.DUMMYFUNCTION("""COMPUTED_VALUE"""),0.1778)</f>
        <v>0.1778</v>
      </c>
      <c r="AD77" s="298">
        <f>IFERROR(__xludf.DUMMYFUNCTION("""COMPUTED_VALUE"""),0.1778)</f>
        <v>0.1778</v>
      </c>
      <c r="AE77" s="298">
        <f>IFERROR(__xludf.DUMMYFUNCTION("""COMPUTED_VALUE"""),0.1778)</f>
        <v>0.1778</v>
      </c>
      <c r="AF77" s="298">
        <f>IFERROR(__xludf.DUMMYFUNCTION("""COMPUTED_VALUE"""),0.1778)</f>
        <v>0.1778</v>
      </c>
      <c r="AG77" s="298">
        <f>IFERROR(__xludf.DUMMYFUNCTION("""COMPUTED_VALUE"""),0.1778)</f>
        <v>0.1778</v>
      </c>
      <c r="AH77" s="298">
        <f>IFERROR(__xludf.DUMMYFUNCTION("""COMPUTED_VALUE"""),0.1778)</f>
        <v>0.1778</v>
      </c>
      <c r="AI77" s="298">
        <f>IFERROR(__xludf.DUMMYFUNCTION("""COMPUTED_VALUE"""),0.1778)</f>
        <v>0.1778</v>
      </c>
      <c r="AJ77" s="298">
        <f>IFERROR(__xludf.DUMMYFUNCTION("""COMPUTED_VALUE"""),0.1778)</f>
        <v>0.1778</v>
      </c>
      <c r="AK77" s="298">
        <f>IFERROR(__xludf.DUMMYFUNCTION("""COMPUTED_VALUE"""),0.1778)</f>
        <v>0.1778</v>
      </c>
      <c r="AL77" s="298">
        <f>IFERROR(__xludf.DUMMYFUNCTION("""COMPUTED_VALUE"""),0.1778)</f>
        <v>0.1778</v>
      </c>
      <c r="AM77" s="298">
        <f>IFERROR(__xludf.DUMMYFUNCTION("""COMPUTED_VALUE"""),0.1778)</f>
        <v>0.1778</v>
      </c>
      <c r="AN77" s="298">
        <f>IFERROR(__xludf.DUMMYFUNCTION("""COMPUTED_VALUE"""),0.2018)</f>
        <v>0.2018</v>
      </c>
      <c r="AO77" s="298">
        <f>IFERROR(__xludf.DUMMYFUNCTION("""COMPUTED_VALUE"""),0.2018)</f>
        <v>0.2018</v>
      </c>
      <c r="AP77" s="298">
        <f>IFERROR(__xludf.DUMMYFUNCTION("""COMPUTED_VALUE"""),0.2018)</f>
        <v>0.2018</v>
      </c>
      <c r="AQ77" s="298">
        <f>IFERROR(__xludf.DUMMYFUNCTION("""COMPUTED_VALUE"""),0.2018)</f>
        <v>0.2018</v>
      </c>
      <c r="AR77" s="298">
        <f>IFERROR(__xludf.DUMMYFUNCTION("""COMPUTED_VALUE"""),0.2018)</f>
        <v>0.2018</v>
      </c>
      <c r="AS77" s="298">
        <f>IFERROR(__xludf.DUMMYFUNCTION("""COMPUTED_VALUE"""),0.2018)</f>
        <v>0.2018</v>
      </c>
      <c r="AT77" s="298">
        <f>IFERROR(__xludf.DUMMYFUNCTION("""COMPUTED_VALUE"""),0.2018)</f>
        <v>0.2018</v>
      </c>
      <c r="AU77" s="298">
        <f>IFERROR(__xludf.DUMMYFUNCTION("""COMPUTED_VALUE"""),0.2018)</f>
        <v>0.2018</v>
      </c>
      <c r="AV77" s="298">
        <f>IFERROR(__xludf.DUMMYFUNCTION("""COMPUTED_VALUE"""),0.2018)</f>
        <v>0.2018</v>
      </c>
      <c r="AW77" s="298">
        <f>IFERROR(__xludf.DUMMYFUNCTION("""COMPUTED_VALUE"""),0.2018)</f>
        <v>0.2018</v>
      </c>
      <c r="AX77" s="298">
        <f>IFERROR(__xludf.DUMMYFUNCTION("""COMPUTED_VALUE"""),0.2018)</f>
        <v>0.2018</v>
      </c>
      <c r="AY77" s="298">
        <f>IFERROR(__xludf.DUMMYFUNCTION("""COMPUTED_VALUE"""),0.2018)</f>
        <v>0.2018</v>
      </c>
      <c r="AZ77" s="298">
        <f>IFERROR(__xludf.DUMMYFUNCTION("""COMPUTED_VALUE"""),0.2018)</f>
        <v>0.2018</v>
      </c>
      <c r="BA77" s="298">
        <f>IFERROR(__xludf.DUMMYFUNCTION("""COMPUTED_VALUE"""),0.2528)</f>
        <v>0.2528</v>
      </c>
      <c r="BB77" s="298">
        <f>IFERROR(__xludf.DUMMYFUNCTION("""COMPUTED_VALUE"""),0.2528)</f>
        <v>0.2528</v>
      </c>
      <c r="BC77" s="298">
        <f>IFERROR(__xludf.DUMMYFUNCTION("""COMPUTED_VALUE"""),0.2528)</f>
        <v>0.2528</v>
      </c>
      <c r="BD77" s="298">
        <f>IFERROR(__xludf.DUMMYFUNCTION("""COMPUTED_VALUE"""),0.2528)</f>
        <v>0.2528</v>
      </c>
      <c r="BE77" s="298">
        <f>IFERROR(__xludf.DUMMYFUNCTION("""COMPUTED_VALUE"""),0.2528)</f>
        <v>0.2528</v>
      </c>
      <c r="BF77" s="298">
        <f>IFERROR(__xludf.DUMMYFUNCTION("""COMPUTED_VALUE"""),0.2528)</f>
        <v>0.2528</v>
      </c>
      <c r="BG77" s="298">
        <f>IFERROR(__xludf.DUMMYFUNCTION("""COMPUTED_VALUE"""),0.2528)</f>
        <v>0.2528</v>
      </c>
      <c r="BH77" s="298">
        <f>IFERROR(__xludf.DUMMYFUNCTION("""COMPUTED_VALUE"""),0.2528)</f>
        <v>0.2528</v>
      </c>
      <c r="BI77" s="298">
        <f>IFERROR(__xludf.DUMMYFUNCTION("""COMPUTED_VALUE"""),0.2528)</f>
        <v>0.2528</v>
      </c>
      <c r="BJ77" s="298">
        <f>IFERROR(__xludf.DUMMYFUNCTION("""COMPUTED_VALUE"""),0.2528)</f>
        <v>0.2528</v>
      </c>
      <c r="BK77" s="298">
        <f>IFERROR(__xludf.DUMMYFUNCTION("""COMPUTED_VALUE"""),0.2528)</f>
        <v>0.2528</v>
      </c>
      <c r="BL77" s="298">
        <f>IFERROR(__xludf.DUMMYFUNCTION("""COMPUTED_VALUE"""),0.2528)</f>
        <v>0.2528</v>
      </c>
      <c r="BM77" s="298">
        <f>IFERROR(__xludf.DUMMYFUNCTION("""COMPUTED_VALUE"""),0.2528)</f>
        <v>0.2528</v>
      </c>
      <c r="BN77" s="298">
        <f>IFERROR(__xludf.DUMMYFUNCTION("""COMPUTED_VALUE"""),0.2528)</f>
        <v>0.2528</v>
      </c>
    </row>
    <row r="78">
      <c r="L78" s="292"/>
      <c r="M78" s="292">
        <f>IFERROR(__xludf.DUMMYFUNCTION("""COMPUTED_VALUE"""),9.0)</f>
        <v>9</v>
      </c>
      <c r="N78" s="298">
        <f>IFERROR(__xludf.DUMMYFUNCTION("""COMPUTED_VALUE"""),0.0021)</f>
        <v>0.0021</v>
      </c>
      <c r="O78" s="298">
        <f>IFERROR(__xludf.DUMMYFUNCTION("""COMPUTED_VALUE"""),0.0025)</f>
        <v>0.0025</v>
      </c>
      <c r="P78" s="298">
        <f>IFERROR(__xludf.DUMMYFUNCTION("""COMPUTED_VALUE"""),0.0021)</f>
        <v>0.0021</v>
      </c>
      <c r="Q78" s="298">
        <f>IFERROR(__xludf.DUMMYFUNCTION("""COMPUTED_VALUE"""),0.0026)</f>
        <v>0.0026</v>
      </c>
      <c r="R78" s="298">
        <f>IFERROR(__xludf.DUMMYFUNCTION("""COMPUTED_VALUE"""),0.0025)</f>
        <v>0.0025</v>
      </c>
      <c r="S78" s="298">
        <f>IFERROR(__xludf.DUMMYFUNCTION("""COMPUTED_VALUE"""),0.0024)</f>
        <v>0.0024</v>
      </c>
      <c r="T78" s="298">
        <f>IFERROR(__xludf.DUMMYFUNCTION("""COMPUTED_VALUE"""),0.0023)</f>
        <v>0.0023</v>
      </c>
      <c r="U78" s="298">
        <f>IFERROR(__xludf.DUMMYFUNCTION("""COMPUTED_VALUE"""),0.0023)</f>
        <v>0.0023</v>
      </c>
      <c r="V78" s="298">
        <f>IFERROR(__xludf.DUMMYFUNCTION("""COMPUTED_VALUE"""),0.0023)</f>
        <v>0.0023</v>
      </c>
      <c r="W78" s="298">
        <f>IFERROR(__xludf.DUMMYFUNCTION("""COMPUTED_VALUE"""),0.0023)</f>
        <v>0.0023</v>
      </c>
      <c r="X78" s="298">
        <f>IFERROR(__xludf.DUMMYFUNCTION("""COMPUTED_VALUE"""),0.0023)</f>
        <v>0.0023</v>
      </c>
      <c r="Y78" s="298">
        <f>IFERROR(__xludf.DUMMYFUNCTION("""COMPUTED_VALUE"""),0.0024)</f>
        <v>0.0024</v>
      </c>
      <c r="Z78" s="298">
        <f>IFERROR(__xludf.DUMMYFUNCTION("""COMPUTED_VALUE"""),0.0021)</f>
        <v>0.0021</v>
      </c>
      <c r="AA78" s="298">
        <f>IFERROR(__xludf.DUMMYFUNCTION("""COMPUTED_VALUE"""),0.005)</f>
        <v>0.005</v>
      </c>
      <c r="AB78" s="298">
        <f>IFERROR(__xludf.DUMMYFUNCTION("""COMPUTED_VALUE"""),0.005)</f>
        <v>0.005</v>
      </c>
      <c r="AC78" s="298">
        <f>IFERROR(__xludf.DUMMYFUNCTION("""COMPUTED_VALUE"""),0.005)</f>
        <v>0.005</v>
      </c>
      <c r="AD78" s="298">
        <f>IFERROR(__xludf.DUMMYFUNCTION("""COMPUTED_VALUE"""),0.005)</f>
        <v>0.005</v>
      </c>
      <c r="AE78" s="298">
        <f>IFERROR(__xludf.DUMMYFUNCTION("""COMPUTED_VALUE"""),0.005)</f>
        <v>0.005</v>
      </c>
      <c r="AF78" s="298">
        <f>IFERROR(__xludf.DUMMYFUNCTION("""COMPUTED_VALUE"""),0.005)</f>
        <v>0.005</v>
      </c>
      <c r="AG78" s="298">
        <f>IFERROR(__xludf.DUMMYFUNCTION("""COMPUTED_VALUE"""),0.005)</f>
        <v>0.005</v>
      </c>
      <c r="AH78" s="298">
        <f>IFERROR(__xludf.DUMMYFUNCTION("""COMPUTED_VALUE"""),0.005)</f>
        <v>0.005</v>
      </c>
      <c r="AI78" s="298">
        <f>IFERROR(__xludf.DUMMYFUNCTION("""COMPUTED_VALUE"""),0.005)</f>
        <v>0.005</v>
      </c>
      <c r="AJ78" s="298">
        <f>IFERROR(__xludf.DUMMYFUNCTION("""COMPUTED_VALUE"""),0.005)</f>
        <v>0.005</v>
      </c>
      <c r="AK78" s="298">
        <f>IFERROR(__xludf.DUMMYFUNCTION("""COMPUTED_VALUE"""),0.005)</f>
        <v>0.005</v>
      </c>
      <c r="AL78" s="298">
        <f>IFERROR(__xludf.DUMMYFUNCTION("""COMPUTED_VALUE"""),0.005)</f>
        <v>0.005</v>
      </c>
      <c r="AM78" s="298">
        <f>IFERROR(__xludf.DUMMYFUNCTION("""COMPUTED_VALUE"""),0.005)</f>
        <v>0.005</v>
      </c>
      <c r="AN78" s="298">
        <f>IFERROR(__xludf.DUMMYFUNCTION("""COMPUTED_VALUE"""),0.005)</f>
        <v>0.005</v>
      </c>
      <c r="AO78" s="298">
        <f>IFERROR(__xludf.DUMMYFUNCTION("""COMPUTED_VALUE"""),0.005)</f>
        <v>0.005</v>
      </c>
      <c r="AP78" s="298">
        <f>IFERROR(__xludf.DUMMYFUNCTION("""COMPUTED_VALUE"""),0.005)</f>
        <v>0.005</v>
      </c>
      <c r="AQ78" s="298">
        <f>IFERROR(__xludf.DUMMYFUNCTION("""COMPUTED_VALUE"""),0.005)</f>
        <v>0.005</v>
      </c>
      <c r="AR78" s="298">
        <f>IFERROR(__xludf.DUMMYFUNCTION("""COMPUTED_VALUE"""),0.005)</f>
        <v>0.005</v>
      </c>
      <c r="AS78" s="298">
        <f>IFERROR(__xludf.DUMMYFUNCTION("""COMPUTED_VALUE"""),0.005)</f>
        <v>0.005</v>
      </c>
      <c r="AT78" s="298">
        <f>IFERROR(__xludf.DUMMYFUNCTION("""COMPUTED_VALUE"""),0.005)</f>
        <v>0.005</v>
      </c>
      <c r="AU78" s="298">
        <f>IFERROR(__xludf.DUMMYFUNCTION("""COMPUTED_VALUE"""),0.005)</f>
        <v>0.005</v>
      </c>
      <c r="AV78" s="298">
        <f>IFERROR(__xludf.DUMMYFUNCTION("""COMPUTED_VALUE"""),0.005)</f>
        <v>0.005</v>
      </c>
      <c r="AW78" s="298">
        <f>IFERROR(__xludf.DUMMYFUNCTION("""COMPUTED_VALUE"""),0.005)</f>
        <v>0.005</v>
      </c>
      <c r="AX78" s="298">
        <f>IFERROR(__xludf.DUMMYFUNCTION("""COMPUTED_VALUE"""),0.005)</f>
        <v>0.005</v>
      </c>
      <c r="AY78" s="298">
        <f>IFERROR(__xludf.DUMMYFUNCTION("""COMPUTED_VALUE"""),0.005)</f>
        <v>0.005</v>
      </c>
      <c r="AZ78" s="298">
        <f>IFERROR(__xludf.DUMMYFUNCTION("""COMPUTED_VALUE"""),0.005)</f>
        <v>0.005</v>
      </c>
      <c r="BA78" s="298">
        <f>IFERROR(__xludf.DUMMYFUNCTION("""COMPUTED_VALUE"""),0.005)</f>
        <v>0.005</v>
      </c>
      <c r="BB78" s="298">
        <f>IFERROR(__xludf.DUMMYFUNCTION("""COMPUTED_VALUE"""),0.005)</f>
        <v>0.005</v>
      </c>
      <c r="BC78" s="298">
        <f>IFERROR(__xludf.DUMMYFUNCTION("""COMPUTED_VALUE"""),0.005)</f>
        <v>0.005</v>
      </c>
      <c r="BD78" s="298">
        <f>IFERROR(__xludf.DUMMYFUNCTION("""COMPUTED_VALUE"""),0.005)</f>
        <v>0.005</v>
      </c>
      <c r="BE78" s="298">
        <f>IFERROR(__xludf.DUMMYFUNCTION("""COMPUTED_VALUE"""),0.005)</f>
        <v>0.005</v>
      </c>
      <c r="BF78" s="298">
        <f>IFERROR(__xludf.DUMMYFUNCTION("""COMPUTED_VALUE"""),0.005)</f>
        <v>0.005</v>
      </c>
      <c r="BG78" s="298">
        <f>IFERROR(__xludf.DUMMYFUNCTION("""COMPUTED_VALUE"""),0.005)</f>
        <v>0.005</v>
      </c>
      <c r="BH78" s="298">
        <f>IFERROR(__xludf.DUMMYFUNCTION("""COMPUTED_VALUE"""),0.005)</f>
        <v>0.005</v>
      </c>
      <c r="BI78" s="298">
        <f>IFERROR(__xludf.DUMMYFUNCTION("""COMPUTED_VALUE"""),0.005)</f>
        <v>0.005</v>
      </c>
      <c r="BJ78" s="298">
        <f>IFERROR(__xludf.DUMMYFUNCTION("""COMPUTED_VALUE"""),0.005)</f>
        <v>0.005</v>
      </c>
      <c r="BK78" s="298">
        <f>IFERROR(__xludf.DUMMYFUNCTION("""COMPUTED_VALUE"""),0.005)</f>
        <v>0.005</v>
      </c>
      <c r="BL78" s="298">
        <f>IFERROR(__xludf.DUMMYFUNCTION("""COMPUTED_VALUE"""),0.005)</f>
        <v>0.005</v>
      </c>
      <c r="BM78" s="298">
        <f>IFERROR(__xludf.DUMMYFUNCTION("""COMPUTED_VALUE"""),0.005)</f>
        <v>0.005</v>
      </c>
      <c r="BN78" s="298">
        <f>IFERROR(__xludf.DUMMYFUNCTION("""COMPUTED_VALUE"""),0.005)</f>
        <v>0.005</v>
      </c>
    </row>
    <row r="79">
      <c r="L79" s="292"/>
      <c r="M79" s="292">
        <f>IFERROR(__xludf.DUMMYFUNCTION("""COMPUTED_VALUE"""),10.0)</f>
        <v>10</v>
      </c>
      <c r="N79" s="298">
        <f>IFERROR(__xludf.DUMMYFUNCTION("""COMPUTED_VALUE"""),0.1066)</f>
        <v>0.1066</v>
      </c>
      <c r="O79" s="298">
        <f>IFERROR(__xludf.DUMMYFUNCTION("""COMPUTED_VALUE"""),0.1056)</f>
        <v>0.1056</v>
      </c>
      <c r="P79" s="298">
        <f>IFERROR(__xludf.DUMMYFUNCTION("""COMPUTED_VALUE"""),0.1103)</f>
        <v>0.1103</v>
      </c>
      <c r="Q79" s="298">
        <f>IFERROR(__xludf.DUMMYFUNCTION("""COMPUTED_VALUE"""),0.1116)</f>
        <v>0.1116</v>
      </c>
      <c r="R79" s="298">
        <f>IFERROR(__xludf.DUMMYFUNCTION("""COMPUTED_VALUE"""),0.1121)</f>
        <v>0.1121</v>
      </c>
      <c r="S79" s="298">
        <f>IFERROR(__xludf.DUMMYFUNCTION("""COMPUTED_VALUE"""),0.1133)</f>
        <v>0.1133</v>
      </c>
      <c r="T79" s="298">
        <f>IFERROR(__xludf.DUMMYFUNCTION("""COMPUTED_VALUE"""),0.114)</f>
        <v>0.114</v>
      </c>
      <c r="U79" s="298">
        <f>IFERROR(__xludf.DUMMYFUNCTION("""COMPUTED_VALUE"""),0.1135)</f>
        <v>0.1135</v>
      </c>
      <c r="V79" s="298">
        <f>IFERROR(__xludf.DUMMYFUNCTION("""COMPUTED_VALUE"""),0.1127)</f>
        <v>0.1127</v>
      </c>
      <c r="W79" s="298">
        <f>IFERROR(__xludf.DUMMYFUNCTION("""COMPUTED_VALUE"""),0.1135)</f>
        <v>0.1135</v>
      </c>
      <c r="X79" s="298">
        <f>IFERROR(__xludf.DUMMYFUNCTION("""COMPUTED_VALUE"""),0.1104)</f>
        <v>0.1104</v>
      </c>
      <c r="Y79" s="298">
        <f>IFERROR(__xludf.DUMMYFUNCTION("""COMPUTED_VALUE"""),0.1088)</f>
        <v>0.1088</v>
      </c>
      <c r="Z79" s="298">
        <f>IFERROR(__xludf.DUMMYFUNCTION("""COMPUTED_VALUE"""),0.1082)</f>
        <v>0.1082</v>
      </c>
      <c r="AA79" s="298">
        <f>IFERROR(__xludf.DUMMYFUNCTION("""COMPUTED_VALUE"""),0.0979)</f>
        <v>0.0979</v>
      </c>
      <c r="AB79" s="298">
        <f>IFERROR(__xludf.DUMMYFUNCTION("""COMPUTED_VALUE"""),0.0979)</f>
        <v>0.0979</v>
      </c>
      <c r="AC79" s="298">
        <f>IFERROR(__xludf.DUMMYFUNCTION("""COMPUTED_VALUE"""),0.0979)</f>
        <v>0.0979</v>
      </c>
      <c r="AD79" s="298">
        <f>IFERROR(__xludf.DUMMYFUNCTION("""COMPUTED_VALUE"""),0.0979)</f>
        <v>0.0979</v>
      </c>
      <c r="AE79" s="298">
        <f>IFERROR(__xludf.DUMMYFUNCTION("""COMPUTED_VALUE"""),0.0979)</f>
        <v>0.0979</v>
      </c>
      <c r="AF79" s="298">
        <f>IFERROR(__xludf.DUMMYFUNCTION("""COMPUTED_VALUE"""),0.0979)</f>
        <v>0.0979</v>
      </c>
      <c r="AG79" s="298">
        <f>IFERROR(__xludf.DUMMYFUNCTION("""COMPUTED_VALUE"""),0.0979)</f>
        <v>0.0979</v>
      </c>
      <c r="AH79" s="298">
        <f>IFERROR(__xludf.DUMMYFUNCTION("""COMPUTED_VALUE"""),0.0979)</f>
        <v>0.0979</v>
      </c>
      <c r="AI79" s="298">
        <f>IFERROR(__xludf.DUMMYFUNCTION("""COMPUTED_VALUE"""),0.0979)</f>
        <v>0.0979</v>
      </c>
      <c r="AJ79" s="298">
        <f>IFERROR(__xludf.DUMMYFUNCTION("""COMPUTED_VALUE"""),0.0979)</f>
        <v>0.0979</v>
      </c>
      <c r="AK79" s="298">
        <f>IFERROR(__xludf.DUMMYFUNCTION("""COMPUTED_VALUE"""),0.0979)</f>
        <v>0.0979</v>
      </c>
      <c r="AL79" s="298">
        <f>IFERROR(__xludf.DUMMYFUNCTION("""COMPUTED_VALUE"""),0.0979)</f>
        <v>0.0979</v>
      </c>
      <c r="AM79" s="298">
        <f>IFERROR(__xludf.DUMMYFUNCTION("""COMPUTED_VALUE"""),0.0979)</f>
        <v>0.0979</v>
      </c>
      <c r="AN79" s="298">
        <f>IFERROR(__xludf.DUMMYFUNCTION("""COMPUTED_VALUE"""),0.0979)</f>
        <v>0.0979</v>
      </c>
      <c r="AO79" s="298">
        <f>IFERROR(__xludf.DUMMYFUNCTION("""COMPUTED_VALUE"""),0.0979)</f>
        <v>0.0979</v>
      </c>
      <c r="AP79" s="298">
        <f>IFERROR(__xludf.DUMMYFUNCTION("""COMPUTED_VALUE"""),0.0979)</f>
        <v>0.0979</v>
      </c>
      <c r="AQ79" s="298">
        <f>IFERROR(__xludf.DUMMYFUNCTION("""COMPUTED_VALUE"""),0.0979)</f>
        <v>0.0979</v>
      </c>
      <c r="AR79" s="298">
        <f>IFERROR(__xludf.DUMMYFUNCTION("""COMPUTED_VALUE"""),0.0979)</f>
        <v>0.0979</v>
      </c>
      <c r="AS79" s="298">
        <f>IFERROR(__xludf.DUMMYFUNCTION("""COMPUTED_VALUE"""),0.0979)</f>
        <v>0.0979</v>
      </c>
      <c r="AT79" s="298">
        <f>IFERROR(__xludf.DUMMYFUNCTION("""COMPUTED_VALUE"""),0.0979)</f>
        <v>0.0979</v>
      </c>
      <c r="AU79" s="298">
        <f>IFERROR(__xludf.DUMMYFUNCTION("""COMPUTED_VALUE"""),0.0979)</f>
        <v>0.0979</v>
      </c>
      <c r="AV79" s="298">
        <f>IFERROR(__xludf.DUMMYFUNCTION("""COMPUTED_VALUE"""),0.0979)</f>
        <v>0.0979</v>
      </c>
      <c r="AW79" s="298">
        <f>IFERROR(__xludf.DUMMYFUNCTION("""COMPUTED_VALUE"""),0.0979)</f>
        <v>0.0979</v>
      </c>
      <c r="AX79" s="298">
        <f>IFERROR(__xludf.DUMMYFUNCTION("""COMPUTED_VALUE"""),0.0979)</f>
        <v>0.0979</v>
      </c>
      <c r="AY79" s="298">
        <f>IFERROR(__xludf.DUMMYFUNCTION("""COMPUTED_VALUE"""),0.0979)</f>
        <v>0.0979</v>
      </c>
      <c r="AZ79" s="298">
        <f>IFERROR(__xludf.DUMMYFUNCTION("""COMPUTED_VALUE"""),0.0979)</f>
        <v>0.0979</v>
      </c>
      <c r="BA79" s="298">
        <f>IFERROR(__xludf.DUMMYFUNCTION("""COMPUTED_VALUE"""),0.0979)</f>
        <v>0.0979</v>
      </c>
      <c r="BB79" s="298">
        <f>IFERROR(__xludf.DUMMYFUNCTION("""COMPUTED_VALUE"""),0.0979)</f>
        <v>0.0979</v>
      </c>
      <c r="BC79" s="298">
        <f>IFERROR(__xludf.DUMMYFUNCTION("""COMPUTED_VALUE"""),0.0979)</f>
        <v>0.0979</v>
      </c>
      <c r="BD79" s="298">
        <f>IFERROR(__xludf.DUMMYFUNCTION("""COMPUTED_VALUE"""),0.0979)</f>
        <v>0.0979</v>
      </c>
      <c r="BE79" s="298">
        <f>IFERROR(__xludf.DUMMYFUNCTION("""COMPUTED_VALUE"""),0.0979)</f>
        <v>0.0979</v>
      </c>
      <c r="BF79" s="298">
        <f>IFERROR(__xludf.DUMMYFUNCTION("""COMPUTED_VALUE"""),0.0979)</f>
        <v>0.0979</v>
      </c>
      <c r="BG79" s="298">
        <f>IFERROR(__xludf.DUMMYFUNCTION("""COMPUTED_VALUE"""),0.0979)</f>
        <v>0.0979</v>
      </c>
      <c r="BH79" s="298">
        <f>IFERROR(__xludf.DUMMYFUNCTION("""COMPUTED_VALUE"""),0.0979)</f>
        <v>0.0979</v>
      </c>
      <c r="BI79" s="298">
        <f>IFERROR(__xludf.DUMMYFUNCTION("""COMPUTED_VALUE"""),0.0979)</f>
        <v>0.0979</v>
      </c>
      <c r="BJ79" s="298">
        <f>IFERROR(__xludf.DUMMYFUNCTION("""COMPUTED_VALUE"""),0.0979)</f>
        <v>0.0979</v>
      </c>
      <c r="BK79" s="298">
        <f>IFERROR(__xludf.DUMMYFUNCTION("""COMPUTED_VALUE"""),0.0979)</f>
        <v>0.0979</v>
      </c>
      <c r="BL79" s="298">
        <f>IFERROR(__xludf.DUMMYFUNCTION("""COMPUTED_VALUE"""),0.0979)</f>
        <v>0.0979</v>
      </c>
      <c r="BM79" s="298">
        <f>IFERROR(__xludf.DUMMYFUNCTION("""COMPUTED_VALUE"""),0.0979)</f>
        <v>0.0979</v>
      </c>
      <c r="BN79" s="298">
        <f>IFERROR(__xludf.DUMMYFUNCTION("""COMPUTED_VALUE"""),0.0979)</f>
        <v>0.0979</v>
      </c>
    </row>
    <row r="80">
      <c r="L80" s="292"/>
      <c r="M80" s="292">
        <f>IFERROR(__xludf.DUMMYFUNCTION("""COMPUTED_VALUE"""),11.0)</f>
        <v>11</v>
      </c>
      <c r="N80" s="298">
        <f>IFERROR(__xludf.DUMMYFUNCTION("""COMPUTED_VALUE"""),7.0E-4)</f>
        <v>0.0007</v>
      </c>
      <c r="O80" s="298">
        <f>IFERROR(__xludf.DUMMYFUNCTION("""COMPUTED_VALUE"""),5.0E-4)</f>
        <v>0.0005</v>
      </c>
      <c r="P80" s="298">
        <f>IFERROR(__xludf.DUMMYFUNCTION("""COMPUTED_VALUE"""),5.0E-4)</f>
        <v>0.0005</v>
      </c>
      <c r="Q80" s="298">
        <f>IFERROR(__xludf.DUMMYFUNCTION("""COMPUTED_VALUE"""),5.0E-4)</f>
        <v>0.0005</v>
      </c>
      <c r="R80" s="298">
        <f>IFERROR(__xludf.DUMMYFUNCTION("""COMPUTED_VALUE"""),5.0E-4)</f>
        <v>0.0005</v>
      </c>
      <c r="S80" s="298">
        <f>IFERROR(__xludf.DUMMYFUNCTION("""COMPUTED_VALUE"""),0.001)</f>
        <v>0.001</v>
      </c>
      <c r="T80" s="298">
        <f>IFERROR(__xludf.DUMMYFUNCTION("""COMPUTED_VALUE"""),9.0E-4)</f>
        <v>0.0009</v>
      </c>
      <c r="U80" s="298">
        <f>IFERROR(__xludf.DUMMYFUNCTION("""COMPUTED_VALUE"""),9.0E-4)</f>
        <v>0.0009</v>
      </c>
      <c r="V80" s="298">
        <f>IFERROR(__xludf.DUMMYFUNCTION("""COMPUTED_VALUE"""),9.0E-4)</f>
        <v>0.0009</v>
      </c>
      <c r="W80" s="298">
        <f>IFERROR(__xludf.DUMMYFUNCTION("""COMPUTED_VALUE"""),9.0E-4)</f>
        <v>0.0009</v>
      </c>
      <c r="X80" s="298">
        <f>IFERROR(__xludf.DUMMYFUNCTION("""COMPUTED_VALUE"""),5.0E-4)</f>
        <v>0.0005</v>
      </c>
      <c r="Y80" s="298">
        <f>IFERROR(__xludf.DUMMYFUNCTION("""COMPUTED_VALUE"""),5.0E-4)</f>
        <v>0.0005</v>
      </c>
      <c r="Z80" s="298">
        <f>IFERROR(__xludf.DUMMYFUNCTION("""COMPUTED_VALUE"""),5.0E-4)</f>
        <v>0.0005</v>
      </c>
      <c r="AA80" s="298">
        <f>IFERROR(__xludf.DUMMYFUNCTION("""COMPUTED_VALUE"""),0.002)</f>
        <v>0.002</v>
      </c>
      <c r="AB80" s="298">
        <f>IFERROR(__xludf.DUMMYFUNCTION("""COMPUTED_VALUE"""),0.002)</f>
        <v>0.002</v>
      </c>
      <c r="AC80" s="298">
        <f>IFERROR(__xludf.DUMMYFUNCTION("""COMPUTED_VALUE"""),0.002)</f>
        <v>0.002</v>
      </c>
      <c r="AD80" s="298">
        <f>IFERROR(__xludf.DUMMYFUNCTION("""COMPUTED_VALUE"""),0.002)</f>
        <v>0.002</v>
      </c>
      <c r="AE80" s="298">
        <f>IFERROR(__xludf.DUMMYFUNCTION("""COMPUTED_VALUE"""),0.002)</f>
        <v>0.002</v>
      </c>
      <c r="AF80" s="298">
        <f>IFERROR(__xludf.DUMMYFUNCTION("""COMPUTED_VALUE"""),0.002)</f>
        <v>0.002</v>
      </c>
      <c r="AG80" s="298">
        <f>IFERROR(__xludf.DUMMYFUNCTION("""COMPUTED_VALUE"""),0.002)</f>
        <v>0.002</v>
      </c>
      <c r="AH80" s="298">
        <f>IFERROR(__xludf.DUMMYFUNCTION("""COMPUTED_VALUE"""),0.002)</f>
        <v>0.002</v>
      </c>
      <c r="AI80" s="298">
        <f>IFERROR(__xludf.DUMMYFUNCTION("""COMPUTED_VALUE"""),0.002)</f>
        <v>0.002</v>
      </c>
      <c r="AJ80" s="298">
        <f>IFERROR(__xludf.DUMMYFUNCTION("""COMPUTED_VALUE"""),0.002)</f>
        <v>0.002</v>
      </c>
      <c r="AK80" s="298">
        <f>IFERROR(__xludf.DUMMYFUNCTION("""COMPUTED_VALUE"""),0.002)</f>
        <v>0.002</v>
      </c>
      <c r="AL80" s="298">
        <f>IFERROR(__xludf.DUMMYFUNCTION("""COMPUTED_VALUE"""),0.002)</f>
        <v>0.002</v>
      </c>
      <c r="AM80" s="298">
        <f>IFERROR(__xludf.DUMMYFUNCTION("""COMPUTED_VALUE"""),0.002)</f>
        <v>0.002</v>
      </c>
      <c r="AN80" s="298">
        <f>IFERROR(__xludf.DUMMYFUNCTION("""COMPUTED_VALUE"""),0.002)</f>
        <v>0.002</v>
      </c>
      <c r="AO80" s="298">
        <f>IFERROR(__xludf.DUMMYFUNCTION("""COMPUTED_VALUE"""),0.002)</f>
        <v>0.002</v>
      </c>
      <c r="AP80" s="298">
        <f>IFERROR(__xludf.DUMMYFUNCTION("""COMPUTED_VALUE"""),0.002)</f>
        <v>0.002</v>
      </c>
      <c r="AQ80" s="298">
        <f>IFERROR(__xludf.DUMMYFUNCTION("""COMPUTED_VALUE"""),0.002)</f>
        <v>0.002</v>
      </c>
      <c r="AR80" s="298">
        <f>IFERROR(__xludf.DUMMYFUNCTION("""COMPUTED_VALUE"""),0.002)</f>
        <v>0.002</v>
      </c>
      <c r="AS80" s="298">
        <f>IFERROR(__xludf.DUMMYFUNCTION("""COMPUTED_VALUE"""),0.002)</f>
        <v>0.002</v>
      </c>
      <c r="AT80" s="298">
        <f>IFERROR(__xludf.DUMMYFUNCTION("""COMPUTED_VALUE"""),0.002)</f>
        <v>0.002</v>
      </c>
      <c r="AU80" s="298">
        <f>IFERROR(__xludf.DUMMYFUNCTION("""COMPUTED_VALUE"""),0.002)</f>
        <v>0.002</v>
      </c>
      <c r="AV80" s="298">
        <f>IFERROR(__xludf.DUMMYFUNCTION("""COMPUTED_VALUE"""),0.002)</f>
        <v>0.002</v>
      </c>
      <c r="AW80" s="298">
        <f>IFERROR(__xludf.DUMMYFUNCTION("""COMPUTED_VALUE"""),0.002)</f>
        <v>0.002</v>
      </c>
      <c r="AX80" s="298">
        <f>IFERROR(__xludf.DUMMYFUNCTION("""COMPUTED_VALUE"""),0.002)</f>
        <v>0.002</v>
      </c>
      <c r="AY80" s="298">
        <f>IFERROR(__xludf.DUMMYFUNCTION("""COMPUTED_VALUE"""),0.002)</f>
        <v>0.002</v>
      </c>
      <c r="AZ80" s="298">
        <f>IFERROR(__xludf.DUMMYFUNCTION("""COMPUTED_VALUE"""),0.002)</f>
        <v>0.002</v>
      </c>
      <c r="BA80" s="298">
        <f>IFERROR(__xludf.DUMMYFUNCTION("""COMPUTED_VALUE"""),0.002)</f>
        <v>0.002</v>
      </c>
      <c r="BB80" s="298">
        <f>IFERROR(__xludf.DUMMYFUNCTION("""COMPUTED_VALUE"""),0.002)</f>
        <v>0.002</v>
      </c>
      <c r="BC80" s="298">
        <f>IFERROR(__xludf.DUMMYFUNCTION("""COMPUTED_VALUE"""),0.002)</f>
        <v>0.002</v>
      </c>
      <c r="BD80" s="298">
        <f>IFERROR(__xludf.DUMMYFUNCTION("""COMPUTED_VALUE"""),0.002)</f>
        <v>0.002</v>
      </c>
      <c r="BE80" s="298">
        <f>IFERROR(__xludf.DUMMYFUNCTION("""COMPUTED_VALUE"""),0.002)</f>
        <v>0.002</v>
      </c>
      <c r="BF80" s="298">
        <f>IFERROR(__xludf.DUMMYFUNCTION("""COMPUTED_VALUE"""),0.002)</f>
        <v>0.002</v>
      </c>
      <c r="BG80" s="298">
        <f>IFERROR(__xludf.DUMMYFUNCTION("""COMPUTED_VALUE"""),0.002)</f>
        <v>0.002</v>
      </c>
      <c r="BH80" s="298">
        <f>IFERROR(__xludf.DUMMYFUNCTION("""COMPUTED_VALUE"""),0.002)</f>
        <v>0.002</v>
      </c>
      <c r="BI80" s="298">
        <f>IFERROR(__xludf.DUMMYFUNCTION("""COMPUTED_VALUE"""),0.002)</f>
        <v>0.002</v>
      </c>
      <c r="BJ80" s="298">
        <f>IFERROR(__xludf.DUMMYFUNCTION("""COMPUTED_VALUE"""),0.002)</f>
        <v>0.002</v>
      </c>
      <c r="BK80" s="298">
        <f>IFERROR(__xludf.DUMMYFUNCTION("""COMPUTED_VALUE"""),0.002)</f>
        <v>0.002</v>
      </c>
      <c r="BL80" s="298">
        <f>IFERROR(__xludf.DUMMYFUNCTION("""COMPUTED_VALUE"""),0.002)</f>
        <v>0.002</v>
      </c>
      <c r="BM80" s="298">
        <f>IFERROR(__xludf.DUMMYFUNCTION("""COMPUTED_VALUE"""),0.002)</f>
        <v>0.002</v>
      </c>
      <c r="BN80" s="298">
        <f>IFERROR(__xludf.DUMMYFUNCTION("""COMPUTED_VALUE"""),0.002)</f>
        <v>0.002</v>
      </c>
    </row>
    <row r="81">
      <c r="L81" s="292"/>
      <c r="M81" s="292">
        <f>IFERROR(__xludf.DUMMYFUNCTION("""COMPUTED_VALUE"""),12.0)</f>
        <v>12</v>
      </c>
      <c r="N81" s="298">
        <f>IFERROR(__xludf.DUMMYFUNCTION("""COMPUTED_VALUE"""),0.0288)</f>
        <v>0.0288</v>
      </c>
      <c r="O81" s="298">
        <f>IFERROR(__xludf.DUMMYFUNCTION("""COMPUTED_VALUE"""),0.0294)</f>
        <v>0.0294</v>
      </c>
      <c r="P81" s="298">
        <f>IFERROR(__xludf.DUMMYFUNCTION("""COMPUTED_VALUE"""),0.0308)</f>
        <v>0.0308</v>
      </c>
      <c r="Q81" s="298">
        <f>IFERROR(__xludf.DUMMYFUNCTION("""COMPUTED_VALUE"""),0.0302)</f>
        <v>0.0302</v>
      </c>
      <c r="R81" s="298">
        <f>IFERROR(__xludf.DUMMYFUNCTION("""COMPUTED_VALUE"""),0.031)</f>
        <v>0.031</v>
      </c>
      <c r="S81" s="298">
        <f>IFERROR(__xludf.DUMMYFUNCTION("""COMPUTED_VALUE"""),0.0318)</f>
        <v>0.0318</v>
      </c>
      <c r="T81" s="298">
        <f>IFERROR(__xludf.DUMMYFUNCTION("""COMPUTED_VALUE"""),0.0314)</f>
        <v>0.0314</v>
      </c>
      <c r="U81" s="298">
        <f>IFERROR(__xludf.DUMMYFUNCTION("""COMPUTED_VALUE"""),0.0312)</f>
        <v>0.0312</v>
      </c>
      <c r="V81" s="298">
        <f>IFERROR(__xludf.DUMMYFUNCTION("""COMPUTED_VALUE"""),0.0311)</f>
        <v>0.0311</v>
      </c>
      <c r="W81" s="298">
        <f>IFERROR(__xludf.DUMMYFUNCTION("""COMPUTED_VALUE"""),0.0309)</f>
        <v>0.0309</v>
      </c>
      <c r="X81" s="298">
        <f>IFERROR(__xludf.DUMMYFUNCTION("""COMPUTED_VALUE"""),0.03)</f>
        <v>0.03</v>
      </c>
      <c r="Y81" s="298">
        <f>IFERROR(__xludf.DUMMYFUNCTION("""COMPUTED_VALUE"""),0.0299)</f>
        <v>0.0299</v>
      </c>
      <c r="Z81" s="298">
        <f>IFERROR(__xludf.DUMMYFUNCTION("""COMPUTED_VALUE"""),0.0294)</f>
        <v>0.0294</v>
      </c>
      <c r="AA81" s="298">
        <f>IFERROR(__xludf.DUMMYFUNCTION("""COMPUTED_VALUE"""),0.0274)</f>
        <v>0.0274</v>
      </c>
      <c r="AB81" s="298">
        <f>IFERROR(__xludf.DUMMYFUNCTION("""COMPUTED_VALUE"""),0.0274)</f>
        <v>0.0274</v>
      </c>
      <c r="AC81" s="298">
        <f>IFERROR(__xludf.DUMMYFUNCTION("""COMPUTED_VALUE"""),0.0274)</f>
        <v>0.0274</v>
      </c>
      <c r="AD81" s="298">
        <f>IFERROR(__xludf.DUMMYFUNCTION("""COMPUTED_VALUE"""),0.0274)</f>
        <v>0.0274</v>
      </c>
      <c r="AE81" s="298">
        <f>IFERROR(__xludf.DUMMYFUNCTION("""COMPUTED_VALUE"""),0.0274)</f>
        <v>0.0274</v>
      </c>
      <c r="AF81" s="298">
        <f>IFERROR(__xludf.DUMMYFUNCTION("""COMPUTED_VALUE"""),0.0274)</f>
        <v>0.0274</v>
      </c>
      <c r="AG81" s="298">
        <f>IFERROR(__xludf.DUMMYFUNCTION("""COMPUTED_VALUE"""),0.0274)</f>
        <v>0.0274</v>
      </c>
      <c r="AH81" s="298">
        <f>IFERROR(__xludf.DUMMYFUNCTION("""COMPUTED_VALUE"""),0.0274)</f>
        <v>0.0274</v>
      </c>
      <c r="AI81" s="298">
        <f>IFERROR(__xludf.DUMMYFUNCTION("""COMPUTED_VALUE"""),0.0274)</f>
        <v>0.0274</v>
      </c>
      <c r="AJ81" s="298">
        <f>IFERROR(__xludf.DUMMYFUNCTION("""COMPUTED_VALUE"""),0.0274)</f>
        <v>0.0274</v>
      </c>
      <c r="AK81" s="298">
        <f>IFERROR(__xludf.DUMMYFUNCTION("""COMPUTED_VALUE"""),0.0274)</f>
        <v>0.0274</v>
      </c>
      <c r="AL81" s="298">
        <f>IFERROR(__xludf.DUMMYFUNCTION("""COMPUTED_VALUE"""),0.0274)</f>
        <v>0.0274</v>
      </c>
      <c r="AM81" s="298">
        <f>IFERROR(__xludf.DUMMYFUNCTION("""COMPUTED_VALUE"""),0.0274)</f>
        <v>0.0274</v>
      </c>
      <c r="AN81" s="298">
        <f>IFERROR(__xludf.DUMMYFUNCTION("""COMPUTED_VALUE"""),0.0274)</f>
        <v>0.0274</v>
      </c>
      <c r="AO81" s="298">
        <f>IFERROR(__xludf.DUMMYFUNCTION("""COMPUTED_VALUE"""),0.0274)</f>
        <v>0.0274</v>
      </c>
      <c r="AP81" s="298">
        <f>IFERROR(__xludf.DUMMYFUNCTION("""COMPUTED_VALUE"""),0.0274)</f>
        <v>0.0274</v>
      </c>
      <c r="AQ81" s="298">
        <f>IFERROR(__xludf.DUMMYFUNCTION("""COMPUTED_VALUE"""),0.0274)</f>
        <v>0.0274</v>
      </c>
      <c r="AR81" s="298">
        <f>IFERROR(__xludf.DUMMYFUNCTION("""COMPUTED_VALUE"""),0.0274)</f>
        <v>0.0274</v>
      </c>
      <c r="AS81" s="298">
        <f>IFERROR(__xludf.DUMMYFUNCTION("""COMPUTED_VALUE"""),0.0274)</f>
        <v>0.0274</v>
      </c>
      <c r="AT81" s="298">
        <f>IFERROR(__xludf.DUMMYFUNCTION("""COMPUTED_VALUE"""),0.0274)</f>
        <v>0.0274</v>
      </c>
      <c r="AU81" s="298">
        <f>IFERROR(__xludf.DUMMYFUNCTION("""COMPUTED_VALUE"""),0.0274)</f>
        <v>0.0274</v>
      </c>
      <c r="AV81" s="298">
        <f>IFERROR(__xludf.DUMMYFUNCTION("""COMPUTED_VALUE"""),0.0274)</f>
        <v>0.0274</v>
      </c>
      <c r="AW81" s="298">
        <f>IFERROR(__xludf.DUMMYFUNCTION("""COMPUTED_VALUE"""),0.0274)</f>
        <v>0.0274</v>
      </c>
      <c r="AX81" s="298">
        <f>IFERROR(__xludf.DUMMYFUNCTION("""COMPUTED_VALUE"""),0.0274)</f>
        <v>0.0274</v>
      </c>
      <c r="AY81" s="298">
        <f>IFERROR(__xludf.DUMMYFUNCTION("""COMPUTED_VALUE"""),0.0274)</f>
        <v>0.0274</v>
      </c>
      <c r="AZ81" s="298">
        <f>IFERROR(__xludf.DUMMYFUNCTION("""COMPUTED_VALUE"""),0.0274)</f>
        <v>0.0274</v>
      </c>
      <c r="BA81" s="298">
        <f>IFERROR(__xludf.DUMMYFUNCTION("""COMPUTED_VALUE"""),0.0274)</f>
        <v>0.0274</v>
      </c>
      <c r="BB81" s="298">
        <f>IFERROR(__xludf.DUMMYFUNCTION("""COMPUTED_VALUE"""),0.0274)</f>
        <v>0.0274</v>
      </c>
      <c r="BC81" s="298">
        <f>IFERROR(__xludf.DUMMYFUNCTION("""COMPUTED_VALUE"""),0.0274)</f>
        <v>0.0274</v>
      </c>
      <c r="BD81" s="298">
        <f>IFERROR(__xludf.DUMMYFUNCTION("""COMPUTED_VALUE"""),0.0274)</f>
        <v>0.0274</v>
      </c>
      <c r="BE81" s="298">
        <f>IFERROR(__xludf.DUMMYFUNCTION("""COMPUTED_VALUE"""),0.0274)</f>
        <v>0.0274</v>
      </c>
      <c r="BF81" s="298">
        <f>IFERROR(__xludf.DUMMYFUNCTION("""COMPUTED_VALUE"""),0.0274)</f>
        <v>0.0274</v>
      </c>
      <c r="BG81" s="298">
        <f>IFERROR(__xludf.DUMMYFUNCTION("""COMPUTED_VALUE"""),0.0274)</f>
        <v>0.0274</v>
      </c>
      <c r="BH81" s="298">
        <f>IFERROR(__xludf.DUMMYFUNCTION("""COMPUTED_VALUE"""),0.0274)</f>
        <v>0.0274</v>
      </c>
      <c r="BI81" s="298">
        <f>IFERROR(__xludf.DUMMYFUNCTION("""COMPUTED_VALUE"""),0.0274)</f>
        <v>0.0274</v>
      </c>
      <c r="BJ81" s="298">
        <f>IFERROR(__xludf.DUMMYFUNCTION("""COMPUTED_VALUE"""),0.0274)</f>
        <v>0.0274</v>
      </c>
      <c r="BK81" s="298">
        <f>IFERROR(__xludf.DUMMYFUNCTION("""COMPUTED_VALUE"""),0.0274)</f>
        <v>0.0274</v>
      </c>
      <c r="BL81" s="298">
        <f>IFERROR(__xludf.DUMMYFUNCTION("""COMPUTED_VALUE"""),0.0274)</f>
        <v>0.0274</v>
      </c>
      <c r="BM81" s="298">
        <f>IFERROR(__xludf.DUMMYFUNCTION("""COMPUTED_VALUE"""),0.0274)</f>
        <v>0.0274</v>
      </c>
      <c r="BN81" s="298">
        <f>IFERROR(__xludf.DUMMYFUNCTION("""COMPUTED_VALUE"""),0.0274)</f>
        <v>0.0274</v>
      </c>
    </row>
    <row r="82">
      <c r="L82" s="292"/>
      <c r="M82" s="292">
        <f>IFERROR(__xludf.DUMMYFUNCTION("""COMPUTED_VALUE"""),13.0)</f>
        <v>13</v>
      </c>
      <c r="N82" s="297">
        <f>IFERROR(__xludf.DUMMYFUNCTION("""COMPUTED_VALUE"""),0.0)</f>
        <v>0</v>
      </c>
      <c r="O82" s="297">
        <f>IFERROR(__xludf.DUMMYFUNCTION("""COMPUTED_VALUE"""),0.0)</f>
        <v>0</v>
      </c>
      <c r="P82" s="297">
        <f>IFERROR(__xludf.DUMMYFUNCTION("""COMPUTED_VALUE"""),0.0)</f>
        <v>0</v>
      </c>
      <c r="Q82" s="297">
        <f>IFERROR(__xludf.DUMMYFUNCTION("""COMPUTED_VALUE"""),0.0)</f>
        <v>0</v>
      </c>
      <c r="R82" s="297">
        <f>IFERROR(__xludf.DUMMYFUNCTION("""COMPUTED_VALUE"""),0.0)</f>
        <v>0</v>
      </c>
      <c r="S82" s="298">
        <f>IFERROR(__xludf.DUMMYFUNCTION("""COMPUTED_VALUE"""),5.0E-4)</f>
        <v>0.0005</v>
      </c>
      <c r="T82" s="298">
        <f>IFERROR(__xludf.DUMMYFUNCTION("""COMPUTED_VALUE"""),5.0E-4)</f>
        <v>0.0005</v>
      </c>
      <c r="U82" s="298">
        <f>IFERROR(__xludf.DUMMYFUNCTION("""COMPUTED_VALUE"""),5.0E-4)</f>
        <v>0.0005</v>
      </c>
      <c r="V82" s="298">
        <f>IFERROR(__xludf.DUMMYFUNCTION("""COMPUTED_VALUE"""),5.0E-4)</f>
        <v>0.0005</v>
      </c>
      <c r="W82" s="298">
        <f>IFERROR(__xludf.DUMMYFUNCTION("""COMPUTED_VALUE"""),5.0E-4)</f>
        <v>0.0005</v>
      </c>
      <c r="X82" s="297">
        <f>IFERROR(__xludf.DUMMYFUNCTION("""COMPUTED_VALUE"""),0.0)</f>
        <v>0</v>
      </c>
      <c r="Y82" s="297">
        <f>IFERROR(__xludf.DUMMYFUNCTION("""COMPUTED_VALUE"""),0.0)</f>
        <v>0</v>
      </c>
      <c r="Z82" s="297">
        <f>IFERROR(__xludf.DUMMYFUNCTION("""COMPUTED_VALUE"""),0.0)</f>
        <v>0</v>
      </c>
      <c r="AA82" s="297">
        <f>IFERROR(__xludf.DUMMYFUNCTION("""COMPUTED_VALUE"""),9.0E-4)</f>
        <v>0.0009</v>
      </c>
      <c r="AB82" s="297">
        <f>IFERROR(__xludf.DUMMYFUNCTION("""COMPUTED_VALUE"""),9.0E-4)</f>
        <v>0.0009</v>
      </c>
      <c r="AC82" s="297">
        <f>IFERROR(__xludf.DUMMYFUNCTION("""COMPUTED_VALUE"""),9.0E-4)</f>
        <v>0.0009</v>
      </c>
      <c r="AD82" s="297">
        <f>IFERROR(__xludf.DUMMYFUNCTION("""COMPUTED_VALUE"""),9.0E-4)</f>
        <v>0.0009</v>
      </c>
      <c r="AE82" s="297">
        <f>IFERROR(__xludf.DUMMYFUNCTION("""COMPUTED_VALUE"""),9.0E-4)</f>
        <v>0.0009</v>
      </c>
      <c r="AF82" s="297">
        <f>IFERROR(__xludf.DUMMYFUNCTION("""COMPUTED_VALUE"""),9.0E-4)</f>
        <v>0.0009</v>
      </c>
      <c r="AG82" s="297">
        <f>IFERROR(__xludf.DUMMYFUNCTION("""COMPUTED_VALUE"""),9.0E-4)</f>
        <v>0.0009</v>
      </c>
      <c r="AH82" s="297">
        <f>IFERROR(__xludf.DUMMYFUNCTION("""COMPUTED_VALUE"""),9.0E-4)</f>
        <v>0.0009</v>
      </c>
      <c r="AI82" s="297">
        <f>IFERROR(__xludf.DUMMYFUNCTION("""COMPUTED_VALUE"""),9.0E-4)</f>
        <v>0.0009</v>
      </c>
      <c r="AJ82" s="297">
        <f>IFERROR(__xludf.DUMMYFUNCTION("""COMPUTED_VALUE"""),9.0E-4)</f>
        <v>0.0009</v>
      </c>
      <c r="AK82" s="297">
        <f>IFERROR(__xludf.DUMMYFUNCTION("""COMPUTED_VALUE"""),9.0E-4)</f>
        <v>0.0009</v>
      </c>
      <c r="AL82" s="297">
        <f>IFERROR(__xludf.DUMMYFUNCTION("""COMPUTED_VALUE"""),9.0E-4)</f>
        <v>0.0009</v>
      </c>
      <c r="AM82" s="297">
        <f>IFERROR(__xludf.DUMMYFUNCTION("""COMPUTED_VALUE"""),9.0E-4)</f>
        <v>0.0009</v>
      </c>
      <c r="AN82" s="297">
        <f>IFERROR(__xludf.DUMMYFUNCTION("""COMPUTED_VALUE"""),9.0E-4)</f>
        <v>0.0009</v>
      </c>
      <c r="AO82" s="297">
        <f>IFERROR(__xludf.DUMMYFUNCTION("""COMPUTED_VALUE"""),9.0E-4)</f>
        <v>0.0009</v>
      </c>
      <c r="AP82" s="297">
        <f>IFERROR(__xludf.DUMMYFUNCTION("""COMPUTED_VALUE"""),9.0E-4)</f>
        <v>0.0009</v>
      </c>
      <c r="AQ82" s="297">
        <f>IFERROR(__xludf.DUMMYFUNCTION("""COMPUTED_VALUE"""),9.0E-4)</f>
        <v>0.0009</v>
      </c>
      <c r="AR82" s="297">
        <f>IFERROR(__xludf.DUMMYFUNCTION("""COMPUTED_VALUE"""),9.0E-4)</f>
        <v>0.0009</v>
      </c>
      <c r="AS82" s="297">
        <f>IFERROR(__xludf.DUMMYFUNCTION("""COMPUTED_VALUE"""),9.0E-4)</f>
        <v>0.0009</v>
      </c>
      <c r="AT82" s="297">
        <f>IFERROR(__xludf.DUMMYFUNCTION("""COMPUTED_VALUE"""),9.0E-4)</f>
        <v>0.0009</v>
      </c>
      <c r="AU82" s="297">
        <f>IFERROR(__xludf.DUMMYFUNCTION("""COMPUTED_VALUE"""),9.0E-4)</f>
        <v>0.0009</v>
      </c>
      <c r="AV82" s="297">
        <f>IFERROR(__xludf.DUMMYFUNCTION("""COMPUTED_VALUE"""),9.0E-4)</f>
        <v>0.0009</v>
      </c>
      <c r="AW82" s="297">
        <f>IFERROR(__xludf.DUMMYFUNCTION("""COMPUTED_VALUE"""),9.0E-4)</f>
        <v>0.0009</v>
      </c>
      <c r="AX82" s="297">
        <f>IFERROR(__xludf.DUMMYFUNCTION("""COMPUTED_VALUE"""),9.0E-4)</f>
        <v>0.0009</v>
      </c>
      <c r="AY82" s="297">
        <f>IFERROR(__xludf.DUMMYFUNCTION("""COMPUTED_VALUE"""),9.0E-4)</f>
        <v>0.0009</v>
      </c>
      <c r="AZ82" s="297">
        <f>IFERROR(__xludf.DUMMYFUNCTION("""COMPUTED_VALUE"""),9.0E-4)</f>
        <v>0.0009</v>
      </c>
      <c r="BA82" s="297">
        <f>IFERROR(__xludf.DUMMYFUNCTION("""COMPUTED_VALUE"""),9.0E-4)</f>
        <v>0.0009</v>
      </c>
      <c r="BB82" s="297">
        <f>IFERROR(__xludf.DUMMYFUNCTION("""COMPUTED_VALUE"""),9.0E-4)</f>
        <v>0.0009</v>
      </c>
      <c r="BC82" s="297">
        <f>IFERROR(__xludf.DUMMYFUNCTION("""COMPUTED_VALUE"""),9.0E-4)</f>
        <v>0.0009</v>
      </c>
      <c r="BD82" s="297">
        <f>IFERROR(__xludf.DUMMYFUNCTION("""COMPUTED_VALUE"""),9.0E-4)</f>
        <v>0.0009</v>
      </c>
      <c r="BE82" s="297">
        <f>IFERROR(__xludf.DUMMYFUNCTION("""COMPUTED_VALUE"""),9.0E-4)</f>
        <v>0.0009</v>
      </c>
      <c r="BF82" s="297">
        <f>IFERROR(__xludf.DUMMYFUNCTION("""COMPUTED_VALUE"""),9.0E-4)</f>
        <v>0.0009</v>
      </c>
      <c r="BG82" s="297">
        <f>IFERROR(__xludf.DUMMYFUNCTION("""COMPUTED_VALUE"""),9.0E-4)</f>
        <v>0.0009</v>
      </c>
      <c r="BH82" s="297">
        <f>IFERROR(__xludf.DUMMYFUNCTION("""COMPUTED_VALUE"""),9.0E-4)</f>
        <v>0.0009</v>
      </c>
      <c r="BI82" s="297">
        <f>IFERROR(__xludf.DUMMYFUNCTION("""COMPUTED_VALUE"""),9.0E-4)</f>
        <v>0.0009</v>
      </c>
      <c r="BJ82" s="297">
        <f>IFERROR(__xludf.DUMMYFUNCTION("""COMPUTED_VALUE"""),9.0E-4)</f>
        <v>0.0009</v>
      </c>
      <c r="BK82" s="297">
        <f>IFERROR(__xludf.DUMMYFUNCTION("""COMPUTED_VALUE"""),9.0E-4)</f>
        <v>0.0009</v>
      </c>
      <c r="BL82" s="297">
        <f>IFERROR(__xludf.DUMMYFUNCTION("""COMPUTED_VALUE"""),9.0E-4)</f>
        <v>0.0009</v>
      </c>
      <c r="BM82" s="297">
        <f>IFERROR(__xludf.DUMMYFUNCTION("""COMPUTED_VALUE"""),9.0E-4)</f>
        <v>0.0009</v>
      </c>
      <c r="BN82" s="297">
        <f>IFERROR(__xludf.DUMMYFUNCTION("""COMPUTED_VALUE"""),9.0E-4)</f>
        <v>0.0009</v>
      </c>
    </row>
    <row r="83">
      <c r="L83" s="292"/>
      <c r="M83" s="292">
        <f>IFERROR(__xludf.DUMMYFUNCTION("""COMPUTED_VALUE"""),14.0)</f>
        <v>14</v>
      </c>
      <c r="N83" s="298">
        <f>IFERROR(__xludf.DUMMYFUNCTION("""COMPUTED_VALUE"""),0.0575)</f>
        <v>0.0575</v>
      </c>
      <c r="O83" s="298">
        <f>IFERROR(__xludf.DUMMYFUNCTION("""COMPUTED_VALUE"""),0.0578)</f>
        <v>0.0578</v>
      </c>
      <c r="P83" s="298">
        <f>IFERROR(__xludf.DUMMYFUNCTION("""COMPUTED_VALUE"""),0.0604)</f>
        <v>0.0604</v>
      </c>
      <c r="Q83" s="298">
        <f>IFERROR(__xludf.DUMMYFUNCTION("""COMPUTED_VALUE"""),0.0625)</f>
        <v>0.0625</v>
      </c>
      <c r="R83" s="298">
        <f>IFERROR(__xludf.DUMMYFUNCTION("""COMPUTED_VALUE"""),0.0624)</f>
        <v>0.0624</v>
      </c>
      <c r="S83" s="298">
        <f>IFERROR(__xludf.DUMMYFUNCTION("""COMPUTED_VALUE"""),0.0635)</f>
        <v>0.0635</v>
      </c>
      <c r="T83" s="298">
        <f>IFERROR(__xludf.DUMMYFUNCTION("""COMPUTED_VALUE"""),0.0638)</f>
        <v>0.0638</v>
      </c>
      <c r="U83" s="298">
        <f>IFERROR(__xludf.DUMMYFUNCTION("""COMPUTED_VALUE"""),0.0629)</f>
        <v>0.0629</v>
      </c>
      <c r="V83" s="298">
        <f>IFERROR(__xludf.DUMMYFUNCTION("""COMPUTED_VALUE"""),0.0632)</f>
        <v>0.0632</v>
      </c>
      <c r="W83" s="298">
        <f>IFERROR(__xludf.DUMMYFUNCTION("""COMPUTED_VALUE"""),0.0633)</f>
        <v>0.0633</v>
      </c>
      <c r="X83" s="298">
        <f>IFERROR(__xludf.DUMMYFUNCTION("""COMPUTED_VALUE"""),0.0614)</f>
        <v>0.0614</v>
      </c>
      <c r="Y83" s="298">
        <f>IFERROR(__xludf.DUMMYFUNCTION("""COMPUTED_VALUE"""),0.0612)</f>
        <v>0.0612</v>
      </c>
      <c r="Z83" s="298">
        <f>IFERROR(__xludf.DUMMYFUNCTION("""COMPUTED_VALUE"""),0.0603)</f>
        <v>0.0603</v>
      </c>
      <c r="AA83" s="298">
        <f>IFERROR(__xludf.DUMMYFUNCTION("""COMPUTED_VALUE"""),0.0559)</f>
        <v>0.0559</v>
      </c>
      <c r="AB83" s="298">
        <f>IFERROR(__xludf.DUMMYFUNCTION("""COMPUTED_VALUE"""),0.0559)</f>
        <v>0.0559</v>
      </c>
      <c r="AC83" s="298">
        <f>IFERROR(__xludf.DUMMYFUNCTION("""COMPUTED_VALUE"""),0.0559)</f>
        <v>0.0559</v>
      </c>
      <c r="AD83" s="298">
        <f>IFERROR(__xludf.DUMMYFUNCTION("""COMPUTED_VALUE"""),0.0559)</f>
        <v>0.0559</v>
      </c>
      <c r="AE83" s="298">
        <f>IFERROR(__xludf.DUMMYFUNCTION("""COMPUTED_VALUE"""),0.0559)</f>
        <v>0.0559</v>
      </c>
      <c r="AF83" s="298">
        <f>IFERROR(__xludf.DUMMYFUNCTION("""COMPUTED_VALUE"""),0.0559)</f>
        <v>0.0559</v>
      </c>
      <c r="AG83" s="298">
        <f>IFERROR(__xludf.DUMMYFUNCTION("""COMPUTED_VALUE"""),0.0559)</f>
        <v>0.0559</v>
      </c>
      <c r="AH83" s="298">
        <f>IFERROR(__xludf.DUMMYFUNCTION("""COMPUTED_VALUE"""),0.0559)</f>
        <v>0.0559</v>
      </c>
      <c r="AI83" s="298">
        <f>IFERROR(__xludf.DUMMYFUNCTION("""COMPUTED_VALUE"""),0.0559)</f>
        <v>0.0559</v>
      </c>
      <c r="AJ83" s="298">
        <f>IFERROR(__xludf.DUMMYFUNCTION("""COMPUTED_VALUE"""),0.0559)</f>
        <v>0.0559</v>
      </c>
      <c r="AK83" s="298">
        <f>IFERROR(__xludf.DUMMYFUNCTION("""COMPUTED_VALUE"""),0.0559)</f>
        <v>0.0559</v>
      </c>
      <c r="AL83" s="298">
        <f>IFERROR(__xludf.DUMMYFUNCTION("""COMPUTED_VALUE"""),0.0559)</f>
        <v>0.0559</v>
      </c>
      <c r="AM83" s="298">
        <f>IFERROR(__xludf.DUMMYFUNCTION("""COMPUTED_VALUE"""),0.0558)</f>
        <v>0.0558</v>
      </c>
      <c r="AN83" s="298">
        <f>IFERROR(__xludf.DUMMYFUNCTION("""COMPUTED_VALUE"""),0.0553)</f>
        <v>0.0553</v>
      </c>
      <c r="AO83" s="298">
        <f>IFERROR(__xludf.DUMMYFUNCTION("""COMPUTED_VALUE"""),0.054)</f>
        <v>0.054</v>
      </c>
      <c r="AP83" s="298">
        <f>IFERROR(__xludf.DUMMYFUNCTION("""COMPUTED_VALUE"""),0.0512)</f>
        <v>0.0512</v>
      </c>
      <c r="AQ83" s="298">
        <f>IFERROR(__xludf.DUMMYFUNCTION("""COMPUTED_VALUE"""),0.0466)</f>
        <v>0.0466</v>
      </c>
      <c r="AR83" s="298">
        <f>IFERROR(__xludf.DUMMYFUNCTION("""COMPUTED_VALUE"""),0.0404)</f>
        <v>0.0404</v>
      </c>
      <c r="AS83" s="298">
        <f>IFERROR(__xludf.DUMMYFUNCTION("""COMPUTED_VALUE"""),0.0338)</f>
        <v>0.0338</v>
      </c>
      <c r="AT83" s="298">
        <f>IFERROR(__xludf.DUMMYFUNCTION("""COMPUTED_VALUE"""),0.0282)</f>
        <v>0.0282</v>
      </c>
      <c r="AU83" s="298">
        <f>IFERROR(__xludf.DUMMYFUNCTION("""COMPUTED_VALUE"""),0.0252)</f>
        <v>0.0252</v>
      </c>
      <c r="AV83" s="298">
        <f>IFERROR(__xludf.DUMMYFUNCTION("""COMPUTED_VALUE"""),0.0252)</f>
        <v>0.0252</v>
      </c>
      <c r="AW83" s="298">
        <f>IFERROR(__xludf.DUMMYFUNCTION("""COMPUTED_VALUE"""),0.0252)</f>
        <v>0.0252</v>
      </c>
      <c r="AX83" s="298">
        <f>IFERROR(__xludf.DUMMYFUNCTION("""COMPUTED_VALUE"""),0.0252)</f>
        <v>0.0252</v>
      </c>
      <c r="AY83" s="298">
        <f>IFERROR(__xludf.DUMMYFUNCTION("""COMPUTED_VALUE"""),0.0252)</f>
        <v>0.0252</v>
      </c>
      <c r="AZ83" s="298">
        <f>IFERROR(__xludf.DUMMYFUNCTION("""COMPUTED_VALUE"""),0.0252)</f>
        <v>0.0252</v>
      </c>
      <c r="BA83" s="298">
        <f>IFERROR(__xludf.DUMMYFUNCTION("""COMPUTED_VALUE"""),0.0252)</f>
        <v>0.0252</v>
      </c>
      <c r="BB83" s="298">
        <f>IFERROR(__xludf.DUMMYFUNCTION("""COMPUTED_VALUE"""),0.0252)</f>
        <v>0.0252</v>
      </c>
      <c r="BC83" s="298">
        <f>IFERROR(__xludf.DUMMYFUNCTION("""COMPUTED_VALUE"""),0.0252)</f>
        <v>0.0252</v>
      </c>
      <c r="BD83" s="298">
        <f>IFERROR(__xludf.DUMMYFUNCTION("""COMPUTED_VALUE"""),0.0252)</f>
        <v>0.0252</v>
      </c>
      <c r="BE83" s="298">
        <f>IFERROR(__xludf.DUMMYFUNCTION("""COMPUTED_VALUE"""),0.0252)</f>
        <v>0.0252</v>
      </c>
      <c r="BF83" s="298">
        <f>IFERROR(__xludf.DUMMYFUNCTION("""COMPUTED_VALUE"""),0.0252)</f>
        <v>0.0252</v>
      </c>
      <c r="BG83" s="298">
        <f>IFERROR(__xludf.DUMMYFUNCTION("""COMPUTED_VALUE"""),0.0252)</f>
        <v>0.0252</v>
      </c>
      <c r="BH83" s="298">
        <f>IFERROR(__xludf.DUMMYFUNCTION("""COMPUTED_VALUE"""),0.0252)</f>
        <v>0.0252</v>
      </c>
      <c r="BI83" s="298">
        <f>IFERROR(__xludf.DUMMYFUNCTION("""COMPUTED_VALUE"""),0.0252)</f>
        <v>0.0252</v>
      </c>
      <c r="BJ83" s="298">
        <f>IFERROR(__xludf.DUMMYFUNCTION("""COMPUTED_VALUE"""),0.0252)</f>
        <v>0.0252</v>
      </c>
      <c r="BK83" s="298">
        <f>IFERROR(__xludf.DUMMYFUNCTION("""COMPUTED_VALUE"""),0.0252)</f>
        <v>0.0252</v>
      </c>
      <c r="BL83" s="298">
        <f>IFERROR(__xludf.DUMMYFUNCTION("""COMPUTED_VALUE"""),0.0252)</f>
        <v>0.0252</v>
      </c>
      <c r="BM83" s="298">
        <f>IFERROR(__xludf.DUMMYFUNCTION("""COMPUTED_VALUE"""),0.0252)</f>
        <v>0.0252</v>
      </c>
      <c r="BN83" s="298">
        <f>IFERROR(__xludf.DUMMYFUNCTION("""COMPUTED_VALUE"""),0.0252)</f>
        <v>0.0252</v>
      </c>
    </row>
    <row r="84">
      <c r="L84" s="292"/>
      <c r="M84" s="292">
        <f>IFERROR(__xludf.DUMMYFUNCTION("""COMPUTED_VALUE"""),15.0)</f>
        <v>15</v>
      </c>
      <c r="N84" s="298">
        <f>IFERROR(__xludf.DUMMYFUNCTION("""COMPUTED_VALUE"""),0.0)</f>
        <v>0</v>
      </c>
      <c r="O84" s="298">
        <f>IFERROR(__xludf.DUMMYFUNCTION("""COMPUTED_VALUE"""),0.0)</f>
        <v>0</v>
      </c>
      <c r="P84" s="298">
        <f>IFERROR(__xludf.DUMMYFUNCTION("""COMPUTED_VALUE"""),0.0)</f>
        <v>0</v>
      </c>
      <c r="Q84" s="298">
        <f>IFERROR(__xludf.DUMMYFUNCTION("""COMPUTED_VALUE"""),0.0)</f>
        <v>0</v>
      </c>
      <c r="R84" s="298">
        <f>IFERROR(__xludf.DUMMYFUNCTION("""COMPUTED_VALUE"""),0.0)</f>
        <v>0</v>
      </c>
      <c r="S84" s="298">
        <f>IFERROR(__xludf.DUMMYFUNCTION("""COMPUTED_VALUE"""),0.0)</f>
        <v>0</v>
      </c>
      <c r="T84" s="298">
        <f>IFERROR(__xludf.DUMMYFUNCTION("""COMPUTED_VALUE"""),0.0)</f>
        <v>0</v>
      </c>
      <c r="U84" s="298">
        <f>IFERROR(__xludf.DUMMYFUNCTION("""COMPUTED_VALUE"""),0.0)</f>
        <v>0</v>
      </c>
      <c r="V84" s="298">
        <f>IFERROR(__xludf.DUMMYFUNCTION("""COMPUTED_VALUE"""),0.0)</f>
        <v>0</v>
      </c>
      <c r="W84" s="298">
        <f>IFERROR(__xludf.DUMMYFUNCTION("""COMPUTED_VALUE"""),0.0)</f>
        <v>0</v>
      </c>
      <c r="X84" s="298">
        <f>IFERROR(__xludf.DUMMYFUNCTION("""COMPUTED_VALUE"""),0.0)</f>
        <v>0</v>
      </c>
      <c r="Y84" s="298">
        <f>IFERROR(__xludf.DUMMYFUNCTION("""COMPUTED_VALUE"""),0.0)</f>
        <v>0</v>
      </c>
      <c r="Z84" s="298">
        <f>IFERROR(__xludf.DUMMYFUNCTION("""COMPUTED_VALUE"""),0.0)</f>
        <v>0</v>
      </c>
      <c r="AA84" s="297">
        <f>IFERROR(__xludf.DUMMYFUNCTION("""COMPUTED_VALUE"""),0.0)</f>
        <v>0</v>
      </c>
      <c r="AB84" s="297">
        <f>IFERROR(__xludf.DUMMYFUNCTION("""COMPUTED_VALUE"""),0.0)</f>
        <v>0</v>
      </c>
      <c r="AC84" s="297">
        <f>IFERROR(__xludf.DUMMYFUNCTION("""COMPUTED_VALUE"""),0.0)</f>
        <v>0</v>
      </c>
      <c r="AD84" s="297">
        <f>IFERROR(__xludf.DUMMYFUNCTION("""COMPUTED_VALUE"""),0.0)</f>
        <v>0</v>
      </c>
      <c r="AE84" s="297">
        <f>IFERROR(__xludf.DUMMYFUNCTION("""COMPUTED_VALUE"""),0.0)</f>
        <v>0</v>
      </c>
      <c r="AF84" s="297">
        <f>IFERROR(__xludf.DUMMYFUNCTION("""COMPUTED_VALUE"""),0.0)</f>
        <v>0</v>
      </c>
      <c r="AG84" s="297">
        <f>IFERROR(__xludf.DUMMYFUNCTION("""COMPUTED_VALUE"""),0.0)</f>
        <v>0</v>
      </c>
      <c r="AH84" s="297">
        <f>IFERROR(__xludf.DUMMYFUNCTION("""COMPUTED_VALUE"""),0.0)</f>
        <v>0</v>
      </c>
      <c r="AI84" s="297">
        <f>IFERROR(__xludf.DUMMYFUNCTION("""COMPUTED_VALUE"""),0.0)</f>
        <v>0</v>
      </c>
      <c r="AJ84" s="297">
        <f>IFERROR(__xludf.DUMMYFUNCTION("""COMPUTED_VALUE"""),0.0)</f>
        <v>0</v>
      </c>
      <c r="AK84" s="297">
        <f>IFERROR(__xludf.DUMMYFUNCTION("""COMPUTED_VALUE"""),0.0)</f>
        <v>0</v>
      </c>
      <c r="AL84" s="297">
        <f>IFERROR(__xludf.DUMMYFUNCTION("""COMPUTED_VALUE"""),0.0)</f>
        <v>0</v>
      </c>
      <c r="AM84" s="297">
        <f>IFERROR(__xludf.DUMMYFUNCTION("""COMPUTED_VALUE"""),0.0)</f>
        <v>0</v>
      </c>
      <c r="AN84" s="297">
        <f>IFERROR(__xludf.DUMMYFUNCTION("""COMPUTED_VALUE"""),1.0E-4)</f>
        <v>0.0001</v>
      </c>
      <c r="AO84" s="297">
        <f>IFERROR(__xludf.DUMMYFUNCTION("""COMPUTED_VALUE"""),2.0E-4)</f>
        <v>0.0002</v>
      </c>
      <c r="AP84" s="297">
        <f>IFERROR(__xludf.DUMMYFUNCTION("""COMPUTED_VALUE"""),4.0E-4)</f>
        <v>0.0004</v>
      </c>
      <c r="AQ84" s="297">
        <f>IFERROR(__xludf.DUMMYFUNCTION("""COMPUTED_VALUE"""),8.0E-4)</f>
        <v>0.0008</v>
      </c>
      <c r="AR84" s="297">
        <f>IFERROR(__xludf.DUMMYFUNCTION("""COMPUTED_VALUE"""),0.0014)</f>
        <v>0.0014</v>
      </c>
      <c r="AS84" s="297">
        <f>IFERROR(__xludf.DUMMYFUNCTION("""COMPUTED_VALUE"""),0.002)</f>
        <v>0.002</v>
      </c>
      <c r="AT84" s="297">
        <f>IFERROR(__xludf.DUMMYFUNCTION("""COMPUTED_VALUE"""),0.0025)</f>
        <v>0.0025</v>
      </c>
      <c r="AU84" s="297">
        <f>IFERROR(__xludf.DUMMYFUNCTION("""COMPUTED_VALUE"""),0.0028)</f>
        <v>0.0028</v>
      </c>
      <c r="AV84" s="297">
        <f>IFERROR(__xludf.DUMMYFUNCTION("""COMPUTED_VALUE"""),0.0028)</f>
        <v>0.0028</v>
      </c>
      <c r="AW84" s="297">
        <f>IFERROR(__xludf.DUMMYFUNCTION("""COMPUTED_VALUE"""),0.0028)</f>
        <v>0.0028</v>
      </c>
      <c r="AX84" s="297">
        <f>IFERROR(__xludf.DUMMYFUNCTION("""COMPUTED_VALUE"""),0.0028)</f>
        <v>0.0028</v>
      </c>
      <c r="AY84" s="297">
        <f>IFERROR(__xludf.DUMMYFUNCTION("""COMPUTED_VALUE"""),0.0028)</f>
        <v>0.0028</v>
      </c>
      <c r="AZ84" s="297">
        <f>IFERROR(__xludf.DUMMYFUNCTION("""COMPUTED_VALUE"""),0.0028)</f>
        <v>0.0028</v>
      </c>
      <c r="BA84" s="297">
        <f>IFERROR(__xludf.DUMMYFUNCTION("""COMPUTED_VALUE"""),0.0028)</f>
        <v>0.0028</v>
      </c>
      <c r="BB84" s="297">
        <f>IFERROR(__xludf.DUMMYFUNCTION("""COMPUTED_VALUE"""),0.0028)</f>
        <v>0.0028</v>
      </c>
      <c r="BC84" s="297">
        <f>IFERROR(__xludf.DUMMYFUNCTION("""COMPUTED_VALUE"""),0.0028)</f>
        <v>0.0028</v>
      </c>
      <c r="BD84" s="297">
        <f>IFERROR(__xludf.DUMMYFUNCTION("""COMPUTED_VALUE"""),0.0028)</f>
        <v>0.0028</v>
      </c>
      <c r="BE84" s="297">
        <f>IFERROR(__xludf.DUMMYFUNCTION("""COMPUTED_VALUE"""),0.0028)</f>
        <v>0.0028</v>
      </c>
      <c r="BF84" s="297">
        <f>IFERROR(__xludf.DUMMYFUNCTION("""COMPUTED_VALUE"""),0.0028)</f>
        <v>0.0028</v>
      </c>
      <c r="BG84" s="297">
        <f>IFERROR(__xludf.DUMMYFUNCTION("""COMPUTED_VALUE"""),0.0028)</f>
        <v>0.0028</v>
      </c>
      <c r="BH84" s="297">
        <f>IFERROR(__xludf.DUMMYFUNCTION("""COMPUTED_VALUE"""),0.0028)</f>
        <v>0.0028</v>
      </c>
      <c r="BI84" s="297">
        <f>IFERROR(__xludf.DUMMYFUNCTION("""COMPUTED_VALUE"""),0.0028)</f>
        <v>0.0028</v>
      </c>
      <c r="BJ84" s="297">
        <f>IFERROR(__xludf.DUMMYFUNCTION("""COMPUTED_VALUE"""),0.0028)</f>
        <v>0.0028</v>
      </c>
      <c r="BK84" s="297">
        <f>IFERROR(__xludf.DUMMYFUNCTION("""COMPUTED_VALUE"""),0.0028)</f>
        <v>0.0028</v>
      </c>
      <c r="BL84" s="297">
        <f>IFERROR(__xludf.DUMMYFUNCTION("""COMPUTED_VALUE"""),0.0028)</f>
        <v>0.0028</v>
      </c>
      <c r="BM84" s="297">
        <f>IFERROR(__xludf.DUMMYFUNCTION("""COMPUTED_VALUE"""),0.0028)</f>
        <v>0.0028</v>
      </c>
      <c r="BN84" s="297">
        <f>IFERROR(__xludf.DUMMYFUNCTION("""COMPUTED_VALUE"""),0.0028)</f>
        <v>0.0028</v>
      </c>
    </row>
    <row r="85">
      <c r="L85" s="292"/>
      <c r="M85" s="292">
        <f>IFERROR(__xludf.DUMMYFUNCTION("""COMPUTED_VALUE"""),16.0)</f>
        <v>16</v>
      </c>
      <c r="N85" s="298">
        <f>IFERROR(__xludf.DUMMYFUNCTION("""COMPUTED_VALUE"""),0.0)</f>
        <v>0</v>
      </c>
      <c r="O85" s="298">
        <f>IFERROR(__xludf.DUMMYFUNCTION("""COMPUTED_VALUE"""),0.0)</f>
        <v>0</v>
      </c>
      <c r="P85" s="298">
        <f>IFERROR(__xludf.DUMMYFUNCTION("""COMPUTED_VALUE"""),0.0)</f>
        <v>0</v>
      </c>
      <c r="Q85" s="298">
        <f>IFERROR(__xludf.DUMMYFUNCTION("""COMPUTED_VALUE"""),0.0)</f>
        <v>0</v>
      </c>
      <c r="R85" s="298">
        <f>IFERROR(__xludf.DUMMYFUNCTION("""COMPUTED_VALUE"""),0.0)</f>
        <v>0</v>
      </c>
      <c r="S85" s="298">
        <f>IFERROR(__xludf.DUMMYFUNCTION("""COMPUTED_VALUE"""),0.0)</f>
        <v>0</v>
      </c>
      <c r="T85" s="298">
        <f>IFERROR(__xludf.DUMMYFUNCTION("""COMPUTED_VALUE"""),0.0)</f>
        <v>0</v>
      </c>
      <c r="U85" s="298">
        <f>IFERROR(__xludf.DUMMYFUNCTION("""COMPUTED_VALUE"""),0.0)</f>
        <v>0</v>
      </c>
      <c r="V85" s="298">
        <f>IFERROR(__xludf.DUMMYFUNCTION("""COMPUTED_VALUE"""),0.0)</f>
        <v>0</v>
      </c>
      <c r="W85" s="298">
        <f>IFERROR(__xludf.DUMMYFUNCTION("""COMPUTED_VALUE"""),0.0)</f>
        <v>0</v>
      </c>
      <c r="X85" s="298">
        <f>IFERROR(__xludf.DUMMYFUNCTION("""COMPUTED_VALUE"""),0.0)</f>
        <v>0</v>
      </c>
      <c r="Y85" s="298">
        <f>IFERROR(__xludf.DUMMYFUNCTION("""COMPUTED_VALUE"""),0.0)</f>
        <v>0</v>
      </c>
      <c r="Z85" s="298">
        <f>IFERROR(__xludf.DUMMYFUNCTION("""COMPUTED_VALUE"""),0.0)</f>
        <v>0</v>
      </c>
      <c r="AA85" s="298">
        <f>IFERROR(__xludf.DUMMYFUNCTION("""COMPUTED_VALUE"""),0.0)</f>
        <v>0</v>
      </c>
      <c r="AB85" s="298">
        <f>IFERROR(__xludf.DUMMYFUNCTION("""COMPUTED_VALUE"""),0.0)</f>
        <v>0</v>
      </c>
      <c r="AC85" s="298">
        <f>IFERROR(__xludf.DUMMYFUNCTION("""COMPUTED_VALUE"""),0.0)</f>
        <v>0</v>
      </c>
      <c r="AD85" s="298">
        <f>IFERROR(__xludf.DUMMYFUNCTION("""COMPUTED_VALUE"""),0.0)</f>
        <v>0</v>
      </c>
      <c r="AE85" s="298">
        <f>IFERROR(__xludf.DUMMYFUNCTION("""COMPUTED_VALUE"""),0.0)</f>
        <v>0</v>
      </c>
      <c r="AF85" s="298">
        <f>IFERROR(__xludf.DUMMYFUNCTION("""COMPUTED_VALUE"""),0.0)</f>
        <v>0</v>
      </c>
      <c r="AG85" s="298">
        <f>IFERROR(__xludf.DUMMYFUNCTION("""COMPUTED_VALUE"""),0.0)</f>
        <v>0</v>
      </c>
      <c r="AH85" s="298">
        <f>IFERROR(__xludf.DUMMYFUNCTION("""COMPUTED_VALUE"""),0.0)</f>
        <v>0</v>
      </c>
      <c r="AI85" s="298">
        <f>IFERROR(__xludf.DUMMYFUNCTION("""COMPUTED_VALUE"""),0.0)</f>
        <v>0</v>
      </c>
      <c r="AJ85" s="298">
        <f>IFERROR(__xludf.DUMMYFUNCTION("""COMPUTED_VALUE"""),0.0)</f>
        <v>0</v>
      </c>
      <c r="AK85" s="298">
        <f>IFERROR(__xludf.DUMMYFUNCTION("""COMPUTED_VALUE"""),0.0)</f>
        <v>0</v>
      </c>
      <c r="AL85" s="298">
        <f>IFERROR(__xludf.DUMMYFUNCTION("""COMPUTED_VALUE"""),0.0)</f>
        <v>0</v>
      </c>
      <c r="AM85" s="298">
        <f>IFERROR(__xludf.DUMMYFUNCTION("""COMPUTED_VALUE"""),1.0E-4)</f>
        <v>0.0001</v>
      </c>
      <c r="AN85" s="298">
        <f>IFERROR(__xludf.DUMMYFUNCTION("""COMPUTED_VALUE"""),5.0E-4)</f>
        <v>0.0005</v>
      </c>
      <c r="AO85" s="298">
        <f>IFERROR(__xludf.DUMMYFUNCTION("""COMPUTED_VALUE"""),0.0017)</f>
        <v>0.0017</v>
      </c>
      <c r="AP85" s="298">
        <f>IFERROR(__xludf.DUMMYFUNCTION("""COMPUTED_VALUE"""),0.0042)</f>
        <v>0.0042</v>
      </c>
      <c r="AQ85" s="298">
        <f>IFERROR(__xludf.DUMMYFUNCTION("""COMPUTED_VALUE"""),0.0085)</f>
        <v>0.0085</v>
      </c>
      <c r="AR85" s="298">
        <f>IFERROR(__xludf.DUMMYFUNCTION("""COMPUTED_VALUE"""),0.0141)</f>
        <v>0.0141</v>
      </c>
      <c r="AS85" s="298">
        <f>IFERROR(__xludf.DUMMYFUNCTION("""COMPUTED_VALUE"""),0.0201)</f>
        <v>0.0201</v>
      </c>
      <c r="AT85" s="298">
        <f>IFERROR(__xludf.DUMMYFUNCTION("""COMPUTED_VALUE"""),0.0252)</f>
        <v>0.0252</v>
      </c>
      <c r="AU85" s="298">
        <f>IFERROR(__xludf.DUMMYFUNCTION("""COMPUTED_VALUE"""),0.0279)</f>
        <v>0.0279</v>
      </c>
      <c r="AV85" s="298">
        <f>IFERROR(__xludf.DUMMYFUNCTION("""COMPUTED_VALUE"""),0.0279)</f>
        <v>0.0279</v>
      </c>
      <c r="AW85" s="298">
        <f>IFERROR(__xludf.DUMMYFUNCTION("""COMPUTED_VALUE"""),0.0279)</f>
        <v>0.0279</v>
      </c>
      <c r="AX85" s="298">
        <f>IFERROR(__xludf.DUMMYFUNCTION("""COMPUTED_VALUE"""),0.0279)</f>
        <v>0.0279</v>
      </c>
      <c r="AY85" s="298">
        <f>IFERROR(__xludf.DUMMYFUNCTION("""COMPUTED_VALUE"""),0.0279)</f>
        <v>0.0279</v>
      </c>
      <c r="AZ85" s="298">
        <f>IFERROR(__xludf.DUMMYFUNCTION("""COMPUTED_VALUE"""),0.0279)</f>
        <v>0.0279</v>
      </c>
      <c r="BA85" s="298">
        <f>IFERROR(__xludf.DUMMYFUNCTION("""COMPUTED_VALUE"""),0.0279)</f>
        <v>0.0279</v>
      </c>
      <c r="BB85" s="298">
        <f>IFERROR(__xludf.DUMMYFUNCTION("""COMPUTED_VALUE"""),0.0279)</f>
        <v>0.0279</v>
      </c>
      <c r="BC85" s="298">
        <f>IFERROR(__xludf.DUMMYFUNCTION("""COMPUTED_VALUE"""),0.0279)</f>
        <v>0.0279</v>
      </c>
      <c r="BD85" s="298">
        <f>IFERROR(__xludf.DUMMYFUNCTION("""COMPUTED_VALUE"""),0.0279)</f>
        <v>0.0279</v>
      </c>
      <c r="BE85" s="298">
        <f>IFERROR(__xludf.DUMMYFUNCTION("""COMPUTED_VALUE"""),0.0279)</f>
        <v>0.0279</v>
      </c>
      <c r="BF85" s="298">
        <f>IFERROR(__xludf.DUMMYFUNCTION("""COMPUTED_VALUE"""),0.0279)</f>
        <v>0.0279</v>
      </c>
      <c r="BG85" s="298">
        <f>IFERROR(__xludf.DUMMYFUNCTION("""COMPUTED_VALUE"""),0.0279)</f>
        <v>0.0279</v>
      </c>
      <c r="BH85" s="298">
        <f>IFERROR(__xludf.DUMMYFUNCTION("""COMPUTED_VALUE"""),0.0279)</f>
        <v>0.0279</v>
      </c>
      <c r="BI85" s="298">
        <f>IFERROR(__xludf.DUMMYFUNCTION("""COMPUTED_VALUE"""),0.0279)</f>
        <v>0.0279</v>
      </c>
      <c r="BJ85" s="298">
        <f>IFERROR(__xludf.DUMMYFUNCTION("""COMPUTED_VALUE"""),0.0279)</f>
        <v>0.0279</v>
      </c>
      <c r="BK85" s="298">
        <f>IFERROR(__xludf.DUMMYFUNCTION("""COMPUTED_VALUE"""),0.0279)</f>
        <v>0.0279</v>
      </c>
      <c r="BL85" s="298">
        <f>IFERROR(__xludf.DUMMYFUNCTION("""COMPUTED_VALUE"""),0.0279)</f>
        <v>0.0279</v>
      </c>
      <c r="BM85" s="298">
        <f>IFERROR(__xludf.DUMMYFUNCTION("""COMPUTED_VALUE"""),0.0279)</f>
        <v>0.0279</v>
      </c>
      <c r="BN85" s="298">
        <f>IFERROR(__xludf.DUMMYFUNCTION("""COMPUTED_VALUE"""),0.0279)</f>
        <v>0.0279</v>
      </c>
    </row>
    <row r="86">
      <c r="L86" s="292"/>
      <c r="M86" s="292" t="str">
        <f>IFERROR(__xludf.DUMMYFUNCTION("""COMPUTED_VALUE"""),"Meal/order")</f>
        <v>Meal/order</v>
      </c>
      <c r="N86" s="296">
        <f>IFERROR(__xludf.DUMMYFUNCTION("""COMPUTED_VALUE"""),6.6813)</f>
        <v>6.6813</v>
      </c>
      <c r="O86" s="296">
        <f>IFERROR(__xludf.DUMMYFUNCTION("""COMPUTED_VALUE"""),6.6827)</f>
        <v>6.6827</v>
      </c>
      <c r="P86" s="296">
        <f>IFERROR(__xludf.DUMMYFUNCTION("""COMPUTED_VALUE"""),6.7373)</f>
        <v>6.7373</v>
      </c>
      <c r="Q86" s="296">
        <f>IFERROR(__xludf.DUMMYFUNCTION("""COMPUTED_VALUE"""),6.765300000000001)</f>
        <v>6.7653</v>
      </c>
      <c r="R86" s="296">
        <f>IFERROR(__xludf.DUMMYFUNCTION("""COMPUTED_VALUE"""),6.772499999999999)</f>
        <v>6.7725</v>
      </c>
      <c r="S86" s="296">
        <f>IFERROR(__xludf.DUMMYFUNCTION("""COMPUTED_VALUE"""),6.8005)</f>
        <v>6.8005</v>
      </c>
      <c r="T86" s="296">
        <f>IFERROR(__xludf.DUMMYFUNCTION("""COMPUTED_VALUE"""),6.801300000000001)</f>
        <v>6.8013</v>
      </c>
      <c r="U86" s="296">
        <f>IFERROR(__xludf.DUMMYFUNCTION("""COMPUTED_VALUE"""),6.788799999999999)</f>
        <v>6.7888</v>
      </c>
      <c r="V86" s="296">
        <f>IFERROR(__xludf.DUMMYFUNCTION("""COMPUTED_VALUE"""),6.79)</f>
        <v>6.79</v>
      </c>
      <c r="W86" s="296">
        <f>IFERROR(__xludf.DUMMYFUNCTION("""COMPUTED_VALUE"""),6.7905999999999995)</f>
        <v>6.7906</v>
      </c>
      <c r="X86" s="296">
        <f>IFERROR(__xludf.DUMMYFUNCTION("""COMPUTED_VALUE"""),6.746600000000001)</f>
        <v>6.7466</v>
      </c>
      <c r="Y86" s="296">
        <f>IFERROR(__xludf.DUMMYFUNCTION("""COMPUTED_VALUE"""),6.7339)</f>
        <v>6.7339</v>
      </c>
      <c r="Z86" s="296">
        <f>IFERROR(__xludf.DUMMYFUNCTION("""COMPUTED_VALUE"""),6.7171)</f>
        <v>6.7171</v>
      </c>
      <c r="AA86" s="296">
        <f>IFERROR(__xludf.DUMMYFUNCTION("""COMPUTED_VALUE"""),6.690800000000001)</f>
        <v>6.6908</v>
      </c>
      <c r="AB86" s="296">
        <f>IFERROR(__xludf.DUMMYFUNCTION("""COMPUTED_VALUE"""),6.690800000000001)</f>
        <v>6.6908</v>
      </c>
      <c r="AC86" s="296">
        <f>IFERROR(__xludf.DUMMYFUNCTION("""COMPUTED_VALUE"""),6.690800000000001)</f>
        <v>6.6908</v>
      </c>
      <c r="AD86" s="296">
        <f>IFERROR(__xludf.DUMMYFUNCTION("""COMPUTED_VALUE"""),6.690800000000001)</f>
        <v>6.6908</v>
      </c>
      <c r="AE86" s="296">
        <f>IFERROR(__xludf.DUMMYFUNCTION("""COMPUTED_VALUE"""),6.690800000000001)</f>
        <v>6.6908</v>
      </c>
      <c r="AF86" s="296">
        <f>IFERROR(__xludf.DUMMYFUNCTION("""COMPUTED_VALUE"""),6.690800000000001)</f>
        <v>6.6908</v>
      </c>
      <c r="AG86" s="296">
        <f>IFERROR(__xludf.DUMMYFUNCTION("""COMPUTED_VALUE"""),6.690800000000001)</f>
        <v>6.6908</v>
      </c>
      <c r="AH86" s="296">
        <f>IFERROR(__xludf.DUMMYFUNCTION("""COMPUTED_VALUE"""),6.690800000000001)</f>
        <v>6.6908</v>
      </c>
      <c r="AI86" s="296">
        <f>IFERROR(__xludf.DUMMYFUNCTION("""COMPUTED_VALUE"""),6.690800000000001)</f>
        <v>6.6908</v>
      </c>
      <c r="AJ86" s="296">
        <f>IFERROR(__xludf.DUMMYFUNCTION("""COMPUTED_VALUE"""),6.690800000000001)</f>
        <v>6.6908</v>
      </c>
      <c r="AK86" s="296">
        <f>IFERROR(__xludf.DUMMYFUNCTION("""COMPUTED_VALUE"""),6.690800000000001)</f>
        <v>6.6908</v>
      </c>
      <c r="AL86" s="296">
        <f>IFERROR(__xludf.DUMMYFUNCTION("""COMPUTED_VALUE"""),6.690800000000001)</f>
        <v>6.6908</v>
      </c>
      <c r="AM86" s="296">
        <f>IFERROR(__xludf.DUMMYFUNCTION("""COMPUTED_VALUE"""),6.691000000000001)</f>
        <v>6.691</v>
      </c>
      <c r="AN86" s="296">
        <f>IFERROR(__xludf.DUMMYFUNCTION("""COMPUTED_VALUE"""),6.739900000000001)</f>
        <v>6.7399</v>
      </c>
      <c r="AO86" s="296">
        <f>IFERROR(__xludf.DUMMYFUNCTION("""COMPUTED_VALUE"""),6.742400000000001)</f>
        <v>6.7424</v>
      </c>
      <c r="AP86" s="296">
        <f>IFERROR(__xludf.DUMMYFUNCTION("""COMPUTED_VALUE"""),6.746200000000001)</f>
        <v>6.7462</v>
      </c>
      <c r="AQ86" s="296">
        <f>IFERROR(__xludf.DUMMYFUNCTION("""COMPUTED_VALUE"""),6.756600000000001)</f>
        <v>6.7566</v>
      </c>
      <c r="AR86" s="296">
        <f>IFERROR(__xludf.DUMMYFUNCTION("""COMPUTED_VALUE"""),6.768400000000001)</f>
        <v>6.7684</v>
      </c>
      <c r="AS86" s="296">
        <f>IFERROR(__xludf.DUMMYFUNCTION("""COMPUTED_VALUE"""),6.7810000000000015)</f>
        <v>6.781</v>
      </c>
      <c r="AT86" s="296">
        <f>IFERROR(__xludf.DUMMYFUNCTION("""COMPUTED_VALUE"""),6.7917000000000005)</f>
        <v>6.7917</v>
      </c>
      <c r="AU86" s="296">
        <f>IFERROR(__xludf.DUMMYFUNCTION("""COMPUTED_VALUE"""),6.7974000000000006)</f>
        <v>6.7974</v>
      </c>
      <c r="AV86" s="296">
        <f>IFERROR(__xludf.DUMMYFUNCTION("""COMPUTED_VALUE"""),6.7974000000000006)</f>
        <v>6.7974</v>
      </c>
      <c r="AW86" s="296">
        <f>IFERROR(__xludf.DUMMYFUNCTION("""COMPUTED_VALUE"""),6.7974000000000006)</f>
        <v>6.7974</v>
      </c>
      <c r="AX86" s="296">
        <f>IFERROR(__xludf.DUMMYFUNCTION("""COMPUTED_VALUE"""),6.7974000000000006)</f>
        <v>6.7974</v>
      </c>
      <c r="AY86" s="296">
        <f>IFERROR(__xludf.DUMMYFUNCTION("""COMPUTED_VALUE"""),6.7974000000000006)</f>
        <v>6.7974</v>
      </c>
      <c r="AZ86" s="296">
        <f>IFERROR(__xludf.DUMMYFUNCTION("""COMPUTED_VALUE"""),6.7974000000000006)</f>
        <v>6.7974</v>
      </c>
      <c r="BA86" s="296">
        <f>IFERROR(__xludf.DUMMYFUNCTION("""COMPUTED_VALUE"""),6.899400000000001)</f>
        <v>6.8994</v>
      </c>
      <c r="BB86" s="296">
        <f>IFERROR(__xludf.DUMMYFUNCTION("""COMPUTED_VALUE"""),6.899400000000001)</f>
        <v>6.8994</v>
      </c>
      <c r="BC86" s="296">
        <f>IFERROR(__xludf.DUMMYFUNCTION("""COMPUTED_VALUE"""),6.899400000000001)</f>
        <v>6.8994</v>
      </c>
      <c r="BD86" s="296">
        <f>IFERROR(__xludf.DUMMYFUNCTION("""COMPUTED_VALUE"""),6.899400000000001)</f>
        <v>6.8994</v>
      </c>
      <c r="BE86" s="296">
        <f>IFERROR(__xludf.DUMMYFUNCTION("""COMPUTED_VALUE"""),6.899400000000001)</f>
        <v>6.8994</v>
      </c>
      <c r="BF86" s="296">
        <f>IFERROR(__xludf.DUMMYFUNCTION("""COMPUTED_VALUE"""),6.899400000000001)</f>
        <v>6.8994</v>
      </c>
      <c r="BG86" s="296">
        <f>IFERROR(__xludf.DUMMYFUNCTION("""COMPUTED_VALUE"""),6.899400000000001)</f>
        <v>6.8994</v>
      </c>
      <c r="BH86" s="296">
        <f>IFERROR(__xludf.DUMMYFUNCTION("""COMPUTED_VALUE"""),6.899400000000001)</f>
        <v>6.8994</v>
      </c>
      <c r="BI86" s="296">
        <f>IFERROR(__xludf.DUMMYFUNCTION("""COMPUTED_VALUE"""),6.899400000000001)</f>
        <v>6.8994</v>
      </c>
      <c r="BJ86" s="296">
        <f>IFERROR(__xludf.DUMMYFUNCTION("""COMPUTED_VALUE"""),6.899400000000001)</f>
        <v>6.8994</v>
      </c>
      <c r="BK86" s="296">
        <f>IFERROR(__xludf.DUMMYFUNCTION("""COMPUTED_VALUE"""),6.899400000000001)</f>
        <v>6.8994</v>
      </c>
      <c r="BL86" s="296">
        <f>IFERROR(__xludf.DUMMYFUNCTION("""COMPUTED_VALUE"""),6.899400000000001)</f>
        <v>6.8994</v>
      </c>
      <c r="BM86" s="296">
        <f>IFERROR(__xludf.DUMMYFUNCTION("""COMPUTED_VALUE"""),6.899400000000001)</f>
        <v>6.8994</v>
      </c>
      <c r="BN86" s="296">
        <f>IFERROR(__xludf.DUMMYFUNCTION("""COMPUTED_VALUE"""),6.899400000000001)</f>
        <v>6.8994</v>
      </c>
    </row>
    <row r="87">
      <c r="L87" s="292"/>
      <c r="M87" s="292"/>
      <c r="N87" s="292"/>
      <c r="O87" s="292"/>
      <c r="P87" s="292"/>
      <c r="Q87" s="292"/>
      <c r="R87" s="292"/>
      <c r="S87" s="292"/>
      <c r="T87" s="292"/>
      <c r="U87" s="292"/>
      <c r="V87" s="292"/>
      <c r="W87" s="292"/>
      <c r="X87" s="292"/>
      <c r="Y87" s="292"/>
      <c r="Z87" s="292"/>
      <c r="AA87" s="292"/>
      <c r="AB87" s="292"/>
      <c r="AC87" s="292"/>
      <c r="AD87" s="292"/>
      <c r="AE87" s="292"/>
      <c r="AF87" s="292"/>
      <c r="AG87" s="292"/>
      <c r="AH87" s="292"/>
      <c r="AI87" s="292"/>
      <c r="AJ87" s="292"/>
      <c r="AK87" s="292"/>
      <c r="AL87" s="292"/>
      <c r="AM87" s="292"/>
      <c r="AN87" s="292"/>
      <c r="AO87" s="292"/>
      <c r="AP87" s="292"/>
      <c r="AQ87" s="292"/>
      <c r="AR87" s="292"/>
      <c r="AS87" s="292"/>
      <c r="AT87" s="292"/>
      <c r="AU87" s="292"/>
      <c r="AV87" s="292"/>
      <c r="AW87" s="292"/>
      <c r="AX87" s="292"/>
      <c r="AY87" s="292"/>
      <c r="AZ87" s="292"/>
      <c r="BA87" s="292"/>
      <c r="BB87" s="292"/>
      <c r="BC87" s="292"/>
      <c r="BD87" s="292"/>
      <c r="BE87" s="292"/>
      <c r="BF87" s="292"/>
      <c r="BG87" s="292"/>
      <c r="BH87" s="292"/>
      <c r="BI87" s="292"/>
      <c r="BJ87" s="292"/>
      <c r="BK87" s="292"/>
      <c r="BL87" s="292"/>
      <c r="BM87" s="292"/>
      <c r="BN87" s="292"/>
    </row>
    <row r="88">
      <c r="L88" s="292" t="str">
        <f>IFERROR(__xludf.DUMMYFUNCTION("""COMPUTED_VALUE"""),"SE")</f>
        <v>SE</v>
      </c>
      <c r="M88" s="292">
        <f>IFERROR(__xludf.DUMMYFUNCTION("""COMPUTED_VALUE"""),4.0)</f>
        <v>4</v>
      </c>
      <c r="N88" s="298">
        <f>IFERROR(__xludf.DUMMYFUNCTION("""COMPUTED_VALUE"""),0.21661055)</f>
        <v>0.21661055</v>
      </c>
      <c r="O88" s="298">
        <f>IFERROR(__xludf.DUMMYFUNCTION("""COMPUTED_VALUE"""),0.22147084)</f>
        <v>0.22147084</v>
      </c>
      <c r="P88" s="298">
        <f>IFERROR(__xludf.DUMMYFUNCTION("""COMPUTED_VALUE"""),0.21846661)</f>
        <v>0.21846661</v>
      </c>
      <c r="Q88" s="298">
        <f>IFERROR(__xludf.DUMMYFUNCTION("""COMPUTED_VALUE"""),0.21774795)</f>
        <v>0.21774795</v>
      </c>
      <c r="R88" s="298">
        <f>IFERROR(__xludf.DUMMYFUNCTION("""COMPUTED_VALUE"""),0.21767241)</f>
        <v>0.21767241</v>
      </c>
      <c r="S88" s="298">
        <f>IFERROR(__xludf.DUMMYFUNCTION("""COMPUTED_VALUE"""),0.21632938)</f>
        <v>0.21632938</v>
      </c>
      <c r="T88" s="298">
        <f>IFERROR(__xludf.DUMMYFUNCTION("""COMPUTED_VALUE"""),0.21546961)</f>
        <v>0.21546961</v>
      </c>
      <c r="U88" s="298">
        <f>IFERROR(__xludf.DUMMYFUNCTION("""COMPUTED_VALUE"""),0.2159013)</f>
        <v>0.2159013</v>
      </c>
      <c r="V88" s="298">
        <f>IFERROR(__xludf.DUMMYFUNCTION("""COMPUTED_VALUE"""),0.21500335)</f>
        <v>0.21500335</v>
      </c>
      <c r="W88" s="298">
        <f>IFERROR(__xludf.DUMMYFUNCTION("""COMPUTED_VALUE"""),0.21442886)</f>
        <v>0.21442886</v>
      </c>
      <c r="X88" s="298">
        <f>IFERROR(__xludf.DUMMYFUNCTION("""COMPUTED_VALUE"""),0.21376086)</f>
        <v>0.21376086</v>
      </c>
      <c r="Y88" s="298">
        <f>IFERROR(__xludf.DUMMYFUNCTION("""COMPUTED_VALUE"""),0.21423729)</f>
        <v>0.21423729</v>
      </c>
      <c r="Z88" s="298">
        <f>IFERROR(__xludf.DUMMYFUNCTION("""COMPUTED_VALUE"""),0.21516393)</f>
        <v>0.21516393</v>
      </c>
      <c r="AA88" s="298">
        <f>IFERROR(__xludf.DUMMYFUNCTION("""COMPUTED_VALUE"""),0.21827)</f>
        <v>0.21827</v>
      </c>
      <c r="AB88" s="298">
        <f>IFERROR(__xludf.DUMMYFUNCTION("""COMPUTED_VALUE"""),0.21827)</f>
        <v>0.21827</v>
      </c>
      <c r="AC88" s="298">
        <f>IFERROR(__xludf.DUMMYFUNCTION("""COMPUTED_VALUE"""),0.21827)</f>
        <v>0.21827</v>
      </c>
      <c r="AD88" s="298">
        <f>IFERROR(__xludf.DUMMYFUNCTION("""COMPUTED_VALUE"""),0.21827)</f>
        <v>0.21827</v>
      </c>
      <c r="AE88" s="298">
        <f>IFERROR(__xludf.DUMMYFUNCTION("""COMPUTED_VALUE"""),0.21827)</f>
        <v>0.21827</v>
      </c>
      <c r="AF88" s="298">
        <f>IFERROR(__xludf.DUMMYFUNCTION("""COMPUTED_VALUE"""),0.21827)</f>
        <v>0.21827</v>
      </c>
      <c r="AG88" s="298">
        <f>IFERROR(__xludf.DUMMYFUNCTION("""COMPUTED_VALUE"""),0.21827)</f>
        <v>0.21827</v>
      </c>
      <c r="AH88" s="298">
        <f>IFERROR(__xludf.DUMMYFUNCTION("""COMPUTED_VALUE"""),0.21827)</f>
        <v>0.21827</v>
      </c>
      <c r="AI88" s="298">
        <f>IFERROR(__xludf.DUMMYFUNCTION("""COMPUTED_VALUE"""),0.21827)</f>
        <v>0.21827</v>
      </c>
      <c r="AJ88" s="298">
        <f>IFERROR(__xludf.DUMMYFUNCTION("""COMPUTED_VALUE"""),0.21827)</f>
        <v>0.21827</v>
      </c>
      <c r="AK88" s="298">
        <f>IFERROR(__xludf.DUMMYFUNCTION("""COMPUTED_VALUE"""),0.21827)</f>
        <v>0.21827</v>
      </c>
      <c r="AL88" s="298">
        <f>IFERROR(__xludf.DUMMYFUNCTION("""COMPUTED_VALUE"""),0.21827)</f>
        <v>0.21827</v>
      </c>
      <c r="AM88" s="298">
        <f>IFERROR(__xludf.DUMMYFUNCTION("""COMPUTED_VALUE"""),0.21827)</f>
        <v>0.21827</v>
      </c>
      <c r="AN88" s="298">
        <f>IFERROR(__xludf.DUMMYFUNCTION("""COMPUTED_VALUE"""),0.21827)</f>
        <v>0.21827</v>
      </c>
      <c r="AO88" s="298">
        <f>IFERROR(__xludf.DUMMYFUNCTION("""COMPUTED_VALUE"""),0.21827)</f>
        <v>0.21827</v>
      </c>
      <c r="AP88" s="298">
        <f>IFERROR(__xludf.DUMMYFUNCTION("""COMPUTED_VALUE"""),0.21827)</f>
        <v>0.21827</v>
      </c>
      <c r="AQ88" s="298">
        <f>IFERROR(__xludf.DUMMYFUNCTION("""COMPUTED_VALUE"""),0.21827)</f>
        <v>0.21827</v>
      </c>
      <c r="AR88" s="298">
        <f>IFERROR(__xludf.DUMMYFUNCTION("""COMPUTED_VALUE"""),0.21827)</f>
        <v>0.21827</v>
      </c>
      <c r="AS88" s="298">
        <f>IFERROR(__xludf.DUMMYFUNCTION("""COMPUTED_VALUE"""),0.21827)</f>
        <v>0.21827</v>
      </c>
      <c r="AT88" s="298">
        <f>IFERROR(__xludf.DUMMYFUNCTION("""COMPUTED_VALUE"""),0.21827)</f>
        <v>0.21827</v>
      </c>
      <c r="AU88" s="298">
        <f>IFERROR(__xludf.DUMMYFUNCTION("""COMPUTED_VALUE"""),0.21827)</f>
        <v>0.21827</v>
      </c>
      <c r="AV88" s="298">
        <f>IFERROR(__xludf.DUMMYFUNCTION("""COMPUTED_VALUE"""),0.21827)</f>
        <v>0.21827</v>
      </c>
      <c r="AW88" s="298">
        <f>IFERROR(__xludf.DUMMYFUNCTION("""COMPUTED_VALUE"""),0.21827)</f>
        <v>0.21827</v>
      </c>
      <c r="AX88" s="298">
        <f>IFERROR(__xludf.DUMMYFUNCTION("""COMPUTED_VALUE"""),0.21827)</f>
        <v>0.21827</v>
      </c>
      <c r="AY88" s="298">
        <f>IFERROR(__xludf.DUMMYFUNCTION("""COMPUTED_VALUE"""),0.21827)</f>
        <v>0.21827</v>
      </c>
      <c r="AZ88" s="298">
        <f>IFERROR(__xludf.DUMMYFUNCTION("""COMPUTED_VALUE"""),0.21827)</f>
        <v>0.21827</v>
      </c>
      <c r="BA88" s="298">
        <f>IFERROR(__xludf.DUMMYFUNCTION("""COMPUTED_VALUE"""),0.21827)</f>
        <v>0.21827</v>
      </c>
      <c r="BB88" s="298">
        <f>IFERROR(__xludf.DUMMYFUNCTION("""COMPUTED_VALUE"""),0.21827)</f>
        <v>0.21827</v>
      </c>
      <c r="BC88" s="298">
        <f>IFERROR(__xludf.DUMMYFUNCTION("""COMPUTED_VALUE"""),0.21827)</f>
        <v>0.21827</v>
      </c>
      <c r="BD88" s="298">
        <f>IFERROR(__xludf.DUMMYFUNCTION("""COMPUTED_VALUE"""),0.21827)</f>
        <v>0.21827</v>
      </c>
      <c r="BE88" s="298">
        <f>IFERROR(__xludf.DUMMYFUNCTION("""COMPUTED_VALUE"""),0.21827)</f>
        <v>0.21827</v>
      </c>
      <c r="BF88" s="298">
        <f>IFERROR(__xludf.DUMMYFUNCTION("""COMPUTED_VALUE"""),0.21827)</f>
        <v>0.21827</v>
      </c>
      <c r="BG88" s="298">
        <f>IFERROR(__xludf.DUMMYFUNCTION("""COMPUTED_VALUE"""),0.21827)</f>
        <v>0.21827</v>
      </c>
      <c r="BH88" s="298">
        <f>IFERROR(__xludf.DUMMYFUNCTION("""COMPUTED_VALUE"""),0.21827)</f>
        <v>0.21827</v>
      </c>
      <c r="BI88" s="298">
        <f>IFERROR(__xludf.DUMMYFUNCTION("""COMPUTED_VALUE"""),0.21827)</f>
        <v>0.21827</v>
      </c>
      <c r="BJ88" s="298">
        <f>IFERROR(__xludf.DUMMYFUNCTION("""COMPUTED_VALUE"""),0.21827)</f>
        <v>0.21827</v>
      </c>
      <c r="BK88" s="298">
        <f>IFERROR(__xludf.DUMMYFUNCTION("""COMPUTED_VALUE"""),0.21827)</f>
        <v>0.21827</v>
      </c>
      <c r="BL88" s="298">
        <f>IFERROR(__xludf.DUMMYFUNCTION("""COMPUTED_VALUE"""),0.21827)</f>
        <v>0.21827</v>
      </c>
      <c r="BM88" s="298">
        <f>IFERROR(__xludf.DUMMYFUNCTION("""COMPUTED_VALUE"""),0.21827)</f>
        <v>0.21827</v>
      </c>
      <c r="BN88" s="298">
        <f>IFERROR(__xludf.DUMMYFUNCTION("""COMPUTED_VALUE"""),0.21827)</f>
        <v>0.21827</v>
      </c>
    </row>
    <row r="89">
      <c r="L89" s="292"/>
      <c r="M89" s="292">
        <f>IFERROR(__xludf.DUMMYFUNCTION("""COMPUTED_VALUE"""),5.0)</f>
        <v>5</v>
      </c>
      <c r="N89" s="298">
        <f>IFERROR(__xludf.DUMMYFUNCTION("""COMPUTED_VALUE"""),0.00673401)</f>
        <v>0.00673401</v>
      </c>
      <c r="O89" s="298">
        <f>IFERROR(__xludf.DUMMYFUNCTION("""COMPUTED_VALUE"""),0.00676247)</f>
        <v>0.00676247</v>
      </c>
      <c r="P89" s="298">
        <f>IFERROR(__xludf.DUMMYFUNCTION("""COMPUTED_VALUE"""),0.00659522)</f>
        <v>0.00659522</v>
      </c>
      <c r="Q89" s="298">
        <f>IFERROR(__xludf.DUMMYFUNCTION("""COMPUTED_VALUE"""),0.00671141)</f>
        <v>0.00671141</v>
      </c>
      <c r="R89" s="298">
        <f>IFERROR(__xludf.DUMMYFUNCTION("""COMPUTED_VALUE"""),0.00718391)</f>
        <v>0.00718391</v>
      </c>
      <c r="S89" s="298">
        <f>IFERROR(__xludf.DUMMYFUNCTION("""COMPUTED_VALUE"""),0.00697837)</f>
        <v>0.00697837</v>
      </c>
      <c r="T89" s="298">
        <f>IFERROR(__xludf.DUMMYFUNCTION("""COMPUTED_VALUE"""),0.00759669)</f>
        <v>0.00759669</v>
      </c>
      <c r="U89" s="298">
        <f>IFERROR(__xludf.DUMMYFUNCTION("""COMPUTED_VALUE"""),0.00753941)</f>
        <v>0.00753941</v>
      </c>
      <c r="V89" s="298">
        <f>IFERROR(__xludf.DUMMYFUNCTION("""COMPUTED_VALUE"""),0.00736772)</f>
        <v>0.00736772</v>
      </c>
      <c r="W89" s="298">
        <f>IFERROR(__xludf.DUMMYFUNCTION("""COMPUTED_VALUE"""),0.00734803)</f>
        <v>0.00734803</v>
      </c>
      <c r="X89" s="298">
        <f>IFERROR(__xludf.DUMMYFUNCTION("""COMPUTED_VALUE"""),0.00734803)</f>
        <v>0.00734803</v>
      </c>
      <c r="Y89" s="298">
        <f>IFERROR(__xludf.DUMMYFUNCTION("""COMPUTED_VALUE"""),0.00677966)</f>
        <v>0.00677966</v>
      </c>
      <c r="Z89" s="298">
        <f>IFERROR(__xludf.DUMMYFUNCTION("""COMPUTED_VALUE"""),0.0068306)</f>
        <v>0.0068306</v>
      </c>
      <c r="AA89" s="298">
        <f>IFERROR(__xludf.DUMMYFUNCTION("""COMPUTED_VALUE"""),0.012438)</f>
        <v>0.012438</v>
      </c>
      <c r="AB89" s="298">
        <f>IFERROR(__xludf.DUMMYFUNCTION("""COMPUTED_VALUE"""),0.012438)</f>
        <v>0.012438</v>
      </c>
      <c r="AC89" s="298">
        <f>IFERROR(__xludf.DUMMYFUNCTION("""COMPUTED_VALUE"""),0.012438)</f>
        <v>0.012438</v>
      </c>
      <c r="AD89" s="298">
        <f>IFERROR(__xludf.DUMMYFUNCTION("""COMPUTED_VALUE"""),0.012438)</f>
        <v>0.012438</v>
      </c>
      <c r="AE89" s="298">
        <f>IFERROR(__xludf.DUMMYFUNCTION("""COMPUTED_VALUE"""),0.012438)</f>
        <v>0.012438</v>
      </c>
      <c r="AF89" s="298">
        <f>IFERROR(__xludf.DUMMYFUNCTION("""COMPUTED_VALUE"""),0.012438)</f>
        <v>0.012438</v>
      </c>
      <c r="AG89" s="298">
        <f>IFERROR(__xludf.DUMMYFUNCTION("""COMPUTED_VALUE"""),0.012438)</f>
        <v>0.012438</v>
      </c>
      <c r="AH89" s="298">
        <f>IFERROR(__xludf.DUMMYFUNCTION("""COMPUTED_VALUE"""),0.012438)</f>
        <v>0.012438</v>
      </c>
      <c r="AI89" s="298">
        <f>IFERROR(__xludf.DUMMYFUNCTION("""COMPUTED_VALUE"""),0.012438)</f>
        <v>0.012438</v>
      </c>
      <c r="AJ89" s="298">
        <f>IFERROR(__xludf.DUMMYFUNCTION("""COMPUTED_VALUE"""),0.012438)</f>
        <v>0.012438</v>
      </c>
      <c r="AK89" s="298">
        <f>IFERROR(__xludf.DUMMYFUNCTION("""COMPUTED_VALUE"""),0.012438)</f>
        <v>0.012438</v>
      </c>
      <c r="AL89" s="298">
        <f>IFERROR(__xludf.DUMMYFUNCTION("""COMPUTED_VALUE"""),0.012438)</f>
        <v>0.012438</v>
      </c>
      <c r="AM89" s="298">
        <f>IFERROR(__xludf.DUMMYFUNCTION("""COMPUTED_VALUE"""),0.012438)</f>
        <v>0.012438</v>
      </c>
      <c r="AN89" s="298">
        <f>IFERROR(__xludf.DUMMYFUNCTION("""COMPUTED_VALUE"""),0.012438)</f>
        <v>0.012438</v>
      </c>
      <c r="AO89" s="298">
        <f>IFERROR(__xludf.DUMMYFUNCTION("""COMPUTED_VALUE"""),0.012438)</f>
        <v>0.012438</v>
      </c>
      <c r="AP89" s="298">
        <f>IFERROR(__xludf.DUMMYFUNCTION("""COMPUTED_VALUE"""),0.012438)</f>
        <v>0.012438</v>
      </c>
      <c r="AQ89" s="298">
        <f>IFERROR(__xludf.DUMMYFUNCTION("""COMPUTED_VALUE"""),0.012438)</f>
        <v>0.012438</v>
      </c>
      <c r="AR89" s="298">
        <f>IFERROR(__xludf.DUMMYFUNCTION("""COMPUTED_VALUE"""),0.012438)</f>
        <v>0.012438</v>
      </c>
      <c r="AS89" s="298">
        <f>IFERROR(__xludf.DUMMYFUNCTION("""COMPUTED_VALUE"""),0.012438)</f>
        <v>0.012438</v>
      </c>
      <c r="AT89" s="298">
        <f>IFERROR(__xludf.DUMMYFUNCTION("""COMPUTED_VALUE"""),0.012438)</f>
        <v>0.012438</v>
      </c>
      <c r="AU89" s="298">
        <f>IFERROR(__xludf.DUMMYFUNCTION("""COMPUTED_VALUE"""),0.012438)</f>
        <v>0.012438</v>
      </c>
      <c r="AV89" s="298">
        <f>IFERROR(__xludf.DUMMYFUNCTION("""COMPUTED_VALUE"""),0.012438)</f>
        <v>0.012438</v>
      </c>
      <c r="AW89" s="298">
        <f>IFERROR(__xludf.DUMMYFUNCTION("""COMPUTED_VALUE"""),0.012438)</f>
        <v>0.012438</v>
      </c>
      <c r="AX89" s="298">
        <f>IFERROR(__xludf.DUMMYFUNCTION("""COMPUTED_VALUE"""),0.012438)</f>
        <v>0.012438</v>
      </c>
      <c r="AY89" s="298">
        <f>IFERROR(__xludf.DUMMYFUNCTION("""COMPUTED_VALUE"""),0.012438)</f>
        <v>0.012438</v>
      </c>
      <c r="AZ89" s="298">
        <f>IFERROR(__xludf.DUMMYFUNCTION("""COMPUTED_VALUE"""),0.012438)</f>
        <v>0.012438</v>
      </c>
      <c r="BA89" s="298">
        <f>IFERROR(__xludf.DUMMYFUNCTION("""COMPUTED_VALUE"""),0.012438)</f>
        <v>0.012438</v>
      </c>
      <c r="BB89" s="298">
        <f>IFERROR(__xludf.DUMMYFUNCTION("""COMPUTED_VALUE"""),0.012438)</f>
        <v>0.012438</v>
      </c>
      <c r="BC89" s="298">
        <f>IFERROR(__xludf.DUMMYFUNCTION("""COMPUTED_VALUE"""),0.012438)</f>
        <v>0.012438</v>
      </c>
      <c r="BD89" s="298">
        <f>IFERROR(__xludf.DUMMYFUNCTION("""COMPUTED_VALUE"""),0.012438)</f>
        <v>0.012438</v>
      </c>
      <c r="BE89" s="298">
        <f>IFERROR(__xludf.DUMMYFUNCTION("""COMPUTED_VALUE"""),0.012438)</f>
        <v>0.012438</v>
      </c>
      <c r="BF89" s="298">
        <f>IFERROR(__xludf.DUMMYFUNCTION("""COMPUTED_VALUE"""),0.012438)</f>
        <v>0.012438</v>
      </c>
      <c r="BG89" s="298">
        <f>IFERROR(__xludf.DUMMYFUNCTION("""COMPUTED_VALUE"""),0.012438)</f>
        <v>0.012438</v>
      </c>
      <c r="BH89" s="298">
        <f>IFERROR(__xludf.DUMMYFUNCTION("""COMPUTED_VALUE"""),0.012438)</f>
        <v>0.012438</v>
      </c>
      <c r="BI89" s="298">
        <f>IFERROR(__xludf.DUMMYFUNCTION("""COMPUTED_VALUE"""),0.012438)</f>
        <v>0.012438</v>
      </c>
      <c r="BJ89" s="298">
        <f>IFERROR(__xludf.DUMMYFUNCTION("""COMPUTED_VALUE"""),0.012438)</f>
        <v>0.012438</v>
      </c>
      <c r="BK89" s="298">
        <f>IFERROR(__xludf.DUMMYFUNCTION("""COMPUTED_VALUE"""),0.012438)</f>
        <v>0.012438</v>
      </c>
      <c r="BL89" s="298">
        <f>IFERROR(__xludf.DUMMYFUNCTION("""COMPUTED_VALUE"""),0.012438)</f>
        <v>0.012438</v>
      </c>
      <c r="BM89" s="298">
        <f>IFERROR(__xludf.DUMMYFUNCTION("""COMPUTED_VALUE"""),0.012438)</f>
        <v>0.012438</v>
      </c>
      <c r="BN89" s="298">
        <f>IFERROR(__xludf.DUMMYFUNCTION("""COMPUTED_VALUE"""),0.012438)</f>
        <v>0.012438</v>
      </c>
    </row>
    <row r="90">
      <c r="L90" s="292"/>
      <c r="M90" s="292">
        <f>IFERROR(__xludf.DUMMYFUNCTION("""COMPUTED_VALUE"""),6.0)</f>
        <v>6</v>
      </c>
      <c r="N90" s="298">
        <f>IFERROR(__xludf.DUMMYFUNCTION("""COMPUTED_VALUE"""),0.24803592)</f>
        <v>0.24803592</v>
      </c>
      <c r="O90" s="298">
        <f>IFERROR(__xludf.DUMMYFUNCTION("""COMPUTED_VALUE"""),0.24936602)</f>
        <v>0.24936602</v>
      </c>
      <c r="P90" s="298">
        <f>IFERROR(__xludf.DUMMYFUNCTION("""COMPUTED_VALUE"""),0.24649629)</f>
        <v>0.24649629</v>
      </c>
      <c r="Q90" s="298">
        <f>IFERROR(__xludf.DUMMYFUNCTION("""COMPUTED_VALUE"""),0.24384788)</f>
        <v>0.24384788</v>
      </c>
      <c r="R90" s="298">
        <f>IFERROR(__xludf.DUMMYFUNCTION("""COMPUTED_VALUE"""),0.24281609)</f>
        <v>0.24281609</v>
      </c>
      <c r="S90" s="298">
        <f>IFERROR(__xludf.DUMMYFUNCTION("""COMPUTED_VALUE"""),0.2414515)</f>
        <v>0.2414515</v>
      </c>
      <c r="T90" s="298">
        <f>IFERROR(__xludf.DUMMYFUNCTION("""COMPUTED_VALUE"""),0.2410221)</f>
        <v>0.2410221</v>
      </c>
      <c r="U90" s="298">
        <f>IFERROR(__xludf.DUMMYFUNCTION("""COMPUTED_VALUE"""),0.24126114)</f>
        <v>0.24126114</v>
      </c>
      <c r="V90" s="298">
        <f>IFERROR(__xludf.DUMMYFUNCTION("""COMPUTED_VALUE"""),0.24112525)</f>
        <v>0.24112525</v>
      </c>
      <c r="W90" s="298">
        <f>IFERROR(__xludf.DUMMYFUNCTION("""COMPUTED_VALUE"""),0.24181697)</f>
        <v>0.24181697</v>
      </c>
      <c r="X90" s="298">
        <f>IFERROR(__xludf.DUMMYFUNCTION("""COMPUTED_VALUE"""),0.24315297)</f>
        <v>0.24315297</v>
      </c>
      <c r="Y90" s="298">
        <f>IFERROR(__xludf.DUMMYFUNCTION("""COMPUTED_VALUE"""),0.24271186)</f>
        <v>0.24271186</v>
      </c>
      <c r="Z90" s="298">
        <f>IFERROR(__xludf.DUMMYFUNCTION("""COMPUTED_VALUE"""),0.2431694)</f>
        <v>0.2431694</v>
      </c>
      <c r="AA90" s="298">
        <f>IFERROR(__xludf.DUMMYFUNCTION("""COMPUTED_VALUE"""),0.224061)</f>
        <v>0.224061</v>
      </c>
      <c r="AB90" s="298">
        <f>IFERROR(__xludf.DUMMYFUNCTION("""COMPUTED_VALUE"""),0.224061)</f>
        <v>0.224061</v>
      </c>
      <c r="AC90" s="298">
        <f>IFERROR(__xludf.DUMMYFUNCTION("""COMPUTED_VALUE"""),0.224061)</f>
        <v>0.224061</v>
      </c>
      <c r="AD90" s="298">
        <f>IFERROR(__xludf.DUMMYFUNCTION("""COMPUTED_VALUE"""),0.224061)</f>
        <v>0.224061</v>
      </c>
      <c r="AE90" s="298">
        <f>IFERROR(__xludf.DUMMYFUNCTION("""COMPUTED_VALUE"""),0.224061)</f>
        <v>0.224061</v>
      </c>
      <c r="AF90" s="298">
        <f>IFERROR(__xludf.DUMMYFUNCTION("""COMPUTED_VALUE"""),0.224061)</f>
        <v>0.224061</v>
      </c>
      <c r="AG90" s="298">
        <f>IFERROR(__xludf.DUMMYFUNCTION("""COMPUTED_VALUE"""),0.224061)</f>
        <v>0.224061</v>
      </c>
      <c r="AH90" s="298">
        <f>IFERROR(__xludf.DUMMYFUNCTION("""COMPUTED_VALUE"""),0.224061)</f>
        <v>0.224061</v>
      </c>
      <c r="AI90" s="298">
        <f>IFERROR(__xludf.DUMMYFUNCTION("""COMPUTED_VALUE"""),0.224061)</f>
        <v>0.224061</v>
      </c>
      <c r="AJ90" s="298">
        <f>IFERROR(__xludf.DUMMYFUNCTION("""COMPUTED_VALUE"""),0.224061)</f>
        <v>0.224061</v>
      </c>
      <c r="AK90" s="298">
        <f>IFERROR(__xludf.DUMMYFUNCTION("""COMPUTED_VALUE"""),0.224061)</f>
        <v>0.224061</v>
      </c>
      <c r="AL90" s="298">
        <f>IFERROR(__xludf.DUMMYFUNCTION("""COMPUTED_VALUE"""),0.224061)</f>
        <v>0.224061</v>
      </c>
      <c r="AM90" s="298">
        <f>IFERROR(__xludf.DUMMYFUNCTION("""COMPUTED_VALUE"""),0.224061)</f>
        <v>0.224061</v>
      </c>
      <c r="AN90" s="298">
        <f>IFERROR(__xludf.DUMMYFUNCTION("""COMPUTED_VALUE"""),0.200061)</f>
        <v>0.200061</v>
      </c>
      <c r="AO90" s="298">
        <f>IFERROR(__xludf.DUMMYFUNCTION("""COMPUTED_VALUE"""),0.200061)</f>
        <v>0.200061</v>
      </c>
      <c r="AP90" s="298">
        <f>IFERROR(__xludf.DUMMYFUNCTION("""COMPUTED_VALUE"""),0.200061)</f>
        <v>0.200061</v>
      </c>
      <c r="AQ90" s="298">
        <f>IFERROR(__xludf.DUMMYFUNCTION("""COMPUTED_VALUE"""),0.200061)</f>
        <v>0.200061</v>
      </c>
      <c r="AR90" s="298">
        <f>IFERROR(__xludf.DUMMYFUNCTION("""COMPUTED_VALUE"""),0.200061)</f>
        <v>0.200061</v>
      </c>
      <c r="AS90" s="298">
        <f>IFERROR(__xludf.DUMMYFUNCTION("""COMPUTED_VALUE"""),0.200061)</f>
        <v>0.200061</v>
      </c>
      <c r="AT90" s="298">
        <f>IFERROR(__xludf.DUMMYFUNCTION("""COMPUTED_VALUE"""),0.200061)</f>
        <v>0.200061</v>
      </c>
      <c r="AU90" s="298">
        <f>IFERROR(__xludf.DUMMYFUNCTION("""COMPUTED_VALUE"""),0.200061)</f>
        <v>0.200061</v>
      </c>
      <c r="AV90" s="298">
        <f>IFERROR(__xludf.DUMMYFUNCTION("""COMPUTED_VALUE"""),0.200061)</f>
        <v>0.200061</v>
      </c>
      <c r="AW90" s="298">
        <f>IFERROR(__xludf.DUMMYFUNCTION("""COMPUTED_VALUE"""),0.200061)</f>
        <v>0.200061</v>
      </c>
      <c r="AX90" s="298">
        <f>IFERROR(__xludf.DUMMYFUNCTION("""COMPUTED_VALUE"""),0.200061)</f>
        <v>0.200061</v>
      </c>
      <c r="AY90" s="298">
        <f>IFERROR(__xludf.DUMMYFUNCTION("""COMPUTED_VALUE"""),0.200061)</f>
        <v>0.200061</v>
      </c>
      <c r="AZ90" s="298">
        <f>IFERROR(__xludf.DUMMYFUNCTION("""COMPUTED_VALUE"""),0.200061)</f>
        <v>0.200061</v>
      </c>
      <c r="BA90" s="298">
        <f>IFERROR(__xludf.DUMMYFUNCTION("""COMPUTED_VALUE"""),0.149061)</f>
        <v>0.149061</v>
      </c>
      <c r="BB90" s="298">
        <f>IFERROR(__xludf.DUMMYFUNCTION("""COMPUTED_VALUE"""),0.149061)</f>
        <v>0.149061</v>
      </c>
      <c r="BC90" s="298">
        <f>IFERROR(__xludf.DUMMYFUNCTION("""COMPUTED_VALUE"""),0.149061)</f>
        <v>0.149061</v>
      </c>
      <c r="BD90" s="298">
        <f>IFERROR(__xludf.DUMMYFUNCTION("""COMPUTED_VALUE"""),0.149061)</f>
        <v>0.149061</v>
      </c>
      <c r="BE90" s="298">
        <f>IFERROR(__xludf.DUMMYFUNCTION("""COMPUTED_VALUE"""),0.149061)</f>
        <v>0.149061</v>
      </c>
      <c r="BF90" s="298">
        <f>IFERROR(__xludf.DUMMYFUNCTION("""COMPUTED_VALUE"""),0.149061)</f>
        <v>0.149061</v>
      </c>
      <c r="BG90" s="298">
        <f>IFERROR(__xludf.DUMMYFUNCTION("""COMPUTED_VALUE"""),0.149061)</f>
        <v>0.149061</v>
      </c>
      <c r="BH90" s="298">
        <f>IFERROR(__xludf.DUMMYFUNCTION("""COMPUTED_VALUE"""),0.149061)</f>
        <v>0.149061</v>
      </c>
      <c r="BI90" s="298">
        <f>IFERROR(__xludf.DUMMYFUNCTION("""COMPUTED_VALUE"""),0.149061)</f>
        <v>0.149061</v>
      </c>
      <c r="BJ90" s="298">
        <f>IFERROR(__xludf.DUMMYFUNCTION("""COMPUTED_VALUE"""),0.149061)</f>
        <v>0.149061</v>
      </c>
      <c r="BK90" s="298">
        <f>IFERROR(__xludf.DUMMYFUNCTION("""COMPUTED_VALUE"""),0.149061)</f>
        <v>0.149061</v>
      </c>
      <c r="BL90" s="298">
        <f>IFERROR(__xludf.DUMMYFUNCTION("""COMPUTED_VALUE"""),0.149061)</f>
        <v>0.149061</v>
      </c>
      <c r="BM90" s="298">
        <f>IFERROR(__xludf.DUMMYFUNCTION("""COMPUTED_VALUE"""),0.149061)</f>
        <v>0.149061</v>
      </c>
      <c r="BN90" s="298">
        <f>IFERROR(__xludf.DUMMYFUNCTION("""COMPUTED_VALUE"""),0.149061)</f>
        <v>0.149061</v>
      </c>
    </row>
    <row r="91">
      <c r="L91" s="292"/>
      <c r="M91" s="292">
        <f>IFERROR(__xludf.DUMMYFUNCTION("""COMPUTED_VALUE"""),7.0)</f>
        <v>7</v>
      </c>
      <c r="N91" s="298">
        <f>IFERROR(__xludf.DUMMYFUNCTION("""COMPUTED_VALUE"""),0.003367)</f>
        <v>0.003367</v>
      </c>
      <c r="O91" s="298">
        <f>IFERROR(__xludf.DUMMYFUNCTION("""COMPUTED_VALUE"""),0.00422654)</f>
        <v>0.00422654</v>
      </c>
      <c r="P91" s="298">
        <f>IFERROR(__xludf.DUMMYFUNCTION("""COMPUTED_VALUE"""),0.00494641)</f>
        <v>0.00494641</v>
      </c>
      <c r="Q91" s="298">
        <f>IFERROR(__xludf.DUMMYFUNCTION("""COMPUTED_VALUE"""),0.00521999)</f>
        <v>0.00521999</v>
      </c>
      <c r="R91" s="298">
        <f>IFERROR(__xludf.DUMMYFUNCTION("""COMPUTED_VALUE"""),0.00502874)</f>
        <v>0.00502874</v>
      </c>
      <c r="S91" s="298">
        <f>IFERROR(__xludf.DUMMYFUNCTION("""COMPUTED_VALUE"""),0.00488486)</f>
        <v>0.00488486</v>
      </c>
      <c r="T91" s="298">
        <f>IFERROR(__xludf.DUMMYFUNCTION("""COMPUTED_VALUE"""),0.00483425)</f>
        <v>0.00483425</v>
      </c>
      <c r="U91" s="298">
        <f>IFERROR(__xludf.DUMMYFUNCTION("""COMPUTED_VALUE"""),0.00479781)</f>
        <v>0.00479781</v>
      </c>
      <c r="V91" s="298">
        <f>IFERROR(__xludf.DUMMYFUNCTION("""COMPUTED_VALUE"""),0.00468855)</f>
        <v>0.00468855</v>
      </c>
      <c r="W91" s="298">
        <f>IFERROR(__xludf.DUMMYFUNCTION("""COMPUTED_VALUE"""),0.00467602)</f>
        <v>0.00467602</v>
      </c>
      <c r="X91" s="298">
        <f>IFERROR(__xludf.DUMMYFUNCTION("""COMPUTED_VALUE"""),0.00534402)</f>
        <v>0.00534402</v>
      </c>
      <c r="Y91" s="298">
        <f>IFERROR(__xludf.DUMMYFUNCTION("""COMPUTED_VALUE"""),0.00542373)</f>
        <v>0.00542373</v>
      </c>
      <c r="Z91" s="298">
        <f>IFERROR(__xludf.DUMMYFUNCTION("""COMPUTED_VALUE"""),0.00478142)</f>
        <v>0.00478142</v>
      </c>
      <c r="AA91" s="298">
        <f>IFERROR(__xludf.DUMMYFUNCTION("""COMPUTED_VALUE"""),0.008535)</f>
        <v>0.008535</v>
      </c>
      <c r="AB91" s="298">
        <f>IFERROR(__xludf.DUMMYFUNCTION("""COMPUTED_VALUE"""),0.008535)</f>
        <v>0.008535</v>
      </c>
      <c r="AC91" s="298">
        <f>IFERROR(__xludf.DUMMYFUNCTION("""COMPUTED_VALUE"""),0.008535)</f>
        <v>0.008535</v>
      </c>
      <c r="AD91" s="298">
        <f>IFERROR(__xludf.DUMMYFUNCTION("""COMPUTED_VALUE"""),0.008535)</f>
        <v>0.008535</v>
      </c>
      <c r="AE91" s="298">
        <f>IFERROR(__xludf.DUMMYFUNCTION("""COMPUTED_VALUE"""),0.008535)</f>
        <v>0.008535</v>
      </c>
      <c r="AF91" s="298">
        <f>IFERROR(__xludf.DUMMYFUNCTION("""COMPUTED_VALUE"""),0.008535)</f>
        <v>0.008535</v>
      </c>
      <c r="AG91" s="298">
        <f>IFERROR(__xludf.DUMMYFUNCTION("""COMPUTED_VALUE"""),0.008535)</f>
        <v>0.008535</v>
      </c>
      <c r="AH91" s="298">
        <f>IFERROR(__xludf.DUMMYFUNCTION("""COMPUTED_VALUE"""),0.008535)</f>
        <v>0.008535</v>
      </c>
      <c r="AI91" s="298">
        <f>IFERROR(__xludf.DUMMYFUNCTION("""COMPUTED_VALUE"""),0.008535)</f>
        <v>0.008535</v>
      </c>
      <c r="AJ91" s="298">
        <f>IFERROR(__xludf.DUMMYFUNCTION("""COMPUTED_VALUE"""),0.008535)</f>
        <v>0.008535</v>
      </c>
      <c r="AK91" s="298">
        <f>IFERROR(__xludf.DUMMYFUNCTION("""COMPUTED_VALUE"""),0.008535)</f>
        <v>0.008535</v>
      </c>
      <c r="AL91" s="298">
        <f>IFERROR(__xludf.DUMMYFUNCTION("""COMPUTED_VALUE"""),0.008535)</f>
        <v>0.008535</v>
      </c>
      <c r="AM91" s="298">
        <f>IFERROR(__xludf.DUMMYFUNCTION("""COMPUTED_VALUE"""),0.008535)</f>
        <v>0.008535</v>
      </c>
      <c r="AN91" s="298">
        <f>IFERROR(__xludf.DUMMYFUNCTION("""COMPUTED_VALUE"""),0.008535)</f>
        <v>0.008535</v>
      </c>
      <c r="AO91" s="298">
        <f>IFERROR(__xludf.DUMMYFUNCTION("""COMPUTED_VALUE"""),0.008535)</f>
        <v>0.008535</v>
      </c>
      <c r="AP91" s="298">
        <f>IFERROR(__xludf.DUMMYFUNCTION("""COMPUTED_VALUE"""),0.008535)</f>
        <v>0.008535</v>
      </c>
      <c r="AQ91" s="298">
        <f>IFERROR(__xludf.DUMMYFUNCTION("""COMPUTED_VALUE"""),0.008535)</f>
        <v>0.008535</v>
      </c>
      <c r="AR91" s="298">
        <f>IFERROR(__xludf.DUMMYFUNCTION("""COMPUTED_VALUE"""),0.008535)</f>
        <v>0.008535</v>
      </c>
      <c r="AS91" s="298">
        <f>IFERROR(__xludf.DUMMYFUNCTION("""COMPUTED_VALUE"""),0.008535)</f>
        <v>0.008535</v>
      </c>
      <c r="AT91" s="298">
        <f>IFERROR(__xludf.DUMMYFUNCTION("""COMPUTED_VALUE"""),0.008535)</f>
        <v>0.008535</v>
      </c>
      <c r="AU91" s="298">
        <f>IFERROR(__xludf.DUMMYFUNCTION("""COMPUTED_VALUE"""),0.008535)</f>
        <v>0.008535</v>
      </c>
      <c r="AV91" s="298">
        <f>IFERROR(__xludf.DUMMYFUNCTION("""COMPUTED_VALUE"""),0.008535)</f>
        <v>0.008535</v>
      </c>
      <c r="AW91" s="298">
        <f>IFERROR(__xludf.DUMMYFUNCTION("""COMPUTED_VALUE"""),0.008535)</f>
        <v>0.008535</v>
      </c>
      <c r="AX91" s="298">
        <f>IFERROR(__xludf.DUMMYFUNCTION("""COMPUTED_VALUE"""),0.008535)</f>
        <v>0.008535</v>
      </c>
      <c r="AY91" s="298">
        <f>IFERROR(__xludf.DUMMYFUNCTION("""COMPUTED_VALUE"""),0.008535)</f>
        <v>0.008535</v>
      </c>
      <c r="AZ91" s="298">
        <f>IFERROR(__xludf.DUMMYFUNCTION("""COMPUTED_VALUE"""),0.008535)</f>
        <v>0.008535</v>
      </c>
      <c r="BA91" s="298">
        <f>IFERROR(__xludf.DUMMYFUNCTION("""COMPUTED_VALUE"""),0.008535)</f>
        <v>0.008535</v>
      </c>
      <c r="BB91" s="298">
        <f>IFERROR(__xludf.DUMMYFUNCTION("""COMPUTED_VALUE"""),0.008535)</f>
        <v>0.008535</v>
      </c>
      <c r="BC91" s="298">
        <f>IFERROR(__xludf.DUMMYFUNCTION("""COMPUTED_VALUE"""),0.008535)</f>
        <v>0.008535</v>
      </c>
      <c r="BD91" s="298">
        <f>IFERROR(__xludf.DUMMYFUNCTION("""COMPUTED_VALUE"""),0.008535)</f>
        <v>0.008535</v>
      </c>
      <c r="BE91" s="298">
        <f>IFERROR(__xludf.DUMMYFUNCTION("""COMPUTED_VALUE"""),0.008535)</f>
        <v>0.008535</v>
      </c>
      <c r="BF91" s="298">
        <f>IFERROR(__xludf.DUMMYFUNCTION("""COMPUTED_VALUE"""),0.008535)</f>
        <v>0.008535</v>
      </c>
      <c r="BG91" s="298">
        <f>IFERROR(__xludf.DUMMYFUNCTION("""COMPUTED_VALUE"""),0.008535)</f>
        <v>0.008535</v>
      </c>
      <c r="BH91" s="298">
        <f>IFERROR(__xludf.DUMMYFUNCTION("""COMPUTED_VALUE"""),0.008535)</f>
        <v>0.008535</v>
      </c>
      <c r="BI91" s="298">
        <f>IFERROR(__xludf.DUMMYFUNCTION("""COMPUTED_VALUE"""),0.008535)</f>
        <v>0.008535</v>
      </c>
      <c r="BJ91" s="298">
        <f>IFERROR(__xludf.DUMMYFUNCTION("""COMPUTED_VALUE"""),0.008535)</f>
        <v>0.008535</v>
      </c>
      <c r="BK91" s="298">
        <f>IFERROR(__xludf.DUMMYFUNCTION("""COMPUTED_VALUE"""),0.008535)</f>
        <v>0.008535</v>
      </c>
      <c r="BL91" s="298">
        <f>IFERROR(__xludf.DUMMYFUNCTION("""COMPUTED_VALUE"""),0.008535)</f>
        <v>0.008535</v>
      </c>
      <c r="BM91" s="298">
        <f>IFERROR(__xludf.DUMMYFUNCTION("""COMPUTED_VALUE"""),0.008535)</f>
        <v>0.008535</v>
      </c>
      <c r="BN91" s="298">
        <f>IFERROR(__xludf.DUMMYFUNCTION("""COMPUTED_VALUE"""),0.008535)</f>
        <v>0.008535</v>
      </c>
    </row>
    <row r="92">
      <c r="L92" s="292"/>
      <c r="M92" s="292">
        <f>IFERROR(__xludf.DUMMYFUNCTION("""COMPUTED_VALUE"""),8.0)</f>
        <v>8</v>
      </c>
      <c r="N92" s="298">
        <f>IFERROR(__xludf.DUMMYFUNCTION("""COMPUTED_VALUE"""),0.19416386)</f>
        <v>0.19416386</v>
      </c>
      <c r="O92" s="298">
        <f>IFERROR(__xludf.DUMMYFUNCTION("""COMPUTED_VALUE"""),0.19526627)</f>
        <v>0.19526627</v>
      </c>
      <c r="P92" s="298">
        <f>IFERROR(__xludf.DUMMYFUNCTION("""COMPUTED_VALUE"""),0.18961253)</f>
        <v>0.18961253</v>
      </c>
      <c r="Q92" s="298">
        <f>IFERROR(__xludf.DUMMYFUNCTION("""COMPUTED_VALUE"""),0.18717375)</f>
        <v>0.18717375</v>
      </c>
      <c r="R92" s="298">
        <f>IFERROR(__xludf.DUMMYFUNCTION("""COMPUTED_VALUE"""),0.18462644)</f>
        <v>0.18462644</v>
      </c>
      <c r="S92" s="298">
        <f>IFERROR(__xludf.DUMMYFUNCTION("""COMPUTED_VALUE"""),0.18353105)</f>
        <v>0.18353105</v>
      </c>
      <c r="T92" s="298">
        <f>IFERROR(__xludf.DUMMYFUNCTION("""COMPUTED_VALUE"""),0.18232044)</f>
        <v>0.18232044</v>
      </c>
      <c r="U92" s="298">
        <f>IFERROR(__xludf.DUMMYFUNCTION("""COMPUTED_VALUE"""),0.18163125)</f>
        <v>0.18163125</v>
      </c>
      <c r="V92" s="298">
        <f>IFERROR(__xludf.DUMMYFUNCTION("""COMPUTED_VALUE"""),0.18285332)</f>
        <v>0.18285332</v>
      </c>
      <c r="W92" s="298">
        <f>IFERROR(__xludf.DUMMYFUNCTION("""COMPUTED_VALUE"""),0.18303273)</f>
        <v>0.18303273</v>
      </c>
      <c r="X92" s="298">
        <f>IFERROR(__xludf.DUMMYFUNCTION("""COMPUTED_VALUE"""),0.18303273)</f>
        <v>0.18303273</v>
      </c>
      <c r="Y92" s="298">
        <f>IFERROR(__xludf.DUMMYFUNCTION("""COMPUTED_VALUE"""),0.18440678)</f>
        <v>0.18440678</v>
      </c>
      <c r="Z92" s="298">
        <f>IFERROR(__xludf.DUMMYFUNCTION("""COMPUTED_VALUE"""),0.18510929)</f>
        <v>0.18510929</v>
      </c>
      <c r="AA92" s="298">
        <f>IFERROR(__xludf.DUMMYFUNCTION("""COMPUTED_VALUE"""),0.20845)</f>
        <v>0.20845</v>
      </c>
      <c r="AB92" s="298">
        <f>IFERROR(__xludf.DUMMYFUNCTION("""COMPUTED_VALUE"""),0.20845)</f>
        <v>0.20845</v>
      </c>
      <c r="AC92" s="298">
        <f>IFERROR(__xludf.DUMMYFUNCTION("""COMPUTED_VALUE"""),0.20845)</f>
        <v>0.20845</v>
      </c>
      <c r="AD92" s="298">
        <f>IFERROR(__xludf.DUMMYFUNCTION("""COMPUTED_VALUE"""),0.20845)</f>
        <v>0.20845</v>
      </c>
      <c r="AE92" s="298">
        <f>IFERROR(__xludf.DUMMYFUNCTION("""COMPUTED_VALUE"""),0.20845)</f>
        <v>0.20845</v>
      </c>
      <c r="AF92" s="298">
        <f>IFERROR(__xludf.DUMMYFUNCTION("""COMPUTED_VALUE"""),0.20845)</f>
        <v>0.20845</v>
      </c>
      <c r="AG92" s="298">
        <f>IFERROR(__xludf.DUMMYFUNCTION("""COMPUTED_VALUE"""),0.20845)</f>
        <v>0.20845</v>
      </c>
      <c r="AH92" s="298">
        <f>IFERROR(__xludf.DUMMYFUNCTION("""COMPUTED_VALUE"""),0.20845)</f>
        <v>0.20845</v>
      </c>
      <c r="AI92" s="298">
        <f>IFERROR(__xludf.DUMMYFUNCTION("""COMPUTED_VALUE"""),0.20845)</f>
        <v>0.20845</v>
      </c>
      <c r="AJ92" s="298">
        <f>IFERROR(__xludf.DUMMYFUNCTION("""COMPUTED_VALUE"""),0.20845)</f>
        <v>0.20845</v>
      </c>
      <c r="AK92" s="298">
        <f>IFERROR(__xludf.DUMMYFUNCTION("""COMPUTED_VALUE"""),0.20845)</f>
        <v>0.20845</v>
      </c>
      <c r="AL92" s="298">
        <f>IFERROR(__xludf.DUMMYFUNCTION("""COMPUTED_VALUE"""),0.20845)</f>
        <v>0.20845</v>
      </c>
      <c r="AM92" s="298">
        <f>IFERROR(__xludf.DUMMYFUNCTION("""COMPUTED_VALUE"""),0.20845)</f>
        <v>0.20845</v>
      </c>
      <c r="AN92" s="298">
        <f>IFERROR(__xludf.DUMMYFUNCTION("""COMPUTED_VALUE"""),0.23245)</f>
        <v>0.23245</v>
      </c>
      <c r="AO92" s="298">
        <f>IFERROR(__xludf.DUMMYFUNCTION("""COMPUTED_VALUE"""),0.23245)</f>
        <v>0.23245</v>
      </c>
      <c r="AP92" s="298">
        <f>IFERROR(__xludf.DUMMYFUNCTION("""COMPUTED_VALUE"""),0.23245)</f>
        <v>0.23245</v>
      </c>
      <c r="AQ92" s="298">
        <f>IFERROR(__xludf.DUMMYFUNCTION("""COMPUTED_VALUE"""),0.23245)</f>
        <v>0.23245</v>
      </c>
      <c r="AR92" s="298">
        <f>IFERROR(__xludf.DUMMYFUNCTION("""COMPUTED_VALUE"""),0.23245)</f>
        <v>0.23245</v>
      </c>
      <c r="AS92" s="298">
        <f>IFERROR(__xludf.DUMMYFUNCTION("""COMPUTED_VALUE"""),0.23245)</f>
        <v>0.23245</v>
      </c>
      <c r="AT92" s="298">
        <f>IFERROR(__xludf.DUMMYFUNCTION("""COMPUTED_VALUE"""),0.23245)</f>
        <v>0.23245</v>
      </c>
      <c r="AU92" s="298">
        <f>IFERROR(__xludf.DUMMYFUNCTION("""COMPUTED_VALUE"""),0.23245)</f>
        <v>0.23245</v>
      </c>
      <c r="AV92" s="298">
        <f>IFERROR(__xludf.DUMMYFUNCTION("""COMPUTED_VALUE"""),0.23245)</f>
        <v>0.23245</v>
      </c>
      <c r="AW92" s="298">
        <f>IFERROR(__xludf.DUMMYFUNCTION("""COMPUTED_VALUE"""),0.23245)</f>
        <v>0.23245</v>
      </c>
      <c r="AX92" s="298">
        <f>IFERROR(__xludf.DUMMYFUNCTION("""COMPUTED_VALUE"""),0.23245)</f>
        <v>0.23245</v>
      </c>
      <c r="AY92" s="298">
        <f>IFERROR(__xludf.DUMMYFUNCTION("""COMPUTED_VALUE"""),0.23245)</f>
        <v>0.23245</v>
      </c>
      <c r="AZ92" s="298">
        <f>IFERROR(__xludf.DUMMYFUNCTION("""COMPUTED_VALUE"""),0.23245)</f>
        <v>0.23245</v>
      </c>
      <c r="BA92" s="298">
        <f>IFERROR(__xludf.DUMMYFUNCTION("""COMPUTED_VALUE"""),0.28345)</f>
        <v>0.28345</v>
      </c>
      <c r="BB92" s="298">
        <f>IFERROR(__xludf.DUMMYFUNCTION("""COMPUTED_VALUE"""),0.28345)</f>
        <v>0.28345</v>
      </c>
      <c r="BC92" s="298">
        <f>IFERROR(__xludf.DUMMYFUNCTION("""COMPUTED_VALUE"""),0.28345)</f>
        <v>0.28345</v>
      </c>
      <c r="BD92" s="298">
        <f>IFERROR(__xludf.DUMMYFUNCTION("""COMPUTED_VALUE"""),0.28345)</f>
        <v>0.28345</v>
      </c>
      <c r="BE92" s="298">
        <f>IFERROR(__xludf.DUMMYFUNCTION("""COMPUTED_VALUE"""),0.28345)</f>
        <v>0.28345</v>
      </c>
      <c r="BF92" s="298">
        <f>IFERROR(__xludf.DUMMYFUNCTION("""COMPUTED_VALUE"""),0.28345)</f>
        <v>0.28345</v>
      </c>
      <c r="BG92" s="298">
        <f>IFERROR(__xludf.DUMMYFUNCTION("""COMPUTED_VALUE"""),0.28345)</f>
        <v>0.28345</v>
      </c>
      <c r="BH92" s="298">
        <f>IFERROR(__xludf.DUMMYFUNCTION("""COMPUTED_VALUE"""),0.28345)</f>
        <v>0.28345</v>
      </c>
      <c r="BI92" s="298">
        <f>IFERROR(__xludf.DUMMYFUNCTION("""COMPUTED_VALUE"""),0.28345)</f>
        <v>0.28345</v>
      </c>
      <c r="BJ92" s="298">
        <f>IFERROR(__xludf.DUMMYFUNCTION("""COMPUTED_VALUE"""),0.28345)</f>
        <v>0.28345</v>
      </c>
      <c r="BK92" s="298">
        <f>IFERROR(__xludf.DUMMYFUNCTION("""COMPUTED_VALUE"""),0.28345)</f>
        <v>0.28345</v>
      </c>
      <c r="BL92" s="298">
        <f>IFERROR(__xludf.DUMMYFUNCTION("""COMPUTED_VALUE"""),0.28345)</f>
        <v>0.28345</v>
      </c>
      <c r="BM92" s="298">
        <f>IFERROR(__xludf.DUMMYFUNCTION("""COMPUTED_VALUE"""),0.28345)</f>
        <v>0.28345</v>
      </c>
      <c r="BN92" s="298">
        <f>IFERROR(__xludf.DUMMYFUNCTION("""COMPUTED_VALUE"""),0.28345)</f>
        <v>0.28345</v>
      </c>
    </row>
    <row r="93">
      <c r="L93" s="292"/>
      <c r="M93" s="292">
        <f>IFERROR(__xludf.DUMMYFUNCTION("""COMPUTED_VALUE"""),9.0)</f>
        <v>9</v>
      </c>
      <c r="N93" s="298">
        <f>IFERROR(__xludf.DUMMYFUNCTION("""COMPUTED_VALUE"""),0.00112233)</f>
        <v>0.00112233</v>
      </c>
      <c r="O93" s="298">
        <f>IFERROR(__xludf.DUMMYFUNCTION("""COMPUTED_VALUE"""),0.00169062)</f>
        <v>0.00169062</v>
      </c>
      <c r="P93" s="298">
        <f>IFERROR(__xludf.DUMMYFUNCTION("""COMPUTED_VALUE"""),0.00164881)</f>
        <v>0.00164881</v>
      </c>
      <c r="Q93" s="298">
        <f>IFERROR(__xludf.DUMMYFUNCTION("""COMPUTED_VALUE"""),0.00223714)</f>
        <v>0.00223714</v>
      </c>
      <c r="R93" s="298">
        <f>IFERROR(__xludf.DUMMYFUNCTION("""COMPUTED_VALUE"""),0.00215517)</f>
        <v>0.00215517</v>
      </c>
      <c r="S93" s="298">
        <f>IFERROR(__xludf.DUMMYFUNCTION("""COMPUTED_VALUE"""),0.00209351)</f>
        <v>0.00209351</v>
      </c>
      <c r="T93" s="298">
        <f>IFERROR(__xludf.DUMMYFUNCTION("""COMPUTED_VALUE"""),0.00207182)</f>
        <v>0.00207182</v>
      </c>
      <c r="U93" s="298">
        <f>IFERROR(__xludf.DUMMYFUNCTION("""COMPUTED_VALUE"""),0.0020562)</f>
        <v>0.0020562</v>
      </c>
      <c r="V93" s="298">
        <f>IFERROR(__xludf.DUMMYFUNCTION("""COMPUTED_VALUE"""),0.00200938)</f>
        <v>0.00200938</v>
      </c>
      <c r="W93" s="298">
        <f>IFERROR(__xludf.DUMMYFUNCTION("""COMPUTED_VALUE"""),0.00200401)</f>
        <v>0.00200401</v>
      </c>
      <c r="X93" s="298">
        <f>IFERROR(__xludf.DUMMYFUNCTION("""COMPUTED_VALUE"""),0.00200401)</f>
        <v>0.00200401</v>
      </c>
      <c r="Y93" s="298">
        <f>IFERROR(__xludf.DUMMYFUNCTION("""COMPUTED_VALUE"""),0.0020339)</f>
        <v>0.0020339</v>
      </c>
      <c r="Z93" s="298">
        <f>IFERROR(__xludf.DUMMYFUNCTION("""COMPUTED_VALUE"""),0.00204918)</f>
        <v>0.00204918</v>
      </c>
      <c r="AA93" s="298">
        <f>IFERROR(__xludf.DUMMYFUNCTION("""COMPUTED_VALUE"""),0.004591)</f>
        <v>0.004591</v>
      </c>
      <c r="AB93" s="298">
        <f>IFERROR(__xludf.DUMMYFUNCTION("""COMPUTED_VALUE"""),0.004591)</f>
        <v>0.004591</v>
      </c>
      <c r="AC93" s="298">
        <f>IFERROR(__xludf.DUMMYFUNCTION("""COMPUTED_VALUE"""),0.004591)</f>
        <v>0.004591</v>
      </c>
      <c r="AD93" s="298">
        <f>IFERROR(__xludf.DUMMYFUNCTION("""COMPUTED_VALUE"""),0.004591)</f>
        <v>0.004591</v>
      </c>
      <c r="AE93" s="298">
        <f>IFERROR(__xludf.DUMMYFUNCTION("""COMPUTED_VALUE"""),0.004591)</f>
        <v>0.004591</v>
      </c>
      <c r="AF93" s="298">
        <f>IFERROR(__xludf.DUMMYFUNCTION("""COMPUTED_VALUE"""),0.004591)</f>
        <v>0.004591</v>
      </c>
      <c r="AG93" s="298">
        <f>IFERROR(__xludf.DUMMYFUNCTION("""COMPUTED_VALUE"""),0.004591)</f>
        <v>0.004591</v>
      </c>
      <c r="AH93" s="298">
        <f>IFERROR(__xludf.DUMMYFUNCTION("""COMPUTED_VALUE"""),0.004591)</f>
        <v>0.004591</v>
      </c>
      <c r="AI93" s="298">
        <f>IFERROR(__xludf.DUMMYFUNCTION("""COMPUTED_VALUE"""),0.004591)</f>
        <v>0.004591</v>
      </c>
      <c r="AJ93" s="298">
        <f>IFERROR(__xludf.DUMMYFUNCTION("""COMPUTED_VALUE"""),0.004591)</f>
        <v>0.004591</v>
      </c>
      <c r="AK93" s="298">
        <f>IFERROR(__xludf.DUMMYFUNCTION("""COMPUTED_VALUE"""),0.004591)</f>
        <v>0.004591</v>
      </c>
      <c r="AL93" s="298">
        <f>IFERROR(__xludf.DUMMYFUNCTION("""COMPUTED_VALUE"""),0.004591)</f>
        <v>0.004591</v>
      </c>
      <c r="AM93" s="298">
        <f>IFERROR(__xludf.DUMMYFUNCTION("""COMPUTED_VALUE"""),0.004591)</f>
        <v>0.004591</v>
      </c>
      <c r="AN93" s="298">
        <f>IFERROR(__xludf.DUMMYFUNCTION("""COMPUTED_VALUE"""),0.004591)</f>
        <v>0.004591</v>
      </c>
      <c r="AO93" s="298">
        <f>IFERROR(__xludf.DUMMYFUNCTION("""COMPUTED_VALUE"""),0.004591)</f>
        <v>0.004591</v>
      </c>
      <c r="AP93" s="298">
        <f>IFERROR(__xludf.DUMMYFUNCTION("""COMPUTED_VALUE"""),0.004591)</f>
        <v>0.004591</v>
      </c>
      <c r="AQ93" s="298">
        <f>IFERROR(__xludf.DUMMYFUNCTION("""COMPUTED_VALUE"""),0.004591)</f>
        <v>0.004591</v>
      </c>
      <c r="AR93" s="298">
        <f>IFERROR(__xludf.DUMMYFUNCTION("""COMPUTED_VALUE"""),0.004591)</f>
        <v>0.004591</v>
      </c>
      <c r="AS93" s="298">
        <f>IFERROR(__xludf.DUMMYFUNCTION("""COMPUTED_VALUE"""),0.004591)</f>
        <v>0.004591</v>
      </c>
      <c r="AT93" s="298">
        <f>IFERROR(__xludf.DUMMYFUNCTION("""COMPUTED_VALUE"""),0.004591)</f>
        <v>0.004591</v>
      </c>
      <c r="AU93" s="298">
        <f>IFERROR(__xludf.DUMMYFUNCTION("""COMPUTED_VALUE"""),0.004591)</f>
        <v>0.004591</v>
      </c>
      <c r="AV93" s="298">
        <f>IFERROR(__xludf.DUMMYFUNCTION("""COMPUTED_VALUE"""),0.004591)</f>
        <v>0.004591</v>
      </c>
      <c r="AW93" s="298">
        <f>IFERROR(__xludf.DUMMYFUNCTION("""COMPUTED_VALUE"""),0.004591)</f>
        <v>0.004591</v>
      </c>
      <c r="AX93" s="298">
        <f>IFERROR(__xludf.DUMMYFUNCTION("""COMPUTED_VALUE"""),0.004591)</f>
        <v>0.004591</v>
      </c>
      <c r="AY93" s="298">
        <f>IFERROR(__xludf.DUMMYFUNCTION("""COMPUTED_VALUE"""),0.004591)</f>
        <v>0.004591</v>
      </c>
      <c r="AZ93" s="298">
        <f>IFERROR(__xludf.DUMMYFUNCTION("""COMPUTED_VALUE"""),0.004591)</f>
        <v>0.004591</v>
      </c>
      <c r="BA93" s="298">
        <f>IFERROR(__xludf.DUMMYFUNCTION("""COMPUTED_VALUE"""),0.004591)</f>
        <v>0.004591</v>
      </c>
      <c r="BB93" s="298">
        <f>IFERROR(__xludf.DUMMYFUNCTION("""COMPUTED_VALUE"""),0.004591)</f>
        <v>0.004591</v>
      </c>
      <c r="BC93" s="298">
        <f>IFERROR(__xludf.DUMMYFUNCTION("""COMPUTED_VALUE"""),0.004591)</f>
        <v>0.004591</v>
      </c>
      <c r="BD93" s="298">
        <f>IFERROR(__xludf.DUMMYFUNCTION("""COMPUTED_VALUE"""),0.004591)</f>
        <v>0.004591</v>
      </c>
      <c r="BE93" s="298">
        <f>IFERROR(__xludf.DUMMYFUNCTION("""COMPUTED_VALUE"""),0.004591)</f>
        <v>0.004591</v>
      </c>
      <c r="BF93" s="298">
        <f>IFERROR(__xludf.DUMMYFUNCTION("""COMPUTED_VALUE"""),0.004591)</f>
        <v>0.004591</v>
      </c>
      <c r="BG93" s="298">
        <f>IFERROR(__xludf.DUMMYFUNCTION("""COMPUTED_VALUE"""),0.004591)</f>
        <v>0.004591</v>
      </c>
      <c r="BH93" s="298">
        <f>IFERROR(__xludf.DUMMYFUNCTION("""COMPUTED_VALUE"""),0.004591)</f>
        <v>0.004591</v>
      </c>
      <c r="BI93" s="298">
        <f>IFERROR(__xludf.DUMMYFUNCTION("""COMPUTED_VALUE"""),0.004591)</f>
        <v>0.004591</v>
      </c>
      <c r="BJ93" s="298">
        <f>IFERROR(__xludf.DUMMYFUNCTION("""COMPUTED_VALUE"""),0.004591)</f>
        <v>0.004591</v>
      </c>
      <c r="BK93" s="298">
        <f>IFERROR(__xludf.DUMMYFUNCTION("""COMPUTED_VALUE"""),0.004591)</f>
        <v>0.004591</v>
      </c>
      <c r="BL93" s="298">
        <f>IFERROR(__xludf.DUMMYFUNCTION("""COMPUTED_VALUE"""),0.004591)</f>
        <v>0.004591</v>
      </c>
      <c r="BM93" s="298">
        <f>IFERROR(__xludf.DUMMYFUNCTION("""COMPUTED_VALUE"""),0.004591)</f>
        <v>0.004591</v>
      </c>
      <c r="BN93" s="298">
        <f>IFERROR(__xludf.DUMMYFUNCTION("""COMPUTED_VALUE"""),0.004591)</f>
        <v>0.004591</v>
      </c>
    </row>
    <row r="94">
      <c r="L94" s="292"/>
      <c r="M94" s="292">
        <f>IFERROR(__xludf.DUMMYFUNCTION("""COMPUTED_VALUE"""),10.0)</f>
        <v>10</v>
      </c>
      <c r="N94" s="298">
        <f>IFERROR(__xludf.DUMMYFUNCTION("""COMPUTED_VALUE"""),0.1661055)</f>
        <v>0.1661055</v>
      </c>
      <c r="O94" s="298">
        <f>IFERROR(__xludf.DUMMYFUNCTION("""COMPUTED_VALUE"""),0.16229924)</f>
        <v>0.16229924</v>
      </c>
      <c r="P94" s="298">
        <f>IFERROR(__xludf.DUMMYFUNCTION("""COMPUTED_VALUE"""),0.16652927)</f>
        <v>0.16652927</v>
      </c>
      <c r="Q94" s="298">
        <f>IFERROR(__xludf.DUMMYFUNCTION("""COMPUTED_VALUE"""),0.16778524)</f>
        <v>0.16778524</v>
      </c>
      <c r="R94" s="298">
        <f>IFERROR(__xludf.DUMMYFUNCTION("""COMPUTED_VALUE"""),0.16954023)</f>
        <v>0.16954023</v>
      </c>
      <c r="S94" s="298">
        <f>IFERROR(__xludf.DUMMYFUNCTION("""COMPUTED_VALUE"""),0.16957432)</f>
        <v>0.16957432</v>
      </c>
      <c r="T94" s="298">
        <f>IFERROR(__xludf.DUMMYFUNCTION("""COMPUTED_VALUE"""),0.1698895)</f>
        <v>0.1698895</v>
      </c>
      <c r="U94" s="298">
        <f>IFERROR(__xludf.DUMMYFUNCTION("""COMPUTED_VALUE"""),0.17135024)</f>
        <v>0.17135024</v>
      </c>
      <c r="V94" s="298">
        <f>IFERROR(__xludf.DUMMYFUNCTION("""COMPUTED_VALUE"""),0.17146685)</f>
        <v>0.17146685</v>
      </c>
      <c r="W94" s="298">
        <f>IFERROR(__xludf.DUMMYFUNCTION("""COMPUTED_VALUE"""),0.17100868)</f>
        <v>0.17100868</v>
      </c>
      <c r="X94" s="298">
        <f>IFERROR(__xludf.DUMMYFUNCTION("""COMPUTED_VALUE"""),0.17034068)</f>
        <v>0.17034068</v>
      </c>
      <c r="Y94" s="298">
        <f>IFERROR(__xludf.DUMMYFUNCTION("""COMPUTED_VALUE"""),0.17016949)</f>
        <v>0.17016949</v>
      </c>
      <c r="Z94" s="298">
        <f>IFERROR(__xludf.DUMMYFUNCTION("""COMPUTED_VALUE"""),0.17008197)</f>
        <v>0.17008197</v>
      </c>
      <c r="AA94" s="298">
        <f>IFERROR(__xludf.DUMMYFUNCTION("""COMPUTED_VALUE"""),0.153637)</f>
        <v>0.153637</v>
      </c>
      <c r="AB94" s="298">
        <f>IFERROR(__xludf.DUMMYFUNCTION("""COMPUTED_VALUE"""),0.153637)</f>
        <v>0.153637</v>
      </c>
      <c r="AC94" s="298">
        <f>IFERROR(__xludf.DUMMYFUNCTION("""COMPUTED_VALUE"""),0.153637)</f>
        <v>0.153637</v>
      </c>
      <c r="AD94" s="298">
        <f>IFERROR(__xludf.DUMMYFUNCTION("""COMPUTED_VALUE"""),0.153637)</f>
        <v>0.153637</v>
      </c>
      <c r="AE94" s="298">
        <f>IFERROR(__xludf.DUMMYFUNCTION("""COMPUTED_VALUE"""),0.153637)</f>
        <v>0.153637</v>
      </c>
      <c r="AF94" s="298">
        <f>IFERROR(__xludf.DUMMYFUNCTION("""COMPUTED_VALUE"""),0.153637)</f>
        <v>0.153637</v>
      </c>
      <c r="AG94" s="298">
        <f>IFERROR(__xludf.DUMMYFUNCTION("""COMPUTED_VALUE"""),0.153637)</f>
        <v>0.153637</v>
      </c>
      <c r="AH94" s="298">
        <f>IFERROR(__xludf.DUMMYFUNCTION("""COMPUTED_VALUE"""),0.153637)</f>
        <v>0.153637</v>
      </c>
      <c r="AI94" s="298">
        <f>IFERROR(__xludf.DUMMYFUNCTION("""COMPUTED_VALUE"""),0.153637)</f>
        <v>0.153637</v>
      </c>
      <c r="AJ94" s="298">
        <f>IFERROR(__xludf.DUMMYFUNCTION("""COMPUTED_VALUE"""),0.153637)</f>
        <v>0.153637</v>
      </c>
      <c r="AK94" s="298">
        <f>IFERROR(__xludf.DUMMYFUNCTION("""COMPUTED_VALUE"""),0.153637)</f>
        <v>0.153637</v>
      </c>
      <c r="AL94" s="298">
        <f>IFERROR(__xludf.DUMMYFUNCTION("""COMPUTED_VALUE"""),0.153637)</f>
        <v>0.153637</v>
      </c>
      <c r="AM94" s="298">
        <f>IFERROR(__xludf.DUMMYFUNCTION("""COMPUTED_VALUE"""),0.153637)</f>
        <v>0.153637</v>
      </c>
      <c r="AN94" s="298">
        <f>IFERROR(__xludf.DUMMYFUNCTION("""COMPUTED_VALUE"""),0.153637)</f>
        <v>0.153637</v>
      </c>
      <c r="AO94" s="298">
        <f>IFERROR(__xludf.DUMMYFUNCTION("""COMPUTED_VALUE"""),0.153637)</f>
        <v>0.153637</v>
      </c>
      <c r="AP94" s="298">
        <f>IFERROR(__xludf.DUMMYFUNCTION("""COMPUTED_VALUE"""),0.153637)</f>
        <v>0.153637</v>
      </c>
      <c r="AQ94" s="298">
        <f>IFERROR(__xludf.DUMMYFUNCTION("""COMPUTED_VALUE"""),0.153637)</f>
        <v>0.153637</v>
      </c>
      <c r="AR94" s="298">
        <f>IFERROR(__xludf.DUMMYFUNCTION("""COMPUTED_VALUE"""),0.153637)</f>
        <v>0.153637</v>
      </c>
      <c r="AS94" s="298">
        <f>IFERROR(__xludf.DUMMYFUNCTION("""COMPUTED_VALUE"""),0.153637)</f>
        <v>0.153637</v>
      </c>
      <c r="AT94" s="298">
        <f>IFERROR(__xludf.DUMMYFUNCTION("""COMPUTED_VALUE"""),0.153637)</f>
        <v>0.153637</v>
      </c>
      <c r="AU94" s="298">
        <f>IFERROR(__xludf.DUMMYFUNCTION("""COMPUTED_VALUE"""),0.153637)</f>
        <v>0.153637</v>
      </c>
      <c r="AV94" s="298">
        <f>IFERROR(__xludf.DUMMYFUNCTION("""COMPUTED_VALUE"""),0.153637)</f>
        <v>0.153637</v>
      </c>
      <c r="AW94" s="298">
        <f>IFERROR(__xludf.DUMMYFUNCTION("""COMPUTED_VALUE"""),0.153637)</f>
        <v>0.153637</v>
      </c>
      <c r="AX94" s="298">
        <f>IFERROR(__xludf.DUMMYFUNCTION("""COMPUTED_VALUE"""),0.153637)</f>
        <v>0.153637</v>
      </c>
      <c r="AY94" s="298">
        <f>IFERROR(__xludf.DUMMYFUNCTION("""COMPUTED_VALUE"""),0.153637)</f>
        <v>0.153637</v>
      </c>
      <c r="AZ94" s="298">
        <f>IFERROR(__xludf.DUMMYFUNCTION("""COMPUTED_VALUE"""),0.153637)</f>
        <v>0.153637</v>
      </c>
      <c r="BA94" s="298">
        <f>IFERROR(__xludf.DUMMYFUNCTION("""COMPUTED_VALUE"""),0.153637)</f>
        <v>0.153637</v>
      </c>
      <c r="BB94" s="298">
        <f>IFERROR(__xludf.DUMMYFUNCTION("""COMPUTED_VALUE"""),0.153637)</f>
        <v>0.153637</v>
      </c>
      <c r="BC94" s="298">
        <f>IFERROR(__xludf.DUMMYFUNCTION("""COMPUTED_VALUE"""),0.153637)</f>
        <v>0.153637</v>
      </c>
      <c r="BD94" s="298">
        <f>IFERROR(__xludf.DUMMYFUNCTION("""COMPUTED_VALUE"""),0.153637)</f>
        <v>0.153637</v>
      </c>
      <c r="BE94" s="298">
        <f>IFERROR(__xludf.DUMMYFUNCTION("""COMPUTED_VALUE"""),0.153637)</f>
        <v>0.153637</v>
      </c>
      <c r="BF94" s="298">
        <f>IFERROR(__xludf.DUMMYFUNCTION("""COMPUTED_VALUE"""),0.153637)</f>
        <v>0.153637</v>
      </c>
      <c r="BG94" s="298">
        <f>IFERROR(__xludf.DUMMYFUNCTION("""COMPUTED_VALUE"""),0.153637)</f>
        <v>0.153637</v>
      </c>
      <c r="BH94" s="298">
        <f>IFERROR(__xludf.DUMMYFUNCTION("""COMPUTED_VALUE"""),0.153637)</f>
        <v>0.153637</v>
      </c>
      <c r="BI94" s="298">
        <f>IFERROR(__xludf.DUMMYFUNCTION("""COMPUTED_VALUE"""),0.153637)</f>
        <v>0.153637</v>
      </c>
      <c r="BJ94" s="298">
        <f>IFERROR(__xludf.DUMMYFUNCTION("""COMPUTED_VALUE"""),0.153637)</f>
        <v>0.153637</v>
      </c>
      <c r="BK94" s="298">
        <f>IFERROR(__xludf.DUMMYFUNCTION("""COMPUTED_VALUE"""),0.153637)</f>
        <v>0.153637</v>
      </c>
      <c r="BL94" s="298">
        <f>IFERROR(__xludf.DUMMYFUNCTION("""COMPUTED_VALUE"""),0.153637)</f>
        <v>0.153637</v>
      </c>
      <c r="BM94" s="298">
        <f>IFERROR(__xludf.DUMMYFUNCTION("""COMPUTED_VALUE"""),0.153637)</f>
        <v>0.153637</v>
      </c>
      <c r="BN94" s="298">
        <f>IFERROR(__xludf.DUMMYFUNCTION("""COMPUTED_VALUE"""),0.153637)</f>
        <v>0.153637</v>
      </c>
    </row>
    <row r="95">
      <c r="L95" s="292"/>
      <c r="M95" s="292">
        <f>IFERROR(__xludf.DUMMYFUNCTION("""COMPUTED_VALUE"""),11.0)</f>
        <v>11</v>
      </c>
      <c r="N95" s="298">
        <f>IFERROR(__xludf.DUMMYFUNCTION("""COMPUTED_VALUE"""),0.00112233)</f>
        <v>0.00112233</v>
      </c>
      <c r="O95" s="298">
        <f>IFERROR(__xludf.DUMMYFUNCTION("""COMPUTED_VALUE"""),0.00169062)</f>
        <v>0.00169062</v>
      </c>
      <c r="P95" s="298">
        <f>IFERROR(__xludf.DUMMYFUNCTION("""COMPUTED_VALUE"""),0.00164881)</f>
        <v>0.00164881</v>
      </c>
      <c r="Q95" s="298">
        <f>IFERROR(__xludf.DUMMYFUNCTION("""COMPUTED_VALUE"""),0.00149142)</f>
        <v>0.00149142</v>
      </c>
      <c r="R95" s="298">
        <f>IFERROR(__xludf.DUMMYFUNCTION("""COMPUTED_VALUE"""),0.00143678)</f>
        <v>0.00143678</v>
      </c>
      <c r="S95" s="298">
        <f>IFERROR(__xludf.DUMMYFUNCTION("""COMPUTED_VALUE"""),0.00209351)</f>
        <v>0.00209351</v>
      </c>
      <c r="T95" s="298">
        <f>IFERROR(__xludf.DUMMYFUNCTION("""COMPUTED_VALUE"""),0.00207182)</f>
        <v>0.00207182</v>
      </c>
      <c r="U95" s="298">
        <f>IFERROR(__xludf.DUMMYFUNCTION("""COMPUTED_VALUE"""),0.0020562)</f>
        <v>0.0020562</v>
      </c>
      <c r="V95" s="298">
        <f>IFERROR(__xludf.DUMMYFUNCTION("""COMPUTED_VALUE"""),0.00200938)</f>
        <v>0.00200938</v>
      </c>
      <c r="W95" s="298">
        <f>IFERROR(__xludf.DUMMYFUNCTION("""COMPUTED_VALUE"""),0.00200401)</f>
        <v>0.00200401</v>
      </c>
      <c r="X95" s="298">
        <f>IFERROR(__xludf.DUMMYFUNCTION("""COMPUTED_VALUE"""),0.00200401)</f>
        <v>0.00200401</v>
      </c>
      <c r="Y95" s="298">
        <f>IFERROR(__xludf.DUMMYFUNCTION("""COMPUTED_VALUE"""),0.0020339)</f>
        <v>0.0020339</v>
      </c>
      <c r="Z95" s="298">
        <f>IFERROR(__xludf.DUMMYFUNCTION("""COMPUTED_VALUE"""),0.00136612)</f>
        <v>0.00136612</v>
      </c>
      <c r="AA95" s="298">
        <f>IFERROR(__xludf.DUMMYFUNCTION("""COMPUTED_VALUE"""),0.00285)</f>
        <v>0.00285</v>
      </c>
      <c r="AB95" s="298">
        <f>IFERROR(__xludf.DUMMYFUNCTION("""COMPUTED_VALUE"""),0.00285)</f>
        <v>0.00285</v>
      </c>
      <c r="AC95" s="298">
        <f>IFERROR(__xludf.DUMMYFUNCTION("""COMPUTED_VALUE"""),0.00285)</f>
        <v>0.00285</v>
      </c>
      <c r="AD95" s="298">
        <f>IFERROR(__xludf.DUMMYFUNCTION("""COMPUTED_VALUE"""),0.00285)</f>
        <v>0.00285</v>
      </c>
      <c r="AE95" s="298">
        <f>IFERROR(__xludf.DUMMYFUNCTION("""COMPUTED_VALUE"""),0.00285)</f>
        <v>0.00285</v>
      </c>
      <c r="AF95" s="298">
        <f>IFERROR(__xludf.DUMMYFUNCTION("""COMPUTED_VALUE"""),0.00285)</f>
        <v>0.00285</v>
      </c>
      <c r="AG95" s="298">
        <f>IFERROR(__xludf.DUMMYFUNCTION("""COMPUTED_VALUE"""),0.00285)</f>
        <v>0.00285</v>
      </c>
      <c r="AH95" s="298">
        <f>IFERROR(__xludf.DUMMYFUNCTION("""COMPUTED_VALUE"""),0.00285)</f>
        <v>0.00285</v>
      </c>
      <c r="AI95" s="298">
        <f>IFERROR(__xludf.DUMMYFUNCTION("""COMPUTED_VALUE"""),0.00285)</f>
        <v>0.00285</v>
      </c>
      <c r="AJ95" s="298">
        <f>IFERROR(__xludf.DUMMYFUNCTION("""COMPUTED_VALUE"""),0.00285)</f>
        <v>0.00285</v>
      </c>
      <c r="AK95" s="298">
        <f>IFERROR(__xludf.DUMMYFUNCTION("""COMPUTED_VALUE"""),0.00285)</f>
        <v>0.00285</v>
      </c>
      <c r="AL95" s="298">
        <f>IFERROR(__xludf.DUMMYFUNCTION("""COMPUTED_VALUE"""),0.00285)</f>
        <v>0.00285</v>
      </c>
      <c r="AM95" s="298">
        <f>IFERROR(__xludf.DUMMYFUNCTION("""COMPUTED_VALUE"""),0.00285)</f>
        <v>0.00285</v>
      </c>
      <c r="AN95" s="298">
        <f>IFERROR(__xludf.DUMMYFUNCTION("""COMPUTED_VALUE"""),0.00285)</f>
        <v>0.00285</v>
      </c>
      <c r="AO95" s="298">
        <f>IFERROR(__xludf.DUMMYFUNCTION("""COMPUTED_VALUE"""),0.00285)</f>
        <v>0.00285</v>
      </c>
      <c r="AP95" s="298">
        <f>IFERROR(__xludf.DUMMYFUNCTION("""COMPUTED_VALUE"""),0.00285)</f>
        <v>0.00285</v>
      </c>
      <c r="AQ95" s="298">
        <f>IFERROR(__xludf.DUMMYFUNCTION("""COMPUTED_VALUE"""),0.00285)</f>
        <v>0.00285</v>
      </c>
      <c r="AR95" s="298">
        <f>IFERROR(__xludf.DUMMYFUNCTION("""COMPUTED_VALUE"""),0.00285)</f>
        <v>0.00285</v>
      </c>
      <c r="AS95" s="298">
        <f>IFERROR(__xludf.DUMMYFUNCTION("""COMPUTED_VALUE"""),0.00285)</f>
        <v>0.00285</v>
      </c>
      <c r="AT95" s="298">
        <f>IFERROR(__xludf.DUMMYFUNCTION("""COMPUTED_VALUE"""),0.00285)</f>
        <v>0.00285</v>
      </c>
      <c r="AU95" s="298">
        <f>IFERROR(__xludf.DUMMYFUNCTION("""COMPUTED_VALUE"""),0.00285)</f>
        <v>0.00285</v>
      </c>
      <c r="AV95" s="298">
        <f>IFERROR(__xludf.DUMMYFUNCTION("""COMPUTED_VALUE"""),0.00285)</f>
        <v>0.00285</v>
      </c>
      <c r="AW95" s="298">
        <f>IFERROR(__xludf.DUMMYFUNCTION("""COMPUTED_VALUE"""),0.00285)</f>
        <v>0.00285</v>
      </c>
      <c r="AX95" s="298">
        <f>IFERROR(__xludf.DUMMYFUNCTION("""COMPUTED_VALUE"""),0.00285)</f>
        <v>0.00285</v>
      </c>
      <c r="AY95" s="298">
        <f>IFERROR(__xludf.DUMMYFUNCTION("""COMPUTED_VALUE"""),0.00285)</f>
        <v>0.00285</v>
      </c>
      <c r="AZ95" s="298">
        <f>IFERROR(__xludf.DUMMYFUNCTION("""COMPUTED_VALUE"""),0.00285)</f>
        <v>0.00285</v>
      </c>
      <c r="BA95" s="298">
        <f>IFERROR(__xludf.DUMMYFUNCTION("""COMPUTED_VALUE"""),0.00285)</f>
        <v>0.00285</v>
      </c>
      <c r="BB95" s="298">
        <f>IFERROR(__xludf.DUMMYFUNCTION("""COMPUTED_VALUE"""),0.00285)</f>
        <v>0.00285</v>
      </c>
      <c r="BC95" s="298">
        <f>IFERROR(__xludf.DUMMYFUNCTION("""COMPUTED_VALUE"""),0.00285)</f>
        <v>0.00285</v>
      </c>
      <c r="BD95" s="298">
        <f>IFERROR(__xludf.DUMMYFUNCTION("""COMPUTED_VALUE"""),0.00285)</f>
        <v>0.00285</v>
      </c>
      <c r="BE95" s="298">
        <f>IFERROR(__xludf.DUMMYFUNCTION("""COMPUTED_VALUE"""),0.00285)</f>
        <v>0.00285</v>
      </c>
      <c r="BF95" s="298">
        <f>IFERROR(__xludf.DUMMYFUNCTION("""COMPUTED_VALUE"""),0.00285)</f>
        <v>0.00285</v>
      </c>
      <c r="BG95" s="298">
        <f>IFERROR(__xludf.DUMMYFUNCTION("""COMPUTED_VALUE"""),0.00285)</f>
        <v>0.00285</v>
      </c>
      <c r="BH95" s="298">
        <f>IFERROR(__xludf.DUMMYFUNCTION("""COMPUTED_VALUE"""),0.00285)</f>
        <v>0.00285</v>
      </c>
      <c r="BI95" s="298">
        <f>IFERROR(__xludf.DUMMYFUNCTION("""COMPUTED_VALUE"""),0.00285)</f>
        <v>0.00285</v>
      </c>
      <c r="BJ95" s="298">
        <f>IFERROR(__xludf.DUMMYFUNCTION("""COMPUTED_VALUE"""),0.00285)</f>
        <v>0.00285</v>
      </c>
      <c r="BK95" s="298">
        <f>IFERROR(__xludf.DUMMYFUNCTION("""COMPUTED_VALUE"""),0.00285)</f>
        <v>0.00285</v>
      </c>
      <c r="BL95" s="298">
        <f>IFERROR(__xludf.DUMMYFUNCTION("""COMPUTED_VALUE"""),0.00285)</f>
        <v>0.00285</v>
      </c>
      <c r="BM95" s="298">
        <f>IFERROR(__xludf.DUMMYFUNCTION("""COMPUTED_VALUE"""),0.00285)</f>
        <v>0.00285</v>
      </c>
      <c r="BN95" s="298">
        <f>IFERROR(__xludf.DUMMYFUNCTION("""COMPUTED_VALUE"""),0.00285)</f>
        <v>0.00285</v>
      </c>
    </row>
    <row r="96">
      <c r="L96" s="292"/>
      <c r="M96" s="292">
        <f>IFERROR(__xludf.DUMMYFUNCTION("""COMPUTED_VALUE"""),12.0)</f>
        <v>12</v>
      </c>
      <c r="N96" s="298">
        <f>IFERROR(__xludf.DUMMYFUNCTION("""COMPUTED_VALUE"""),0.04938272)</f>
        <v>0.04938272</v>
      </c>
      <c r="O96" s="298">
        <f>IFERROR(__xludf.DUMMYFUNCTION("""COMPUTED_VALUE"""),0.04818259)</f>
        <v>0.04818259</v>
      </c>
      <c r="P96" s="298">
        <f>IFERROR(__xludf.DUMMYFUNCTION("""COMPUTED_VALUE"""),0.04863974)</f>
        <v>0.04863974</v>
      </c>
      <c r="Q96" s="298">
        <f>IFERROR(__xludf.DUMMYFUNCTION("""COMPUTED_VALUE"""),0.05070843)</f>
        <v>0.05070843</v>
      </c>
      <c r="R96" s="298">
        <f>IFERROR(__xludf.DUMMYFUNCTION("""COMPUTED_VALUE"""),0.05100575)</f>
        <v>0.05100575</v>
      </c>
      <c r="S96" s="298">
        <f>IFERROR(__xludf.DUMMYFUNCTION("""COMPUTED_VALUE"""),0.05233775)</f>
        <v>0.05233775</v>
      </c>
      <c r="T96" s="298">
        <f>IFERROR(__xludf.DUMMYFUNCTION("""COMPUTED_VALUE"""),0.05248619)</f>
        <v>0.05248619</v>
      </c>
      <c r="U96" s="298">
        <f>IFERROR(__xludf.DUMMYFUNCTION("""COMPUTED_VALUE"""),0.05140507)</f>
        <v>0.05140507</v>
      </c>
      <c r="V96" s="298">
        <f>IFERROR(__xludf.DUMMYFUNCTION("""COMPUTED_VALUE"""),0.05157401)</f>
        <v>0.05157401</v>
      </c>
      <c r="W96" s="298">
        <f>IFERROR(__xludf.DUMMYFUNCTION("""COMPUTED_VALUE"""),0.05210421)</f>
        <v>0.05210421</v>
      </c>
      <c r="X96" s="298">
        <f>IFERROR(__xludf.DUMMYFUNCTION("""COMPUTED_VALUE"""),0.05210421)</f>
        <v>0.05210421</v>
      </c>
      <c r="Y96" s="298">
        <f>IFERROR(__xludf.DUMMYFUNCTION("""COMPUTED_VALUE"""),0.05152542)</f>
        <v>0.05152542</v>
      </c>
      <c r="Z96" s="298">
        <f>IFERROR(__xludf.DUMMYFUNCTION("""COMPUTED_VALUE"""),0.05191257)</f>
        <v>0.05191257</v>
      </c>
      <c r="AA96" s="298">
        <f>IFERROR(__xludf.DUMMYFUNCTION("""COMPUTED_VALUE"""),0.050089)</f>
        <v>0.050089</v>
      </c>
      <c r="AB96" s="298">
        <f>IFERROR(__xludf.DUMMYFUNCTION("""COMPUTED_VALUE"""),0.050089)</f>
        <v>0.050089</v>
      </c>
      <c r="AC96" s="298">
        <f>IFERROR(__xludf.DUMMYFUNCTION("""COMPUTED_VALUE"""),0.050089)</f>
        <v>0.050089</v>
      </c>
      <c r="AD96" s="298">
        <f>IFERROR(__xludf.DUMMYFUNCTION("""COMPUTED_VALUE"""),0.050089)</f>
        <v>0.050089</v>
      </c>
      <c r="AE96" s="298">
        <f>IFERROR(__xludf.DUMMYFUNCTION("""COMPUTED_VALUE"""),0.050089)</f>
        <v>0.050089</v>
      </c>
      <c r="AF96" s="298">
        <f>IFERROR(__xludf.DUMMYFUNCTION("""COMPUTED_VALUE"""),0.050089)</f>
        <v>0.050089</v>
      </c>
      <c r="AG96" s="298">
        <f>IFERROR(__xludf.DUMMYFUNCTION("""COMPUTED_VALUE"""),0.050089)</f>
        <v>0.050089</v>
      </c>
      <c r="AH96" s="298">
        <f>IFERROR(__xludf.DUMMYFUNCTION("""COMPUTED_VALUE"""),0.050089)</f>
        <v>0.050089</v>
      </c>
      <c r="AI96" s="298">
        <f>IFERROR(__xludf.DUMMYFUNCTION("""COMPUTED_VALUE"""),0.050089)</f>
        <v>0.050089</v>
      </c>
      <c r="AJ96" s="298">
        <f>IFERROR(__xludf.DUMMYFUNCTION("""COMPUTED_VALUE"""),0.050089)</f>
        <v>0.050089</v>
      </c>
      <c r="AK96" s="298">
        <f>IFERROR(__xludf.DUMMYFUNCTION("""COMPUTED_VALUE"""),0.050089)</f>
        <v>0.050089</v>
      </c>
      <c r="AL96" s="298">
        <f>IFERROR(__xludf.DUMMYFUNCTION("""COMPUTED_VALUE"""),0.050089)</f>
        <v>0.050089</v>
      </c>
      <c r="AM96" s="298">
        <f>IFERROR(__xludf.DUMMYFUNCTION("""COMPUTED_VALUE"""),0.050089)</f>
        <v>0.050089</v>
      </c>
      <c r="AN96" s="298">
        <f>IFERROR(__xludf.DUMMYFUNCTION("""COMPUTED_VALUE"""),0.050089)</f>
        <v>0.050089</v>
      </c>
      <c r="AO96" s="298">
        <f>IFERROR(__xludf.DUMMYFUNCTION("""COMPUTED_VALUE"""),0.050089)</f>
        <v>0.050089</v>
      </c>
      <c r="AP96" s="298">
        <f>IFERROR(__xludf.DUMMYFUNCTION("""COMPUTED_VALUE"""),0.050089)</f>
        <v>0.050089</v>
      </c>
      <c r="AQ96" s="298">
        <f>IFERROR(__xludf.DUMMYFUNCTION("""COMPUTED_VALUE"""),0.050089)</f>
        <v>0.050089</v>
      </c>
      <c r="AR96" s="298">
        <f>IFERROR(__xludf.DUMMYFUNCTION("""COMPUTED_VALUE"""),0.050089)</f>
        <v>0.050089</v>
      </c>
      <c r="AS96" s="298">
        <f>IFERROR(__xludf.DUMMYFUNCTION("""COMPUTED_VALUE"""),0.050089)</f>
        <v>0.050089</v>
      </c>
      <c r="AT96" s="298">
        <f>IFERROR(__xludf.DUMMYFUNCTION("""COMPUTED_VALUE"""),0.050089)</f>
        <v>0.050089</v>
      </c>
      <c r="AU96" s="298">
        <f>IFERROR(__xludf.DUMMYFUNCTION("""COMPUTED_VALUE"""),0.050089)</f>
        <v>0.050089</v>
      </c>
      <c r="AV96" s="298">
        <f>IFERROR(__xludf.DUMMYFUNCTION("""COMPUTED_VALUE"""),0.050089)</f>
        <v>0.050089</v>
      </c>
      <c r="AW96" s="298">
        <f>IFERROR(__xludf.DUMMYFUNCTION("""COMPUTED_VALUE"""),0.050089)</f>
        <v>0.050089</v>
      </c>
      <c r="AX96" s="298">
        <f>IFERROR(__xludf.DUMMYFUNCTION("""COMPUTED_VALUE"""),0.050089)</f>
        <v>0.050089</v>
      </c>
      <c r="AY96" s="298">
        <f>IFERROR(__xludf.DUMMYFUNCTION("""COMPUTED_VALUE"""),0.050089)</f>
        <v>0.050089</v>
      </c>
      <c r="AZ96" s="298">
        <f>IFERROR(__xludf.DUMMYFUNCTION("""COMPUTED_VALUE"""),0.050089)</f>
        <v>0.050089</v>
      </c>
      <c r="BA96" s="298">
        <f>IFERROR(__xludf.DUMMYFUNCTION("""COMPUTED_VALUE"""),0.050089)</f>
        <v>0.050089</v>
      </c>
      <c r="BB96" s="298">
        <f>IFERROR(__xludf.DUMMYFUNCTION("""COMPUTED_VALUE"""),0.050089)</f>
        <v>0.050089</v>
      </c>
      <c r="BC96" s="298">
        <f>IFERROR(__xludf.DUMMYFUNCTION("""COMPUTED_VALUE"""),0.050089)</f>
        <v>0.050089</v>
      </c>
      <c r="BD96" s="298">
        <f>IFERROR(__xludf.DUMMYFUNCTION("""COMPUTED_VALUE"""),0.050089)</f>
        <v>0.050089</v>
      </c>
      <c r="BE96" s="298">
        <f>IFERROR(__xludf.DUMMYFUNCTION("""COMPUTED_VALUE"""),0.050089)</f>
        <v>0.050089</v>
      </c>
      <c r="BF96" s="298">
        <f>IFERROR(__xludf.DUMMYFUNCTION("""COMPUTED_VALUE"""),0.050089)</f>
        <v>0.050089</v>
      </c>
      <c r="BG96" s="298">
        <f>IFERROR(__xludf.DUMMYFUNCTION("""COMPUTED_VALUE"""),0.050089)</f>
        <v>0.050089</v>
      </c>
      <c r="BH96" s="298">
        <f>IFERROR(__xludf.DUMMYFUNCTION("""COMPUTED_VALUE"""),0.050089)</f>
        <v>0.050089</v>
      </c>
      <c r="BI96" s="298">
        <f>IFERROR(__xludf.DUMMYFUNCTION("""COMPUTED_VALUE"""),0.050089)</f>
        <v>0.050089</v>
      </c>
      <c r="BJ96" s="298">
        <f>IFERROR(__xludf.DUMMYFUNCTION("""COMPUTED_VALUE"""),0.050089)</f>
        <v>0.050089</v>
      </c>
      <c r="BK96" s="298">
        <f>IFERROR(__xludf.DUMMYFUNCTION("""COMPUTED_VALUE"""),0.050089)</f>
        <v>0.050089</v>
      </c>
      <c r="BL96" s="298">
        <f>IFERROR(__xludf.DUMMYFUNCTION("""COMPUTED_VALUE"""),0.050089)</f>
        <v>0.050089</v>
      </c>
      <c r="BM96" s="298">
        <f>IFERROR(__xludf.DUMMYFUNCTION("""COMPUTED_VALUE"""),0.050089)</f>
        <v>0.050089</v>
      </c>
      <c r="BN96" s="298">
        <f>IFERROR(__xludf.DUMMYFUNCTION("""COMPUTED_VALUE"""),0.050089)</f>
        <v>0.050089</v>
      </c>
    </row>
    <row r="97">
      <c r="L97" s="292"/>
      <c r="M97" s="292">
        <f>IFERROR(__xludf.DUMMYFUNCTION("""COMPUTED_VALUE"""),13.0)</f>
        <v>13</v>
      </c>
      <c r="N97" s="297">
        <f>IFERROR(__xludf.DUMMYFUNCTION("""COMPUTED_VALUE"""),0.0)</f>
        <v>0</v>
      </c>
      <c r="O97" s="297">
        <f>IFERROR(__xludf.DUMMYFUNCTION("""COMPUTED_VALUE"""),0.0)</f>
        <v>0</v>
      </c>
      <c r="P97" s="298">
        <f>IFERROR(__xludf.DUMMYFUNCTION("""COMPUTED_VALUE"""),0.0)</f>
        <v>0</v>
      </c>
      <c r="Q97" s="298">
        <f>IFERROR(__xludf.DUMMYFUNCTION("""COMPUTED_VALUE"""),0.0)</f>
        <v>0</v>
      </c>
      <c r="R97" s="298">
        <f>IFERROR(__xludf.DUMMYFUNCTION("""COMPUTED_VALUE"""),0.0)</f>
        <v>0</v>
      </c>
      <c r="S97" s="298">
        <f>IFERROR(__xludf.DUMMYFUNCTION("""COMPUTED_VALUE"""),6.9784E-4)</f>
        <v>0.00069784</v>
      </c>
      <c r="T97" s="298">
        <f>IFERROR(__xludf.DUMMYFUNCTION("""COMPUTED_VALUE"""),6.9061E-4)</f>
        <v>0.00069061</v>
      </c>
      <c r="U97" s="298">
        <f>IFERROR(__xludf.DUMMYFUNCTION("""COMPUTED_VALUE"""),6.854E-4)</f>
        <v>0.0006854</v>
      </c>
      <c r="V97" s="298">
        <f>IFERROR(__xludf.DUMMYFUNCTION("""COMPUTED_VALUE"""),6.6979E-4)</f>
        <v>0.00066979</v>
      </c>
      <c r="W97" s="298">
        <f>IFERROR(__xludf.DUMMYFUNCTION("""COMPUTED_VALUE"""),6.68E-4)</f>
        <v>0.000668</v>
      </c>
      <c r="X97" s="298">
        <f>IFERROR(__xludf.DUMMYFUNCTION("""COMPUTED_VALUE"""),6.68E-4)</f>
        <v>0.000668</v>
      </c>
      <c r="Y97" s="298">
        <f>IFERROR(__xludf.DUMMYFUNCTION("""COMPUTED_VALUE"""),6.7797E-4)</f>
        <v>0.00067797</v>
      </c>
      <c r="Z97" s="297">
        <f>IFERROR(__xludf.DUMMYFUNCTION("""COMPUTED_VALUE"""),6.8306E-4)</f>
        <v>0.00068306</v>
      </c>
      <c r="AA97" s="298">
        <f>IFERROR(__xludf.DUMMYFUNCTION("""COMPUTED_VALUE"""),0.001053)</f>
        <v>0.001053</v>
      </c>
      <c r="AB97" s="298">
        <f>IFERROR(__xludf.DUMMYFUNCTION("""COMPUTED_VALUE"""),0.001053)</f>
        <v>0.001053</v>
      </c>
      <c r="AC97" s="298">
        <f>IFERROR(__xludf.DUMMYFUNCTION("""COMPUTED_VALUE"""),0.001053)</f>
        <v>0.001053</v>
      </c>
      <c r="AD97" s="298">
        <f>IFERROR(__xludf.DUMMYFUNCTION("""COMPUTED_VALUE"""),0.001053)</f>
        <v>0.001053</v>
      </c>
      <c r="AE97" s="298">
        <f>IFERROR(__xludf.DUMMYFUNCTION("""COMPUTED_VALUE"""),0.001053)</f>
        <v>0.001053</v>
      </c>
      <c r="AF97" s="298">
        <f>IFERROR(__xludf.DUMMYFUNCTION("""COMPUTED_VALUE"""),0.001053)</f>
        <v>0.001053</v>
      </c>
      <c r="AG97" s="298">
        <f>IFERROR(__xludf.DUMMYFUNCTION("""COMPUTED_VALUE"""),0.001053)</f>
        <v>0.001053</v>
      </c>
      <c r="AH97" s="298">
        <f>IFERROR(__xludf.DUMMYFUNCTION("""COMPUTED_VALUE"""),0.001053)</f>
        <v>0.001053</v>
      </c>
      <c r="AI97" s="298">
        <f>IFERROR(__xludf.DUMMYFUNCTION("""COMPUTED_VALUE"""),0.001053)</f>
        <v>0.001053</v>
      </c>
      <c r="AJ97" s="298">
        <f>IFERROR(__xludf.DUMMYFUNCTION("""COMPUTED_VALUE"""),0.001053)</f>
        <v>0.001053</v>
      </c>
      <c r="AK97" s="298">
        <f>IFERROR(__xludf.DUMMYFUNCTION("""COMPUTED_VALUE"""),0.001053)</f>
        <v>0.001053</v>
      </c>
      <c r="AL97" s="298">
        <f>IFERROR(__xludf.DUMMYFUNCTION("""COMPUTED_VALUE"""),0.001053)</f>
        <v>0.001053</v>
      </c>
      <c r="AM97" s="298">
        <f>IFERROR(__xludf.DUMMYFUNCTION("""COMPUTED_VALUE"""),0.001053)</f>
        <v>0.001053</v>
      </c>
      <c r="AN97" s="298">
        <f>IFERROR(__xludf.DUMMYFUNCTION("""COMPUTED_VALUE"""),0.001053)</f>
        <v>0.001053</v>
      </c>
      <c r="AO97" s="298">
        <f>IFERROR(__xludf.DUMMYFUNCTION("""COMPUTED_VALUE"""),0.001053)</f>
        <v>0.001053</v>
      </c>
      <c r="AP97" s="298">
        <f>IFERROR(__xludf.DUMMYFUNCTION("""COMPUTED_VALUE"""),0.001053)</f>
        <v>0.001053</v>
      </c>
      <c r="AQ97" s="298">
        <f>IFERROR(__xludf.DUMMYFUNCTION("""COMPUTED_VALUE"""),0.001053)</f>
        <v>0.001053</v>
      </c>
      <c r="AR97" s="298">
        <f>IFERROR(__xludf.DUMMYFUNCTION("""COMPUTED_VALUE"""),0.001053)</f>
        <v>0.001053</v>
      </c>
      <c r="AS97" s="298">
        <f>IFERROR(__xludf.DUMMYFUNCTION("""COMPUTED_VALUE"""),0.001053)</f>
        <v>0.001053</v>
      </c>
      <c r="AT97" s="298">
        <f>IFERROR(__xludf.DUMMYFUNCTION("""COMPUTED_VALUE"""),0.001053)</f>
        <v>0.001053</v>
      </c>
      <c r="AU97" s="298">
        <f>IFERROR(__xludf.DUMMYFUNCTION("""COMPUTED_VALUE"""),0.001053)</f>
        <v>0.001053</v>
      </c>
      <c r="AV97" s="298">
        <f>IFERROR(__xludf.DUMMYFUNCTION("""COMPUTED_VALUE"""),0.001053)</f>
        <v>0.001053</v>
      </c>
      <c r="AW97" s="298">
        <f>IFERROR(__xludf.DUMMYFUNCTION("""COMPUTED_VALUE"""),0.001053)</f>
        <v>0.001053</v>
      </c>
      <c r="AX97" s="298">
        <f>IFERROR(__xludf.DUMMYFUNCTION("""COMPUTED_VALUE"""),0.001053)</f>
        <v>0.001053</v>
      </c>
      <c r="AY97" s="298">
        <f>IFERROR(__xludf.DUMMYFUNCTION("""COMPUTED_VALUE"""),0.001053)</f>
        <v>0.001053</v>
      </c>
      <c r="AZ97" s="298">
        <f>IFERROR(__xludf.DUMMYFUNCTION("""COMPUTED_VALUE"""),0.001053)</f>
        <v>0.001053</v>
      </c>
      <c r="BA97" s="298">
        <f>IFERROR(__xludf.DUMMYFUNCTION("""COMPUTED_VALUE"""),0.001053)</f>
        <v>0.001053</v>
      </c>
      <c r="BB97" s="298">
        <f>IFERROR(__xludf.DUMMYFUNCTION("""COMPUTED_VALUE"""),0.001053)</f>
        <v>0.001053</v>
      </c>
      <c r="BC97" s="298">
        <f>IFERROR(__xludf.DUMMYFUNCTION("""COMPUTED_VALUE"""),0.001053)</f>
        <v>0.001053</v>
      </c>
      <c r="BD97" s="298">
        <f>IFERROR(__xludf.DUMMYFUNCTION("""COMPUTED_VALUE"""),0.001053)</f>
        <v>0.001053</v>
      </c>
      <c r="BE97" s="298">
        <f>IFERROR(__xludf.DUMMYFUNCTION("""COMPUTED_VALUE"""),0.001053)</f>
        <v>0.001053</v>
      </c>
      <c r="BF97" s="298">
        <f>IFERROR(__xludf.DUMMYFUNCTION("""COMPUTED_VALUE"""),0.001053)</f>
        <v>0.001053</v>
      </c>
      <c r="BG97" s="298">
        <f>IFERROR(__xludf.DUMMYFUNCTION("""COMPUTED_VALUE"""),0.001053)</f>
        <v>0.001053</v>
      </c>
      <c r="BH97" s="298">
        <f>IFERROR(__xludf.DUMMYFUNCTION("""COMPUTED_VALUE"""),0.001053)</f>
        <v>0.001053</v>
      </c>
      <c r="BI97" s="298">
        <f>IFERROR(__xludf.DUMMYFUNCTION("""COMPUTED_VALUE"""),0.001053)</f>
        <v>0.001053</v>
      </c>
      <c r="BJ97" s="298">
        <f>IFERROR(__xludf.DUMMYFUNCTION("""COMPUTED_VALUE"""),0.001053)</f>
        <v>0.001053</v>
      </c>
      <c r="BK97" s="298">
        <f>IFERROR(__xludf.DUMMYFUNCTION("""COMPUTED_VALUE"""),0.001053)</f>
        <v>0.001053</v>
      </c>
      <c r="BL97" s="298">
        <f>IFERROR(__xludf.DUMMYFUNCTION("""COMPUTED_VALUE"""),0.001053)</f>
        <v>0.001053</v>
      </c>
      <c r="BM97" s="298">
        <f>IFERROR(__xludf.DUMMYFUNCTION("""COMPUTED_VALUE"""),0.001053)</f>
        <v>0.001053</v>
      </c>
      <c r="BN97" s="298">
        <f>IFERROR(__xludf.DUMMYFUNCTION("""COMPUTED_VALUE"""),0.001053)</f>
        <v>0.001053</v>
      </c>
    </row>
    <row r="98">
      <c r="L98" s="292"/>
      <c r="M98" s="292">
        <f>IFERROR(__xludf.DUMMYFUNCTION("""COMPUTED_VALUE"""),14.0)</f>
        <v>14</v>
      </c>
      <c r="N98" s="298">
        <f>IFERROR(__xludf.DUMMYFUNCTION("""COMPUTED_VALUE"""),0.11335578)</f>
        <v>0.11335578</v>
      </c>
      <c r="O98" s="298">
        <f>IFERROR(__xludf.DUMMYFUNCTION("""COMPUTED_VALUE"""),0.1090448)</f>
        <v>0.1090448</v>
      </c>
      <c r="P98" s="298">
        <f>IFERROR(__xludf.DUMMYFUNCTION("""COMPUTED_VALUE"""),0.11541632)</f>
        <v>0.11541632</v>
      </c>
      <c r="Q98" s="298">
        <f>IFERROR(__xludf.DUMMYFUNCTION("""COMPUTED_VALUE"""),0.11707681)</f>
        <v>0.11707681</v>
      </c>
      <c r="R98" s="298">
        <f>IFERROR(__xludf.DUMMYFUNCTION("""COMPUTED_VALUE"""),0.11853448)</f>
        <v>0.11853448</v>
      </c>
      <c r="S98" s="298">
        <f>IFERROR(__xludf.DUMMYFUNCTION("""COMPUTED_VALUE"""),0.12002791)</f>
        <v>0.12002791</v>
      </c>
      <c r="T98" s="298">
        <f>IFERROR(__xludf.DUMMYFUNCTION("""COMPUTED_VALUE"""),0.12154696)</f>
        <v>0.12154696</v>
      </c>
      <c r="U98" s="298">
        <f>IFERROR(__xludf.DUMMYFUNCTION("""COMPUTED_VALUE"""),0.12131597)</f>
        <v>0.12131597</v>
      </c>
      <c r="V98" s="298">
        <f>IFERROR(__xludf.DUMMYFUNCTION("""COMPUTED_VALUE"""),0.12123242)</f>
        <v>0.12123242</v>
      </c>
      <c r="W98" s="298">
        <f>IFERROR(__xludf.DUMMYFUNCTION("""COMPUTED_VALUE"""),0.12090848)</f>
        <v>0.12090848</v>
      </c>
      <c r="X98" s="298">
        <f>IFERROR(__xludf.DUMMYFUNCTION("""COMPUTED_VALUE"""),0.12024048)</f>
        <v>0.12024048</v>
      </c>
      <c r="Y98" s="298">
        <f>IFERROR(__xludf.DUMMYFUNCTION("""COMPUTED_VALUE"""),0.12)</f>
        <v>0.12</v>
      </c>
      <c r="Z98" s="298">
        <f>IFERROR(__xludf.DUMMYFUNCTION("""COMPUTED_VALUE"""),0.11885246)</f>
        <v>0.11885246</v>
      </c>
      <c r="AA98" s="298">
        <f>IFERROR(__xludf.DUMMYFUNCTION("""COMPUTED_VALUE"""),0.116028)</f>
        <v>0.116028</v>
      </c>
      <c r="AB98" s="298">
        <f>IFERROR(__xludf.DUMMYFUNCTION("""COMPUTED_VALUE"""),0.116028)</f>
        <v>0.116028</v>
      </c>
      <c r="AC98" s="298">
        <f>IFERROR(__xludf.DUMMYFUNCTION("""COMPUTED_VALUE"""),0.116028)</f>
        <v>0.116028</v>
      </c>
      <c r="AD98" s="298">
        <f>IFERROR(__xludf.DUMMYFUNCTION("""COMPUTED_VALUE"""),0.116028)</f>
        <v>0.116028</v>
      </c>
      <c r="AE98" s="298">
        <f>IFERROR(__xludf.DUMMYFUNCTION("""COMPUTED_VALUE"""),0.116028)</f>
        <v>0.116028</v>
      </c>
      <c r="AF98" s="298">
        <f>IFERROR(__xludf.DUMMYFUNCTION("""COMPUTED_VALUE"""),0.116028)</f>
        <v>0.116028</v>
      </c>
      <c r="AG98" s="298">
        <f>IFERROR(__xludf.DUMMYFUNCTION("""COMPUTED_VALUE"""),0.116028)</f>
        <v>0.116028</v>
      </c>
      <c r="AH98" s="298">
        <f>IFERROR(__xludf.DUMMYFUNCTION("""COMPUTED_VALUE"""),0.116028)</f>
        <v>0.116028</v>
      </c>
      <c r="AI98" s="298">
        <f>IFERROR(__xludf.DUMMYFUNCTION("""COMPUTED_VALUE"""),0.116028)</f>
        <v>0.116028</v>
      </c>
      <c r="AJ98" s="298">
        <f>IFERROR(__xludf.DUMMYFUNCTION("""COMPUTED_VALUE"""),0.116028)</f>
        <v>0.116028</v>
      </c>
      <c r="AK98" s="298">
        <f>IFERROR(__xludf.DUMMYFUNCTION("""COMPUTED_VALUE"""),0.116028)</f>
        <v>0.116028</v>
      </c>
      <c r="AL98" s="298">
        <f>IFERROR(__xludf.DUMMYFUNCTION("""COMPUTED_VALUE"""),0.116005)</f>
        <v>0.116005</v>
      </c>
      <c r="AM98" s="298">
        <f>IFERROR(__xludf.DUMMYFUNCTION("""COMPUTED_VALUE"""),0.115796)</f>
        <v>0.115796</v>
      </c>
      <c r="AN98" s="298">
        <f>IFERROR(__xludf.DUMMYFUNCTION("""COMPUTED_VALUE"""),0.11487)</f>
        <v>0.11487</v>
      </c>
      <c r="AO98" s="298">
        <f>IFERROR(__xludf.DUMMYFUNCTION("""COMPUTED_VALUE"""),0.112168)</f>
        <v>0.112168</v>
      </c>
      <c r="AP98" s="298">
        <f>IFERROR(__xludf.DUMMYFUNCTION("""COMPUTED_VALUE"""),0.106379)</f>
        <v>0.106379</v>
      </c>
      <c r="AQ98" s="298">
        <f>IFERROR(__xludf.DUMMYFUNCTION("""COMPUTED_VALUE"""),0.09673)</f>
        <v>0.09673</v>
      </c>
      <c r="AR98" s="298">
        <f>IFERROR(__xludf.DUMMYFUNCTION("""COMPUTED_VALUE"""),0.083865)</f>
        <v>0.083865</v>
      </c>
      <c r="AS98" s="298">
        <f>IFERROR(__xludf.DUMMYFUNCTION("""COMPUTED_VALUE"""),0.070081)</f>
        <v>0.070081</v>
      </c>
      <c r="AT98" s="298">
        <f>IFERROR(__xludf.DUMMYFUNCTION("""COMPUTED_VALUE"""),0.058594)</f>
        <v>0.058594</v>
      </c>
      <c r="AU98" s="298">
        <f>IFERROR(__xludf.DUMMYFUNCTION("""COMPUTED_VALUE"""),0.052212)</f>
        <v>0.052212</v>
      </c>
      <c r="AV98" s="298">
        <f>IFERROR(__xludf.DUMMYFUNCTION("""COMPUTED_VALUE"""),0.052212)</f>
        <v>0.052212</v>
      </c>
      <c r="AW98" s="298">
        <f>IFERROR(__xludf.DUMMYFUNCTION("""COMPUTED_VALUE"""),0.052212)</f>
        <v>0.052212</v>
      </c>
      <c r="AX98" s="298">
        <f>IFERROR(__xludf.DUMMYFUNCTION("""COMPUTED_VALUE"""),0.052212)</f>
        <v>0.052212</v>
      </c>
      <c r="AY98" s="298">
        <f>IFERROR(__xludf.DUMMYFUNCTION("""COMPUTED_VALUE"""),0.052212)</f>
        <v>0.052212</v>
      </c>
      <c r="AZ98" s="298">
        <f>IFERROR(__xludf.DUMMYFUNCTION("""COMPUTED_VALUE"""),0.052212)</f>
        <v>0.052212</v>
      </c>
      <c r="BA98" s="298">
        <f>IFERROR(__xludf.DUMMYFUNCTION("""COMPUTED_VALUE"""),0.052212)</f>
        <v>0.052212</v>
      </c>
      <c r="BB98" s="298">
        <f>IFERROR(__xludf.DUMMYFUNCTION("""COMPUTED_VALUE"""),0.052212)</f>
        <v>0.052212</v>
      </c>
      <c r="BC98" s="298">
        <f>IFERROR(__xludf.DUMMYFUNCTION("""COMPUTED_VALUE"""),0.052212)</f>
        <v>0.052212</v>
      </c>
      <c r="BD98" s="298">
        <f>IFERROR(__xludf.DUMMYFUNCTION("""COMPUTED_VALUE"""),0.052212)</f>
        <v>0.052212</v>
      </c>
      <c r="BE98" s="298">
        <f>IFERROR(__xludf.DUMMYFUNCTION("""COMPUTED_VALUE"""),0.052212)</f>
        <v>0.052212</v>
      </c>
      <c r="BF98" s="298">
        <f>IFERROR(__xludf.DUMMYFUNCTION("""COMPUTED_VALUE"""),0.052212)</f>
        <v>0.052212</v>
      </c>
      <c r="BG98" s="298">
        <f>IFERROR(__xludf.DUMMYFUNCTION("""COMPUTED_VALUE"""),0.052212)</f>
        <v>0.052212</v>
      </c>
      <c r="BH98" s="298">
        <f>IFERROR(__xludf.DUMMYFUNCTION("""COMPUTED_VALUE"""),0.052212)</f>
        <v>0.052212</v>
      </c>
      <c r="BI98" s="298">
        <f>IFERROR(__xludf.DUMMYFUNCTION("""COMPUTED_VALUE"""),0.052212)</f>
        <v>0.052212</v>
      </c>
      <c r="BJ98" s="298">
        <f>IFERROR(__xludf.DUMMYFUNCTION("""COMPUTED_VALUE"""),0.052212)</f>
        <v>0.052212</v>
      </c>
      <c r="BK98" s="298">
        <f>IFERROR(__xludf.DUMMYFUNCTION("""COMPUTED_VALUE"""),0.052212)</f>
        <v>0.052212</v>
      </c>
      <c r="BL98" s="298">
        <f>IFERROR(__xludf.DUMMYFUNCTION("""COMPUTED_VALUE"""),0.052212)</f>
        <v>0.052212</v>
      </c>
      <c r="BM98" s="298">
        <f>IFERROR(__xludf.DUMMYFUNCTION("""COMPUTED_VALUE"""),0.052212)</f>
        <v>0.052212</v>
      </c>
      <c r="BN98" s="298">
        <f>IFERROR(__xludf.DUMMYFUNCTION("""COMPUTED_VALUE"""),0.052212)</f>
        <v>0.052212</v>
      </c>
    </row>
    <row r="99">
      <c r="L99" s="292"/>
      <c r="M99" s="292">
        <f>IFERROR(__xludf.DUMMYFUNCTION("""COMPUTED_VALUE"""),15.0)</f>
        <v>15</v>
      </c>
      <c r="N99" s="298">
        <f>IFERROR(__xludf.DUMMYFUNCTION("""COMPUTED_VALUE"""),0.0)</f>
        <v>0</v>
      </c>
      <c r="O99" s="298">
        <f>IFERROR(__xludf.DUMMYFUNCTION("""COMPUTED_VALUE"""),0.0)</f>
        <v>0</v>
      </c>
      <c r="P99" s="298">
        <f>IFERROR(__xludf.DUMMYFUNCTION("""COMPUTED_VALUE"""),0.0)</f>
        <v>0</v>
      </c>
      <c r="Q99" s="298">
        <f>IFERROR(__xludf.DUMMYFUNCTION("""COMPUTED_VALUE"""),0.0)</f>
        <v>0</v>
      </c>
      <c r="R99" s="298">
        <f>IFERROR(__xludf.DUMMYFUNCTION("""COMPUTED_VALUE"""),0.0)</f>
        <v>0</v>
      </c>
      <c r="S99" s="298">
        <f>IFERROR(__xludf.DUMMYFUNCTION("""COMPUTED_VALUE"""),0.0)</f>
        <v>0</v>
      </c>
      <c r="T99" s="298">
        <f>IFERROR(__xludf.DUMMYFUNCTION("""COMPUTED_VALUE"""),0.0)</f>
        <v>0</v>
      </c>
      <c r="U99" s="298">
        <f>IFERROR(__xludf.DUMMYFUNCTION("""COMPUTED_VALUE"""),0.0)</f>
        <v>0</v>
      </c>
      <c r="V99" s="298">
        <f>IFERROR(__xludf.DUMMYFUNCTION("""COMPUTED_VALUE"""),0.0)</f>
        <v>0</v>
      </c>
      <c r="W99" s="298">
        <f>IFERROR(__xludf.DUMMYFUNCTION("""COMPUTED_VALUE"""),0.0)</f>
        <v>0</v>
      </c>
      <c r="X99" s="298">
        <f>IFERROR(__xludf.DUMMYFUNCTION("""COMPUTED_VALUE"""),0.0)</f>
        <v>0</v>
      </c>
      <c r="Y99" s="298">
        <f>IFERROR(__xludf.DUMMYFUNCTION("""COMPUTED_VALUE"""),0.0)</f>
        <v>0</v>
      </c>
      <c r="Z99" s="298">
        <f>IFERROR(__xludf.DUMMYFUNCTION("""COMPUTED_VALUE"""),0.0)</f>
        <v>0</v>
      </c>
      <c r="AA99" s="298">
        <f>IFERROR(__xludf.DUMMYFUNCTION("""COMPUTED_VALUE"""),0.0)</f>
        <v>0</v>
      </c>
      <c r="AB99" s="298">
        <f>IFERROR(__xludf.DUMMYFUNCTION("""COMPUTED_VALUE"""),0.0)</f>
        <v>0</v>
      </c>
      <c r="AC99" s="298">
        <f>IFERROR(__xludf.DUMMYFUNCTION("""COMPUTED_VALUE"""),0.0)</f>
        <v>0</v>
      </c>
      <c r="AD99" s="298">
        <f>IFERROR(__xludf.DUMMYFUNCTION("""COMPUTED_VALUE"""),0.0)</f>
        <v>0</v>
      </c>
      <c r="AE99" s="298">
        <f>IFERROR(__xludf.DUMMYFUNCTION("""COMPUTED_VALUE"""),0.0)</f>
        <v>0</v>
      </c>
      <c r="AF99" s="298">
        <f>IFERROR(__xludf.DUMMYFUNCTION("""COMPUTED_VALUE"""),0.0)</f>
        <v>0</v>
      </c>
      <c r="AG99" s="298">
        <f>IFERROR(__xludf.DUMMYFUNCTION("""COMPUTED_VALUE"""),0.0)</f>
        <v>0</v>
      </c>
      <c r="AH99" s="298">
        <f>IFERROR(__xludf.DUMMYFUNCTION("""COMPUTED_VALUE"""),0.0)</f>
        <v>0</v>
      </c>
      <c r="AI99" s="298">
        <f>IFERROR(__xludf.DUMMYFUNCTION("""COMPUTED_VALUE"""),0.0)</f>
        <v>0</v>
      </c>
      <c r="AJ99" s="298">
        <f>IFERROR(__xludf.DUMMYFUNCTION("""COMPUTED_VALUE"""),0.0)</f>
        <v>0</v>
      </c>
      <c r="AK99" s="298">
        <f>IFERROR(__xludf.DUMMYFUNCTION("""COMPUTED_VALUE"""),0.0)</f>
        <v>0</v>
      </c>
      <c r="AL99" s="298">
        <f>IFERROR(__xludf.DUMMYFUNCTION("""COMPUTED_VALUE"""),2.0E-6)</f>
        <v>0.000002</v>
      </c>
      <c r="AM99" s="298">
        <f>IFERROR(__xludf.DUMMYFUNCTION("""COMPUTED_VALUE"""),2.1E-5)</f>
        <v>0.000021</v>
      </c>
      <c r="AN99" s="298">
        <f>IFERROR(__xludf.DUMMYFUNCTION("""COMPUTED_VALUE"""),1.05E-4)</f>
        <v>0.000105</v>
      </c>
      <c r="AO99" s="298">
        <f>IFERROR(__xludf.DUMMYFUNCTION("""COMPUTED_VALUE"""),3.51E-4)</f>
        <v>0.000351</v>
      </c>
      <c r="AP99" s="298">
        <f>IFERROR(__xludf.DUMMYFUNCTION("""COMPUTED_VALUE"""),8.77E-4)</f>
        <v>0.000877</v>
      </c>
      <c r="AQ99" s="298">
        <f>IFERROR(__xludf.DUMMYFUNCTION("""COMPUTED_VALUE"""),0.001754)</f>
        <v>0.001754</v>
      </c>
      <c r="AR99" s="298">
        <f>IFERROR(__xludf.DUMMYFUNCTION("""COMPUTED_VALUE"""),0.002924)</f>
        <v>0.002924</v>
      </c>
      <c r="AS99" s="298">
        <f>IFERROR(__xludf.DUMMYFUNCTION("""COMPUTED_VALUE"""),0.004177)</f>
        <v>0.004177</v>
      </c>
      <c r="AT99" s="298">
        <f>IFERROR(__xludf.DUMMYFUNCTION("""COMPUTED_VALUE"""),0.005221)</f>
        <v>0.005221</v>
      </c>
      <c r="AU99" s="298">
        <f>IFERROR(__xludf.DUMMYFUNCTION("""COMPUTED_VALUE"""),0.005801)</f>
        <v>0.005801</v>
      </c>
      <c r="AV99" s="298">
        <f>IFERROR(__xludf.DUMMYFUNCTION("""COMPUTED_VALUE"""),0.005801)</f>
        <v>0.005801</v>
      </c>
      <c r="AW99" s="298">
        <f>IFERROR(__xludf.DUMMYFUNCTION("""COMPUTED_VALUE"""),0.005801)</f>
        <v>0.005801</v>
      </c>
      <c r="AX99" s="298">
        <f>IFERROR(__xludf.DUMMYFUNCTION("""COMPUTED_VALUE"""),0.005801)</f>
        <v>0.005801</v>
      </c>
      <c r="AY99" s="298">
        <f>IFERROR(__xludf.DUMMYFUNCTION("""COMPUTED_VALUE"""),0.005801)</f>
        <v>0.005801</v>
      </c>
      <c r="AZ99" s="298">
        <f>IFERROR(__xludf.DUMMYFUNCTION("""COMPUTED_VALUE"""),0.005801)</f>
        <v>0.005801</v>
      </c>
      <c r="BA99" s="298">
        <f>IFERROR(__xludf.DUMMYFUNCTION("""COMPUTED_VALUE"""),0.005801)</f>
        <v>0.005801</v>
      </c>
      <c r="BB99" s="298">
        <f>IFERROR(__xludf.DUMMYFUNCTION("""COMPUTED_VALUE"""),0.005801)</f>
        <v>0.005801</v>
      </c>
      <c r="BC99" s="298">
        <f>IFERROR(__xludf.DUMMYFUNCTION("""COMPUTED_VALUE"""),0.005801)</f>
        <v>0.005801</v>
      </c>
      <c r="BD99" s="298">
        <f>IFERROR(__xludf.DUMMYFUNCTION("""COMPUTED_VALUE"""),0.005801)</f>
        <v>0.005801</v>
      </c>
      <c r="BE99" s="298">
        <f>IFERROR(__xludf.DUMMYFUNCTION("""COMPUTED_VALUE"""),0.005801)</f>
        <v>0.005801</v>
      </c>
      <c r="BF99" s="298">
        <f>IFERROR(__xludf.DUMMYFUNCTION("""COMPUTED_VALUE"""),0.005801)</f>
        <v>0.005801</v>
      </c>
      <c r="BG99" s="298">
        <f>IFERROR(__xludf.DUMMYFUNCTION("""COMPUTED_VALUE"""),0.005801)</f>
        <v>0.005801</v>
      </c>
      <c r="BH99" s="298">
        <f>IFERROR(__xludf.DUMMYFUNCTION("""COMPUTED_VALUE"""),0.005801)</f>
        <v>0.005801</v>
      </c>
      <c r="BI99" s="298">
        <f>IFERROR(__xludf.DUMMYFUNCTION("""COMPUTED_VALUE"""),0.005801)</f>
        <v>0.005801</v>
      </c>
      <c r="BJ99" s="298">
        <f>IFERROR(__xludf.DUMMYFUNCTION("""COMPUTED_VALUE"""),0.005801)</f>
        <v>0.005801</v>
      </c>
      <c r="BK99" s="298">
        <f>IFERROR(__xludf.DUMMYFUNCTION("""COMPUTED_VALUE"""),0.005801)</f>
        <v>0.005801</v>
      </c>
      <c r="BL99" s="298">
        <f>IFERROR(__xludf.DUMMYFUNCTION("""COMPUTED_VALUE"""),0.005801)</f>
        <v>0.005801</v>
      </c>
      <c r="BM99" s="298">
        <f>IFERROR(__xludf.DUMMYFUNCTION("""COMPUTED_VALUE"""),0.005801)</f>
        <v>0.005801</v>
      </c>
      <c r="BN99" s="298">
        <f>IFERROR(__xludf.DUMMYFUNCTION("""COMPUTED_VALUE"""),0.005801)</f>
        <v>0.005801</v>
      </c>
    </row>
    <row r="100">
      <c r="L100" s="292"/>
      <c r="M100" s="292">
        <f>IFERROR(__xludf.DUMMYFUNCTION("""COMPUTED_VALUE"""),16.0)</f>
        <v>16</v>
      </c>
      <c r="N100" s="298">
        <f>IFERROR(__xludf.DUMMYFUNCTION("""COMPUTED_VALUE"""),0.0)</f>
        <v>0</v>
      </c>
      <c r="O100" s="298">
        <f>IFERROR(__xludf.DUMMYFUNCTION("""COMPUTED_VALUE"""),0.0)</f>
        <v>0</v>
      </c>
      <c r="P100" s="298">
        <f>IFERROR(__xludf.DUMMYFUNCTION("""COMPUTED_VALUE"""),0.0)</f>
        <v>0</v>
      </c>
      <c r="Q100" s="298">
        <f>IFERROR(__xludf.DUMMYFUNCTION("""COMPUTED_VALUE"""),0.0)</f>
        <v>0</v>
      </c>
      <c r="R100" s="298">
        <f>IFERROR(__xludf.DUMMYFUNCTION("""COMPUTED_VALUE"""),0.0)</f>
        <v>0</v>
      </c>
      <c r="S100" s="298">
        <f>IFERROR(__xludf.DUMMYFUNCTION("""COMPUTED_VALUE"""),0.0)</f>
        <v>0</v>
      </c>
      <c r="T100" s="298">
        <f>IFERROR(__xludf.DUMMYFUNCTION("""COMPUTED_VALUE"""),0.0)</f>
        <v>0</v>
      </c>
      <c r="U100" s="298">
        <f>IFERROR(__xludf.DUMMYFUNCTION("""COMPUTED_VALUE"""),0.0)</f>
        <v>0</v>
      </c>
      <c r="V100" s="298">
        <f>IFERROR(__xludf.DUMMYFUNCTION("""COMPUTED_VALUE"""),0.0)</f>
        <v>0</v>
      </c>
      <c r="W100" s="298">
        <f>IFERROR(__xludf.DUMMYFUNCTION("""COMPUTED_VALUE"""),0.0)</f>
        <v>0</v>
      </c>
      <c r="X100" s="298">
        <f>IFERROR(__xludf.DUMMYFUNCTION("""COMPUTED_VALUE"""),0.0)</f>
        <v>0</v>
      </c>
      <c r="Y100" s="298">
        <f>IFERROR(__xludf.DUMMYFUNCTION("""COMPUTED_VALUE"""),0.0)</f>
        <v>0</v>
      </c>
      <c r="Z100" s="298">
        <f>IFERROR(__xludf.DUMMYFUNCTION("""COMPUTED_VALUE"""),0.0)</f>
        <v>0</v>
      </c>
      <c r="AA100" s="298">
        <f>IFERROR(__xludf.DUMMYFUNCTION("""COMPUTED_VALUE"""),0.0)</f>
        <v>0</v>
      </c>
      <c r="AB100" s="298">
        <f>IFERROR(__xludf.DUMMYFUNCTION("""COMPUTED_VALUE"""),0.0)</f>
        <v>0</v>
      </c>
      <c r="AC100" s="298">
        <f>IFERROR(__xludf.DUMMYFUNCTION("""COMPUTED_VALUE"""),0.0)</f>
        <v>0</v>
      </c>
      <c r="AD100" s="298">
        <f>IFERROR(__xludf.DUMMYFUNCTION("""COMPUTED_VALUE"""),0.0)</f>
        <v>0</v>
      </c>
      <c r="AE100" s="298">
        <f>IFERROR(__xludf.DUMMYFUNCTION("""COMPUTED_VALUE"""),0.0)</f>
        <v>0</v>
      </c>
      <c r="AF100" s="298">
        <f>IFERROR(__xludf.DUMMYFUNCTION("""COMPUTED_VALUE"""),0.0)</f>
        <v>0</v>
      </c>
      <c r="AG100" s="298">
        <f>IFERROR(__xludf.DUMMYFUNCTION("""COMPUTED_VALUE"""),0.0)</f>
        <v>0</v>
      </c>
      <c r="AH100" s="298">
        <f>IFERROR(__xludf.DUMMYFUNCTION("""COMPUTED_VALUE"""),0.0)</f>
        <v>0</v>
      </c>
      <c r="AI100" s="298">
        <f>IFERROR(__xludf.DUMMYFUNCTION("""COMPUTED_VALUE"""),0.0)</f>
        <v>0</v>
      </c>
      <c r="AJ100" s="298">
        <f>IFERROR(__xludf.DUMMYFUNCTION("""COMPUTED_VALUE"""),0.0)</f>
        <v>0</v>
      </c>
      <c r="AK100" s="298">
        <f>IFERROR(__xludf.DUMMYFUNCTION("""COMPUTED_VALUE"""),0.0)</f>
        <v>0</v>
      </c>
      <c r="AL100" s="298">
        <f>IFERROR(__xludf.DUMMYFUNCTION("""COMPUTED_VALUE"""),2.1E-5)</f>
        <v>0.000021</v>
      </c>
      <c r="AM100" s="298">
        <f>IFERROR(__xludf.DUMMYFUNCTION("""COMPUTED_VALUE"""),2.11E-4)</f>
        <v>0.000211</v>
      </c>
      <c r="AN100" s="298">
        <f>IFERROR(__xludf.DUMMYFUNCTION("""COMPUTED_VALUE"""),0.001053)</f>
        <v>0.001053</v>
      </c>
      <c r="AO100" s="298">
        <f>IFERROR(__xludf.DUMMYFUNCTION("""COMPUTED_VALUE"""),0.003509)</f>
        <v>0.003509</v>
      </c>
      <c r="AP100" s="298">
        <f>IFERROR(__xludf.DUMMYFUNCTION("""COMPUTED_VALUE"""),0.008772)</f>
        <v>0.008772</v>
      </c>
      <c r="AQ100" s="298">
        <f>IFERROR(__xludf.DUMMYFUNCTION("""COMPUTED_VALUE"""),0.017543)</f>
        <v>0.017543</v>
      </c>
      <c r="AR100" s="298">
        <f>IFERROR(__xludf.DUMMYFUNCTION("""COMPUTED_VALUE"""),0.029239)</f>
        <v>0.029239</v>
      </c>
      <c r="AS100" s="298">
        <f>IFERROR(__xludf.DUMMYFUNCTION("""COMPUTED_VALUE"""),0.04177)</f>
        <v>0.04177</v>
      </c>
      <c r="AT100" s="298">
        <f>IFERROR(__xludf.DUMMYFUNCTION("""COMPUTED_VALUE"""),0.052212)</f>
        <v>0.052212</v>
      </c>
      <c r="AU100" s="298">
        <f>IFERROR(__xludf.DUMMYFUNCTION("""COMPUTED_VALUE"""),0.058014)</f>
        <v>0.058014</v>
      </c>
      <c r="AV100" s="298">
        <f>IFERROR(__xludf.DUMMYFUNCTION("""COMPUTED_VALUE"""),0.058014)</f>
        <v>0.058014</v>
      </c>
      <c r="AW100" s="298">
        <f>IFERROR(__xludf.DUMMYFUNCTION("""COMPUTED_VALUE"""),0.058014)</f>
        <v>0.058014</v>
      </c>
      <c r="AX100" s="298">
        <f>IFERROR(__xludf.DUMMYFUNCTION("""COMPUTED_VALUE"""),0.058014)</f>
        <v>0.058014</v>
      </c>
      <c r="AY100" s="298">
        <f>IFERROR(__xludf.DUMMYFUNCTION("""COMPUTED_VALUE"""),0.058014)</f>
        <v>0.058014</v>
      </c>
      <c r="AZ100" s="298">
        <f>IFERROR(__xludf.DUMMYFUNCTION("""COMPUTED_VALUE"""),0.058014)</f>
        <v>0.058014</v>
      </c>
      <c r="BA100" s="298">
        <f>IFERROR(__xludf.DUMMYFUNCTION("""COMPUTED_VALUE"""),0.058014)</f>
        <v>0.058014</v>
      </c>
      <c r="BB100" s="298">
        <f>IFERROR(__xludf.DUMMYFUNCTION("""COMPUTED_VALUE"""),0.058014)</f>
        <v>0.058014</v>
      </c>
      <c r="BC100" s="298">
        <f>IFERROR(__xludf.DUMMYFUNCTION("""COMPUTED_VALUE"""),0.058014)</f>
        <v>0.058014</v>
      </c>
      <c r="BD100" s="298">
        <f>IFERROR(__xludf.DUMMYFUNCTION("""COMPUTED_VALUE"""),0.058014)</f>
        <v>0.058014</v>
      </c>
      <c r="BE100" s="298">
        <f>IFERROR(__xludf.DUMMYFUNCTION("""COMPUTED_VALUE"""),0.058014)</f>
        <v>0.058014</v>
      </c>
      <c r="BF100" s="298">
        <f>IFERROR(__xludf.DUMMYFUNCTION("""COMPUTED_VALUE"""),0.058014)</f>
        <v>0.058014</v>
      </c>
      <c r="BG100" s="298">
        <f>IFERROR(__xludf.DUMMYFUNCTION("""COMPUTED_VALUE"""),0.058014)</f>
        <v>0.058014</v>
      </c>
      <c r="BH100" s="298">
        <f>IFERROR(__xludf.DUMMYFUNCTION("""COMPUTED_VALUE"""),0.058014)</f>
        <v>0.058014</v>
      </c>
      <c r="BI100" s="298">
        <f>IFERROR(__xludf.DUMMYFUNCTION("""COMPUTED_VALUE"""),0.058014)</f>
        <v>0.058014</v>
      </c>
      <c r="BJ100" s="298">
        <f>IFERROR(__xludf.DUMMYFUNCTION("""COMPUTED_VALUE"""),0.058014)</f>
        <v>0.058014</v>
      </c>
      <c r="BK100" s="298">
        <f>IFERROR(__xludf.DUMMYFUNCTION("""COMPUTED_VALUE"""),0.058014)</f>
        <v>0.058014</v>
      </c>
      <c r="BL100" s="298">
        <f>IFERROR(__xludf.DUMMYFUNCTION("""COMPUTED_VALUE"""),0.058014)</f>
        <v>0.058014</v>
      </c>
      <c r="BM100" s="298">
        <f>IFERROR(__xludf.DUMMYFUNCTION("""COMPUTED_VALUE"""),0.058014)</f>
        <v>0.058014</v>
      </c>
      <c r="BN100" s="298">
        <f>IFERROR(__xludf.DUMMYFUNCTION("""COMPUTED_VALUE"""),0.058014)</f>
        <v>0.058014</v>
      </c>
    </row>
    <row r="101">
      <c r="L101" s="292"/>
      <c r="M101" s="292" t="str">
        <f>IFERROR(__xludf.DUMMYFUNCTION("""COMPUTED_VALUE"""),"Meal/order")</f>
        <v>Meal/order</v>
      </c>
      <c r="N101" s="296">
        <f>IFERROR(__xludf.DUMMYFUNCTION("""COMPUTED_VALUE"""),7.828282810000001)</f>
        <v>7.82828281</v>
      </c>
      <c r="O101" s="296">
        <f>IFERROR(__xludf.DUMMYFUNCTION("""COMPUTED_VALUE"""),7.76923085)</f>
        <v>7.76923085</v>
      </c>
      <c r="P101" s="296">
        <f>IFERROR(__xludf.DUMMYFUNCTION("""COMPUTED_VALUE"""),7.83511965)</f>
        <v>7.83511965</v>
      </c>
      <c r="Q101" s="296">
        <f>IFERROR(__xludf.DUMMYFUNCTION("""COMPUTED_VALUE"""),7.863534839999999)</f>
        <v>7.86353484</v>
      </c>
      <c r="R101" s="296">
        <f>IFERROR(__xludf.DUMMYFUNCTION("""COMPUTED_VALUE"""),7.877873559999999)</f>
        <v>7.87787356</v>
      </c>
      <c r="S101" s="296">
        <f>IFERROR(__xludf.DUMMYFUNCTION("""COMPUTED_VALUE"""),7.90648985)</f>
        <v>7.90648985</v>
      </c>
      <c r="T101" s="296">
        <f>IFERROR(__xludf.DUMMYFUNCTION("""COMPUTED_VALUE"""),7.91919881)</f>
        <v>7.91919881</v>
      </c>
      <c r="U101" s="296">
        <f>IFERROR(__xludf.DUMMYFUNCTION("""COMPUTED_VALUE"""),7.914324779999999)</f>
        <v>7.91432478</v>
      </c>
      <c r="V101" s="296">
        <f>IFERROR(__xludf.DUMMYFUNCTION("""COMPUTED_VALUE"""),7.918955280000001)</f>
        <v>7.91895528</v>
      </c>
      <c r="W101" s="296">
        <f>IFERROR(__xludf.DUMMYFUNCTION("""COMPUTED_VALUE"""),7.91917163)</f>
        <v>7.91917163</v>
      </c>
      <c r="X101" s="296">
        <f>IFERROR(__xludf.DUMMYFUNCTION("""COMPUTED_VALUE"""),7.913159629999999)</f>
        <v>7.91315963</v>
      </c>
      <c r="Y101" s="296">
        <f>IFERROR(__xludf.DUMMYFUNCTION("""COMPUTED_VALUE"""),7.909830519999999)</f>
        <v>7.90983052</v>
      </c>
      <c r="Z101" s="296">
        <f>IFERROR(__xludf.DUMMYFUNCTION("""COMPUTED_VALUE"""),7.89822408)</f>
        <v>7.89822408</v>
      </c>
      <c r="AA101" s="296">
        <f>IFERROR(__xludf.DUMMYFUNCTION("""COMPUTED_VALUE"""),7.855168999999999)</f>
        <v>7.855169</v>
      </c>
      <c r="AB101" s="296">
        <f>IFERROR(__xludf.DUMMYFUNCTION("""COMPUTED_VALUE"""),7.855168999999999)</f>
        <v>7.855169</v>
      </c>
      <c r="AC101" s="296">
        <f>IFERROR(__xludf.DUMMYFUNCTION("""COMPUTED_VALUE"""),7.855168999999999)</f>
        <v>7.855169</v>
      </c>
      <c r="AD101" s="296">
        <f>IFERROR(__xludf.DUMMYFUNCTION("""COMPUTED_VALUE"""),7.855168999999999)</f>
        <v>7.855169</v>
      </c>
      <c r="AE101" s="296">
        <f>IFERROR(__xludf.DUMMYFUNCTION("""COMPUTED_VALUE"""),7.855168999999999)</f>
        <v>7.855169</v>
      </c>
      <c r="AF101" s="296">
        <f>IFERROR(__xludf.DUMMYFUNCTION("""COMPUTED_VALUE"""),7.855168999999999)</f>
        <v>7.855169</v>
      </c>
      <c r="AG101" s="296">
        <f>IFERROR(__xludf.DUMMYFUNCTION("""COMPUTED_VALUE"""),7.855168999999999)</f>
        <v>7.855169</v>
      </c>
      <c r="AH101" s="296">
        <f>IFERROR(__xludf.DUMMYFUNCTION("""COMPUTED_VALUE"""),7.855168999999999)</f>
        <v>7.855169</v>
      </c>
      <c r="AI101" s="296">
        <f>IFERROR(__xludf.DUMMYFUNCTION("""COMPUTED_VALUE"""),7.855168999999999)</f>
        <v>7.855169</v>
      </c>
      <c r="AJ101" s="296">
        <f>IFERROR(__xludf.DUMMYFUNCTION("""COMPUTED_VALUE"""),7.855168999999999)</f>
        <v>7.855169</v>
      </c>
      <c r="AK101" s="296">
        <f>IFERROR(__xludf.DUMMYFUNCTION("""COMPUTED_VALUE"""),7.855168999999999)</f>
        <v>7.855169</v>
      </c>
      <c r="AL101" s="296">
        <f>IFERROR(__xludf.DUMMYFUNCTION("""COMPUTED_VALUE"""),7.855212999999998)</f>
        <v>7.855213</v>
      </c>
      <c r="AM101" s="296">
        <f>IFERROR(__xludf.DUMMYFUNCTION("""COMPUTED_VALUE"""),7.855611999999999)</f>
        <v>7.855612</v>
      </c>
      <c r="AN101" s="296">
        <f>IFERROR(__xludf.DUMMYFUNCTION("""COMPUTED_VALUE"""),7.905379999999999)</f>
        <v>7.90538</v>
      </c>
      <c r="AO101" s="296">
        <f>IFERROR(__xludf.DUMMYFUNCTION("""COMPUTED_VALUE"""),7.910537999999998)</f>
        <v>7.910538</v>
      </c>
      <c r="AP101" s="296">
        <f>IFERROR(__xludf.DUMMYFUNCTION("""COMPUTED_VALUE"""),7.921589999999999)</f>
        <v>7.92159</v>
      </c>
      <c r="AQ101" s="296">
        <f>IFERROR(__xludf.DUMMYFUNCTION("""COMPUTED_VALUE"""),7.939994999999998)</f>
        <v>7.939995</v>
      </c>
      <c r="AR101" s="296">
        <f>IFERROR(__xludf.DUMMYFUNCTION("""COMPUTED_VALUE"""),7.9645709999999985)</f>
        <v>7.964571</v>
      </c>
      <c r="AS101" s="296">
        <f>IFERROR(__xludf.DUMMYFUNCTION("""COMPUTED_VALUE"""),7.990886)</f>
        <v>7.990886</v>
      </c>
      <c r="AT101" s="296">
        <f>IFERROR(__xludf.DUMMYFUNCTION("""COMPUTED_VALUE"""),8.012799999999999)</f>
        <v>8.0128</v>
      </c>
      <c r="AU101" s="296">
        <f>IFERROR(__xludf.DUMMYFUNCTION("""COMPUTED_VALUE"""),8.024983999999998)</f>
        <v>8.024984</v>
      </c>
      <c r="AV101" s="296">
        <f>IFERROR(__xludf.DUMMYFUNCTION("""COMPUTED_VALUE"""),8.024983999999998)</f>
        <v>8.024984</v>
      </c>
      <c r="AW101" s="296">
        <f>IFERROR(__xludf.DUMMYFUNCTION("""COMPUTED_VALUE"""),8.024983999999998)</f>
        <v>8.024984</v>
      </c>
      <c r="AX101" s="296">
        <f>IFERROR(__xludf.DUMMYFUNCTION("""COMPUTED_VALUE"""),8.024983999999998)</f>
        <v>8.024984</v>
      </c>
      <c r="AY101" s="296">
        <f>IFERROR(__xludf.DUMMYFUNCTION("""COMPUTED_VALUE"""),8.024983999999998)</f>
        <v>8.024984</v>
      </c>
      <c r="AZ101" s="296">
        <f>IFERROR(__xludf.DUMMYFUNCTION("""COMPUTED_VALUE"""),8.024983999999998)</f>
        <v>8.024984</v>
      </c>
      <c r="BA101" s="296">
        <f>IFERROR(__xludf.DUMMYFUNCTION("""COMPUTED_VALUE"""),8.126983999999998)</f>
        <v>8.126984</v>
      </c>
      <c r="BB101" s="296">
        <f>IFERROR(__xludf.DUMMYFUNCTION("""COMPUTED_VALUE"""),8.126983999999998)</f>
        <v>8.126984</v>
      </c>
      <c r="BC101" s="296">
        <f>IFERROR(__xludf.DUMMYFUNCTION("""COMPUTED_VALUE"""),8.126983999999998)</f>
        <v>8.126984</v>
      </c>
      <c r="BD101" s="296">
        <f>IFERROR(__xludf.DUMMYFUNCTION("""COMPUTED_VALUE"""),8.126983999999998)</f>
        <v>8.126984</v>
      </c>
      <c r="BE101" s="296">
        <f>IFERROR(__xludf.DUMMYFUNCTION("""COMPUTED_VALUE"""),8.126983999999998)</f>
        <v>8.126984</v>
      </c>
      <c r="BF101" s="296">
        <f>IFERROR(__xludf.DUMMYFUNCTION("""COMPUTED_VALUE"""),8.126983999999998)</f>
        <v>8.126984</v>
      </c>
      <c r="BG101" s="296">
        <f>IFERROR(__xludf.DUMMYFUNCTION("""COMPUTED_VALUE"""),8.126983999999998)</f>
        <v>8.126984</v>
      </c>
      <c r="BH101" s="296">
        <f>IFERROR(__xludf.DUMMYFUNCTION("""COMPUTED_VALUE"""),8.126983999999998)</f>
        <v>8.126984</v>
      </c>
      <c r="BI101" s="296">
        <f>IFERROR(__xludf.DUMMYFUNCTION("""COMPUTED_VALUE"""),8.126983999999998)</f>
        <v>8.126984</v>
      </c>
      <c r="BJ101" s="296">
        <f>IFERROR(__xludf.DUMMYFUNCTION("""COMPUTED_VALUE"""),8.126983999999998)</f>
        <v>8.126984</v>
      </c>
      <c r="BK101" s="296">
        <f>IFERROR(__xludf.DUMMYFUNCTION("""COMPUTED_VALUE"""),8.126983999999998)</f>
        <v>8.126984</v>
      </c>
      <c r="BL101" s="296">
        <f>IFERROR(__xludf.DUMMYFUNCTION("""COMPUTED_VALUE"""),8.126983999999998)</f>
        <v>8.126984</v>
      </c>
      <c r="BM101" s="296">
        <f>IFERROR(__xludf.DUMMYFUNCTION("""COMPUTED_VALUE"""),8.126983999999998)</f>
        <v>8.126984</v>
      </c>
      <c r="BN101" s="296">
        <f>IFERROR(__xludf.DUMMYFUNCTION("""COMPUTED_VALUE"""),8.126983999999998)</f>
        <v>8.126984</v>
      </c>
    </row>
    <row r="10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c r="AK102" s="292"/>
      <c r="AL102" s="292"/>
      <c r="AM102" s="292"/>
      <c r="AN102" s="292"/>
      <c r="AO102" s="292"/>
      <c r="AP102" s="292"/>
      <c r="AQ102" s="292"/>
      <c r="AR102" s="292"/>
      <c r="AS102" s="292"/>
      <c r="AT102" s="292"/>
      <c r="AU102" s="292"/>
      <c r="AV102" s="292"/>
      <c r="AW102" s="292"/>
      <c r="AX102" s="292"/>
      <c r="AY102" s="292"/>
      <c r="AZ102" s="292"/>
      <c r="BA102" s="292"/>
      <c r="BB102" s="292"/>
      <c r="BC102" s="292"/>
      <c r="BD102" s="292"/>
      <c r="BE102" s="292"/>
      <c r="BF102" s="292"/>
      <c r="BG102" s="292"/>
      <c r="BH102" s="292"/>
      <c r="BI102" s="292"/>
      <c r="BJ102" s="292"/>
      <c r="BK102" s="292"/>
      <c r="BL102" s="292"/>
      <c r="BM102" s="292"/>
      <c r="BN102" s="292"/>
    </row>
    <row r="103">
      <c r="L103" s="292" t="str">
        <f>IFERROR(__xludf.DUMMYFUNCTION("""COMPUTED_VALUE"""),"FR")</f>
        <v>FR</v>
      </c>
      <c r="M103" s="292">
        <f>IFERROR(__xludf.DUMMYFUNCTION("""COMPUTED_VALUE"""),6.0)</f>
        <v>6</v>
      </c>
      <c r="N103" s="298">
        <f>IFERROR(__xludf.DUMMYFUNCTION("""COMPUTED_VALUE"""),0.4918)</f>
        <v>0.4918</v>
      </c>
      <c r="O103" s="298">
        <f>IFERROR(__xludf.DUMMYFUNCTION("""COMPUTED_VALUE"""),0.4918)</f>
        <v>0.4918</v>
      </c>
      <c r="P103" s="298">
        <f>IFERROR(__xludf.DUMMYFUNCTION("""COMPUTED_VALUE"""),0.4918)</f>
        <v>0.4918</v>
      </c>
      <c r="Q103" s="298">
        <f>IFERROR(__xludf.DUMMYFUNCTION("""COMPUTED_VALUE"""),0.4918)</f>
        <v>0.4918</v>
      </c>
      <c r="R103" s="298">
        <f>IFERROR(__xludf.DUMMYFUNCTION("""COMPUTED_VALUE"""),0.4918)</f>
        <v>0.4918</v>
      </c>
      <c r="S103" s="298">
        <f>IFERROR(__xludf.DUMMYFUNCTION("""COMPUTED_VALUE"""),0.4918)</f>
        <v>0.4918</v>
      </c>
      <c r="T103" s="298">
        <f>IFERROR(__xludf.DUMMYFUNCTION("""COMPUTED_VALUE"""),0.4918)</f>
        <v>0.4918</v>
      </c>
      <c r="U103" s="298">
        <f>IFERROR(__xludf.DUMMYFUNCTION("""COMPUTED_VALUE"""),0.4918)</f>
        <v>0.4918</v>
      </c>
      <c r="V103" s="298">
        <f>IFERROR(__xludf.DUMMYFUNCTION("""COMPUTED_VALUE"""),0.4918)</f>
        <v>0.4918</v>
      </c>
      <c r="W103" s="298">
        <f>IFERROR(__xludf.DUMMYFUNCTION("""COMPUTED_VALUE"""),0.4918)</f>
        <v>0.4918</v>
      </c>
      <c r="X103" s="298">
        <f>IFERROR(__xludf.DUMMYFUNCTION("""COMPUTED_VALUE"""),0.4918)</f>
        <v>0.4918</v>
      </c>
      <c r="Y103" s="298">
        <f>IFERROR(__xludf.DUMMYFUNCTION("""COMPUTED_VALUE"""),0.4918)</f>
        <v>0.4918</v>
      </c>
      <c r="Z103" s="298">
        <f>IFERROR(__xludf.DUMMYFUNCTION("""COMPUTED_VALUE"""),0.4918)</f>
        <v>0.4918</v>
      </c>
      <c r="AA103" s="298">
        <f>IFERROR(__xludf.DUMMYFUNCTION("""COMPUTED_VALUE"""),0.4918)</f>
        <v>0.4918</v>
      </c>
      <c r="AB103" s="298">
        <f>IFERROR(__xludf.DUMMYFUNCTION("""COMPUTED_VALUE"""),0.4918)</f>
        <v>0.4918</v>
      </c>
      <c r="AC103" s="298">
        <f>IFERROR(__xludf.DUMMYFUNCTION("""COMPUTED_VALUE"""),0.4918)</f>
        <v>0.4918</v>
      </c>
      <c r="AD103" s="298">
        <f>IFERROR(__xludf.DUMMYFUNCTION("""COMPUTED_VALUE"""),0.4918)</f>
        <v>0.4918</v>
      </c>
      <c r="AE103" s="298">
        <f>IFERROR(__xludf.DUMMYFUNCTION("""COMPUTED_VALUE"""),0.4918)</f>
        <v>0.4918</v>
      </c>
      <c r="AF103" s="298">
        <f>IFERROR(__xludf.DUMMYFUNCTION("""COMPUTED_VALUE"""),0.4918)</f>
        <v>0.4918</v>
      </c>
      <c r="AG103" s="298">
        <f>IFERROR(__xludf.DUMMYFUNCTION("""COMPUTED_VALUE"""),0.4918)</f>
        <v>0.4918</v>
      </c>
      <c r="AH103" s="298">
        <f>IFERROR(__xludf.DUMMYFUNCTION("""COMPUTED_VALUE"""),0.4918)</f>
        <v>0.4918</v>
      </c>
      <c r="AI103" s="298">
        <f>IFERROR(__xludf.DUMMYFUNCTION("""COMPUTED_VALUE"""),0.4918)</f>
        <v>0.4918</v>
      </c>
      <c r="AJ103" s="298">
        <f>IFERROR(__xludf.DUMMYFUNCTION("""COMPUTED_VALUE"""),0.4918)</f>
        <v>0.4918</v>
      </c>
      <c r="AK103" s="298">
        <f>IFERROR(__xludf.DUMMYFUNCTION("""COMPUTED_VALUE"""),0.4918)</f>
        <v>0.4918</v>
      </c>
      <c r="AL103" s="298">
        <f>IFERROR(__xludf.DUMMYFUNCTION("""COMPUTED_VALUE"""),0.4918)</f>
        <v>0.4918</v>
      </c>
      <c r="AM103" s="298">
        <f>IFERROR(__xludf.DUMMYFUNCTION("""COMPUTED_VALUE"""),0.4918)</f>
        <v>0.4918</v>
      </c>
      <c r="AN103" s="298">
        <f>IFERROR(__xludf.DUMMYFUNCTION("""COMPUTED_VALUE"""),0.4918)</f>
        <v>0.4918</v>
      </c>
      <c r="AO103" s="298">
        <f>IFERROR(__xludf.DUMMYFUNCTION("""COMPUTED_VALUE"""),0.4918)</f>
        <v>0.4918</v>
      </c>
      <c r="AP103" s="298">
        <f>IFERROR(__xludf.DUMMYFUNCTION("""COMPUTED_VALUE"""),0.4918)</f>
        <v>0.4918</v>
      </c>
      <c r="AQ103" s="298">
        <f>IFERROR(__xludf.DUMMYFUNCTION("""COMPUTED_VALUE"""),0.4918)</f>
        <v>0.4918</v>
      </c>
      <c r="AR103" s="298">
        <f>IFERROR(__xludf.DUMMYFUNCTION("""COMPUTED_VALUE"""),0.4918)</f>
        <v>0.4918</v>
      </c>
      <c r="AS103" s="298">
        <f>IFERROR(__xludf.DUMMYFUNCTION("""COMPUTED_VALUE"""),0.4918)</f>
        <v>0.4918</v>
      </c>
      <c r="AT103" s="298">
        <f>IFERROR(__xludf.DUMMYFUNCTION("""COMPUTED_VALUE"""),0.4918)</f>
        <v>0.4918</v>
      </c>
      <c r="AU103" s="298">
        <f>IFERROR(__xludf.DUMMYFUNCTION("""COMPUTED_VALUE"""),0.4918)</f>
        <v>0.4918</v>
      </c>
      <c r="AV103" s="298">
        <f>IFERROR(__xludf.DUMMYFUNCTION("""COMPUTED_VALUE"""),0.4918)</f>
        <v>0.4918</v>
      </c>
      <c r="AW103" s="298">
        <f>IFERROR(__xludf.DUMMYFUNCTION("""COMPUTED_VALUE"""),0.4918)</f>
        <v>0.4918</v>
      </c>
      <c r="AX103" s="298">
        <f>IFERROR(__xludf.DUMMYFUNCTION("""COMPUTED_VALUE"""),0.4918)</f>
        <v>0.4918</v>
      </c>
      <c r="AY103" s="298">
        <f>IFERROR(__xludf.DUMMYFUNCTION("""COMPUTED_VALUE"""),0.4918)</f>
        <v>0.4918</v>
      </c>
      <c r="AZ103" s="298">
        <f>IFERROR(__xludf.DUMMYFUNCTION("""COMPUTED_VALUE"""),0.4918)</f>
        <v>0.4918</v>
      </c>
      <c r="BA103" s="298">
        <f>IFERROR(__xludf.DUMMYFUNCTION("""COMPUTED_VALUE"""),0.4918)</f>
        <v>0.4918</v>
      </c>
      <c r="BB103" s="298">
        <f>IFERROR(__xludf.DUMMYFUNCTION("""COMPUTED_VALUE"""),0.4918)</f>
        <v>0.4918</v>
      </c>
      <c r="BC103" s="298">
        <f>IFERROR(__xludf.DUMMYFUNCTION("""COMPUTED_VALUE"""),0.4918)</f>
        <v>0.4918</v>
      </c>
      <c r="BD103" s="298">
        <f>IFERROR(__xludf.DUMMYFUNCTION("""COMPUTED_VALUE"""),0.4918)</f>
        <v>0.4918</v>
      </c>
      <c r="BE103" s="298">
        <f>IFERROR(__xludf.DUMMYFUNCTION("""COMPUTED_VALUE"""),0.4918)</f>
        <v>0.4918</v>
      </c>
      <c r="BF103" s="298">
        <f>IFERROR(__xludf.DUMMYFUNCTION("""COMPUTED_VALUE"""),0.4918)</f>
        <v>0.4918</v>
      </c>
      <c r="BG103" s="298">
        <f>IFERROR(__xludf.DUMMYFUNCTION("""COMPUTED_VALUE"""),0.4918)</f>
        <v>0.4918</v>
      </c>
      <c r="BH103" s="298">
        <f>IFERROR(__xludf.DUMMYFUNCTION("""COMPUTED_VALUE"""),0.4918)</f>
        <v>0.4918</v>
      </c>
      <c r="BI103" s="298">
        <f>IFERROR(__xludf.DUMMYFUNCTION("""COMPUTED_VALUE"""),0.4918)</f>
        <v>0.4918</v>
      </c>
      <c r="BJ103" s="298">
        <f>IFERROR(__xludf.DUMMYFUNCTION("""COMPUTED_VALUE"""),0.4918)</f>
        <v>0.4918</v>
      </c>
      <c r="BK103" s="298">
        <f>IFERROR(__xludf.DUMMYFUNCTION("""COMPUTED_VALUE"""),0.4918)</f>
        <v>0.4918</v>
      </c>
      <c r="BL103" s="298">
        <f>IFERROR(__xludf.DUMMYFUNCTION("""COMPUTED_VALUE"""),0.4918)</f>
        <v>0.4918</v>
      </c>
      <c r="BM103" s="298">
        <f>IFERROR(__xludf.DUMMYFUNCTION("""COMPUTED_VALUE"""),0.4918)</f>
        <v>0.4918</v>
      </c>
      <c r="BN103" s="298">
        <f>IFERROR(__xludf.DUMMYFUNCTION("""COMPUTED_VALUE"""),0.4918)</f>
        <v>0.4918</v>
      </c>
    </row>
    <row r="104">
      <c r="L104" s="292"/>
      <c r="M104" s="292">
        <f>IFERROR(__xludf.DUMMYFUNCTION("""COMPUTED_VALUE"""),8.0)</f>
        <v>8</v>
      </c>
      <c r="N104" s="298">
        <f>IFERROR(__xludf.DUMMYFUNCTION("""COMPUTED_VALUE"""),0.2433)</f>
        <v>0.2433</v>
      </c>
      <c r="O104" s="298">
        <f>IFERROR(__xludf.DUMMYFUNCTION("""COMPUTED_VALUE"""),0.2433)</f>
        <v>0.2433</v>
      </c>
      <c r="P104" s="298">
        <f>IFERROR(__xludf.DUMMYFUNCTION("""COMPUTED_VALUE"""),0.2433)</f>
        <v>0.2433</v>
      </c>
      <c r="Q104" s="298">
        <f>IFERROR(__xludf.DUMMYFUNCTION("""COMPUTED_VALUE"""),0.2433)</f>
        <v>0.2433</v>
      </c>
      <c r="R104" s="298">
        <f>IFERROR(__xludf.DUMMYFUNCTION("""COMPUTED_VALUE"""),0.2433)</f>
        <v>0.2433</v>
      </c>
      <c r="S104" s="298">
        <f>IFERROR(__xludf.DUMMYFUNCTION("""COMPUTED_VALUE"""),0.2433)</f>
        <v>0.2433</v>
      </c>
      <c r="T104" s="298">
        <f>IFERROR(__xludf.DUMMYFUNCTION("""COMPUTED_VALUE"""),0.2433)</f>
        <v>0.2433</v>
      </c>
      <c r="U104" s="298">
        <f>IFERROR(__xludf.DUMMYFUNCTION("""COMPUTED_VALUE"""),0.2433)</f>
        <v>0.2433</v>
      </c>
      <c r="V104" s="298">
        <f>IFERROR(__xludf.DUMMYFUNCTION("""COMPUTED_VALUE"""),0.2433)</f>
        <v>0.2433</v>
      </c>
      <c r="W104" s="298">
        <f>IFERROR(__xludf.DUMMYFUNCTION("""COMPUTED_VALUE"""),0.2433)</f>
        <v>0.2433</v>
      </c>
      <c r="X104" s="298">
        <f>IFERROR(__xludf.DUMMYFUNCTION("""COMPUTED_VALUE"""),0.2433)</f>
        <v>0.2433</v>
      </c>
      <c r="Y104" s="298">
        <f>IFERROR(__xludf.DUMMYFUNCTION("""COMPUTED_VALUE"""),0.2433)</f>
        <v>0.2433</v>
      </c>
      <c r="Z104" s="298">
        <f>IFERROR(__xludf.DUMMYFUNCTION("""COMPUTED_VALUE"""),0.2433)</f>
        <v>0.2433</v>
      </c>
      <c r="AA104" s="298">
        <f>IFERROR(__xludf.DUMMYFUNCTION("""COMPUTED_VALUE"""),0.2433)</f>
        <v>0.2433</v>
      </c>
      <c r="AB104" s="298">
        <f>IFERROR(__xludf.DUMMYFUNCTION("""COMPUTED_VALUE"""),0.2433)</f>
        <v>0.2433</v>
      </c>
      <c r="AC104" s="298">
        <f>IFERROR(__xludf.DUMMYFUNCTION("""COMPUTED_VALUE"""),0.2433)</f>
        <v>0.2433</v>
      </c>
      <c r="AD104" s="298">
        <f>IFERROR(__xludf.DUMMYFUNCTION("""COMPUTED_VALUE"""),0.2433)</f>
        <v>0.2433</v>
      </c>
      <c r="AE104" s="298">
        <f>IFERROR(__xludf.DUMMYFUNCTION("""COMPUTED_VALUE"""),0.2433)</f>
        <v>0.2433</v>
      </c>
      <c r="AF104" s="298">
        <f>IFERROR(__xludf.DUMMYFUNCTION("""COMPUTED_VALUE"""),0.2433)</f>
        <v>0.2433</v>
      </c>
      <c r="AG104" s="298">
        <f>IFERROR(__xludf.DUMMYFUNCTION("""COMPUTED_VALUE"""),0.2433)</f>
        <v>0.2433</v>
      </c>
      <c r="AH104" s="298">
        <f>IFERROR(__xludf.DUMMYFUNCTION("""COMPUTED_VALUE"""),0.2433)</f>
        <v>0.2433</v>
      </c>
      <c r="AI104" s="298">
        <f>IFERROR(__xludf.DUMMYFUNCTION("""COMPUTED_VALUE"""),0.2433)</f>
        <v>0.2433</v>
      </c>
      <c r="AJ104" s="298">
        <f>IFERROR(__xludf.DUMMYFUNCTION("""COMPUTED_VALUE"""),0.2433)</f>
        <v>0.2433</v>
      </c>
      <c r="AK104" s="298">
        <f>IFERROR(__xludf.DUMMYFUNCTION("""COMPUTED_VALUE"""),0.2433)</f>
        <v>0.2433</v>
      </c>
      <c r="AL104" s="298">
        <f>IFERROR(__xludf.DUMMYFUNCTION("""COMPUTED_VALUE"""),0.2433)</f>
        <v>0.2433</v>
      </c>
      <c r="AM104" s="298">
        <f>IFERROR(__xludf.DUMMYFUNCTION("""COMPUTED_VALUE"""),0.2433)</f>
        <v>0.2433</v>
      </c>
      <c r="AN104" s="298">
        <f>IFERROR(__xludf.DUMMYFUNCTION("""COMPUTED_VALUE"""),0.2433)</f>
        <v>0.2433</v>
      </c>
      <c r="AO104" s="298">
        <f>IFERROR(__xludf.DUMMYFUNCTION("""COMPUTED_VALUE"""),0.2433)</f>
        <v>0.2433</v>
      </c>
      <c r="AP104" s="298">
        <f>IFERROR(__xludf.DUMMYFUNCTION("""COMPUTED_VALUE"""),0.2433)</f>
        <v>0.2433</v>
      </c>
      <c r="AQ104" s="298">
        <f>IFERROR(__xludf.DUMMYFUNCTION("""COMPUTED_VALUE"""),0.2433)</f>
        <v>0.2433</v>
      </c>
      <c r="AR104" s="298">
        <f>IFERROR(__xludf.DUMMYFUNCTION("""COMPUTED_VALUE"""),0.2433)</f>
        <v>0.2433</v>
      </c>
      <c r="AS104" s="298">
        <f>IFERROR(__xludf.DUMMYFUNCTION("""COMPUTED_VALUE"""),0.2433)</f>
        <v>0.2433</v>
      </c>
      <c r="AT104" s="298">
        <f>IFERROR(__xludf.DUMMYFUNCTION("""COMPUTED_VALUE"""),0.2433)</f>
        <v>0.2433</v>
      </c>
      <c r="AU104" s="298">
        <f>IFERROR(__xludf.DUMMYFUNCTION("""COMPUTED_VALUE"""),0.2433)</f>
        <v>0.2433</v>
      </c>
      <c r="AV104" s="298">
        <f>IFERROR(__xludf.DUMMYFUNCTION("""COMPUTED_VALUE"""),0.2433)</f>
        <v>0.2433</v>
      </c>
      <c r="AW104" s="298">
        <f>IFERROR(__xludf.DUMMYFUNCTION("""COMPUTED_VALUE"""),0.2433)</f>
        <v>0.2433</v>
      </c>
      <c r="AX104" s="298">
        <f>IFERROR(__xludf.DUMMYFUNCTION("""COMPUTED_VALUE"""),0.2433)</f>
        <v>0.2433</v>
      </c>
      <c r="AY104" s="298">
        <f>IFERROR(__xludf.DUMMYFUNCTION("""COMPUTED_VALUE"""),0.2433)</f>
        <v>0.2433</v>
      </c>
      <c r="AZ104" s="298">
        <f>IFERROR(__xludf.DUMMYFUNCTION("""COMPUTED_VALUE"""),0.2433)</f>
        <v>0.2433</v>
      </c>
      <c r="BA104" s="298">
        <f>IFERROR(__xludf.DUMMYFUNCTION("""COMPUTED_VALUE"""),0.2433)</f>
        <v>0.2433</v>
      </c>
      <c r="BB104" s="298">
        <f>IFERROR(__xludf.DUMMYFUNCTION("""COMPUTED_VALUE"""),0.2433)</f>
        <v>0.2433</v>
      </c>
      <c r="BC104" s="298">
        <f>IFERROR(__xludf.DUMMYFUNCTION("""COMPUTED_VALUE"""),0.2433)</f>
        <v>0.2433</v>
      </c>
      <c r="BD104" s="298">
        <f>IFERROR(__xludf.DUMMYFUNCTION("""COMPUTED_VALUE"""),0.2433)</f>
        <v>0.2433</v>
      </c>
      <c r="BE104" s="298">
        <f>IFERROR(__xludf.DUMMYFUNCTION("""COMPUTED_VALUE"""),0.2433)</f>
        <v>0.2433</v>
      </c>
      <c r="BF104" s="298">
        <f>IFERROR(__xludf.DUMMYFUNCTION("""COMPUTED_VALUE"""),0.2433)</f>
        <v>0.2433</v>
      </c>
      <c r="BG104" s="298">
        <f>IFERROR(__xludf.DUMMYFUNCTION("""COMPUTED_VALUE"""),0.2433)</f>
        <v>0.2433</v>
      </c>
      <c r="BH104" s="298">
        <f>IFERROR(__xludf.DUMMYFUNCTION("""COMPUTED_VALUE"""),0.2433)</f>
        <v>0.2433</v>
      </c>
      <c r="BI104" s="298">
        <f>IFERROR(__xludf.DUMMYFUNCTION("""COMPUTED_VALUE"""),0.2433)</f>
        <v>0.2433</v>
      </c>
      <c r="BJ104" s="298">
        <f>IFERROR(__xludf.DUMMYFUNCTION("""COMPUTED_VALUE"""),0.2433)</f>
        <v>0.2433</v>
      </c>
      <c r="BK104" s="298">
        <f>IFERROR(__xludf.DUMMYFUNCTION("""COMPUTED_VALUE"""),0.2433)</f>
        <v>0.2433</v>
      </c>
      <c r="BL104" s="298">
        <f>IFERROR(__xludf.DUMMYFUNCTION("""COMPUTED_VALUE"""),0.2433)</f>
        <v>0.2433</v>
      </c>
      <c r="BM104" s="298">
        <f>IFERROR(__xludf.DUMMYFUNCTION("""COMPUTED_VALUE"""),0.2433)</f>
        <v>0.2433</v>
      </c>
      <c r="BN104" s="298">
        <f>IFERROR(__xludf.DUMMYFUNCTION("""COMPUTED_VALUE"""),0.2433)</f>
        <v>0.2433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1" max="1" width="35.25"/>
    <col hidden="1" min="2" max="13" width="12.63"/>
  </cols>
  <sheetData>
    <row r="1">
      <c r="A1" s="299"/>
      <c r="B1" s="300">
        <f>'Volume Development'!B14</f>
        <v>50424</v>
      </c>
      <c r="C1" s="300">
        <f>'Volume Development'!C14</f>
        <v>72317</v>
      </c>
      <c r="D1" s="300">
        <f>'Volume Development'!D14</f>
        <v>97195</v>
      </c>
      <c r="E1" s="300">
        <f>'Volume Development'!E14</f>
        <v>104810</v>
      </c>
      <c r="F1" s="300">
        <f>'Volume Development'!F14</f>
        <v>105534</v>
      </c>
      <c r="G1" s="300">
        <f>'Volume Development'!G14</f>
        <v>115011</v>
      </c>
      <c r="H1" s="300">
        <f>'Volume Development'!H14</f>
        <v>114124</v>
      </c>
      <c r="I1" s="300">
        <f>'Volume Development'!I14</f>
        <v>113188</v>
      </c>
      <c r="J1" s="300">
        <f>'Volume Development'!J14</f>
        <v>111596</v>
      </c>
      <c r="K1" s="300">
        <f>'Volume Development'!K14</f>
        <v>111468</v>
      </c>
      <c r="L1" s="300">
        <f>'Volume Development'!L14</f>
        <v>111552</v>
      </c>
      <c r="M1" s="300">
        <f>'Volume Development'!M14</f>
        <v>108303</v>
      </c>
      <c r="N1" s="300">
        <f>'Volume Development'!N14</f>
        <v>102449</v>
      </c>
      <c r="O1" s="300">
        <f>'Volume Development'!O14</f>
        <v>101162</v>
      </c>
      <c r="P1" s="300">
        <f>'Volume Development'!P14</f>
        <v>89526</v>
      </c>
      <c r="Q1" s="300">
        <f>'Volume Development'!Q14</f>
        <v>89602</v>
      </c>
      <c r="R1" s="300">
        <f>'Volume Development'!R14</f>
        <v>94435</v>
      </c>
      <c r="S1" s="300">
        <f>'Volume Development'!S14</f>
        <v>96855</v>
      </c>
      <c r="T1" s="300">
        <f>'Volume Development'!T14</f>
        <v>91564.04521</v>
      </c>
      <c r="U1" s="300">
        <f>'Volume Development'!U14</f>
        <v>96320.57686</v>
      </c>
      <c r="V1" s="300">
        <f>'Volume Development'!V14</f>
        <v>94607.06309</v>
      </c>
      <c r="W1" s="300">
        <f>'Volume Development'!W14</f>
        <v>93306.69799</v>
      </c>
      <c r="X1" s="300">
        <f>'Volume Development'!X14</f>
        <v>97109.83144</v>
      </c>
      <c r="Y1" s="300">
        <f>'Volume Development'!Y14</f>
        <v>94770.26665</v>
      </c>
      <c r="Z1" s="300">
        <f>'Volume Development'!Z14</f>
        <v>94018.85899</v>
      </c>
      <c r="AA1" s="300">
        <f>'Volume Development'!AA14</f>
        <v>91768.27403</v>
      </c>
      <c r="AB1" s="300">
        <f>'Volume Development'!AB14</f>
        <v>91839.04569</v>
      </c>
      <c r="AC1" s="300">
        <f>'Volume Development'!AC14</f>
        <v>87183.68776</v>
      </c>
      <c r="AD1" s="300">
        <f>'Volume Development'!AD14</f>
        <v>81417.29017</v>
      </c>
      <c r="AE1" s="300">
        <f>'Volume Development'!AE14</f>
        <v>77331.32839</v>
      </c>
      <c r="AF1" s="300">
        <f>'Volume Development'!AF14</f>
        <v>77290.84968</v>
      </c>
      <c r="AG1" s="300">
        <f>'Volume Development'!AG14</f>
        <v>79262.82874</v>
      </c>
      <c r="AH1" s="300">
        <f>'Volume Development'!AH14</f>
        <v>84794.2964</v>
      </c>
      <c r="AI1" s="300">
        <f>'Volume Development'!AI14</f>
        <v>94709.68333</v>
      </c>
      <c r="AJ1" s="300">
        <f>'Volume Development'!AJ14</f>
        <v>99479.92326</v>
      </c>
      <c r="AK1" s="300">
        <f>'Volume Development'!AK14</f>
        <v>105129.2208</v>
      </c>
      <c r="AL1" s="300">
        <f>'Volume Development'!AL14</f>
        <v>117041.4295</v>
      </c>
      <c r="AM1" s="300">
        <f>'Volume Development'!AM14</f>
        <v>128475.8442</v>
      </c>
      <c r="AN1" s="300">
        <f>'Volume Development'!AN14</f>
        <v>137268.1358</v>
      </c>
      <c r="AO1" s="300">
        <f>'Volume Development'!AO14</f>
        <v>148374.0916</v>
      </c>
      <c r="AP1" s="300">
        <f>'Volume Development'!AP14</f>
        <v>152892.8252</v>
      </c>
      <c r="AQ1" s="300">
        <f>'Volume Development'!AQ14</f>
        <v>146998.3616</v>
      </c>
      <c r="AR1" s="300">
        <f>'Volume Development'!AR14</f>
        <v>148101.7234</v>
      </c>
      <c r="AS1" s="300">
        <f>'Volume Development'!AS14</f>
        <v>145999.2839</v>
      </c>
      <c r="AT1" s="300">
        <f>'Volume Development'!AT14</f>
        <v>152122.9726</v>
      </c>
      <c r="AU1" s="300">
        <f>'Volume Development'!AU14</f>
        <v>152795.9749</v>
      </c>
      <c r="AV1" s="300">
        <f>'Volume Development'!AV14</f>
        <v>148002.7542</v>
      </c>
      <c r="AW1" s="300">
        <f>'Volume Development'!AW14</f>
        <v>149317.4243</v>
      </c>
      <c r="AX1" s="300">
        <f>'Volume Development'!AX14</f>
        <v>147621.1677</v>
      </c>
      <c r="AY1" s="300">
        <f>'Volume Development'!AY14</f>
        <v>133513.8388</v>
      </c>
      <c r="AZ1" s="300">
        <f>'Volume Development'!AZ14</f>
        <v>119937.9799</v>
      </c>
      <c r="BA1" s="300">
        <f>'Volume Development'!BA14</f>
        <v>74599.90376</v>
      </c>
    </row>
    <row r="2">
      <c r="A2" s="299" t="s">
        <v>233</v>
      </c>
      <c r="B2" s="301"/>
      <c r="C2" s="301"/>
      <c r="D2" s="301"/>
      <c r="E2" s="301"/>
      <c r="F2" s="301"/>
      <c r="G2" s="301"/>
      <c r="H2" s="301"/>
      <c r="I2" s="301"/>
      <c r="J2" s="301"/>
      <c r="K2" s="301"/>
      <c r="L2" s="301"/>
      <c r="M2" s="301"/>
      <c r="N2" s="302" t="s">
        <v>234</v>
      </c>
      <c r="O2" s="303" t="s">
        <v>235</v>
      </c>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1"/>
      <c r="AV2" s="301"/>
      <c r="AW2" s="301"/>
      <c r="AX2" s="301"/>
      <c r="AY2" s="301"/>
      <c r="AZ2" s="301"/>
      <c r="BA2" s="301"/>
    </row>
    <row r="3">
      <c r="A3" s="304" t="str">
        <f>'Volume Development'!A34</f>
        <v>BENL Volume</v>
      </c>
      <c r="B3" s="35" t="str">
        <f>'Volume Development'!B34</f>
        <v>2026-W01</v>
      </c>
      <c r="C3" s="35" t="str">
        <f>'Volume Development'!C34</f>
        <v>2026-W02</v>
      </c>
      <c r="D3" s="35" t="str">
        <f>'Volume Development'!D34</f>
        <v>2026-W03</v>
      </c>
      <c r="E3" s="35" t="str">
        <f>'Volume Development'!E34</f>
        <v>2026-W04</v>
      </c>
      <c r="F3" s="35" t="str">
        <f>'Volume Development'!F34</f>
        <v>2026-W05</v>
      </c>
      <c r="G3" s="35" t="str">
        <f>'Volume Development'!G34</f>
        <v>2026-W06</v>
      </c>
      <c r="H3" s="35" t="str">
        <f>'Volume Development'!H34</f>
        <v>2026-W07</v>
      </c>
      <c r="I3" s="35" t="str">
        <f>'Volume Development'!I34</f>
        <v>2026-W08</v>
      </c>
      <c r="J3" s="35" t="str">
        <f>'Volume Development'!J34</f>
        <v>2026-W09</v>
      </c>
      <c r="K3" s="35" t="str">
        <f>'Volume Development'!K34</f>
        <v>2026-W10</v>
      </c>
      <c r="L3" s="35" t="str">
        <f>'Volume Development'!L34</f>
        <v>2026-W11</v>
      </c>
      <c r="M3" s="35" t="str">
        <f>'Volume Development'!M34</f>
        <v>2026-W12</v>
      </c>
      <c r="N3" s="305" t="str">
        <f>'Volume Development'!N34</f>
        <v>2026-W13</v>
      </c>
      <c r="O3" s="35" t="str">
        <f>'Volume Development'!O34</f>
        <v>2026-W14</v>
      </c>
      <c r="P3" s="35" t="str">
        <f>'Volume Development'!P34</f>
        <v>2026-W15</v>
      </c>
      <c r="Q3" s="35" t="str">
        <f>'Volume Development'!Q34</f>
        <v>2026-W16</v>
      </c>
      <c r="R3" s="35" t="str">
        <f>'Volume Development'!R34</f>
        <v>2026-W17</v>
      </c>
      <c r="S3" s="35" t="str">
        <f>'Volume Development'!S34</f>
        <v>2026-W18</v>
      </c>
      <c r="T3" s="35" t="str">
        <f>'Volume Development'!T34</f>
        <v>2026-W19</v>
      </c>
      <c r="U3" s="35" t="str">
        <f>'Volume Development'!U34</f>
        <v>2026-W20</v>
      </c>
      <c r="V3" s="35" t="str">
        <f>'Volume Development'!V34</f>
        <v>2026-W21</v>
      </c>
      <c r="W3" s="35" t="str">
        <f>'Volume Development'!W34</f>
        <v>2026-W22</v>
      </c>
      <c r="X3" s="35" t="str">
        <f>'Volume Development'!X34</f>
        <v>2026-W23</v>
      </c>
      <c r="Y3" s="35" t="str">
        <f>'Volume Development'!Y34</f>
        <v>2026-W24</v>
      </c>
      <c r="Z3" s="35" t="str">
        <f>'Volume Development'!Z34</f>
        <v>2026-W25</v>
      </c>
      <c r="AA3" s="35" t="str">
        <f>'Volume Development'!AA34</f>
        <v>2026-W26</v>
      </c>
      <c r="AB3" s="35" t="str">
        <f>'Volume Development'!AB34</f>
        <v>2026-W27</v>
      </c>
      <c r="AC3" s="35" t="str">
        <f>'Volume Development'!AC34</f>
        <v>2026-W28</v>
      </c>
      <c r="AD3" s="35" t="str">
        <f>'Volume Development'!AD34</f>
        <v>2026-W29</v>
      </c>
      <c r="AE3" s="35" t="str">
        <f>'Volume Development'!AE34</f>
        <v>2026-W30</v>
      </c>
      <c r="AF3" s="35" t="str">
        <f>'Volume Development'!AF34</f>
        <v>2026-W31</v>
      </c>
      <c r="AG3" s="35" t="str">
        <f>'Volume Development'!AG34</f>
        <v>2026-W32</v>
      </c>
      <c r="AH3" s="35" t="str">
        <f>'Volume Development'!AH34</f>
        <v>2026-W33</v>
      </c>
      <c r="AI3" s="35" t="str">
        <f>'Volume Development'!AI34</f>
        <v>2026-W34</v>
      </c>
      <c r="AJ3" s="35" t="str">
        <f>'Volume Development'!AJ34</f>
        <v>2026-W35</v>
      </c>
      <c r="AK3" s="35" t="str">
        <f>'Volume Development'!AK34</f>
        <v>2026-W36</v>
      </c>
      <c r="AL3" s="35" t="str">
        <f>'Volume Development'!AL34</f>
        <v>2026-W37</v>
      </c>
      <c r="AM3" s="35" t="str">
        <f>'Volume Development'!AM34</f>
        <v>2026-W38</v>
      </c>
      <c r="AN3" s="35" t="str">
        <f>'Volume Development'!AN34</f>
        <v>2026-W39</v>
      </c>
      <c r="AO3" s="35" t="str">
        <f>'Volume Development'!AO34</f>
        <v>2026-W40</v>
      </c>
      <c r="AP3" s="35" t="str">
        <f>'Volume Development'!AP34</f>
        <v>2026-W41</v>
      </c>
      <c r="AQ3" s="35" t="str">
        <f>'Volume Development'!AQ34</f>
        <v>2026-W42</v>
      </c>
      <c r="AR3" s="35" t="str">
        <f>'Volume Development'!AR34</f>
        <v>2026-W43</v>
      </c>
      <c r="AS3" s="35" t="str">
        <f>'Volume Development'!AS34</f>
        <v>2026-W44</v>
      </c>
      <c r="AT3" s="35" t="str">
        <f>'Volume Development'!AT34</f>
        <v>2026-W45</v>
      </c>
      <c r="AU3" s="35" t="str">
        <f>'Volume Development'!AU34</f>
        <v>2026-W46</v>
      </c>
      <c r="AV3" s="35" t="str">
        <f>'Volume Development'!AV34</f>
        <v>2026-W47</v>
      </c>
      <c r="AW3" s="35" t="str">
        <f>'Volume Development'!AW34</f>
        <v>2026-W48</v>
      </c>
      <c r="AX3" s="35" t="str">
        <f>'Volume Development'!AX34</f>
        <v>2026-W49</v>
      </c>
      <c r="AY3" s="35" t="str">
        <f>'Volume Development'!AY34</f>
        <v>2026-W50</v>
      </c>
      <c r="AZ3" s="35" t="str">
        <f>'Volume Development'!AZ34</f>
        <v>2026-W51</v>
      </c>
      <c r="BA3" s="35" t="str">
        <f>'Volume Development'!BA34</f>
        <v>2026-W52</v>
      </c>
    </row>
    <row r="4">
      <c r="A4" s="74" t="str">
        <f>'Volume Development'!A35</f>
        <v>Verden Meal Volume</v>
      </c>
      <c r="B4" s="75">
        <f>'Volume Development'!B35</f>
        <v>0</v>
      </c>
      <c r="C4" s="75">
        <f>'Volume Development'!C35</f>
        <v>0</v>
      </c>
      <c r="D4" s="75">
        <f>'Volume Development'!D35</f>
        <v>0</v>
      </c>
      <c r="E4" s="75">
        <f>'Volume Development'!E35</f>
        <v>0</v>
      </c>
      <c r="F4" s="75">
        <f>'Volume Development'!F35</f>
        <v>0</v>
      </c>
      <c r="G4" s="75">
        <f>'Volume Development'!G35</f>
        <v>0</v>
      </c>
      <c r="H4" s="75">
        <f>'Volume Development'!H35</f>
        <v>0</v>
      </c>
      <c r="I4" s="75">
        <f>'Volume Development'!I35</f>
        <v>0</v>
      </c>
      <c r="J4" s="75">
        <f>'Volume Development'!J35</f>
        <v>0</v>
      </c>
      <c r="K4" s="75">
        <f>'Volume Development'!K35</f>
        <v>0</v>
      </c>
      <c r="L4" s="75">
        <f>'Volume Development'!L35</f>
        <v>0</v>
      </c>
      <c r="M4" s="75">
        <f>'Volume Development'!M35</f>
        <v>0</v>
      </c>
      <c r="N4" s="75">
        <f>'Volume Development'!N35</f>
        <v>0</v>
      </c>
      <c r="O4" s="75">
        <f>'Volume Development'!O35</f>
        <v>0</v>
      </c>
      <c r="P4" s="75">
        <f>'Volume Development'!P35</f>
        <v>0</v>
      </c>
      <c r="Q4" s="75">
        <f>'Volume Development'!Q35</f>
        <v>0</v>
      </c>
      <c r="R4" s="75">
        <f>'Volume Development'!R35</f>
        <v>0</v>
      </c>
      <c r="S4" s="75">
        <f>'Volume Development'!S35</f>
        <v>1434.75</v>
      </c>
      <c r="T4" s="75">
        <f>'Volume Development'!T35</f>
        <v>0</v>
      </c>
      <c r="U4" s="75">
        <f>'Volume Development'!U35</f>
        <v>10592.02115</v>
      </c>
      <c r="V4" s="75">
        <f>'Volume Development'!V35</f>
        <v>12122.11249</v>
      </c>
      <c r="W4" s="75">
        <f>'Volume Development'!W35</f>
        <v>24071.85202</v>
      </c>
      <c r="X4" s="75">
        <f>'Volume Development'!X35</f>
        <v>32466.26744</v>
      </c>
      <c r="Y4" s="75">
        <f>'Volume Development'!Y35</f>
        <v>34840.63394</v>
      </c>
      <c r="Z4" s="75">
        <f>'Volume Development'!Z35</f>
        <v>40548.78645</v>
      </c>
      <c r="AA4" s="75">
        <f>'Volume Development'!AA35</f>
        <v>42696.3578</v>
      </c>
      <c r="AB4" s="75">
        <f>'Volume Development'!AB35</f>
        <v>42472.2167</v>
      </c>
      <c r="AC4" s="75">
        <f>'Volume Development'!AC35</f>
        <v>40238.76735</v>
      </c>
      <c r="AD4" s="75">
        <f>'Volume Development'!AD35</f>
        <v>37431.37797</v>
      </c>
      <c r="AE4" s="75">
        <f>'Volume Development'!AE35</f>
        <v>36628.37945</v>
      </c>
      <c r="AF4" s="75">
        <f>'Volume Development'!AF35</f>
        <v>40909.45114</v>
      </c>
      <c r="AG4" s="75">
        <f>'Volume Development'!AG35</f>
        <v>41336.14679</v>
      </c>
      <c r="AH4" s="75">
        <f>'Volume Development'!AH35</f>
        <v>42674.2085</v>
      </c>
      <c r="AI4" s="75">
        <f>'Volume Development'!AI35</f>
        <v>48091.9437</v>
      </c>
      <c r="AJ4" s="75">
        <f>'Volume Development'!AJ35</f>
        <v>50209.63736</v>
      </c>
      <c r="AK4" s="75">
        <f>'Volume Development'!AK35</f>
        <v>53620.33939</v>
      </c>
      <c r="AL4" s="75">
        <f>'Volume Development'!AL35</f>
        <v>60151.87449</v>
      </c>
      <c r="AM4" s="75">
        <f>'Volume Development'!AM35</f>
        <v>65915.9353</v>
      </c>
      <c r="AN4" s="75">
        <f>'Volume Development'!AN35</f>
        <v>70337.97837</v>
      </c>
      <c r="AO4" s="75">
        <f>'Volume Development'!AO35</f>
        <v>76489.61946</v>
      </c>
      <c r="AP4" s="75">
        <f>'Volume Development'!AP35</f>
        <v>78230.75375</v>
      </c>
      <c r="AQ4" s="75">
        <f>'Volume Development'!AQ35</f>
        <v>75584.90256</v>
      </c>
      <c r="AR4" s="75">
        <f>'Volume Development'!AR35</f>
        <v>76143.40813</v>
      </c>
      <c r="AS4" s="75">
        <f>'Volume Development'!AS35</f>
        <v>74526.99042</v>
      </c>
      <c r="AT4" s="75">
        <f>'Volume Development'!AT35</f>
        <v>79780.51285</v>
      </c>
      <c r="AU4" s="75">
        <f>'Volume Development'!AU35</f>
        <v>78099.1517</v>
      </c>
      <c r="AV4" s="75">
        <f>'Volume Development'!AV35</f>
        <v>78801.64712</v>
      </c>
      <c r="AW4" s="75">
        <f>'Volume Development'!AW35</f>
        <v>79242.52978</v>
      </c>
      <c r="AX4" s="75">
        <f>'Volume Development'!AX35</f>
        <v>78888.89764</v>
      </c>
      <c r="AY4" s="75">
        <f>'Volume Development'!AY35</f>
        <v>70943.24421</v>
      </c>
      <c r="AZ4" s="75">
        <f>'Volume Development'!AZ35</f>
        <v>65297.67182</v>
      </c>
      <c r="BA4" s="75">
        <f>'Volume Development'!BA35</f>
        <v>40851.56391</v>
      </c>
    </row>
    <row r="5">
      <c r="A5" s="74" t="str">
        <f>'Volume Development'!A36</f>
        <v>Coman Meal Volume</v>
      </c>
      <c r="B5" s="75">
        <f>'Volume Development'!B36</f>
        <v>24401</v>
      </c>
      <c r="C5" s="75">
        <f>'Volume Development'!C36</f>
        <v>35504</v>
      </c>
      <c r="D5" s="75">
        <f>'Volume Development'!D36</f>
        <v>43447</v>
      </c>
      <c r="E5" s="75">
        <f>'Volume Development'!E36</f>
        <v>45885</v>
      </c>
      <c r="F5" s="75">
        <f>'Volume Development'!F36</f>
        <v>46331</v>
      </c>
      <c r="G5" s="75">
        <f>'Volume Development'!G36</f>
        <v>51533</v>
      </c>
      <c r="H5" s="75">
        <f>'Volume Development'!H36</f>
        <v>51483</v>
      </c>
      <c r="I5" s="75">
        <f>'Volume Development'!I36</f>
        <v>50756</v>
      </c>
      <c r="J5" s="75">
        <f>'Volume Development'!J36</f>
        <v>51337</v>
      </c>
      <c r="K5" s="75">
        <f>'Volume Development'!K36</f>
        <v>53790</v>
      </c>
      <c r="L5" s="75">
        <f>'Volume Development'!L36</f>
        <v>54005</v>
      </c>
      <c r="M5" s="75">
        <f>'Volume Development'!M36</f>
        <v>53231</v>
      </c>
      <c r="N5" s="75">
        <f>'Volume Development'!N36</f>
        <v>49514</v>
      </c>
      <c r="O5" s="75">
        <f>'Volume Development'!O36</f>
        <v>52390</v>
      </c>
      <c r="P5" s="75">
        <f>'Volume Development'!P36</f>
        <v>43528</v>
      </c>
      <c r="Q5" s="75">
        <f>'Volume Development'!Q36</f>
        <v>44018</v>
      </c>
      <c r="R5" s="75">
        <f>'Volume Development'!R36</f>
        <v>47062</v>
      </c>
      <c r="S5" s="75">
        <f>'Volume Development'!S36</f>
        <v>46390.25</v>
      </c>
      <c r="T5" s="75">
        <f>'Volume Development'!T36</f>
        <v>46935.59925</v>
      </c>
      <c r="U5" s="75">
        <f>'Volume Development'!U36</f>
        <v>39966.55237</v>
      </c>
      <c r="V5" s="75">
        <f>'Volume Development'!V36</f>
        <v>37275.24893</v>
      </c>
      <c r="W5" s="75">
        <f>'Volume Development'!W36</f>
        <v>25357.00223</v>
      </c>
      <c r="X5" s="75">
        <f>'Volume Development'!X36</f>
        <v>19010.29422</v>
      </c>
      <c r="Y5" s="75">
        <f>'Volume Development'!Y36</f>
        <v>15609.16904</v>
      </c>
      <c r="Z5" s="75">
        <f>'Volume Development'!Z36</f>
        <v>10010.79765</v>
      </c>
      <c r="AA5" s="75">
        <f>'Volume Development'!AA36</f>
        <v>6652.183346</v>
      </c>
      <c r="AB5" s="75">
        <f>'Volume Development'!AB36</f>
        <v>6617.261687</v>
      </c>
      <c r="AC5" s="75">
        <f>'Volume Development'!AC36</f>
        <v>6269.285527</v>
      </c>
      <c r="AD5" s="75">
        <f>'Volume Development'!AD36</f>
        <v>5831.888293</v>
      </c>
      <c r="AE5" s="75">
        <f>'Volume Development'!AE36</f>
        <v>4652.336711</v>
      </c>
      <c r="AF5" s="75">
        <f>'Volume Development'!AF36</f>
        <v>0</v>
      </c>
      <c r="AG5" s="75">
        <f>'Volume Development'!AG36</f>
        <v>0</v>
      </c>
      <c r="AH5" s="75">
        <f>'Volume Development'!AH36</f>
        <v>0</v>
      </c>
      <c r="AI5" s="75">
        <f>'Volume Development'!AI36</f>
        <v>0</v>
      </c>
      <c r="AJ5" s="75">
        <f>'Volume Development'!AJ36</f>
        <v>0</v>
      </c>
      <c r="AK5" s="75">
        <f>'Volume Development'!AK36</f>
        <v>0</v>
      </c>
      <c r="AL5" s="75">
        <f>'Volume Development'!AL36</f>
        <v>0</v>
      </c>
      <c r="AM5" s="75">
        <f>'Volume Development'!AM36</f>
        <v>0</v>
      </c>
      <c r="AN5" s="75">
        <f>'Volume Development'!AN36</f>
        <v>0</v>
      </c>
      <c r="AO5" s="75">
        <f>'Volume Development'!AO36</f>
        <v>0</v>
      </c>
      <c r="AP5" s="75">
        <f>'Volume Development'!AP36</f>
        <v>0</v>
      </c>
      <c r="AQ5" s="75">
        <f>'Volume Development'!AQ36</f>
        <v>0</v>
      </c>
      <c r="AR5" s="75">
        <f>'Volume Development'!AR36</f>
        <v>0</v>
      </c>
      <c r="AS5" s="75">
        <f>'Volume Development'!AS36</f>
        <v>0</v>
      </c>
      <c r="AT5" s="75">
        <f>'Volume Development'!AT36</f>
        <v>0</v>
      </c>
      <c r="AU5" s="75">
        <f>'Volume Development'!AU36</f>
        <v>0</v>
      </c>
      <c r="AV5" s="75">
        <f>'Volume Development'!AV36</f>
        <v>0</v>
      </c>
      <c r="AW5" s="75">
        <f>'Volume Development'!AW36</f>
        <v>0</v>
      </c>
      <c r="AX5" s="75">
        <f>'Volume Development'!AX36</f>
        <v>0</v>
      </c>
      <c r="AY5" s="75">
        <f>'Volume Development'!AY36</f>
        <v>0</v>
      </c>
      <c r="AZ5" s="75">
        <f>'Volume Development'!AZ36</f>
        <v>0</v>
      </c>
      <c r="BA5" s="75">
        <f>'Volume Development'!BA36</f>
        <v>0</v>
      </c>
    </row>
    <row r="6">
      <c r="A6" s="306"/>
    </row>
    <row r="7">
      <c r="A7" s="307" t="s">
        <v>236</v>
      </c>
      <c r="B7" s="12">
        <f t="shared" ref="B7:I7" si="1">roundup(B4/320,0)</f>
        <v>0</v>
      </c>
      <c r="C7" s="12">
        <f t="shared" si="1"/>
        <v>0</v>
      </c>
      <c r="D7" s="12">
        <f t="shared" si="1"/>
        <v>0</v>
      </c>
      <c r="E7" s="12">
        <f t="shared" si="1"/>
        <v>0</v>
      </c>
      <c r="F7" s="12">
        <f t="shared" si="1"/>
        <v>0</v>
      </c>
      <c r="G7" s="12">
        <f t="shared" si="1"/>
        <v>0</v>
      </c>
      <c r="H7" s="12">
        <f t="shared" si="1"/>
        <v>0</v>
      </c>
      <c r="I7" s="12">
        <f t="shared" si="1"/>
        <v>0</v>
      </c>
      <c r="J7" s="12">
        <f t="shared" ref="J7:BA7" si="2">roundup(J4/288,0)</f>
        <v>0</v>
      </c>
      <c r="K7" s="12">
        <f t="shared" si="2"/>
        <v>0</v>
      </c>
      <c r="L7" s="12">
        <f t="shared" si="2"/>
        <v>0</v>
      </c>
      <c r="M7" s="12">
        <f t="shared" si="2"/>
        <v>0</v>
      </c>
      <c r="N7" s="12">
        <f t="shared" si="2"/>
        <v>0</v>
      </c>
      <c r="O7" s="12">
        <f t="shared" si="2"/>
        <v>0</v>
      </c>
      <c r="P7" s="12">
        <f t="shared" si="2"/>
        <v>0</v>
      </c>
      <c r="Q7" s="12">
        <f t="shared" si="2"/>
        <v>0</v>
      </c>
      <c r="R7" s="12">
        <f t="shared" si="2"/>
        <v>0</v>
      </c>
      <c r="S7" s="12">
        <f t="shared" si="2"/>
        <v>5</v>
      </c>
      <c r="T7" s="12">
        <f t="shared" si="2"/>
        <v>0</v>
      </c>
      <c r="U7" s="12">
        <f t="shared" si="2"/>
        <v>37</v>
      </c>
      <c r="V7" s="12">
        <f t="shared" si="2"/>
        <v>43</v>
      </c>
      <c r="W7" s="12">
        <f t="shared" si="2"/>
        <v>84</v>
      </c>
      <c r="X7" s="12">
        <f t="shared" si="2"/>
        <v>113</v>
      </c>
      <c r="Y7" s="12">
        <f t="shared" si="2"/>
        <v>121</v>
      </c>
      <c r="Z7" s="12">
        <f t="shared" si="2"/>
        <v>141</v>
      </c>
      <c r="AA7" s="12">
        <f t="shared" si="2"/>
        <v>149</v>
      </c>
      <c r="AB7" s="12">
        <f t="shared" si="2"/>
        <v>148</v>
      </c>
      <c r="AC7" s="12">
        <f t="shared" si="2"/>
        <v>140</v>
      </c>
      <c r="AD7" s="12">
        <f t="shared" si="2"/>
        <v>130</v>
      </c>
      <c r="AE7" s="12">
        <f t="shared" si="2"/>
        <v>128</v>
      </c>
      <c r="AF7" s="12">
        <f t="shared" si="2"/>
        <v>143</v>
      </c>
      <c r="AG7" s="12">
        <f t="shared" si="2"/>
        <v>144</v>
      </c>
      <c r="AH7" s="12">
        <f t="shared" si="2"/>
        <v>149</v>
      </c>
      <c r="AI7" s="12">
        <f t="shared" si="2"/>
        <v>167</v>
      </c>
      <c r="AJ7" s="12">
        <f t="shared" si="2"/>
        <v>175</v>
      </c>
      <c r="AK7" s="12">
        <f t="shared" si="2"/>
        <v>187</v>
      </c>
      <c r="AL7" s="12">
        <f t="shared" si="2"/>
        <v>209</v>
      </c>
      <c r="AM7" s="12">
        <f t="shared" si="2"/>
        <v>229</v>
      </c>
      <c r="AN7" s="12">
        <f t="shared" si="2"/>
        <v>245</v>
      </c>
      <c r="AO7" s="12">
        <f t="shared" si="2"/>
        <v>266</v>
      </c>
      <c r="AP7" s="12">
        <f t="shared" si="2"/>
        <v>272</v>
      </c>
      <c r="AQ7" s="12">
        <f t="shared" si="2"/>
        <v>263</v>
      </c>
      <c r="AR7" s="12">
        <f t="shared" si="2"/>
        <v>265</v>
      </c>
      <c r="AS7" s="12">
        <f t="shared" si="2"/>
        <v>259</v>
      </c>
      <c r="AT7" s="12">
        <f t="shared" si="2"/>
        <v>278</v>
      </c>
      <c r="AU7" s="12">
        <f t="shared" si="2"/>
        <v>272</v>
      </c>
      <c r="AV7" s="12">
        <f t="shared" si="2"/>
        <v>274</v>
      </c>
      <c r="AW7" s="12">
        <f t="shared" si="2"/>
        <v>276</v>
      </c>
      <c r="AX7" s="12">
        <f t="shared" si="2"/>
        <v>274</v>
      </c>
      <c r="AY7" s="12">
        <f t="shared" si="2"/>
        <v>247</v>
      </c>
      <c r="AZ7" s="12">
        <f t="shared" si="2"/>
        <v>227</v>
      </c>
      <c r="BA7" s="12">
        <f t="shared" si="2"/>
        <v>142</v>
      </c>
    </row>
    <row r="8">
      <c r="A8" s="307" t="s">
        <v>237</v>
      </c>
      <c r="B8" s="12">
        <f t="shared" ref="B8:BA8" si="3">roundup(B7/2,0)</f>
        <v>0</v>
      </c>
      <c r="C8" s="12">
        <f t="shared" si="3"/>
        <v>0</v>
      </c>
      <c r="D8" s="12">
        <f t="shared" si="3"/>
        <v>0</v>
      </c>
      <c r="E8" s="12">
        <f t="shared" si="3"/>
        <v>0</v>
      </c>
      <c r="F8" s="12">
        <f t="shared" si="3"/>
        <v>0</v>
      </c>
      <c r="G8" s="12">
        <f t="shared" si="3"/>
        <v>0</v>
      </c>
      <c r="H8" s="12">
        <f t="shared" si="3"/>
        <v>0</v>
      </c>
      <c r="I8" s="12">
        <f t="shared" si="3"/>
        <v>0</v>
      </c>
      <c r="J8" s="12">
        <f t="shared" si="3"/>
        <v>0</v>
      </c>
      <c r="K8" s="12">
        <f t="shared" si="3"/>
        <v>0</v>
      </c>
      <c r="L8" s="12">
        <f t="shared" si="3"/>
        <v>0</v>
      </c>
      <c r="M8" s="12">
        <f t="shared" si="3"/>
        <v>0</v>
      </c>
      <c r="N8" s="12">
        <f t="shared" si="3"/>
        <v>0</v>
      </c>
      <c r="O8" s="12">
        <f t="shared" si="3"/>
        <v>0</v>
      </c>
      <c r="P8" s="12">
        <f t="shared" si="3"/>
        <v>0</v>
      </c>
      <c r="Q8" s="12">
        <f t="shared" si="3"/>
        <v>0</v>
      </c>
      <c r="R8" s="12">
        <f t="shared" si="3"/>
        <v>0</v>
      </c>
      <c r="S8" s="12">
        <f t="shared" si="3"/>
        <v>3</v>
      </c>
      <c r="T8" s="12">
        <f t="shared" si="3"/>
        <v>0</v>
      </c>
      <c r="U8" s="12">
        <f t="shared" si="3"/>
        <v>19</v>
      </c>
      <c r="V8" s="12">
        <f t="shared" si="3"/>
        <v>22</v>
      </c>
      <c r="W8" s="12">
        <f t="shared" si="3"/>
        <v>42</v>
      </c>
      <c r="X8" s="12">
        <f t="shared" si="3"/>
        <v>57</v>
      </c>
      <c r="Y8" s="12">
        <f t="shared" si="3"/>
        <v>61</v>
      </c>
      <c r="Z8" s="12">
        <f t="shared" si="3"/>
        <v>71</v>
      </c>
      <c r="AA8" s="12">
        <f t="shared" si="3"/>
        <v>75</v>
      </c>
      <c r="AB8" s="12">
        <f t="shared" si="3"/>
        <v>74</v>
      </c>
      <c r="AC8" s="12">
        <f t="shared" si="3"/>
        <v>70</v>
      </c>
      <c r="AD8" s="12">
        <f t="shared" si="3"/>
        <v>65</v>
      </c>
      <c r="AE8" s="12">
        <f t="shared" si="3"/>
        <v>64</v>
      </c>
      <c r="AF8" s="12">
        <f t="shared" si="3"/>
        <v>72</v>
      </c>
      <c r="AG8" s="12">
        <f t="shared" si="3"/>
        <v>72</v>
      </c>
      <c r="AH8" s="12">
        <f t="shared" si="3"/>
        <v>75</v>
      </c>
      <c r="AI8" s="12">
        <f t="shared" si="3"/>
        <v>84</v>
      </c>
      <c r="AJ8" s="12">
        <f t="shared" si="3"/>
        <v>88</v>
      </c>
      <c r="AK8" s="12">
        <f t="shared" si="3"/>
        <v>94</v>
      </c>
      <c r="AL8" s="12">
        <f t="shared" si="3"/>
        <v>105</v>
      </c>
      <c r="AM8" s="12">
        <f t="shared" si="3"/>
        <v>115</v>
      </c>
      <c r="AN8" s="12">
        <f t="shared" si="3"/>
        <v>123</v>
      </c>
      <c r="AO8" s="12">
        <f t="shared" si="3"/>
        <v>133</v>
      </c>
      <c r="AP8" s="12">
        <f t="shared" si="3"/>
        <v>136</v>
      </c>
      <c r="AQ8" s="12">
        <f t="shared" si="3"/>
        <v>132</v>
      </c>
      <c r="AR8" s="12">
        <f t="shared" si="3"/>
        <v>133</v>
      </c>
      <c r="AS8" s="12">
        <f t="shared" si="3"/>
        <v>130</v>
      </c>
      <c r="AT8" s="12">
        <f t="shared" si="3"/>
        <v>139</v>
      </c>
      <c r="AU8" s="12">
        <f t="shared" si="3"/>
        <v>136</v>
      </c>
      <c r="AV8" s="12">
        <f t="shared" si="3"/>
        <v>137</v>
      </c>
      <c r="AW8" s="12">
        <f t="shared" si="3"/>
        <v>138</v>
      </c>
      <c r="AX8" s="12">
        <f t="shared" si="3"/>
        <v>137</v>
      </c>
      <c r="AY8" s="12">
        <f t="shared" si="3"/>
        <v>124</v>
      </c>
      <c r="AZ8" s="12">
        <f t="shared" si="3"/>
        <v>114</v>
      </c>
      <c r="BA8" s="12">
        <f t="shared" si="3"/>
        <v>71</v>
      </c>
    </row>
    <row r="9">
      <c r="A9" s="307" t="s">
        <v>238</v>
      </c>
      <c r="B9" s="12">
        <f t="shared" ref="B9:BA9" si="4">roundup(B7*1.1,0)</f>
        <v>0</v>
      </c>
      <c r="C9" s="12">
        <f t="shared" si="4"/>
        <v>0</v>
      </c>
      <c r="D9" s="12">
        <f t="shared" si="4"/>
        <v>0</v>
      </c>
      <c r="E9" s="12">
        <f t="shared" si="4"/>
        <v>0</v>
      </c>
      <c r="F9" s="12">
        <f t="shared" si="4"/>
        <v>0</v>
      </c>
      <c r="G9" s="12">
        <f t="shared" si="4"/>
        <v>0</v>
      </c>
      <c r="H9" s="12">
        <f t="shared" si="4"/>
        <v>0</v>
      </c>
      <c r="I9" s="12">
        <f t="shared" si="4"/>
        <v>0</v>
      </c>
      <c r="J9" s="12">
        <f t="shared" si="4"/>
        <v>0</v>
      </c>
      <c r="K9" s="12">
        <f t="shared" si="4"/>
        <v>0</v>
      </c>
      <c r="L9" s="12">
        <f t="shared" si="4"/>
        <v>0</v>
      </c>
      <c r="M9" s="12">
        <f t="shared" si="4"/>
        <v>0</v>
      </c>
      <c r="N9" s="12">
        <f t="shared" si="4"/>
        <v>0</v>
      </c>
      <c r="O9" s="12">
        <f t="shared" si="4"/>
        <v>0</v>
      </c>
      <c r="P9" s="12">
        <f t="shared" si="4"/>
        <v>0</v>
      </c>
      <c r="Q9" s="12">
        <f t="shared" si="4"/>
        <v>0</v>
      </c>
      <c r="R9" s="12">
        <f t="shared" si="4"/>
        <v>0</v>
      </c>
      <c r="S9" s="12">
        <f t="shared" si="4"/>
        <v>6</v>
      </c>
      <c r="T9" s="12">
        <f t="shared" si="4"/>
        <v>0</v>
      </c>
      <c r="U9" s="12">
        <f t="shared" si="4"/>
        <v>41</v>
      </c>
      <c r="V9" s="12">
        <f t="shared" si="4"/>
        <v>48</v>
      </c>
      <c r="W9" s="12">
        <f t="shared" si="4"/>
        <v>93</v>
      </c>
      <c r="X9" s="12">
        <f t="shared" si="4"/>
        <v>125</v>
      </c>
      <c r="Y9" s="12">
        <f t="shared" si="4"/>
        <v>134</v>
      </c>
      <c r="Z9" s="12">
        <f t="shared" si="4"/>
        <v>156</v>
      </c>
      <c r="AA9" s="12">
        <f t="shared" si="4"/>
        <v>164</v>
      </c>
      <c r="AB9" s="12">
        <f t="shared" si="4"/>
        <v>163</v>
      </c>
      <c r="AC9" s="12">
        <f t="shared" si="4"/>
        <v>154</v>
      </c>
      <c r="AD9" s="12">
        <f t="shared" si="4"/>
        <v>143</v>
      </c>
      <c r="AE9" s="12">
        <f t="shared" si="4"/>
        <v>141</v>
      </c>
      <c r="AF9" s="12">
        <f t="shared" si="4"/>
        <v>158</v>
      </c>
      <c r="AG9" s="12">
        <f t="shared" si="4"/>
        <v>159</v>
      </c>
      <c r="AH9" s="12">
        <f t="shared" si="4"/>
        <v>164</v>
      </c>
      <c r="AI9" s="12">
        <f t="shared" si="4"/>
        <v>184</v>
      </c>
      <c r="AJ9" s="12">
        <f t="shared" si="4"/>
        <v>193</v>
      </c>
      <c r="AK9" s="12">
        <f t="shared" si="4"/>
        <v>206</v>
      </c>
      <c r="AL9" s="12">
        <f t="shared" si="4"/>
        <v>230</v>
      </c>
      <c r="AM9" s="12">
        <f t="shared" si="4"/>
        <v>252</v>
      </c>
      <c r="AN9" s="12">
        <f t="shared" si="4"/>
        <v>270</v>
      </c>
      <c r="AO9" s="12">
        <f t="shared" si="4"/>
        <v>293</v>
      </c>
      <c r="AP9" s="12">
        <f t="shared" si="4"/>
        <v>300</v>
      </c>
      <c r="AQ9" s="12">
        <f t="shared" si="4"/>
        <v>290</v>
      </c>
      <c r="AR9" s="12">
        <f t="shared" si="4"/>
        <v>292</v>
      </c>
      <c r="AS9" s="12">
        <f t="shared" si="4"/>
        <v>285</v>
      </c>
      <c r="AT9" s="12">
        <f t="shared" si="4"/>
        <v>306</v>
      </c>
      <c r="AU9" s="12">
        <f t="shared" si="4"/>
        <v>300</v>
      </c>
      <c r="AV9" s="12">
        <f t="shared" si="4"/>
        <v>302</v>
      </c>
      <c r="AW9" s="12">
        <f t="shared" si="4"/>
        <v>304</v>
      </c>
      <c r="AX9" s="12">
        <f t="shared" si="4"/>
        <v>302</v>
      </c>
      <c r="AY9" s="12">
        <f t="shared" si="4"/>
        <v>272</v>
      </c>
      <c r="AZ9" s="12">
        <f t="shared" si="4"/>
        <v>250</v>
      </c>
      <c r="BA9" s="12">
        <f t="shared" si="4"/>
        <v>157</v>
      </c>
    </row>
    <row r="10">
      <c r="A10" s="307" t="s">
        <v>239</v>
      </c>
      <c r="B10" s="12">
        <f t="shared" ref="B10:BA10" si="5">roundup(B8*1.1,0)</f>
        <v>0</v>
      </c>
      <c r="C10" s="12">
        <f t="shared" si="5"/>
        <v>0</v>
      </c>
      <c r="D10" s="12">
        <f t="shared" si="5"/>
        <v>0</v>
      </c>
      <c r="E10" s="12">
        <f t="shared" si="5"/>
        <v>0</v>
      </c>
      <c r="F10" s="12">
        <f t="shared" si="5"/>
        <v>0</v>
      </c>
      <c r="G10" s="12">
        <f t="shared" si="5"/>
        <v>0</v>
      </c>
      <c r="H10" s="12">
        <f t="shared" si="5"/>
        <v>0</v>
      </c>
      <c r="I10" s="12">
        <f t="shared" si="5"/>
        <v>0</v>
      </c>
      <c r="J10" s="12">
        <f t="shared" si="5"/>
        <v>0</v>
      </c>
      <c r="K10" s="12">
        <f t="shared" si="5"/>
        <v>0</v>
      </c>
      <c r="L10" s="12">
        <f t="shared" si="5"/>
        <v>0</v>
      </c>
      <c r="M10" s="12">
        <f t="shared" si="5"/>
        <v>0</v>
      </c>
      <c r="N10" s="12">
        <f t="shared" si="5"/>
        <v>0</v>
      </c>
      <c r="O10" s="12">
        <f t="shared" si="5"/>
        <v>0</v>
      </c>
      <c r="P10" s="12">
        <f t="shared" si="5"/>
        <v>0</v>
      </c>
      <c r="Q10" s="12">
        <f t="shared" si="5"/>
        <v>0</v>
      </c>
      <c r="R10" s="12">
        <f t="shared" si="5"/>
        <v>0</v>
      </c>
      <c r="S10" s="12">
        <f t="shared" si="5"/>
        <v>4</v>
      </c>
      <c r="T10" s="12">
        <f t="shared" si="5"/>
        <v>0</v>
      </c>
      <c r="U10" s="12">
        <f t="shared" si="5"/>
        <v>21</v>
      </c>
      <c r="V10" s="12">
        <f t="shared" si="5"/>
        <v>25</v>
      </c>
      <c r="W10" s="12">
        <f t="shared" si="5"/>
        <v>47</v>
      </c>
      <c r="X10" s="12">
        <f t="shared" si="5"/>
        <v>63</v>
      </c>
      <c r="Y10" s="12">
        <f t="shared" si="5"/>
        <v>68</v>
      </c>
      <c r="Z10" s="12">
        <f t="shared" si="5"/>
        <v>79</v>
      </c>
      <c r="AA10" s="12">
        <f t="shared" si="5"/>
        <v>83</v>
      </c>
      <c r="AB10" s="12">
        <f t="shared" si="5"/>
        <v>82</v>
      </c>
      <c r="AC10" s="12">
        <f t="shared" si="5"/>
        <v>77</v>
      </c>
      <c r="AD10" s="12">
        <f t="shared" si="5"/>
        <v>72</v>
      </c>
      <c r="AE10" s="12">
        <f t="shared" si="5"/>
        <v>71</v>
      </c>
      <c r="AF10" s="12">
        <f t="shared" si="5"/>
        <v>80</v>
      </c>
      <c r="AG10" s="12">
        <f t="shared" si="5"/>
        <v>80</v>
      </c>
      <c r="AH10" s="12">
        <f t="shared" si="5"/>
        <v>83</v>
      </c>
      <c r="AI10" s="12">
        <f t="shared" si="5"/>
        <v>93</v>
      </c>
      <c r="AJ10" s="12">
        <f t="shared" si="5"/>
        <v>97</v>
      </c>
      <c r="AK10" s="12">
        <f t="shared" si="5"/>
        <v>104</v>
      </c>
      <c r="AL10" s="12">
        <f t="shared" si="5"/>
        <v>116</v>
      </c>
      <c r="AM10" s="12">
        <f t="shared" si="5"/>
        <v>127</v>
      </c>
      <c r="AN10" s="12">
        <f t="shared" si="5"/>
        <v>136</v>
      </c>
      <c r="AO10" s="12">
        <f t="shared" si="5"/>
        <v>147</v>
      </c>
      <c r="AP10" s="12">
        <f t="shared" si="5"/>
        <v>150</v>
      </c>
      <c r="AQ10" s="12">
        <f t="shared" si="5"/>
        <v>146</v>
      </c>
      <c r="AR10" s="12">
        <f t="shared" si="5"/>
        <v>147</v>
      </c>
      <c r="AS10" s="12">
        <f t="shared" si="5"/>
        <v>143</v>
      </c>
      <c r="AT10" s="12">
        <f t="shared" si="5"/>
        <v>153</v>
      </c>
      <c r="AU10" s="12">
        <f t="shared" si="5"/>
        <v>150</v>
      </c>
      <c r="AV10" s="12">
        <f t="shared" si="5"/>
        <v>151</v>
      </c>
      <c r="AW10" s="12">
        <f t="shared" si="5"/>
        <v>152</v>
      </c>
      <c r="AX10" s="12">
        <f t="shared" si="5"/>
        <v>151</v>
      </c>
      <c r="AY10" s="12">
        <f t="shared" si="5"/>
        <v>137</v>
      </c>
      <c r="AZ10" s="12">
        <f t="shared" si="5"/>
        <v>126</v>
      </c>
      <c r="BA10" s="12">
        <f t="shared" si="5"/>
        <v>79</v>
      </c>
    </row>
    <row r="11">
      <c r="A11" s="306"/>
    </row>
    <row r="12">
      <c r="A12" s="308" t="s">
        <v>240</v>
      </c>
      <c r="B12" s="309">
        <f t="shared" ref="B12:B13" si="8">ceiling(B9/33,1)</f>
        <v>0</v>
      </c>
      <c r="C12" s="309">
        <f t="shared" ref="C12:Y12" si="6">ceiling(C7/33,1)</f>
        <v>0</v>
      </c>
      <c r="D12" s="309">
        <f t="shared" si="6"/>
        <v>0</v>
      </c>
      <c r="E12" s="309">
        <f t="shared" si="6"/>
        <v>0</v>
      </c>
      <c r="F12" s="309">
        <f t="shared" si="6"/>
        <v>0</v>
      </c>
      <c r="G12" s="309">
        <f t="shared" si="6"/>
        <v>0</v>
      </c>
      <c r="H12" s="309">
        <f t="shared" si="6"/>
        <v>0</v>
      </c>
      <c r="I12" s="309">
        <f t="shared" si="6"/>
        <v>0</v>
      </c>
      <c r="J12" s="309">
        <f t="shared" si="6"/>
        <v>0</v>
      </c>
      <c r="K12" s="309">
        <f t="shared" si="6"/>
        <v>0</v>
      </c>
      <c r="L12" s="309">
        <f t="shared" si="6"/>
        <v>0</v>
      </c>
      <c r="M12" s="309">
        <f t="shared" si="6"/>
        <v>0</v>
      </c>
      <c r="N12" s="309">
        <f t="shared" si="6"/>
        <v>0</v>
      </c>
      <c r="O12" s="309">
        <f t="shared" si="6"/>
        <v>0</v>
      </c>
      <c r="P12" s="309">
        <f t="shared" si="6"/>
        <v>0</v>
      </c>
      <c r="Q12" s="309">
        <f t="shared" si="6"/>
        <v>0</v>
      </c>
      <c r="R12" s="309">
        <f t="shared" si="6"/>
        <v>0</v>
      </c>
      <c r="S12" s="309">
        <f t="shared" si="6"/>
        <v>1</v>
      </c>
      <c r="T12" s="309">
        <f t="shared" si="6"/>
        <v>0</v>
      </c>
      <c r="U12" s="309">
        <f t="shared" si="6"/>
        <v>2</v>
      </c>
      <c r="V12" s="309">
        <f t="shared" si="6"/>
        <v>2</v>
      </c>
      <c r="W12" s="309">
        <f t="shared" si="6"/>
        <v>3</v>
      </c>
      <c r="X12" s="309">
        <f t="shared" si="6"/>
        <v>4</v>
      </c>
      <c r="Y12" s="309">
        <f t="shared" si="6"/>
        <v>4</v>
      </c>
      <c r="Z12" s="309">
        <f t="shared" ref="Z12:BA12" si="7">ceiling(Z7/33,1)</f>
        <v>5</v>
      </c>
      <c r="AA12" s="309">
        <f t="shared" si="7"/>
        <v>5</v>
      </c>
      <c r="AB12" s="309">
        <f t="shared" si="7"/>
        <v>5</v>
      </c>
      <c r="AC12" s="309">
        <f t="shared" si="7"/>
        <v>5</v>
      </c>
      <c r="AD12" s="309">
        <f t="shared" si="7"/>
        <v>4</v>
      </c>
      <c r="AE12" s="309">
        <f t="shared" si="7"/>
        <v>4</v>
      </c>
      <c r="AF12" s="309">
        <f t="shared" si="7"/>
        <v>5</v>
      </c>
      <c r="AG12" s="309">
        <f t="shared" si="7"/>
        <v>5</v>
      </c>
      <c r="AH12" s="309">
        <f t="shared" si="7"/>
        <v>5</v>
      </c>
      <c r="AI12" s="309">
        <f t="shared" si="7"/>
        <v>6</v>
      </c>
      <c r="AJ12" s="309">
        <f t="shared" si="7"/>
        <v>6</v>
      </c>
      <c r="AK12" s="309">
        <f t="shared" si="7"/>
        <v>6</v>
      </c>
      <c r="AL12" s="309">
        <f t="shared" si="7"/>
        <v>7</v>
      </c>
      <c r="AM12" s="309">
        <f t="shared" si="7"/>
        <v>7</v>
      </c>
      <c r="AN12" s="309">
        <f t="shared" si="7"/>
        <v>8</v>
      </c>
      <c r="AO12" s="309">
        <f t="shared" si="7"/>
        <v>9</v>
      </c>
      <c r="AP12" s="309">
        <f t="shared" si="7"/>
        <v>9</v>
      </c>
      <c r="AQ12" s="309">
        <f t="shared" si="7"/>
        <v>8</v>
      </c>
      <c r="AR12" s="309">
        <f t="shared" si="7"/>
        <v>9</v>
      </c>
      <c r="AS12" s="309">
        <f t="shared" si="7"/>
        <v>8</v>
      </c>
      <c r="AT12" s="309">
        <f t="shared" si="7"/>
        <v>9</v>
      </c>
      <c r="AU12" s="309">
        <f t="shared" si="7"/>
        <v>9</v>
      </c>
      <c r="AV12" s="309">
        <f t="shared" si="7"/>
        <v>9</v>
      </c>
      <c r="AW12" s="309">
        <f t="shared" si="7"/>
        <v>9</v>
      </c>
      <c r="AX12" s="309">
        <f t="shared" si="7"/>
        <v>9</v>
      </c>
      <c r="AY12" s="309">
        <f t="shared" si="7"/>
        <v>8</v>
      </c>
      <c r="AZ12" s="309">
        <f t="shared" si="7"/>
        <v>7</v>
      </c>
      <c r="BA12" s="309">
        <f t="shared" si="7"/>
        <v>5</v>
      </c>
    </row>
    <row r="13">
      <c r="A13" s="308" t="s">
        <v>241</v>
      </c>
      <c r="B13" s="309">
        <f t="shared" si="8"/>
        <v>0</v>
      </c>
      <c r="C13" s="309">
        <f t="shared" ref="C13:BA13" si="9">ceiling(C10/33,1)</f>
        <v>0</v>
      </c>
      <c r="D13" s="309">
        <f t="shared" si="9"/>
        <v>0</v>
      </c>
      <c r="E13" s="309">
        <f t="shared" si="9"/>
        <v>0</v>
      </c>
      <c r="F13" s="309">
        <f t="shared" si="9"/>
        <v>0</v>
      </c>
      <c r="G13" s="309">
        <f t="shared" si="9"/>
        <v>0</v>
      </c>
      <c r="H13" s="309">
        <f t="shared" si="9"/>
        <v>0</v>
      </c>
      <c r="I13" s="309">
        <f t="shared" si="9"/>
        <v>0</v>
      </c>
      <c r="J13" s="309">
        <f t="shared" si="9"/>
        <v>0</v>
      </c>
      <c r="K13" s="309">
        <f t="shared" si="9"/>
        <v>0</v>
      </c>
      <c r="L13" s="309">
        <f t="shared" si="9"/>
        <v>0</v>
      </c>
      <c r="M13" s="309">
        <f t="shared" si="9"/>
        <v>0</v>
      </c>
      <c r="N13" s="309">
        <f t="shared" si="9"/>
        <v>0</v>
      </c>
      <c r="O13" s="309">
        <f t="shared" si="9"/>
        <v>0</v>
      </c>
      <c r="P13" s="309">
        <f t="shared" si="9"/>
        <v>0</v>
      </c>
      <c r="Q13" s="309">
        <f t="shared" si="9"/>
        <v>0</v>
      </c>
      <c r="R13" s="309">
        <f t="shared" si="9"/>
        <v>0</v>
      </c>
      <c r="S13" s="309">
        <f t="shared" si="9"/>
        <v>1</v>
      </c>
      <c r="T13" s="309">
        <f t="shared" si="9"/>
        <v>0</v>
      </c>
      <c r="U13" s="309">
        <f t="shared" si="9"/>
        <v>1</v>
      </c>
      <c r="V13" s="309">
        <f t="shared" si="9"/>
        <v>1</v>
      </c>
      <c r="W13" s="309">
        <f t="shared" si="9"/>
        <v>2</v>
      </c>
      <c r="X13" s="309">
        <f t="shared" si="9"/>
        <v>2</v>
      </c>
      <c r="Y13" s="309">
        <f t="shared" si="9"/>
        <v>3</v>
      </c>
      <c r="Z13" s="309">
        <f t="shared" si="9"/>
        <v>3</v>
      </c>
      <c r="AA13" s="309">
        <f t="shared" si="9"/>
        <v>3</v>
      </c>
      <c r="AB13" s="309">
        <f t="shared" si="9"/>
        <v>3</v>
      </c>
      <c r="AC13" s="309">
        <f t="shared" si="9"/>
        <v>3</v>
      </c>
      <c r="AD13" s="309">
        <f t="shared" si="9"/>
        <v>3</v>
      </c>
      <c r="AE13" s="309">
        <f t="shared" si="9"/>
        <v>3</v>
      </c>
      <c r="AF13" s="309">
        <f t="shared" si="9"/>
        <v>3</v>
      </c>
      <c r="AG13" s="309">
        <f t="shared" si="9"/>
        <v>3</v>
      </c>
      <c r="AH13" s="309">
        <f t="shared" si="9"/>
        <v>3</v>
      </c>
      <c r="AI13" s="309">
        <f t="shared" si="9"/>
        <v>3</v>
      </c>
      <c r="AJ13" s="309">
        <f t="shared" si="9"/>
        <v>3</v>
      </c>
      <c r="AK13" s="309">
        <f t="shared" si="9"/>
        <v>4</v>
      </c>
      <c r="AL13" s="309">
        <f t="shared" si="9"/>
        <v>4</v>
      </c>
      <c r="AM13" s="309">
        <f t="shared" si="9"/>
        <v>4</v>
      </c>
      <c r="AN13" s="309">
        <f t="shared" si="9"/>
        <v>5</v>
      </c>
      <c r="AO13" s="309">
        <f t="shared" si="9"/>
        <v>5</v>
      </c>
      <c r="AP13" s="309">
        <f t="shared" si="9"/>
        <v>5</v>
      </c>
      <c r="AQ13" s="309">
        <f t="shared" si="9"/>
        <v>5</v>
      </c>
      <c r="AR13" s="309">
        <f t="shared" si="9"/>
        <v>5</v>
      </c>
      <c r="AS13" s="309">
        <f t="shared" si="9"/>
        <v>5</v>
      </c>
      <c r="AT13" s="309">
        <f t="shared" si="9"/>
        <v>5</v>
      </c>
      <c r="AU13" s="309">
        <f t="shared" si="9"/>
        <v>5</v>
      </c>
      <c r="AV13" s="309">
        <f t="shared" si="9"/>
        <v>5</v>
      </c>
      <c r="AW13" s="309">
        <f t="shared" si="9"/>
        <v>5</v>
      </c>
      <c r="AX13" s="309">
        <f t="shared" si="9"/>
        <v>5</v>
      </c>
      <c r="AY13" s="309">
        <f t="shared" si="9"/>
        <v>5</v>
      </c>
      <c r="AZ13" s="309">
        <f t="shared" si="9"/>
        <v>4</v>
      </c>
      <c r="BA13" s="309">
        <f t="shared" si="9"/>
        <v>3</v>
      </c>
    </row>
    <row r="15">
      <c r="A15" s="310" t="s">
        <v>242</v>
      </c>
      <c r="B15" s="311">
        <f t="shared" ref="B15:BA15" si="10">1200*B12</f>
        <v>0</v>
      </c>
      <c r="C15" s="311">
        <f t="shared" si="10"/>
        <v>0</v>
      </c>
      <c r="D15" s="311">
        <f t="shared" si="10"/>
        <v>0</v>
      </c>
      <c r="E15" s="311">
        <f t="shared" si="10"/>
        <v>0</v>
      </c>
      <c r="F15" s="311">
        <f t="shared" si="10"/>
        <v>0</v>
      </c>
      <c r="G15" s="311">
        <f t="shared" si="10"/>
        <v>0</v>
      </c>
      <c r="H15" s="311">
        <f t="shared" si="10"/>
        <v>0</v>
      </c>
      <c r="I15" s="311">
        <f t="shared" si="10"/>
        <v>0</v>
      </c>
      <c r="J15" s="311">
        <f t="shared" si="10"/>
        <v>0</v>
      </c>
      <c r="K15" s="311">
        <f t="shared" si="10"/>
        <v>0</v>
      </c>
      <c r="L15" s="311">
        <f t="shared" si="10"/>
        <v>0</v>
      </c>
      <c r="M15" s="311">
        <f t="shared" si="10"/>
        <v>0</v>
      </c>
      <c r="N15" s="311">
        <f t="shared" si="10"/>
        <v>0</v>
      </c>
      <c r="O15" s="311">
        <f t="shared" si="10"/>
        <v>0</v>
      </c>
      <c r="P15" s="311">
        <f t="shared" si="10"/>
        <v>0</v>
      </c>
      <c r="Q15" s="311">
        <f t="shared" si="10"/>
        <v>0</v>
      </c>
      <c r="R15" s="311">
        <f t="shared" si="10"/>
        <v>0</v>
      </c>
      <c r="S15" s="311">
        <f t="shared" si="10"/>
        <v>1200</v>
      </c>
      <c r="T15" s="311">
        <f t="shared" si="10"/>
        <v>0</v>
      </c>
      <c r="U15" s="311">
        <f t="shared" si="10"/>
        <v>2400</v>
      </c>
      <c r="V15" s="311">
        <f t="shared" si="10"/>
        <v>2400</v>
      </c>
      <c r="W15" s="311">
        <f t="shared" si="10"/>
        <v>3600</v>
      </c>
      <c r="X15" s="311">
        <f t="shared" si="10"/>
        <v>4800</v>
      </c>
      <c r="Y15" s="311">
        <f t="shared" si="10"/>
        <v>4800</v>
      </c>
      <c r="Z15" s="311">
        <f t="shared" si="10"/>
        <v>6000</v>
      </c>
      <c r="AA15" s="311">
        <f t="shared" si="10"/>
        <v>6000</v>
      </c>
      <c r="AB15" s="311">
        <f t="shared" si="10"/>
        <v>6000</v>
      </c>
      <c r="AC15" s="311">
        <f t="shared" si="10"/>
        <v>6000</v>
      </c>
      <c r="AD15" s="311">
        <f t="shared" si="10"/>
        <v>4800</v>
      </c>
      <c r="AE15" s="311">
        <f t="shared" si="10"/>
        <v>4800</v>
      </c>
      <c r="AF15" s="311">
        <f t="shared" si="10"/>
        <v>6000</v>
      </c>
      <c r="AG15" s="311">
        <f t="shared" si="10"/>
        <v>6000</v>
      </c>
      <c r="AH15" s="311">
        <f t="shared" si="10"/>
        <v>6000</v>
      </c>
      <c r="AI15" s="311">
        <f t="shared" si="10"/>
        <v>7200</v>
      </c>
      <c r="AJ15" s="311">
        <f t="shared" si="10"/>
        <v>7200</v>
      </c>
      <c r="AK15" s="311">
        <f t="shared" si="10"/>
        <v>7200</v>
      </c>
      <c r="AL15" s="311">
        <f t="shared" si="10"/>
        <v>8400</v>
      </c>
      <c r="AM15" s="311">
        <f t="shared" si="10"/>
        <v>8400</v>
      </c>
      <c r="AN15" s="311">
        <f t="shared" si="10"/>
        <v>9600</v>
      </c>
      <c r="AO15" s="311">
        <f t="shared" si="10"/>
        <v>10800</v>
      </c>
      <c r="AP15" s="311">
        <f t="shared" si="10"/>
        <v>10800</v>
      </c>
      <c r="AQ15" s="311">
        <f t="shared" si="10"/>
        <v>9600</v>
      </c>
      <c r="AR15" s="311">
        <f t="shared" si="10"/>
        <v>10800</v>
      </c>
      <c r="AS15" s="311">
        <f t="shared" si="10"/>
        <v>9600</v>
      </c>
      <c r="AT15" s="311">
        <f t="shared" si="10"/>
        <v>10800</v>
      </c>
      <c r="AU15" s="311">
        <f t="shared" si="10"/>
        <v>10800</v>
      </c>
      <c r="AV15" s="311">
        <f t="shared" si="10"/>
        <v>10800</v>
      </c>
      <c r="AW15" s="311">
        <f t="shared" si="10"/>
        <v>10800</v>
      </c>
      <c r="AX15" s="311">
        <f t="shared" si="10"/>
        <v>10800</v>
      </c>
      <c r="AY15" s="311">
        <f t="shared" si="10"/>
        <v>9600</v>
      </c>
      <c r="AZ15" s="311">
        <f t="shared" si="10"/>
        <v>8400</v>
      </c>
      <c r="BA15" s="311">
        <f t="shared" si="10"/>
        <v>6000</v>
      </c>
    </row>
    <row r="16">
      <c r="A16" s="310" t="s">
        <v>243</v>
      </c>
      <c r="B16" s="311"/>
      <c r="C16" s="311"/>
      <c r="D16" s="311"/>
      <c r="E16" s="311"/>
      <c r="F16" s="311"/>
      <c r="G16" s="311"/>
      <c r="H16" s="311"/>
      <c r="I16" s="311"/>
      <c r="J16" s="311" t="str">
        <f t="shared" ref="J16:M16" si="11">J15/J4</f>
        <v>#DIV/0!</v>
      </c>
      <c r="K16" s="311" t="str">
        <f t="shared" si="11"/>
        <v>#DIV/0!</v>
      </c>
      <c r="L16" s="311" t="str">
        <f t="shared" si="11"/>
        <v>#DIV/0!</v>
      </c>
      <c r="M16" s="311" t="str">
        <f t="shared" si="11"/>
        <v>#DIV/0!</v>
      </c>
      <c r="N16" s="312">
        <v>0.0</v>
      </c>
      <c r="O16" s="312">
        <v>0.0</v>
      </c>
      <c r="P16" s="312">
        <v>0.0</v>
      </c>
      <c r="Q16" s="312">
        <v>0.0</v>
      </c>
      <c r="R16" s="312">
        <v>0.0</v>
      </c>
      <c r="S16" s="311">
        <f t="shared" ref="S16:BA16" si="12">S15/S4</f>
        <v>0.8363826451</v>
      </c>
      <c r="T16" s="311" t="str">
        <f t="shared" si="12"/>
        <v>#DIV/0!</v>
      </c>
      <c r="U16" s="311">
        <f t="shared" si="12"/>
        <v>0.2265856502</v>
      </c>
      <c r="V16" s="311">
        <f t="shared" si="12"/>
        <v>0.1979852935</v>
      </c>
      <c r="W16" s="311">
        <f t="shared" si="12"/>
        <v>0.1495522653</v>
      </c>
      <c r="X16" s="311">
        <f t="shared" si="12"/>
        <v>0.1478457605</v>
      </c>
      <c r="Y16" s="311">
        <f t="shared" si="12"/>
        <v>0.1377701682</v>
      </c>
      <c r="Z16" s="311">
        <f t="shared" si="12"/>
        <v>0.1479699031</v>
      </c>
      <c r="AA16" s="311">
        <f t="shared" si="12"/>
        <v>0.1405272091</v>
      </c>
      <c r="AB16" s="311">
        <f t="shared" si="12"/>
        <v>0.1412688215</v>
      </c>
      <c r="AC16" s="311">
        <f t="shared" si="12"/>
        <v>0.1491099354</v>
      </c>
      <c r="AD16" s="311">
        <f t="shared" si="12"/>
        <v>0.1282346593</v>
      </c>
      <c r="AE16" s="311">
        <f t="shared" si="12"/>
        <v>0.1310459287</v>
      </c>
      <c r="AF16" s="311">
        <f t="shared" si="12"/>
        <v>0.1466653752</v>
      </c>
      <c r="AG16" s="311">
        <f t="shared" si="12"/>
        <v>0.1451514102</v>
      </c>
      <c r="AH16" s="311">
        <f t="shared" si="12"/>
        <v>0.1406001473</v>
      </c>
      <c r="AI16" s="311">
        <f t="shared" si="12"/>
        <v>0.1497132253</v>
      </c>
      <c r="AJ16" s="311">
        <f t="shared" si="12"/>
        <v>0.1433987652</v>
      </c>
      <c r="AK16" s="311">
        <f t="shared" si="12"/>
        <v>0.1342774045</v>
      </c>
      <c r="AL16" s="311">
        <f t="shared" si="12"/>
        <v>0.1396465209</v>
      </c>
      <c r="AM16" s="311">
        <f t="shared" si="12"/>
        <v>0.1274350423</v>
      </c>
      <c r="AN16" s="311">
        <f t="shared" si="12"/>
        <v>0.1364838772</v>
      </c>
      <c r="AO16" s="311">
        <f t="shared" si="12"/>
        <v>0.1411956299</v>
      </c>
      <c r="AP16" s="311">
        <f t="shared" si="12"/>
        <v>0.1380531247</v>
      </c>
      <c r="AQ16" s="311">
        <f t="shared" si="12"/>
        <v>0.127009491</v>
      </c>
      <c r="AR16" s="311">
        <f t="shared" si="12"/>
        <v>0.1418376228</v>
      </c>
      <c r="AS16" s="311">
        <f t="shared" si="12"/>
        <v>0.1288123933</v>
      </c>
      <c r="AT16" s="311">
        <f t="shared" si="12"/>
        <v>0.1353714035</v>
      </c>
      <c r="AU16" s="311">
        <f t="shared" si="12"/>
        <v>0.138285753</v>
      </c>
      <c r="AV16" s="311">
        <f t="shared" si="12"/>
        <v>0.1370529728</v>
      </c>
      <c r="AW16" s="311">
        <f t="shared" si="12"/>
        <v>0.1362904495</v>
      </c>
      <c r="AX16" s="311">
        <f t="shared" si="12"/>
        <v>0.1369013933</v>
      </c>
      <c r="AY16" s="311">
        <f t="shared" si="12"/>
        <v>0.1353194389</v>
      </c>
      <c r="AZ16" s="311">
        <f t="shared" si="12"/>
        <v>0.1286416463</v>
      </c>
      <c r="BA16" s="311">
        <f t="shared" si="12"/>
        <v>0.146873202</v>
      </c>
    </row>
    <row r="17">
      <c r="A17" s="310" t="s">
        <v>244</v>
      </c>
      <c r="B17" s="311"/>
      <c r="C17" s="311"/>
      <c r="D17" s="311"/>
      <c r="E17" s="311"/>
      <c r="F17" s="311"/>
      <c r="G17" s="311"/>
      <c r="H17" s="311"/>
      <c r="I17" s="311"/>
      <c r="J17" s="311" t="str">
        <f t="shared" ref="J17:M17" si="13">J16*7</f>
        <v>#DIV/0!</v>
      </c>
      <c r="K17" s="311" t="str">
        <f t="shared" si="13"/>
        <v>#DIV/0!</v>
      </c>
      <c r="L17" s="311" t="str">
        <f t="shared" si="13"/>
        <v>#DIV/0!</v>
      </c>
      <c r="M17" s="311" t="str">
        <f t="shared" si="13"/>
        <v>#DIV/0!</v>
      </c>
      <c r="N17" s="312">
        <v>0.0</v>
      </c>
      <c r="O17" s="312">
        <v>0.0</v>
      </c>
      <c r="P17" s="312">
        <v>0.0</v>
      </c>
      <c r="Q17" s="312">
        <v>0.0</v>
      </c>
      <c r="R17" s="312">
        <v>0.0</v>
      </c>
      <c r="S17" s="311">
        <f t="shared" ref="S17:BA17" si="14">S16*7</f>
        <v>5.854678515</v>
      </c>
      <c r="T17" s="311" t="str">
        <f t="shared" si="14"/>
        <v>#DIV/0!</v>
      </c>
      <c r="U17" s="311">
        <f t="shared" si="14"/>
        <v>1.586099552</v>
      </c>
      <c r="V17" s="311">
        <f t="shared" si="14"/>
        <v>1.385897054</v>
      </c>
      <c r="W17" s="311">
        <f t="shared" si="14"/>
        <v>1.046865857</v>
      </c>
      <c r="X17" s="311">
        <f t="shared" si="14"/>
        <v>1.034920323</v>
      </c>
      <c r="Y17" s="311">
        <f t="shared" si="14"/>
        <v>0.9643911777</v>
      </c>
      <c r="Z17" s="311">
        <f t="shared" si="14"/>
        <v>1.035789321</v>
      </c>
      <c r="AA17" s="311">
        <f t="shared" si="14"/>
        <v>0.9836904637</v>
      </c>
      <c r="AB17" s="311">
        <f t="shared" si="14"/>
        <v>0.9888817505</v>
      </c>
      <c r="AC17" s="311">
        <f t="shared" si="14"/>
        <v>1.043769548</v>
      </c>
      <c r="AD17" s="311">
        <f t="shared" si="14"/>
        <v>0.8976426148</v>
      </c>
      <c r="AE17" s="311">
        <f t="shared" si="14"/>
        <v>0.9173215006</v>
      </c>
      <c r="AF17" s="311">
        <f t="shared" si="14"/>
        <v>1.026657626</v>
      </c>
      <c r="AG17" s="311">
        <f t="shared" si="14"/>
        <v>1.016059872</v>
      </c>
      <c r="AH17" s="311">
        <f t="shared" si="14"/>
        <v>0.984201031</v>
      </c>
      <c r="AI17" s="311">
        <f t="shared" si="14"/>
        <v>1.047992577</v>
      </c>
      <c r="AJ17" s="311">
        <f t="shared" si="14"/>
        <v>1.003791357</v>
      </c>
      <c r="AK17" s="311">
        <f t="shared" si="14"/>
        <v>0.9399418313</v>
      </c>
      <c r="AL17" s="311">
        <f t="shared" si="14"/>
        <v>0.9775256465</v>
      </c>
      <c r="AM17" s="311">
        <f t="shared" si="14"/>
        <v>0.8920452958</v>
      </c>
      <c r="AN17" s="311">
        <f t="shared" si="14"/>
        <v>0.9553871401</v>
      </c>
      <c r="AO17" s="311">
        <f t="shared" si="14"/>
        <v>0.9883694093</v>
      </c>
      <c r="AP17" s="311">
        <f t="shared" si="14"/>
        <v>0.9663718726</v>
      </c>
      <c r="AQ17" s="311">
        <f t="shared" si="14"/>
        <v>0.8890664369</v>
      </c>
      <c r="AR17" s="311">
        <f t="shared" si="14"/>
        <v>0.9928633595</v>
      </c>
      <c r="AS17" s="311">
        <f t="shared" si="14"/>
        <v>0.901686753</v>
      </c>
      <c r="AT17" s="311">
        <f t="shared" si="14"/>
        <v>0.9475998248</v>
      </c>
      <c r="AU17" s="311">
        <f t="shared" si="14"/>
        <v>0.9680002709</v>
      </c>
      <c r="AV17" s="311">
        <f t="shared" si="14"/>
        <v>0.9593708097</v>
      </c>
      <c r="AW17" s="311">
        <f t="shared" si="14"/>
        <v>0.9540331462</v>
      </c>
      <c r="AX17" s="311">
        <f t="shared" si="14"/>
        <v>0.9583097529</v>
      </c>
      <c r="AY17" s="311">
        <f t="shared" si="14"/>
        <v>0.9472360723</v>
      </c>
      <c r="AZ17" s="311">
        <f t="shared" si="14"/>
        <v>0.9004915239</v>
      </c>
      <c r="BA17" s="311">
        <f t="shared" si="14"/>
        <v>1.028112414</v>
      </c>
    </row>
    <row r="18">
      <c r="A18" s="310" t="s">
        <v>245</v>
      </c>
      <c r="B18" s="311">
        <f t="shared" ref="B18:I18" si="15">1200*B13</f>
        <v>0</v>
      </c>
      <c r="C18" s="311">
        <f t="shared" si="15"/>
        <v>0</v>
      </c>
      <c r="D18" s="311">
        <f t="shared" si="15"/>
        <v>0</v>
      </c>
      <c r="E18" s="311">
        <f t="shared" si="15"/>
        <v>0</v>
      </c>
      <c r="F18" s="311">
        <f t="shared" si="15"/>
        <v>0</v>
      </c>
      <c r="G18" s="311">
        <f t="shared" si="15"/>
        <v>0</v>
      </c>
      <c r="H18" s="311">
        <f t="shared" si="15"/>
        <v>0</v>
      </c>
      <c r="I18" s="311">
        <f t="shared" si="15"/>
        <v>0</v>
      </c>
      <c r="J18" s="311">
        <f t="shared" ref="J18:BA18" si="16">$A$19*J13</f>
        <v>0</v>
      </c>
      <c r="K18" s="311">
        <f t="shared" si="16"/>
        <v>0</v>
      </c>
      <c r="L18" s="311">
        <f t="shared" si="16"/>
        <v>0</v>
      </c>
      <c r="M18" s="311">
        <f t="shared" si="16"/>
        <v>0</v>
      </c>
      <c r="N18" s="311">
        <f t="shared" si="16"/>
        <v>0</v>
      </c>
      <c r="O18" s="311">
        <f t="shared" si="16"/>
        <v>0</v>
      </c>
      <c r="P18" s="311">
        <f t="shared" si="16"/>
        <v>0</v>
      </c>
      <c r="Q18" s="311">
        <f t="shared" si="16"/>
        <v>0</v>
      </c>
      <c r="R18" s="311">
        <f t="shared" si="16"/>
        <v>0</v>
      </c>
      <c r="S18" s="311">
        <f t="shared" si="16"/>
        <v>970</v>
      </c>
      <c r="T18" s="311">
        <f t="shared" si="16"/>
        <v>0</v>
      </c>
      <c r="U18" s="311">
        <f t="shared" si="16"/>
        <v>970</v>
      </c>
      <c r="V18" s="311">
        <f t="shared" si="16"/>
        <v>970</v>
      </c>
      <c r="W18" s="311">
        <f t="shared" si="16"/>
        <v>1940</v>
      </c>
      <c r="X18" s="311">
        <f t="shared" si="16"/>
        <v>1940</v>
      </c>
      <c r="Y18" s="311">
        <f t="shared" si="16"/>
        <v>2910</v>
      </c>
      <c r="Z18" s="311">
        <f t="shared" si="16"/>
        <v>2910</v>
      </c>
      <c r="AA18" s="311">
        <f t="shared" si="16"/>
        <v>2910</v>
      </c>
      <c r="AB18" s="311">
        <f t="shared" si="16"/>
        <v>2910</v>
      </c>
      <c r="AC18" s="311">
        <f t="shared" si="16"/>
        <v>2910</v>
      </c>
      <c r="AD18" s="311">
        <f t="shared" si="16"/>
        <v>2910</v>
      </c>
      <c r="AE18" s="311">
        <f t="shared" si="16"/>
        <v>2910</v>
      </c>
      <c r="AF18" s="311">
        <f t="shared" si="16"/>
        <v>2910</v>
      </c>
      <c r="AG18" s="311">
        <f t="shared" si="16"/>
        <v>2910</v>
      </c>
      <c r="AH18" s="311">
        <f t="shared" si="16"/>
        <v>2910</v>
      </c>
      <c r="AI18" s="311">
        <f t="shared" si="16"/>
        <v>2910</v>
      </c>
      <c r="AJ18" s="311">
        <f t="shared" si="16"/>
        <v>2910</v>
      </c>
      <c r="AK18" s="311">
        <f t="shared" si="16"/>
        <v>3880</v>
      </c>
      <c r="AL18" s="311">
        <f t="shared" si="16"/>
        <v>3880</v>
      </c>
      <c r="AM18" s="311">
        <f t="shared" si="16"/>
        <v>3880</v>
      </c>
      <c r="AN18" s="311">
        <f t="shared" si="16"/>
        <v>4850</v>
      </c>
      <c r="AO18" s="311">
        <f t="shared" si="16"/>
        <v>4850</v>
      </c>
      <c r="AP18" s="311">
        <f t="shared" si="16"/>
        <v>4850</v>
      </c>
      <c r="AQ18" s="311">
        <f t="shared" si="16"/>
        <v>4850</v>
      </c>
      <c r="AR18" s="311">
        <f t="shared" si="16"/>
        <v>4850</v>
      </c>
      <c r="AS18" s="311">
        <f t="shared" si="16"/>
        <v>4850</v>
      </c>
      <c r="AT18" s="311">
        <f t="shared" si="16"/>
        <v>4850</v>
      </c>
      <c r="AU18" s="311">
        <f t="shared" si="16"/>
        <v>4850</v>
      </c>
      <c r="AV18" s="311">
        <f t="shared" si="16"/>
        <v>4850</v>
      </c>
      <c r="AW18" s="311">
        <f t="shared" si="16"/>
        <v>4850</v>
      </c>
      <c r="AX18" s="311">
        <f t="shared" si="16"/>
        <v>4850</v>
      </c>
      <c r="AY18" s="311">
        <f t="shared" si="16"/>
        <v>4850</v>
      </c>
      <c r="AZ18" s="311">
        <f t="shared" si="16"/>
        <v>3880</v>
      </c>
      <c r="BA18" s="311">
        <f t="shared" si="16"/>
        <v>2910</v>
      </c>
    </row>
    <row r="19">
      <c r="A19" s="85">
        <v>970.0</v>
      </c>
      <c r="J19" s="12" t="str">
        <f t="shared" ref="J19:M19" si="17">J18/J4</f>
        <v>#DIV/0!</v>
      </c>
      <c r="K19" s="12" t="str">
        <f t="shared" si="17"/>
        <v>#DIV/0!</v>
      </c>
      <c r="L19" s="12" t="str">
        <f t="shared" si="17"/>
        <v>#DIV/0!</v>
      </c>
      <c r="M19" s="12" t="str">
        <f t="shared" si="17"/>
        <v>#DIV/0!</v>
      </c>
      <c r="N19" s="311">
        <f t="shared" ref="N19:R19" si="18">$A$19*N14</f>
        <v>0</v>
      </c>
      <c r="O19" s="311">
        <f t="shared" si="18"/>
        <v>0</v>
      </c>
      <c r="P19" s="311">
        <f t="shared" si="18"/>
        <v>0</v>
      </c>
      <c r="Q19" s="311">
        <f t="shared" si="18"/>
        <v>0</v>
      </c>
      <c r="R19" s="311">
        <f t="shared" si="18"/>
        <v>0</v>
      </c>
      <c r="S19" s="311">
        <f t="shared" ref="S19:BA19" si="19">S18/S4</f>
        <v>0.6760759714</v>
      </c>
      <c r="T19" s="12" t="str">
        <f t="shared" si="19"/>
        <v>#DIV/0!</v>
      </c>
      <c r="U19" s="311">
        <f t="shared" si="19"/>
        <v>0.09157836696</v>
      </c>
      <c r="V19" s="311">
        <f t="shared" si="19"/>
        <v>0.08001905612</v>
      </c>
      <c r="W19" s="311">
        <f t="shared" si="19"/>
        <v>0.08059205409</v>
      </c>
      <c r="X19" s="311">
        <f t="shared" si="19"/>
        <v>0.0597543282</v>
      </c>
      <c r="Y19" s="311">
        <f t="shared" si="19"/>
        <v>0.0835231645</v>
      </c>
      <c r="Z19" s="311">
        <f t="shared" si="19"/>
        <v>0.07176540298</v>
      </c>
      <c r="AA19" s="311">
        <f t="shared" si="19"/>
        <v>0.06815569641</v>
      </c>
      <c r="AB19" s="311">
        <f t="shared" si="19"/>
        <v>0.06851537843</v>
      </c>
      <c r="AC19" s="311">
        <f t="shared" si="19"/>
        <v>0.07231831867</v>
      </c>
      <c r="AD19" s="311">
        <f t="shared" si="19"/>
        <v>0.07774226217</v>
      </c>
      <c r="AE19" s="311">
        <f t="shared" si="19"/>
        <v>0.07944659425</v>
      </c>
      <c r="AF19" s="311">
        <f t="shared" si="19"/>
        <v>0.07113270696</v>
      </c>
      <c r="AG19" s="311">
        <f t="shared" si="19"/>
        <v>0.07039843396</v>
      </c>
      <c r="AH19" s="311">
        <f t="shared" si="19"/>
        <v>0.06819107143</v>
      </c>
      <c r="AI19" s="311">
        <f t="shared" si="19"/>
        <v>0.06050909521</v>
      </c>
      <c r="AJ19" s="311">
        <f t="shared" si="19"/>
        <v>0.05795700095</v>
      </c>
      <c r="AK19" s="311">
        <f t="shared" si="19"/>
        <v>0.0723606013</v>
      </c>
      <c r="AL19" s="311">
        <f t="shared" si="19"/>
        <v>0.064503393</v>
      </c>
      <c r="AM19" s="311">
        <f t="shared" si="19"/>
        <v>0.05886285285</v>
      </c>
      <c r="AN19" s="311">
        <f t="shared" si="19"/>
        <v>0.06895279211</v>
      </c>
      <c r="AO19" s="311">
        <f t="shared" si="19"/>
        <v>0.06340729676</v>
      </c>
      <c r="AP19" s="311">
        <f t="shared" si="19"/>
        <v>0.06199607913</v>
      </c>
      <c r="AQ19" s="311">
        <f t="shared" si="19"/>
        <v>0.06416625326</v>
      </c>
      <c r="AR19" s="311">
        <f t="shared" si="19"/>
        <v>0.06369559912</v>
      </c>
      <c r="AS19" s="311">
        <f t="shared" si="19"/>
        <v>0.06507709452</v>
      </c>
      <c r="AT19" s="311">
        <f t="shared" si="19"/>
        <v>0.0607917877</v>
      </c>
      <c r="AU19" s="311">
        <f t="shared" si="19"/>
        <v>0.06210054648</v>
      </c>
      <c r="AV19" s="311">
        <f t="shared" si="19"/>
        <v>0.06154693686</v>
      </c>
      <c r="AW19" s="311">
        <f t="shared" si="19"/>
        <v>0.0612045074</v>
      </c>
      <c r="AX19" s="311">
        <f t="shared" si="19"/>
        <v>0.06147886642</v>
      </c>
      <c r="AY19" s="311">
        <f t="shared" si="19"/>
        <v>0.06836450819</v>
      </c>
      <c r="AZ19" s="311">
        <f t="shared" si="19"/>
        <v>0.05942018899</v>
      </c>
      <c r="BA19" s="311">
        <f t="shared" si="19"/>
        <v>0.07123350299</v>
      </c>
    </row>
    <row r="20">
      <c r="A20" s="70"/>
      <c r="J20" s="313">
        <f t="shared" ref="J20:BA20" si="20">J18/J1</f>
        <v>0</v>
      </c>
      <c r="K20" s="313">
        <f t="shared" si="20"/>
        <v>0</v>
      </c>
      <c r="L20" s="313">
        <f t="shared" si="20"/>
        <v>0</v>
      </c>
      <c r="M20" s="313">
        <f t="shared" si="20"/>
        <v>0</v>
      </c>
      <c r="N20" s="313">
        <f t="shared" si="20"/>
        <v>0</v>
      </c>
      <c r="O20" s="313">
        <f t="shared" si="20"/>
        <v>0</v>
      </c>
      <c r="P20" s="313">
        <f t="shared" si="20"/>
        <v>0</v>
      </c>
      <c r="Q20" s="313">
        <f t="shared" si="20"/>
        <v>0</v>
      </c>
      <c r="R20" s="313">
        <f t="shared" si="20"/>
        <v>0</v>
      </c>
      <c r="S20" s="313">
        <f t="shared" si="20"/>
        <v>0.01001497083</v>
      </c>
      <c r="T20" s="313">
        <f t="shared" si="20"/>
        <v>0</v>
      </c>
      <c r="U20" s="313">
        <f t="shared" si="20"/>
        <v>0.01007053769</v>
      </c>
      <c r="V20" s="313">
        <f t="shared" si="20"/>
        <v>0.01025293428</v>
      </c>
      <c r="W20" s="313">
        <f t="shared" si="20"/>
        <v>0.02079164778</v>
      </c>
      <c r="X20" s="313">
        <f t="shared" si="20"/>
        <v>0.01997737996</v>
      </c>
      <c r="Y20" s="313">
        <f t="shared" si="20"/>
        <v>0.0307058332</v>
      </c>
      <c r="Z20" s="313">
        <f t="shared" si="20"/>
        <v>0.03095123714</v>
      </c>
      <c r="AA20" s="313">
        <f t="shared" si="20"/>
        <v>0.03171030545</v>
      </c>
      <c r="AB20" s="313">
        <f t="shared" si="20"/>
        <v>0.03168586932</v>
      </c>
      <c r="AC20" s="313">
        <f t="shared" si="20"/>
        <v>0.03337780352</v>
      </c>
      <c r="AD20" s="313">
        <f t="shared" si="20"/>
        <v>0.03574179384</v>
      </c>
      <c r="AE20" s="313">
        <f t="shared" si="20"/>
        <v>0.03763028595</v>
      </c>
      <c r="AF20" s="313">
        <f t="shared" si="20"/>
        <v>0.03764999366</v>
      </c>
      <c r="AG20" s="313">
        <f t="shared" si="20"/>
        <v>0.03671329987</v>
      </c>
      <c r="AH20" s="313">
        <f t="shared" si="20"/>
        <v>0.03431834597</v>
      </c>
      <c r="AI20" s="313">
        <f t="shared" si="20"/>
        <v>0.03072547492</v>
      </c>
      <c r="AJ20" s="313">
        <f t="shared" si="20"/>
        <v>0.02925213354</v>
      </c>
      <c r="AK20" s="313">
        <f t="shared" si="20"/>
        <v>0.03690696052</v>
      </c>
      <c r="AL20" s="313">
        <f t="shared" si="20"/>
        <v>0.03315065458</v>
      </c>
      <c r="AM20" s="313">
        <f t="shared" si="20"/>
        <v>0.03020022966</v>
      </c>
      <c r="AN20" s="313">
        <f t="shared" si="20"/>
        <v>0.03533230763</v>
      </c>
      <c r="AO20" s="313">
        <f t="shared" si="20"/>
        <v>0.03268764748</v>
      </c>
      <c r="AP20" s="313">
        <f t="shared" si="20"/>
        <v>0.031721567</v>
      </c>
      <c r="AQ20" s="313">
        <f t="shared" si="20"/>
        <v>0.03299356501</v>
      </c>
      <c r="AR20" s="313">
        <f t="shared" si="20"/>
        <v>0.03274776207</v>
      </c>
      <c r="AS20" s="313">
        <f t="shared" si="20"/>
        <v>0.03321934101</v>
      </c>
      <c r="AT20" s="313">
        <f t="shared" si="20"/>
        <v>0.03188210116</v>
      </c>
      <c r="AU20" s="313">
        <f t="shared" si="20"/>
        <v>0.03174167384</v>
      </c>
      <c r="AV20" s="313">
        <f t="shared" si="20"/>
        <v>0.03276966044</v>
      </c>
      <c r="AW20" s="313">
        <f t="shared" si="20"/>
        <v>0.0324811389</v>
      </c>
      <c r="AX20" s="313">
        <f t="shared" si="20"/>
        <v>0.03285436687</v>
      </c>
      <c r="AY20" s="313">
        <f t="shared" si="20"/>
        <v>0.03632582243</v>
      </c>
      <c r="AZ20" s="313">
        <f t="shared" si="20"/>
        <v>0.03235005295</v>
      </c>
      <c r="BA20" s="313">
        <f t="shared" si="20"/>
        <v>0.03900809322</v>
      </c>
    </row>
    <row r="21">
      <c r="A21" s="70"/>
      <c r="I21" s="314">
        <v>0.02871</v>
      </c>
    </row>
    <row r="22">
      <c r="A22" s="70"/>
      <c r="I22" s="315">
        <v>0.026796788536560166</v>
      </c>
      <c r="J22" s="315">
        <f>average(J20:BA20)</f>
        <v>0.02363506345</v>
      </c>
    </row>
    <row r="23">
      <c r="A23" s="70"/>
      <c r="H23" s="316"/>
      <c r="I23" s="315">
        <f>J22-I21</f>
        <v>-0.005074936553</v>
      </c>
    </row>
    <row r="24">
      <c r="A24" s="70"/>
    </row>
    <row r="25">
      <c r="A25" s="70"/>
    </row>
    <row r="26">
      <c r="A26" s="70"/>
    </row>
  </sheetData>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Right="0"/>
  </sheetPr>
  <sheetViews>
    <sheetView showGridLines="0" workbookViewId="0"/>
  </sheetViews>
  <sheetFormatPr customHeight="1" defaultColWidth="12.63" defaultRowHeight="15.75"/>
  <cols>
    <col customWidth="1" min="1" max="1" width="120.13"/>
  </cols>
  <sheetData>
    <row r="1">
      <c r="A1" s="317" t="s">
        <v>246</v>
      </c>
    </row>
    <row r="2">
      <c r="A2" s="318" t="s">
        <v>247</v>
      </c>
    </row>
  </sheetData>
  <hyperlinks>
    <hyperlink r:id="rId1" ref="A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9" t="s">
        <v>248</v>
      </c>
      <c r="B1" s="320"/>
      <c r="C1" s="321" t="s">
        <v>1</v>
      </c>
      <c r="F1" s="322" t="s">
        <v>3</v>
      </c>
    </row>
    <row r="2">
      <c r="A2" s="323" t="s">
        <v>4</v>
      </c>
      <c r="B2" s="323" t="s">
        <v>5</v>
      </c>
      <c r="C2" s="323" t="s">
        <v>6</v>
      </c>
      <c r="D2" s="323" t="s">
        <v>7</v>
      </c>
      <c r="E2" s="323" t="s">
        <v>8</v>
      </c>
      <c r="F2" s="323" t="s">
        <v>6</v>
      </c>
      <c r="G2" s="323" t="s">
        <v>7</v>
      </c>
      <c r="H2" s="323" t="s">
        <v>8</v>
      </c>
    </row>
    <row r="3">
      <c r="A3" s="12" t="str">
        <f>Overview!A3</f>
        <v>2026-M01</v>
      </c>
      <c r="B3" s="12" t="str">
        <f>Overview!B3</f>
        <v>2026-W01</v>
      </c>
      <c r="C3" s="12">
        <f>Overview!C3</f>
        <v>18</v>
      </c>
      <c r="D3" s="12">
        <f>Overview!D3</f>
        <v>0</v>
      </c>
      <c r="E3" s="12">
        <f>Overview!E3</f>
        <v>18</v>
      </c>
      <c r="F3" s="17">
        <f>Overview!K3</f>
        <v>50424</v>
      </c>
      <c r="G3" s="17">
        <f>Overview!L3</f>
        <v>0</v>
      </c>
      <c r="H3" s="17">
        <f>Overview!M3</f>
        <v>50424</v>
      </c>
    </row>
    <row r="4">
      <c r="A4" s="12" t="str">
        <f>Overview!A4</f>
        <v>2026-M01</v>
      </c>
      <c r="B4" s="12" t="str">
        <f>Overview!B4</f>
        <v>2026-W02</v>
      </c>
      <c r="C4" s="12">
        <f>Overview!C4</f>
        <v>18</v>
      </c>
      <c r="D4" s="12">
        <f>Overview!D4</f>
        <v>0</v>
      </c>
      <c r="E4" s="12">
        <f>Overview!E4</f>
        <v>18</v>
      </c>
      <c r="F4" s="17">
        <f>Overview!K4</f>
        <v>72317</v>
      </c>
      <c r="G4" s="17">
        <f>Overview!L4</f>
        <v>0</v>
      </c>
      <c r="H4" s="17">
        <f>Overview!M4</f>
        <v>72317</v>
      </c>
    </row>
    <row r="5">
      <c r="A5" s="12" t="str">
        <f>Overview!A5</f>
        <v>2026-M01</v>
      </c>
      <c r="B5" s="12" t="str">
        <f>Overview!B5</f>
        <v>2026-W03</v>
      </c>
      <c r="C5" s="12">
        <f>Overview!C5</f>
        <v>18</v>
      </c>
      <c r="D5" s="12">
        <f>Overview!D5</f>
        <v>0</v>
      </c>
      <c r="E5" s="12">
        <f>Overview!E5</f>
        <v>18</v>
      </c>
      <c r="F5" s="17">
        <f>Overview!K5</f>
        <v>97195</v>
      </c>
      <c r="G5" s="17">
        <f>Overview!L5</f>
        <v>0</v>
      </c>
      <c r="H5" s="17">
        <f>Overview!M5</f>
        <v>97195</v>
      </c>
    </row>
    <row r="6">
      <c r="A6" s="12" t="str">
        <f>Overview!A6</f>
        <v>2026-M01</v>
      </c>
      <c r="B6" s="12" t="str">
        <f>Overview!B6</f>
        <v>2026-W04</v>
      </c>
      <c r="C6" s="12">
        <f>Overview!C6</f>
        <v>18</v>
      </c>
      <c r="D6" s="12">
        <f>Overview!D6</f>
        <v>0</v>
      </c>
      <c r="E6" s="12">
        <f>Overview!E6</f>
        <v>18</v>
      </c>
      <c r="F6" s="17">
        <f>Overview!K6</f>
        <v>104810</v>
      </c>
      <c r="G6" s="17">
        <f>Overview!L6</f>
        <v>0</v>
      </c>
      <c r="H6" s="17">
        <f>Overview!M6</f>
        <v>104810</v>
      </c>
    </row>
    <row r="7">
      <c r="A7" s="12" t="str">
        <f>Overview!A7</f>
        <v>2026-M01</v>
      </c>
      <c r="B7" s="12" t="str">
        <f>Overview!B7</f>
        <v>2026-W05</v>
      </c>
      <c r="C7" s="12">
        <f>Overview!C7</f>
        <v>18</v>
      </c>
      <c r="D7" s="12">
        <f>Overview!D7</f>
        <v>0</v>
      </c>
      <c r="E7" s="12">
        <f>Overview!E7</f>
        <v>18</v>
      </c>
      <c r="F7" s="17">
        <f>Overview!K7</f>
        <v>105534</v>
      </c>
      <c r="G7" s="17">
        <f>Overview!L7</f>
        <v>0</v>
      </c>
      <c r="H7" s="17">
        <f>Overview!M7</f>
        <v>105534</v>
      </c>
    </row>
    <row r="8">
      <c r="A8" s="12" t="str">
        <f>Overview!A8</f>
        <v>2026-M02</v>
      </c>
      <c r="B8" s="12" t="str">
        <f>Overview!B8</f>
        <v>2026-W06</v>
      </c>
      <c r="C8" s="12">
        <f>Overview!C8</f>
        <v>18</v>
      </c>
      <c r="D8" s="12">
        <f>Overview!D8</f>
        <v>0</v>
      </c>
      <c r="E8" s="12">
        <f>Overview!E8</f>
        <v>18</v>
      </c>
      <c r="F8" s="17">
        <f>Overview!K8</f>
        <v>115011</v>
      </c>
      <c r="G8" s="17">
        <f>Overview!L8</f>
        <v>0</v>
      </c>
      <c r="H8" s="17">
        <f>Overview!M8</f>
        <v>115011</v>
      </c>
    </row>
    <row r="9">
      <c r="A9" s="12" t="str">
        <f>Overview!A9</f>
        <v>2026-M02</v>
      </c>
      <c r="B9" s="12" t="str">
        <f>Overview!B9</f>
        <v>2026-W07</v>
      </c>
      <c r="C9" s="12">
        <f>Overview!C9</f>
        <v>18</v>
      </c>
      <c r="D9" s="12">
        <f>Overview!D9</f>
        <v>0</v>
      </c>
      <c r="E9" s="12">
        <f>Overview!E9</f>
        <v>18</v>
      </c>
      <c r="F9" s="17">
        <f>Overview!K9</f>
        <v>114124</v>
      </c>
      <c r="G9" s="17">
        <f>Overview!L9</f>
        <v>0</v>
      </c>
      <c r="H9" s="17">
        <f>Overview!M9</f>
        <v>114124</v>
      </c>
    </row>
    <row r="10">
      <c r="A10" s="12" t="str">
        <f>Overview!A10</f>
        <v>2026-M02</v>
      </c>
      <c r="B10" s="12" t="str">
        <f>Overview!B10</f>
        <v>2026-W08</v>
      </c>
      <c r="C10" s="12">
        <f>Overview!C10</f>
        <v>18</v>
      </c>
      <c r="D10" s="12">
        <f>Overview!D10</f>
        <v>0</v>
      </c>
      <c r="E10" s="12">
        <f>Overview!E10</f>
        <v>18</v>
      </c>
      <c r="F10" s="17">
        <f>Overview!K10</f>
        <v>113188</v>
      </c>
      <c r="G10" s="17">
        <f>Overview!L10</f>
        <v>0</v>
      </c>
      <c r="H10" s="17">
        <f>Overview!M10</f>
        <v>113188</v>
      </c>
      <c r="I10" s="292" t="str">
        <f>Overview!N10</f>
        <v/>
      </c>
    </row>
    <row r="11">
      <c r="A11" s="12" t="str">
        <f>Overview!A11</f>
        <v>2026-M02</v>
      </c>
      <c r="B11" s="12" t="str">
        <f>Overview!B11</f>
        <v>2026-W09</v>
      </c>
      <c r="C11" s="12">
        <f>Overview!C11</f>
        <v>18</v>
      </c>
      <c r="D11" s="12">
        <f>Overview!D11</f>
        <v>0</v>
      </c>
      <c r="E11" s="12">
        <f>Overview!E11</f>
        <v>18</v>
      </c>
      <c r="F11" s="17">
        <f>Overview!K11</f>
        <v>111596</v>
      </c>
      <c r="G11" s="17">
        <f>Overview!L11</f>
        <v>0</v>
      </c>
      <c r="H11" s="17">
        <f>Overview!M11</f>
        <v>111596</v>
      </c>
      <c r="I11" s="292" t="str">
        <f>Overview!N11</f>
        <v/>
      </c>
    </row>
    <row r="12">
      <c r="A12" s="12" t="str">
        <f>Overview!A12</f>
        <v>2026-M03</v>
      </c>
      <c r="B12" s="12" t="str">
        <f>Overview!B12</f>
        <v>2026-W10</v>
      </c>
      <c r="C12" s="12">
        <f>Overview!C12</f>
        <v>18</v>
      </c>
      <c r="D12" s="12">
        <f>Overview!D12</f>
        <v>0</v>
      </c>
      <c r="E12" s="12">
        <f>Overview!E12</f>
        <v>18</v>
      </c>
      <c r="F12" s="17">
        <f>Overview!K12</f>
        <v>111468</v>
      </c>
      <c r="G12" s="17">
        <f>Overview!L12</f>
        <v>0</v>
      </c>
      <c r="H12" s="17">
        <f>Overview!M12</f>
        <v>111468</v>
      </c>
      <c r="I12" s="292" t="str">
        <f>Overview!N12</f>
        <v/>
      </c>
    </row>
    <row r="13">
      <c r="A13" s="12" t="str">
        <f>Overview!A13</f>
        <v>2026-M03</v>
      </c>
      <c r="B13" s="12" t="str">
        <f>Overview!B13</f>
        <v>2026-W11</v>
      </c>
      <c r="C13" s="12">
        <f>Overview!C13</f>
        <v>18</v>
      </c>
      <c r="D13" s="12">
        <f>Overview!D13</f>
        <v>0</v>
      </c>
      <c r="E13" s="12">
        <f>Overview!E13</f>
        <v>18</v>
      </c>
      <c r="F13" s="17">
        <f>Overview!K13</f>
        <v>111552</v>
      </c>
      <c r="G13" s="17">
        <f>Overview!L13</f>
        <v>0</v>
      </c>
      <c r="H13" s="17">
        <f>Overview!M13</f>
        <v>111552</v>
      </c>
      <c r="I13" s="292" t="str">
        <f>Overview!N13</f>
        <v/>
      </c>
    </row>
    <row r="14">
      <c r="A14" s="12" t="str">
        <f>Overview!A14</f>
        <v>2026-M03</v>
      </c>
      <c r="B14" s="12" t="str">
        <f>Overview!B14</f>
        <v>2026-W12</v>
      </c>
      <c r="C14" s="12">
        <f>Overview!C14</f>
        <v>18</v>
      </c>
      <c r="D14" s="12">
        <f>Overview!D14</f>
        <v>0</v>
      </c>
      <c r="E14" s="12">
        <f>Overview!E14</f>
        <v>18</v>
      </c>
      <c r="F14" s="17">
        <f>Overview!K14</f>
        <v>108303</v>
      </c>
      <c r="G14" s="17">
        <f>Overview!L14</f>
        <v>0</v>
      </c>
      <c r="H14" s="17">
        <f>Overview!M14</f>
        <v>108303</v>
      </c>
      <c r="I14" s="292" t="str">
        <f>Overview!N14</f>
        <v/>
      </c>
    </row>
    <row r="15">
      <c r="A15" s="12" t="str">
        <f>Overview!A15</f>
        <v>2026-M03</v>
      </c>
      <c r="B15" s="12" t="str">
        <f>Overview!B15</f>
        <v>2026-W13</v>
      </c>
      <c r="C15" s="291">
        <v>18.0</v>
      </c>
      <c r="D15" s="12">
        <f>Overview!D15</f>
        <v>0</v>
      </c>
      <c r="E15" s="12">
        <f>Overview!E15</f>
        <v>18</v>
      </c>
      <c r="F15" s="17">
        <f>Overview!K15</f>
        <v>102449</v>
      </c>
      <c r="G15" s="17">
        <f>Overview!L15</f>
        <v>0</v>
      </c>
      <c r="H15" s="17">
        <f>Overview!M15</f>
        <v>102449</v>
      </c>
      <c r="I15" s="292" t="str">
        <f>Overview!N15</f>
        <v/>
      </c>
    </row>
    <row r="16">
      <c r="A16" s="12" t="str">
        <f>Overview!A16</f>
        <v>2026-M04</v>
      </c>
      <c r="B16" s="12" t="str">
        <f>Overview!B16</f>
        <v>2026-W14</v>
      </c>
      <c r="C16" s="12">
        <f>Overview!C16</f>
        <v>18</v>
      </c>
      <c r="D16" s="12">
        <f>Overview!D16</f>
        <v>0</v>
      </c>
      <c r="E16" s="12">
        <f>Overview!E16</f>
        <v>18</v>
      </c>
      <c r="F16" s="17">
        <f>Overview!K16</f>
        <v>101162</v>
      </c>
      <c r="G16" s="17">
        <f>Overview!L16</f>
        <v>0</v>
      </c>
      <c r="H16" s="17">
        <f>Overview!M16</f>
        <v>101162</v>
      </c>
      <c r="I16" s="292" t="str">
        <f>Overview!N16</f>
        <v/>
      </c>
    </row>
    <row r="17">
      <c r="A17" s="12" t="str">
        <f>Overview!A17</f>
        <v>2026-M04</v>
      </c>
      <c r="B17" s="12" t="str">
        <f>Overview!B17</f>
        <v>2026-W15</v>
      </c>
      <c r="C17" s="12">
        <f>Overview!C17</f>
        <v>18</v>
      </c>
      <c r="D17" s="12">
        <f>Overview!D17</f>
        <v>0</v>
      </c>
      <c r="E17" s="12">
        <f>Overview!E17</f>
        <v>18</v>
      </c>
      <c r="F17" s="17">
        <f>Overview!K17</f>
        <v>89526</v>
      </c>
      <c r="G17" s="17">
        <f>Overview!L17</f>
        <v>0</v>
      </c>
      <c r="H17" s="17">
        <f>Overview!M17</f>
        <v>89526</v>
      </c>
      <c r="I17" s="292" t="str">
        <f>Overview!N17</f>
        <v/>
      </c>
    </row>
    <row r="18">
      <c r="A18" s="12" t="str">
        <f>Overview!A18</f>
        <v>2026-M04</v>
      </c>
      <c r="B18" s="12" t="str">
        <f>Overview!B18</f>
        <v>2026-W16</v>
      </c>
      <c r="C18" s="12">
        <f>Overview!C18</f>
        <v>18</v>
      </c>
      <c r="D18" s="12">
        <f>Overview!D18</f>
        <v>0</v>
      </c>
      <c r="E18" s="12">
        <f>Overview!E18</f>
        <v>18</v>
      </c>
      <c r="F18" s="17">
        <f>Overview!K18</f>
        <v>89602</v>
      </c>
      <c r="G18" s="17">
        <f>Overview!L18</f>
        <v>0</v>
      </c>
      <c r="H18" s="17">
        <f>Overview!M18</f>
        <v>89602</v>
      </c>
      <c r="I18" s="292" t="str">
        <f>Overview!N18</f>
        <v/>
      </c>
    </row>
    <row r="19">
      <c r="A19" s="12" t="str">
        <f>Overview!A19</f>
        <v>2026-M04</v>
      </c>
      <c r="B19" s="12" t="str">
        <f>Overview!B19</f>
        <v>2026-W17</v>
      </c>
      <c r="C19" s="12">
        <f>Overview!C19</f>
        <v>18</v>
      </c>
      <c r="D19" s="12">
        <f>Overview!D19</f>
        <v>0</v>
      </c>
      <c r="E19" s="12">
        <f>Overview!E19</f>
        <v>18</v>
      </c>
      <c r="F19" s="17">
        <f>Overview!K19</f>
        <v>94435</v>
      </c>
      <c r="G19" s="17">
        <f>Overview!L19</f>
        <v>0</v>
      </c>
      <c r="H19" s="17">
        <f>Overview!M19</f>
        <v>94435</v>
      </c>
      <c r="I19" s="292" t="str">
        <f>Overview!N19</f>
        <v/>
      </c>
    </row>
    <row r="20">
      <c r="A20" s="12" t="str">
        <f>Overview!A20</f>
        <v>2026-M04</v>
      </c>
      <c r="B20" s="12" t="str">
        <f>Overview!B20</f>
        <v>2026-W18</v>
      </c>
      <c r="C20" s="12">
        <f>Overview!C20</f>
        <v>18</v>
      </c>
      <c r="D20" s="12">
        <f>Overview!D20</f>
        <v>1</v>
      </c>
      <c r="E20" s="12">
        <f>Overview!E20</f>
        <v>17</v>
      </c>
      <c r="F20" s="17">
        <f>Overview!K20</f>
        <v>96855</v>
      </c>
      <c r="G20" s="17">
        <f>Overview!L20</f>
        <v>2905.65</v>
      </c>
      <c r="H20" s="17">
        <f>Overview!M20</f>
        <v>93949.35</v>
      </c>
      <c r="I20" s="292" t="str">
        <f>Overview!N20</f>
        <v/>
      </c>
    </row>
    <row r="21">
      <c r="A21" s="12" t="str">
        <f>Overview!A21</f>
        <v>2026-M05</v>
      </c>
      <c r="B21" s="12" t="str">
        <f>Overview!B21</f>
        <v>2026-W19</v>
      </c>
      <c r="C21" s="12">
        <f>Overview!C21</f>
        <v>21</v>
      </c>
      <c r="D21" s="12">
        <f>Overview!D21</f>
        <v>3</v>
      </c>
      <c r="E21" s="12">
        <f>Overview!E21</f>
        <v>18</v>
      </c>
      <c r="F21" s="17">
        <f>Overview!K21</f>
        <v>91564.04521</v>
      </c>
      <c r="G21" s="17">
        <f>Overview!L21</f>
        <v>7939.400536</v>
      </c>
      <c r="H21" s="17">
        <f>Overview!M21</f>
        <v>83624.64467</v>
      </c>
      <c r="I21" s="292" t="str">
        <f>Overview!N21</f>
        <v/>
      </c>
    </row>
    <row r="22">
      <c r="A22" s="12" t="str">
        <f>Overview!A22</f>
        <v>2026-M05</v>
      </c>
      <c r="B22" s="12" t="str">
        <f>Overview!B22</f>
        <v>2026-W20</v>
      </c>
      <c r="C22" s="12">
        <f>Overview!C22</f>
        <v>21</v>
      </c>
      <c r="D22" s="12">
        <f>Overview!D22</f>
        <v>5</v>
      </c>
      <c r="E22" s="12">
        <f>Overview!E22</f>
        <v>16</v>
      </c>
      <c r="F22" s="17">
        <f>Overview!K22</f>
        <v>96320.57686</v>
      </c>
      <c r="G22" s="17">
        <f>Overview!L22</f>
        <v>20179.16085</v>
      </c>
      <c r="H22" s="17">
        <f>Overview!M22</f>
        <v>76141.41601</v>
      </c>
      <c r="I22" s="292" t="str">
        <f>Overview!N22</f>
        <v/>
      </c>
    </row>
    <row r="23">
      <c r="A23" s="12" t="str">
        <f>Overview!A23</f>
        <v>2026-M05</v>
      </c>
      <c r="B23" s="12" t="str">
        <f>Overview!B23</f>
        <v>2026-W21</v>
      </c>
      <c r="C23" s="12">
        <f>Overview!C23</f>
        <v>21</v>
      </c>
      <c r="D23" s="12">
        <f>Overview!D23</f>
        <v>8</v>
      </c>
      <c r="E23" s="12">
        <f>Overview!E23</f>
        <v>13</v>
      </c>
      <c r="F23" s="17">
        <f>Overview!K23</f>
        <v>94607.06309</v>
      </c>
      <c r="G23" s="17">
        <f>Overview!L23</f>
        <v>29894.04622</v>
      </c>
      <c r="H23" s="17">
        <f>Overview!M23</f>
        <v>64713.01687</v>
      </c>
      <c r="I23" s="292" t="str">
        <f>Overview!N23</f>
        <v/>
      </c>
    </row>
    <row r="24">
      <c r="A24" s="12" t="str">
        <f>Overview!A24</f>
        <v>2026-M05</v>
      </c>
      <c r="B24" s="12" t="str">
        <f>Overview!B24</f>
        <v>2026-W22</v>
      </c>
      <c r="C24" s="12">
        <f>Overview!C24</f>
        <v>21</v>
      </c>
      <c r="D24" s="12">
        <f>Overview!D24</f>
        <v>12</v>
      </c>
      <c r="E24" s="12">
        <f>Overview!E24</f>
        <v>9</v>
      </c>
      <c r="F24" s="17">
        <f>Overview!K24</f>
        <v>93306.69799</v>
      </c>
      <c r="G24" s="17">
        <f>Overview!L24</f>
        <v>45440.36192</v>
      </c>
      <c r="H24" s="17">
        <f>Overview!M24</f>
        <v>47866.33607</v>
      </c>
      <c r="I24" s="292" t="str">
        <f>Overview!N24</f>
        <v/>
      </c>
    </row>
    <row r="25">
      <c r="A25" s="12" t="str">
        <f>Overview!A25</f>
        <v>2026-M06</v>
      </c>
      <c r="B25" s="12" t="str">
        <f>Overview!B25</f>
        <v>2026-W23</v>
      </c>
      <c r="C25" s="12">
        <f>Overview!C25</f>
        <v>24</v>
      </c>
      <c r="D25" s="12">
        <f>Overview!D25</f>
        <v>17</v>
      </c>
      <c r="E25" s="12">
        <f>Overview!E25</f>
        <v>7</v>
      </c>
      <c r="F25" s="17">
        <f>Overview!K25</f>
        <v>97109.83144</v>
      </c>
      <c r="G25" s="17">
        <f>Overview!L25</f>
        <v>61247.17069</v>
      </c>
      <c r="H25" s="17">
        <f>Overview!M25</f>
        <v>35862.66075</v>
      </c>
      <c r="I25" s="292" t="str">
        <f>Overview!N25</f>
        <v/>
      </c>
    </row>
    <row r="26">
      <c r="A26" s="12" t="str">
        <f>Overview!A26</f>
        <v>2026-M06</v>
      </c>
      <c r="B26" s="12" t="str">
        <f>Overview!B26</f>
        <v>2026-W24</v>
      </c>
      <c r="C26" s="12">
        <f>Overview!C26</f>
        <v>24</v>
      </c>
      <c r="D26" s="12">
        <f>Overview!D26</f>
        <v>19</v>
      </c>
      <c r="E26" s="12">
        <f>Overview!E26</f>
        <v>5</v>
      </c>
      <c r="F26" s="17">
        <f>Overview!K26</f>
        <v>94770.26665</v>
      </c>
      <c r="G26" s="17">
        <f>Overview!L26</f>
        <v>65448.34615</v>
      </c>
      <c r="H26" s="17">
        <f>Overview!M26</f>
        <v>29321.9205</v>
      </c>
      <c r="I26" s="292" t="str">
        <f>Overview!N26</f>
        <v/>
      </c>
    </row>
    <row r="27">
      <c r="A27" s="12" t="str">
        <f>Overview!A27</f>
        <v>2026-M06</v>
      </c>
      <c r="B27" s="12" t="str">
        <f>Overview!B27</f>
        <v>2026-W25</v>
      </c>
      <c r="C27" s="12">
        <f>Overview!C27</f>
        <v>24</v>
      </c>
      <c r="D27" s="12">
        <f>Overview!D27</f>
        <v>20</v>
      </c>
      <c r="E27" s="12">
        <f>Overview!E27</f>
        <v>4</v>
      </c>
      <c r="F27" s="17">
        <f>Overview!K27</f>
        <v>94018.85899</v>
      </c>
      <c r="G27" s="17">
        <f>Overview!L27</f>
        <v>75403.12491</v>
      </c>
      <c r="H27" s="17">
        <f>Overview!M27</f>
        <v>18615.73408</v>
      </c>
      <c r="I27" s="292" t="str">
        <f>Overview!N27</f>
        <v/>
      </c>
    </row>
    <row r="28">
      <c r="A28" s="12" t="str">
        <f>Overview!A28</f>
        <v>2026-M06</v>
      </c>
      <c r="B28" s="12" t="str">
        <f>Overview!B28</f>
        <v>2026-W26</v>
      </c>
      <c r="C28" s="12">
        <f>Overview!C28</f>
        <v>24</v>
      </c>
      <c r="D28" s="12">
        <f>Overview!D28</f>
        <v>21</v>
      </c>
      <c r="E28" s="12">
        <f>Overview!E28</f>
        <v>3</v>
      </c>
      <c r="F28" s="17">
        <f>Overview!K28</f>
        <v>91768.27403</v>
      </c>
      <c r="G28" s="17">
        <f>Overview!L28</f>
        <v>79397.91069</v>
      </c>
      <c r="H28" s="17">
        <f>Overview!M28</f>
        <v>12370.36334</v>
      </c>
      <c r="I28" s="292" t="str">
        <f>Overview!N28</f>
        <v/>
      </c>
    </row>
    <row r="29">
      <c r="A29" s="12" t="str">
        <f>Overview!A29</f>
        <v>2026-M07</v>
      </c>
      <c r="B29" s="12" t="str">
        <f>Overview!B29</f>
        <v>2026-W27</v>
      </c>
      <c r="C29" s="12">
        <f>Overview!C29</f>
        <v>27</v>
      </c>
      <c r="D29" s="12">
        <f>Overview!D29</f>
        <v>24</v>
      </c>
      <c r="E29" s="12">
        <f>Overview!E29</f>
        <v>3</v>
      </c>
      <c r="F29" s="17">
        <f>Overview!K29</f>
        <v>91839.04569</v>
      </c>
      <c r="G29" s="17">
        <f>Overview!L29</f>
        <v>79459.14233</v>
      </c>
      <c r="H29" s="17">
        <f>Overview!M29</f>
        <v>12379.90336</v>
      </c>
      <c r="I29" s="292" t="str">
        <f>Overview!N29</f>
        <v/>
      </c>
    </row>
    <row r="30">
      <c r="A30" s="12" t="str">
        <f>Overview!A30</f>
        <v>2026-M07</v>
      </c>
      <c r="B30" s="12" t="str">
        <f>Overview!B30</f>
        <v>2026-W28</v>
      </c>
      <c r="C30" s="12">
        <f>Overview!C30</f>
        <v>27</v>
      </c>
      <c r="D30" s="12">
        <f>Overview!D30</f>
        <v>24</v>
      </c>
      <c r="E30" s="12">
        <f>Overview!E30</f>
        <v>3</v>
      </c>
      <c r="F30" s="17">
        <f>Overview!K30</f>
        <v>87183.68776</v>
      </c>
      <c r="G30" s="17">
        <f>Overview!L30</f>
        <v>78465.31898</v>
      </c>
      <c r="H30" s="17">
        <f>Overview!M30</f>
        <v>11752.36111</v>
      </c>
      <c r="I30" s="292" t="str">
        <f>Overview!N30</f>
        <v/>
      </c>
    </row>
    <row r="31">
      <c r="A31" s="12" t="str">
        <f>Overview!A31</f>
        <v>2026-M07</v>
      </c>
      <c r="B31" s="12" t="str">
        <f>Overview!B31</f>
        <v>2026-W29</v>
      </c>
      <c r="C31" s="12">
        <f>Overview!C31</f>
        <v>27</v>
      </c>
      <c r="D31" s="12">
        <f>Overview!D31</f>
        <v>24</v>
      </c>
      <c r="E31" s="12">
        <f>Overview!E31</f>
        <v>3</v>
      </c>
      <c r="F31" s="17">
        <f>Overview!K31</f>
        <v>81417.29017</v>
      </c>
      <c r="G31" s="17">
        <f>Overview!L31</f>
        <v>73275.56115</v>
      </c>
      <c r="H31" s="17">
        <f>Overview!M31</f>
        <v>10975.05071</v>
      </c>
      <c r="I31" s="292" t="str">
        <f>Overview!N31</f>
        <v/>
      </c>
    </row>
    <row r="32">
      <c r="A32" s="12" t="str">
        <f>Overview!A32</f>
        <v>2026-M07</v>
      </c>
      <c r="B32" s="12" t="str">
        <f>Overview!B32</f>
        <v>2026-W30</v>
      </c>
      <c r="C32" s="12">
        <f>Overview!C32</f>
        <v>27</v>
      </c>
      <c r="D32" s="12">
        <f>Overview!D32</f>
        <v>25</v>
      </c>
      <c r="E32" s="12">
        <f>Overview!E32</f>
        <v>2</v>
      </c>
      <c r="F32" s="17">
        <f>Overview!K32</f>
        <v>77331.32839</v>
      </c>
      <c r="G32" s="17">
        <f>Overview!L32</f>
        <v>69598.19555</v>
      </c>
      <c r="H32" s="17">
        <f>Overview!M32</f>
        <v>8715.240709</v>
      </c>
      <c r="I32" s="292" t="str">
        <f>Overview!N32</f>
        <v/>
      </c>
    </row>
    <row r="33">
      <c r="A33" s="12" t="str">
        <f>Overview!A33</f>
        <v>2026-M07</v>
      </c>
      <c r="B33" s="12" t="str">
        <f>Overview!B33</f>
        <v>2026-W31</v>
      </c>
      <c r="C33" s="12">
        <f>Overview!C33</f>
        <v>30</v>
      </c>
      <c r="D33" s="12">
        <f>Overview!D33</f>
        <v>30</v>
      </c>
      <c r="E33" s="12">
        <f>Overview!E33</f>
        <v>0</v>
      </c>
      <c r="F33" s="17">
        <f>Overview!K33</f>
        <v>77290.84968</v>
      </c>
      <c r="G33" s="17">
        <f>Overview!L33</f>
        <v>77290.84968</v>
      </c>
      <c r="H33" s="17">
        <f>Overview!M33</f>
        <v>0</v>
      </c>
      <c r="I33" s="292" t="str">
        <f>Overview!N33</f>
        <v/>
      </c>
    </row>
    <row r="34">
      <c r="A34" s="12" t="str">
        <f>Overview!A34</f>
        <v>2026-M08</v>
      </c>
      <c r="B34" s="12" t="str">
        <f>Overview!B34</f>
        <v>2026-W32</v>
      </c>
      <c r="C34" s="12">
        <f>Overview!C34</f>
        <v>30</v>
      </c>
      <c r="D34" s="12">
        <f>Overview!D34</f>
        <v>30</v>
      </c>
      <c r="E34" s="12">
        <f>Overview!E34</f>
        <v>0</v>
      </c>
      <c r="F34" s="17">
        <f>Overview!K34</f>
        <v>79262.82874</v>
      </c>
      <c r="G34" s="17">
        <f>Overview!L34</f>
        <v>79262.82874</v>
      </c>
      <c r="H34" s="17">
        <f>Overview!M34</f>
        <v>0</v>
      </c>
      <c r="I34" s="292" t="str">
        <f>Overview!N34</f>
        <v/>
      </c>
    </row>
    <row r="35">
      <c r="A35" s="12" t="str">
        <f>Overview!A35</f>
        <v>2026-M08</v>
      </c>
      <c r="B35" s="12" t="str">
        <f>Overview!B35</f>
        <v>2026-W33</v>
      </c>
      <c r="C35" s="12">
        <f>Overview!C35</f>
        <v>30</v>
      </c>
      <c r="D35" s="12">
        <f>Overview!D35</f>
        <v>30</v>
      </c>
      <c r="E35" s="12">
        <f>Overview!E35</f>
        <v>0</v>
      </c>
      <c r="F35" s="17">
        <f>Overview!K35</f>
        <v>84794.2964</v>
      </c>
      <c r="G35" s="17">
        <f>Overview!L35</f>
        <v>84794.2964</v>
      </c>
      <c r="H35" s="17">
        <f>Overview!M35</f>
        <v>0</v>
      </c>
      <c r="I35" s="292" t="str">
        <f>Overview!N35</f>
        <v/>
      </c>
    </row>
    <row r="36">
      <c r="A36" s="12" t="str">
        <f>Overview!A36</f>
        <v>2026-M08</v>
      </c>
      <c r="B36" s="12" t="str">
        <f>Overview!B36</f>
        <v>2026-W34</v>
      </c>
      <c r="C36" s="12">
        <f>Overview!C36</f>
        <v>30</v>
      </c>
      <c r="D36" s="12">
        <f>Overview!D36</f>
        <v>30</v>
      </c>
      <c r="E36" s="12">
        <f>Overview!E36</f>
        <v>0</v>
      </c>
      <c r="F36" s="17">
        <f>Overview!K36</f>
        <v>94709.68333</v>
      </c>
      <c r="G36" s="17">
        <f>Overview!L36</f>
        <v>94709.68333</v>
      </c>
      <c r="H36" s="17">
        <f>Overview!M36</f>
        <v>0</v>
      </c>
      <c r="I36" s="292" t="str">
        <f>Overview!N36</f>
        <v/>
      </c>
    </row>
    <row r="37">
      <c r="A37" s="12" t="str">
        <f>Overview!A37</f>
        <v>2026-M08</v>
      </c>
      <c r="B37" s="12" t="str">
        <f>Overview!B37</f>
        <v>2026-W35</v>
      </c>
      <c r="C37" s="12">
        <f>Overview!C37</f>
        <v>33</v>
      </c>
      <c r="D37" s="12">
        <f>Overview!D37</f>
        <v>33</v>
      </c>
      <c r="E37" s="12">
        <f>Overview!E37</f>
        <v>0</v>
      </c>
      <c r="F37" s="17">
        <f>Overview!K37</f>
        <v>99479.92326</v>
      </c>
      <c r="G37" s="17">
        <f>Overview!L37</f>
        <v>99479.92326</v>
      </c>
      <c r="H37" s="17">
        <f>Overview!M37</f>
        <v>0</v>
      </c>
      <c r="I37" s="292" t="str">
        <f>Overview!N37</f>
        <v/>
      </c>
    </row>
    <row r="38">
      <c r="A38" s="12" t="str">
        <f>Overview!A38</f>
        <v>2026-M09</v>
      </c>
      <c r="B38" s="12" t="str">
        <f>Overview!B38</f>
        <v>2026-W36</v>
      </c>
      <c r="C38" s="12">
        <f>Overview!C38</f>
        <v>33</v>
      </c>
      <c r="D38" s="12">
        <f>Overview!D38</f>
        <v>33</v>
      </c>
      <c r="E38" s="12">
        <f>Overview!E38</f>
        <v>0</v>
      </c>
      <c r="F38" s="17">
        <f>Overview!K38</f>
        <v>105129.2208</v>
      </c>
      <c r="G38" s="17">
        <f>Overview!L38</f>
        <v>105129.2208</v>
      </c>
      <c r="H38" s="17">
        <f>Overview!M38</f>
        <v>0</v>
      </c>
      <c r="I38" s="292" t="str">
        <f>Overview!N38</f>
        <v/>
      </c>
    </row>
    <row r="39">
      <c r="A39" s="12" t="str">
        <f>Overview!A39</f>
        <v>2026-M09</v>
      </c>
      <c r="B39" s="12" t="str">
        <f>Overview!B39</f>
        <v>2026-W37</v>
      </c>
      <c r="C39" s="12">
        <f>Overview!C39</f>
        <v>33</v>
      </c>
      <c r="D39" s="12">
        <f>Overview!D39</f>
        <v>33</v>
      </c>
      <c r="E39" s="12">
        <f>Overview!E39</f>
        <v>0</v>
      </c>
      <c r="F39" s="17">
        <f>Overview!K39</f>
        <v>117041.4295</v>
      </c>
      <c r="G39" s="17">
        <f>Overview!L39</f>
        <v>117041.4295</v>
      </c>
      <c r="H39" s="17">
        <f>Overview!M39</f>
        <v>0</v>
      </c>
      <c r="I39" s="292" t="str">
        <f>Overview!N39</f>
        <v/>
      </c>
    </row>
    <row r="40">
      <c r="A40" s="12" t="str">
        <f>Overview!A40</f>
        <v>2026-M09</v>
      </c>
      <c r="B40" s="12" t="str">
        <f>Overview!B40</f>
        <v>2026-W38</v>
      </c>
      <c r="C40" s="12">
        <f>Overview!C40</f>
        <v>33</v>
      </c>
      <c r="D40" s="12">
        <f>Overview!D40</f>
        <v>33</v>
      </c>
      <c r="E40" s="12">
        <f>Overview!E40</f>
        <v>0</v>
      </c>
      <c r="F40" s="17">
        <f>Overview!K40</f>
        <v>128475.8442</v>
      </c>
      <c r="G40" s="17">
        <f>Overview!L40</f>
        <v>128475.8442</v>
      </c>
      <c r="H40" s="17">
        <f>Overview!M40</f>
        <v>0</v>
      </c>
      <c r="I40" s="292" t="str">
        <f>Overview!N40</f>
        <v/>
      </c>
    </row>
    <row r="41">
      <c r="A41" s="12" t="str">
        <f>Overview!A41</f>
        <v>2026-M09</v>
      </c>
      <c r="B41" s="12" t="str">
        <f>Overview!B41</f>
        <v>2026-W39</v>
      </c>
      <c r="C41" s="12">
        <f>Overview!C41</f>
        <v>33</v>
      </c>
      <c r="D41" s="12">
        <f>Overview!D41</f>
        <v>33</v>
      </c>
      <c r="E41" s="12">
        <f>Overview!E41</f>
        <v>0</v>
      </c>
      <c r="F41" s="17">
        <f>Overview!K41</f>
        <v>137268.1358</v>
      </c>
      <c r="G41" s="17">
        <f>Overview!L41</f>
        <v>137268.1358</v>
      </c>
      <c r="H41" s="17">
        <f>Overview!M41</f>
        <v>0</v>
      </c>
      <c r="I41" s="292" t="str">
        <f>Overview!N41</f>
        <v/>
      </c>
    </row>
    <row r="42">
      <c r="A42" s="12" t="str">
        <f>Overview!A42</f>
        <v>2026-M10</v>
      </c>
      <c r="B42" s="12" t="str">
        <f>Overview!B42</f>
        <v>2026-W40</v>
      </c>
      <c r="C42" s="12">
        <f>Overview!C42</f>
        <v>33</v>
      </c>
      <c r="D42" s="12">
        <f>Overview!D42</f>
        <v>33</v>
      </c>
      <c r="E42" s="12">
        <f>Overview!E42</f>
        <v>0</v>
      </c>
      <c r="F42" s="17">
        <f>Overview!K42</f>
        <v>148374.0916</v>
      </c>
      <c r="G42" s="17">
        <f>Overview!L42</f>
        <v>148374.0916</v>
      </c>
      <c r="H42" s="17">
        <f>Overview!M42</f>
        <v>0</v>
      </c>
      <c r="I42" s="292" t="str">
        <f>Overview!N42</f>
        <v/>
      </c>
    </row>
    <row r="43">
      <c r="A43" s="12" t="str">
        <f>Overview!A43</f>
        <v>2026-M10</v>
      </c>
      <c r="B43" s="12" t="str">
        <f>Overview!B43</f>
        <v>2026-W41</v>
      </c>
      <c r="C43" s="12">
        <f>Overview!C43</f>
        <v>33</v>
      </c>
      <c r="D43" s="12">
        <f>Overview!D43</f>
        <v>33</v>
      </c>
      <c r="E43" s="12">
        <f>Overview!E43</f>
        <v>0</v>
      </c>
      <c r="F43" s="17">
        <f>Overview!K43</f>
        <v>152892.8252</v>
      </c>
      <c r="G43" s="17">
        <f>Overview!L43</f>
        <v>152892.8252</v>
      </c>
      <c r="H43" s="17">
        <f>Overview!M43</f>
        <v>0</v>
      </c>
      <c r="I43" s="292" t="str">
        <f>Overview!N43</f>
        <v/>
      </c>
    </row>
    <row r="44">
      <c r="A44" s="12" t="str">
        <f>Overview!A44</f>
        <v>2026-M10</v>
      </c>
      <c r="B44" s="12" t="str">
        <f>Overview!B44</f>
        <v>2026-W42</v>
      </c>
      <c r="C44" s="12">
        <f>Overview!C44</f>
        <v>33</v>
      </c>
      <c r="D44" s="12">
        <f>Overview!D44</f>
        <v>33</v>
      </c>
      <c r="E44" s="12">
        <f>Overview!E44</f>
        <v>0</v>
      </c>
      <c r="F44" s="17">
        <f>Overview!K44</f>
        <v>146998.3616</v>
      </c>
      <c r="G44" s="17">
        <f>Overview!L44</f>
        <v>146998.3616</v>
      </c>
      <c r="H44" s="17">
        <f>Overview!M44</f>
        <v>0</v>
      </c>
      <c r="I44" s="292" t="str">
        <f>Overview!N44</f>
        <v/>
      </c>
    </row>
    <row r="45">
      <c r="A45" s="12" t="str">
        <f>Overview!A45</f>
        <v>2026-M10</v>
      </c>
      <c r="B45" s="12" t="str">
        <f>Overview!B45</f>
        <v>2026-W43</v>
      </c>
      <c r="C45" s="12">
        <f>Overview!C45</f>
        <v>33</v>
      </c>
      <c r="D45" s="12">
        <f>Overview!D45</f>
        <v>33</v>
      </c>
      <c r="E45" s="12">
        <f>Overview!E45</f>
        <v>0</v>
      </c>
      <c r="F45" s="17">
        <f>Overview!K45</f>
        <v>148101.7234</v>
      </c>
      <c r="G45" s="17">
        <f>Overview!L45</f>
        <v>148101.7234</v>
      </c>
      <c r="H45" s="17">
        <f>Overview!M45</f>
        <v>0</v>
      </c>
      <c r="I45" s="292" t="str">
        <f>Overview!N45</f>
        <v/>
      </c>
    </row>
    <row r="46">
      <c r="A46" s="12" t="str">
        <f>Overview!A46</f>
        <v>2026-M10</v>
      </c>
      <c r="B46" s="12" t="str">
        <f>Overview!B46</f>
        <v>2026-W44</v>
      </c>
      <c r="C46" s="12">
        <f>Overview!C46</f>
        <v>33</v>
      </c>
      <c r="D46" s="12">
        <f>Overview!D46</f>
        <v>33</v>
      </c>
      <c r="E46" s="12">
        <f>Overview!E46</f>
        <v>0</v>
      </c>
      <c r="F46" s="17">
        <f>Overview!K46</f>
        <v>145999.2839</v>
      </c>
      <c r="G46" s="17">
        <f>Overview!L46</f>
        <v>145999.2839</v>
      </c>
      <c r="H46" s="17">
        <f>Overview!M46</f>
        <v>0</v>
      </c>
      <c r="I46" s="292" t="str">
        <f>Overview!N46</f>
        <v/>
      </c>
    </row>
    <row r="47">
      <c r="A47" s="12" t="str">
        <f>Overview!A47</f>
        <v>2026-M11</v>
      </c>
      <c r="B47" s="12" t="str">
        <f>Overview!B47</f>
        <v>2026-W45</v>
      </c>
      <c r="C47" s="12">
        <f>Overview!C47</f>
        <v>33</v>
      </c>
      <c r="D47" s="12">
        <f>Overview!D47</f>
        <v>33</v>
      </c>
      <c r="E47" s="12">
        <f>Overview!E47</f>
        <v>0</v>
      </c>
      <c r="F47" s="17">
        <f>Overview!K47</f>
        <v>152122.9726</v>
      </c>
      <c r="G47" s="17">
        <f>Overview!L47</f>
        <v>152122.9726</v>
      </c>
      <c r="H47" s="17">
        <f>Overview!M47</f>
        <v>0</v>
      </c>
      <c r="I47" s="292" t="str">
        <f>Overview!N47</f>
        <v/>
      </c>
    </row>
    <row r="48">
      <c r="A48" s="12" t="str">
        <f>Overview!A48</f>
        <v>2026-M11</v>
      </c>
      <c r="B48" s="12" t="str">
        <f>Overview!B48</f>
        <v>2026-W46</v>
      </c>
      <c r="C48" s="12">
        <f>Overview!C48</f>
        <v>33</v>
      </c>
      <c r="D48" s="12">
        <f>Overview!D48</f>
        <v>33</v>
      </c>
      <c r="E48" s="12">
        <f>Overview!E48</f>
        <v>0</v>
      </c>
      <c r="F48" s="17">
        <f>Overview!K48</f>
        <v>152795.9749</v>
      </c>
      <c r="G48" s="17">
        <f>Overview!L48</f>
        <v>152795.9749</v>
      </c>
      <c r="H48" s="17">
        <f>Overview!M48</f>
        <v>0</v>
      </c>
      <c r="I48" s="292" t="str">
        <f>Overview!N48</f>
        <v/>
      </c>
    </row>
    <row r="49">
      <c r="A49" s="12" t="str">
        <f>Overview!A49</f>
        <v>2026-M11</v>
      </c>
      <c r="B49" s="12" t="str">
        <f>Overview!B49</f>
        <v>2026-W47</v>
      </c>
      <c r="C49" s="12">
        <f>Overview!C49</f>
        <v>33</v>
      </c>
      <c r="D49" s="12">
        <f>Overview!D49</f>
        <v>33</v>
      </c>
      <c r="E49" s="12">
        <f>Overview!E49</f>
        <v>0</v>
      </c>
      <c r="F49" s="17">
        <f>Overview!K49</f>
        <v>148002.7542</v>
      </c>
      <c r="G49" s="17">
        <f>Overview!L49</f>
        <v>148002.7542</v>
      </c>
      <c r="H49" s="17">
        <f>Overview!M49</f>
        <v>0</v>
      </c>
      <c r="I49" s="292" t="str">
        <f>Overview!N49</f>
        <v/>
      </c>
    </row>
    <row r="50">
      <c r="A50" s="12" t="str">
        <f>Overview!A50</f>
        <v>2026-M11</v>
      </c>
      <c r="B50" s="12" t="str">
        <f>Overview!B50</f>
        <v>2026-W48</v>
      </c>
      <c r="C50" s="12">
        <f>Overview!C50</f>
        <v>33</v>
      </c>
      <c r="D50" s="12">
        <f>Overview!D50</f>
        <v>33</v>
      </c>
      <c r="E50" s="12">
        <f>Overview!E50</f>
        <v>0</v>
      </c>
      <c r="F50" s="17">
        <f>Overview!K50</f>
        <v>149317.4243</v>
      </c>
      <c r="G50" s="17">
        <f>Overview!L50</f>
        <v>149317.4243</v>
      </c>
      <c r="H50" s="17">
        <f>Overview!M50</f>
        <v>0</v>
      </c>
      <c r="I50" s="292" t="str">
        <f>Overview!N50</f>
        <v/>
      </c>
    </row>
    <row r="51">
      <c r="A51" s="12" t="str">
        <f>Overview!A51</f>
        <v>2026-M12</v>
      </c>
      <c r="B51" s="12" t="str">
        <f>Overview!B51</f>
        <v>2026-W49</v>
      </c>
      <c r="C51" s="12">
        <f>Overview!C51</f>
        <v>36</v>
      </c>
      <c r="D51" s="12">
        <f>Overview!D51</f>
        <v>36</v>
      </c>
      <c r="E51" s="12">
        <f>Overview!E51</f>
        <v>0</v>
      </c>
      <c r="F51" s="17">
        <f>Overview!K51</f>
        <v>147621.1677</v>
      </c>
      <c r="G51" s="17">
        <f>Overview!L51</f>
        <v>147621.1677</v>
      </c>
      <c r="H51" s="17">
        <f>Overview!M51</f>
        <v>0</v>
      </c>
      <c r="I51" s="292" t="str">
        <f>Overview!N51</f>
        <v/>
      </c>
    </row>
    <row r="52">
      <c r="A52" s="12" t="str">
        <f>Overview!A52</f>
        <v>2026-M12</v>
      </c>
      <c r="B52" s="12" t="str">
        <f>Overview!B52</f>
        <v>2026-W50</v>
      </c>
      <c r="C52" s="12">
        <f>Overview!C52</f>
        <v>36</v>
      </c>
      <c r="D52" s="12">
        <f>Overview!D52</f>
        <v>36</v>
      </c>
      <c r="E52" s="12">
        <f>Overview!E52</f>
        <v>0</v>
      </c>
      <c r="F52" s="17">
        <f>Overview!K52</f>
        <v>133513.8388</v>
      </c>
      <c r="G52" s="17">
        <f>Overview!L52</f>
        <v>133513.8388</v>
      </c>
      <c r="H52" s="17">
        <f>Overview!M52</f>
        <v>0</v>
      </c>
      <c r="I52" s="292" t="str">
        <f>Overview!N52</f>
        <v/>
      </c>
    </row>
    <row r="53">
      <c r="A53" s="12" t="str">
        <f>Overview!A53</f>
        <v>2026-M12</v>
      </c>
      <c r="B53" s="12" t="str">
        <f>Overview!B53</f>
        <v>2026-W51</v>
      </c>
      <c r="C53" s="12">
        <f>Overview!C53</f>
        <v>36</v>
      </c>
      <c r="D53" s="12">
        <f>Overview!D53</f>
        <v>36</v>
      </c>
      <c r="E53" s="12">
        <f>Overview!E53</f>
        <v>0</v>
      </c>
      <c r="F53" s="17">
        <f>Overview!K53</f>
        <v>119937.9799</v>
      </c>
      <c r="G53" s="17">
        <f>Overview!L53</f>
        <v>119937.9799</v>
      </c>
      <c r="H53" s="17">
        <f>Overview!M53</f>
        <v>0</v>
      </c>
      <c r="I53" s="292" t="str">
        <f>Overview!N53</f>
        <v/>
      </c>
    </row>
    <row r="54">
      <c r="A54" s="12" t="str">
        <f>Overview!A54</f>
        <v>2026-M12</v>
      </c>
      <c r="B54" s="12" t="str">
        <f>Overview!B54</f>
        <v>2026-W52</v>
      </c>
      <c r="C54" s="12">
        <f>Overview!C54</f>
        <v>36</v>
      </c>
      <c r="D54" s="12">
        <f>Overview!D54</f>
        <v>36</v>
      </c>
      <c r="E54" s="12">
        <f>Overview!E54</f>
        <v>0</v>
      </c>
      <c r="F54" s="17">
        <f>Overview!K54</f>
        <v>74599.90376</v>
      </c>
      <c r="G54" s="17">
        <f>Overview!L54</f>
        <v>74599.90376</v>
      </c>
      <c r="H54" s="17">
        <f>Overview!M54</f>
        <v>0</v>
      </c>
      <c r="I54" s="292" t="str">
        <f>Overview!N54</f>
        <v/>
      </c>
    </row>
    <row r="55">
      <c r="A55" s="12" t="str">
        <f>Overview!A55</f>
        <v/>
      </c>
      <c r="B55" s="12" t="str">
        <f>Overview!B55</f>
        <v/>
      </c>
      <c r="C55" s="12" t="str">
        <f>Overview!C55</f>
        <v/>
      </c>
      <c r="D55" s="12" t="str">
        <f>Overview!D55</f>
        <v/>
      </c>
      <c r="E55" s="12" t="str">
        <f>Overview!E55</f>
        <v/>
      </c>
      <c r="F55" s="12" t="str">
        <f>Overview!K55</f>
        <v/>
      </c>
      <c r="G55" s="12" t="str">
        <f>Overview!L55</f>
        <v/>
      </c>
      <c r="H55" s="12" t="str">
        <f>Overview!M55</f>
        <v/>
      </c>
      <c r="I55" s="292" t="str">
        <f>Overview!N55</f>
        <v/>
      </c>
    </row>
    <row r="56">
      <c r="A56" s="12" t="str">
        <f>Overview!A56</f>
        <v/>
      </c>
      <c r="B56" s="12" t="str">
        <f>Overview!B56</f>
        <v/>
      </c>
      <c r="C56" s="12" t="str">
        <f>Overview!C56</f>
        <v/>
      </c>
      <c r="D56" s="12" t="str">
        <f>Overview!D56</f>
        <v/>
      </c>
      <c r="E56" s="12" t="str">
        <f>Overview!E56</f>
        <v/>
      </c>
      <c r="F56" s="12" t="str">
        <f>Overview!K56</f>
        <v/>
      </c>
      <c r="G56" s="12" t="str">
        <f>Overview!L56</f>
        <v/>
      </c>
      <c r="H56" s="12" t="str">
        <f>Overview!M56</f>
        <v/>
      </c>
      <c r="I56" s="292" t="str">
        <f>Overview!N56</f>
        <v/>
      </c>
    </row>
    <row r="57">
      <c r="A57" s="12" t="str">
        <f>Overview!A57</f>
        <v/>
      </c>
      <c r="B57" s="12" t="str">
        <f>Overview!B57</f>
        <v/>
      </c>
      <c r="C57" s="12" t="str">
        <f>Overview!C57</f>
        <v/>
      </c>
      <c r="D57" s="12" t="str">
        <f>Overview!D57</f>
        <v/>
      </c>
      <c r="E57" s="12" t="str">
        <f>Overview!E57</f>
        <v/>
      </c>
      <c r="F57" s="12" t="str">
        <f>Overview!K57</f>
        <v/>
      </c>
      <c r="G57" s="12" t="str">
        <f>Overview!L57</f>
        <v/>
      </c>
      <c r="H57" s="12" t="str">
        <f>Overview!M57</f>
        <v/>
      </c>
      <c r="I57" s="292" t="str">
        <f>Overview!N57</f>
        <v/>
      </c>
    </row>
    <row r="58">
      <c r="A58" s="12" t="str">
        <f>Overview!A58</f>
        <v/>
      </c>
      <c r="B58" s="12" t="str">
        <f>Overview!B58</f>
        <v/>
      </c>
      <c r="C58" s="12" t="str">
        <f>Overview!C58</f>
        <v/>
      </c>
      <c r="D58" s="12" t="str">
        <f>Overview!D58</f>
        <v/>
      </c>
      <c r="E58" s="12" t="str">
        <f>Overview!E58</f>
        <v/>
      </c>
      <c r="F58" s="12" t="str">
        <f>Overview!K58</f>
        <v/>
      </c>
      <c r="G58" s="12" t="str">
        <f>Overview!L58</f>
        <v/>
      </c>
      <c r="H58" s="12" t="str">
        <f>Overview!M58</f>
        <v/>
      </c>
      <c r="I58" s="292" t="str">
        <f>Overview!N58</f>
        <v/>
      </c>
    </row>
    <row r="59">
      <c r="A59" s="12" t="str">
        <f>Overview!A59</f>
        <v/>
      </c>
      <c r="B59" s="12" t="str">
        <f>Overview!B59</f>
        <v/>
      </c>
      <c r="C59" s="12" t="str">
        <f>Overview!C59</f>
        <v/>
      </c>
      <c r="D59" s="12" t="str">
        <f>Overview!D59</f>
        <v/>
      </c>
      <c r="E59" s="12" t="str">
        <f>Overview!E59</f>
        <v/>
      </c>
      <c r="F59" s="12" t="str">
        <f>Overview!K59</f>
        <v/>
      </c>
      <c r="G59" s="12" t="str">
        <f>Overview!L59</f>
        <v/>
      </c>
      <c r="H59" s="12" t="str">
        <f>Overview!M59</f>
        <v/>
      </c>
      <c r="I59" s="292" t="str">
        <f>Overview!N59</f>
        <v/>
      </c>
    </row>
    <row r="60">
      <c r="A60" s="12" t="str">
        <f>Overview!A60</f>
        <v/>
      </c>
      <c r="B60" s="12" t="str">
        <f>Overview!B60</f>
        <v/>
      </c>
      <c r="C60" s="12" t="str">
        <f>Overview!C60</f>
        <v/>
      </c>
      <c r="D60" s="12" t="str">
        <f>Overview!D60</f>
        <v/>
      </c>
      <c r="E60" s="12" t="str">
        <f>Overview!E60</f>
        <v/>
      </c>
      <c r="F60" s="12" t="str">
        <f>Overview!K60</f>
        <v/>
      </c>
      <c r="G60" s="12" t="str">
        <f>Overview!L60</f>
        <v/>
      </c>
      <c r="H60" s="12" t="str">
        <f>Overview!M60</f>
        <v/>
      </c>
      <c r="I60" s="292" t="str">
        <f>Overview!N60</f>
        <v/>
      </c>
    </row>
    <row r="61">
      <c r="A61" s="12" t="str">
        <f>Overview!A61</f>
        <v/>
      </c>
      <c r="B61" s="12" t="str">
        <f>Overview!B61</f>
        <v/>
      </c>
      <c r="C61" s="12" t="str">
        <f>Overview!C61</f>
        <v/>
      </c>
      <c r="D61" s="12" t="str">
        <f>Overview!D61</f>
        <v/>
      </c>
      <c r="E61" s="12" t="str">
        <f>Overview!E61</f>
        <v/>
      </c>
      <c r="F61" s="12" t="str">
        <f>Overview!K61</f>
        <v/>
      </c>
      <c r="G61" s="12" t="str">
        <f>Overview!L61</f>
        <v/>
      </c>
      <c r="H61" s="12" t="str">
        <f>Overview!M61</f>
        <v/>
      </c>
      <c r="I61" s="292" t="str">
        <f>Overview!N61</f>
        <v/>
      </c>
    </row>
    <row r="62">
      <c r="A62" s="12" t="str">
        <f>Overview!A62</f>
        <v/>
      </c>
      <c r="B62" s="12" t="str">
        <f>Overview!B62</f>
        <v/>
      </c>
      <c r="C62" s="12" t="str">
        <f>Overview!C62</f>
        <v/>
      </c>
      <c r="D62" s="12" t="str">
        <f>Overview!D62</f>
        <v/>
      </c>
      <c r="E62" s="12" t="str">
        <f>Overview!E62</f>
        <v/>
      </c>
      <c r="F62" s="12" t="str">
        <f>Overview!K62</f>
        <v/>
      </c>
      <c r="G62" s="12" t="str">
        <f>Overview!L62</f>
        <v/>
      </c>
      <c r="H62" s="12" t="str">
        <f>Overview!M62</f>
        <v/>
      </c>
      <c r="I62" s="292" t="str">
        <f>Overview!N62</f>
        <v/>
      </c>
    </row>
    <row r="63">
      <c r="A63" s="12" t="str">
        <f>Overview!A63</f>
        <v/>
      </c>
      <c r="B63" s="12" t="str">
        <f>Overview!B63</f>
        <v/>
      </c>
      <c r="C63" s="12" t="str">
        <f>Overview!C63</f>
        <v/>
      </c>
      <c r="D63" s="12" t="str">
        <f>Overview!D63</f>
        <v/>
      </c>
      <c r="E63" s="12" t="str">
        <f>Overview!E63</f>
        <v/>
      </c>
      <c r="F63" s="12" t="str">
        <f>Overview!K63</f>
        <v/>
      </c>
      <c r="G63" s="12" t="str">
        <f>Overview!L63</f>
        <v/>
      </c>
      <c r="H63" s="12" t="str">
        <f>Overview!M63</f>
        <v/>
      </c>
      <c r="I63" s="292" t="str">
        <f>Overview!N63</f>
        <v/>
      </c>
    </row>
    <row r="64">
      <c r="A64" s="12" t="str">
        <f>Overview!A64</f>
        <v/>
      </c>
      <c r="B64" s="12" t="str">
        <f>Overview!B64</f>
        <v/>
      </c>
      <c r="C64" s="12" t="str">
        <f>Overview!C64</f>
        <v/>
      </c>
      <c r="D64" s="12" t="str">
        <f>Overview!D64</f>
        <v/>
      </c>
      <c r="E64" s="12" t="str">
        <f>Overview!E64</f>
        <v/>
      </c>
      <c r="F64" s="12" t="str">
        <f>Overview!K64</f>
        <v/>
      </c>
      <c r="G64" s="12" t="str">
        <f>Overview!L64</f>
        <v/>
      </c>
      <c r="H64" s="12" t="str">
        <f>Overview!M64</f>
        <v/>
      </c>
      <c r="I64" s="292" t="str">
        <f>Overview!N64</f>
        <v/>
      </c>
    </row>
    <row r="65">
      <c r="A65" s="12" t="str">
        <f>Overview!A65</f>
        <v/>
      </c>
      <c r="B65" s="12" t="str">
        <f>Overview!B65</f>
        <v/>
      </c>
      <c r="C65" s="12" t="str">
        <f>Overview!C65</f>
        <v/>
      </c>
      <c r="D65" s="12" t="str">
        <f>Overview!D65</f>
        <v/>
      </c>
      <c r="E65" s="12" t="str">
        <f>Overview!E65</f>
        <v/>
      </c>
      <c r="F65" s="12" t="str">
        <f>Overview!K65</f>
        <v/>
      </c>
      <c r="G65" s="12" t="str">
        <f>Overview!L65</f>
        <v/>
      </c>
      <c r="H65" s="12" t="str">
        <f>Overview!M65</f>
        <v/>
      </c>
      <c r="I65" s="292" t="str">
        <f>Overview!N65</f>
        <v/>
      </c>
    </row>
    <row r="66">
      <c r="A66" s="12" t="str">
        <f>Overview!A66</f>
        <v/>
      </c>
      <c r="B66" s="12" t="str">
        <f>Overview!B66</f>
        <v/>
      </c>
      <c r="C66" s="12" t="str">
        <f>Overview!C66</f>
        <v/>
      </c>
      <c r="D66" s="12" t="str">
        <f>Overview!D66</f>
        <v/>
      </c>
      <c r="E66" s="12" t="str">
        <f>Overview!E66</f>
        <v/>
      </c>
      <c r="F66" s="12" t="str">
        <f>Overview!K66</f>
        <v/>
      </c>
      <c r="G66" s="12" t="str">
        <f>Overview!L66</f>
        <v/>
      </c>
      <c r="H66" s="12" t="str">
        <f>Overview!M66</f>
        <v/>
      </c>
      <c r="I66" s="292" t="str">
        <f>Overview!N66</f>
        <v/>
      </c>
    </row>
    <row r="67">
      <c r="A67" s="12" t="str">
        <f>Overview!A67</f>
        <v/>
      </c>
      <c r="B67" s="12" t="str">
        <f>Overview!B67</f>
        <v/>
      </c>
      <c r="C67" s="12" t="str">
        <f>Overview!C67</f>
        <v/>
      </c>
      <c r="D67" s="12" t="str">
        <f>Overview!D67</f>
        <v/>
      </c>
      <c r="E67" s="12" t="str">
        <f>Overview!E67</f>
        <v/>
      </c>
      <c r="F67" s="12" t="str">
        <f>Overview!K67</f>
        <v/>
      </c>
      <c r="G67" s="12" t="str">
        <f>Overview!L67</f>
        <v/>
      </c>
      <c r="H67" s="12" t="str">
        <f>Overview!M67</f>
        <v/>
      </c>
      <c r="I67" s="292" t="str">
        <f>Overview!N67</f>
        <v/>
      </c>
    </row>
    <row r="68">
      <c r="A68" s="12" t="str">
        <f>Overview!A68</f>
        <v/>
      </c>
      <c r="B68" s="12" t="str">
        <f>Overview!B68</f>
        <v/>
      </c>
      <c r="C68" s="12" t="str">
        <f>Overview!C68</f>
        <v/>
      </c>
      <c r="D68" s="12" t="str">
        <f>Overview!D68</f>
        <v/>
      </c>
      <c r="E68" s="12" t="str">
        <f>Overview!E68</f>
        <v/>
      </c>
      <c r="F68" s="12" t="str">
        <f>Overview!K68</f>
        <v/>
      </c>
      <c r="G68" s="12" t="str">
        <f>Overview!L68</f>
        <v/>
      </c>
      <c r="H68" s="12" t="str">
        <f>Overview!M68</f>
        <v/>
      </c>
      <c r="I68" s="292" t="str">
        <f>Overview!N68</f>
        <v/>
      </c>
    </row>
    <row r="69">
      <c r="A69" s="12" t="str">
        <f>Overview!A69</f>
        <v/>
      </c>
      <c r="B69" s="12" t="str">
        <f>Overview!B69</f>
        <v/>
      </c>
      <c r="C69" s="12" t="str">
        <f>Overview!C69</f>
        <v/>
      </c>
      <c r="D69" s="12" t="str">
        <f>Overview!D69</f>
        <v/>
      </c>
      <c r="E69" s="12" t="str">
        <f>Overview!E69</f>
        <v/>
      </c>
      <c r="F69" s="12" t="str">
        <f>Overview!K69</f>
        <v/>
      </c>
      <c r="G69" s="12" t="str">
        <f>Overview!L69</f>
        <v/>
      </c>
      <c r="H69" s="12" t="str">
        <f>Overview!M69</f>
        <v/>
      </c>
      <c r="I69" s="292" t="str">
        <f>Overview!N69</f>
        <v/>
      </c>
    </row>
    <row r="70">
      <c r="A70" s="12" t="str">
        <f>Overview!A70</f>
        <v/>
      </c>
      <c r="B70" s="12" t="str">
        <f>Overview!B70</f>
        <v/>
      </c>
      <c r="C70" s="12" t="str">
        <f>Overview!C70</f>
        <v/>
      </c>
      <c r="D70" s="12" t="str">
        <f>Overview!D70</f>
        <v/>
      </c>
      <c r="E70" s="12" t="str">
        <f>Overview!E70</f>
        <v/>
      </c>
      <c r="F70" s="12" t="str">
        <f>Overview!K70</f>
        <v/>
      </c>
      <c r="G70" s="12" t="str">
        <f>Overview!L70</f>
        <v/>
      </c>
      <c r="H70" s="12" t="str">
        <f>Overview!M70</f>
        <v/>
      </c>
      <c r="I70" s="292" t="str">
        <f>Overview!N70</f>
        <v/>
      </c>
    </row>
    <row r="71">
      <c r="A71" s="12" t="str">
        <f>Overview!A71</f>
        <v/>
      </c>
      <c r="B71" s="12" t="str">
        <f>Overview!B71</f>
        <v/>
      </c>
      <c r="C71" s="12" t="str">
        <f>Overview!C71</f>
        <v/>
      </c>
      <c r="D71" s="12" t="str">
        <f>Overview!D71</f>
        <v/>
      </c>
      <c r="E71" s="12" t="str">
        <f>Overview!E71</f>
        <v/>
      </c>
      <c r="F71" s="12" t="str">
        <f>Overview!K71</f>
        <v/>
      </c>
      <c r="G71" s="12" t="str">
        <f>Overview!L71</f>
        <v/>
      </c>
      <c r="H71" s="12" t="str">
        <f>Overview!M71</f>
        <v/>
      </c>
      <c r="I71" s="292" t="str">
        <f>Overview!N71</f>
        <v/>
      </c>
    </row>
    <row r="72">
      <c r="A72" s="12" t="str">
        <f>Overview!A72</f>
        <v/>
      </c>
      <c r="B72" s="12" t="str">
        <f>Overview!B72</f>
        <v/>
      </c>
      <c r="C72" s="12" t="str">
        <f>Overview!C72</f>
        <v/>
      </c>
      <c r="D72" s="12" t="str">
        <f>Overview!D72</f>
        <v/>
      </c>
      <c r="E72" s="12" t="str">
        <f>Overview!E72</f>
        <v/>
      </c>
      <c r="F72" s="12" t="str">
        <f>Overview!K72</f>
        <v/>
      </c>
      <c r="G72" s="12" t="str">
        <f>Overview!L72</f>
        <v/>
      </c>
      <c r="H72" s="12" t="str">
        <f>Overview!M72</f>
        <v/>
      </c>
      <c r="I72" s="292" t="str">
        <f>Overview!N72</f>
        <v/>
      </c>
    </row>
    <row r="73">
      <c r="A73" s="12" t="str">
        <f>Overview!A73</f>
        <v/>
      </c>
      <c r="B73" s="12" t="str">
        <f>Overview!B73</f>
        <v/>
      </c>
      <c r="C73" s="12" t="str">
        <f>Overview!C73</f>
        <v/>
      </c>
      <c r="D73" s="12" t="str">
        <f>Overview!D73</f>
        <v/>
      </c>
      <c r="E73" s="12" t="str">
        <f>Overview!E73</f>
        <v/>
      </c>
      <c r="F73" s="12" t="str">
        <f>Overview!K73</f>
        <v/>
      </c>
      <c r="G73" s="12" t="str">
        <f>Overview!L73</f>
        <v/>
      </c>
      <c r="H73" s="12" t="str">
        <f>Overview!M73</f>
        <v/>
      </c>
      <c r="I73" s="292" t="str">
        <f>Overview!N73</f>
        <v/>
      </c>
    </row>
    <row r="74">
      <c r="A74" s="12" t="str">
        <f>Overview!A74</f>
        <v/>
      </c>
      <c r="B74" s="12" t="str">
        <f>Overview!B74</f>
        <v/>
      </c>
      <c r="C74" s="12" t="str">
        <f>Overview!C74</f>
        <v/>
      </c>
      <c r="D74" s="12" t="str">
        <f>Overview!D74</f>
        <v/>
      </c>
      <c r="E74" s="12" t="str">
        <f>Overview!E74</f>
        <v/>
      </c>
      <c r="F74" s="12" t="str">
        <f>Overview!K74</f>
        <v/>
      </c>
      <c r="G74" s="12" t="str">
        <f>Overview!L74</f>
        <v/>
      </c>
      <c r="H74" s="12" t="str">
        <f>Overview!M74</f>
        <v/>
      </c>
      <c r="I74" s="292" t="str">
        <f>Overview!N74</f>
        <v/>
      </c>
    </row>
    <row r="75">
      <c r="A75" s="12" t="str">
        <f>Overview!A75</f>
        <v/>
      </c>
      <c r="B75" s="12" t="str">
        <f>Overview!B75</f>
        <v/>
      </c>
      <c r="C75" s="12" t="str">
        <f>Overview!C75</f>
        <v/>
      </c>
      <c r="D75" s="12" t="str">
        <f>Overview!D75</f>
        <v/>
      </c>
      <c r="E75" s="12" t="str">
        <f>Overview!E75</f>
        <v/>
      </c>
      <c r="F75" s="12" t="str">
        <f>Overview!K75</f>
        <v/>
      </c>
      <c r="G75" s="12" t="str">
        <f>Overview!L75</f>
        <v/>
      </c>
      <c r="H75" s="12" t="str">
        <f>Overview!M75</f>
        <v/>
      </c>
      <c r="I75" s="292" t="str">
        <f>Overview!N75</f>
        <v/>
      </c>
    </row>
    <row r="76">
      <c r="A76" s="12" t="str">
        <f>Overview!A76</f>
        <v/>
      </c>
      <c r="B76" s="12" t="str">
        <f>Overview!B76</f>
        <v/>
      </c>
      <c r="C76" s="12" t="str">
        <f>Overview!C76</f>
        <v/>
      </c>
      <c r="D76" s="12" t="str">
        <f>Overview!D76</f>
        <v/>
      </c>
      <c r="E76" s="12" t="str">
        <f>Overview!E76</f>
        <v/>
      </c>
      <c r="F76" s="12" t="str">
        <f>Overview!K76</f>
        <v/>
      </c>
      <c r="G76" s="12" t="str">
        <f>Overview!L76</f>
        <v/>
      </c>
      <c r="H76" s="12" t="str">
        <f>Overview!M76</f>
        <v/>
      </c>
      <c r="I76" s="292" t="str">
        <f>Overview!N76</f>
        <v/>
      </c>
    </row>
    <row r="77">
      <c r="A77" s="12" t="str">
        <f>Overview!A77</f>
        <v/>
      </c>
      <c r="B77" s="12" t="str">
        <f>Overview!B77</f>
        <v/>
      </c>
      <c r="C77" s="12" t="str">
        <f>Overview!C77</f>
        <v/>
      </c>
      <c r="D77" s="12" t="str">
        <f>Overview!D77</f>
        <v/>
      </c>
      <c r="E77" s="12" t="str">
        <f>Overview!E77</f>
        <v/>
      </c>
      <c r="F77" s="12" t="str">
        <f>Overview!K77</f>
        <v/>
      </c>
      <c r="G77" s="12" t="str">
        <f>Overview!L77</f>
        <v/>
      </c>
      <c r="H77" s="12" t="str">
        <f>Overview!M77</f>
        <v/>
      </c>
      <c r="I77" s="292" t="str">
        <f>Overview!N77</f>
        <v/>
      </c>
    </row>
    <row r="78">
      <c r="A78" s="12" t="str">
        <f>Overview!A78</f>
        <v/>
      </c>
      <c r="B78" s="12" t="str">
        <f>Overview!B78</f>
        <v/>
      </c>
      <c r="C78" s="12" t="str">
        <f>Overview!C78</f>
        <v/>
      </c>
      <c r="D78" s="12" t="str">
        <f>Overview!D78</f>
        <v/>
      </c>
      <c r="E78" s="12" t="str">
        <f>Overview!E78</f>
        <v/>
      </c>
      <c r="F78" s="12" t="str">
        <f>Overview!K78</f>
        <v/>
      </c>
      <c r="G78" s="12" t="str">
        <f>Overview!L78</f>
        <v/>
      </c>
      <c r="H78" s="12" t="str">
        <f>Overview!M78</f>
        <v/>
      </c>
      <c r="I78" s="292" t="str">
        <f>Overview!N78</f>
        <v/>
      </c>
    </row>
    <row r="79">
      <c r="A79" s="12" t="str">
        <f>Overview!A79</f>
        <v/>
      </c>
      <c r="B79" s="12" t="str">
        <f>Overview!B79</f>
        <v/>
      </c>
      <c r="C79" s="12" t="str">
        <f>Overview!C79</f>
        <v/>
      </c>
      <c r="D79" s="12" t="str">
        <f>Overview!D79</f>
        <v/>
      </c>
      <c r="E79" s="12" t="str">
        <f>Overview!E79</f>
        <v/>
      </c>
      <c r="F79" s="12" t="str">
        <f>Overview!K79</f>
        <v/>
      </c>
      <c r="G79" s="12" t="str">
        <f>Overview!L79</f>
        <v/>
      </c>
      <c r="H79" s="12" t="str">
        <f>Overview!M79</f>
        <v/>
      </c>
      <c r="I79" s="292" t="str">
        <f>Overview!N79</f>
        <v/>
      </c>
    </row>
    <row r="80">
      <c r="A80" s="12" t="str">
        <f>Overview!A80</f>
        <v/>
      </c>
      <c r="B80" s="12" t="str">
        <f>Overview!B80</f>
        <v/>
      </c>
      <c r="C80" s="12" t="str">
        <f>Overview!C80</f>
        <v/>
      </c>
      <c r="D80" s="12" t="str">
        <f>Overview!D80</f>
        <v/>
      </c>
      <c r="E80" s="12" t="str">
        <f>Overview!E80</f>
        <v/>
      </c>
      <c r="F80" s="12" t="str">
        <f>Overview!K80</f>
        <v/>
      </c>
      <c r="G80" s="12" t="str">
        <f>Overview!L80</f>
        <v/>
      </c>
      <c r="H80" s="12" t="str">
        <f>Overview!M80</f>
        <v/>
      </c>
      <c r="I80" s="292" t="str">
        <f>Overview!N80</f>
        <v/>
      </c>
    </row>
    <row r="81">
      <c r="A81" s="12" t="str">
        <f>Overview!A81</f>
        <v/>
      </c>
      <c r="B81" s="12" t="str">
        <f>Overview!B81</f>
        <v/>
      </c>
      <c r="C81" s="12" t="str">
        <f>Overview!C81</f>
        <v/>
      </c>
      <c r="D81" s="12" t="str">
        <f>Overview!D81</f>
        <v/>
      </c>
      <c r="E81" s="12" t="str">
        <f>Overview!E81</f>
        <v/>
      </c>
      <c r="F81" s="12" t="str">
        <f>Overview!K81</f>
        <v/>
      </c>
      <c r="G81" s="12" t="str">
        <f>Overview!L81</f>
        <v/>
      </c>
      <c r="H81" s="12" t="str">
        <f>Overview!M81</f>
        <v/>
      </c>
      <c r="I81" s="292" t="str">
        <f>Overview!N81</f>
        <v/>
      </c>
    </row>
    <row r="82">
      <c r="A82" s="12" t="str">
        <f>Overview!A82</f>
        <v/>
      </c>
      <c r="B82" s="12" t="str">
        <f>Overview!B82</f>
        <v/>
      </c>
      <c r="C82" s="12" t="str">
        <f>Overview!C82</f>
        <v/>
      </c>
      <c r="D82" s="12" t="str">
        <f>Overview!D82</f>
        <v/>
      </c>
      <c r="E82" s="12" t="str">
        <f>Overview!E82</f>
        <v/>
      </c>
      <c r="F82" s="12" t="str">
        <f>Overview!K82</f>
        <v/>
      </c>
      <c r="G82" s="12" t="str">
        <f>Overview!L82</f>
        <v/>
      </c>
      <c r="H82" s="12" t="str">
        <f>Overview!M82</f>
        <v/>
      </c>
      <c r="I82" s="292" t="str">
        <f>Overview!N82</f>
        <v/>
      </c>
    </row>
    <row r="83">
      <c r="A83" s="12" t="str">
        <f>Overview!A83</f>
        <v/>
      </c>
      <c r="B83" s="12" t="str">
        <f>Overview!B83</f>
        <v/>
      </c>
      <c r="C83" s="12" t="str">
        <f>Overview!C83</f>
        <v/>
      </c>
      <c r="D83" s="12" t="str">
        <f>Overview!D83</f>
        <v/>
      </c>
      <c r="E83" s="12" t="str">
        <f>Overview!E83</f>
        <v/>
      </c>
      <c r="F83" s="12" t="str">
        <f>Overview!K83</f>
        <v/>
      </c>
      <c r="G83" s="12" t="str">
        <f>Overview!L83</f>
        <v/>
      </c>
      <c r="H83" s="12" t="str">
        <f>Overview!M83</f>
        <v/>
      </c>
      <c r="I83" s="292" t="str">
        <f>Overview!N83</f>
        <v/>
      </c>
    </row>
    <row r="84">
      <c r="A84" s="12" t="str">
        <f>Overview!A84</f>
        <v/>
      </c>
      <c r="B84" s="12" t="str">
        <f>Overview!B84</f>
        <v/>
      </c>
      <c r="C84" s="12" t="str">
        <f>Overview!C84</f>
        <v/>
      </c>
      <c r="D84" s="12" t="str">
        <f>Overview!D84</f>
        <v/>
      </c>
      <c r="E84" s="12" t="str">
        <f>Overview!E84</f>
        <v/>
      </c>
      <c r="F84" s="12" t="str">
        <f>Overview!K84</f>
        <v/>
      </c>
      <c r="G84" s="12" t="str">
        <f>Overview!L84</f>
        <v/>
      </c>
      <c r="H84" s="12" t="str">
        <f>Overview!M84</f>
        <v/>
      </c>
      <c r="I84" s="292" t="str">
        <f>Overview!N84</f>
        <v/>
      </c>
    </row>
    <row r="85">
      <c r="A85" s="12" t="str">
        <f>Overview!A85</f>
        <v/>
      </c>
      <c r="B85" s="12" t="str">
        <f>Overview!B85</f>
        <v/>
      </c>
      <c r="C85" s="12" t="str">
        <f>Overview!C85</f>
        <v/>
      </c>
      <c r="D85" s="12" t="str">
        <f>Overview!D85</f>
        <v/>
      </c>
      <c r="E85" s="12" t="str">
        <f>Overview!E85</f>
        <v/>
      </c>
      <c r="F85" s="12" t="str">
        <f>Overview!K85</f>
        <v/>
      </c>
      <c r="G85" s="12" t="str">
        <f>Overview!L85</f>
        <v/>
      </c>
      <c r="H85" s="12" t="str">
        <f>Overview!M85</f>
        <v/>
      </c>
      <c r="I85" s="292" t="str">
        <f>Overview!N85</f>
        <v/>
      </c>
    </row>
    <row r="86">
      <c r="A86" s="12" t="str">
        <f>Overview!A86</f>
        <v/>
      </c>
      <c r="B86" s="12" t="str">
        <f>Overview!B86</f>
        <v/>
      </c>
      <c r="C86" s="12" t="str">
        <f>Overview!C86</f>
        <v/>
      </c>
      <c r="D86" s="12" t="str">
        <f>Overview!D86</f>
        <v/>
      </c>
      <c r="E86" s="12" t="str">
        <f>Overview!E86</f>
        <v/>
      </c>
      <c r="F86" s="12" t="str">
        <f>Overview!K86</f>
        <v/>
      </c>
      <c r="G86" s="12" t="str">
        <f>Overview!L86</f>
        <v/>
      </c>
      <c r="H86" s="12" t="str">
        <f>Overview!M86</f>
        <v/>
      </c>
      <c r="I86" s="292" t="str">
        <f>Overview!N86</f>
        <v/>
      </c>
    </row>
    <row r="87">
      <c r="A87" s="12" t="str">
        <f>Overview!A87</f>
        <v/>
      </c>
      <c r="B87" s="12" t="str">
        <f>Overview!B87</f>
        <v/>
      </c>
      <c r="C87" s="12" t="str">
        <f>Overview!C87</f>
        <v/>
      </c>
      <c r="D87" s="12" t="str">
        <f>Overview!D87</f>
        <v/>
      </c>
      <c r="E87" s="12" t="str">
        <f>Overview!E87</f>
        <v/>
      </c>
      <c r="F87" s="12" t="str">
        <f>Overview!K87</f>
        <v/>
      </c>
      <c r="G87" s="12" t="str">
        <f>Overview!L87</f>
        <v/>
      </c>
      <c r="H87" s="12" t="str">
        <f>Overview!M87</f>
        <v/>
      </c>
      <c r="I87" s="292" t="str">
        <f>Overview!N87</f>
        <v/>
      </c>
    </row>
    <row r="88">
      <c r="A88" s="12" t="str">
        <f>Overview!A88</f>
        <v/>
      </c>
      <c r="B88" s="12" t="str">
        <f>Overview!B88</f>
        <v/>
      </c>
      <c r="C88" s="12" t="str">
        <f>Overview!C88</f>
        <v/>
      </c>
      <c r="D88" s="12" t="str">
        <f>Overview!D88</f>
        <v/>
      </c>
      <c r="E88" s="12" t="str">
        <f>Overview!E88</f>
        <v/>
      </c>
      <c r="F88" s="12" t="str">
        <f>Overview!K88</f>
        <v/>
      </c>
      <c r="G88" s="12" t="str">
        <f>Overview!L88</f>
        <v/>
      </c>
      <c r="H88" s="12" t="str">
        <f>Overview!M88</f>
        <v/>
      </c>
      <c r="I88" s="292" t="str">
        <f>Overview!N88</f>
        <v/>
      </c>
    </row>
    <row r="89">
      <c r="A89" s="12" t="str">
        <f>Overview!A89</f>
        <v/>
      </c>
      <c r="B89" s="12" t="str">
        <f>Overview!B89</f>
        <v/>
      </c>
      <c r="C89" s="12" t="str">
        <f>Overview!C89</f>
        <v/>
      </c>
      <c r="D89" s="12" t="str">
        <f>Overview!D89</f>
        <v/>
      </c>
      <c r="E89" s="12" t="str">
        <f>Overview!E89</f>
        <v/>
      </c>
      <c r="F89" s="12" t="str">
        <f>Overview!K89</f>
        <v/>
      </c>
      <c r="G89" s="12" t="str">
        <f>Overview!L89</f>
        <v/>
      </c>
      <c r="H89" s="12" t="str">
        <f>Overview!M89</f>
        <v/>
      </c>
      <c r="I89" s="292" t="str">
        <f>Overview!N89</f>
        <v/>
      </c>
    </row>
    <row r="90">
      <c r="A90" s="12" t="str">
        <f>Overview!A90</f>
        <v/>
      </c>
      <c r="B90" s="12" t="str">
        <f>Overview!B90</f>
        <v/>
      </c>
      <c r="C90" s="12" t="str">
        <f>Overview!C90</f>
        <v/>
      </c>
      <c r="D90" s="12" t="str">
        <f>Overview!D90</f>
        <v/>
      </c>
      <c r="E90" s="12" t="str">
        <f>Overview!E90</f>
        <v/>
      </c>
      <c r="F90" s="12" t="str">
        <f>Overview!K90</f>
        <v/>
      </c>
      <c r="G90" s="12" t="str">
        <f>Overview!L90</f>
        <v/>
      </c>
      <c r="H90" s="12" t="str">
        <f>Overview!M90</f>
        <v/>
      </c>
      <c r="I90" s="292" t="str">
        <f>Overview!N90</f>
        <v/>
      </c>
    </row>
    <row r="91">
      <c r="A91" s="12" t="str">
        <f>Overview!A91</f>
        <v/>
      </c>
      <c r="B91" s="12" t="str">
        <f>Overview!B91</f>
        <v/>
      </c>
      <c r="C91" s="12" t="str">
        <f>Overview!C91</f>
        <v/>
      </c>
      <c r="D91" s="12" t="str">
        <f>Overview!D91</f>
        <v/>
      </c>
      <c r="E91" s="12" t="str">
        <f>Overview!E91</f>
        <v/>
      </c>
      <c r="F91" s="12" t="str">
        <f>Overview!K91</f>
        <v/>
      </c>
      <c r="G91" s="12" t="str">
        <f>Overview!L91</f>
        <v/>
      </c>
      <c r="H91" s="12" t="str">
        <f>Overview!M91</f>
        <v/>
      </c>
      <c r="I91" s="292" t="str">
        <f>Overview!N91</f>
        <v/>
      </c>
    </row>
    <row r="92">
      <c r="A92" s="12" t="str">
        <f>Overview!A92</f>
        <v/>
      </c>
      <c r="B92" s="12" t="str">
        <f>Overview!B92</f>
        <v/>
      </c>
      <c r="C92" s="12" t="str">
        <f>Overview!C92</f>
        <v/>
      </c>
      <c r="D92" s="12" t="str">
        <f>Overview!D92</f>
        <v/>
      </c>
      <c r="E92" s="12" t="str">
        <f>Overview!E92</f>
        <v/>
      </c>
      <c r="F92" s="12" t="str">
        <f>Overview!K92</f>
        <v/>
      </c>
      <c r="G92" s="12" t="str">
        <f>Overview!L92</f>
        <v/>
      </c>
      <c r="H92" s="12" t="str">
        <f>Overview!M92</f>
        <v/>
      </c>
      <c r="I92" s="292" t="str">
        <f>Overview!N92</f>
        <v/>
      </c>
    </row>
    <row r="93">
      <c r="A93" s="12" t="str">
        <f>Overview!A93</f>
        <v/>
      </c>
      <c r="B93" s="12" t="str">
        <f>Overview!B93</f>
        <v/>
      </c>
      <c r="C93" s="12" t="str">
        <f>Overview!C93</f>
        <v/>
      </c>
      <c r="D93" s="12" t="str">
        <f>Overview!D93</f>
        <v/>
      </c>
      <c r="E93" s="12" t="str">
        <f>Overview!E93</f>
        <v/>
      </c>
      <c r="F93" s="12" t="str">
        <f>Overview!K93</f>
        <v/>
      </c>
      <c r="G93" s="12" t="str">
        <f>Overview!L93</f>
        <v/>
      </c>
      <c r="H93" s="12" t="str">
        <f>Overview!M93</f>
        <v/>
      </c>
      <c r="I93" s="292" t="str">
        <f>Overview!N93</f>
        <v/>
      </c>
    </row>
    <row r="94">
      <c r="A94" s="12" t="str">
        <f>Overview!A94</f>
        <v/>
      </c>
      <c r="B94" s="12" t="str">
        <f>Overview!B94</f>
        <v/>
      </c>
      <c r="C94" s="12" t="str">
        <f>Overview!C94</f>
        <v/>
      </c>
      <c r="D94" s="12" t="str">
        <f>Overview!D94</f>
        <v/>
      </c>
      <c r="E94" s="12" t="str">
        <f>Overview!E94</f>
        <v/>
      </c>
      <c r="F94" s="12" t="str">
        <f>Overview!K94</f>
        <v/>
      </c>
      <c r="G94" s="12" t="str">
        <f>Overview!L94</f>
        <v/>
      </c>
      <c r="H94" s="12" t="str">
        <f>Overview!M94</f>
        <v/>
      </c>
      <c r="I94" s="292" t="str">
        <f>Overview!N94</f>
        <v/>
      </c>
    </row>
    <row r="95">
      <c r="A95" s="12" t="str">
        <f>Overview!A95</f>
        <v/>
      </c>
      <c r="B95" s="12" t="str">
        <f>Overview!B95</f>
        <v/>
      </c>
      <c r="C95" s="12" t="str">
        <f>Overview!C95</f>
        <v/>
      </c>
      <c r="D95" s="12" t="str">
        <f>Overview!D95</f>
        <v/>
      </c>
      <c r="E95" s="12" t="str">
        <f>Overview!E95</f>
        <v/>
      </c>
      <c r="F95" s="12" t="str">
        <f>Overview!K95</f>
        <v/>
      </c>
      <c r="G95" s="12" t="str">
        <f>Overview!L95</f>
        <v/>
      </c>
      <c r="H95" s="12" t="str">
        <f>Overview!M95</f>
        <v/>
      </c>
      <c r="I95" s="292" t="str">
        <f>Overview!N95</f>
        <v/>
      </c>
    </row>
    <row r="96">
      <c r="A96" s="12" t="str">
        <f>Overview!A96</f>
        <v/>
      </c>
      <c r="B96" s="12" t="str">
        <f>Overview!B96</f>
        <v/>
      </c>
      <c r="C96" s="12" t="str">
        <f>Overview!C96</f>
        <v/>
      </c>
      <c r="D96" s="12" t="str">
        <f>Overview!D96</f>
        <v/>
      </c>
      <c r="E96" s="12" t="str">
        <f>Overview!E96</f>
        <v/>
      </c>
      <c r="F96" s="12" t="str">
        <f>Overview!K96</f>
        <v/>
      </c>
      <c r="G96" s="12" t="str">
        <f>Overview!L96</f>
        <v/>
      </c>
      <c r="H96" s="12" t="str">
        <f>Overview!M96</f>
        <v/>
      </c>
      <c r="I96" s="292" t="str">
        <f>Overview!N96</f>
        <v/>
      </c>
    </row>
    <row r="97">
      <c r="A97" s="12" t="str">
        <f>Overview!A97</f>
        <v/>
      </c>
      <c r="B97" s="12" t="str">
        <f>Overview!B97</f>
        <v/>
      </c>
      <c r="C97" s="12" t="str">
        <f>Overview!C97</f>
        <v/>
      </c>
      <c r="D97" s="12" t="str">
        <f>Overview!D97</f>
        <v/>
      </c>
      <c r="E97" s="12" t="str">
        <f>Overview!E97</f>
        <v/>
      </c>
      <c r="F97" s="12" t="str">
        <f>Overview!K97</f>
        <v/>
      </c>
      <c r="G97" s="12" t="str">
        <f>Overview!L97</f>
        <v/>
      </c>
      <c r="H97" s="12" t="str">
        <f>Overview!M97</f>
        <v/>
      </c>
      <c r="I97" s="292" t="str">
        <f>Overview!N97</f>
        <v/>
      </c>
    </row>
    <row r="98">
      <c r="A98" s="12" t="str">
        <f>Overview!A98</f>
        <v/>
      </c>
      <c r="B98" s="12" t="str">
        <f>Overview!B98</f>
        <v/>
      </c>
      <c r="C98" s="12" t="str">
        <f>Overview!C98</f>
        <v/>
      </c>
      <c r="D98" s="12" t="str">
        <f>Overview!D98</f>
        <v/>
      </c>
      <c r="E98" s="12" t="str">
        <f>Overview!E98</f>
        <v/>
      </c>
      <c r="F98" s="12" t="str">
        <f>Overview!K98</f>
        <v/>
      </c>
      <c r="G98" s="12" t="str">
        <f>Overview!L98</f>
        <v/>
      </c>
      <c r="H98" s="12" t="str">
        <f>Overview!M98</f>
        <v/>
      </c>
      <c r="I98" s="292" t="str">
        <f>Overview!N98</f>
        <v/>
      </c>
    </row>
    <row r="99">
      <c r="A99" s="12" t="str">
        <f>Overview!A99</f>
        <v/>
      </c>
      <c r="B99" s="12" t="str">
        <f>Overview!B99</f>
        <v/>
      </c>
      <c r="C99" s="12" t="str">
        <f>Overview!C99</f>
        <v/>
      </c>
      <c r="D99" s="12" t="str">
        <f>Overview!D99</f>
        <v/>
      </c>
      <c r="E99" s="12" t="str">
        <f>Overview!E99</f>
        <v/>
      </c>
      <c r="F99" s="12" t="str">
        <f>Overview!K99</f>
        <v/>
      </c>
      <c r="G99" s="12" t="str">
        <f>Overview!L99</f>
        <v/>
      </c>
      <c r="H99" s="12" t="str">
        <f>Overview!M99</f>
        <v/>
      </c>
      <c r="I99" s="292" t="str">
        <f>Overview!N99</f>
        <v/>
      </c>
    </row>
    <row r="100">
      <c r="A100" s="12" t="str">
        <f>Overview!A100</f>
        <v/>
      </c>
      <c r="B100" s="12" t="str">
        <f>Overview!B100</f>
        <v/>
      </c>
      <c r="C100" s="12" t="str">
        <f>Overview!C100</f>
        <v/>
      </c>
      <c r="D100" s="12" t="str">
        <f>Overview!D100</f>
        <v/>
      </c>
      <c r="E100" s="12" t="str">
        <f>Overview!E100</f>
        <v/>
      </c>
      <c r="F100" s="12" t="str">
        <f>Overview!K100</f>
        <v/>
      </c>
      <c r="G100" s="12" t="str">
        <f>Overview!L100</f>
        <v/>
      </c>
      <c r="H100" s="12" t="str">
        <f>Overview!M100</f>
        <v/>
      </c>
      <c r="I100" s="292" t="str">
        <f>Overview!N100</f>
        <v/>
      </c>
    </row>
    <row r="101">
      <c r="A101" s="12" t="str">
        <f>Overview!A101</f>
        <v/>
      </c>
      <c r="B101" s="12" t="str">
        <f>Overview!B101</f>
        <v/>
      </c>
      <c r="C101" s="12" t="str">
        <f>Overview!C101</f>
        <v/>
      </c>
      <c r="D101" s="12" t="str">
        <f>Overview!D101</f>
        <v/>
      </c>
      <c r="E101" s="12" t="str">
        <f>Overview!E101</f>
        <v/>
      </c>
      <c r="F101" s="12" t="str">
        <f>Overview!K101</f>
        <v/>
      </c>
      <c r="G101" s="12" t="str">
        <f>Overview!L101</f>
        <v/>
      </c>
      <c r="H101" s="12" t="str">
        <f>Overview!M101</f>
        <v/>
      </c>
      <c r="I101" s="292" t="str">
        <f>Overview!N101</f>
        <v/>
      </c>
    </row>
    <row r="102">
      <c r="A102" s="12" t="str">
        <f>Overview!A102</f>
        <v/>
      </c>
      <c r="B102" s="12" t="str">
        <f>Overview!B102</f>
        <v/>
      </c>
      <c r="C102" s="12" t="str">
        <f>Overview!C102</f>
        <v/>
      </c>
      <c r="D102" s="12" t="str">
        <f>Overview!D102</f>
        <v/>
      </c>
      <c r="E102" s="12" t="str">
        <f>Overview!E102</f>
        <v/>
      </c>
      <c r="F102" s="12" t="str">
        <f>Overview!K102</f>
        <v/>
      </c>
      <c r="G102" s="12" t="str">
        <f>Overview!L102</f>
        <v/>
      </c>
      <c r="H102" s="12" t="str">
        <f>Overview!M102</f>
        <v/>
      </c>
      <c r="I102" s="292" t="str">
        <f>Overview!N102</f>
        <v/>
      </c>
    </row>
    <row r="103">
      <c r="A103" s="12" t="str">
        <f>Overview!A103</f>
        <v/>
      </c>
      <c r="B103" s="12" t="str">
        <f>Overview!B103</f>
        <v/>
      </c>
      <c r="C103" s="12" t="str">
        <f>Overview!C103</f>
        <v/>
      </c>
      <c r="D103" s="12" t="str">
        <f>Overview!D103</f>
        <v/>
      </c>
      <c r="E103" s="12" t="str">
        <f>Overview!E103</f>
        <v/>
      </c>
      <c r="F103" s="12" t="str">
        <f>Overview!K103</f>
        <v/>
      </c>
      <c r="G103" s="12" t="str">
        <f>Overview!L103</f>
        <v/>
      </c>
      <c r="H103" s="12" t="str">
        <f>Overview!M103</f>
        <v/>
      </c>
      <c r="I103" s="292" t="str">
        <f>Overview!N103</f>
        <v/>
      </c>
    </row>
    <row r="104">
      <c r="A104" s="12" t="str">
        <f>Overview!A104</f>
        <v/>
      </c>
      <c r="B104" s="12" t="str">
        <f>Overview!B104</f>
        <v/>
      </c>
      <c r="C104" s="12" t="str">
        <f>Overview!C104</f>
        <v/>
      </c>
      <c r="D104" s="12" t="str">
        <f>Overview!D104</f>
        <v/>
      </c>
      <c r="E104" s="12" t="str">
        <f>Overview!E104</f>
        <v/>
      </c>
      <c r="F104" s="12" t="str">
        <f>Overview!K104</f>
        <v/>
      </c>
      <c r="G104" s="12" t="str">
        <f>Overview!L104</f>
        <v/>
      </c>
      <c r="H104" s="12" t="str">
        <f>Overview!M104</f>
        <v/>
      </c>
      <c r="I104" s="292" t="str">
        <f>Overview!N104</f>
        <v/>
      </c>
    </row>
    <row r="105">
      <c r="A105" s="12" t="str">
        <f>Overview!A105</f>
        <v/>
      </c>
      <c r="B105" s="12" t="str">
        <f>Overview!B105</f>
        <v/>
      </c>
      <c r="C105" s="12" t="str">
        <f>Overview!C105</f>
        <v/>
      </c>
      <c r="D105" s="12" t="str">
        <f>Overview!D105</f>
        <v/>
      </c>
      <c r="E105" s="12" t="str">
        <f>Overview!E105</f>
        <v/>
      </c>
      <c r="F105" s="12" t="str">
        <f>Overview!K105</f>
        <v/>
      </c>
      <c r="G105" s="12" t="str">
        <f>Overview!L105</f>
        <v/>
      </c>
      <c r="H105" s="12" t="str">
        <f>Overview!M105</f>
        <v/>
      </c>
      <c r="I105" s="292" t="str">
        <f>Overview!N105</f>
        <v/>
      </c>
    </row>
    <row r="106">
      <c r="A106" s="12" t="str">
        <f>Overview!A106</f>
        <v/>
      </c>
      <c r="B106" s="12" t="str">
        <f>Overview!B106</f>
        <v/>
      </c>
      <c r="C106" s="12" t="str">
        <f>Overview!C106</f>
        <v/>
      </c>
      <c r="D106" s="12" t="str">
        <f>Overview!D106</f>
        <v/>
      </c>
      <c r="E106" s="12" t="str">
        <f>Overview!E106</f>
        <v/>
      </c>
      <c r="F106" s="12" t="str">
        <f>Overview!K106</f>
        <v/>
      </c>
      <c r="G106" s="12" t="str">
        <f>Overview!L106</f>
        <v/>
      </c>
      <c r="H106" s="12" t="str">
        <f>Overview!M106</f>
        <v/>
      </c>
      <c r="I106" s="292" t="str">
        <f>Overview!N106</f>
        <v/>
      </c>
    </row>
    <row r="107">
      <c r="A107" s="12" t="str">
        <f>Overview!A107</f>
        <v/>
      </c>
      <c r="B107" s="12" t="str">
        <f>Overview!B107</f>
        <v/>
      </c>
      <c r="C107" s="12" t="str">
        <f>Overview!C107</f>
        <v/>
      </c>
      <c r="D107" s="12" t="str">
        <f>Overview!D107</f>
        <v/>
      </c>
      <c r="E107" s="12" t="str">
        <f>Overview!E107</f>
        <v/>
      </c>
      <c r="F107" s="12" t="str">
        <f>Overview!K107</f>
        <v/>
      </c>
      <c r="G107" s="12" t="str">
        <f>Overview!L107</f>
        <v/>
      </c>
      <c r="H107" s="12" t="str">
        <f>Overview!M107</f>
        <v/>
      </c>
      <c r="I107" s="292" t="str">
        <f>Overview!N107</f>
        <v/>
      </c>
    </row>
    <row r="108">
      <c r="A108" s="12" t="str">
        <f>Overview!A108</f>
        <v/>
      </c>
      <c r="B108" s="12" t="str">
        <f>Overview!B108</f>
        <v/>
      </c>
      <c r="C108" s="12" t="str">
        <f>Overview!C108</f>
        <v/>
      </c>
      <c r="D108" s="12" t="str">
        <f>Overview!D108</f>
        <v/>
      </c>
      <c r="E108" s="12" t="str">
        <f>Overview!E108</f>
        <v/>
      </c>
      <c r="F108" s="12" t="str">
        <f>Overview!K108</f>
        <v/>
      </c>
      <c r="G108" s="12" t="str">
        <f>Overview!L108</f>
        <v/>
      </c>
      <c r="H108" s="12" t="str">
        <f>Overview!M108</f>
        <v/>
      </c>
      <c r="I108" s="292" t="str">
        <f>Overview!N108</f>
        <v/>
      </c>
    </row>
    <row r="109">
      <c r="A109" s="12" t="str">
        <f>Overview!A109</f>
        <v/>
      </c>
      <c r="B109" s="12" t="str">
        <f>Overview!B109</f>
        <v/>
      </c>
      <c r="C109" s="12" t="str">
        <f>Overview!C109</f>
        <v/>
      </c>
      <c r="D109" s="12" t="str">
        <f>Overview!D109</f>
        <v/>
      </c>
      <c r="E109" s="12" t="str">
        <f>Overview!E109</f>
        <v/>
      </c>
      <c r="F109" s="12" t="str">
        <f>Overview!K109</f>
        <v/>
      </c>
      <c r="G109" s="12" t="str">
        <f>Overview!L109</f>
        <v/>
      </c>
      <c r="H109" s="12" t="str">
        <f>Overview!M109</f>
        <v/>
      </c>
      <c r="I109" s="292" t="str">
        <f>Overview!N109</f>
        <v/>
      </c>
    </row>
    <row r="110">
      <c r="A110" s="12" t="str">
        <f>Overview!A110</f>
        <v/>
      </c>
      <c r="B110" s="12" t="str">
        <f>Overview!B110</f>
        <v/>
      </c>
      <c r="C110" s="12" t="str">
        <f>Overview!C110</f>
        <v/>
      </c>
      <c r="D110" s="12" t="str">
        <f>Overview!D110</f>
        <v/>
      </c>
      <c r="E110" s="12" t="str">
        <f>Overview!E110</f>
        <v/>
      </c>
      <c r="F110" s="12" t="str">
        <f>Overview!K110</f>
        <v/>
      </c>
      <c r="G110" s="12" t="str">
        <f>Overview!L110</f>
        <v/>
      </c>
      <c r="H110" s="12" t="str">
        <f>Overview!M110</f>
        <v/>
      </c>
      <c r="I110" s="292" t="str">
        <f>Overview!N110</f>
        <v/>
      </c>
    </row>
    <row r="111">
      <c r="A111" s="12" t="str">
        <f>Overview!A111</f>
        <v/>
      </c>
      <c r="B111" s="12" t="str">
        <f>Overview!B111</f>
        <v/>
      </c>
      <c r="C111" s="12" t="str">
        <f>Overview!C111</f>
        <v/>
      </c>
      <c r="D111" s="12" t="str">
        <f>Overview!D111</f>
        <v/>
      </c>
      <c r="E111" s="12" t="str">
        <f>Overview!E111</f>
        <v/>
      </c>
      <c r="F111" s="12" t="str">
        <f>Overview!K111</f>
        <v/>
      </c>
      <c r="G111" s="12" t="str">
        <f>Overview!L111</f>
        <v/>
      </c>
      <c r="H111" s="12" t="str">
        <f>Overview!M111</f>
        <v/>
      </c>
      <c r="I111" s="292" t="str">
        <f>Overview!N111</f>
        <v/>
      </c>
    </row>
    <row r="112">
      <c r="A112" s="12" t="str">
        <f>Overview!A112</f>
        <v/>
      </c>
      <c r="B112" s="12" t="str">
        <f>Overview!B112</f>
        <v/>
      </c>
      <c r="C112" s="12" t="str">
        <f>Overview!C112</f>
        <v/>
      </c>
      <c r="D112" s="12" t="str">
        <f>Overview!D112</f>
        <v/>
      </c>
      <c r="E112" s="12" t="str">
        <f>Overview!E112</f>
        <v/>
      </c>
      <c r="F112" s="12" t="str">
        <f>Overview!K112</f>
        <v/>
      </c>
      <c r="G112" s="12" t="str">
        <f>Overview!L112</f>
        <v/>
      </c>
      <c r="H112" s="12" t="str">
        <f>Overview!M112</f>
        <v/>
      </c>
      <c r="I112" s="292" t="str">
        <f>Overview!N112</f>
        <v/>
      </c>
    </row>
    <row r="113">
      <c r="A113" s="12" t="str">
        <f>Overview!A113</f>
        <v/>
      </c>
      <c r="B113" s="12" t="str">
        <f>Overview!B113</f>
        <v/>
      </c>
      <c r="C113" s="12" t="str">
        <f>Overview!C113</f>
        <v/>
      </c>
      <c r="D113" s="12" t="str">
        <f>Overview!D113</f>
        <v/>
      </c>
      <c r="E113" s="12" t="str">
        <f>Overview!E113</f>
        <v/>
      </c>
      <c r="F113" s="12" t="str">
        <f>Overview!K113</f>
        <v/>
      </c>
      <c r="G113" s="12" t="str">
        <f>Overview!L113</f>
        <v/>
      </c>
      <c r="H113" s="12" t="str">
        <f>Overview!M113</f>
        <v/>
      </c>
      <c r="I113" s="292" t="str">
        <f>Overview!N113</f>
        <v/>
      </c>
    </row>
    <row r="114">
      <c r="A114" s="12" t="str">
        <f>Overview!A114</f>
        <v/>
      </c>
      <c r="B114" s="12" t="str">
        <f>Overview!B114</f>
        <v/>
      </c>
      <c r="C114" s="12" t="str">
        <f>Overview!C114</f>
        <v/>
      </c>
      <c r="D114" s="12" t="str">
        <f>Overview!D114</f>
        <v/>
      </c>
      <c r="E114" s="12" t="str">
        <f>Overview!E114</f>
        <v/>
      </c>
      <c r="F114" s="12" t="str">
        <f>Overview!K114</f>
        <v/>
      </c>
      <c r="G114" s="12" t="str">
        <f>Overview!L114</f>
        <v/>
      </c>
      <c r="H114" s="12" t="str">
        <f>Overview!M114</f>
        <v/>
      </c>
      <c r="I114" s="292" t="str">
        <f>Overview!N114</f>
        <v/>
      </c>
    </row>
    <row r="115">
      <c r="A115" s="12" t="str">
        <f>Overview!A115</f>
        <v/>
      </c>
      <c r="B115" s="12" t="str">
        <f>Overview!B115</f>
        <v/>
      </c>
      <c r="C115" s="12" t="str">
        <f>Overview!C115</f>
        <v/>
      </c>
      <c r="D115" s="12" t="str">
        <f>Overview!D115</f>
        <v/>
      </c>
      <c r="E115" s="12" t="str">
        <f>Overview!E115</f>
        <v/>
      </c>
      <c r="F115" s="12" t="str">
        <f>Overview!K115</f>
        <v/>
      </c>
      <c r="G115" s="12" t="str">
        <f>Overview!L115</f>
        <v/>
      </c>
      <c r="H115" s="12" t="str">
        <f>Overview!M115</f>
        <v/>
      </c>
      <c r="I115" s="292" t="str">
        <f>Overview!N115</f>
        <v/>
      </c>
    </row>
    <row r="116">
      <c r="A116" s="12" t="str">
        <f>Overview!A116</f>
        <v/>
      </c>
      <c r="B116" s="12" t="str">
        <f>Overview!B116</f>
        <v/>
      </c>
      <c r="C116" s="12" t="str">
        <f>Overview!C116</f>
        <v/>
      </c>
      <c r="D116" s="12" t="str">
        <f>Overview!D116</f>
        <v/>
      </c>
      <c r="E116" s="12" t="str">
        <f>Overview!E116</f>
        <v/>
      </c>
      <c r="F116" s="12" t="str">
        <f>Overview!K116</f>
        <v/>
      </c>
      <c r="G116" s="12" t="str">
        <f>Overview!L116</f>
        <v/>
      </c>
      <c r="H116" s="12" t="str">
        <f>Overview!M116</f>
        <v/>
      </c>
      <c r="I116" s="292" t="str">
        <f>Overview!N116</f>
        <v/>
      </c>
    </row>
    <row r="117">
      <c r="A117" s="12" t="str">
        <f>Overview!A117</f>
        <v/>
      </c>
      <c r="B117" s="12" t="str">
        <f>Overview!B117</f>
        <v/>
      </c>
      <c r="C117" s="12" t="str">
        <f>Overview!C117</f>
        <v/>
      </c>
      <c r="D117" s="12" t="str">
        <f>Overview!D117</f>
        <v/>
      </c>
      <c r="E117" s="12" t="str">
        <f>Overview!E117</f>
        <v/>
      </c>
      <c r="F117" s="12" t="str">
        <f>Overview!K117</f>
        <v/>
      </c>
      <c r="G117" s="12" t="str">
        <f>Overview!L117</f>
        <v/>
      </c>
      <c r="H117" s="12" t="str">
        <f>Overview!M117</f>
        <v/>
      </c>
      <c r="I117" s="292" t="str">
        <f>Overview!N117</f>
        <v/>
      </c>
    </row>
    <row r="118">
      <c r="A118" s="12" t="str">
        <f>Overview!A118</f>
        <v/>
      </c>
      <c r="B118" s="12" t="str">
        <f>Overview!B118</f>
        <v/>
      </c>
      <c r="C118" s="12" t="str">
        <f>Overview!C118</f>
        <v/>
      </c>
      <c r="D118" s="12" t="str">
        <f>Overview!D118</f>
        <v/>
      </c>
      <c r="E118" s="12" t="str">
        <f>Overview!E118</f>
        <v/>
      </c>
      <c r="F118" s="12" t="str">
        <f>Overview!K118</f>
        <v/>
      </c>
      <c r="G118" s="12" t="str">
        <f>Overview!L118</f>
        <v/>
      </c>
      <c r="H118" s="12" t="str">
        <f>Overview!M118</f>
        <v/>
      </c>
      <c r="I118" s="292" t="str">
        <f>Overview!N118</f>
        <v/>
      </c>
    </row>
    <row r="119">
      <c r="A119" s="12" t="str">
        <f>Overview!A119</f>
        <v/>
      </c>
      <c r="B119" s="12" t="str">
        <f>Overview!B119</f>
        <v/>
      </c>
      <c r="C119" s="12" t="str">
        <f>Overview!C119</f>
        <v/>
      </c>
      <c r="D119" s="12" t="str">
        <f>Overview!D119</f>
        <v/>
      </c>
      <c r="E119" s="12" t="str">
        <f>Overview!E119</f>
        <v/>
      </c>
      <c r="F119" s="12" t="str">
        <f>Overview!K119</f>
        <v/>
      </c>
      <c r="G119" s="12" t="str">
        <f>Overview!L119</f>
        <v/>
      </c>
      <c r="H119" s="12" t="str">
        <f>Overview!M119</f>
        <v/>
      </c>
      <c r="I119" s="292" t="str">
        <f>Overview!N119</f>
        <v/>
      </c>
    </row>
    <row r="120">
      <c r="A120" s="12" t="str">
        <f>Overview!A120</f>
        <v/>
      </c>
      <c r="B120" s="12" t="str">
        <f>Overview!B120</f>
        <v/>
      </c>
      <c r="C120" s="12" t="str">
        <f>Overview!C120</f>
        <v/>
      </c>
      <c r="D120" s="12" t="str">
        <f>Overview!D120</f>
        <v/>
      </c>
      <c r="E120" s="12" t="str">
        <f>Overview!E120</f>
        <v/>
      </c>
      <c r="F120" s="12" t="str">
        <f>Overview!K120</f>
        <v/>
      </c>
      <c r="G120" s="12" t="str">
        <f>Overview!L120</f>
        <v/>
      </c>
      <c r="H120" s="12" t="str">
        <f>Overview!M120</f>
        <v/>
      </c>
      <c r="I120" s="292" t="str">
        <f>Overview!N120</f>
        <v/>
      </c>
    </row>
    <row r="121">
      <c r="A121" s="12" t="str">
        <f>Overview!A121</f>
        <v/>
      </c>
      <c r="B121" s="12" t="str">
        <f>Overview!B121</f>
        <v/>
      </c>
      <c r="C121" s="12" t="str">
        <f>Overview!C121</f>
        <v/>
      </c>
      <c r="D121" s="12" t="str">
        <f>Overview!D121</f>
        <v/>
      </c>
      <c r="E121" s="12" t="str">
        <f>Overview!E121</f>
        <v/>
      </c>
      <c r="F121" s="12" t="str">
        <f>Overview!K121</f>
        <v/>
      </c>
      <c r="G121" s="12" t="str">
        <f>Overview!L121</f>
        <v/>
      </c>
      <c r="H121" s="12" t="str">
        <f>Overview!M121</f>
        <v/>
      </c>
      <c r="I121" s="292" t="str">
        <f>Overview!N121</f>
        <v/>
      </c>
    </row>
    <row r="122">
      <c r="A122" s="12" t="str">
        <f>Overview!A122</f>
        <v/>
      </c>
      <c r="B122" s="12" t="str">
        <f>Overview!B122</f>
        <v/>
      </c>
      <c r="C122" s="12" t="str">
        <f>Overview!C122</f>
        <v/>
      </c>
      <c r="D122" s="12" t="str">
        <f>Overview!D122</f>
        <v/>
      </c>
      <c r="E122" s="12" t="str">
        <f>Overview!E122</f>
        <v/>
      </c>
      <c r="F122" s="12" t="str">
        <f>Overview!K122</f>
        <v/>
      </c>
      <c r="G122" s="12" t="str">
        <f>Overview!L122</f>
        <v/>
      </c>
      <c r="H122" s="12" t="str">
        <f>Overview!M122</f>
        <v/>
      </c>
      <c r="I122" s="292" t="str">
        <f>Overview!N122</f>
        <v/>
      </c>
    </row>
    <row r="123">
      <c r="A123" s="12" t="str">
        <f>Overview!A123</f>
        <v/>
      </c>
      <c r="B123" s="12" t="str">
        <f>Overview!B123</f>
        <v/>
      </c>
      <c r="C123" s="12" t="str">
        <f>Overview!C123</f>
        <v/>
      </c>
      <c r="D123" s="12" t="str">
        <f>Overview!D123</f>
        <v/>
      </c>
      <c r="E123" s="12" t="str">
        <f>Overview!E123</f>
        <v/>
      </c>
      <c r="F123" s="12" t="str">
        <f>Overview!K123</f>
        <v/>
      </c>
      <c r="G123" s="12" t="str">
        <f>Overview!L123</f>
        <v/>
      </c>
      <c r="H123" s="12" t="str">
        <f>Overview!M123</f>
        <v/>
      </c>
      <c r="I123" s="292" t="str">
        <f>Overview!N123</f>
        <v/>
      </c>
    </row>
    <row r="124">
      <c r="A124" s="12" t="str">
        <f>Overview!A124</f>
        <v/>
      </c>
      <c r="B124" s="12" t="str">
        <f>Overview!B124</f>
        <v/>
      </c>
      <c r="C124" s="12" t="str">
        <f>Overview!C124</f>
        <v/>
      </c>
      <c r="D124" s="12" t="str">
        <f>Overview!D124</f>
        <v/>
      </c>
      <c r="E124" s="12" t="str">
        <f>Overview!E124</f>
        <v/>
      </c>
      <c r="F124" s="12" t="str">
        <f>Overview!K124</f>
        <v/>
      </c>
      <c r="G124" s="12" t="str">
        <f>Overview!L124</f>
        <v/>
      </c>
      <c r="H124" s="12" t="str">
        <f>Overview!M124</f>
        <v/>
      </c>
      <c r="I124" s="292" t="str">
        <f>Overview!N124</f>
        <v/>
      </c>
    </row>
    <row r="125">
      <c r="A125" s="12" t="str">
        <f>Overview!A125</f>
        <v/>
      </c>
      <c r="B125" s="12" t="str">
        <f>Overview!B125</f>
        <v/>
      </c>
      <c r="C125" s="12" t="str">
        <f>Overview!C125</f>
        <v/>
      </c>
      <c r="D125" s="12" t="str">
        <f>Overview!D125</f>
        <v/>
      </c>
      <c r="E125" s="12" t="str">
        <f>Overview!E125</f>
        <v/>
      </c>
      <c r="F125" s="12" t="str">
        <f>Overview!K125</f>
        <v/>
      </c>
      <c r="G125" s="12" t="str">
        <f>Overview!L125</f>
        <v/>
      </c>
      <c r="H125" s="12" t="str">
        <f>Overview!M125</f>
        <v/>
      </c>
      <c r="I125" s="292" t="str">
        <f>Overview!N125</f>
        <v/>
      </c>
    </row>
    <row r="126">
      <c r="A126" s="12" t="str">
        <f>Overview!A126</f>
        <v/>
      </c>
      <c r="B126" s="12" t="str">
        <f>Overview!B126</f>
        <v/>
      </c>
      <c r="C126" s="12" t="str">
        <f>Overview!C126</f>
        <v/>
      </c>
      <c r="D126" s="12" t="str">
        <f>Overview!D126</f>
        <v/>
      </c>
      <c r="E126" s="12" t="str">
        <f>Overview!E126</f>
        <v/>
      </c>
      <c r="F126" s="12" t="str">
        <f>Overview!K126</f>
        <v/>
      </c>
      <c r="G126" s="12" t="str">
        <f>Overview!L126</f>
        <v/>
      </c>
      <c r="H126" s="12" t="str">
        <f>Overview!M126</f>
        <v/>
      </c>
      <c r="I126" s="292" t="str">
        <f>Overview!N126</f>
        <v/>
      </c>
    </row>
    <row r="127">
      <c r="A127" s="12" t="str">
        <f>Overview!A127</f>
        <v/>
      </c>
      <c r="B127" s="12" t="str">
        <f>Overview!B127</f>
        <v/>
      </c>
      <c r="C127" s="12" t="str">
        <f>Overview!C127</f>
        <v/>
      </c>
      <c r="D127" s="12" t="str">
        <f>Overview!D127</f>
        <v/>
      </c>
      <c r="E127" s="12" t="str">
        <f>Overview!E127</f>
        <v/>
      </c>
      <c r="F127" s="12" t="str">
        <f>Overview!K127</f>
        <v/>
      </c>
      <c r="G127" s="12" t="str">
        <f>Overview!L127</f>
        <v/>
      </c>
      <c r="H127" s="12" t="str">
        <f>Overview!M127</f>
        <v/>
      </c>
      <c r="I127" s="292" t="str">
        <f>Overview!N127</f>
        <v/>
      </c>
    </row>
    <row r="128">
      <c r="A128" s="12" t="str">
        <f>Overview!A128</f>
        <v/>
      </c>
      <c r="B128" s="12" t="str">
        <f>Overview!B128</f>
        <v/>
      </c>
      <c r="C128" s="12" t="str">
        <f>Overview!C128</f>
        <v/>
      </c>
      <c r="D128" s="12" t="str">
        <f>Overview!D128</f>
        <v/>
      </c>
      <c r="E128" s="12" t="str">
        <f>Overview!E128</f>
        <v/>
      </c>
      <c r="F128" s="12" t="str">
        <f>Overview!K128</f>
        <v/>
      </c>
      <c r="G128" s="12" t="str">
        <f>Overview!L128</f>
        <v/>
      </c>
      <c r="H128" s="12" t="str">
        <f>Overview!M128</f>
        <v/>
      </c>
      <c r="I128" s="292" t="str">
        <f>Overview!N128</f>
        <v/>
      </c>
    </row>
    <row r="129">
      <c r="A129" s="12" t="str">
        <f>Overview!A129</f>
        <v/>
      </c>
      <c r="B129" s="12" t="str">
        <f>Overview!B129</f>
        <v/>
      </c>
      <c r="C129" s="12" t="str">
        <f>Overview!C129</f>
        <v/>
      </c>
      <c r="D129" s="12" t="str">
        <f>Overview!D129</f>
        <v/>
      </c>
      <c r="E129" s="12" t="str">
        <f>Overview!E129</f>
        <v/>
      </c>
      <c r="F129" s="12" t="str">
        <f>Overview!K129</f>
        <v/>
      </c>
      <c r="G129" s="12" t="str">
        <f>Overview!L129</f>
        <v/>
      </c>
      <c r="H129" s="12" t="str">
        <f>Overview!M129</f>
        <v/>
      </c>
      <c r="I129" s="292" t="str">
        <f>Overview!N129</f>
        <v/>
      </c>
    </row>
    <row r="130">
      <c r="A130" s="12" t="str">
        <f>Overview!A130</f>
        <v/>
      </c>
      <c r="B130" s="12" t="str">
        <f>Overview!B130</f>
        <v/>
      </c>
      <c r="C130" s="12" t="str">
        <f>Overview!C130</f>
        <v/>
      </c>
      <c r="D130" s="12" t="str">
        <f>Overview!D130</f>
        <v/>
      </c>
      <c r="E130" s="12" t="str">
        <f>Overview!E130</f>
        <v/>
      </c>
      <c r="F130" s="12" t="str">
        <f>Overview!K130</f>
        <v/>
      </c>
      <c r="G130" s="12" t="str">
        <f>Overview!L130</f>
        <v/>
      </c>
      <c r="H130" s="12" t="str">
        <f>Overview!M130</f>
        <v/>
      </c>
      <c r="I130" s="292" t="str">
        <f>Overview!N130</f>
        <v/>
      </c>
    </row>
    <row r="131">
      <c r="A131" s="12" t="str">
        <f>Overview!A131</f>
        <v/>
      </c>
      <c r="B131" s="12" t="str">
        <f>Overview!B131</f>
        <v/>
      </c>
      <c r="C131" s="12" t="str">
        <f>Overview!C131</f>
        <v/>
      </c>
      <c r="D131" s="12" t="str">
        <f>Overview!D131</f>
        <v/>
      </c>
      <c r="E131" s="12" t="str">
        <f>Overview!E131</f>
        <v/>
      </c>
      <c r="F131" s="12" t="str">
        <f>Overview!K131</f>
        <v/>
      </c>
      <c r="G131" s="12" t="str">
        <f>Overview!L131</f>
        <v/>
      </c>
      <c r="H131" s="12" t="str">
        <f>Overview!M131</f>
        <v/>
      </c>
      <c r="I131" s="292" t="str">
        <f>Overview!N131</f>
        <v/>
      </c>
    </row>
    <row r="132">
      <c r="A132" s="12" t="str">
        <f>Overview!A132</f>
        <v/>
      </c>
      <c r="B132" s="12" t="str">
        <f>Overview!B132</f>
        <v/>
      </c>
      <c r="C132" s="12" t="str">
        <f>Overview!C132</f>
        <v/>
      </c>
      <c r="D132" s="12" t="str">
        <f>Overview!D132</f>
        <v/>
      </c>
      <c r="E132" s="12" t="str">
        <f>Overview!E132</f>
        <v/>
      </c>
      <c r="F132" s="12" t="str">
        <f>Overview!K132</f>
        <v/>
      </c>
      <c r="G132" s="12" t="str">
        <f>Overview!L132</f>
        <v/>
      </c>
      <c r="H132" s="12" t="str">
        <f>Overview!M132</f>
        <v/>
      </c>
      <c r="I132" s="292" t="str">
        <f>Overview!N132</f>
        <v/>
      </c>
    </row>
    <row r="133">
      <c r="A133" s="12" t="str">
        <f>Overview!A133</f>
        <v/>
      </c>
      <c r="B133" s="12" t="str">
        <f>Overview!B133</f>
        <v/>
      </c>
      <c r="C133" s="12" t="str">
        <f>Overview!C133</f>
        <v/>
      </c>
      <c r="D133" s="12" t="str">
        <f>Overview!D133</f>
        <v/>
      </c>
      <c r="E133" s="12" t="str">
        <f>Overview!E133</f>
        <v/>
      </c>
      <c r="F133" s="12" t="str">
        <f>Overview!K133</f>
        <v/>
      </c>
      <c r="G133" s="12" t="str">
        <f>Overview!L133</f>
        <v/>
      </c>
      <c r="H133" s="12" t="str">
        <f>Overview!M133</f>
        <v/>
      </c>
      <c r="I133" s="292" t="str">
        <f>Overview!N133</f>
        <v/>
      </c>
    </row>
    <row r="134">
      <c r="A134" s="12" t="str">
        <f>Overview!A134</f>
        <v/>
      </c>
      <c r="B134" s="12" t="str">
        <f>Overview!B134</f>
        <v/>
      </c>
      <c r="C134" s="12" t="str">
        <f>Overview!C134</f>
        <v/>
      </c>
      <c r="D134" s="12" t="str">
        <f>Overview!D134</f>
        <v/>
      </c>
      <c r="E134" s="12" t="str">
        <f>Overview!E134</f>
        <v/>
      </c>
      <c r="F134" s="12" t="str">
        <f>Overview!K134</f>
        <v/>
      </c>
      <c r="G134" s="12" t="str">
        <f>Overview!L134</f>
        <v/>
      </c>
      <c r="H134" s="12" t="str">
        <f>Overview!M134</f>
        <v/>
      </c>
      <c r="I134" s="292" t="str">
        <f>Overview!N134</f>
        <v/>
      </c>
    </row>
    <row r="135">
      <c r="A135" s="12" t="str">
        <f>Overview!A135</f>
        <v/>
      </c>
      <c r="B135" s="12" t="str">
        <f>Overview!B135</f>
        <v/>
      </c>
      <c r="C135" s="12" t="str">
        <f>Overview!C135</f>
        <v/>
      </c>
      <c r="D135" s="12" t="str">
        <f>Overview!D135</f>
        <v/>
      </c>
      <c r="E135" s="12" t="str">
        <f>Overview!E135</f>
        <v/>
      </c>
      <c r="F135" s="12" t="str">
        <f>Overview!K135</f>
        <v/>
      </c>
      <c r="G135" s="12" t="str">
        <f>Overview!L135</f>
        <v/>
      </c>
      <c r="H135" s="12" t="str">
        <f>Overview!M135</f>
        <v/>
      </c>
      <c r="I135" s="292" t="str">
        <f>Overview!N135</f>
        <v/>
      </c>
    </row>
    <row r="136">
      <c r="A136" s="12" t="str">
        <f>Overview!A136</f>
        <v/>
      </c>
      <c r="B136" s="12" t="str">
        <f>Overview!B136</f>
        <v/>
      </c>
      <c r="C136" s="12" t="str">
        <f>Overview!C136</f>
        <v/>
      </c>
      <c r="D136" s="12" t="str">
        <f>Overview!D136</f>
        <v/>
      </c>
      <c r="E136" s="12" t="str">
        <f>Overview!E136</f>
        <v/>
      </c>
      <c r="F136" s="12" t="str">
        <f>Overview!K136</f>
        <v/>
      </c>
      <c r="G136" s="12" t="str">
        <f>Overview!L136</f>
        <v/>
      </c>
      <c r="H136" s="12" t="str">
        <f>Overview!M136</f>
        <v/>
      </c>
      <c r="I136" s="292" t="str">
        <f>Overview!N136</f>
        <v/>
      </c>
    </row>
    <row r="137">
      <c r="A137" s="12" t="str">
        <f>Overview!A137</f>
        <v/>
      </c>
      <c r="B137" s="12" t="str">
        <f>Overview!B137</f>
        <v/>
      </c>
      <c r="C137" s="12" t="str">
        <f>Overview!C137</f>
        <v/>
      </c>
      <c r="D137" s="12" t="str">
        <f>Overview!D137</f>
        <v/>
      </c>
      <c r="E137" s="12" t="str">
        <f>Overview!E137</f>
        <v/>
      </c>
      <c r="F137" s="12" t="str">
        <f>Overview!K137</f>
        <v/>
      </c>
      <c r="G137" s="12" t="str">
        <f>Overview!L137</f>
        <v/>
      </c>
      <c r="H137" s="12" t="str">
        <f>Overview!M137</f>
        <v/>
      </c>
      <c r="I137" s="292" t="str">
        <f>Overview!N137</f>
        <v/>
      </c>
    </row>
    <row r="138">
      <c r="A138" s="12" t="str">
        <f>Overview!A138</f>
        <v/>
      </c>
      <c r="B138" s="12" t="str">
        <f>Overview!B138</f>
        <v/>
      </c>
      <c r="C138" s="12" t="str">
        <f>Overview!C138</f>
        <v/>
      </c>
      <c r="D138" s="12" t="str">
        <f>Overview!D138</f>
        <v/>
      </c>
      <c r="E138" s="12" t="str">
        <f>Overview!E138</f>
        <v/>
      </c>
      <c r="F138" s="12" t="str">
        <f>Overview!K138</f>
        <v/>
      </c>
      <c r="G138" s="12" t="str">
        <f>Overview!L138</f>
        <v/>
      </c>
      <c r="H138" s="12" t="str">
        <f>Overview!M138</f>
        <v/>
      </c>
      <c r="I138" s="292" t="str">
        <f>Overview!N138</f>
        <v/>
      </c>
    </row>
    <row r="139">
      <c r="A139" s="12" t="str">
        <f>Overview!A139</f>
        <v/>
      </c>
      <c r="B139" s="12" t="str">
        <f>Overview!B139</f>
        <v/>
      </c>
      <c r="C139" s="12" t="str">
        <f>Overview!C139</f>
        <v/>
      </c>
      <c r="D139" s="12" t="str">
        <f>Overview!D139</f>
        <v/>
      </c>
      <c r="E139" s="12" t="str">
        <f>Overview!E139</f>
        <v/>
      </c>
      <c r="F139" s="12" t="str">
        <f>Overview!K139</f>
        <v/>
      </c>
      <c r="G139" s="12" t="str">
        <f>Overview!L139</f>
        <v/>
      </c>
      <c r="H139" s="12" t="str">
        <f>Overview!M139</f>
        <v/>
      </c>
      <c r="I139" s="292" t="str">
        <f>Overview!N139</f>
        <v/>
      </c>
    </row>
    <row r="140">
      <c r="A140" s="12" t="str">
        <f>Overview!A140</f>
        <v/>
      </c>
      <c r="B140" s="12" t="str">
        <f>Overview!B140</f>
        <v/>
      </c>
      <c r="C140" s="12" t="str">
        <f>Overview!C140</f>
        <v/>
      </c>
      <c r="D140" s="12" t="str">
        <f>Overview!D140</f>
        <v/>
      </c>
      <c r="E140" s="12" t="str">
        <f>Overview!E140</f>
        <v/>
      </c>
      <c r="F140" s="12" t="str">
        <f>Overview!K140</f>
        <v/>
      </c>
      <c r="G140" s="12" t="str">
        <f>Overview!L140</f>
        <v/>
      </c>
      <c r="H140" s="12" t="str">
        <f>Overview!M140</f>
        <v/>
      </c>
      <c r="I140" s="292" t="str">
        <f>Overview!N140</f>
        <v/>
      </c>
    </row>
    <row r="141">
      <c r="A141" s="12" t="str">
        <f>Overview!A141</f>
        <v/>
      </c>
      <c r="B141" s="12" t="str">
        <f>Overview!B141</f>
        <v/>
      </c>
      <c r="C141" s="12" t="str">
        <f>Overview!C141</f>
        <v/>
      </c>
      <c r="D141" s="12" t="str">
        <f>Overview!D141</f>
        <v/>
      </c>
      <c r="E141" s="12" t="str">
        <f>Overview!E141</f>
        <v/>
      </c>
      <c r="F141" s="12" t="str">
        <f>Overview!K141</f>
        <v/>
      </c>
      <c r="G141" s="12" t="str">
        <f>Overview!L141</f>
        <v/>
      </c>
      <c r="H141" s="12" t="str">
        <f>Overview!M141</f>
        <v/>
      </c>
      <c r="I141" s="292" t="str">
        <f>Overview!N141</f>
        <v/>
      </c>
    </row>
    <row r="142">
      <c r="A142" s="12" t="str">
        <f>Overview!A142</f>
        <v/>
      </c>
      <c r="B142" s="12" t="str">
        <f>Overview!B142</f>
        <v/>
      </c>
      <c r="C142" s="12" t="str">
        <f>Overview!C142</f>
        <v/>
      </c>
      <c r="D142" s="12" t="str">
        <f>Overview!D142</f>
        <v/>
      </c>
      <c r="E142" s="12" t="str">
        <f>Overview!E142</f>
        <v/>
      </c>
      <c r="F142" s="12" t="str">
        <f>Overview!K142</f>
        <v/>
      </c>
      <c r="G142" s="12" t="str">
        <f>Overview!L142</f>
        <v/>
      </c>
      <c r="H142" s="12" t="str">
        <f>Overview!M142</f>
        <v/>
      </c>
      <c r="I142" s="292" t="str">
        <f>Overview!N142</f>
        <v/>
      </c>
    </row>
    <row r="143">
      <c r="A143" s="12" t="str">
        <f>Overview!A143</f>
        <v/>
      </c>
      <c r="B143" s="12" t="str">
        <f>Overview!B143</f>
        <v/>
      </c>
      <c r="C143" s="12" t="str">
        <f>Overview!C143</f>
        <v/>
      </c>
      <c r="D143" s="12" t="str">
        <f>Overview!D143</f>
        <v/>
      </c>
      <c r="E143" s="12" t="str">
        <f>Overview!E143</f>
        <v/>
      </c>
      <c r="F143" s="12" t="str">
        <f>Overview!K143</f>
        <v/>
      </c>
      <c r="G143" s="12" t="str">
        <f>Overview!L143</f>
        <v/>
      </c>
      <c r="H143" s="12" t="str">
        <f>Overview!M143</f>
        <v/>
      </c>
      <c r="I143" s="292" t="str">
        <f>Overview!N143</f>
        <v/>
      </c>
    </row>
    <row r="144">
      <c r="A144" s="12" t="str">
        <f>Overview!A144</f>
        <v/>
      </c>
      <c r="B144" s="12" t="str">
        <f>Overview!B144</f>
        <v/>
      </c>
      <c r="C144" s="12" t="str">
        <f>Overview!C144</f>
        <v/>
      </c>
      <c r="D144" s="12" t="str">
        <f>Overview!D144</f>
        <v/>
      </c>
      <c r="E144" s="12" t="str">
        <f>Overview!E144</f>
        <v/>
      </c>
      <c r="F144" s="12" t="str">
        <f>Overview!K144</f>
        <v/>
      </c>
      <c r="G144" s="12" t="str">
        <f>Overview!L144</f>
        <v/>
      </c>
      <c r="H144" s="12" t="str">
        <f>Overview!M144</f>
        <v/>
      </c>
      <c r="I144" s="292" t="str">
        <f>Overview!N144</f>
        <v/>
      </c>
    </row>
    <row r="145">
      <c r="A145" s="12" t="str">
        <f>Overview!A145</f>
        <v/>
      </c>
      <c r="B145" s="12" t="str">
        <f>Overview!B145</f>
        <v/>
      </c>
      <c r="C145" s="12" t="str">
        <f>Overview!C145</f>
        <v/>
      </c>
      <c r="D145" s="12" t="str">
        <f>Overview!D145</f>
        <v/>
      </c>
      <c r="E145" s="12" t="str">
        <f>Overview!E145</f>
        <v/>
      </c>
      <c r="F145" s="12" t="str">
        <f>Overview!K145</f>
        <v/>
      </c>
      <c r="G145" s="12" t="str">
        <f>Overview!L145</f>
        <v/>
      </c>
      <c r="H145" s="12" t="str">
        <f>Overview!M145</f>
        <v/>
      </c>
      <c r="I145" s="292" t="str">
        <f>Overview!N145</f>
        <v/>
      </c>
    </row>
    <row r="146">
      <c r="A146" s="12" t="str">
        <f>Overview!A146</f>
        <v/>
      </c>
      <c r="B146" s="12" t="str">
        <f>Overview!B146</f>
        <v/>
      </c>
      <c r="C146" s="12" t="str">
        <f>Overview!C146</f>
        <v/>
      </c>
      <c r="D146" s="12" t="str">
        <f>Overview!D146</f>
        <v/>
      </c>
      <c r="E146" s="12" t="str">
        <f>Overview!E146</f>
        <v/>
      </c>
      <c r="F146" s="12" t="str">
        <f>Overview!K146</f>
        <v/>
      </c>
      <c r="G146" s="12" t="str">
        <f>Overview!L146</f>
        <v/>
      </c>
      <c r="H146" s="12" t="str">
        <f>Overview!M146</f>
        <v/>
      </c>
      <c r="I146" s="292" t="str">
        <f>Overview!N146</f>
        <v/>
      </c>
    </row>
    <row r="147">
      <c r="A147" s="12" t="str">
        <f>Overview!A147</f>
        <v/>
      </c>
      <c r="B147" s="12" t="str">
        <f>Overview!B147</f>
        <v/>
      </c>
      <c r="C147" s="12" t="str">
        <f>Overview!C147</f>
        <v/>
      </c>
      <c r="D147" s="12" t="str">
        <f>Overview!D147</f>
        <v/>
      </c>
      <c r="E147" s="12" t="str">
        <f>Overview!E147</f>
        <v/>
      </c>
      <c r="F147" s="12" t="str">
        <f>Overview!K147</f>
        <v/>
      </c>
      <c r="G147" s="12" t="str">
        <f>Overview!L147</f>
        <v/>
      </c>
      <c r="H147" s="12" t="str">
        <f>Overview!M147</f>
        <v/>
      </c>
      <c r="I147" s="292" t="str">
        <f>Overview!N147</f>
        <v/>
      </c>
    </row>
    <row r="148">
      <c r="A148" s="12" t="str">
        <f>Overview!A148</f>
        <v/>
      </c>
      <c r="B148" s="12" t="str">
        <f>Overview!B148</f>
        <v/>
      </c>
      <c r="C148" s="12" t="str">
        <f>Overview!C148</f>
        <v/>
      </c>
      <c r="D148" s="12" t="str">
        <f>Overview!D148</f>
        <v/>
      </c>
      <c r="E148" s="12" t="str">
        <f>Overview!E148</f>
        <v/>
      </c>
      <c r="F148" s="12" t="str">
        <f>Overview!K148</f>
        <v/>
      </c>
      <c r="G148" s="12" t="str">
        <f>Overview!L148</f>
        <v/>
      </c>
      <c r="H148" s="12" t="str">
        <f>Overview!M148</f>
        <v/>
      </c>
      <c r="I148" s="292" t="str">
        <f>Overview!N148</f>
        <v/>
      </c>
    </row>
    <row r="149">
      <c r="A149" s="12" t="str">
        <f>Overview!A149</f>
        <v/>
      </c>
      <c r="B149" s="12" t="str">
        <f>Overview!B149</f>
        <v/>
      </c>
      <c r="C149" s="12" t="str">
        <f>Overview!C149</f>
        <v/>
      </c>
      <c r="D149" s="12" t="str">
        <f>Overview!D149</f>
        <v/>
      </c>
      <c r="E149" s="12" t="str">
        <f>Overview!E149</f>
        <v/>
      </c>
      <c r="F149" s="12" t="str">
        <f>Overview!K149</f>
        <v/>
      </c>
      <c r="G149" s="12" t="str">
        <f>Overview!L149</f>
        <v/>
      </c>
      <c r="H149" s="12" t="str">
        <f>Overview!M149</f>
        <v/>
      </c>
      <c r="I149" s="292" t="str">
        <f>Overview!N149</f>
        <v/>
      </c>
    </row>
    <row r="150">
      <c r="A150" s="12" t="str">
        <f>Overview!A150</f>
        <v/>
      </c>
      <c r="B150" s="12" t="str">
        <f>Overview!B150</f>
        <v/>
      </c>
      <c r="C150" s="12" t="str">
        <f>Overview!C150</f>
        <v/>
      </c>
      <c r="D150" s="12" t="str">
        <f>Overview!D150</f>
        <v/>
      </c>
      <c r="E150" s="12" t="str">
        <f>Overview!E150</f>
        <v/>
      </c>
      <c r="F150" s="12" t="str">
        <f>Overview!K150</f>
        <v/>
      </c>
      <c r="G150" s="12" t="str">
        <f>Overview!L150</f>
        <v/>
      </c>
      <c r="H150" s="12" t="str">
        <f>Overview!M150</f>
        <v/>
      </c>
      <c r="I150" s="292" t="str">
        <f>Overview!N150</f>
        <v/>
      </c>
    </row>
    <row r="151">
      <c r="A151" s="12" t="str">
        <f>Overview!A151</f>
        <v/>
      </c>
      <c r="B151" s="12" t="str">
        <f>Overview!B151</f>
        <v/>
      </c>
      <c r="C151" s="12" t="str">
        <f>Overview!C151</f>
        <v/>
      </c>
      <c r="D151" s="12" t="str">
        <f>Overview!D151</f>
        <v/>
      </c>
      <c r="E151" s="12" t="str">
        <f>Overview!E151</f>
        <v/>
      </c>
      <c r="F151" s="12" t="str">
        <f>Overview!K151</f>
        <v/>
      </c>
      <c r="G151" s="12" t="str">
        <f>Overview!L151</f>
        <v/>
      </c>
      <c r="H151" s="12" t="str">
        <f>Overview!M151</f>
        <v/>
      </c>
      <c r="I151" s="292" t="str">
        <f>Overview!N151</f>
        <v/>
      </c>
    </row>
    <row r="152">
      <c r="A152" s="12" t="str">
        <f>Overview!A152</f>
        <v/>
      </c>
      <c r="B152" s="12" t="str">
        <f>Overview!B152</f>
        <v/>
      </c>
      <c r="C152" s="12" t="str">
        <f>Overview!C152</f>
        <v/>
      </c>
      <c r="D152" s="12" t="str">
        <f>Overview!D152</f>
        <v/>
      </c>
      <c r="E152" s="12" t="str">
        <f>Overview!E152</f>
        <v/>
      </c>
      <c r="F152" s="12" t="str">
        <f>Overview!K152</f>
        <v/>
      </c>
      <c r="G152" s="12" t="str">
        <f>Overview!L152</f>
        <v/>
      </c>
      <c r="H152" s="12" t="str">
        <f>Overview!M152</f>
        <v/>
      </c>
      <c r="I152" s="292" t="str">
        <f>Overview!N152</f>
        <v/>
      </c>
    </row>
    <row r="153">
      <c r="A153" s="12" t="str">
        <f>Overview!A153</f>
        <v/>
      </c>
      <c r="B153" s="12" t="str">
        <f>Overview!B153</f>
        <v/>
      </c>
      <c r="C153" s="12" t="str">
        <f>Overview!C153</f>
        <v/>
      </c>
      <c r="D153" s="12" t="str">
        <f>Overview!D153</f>
        <v/>
      </c>
      <c r="E153" s="12" t="str">
        <f>Overview!E153</f>
        <v/>
      </c>
      <c r="F153" s="12" t="str">
        <f>Overview!K153</f>
        <v/>
      </c>
      <c r="G153" s="12" t="str">
        <f>Overview!L153</f>
        <v/>
      </c>
      <c r="H153" s="12" t="str">
        <f>Overview!M153</f>
        <v/>
      </c>
      <c r="I153" s="292" t="str">
        <f>Overview!N153</f>
        <v/>
      </c>
    </row>
    <row r="154">
      <c r="A154" s="12" t="str">
        <f>Overview!A154</f>
        <v/>
      </c>
      <c r="B154" s="12" t="str">
        <f>Overview!B154</f>
        <v/>
      </c>
      <c r="C154" s="12" t="str">
        <f>Overview!C154</f>
        <v/>
      </c>
      <c r="D154" s="12" t="str">
        <f>Overview!D154</f>
        <v/>
      </c>
      <c r="E154" s="12" t="str">
        <f>Overview!E154</f>
        <v/>
      </c>
      <c r="F154" s="12" t="str">
        <f>Overview!K154</f>
        <v/>
      </c>
      <c r="G154" s="12" t="str">
        <f>Overview!L154</f>
        <v/>
      </c>
      <c r="H154" s="12" t="str">
        <f>Overview!M154</f>
        <v/>
      </c>
      <c r="I154" s="292" t="str">
        <f>Overview!N154</f>
        <v/>
      </c>
    </row>
    <row r="155">
      <c r="A155" s="12" t="str">
        <f>Overview!A155</f>
        <v/>
      </c>
      <c r="B155" s="12" t="str">
        <f>Overview!B155</f>
        <v/>
      </c>
      <c r="C155" s="12" t="str">
        <f>Overview!C155</f>
        <v/>
      </c>
      <c r="D155" s="12" t="str">
        <f>Overview!D155</f>
        <v/>
      </c>
      <c r="E155" s="12" t="str">
        <f>Overview!E155</f>
        <v/>
      </c>
      <c r="F155" s="12" t="str">
        <f>Overview!K155</f>
        <v/>
      </c>
      <c r="G155" s="12" t="str">
        <f>Overview!L155</f>
        <v/>
      </c>
      <c r="H155" s="12" t="str">
        <f>Overview!M155</f>
        <v/>
      </c>
      <c r="I155" s="292" t="str">
        <f>Overview!N155</f>
        <v/>
      </c>
    </row>
    <row r="156">
      <c r="A156" s="12" t="str">
        <f>Overview!A156</f>
        <v/>
      </c>
      <c r="B156" s="12" t="str">
        <f>Overview!B156</f>
        <v/>
      </c>
      <c r="C156" s="12" t="str">
        <f>Overview!C156</f>
        <v/>
      </c>
      <c r="D156" s="12" t="str">
        <f>Overview!D156</f>
        <v/>
      </c>
      <c r="E156" s="12" t="str">
        <f>Overview!E156</f>
        <v/>
      </c>
      <c r="F156" s="12" t="str">
        <f>Overview!K156</f>
        <v/>
      </c>
      <c r="G156" s="12" t="str">
        <f>Overview!L156</f>
        <v/>
      </c>
      <c r="H156" s="12" t="str">
        <f>Overview!M156</f>
        <v/>
      </c>
      <c r="I156" s="292" t="str">
        <f>Overview!N156</f>
        <v/>
      </c>
    </row>
    <row r="157">
      <c r="A157" s="12" t="str">
        <f>Overview!A157</f>
        <v/>
      </c>
      <c r="B157" s="12" t="str">
        <f>Overview!B157</f>
        <v/>
      </c>
      <c r="C157" s="12" t="str">
        <f>Overview!C157</f>
        <v/>
      </c>
      <c r="D157" s="12" t="str">
        <f>Overview!D157</f>
        <v/>
      </c>
      <c r="E157" s="12" t="str">
        <f>Overview!E157</f>
        <v/>
      </c>
      <c r="F157" s="12" t="str">
        <f>Overview!K157</f>
        <v/>
      </c>
      <c r="G157" s="12" t="str">
        <f>Overview!L157</f>
        <v/>
      </c>
      <c r="H157" s="12" t="str">
        <f>Overview!M157</f>
        <v/>
      </c>
      <c r="I157" s="292" t="str">
        <f>Overview!N157</f>
        <v/>
      </c>
    </row>
    <row r="158">
      <c r="A158" s="12" t="str">
        <f>Overview!A158</f>
        <v/>
      </c>
      <c r="B158" s="12" t="str">
        <f>Overview!B158</f>
        <v/>
      </c>
      <c r="C158" s="12" t="str">
        <f>Overview!C158</f>
        <v/>
      </c>
      <c r="D158" s="12" t="str">
        <f>Overview!D158</f>
        <v/>
      </c>
      <c r="E158" s="12" t="str">
        <f>Overview!E158</f>
        <v/>
      </c>
      <c r="F158" s="12" t="str">
        <f>Overview!K158</f>
        <v/>
      </c>
      <c r="G158" s="12" t="str">
        <f>Overview!L158</f>
        <v/>
      </c>
      <c r="H158" s="12" t="str">
        <f>Overview!M158</f>
        <v/>
      </c>
      <c r="I158" s="292" t="str">
        <f>Overview!N158</f>
        <v/>
      </c>
    </row>
    <row r="159">
      <c r="A159" s="12" t="str">
        <f>Overview!A159</f>
        <v/>
      </c>
      <c r="B159" s="12" t="str">
        <f>Overview!B159</f>
        <v/>
      </c>
      <c r="C159" s="12" t="str">
        <f>Overview!C159</f>
        <v/>
      </c>
      <c r="D159" s="12" t="str">
        <f>Overview!D159</f>
        <v/>
      </c>
      <c r="E159" s="12" t="str">
        <f>Overview!E159</f>
        <v/>
      </c>
      <c r="F159" s="12" t="str">
        <f>Overview!K159</f>
        <v/>
      </c>
      <c r="G159" s="12" t="str">
        <f>Overview!L159</f>
        <v/>
      </c>
      <c r="H159" s="12" t="str">
        <f>Overview!M159</f>
        <v/>
      </c>
      <c r="I159" s="292" t="str">
        <f>Overview!N159</f>
        <v/>
      </c>
    </row>
    <row r="160">
      <c r="A160" s="12" t="str">
        <f>Overview!A160</f>
        <v/>
      </c>
      <c r="B160" s="12" t="str">
        <f>Overview!B160</f>
        <v/>
      </c>
      <c r="C160" s="12" t="str">
        <f>Overview!C160</f>
        <v/>
      </c>
      <c r="D160" s="12" t="str">
        <f>Overview!D160</f>
        <v/>
      </c>
      <c r="E160" s="12" t="str">
        <f>Overview!E160</f>
        <v/>
      </c>
      <c r="F160" s="12" t="str">
        <f>Overview!K160</f>
        <v/>
      </c>
      <c r="G160" s="12" t="str">
        <f>Overview!L160</f>
        <v/>
      </c>
      <c r="H160" s="12" t="str">
        <f>Overview!M160</f>
        <v/>
      </c>
      <c r="I160" s="292" t="str">
        <f>Overview!N160</f>
        <v/>
      </c>
    </row>
    <row r="161">
      <c r="A161" s="12" t="str">
        <f>Overview!A161</f>
        <v/>
      </c>
      <c r="B161" s="12" t="str">
        <f>Overview!B161</f>
        <v/>
      </c>
      <c r="C161" s="12" t="str">
        <f>Overview!C161</f>
        <v/>
      </c>
      <c r="D161" s="12" t="str">
        <f>Overview!D161</f>
        <v/>
      </c>
      <c r="E161" s="12" t="str">
        <f>Overview!E161</f>
        <v/>
      </c>
      <c r="F161" s="12" t="str">
        <f>Overview!K161</f>
        <v/>
      </c>
      <c r="G161" s="12" t="str">
        <f>Overview!L161</f>
        <v/>
      </c>
      <c r="H161" s="12" t="str">
        <f>Overview!M161</f>
        <v/>
      </c>
      <c r="I161" s="292" t="str">
        <f>Overview!N161</f>
        <v/>
      </c>
    </row>
    <row r="162">
      <c r="A162" s="12" t="str">
        <f>Overview!A162</f>
        <v/>
      </c>
      <c r="B162" s="12" t="str">
        <f>Overview!B162</f>
        <v/>
      </c>
      <c r="C162" s="12" t="str">
        <f>Overview!C162</f>
        <v/>
      </c>
      <c r="D162" s="12" t="str">
        <f>Overview!D162</f>
        <v/>
      </c>
      <c r="E162" s="12" t="str">
        <f>Overview!E162</f>
        <v/>
      </c>
      <c r="F162" s="12" t="str">
        <f>Overview!K162</f>
        <v/>
      </c>
      <c r="G162" s="12" t="str">
        <f>Overview!L162</f>
        <v/>
      </c>
      <c r="H162" s="12" t="str">
        <f>Overview!M162</f>
        <v/>
      </c>
      <c r="I162" s="292" t="str">
        <f>Overview!N162</f>
        <v/>
      </c>
    </row>
    <row r="163">
      <c r="A163" s="12" t="str">
        <f>Overview!A163</f>
        <v/>
      </c>
      <c r="B163" s="12" t="str">
        <f>Overview!B163</f>
        <v/>
      </c>
      <c r="C163" s="12" t="str">
        <f>Overview!C163</f>
        <v/>
      </c>
      <c r="D163" s="12" t="str">
        <f>Overview!D163</f>
        <v/>
      </c>
      <c r="E163" s="12" t="str">
        <f>Overview!E163</f>
        <v/>
      </c>
      <c r="F163" s="12" t="str">
        <f>Overview!K163</f>
        <v/>
      </c>
      <c r="G163" s="12" t="str">
        <f>Overview!L163</f>
        <v/>
      </c>
      <c r="H163" s="12" t="str">
        <f>Overview!M163</f>
        <v/>
      </c>
      <c r="I163" s="292" t="str">
        <f>Overview!N163</f>
        <v/>
      </c>
    </row>
    <row r="164">
      <c r="A164" s="12" t="str">
        <f>Overview!A164</f>
        <v/>
      </c>
      <c r="B164" s="12" t="str">
        <f>Overview!B164</f>
        <v/>
      </c>
      <c r="C164" s="12" t="str">
        <f>Overview!C164</f>
        <v/>
      </c>
      <c r="D164" s="12" t="str">
        <f>Overview!D164</f>
        <v/>
      </c>
      <c r="E164" s="12" t="str">
        <f>Overview!E164</f>
        <v/>
      </c>
      <c r="F164" s="12" t="str">
        <f>Overview!K164</f>
        <v/>
      </c>
      <c r="G164" s="12" t="str">
        <f>Overview!L164</f>
        <v/>
      </c>
      <c r="H164" s="12" t="str">
        <f>Overview!M164</f>
        <v/>
      </c>
      <c r="I164" s="292" t="str">
        <f>Overview!N164</f>
        <v/>
      </c>
    </row>
    <row r="165">
      <c r="A165" s="12" t="str">
        <f>Overview!A165</f>
        <v/>
      </c>
      <c r="B165" s="12" t="str">
        <f>Overview!B165</f>
        <v/>
      </c>
      <c r="C165" s="12" t="str">
        <f>Overview!C165</f>
        <v/>
      </c>
      <c r="D165" s="12" t="str">
        <f>Overview!D165</f>
        <v/>
      </c>
      <c r="E165" s="12" t="str">
        <f>Overview!E165</f>
        <v/>
      </c>
      <c r="F165" s="12" t="str">
        <f>Overview!K165</f>
        <v/>
      </c>
      <c r="G165" s="12" t="str">
        <f>Overview!L165</f>
        <v/>
      </c>
      <c r="H165" s="12" t="str">
        <f>Overview!M165</f>
        <v/>
      </c>
      <c r="I165" s="292" t="str">
        <f>Overview!N165</f>
        <v/>
      </c>
    </row>
    <row r="166">
      <c r="A166" s="12" t="str">
        <f>Overview!A166</f>
        <v/>
      </c>
      <c r="B166" s="12" t="str">
        <f>Overview!B166</f>
        <v/>
      </c>
      <c r="C166" s="12" t="str">
        <f>Overview!C166</f>
        <v/>
      </c>
      <c r="D166" s="12" t="str">
        <f>Overview!D166</f>
        <v/>
      </c>
      <c r="E166" s="12" t="str">
        <f>Overview!E166</f>
        <v/>
      </c>
      <c r="F166" s="12" t="str">
        <f>Overview!K166</f>
        <v/>
      </c>
      <c r="G166" s="12" t="str">
        <f>Overview!L166</f>
        <v/>
      </c>
      <c r="H166" s="12" t="str">
        <f>Overview!M166</f>
        <v/>
      </c>
      <c r="I166" s="292" t="str">
        <f>Overview!N166</f>
        <v/>
      </c>
    </row>
    <row r="167">
      <c r="A167" s="12" t="str">
        <f>Overview!A167</f>
        <v/>
      </c>
      <c r="B167" s="12" t="str">
        <f>Overview!B167</f>
        <v/>
      </c>
      <c r="C167" s="12" t="str">
        <f>Overview!C167</f>
        <v/>
      </c>
      <c r="D167" s="12" t="str">
        <f>Overview!D167</f>
        <v/>
      </c>
      <c r="E167" s="12" t="str">
        <f>Overview!E167</f>
        <v/>
      </c>
      <c r="F167" s="12" t="str">
        <f>Overview!K167</f>
        <v/>
      </c>
      <c r="G167" s="12" t="str">
        <f>Overview!L167</f>
        <v/>
      </c>
      <c r="H167" s="12" t="str">
        <f>Overview!M167</f>
        <v/>
      </c>
      <c r="I167" s="292" t="str">
        <f>Overview!N167</f>
        <v/>
      </c>
    </row>
    <row r="168">
      <c r="A168" s="12" t="str">
        <f>Overview!A168</f>
        <v/>
      </c>
      <c r="B168" s="12" t="str">
        <f>Overview!B168</f>
        <v/>
      </c>
      <c r="C168" s="12" t="str">
        <f>Overview!C168</f>
        <v/>
      </c>
      <c r="D168" s="12" t="str">
        <f>Overview!D168</f>
        <v/>
      </c>
      <c r="E168" s="12" t="str">
        <f>Overview!E168</f>
        <v/>
      </c>
      <c r="F168" s="12" t="str">
        <f>Overview!K168</f>
        <v/>
      </c>
      <c r="G168" s="12" t="str">
        <f>Overview!L168</f>
        <v/>
      </c>
      <c r="H168" s="12" t="str">
        <f>Overview!M168</f>
        <v/>
      </c>
      <c r="I168" s="292" t="str">
        <f>Overview!N168</f>
        <v/>
      </c>
    </row>
    <row r="169">
      <c r="A169" s="12" t="str">
        <f>Overview!A169</f>
        <v/>
      </c>
      <c r="B169" s="12" t="str">
        <f>Overview!B169</f>
        <v/>
      </c>
      <c r="C169" s="12" t="str">
        <f>Overview!C169</f>
        <v/>
      </c>
      <c r="D169" s="12" t="str">
        <f>Overview!D169</f>
        <v/>
      </c>
      <c r="E169" s="12" t="str">
        <f>Overview!E169</f>
        <v/>
      </c>
      <c r="F169" s="12" t="str">
        <f>Overview!K169</f>
        <v/>
      </c>
      <c r="G169" s="12" t="str">
        <f>Overview!L169</f>
        <v/>
      </c>
      <c r="H169" s="12" t="str">
        <f>Overview!M169</f>
        <v/>
      </c>
      <c r="I169" s="292" t="str">
        <f>Overview!N169</f>
        <v/>
      </c>
    </row>
    <row r="170">
      <c r="A170" s="12" t="str">
        <f>Overview!A170</f>
        <v/>
      </c>
      <c r="B170" s="12" t="str">
        <f>Overview!B170</f>
        <v/>
      </c>
      <c r="C170" s="12" t="str">
        <f>Overview!C170</f>
        <v/>
      </c>
      <c r="D170" s="12" t="str">
        <f>Overview!D170</f>
        <v/>
      </c>
      <c r="E170" s="12" t="str">
        <f>Overview!E170</f>
        <v/>
      </c>
      <c r="F170" s="12" t="str">
        <f>Overview!K170</f>
        <v/>
      </c>
      <c r="G170" s="12" t="str">
        <f>Overview!L170</f>
        <v/>
      </c>
      <c r="H170" s="12" t="str">
        <f>Overview!M170</f>
        <v/>
      </c>
      <c r="I170" s="292" t="str">
        <f>Overview!N170</f>
        <v/>
      </c>
    </row>
    <row r="171">
      <c r="A171" s="12" t="str">
        <f>Overview!A171</f>
        <v/>
      </c>
      <c r="B171" s="12" t="str">
        <f>Overview!B171</f>
        <v/>
      </c>
      <c r="C171" s="12" t="str">
        <f>Overview!C171</f>
        <v/>
      </c>
      <c r="D171" s="12" t="str">
        <f>Overview!D171</f>
        <v/>
      </c>
      <c r="E171" s="12" t="str">
        <f>Overview!E171</f>
        <v/>
      </c>
      <c r="F171" s="12" t="str">
        <f>Overview!K171</f>
        <v/>
      </c>
      <c r="G171" s="12" t="str">
        <f>Overview!L171</f>
        <v/>
      </c>
      <c r="H171" s="12" t="str">
        <f>Overview!M171</f>
        <v/>
      </c>
      <c r="I171" s="292" t="str">
        <f>Overview!N171</f>
        <v/>
      </c>
    </row>
    <row r="172">
      <c r="A172" s="12" t="str">
        <f>Overview!A172</f>
        <v/>
      </c>
      <c r="B172" s="12" t="str">
        <f>Overview!B172</f>
        <v/>
      </c>
      <c r="C172" s="12" t="str">
        <f>Overview!C172</f>
        <v/>
      </c>
      <c r="D172" s="12" t="str">
        <f>Overview!D172</f>
        <v/>
      </c>
      <c r="E172" s="12" t="str">
        <f>Overview!E172</f>
        <v/>
      </c>
      <c r="F172" s="12" t="str">
        <f>Overview!K172</f>
        <v/>
      </c>
      <c r="G172" s="12" t="str">
        <f>Overview!L172</f>
        <v/>
      </c>
      <c r="H172" s="12" t="str">
        <f>Overview!M172</f>
        <v/>
      </c>
      <c r="I172" s="292" t="str">
        <f>Overview!N172</f>
        <v/>
      </c>
    </row>
    <row r="173">
      <c r="A173" s="12" t="str">
        <f>Overview!A173</f>
        <v/>
      </c>
      <c r="B173" s="12" t="str">
        <f>Overview!B173</f>
        <v/>
      </c>
      <c r="C173" s="12" t="str">
        <f>Overview!C173</f>
        <v/>
      </c>
      <c r="D173" s="12" t="str">
        <f>Overview!D173</f>
        <v/>
      </c>
      <c r="E173" s="12" t="str">
        <f>Overview!E173</f>
        <v/>
      </c>
      <c r="F173" s="12" t="str">
        <f>Overview!K173</f>
        <v/>
      </c>
      <c r="G173" s="12" t="str">
        <f>Overview!L173</f>
        <v/>
      </c>
      <c r="H173" s="12" t="str">
        <f>Overview!M173</f>
        <v/>
      </c>
      <c r="I173" s="292" t="str">
        <f>Overview!N173</f>
        <v/>
      </c>
    </row>
    <row r="174">
      <c r="A174" s="12" t="str">
        <f>Overview!A174</f>
        <v/>
      </c>
      <c r="B174" s="12" t="str">
        <f>Overview!B174</f>
        <v/>
      </c>
      <c r="C174" s="12" t="str">
        <f>Overview!C174</f>
        <v/>
      </c>
      <c r="D174" s="12" t="str">
        <f>Overview!D174</f>
        <v/>
      </c>
      <c r="E174" s="12" t="str">
        <f>Overview!E174</f>
        <v/>
      </c>
      <c r="F174" s="12" t="str">
        <f>Overview!K174</f>
        <v/>
      </c>
      <c r="G174" s="12" t="str">
        <f>Overview!L174</f>
        <v/>
      </c>
      <c r="H174" s="12" t="str">
        <f>Overview!M174</f>
        <v/>
      </c>
      <c r="I174" s="292" t="str">
        <f>Overview!N174</f>
        <v/>
      </c>
    </row>
    <row r="175">
      <c r="A175" s="12" t="str">
        <f>Overview!A175</f>
        <v/>
      </c>
      <c r="B175" s="12" t="str">
        <f>Overview!B175</f>
        <v/>
      </c>
      <c r="C175" s="12" t="str">
        <f>Overview!C175</f>
        <v/>
      </c>
      <c r="D175" s="12" t="str">
        <f>Overview!D175</f>
        <v/>
      </c>
      <c r="E175" s="12" t="str">
        <f>Overview!E175</f>
        <v/>
      </c>
      <c r="F175" s="12" t="str">
        <f>Overview!K175</f>
        <v/>
      </c>
      <c r="G175" s="12" t="str">
        <f>Overview!L175</f>
        <v/>
      </c>
      <c r="H175" s="12" t="str">
        <f>Overview!M175</f>
        <v/>
      </c>
      <c r="I175" s="292" t="str">
        <f>Overview!N175</f>
        <v/>
      </c>
    </row>
    <row r="176">
      <c r="A176" s="12" t="str">
        <f>Overview!A176</f>
        <v/>
      </c>
      <c r="B176" s="12" t="str">
        <f>Overview!B176</f>
        <v/>
      </c>
      <c r="C176" s="12" t="str">
        <f>Overview!C176</f>
        <v/>
      </c>
      <c r="D176" s="12" t="str">
        <f>Overview!D176</f>
        <v/>
      </c>
      <c r="E176" s="12" t="str">
        <f>Overview!E176</f>
        <v/>
      </c>
      <c r="F176" s="12" t="str">
        <f>Overview!K176</f>
        <v/>
      </c>
      <c r="G176" s="12" t="str">
        <f>Overview!L176</f>
        <v/>
      </c>
      <c r="H176" s="12" t="str">
        <f>Overview!M176</f>
        <v/>
      </c>
      <c r="I176" s="292" t="str">
        <f>Overview!N176</f>
        <v/>
      </c>
    </row>
    <row r="177">
      <c r="A177" s="12" t="str">
        <f>Overview!A177</f>
        <v/>
      </c>
      <c r="B177" s="12" t="str">
        <f>Overview!B177</f>
        <v/>
      </c>
      <c r="C177" s="12" t="str">
        <f>Overview!C177</f>
        <v/>
      </c>
      <c r="D177" s="12" t="str">
        <f>Overview!D177</f>
        <v/>
      </c>
      <c r="E177" s="12" t="str">
        <f>Overview!E177</f>
        <v/>
      </c>
      <c r="F177" s="12" t="str">
        <f>Overview!K177</f>
        <v/>
      </c>
      <c r="G177" s="12" t="str">
        <f>Overview!L177</f>
        <v/>
      </c>
      <c r="H177" s="12" t="str">
        <f>Overview!M177</f>
        <v/>
      </c>
      <c r="I177" s="292" t="str">
        <f>Overview!N177</f>
        <v/>
      </c>
    </row>
    <row r="178">
      <c r="A178" s="12" t="str">
        <f>Overview!A178</f>
        <v/>
      </c>
      <c r="B178" s="12" t="str">
        <f>Overview!B178</f>
        <v/>
      </c>
      <c r="C178" s="12" t="str">
        <f>Overview!C178</f>
        <v/>
      </c>
      <c r="D178" s="12" t="str">
        <f>Overview!D178</f>
        <v/>
      </c>
      <c r="E178" s="12" t="str">
        <f>Overview!E178</f>
        <v/>
      </c>
      <c r="F178" s="12" t="str">
        <f>Overview!K178</f>
        <v/>
      </c>
      <c r="G178" s="12" t="str">
        <f>Overview!L178</f>
        <v/>
      </c>
      <c r="H178" s="12" t="str">
        <f>Overview!M178</f>
        <v/>
      </c>
      <c r="I178" s="292" t="str">
        <f>Overview!N178</f>
        <v/>
      </c>
    </row>
    <row r="179">
      <c r="A179" s="12" t="str">
        <f>Overview!A179</f>
        <v/>
      </c>
      <c r="B179" s="12" t="str">
        <f>Overview!B179</f>
        <v/>
      </c>
      <c r="C179" s="12" t="str">
        <f>Overview!C179</f>
        <v/>
      </c>
      <c r="D179" s="12" t="str">
        <f>Overview!D179</f>
        <v/>
      </c>
      <c r="E179" s="12" t="str">
        <f>Overview!E179</f>
        <v/>
      </c>
      <c r="F179" s="12" t="str">
        <f>Overview!K179</f>
        <v/>
      </c>
      <c r="G179" s="12" t="str">
        <f>Overview!L179</f>
        <v/>
      </c>
      <c r="H179" s="12" t="str">
        <f>Overview!M179</f>
        <v/>
      </c>
      <c r="I179" s="292" t="str">
        <f>Overview!N179</f>
        <v/>
      </c>
    </row>
    <row r="180">
      <c r="A180" s="12" t="str">
        <f>Overview!A180</f>
        <v/>
      </c>
      <c r="B180" s="12" t="str">
        <f>Overview!B180</f>
        <v/>
      </c>
      <c r="C180" s="12" t="str">
        <f>Overview!C180</f>
        <v/>
      </c>
      <c r="D180" s="12" t="str">
        <f>Overview!D180</f>
        <v/>
      </c>
      <c r="E180" s="12" t="str">
        <f>Overview!E180</f>
        <v/>
      </c>
      <c r="F180" s="12" t="str">
        <f>Overview!K180</f>
        <v/>
      </c>
      <c r="G180" s="12" t="str">
        <f>Overview!L180</f>
        <v/>
      </c>
      <c r="H180" s="12" t="str">
        <f>Overview!M180</f>
        <v/>
      </c>
      <c r="I180" s="292" t="str">
        <f>Overview!N180</f>
        <v/>
      </c>
    </row>
    <row r="181">
      <c r="A181" s="12" t="str">
        <f>Overview!A181</f>
        <v/>
      </c>
      <c r="B181" s="12" t="str">
        <f>Overview!B181</f>
        <v/>
      </c>
      <c r="C181" s="12" t="str">
        <f>Overview!C181</f>
        <v/>
      </c>
      <c r="D181" s="12" t="str">
        <f>Overview!D181</f>
        <v/>
      </c>
      <c r="E181" s="12" t="str">
        <f>Overview!E181</f>
        <v/>
      </c>
      <c r="F181" s="12" t="str">
        <f>Overview!K181</f>
        <v/>
      </c>
      <c r="G181" s="12" t="str">
        <f>Overview!L181</f>
        <v/>
      </c>
      <c r="H181" s="12" t="str">
        <f>Overview!M181</f>
        <v/>
      </c>
      <c r="I181" s="292" t="str">
        <f>Overview!N181</f>
        <v/>
      </c>
    </row>
    <row r="182">
      <c r="A182" s="12" t="str">
        <f>Overview!A182</f>
        <v/>
      </c>
      <c r="B182" s="12" t="str">
        <f>Overview!B182</f>
        <v/>
      </c>
      <c r="C182" s="12" t="str">
        <f>Overview!C182</f>
        <v/>
      </c>
      <c r="D182" s="12" t="str">
        <f>Overview!D182</f>
        <v/>
      </c>
      <c r="E182" s="12" t="str">
        <f>Overview!E182</f>
        <v/>
      </c>
      <c r="F182" s="12" t="str">
        <f>Overview!K182</f>
        <v/>
      </c>
      <c r="G182" s="12" t="str">
        <f>Overview!L182</f>
        <v/>
      </c>
      <c r="H182" s="12" t="str">
        <f>Overview!M182</f>
        <v/>
      </c>
      <c r="I182" s="292" t="str">
        <f>Overview!N182</f>
        <v/>
      </c>
    </row>
    <row r="183">
      <c r="A183" s="12" t="str">
        <f>Overview!A183</f>
        <v/>
      </c>
      <c r="B183" s="12" t="str">
        <f>Overview!B183</f>
        <v/>
      </c>
      <c r="C183" s="12" t="str">
        <f>Overview!C183</f>
        <v/>
      </c>
      <c r="D183" s="12" t="str">
        <f>Overview!D183</f>
        <v/>
      </c>
      <c r="E183" s="12" t="str">
        <f>Overview!E183</f>
        <v/>
      </c>
      <c r="F183" s="12" t="str">
        <f>Overview!K183</f>
        <v/>
      </c>
      <c r="G183" s="12" t="str">
        <f>Overview!L183</f>
        <v/>
      </c>
      <c r="H183" s="12" t="str">
        <f>Overview!M183</f>
        <v/>
      </c>
      <c r="I183" s="292" t="str">
        <f>Overview!N183</f>
        <v/>
      </c>
    </row>
    <row r="184">
      <c r="A184" s="12" t="str">
        <f>Overview!A184</f>
        <v/>
      </c>
      <c r="B184" s="12" t="str">
        <f>Overview!B184</f>
        <v/>
      </c>
      <c r="C184" s="12" t="str">
        <f>Overview!C184</f>
        <v/>
      </c>
      <c r="D184" s="12" t="str">
        <f>Overview!D184</f>
        <v/>
      </c>
      <c r="E184" s="12" t="str">
        <f>Overview!E184</f>
        <v/>
      </c>
      <c r="F184" s="12" t="str">
        <f>Overview!K184</f>
        <v/>
      </c>
      <c r="G184" s="12" t="str">
        <f>Overview!L184</f>
        <v/>
      </c>
      <c r="H184" s="12" t="str">
        <f>Overview!M184</f>
        <v/>
      </c>
      <c r="I184" s="292" t="str">
        <f>Overview!N184</f>
        <v/>
      </c>
    </row>
    <row r="185">
      <c r="A185" s="12" t="str">
        <f>Overview!A185</f>
        <v/>
      </c>
      <c r="B185" s="12" t="str">
        <f>Overview!B185</f>
        <v/>
      </c>
      <c r="C185" s="12" t="str">
        <f>Overview!C185</f>
        <v/>
      </c>
      <c r="D185" s="12" t="str">
        <f>Overview!D185</f>
        <v/>
      </c>
      <c r="E185" s="12" t="str">
        <f>Overview!E185</f>
        <v/>
      </c>
      <c r="F185" s="12" t="str">
        <f>Overview!K185</f>
        <v/>
      </c>
      <c r="G185" s="12" t="str">
        <f>Overview!L185</f>
        <v/>
      </c>
      <c r="H185" s="12" t="str">
        <f>Overview!M185</f>
        <v/>
      </c>
      <c r="I185" s="292" t="str">
        <f>Overview!N185</f>
        <v/>
      </c>
    </row>
    <row r="186">
      <c r="A186" s="12" t="str">
        <f>Overview!A186</f>
        <v/>
      </c>
      <c r="B186" s="12" t="str">
        <f>Overview!B186</f>
        <v/>
      </c>
      <c r="C186" s="12" t="str">
        <f>Overview!C186</f>
        <v/>
      </c>
      <c r="D186" s="12" t="str">
        <f>Overview!D186</f>
        <v/>
      </c>
      <c r="E186" s="12" t="str">
        <f>Overview!E186</f>
        <v/>
      </c>
      <c r="F186" s="12" t="str">
        <f>Overview!K186</f>
        <v/>
      </c>
      <c r="G186" s="12" t="str">
        <f>Overview!L186</f>
        <v/>
      </c>
      <c r="H186" s="12" t="str">
        <f>Overview!M186</f>
        <v/>
      </c>
      <c r="I186" s="292" t="str">
        <f>Overview!N186</f>
        <v/>
      </c>
    </row>
    <row r="187">
      <c r="A187" s="12" t="str">
        <f>Overview!A187</f>
        <v/>
      </c>
      <c r="B187" s="12" t="str">
        <f>Overview!B187</f>
        <v/>
      </c>
      <c r="C187" s="12" t="str">
        <f>Overview!C187</f>
        <v/>
      </c>
      <c r="D187" s="12" t="str">
        <f>Overview!D187</f>
        <v/>
      </c>
      <c r="E187" s="12" t="str">
        <f>Overview!E187</f>
        <v/>
      </c>
      <c r="F187" s="12" t="str">
        <f>Overview!K187</f>
        <v/>
      </c>
      <c r="G187" s="12" t="str">
        <f>Overview!L187</f>
        <v/>
      </c>
      <c r="H187" s="12" t="str">
        <f>Overview!M187</f>
        <v/>
      </c>
      <c r="I187" s="292" t="str">
        <f>Overview!N187</f>
        <v/>
      </c>
    </row>
    <row r="188">
      <c r="A188" s="12" t="str">
        <f>Overview!A188</f>
        <v/>
      </c>
      <c r="B188" s="12" t="str">
        <f>Overview!B188</f>
        <v/>
      </c>
      <c r="C188" s="12" t="str">
        <f>Overview!C188</f>
        <v/>
      </c>
      <c r="D188" s="12" t="str">
        <f>Overview!D188</f>
        <v/>
      </c>
      <c r="E188" s="12" t="str">
        <f>Overview!E188</f>
        <v/>
      </c>
      <c r="F188" s="12" t="str">
        <f>Overview!K188</f>
        <v/>
      </c>
      <c r="G188" s="12" t="str">
        <f>Overview!L188</f>
        <v/>
      </c>
      <c r="H188" s="12" t="str">
        <f>Overview!M188</f>
        <v/>
      </c>
      <c r="I188" s="292" t="str">
        <f>Overview!N188</f>
        <v/>
      </c>
    </row>
    <row r="189">
      <c r="A189" s="12" t="str">
        <f>Overview!A189</f>
        <v/>
      </c>
      <c r="B189" s="12" t="str">
        <f>Overview!B189</f>
        <v/>
      </c>
      <c r="C189" s="12" t="str">
        <f>Overview!C189</f>
        <v/>
      </c>
      <c r="D189" s="12" t="str">
        <f>Overview!D189</f>
        <v/>
      </c>
      <c r="E189" s="12" t="str">
        <f>Overview!E189</f>
        <v/>
      </c>
      <c r="F189" s="12" t="str">
        <f>Overview!K189</f>
        <v/>
      </c>
      <c r="G189" s="12" t="str">
        <f>Overview!L189</f>
        <v/>
      </c>
      <c r="H189" s="12" t="str">
        <f>Overview!M189</f>
        <v/>
      </c>
      <c r="I189" s="292" t="str">
        <f>Overview!N189</f>
        <v/>
      </c>
    </row>
    <row r="190">
      <c r="A190" s="12" t="str">
        <f>Overview!A190</f>
        <v/>
      </c>
      <c r="B190" s="12" t="str">
        <f>Overview!B190</f>
        <v/>
      </c>
      <c r="C190" s="12" t="str">
        <f>Overview!C190</f>
        <v/>
      </c>
      <c r="D190" s="12" t="str">
        <f>Overview!D190</f>
        <v/>
      </c>
      <c r="E190" s="12" t="str">
        <f>Overview!E190</f>
        <v/>
      </c>
      <c r="F190" s="12" t="str">
        <f>Overview!K190</f>
        <v/>
      </c>
      <c r="G190" s="12" t="str">
        <f>Overview!L190</f>
        <v/>
      </c>
      <c r="H190" s="12" t="str">
        <f>Overview!M190</f>
        <v/>
      </c>
      <c r="I190" s="292" t="str">
        <f>Overview!N190</f>
        <v/>
      </c>
    </row>
    <row r="191">
      <c r="A191" s="12" t="str">
        <f>Overview!A191</f>
        <v/>
      </c>
      <c r="B191" s="12" t="str">
        <f>Overview!B191</f>
        <v/>
      </c>
      <c r="C191" s="12" t="str">
        <f>Overview!C191</f>
        <v/>
      </c>
      <c r="D191" s="12" t="str">
        <f>Overview!D191</f>
        <v/>
      </c>
      <c r="E191" s="12" t="str">
        <f>Overview!E191</f>
        <v/>
      </c>
      <c r="F191" s="12" t="str">
        <f>Overview!K191</f>
        <v/>
      </c>
      <c r="G191" s="12" t="str">
        <f>Overview!L191</f>
        <v/>
      </c>
      <c r="H191" s="12" t="str">
        <f>Overview!M191</f>
        <v/>
      </c>
      <c r="I191" s="292" t="str">
        <f>Overview!N191</f>
        <v/>
      </c>
    </row>
    <row r="192">
      <c r="A192" s="12" t="str">
        <f>Overview!A192</f>
        <v/>
      </c>
      <c r="B192" s="12" t="str">
        <f>Overview!B192</f>
        <v/>
      </c>
      <c r="C192" s="12" t="str">
        <f>Overview!C192</f>
        <v/>
      </c>
      <c r="D192" s="12" t="str">
        <f>Overview!D192</f>
        <v/>
      </c>
      <c r="E192" s="12" t="str">
        <f>Overview!E192</f>
        <v/>
      </c>
      <c r="F192" s="12" t="str">
        <f>Overview!K192</f>
        <v/>
      </c>
      <c r="G192" s="12" t="str">
        <f>Overview!L192</f>
        <v/>
      </c>
      <c r="H192" s="12" t="str">
        <f>Overview!M192</f>
        <v/>
      </c>
      <c r="I192" s="292" t="str">
        <f>Overview!N192</f>
        <v/>
      </c>
    </row>
    <row r="193">
      <c r="A193" s="12" t="str">
        <f>Overview!A193</f>
        <v/>
      </c>
      <c r="B193" s="12" t="str">
        <f>Overview!B193</f>
        <v/>
      </c>
      <c r="C193" s="12" t="str">
        <f>Overview!C193</f>
        <v/>
      </c>
      <c r="D193" s="12" t="str">
        <f>Overview!D193</f>
        <v/>
      </c>
      <c r="E193" s="12" t="str">
        <f>Overview!E193</f>
        <v/>
      </c>
      <c r="F193" s="12" t="str">
        <f>Overview!K193</f>
        <v/>
      </c>
      <c r="G193" s="12" t="str">
        <f>Overview!L193</f>
        <v/>
      </c>
      <c r="H193" s="12" t="str">
        <f>Overview!M193</f>
        <v/>
      </c>
      <c r="I193" s="292" t="str">
        <f>Overview!N193</f>
        <v/>
      </c>
    </row>
    <row r="194">
      <c r="A194" s="12" t="str">
        <f>Overview!A194</f>
        <v/>
      </c>
      <c r="B194" s="12" t="str">
        <f>Overview!B194</f>
        <v/>
      </c>
      <c r="C194" s="12" t="str">
        <f>Overview!C194</f>
        <v/>
      </c>
      <c r="D194" s="12" t="str">
        <f>Overview!D194</f>
        <v/>
      </c>
      <c r="E194" s="12" t="str">
        <f>Overview!E194</f>
        <v/>
      </c>
      <c r="F194" s="12" t="str">
        <f>Overview!K194</f>
        <v/>
      </c>
      <c r="G194" s="12" t="str">
        <f>Overview!L194</f>
        <v/>
      </c>
      <c r="H194" s="12" t="str">
        <f>Overview!M194</f>
        <v/>
      </c>
      <c r="I194" s="292" t="str">
        <f>Overview!N194</f>
        <v/>
      </c>
    </row>
    <row r="195">
      <c r="A195" s="12" t="str">
        <f>Overview!A195</f>
        <v/>
      </c>
      <c r="B195" s="12" t="str">
        <f>Overview!B195</f>
        <v/>
      </c>
      <c r="C195" s="12" t="str">
        <f>Overview!C195</f>
        <v/>
      </c>
      <c r="D195" s="12" t="str">
        <f>Overview!D195</f>
        <v/>
      </c>
      <c r="E195" s="12" t="str">
        <f>Overview!E195</f>
        <v/>
      </c>
      <c r="F195" s="12" t="str">
        <f>Overview!K195</f>
        <v/>
      </c>
      <c r="G195" s="12" t="str">
        <f>Overview!L195</f>
        <v/>
      </c>
      <c r="H195" s="12" t="str">
        <f>Overview!M195</f>
        <v/>
      </c>
      <c r="I195" s="292" t="str">
        <f>Overview!N195</f>
        <v/>
      </c>
    </row>
    <row r="196">
      <c r="A196" s="12" t="str">
        <f>Overview!A196</f>
        <v/>
      </c>
      <c r="B196" s="12" t="str">
        <f>Overview!B196</f>
        <v/>
      </c>
      <c r="C196" s="12" t="str">
        <f>Overview!C196</f>
        <v/>
      </c>
      <c r="D196" s="12" t="str">
        <f>Overview!D196</f>
        <v/>
      </c>
      <c r="E196" s="12" t="str">
        <f>Overview!E196</f>
        <v/>
      </c>
      <c r="F196" s="12" t="str">
        <f>Overview!K196</f>
        <v/>
      </c>
      <c r="G196" s="12" t="str">
        <f>Overview!L196</f>
        <v/>
      </c>
      <c r="H196" s="12" t="str">
        <f>Overview!M196</f>
        <v/>
      </c>
      <c r="I196" s="292" t="str">
        <f>Overview!N196</f>
        <v/>
      </c>
    </row>
    <row r="197">
      <c r="A197" s="12" t="str">
        <f>Overview!A197</f>
        <v/>
      </c>
      <c r="B197" s="12" t="str">
        <f>Overview!B197</f>
        <v/>
      </c>
      <c r="C197" s="12" t="str">
        <f>Overview!C197</f>
        <v/>
      </c>
      <c r="D197" s="12" t="str">
        <f>Overview!D197</f>
        <v/>
      </c>
      <c r="E197" s="12" t="str">
        <f>Overview!E197</f>
        <v/>
      </c>
      <c r="F197" s="12" t="str">
        <f>Overview!K197</f>
        <v/>
      </c>
      <c r="G197" s="12" t="str">
        <f>Overview!L197</f>
        <v/>
      </c>
      <c r="H197" s="12" t="str">
        <f>Overview!M197</f>
        <v/>
      </c>
      <c r="I197" s="292" t="str">
        <f>Overview!N197</f>
        <v/>
      </c>
    </row>
    <row r="198">
      <c r="A198" s="12" t="str">
        <f>Overview!A198</f>
        <v/>
      </c>
      <c r="B198" s="12" t="str">
        <f>Overview!B198</f>
        <v/>
      </c>
      <c r="C198" s="12" t="str">
        <f>Overview!C198</f>
        <v/>
      </c>
      <c r="D198" s="12" t="str">
        <f>Overview!D198</f>
        <v/>
      </c>
      <c r="E198" s="12" t="str">
        <f>Overview!E198</f>
        <v/>
      </c>
      <c r="F198" s="12" t="str">
        <f>Overview!K198</f>
        <v/>
      </c>
      <c r="G198" s="12" t="str">
        <f>Overview!L198</f>
        <v/>
      </c>
      <c r="H198" s="12" t="str">
        <f>Overview!M198</f>
        <v/>
      </c>
      <c r="I198" s="292" t="str">
        <f>Overview!N198</f>
        <v/>
      </c>
    </row>
    <row r="199">
      <c r="A199" s="12" t="str">
        <f>Overview!A199</f>
        <v/>
      </c>
      <c r="B199" s="12" t="str">
        <f>Overview!B199</f>
        <v/>
      </c>
      <c r="C199" s="12" t="str">
        <f>Overview!C199</f>
        <v/>
      </c>
      <c r="D199" s="12" t="str">
        <f>Overview!D199</f>
        <v/>
      </c>
      <c r="E199" s="12" t="str">
        <f>Overview!E199</f>
        <v/>
      </c>
      <c r="F199" s="12" t="str">
        <f>Overview!K199</f>
        <v/>
      </c>
      <c r="G199" s="12" t="str">
        <f>Overview!L199</f>
        <v/>
      </c>
      <c r="H199" s="12" t="str">
        <f>Overview!M199</f>
        <v/>
      </c>
      <c r="I199" s="292" t="str">
        <f>Overview!N199</f>
        <v/>
      </c>
    </row>
    <row r="200">
      <c r="A200" s="12" t="str">
        <f>Overview!A200</f>
        <v/>
      </c>
      <c r="B200" s="12" t="str">
        <f>Overview!B200</f>
        <v/>
      </c>
      <c r="C200" s="12" t="str">
        <f>Overview!C200</f>
        <v/>
      </c>
      <c r="D200" s="12" t="str">
        <f>Overview!D200</f>
        <v/>
      </c>
      <c r="E200" s="12" t="str">
        <f>Overview!E200</f>
        <v/>
      </c>
      <c r="F200" s="12" t="str">
        <f>Overview!K200</f>
        <v/>
      </c>
      <c r="G200" s="12" t="str">
        <f>Overview!L200</f>
        <v/>
      </c>
      <c r="H200" s="12" t="str">
        <f>Overview!M200</f>
        <v/>
      </c>
      <c r="I200" s="292" t="str">
        <f>Overview!N200</f>
        <v/>
      </c>
    </row>
    <row r="201">
      <c r="A201" s="12" t="str">
        <f>Overview!A201</f>
        <v/>
      </c>
      <c r="B201" s="12" t="str">
        <f>Overview!B201</f>
        <v/>
      </c>
      <c r="C201" s="12" t="str">
        <f>Overview!C201</f>
        <v/>
      </c>
      <c r="D201" s="12" t="str">
        <f>Overview!D201</f>
        <v/>
      </c>
      <c r="E201" s="12" t="str">
        <f>Overview!E201</f>
        <v/>
      </c>
      <c r="F201" s="12" t="str">
        <f>Overview!K201</f>
        <v/>
      </c>
      <c r="G201" s="12" t="str">
        <f>Overview!L201</f>
        <v/>
      </c>
      <c r="H201" s="12" t="str">
        <f>Overview!M201</f>
        <v/>
      </c>
      <c r="I201" s="292" t="str">
        <f>Overview!N201</f>
        <v/>
      </c>
    </row>
    <row r="202">
      <c r="A202" s="12" t="str">
        <f>Overview!A202</f>
        <v/>
      </c>
      <c r="B202" s="12" t="str">
        <f>Overview!B202</f>
        <v/>
      </c>
      <c r="C202" s="12" t="str">
        <f>Overview!C202</f>
        <v/>
      </c>
      <c r="D202" s="12" t="str">
        <f>Overview!D202</f>
        <v/>
      </c>
      <c r="E202" s="12" t="str">
        <f>Overview!E202</f>
        <v/>
      </c>
      <c r="F202" s="12" t="str">
        <f>Overview!K202</f>
        <v/>
      </c>
      <c r="G202" s="12" t="str">
        <f>Overview!L202</f>
        <v/>
      </c>
      <c r="H202" s="12" t="str">
        <f>Overview!M202</f>
        <v/>
      </c>
      <c r="I202" s="292" t="str">
        <f>Overview!N202</f>
        <v/>
      </c>
    </row>
    <row r="203">
      <c r="A203" s="12" t="str">
        <f>Overview!A203</f>
        <v/>
      </c>
      <c r="B203" s="12" t="str">
        <f>Overview!B203</f>
        <v/>
      </c>
      <c r="C203" s="12" t="str">
        <f>Overview!C203</f>
        <v/>
      </c>
      <c r="D203" s="12" t="str">
        <f>Overview!D203</f>
        <v/>
      </c>
      <c r="E203" s="12" t="str">
        <f>Overview!E203</f>
        <v/>
      </c>
      <c r="F203" s="12" t="str">
        <f>Overview!K203</f>
        <v/>
      </c>
      <c r="G203" s="12" t="str">
        <f>Overview!L203</f>
        <v/>
      </c>
      <c r="H203" s="12" t="str">
        <f>Overview!M203</f>
        <v/>
      </c>
      <c r="I203" s="292" t="str">
        <f>Overview!N203</f>
        <v/>
      </c>
    </row>
    <row r="204">
      <c r="A204" s="12" t="str">
        <f>Overview!A204</f>
        <v/>
      </c>
      <c r="B204" s="12" t="str">
        <f>Overview!B204</f>
        <v/>
      </c>
      <c r="C204" s="12" t="str">
        <f>Overview!C204</f>
        <v/>
      </c>
      <c r="D204" s="12" t="str">
        <f>Overview!D204</f>
        <v/>
      </c>
      <c r="E204" s="12" t="str">
        <f>Overview!E204</f>
        <v/>
      </c>
      <c r="F204" s="12" t="str">
        <f>Overview!K204</f>
        <v/>
      </c>
      <c r="G204" s="12" t="str">
        <f>Overview!L204</f>
        <v/>
      </c>
      <c r="H204" s="12" t="str">
        <f>Overview!M204</f>
        <v/>
      </c>
      <c r="I204" s="292" t="str">
        <f>Overview!N204</f>
        <v/>
      </c>
    </row>
    <row r="205">
      <c r="A205" s="12" t="str">
        <f>Overview!A205</f>
        <v/>
      </c>
      <c r="B205" s="12" t="str">
        <f>Overview!B205</f>
        <v/>
      </c>
      <c r="C205" s="12" t="str">
        <f>Overview!C205</f>
        <v/>
      </c>
      <c r="D205" s="12" t="str">
        <f>Overview!D205</f>
        <v/>
      </c>
      <c r="E205" s="12" t="str">
        <f>Overview!E205</f>
        <v/>
      </c>
      <c r="F205" s="12" t="str">
        <f>Overview!K205</f>
        <v/>
      </c>
      <c r="G205" s="12" t="str">
        <f>Overview!L205</f>
        <v/>
      </c>
      <c r="H205" s="12" t="str">
        <f>Overview!M205</f>
        <v/>
      </c>
      <c r="I205" s="292" t="str">
        <f>Overview!N205</f>
        <v/>
      </c>
    </row>
    <row r="206">
      <c r="A206" s="12" t="str">
        <f>Overview!A206</f>
        <v/>
      </c>
      <c r="B206" s="12" t="str">
        <f>Overview!B206</f>
        <v/>
      </c>
      <c r="C206" s="12" t="str">
        <f>Overview!C206</f>
        <v/>
      </c>
      <c r="D206" s="12" t="str">
        <f>Overview!D206</f>
        <v/>
      </c>
      <c r="E206" s="12" t="str">
        <f>Overview!E206</f>
        <v/>
      </c>
      <c r="F206" s="12" t="str">
        <f>Overview!K206</f>
        <v/>
      </c>
      <c r="G206" s="12" t="str">
        <f>Overview!L206</f>
        <v/>
      </c>
      <c r="H206" s="12" t="str">
        <f>Overview!M206</f>
        <v/>
      </c>
      <c r="I206" s="292" t="str">
        <f>Overview!N206</f>
        <v/>
      </c>
    </row>
    <row r="207">
      <c r="A207" s="12" t="str">
        <f>Overview!A207</f>
        <v/>
      </c>
      <c r="B207" s="12" t="str">
        <f>Overview!B207</f>
        <v/>
      </c>
      <c r="C207" s="12" t="str">
        <f>Overview!C207</f>
        <v/>
      </c>
      <c r="D207" s="12" t="str">
        <f>Overview!D207</f>
        <v/>
      </c>
      <c r="E207" s="12" t="str">
        <f>Overview!E207</f>
        <v/>
      </c>
      <c r="F207" s="12" t="str">
        <f>Overview!K207</f>
        <v/>
      </c>
      <c r="G207" s="12" t="str">
        <f>Overview!L207</f>
        <v/>
      </c>
      <c r="H207" s="12" t="str">
        <f>Overview!M207</f>
        <v/>
      </c>
      <c r="I207" s="292" t="str">
        <f>Overview!N207</f>
        <v/>
      </c>
    </row>
    <row r="208">
      <c r="A208" s="12" t="str">
        <f>Overview!A208</f>
        <v/>
      </c>
      <c r="B208" s="12" t="str">
        <f>Overview!B208</f>
        <v/>
      </c>
      <c r="C208" s="12" t="str">
        <f>Overview!C208</f>
        <v/>
      </c>
      <c r="D208" s="12" t="str">
        <f>Overview!D208</f>
        <v/>
      </c>
      <c r="E208" s="12" t="str">
        <f>Overview!E208</f>
        <v/>
      </c>
      <c r="F208" s="12" t="str">
        <f>Overview!K208</f>
        <v/>
      </c>
      <c r="G208" s="12" t="str">
        <f>Overview!L208</f>
        <v/>
      </c>
      <c r="H208" s="12" t="str">
        <f>Overview!M208</f>
        <v/>
      </c>
      <c r="I208" s="292" t="str">
        <f>Overview!N208</f>
        <v/>
      </c>
    </row>
    <row r="209">
      <c r="A209" s="12" t="str">
        <f>Overview!A209</f>
        <v/>
      </c>
      <c r="B209" s="12" t="str">
        <f>Overview!B209</f>
        <v/>
      </c>
      <c r="C209" s="12" t="str">
        <f>Overview!C209</f>
        <v/>
      </c>
      <c r="D209" s="12" t="str">
        <f>Overview!D209</f>
        <v/>
      </c>
      <c r="E209" s="12" t="str">
        <f>Overview!E209</f>
        <v/>
      </c>
      <c r="F209" s="12" t="str">
        <f>Overview!K209</f>
        <v/>
      </c>
      <c r="G209" s="12" t="str">
        <f>Overview!L209</f>
        <v/>
      </c>
      <c r="H209" s="12" t="str">
        <f>Overview!M209</f>
        <v/>
      </c>
      <c r="I209" s="292" t="str">
        <f>Overview!N209</f>
        <v/>
      </c>
    </row>
    <row r="210">
      <c r="A210" s="12" t="str">
        <f>Overview!A210</f>
        <v/>
      </c>
      <c r="B210" s="12" t="str">
        <f>Overview!B210</f>
        <v/>
      </c>
      <c r="C210" s="12" t="str">
        <f>Overview!C210</f>
        <v/>
      </c>
      <c r="D210" s="12" t="str">
        <f>Overview!D210</f>
        <v/>
      </c>
      <c r="E210" s="12" t="str">
        <f>Overview!E210</f>
        <v/>
      </c>
      <c r="F210" s="12" t="str">
        <f>Overview!K210</f>
        <v/>
      </c>
      <c r="G210" s="12" t="str">
        <f>Overview!L210</f>
        <v/>
      </c>
      <c r="H210" s="12" t="str">
        <f>Overview!M210</f>
        <v/>
      </c>
      <c r="I210" s="292" t="str">
        <f>Overview!N210</f>
        <v/>
      </c>
    </row>
    <row r="211">
      <c r="A211" s="12" t="str">
        <f>Overview!A211</f>
        <v/>
      </c>
      <c r="B211" s="12" t="str">
        <f>Overview!B211</f>
        <v/>
      </c>
      <c r="C211" s="12" t="str">
        <f>Overview!C211</f>
        <v/>
      </c>
      <c r="D211" s="12" t="str">
        <f>Overview!D211</f>
        <v/>
      </c>
      <c r="E211" s="12" t="str">
        <f>Overview!E211</f>
        <v/>
      </c>
      <c r="F211" s="12" t="str">
        <f>Overview!K211</f>
        <v/>
      </c>
      <c r="G211" s="12" t="str">
        <f>Overview!L211</f>
        <v/>
      </c>
      <c r="H211" s="12" t="str">
        <f>Overview!M211</f>
        <v/>
      </c>
      <c r="I211" s="292" t="str">
        <f>Overview!N211</f>
        <v/>
      </c>
    </row>
    <row r="212">
      <c r="A212" s="12" t="str">
        <f>Overview!A212</f>
        <v/>
      </c>
      <c r="B212" s="12" t="str">
        <f>Overview!B212</f>
        <v/>
      </c>
      <c r="C212" s="12" t="str">
        <f>Overview!C212</f>
        <v/>
      </c>
      <c r="D212" s="12" t="str">
        <f>Overview!D212</f>
        <v/>
      </c>
      <c r="E212" s="12" t="str">
        <f>Overview!E212</f>
        <v/>
      </c>
      <c r="F212" s="12" t="str">
        <f>Overview!K212</f>
        <v/>
      </c>
      <c r="G212" s="12" t="str">
        <f>Overview!L212</f>
        <v/>
      </c>
      <c r="H212" s="12" t="str">
        <f>Overview!M212</f>
        <v/>
      </c>
      <c r="I212" s="292" t="str">
        <f>Overview!N212</f>
        <v/>
      </c>
    </row>
    <row r="213">
      <c r="A213" s="12" t="str">
        <f>Overview!A213</f>
        <v/>
      </c>
      <c r="B213" s="12" t="str">
        <f>Overview!B213</f>
        <v/>
      </c>
      <c r="C213" s="12" t="str">
        <f>Overview!C213</f>
        <v/>
      </c>
      <c r="D213" s="12" t="str">
        <f>Overview!D213</f>
        <v/>
      </c>
      <c r="E213" s="12" t="str">
        <f>Overview!E213</f>
        <v/>
      </c>
      <c r="F213" s="12" t="str">
        <f>Overview!K213</f>
        <v/>
      </c>
      <c r="G213" s="12" t="str">
        <f>Overview!L213</f>
        <v/>
      </c>
      <c r="H213" s="12" t="str">
        <f>Overview!M213</f>
        <v/>
      </c>
      <c r="I213" s="292" t="str">
        <f>Overview!N213</f>
        <v/>
      </c>
    </row>
    <row r="214">
      <c r="A214" s="12" t="str">
        <f>Overview!A214</f>
        <v/>
      </c>
      <c r="B214" s="12" t="str">
        <f>Overview!B214</f>
        <v/>
      </c>
      <c r="C214" s="12" t="str">
        <f>Overview!C214</f>
        <v/>
      </c>
      <c r="D214" s="12" t="str">
        <f>Overview!D214</f>
        <v/>
      </c>
      <c r="E214" s="12" t="str">
        <f>Overview!E214</f>
        <v/>
      </c>
      <c r="F214" s="12" t="str">
        <f>Overview!K214</f>
        <v/>
      </c>
      <c r="G214" s="12" t="str">
        <f>Overview!L214</f>
        <v/>
      </c>
      <c r="H214" s="12" t="str">
        <f>Overview!M214</f>
        <v/>
      </c>
      <c r="I214" s="292" t="str">
        <f>Overview!N214</f>
        <v/>
      </c>
    </row>
    <row r="215">
      <c r="A215" s="12" t="str">
        <f>Overview!A215</f>
        <v/>
      </c>
      <c r="B215" s="12" t="str">
        <f>Overview!B215</f>
        <v/>
      </c>
      <c r="C215" s="12" t="str">
        <f>Overview!C215</f>
        <v/>
      </c>
      <c r="D215" s="12" t="str">
        <f>Overview!D215</f>
        <v/>
      </c>
      <c r="E215" s="12" t="str">
        <f>Overview!E215</f>
        <v/>
      </c>
      <c r="F215" s="12" t="str">
        <f>Overview!K215</f>
        <v/>
      </c>
      <c r="G215" s="12" t="str">
        <f>Overview!L215</f>
        <v/>
      </c>
      <c r="H215" s="12" t="str">
        <f>Overview!M215</f>
        <v/>
      </c>
      <c r="I215" s="292" t="str">
        <f>Overview!N215</f>
        <v/>
      </c>
    </row>
    <row r="216">
      <c r="A216" s="12" t="str">
        <f>Overview!A216</f>
        <v/>
      </c>
      <c r="B216" s="12" t="str">
        <f>Overview!B216</f>
        <v/>
      </c>
      <c r="C216" s="12" t="str">
        <f>Overview!C216</f>
        <v/>
      </c>
      <c r="D216" s="12" t="str">
        <f>Overview!D216</f>
        <v/>
      </c>
      <c r="E216" s="12" t="str">
        <f>Overview!E216</f>
        <v/>
      </c>
      <c r="F216" s="12" t="str">
        <f>Overview!K216</f>
        <v/>
      </c>
      <c r="G216" s="12" t="str">
        <f>Overview!L216</f>
        <v/>
      </c>
      <c r="H216" s="12" t="str">
        <f>Overview!M216</f>
        <v/>
      </c>
      <c r="I216" s="292" t="str">
        <f>Overview!N216</f>
        <v/>
      </c>
    </row>
    <row r="217">
      <c r="A217" s="12" t="str">
        <f>Overview!A217</f>
        <v/>
      </c>
      <c r="B217" s="12" t="str">
        <f>Overview!B217</f>
        <v/>
      </c>
      <c r="C217" s="12" t="str">
        <f>Overview!C217</f>
        <v/>
      </c>
      <c r="D217" s="12" t="str">
        <f>Overview!D217</f>
        <v/>
      </c>
      <c r="E217" s="12" t="str">
        <f>Overview!E217</f>
        <v/>
      </c>
      <c r="F217" s="12" t="str">
        <f>Overview!K217</f>
        <v/>
      </c>
      <c r="G217" s="12" t="str">
        <f>Overview!L217</f>
        <v/>
      </c>
      <c r="H217" s="12" t="str">
        <f>Overview!M217</f>
        <v/>
      </c>
      <c r="I217" s="292" t="str">
        <f>Overview!N217</f>
        <v/>
      </c>
    </row>
    <row r="218">
      <c r="A218" s="12" t="str">
        <f>Overview!A218</f>
        <v/>
      </c>
      <c r="B218" s="12" t="str">
        <f>Overview!B218</f>
        <v/>
      </c>
      <c r="C218" s="12" t="str">
        <f>Overview!C218</f>
        <v/>
      </c>
      <c r="D218" s="12" t="str">
        <f>Overview!D218</f>
        <v/>
      </c>
      <c r="E218" s="12" t="str">
        <f>Overview!E218</f>
        <v/>
      </c>
      <c r="F218" s="12" t="str">
        <f>Overview!K218</f>
        <v/>
      </c>
      <c r="G218" s="12" t="str">
        <f>Overview!L218</f>
        <v/>
      </c>
      <c r="H218" s="12" t="str">
        <f>Overview!M218</f>
        <v/>
      </c>
      <c r="I218" s="292" t="str">
        <f>Overview!N218</f>
        <v/>
      </c>
    </row>
    <row r="219">
      <c r="A219" s="12" t="str">
        <f>Overview!A219</f>
        <v/>
      </c>
      <c r="B219" s="12" t="str">
        <f>Overview!B219</f>
        <v/>
      </c>
      <c r="C219" s="12" t="str">
        <f>Overview!C219</f>
        <v/>
      </c>
      <c r="D219" s="12" t="str">
        <f>Overview!D219</f>
        <v/>
      </c>
      <c r="E219" s="12" t="str">
        <f>Overview!E219</f>
        <v/>
      </c>
      <c r="F219" s="12" t="str">
        <f>Overview!K219</f>
        <v/>
      </c>
      <c r="G219" s="12" t="str">
        <f>Overview!L219</f>
        <v/>
      </c>
      <c r="H219" s="12" t="str">
        <f>Overview!M219</f>
        <v/>
      </c>
      <c r="I219" s="292" t="str">
        <f>Overview!N219</f>
        <v/>
      </c>
    </row>
    <row r="220">
      <c r="A220" s="12" t="str">
        <f>Overview!A220</f>
        <v/>
      </c>
      <c r="B220" s="12" t="str">
        <f>Overview!B220</f>
        <v/>
      </c>
      <c r="C220" s="12" t="str">
        <f>Overview!C220</f>
        <v/>
      </c>
      <c r="D220" s="12" t="str">
        <f>Overview!D220</f>
        <v/>
      </c>
      <c r="E220" s="12" t="str">
        <f>Overview!E220</f>
        <v/>
      </c>
      <c r="F220" s="12" t="str">
        <f>Overview!K220</f>
        <v/>
      </c>
      <c r="G220" s="12" t="str">
        <f>Overview!L220</f>
        <v/>
      </c>
      <c r="H220" s="12" t="str">
        <f>Overview!M220</f>
        <v/>
      </c>
      <c r="I220" s="292" t="str">
        <f>Overview!N220</f>
        <v/>
      </c>
    </row>
    <row r="221">
      <c r="A221" s="12" t="str">
        <f>Overview!A221</f>
        <v/>
      </c>
      <c r="B221" s="12" t="str">
        <f>Overview!B221</f>
        <v/>
      </c>
      <c r="C221" s="12" t="str">
        <f>Overview!C221</f>
        <v/>
      </c>
      <c r="D221" s="12" t="str">
        <f>Overview!D221</f>
        <v/>
      </c>
      <c r="E221" s="12" t="str">
        <f>Overview!E221</f>
        <v/>
      </c>
      <c r="F221" s="12" t="str">
        <f>Overview!K221</f>
        <v/>
      </c>
      <c r="G221" s="12" t="str">
        <f>Overview!L221</f>
        <v/>
      </c>
      <c r="H221" s="12" t="str">
        <f>Overview!M221</f>
        <v/>
      </c>
      <c r="I221" s="292" t="str">
        <f>Overview!N221</f>
        <v/>
      </c>
    </row>
    <row r="222">
      <c r="A222" s="12" t="str">
        <f>Overview!A222</f>
        <v/>
      </c>
      <c r="B222" s="12" t="str">
        <f>Overview!B222</f>
        <v/>
      </c>
      <c r="C222" s="12" t="str">
        <f>Overview!C222</f>
        <v/>
      </c>
      <c r="D222" s="12" t="str">
        <f>Overview!D222</f>
        <v/>
      </c>
      <c r="E222" s="12" t="str">
        <f>Overview!E222</f>
        <v/>
      </c>
      <c r="F222" s="12" t="str">
        <f>Overview!K222</f>
        <v/>
      </c>
      <c r="G222" s="12" t="str">
        <f>Overview!L222</f>
        <v/>
      </c>
      <c r="H222" s="12" t="str">
        <f>Overview!M222</f>
        <v/>
      </c>
      <c r="I222" s="292" t="str">
        <f>Overview!N222</f>
        <v/>
      </c>
    </row>
    <row r="223">
      <c r="A223" s="12" t="str">
        <f>Overview!A223</f>
        <v/>
      </c>
      <c r="B223" s="12" t="str">
        <f>Overview!B223</f>
        <v/>
      </c>
      <c r="C223" s="12" t="str">
        <f>Overview!C223</f>
        <v/>
      </c>
      <c r="D223" s="12" t="str">
        <f>Overview!D223</f>
        <v/>
      </c>
      <c r="E223" s="12" t="str">
        <f>Overview!E223</f>
        <v/>
      </c>
      <c r="F223" s="12" t="str">
        <f>Overview!K223</f>
        <v/>
      </c>
      <c r="G223" s="12" t="str">
        <f>Overview!L223</f>
        <v/>
      </c>
      <c r="H223" s="12" t="str">
        <f>Overview!M223</f>
        <v/>
      </c>
      <c r="I223" s="292" t="str">
        <f>Overview!N223</f>
        <v/>
      </c>
    </row>
    <row r="224">
      <c r="A224" s="12" t="str">
        <f>Overview!A224</f>
        <v/>
      </c>
      <c r="B224" s="12" t="str">
        <f>Overview!B224</f>
        <v/>
      </c>
      <c r="C224" s="12" t="str">
        <f>Overview!C224</f>
        <v/>
      </c>
      <c r="D224" s="12" t="str">
        <f>Overview!D224</f>
        <v/>
      </c>
      <c r="E224" s="12" t="str">
        <f>Overview!E224</f>
        <v/>
      </c>
      <c r="F224" s="12" t="str">
        <f>Overview!K224</f>
        <v/>
      </c>
      <c r="G224" s="12" t="str">
        <f>Overview!L224</f>
        <v/>
      </c>
      <c r="H224" s="12" t="str">
        <f>Overview!M224</f>
        <v/>
      </c>
      <c r="I224" s="292" t="str">
        <f>Overview!N224</f>
        <v/>
      </c>
    </row>
    <row r="225">
      <c r="A225" s="12" t="str">
        <f>Overview!A225</f>
        <v/>
      </c>
      <c r="B225" s="12" t="str">
        <f>Overview!B225</f>
        <v/>
      </c>
      <c r="C225" s="12" t="str">
        <f>Overview!C225</f>
        <v/>
      </c>
      <c r="D225" s="12" t="str">
        <f>Overview!D225</f>
        <v/>
      </c>
      <c r="E225" s="12" t="str">
        <f>Overview!E225</f>
        <v/>
      </c>
      <c r="F225" s="12" t="str">
        <f>Overview!K225</f>
        <v/>
      </c>
      <c r="G225" s="12" t="str">
        <f>Overview!L225</f>
        <v/>
      </c>
      <c r="H225" s="12" t="str">
        <f>Overview!M225</f>
        <v/>
      </c>
      <c r="I225" s="292" t="str">
        <f>Overview!N225</f>
        <v/>
      </c>
    </row>
    <row r="226">
      <c r="A226" s="12" t="str">
        <f>Overview!A226</f>
        <v/>
      </c>
      <c r="B226" s="12" t="str">
        <f>Overview!B226</f>
        <v/>
      </c>
      <c r="C226" s="12" t="str">
        <f>Overview!C226</f>
        <v/>
      </c>
      <c r="D226" s="12" t="str">
        <f>Overview!D226</f>
        <v/>
      </c>
      <c r="E226" s="12" t="str">
        <f>Overview!E226</f>
        <v/>
      </c>
      <c r="F226" s="12" t="str">
        <f>Overview!K226</f>
        <v/>
      </c>
      <c r="G226" s="12" t="str">
        <f>Overview!L226</f>
        <v/>
      </c>
      <c r="H226" s="12" t="str">
        <f>Overview!M226</f>
        <v/>
      </c>
      <c r="I226" s="292" t="str">
        <f>Overview!N226</f>
        <v/>
      </c>
    </row>
    <row r="227">
      <c r="A227" s="12" t="str">
        <f>Overview!A227</f>
        <v/>
      </c>
      <c r="B227" s="12" t="str">
        <f>Overview!B227</f>
        <v/>
      </c>
      <c r="C227" s="12" t="str">
        <f>Overview!C227</f>
        <v/>
      </c>
      <c r="D227" s="12" t="str">
        <f>Overview!D227</f>
        <v/>
      </c>
      <c r="E227" s="12" t="str">
        <f>Overview!E227</f>
        <v/>
      </c>
      <c r="F227" s="12" t="str">
        <f>Overview!K227</f>
        <v/>
      </c>
      <c r="G227" s="12" t="str">
        <f>Overview!L227</f>
        <v/>
      </c>
      <c r="H227" s="12" t="str">
        <f>Overview!M227</f>
        <v/>
      </c>
      <c r="I227" s="292" t="str">
        <f>Overview!N227</f>
        <v/>
      </c>
    </row>
    <row r="228">
      <c r="A228" s="12" t="str">
        <f>Overview!A228</f>
        <v/>
      </c>
      <c r="B228" s="12" t="str">
        <f>Overview!B228</f>
        <v/>
      </c>
      <c r="C228" s="12" t="str">
        <f>Overview!C228</f>
        <v/>
      </c>
      <c r="D228" s="12" t="str">
        <f>Overview!D228</f>
        <v/>
      </c>
      <c r="E228" s="12" t="str">
        <f>Overview!E228</f>
        <v/>
      </c>
      <c r="F228" s="12" t="str">
        <f>Overview!K228</f>
        <v/>
      </c>
      <c r="G228" s="12" t="str">
        <f>Overview!L228</f>
        <v/>
      </c>
      <c r="H228" s="12" t="str">
        <f>Overview!M228</f>
        <v/>
      </c>
      <c r="I228" s="292" t="str">
        <f>Overview!N228</f>
        <v/>
      </c>
    </row>
    <row r="229">
      <c r="A229" s="12" t="str">
        <f>Overview!A229</f>
        <v/>
      </c>
      <c r="B229" s="12" t="str">
        <f>Overview!B229</f>
        <v/>
      </c>
      <c r="C229" s="12" t="str">
        <f>Overview!C229</f>
        <v/>
      </c>
      <c r="D229" s="12" t="str">
        <f>Overview!D229</f>
        <v/>
      </c>
      <c r="E229" s="12" t="str">
        <f>Overview!E229</f>
        <v/>
      </c>
      <c r="F229" s="12" t="str">
        <f>Overview!K229</f>
        <v/>
      </c>
      <c r="G229" s="12" t="str">
        <f>Overview!L229</f>
        <v/>
      </c>
      <c r="H229" s="12" t="str">
        <f>Overview!M229</f>
        <v/>
      </c>
      <c r="I229" s="292" t="str">
        <f>Overview!N229</f>
        <v/>
      </c>
    </row>
    <row r="230">
      <c r="A230" s="12" t="str">
        <f>Overview!A230</f>
        <v/>
      </c>
      <c r="B230" s="12" t="str">
        <f>Overview!B230</f>
        <v/>
      </c>
      <c r="C230" s="12" t="str">
        <f>Overview!C230</f>
        <v/>
      </c>
      <c r="D230" s="12" t="str">
        <f>Overview!D230</f>
        <v/>
      </c>
      <c r="E230" s="12" t="str">
        <f>Overview!E230</f>
        <v/>
      </c>
      <c r="F230" s="12" t="str">
        <f>Overview!K230</f>
        <v/>
      </c>
      <c r="G230" s="12" t="str">
        <f>Overview!L230</f>
        <v/>
      </c>
      <c r="H230" s="12" t="str">
        <f>Overview!M230</f>
        <v/>
      </c>
      <c r="I230" s="292" t="str">
        <f>Overview!N230</f>
        <v/>
      </c>
    </row>
    <row r="231">
      <c r="A231" s="12" t="str">
        <f>Overview!A231</f>
        <v/>
      </c>
      <c r="B231" s="12" t="str">
        <f>Overview!B231</f>
        <v/>
      </c>
      <c r="C231" s="12" t="str">
        <f>Overview!C231</f>
        <v/>
      </c>
      <c r="D231" s="12" t="str">
        <f>Overview!D231</f>
        <v/>
      </c>
      <c r="E231" s="12" t="str">
        <f>Overview!E231</f>
        <v/>
      </c>
      <c r="F231" s="12" t="str">
        <f>Overview!K231</f>
        <v/>
      </c>
      <c r="G231" s="12" t="str">
        <f>Overview!L231</f>
        <v/>
      </c>
      <c r="H231" s="12" t="str">
        <f>Overview!M231</f>
        <v/>
      </c>
      <c r="I231" s="292" t="str">
        <f>Overview!N231</f>
        <v/>
      </c>
    </row>
    <row r="232">
      <c r="A232" s="12" t="str">
        <f>Overview!A232</f>
        <v/>
      </c>
      <c r="B232" s="12" t="str">
        <f>Overview!B232</f>
        <v/>
      </c>
      <c r="C232" s="12" t="str">
        <f>Overview!C232</f>
        <v/>
      </c>
      <c r="D232" s="12" t="str">
        <f>Overview!D232</f>
        <v/>
      </c>
      <c r="E232" s="12" t="str">
        <f>Overview!E232</f>
        <v/>
      </c>
      <c r="F232" s="12" t="str">
        <f>Overview!K232</f>
        <v/>
      </c>
      <c r="G232" s="12" t="str">
        <f>Overview!L232</f>
        <v/>
      </c>
      <c r="H232" s="12" t="str">
        <f>Overview!M232</f>
        <v/>
      </c>
      <c r="I232" s="292" t="str">
        <f>Overview!N232</f>
        <v/>
      </c>
    </row>
    <row r="233">
      <c r="A233" s="12" t="str">
        <f>Overview!A233</f>
        <v/>
      </c>
      <c r="B233" s="12" t="str">
        <f>Overview!B233</f>
        <v/>
      </c>
      <c r="C233" s="12" t="str">
        <f>Overview!C233</f>
        <v/>
      </c>
      <c r="D233" s="12" t="str">
        <f>Overview!D233</f>
        <v/>
      </c>
      <c r="E233" s="12" t="str">
        <f>Overview!E233</f>
        <v/>
      </c>
      <c r="F233" s="12" t="str">
        <f>Overview!K233</f>
        <v/>
      </c>
      <c r="G233" s="12" t="str">
        <f>Overview!L233</f>
        <v/>
      </c>
      <c r="H233" s="12" t="str">
        <f>Overview!M233</f>
        <v/>
      </c>
      <c r="I233" s="292" t="str">
        <f>Overview!N233</f>
        <v/>
      </c>
    </row>
    <row r="234">
      <c r="A234" s="12" t="str">
        <f>Overview!A234</f>
        <v/>
      </c>
      <c r="B234" s="12" t="str">
        <f>Overview!B234</f>
        <v/>
      </c>
      <c r="C234" s="12" t="str">
        <f>Overview!C234</f>
        <v/>
      </c>
      <c r="D234" s="12" t="str">
        <f>Overview!D234</f>
        <v/>
      </c>
      <c r="E234" s="12" t="str">
        <f>Overview!E234</f>
        <v/>
      </c>
      <c r="F234" s="12" t="str">
        <f>Overview!K234</f>
        <v/>
      </c>
      <c r="G234" s="12" t="str">
        <f>Overview!L234</f>
        <v/>
      </c>
      <c r="H234" s="12" t="str">
        <f>Overview!M234</f>
        <v/>
      </c>
      <c r="I234" s="292" t="str">
        <f>Overview!N234</f>
        <v/>
      </c>
    </row>
    <row r="235">
      <c r="A235" s="12" t="str">
        <f>Overview!A235</f>
        <v/>
      </c>
      <c r="B235" s="12" t="str">
        <f>Overview!B235</f>
        <v/>
      </c>
      <c r="C235" s="12" t="str">
        <f>Overview!C235</f>
        <v/>
      </c>
      <c r="D235" s="12" t="str">
        <f>Overview!D235</f>
        <v/>
      </c>
      <c r="E235" s="12" t="str">
        <f>Overview!E235</f>
        <v/>
      </c>
      <c r="F235" s="12" t="str">
        <f>Overview!K235</f>
        <v/>
      </c>
      <c r="G235" s="12" t="str">
        <f>Overview!L235</f>
        <v/>
      </c>
      <c r="H235" s="12" t="str">
        <f>Overview!M235</f>
        <v/>
      </c>
      <c r="I235" s="292" t="str">
        <f>Overview!N235</f>
        <v/>
      </c>
    </row>
    <row r="236">
      <c r="A236" s="12" t="str">
        <f>Overview!A236</f>
        <v/>
      </c>
      <c r="B236" s="12" t="str">
        <f>Overview!B236</f>
        <v/>
      </c>
      <c r="C236" s="12" t="str">
        <f>Overview!C236</f>
        <v/>
      </c>
      <c r="D236" s="12" t="str">
        <f>Overview!D236</f>
        <v/>
      </c>
      <c r="E236" s="12" t="str">
        <f>Overview!E236</f>
        <v/>
      </c>
      <c r="F236" s="12" t="str">
        <f>Overview!K236</f>
        <v/>
      </c>
      <c r="G236" s="12" t="str">
        <f>Overview!L236</f>
        <v/>
      </c>
      <c r="H236" s="12" t="str">
        <f>Overview!M236</f>
        <v/>
      </c>
      <c r="I236" s="292" t="str">
        <f>Overview!N236</f>
        <v/>
      </c>
    </row>
    <row r="237">
      <c r="A237" s="12" t="str">
        <f>Overview!A237</f>
        <v/>
      </c>
      <c r="B237" s="12" t="str">
        <f>Overview!B237</f>
        <v/>
      </c>
      <c r="C237" s="12" t="str">
        <f>Overview!C237</f>
        <v/>
      </c>
      <c r="D237" s="12" t="str">
        <f>Overview!D237</f>
        <v/>
      </c>
      <c r="E237" s="12" t="str">
        <f>Overview!E237</f>
        <v/>
      </c>
      <c r="F237" s="12" t="str">
        <f>Overview!K237</f>
        <v/>
      </c>
      <c r="G237" s="12" t="str">
        <f>Overview!L237</f>
        <v/>
      </c>
      <c r="H237" s="12" t="str">
        <f>Overview!M237</f>
        <v/>
      </c>
      <c r="I237" s="292" t="str">
        <f>Overview!N237</f>
        <v/>
      </c>
    </row>
    <row r="238">
      <c r="A238" s="12" t="str">
        <f>Overview!A238</f>
        <v/>
      </c>
      <c r="B238" s="12" t="str">
        <f>Overview!B238</f>
        <v/>
      </c>
      <c r="C238" s="12" t="str">
        <f>Overview!C238</f>
        <v/>
      </c>
      <c r="D238" s="12" t="str">
        <f>Overview!D238</f>
        <v/>
      </c>
      <c r="E238" s="12" t="str">
        <f>Overview!E238</f>
        <v/>
      </c>
      <c r="F238" s="12" t="str">
        <f>Overview!K238</f>
        <v/>
      </c>
      <c r="G238" s="12" t="str">
        <f>Overview!L238</f>
        <v/>
      </c>
      <c r="H238" s="12" t="str">
        <f>Overview!M238</f>
        <v/>
      </c>
      <c r="I238" s="292" t="str">
        <f>Overview!N238</f>
        <v/>
      </c>
    </row>
    <row r="239">
      <c r="A239" s="12" t="str">
        <f>Overview!A239</f>
        <v/>
      </c>
      <c r="B239" s="12" t="str">
        <f>Overview!B239</f>
        <v/>
      </c>
      <c r="C239" s="12" t="str">
        <f>Overview!C239</f>
        <v/>
      </c>
      <c r="D239" s="12" t="str">
        <f>Overview!D239</f>
        <v/>
      </c>
      <c r="E239" s="12" t="str">
        <f>Overview!E239</f>
        <v/>
      </c>
      <c r="F239" s="12" t="str">
        <f>Overview!K239</f>
        <v/>
      </c>
      <c r="G239" s="12" t="str">
        <f>Overview!L239</f>
        <v/>
      </c>
      <c r="H239" s="12" t="str">
        <f>Overview!M239</f>
        <v/>
      </c>
      <c r="I239" s="292" t="str">
        <f>Overview!N239</f>
        <v/>
      </c>
    </row>
    <row r="240">
      <c r="A240" s="12" t="str">
        <f>Overview!A240</f>
        <v/>
      </c>
      <c r="B240" s="12" t="str">
        <f>Overview!B240</f>
        <v/>
      </c>
      <c r="C240" s="12" t="str">
        <f>Overview!C240</f>
        <v/>
      </c>
      <c r="D240" s="12" t="str">
        <f>Overview!D240</f>
        <v/>
      </c>
      <c r="E240" s="12" t="str">
        <f>Overview!E240</f>
        <v/>
      </c>
      <c r="F240" s="12" t="str">
        <f>Overview!K240</f>
        <v/>
      </c>
      <c r="G240" s="12" t="str">
        <f>Overview!L240</f>
        <v/>
      </c>
      <c r="H240" s="12" t="str">
        <f>Overview!M240</f>
        <v/>
      </c>
      <c r="I240" s="292" t="str">
        <f>Overview!N240</f>
        <v/>
      </c>
    </row>
    <row r="241">
      <c r="A241" s="12" t="str">
        <f>Overview!A241</f>
        <v/>
      </c>
      <c r="B241" s="12" t="str">
        <f>Overview!B241</f>
        <v/>
      </c>
      <c r="C241" s="12" t="str">
        <f>Overview!C241</f>
        <v/>
      </c>
      <c r="D241" s="12" t="str">
        <f>Overview!D241</f>
        <v/>
      </c>
      <c r="E241" s="12" t="str">
        <f>Overview!E241</f>
        <v/>
      </c>
      <c r="F241" s="12" t="str">
        <f>Overview!K241</f>
        <v/>
      </c>
      <c r="G241" s="12" t="str">
        <f>Overview!L241</f>
        <v/>
      </c>
      <c r="H241" s="12" t="str">
        <f>Overview!M241</f>
        <v/>
      </c>
      <c r="I241" s="292" t="str">
        <f>Overview!N241</f>
        <v/>
      </c>
    </row>
    <row r="242">
      <c r="A242" s="12" t="str">
        <f>Overview!A242</f>
        <v/>
      </c>
      <c r="B242" s="12" t="str">
        <f>Overview!B242</f>
        <v/>
      </c>
      <c r="C242" s="12" t="str">
        <f>Overview!C242</f>
        <v/>
      </c>
      <c r="D242" s="12" t="str">
        <f>Overview!D242</f>
        <v/>
      </c>
      <c r="E242" s="12" t="str">
        <f>Overview!E242</f>
        <v/>
      </c>
      <c r="F242" s="12" t="str">
        <f>Overview!K242</f>
        <v/>
      </c>
      <c r="G242" s="12" t="str">
        <f>Overview!L242</f>
        <v/>
      </c>
      <c r="H242" s="12" t="str">
        <f>Overview!M242</f>
        <v/>
      </c>
      <c r="I242" s="292" t="str">
        <f>Overview!N242</f>
        <v/>
      </c>
    </row>
    <row r="243">
      <c r="A243" s="12" t="str">
        <f>Overview!A243</f>
        <v/>
      </c>
      <c r="B243" s="12" t="str">
        <f>Overview!B243</f>
        <v/>
      </c>
      <c r="C243" s="12" t="str">
        <f>Overview!C243</f>
        <v/>
      </c>
      <c r="D243" s="12" t="str">
        <f>Overview!D243</f>
        <v/>
      </c>
      <c r="E243" s="12" t="str">
        <f>Overview!E243</f>
        <v/>
      </c>
      <c r="F243" s="12" t="str">
        <f>Overview!K243</f>
        <v/>
      </c>
      <c r="G243" s="12" t="str">
        <f>Overview!L243</f>
        <v/>
      </c>
      <c r="H243" s="12" t="str">
        <f>Overview!M243</f>
        <v/>
      </c>
      <c r="I243" s="292" t="str">
        <f>Overview!N243</f>
        <v/>
      </c>
    </row>
    <row r="244">
      <c r="A244" s="12" t="str">
        <f>Overview!A244</f>
        <v/>
      </c>
      <c r="B244" s="12" t="str">
        <f>Overview!B244</f>
        <v/>
      </c>
      <c r="C244" s="12" t="str">
        <f>Overview!C244</f>
        <v/>
      </c>
      <c r="D244" s="12" t="str">
        <f>Overview!D244</f>
        <v/>
      </c>
      <c r="E244" s="12" t="str">
        <f>Overview!E244</f>
        <v/>
      </c>
      <c r="F244" s="12" t="str">
        <f>Overview!K244</f>
        <v/>
      </c>
      <c r="G244" s="12" t="str">
        <f>Overview!L244</f>
        <v/>
      </c>
      <c r="H244" s="12" t="str">
        <f>Overview!M244</f>
        <v/>
      </c>
      <c r="I244" s="292" t="str">
        <f>Overview!N244</f>
        <v/>
      </c>
    </row>
    <row r="245">
      <c r="A245" s="12" t="str">
        <f>Overview!A245</f>
        <v/>
      </c>
      <c r="B245" s="12" t="str">
        <f>Overview!B245</f>
        <v/>
      </c>
      <c r="C245" s="12" t="str">
        <f>Overview!C245</f>
        <v/>
      </c>
      <c r="D245" s="12" t="str">
        <f>Overview!D245</f>
        <v/>
      </c>
      <c r="E245" s="12" t="str">
        <f>Overview!E245</f>
        <v/>
      </c>
      <c r="F245" s="12" t="str">
        <f>Overview!K245</f>
        <v/>
      </c>
      <c r="G245" s="12" t="str">
        <f>Overview!L245</f>
        <v/>
      </c>
      <c r="H245" s="12" t="str">
        <f>Overview!M245</f>
        <v/>
      </c>
      <c r="I245" s="292" t="str">
        <f>Overview!N245</f>
        <v/>
      </c>
    </row>
    <row r="246">
      <c r="A246" s="12" t="str">
        <f>Overview!A246</f>
        <v/>
      </c>
      <c r="B246" s="12" t="str">
        <f>Overview!B246</f>
        <v/>
      </c>
      <c r="C246" s="12" t="str">
        <f>Overview!C246</f>
        <v/>
      </c>
      <c r="D246" s="12" t="str">
        <f>Overview!D246</f>
        <v/>
      </c>
      <c r="E246" s="12" t="str">
        <f>Overview!E246</f>
        <v/>
      </c>
      <c r="F246" s="12" t="str">
        <f>Overview!K246</f>
        <v/>
      </c>
      <c r="G246" s="12" t="str">
        <f>Overview!L246</f>
        <v/>
      </c>
      <c r="H246" s="12" t="str">
        <f>Overview!M246</f>
        <v/>
      </c>
      <c r="I246" s="292" t="str">
        <f>Overview!N246</f>
        <v/>
      </c>
    </row>
    <row r="247">
      <c r="A247" s="12" t="str">
        <f>Overview!A247</f>
        <v/>
      </c>
      <c r="B247" s="12" t="str">
        <f>Overview!B247</f>
        <v/>
      </c>
      <c r="C247" s="12" t="str">
        <f>Overview!C247</f>
        <v/>
      </c>
      <c r="D247" s="12" t="str">
        <f>Overview!D247</f>
        <v/>
      </c>
      <c r="E247" s="12" t="str">
        <f>Overview!E247</f>
        <v/>
      </c>
      <c r="F247" s="12" t="str">
        <f>Overview!K247</f>
        <v/>
      </c>
      <c r="G247" s="12" t="str">
        <f>Overview!L247</f>
        <v/>
      </c>
      <c r="H247" s="12" t="str">
        <f>Overview!M247</f>
        <v/>
      </c>
      <c r="I247" s="292" t="str">
        <f>Overview!N247</f>
        <v/>
      </c>
    </row>
    <row r="248">
      <c r="A248" s="12" t="str">
        <f>Overview!A248</f>
        <v/>
      </c>
      <c r="B248" s="12" t="str">
        <f>Overview!B248</f>
        <v/>
      </c>
      <c r="C248" s="12" t="str">
        <f>Overview!C248</f>
        <v/>
      </c>
      <c r="D248" s="12" t="str">
        <f>Overview!D248</f>
        <v/>
      </c>
      <c r="E248" s="12" t="str">
        <f>Overview!E248</f>
        <v/>
      </c>
      <c r="F248" s="12" t="str">
        <f>Overview!K248</f>
        <v/>
      </c>
      <c r="G248" s="12" t="str">
        <f>Overview!L248</f>
        <v/>
      </c>
      <c r="H248" s="12" t="str">
        <f>Overview!M248</f>
        <v/>
      </c>
      <c r="I248" s="292" t="str">
        <f>Overview!N248</f>
        <v/>
      </c>
    </row>
    <row r="249">
      <c r="A249" s="12" t="str">
        <f>Overview!A249</f>
        <v/>
      </c>
      <c r="B249" s="12" t="str">
        <f>Overview!B249</f>
        <v/>
      </c>
      <c r="C249" s="12" t="str">
        <f>Overview!C249</f>
        <v/>
      </c>
      <c r="D249" s="12" t="str">
        <f>Overview!D249</f>
        <v/>
      </c>
      <c r="E249" s="12" t="str">
        <f>Overview!E249</f>
        <v/>
      </c>
      <c r="F249" s="12" t="str">
        <f>Overview!K249</f>
        <v/>
      </c>
      <c r="G249" s="12" t="str">
        <f>Overview!L249</f>
        <v/>
      </c>
      <c r="H249" s="12" t="str">
        <f>Overview!M249</f>
        <v/>
      </c>
      <c r="I249" s="292" t="str">
        <f>Overview!N249</f>
        <v/>
      </c>
    </row>
    <row r="250">
      <c r="A250" s="12" t="str">
        <f>Overview!A250</f>
        <v/>
      </c>
      <c r="B250" s="12" t="str">
        <f>Overview!B250</f>
        <v/>
      </c>
      <c r="C250" s="12" t="str">
        <f>Overview!C250</f>
        <v/>
      </c>
      <c r="D250" s="12" t="str">
        <f>Overview!D250</f>
        <v/>
      </c>
      <c r="E250" s="12" t="str">
        <f>Overview!E250</f>
        <v/>
      </c>
      <c r="F250" s="12" t="str">
        <f>Overview!K250</f>
        <v/>
      </c>
      <c r="G250" s="12" t="str">
        <f>Overview!L250</f>
        <v/>
      </c>
      <c r="H250" s="12" t="str">
        <f>Overview!M250</f>
        <v/>
      </c>
      <c r="I250" s="292" t="str">
        <f>Overview!N250</f>
        <v/>
      </c>
    </row>
    <row r="251">
      <c r="A251" s="12" t="str">
        <f>Overview!A251</f>
        <v/>
      </c>
      <c r="B251" s="12" t="str">
        <f>Overview!B251</f>
        <v/>
      </c>
      <c r="C251" s="12" t="str">
        <f>Overview!C251</f>
        <v/>
      </c>
      <c r="D251" s="12" t="str">
        <f>Overview!D251</f>
        <v/>
      </c>
      <c r="E251" s="12" t="str">
        <f>Overview!E251</f>
        <v/>
      </c>
      <c r="F251" s="12" t="str">
        <f>Overview!K251</f>
        <v/>
      </c>
      <c r="G251" s="12" t="str">
        <f>Overview!L251</f>
        <v/>
      </c>
      <c r="H251" s="12" t="str">
        <f>Overview!M251</f>
        <v/>
      </c>
      <c r="I251" s="292" t="str">
        <f>Overview!N251</f>
        <v/>
      </c>
    </row>
    <row r="252">
      <c r="A252" s="12" t="str">
        <f>Overview!A252</f>
        <v/>
      </c>
      <c r="B252" s="12" t="str">
        <f>Overview!B252</f>
        <v/>
      </c>
      <c r="C252" s="12" t="str">
        <f>Overview!C252</f>
        <v/>
      </c>
      <c r="D252" s="12" t="str">
        <f>Overview!D252</f>
        <v/>
      </c>
      <c r="E252" s="12" t="str">
        <f>Overview!E252</f>
        <v/>
      </c>
      <c r="F252" s="12" t="str">
        <f>Overview!K252</f>
        <v/>
      </c>
      <c r="G252" s="12" t="str">
        <f>Overview!L252</f>
        <v/>
      </c>
      <c r="H252" s="12" t="str">
        <f>Overview!M252</f>
        <v/>
      </c>
      <c r="I252" s="292" t="str">
        <f>Overview!N252</f>
        <v/>
      </c>
    </row>
    <row r="253">
      <c r="A253" s="12" t="str">
        <f>Overview!A253</f>
        <v/>
      </c>
      <c r="B253" s="12" t="str">
        <f>Overview!B253</f>
        <v/>
      </c>
      <c r="C253" s="12" t="str">
        <f>Overview!C253</f>
        <v/>
      </c>
      <c r="D253" s="12" t="str">
        <f>Overview!D253</f>
        <v/>
      </c>
      <c r="E253" s="12" t="str">
        <f>Overview!E253</f>
        <v/>
      </c>
      <c r="F253" s="12" t="str">
        <f>Overview!K253</f>
        <v/>
      </c>
      <c r="G253" s="12" t="str">
        <f>Overview!L253</f>
        <v/>
      </c>
      <c r="H253" s="12" t="str">
        <f>Overview!M253</f>
        <v/>
      </c>
      <c r="I253" s="292" t="str">
        <f>Overview!N253</f>
        <v/>
      </c>
    </row>
    <row r="254">
      <c r="A254" s="12" t="str">
        <f>Overview!A254</f>
        <v/>
      </c>
      <c r="B254" s="12" t="str">
        <f>Overview!B254</f>
        <v/>
      </c>
      <c r="C254" s="12" t="str">
        <f>Overview!C254</f>
        <v/>
      </c>
      <c r="D254" s="12" t="str">
        <f>Overview!D254</f>
        <v/>
      </c>
      <c r="E254" s="12" t="str">
        <f>Overview!E254</f>
        <v/>
      </c>
      <c r="F254" s="12" t="str">
        <f>Overview!K254</f>
        <v/>
      </c>
      <c r="G254" s="12" t="str">
        <f>Overview!L254</f>
        <v/>
      </c>
      <c r="H254" s="12" t="str">
        <f>Overview!M254</f>
        <v/>
      </c>
      <c r="I254" s="292" t="str">
        <f>Overview!N254</f>
        <v/>
      </c>
    </row>
    <row r="255">
      <c r="A255" s="12" t="str">
        <f>Overview!A255</f>
        <v/>
      </c>
      <c r="B255" s="12" t="str">
        <f>Overview!B255</f>
        <v/>
      </c>
      <c r="C255" s="12" t="str">
        <f>Overview!C255</f>
        <v/>
      </c>
      <c r="D255" s="12" t="str">
        <f>Overview!D255</f>
        <v/>
      </c>
      <c r="E255" s="12" t="str">
        <f>Overview!E255</f>
        <v/>
      </c>
      <c r="F255" s="12" t="str">
        <f>Overview!K255</f>
        <v/>
      </c>
      <c r="G255" s="12" t="str">
        <f>Overview!L255</f>
        <v/>
      </c>
      <c r="H255" s="12" t="str">
        <f>Overview!M255</f>
        <v/>
      </c>
      <c r="I255" s="292" t="str">
        <f>Overview!N255</f>
        <v/>
      </c>
    </row>
    <row r="256">
      <c r="A256" s="12" t="str">
        <f>Overview!A256</f>
        <v/>
      </c>
      <c r="B256" s="12" t="str">
        <f>Overview!B256</f>
        <v/>
      </c>
      <c r="C256" s="12" t="str">
        <f>Overview!C256</f>
        <v/>
      </c>
      <c r="D256" s="12" t="str">
        <f>Overview!D256</f>
        <v/>
      </c>
      <c r="E256" s="12" t="str">
        <f>Overview!E256</f>
        <v/>
      </c>
      <c r="F256" s="12" t="str">
        <f>Overview!K256</f>
        <v/>
      </c>
      <c r="G256" s="12" t="str">
        <f>Overview!L256</f>
        <v/>
      </c>
      <c r="H256" s="12" t="str">
        <f>Overview!M256</f>
        <v/>
      </c>
      <c r="I256" s="292" t="str">
        <f>Overview!N256</f>
        <v/>
      </c>
    </row>
    <row r="257">
      <c r="A257" s="12" t="str">
        <f>Overview!A257</f>
        <v/>
      </c>
      <c r="B257" s="12" t="str">
        <f>Overview!B257</f>
        <v/>
      </c>
      <c r="C257" s="12" t="str">
        <f>Overview!C257</f>
        <v/>
      </c>
      <c r="D257" s="12" t="str">
        <f>Overview!D257</f>
        <v/>
      </c>
      <c r="E257" s="12" t="str">
        <f>Overview!E257</f>
        <v/>
      </c>
      <c r="F257" s="12" t="str">
        <f>Overview!K257</f>
        <v/>
      </c>
      <c r="G257" s="12" t="str">
        <f>Overview!L257</f>
        <v/>
      </c>
      <c r="H257" s="12" t="str">
        <f>Overview!M257</f>
        <v/>
      </c>
      <c r="I257" s="292" t="str">
        <f>Overview!N257</f>
        <v/>
      </c>
    </row>
    <row r="258">
      <c r="A258" s="12" t="str">
        <f>Overview!A258</f>
        <v/>
      </c>
      <c r="B258" s="12" t="str">
        <f>Overview!B258</f>
        <v/>
      </c>
      <c r="C258" s="12" t="str">
        <f>Overview!C258</f>
        <v/>
      </c>
      <c r="D258" s="12" t="str">
        <f>Overview!D258</f>
        <v/>
      </c>
      <c r="E258" s="12" t="str">
        <f>Overview!E258</f>
        <v/>
      </c>
      <c r="F258" s="12" t="str">
        <f>Overview!K258</f>
        <v/>
      </c>
      <c r="G258" s="12" t="str">
        <f>Overview!L258</f>
        <v/>
      </c>
      <c r="H258" s="12" t="str">
        <f>Overview!M258</f>
        <v/>
      </c>
      <c r="I258" s="292" t="str">
        <f>Overview!N258</f>
        <v/>
      </c>
    </row>
    <row r="259">
      <c r="A259" s="12" t="str">
        <f>Overview!A259</f>
        <v/>
      </c>
      <c r="B259" s="12" t="str">
        <f>Overview!B259</f>
        <v/>
      </c>
      <c r="C259" s="12" t="str">
        <f>Overview!C259</f>
        <v/>
      </c>
      <c r="D259" s="12" t="str">
        <f>Overview!D259</f>
        <v/>
      </c>
      <c r="E259" s="12" t="str">
        <f>Overview!E259</f>
        <v/>
      </c>
      <c r="F259" s="12" t="str">
        <f>Overview!K259</f>
        <v/>
      </c>
      <c r="G259" s="12" t="str">
        <f>Overview!L259</f>
        <v/>
      </c>
      <c r="H259" s="12" t="str">
        <f>Overview!M259</f>
        <v/>
      </c>
      <c r="I259" s="292" t="str">
        <f>Overview!N259</f>
        <v/>
      </c>
    </row>
    <row r="260">
      <c r="A260" s="12" t="str">
        <f>Overview!A260</f>
        <v/>
      </c>
      <c r="B260" s="12" t="str">
        <f>Overview!B260</f>
        <v/>
      </c>
      <c r="C260" s="12" t="str">
        <f>Overview!C260</f>
        <v/>
      </c>
      <c r="D260" s="12" t="str">
        <f>Overview!D260</f>
        <v/>
      </c>
      <c r="E260" s="12" t="str">
        <f>Overview!E260</f>
        <v/>
      </c>
      <c r="F260" s="12" t="str">
        <f>Overview!K260</f>
        <v/>
      </c>
      <c r="G260" s="12" t="str">
        <f>Overview!L260</f>
        <v/>
      </c>
      <c r="H260" s="12" t="str">
        <f>Overview!M260</f>
        <v/>
      </c>
      <c r="I260" s="292" t="str">
        <f>Overview!N260</f>
        <v/>
      </c>
    </row>
    <row r="261">
      <c r="A261" s="12" t="str">
        <f>Overview!A261</f>
        <v/>
      </c>
      <c r="B261" s="12" t="str">
        <f>Overview!B261</f>
        <v/>
      </c>
      <c r="C261" s="12" t="str">
        <f>Overview!C261</f>
        <v/>
      </c>
      <c r="D261" s="12" t="str">
        <f>Overview!D261</f>
        <v/>
      </c>
      <c r="E261" s="12" t="str">
        <f>Overview!E261</f>
        <v/>
      </c>
      <c r="F261" s="12" t="str">
        <f>Overview!K261</f>
        <v/>
      </c>
      <c r="G261" s="12" t="str">
        <f>Overview!L261</f>
        <v/>
      </c>
      <c r="H261" s="12" t="str">
        <f>Overview!M261</f>
        <v/>
      </c>
      <c r="I261" s="292" t="str">
        <f>Overview!N261</f>
        <v/>
      </c>
    </row>
    <row r="262">
      <c r="A262" s="12" t="str">
        <f>Overview!A262</f>
        <v/>
      </c>
      <c r="B262" s="12" t="str">
        <f>Overview!B262</f>
        <v/>
      </c>
      <c r="C262" s="12" t="str">
        <f>Overview!C262</f>
        <v/>
      </c>
      <c r="D262" s="12" t="str">
        <f>Overview!D262</f>
        <v/>
      </c>
      <c r="E262" s="12" t="str">
        <f>Overview!E262</f>
        <v/>
      </c>
      <c r="F262" s="12" t="str">
        <f>Overview!K262</f>
        <v/>
      </c>
      <c r="G262" s="12" t="str">
        <f>Overview!L262</f>
        <v/>
      </c>
      <c r="H262" s="12" t="str">
        <f>Overview!M262</f>
        <v/>
      </c>
      <c r="I262" s="292" t="str">
        <f>Overview!N262</f>
        <v/>
      </c>
    </row>
    <row r="263">
      <c r="A263" s="12" t="str">
        <f>Overview!A263</f>
        <v/>
      </c>
      <c r="B263" s="12" t="str">
        <f>Overview!B263</f>
        <v/>
      </c>
      <c r="C263" s="12" t="str">
        <f>Overview!C263</f>
        <v/>
      </c>
      <c r="D263" s="12" t="str">
        <f>Overview!D263</f>
        <v/>
      </c>
      <c r="E263" s="12" t="str">
        <f>Overview!E263</f>
        <v/>
      </c>
      <c r="F263" s="12" t="str">
        <f>Overview!K263</f>
        <v/>
      </c>
      <c r="G263" s="12" t="str">
        <f>Overview!L263</f>
        <v/>
      </c>
      <c r="H263" s="12" t="str">
        <f>Overview!M263</f>
        <v/>
      </c>
      <c r="I263" s="292" t="str">
        <f>Overview!N263</f>
        <v/>
      </c>
    </row>
    <row r="264">
      <c r="A264" s="12" t="str">
        <f>Overview!A264</f>
        <v/>
      </c>
      <c r="B264" s="12" t="str">
        <f>Overview!B264</f>
        <v/>
      </c>
      <c r="C264" s="12" t="str">
        <f>Overview!C264</f>
        <v/>
      </c>
      <c r="D264" s="12" t="str">
        <f>Overview!D264</f>
        <v/>
      </c>
      <c r="E264" s="12" t="str">
        <f>Overview!E264</f>
        <v/>
      </c>
      <c r="F264" s="12" t="str">
        <f>Overview!K264</f>
        <v/>
      </c>
      <c r="G264" s="12" t="str">
        <f>Overview!L264</f>
        <v/>
      </c>
      <c r="H264" s="12" t="str">
        <f>Overview!M264</f>
        <v/>
      </c>
      <c r="I264" s="292" t="str">
        <f>Overview!N264</f>
        <v/>
      </c>
    </row>
    <row r="265">
      <c r="A265" s="12" t="str">
        <f>Overview!A265</f>
        <v/>
      </c>
      <c r="B265" s="12" t="str">
        <f>Overview!B265</f>
        <v/>
      </c>
      <c r="C265" s="12" t="str">
        <f>Overview!C265</f>
        <v/>
      </c>
      <c r="D265" s="12" t="str">
        <f>Overview!D265</f>
        <v/>
      </c>
      <c r="E265" s="12" t="str">
        <f>Overview!E265</f>
        <v/>
      </c>
      <c r="F265" s="12" t="str">
        <f>Overview!K265</f>
        <v/>
      </c>
      <c r="G265" s="12" t="str">
        <f>Overview!L265</f>
        <v/>
      </c>
      <c r="H265" s="12" t="str">
        <f>Overview!M265</f>
        <v/>
      </c>
      <c r="I265" s="292" t="str">
        <f>Overview!N265</f>
        <v/>
      </c>
    </row>
    <row r="266">
      <c r="A266" s="12" t="str">
        <f>Overview!A266</f>
        <v/>
      </c>
      <c r="B266" s="12" t="str">
        <f>Overview!B266</f>
        <v/>
      </c>
      <c r="C266" s="12" t="str">
        <f>Overview!C266</f>
        <v/>
      </c>
      <c r="D266" s="12" t="str">
        <f>Overview!D266</f>
        <v/>
      </c>
      <c r="E266" s="12" t="str">
        <f>Overview!E266</f>
        <v/>
      </c>
      <c r="F266" s="12" t="str">
        <f>Overview!K266</f>
        <v/>
      </c>
      <c r="G266" s="12" t="str">
        <f>Overview!L266</f>
        <v/>
      </c>
      <c r="H266" s="12" t="str">
        <f>Overview!M266</f>
        <v/>
      </c>
      <c r="I266" s="292" t="str">
        <f>Overview!N266</f>
        <v/>
      </c>
    </row>
    <row r="267">
      <c r="A267" s="12" t="str">
        <f>Overview!A267</f>
        <v/>
      </c>
      <c r="B267" s="12" t="str">
        <f>Overview!B267</f>
        <v/>
      </c>
      <c r="C267" s="12" t="str">
        <f>Overview!C267</f>
        <v/>
      </c>
      <c r="D267" s="12" t="str">
        <f>Overview!D267</f>
        <v/>
      </c>
      <c r="E267" s="12" t="str">
        <f>Overview!E267</f>
        <v/>
      </c>
      <c r="F267" s="12" t="str">
        <f>Overview!K267</f>
        <v/>
      </c>
      <c r="G267" s="12" t="str">
        <f>Overview!L267</f>
        <v/>
      </c>
      <c r="H267" s="12" t="str">
        <f>Overview!M267</f>
        <v/>
      </c>
      <c r="I267" s="292" t="str">
        <f>Overview!N267</f>
        <v/>
      </c>
    </row>
    <row r="268">
      <c r="A268" s="12" t="str">
        <f>Overview!A268</f>
        <v/>
      </c>
      <c r="B268" s="12" t="str">
        <f>Overview!B268</f>
        <v/>
      </c>
      <c r="C268" s="12" t="str">
        <f>Overview!C268</f>
        <v/>
      </c>
      <c r="D268" s="12" t="str">
        <f>Overview!D268</f>
        <v/>
      </c>
      <c r="E268" s="12" t="str">
        <f>Overview!E268</f>
        <v/>
      </c>
      <c r="F268" s="12" t="str">
        <f>Overview!K268</f>
        <v/>
      </c>
      <c r="G268" s="12" t="str">
        <f>Overview!L268</f>
        <v/>
      </c>
      <c r="H268" s="12" t="str">
        <f>Overview!M268</f>
        <v/>
      </c>
      <c r="I268" s="292" t="str">
        <f>Overview!N268</f>
        <v/>
      </c>
    </row>
    <row r="269">
      <c r="A269" s="12" t="str">
        <f>Overview!A269</f>
        <v/>
      </c>
      <c r="B269" s="12" t="str">
        <f>Overview!B269</f>
        <v/>
      </c>
      <c r="C269" s="12" t="str">
        <f>Overview!C269</f>
        <v/>
      </c>
      <c r="D269" s="12" t="str">
        <f>Overview!D269</f>
        <v/>
      </c>
      <c r="E269" s="12" t="str">
        <f>Overview!E269</f>
        <v/>
      </c>
      <c r="F269" s="12" t="str">
        <f>Overview!K269</f>
        <v/>
      </c>
      <c r="G269" s="12" t="str">
        <f>Overview!L269</f>
        <v/>
      </c>
      <c r="H269" s="12" t="str">
        <f>Overview!M269</f>
        <v/>
      </c>
      <c r="I269" s="292" t="str">
        <f>Overview!N269</f>
        <v/>
      </c>
    </row>
    <row r="270">
      <c r="A270" s="12" t="str">
        <f>Overview!A270</f>
        <v/>
      </c>
      <c r="B270" s="12" t="str">
        <f>Overview!B270</f>
        <v/>
      </c>
      <c r="C270" s="12" t="str">
        <f>Overview!C270</f>
        <v/>
      </c>
      <c r="D270" s="12" t="str">
        <f>Overview!D270</f>
        <v/>
      </c>
      <c r="E270" s="12" t="str">
        <f>Overview!E270</f>
        <v/>
      </c>
      <c r="F270" s="12" t="str">
        <f>Overview!K270</f>
        <v/>
      </c>
      <c r="G270" s="12" t="str">
        <f>Overview!L270</f>
        <v/>
      </c>
      <c r="H270" s="12" t="str">
        <f>Overview!M270</f>
        <v/>
      </c>
      <c r="I270" s="292" t="str">
        <f>Overview!N270</f>
        <v/>
      </c>
    </row>
    <row r="271">
      <c r="A271" s="12" t="str">
        <f>Overview!A271</f>
        <v/>
      </c>
      <c r="B271" s="12" t="str">
        <f>Overview!B271</f>
        <v/>
      </c>
      <c r="C271" s="12" t="str">
        <f>Overview!C271</f>
        <v/>
      </c>
      <c r="D271" s="12" t="str">
        <f>Overview!D271</f>
        <v/>
      </c>
      <c r="E271" s="12" t="str">
        <f>Overview!E271</f>
        <v/>
      </c>
      <c r="F271" s="12" t="str">
        <f>Overview!K271</f>
        <v/>
      </c>
      <c r="G271" s="12" t="str">
        <f>Overview!L271</f>
        <v/>
      </c>
      <c r="H271" s="12" t="str">
        <f>Overview!M271</f>
        <v/>
      </c>
      <c r="I271" s="292" t="str">
        <f>Overview!N271</f>
        <v/>
      </c>
    </row>
    <row r="272">
      <c r="A272" s="12" t="str">
        <f>Overview!A272</f>
        <v/>
      </c>
      <c r="B272" s="12" t="str">
        <f>Overview!B272</f>
        <v/>
      </c>
      <c r="C272" s="12" t="str">
        <f>Overview!C272</f>
        <v/>
      </c>
      <c r="D272" s="12" t="str">
        <f>Overview!D272</f>
        <v/>
      </c>
      <c r="E272" s="12" t="str">
        <f>Overview!E272</f>
        <v/>
      </c>
      <c r="F272" s="12" t="str">
        <f>Overview!K272</f>
        <v/>
      </c>
      <c r="G272" s="12" t="str">
        <f>Overview!L272</f>
        <v/>
      </c>
      <c r="H272" s="12" t="str">
        <f>Overview!M272</f>
        <v/>
      </c>
      <c r="I272" s="292" t="str">
        <f>Overview!N272</f>
        <v/>
      </c>
    </row>
    <row r="273">
      <c r="A273" s="12" t="str">
        <f>Overview!A273</f>
        <v/>
      </c>
      <c r="B273" s="12" t="str">
        <f>Overview!B273</f>
        <v/>
      </c>
      <c r="C273" s="12" t="str">
        <f>Overview!C273</f>
        <v/>
      </c>
      <c r="D273" s="12" t="str">
        <f>Overview!D273</f>
        <v/>
      </c>
      <c r="E273" s="12" t="str">
        <f>Overview!E273</f>
        <v/>
      </c>
      <c r="F273" s="12" t="str">
        <f>Overview!K273</f>
        <v/>
      </c>
      <c r="G273" s="12" t="str">
        <f>Overview!L273</f>
        <v/>
      </c>
      <c r="H273" s="12" t="str">
        <f>Overview!M273</f>
        <v/>
      </c>
      <c r="I273" s="292" t="str">
        <f>Overview!N273</f>
        <v/>
      </c>
    </row>
    <row r="274">
      <c r="A274" s="12" t="str">
        <f>Overview!A274</f>
        <v/>
      </c>
      <c r="B274" s="12" t="str">
        <f>Overview!B274</f>
        <v/>
      </c>
      <c r="C274" s="12" t="str">
        <f>Overview!C274</f>
        <v/>
      </c>
      <c r="D274" s="12" t="str">
        <f>Overview!D274</f>
        <v/>
      </c>
      <c r="E274" s="12" t="str">
        <f>Overview!E274</f>
        <v/>
      </c>
      <c r="F274" s="12" t="str">
        <f>Overview!K274</f>
        <v/>
      </c>
      <c r="G274" s="12" t="str">
        <f>Overview!L274</f>
        <v/>
      </c>
      <c r="H274" s="12" t="str">
        <f>Overview!M274</f>
        <v/>
      </c>
      <c r="I274" s="292" t="str">
        <f>Overview!N274</f>
        <v/>
      </c>
    </row>
    <row r="275">
      <c r="A275" s="12" t="str">
        <f>Overview!A275</f>
        <v/>
      </c>
      <c r="B275" s="12" t="str">
        <f>Overview!B275</f>
        <v/>
      </c>
      <c r="C275" s="12" t="str">
        <f>Overview!C275</f>
        <v/>
      </c>
      <c r="D275" s="12" t="str">
        <f>Overview!D275</f>
        <v/>
      </c>
      <c r="E275" s="12" t="str">
        <f>Overview!E275</f>
        <v/>
      </c>
      <c r="F275" s="12" t="str">
        <f>Overview!K275</f>
        <v/>
      </c>
      <c r="G275" s="12" t="str">
        <f>Overview!L275</f>
        <v/>
      </c>
      <c r="H275" s="12" t="str">
        <f>Overview!M275</f>
        <v/>
      </c>
      <c r="I275" s="292" t="str">
        <f>Overview!N275</f>
        <v/>
      </c>
    </row>
    <row r="276">
      <c r="A276" s="12" t="str">
        <f>Overview!A276</f>
        <v/>
      </c>
      <c r="B276" s="12" t="str">
        <f>Overview!B276</f>
        <v/>
      </c>
      <c r="C276" s="12" t="str">
        <f>Overview!C276</f>
        <v/>
      </c>
      <c r="D276" s="12" t="str">
        <f>Overview!D276</f>
        <v/>
      </c>
      <c r="E276" s="12" t="str">
        <f>Overview!E276</f>
        <v/>
      </c>
      <c r="F276" s="12" t="str">
        <f>Overview!K276</f>
        <v/>
      </c>
      <c r="G276" s="12" t="str">
        <f>Overview!L276</f>
        <v/>
      </c>
      <c r="H276" s="12" t="str">
        <f>Overview!M276</f>
        <v/>
      </c>
      <c r="I276" s="292" t="str">
        <f>Overview!N276</f>
        <v/>
      </c>
    </row>
    <row r="277">
      <c r="A277" s="12" t="str">
        <f>Overview!A277</f>
        <v/>
      </c>
      <c r="B277" s="12" t="str">
        <f>Overview!B277</f>
        <v/>
      </c>
      <c r="C277" s="12" t="str">
        <f>Overview!C277</f>
        <v/>
      </c>
      <c r="D277" s="12" t="str">
        <f>Overview!D277</f>
        <v/>
      </c>
      <c r="E277" s="12" t="str">
        <f>Overview!E277</f>
        <v/>
      </c>
      <c r="F277" s="12" t="str">
        <f>Overview!K277</f>
        <v/>
      </c>
      <c r="G277" s="12" t="str">
        <f>Overview!L277</f>
        <v/>
      </c>
      <c r="H277" s="12" t="str">
        <f>Overview!M277</f>
        <v/>
      </c>
      <c r="I277" s="292" t="str">
        <f>Overview!N277</f>
        <v/>
      </c>
    </row>
    <row r="278">
      <c r="A278" s="12" t="str">
        <f>Overview!A278</f>
        <v/>
      </c>
      <c r="B278" s="12" t="str">
        <f>Overview!B278</f>
        <v/>
      </c>
      <c r="C278" s="12" t="str">
        <f>Overview!C278</f>
        <v/>
      </c>
      <c r="D278" s="12" t="str">
        <f>Overview!D278</f>
        <v/>
      </c>
      <c r="E278" s="12" t="str">
        <f>Overview!E278</f>
        <v/>
      </c>
      <c r="F278" s="12" t="str">
        <f>Overview!K278</f>
        <v/>
      </c>
      <c r="G278" s="12" t="str">
        <f>Overview!L278</f>
        <v/>
      </c>
      <c r="H278" s="12" t="str">
        <f>Overview!M278</f>
        <v/>
      </c>
      <c r="I278" s="292" t="str">
        <f>Overview!N278</f>
        <v/>
      </c>
    </row>
    <row r="279">
      <c r="A279" s="12" t="str">
        <f>Overview!A279</f>
        <v/>
      </c>
      <c r="B279" s="12" t="str">
        <f>Overview!B279</f>
        <v/>
      </c>
      <c r="C279" s="12" t="str">
        <f>Overview!C279</f>
        <v/>
      </c>
      <c r="D279" s="12" t="str">
        <f>Overview!D279</f>
        <v/>
      </c>
      <c r="E279" s="12" t="str">
        <f>Overview!E279</f>
        <v/>
      </c>
      <c r="F279" s="12" t="str">
        <f>Overview!K279</f>
        <v/>
      </c>
      <c r="G279" s="12" t="str">
        <f>Overview!L279</f>
        <v/>
      </c>
      <c r="H279" s="12" t="str">
        <f>Overview!M279</f>
        <v/>
      </c>
      <c r="I279" s="292" t="str">
        <f>Overview!N279</f>
        <v/>
      </c>
    </row>
    <row r="280">
      <c r="A280" s="12" t="str">
        <f>Overview!A280</f>
        <v/>
      </c>
      <c r="B280" s="12" t="str">
        <f>Overview!B280</f>
        <v/>
      </c>
      <c r="C280" s="12" t="str">
        <f>Overview!C280</f>
        <v/>
      </c>
      <c r="D280" s="12" t="str">
        <f>Overview!D280</f>
        <v/>
      </c>
      <c r="E280" s="12" t="str">
        <f>Overview!E280</f>
        <v/>
      </c>
      <c r="F280" s="12" t="str">
        <f>Overview!K280</f>
        <v/>
      </c>
      <c r="G280" s="12" t="str">
        <f>Overview!L280</f>
        <v/>
      </c>
      <c r="H280" s="12" t="str">
        <f>Overview!M280</f>
        <v/>
      </c>
      <c r="I280" s="292" t="str">
        <f>Overview!N280</f>
        <v/>
      </c>
    </row>
    <row r="281">
      <c r="A281" s="12" t="str">
        <f>Overview!A281</f>
        <v/>
      </c>
      <c r="B281" s="12" t="str">
        <f>Overview!B281</f>
        <v/>
      </c>
      <c r="C281" s="12" t="str">
        <f>Overview!C281</f>
        <v/>
      </c>
      <c r="D281" s="12" t="str">
        <f>Overview!D281</f>
        <v/>
      </c>
      <c r="E281" s="12" t="str">
        <f>Overview!E281</f>
        <v/>
      </c>
      <c r="F281" s="12" t="str">
        <f>Overview!K281</f>
        <v/>
      </c>
      <c r="G281" s="12" t="str">
        <f>Overview!L281</f>
        <v/>
      </c>
      <c r="H281" s="12" t="str">
        <f>Overview!M281</f>
        <v/>
      </c>
      <c r="I281" s="292" t="str">
        <f>Overview!N281</f>
        <v/>
      </c>
    </row>
    <row r="282">
      <c r="A282" s="12" t="str">
        <f>Overview!A282</f>
        <v/>
      </c>
      <c r="B282" s="12" t="str">
        <f>Overview!B282</f>
        <v/>
      </c>
      <c r="C282" s="12" t="str">
        <f>Overview!C282</f>
        <v/>
      </c>
      <c r="D282" s="12" t="str">
        <f>Overview!D282</f>
        <v/>
      </c>
      <c r="E282" s="12" t="str">
        <f>Overview!E282</f>
        <v/>
      </c>
      <c r="F282" s="12" t="str">
        <f>Overview!K282</f>
        <v/>
      </c>
      <c r="G282" s="12" t="str">
        <f>Overview!L282</f>
        <v/>
      </c>
      <c r="H282" s="12" t="str">
        <f>Overview!M282</f>
        <v/>
      </c>
      <c r="I282" s="292" t="str">
        <f>Overview!N282</f>
        <v/>
      </c>
    </row>
    <row r="283">
      <c r="A283" s="12" t="str">
        <f>Overview!A283</f>
        <v/>
      </c>
      <c r="B283" s="12" t="str">
        <f>Overview!B283</f>
        <v/>
      </c>
      <c r="C283" s="12" t="str">
        <f>Overview!C283</f>
        <v/>
      </c>
      <c r="D283" s="12" t="str">
        <f>Overview!D283</f>
        <v/>
      </c>
      <c r="E283" s="12" t="str">
        <f>Overview!E283</f>
        <v/>
      </c>
      <c r="F283" s="12" t="str">
        <f>Overview!K283</f>
        <v/>
      </c>
      <c r="G283" s="12" t="str">
        <f>Overview!L283</f>
        <v/>
      </c>
      <c r="H283" s="12" t="str">
        <f>Overview!M283</f>
        <v/>
      </c>
      <c r="I283" s="292" t="str">
        <f>Overview!N283</f>
        <v/>
      </c>
    </row>
    <row r="284">
      <c r="A284" s="12" t="str">
        <f>Overview!A284</f>
        <v/>
      </c>
      <c r="B284" s="12" t="str">
        <f>Overview!B284</f>
        <v/>
      </c>
      <c r="C284" s="12" t="str">
        <f>Overview!C284</f>
        <v/>
      </c>
      <c r="D284" s="12" t="str">
        <f>Overview!D284</f>
        <v/>
      </c>
      <c r="E284" s="12" t="str">
        <f>Overview!E284</f>
        <v/>
      </c>
      <c r="F284" s="12" t="str">
        <f>Overview!K284</f>
        <v/>
      </c>
      <c r="G284" s="12" t="str">
        <f>Overview!L284</f>
        <v/>
      </c>
      <c r="H284" s="12" t="str">
        <f>Overview!M284</f>
        <v/>
      </c>
      <c r="I284" s="292" t="str">
        <f>Overview!N284</f>
        <v/>
      </c>
    </row>
    <row r="285">
      <c r="A285" s="12" t="str">
        <f>Overview!A285</f>
        <v/>
      </c>
      <c r="B285" s="12" t="str">
        <f>Overview!B285</f>
        <v/>
      </c>
      <c r="C285" s="12" t="str">
        <f>Overview!C285</f>
        <v/>
      </c>
      <c r="D285" s="12" t="str">
        <f>Overview!D285</f>
        <v/>
      </c>
      <c r="E285" s="12" t="str">
        <f>Overview!E285</f>
        <v/>
      </c>
      <c r="F285" s="12" t="str">
        <f>Overview!K285</f>
        <v/>
      </c>
      <c r="G285" s="12" t="str">
        <f>Overview!L285</f>
        <v/>
      </c>
      <c r="H285" s="12" t="str">
        <f>Overview!M285</f>
        <v/>
      </c>
      <c r="I285" s="292" t="str">
        <f>Overview!N285</f>
        <v/>
      </c>
    </row>
    <row r="286">
      <c r="A286" s="12" t="str">
        <f>Overview!A286</f>
        <v/>
      </c>
      <c r="B286" s="12" t="str">
        <f>Overview!B286</f>
        <v/>
      </c>
      <c r="C286" s="12" t="str">
        <f>Overview!C286</f>
        <v/>
      </c>
      <c r="D286" s="12" t="str">
        <f>Overview!D286</f>
        <v/>
      </c>
      <c r="E286" s="12" t="str">
        <f>Overview!E286</f>
        <v/>
      </c>
      <c r="F286" s="12" t="str">
        <f>Overview!K286</f>
        <v/>
      </c>
      <c r="G286" s="12" t="str">
        <f>Overview!L286</f>
        <v/>
      </c>
      <c r="H286" s="12" t="str">
        <f>Overview!M286</f>
        <v/>
      </c>
      <c r="I286" s="292" t="str">
        <f>Overview!N286</f>
        <v/>
      </c>
    </row>
    <row r="287">
      <c r="A287" s="12" t="str">
        <f>Overview!A287</f>
        <v/>
      </c>
      <c r="B287" s="12" t="str">
        <f>Overview!B287</f>
        <v/>
      </c>
      <c r="C287" s="12" t="str">
        <f>Overview!C287</f>
        <v/>
      </c>
      <c r="D287" s="12" t="str">
        <f>Overview!D287</f>
        <v/>
      </c>
      <c r="E287" s="12" t="str">
        <f>Overview!E287</f>
        <v/>
      </c>
      <c r="F287" s="12" t="str">
        <f>Overview!K287</f>
        <v/>
      </c>
      <c r="G287" s="12" t="str">
        <f>Overview!L287</f>
        <v/>
      </c>
      <c r="H287" s="12" t="str">
        <f>Overview!M287</f>
        <v/>
      </c>
      <c r="I287" s="292" t="str">
        <f>Overview!N287</f>
        <v/>
      </c>
    </row>
    <row r="288">
      <c r="A288" s="12" t="str">
        <f>Overview!A288</f>
        <v/>
      </c>
      <c r="B288" s="12" t="str">
        <f>Overview!B288</f>
        <v/>
      </c>
      <c r="C288" s="12" t="str">
        <f>Overview!C288</f>
        <v/>
      </c>
      <c r="D288" s="12" t="str">
        <f>Overview!D288</f>
        <v/>
      </c>
      <c r="E288" s="12" t="str">
        <f>Overview!E288</f>
        <v/>
      </c>
      <c r="F288" s="12" t="str">
        <f>Overview!K288</f>
        <v/>
      </c>
      <c r="G288" s="12" t="str">
        <f>Overview!L288</f>
        <v/>
      </c>
      <c r="H288" s="12" t="str">
        <f>Overview!M288</f>
        <v/>
      </c>
      <c r="I288" s="292" t="str">
        <f>Overview!N288</f>
        <v/>
      </c>
    </row>
    <row r="289">
      <c r="A289" s="12" t="str">
        <f>Overview!A289</f>
        <v/>
      </c>
      <c r="B289" s="12" t="str">
        <f>Overview!B289</f>
        <v/>
      </c>
      <c r="C289" s="12" t="str">
        <f>Overview!C289</f>
        <v/>
      </c>
      <c r="D289" s="12" t="str">
        <f>Overview!D289</f>
        <v/>
      </c>
      <c r="E289" s="12" t="str">
        <f>Overview!E289</f>
        <v/>
      </c>
      <c r="F289" s="12" t="str">
        <f>Overview!K289</f>
        <v/>
      </c>
      <c r="G289" s="12" t="str">
        <f>Overview!L289</f>
        <v/>
      </c>
      <c r="H289" s="12" t="str">
        <f>Overview!M289</f>
        <v/>
      </c>
      <c r="I289" s="292" t="str">
        <f>Overview!N289</f>
        <v/>
      </c>
    </row>
    <row r="290">
      <c r="A290" s="12" t="str">
        <f>Overview!A290</f>
        <v/>
      </c>
      <c r="B290" s="12" t="str">
        <f>Overview!B290</f>
        <v/>
      </c>
      <c r="C290" s="12" t="str">
        <f>Overview!C290</f>
        <v/>
      </c>
      <c r="D290" s="12" t="str">
        <f>Overview!D290</f>
        <v/>
      </c>
      <c r="E290" s="12" t="str">
        <f>Overview!E290</f>
        <v/>
      </c>
      <c r="F290" s="12" t="str">
        <f>Overview!K290</f>
        <v/>
      </c>
      <c r="G290" s="12" t="str">
        <f>Overview!L290</f>
        <v/>
      </c>
      <c r="H290" s="12" t="str">
        <f>Overview!M290</f>
        <v/>
      </c>
      <c r="I290" s="292" t="str">
        <f>Overview!N290</f>
        <v/>
      </c>
    </row>
    <row r="291">
      <c r="A291" s="12" t="str">
        <f>Overview!A291</f>
        <v/>
      </c>
      <c r="B291" s="12" t="str">
        <f>Overview!B291</f>
        <v/>
      </c>
      <c r="C291" s="12" t="str">
        <f>Overview!C291</f>
        <v/>
      </c>
      <c r="D291" s="12" t="str">
        <f>Overview!D291</f>
        <v/>
      </c>
      <c r="E291" s="12" t="str">
        <f>Overview!E291</f>
        <v/>
      </c>
      <c r="F291" s="12" t="str">
        <f>Overview!K291</f>
        <v/>
      </c>
      <c r="G291" s="12" t="str">
        <f>Overview!L291</f>
        <v/>
      </c>
      <c r="H291" s="12" t="str">
        <f>Overview!M291</f>
        <v/>
      </c>
      <c r="I291" s="292" t="str">
        <f>Overview!N291</f>
        <v/>
      </c>
    </row>
    <row r="292">
      <c r="A292" s="12" t="str">
        <f>Overview!A292</f>
        <v/>
      </c>
      <c r="B292" s="12" t="str">
        <f>Overview!B292</f>
        <v/>
      </c>
      <c r="C292" s="12" t="str">
        <f>Overview!C292</f>
        <v/>
      </c>
      <c r="D292" s="12" t="str">
        <f>Overview!D292</f>
        <v/>
      </c>
      <c r="E292" s="12" t="str">
        <f>Overview!E292</f>
        <v/>
      </c>
      <c r="F292" s="12" t="str">
        <f>Overview!K292</f>
        <v/>
      </c>
      <c r="G292" s="12" t="str">
        <f>Overview!L292</f>
        <v/>
      </c>
      <c r="H292" s="12" t="str">
        <f>Overview!M292</f>
        <v/>
      </c>
      <c r="I292" s="292" t="str">
        <f>Overview!N292</f>
        <v/>
      </c>
    </row>
    <row r="293">
      <c r="A293" s="12" t="str">
        <f>Overview!A293</f>
        <v/>
      </c>
      <c r="B293" s="12" t="str">
        <f>Overview!B293</f>
        <v/>
      </c>
      <c r="C293" s="12" t="str">
        <f>Overview!C293</f>
        <v/>
      </c>
      <c r="D293" s="12" t="str">
        <f>Overview!D293</f>
        <v/>
      </c>
      <c r="E293" s="12" t="str">
        <f>Overview!E293</f>
        <v/>
      </c>
      <c r="F293" s="12" t="str">
        <f>Overview!K293</f>
        <v/>
      </c>
      <c r="G293" s="12" t="str">
        <f>Overview!L293</f>
        <v/>
      </c>
      <c r="H293" s="12" t="str">
        <f>Overview!M293</f>
        <v/>
      </c>
      <c r="I293" s="292" t="str">
        <f>Overview!N293</f>
        <v/>
      </c>
    </row>
    <row r="294">
      <c r="A294" s="12" t="str">
        <f>Overview!A294</f>
        <v/>
      </c>
      <c r="B294" s="12" t="str">
        <f>Overview!B294</f>
        <v/>
      </c>
      <c r="C294" s="12" t="str">
        <f>Overview!C294</f>
        <v/>
      </c>
      <c r="D294" s="12" t="str">
        <f>Overview!D294</f>
        <v/>
      </c>
      <c r="E294" s="12" t="str">
        <f>Overview!E294</f>
        <v/>
      </c>
      <c r="F294" s="12" t="str">
        <f>Overview!K294</f>
        <v/>
      </c>
      <c r="G294" s="12" t="str">
        <f>Overview!L294</f>
        <v/>
      </c>
      <c r="H294" s="12" t="str">
        <f>Overview!M294</f>
        <v/>
      </c>
      <c r="I294" s="292" t="str">
        <f>Overview!N294</f>
        <v/>
      </c>
    </row>
    <row r="295">
      <c r="A295" s="12" t="str">
        <f>Overview!A295</f>
        <v/>
      </c>
      <c r="B295" s="12" t="str">
        <f>Overview!B295</f>
        <v/>
      </c>
      <c r="C295" s="12" t="str">
        <f>Overview!C295</f>
        <v/>
      </c>
      <c r="D295" s="12" t="str">
        <f>Overview!D295</f>
        <v/>
      </c>
      <c r="E295" s="12" t="str">
        <f>Overview!E295</f>
        <v/>
      </c>
      <c r="F295" s="12" t="str">
        <f>Overview!K295</f>
        <v/>
      </c>
      <c r="G295" s="12" t="str">
        <f>Overview!L295</f>
        <v/>
      </c>
      <c r="H295" s="12" t="str">
        <f>Overview!M295</f>
        <v/>
      </c>
      <c r="I295" s="292" t="str">
        <f>Overview!N295</f>
        <v/>
      </c>
    </row>
    <row r="296">
      <c r="A296" s="12" t="str">
        <f>Overview!A296</f>
        <v/>
      </c>
      <c r="B296" s="12" t="str">
        <f>Overview!B296</f>
        <v/>
      </c>
      <c r="C296" s="12" t="str">
        <f>Overview!C296</f>
        <v/>
      </c>
      <c r="D296" s="12" t="str">
        <f>Overview!D296</f>
        <v/>
      </c>
      <c r="E296" s="12" t="str">
        <f>Overview!E296</f>
        <v/>
      </c>
      <c r="F296" s="12" t="str">
        <f>Overview!K296</f>
        <v/>
      </c>
      <c r="G296" s="12" t="str">
        <f>Overview!L296</f>
        <v/>
      </c>
      <c r="H296" s="12" t="str">
        <f>Overview!M296</f>
        <v/>
      </c>
      <c r="I296" s="292" t="str">
        <f>Overview!N296</f>
        <v/>
      </c>
    </row>
    <row r="297">
      <c r="A297" s="12" t="str">
        <f>Overview!A297</f>
        <v/>
      </c>
      <c r="B297" s="12" t="str">
        <f>Overview!B297</f>
        <v/>
      </c>
      <c r="C297" s="12" t="str">
        <f>Overview!C297</f>
        <v/>
      </c>
      <c r="D297" s="12" t="str">
        <f>Overview!D297</f>
        <v/>
      </c>
      <c r="E297" s="12" t="str">
        <f>Overview!E297</f>
        <v/>
      </c>
      <c r="F297" s="12" t="str">
        <f>Overview!K297</f>
        <v/>
      </c>
      <c r="G297" s="12" t="str">
        <f>Overview!L297</f>
        <v/>
      </c>
      <c r="H297" s="12" t="str">
        <f>Overview!M297</f>
        <v/>
      </c>
      <c r="I297" s="292" t="str">
        <f>Overview!N297</f>
        <v/>
      </c>
    </row>
    <row r="298">
      <c r="A298" s="12" t="str">
        <f>Overview!A298</f>
        <v/>
      </c>
      <c r="B298" s="12" t="str">
        <f>Overview!B298</f>
        <v/>
      </c>
      <c r="C298" s="12" t="str">
        <f>Overview!C298</f>
        <v/>
      </c>
      <c r="D298" s="12" t="str">
        <f>Overview!D298</f>
        <v/>
      </c>
      <c r="E298" s="12" t="str">
        <f>Overview!E298</f>
        <v/>
      </c>
      <c r="F298" s="12" t="str">
        <f>Overview!K298</f>
        <v/>
      </c>
      <c r="G298" s="12" t="str">
        <f>Overview!L298</f>
        <v/>
      </c>
      <c r="H298" s="12" t="str">
        <f>Overview!M298</f>
        <v/>
      </c>
      <c r="I298" s="292" t="str">
        <f>Overview!N298</f>
        <v/>
      </c>
    </row>
    <row r="299">
      <c r="A299" s="12" t="str">
        <f>Overview!A299</f>
        <v/>
      </c>
      <c r="B299" s="12" t="str">
        <f>Overview!B299</f>
        <v/>
      </c>
      <c r="C299" s="12" t="str">
        <f>Overview!C299</f>
        <v/>
      </c>
      <c r="D299" s="12" t="str">
        <f>Overview!D299</f>
        <v/>
      </c>
      <c r="E299" s="12" t="str">
        <f>Overview!E299</f>
        <v/>
      </c>
      <c r="F299" s="12" t="str">
        <f>Overview!K299</f>
        <v/>
      </c>
      <c r="G299" s="12" t="str">
        <f>Overview!L299</f>
        <v/>
      </c>
      <c r="H299" s="12" t="str">
        <f>Overview!M299</f>
        <v/>
      </c>
      <c r="I299" s="292" t="str">
        <f>Overview!N299</f>
        <v/>
      </c>
    </row>
    <row r="300">
      <c r="A300" s="12" t="str">
        <f>Overview!A300</f>
        <v/>
      </c>
      <c r="B300" s="12" t="str">
        <f>Overview!B300</f>
        <v/>
      </c>
      <c r="C300" s="12" t="str">
        <f>Overview!C300</f>
        <v/>
      </c>
      <c r="D300" s="12" t="str">
        <f>Overview!D300</f>
        <v/>
      </c>
      <c r="E300" s="12" t="str">
        <f>Overview!E300</f>
        <v/>
      </c>
      <c r="F300" s="12" t="str">
        <f>Overview!K300</f>
        <v/>
      </c>
      <c r="G300" s="12" t="str">
        <f>Overview!L300</f>
        <v/>
      </c>
      <c r="H300" s="12" t="str">
        <f>Overview!M300</f>
        <v/>
      </c>
      <c r="I300" s="292" t="str">
        <f>Overview!N300</f>
        <v/>
      </c>
    </row>
    <row r="301">
      <c r="A301" s="12" t="str">
        <f>Overview!A301</f>
        <v/>
      </c>
      <c r="B301" s="12" t="str">
        <f>Overview!B301</f>
        <v/>
      </c>
      <c r="C301" s="12" t="str">
        <f>Overview!C301</f>
        <v/>
      </c>
      <c r="D301" s="12" t="str">
        <f>Overview!D301</f>
        <v/>
      </c>
      <c r="E301" s="12" t="str">
        <f>Overview!E301</f>
        <v/>
      </c>
      <c r="F301" s="12" t="str">
        <f>Overview!K301</f>
        <v/>
      </c>
      <c r="G301" s="12" t="str">
        <f>Overview!L301</f>
        <v/>
      </c>
      <c r="H301" s="12" t="str">
        <f>Overview!M301</f>
        <v/>
      </c>
      <c r="I301" s="292" t="str">
        <f>Overview!N301</f>
        <v/>
      </c>
    </row>
    <row r="302">
      <c r="A302" s="12" t="str">
        <f>Overview!A302</f>
        <v/>
      </c>
      <c r="B302" s="12" t="str">
        <f>Overview!B302</f>
        <v/>
      </c>
      <c r="C302" s="12" t="str">
        <f>Overview!C302</f>
        <v/>
      </c>
      <c r="D302" s="12" t="str">
        <f>Overview!D302</f>
        <v/>
      </c>
      <c r="E302" s="12" t="str">
        <f>Overview!E302</f>
        <v/>
      </c>
      <c r="F302" s="12" t="str">
        <f>Overview!K302</f>
        <v/>
      </c>
      <c r="G302" s="12" t="str">
        <f>Overview!L302</f>
        <v/>
      </c>
      <c r="H302" s="12" t="str">
        <f>Overview!M302</f>
        <v/>
      </c>
      <c r="I302" s="292" t="str">
        <f>Overview!N302</f>
        <v/>
      </c>
    </row>
    <row r="303">
      <c r="A303" s="12" t="str">
        <f>Overview!A303</f>
        <v/>
      </c>
      <c r="B303" s="12" t="str">
        <f>Overview!B303</f>
        <v/>
      </c>
      <c r="C303" s="12" t="str">
        <f>Overview!C303</f>
        <v/>
      </c>
      <c r="D303" s="12" t="str">
        <f>Overview!D303</f>
        <v/>
      </c>
      <c r="E303" s="12" t="str">
        <f>Overview!E303</f>
        <v/>
      </c>
      <c r="F303" s="12" t="str">
        <f>Overview!K303</f>
        <v/>
      </c>
      <c r="G303" s="12" t="str">
        <f>Overview!L303</f>
        <v/>
      </c>
      <c r="H303" s="12" t="str">
        <f>Overview!M303</f>
        <v/>
      </c>
      <c r="I303" s="292" t="str">
        <f>Overview!N303</f>
        <v/>
      </c>
    </row>
    <row r="304">
      <c r="A304" s="12" t="str">
        <f>Overview!A304</f>
        <v/>
      </c>
      <c r="B304" s="12" t="str">
        <f>Overview!B304</f>
        <v/>
      </c>
      <c r="C304" s="12" t="str">
        <f>Overview!C304</f>
        <v/>
      </c>
      <c r="D304" s="12" t="str">
        <f>Overview!D304</f>
        <v/>
      </c>
      <c r="E304" s="12" t="str">
        <f>Overview!E304</f>
        <v/>
      </c>
      <c r="F304" s="12" t="str">
        <f>Overview!K304</f>
        <v/>
      </c>
      <c r="G304" s="12" t="str">
        <f>Overview!L304</f>
        <v/>
      </c>
      <c r="H304" s="12" t="str">
        <f>Overview!M304</f>
        <v/>
      </c>
      <c r="I304" s="292" t="str">
        <f>Overview!N304</f>
        <v/>
      </c>
    </row>
    <row r="305">
      <c r="A305" s="12" t="str">
        <f>Overview!A305</f>
        <v/>
      </c>
      <c r="B305" s="12" t="str">
        <f>Overview!B305</f>
        <v/>
      </c>
      <c r="C305" s="12" t="str">
        <f>Overview!C305</f>
        <v/>
      </c>
      <c r="D305" s="12" t="str">
        <f>Overview!D305</f>
        <v/>
      </c>
      <c r="E305" s="12" t="str">
        <f>Overview!E305</f>
        <v/>
      </c>
      <c r="F305" s="12" t="str">
        <f>Overview!K305</f>
        <v/>
      </c>
      <c r="G305" s="12" t="str">
        <f>Overview!L305</f>
        <v/>
      </c>
      <c r="H305" s="12" t="str">
        <f>Overview!M305</f>
        <v/>
      </c>
      <c r="I305" s="292" t="str">
        <f>Overview!N305</f>
        <v/>
      </c>
    </row>
    <row r="306">
      <c r="A306" s="12" t="str">
        <f>Overview!A306</f>
        <v/>
      </c>
      <c r="B306" s="12" t="str">
        <f>Overview!B306</f>
        <v/>
      </c>
      <c r="C306" s="12" t="str">
        <f>Overview!C306</f>
        <v/>
      </c>
      <c r="D306" s="12" t="str">
        <f>Overview!D306</f>
        <v/>
      </c>
      <c r="E306" s="12" t="str">
        <f>Overview!E306</f>
        <v/>
      </c>
      <c r="F306" s="12" t="str">
        <f>Overview!K306</f>
        <v/>
      </c>
      <c r="G306" s="12" t="str">
        <f>Overview!L306</f>
        <v/>
      </c>
      <c r="H306" s="12" t="str">
        <f>Overview!M306</f>
        <v/>
      </c>
      <c r="I306" s="292" t="str">
        <f>Overview!N306</f>
        <v/>
      </c>
    </row>
    <row r="307">
      <c r="A307" s="12" t="str">
        <f>Overview!A307</f>
        <v/>
      </c>
      <c r="B307" s="12" t="str">
        <f>Overview!B307</f>
        <v/>
      </c>
      <c r="C307" s="12" t="str">
        <f>Overview!C307</f>
        <v/>
      </c>
      <c r="D307" s="12" t="str">
        <f>Overview!D307</f>
        <v/>
      </c>
      <c r="E307" s="12" t="str">
        <f>Overview!E307</f>
        <v/>
      </c>
      <c r="F307" s="12" t="str">
        <f>Overview!K307</f>
        <v/>
      </c>
      <c r="G307" s="12" t="str">
        <f>Overview!L307</f>
        <v/>
      </c>
      <c r="H307" s="12" t="str">
        <f>Overview!M307</f>
        <v/>
      </c>
      <c r="I307" s="292" t="str">
        <f>Overview!N307</f>
        <v/>
      </c>
    </row>
    <row r="308">
      <c r="A308" s="12" t="str">
        <f>Overview!A308</f>
        <v/>
      </c>
      <c r="B308" s="12" t="str">
        <f>Overview!B308</f>
        <v/>
      </c>
      <c r="C308" s="12" t="str">
        <f>Overview!C308</f>
        <v/>
      </c>
      <c r="D308" s="12" t="str">
        <f>Overview!D308</f>
        <v/>
      </c>
      <c r="E308" s="12" t="str">
        <f>Overview!E308</f>
        <v/>
      </c>
      <c r="F308" s="12" t="str">
        <f>Overview!K308</f>
        <v/>
      </c>
      <c r="G308" s="12" t="str">
        <f>Overview!L308</f>
        <v/>
      </c>
      <c r="H308" s="12" t="str">
        <f>Overview!M308</f>
        <v/>
      </c>
      <c r="I308" s="292" t="str">
        <f>Overview!N308</f>
        <v/>
      </c>
    </row>
    <row r="309">
      <c r="A309" s="12" t="str">
        <f>Overview!A309</f>
        <v/>
      </c>
      <c r="B309" s="12" t="str">
        <f>Overview!B309</f>
        <v/>
      </c>
      <c r="C309" s="12" t="str">
        <f>Overview!C309</f>
        <v/>
      </c>
      <c r="D309" s="12" t="str">
        <f>Overview!D309</f>
        <v/>
      </c>
      <c r="E309" s="12" t="str">
        <f>Overview!E309</f>
        <v/>
      </c>
      <c r="F309" s="12" t="str">
        <f>Overview!K309</f>
        <v/>
      </c>
      <c r="G309" s="12" t="str">
        <f>Overview!L309</f>
        <v/>
      </c>
      <c r="H309" s="12" t="str">
        <f>Overview!M309</f>
        <v/>
      </c>
      <c r="I309" s="292" t="str">
        <f>Overview!N309</f>
        <v/>
      </c>
    </row>
    <row r="310">
      <c r="A310" s="12" t="str">
        <f>Overview!A310</f>
        <v/>
      </c>
      <c r="B310" s="12" t="str">
        <f>Overview!B310</f>
        <v/>
      </c>
      <c r="C310" s="12" t="str">
        <f>Overview!C310</f>
        <v/>
      </c>
      <c r="D310" s="12" t="str">
        <f>Overview!D310</f>
        <v/>
      </c>
      <c r="E310" s="12" t="str">
        <f>Overview!E310</f>
        <v/>
      </c>
      <c r="F310" s="12" t="str">
        <f>Overview!K310</f>
        <v/>
      </c>
      <c r="G310" s="12" t="str">
        <f>Overview!L310</f>
        <v/>
      </c>
      <c r="H310" s="12" t="str">
        <f>Overview!M310</f>
        <v/>
      </c>
      <c r="I310" s="292" t="str">
        <f>Overview!N310</f>
        <v/>
      </c>
    </row>
    <row r="311">
      <c r="A311" s="12" t="str">
        <f>Overview!A311</f>
        <v/>
      </c>
      <c r="B311" s="12" t="str">
        <f>Overview!B311</f>
        <v/>
      </c>
      <c r="C311" s="12" t="str">
        <f>Overview!C311</f>
        <v/>
      </c>
      <c r="D311" s="12" t="str">
        <f>Overview!D311</f>
        <v/>
      </c>
      <c r="E311" s="12" t="str">
        <f>Overview!E311</f>
        <v/>
      </c>
      <c r="F311" s="12" t="str">
        <f>Overview!K311</f>
        <v/>
      </c>
      <c r="G311" s="12" t="str">
        <f>Overview!L311</f>
        <v/>
      </c>
      <c r="H311" s="12" t="str">
        <f>Overview!M311</f>
        <v/>
      </c>
      <c r="I311" s="292" t="str">
        <f>Overview!N311</f>
        <v/>
      </c>
    </row>
    <row r="312">
      <c r="A312" s="12" t="str">
        <f>Overview!A312</f>
        <v/>
      </c>
      <c r="B312" s="12" t="str">
        <f>Overview!B312</f>
        <v/>
      </c>
      <c r="C312" s="12" t="str">
        <f>Overview!C312</f>
        <v/>
      </c>
      <c r="D312" s="12" t="str">
        <f>Overview!D312</f>
        <v/>
      </c>
      <c r="E312" s="12" t="str">
        <f>Overview!E312</f>
        <v/>
      </c>
      <c r="F312" s="12" t="str">
        <f>Overview!K312</f>
        <v/>
      </c>
      <c r="G312" s="12" t="str">
        <f>Overview!L312</f>
        <v/>
      </c>
      <c r="H312" s="12" t="str">
        <f>Overview!M312</f>
        <v/>
      </c>
      <c r="I312" s="292" t="str">
        <f>Overview!N312</f>
        <v/>
      </c>
    </row>
    <row r="313">
      <c r="A313" s="12" t="str">
        <f>Overview!A313</f>
        <v/>
      </c>
      <c r="B313" s="12" t="str">
        <f>Overview!B313</f>
        <v/>
      </c>
      <c r="C313" s="12" t="str">
        <f>Overview!C313</f>
        <v/>
      </c>
      <c r="D313" s="12" t="str">
        <f>Overview!D313</f>
        <v/>
      </c>
      <c r="E313" s="12" t="str">
        <f>Overview!E313</f>
        <v/>
      </c>
      <c r="F313" s="12" t="str">
        <f>Overview!K313</f>
        <v/>
      </c>
      <c r="G313" s="12" t="str">
        <f>Overview!L313</f>
        <v/>
      </c>
      <c r="H313" s="12" t="str">
        <f>Overview!M313</f>
        <v/>
      </c>
      <c r="I313" s="292" t="str">
        <f>Overview!N313</f>
        <v/>
      </c>
    </row>
    <row r="314">
      <c r="A314" s="12" t="str">
        <f>Overview!A314</f>
        <v/>
      </c>
      <c r="B314" s="12" t="str">
        <f>Overview!B314</f>
        <v/>
      </c>
      <c r="C314" s="12" t="str">
        <f>Overview!C314</f>
        <v/>
      </c>
      <c r="D314" s="12" t="str">
        <f>Overview!D314</f>
        <v/>
      </c>
      <c r="E314" s="12" t="str">
        <f>Overview!E314</f>
        <v/>
      </c>
      <c r="F314" s="12" t="str">
        <f>Overview!K314</f>
        <v/>
      </c>
      <c r="G314" s="12" t="str">
        <f>Overview!L314</f>
        <v/>
      </c>
      <c r="H314" s="12" t="str">
        <f>Overview!M314</f>
        <v/>
      </c>
      <c r="I314" s="292" t="str">
        <f>Overview!N314</f>
        <v/>
      </c>
    </row>
    <row r="315">
      <c r="A315" s="12" t="str">
        <f>Overview!A315</f>
        <v/>
      </c>
      <c r="B315" s="12" t="str">
        <f>Overview!B315</f>
        <v/>
      </c>
      <c r="C315" s="12" t="str">
        <f>Overview!C315</f>
        <v/>
      </c>
      <c r="D315" s="12" t="str">
        <f>Overview!D315</f>
        <v/>
      </c>
      <c r="E315" s="12" t="str">
        <f>Overview!E315</f>
        <v/>
      </c>
      <c r="F315" s="12" t="str">
        <f>Overview!K315</f>
        <v/>
      </c>
      <c r="G315" s="12" t="str">
        <f>Overview!L315</f>
        <v/>
      </c>
      <c r="H315" s="12" t="str">
        <f>Overview!M315</f>
        <v/>
      </c>
      <c r="I315" s="292" t="str">
        <f>Overview!N315</f>
        <v/>
      </c>
    </row>
    <row r="316">
      <c r="A316" s="12" t="str">
        <f>Overview!A316</f>
        <v/>
      </c>
      <c r="B316" s="12" t="str">
        <f>Overview!B316</f>
        <v/>
      </c>
      <c r="C316" s="12" t="str">
        <f>Overview!C316</f>
        <v/>
      </c>
      <c r="D316" s="12" t="str">
        <f>Overview!D316</f>
        <v/>
      </c>
      <c r="E316" s="12" t="str">
        <f>Overview!E316</f>
        <v/>
      </c>
      <c r="F316" s="12" t="str">
        <f>Overview!K316</f>
        <v/>
      </c>
      <c r="G316" s="12" t="str">
        <f>Overview!L316</f>
        <v/>
      </c>
      <c r="H316" s="12" t="str">
        <f>Overview!M316</f>
        <v/>
      </c>
      <c r="I316" s="292" t="str">
        <f>Overview!N316</f>
        <v/>
      </c>
    </row>
    <row r="317">
      <c r="A317" s="12" t="str">
        <f>Overview!A317</f>
        <v/>
      </c>
      <c r="B317" s="12" t="str">
        <f>Overview!B317</f>
        <v/>
      </c>
      <c r="C317" s="12" t="str">
        <f>Overview!C317</f>
        <v/>
      </c>
      <c r="D317" s="12" t="str">
        <f>Overview!D317</f>
        <v/>
      </c>
      <c r="E317" s="12" t="str">
        <f>Overview!E317</f>
        <v/>
      </c>
      <c r="F317" s="12" t="str">
        <f>Overview!K317</f>
        <v/>
      </c>
      <c r="G317" s="12" t="str">
        <f>Overview!L317</f>
        <v/>
      </c>
      <c r="H317" s="12" t="str">
        <f>Overview!M317</f>
        <v/>
      </c>
      <c r="I317" s="292" t="str">
        <f>Overview!N317</f>
        <v/>
      </c>
    </row>
    <row r="318">
      <c r="A318" s="12" t="str">
        <f>Overview!A318</f>
        <v/>
      </c>
      <c r="B318" s="12" t="str">
        <f>Overview!B318</f>
        <v/>
      </c>
      <c r="C318" s="12" t="str">
        <f>Overview!C318</f>
        <v/>
      </c>
      <c r="D318" s="12" t="str">
        <f>Overview!D318</f>
        <v/>
      </c>
      <c r="E318" s="12" t="str">
        <f>Overview!E318</f>
        <v/>
      </c>
      <c r="F318" s="12" t="str">
        <f>Overview!K318</f>
        <v/>
      </c>
      <c r="G318" s="12" t="str">
        <f>Overview!L318</f>
        <v/>
      </c>
      <c r="H318" s="12" t="str">
        <f>Overview!M318</f>
        <v/>
      </c>
      <c r="I318" s="292" t="str">
        <f>Overview!N318</f>
        <v/>
      </c>
    </row>
    <row r="319">
      <c r="A319" s="12" t="str">
        <f>Overview!A319</f>
        <v/>
      </c>
      <c r="B319" s="12" t="str">
        <f>Overview!B319</f>
        <v/>
      </c>
      <c r="C319" s="12" t="str">
        <f>Overview!C319</f>
        <v/>
      </c>
      <c r="D319" s="12" t="str">
        <f>Overview!D319</f>
        <v/>
      </c>
      <c r="E319" s="12" t="str">
        <f>Overview!E319</f>
        <v/>
      </c>
      <c r="F319" s="12" t="str">
        <f>Overview!K319</f>
        <v/>
      </c>
      <c r="G319" s="12" t="str">
        <f>Overview!L319</f>
        <v/>
      </c>
      <c r="H319" s="12" t="str">
        <f>Overview!M319</f>
        <v/>
      </c>
      <c r="I319" s="292" t="str">
        <f>Overview!N319</f>
        <v/>
      </c>
    </row>
    <row r="320">
      <c r="A320" s="12" t="str">
        <f>Overview!A320</f>
        <v/>
      </c>
      <c r="B320" s="12" t="str">
        <f>Overview!B320</f>
        <v/>
      </c>
      <c r="C320" s="12" t="str">
        <f>Overview!C320</f>
        <v/>
      </c>
      <c r="D320" s="12" t="str">
        <f>Overview!D320</f>
        <v/>
      </c>
      <c r="E320" s="12" t="str">
        <f>Overview!E320</f>
        <v/>
      </c>
      <c r="F320" s="12" t="str">
        <f>Overview!K320</f>
        <v/>
      </c>
      <c r="G320" s="12" t="str">
        <f>Overview!L320</f>
        <v/>
      </c>
      <c r="H320" s="12" t="str">
        <f>Overview!M320</f>
        <v/>
      </c>
      <c r="I320" s="292" t="str">
        <f>Overview!N320</f>
        <v/>
      </c>
    </row>
    <row r="321">
      <c r="A321" s="12" t="str">
        <f>Overview!A321</f>
        <v/>
      </c>
      <c r="B321" s="12" t="str">
        <f>Overview!B321</f>
        <v/>
      </c>
      <c r="C321" s="12" t="str">
        <f>Overview!C321</f>
        <v/>
      </c>
      <c r="D321" s="12" t="str">
        <f>Overview!D321</f>
        <v/>
      </c>
      <c r="E321" s="12" t="str">
        <f>Overview!E321</f>
        <v/>
      </c>
      <c r="F321" s="12" t="str">
        <f>Overview!K321</f>
        <v/>
      </c>
      <c r="G321" s="12" t="str">
        <f>Overview!L321</f>
        <v/>
      </c>
      <c r="H321" s="12" t="str">
        <f>Overview!M321</f>
        <v/>
      </c>
      <c r="I321" s="292" t="str">
        <f>Overview!N321</f>
        <v/>
      </c>
    </row>
    <row r="322">
      <c r="A322" s="12" t="str">
        <f>Overview!A322</f>
        <v/>
      </c>
      <c r="B322" s="12" t="str">
        <f>Overview!B322</f>
        <v/>
      </c>
      <c r="C322" s="12" t="str">
        <f>Overview!C322</f>
        <v/>
      </c>
      <c r="D322" s="12" t="str">
        <f>Overview!D322</f>
        <v/>
      </c>
      <c r="E322" s="12" t="str">
        <f>Overview!E322</f>
        <v/>
      </c>
      <c r="F322" s="12" t="str">
        <f>Overview!K322</f>
        <v/>
      </c>
      <c r="G322" s="12" t="str">
        <f>Overview!L322</f>
        <v/>
      </c>
      <c r="H322" s="12" t="str">
        <f>Overview!M322</f>
        <v/>
      </c>
      <c r="I322" s="292" t="str">
        <f>Overview!N322</f>
        <v/>
      </c>
    </row>
    <row r="323">
      <c r="A323" s="12" t="str">
        <f>Overview!A323</f>
        <v/>
      </c>
      <c r="B323" s="12" t="str">
        <f>Overview!B323</f>
        <v/>
      </c>
      <c r="C323" s="12" t="str">
        <f>Overview!C323</f>
        <v/>
      </c>
      <c r="D323" s="12" t="str">
        <f>Overview!D323</f>
        <v/>
      </c>
      <c r="E323" s="12" t="str">
        <f>Overview!E323</f>
        <v/>
      </c>
      <c r="F323" s="12" t="str">
        <f>Overview!K323</f>
        <v/>
      </c>
      <c r="G323" s="12" t="str">
        <f>Overview!L323</f>
        <v/>
      </c>
      <c r="H323" s="12" t="str">
        <f>Overview!M323</f>
        <v/>
      </c>
      <c r="I323" s="292" t="str">
        <f>Overview!N323</f>
        <v/>
      </c>
    </row>
    <row r="324">
      <c r="A324" s="12" t="str">
        <f>Overview!A324</f>
        <v/>
      </c>
      <c r="B324" s="12" t="str">
        <f>Overview!B324</f>
        <v/>
      </c>
      <c r="C324" s="12" t="str">
        <f>Overview!C324</f>
        <v/>
      </c>
      <c r="D324" s="12" t="str">
        <f>Overview!D324</f>
        <v/>
      </c>
      <c r="E324" s="12" t="str">
        <f>Overview!E324</f>
        <v/>
      </c>
      <c r="F324" s="12" t="str">
        <f>Overview!K324</f>
        <v/>
      </c>
      <c r="G324" s="12" t="str">
        <f>Overview!L324</f>
        <v/>
      </c>
      <c r="H324" s="12" t="str">
        <f>Overview!M324</f>
        <v/>
      </c>
      <c r="I324" s="292" t="str">
        <f>Overview!N324</f>
        <v/>
      </c>
    </row>
    <row r="325">
      <c r="A325" s="12" t="str">
        <f>Overview!A325</f>
        <v/>
      </c>
      <c r="B325" s="12" t="str">
        <f>Overview!B325</f>
        <v/>
      </c>
      <c r="C325" s="12" t="str">
        <f>Overview!C325</f>
        <v/>
      </c>
      <c r="D325" s="12" t="str">
        <f>Overview!D325</f>
        <v/>
      </c>
      <c r="E325" s="12" t="str">
        <f>Overview!E325</f>
        <v/>
      </c>
      <c r="F325" s="12" t="str">
        <f>Overview!K325</f>
        <v/>
      </c>
      <c r="G325" s="12" t="str">
        <f>Overview!L325</f>
        <v/>
      </c>
      <c r="H325" s="12" t="str">
        <f>Overview!M325</f>
        <v/>
      </c>
      <c r="I325" s="292" t="str">
        <f>Overview!N325</f>
        <v/>
      </c>
    </row>
    <row r="326">
      <c r="A326" s="12" t="str">
        <f>Overview!A326</f>
        <v/>
      </c>
      <c r="B326" s="12" t="str">
        <f>Overview!B326</f>
        <v/>
      </c>
      <c r="C326" s="12" t="str">
        <f>Overview!C326</f>
        <v/>
      </c>
      <c r="D326" s="12" t="str">
        <f>Overview!D326</f>
        <v/>
      </c>
      <c r="E326" s="12" t="str">
        <f>Overview!E326</f>
        <v/>
      </c>
      <c r="F326" s="12" t="str">
        <f>Overview!K326</f>
        <v/>
      </c>
      <c r="G326" s="12" t="str">
        <f>Overview!L326</f>
        <v/>
      </c>
      <c r="H326" s="12" t="str">
        <f>Overview!M326</f>
        <v/>
      </c>
      <c r="I326" s="292" t="str">
        <f>Overview!N326</f>
        <v/>
      </c>
    </row>
    <row r="327">
      <c r="A327" s="12" t="str">
        <f>Overview!A327</f>
        <v/>
      </c>
      <c r="B327" s="12" t="str">
        <f>Overview!B327</f>
        <v/>
      </c>
      <c r="C327" s="12" t="str">
        <f>Overview!C327</f>
        <v/>
      </c>
      <c r="D327" s="12" t="str">
        <f>Overview!D327</f>
        <v/>
      </c>
      <c r="E327" s="12" t="str">
        <f>Overview!E327</f>
        <v/>
      </c>
      <c r="F327" s="12" t="str">
        <f>Overview!K327</f>
        <v/>
      </c>
      <c r="G327" s="12" t="str">
        <f>Overview!L327</f>
        <v/>
      </c>
      <c r="H327" s="12" t="str">
        <f>Overview!M327</f>
        <v/>
      </c>
      <c r="I327" s="292" t="str">
        <f>Overview!N327</f>
        <v/>
      </c>
    </row>
    <row r="328">
      <c r="A328" s="12" t="str">
        <f>Overview!A328</f>
        <v/>
      </c>
      <c r="B328" s="12" t="str">
        <f>Overview!B328</f>
        <v/>
      </c>
      <c r="C328" s="12" t="str">
        <f>Overview!C328</f>
        <v/>
      </c>
      <c r="D328" s="12" t="str">
        <f>Overview!D328</f>
        <v/>
      </c>
      <c r="E328" s="12" t="str">
        <f>Overview!E328</f>
        <v/>
      </c>
      <c r="F328" s="12" t="str">
        <f>Overview!K328</f>
        <v/>
      </c>
      <c r="G328" s="12" t="str">
        <f>Overview!L328</f>
        <v/>
      </c>
      <c r="H328" s="12" t="str">
        <f>Overview!M328</f>
        <v/>
      </c>
      <c r="I328" s="292" t="str">
        <f>Overview!N328</f>
        <v/>
      </c>
    </row>
    <row r="329">
      <c r="A329" s="12" t="str">
        <f>Overview!A329</f>
        <v/>
      </c>
      <c r="B329" s="12" t="str">
        <f>Overview!B329</f>
        <v/>
      </c>
      <c r="C329" s="12" t="str">
        <f>Overview!C329</f>
        <v/>
      </c>
      <c r="D329" s="12" t="str">
        <f>Overview!D329</f>
        <v/>
      </c>
      <c r="E329" s="12" t="str">
        <f>Overview!E329</f>
        <v/>
      </c>
      <c r="F329" s="12" t="str">
        <f>Overview!K329</f>
        <v/>
      </c>
      <c r="G329" s="12" t="str">
        <f>Overview!L329</f>
        <v/>
      </c>
      <c r="H329" s="12" t="str">
        <f>Overview!M329</f>
        <v/>
      </c>
      <c r="I329" s="292" t="str">
        <f>Overview!N329</f>
        <v/>
      </c>
    </row>
    <row r="330">
      <c r="A330" s="12" t="str">
        <f>Overview!A330</f>
        <v/>
      </c>
      <c r="B330" s="12" t="str">
        <f>Overview!B330</f>
        <v/>
      </c>
      <c r="C330" s="12" t="str">
        <f>Overview!C330</f>
        <v/>
      </c>
      <c r="D330" s="12" t="str">
        <f>Overview!D330</f>
        <v/>
      </c>
      <c r="E330" s="12" t="str">
        <f>Overview!E330</f>
        <v/>
      </c>
      <c r="F330" s="12" t="str">
        <f>Overview!K330</f>
        <v/>
      </c>
      <c r="G330" s="12" t="str">
        <f>Overview!L330</f>
        <v/>
      </c>
      <c r="H330" s="12" t="str">
        <f>Overview!M330</f>
        <v/>
      </c>
      <c r="I330" s="292" t="str">
        <f>Overview!N330</f>
        <v/>
      </c>
    </row>
    <row r="331">
      <c r="A331" s="12" t="str">
        <f>Overview!A331</f>
        <v/>
      </c>
      <c r="B331" s="12" t="str">
        <f>Overview!B331</f>
        <v/>
      </c>
      <c r="C331" s="12" t="str">
        <f>Overview!C331</f>
        <v/>
      </c>
      <c r="D331" s="12" t="str">
        <f>Overview!D331</f>
        <v/>
      </c>
      <c r="E331" s="12" t="str">
        <f>Overview!E331</f>
        <v/>
      </c>
      <c r="F331" s="12" t="str">
        <f>Overview!K331</f>
        <v/>
      </c>
      <c r="G331" s="12" t="str">
        <f>Overview!L331</f>
        <v/>
      </c>
      <c r="H331" s="12" t="str">
        <f>Overview!M331</f>
        <v/>
      </c>
      <c r="I331" s="292" t="str">
        <f>Overview!N331</f>
        <v/>
      </c>
    </row>
    <row r="332">
      <c r="A332" s="12" t="str">
        <f>Overview!A332</f>
        <v/>
      </c>
      <c r="B332" s="12" t="str">
        <f>Overview!B332</f>
        <v/>
      </c>
      <c r="C332" s="12" t="str">
        <f>Overview!C332</f>
        <v/>
      </c>
      <c r="D332" s="12" t="str">
        <f>Overview!D332</f>
        <v/>
      </c>
      <c r="E332" s="12" t="str">
        <f>Overview!E332</f>
        <v/>
      </c>
      <c r="F332" s="12" t="str">
        <f>Overview!K332</f>
        <v/>
      </c>
      <c r="G332" s="12" t="str">
        <f>Overview!L332</f>
        <v/>
      </c>
      <c r="H332" s="12" t="str">
        <f>Overview!M332</f>
        <v/>
      </c>
      <c r="I332" s="292" t="str">
        <f>Overview!N332</f>
        <v/>
      </c>
    </row>
    <row r="333">
      <c r="A333" s="12" t="str">
        <f>Overview!A333</f>
        <v/>
      </c>
      <c r="B333" s="12" t="str">
        <f>Overview!B333</f>
        <v/>
      </c>
      <c r="C333" s="12" t="str">
        <f>Overview!C333</f>
        <v/>
      </c>
      <c r="D333" s="12" t="str">
        <f>Overview!D333</f>
        <v/>
      </c>
      <c r="E333" s="12" t="str">
        <f>Overview!E333</f>
        <v/>
      </c>
      <c r="F333" s="12" t="str">
        <f>Overview!K333</f>
        <v/>
      </c>
      <c r="G333" s="12" t="str">
        <f>Overview!L333</f>
        <v/>
      </c>
      <c r="H333" s="12" t="str">
        <f>Overview!M333</f>
        <v/>
      </c>
      <c r="I333" s="292" t="str">
        <f>Overview!N333</f>
        <v/>
      </c>
    </row>
    <row r="334">
      <c r="A334" s="12" t="str">
        <f>Overview!A334</f>
        <v/>
      </c>
      <c r="B334" s="12" t="str">
        <f>Overview!B334</f>
        <v/>
      </c>
      <c r="C334" s="12" t="str">
        <f>Overview!C334</f>
        <v/>
      </c>
      <c r="D334" s="12" t="str">
        <f>Overview!D334</f>
        <v/>
      </c>
      <c r="E334" s="12" t="str">
        <f>Overview!E334</f>
        <v/>
      </c>
      <c r="F334" s="12" t="str">
        <f>Overview!K334</f>
        <v/>
      </c>
      <c r="G334" s="12" t="str">
        <f>Overview!L334</f>
        <v/>
      </c>
      <c r="H334" s="12" t="str">
        <f>Overview!M334</f>
        <v/>
      </c>
      <c r="I334" s="292" t="str">
        <f>Overview!N334</f>
        <v/>
      </c>
    </row>
    <row r="335">
      <c r="A335" s="12" t="str">
        <f>Overview!A335</f>
        <v/>
      </c>
      <c r="B335" s="12" t="str">
        <f>Overview!B335</f>
        <v/>
      </c>
      <c r="C335" s="12" t="str">
        <f>Overview!C335</f>
        <v/>
      </c>
      <c r="D335" s="12" t="str">
        <f>Overview!D335</f>
        <v/>
      </c>
      <c r="E335" s="12" t="str">
        <f>Overview!E335</f>
        <v/>
      </c>
      <c r="F335" s="12" t="str">
        <f>Overview!K335</f>
        <v/>
      </c>
      <c r="G335" s="12" t="str">
        <f>Overview!L335</f>
        <v/>
      </c>
      <c r="H335" s="12" t="str">
        <f>Overview!M335</f>
        <v/>
      </c>
      <c r="I335" s="292" t="str">
        <f>Overview!N335</f>
        <v/>
      </c>
    </row>
    <row r="336">
      <c r="A336" s="12" t="str">
        <f>Overview!A336</f>
        <v/>
      </c>
      <c r="B336" s="12" t="str">
        <f>Overview!B336</f>
        <v/>
      </c>
      <c r="C336" s="12" t="str">
        <f>Overview!C336</f>
        <v/>
      </c>
      <c r="D336" s="12" t="str">
        <f>Overview!D336</f>
        <v/>
      </c>
      <c r="E336" s="12" t="str">
        <f>Overview!E336</f>
        <v/>
      </c>
      <c r="F336" s="12" t="str">
        <f>Overview!K336</f>
        <v/>
      </c>
      <c r="G336" s="12" t="str">
        <f>Overview!L336</f>
        <v/>
      </c>
      <c r="H336" s="12" t="str">
        <f>Overview!M336</f>
        <v/>
      </c>
      <c r="I336" s="292" t="str">
        <f>Overview!N336</f>
        <v/>
      </c>
    </row>
    <row r="337">
      <c r="A337" s="12" t="str">
        <f>Overview!A337</f>
        <v/>
      </c>
      <c r="B337" s="12" t="str">
        <f>Overview!B337</f>
        <v/>
      </c>
      <c r="C337" s="12" t="str">
        <f>Overview!C337</f>
        <v/>
      </c>
      <c r="D337" s="12" t="str">
        <f>Overview!D337</f>
        <v/>
      </c>
      <c r="E337" s="12" t="str">
        <f>Overview!E337</f>
        <v/>
      </c>
      <c r="F337" s="12" t="str">
        <f>Overview!K337</f>
        <v/>
      </c>
      <c r="G337" s="12" t="str">
        <f>Overview!L337</f>
        <v/>
      </c>
      <c r="H337" s="12" t="str">
        <f>Overview!M337</f>
        <v/>
      </c>
      <c r="I337" s="292" t="str">
        <f>Overview!N337</f>
        <v/>
      </c>
    </row>
    <row r="338">
      <c r="A338" s="12" t="str">
        <f>Overview!A338</f>
        <v/>
      </c>
      <c r="B338" s="12" t="str">
        <f>Overview!B338</f>
        <v/>
      </c>
      <c r="C338" s="12" t="str">
        <f>Overview!C338</f>
        <v/>
      </c>
      <c r="D338" s="12" t="str">
        <f>Overview!D338</f>
        <v/>
      </c>
      <c r="E338" s="12" t="str">
        <f>Overview!E338</f>
        <v/>
      </c>
      <c r="F338" s="12" t="str">
        <f>Overview!K338</f>
        <v/>
      </c>
      <c r="G338" s="12" t="str">
        <f>Overview!L338</f>
        <v/>
      </c>
      <c r="H338" s="12" t="str">
        <f>Overview!M338</f>
        <v/>
      </c>
      <c r="I338" s="292" t="str">
        <f>Overview!N338</f>
        <v/>
      </c>
    </row>
    <row r="339">
      <c r="A339" s="12" t="str">
        <f>Overview!A339</f>
        <v/>
      </c>
      <c r="B339" s="12" t="str">
        <f>Overview!B339</f>
        <v/>
      </c>
      <c r="C339" s="12" t="str">
        <f>Overview!C339</f>
        <v/>
      </c>
      <c r="D339" s="12" t="str">
        <f>Overview!D339</f>
        <v/>
      </c>
      <c r="E339" s="12" t="str">
        <f>Overview!E339</f>
        <v/>
      </c>
      <c r="F339" s="12" t="str">
        <f>Overview!K339</f>
        <v/>
      </c>
      <c r="G339" s="12" t="str">
        <f>Overview!L339</f>
        <v/>
      </c>
      <c r="H339" s="12" t="str">
        <f>Overview!M339</f>
        <v/>
      </c>
      <c r="I339" s="292" t="str">
        <f>Overview!N339</f>
        <v/>
      </c>
    </row>
    <row r="340">
      <c r="A340" s="12" t="str">
        <f>Overview!A340</f>
        <v/>
      </c>
      <c r="B340" s="12" t="str">
        <f>Overview!B340</f>
        <v/>
      </c>
      <c r="C340" s="12" t="str">
        <f>Overview!C340</f>
        <v/>
      </c>
      <c r="D340" s="12" t="str">
        <f>Overview!D340</f>
        <v/>
      </c>
      <c r="E340" s="12" t="str">
        <f>Overview!E340</f>
        <v/>
      </c>
      <c r="F340" s="12" t="str">
        <f>Overview!K340</f>
        <v/>
      </c>
      <c r="G340" s="12" t="str">
        <f>Overview!L340</f>
        <v/>
      </c>
      <c r="H340" s="12" t="str">
        <f>Overview!M340</f>
        <v/>
      </c>
      <c r="I340" s="292" t="str">
        <f>Overview!N340</f>
        <v/>
      </c>
    </row>
    <row r="341">
      <c r="A341" s="12" t="str">
        <f>Overview!A341</f>
        <v/>
      </c>
      <c r="B341" s="12" t="str">
        <f>Overview!B341</f>
        <v/>
      </c>
      <c r="C341" s="12" t="str">
        <f>Overview!C341</f>
        <v/>
      </c>
      <c r="D341" s="12" t="str">
        <f>Overview!D341</f>
        <v/>
      </c>
      <c r="E341" s="12" t="str">
        <f>Overview!E341</f>
        <v/>
      </c>
      <c r="F341" s="12" t="str">
        <f>Overview!K341</f>
        <v/>
      </c>
      <c r="G341" s="12" t="str">
        <f>Overview!L341</f>
        <v/>
      </c>
      <c r="H341" s="12" t="str">
        <f>Overview!M341</f>
        <v/>
      </c>
      <c r="I341" s="292" t="str">
        <f>Overview!N341</f>
        <v/>
      </c>
    </row>
    <row r="342">
      <c r="A342" s="12" t="str">
        <f>Overview!A342</f>
        <v/>
      </c>
      <c r="B342" s="12" t="str">
        <f>Overview!B342</f>
        <v/>
      </c>
      <c r="C342" s="12" t="str">
        <f>Overview!C342</f>
        <v/>
      </c>
      <c r="D342" s="12" t="str">
        <f>Overview!D342</f>
        <v/>
      </c>
      <c r="E342" s="12" t="str">
        <f>Overview!E342</f>
        <v/>
      </c>
      <c r="F342" s="12" t="str">
        <f>Overview!K342</f>
        <v/>
      </c>
      <c r="G342" s="12" t="str">
        <f>Overview!L342</f>
        <v/>
      </c>
      <c r="H342" s="12" t="str">
        <f>Overview!M342</f>
        <v/>
      </c>
      <c r="I342" s="292" t="str">
        <f>Overview!N342</f>
        <v/>
      </c>
    </row>
    <row r="343">
      <c r="A343" s="12" t="str">
        <f>Overview!A343</f>
        <v/>
      </c>
      <c r="B343" s="12" t="str">
        <f>Overview!B343</f>
        <v/>
      </c>
      <c r="C343" s="12" t="str">
        <f>Overview!C343</f>
        <v/>
      </c>
      <c r="D343" s="12" t="str">
        <f>Overview!D343</f>
        <v/>
      </c>
      <c r="E343" s="12" t="str">
        <f>Overview!E343</f>
        <v/>
      </c>
      <c r="F343" s="12" t="str">
        <f>Overview!K343</f>
        <v/>
      </c>
      <c r="G343" s="12" t="str">
        <f>Overview!L343</f>
        <v/>
      </c>
      <c r="H343" s="12" t="str">
        <f>Overview!M343</f>
        <v/>
      </c>
      <c r="I343" s="292" t="str">
        <f>Overview!N343</f>
        <v/>
      </c>
    </row>
    <row r="344">
      <c r="A344" s="12" t="str">
        <f>Overview!A344</f>
        <v/>
      </c>
      <c r="B344" s="12" t="str">
        <f>Overview!B344</f>
        <v/>
      </c>
      <c r="C344" s="12" t="str">
        <f>Overview!C344</f>
        <v/>
      </c>
      <c r="D344" s="12" t="str">
        <f>Overview!D344</f>
        <v/>
      </c>
      <c r="E344" s="12" t="str">
        <f>Overview!E344</f>
        <v/>
      </c>
      <c r="F344" s="12" t="str">
        <f>Overview!K344</f>
        <v/>
      </c>
      <c r="G344" s="12" t="str">
        <f>Overview!L344</f>
        <v/>
      </c>
      <c r="H344" s="12" t="str">
        <f>Overview!M344</f>
        <v/>
      </c>
      <c r="I344" s="292" t="str">
        <f>Overview!N344</f>
        <v/>
      </c>
    </row>
    <row r="345">
      <c r="A345" s="12" t="str">
        <f>Overview!A345</f>
        <v/>
      </c>
      <c r="B345" s="12" t="str">
        <f>Overview!B345</f>
        <v/>
      </c>
      <c r="C345" s="12" t="str">
        <f>Overview!C345</f>
        <v/>
      </c>
      <c r="D345" s="12" t="str">
        <f>Overview!D345</f>
        <v/>
      </c>
      <c r="E345" s="12" t="str">
        <f>Overview!E345</f>
        <v/>
      </c>
      <c r="F345" s="12" t="str">
        <f>Overview!K345</f>
        <v/>
      </c>
      <c r="G345" s="12" t="str">
        <f>Overview!L345</f>
        <v/>
      </c>
      <c r="H345" s="12" t="str">
        <f>Overview!M345</f>
        <v/>
      </c>
      <c r="I345" s="292" t="str">
        <f>Overview!N345</f>
        <v/>
      </c>
    </row>
    <row r="346">
      <c r="A346" s="12" t="str">
        <f>Overview!A346</f>
        <v/>
      </c>
      <c r="B346" s="12" t="str">
        <f>Overview!B346</f>
        <v/>
      </c>
      <c r="C346" s="12" t="str">
        <f>Overview!C346</f>
        <v/>
      </c>
      <c r="D346" s="12" t="str">
        <f>Overview!D346</f>
        <v/>
      </c>
      <c r="E346" s="12" t="str">
        <f>Overview!E346</f>
        <v/>
      </c>
      <c r="F346" s="12" t="str">
        <f>Overview!K346</f>
        <v/>
      </c>
      <c r="G346" s="12" t="str">
        <f>Overview!L346</f>
        <v/>
      </c>
      <c r="H346" s="12" t="str">
        <f>Overview!M346</f>
        <v/>
      </c>
      <c r="I346" s="292" t="str">
        <f>Overview!N346</f>
        <v/>
      </c>
    </row>
    <row r="347">
      <c r="A347" s="12" t="str">
        <f>Overview!A347</f>
        <v/>
      </c>
      <c r="B347" s="12" t="str">
        <f>Overview!B347</f>
        <v/>
      </c>
      <c r="C347" s="12" t="str">
        <f>Overview!C347</f>
        <v/>
      </c>
      <c r="D347" s="12" t="str">
        <f>Overview!D347</f>
        <v/>
      </c>
      <c r="E347" s="12" t="str">
        <f>Overview!E347</f>
        <v/>
      </c>
      <c r="F347" s="12" t="str">
        <f>Overview!K347</f>
        <v/>
      </c>
      <c r="G347" s="12" t="str">
        <f>Overview!L347</f>
        <v/>
      </c>
      <c r="H347" s="12" t="str">
        <f>Overview!M347</f>
        <v/>
      </c>
      <c r="I347" s="292" t="str">
        <f>Overview!N347</f>
        <v/>
      </c>
    </row>
    <row r="348">
      <c r="A348" s="12" t="str">
        <f>Overview!A348</f>
        <v/>
      </c>
      <c r="B348" s="12" t="str">
        <f>Overview!B348</f>
        <v/>
      </c>
      <c r="C348" s="12" t="str">
        <f>Overview!C348</f>
        <v/>
      </c>
      <c r="D348" s="12" t="str">
        <f>Overview!D348</f>
        <v/>
      </c>
      <c r="E348" s="12" t="str">
        <f>Overview!E348</f>
        <v/>
      </c>
      <c r="F348" s="12" t="str">
        <f>Overview!K348</f>
        <v/>
      </c>
      <c r="G348" s="12" t="str">
        <f>Overview!L348</f>
        <v/>
      </c>
      <c r="H348" s="12" t="str">
        <f>Overview!M348</f>
        <v/>
      </c>
      <c r="I348" s="292" t="str">
        <f>Overview!N348</f>
        <v/>
      </c>
    </row>
    <row r="349">
      <c r="A349" s="12" t="str">
        <f>Overview!A349</f>
        <v/>
      </c>
      <c r="B349" s="12" t="str">
        <f>Overview!B349</f>
        <v/>
      </c>
      <c r="C349" s="12" t="str">
        <f>Overview!C349</f>
        <v/>
      </c>
      <c r="D349" s="12" t="str">
        <f>Overview!D349</f>
        <v/>
      </c>
      <c r="E349" s="12" t="str">
        <f>Overview!E349</f>
        <v/>
      </c>
      <c r="F349" s="12" t="str">
        <f>Overview!K349</f>
        <v/>
      </c>
      <c r="G349" s="12" t="str">
        <f>Overview!L349</f>
        <v/>
      </c>
      <c r="H349" s="12" t="str">
        <f>Overview!M349</f>
        <v/>
      </c>
      <c r="I349" s="292" t="str">
        <f>Overview!N349</f>
        <v/>
      </c>
    </row>
    <row r="350">
      <c r="A350" s="12" t="str">
        <f>Overview!A350</f>
        <v/>
      </c>
      <c r="B350" s="12" t="str">
        <f>Overview!B350</f>
        <v/>
      </c>
      <c r="C350" s="12" t="str">
        <f>Overview!C350</f>
        <v/>
      </c>
      <c r="D350" s="12" t="str">
        <f>Overview!D350</f>
        <v/>
      </c>
      <c r="E350" s="12" t="str">
        <f>Overview!E350</f>
        <v/>
      </c>
      <c r="F350" s="12" t="str">
        <f>Overview!K350</f>
        <v/>
      </c>
      <c r="G350" s="12" t="str">
        <f>Overview!L350</f>
        <v/>
      </c>
      <c r="H350" s="12" t="str">
        <f>Overview!M350</f>
        <v/>
      </c>
      <c r="I350" s="292" t="str">
        <f>Overview!N350</f>
        <v/>
      </c>
    </row>
    <row r="351">
      <c r="A351" s="12" t="str">
        <f>Overview!A351</f>
        <v/>
      </c>
      <c r="B351" s="12" t="str">
        <f>Overview!B351</f>
        <v/>
      </c>
      <c r="C351" s="12" t="str">
        <f>Overview!C351</f>
        <v/>
      </c>
      <c r="D351" s="12" t="str">
        <f>Overview!D351</f>
        <v/>
      </c>
      <c r="E351" s="12" t="str">
        <f>Overview!E351</f>
        <v/>
      </c>
      <c r="F351" s="12" t="str">
        <f>Overview!K351</f>
        <v/>
      </c>
      <c r="G351" s="12" t="str">
        <f>Overview!L351</f>
        <v/>
      </c>
      <c r="H351" s="12" t="str">
        <f>Overview!M351</f>
        <v/>
      </c>
      <c r="I351" s="292" t="str">
        <f>Overview!N351</f>
        <v/>
      </c>
    </row>
    <row r="352">
      <c r="A352" s="12" t="str">
        <f>Overview!A352</f>
        <v/>
      </c>
      <c r="B352" s="12" t="str">
        <f>Overview!B352</f>
        <v/>
      </c>
      <c r="C352" s="12" t="str">
        <f>Overview!C352</f>
        <v/>
      </c>
      <c r="D352" s="12" t="str">
        <f>Overview!D352</f>
        <v/>
      </c>
      <c r="E352" s="12" t="str">
        <f>Overview!E352</f>
        <v/>
      </c>
      <c r="F352" s="12" t="str">
        <f>Overview!K352</f>
        <v/>
      </c>
      <c r="G352" s="12" t="str">
        <f>Overview!L352</f>
        <v/>
      </c>
      <c r="H352" s="12" t="str">
        <f>Overview!M352</f>
        <v/>
      </c>
      <c r="I352" s="292" t="str">
        <f>Overview!N352</f>
        <v/>
      </c>
    </row>
    <row r="353">
      <c r="A353" s="12" t="str">
        <f>Overview!A353</f>
        <v/>
      </c>
      <c r="B353" s="12" t="str">
        <f>Overview!B353</f>
        <v/>
      </c>
      <c r="C353" s="12" t="str">
        <f>Overview!C353</f>
        <v/>
      </c>
      <c r="D353" s="12" t="str">
        <f>Overview!D353</f>
        <v/>
      </c>
      <c r="E353" s="12" t="str">
        <f>Overview!E353</f>
        <v/>
      </c>
      <c r="F353" s="12" t="str">
        <f>Overview!K353</f>
        <v/>
      </c>
      <c r="G353" s="12" t="str">
        <f>Overview!L353</f>
        <v/>
      </c>
      <c r="H353" s="12" t="str">
        <f>Overview!M353</f>
        <v/>
      </c>
      <c r="I353" s="292" t="str">
        <f>Overview!N353</f>
        <v/>
      </c>
    </row>
    <row r="354">
      <c r="A354" s="12" t="str">
        <f>Overview!A354</f>
        <v/>
      </c>
      <c r="B354" s="12" t="str">
        <f>Overview!B354</f>
        <v/>
      </c>
      <c r="C354" s="12" t="str">
        <f>Overview!C354</f>
        <v/>
      </c>
      <c r="D354" s="12" t="str">
        <f>Overview!D354</f>
        <v/>
      </c>
      <c r="E354" s="12" t="str">
        <f>Overview!E354</f>
        <v/>
      </c>
      <c r="F354" s="12" t="str">
        <f>Overview!K354</f>
        <v/>
      </c>
      <c r="G354" s="12" t="str">
        <f>Overview!L354</f>
        <v/>
      </c>
      <c r="H354" s="12" t="str">
        <f>Overview!M354</f>
        <v/>
      </c>
      <c r="I354" s="292" t="str">
        <f>Overview!N354</f>
        <v/>
      </c>
    </row>
    <row r="355">
      <c r="A355" s="12" t="str">
        <f>Overview!A355</f>
        <v/>
      </c>
      <c r="B355" s="12" t="str">
        <f>Overview!B355</f>
        <v/>
      </c>
      <c r="C355" s="12" t="str">
        <f>Overview!C355</f>
        <v/>
      </c>
      <c r="D355" s="12" t="str">
        <f>Overview!D355</f>
        <v/>
      </c>
      <c r="E355" s="12" t="str">
        <f>Overview!E355</f>
        <v/>
      </c>
      <c r="F355" s="12" t="str">
        <f>Overview!K355</f>
        <v/>
      </c>
      <c r="G355" s="12" t="str">
        <f>Overview!L355</f>
        <v/>
      </c>
      <c r="H355" s="12" t="str">
        <f>Overview!M355</f>
        <v/>
      </c>
      <c r="I355" s="292" t="str">
        <f>Overview!N355</f>
        <v/>
      </c>
    </row>
    <row r="356">
      <c r="A356" s="12" t="str">
        <f>Overview!A356</f>
        <v/>
      </c>
      <c r="B356" s="12" t="str">
        <f>Overview!B356</f>
        <v/>
      </c>
      <c r="C356" s="12" t="str">
        <f>Overview!C356</f>
        <v/>
      </c>
      <c r="D356" s="12" t="str">
        <f>Overview!D356</f>
        <v/>
      </c>
      <c r="E356" s="12" t="str">
        <f>Overview!E356</f>
        <v/>
      </c>
      <c r="F356" s="12" t="str">
        <f>Overview!K356</f>
        <v/>
      </c>
      <c r="G356" s="12" t="str">
        <f>Overview!L356</f>
        <v/>
      </c>
      <c r="H356" s="12" t="str">
        <f>Overview!M356</f>
        <v/>
      </c>
      <c r="I356" s="292" t="str">
        <f>Overview!N356</f>
        <v/>
      </c>
    </row>
    <row r="357">
      <c r="A357" s="12" t="str">
        <f>Overview!A357</f>
        <v/>
      </c>
      <c r="B357" s="12" t="str">
        <f>Overview!B357</f>
        <v/>
      </c>
      <c r="C357" s="12" t="str">
        <f>Overview!C357</f>
        <v/>
      </c>
      <c r="D357" s="12" t="str">
        <f>Overview!D357</f>
        <v/>
      </c>
      <c r="E357" s="12" t="str">
        <f>Overview!E357</f>
        <v/>
      </c>
      <c r="F357" s="12" t="str">
        <f>Overview!K357</f>
        <v/>
      </c>
      <c r="G357" s="12" t="str">
        <f>Overview!L357</f>
        <v/>
      </c>
      <c r="H357" s="12" t="str">
        <f>Overview!M357</f>
        <v/>
      </c>
      <c r="I357" s="292" t="str">
        <f>Overview!N357</f>
        <v/>
      </c>
    </row>
    <row r="358">
      <c r="A358" s="12" t="str">
        <f>Overview!A358</f>
        <v/>
      </c>
      <c r="B358" s="12" t="str">
        <f>Overview!B358</f>
        <v/>
      </c>
      <c r="C358" s="12" t="str">
        <f>Overview!C358</f>
        <v/>
      </c>
      <c r="D358" s="12" t="str">
        <f>Overview!D358</f>
        <v/>
      </c>
      <c r="E358" s="12" t="str">
        <f>Overview!E358</f>
        <v/>
      </c>
      <c r="F358" s="12" t="str">
        <f>Overview!K358</f>
        <v/>
      </c>
      <c r="G358" s="12" t="str">
        <f>Overview!L358</f>
        <v/>
      </c>
      <c r="H358" s="12" t="str">
        <f>Overview!M358</f>
        <v/>
      </c>
      <c r="I358" s="292" t="str">
        <f>Overview!N358</f>
        <v/>
      </c>
    </row>
    <row r="359">
      <c r="A359" s="12" t="str">
        <f>Overview!A359</f>
        <v/>
      </c>
      <c r="B359" s="12" t="str">
        <f>Overview!B359</f>
        <v/>
      </c>
      <c r="C359" s="12" t="str">
        <f>Overview!C359</f>
        <v/>
      </c>
      <c r="D359" s="12" t="str">
        <f>Overview!D359</f>
        <v/>
      </c>
      <c r="E359" s="12" t="str">
        <f>Overview!E359</f>
        <v/>
      </c>
      <c r="F359" s="12" t="str">
        <f>Overview!K359</f>
        <v/>
      </c>
      <c r="G359" s="12" t="str">
        <f>Overview!L359</f>
        <v/>
      </c>
      <c r="H359" s="12" t="str">
        <f>Overview!M359</f>
        <v/>
      </c>
      <c r="I359" s="292" t="str">
        <f>Overview!N359</f>
        <v/>
      </c>
    </row>
    <row r="360">
      <c r="A360" s="12" t="str">
        <f>Overview!A360</f>
        <v/>
      </c>
      <c r="B360" s="12" t="str">
        <f>Overview!B360</f>
        <v/>
      </c>
      <c r="C360" s="12" t="str">
        <f>Overview!C360</f>
        <v/>
      </c>
      <c r="D360" s="12" t="str">
        <f>Overview!D360</f>
        <v/>
      </c>
      <c r="E360" s="12" t="str">
        <f>Overview!E360</f>
        <v/>
      </c>
      <c r="F360" s="12" t="str">
        <f>Overview!K360</f>
        <v/>
      </c>
      <c r="G360" s="12" t="str">
        <f>Overview!L360</f>
        <v/>
      </c>
      <c r="H360" s="12" t="str">
        <f>Overview!M360</f>
        <v/>
      </c>
      <c r="I360" s="292" t="str">
        <f>Overview!N360</f>
        <v/>
      </c>
    </row>
    <row r="361">
      <c r="A361" s="12" t="str">
        <f>Overview!A361</f>
        <v/>
      </c>
      <c r="B361" s="12" t="str">
        <f>Overview!B361</f>
        <v/>
      </c>
      <c r="C361" s="12" t="str">
        <f>Overview!C361</f>
        <v/>
      </c>
      <c r="D361" s="12" t="str">
        <f>Overview!D361</f>
        <v/>
      </c>
      <c r="E361" s="12" t="str">
        <f>Overview!E361</f>
        <v/>
      </c>
      <c r="F361" s="12" t="str">
        <f>Overview!K361</f>
        <v/>
      </c>
      <c r="G361" s="12" t="str">
        <f>Overview!L361</f>
        <v/>
      </c>
      <c r="H361" s="12" t="str">
        <f>Overview!M361</f>
        <v/>
      </c>
      <c r="I361" s="292" t="str">
        <f>Overview!N361</f>
        <v/>
      </c>
    </row>
    <row r="362">
      <c r="A362" s="12" t="str">
        <f>Overview!A362</f>
        <v/>
      </c>
      <c r="B362" s="12" t="str">
        <f>Overview!B362</f>
        <v/>
      </c>
      <c r="C362" s="12" t="str">
        <f>Overview!C362</f>
        <v/>
      </c>
      <c r="D362" s="12" t="str">
        <f>Overview!D362</f>
        <v/>
      </c>
      <c r="E362" s="12" t="str">
        <f>Overview!E362</f>
        <v/>
      </c>
      <c r="F362" s="12" t="str">
        <f>Overview!K362</f>
        <v/>
      </c>
      <c r="G362" s="12" t="str">
        <f>Overview!L362</f>
        <v/>
      </c>
      <c r="H362" s="12" t="str">
        <f>Overview!M362</f>
        <v/>
      </c>
      <c r="I362" s="292" t="str">
        <f>Overview!N362</f>
        <v/>
      </c>
    </row>
    <row r="363">
      <c r="A363" s="12" t="str">
        <f>Overview!A363</f>
        <v/>
      </c>
      <c r="B363" s="12" t="str">
        <f>Overview!B363</f>
        <v/>
      </c>
      <c r="C363" s="12" t="str">
        <f>Overview!C363</f>
        <v/>
      </c>
      <c r="D363" s="12" t="str">
        <f>Overview!D363</f>
        <v/>
      </c>
      <c r="E363" s="12" t="str">
        <f>Overview!E363</f>
        <v/>
      </c>
      <c r="F363" s="12" t="str">
        <f>Overview!K363</f>
        <v/>
      </c>
      <c r="G363" s="12" t="str">
        <f>Overview!L363</f>
        <v/>
      </c>
      <c r="H363" s="12" t="str">
        <f>Overview!M363</f>
        <v/>
      </c>
      <c r="I363" s="292" t="str">
        <f>Overview!N363</f>
        <v/>
      </c>
    </row>
    <row r="364">
      <c r="A364" s="12" t="str">
        <f>Overview!A364</f>
        <v/>
      </c>
      <c r="B364" s="12" t="str">
        <f>Overview!B364</f>
        <v/>
      </c>
      <c r="C364" s="12" t="str">
        <f>Overview!C364</f>
        <v/>
      </c>
      <c r="D364" s="12" t="str">
        <f>Overview!D364</f>
        <v/>
      </c>
      <c r="E364" s="12" t="str">
        <f>Overview!E364</f>
        <v/>
      </c>
      <c r="F364" s="12" t="str">
        <f>Overview!K364</f>
        <v/>
      </c>
      <c r="G364" s="12" t="str">
        <f>Overview!L364</f>
        <v/>
      </c>
      <c r="H364" s="12" t="str">
        <f>Overview!M364</f>
        <v/>
      </c>
      <c r="I364" s="292" t="str">
        <f>Overview!N364</f>
        <v/>
      </c>
    </row>
    <row r="365">
      <c r="A365" s="12" t="str">
        <f>Overview!A365</f>
        <v/>
      </c>
      <c r="B365" s="12" t="str">
        <f>Overview!B365</f>
        <v/>
      </c>
      <c r="C365" s="12" t="str">
        <f>Overview!C365</f>
        <v/>
      </c>
      <c r="D365" s="12" t="str">
        <f>Overview!D365</f>
        <v/>
      </c>
      <c r="E365" s="12" t="str">
        <f>Overview!E365</f>
        <v/>
      </c>
      <c r="F365" s="12" t="str">
        <f>Overview!K365</f>
        <v/>
      </c>
      <c r="G365" s="12" t="str">
        <f>Overview!L365</f>
        <v/>
      </c>
      <c r="H365" s="12" t="str">
        <f>Overview!M365</f>
        <v/>
      </c>
      <c r="I365" s="292" t="str">
        <f>Overview!N365</f>
        <v/>
      </c>
    </row>
    <row r="366">
      <c r="A366" s="12" t="str">
        <f>Overview!A366</f>
        <v/>
      </c>
      <c r="B366" s="12" t="str">
        <f>Overview!B366</f>
        <v/>
      </c>
      <c r="C366" s="12" t="str">
        <f>Overview!C366</f>
        <v/>
      </c>
      <c r="D366" s="12" t="str">
        <f>Overview!D366</f>
        <v/>
      </c>
      <c r="E366" s="12" t="str">
        <f>Overview!E366</f>
        <v/>
      </c>
      <c r="F366" s="12" t="str">
        <f>Overview!K366</f>
        <v/>
      </c>
      <c r="G366" s="12" t="str">
        <f>Overview!L366</f>
        <v/>
      </c>
      <c r="H366" s="12" t="str">
        <f>Overview!M366</f>
        <v/>
      </c>
      <c r="I366" s="292" t="str">
        <f>Overview!N366</f>
        <v/>
      </c>
    </row>
    <row r="367">
      <c r="A367" s="12" t="str">
        <f>Overview!A367</f>
        <v/>
      </c>
      <c r="B367" s="12" t="str">
        <f>Overview!B367</f>
        <v/>
      </c>
      <c r="C367" s="12" t="str">
        <f>Overview!C367</f>
        <v/>
      </c>
      <c r="D367" s="12" t="str">
        <f>Overview!D367</f>
        <v/>
      </c>
      <c r="E367" s="12" t="str">
        <f>Overview!E367</f>
        <v/>
      </c>
      <c r="F367" s="12" t="str">
        <f>Overview!K367</f>
        <v/>
      </c>
      <c r="G367" s="12" t="str">
        <f>Overview!L367</f>
        <v/>
      </c>
      <c r="H367" s="12" t="str">
        <f>Overview!M367</f>
        <v/>
      </c>
      <c r="I367" s="292" t="str">
        <f>Overview!N367</f>
        <v/>
      </c>
    </row>
    <row r="368">
      <c r="A368" s="12" t="str">
        <f>Overview!A368</f>
        <v/>
      </c>
      <c r="B368" s="12" t="str">
        <f>Overview!B368</f>
        <v/>
      </c>
      <c r="C368" s="12" t="str">
        <f>Overview!C368</f>
        <v/>
      </c>
      <c r="D368" s="12" t="str">
        <f>Overview!D368</f>
        <v/>
      </c>
      <c r="E368" s="12" t="str">
        <f>Overview!E368</f>
        <v/>
      </c>
      <c r="F368" s="12" t="str">
        <f>Overview!K368</f>
        <v/>
      </c>
      <c r="G368" s="12" t="str">
        <f>Overview!L368</f>
        <v/>
      </c>
      <c r="H368" s="12" t="str">
        <f>Overview!M368</f>
        <v/>
      </c>
      <c r="I368" s="292" t="str">
        <f>Overview!N368</f>
        <v/>
      </c>
    </row>
    <row r="369">
      <c r="A369" s="12" t="str">
        <f>Overview!A369</f>
        <v/>
      </c>
      <c r="B369" s="12" t="str">
        <f>Overview!B369</f>
        <v/>
      </c>
      <c r="C369" s="12" t="str">
        <f>Overview!C369</f>
        <v/>
      </c>
      <c r="D369" s="12" t="str">
        <f>Overview!D369</f>
        <v/>
      </c>
      <c r="E369" s="12" t="str">
        <f>Overview!E369</f>
        <v/>
      </c>
      <c r="F369" s="12" t="str">
        <f>Overview!K369</f>
        <v/>
      </c>
      <c r="G369" s="12" t="str">
        <f>Overview!L369</f>
        <v/>
      </c>
      <c r="H369" s="12" t="str">
        <f>Overview!M369</f>
        <v/>
      </c>
      <c r="I369" s="292" t="str">
        <f>Overview!N369</f>
        <v/>
      </c>
    </row>
    <row r="370">
      <c r="A370" s="12" t="str">
        <f>Overview!A370</f>
        <v/>
      </c>
      <c r="B370" s="12" t="str">
        <f>Overview!B370</f>
        <v/>
      </c>
      <c r="C370" s="12" t="str">
        <f>Overview!C370</f>
        <v/>
      </c>
      <c r="D370" s="12" t="str">
        <f>Overview!D370</f>
        <v/>
      </c>
      <c r="E370" s="12" t="str">
        <f>Overview!E370</f>
        <v/>
      </c>
      <c r="F370" s="12" t="str">
        <f>Overview!K370</f>
        <v/>
      </c>
      <c r="G370" s="12" t="str">
        <f>Overview!L370</f>
        <v/>
      </c>
      <c r="H370" s="12" t="str">
        <f>Overview!M370</f>
        <v/>
      </c>
      <c r="I370" s="292" t="str">
        <f>Overview!N370</f>
        <v/>
      </c>
    </row>
    <row r="371">
      <c r="A371" s="12" t="str">
        <f>Overview!A371</f>
        <v/>
      </c>
      <c r="B371" s="12" t="str">
        <f>Overview!B371</f>
        <v/>
      </c>
      <c r="C371" s="12" t="str">
        <f>Overview!C371</f>
        <v/>
      </c>
      <c r="D371" s="12" t="str">
        <f>Overview!D371</f>
        <v/>
      </c>
      <c r="E371" s="12" t="str">
        <f>Overview!E371</f>
        <v/>
      </c>
      <c r="F371" s="12" t="str">
        <f>Overview!K371</f>
        <v/>
      </c>
      <c r="G371" s="12" t="str">
        <f>Overview!L371</f>
        <v/>
      </c>
      <c r="H371" s="12" t="str">
        <f>Overview!M371</f>
        <v/>
      </c>
      <c r="I371" s="292" t="str">
        <f>Overview!N371</f>
        <v/>
      </c>
    </row>
    <row r="372">
      <c r="A372" s="12" t="str">
        <f>Overview!A372</f>
        <v/>
      </c>
      <c r="B372" s="12" t="str">
        <f>Overview!B372</f>
        <v/>
      </c>
      <c r="C372" s="12" t="str">
        <f>Overview!C372</f>
        <v/>
      </c>
      <c r="D372" s="12" t="str">
        <f>Overview!D372</f>
        <v/>
      </c>
      <c r="E372" s="12" t="str">
        <f>Overview!E372</f>
        <v/>
      </c>
      <c r="F372" s="12" t="str">
        <f>Overview!K372</f>
        <v/>
      </c>
      <c r="G372" s="12" t="str">
        <f>Overview!L372</f>
        <v/>
      </c>
      <c r="H372" s="12" t="str">
        <f>Overview!M372</f>
        <v/>
      </c>
      <c r="I372" s="292" t="str">
        <f>Overview!N372</f>
        <v/>
      </c>
    </row>
    <row r="373">
      <c r="A373" s="12" t="str">
        <f>Overview!A373</f>
        <v/>
      </c>
      <c r="B373" s="12" t="str">
        <f>Overview!B373</f>
        <v/>
      </c>
      <c r="C373" s="12" t="str">
        <f>Overview!C373</f>
        <v/>
      </c>
      <c r="D373" s="12" t="str">
        <f>Overview!D373</f>
        <v/>
      </c>
      <c r="E373" s="12" t="str">
        <f>Overview!E373</f>
        <v/>
      </c>
      <c r="F373" s="12" t="str">
        <f>Overview!K373</f>
        <v/>
      </c>
      <c r="G373" s="12" t="str">
        <f>Overview!L373</f>
        <v/>
      </c>
      <c r="H373" s="12" t="str">
        <f>Overview!M373</f>
        <v/>
      </c>
      <c r="I373" s="292" t="str">
        <f>Overview!N373</f>
        <v/>
      </c>
    </row>
    <row r="374">
      <c r="A374" s="12" t="str">
        <f>Overview!A374</f>
        <v/>
      </c>
      <c r="B374" s="12" t="str">
        <f>Overview!B374</f>
        <v/>
      </c>
      <c r="C374" s="12" t="str">
        <f>Overview!C374</f>
        <v/>
      </c>
      <c r="D374" s="12" t="str">
        <f>Overview!D374</f>
        <v/>
      </c>
      <c r="E374" s="12" t="str">
        <f>Overview!E374</f>
        <v/>
      </c>
      <c r="F374" s="12" t="str">
        <f>Overview!K374</f>
        <v/>
      </c>
      <c r="G374" s="12" t="str">
        <f>Overview!L374</f>
        <v/>
      </c>
      <c r="H374" s="12" t="str">
        <f>Overview!M374</f>
        <v/>
      </c>
      <c r="I374" s="292" t="str">
        <f>Overview!N374</f>
        <v/>
      </c>
    </row>
    <row r="375">
      <c r="A375" s="12" t="str">
        <f>Overview!A375</f>
        <v/>
      </c>
      <c r="B375" s="12" t="str">
        <f>Overview!B375</f>
        <v/>
      </c>
      <c r="C375" s="12" t="str">
        <f>Overview!C375</f>
        <v/>
      </c>
      <c r="D375" s="12" t="str">
        <f>Overview!D375</f>
        <v/>
      </c>
      <c r="E375" s="12" t="str">
        <f>Overview!E375</f>
        <v/>
      </c>
      <c r="F375" s="12" t="str">
        <f>Overview!K375</f>
        <v/>
      </c>
      <c r="G375" s="12" t="str">
        <f>Overview!L375</f>
        <v/>
      </c>
      <c r="H375" s="12" t="str">
        <f>Overview!M375</f>
        <v/>
      </c>
      <c r="I375" s="292" t="str">
        <f>Overview!N375</f>
        <v/>
      </c>
    </row>
    <row r="376">
      <c r="A376" s="12" t="str">
        <f>Overview!A376</f>
        <v/>
      </c>
      <c r="B376" s="12" t="str">
        <f>Overview!B376</f>
        <v/>
      </c>
      <c r="C376" s="12" t="str">
        <f>Overview!C376</f>
        <v/>
      </c>
      <c r="D376" s="12" t="str">
        <f>Overview!D376</f>
        <v/>
      </c>
      <c r="E376" s="12" t="str">
        <f>Overview!E376</f>
        <v/>
      </c>
      <c r="F376" s="12" t="str">
        <f>Overview!K376</f>
        <v/>
      </c>
      <c r="G376" s="12" t="str">
        <f>Overview!L376</f>
        <v/>
      </c>
      <c r="H376" s="12" t="str">
        <f>Overview!M376</f>
        <v/>
      </c>
      <c r="I376" s="292" t="str">
        <f>Overview!N376</f>
        <v/>
      </c>
    </row>
    <row r="377">
      <c r="A377" s="12" t="str">
        <f>Overview!A377</f>
        <v/>
      </c>
      <c r="B377" s="12" t="str">
        <f>Overview!B377</f>
        <v/>
      </c>
      <c r="C377" s="12" t="str">
        <f>Overview!C377</f>
        <v/>
      </c>
      <c r="D377" s="12" t="str">
        <f>Overview!D377</f>
        <v/>
      </c>
      <c r="E377" s="12" t="str">
        <f>Overview!E377</f>
        <v/>
      </c>
      <c r="F377" s="12" t="str">
        <f>Overview!K377</f>
        <v/>
      </c>
      <c r="G377" s="12" t="str">
        <f>Overview!L377</f>
        <v/>
      </c>
      <c r="H377" s="12" t="str">
        <f>Overview!M377</f>
        <v/>
      </c>
      <c r="I377" s="292" t="str">
        <f>Overview!N377</f>
        <v/>
      </c>
    </row>
    <row r="378">
      <c r="A378" s="12" t="str">
        <f>Overview!A378</f>
        <v/>
      </c>
      <c r="B378" s="12" t="str">
        <f>Overview!B378</f>
        <v/>
      </c>
      <c r="C378" s="12" t="str">
        <f>Overview!C378</f>
        <v/>
      </c>
      <c r="D378" s="12" t="str">
        <f>Overview!D378</f>
        <v/>
      </c>
      <c r="E378" s="12" t="str">
        <f>Overview!E378</f>
        <v/>
      </c>
      <c r="F378" s="12" t="str">
        <f>Overview!K378</f>
        <v/>
      </c>
      <c r="G378" s="12" t="str">
        <f>Overview!L378</f>
        <v/>
      </c>
      <c r="H378" s="12" t="str">
        <f>Overview!M378</f>
        <v/>
      </c>
      <c r="I378" s="292" t="str">
        <f>Overview!N378</f>
        <v/>
      </c>
    </row>
    <row r="379">
      <c r="A379" s="12" t="str">
        <f>Overview!A379</f>
        <v/>
      </c>
      <c r="B379" s="12" t="str">
        <f>Overview!B379</f>
        <v/>
      </c>
      <c r="C379" s="12" t="str">
        <f>Overview!C379</f>
        <v/>
      </c>
      <c r="D379" s="12" t="str">
        <f>Overview!D379</f>
        <v/>
      </c>
      <c r="E379" s="12" t="str">
        <f>Overview!E379</f>
        <v/>
      </c>
      <c r="F379" s="12" t="str">
        <f>Overview!K379</f>
        <v/>
      </c>
      <c r="G379" s="12" t="str">
        <f>Overview!L379</f>
        <v/>
      </c>
      <c r="H379" s="12" t="str">
        <f>Overview!M379</f>
        <v/>
      </c>
      <c r="I379" s="292" t="str">
        <f>Overview!N379</f>
        <v/>
      </c>
    </row>
    <row r="380">
      <c r="A380" s="12" t="str">
        <f>Overview!A380</f>
        <v/>
      </c>
      <c r="B380" s="12" t="str">
        <f>Overview!B380</f>
        <v/>
      </c>
      <c r="C380" s="12" t="str">
        <f>Overview!C380</f>
        <v/>
      </c>
      <c r="D380" s="12" t="str">
        <f>Overview!D380</f>
        <v/>
      </c>
      <c r="E380" s="12" t="str">
        <f>Overview!E380</f>
        <v/>
      </c>
      <c r="F380" s="12" t="str">
        <f>Overview!K380</f>
        <v/>
      </c>
      <c r="G380" s="12" t="str">
        <f>Overview!L380</f>
        <v/>
      </c>
      <c r="H380" s="12" t="str">
        <f>Overview!M380</f>
        <v/>
      </c>
      <c r="I380" s="292" t="str">
        <f>Overview!N380</f>
        <v/>
      </c>
    </row>
    <row r="381">
      <c r="A381" s="12" t="str">
        <f>Overview!A381</f>
        <v/>
      </c>
      <c r="B381" s="12" t="str">
        <f>Overview!B381</f>
        <v/>
      </c>
      <c r="C381" s="12" t="str">
        <f>Overview!C381</f>
        <v/>
      </c>
      <c r="D381" s="12" t="str">
        <f>Overview!D381</f>
        <v/>
      </c>
      <c r="E381" s="12" t="str">
        <f>Overview!E381</f>
        <v/>
      </c>
      <c r="F381" s="12" t="str">
        <f>Overview!K381</f>
        <v/>
      </c>
      <c r="G381" s="12" t="str">
        <f>Overview!L381</f>
        <v/>
      </c>
      <c r="H381" s="12" t="str">
        <f>Overview!M381</f>
        <v/>
      </c>
      <c r="I381" s="292" t="str">
        <f>Overview!N381</f>
        <v/>
      </c>
    </row>
    <row r="382">
      <c r="A382" s="12" t="str">
        <f>Overview!A382</f>
        <v/>
      </c>
      <c r="B382" s="12" t="str">
        <f>Overview!B382</f>
        <v/>
      </c>
      <c r="C382" s="12" t="str">
        <f>Overview!C382</f>
        <v/>
      </c>
      <c r="D382" s="12" t="str">
        <f>Overview!D382</f>
        <v/>
      </c>
      <c r="E382" s="12" t="str">
        <f>Overview!E382</f>
        <v/>
      </c>
      <c r="F382" s="12" t="str">
        <f>Overview!K382</f>
        <v/>
      </c>
      <c r="G382" s="12" t="str">
        <f>Overview!L382</f>
        <v/>
      </c>
      <c r="H382" s="12" t="str">
        <f>Overview!M382</f>
        <v/>
      </c>
      <c r="I382" s="292" t="str">
        <f>Overview!N382</f>
        <v/>
      </c>
    </row>
    <row r="383">
      <c r="A383" s="12" t="str">
        <f>Overview!A383</f>
        <v/>
      </c>
      <c r="B383" s="12" t="str">
        <f>Overview!B383</f>
        <v/>
      </c>
      <c r="C383" s="12" t="str">
        <f>Overview!C383</f>
        <v/>
      </c>
      <c r="D383" s="12" t="str">
        <f>Overview!D383</f>
        <v/>
      </c>
      <c r="E383" s="12" t="str">
        <f>Overview!E383</f>
        <v/>
      </c>
      <c r="F383" s="12" t="str">
        <f>Overview!K383</f>
        <v/>
      </c>
      <c r="G383" s="12" t="str">
        <f>Overview!L383</f>
        <v/>
      </c>
      <c r="H383" s="12" t="str">
        <f>Overview!M383</f>
        <v/>
      </c>
      <c r="I383" s="292" t="str">
        <f>Overview!N383</f>
        <v/>
      </c>
    </row>
    <row r="384">
      <c r="A384" s="12" t="str">
        <f>Overview!A384</f>
        <v/>
      </c>
      <c r="B384" s="12" t="str">
        <f>Overview!B384</f>
        <v/>
      </c>
      <c r="C384" s="12" t="str">
        <f>Overview!C384</f>
        <v/>
      </c>
      <c r="D384" s="12" t="str">
        <f>Overview!D384</f>
        <v/>
      </c>
      <c r="E384" s="12" t="str">
        <f>Overview!E384</f>
        <v/>
      </c>
      <c r="F384" s="12" t="str">
        <f>Overview!K384</f>
        <v/>
      </c>
      <c r="G384" s="12" t="str">
        <f>Overview!L384</f>
        <v/>
      </c>
      <c r="H384" s="12" t="str">
        <f>Overview!M384</f>
        <v/>
      </c>
      <c r="I384" s="292" t="str">
        <f>Overview!N384</f>
        <v/>
      </c>
    </row>
    <row r="385">
      <c r="A385" s="12" t="str">
        <f>Overview!A385</f>
        <v/>
      </c>
      <c r="B385" s="12" t="str">
        <f>Overview!B385</f>
        <v/>
      </c>
      <c r="C385" s="12" t="str">
        <f>Overview!C385</f>
        <v/>
      </c>
      <c r="D385" s="12" t="str">
        <f>Overview!D385</f>
        <v/>
      </c>
      <c r="E385" s="12" t="str">
        <f>Overview!E385</f>
        <v/>
      </c>
      <c r="F385" s="12" t="str">
        <f>Overview!K385</f>
        <v/>
      </c>
      <c r="G385" s="12" t="str">
        <f>Overview!L385</f>
        <v/>
      </c>
      <c r="H385" s="12" t="str">
        <f>Overview!M385</f>
        <v/>
      </c>
      <c r="I385" s="292" t="str">
        <f>Overview!N385</f>
        <v/>
      </c>
    </row>
    <row r="386">
      <c r="A386" s="12" t="str">
        <f>Overview!A386</f>
        <v/>
      </c>
      <c r="B386" s="12" t="str">
        <f>Overview!B386</f>
        <v/>
      </c>
      <c r="C386" s="12" t="str">
        <f>Overview!C386</f>
        <v/>
      </c>
      <c r="D386" s="12" t="str">
        <f>Overview!D386</f>
        <v/>
      </c>
      <c r="E386" s="12" t="str">
        <f>Overview!E386</f>
        <v/>
      </c>
      <c r="F386" s="12" t="str">
        <f>Overview!K386</f>
        <v/>
      </c>
      <c r="G386" s="12" t="str">
        <f>Overview!L386</f>
        <v/>
      </c>
      <c r="H386" s="12" t="str">
        <f>Overview!M386</f>
        <v/>
      </c>
      <c r="I386" s="292" t="str">
        <f>Overview!N386</f>
        <v/>
      </c>
    </row>
    <row r="387">
      <c r="A387" s="12" t="str">
        <f>Overview!A387</f>
        <v/>
      </c>
      <c r="B387" s="12" t="str">
        <f>Overview!B387</f>
        <v/>
      </c>
      <c r="C387" s="12" t="str">
        <f>Overview!C387</f>
        <v/>
      </c>
      <c r="D387" s="12" t="str">
        <f>Overview!D387</f>
        <v/>
      </c>
      <c r="E387" s="12" t="str">
        <f>Overview!E387</f>
        <v/>
      </c>
      <c r="F387" s="12" t="str">
        <f>Overview!K387</f>
        <v/>
      </c>
      <c r="G387" s="12" t="str">
        <f>Overview!L387</f>
        <v/>
      </c>
      <c r="H387" s="12" t="str">
        <f>Overview!M387</f>
        <v/>
      </c>
      <c r="I387" s="292" t="str">
        <f>Overview!N387</f>
        <v/>
      </c>
    </row>
    <row r="388">
      <c r="A388" s="12" t="str">
        <f>Overview!A388</f>
        <v/>
      </c>
      <c r="B388" s="12" t="str">
        <f>Overview!B388</f>
        <v/>
      </c>
      <c r="C388" s="12" t="str">
        <f>Overview!C388</f>
        <v/>
      </c>
      <c r="D388" s="12" t="str">
        <f>Overview!D388</f>
        <v/>
      </c>
      <c r="E388" s="12" t="str">
        <f>Overview!E388</f>
        <v/>
      </c>
      <c r="F388" s="12" t="str">
        <f>Overview!K388</f>
        <v/>
      </c>
      <c r="G388" s="12" t="str">
        <f>Overview!L388</f>
        <v/>
      </c>
      <c r="H388" s="12" t="str">
        <f>Overview!M388</f>
        <v/>
      </c>
      <c r="I388" s="292" t="str">
        <f>Overview!N388</f>
        <v/>
      </c>
    </row>
    <row r="389">
      <c r="A389" s="12" t="str">
        <f>Overview!A389</f>
        <v/>
      </c>
      <c r="B389" s="12" t="str">
        <f>Overview!B389</f>
        <v/>
      </c>
      <c r="C389" s="12" t="str">
        <f>Overview!C389</f>
        <v/>
      </c>
      <c r="D389" s="12" t="str">
        <f>Overview!D389</f>
        <v/>
      </c>
      <c r="E389" s="12" t="str">
        <f>Overview!E389</f>
        <v/>
      </c>
      <c r="F389" s="12" t="str">
        <f>Overview!K389</f>
        <v/>
      </c>
      <c r="G389" s="12" t="str">
        <f>Overview!L389</f>
        <v/>
      </c>
      <c r="H389" s="12" t="str">
        <f>Overview!M389</f>
        <v/>
      </c>
      <c r="I389" s="292" t="str">
        <f>Overview!N389</f>
        <v/>
      </c>
    </row>
    <row r="390">
      <c r="A390" s="12" t="str">
        <f>Overview!A390</f>
        <v/>
      </c>
      <c r="B390" s="12" t="str">
        <f>Overview!B390</f>
        <v/>
      </c>
      <c r="C390" s="12" t="str">
        <f>Overview!C390</f>
        <v/>
      </c>
      <c r="D390" s="12" t="str">
        <f>Overview!D390</f>
        <v/>
      </c>
      <c r="E390" s="12" t="str">
        <f>Overview!E390</f>
        <v/>
      </c>
      <c r="F390" s="12" t="str">
        <f>Overview!K390</f>
        <v/>
      </c>
      <c r="G390" s="12" t="str">
        <f>Overview!L390</f>
        <v/>
      </c>
      <c r="H390" s="12" t="str">
        <f>Overview!M390</f>
        <v/>
      </c>
      <c r="I390" s="292" t="str">
        <f>Overview!N390</f>
        <v/>
      </c>
    </row>
    <row r="391">
      <c r="A391" s="12" t="str">
        <f>Overview!A391</f>
        <v/>
      </c>
      <c r="B391" s="12" t="str">
        <f>Overview!B391</f>
        <v/>
      </c>
      <c r="C391" s="12" t="str">
        <f>Overview!C391</f>
        <v/>
      </c>
      <c r="D391" s="12" t="str">
        <f>Overview!D391</f>
        <v/>
      </c>
      <c r="E391" s="12" t="str">
        <f>Overview!E391</f>
        <v/>
      </c>
      <c r="F391" s="12" t="str">
        <f>Overview!K391</f>
        <v/>
      </c>
      <c r="G391" s="12" t="str">
        <f>Overview!L391</f>
        <v/>
      </c>
      <c r="H391" s="12" t="str">
        <f>Overview!M391</f>
        <v/>
      </c>
      <c r="I391" s="292" t="str">
        <f>Overview!N391</f>
        <v/>
      </c>
    </row>
    <row r="392">
      <c r="A392" s="12" t="str">
        <f>Overview!A392</f>
        <v/>
      </c>
      <c r="B392" s="12" t="str">
        <f>Overview!B392</f>
        <v/>
      </c>
      <c r="C392" s="12" t="str">
        <f>Overview!C392</f>
        <v/>
      </c>
      <c r="D392" s="12" t="str">
        <f>Overview!D392</f>
        <v/>
      </c>
      <c r="E392" s="12" t="str">
        <f>Overview!E392</f>
        <v/>
      </c>
      <c r="F392" s="12" t="str">
        <f>Overview!K392</f>
        <v/>
      </c>
      <c r="G392" s="12" t="str">
        <f>Overview!L392</f>
        <v/>
      </c>
      <c r="H392" s="12" t="str">
        <f>Overview!M392</f>
        <v/>
      </c>
      <c r="I392" s="292" t="str">
        <f>Overview!N392</f>
        <v/>
      </c>
    </row>
    <row r="393">
      <c r="A393" s="12" t="str">
        <f>Overview!A393</f>
        <v/>
      </c>
      <c r="B393" s="12" t="str">
        <f>Overview!B393</f>
        <v/>
      </c>
      <c r="C393" s="12" t="str">
        <f>Overview!C393</f>
        <v/>
      </c>
      <c r="D393" s="12" t="str">
        <f>Overview!D393</f>
        <v/>
      </c>
      <c r="E393" s="12" t="str">
        <f>Overview!E393</f>
        <v/>
      </c>
      <c r="F393" s="12" t="str">
        <f>Overview!K393</f>
        <v/>
      </c>
      <c r="G393" s="12" t="str">
        <f>Overview!L393</f>
        <v/>
      </c>
      <c r="H393" s="12" t="str">
        <f>Overview!M393</f>
        <v/>
      </c>
      <c r="I393" s="292" t="str">
        <f>Overview!N393</f>
        <v/>
      </c>
    </row>
    <row r="394">
      <c r="A394" s="12" t="str">
        <f>Overview!A394</f>
        <v/>
      </c>
      <c r="B394" s="12" t="str">
        <f>Overview!B394</f>
        <v/>
      </c>
      <c r="C394" s="12" t="str">
        <f>Overview!C394</f>
        <v/>
      </c>
      <c r="D394" s="12" t="str">
        <f>Overview!D394</f>
        <v/>
      </c>
      <c r="E394" s="12" t="str">
        <f>Overview!E394</f>
        <v/>
      </c>
      <c r="F394" s="12" t="str">
        <f>Overview!K394</f>
        <v/>
      </c>
      <c r="G394" s="12" t="str">
        <f>Overview!L394</f>
        <v/>
      </c>
      <c r="H394" s="12" t="str">
        <f>Overview!M394</f>
        <v/>
      </c>
      <c r="I394" s="292" t="str">
        <f>Overview!N394</f>
        <v/>
      </c>
    </row>
    <row r="395">
      <c r="A395" s="12" t="str">
        <f>Overview!A395</f>
        <v/>
      </c>
      <c r="B395" s="12" t="str">
        <f>Overview!B395</f>
        <v/>
      </c>
      <c r="C395" s="12" t="str">
        <f>Overview!C395</f>
        <v/>
      </c>
      <c r="D395" s="12" t="str">
        <f>Overview!D395</f>
        <v/>
      </c>
      <c r="E395" s="12" t="str">
        <f>Overview!E395</f>
        <v/>
      </c>
      <c r="F395" s="12" t="str">
        <f>Overview!K395</f>
        <v/>
      </c>
      <c r="G395" s="12" t="str">
        <f>Overview!L395</f>
        <v/>
      </c>
      <c r="H395" s="12" t="str">
        <f>Overview!M395</f>
        <v/>
      </c>
      <c r="I395" s="292" t="str">
        <f>Overview!N395</f>
        <v/>
      </c>
    </row>
    <row r="396">
      <c r="A396" s="12" t="str">
        <f>Overview!A396</f>
        <v/>
      </c>
      <c r="B396" s="12" t="str">
        <f>Overview!B396</f>
        <v/>
      </c>
      <c r="C396" s="12" t="str">
        <f>Overview!C396</f>
        <v/>
      </c>
      <c r="D396" s="12" t="str">
        <f>Overview!D396</f>
        <v/>
      </c>
      <c r="E396" s="12" t="str">
        <f>Overview!E396</f>
        <v/>
      </c>
      <c r="F396" s="12" t="str">
        <f>Overview!K396</f>
        <v/>
      </c>
      <c r="G396" s="12" t="str">
        <f>Overview!L396</f>
        <v/>
      </c>
      <c r="H396" s="12" t="str">
        <f>Overview!M396</f>
        <v/>
      </c>
      <c r="I396" s="292" t="str">
        <f>Overview!N396</f>
        <v/>
      </c>
    </row>
    <row r="397">
      <c r="A397" s="12" t="str">
        <f>Overview!A397</f>
        <v/>
      </c>
      <c r="B397" s="12" t="str">
        <f>Overview!B397</f>
        <v/>
      </c>
      <c r="C397" s="12" t="str">
        <f>Overview!C397</f>
        <v/>
      </c>
      <c r="D397" s="12" t="str">
        <f>Overview!D397</f>
        <v/>
      </c>
      <c r="E397" s="12" t="str">
        <f>Overview!E397</f>
        <v/>
      </c>
      <c r="F397" s="12" t="str">
        <f>Overview!K397</f>
        <v/>
      </c>
      <c r="G397" s="12" t="str">
        <f>Overview!L397</f>
        <v/>
      </c>
      <c r="H397" s="12" t="str">
        <f>Overview!M397</f>
        <v/>
      </c>
      <c r="I397" s="292" t="str">
        <f>Overview!N397</f>
        <v/>
      </c>
    </row>
    <row r="398">
      <c r="A398" s="12" t="str">
        <f>Overview!A398</f>
        <v/>
      </c>
      <c r="B398" s="12" t="str">
        <f>Overview!B398</f>
        <v/>
      </c>
      <c r="C398" s="12" t="str">
        <f>Overview!C398</f>
        <v/>
      </c>
      <c r="D398" s="12" t="str">
        <f>Overview!D398</f>
        <v/>
      </c>
      <c r="E398" s="12" t="str">
        <f>Overview!E398</f>
        <v/>
      </c>
      <c r="F398" s="12" t="str">
        <f>Overview!K398</f>
        <v/>
      </c>
      <c r="G398" s="12" t="str">
        <f>Overview!L398</f>
        <v/>
      </c>
      <c r="H398" s="12" t="str">
        <f>Overview!M398</f>
        <v/>
      </c>
      <c r="I398" s="292" t="str">
        <f>Overview!N398</f>
        <v/>
      </c>
    </row>
    <row r="399">
      <c r="A399" s="12" t="str">
        <f>Overview!A399</f>
        <v/>
      </c>
      <c r="B399" s="12" t="str">
        <f>Overview!B399</f>
        <v/>
      </c>
      <c r="C399" s="12" t="str">
        <f>Overview!C399</f>
        <v/>
      </c>
      <c r="D399" s="12" t="str">
        <f>Overview!D399</f>
        <v/>
      </c>
      <c r="E399" s="12" t="str">
        <f>Overview!E399</f>
        <v/>
      </c>
      <c r="F399" s="12" t="str">
        <f>Overview!K399</f>
        <v/>
      </c>
      <c r="G399" s="12" t="str">
        <f>Overview!L399</f>
        <v/>
      </c>
      <c r="H399" s="12" t="str">
        <f>Overview!M399</f>
        <v/>
      </c>
      <c r="I399" s="292" t="str">
        <f>Overview!N399</f>
        <v/>
      </c>
    </row>
    <row r="400">
      <c r="A400" s="12" t="str">
        <f>Overview!A400</f>
        <v/>
      </c>
      <c r="B400" s="12" t="str">
        <f>Overview!B400</f>
        <v/>
      </c>
      <c r="C400" s="12" t="str">
        <f>Overview!C400</f>
        <v/>
      </c>
      <c r="D400" s="12" t="str">
        <f>Overview!D400</f>
        <v/>
      </c>
      <c r="E400" s="12" t="str">
        <f>Overview!E400</f>
        <v/>
      </c>
      <c r="F400" s="12" t="str">
        <f>Overview!K400</f>
        <v/>
      </c>
      <c r="G400" s="12" t="str">
        <f>Overview!L400</f>
        <v/>
      </c>
      <c r="H400" s="12" t="str">
        <f>Overview!M400</f>
        <v/>
      </c>
      <c r="I400" s="292" t="str">
        <f>Overview!N400</f>
        <v/>
      </c>
    </row>
    <row r="401">
      <c r="A401" s="12" t="str">
        <f>Overview!A401</f>
        <v/>
      </c>
      <c r="B401" s="12" t="str">
        <f>Overview!B401</f>
        <v/>
      </c>
      <c r="C401" s="12" t="str">
        <f>Overview!C401</f>
        <v/>
      </c>
      <c r="D401" s="12" t="str">
        <f>Overview!D401</f>
        <v/>
      </c>
      <c r="E401" s="12" t="str">
        <f>Overview!E401</f>
        <v/>
      </c>
      <c r="F401" s="12" t="str">
        <f>Overview!K401</f>
        <v/>
      </c>
      <c r="G401" s="12" t="str">
        <f>Overview!L401</f>
        <v/>
      </c>
      <c r="H401" s="12" t="str">
        <f>Overview!M401</f>
        <v/>
      </c>
      <c r="I401" s="292" t="str">
        <f>Overview!N401</f>
        <v/>
      </c>
    </row>
    <row r="402">
      <c r="A402" s="12" t="str">
        <f>Overview!A402</f>
        <v/>
      </c>
      <c r="B402" s="12" t="str">
        <f>Overview!B402</f>
        <v/>
      </c>
      <c r="C402" s="12" t="str">
        <f>Overview!C402</f>
        <v/>
      </c>
      <c r="D402" s="12" t="str">
        <f>Overview!D402</f>
        <v/>
      </c>
      <c r="E402" s="12" t="str">
        <f>Overview!E402</f>
        <v/>
      </c>
      <c r="F402" s="12" t="str">
        <f>Overview!K402</f>
        <v/>
      </c>
      <c r="G402" s="12" t="str">
        <f>Overview!L402</f>
        <v/>
      </c>
      <c r="H402" s="12" t="str">
        <f>Overview!M402</f>
        <v/>
      </c>
      <c r="I402" s="292" t="str">
        <f>Overview!N402</f>
        <v/>
      </c>
    </row>
    <row r="403">
      <c r="A403" s="12" t="str">
        <f>Overview!A403</f>
        <v/>
      </c>
      <c r="B403" s="12" t="str">
        <f>Overview!B403</f>
        <v/>
      </c>
      <c r="C403" s="12" t="str">
        <f>Overview!C403</f>
        <v/>
      </c>
      <c r="D403" s="12" t="str">
        <f>Overview!D403</f>
        <v/>
      </c>
      <c r="E403" s="12" t="str">
        <f>Overview!E403</f>
        <v/>
      </c>
      <c r="F403" s="12" t="str">
        <f>Overview!K403</f>
        <v/>
      </c>
      <c r="G403" s="12" t="str">
        <f>Overview!L403</f>
        <v/>
      </c>
      <c r="H403" s="12" t="str">
        <f>Overview!M403</f>
        <v/>
      </c>
      <c r="I403" s="292" t="str">
        <f>Overview!N403</f>
        <v/>
      </c>
    </row>
    <row r="404">
      <c r="A404" s="12" t="str">
        <f>Overview!A404</f>
        <v/>
      </c>
      <c r="B404" s="12" t="str">
        <f>Overview!B404</f>
        <v/>
      </c>
      <c r="C404" s="12" t="str">
        <f>Overview!C404</f>
        <v/>
      </c>
      <c r="D404" s="12" t="str">
        <f>Overview!D404</f>
        <v/>
      </c>
      <c r="E404" s="12" t="str">
        <f>Overview!E404</f>
        <v/>
      </c>
      <c r="F404" s="12" t="str">
        <f>Overview!K404</f>
        <v/>
      </c>
      <c r="G404" s="12" t="str">
        <f>Overview!L404</f>
        <v/>
      </c>
      <c r="H404" s="12" t="str">
        <f>Overview!M404</f>
        <v/>
      </c>
      <c r="I404" s="292" t="str">
        <f>Overview!N404</f>
        <v/>
      </c>
    </row>
    <row r="405">
      <c r="A405" s="12" t="str">
        <f>Overview!A405</f>
        <v/>
      </c>
      <c r="B405" s="12" t="str">
        <f>Overview!B405</f>
        <v/>
      </c>
      <c r="C405" s="12" t="str">
        <f>Overview!C405</f>
        <v/>
      </c>
      <c r="D405" s="12" t="str">
        <f>Overview!D405</f>
        <v/>
      </c>
      <c r="E405" s="12" t="str">
        <f>Overview!E405</f>
        <v/>
      </c>
      <c r="F405" s="12" t="str">
        <f>Overview!K405</f>
        <v/>
      </c>
      <c r="G405" s="12" t="str">
        <f>Overview!L405</f>
        <v/>
      </c>
      <c r="H405" s="12" t="str">
        <f>Overview!M405</f>
        <v/>
      </c>
      <c r="I405" s="292" t="str">
        <f>Overview!N405</f>
        <v/>
      </c>
    </row>
    <row r="406">
      <c r="A406" s="12" t="str">
        <f>Overview!A406</f>
        <v/>
      </c>
      <c r="B406" s="12" t="str">
        <f>Overview!B406</f>
        <v/>
      </c>
      <c r="C406" s="12" t="str">
        <f>Overview!C406</f>
        <v/>
      </c>
      <c r="D406" s="12" t="str">
        <f>Overview!D406</f>
        <v/>
      </c>
      <c r="E406" s="12" t="str">
        <f>Overview!E406</f>
        <v/>
      </c>
      <c r="F406" s="12" t="str">
        <f>Overview!K406</f>
        <v/>
      </c>
      <c r="G406" s="12" t="str">
        <f>Overview!L406</f>
        <v/>
      </c>
      <c r="H406" s="12" t="str">
        <f>Overview!M406</f>
        <v/>
      </c>
      <c r="I406" s="292" t="str">
        <f>Overview!N406</f>
        <v/>
      </c>
    </row>
    <row r="407">
      <c r="A407" s="12" t="str">
        <f>Overview!A407</f>
        <v/>
      </c>
      <c r="B407" s="12" t="str">
        <f>Overview!B407</f>
        <v/>
      </c>
      <c r="C407" s="12" t="str">
        <f>Overview!C407</f>
        <v/>
      </c>
      <c r="D407" s="12" t="str">
        <f>Overview!D407</f>
        <v/>
      </c>
      <c r="E407" s="12" t="str">
        <f>Overview!E407</f>
        <v/>
      </c>
      <c r="F407" s="12" t="str">
        <f>Overview!K407</f>
        <v/>
      </c>
      <c r="G407" s="12" t="str">
        <f>Overview!L407</f>
        <v/>
      </c>
      <c r="H407" s="12" t="str">
        <f>Overview!M407</f>
        <v/>
      </c>
      <c r="I407" s="292" t="str">
        <f>Overview!N407</f>
        <v/>
      </c>
    </row>
    <row r="408">
      <c r="A408" s="12" t="str">
        <f>Overview!A408</f>
        <v/>
      </c>
      <c r="B408" s="12" t="str">
        <f>Overview!B408</f>
        <v/>
      </c>
      <c r="C408" s="12" t="str">
        <f>Overview!C408</f>
        <v/>
      </c>
      <c r="D408" s="12" t="str">
        <f>Overview!D408</f>
        <v/>
      </c>
      <c r="E408" s="12" t="str">
        <f>Overview!E408</f>
        <v/>
      </c>
      <c r="F408" s="12" t="str">
        <f>Overview!K408</f>
        <v/>
      </c>
      <c r="G408" s="12" t="str">
        <f>Overview!L408</f>
        <v/>
      </c>
      <c r="H408" s="12" t="str">
        <f>Overview!M408</f>
        <v/>
      </c>
      <c r="I408" s="292" t="str">
        <f>Overview!N408</f>
        <v/>
      </c>
    </row>
    <row r="409">
      <c r="A409" s="12" t="str">
        <f>Overview!A409</f>
        <v/>
      </c>
      <c r="B409" s="12" t="str">
        <f>Overview!B409</f>
        <v/>
      </c>
      <c r="C409" s="12" t="str">
        <f>Overview!C409</f>
        <v/>
      </c>
      <c r="D409" s="12" t="str">
        <f>Overview!D409</f>
        <v/>
      </c>
      <c r="E409" s="12" t="str">
        <f>Overview!E409</f>
        <v/>
      </c>
      <c r="F409" s="12" t="str">
        <f>Overview!K409</f>
        <v/>
      </c>
      <c r="G409" s="12" t="str">
        <f>Overview!L409</f>
        <v/>
      </c>
      <c r="H409" s="12" t="str">
        <f>Overview!M409</f>
        <v/>
      </c>
      <c r="I409" s="292" t="str">
        <f>Overview!N409</f>
        <v/>
      </c>
    </row>
    <row r="410">
      <c r="A410" s="12" t="str">
        <f>Overview!A410</f>
        <v/>
      </c>
      <c r="B410" s="12" t="str">
        <f>Overview!B410</f>
        <v/>
      </c>
      <c r="C410" s="12" t="str">
        <f>Overview!C410</f>
        <v/>
      </c>
      <c r="D410" s="12" t="str">
        <f>Overview!D410</f>
        <v/>
      </c>
      <c r="E410" s="12" t="str">
        <f>Overview!E410</f>
        <v/>
      </c>
      <c r="F410" s="12" t="str">
        <f>Overview!K410</f>
        <v/>
      </c>
      <c r="G410" s="12" t="str">
        <f>Overview!L410</f>
        <v/>
      </c>
      <c r="H410" s="12" t="str">
        <f>Overview!M410</f>
        <v/>
      </c>
      <c r="I410" s="292" t="str">
        <f>Overview!N410</f>
        <v/>
      </c>
    </row>
    <row r="411">
      <c r="A411" s="12" t="str">
        <f>Overview!A411</f>
        <v/>
      </c>
      <c r="B411" s="12" t="str">
        <f>Overview!B411</f>
        <v/>
      </c>
      <c r="C411" s="12" t="str">
        <f>Overview!C411</f>
        <v/>
      </c>
      <c r="D411" s="12" t="str">
        <f>Overview!D411</f>
        <v/>
      </c>
      <c r="E411" s="12" t="str">
        <f>Overview!E411</f>
        <v/>
      </c>
      <c r="F411" s="12" t="str">
        <f>Overview!K411</f>
        <v/>
      </c>
      <c r="G411" s="12" t="str">
        <f>Overview!L411</f>
        <v/>
      </c>
      <c r="H411" s="12" t="str">
        <f>Overview!M411</f>
        <v/>
      </c>
      <c r="I411" s="292" t="str">
        <f>Overview!N411</f>
        <v/>
      </c>
    </row>
    <row r="412">
      <c r="A412" s="12" t="str">
        <f>Overview!A412</f>
        <v/>
      </c>
      <c r="B412" s="12" t="str">
        <f>Overview!B412</f>
        <v/>
      </c>
      <c r="C412" s="12" t="str">
        <f>Overview!C412</f>
        <v/>
      </c>
      <c r="D412" s="12" t="str">
        <f>Overview!D412</f>
        <v/>
      </c>
      <c r="E412" s="12" t="str">
        <f>Overview!E412</f>
        <v/>
      </c>
      <c r="F412" s="12" t="str">
        <f>Overview!K412</f>
        <v/>
      </c>
      <c r="G412" s="12" t="str">
        <f>Overview!L412</f>
        <v/>
      </c>
      <c r="H412" s="12" t="str">
        <f>Overview!M412</f>
        <v/>
      </c>
      <c r="I412" s="292" t="str">
        <f>Overview!N412</f>
        <v/>
      </c>
    </row>
    <row r="413">
      <c r="A413" s="12" t="str">
        <f>Overview!A413</f>
        <v/>
      </c>
      <c r="B413" s="12" t="str">
        <f>Overview!B413</f>
        <v/>
      </c>
      <c r="C413" s="12" t="str">
        <f>Overview!C413</f>
        <v/>
      </c>
      <c r="D413" s="12" t="str">
        <f>Overview!D413</f>
        <v/>
      </c>
      <c r="E413" s="12" t="str">
        <f>Overview!E413</f>
        <v/>
      </c>
      <c r="F413" s="12" t="str">
        <f>Overview!K413</f>
        <v/>
      </c>
      <c r="G413" s="12" t="str">
        <f>Overview!L413</f>
        <v/>
      </c>
      <c r="H413" s="12" t="str">
        <f>Overview!M413</f>
        <v/>
      </c>
      <c r="I413" s="292" t="str">
        <f>Overview!N413</f>
        <v/>
      </c>
    </row>
    <row r="414">
      <c r="A414" s="12" t="str">
        <f>Overview!A414</f>
        <v/>
      </c>
      <c r="B414" s="12" t="str">
        <f>Overview!B414</f>
        <v/>
      </c>
      <c r="C414" s="12" t="str">
        <f>Overview!C414</f>
        <v/>
      </c>
      <c r="D414" s="12" t="str">
        <f>Overview!D414</f>
        <v/>
      </c>
      <c r="E414" s="12" t="str">
        <f>Overview!E414</f>
        <v/>
      </c>
      <c r="F414" s="12" t="str">
        <f>Overview!K414</f>
        <v/>
      </c>
      <c r="G414" s="12" t="str">
        <f>Overview!L414</f>
        <v/>
      </c>
      <c r="H414" s="12" t="str">
        <f>Overview!M414</f>
        <v/>
      </c>
      <c r="I414" s="292" t="str">
        <f>Overview!N414</f>
        <v/>
      </c>
    </row>
    <row r="415">
      <c r="A415" s="12" t="str">
        <f>Overview!A415</f>
        <v/>
      </c>
      <c r="B415" s="12" t="str">
        <f>Overview!B415</f>
        <v/>
      </c>
      <c r="C415" s="12" t="str">
        <f>Overview!C415</f>
        <v/>
      </c>
      <c r="D415" s="12" t="str">
        <f>Overview!D415</f>
        <v/>
      </c>
      <c r="E415" s="12" t="str">
        <f>Overview!E415</f>
        <v/>
      </c>
      <c r="F415" s="12" t="str">
        <f>Overview!K415</f>
        <v/>
      </c>
      <c r="G415" s="12" t="str">
        <f>Overview!L415</f>
        <v/>
      </c>
      <c r="H415" s="12" t="str">
        <f>Overview!M415</f>
        <v/>
      </c>
      <c r="I415" s="292" t="str">
        <f>Overview!N415</f>
        <v/>
      </c>
    </row>
    <row r="416">
      <c r="A416" s="12" t="str">
        <f>Overview!A416</f>
        <v/>
      </c>
      <c r="B416" s="12" t="str">
        <f>Overview!B416</f>
        <v/>
      </c>
      <c r="C416" s="12" t="str">
        <f>Overview!C416</f>
        <v/>
      </c>
      <c r="D416" s="12" t="str">
        <f>Overview!D416</f>
        <v/>
      </c>
      <c r="E416" s="12" t="str">
        <f>Overview!E416</f>
        <v/>
      </c>
      <c r="F416" s="12" t="str">
        <f>Overview!K416</f>
        <v/>
      </c>
      <c r="G416" s="12" t="str">
        <f>Overview!L416</f>
        <v/>
      </c>
      <c r="H416" s="12" t="str">
        <f>Overview!M416</f>
        <v/>
      </c>
      <c r="I416" s="292" t="str">
        <f>Overview!N416</f>
        <v/>
      </c>
    </row>
    <row r="417">
      <c r="A417" s="12" t="str">
        <f>Overview!A417</f>
        <v/>
      </c>
      <c r="B417" s="12" t="str">
        <f>Overview!B417</f>
        <v/>
      </c>
      <c r="C417" s="12" t="str">
        <f>Overview!C417</f>
        <v/>
      </c>
      <c r="D417" s="12" t="str">
        <f>Overview!D417</f>
        <v/>
      </c>
      <c r="E417" s="12" t="str">
        <f>Overview!E417</f>
        <v/>
      </c>
      <c r="F417" s="12" t="str">
        <f>Overview!K417</f>
        <v/>
      </c>
      <c r="G417" s="12" t="str">
        <f>Overview!L417</f>
        <v/>
      </c>
      <c r="H417" s="12" t="str">
        <f>Overview!M417</f>
        <v/>
      </c>
      <c r="I417" s="292" t="str">
        <f>Overview!N417</f>
        <v/>
      </c>
    </row>
    <row r="418">
      <c r="A418" s="12" t="str">
        <f>Overview!A418</f>
        <v/>
      </c>
      <c r="B418" s="12" t="str">
        <f>Overview!B418</f>
        <v/>
      </c>
      <c r="C418" s="12" t="str">
        <f>Overview!C418</f>
        <v/>
      </c>
      <c r="D418" s="12" t="str">
        <f>Overview!D418</f>
        <v/>
      </c>
      <c r="E418" s="12" t="str">
        <f>Overview!E418</f>
        <v/>
      </c>
      <c r="F418" s="12" t="str">
        <f>Overview!K418</f>
        <v/>
      </c>
      <c r="G418" s="12" t="str">
        <f>Overview!L418</f>
        <v/>
      </c>
      <c r="H418" s="12" t="str">
        <f>Overview!M418</f>
        <v/>
      </c>
      <c r="I418" s="292" t="str">
        <f>Overview!N418</f>
        <v/>
      </c>
    </row>
    <row r="419">
      <c r="A419" s="12" t="str">
        <f>Overview!A419</f>
        <v/>
      </c>
      <c r="B419" s="12" t="str">
        <f>Overview!B419</f>
        <v/>
      </c>
      <c r="C419" s="12" t="str">
        <f>Overview!C419</f>
        <v/>
      </c>
      <c r="D419" s="12" t="str">
        <f>Overview!D419</f>
        <v/>
      </c>
      <c r="E419" s="12" t="str">
        <f>Overview!E419</f>
        <v/>
      </c>
      <c r="F419" s="12" t="str">
        <f>Overview!K419</f>
        <v/>
      </c>
      <c r="G419" s="12" t="str">
        <f>Overview!L419</f>
        <v/>
      </c>
      <c r="H419" s="12" t="str">
        <f>Overview!M419</f>
        <v/>
      </c>
      <c r="I419" s="292" t="str">
        <f>Overview!N419</f>
        <v/>
      </c>
    </row>
    <row r="420">
      <c r="A420" s="12" t="str">
        <f>Overview!A420</f>
        <v/>
      </c>
      <c r="B420" s="12" t="str">
        <f>Overview!B420</f>
        <v/>
      </c>
      <c r="C420" s="12" t="str">
        <f>Overview!C420</f>
        <v/>
      </c>
      <c r="D420" s="12" t="str">
        <f>Overview!D420</f>
        <v/>
      </c>
      <c r="E420" s="12" t="str">
        <f>Overview!E420</f>
        <v/>
      </c>
      <c r="F420" s="12" t="str">
        <f>Overview!K420</f>
        <v/>
      </c>
      <c r="G420" s="12" t="str">
        <f>Overview!L420</f>
        <v/>
      </c>
      <c r="H420" s="12" t="str">
        <f>Overview!M420</f>
        <v/>
      </c>
      <c r="I420" s="292" t="str">
        <f>Overview!N420</f>
        <v/>
      </c>
    </row>
    <row r="421">
      <c r="A421" s="12" t="str">
        <f>Overview!A421</f>
        <v/>
      </c>
      <c r="B421" s="12" t="str">
        <f>Overview!B421</f>
        <v/>
      </c>
      <c r="C421" s="12" t="str">
        <f>Overview!C421</f>
        <v/>
      </c>
      <c r="D421" s="12" t="str">
        <f>Overview!D421</f>
        <v/>
      </c>
      <c r="E421" s="12" t="str">
        <f>Overview!E421</f>
        <v/>
      </c>
      <c r="F421" s="12" t="str">
        <f>Overview!K421</f>
        <v/>
      </c>
      <c r="G421" s="12" t="str">
        <f>Overview!L421</f>
        <v/>
      </c>
      <c r="H421" s="12" t="str">
        <f>Overview!M421</f>
        <v/>
      </c>
      <c r="I421" s="292" t="str">
        <f>Overview!N421</f>
        <v/>
      </c>
    </row>
    <row r="422">
      <c r="A422" s="12" t="str">
        <f>Overview!A422</f>
        <v/>
      </c>
      <c r="B422" s="12" t="str">
        <f>Overview!B422</f>
        <v/>
      </c>
      <c r="C422" s="12" t="str">
        <f>Overview!C422</f>
        <v/>
      </c>
      <c r="D422" s="12" t="str">
        <f>Overview!D422</f>
        <v/>
      </c>
      <c r="E422" s="12" t="str">
        <f>Overview!E422</f>
        <v/>
      </c>
      <c r="F422" s="12" t="str">
        <f>Overview!K422</f>
        <v/>
      </c>
      <c r="G422" s="12" t="str">
        <f>Overview!L422</f>
        <v/>
      </c>
      <c r="H422" s="12" t="str">
        <f>Overview!M422</f>
        <v/>
      </c>
      <c r="I422" s="292" t="str">
        <f>Overview!N422</f>
        <v/>
      </c>
    </row>
    <row r="423">
      <c r="A423" s="12" t="str">
        <f>Overview!A423</f>
        <v/>
      </c>
      <c r="B423" s="12" t="str">
        <f>Overview!B423</f>
        <v/>
      </c>
      <c r="C423" s="12" t="str">
        <f>Overview!C423</f>
        <v/>
      </c>
      <c r="D423" s="12" t="str">
        <f>Overview!D423</f>
        <v/>
      </c>
      <c r="E423" s="12" t="str">
        <f>Overview!E423</f>
        <v/>
      </c>
      <c r="F423" s="12" t="str">
        <f>Overview!K423</f>
        <v/>
      </c>
      <c r="G423" s="12" t="str">
        <f>Overview!L423</f>
        <v/>
      </c>
      <c r="H423" s="12" t="str">
        <f>Overview!M423</f>
        <v/>
      </c>
      <c r="I423" s="292" t="str">
        <f>Overview!N423</f>
        <v/>
      </c>
    </row>
    <row r="424">
      <c r="A424" s="12" t="str">
        <f>Overview!A424</f>
        <v/>
      </c>
      <c r="B424" s="12" t="str">
        <f>Overview!B424</f>
        <v/>
      </c>
      <c r="C424" s="12" t="str">
        <f>Overview!C424</f>
        <v/>
      </c>
      <c r="D424" s="12" t="str">
        <f>Overview!D424</f>
        <v/>
      </c>
      <c r="E424" s="12" t="str">
        <f>Overview!E424</f>
        <v/>
      </c>
      <c r="F424" s="12" t="str">
        <f>Overview!K424</f>
        <v/>
      </c>
      <c r="G424" s="12" t="str">
        <f>Overview!L424</f>
        <v/>
      </c>
      <c r="H424" s="12" t="str">
        <f>Overview!M424</f>
        <v/>
      </c>
      <c r="I424" s="292" t="str">
        <f>Overview!N424</f>
        <v/>
      </c>
    </row>
    <row r="425">
      <c r="A425" s="12" t="str">
        <f>Overview!A425</f>
        <v/>
      </c>
      <c r="B425" s="12" t="str">
        <f>Overview!B425</f>
        <v/>
      </c>
      <c r="C425" s="12" t="str">
        <f>Overview!C425</f>
        <v/>
      </c>
      <c r="D425" s="12" t="str">
        <f>Overview!D425</f>
        <v/>
      </c>
      <c r="E425" s="12" t="str">
        <f>Overview!E425</f>
        <v/>
      </c>
      <c r="F425" s="12" t="str">
        <f>Overview!K425</f>
        <v/>
      </c>
      <c r="G425" s="12" t="str">
        <f>Overview!L425</f>
        <v/>
      </c>
      <c r="H425" s="12" t="str">
        <f>Overview!M425</f>
        <v/>
      </c>
      <c r="I425" s="292" t="str">
        <f>Overview!N425</f>
        <v/>
      </c>
    </row>
    <row r="426">
      <c r="A426" s="12" t="str">
        <f>Overview!A426</f>
        <v/>
      </c>
      <c r="B426" s="12" t="str">
        <f>Overview!B426</f>
        <v/>
      </c>
      <c r="C426" s="12" t="str">
        <f>Overview!C426</f>
        <v/>
      </c>
      <c r="D426" s="12" t="str">
        <f>Overview!D426</f>
        <v/>
      </c>
      <c r="E426" s="12" t="str">
        <f>Overview!E426</f>
        <v/>
      </c>
      <c r="F426" s="12" t="str">
        <f>Overview!K426</f>
        <v/>
      </c>
      <c r="G426" s="12" t="str">
        <f>Overview!L426</f>
        <v/>
      </c>
      <c r="H426" s="12" t="str">
        <f>Overview!M426</f>
        <v/>
      </c>
      <c r="I426" s="292" t="str">
        <f>Overview!N426</f>
        <v/>
      </c>
    </row>
    <row r="427">
      <c r="A427" s="12" t="str">
        <f>Overview!A427</f>
        <v/>
      </c>
      <c r="B427" s="12" t="str">
        <f>Overview!B427</f>
        <v/>
      </c>
      <c r="C427" s="12" t="str">
        <f>Overview!C427</f>
        <v/>
      </c>
      <c r="D427" s="12" t="str">
        <f>Overview!D427</f>
        <v/>
      </c>
      <c r="E427" s="12" t="str">
        <f>Overview!E427</f>
        <v/>
      </c>
      <c r="F427" s="12" t="str">
        <f>Overview!K427</f>
        <v/>
      </c>
      <c r="G427" s="12" t="str">
        <f>Overview!L427</f>
        <v/>
      </c>
      <c r="H427" s="12" t="str">
        <f>Overview!M427</f>
        <v/>
      </c>
      <c r="I427" s="292" t="str">
        <f>Overview!N427</f>
        <v/>
      </c>
    </row>
    <row r="428">
      <c r="A428" s="12" t="str">
        <f>Overview!A428</f>
        <v/>
      </c>
      <c r="B428" s="12" t="str">
        <f>Overview!B428</f>
        <v/>
      </c>
      <c r="C428" s="12" t="str">
        <f>Overview!C428</f>
        <v/>
      </c>
      <c r="D428" s="12" t="str">
        <f>Overview!D428</f>
        <v/>
      </c>
      <c r="E428" s="12" t="str">
        <f>Overview!E428</f>
        <v/>
      </c>
      <c r="F428" s="12" t="str">
        <f>Overview!K428</f>
        <v/>
      </c>
      <c r="G428" s="12" t="str">
        <f>Overview!L428</f>
        <v/>
      </c>
      <c r="H428" s="12" t="str">
        <f>Overview!M428</f>
        <v/>
      </c>
      <c r="I428" s="292" t="str">
        <f>Overview!N428</f>
        <v/>
      </c>
    </row>
    <row r="429">
      <c r="A429" s="12" t="str">
        <f>Overview!A429</f>
        <v/>
      </c>
      <c r="B429" s="12" t="str">
        <f>Overview!B429</f>
        <v/>
      </c>
      <c r="C429" s="12" t="str">
        <f>Overview!C429</f>
        <v/>
      </c>
      <c r="D429" s="12" t="str">
        <f>Overview!D429</f>
        <v/>
      </c>
      <c r="E429" s="12" t="str">
        <f>Overview!E429</f>
        <v/>
      </c>
      <c r="F429" s="12" t="str">
        <f>Overview!K429</f>
        <v/>
      </c>
      <c r="G429" s="12" t="str">
        <f>Overview!L429</f>
        <v/>
      </c>
      <c r="H429" s="12" t="str">
        <f>Overview!M429</f>
        <v/>
      </c>
      <c r="I429" s="292" t="str">
        <f>Overview!N429</f>
        <v/>
      </c>
    </row>
    <row r="430">
      <c r="A430" s="12" t="str">
        <f>Overview!A430</f>
        <v/>
      </c>
      <c r="B430" s="12" t="str">
        <f>Overview!B430</f>
        <v/>
      </c>
      <c r="C430" s="12" t="str">
        <f>Overview!C430</f>
        <v/>
      </c>
      <c r="D430" s="12" t="str">
        <f>Overview!D430</f>
        <v/>
      </c>
      <c r="E430" s="12" t="str">
        <f>Overview!E430</f>
        <v/>
      </c>
      <c r="F430" s="12" t="str">
        <f>Overview!K430</f>
        <v/>
      </c>
      <c r="G430" s="12" t="str">
        <f>Overview!L430</f>
        <v/>
      </c>
      <c r="H430" s="12" t="str">
        <f>Overview!M430</f>
        <v/>
      </c>
      <c r="I430" s="292" t="str">
        <f>Overview!N430</f>
        <v/>
      </c>
    </row>
    <row r="431">
      <c r="A431" s="12" t="str">
        <f>Overview!A431</f>
        <v/>
      </c>
      <c r="B431" s="12" t="str">
        <f>Overview!B431</f>
        <v/>
      </c>
      <c r="C431" s="12" t="str">
        <f>Overview!C431</f>
        <v/>
      </c>
      <c r="D431" s="12" t="str">
        <f>Overview!D431</f>
        <v/>
      </c>
      <c r="E431" s="12" t="str">
        <f>Overview!E431</f>
        <v/>
      </c>
      <c r="F431" s="12" t="str">
        <f>Overview!K431</f>
        <v/>
      </c>
      <c r="G431" s="12" t="str">
        <f>Overview!L431</f>
        <v/>
      </c>
      <c r="H431" s="12" t="str">
        <f>Overview!M431</f>
        <v/>
      </c>
      <c r="I431" s="292" t="str">
        <f>Overview!N431</f>
        <v/>
      </c>
    </row>
    <row r="432">
      <c r="A432" s="12" t="str">
        <f>Overview!A432</f>
        <v/>
      </c>
      <c r="B432" s="12" t="str">
        <f>Overview!B432</f>
        <v/>
      </c>
      <c r="C432" s="12" t="str">
        <f>Overview!C432</f>
        <v/>
      </c>
      <c r="D432" s="12" t="str">
        <f>Overview!D432</f>
        <v/>
      </c>
      <c r="E432" s="12" t="str">
        <f>Overview!E432</f>
        <v/>
      </c>
      <c r="F432" s="12" t="str">
        <f>Overview!K432</f>
        <v/>
      </c>
      <c r="G432" s="12" t="str">
        <f>Overview!L432</f>
        <v/>
      </c>
      <c r="H432" s="12" t="str">
        <f>Overview!M432</f>
        <v/>
      </c>
      <c r="I432" s="292" t="str">
        <f>Overview!N432</f>
        <v/>
      </c>
    </row>
    <row r="433">
      <c r="A433" s="12" t="str">
        <f>Overview!A433</f>
        <v/>
      </c>
      <c r="B433" s="12" t="str">
        <f>Overview!B433</f>
        <v/>
      </c>
      <c r="C433" s="12" t="str">
        <f>Overview!C433</f>
        <v/>
      </c>
      <c r="D433" s="12" t="str">
        <f>Overview!D433</f>
        <v/>
      </c>
      <c r="E433" s="12" t="str">
        <f>Overview!E433</f>
        <v/>
      </c>
      <c r="F433" s="12" t="str">
        <f>Overview!K433</f>
        <v/>
      </c>
      <c r="G433" s="12" t="str">
        <f>Overview!L433</f>
        <v/>
      </c>
      <c r="H433" s="12" t="str">
        <f>Overview!M433</f>
        <v/>
      </c>
      <c r="I433" s="292" t="str">
        <f>Overview!N433</f>
        <v/>
      </c>
    </row>
    <row r="434">
      <c r="A434" s="12" t="str">
        <f>Overview!A434</f>
        <v/>
      </c>
      <c r="B434" s="12" t="str">
        <f>Overview!B434</f>
        <v/>
      </c>
      <c r="C434" s="12" t="str">
        <f>Overview!C434</f>
        <v/>
      </c>
      <c r="D434" s="12" t="str">
        <f>Overview!D434</f>
        <v/>
      </c>
      <c r="E434" s="12" t="str">
        <f>Overview!E434</f>
        <v/>
      </c>
      <c r="F434" s="12" t="str">
        <f>Overview!K434</f>
        <v/>
      </c>
      <c r="G434" s="12" t="str">
        <f>Overview!L434</f>
        <v/>
      </c>
      <c r="H434" s="12" t="str">
        <f>Overview!M434</f>
        <v/>
      </c>
      <c r="I434" s="292" t="str">
        <f>Overview!N434</f>
        <v/>
      </c>
    </row>
    <row r="435">
      <c r="A435" s="12" t="str">
        <f>Overview!A435</f>
        <v/>
      </c>
      <c r="B435" s="12" t="str">
        <f>Overview!B435</f>
        <v/>
      </c>
      <c r="C435" s="12" t="str">
        <f>Overview!C435</f>
        <v/>
      </c>
      <c r="D435" s="12" t="str">
        <f>Overview!D435</f>
        <v/>
      </c>
      <c r="E435" s="12" t="str">
        <f>Overview!E435</f>
        <v/>
      </c>
      <c r="F435" s="12" t="str">
        <f>Overview!K435</f>
        <v/>
      </c>
      <c r="G435" s="12" t="str">
        <f>Overview!L435</f>
        <v/>
      </c>
      <c r="H435" s="12" t="str">
        <f>Overview!M435</f>
        <v/>
      </c>
      <c r="I435" s="292" t="str">
        <f>Overview!N435</f>
        <v/>
      </c>
    </row>
    <row r="436">
      <c r="A436" s="12" t="str">
        <f>Overview!A436</f>
        <v/>
      </c>
      <c r="B436" s="12" t="str">
        <f>Overview!B436</f>
        <v/>
      </c>
      <c r="C436" s="12" t="str">
        <f>Overview!C436</f>
        <v/>
      </c>
      <c r="D436" s="12" t="str">
        <f>Overview!D436</f>
        <v/>
      </c>
      <c r="E436" s="12" t="str">
        <f>Overview!E436</f>
        <v/>
      </c>
      <c r="F436" s="12" t="str">
        <f>Overview!K436</f>
        <v/>
      </c>
      <c r="G436" s="12" t="str">
        <f>Overview!L436</f>
        <v/>
      </c>
      <c r="H436" s="12" t="str">
        <f>Overview!M436</f>
        <v/>
      </c>
      <c r="I436" s="292" t="str">
        <f>Overview!N436</f>
        <v/>
      </c>
    </row>
    <row r="437">
      <c r="A437" s="12" t="str">
        <f>Overview!A437</f>
        <v/>
      </c>
      <c r="B437" s="12" t="str">
        <f>Overview!B437</f>
        <v/>
      </c>
      <c r="C437" s="12" t="str">
        <f>Overview!C437</f>
        <v/>
      </c>
      <c r="D437" s="12" t="str">
        <f>Overview!D437</f>
        <v/>
      </c>
      <c r="E437" s="12" t="str">
        <f>Overview!E437</f>
        <v/>
      </c>
      <c r="F437" s="12" t="str">
        <f>Overview!K437</f>
        <v/>
      </c>
      <c r="G437" s="12" t="str">
        <f>Overview!L437</f>
        <v/>
      </c>
      <c r="H437" s="12" t="str">
        <f>Overview!M437</f>
        <v/>
      </c>
      <c r="I437" s="292" t="str">
        <f>Overview!N437</f>
        <v/>
      </c>
    </row>
    <row r="438">
      <c r="A438" s="12" t="str">
        <f>Overview!A438</f>
        <v/>
      </c>
      <c r="B438" s="12" t="str">
        <f>Overview!B438</f>
        <v/>
      </c>
      <c r="C438" s="12" t="str">
        <f>Overview!C438</f>
        <v/>
      </c>
      <c r="D438" s="12" t="str">
        <f>Overview!D438</f>
        <v/>
      </c>
      <c r="E438" s="12" t="str">
        <f>Overview!E438</f>
        <v/>
      </c>
      <c r="F438" s="12" t="str">
        <f>Overview!K438</f>
        <v/>
      </c>
      <c r="G438" s="12" t="str">
        <f>Overview!L438</f>
        <v/>
      </c>
      <c r="H438" s="12" t="str">
        <f>Overview!M438</f>
        <v/>
      </c>
      <c r="I438" s="292" t="str">
        <f>Overview!N438</f>
        <v/>
      </c>
    </row>
    <row r="439">
      <c r="A439" s="12" t="str">
        <f>Overview!A439</f>
        <v/>
      </c>
      <c r="B439" s="12" t="str">
        <f>Overview!B439</f>
        <v/>
      </c>
      <c r="C439" s="12" t="str">
        <f>Overview!C439</f>
        <v/>
      </c>
      <c r="D439" s="12" t="str">
        <f>Overview!D439</f>
        <v/>
      </c>
      <c r="E439" s="12" t="str">
        <f>Overview!E439</f>
        <v/>
      </c>
      <c r="F439" s="12" t="str">
        <f>Overview!K439</f>
        <v/>
      </c>
      <c r="G439" s="12" t="str">
        <f>Overview!L439</f>
        <v/>
      </c>
      <c r="H439" s="12" t="str">
        <f>Overview!M439</f>
        <v/>
      </c>
      <c r="I439" s="292" t="str">
        <f>Overview!N439</f>
        <v/>
      </c>
    </row>
    <row r="440">
      <c r="A440" s="12" t="str">
        <f>Overview!A440</f>
        <v/>
      </c>
      <c r="B440" s="12" t="str">
        <f>Overview!B440</f>
        <v/>
      </c>
      <c r="C440" s="12" t="str">
        <f>Overview!C440</f>
        <v/>
      </c>
      <c r="D440" s="12" t="str">
        <f>Overview!D440</f>
        <v/>
      </c>
      <c r="E440" s="12" t="str">
        <f>Overview!E440</f>
        <v/>
      </c>
      <c r="F440" s="12" t="str">
        <f>Overview!K440</f>
        <v/>
      </c>
      <c r="G440" s="12" t="str">
        <f>Overview!L440</f>
        <v/>
      </c>
      <c r="H440" s="12" t="str">
        <f>Overview!M440</f>
        <v/>
      </c>
      <c r="I440" s="292" t="str">
        <f>Overview!N440</f>
        <v/>
      </c>
    </row>
    <row r="441">
      <c r="A441" s="12" t="str">
        <f>Overview!A441</f>
        <v/>
      </c>
      <c r="B441" s="12" t="str">
        <f>Overview!B441</f>
        <v/>
      </c>
      <c r="C441" s="12" t="str">
        <f>Overview!C441</f>
        <v/>
      </c>
      <c r="D441" s="12" t="str">
        <f>Overview!D441</f>
        <v/>
      </c>
      <c r="E441" s="12" t="str">
        <f>Overview!E441</f>
        <v/>
      </c>
      <c r="F441" s="12" t="str">
        <f>Overview!K441</f>
        <v/>
      </c>
      <c r="G441" s="12" t="str">
        <f>Overview!L441</f>
        <v/>
      </c>
      <c r="H441" s="12" t="str">
        <f>Overview!M441</f>
        <v/>
      </c>
      <c r="I441" s="292" t="str">
        <f>Overview!N441</f>
        <v/>
      </c>
    </row>
    <row r="442">
      <c r="A442" s="12" t="str">
        <f>Overview!A442</f>
        <v/>
      </c>
      <c r="B442" s="12" t="str">
        <f>Overview!B442</f>
        <v/>
      </c>
      <c r="C442" s="12" t="str">
        <f>Overview!C442</f>
        <v/>
      </c>
      <c r="D442" s="12" t="str">
        <f>Overview!D442</f>
        <v/>
      </c>
      <c r="E442" s="12" t="str">
        <f>Overview!E442</f>
        <v/>
      </c>
      <c r="F442" s="12" t="str">
        <f>Overview!K442</f>
        <v/>
      </c>
      <c r="G442" s="12" t="str">
        <f>Overview!L442</f>
        <v/>
      </c>
      <c r="H442" s="12" t="str">
        <f>Overview!M442</f>
        <v/>
      </c>
      <c r="I442" s="292" t="str">
        <f>Overview!N442</f>
        <v/>
      </c>
    </row>
    <row r="443">
      <c r="A443" s="12" t="str">
        <f>Overview!A443</f>
        <v/>
      </c>
      <c r="B443" s="12" t="str">
        <f>Overview!B443</f>
        <v/>
      </c>
      <c r="C443" s="12" t="str">
        <f>Overview!C443</f>
        <v/>
      </c>
      <c r="D443" s="12" t="str">
        <f>Overview!D443</f>
        <v/>
      </c>
      <c r="E443" s="12" t="str">
        <f>Overview!E443</f>
        <v/>
      </c>
      <c r="F443" s="12" t="str">
        <f>Overview!K443</f>
        <v/>
      </c>
      <c r="G443" s="12" t="str">
        <f>Overview!L443</f>
        <v/>
      </c>
      <c r="H443" s="12" t="str">
        <f>Overview!M443</f>
        <v/>
      </c>
      <c r="I443" s="292" t="str">
        <f>Overview!N443</f>
        <v/>
      </c>
    </row>
    <row r="444">
      <c r="A444" s="12" t="str">
        <f>Overview!A444</f>
        <v/>
      </c>
      <c r="B444" s="12" t="str">
        <f>Overview!B444</f>
        <v/>
      </c>
      <c r="C444" s="12" t="str">
        <f>Overview!C444</f>
        <v/>
      </c>
      <c r="D444" s="12" t="str">
        <f>Overview!D444</f>
        <v/>
      </c>
      <c r="E444" s="12" t="str">
        <f>Overview!E444</f>
        <v/>
      </c>
      <c r="F444" s="12" t="str">
        <f>Overview!K444</f>
        <v/>
      </c>
      <c r="G444" s="12" t="str">
        <f>Overview!L444</f>
        <v/>
      </c>
      <c r="H444" s="12" t="str">
        <f>Overview!M444</f>
        <v/>
      </c>
      <c r="I444" s="292" t="str">
        <f>Overview!N444</f>
        <v/>
      </c>
    </row>
    <row r="445">
      <c r="A445" s="12" t="str">
        <f>Overview!A445</f>
        <v/>
      </c>
      <c r="B445" s="12" t="str">
        <f>Overview!B445</f>
        <v/>
      </c>
      <c r="C445" s="12" t="str">
        <f>Overview!C445</f>
        <v/>
      </c>
      <c r="D445" s="12" t="str">
        <f>Overview!D445</f>
        <v/>
      </c>
      <c r="E445" s="12" t="str">
        <f>Overview!E445</f>
        <v/>
      </c>
      <c r="F445" s="12" t="str">
        <f>Overview!K445</f>
        <v/>
      </c>
      <c r="G445" s="12" t="str">
        <f>Overview!L445</f>
        <v/>
      </c>
      <c r="H445" s="12" t="str">
        <f>Overview!M445</f>
        <v/>
      </c>
      <c r="I445" s="292" t="str">
        <f>Overview!N445</f>
        <v/>
      </c>
    </row>
    <row r="446">
      <c r="A446" s="12" t="str">
        <f>Overview!A446</f>
        <v/>
      </c>
      <c r="B446" s="12" t="str">
        <f>Overview!B446</f>
        <v/>
      </c>
      <c r="C446" s="12" t="str">
        <f>Overview!C446</f>
        <v/>
      </c>
      <c r="D446" s="12" t="str">
        <f>Overview!D446</f>
        <v/>
      </c>
      <c r="E446" s="12" t="str">
        <f>Overview!E446</f>
        <v/>
      </c>
      <c r="F446" s="12" t="str">
        <f>Overview!K446</f>
        <v/>
      </c>
      <c r="G446" s="12" t="str">
        <f>Overview!L446</f>
        <v/>
      </c>
      <c r="H446" s="12" t="str">
        <f>Overview!M446</f>
        <v/>
      </c>
      <c r="I446" s="292" t="str">
        <f>Overview!N446</f>
        <v/>
      </c>
    </row>
    <row r="447">
      <c r="A447" s="12" t="str">
        <f>Overview!A447</f>
        <v/>
      </c>
      <c r="B447" s="12" t="str">
        <f>Overview!B447</f>
        <v/>
      </c>
      <c r="C447" s="12" t="str">
        <f>Overview!C447</f>
        <v/>
      </c>
      <c r="D447" s="12" t="str">
        <f>Overview!D447</f>
        <v/>
      </c>
      <c r="E447" s="12" t="str">
        <f>Overview!E447</f>
        <v/>
      </c>
      <c r="F447" s="12" t="str">
        <f>Overview!K447</f>
        <v/>
      </c>
      <c r="G447" s="12" t="str">
        <f>Overview!L447</f>
        <v/>
      </c>
      <c r="H447" s="12" t="str">
        <f>Overview!M447</f>
        <v/>
      </c>
      <c r="I447" s="292" t="str">
        <f>Overview!N447</f>
        <v/>
      </c>
    </row>
    <row r="448">
      <c r="A448" s="12" t="str">
        <f>Overview!A448</f>
        <v/>
      </c>
      <c r="B448" s="12" t="str">
        <f>Overview!B448</f>
        <v/>
      </c>
      <c r="C448" s="12" t="str">
        <f>Overview!C448</f>
        <v/>
      </c>
      <c r="D448" s="12" t="str">
        <f>Overview!D448</f>
        <v/>
      </c>
      <c r="E448" s="12" t="str">
        <f>Overview!E448</f>
        <v/>
      </c>
      <c r="F448" s="12" t="str">
        <f>Overview!K448</f>
        <v/>
      </c>
      <c r="G448" s="12" t="str">
        <f>Overview!L448</f>
        <v/>
      </c>
      <c r="H448" s="12" t="str">
        <f>Overview!M448</f>
        <v/>
      </c>
      <c r="I448" s="292" t="str">
        <f>Overview!N448</f>
        <v/>
      </c>
    </row>
    <row r="449">
      <c r="A449" s="12" t="str">
        <f>Overview!A449</f>
        <v/>
      </c>
      <c r="B449" s="12" t="str">
        <f>Overview!B449</f>
        <v/>
      </c>
      <c r="C449" s="12" t="str">
        <f>Overview!C449</f>
        <v/>
      </c>
      <c r="D449" s="12" t="str">
        <f>Overview!D449</f>
        <v/>
      </c>
      <c r="E449" s="12" t="str">
        <f>Overview!E449</f>
        <v/>
      </c>
      <c r="F449" s="12" t="str">
        <f>Overview!K449</f>
        <v/>
      </c>
      <c r="G449" s="12" t="str">
        <f>Overview!L449</f>
        <v/>
      </c>
      <c r="H449" s="12" t="str">
        <f>Overview!M449</f>
        <v/>
      </c>
      <c r="I449" s="292" t="str">
        <f>Overview!N449</f>
        <v/>
      </c>
    </row>
    <row r="450">
      <c r="A450" s="12" t="str">
        <f>Overview!A450</f>
        <v/>
      </c>
      <c r="B450" s="12" t="str">
        <f>Overview!B450</f>
        <v/>
      </c>
      <c r="C450" s="12" t="str">
        <f>Overview!C450</f>
        <v/>
      </c>
      <c r="D450" s="12" t="str">
        <f>Overview!D450</f>
        <v/>
      </c>
      <c r="E450" s="12" t="str">
        <f>Overview!E450</f>
        <v/>
      </c>
      <c r="F450" s="12" t="str">
        <f>Overview!K450</f>
        <v/>
      </c>
      <c r="G450" s="12" t="str">
        <f>Overview!L450</f>
        <v/>
      </c>
      <c r="H450" s="12" t="str">
        <f>Overview!M450</f>
        <v/>
      </c>
      <c r="I450" s="292" t="str">
        <f>Overview!N450</f>
        <v/>
      </c>
    </row>
    <row r="451">
      <c r="A451" s="12" t="str">
        <f>Overview!A451</f>
        <v/>
      </c>
      <c r="B451" s="12" t="str">
        <f>Overview!B451</f>
        <v/>
      </c>
      <c r="C451" s="12" t="str">
        <f>Overview!C451</f>
        <v/>
      </c>
      <c r="D451" s="12" t="str">
        <f>Overview!D451</f>
        <v/>
      </c>
      <c r="E451" s="12" t="str">
        <f>Overview!E451</f>
        <v/>
      </c>
      <c r="F451" s="12" t="str">
        <f>Overview!K451</f>
        <v/>
      </c>
      <c r="G451" s="12" t="str">
        <f>Overview!L451</f>
        <v/>
      </c>
      <c r="H451" s="12" t="str">
        <f>Overview!M451</f>
        <v/>
      </c>
      <c r="I451" s="292" t="str">
        <f>Overview!N451</f>
        <v/>
      </c>
    </row>
    <row r="452">
      <c r="A452" s="12" t="str">
        <f>Overview!A452</f>
        <v/>
      </c>
      <c r="B452" s="12" t="str">
        <f>Overview!B452</f>
        <v/>
      </c>
      <c r="C452" s="12" t="str">
        <f>Overview!C452</f>
        <v/>
      </c>
      <c r="D452" s="12" t="str">
        <f>Overview!D452</f>
        <v/>
      </c>
      <c r="E452" s="12" t="str">
        <f>Overview!E452</f>
        <v/>
      </c>
      <c r="F452" s="12" t="str">
        <f>Overview!K452</f>
        <v/>
      </c>
      <c r="G452" s="12" t="str">
        <f>Overview!L452</f>
        <v/>
      </c>
      <c r="H452" s="12" t="str">
        <f>Overview!M452</f>
        <v/>
      </c>
      <c r="I452" s="292" t="str">
        <f>Overview!N452</f>
        <v/>
      </c>
    </row>
    <row r="453">
      <c r="A453" s="12" t="str">
        <f>Overview!A453</f>
        <v/>
      </c>
      <c r="B453" s="12" t="str">
        <f>Overview!B453</f>
        <v/>
      </c>
      <c r="C453" s="12" t="str">
        <f>Overview!C453</f>
        <v/>
      </c>
      <c r="D453" s="12" t="str">
        <f>Overview!D453</f>
        <v/>
      </c>
      <c r="E453" s="12" t="str">
        <f>Overview!E453</f>
        <v/>
      </c>
      <c r="F453" s="12" t="str">
        <f>Overview!K453</f>
        <v/>
      </c>
      <c r="G453" s="12" t="str">
        <f>Overview!L453</f>
        <v/>
      </c>
      <c r="H453" s="12" t="str">
        <f>Overview!M453</f>
        <v/>
      </c>
      <c r="I453" s="292" t="str">
        <f>Overview!N453</f>
        <v/>
      </c>
    </row>
    <row r="454">
      <c r="A454" s="12" t="str">
        <f>Overview!A454</f>
        <v/>
      </c>
      <c r="B454" s="12" t="str">
        <f>Overview!B454</f>
        <v/>
      </c>
      <c r="C454" s="12" t="str">
        <f>Overview!C454</f>
        <v/>
      </c>
      <c r="D454" s="12" t="str">
        <f>Overview!D454</f>
        <v/>
      </c>
      <c r="E454" s="12" t="str">
        <f>Overview!E454</f>
        <v/>
      </c>
      <c r="F454" s="12" t="str">
        <f>Overview!K454</f>
        <v/>
      </c>
      <c r="G454" s="12" t="str">
        <f>Overview!L454</f>
        <v/>
      </c>
      <c r="H454" s="12" t="str">
        <f>Overview!M454</f>
        <v/>
      </c>
      <c r="I454" s="292" t="str">
        <f>Overview!N454</f>
        <v/>
      </c>
    </row>
    <row r="455">
      <c r="A455" s="12" t="str">
        <f>Overview!A455</f>
        <v/>
      </c>
      <c r="B455" s="12" t="str">
        <f>Overview!B455</f>
        <v/>
      </c>
      <c r="C455" s="12" t="str">
        <f>Overview!C455</f>
        <v/>
      </c>
      <c r="D455" s="12" t="str">
        <f>Overview!D455</f>
        <v/>
      </c>
      <c r="E455" s="12" t="str">
        <f>Overview!E455</f>
        <v/>
      </c>
      <c r="F455" s="12" t="str">
        <f>Overview!K455</f>
        <v/>
      </c>
      <c r="G455" s="12" t="str">
        <f>Overview!L455</f>
        <v/>
      </c>
      <c r="H455" s="12" t="str">
        <f>Overview!M455</f>
        <v/>
      </c>
      <c r="I455" s="292" t="str">
        <f>Overview!N455</f>
        <v/>
      </c>
    </row>
    <row r="456">
      <c r="A456" s="12" t="str">
        <f>Overview!A456</f>
        <v/>
      </c>
      <c r="B456" s="12" t="str">
        <f>Overview!B456</f>
        <v/>
      </c>
      <c r="C456" s="12" t="str">
        <f>Overview!C456</f>
        <v/>
      </c>
      <c r="D456" s="12" t="str">
        <f>Overview!D456</f>
        <v/>
      </c>
      <c r="E456" s="12" t="str">
        <f>Overview!E456</f>
        <v/>
      </c>
      <c r="F456" s="12" t="str">
        <f>Overview!K456</f>
        <v/>
      </c>
      <c r="G456" s="12" t="str">
        <f>Overview!L456</f>
        <v/>
      </c>
      <c r="H456" s="12" t="str">
        <f>Overview!M456</f>
        <v/>
      </c>
      <c r="I456" s="292" t="str">
        <f>Overview!N456</f>
        <v/>
      </c>
    </row>
    <row r="457">
      <c r="A457" s="12" t="str">
        <f>Overview!A457</f>
        <v/>
      </c>
      <c r="B457" s="12" t="str">
        <f>Overview!B457</f>
        <v/>
      </c>
      <c r="C457" s="12" t="str">
        <f>Overview!C457</f>
        <v/>
      </c>
      <c r="D457" s="12" t="str">
        <f>Overview!D457</f>
        <v/>
      </c>
      <c r="E457" s="12" t="str">
        <f>Overview!E457</f>
        <v/>
      </c>
      <c r="F457" s="12" t="str">
        <f>Overview!K457</f>
        <v/>
      </c>
      <c r="G457" s="12" t="str">
        <f>Overview!L457</f>
        <v/>
      </c>
      <c r="H457" s="12" t="str">
        <f>Overview!M457</f>
        <v/>
      </c>
      <c r="I457" s="292" t="str">
        <f>Overview!N457</f>
        <v/>
      </c>
    </row>
    <row r="458">
      <c r="A458" s="12" t="str">
        <f>Overview!A458</f>
        <v/>
      </c>
      <c r="B458" s="12" t="str">
        <f>Overview!B458</f>
        <v/>
      </c>
      <c r="C458" s="12" t="str">
        <f>Overview!C458</f>
        <v/>
      </c>
      <c r="D458" s="12" t="str">
        <f>Overview!D458</f>
        <v/>
      </c>
      <c r="E458" s="12" t="str">
        <f>Overview!E458</f>
        <v/>
      </c>
      <c r="F458" s="12" t="str">
        <f>Overview!K458</f>
        <v/>
      </c>
      <c r="G458" s="12" t="str">
        <f>Overview!L458</f>
        <v/>
      </c>
      <c r="H458" s="12" t="str">
        <f>Overview!M458</f>
        <v/>
      </c>
      <c r="I458" s="292" t="str">
        <f>Overview!N458</f>
        <v/>
      </c>
    </row>
    <row r="459">
      <c r="A459" s="12" t="str">
        <f>Overview!A459</f>
        <v/>
      </c>
      <c r="B459" s="12" t="str">
        <f>Overview!B459</f>
        <v/>
      </c>
      <c r="C459" s="12" t="str">
        <f>Overview!C459</f>
        <v/>
      </c>
      <c r="D459" s="12" t="str">
        <f>Overview!D459</f>
        <v/>
      </c>
      <c r="E459" s="12" t="str">
        <f>Overview!E459</f>
        <v/>
      </c>
      <c r="F459" s="12" t="str">
        <f>Overview!K459</f>
        <v/>
      </c>
      <c r="G459" s="12" t="str">
        <f>Overview!L459</f>
        <v/>
      </c>
      <c r="H459" s="12" t="str">
        <f>Overview!M459</f>
        <v/>
      </c>
      <c r="I459" s="292" t="str">
        <f>Overview!N459</f>
        <v/>
      </c>
    </row>
    <row r="460">
      <c r="A460" s="12" t="str">
        <f>Overview!A460</f>
        <v/>
      </c>
      <c r="B460" s="12" t="str">
        <f>Overview!B460</f>
        <v/>
      </c>
      <c r="C460" s="12" t="str">
        <f>Overview!C460</f>
        <v/>
      </c>
      <c r="D460" s="12" t="str">
        <f>Overview!D460</f>
        <v/>
      </c>
      <c r="E460" s="12" t="str">
        <f>Overview!E460</f>
        <v/>
      </c>
      <c r="F460" s="12" t="str">
        <f>Overview!K460</f>
        <v/>
      </c>
      <c r="G460" s="12" t="str">
        <f>Overview!L460</f>
        <v/>
      </c>
      <c r="H460" s="12" t="str">
        <f>Overview!M460</f>
        <v/>
      </c>
      <c r="I460" s="292" t="str">
        <f>Overview!N460</f>
        <v/>
      </c>
    </row>
    <row r="461">
      <c r="A461" s="12" t="str">
        <f>Overview!A461</f>
        <v/>
      </c>
      <c r="B461" s="12" t="str">
        <f>Overview!B461</f>
        <v/>
      </c>
      <c r="C461" s="12" t="str">
        <f>Overview!C461</f>
        <v/>
      </c>
      <c r="D461" s="12" t="str">
        <f>Overview!D461</f>
        <v/>
      </c>
      <c r="E461" s="12" t="str">
        <f>Overview!E461</f>
        <v/>
      </c>
      <c r="F461" s="12" t="str">
        <f>Overview!K461</f>
        <v/>
      </c>
      <c r="G461" s="12" t="str">
        <f>Overview!L461</f>
        <v/>
      </c>
      <c r="H461" s="12" t="str">
        <f>Overview!M461</f>
        <v/>
      </c>
      <c r="I461" s="292" t="str">
        <f>Overview!N461</f>
        <v/>
      </c>
    </row>
    <row r="462">
      <c r="A462" s="12" t="str">
        <f>Overview!A462</f>
        <v/>
      </c>
      <c r="B462" s="12" t="str">
        <f>Overview!B462</f>
        <v/>
      </c>
      <c r="C462" s="12" t="str">
        <f>Overview!C462</f>
        <v/>
      </c>
      <c r="D462" s="12" t="str">
        <f>Overview!D462</f>
        <v/>
      </c>
      <c r="E462" s="12" t="str">
        <f>Overview!E462</f>
        <v/>
      </c>
      <c r="F462" s="12" t="str">
        <f>Overview!K462</f>
        <v/>
      </c>
      <c r="G462" s="12" t="str">
        <f>Overview!L462</f>
        <v/>
      </c>
      <c r="H462" s="12" t="str">
        <f>Overview!M462</f>
        <v/>
      </c>
      <c r="I462" s="292" t="str">
        <f>Overview!N462</f>
        <v/>
      </c>
    </row>
    <row r="463">
      <c r="A463" s="12" t="str">
        <f>Overview!A463</f>
        <v/>
      </c>
      <c r="B463" s="12" t="str">
        <f>Overview!B463</f>
        <v/>
      </c>
      <c r="C463" s="12" t="str">
        <f>Overview!C463</f>
        <v/>
      </c>
      <c r="D463" s="12" t="str">
        <f>Overview!D463</f>
        <v/>
      </c>
      <c r="E463" s="12" t="str">
        <f>Overview!E463</f>
        <v/>
      </c>
      <c r="F463" s="12" t="str">
        <f>Overview!K463</f>
        <v/>
      </c>
      <c r="G463" s="12" t="str">
        <f>Overview!L463</f>
        <v/>
      </c>
      <c r="H463" s="12" t="str">
        <f>Overview!M463</f>
        <v/>
      </c>
      <c r="I463" s="292" t="str">
        <f>Overview!N463</f>
        <v/>
      </c>
    </row>
    <row r="464">
      <c r="A464" s="12" t="str">
        <f>Overview!A464</f>
        <v/>
      </c>
      <c r="B464" s="12" t="str">
        <f>Overview!B464</f>
        <v/>
      </c>
      <c r="C464" s="12" t="str">
        <f>Overview!C464</f>
        <v/>
      </c>
      <c r="D464" s="12" t="str">
        <f>Overview!D464</f>
        <v/>
      </c>
      <c r="E464" s="12" t="str">
        <f>Overview!E464</f>
        <v/>
      </c>
      <c r="F464" s="12" t="str">
        <f>Overview!K464</f>
        <v/>
      </c>
      <c r="G464" s="12" t="str">
        <f>Overview!L464</f>
        <v/>
      </c>
      <c r="H464" s="12" t="str">
        <f>Overview!M464</f>
        <v/>
      </c>
      <c r="I464" s="292" t="str">
        <f>Overview!N464</f>
        <v/>
      </c>
    </row>
    <row r="465">
      <c r="A465" s="12" t="str">
        <f>Overview!A465</f>
        <v/>
      </c>
      <c r="B465" s="12" t="str">
        <f>Overview!B465</f>
        <v/>
      </c>
      <c r="C465" s="12" t="str">
        <f>Overview!C465</f>
        <v/>
      </c>
      <c r="D465" s="12" t="str">
        <f>Overview!D465</f>
        <v/>
      </c>
      <c r="E465" s="12" t="str">
        <f>Overview!E465</f>
        <v/>
      </c>
      <c r="F465" s="12" t="str">
        <f>Overview!K465</f>
        <v/>
      </c>
      <c r="G465" s="12" t="str">
        <f>Overview!L465</f>
        <v/>
      </c>
      <c r="H465" s="12" t="str">
        <f>Overview!M465</f>
        <v/>
      </c>
      <c r="I465" s="292" t="str">
        <f>Overview!N465</f>
        <v/>
      </c>
    </row>
    <row r="466">
      <c r="A466" s="12" t="str">
        <f>Overview!A466</f>
        <v/>
      </c>
      <c r="B466" s="12" t="str">
        <f>Overview!B466</f>
        <v/>
      </c>
      <c r="C466" s="12" t="str">
        <f>Overview!C466</f>
        <v/>
      </c>
      <c r="D466" s="12" t="str">
        <f>Overview!D466</f>
        <v/>
      </c>
      <c r="E466" s="12" t="str">
        <f>Overview!E466</f>
        <v/>
      </c>
      <c r="F466" s="12" t="str">
        <f>Overview!K466</f>
        <v/>
      </c>
      <c r="G466" s="12" t="str">
        <f>Overview!L466</f>
        <v/>
      </c>
      <c r="H466" s="12" t="str">
        <f>Overview!M466</f>
        <v/>
      </c>
      <c r="I466" s="292" t="str">
        <f>Overview!N466</f>
        <v/>
      </c>
    </row>
    <row r="467">
      <c r="A467" s="12" t="str">
        <f>Overview!A467</f>
        <v/>
      </c>
      <c r="B467" s="12" t="str">
        <f>Overview!B467</f>
        <v/>
      </c>
      <c r="C467" s="12" t="str">
        <f>Overview!C467</f>
        <v/>
      </c>
      <c r="D467" s="12" t="str">
        <f>Overview!D467</f>
        <v/>
      </c>
      <c r="E467" s="12" t="str">
        <f>Overview!E467</f>
        <v/>
      </c>
      <c r="F467" s="12" t="str">
        <f>Overview!K467</f>
        <v/>
      </c>
      <c r="G467" s="12" t="str">
        <f>Overview!L467</f>
        <v/>
      </c>
      <c r="H467" s="12" t="str">
        <f>Overview!M467</f>
        <v/>
      </c>
      <c r="I467" s="292" t="str">
        <f>Overview!N467</f>
        <v/>
      </c>
    </row>
    <row r="468">
      <c r="A468" s="12" t="str">
        <f>Overview!A468</f>
        <v/>
      </c>
      <c r="B468" s="12" t="str">
        <f>Overview!B468</f>
        <v/>
      </c>
      <c r="C468" s="12" t="str">
        <f>Overview!C468</f>
        <v/>
      </c>
      <c r="D468" s="12" t="str">
        <f>Overview!D468</f>
        <v/>
      </c>
      <c r="E468" s="12" t="str">
        <f>Overview!E468</f>
        <v/>
      </c>
      <c r="F468" s="12" t="str">
        <f>Overview!K468</f>
        <v/>
      </c>
      <c r="G468" s="12" t="str">
        <f>Overview!L468</f>
        <v/>
      </c>
      <c r="H468" s="12" t="str">
        <f>Overview!M468</f>
        <v/>
      </c>
      <c r="I468" s="292" t="str">
        <f>Overview!N468</f>
        <v/>
      </c>
    </row>
    <row r="469">
      <c r="A469" s="12" t="str">
        <f>Overview!A469</f>
        <v/>
      </c>
      <c r="B469" s="12" t="str">
        <f>Overview!B469</f>
        <v/>
      </c>
      <c r="C469" s="12" t="str">
        <f>Overview!C469</f>
        <v/>
      </c>
      <c r="D469" s="12" t="str">
        <f>Overview!D469</f>
        <v/>
      </c>
      <c r="E469" s="12" t="str">
        <f>Overview!E469</f>
        <v/>
      </c>
      <c r="F469" s="12" t="str">
        <f>Overview!K469</f>
        <v/>
      </c>
      <c r="G469" s="12" t="str">
        <f>Overview!L469</f>
        <v/>
      </c>
      <c r="H469" s="12" t="str">
        <f>Overview!M469</f>
        <v/>
      </c>
      <c r="I469" s="292" t="str">
        <f>Overview!N469</f>
        <v/>
      </c>
    </row>
    <row r="470">
      <c r="A470" s="12" t="str">
        <f>Overview!A470</f>
        <v/>
      </c>
      <c r="B470" s="12" t="str">
        <f>Overview!B470</f>
        <v/>
      </c>
      <c r="C470" s="12" t="str">
        <f>Overview!C470</f>
        <v/>
      </c>
      <c r="D470" s="12" t="str">
        <f>Overview!D470</f>
        <v/>
      </c>
      <c r="E470" s="12" t="str">
        <f>Overview!E470</f>
        <v/>
      </c>
      <c r="F470" s="12" t="str">
        <f>Overview!K470</f>
        <v/>
      </c>
      <c r="G470" s="12" t="str">
        <f>Overview!L470</f>
        <v/>
      </c>
      <c r="H470" s="12" t="str">
        <f>Overview!M470</f>
        <v/>
      </c>
      <c r="I470" s="292" t="str">
        <f>Overview!N470</f>
        <v/>
      </c>
    </row>
    <row r="471">
      <c r="A471" s="12" t="str">
        <f>Overview!A471</f>
        <v/>
      </c>
      <c r="B471" s="12" t="str">
        <f>Overview!B471</f>
        <v/>
      </c>
      <c r="C471" s="12" t="str">
        <f>Overview!C471</f>
        <v/>
      </c>
      <c r="D471" s="12" t="str">
        <f>Overview!D471</f>
        <v/>
      </c>
      <c r="E471" s="12" t="str">
        <f>Overview!E471</f>
        <v/>
      </c>
      <c r="F471" s="12" t="str">
        <f>Overview!K471</f>
        <v/>
      </c>
      <c r="G471" s="12" t="str">
        <f>Overview!L471</f>
        <v/>
      </c>
      <c r="H471" s="12" t="str">
        <f>Overview!M471</f>
        <v/>
      </c>
      <c r="I471" s="292" t="str">
        <f>Overview!N471</f>
        <v/>
      </c>
    </row>
    <row r="472">
      <c r="A472" s="12" t="str">
        <f>Overview!A472</f>
        <v/>
      </c>
      <c r="B472" s="12" t="str">
        <f>Overview!B472</f>
        <v/>
      </c>
      <c r="C472" s="12" t="str">
        <f>Overview!C472</f>
        <v/>
      </c>
      <c r="D472" s="12" t="str">
        <f>Overview!D472</f>
        <v/>
      </c>
      <c r="E472" s="12" t="str">
        <f>Overview!E472</f>
        <v/>
      </c>
      <c r="F472" s="12" t="str">
        <f>Overview!K472</f>
        <v/>
      </c>
      <c r="G472" s="12" t="str">
        <f>Overview!L472</f>
        <v/>
      </c>
      <c r="H472" s="12" t="str">
        <f>Overview!M472</f>
        <v/>
      </c>
      <c r="I472" s="292" t="str">
        <f>Overview!N472</f>
        <v/>
      </c>
    </row>
    <row r="473">
      <c r="A473" s="12" t="str">
        <f>Overview!A473</f>
        <v/>
      </c>
      <c r="B473" s="12" t="str">
        <f>Overview!B473</f>
        <v/>
      </c>
      <c r="C473" s="12" t="str">
        <f>Overview!C473</f>
        <v/>
      </c>
      <c r="D473" s="12" t="str">
        <f>Overview!D473</f>
        <v/>
      </c>
      <c r="E473" s="12" t="str">
        <f>Overview!E473</f>
        <v/>
      </c>
      <c r="F473" s="12" t="str">
        <f>Overview!K473</f>
        <v/>
      </c>
      <c r="G473" s="12" t="str">
        <f>Overview!L473</f>
        <v/>
      </c>
      <c r="H473" s="12" t="str">
        <f>Overview!M473</f>
        <v/>
      </c>
      <c r="I473" s="292" t="str">
        <f>Overview!N473</f>
        <v/>
      </c>
    </row>
    <row r="474">
      <c r="A474" s="12" t="str">
        <f>Overview!A474</f>
        <v/>
      </c>
      <c r="B474" s="12" t="str">
        <f>Overview!B474</f>
        <v/>
      </c>
      <c r="C474" s="12" t="str">
        <f>Overview!C474</f>
        <v/>
      </c>
      <c r="D474" s="12" t="str">
        <f>Overview!D474</f>
        <v/>
      </c>
      <c r="E474" s="12" t="str">
        <f>Overview!E474</f>
        <v/>
      </c>
      <c r="F474" s="12" t="str">
        <f>Overview!K474</f>
        <v/>
      </c>
      <c r="G474" s="12" t="str">
        <f>Overview!L474</f>
        <v/>
      </c>
      <c r="H474" s="12" t="str">
        <f>Overview!M474</f>
        <v/>
      </c>
      <c r="I474" s="292" t="str">
        <f>Overview!N474</f>
        <v/>
      </c>
    </row>
    <row r="475">
      <c r="A475" s="12" t="str">
        <f>Overview!A475</f>
        <v/>
      </c>
      <c r="B475" s="12" t="str">
        <f>Overview!B475</f>
        <v/>
      </c>
      <c r="C475" s="12" t="str">
        <f>Overview!C475</f>
        <v/>
      </c>
      <c r="D475" s="12" t="str">
        <f>Overview!D475</f>
        <v/>
      </c>
      <c r="E475" s="12" t="str">
        <f>Overview!E475</f>
        <v/>
      </c>
      <c r="F475" s="12" t="str">
        <f>Overview!K475</f>
        <v/>
      </c>
      <c r="G475" s="12" t="str">
        <f>Overview!L475</f>
        <v/>
      </c>
      <c r="H475" s="12" t="str">
        <f>Overview!M475</f>
        <v/>
      </c>
      <c r="I475" s="292" t="str">
        <f>Overview!N475</f>
        <v/>
      </c>
    </row>
    <row r="476">
      <c r="A476" s="12" t="str">
        <f>Overview!A476</f>
        <v/>
      </c>
      <c r="B476" s="12" t="str">
        <f>Overview!B476</f>
        <v/>
      </c>
      <c r="C476" s="12" t="str">
        <f>Overview!C476</f>
        <v/>
      </c>
      <c r="D476" s="12" t="str">
        <f>Overview!D476</f>
        <v/>
      </c>
      <c r="E476" s="12" t="str">
        <f>Overview!E476</f>
        <v/>
      </c>
      <c r="F476" s="12" t="str">
        <f>Overview!K476</f>
        <v/>
      </c>
      <c r="G476" s="12" t="str">
        <f>Overview!L476</f>
        <v/>
      </c>
      <c r="H476" s="12" t="str">
        <f>Overview!M476</f>
        <v/>
      </c>
      <c r="I476" s="292" t="str">
        <f>Overview!N476</f>
        <v/>
      </c>
    </row>
    <row r="477">
      <c r="A477" s="12" t="str">
        <f>Overview!A477</f>
        <v/>
      </c>
      <c r="B477" s="12" t="str">
        <f>Overview!B477</f>
        <v/>
      </c>
      <c r="C477" s="12" t="str">
        <f>Overview!C477</f>
        <v/>
      </c>
      <c r="D477" s="12" t="str">
        <f>Overview!D477</f>
        <v/>
      </c>
      <c r="E477" s="12" t="str">
        <f>Overview!E477</f>
        <v/>
      </c>
      <c r="F477" s="12" t="str">
        <f>Overview!K477</f>
        <v/>
      </c>
      <c r="G477" s="12" t="str">
        <f>Overview!L477</f>
        <v/>
      </c>
      <c r="H477" s="12" t="str">
        <f>Overview!M477</f>
        <v/>
      </c>
      <c r="I477" s="292" t="str">
        <f>Overview!N477</f>
        <v/>
      </c>
    </row>
    <row r="478">
      <c r="A478" s="12" t="str">
        <f>Overview!A478</f>
        <v/>
      </c>
      <c r="B478" s="12" t="str">
        <f>Overview!B478</f>
        <v/>
      </c>
      <c r="C478" s="12" t="str">
        <f>Overview!C478</f>
        <v/>
      </c>
      <c r="D478" s="12" t="str">
        <f>Overview!D478</f>
        <v/>
      </c>
      <c r="E478" s="12" t="str">
        <f>Overview!E478</f>
        <v/>
      </c>
      <c r="F478" s="12" t="str">
        <f>Overview!K478</f>
        <v/>
      </c>
      <c r="G478" s="12" t="str">
        <f>Overview!L478</f>
        <v/>
      </c>
      <c r="H478" s="12" t="str">
        <f>Overview!M478</f>
        <v/>
      </c>
      <c r="I478" s="292" t="str">
        <f>Overview!N478</f>
        <v/>
      </c>
    </row>
    <row r="479">
      <c r="A479" s="12" t="str">
        <f>Overview!A479</f>
        <v/>
      </c>
      <c r="B479" s="12" t="str">
        <f>Overview!B479</f>
        <v/>
      </c>
      <c r="C479" s="12" t="str">
        <f>Overview!C479</f>
        <v/>
      </c>
      <c r="D479" s="12" t="str">
        <f>Overview!D479</f>
        <v/>
      </c>
      <c r="E479" s="12" t="str">
        <f>Overview!E479</f>
        <v/>
      </c>
      <c r="F479" s="12" t="str">
        <f>Overview!K479</f>
        <v/>
      </c>
      <c r="G479" s="12" t="str">
        <f>Overview!L479</f>
        <v/>
      </c>
      <c r="H479" s="12" t="str">
        <f>Overview!M479</f>
        <v/>
      </c>
      <c r="I479" s="292" t="str">
        <f>Overview!N479</f>
        <v/>
      </c>
    </row>
    <row r="480">
      <c r="A480" s="12" t="str">
        <f>Overview!A480</f>
        <v/>
      </c>
      <c r="B480" s="12" t="str">
        <f>Overview!B480</f>
        <v/>
      </c>
      <c r="C480" s="12" t="str">
        <f>Overview!C480</f>
        <v/>
      </c>
      <c r="D480" s="12" t="str">
        <f>Overview!D480</f>
        <v/>
      </c>
      <c r="E480" s="12" t="str">
        <f>Overview!E480</f>
        <v/>
      </c>
      <c r="F480" s="12" t="str">
        <f>Overview!K480</f>
        <v/>
      </c>
      <c r="G480" s="12" t="str">
        <f>Overview!L480</f>
        <v/>
      </c>
      <c r="H480" s="12" t="str">
        <f>Overview!M480</f>
        <v/>
      </c>
      <c r="I480" s="292" t="str">
        <f>Overview!N480</f>
        <v/>
      </c>
    </row>
    <row r="481">
      <c r="A481" s="12" t="str">
        <f>Overview!A481</f>
        <v/>
      </c>
      <c r="B481" s="12" t="str">
        <f>Overview!B481</f>
        <v/>
      </c>
      <c r="C481" s="12" t="str">
        <f>Overview!C481</f>
        <v/>
      </c>
      <c r="D481" s="12" t="str">
        <f>Overview!D481</f>
        <v/>
      </c>
      <c r="E481" s="12" t="str">
        <f>Overview!E481</f>
        <v/>
      </c>
      <c r="F481" s="12" t="str">
        <f>Overview!K481</f>
        <v/>
      </c>
      <c r="G481" s="12" t="str">
        <f>Overview!L481</f>
        <v/>
      </c>
      <c r="H481" s="12" t="str">
        <f>Overview!M481</f>
        <v/>
      </c>
      <c r="I481" s="292" t="str">
        <f>Overview!N481</f>
        <v/>
      </c>
    </row>
    <row r="482">
      <c r="A482" s="12" t="str">
        <f>Overview!A482</f>
        <v/>
      </c>
      <c r="B482" s="12" t="str">
        <f>Overview!B482</f>
        <v/>
      </c>
      <c r="C482" s="12" t="str">
        <f>Overview!C482</f>
        <v/>
      </c>
      <c r="D482" s="12" t="str">
        <f>Overview!D482</f>
        <v/>
      </c>
      <c r="E482" s="12" t="str">
        <f>Overview!E482</f>
        <v/>
      </c>
      <c r="F482" s="12" t="str">
        <f>Overview!K482</f>
        <v/>
      </c>
      <c r="G482" s="12" t="str">
        <f>Overview!L482</f>
        <v/>
      </c>
      <c r="H482" s="12" t="str">
        <f>Overview!M482</f>
        <v/>
      </c>
      <c r="I482" s="292" t="str">
        <f>Overview!N482</f>
        <v/>
      </c>
    </row>
    <row r="483">
      <c r="A483" s="12" t="str">
        <f>Overview!A483</f>
        <v/>
      </c>
      <c r="B483" s="12" t="str">
        <f>Overview!B483</f>
        <v/>
      </c>
      <c r="C483" s="12" t="str">
        <f>Overview!C483</f>
        <v/>
      </c>
      <c r="D483" s="12" t="str">
        <f>Overview!D483</f>
        <v/>
      </c>
      <c r="E483" s="12" t="str">
        <f>Overview!E483</f>
        <v/>
      </c>
      <c r="F483" s="12" t="str">
        <f>Overview!K483</f>
        <v/>
      </c>
      <c r="G483" s="12" t="str">
        <f>Overview!L483</f>
        <v/>
      </c>
      <c r="H483" s="12" t="str">
        <f>Overview!M483</f>
        <v/>
      </c>
      <c r="I483" s="292" t="str">
        <f>Overview!N483</f>
        <v/>
      </c>
    </row>
    <row r="484">
      <c r="A484" s="12" t="str">
        <f>Overview!A484</f>
        <v/>
      </c>
      <c r="B484" s="12" t="str">
        <f>Overview!B484</f>
        <v/>
      </c>
      <c r="C484" s="12" t="str">
        <f>Overview!C484</f>
        <v/>
      </c>
      <c r="D484" s="12" t="str">
        <f>Overview!D484</f>
        <v/>
      </c>
      <c r="E484" s="12" t="str">
        <f>Overview!E484</f>
        <v/>
      </c>
      <c r="F484" s="12" t="str">
        <f>Overview!K484</f>
        <v/>
      </c>
      <c r="G484" s="12" t="str">
        <f>Overview!L484</f>
        <v/>
      </c>
      <c r="H484" s="12" t="str">
        <f>Overview!M484</f>
        <v/>
      </c>
      <c r="I484" s="292" t="str">
        <f>Overview!N484</f>
        <v/>
      </c>
    </row>
    <row r="485">
      <c r="A485" s="12" t="str">
        <f>Overview!A485</f>
        <v/>
      </c>
      <c r="B485" s="12" t="str">
        <f>Overview!B485</f>
        <v/>
      </c>
      <c r="C485" s="12" t="str">
        <f>Overview!C485</f>
        <v/>
      </c>
      <c r="D485" s="12" t="str">
        <f>Overview!D485</f>
        <v/>
      </c>
      <c r="E485" s="12" t="str">
        <f>Overview!E485</f>
        <v/>
      </c>
      <c r="F485" s="12" t="str">
        <f>Overview!K485</f>
        <v/>
      </c>
      <c r="G485" s="12" t="str">
        <f>Overview!L485</f>
        <v/>
      </c>
      <c r="H485" s="12" t="str">
        <f>Overview!M485</f>
        <v/>
      </c>
      <c r="I485" s="292" t="str">
        <f>Overview!N485</f>
        <v/>
      </c>
    </row>
    <row r="486">
      <c r="A486" s="12" t="str">
        <f>Overview!A486</f>
        <v/>
      </c>
      <c r="B486" s="12" t="str">
        <f>Overview!B486</f>
        <v/>
      </c>
      <c r="C486" s="12" t="str">
        <f>Overview!C486</f>
        <v/>
      </c>
      <c r="D486" s="12" t="str">
        <f>Overview!D486</f>
        <v/>
      </c>
      <c r="E486" s="12" t="str">
        <f>Overview!E486</f>
        <v/>
      </c>
      <c r="F486" s="12" t="str">
        <f>Overview!K486</f>
        <v/>
      </c>
      <c r="G486" s="12" t="str">
        <f>Overview!L486</f>
        <v/>
      </c>
      <c r="H486" s="12" t="str">
        <f>Overview!M486</f>
        <v/>
      </c>
      <c r="I486" s="292" t="str">
        <f>Overview!N486</f>
        <v/>
      </c>
    </row>
    <row r="487">
      <c r="A487" s="12" t="str">
        <f>Overview!A487</f>
        <v/>
      </c>
      <c r="B487" s="12" t="str">
        <f>Overview!B487</f>
        <v/>
      </c>
      <c r="C487" s="12" t="str">
        <f>Overview!C487</f>
        <v/>
      </c>
      <c r="D487" s="12" t="str">
        <f>Overview!D487</f>
        <v/>
      </c>
      <c r="E487" s="12" t="str">
        <f>Overview!E487</f>
        <v/>
      </c>
      <c r="F487" s="12" t="str">
        <f>Overview!K487</f>
        <v/>
      </c>
      <c r="G487" s="12" t="str">
        <f>Overview!L487</f>
        <v/>
      </c>
      <c r="H487" s="12" t="str">
        <f>Overview!M487</f>
        <v/>
      </c>
      <c r="I487" s="292" t="str">
        <f>Overview!N487</f>
        <v/>
      </c>
    </row>
    <row r="488">
      <c r="A488" s="12" t="str">
        <f>Overview!A488</f>
        <v/>
      </c>
      <c r="B488" s="12" t="str">
        <f>Overview!B488</f>
        <v/>
      </c>
      <c r="C488" s="12" t="str">
        <f>Overview!C488</f>
        <v/>
      </c>
      <c r="D488" s="12" t="str">
        <f>Overview!D488</f>
        <v/>
      </c>
      <c r="E488" s="12" t="str">
        <f>Overview!E488</f>
        <v/>
      </c>
      <c r="F488" s="12" t="str">
        <f>Overview!K488</f>
        <v/>
      </c>
      <c r="G488" s="12" t="str">
        <f>Overview!L488</f>
        <v/>
      </c>
      <c r="H488" s="12" t="str">
        <f>Overview!M488</f>
        <v/>
      </c>
      <c r="I488" s="292" t="str">
        <f>Overview!N488</f>
        <v/>
      </c>
    </row>
    <row r="489">
      <c r="A489" s="12" t="str">
        <f>Overview!A489</f>
        <v/>
      </c>
      <c r="B489" s="12" t="str">
        <f>Overview!B489</f>
        <v/>
      </c>
      <c r="C489" s="12" t="str">
        <f>Overview!C489</f>
        <v/>
      </c>
      <c r="D489" s="12" t="str">
        <f>Overview!D489</f>
        <v/>
      </c>
      <c r="E489" s="12" t="str">
        <f>Overview!E489</f>
        <v/>
      </c>
      <c r="F489" s="12" t="str">
        <f>Overview!K489</f>
        <v/>
      </c>
      <c r="G489" s="12" t="str">
        <f>Overview!L489</f>
        <v/>
      </c>
      <c r="H489" s="12" t="str">
        <f>Overview!M489</f>
        <v/>
      </c>
      <c r="I489" s="292" t="str">
        <f>Overview!N489</f>
        <v/>
      </c>
    </row>
    <row r="490">
      <c r="A490" s="12" t="str">
        <f>Overview!A490</f>
        <v/>
      </c>
      <c r="B490" s="12" t="str">
        <f>Overview!B490</f>
        <v/>
      </c>
      <c r="C490" s="12" t="str">
        <f>Overview!C490</f>
        <v/>
      </c>
      <c r="D490" s="12" t="str">
        <f>Overview!D490</f>
        <v/>
      </c>
      <c r="E490" s="12" t="str">
        <f>Overview!E490</f>
        <v/>
      </c>
      <c r="F490" s="12" t="str">
        <f>Overview!K490</f>
        <v/>
      </c>
      <c r="G490" s="12" t="str">
        <f>Overview!L490</f>
        <v/>
      </c>
      <c r="H490" s="12" t="str">
        <f>Overview!M490</f>
        <v/>
      </c>
      <c r="I490" s="292" t="str">
        <f>Overview!N490</f>
        <v/>
      </c>
    </row>
    <row r="491">
      <c r="A491" s="12" t="str">
        <f>Overview!A491</f>
        <v/>
      </c>
      <c r="B491" s="12" t="str">
        <f>Overview!B491</f>
        <v/>
      </c>
      <c r="C491" s="12" t="str">
        <f>Overview!C491</f>
        <v/>
      </c>
      <c r="D491" s="12" t="str">
        <f>Overview!D491</f>
        <v/>
      </c>
      <c r="E491" s="12" t="str">
        <f>Overview!E491</f>
        <v/>
      </c>
      <c r="F491" s="12" t="str">
        <f>Overview!K491</f>
        <v/>
      </c>
      <c r="G491" s="12" t="str">
        <f>Overview!L491</f>
        <v/>
      </c>
      <c r="H491" s="12" t="str">
        <f>Overview!M491</f>
        <v/>
      </c>
      <c r="I491" s="292" t="str">
        <f>Overview!N491</f>
        <v/>
      </c>
    </row>
    <row r="492">
      <c r="A492" s="12" t="str">
        <f>Overview!A492</f>
        <v/>
      </c>
      <c r="B492" s="12" t="str">
        <f>Overview!B492</f>
        <v/>
      </c>
      <c r="C492" s="12" t="str">
        <f>Overview!C492</f>
        <v/>
      </c>
      <c r="D492" s="12" t="str">
        <f>Overview!D492</f>
        <v/>
      </c>
      <c r="E492" s="12" t="str">
        <f>Overview!E492</f>
        <v/>
      </c>
      <c r="F492" s="12" t="str">
        <f>Overview!K492</f>
        <v/>
      </c>
      <c r="G492" s="12" t="str">
        <f>Overview!L492</f>
        <v/>
      </c>
      <c r="H492" s="12" t="str">
        <f>Overview!M492</f>
        <v/>
      </c>
      <c r="I492" s="292" t="str">
        <f>Overview!N492</f>
        <v/>
      </c>
    </row>
    <row r="493">
      <c r="A493" s="12" t="str">
        <f>Overview!A493</f>
        <v/>
      </c>
      <c r="B493" s="12" t="str">
        <f>Overview!B493</f>
        <v/>
      </c>
      <c r="C493" s="12" t="str">
        <f>Overview!C493</f>
        <v/>
      </c>
      <c r="D493" s="12" t="str">
        <f>Overview!D493</f>
        <v/>
      </c>
      <c r="E493" s="12" t="str">
        <f>Overview!E493</f>
        <v/>
      </c>
      <c r="F493" s="12" t="str">
        <f>Overview!K493</f>
        <v/>
      </c>
      <c r="G493" s="12" t="str">
        <f>Overview!L493</f>
        <v/>
      </c>
      <c r="H493" s="12" t="str">
        <f>Overview!M493</f>
        <v/>
      </c>
      <c r="I493" s="292" t="str">
        <f>Overview!N493</f>
        <v/>
      </c>
    </row>
    <row r="494">
      <c r="A494" s="12" t="str">
        <f>Overview!A494</f>
        <v/>
      </c>
      <c r="B494" s="12" t="str">
        <f>Overview!B494</f>
        <v/>
      </c>
      <c r="C494" s="12" t="str">
        <f>Overview!C494</f>
        <v/>
      </c>
      <c r="D494" s="12" t="str">
        <f>Overview!D494</f>
        <v/>
      </c>
      <c r="E494" s="12" t="str">
        <f>Overview!E494</f>
        <v/>
      </c>
      <c r="F494" s="12" t="str">
        <f>Overview!K494</f>
        <v/>
      </c>
      <c r="G494" s="12" t="str">
        <f>Overview!L494</f>
        <v/>
      </c>
      <c r="H494" s="12" t="str">
        <f>Overview!M494</f>
        <v/>
      </c>
      <c r="I494" s="292" t="str">
        <f>Overview!N494</f>
        <v/>
      </c>
    </row>
    <row r="495">
      <c r="A495" s="12" t="str">
        <f>Overview!A495</f>
        <v/>
      </c>
      <c r="B495" s="12" t="str">
        <f>Overview!B495</f>
        <v/>
      </c>
      <c r="C495" s="12" t="str">
        <f>Overview!C495</f>
        <v/>
      </c>
      <c r="D495" s="12" t="str">
        <f>Overview!D495</f>
        <v/>
      </c>
      <c r="E495" s="12" t="str">
        <f>Overview!E495</f>
        <v/>
      </c>
      <c r="F495" s="12" t="str">
        <f>Overview!K495</f>
        <v/>
      </c>
      <c r="G495" s="12" t="str">
        <f>Overview!L495</f>
        <v/>
      </c>
      <c r="H495" s="12" t="str">
        <f>Overview!M495</f>
        <v/>
      </c>
      <c r="I495" s="292" t="str">
        <f>Overview!N495</f>
        <v/>
      </c>
    </row>
    <row r="496">
      <c r="A496" s="12" t="str">
        <f>Overview!A496</f>
        <v/>
      </c>
      <c r="B496" s="12" t="str">
        <f>Overview!B496</f>
        <v/>
      </c>
      <c r="C496" s="12" t="str">
        <f>Overview!C496</f>
        <v/>
      </c>
      <c r="D496" s="12" t="str">
        <f>Overview!D496</f>
        <v/>
      </c>
      <c r="E496" s="12" t="str">
        <f>Overview!E496</f>
        <v/>
      </c>
      <c r="F496" s="12" t="str">
        <f>Overview!K496</f>
        <v/>
      </c>
      <c r="G496" s="12" t="str">
        <f>Overview!L496</f>
        <v/>
      </c>
      <c r="H496" s="12" t="str">
        <f>Overview!M496</f>
        <v/>
      </c>
      <c r="I496" s="292" t="str">
        <f>Overview!N496</f>
        <v/>
      </c>
    </row>
    <row r="497">
      <c r="A497" s="12" t="str">
        <f>Overview!A497</f>
        <v/>
      </c>
      <c r="B497" s="12" t="str">
        <f>Overview!B497</f>
        <v/>
      </c>
      <c r="C497" s="12" t="str">
        <f>Overview!C497</f>
        <v/>
      </c>
      <c r="D497" s="12" t="str">
        <f>Overview!D497</f>
        <v/>
      </c>
      <c r="E497" s="12" t="str">
        <f>Overview!E497</f>
        <v/>
      </c>
      <c r="F497" s="12" t="str">
        <f>Overview!K497</f>
        <v/>
      </c>
      <c r="G497" s="12" t="str">
        <f>Overview!L497</f>
        <v/>
      </c>
      <c r="H497" s="12" t="str">
        <f>Overview!M497</f>
        <v/>
      </c>
      <c r="I497" s="292" t="str">
        <f>Overview!N497</f>
        <v/>
      </c>
    </row>
    <row r="498">
      <c r="A498" s="12" t="str">
        <f>Overview!A498</f>
        <v/>
      </c>
      <c r="B498" s="12" t="str">
        <f>Overview!B498</f>
        <v/>
      </c>
      <c r="C498" s="12" t="str">
        <f>Overview!C498</f>
        <v/>
      </c>
      <c r="D498" s="12" t="str">
        <f>Overview!D498</f>
        <v/>
      </c>
      <c r="E498" s="12" t="str">
        <f>Overview!E498</f>
        <v/>
      </c>
      <c r="F498" s="12" t="str">
        <f>Overview!K498</f>
        <v/>
      </c>
      <c r="G498" s="12" t="str">
        <f>Overview!L498</f>
        <v/>
      </c>
      <c r="H498" s="12" t="str">
        <f>Overview!M498</f>
        <v/>
      </c>
      <c r="I498" s="292" t="str">
        <f>Overview!N498</f>
        <v/>
      </c>
    </row>
    <row r="499">
      <c r="A499" s="12" t="str">
        <f>Overview!A499</f>
        <v/>
      </c>
      <c r="B499" s="12" t="str">
        <f>Overview!B499</f>
        <v/>
      </c>
      <c r="C499" s="12" t="str">
        <f>Overview!C499</f>
        <v/>
      </c>
      <c r="D499" s="12" t="str">
        <f>Overview!D499</f>
        <v/>
      </c>
      <c r="E499" s="12" t="str">
        <f>Overview!E499</f>
        <v/>
      </c>
      <c r="F499" s="12" t="str">
        <f>Overview!K499</f>
        <v/>
      </c>
      <c r="G499" s="12" t="str">
        <f>Overview!L499</f>
        <v/>
      </c>
      <c r="H499" s="12" t="str">
        <f>Overview!M499</f>
        <v/>
      </c>
      <c r="I499" s="292" t="str">
        <f>Overview!N499</f>
        <v/>
      </c>
    </row>
    <row r="500">
      <c r="A500" s="12" t="str">
        <f>Overview!A500</f>
        <v/>
      </c>
      <c r="B500" s="12" t="str">
        <f>Overview!B500</f>
        <v/>
      </c>
      <c r="C500" s="12" t="str">
        <f>Overview!C500</f>
        <v/>
      </c>
      <c r="D500" s="12" t="str">
        <f>Overview!D500</f>
        <v/>
      </c>
      <c r="E500" s="12" t="str">
        <f>Overview!E500</f>
        <v/>
      </c>
      <c r="F500" s="12" t="str">
        <f>Overview!K500</f>
        <v/>
      </c>
      <c r="G500" s="12" t="str">
        <f>Overview!L500</f>
        <v/>
      </c>
      <c r="H500" s="12" t="str">
        <f>Overview!M500</f>
        <v/>
      </c>
      <c r="I500" s="292" t="str">
        <f>Overview!N500</f>
        <v/>
      </c>
    </row>
    <row r="501">
      <c r="A501" s="12" t="str">
        <f>Overview!A501</f>
        <v/>
      </c>
      <c r="B501" s="12" t="str">
        <f>Overview!B501</f>
        <v/>
      </c>
      <c r="C501" s="12" t="str">
        <f>Overview!C501</f>
        <v/>
      </c>
      <c r="D501" s="12" t="str">
        <f>Overview!D501</f>
        <v/>
      </c>
      <c r="E501" s="12" t="str">
        <f>Overview!E501</f>
        <v/>
      </c>
      <c r="F501" s="12" t="str">
        <f>Overview!K501</f>
        <v/>
      </c>
      <c r="G501" s="12" t="str">
        <f>Overview!L501</f>
        <v/>
      </c>
      <c r="H501" s="12" t="str">
        <f>Overview!M501</f>
        <v/>
      </c>
      <c r="I501" s="292" t="str">
        <f>Overview!N501</f>
        <v/>
      </c>
    </row>
    <row r="502">
      <c r="A502" s="12" t="str">
        <f>Overview!A502</f>
        <v/>
      </c>
      <c r="B502" s="12" t="str">
        <f>Overview!B502</f>
        <v/>
      </c>
      <c r="C502" s="12" t="str">
        <f>Overview!C502</f>
        <v/>
      </c>
      <c r="D502" s="12" t="str">
        <f>Overview!D502</f>
        <v/>
      </c>
      <c r="E502" s="12" t="str">
        <f>Overview!E502</f>
        <v/>
      </c>
      <c r="F502" s="12" t="str">
        <f>Overview!K502</f>
        <v/>
      </c>
      <c r="G502" s="12" t="str">
        <f>Overview!L502</f>
        <v/>
      </c>
      <c r="H502" s="12" t="str">
        <f>Overview!M502</f>
        <v/>
      </c>
      <c r="I502" s="292" t="str">
        <f>Overview!N502</f>
        <v/>
      </c>
    </row>
    <row r="503">
      <c r="A503" s="12" t="str">
        <f>Overview!A503</f>
        <v/>
      </c>
      <c r="B503" s="12" t="str">
        <f>Overview!B503</f>
        <v/>
      </c>
      <c r="C503" s="12" t="str">
        <f>Overview!C503</f>
        <v/>
      </c>
      <c r="D503" s="12" t="str">
        <f>Overview!D503</f>
        <v/>
      </c>
      <c r="E503" s="12" t="str">
        <f>Overview!E503</f>
        <v/>
      </c>
      <c r="F503" s="12" t="str">
        <f>Overview!K503</f>
        <v/>
      </c>
      <c r="G503" s="12" t="str">
        <f>Overview!L503</f>
        <v/>
      </c>
      <c r="H503" s="12" t="str">
        <f>Overview!M503</f>
        <v/>
      </c>
      <c r="I503" s="292" t="str">
        <f>Overview!N503</f>
        <v/>
      </c>
    </row>
    <row r="504">
      <c r="A504" s="12" t="str">
        <f>Overview!A504</f>
        <v/>
      </c>
      <c r="B504" s="12" t="str">
        <f>Overview!B504</f>
        <v/>
      </c>
      <c r="C504" s="12" t="str">
        <f>Overview!C504</f>
        <v/>
      </c>
      <c r="D504" s="12" t="str">
        <f>Overview!D504</f>
        <v/>
      </c>
      <c r="E504" s="12" t="str">
        <f>Overview!E504</f>
        <v/>
      </c>
      <c r="F504" s="12" t="str">
        <f>Overview!K504</f>
        <v/>
      </c>
      <c r="G504" s="12" t="str">
        <f>Overview!L504</f>
        <v/>
      </c>
      <c r="H504" s="12" t="str">
        <f>Overview!M504</f>
        <v/>
      </c>
      <c r="I504" s="292" t="str">
        <f>Overview!N504</f>
        <v/>
      </c>
    </row>
    <row r="505">
      <c r="A505" s="12" t="str">
        <f>Overview!A505</f>
        <v/>
      </c>
      <c r="B505" s="12" t="str">
        <f>Overview!B505</f>
        <v/>
      </c>
      <c r="C505" s="12" t="str">
        <f>Overview!C505</f>
        <v/>
      </c>
      <c r="D505" s="12" t="str">
        <f>Overview!D505</f>
        <v/>
      </c>
      <c r="E505" s="12" t="str">
        <f>Overview!E505</f>
        <v/>
      </c>
      <c r="F505" s="12" t="str">
        <f>Overview!K505</f>
        <v/>
      </c>
      <c r="G505" s="12" t="str">
        <f>Overview!L505</f>
        <v/>
      </c>
      <c r="H505" s="12" t="str">
        <f>Overview!M505</f>
        <v/>
      </c>
      <c r="I505" s="292" t="str">
        <f>Overview!N505</f>
        <v/>
      </c>
    </row>
    <row r="506">
      <c r="A506" s="12" t="str">
        <f>Overview!A506</f>
        <v/>
      </c>
      <c r="B506" s="12" t="str">
        <f>Overview!B506</f>
        <v/>
      </c>
      <c r="C506" s="12" t="str">
        <f>Overview!C506</f>
        <v/>
      </c>
      <c r="D506" s="12" t="str">
        <f>Overview!D506</f>
        <v/>
      </c>
      <c r="E506" s="12" t="str">
        <f>Overview!E506</f>
        <v/>
      </c>
      <c r="F506" s="12" t="str">
        <f>Overview!K506</f>
        <v/>
      </c>
      <c r="G506" s="12" t="str">
        <f>Overview!L506</f>
        <v/>
      </c>
      <c r="H506" s="12" t="str">
        <f>Overview!M506</f>
        <v/>
      </c>
      <c r="I506" s="292" t="str">
        <f>Overview!N506</f>
        <v/>
      </c>
    </row>
    <row r="507">
      <c r="A507" s="12" t="str">
        <f>Overview!A507</f>
        <v/>
      </c>
      <c r="B507" s="12" t="str">
        <f>Overview!B507</f>
        <v/>
      </c>
      <c r="C507" s="12" t="str">
        <f>Overview!C507</f>
        <v/>
      </c>
      <c r="D507" s="12" t="str">
        <f>Overview!D507</f>
        <v/>
      </c>
      <c r="E507" s="12" t="str">
        <f>Overview!E507</f>
        <v/>
      </c>
      <c r="F507" s="12" t="str">
        <f>Overview!K507</f>
        <v/>
      </c>
      <c r="G507" s="12" t="str">
        <f>Overview!L507</f>
        <v/>
      </c>
      <c r="H507" s="12" t="str">
        <f>Overview!M507</f>
        <v/>
      </c>
      <c r="I507" s="292" t="str">
        <f>Overview!N507</f>
        <v/>
      </c>
    </row>
    <row r="508">
      <c r="A508" s="12" t="str">
        <f>Overview!A508</f>
        <v/>
      </c>
      <c r="B508" s="12" t="str">
        <f>Overview!B508</f>
        <v/>
      </c>
      <c r="C508" s="12" t="str">
        <f>Overview!C508</f>
        <v/>
      </c>
      <c r="D508" s="12" t="str">
        <f>Overview!D508</f>
        <v/>
      </c>
      <c r="E508" s="12" t="str">
        <f>Overview!E508</f>
        <v/>
      </c>
      <c r="F508" s="12" t="str">
        <f>Overview!K508</f>
        <v/>
      </c>
      <c r="G508" s="12" t="str">
        <f>Overview!L508</f>
        <v/>
      </c>
      <c r="H508" s="12" t="str">
        <f>Overview!M508</f>
        <v/>
      </c>
      <c r="I508" s="292" t="str">
        <f>Overview!N508</f>
        <v/>
      </c>
    </row>
    <row r="509">
      <c r="A509" s="12" t="str">
        <f>Overview!A509</f>
        <v/>
      </c>
      <c r="B509" s="12" t="str">
        <f>Overview!B509</f>
        <v/>
      </c>
      <c r="C509" s="12" t="str">
        <f>Overview!C509</f>
        <v/>
      </c>
      <c r="D509" s="12" t="str">
        <f>Overview!D509</f>
        <v/>
      </c>
      <c r="E509" s="12" t="str">
        <f>Overview!E509</f>
        <v/>
      </c>
      <c r="F509" s="12" t="str">
        <f>Overview!K509</f>
        <v/>
      </c>
      <c r="G509" s="12" t="str">
        <f>Overview!L509</f>
        <v/>
      </c>
      <c r="H509" s="12" t="str">
        <f>Overview!M509</f>
        <v/>
      </c>
      <c r="I509" s="292" t="str">
        <f>Overview!N509</f>
        <v/>
      </c>
    </row>
    <row r="510">
      <c r="A510" s="12" t="str">
        <f>Overview!A510</f>
        <v/>
      </c>
      <c r="B510" s="12" t="str">
        <f>Overview!B510</f>
        <v/>
      </c>
      <c r="C510" s="12" t="str">
        <f>Overview!C510</f>
        <v/>
      </c>
      <c r="D510" s="12" t="str">
        <f>Overview!D510</f>
        <v/>
      </c>
      <c r="E510" s="12" t="str">
        <f>Overview!E510</f>
        <v/>
      </c>
      <c r="F510" s="12" t="str">
        <f>Overview!K510</f>
        <v/>
      </c>
      <c r="G510" s="12" t="str">
        <f>Overview!L510</f>
        <v/>
      </c>
      <c r="H510" s="12" t="str">
        <f>Overview!M510</f>
        <v/>
      </c>
      <c r="I510" s="292" t="str">
        <f>Overview!N510</f>
        <v/>
      </c>
    </row>
    <row r="511">
      <c r="A511" s="12" t="str">
        <f>Overview!A511</f>
        <v/>
      </c>
      <c r="B511" s="12" t="str">
        <f>Overview!B511</f>
        <v/>
      </c>
      <c r="C511" s="12" t="str">
        <f>Overview!C511</f>
        <v/>
      </c>
      <c r="D511" s="12" t="str">
        <f>Overview!D511</f>
        <v/>
      </c>
      <c r="E511" s="12" t="str">
        <f>Overview!E511</f>
        <v/>
      </c>
      <c r="F511" s="12" t="str">
        <f>Overview!K511</f>
        <v/>
      </c>
      <c r="G511" s="12" t="str">
        <f>Overview!L511</f>
        <v/>
      </c>
      <c r="H511" s="12" t="str">
        <f>Overview!M511</f>
        <v/>
      </c>
      <c r="I511" s="292" t="str">
        <f>Overview!N511</f>
        <v/>
      </c>
    </row>
    <row r="512">
      <c r="A512" s="12" t="str">
        <f>Overview!A512</f>
        <v/>
      </c>
      <c r="B512" s="12" t="str">
        <f>Overview!B512</f>
        <v/>
      </c>
      <c r="C512" s="12" t="str">
        <f>Overview!C512</f>
        <v/>
      </c>
      <c r="D512" s="12" t="str">
        <f>Overview!D512</f>
        <v/>
      </c>
      <c r="E512" s="12" t="str">
        <f>Overview!E512</f>
        <v/>
      </c>
      <c r="F512" s="12" t="str">
        <f>Overview!K512</f>
        <v/>
      </c>
      <c r="G512" s="12" t="str">
        <f>Overview!L512</f>
        <v/>
      </c>
      <c r="H512" s="12" t="str">
        <f>Overview!M512</f>
        <v/>
      </c>
      <c r="I512" s="292" t="str">
        <f>Overview!N512</f>
        <v/>
      </c>
    </row>
    <row r="513">
      <c r="A513" s="12" t="str">
        <f>Overview!A513</f>
        <v/>
      </c>
      <c r="B513" s="12" t="str">
        <f>Overview!B513</f>
        <v/>
      </c>
      <c r="C513" s="12" t="str">
        <f>Overview!C513</f>
        <v/>
      </c>
      <c r="D513" s="12" t="str">
        <f>Overview!D513</f>
        <v/>
      </c>
      <c r="E513" s="12" t="str">
        <f>Overview!E513</f>
        <v/>
      </c>
      <c r="F513" s="12" t="str">
        <f>Overview!K513</f>
        <v/>
      </c>
      <c r="G513" s="12" t="str">
        <f>Overview!L513</f>
        <v/>
      </c>
      <c r="H513" s="12" t="str">
        <f>Overview!M513</f>
        <v/>
      </c>
      <c r="I513" s="292" t="str">
        <f>Overview!N513</f>
        <v/>
      </c>
    </row>
    <row r="514">
      <c r="A514" s="12" t="str">
        <f>Overview!A514</f>
        <v/>
      </c>
      <c r="B514" s="12" t="str">
        <f>Overview!B514</f>
        <v/>
      </c>
      <c r="C514" s="12" t="str">
        <f>Overview!C514</f>
        <v/>
      </c>
      <c r="D514" s="12" t="str">
        <f>Overview!D514</f>
        <v/>
      </c>
      <c r="E514" s="12" t="str">
        <f>Overview!E514</f>
        <v/>
      </c>
      <c r="F514" s="12" t="str">
        <f>Overview!K514</f>
        <v/>
      </c>
      <c r="G514" s="12" t="str">
        <f>Overview!L514</f>
        <v/>
      </c>
      <c r="H514" s="12" t="str">
        <f>Overview!M514</f>
        <v/>
      </c>
      <c r="I514" s="292" t="str">
        <f>Overview!N514</f>
        <v/>
      </c>
    </row>
    <row r="515">
      <c r="A515" s="12" t="str">
        <f>Overview!A515</f>
        <v/>
      </c>
      <c r="B515" s="12" t="str">
        <f>Overview!B515</f>
        <v/>
      </c>
      <c r="C515" s="12" t="str">
        <f>Overview!C515</f>
        <v/>
      </c>
      <c r="D515" s="12" t="str">
        <f>Overview!D515</f>
        <v/>
      </c>
      <c r="E515" s="12" t="str">
        <f>Overview!E515</f>
        <v/>
      </c>
      <c r="F515" s="12" t="str">
        <f>Overview!K515</f>
        <v/>
      </c>
      <c r="G515" s="12" t="str">
        <f>Overview!L515</f>
        <v/>
      </c>
      <c r="H515" s="12" t="str">
        <f>Overview!M515</f>
        <v/>
      </c>
      <c r="I515" s="292" t="str">
        <f>Overview!N515</f>
        <v/>
      </c>
    </row>
    <row r="516">
      <c r="A516" s="12" t="str">
        <f>Overview!A516</f>
        <v/>
      </c>
      <c r="B516" s="12" t="str">
        <f>Overview!B516</f>
        <v/>
      </c>
      <c r="C516" s="12" t="str">
        <f>Overview!C516</f>
        <v/>
      </c>
      <c r="D516" s="12" t="str">
        <f>Overview!D516</f>
        <v/>
      </c>
      <c r="E516" s="12" t="str">
        <f>Overview!E516</f>
        <v/>
      </c>
      <c r="F516" s="12" t="str">
        <f>Overview!K516</f>
        <v/>
      </c>
      <c r="G516" s="12" t="str">
        <f>Overview!L516</f>
        <v/>
      </c>
      <c r="H516" s="12" t="str">
        <f>Overview!M516</f>
        <v/>
      </c>
      <c r="I516" s="292" t="str">
        <f>Overview!N516</f>
        <v/>
      </c>
    </row>
    <row r="517">
      <c r="A517" s="12" t="str">
        <f>Overview!A517</f>
        <v/>
      </c>
      <c r="B517" s="12" t="str">
        <f>Overview!B517</f>
        <v/>
      </c>
      <c r="C517" s="12" t="str">
        <f>Overview!C517</f>
        <v/>
      </c>
      <c r="D517" s="12" t="str">
        <f>Overview!D517</f>
        <v/>
      </c>
      <c r="E517" s="12" t="str">
        <f>Overview!E517</f>
        <v/>
      </c>
      <c r="F517" s="12" t="str">
        <f>Overview!K517</f>
        <v/>
      </c>
      <c r="G517" s="12" t="str">
        <f>Overview!L517</f>
        <v/>
      </c>
      <c r="H517" s="12" t="str">
        <f>Overview!M517</f>
        <v/>
      </c>
      <c r="I517" s="292" t="str">
        <f>Overview!N517</f>
        <v/>
      </c>
    </row>
    <row r="518">
      <c r="A518" s="12" t="str">
        <f>Overview!A518</f>
        <v/>
      </c>
      <c r="B518" s="12" t="str">
        <f>Overview!B518</f>
        <v/>
      </c>
      <c r="C518" s="12" t="str">
        <f>Overview!C518</f>
        <v/>
      </c>
      <c r="D518" s="12" t="str">
        <f>Overview!D518</f>
        <v/>
      </c>
      <c r="E518" s="12" t="str">
        <f>Overview!E518</f>
        <v/>
      </c>
      <c r="F518" s="12" t="str">
        <f>Overview!K518</f>
        <v/>
      </c>
      <c r="G518" s="12" t="str">
        <f>Overview!L518</f>
        <v/>
      </c>
      <c r="H518" s="12" t="str">
        <f>Overview!M518</f>
        <v/>
      </c>
      <c r="I518" s="292" t="str">
        <f>Overview!N518</f>
        <v/>
      </c>
    </row>
    <row r="519">
      <c r="A519" s="12" t="str">
        <f>Overview!A519</f>
        <v/>
      </c>
      <c r="B519" s="12" t="str">
        <f>Overview!B519</f>
        <v/>
      </c>
      <c r="C519" s="12" t="str">
        <f>Overview!C519</f>
        <v/>
      </c>
      <c r="D519" s="12" t="str">
        <f>Overview!D519</f>
        <v/>
      </c>
      <c r="E519" s="12" t="str">
        <f>Overview!E519</f>
        <v/>
      </c>
      <c r="F519" s="12" t="str">
        <f>Overview!K519</f>
        <v/>
      </c>
      <c r="G519" s="12" t="str">
        <f>Overview!L519</f>
        <v/>
      </c>
      <c r="H519" s="12" t="str">
        <f>Overview!M519</f>
        <v/>
      </c>
      <c r="I519" s="292" t="str">
        <f>Overview!N519</f>
        <v/>
      </c>
    </row>
    <row r="520">
      <c r="A520" s="12" t="str">
        <f>Overview!A520</f>
        <v/>
      </c>
      <c r="B520" s="12" t="str">
        <f>Overview!B520</f>
        <v/>
      </c>
      <c r="C520" s="12" t="str">
        <f>Overview!C520</f>
        <v/>
      </c>
      <c r="D520" s="12" t="str">
        <f>Overview!D520</f>
        <v/>
      </c>
      <c r="E520" s="12" t="str">
        <f>Overview!E520</f>
        <v/>
      </c>
      <c r="F520" s="12" t="str">
        <f>Overview!K520</f>
        <v/>
      </c>
      <c r="G520" s="12" t="str">
        <f>Overview!L520</f>
        <v/>
      </c>
      <c r="H520" s="12" t="str">
        <f>Overview!M520</f>
        <v/>
      </c>
      <c r="I520" s="292" t="str">
        <f>Overview!N520</f>
        <v/>
      </c>
    </row>
    <row r="521">
      <c r="A521" s="12" t="str">
        <f>Overview!A521</f>
        <v/>
      </c>
      <c r="B521" s="12" t="str">
        <f>Overview!B521</f>
        <v/>
      </c>
      <c r="C521" s="12" t="str">
        <f>Overview!C521</f>
        <v/>
      </c>
      <c r="D521" s="12" t="str">
        <f>Overview!D521</f>
        <v/>
      </c>
      <c r="E521" s="12" t="str">
        <f>Overview!E521</f>
        <v/>
      </c>
      <c r="F521" s="12" t="str">
        <f>Overview!K521</f>
        <v/>
      </c>
      <c r="G521" s="12" t="str">
        <f>Overview!L521</f>
        <v/>
      </c>
      <c r="H521" s="12" t="str">
        <f>Overview!M521</f>
        <v/>
      </c>
      <c r="I521" s="292" t="str">
        <f>Overview!N521</f>
        <v/>
      </c>
    </row>
    <row r="522">
      <c r="A522" s="12" t="str">
        <f>Overview!A522</f>
        <v/>
      </c>
      <c r="B522" s="12" t="str">
        <f>Overview!B522</f>
        <v/>
      </c>
      <c r="C522" s="12" t="str">
        <f>Overview!C522</f>
        <v/>
      </c>
      <c r="D522" s="12" t="str">
        <f>Overview!D522</f>
        <v/>
      </c>
      <c r="E522" s="12" t="str">
        <f>Overview!E522</f>
        <v/>
      </c>
      <c r="F522" s="12" t="str">
        <f>Overview!K522</f>
        <v/>
      </c>
      <c r="G522" s="12" t="str">
        <f>Overview!L522</f>
        <v/>
      </c>
      <c r="H522" s="12" t="str">
        <f>Overview!M522</f>
        <v/>
      </c>
      <c r="I522" s="292" t="str">
        <f>Overview!N522</f>
        <v/>
      </c>
    </row>
    <row r="523">
      <c r="A523" s="12" t="str">
        <f>Overview!A523</f>
        <v/>
      </c>
      <c r="B523" s="12" t="str">
        <f>Overview!B523</f>
        <v/>
      </c>
      <c r="C523" s="12" t="str">
        <f>Overview!C523</f>
        <v/>
      </c>
      <c r="D523" s="12" t="str">
        <f>Overview!D523</f>
        <v/>
      </c>
      <c r="E523" s="12" t="str">
        <f>Overview!E523</f>
        <v/>
      </c>
      <c r="F523" s="12" t="str">
        <f>Overview!K523</f>
        <v/>
      </c>
      <c r="G523" s="12" t="str">
        <f>Overview!L523</f>
        <v/>
      </c>
      <c r="H523" s="12" t="str">
        <f>Overview!M523</f>
        <v/>
      </c>
      <c r="I523" s="292" t="str">
        <f>Overview!N523</f>
        <v/>
      </c>
    </row>
    <row r="524">
      <c r="A524" s="12" t="str">
        <f>Overview!A524</f>
        <v/>
      </c>
      <c r="B524" s="12" t="str">
        <f>Overview!B524</f>
        <v/>
      </c>
      <c r="C524" s="12" t="str">
        <f>Overview!C524</f>
        <v/>
      </c>
      <c r="D524" s="12" t="str">
        <f>Overview!D524</f>
        <v/>
      </c>
      <c r="E524" s="12" t="str">
        <f>Overview!E524</f>
        <v/>
      </c>
      <c r="F524" s="12" t="str">
        <f>Overview!K524</f>
        <v/>
      </c>
      <c r="G524" s="12" t="str">
        <f>Overview!L524</f>
        <v/>
      </c>
      <c r="H524" s="12" t="str">
        <f>Overview!M524</f>
        <v/>
      </c>
      <c r="I524" s="292" t="str">
        <f>Overview!N524</f>
        <v/>
      </c>
    </row>
    <row r="525">
      <c r="A525" s="12" t="str">
        <f>Overview!A525</f>
        <v/>
      </c>
      <c r="B525" s="12" t="str">
        <f>Overview!B525</f>
        <v/>
      </c>
      <c r="C525" s="12" t="str">
        <f>Overview!C525</f>
        <v/>
      </c>
      <c r="D525" s="12" t="str">
        <f>Overview!D525</f>
        <v/>
      </c>
      <c r="E525" s="12" t="str">
        <f>Overview!E525</f>
        <v/>
      </c>
      <c r="F525" s="12" t="str">
        <f>Overview!K525</f>
        <v/>
      </c>
      <c r="G525" s="12" t="str">
        <f>Overview!L525</f>
        <v/>
      </c>
      <c r="H525" s="12" t="str">
        <f>Overview!M525</f>
        <v/>
      </c>
      <c r="I525" s="292" t="str">
        <f>Overview!N525</f>
        <v/>
      </c>
    </row>
    <row r="526">
      <c r="A526" s="12" t="str">
        <f>Overview!A526</f>
        <v/>
      </c>
      <c r="B526" s="12" t="str">
        <f>Overview!B526</f>
        <v/>
      </c>
      <c r="C526" s="12" t="str">
        <f>Overview!C526</f>
        <v/>
      </c>
      <c r="D526" s="12" t="str">
        <f>Overview!D526</f>
        <v/>
      </c>
      <c r="E526" s="12" t="str">
        <f>Overview!E526</f>
        <v/>
      </c>
      <c r="F526" s="12" t="str">
        <f>Overview!K526</f>
        <v/>
      </c>
      <c r="G526" s="12" t="str">
        <f>Overview!L526</f>
        <v/>
      </c>
      <c r="H526" s="12" t="str">
        <f>Overview!M526</f>
        <v/>
      </c>
      <c r="I526" s="292" t="str">
        <f>Overview!N526</f>
        <v/>
      </c>
    </row>
    <row r="527">
      <c r="A527" s="12" t="str">
        <f>Overview!A527</f>
        <v/>
      </c>
      <c r="B527" s="12" t="str">
        <f>Overview!B527</f>
        <v/>
      </c>
      <c r="C527" s="12" t="str">
        <f>Overview!C527</f>
        <v/>
      </c>
      <c r="D527" s="12" t="str">
        <f>Overview!D527</f>
        <v/>
      </c>
      <c r="E527" s="12" t="str">
        <f>Overview!E527</f>
        <v/>
      </c>
      <c r="F527" s="12" t="str">
        <f>Overview!K527</f>
        <v/>
      </c>
      <c r="G527" s="12" t="str">
        <f>Overview!L527</f>
        <v/>
      </c>
      <c r="H527" s="12" t="str">
        <f>Overview!M527</f>
        <v/>
      </c>
      <c r="I527" s="292" t="str">
        <f>Overview!N527</f>
        <v/>
      </c>
    </row>
    <row r="528">
      <c r="A528" s="12" t="str">
        <f>Overview!A528</f>
        <v/>
      </c>
      <c r="B528" s="12" t="str">
        <f>Overview!B528</f>
        <v/>
      </c>
      <c r="C528" s="12" t="str">
        <f>Overview!C528</f>
        <v/>
      </c>
      <c r="D528" s="12" t="str">
        <f>Overview!D528</f>
        <v/>
      </c>
      <c r="E528" s="12" t="str">
        <f>Overview!E528</f>
        <v/>
      </c>
      <c r="F528" s="12" t="str">
        <f>Overview!K528</f>
        <v/>
      </c>
      <c r="G528" s="12" t="str">
        <f>Overview!L528</f>
        <v/>
      </c>
      <c r="H528" s="12" t="str">
        <f>Overview!M528</f>
        <v/>
      </c>
      <c r="I528" s="292" t="str">
        <f>Overview!N528</f>
        <v/>
      </c>
    </row>
    <row r="529">
      <c r="A529" s="12" t="str">
        <f>Overview!A529</f>
        <v/>
      </c>
      <c r="B529" s="12" t="str">
        <f>Overview!B529</f>
        <v/>
      </c>
      <c r="C529" s="12" t="str">
        <f>Overview!C529</f>
        <v/>
      </c>
      <c r="D529" s="12" t="str">
        <f>Overview!D529</f>
        <v/>
      </c>
      <c r="E529" s="12" t="str">
        <f>Overview!E529</f>
        <v/>
      </c>
      <c r="F529" s="12" t="str">
        <f>Overview!K529</f>
        <v/>
      </c>
      <c r="G529" s="12" t="str">
        <f>Overview!L529</f>
        <v/>
      </c>
      <c r="H529" s="12" t="str">
        <f>Overview!M529</f>
        <v/>
      </c>
      <c r="I529" s="292" t="str">
        <f>Overview!N529</f>
        <v/>
      </c>
    </row>
    <row r="530">
      <c r="A530" s="12" t="str">
        <f>Overview!A530</f>
        <v/>
      </c>
      <c r="B530" s="12" t="str">
        <f>Overview!B530</f>
        <v/>
      </c>
      <c r="C530" s="12" t="str">
        <f>Overview!C530</f>
        <v/>
      </c>
      <c r="D530" s="12" t="str">
        <f>Overview!D530</f>
        <v/>
      </c>
      <c r="E530" s="12" t="str">
        <f>Overview!E530</f>
        <v/>
      </c>
      <c r="F530" s="12" t="str">
        <f>Overview!K530</f>
        <v/>
      </c>
      <c r="G530" s="12" t="str">
        <f>Overview!L530</f>
        <v/>
      </c>
      <c r="H530" s="12" t="str">
        <f>Overview!M530</f>
        <v/>
      </c>
      <c r="I530" s="292" t="str">
        <f>Overview!N530</f>
        <v/>
      </c>
    </row>
    <row r="531">
      <c r="A531" s="12" t="str">
        <f>Overview!A531</f>
        <v/>
      </c>
      <c r="B531" s="12" t="str">
        <f>Overview!B531</f>
        <v/>
      </c>
      <c r="C531" s="12" t="str">
        <f>Overview!C531</f>
        <v/>
      </c>
      <c r="D531" s="12" t="str">
        <f>Overview!D531</f>
        <v/>
      </c>
      <c r="E531" s="12" t="str">
        <f>Overview!E531</f>
        <v/>
      </c>
      <c r="F531" s="12" t="str">
        <f>Overview!K531</f>
        <v/>
      </c>
      <c r="G531" s="12" t="str">
        <f>Overview!L531</f>
        <v/>
      </c>
      <c r="H531" s="12" t="str">
        <f>Overview!M531</f>
        <v/>
      </c>
      <c r="I531" s="292" t="str">
        <f>Overview!N531</f>
        <v/>
      </c>
    </row>
    <row r="532">
      <c r="A532" s="12" t="str">
        <f>Overview!A532</f>
        <v/>
      </c>
      <c r="B532" s="12" t="str">
        <f>Overview!B532</f>
        <v/>
      </c>
      <c r="C532" s="12" t="str">
        <f>Overview!C532</f>
        <v/>
      </c>
      <c r="D532" s="12" t="str">
        <f>Overview!D532</f>
        <v/>
      </c>
      <c r="E532" s="12" t="str">
        <f>Overview!E532</f>
        <v/>
      </c>
      <c r="F532" s="12" t="str">
        <f>Overview!K532</f>
        <v/>
      </c>
      <c r="G532" s="12" t="str">
        <f>Overview!L532</f>
        <v/>
      </c>
      <c r="H532" s="12" t="str">
        <f>Overview!M532</f>
        <v/>
      </c>
      <c r="I532" s="292" t="str">
        <f>Overview!N532</f>
        <v/>
      </c>
    </row>
    <row r="533">
      <c r="A533" s="12" t="str">
        <f>Overview!A533</f>
        <v/>
      </c>
      <c r="B533" s="12" t="str">
        <f>Overview!B533</f>
        <v/>
      </c>
      <c r="C533" s="12" t="str">
        <f>Overview!C533</f>
        <v/>
      </c>
      <c r="D533" s="12" t="str">
        <f>Overview!D533</f>
        <v/>
      </c>
      <c r="E533" s="12" t="str">
        <f>Overview!E533</f>
        <v/>
      </c>
      <c r="F533" s="12" t="str">
        <f>Overview!K533</f>
        <v/>
      </c>
      <c r="G533" s="12" t="str">
        <f>Overview!L533</f>
        <v/>
      </c>
      <c r="H533" s="12" t="str">
        <f>Overview!M533</f>
        <v/>
      </c>
      <c r="I533" s="292" t="str">
        <f>Overview!N533</f>
        <v/>
      </c>
    </row>
    <row r="534">
      <c r="A534" s="12" t="str">
        <f>Overview!A534</f>
        <v/>
      </c>
      <c r="B534" s="12" t="str">
        <f>Overview!B534</f>
        <v/>
      </c>
      <c r="C534" s="12" t="str">
        <f>Overview!C534</f>
        <v/>
      </c>
      <c r="D534" s="12" t="str">
        <f>Overview!D534</f>
        <v/>
      </c>
      <c r="E534" s="12" t="str">
        <f>Overview!E534</f>
        <v/>
      </c>
      <c r="F534" s="12" t="str">
        <f>Overview!K534</f>
        <v/>
      </c>
      <c r="G534" s="12" t="str">
        <f>Overview!L534</f>
        <v/>
      </c>
      <c r="H534" s="12" t="str">
        <f>Overview!M534</f>
        <v/>
      </c>
      <c r="I534" s="292" t="str">
        <f>Overview!N534</f>
        <v/>
      </c>
    </row>
    <row r="535">
      <c r="A535" s="12" t="str">
        <f>Overview!A535</f>
        <v/>
      </c>
      <c r="B535" s="12" t="str">
        <f>Overview!B535</f>
        <v/>
      </c>
      <c r="C535" s="12" t="str">
        <f>Overview!C535</f>
        <v/>
      </c>
      <c r="D535" s="12" t="str">
        <f>Overview!D535</f>
        <v/>
      </c>
      <c r="E535" s="12" t="str">
        <f>Overview!E535</f>
        <v/>
      </c>
      <c r="F535" s="12" t="str">
        <f>Overview!K535</f>
        <v/>
      </c>
      <c r="G535" s="12" t="str">
        <f>Overview!L535</f>
        <v/>
      </c>
      <c r="H535" s="12" t="str">
        <f>Overview!M535</f>
        <v/>
      </c>
      <c r="I535" s="292" t="str">
        <f>Overview!N535</f>
        <v/>
      </c>
    </row>
    <row r="536">
      <c r="A536" s="12" t="str">
        <f>Overview!A536</f>
        <v/>
      </c>
      <c r="B536" s="12" t="str">
        <f>Overview!B536</f>
        <v/>
      </c>
      <c r="C536" s="12" t="str">
        <f>Overview!C536</f>
        <v/>
      </c>
      <c r="D536" s="12" t="str">
        <f>Overview!D536</f>
        <v/>
      </c>
      <c r="E536" s="12" t="str">
        <f>Overview!E536</f>
        <v/>
      </c>
      <c r="F536" s="12" t="str">
        <f>Overview!K536</f>
        <v/>
      </c>
      <c r="G536" s="12" t="str">
        <f>Overview!L536</f>
        <v/>
      </c>
      <c r="H536" s="12" t="str">
        <f>Overview!M536</f>
        <v/>
      </c>
      <c r="I536" s="292" t="str">
        <f>Overview!N536</f>
        <v/>
      </c>
    </row>
    <row r="537">
      <c r="A537" s="12" t="str">
        <f>Overview!A537</f>
        <v/>
      </c>
      <c r="B537" s="12" t="str">
        <f>Overview!B537</f>
        <v/>
      </c>
      <c r="C537" s="12" t="str">
        <f>Overview!C537</f>
        <v/>
      </c>
      <c r="D537" s="12" t="str">
        <f>Overview!D537</f>
        <v/>
      </c>
      <c r="E537" s="12" t="str">
        <f>Overview!E537</f>
        <v/>
      </c>
      <c r="F537" s="12" t="str">
        <f>Overview!K537</f>
        <v/>
      </c>
      <c r="G537" s="12" t="str">
        <f>Overview!L537</f>
        <v/>
      </c>
      <c r="H537" s="12" t="str">
        <f>Overview!M537</f>
        <v/>
      </c>
      <c r="I537" s="292" t="str">
        <f>Overview!N537</f>
        <v/>
      </c>
    </row>
    <row r="538">
      <c r="A538" s="12" t="str">
        <f>Overview!A538</f>
        <v/>
      </c>
      <c r="B538" s="12" t="str">
        <f>Overview!B538</f>
        <v/>
      </c>
      <c r="C538" s="12" t="str">
        <f>Overview!C538</f>
        <v/>
      </c>
      <c r="D538" s="12" t="str">
        <f>Overview!D538</f>
        <v/>
      </c>
      <c r="E538" s="12" t="str">
        <f>Overview!E538</f>
        <v/>
      </c>
      <c r="F538" s="12" t="str">
        <f>Overview!K538</f>
        <v/>
      </c>
      <c r="G538" s="12" t="str">
        <f>Overview!L538</f>
        <v/>
      </c>
      <c r="H538" s="12" t="str">
        <f>Overview!M538</f>
        <v/>
      </c>
      <c r="I538" s="292" t="str">
        <f>Overview!N538</f>
        <v/>
      </c>
    </row>
    <row r="539">
      <c r="A539" s="12" t="str">
        <f>Overview!A539</f>
        <v/>
      </c>
      <c r="B539" s="12" t="str">
        <f>Overview!B539</f>
        <v/>
      </c>
      <c r="C539" s="12" t="str">
        <f>Overview!C539</f>
        <v/>
      </c>
      <c r="D539" s="12" t="str">
        <f>Overview!D539</f>
        <v/>
      </c>
      <c r="E539" s="12" t="str">
        <f>Overview!E539</f>
        <v/>
      </c>
      <c r="F539" s="12" t="str">
        <f>Overview!K539</f>
        <v/>
      </c>
      <c r="G539" s="12" t="str">
        <f>Overview!L539</f>
        <v/>
      </c>
      <c r="H539" s="12" t="str">
        <f>Overview!M539</f>
        <v/>
      </c>
      <c r="I539" s="292" t="str">
        <f>Overview!N539</f>
        <v/>
      </c>
    </row>
    <row r="540">
      <c r="A540" s="12" t="str">
        <f>Overview!A540</f>
        <v/>
      </c>
      <c r="B540" s="12" t="str">
        <f>Overview!B540</f>
        <v/>
      </c>
      <c r="C540" s="12" t="str">
        <f>Overview!C540</f>
        <v/>
      </c>
      <c r="D540" s="12" t="str">
        <f>Overview!D540</f>
        <v/>
      </c>
      <c r="E540" s="12" t="str">
        <f>Overview!E540</f>
        <v/>
      </c>
      <c r="F540" s="12" t="str">
        <f>Overview!K540</f>
        <v/>
      </c>
      <c r="G540" s="12" t="str">
        <f>Overview!L540</f>
        <v/>
      </c>
      <c r="H540" s="12" t="str">
        <f>Overview!M540</f>
        <v/>
      </c>
      <c r="I540" s="292" t="str">
        <f>Overview!N540</f>
        <v/>
      </c>
    </row>
    <row r="541">
      <c r="A541" s="12" t="str">
        <f>Overview!A541</f>
        <v/>
      </c>
      <c r="B541" s="12" t="str">
        <f>Overview!B541</f>
        <v/>
      </c>
      <c r="C541" s="12" t="str">
        <f>Overview!C541</f>
        <v/>
      </c>
      <c r="D541" s="12" t="str">
        <f>Overview!D541</f>
        <v/>
      </c>
      <c r="E541" s="12" t="str">
        <f>Overview!E541</f>
        <v/>
      </c>
      <c r="F541" s="12" t="str">
        <f>Overview!K541</f>
        <v/>
      </c>
      <c r="G541" s="12" t="str">
        <f>Overview!L541</f>
        <v/>
      </c>
      <c r="H541" s="12" t="str">
        <f>Overview!M541</f>
        <v/>
      </c>
      <c r="I541" s="292" t="str">
        <f>Overview!N541</f>
        <v/>
      </c>
    </row>
    <row r="542">
      <c r="A542" s="12" t="str">
        <f>Overview!A542</f>
        <v/>
      </c>
      <c r="B542" s="12" t="str">
        <f>Overview!B542</f>
        <v/>
      </c>
      <c r="C542" s="12" t="str">
        <f>Overview!C542</f>
        <v/>
      </c>
      <c r="D542" s="12" t="str">
        <f>Overview!D542</f>
        <v/>
      </c>
      <c r="E542" s="12" t="str">
        <f>Overview!E542</f>
        <v/>
      </c>
      <c r="F542" s="12" t="str">
        <f>Overview!K542</f>
        <v/>
      </c>
      <c r="G542" s="12" t="str">
        <f>Overview!L542</f>
        <v/>
      </c>
      <c r="H542" s="12" t="str">
        <f>Overview!M542</f>
        <v/>
      </c>
      <c r="I542" s="292" t="str">
        <f>Overview!N542</f>
        <v/>
      </c>
    </row>
    <row r="543">
      <c r="A543" s="12" t="str">
        <f>Overview!A543</f>
        <v/>
      </c>
      <c r="B543" s="12" t="str">
        <f>Overview!B543</f>
        <v/>
      </c>
      <c r="C543" s="12" t="str">
        <f>Overview!C543</f>
        <v/>
      </c>
      <c r="D543" s="12" t="str">
        <f>Overview!D543</f>
        <v/>
      </c>
      <c r="E543" s="12" t="str">
        <f>Overview!E543</f>
        <v/>
      </c>
      <c r="F543" s="12" t="str">
        <f>Overview!K543</f>
        <v/>
      </c>
      <c r="G543" s="12" t="str">
        <f>Overview!L543</f>
        <v/>
      </c>
      <c r="H543" s="12" t="str">
        <f>Overview!M543</f>
        <v/>
      </c>
      <c r="I543" s="292" t="str">
        <f>Overview!N543</f>
        <v/>
      </c>
    </row>
    <row r="544">
      <c r="A544" s="12" t="str">
        <f>Overview!A544</f>
        <v/>
      </c>
      <c r="B544" s="12" t="str">
        <f>Overview!B544</f>
        <v/>
      </c>
      <c r="C544" s="12" t="str">
        <f>Overview!C544</f>
        <v/>
      </c>
      <c r="D544" s="12" t="str">
        <f>Overview!D544</f>
        <v/>
      </c>
      <c r="E544" s="12" t="str">
        <f>Overview!E544</f>
        <v/>
      </c>
      <c r="F544" s="12" t="str">
        <f>Overview!K544</f>
        <v/>
      </c>
      <c r="G544" s="12" t="str">
        <f>Overview!L544</f>
        <v/>
      </c>
      <c r="H544" s="12" t="str">
        <f>Overview!M544</f>
        <v/>
      </c>
      <c r="I544" s="292" t="str">
        <f>Overview!N544</f>
        <v/>
      </c>
    </row>
    <row r="545">
      <c r="A545" s="12" t="str">
        <f>Overview!A545</f>
        <v/>
      </c>
      <c r="B545" s="12" t="str">
        <f>Overview!B545</f>
        <v/>
      </c>
      <c r="C545" s="12" t="str">
        <f>Overview!C545</f>
        <v/>
      </c>
      <c r="D545" s="12" t="str">
        <f>Overview!D545</f>
        <v/>
      </c>
      <c r="E545" s="12" t="str">
        <f>Overview!E545</f>
        <v/>
      </c>
      <c r="F545" s="12" t="str">
        <f>Overview!K545</f>
        <v/>
      </c>
      <c r="G545" s="12" t="str">
        <f>Overview!L545</f>
        <v/>
      </c>
      <c r="H545" s="12" t="str">
        <f>Overview!M545</f>
        <v/>
      </c>
      <c r="I545" s="292" t="str">
        <f>Overview!N545</f>
        <v/>
      </c>
    </row>
    <row r="546">
      <c r="A546" s="12" t="str">
        <f>Overview!A546</f>
        <v/>
      </c>
      <c r="B546" s="12" t="str">
        <f>Overview!B546</f>
        <v/>
      </c>
      <c r="C546" s="12" t="str">
        <f>Overview!C546</f>
        <v/>
      </c>
      <c r="D546" s="12" t="str">
        <f>Overview!D546</f>
        <v/>
      </c>
      <c r="E546" s="12" t="str">
        <f>Overview!E546</f>
        <v/>
      </c>
      <c r="F546" s="12" t="str">
        <f>Overview!K546</f>
        <v/>
      </c>
      <c r="G546" s="12" t="str">
        <f>Overview!L546</f>
        <v/>
      </c>
      <c r="H546" s="12" t="str">
        <f>Overview!M546</f>
        <v/>
      </c>
      <c r="I546" s="292" t="str">
        <f>Overview!N546</f>
        <v/>
      </c>
    </row>
    <row r="547">
      <c r="A547" s="12" t="str">
        <f>Overview!A547</f>
        <v/>
      </c>
      <c r="B547" s="12" t="str">
        <f>Overview!B547</f>
        <v/>
      </c>
      <c r="C547" s="12" t="str">
        <f>Overview!C547</f>
        <v/>
      </c>
      <c r="D547" s="12" t="str">
        <f>Overview!D547</f>
        <v/>
      </c>
      <c r="E547" s="12" t="str">
        <f>Overview!E547</f>
        <v/>
      </c>
      <c r="F547" s="12" t="str">
        <f>Overview!K547</f>
        <v/>
      </c>
      <c r="G547" s="12" t="str">
        <f>Overview!L547</f>
        <v/>
      </c>
      <c r="H547" s="12" t="str">
        <f>Overview!M547</f>
        <v/>
      </c>
      <c r="I547" s="292" t="str">
        <f>Overview!N547</f>
        <v/>
      </c>
    </row>
    <row r="548">
      <c r="A548" s="12" t="str">
        <f>Overview!A548</f>
        <v/>
      </c>
      <c r="B548" s="12" t="str">
        <f>Overview!B548</f>
        <v/>
      </c>
      <c r="C548" s="12" t="str">
        <f>Overview!C548</f>
        <v/>
      </c>
      <c r="D548" s="12" t="str">
        <f>Overview!D548</f>
        <v/>
      </c>
      <c r="E548" s="12" t="str">
        <f>Overview!E548</f>
        <v/>
      </c>
      <c r="F548" s="12" t="str">
        <f>Overview!K548</f>
        <v/>
      </c>
      <c r="G548" s="12" t="str">
        <f>Overview!L548</f>
        <v/>
      </c>
      <c r="H548" s="12" t="str">
        <f>Overview!M548</f>
        <v/>
      </c>
      <c r="I548" s="292" t="str">
        <f>Overview!N548</f>
        <v/>
      </c>
    </row>
    <row r="549">
      <c r="A549" s="12" t="str">
        <f>Overview!A549</f>
        <v/>
      </c>
      <c r="B549" s="12" t="str">
        <f>Overview!B549</f>
        <v/>
      </c>
      <c r="C549" s="12" t="str">
        <f>Overview!C549</f>
        <v/>
      </c>
      <c r="D549" s="12" t="str">
        <f>Overview!D549</f>
        <v/>
      </c>
      <c r="E549" s="12" t="str">
        <f>Overview!E549</f>
        <v/>
      </c>
      <c r="F549" s="12" t="str">
        <f>Overview!K549</f>
        <v/>
      </c>
      <c r="G549" s="12" t="str">
        <f>Overview!L549</f>
        <v/>
      </c>
      <c r="H549" s="12" t="str">
        <f>Overview!M549</f>
        <v/>
      </c>
      <c r="I549" s="292" t="str">
        <f>Overview!N549</f>
        <v/>
      </c>
    </row>
    <row r="550">
      <c r="A550" s="12" t="str">
        <f>Overview!A550</f>
        <v/>
      </c>
      <c r="B550" s="12" t="str">
        <f>Overview!B550</f>
        <v/>
      </c>
      <c r="C550" s="12" t="str">
        <f>Overview!C550</f>
        <v/>
      </c>
      <c r="D550" s="12" t="str">
        <f>Overview!D550</f>
        <v/>
      </c>
      <c r="E550" s="12" t="str">
        <f>Overview!E550</f>
        <v/>
      </c>
      <c r="F550" s="12" t="str">
        <f>Overview!K550</f>
        <v/>
      </c>
      <c r="G550" s="12" t="str">
        <f>Overview!L550</f>
        <v/>
      </c>
      <c r="H550" s="12" t="str">
        <f>Overview!M550</f>
        <v/>
      </c>
      <c r="I550" s="292" t="str">
        <f>Overview!N550</f>
        <v/>
      </c>
    </row>
    <row r="551">
      <c r="A551" s="12" t="str">
        <f>Overview!A551</f>
        <v/>
      </c>
      <c r="B551" s="12" t="str">
        <f>Overview!B551</f>
        <v/>
      </c>
      <c r="C551" s="12" t="str">
        <f>Overview!C551</f>
        <v/>
      </c>
      <c r="D551" s="12" t="str">
        <f>Overview!D551</f>
        <v/>
      </c>
      <c r="E551" s="12" t="str">
        <f>Overview!E551</f>
        <v/>
      </c>
      <c r="F551" s="12" t="str">
        <f>Overview!K551</f>
        <v/>
      </c>
      <c r="G551" s="12" t="str">
        <f>Overview!L551</f>
        <v/>
      </c>
      <c r="H551" s="12" t="str">
        <f>Overview!M551</f>
        <v/>
      </c>
      <c r="I551" s="292" t="str">
        <f>Overview!N551</f>
        <v/>
      </c>
    </row>
    <row r="552">
      <c r="A552" s="12" t="str">
        <f>Overview!A552</f>
        <v/>
      </c>
      <c r="B552" s="12" t="str">
        <f>Overview!B552</f>
        <v/>
      </c>
      <c r="C552" s="12" t="str">
        <f>Overview!C552</f>
        <v/>
      </c>
      <c r="D552" s="12" t="str">
        <f>Overview!D552</f>
        <v/>
      </c>
      <c r="E552" s="12" t="str">
        <f>Overview!E552</f>
        <v/>
      </c>
      <c r="F552" s="12" t="str">
        <f>Overview!K552</f>
        <v/>
      </c>
      <c r="G552" s="12" t="str">
        <f>Overview!L552</f>
        <v/>
      </c>
      <c r="H552" s="12" t="str">
        <f>Overview!M552</f>
        <v/>
      </c>
      <c r="I552" s="292" t="str">
        <f>Overview!N552</f>
        <v/>
      </c>
    </row>
    <row r="553">
      <c r="A553" s="12" t="str">
        <f>Overview!A553</f>
        <v/>
      </c>
      <c r="B553" s="12" t="str">
        <f>Overview!B553</f>
        <v/>
      </c>
      <c r="C553" s="12" t="str">
        <f>Overview!C553</f>
        <v/>
      </c>
      <c r="D553" s="12" t="str">
        <f>Overview!D553</f>
        <v/>
      </c>
      <c r="E553" s="12" t="str">
        <f>Overview!E553</f>
        <v/>
      </c>
      <c r="F553" s="12" t="str">
        <f>Overview!K553</f>
        <v/>
      </c>
      <c r="G553" s="12" t="str">
        <f>Overview!L553</f>
        <v/>
      </c>
      <c r="H553" s="12" t="str">
        <f>Overview!M553</f>
        <v/>
      </c>
      <c r="I553" s="292" t="str">
        <f>Overview!N553</f>
        <v/>
      </c>
    </row>
    <row r="554">
      <c r="A554" s="12" t="str">
        <f>Overview!A554</f>
        <v/>
      </c>
      <c r="B554" s="12" t="str">
        <f>Overview!B554</f>
        <v/>
      </c>
      <c r="C554" s="12" t="str">
        <f>Overview!C554</f>
        <v/>
      </c>
      <c r="D554" s="12" t="str">
        <f>Overview!D554</f>
        <v/>
      </c>
      <c r="E554" s="12" t="str">
        <f>Overview!E554</f>
        <v/>
      </c>
      <c r="F554" s="12" t="str">
        <f>Overview!K554</f>
        <v/>
      </c>
      <c r="G554" s="12" t="str">
        <f>Overview!L554</f>
        <v/>
      </c>
      <c r="H554" s="12" t="str">
        <f>Overview!M554</f>
        <v/>
      </c>
      <c r="I554" s="292" t="str">
        <f>Overview!N554</f>
        <v/>
      </c>
    </row>
    <row r="555">
      <c r="A555" s="12" t="str">
        <f>Overview!A555</f>
        <v/>
      </c>
      <c r="B555" s="12" t="str">
        <f>Overview!B555</f>
        <v/>
      </c>
      <c r="C555" s="12" t="str">
        <f>Overview!C555</f>
        <v/>
      </c>
      <c r="D555" s="12" t="str">
        <f>Overview!D555</f>
        <v/>
      </c>
      <c r="E555" s="12" t="str">
        <f>Overview!E555</f>
        <v/>
      </c>
      <c r="F555" s="12" t="str">
        <f>Overview!K555</f>
        <v/>
      </c>
      <c r="G555" s="12" t="str">
        <f>Overview!L555</f>
        <v/>
      </c>
      <c r="H555" s="12" t="str">
        <f>Overview!M555</f>
        <v/>
      </c>
      <c r="I555" s="292" t="str">
        <f>Overview!N555</f>
        <v/>
      </c>
    </row>
    <row r="556">
      <c r="A556" s="12" t="str">
        <f>Overview!A556</f>
        <v/>
      </c>
      <c r="B556" s="12" t="str">
        <f>Overview!B556</f>
        <v/>
      </c>
      <c r="C556" s="12" t="str">
        <f>Overview!C556</f>
        <v/>
      </c>
      <c r="D556" s="12" t="str">
        <f>Overview!D556</f>
        <v/>
      </c>
      <c r="E556" s="12" t="str">
        <f>Overview!E556</f>
        <v/>
      </c>
      <c r="F556" s="12" t="str">
        <f>Overview!K556</f>
        <v/>
      </c>
      <c r="G556" s="12" t="str">
        <f>Overview!L556</f>
        <v/>
      </c>
      <c r="H556" s="12" t="str">
        <f>Overview!M556</f>
        <v/>
      </c>
      <c r="I556" s="292" t="str">
        <f>Overview!N556</f>
        <v/>
      </c>
    </row>
    <row r="557">
      <c r="A557" s="12" t="str">
        <f>Overview!A557</f>
        <v/>
      </c>
      <c r="B557" s="12" t="str">
        <f>Overview!B557</f>
        <v/>
      </c>
      <c r="C557" s="12" t="str">
        <f>Overview!C557</f>
        <v/>
      </c>
      <c r="D557" s="12" t="str">
        <f>Overview!D557</f>
        <v/>
      </c>
      <c r="E557" s="12" t="str">
        <f>Overview!E557</f>
        <v/>
      </c>
      <c r="F557" s="12" t="str">
        <f>Overview!K557</f>
        <v/>
      </c>
      <c r="G557" s="12" t="str">
        <f>Overview!L557</f>
        <v/>
      </c>
      <c r="H557" s="12" t="str">
        <f>Overview!M557</f>
        <v/>
      </c>
      <c r="I557" s="292" t="str">
        <f>Overview!N557</f>
        <v/>
      </c>
    </row>
    <row r="558">
      <c r="A558" s="12" t="str">
        <f>Overview!A558</f>
        <v/>
      </c>
      <c r="B558" s="12" t="str">
        <f>Overview!B558</f>
        <v/>
      </c>
      <c r="C558" s="12" t="str">
        <f>Overview!C558</f>
        <v/>
      </c>
      <c r="D558" s="12" t="str">
        <f>Overview!D558</f>
        <v/>
      </c>
      <c r="E558" s="12" t="str">
        <f>Overview!E558</f>
        <v/>
      </c>
      <c r="F558" s="12" t="str">
        <f>Overview!K558</f>
        <v/>
      </c>
      <c r="G558" s="12" t="str">
        <f>Overview!L558</f>
        <v/>
      </c>
      <c r="H558" s="12" t="str">
        <f>Overview!M558</f>
        <v/>
      </c>
      <c r="I558" s="292" t="str">
        <f>Overview!N558</f>
        <v/>
      </c>
    </row>
    <row r="559">
      <c r="A559" s="12" t="str">
        <f>Overview!A559</f>
        <v/>
      </c>
      <c r="B559" s="12" t="str">
        <f>Overview!B559</f>
        <v/>
      </c>
      <c r="C559" s="12" t="str">
        <f>Overview!C559</f>
        <v/>
      </c>
      <c r="D559" s="12" t="str">
        <f>Overview!D559</f>
        <v/>
      </c>
      <c r="E559" s="12" t="str">
        <f>Overview!E559</f>
        <v/>
      </c>
      <c r="F559" s="12" t="str">
        <f>Overview!K559</f>
        <v/>
      </c>
      <c r="G559" s="12" t="str">
        <f>Overview!L559</f>
        <v/>
      </c>
      <c r="H559" s="12" t="str">
        <f>Overview!M559</f>
        <v/>
      </c>
      <c r="I559" s="292" t="str">
        <f>Overview!N559</f>
        <v/>
      </c>
    </row>
    <row r="560">
      <c r="A560" s="12" t="str">
        <f>Overview!A560</f>
        <v/>
      </c>
      <c r="B560" s="12" t="str">
        <f>Overview!B560</f>
        <v/>
      </c>
      <c r="C560" s="12" t="str">
        <f>Overview!C560</f>
        <v/>
      </c>
      <c r="D560" s="12" t="str">
        <f>Overview!D560</f>
        <v/>
      </c>
      <c r="E560" s="12" t="str">
        <f>Overview!E560</f>
        <v/>
      </c>
      <c r="F560" s="12" t="str">
        <f>Overview!K560</f>
        <v/>
      </c>
      <c r="G560" s="12" t="str">
        <f>Overview!L560</f>
        <v/>
      </c>
      <c r="H560" s="12" t="str">
        <f>Overview!M560</f>
        <v/>
      </c>
      <c r="I560" s="292" t="str">
        <f>Overview!N560</f>
        <v/>
      </c>
    </row>
    <row r="561">
      <c r="A561" s="12" t="str">
        <f>Overview!A561</f>
        <v/>
      </c>
      <c r="B561" s="12" t="str">
        <f>Overview!B561</f>
        <v/>
      </c>
      <c r="C561" s="12" t="str">
        <f>Overview!C561</f>
        <v/>
      </c>
      <c r="D561" s="12" t="str">
        <f>Overview!D561</f>
        <v/>
      </c>
      <c r="E561" s="12" t="str">
        <f>Overview!E561</f>
        <v/>
      </c>
      <c r="F561" s="12" t="str">
        <f>Overview!K561</f>
        <v/>
      </c>
      <c r="G561" s="12" t="str">
        <f>Overview!L561</f>
        <v/>
      </c>
      <c r="H561" s="12" t="str">
        <f>Overview!M561</f>
        <v/>
      </c>
      <c r="I561" s="292" t="str">
        <f>Overview!N561</f>
        <v/>
      </c>
    </row>
    <row r="562">
      <c r="A562" s="12" t="str">
        <f>Overview!A562</f>
        <v/>
      </c>
      <c r="B562" s="12" t="str">
        <f>Overview!B562</f>
        <v/>
      </c>
      <c r="C562" s="12" t="str">
        <f>Overview!C562</f>
        <v/>
      </c>
      <c r="D562" s="12" t="str">
        <f>Overview!D562</f>
        <v/>
      </c>
      <c r="E562" s="12" t="str">
        <f>Overview!E562</f>
        <v/>
      </c>
      <c r="F562" s="12" t="str">
        <f>Overview!K562</f>
        <v/>
      </c>
      <c r="G562" s="12" t="str">
        <f>Overview!L562</f>
        <v/>
      </c>
      <c r="H562" s="12" t="str">
        <f>Overview!M562</f>
        <v/>
      </c>
      <c r="I562" s="292" t="str">
        <f>Overview!N562</f>
        <v/>
      </c>
    </row>
    <row r="563">
      <c r="A563" s="12" t="str">
        <f>Overview!A563</f>
        <v/>
      </c>
      <c r="B563" s="12" t="str">
        <f>Overview!B563</f>
        <v/>
      </c>
      <c r="C563" s="12" t="str">
        <f>Overview!C563</f>
        <v/>
      </c>
      <c r="D563" s="12" t="str">
        <f>Overview!D563</f>
        <v/>
      </c>
      <c r="E563" s="12" t="str">
        <f>Overview!E563</f>
        <v/>
      </c>
      <c r="F563" s="12" t="str">
        <f>Overview!K563</f>
        <v/>
      </c>
      <c r="G563" s="12" t="str">
        <f>Overview!L563</f>
        <v/>
      </c>
      <c r="H563" s="12" t="str">
        <f>Overview!M563</f>
        <v/>
      </c>
      <c r="I563" s="292" t="str">
        <f>Overview!N563</f>
        <v/>
      </c>
    </row>
    <row r="564">
      <c r="A564" s="12" t="str">
        <f>Overview!A564</f>
        <v/>
      </c>
      <c r="B564" s="12" t="str">
        <f>Overview!B564</f>
        <v/>
      </c>
      <c r="C564" s="12" t="str">
        <f>Overview!C564</f>
        <v/>
      </c>
      <c r="D564" s="12" t="str">
        <f>Overview!D564</f>
        <v/>
      </c>
      <c r="E564" s="12" t="str">
        <f>Overview!E564</f>
        <v/>
      </c>
      <c r="F564" s="12" t="str">
        <f>Overview!K564</f>
        <v/>
      </c>
      <c r="G564" s="12" t="str">
        <f>Overview!L564</f>
        <v/>
      </c>
      <c r="H564" s="12" t="str">
        <f>Overview!M564</f>
        <v/>
      </c>
      <c r="I564" s="292" t="str">
        <f>Overview!N564</f>
        <v/>
      </c>
    </row>
    <row r="565">
      <c r="A565" s="12" t="str">
        <f>Overview!A565</f>
        <v/>
      </c>
      <c r="B565" s="12" t="str">
        <f>Overview!B565</f>
        <v/>
      </c>
      <c r="C565" s="12" t="str">
        <f>Overview!C565</f>
        <v/>
      </c>
      <c r="D565" s="12" t="str">
        <f>Overview!D565</f>
        <v/>
      </c>
      <c r="E565" s="12" t="str">
        <f>Overview!E565</f>
        <v/>
      </c>
      <c r="F565" s="12" t="str">
        <f>Overview!K565</f>
        <v/>
      </c>
      <c r="G565" s="12" t="str">
        <f>Overview!L565</f>
        <v/>
      </c>
      <c r="H565" s="12" t="str">
        <f>Overview!M565</f>
        <v/>
      </c>
      <c r="I565" s="292" t="str">
        <f>Overview!N565</f>
        <v/>
      </c>
    </row>
    <row r="566">
      <c r="A566" s="12" t="str">
        <f>Overview!A566</f>
        <v/>
      </c>
      <c r="B566" s="12" t="str">
        <f>Overview!B566</f>
        <v/>
      </c>
      <c r="C566" s="12" t="str">
        <f>Overview!C566</f>
        <v/>
      </c>
      <c r="D566" s="12" t="str">
        <f>Overview!D566</f>
        <v/>
      </c>
      <c r="E566" s="12" t="str">
        <f>Overview!E566</f>
        <v/>
      </c>
      <c r="F566" s="12" t="str">
        <f>Overview!K566</f>
        <v/>
      </c>
      <c r="G566" s="12" t="str">
        <f>Overview!L566</f>
        <v/>
      </c>
      <c r="H566" s="12" t="str">
        <f>Overview!M566</f>
        <v/>
      </c>
      <c r="I566" s="292" t="str">
        <f>Overview!N566</f>
        <v/>
      </c>
    </row>
    <row r="567">
      <c r="A567" s="12" t="str">
        <f>Overview!A567</f>
        <v/>
      </c>
      <c r="B567" s="12" t="str">
        <f>Overview!B567</f>
        <v/>
      </c>
      <c r="C567" s="12" t="str">
        <f>Overview!C567</f>
        <v/>
      </c>
      <c r="D567" s="12" t="str">
        <f>Overview!D567</f>
        <v/>
      </c>
      <c r="E567" s="12" t="str">
        <f>Overview!E567</f>
        <v/>
      </c>
      <c r="F567" s="12" t="str">
        <f>Overview!K567</f>
        <v/>
      </c>
      <c r="G567" s="12" t="str">
        <f>Overview!L567</f>
        <v/>
      </c>
      <c r="H567" s="12" t="str">
        <f>Overview!M567</f>
        <v/>
      </c>
      <c r="I567" s="292" t="str">
        <f>Overview!N567</f>
        <v/>
      </c>
    </row>
    <row r="568">
      <c r="A568" s="12" t="str">
        <f>Overview!A568</f>
        <v/>
      </c>
      <c r="B568" s="12" t="str">
        <f>Overview!B568</f>
        <v/>
      </c>
      <c r="C568" s="12" t="str">
        <f>Overview!C568</f>
        <v/>
      </c>
      <c r="D568" s="12" t="str">
        <f>Overview!D568</f>
        <v/>
      </c>
      <c r="E568" s="12" t="str">
        <f>Overview!E568</f>
        <v/>
      </c>
      <c r="F568" s="12" t="str">
        <f>Overview!K568</f>
        <v/>
      </c>
      <c r="G568" s="12" t="str">
        <f>Overview!L568</f>
        <v/>
      </c>
      <c r="H568" s="12" t="str">
        <f>Overview!M568</f>
        <v/>
      </c>
      <c r="I568" s="292" t="str">
        <f>Overview!N568</f>
        <v/>
      </c>
    </row>
    <row r="569">
      <c r="A569" s="12" t="str">
        <f>Overview!A569</f>
        <v/>
      </c>
      <c r="B569" s="12" t="str">
        <f>Overview!B569</f>
        <v/>
      </c>
      <c r="C569" s="12" t="str">
        <f>Overview!C569</f>
        <v/>
      </c>
      <c r="D569" s="12" t="str">
        <f>Overview!D569</f>
        <v/>
      </c>
      <c r="E569" s="12" t="str">
        <f>Overview!E569</f>
        <v/>
      </c>
      <c r="F569" s="12" t="str">
        <f>Overview!K569</f>
        <v/>
      </c>
      <c r="G569" s="12" t="str">
        <f>Overview!L569</f>
        <v/>
      </c>
      <c r="H569" s="12" t="str">
        <f>Overview!M569</f>
        <v/>
      </c>
      <c r="I569" s="292" t="str">
        <f>Overview!N569</f>
        <v/>
      </c>
    </row>
    <row r="570">
      <c r="A570" s="12" t="str">
        <f>Overview!A570</f>
        <v/>
      </c>
      <c r="B570" s="12" t="str">
        <f>Overview!B570</f>
        <v/>
      </c>
      <c r="C570" s="12" t="str">
        <f>Overview!C570</f>
        <v/>
      </c>
      <c r="D570" s="12" t="str">
        <f>Overview!D570</f>
        <v/>
      </c>
      <c r="E570" s="12" t="str">
        <f>Overview!E570</f>
        <v/>
      </c>
      <c r="F570" s="12" t="str">
        <f>Overview!K570</f>
        <v/>
      </c>
      <c r="G570" s="12" t="str">
        <f>Overview!L570</f>
        <v/>
      </c>
      <c r="H570" s="12" t="str">
        <f>Overview!M570</f>
        <v/>
      </c>
      <c r="I570" s="292" t="str">
        <f>Overview!N570</f>
        <v/>
      </c>
    </row>
    <row r="571">
      <c r="A571" s="12" t="str">
        <f>Overview!A571</f>
        <v/>
      </c>
      <c r="B571" s="12" t="str">
        <f>Overview!B571</f>
        <v/>
      </c>
      <c r="C571" s="12" t="str">
        <f>Overview!C571</f>
        <v/>
      </c>
      <c r="D571" s="12" t="str">
        <f>Overview!D571</f>
        <v/>
      </c>
      <c r="E571" s="12" t="str">
        <f>Overview!E571</f>
        <v/>
      </c>
      <c r="F571" s="12" t="str">
        <f>Overview!K571</f>
        <v/>
      </c>
      <c r="G571" s="12" t="str">
        <f>Overview!L571</f>
        <v/>
      </c>
      <c r="H571" s="12" t="str">
        <f>Overview!M571</f>
        <v/>
      </c>
      <c r="I571" s="292" t="str">
        <f>Overview!N571</f>
        <v/>
      </c>
    </row>
    <row r="572">
      <c r="A572" s="12" t="str">
        <f>Overview!A572</f>
        <v/>
      </c>
      <c r="B572" s="12" t="str">
        <f>Overview!B572</f>
        <v/>
      </c>
      <c r="C572" s="12" t="str">
        <f>Overview!C572</f>
        <v/>
      </c>
      <c r="D572" s="12" t="str">
        <f>Overview!D572</f>
        <v/>
      </c>
      <c r="E572" s="12" t="str">
        <f>Overview!E572</f>
        <v/>
      </c>
      <c r="F572" s="12" t="str">
        <f>Overview!K572</f>
        <v/>
      </c>
      <c r="G572" s="12" t="str">
        <f>Overview!L572</f>
        <v/>
      </c>
      <c r="H572" s="12" t="str">
        <f>Overview!M572</f>
        <v/>
      </c>
      <c r="I572" s="292" t="str">
        <f>Overview!N572</f>
        <v/>
      </c>
    </row>
    <row r="573">
      <c r="A573" s="12" t="str">
        <f>Overview!A573</f>
        <v/>
      </c>
      <c r="B573" s="12" t="str">
        <f>Overview!B573</f>
        <v/>
      </c>
      <c r="C573" s="12" t="str">
        <f>Overview!C573</f>
        <v/>
      </c>
      <c r="D573" s="12" t="str">
        <f>Overview!D573</f>
        <v/>
      </c>
      <c r="E573" s="12" t="str">
        <f>Overview!E573</f>
        <v/>
      </c>
      <c r="F573" s="12" t="str">
        <f>Overview!K573</f>
        <v/>
      </c>
      <c r="G573" s="12" t="str">
        <f>Overview!L573</f>
        <v/>
      </c>
      <c r="H573" s="12" t="str">
        <f>Overview!M573</f>
        <v/>
      </c>
      <c r="I573" s="292" t="str">
        <f>Overview!N573</f>
        <v/>
      </c>
    </row>
    <row r="574">
      <c r="A574" s="12" t="str">
        <f>Overview!A574</f>
        <v/>
      </c>
      <c r="B574" s="12" t="str">
        <f>Overview!B574</f>
        <v/>
      </c>
      <c r="C574" s="12" t="str">
        <f>Overview!C574</f>
        <v/>
      </c>
      <c r="D574" s="12" t="str">
        <f>Overview!D574</f>
        <v/>
      </c>
      <c r="E574" s="12" t="str">
        <f>Overview!E574</f>
        <v/>
      </c>
      <c r="F574" s="12" t="str">
        <f>Overview!K574</f>
        <v/>
      </c>
      <c r="G574" s="12" t="str">
        <f>Overview!L574</f>
        <v/>
      </c>
      <c r="H574" s="12" t="str">
        <f>Overview!M574</f>
        <v/>
      </c>
      <c r="I574" s="292" t="str">
        <f>Overview!N574</f>
        <v/>
      </c>
    </row>
    <row r="575">
      <c r="A575" s="12" t="str">
        <f>Overview!A575</f>
        <v/>
      </c>
      <c r="B575" s="12" t="str">
        <f>Overview!B575</f>
        <v/>
      </c>
      <c r="C575" s="12" t="str">
        <f>Overview!C575</f>
        <v/>
      </c>
      <c r="D575" s="12" t="str">
        <f>Overview!D575</f>
        <v/>
      </c>
      <c r="E575" s="12" t="str">
        <f>Overview!E575</f>
        <v/>
      </c>
      <c r="F575" s="12" t="str">
        <f>Overview!K575</f>
        <v/>
      </c>
      <c r="G575" s="12" t="str">
        <f>Overview!L575</f>
        <v/>
      </c>
      <c r="H575" s="12" t="str">
        <f>Overview!M575</f>
        <v/>
      </c>
      <c r="I575" s="292" t="str">
        <f>Overview!N575</f>
        <v/>
      </c>
    </row>
    <row r="576">
      <c r="A576" s="12" t="str">
        <f>Overview!A576</f>
        <v/>
      </c>
      <c r="B576" s="12" t="str">
        <f>Overview!B576</f>
        <v/>
      </c>
      <c r="C576" s="12" t="str">
        <f>Overview!C576</f>
        <v/>
      </c>
      <c r="D576" s="12" t="str">
        <f>Overview!D576</f>
        <v/>
      </c>
      <c r="E576" s="12" t="str">
        <f>Overview!E576</f>
        <v/>
      </c>
      <c r="F576" s="12" t="str">
        <f>Overview!K576</f>
        <v/>
      </c>
      <c r="G576" s="12" t="str">
        <f>Overview!L576</f>
        <v/>
      </c>
      <c r="H576" s="12" t="str">
        <f>Overview!M576</f>
        <v/>
      </c>
      <c r="I576" s="292" t="str">
        <f>Overview!N576</f>
        <v/>
      </c>
    </row>
    <row r="577">
      <c r="A577" s="12" t="str">
        <f>Overview!A577</f>
        <v/>
      </c>
      <c r="B577" s="12" t="str">
        <f>Overview!B577</f>
        <v/>
      </c>
      <c r="C577" s="12" t="str">
        <f>Overview!C577</f>
        <v/>
      </c>
      <c r="D577" s="12" t="str">
        <f>Overview!D577</f>
        <v/>
      </c>
      <c r="E577" s="12" t="str">
        <f>Overview!E577</f>
        <v/>
      </c>
      <c r="F577" s="12" t="str">
        <f>Overview!K577</f>
        <v/>
      </c>
      <c r="G577" s="12" t="str">
        <f>Overview!L577</f>
        <v/>
      </c>
      <c r="H577" s="12" t="str">
        <f>Overview!M577</f>
        <v/>
      </c>
      <c r="I577" s="292" t="str">
        <f>Overview!N577</f>
        <v/>
      </c>
    </row>
    <row r="578">
      <c r="A578" s="12" t="str">
        <f>Overview!A578</f>
        <v/>
      </c>
      <c r="B578" s="12" t="str">
        <f>Overview!B578</f>
        <v/>
      </c>
      <c r="C578" s="12" t="str">
        <f>Overview!C578</f>
        <v/>
      </c>
      <c r="D578" s="12" t="str">
        <f>Overview!D578</f>
        <v/>
      </c>
      <c r="E578" s="12" t="str">
        <f>Overview!E578</f>
        <v/>
      </c>
      <c r="F578" s="12" t="str">
        <f>Overview!K578</f>
        <v/>
      </c>
      <c r="G578" s="12" t="str">
        <f>Overview!L578</f>
        <v/>
      </c>
      <c r="H578" s="12" t="str">
        <f>Overview!M578</f>
        <v/>
      </c>
      <c r="I578" s="292" t="str">
        <f>Overview!N578</f>
        <v/>
      </c>
    </row>
    <row r="579">
      <c r="A579" s="12" t="str">
        <f>Overview!A579</f>
        <v/>
      </c>
      <c r="B579" s="12" t="str">
        <f>Overview!B579</f>
        <v/>
      </c>
      <c r="C579" s="12" t="str">
        <f>Overview!C579</f>
        <v/>
      </c>
      <c r="D579" s="12" t="str">
        <f>Overview!D579</f>
        <v/>
      </c>
      <c r="E579" s="12" t="str">
        <f>Overview!E579</f>
        <v/>
      </c>
      <c r="F579" s="12" t="str">
        <f>Overview!K579</f>
        <v/>
      </c>
      <c r="G579" s="12" t="str">
        <f>Overview!L579</f>
        <v/>
      </c>
      <c r="H579" s="12" t="str">
        <f>Overview!M579</f>
        <v/>
      </c>
      <c r="I579" s="292" t="str">
        <f>Overview!N579</f>
        <v/>
      </c>
    </row>
    <row r="580">
      <c r="A580" s="12" t="str">
        <f>Overview!A580</f>
        <v/>
      </c>
      <c r="B580" s="12" t="str">
        <f>Overview!B580</f>
        <v/>
      </c>
      <c r="C580" s="12" t="str">
        <f>Overview!C580</f>
        <v/>
      </c>
      <c r="D580" s="12" t="str">
        <f>Overview!D580</f>
        <v/>
      </c>
      <c r="E580" s="12" t="str">
        <f>Overview!E580</f>
        <v/>
      </c>
      <c r="F580" s="12" t="str">
        <f>Overview!K580</f>
        <v/>
      </c>
      <c r="G580" s="12" t="str">
        <f>Overview!L580</f>
        <v/>
      </c>
      <c r="H580" s="12" t="str">
        <f>Overview!M580</f>
        <v/>
      </c>
      <c r="I580" s="292" t="str">
        <f>Overview!N580</f>
        <v/>
      </c>
    </row>
    <row r="581">
      <c r="A581" s="12" t="str">
        <f>Overview!A581</f>
        <v/>
      </c>
      <c r="B581" s="12" t="str">
        <f>Overview!B581</f>
        <v/>
      </c>
      <c r="C581" s="12" t="str">
        <f>Overview!C581</f>
        <v/>
      </c>
      <c r="D581" s="12" t="str">
        <f>Overview!D581</f>
        <v/>
      </c>
      <c r="E581" s="12" t="str">
        <f>Overview!E581</f>
        <v/>
      </c>
      <c r="F581" s="12" t="str">
        <f>Overview!K581</f>
        <v/>
      </c>
      <c r="G581" s="12" t="str">
        <f>Overview!L581</f>
        <v/>
      </c>
      <c r="H581" s="12" t="str">
        <f>Overview!M581</f>
        <v/>
      </c>
      <c r="I581" s="292" t="str">
        <f>Overview!N581</f>
        <v/>
      </c>
    </row>
    <row r="582">
      <c r="A582" s="12" t="str">
        <f>Overview!A582</f>
        <v/>
      </c>
      <c r="B582" s="12" t="str">
        <f>Overview!B582</f>
        <v/>
      </c>
      <c r="C582" s="12" t="str">
        <f>Overview!C582</f>
        <v/>
      </c>
      <c r="D582" s="12" t="str">
        <f>Overview!D582</f>
        <v/>
      </c>
      <c r="E582" s="12" t="str">
        <f>Overview!E582</f>
        <v/>
      </c>
      <c r="F582" s="12" t="str">
        <f>Overview!K582</f>
        <v/>
      </c>
      <c r="G582" s="12" t="str">
        <f>Overview!L582</f>
        <v/>
      </c>
      <c r="H582" s="12" t="str">
        <f>Overview!M582</f>
        <v/>
      </c>
      <c r="I582" s="292" t="str">
        <f>Overview!N582</f>
        <v/>
      </c>
    </row>
    <row r="583">
      <c r="A583" s="12" t="str">
        <f>Overview!A583</f>
        <v/>
      </c>
      <c r="B583" s="12" t="str">
        <f>Overview!B583</f>
        <v/>
      </c>
      <c r="C583" s="12" t="str">
        <f>Overview!C583</f>
        <v/>
      </c>
      <c r="D583" s="12" t="str">
        <f>Overview!D583</f>
        <v/>
      </c>
      <c r="E583" s="12" t="str">
        <f>Overview!E583</f>
        <v/>
      </c>
      <c r="F583" s="12" t="str">
        <f>Overview!K583</f>
        <v/>
      </c>
      <c r="G583" s="12" t="str">
        <f>Overview!L583</f>
        <v/>
      </c>
      <c r="H583" s="12" t="str">
        <f>Overview!M583</f>
        <v/>
      </c>
      <c r="I583" s="292" t="str">
        <f>Overview!N583</f>
        <v/>
      </c>
    </row>
    <row r="584">
      <c r="A584" s="12" t="str">
        <f>Overview!A584</f>
        <v/>
      </c>
      <c r="B584" s="12" t="str">
        <f>Overview!B584</f>
        <v/>
      </c>
      <c r="C584" s="12" t="str">
        <f>Overview!C584</f>
        <v/>
      </c>
      <c r="D584" s="12" t="str">
        <f>Overview!D584</f>
        <v/>
      </c>
      <c r="E584" s="12" t="str">
        <f>Overview!E584</f>
        <v/>
      </c>
      <c r="F584" s="12" t="str">
        <f>Overview!K584</f>
        <v/>
      </c>
      <c r="G584" s="12" t="str">
        <f>Overview!L584</f>
        <v/>
      </c>
      <c r="H584" s="12" t="str">
        <f>Overview!M584</f>
        <v/>
      </c>
      <c r="I584" s="292" t="str">
        <f>Overview!N584</f>
        <v/>
      </c>
    </row>
    <row r="585">
      <c r="A585" s="12" t="str">
        <f>Overview!A585</f>
        <v/>
      </c>
      <c r="B585" s="12" t="str">
        <f>Overview!B585</f>
        <v/>
      </c>
      <c r="C585" s="12" t="str">
        <f>Overview!C585</f>
        <v/>
      </c>
      <c r="D585" s="12" t="str">
        <f>Overview!D585</f>
        <v/>
      </c>
      <c r="E585" s="12" t="str">
        <f>Overview!E585</f>
        <v/>
      </c>
      <c r="F585" s="12" t="str">
        <f>Overview!K585</f>
        <v/>
      </c>
      <c r="G585" s="12" t="str">
        <f>Overview!L585</f>
        <v/>
      </c>
      <c r="H585" s="12" t="str">
        <f>Overview!M585</f>
        <v/>
      </c>
      <c r="I585" s="292" t="str">
        <f>Overview!N585</f>
        <v/>
      </c>
    </row>
    <row r="586">
      <c r="A586" s="12" t="str">
        <f>Overview!A586</f>
        <v/>
      </c>
      <c r="B586" s="12" t="str">
        <f>Overview!B586</f>
        <v/>
      </c>
      <c r="C586" s="12" t="str">
        <f>Overview!C586</f>
        <v/>
      </c>
      <c r="D586" s="12" t="str">
        <f>Overview!D586</f>
        <v/>
      </c>
      <c r="E586" s="12" t="str">
        <f>Overview!E586</f>
        <v/>
      </c>
      <c r="F586" s="12" t="str">
        <f>Overview!K586</f>
        <v/>
      </c>
      <c r="G586" s="12" t="str">
        <f>Overview!L586</f>
        <v/>
      </c>
      <c r="H586" s="12" t="str">
        <f>Overview!M586</f>
        <v/>
      </c>
      <c r="I586" s="292" t="str">
        <f>Overview!N586</f>
        <v/>
      </c>
    </row>
    <row r="587">
      <c r="A587" s="12" t="str">
        <f>Overview!A587</f>
        <v/>
      </c>
      <c r="B587" s="12" t="str">
        <f>Overview!B587</f>
        <v/>
      </c>
      <c r="C587" s="12" t="str">
        <f>Overview!C587</f>
        <v/>
      </c>
      <c r="D587" s="12" t="str">
        <f>Overview!D587</f>
        <v/>
      </c>
      <c r="E587" s="12" t="str">
        <f>Overview!E587</f>
        <v/>
      </c>
      <c r="F587" s="12" t="str">
        <f>Overview!K587</f>
        <v/>
      </c>
      <c r="G587" s="12" t="str">
        <f>Overview!L587</f>
        <v/>
      </c>
      <c r="H587" s="12" t="str">
        <f>Overview!M587</f>
        <v/>
      </c>
      <c r="I587" s="292" t="str">
        <f>Overview!N587</f>
        <v/>
      </c>
    </row>
    <row r="588">
      <c r="A588" s="12" t="str">
        <f>Overview!A588</f>
        <v/>
      </c>
      <c r="B588" s="12" t="str">
        <f>Overview!B588</f>
        <v/>
      </c>
      <c r="C588" s="12" t="str">
        <f>Overview!C588</f>
        <v/>
      </c>
      <c r="D588" s="12" t="str">
        <f>Overview!D588</f>
        <v/>
      </c>
      <c r="E588" s="12" t="str">
        <f>Overview!E588</f>
        <v/>
      </c>
      <c r="F588" s="12" t="str">
        <f>Overview!K588</f>
        <v/>
      </c>
      <c r="G588" s="12" t="str">
        <f>Overview!L588</f>
        <v/>
      </c>
      <c r="H588" s="12" t="str">
        <f>Overview!M588</f>
        <v/>
      </c>
      <c r="I588" s="292" t="str">
        <f>Overview!N588</f>
        <v/>
      </c>
    </row>
    <row r="589">
      <c r="A589" s="12" t="str">
        <f>Overview!A589</f>
        <v/>
      </c>
      <c r="B589" s="12" t="str">
        <f>Overview!B589</f>
        <v/>
      </c>
      <c r="C589" s="12" t="str">
        <f>Overview!C589</f>
        <v/>
      </c>
      <c r="D589" s="12" t="str">
        <f>Overview!D589</f>
        <v/>
      </c>
      <c r="E589" s="12" t="str">
        <f>Overview!E589</f>
        <v/>
      </c>
      <c r="F589" s="12" t="str">
        <f>Overview!K589</f>
        <v/>
      </c>
      <c r="G589" s="12" t="str">
        <f>Overview!L589</f>
        <v/>
      </c>
      <c r="H589" s="12" t="str">
        <f>Overview!M589</f>
        <v/>
      </c>
      <c r="I589" s="292" t="str">
        <f>Overview!N589</f>
        <v/>
      </c>
    </row>
    <row r="590">
      <c r="A590" s="12" t="str">
        <f>Overview!A590</f>
        <v/>
      </c>
      <c r="B590" s="12" t="str">
        <f>Overview!B590</f>
        <v/>
      </c>
      <c r="C590" s="12" t="str">
        <f>Overview!C590</f>
        <v/>
      </c>
      <c r="D590" s="12" t="str">
        <f>Overview!D590</f>
        <v/>
      </c>
      <c r="E590" s="12" t="str">
        <f>Overview!E590</f>
        <v/>
      </c>
      <c r="F590" s="12" t="str">
        <f>Overview!K590</f>
        <v/>
      </c>
      <c r="G590" s="12" t="str">
        <f>Overview!L590</f>
        <v/>
      </c>
      <c r="H590" s="12" t="str">
        <f>Overview!M590</f>
        <v/>
      </c>
      <c r="I590" s="292" t="str">
        <f>Overview!N590</f>
        <v/>
      </c>
    </row>
    <row r="591">
      <c r="A591" s="12" t="str">
        <f>Overview!A591</f>
        <v/>
      </c>
      <c r="B591" s="12" t="str">
        <f>Overview!B591</f>
        <v/>
      </c>
      <c r="C591" s="12" t="str">
        <f>Overview!C591</f>
        <v/>
      </c>
      <c r="D591" s="12" t="str">
        <f>Overview!D591</f>
        <v/>
      </c>
      <c r="E591" s="12" t="str">
        <f>Overview!E591</f>
        <v/>
      </c>
      <c r="F591" s="12" t="str">
        <f>Overview!K591</f>
        <v/>
      </c>
      <c r="G591" s="12" t="str">
        <f>Overview!L591</f>
        <v/>
      </c>
      <c r="H591" s="12" t="str">
        <f>Overview!M591</f>
        <v/>
      </c>
      <c r="I591" s="292" t="str">
        <f>Overview!N591</f>
        <v/>
      </c>
    </row>
    <row r="592">
      <c r="A592" s="12" t="str">
        <f>Overview!A592</f>
        <v/>
      </c>
      <c r="B592" s="12" t="str">
        <f>Overview!B592</f>
        <v/>
      </c>
      <c r="C592" s="12" t="str">
        <f>Overview!C592</f>
        <v/>
      </c>
      <c r="D592" s="12" t="str">
        <f>Overview!D592</f>
        <v/>
      </c>
      <c r="E592" s="12" t="str">
        <f>Overview!E592</f>
        <v/>
      </c>
      <c r="F592" s="12" t="str">
        <f>Overview!K592</f>
        <v/>
      </c>
      <c r="G592" s="12" t="str">
        <f>Overview!L592</f>
        <v/>
      </c>
      <c r="H592" s="12" t="str">
        <f>Overview!M592</f>
        <v/>
      </c>
      <c r="I592" s="292" t="str">
        <f>Overview!N592</f>
        <v/>
      </c>
    </row>
    <row r="593">
      <c r="A593" s="12" t="str">
        <f>Overview!A593</f>
        <v/>
      </c>
      <c r="B593" s="12" t="str">
        <f>Overview!B593</f>
        <v/>
      </c>
      <c r="C593" s="12" t="str">
        <f>Overview!C593</f>
        <v/>
      </c>
      <c r="D593" s="12" t="str">
        <f>Overview!D593</f>
        <v/>
      </c>
      <c r="E593" s="12" t="str">
        <f>Overview!E593</f>
        <v/>
      </c>
      <c r="F593" s="12" t="str">
        <f>Overview!K593</f>
        <v/>
      </c>
      <c r="G593" s="12" t="str">
        <f>Overview!L593</f>
        <v/>
      </c>
      <c r="H593" s="12" t="str">
        <f>Overview!M593</f>
        <v/>
      </c>
      <c r="I593" s="292" t="str">
        <f>Overview!N593</f>
        <v/>
      </c>
    </row>
    <row r="594">
      <c r="A594" s="12" t="str">
        <f>Overview!A594</f>
        <v/>
      </c>
      <c r="B594" s="12" t="str">
        <f>Overview!B594</f>
        <v/>
      </c>
      <c r="C594" s="12" t="str">
        <f>Overview!C594</f>
        <v/>
      </c>
      <c r="D594" s="12" t="str">
        <f>Overview!D594</f>
        <v/>
      </c>
      <c r="E594" s="12" t="str">
        <f>Overview!E594</f>
        <v/>
      </c>
      <c r="F594" s="12" t="str">
        <f>Overview!K594</f>
        <v/>
      </c>
      <c r="G594" s="12" t="str">
        <f>Overview!L594</f>
        <v/>
      </c>
      <c r="H594" s="12" t="str">
        <f>Overview!M594</f>
        <v/>
      </c>
      <c r="I594" s="292" t="str">
        <f>Overview!N594</f>
        <v/>
      </c>
    </row>
    <row r="595">
      <c r="A595" s="12" t="str">
        <f>Overview!A595</f>
        <v/>
      </c>
      <c r="B595" s="12" t="str">
        <f>Overview!B595</f>
        <v/>
      </c>
      <c r="C595" s="12" t="str">
        <f>Overview!C595</f>
        <v/>
      </c>
      <c r="D595" s="12" t="str">
        <f>Overview!D595</f>
        <v/>
      </c>
      <c r="E595" s="12" t="str">
        <f>Overview!E595</f>
        <v/>
      </c>
      <c r="F595" s="12" t="str">
        <f>Overview!K595</f>
        <v/>
      </c>
      <c r="G595" s="12" t="str">
        <f>Overview!L595</f>
        <v/>
      </c>
      <c r="H595" s="12" t="str">
        <f>Overview!M595</f>
        <v/>
      </c>
      <c r="I595" s="292" t="str">
        <f>Overview!N595</f>
        <v/>
      </c>
    </row>
    <row r="596">
      <c r="A596" s="12" t="str">
        <f>Overview!A596</f>
        <v/>
      </c>
      <c r="B596" s="12" t="str">
        <f>Overview!B596</f>
        <v/>
      </c>
      <c r="C596" s="12" t="str">
        <f>Overview!C596</f>
        <v/>
      </c>
      <c r="D596" s="12" t="str">
        <f>Overview!D596</f>
        <v/>
      </c>
      <c r="E596" s="12" t="str">
        <f>Overview!E596</f>
        <v/>
      </c>
      <c r="F596" s="12" t="str">
        <f>Overview!K596</f>
        <v/>
      </c>
      <c r="G596" s="12" t="str">
        <f>Overview!L596</f>
        <v/>
      </c>
      <c r="H596" s="12" t="str">
        <f>Overview!M596</f>
        <v/>
      </c>
      <c r="I596" s="292" t="str">
        <f>Overview!N596</f>
        <v/>
      </c>
    </row>
    <row r="597">
      <c r="A597" s="12" t="str">
        <f>Overview!A597</f>
        <v/>
      </c>
      <c r="B597" s="12" t="str">
        <f>Overview!B597</f>
        <v/>
      </c>
      <c r="C597" s="12" t="str">
        <f>Overview!C597</f>
        <v/>
      </c>
      <c r="D597" s="12" t="str">
        <f>Overview!D597</f>
        <v/>
      </c>
      <c r="E597" s="12" t="str">
        <f>Overview!E597</f>
        <v/>
      </c>
      <c r="F597" s="12" t="str">
        <f>Overview!K597</f>
        <v/>
      </c>
      <c r="G597" s="12" t="str">
        <f>Overview!L597</f>
        <v/>
      </c>
      <c r="H597" s="12" t="str">
        <f>Overview!M597</f>
        <v/>
      </c>
      <c r="I597" s="292" t="str">
        <f>Overview!N597</f>
        <v/>
      </c>
    </row>
    <row r="598">
      <c r="A598" s="12" t="str">
        <f>Overview!A598</f>
        <v/>
      </c>
      <c r="B598" s="12" t="str">
        <f>Overview!B598</f>
        <v/>
      </c>
      <c r="C598" s="12" t="str">
        <f>Overview!C598</f>
        <v/>
      </c>
      <c r="D598" s="12" t="str">
        <f>Overview!D598</f>
        <v/>
      </c>
      <c r="E598" s="12" t="str">
        <f>Overview!E598</f>
        <v/>
      </c>
      <c r="F598" s="12" t="str">
        <f>Overview!K598</f>
        <v/>
      </c>
      <c r="G598" s="12" t="str">
        <f>Overview!L598</f>
        <v/>
      </c>
      <c r="H598" s="12" t="str">
        <f>Overview!M598</f>
        <v/>
      </c>
      <c r="I598" s="292" t="str">
        <f>Overview!N598</f>
        <v/>
      </c>
    </row>
    <row r="599">
      <c r="A599" s="12" t="str">
        <f>Overview!A599</f>
        <v/>
      </c>
      <c r="B599" s="12" t="str">
        <f>Overview!B599</f>
        <v/>
      </c>
      <c r="C599" s="12" t="str">
        <f>Overview!C599</f>
        <v/>
      </c>
      <c r="D599" s="12" t="str">
        <f>Overview!D599</f>
        <v/>
      </c>
      <c r="E599" s="12" t="str">
        <f>Overview!E599</f>
        <v/>
      </c>
      <c r="F599" s="12" t="str">
        <f>Overview!K599</f>
        <v/>
      </c>
      <c r="G599" s="12" t="str">
        <f>Overview!L599</f>
        <v/>
      </c>
      <c r="H599" s="12" t="str">
        <f>Overview!M599</f>
        <v/>
      </c>
      <c r="I599" s="292" t="str">
        <f>Overview!N599</f>
        <v/>
      </c>
    </row>
    <row r="600">
      <c r="A600" s="12" t="str">
        <f>Overview!A600</f>
        <v/>
      </c>
      <c r="B600" s="12" t="str">
        <f>Overview!B600</f>
        <v/>
      </c>
      <c r="C600" s="12" t="str">
        <f>Overview!C600</f>
        <v/>
      </c>
      <c r="D600" s="12" t="str">
        <f>Overview!D600</f>
        <v/>
      </c>
      <c r="E600" s="12" t="str">
        <f>Overview!E600</f>
        <v/>
      </c>
      <c r="F600" s="12" t="str">
        <f>Overview!K600</f>
        <v/>
      </c>
      <c r="G600" s="12" t="str">
        <f>Overview!L600</f>
        <v/>
      </c>
      <c r="H600" s="12" t="str">
        <f>Overview!M600</f>
        <v/>
      </c>
      <c r="I600" s="292" t="str">
        <f>Overview!N600</f>
        <v/>
      </c>
    </row>
    <row r="601">
      <c r="A601" s="12" t="str">
        <f>Overview!A601</f>
        <v/>
      </c>
      <c r="B601" s="12" t="str">
        <f>Overview!B601</f>
        <v/>
      </c>
      <c r="C601" s="12" t="str">
        <f>Overview!C601</f>
        <v/>
      </c>
      <c r="D601" s="12" t="str">
        <f>Overview!D601</f>
        <v/>
      </c>
      <c r="E601" s="12" t="str">
        <f>Overview!E601</f>
        <v/>
      </c>
      <c r="F601" s="12" t="str">
        <f>Overview!K601</f>
        <v/>
      </c>
      <c r="G601" s="12" t="str">
        <f>Overview!L601</f>
        <v/>
      </c>
      <c r="H601" s="12" t="str">
        <f>Overview!M601</f>
        <v/>
      </c>
      <c r="I601" s="292" t="str">
        <f>Overview!N601</f>
        <v/>
      </c>
    </row>
    <row r="602">
      <c r="A602" s="12" t="str">
        <f>Overview!A602</f>
        <v/>
      </c>
      <c r="B602" s="12" t="str">
        <f>Overview!B602</f>
        <v/>
      </c>
      <c r="C602" s="12" t="str">
        <f>Overview!C602</f>
        <v/>
      </c>
      <c r="D602" s="12" t="str">
        <f>Overview!D602</f>
        <v/>
      </c>
      <c r="E602" s="12" t="str">
        <f>Overview!E602</f>
        <v/>
      </c>
      <c r="F602" s="12" t="str">
        <f>Overview!K602</f>
        <v/>
      </c>
      <c r="G602" s="12" t="str">
        <f>Overview!L602</f>
        <v/>
      </c>
      <c r="H602" s="12" t="str">
        <f>Overview!M602</f>
        <v/>
      </c>
      <c r="I602" s="292" t="str">
        <f>Overview!N602</f>
        <v/>
      </c>
    </row>
    <row r="603">
      <c r="A603" s="12" t="str">
        <f>Overview!A603</f>
        <v/>
      </c>
      <c r="B603" s="12" t="str">
        <f>Overview!B603</f>
        <v/>
      </c>
      <c r="C603" s="12" t="str">
        <f>Overview!C603</f>
        <v/>
      </c>
      <c r="D603" s="12" t="str">
        <f>Overview!D603</f>
        <v/>
      </c>
      <c r="E603" s="12" t="str">
        <f>Overview!E603</f>
        <v/>
      </c>
      <c r="F603" s="12" t="str">
        <f>Overview!K603</f>
        <v/>
      </c>
      <c r="G603" s="12" t="str">
        <f>Overview!L603</f>
        <v/>
      </c>
      <c r="H603" s="12" t="str">
        <f>Overview!M603</f>
        <v/>
      </c>
      <c r="I603" s="292" t="str">
        <f>Overview!N603</f>
        <v/>
      </c>
    </row>
    <row r="604">
      <c r="A604" s="12" t="str">
        <f>Overview!A604</f>
        <v/>
      </c>
      <c r="B604" s="12" t="str">
        <f>Overview!B604</f>
        <v/>
      </c>
      <c r="C604" s="12" t="str">
        <f>Overview!C604</f>
        <v/>
      </c>
      <c r="D604" s="12" t="str">
        <f>Overview!D604</f>
        <v/>
      </c>
      <c r="E604" s="12" t="str">
        <f>Overview!E604</f>
        <v/>
      </c>
      <c r="F604" s="12" t="str">
        <f>Overview!K604</f>
        <v/>
      </c>
      <c r="G604" s="12" t="str">
        <f>Overview!L604</f>
        <v/>
      </c>
      <c r="H604" s="12" t="str">
        <f>Overview!M604</f>
        <v/>
      </c>
      <c r="I604" s="292" t="str">
        <f>Overview!N604</f>
        <v/>
      </c>
    </row>
    <row r="605">
      <c r="A605" s="12" t="str">
        <f>Overview!A605</f>
        <v/>
      </c>
      <c r="B605" s="12" t="str">
        <f>Overview!B605</f>
        <v/>
      </c>
      <c r="C605" s="12" t="str">
        <f>Overview!C605</f>
        <v/>
      </c>
      <c r="D605" s="12" t="str">
        <f>Overview!D605</f>
        <v/>
      </c>
      <c r="E605" s="12" t="str">
        <f>Overview!E605</f>
        <v/>
      </c>
      <c r="F605" s="12" t="str">
        <f>Overview!K605</f>
        <v/>
      </c>
      <c r="G605" s="12" t="str">
        <f>Overview!L605</f>
        <v/>
      </c>
      <c r="H605" s="12" t="str">
        <f>Overview!M605</f>
        <v/>
      </c>
      <c r="I605" s="292" t="str">
        <f>Overview!N605</f>
        <v/>
      </c>
    </row>
    <row r="606">
      <c r="A606" s="12" t="str">
        <f>Overview!A606</f>
        <v/>
      </c>
      <c r="B606" s="12" t="str">
        <f>Overview!B606</f>
        <v/>
      </c>
      <c r="C606" s="12" t="str">
        <f>Overview!C606</f>
        <v/>
      </c>
      <c r="D606" s="12" t="str">
        <f>Overview!D606</f>
        <v/>
      </c>
      <c r="E606" s="12" t="str">
        <f>Overview!E606</f>
        <v/>
      </c>
      <c r="F606" s="12" t="str">
        <f>Overview!K606</f>
        <v/>
      </c>
      <c r="G606" s="12" t="str">
        <f>Overview!L606</f>
        <v/>
      </c>
      <c r="H606" s="12" t="str">
        <f>Overview!M606</f>
        <v/>
      </c>
      <c r="I606" s="292" t="str">
        <f>Overview!N606</f>
        <v/>
      </c>
    </row>
    <row r="607">
      <c r="A607" s="12" t="str">
        <f>Overview!A607</f>
        <v/>
      </c>
      <c r="B607" s="12" t="str">
        <f>Overview!B607</f>
        <v/>
      </c>
      <c r="C607" s="12" t="str">
        <f>Overview!C607</f>
        <v/>
      </c>
      <c r="D607" s="12" t="str">
        <f>Overview!D607</f>
        <v/>
      </c>
      <c r="E607" s="12" t="str">
        <f>Overview!E607</f>
        <v/>
      </c>
      <c r="F607" s="12" t="str">
        <f>Overview!K607</f>
        <v/>
      </c>
      <c r="G607" s="12" t="str">
        <f>Overview!L607</f>
        <v/>
      </c>
      <c r="H607" s="12" t="str">
        <f>Overview!M607</f>
        <v/>
      </c>
      <c r="I607" s="292" t="str">
        <f>Overview!N607</f>
        <v/>
      </c>
    </row>
    <row r="608">
      <c r="A608" s="12" t="str">
        <f>Overview!A608</f>
        <v/>
      </c>
      <c r="B608" s="12" t="str">
        <f>Overview!B608</f>
        <v/>
      </c>
      <c r="C608" s="12" t="str">
        <f>Overview!C608</f>
        <v/>
      </c>
      <c r="D608" s="12" t="str">
        <f>Overview!D608</f>
        <v/>
      </c>
      <c r="E608" s="12" t="str">
        <f>Overview!E608</f>
        <v/>
      </c>
      <c r="F608" s="12" t="str">
        <f>Overview!K608</f>
        <v/>
      </c>
      <c r="G608" s="12" t="str">
        <f>Overview!L608</f>
        <v/>
      </c>
      <c r="H608" s="12" t="str">
        <f>Overview!M608</f>
        <v/>
      </c>
      <c r="I608" s="292" t="str">
        <f>Overview!N608</f>
        <v/>
      </c>
    </row>
    <row r="609">
      <c r="A609" s="12" t="str">
        <f>Overview!A609</f>
        <v/>
      </c>
      <c r="B609" s="12" t="str">
        <f>Overview!B609</f>
        <v/>
      </c>
      <c r="C609" s="12" t="str">
        <f>Overview!C609</f>
        <v/>
      </c>
      <c r="D609" s="12" t="str">
        <f>Overview!D609</f>
        <v/>
      </c>
      <c r="E609" s="12" t="str">
        <f>Overview!E609</f>
        <v/>
      </c>
      <c r="F609" s="12" t="str">
        <f>Overview!K609</f>
        <v/>
      </c>
      <c r="G609" s="12" t="str">
        <f>Overview!L609</f>
        <v/>
      </c>
      <c r="H609" s="12" t="str">
        <f>Overview!M609</f>
        <v/>
      </c>
      <c r="I609" s="292" t="str">
        <f>Overview!N609</f>
        <v/>
      </c>
    </row>
    <row r="610">
      <c r="A610" s="12" t="str">
        <f>Overview!A610</f>
        <v/>
      </c>
      <c r="B610" s="12" t="str">
        <f>Overview!B610</f>
        <v/>
      </c>
      <c r="C610" s="12" t="str">
        <f>Overview!C610</f>
        <v/>
      </c>
      <c r="D610" s="12" t="str">
        <f>Overview!D610</f>
        <v/>
      </c>
      <c r="E610" s="12" t="str">
        <f>Overview!E610</f>
        <v/>
      </c>
      <c r="F610" s="12" t="str">
        <f>Overview!K610</f>
        <v/>
      </c>
      <c r="G610" s="12" t="str">
        <f>Overview!L610</f>
        <v/>
      </c>
      <c r="H610" s="12" t="str">
        <f>Overview!M610</f>
        <v/>
      </c>
      <c r="I610" s="292" t="str">
        <f>Overview!N610</f>
        <v/>
      </c>
    </row>
    <row r="611">
      <c r="A611" s="12" t="str">
        <f>Overview!A611</f>
        <v/>
      </c>
      <c r="B611" s="12" t="str">
        <f>Overview!B611</f>
        <v/>
      </c>
      <c r="C611" s="12" t="str">
        <f>Overview!C611</f>
        <v/>
      </c>
      <c r="D611" s="12" t="str">
        <f>Overview!D611</f>
        <v/>
      </c>
      <c r="E611" s="12" t="str">
        <f>Overview!E611</f>
        <v/>
      </c>
      <c r="F611" s="12" t="str">
        <f>Overview!K611</f>
        <v/>
      </c>
      <c r="G611" s="12" t="str">
        <f>Overview!L611</f>
        <v/>
      </c>
      <c r="H611" s="12" t="str">
        <f>Overview!M611</f>
        <v/>
      </c>
      <c r="I611" s="292" t="str">
        <f>Overview!N611</f>
        <v/>
      </c>
    </row>
    <row r="612">
      <c r="A612" s="12" t="str">
        <f>Overview!A612</f>
        <v/>
      </c>
      <c r="B612" s="12" t="str">
        <f>Overview!B612</f>
        <v/>
      </c>
      <c r="C612" s="12" t="str">
        <f>Overview!C612</f>
        <v/>
      </c>
      <c r="D612" s="12" t="str">
        <f>Overview!D612</f>
        <v/>
      </c>
      <c r="E612" s="12" t="str">
        <f>Overview!E612</f>
        <v/>
      </c>
      <c r="F612" s="12" t="str">
        <f>Overview!K612</f>
        <v/>
      </c>
      <c r="G612" s="12" t="str">
        <f>Overview!L612</f>
        <v/>
      </c>
      <c r="H612" s="12" t="str">
        <f>Overview!M612</f>
        <v/>
      </c>
      <c r="I612" s="292" t="str">
        <f>Overview!N612</f>
        <v/>
      </c>
    </row>
    <row r="613">
      <c r="A613" s="12" t="str">
        <f>Overview!A613</f>
        <v/>
      </c>
      <c r="B613" s="12" t="str">
        <f>Overview!B613</f>
        <v/>
      </c>
      <c r="C613" s="12" t="str">
        <f>Overview!C613</f>
        <v/>
      </c>
      <c r="D613" s="12" t="str">
        <f>Overview!D613</f>
        <v/>
      </c>
      <c r="E613" s="12" t="str">
        <f>Overview!E613</f>
        <v/>
      </c>
      <c r="F613" s="12" t="str">
        <f>Overview!K613</f>
        <v/>
      </c>
      <c r="G613" s="12" t="str">
        <f>Overview!L613</f>
        <v/>
      </c>
      <c r="H613" s="12" t="str">
        <f>Overview!M613</f>
        <v/>
      </c>
      <c r="I613" s="292" t="str">
        <f>Overview!N613</f>
        <v/>
      </c>
    </row>
    <row r="614">
      <c r="A614" s="12" t="str">
        <f>Overview!A614</f>
        <v/>
      </c>
      <c r="B614" s="12" t="str">
        <f>Overview!B614</f>
        <v/>
      </c>
      <c r="C614" s="12" t="str">
        <f>Overview!C614</f>
        <v/>
      </c>
      <c r="D614" s="12" t="str">
        <f>Overview!D614</f>
        <v/>
      </c>
      <c r="E614" s="12" t="str">
        <f>Overview!E614</f>
        <v/>
      </c>
      <c r="F614" s="12" t="str">
        <f>Overview!K614</f>
        <v/>
      </c>
      <c r="G614" s="12" t="str">
        <f>Overview!L614</f>
        <v/>
      </c>
      <c r="H614" s="12" t="str">
        <f>Overview!M614</f>
        <v/>
      </c>
      <c r="I614" s="292" t="str">
        <f>Overview!N614</f>
        <v/>
      </c>
    </row>
    <row r="615">
      <c r="A615" s="12" t="str">
        <f>Overview!A615</f>
        <v/>
      </c>
      <c r="B615" s="12" t="str">
        <f>Overview!B615</f>
        <v/>
      </c>
      <c r="C615" s="12" t="str">
        <f>Overview!C615</f>
        <v/>
      </c>
      <c r="D615" s="12" t="str">
        <f>Overview!D615</f>
        <v/>
      </c>
      <c r="E615" s="12" t="str">
        <f>Overview!E615</f>
        <v/>
      </c>
      <c r="F615" s="12" t="str">
        <f>Overview!K615</f>
        <v/>
      </c>
      <c r="G615" s="12" t="str">
        <f>Overview!L615</f>
        <v/>
      </c>
      <c r="H615" s="12" t="str">
        <f>Overview!M615</f>
        <v/>
      </c>
      <c r="I615" s="292" t="str">
        <f>Overview!N615</f>
        <v/>
      </c>
    </row>
    <row r="616">
      <c r="A616" s="12" t="str">
        <f>Overview!A616</f>
        <v/>
      </c>
      <c r="B616" s="12" t="str">
        <f>Overview!B616</f>
        <v/>
      </c>
      <c r="C616" s="12" t="str">
        <f>Overview!C616</f>
        <v/>
      </c>
      <c r="D616" s="12" t="str">
        <f>Overview!D616</f>
        <v/>
      </c>
      <c r="E616" s="12" t="str">
        <f>Overview!E616</f>
        <v/>
      </c>
      <c r="F616" s="12" t="str">
        <f>Overview!K616</f>
        <v/>
      </c>
      <c r="G616" s="12" t="str">
        <f>Overview!L616</f>
        <v/>
      </c>
      <c r="H616" s="12" t="str">
        <f>Overview!M616</f>
        <v/>
      </c>
      <c r="I616" s="292" t="str">
        <f>Overview!N616</f>
        <v/>
      </c>
    </row>
    <row r="617">
      <c r="A617" s="12" t="str">
        <f>Overview!A617</f>
        <v/>
      </c>
      <c r="B617" s="12" t="str">
        <f>Overview!B617</f>
        <v/>
      </c>
      <c r="C617" s="12" t="str">
        <f>Overview!C617</f>
        <v/>
      </c>
      <c r="D617" s="12" t="str">
        <f>Overview!D617</f>
        <v/>
      </c>
      <c r="E617" s="12" t="str">
        <f>Overview!E617</f>
        <v/>
      </c>
      <c r="F617" s="12" t="str">
        <f>Overview!K617</f>
        <v/>
      </c>
      <c r="G617" s="12" t="str">
        <f>Overview!L617</f>
        <v/>
      </c>
      <c r="H617" s="12" t="str">
        <f>Overview!M617</f>
        <v/>
      </c>
      <c r="I617" s="292" t="str">
        <f>Overview!N617</f>
        <v/>
      </c>
    </row>
    <row r="618">
      <c r="A618" s="12" t="str">
        <f>Overview!A618</f>
        <v/>
      </c>
      <c r="B618" s="12" t="str">
        <f>Overview!B618</f>
        <v/>
      </c>
      <c r="C618" s="12" t="str">
        <f>Overview!C618</f>
        <v/>
      </c>
      <c r="D618" s="12" t="str">
        <f>Overview!D618</f>
        <v/>
      </c>
      <c r="E618" s="12" t="str">
        <f>Overview!E618</f>
        <v/>
      </c>
      <c r="F618" s="12" t="str">
        <f>Overview!K618</f>
        <v/>
      </c>
      <c r="G618" s="12" t="str">
        <f>Overview!L618</f>
        <v/>
      </c>
      <c r="H618" s="12" t="str">
        <f>Overview!M618</f>
        <v/>
      </c>
      <c r="I618" s="292" t="str">
        <f>Overview!N618</f>
        <v/>
      </c>
    </row>
    <row r="619">
      <c r="A619" s="12" t="str">
        <f>Overview!A619</f>
        <v/>
      </c>
      <c r="B619" s="12" t="str">
        <f>Overview!B619</f>
        <v/>
      </c>
      <c r="C619" s="12" t="str">
        <f>Overview!C619</f>
        <v/>
      </c>
      <c r="D619" s="12" t="str">
        <f>Overview!D619</f>
        <v/>
      </c>
      <c r="E619" s="12" t="str">
        <f>Overview!E619</f>
        <v/>
      </c>
      <c r="F619" s="12" t="str">
        <f>Overview!K619</f>
        <v/>
      </c>
      <c r="G619" s="12" t="str">
        <f>Overview!L619</f>
        <v/>
      </c>
      <c r="H619" s="12" t="str">
        <f>Overview!M619</f>
        <v/>
      </c>
      <c r="I619" s="292" t="str">
        <f>Overview!N619</f>
        <v/>
      </c>
    </row>
    <row r="620">
      <c r="A620" s="12" t="str">
        <f>Overview!A620</f>
        <v/>
      </c>
      <c r="B620" s="12" t="str">
        <f>Overview!B620</f>
        <v/>
      </c>
      <c r="C620" s="12" t="str">
        <f>Overview!C620</f>
        <v/>
      </c>
      <c r="D620" s="12" t="str">
        <f>Overview!D620</f>
        <v/>
      </c>
      <c r="E620" s="12" t="str">
        <f>Overview!E620</f>
        <v/>
      </c>
      <c r="F620" s="12" t="str">
        <f>Overview!K620</f>
        <v/>
      </c>
      <c r="G620" s="12" t="str">
        <f>Overview!L620</f>
        <v/>
      </c>
      <c r="H620" s="12" t="str">
        <f>Overview!M620</f>
        <v/>
      </c>
      <c r="I620" s="292" t="str">
        <f>Overview!N620</f>
        <v/>
      </c>
    </row>
    <row r="621">
      <c r="A621" s="12" t="str">
        <f>Overview!A621</f>
        <v/>
      </c>
      <c r="B621" s="12" t="str">
        <f>Overview!B621</f>
        <v/>
      </c>
      <c r="C621" s="12" t="str">
        <f>Overview!C621</f>
        <v/>
      </c>
      <c r="D621" s="12" t="str">
        <f>Overview!D621</f>
        <v/>
      </c>
      <c r="E621" s="12" t="str">
        <f>Overview!E621</f>
        <v/>
      </c>
      <c r="F621" s="12" t="str">
        <f>Overview!K621</f>
        <v/>
      </c>
      <c r="G621" s="12" t="str">
        <f>Overview!L621</f>
        <v/>
      </c>
      <c r="H621" s="12" t="str">
        <f>Overview!M621</f>
        <v/>
      </c>
      <c r="I621" s="292" t="str">
        <f>Overview!N621</f>
        <v/>
      </c>
    </row>
    <row r="622">
      <c r="A622" s="12" t="str">
        <f>Overview!A622</f>
        <v/>
      </c>
      <c r="B622" s="12" t="str">
        <f>Overview!B622</f>
        <v/>
      </c>
      <c r="C622" s="12" t="str">
        <f>Overview!C622</f>
        <v/>
      </c>
      <c r="D622" s="12" t="str">
        <f>Overview!D622</f>
        <v/>
      </c>
      <c r="E622" s="12" t="str">
        <f>Overview!E622</f>
        <v/>
      </c>
      <c r="F622" s="12" t="str">
        <f>Overview!K622</f>
        <v/>
      </c>
      <c r="G622" s="12" t="str">
        <f>Overview!L622</f>
        <v/>
      </c>
      <c r="H622" s="12" t="str">
        <f>Overview!M622</f>
        <v/>
      </c>
      <c r="I622" s="292" t="str">
        <f>Overview!N622</f>
        <v/>
      </c>
    </row>
    <row r="623">
      <c r="A623" s="12" t="str">
        <f>Overview!A623</f>
        <v/>
      </c>
      <c r="B623" s="12" t="str">
        <f>Overview!B623</f>
        <v/>
      </c>
      <c r="C623" s="12" t="str">
        <f>Overview!C623</f>
        <v/>
      </c>
      <c r="D623" s="12" t="str">
        <f>Overview!D623</f>
        <v/>
      </c>
      <c r="E623" s="12" t="str">
        <f>Overview!E623</f>
        <v/>
      </c>
      <c r="F623" s="12" t="str">
        <f>Overview!K623</f>
        <v/>
      </c>
      <c r="G623" s="12" t="str">
        <f>Overview!L623</f>
        <v/>
      </c>
      <c r="H623" s="12" t="str">
        <f>Overview!M623</f>
        <v/>
      </c>
      <c r="I623" s="292" t="str">
        <f>Overview!N623</f>
        <v/>
      </c>
    </row>
    <row r="624">
      <c r="A624" s="12" t="str">
        <f>Overview!A624</f>
        <v/>
      </c>
      <c r="B624" s="12" t="str">
        <f>Overview!B624</f>
        <v/>
      </c>
      <c r="C624" s="12" t="str">
        <f>Overview!C624</f>
        <v/>
      </c>
      <c r="D624" s="12" t="str">
        <f>Overview!D624</f>
        <v/>
      </c>
      <c r="E624" s="12" t="str">
        <f>Overview!E624</f>
        <v/>
      </c>
      <c r="F624" s="12" t="str">
        <f>Overview!K624</f>
        <v/>
      </c>
      <c r="G624" s="12" t="str">
        <f>Overview!L624</f>
        <v/>
      </c>
      <c r="H624" s="12" t="str">
        <f>Overview!M624</f>
        <v/>
      </c>
      <c r="I624" s="292" t="str">
        <f>Overview!N624</f>
        <v/>
      </c>
    </row>
    <row r="625">
      <c r="A625" s="12" t="str">
        <f>Overview!A625</f>
        <v/>
      </c>
      <c r="B625" s="12" t="str">
        <f>Overview!B625</f>
        <v/>
      </c>
      <c r="C625" s="12" t="str">
        <f>Overview!C625</f>
        <v/>
      </c>
      <c r="D625" s="12" t="str">
        <f>Overview!D625</f>
        <v/>
      </c>
      <c r="E625" s="12" t="str">
        <f>Overview!E625</f>
        <v/>
      </c>
      <c r="F625" s="12" t="str">
        <f>Overview!K625</f>
        <v/>
      </c>
      <c r="G625" s="12" t="str">
        <f>Overview!L625</f>
        <v/>
      </c>
      <c r="H625" s="12" t="str">
        <f>Overview!M625</f>
        <v/>
      </c>
      <c r="I625" s="292" t="str">
        <f>Overview!N625</f>
        <v/>
      </c>
    </row>
    <row r="626">
      <c r="A626" s="12" t="str">
        <f>Overview!A626</f>
        <v/>
      </c>
      <c r="B626" s="12" t="str">
        <f>Overview!B626</f>
        <v/>
      </c>
      <c r="C626" s="12" t="str">
        <f>Overview!C626</f>
        <v/>
      </c>
      <c r="D626" s="12" t="str">
        <f>Overview!D626</f>
        <v/>
      </c>
      <c r="E626" s="12" t="str">
        <f>Overview!E626</f>
        <v/>
      </c>
      <c r="F626" s="12" t="str">
        <f>Overview!K626</f>
        <v/>
      </c>
      <c r="G626" s="12" t="str">
        <f>Overview!L626</f>
        <v/>
      </c>
      <c r="H626" s="12" t="str">
        <f>Overview!M626</f>
        <v/>
      </c>
      <c r="I626" s="292" t="str">
        <f>Overview!N626</f>
        <v/>
      </c>
    </row>
    <row r="627">
      <c r="A627" s="12" t="str">
        <f>Overview!A627</f>
        <v/>
      </c>
      <c r="B627" s="12" t="str">
        <f>Overview!B627</f>
        <v/>
      </c>
      <c r="C627" s="12" t="str">
        <f>Overview!C627</f>
        <v/>
      </c>
      <c r="D627" s="12" t="str">
        <f>Overview!D627</f>
        <v/>
      </c>
      <c r="E627" s="12" t="str">
        <f>Overview!E627</f>
        <v/>
      </c>
      <c r="F627" s="12" t="str">
        <f>Overview!K627</f>
        <v/>
      </c>
      <c r="G627" s="12" t="str">
        <f>Overview!L627</f>
        <v/>
      </c>
      <c r="H627" s="12" t="str">
        <f>Overview!M627</f>
        <v/>
      </c>
      <c r="I627" s="292" t="str">
        <f>Overview!N627</f>
        <v/>
      </c>
    </row>
    <row r="628">
      <c r="A628" s="12" t="str">
        <f>Overview!A628</f>
        <v/>
      </c>
      <c r="B628" s="12" t="str">
        <f>Overview!B628</f>
        <v/>
      </c>
      <c r="C628" s="12" t="str">
        <f>Overview!C628</f>
        <v/>
      </c>
      <c r="D628" s="12" t="str">
        <f>Overview!D628</f>
        <v/>
      </c>
      <c r="E628" s="12" t="str">
        <f>Overview!E628</f>
        <v/>
      </c>
      <c r="F628" s="12" t="str">
        <f>Overview!K628</f>
        <v/>
      </c>
      <c r="G628" s="12" t="str">
        <f>Overview!L628</f>
        <v/>
      </c>
      <c r="H628" s="12" t="str">
        <f>Overview!M628</f>
        <v/>
      </c>
      <c r="I628" s="292" t="str">
        <f>Overview!N628</f>
        <v/>
      </c>
    </row>
    <row r="629">
      <c r="A629" s="12" t="str">
        <f>Overview!A629</f>
        <v/>
      </c>
      <c r="B629" s="12" t="str">
        <f>Overview!B629</f>
        <v/>
      </c>
      <c r="C629" s="12" t="str">
        <f>Overview!C629</f>
        <v/>
      </c>
      <c r="D629" s="12" t="str">
        <f>Overview!D629</f>
        <v/>
      </c>
      <c r="E629" s="12" t="str">
        <f>Overview!E629</f>
        <v/>
      </c>
      <c r="F629" s="12" t="str">
        <f>Overview!K629</f>
        <v/>
      </c>
      <c r="G629" s="12" t="str">
        <f>Overview!L629</f>
        <v/>
      </c>
      <c r="H629" s="12" t="str">
        <f>Overview!M629</f>
        <v/>
      </c>
      <c r="I629" s="292" t="str">
        <f>Overview!N629</f>
        <v/>
      </c>
    </row>
    <row r="630">
      <c r="A630" s="12" t="str">
        <f>Overview!A630</f>
        <v/>
      </c>
      <c r="B630" s="12" t="str">
        <f>Overview!B630</f>
        <v/>
      </c>
      <c r="C630" s="12" t="str">
        <f>Overview!C630</f>
        <v/>
      </c>
      <c r="D630" s="12" t="str">
        <f>Overview!D630</f>
        <v/>
      </c>
      <c r="E630" s="12" t="str">
        <f>Overview!E630</f>
        <v/>
      </c>
      <c r="F630" s="12" t="str">
        <f>Overview!K630</f>
        <v/>
      </c>
      <c r="G630" s="12" t="str">
        <f>Overview!L630</f>
        <v/>
      </c>
      <c r="H630" s="12" t="str">
        <f>Overview!M630</f>
        <v/>
      </c>
      <c r="I630" s="292" t="str">
        <f>Overview!N630</f>
        <v/>
      </c>
    </row>
    <row r="631">
      <c r="A631" s="12" t="str">
        <f>Overview!A631</f>
        <v/>
      </c>
      <c r="B631" s="12" t="str">
        <f>Overview!B631</f>
        <v/>
      </c>
      <c r="C631" s="12" t="str">
        <f>Overview!C631</f>
        <v/>
      </c>
      <c r="D631" s="12" t="str">
        <f>Overview!D631</f>
        <v/>
      </c>
      <c r="E631" s="12" t="str">
        <f>Overview!E631</f>
        <v/>
      </c>
      <c r="F631" s="12" t="str">
        <f>Overview!K631</f>
        <v/>
      </c>
      <c r="G631" s="12" t="str">
        <f>Overview!L631</f>
        <v/>
      </c>
      <c r="H631" s="12" t="str">
        <f>Overview!M631</f>
        <v/>
      </c>
      <c r="I631" s="292" t="str">
        <f>Overview!N631</f>
        <v/>
      </c>
    </row>
    <row r="632">
      <c r="A632" s="12" t="str">
        <f>Overview!A632</f>
        <v/>
      </c>
      <c r="B632" s="12" t="str">
        <f>Overview!B632</f>
        <v/>
      </c>
      <c r="C632" s="12" t="str">
        <f>Overview!C632</f>
        <v/>
      </c>
      <c r="D632" s="12" t="str">
        <f>Overview!D632</f>
        <v/>
      </c>
      <c r="E632" s="12" t="str">
        <f>Overview!E632</f>
        <v/>
      </c>
      <c r="F632" s="12" t="str">
        <f>Overview!K632</f>
        <v/>
      </c>
      <c r="G632" s="12" t="str">
        <f>Overview!L632</f>
        <v/>
      </c>
      <c r="H632" s="12" t="str">
        <f>Overview!M632</f>
        <v/>
      </c>
      <c r="I632" s="292" t="str">
        <f>Overview!N632</f>
        <v/>
      </c>
    </row>
    <row r="633">
      <c r="A633" s="12" t="str">
        <f>Overview!A633</f>
        <v/>
      </c>
      <c r="B633" s="12" t="str">
        <f>Overview!B633</f>
        <v/>
      </c>
      <c r="C633" s="12" t="str">
        <f>Overview!C633</f>
        <v/>
      </c>
      <c r="D633" s="12" t="str">
        <f>Overview!D633</f>
        <v/>
      </c>
      <c r="E633" s="12" t="str">
        <f>Overview!E633</f>
        <v/>
      </c>
      <c r="F633" s="12" t="str">
        <f>Overview!K633</f>
        <v/>
      </c>
      <c r="G633" s="12" t="str">
        <f>Overview!L633</f>
        <v/>
      </c>
      <c r="H633" s="12" t="str">
        <f>Overview!M633</f>
        <v/>
      </c>
      <c r="I633" s="292" t="str">
        <f>Overview!N633</f>
        <v/>
      </c>
    </row>
    <row r="634">
      <c r="A634" s="12" t="str">
        <f>Overview!A634</f>
        <v/>
      </c>
      <c r="B634" s="12" t="str">
        <f>Overview!B634</f>
        <v/>
      </c>
      <c r="C634" s="12" t="str">
        <f>Overview!C634</f>
        <v/>
      </c>
      <c r="D634" s="12" t="str">
        <f>Overview!D634</f>
        <v/>
      </c>
      <c r="E634" s="12" t="str">
        <f>Overview!E634</f>
        <v/>
      </c>
      <c r="F634" s="12" t="str">
        <f>Overview!K634</f>
        <v/>
      </c>
      <c r="G634" s="12" t="str">
        <f>Overview!L634</f>
        <v/>
      </c>
      <c r="H634" s="12" t="str">
        <f>Overview!M634</f>
        <v/>
      </c>
      <c r="I634" s="292" t="str">
        <f>Overview!N634</f>
        <v/>
      </c>
    </row>
    <row r="635">
      <c r="A635" s="12" t="str">
        <f>Overview!A635</f>
        <v/>
      </c>
      <c r="B635" s="12" t="str">
        <f>Overview!B635</f>
        <v/>
      </c>
      <c r="C635" s="12" t="str">
        <f>Overview!C635</f>
        <v/>
      </c>
      <c r="D635" s="12" t="str">
        <f>Overview!D635</f>
        <v/>
      </c>
      <c r="E635" s="12" t="str">
        <f>Overview!E635</f>
        <v/>
      </c>
      <c r="F635" s="12" t="str">
        <f>Overview!K635</f>
        <v/>
      </c>
      <c r="G635" s="12" t="str">
        <f>Overview!L635</f>
        <v/>
      </c>
      <c r="H635" s="12" t="str">
        <f>Overview!M635</f>
        <v/>
      </c>
      <c r="I635" s="292" t="str">
        <f>Overview!N635</f>
        <v/>
      </c>
    </row>
    <row r="636">
      <c r="A636" s="12" t="str">
        <f>Overview!A636</f>
        <v/>
      </c>
      <c r="B636" s="12" t="str">
        <f>Overview!B636</f>
        <v/>
      </c>
      <c r="C636" s="12" t="str">
        <f>Overview!C636</f>
        <v/>
      </c>
      <c r="D636" s="12" t="str">
        <f>Overview!D636</f>
        <v/>
      </c>
      <c r="E636" s="12" t="str">
        <f>Overview!E636</f>
        <v/>
      </c>
      <c r="F636" s="12" t="str">
        <f>Overview!K636</f>
        <v/>
      </c>
      <c r="G636" s="12" t="str">
        <f>Overview!L636</f>
        <v/>
      </c>
      <c r="H636" s="12" t="str">
        <f>Overview!M636</f>
        <v/>
      </c>
      <c r="I636" s="292" t="str">
        <f>Overview!N636</f>
        <v/>
      </c>
    </row>
    <row r="637">
      <c r="A637" s="12" t="str">
        <f>Overview!A637</f>
        <v/>
      </c>
      <c r="B637" s="12" t="str">
        <f>Overview!B637</f>
        <v/>
      </c>
      <c r="C637" s="12" t="str">
        <f>Overview!C637</f>
        <v/>
      </c>
      <c r="D637" s="12" t="str">
        <f>Overview!D637</f>
        <v/>
      </c>
      <c r="E637" s="12" t="str">
        <f>Overview!E637</f>
        <v/>
      </c>
      <c r="F637" s="12" t="str">
        <f>Overview!K637</f>
        <v/>
      </c>
      <c r="G637" s="12" t="str">
        <f>Overview!L637</f>
        <v/>
      </c>
      <c r="H637" s="12" t="str">
        <f>Overview!M637</f>
        <v/>
      </c>
      <c r="I637" s="292" t="str">
        <f>Overview!N637</f>
        <v/>
      </c>
    </row>
    <row r="638">
      <c r="A638" s="12" t="str">
        <f>Overview!A638</f>
        <v/>
      </c>
      <c r="B638" s="12" t="str">
        <f>Overview!B638</f>
        <v/>
      </c>
      <c r="C638" s="12" t="str">
        <f>Overview!C638</f>
        <v/>
      </c>
      <c r="D638" s="12" t="str">
        <f>Overview!D638</f>
        <v/>
      </c>
      <c r="E638" s="12" t="str">
        <f>Overview!E638</f>
        <v/>
      </c>
      <c r="F638" s="12" t="str">
        <f>Overview!K638</f>
        <v/>
      </c>
      <c r="G638" s="12" t="str">
        <f>Overview!L638</f>
        <v/>
      </c>
      <c r="H638" s="12" t="str">
        <f>Overview!M638</f>
        <v/>
      </c>
      <c r="I638" s="292" t="str">
        <f>Overview!N638</f>
        <v/>
      </c>
    </row>
    <row r="639">
      <c r="A639" s="12" t="str">
        <f>Overview!A639</f>
        <v/>
      </c>
      <c r="B639" s="12" t="str">
        <f>Overview!B639</f>
        <v/>
      </c>
      <c r="C639" s="12" t="str">
        <f>Overview!C639</f>
        <v/>
      </c>
      <c r="D639" s="12" t="str">
        <f>Overview!D639</f>
        <v/>
      </c>
      <c r="E639" s="12" t="str">
        <f>Overview!E639</f>
        <v/>
      </c>
      <c r="F639" s="12" t="str">
        <f>Overview!K639</f>
        <v/>
      </c>
      <c r="G639" s="12" t="str">
        <f>Overview!L639</f>
        <v/>
      </c>
      <c r="H639" s="12" t="str">
        <f>Overview!M639</f>
        <v/>
      </c>
      <c r="I639" s="292" t="str">
        <f>Overview!N639</f>
        <v/>
      </c>
    </row>
    <row r="640">
      <c r="A640" s="12" t="str">
        <f>Overview!A640</f>
        <v/>
      </c>
      <c r="B640" s="12" t="str">
        <f>Overview!B640</f>
        <v/>
      </c>
      <c r="C640" s="12" t="str">
        <f>Overview!C640</f>
        <v/>
      </c>
      <c r="D640" s="12" t="str">
        <f>Overview!D640</f>
        <v/>
      </c>
      <c r="E640" s="12" t="str">
        <f>Overview!E640</f>
        <v/>
      </c>
      <c r="F640" s="12" t="str">
        <f>Overview!K640</f>
        <v/>
      </c>
      <c r="G640" s="12" t="str">
        <f>Overview!L640</f>
        <v/>
      </c>
      <c r="H640" s="12" t="str">
        <f>Overview!M640</f>
        <v/>
      </c>
      <c r="I640" s="292" t="str">
        <f>Overview!N640</f>
        <v/>
      </c>
    </row>
    <row r="641">
      <c r="A641" s="12" t="str">
        <f>Overview!A641</f>
        <v/>
      </c>
      <c r="B641" s="12" t="str">
        <f>Overview!B641</f>
        <v/>
      </c>
      <c r="C641" s="12" t="str">
        <f>Overview!C641</f>
        <v/>
      </c>
      <c r="D641" s="12" t="str">
        <f>Overview!D641</f>
        <v/>
      </c>
      <c r="E641" s="12" t="str">
        <f>Overview!E641</f>
        <v/>
      </c>
      <c r="F641" s="12" t="str">
        <f>Overview!K641</f>
        <v/>
      </c>
      <c r="G641" s="12" t="str">
        <f>Overview!L641</f>
        <v/>
      </c>
      <c r="H641" s="12" t="str">
        <f>Overview!M641</f>
        <v/>
      </c>
      <c r="I641" s="292" t="str">
        <f>Overview!N641</f>
        <v/>
      </c>
    </row>
    <row r="642">
      <c r="A642" s="12" t="str">
        <f>Overview!A642</f>
        <v/>
      </c>
      <c r="B642" s="12" t="str">
        <f>Overview!B642</f>
        <v/>
      </c>
      <c r="C642" s="12" t="str">
        <f>Overview!C642</f>
        <v/>
      </c>
      <c r="D642" s="12" t="str">
        <f>Overview!D642</f>
        <v/>
      </c>
      <c r="E642" s="12" t="str">
        <f>Overview!E642</f>
        <v/>
      </c>
      <c r="F642" s="12" t="str">
        <f>Overview!K642</f>
        <v/>
      </c>
      <c r="G642" s="12" t="str">
        <f>Overview!L642</f>
        <v/>
      </c>
      <c r="H642" s="12" t="str">
        <f>Overview!M642</f>
        <v/>
      </c>
      <c r="I642" s="292" t="str">
        <f>Overview!N642</f>
        <v/>
      </c>
    </row>
    <row r="643">
      <c r="A643" s="12" t="str">
        <f>Overview!A643</f>
        <v/>
      </c>
      <c r="B643" s="12" t="str">
        <f>Overview!B643</f>
        <v/>
      </c>
      <c r="C643" s="12" t="str">
        <f>Overview!C643</f>
        <v/>
      </c>
      <c r="D643" s="12" t="str">
        <f>Overview!D643</f>
        <v/>
      </c>
      <c r="E643" s="12" t="str">
        <f>Overview!E643</f>
        <v/>
      </c>
      <c r="F643" s="12" t="str">
        <f>Overview!K643</f>
        <v/>
      </c>
      <c r="G643" s="12" t="str">
        <f>Overview!L643</f>
        <v/>
      </c>
      <c r="H643" s="12" t="str">
        <f>Overview!M643</f>
        <v/>
      </c>
      <c r="I643" s="292" t="str">
        <f>Overview!N643</f>
        <v/>
      </c>
    </row>
    <row r="644">
      <c r="A644" s="12" t="str">
        <f>Overview!A644</f>
        <v/>
      </c>
      <c r="B644" s="12" t="str">
        <f>Overview!B644</f>
        <v/>
      </c>
      <c r="C644" s="12" t="str">
        <f>Overview!C644</f>
        <v/>
      </c>
      <c r="D644" s="12" t="str">
        <f>Overview!D644</f>
        <v/>
      </c>
      <c r="E644" s="12" t="str">
        <f>Overview!E644</f>
        <v/>
      </c>
      <c r="F644" s="12" t="str">
        <f>Overview!K644</f>
        <v/>
      </c>
      <c r="G644" s="12" t="str">
        <f>Overview!L644</f>
        <v/>
      </c>
      <c r="H644" s="12" t="str">
        <f>Overview!M644</f>
        <v/>
      </c>
      <c r="I644" s="292" t="str">
        <f>Overview!N644</f>
        <v/>
      </c>
    </row>
    <row r="645">
      <c r="A645" s="12" t="str">
        <f>Overview!A645</f>
        <v/>
      </c>
      <c r="B645" s="12" t="str">
        <f>Overview!B645</f>
        <v/>
      </c>
      <c r="C645" s="12" t="str">
        <f>Overview!C645</f>
        <v/>
      </c>
      <c r="D645" s="12" t="str">
        <f>Overview!D645</f>
        <v/>
      </c>
      <c r="E645" s="12" t="str">
        <f>Overview!E645</f>
        <v/>
      </c>
      <c r="F645" s="12" t="str">
        <f>Overview!K645</f>
        <v/>
      </c>
      <c r="G645" s="12" t="str">
        <f>Overview!L645</f>
        <v/>
      </c>
      <c r="H645" s="12" t="str">
        <f>Overview!M645</f>
        <v/>
      </c>
      <c r="I645" s="292" t="str">
        <f>Overview!N645</f>
        <v/>
      </c>
    </row>
    <row r="646">
      <c r="A646" s="12" t="str">
        <f>Overview!A646</f>
        <v/>
      </c>
      <c r="B646" s="12" t="str">
        <f>Overview!B646</f>
        <v/>
      </c>
      <c r="C646" s="12" t="str">
        <f>Overview!C646</f>
        <v/>
      </c>
      <c r="D646" s="12" t="str">
        <f>Overview!D646</f>
        <v/>
      </c>
      <c r="E646" s="12" t="str">
        <f>Overview!E646</f>
        <v/>
      </c>
      <c r="F646" s="12" t="str">
        <f>Overview!K646</f>
        <v/>
      </c>
      <c r="G646" s="12" t="str">
        <f>Overview!L646</f>
        <v/>
      </c>
      <c r="H646" s="12" t="str">
        <f>Overview!M646</f>
        <v/>
      </c>
      <c r="I646" s="292" t="str">
        <f>Overview!N646</f>
        <v/>
      </c>
    </row>
    <row r="647">
      <c r="A647" s="12" t="str">
        <f>Overview!A647</f>
        <v/>
      </c>
      <c r="B647" s="12" t="str">
        <f>Overview!B647</f>
        <v/>
      </c>
      <c r="C647" s="12" t="str">
        <f>Overview!C647</f>
        <v/>
      </c>
      <c r="D647" s="12" t="str">
        <f>Overview!D647</f>
        <v/>
      </c>
      <c r="E647" s="12" t="str">
        <f>Overview!E647</f>
        <v/>
      </c>
      <c r="F647" s="12" t="str">
        <f>Overview!K647</f>
        <v/>
      </c>
      <c r="G647" s="12" t="str">
        <f>Overview!L647</f>
        <v/>
      </c>
      <c r="H647" s="12" t="str">
        <f>Overview!M647</f>
        <v/>
      </c>
      <c r="I647" s="292" t="str">
        <f>Overview!N647</f>
        <v/>
      </c>
    </row>
    <row r="648">
      <c r="A648" s="12" t="str">
        <f>Overview!A648</f>
        <v/>
      </c>
      <c r="B648" s="12" t="str">
        <f>Overview!B648</f>
        <v/>
      </c>
      <c r="C648" s="12" t="str">
        <f>Overview!C648</f>
        <v/>
      </c>
      <c r="D648" s="12" t="str">
        <f>Overview!D648</f>
        <v/>
      </c>
      <c r="E648" s="12" t="str">
        <f>Overview!E648</f>
        <v/>
      </c>
      <c r="F648" s="12" t="str">
        <f>Overview!K648</f>
        <v/>
      </c>
      <c r="G648" s="12" t="str">
        <f>Overview!L648</f>
        <v/>
      </c>
      <c r="H648" s="12" t="str">
        <f>Overview!M648</f>
        <v/>
      </c>
      <c r="I648" s="292" t="str">
        <f>Overview!N648</f>
        <v/>
      </c>
    </row>
    <row r="649">
      <c r="A649" s="12" t="str">
        <f>Overview!A649</f>
        <v/>
      </c>
      <c r="B649" s="12" t="str">
        <f>Overview!B649</f>
        <v/>
      </c>
      <c r="C649" s="12" t="str">
        <f>Overview!C649</f>
        <v/>
      </c>
      <c r="D649" s="12" t="str">
        <f>Overview!D649</f>
        <v/>
      </c>
      <c r="E649" s="12" t="str">
        <f>Overview!E649</f>
        <v/>
      </c>
      <c r="F649" s="12" t="str">
        <f>Overview!K649</f>
        <v/>
      </c>
      <c r="G649" s="12" t="str">
        <f>Overview!L649</f>
        <v/>
      </c>
      <c r="H649" s="12" t="str">
        <f>Overview!M649</f>
        <v/>
      </c>
      <c r="I649" s="292" t="str">
        <f>Overview!N649</f>
        <v/>
      </c>
    </row>
    <row r="650">
      <c r="A650" s="12" t="str">
        <f>Overview!A650</f>
        <v/>
      </c>
      <c r="B650" s="12" t="str">
        <f>Overview!B650</f>
        <v/>
      </c>
      <c r="C650" s="12" t="str">
        <f>Overview!C650</f>
        <v/>
      </c>
      <c r="D650" s="12" t="str">
        <f>Overview!D650</f>
        <v/>
      </c>
      <c r="E650" s="12" t="str">
        <f>Overview!E650</f>
        <v/>
      </c>
      <c r="F650" s="12" t="str">
        <f>Overview!K650</f>
        <v/>
      </c>
      <c r="G650" s="12" t="str">
        <f>Overview!L650</f>
        <v/>
      </c>
      <c r="H650" s="12" t="str">
        <f>Overview!M650</f>
        <v/>
      </c>
      <c r="I650" s="292" t="str">
        <f>Overview!N650</f>
        <v/>
      </c>
    </row>
    <row r="651">
      <c r="A651" s="12" t="str">
        <f>Overview!A651</f>
        <v/>
      </c>
      <c r="B651" s="12" t="str">
        <f>Overview!B651</f>
        <v/>
      </c>
      <c r="C651" s="12" t="str">
        <f>Overview!C651</f>
        <v/>
      </c>
      <c r="D651" s="12" t="str">
        <f>Overview!D651</f>
        <v/>
      </c>
      <c r="E651" s="12" t="str">
        <f>Overview!E651</f>
        <v/>
      </c>
      <c r="F651" s="12" t="str">
        <f>Overview!K651</f>
        <v/>
      </c>
      <c r="G651" s="12" t="str">
        <f>Overview!L651</f>
        <v/>
      </c>
      <c r="H651" s="12" t="str">
        <f>Overview!M651</f>
        <v/>
      </c>
      <c r="I651" s="292" t="str">
        <f>Overview!N651</f>
        <v/>
      </c>
    </row>
    <row r="652">
      <c r="A652" s="12" t="str">
        <f>Overview!A652</f>
        <v/>
      </c>
      <c r="B652" s="12" t="str">
        <f>Overview!B652</f>
        <v/>
      </c>
      <c r="C652" s="12" t="str">
        <f>Overview!C652</f>
        <v/>
      </c>
      <c r="D652" s="12" t="str">
        <f>Overview!D652</f>
        <v/>
      </c>
      <c r="E652" s="12" t="str">
        <f>Overview!E652</f>
        <v/>
      </c>
      <c r="F652" s="12" t="str">
        <f>Overview!K652</f>
        <v/>
      </c>
      <c r="G652" s="12" t="str">
        <f>Overview!L652</f>
        <v/>
      </c>
      <c r="H652" s="12" t="str">
        <f>Overview!M652</f>
        <v/>
      </c>
      <c r="I652" s="292" t="str">
        <f>Overview!N652</f>
        <v/>
      </c>
    </row>
    <row r="653">
      <c r="A653" s="12" t="str">
        <f>Overview!A653</f>
        <v/>
      </c>
      <c r="B653" s="12" t="str">
        <f>Overview!B653</f>
        <v/>
      </c>
      <c r="C653" s="12" t="str">
        <f>Overview!C653</f>
        <v/>
      </c>
      <c r="D653" s="12" t="str">
        <f>Overview!D653</f>
        <v/>
      </c>
      <c r="E653" s="12" t="str">
        <f>Overview!E653</f>
        <v/>
      </c>
      <c r="F653" s="12" t="str">
        <f>Overview!K653</f>
        <v/>
      </c>
      <c r="G653" s="12" t="str">
        <f>Overview!L653</f>
        <v/>
      </c>
      <c r="H653" s="12" t="str">
        <f>Overview!M653</f>
        <v/>
      </c>
      <c r="I653" s="292" t="str">
        <f>Overview!N653</f>
        <v/>
      </c>
    </row>
    <row r="654">
      <c r="A654" s="12" t="str">
        <f>Overview!A654</f>
        <v/>
      </c>
      <c r="B654" s="12" t="str">
        <f>Overview!B654</f>
        <v/>
      </c>
      <c r="C654" s="12" t="str">
        <f>Overview!C654</f>
        <v/>
      </c>
      <c r="D654" s="12" t="str">
        <f>Overview!D654</f>
        <v/>
      </c>
      <c r="E654" s="12" t="str">
        <f>Overview!E654</f>
        <v/>
      </c>
      <c r="F654" s="12" t="str">
        <f>Overview!K654</f>
        <v/>
      </c>
      <c r="G654" s="12" t="str">
        <f>Overview!L654</f>
        <v/>
      </c>
      <c r="H654" s="12" t="str">
        <f>Overview!M654</f>
        <v/>
      </c>
      <c r="I654" s="292" t="str">
        <f>Overview!N654</f>
        <v/>
      </c>
    </row>
    <row r="655">
      <c r="A655" s="12" t="str">
        <f>Overview!A655</f>
        <v/>
      </c>
      <c r="B655" s="12" t="str">
        <f>Overview!B655</f>
        <v/>
      </c>
      <c r="C655" s="12" t="str">
        <f>Overview!C655</f>
        <v/>
      </c>
      <c r="D655" s="12" t="str">
        <f>Overview!D655</f>
        <v/>
      </c>
      <c r="E655" s="12" t="str">
        <f>Overview!E655</f>
        <v/>
      </c>
      <c r="F655" s="12" t="str">
        <f>Overview!K655</f>
        <v/>
      </c>
      <c r="G655" s="12" t="str">
        <f>Overview!L655</f>
        <v/>
      </c>
      <c r="H655" s="12" t="str">
        <f>Overview!M655</f>
        <v/>
      </c>
      <c r="I655" s="292" t="str">
        <f>Overview!N655</f>
        <v/>
      </c>
    </row>
    <row r="656">
      <c r="A656" s="12" t="str">
        <f>Overview!A656</f>
        <v/>
      </c>
      <c r="B656" s="12" t="str">
        <f>Overview!B656</f>
        <v/>
      </c>
      <c r="C656" s="12" t="str">
        <f>Overview!C656</f>
        <v/>
      </c>
      <c r="D656" s="12" t="str">
        <f>Overview!D656</f>
        <v/>
      </c>
      <c r="E656" s="12" t="str">
        <f>Overview!E656</f>
        <v/>
      </c>
      <c r="F656" s="12" t="str">
        <f>Overview!K656</f>
        <v/>
      </c>
      <c r="G656" s="12" t="str">
        <f>Overview!L656</f>
        <v/>
      </c>
      <c r="H656" s="12" t="str">
        <f>Overview!M656</f>
        <v/>
      </c>
      <c r="I656" s="292" t="str">
        <f>Overview!N656</f>
        <v/>
      </c>
    </row>
    <row r="657">
      <c r="A657" s="12" t="str">
        <f>Overview!A657</f>
        <v/>
      </c>
      <c r="B657" s="12" t="str">
        <f>Overview!B657</f>
        <v/>
      </c>
      <c r="C657" s="12" t="str">
        <f>Overview!C657</f>
        <v/>
      </c>
      <c r="D657" s="12" t="str">
        <f>Overview!D657</f>
        <v/>
      </c>
      <c r="E657" s="12" t="str">
        <f>Overview!E657</f>
        <v/>
      </c>
      <c r="F657" s="12" t="str">
        <f>Overview!K657</f>
        <v/>
      </c>
      <c r="G657" s="12" t="str">
        <f>Overview!L657</f>
        <v/>
      </c>
      <c r="H657" s="12" t="str">
        <f>Overview!M657</f>
        <v/>
      </c>
      <c r="I657" s="292" t="str">
        <f>Overview!N657</f>
        <v/>
      </c>
    </row>
    <row r="658">
      <c r="A658" s="12" t="str">
        <f>Overview!A658</f>
        <v/>
      </c>
      <c r="B658" s="12" t="str">
        <f>Overview!B658</f>
        <v/>
      </c>
      <c r="C658" s="12" t="str">
        <f>Overview!C658</f>
        <v/>
      </c>
      <c r="D658" s="12" t="str">
        <f>Overview!D658</f>
        <v/>
      </c>
      <c r="E658" s="12" t="str">
        <f>Overview!E658</f>
        <v/>
      </c>
      <c r="F658" s="12" t="str">
        <f>Overview!K658</f>
        <v/>
      </c>
      <c r="G658" s="12" t="str">
        <f>Overview!L658</f>
        <v/>
      </c>
      <c r="H658" s="12" t="str">
        <f>Overview!M658</f>
        <v/>
      </c>
      <c r="I658" s="292" t="str">
        <f>Overview!N658</f>
        <v/>
      </c>
    </row>
    <row r="659">
      <c r="A659" s="12" t="str">
        <f>Overview!A659</f>
        <v/>
      </c>
      <c r="B659" s="12" t="str">
        <f>Overview!B659</f>
        <v/>
      </c>
      <c r="C659" s="12" t="str">
        <f>Overview!C659</f>
        <v/>
      </c>
      <c r="D659" s="12" t="str">
        <f>Overview!D659</f>
        <v/>
      </c>
      <c r="E659" s="12" t="str">
        <f>Overview!E659</f>
        <v/>
      </c>
      <c r="F659" s="12" t="str">
        <f>Overview!K659</f>
        <v/>
      </c>
      <c r="G659" s="12" t="str">
        <f>Overview!L659</f>
        <v/>
      </c>
      <c r="H659" s="12" t="str">
        <f>Overview!M659</f>
        <v/>
      </c>
      <c r="I659" s="292" t="str">
        <f>Overview!N659</f>
        <v/>
      </c>
    </row>
    <row r="660">
      <c r="A660" s="12" t="str">
        <f>Overview!A660</f>
        <v/>
      </c>
      <c r="B660" s="12" t="str">
        <f>Overview!B660</f>
        <v/>
      </c>
      <c r="C660" s="12" t="str">
        <f>Overview!C660</f>
        <v/>
      </c>
      <c r="D660" s="12" t="str">
        <f>Overview!D660</f>
        <v/>
      </c>
      <c r="E660" s="12" t="str">
        <f>Overview!E660</f>
        <v/>
      </c>
      <c r="F660" s="12" t="str">
        <f>Overview!K660</f>
        <v/>
      </c>
      <c r="G660" s="12" t="str">
        <f>Overview!L660</f>
        <v/>
      </c>
      <c r="H660" s="12" t="str">
        <f>Overview!M660</f>
        <v/>
      </c>
      <c r="I660" s="292" t="str">
        <f>Overview!N660</f>
        <v/>
      </c>
    </row>
    <row r="661">
      <c r="A661" s="12" t="str">
        <f>Overview!A661</f>
        <v/>
      </c>
      <c r="B661" s="12" t="str">
        <f>Overview!B661</f>
        <v/>
      </c>
      <c r="C661" s="12" t="str">
        <f>Overview!C661</f>
        <v/>
      </c>
      <c r="D661" s="12" t="str">
        <f>Overview!D661</f>
        <v/>
      </c>
      <c r="E661" s="12" t="str">
        <f>Overview!E661</f>
        <v/>
      </c>
      <c r="F661" s="12" t="str">
        <f>Overview!K661</f>
        <v/>
      </c>
      <c r="G661" s="12" t="str">
        <f>Overview!L661</f>
        <v/>
      </c>
      <c r="H661" s="12" t="str">
        <f>Overview!M661</f>
        <v/>
      </c>
      <c r="I661" s="292" t="str">
        <f>Overview!N661</f>
        <v/>
      </c>
    </row>
    <row r="662">
      <c r="A662" s="12" t="str">
        <f>Overview!A662</f>
        <v/>
      </c>
      <c r="B662" s="12" t="str">
        <f>Overview!B662</f>
        <v/>
      </c>
      <c r="C662" s="12" t="str">
        <f>Overview!C662</f>
        <v/>
      </c>
      <c r="D662" s="12" t="str">
        <f>Overview!D662</f>
        <v/>
      </c>
      <c r="E662" s="12" t="str">
        <f>Overview!E662</f>
        <v/>
      </c>
      <c r="F662" s="12" t="str">
        <f>Overview!K662</f>
        <v/>
      </c>
      <c r="G662" s="12" t="str">
        <f>Overview!L662</f>
        <v/>
      </c>
      <c r="H662" s="12" t="str">
        <f>Overview!M662</f>
        <v/>
      </c>
      <c r="I662" s="292" t="str">
        <f>Overview!N662</f>
        <v/>
      </c>
    </row>
    <row r="663">
      <c r="A663" s="12" t="str">
        <f>Overview!A663</f>
        <v/>
      </c>
      <c r="B663" s="12" t="str">
        <f>Overview!B663</f>
        <v/>
      </c>
      <c r="C663" s="12" t="str">
        <f>Overview!C663</f>
        <v/>
      </c>
      <c r="D663" s="12" t="str">
        <f>Overview!D663</f>
        <v/>
      </c>
      <c r="E663" s="12" t="str">
        <f>Overview!E663</f>
        <v/>
      </c>
      <c r="F663" s="12" t="str">
        <f>Overview!K663</f>
        <v/>
      </c>
      <c r="G663" s="12" t="str">
        <f>Overview!L663</f>
        <v/>
      </c>
      <c r="H663" s="12" t="str">
        <f>Overview!M663</f>
        <v/>
      </c>
      <c r="I663" s="292" t="str">
        <f>Overview!N663</f>
        <v/>
      </c>
    </row>
    <row r="664">
      <c r="A664" s="12" t="str">
        <f>Overview!A664</f>
        <v/>
      </c>
      <c r="B664" s="12" t="str">
        <f>Overview!B664</f>
        <v/>
      </c>
      <c r="C664" s="12" t="str">
        <f>Overview!C664</f>
        <v/>
      </c>
      <c r="D664" s="12" t="str">
        <f>Overview!D664</f>
        <v/>
      </c>
      <c r="E664" s="12" t="str">
        <f>Overview!E664</f>
        <v/>
      </c>
      <c r="F664" s="12" t="str">
        <f>Overview!K664</f>
        <v/>
      </c>
      <c r="G664" s="12" t="str">
        <f>Overview!L664</f>
        <v/>
      </c>
      <c r="H664" s="12" t="str">
        <f>Overview!M664</f>
        <v/>
      </c>
      <c r="I664" s="292" t="str">
        <f>Overview!N664</f>
        <v/>
      </c>
    </row>
    <row r="665">
      <c r="A665" s="12" t="str">
        <f>Overview!A665</f>
        <v/>
      </c>
      <c r="B665" s="12" t="str">
        <f>Overview!B665</f>
        <v/>
      </c>
      <c r="C665" s="12" t="str">
        <f>Overview!C665</f>
        <v/>
      </c>
      <c r="D665" s="12" t="str">
        <f>Overview!D665</f>
        <v/>
      </c>
      <c r="E665" s="12" t="str">
        <f>Overview!E665</f>
        <v/>
      </c>
      <c r="F665" s="12" t="str">
        <f>Overview!K665</f>
        <v/>
      </c>
      <c r="G665" s="12" t="str">
        <f>Overview!L665</f>
        <v/>
      </c>
      <c r="H665" s="12" t="str">
        <f>Overview!M665</f>
        <v/>
      </c>
      <c r="I665" s="292" t="str">
        <f>Overview!N665</f>
        <v/>
      </c>
    </row>
    <row r="666">
      <c r="A666" s="12" t="str">
        <f>Overview!A666</f>
        <v/>
      </c>
      <c r="B666" s="12" t="str">
        <f>Overview!B666</f>
        <v/>
      </c>
      <c r="C666" s="12" t="str">
        <f>Overview!C666</f>
        <v/>
      </c>
      <c r="D666" s="12" t="str">
        <f>Overview!D666</f>
        <v/>
      </c>
      <c r="E666" s="12" t="str">
        <f>Overview!E666</f>
        <v/>
      </c>
      <c r="F666" s="12" t="str">
        <f>Overview!K666</f>
        <v/>
      </c>
      <c r="G666" s="12" t="str">
        <f>Overview!L666</f>
        <v/>
      </c>
      <c r="H666" s="12" t="str">
        <f>Overview!M666</f>
        <v/>
      </c>
      <c r="I666" s="292" t="str">
        <f>Overview!N666</f>
        <v/>
      </c>
    </row>
    <row r="667">
      <c r="A667" s="12" t="str">
        <f>Overview!A667</f>
        <v/>
      </c>
      <c r="B667" s="12" t="str">
        <f>Overview!B667</f>
        <v/>
      </c>
      <c r="C667" s="12" t="str">
        <f>Overview!C667</f>
        <v/>
      </c>
      <c r="D667" s="12" t="str">
        <f>Overview!D667</f>
        <v/>
      </c>
      <c r="E667" s="12" t="str">
        <f>Overview!E667</f>
        <v/>
      </c>
      <c r="F667" s="12" t="str">
        <f>Overview!K667</f>
        <v/>
      </c>
      <c r="G667" s="12" t="str">
        <f>Overview!L667</f>
        <v/>
      </c>
      <c r="H667" s="12" t="str">
        <f>Overview!M667</f>
        <v/>
      </c>
      <c r="I667" s="292" t="str">
        <f>Overview!N667</f>
        <v/>
      </c>
    </row>
    <row r="668">
      <c r="A668" s="12" t="str">
        <f>Overview!A668</f>
        <v/>
      </c>
      <c r="B668" s="12" t="str">
        <f>Overview!B668</f>
        <v/>
      </c>
      <c r="C668" s="12" t="str">
        <f>Overview!C668</f>
        <v/>
      </c>
      <c r="D668" s="12" t="str">
        <f>Overview!D668</f>
        <v/>
      </c>
      <c r="E668" s="12" t="str">
        <f>Overview!E668</f>
        <v/>
      </c>
      <c r="F668" s="12" t="str">
        <f>Overview!K668</f>
        <v/>
      </c>
      <c r="G668" s="12" t="str">
        <f>Overview!L668</f>
        <v/>
      </c>
      <c r="H668" s="12" t="str">
        <f>Overview!M668</f>
        <v/>
      </c>
      <c r="I668" s="292" t="str">
        <f>Overview!N668</f>
        <v/>
      </c>
    </row>
    <row r="669">
      <c r="A669" s="12" t="str">
        <f>Overview!A669</f>
        <v/>
      </c>
      <c r="B669" s="12" t="str">
        <f>Overview!B669</f>
        <v/>
      </c>
      <c r="C669" s="12" t="str">
        <f>Overview!C669</f>
        <v/>
      </c>
      <c r="D669" s="12" t="str">
        <f>Overview!D669</f>
        <v/>
      </c>
      <c r="E669" s="12" t="str">
        <f>Overview!E669</f>
        <v/>
      </c>
      <c r="F669" s="12" t="str">
        <f>Overview!K669</f>
        <v/>
      </c>
      <c r="G669" s="12" t="str">
        <f>Overview!L669</f>
        <v/>
      </c>
      <c r="H669" s="12" t="str">
        <f>Overview!M669</f>
        <v/>
      </c>
      <c r="I669" s="292" t="str">
        <f>Overview!N669</f>
        <v/>
      </c>
    </row>
    <row r="670">
      <c r="A670" s="12" t="str">
        <f>Overview!A670</f>
        <v/>
      </c>
      <c r="B670" s="12" t="str">
        <f>Overview!B670</f>
        <v/>
      </c>
      <c r="C670" s="12" t="str">
        <f>Overview!C670</f>
        <v/>
      </c>
      <c r="D670" s="12" t="str">
        <f>Overview!D670</f>
        <v/>
      </c>
      <c r="E670" s="12" t="str">
        <f>Overview!E670</f>
        <v/>
      </c>
      <c r="F670" s="12" t="str">
        <f>Overview!K670</f>
        <v/>
      </c>
      <c r="G670" s="12" t="str">
        <f>Overview!L670</f>
        <v/>
      </c>
      <c r="H670" s="12" t="str">
        <f>Overview!M670</f>
        <v/>
      </c>
      <c r="I670" s="292" t="str">
        <f>Overview!N670</f>
        <v/>
      </c>
    </row>
    <row r="671">
      <c r="A671" s="12" t="str">
        <f>Overview!A671</f>
        <v/>
      </c>
      <c r="B671" s="12" t="str">
        <f>Overview!B671</f>
        <v/>
      </c>
      <c r="C671" s="12" t="str">
        <f>Overview!C671</f>
        <v/>
      </c>
      <c r="D671" s="12" t="str">
        <f>Overview!D671</f>
        <v/>
      </c>
      <c r="E671" s="12" t="str">
        <f>Overview!E671</f>
        <v/>
      </c>
      <c r="F671" s="12" t="str">
        <f>Overview!K671</f>
        <v/>
      </c>
      <c r="G671" s="12" t="str">
        <f>Overview!L671</f>
        <v/>
      </c>
      <c r="H671" s="12" t="str">
        <f>Overview!M671</f>
        <v/>
      </c>
      <c r="I671" s="292" t="str">
        <f>Overview!N671</f>
        <v/>
      </c>
    </row>
    <row r="672">
      <c r="A672" s="12" t="str">
        <f>Overview!A672</f>
        <v/>
      </c>
      <c r="B672" s="12" t="str">
        <f>Overview!B672</f>
        <v/>
      </c>
      <c r="C672" s="12" t="str">
        <f>Overview!C672</f>
        <v/>
      </c>
      <c r="D672" s="12" t="str">
        <f>Overview!D672</f>
        <v/>
      </c>
      <c r="E672" s="12" t="str">
        <f>Overview!E672</f>
        <v/>
      </c>
      <c r="F672" s="12" t="str">
        <f>Overview!K672</f>
        <v/>
      </c>
      <c r="G672" s="12" t="str">
        <f>Overview!L672</f>
        <v/>
      </c>
      <c r="H672" s="12" t="str">
        <f>Overview!M672</f>
        <v/>
      </c>
      <c r="I672" s="292" t="str">
        <f>Overview!N672</f>
        <v/>
      </c>
    </row>
    <row r="673">
      <c r="A673" s="12" t="str">
        <f>Overview!A673</f>
        <v/>
      </c>
      <c r="B673" s="12" t="str">
        <f>Overview!B673</f>
        <v/>
      </c>
      <c r="C673" s="12" t="str">
        <f>Overview!C673</f>
        <v/>
      </c>
      <c r="D673" s="12" t="str">
        <f>Overview!D673</f>
        <v/>
      </c>
      <c r="E673" s="12" t="str">
        <f>Overview!E673</f>
        <v/>
      </c>
      <c r="F673" s="12" t="str">
        <f>Overview!K673</f>
        <v/>
      </c>
      <c r="G673" s="12" t="str">
        <f>Overview!L673</f>
        <v/>
      </c>
      <c r="H673" s="12" t="str">
        <f>Overview!M673</f>
        <v/>
      </c>
      <c r="I673" s="292" t="str">
        <f>Overview!N673</f>
        <v/>
      </c>
    </row>
    <row r="674">
      <c r="A674" s="12" t="str">
        <f>Overview!A674</f>
        <v/>
      </c>
      <c r="B674" s="12" t="str">
        <f>Overview!B674</f>
        <v/>
      </c>
      <c r="C674" s="12" t="str">
        <f>Overview!C674</f>
        <v/>
      </c>
      <c r="D674" s="12" t="str">
        <f>Overview!D674</f>
        <v/>
      </c>
      <c r="E674" s="12" t="str">
        <f>Overview!E674</f>
        <v/>
      </c>
      <c r="F674" s="12" t="str">
        <f>Overview!K674</f>
        <v/>
      </c>
      <c r="G674" s="12" t="str">
        <f>Overview!L674</f>
        <v/>
      </c>
      <c r="H674" s="12" t="str">
        <f>Overview!M674</f>
        <v/>
      </c>
      <c r="I674" s="292" t="str">
        <f>Overview!N674</f>
        <v/>
      </c>
    </row>
    <row r="675">
      <c r="A675" s="12" t="str">
        <f>Overview!A675</f>
        <v/>
      </c>
      <c r="B675" s="12" t="str">
        <f>Overview!B675</f>
        <v/>
      </c>
      <c r="C675" s="12" t="str">
        <f>Overview!C675</f>
        <v/>
      </c>
      <c r="D675" s="12" t="str">
        <f>Overview!D675</f>
        <v/>
      </c>
      <c r="E675" s="12" t="str">
        <f>Overview!E675</f>
        <v/>
      </c>
      <c r="F675" s="12" t="str">
        <f>Overview!K675</f>
        <v/>
      </c>
      <c r="G675" s="12" t="str">
        <f>Overview!L675</f>
        <v/>
      </c>
      <c r="H675" s="12" t="str">
        <f>Overview!M675</f>
        <v/>
      </c>
      <c r="I675" s="292" t="str">
        <f>Overview!N675</f>
        <v/>
      </c>
    </row>
    <row r="676">
      <c r="A676" s="12" t="str">
        <f>Overview!A676</f>
        <v/>
      </c>
      <c r="B676" s="12" t="str">
        <f>Overview!B676</f>
        <v/>
      </c>
      <c r="C676" s="12" t="str">
        <f>Overview!C676</f>
        <v/>
      </c>
      <c r="D676" s="12" t="str">
        <f>Overview!D676</f>
        <v/>
      </c>
      <c r="E676" s="12" t="str">
        <f>Overview!E676</f>
        <v/>
      </c>
      <c r="F676" s="12" t="str">
        <f>Overview!K676</f>
        <v/>
      </c>
      <c r="G676" s="12" t="str">
        <f>Overview!L676</f>
        <v/>
      </c>
      <c r="H676" s="12" t="str">
        <f>Overview!M676</f>
        <v/>
      </c>
      <c r="I676" s="292" t="str">
        <f>Overview!N676</f>
        <v/>
      </c>
    </row>
    <row r="677">
      <c r="A677" s="12" t="str">
        <f>Overview!A677</f>
        <v/>
      </c>
      <c r="B677" s="12" t="str">
        <f>Overview!B677</f>
        <v/>
      </c>
      <c r="C677" s="12" t="str">
        <f>Overview!C677</f>
        <v/>
      </c>
      <c r="D677" s="12" t="str">
        <f>Overview!D677</f>
        <v/>
      </c>
      <c r="E677" s="12" t="str">
        <f>Overview!E677</f>
        <v/>
      </c>
      <c r="F677" s="12" t="str">
        <f>Overview!K677</f>
        <v/>
      </c>
      <c r="G677" s="12" t="str">
        <f>Overview!L677</f>
        <v/>
      </c>
      <c r="H677" s="12" t="str">
        <f>Overview!M677</f>
        <v/>
      </c>
      <c r="I677" s="292" t="str">
        <f>Overview!N677</f>
        <v/>
      </c>
    </row>
    <row r="678">
      <c r="A678" s="12" t="str">
        <f>Overview!A678</f>
        <v/>
      </c>
      <c r="B678" s="12" t="str">
        <f>Overview!B678</f>
        <v/>
      </c>
      <c r="C678" s="12" t="str">
        <f>Overview!C678</f>
        <v/>
      </c>
      <c r="D678" s="12" t="str">
        <f>Overview!D678</f>
        <v/>
      </c>
      <c r="E678" s="12" t="str">
        <f>Overview!E678</f>
        <v/>
      </c>
      <c r="F678" s="12" t="str">
        <f>Overview!K678</f>
        <v/>
      </c>
      <c r="G678" s="12" t="str">
        <f>Overview!L678</f>
        <v/>
      </c>
      <c r="H678" s="12" t="str">
        <f>Overview!M678</f>
        <v/>
      </c>
      <c r="I678" s="292" t="str">
        <f>Overview!N678</f>
        <v/>
      </c>
    </row>
    <row r="679">
      <c r="A679" s="12" t="str">
        <f>Overview!A679</f>
        <v/>
      </c>
      <c r="B679" s="12" t="str">
        <f>Overview!B679</f>
        <v/>
      </c>
      <c r="C679" s="12" t="str">
        <f>Overview!C679</f>
        <v/>
      </c>
      <c r="D679" s="12" t="str">
        <f>Overview!D679</f>
        <v/>
      </c>
      <c r="E679" s="12" t="str">
        <f>Overview!E679</f>
        <v/>
      </c>
      <c r="F679" s="12" t="str">
        <f>Overview!K679</f>
        <v/>
      </c>
      <c r="G679" s="12" t="str">
        <f>Overview!L679</f>
        <v/>
      </c>
      <c r="H679" s="12" t="str">
        <f>Overview!M679</f>
        <v/>
      </c>
      <c r="I679" s="292" t="str">
        <f>Overview!N679</f>
        <v/>
      </c>
    </row>
    <row r="680">
      <c r="A680" s="12" t="str">
        <f>Overview!A680</f>
        <v/>
      </c>
      <c r="B680" s="12" t="str">
        <f>Overview!B680</f>
        <v/>
      </c>
      <c r="C680" s="12" t="str">
        <f>Overview!C680</f>
        <v/>
      </c>
      <c r="D680" s="12" t="str">
        <f>Overview!D680</f>
        <v/>
      </c>
      <c r="E680" s="12" t="str">
        <f>Overview!E680</f>
        <v/>
      </c>
      <c r="F680" s="12" t="str">
        <f>Overview!K680</f>
        <v/>
      </c>
      <c r="G680" s="12" t="str">
        <f>Overview!L680</f>
        <v/>
      </c>
      <c r="H680" s="12" t="str">
        <f>Overview!M680</f>
        <v/>
      </c>
      <c r="I680" s="292" t="str">
        <f>Overview!N680</f>
        <v/>
      </c>
    </row>
    <row r="681">
      <c r="A681" s="12" t="str">
        <f>Overview!A681</f>
        <v/>
      </c>
      <c r="B681" s="12" t="str">
        <f>Overview!B681</f>
        <v/>
      </c>
      <c r="C681" s="12" t="str">
        <f>Overview!C681</f>
        <v/>
      </c>
      <c r="D681" s="12" t="str">
        <f>Overview!D681</f>
        <v/>
      </c>
      <c r="E681" s="12" t="str">
        <f>Overview!E681</f>
        <v/>
      </c>
      <c r="F681" s="12" t="str">
        <f>Overview!K681</f>
        <v/>
      </c>
      <c r="G681" s="12" t="str">
        <f>Overview!L681</f>
        <v/>
      </c>
      <c r="H681" s="12" t="str">
        <f>Overview!M681</f>
        <v/>
      </c>
      <c r="I681" s="292" t="str">
        <f>Overview!N681</f>
        <v/>
      </c>
    </row>
    <row r="682">
      <c r="A682" s="12" t="str">
        <f>Overview!A682</f>
        <v/>
      </c>
      <c r="B682" s="12" t="str">
        <f>Overview!B682</f>
        <v/>
      </c>
      <c r="C682" s="12" t="str">
        <f>Overview!C682</f>
        <v/>
      </c>
      <c r="D682" s="12" t="str">
        <f>Overview!D682</f>
        <v/>
      </c>
      <c r="E682" s="12" t="str">
        <f>Overview!E682</f>
        <v/>
      </c>
      <c r="F682" s="12" t="str">
        <f>Overview!K682</f>
        <v/>
      </c>
      <c r="G682" s="12" t="str">
        <f>Overview!L682</f>
        <v/>
      </c>
      <c r="H682" s="12" t="str">
        <f>Overview!M682</f>
        <v/>
      </c>
      <c r="I682" s="292" t="str">
        <f>Overview!N682</f>
        <v/>
      </c>
    </row>
    <row r="683">
      <c r="A683" s="12" t="str">
        <f>Overview!A683</f>
        <v/>
      </c>
      <c r="B683" s="12" t="str">
        <f>Overview!B683</f>
        <v/>
      </c>
      <c r="C683" s="12" t="str">
        <f>Overview!C683</f>
        <v/>
      </c>
      <c r="D683" s="12" t="str">
        <f>Overview!D683</f>
        <v/>
      </c>
      <c r="E683" s="12" t="str">
        <f>Overview!E683</f>
        <v/>
      </c>
      <c r="F683" s="12" t="str">
        <f>Overview!K683</f>
        <v/>
      </c>
      <c r="G683" s="12" t="str">
        <f>Overview!L683</f>
        <v/>
      </c>
      <c r="H683" s="12" t="str">
        <f>Overview!M683</f>
        <v/>
      </c>
      <c r="I683" s="292" t="str">
        <f>Overview!N683</f>
        <v/>
      </c>
    </row>
    <row r="684">
      <c r="A684" s="12" t="str">
        <f>Overview!A684</f>
        <v/>
      </c>
      <c r="B684" s="12" t="str">
        <f>Overview!B684</f>
        <v/>
      </c>
      <c r="C684" s="12" t="str">
        <f>Overview!C684</f>
        <v/>
      </c>
      <c r="D684" s="12" t="str">
        <f>Overview!D684</f>
        <v/>
      </c>
      <c r="E684" s="12" t="str">
        <f>Overview!E684</f>
        <v/>
      </c>
      <c r="F684" s="12" t="str">
        <f>Overview!K684</f>
        <v/>
      </c>
      <c r="G684" s="12" t="str">
        <f>Overview!L684</f>
        <v/>
      </c>
      <c r="H684" s="12" t="str">
        <f>Overview!M684</f>
        <v/>
      </c>
      <c r="I684" s="292" t="str">
        <f>Overview!N684</f>
        <v/>
      </c>
    </row>
    <row r="685">
      <c r="A685" s="12" t="str">
        <f>Overview!A685</f>
        <v/>
      </c>
      <c r="B685" s="12" t="str">
        <f>Overview!B685</f>
        <v/>
      </c>
      <c r="C685" s="12" t="str">
        <f>Overview!C685</f>
        <v/>
      </c>
      <c r="D685" s="12" t="str">
        <f>Overview!D685</f>
        <v/>
      </c>
      <c r="E685" s="12" t="str">
        <f>Overview!E685</f>
        <v/>
      </c>
      <c r="F685" s="12" t="str">
        <f>Overview!K685</f>
        <v/>
      </c>
      <c r="G685" s="12" t="str">
        <f>Overview!L685</f>
        <v/>
      </c>
      <c r="H685" s="12" t="str">
        <f>Overview!M685</f>
        <v/>
      </c>
      <c r="I685" s="292" t="str">
        <f>Overview!N685</f>
        <v/>
      </c>
    </row>
    <row r="686">
      <c r="A686" s="12" t="str">
        <f>Overview!A686</f>
        <v/>
      </c>
      <c r="B686" s="12" t="str">
        <f>Overview!B686</f>
        <v/>
      </c>
      <c r="C686" s="12" t="str">
        <f>Overview!C686</f>
        <v/>
      </c>
      <c r="D686" s="12" t="str">
        <f>Overview!D686</f>
        <v/>
      </c>
      <c r="E686" s="12" t="str">
        <f>Overview!E686</f>
        <v/>
      </c>
      <c r="F686" s="12" t="str">
        <f>Overview!K686</f>
        <v/>
      </c>
      <c r="G686" s="12" t="str">
        <f>Overview!L686</f>
        <v/>
      </c>
      <c r="H686" s="12" t="str">
        <f>Overview!M686</f>
        <v/>
      </c>
      <c r="I686" s="292" t="str">
        <f>Overview!N686</f>
        <v/>
      </c>
    </row>
    <row r="687">
      <c r="A687" s="12" t="str">
        <f>Overview!A687</f>
        <v/>
      </c>
      <c r="B687" s="12" t="str">
        <f>Overview!B687</f>
        <v/>
      </c>
      <c r="C687" s="12" t="str">
        <f>Overview!C687</f>
        <v/>
      </c>
      <c r="D687" s="12" t="str">
        <f>Overview!D687</f>
        <v/>
      </c>
      <c r="E687" s="12" t="str">
        <f>Overview!E687</f>
        <v/>
      </c>
      <c r="F687" s="12" t="str">
        <f>Overview!K687</f>
        <v/>
      </c>
      <c r="G687" s="12" t="str">
        <f>Overview!L687</f>
        <v/>
      </c>
      <c r="H687" s="12" t="str">
        <f>Overview!M687</f>
        <v/>
      </c>
      <c r="I687" s="292" t="str">
        <f>Overview!N687</f>
        <v/>
      </c>
    </row>
    <row r="688">
      <c r="A688" s="12" t="str">
        <f>Overview!A688</f>
        <v/>
      </c>
      <c r="B688" s="12" t="str">
        <f>Overview!B688</f>
        <v/>
      </c>
      <c r="C688" s="12" t="str">
        <f>Overview!C688</f>
        <v/>
      </c>
      <c r="D688" s="12" t="str">
        <f>Overview!D688</f>
        <v/>
      </c>
      <c r="E688" s="12" t="str">
        <f>Overview!E688</f>
        <v/>
      </c>
      <c r="F688" s="12" t="str">
        <f>Overview!K688</f>
        <v/>
      </c>
      <c r="G688" s="12" t="str">
        <f>Overview!L688</f>
        <v/>
      </c>
      <c r="H688" s="12" t="str">
        <f>Overview!M688</f>
        <v/>
      </c>
      <c r="I688" s="292" t="str">
        <f>Overview!N688</f>
        <v/>
      </c>
    </row>
    <row r="689">
      <c r="A689" s="12" t="str">
        <f>Overview!A689</f>
        <v/>
      </c>
      <c r="B689" s="12" t="str">
        <f>Overview!B689</f>
        <v/>
      </c>
      <c r="C689" s="12" t="str">
        <f>Overview!C689</f>
        <v/>
      </c>
      <c r="D689" s="12" t="str">
        <f>Overview!D689</f>
        <v/>
      </c>
      <c r="E689" s="12" t="str">
        <f>Overview!E689</f>
        <v/>
      </c>
      <c r="F689" s="12" t="str">
        <f>Overview!K689</f>
        <v/>
      </c>
      <c r="G689" s="12" t="str">
        <f>Overview!L689</f>
        <v/>
      </c>
      <c r="H689" s="12" t="str">
        <f>Overview!M689</f>
        <v/>
      </c>
      <c r="I689" s="292" t="str">
        <f>Overview!N689</f>
        <v/>
      </c>
    </row>
    <row r="690">
      <c r="A690" s="12" t="str">
        <f>Overview!A690</f>
        <v/>
      </c>
      <c r="B690" s="12" t="str">
        <f>Overview!B690</f>
        <v/>
      </c>
      <c r="C690" s="12" t="str">
        <f>Overview!C690</f>
        <v/>
      </c>
      <c r="D690" s="12" t="str">
        <f>Overview!D690</f>
        <v/>
      </c>
      <c r="E690" s="12" t="str">
        <f>Overview!E690</f>
        <v/>
      </c>
      <c r="F690" s="12" t="str">
        <f>Overview!K690</f>
        <v/>
      </c>
      <c r="G690" s="12" t="str">
        <f>Overview!L690</f>
        <v/>
      </c>
      <c r="H690" s="12" t="str">
        <f>Overview!M690</f>
        <v/>
      </c>
      <c r="I690" s="292" t="str">
        <f>Overview!N690</f>
        <v/>
      </c>
    </row>
    <row r="691">
      <c r="A691" s="12" t="str">
        <f>Overview!A691</f>
        <v/>
      </c>
      <c r="B691" s="12" t="str">
        <f>Overview!B691</f>
        <v/>
      </c>
      <c r="C691" s="12" t="str">
        <f>Overview!C691</f>
        <v/>
      </c>
      <c r="D691" s="12" t="str">
        <f>Overview!D691</f>
        <v/>
      </c>
      <c r="E691" s="12" t="str">
        <f>Overview!E691</f>
        <v/>
      </c>
      <c r="F691" s="12" t="str">
        <f>Overview!K691</f>
        <v/>
      </c>
      <c r="G691" s="12" t="str">
        <f>Overview!L691</f>
        <v/>
      </c>
      <c r="H691" s="12" t="str">
        <f>Overview!M691</f>
        <v/>
      </c>
      <c r="I691" s="292" t="str">
        <f>Overview!N691</f>
        <v/>
      </c>
    </row>
    <row r="692">
      <c r="A692" s="12" t="str">
        <f>Overview!A692</f>
        <v/>
      </c>
      <c r="B692" s="12" t="str">
        <f>Overview!B692</f>
        <v/>
      </c>
      <c r="C692" s="12" t="str">
        <f>Overview!C692</f>
        <v/>
      </c>
      <c r="D692" s="12" t="str">
        <f>Overview!D692</f>
        <v/>
      </c>
      <c r="E692" s="12" t="str">
        <f>Overview!E692</f>
        <v/>
      </c>
      <c r="F692" s="12" t="str">
        <f>Overview!K692</f>
        <v/>
      </c>
      <c r="G692" s="12" t="str">
        <f>Overview!L692</f>
        <v/>
      </c>
      <c r="H692" s="12" t="str">
        <f>Overview!M692</f>
        <v/>
      </c>
      <c r="I692" s="292" t="str">
        <f>Overview!N692</f>
        <v/>
      </c>
    </row>
    <row r="693">
      <c r="A693" s="12" t="str">
        <f>Overview!A693</f>
        <v/>
      </c>
      <c r="B693" s="12" t="str">
        <f>Overview!B693</f>
        <v/>
      </c>
      <c r="C693" s="12" t="str">
        <f>Overview!C693</f>
        <v/>
      </c>
      <c r="D693" s="12" t="str">
        <f>Overview!D693</f>
        <v/>
      </c>
      <c r="E693" s="12" t="str">
        <f>Overview!E693</f>
        <v/>
      </c>
      <c r="F693" s="12" t="str">
        <f>Overview!K693</f>
        <v/>
      </c>
      <c r="G693" s="12" t="str">
        <f>Overview!L693</f>
        <v/>
      </c>
      <c r="H693" s="12" t="str">
        <f>Overview!M693</f>
        <v/>
      </c>
      <c r="I693" s="292" t="str">
        <f>Overview!N693</f>
        <v/>
      </c>
    </row>
    <row r="694">
      <c r="A694" s="12" t="str">
        <f>Overview!A694</f>
        <v/>
      </c>
      <c r="B694" s="12" t="str">
        <f>Overview!B694</f>
        <v/>
      </c>
      <c r="C694" s="12" t="str">
        <f>Overview!C694</f>
        <v/>
      </c>
      <c r="D694" s="12" t="str">
        <f>Overview!D694</f>
        <v/>
      </c>
      <c r="E694" s="12" t="str">
        <f>Overview!E694</f>
        <v/>
      </c>
      <c r="F694" s="12" t="str">
        <f>Overview!K694</f>
        <v/>
      </c>
      <c r="G694" s="12" t="str">
        <f>Overview!L694</f>
        <v/>
      </c>
      <c r="H694" s="12" t="str">
        <f>Overview!M694</f>
        <v/>
      </c>
      <c r="I694" s="292" t="str">
        <f>Overview!N694</f>
        <v/>
      </c>
    </row>
    <row r="695">
      <c r="A695" s="12" t="str">
        <f>Overview!A695</f>
        <v/>
      </c>
      <c r="B695" s="12" t="str">
        <f>Overview!B695</f>
        <v/>
      </c>
      <c r="C695" s="12" t="str">
        <f>Overview!C695</f>
        <v/>
      </c>
      <c r="D695" s="12" t="str">
        <f>Overview!D695</f>
        <v/>
      </c>
      <c r="E695" s="12" t="str">
        <f>Overview!E695</f>
        <v/>
      </c>
      <c r="F695" s="12" t="str">
        <f>Overview!K695</f>
        <v/>
      </c>
      <c r="G695" s="12" t="str">
        <f>Overview!L695</f>
        <v/>
      </c>
      <c r="H695" s="12" t="str">
        <f>Overview!M695</f>
        <v/>
      </c>
      <c r="I695" s="292" t="str">
        <f>Overview!N695</f>
        <v/>
      </c>
    </row>
    <row r="696">
      <c r="A696" s="12" t="str">
        <f>Overview!A696</f>
        <v/>
      </c>
      <c r="B696" s="12" t="str">
        <f>Overview!B696</f>
        <v/>
      </c>
      <c r="C696" s="12" t="str">
        <f>Overview!C696</f>
        <v/>
      </c>
      <c r="D696" s="12" t="str">
        <f>Overview!D696</f>
        <v/>
      </c>
      <c r="E696" s="12" t="str">
        <f>Overview!E696</f>
        <v/>
      </c>
      <c r="F696" s="12" t="str">
        <f>Overview!K696</f>
        <v/>
      </c>
      <c r="G696" s="12" t="str">
        <f>Overview!L696</f>
        <v/>
      </c>
      <c r="H696" s="12" t="str">
        <f>Overview!M696</f>
        <v/>
      </c>
      <c r="I696" s="292" t="str">
        <f>Overview!N696</f>
        <v/>
      </c>
    </row>
    <row r="697">
      <c r="A697" s="12" t="str">
        <f>Overview!A697</f>
        <v/>
      </c>
      <c r="B697" s="12" t="str">
        <f>Overview!B697</f>
        <v/>
      </c>
      <c r="C697" s="12" t="str">
        <f>Overview!C697</f>
        <v/>
      </c>
      <c r="D697" s="12" t="str">
        <f>Overview!D697</f>
        <v/>
      </c>
      <c r="E697" s="12" t="str">
        <f>Overview!E697</f>
        <v/>
      </c>
      <c r="F697" s="12" t="str">
        <f>Overview!K697</f>
        <v/>
      </c>
      <c r="G697" s="12" t="str">
        <f>Overview!L697</f>
        <v/>
      </c>
      <c r="H697" s="12" t="str">
        <f>Overview!M697</f>
        <v/>
      </c>
      <c r="I697" s="292" t="str">
        <f>Overview!N697</f>
        <v/>
      </c>
    </row>
    <row r="698">
      <c r="A698" s="12" t="str">
        <f>Overview!A698</f>
        <v/>
      </c>
      <c r="B698" s="12" t="str">
        <f>Overview!B698</f>
        <v/>
      </c>
      <c r="C698" s="12" t="str">
        <f>Overview!C698</f>
        <v/>
      </c>
      <c r="D698" s="12" t="str">
        <f>Overview!D698</f>
        <v/>
      </c>
      <c r="E698" s="12" t="str">
        <f>Overview!E698</f>
        <v/>
      </c>
      <c r="F698" s="12" t="str">
        <f>Overview!K698</f>
        <v/>
      </c>
      <c r="G698" s="12" t="str">
        <f>Overview!L698</f>
        <v/>
      </c>
      <c r="H698" s="12" t="str">
        <f>Overview!M698</f>
        <v/>
      </c>
      <c r="I698" s="292" t="str">
        <f>Overview!N698</f>
        <v/>
      </c>
    </row>
    <row r="699">
      <c r="A699" s="12" t="str">
        <f>Overview!A699</f>
        <v/>
      </c>
      <c r="B699" s="12" t="str">
        <f>Overview!B699</f>
        <v/>
      </c>
      <c r="C699" s="12" t="str">
        <f>Overview!C699</f>
        <v/>
      </c>
      <c r="D699" s="12" t="str">
        <f>Overview!D699</f>
        <v/>
      </c>
      <c r="E699" s="12" t="str">
        <f>Overview!E699</f>
        <v/>
      </c>
      <c r="F699" s="12" t="str">
        <f>Overview!K699</f>
        <v/>
      </c>
      <c r="G699" s="12" t="str">
        <f>Overview!L699</f>
        <v/>
      </c>
      <c r="H699" s="12" t="str">
        <f>Overview!M699</f>
        <v/>
      </c>
      <c r="I699" s="292" t="str">
        <f>Overview!N699</f>
        <v/>
      </c>
    </row>
    <row r="700">
      <c r="A700" s="12" t="str">
        <f>Overview!A700</f>
        <v/>
      </c>
      <c r="B700" s="12" t="str">
        <f>Overview!B700</f>
        <v/>
      </c>
      <c r="C700" s="12" t="str">
        <f>Overview!C700</f>
        <v/>
      </c>
      <c r="D700" s="12" t="str">
        <f>Overview!D700</f>
        <v/>
      </c>
      <c r="E700" s="12" t="str">
        <f>Overview!E700</f>
        <v/>
      </c>
      <c r="F700" s="12" t="str">
        <f>Overview!K700</f>
        <v/>
      </c>
      <c r="G700" s="12" t="str">
        <f>Overview!L700</f>
        <v/>
      </c>
      <c r="H700" s="12" t="str">
        <f>Overview!M700</f>
        <v/>
      </c>
      <c r="I700" s="292" t="str">
        <f>Overview!N700</f>
        <v/>
      </c>
    </row>
    <row r="701">
      <c r="A701" s="12" t="str">
        <f>Overview!A701</f>
        <v/>
      </c>
      <c r="B701" s="12" t="str">
        <f>Overview!B701</f>
        <v/>
      </c>
      <c r="C701" s="12" t="str">
        <f>Overview!C701</f>
        <v/>
      </c>
      <c r="D701" s="12" t="str">
        <f>Overview!D701</f>
        <v/>
      </c>
      <c r="E701" s="12" t="str">
        <f>Overview!E701</f>
        <v/>
      </c>
      <c r="F701" s="12" t="str">
        <f>Overview!K701</f>
        <v/>
      </c>
      <c r="G701" s="12" t="str">
        <f>Overview!L701</f>
        <v/>
      </c>
      <c r="H701" s="12" t="str">
        <f>Overview!M701</f>
        <v/>
      </c>
      <c r="I701" s="292" t="str">
        <f>Overview!N701</f>
        <v/>
      </c>
    </row>
    <row r="702">
      <c r="A702" s="12" t="str">
        <f>Overview!A702</f>
        <v/>
      </c>
      <c r="B702" s="12" t="str">
        <f>Overview!B702</f>
        <v/>
      </c>
      <c r="C702" s="12" t="str">
        <f>Overview!C702</f>
        <v/>
      </c>
      <c r="D702" s="12" t="str">
        <f>Overview!D702</f>
        <v/>
      </c>
      <c r="E702" s="12" t="str">
        <f>Overview!E702</f>
        <v/>
      </c>
      <c r="F702" s="12" t="str">
        <f>Overview!K702</f>
        <v/>
      </c>
      <c r="G702" s="12" t="str">
        <f>Overview!L702</f>
        <v/>
      </c>
      <c r="H702" s="12" t="str">
        <f>Overview!M702</f>
        <v/>
      </c>
      <c r="I702" s="292" t="str">
        <f>Overview!N702</f>
        <v/>
      </c>
    </row>
    <row r="703">
      <c r="A703" s="12" t="str">
        <f>Overview!A703</f>
        <v/>
      </c>
      <c r="B703" s="12" t="str">
        <f>Overview!B703</f>
        <v/>
      </c>
      <c r="C703" s="12" t="str">
        <f>Overview!C703</f>
        <v/>
      </c>
      <c r="D703" s="12" t="str">
        <f>Overview!D703</f>
        <v/>
      </c>
      <c r="E703" s="12" t="str">
        <f>Overview!E703</f>
        <v/>
      </c>
      <c r="F703" s="12" t="str">
        <f>Overview!K703</f>
        <v/>
      </c>
      <c r="G703" s="12" t="str">
        <f>Overview!L703</f>
        <v/>
      </c>
      <c r="H703" s="12" t="str">
        <f>Overview!M703</f>
        <v/>
      </c>
      <c r="I703" s="292" t="str">
        <f>Overview!N703</f>
        <v/>
      </c>
    </row>
    <row r="704">
      <c r="A704" s="12" t="str">
        <f>Overview!A704</f>
        <v/>
      </c>
      <c r="B704" s="12" t="str">
        <f>Overview!B704</f>
        <v/>
      </c>
      <c r="C704" s="12" t="str">
        <f>Overview!C704</f>
        <v/>
      </c>
      <c r="D704" s="12" t="str">
        <f>Overview!D704</f>
        <v/>
      </c>
      <c r="E704" s="12" t="str">
        <f>Overview!E704</f>
        <v/>
      </c>
      <c r="F704" s="12" t="str">
        <f>Overview!K704</f>
        <v/>
      </c>
      <c r="G704" s="12" t="str">
        <f>Overview!L704</f>
        <v/>
      </c>
      <c r="H704" s="12" t="str">
        <f>Overview!M704</f>
        <v/>
      </c>
      <c r="I704" s="292" t="str">
        <f>Overview!N704</f>
        <v/>
      </c>
    </row>
    <row r="705">
      <c r="A705" s="12" t="str">
        <f>Overview!A705</f>
        <v/>
      </c>
      <c r="B705" s="12" t="str">
        <f>Overview!B705</f>
        <v/>
      </c>
      <c r="C705" s="12" t="str">
        <f>Overview!C705</f>
        <v/>
      </c>
      <c r="D705" s="12" t="str">
        <f>Overview!D705</f>
        <v/>
      </c>
      <c r="E705" s="12" t="str">
        <f>Overview!E705</f>
        <v/>
      </c>
      <c r="F705" s="12" t="str">
        <f>Overview!K705</f>
        <v/>
      </c>
      <c r="G705" s="12" t="str">
        <f>Overview!L705</f>
        <v/>
      </c>
      <c r="H705" s="12" t="str">
        <f>Overview!M705</f>
        <v/>
      </c>
      <c r="I705" s="292" t="str">
        <f>Overview!N705</f>
        <v/>
      </c>
    </row>
    <row r="706">
      <c r="A706" s="12" t="str">
        <f>Overview!A706</f>
        <v/>
      </c>
      <c r="B706" s="12" t="str">
        <f>Overview!B706</f>
        <v/>
      </c>
      <c r="C706" s="12" t="str">
        <f>Overview!C706</f>
        <v/>
      </c>
      <c r="D706" s="12" t="str">
        <f>Overview!D706</f>
        <v/>
      </c>
      <c r="E706" s="12" t="str">
        <f>Overview!E706</f>
        <v/>
      </c>
      <c r="F706" s="12" t="str">
        <f>Overview!K706</f>
        <v/>
      </c>
      <c r="G706" s="12" t="str">
        <f>Overview!L706</f>
        <v/>
      </c>
      <c r="H706" s="12" t="str">
        <f>Overview!M706</f>
        <v/>
      </c>
      <c r="I706" s="292" t="str">
        <f>Overview!N706</f>
        <v/>
      </c>
    </row>
    <row r="707">
      <c r="A707" s="12" t="str">
        <f>Overview!A707</f>
        <v/>
      </c>
      <c r="B707" s="12" t="str">
        <f>Overview!B707</f>
        <v/>
      </c>
      <c r="C707" s="12" t="str">
        <f>Overview!C707</f>
        <v/>
      </c>
      <c r="D707" s="12" t="str">
        <f>Overview!D707</f>
        <v/>
      </c>
      <c r="E707" s="12" t="str">
        <f>Overview!E707</f>
        <v/>
      </c>
      <c r="F707" s="12" t="str">
        <f>Overview!K707</f>
        <v/>
      </c>
      <c r="G707" s="12" t="str">
        <f>Overview!L707</f>
        <v/>
      </c>
      <c r="H707" s="12" t="str">
        <f>Overview!M707</f>
        <v/>
      </c>
      <c r="I707" s="292" t="str">
        <f>Overview!N707</f>
        <v/>
      </c>
    </row>
    <row r="708">
      <c r="A708" s="12" t="str">
        <f>Overview!A708</f>
        <v/>
      </c>
      <c r="B708" s="12" t="str">
        <f>Overview!B708</f>
        <v/>
      </c>
      <c r="C708" s="12" t="str">
        <f>Overview!C708</f>
        <v/>
      </c>
      <c r="D708" s="12" t="str">
        <f>Overview!D708</f>
        <v/>
      </c>
      <c r="E708" s="12" t="str">
        <f>Overview!E708</f>
        <v/>
      </c>
      <c r="F708" s="12" t="str">
        <f>Overview!K708</f>
        <v/>
      </c>
      <c r="G708" s="12" t="str">
        <f>Overview!L708</f>
        <v/>
      </c>
      <c r="H708" s="12" t="str">
        <f>Overview!M708</f>
        <v/>
      </c>
      <c r="I708" s="292" t="str">
        <f>Overview!N708</f>
        <v/>
      </c>
    </row>
    <row r="709">
      <c r="A709" s="12" t="str">
        <f>Overview!A709</f>
        <v/>
      </c>
      <c r="B709" s="12" t="str">
        <f>Overview!B709</f>
        <v/>
      </c>
      <c r="C709" s="12" t="str">
        <f>Overview!C709</f>
        <v/>
      </c>
      <c r="D709" s="12" t="str">
        <f>Overview!D709</f>
        <v/>
      </c>
      <c r="E709" s="12" t="str">
        <f>Overview!E709</f>
        <v/>
      </c>
      <c r="F709" s="12" t="str">
        <f>Overview!K709</f>
        <v/>
      </c>
      <c r="G709" s="12" t="str">
        <f>Overview!L709</f>
        <v/>
      </c>
      <c r="H709" s="12" t="str">
        <f>Overview!M709</f>
        <v/>
      </c>
      <c r="I709" s="292" t="str">
        <f>Overview!N709</f>
        <v/>
      </c>
    </row>
    <row r="710">
      <c r="A710" s="12" t="str">
        <f>Overview!A710</f>
        <v/>
      </c>
      <c r="B710" s="12" t="str">
        <f>Overview!B710</f>
        <v/>
      </c>
      <c r="C710" s="12" t="str">
        <f>Overview!C710</f>
        <v/>
      </c>
      <c r="D710" s="12" t="str">
        <f>Overview!D710</f>
        <v/>
      </c>
      <c r="E710" s="12" t="str">
        <f>Overview!E710</f>
        <v/>
      </c>
      <c r="F710" s="12" t="str">
        <f>Overview!K710</f>
        <v/>
      </c>
      <c r="G710" s="12" t="str">
        <f>Overview!L710</f>
        <v/>
      </c>
      <c r="H710" s="12" t="str">
        <f>Overview!M710</f>
        <v/>
      </c>
      <c r="I710" s="292" t="str">
        <f>Overview!N710</f>
        <v/>
      </c>
    </row>
    <row r="711">
      <c r="A711" s="12" t="str">
        <f>Overview!A711</f>
        <v/>
      </c>
      <c r="B711" s="12" t="str">
        <f>Overview!B711</f>
        <v/>
      </c>
      <c r="C711" s="12" t="str">
        <f>Overview!C711</f>
        <v/>
      </c>
      <c r="D711" s="12" t="str">
        <f>Overview!D711</f>
        <v/>
      </c>
      <c r="E711" s="12" t="str">
        <f>Overview!E711</f>
        <v/>
      </c>
      <c r="F711" s="12" t="str">
        <f>Overview!K711</f>
        <v/>
      </c>
      <c r="G711" s="12" t="str">
        <f>Overview!L711</f>
        <v/>
      </c>
      <c r="H711" s="12" t="str">
        <f>Overview!M711</f>
        <v/>
      </c>
      <c r="I711" s="292" t="str">
        <f>Overview!N711</f>
        <v/>
      </c>
    </row>
    <row r="712">
      <c r="A712" s="12" t="str">
        <f>Overview!A712</f>
        <v/>
      </c>
      <c r="B712" s="12" t="str">
        <f>Overview!B712</f>
        <v/>
      </c>
      <c r="C712" s="12" t="str">
        <f>Overview!C712</f>
        <v/>
      </c>
      <c r="D712" s="12" t="str">
        <f>Overview!D712</f>
        <v/>
      </c>
      <c r="E712" s="12" t="str">
        <f>Overview!E712</f>
        <v/>
      </c>
      <c r="F712" s="12" t="str">
        <f>Overview!K712</f>
        <v/>
      </c>
      <c r="G712" s="12" t="str">
        <f>Overview!L712</f>
        <v/>
      </c>
      <c r="H712" s="12" t="str">
        <f>Overview!M712</f>
        <v/>
      </c>
      <c r="I712" s="292" t="str">
        <f>Overview!N712</f>
        <v/>
      </c>
    </row>
    <row r="713">
      <c r="A713" s="12" t="str">
        <f>Overview!A713</f>
        <v/>
      </c>
      <c r="B713" s="12" t="str">
        <f>Overview!B713</f>
        <v/>
      </c>
      <c r="C713" s="12" t="str">
        <f>Overview!C713</f>
        <v/>
      </c>
      <c r="D713" s="12" t="str">
        <f>Overview!D713</f>
        <v/>
      </c>
      <c r="E713" s="12" t="str">
        <f>Overview!E713</f>
        <v/>
      </c>
      <c r="F713" s="12" t="str">
        <f>Overview!K713</f>
        <v/>
      </c>
      <c r="G713" s="12" t="str">
        <f>Overview!L713</f>
        <v/>
      </c>
      <c r="H713" s="12" t="str">
        <f>Overview!M713</f>
        <v/>
      </c>
      <c r="I713" s="292" t="str">
        <f>Overview!N713</f>
        <v/>
      </c>
    </row>
    <row r="714">
      <c r="A714" s="12" t="str">
        <f>Overview!A714</f>
        <v/>
      </c>
      <c r="B714" s="12" t="str">
        <f>Overview!B714</f>
        <v/>
      </c>
      <c r="C714" s="12" t="str">
        <f>Overview!C714</f>
        <v/>
      </c>
      <c r="D714" s="12" t="str">
        <f>Overview!D714</f>
        <v/>
      </c>
      <c r="E714" s="12" t="str">
        <f>Overview!E714</f>
        <v/>
      </c>
      <c r="F714" s="12" t="str">
        <f>Overview!K714</f>
        <v/>
      </c>
      <c r="G714" s="12" t="str">
        <f>Overview!L714</f>
        <v/>
      </c>
      <c r="H714" s="12" t="str">
        <f>Overview!M714</f>
        <v/>
      </c>
      <c r="I714" s="292" t="str">
        <f>Overview!N714</f>
        <v/>
      </c>
    </row>
    <row r="715">
      <c r="A715" s="12" t="str">
        <f>Overview!A715</f>
        <v/>
      </c>
      <c r="B715" s="12" t="str">
        <f>Overview!B715</f>
        <v/>
      </c>
      <c r="C715" s="12" t="str">
        <f>Overview!C715</f>
        <v/>
      </c>
      <c r="D715" s="12" t="str">
        <f>Overview!D715</f>
        <v/>
      </c>
      <c r="E715" s="12" t="str">
        <f>Overview!E715</f>
        <v/>
      </c>
      <c r="F715" s="12" t="str">
        <f>Overview!K715</f>
        <v/>
      </c>
      <c r="G715" s="12" t="str">
        <f>Overview!L715</f>
        <v/>
      </c>
      <c r="H715" s="12" t="str">
        <f>Overview!M715</f>
        <v/>
      </c>
      <c r="I715" s="292" t="str">
        <f>Overview!N715</f>
        <v/>
      </c>
    </row>
    <row r="716">
      <c r="A716" s="12" t="str">
        <f>Overview!A716</f>
        <v/>
      </c>
      <c r="B716" s="12" t="str">
        <f>Overview!B716</f>
        <v/>
      </c>
      <c r="C716" s="12" t="str">
        <f>Overview!C716</f>
        <v/>
      </c>
      <c r="D716" s="12" t="str">
        <f>Overview!D716</f>
        <v/>
      </c>
      <c r="E716" s="12" t="str">
        <f>Overview!E716</f>
        <v/>
      </c>
      <c r="F716" s="12" t="str">
        <f>Overview!K716</f>
        <v/>
      </c>
      <c r="G716" s="12" t="str">
        <f>Overview!L716</f>
        <v/>
      </c>
      <c r="H716" s="12" t="str">
        <f>Overview!M716</f>
        <v/>
      </c>
      <c r="I716" s="292" t="str">
        <f>Overview!N716</f>
        <v/>
      </c>
    </row>
    <row r="717">
      <c r="A717" s="12" t="str">
        <f>Overview!A717</f>
        <v/>
      </c>
      <c r="B717" s="12" t="str">
        <f>Overview!B717</f>
        <v/>
      </c>
      <c r="C717" s="12" t="str">
        <f>Overview!C717</f>
        <v/>
      </c>
      <c r="D717" s="12" t="str">
        <f>Overview!D717</f>
        <v/>
      </c>
      <c r="E717" s="12" t="str">
        <f>Overview!E717</f>
        <v/>
      </c>
      <c r="F717" s="12" t="str">
        <f>Overview!K717</f>
        <v/>
      </c>
      <c r="G717" s="12" t="str">
        <f>Overview!L717</f>
        <v/>
      </c>
      <c r="H717" s="12" t="str">
        <f>Overview!M717</f>
        <v/>
      </c>
      <c r="I717" s="292" t="str">
        <f>Overview!N717</f>
        <v/>
      </c>
    </row>
    <row r="718">
      <c r="A718" s="12" t="str">
        <f>Overview!A718</f>
        <v/>
      </c>
      <c r="B718" s="12" t="str">
        <f>Overview!B718</f>
        <v/>
      </c>
      <c r="C718" s="12" t="str">
        <f>Overview!C718</f>
        <v/>
      </c>
      <c r="D718" s="12" t="str">
        <f>Overview!D718</f>
        <v/>
      </c>
      <c r="E718" s="12" t="str">
        <f>Overview!E718</f>
        <v/>
      </c>
      <c r="F718" s="12" t="str">
        <f>Overview!K718</f>
        <v/>
      </c>
      <c r="G718" s="12" t="str">
        <f>Overview!L718</f>
        <v/>
      </c>
      <c r="H718" s="12" t="str">
        <f>Overview!M718</f>
        <v/>
      </c>
      <c r="I718" s="292" t="str">
        <f>Overview!N718</f>
        <v/>
      </c>
    </row>
    <row r="719">
      <c r="A719" s="12" t="str">
        <f>Overview!A719</f>
        <v/>
      </c>
      <c r="B719" s="12" t="str">
        <f>Overview!B719</f>
        <v/>
      </c>
      <c r="C719" s="12" t="str">
        <f>Overview!C719</f>
        <v/>
      </c>
      <c r="D719" s="12" t="str">
        <f>Overview!D719</f>
        <v/>
      </c>
      <c r="E719" s="12" t="str">
        <f>Overview!E719</f>
        <v/>
      </c>
      <c r="F719" s="12" t="str">
        <f>Overview!K719</f>
        <v/>
      </c>
      <c r="G719" s="12" t="str">
        <f>Overview!L719</f>
        <v/>
      </c>
      <c r="H719" s="12" t="str">
        <f>Overview!M719</f>
        <v/>
      </c>
      <c r="I719" s="292" t="str">
        <f>Overview!N719</f>
        <v/>
      </c>
    </row>
    <row r="720">
      <c r="A720" s="12" t="str">
        <f>Overview!A720</f>
        <v/>
      </c>
      <c r="B720" s="12" t="str">
        <f>Overview!B720</f>
        <v/>
      </c>
      <c r="C720" s="12" t="str">
        <f>Overview!C720</f>
        <v/>
      </c>
      <c r="D720" s="12" t="str">
        <f>Overview!D720</f>
        <v/>
      </c>
      <c r="E720" s="12" t="str">
        <f>Overview!E720</f>
        <v/>
      </c>
      <c r="F720" s="12" t="str">
        <f>Overview!K720</f>
        <v/>
      </c>
      <c r="G720" s="12" t="str">
        <f>Overview!L720</f>
        <v/>
      </c>
      <c r="H720" s="12" t="str">
        <f>Overview!M720</f>
        <v/>
      </c>
      <c r="I720" s="292" t="str">
        <f>Overview!N720</f>
        <v/>
      </c>
    </row>
    <row r="721">
      <c r="A721" s="12" t="str">
        <f>Overview!A721</f>
        <v/>
      </c>
      <c r="B721" s="12" t="str">
        <f>Overview!B721</f>
        <v/>
      </c>
      <c r="C721" s="12" t="str">
        <f>Overview!C721</f>
        <v/>
      </c>
      <c r="D721" s="12" t="str">
        <f>Overview!D721</f>
        <v/>
      </c>
      <c r="E721" s="12" t="str">
        <f>Overview!E721</f>
        <v/>
      </c>
      <c r="F721" s="12" t="str">
        <f>Overview!K721</f>
        <v/>
      </c>
      <c r="G721" s="12" t="str">
        <f>Overview!L721</f>
        <v/>
      </c>
      <c r="H721" s="12" t="str">
        <f>Overview!M721</f>
        <v/>
      </c>
      <c r="I721" s="292" t="str">
        <f>Overview!N721</f>
        <v/>
      </c>
    </row>
    <row r="722">
      <c r="A722" s="12" t="str">
        <f>Overview!A722</f>
        <v/>
      </c>
      <c r="B722" s="12" t="str">
        <f>Overview!B722</f>
        <v/>
      </c>
      <c r="C722" s="12" t="str">
        <f>Overview!C722</f>
        <v/>
      </c>
      <c r="D722" s="12" t="str">
        <f>Overview!D722</f>
        <v/>
      </c>
      <c r="E722" s="12" t="str">
        <f>Overview!E722</f>
        <v/>
      </c>
      <c r="F722" s="12" t="str">
        <f>Overview!K722</f>
        <v/>
      </c>
      <c r="G722" s="12" t="str">
        <f>Overview!L722</f>
        <v/>
      </c>
      <c r="H722" s="12" t="str">
        <f>Overview!M722</f>
        <v/>
      </c>
      <c r="I722" s="292" t="str">
        <f>Overview!N722</f>
        <v/>
      </c>
    </row>
    <row r="723">
      <c r="A723" s="12" t="str">
        <f>Overview!A723</f>
        <v/>
      </c>
      <c r="B723" s="12" t="str">
        <f>Overview!B723</f>
        <v/>
      </c>
      <c r="C723" s="12" t="str">
        <f>Overview!C723</f>
        <v/>
      </c>
      <c r="D723" s="12" t="str">
        <f>Overview!D723</f>
        <v/>
      </c>
      <c r="E723" s="12" t="str">
        <f>Overview!E723</f>
        <v/>
      </c>
      <c r="F723" s="12" t="str">
        <f>Overview!K723</f>
        <v/>
      </c>
      <c r="G723" s="12" t="str">
        <f>Overview!L723</f>
        <v/>
      </c>
      <c r="H723" s="12" t="str">
        <f>Overview!M723</f>
        <v/>
      </c>
      <c r="I723" s="292" t="str">
        <f>Overview!N723</f>
        <v/>
      </c>
    </row>
    <row r="724">
      <c r="A724" s="12" t="str">
        <f>Overview!A724</f>
        <v/>
      </c>
      <c r="B724" s="12" t="str">
        <f>Overview!B724</f>
        <v/>
      </c>
      <c r="C724" s="12" t="str">
        <f>Overview!C724</f>
        <v/>
      </c>
      <c r="D724" s="12" t="str">
        <f>Overview!D724</f>
        <v/>
      </c>
      <c r="E724" s="12" t="str">
        <f>Overview!E724</f>
        <v/>
      </c>
      <c r="F724" s="12" t="str">
        <f>Overview!K724</f>
        <v/>
      </c>
      <c r="G724" s="12" t="str">
        <f>Overview!L724</f>
        <v/>
      </c>
      <c r="H724" s="12" t="str">
        <f>Overview!M724</f>
        <v/>
      </c>
      <c r="I724" s="292" t="str">
        <f>Overview!N724</f>
        <v/>
      </c>
    </row>
    <row r="725">
      <c r="A725" s="12" t="str">
        <f>Overview!A725</f>
        <v/>
      </c>
      <c r="B725" s="12" t="str">
        <f>Overview!B725</f>
        <v/>
      </c>
      <c r="C725" s="12" t="str">
        <f>Overview!C725</f>
        <v/>
      </c>
      <c r="D725" s="12" t="str">
        <f>Overview!D725</f>
        <v/>
      </c>
      <c r="E725" s="12" t="str">
        <f>Overview!E725</f>
        <v/>
      </c>
      <c r="F725" s="12" t="str">
        <f>Overview!K725</f>
        <v/>
      </c>
      <c r="G725" s="12" t="str">
        <f>Overview!L725</f>
        <v/>
      </c>
      <c r="H725" s="12" t="str">
        <f>Overview!M725</f>
        <v/>
      </c>
      <c r="I725" s="292" t="str">
        <f>Overview!N725</f>
        <v/>
      </c>
    </row>
    <row r="726">
      <c r="A726" s="12" t="str">
        <f>Overview!A726</f>
        <v/>
      </c>
      <c r="B726" s="12" t="str">
        <f>Overview!B726</f>
        <v/>
      </c>
      <c r="C726" s="12" t="str">
        <f>Overview!C726</f>
        <v/>
      </c>
      <c r="D726" s="12" t="str">
        <f>Overview!D726</f>
        <v/>
      </c>
      <c r="E726" s="12" t="str">
        <f>Overview!E726</f>
        <v/>
      </c>
      <c r="F726" s="12" t="str">
        <f>Overview!K726</f>
        <v/>
      </c>
      <c r="G726" s="12" t="str">
        <f>Overview!L726</f>
        <v/>
      </c>
      <c r="H726" s="12" t="str">
        <f>Overview!M726</f>
        <v/>
      </c>
      <c r="I726" s="292" t="str">
        <f>Overview!N726</f>
        <v/>
      </c>
    </row>
    <row r="727">
      <c r="A727" s="12" t="str">
        <f>Overview!A727</f>
        <v/>
      </c>
      <c r="B727" s="12" t="str">
        <f>Overview!B727</f>
        <v/>
      </c>
      <c r="C727" s="12" t="str">
        <f>Overview!C727</f>
        <v/>
      </c>
      <c r="D727" s="12" t="str">
        <f>Overview!D727</f>
        <v/>
      </c>
      <c r="E727" s="12" t="str">
        <f>Overview!E727</f>
        <v/>
      </c>
      <c r="F727" s="12" t="str">
        <f>Overview!K727</f>
        <v/>
      </c>
      <c r="G727" s="12" t="str">
        <f>Overview!L727</f>
        <v/>
      </c>
      <c r="H727" s="12" t="str">
        <f>Overview!M727</f>
        <v/>
      </c>
      <c r="I727" s="292" t="str">
        <f>Overview!N727</f>
        <v/>
      </c>
    </row>
    <row r="728">
      <c r="A728" s="12" t="str">
        <f>Overview!A728</f>
        <v/>
      </c>
      <c r="B728" s="12" t="str">
        <f>Overview!B728</f>
        <v/>
      </c>
      <c r="C728" s="12" t="str">
        <f>Overview!C728</f>
        <v/>
      </c>
      <c r="D728" s="12" t="str">
        <f>Overview!D728</f>
        <v/>
      </c>
      <c r="E728" s="12" t="str">
        <f>Overview!E728</f>
        <v/>
      </c>
      <c r="F728" s="12" t="str">
        <f>Overview!K728</f>
        <v/>
      </c>
      <c r="G728" s="12" t="str">
        <f>Overview!L728</f>
        <v/>
      </c>
      <c r="H728" s="12" t="str">
        <f>Overview!M728</f>
        <v/>
      </c>
      <c r="I728" s="292" t="str">
        <f>Overview!N728</f>
        <v/>
      </c>
    </row>
    <row r="729">
      <c r="A729" s="12" t="str">
        <f>Overview!A729</f>
        <v/>
      </c>
      <c r="B729" s="12" t="str">
        <f>Overview!B729</f>
        <v/>
      </c>
      <c r="C729" s="12" t="str">
        <f>Overview!C729</f>
        <v/>
      </c>
      <c r="D729" s="12" t="str">
        <f>Overview!D729</f>
        <v/>
      </c>
      <c r="E729" s="12" t="str">
        <f>Overview!E729</f>
        <v/>
      </c>
      <c r="F729" s="12" t="str">
        <f>Overview!K729</f>
        <v/>
      </c>
      <c r="G729" s="12" t="str">
        <f>Overview!L729</f>
        <v/>
      </c>
      <c r="H729" s="12" t="str">
        <f>Overview!M729</f>
        <v/>
      </c>
      <c r="I729" s="292" t="str">
        <f>Overview!N729</f>
        <v/>
      </c>
    </row>
    <row r="730">
      <c r="A730" s="12" t="str">
        <f>Overview!A730</f>
        <v/>
      </c>
      <c r="B730" s="12" t="str">
        <f>Overview!B730</f>
        <v/>
      </c>
      <c r="C730" s="12" t="str">
        <f>Overview!C730</f>
        <v/>
      </c>
      <c r="D730" s="12" t="str">
        <f>Overview!D730</f>
        <v/>
      </c>
      <c r="E730" s="12" t="str">
        <f>Overview!E730</f>
        <v/>
      </c>
      <c r="F730" s="12" t="str">
        <f>Overview!K730</f>
        <v/>
      </c>
      <c r="G730" s="12" t="str">
        <f>Overview!L730</f>
        <v/>
      </c>
      <c r="H730" s="12" t="str">
        <f>Overview!M730</f>
        <v/>
      </c>
      <c r="I730" s="292" t="str">
        <f>Overview!N730</f>
        <v/>
      </c>
    </row>
    <row r="731">
      <c r="A731" s="12" t="str">
        <f>Overview!A731</f>
        <v/>
      </c>
      <c r="B731" s="12" t="str">
        <f>Overview!B731</f>
        <v/>
      </c>
      <c r="C731" s="12" t="str">
        <f>Overview!C731</f>
        <v/>
      </c>
      <c r="D731" s="12" t="str">
        <f>Overview!D731</f>
        <v/>
      </c>
      <c r="E731" s="12" t="str">
        <f>Overview!E731</f>
        <v/>
      </c>
      <c r="F731" s="12" t="str">
        <f>Overview!K731</f>
        <v/>
      </c>
      <c r="G731" s="12" t="str">
        <f>Overview!L731</f>
        <v/>
      </c>
      <c r="H731" s="12" t="str">
        <f>Overview!M731</f>
        <v/>
      </c>
      <c r="I731" s="292" t="str">
        <f>Overview!N731</f>
        <v/>
      </c>
    </row>
    <row r="732">
      <c r="A732" s="12" t="str">
        <f>Overview!A732</f>
        <v/>
      </c>
      <c r="B732" s="12" t="str">
        <f>Overview!B732</f>
        <v/>
      </c>
      <c r="C732" s="12" t="str">
        <f>Overview!C732</f>
        <v/>
      </c>
      <c r="D732" s="12" t="str">
        <f>Overview!D732</f>
        <v/>
      </c>
      <c r="E732" s="12" t="str">
        <f>Overview!E732</f>
        <v/>
      </c>
      <c r="F732" s="12" t="str">
        <f>Overview!K732</f>
        <v/>
      </c>
      <c r="G732" s="12" t="str">
        <f>Overview!L732</f>
        <v/>
      </c>
      <c r="H732" s="12" t="str">
        <f>Overview!M732</f>
        <v/>
      </c>
      <c r="I732" s="292" t="str">
        <f>Overview!N732</f>
        <v/>
      </c>
    </row>
    <row r="733">
      <c r="A733" s="12" t="str">
        <f>Overview!A733</f>
        <v/>
      </c>
      <c r="B733" s="12" t="str">
        <f>Overview!B733</f>
        <v/>
      </c>
      <c r="C733" s="12" t="str">
        <f>Overview!C733</f>
        <v/>
      </c>
      <c r="D733" s="12" t="str">
        <f>Overview!D733</f>
        <v/>
      </c>
      <c r="E733" s="12" t="str">
        <f>Overview!E733</f>
        <v/>
      </c>
      <c r="F733" s="12" t="str">
        <f>Overview!K733</f>
        <v/>
      </c>
      <c r="G733" s="12" t="str">
        <f>Overview!L733</f>
        <v/>
      </c>
      <c r="H733" s="12" t="str">
        <f>Overview!M733</f>
        <v/>
      </c>
      <c r="I733" s="292" t="str">
        <f>Overview!N733</f>
        <v/>
      </c>
    </row>
    <row r="734">
      <c r="A734" s="12" t="str">
        <f>Overview!A734</f>
        <v/>
      </c>
      <c r="B734" s="12" t="str">
        <f>Overview!B734</f>
        <v/>
      </c>
      <c r="C734" s="12" t="str">
        <f>Overview!C734</f>
        <v/>
      </c>
      <c r="D734" s="12" t="str">
        <f>Overview!D734</f>
        <v/>
      </c>
      <c r="E734" s="12" t="str">
        <f>Overview!E734</f>
        <v/>
      </c>
      <c r="F734" s="12" t="str">
        <f>Overview!K734</f>
        <v/>
      </c>
      <c r="G734" s="12" t="str">
        <f>Overview!L734</f>
        <v/>
      </c>
      <c r="H734" s="12" t="str">
        <f>Overview!M734</f>
        <v/>
      </c>
      <c r="I734" s="292" t="str">
        <f>Overview!N734</f>
        <v/>
      </c>
    </row>
    <row r="735">
      <c r="A735" s="12" t="str">
        <f>Overview!A735</f>
        <v/>
      </c>
      <c r="B735" s="12" t="str">
        <f>Overview!B735</f>
        <v/>
      </c>
      <c r="C735" s="12" t="str">
        <f>Overview!C735</f>
        <v/>
      </c>
      <c r="D735" s="12" t="str">
        <f>Overview!D735</f>
        <v/>
      </c>
      <c r="E735" s="12" t="str">
        <f>Overview!E735</f>
        <v/>
      </c>
      <c r="F735" s="12" t="str">
        <f>Overview!K735</f>
        <v/>
      </c>
      <c r="G735" s="12" t="str">
        <f>Overview!L735</f>
        <v/>
      </c>
      <c r="H735" s="12" t="str">
        <f>Overview!M735</f>
        <v/>
      </c>
      <c r="I735" s="292" t="str">
        <f>Overview!N735</f>
        <v/>
      </c>
    </row>
    <row r="736">
      <c r="A736" s="12" t="str">
        <f>Overview!A736</f>
        <v/>
      </c>
      <c r="B736" s="12" t="str">
        <f>Overview!B736</f>
        <v/>
      </c>
      <c r="C736" s="12" t="str">
        <f>Overview!C736</f>
        <v/>
      </c>
      <c r="D736" s="12" t="str">
        <f>Overview!D736</f>
        <v/>
      </c>
      <c r="E736" s="12" t="str">
        <f>Overview!E736</f>
        <v/>
      </c>
      <c r="F736" s="12" t="str">
        <f>Overview!K736</f>
        <v/>
      </c>
      <c r="G736" s="12" t="str">
        <f>Overview!L736</f>
        <v/>
      </c>
      <c r="H736" s="12" t="str">
        <f>Overview!M736</f>
        <v/>
      </c>
      <c r="I736" s="292" t="str">
        <f>Overview!N736</f>
        <v/>
      </c>
    </row>
    <row r="737">
      <c r="A737" s="12" t="str">
        <f>Overview!A737</f>
        <v/>
      </c>
      <c r="B737" s="12" t="str">
        <f>Overview!B737</f>
        <v/>
      </c>
      <c r="C737" s="12" t="str">
        <f>Overview!C737</f>
        <v/>
      </c>
      <c r="D737" s="12" t="str">
        <f>Overview!D737</f>
        <v/>
      </c>
      <c r="E737" s="12" t="str">
        <f>Overview!E737</f>
        <v/>
      </c>
      <c r="F737" s="12" t="str">
        <f>Overview!K737</f>
        <v/>
      </c>
      <c r="G737" s="12" t="str">
        <f>Overview!L737</f>
        <v/>
      </c>
      <c r="H737" s="12" t="str">
        <f>Overview!M737</f>
        <v/>
      </c>
      <c r="I737" s="292" t="str">
        <f>Overview!N737</f>
        <v/>
      </c>
    </row>
    <row r="738">
      <c r="A738" s="12" t="str">
        <f>Overview!A738</f>
        <v/>
      </c>
      <c r="B738" s="12" t="str">
        <f>Overview!B738</f>
        <v/>
      </c>
      <c r="C738" s="12" t="str">
        <f>Overview!C738</f>
        <v/>
      </c>
      <c r="D738" s="12" t="str">
        <f>Overview!D738</f>
        <v/>
      </c>
      <c r="E738" s="12" t="str">
        <f>Overview!E738</f>
        <v/>
      </c>
      <c r="F738" s="12" t="str">
        <f>Overview!K738</f>
        <v/>
      </c>
      <c r="G738" s="12" t="str">
        <f>Overview!L738</f>
        <v/>
      </c>
      <c r="H738" s="12" t="str">
        <f>Overview!M738</f>
        <v/>
      </c>
      <c r="I738" s="292" t="str">
        <f>Overview!N738</f>
        <v/>
      </c>
    </row>
    <row r="739">
      <c r="A739" s="12" t="str">
        <f>Overview!A739</f>
        <v/>
      </c>
      <c r="B739" s="12" t="str">
        <f>Overview!B739</f>
        <v/>
      </c>
      <c r="C739" s="12" t="str">
        <f>Overview!C739</f>
        <v/>
      </c>
      <c r="D739" s="12" t="str">
        <f>Overview!D739</f>
        <v/>
      </c>
      <c r="E739" s="12" t="str">
        <f>Overview!E739</f>
        <v/>
      </c>
      <c r="F739" s="12" t="str">
        <f>Overview!K739</f>
        <v/>
      </c>
      <c r="G739" s="12" t="str">
        <f>Overview!L739</f>
        <v/>
      </c>
      <c r="H739" s="12" t="str">
        <f>Overview!M739</f>
        <v/>
      </c>
      <c r="I739" s="292" t="str">
        <f>Overview!N739</f>
        <v/>
      </c>
    </row>
    <row r="740">
      <c r="A740" s="12" t="str">
        <f>Overview!A740</f>
        <v/>
      </c>
      <c r="B740" s="12" t="str">
        <f>Overview!B740</f>
        <v/>
      </c>
      <c r="C740" s="12" t="str">
        <f>Overview!C740</f>
        <v/>
      </c>
      <c r="D740" s="12" t="str">
        <f>Overview!D740</f>
        <v/>
      </c>
      <c r="E740" s="12" t="str">
        <f>Overview!E740</f>
        <v/>
      </c>
      <c r="F740" s="12" t="str">
        <f>Overview!K740</f>
        <v/>
      </c>
      <c r="G740" s="12" t="str">
        <f>Overview!L740</f>
        <v/>
      </c>
      <c r="H740" s="12" t="str">
        <f>Overview!M740</f>
        <v/>
      </c>
      <c r="I740" s="292" t="str">
        <f>Overview!N740</f>
        <v/>
      </c>
    </row>
    <row r="741">
      <c r="A741" s="12" t="str">
        <f>Overview!A741</f>
        <v/>
      </c>
      <c r="B741" s="12" t="str">
        <f>Overview!B741</f>
        <v/>
      </c>
      <c r="C741" s="12" t="str">
        <f>Overview!C741</f>
        <v/>
      </c>
      <c r="D741" s="12" t="str">
        <f>Overview!D741</f>
        <v/>
      </c>
      <c r="E741" s="12" t="str">
        <f>Overview!E741</f>
        <v/>
      </c>
      <c r="F741" s="12" t="str">
        <f>Overview!K741</f>
        <v/>
      </c>
      <c r="G741" s="12" t="str">
        <f>Overview!L741</f>
        <v/>
      </c>
      <c r="H741" s="12" t="str">
        <f>Overview!M741</f>
        <v/>
      </c>
      <c r="I741" s="292" t="str">
        <f>Overview!N741</f>
        <v/>
      </c>
    </row>
    <row r="742">
      <c r="A742" s="12" t="str">
        <f>Overview!A742</f>
        <v/>
      </c>
      <c r="B742" s="12" t="str">
        <f>Overview!B742</f>
        <v/>
      </c>
      <c r="C742" s="12" t="str">
        <f>Overview!C742</f>
        <v/>
      </c>
      <c r="D742" s="12" t="str">
        <f>Overview!D742</f>
        <v/>
      </c>
      <c r="E742" s="12" t="str">
        <f>Overview!E742</f>
        <v/>
      </c>
      <c r="F742" s="12" t="str">
        <f>Overview!K742</f>
        <v/>
      </c>
      <c r="G742" s="12" t="str">
        <f>Overview!L742</f>
        <v/>
      </c>
      <c r="H742" s="12" t="str">
        <f>Overview!M742</f>
        <v/>
      </c>
      <c r="I742" s="292" t="str">
        <f>Overview!N742</f>
        <v/>
      </c>
    </row>
    <row r="743">
      <c r="A743" s="12" t="str">
        <f>Overview!A743</f>
        <v/>
      </c>
      <c r="B743" s="12" t="str">
        <f>Overview!B743</f>
        <v/>
      </c>
      <c r="C743" s="12" t="str">
        <f>Overview!C743</f>
        <v/>
      </c>
      <c r="D743" s="12" t="str">
        <f>Overview!D743</f>
        <v/>
      </c>
      <c r="E743" s="12" t="str">
        <f>Overview!E743</f>
        <v/>
      </c>
      <c r="F743" s="12" t="str">
        <f>Overview!K743</f>
        <v/>
      </c>
      <c r="G743" s="12" t="str">
        <f>Overview!L743</f>
        <v/>
      </c>
      <c r="H743" s="12" t="str">
        <f>Overview!M743</f>
        <v/>
      </c>
      <c r="I743" s="292" t="str">
        <f>Overview!N743</f>
        <v/>
      </c>
    </row>
    <row r="744">
      <c r="A744" s="12" t="str">
        <f>Overview!A744</f>
        <v/>
      </c>
      <c r="B744" s="12" t="str">
        <f>Overview!B744</f>
        <v/>
      </c>
      <c r="C744" s="12" t="str">
        <f>Overview!C744</f>
        <v/>
      </c>
      <c r="D744" s="12" t="str">
        <f>Overview!D744</f>
        <v/>
      </c>
      <c r="E744" s="12" t="str">
        <f>Overview!E744</f>
        <v/>
      </c>
      <c r="F744" s="12" t="str">
        <f>Overview!K744</f>
        <v/>
      </c>
      <c r="G744" s="12" t="str">
        <f>Overview!L744</f>
        <v/>
      </c>
      <c r="H744" s="12" t="str">
        <f>Overview!M744</f>
        <v/>
      </c>
      <c r="I744" s="292" t="str">
        <f>Overview!N744</f>
        <v/>
      </c>
    </row>
    <row r="745">
      <c r="A745" s="12" t="str">
        <f>Overview!A745</f>
        <v/>
      </c>
      <c r="B745" s="12" t="str">
        <f>Overview!B745</f>
        <v/>
      </c>
      <c r="C745" s="12" t="str">
        <f>Overview!C745</f>
        <v/>
      </c>
      <c r="D745" s="12" t="str">
        <f>Overview!D745</f>
        <v/>
      </c>
      <c r="E745" s="12" t="str">
        <f>Overview!E745</f>
        <v/>
      </c>
      <c r="F745" s="12" t="str">
        <f>Overview!K745</f>
        <v/>
      </c>
      <c r="G745" s="12" t="str">
        <f>Overview!L745</f>
        <v/>
      </c>
      <c r="H745" s="12" t="str">
        <f>Overview!M745</f>
        <v/>
      </c>
      <c r="I745" s="292" t="str">
        <f>Overview!N745</f>
        <v/>
      </c>
    </row>
    <row r="746">
      <c r="A746" s="12" t="str">
        <f>Overview!A746</f>
        <v/>
      </c>
      <c r="B746" s="12" t="str">
        <f>Overview!B746</f>
        <v/>
      </c>
      <c r="C746" s="12" t="str">
        <f>Overview!C746</f>
        <v/>
      </c>
      <c r="D746" s="12" t="str">
        <f>Overview!D746</f>
        <v/>
      </c>
      <c r="E746" s="12" t="str">
        <f>Overview!E746</f>
        <v/>
      </c>
      <c r="F746" s="12" t="str">
        <f>Overview!K746</f>
        <v/>
      </c>
      <c r="G746" s="12" t="str">
        <f>Overview!L746</f>
        <v/>
      </c>
      <c r="H746" s="12" t="str">
        <f>Overview!M746</f>
        <v/>
      </c>
      <c r="I746" s="292" t="str">
        <f>Overview!N746</f>
        <v/>
      </c>
    </row>
    <row r="747">
      <c r="A747" s="12" t="str">
        <f>Overview!A747</f>
        <v/>
      </c>
      <c r="B747" s="12" t="str">
        <f>Overview!B747</f>
        <v/>
      </c>
      <c r="C747" s="12" t="str">
        <f>Overview!C747</f>
        <v/>
      </c>
      <c r="D747" s="12" t="str">
        <f>Overview!D747</f>
        <v/>
      </c>
      <c r="E747" s="12" t="str">
        <f>Overview!E747</f>
        <v/>
      </c>
      <c r="F747" s="12" t="str">
        <f>Overview!K747</f>
        <v/>
      </c>
      <c r="G747" s="12" t="str">
        <f>Overview!L747</f>
        <v/>
      </c>
      <c r="H747" s="12" t="str">
        <f>Overview!M747</f>
        <v/>
      </c>
      <c r="I747" s="292" t="str">
        <f>Overview!N747</f>
        <v/>
      </c>
    </row>
    <row r="748">
      <c r="A748" s="12" t="str">
        <f>Overview!A748</f>
        <v/>
      </c>
      <c r="B748" s="12" t="str">
        <f>Overview!B748</f>
        <v/>
      </c>
      <c r="C748" s="12" t="str">
        <f>Overview!C748</f>
        <v/>
      </c>
      <c r="D748" s="12" t="str">
        <f>Overview!D748</f>
        <v/>
      </c>
      <c r="E748" s="12" t="str">
        <f>Overview!E748</f>
        <v/>
      </c>
      <c r="F748" s="12" t="str">
        <f>Overview!K748</f>
        <v/>
      </c>
      <c r="G748" s="12" t="str">
        <f>Overview!L748</f>
        <v/>
      </c>
      <c r="H748" s="12" t="str">
        <f>Overview!M748</f>
        <v/>
      </c>
      <c r="I748" s="292" t="str">
        <f>Overview!N748</f>
        <v/>
      </c>
    </row>
    <row r="749">
      <c r="A749" s="12" t="str">
        <f>Overview!A749</f>
        <v/>
      </c>
      <c r="B749" s="12" t="str">
        <f>Overview!B749</f>
        <v/>
      </c>
      <c r="C749" s="12" t="str">
        <f>Overview!C749</f>
        <v/>
      </c>
      <c r="D749" s="12" t="str">
        <f>Overview!D749</f>
        <v/>
      </c>
      <c r="E749" s="12" t="str">
        <f>Overview!E749</f>
        <v/>
      </c>
      <c r="F749" s="12" t="str">
        <f>Overview!K749</f>
        <v/>
      </c>
      <c r="G749" s="12" t="str">
        <f>Overview!L749</f>
        <v/>
      </c>
      <c r="H749" s="12" t="str">
        <f>Overview!M749</f>
        <v/>
      </c>
      <c r="I749" s="292" t="str">
        <f>Overview!N749</f>
        <v/>
      </c>
    </row>
    <row r="750">
      <c r="A750" s="12" t="str">
        <f>Overview!A750</f>
        <v/>
      </c>
      <c r="B750" s="12" t="str">
        <f>Overview!B750</f>
        <v/>
      </c>
      <c r="C750" s="12" t="str">
        <f>Overview!C750</f>
        <v/>
      </c>
      <c r="D750" s="12" t="str">
        <f>Overview!D750</f>
        <v/>
      </c>
      <c r="E750" s="12" t="str">
        <f>Overview!E750</f>
        <v/>
      </c>
      <c r="F750" s="12" t="str">
        <f>Overview!K750</f>
        <v/>
      </c>
      <c r="G750" s="12" t="str">
        <f>Overview!L750</f>
        <v/>
      </c>
      <c r="H750" s="12" t="str">
        <f>Overview!M750</f>
        <v/>
      </c>
      <c r="I750" s="292" t="str">
        <f>Overview!N750</f>
        <v/>
      </c>
    </row>
    <row r="751">
      <c r="A751" s="12" t="str">
        <f>Overview!A751</f>
        <v/>
      </c>
      <c r="B751" s="12" t="str">
        <f>Overview!B751</f>
        <v/>
      </c>
      <c r="C751" s="12" t="str">
        <f>Overview!C751</f>
        <v/>
      </c>
      <c r="D751" s="12" t="str">
        <f>Overview!D751</f>
        <v/>
      </c>
      <c r="E751" s="12" t="str">
        <f>Overview!E751</f>
        <v/>
      </c>
      <c r="F751" s="12" t="str">
        <f>Overview!K751</f>
        <v/>
      </c>
      <c r="G751" s="12" t="str">
        <f>Overview!L751</f>
        <v/>
      </c>
      <c r="H751" s="12" t="str">
        <f>Overview!M751</f>
        <v/>
      </c>
      <c r="I751" s="292" t="str">
        <f>Overview!N751</f>
        <v/>
      </c>
    </row>
    <row r="752">
      <c r="A752" s="12" t="str">
        <f>Overview!A752</f>
        <v/>
      </c>
      <c r="B752" s="12" t="str">
        <f>Overview!B752</f>
        <v/>
      </c>
      <c r="C752" s="12" t="str">
        <f>Overview!C752</f>
        <v/>
      </c>
      <c r="D752" s="12" t="str">
        <f>Overview!D752</f>
        <v/>
      </c>
      <c r="E752" s="12" t="str">
        <f>Overview!E752</f>
        <v/>
      </c>
      <c r="F752" s="12" t="str">
        <f>Overview!K752</f>
        <v/>
      </c>
      <c r="G752" s="12" t="str">
        <f>Overview!L752</f>
        <v/>
      </c>
      <c r="H752" s="12" t="str">
        <f>Overview!M752</f>
        <v/>
      </c>
      <c r="I752" s="292" t="str">
        <f>Overview!N752</f>
        <v/>
      </c>
    </row>
    <row r="753">
      <c r="A753" s="12" t="str">
        <f>Overview!A753</f>
        <v/>
      </c>
      <c r="B753" s="12" t="str">
        <f>Overview!B753</f>
        <v/>
      </c>
      <c r="C753" s="12" t="str">
        <f>Overview!C753</f>
        <v/>
      </c>
      <c r="D753" s="12" t="str">
        <f>Overview!D753</f>
        <v/>
      </c>
      <c r="E753" s="12" t="str">
        <f>Overview!E753</f>
        <v/>
      </c>
      <c r="F753" s="12" t="str">
        <f>Overview!K753</f>
        <v/>
      </c>
      <c r="G753" s="12" t="str">
        <f>Overview!L753</f>
        <v/>
      </c>
      <c r="H753" s="12" t="str">
        <f>Overview!M753</f>
        <v/>
      </c>
      <c r="I753" s="292" t="str">
        <f>Overview!N753</f>
        <v/>
      </c>
    </row>
    <row r="754">
      <c r="A754" s="12" t="str">
        <f>Overview!A754</f>
        <v/>
      </c>
      <c r="B754" s="12" t="str">
        <f>Overview!B754</f>
        <v/>
      </c>
      <c r="C754" s="12" t="str">
        <f>Overview!C754</f>
        <v/>
      </c>
      <c r="D754" s="12" t="str">
        <f>Overview!D754</f>
        <v/>
      </c>
      <c r="E754" s="12" t="str">
        <f>Overview!E754</f>
        <v/>
      </c>
      <c r="F754" s="12" t="str">
        <f>Overview!K754</f>
        <v/>
      </c>
      <c r="G754" s="12" t="str">
        <f>Overview!L754</f>
        <v/>
      </c>
      <c r="H754" s="12" t="str">
        <f>Overview!M754</f>
        <v/>
      </c>
      <c r="I754" s="292" t="str">
        <f>Overview!N754</f>
        <v/>
      </c>
    </row>
    <row r="755">
      <c r="A755" s="12" t="str">
        <f>Overview!A755</f>
        <v/>
      </c>
      <c r="B755" s="12" t="str">
        <f>Overview!B755</f>
        <v/>
      </c>
      <c r="C755" s="12" t="str">
        <f>Overview!C755</f>
        <v/>
      </c>
      <c r="D755" s="12" t="str">
        <f>Overview!D755</f>
        <v/>
      </c>
      <c r="E755" s="12" t="str">
        <f>Overview!E755</f>
        <v/>
      </c>
      <c r="F755" s="12" t="str">
        <f>Overview!K755</f>
        <v/>
      </c>
      <c r="G755" s="12" t="str">
        <f>Overview!L755</f>
        <v/>
      </c>
      <c r="H755" s="12" t="str">
        <f>Overview!M755</f>
        <v/>
      </c>
      <c r="I755" s="292" t="str">
        <f>Overview!N755</f>
        <v/>
      </c>
    </row>
    <row r="756">
      <c r="A756" s="12" t="str">
        <f>Overview!A756</f>
        <v/>
      </c>
      <c r="B756" s="12" t="str">
        <f>Overview!B756</f>
        <v/>
      </c>
      <c r="C756" s="12" t="str">
        <f>Overview!C756</f>
        <v/>
      </c>
      <c r="D756" s="12" t="str">
        <f>Overview!D756</f>
        <v/>
      </c>
      <c r="E756" s="12" t="str">
        <f>Overview!E756</f>
        <v/>
      </c>
      <c r="F756" s="12" t="str">
        <f>Overview!K756</f>
        <v/>
      </c>
      <c r="G756" s="12" t="str">
        <f>Overview!L756</f>
        <v/>
      </c>
      <c r="H756" s="12" t="str">
        <f>Overview!M756</f>
        <v/>
      </c>
      <c r="I756" s="292" t="str">
        <f>Overview!N756</f>
        <v/>
      </c>
    </row>
    <row r="757">
      <c r="A757" s="12" t="str">
        <f>Overview!A757</f>
        <v/>
      </c>
      <c r="B757" s="12" t="str">
        <f>Overview!B757</f>
        <v/>
      </c>
      <c r="C757" s="12" t="str">
        <f>Overview!C757</f>
        <v/>
      </c>
      <c r="D757" s="12" t="str">
        <f>Overview!D757</f>
        <v/>
      </c>
      <c r="E757" s="12" t="str">
        <f>Overview!E757</f>
        <v/>
      </c>
      <c r="F757" s="12" t="str">
        <f>Overview!K757</f>
        <v/>
      </c>
      <c r="G757" s="12" t="str">
        <f>Overview!L757</f>
        <v/>
      </c>
      <c r="H757" s="12" t="str">
        <f>Overview!M757</f>
        <v/>
      </c>
      <c r="I757" s="292" t="str">
        <f>Overview!N757</f>
        <v/>
      </c>
    </row>
    <row r="758">
      <c r="A758" s="12" t="str">
        <f>Overview!A758</f>
        <v/>
      </c>
      <c r="B758" s="12" t="str">
        <f>Overview!B758</f>
        <v/>
      </c>
      <c r="C758" s="12" t="str">
        <f>Overview!C758</f>
        <v/>
      </c>
      <c r="D758" s="12" t="str">
        <f>Overview!D758</f>
        <v/>
      </c>
      <c r="E758" s="12" t="str">
        <f>Overview!E758</f>
        <v/>
      </c>
      <c r="F758" s="12" t="str">
        <f>Overview!K758</f>
        <v/>
      </c>
      <c r="G758" s="12" t="str">
        <f>Overview!L758</f>
        <v/>
      </c>
      <c r="H758" s="12" t="str">
        <f>Overview!M758</f>
        <v/>
      </c>
      <c r="I758" s="292" t="str">
        <f>Overview!N758</f>
        <v/>
      </c>
    </row>
    <row r="759">
      <c r="A759" s="12" t="str">
        <f>Overview!A759</f>
        <v/>
      </c>
      <c r="B759" s="12" t="str">
        <f>Overview!B759</f>
        <v/>
      </c>
      <c r="C759" s="12" t="str">
        <f>Overview!C759</f>
        <v/>
      </c>
      <c r="D759" s="12" t="str">
        <f>Overview!D759</f>
        <v/>
      </c>
      <c r="E759" s="12" t="str">
        <f>Overview!E759</f>
        <v/>
      </c>
      <c r="F759" s="12" t="str">
        <f>Overview!K759</f>
        <v/>
      </c>
      <c r="G759" s="12" t="str">
        <f>Overview!L759</f>
        <v/>
      </c>
      <c r="H759" s="12" t="str">
        <f>Overview!M759</f>
        <v/>
      </c>
      <c r="I759" s="292" t="str">
        <f>Overview!N759</f>
        <v/>
      </c>
    </row>
    <row r="760">
      <c r="A760" s="12" t="str">
        <f>Overview!A760</f>
        <v/>
      </c>
      <c r="B760" s="12" t="str">
        <f>Overview!B760</f>
        <v/>
      </c>
      <c r="C760" s="12" t="str">
        <f>Overview!C760</f>
        <v/>
      </c>
      <c r="D760" s="12" t="str">
        <f>Overview!D760</f>
        <v/>
      </c>
      <c r="E760" s="12" t="str">
        <f>Overview!E760</f>
        <v/>
      </c>
      <c r="F760" s="12" t="str">
        <f>Overview!K760</f>
        <v/>
      </c>
      <c r="G760" s="12" t="str">
        <f>Overview!L760</f>
        <v/>
      </c>
      <c r="H760" s="12" t="str">
        <f>Overview!M760</f>
        <v/>
      </c>
      <c r="I760" s="292" t="str">
        <f>Overview!N760</f>
        <v/>
      </c>
    </row>
    <row r="761">
      <c r="A761" s="12" t="str">
        <f>Overview!A761</f>
        <v/>
      </c>
      <c r="B761" s="12" t="str">
        <f>Overview!B761</f>
        <v/>
      </c>
      <c r="C761" s="12" t="str">
        <f>Overview!C761</f>
        <v/>
      </c>
      <c r="D761" s="12" t="str">
        <f>Overview!D761</f>
        <v/>
      </c>
      <c r="E761" s="12" t="str">
        <f>Overview!E761</f>
        <v/>
      </c>
      <c r="F761" s="12" t="str">
        <f>Overview!K761</f>
        <v/>
      </c>
      <c r="G761" s="12" t="str">
        <f>Overview!L761</f>
        <v/>
      </c>
      <c r="H761" s="12" t="str">
        <f>Overview!M761</f>
        <v/>
      </c>
      <c r="I761" s="292" t="str">
        <f>Overview!N761</f>
        <v/>
      </c>
    </row>
    <row r="762">
      <c r="A762" s="12" t="str">
        <f>Overview!A762</f>
        <v/>
      </c>
      <c r="B762" s="12" t="str">
        <f>Overview!B762</f>
        <v/>
      </c>
      <c r="C762" s="12" t="str">
        <f>Overview!C762</f>
        <v/>
      </c>
      <c r="D762" s="12" t="str">
        <f>Overview!D762</f>
        <v/>
      </c>
      <c r="E762" s="12" t="str">
        <f>Overview!E762</f>
        <v/>
      </c>
      <c r="F762" s="12" t="str">
        <f>Overview!K762</f>
        <v/>
      </c>
      <c r="G762" s="12" t="str">
        <f>Overview!L762</f>
        <v/>
      </c>
      <c r="H762" s="12" t="str">
        <f>Overview!M762</f>
        <v/>
      </c>
      <c r="I762" s="292" t="str">
        <f>Overview!N762</f>
        <v/>
      </c>
    </row>
    <row r="763">
      <c r="A763" s="12" t="str">
        <f>Overview!A763</f>
        <v/>
      </c>
      <c r="B763" s="12" t="str">
        <f>Overview!B763</f>
        <v/>
      </c>
      <c r="C763" s="12" t="str">
        <f>Overview!C763</f>
        <v/>
      </c>
      <c r="D763" s="12" t="str">
        <f>Overview!D763</f>
        <v/>
      </c>
      <c r="E763" s="12" t="str">
        <f>Overview!E763</f>
        <v/>
      </c>
      <c r="F763" s="12" t="str">
        <f>Overview!K763</f>
        <v/>
      </c>
      <c r="G763" s="12" t="str">
        <f>Overview!L763</f>
        <v/>
      </c>
      <c r="H763" s="12" t="str">
        <f>Overview!M763</f>
        <v/>
      </c>
      <c r="I763" s="292" t="str">
        <f>Overview!N763</f>
        <v/>
      </c>
    </row>
    <row r="764">
      <c r="A764" s="12" t="str">
        <f>Overview!A764</f>
        <v/>
      </c>
      <c r="B764" s="12" t="str">
        <f>Overview!B764</f>
        <v/>
      </c>
      <c r="C764" s="12" t="str">
        <f>Overview!C764</f>
        <v/>
      </c>
      <c r="D764" s="12" t="str">
        <f>Overview!D764</f>
        <v/>
      </c>
      <c r="E764" s="12" t="str">
        <f>Overview!E764</f>
        <v/>
      </c>
      <c r="F764" s="12" t="str">
        <f>Overview!K764</f>
        <v/>
      </c>
      <c r="G764" s="12" t="str">
        <f>Overview!L764</f>
        <v/>
      </c>
      <c r="H764" s="12" t="str">
        <f>Overview!M764</f>
        <v/>
      </c>
      <c r="I764" s="292" t="str">
        <f>Overview!N764</f>
        <v/>
      </c>
    </row>
    <row r="765">
      <c r="A765" s="12" t="str">
        <f>Overview!A765</f>
        <v/>
      </c>
      <c r="B765" s="12" t="str">
        <f>Overview!B765</f>
        <v/>
      </c>
      <c r="C765" s="12" t="str">
        <f>Overview!C765</f>
        <v/>
      </c>
      <c r="D765" s="12" t="str">
        <f>Overview!D765</f>
        <v/>
      </c>
      <c r="E765" s="12" t="str">
        <f>Overview!E765</f>
        <v/>
      </c>
      <c r="F765" s="12" t="str">
        <f>Overview!K765</f>
        <v/>
      </c>
      <c r="G765" s="12" t="str">
        <f>Overview!L765</f>
        <v/>
      </c>
      <c r="H765" s="12" t="str">
        <f>Overview!M765</f>
        <v/>
      </c>
      <c r="I765" s="292" t="str">
        <f>Overview!N765</f>
        <v/>
      </c>
    </row>
    <row r="766">
      <c r="A766" s="12" t="str">
        <f>Overview!A766</f>
        <v/>
      </c>
      <c r="B766" s="12" t="str">
        <f>Overview!B766</f>
        <v/>
      </c>
      <c r="C766" s="12" t="str">
        <f>Overview!C766</f>
        <v/>
      </c>
      <c r="D766" s="12" t="str">
        <f>Overview!D766</f>
        <v/>
      </c>
      <c r="E766" s="12" t="str">
        <f>Overview!E766</f>
        <v/>
      </c>
      <c r="F766" s="12" t="str">
        <f>Overview!K766</f>
        <v/>
      </c>
      <c r="G766" s="12" t="str">
        <f>Overview!L766</f>
        <v/>
      </c>
      <c r="H766" s="12" t="str">
        <f>Overview!M766</f>
        <v/>
      </c>
      <c r="I766" s="292" t="str">
        <f>Overview!N766</f>
        <v/>
      </c>
    </row>
    <row r="767">
      <c r="A767" s="12" t="str">
        <f>Overview!A767</f>
        <v/>
      </c>
      <c r="B767" s="12" t="str">
        <f>Overview!B767</f>
        <v/>
      </c>
      <c r="C767" s="12" t="str">
        <f>Overview!C767</f>
        <v/>
      </c>
      <c r="D767" s="12" t="str">
        <f>Overview!D767</f>
        <v/>
      </c>
      <c r="E767" s="12" t="str">
        <f>Overview!E767</f>
        <v/>
      </c>
      <c r="F767" s="12" t="str">
        <f>Overview!K767</f>
        <v/>
      </c>
      <c r="G767" s="12" t="str">
        <f>Overview!L767</f>
        <v/>
      </c>
      <c r="H767" s="12" t="str">
        <f>Overview!M767</f>
        <v/>
      </c>
      <c r="I767" s="292" t="str">
        <f>Overview!N767</f>
        <v/>
      </c>
    </row>
    <row r="768">
      <c r="A768" s="12" t="str">
        <f>Overview!A768</f>
        <v/>
      </c>
      <c r="B768" s="12" t="str">
        <f>Overview!B768</f>
        <v/>
      </c>
      <c r="C768" s="12" t="str">
        <f>Overview!C768</f>
        <v/>
      </c>
      <c r="D768" s="12" t="str">
        <f>Overview!D768</f>
        <v/>
      </c>
      <c r="E768" s="12" t="str">
        <f>Overview!E768</f>
        <v/>
      </c>
      <c r="F768" s="12" t="str">
        <f>Overview!K768</f>
        <v/>
      </c>
      <c r="G768" s="12" t="str">
        <f>Overview!L768</f>
        <v/>
      </c>
      <c r="H768" s="12" t="str">
        <f>Overview!M768</f>
        <v/>
      </c>
      <c r="I768" s="292" t="str">
        <f>Overview!N768</f>
        <v/>
      </c>
    </row>
    <row r="769">
      <c r="A769" s="12" t="str">
        <f>Overview!A769</f>
        <v/>
      </c>
      <c r="B769" s="12" t="str">
        <f>Overview!B769</f>
        <v/>
      </c>
      <c r="C769" s="12" t="str">
        <f>Overview!C769</f>
        <v/>
      </c>
      <c r="D769" s="12" t="str">
        <f>Overview!D769</f>
        <v/>
      </c>
      <c r="E769" s="12" t="str">
        <f>Overview!E769</f>
        <v/>
      </c>
      <c r="F769" s="12" t="str">
        <f>Overview!K769</f>
        <v/>
      </c>
      <c r="G769" s="12" t="str">
        <f>Overview!L769</f>
        <v/>
      </c>
      <c r="H769" s="12" t="str">
        <f>Overview!M769</f>
        <v/>
      </c>
      <c r="I769" s="292" t="str">
        <f>Overview!N769</f>
        <v/>
      </c>
    </row>
    <row r="770">
      <c r="A770" s="12" t="str">
        <f>Overview!A770</f>
        <v/>
      </c>
      <c r="B770" s="12" t="str">
        <f>Overview!B770</f>
        <v/>
      </c>
      <c r="C770" s="12" t="str">
        <f>Overview!C770</f>
        <v/>
      </c>
      <c r="D770" s="12" t="str">
        <f>Overview!D770</f>
        <v/>
      </c>
      <c r="E770" s="12" t="str">
        <f>Overview!E770</f>
        <v/>
      </c>
      <c r="F770" s="12" t="str">
        <f>Overview!K770</f>
        <v/>
      </c>
      <c r="G770" s="12" t="str">
        <f>Overview!L770</f>
        <v/>
      </c>
      <c r="H770" s="12" t="str">
        <f>Overview!M770</f>
        <v/>
      </c>
      <c r="I770" s="292" t="str">
        <f>Overview!N770</f>
        <v/>
      </c>
    </row>
    <row r="771">
      <c r="A771" s="12" t="str">
        <f>Overview!A771</f>
        <v/>
      </c>
      <c r="B771" s="12" t="str">
        <f>Overview!B771</f>
        <v/>
      </c>
      <c r="C771" s="12" t="str">
        <f>Overview!C771</f>
        <v/>
      </c>
      <c r="D771" s="12" t="str">
        <f>Overview!D771</f>
        <v/>
      </c>
      <c r="E771" s="12" t="str">
        <f>Overview!E771</f>
        <v/>
      </c>
      <c r="F771" s="12" t="str">
        <f>Overview!K771</f>
        <v/>
      </c>
      <c r="G771" s="12" t="str">
        <f>Overview!L771</f>
        <v/>
      </c>
      <c r="H771" s="12" t="str">
        <f>Overview!M771</f>
        <v/>
      </c>
      <c r="I771" s="292" t="str">
        <f>Overview!N771</f>
        <v/>
      </c>
    </row>
    <row r="772">
      <c r="A772" s="12" t="str">
        <f>Overview!A772</f>
        <v/>
      </c>
      <c r="B772" s="12" t="str">
        <f>Overview!B772</f>
        <v/>
      </c>
      <c r="C772" s="12" t="str">
        <f>Overview!C772</f>
        <v/>
      </c>
      <c r="D772" s="12" t="str">
        <f>Overview!D772</f>
        <v/>
      </c>
      <c r="E772" s="12" t="str">
        <f>Overview!E772</f>
        <v/>
      </c>
      <c r="F772" s="12" t="str">
        <f>Overview!K772</f>
        <v/>
      </c>
      <c r="G772" s="12" t="str">
        <f>Overview!L772</f>
        <v/>
      </c>
      <c r="H772" s="12" t="str">
        <f>Overview!M772</f>
        <v/>
      </c>
      <c r="I772" s="292" t="str">
        <f>Overview!N772</f>
        <v/>
      </c>
    </row>
    <row r="773">
      <c r="A773" s="12" t="str">
        <f>Overview!A773</f>
        <v/>
      </c>
      <c r="B773" s="12" t="str">
        <f>Overview!B773</f>
        <v/>
      </c>
      <c r="C773" s="12" t="str">
        <f>Overview!C773</f>
        <v/>
      </c>
      <c r="D773" s="12" t="str">
        <f>Overview!D773</f>
        <v/>
      </c>
      <c r="E773" s="12" t="str">
        <f>Overview!E773</f>
        <v/>
      </c>
      <c r="F773" s="12" t="str">
        <f>Overview!K773</f>
        <v/>
      </c>
      <c r="G773" s="12" t="str">
        <f>Overview!L773</f>
        <v/>
      </c>
      <c r="H773" s="12" t="str">
        <f>Overview!M773</f>
        <v/>
      </c>
      <c r="I773" s="292" t="str">
        <f>Overview!N773</f>
        <v/>
      </c>
    </row>
    <row r="774">
      <c r="A774" s="12" t="str">
        <f>Overview!A774</f>
        <v/>
      </c>
      <c r="B774" s="12" t="str">
        <f>Overview!B774</f>
        <v/>
      </c>
      <c r="C774" s="12" t="str">
        <f>Overview!C774</f>
        <v/>
      </c>
      <c r="D774" s="12" t="str">
        <f>Overview!D774</f>
        <v/>
      </c>
      <c r="E774" s="12" t="str">
        <f>Overview!E774</f>
        <v/>
      </c>
      <c r="F774" s="12" t="str">
        <f>Overview!K774</f>
        <v/>
      </c>
      <c r="G774" s="12" t="str">
        <f>Overview!L774</f>
        <v/>
      </c>
      <c r="H774" s="12" t="str">
        <f>Overview!M774</f>
        <v/>
      </c>
      <c r="I774" s="292" t="str">
        <f>Overview!N774</f>
        <v/>
      </c>
    </row>
    <row r="775">
      <c r="A775" s="12" t="str">
        <f>Overview!A775</f>
        <v/>
      </c>
      <c r="B775" s="12" t="str">
        <f>Overview!B775</f>
        <v/>
      </c>
      <c r="C775" s="12" t="str">
        <f>Overview!C775</f>
        <v/>
      </c>
      <c r="D775" s="12" t="str">
        <f>Overview!D775</f>
        <v/>
      </c>
      <c r="E775" s="12" t="str">
        <f>Overview!E775</f>
        <v/>
      </c>
      <c r="F775" s="12" t="str">
        <f>Overview!K775</f>
        <v/>
      </c>
      <c r="G775" s="12" t="str">
        <f>Overview!L775</f>
        <v/>
      </c>
      <c r="H775" s="12" t="str">
        <f>Overview!M775</f>
        <v/>
      </c>
      <c r="I775" s="292" t="str">
        <f>Overview!N775</f>
        <v/>
      </c>
    </row>
    <row r="776">
      <c r="A776" s="12" t="str">
        <f>Overview!A776</f>
        <v/>
      </c>
      <c r="B776" s="12" t="str">
        <f>Overview!B776</f>
        <v/>
      </c>
      <c r="C776" s="12" t="str">
        <f>Overview!C776</f>
        <v/>
      </c>
      <c r="D776" s="12" t="str">
        <f>Overview!D776</f>
        <v/>
      </c>
      <c r="E776" s="12" t="str">
        <f>Overview!E776</f>
        <v/>
      </c>
      <c r="F776" s="12" t="str">
        <f>Overview!K776</f>
        <v/>
      </c>
      <c r="G776" s="12" t="str">
        <f>Overview!L776</f>
        <v/>
      </c>
      <c r="H776" s="12" t="str">
        <f>Overview!M776</f>
        <v/>
      </c>
      <c r="I776" s="292" t="str">
        <f>Overview!N776</f>
        <v/>
      </c>
    </row>
    <row r="777">
      <c r="A777" s="12" t="str">
        <f>Overview!A777</f>
        <v/>
      </c>
      <c r="B777" s="12" t="str">
        <f>Overview!B777</f>
        <v/>
      </c>
      <c r="C777" s="12" t="str">
        <f>Overview!C777</f>
        <v/>
      </c>
      <c r="D777" s="12" t="str">
        <f>Overview!D777</f>
        <v/>
      </c>
      <c r="E777" s="12" t="str">
        <f>Overview!E777</f>
        <v/>
      </c>
      <c r="F777" s="12" t="str">
        <f>Overview!K777</f>
        <v/>
      </c>
      <c r="G777" s="12" t="str">
        <f>Overview!L777</f>
        <v/>
      </c>
      <c r="H777" s="12" t="str">
        <f>Overview!M777</f>
        <v/>
      </c>
      <c r="I777" s="292" t="str">
        <f>Overview!N777</f>
        <v/>
      </c>
    </row>
    <row r="778">
      <c r="A778" s="12" t="str">
        <f>Overview!A778</f>
        <v/>
      </c>
      <c r="B778" s="12" t="str">
        <f>Overview!B778</f>
        <v/>
      </c>
      <c r="C778" s="12" t="str">
        <f>Overview!C778</f>
        <v/>
      </c>
      <c r="D778" s="12" t="str">
        <f>Overview!D778</f>
        <v/>
      </c>
      <c r="E778" s="12" t="str">
        <f>Overview!E778</f>
        <v/>
      </c>
      <c r="F778" s="12" t="str">
        <f>Overview!K778</f>
        <v/>
      </c>
      <c r="G778" s="12" t="str">
        <f>Overview!L778</f>
        <v/>
      </c>
      <c r="H778" s="12" t="str">
        <f>Overview!M778</f>
        <v/>
      </c>
      <c r="I778" s="292" t="str">
        <f>Overview!N778</f>
        <v/>
      </c>
    </row>
    <row r="779">
      <c r="A779" s="12" t="str">
        <f>Overview!A779</f>
        <v/>
      </c>
      <c r="B779" s="12" t="str">
        <f>Overview!B779</f>
        <v/>
      </c>
      <c r="C779" s="12" t="str">
        <f>Overview!C779</f>
        <v/>
      </c>
      <c r="D779" s="12" t="str">
        <f>Overview!D779</f>
        <v/>
      </c>
      <c r="E779" s="12" t="str">
        <f>Overview!E779</f>
        <v/>
      </c>
      <c r="F779" s="12" t="str">
        <f>Overview!K779</f>
        <v/>
      </c>
      <c r="G779" s="12" t="str">
        <f>Overview!L779</f>
        <v/>
      </c>
      <c r="H779" s="12" t="str">
        <f>Overview!M779</f>
        <v/>
      </c>
      <c r="I779" s="292" t="str">
        <f>Overview!N779</f>
        <v/>
      </c>
    </row>
    <row r="780">
      <c r="A780" s="12" t="str">
        <f>Overview!A780</f>
        <v/>
      </c>
      <c r="B780" s="12" t="str">
        <f>Overview!B780</f>
        <v/>
      </c>
      <c r="C780" s="12" t="str">
        <f>Overview!C780</f>
        <v/>
      </c>
      <c r="D780" s="12" t="str">
        <f>Overview!D780</f>
        <v/>
      </c>
      <c r="E780" s="12" t="str">
        <f>Overview!E780</f>
        <v/>
      </c>
      <c r="F780" s="12" t="str">
        <f>Overview!K780</f>
        <v/>
      </c>
      <c r="G780" s="12" t="str">
        <f>Overview!L780</f>
        <v/>
      </c>
      <c r="H780" s="12" t="str">
        <f>Overview!M780</f>
        <v/>
      </c>
      <c r="I780" s="292" t="str">
        <f>Overview!N780</f>
        <v/>
      </c>
    </row>
    <row r="781">
      <c r="A781" s="12" t="str">
        <f>Overview!A781</f>
        <v/>
      </c>
      <c r="B781" s="12" t="str">
        <f>Overview!B781</f>
        <v/>
      </c>
      <c r="C781" s="12" t="str">
        <f>Overview!C781</f>
        <v/>
      </c>
      <c r="D781" s="12" t="str">
        <f>Overview!D781</f>
        <v/>
      </c>
      <c r="E781" s="12" t="str">
        <f>Overview!E781</f>
        <v/>
      </c>
      <c r="F781" s="12" t="str">
        <f>Overview!K781</f>
        <v/>
      </c>
      <c r="G781" s="12" t="str">
        <f>Overview!L781</f>
        <v/>
      </c>
      <c r="H781" s="12" t="str">
        <f>Overview!M781</f>
        <v/>
      </c>
      <c r="I781" s="292" t="str">
        <f>Overview!N781</f>
        <v/>
      </c>
    </row>
    <row r="782">
      <c r="A782" s="12" t="str">
        <f>Overview!A782</f>
        <v/>
      </c>
      <c r="B782" s="12" t="str">
        <f>Overview!B782</f>
        <v/>
      </c>
      <c r="C782" s="12" t="str">
        <f>Overview!C782</f>
        <v/>
      </c>
      <c r="D782" s="12" t="str">
        <f>Overview!D782</f>
        <v/>
      </c>
      <c r="E782" s="12" t="str">
        <f>Overview!E782</f>
        <v/>
      </c>
      <c r="F782" s="12" t="str">
        <f>Overview!K782</f>
        <v/>
      </c>
      <c r="G782" s="12" t="str">
        <f>Overview!L782</f>
        <v/>
      </c>
      <c r="H782" s="12" t="str">
        <f>Overview!M782</f>
        <v/>
      </c>
      <c r="I782" s="292" t="str">
        <f>Overview!N782</f>
        <v/>
      </c>
    </row>
    <row r="783">
      <c r="A783" s="12" t="str">
        <f>Overview!A783</f>
        <v/>
      </c>
      <c r="B783" s="12" t="str">
        <f>Overview!B783</f>
        <v/>
      </c>
      <c r="C783" s="12" t="str">
        <f>Overview!C783</f>
        <v/>
      </c>
      <c r="D783" s="12" t="str">
        <f>Overview!D783</f>
        <v/>
      </c>
      <c r="E783" s="12" t="str">
        <f>Overview!E783</f>
        <v/>
      </c>
      <c r="F783" s="12" t="str">
        <f>Overview!K783</f>
        <v/>
      </c>
      <c r="G783" s="12" t="str">
        <f>Overview!L783</f>
        <v/>
      </c>
      <c r="H783" s="12" t="str">
        <f>Overview!M783</f>
        <v/>
      </c>
      <c r="I783" s="292" t="str">
        <f>Overview!N783</f>
        <v/>
      </c>
    </row>
    <row r="784">
      <c r="A784" s="12" t="str">
        <f>Overview!A784</f>
        <v/>
      </c>
      <c r="B784" s="12" t="str">
        <f>Overview!B784</f>
        <v/>
      </c>
      <c r="C784" s="12" t="str">
        <f>Overview!C784</f>
        <v/>
      </c>
      <c r="D784" s="12" t="str">
        <f>Overview!D784</f>
        <v/>
      </c>
      <c r="E784" s="12" t="str">
        <f>Overview!E784</f>
        <v/>
      </c>
      <c r="F784" s="12" t="str">
        <f>Overview!K784</f>
        <v/>
      </c>
      <c r="G784" s="12" t="str">
        <f>Overview!L784</f>
        <v/>
      </c>
      <c r="H784" s="12" t="str">
        <f>Overview!M784</f>
        <v/>
      </c>
      <c r="I784" s="292" t="str">
        <f>Overview!N784</f>
        <v/>
      </c>
    </row>
    <row r="785">
      <c r="A785" s="12" t="str">
        <f>Overview!A785</f>
        <v/>
      </c>
      <c r="B785" s="12" t="str">
        <f>Overview!B785</f>
        <v/>
      </c>
      <c r="C785" s="12" t="str">
        <f>Overview!C785</f>
        <v/>
      </c>
      <c r="D785" s="12" t="str">
        <f>Overview!D785</f>
        <v/>
      </c>
      <c r="E785" s="12" t="str">
        <f>Overview!E785</f>
        <v/>
      </c>
      <c r="F785" s="12" t="str">
        <f>Overview!K785</f>
        <v/>
      </c>
      <c r="G785" s="12" t="str">
        <f>Overview!L785</f>
        <v/>
      </c>
      <c r="H785" s="12" t="str">
        <f>Overview!M785</f>
        <v/>
      </c>
      <c r="I785" s="292" t="str">
        <f>Overview!N785</f>
        <v/>
      </c>
    </row>
    <row r="786">
      <c r="A786" s="12" t="str">
        <f>Overview!A786</f>
        <v/>
      </c>
      <c r="B786" s="12" t="str">
        <f>Overview!B786</f>
        <v/>
      </c>
      <c r="C786" s="12" t="str">
        <f>Overview!C786</f>
        <v/>
      </c>
      <c r="D786" s="12" t="str">
        <f>Overview!D786</f>
        <v/>
      </c>
      <c r="E786" s="12" t="str">
        <f>Overview!E786</f>
        <v/>
      </c>
      <c r="F786" s="12" t="str">
        <f>Overview!K786</f>
        <v/>
      </c>
      <c r="G786" s="12" t="str">
        <f>Overview!L786</f>
        <v/>
      </c>
      <c r="H786" s="12" t="str">
        <f>Overview!M786</f>
        <v/>
      </c>
      <c r="I786" s="292" t="str">
        <f>Overview!N786</f>
        <v/>
      </c>
    </row>
    <row r="787">
      <c r="A787" s="12" t="str">
        <f>Overview!A787</f>
        <v/>
      </c>
      <c r="B787" s="12" t="str">
        <f>Overview!B787</f>
        <v/>
      </c>
      <c r="C787" s="12" t="str">
        <f>Overview!C787</f>
        <v/>
      </c>
      <c r="D787" s="12" t="str">
        <f>Overview!D787</f>
        <v/>
      </c>
      <c r="E787" s="12" t="str">
        <f>Overview!E787</f>
        <v/>
      </c>
      <c r="F787" s="12" t="str">
        <f>Overview!K787</f>
        <v/>
      </c>
      <c r="G787" s="12" t="str">
        <f>Overview!L787</f>
        <v/>
      </c>
      <c r="H787" s="12" t="str">
        <f>Overview!M787</f>
        <v/>
      </c>
      <c r="I787" s="292" t="str">
        <f>Overview!N787</f>
        <v/>
      </c>
    </row>
    <row r="788">
      <c r="A788" s="12" t="str">
        <f>Overview!A788</f>
        <v/>
      </c>
      <c r="B788" s="12" t="str">
        <f>Overview!B788</f>
        <v/>
      </c>
      <c r="C788" s="12" t="str">
        <f>Overview!C788</f>
        <v/>
      </c>
      <c r="D788" s="12" t="str">
        <f>Overview!D788</f>
        <v/>
      </c>
      <c r="E788" s="12" t="str">
        <f>Overview!E788</f>
        <v/>
      </c>
      <c r="F788" s="12" t="str">
        <f>Overview!K788</f>
        <v/>
      </c>
      <c r="G788" s="12" t="str">
        <f>Overview!L788</f>
        <v/>
      </c>
      <c r="H788" s="12" t="str">
        <f>Overview!M788</f>
        <v/>
      </c>
      <c r="I788" s="292" t="str">
        <f>Overview!N788</f>
        <v/>
      </c>
    </row>
    <row r="789">
      <c r="A789" s="12" t="str">
        <f>Overview!A789</f>
        <v/>
      </c>
      <c r="B789" s="12" t="str">
        <f>Overview!B789</f>
        <v/>
      </c>
      <c r="C789" s="12" t="str">
        <f>Overview!C789</f>
        <v/>
      </c>
      <c r="D789" s="12" t="str">
        <f>Overview!D789</f>
        <v/>
      </c>
      <c r="E789" s="12" t="str">
        <f>Overview!E789</f>
        <v/>
      </c>
      <c r="F789" s="12" t="str">
        <f>Overview!K789</f>
        <v/>
      </c>
      <c r="G789" s="12" t="str">
        <f>Overview!L789</f>
        <v/>
      </c>
      <c r="H789" s="12" t="str">
        <f>Overview!M789</f>
        <v/>
      </c>
      <c r="I789" s="292" t="str">
        <f>Overview!N789</f>
        <v/>
      </c>
    </row>
    <row r="790">
      <c r="A790" s="12" t="str">
        <f>Overview!A790</f>
        <v/>
      </c>
      <c r="B790" s="12" t="str">
        <f>Overview!B790</f>
        <v/>
      </c>
      <c r="C790" s="12" t="str">
        <f>Overview!C790</f>
        <v/>
      </c>
      <c r="D790" s="12" t="str">
        <f>Overview!D790</f>
        <v/>
      </c>
      <c r="E790" s="12" t="str">
        <f>Overview!E790</f>
        <v/>
      </c>
      <c r="F790" s="12" t="str">
        <f>Overview!K790</f>
        <v/>
      </c>
      <c r="G790" s="12" t="str">
        <f>Overview!L790</f>
        <v/>
      </c>
      <c r="H790" s="12" t="str">
        <f>Overview!M790</f>
        <v/>
      </c>
      <c r="I790" s="292" t="str">
        <f>Overview!N790</f>
        <v/>
      </c>
    </row>
    <row r="791">
      <c r="A791" s="12" t="str">
        <f>Overview!A791</f>
        <v/>
      </c>
      <c r="B791" s="12" t="str">
        <f>Overview!B791</f>
        <v/>
      </c>
      <c r="C791" s="12" t="str">
        <f>Overview!C791</f>
        <v/>
      </c>
      <c r="D791" s="12" t="str">
        <f>Overview!D791</f>
        <v/>
      </c>
      <c r="E791" s="12" t="str">
        <f>Overview!E791</f>
        <v/>
      </c>
      <c r="F791" s="12" t="str">
        <f>Overview!K791</f>
        <v/>
      </c>
      <c r="G791" s="12" t="str">
        <f>Overview!L791</f>
        <v/>
      </c>
      <c r="H791" s="12" t="str">
        <f>Overview!M791</f>
        <v/>
      </c>
      <c r="I791" s="292" t="str">
        <f>Overview!N791</f>
        <v/>
      </c>
    </row>
    <row r="792">
      <c r="A792" s="12" t="str">
        <f>Overview!A792</f>
        <v/>
      </c>
      <c r="B792" s="12" t="str">
        <f>Overview!B792</f>
        <v/>
      </c>
      <c r="C792" s="12" t="str">
        <f>Overview!C792</f>
        <v/>
      </c>
      <c r="D792" s="12" t="str">
        <f>Overview!D792</f>
        <v/>
      </c>
      <c r="E792" s="12" t="str">
        <f>Overview!E792</f>
        <v/>
      </c>
      <c r="F792" s="12" t="str">
        <f>Overview!K792</f>
        <v/>
      </c>
      <c r="G792" s="12" t="str">
        <f>Overview!L792</f>
        <v/>
      </c>
      <c r="H792" s="12" t="str">
        <f>Overview!M792</f>
        <v/>
      </c>
      <c r="I792" s="292" t="str">
        <f>Overview!N792</f>
        <v/>
      </c>
    </row>
    <row r="793">
      <c r="A793" s="12" t="str">
        <f>Overview!A793</f>
        <v/>
      </c>
      <c r="B793" s="12" t="str">
        <f>Overview!B793</f>
        <v/>
      </c>
      <c r="C793" s="12" t="str">
        <f>Overview!C793</f>
        <v/>
      </c>
      <c r="D793" s="12" t="str">
        <f>Overview!D793</f>
        <v/>
      </c>
      <c r="E793" s="12" t="str">
        <f>Overview!E793</f>
        <v/>
      </c>
      <c r="F793" s="12" t="str">
        <f>Overview!K793</f>
        <v/>
      </c>
      <c r="G793" s="12" t="str">
        <f>Overview!L793</f>
        <v/>
      </c>
      <c r="H793" s="12" t="str">
        <f>Overview!M793</f>
        <v/>
      </c>
      <c r="I793" s="292" t="str">
        <f>Overview!N793</f>
        <v/>
      </c>
    </row>
    <row r="794">
      <c r="A794" s="12" t="str">
        <f>Overview!A794</f>
        <v/>
      </c>
      <c r="B794" s="12" t="str">
        <f>Overview!B794</f>
        <v/>
      </c>
      <c r="C794" s="12" t="str">
        <f>Overview!C794</f>
        <v/>
      </c>
      <c r="D794" s="12" t="str">
        <f>Overview!D794</f>
        <v/>
      </c>
      <c r="E794" s="12" t="str">
        <f>Overview!E794</f>
        <v/>
      </c>
      <c r="F794" s="12" t="str">
        <f>Overview!K794</f>
        <v/>
      </c>
      <c r="G794" s="12" t="str">
        <f>Overview!L794</f>
        <v/>
      </c>
      <c r="H794" s="12" t="str">
        <f>Overview!M794</f>
        <v/>
      </c>
      <c r="I794" s="292" t="str">
        <f>Overview!N794</f>
        <v/>
      </c>
    </row>
    <row r="795">
      <c r="A795" s="12" t="str">
        <f>Overview!A795</f>
        <v/>
      </c>
      <c r="B795" s="12" t="str">
        <f>Overview!B795</f>
        <v/>
      </c>
      <c r="C795" s="12" t="str">
        <f>Overview!C795</f>
        <v/>
      </c>
      <c r="D795" s="12" t="str">
        <f>Overview!D795</f>
        <v/>
      </c>
      <c r="E795" s="12" t="str">
        <f>Overview!E795</f>
        <v/>
      </c>
      <c r="F795" s="12" t="str">
        <f>Overview!K795</f>
        <v/>
      </c>
      <c r="G795" s="12" t="str">
        <f>Overview!L795</f>
        <v/>
      </c>
      <c r="H795" s="12" t="str">
        <f>Overview!M795</f>
        <v/>
      </c>
      <c r="I795" s="292" t="str">
        <f>Overview!N795</f>
        <v/>
      </c>
    </row>
    <row r="796">
      <c r="A796" s="12" t="str">
        <f>Overview!A796</f>
        <v/>
      </c>
      <c r="B796" s="12" t="str">
        <f>Overview!B796</f>
        <v/>
      </c>
      <c r="C796" s="12" t="str">
        <f>Overview!C796</f>
        <v/>
      </c>
      <c r="D796" s="12" t="str">
        <f>Overview!D796</f>
        <v/>
      </c>
      <c r="E796" s="12" t="str">
        <f>Overview!E796</f>
        <v/>
      </c>
      <c r="F796" s="12" t="str">
        <f>Overview!K796</f>
        <v/>
      </c>
      <c r="G796" s="12" t="str">
        <f>Overview!L796</f>
        <v/>
      </c>
      <c r="H796" s="12" t="str">
        <f>Overview!M796</f>
        <v/>
      </c>
      <c r="I796" s="292" t="str">
        <f>Overview!N796</f>
        <v/>
      </c>
    </row>
    <row r="797">
      <c r="A797" s="12" t="str">
        <f>Overview!A797</f>
        <v/>
      </c>
      <c r="B797" s="12" t="str">
        <f>Overview!B797</f>
        <v/>
      </c>
      <c r="C797" s="12" t="str">
        <f>Overview!C797</f>
        <v/>
      </c>
      <c r="D797" s="12" t="str">
        <f>Overview!D797</f>
        <v/>
      </c>
      <c r="E797" s="12" t="str">
        <f>Overview!E797</f>
        <v/>
      </c>
      <c r="F797" s="12" t="str">
        <f>Overview!K797</f>
        <v/>
      </c>
      <c r="G797" s="12" t="str">
        <f>Overview!L797</f>
        <v/>
      </c>
      <c r="H797" s="12" t="str">
        <f>Overview!M797</f>
        <v/>
      </c>
      <c r="I797" s="292" t="str">
        <f>Overview!N797</f>
        <v/>
      </c>
    </row>
    <row r="798">
      <c r="A798" s="12" t="str">
        <f>Overview!A798</f>
        <v/>
      </c>
      <c r="B798" s="12" t="str">
        <f>Overview!B798</f>
        <v/>
      </c>
      <c r="C798" s="12" t="str">
        <f>Overview!C798</f>
        <v/>
      </c>
      <c r="D798" s="12" t="str">
        <f>Overview!D798</f>
        <v/>
      </c>
      <c r="E798" s="12" t="str">
        <f>Overview!E798</f>
        <v/>
      </c>
      <c r="F798" s="12" t="str">
        <f>Overview!K798</f>
        <v/>
      </c>
      <c r="G798" s="12" t="str">
        <f>Overview!L798</f>
        <v/>
      </c>
      <c r="H798" s="12" t="str">
        <f>Overview!M798</f>
        <v/>
      </c>
      <c r="I798" s="292" t="str">
        <f>Overview!N798</f>
        <v/>
      </c>
    </row>
    <row r="799">
      <c r="A799" s="12" t="str">
        <f>Overview!A799</f>
        <v/>
      </c>
      <c r="B799" s="12" t="str">
        <f>Overview!B799</f>
        <v/>
      </c>
      <c r="C799" s="12" t="str">
        <f>Overview!C799</f>
        <v/>
      </c>
      <c r="D799" s="12" t="str">
        <f>Overview!D799</f>
        <v/>
      </c>
      <c r="E799" s="12" t="str">
        <f>Overview!E799</f>
        <v/>
      </c>
      <c r="F799" s="12" t="str">
        <f>Overview!K799</f>
        <v/>
      </c>
      <c r="G799" s="12" t="str">
        <f>Overview!L799</f>
        <v/>
      </c>
      <c r="H799" s="12" t="str">
        <f>Overview!M799</f>
        <v/>
      </c>
      <c r="I799" s="292" t="str">
        <f>Overview!N799</f>
        <v/>
      </c>
    </row>
    <row r="800">
      <c r="A800" s="12" t="str">
        <f>Overview!A800</f>
        <v/>
      </c>
      <c r="B800" s="12" t="str">
        <f>Overview!B800</f>
        <v/>
      </c>
      <c r="C800" s="12" t="str">
        <f>Overview!C800</f>
        <v/>
      </c>
      <c r="D800" s="12" t="str">
        <f>Overview!D800</f>
        <v/>
      </c>
      <c r="E800" s="12" t="str">
        <f>Overview!E800</f>
        <v/>
      </c>
      <c r="F800" s="12" t="str">
        <f>Overview!K800</f>
        <v/>
      </c>
      <c r="G800" s="12" t="str">
        <f>Overview!L800</f>
        <v/>
      </c>
      <c r="H800" s="12" t="str">
        <f>Overview!M800</f>
        <v/>
      </c>
      <c r="I800" s="292" t="str">
        <f>Overview!N800</f>
        <v/>
      </c>
    </row>
    <row r="801">
      <c r="A801" s="12" t="str">
        <f>Overview!A801</f>
        <v/>
      </c>
      <c r="B801" s="12" t="str">
        <f>Overview!B801</f>
        <v/>
      </c>
      <c r="C801" s="12" t="str">
        <f>Overview!C801</f>
        <v/>
      </c>
      <c r="D801" s="12" t="str">
        <f>Overview!D801</f>
        <v/>
      </c>
      <c r="E801" s="12" t="str">
        <f>Overview!E801</f>
        <v/>
      </c>
      <c r="F801" s="12" t="str">
        <f>Overview!K801</f>
        <v/>
      </c>
      <c r="G801" s="12" t="str">
        <f>Overview!L801</f>
        <v/>
      </c>
      <c r="H801" s="12" t="str">
        <f>Overview!M801</f>
        <v/>
      </c>
      <c r="I801" s="292" t="str">
        <f>Overview!N801</f>
        <v/>
      </c>
    </row>
    <row r="802">
      <c r="A802" s="12" t="str">
        <f>Overview!A802</f>
        <v/>
      </c>
      <c r="B802" s="12" t="str">
        <f>Overview!B802</f>
        <v/>
      </c>
      <c r="C802" s="12" t="str">
        <f>Overview!C802</f>
        <v/>
      </c>
      <c r="D802" s="12" t="str">
        <f>Overview!D802</f>
        <v/>
      </c>
      <c r="E802" s="12" t="str">
        <f>Overview!E802</f>
        <v/>
      </c>
      <c r="F802" s="12" t="str">
        <f>Overview!K802</f>
        <v/>
      </c>
      <c r="G802" s="12" t="str">
        <f>Overview!L802</f>
        <v/>
      </c>
      <c r="H802" s="12" t="str">
        <f>Overview!M802</f>
        <v/>
      </c>
      <c r="I802" s="292" t="str">
        <f>Overview!N802</f>
        <v/>
      </c>
    </row>
    <row r="803">
      <c r="A803" s="12" t="str">
        <f>Overview!A803</f>
        <v/>
      </c>
      <c r="B803" s="12" t="str">
        <f>Overview!B803</f>
        <v/>
      </c>
      <c r="C803" s="12" t="str">
        <f>Overview!C803</f>
        <v/>
      </c>
      <c r="D803" s="12" t="str">
        <f>Overview!D803</f>
        <v/>
      </c>
      <c r="E803" s="12" t="str">
        <f>Overview!E803</f>
        <v/>
      </c>
      <c r="F803" s="12" t="str">
        <f>Overview!K803</f>
        <v/>
      </c>
      <c r="G803" s="12" t="str">
        <f>Overview!L803</f>
        <v/>
      </c>
      <c r="H803" s="12" t="str">
        <f>Overview!M803</f>
        <v/>
      </c>
      <c r="I803" s="292" t="str">
        <f>Overview!N803</f>
        <v/>
      </c>
    </row>
    <row r="804">
      <c r="A804" s="12" t="str">
        <f>Overview!A804</f>
        <v/>
      </c>
      <c r="B804" s="12" t="str">
        <f>Overview!B804</f>
        <v/>
      </c>
      <c r="C804" s="12" t="str">
        <f>Overview!C804</f>
        <v/>
      </c>
      <c r="D804" s="12" t="str">
        <f>Overview!D804</f>
        <v/>
      </c>
      <c r="E804" s="12" t="str">
        <f>Overview!E804</f>
        <v/>
      </c>
      <c r="F804" s="12" t="str">
        <f>Overview!K804</f>
        <v/>
      </c>
      <c r="G804" s="12" t="str">
        <f>Overview!L804</f>
        <v/>
      </c>
      <c r="H804" s="12" t="str">
        <f>Overview!M804</f>
        <v/>
      </c>
      <c r="I804" s="292" t="str">
        <f>Overview!N804</f>
        <v/>
      </c>
    </row>
    <row r="805">
      <c r="A805" s="12" t="str">
        <f>Overview!A805</f>
        <v/>
      </c>
      <c r="B805" s="12" t="str">
        <f>Overview!B805</f>
        <v/>
      </c>
      <c r="C805" s="12" t="str">
        <f>Overview!C805</f>
        <v/>
      </c>
      <c r="D805" s="12" t="str">
        <f>Overview!D805</f>
        <v/>
      </c>
      <c r="E805" s="12" t="str">
        <f>Overview!E805</f>
        <v/>
      </c>
      <c r="F805" s="12" t="str">
        <f>Overview!K805</f>
        <v/>
      </c>
      <c r="G805" s="12" t="str">
        <f>Overview!L805</f>
        <v/>
      </c>
      <c r="H805" s="12" t="str">
        <f>Overview!M805</f>
        <v/>
      </c>
      <c r="I805" s="292" t="str">
        <f>Overview!N805</f>
        <v/>
      </c>
    </row>
    <row r="806">
      <c r="A806" s="12" t="str">
        <f>Overview!A806</f>
        <v/>
      </c>
      <c r="B806" s="12" t="str">
        <f>Overview!B806</f>
        <v/>
      </c>
      <c r="C806" s="12" t="str">
        <f>Overview!C806</f>
        <v/>
      </c>
      <c r="D806" s="12" t="str">
        <f>Overview!D806</f>
        <v/>
      </c>
      <c r="E806" s="12" t="str">
        <f>Overview!E806</f>
        <v/>
      </c>
      <c r="F806" s="12" t="str">
        <f>Overview!K806</f>
        <v/>
      </c>
      <c r="G806" s="12" t="str">
        <f>Overview!L806</f>
        <v/>
      </c>
      <c r="H806" s="12" t="str">
        <f>Overview!M806</f>
        <v/>
      </c>
      <c r="I806" s="292" t="str">
        <f>Overview!N806</f>
        <v/>
      </c>
    </row>
    <row r="807">
      <c r="A807" s="12" t="str">
        <f>Overview!A807</f>
        <v/>
      </c>
      <c r="B807" s="12" t="str">
        <f>Overview!B807</f>
        <v/>
      </c>
      <c r="C807" s="12" t="str">
        <f>Overview!C807</f>
        <v/>
      </c>
      <c r="D807" s="12" t="str">
        <f>Overview!D807</f>
        <v/>
      </c>
      <c r="E807" s="12" t="str">
        <f>Overview!E807</f>
        <v/>
      </c>
      <c r="F807" s="12" t="str">
        <f>Overview!K807</f>
        <v/>
      </c>
      <c r="G807" s="12" t="str">
        <f>Overview!L807</f>
        <v/>
      </c>
      <c r="H807" s="12" t="str">
        <f>Overview!M807</f>
        <v/>
      </c>
      <c r="I807" s="292" t="str">
        <f>Overview!N807</f>
        <v/>
      </c>
    </row>
    <row r="808">
      <c r="A808" s="12" t="str">
        <f>Overview!A808</f>
        <v/>
      </c>
      <c r="B808" s="12" t="str">
        <f>Overview!B808</f>
        <v/>
      </c>
      <c r="C808" s="12" t="str">
        <f>Overview!C808</f>
        <v/>
      </c>
      <c r="D808" s="12" t="str">
        <f>Overview!D808</f>
        <v/>
      </c>
      <c r="E808" s="12" t="str">
        <f>Overview!E808</f>
        <v/>
      </c>
      <c r="F808" s="12" t="str">
        <f>Overview!K808</f>
        <v/>
      </c>
      <c r="G808" s="12" t="str">
        <f>Overview!L808</f>
        <v/>
      </c>
      <c r="H808" s="12" t="str">
        <f>Overview!M808</f>
        <v/>
      </c>
      <c r="I808" s="292" t="str">
        <f>Overview!N808</f>
        <v/>
      </c>
    </row>
    <row r="809">
      <c r="A809" s="12" t="str">
        <f>Overview!A809</f>
        <v/>
      </c>
      <c r="B809" s="12" t="str">
        <f>Overview!B809</f>
        <v/>
      </c>
      <c r="C809" s="12" t="str">
        <f>Overview!C809</f>
        <v/>
      </c>
      <c r="D809" s="12" t="str">
        <f>Overview!D809</f>
        <v/>
      </c>
      <c r="E809" s="12" t="str">
        <f>Overview!E809</f>
        <v/>
      </c>
      <c r="F809" s="12" t="str">
        <f>Overview!K809</f>
        <v/>
      </c>
      <c r="G809" s="12" t="str">
        <f>Overview!L809</f>
        <v/>
      </c>
      <c r="H809" s="12" t="str">
        <f>Overview!M809</f>
        <v/>
      </c>
      <c r="I809" s="292" t="str">
        <f>Overview!N809</f>
        <v/>
      </c>
    </row>
    <row r="810">
      <c r="A810" s="12" t="str">
        <f>Overview!A810</f>
        <v/>
      </c>
      <c r="B810" s="12" t="str">
        <f>Overview!B810</f>
        <v/>
      </c>
      <c r="C810" s="12" t="str">
        <f>Overview!C810</f>
        <v/>
      </c>
      <c r="D810" s="12" t="str">
        <f>Overview!D810</f>
        <v/>
      </c>
      <c r="E810" s="12" t="str">
        <f>Overview!E810</f>
        <v/>
      </c>
      <c r="F810" s="12" t="str">
        <f>Overview!K810</f>
        <v/>
      </c>
      <c r="G810" s="12" t="str">
        <f>Overview!L810</f>
        <v/>
      </c>
      <c r="H810" s="12" t="str">
        <f>Overview!M810</f>
        <v/>
      </c>
      <c r="I810" s="292" t="str">
        <f>Overview!N810</f>
        <v/>
      </c>
    </row>
    <row r="811">
      <c r="A811" s="12" t="str">
        <f>Overview!A811</f>
        <v/>
      </c>
      <c r="B811" s="12" t="str">
        <f>Overview!B811</f>
        <v/>
      </c>
      <c r="C811" s="12" t="str">
        <f>Overview!C811</f>
        <v/>
      </c>
      <c r="D811" s="12" t="str">
        <f>Overview!D811</f>
        <v/>
      </c>
      <c r="E811" s="12" t="str">
        <f>Overview!E811</f>
        <v/>
      </c>
      <c r="F811" s="12" t="str">
        <f>Overview!K811</f>
        <v/>
      </c>
      <c r="G811" s="12" t="str">
        <f>Overview!L811</f>
        <v/>
      </c>
      <c r="H811" s="12" t="str">
        <f>Overview!M811</f>
        <v/>
      </c>
      <c r="I811" s="292" t="str">
        <f>Overview!N811</f>
        <v/>
      </c>
    </row>
    <row r="812">
      <c r="A812" s="12" t="str">
        <f>Overview!A812</f>
        <v/>
      </c>
      <c r="B812" s="12" t="str">
        <f>Overview!B812</f>
        <v/>
      </c>
      <c r="C812" s="12" t="str">
        <f>Overview!C812</f>
        <v/>
      </c>
      <c r="D812" s="12" t="str">
        <f>Overview!D812</f>
        <v/>
      </c>
      <c r="E812" s="12" t="str">
        <f>Overview!E812</f>
        <v/>
      </c>
      <c r="F812" s="12" t="str">
        <f>Overview!K812</f>
        <v/>
      </c>
      <c r="G812" s="12" t="str">
        <f>Overview!L812</f>
        <v/>
      </c>
      <c r="H812" s="12" t="str">
        <f>Overview!M812</f>
        <v/>
      </c>
      <c r="I812" s="292" t="str">
        <f>Overview!N812</f>
        <v/>
      </c>
    </row>
    <row r="813">
      <c r="A813" s="12" t="str">
        <f>Overview!A813</f>
        <v/>
      </c>
      <c r="B813" s="12" t="str">
        <f>Overview!B813</f>
        <v/>
      </c>
      <c r="C813" s="12" t="str">
        <f>Overview!C813</f>
        <v/>
      </c>
      <c r="D813" s="12" t="str">
        <f>Overview!D813</f>
        <v/>
      </c>
      <c r="E813" s="12" t="str">
        <f>Overview!E813</f>
        <v/>
      </c>
      <c r="F813" s="12" t="str">
        <f>Overview!K813</f>
        <v/>
      </c>
      <c r="G813" s="12" t="str">
        <f>Overview!L813</f>
        <v/>
      </c>
      <c r="H813" s="12" t="str">
        <f>Overview!M813</f>
        <v/>
      </c>
      <c r="I813" s="292" t="str">
        <f>Overview!N813</f>
        <v/>
      </c>
    </row>
    <row r="814">
      <c r="A814" s="12" t="str">
        <f>Overview!A814</f>
        <v/>
      </c>
      <c r="B814" s="12" t="str">
        <f>Overview!B814</f>
        <v/>
      </c>
      <c r="C814" s="12" t="str">
        <f>Overview!C814</f>
        <v/>
      </c>
      <c r="D814" s="12" t="str">
        <f>Overview!D814</f>
        <v/>
      </c>
      <c r="E814" s="12" t="str">
        <f>Overview!E814</f>
        <v/>
      </c>
      <c r="F814" s="12" t="str">
        <f>Overview!K814</f>
        <v/>
      </c>
      <c r="G814" s="12" t="str">
        <f>Overview!L814</f>
        <v/>
      </c>
      <c r="H814" s="12" t="str">
        <f>Overview!M814</f>
        <v/>
      </c>
      <c r="I814" s="292" t="str">
        <f>Overview!N814</f>
        <v/>
      </c>
    </row>
    <row r="815">
      <c r="A815" s="12" t="str">
        <f>Overview!A815</f>
        <v/>
      </c>
      <c r="B815" s="12" t="str">
        <f>Overview!B815</f>
        <v/>
      </c>
      <c r="C815" s="12" t="str">
        <f>Overview!C815</f>
        <v/>
      </c>
      <c r="D815" s="12" t="str">
        <f>Overview!D815</f>
        <v/>
      </c>
      <c r="E815" s="12" t="str">
        <f>Overview!E815</f>
        <v/>
      </c>
      <c r="F815" s="12" t="str">
        <f>Overview!K815</f>
        <v/>
      </c>
      <c r="G815" s="12" t="str">
        <f>Overview!L815</f>
        <v/>
      </c>
      <c r="H815" s="12" t="str">
        <f>Overview!M815</f>
        <v/>
      </c>
      <c r="I815" s="292" t="str">
        <f>Overview!N815</f>
        <v/>
      </c>
    </row>
    <row r="816">
      <c r="A816" s="12" t="str">
        <f>Overview!A816</f>
        <v/>
      </c>
      <c r="B816" s="12" t="str">
        <f>Overview!B816</f>
        <v/>
      </c>
      <c r="C816" s="12" t="str">
        <f>Overview!C816</f>
        <v/>
      </c>
      <c r="D816" s="12" t="str">
        <f>Overview!D816</f>
        <v/>
      </c>
      <c r="E816" s="12" t="str">
        <f>Overview!E816</f>
        <v/>
      </c>
      <c r="F816" s="12" t="str">
        <f>Overview!K816</f>
        <v/>
      </c>
      <c r="G816" s="12" t="str">
        <f>Overview!L816</f>
        <v/>
      </c>
      <c r="H816" s="12" t="str">
        <f>Overview!M816</f>
        <v/>
      </c>
      <c r="I816" s="292" t="str">
        <f>Overview!N816</f>
        <v/>
      </c>
    </row>
    <row r="817">
      <c r="A817" s="12" t="str">
        <f>Overview!A817</f>
        <v/>
      </c>
      <c r="B817" s="12" t="str">
        <f>Overview!B817</f>
        <v/>
      </c>
      <c r="C817" s="12" t="str">
        <f>Overview!C817</f>
        <v/>
      </c>
      <c r="D817" s="12" t="str">
        <f>Overview!D817</f>
        <v/>
      </c>
      <c r="E817" s="12" t="str">
        <f>Overview!E817</f>
        <v/>
      </c>
      <c r="F817" s="12" t="str">
        <f>Overview!K817</f>
        <v/>
      </c>
      <c r="G817" s="12" t="str">
        <f>Overview!L817</f>
        <v/>
      </c>
      <c r="H817" s="12" t="str">
        <f>Overview!M817</f>
        <v/>
      </c>
      <c r="I817" s="292" t="str">
        <f>Overview!N817</f>
        <v/>
      </c>
    </row>
    <row r="818">
      <c r="A818" s="12" t="str">
        <f>Overview!A818</f>
        <v/>
      </c>
      <c r="B818" s="12" t="str">
        <f>Overview!B818</f>
        <v/>
      </c>
      <c r="C818" s="12" t="str">
        <f>Overview!C818</f>
        <v/>
      </c>
      <c r="D818" s="12" t="str">
        <f>Overview!D818</f>
        <v/>
      </c>
      <c r="E818" s="12" t="str">
        <f>Overview!E818</f>
        <v/>
      </c>
      <c r="F818" s="12" t="str">
        <f>Overview!K818</f>
        <v/>
      </c>
      <c r="G818" s="12" t="str">
        <f>Overview!L818</f>
        <v/>
      </c>
      <c r="H818" s="12" t="str">
        <f>Overview!M818</f>
        <v/>
      </c>
      <c r="I818" s="292" t="str">
        <f>Overview!N818</f>
        <v/>
      </c>
    </row>
    <row r="819">
      <c r="A819" s="12" t="str">
        <f>Overview!A819</f>
        <v/>
      </c>
      <c r="B819" s="12" t="str">
        <f>Overview!B819</f>
        <v/>
      </c>
      <c r="C819" s="12" t="str">
        <f>Overview!C819</f>
        <v/>
      </c>
      <c r="D819" s="12" t="str">
        <f>Overview!D819</f>
        <v/>
      </c>
      <c r="E819" s="12" t="str">
        <f>Overview!E819</f>
        <v/>
      </c>
      <c r="F819" s="12" t="str">
        <f>Overview!K819</f>
        <v/>
      </c>
      <c r="G819" s="12" t="str">
        <f>Overview!L819</f>
        <v/>
      </c>
      <c r="H819" s="12" t="str">
        <f>Overview!M819</f>
        <v/>
      </c>
      <c r="I819" s="292" t="str">
        <f>Overview!N819</f>
        <v/>
      </c>
    </row>
    <row r="820">
      <c r="A820" s="12" t="str">
        <f>Overview!A820</f>
        <v/>
      </c>
      <c r="B820" s="12" t="str">
        <f>Overview!B820</f>
        <v/>
      </c>
      <c r="C820" s="12" t="str">
        <f>Overview!C820</f>
        <v/>
      </c>
      <c r="D820" s="12" t="str">
        <f>Overview!D820</f>
        <v/>
      </c>
      <c r="E820" s="12" t="str">
        <f>Overview!E820</f>
        <v/>
      </c>
      <c r="F820" s="12" t="str">
        <f>Overview!K820</f>
        <v/>
      </c>
      <c r="G820" s="12" t="str">
        <f>Overview!L820</f>
        <v/>
      </c>
      <c r="H820" s="12" t="str">
        <f>Overview!M820</f>
        <v/>
      </c>
      <c r="I820" s="292" t="str">
        <f>Overview!N820</f>
        <v/>
      </c>
    </row>
    <row r="821">
      <c r="A821" s="12" t="str">
        <f>Overview!A821</f>
        <v/>
      </c>
      <c r="B821" s="12" t="str">
        <f>Overview!B821</f>
        <v/>
      </c>
      <c r="C821" s="12" t="str">
        <f>Overview!C821</f>
        <v/>
      </c>
      <c r="D821" s="12" t="str">
        <f>Overview!D821</f>
        <v/>
      </c>
      <c r="E821" s="12" t="str">
        <f>Overview!E821</f>
        <v/>
      </c>
      <c r="F821" s="12" t="str">
        <f>Overview!K821</f>
        <v/>
      </c>
      <c r="G821" s="12" t="str">
        <f>Overview!L821</f>
        <v/>
      </c>
      <c r="H821" s="12" t="str">
        <f>Overview!M821</f>
        <v/>
      </c>
      <c r="I821" s="292" t="str">
        <f>Overview!N821</f>
        <v/>
      </c>
    </row>
    <row r="822">
      <c r="A822" s="12" t="str">
        <f>Overview!A822</f>
        <v/>
      </c>
      <c r="B822" s="12" t="str">
        <f>Overview!B822</f>
        <v/>
      </c>
      <c r="C822" s="12" t="str">
        <f>Overview!C822</f>
        <v/>
      </c>
      <c r="D822" s="12" t="str">
        <f>Overview!D822</f>
        <v/>
      </c>
      <c r="E822" s="12" t="str">
        <f>Overview!E822</f>
        <v/>
      </c>
      <c r="F822" s="12" t="str">
        <f>Overview!K822</f>
        <v/>
      </c>
      <c r="G822" s="12" t="str">
        <f>Overview!L822</f>
        <v/>
      </c>
      <c r="H822" s="12" t="str">
        <f>Overview!M822</f>
        <v/>
      </c>
      <c r="I822" s="292" t="str">
        <f>Overview!N822</f>
        <v/>
      </c>
    </row>
    <row r="823">
      <c r="A823" s="12" t="str">
        <f>Overview!A823</f>
        <v/>
      </c>
      <c r="B823" s="12" t="str">
        <f>Overview!B823</f>
        <v/>
      </c>
      <c r="C823" s="12" t="str">
        <f>Overview!C823</f>
        <v/>
      </c>
      <c r="D823" s="12" t="str">
        <f>Overview!D823</f>
        <v/>
      </c>
      <c r="E823" s="12" t="str">
        <f>Overview!E823</f>
        <v/>
      </c>
      <c r="F823" s="12" t="str">
        <f>Overview!K823</f>
        <v/>
      </c>
      <c r="G823" s="12" t="str">
        <f>Overview!L823</f>
        <v/>
      </c>
      <c r="H823" s="12" t="str">
        <f>Overview!M823</f>
        <v/>
      </c>
      <c r="I823" s="292" t="str">
        <f>Overview!N823</f>
        <v/>
      </c>
    </row>
    <row r="824">
      <c r="A824" s="12" t="str">
        <f>Overview!A824</f>
        <v/>
      </c>
      <c r="B824" s="12" t="str">
        <f>Overview!B824</f>
        <v/>
      </c>
      <c r="C824" s="12" t="str">
        <f>Overview!C824</f>
        <v/>
      </c>
      <c r="D824" s="12" t="str">
        <f>Overview!D824</f>
        <v/>
      </c>
      <c r="E824" s="12" t="str">
        <f>Overview!E824</f>
        <v/>
      </c>
      <c r="F824" s="12" t="str">
        <f>Overview!K824</f>
        <v/>
      </c>
      <c r="G824" s="12" t="str">
        <f>Overview!L824</f>
        <v/>
      </c>
      <c r="H824" s="12" t="str">
        <f>Overview!M824</f>
        <v/>
      </c>
      <c r="I824" s="292" t="str">
        <f>Overview!N824</f>
        <v/>
      </c>
    </row>
    <row r="825">
      <c r="A825" s="12" t="str">
        <f>Overview!A825</f>
        <v/>
      </c>
      <c r="B825" s="12" t="str">
        <f>Overview!B825</f>
        <v/>
      </c>
      <c r="C825" s="12" t="str">
        <f>Overview!C825</f>
        <v/>
      </c>
      <c r="D825" s="12" t="str">
        <f>Overview!D825</f>
        <v/>
      </c>
      <c r="E825" s="12" t="str">
        <f>Overview!E825</f>
        <v/>
      </c>
      <c r="F825" s="12" t="str">
        <f>Overview!K825</f>
        <v/>
      </c>
      <c r="G825" s="12" t="str">
        <f>Overview!L825</f>
        <v/>
      </c>
      <c r="H825" s="12" t="str">
        <f>Overview!M825</f>
        <v/>
      </c>
      <c r="I825" s="292" t="str">
        <f>Overview!N825</f>
        <v/>
      </c>
    </row>
    <row r="826">
      <c r="A826" s="12" t="str">
        <f>Overview!A826</f>
        <v/>
      </c>
      <c r="B826" s="12" t="str">
        <f>Overview!B826</f>
        <v/>
      </c>
      <c r="C826" s="12" t="str">
        <f>Overview!C826</f>
        <v/>
      </c>
      <c r="D826" s="12" t="str">
        <f>Overview!D826</f>
        <v/>
      </c>
      <c r="E826" s="12" t="str">
        <f>Overview!E826</f>
        <v/>
      </c>
      <c r="F826" s="12" t="str">
        <f>Overview!K826</f>
        <v/>
      </c>
      <c r="G826" s="12" t="str">
        <f>Overview!L826</f>
        <v/>
      </c>
      <c r="H826" s="12" t="str">
        <f>Overview!M826</f>
        <v/>
      </c>
      <c r="I826" s="292" t="str">
        <f>Overview!N826</f>
        <v/>
      </c>
    </row>
    <row r="827">
      <c r="A827" s="12" t="str">
        <f>Overview!A827</f>
        <v/>
      </c>
      <c r="B827" s="12" t="str">
        <f>Overview!B827</f>
        <v/>
      </c>
      <c r="C827" s="12" t="str">
        <f>Overview!C827</f>
        <v/>
      </c>
      <c r="D827" s="12" t="str">
        <f>Overview!D827</f>
        <v/>
      </c>
      <c r="E827" s="12" t="str">
        <f>Overview!E827</f>
        <v/>
      </c>
      <c r="F827" s="12" t="str">
        <f>Overview!K827</f>
        <v/>
      </c>
      <c r="G827" s="12" t="str">
        <f>Overview!L827</f>
        <v/>
      </c>
      <c r="H827" s="12" t="str">
        <f>Overview!M827</f>
        <v/>
      </c>
      <c r="I827" s="292" t="str">
        <f>Overview!N827</f>
        <v/>
      </c>
    </row>
    <row r="828">
      <c r="A828" s="12" t="str">
        <f>Overview!A828</f>
        <v/>
      </c>
      <c r="B828" s="12" t="str">
        <f>Overview!B828</f>
        <v/>
      </c>
      <c r="C828" s="12" t="str">
        <f>Overview!C828</f>
        <v/>
      </c>
      <c r="D828" s="12" t="str">
        <f>Overview!D828</f>
        <v/>
      </c>
      <c r="E828" s="12" t="str">
        <f>Overview!E828</f>
        <v/>
      </c>
      <c r="F828" s="12" t="str">
        <f>Overview!K828</f>
        <v/>
      </c>
      <c r="G828" s="12" t="str">
        <f>Overview!L828</f>
        <v/>
      </c>
      <c r="H828" s="12" t="str">
        <f>Overview!M828</f>
        <v/>
      </c>
      <c r="I828" s="292" t="str">
        <f>Overview!N828</f>
        <v/>
      </c>
    </row>
    <row r="829">
      <c r="A829" s="12" t="str">
        <f>Overview!A829</f>
        <v/>
      </c>
      <c r="B829" s="12" t="str">
        <f>Overview!B829</f>
        <v/>
      </c>
      <c r="C829" s="12" t="str">
        <f>Overview!C829</f>
        <v/>
      </c>
      <c r="D829" s="12" t="str">
        <f>Overview!D829</f>
        <v/>
      </c>
      <c r="E829" s="12" t="str">
        <f>Overview!E829</f>
        <v/>
      </c>
      <c r="F829" s="12" t="str">
        <f>Overview!K829</f>
        <v/>
      </c>
      <c r="G829" s="12" t="str">
        <f>Overview!L829</f>
        <v/>
      </c>
      <c r="H829" s="12" t="str">
        <f>Overview!M829</f>
        <v/>
      </c>
      <c r="I829" s="292" t="str">
        <f>Overview!N829</f>
        <v/>
      </c>
    </row>
    <row r="830">
      <c r="A830" s="12" t="str">
        <f>Overview!A830</f>
        <v/>
      </c>
      <c r="B830" s="12" t="str">
        <f>Overview!B830</f>
        <v/>
      </c>
      <c r="C830" s="12" t="str">
        <f>Overview!C830</f>
        <v/>
      </c>
      <c r="D830" s="12" t="str">
        <f>Overview!D830</f>
        <v/>
      </c>
      <c r="E830" s="12" t="str">
        <f>Overview!E830</f>
        <v/>
      </c>
      <c r="F830" s="12" t="str">
        <f>Overview!K830</f>
        <v/>
      </c>
      <c r="G830" s="12" t="str">
        <f>Overview!L830</f>
        <v/>
      </c>
      <c r="H830" s="12" t="str">
        <f>Overview!M830</f>
        <v/>
      </c>
      <c r="I830" s="292" t="str">
        <f>Overview!N830</f>
        <v/>
      </c>
    </row>
    <row r="831">
      <c r="A831" s="12" t="str">
        <f>Overview!A831</f>
        <v/>
      </c>
      <c r="B831" s="12" t="str">
        <f>Overview!B831</f>
        <v/>
      </c>
      <c r="C831" s="12" t="str">
        <f>Overview!C831</f>
        <v/>
      </c>
      <c r="D831" s="12" t="str">
        <f>Overview!D831</f>
        <v/>
      </c>
      <c r="E831" s="12" t="str">
        <f>Overview!E831</f>
        <v/>
      </c>
      <c r="F831" s="12" t="str">
        <f>Overview!K831</f>
        <v/>
      </c>
      <c r="G831" s="12" t="str">
        <f>Overview!L831</f>
        <v/>
      </c>
      <c r="H831" s="12" t="str">
        <f>Overview!M831</f>
        <v/>
      </c>
      <c r="I831" s="292" t="str">
        <f>Overview!N831</f>
        <v/>
      </c>
    </row>
    <row r="832">
      <c r="A832" s="12" t="str">
        <f>Overview!A832</f>
        <v/>
      </c>
      <c r="B832" s="12" t="str">
        <f>Overview!B832</f>
        <v/>
      </c>
      <c r="C832" s="12" t="str">
        <f>Overview!C832</f>
        <v/>
      </c>
      <c r="D832" s="12" t="str">
        <f>Overview!D832</f>
        <v/>
      </c>
      <c r="E832" s="12" t="str">
        <f>Overview!E832</f>
        <v/>
      </c>
      <c r="F832" s="12" t="str">
        <f>Overview!K832</f>
        <v/>
      </c>
      <c r="G832" s="12" t="str">
        <f>Overview!L832</f>
        <v/>
      </c>
      <c r="H832" s="12" t="str">
        <f>Overview!M832</f>
        <v/>
      </c>
      <c r="I832" s="292" t="str">
        <f>Overview!N832</f>
        <v/>
      </c>
    </row>
    <row r="833">
      <c r="A833" s="12" t="str">
        <f>Overview!A833</f>
        <v/>
      </c>
      <c r="B833" s="12" t="str">
        <f>Overview!B833</f>
        <v/>
      </c>
      <c r="C833" s="12" t="str">
        <f>Overview!C833</f>
        <v/>
      </c>
      <c r="D833" s="12" t="str">
        <f>Overview!D833</f>
        <v/>
      </c>
      <c r="E833" s="12" t="str">
        <f>Overview!E833</f>
        <v/>
      </c>
      <c r="F833" s="12" t="str">
        <f>Overview!K833</f>
        <v/>
      </c>
      <c r="G833" s="12" t="str">
        <f>Overview!L833</f>
        <v/>
      </c>
      <c r="H833" s="12" t="str">
        <f>Overview!M833</f>
        <v/>
      </c>
      <c r="I833" s="292" t="str">
        <f>Overview!N833</f>
        <v/>
      </c>
    </row>
    <row r="834">
      <c r="A834" s="12" t="str">
        <f>Overview!A834</f>
        <v/>
      </c>
      <c r="B834" s="12" t="str">
        <f>Overview!B834</f>
        <v/>
      </c>
      <c r="C834" s="12" t="str">
        <f>Overview!C834</f>
        <v/>
      </c>
      <c r="D834" s="12" t="str">
        <f>Overview!D834</f>
        <v/>
      </c>
      <c r="E834" s="12" t="str">
        <f>Overview!E834</f>
        <v/>
      </c>
      <c r="F834" s="12" t="str">
        <f>Overview!K834</f>
        <v/>
      </c>
      <c r="G834" s="12" t="str">
        <f>Overview!L834</f>
        <v/>
      </c>
      <c r="H834" s="12" t="str">
        <f>Overview!M834</f>
        <v/>
      </c>
      <c r="I834" s="292" t="str">
        <f>Overview!N834</f>
        <v/>
      </c>
    </row>
    <row r="835">
      <c r="A835" s="12" t="str">
        <f>Overview!A835</f>
        <v/>
      </c>
      <c r="B835" s="12" t="str">
        <f>Overview!B835</f>
        <v/>
      </c>
      <c r="C835" s="12" t="str">
        <f>Overview!C835</f>
        <v/>
      </c>
      <c r="D835" s="12" t="str">
        <f>Overview!D835</f>
        <v/>
      </c>
      <c r="E835" s="12" t="str">
        <f>Overview!E835</f>
        <v/>
      </c>
      <c r="F835" s="12" t="str">
        <f>Overview!K835</f>
        <v/>
      </c>
      <c r="G835" s="12" t="str">
        <f>Overview!L835</f>
        <v/>
      </c>
      <c r="H835" s="12" t="str">
        <f>Overview!M835</f>
        <v/>
      </c>
      <c r="I835" s="292" t="str">
        <f>Overview!N835</f>
        <v/>
      </c>
    </row>
    <row r="836">
      <c r="A836" s="12" t="str">
        <f>Overview!A836</f>
        <v/>
      </c>
      <c r="B836" s="12" t="str">
        <f>Overview!B836</f>
        <v/>
      </c>
      <c r="C836" s="12" t="str">
        <f>Overview!C836</f>
        <v/>
      </c>
      <c r="D836" s="12" t="str">
        <f>Overview!D836</f>
        <v/>
      </c>
      <c r="E836" s="12" t="str">
        <f>Overview!E836</f>
        <v/>
      </c>
      <c r="F836" s="12" t="str">
        <f>Overview!K836</f>
        <v/>
      </c>
      <c r="G836" s="12" t="str">
        <f>Overview!L836</f>
        <v/>
      </c>
      <c r="H836" s="12" t="str">
        <f>Overview!M836</f>
        <v/>
      </c>
      <c r="I836" s="292" t="str">
        <f>Overview!N836</f>
        <v/>
      </c>
    </row>
    <row r="837">
      <c r="A837" s="12" t="str">
        <f>Overview!A837</f>
        <v/>
      </c>
      <c r="B837" s="12" t="str">
        <f>Overview!B837</f>
        <v/>
      </c>
      <c r="C837" s="12" t="str">
        <f>Overview!C837</f>
        <v/>
      </c>
      <c r="D837" s="12" t="str">
        <f>Overview!D837</f>
        <v/>
      </c>
      <c r="E837" s="12" t="str">
        <f>Overview!E837</f>
        <v/>
      </c>
      <c r="F837" s="12" t="str">
        <f>Overview!K837</f>
        <v/>
      </c>
      <c r="G837" s="12" t="str">
        <f>Overview!L837</f>
        <v/>
      </c>
      <c r="H837" s="12" t="str">
        <f>Overview!M837</f>
        <v/>
      </c>
      <c r="I837" s="292" t="str">
        <f>Overview!N837</f>
        <v/>
      </c>
    </row>
    <row r="838">
      <c r="A838" s="12" t="str">
        <f>Overview!A838</f>
        <v/>
      </c>
      <c r="B838" s="12" t="str">
        <f>Overview!B838</f>
        <v/>
      </c>
      <c r="C838" s="12" t="str">
        <f>Overview!C838</f>
        <v/>
      </c>
      <c r="D838" s="12" t="str">
        <f>Overview!D838</f>
        <v/>
      </c>
      <c r="E838" s="12" t="str">
        <f>Overview!E838</f>
        <v/>
      </c>
      <c r="F838" s="12" t="str">
        <f>Overview!K838</f>
        <v/>
      </c>
      <c r="G838" s="12" t="str">
        <f>Overview!L838</f>
        <v/>
      </c>
      <c r="H838" s="12" t="str">
        <f>Overview!M838</f>
        <v/>
      </c>
      <c r="I838" s="292" t="str">
        <f>Overview!N838</f>
        <v/>
      </c>
    </row>
    <row r="839">
      <c r="A839" s="12" t="str">
        <f>Overview!A839</f>
        <v/>
      </c>
      <c r="B839" s="12" t="str">
        <f>Overview!B839</f>
        <v/>
      </c>
      <c r="C839" s="12" t="str">
        <f>Overview!C839</f>
        <v/>
      </c>
      <c r="D839" s="12" t="str">
        <f>Overview!D839</f>
        <v/>
      </c>
      <c r="E839" s="12" t="str">
        <f>Overview!E839</f>
        <v/>
      </c>
      <c r="F839" s="12" t="str">
        <f>Overview!K839</f>
        <v/>
      </c>
      <c r="G839" s="12" t="str">
        <f>Overview!L839</f>
        <v/>
      </c>
      <c r="H839" s="12" t="str">
        <f>Overview!M839</f>
        <v/>
      </c>
      <c r="I839" s="292" t="str">
        <f>Overview!N839</f>
        <v/>
      </c>
    </row>
    <row r="840">
      <c r="A840" s="12" t="str">
        <f>Overview!A840</f>
        <v/>
      </c>
      <c r="B840" s="12" t="str">
        <f>Overview!B840</f>
        <v/>
      </c>
      <c r="C840" s="12" t="str">
        <f>Overview!C840</f>
        <v/>
      </c>
      <c r="D840" s="12" t="str">
        <f>Overview!D840</f>
        <v/>
      </c>
      <c r="E840" s="12" t="str">
        <f>Overview!E840</f>
        <v/>
      </c>
      <c r="F840" s="12" t="str">
        <f>Overview!K840</f>
        <v/>
      </c>
      <c r="G840" s="12" t="str">
        <f>Overview!L840</f>
        <v/>
      </c>
      <c r="H840" s="12" t="str">
        <f>Overview!M840</f>
        <v/>
      </c>
      <c r="I840" s="292" t="str">
        <f>Overview!N840</f>
        <v/>
      </c>
    </row>
    <row r="841">
      <c r="A841" s="12" t="str">
        <f>Overview!A841</f>
        <v/>
      </c>
      <c r="B841" s="12" t="str">
        <f>Overview!B841</f>
        <v/>
      </c>
      <c r="C841" s="12" t="str">
        <f>Overview!C841</f>
        <v/>
      </c>
      <c r="D841" s="12" t="str">
        <f>Overview!D841</f>
        <v/>
      </c>
      <c r="E841" s="12" t="str">
        <f>Overview!E841</f>
        <v/>
      </c>
      <c r="F841" s="12" t="str">
        <f>Overview!K841</f>
        <v/>
      </c>
      <c r="G841" s="12" t="str">
        <f>Overview!L841</f>
        <v/>
      </c>
      <c r="H841" s="12" t="str">
        <f>Overview!M841</f>
        <v/>
      </c>
      <c r="I841" s="292" t="str">
        <f>Overview!N841</f>
        <v/>
      </c>
    </row>
    <row r="842">
      <c r="A842" s="12" t="str">
        <f>Overview!A842</f>
        <v/>
      </c>
      <c r="B842" s="12" t="str">
        <f>Overview!B842</f>
        <v/>
      </c>
      <c r="C842" s="12" t="str">
        <f>Overview!C842</f>
        <v/>
      </c>
      <c r="D842" s="12" t="str">
        <f>Overview!D842</f>
        <v/>
      </c>
      <c r="E842" s="12" t="str">
        <f>Overview!E842</f>
        <v/>
      </c>
      <c r="F842" s="12" t="str">
        <f>Overview!K842</f>
        <v/>
      </c>
      <c r="G842" s="12" t="str">
        <f>Overview!L842</f>
        <v/>
      </c>
      <c r="H842" s="12" t="str">
        <f>Overview!M842</f>
        <v/>
      </c>
      <c r="I842" s="292" t="str">
        <f>Overview!N842</f>
        <v/>
      </c>
    </row>
    <row r="843">
      <c r="A843" s="12" t="str">
        <f>Overview!A843</f>
        <v/>
      </c>
      <c r="B843" s="12" t="str">
        <f>Overview!B843</f>
        <v/>
      </c>
      <c r="C843" s="12" t="str">
        <f>Overview!C843</f>
        <v/>
      </c>
      <c r="D843" s="12" t="str">
        <f>Overview!D843</f>
        <v/>
      </c>
      <c r="E843" s="12" t="str">
        <f>Overview!E843</f>
        <v/>
      </c>
      <c r="F843" s="12" t="str">
        <f>Overview!K843</f>
        <v/>
      </c>
      <c r="G843" s="12" t="str">
        <f>Overview!L843</f>
        <v/>
      </c>
      <c r="H843" s="12" t="str">
        <f>Overview!M843</f>
        <v/>
      </c>
      <c r="I843" s="292" t="str">
        <f>Overview!N843</f>
        <v/>
      </c>
    </row>
    <row r="844">
      <c r="A844" s="12" t="str">
        <f>Overview!A844</f>
        <v/>
      </c>
      <c r="B844" s="12" t="str">
        <f>Overview!B844</f>
        <v/>
      </c>
      <c r="C844" s="12" t="str">
        <f>Overview!C844</f>
        <v/>
      </c>
      <c r="D844" s="12" t="str">
        <f>Overview!D844</f>
        <v/>
      </c>
      <c r="E844" s="12" t="str">
        <f>Overview!E844</f>
        <v/>
      </c>
      <c r="F844" s="12" t="str">
        <f>Overview!K844</f>
        <v/>
      </c>
      <c r="G844" s="12" t="str">
        <f>Overview!L844</f>
        <v/>
      </c>
      <c r="H844" s="12" t="str">
        <f>Overview!M844</f>
        <v/>
      </c>
      <c r="I844" s="292" t="str">
        <f>Overview!N844</f>
        <v/>
      </c>
    </row>
    <row r="845">
      <c r="A845" s="12" t="str">
        <f>Overview!A845</f>
        <v/>
      </c>
      <c r="B845" s="12" t="str">
        <f>Overview!B845</f>
        <v/>
      </c>
      <c r="C845" s="12" t="str">
        <f>Overview!C845</f>
        <v/>
      </c>
      <c r="D845" s="12" t="str">
        <f>Overview!D845</f>
        <v/>
      </c>
      <c r="E845" s="12" t="str">
        <f>Overview!E845</f>
        <v/>
      </c>
      <c r="F845" s="12" t="str">
        <f>Overview!K845</f>
        <v/>
      </c>
      <c r="G845" s="12" t="str">
        <f>Overview!L845</f>
        <v/>
      </c>
      <c r="H845" s="12" t="str">
        <f>Overview!M845</f>
        <v/>
      </c>
      <c r="I845" s="292" t="str">
        <f>Overview!N845</f>
        <v/>
      </c>
    </row>
    <row r="846">
      <c r="A846" s="12" t="str">
        <f>Overview!A846</f>
        <v/>
      </c>
      <c r="B846" s="12" t="str">
        <f>Overview!B846</f>
        <v/>
      </c>
      <c r="C846" s="12" t="str">
        <f>Overview!C846</f>
        <v/>
      </c>
      <c r="D846" s="12" t="str">
        <f>Overview!D846</f>
        <v/>
      </c>
      <c r="E846" s="12" t="str">
        <f>Overview!E846</f>
        <v/>
      </c>
      <c r="F846" s="12" t="str">
        <f>Overview!K846</f>
        <v/>
      </c>
      <c r="G846" s="12" t="str">
        <f>Overview!L846</f>
        <v/>
      </c>
      <c r="H846" s="12" t="str">
        <f>Overview!M846</f>
        <v/>
      </c>
      <c r="I846" s="292" t="str">
        <f>Overview!N846</f>
        <v/>
      </c>
    </row>
    <row r="847">
      <c r="A847" s="12" t="str">
        <f>Overview!A847</f>
        <v/>
      </c>
      <c r="B847" s="12" t="str">
        <f>Overview!B847</f>
        <v/>
      </c>
      <c r="C847" s="12" t="str">
        <f>Overview!C847</f>
        <v/>
      </c>
      <c r="D847" s="12" t="str">
        <f>Overview!D847</f>
        <v/>
      </c>
      <c r="E847" s="12" t="str">
        <f>Overview!E847</f>
        <v/>
      </c>
      <c r="F847" s="12" t="str">
        <f>Overview!K847</f>
        <v/>
      </c>
      <c r="G847" s="12" t="str">
        <f>Overview!L847</f>
        <v/>
      </c>
      <c r="H847" s="12" t="str">
        <f>Overview!M847</f>
        <v/>
      </c>
      <c r="I847" s="292" t="str">
        <f>Overview!N847</f>
        <v/>
      </c>
    </row>
    <row r="848">
      <c r="A848" s="12" t="str">
        <f>Overview!A848</f>
        <v/>
      </c>
      <c r="B848" s="12" t="str">
        <f>Overview!B848</f>
        <v/>
      </c>
      <c r="C848" s="12" t="str">
        <f>Overview!C848</f>
        <v/>
      </c>
      <c r="D848" s="12" t="str">
        <f>Overview!D848</f>
        <v/>
      </c>
      <c r="E848" s="12" t="str">
        <f>Overview!E848</f>
        <v/>
      </c>
      <c r="F848" s="12" t="str">
        <f>Overview!K848</f>
        <v/>
      </c>
      <c r="G848" s="12" t="str">
        <f>Overview!L848</f>
        <v/>
      </c>
      <c r="H848" s="12" t="str">
        <f>Overview!M848</f>
        <v/>
      </c>
      <c r="I848" s="292" t="str">
        <f>Overview!N848</f>
        <v/>
      </c>
    </row>
    <row r="849">
      <c r="A849" s="12" t="str">
        <f>Overview!A849</f>
        <v/>
      </c>
      <c r="B849" s="12" t="str">
        <f>Overview!B849</f>
        <v/>
      </c>
      <c r="C849" s="12" t="str">
        <f>Overview!C849</f>
        <v/>
      </c>
      <c r="D849" s="12" t="str">
        <f>Overview!D849</f>
        <v/>
      </c>
      <c r="E849" s="12" t="str">
        <f>Overview!E849</f>
        <v/>
      </c>
      <c r="F849" s="12" t="str">
        <f>Overview!K849</f>
        <v/>
      </c>
      <c r="G849" s="12" t="str">
        <f>Overview!L849</f>
        <v/>
      </c>
      <c r="H849" s="12" t="str">
        <f>Overview!M849</f>
        <v/>
      </c>
      <c r="I849" s="292" t="str">
        <f>Overview!N849</f>
        <v/>
      </c>
    </row>
    <row r="850">
      <c r="A850" s="12" t="str">
        <f>Overview!A850</f>
        <v/>
      </c>
      <c r="B850" s="12" t="str">
        <f>Overview!B850</f>
        <v/>
      </c>
      <c r="C850" s="12" t="str">
        <f>Overview!C850</f>
        <v/>
      </c>
      <c r="D850" s="12" t="str">
        <f>Overview!D850</f>
        <v/>
      </c>
      <c r="E850" s="12" t="str">
        <f>Overview!E850</f>
        <v/>
      </c>
      <c r="F850" s="12" t="str">
        <f>Overview!K850</f>
        <v/>
      </c>
      <c r="G850" s="12" t="str">
        <f>Overview!L850</f>
        <v/>
      </c>
      <c r="H850" s="12" t="str">
        <f>Overview!M850</f>
        <v/>
      </c>
      <c r="I850" s="292" t="str">
        <f>Overview!N850</f>
        <v/>
      </c>
    </row>
    <row r="851">
      <c r="A851" s="12" t="str">
        <f>Overview!A851</f>
        <v/>
      </c>
      <c r="B851" s="12" t="str">
        <f>Overview!B851</f>
        <v/>
      </c>
      <c r="C851" s="12" t="str">
        <f>Overview!C851</f>
        <v/>
      </c>
      <c r="D851" s="12" t="str">
        <f>Overview!D851</f>
        <v/>
      </c>
      <c r="E851" s="12" t="str">
        <f>Overview!E851</f>
        <v/>
      </c>
      <c r="F851" s="12" t="str">
        <f>Overview!K851</f>
        <v/>
      </c>
      <c r="G851" s="12" t="str">
        <f>Overview!L851</f>
        <v/>
      </c>
      <c r="H851" s="12" t="str">
        <f>Overview!M851</f>
        <v/>
      </c>
      <c r="I851" s="292" t="str">
        <f>Overview!N851</f>
        <v/>
      </c>
    </row>
    <row r="852">
      <c r="A852" s="12" t="str">
        <f>Overview!A852</f>
        <v/>
      </c>
      <c r="B852" s="12" t="str">
        <f>Overview!B852</f>
        <v/>
      </c>
      <c r="C852" s="12" t="str">
        <f>Overview!C852</f>
        <v/>
      </c>
      <c r="D852" s="12" t="str">
        <f>Overview!D852</f>
        <v/>
      </c>
      <c r="E852" s="12" t="str">
        <f>Overview!E852</f>
        <v/>
      </c>
      <c r="F852" s="12" t="str">
        <f>Overview!K852</f>
        <v/>
      </c>
      <c r="G852" s="12" t="str">
        <f>Overview!L852</f>
        <v/>
      </c>
      <c r="H852" s="12" t="str">
        <f>Overview!M852</f>
        <v/>
      </c>
      <c r="I852" s="292" t="str">
        <f>Overview!N852</f>
        <v/>
      </c>
    </row>
    <row r="853">
      <c r="A853" s="12" t="str">
        <f>Overview!A853</f>
        <v/>
      </c>
      <c r="B853" s="12" t="str">
        <f>Overview!B853</f>
        <v/>
      </c>
      <c r="C853" s="12" t="str">
        <f>Overview!C853</f>
        <v/>
      </c>
      <c r="D853" s="12" t="str">
        <f>Overview!D853</f>
        <v/>
      </c>
      <c r="E853" s="12" t="str">
        <f>Overview!E853</f>
        <v/>
      </c>
      <c r="F853" s="12" t="str">
        <f>Overview!K853</f>
        <v/>
      </c>
      <c r="G853" s="12" t="str">
        <f>Overview!L853</f>
        <v/>
      </c>
      <c r="H853" s="12" t="str">
        <f>Overview!M853</f>
        <v/>
      </c>
      <c r="I853" s="292" t="str">
        <f>Overview!N853</f>
        <v/>
      </c>
    </row>
    <row r="854">
      <c r="A854" s="12" t="str">
        <f>Overview!A854</f>
        <v/>
      </c>
      <c r="B854" s="12" t="str">
        <f>Overview!B854</f>
        <v/>
      </c>
      <c r="C854" s="12" t="str">
        <f>Overview!C854</f>
        <v/>
      </c>
      <c r="D854" s="12" t="str">
        <f>Overview!D854</f>
        <v/>
      </c>
      <c r="E854" s="12" t="str">
        <f>Overview!E854</f>
        <v/>
      </c>
      <c r="F854" s="12" t="str">
        <f>Overview!K854</f>
        <v/>
      </c>
      <c r="G854" s="12" t="str">
        <f>Overview!L854</f>
        <v/>
      </c>
      <c r="H854" s="12" t="str">
        <f>Overview!M854</f>
        <v/>
      </c>
      <c r="I854" s="292" t="str">
        <f>Overview!N854</f>
        <v/>
      </c>
    </row>
    <row r="855">
      <c r="A855" s="12" t="str">
        <f>Overview!A855</f>
        <v/>
      </c>
      <c r="B855" s="12" t="str">
        <f>Overview!B855</f>
        <v/>
      </c>
      <c r="C855" s="12" t="str">
        <f>Overview!C855</f>
        <v/>
      </c>
      <c r="D855" s="12" t="str">
        <f>Overview!D855</f>
        <v/>
      </c>
      <c r="E855" s="12" t="str">
        <f>Overview!E855</f>
        <v/>
      </c>
      <c r="F855" s="12" t="str">
        <f>Overview!K855</f>
        <v/>
      </c>
      <c r="G855" s="12" t="str">
        <f>Overview!L855</f>
        <v/>
      </c>
      <c r="H855" s="12" t="str">
        <f>Overview!M855</f>
        <v/>
      </c>
      <c r="I855" s="292" t="str">
        <f>Overview!N855</f>
        <v/>
      </c>
    </row>
    <row r="856">
      <c r="A856" s="12" t="str">
        <f>Overview!A856</f>
        <v/>
      </c>
      <c r="B856" s="12" t="str">
        <f>Overview!B856</f>
        <v/>
      </c>
      <c r="C856" s="12" t="str">
        <f>Overview!C856</f>
        <v/>
      </c>
      <c r="D856" s="12" t="str">
        <f>Overview!D856</f>
        <v/>
      </c>
      <c r="E856" s="12" t="str">
        <f>Overview!E856</f>
        <v/>
      </c>
      <c r="F856" s="12" t="str">
        <f>Overview!K856</f>
        <v/>
      </c>
      <c r="G856" s="12" t="str">
        <f>Overview!L856</f>
        <v/>
      </c>
      <c r="H856" s="12" t="str">
        <f>Overview!M856</f>
        <v/>
      </c>
      <c r="I856" s="292" t="str">
        <f>Overview!N856</f>
        <v/>
      </c>
    </row>
    <row r="857">
      <c r="A857" s="12" t="str">
        <f>Overview!A857</f>
        <v/>
      </c>
      <c r="B857" s="12" t="str">
        <f>Overview!B857</f>
        <v/>
      </c>
      <c r="C857" s="12" t="str">
        <f>Overview!C857</f>
        <v/>
      </c>
      <c r="D857" s="12" t="str">
        <f>Overview!D857</f>
        <v/>
      </c>
      <c r="E857" s="12" t="str">
        <f>Overview!E857</f>
        <v/>
      </c>
      <c r="F857" s="12" t="str">
        <f>Overview!K857</f>
        <v/>
      </c>
      <c r="G857" s="12" t="str">
        <f>Overview!L857</f>
        <v/>
      </c>
      <c r="H857" s="12" t="str">
        <f>Overview!M857</f>
        <v/>
      </c>
      <c r="I857" s="292" t="str">
        <f>Overview!N857</f>
        <v/>
      </c>
    </row>
    <row r="858">
      <c r="A858" s="12" t="str">
        <f>Overview!A858</f>
        <v/>
      </c>
      <c r="B858" s="12" t="str">
        <f>Overview!B858</f>
        <v/>
      </c>
      <c r="C858" s="12" t="str">
        <f>Overview!C858</f>
        <v/>
      </c>
      <c r="D858" s="12" t="str">
        <f>Overview!D858</f>
        <v/>
      </c>
      <c r="E858" s="12" t="str">
        <f>Overview!E858</f>
        <v/>
      </c>
      <c r="F858" s="12" t="str">
        <f>Overview!K858</f>
        <v/>
      </c>
      <c r="G858" s="12" t="str">
        <f>Overview!L858</f>
        <v/>
      </c>
      <c r="H858" s="12" t="str">
        <f>Overview!M858</f>
        <v/>
      </c>
      <c r="I858" s="292" t="str">
        <f>Overview!N858</f>
        <v/>
      </c>
    </row>
    <row r="859">
      <c r="A859" s="12" t="str">
        <f>Overview!A859</f>
        <v/>
      </c>
      <c r="B859" s="12" t="str">
        <f>Overview!B859</f>
        <v/>
      </c>
      <c r="C859" s="12" t="str">
        <f>Overview!C859</f>
        <v/>
      </c>
      <c r="D859" s="12" t="str">
        <f>Overview!D859</f>
        <v/>
      </c>
      <c r="E859" s="12" t="str">
        <f>Overview!E859</f>
        <v/>
      </c>
      <c r="F859" s="12" t="str">
        <f>Overview!K859</f>
        <v/>
      </c>
      <c r="G859" s="12" t="str">
        <f>Overview!L859</f>
        <v/>
      </c>
      <c r="H859" s="12" t="str">
        <f>Overview!M859</f>
        <v/>
      </c>
      <c r="I859" s="292" t="str">
        <f>Overview!N859</f>
        <v/>
      </c>
    </row>
    <row r="860">
      <c r="A860" s="12" t="str">
        <f>Overview!A860</f>
        <v/>
      </c>
      <c r="B860" s="12" t="str">
        <f>Overview!B860</f>
        <v/>
      </c>
      <c r="C860" s="12" t="str">
        <f>Overview!C860</f>
        <v/>
      </c>
      <c r="D860" s="12" t="str">
        <f>Overview!D860</f>
        <v/>
      </c>
      <c r="E860" s="12" t="str">
        <f>Overview!E860</f>
        <v/>
      </c>
      <c r="F860" s="12" t="str">
        <f>Overview!K860</f>
        <v/>
      </c>
      <c r="G860" s="12" t="str">
        <f>Overview!L860</f>
        <v/>
      </c>
      <c r="H860" s="12" t="str">
        <f>Overview!M860</f>
        <v/>
      </c>
      <c r="I860" s="292" t="str">
        <f>Overview!N860</f>
        <v/>
      </c>
    </row>
    <row r="861">
      <c r="A861" s="12" t="str">
        <f>Overview!A861</f>
        <v/>
      </c>
      <c r="B861" s="12" t="str">
        <f>Overview!B861</f>
        <v/>
      </c>
      <c r="C861" s="12" t="str">
        <f>Overview!C861</f>
        <v/>
      </c>
      <c r="D861" s="12" t="str">
        <f>Overview!D861</f>
        <v/>
      </c>
      <c r="E861" s="12" t="str">
        <f>Overview!E861</f>
        <v/>
      </c>
      <c r="F861" s="12" t="str">
        <f>Overview!K861</f>
        <v/>
      </c>
      <c r="G861" s="12" t="str">
        <f>Overview!L861</f>
        <v/>
      </c>
      <c r="H861" s="12" t="str">
        <f>Overview!M861</f>
        <v/>
      </c>
      <c r="I861" s="292" t="str">
        <f>Overview!N861</f>
        <v/>
      </c>
    </row>
    <row r="862">
      <c r="A862" s="12" t="str">
        <f>Overview!A862</f>
        <v/>
      </c>
      <c r="B862" s="12" t="str">
        <f>Overview!B862</f>
        <v/>
      </c>
      <c r="C862" s="12" t="str">
        <f>Overview!C862</f>
        <v/>
      </c>
      <c r="D862" s="12" t="str">
        <f>Overview!D862</f>
        <v/>
      </c>
      <c r="E862" s="12" t="str">
        <f>Overview!E862</f>
        <v/>
      </c>
      <c r="F862" s="12" t="str">
        <f>Overview!K862</f>
        <v/>
      </c>
      <c r="G862" s="12" t="str">
        <f>Overview!L862</f>
        <v/>
      </c>
      <c r="H862" s="12" t="str">
        <f>Overview!M862</f>
        <v/>
      </c>
      <c r="I862" s="292" t="str">
        <f>Overview!N862</f>
        <v/>
      </c>
    </row>
    <row r="863">
      <c r="A863" s="12" t="str">
        <f>Overview!A863</f>
        <v/>
      </c>
      <c r="B863" s="12" t="str">
        <f>Overview!B863</f>
        <v/>
      </c>
      <c r="C863" s="12" t="str">
        <f>Overview!C863</f>
        <v/>
      </c>
      <c r="D863" s="12" t="str">
        <f>Overview!D863</f>
        <v/>
      </c>
      <c r="E863" s="12" t="str">
        <f>Overview!E863</f>
        <v/>
      </c>
      <c r="F863" s="12" t="str">
        <f>Overview!K863</f>
        <v/>
      </c>
      <c r="G863" s="12" t="str">
        <f>Overview!L863</f>
        <v/>
      </c>
      <c r="H863" s="12" t="str">
        <f>Overview!M863</f>
        <v/>
      </c>
      <c r="I863" s="292" t="str">
        <f>Overview!N863</f>
        <v/>
      </c>
    </row>
    <row r="864">
      <c r="A864" s="12" t="str">
        <f>Overview!A864</f>
        <v/>
      </c>
      <c r="B864" s="12" t="str">
        <f>Overview!B864</f>
        <v/>
      </c>
      <c r="C864" s="12" t="str">
        <f>Overview!C864</f>
        <v/>
      </c>
      <c r="D864" s="12" t="str">
        <f>Overview!D864</f>
        <v/>
      </c>
      <c r="E864" s="12" t="str">
        <f>Overview!E864</f>
        <v/>
      </c>
      <c r="F864" s="12" t="str">
        <f>Overview!K864</f>
        <v/>
      </c>
      <c r="G864" s="12" t="str">
        <f>Overview!L864</f>
        <v/>
      </c>
      <c r="H864" s="12" t="str">
        <f>Overview!M864</f>
        <v/>
      </c>
      <c r="I864" s="292" t="str">
        <f>Overview!N864</f>
        <v/>
      </c>
    </row>
    <row r="865">
      <c r="A865" s="12" t="str">
        <f>Overview!A865</f>
        <v/>
      </c>
      <c r="B865" s="12" t="str">
        <f>Overview!B865</f>
        <v/>
      </c>
      <c r="C865" s="12" t="str">
        <f>Overview!C865</f>
        <v/>
      </c>
      <c r="D865" s="12" t="str">
        <f>Overview!D865</f>
        <v/>
      </c>
      <c r="E865" s="12" t="str">
        <f>Overview!E865</f>
        <v/>
      </c>
      <c r="F865" s="12" t="str">
        <f>Overview!K865</f>
        <v/>
      </c>
      <c r="G865" s="12" t="str">
        <f>Overview!L865</f>
        <v/>
      </c>
      <c r="H865" s="12" t="str">
        <f>Overview!M865</f>
        <v/>
      </c>
      <c r="I865" s="292" t="str">
        <f>Overview!N865</f>
        <v/>
      </c>
    </row>
    <row r="866">
      <c r="A866" s="12" t="str">
        <f>Overview!A866</f>
        <v/>
      </c>
      <c r="B866" s="12" t="str">
        <f>Overview!B866</f>
        <v/>
      </c>
      <c r="C866" s="12" t="str">
        <f>Overview!C866</f>
        <v/>
      </c>
      <c r="D866" s="12" t="str">
        <f>Overview!D866</f>
        <v/>
      </c>
      <c r="E866" s="12" t="str">
        <f>Overview!E866</f>
        <v/>
      </c>
      <c r="F866" s="12" t="str">
        <f>Overview!K866</f>
        <v/>
      </c>
      <c r="G866" s="12" t="str">
        <f>Overview!L866</f>
        <v/>
      </c>
      <c r="H866" s="12" t="str">
        <f>Overview!M866</f>
        <v/>
      </c>
      <c r="I866" s="292" t="str">
        <f>Overview!N866</f>
        <v/>
      </c>
    </row>
    <row r="867">
      <c r="A867" s="12" t="str">
        <f>Overview!A867</f>
        <v/>
      </c>
      <c r="B867" s="12" t="str">
        <f>Overview!B867</f>
        <v/>
      </c>
      <c r="C867" s="12" t="str">
        <f>Overview!C867</f>
        <v/>
      </c>
      <c r="D867" s="12" t="str">
        <f>Overview!D867</f>
        <v/>
      </c>
      <c r="E867" s="12" t="str">
        <f>Overview!E867</f>
        <v/>
      </c>
      <c r="F867" s="12" t="str">
        <f>Overview!K867</f>
        <v/>
      </c>
      <c r="G867" s="12" t="str">
        <f>Overview!L867</f>
        <v/>
      </c>
      <c r="H867" s="12" t="str">
        <f>Overview!M867</f>
        <v/>
      </c>
      <c r="I867" s="292" t="str">
        <f>Overview!N867</f>
        <v/>
      </c>
    </row>
    <row r="868">
      <c r="A868" s="12" t="str">
        <f>Overview!A868</f>
        <v/>
      </c>
      <c r="B868" s="12" t="str">
        <f>Overview!B868</f>
        <v/>
      </c>
      <c r="C868" s="12" t="str">
        <f>Overview!C868</f>
        <v/>
      </c>
      <c r="D868" s="12" t="str">
        <f>Overview!D868</f>
        <v/>
      </c>
      <c r="E868" s="12" t="str">
        <f>Overview!E868</f>
        <v/>
      </c>
      <c r="F868" s="12" t="str">
        <f>Overview!K868</f>
        <v/>
      </c>
      <c r="G868" s="12" t="str">
        <f>Overview!L868</f>
        <v/>
      </c>
      <c r="H868" s="12" t="str">
        <f>Overview!M868</f>
        <v/>
      </c>
      <c r="I868" s="292" t="str">
        <f>Overview!N868</f>
        <v/>
      </c>
    </row>
    <row r="869">
      <c r="A869" s="12" t="str">
        <f>Overview!A869</f>
        <v/>
      </c>
      <c r="B869" s="12" t="str">
        <f>Overview!B869</f>
        <v/>
      </c>
      <c r="C869" s="12" t="str">
        <f>Overview!C869</f>
        <v/>
      </c>
      <c r="D869" s="12" t="str">
        <f>Overview!D869</f>
        <v/>
      </c>
      <c r="E869" s="12" t="str">
        <f>Overview!E869</f>
        <v/>
      </c>
      <c r="F869" s="12" t="str">
        <f>Overview!K869</f>
        <v/>
      </c>
      <c r="G869" s="12" t="str">
        <f>Overview!L869</f>
        <v/>
      </c>
      <c r="H869" s="12" t="str">
        <f>Overview!M869</f>
        <v/>
      </c>
      <c r="I869" s="292" t="str">
        <f>Overview!N869</f>
        <v/>
      </c>
    </row>
    <row r="870">
      <c r="A870" s="12" t="str">
        <f>Overview!A870</f>
        <v/>
      </c>
      <c r="B870" s="12" t="str">
        <f>Overview!B870</f>
        <v/>
      </c>
      <c r="C870" s="12" t="str">
        <f>Overview!C870</f>
        <v/>
      </c>
      <c r="D870" s="12" t="str">
        <f>Overview!D870</f>
        <v/>
      </c>
      <c r="E870" s="12" t="str">
        <f>Overview!E870</f>
        <v/>
      </c>
      <c r="F870" s="12" t="str">
        <f>Overview!K870</f>
        <v/>
      </c>
      <c r="G870" s="12" t="str">
        <f>Overview!L870</f>
        <v/>
      </c>
      <c r="H870" s="12" t="str">
        <f>Overview!M870</f>
        <v/>
      </c>
      <c r="I870" s="292" t="str">
        <f>Overview!N870</f>
        <v/>
      </c>
    </row>
    <row r="871">
      <c r="A871" s="12" t="str">
        <f>Overview!A871</f>
        <v/>
      </c>
      <c r="B871" s="12" t="str">
        <f>Overview!B871</f>
        <v/>
      </c>
      <c r="C871" s="12" t="str">
        <f>Overview!C871</f>
        <v/>
      </c>
      <c r="D871" s="12" t="str">
        <f>Overview!D871</f>
        <v/>
      </c>
      <c r="E871" s="12" t="str">
        <f>Overview!E871</f>
        <v/>
      </c>
      <c r="F871" s="12" t="str">
        <f>Overview!K871</f>
        <v/>
      </c>
      <c r="G871" s="12" t="str">
        <f>Overview!L871</f>
        <v/>
      </c>
      <c r="H871" s="12" t="str">
        <f>Overview!M871</f>
        <v/>
      </c>
      <c r="I871" s="292" t="str">
        <f>Overview!N871</f>
        <v/>
      </c>
    </row>
    <row r="872">
      <c r="A872" s="12" t="str">
        <f>Overview!A872</f>
        <v/>
      </c>
      <c r="B872" s="12" t="str">
        <f>Overview!B872</f>
        <v/>
      </c>
      <c r="C872" s="12" t="str">
        <f>Overview!C872</f>
        <v/>
      </c>
      <c r="D872" s="12" t="str">
        <f>Overview!D872</f>
        <v/>
      </c>
      <c r="E872" s="12" t="str">
        <f>Overview!E872</f>
        <v/>
      </c>
      <c r="F872" s="12" t="str">
        <f>Overview!K872</f>
        <v/>
      </c>
      <c r="G872" s="12" t="str">
        <f>Overview!L872</f>
        <v/>
      </c>
      <c r="H872" s="12" t="str">
        <f>Overview!M872</f>
        <v/>
      </c>
      <c r="I872" s="292" t="str">
        <f>Overview!N872</f>
        <v/>
      </c>
    </row>
    <row r="873">
      <c r="A873" s="12" t="str">
        <f>Overview!A873</f>
        <v/>
      </c>
      <c r="B873" s="12" t="str">
        <f>Overview!B873</f>
        <v/>
      </c>
      <c r="C873" s="12" t="str">
        <f>Overview!C873</f>
        <v/>
      </c>
      <c r="D873" s="12" t="str">
        <f>Overview!D873</f>
        <v/>
      </c>
      <c r="E873" s="12" t="str">
        <f>Overview!E873</f>
        <v/>
      </c>
      <c r="F873" s="12" t="str">
        <f>Overview!K873</f>
        <v/>
      </c>
      <c r="G873" s="12" t="str">
        <f>Overview!L873</f>
        <v/>
      </c>
      <c r="H873" s="12" t="str">
        <f>Overview!M873</f>
        <v/>
      </c>
      <c r="I873" s="292" t="str">
        <f>Overview!N873</f>
        <v/>
      </c>
    </row>
    <row r="874">
      <c r="A874" s="12" t="str">
        <f>Overview!A874</f>
        <v/>
      </c>
      <c r="B874" s="12" t="str">
        <f>Overview!B874</f>
        <v/>
      </c>
      <c r="C874" s="12" t="str">
        <f>Overview!C874</f>
        <v/>
      </c>
      <c r="D874" s="12" t="str">
        <f>Overview!D874</f>
        <v/>
      </c>
      <c r="E874" s="12" t="str">
        <f>Overview!E874</f>
        <v/>
      </c>
      <c r="F874" s="12" t="str">
        <f>Overview!K874</f>
        <v/>
      </c>
      <c r="G874" s="12" t="str">
        <f>Overview!L874</f>
        <v/>
      </c>
      <c r="H874" s="12" t="str">
        <f>Overview!M874</f>
        <v/>
      </c>
      <c r="I874" s="292" t="str">
        <f>Overview!N874</f>
        <v/>
      </c>
    </row>
    <row r="875">
      <c r="A875" s="12" t="str">
        <f>Overview!A875</f>
        <v/>
      </c>
      <c r="B875" s="12" t="str">
        <f>Overview!B875</f>
        <v/>
      </c>
      <c r="C875" s="12" t="str">
        <f>Overview!C875</f>
        <v/>
      </c>
      <c r="D875" s="12" t="str">
        <f>Overview!D875</f>
        <v/>
      </c>
      <c r="E875" s="12" t="str">
        <f>Overview!E875</f>
        <v/>
      </c>
      <c r="F875" s="12" t="str">
        <f>Overview!K875</f>
        <v/>
      </c>
      <c r="G875" s="12" t="str">
        <f>Overview!L875</f>
        <v/>
      </c>
      <c r="H875" s="12" t="str">
        <f>Overview!M875</f>
        <v/>
      </c>
      <c r="I875" s="292" t="str">
        <f>Overview!N875</f>
        <v/>
      </c>
    </row>
    <row r="876">
      <c r="A876" s="12" t="str">
        <f>Overview!A876</f>
        <v/>
      </c>
      <c r="B876" s="12" t="str">
        <f>Overview!B876</f>
        <v/>
      </c>
      <c r="C876" s="12" t="str">
        <f>Overview!C876</f>
        <v/>
      </c>
      <c r="D876" s="12" t="str">
        <f>Overview!D876</f>
        <v/>
      </c>
      <c r="E876" s="12" t="str">
        <f>Overview!E876</f>
        <v/>
      </c>
      <c r="F876" s="12" t="str">
        <f>Overview!K876</f>
        <v/>
      </c>
      <c r="G876" s="12" t="str">
        <f>Overview!L876</f>
        <v/>
      </c>
      <c r="H876" s="12" t="str">
        <f>Overview!M876</f>
        <v/>
      </c>
      <c r="I876" s="292" t="str">
        <f>Overview!N876</f>
        <v/>
      </c>
    </row>
    <row r="877">
      <c r="A877" s="12" t="str">
        <f>Overview!A877</f>
        <v/>
      </c>
      <c r="B877" s="12" t="str">
        <f>Overview!B877</f>
        <v/>
      </c>
      <c r="C877" s="12" t="str">
        <f>Overview!C877</f>
        <v/>
      </c>
      <c r="D877" s="12" t="str">
        <f>Overview!D877</f>
        <v/>
      </c>
      <c r="E877" s="12" t="str">
        <f>Overview!E877</f>
        <v/>
      </c>
      <c r="F877" s="12" t="str">
        <f>Overview!K877</f>
        <v/>
      </c>
      <c r="G877" s="12" t="str">
        <f>Overview!L877</f>
        <v/>
      </c>
      <c r="H877" s="12" t="str">
        <f>Overview!M877</f>
        <v/>
      </c>
      <c r="I877" s="292" t="str">
        <f>Overview!N877</f>
        <v/>
      </c>
    </row>
    <row r="878">
      <c r="A878" s="12" t="str">
        <f>Overview!A878</f>
        <v/>
      </c>
      <c r="B878" s="12" t="str">
        <f>Overview!B878</f>
        <v/>
      </c>
      <c r="C878" s="12" t="str">
        <f>Overview!C878</f>
        <v/>
      </c>
      <c r="D878" s="12" t="str">
        <f>Overview!D878</f>
        <v/>
      </c>
      <c r="E878" s="12" t="str">
        <f>Overview!E878</f>
        <v/>
      </c>
      <c r="F878" s="12" t="str">
        <f>Overview!K878</f>
        <v/>
      </c>
      <c r="G878" s="12" t="str">
        <f>Overview!L878</f>
        <v/>
      </c>
      <c r="H878" s="12" t="str">
        <f>Overview!M878</f>
        <v/>
      </c>
      <c r="I878" s="292" t="str">
        <f>Overview!N878</f>
        <v/>
      </c>
    </row>
    <row r="879">
      <c r="A879" s="12" t="str">
        <f>Overview!A879</f>
        <v/>
      </c>
      <c r="B879" s="12" t="str">
        <f>Overview!B879</f>
        <v/>
      </c>
      <c r="C879" s="12" t="str">
        <f>Overview!C879</f>
        <v/>
      </c>
      <c r="D879" s="12" t="str">
        <f>Overview!D879</f>
        <v/>
      </c>
      <c r="E879" s="12" t="str">
        <f>Overview!E879</f>
        <v/>
      </c>
      <c r="F879" s="12" t="str">
        <f>Overview!K879</f>
        <v/>
      </c>
      <c r="G879" s="12" t="str">
        <f>Overview!L879</f>
        <v/>
      </c>
      <c r="H879" s="12" t="str">
        <f>Overview!M879</f>
        <v/>
      </c>
      <c r="I879" s="292" t="str">
        <f>Overview!N879</f>
        <v/>
      </c>
    </row>
    <row r="880">
      <c r="A880" s="12" t="str">
        <f>Overview!A880</f>
        <v/>
      </c>
      <c r="B880" s="12" t="str">
        <f>Overview!B880</f>
        <v/>
      </c>
      <c r="C880" s="12" t="str">
        <f>Overview!C880</f>
        <v/>
      </c>
      <c r="D880" s="12" t="str">
        <f>Overview!D880</f>
        <v/>
      </c>
      <c r="E880" s="12" t="str">
        <f>Overview!E880</f>
        <v/>
      </c>
      <c r="F880" s="12" t="str">
        <f>Overview!K880</f>
        <v/>
      </c>
      <c r="G880" s="12" t="str">
        <f>Overview!L880</f>
        <v/>
      </c>
      <c r="H880" s="12" t="str">
        <f>Overview!M880</f>
        <v/>
      </c>
      <c r="I880" s="292" t="str">
        <f>Overview!N880</f>
        <v/>
      </c>
    </row>
    <row r="881">
      <c r="A881" s="12" t="str">
        <f>Overview!A881</f>
        <v/>
      </c>
      <c r="B881" s="12" t="str">
        <f>Overview!B881</f>
        <v/>
      </c>
      <c r="C881" s="12" t="str">
        <f>Overview!C881</f>
        <v/>
      </c>
      <c r="D881" s="12" t="str">
        <f>Overview!D881</f>
        <v/>
      </c>
      <c r="E881" s="12" t="str">
        <f>Overview!E881</f>
        <v/>
      </c>
      <c r="F881" s="12" t="str">
        <f>Overview!K881</f>
        <v/>
      </c>
      <c r="G881" s="12" t="str">
        <f>Overview!L881</f>
        <v/>
      </c>
      <c r="H881" s="12" t="str">
        <f>Overview!M881</f>
        <v/>
      </c>
      <c r="I881" s="292" t="str">
        <f>Overview!N881</f>
        <v/>
      </c>
    </row>
    <row r="882">
      <c r="A882" s="12" t="str">
        <f>Overview!A882</f>
        <v/>
      </c>
      <c r="B882" s="12" t="str">
        <f>Overview!B882</f>
        <v/>
      </c>
      <c r="C882" s="12" t="str">
        <f>Overview!C882</f>
        <v/>
      </c>
      <c r="D882" s="12" t="str">
        <f>Overview!D882</f>
        <v/>
      </c>
      <c r="E882" s="12" t="str">
        <f>Overview!E882</f>
        <v/>
      </c>
      <c r="F882" s="12" t="str">
        <f>Overview!K882</f>
        <v/>
      </c>
      <c r="G882" s="12" t="str">
        <f>Overview!L882</f>
        <v/>
      </c>
      <c r="H882" s="12" t="str">
        <f>Overview!M882</f>
        <v/>
      </c>
      <c r="I882" s="292" t="str">
        <f>Overview!N882</f>
        <v/>
      </c>
    </row>
    <row r="883">
      <c r="A883" s="12" t="str">
        <f>Overview!A883</f>
        <v/>
      </c>
      <c r="B883" s="12" t="str">
        <f>Overview!B883</f>
        <v/>
      </c>
      <c r="C883" s="12" t="str">
        <f>Overview!C883</f>
        <v/>
      </c>
      <c r="D883" s="12" t="str">
        <f>Overview!D883</f>
        <v/>
      </c>
      <c r="E883" s="12" t="str">
        <f>Overview!E883</f>
        <v/>
      </c>
      <c r="F883" s="12" t="str">
        <f>Overview!K883</f>
        <v/>
      </c>
      <c r="G883" s="12" t="str">
        <f>Overview!L883</f>
        <v/>
      </c>
      <c r="H883" s="12" t="str">
        <f>Overview!M883</f>
        <v/>
      </c>
      <c r="I883" s="292" t="str">
        <f>Overview!N883</f>
        <v/>
      </c>
    </row>
    <row r="884">
      <c r="A884" s="12" t="str">
        <f>Overview!A884</f>
        <v/>
      </c>
      <c r="B884" s="12" t="str">
        <f>Overview!B884</f>
        <v/>
      </c>
      <c r="C884" s="12" t="str">
        <f>Overview!C884</f>
        <v/>
      </c>
      <c r="D884" s="12" t="str">
        <f>Overview!D884</f>
        <v/>
      </c>
      <c r="E884" s="12" t="str">
        <f>Overview!E884</f>
        <v/>
      </c>
      <c r="F884" s="12" t="str">
        <f>Overview!K884</f>
        <v/>
      </c>
      <c r="G884" s="12" t="str">
        <f>Overview!L884</f>
        <v/>
      </c>
      <c r="H884" s="12" t="str">
        <f>Overview!M884</f>
        <v/>
      </c>
      <c r="I884" s="292" t="str">
        <f>Overview!N884</f>
        <v/>
      </c>
    </row>
    <row r="885">
      <c r="A885" s="12" t="str">
        <f>Overview!A885</f>
        <v/>
      </c>
      <c r="B885" s="12" t="str">
        <f>Overview!B885</f>
        <v/>
      </c>
      <c r="C885" s="12" t="str">
        <f>Overview!C885</f>
        <v/>
      </c>
      <c r="D885" s="12" t="str">
        <f>Overview!D885</f>
        <v/>
      </c>
      <c r="E885" s="12" t="str">
        <f>Overview!E885</f>
        <v/>
      </c>
      <c r="F885" s="12" t="str">
        <f>Overview!K885</f>
        <v/>
      </c>
      <c r="G885" s="12" t="str">
        <f>Overview!L885</f>
        <v/>
      </c>
      <c r="H885" s="12" t="str">
        <f>Overview!M885</f>
        <v/>
      </c>
      <c r="I885" s="292" t="str">
        <f>Overview!N885</f>
        <v/>
      </c>
    </row>
    <row r="886">
      <c r="A886" s="12" t="str">
        <f>Overview!A886</f>
        <v/>
      </c>
      <c r="B886" s="12" t="str">
        <f>Overview!B886</f>
        <v/>
      </c>
      <c r="C886" s="12" t="str">
        <f>Overview!C886</f>
        <v/>
      </c>
      <c r="D886" s="12" t="str">
        <f>Overview!D886</f>
        <v/>
      </c>
      <c r="E886" s="12" t="str">
        <f>Overview!E886</f>
        <v/>
      </c>
      <c r="F886" s="12" t="str">
        <f>Overview!K886</f>
        <v/>
      </c>
      <c r="G886" s="12" t="str">
        <f>Overview!L886</f>
        <v/>
      </c>
      <c r="H886" s="12" t="str">
        <f>Overview!M886</f>
        <v/>
      </c>
      <c r="I886" s="292" t="str">
        <f>Overview!N886</f>
        <v/>
      </c>
    </row>
    <row r="887">
      <c r="A887" s="12" t="str">
        <f>Overview!A887</f>
        <v/>
      </c>
      <c r="B887" s="12" t="str">
        <f>Overview!B887</f>
        <v/>
      </c>
      <c r="C887" s="12" t="str">
        <f>Overview!C887</f>
        <v/>
      </c>
      <c r="D887" s="12" t="str">
        <f>Overview!D887</f>
        <v/>
      </c>
      <c r="E887" s="12" t="str">
        <f>Overview!E887</f>
        <v/>
      </c>
      <c r="F887" s="12" t="str">
        <f>Overview!K887</f>
        <v/>
      </c>
      <c r="G887" s="12" t="str">
        <f>Overview!L887</f>
        <v/>
      </c>
      <c r="H887" s="12" t="str">
        <f>Overview!M887</f>
        <v/>
      </c>
      <c r="I887" s="292" t="str">
        <f>Overview!N887</f>
        <v/>
      </c>
    </row>
    <row r="888">
      <c r="A888" s="12" t="str">
        <f>Overview!A888</f>
        <v/>
      </c>
      <c r="B888" s="12" t="str">
        <f>Overview!B888</f>
        <v/>
      </c>
      <c r="C888" s="12" t="str">
        <f>Overview!C888</f>
        <v/>
      </c>
      <c r="D888" s="12" t="str">
        <f>Overview!D888</f>
        <v/>
      </c>
      <c r="E888" s="12" t="str">
        <f>Overview!E888</f>
        <v/>
      </c>
      <c r="F888" s="12" t="str">
        <f>Overview!K888</f>
        <v/>
      </c>
      <c r="G888" s="12" t="str">
        <f>Overview!L888</f>
        <v/>
      </c>
      <c r="H888" s="12" t="str">
        <f>Overview!M888</f>
        <v/>
      </c>
      <c r="I888" s="292" t="str">
        <f>Overview!N888</f>
        <v/>
      </c>
    </row>
    <row r="889">
      <c r="A889" s="12" t="str">
        <f>Overview!A889</f>
        <v/>
      </c>
      <c r="B889" s="12" t="str">
        <f>Overview!B889</f>
        <v/>
      </c>
      <c r="C889" s="12" t="str">
        <f>Overview!C889</f>
        <v/>
      </c>
      <c r="D889" s="12" t="str">
        <f>Overview!D889</f>
        <v/>
      </c>
      <c r="E889" s="12" t="str">
        <f>Overview!E889</f>
        <v/>
      </c>
      <c r="F889" s="12" t="str">
        <f>Overview!K889</f>
        <v/>
      </c>
      <c r="G889" s="12" t="str">
        <f>Overview!L889</f>
        <v/>
      </c>
      <c r="H889" s="12" t="str">
        <f>Overview!M889</f>
        <v/>
      </c>
      <c r="I889" s="292" t="str">
        <f>Overview!N889</f>
        <v/>
      </c>
    </row>
    <row r="890">
      <c r="A890" s="12" t="str">
        <f>Overview!A890</f>
        <v/>
      </c>
      <c r="B890" s="12" t="str">
        <f>Overview!B890</f>
        <v/>
      </c>
      <c r="C890" s="12" t="str">
        <f>Overview!C890</f>
        <v/>
      </c>
      <c r="D890" s="12" t="str">
        <f>Overview!D890</f>
        <v/>
      </c>
      <c r="E890" s="12" t="str">
        <f>Overview!E890</f>
        <v/>
      </c>
      <c r="F890" s="12" t="str">
        <f>Overview!K890</f>
        <v/>
      </c>
      <c r="G890" s="12" t="str">
        <f>Overview!L890</f>
        <v/>
      </c>
      <c r="H890" s="12" t="str">
        <f>Overview!M890</f>
        <v/>
      </c>
      <c r="I890" s="292" t="str">
        <f>Overview!N890</f>
        <v/>
      </c>
    </row>
    <row r="891">
      <c r="A891" s="12" t="str">
        <f>Overview!A891</f>
        <v/>
      </c>
      <c r="B891" s="12" t="str">
        <f>Overview!B891</f>
        <v/>
      </c>
      <c r="C891" s="12" t="str">
        <f>Overview!C891</f>
        <v/>
      </c>
      <c r="D891" s="12" t="str">
        <f>Overview!D891</f>
        <v/>
      </c>
      <c r="E891" s="12" t="str">
        <f>Overview!E891</f>
        <v/>
      </c>
      <c r="F891" s="12" t="str">
        <f>Overview!K891</f>
        <v/>
      </c>
      <c r="G891" s="12" t="str">
        <f>Overview!L891</f>
        <v/>
      </c>
      <c r="H891" s="12" t="str">
        <f>Overview!M891</f>
        <v/>
      </c>
      <c r="I891" s="292" t="str">
        <f>Overview!N891</f>
        <v/>
      </c>
    </row>
    <row r="892">
      <c r="A892" s="12" t="str">
        <f>Overview!A892</f>
        <v/>
      </c>
      <c r="B892" s="12" t="str">
        <f>Overview!B892</f>
        <v/>
      </c>
      <c r="C892" s="12" t="str">
        <f>Overview!C892</f>
        <v/>
      </c>
      <c r="D892" s="12" t="str">
        <f>Overview!D892</f>
        <v/>
      </c>
      <c r="E892" s="12" t="str">
        <f>Overview!E892</f>
        <v/>
      </c>
      <c r="F892" s="12" t="str">
        <f>Overview!K892</f>
        <v/>
      </c>
      <c r="G892" s="12" t="str">
        <f>Overview!L892</f>
        <v/>
      </c>
      <c r="H892" s="12" t="str">
        <f>Overview!M892</f>
        <v/>
      </c>
      <c r="I892" s="292" t="str">
        <f>Overview!N892</f>
        <v/>
      </c>
    </row>
    <row r="893">
      <c r="A893" s="12" t="str">
        <f>Overview!A893</f>
        <v/>
      </c>
      <c r="B893" s="12" t="str">
        <f>Overview!B893</f>
        <v/>
      </c>
      <c r="C893" s="12" t="str">
        <f>Overview!C893</f>
        <v/>
      </c>
      <c r="D893" s="12" t="str">
        <f>Overview!D893</f>
        <v/>
      </c>
      <c r="E893" s="12" t="str">
        <f>Overview!E893</f>
        <v/>
      </c>
      <c r="F893" s="12" t="str">
        <f>Overview!K893</f>
        <v/>
      </c>
      <c r="G893" s="12" t="str">
        <f>Overview!L893</f>
        <v/>
      </c>
      <c r="H893" s="12" t="str">
        <f>Overview!M893</f>
        <v/>
      </c>
      <c r="I893" s="292" t="str">
        <f>Overview!N893</f>
        <v/>
      </c>
    </row>
    <row r="894">
      <c r="A894" s="12" t="str">
        <f>Overview!A894</f>
        <v/>
      </c>
      <c r="B894" s="12" t="str">
        <f>Overview!B894</f>
        <v/>
      </c>
      <c r="C894" s="12" t="str">
        <f>Overview!C894</f>
        <v/>
      </c>
      <c r="D894" s="12" t="str">
        <f>Overview!D894</f>
        <v/>
      </c>
      <c r="E894" s="12" t="str">
        <f>Overview!E894</f>
        <v/>
      </c>
      <c r="F894" s="12" t="str">
        <f>Overview!K894</f>
        <v/>
      </c>
      <c r="G894" s="12" t="str">
        <f>Overview!L894</f>
        <v/>
      </c>
      <c r="H894" s="12" t="str">
        <f>Overview!M894</f>
        <v/>
      </c>
      <c r="I894" s="292" t="str">
        <f>Overview!N894</f>
        <v/>
      </c>
    </row>
    <row r="895">
      <c r="A895" s="12" t="str">
        <f>Overview!A895</f>
        <v/>
      </c>
      <c r="B895" s="12" t="str">
        <f>Overview!B895</f>
        <v/>
      </c>
      <c r="C895" s="12" t="str">
        <f>Overview!C895</f>
        <v/>
      </c>
      <c r="D895" s="12" t="str">
        <f>Overview!D895</f>
        <v/>
      </c>
      <c r="E895" s="12" t="str">
        <f>Overview!E895</f>
        <v/>
      </c>
      <c r="F895" s="12" t="str">
        <f>Overview!K895</f>
        <v/>
      </c>
      <c r="G895" s="12" t="str">
        <f>Overview!L895</f>
        <v/>
      </c>
      <c r="H895" s="12" t="str">
        <f>Overview!M895</f>
        <v/>
      </c>
      <c r="I895" s="292" t="str">
        <f>Overview!N895</f>
        <v/>
      </c>
    </row>
    <row r="896">
      <c r="A896" s="12" t="str">
        <f>Overview!A896</f>
        <v/>
      </c>
      <c r="B896" s="12" t="str">
        <f>Overview!B896</f>
        <v/>
      </c>
      <c r="C896" s="12" t="str">
        <f>Overview!C896</f>
        <v/>
      </c>
      <c r="D896" s="12" t="str">
        <f>Overview!D896</f>
        <v/>
      </c>
      <c r="E896" s="12" t="str">
        <f>Overview!E896</f>
        <v/>
      </c>
      <c r="F896" s="12" t="str">
        <f>Overview!K896</f>
        <v/>
      </c>
      <c r="G896" s="12" t="str">
        <f>Overview!L896</f>
        <v/>
      </c>
      <c r="H896" s="12" t="str">
        <f>Overview!M896</f>
        <v/>
      </c>
      <c r="I896" s="292" t="str">
        <f>Overview!N896</f>
        <v/>
      </c>
    </row>
    <row r="897">
      <c r="A897" s="12" t="str">
        <f>Overview!A897</f>
        <v/>
      </c>
      <c r="B897" s="12" t="str">
        <f>Overview!B897</f>
        <v/>
      </c>
      <c r="C897" s="12" t="str">
        <f>Overview!C897</f>
        <v/>
      </c>
      <c r="D897" s="12" t="str">
        <f>Overview!D897</f>
        <v/>
      </c>
      <c r="E897" s="12" t="str">
        <f>Overview!E897</f>
        <v/>
      </c>
      <c r="F897" s="12" t="str">
        <f>Overview!K897</f>
        <v/>
      </c>
      <c r="G897" s="12" t="str">
        <f>Overview!L897</f>
        <v/>
      </c>
      <c r="H897" s="12" t="str">
        <f>Overview!M897</f>
        <v/>
      </c>
      <c r="I897" s="292" t="str">
        <f>Overview!N897</f>
        <v/>
      </c>
    </row>
    <row r="898">
      <c r="A898" s="12" t="str">
        <f>Overview!A898</f>
        <v/>
      </c>
      <c r="B898" s="12" t="str">
        <f>Overview!B898</f>
        <v/>
      </c>
      <c r="C898" s="12" t="str">
        <f>Overview!C898</f>
        <v/>
      </c>
      <c r="D898" s="12" t="str">
        <f>Overview!D898</f>
        <v/>
      </c>
      <c r="E898" s="12" t="str">
        <f>Overview!E898</f>
        <v/>
      </c>
      <c r="F898" s="12" t="str">
        <f>Overview!K898</f>
        <v/>
      </c>
      <c r="G898" s="12" t="str">
        <f>Overview!L898</f>
        <v/>
      </c>
      <c r="H898" s="12" t="str">
        <f>Overview!M898</f>
        <v/>
      </c>
      <c r="I898" s="292" t="str">
        <f>Overview!N898</f>
        <v/>
      </c>
    </row>
    <row r="899">
      <c r="A899" s="12" t="str">
        <f>Overview!A899</f>
        <v/>
      </c>
      <c r="B899" s="12" t="str">
        <f>Overview!B899</f>
        <v/>
      </c>
      <c r="C899" s="12" t="str">
        <f>Overview!C899</f>
        <v/>
      </c>
      <c r="D899" s="12" t="str">
        <f>Overview!D899</f>
        <v/>
      </c>
      <c r="E899" s="12" t="str">
        <f>Overview!E899</f>
        <v/>
      </c>
      <c r="F899" s="12" t="str">
        <f>Overview!K899</f>
        <v/>
      </c>
      <c r="G899" s="12" t="str">
        <f>Overview!L899</f>
        <v/>
      </c>
      <c r="H899" s="12" t="str">
        <f>Overview!M899</f>
        <v/>
      </c>
      <c r="I899" s="292" t="str">
        <f>Overview!N899</f>
        <v/>
      </c>
    </row>
    <row r="900">
      <c r="A900" s="12" t="str">
        <f>Overview!A900</f>
        <v/>
      </c>
      <c r="B900" s="12" t="str">
        <f>Overview!B900</f>
        <v/>
      </c>
      <c r="C900" s="12" t="str">
        <f>Overview!C900</f>
        <v/>
      </c>
      <c r="D900" s="12" t="str">
        <f>Overview!D900</f>
        <v/>
      </c>
      <c r="E900" s="12" t="str">
        <f>Overview!E900</f>
        <v/>
      </c>
      <c r="F900" s="12" t="str">
        <f>Overview!K900</f>
        <v/>
      </c>
      <c r="G900" s="12" t="str">
        <f>Overview!L900</f>
        <v/>
      </c>
      <c r="H900" s="12" t="str">
        <f>Overview!M900</f>
        <v/>
      </c>
      <c r="I900" s="292" t="str">
        <f>Overview!N900</f>
        <v/>
      </c>
    </row>
    <row r="901">
      <c r="A901" s="12" t="str">
        <f>Overview!A901</f>
        <v/>
      </c>
      <c r="B901" s="12" t="str">
        <f>Overview!B901</f>
        <v/>
      </c>
      <c r="C901" s="12" t="str">
        <f>Overview!C901</f>
        <v/>
      </c>
      <c r="D901" s="12" t="str">
        <f>Overview!D901</f>
        <v/>
      </c>
      <c r="E901" s="12" t="str">
        <f>Overview!E901</f>
        <v/>
      </c>
      <c r="F901" s="12" t="str">
        <f>Overview!K901</f>
        <v/>
      </c>
      <c r="G901" s="12" t="str">
        <f>Overview!L901</f>
        <v/>
      </c>
      <c r="H901" s="12" t="str">
        <f>Overview!M901</f>
        <v/>
      </c>
      <c r="I901" s="292" t="str">
        <f>Overview!N901</f>
        <v/>
      </c>
    </row>
    <row r="902">
      <c r="A902" s="12" t="str">
        <f>Overview!A902</f>
        <v/>
      </c>
      <c r="B902" s="12" t="str">
        <f>Overview!B902</f>
        <v/>
      </c>
      <c r="C902" s="12" t="str">
        <f>Overview!C902</f>
        <v/>
      </c>
      <c r="D902" s="12" t="str">
        <f>Overview!D902</f>
        <v/>
      </c>
      <c r="E902" s="12" t="str">
        <f>Overview!E902</f>
        <v/>
      </c>
      <c r="F902" s="12" t="str">
        <f>Overview!K902</f>
        <v/>
      </c>
      <c r="G902" s="12" t="str">
        <f>Overview!L902</f>
        <v/>
      </c>
      <c r="H902" s="12" t="str">
        <f>Overview!M902</f>
        <v/>
      </c>
      <c r="I902" s="292" t="str">
        <f>Overview!N902</f>
        <v/>
      </c>
    </row>
    <row r="903">
      <c r="A903" s="12" t="str">
        <f>Overview!A903</f>
        <v/>
      </c>
      <c r="B903" s="12" t="str">
        <f>Overview!B903</f>
        <v/>
      </c>
      <c r="C903" s="12" t="str">
        <f>Overview!C903</f>
        <v/>
      </c>
      <c r="D903" s="12" t="str">
        <f>Overview!D903</f>
        <v/>
      </c>
      <c r="E903" s="12" t="str">
        <f>Overview!E903</f>
        <v/>
      </c>
      <c r="F903" s="12" t="str">
        <f>Overview!K903</f>
        <v/>
      </c>
      <c r="G903" s="12" t="str">
        <f>Overview!L903</f>
        <v/>
      </c>
      <c r="H903" s="12" t="str">
        <f>Overview!M903</f>
        <v/>
      </c>
      <c r="I903" s="292" t="str">
        <f>Overview!N903</f>
        <v/>
      </c>
    </row>
    <row r="904">
      <c r="A904" s="12" t="str">
        <f>Overview!A904</f>
        <v/>
      </c>
      <c r="B904" s="12" t="str">
        <f>Overview!B904</f>
        <v/>
      </c>
      <c r="C904" s="12" t="str">
        <f>Overview!C904</f>
        <v/>
      </c>
      <c r="D904" s="12" t="str">
        <f>Overview!D904</f>
        <v/>
      </c>
      <c r="E904" s="12" t="str">
        <f>Overview!E904</f>
        <v/>
      </c>
      <c r="F904" s="12" t="str">
        <f>Overview!K904</f>
        <v/>
      </c>
      <c r="G904" s="12" t="str">
        <f>Overview!L904</f>
        <v/>
      </c>
      <c r="H904" s="12" t="str">
        <f>Overview!M904</f>
        <v/>
      </c>
      <c r="I904" s="292" t="str">
        <f>Overview!N904</f>
        <v/>
      </c>
    </row>
    <row r="905">
      <c r="A905" s="12" t="str">
        <f>Overview!A905</f>
        <v/>
      </c>
      <c r="B905" s="12" t="str">
        <f>Overview!B905</f>
        <v/>
      </c>
      <c r="C905" s="12" t="str">
        <f>Overview!C905</f>
        <v/>
      </c>
      <c r="D905" s="12" t="str">
        <f>Overview!D905</f>
        <v/>
      </c>
      <c r="E905" s="12" t="str">
        <f>Overview!E905</f>
        <v/>
      </c>
      <c r="F905" s="12" t="str">
        <f>Overview!K905</f>
        <v/>
      </c>
      <c r="G905" s="12" t="str">
        <f>Overview!L905</f>
        <v/>
      </c>
      <c r="H905" s="12" t="str">
        <f>Overview!M905</f>
        <v/>
      </c>
      <c r="I905" s="292" t="str">
        <f>Overview!N905</f>
        <v/>
      </c>
    </row>
    <row r="906">
      <c r="A906" s="12" t="str">
        <f>Overview!A906</f>
        <v/>
      </c>
      <c r="B906" s="12" t="str">
        <f>Overview!B906</f>
        <v/>
      </c>
      <c r="C906" s="12" t="str">
        <f>Overview!C906</f>
        <v/>
      </c>
      <c r="D906" s="12" t="str">
        <f>Overview!D906</f>
        <v/>
      </c>
      <c r="E906" s="12" t="str">
        <f>Overview!E906</f>
        <v/>
      </c>
      <c r="F906" s="12" t="str">
        <f>Overview!K906</f>
        <v/>
      </c>
      <c r="G906" s="12" t="str">
        <f>Overview!L906</f>
        <v/>
      </c>
      <c r="H906" s="12" t="str">
        <f>Overview!M906</f>
        <v/>
      </c>
      <c r="I906" s="292" t="str">
        <f>Overview!N906</f>
        <v/>
      </c>
    </row>
    <row r="907">
      <c r="A907" s="12" t="str">
        <f>Overview!A907</f>
        <v/>
      </c>
      <c r="B907" s="12" t="str">
        <f>Overview!B907</f>
        <v/>
      </c>
      <c r="C907" s="12" t="str">
        <f>Overview!C907</f>
        <v/>
      </c>
      <c r="D907" s="12" t="str">
        <f>Overview!D907</f>
        <v/>
      </c>
      <c r="E907" s="12" t="str">
        <f>Overview!E907</f>
        <v/>
      </c>
      <c r="F907" s="12" t="str">
        <f>Overview!K907</f>
        <v/>
      </c>
      <c r="G907" s="12" t="str">
        <f>Overview!L907</f>
        <v/>
      </c>
      <c r="H907" s="12" t="str">
        <f>Overview!M907</f>
        <v/>
      </c>
      <c r="I907" s="292" t="str">
        <f>Overview!N907</f>
        <v/>
      </c>
    </row>
    <row r="908">
      <c r="A908" s="12" t="str">
        <f>Overview!A908</f>
        <v/>
      </c>
      <c r="B908" s="12" t="str">
        <f>Overview!B908</f>
        <v/>
      </c>
      <c r="C908" s="12" t="str">
        <f>Overview!C908</f>
        <v/>
      </c>
      <c r="D908" s="12" t="str">
        <f>Overview!D908</f>
        <v/>
      </c>
      <c r="E908" s="12" t="str">
        <f>Overview!E908</f>
        <v/>
      </c>
      <c r="F908" s="12" t="str">
        <f>Overview!K908</f>
        <v/>
      </c>
      <c r="G908" s="12" t="str">
        <f>Overview!L908</f>
        <v/>
      </c>
      <c r="H908" s="12" t="str">
        <f>Overview!M908</f>
        <v/>
      </c>
      <c r="I908" s="292" t="str">
        <f>Overview!N908</f>
        <v/>
      </c>
    </row>
    <row r="909">
      <c r="A909" s="12" t="str">
        <f>Overview!A909</f>
        <v/>
      </c>
      <c r="B909" s="12" t="str">
        <f>Overview!B909</f>
        <v/>
      </c>
      <c r="C909" s="12" t="str">
        <f>Overview!C909</f>
        <v/>
      </c>
      <c r="D909" s="12" t="str">
        <f>Overview!D909</f>
        <v/>
      </c>
      <c r="E909" s="12" t="str">
        <f>Overview!E909</f>
        <v/>
      </c>
      <c r="F909" s="12" t="str">
        <f>Overview!K909</f>
        <v/>
      </c>
      <c r="G909" s="12" t="str">
        <f>Overview!L909</f>
        <v/>
      </c>
      <c r="H909" s="12" t="str">
        <f>Overview!M909</f>
        <v/>
      </c>
      <c r="I909" s="292" t="str">
        <f>Overview!N909</f>
        <v/>
      </c>
    </row>
    <row r="910">
      <c r="A910" s="12" t="str">
        <f>Overview!A910</f>
        <v/>
      </c>
      <c r="B910" s="12" t="str">
        <f>Overview!B910</f>
        <v/>
      </c>
      <c r="C910" s="12" t="str">
        <f>Overview!C910</f>
        <v/>
      </c>
      <c r="D910" s="12" t="str">
        <f>Overview!D910</f>
        <v/>
      </c>
      <c r="E910" s="12" t="str">
        <f>Overview!E910</f>
        <v/>
      </c>
      <c r="F910" s="12" t="str">
        <f>Overview!K910</f>
        <v/>
      </c>
      <c r="G910" s="12" t="str">
        <f>Overview!L910</f>
        <v/>
      </c>
      <c r="H910" s="12" t="str">
        <f>Overview!M910</f>
        <v/>
      </c>
      <c r="I910" s="292" t="str">
        <f>Overview!N910</f>
        <v/>
      </c>
    </row>
    <row r="911">
      <c r="A911" s="12" t="str">
        <f>Overview!A911</f>
        <v/>
      </c>
      <c r="B911" s="12" t="str">
        <f>Overview!B911</f>
        <v/>
      </c>
      <c r="C911" s="12" t="str">
        <f>Overview!C911</f>
        <v/>
      </c>
      <c r="D911" s="12" t="str">
        <f>Overview!D911</f>
        <v/>
      </c>
      <c r="E911" s="12" t="str">
        <f>Overview!E911</f>
        <v/>
      </c>
      <c r="F911" s="12" t="str">
        <f>Overview!K911</f>
        <v/>
      </c>
      <c r="G911" s="12" t="str">
        <f>Overview!L911</f>
        <v/>
      </c>
      <c r="H911" s="12" t="str">
        <f>Overview!M911</f>
        <v/>
      </c>
      <c r="I911" s="292" t="str">
        <f>Overview!N911</f>
        <v/>
      </c>
    </row>
    <row r="912">
      <c r="A912" s="12" t="str">
        <f>Overview!A912</f>
        <v/>
      </c>
      <c r="B912" s="12" t="str">
        <f>Overview!B912</f>
        <v/>
      </c>
      <c r="C912" s="12" t="str">
        <f>Overview!C912</f>
        <v/>
      </c>
      <c r="D912" s="12" t="str">
        <f>Overview!D912</f>
        <v/>
      </c>
      <c r="E912" s="12" t="str">
        <f>Overview!E912</f>
        <v/>
      </c>
      <c r="F912" s="12" t="str">
        <f>Overview!K912</f>
        <v/>
      </c>
      <c r="G912" s="12" t="str">
        <f>Overview!L912</f>
        <v/>
      </c>
      <c r="H912" s="12" t="str">
        <f>Overview!M912</f>
        <v/>
      </c>
      <c r="I912" s="292" t="str">
        <f>Overview!N912</f>
        <v/>
      </c>
    </row>
    <row r="913">
      <c r="A913" s="12" t="str">
        <f>Overview!A913</f>
        <v/>
      </c>
      <c r="B913" s="12" t="str">
        <f>Overview!B913</f>
        <v/>
      </c>
      <c r="C913" s="12" t="str">
        <f>Overview!C913</f>
        <v/>
      </c>
      <c r="D913" s="12" t="str">
        <f>Overview!D913</f>
        <v/>
      </c>
      <c r="E913" s="12" t="str">
        <f>Overview!E913</f>
        <v/>
      </c>
      <c r="F913" s="12" t="str">
        <f>Overview!K913</f>
        <v/>
      </c>
      <c r="G913" s="12" t="str">
        <f>Overview!L913</f>
        <v/>
      </c>
      <c r="H913" s="12" t="str">
        <f>Overview!M913</f>
        <v/>
      </c>
      <c r="I913" s="292" t="str">
        <f>Overview!N913</f>
        <v/>
      </c>
    </row>
    <row r="914">
      <c r="A914" s="12" t="str">
        <f>Overview!A914</f>
        <v/>
      </c>
      <c r="B914" s="12" t="str">
        <f>Overview!B914</f>
        <v/>
      </c>
      <c r="C914" s="12" t="str">
        <f>Overview!C914</f>
        <v/>
      </c>
      <c r="D914" s="12" t="str">
        <f>Overview!D914</f>
        <v/>
      </c>
      <c r="E914" s="12" t="str">
        <f>Overview!E914</f>
        <v/>
      </c>
      <c r="F914" s="12" t="str">
        <f>Overview!K914</f>
        <v/>
      </c>
      <c r="G914" s="12" t="str">
        <f>Overview!L914</f>
        <v/>
      </c>
      <c r="H914" s="12" t="str">
        <f>Overview!M914</f>
        <v/>
      </c>
      <c r="I914" s="292" t="str">
        <f>Overview!N914</f>
        <v/>
      </c>
    </row>
    <row r="915">
      <c r="A915" s="12" t="str">
        <f>Overview!A915</f>
        <v/>
      </c>
      <c r="B915" s="12" t="str">
        <f>Overview!B915</f>
        <v/>
      </c>
      <c r="C915" s="12" t="str">
        <f>Overview!C915</f>
        <v/>
      </c>
      <c r="D915" s="12" t="str">
        <f>Overview!D915</f>
        <v/>
      </c>
      <c r="E915" s="12" t="str">
        <f>Overview!E915</f>
        <v/>
      </c>
      <c r="F915" s="12" t="str">
        <f>Overview!K915</f>
        <v/>
      </c>
      <c r="G915" s="12" t="str">
        <f>Overview!L915</f>
        <v/>
      </c>
      <c r="H915" s="12" t="str">
        <f>Overview!M915</f>
        <v/>
      </c>
      <c r="I915" s="292" t="str">
        <f>Overview!N915</f>
        <v/>
      </c>
    </row>
    <row r="916">
      <c r="A916" s="12" t="str">
        <f>Overview!A916</f>
        <v/>
      </c>
      <c r="B916" s="12" t="str">
        <f>Overview!B916</f>
        <v/>
      </c>
      <c r="C916" s="12" t="str">
        <f>Overview!C916</f>
        <v/>
      </c>
      <c r="D916" s="12" t="str">
        <f>Overview!D916</f>
        <v/>
      </c>
      <c r="E916" s="12" t="str">
        <f>Overview!E916</f>
        <v/>
      </c>
      <c r="F916" s="12" t="str">
        <f>Overview!K916</f>
        <v/>
      </c>
      <c r="G916" s="12" t="str">
        <f>Overview!L916</f>
        <v/>
      </c>
      <c r="H916" s="12" t="str">
        <f>Overview!M916</f>
        <v/>
      </c>
      <c r="I916" s="292" t="str">
        <f>Overview!N916</f>
        <v/>
      </c>
    </row>
    <row r="917">
      <c r="A917" s="12" t="str">
        <f>Overview!A917</f>
        <v/>
      </c>
      <c r="B917" s="12" t="str">
        <f>Overview!B917</f>
        <v/>
      </c>
      <c r="C917" s="12" t="str">
        <f>Overview!C917</f>
        <v/>
      </c>
      <c r="D917" s="12" t="str">
        <f>Overview!D917</f>
        <v/>
      </c>
      <c r="E917" s="12" t="str">
        <f>Overview!E917</f>
        <v/>
      </c>
      <c r="F917" s="12" t="str">
        <f>Overview!K917</f>
        <v/>
      </c>
      <c r="G917" s="12" t="str">
        <f>Overview!L917</f>
        <v/>
      </c>
      <c r="H917" s="12" t="str">
        <f>Overview!M917</f>
        <v/>
      </c>
      <c r="I917" s="292" t="str">
        <f>Overview!N917</f>
        <v/>
      </c>
    </row>
    <row r="918">
      <c r="A918" s="12" t="str">
        <f>Overview!A918</f>
        <v/>
      </c>
      <c r="B918" s="12" t="str">
        <f>Overview!B918</f>
        <v/>
      </c>
      <c r="C918" s="12" t="str">
        <f>Overview!C918</f>
        <v/>
      </c>
      <c r="D918" s="12" t="str">
        <f>Overview!D918</f>
        <v/>
      </c>
      <c r="E918" s="12" t="str">
        <f>Overview!E918</f>
        <v/>
      </c>
      <c r="F918" s="12" t="str">
        <f>Overview!K918</f>
        <v/>
      </c>
      <c r="G918" s="12" t="str">
        <f>Overview!L918</f>
        <v/>
      </c>
      <c r="H918" s="12" t="str">
        <f>Overview!M918</f>
        <v/>
      </c>
      <c r="I918" s="292" t="str">
        <f>Overview!N918</f>
        <v/>
      </c>
    </row>
    <row r="919">
      <c r="A919" s="12" t="str">
        <f>Overview!A919</f>
        <v/>
      </c>
      <c r="B919" s="12" t="str">
        <f>Overview!B919</f>
        <v/>
      </c>
      <c r="C919" s="12" t="str">
        <f>Overview!C919</f>
        <v/>
      </c>
      <c r="D919" s="12" t="str">
        <f>Overview!D919</f>
        <v/>
      </c>
      <c r="E919" s="12" t="str">
        <f>Overview!E919</f>
        <v/>
      </c>
      <c r="F919" s="12" t="str">
        <f>Overview!K919</f>
        <v/>
      </c>
      <c r="G919" s="12" t="str">
        <f>Overview!L919</f>
        <v/>
      </c>
      <c r="H919" s="12" t="str">
        <f>Overview!M919</f>
        <v/>
      </c>
      <c r="I919" s="292" t="str">
        <f>Overview!N919</f>
        <v/>
      </c>
    </row>
    <row r="920">
      <c r="A920" s="12" t="str">
        <f>Overview!A920</f>
        <v/>
      </c>
      <c r="B920" s="12" t="str">
        <f>Overview!B920</f>
        <v/>
      </c>
      <c r="C920" s="12" t="str">
        <f>Overview!C920</f>
        <v/>
      </c>
      <c r="D920" s="12" t="str">
        <f>Overview!D920</f>
        <v/>
      </c>
      <c r="E920" s="12" t="str">
        <f>Overview!E920</f>
        <v/>
      </c>
      <c r="F920" s="12" t="str">
        <f>Overview!K920</f>
        <v/>
      </c>
      <c r="G920" s="12" t="str">
        <f>Overview!L920</f>
        <v/>
      </c>
      <c r="H920" s="12" t="str">
        <f>Overview!M920</f>
        <v/>
      </c>
      <c r="I920" s="292" t="str">
        <f>Overview!N920</f>
        <v/>
      </c>
    </row>
    <row r="921">
      <c r="A921" s="12" t="str">
        <f>Overview!A921</f>
        <v/>
      </c>
      <c r="B921" s="12" t="str">
        <f>Overview!B921</f>
        <v/>
      </c>
      <c r="C921" s="12" t="str">
        <f>Overview!C921</f>
        <v/>
      </c>
      <c r="D921" s="12" t="str">
        <f>Overview!D921</f>
        <v/>
      </c>
      <c r="E921" s="12" t="str">
        <f>Overview!E921</f>
        <v/>
      </c>
      <c r="F921" s="12" t="str">
        <f>Overview!K921</f>
        <v/>
      </c>
      <c r="G921" s="12" t="str">
        <f>Overview!L921</f>
        <v/>
      </c>
      <c r="H921" s="12" t="str">
        <f>Overview!M921</f>
        <v/>
      </c>
      <c r="I921" s="292" t="str">
        <f>Overview!N921</f>
        <v/>
      </c>
    </row>
    <row r="922">
      <c r="A922" s="12" t="str">
        <f>Overview!A922</f>
        <v/>
      </c>
      <c r="B922" s="12" t="str">
        <f>Overview!B922</f>
        <v/>
      </c>
      <c r="C922" s="12" t="str">
        <f>Overview!C922</f>
        <v/>
      </c>
      <c r="D922" s="12" t="str">
        <f>Overview!D922</f>
        <v/>
      </c>
      <c r="E922" s="12" t="str">
        <f>Overview!E922</f>
        <v/>
      </c>
      <c r="F922" s="12" t="str">
        <f>Overview!K922</f>
        <v/>
      </c>
      <c r="G922" s="12" t="str">
        <f>Overview!L922</f>
        <v/>
      </c>
      <c r="H922" s="12" t="str">
        <f>Overview!M922</f>
        <v/>
      </c>
      <c r="I922" s="292" t="str">
        <f>Overview!N922</f>
        <v/>
      </c>
    </row>
    <row r="923">
      <c r="A923" s="12" t="str">
        <f>Overview!A923</f>
        <v/>
      </c>
      <c r="B923" s="12" t="str">
        <f>Overview!B923</f>
        <v/>
      </c>
      <c r="C923" s="12" t="str">
        <f>Overview!C923</f>
        <v/>
      </c>
      <c r="D923" s="12" t="str">
        <f>Overview!D923</f>
        <v/>
      </c>
      <c r="E923" s="12" t="str">
        <f>Overview!E923</f>
        <v/>
      </c>
      <c r="F923" s="12" t="str">
        <f>Overview!K923</f>
        <v/>
      </c>
      <c r="G923" s="12" t="str">
        <f>Overview!L923</f>
        <v/>
      </c>
      <c r="H923" s="12" t="str">
        <f>Overview!M923</f>
        <v/>
      </c>
      <c r="I923" s="292" t="str">
        <f>Overview!N923</f>
        <v/>
      </c>
    </row>
    <row r="924">
      <c r="A924" s="12" t="str">
        <f>Overview!A924</f>
        <v/>
      </c>
      <c r="B924" s="12" t="str">
        <f>Overview!B924</f>
        <v/>
      </c>
      <c r="C924" s="12" t="str">
        <f>Overview!C924</f>
        <v/>
      </c>
      <c r="D924" s="12" t="str">
        <f>Overview!D924</f>
        <v/>
      </c>
      <c r="E924" s="12" t="str">
        <f>Overview!E924</f>
        <v/>
      </c>
      <c r="F924" s="12" t="str">
        <f>Overview!K924</f>
        <v/>
      </c>
      <c r="G924" s="12" t="str">
        <f>Overview!L924</f>
        <v/>
      </c>
      <c r="H924" s="12" t="str">
        <f>Overview!M924</f>
        <v/>
      </c>
      <c r="I924" s="292" t="str">
        <f>Overview!N924</f>
        <v/>
      </c>
    </row>
    <row r="925">
      <c r="A925" s="12" t="str">
        <f>Overview!A925</f>
        <v/>
      </c>
      <c r="B925" s="12" t="str">
        <f>Overview!B925</f>
        <v/>
      </c>
      <c r="C925" s="12" t="str">
        <f>Overview!C925</f>
        <v/>
      </c>
      <c r="D925" s="12" t="str">
        <f>Overview!D925</f>
        <v/>
      </c>
      <c r="E925" s="12" t="str">
        <f>Overview!E925</f>
        <v/>
      </c>
      <c r="F925" s="12" t="str">
        <f>Overview!K925</f>
        <v/>
      </c>
      <c r="G925" s="12" t="str">
        <f>Overview!L925</f>
        <v/>
      </c>
      <c r="H925" s="12" t="str">
        <f>Overview!M925</f>
        <v/>
      </c>
      <c r="I925" s="292" t="str">
        <f>Overview!N925</f>
        <v/>
      </c>
    </row>
    <row r="926">
      <c r="A926" s="12" t="str">
        <f>Overview!A926</f>
        <v/>
      </c>
      <c r="B926" s="12" t="str">
        <f>Overview!B926</f>
        <v/>
      </c>
      <c r="C926" s="12" t="str">
        <f>Overview!C926</f>
        <v/>
      </c>
      <c r="D926" s="12" t="str">
        <f>Overview!D926</f>
        <v/>
      </c>
      <c r="E926" s="12" t="str">
        <f>Overview!E926</f>
        <v/>
      </c>
      <c r="F926" s="12" t="str">
        <f>Overview!K926</f>
        <v/>
      </c>
      <c r="G926" s="12" t="str">
        <f>Overview!L926</f>
        <v/>
      </c>
      <c r="H926" s="12" t="str">
        <f>Overview!M926</f>
        <v/>
      </c>
      <c r="I926" s="292" t="str">
        <f>Overview!N926</f>
        <v/>
      </c>
    </row>
    <row r="927">
      <c r="A927" s="12" t="str">
        <f>Overview!A927</f>
        <v/>
      </c>
      <c r="B927" s="12" t="str">
        <f>Overview!B927</f>
        <v/>
      </c>
      <c r="C927" s="12" t="str">
        <f>Overview!C927</f>
        <v/>
      </c>
      <c r="D927" s="12" t="str">
        <f>Overview!D927</f>
        <v/>
      </c>
      <c r="E927" s="12" t="str">
        <f>Overview!E927</f>
        <v/>
      </c>
      <c r="F927" s="12" t="str">
        <f>Overview!K927</f>
        <v/>
      </c>
      <c r="G927" s="12" t="str">
        <f>Overview!L927</f>
        <v/>
      </c>
      <c r="H927" s="12" t="str">
        <f>Overview!M927</f>
        <v/>
      </c>
      <c r="I927" s="292" t="str">
        <f>Overview!N927</f>
        <v/>
      </c>
    </row>
    <row r="928">
      <c r="A928" s="12" t="str">
        <f>Overview!A928</f>
        <v/>
      </c>
      <c r="B928" s="12" t="str">
        <f>Overview!B928</f>
        <v/>
      </c>
      <c r="C928" s="12" t="str">
        <f>Overview!C928</f>
        <v/>
      </c>
      <c r="D928" s="12" t="str">
        <f>Overview!D928</f>
        <v/>
      </c>
      <c r="E928" s="12" t="str">
        <f>Overview!E928</f>
        <v/>
      </c>
      <c r="F928" s="12" t="str">
        <f>Overview!K928</f>
        <v/>
      </c>
      <c r="G928" s="12" t="str">
        <f>Overview!L928</f>
        <v/>
      </c>
      <c r="H928" s="12" t="str">
        <f>Overview!M928</f>
        <v/>
      </c>
      <c r="I928" s="292" t="str">
        <f>Overview!N928</f>
        <v/>
      </c>
    </row>
    <row r="929">
      <c r="A929" s="12" t="str">
        <f>Overview!A929</f>
        <v/>
      </c>
      <c r="B929" s="12" t="str">
        <f>Overview!B929</f>
        <v/>
      </c>
      <c r="C929" s="12" t="str">
        <f>Overview!C929</f>
        <v/>
      </c>
      <c r="D929" s="12" t="str">
        <f>Overview!D929</f>
        <v/>
      </c>
      <c r="E929" s="12" t="str">
        <f>Overview!E929</f>
        <v/>
      </c>
      <c r="F929" s="12" t="str">
        <f>Overview!K929</f>
        <v/>
      </c>
      <c r="G929" s="12" t="str">
        <f>Overview!L929</f>
        <v/>
      </c>
      <c r="H929" s="12" t="str">
        <f>Overview!M929</f>
        <v/>
      </c>
      <c r="I929" s="292" t="str">
        <f>Overview!N929</f>
        <v/>
      </c>
    </row>
    <row r="930">
      <c r="A930" s="12" t="str">
        <f>Overview!A930</f>
        <v/>
      </c>
      <c r="B930" s="12" t="str">
        <f>Overview!B930</f>
        <v/>
      </c>
      <c r="C930" s="12" t="str">
        <f>Overview!C930</f>
        <v/>
      </c>
      <c r="D930" s="12" t="str">
        <f>Overview!D930</f>
        <v/>
      </c>
      <c r="E930" s="12" t="str">
        <f>Overview!E930</f>
        <v/>
      </c>
      <c r="F930" s="12" t="str">
        <f>Overview!K930</f>
        <v/>
      </c>
      <c r="G930" s="12" t="str">
        <f>Overview!L930</f>
        <v/>
      </c>
      <c r="H930" s="12" t="str">
        <f>Overview!M930</f>
        <v/>
      </c>
      <c r="I930" s="292" t="str">
        <f>Overview!N930</f>
        <v/>
      </c>
    </row>
    <row r="931">
      <c r="A931" s="12" t="str">
        <f>Overview!A931</f>
        <v/>
      </c>
      <c r="B931" s="12" t="str">
        <f>Overview!B931</f>
        <v/>
      </c>
      <c r="C931" s="12" t="str">
        <f>Overview!C931</f>
        <v/>
      </c>
      <c r="D931" s="12" t="str">
        <f>Overview!D931</f>
        <v/>
      </c>
      <c r="E931" s="12" t="str">
        <f>Overview!E931</f>
        <v/>
      </c>
      <c r="F931" s="12" t="str">
        <f>Overview!K931</f>
        <v/>
      </c>
      <c r="G931" s="12" t="str">
        <f>Overview!L931</f>
        <v/>
      </c>
      <c r="H931" s="12" t="str">
        <f>Overview!M931</f>
        <v/>
      </c>
      <c r="I931" s="292" t="str">
        <f>Overview!N931</f>
        <v/>
      </c>
    </row>
    <row r="932">
      <c r="A932" s="12" t="str">
        <f>Overview!A932</f>
        <v/>
      </c>
      <c r="B932" s="12" t="str">
        <f>Overview!B932</f>
        <v/>
      </c>
      <c r="C932" s="12" t="str">
        <f>Overview!C932</f>
        <v/>
      </c>
      <c r="D932" s="12" t="str">
        <f>Overview!D932</f>
        <v/>
      </c>
      <c r="E932" s="12" t="str">
        <f>Overview!E932</f>
        <v/>
      </c>
      <c r="F932" s="12" t="str">
        <f>Overview!K932</f>
        <v/>
      </c>
      <c r="G932" s="12" t="str">
        <f>Overview!L932</f>
        <v/>
      </c>
      <c r="H932" s="12" t="str">
        <f>Overview!M932</f>
        <v/>
      </c>
      <c r="I932" s="292" t="str">
        <f>Overview!N932</f>
        <v/>
      </c>
    </row>
    <row r="933">
      <c r="A933" s="12" t="str">
        <f>Overview!A933</f>
        <v/>
      </c>
      <c r="B933" s="12" t="str">
        <f>Overview!B933</f>
        <v/>
      </c>
      <c r="C933" s="12" t="str">
        <f>Overview!C933</f>
        <v/>
      </c>
      <c r="D933" s="12" t="str">
        <f>Overview!D933</f>
        <v/>
      </c>
      <c r="E933" s="12" t="str">
        <f>Overview!E933</f>
        <v/>
      </c>
      <c r="F933" s="12" t="str">
        <f>Overview!K933</f>
        <v/>
      </c>
      <c r="G933" s="12" t="str">
        <f>Overview!L933</f>
        <v/>
      </c>
      <c r="H933" s="12" t="str">
        <f>Overview!M933</f>
        <v/>
      </c>
      <c r="I933" s="292" t="str">
        <f>Overview!N933</f>
        <v/>
      </c>
    </row>
    <row r="934">
      <c r="A934" s="12" t="str">
        <f>Overview!A934</f>
        <v/>
      </c>
      <c r="B934" s="12" t="str">
        <f>Overview!B934</f>
        <v/>
      </c>
      <c r="C934" s="12" t="str">
        <f>Overview!C934</f>
        <v/>
      </c>
      <c r="D934" s="12" t="str">
        <f>Overview!D934</f>
        <v/>
      </c>
      <c r="E934" s="12" t="str">
        <f>Overview!E934</f>
        <v/>
      </c>
      <c r="F934" s="12" t="str">
        <f>Overview!K934</f>
        <v/>
      </c>
      <c r="G934" s="12" t="str">
        <f>Overview!L934</f>
        <v/>
      </c>
      <c r="H934" s="12" t="str">
        <f>Overview!M934</f>
        <v/>
      </c>
      <c r="I934" s="292" t="str">
        <f>Overview!N934</f>
        <v/>
      </c>
    </row>
    <row r="935">
      <c r="A935" s="12" t="str">
        <f>Overview!A935</f>
        <v/>
      </c>
      <c r="B935" s="12" t="str">
        <f>Overview!B935</f>
        <v/>
      </c>
      <c r="C935" s="12" t="str">
        <f>Overview!C935</f>
        <v/>
      </c>
      <c r="D935" s="12" t="str">
        <f>Overview!D935</f>
        <v/>
      </c>
      <c r="E935" s="12" t="str">
        <f>Overview!E935</f>
        <v/>
      </c>
      <c r="F935" s="12" t="str">
        <f>Overview!K935</f>
        <v/>
      </c>
      <c r="G935" s="12" t="str">
        <f>Overview!L935</f>
        <v/>
      </c>
      <c r="H935" s="12" t="str">
        <f>Overview!M935</f>
        <v/>
      </c>
      <c r="I935" s="292" t="str">
        <f>Overview!N935</f>
        <v/>
      </c>
    </row>
    <row r="936">
      <c r="A936" s="12" t="str">
        <f>Overview!A936</f>
        <v/>
      </c>
      <c r="B936" s="12" t="str">
        <f>Overview!B936</f>
        <v/>
      </c>
      <c r="C936" s="12" t="str">
        <f>Overview!C936</f>
        <v/>
      </c>
      <c r="D936" s="12" t="str">
        <f>Overview!D936</f>
        <v/>
      </c>
      <c r="E936" s="12" t="str">
        <f>Overview!E936</f>
        <v/>
      </c>
      <c r="F936" s="12" t="str">
        <f>Overview!K936</f>
        <v/>
      </c>
      <c r="G936" s="12" t="str">
        <f>Overview!L936</f>
        <v/>
      </c>
      <c r="H936" s="12" t="str">
        <f>Overview!M936</f>
        <v/>
      </c>
      <c r="I936" s="292" t="str">
        <f>Overview!N936</f>
        <v/>
      </c>
    </row>
    <row r="937">
      <c r="A937" s="12" t="str">
        <f>Overview!A937</f>
        <v/>
      </c>
      <c r="B937" s="12" t="str">
        <f>Overview!B937</f>
        <v/>
      </c>
      <c r="C937" s="12" t="str">
        <f>Overview!C937</f>
        <v/>
      </c>
      <c r="D937" s="12" t="str">
        <f>Overview!D937</f>
        <v/>
      </c>
      <c r="E937" s="12" t="str">
        <f>Overview!E937</f>
        <v/>
      </c>
      <c r="F937" s="12" t="str">
        <f>Overview!K937</f>
        <v/>
      </c>
      <c r="G937" s="12" t="str">
        <f>Overview!L937</f>
        <v/>
      </c>
      <c r="H937" s="12" t="str">
        <f>Overview!M937</f>
        <v/>
      </c>
      <c r="I937" s="292" t="str">
        <f>Overview!N937</f>
        <v/>
      </c>
    </row>
    <row r="938">
      <c r="A938" s="12" t="str">
        <f>Overview!A938</f>
        <v/>
      </c>
      <c r="B938" s="12" t="str">
        <f>Overview!B938</f>
        <v/>
      </c>
      <c r="C938" s="12" t="str">
        <f>Overview!C938</f>
        <v/>
      </c>
      <c r="D938" s="12" t="str">
        <f>Overview!D938</f>
        <v/>
      </c>
      <c r="E938" s="12" t="str">
        <f>Overview!E938</f>
        <v/>
      </c>
      <c r="F938" s="12" t="str">
        <f>Overview!K938</f>
        <v/>
      </c>
      <c r="G938" s="12" t="str">
        <f>Overview!L938</f>
        <v/>
      </c>
      <c r="H938" s="12" t="str">
        <f>Overview!M938</f>
        <v/>
      </c>
      <c r="I938" s="292" t="str">
        <f>Overview!N938</f>
        <v/>
      </c>
    </row>
    <row r="939">
      <c r="A939" s="12" t="str">
        <f>Overview!A939</f>
        <v/>
      </c>
      <c r="B939" s="12" t="str">
        <f>Overview!B939</f>
        <v/>
      </c>
      <c r="C939" s="12" t="str">
        <f>Overview!C939</f>
        <v/>
      </c>
      <c r="D939" s="12" t="str">
        <f>Overview!D939</f>
        <v/>
      </c>
      <c r="E939" s="12" t="str">
        <f>Overview!E939</f>
        <v/>
      </c>
      <c r="F939" s="12" t="str">
        <f>Overview!K939</f>
        <v/>
      </c>
      <c r="G939" s="12" t="str">
        <f>Overview!L939</f>
        <v/>
      </c>
      <c r="H939" s="12" t="str">
        <f>Overview!M939</f>
        <v/>
      </c>
      <c r="I939" s="292" t="str">
        <f>Overview!N939</f>
        <v/>
      </c>
    </row>
    <row r="940">
      <c r="A940" s="12" t="str">
        <f>Overview!A940</f>
        <v/>
      </c>
      <c r="B940" s="12" t="str">
        <f>Overview!B940</f>
        <v/>
      </c>
      <c r="C940" s="12" t="str">
        <f>Overview!C940</f>
        <v/>
      </c>
      <c r="D940" s="12" t="str">
        <f>Overview!D940</f>
        <v/>
      </c>
      <c r="E940" s="12" t="str">
        <f>Overview!E940</f>
        <v/>
      </c>
      <c r="F940" s="12" t="str">
        <f>Overview!K940</f>
        <v/>
      </c>
      <c r="G940" s="12" t="str">
        <f>Overview!L940</f>
        <v/>
      </c>
      <c r="H940" s="12" t="str">
        <f>Overview!M940</f>
        <v/>
      </c>
      <c r="I940" s="292" t="str">
        <f>Overview!N940</f>
        <v/>
      </c>
    </row>
    <row r="941">
      <c r="A941" s="12" t="str">
        <f>Overview!A941</f>
        <v/>
      </c>
      <c r="B941" s="12" t="str">
        <f>Overview!B941</f>
        <v/>
      </c>
      <c r="C941" s="12" t="str">
        <f>Overview!C941</f>
        <v/>
      </c>
      <c r="D941" s="12" t="str">
        <f>Overview!D941</f>
        <v/>
      </c>
      <c r="E941" s="12" t="str">
        <f>Overview!E941</f>
        <v/>
      </c>
      <c r="F941" s="12" t="str">
        <f>Overview!K941</f>
        <v/>
      </c>
      <c r="G941" s="12" t="str">
        <f>Overview!L941</f>
        <v/>
      </c>
      <c r="H941" s="12" t="str">
        <f>Overview!M941</f>
        <v/>
      </c>
      <c r="I941" s="292" t="str">
        <f>Overview!N941</f>
        <v/>
      </c>
    </row>
    <row r="942">
      <c r="A942" s="12" t="str">
        <f>Overview!A942</f>
        <v/>
      </c>
      <c r="B942" s="12" t="str">
        <f>Overview!B942</f>
        <v/>
      </c>
      <c r="C942" s="12" t="str">
        <f>Overview!C942</f>
        <v/>
      </c>
      <c r="D942" s="12" t="str">
        <f>Overview!D942</f>
        <v/>
      </c>
      <c r="E942" s="12" t="str">
        <f>Overview!E942</f>
        <v/>
      </c>
      <c r="F942" s="12" t="str">
        <f>Overview!K942</f>
        <v/>
      </c>
      <c r="G942" s="12" t="str">
        <f>Overview!L942</f>
        <v/>
      </c>
      <c r="H942" s="12" t="str">
        <f>Overview!M942</f>
        <v/>
      </c>
      <c r="I942" s="292" t="str">
        <f>Overview!N942</f>
        <v/>
      </c>
    </row>
    <row r="943">
      <c r="A943" s="12" t="str">
        <f>Overview!A943</f>
        <v/>
      </c>
      <c r="B943" s="12" t="str">
        <f>Overview!B943</f>
        <v/>
      </c>
      <c r="C943" s="12" t="str">
        <f>Overview!C943</f>
        <v/>
      </c>
      <c r="D943" s="12" t="str">
        <f>Overview!D943</f>
        <v/>
      </c>
      <c r="E943" s="12" t="str">
        <f>Overview!E943</f>
        <v/>
      </c>
      <c r="F943" s="12" t="str">
        <f>Overview!K943</f>
        <v/>
      </c>
      <c r="G943" s="12" t="str">
        <f>Overview!L943</f>
        <v/>
      </c>
      <c r="H943" s="12" t="str">
        <f>Overview!M943</f>
        <v/>
      </c>
      <c r="I943" s="292" t="str">
        <f>Overview!N943</f>
        <v/>
      </c>
    </row>
    <row r="944">
      <c r="A944" s="12" t="str">
        <f>Overview!A944</f>
        <v/>
      </c>
      <c r="B944" s="12" t="str">
        <f>Overview!B944</f>
        <v/>
      </c>
      <c r="C944" s="12" t="str">
        <f>Overview!C944</f>
        <v/>
      </c>
      <c r="D944" s="12" t="str">
        <f>Overview!D944</f>
        <v/>
      </c>
      <c r="E944" s="12" t="str">
        <f>Overview!E944</f>
        <v/>
      </c>
      <c r="F944" s="12" t="str">
        <f>Overview!K944</f>
        <v/>
      </c>
      <c r="G944" s="12" t="str">
        <f>Overview!L944</f>
        <v/>
      </c>
      <c r="H944" s="12" t="str">
        <f>Overview!M944</f>
        <v/>
      </c>
      <c r="I944" s="292" t="str">
        <f>Overview!N944</f>
        <v/>
      </c>
    </row>
    <row r="945">
      <c r="A945" s="12" t="str">
        <f>Overview!A945</f>
        <v/>
      </c>
      <c r="B945" s="12" t="str">
        <f>Overview!B945</f>
        <v/>
      </c>
      <c r="C945" s="12" t="str">
        <f>Overview!C945</f>
        <v/>
      </c>
      <c r="D945" s="12" t="str">
        <f>Overview!D945</f>
        <v/>
      </c>
      <c r="E945" s="12" t="str">
        <f>Overview!E945</f>
        <v/>
      </c>
      <c r="F945" s="12" t="str">
        <f>Overview!K945</f>
        <v/>
      </c>
      <c r="G945" s="12" t="str">
        <f>Overview!L945</f>
        <v/>
      </c>
      <c r="H945" s="12" t="str">
        <f>Overview!M945</f>
        <v/>
      </c>
      <c r="I945" s="292" t="str">
        <f>Overview!N945</f>
        <v/>
      </c>
    </row>
    <row r="946">
      <c r="A946" s="12" t="str">
        <f>Overview!A946</f>
        <v/>
      </c>
      <c r="B946" s="12" t="str">
        <f>Overview!B946</f>
        <v/>
      </c>
      <c r="C946" s="12" t="str">
        <f>Overview!C946</f>
        <v/>
      </c>
      <c r="D946" s="12" t="str">
        <f>Overview!D946</f>
        <v/>
      </c>
      <c r="E946" s="12" t="str">
        <f>Overview!E946</f>
        <v/>
      </c>
      <c r="F946" s="12" t="str">
        <f>Overview!K946</f>
        <v/>
      </c>
      <c r="G946" s="12" t="str">
        <f>Overview!L946</f>
        <v/>
      </c>
      <c r="H946" s="12" t="str">
        <f>Overview!M946</f>
        <v/>
      </c>
      <c r="I946" s="292" t="str">
        <f>Overview!N946</f>
        <v/>
      </c>
    </row>
    <row r="947">
      <c r="A947" s="12" t="str">
        <f>Overview!A947</f>
        <v/>
      </c>
      <c r="B947" s="12" t="str">
        <f>Overview!B947</f>
        <v/>
      </c>
      <c r="C947" s="12" t="str">
        <f>Overview!C947</f>
        <v/>
      </c>
      <c r="D947" s="12" t="str">
        <f>Overview!D947</f>
        <v/>
      </c>
      <c r="E947" s="12" t="str">
        <f>Overview!E947</f>
        <v/>
      </c>
      <c r="F947" s="12" t="str">
        <f>Overview!K947</f>
        <v/>
      </c>
      <c r="G947" s="12" t="str">
        <f>Overview!L947</f>
        <v/>
      </c>
      <c r="H947" s="12" t="str">
        <f>Overview!M947</f>
        <v/>
      </c>
      <c r="I947" s="292" t="str">
        <f>Overview!N947</f>
        <v/>
      </c>
    </row>
    <row r="948">
      <c r="A948" s="12" t="str">
        <f>Overview!A948</f>
        <v/>
      </c>
      <c r="B948" s="12" t="str">
        <f>Overview!B948</f>
        <v/>
      </c>
      <c r="C948" s="12" t="str">
        <f>Overview!C948</f>
        <v/>
      </c>
      <c r="D948" s="12" t="str">
        <f>Overview!D948</f>
        <v/>
      </c>
      <c r="E948" s="12" t="str">
        <f>Overview!E948</f>
        <v/>
      </c>
      <c r="F948" s="12" t="str">
        <f>Overview!K948</f>
        <v/>
      </c>
      <c r="G948" s="12" t="str">
        <f>Overview!L948</f>
        <v/>
      </c>
      <c r="H948" s="12" t="str">
        <f>Overview!M948</f>
        <v/>
      </c>
      <c r="I948" s="292" t="str">
        <f>Overview!N948</f>
        <v/>
      </c>
    </row>
    <row r="949">
      <c r="A949" s="12" t="str">
        <f>Overview!A949</f>
        <v/>
      </c>
      <c r="B949" s="12" t="str">
        <f>Overview!B949</f>
        <v/>
      </c>
      <c r="C949" s="12" t="str">
        <f>Overview!C949</f>
        <v/>
      </c>
      <c r="D949" s="12" t="str">
        <f>Overview!D949</f>
        <v/>
      </c>
      <c r="E949" s="12" t="str">
        <f>Overview!E949</f>
        <v/>
      </c>
      <c r="F949" s="12" t="str">
        <f>Overview!K949</f>
        <v/>
      </c>
      <c r="G949" s="12" t="str">
        <f>Overview!L949</f>
        <v/>
      </c>
      <c r="H949" s="12" t="str">
        <f>Overview!M949</f>
        <v/>
      </c>
      <c r="I949" s="292" t="str">
        <f>Overview!N949</f>
        <v/>
      </c>
    </row>
    <row r="950">
      <c r="A950" s="12" t="str">
        <f>Overview!A950</f>
        <v/>
      </c>
      <c r="B950" s="12" t="str">
        <f>Overview!B950</f>
        <v/>
      </c>
      <c r="C950" s="12" t="str">
        <f>Overview!C950</f>
        <v/>
      </c>
      <c r="D950" s="12" t="str">
        <f>Overview!D950</f>
        <v/>
      </c>
      <c r="E950" s="12" t="str">
        <f>Overview!E950</f>
        <v/>
      </c>
      <c r="F950" s="12" t="str">
        <f>Overview!K950</f>
        <v/>
      </c>
      <c r="G950" s="12" t="str">
        <f>Overview!L950</f>
        <v/>
      </c>
      <c r="H950" s="12" t="str">
        <f>Overview!M950</f>
        <v/>
      </c>
      <c r="I950" s="292" t="str">
        <f>Overview!N950</f>
        <v/>
      </c>
    </row>
    <row r="951">
      <c r="A951" s="12" t="str">
        <f>Overview!A951</f>
        <v/>
      </c>
      <c r="B951" s="12" t="str">
        <f>Overview!B951</f>
        <v/>
      </c>
      <c r="C951" s="12" t="str">
        <f>Overview!C951</f>
        <v/>
      </c>
      <c r="D951" s="12" t="str">
        <f>Overview!D951</f>
        <v/>
      </c>
      <c r="E951" s="12" t="str">
        <f>Overview!E951</f>
        <v/>
      </c>
      <c r="F951" s="12" t="str">
        <f>Overview!K951</f>
        <v/>
      </c>
      <c r="G951" s="12" t="str">
        <f>Overview!L951</f>
        <v/>
      </c>
      <c r="H951" s="12" t="str">
        <f>Overview!M951</f>
        <v/>
      </c>
      <c r="I951" s="292" t="str">
        <f>Overview!N951</f>
        <v/>
      </c>
    </row>
    <row r="952">
      <c r="A952" s="12" t="str">
        <f>Overview!A952</f>
        <v/>
      </c>
      <c r="B952" s="12" t="str">
        <f>Overview!B952</f>
        <v/>
      </c>
      <c r="C952" s="12" t="str">
        <f>Overview!C952</f>
        <v/>
      </c>
      <c r="D952" s="12" t="str">
        <f>Overview!D952</f>
        <v/>
      </c>
      <c r="E952" s="12" t="str">
        <f>Overview!E952</f>
        <v/>
      </c>
      <c r="F952" s="12" t="str">
        <f>Overview!K952</f>
        <v/>
      </c>
      <c r="G952" s="12" t="str">
        <f>Overview!L952</f>
        <v/>
      </c>
      <c r="H952" s="12" t="str">
        <f>Overview!M952</f>
        <v/>
      </c>
      <c r="I952" s="292" t="str">
        <f>Overview!N952</f>
        <v/>
      </c>
    </row>
    <row r="953">
      <c r="A953" s="12" t="str">
        <f>Overview!A953</f>
        <v/>
      </c>
      <c r="B953" s="12" t="str">
        <f>Overview!B953</f>
        <v/>
      </c>
      <c r="C953" s="12" t="str">
        <f>Overview!C953</f>
        <v/>
      </c>
      <c r="D953" s="12" t="str">
        <f>Overview!D953</f>
        <v/>
      </c>
      <c r="E953" s="12" t="str">
        <f>Overview!E953</f>
        <v/>
      </c>
      <c r="F953" s="12" t="str">
        <f>Overview!K953</f>
        <v/>
      </c>
      <c r="G953" s="12" t="str">
        <f>Overview!L953</f>
        <v/>
      </c>
      <c r="H953" s="12" t="str">
        <f>Overview!M953</f>
        <v/>
      </c>
      <c r="I953" s="292" t="str">
        <f>Overview!N953</f>
        <v/>
      </c>
    </row>
    <row r="954">
      <c r="A954" s="12" t="str">
        <f>Overview!A954</f>
        <v/>
      </c>
      <c r="B954" s="12" t="str">
        <f>Overview!B954</f>
        <v/>
      </c>
      <c r="C954" s="12" t="str">
        <f>Overview!C954</f>
        <v/>
      </c>
      <c r="D954" s="12" t="str">
        <f>Overview!D954</f>
        <v/>
      </c>
      <c r="E954" s="12" t="str">
        <f>Overview!E954</f>
        <v/>
      </c>
      <c r="F954" s="12" t="str">
        <f>Overview!K954</f>
        <v/>
      </c>
      <c r="G954" s="12" t="str">
        <f>Overview!L954</f>
        <v/>
      </c>
      <c r="H954" s="12" t="str">
        <f>Overview!M954</f>
        <v/>
      </c>
      <c r="I954" s="292" t="str">
        <f>Overview!N954</f>
        <v/>
      </c>
    </row>
    <row r="955">
      <c r="A955" s="12" t="str">
        <f>Overview!A955</f>
        <v/>
      </c>
      <c r="B955" s="12" t="str">
        <f>Overview!B955</f>
        <v/>
      </c>
      <c r="C955" s="12" t="str">
        <f>Overview!C955</f>
        <v/>
      </c>
      <c r="D955" s="12" t="str">
        <f>Overview!D955</f>
        <v/>
      </c>
      <c r="E955" s="12" t="str">
        <f>Overview!E955</f>
        <v/>
      </c>
      <c r="F955" s="12" t="str">
        <f>Overview!K955</f>
        <v/>
      </c>
      <c r="G955" s="12" t="str">
        <f>Overview!L955</f>
        <v/>
      </c>
      <c r="H955" s="12" t="str">
        <f>Overview!M955</f>
        <v/>
      </c>
      <c r="I955" s="292" t="str">
        <f>Overview!N955</f>
        <v/>
      </c>
    </row>
    <row r="956">
      <c r="A956" s="12" t="str">
        <f>Overview!A956</f>
        <v/>
      </c>
      <c r="B956" s="12" t="str">
        <f>Overview!B956</f>
        <v/>
      </c>
      <c r="C956" s="12" t="str">
        <f>Overview!C956</f>
        <v/>
      </c>
      <c r="D956" s="12" t="str">
        <f>Overview!D956</f>
        <v/>
      </c>
      <c r="E956" s="12" t="str">
        <f>Overview!E956</f>
        <v/>
      </c>
      <c r="F956" s="12" t="str">
        <f>Overview!K956</f>
        <v/>
      </c>
      <c r="G956" s="12" t="str">
        <f>Overview!L956</f>
        <v/>
      </c>
      <c r="H956" s="12" t="str">
        <f>Overview!M956</f>
        <v/>
      </c>
      <c r="I956" s="292" t="str">
        <f>Overview!N956</f>
        <v/>
      </c>
    </row>
    <row r="957">
      <c r="A957" s="12" t="str">
        <f>Overview!A957</f>
        <v/>
      </c>
      <c r="B957" s="12" t="str">
        <f>Overview!B957</f>
        <v/>
      </c>
      <c r="C957" s="12" t="str">
        <f>Overview!C957</f>
        <v/>
      </c>
      <c r="D957" s="12" t="str">
        <f>Overview!D957</f>
        <v/>
      </c>
      <c r="E957" s="12" t="str">
        <f>Overview!E957</f>
        <v/>
      </c>
      <c r="F957" s="12" t="str">
        <f>Overview!K957</f>
        <v/>
      </c>
      <c r="G957" s="12" t="str">
        <f>Overview!L957</f>
        <v/>
      </c>
      <c r="H957" s="12" t="str">
        <f>Overview!M957</f>
        <v/>
      </c>
      <c r="I957" s="292" t="str">
        <f>Overview!N957</f>
        <v/>
      </c>
    </row>
    <row r="958">
      <c r="A958" s="12" t="str">
        <f>Overview!A958</f>
        <v/>
      </c>
      <c r="B958" s="12" t="str">
        <f>Overview!B958</f>
        <v/>
      </c>
      <c r="C958" s="12" t="str">
        <f>Overview!C958</f>
        <v/>
      </c>
      <c r="D958" s="12" t="str">
        <f>Overview!D958</f>
        <v/>
      </c>
      <c r="E958" s="12" t="str">
        <f>Overview!E958</f>
        <v/>
      </c>
      <c r="F958" s="12" t="str">
        <f>Overview!K958</f>
        <v/>
      </c>
      <c r="G958" s="12" t="str">
        <f>Overview!L958</f>
        <v/>
      </c>
      <c r="H958" s="12" t="str">
        <f>Overview!M958</f>
        <v/>
      </c>
      <c r="I958" s="292" t="str">
        <f>Overview!N958</f>
        <v/>
      </c>
    </row>
    <row r="959">
      <c r="A959" s="12" t="str">
        <f>Overview!A959</f>
        <v/>
      </c>
      <c r="B959" s="12" t="str">
        <f>Overview!B959</f>
        <v/>
      </c>
      <c r="C959" s="12" t="str">
        <f>Overview!C959</f>
        <v/>
      </c>
      <c r="D959" s="12" t="str">
        <f>Overview!D959</f>
        <v/>
      </c>
      <c r="E959" s="12" t="str">
        <f>Overview!E959</f>
        <v/>
      </c>
      <c r="F959" s="12" t="str">
        <f>Overview!K959</f>
        <v/>
      </c>
      <c r="G959" s="12" t="str">
        <f>Overview!L959</f>
        <v/>
      </c>
      <c r="H959" s="12" t="str">
        <f>Overview!M959</f>
        <v/>
      </c>
      <c r="I959" s="292" t="str">
        <f>Overview!N959</f>
        <v/>
      </c>
    </row>
    <row r="960">
      <c r="A960" s="12" t="str">
        <f>Overview!A960</f>
        <v/>
      </c>
      <c r="B960" s="12" t="str">
        <f>Overview!B960</f>
        <v/>
      </c>
      <c r="C960" s="12" t="str">
        <f>Overview!C960</f>
        <v/>
      </c>
      <c r="D960" s="12" t="str">
        <f>Overview!D960</f>
        <v/>
      </c>
      <c r="E960" s="12" t="str">
        <f>Overview!E960</f>
        <v/>
      </c>
      <c r="F960" s="12" t="str">
        <f>Overview!K960</f>
        <v/>
      </c>
      <c r="G960" s="12" t="str">
        <f>Overview!L960</f>
        <v/>
      </c>
      <c r="H960" s="12" t="str">
        <f>Overview!M960</f>
        <v/>
      </c>
      <c r="I960" s="292" t="str">
        <f>Overview!N960</f>
        <v/>
      </c>
    </row>
    <row r="961">
      <c r="A961" s="12" t="str">
        <f>Overview!A961</f>
        <v/>
      </c>
      <c r="B961" s="12" t="str">
        <f>Overview!B961</f>
        <v/>
      </c>
      <c r="C961" s="12" t="str">
        <f>Overview!C961</f>
        <v/>
      </c>
      <c r="D961" s="12" t="str">
        <f>Overview!D961</f>
        <v/>
      </c>
      <c r="E961" s="12" t="str">
        <f>Overview!E961</f>
        <v/>
      </c>
      <c r="F961" s="12" t="str">
        <f>Overview!K961</f>
        <v/>
      </c>
      <c r="G961" s="12" t="str">
        <f>Overview!L961</f>
        <v/>
      </c>
      <c r="H961" s="12" t="str">
        <f>Overview!M961</f>
        <v/>
      </c>
      <c r="I961" s="292" t="str">
        <f>Overview!N961</f>
        <v/>
      </c>
    </row>
    <row r="962">
      <c r="A962" s="12" t="str">
        <f>Overview!A962</f>
        <v/>
      </c>
      <c r="B962" s="12" t="str">
        <f>Overview!B962</f>
        <v/>
      </c>
      <c r="C962" s="12" t="str">
        <f>Overview!C962</f>
        <v/>
      </c>
      <c r="D962" s="12" t="str">
        <f>Overview!D962</f>
        <v/>
      </c>
      <c r="E962" s="12" t="str">
        <f>Overview!E962</f>
        <v/>
      </c>
      <c r="F962" s="12" t="str">
        <f>Overview!K962</f>
        <v/>
      </c>
      <c r="G962" s="12" t="str">
        <f>Overview!L962</f>
        <v/>
      </c>
      <c r="H962" s="12" t="str">
        <f>Overview!M962</f>
        <v/>
      </c>
      <c r="I962" s="292" t="str">
        <f>Overview!N962</f>
        <v/>
      </c>
    </row>
    <row r="963">
      <c r="A963" s="12" t="str">
        <f>Overview!A963</f>
        <v/>
      </c>
      <c r="B963" s="12" t="str">
        <f>Overview!B963</f>
        <v/>
      </c>
      <c r="C963" s="12" t="str">
        <f>Overview!C963</f>
        <v/>
      </c>
      <c r="D963" s="12" t="str">
        <f>Overview!D963</f>
        <v/>
      </c>
      <c r="E963" s="12" t="str">
        <f>Overview!E963</f>
        <v/>
      </c>
      <c r="F963" s="12" t="str">
        <f>Overview!K963</f>
        <v/>
      </c>
      <c r="G963" s="12" t="str">
        <f>Overview!L963</f>
        <v/>
      </c>
      <c r="H963" s="12" t="str">
        <f>Overview!M963</f>
        <v/>
      </c>
      <c r="I963" s="292" t="str">
        <f>Overview!N963</f>
        <v/>
      </c>
    </row>
    <row r="964">
      <c r="A964" s="12" t="str">
        <f>Overview!A964</f>
        <v/>
      </c>
      <c r="B964" s="12" t="str">
        <f>Overview!B964</f>
        <v/>
      </c>
      <c r="C964" s="12" t="str">
        <f>Overview!C964</f>
        <v/>
      </c>
      <c r="D964" s="12" t="str">
        <f>Overview!D964</f>
        <v/>
      </c>
      <c r="E964" s="12" t="str">
        <f>Overview!E964</f>
        <v/>
      </c>
      <c r="F964" s="12" t="str">
        <f>Overview!K964</f>
        <v/>
      </c>
      <c r="G964" s="12" t="str">
        <f>Overview!L964</f>
        <v/>
      </c>
      <c r="H964" s="12" t="str">
        <f>Overview!M964</f>
        <v/>
      </c>
      <c r="I964" s="292" t="str">
        <f>Overview!N964</f>
        <v/>
      </c>
    </row>
    <row r="965">
      <c r="A965" s="12" t="str">
        <f>Overview!A965</f>
        <v/>
      </c>
      <c r="B965" s="12" t="str">
        <f>Overview!B965</f>
        <v/>
      </c>
      <c r="C965" s="12" t="str">
        <f>Overview!C965</f>
        <v/>
      </c>
      <c r="D965" s="12" t="str">
        <f>Overview!D965</f>
        <v/>
      </c>
      <c r="E965" s="12" t="str">
        <f>Overview!E965</f>
        <v/>
      </c>
      <c r="F965" s="12" t="str">
        <f>Overview!K965</f>
        <v/>
      </c>
      <c r="G965" s="12" t="str">
        <f>Overview!L965</f>
        <v/>
      </c>
      <c r="H965" s="12" t="str">
        <f>Overview!M965</f>
        <v/>
      </c>
      <c r="I965" s="292" t="str">
        <f>Overview!N965</f>
        <v/>
      </c>
    </row>
    <row r="966">
      <c r="A966" s="12" t="str">
        <f>Overview!A966</f>
        <v/>
      </c>
      <c r="B966" s="12" t="str">
        <f>Overview!B966</f>
        <v/>
      </c>
      <c r="C966" s="12" t="str">
        <f>Overview!C966</f>
        <v/>
      </c>
      <c r="D966" s="12" t="str">
        <f>Overview!D966</f>
        <v/>
      </c>
      <c r="E966" s="12" t="str">
        <f>Overview!E966</f>
        <v/>
      </c>
      <c r="F966" s="12" t="str">
        <f>Overview!K966</f>
        <v/>
      </c>
      <c r="G966" s="12" t="str">
        <f>Overview!L966</f>
        <v/>
      </c>
      <c r="H966" s="12" t="str">
        <f>Overview!M966</f>
        <v/>
      </c>
      <c r="I966" s="292" t="str">
        <f>Overview!N966</f>
        <v/>
      </c>
    </row>
    <row r="967">
      <c r="A967" s="12" t="str">
        <f>Overview!A967</f>
        <v/>
      </c>
      <c r="B967" s="12" t="str">
        <f>Overview!B967</f>
        <v/>
      </c>
      <c r="C967" s="12" t="str">
        <f>Overview!C967</f>
        <v/>
      </c>
      <c r="D967" s="12" t="str">
        <f>Overview!D967</f>
        <v/>
      </c>
      <c r="E967" s="12" t="str">
        <f>Overview!E967</f>
        <v/>
      </c>
      <c r="F967" s="12" t="str">
        <f>Overview!K967</f>
        <v/>
      </c>
      <c r="G967" s="12" t="str">
        <f>Overview!L967</f>
        <v/>
      </c>
      <c r="H967" s="12" t="str">
        <f>Overview!M967</f>
        <v/>
      </c>
      <c r="I967" s="292" t="str">
        <f>Overview!N967</f>
        <v/>
      </c>
    </row>
    <row r="968">
      <c r="A968" s="12" t="str">
        <f>Overview!A968</f>
        <v/>
      </c>
      <c r="B968" s="12" t="str">
        <f>Overview!B968</f>
        <v/>
      </c>
      <c r="C968" s="12" t="str">
        <f>Overview!C968</f>
        <v/>
      </c>
      <c r="D968" s="12" t="str">
        <f>Overview!D968</f>
        <v/>
      </c>
      <c r="E968" s="12" t="str">
        <f>Overview!E968</f>
        <v/>
      </c>
      <c r="F968" s="12" t="str">
        <f>Overview!K968</f>
        <v/>
      </c>
      <c r="G968" s="12" t="str">
        <f>Overview!L968</f>
        <v/>
      </c>
      <c r="H968" s="12" t="str">
        <f>Overview!M968</f>
        <v/>
      </c>
      <c r="I968" s="292" t="str">
        <f>Overview!N968</f>
        <v/>
      </c>
    </row>
    <row r="969">
      <c r="A969" s="12" t="str">
        <f>Overview!A969</f>
        <v/>
      </c>
      <c r="B969" s="12" t="str">
        <f>Overview!B969</f>
        <v/>
      </c>
      <c r="C969" s="12" t="str">
        <f>Overview!C969</f>
        <v/>
      </c>
      <c r="D969" s="12" t="str">
        <f>Overview!D969</f>
        <v/>
      </c>
      <c r="E969" s="12" t="str">
        <f>Overview!E969</f>
        <v/>
      </c>
      <c r="F969" s="12" t="str">
        <f>Overview!K969</f>
        <v/>
      </c>
      <c r="G969" s="12" t="str">
        <f>Overview!L969</f>
        <v/>
      </c>
      <c r="H969" s="12" t="str">
        <f>Overview!M969</f>
        <v/>
      </c>
      <c r="I969" s="292" t="str">
        <f>Overview!N969</f>
        <v/>
      </c>
    </row>
    <row r="970">
      <c r="A970" s="12" t="str">
        <f>Overview!A970</f>
        <v/>
      </c>
      <c r="B970" s="12" t="str">
        <f>Overview!B970</f>
        <v/>
      </c>
      <c r="C970" s="12" t="str">
        <f>Overview!C970</f>
        <v/>
      </c>
      <c r="D970" s="12" t="str">
        <f>Overview!D970</f>
        <v/>
      </c>
      <c r="E970" s="12" t="str">
        <f>Overview!E970</f>
        <v/>
      </c>
      <c r="F970" s="12" t="str">
        <f>Overview!K970</f>
        <v/>
      </c>
      <c r="G970" s="12" t="str">
        <f>Overview!L970</f>
        <v/>
      </c>
      <c r="H970" s="12" t="str">
        <f>Overview!M970</f>
        <v/>
      </c>
      <c r="I970" s="292" t="str">
        <f>Overview!N970</f>
        <v/>
      </c>
    </row>
    <row r="971">
      <c r="A971" s="12" t="str">
        <f>Overview!A971</f>
        <v/>
      </c>
      <c r="B971" s="12" t="str">
        <f>Overview!B971</f>
        <v/>
      </c>
      <c r="C971" s="12" t="str">
        <f>Overview!C971</f>
        <v/>
      </c>
      <c r="D971" s="12" t="str">
        <f>Overview!D971</f>
        <v/>
      </c>
      <c r="E971" s="12" t="str">
        <f>Overview!E971</f>
        <v/>
      </c>
      <c r="F971" s="12" t="str">
        <f>Overview!K971</f>
        <v/>
      </c>
      <c r="G971" s="12" t="str">
        <f>Overview!L971</f>
        <v/>
      </c>
      <c r="H971" s="12" t="str">
        <f>Overview!M971</f>
        <v/>
      </c>
      <c r="I971" s="292" t="str">
        <f>Overview!N971</f>
        <v/>
      </c>
    </row>
    <row r="972">
      <c r="A972" s="12" t="str">
        <f>Overview!A972</f>
        <v/>
      </c>
      <c r="B972" s="12" t="str">
        <f>Overview!B972</f>
        <v/>
      </c>
      <c r="C972" s="12" t="str">
        <f>Overview!C972</f>
        <v/>
      </c>
      <c r="D972" s="12" t="str">
        <f>Overview!D972</f>
        <v/>
      </c>
      <c r="E972" s="12" t="str">
        <f>Overview!E972</f>
        <v/>
      </c>
      <c r="F972" s="12" t="str">
        <f>Overview!K972</f>
        <v/>
      </c>
      <c r="G972" s="12" t="str">
        <f>Overview!L972</f>
        <v/>
      </c>
      <c r="H972" s="12" t="str">
        <f>Overview!M972</f>
        <v/>
      </c>
      <c r="I972" s="292" t="str">
        <f>Overview!N972</f>
        <v/>
      </c>
    </row>
    <row r="973">
      <c r="A973" s="12" t="str">
        <f>Overview!A973</f>
        <v/>
      </c>
      <c r="B973" s="12" t="str">
        <f>Overview!B973</f>
        <v/>
      </c>
      <c r="C973" s="12" t="str">
        <f>Overview!C973</f>
        <v/>
      </c>
      <c r="D973" s="12" t="str">
        <f>Overview!D973</f>
        <v/>
      </c>
      <c r="E973" s="12" t="str">
        <f>Overview!E973</f>
        <v/>
      </c>
      <c r="F973" s="12" t="str">
        <f>Overview!K973</f>
        <v/>
      </c>
      <c r="G973" s="12" t="str">
        <f>Overview!L973</f>
        <v/>
      </c>
      <c r="H973" s="12" t="str">
        <f>Overview!M973</f>
        <v/>
      </c>
      <c r="I973" s="292" t="str">
        <f>Overview!N973</f>
        <v/>
      </c>
    </row>
    <row r="974">
      <c r="A974" s="12" t="str">
        <f>Overview!A974</f>
        <v/>
      </c>
      <c r="B974" s="12" t="str">
        <f>Overview!B974</f>
        <v/>
      </c>
      <c r="C974" s="12" t="str">
        <f>Overview!C974</f>
        <v/>
      </c>
      <c r="D974" s="12" t="str">
        <f>Overview!D974</f>
        <v/>
      </c>
      <c r="E974" s="12" t="str">
        <f>Overview!E974</f>
        <v/>
      </c>
      <c r="F974" s="12" t="str">
        <f>Overview!K974</f>
        <v/>
      </c>
      <c r="G974" s="12" t="str">
        <f>Overview!L974</f>
        <v/>
      </c>
      <c r="H974" s="12" t="str">
        <f>Overview!M974</f>
        <v/>
      </c>
      <c r="I974" s="292" t="str">
        <f>Overview!N974</f>
        <v/>
      </c>
    </row>
    <row r="975">
      <c r="A975" s="12" t="str">
        <f>Overview!A975</f>
        <v/>
      </c>
      <c r="B975" s="12" t="str">
        <f>Overview!B975</f>
        <v/>
      </c>
      <c r="C975" s="12" t="str">
        <f>Overview!C975</f>
        <v/>
      </c>
      <c r="D975" s="12" t="str">
        <f>Overview!D975</f>
        <v/>
      </c>
      <c r="E975" s="12" t="str">
        <f>Overview!E975</f>
        <v/>
      </c>
      <c r="F975" s="12" t="str">
        <f>Overview!K975</f>
        <v/>
      </c>
      <c r="G975" s="12" t="str">
        <f>Overview!L975</f>
        <v/>
      </c>
      <c r="H975" s="12" t="str">
        <f>Overview!M975</f>
        <v/>
      </c>
      <c r="I975" s="292" t="str">
        <f>Overview!N975</f>
        <v/>
      </c>
    </row>
    <row r="976">
      <c r="A976" s="12" t="str">
        <f>Overview!A976</f>
        <v/>
      </c>
      <c r="B976" s="12" t="str">
        <f>Overview!B976</f>
        <v/>
      </c>
      <c r="C976" s="12" t="str">
        <f>Overview!C976</f>
        <v/>
      </c>
      <c r="D976" s="12" t="str">
        <f>Overview!D976</f>
        <v/>
      </c>
      <c r="E976" s="12" t="str">
        <f>Overview!E976</f>
        <v/>
      </c>
      <c r="F976" s="12" t="str">
        <f>Overview!K976</f>
        <v/>
      </c>
      <c r="G976" s="12" t="str">
        <f>Overview!L976</f>
        <v/>
      </c>
      <c r="H976" s="12" t="str">
        <f>Overview!M976</f>
        <v/>
      </c>
      <c r="I976" s="292" t="str">
        <f>Overview!N976</f>
        <v/>
      </c>
    </row>
    <row r="977">
      <c r="A977" s="12" t="str">
        <f>Overview!A977</f>
        <v/>
      </c>
      <c r="B977" s="12" t="str">
        <f>Overview!B977</f>
        <v/>
      </c>
      <c r="C977" s="12" t="str">
        <f>Overview!C977</f>
        <v/>
      </c>
      <c r="D977" s="12" t="str">
        <f>Overview!D977</f>
        <v/>
      </c>
      <c r="E977" s="12" t="str">
        <f>Overview!E977</f>
        <v/>
      </c>
      <c r="F977" s="12" t="str">
        <f>Overview!K977</f>
        <v/>
      </c>
      <c r="G977" s="12" t="str">
        <f>Overview!L977</f>
        <v/>
      </c>
      <c r="H977" s="12" t="str">
        <f>Overview!M977</f>
        <v/>
      </c>
      <c r="I977" s="292" t="str">
        <f>Overview!N977</f>
        <v/>
      </c>
    </row>
    <row r="978">
      <c r="A978" s="12" t="str">
        <f>Overview!A978</f>
        <v/>
      </c>
      <c r="B978" s="12" t="str">
        <f>Overview!B978</f>
        <v/>
      </c>
      <c r="C978" s="12" t="str">
        <f>Overview!C978</f>
        <v/>
      </c>
      <c r="D978" s="12" t="str">
        <f>Overview!D978</f>
        <v/>
      </c>
      <c r="E978" s="12" t="str">
        <f>Overview!E978</f>
        <v/>
      </c>
      <c r="F978" s="12" t="str">
        <f>Overview!K978</f>
        <v/>
      </c>
      <c r="G978" s="12" t="str">
        <f>Overview!L978</f>
        <v/>
      </c>
      <c r="H978" s="12" t="str">
        <f>Overview!M978</f>
        <v/>
      </c>
      <c r="I978" s="292" t="str">
        <f>Overview!N978</f>
        <v/>
      </c>
    </row>
    <row r="979">
      <c r="A979" s="12" t="str">
        <f>Overview!A979</f>
        <v/>
      </c>
      <c r="B979" s="12" t="str">
        <f>Overview!B979</f>
        <v/>
      </c>
      <c r="C979" s="12" t="str">
        <f>Overview!C979</f>
        <v/>
      </c>
      <c r="D979" s="12" t="str">
        <f>Overview!D979</f>
        <v/>
      </c>
      <c r="E979" s="12" t="str">
        <f>Overview!E979</f>
        <v/>
      </c>
      <c r="F979" s="12" t="str">
        <f>Overview!K979</f>
        <v/>
      </c>
      <c r="G979" s="12" t="str">
        <f>Overview!L979</f>
        <v/>
      </c>
      <c r="H979" s="12" t="str">
        <f>Overview!M979</f>
        <v/>
      </c>
      <c r="I979" s="292" t="str">
        <f>Overview!N979</f>
        <v/>
      </c>
    </row>
    <row r="980">
      <c r="A980" s="12" t="str">
        <f>Overview!A980</f>
        <v/>
      </c>
      <c r="B980" s="12" t="str">
        <f>Overview!B980</f>
        <v/>
      </c>
      <c r="C980" s="12" t="str">
        <f>Overview!C980</f>
        <v/>
      </c>
      <c r="D980" s="12" t="str">
        <f>Overview!D980</f>
        <v/>
      </c>
      <c r="E980" s="12" t="str">
        <f>Overview!E980</f>
        <v/>
      </c>
      <c r="F980" s="12" t="str">
        <f>Overview!K980</f>
        <v/>
      </c>
      <c r="G980" s="12" t="str">
        <f>Overview!L980</f>
        <v/>
      </c>
      <c r="H980" s="12" t="str">
        <f>Overview!M980</f>
        <v/>
      </c>
      <c r="I980" s="292" t="str">
        <f>Overview!N980</f>
        <v/>
      </c>
    </row>
    <row r="981">
      <c r="A981" s="12" t="str">
        <f>Overview!A981</f>
        <v/>
      </c>
      <c r="B981" s="12" t="str">
        <f>Overview!B981</f>
        <v/>
      </c>
      <c r="C981" s="12" t="str">
        <f>Overview!C981</f>
        <v/>
      </c>
      <c r="D981" s="12" t="str">
        <f>Overview!D981</f>
        <v/>
      </c>
      <c r="E981" s="12" t="str">
        <f>Overview!E981</f>
        <v/>
      </c>
      <c r="F981" s="12" t="str">
        <f>Overview!K981</f>
        <v/>
      </c>
      <c r="G981" s="12" t="str">
        <f>Overview!L981</f>
        <v/>
      </c>
      <c r="H981" s="12" t="str">
        <f>Overview!M981</f>
        <v/>
      </c>
      <c r="I981" s="292" t="str">
        <f>Overview!N981</f>
        <v/>
      </c>
    </row>
    <row r="982">
      <c r="A982" s="12" t="str">
        <f>Overview!A982</f>
        <v/>
      </c>
      <c r="B982" s="12" t="str">
        <f>Overview!B982</f>
        <v/>
      </c>
      <c r="C982" s="12" t="str">
        <f>Overview!C982</f>
        <v/>
      </c>
      <c r="D982" s="12" t="str">
        <f>Overview!D982</f>
        <v/>
      </c>
      <c r="E982" s="12" t="str">
        <f>Overview!E982</f>
        <v/>
      </c>
      <c r="F982" s="12" t="str">
        <f>Overview!K982</f>
        <v/>
      </c>
      <c r="G982" s="12" t="str">
        <f>Overview!L982</f>
        <v/>
      </c>
      <c r="H982" s="12" t="str">
        <f>Overview!M982</f>
        <v/>
      </c>
      <c r="I982" s="292" t="str">
        <f>Overview!N982</f>
        <v/>
      </c>
    </row>
    <row r="983">
      <c r="A983" s="12" t="str">
        <f>Overview!A983</f>
        <v/>
      </c>
      <c r="B983" s="12" t="str">
        <f>Overview!B983</f>
        <v/>
      </c>
      <c r="C983" s="12" t="str">
        <f>Overview!C983</f>
        <v/>
      </c>
      <c r="D983" s="12" t="str">
        <f>Overview!D983</f>
        <v/>
      </c>
      <c r="E983" s="12" t="str">
        <f>Overview!E983</f>
        <v/>
      </c>
      <c r="F983" s="12" t="str">
        <f>Overview!K983</f>
        <v/>
      </c>
      <c r="G983" s="12" t="str">
        <f>Overview!L983</f>
        <v/>
      </c>
      <c r="H983" s="12" t="str">
        <f>Overview!M983</f>
        <v/>
      </c>
      <c r="I983" s="292" t="str">
        <f>Overview!N983</f>
        <v/>
      </c>
    </row>
    <row r="984">
      <c r="A984" s="12" t="str">
        <f>Overview!A984</f>
        <v/>
      </c>
      <c r="B984" s="12" t="str">
        <f>Overview!B984</f>
        <v/>
      </c>
      <c r="C984" s="12" t="str">
        <f>Overview!C984</f>
        <v/>
      </c>
      <c r="D984" s="12" t="str">
        <f>Overview!D984</f>
        <v/>
      </c>
      <c r="E984" s="12" t="str">
        <f>Overview!E984</f>
        <v/>
      </c>
      <c r="F984" s="12" t="str">
        <f>Overview!K984</f>
        <v/>
      </c>
      <c r="G984" s="12" t="str">
        <f>Overview!L984</f>
        <v/>
      </c>
      <c r="H984" s="12" t="str">
        <f>Overview!M984</f>
        <v/>
      </c>
      <c r="I984" s="292" t="str">
        <f>Overview!N984</f>
        <v/>
      </c>
    </row>
    <row r="985">
      <c r="A985" s="12" t="str">
        <f>Overview!A985</f>
        <v/>
      </c>
      <c r="B985" s="12" t="str">
        <f>Overview!B985</f>
        <v/>
      </c>
      <c r="C985" s="12" t="str">
        <f>Overview!C985</f>
        <v/>
      </c>
      <c r="D985" s="12" t="str">
        <f>Overview!D985</f>
        <v/>
      </c>
      <c r="E985" s="12" t="str">
        <f>Overview!E985</f>
        <v/>
      </c>
      <c r="F985" s="12" t="str">
        <f>Overview!K985</f>
        <v/>
      </c>
      <c r="G985" s="12" t="str">
        <f>Overview!L985</f>
        <v/>
      </c>
      <c r="H985" s="12" t="str">
        <f>Overview!M985</f>
        <v/>
      </c>
      <c r="I985" s="292" t="str">
        <f>Overview!N985</f>
        <v/>
      </c>
    </row>
    <row r="986">
      <c r="A986" s="12" t="str">
        <f>Overview!A986</f>
        <v/>
      </c>
      <c r="B986" s="12" t="str">
        <f>Overview!B986</f>
        <v/>
      </c>
      <c r="C986" s="12" t="str">
        <f>Overview!C986</f>
        <v/>
      </c>
      <c r="D986" s="12" t="str">
        <f>Overview!D986</f>
        <v/>
      </c>
      <c r="E986" s="12" t="str">
        <f>Overview!E986</f>
        <v/>
      </c>
      <c r="F986" s="12" t="str">
        <f>Overview!K986</f>
        <v/>
      </c>
      <c r="G986" s="12" t="str">
        <f>Overview!L986</f>
        <v/>
      </c>
      <c r="H986" s="12" t="str">
        <f>Overview!M986</f>
        <v/>
      </c>
      <c r="I986" s="292" t="str">
        <f>Overview!N986</f>
        <v/>
      </c>
    </row>
    <row r="987">
      <c r="A987" s="12" t="str">
        <f>Overview!A987</f>
        <v/>
      </c>
      <c r="B987" s="12" t="str">
        <f>Overview!B987</f>
        <v/>
      </c>
      <c r="C987" s="12" t="str">
        <f>Overview!C987</f>
        <v/>
      </c>
      <c r="D987" s="12" t="str">
        <f>Overview!D987</f>
        <v/>
      </c>
      <c r="E987" s="12" t="str">
        <f>Overview!E987</f>
        <v/>
      </c>
      <c r="F987" s="12" t="str">
        <f>Overview!K987</f>
        <v/>
      </c>
      <c r="G987" s="12" t="str">
        <f>Overview!L987</f>
        <v/>
      </c>
      <c r="H987" s="12" t="str">
        <f>Overview!M987</f>
        <v/>
      </c>
      <c r="I987" s="292" t="str">
        <f>Overview!N987</f>
        <v/>
      </c>
    </row>
    <row r="988">
      <c r="A988" s="12" t="str">
        <f>Overview!A988</f>
        <v/>
      </c>
      <c r="B988" s="12" t="str">
        <f>Overview!B988</f>
        <v/>
      </c>
      <c r="C988" s="12" t="str">
        <f>Overview!C988</f>
        <v/>
      </c>
      <c r="D988" s="12" t="str">
        <f>Overview!D988</f>
        <v/>
      </c>
      <c r="E988" s="12" t="str">
        <f>Overview!E988</f>
        <v/>
      </c>
      <c r="F988" s="12" t="str">
        <f>Overview!K988</f>
        <v/>
      </c>
      <c r="G988" s="12" t="str">
        <f>Overview!L988</f>
        <v/>
      </c>
      <c r="H988" s="12" t="str">
        <f>Overview!M988</f>
        <v/>
      </c>
      <c r="I988" s="292" t="str">
        <f>Overview!N988</f>
        <v/>
      </c>
    </row>
    <row r="989">
      <c r="A989" s="12" t="str">
        <f>Overview!A989</f>
        <v/>
      </c>
      <c r="B989" s="12" t="str">
        <f>Overview!B989</f>
        <v/>
      </c>
      <c r="C989" s="12" t="str">
        <f>Overview!C989</f>
        <v/>
      </c>
      <c r="D989" s="12" t="str">
        <f>Overview!D989</f>
        <v/>
      </c>
      <c r="E989" s="12" t="str">
        <f>Overview!E989</f>
        <v/>
      </c>
      <c r="F989" s="12" t="str">
        <f>Overview!K989</f>
        <v/>
      </c>
      <c r="G989" s="12" t="str">
        <f>Overview!L989</f>
        <v/>
      </c>
      <c r="H989" s="12" t="str">
        <f>Overview!M989</f>
        <v/>
      </c>
      <c r="I989" s="292" t="str">
        <f>Overview!N989</f>
        <v/>
      </c>
    </row>
    <row r="990">
      <c r="A990" s="12" t="str">
        <f>Overview!A990</f>
        <v/>
      </c>
      <c r="B990" s="12" t="str">
        <f>Overview!B990</f>
        <v/>
      </c>
      <c r="C990" s="12" t="str">
        <f>Overview!C990</f>
        <v/>
      </c>
      <c r="D990" s="12" t="str">
        <f>Overview!D990</f>
        <v/>
      </c>
      <c r="E990" s="12" t="str">
        <f>Overview!E990</f>
        <v/>
      </c>
      <c r="F990" s="12" t="str">
        <f>Overview!K990</f>
        <v/>
      </c>
      <c r="G990" s="12" t="str">
        <f>Overview!L990</f>
        <v/>
      </c>
      <c r="H990" s="12" t="str">
        <f>Overview!M990</f>
        <v/>
      </c>
      <c r="I990" s="292" t="str">
        <f>Overview!N990</f>
        <v/>
      </c>
    </row>
    <row r="991">
      <c r="A991" s="12" t="str">
        <f>Overview!A991</f>
        <v/>
      </c>
      <c r="B991" s="12" t="str">
        <f>Overview!B991</f>
        <v/>
      </c>
      <c r="C991" s="12" t="str">
        <f>Overview!C991</f>
        <v/>
      </c>
      <c r="D991" s="12" t="str">
        <f>Overview!D991</f>
        <v/>
      </c>
      <c r="E991" s="12" t="str">
        <f>Overview!E991</f>
        <v/>
      </c>
      <c r="F991" s="12" t="str">
        <f>Overview!K991</f>
        <v/>
      </c>
      <c r="G991" s="12" t="str">
        <f>Overview!L991</f>
        <v/>
      </c>
      <c r="H991" s="12" t="str">
        <f>Overview!M991</f>
        <v/>
      </c>
      <c r="I991" s="292" t="str">
        <f>Overview!N991</f>
        <v/>
      </c>
    </row>
    <row r="992">
      <c r="A992" s="12" t="str">
        <f>Overview!A992</f>
        <v/>
      </c>
      <c r="B992" s="12" t="str">
        <f>Overview!B992</f>
        <v/>
      </c>
      <c r="C992" s="12" t="str">
        <f>Overview!C992</f>
        <v/>
      </c>
      <c r="D992" s="12" t="str">
        <f>Overview!D992</f>
        <v/>
      </c>
      <c r="E992" s="12" t="str">
        <f>Overview!E992</f>
        <v/>
      </c>
      <c r="F992" s="12" t="str">
        <f>Overview!K992</f>
        <v/>
      </c>
      <c r="G992" s="12" t="str">
        <f>Overview!L992</f>
        <v/>
      </c>
      <c r="H992" s="12" t="str">
        <f>Overview!M992</f>
        <v/>
      </c>
      <c r="I992" s="292" t="str">
        <f>Overview!N992</f>
        <v/>
      </c>
    </row>
    <row r="993">
      <c r="A993" s="12" t="str">
        <f>Overview!A993</f>
        <v/>
      </c>
      <c r="B993" s="12" t="str">
        <f>Overview!B993</f>
        <v/>
      </c>
      <c r="C993" s="12" t="str">
        <f>Overview!C993</f>
        <v/>
      </c>
      <c r="D993" s="12" t="str">
        <f>Overview!D993</f>
        <v/>
      </c>
      <c r="E993" s="12" t="str">
        <f>Overview!E993</f>
        <v/>
      </c>
      <c r="F993" s="12" t="str">
        <f>Overview!K993</f>
        <v/>
      </c>
      <c r="G993" s="12" t="str">
        <f>Overview!L993</f>
        <v/>
      </c>
      <c r="H993" s="12" t="str">
        <f>Overview!M993</f>
        <v/>
      </c>
      <c r="I993" s="292" t="str">
        <f>Overview!N993</f>
        <v/>
      </c>
    </row>
    <row r="994">
      <c r="A994" s="12" t="str">
        <f>Overview!A994</f>
        <v/>
      </c>
      <c r="B994" s="12" t="str">
        <f>Overview!B994</f>
        <v/>
      </c>
      <c r="C994" s="12" t="str">
        <f>Overview!C994</f>
        <v/>
      </c>
      <c r="D994" s="12" t="str">
        <f>Overview!D994</f>
        <v/>
      </c>
      <c r="E994" s="12" t="str">
        <f>Overview!E994</f>
        <v/>
      </c>
      <c r="F994" s="12" t="str">
        <f>Overview!K994</f>
        <v/>
      </c>
      <c r="G994" s="12" t="str">
        <f>Overview!L994</f>
        <v/>
      </c>
      <c r="H994" s="12" t="str">
        <f>Overview!M994</f>
        <v/>
      </c>
      <c r="I994" s="292" t="str">
        <f>Overview!N994</f>
        <v/>
      </c>
    </row>
    <row r="995">
      <c r="A995" s="12" t="str">
        <f>Overview!A995</f>
        <v/>
      </c>
      <c r="B995" s="12" t="str">
        <f>Overview!B995</f>
        <v/>
      </c>
      <c r="C995" s="12" t="str">
        <f>Overview!C995</f>
        <v/>
      </c>
      <c r="D995" s="12" t="str">
        <f>Overview!D995</f>
        <v/>
      </c>
      <c r="E995" s="12" t="str">
        <f>Overview!E995</f>
        <v/>
      </c>
      <c r="F995" s="12" t="str">
        <f>Overview!K995</f>
        <v/>
      </c>
      <c r="G995" s="12" t="str">
        <f>Overview!L995</f>
        <v/>
      </c>
      <c r="H995" s="12" t="str">
        <f>Overview!M995</f>
        <v/>
      </c>
      <c r="I995" s="292" t="str">
        <f>Overview!N995</f>
        <v/>
      </c>
    </row>
    <row r="996">
      <c r="A996" s="12" t="str">
        <f>Overview!A996</f>
        <v/>
      </c>
      <c r="B996" s="12" t="str">
        <f>Overview!B996</f>
        <v/>
      </c>
      <c r="C996" s="12" t="str">
        <f>Overview!C996</f>
        <v/>
      </c>
      <c r="D996" s="12" t="str">
        <f>Overview!D996</f>
        <v/>
      </c>
      <c r="E996" s="12" t="str">
        <f>Overview!E996</f>
        <v/>
      </c>
      <c r="F996" s="12" t="str">
        <f>Overview!K996</f>
        <v/>
      </c>
      <c r="G996" s="12" t="str">
        <f>Overview!L996</f>
        <v/>
      </c>
      <c r="H996" s="12" t="str">
        <f>Overview!M996</f>
        <v/>
      </c>
      <c r="I996" s="292" t="str">
        <f>Overview!N996</f>
        <v/>
      </c>
    </row>
    <row r="997">
      <c r="A997" s="12" t="str">
        <f>Overview!A997</f>
        <v/>
      </c>
      <c r="B997" s="12" t="str">
        <f>Overview!B997</f>
        <v/>
      </c>
      <c r="C997" s="12" t="str">
        <f>Overview!C997</f>
        <v/>
      </c>
      <c r="D997" s="12" t="str">
        <f>Overview!D997</f>
        <v/>
      </c>
      <c r="E997" s="12" t="str">
        <f>Overview!E997</f>
        <v/>
      </c>
      <c r="F997" s="12" t="str">
        <f>Overview!K997</f>
        <v/>
      </c>
      <c r="G997" s="12" t="str">
        <f>Overview!L997</f>
        <v/>
      </c>
      <c r="H997" s="12" t="str">
        <f>Overview!M997</f>
        <v/>
      </c>
      <c r="I997" s="292" t="str">
        <f>Overview!N997</f>
        <v/>
      </c>
    </row>
    <row r="998">
      <c r="A998" s="12" t="str">
        <f>Overview!A998</f>
        <v/>
      </c>
      <c r="B998" s="12" t="str">
        <f>Overview!B998</f>
        <v/>
      </c>
      <c r="C998" s="12" t="str">
        <f>Overview!C998</f>
        <v/>
      </c>
      <c r="D998" s="12" t="str">
        <f>Overview!D998</f>
        <v/>
      </c>
      <c r="E998" s="12" t="str">
        <f>Overview!E998</f>
        <v/>
      </c>
      <c r="F998" s="12" t="str">
        <f>Overview!K998</f>
        <v/>
      </c>
      <c r="G998" s="12" t="str">
        <f>Overview!L998</f>
        <v/>
      </c>
      <c r="H998" s="12" t="str">
        <f>Overview!M998</f>
        <v/>
      </c>
      <c r="I998" s="292" t="str">
        <f>Overview!N998</f>
        <v/>
      </c>
    </row>
    <row r="999">
      <c r="A999" s="12" t="str">
        <f>Overview!A999</f>
        <v/>
      </c>
      <c r="B999" s="12" t="str">
        <f>Overview!B999</f>
        <v/>
      </c>
      <c r="C999" s="12" t="str">
        <f>Overview!C999</f>
        <v/>
      </c>
      <c r="D999" s="12" t="str">
        <f>Overview!D999</f>
        <v/>
      </c>
      <c r="E999" s="12" t="str">
        <f>Overview!E999</f>
        <v/>
      </c>
      <c r="F999" s="12" t="str">
        <f>Overview!K999</f>
        <v/>
      </c>
      <c r="G999" s="12" t="str">
        <f>Overview!L999</f>
        <v/>
      </c>
      <c r="H999" s="12" t="str">
        <f>Overview!M999</f>
        <v/>
      </c>
      <c r="I999" s="292" t="str">
        <f>Overview!N999</f>
        <v/>
      </c>
    </row>
    <row r="1000">
      <c r="A1000" s="12" t="str">
        <f>Overview!A1000</f>
        <v/>
      </c>
      <c r="B1000" s="12" t="str">
        <f>Overview!B1000</f>
        <v/>
      </c>
      <c r="C1000" s="12" t="str">
        <f>Overview!C1000</f>
        <v/>
      </c>
      <c r="D1000" s="12" t="str">
        <f>Overview!D1000</f>
        <v/>
      </c>
      <c r="E1000" s="12" t="str">
        <f>Overview!E1000</f>
        <v/>
      </c>
      <c r="F1000" s="12" t="str">
        <f>Overview!K1000</f>
        <v/>
      </c>
      <c r="G1000" s="12" t="str">
        <f>Overview!L1000</f>
        <v/>
      </c>
      <c r="H1000" s="12" t="str">
        <f>Overview!M1000</f>
        <v/>
      </c>
      <c r="I1000" s="292" t="str">
        <f>Overview!N1000</f>
        <v/>
      </c>
    </row>
  </sheetData>
  <mergeCells count="2">
    <mergeCell ref="C1:E1"/>
    <mergeCell ref="F1:H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3" max="11" width="9.13"/>
    <col customWidth="1" min="12" max="12" width="6.88"/>
    <col customWidth="1" min="13" max="14" width="8.63"/>
  </cols>
  <sheetData>
    <row r="1">
      <c r="A1" s="324"/>
      <c r="B1" s="325" t="s">
        <v>249</v>
      </c>
      <c r="C1" s="325" t="s">
        <v>250</v>
      </c>
      <c r="D1" s="325" t="s">
        <v>251</v>
      </c>
      <c r="E1" s="325" t="s">
        <v>252</v>
      </c>
      <c r="F1" s="325" t="s">
        <v>253</v>
      </c>
      <c r="G1" s="325" t="s">
        <v>254</v>
      </c>
      <c r="H1" s="325" t="s">
        <v>255</v>
      </c>
      <c r="I1" s="325" t="s">
        <v>256</v>
      </c>
      <c r="J1" s="325" t="s">
        <v>257</v>
      </c>
      <c r="K1" s="325" t="s">
        <v>258</v>
      </c>
      <c r="L1" s="325" t="s">
        <v>259</v>
      </c>
      <c r="M1" s="325" t="s">
        <v>260</v>
      </c>
      <c r="N1" s="325" t="s">
        <v>261</v>
      </c>
    </row>
    <row r="2">
      <c r="A2" s="123">
        <v>1.0</v>
      </c>
      <c r="B2" s="123" t="s">
        <v>262</v>
      </c>
      <c r="C2" s="326">
        <v>0.1226</v>
      </c>
      <c r="D2" s="326">
        <v>0.1112</v>
      </c>
      <c r="E2" s="326">
        <v>0.0998</v>
      </c>
      <c r="F2" s="326">
        <v>0.0998</v>
      </c>
      <c r="G2" s="326">
        <v>0.0903</v>
      </c>
      <c r="H2" s="326">
        <v>0.0798</v>
      </c>
      <c r="I2" s="326">
        <v>0.0798</v>
      </c>
      <c r="J2" s="326">
        <v>0.0798</v>
      </c>
      <c r="K2" s="326">
        <v>0.0692</v>
      </c>
      <c r="L2" s="326">
        <v>0.0692</v>
      </c>
      <c r="M2" s="326">
        <v>0.0692</v>
      </c>
      <c r="N2" s="326">
        <v>0.0602</v>
      </c>
    </row>
    <row r="3">
      <c r="A3" s="123">
        <v>2.0</v>
      </c>
      <c r="B3" s="123" t="s">
        <v>263</v>
      </c>
      <c r="C3" s="326">
        <v>0.0847</v>
      </c>
      <c r="D3" s="326">
        <v>0.0805</v>
      </c>
      <c r="E3" s="326">
        <v>0.0762</v>
      </c>
      <c r="F3" s="326">
        <v>0.0762</v>
      </c>
      <c r="G3" s="326">
        <v>0.0701</v>
      </c>
      <c r="H3" s="326">
        <v>0.0632</v>
      </c>
      <c r="I3" s="326">
        <v>0.0632</v>
      </c>
      <c r="J3" s="326">
        <v>0.0632</v>
      </c>
      <c r="K3" s="326">
        <v>0.0574</v>
      </c>
      <c r="L3" s="326">
        <v>0.0574</v>
      </c>
      <c r="M3" s="326">
        <v>0.0574</v>
      </c>
      <c r="N3" s="326">
        <v>0.0463</v>
      </c>
    </row>
    <row r="4">
      <c r="A4" s="123">
        <v>3.0</v>
      </c>
      <c r="B4" s="123" t="s">
        <v>264</v>
      </c>
      <c r="C4" s="326">
        <v>0.0916</v>
      </c>
      <c r="D4" s="326">
        <v>0.0809</v>
      </c>
      <c r="E4" s="326">
        <v>0.0703</v>
      </c>
      <c r="F4" s="326">
        <v>0.0703</v>
      </c>
      <c r="G4" s="326">
        <v>0.0617</v>
      </c>
      <c r="H4" s="326">
        <v>0.0525</v>
      </c>
      <c r="I4" s="326">
        <v>0.0525</v>
      </c>
      <c r="J4" s="326">
        <v>0.0525</v>
      </c>
      <c r="K4" s="326">
        <v>0.0412</v>
      </c>
      <c r="L4" s="326">
        <v>0.0412</v>
      </c>
      <c r="M4" s="326">
        <v>0.0412</v>
      </c>
      <c r="N4" s="326">
        <v>0.0324</v>
      </c>
    </row>
    <row r="5">
      <c r="A5" s="123">
        <v>4.0</v>
      </c>
      <c r="B5" s="123" t="s">
        <v>265</v>
      </c>
      <c r="C5" s="326">
        <v>0.1145</v>
      </c>
      <c r="D5" s="326">
        <v>0.097</v>
      </c>
      <c r="E5" s="326">
        <v>0.0794</v>
      </c>
      <c r="F5" s="326">
        <v>0.0794</v>
      </c>
      <c r="G5" s="326">
        <v>0.069</v>
      </c>
      <c r="H5" s="326">
        <v>0.0578</v>
      </c>
      <c r="I5" s="326">
        <v>0.0578</v>
      </c>
      <c r="J5" s="326">
        <v>0.0578</v>
      </c>
      <c r="K5" s="326">
        <v>0.0435</v>
      </c>
      <c r="L5" s="326">
        <v>0.0435</v>
      </c>
      <c r="M5" s="326">
        <v>0.0435</v>
      </c>
      <c r="N5" s="326">
        <v>0.0417</v>
      </c>
    </row>
    <row r="6">
      <c r="A6" s="123">
        <v>5.0</v>
      </c>
      <c r="B6" s="123" t="s">
        <v>266</v>
      </c>
      <c r="C6" s="326">
        <v>0.0934</v>
      </c>
      <c r="D6" s="326">
        <v>0.085</v>
      </c>
      <c r="E6" s="326">
        <v>0.0766</v>
      </c>
      <c r="F6" s="326">
        <v>0.0766</v>
      </c>
      <c r="G6" s="326">
        <v>0.0683</v>
      </c>
      <c r="H6" s="326">
        <v>0.0592</v>
      </c>
      <c r="I6" s="326">
        <v>0.0592</v>
      </c>
      <c r="J6" s="326">
        <v>0.0592</v>
      </c>
      <c r="K6" s="326">
        <v>0.0489</v>
      </c>
      <c r="L6" s="326">
        <v>0.0489</v>
      </c>
      <c r="M6" s="326">
        <v>0.0489</v>
      </c>
      <c r="N6" s="326">
        <v>0.037</v>
      </c>
    </row>
    <row r="7">
      <c r="A7" s="123">
        <v>6.0</v>
      </c>
      <c r="B7" s="123" t="s">
        <v>267</v>
      </c>
      <c r="C7" s="326">
        <v>0.0729</v>
      </c>
      <c r="D7" s="326">
        <v>0.0652</v>
      </c>
      <c r="E7" s="326">
        <v>0.0575</v>
      </c>
      <c r="F7" s="326">
        <v>0.0575</v>
      </c>
      <c r="G7" s="326">
        <v>0.052</v>
      </c>
      <c r="H7" s="326">
        <v>0.046</v>
      </c>
      <c r="I7" s="326">
        <v>0.046</v>
      </c>
      <c r="J7" s="326">
        <v>0.046</v>
      </c>
      <c r="K7" s="326">
        <v>0.0399</v>
      </c>
      <c r="L7" s="326">
        <v>0.0399</v>
      </c>
      <c r="M7" s="326">
        <v>0.0399</v>
      </c>
      <c r="N7" s="326">
        <v>0.037</v>
      </c>
    </row>
    <row r="8">
      <c r="A8" s="123">
        <v>7.0</v>
      </c>
      <c r="B8" s="123" t="s">
        <v>268</v>
      </c>
      <c r="C8" s="326">
        <v>0.0524</v>
      </c>
      <c r="D8" s="326">
        <v>0.0499</v>
      </c>
      <c r="E8" s="326">
        <v>0.0473</v>
      </c>
      <c r="F8" s="326">
        <v>0.0473</v>
      </c>
      <c r="G8" s="326">
        <v>0.044</v>
      </c>
      <c r="H8" s="326">
        <v>0.0402</v>
      </c>
      <c r="I8" s="326">
        <v>0.0402</v>
      </c>
      <c r="J8" s="326">
        <v>0.0402</v>
      </c>
      <c r="K8" s="326">
        <v>0.0376</v>
      </c>
      <c r="L8" s="326">
        <v>0.0376</v>
      </c>
      <c r="M8" s="326">
        <v>0.0376</v>
      </c>
      <c r="N8" s="326">
        <v>0.0324</v>
      </c>
    </row>
    <row r="9">
      <c r="A9" s="123">
        <v>8.0</v>
      </c>
      <c r="B9" s="123" t="s">
        <v>269</v>
      </c>
      <c r="C9" s="326">
        <v>0.0689</v>
      </c>
      <c r="D9" s="326">
        <v>0.0628</v>
      </c>
      <c r="E9" s="326">
        <v>0.0567</v>
      </c>
      <c r="F9" s="326">
        <v>0.0567</v>
      </c>
      <c r="G9" s="326">
        <v>0.0512</v>
      </c>
      <c r="H9" s="326">
        <v>0.0451</v>
      </c>
      <c r="I9" s="326">
        <v>0.0451</v>
      </c>
      <c r="J9" s="326">
        <v>0.0451</v>
      </c>
      <c r="K9" s="326">
        <v>0.0388</v>
      </c>
      <c r="L9" s="326">
        <v>0.0388</v>
      </c>
      <c r="M9" s="326">
        <v>0.0388</v>
      </c>
      <c r="N9" s="326">
        <v>0.0324</v>
      </c>
    </row>
    <row r="10">
      <c r="A10" s="123">
        <v>9.0</v>
      </c>
      <c r="B10" s="123" t="s">
        <v>270</v>
      </c>
      <c r="C10" s="326">
        <v>0.0175</v>
      </c>
      <c r="D10" s="326">
        <v>0.017</v>
      </c>
      <c r="E10" s="326">
        <v>0.0165</v>
      </c>
      <c r="F10" s="326">
        <v>0.0165</v>
      </c>
      <c r="G10" s="326">
        <v>0.016</v>
      </c>
      <c r="H10" s="326">
        <v>0.0154</v>
      </c>
      <c r="I10" s="326">
        <v>0.0154</v>
      </c>
      <c r="J10" s="326">
        <v>0.0154</v>
      </c>
      <c r="K10" s="326">
        <v>0.0159</v>
      </c>
      <c r="L10" s="326">
        <v>0.0159</v>
      </c>
      <c r="M10" s="326">
        <v>0.0159</v>
      </c>
      <c r="N10" s="326">
        <v>0.0162</v>
      </c>
    </row>
    <row r="11">
      <c r="A11" s="123">
        <v>10.0</v>
      </c>
      <c r="B11" s="123" t="s">
        <v>271</v>
      </c>
      <c r="C11" s="326">
        <v>0.0165</v>
      </c>
      <c r="D11" s="326">
        <v>0.0168</v>
      </c>
      <c r="E11" s="326">
        <v>0.017</v>
      </c>
      <c r="F11" s="326">
        <v>0.017</v>
      </c>
      <c r="G11" s="326">
        <v>0.0167</v>
      </c>
      <c r="H11" s="326">
        <v>0.0162</v>
      </c>
      <c r="I11" s="326">
        <v>0.0162</v>
      </c>
      <c r="J11" s="326">
        <v>0.0162</v>
      </c>
      <c r="K11" s="326">
        <v>0.017</v>
      </c>
      <c r="L11" s="326">
        <v>0.017</v>
      </c>
      <c r="M11" s="326">
        <v>0.017</v>
      </c>
      <c r="N11" s="326">
        <v>0.0162</v>
      </c>
    </row>
    <row r="12">
      <c r="A12" s="123">
        <v>11.0</v>
      </c>
      <c r="B12" s="123" t="s">
        <v>272</v>
      </c>
      <c r="C12" s="326">
        <v>0.0302</v>
      </c>
      <c r="D12" s="326">
        <v>0.0277</v>
      </c>
      <c r="E12" s="326">
        <v>0.0252</v>
      </c>
      <c r="F12" s="326">
        <v>0.0252</v>
      </c>
      <c r="G12" s="326">
        <v>0.0233</v>
      </c>
      <c r="H12" s="326">
        <v>0.0212</v>
      </c>
      <c r="I12" s="326">
        <v>0.0212</v>
      </c>
      <c r="J12" s="326">
        <v>0.0212</v>
      </c>
      <c r="K12" s="326">
        <v>0.0195</v>
      </c>
      <c r="L12" s="326">
        <v>0.0195</v>
      </c>
      <c r="M12" s="326">
        <v>0.0195</v>
      </c>
      <c r="N12" s="326">
        <v>0.0185</v>
      </c>
    </row>
    <row r="13">
      <c r="A13" s="123">
        <v>12.0</v>
      </c>
      <c r="B13" s="123" t="s">
        <v>273</v>
      </c>
      <c r="C13" s="326">
        <v>0.0534</v>
      </c>
      <c r="D13" s="326">
        <v>0.0481</v>
      </c>
      <c r="E13" s="326">
        <v>0.0427</v>
      </c>
      <c r="F13" s="326">
        <v>0.0427</v>
      </c>
      <c r="G13" s="326">
        <v>0.0393</v>
      </c>
      <c r="H13" s="326">
        <v>0.0355</v>
      </c>
      <c r="I13" s="326">
        <v>0.0355</v>
      </c>
      <c r="J13" s="326">
        <v>0.0355</v>
      </c>
      <c r="K13" s="326">
        <v>0.0325</v>
      </c>
      <c r="L13" s="326">
        <v>0.0325</v>
      </c>
      <c r="M13" s="326">
        <v>0.0325</v>
      </c>
      <c r="N13" s="326">
        <v>0.0324</v>
      </c>
    </row>
    <row r="14">
      <c r="A14" s="123">
        <v>13.0</v>
      </c>
      <c r="B14" s="123" t="s">
        <v>274</v>
      </c>
      <c r="C14" s="326">
        <v>0.0501</v>
      </c>
      <c r="D14" s="326">
        <v>0.0455</v>
      </c>
      <c r="E14" s="326">
        <v>0.0408</v>
      </c>
      <c r="F14" s="326">
        <v>0.0408</v>
      </c>
      <c r="G14" s="326">
        <v>0.0368</v>
      </c>
      <c r="H14" s="326">
        <v>0.0323</v>
      </c>
      <c r="I14" s="326">
        <v>0.0323</v>
      </c>
      <c r="J14" s="326">
        <v>0.0323</v>
      </c>
      <c r="K14" s="326">
        <v>0.0276</v>
      </c>
      <c r="L14" s="326">
        <v>0.0276</v>
      </c>
      <c r="M14" s="326">
        <v>0.0276</v>
      </c>
      <c r="N14" s="326">
        <v>0.0231</v>
      </c>
    </row>
    <row r="15">
      <c r="A15" s="123">
        <v>14.0</v>
      </c>
      <c r="B15" s="123" t="s">
        <v>275</v>
      </c>
      <c r="C15" s="326">
        <v>0.0348</v>
      </c>
      <c r="D15" s="326">
        <v>0.0314</v>
      </c>
      <c r="E15" s="326">
        <v>0.028</v>
      </c>
      <c r="F15" s="326">
        <v>0.028</v>
      </c>
      <c r="G15" s="326">
        <v>0.0255</v>
      </c>
      <c r="H15" s="326">
        <v>0.0227</v>
      </c>
      <c r="I15" s="326">
        <v>0.0227</v>
      </c>
      <c r="J15" s="326">
        <v>0.0227</v>
      </c>
      <c r="K15" s="326">
        <v>0.02</v>
      </c>
      <c r="L15" s="326">
        <v>0.02</v>
      </c>
      <c r="M15" s="326">
        <v>0.02</v>
      </c>
      <c r="N15" s="326">
        <v>0.0185</v>
      </c>
    </row>
    <row r="16">
      <c r="A16" s="123">
        <v>15.0</v>
      </c>
      <c r="B16" s="123" t="s">
        <v>276</v>
      </c>
      <c r="C16" s="326">
        <v>0.0272</v>
      </c>
      <c r="D16" s="326">
        <v>0.0255</v>
      </c>
      <c r="E16" s="326">
        <v>0.0239</v>
      </c>
      <c r="F16" s="326">
        <v>0.0239</v>
      </c>
      <c r="G16" s="326">
        <v>0.0224</v>
      </c>
      <c r="H16" s="326">
        <v>0.0206</v>
      </c>
      <c r="I16" s="326">
        <v>0.0206</v>
      </c>
      <c r="J16" s="326">
        <v>0.0206</v>
      </c>
      <c r="K16" s="326">
        <v>0.0197</v>
      </c>
      <c r="L16" s="326">
        <v>0.0197</v>
      </c>
      <c r="M16" s="326">
        <v>0.0197</v>
      </c>
      <c r="N16" s="326">
        <v>0.0185</v>
      </c>
    </row>
    <row r="17">
      <c r="A17" s="123">
        <v>16.0</v>
      </c>
      <c r="B17" s="123" t="s">
        <v>277</v>
      </c>
      <c r="C17" s="326">
        <v>0.0235</v>
      </c>
      <c r="D17" s="326">
        <v>0.0228</v>
      </c>
      <c r="E17" s="326">
        <v>0.0221</v>
      </c>
      <c r="F17" s="326">
        <v>0.0221</v>
      </c>
      <c r="G17" s="326">
        <v>0.0211</v>
      </c>
      <c r="H17" s="326">
        <v>0.0198</v>
      </c>
      <c r="I17" s="326">
        <v>0.0198</v>
      </c>
      <c r="J17" s="326">
        <v>0.0198</v>
      </c>
      <c r="K17" s="326">
        <v>0.0197</v>
      </c>
      <c r="L17" s="326">
        <v>0.0197</v>
      </c>
      <c r="M17" s="326">
        <v>0.0197</v>
      </c>
      <c r="N17" s="326">
        <v>0.0185</v>
      </c>
    </row>
    <row r="18">
      <c r="A18" s="123">
        <v>17.0</v>
      </c>
      <c r="B18" s="123" t="s">
        <v>278</v>
      </c>
      <c r="C18" s="326">
        <v>0.0241</v>
      </c>
      <c r="D18" s="326">
        <v>0.0234</v>
      </c>
      <c r="E18" s="326">
        <v>0.0227</v>
      </c>
      <c r="F18" s="326">
        <v>0.0227</v>
      </c>
      <c r="G18" s="326">
        <v>0.0222</v>
      </c>
      <c r="H18" s="326">
        <v>0.0214</v>
      </c>
      <c r="I18" s="326">
        <v>0.0214</v>
      </c>
      <c r="J18" s="326">
        <v>0.0214</v>
      </c>
      <c r="K18" s="326">
        <v>0.0224</v>
      </c>
      <c r="L18" s="326">
        <v>0.0224</v>
      </c>
      <c r="M18" s="326">
        <v>0.0224</v>
      </c>
      <c r="N18" s="326">
        <v>0.0231</v>
      </c>
    </row>
    <row r="19">
      <c r="A19" s="123">
        <v>18.0</v>
      </c>
      <c r="B19" s="123" t="s">
        <v>279</v>
      </c>
      <c r="C19" s="326">
        <v>0.0216</v>
      </c>
      <c r="D19" s="326">
        <v>0.0215</v>
      </c>
      <c r="E19" s="326">
        <v>0.0214</v>
      </c>
      <c r="F19" s="326">
        <v>0.0214</v>
      </c>
      <c r="G19" s="326">
        <v>0.0206</v>
      </c>
      <c r="H19" s="326">
        <v>0.0196</v>
      </c>
      <c r="I19" s="326">
        <v>0.0196</v>
      </c>
      <c r="J19" s="326">
        <v>0.0196</v>
      </c>
      <c r="K19" s="326">
        <v>0.02</v>
      </c>
      <c r="L19" s="326">
        <v>0.02</v>
      </c>
      <c r="M19" s="326">
        <v>0.02</v>
      </c>
      <c r="N19" s="326">
        <v>0.0185</v>
      </c>
    </row>
    <row r="20">
      <c r="A20" s="123">
        <v>19.0</v>
      </c>
      <c r="B20" s="123" t="s">
        <v>280</v>
      </c>
      <c r="C20" s="327">
        <v>0.0</v>
      </c>
      <c r="D20" s="326">
        <v>0.0366</v>
      </c>
      <c r="E20" s="326">
        <v>0.0366</v>
      </c>
      <c r="F20" s="326">
        <v>0.0366</v>
      </c>
      <c r="G20" s="326">
        <v>0.0354</v>
      </c>
      <c r="H20" s="326">
        <v>0.0338</v>
      </c>
      <c r="I20" s="326">
        <v>0.0338</v>
      </c>
      <c r="J20" s="326">
        <v>0.0338</v>
      </c>
      <c r="K20" s="326">
        <v>0.0346</v>
      </c>
      <c r="L20" s="326">
        <v>0.0346</v>
      </c>
      <c r="M20" s="326">
        <v>0.0346</v>
      </c>
      <c r="N20" s="326">
        <v>0.0324</v>
      </c>
    </row>
    <row r="21">
      <c r="A21" s="123">
        <v>20.0</v>
      </c>
      <c r="B21" s="123" t="s">
        <v>281</v>
      </c>
      <c r="C21" s="327">
        <v>0.0</v>
      </c>
      <c r="D21" s="326">
        <v>0.0215</v>
      </c>
      <c r="E21" s="326">
        <v>0.0215</v>
      </c>
      <c r="F21" s="326">
        <v>0.0215</v>
      </c>
      <c r="G21" s="326">
        <v>0.0213</v>
      </c>
      <c r="H21" s="326">
        <v>0.0208</v>
      </c>
      <c r="I21" s="326">
        <v>0.0208</v>
      </c>
      <c r="J21" s="326">
        <v>0.0208</v>
      </c>
      <c r="K21" s="326">
        <v>0.0224</v>
      </c>
      <c r="L21" s="326">
        <v>0.0224</v>
      </c>
      <c r="M21" s="326">
        <v>0.0224</v>
      </c>
      <c r="N21" s="326">
        <v>0.0231</v>
      </c>
    </row>
    <row r="22">
      <c r="A22" s="123">
        <v>21.0</v>
      </c>
      <c r="B22" s="123" t="s">
        <v>282</v>
      </c>
      <c r="C22" s="327">
        <v>0.0</v>
      </c>
      <c r="D22" s="326">
        <v>0.0297</v>
      </c>
      <c r="E22" s="326">
        <v>0.0297</v>
      </c>
      <c r="F22" s="326">
        <v>0.0297</v>
      </c>
      <c r="G22" s="326">
        <v>0.03</v>
      </c>
      <c r="H22" s="326">
        <v>0.0301</v>
      </c>
      <c r="I22" s="326">
        <v>0.0301</v>
      </c>
      <c r="J22" s="326">
        <v>0.0301</v>
      </c>
      <c r="K22" s="326">
        <v>0.0334</v>
      </c>
      <c r="L22" s="326">
        <v>0.0334</v>
      </c>
      <c r="M22" s="326">
        <v>0.0334</v>
      </c>
      <c r="N22" s="326">
        <v>0.037</v>
      </c>
    </row>
    <row r="23">
      <c r="A23" s="123">
        <v>22.0</v>
      </c>
      <c r="B23" s="123" t="s">
        <v>283</v>
      </c>
      <c r="C23" s="327">
        <v>0.0</v>
      </c>
      <c r="D23" s="327">
        <v>0.0</v>
      </c>
      <c r="E23" s="326">
        <v>0.0231</v>
      </c>
      <c r="F23" s="326">
        <v>0.0231</v>
      </c>
      <c r="G23" s="326">
        <v>0.0233</v>
      </c>
      <c r="H23" s="326">
        <v>0.0231</v>
      </c>
      <c r="I23" s="326">
        <v>0.0231</v>
      </c>
      <c r="J23" s="326">
        <v>0.0231</v>
      </c>
      <c r="K23" s="326">
        <v>0.0255</v>
      </c>
      <c r="L23" s="326">
        <v>0.0255</v>
      </c>
      <c r="M23" s="326">
        <v>0.0255</v>
      </c>
      <c r="N23" s="326">
        <v>0.0278</v>
      </c>
    </row>
    <row r="24">
      <c r="A24" s="123">
        <v>23.0</v>
      </c>
      <c r="B24" s="123" t="s">
        <v>284</v>
      </c>
      <c r="C24" s="327">
        <v>0.0</v>
      </c>
      <c r="D24" s="327">
        <v>0.0</v>
      </c>
      <c r="E24" s="326">
        <v>0.0297</v>
      </c>
      <c r="F24" s="326">
        <v>0.0297</v>
      </c>
      <c r="G24" s="326">
        <v>0.0289</v>
      </c>
      <c r="H24" s="326">
        <v>0.0278</v>
      </c>
      <c r="I24" s="326">
        <v>0.0278</v>
      </c>
      <c r="J24" s="326">
        <v>0.0278</v>
      </c>
      <c r="K24" s="326">
        <v>0.0288</v>
      </c>
      <c r="L24" s="326">
        <v>0.0288</v>
      </c>
      <c r="M24" s="326">
        <v>0.0288</v>
      </c>
      <c r="N24" s="326">
        <v>0.0278</v>
      </c>
    </row>
    <row r="25">
      <c r="A25" s="123">
        <v>24.0</v>
      </c>
      <c r="B25" s="123" t="s">
        <v>285</v>
      </c>
      <c r="C25" s="327">
        <v>0.0</v>
      </c>
      <c r="D25" s="327">
        <v>0.0</v>
      </c>
      <c r="E25" s="326">
        <v>0.0354</v>
      </c>
      <c r="F25" s="326">
        <v>0.0354</v>
      </c>
      <c r="G25" s="326">
        <v>0.0343</v>
      </c>
      <c r="H25" s="326">
        <v>0.0329</v>
      </c>
      <c r="I25" s="326">
        <v>0.0329</v>
      </c>
      <c r="J25" s="326">
        <v>0.0329</v>
      </c>
      <c r="K25" s="326">
        <v>0.034</v>
      </c>
      <c r="L25" s="326">
        <v>0.034</v>
      </c>
      <c r="M25" s="326">
        <v>0.034</v>
      </c>
      <c r="N25" s="326">
        <v>0.0324</v>
      </c>
    </row>
    <row r="26">
      <c r="A26" s="123">
        <v>25.0</v>
      </c>
      <c r="B26" s="123" t="s">
        <v>286</v>
      </c>
      <c r="C26" s="327">
        <v>0.0</v>
      </c>
      <c r="D26" s="327">
        <v>0.0</v>
      </c>
      <c r="E26" s="327">
        <v>0.0</v>
      </c>
      <c r="F26" s="327">
        <v>0.0</v>
      </c>
      <c r="G26" s="326">
        <v>0.032</v>
      </c>
      <c r="H26" s="326">
        <v>0.0319</v>
      </c>
      <c r="I26" s="326">
        <v>0.0319</v>
      </c>
      <c r="J26" s="326">
        <v>0.0319</v>
      </c>
      <c r="K26" s="326">
        <v>0.0325</v>
      </c>
      <c r="L26" s="326">
        <v>0.0325</v>
      </c>
      <c r="M26" s="326">
        <v>0.0325</v>
      </c>
      <c r="N26" s="326">
        <v>0.0324</v>
      </c>
    </row>
    <row r="27">
      <c r="A27" s="123">
        <v>26.0</v>
      </c>
      <c r="B27" s="123" t="s">
        <v>287</v>
      </c>
      <c r="C27" s="327">
        <v>0.0</v>
      </c>
      <c r="D27" s="327">
        <v>0.0</v>
      </c>
      <c r="E27" s="327">
        <v>0.0</v>
      </c>
      <c r="F27" s="327">
        <v>0.0</v>
      </c>
      <c r="G27" s="326">
        <v>0.032</v>
      </c>
      <c r="H27" s="326">
        <v>0.0319</v>
      </c>
      <c r="I27" s="326">
        <v>0.0319</v>
      </c>
      <c r="J27" s="326">
        <v>0.0319</v>
      </c>
      <c r="K27" s="326">
        <v>0.0325</v>
      </c>
      <c r="L27" s="326">
        <v>0.0325</v>
      </c>
      <c r="M27" s="326">
        <v>0.0325</v>
      </c>
      <c r="N27" s="326">
        <v>0.0324</v>
      </c>
    </row>
    <row r="28">
      <c r="A28" s="123">
        <v>27.0</v>
      </c>
      <c r="B28" s="123" t="s">
        <v>288</v>
      </c>
      <c r="C28" s="327">
        <v>0.0</v>
      </c>
      <c r="D28" s="327">
        <v>0.0</v>
      </c>
      <c r="E28" s="327">
        <v>0.0</v>
      </c>
      <c r="F28" s="327">
        <v>0.0</v>
      </c>
      <c r="G28" s="326">
        <v>0.0126</v>
      </c>
      <c r="H28" s="326">
        <v>0.0125</v>
      </c>
      <c r="I28" s="326">
        <v>0.0125</v>
      </c>
      <c r="J28" s="326">
        <v>0.0125</v>
      </c>
      <c r="K28" s="326">
        <v>0.0127</v>
      </c>
      <c r="L28" s="326">
        <v>0.0127</v>
      </c>
      <c r="M28" s="326">
        <v>0.0127</v>
      </c>
      <c r="N28" s="326">
        <v>0.0162</v>
      </c>
    </row>
    <row r="29">
      <c r="A29" s="123">
        <v>28.0</v>
      </c>
      <c r="B29" s="123" t="s">
        <v>289</v>
      </c>
      <c r="C29" s="327">
        <v>0.0</v>
      </c>
      <c r="D29" s="327">
        <v>0.0</v>
      </c>
      <c r="E29" s="327">
        <v>0.0</v>
      </c>
      <c r="F29" s="327">
        <v>0.0</v>
      </c>
      <c r="G29" s="327">
        <v>0.0</v>
      </c>
      <c r="H29" s="326">
        <v>0.0319</v>
      </c>
      <c r="I29" s="326">
        <v>0.0319</v>
      </c>
      <c r="J29" s="326">
        <v>0.0319</v>
      </c>
      <c r="K29" s="326">
        <v>0.0325</v>
      </c>
      <c r="L29" s="326">
        <v>0.0325</v>
      </c>
      <c r="M29" s="326">
        <v>0.0325</v>
      </c>
      <c r="N29" s="326">
        <v>0.0324</v>
      </c>
    </row>
    <row r="30">
      <c r="A30" s="123">
        <v>29.0</v>
      </c>
      <c r="B30" s="123" t="s">
        <v>290</v>
      </c>
      <c r="C30" s="327">
        <v>0.0</v>
      </c>
      <c r="D30" s="327">
        <v>0.0</v>
      </c>
      <c r="E30" s="327">
        <v>0.0</v>
      </c>
      <c r="F30" s="327">
        <v>0.0</v>
      </c>
      <c r="G30" s="327">
        <v>0.0</v>
      </c>
      <c r="H30" s="326">
        <v>0.0273</v>
      </c>
      <c r="I30" s="326">
        <v>0.0273</v>
      </c>
      <c r="J30" s="326">
        <v>0.0273</v>
      </c>
      <c r="K30" s="326">
        <v>0.0278</v>
      </c>
      <c r="L30" s="326">
        <v>0.0278</v>
      </c>
      <c r="M30" s="326">
        <v>0.0278</v>
      </c>
      <c r="N30" s="326">
        <v>0.0278</v>
      </c>
    </row>
    <row r="31">
      <c r="A31" s="123">
        <v>30.0</v>
      </c>
      <c r="B31" s="123" t="s">
        <v>291</v>
      </c>
      <c r="C31" s="327">
        <v>0.0</v>
      </c>
      <c r="D31" s="327">
        <v>0.0</v>
      </c>
      <c r="E31" s="327">
        <v>0.0</v>
      </c>
      <c r="F31" s="327">
        <v>0.0</v>
      </c>
      <c r="G31" s="327">
        <v>0.0</v>
      </c>
      <c r="H31" s="326">
        <v>0.0273</v>
      </c>
      <c r="I31" s="326">
        <v>0.0273</v>
      </c>
      <c r="J31" s="326">
        <v>0.0273</v>
      </c>
      <c r="K31" s="326">
        <v>0.0278</v>
      </c>
      <c r="L31" s="326">
        <v>0.0278</v>
      </c>
      <c r="M31" s="326">
        <v>0.0278</v>
      </c>
      <c r="N31" s="326">
        <v>0.0278</v>
      </c>
    </row>
    <row r="32">
      <c r="A32" s="123">
        <v>31.0</v>
      </c>
      <c r="B32" s="123" t="s">
        <v>292</v>
      </c>
      <c r="C32" s="327">
        <v>0.0</v>
      </c>
      <c r="D32" s="327">
        <v>0.0</v>
      </c>
      <c r="E32" s="327">
        <v>0.0</v>
      </c>
      <c r="F32" s="327">
        <v>0.0</v>
      </c>
      <c r="G32" s="327">
        <v>0.0</v>
      </c>
      <c r="H32" s="327">
        <v>0.0</v>
      </c>
      <c r="I32" s="327">
        <v>0.0</v>
      </c>
      <c r="J32" s="327">
        <v>0.0</v>
      </c>
      <c r="K32" s="326">
        <v>0.0249</v>
      </c>
      <c r="L32" s="326">
        <v>0.0249</v>
      </c>
      <c r="M32" s="326">
        <v>0.0249</v>
      </c>
      <c r="N32" s="326">
        <v>0.0231</v>
      </c>
    </row>
    <row r="33">
      <c r="A33" s="123">
        <v>32.0</v>
      </c>
      <c r="B33" s="123" t="s">
        <v>293</v>
      </c>
      <c r="C33" s="327">
        <v>0.0</v>
      </c>
      <c r="D33" s="327">
        <v>0.0</v>
      </c>
      <c r="E33" s="327">
        <v>0.0</v>
      </c>
      <c r="F33" s="327">
        <v>0.0</v>
      </c>
      <c r="G33" s="327">
        <v>0.0</v>
      </c>
      <c r="H33" s="327">
        <v>0.0</v>
      </c>
      <c r="I33" s="327">
        <v>0.0</v>
      </c>
      <c r="J33" s="327">
        <v>0.0</v>
      </c>
      <c r="K33" s="326">
        <v>0.0249</v>
      </c>
      <c r="L33" s="326">
        <v>0.0249</v>
      </c>
      <c r="M33" s="326">
        <v>0.0249</v>
      </c>
      <c r="N33" s="326">
        <v>0.0231</v>
      </c>
    </row>
    <row r="34">
      <c r="A34" s="123">
        <v>33.0</v>
      </c>
      <c r="B34" s="123" t="s">
        <v>294</v>
      </c>
      <c r="C34" s="327">
        <v>0.0</v>
      </c>
      <c r="D34" s="327">
        <v>0.0</v>
      </c>
      <c r="E34" s="327">
        <v>0.0</v>
      </c>
      <c r="F34" s="327">
        <v>0.0</v>
      </c>
      <c r="G34" s="327">
        <v>0.0</v>
      </c>
      <c r="H34" s="327">
        <v>0.0</v>
      </c>
      <c r="I34" s="327">
        <v>0.0</v>
      </c>
      <c r="J34" s="327">
        <v>0.0</v>
      </c>
      <c r="K34" s="326">
        <v>0.015</v>
      </c>
      <c r="L34" s="326">
        <v>0.015</v>
      </c>
      <c r="M34" s="326">
        <v>0.015</v>
      </c>
      <c r="N34" s="326">
        <v>0.0162</v>
      </c>
    </row>
    <row r="35">
      <c r="A35" s="123">
        <v>34.0</v>
      </c>
      <c r="B35" s="123" t="s">
        <v>295</v>
      </c>
      <c r="C35" s="327">
        <v>0.0</v>
      </c>
      <c r="D35" s="327">
        <v>0.0</v>
      </c>
      <c r="E35" s="327">
        <v>0.0</v>
      </c>
      <c r="F35" s="327">
        <v>0.0</v>
      </c>
      <c r="G35" s="327">
        <v>0.0</v>
      </c>
      <c r="H35" s="327">
        <v>0.0</v>
      </c>
      <c r="I35" s="327">
        <v>0.0</v>
      </c>
      <c r="J35" s="327">
        <v>0.0</v>
      </c>
      <c r="K35" s="327">
        <v>0.0</v>
      </c>
      <c r="L35" s="327">
        <v>0.0</v>
      </c>
      <c r="M35" s="327">
        <v>0.0</v>
      </c>
      <c r="N35" s="326">
        <v>0.0162</v>
      </c>
    </row>
    <row r="36">
      <c r="A36" s="123">
        <v>35.0</v>
      </c>
      <c r="B36" s="123" t="s">
        <v>296</v>
      </c>
      <c r="C36" s="327">
        <v>0.0</v>
      </c>
      <c r="D36" s="327">
        <v>0.0</v>
      </c>
      <c r="E36" s="327">
        <v>0.0</v>
      </c>
      <c r="F36" s="327">
        <v>0.0</v>
      </c>
      <c r="G36" s="327">
        <v>0.0</v>
      </c>
      <c r="H36" s="327">
        <v>0.0</v>
      </c>
      <c r="I36" s="327">
        <v>0.0</v>
      </c>
      <c r="J36" s="327">
        <v>0.0</v>
      </c>
      <c r="K36" s="327">
        <v>0.0</v>
      </c>
      <c r="L36" s="327">
        <v>0.0</v>
      </c>
      <c r="M36" s="327">
        <v>0.0</v>
      </c>
      <c r="N36" s="326">
        <v>0.0162</v>
      </c>
    </row>
    <row r="37">
      <c r="A37" s="123">
        <v>36.0</v>
      </c>
      <c r="B37" s="123" t="s">
        <v>297</v>
      </c>
      <c r="C37" s="327">
        <v>0.0</v>
      </c>
      <c r="D37" s="327">
        <v>0.0</v>
      </c>
      <c r="E37" s="327">
        <v>0.0</v>
      </c>
      <c r="F37" s="327">
        <v>0.0</v>
      </c>
      <c r="G37" s="327">
        <v>0.0</v>
      </c>
      <c r="H37" s="327">
        <v>0.0</v>
      </c>
      <c r="I37" s="327">
        <v>0.0</v>
      </c>
      <c r="J37" s="327">
        <v>0.0</v>
      </c>
      <c r="K37" s="327">
        <v>0.0</v>
      </c>
      <c r="L37" s="327">
        <v>0.0</v>
      </c>
      <c r="M37" s="327">
        <v>0.0</v>
      </c>
      <c r="N37" s="326">
        <v>0.0324</v>
      </c>
    </row>
    <row r="38">
      <c r="A38" s="123">
        <v>37.0</v>
      </c>
      <c r="B38" s="123" t="s">
        <v>298</v>
      </c>
      <c r="C38" s="327">
        <v>0.0</v>
      </c>
      <c r="D38" s="327">
        <v>0.0</v>
      </c>
      <c r="E38" s="327">
        <v>0.0</v>
      </c>
      <c r="F38" s="327">
        <v>0.0</v>
      </c>
      <c r="G38" s="327">
        <v>0.0</v>
      </c>
      <c r="H38" s="327">
        <v>0.0</v>
      </c>
      <c r="I38" s="327">
        <v>0.0</v>
      </c>
      <c r="J38" s="327">
        <v>0.0</v>
      </c>
      <c r="K38" s="327">
        <v>0.0</v>
      </c>
      <c r="L38" s="327">
        <v>0.0</v>
      </c>
      <c r="M38" s="327">
        <v>0.0</v>
      </c>
      <c r="N38" s="327">
        <v>0.0</v>
      </c>
    </row>
    <row r="39">
      <c r="A39" s="123">
        <v>38.0</v>
      </c>
      <c r="B39" s="123" t="s">
        <v>299</v>
      </c>
      <c r="C39" s="327">
        <v>0.0</v>
      </c>
      <c r="D39" s="327">
        <v>0.0</v>
      </c>
      <c r="E39" s="327">
        <v>0.0</v>
      </c>
      <c r="F39" s="327">
        <v>0.0</v>
      </c>
      <c r="G39" s="327">
        <v>0.0</v>
      </c>
      <c r="H39" s="327">
        <v>0.0</v>
      </c>
      <c r="I39" s="327">
        <v>0.0</v>
      </c>
      <c r="J39" s="327">
        <v>0.0</v>
      </c>
      <c r="K39" s="327">
        <v>0.0</v>
      </c>
      <c r="L39" s="327">
        <v>0.0</v>
      </c>
      <c r="M39" s="327">
        <v>0.0</v>
      </c>
      <c r="N39" s="327">
        <v>0.0</v>
      </c>
    </row>
    <row r="40">
      <c r="A40" s="123">
        <v>39.0</v>
      </c>
      <c r="B40" s="123" t="s">
        <v>300</v>
      </c>
      <c r="C40" s="327">
        <v>0.0</v>
      </c>
      <c r="D40" s="327">
        <v>0.0</v>
      </c>
      <c r="E40" s="327">
        <v>0.0</v>
      </c>
      <c r="F40" s="327">
        <v>0.0</v>
      </c>
      <c r="G40" s="327">
        <v>0.0</v>
      </c>
      <c r="H40" s="327">
        <v>0.0</v>
      </c>
      <c r="I40" s="327">
        <v>0.0</v>
      </c>
      <c r="J40" s="327">
        <v>0.0</v>
      </c>
      <c r="K40" s="327">
        <v>0.0</v>
      </c>
      <c r="L40" s="327">
        <v>0.0</v>
      </c>
      <c r="M40" s="327">
        <v>0.0</v>
      </c>
      <c r="N40" s="327">
        <v>0.0</v>
      </c>
    </row>
    <row r="41">
      <c r="A41" s="123">
        <v>40.0</v>
      </c>
      <c r="B41" s="123" t="s">
        <v>301</v>
      </c>
      <c r="C41" s="327">
        <v>0.0</v>
      </c>
      <c r="D41" s="327">
        <v>0.0</v>
      </c>
      <c r="E41" s="327">
        <v>0.0</v>
      </c>
      <c r="F41" s="327">
        <v>0.0</v>
      </c>
      <c r="G41" s="327">
        <v>0.0</v>
      </c>
      <c r="H41" s="327">
        <v>0.0</v>
      </c>
      <c r="I41" s="327">
        <v>0.0</v>
      </c>
      <c r="J41" s="327">
        <v>0.0</v>
      </c>
      <c r="K41" s="327">
        <v>0.0</v>
      </c>
      <c r="L41" s="327">
        <v>0.0</v>
      </c>
      <c r="M41" s="327">
        <v>0.0</v>
      </c>
      <c r="N41" s="327">
        <v>0.0</v>
      </c>
    </row>
    <row r="42">
      <c r="A42" s="123">
        <v>41.0</v>
      </c>
      <c r="B42" s="123" t="s">
        <v>302</v>
      </c>
      <c r="C42" s="327">
        <v>0.0</v>
      </c>
      <c r="D42" s="327">
        <v>0.0</v>
      </c>
      <c r="E42" s="327">
        <v>0.0</v>
      </c>
      <c r="F42" s="327">
        <v>0.0</v>
      </c>
      <c r="G42" s="327">
        <v>0.0</v>
      </c>
      <c r="H42" s="327">
        <v>0.0</v>
      </c>
      <c r="I42" s="327">
        <v>0.0</v>
      </c>
      <c r="J42" s="327">
        <v>0.0</v>
      </c>
      <c r="K42" s="327">
        <v>0.0</v>
      </c>
      <c r="L42" s="327">
        <v>0.0</v>
      </c>
      <c r="M42" s="327">
        <v>0.0</v>
      </c>
      <c r="N42" s="327">
        <v>0.0</v>
      </c>
    </row>
    <row r="43">
      <c r="A43" s="123">
        <v>42.0</v>
      </c>
      <c r="B43" s="123" t="s">
        <v>303</v>
      </c>
      <c r="C43" s="327">
        <v>0.0</v>
      </c>
      <c r="D43" s="327">
        <v>0.0</v>
      </c>
      <c r="E43" s="327">
        <v>0.0</v>
      </c>
      <c r="F43" s="327">
        <v>0.0</v>
      </c>
      <c r="G43" s="327">
        <v>0.0</v>
      </c>
      <c r="H43" s="327">
        <v>0.0</v>
      </c>
      <c r="I43" s="327">
        <v>0.0</v>
      </c>
      <c r="J43" s="327">
        <v>0.0</v>
      </c>
      <c r="K43" s="327">
        <v>0.0</v>
      </c>
      <c r="L43" s="327">
        <v>0.0</v>
      </c>
      <c r="M43" s="327">
        <v>0.0</v>
      </c>
      <c r="N43" s="327">
        <v>0.0</v>
      </c>
    </row>
    <row r="44">
      <c r="A44" s="123">
        <v>43.0</v>
      </c>
      <c r="B44" s="123" t="s">
        <v>304</v>
      </c>
      <c r="C44" s="327">
        <v>0.0</v>
      </c>
      <c r="D44" s="327">
        <v>0.0</v>
      </c>
      <c r="E44" s="327">
        <v>0.0</v>
      </c>
      <c r="F44" s="327">
        <v>0.0</v>
      </c>
      <c r="G44" s="327">
        <v>0.0</v>
      </c>
      <c r="H44" s="327">
        <v>0.0</v>
      </c>
      <c r="I44" s="327">
        <v>0.0</v>
      </c>
      <c r="J44" s="327">
        <v>0.0</v>
      </c>
      <c r="K44" s="327">
        <v>0.0</v>
      </c>
      <c r="L44" s="327">
        <v>0.0</v>
      </c>
      <c r="M44" s="327">
        <v>0.0</v>
      </c>
      <c r="N44" s="327">
        <v>0.0</v>
      </c>
    </row>
    <row r="45">
      <c r="A45" s="123">
        <v>44.0</v>
      </c>
      <c r="B45" s="123" t="s">
        <v>305</v>
      </c>
      <c r="C45" s="327">
        <v>0.0</v>
      </c>
      <c r="D45" s="327">
        <v>0.0</v>
      </c>
      <c r="E45" s="327">
        <v>0.0</v>
      </c>
      <c r="F45" s="327">
        <v>0.0</v>
      </c>
      <c r="G45" s="327">
        <v>0.0</v>
      </c>
      <c r="H45" s="327">
        <v>0.0</v>
      </c>
      <c r="I45" s="327">
        <v>0.0</v>
      </c>
      <c r="J45" s="327">
        <v>0.0</v>
      </c>
      <c r="K45" s="327">
        <v>0.0</v>
      </c>
      <c r="L45" s="327">
        <v>0.0</v>
      </c>
      <c r="M45" s="327">
        <v>0.0</v>
      </c>
      <c r="N45" s="327">
        <v>0.0</v>
      </c>
    </row>
    <row r="46">
      <c r="A46" s="123">
        <v>45.0</v>
      </c>
      <c r="B46" s="123" t="s">
        <v>306</v>
      </c>
      <c r="C46" s="327">
        <v>0.0</v>
      </c>
      <c r="D46" s="327">
        <v>0.0</v>
      </c>
      <c r="E46" s="327">
        <v>0.0</v>
      </c>
      <c r="F46" s="327">
        <v>0.0</v>
      </c>
      <c r="G46" s="327">
        <v>0.0</v>
      </c>
      <c r="H46" s="327">
        <v>0.0</v>
      </c>
      <c r="I46" s="327">
        <v>0.0</v>
      </c>
      <c r="J46" s="327">
        <v>0.0</v>
      </c>
      <c r="K46" s="327">
        <v>0.0</v>
      </c>
      <c r="L46" s="327">
        <v>0.0</v>
      </c>
      <c r="M46" s="327">
        <v>0.0</v>
      </c>
      <c r="N46" s="327">
        <v>0.0</v>
      </c>
    </row>
    <row r="48">
      <c r="C48" s="291">
        <v>18.0</v>
      </c>
      <c r="D48" s="291">
        <v>21.0</v>
      </c>
      <c r="E48" s="291">
        <v>24.0</v>
      </c>
      <c r="F48" s="291">
        <v>24.0</v>
      </c>
      <c r="G48" s="291">
        <v>27.0</v>
      </c>
      <c r="H48" s="291">
        <v>30.0</v>
      </c>
      <c r="I48" s="291">
        <v>30.0</v>
      </c>
      <c r="J48" s="291">
        <v>30.0</v>
      </c>
      <c r="K48" s="291">
        <v>33.0</v>
      </c>
      <c r="L48" s="291">
        <v>33.0</v>
      </c>
      <c r="M48" s="291">
        <v>33.0</v>
      </c>
      <c r="N48" s="291">
        <v>36.0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75"/>
    <col customWidth="1" min="2" max="2" width="29.13"/>
    <col collapsed="1" min="3" max="3" width="12.63"/>
    <col hidden="1" min="4" max="16" width="12.63" outlineLevel="1"/>
  </cols>
  <sheetData>
    <row r="1">
      <c r="B1" s="328" t="s">
        <v>307</v>
      </c>
      <c r="C1" s="12"/>
    </row>
    <row r="2">
      <c r="B2" s="329" t="str">
        <f>IFERROR(__xludf.DUMMYFUNCTION("importrange(""https://docs.google.com/spreadsheets/d/1DSoDd3iElhYYB-GTAs8T3qRTJRDC_wCuCEnSMB6p4rY/edit?gid=1842011934#gid=1842011934"", ""[Calculation] Repetition Rate!A21:AR39"")"),"")</f>
        <v/>
      </c>
      <c r="C2" s="323" t="str">
        <f>IFERROR(__xludf.DUMMYFUNCTION("""COMPUTED_VALUE"""),"Slot / Week")</f>
        <v>Slot / Week</v>
      </c>
      <c r="D2" s="323" t="str">
        <f>IFERROR(__xludf.DUMMYFUNCTION("""COMPUTED_VALUE"""),"W24")</f>
        <v>W24</v>
      </c>
      <c r="E2" s="323" t="str">
        <f>IFERROR(__xludf.DUMMYFUNCTION("""COMPUTED_VALUE"""),"W25")</f>
        <v>W25</v>
      </c>
      <c r="F2" s="323" t="str">
        <f>IFERROR(__xludf.DUMMYFUNCTION("""COMPUTED_VALUE"""),"W26")</f>
        <v>W26</v>
      </c>
      <c r="G2" s="323" t="str">
        <f>IFERROR(__xludf.DUMMYFUNCTION("""COMPUTED_VALUE"""),"W27")</f>
        <v>W27</v>
      </c>
      <c r="H2" s="323" t="str">
        <f>IFERROR(__xludf.DUMMYFUNCTION("""COMPUTED_VALUE"""),"W28")</f>
        <v>W28</v>
      </c>
      <c r="I2" s="323" t="str">
        <f>IFERROR(__xludf.DUMMYFUNCTION("""COMPUTED_VALUE"""),"W29")</f>
        <v>W29</v>
      </c>
      <c r="J2" s="323" t="str">
        <f>IFERROR(__xludf.DUMMYFUNCTION("""COMPUTED_VALUE"""),"W30")</f>
        <v>W30</v>
      </c>
      <c r="K2" s="323" t="str">
        <f>IFERROR(__xludf.DUMMYFUNCTION("""COMPUTED_VALUE"""),"W31")</f>
        <v>W31</v>
      </c>
      <c r="L2" s="323" t="str">
        <f>IFERROR(__xludf.DUMMYFUNCTION("""COMPUTED_VALUE"""),"W32")</f>
        <v>W32</v>
      </c>
      <c r="M2" s="323" t="str">
        <f>IFERROR(__xludf.DUMMYFUNCTION("""COMPUTED_VALUE"""),"W33")</f>
        <v>W33</v>
      </c>
      <c r="N2" s="323" t="str">
        <f>IFERROR(__xludf.DUMMYFUNCTION("""COMPUTED_VALUE"""),"W34")</f>
        <v>W34</v>
      </c>
      <c r="O2" s="323" t="str">
        <f>IFERROR(__xludf.DUMMYFUNCTION("""COMPUTED_VALUE"""),"W35")</f>
        <v>W35</v>
      </c>
      <c r="P2" s="323" t="str">
        <f>IFERROR(__xludf.DUMMYFUNCTION("""COMPUTED_VALUE"""),"W36")</f>
        <v>W36</v>
      </c>
      <c r="Q2" s="323" t="str">
        <f>IFERROR(__xludf.DUMMYFUNCTION("""COMPUTED_VALUE"""),"W37")</f>
        <v>W37</v>
      </c>
      <c r="R2" s="323" t="str">
        <f>IFERROR(__xludf.DUMMYFUNCTION("""COMPUTED_VALUE"""),"W38")</f>
        <v>W38</v>
      </c>
      <c r="S2" s="323" t="str">
        <f>IFERROR(__xludf.DUMMYFUNCTION("""COMPUTED_VALUE"""),"W39")</f>
        <v>W39</v>
      </c>
      <c r="T2" s="323" t="str">
        <f>IFERROR(__xludf.DUMMYFUNCTION("""COMPUTED_VALUE"""),"W40")</f>
        <v>W40</v>
      </c>
      <c r="U2" s="323" t="str">
        <f>IFERROR(__xludf.DUMMYFUNCTION("""COMPUTED_VALUE"""),"W41")</f>
        <v>W41</v>
      </c>
      <c r="V2" s="323" t="str">
        <f>IFERROR(__xludf.DUMMYFUNCTION("""COMPUTED_VALUE"""),"W42")</f>
        <v>W42</v>
      </c>
      <c r="W2" s="323" t="str">
        <f>IFERROR(__xludf.DUMMYFUNCTION("""COMPUTED_VALUE"""),"W43")</f>
        <v>W43</v>
      </c>
      <c r="X2" s="323" t="str">
        <f>IFERROR(__xludf.DUMMYFUNCTION("""COMPUTED_VALUE"""),"W44")</f>
        <v>W44</v>
      </c>
      <c r="Y2" s="323" t="str">
        <f>IFERROR(__xludf.DUMMYFUNCTION("""COMPUTED_VALUE"""),"W45")</f>
        <v>W45</v>
      </c>
      <c r="Z2" s="323" t="str">
        <f>IFERROR(__xludf.DUMMYFUNCTION("""COMPUTED_VALUE"""),"W46")</f>
        <v>W46</v>
      </c>
      <c r="AA2" s="323" t="str">
        <f>IFERROR(__xludf.DUMMYFUNCTION("""COMPUTED_VALUE"""),"W47")</f>
        <v>W47</v>
      </c>
      <c r="AB2" s="323" t="str">
        <f>IFERROR(__xludf.DUMMYFUNCTION("""COMPUTED_VALUE"""),"W48")</f>
        <v>W48</v>
      </c>
      <c r="AC2" s="323" t="str">
        <f>IFERROR(__xludf.DUMMYFUNCTION("""COMPUTED_VALUE"""),"W49")</f>
        <v>W49</v>
      </c>
      <c r="AD2" s="323" t="str">
        <f>IFERROR(__xludf.DUMMYFUNCTION("""COMPUTED_VALUE"""),"W50")</f>
        <v>W50</v>
      </c>
      <c r="AE2" s="323" t="str">
        <f>IFERROR(__xludf.DUMMYFUNCTION("""COMPUTED_VALUE"""),"W51")</f>
        <v>W51</v>
      </c>
      <c r="AF2" s="323" t="str">
        <f>IFERROR(__xludf.DUMMYFUNCTION("""COMPUTED_VALUE"""),"W52")</f>
        <v>W52</v>
      </c>
      <c r="AG2" s="323" t="str">
        <f>IFERROR(__xludf.DUMMYFUNCTION("""COMPUTED_VALUE"""),"W1")</f>
        <v>W1</v>
      </c>
      <c r="AH2" s="323" t="str">
        <f>IFERROR(__xludf.DUMMYFUNCTION("""COMPUTED_VALUE"""),"W2")</f>
        <v>W2</v>
      </c>
      <c r="AI2" s="323" t="str">
        <f>IFERROR(__xludf.DUMMYFUNCTION("""COMPUTED_VALUE"""),"W3")</f>
        <v>W3</v>
      </c>
      <c r="AJ2" s="323" t="str">
        <f>IFERROR(__xludf.DUMMYFUNCTION("""COMPUTED_VALUE"""),"W04")</f>
        <v>W04</v>
      </c>
      <c r="AK2" s="323" t="str">
        <f>IFERROR(__xludf.DUMMYFUNCTION("""COMPUTED_VALUE"""),"W05")</f>
        <v>W05</v>
      </c>
      <c r="AL2" s="323" t="str">
        <f>IFERROR(__xludf.DUMMYFUNCTION("""COMPUTED_VALUE"""),"W06")</f>
        <v>W06</v>
      </c>
      <c r="AM2" s="323" t="str">
        <f>IFERROR(__xludf.DUMMYFUNCTION("""COMPUTED_VALUE"""),"W07")</f>
        <v>W07</v>
      </c>
      <c r="AN2" s="323" t="str">
        <f>IFERROR(__xludf.DUMMYFUNCTION("""COMPUTED_VALUE"""),"W08")</f>
        <v>W08</v>
      </c>
      <c r="AO2" s="323" t="str">
        <f>IFERROR(__xludf.DUMMYFUNCTION("""COMPUTED_VALUE"""),"W09")</f>
        <v>W09</v>
      </c>
      <c r="AP2" s="323" t="str">
        <f>IFERROR(__xludf.DUMMYFUNCTION("""COMPUTED_VALUE"""),"W10")</f>
        <v>W10</v>
      </c>
      <c r="AQ2" s="323" t="str">
        <f>IFERROR(__xludf.DUMMYFUNCTION("""COMPUTED_VALUE"""),"W11")</f>
        <v>W11</v>
      </c>
      <c r="AR2" s="323" t="str">
        <f>IFERROR(__xludf.DUMMYFUNCTION("""COMPUTED_VALUE"""),"W12")</f>
        <v>W12</v>
      </c>
      <c r="AS2" s="323" t="str">
        <f>IFERROR(__xludf.DUMMYFUNCTION("""COMPUTED_VALUE"""),"W13")</f>
        <v>W13</v>
      </c>
    </row>
    <row r="3">
      <c r="B3" s="292" t="str">
        <f>IFERROR(__xludf.DUMMYFUNCTION("""COMPUTED_VALUE"""),"CS/P+")</f>
        <v>CS/P+</v>
      </c>
      <c r="C3" s="12">
        <f>IFERROR(__xludf.DUMMYFUNCTION("""COMPUTED_VALUE"""),301.0)</f>
        <v>301</v>
      </c>
      <c r="D3" s="12" t="str">
        <f>IFERROR(__xludf.DUMMYFUNCTION("""COMPUTED_VALUE"""),"#REF!")</f>
        <v>#REF!</v>
      </c>
      <c r="E3" s="12" t="str">
        <f>IFERROR(__xludf.DUMMYFUNCTION("""COMPUTED_VALUE"""),"#REF!")</f>
        <v>#REF!</v>
      </c>
      <c r="F3" s="12" t="str">
        <f>IFERROR(__xludf.DUMMYFUNCTION("""COMPUTED_VALUE"""),"#REF!")</f>
        <v>#REF!</v>
      </c>
      <c r="G3" s="12" t="str">
        <f>IFERROR(__xludf.DUMMYFUNCTION("""COMPUTED_VALUE"""),"#REF!")</f>
        <v>#REF!</v>
      </c>
      <c r="H3" s="12" t="str">
        <f>IFERROR(__xludf.DUMMYFUNCTION("""COMPUTED_VALUE"""),"#REF!")</f>
        <v>#REF!</v>
      </c>
      <c r="I3" s="12" t="str">
        <f>IFERROR(__xludf.DUMMYFUNCTION("""COMPUTED_VALUE"""),"#REF!")</f>
        <v>#REF!</v>
      </c>
      <c r="J3" s="12" t="str">
        <f>IFERROR(__xludf.DUMMYFUNCTION("""COMPUTED_VALUE"""),"#REF!")</f>
        <v>#REF!</v>
      </c>
      <c r="K3" s="12" t="str">
        <f>IFERROR(__xludf.DUMMYFUNCTION("""COMPUTED_VALUE"""),"#REF!")</f>
        <v>#REF!</v>
      </c>
      <c r="L3" s="12" t="str">
        <f>IFERROR(__xludf.DUMMYFUNCTION("""COMPUTED_VALUE"""),"#REF!")</f>
        <v>#REF!</v>
      </c>
      <c r="M3" s="12" t="str">
        <f>IFERROR(__xludf.DUMMYFUNCTION("""COMPUTED_VALUE"""),"#REF!")</f>
        <v>#REF!</v>
      </c>
      <c r="N3" s="12" t="str">
        <f>IFERROR(__xludf.DUMMYFUNCTION("""COMPUTED_VALUE"""),"FE4015")</f>
        <v>FE4015</v>
      </c>
      <c r="O3" s="12" t="str">
        <f>IFERROR(__xludf.DUMMYFUNCTION("""COMPUTED_VALUE"""),"FE0426")</f>
        <v>FE0426</v>
      </c>
      <c r="P3" s="12" t="str">
        <f>IFERROR(__xludf.DUMMYFUNCTION("""COMPUTED_VALUE"""),"FE4015")</f>
        <v>FE4015</v>
      </c>
      <c r="Q3" s="12" t="str">
        <f>IFERROR(__xludf.DUMMYFUNCTION("""COMPUTED_VALUE"""),"#REF!")</f>
        <v>#REF!</v>
      </c>
      <c r="R3" s="12" t="str">
        <f>IFERROR(__xludf.DUMMYFUNCTION("""COMPUTED_VALUE"""),"FE0426")</f>
        <v>FE0426</v>
      </c>
      <c r="S3" s="12" t="str">
        <f>IFERROR(__xludf.DUMMYFUNCTION("""COMPUTED_VALUE"""),"FE4015")</f>
        <v>FE4015</v>
      </c>
      <c r="T3" s="12" t="str">
        <f>IFERROR(__xludf.DUMMYFUNCTION("""COMPUTED_VALUE"""),"FE4014")</f>
        <v>FE4014</v>
      </c>
      <c r="U3" s="12" t="str">
        <f>IFERROR(__xludf.DUMMYFUNCTION("""COMPUTED_VALUE"""),"FE0426")</f>
        <v>FE0426</v>
      </c>
      <c r="V3" s="12" t="str">
        <f>IFERROR(__xludf.DUMMYFUNCTION("""COMPUTED_VALUE"""),"FE4001")</f>
        <v>FE4001</v>
      </c>
      <c r="W3" s="12" t="str">
        <f>IFERROR(__xludf.DUMMYFUNCTION("""COMPUTED_VALUE"""),"FE0628")</f>
        <v>FE0628</v>
      </c>
      <c r="X3" s="12" t="str">
        <f>IFERROR(__xludf.DUMMYFUNCTION("""COMPUTED_VALUE"""),"FE0224")</f>
        <v>FE0224</v>
      </c>
      <c r="Y3" s="12" t="str">
        <f>IFERROR(__xludf.DUMMYFUNCTION("""COMPUTED_VALUE"""),"FE0628")</f>
        <v>FE0628</v>
      </c>
      <c r="Z3" s="12" t="str">
        <f>IFERROR(__xludf.DUMMYFUNCTION("""COMPUTED_VALUE"""),"FE4001")</f>
        <v>FE4001</v>
      </c>
      <c r="AA3" s="12" t="str">
        <f>IFERROR(__xludf.DUMMYFUNCTION("""COMPUTED_VALUE"""),"FE4014")</f>
        <v>FE4014</v>
      </c>
      <c r="AB3" s="12" t="str">
        <f>IFERROR(__xludf.DUMMYFUNCTION("""COMPUTED_VALUE"""),"FE0628")</f>
        <v>FE0628</v>
      </c>
      <c r="AC3" s="12" t="str">
        <f>IFERROR(__xludf.DUMMYFUNCTION("""COMPUTED_VALUE"""),"FE0224")</f>
        <v>FE0224</v>
      </c>
      <c r="AD3" s="12" t="str">
        <f>IFERROR(__xludf.DUMMYFUNCTION("""COMPUTED_VALUE"""),"FE0426")</f>
        <v>FE0426</v>
      </c>
      <c r="AE3" s="12" t="str">
        <f>IFERROR(__xludf.DUMMYFUNCTION("""COMPUTED_VALUE"""),"FE0322")</f>
        <v>FE0322</v>
      </c>
      <c r="AF3" s="12" t="str">
        <f>IFERROR(__xludf.DUMMYFUNCTION("""COMPUTED_VALUE"""),"FE4014")</f>
        <v>FE4014</v>
      </c>
      <c r="AG3" s="12" t="str">
        <f>IFERROR(__xludf.DUMMYFUNCTION("""COMPUTED_VALUE"""),"FE0322")</f>
        <v>FE0322</v>
      </c>
      <c r="AH3" s="12" t="str">
        <f>IFERROR(__xludf.DUMMYFUNCTION("""COMPUTED_VALUE"""),"FE4015")</f>
        <v>FE4015</v>
      </c>
      <c r="AI3" s="12" t="str">
        <f>IFERROR(__xludf.DUMMYFUNCTION("""COMPUTED_VALUE"""),"FE0322")</f>
        <v>FE0322</v>
      </c>
      <c r="AJ3" s="12" t="str">
        <f>IFERROR(__xludf.DUMMYFUNCTION("""COMPUTED_VALUE"""),"FE0426")</f>
        <v>FE0426</v>
      </c>
      <c r="AK3" s="12" t="str">
        <f>IFERROR(__xludf.DUMMYFUNCTION("""COMPUTED_VALUE"""),"FE0628")</f>
        <v>FE0628</v>
      </c>
      <c r="AL3" s="12" t="str">
        <f>IFERROR(__xludf.DUMMYFUNCTION("""COMPUTED_VALUE"""),"FE0426")</f>
        <v>FE0426</v>
      </c>
      <c r="AM3" s="12" t="str">
        <f>IFERROR(__xludf.DUMMYFUNCTION("""COMPUTED_VALUE"""),"FE0224")</f>
        <v>FE0224</v>
      </c>
      <c r="AN3" s="12" t="str">
        <f>IFERROR(__xludf.DUMMYFUNCTION("""COMPUTED_VALUE"""),"FE4015")</f>
        <v>FE4015</v>
      </c>
      <c r="AO3" s="12" t="str">
        <f>IFERROR(__xludf.DUMMYFUNCTION("""COMPUTED_VALUE"""),"FE0426")</f>
        <v>FE0426</v>
      </c>
      <c r="AP3" s="12" t="str">
        <f>IFERROR(__xludf.DUMMYFUNCTION("""COMPUTED_VALUE"""),"FE0384")</f>
        <v>FE0384</v>
      </c>
      <c r="AQ3" s="12" t="str">
        <f>IFERROR(__xludf.DUMMYFUNCTION("""COMPUTED_VALUE"""),"FE0426")</f>
        <v>FE0426</v>
      </c>
      <c r="AR3" s="12" t="str">
        <f>IFERROR(__xludf.DUMMYFUNCTION("""COMPUTED_VALUE"""),"FE4015")</f>
        <v>FE4015</v>
      </c>
      <c r="AS3" s="12" t="str">
        <f>IFERROR(__xludf.DUMMYFUNCTION("""COMPUTED_VALUE"""),"FE0426")</f>
        <v>FE0426</v>
      </c>
    </row>
    <row r="4">
      <c r="B4" s="292" t="str">
        <f>IFERROR(__xludf.DUMMYFUNCTION("""COMPUTED_VALUE"""),"CS")</f>
        <v>CS</v>
      </c>
      <c r="C4" s="12">
        <f>IFERROR(__xludf.DUMMYFUNCTION("""COMPUTED_VALUE"""),302.0)</f>
        <v>302</v>
      </c>
      <c r="D4" s="12" t="str">
        <f>IFERROR(__xludf.DUMMYFUNCTION("""COMPUTED_VALUE"""),"#REF!")</f>
        <v>#REF!</v>
      </c>
      <c r="E4" s="12" t="str">
        <f>IFERROR(__xludf.DUMMYFUNCTION("""COMPUTED_VALUE"""),"#REF!")</f>
        <v>#REF!</v>
      </c>
      <c r="F4" s="12" t="str">
        <f>IFERROR(__xludf.DUMMYFUNCTION("""COMPUTED_VALUE"""),"#REF!")</f>
        <v>#REF!</v>
      </c>
      <c r="G4" s="12" t="str">
        <f>IFERROR(__xludf.DUMMYFUNCTION("""COMPUTED_VALUE"""),"#REF!")</f>
        <v>#REF!</v>
      </c>
      <c r="H4" s="12" t="str">
        <f>IFERROR(__xludf.DUMMYFUNCTION("""COMPUTED_VALUE"""),"#REF!")</f>
        <v>#REF!</v>
      </c>
      <c r="I4" s="12" t="str">
        <f>IFERROR(__xludf.DUMMYFUNCTION("""COMPUTED_VALUE"""),"#REF!")</f>
        <v>#REF!</v>
      </c>
      <c r="J4" s="12" t="str">
        <f>IFERROR(__xludf.DUMMYFUNCTION("""COMPUTED_VALUE"""),"#REF!")</f>
        <v>#REF!</v>
      </c>
      <c r="K4" s="12" t="str">
        <f>IFERROR(__xludf.DUMMYFUNCTION("""COMPUTED_VALUE"""),"#REF!")</f>
        <v>#REF!</v>
      </c>
      <c r="L4" s="12" t="str">
        <f>IFERROR(__xludf.DUMMYFUNCTION("""COMPUTED_VALUE"""),"#REF!")</f>
        <v>#REF!</v>
      </c>
      <c r="M4" s="12" t="str">
        <f>IFERROR(__xludf.DUMMYFUNCTION("""COMPUTED_VALUE"""),"#REF!")</f>
        <v>#REF!</v>
      </c>
      <c r="N4" s="12" t="str">
        <f>IFERROR(__xludf.DUMMYFUNCTION("""COMPUTED_VALUE"""),"FE0780")</f>
        <v>FE0780</v>
      </c>
      <c r="O4" s="12" t="str">
        <f>IFERROR(__xludf.DUMMYFUNCTION("""COMPUTED_VALUE"""),"FE4014")</f>
        <v>FE4014</v>
      </c>
      <c r="P4" s="12" t="str">
        <f>IFERROR(__xludf.DUMMYFUNCTION("""COMPUTED_VALUE"""),"FE0780")</f>
        <v>FE0780</v>
      </c>
      <c r="Q4" s="12" t="str">
        <f>IFERROR(__xludf.DUMMYFUNCTION("""COMPUTED_VALUE"""),"#REF!")</f>
        <v>#REF!</v>
      </c>
      <c r="R4" s="12" t="str">
        <f>IFERROR(__xludf.DUMMYFUNCTION("""COMPUTED_VALUE"""),"FE0780")</f>
        <v>FE0780</v>
      </c>
      <c r="S4" s="12" t="str">
        <f>IFERROR(__xludf.DUMMYFUNCTION("""COMPUTED_VALUE"""),"FE0426")</f>
        <v>FE0426</v>
      </c>
      <c r="T4" s="12" t="str">
        <f>IFERROR(__xludf.DUMMYFUNCTION("""COMPUTED_VALUE"""),"FE4011")</f>
        <v>FE4011</v>
      </c>
      <c r="U4" s="12" t="str">
        <f>IFERROR(__xludf.DUMMYFUNCTION("""COMPUTED_VALUE"""),"FE0628")</f>
        <v>FE0628</v>
      </c>
      <c r="V4" s="12" t="str">
        <f>IFERROR(__xludf.DUMMYFUNCTION("""COMPUTED_VALUE"""),"FE0224")</f>
        <v>FE0224</v>
      </c>
      <c r="W4" s="12" t="str">
        <f>IFERROR(__xludf.DUMMYFUNCTION("""COMPUTED_VALUE"""),"FE0426")</f>
        <v>FE0426</v>
      </c>
      <c r="X4" s="12" t="str">
        <f>IFERROR(__xludf.DUMMYFUNCTION("""COMPUTED_VALUE"""),"FE4001")</f>
        <v>FE4001</v>
      </c>
      <c r="Y4" s="12" t="str">
        <f>IFERROR(__xludf.DUMMYFUNCTION("""COMPUTED_VALUE"""),"FE4015")</f>
        <v>FE4015</v>
      </c>
      <c r="Z4" s="12" t="str">
        <f>IFERROR(__xludf.DUMMYFUNCTION("""COMPUTED_VALUE"""),"FE4011")</f>
        <v>FE4011</v>
      </c>
      <c r="AA4" s="12" t="str">
        <f>IFERROR(__xludf.DUMMYFUNCTION("""COMPUTED_VALUE"""),"FE4015")</f>
        <v>FE4015</v>
      </c>
      <c r="AB4" s="12" t="str">
        <f>IFERROR(__xludf.DUMMYFUNCTION("""COMPUTED_VALUE"""),"FE0426")</f>
        <v>FE0426</v>
      </c>
      <c r="AC4" s="12" t="str">
        <f>IFERROR(__xludf.DUMMYFUNCTION("""COMPUTED_VALUE"""),"FE4015")</f>
        <v>FE4015</v>
      </c>
      <c r="AD4" s="12" t="str">
        <f>IFERROR(__xludf.DUMMYFUNCTION("""COMPUTED_VALUE"""),"FE4001")</f>
        <v>FE4001</v>
      </c>
      <c r="AE4" s="12" t="str">
        <f>IFERROR(__xludf.DUMMYFUNCTION("""COMPUTED_VALUE"""),"FE4015")</f>
        <v>FE4015</v>
      </c>
      <c r="AF4" s="12" t="str">
        <f>IFERROR(__xludf.DUMMYFUNCTION("""COMPUTED_VALUE"""),"FE0224")</f>
        <v>FE0224</v>
      </c>
      <c r="AG4" s="12" t="str">
        <f>IFERROR(__xludf.DUMMYFUNCTION("""COMPUTED_VALUE"""),"FE4015")</f>
        <v>FE4015</v>
      </c>
      <c r="AH4" s="12" t="str">
        <f>IFERROR(__xludf.DUMMYFUNCTION("""COMPUTED_VALUE"""),"FE0426")</f>
        <v>FE0426</v>
      </c>
      <c r="AI4" s="12" t="str">
        <f>IFERROR(__xludf.DUMMYFUNCTION("""COMPUTED_VALUE"""),"FE4014")</f>
        <v>FE4014</v>
      </c>
      <c r="AJ4" s="12" t="str">
        <f>IFERROR(__xludf.DUMMYFUNCTION("""COMPUTED_VALUE"""),"FE4015")</f>
        <v>FE4015</v>
      </c>
      <c r="AK4" s="12" t="str">
        <f>IFERROR(__xludf.DUMMYFUNCTION("""COMPUTED_VALUE"""),"FE4014")</f>
        <v>FE4014</v>
      </c>
      <c r="AL4" s="12" t="str">
        <f>IFERROR(__xludf.DUMMYFUNCTION("""COMPUTED_VALUE"""),"FE4001")</f>
        <v>FE4001</v>
      </c>
      <c r="AM4" s="12" t="str">
        <f>IFERROR(__xludf.DUMMYFUNCTION("""COMPUTED_VALUE"""),"FE0426")</f>
        <v>FE0426</v>
      </c>
      <c r="AN4" s="12" t="str">
        <f>IFERROR(__xludf.DUMMYFUNCTION("""COMPUTED_VALUE"""),"FE4014")</f>
        <v>FE4014</v>
      </c>
      <c r="AO4" s="12" t="str">
        <f>IFERROR(__xludf.DUMMYFUNCTION("""COMPUTED_VALUE"""),"FE0224")</f>
        <v>FE0224</v>
      </c>
      <c r="AP4" s="12" t="str">
        <f>IFERROR(__xludf.DUMMYFUNCTION("""COMPUTED_VALUE"""),"FE1636")</f>
        <v>FE1636</v>
      </c>
      <c r="AQ4" s="12" t="str">
        <f>IFERROR(__xludf.DUMMYFUNCTION("""COMPUTED_VALUE"""),"FE0322")</f>
        <v>FE0322</v>
      </c>
      <c r="AR4" s="12" t="str">
        <f>IFERROR(__xludf.DUMMYFUNCTION("""COMPUTED_VALUE"""),"FE4014")</f>
        <v>FE4014</v>
      </c>
      <c r="AS4" s="12" t="str">
        <f>IFERROR(__xludf.DUMMYFUNCTION("""COMPUTED_VALUE"""),"FE0224")</f>
        <v>FE0224</v>
      </c>
    </row>
    <row r="5">
      <c r="B5" s="292" t="str">
        <f>IFERROR(__xludf.DUMMYFUNCTION("""COMPUTED_VALUE"""),"Keto")</f>
        <v>Keto</v>
      </c>
      <c r="C5" s="12">
        <f>IFERROR(__xludf.DUMMYFUNCTION("""COMPUTED_VALUE"""),303.0)</f>
        <v>303</v>
      </c>
      <c r="D5" s="12" t="str">
        <f>IFERROR(__xludf.DUMMYFUNCTION("""COMPUTED_VALUE"""),"#REF!")</f>
        <v>#REF!</v>
      </c>
      <c r="E5" s="12" t="str">
        <f>IFERROR(__xludf.DUMMYFUNCTION("""COMPUTED_VALUE"""),"#REF!")</f>
        <v>#REF!</v>
      </c>
      <c r="F5" s="12" t="str">
        <f>IFERROR(__xludf.DUMMYFUNCTION("""COMPUTED_VALUE"""),"#REF!")</f>
        <v>#REF!</v>
      </c>
      <c r="G5" s="12" t="str">
        <f>IFERROR(__xludf.DUMMYFUNCTION("""COMPUTED_VALUE"""),"#REF!")</f>
        <v>#REF!</v>
      </c>
      <c r="H5" s="12" t="str">
        <f>IFERROR(__xludf.DUMMYFUNCTION("""COMPUTED_VALUE"""),"#REF!")</f>
        <v>#REF!</v>
      </c>
      <c r="I5" s="12" t="str">
        <f>IFERROR(__xludf.DUMMYFUNCTION("""COMPUTED_VALUE"""),"#REF!")</f>
        <v>#REF!</v>
      </c>
      <c r="J5" s="12" t="str">
        <f>IFERROR(__xludf.DUMMYFUNCTION("""COMPUTED_VALUE"""),"#REF!")</f>
        <v>#REF!</v>
      </c>
      <c r="K5" s="12" t="str">
        <f>IFERROR(__xludf.DUMMYFUNCTION("""COMPUTED_VALUE"""),"#REF!")</f>
        <v>#REF!</v>
      </c>
      <c r="L5" s="12" t="str">
        <f>IFERROR(__xludf.DUMMYFUNCTION("""COMPUTED_VALUE"""),"#REF!")</f>
        <v>#REF!</v>
      </c>
      <c r="M5" s="12" t="str">
        <f>IFERROR(__xludf.DUMMYFUNCTION("""COMPUTED_VALUE"""),"#REF!")</f>
        <v>#REF!</v>
      </c>
      <c r="N5" s="12" t="str">
        <f>IFERROR(__xludf.DUMMYFUNCTION("""COMPUTED_VALUE"""),"FE4053")</f>
        <v>FE4053</v>
      </c>
      <c r="O5" s="12" t="str">
        <f>IFERROR(__xludf.DUMMYFUNCTION("""COMPUTED_VALUE"""),"FE4038")</f>
        <v>FE4038</v>
      </c>
      <c r="P5" s="12" t="str">
        <f>IFERROR(__xludf.DUMMYFUNCTION("""COMPUTED_VALUE"""),"FE4038")</f>
        <v>FE4038</v>
      </c>
      <c r="Q5" s="12" t="str">
        <f>IFERROR(__xludf.DUMMYFUNCTION("""COMPUTED_VALUE"""),"#REF!")</f>
        <v>#REF!</v>
      </c>
      <c r="R5" s="12" t="str">
        <f>IFERROR(__xludf.DUMMYFUNCTION("""COMPUTED_VALUE"""),"FE4053")</f>
        <v>FE4053</v>
      </c>
      <c r="S5" s="12" t="str">
        <f>IFERROR(__xludf.DUMMYFUNCTION("""COMPUTED_VALUE"""),"FE0849")</f>
        <v>FE0849</v>
      </c>
      <c r="T5" s="12" t="str">
        <f>IFERROR(__xludf.DUMMYFUNCTION("""COMPUTED_VALUE"""),"FE0713")</f>
        <v>FE0713</v>
      </c>
      <c r="U5" s="12" t="str">
        <f>IFERROR(__xludf.DUMMYFUNCTION("""COMPUTED_VALUE"""),"FE0849")</f>
        <v>FE0849</v>
      </c>
      <c r="V5" s="12" t="str">
        <f>IFERROR(__xludf.DUMMYFUNCTION("""COMPUTED_VALUE"""),"FE0257")</f>
        <v>FE0257</v>
      </c>
      <c r="W5" s="12" t="str">
        <f>IFERROR(__xludf.DUMMYFUNCTION("""COMPUTED_VALUE"""),"FE0713")</f>
        <v>FE0713</v>
      </c>
      <c r="X5" s="12" t="str">
        <f>IFERROR(__xludf.DUMMYFUNCTION("""COMPUTED_VALUE"""),"FE0413")</f>
        <v>FE0413</v>
      </c>
      <c r="Y5" s="12" t="str">
        <f>IFERROR(__xludf.DUMMYFUNCTION("""COMPUTED_VALUE"""),"FE0849")</f>
        <v>FE0849</v>
      </c>
      <c r="Z5" s="12" t="str">
        <f>IFERROR(__xludf.DUMMYFUNCTION("""COMPUTED_VALUE"""),"FE0713")</f>
        <v>FE0713</v>
      </c>
      <c r="AA5" s="12" t="str">
        <f>IFERROR(__xludf.DUMMYFUNCTION("""COMPUTED_VALUE"""),"FE0746")</f>
        <v>FE0746</v>
      </c>
      <c r="AB5" s="12" t="str">
        <f>IFERROR(__xludf.DUMMYFUNCTION("""COMPUTED_VALUE"""),"FE0713")</f>
        <v>FE0713</v>
      </c>
      <c r="AC5" s="12" t="str">
        <f>IFERROR(__xludf.DUMMYFUNCTION("""COMPUTED_VALUE"""),"FE0849")</f>
        <v>FE0849</v>
      </c>
      <c r="AD5" s="12" t="str">
        <f>IFERROR(__xludf.DUMMYFUNCTION("""COMPUTED_VALUE"""),"FE0746")</f>
        <v>FE0746</v>
      </c>
      <c r="AE5" s="12" t="str">
        <f>IFERROR(__xludf.DUMMYFUNCTION("""COMPUTED_VALUE"""),"FE0745")</f>
        <v>FE0745</v>
      </c>
      <c r="AF5" s="12" t="str">
        <f>IFERROR(__xludf.DUMMYFUNCTION("""COMPUTED_VALUE"""),"FE0746")</f>
        <v>FE0746</v>
      </c>
      <c r="AG5" s="12" t="str">
        <f>IFERROR(__xludf.DUMMYFUNCTION("""COMPUTED_VALUE"""),"FE0849")</f>
        <v>FE0849</v>
      </c>
      <c r="AH5" s="12" t="str">
        <f>IFERROR(__xludf.DUMMYFUNCTION("""COMPUTED_VALUE"""),"FE0713")</f>
        <v>FE0713</v>
      </c>
      <c r="AI5" s="12" t="str">
        <f>IFERROR(__xludf.DUMMYFUNCTION("""COMPUTED_VALUE"""),"FE1345")</f>
        <v>FE1345</v>
      </c>
      <c r="AJ5" s="12" t="str">
        <f>IFERROR(__xludf.DUMMYFUNCTION("""COMPUTED_VALUE"""),"FE0849")</f>
        <v>FE0849</v>
      </c>
      <c r="AK5" s="12" t="str">
        <f>IFERROR(__xludf.DUMMYFUNCTION("""COMPUTED_VALUE"""),"FE1346")</f>
        <v>FE1346</v>
      </c>
      <c r="AL5" s="12" t="str">
        <f>IFERROR(__xludf.DUMMYFUNCTION("""COMPUTED_VALUE"""),"FE0713")</f>
        <v>FE0713</v>
      </c>
      <c r="AM5" s="12" t="str">
        <f>IFERROR(__xludf.DUMMYFUNCTION("""COMPUTED_VALUE"""),"FE4040")</f>
        <v>FE4040</v>
      </c>
      <c r="AN5" s="12" t="str">
        <f>IFERROR(__xludf.DUMMYFUNCTION("""COMPUTED_VALUE"""),"FE0713")</f>
        <v>FE0713</v>
      </c>
      <c r="AO5" s="12" t="str">
        <f>IFERROR(__xludf.DUMMYFUNCTION("""COMPUTED_VALUE"""),"FE0849")</f>
        <v>FE0849</v>
      </c>
      <c r="AP5" s="12" t="str">
        <f>IFERROR(__xludf.DUMMYFUNCTION("""COMPUTED_VALUE"""),"FE0713")</f>
        <v>FE0713</v>
      </c>
      <c r="AQ5" s="12" t="str">
        <f>IFERROR(__xludf.DUMMYFUNCTION("""COMPUTED_VALUE"""),"FE0849")</f>
        <v>FE0849</v>
      </c>
      <c r="AR5" s="12" t="str">
        <f>IFERROR(__xludf.DUMMYFUNCTION("""COMPUTED_VALUE"""),"FE0746")</f>
        <v>FE0746</v>
      </c>
      <c r="AS5" s="12" t="str">
        <f>IFERROR(__xludf.DUMMYFUNCTION("""COMPUTED_VALUE"""),"FE0849")</f>
        <v>FE0849</v>
      </c>
    </row>
    <row r="6">
      <c r="B6" s="292" t="str">
        <f>IFERROR(__xludf.DUMMYFUNCTION("""COMPUTED_VALUE"""),"P+")</f>
        <v>P+</v>
      </c>
      <c r="C6" s="12">
        <f>IFERROR(__xludf.DUMMYFUNCTION("""COMPUTED_VALUE"""),304.0)</f>
        <v>304</v>
      </c>
      <c r="D6" s="12" t="str">
        <f>IFERROR(__xludf.DUMMYFUNCTION("""COMPUTED_VALUE"""),"#REF!")</f>
        <v>#REF!</v>
      </c>
      <c r="E6" s="12" t="str">
        <f>IFERROR(__xludf.DUMMYFUNCTION("""COMPUTED_VALUE"""),"#REF!")</f>
        <v>#REF!</v>
      </c>
      <c r="F6" s="12" t="str">
        <f>IFERROR(__xludf.DUMMYFUNCTION("""COMPUTED_VALUE"""),"#REF!")</f>
        <v>#REF!</v>
      </c>
      <c r="G6" s="12" t="str">
        <f>IFERROR(__xludf.DUMMYFUNCTION("""COMPUTED_VALUE"""),"#REF!")</f>
        <v>#REF!</v>
      </c>
      <c r="H6" s="12" t="str">
        <f>IFERROR(__xludf.DUMMYFUNCTION("""COMPUTED_VALUE"""),"#REF!")</f>
        <v>#REF!</v>
      </c>
      <c r="I6" s="12" t="str">
        <f>IFERROR(__xludf.DUMMYFUNCTION("""COMPUTED_VALUE"""),"#REF!")</f>
        <v>#REF!</v>
      </c>
      <c r="J6" s="12" t="str">
        <f>IFERROR(__xludf.DUMMYFUNCTION("""COMPUTED_VALUE"""),"#REF!")</f>
        <v>#REF!</v>
      </c>
      <c r="K6" s="12" t="str">
        <f>IFERROR(__xludf.DUMMYFUNCTION("""COMPUTED_VALUE"""),"#REF!")</f>
        <v>#REF!</v>
      </c>
      <c r="L6" s="12" t="str">
        <f>IFERROR(__xludf.DUMMYFUNCTION("""COMPUTED_VALUE"""),"#REF!")</f>
        <v>#REF!</v>
      </c>
      <c r="M6" s="12" t="str">
        <f>IFERROR(__xludf.DUMMYFUNCTION("""COMPUTED_VALUE"""),"#REF!")</f>
        <v>#REF!</v>
      </c>
      <c r="N6" s="12" t="str">
        <f>IFERROR(__xludf.DUMMYFUNCTION("""COMPUTED_VALUE"""),"FE4038")</f>
        <v>FE4038</v>
      </c>
      <c r="O6" s="12" t="str">
        <f>IFERROR(__xludf.DUMMYFUNCTION("""COMPUTED_VALUE"""),"FE0472")</f>
        <v>FE0472</v>
      </c>
      <c r="P6" s="12" t="str">
        <f>IFERROR(__xludf.DUMMYFUNCTION("""COMPUTED_VALUE"""),"FE0472")</f>
        <v>FE0472</v>
      </c>
      <c r="Q6" s="12" t="str">
        <f>IFERROR(__xludf.DUMMYFUNCTION("""COMPUTED_VALUE"""),"#REF!")</f>
        <v>#REF!</v>
      </c>
      <c r="R6" s="12" t="str">
        <f>IFERROR(__xludf.DUMMYFUNCTION("""COMPUTED_VALUE"""),"FE0129")</f>
        <v>FE0129</v>
      </c>
      <c r="S6" s="12" t="str">
        <f>IFERROR(__xludf.DUMMYFUNCTION("""COMPUTED_VALUE"""),"FE0401")</f>
        <v>FE0401</v>
      </c>
      <c r="T6" s="12" t="str">
        <f>IFERROR(__xludf.DUMMYFUNCTION("""COMPUTED_VALUE"""),"FE4053")</f>
        <v>FE4053</v>
      </c>
      <c r="U6" s="12" t="str">
        <f>IFERROR(__xludf.DUMMYFUNCTION("""COMPUTED_VALUE"""),"FE0970")</f>
        <v>FE0970</v>
      </c>
      <c r="V6" s="12" t="str">
        <f>IFERROR(__xludf.DUMMYFUNCTION("""COMPUTED_VALUE"""),"FE4053")</f>
        <v>FE4053</v>
      </c>
      <c r="W6" s="12" t="str">
        <f>IFERROR(__xludf.DUMMYFUNCTION("""COMPUTED_VALUE"""),"FE0401")</f>
        <v>FE0401</v>
      </c>
      <c r="X6" s="12" t="str">
        <f>IFERROR(__xludf.DUMMYFUNCTION("""COMPUTED_VALUE"""),"FE0970")</f>
        <v>FE0970</v>
      </c>
      <c r="Y6" s="12" t="str">
        <f>IFERROR(__xludf.DUMMYFUNCTION("""COMPUTED_VALUE"""),"FE4053")</f>
        <v>FE4053</v>
      </c>
      <c r="Z6" s="12" t="str">
        <f>IFERROR(__xludf.DUMMYFUNCTION("""COMPUTED_VALUE"""),"FE4040")</f>
        <v>FE4040</v>
      </c>
      <c r="AA6" s="12" t="str">
        <f>IFERROR(__xludf.DUMMYFUNCTION("""COMPUTED_VALUE"""),"FE4038")</f>
        <v>FE4038</v>
      </c>
      <c r="AB6" s="12" t="str">
        <f>IFERROR(__xludf.DUMMYFUNCTION("""COMPUTED_VALUE"""),"FE4040")</f>
        <v>FE4040</v>
      </c>
      <c r="AC6" s="12" t="str">
        <f>IFERROR(__xludf.DUMMYFUNCTION("""COMPUTED_VALUE"""),"FE4053")</f>
        <v>FE4053</v>
      </c>
      <c r="AD6" s="12" t="str">
        <f>IFERROR(__xludf.DUMMYFUNCTION("""COMPUTED_VALUE"""),"FE4023")</f>
        <v>FE4023</v>
      </c>
      <c r="AE6" s="12" t="str">
        <f>IFERROR(__xludf.DUMMYFUNCTION("""COMPUTED_VALUE"""),"FE0198")</f>
        <v>FE0198</v>
      </c>
      <c r="AF6" s="12" t="str">
        <f>IFERROR(__xludf.DUMMYFUNCTION("""COMPUTED_VALUE"""),"FE0970")</f>
        <v>FE0970</v>
      </c>
      <c r="AG6" s="12" t="str">
        <f>IFERROR(__xludf.DUMMYFUNCTION("""COMPUTED_VALUE"""),"FE4040")</f>
        <v>FE4040</v>
      </c>
      <c r="AH6" s="12" t="str">
        <f>IFERROR(__xludf.DUMMYFUNCTION("""COMPUTED_VALUE"""),"FE0970")</f>
        <v>FE0970</v>
      </c>
      <c r="AI6" s="12" t="str">
        <f>IFERROR(__xludf.DUMMYFUNCTION("""COMPUTED_VALUE"""),"FE0036")</f>
        <v>FE0036</v>
      </c>
      <c r="AJ6" s="12" t="str">
        <f>IFERROR(__xludf.DUMMYFUNCTION("""COMPUTED_VALUE"""),"FE4044")</f>
        <v>FE4044</v>
      </c>
      <c r="AK6" s="12" t="str">
        <f>IFERROR(__xludf.DUMMYFUNCTION("""COMPUTED_VALUE"""),"FE0972")</f>
        <v>FE0972</v>
      </c>
      <c r="AL6" s="12" t="str">
        <f>IFERROR(__xludf.DUMMYFUNCTION("""COMPUTED_VALUE"""),"FE1145")</f>
        <v>FE1145</v>
      </c>
      <c r="AM6" s="12" t="str">
        <f>IFERROR(__xludf.DUMMYFUNCTION("""COMPUTED_VALUE"""),"FE1346")</f>
        <v>FE1346</v>
      </c>
      <c r="AN6" s="12" t="str">
        <f>IFERROR(__xludf.DUMMYFUNCTION("""COMPUTED_VALUE"""),"FE4027")</f>
        <v>FE4027</v>
      </c>
      <c r="AO6" s="12" t="str">
        <f>IFERROR(__xludf.DUMMYFUNCTION("""COMPUTED_VALUE"""),"FE1346")</f>
        <v>FE1346</v>
      </c>
      <c r="AP6" s="12" t="str">
        <f>IFERROR(__xludf.DUMMYFUNCTION("""COMPUTED_VALUE"""),"FE4027")</f>
        <v>FE4027</v>
      </c>
      <c r="AQ6" s="12" t="str">
        <f>IFERROR(__xludf.DUMMYFUNCTION("""COMPUTED_VALUE"""),"FE1348")</f>
        <v>FE1348</v>
      </c>
      <c r="AR6" s="12" t="str">
        <f>IFERROR(__xludf.DUMMYFUNCTION("""COMPUTED_VALUE"""),"FE4027")</f>
        <v>FE4027</v>
      </c>
      <c r="AS6" s="12" t="str">
        <f>IFERROR(__xludf.DUMMYFUNCTION("""COMPUTED_VALUE"""),"FE1346")</f>
        <v>FE1346</v>
      </c>
    </row>
    <row r="7">
      <c r="B7" s="292" t="str">
        <f>IFERROR(__xludf.DUMMYFUNCTION("""COMPUTED_VALUE"""),"CS")</f>
        <v>CS</v>
      </c>
      <c r="C7" s="12">
        <f>IFERROR(__xludf.DUMMYFUNCTION("""COMPUTED_VALUE"""),305.0)</f>
        <v>305</v>
      </c>
      <c r="D7" s="12" t="str">
        <f>IFERROR(__xludf.DUMMYFUNCTION("""COMPUTED_VALUE"""),"#REF!")</f>
        <v>#REF!</v>
      </c>
      <c r="E7" s="12" t="str">
        <f>IFERROR(__xludf.DUMMYFUNCTION("""COMPUTED_VALUE"""),"#REF!")</f>
        <v>#REF!</v>
      </c>
      <c r="F7" s="12" t="str">
        <f>IFERROR(__xludf.DUMMYFUNCTION("""COMPUTED_VALUE"""),"#REF!")</f>
        <v>#REF!</v>
      </c>
      <c r="G7" s="12" t="str">
        <f>IFERROR(__xludf.DUMMYFUNCTION("""COMPUTED_VALUE"""),"#REF!")</f>
        <v>#REF!</v>
      </c>
      <c r="H7" s="12" t="str">
        <f>IFERROR(__xludf.DUMMYFUNCTION("""COMPUTED_VALUE"""),"#REF!")</f>
        <v>#REF!</v>
      </c>
      <c r="I7" s="12" t="str">
        <f>IFERROR(__xludf.DUMMYFUNCTION("""COMPUTED_VALUE"""),"#REF!")</f>
        <v>#REF!</v>
      </c>
      <c r="J7" s="12" t="str">
        <f>IFERROR(__xludf.DUMMYFUNCTION("""COMPUTED_VALUE"""),"#REF!")</f>
        <v>#REF!</v>
      </c>
      <c r="K7" s="12" t="str">
        <f>IFERROR(__xludf.DUMMYFUNCTION("""COMPUTED_VALUE"""),"#REF!")</f>
        <v>#REF!</v>
      </c>
      <c r="L7" s="12" t="str">
        <f>IFERROR(__xludf.DUMMYFUNCTION("""COMPUTED_VALUE"""),"#REF!")</f>
        <v>#REF!</v>
      </c>
      <c r="M7" s="12" t="str">
        <f>IFERROR(__xludf.DUMMYFUNCTION("""COMPUTED_VALUE"""),"#REF!")</f>
        <v>#REF!</v>
      </c>
      <c r="N7" s="12" t="str">
        <f>IFERROR(__xludf.DUMMYFUNCTION("""COMPUTED_VALUE"""),"FE0224")</f>
        <v>FE0224</v>
      </c>
      <c r="O7" s="12" t="str">
        <f>IFERROR(__xludf.DUMMYFUNCTION("""COMPUTED_VALUE"""),"FE0224")</f>
        <v>FE0224</v>
      </c>
      <c r="P7" s="12" t="str">
        <f>IFERROR(__xludf.DUMMYFUNCTION("""COMPUTED_VALUE"""),"FE0426")</f>
        <v>FE0426</v>
      </c>
      <c r="Q7" s="12" t="str">
        <f>IFERROR(__xludf.DUMMYFUNCTION("""COMPUTED_VALUE"""),"#REF!")</f>
        <v>#REF!</v>
      </c>
      <c r="R7" s="12" t="str">
        <f>IFERROR(__xludf.DUMMYFUNCTION("""COMPUTED_VALUE"""),"FE4015")</f>
        <v>FE4015</v>
      </c>
      <c r="S7" s="12" t="str">
        <f>IFERROR(__xludf.DUMMYFUNCTION("""COMPUTED_VALUE"""),"FE0224")</f>
        <v>FE0224</v>
      </c>
      <c r="T7" s="12" t="str">
        <f>IFERROR(__xludf.DUMMYFUNCTION("""COMPUTED_VALUE"""),"FE4001")</f>
        <v>FE4001</v>
      </c>
      <c r="U7" s="12" t="str">
        <f>IFERROR(__xludf.DUMMYFUNCTION("""COMPUTED_VALUE"""),"FE4015")</f>
        <v>FE4015</v>
      </c>
      <c r="V7" s="12" t="str">
        <f>IFERROR(__xludf.DUMMYFUNCTION("""COMPUTED_VALUE"""),"FE4011")</f>
        <v>FE4011</v>
      </c>
      <c r="W7" s="12" t="str">
        <f>IFERROR(__xludf.DUMMYFUNCTION("""COMPUTED_VALUE"""),"FE4015")</f>
        <v>FE4015</v>
      </c>
      <c r="X7" s="12" t="str">
        <f>IFERROR(__xludf.DUMMYFUNCTION("""COMPUTED_VALUE"""),"FE4014")</f>
        <v>FE4014</v>
      </c>
      <c r="Y7" s="12" t="str">
        <f>IFERROR(__xludf.DUMMYFUNCTION("""COMPUTED_VALUE"""),"FE0426")</f>
        <v>FE0426</v>
      </c>
      <c r="Z7" s="12" t="str">
        <f>IFERROR(__xludf.DUMMYFUNCTION("""COMPUTED_VALUE"""),"FE0271")</f>
        <v>FE0271</v>
      </c>
      <c r="AA7" s="12" t="str">
        <f>IFERROR(__xludf.DUMMYFUNCTION("""COMPUTED_VALUE"""),"FE0224")</f>
        <v>FE0224</v>
      </c>
      <c r="AB7" s="12" t="str">
        <f>IFERROR(__xludf.DUMMYFUNCTION("""COMPUTED_VALUE"""),"FE4001")</f>
        <v>FE4001</v>
      </c>
      <c r="AC7" s="12" t="str">
        <f>IFERROR(__xludf.DUMMYFUNCTION("""COMPUTED_VALUE"""),"FE0271")</f>
        <v>FE0271</v>
      </c>
      <c r="AD7" s="12" t="str">
        <f>IFERROR(__xludf.DUMMYFUNCTION("""COMPUTED_VALUE"""),"FE4014")</f>
        <v>FE4014</v>
      </c>
      <c r="AE7" s="12" t="str">
        <f>IFERROR(__xludf.DUMMYFUNCTION("""COMPUTED_VALUE"""),"FE0628")</f>
        <v>FE0628</v>
      </c>
      <c r="AF7" s="12" t="str">
        <f>IFERROR(__xludf.DUMMYFUNCTION("""COMPUTED_VALUE"""),"FE0426")</f>
        <v>FE0426</v>
      </c>
      <c r="AG7" s="12" t="str">
        <f>IFERROR(__xludf.DUMMYFUNCTION("""COMPUTED_VALUE"""),"FE0271")</f>
        <v>FE0271</v>
      </c>
      <c r="AH7" s="12" t="str">
        <f>IFERROR(__xludf.DUMMYFUNCTION("""COMPUTED_VALUE"""),"FE0224")</f>
        <v>FE0224</v>
      </c>
      <c r="AI7" s="12" t="str">
        <f>IFERROR(__xludf.DUMMYFUNCTION("""COMPUTED_VALUE"""),"FE4001")</f>
        <v>FE4001</v>
      </c>
      <c r="AJ7" s="12" t="str">
        <f>IFERROR(__xludf.DUMMYFUNCTION("""COMPUTED_VALUE"""),"FE0224")</f>
        <v>FE0224</v>
      </c>
      <c r="AK7" s="12" t="str">
        <f>IFERROR(__xludf.DUMMYFUNCTION("""COMPUTED_VALUE"""),"FE0322")</f>
        <v>FE0322</v>
      </c>
      <c r="AL7" s="12" t="str">
        <f>IFERROR(__xludf.DUMMYFUNCTION("""COMPUTED_VALUE"""),"FE4015")</f>
        <v>FE4015</v>
      </c>
      <c r="AM7" s="12" t="str">
        <f>IFERROR(__xludf.DUMMYFUNCTION("""COMPUTED_VALUE"""),"FE4014")</f>
        <v>FE4014</v>
      </c>
      <c r="AN7" s="12" t="str">
        <f>IFERROR(__xludf.DUMMYFUNCTION("""COMPUTED_VALUE"""),"FE0384")</f>
        <v>FE0384</v>
      </c>
      <c r="AO7" s="12" t="str">
        <f>IFERROR(__xludf.DUMMYFUNCTION("""COMPUTED_VALUE"""),"FE0322")</f>
        <v>FE0322</v>
      </c>
      <c r="AP7" s="12" t="str">
        <f>IFERROR(__xludf.DUMMYFUNCTION("""COMPUTED_VALUE"""),"FE4014")</f>
        <v>FE4014</v>
      </c>
      <c r="AQ7" s="12" t="str">
        <f>IFERROR(__xludf.DUMMYFUNCTION("""COMPUTED_VALUE"""),"FE0224")</f>
        <v>FE0224</v>
      </c>
      <c r="AR7" s="12" t="str">
        <f>IFERROR(__xludf.DUMMYFUNCTION("""COMPUTED_VALUE"""),"FE4001")</f>
        <v>FE4001</v>
      </c>
      <c r="AS7" s="12" t="str">
        <f>IFERROR(__xludf.DUMMYFUNCTION("""COMPUTED_VALUE"""),"FE0322")</f>
        <v>FE0322</v>
      </c>
    </row>
    <row r="8">
      <c r="B8" s="292" t="str">
        <f>IFERROR(__xludf.DUMMYFUNCTION("""COMPUTED_VALUE"""),"Keto")</f>
        <v>Keto</v>
      </c>
      <c r="C8" s="12">
        <f>IFERROR(__xludf.DUMMYFUNCTION("""COMPUTED_VALUE"""),306.0)</f>
        <v>306</v>
      </c>
      <c r="D8" s="12" t="str">
        <f>IFERROR(__xludf.DUMMYFUNCTION("""COMPUTED_VALUE"""),"#REF!")</f>
        <v>#REF!</v>
      </c>
      <c r="E8" s="12" t="str">
        <f>IFERROR(__xludf.DUMMYFUNCTION("""COMPUTED_VALUE"""),"#REF!")</f>
        <v>#REF!</v>
      </c>
      <c r="F8" s="12" t="str">
        <f>IFERROR(__xludf.DUMMYFUNCTION("""COMPUTED_VALUE"""),"#REF!")</f>
        <v>#REF!</v>
      </c>
      <c r="G8" s="12" t="str">
        <f>IFERROR(__xludf.DUMMYFUNCTION("""COMPUTED_VALUE"""),"#REF!")</f>
        <v>#REF!</v>
      </c>
      <c r="H8" s="12" t="str">
        <f>IFERROR(__xludf.DUMMYFUNCTION("""COMPUTED_VALUE"""),"#REF!")</f>
        <v>#REF!</v>
      </c>
      <c r="I8" s="12" t="str">
        <f>IFERROR(__xludf.DUMMYFUNCTION("""COMPUTED_VALUE"""),"#REF!")</f>
        <v>#REF!</v>
      </c>
      <c r="J8" s="12" t="str">
        <f>IFERROR(__xludf.DUMMYFUNCTION("""COMPUTED_VALUE"""),"#REF!")</f>
        <v>#REF!</v>
      </c>
      <c r="K8" s="12" t="str">
        <f>IFERROR(__xludf.DUMMYFUNCTION("""COMPUTED_VALUE"""),"#REF!")</f>
        <v>#REF!</v>
      </c>
      <c r="L8" s="12" t="str">
        <f>IFERROR(__xludf.DUMMYFUNCTION("""COMPUTED_VALUE"""),"#REF!")</f>
        <v>#REF!</v>
      </c>
      <c r="M8" s="12" t="str">
        <f>IFERROR(__xludf.DUMMYFUNCTION("""COMPUTED_VALUE"""),"#REF!")</f>
        <v>#REF!</v>
      </c>
      <c r="N8" s="12" t="str">
        <f>IFERROR(__xludf.DUMMYFUNCTION("""COMPUTED_VALUE"""),"FE0198")</f>
        <v>FE0198</v>
      </c>
      <c r="O8" s="12" t="str">
        <f>IFERROR(__xludf.DUMMYFUNCTION("""COMPUTED_VALUE"""),"FE0207")</f>
        <v>FE0207</v>
      </c>
      <c r="P8" s="12" t="str">
        <f>IFERROR(__xludf.DUMMYFUNCTION("""COMPUTED_VALUE"""),"FE4053")</f>
        <v>FE4053</v>
      </c>
      <c r="Q8" s="12" t="str">
        <f>IFERROR(__xludf.DUMMYFUNCTION("""COMPUTED_VALUE"""),"#REF!")</f>
        <v>#REF!</v>
      </c>
      <c r="R8" s="12" t="str">
        <f>IFERROR(__xludf.DUMMYFUNCTION("""COMPUTED_VALUE"""),"FE0207")</f>
        <v>FE0207</v>
      </c>
      <c r="S8" s="12" t="str">
        <f>IFERROR(__xludf.DUMMYFUNCTION("""COMPUTED_VALUE"""),"FE0472")</f>
        <v>FE0472</v>
      </c>
      <c r="T8" s="12" t="str">
        <f>IFERROR(__xludf.DUMMYFUNCTION("""COMPUTED_VALUE"""),"FE0207")</f>
        <v>FE0207</v>
      </c>
      <c r="U8" s="12" t="str">
        <f>IFERROR(__xludf.DUMMYFUNCTION("""COMPUTED_VALUE"""),"FE0794")</f>
        <v>FE0794</v>
      </c>
      <c r="V8" s="12" t="str">
        <f>IFERROR(__xludf.DUMMYFUNCTION("""COMPUTED_VALUE"""),"FE0024")</f>
        <v>FE0024</v>
      </c>
      <c r="W8" s="12" t="str">
        <f>IFERROR(__xludf.DUMMYFUNCTION("""COMPUTED_VALUE"""),"FE0472")</f>
        <v>FE0472</v>
      </c>
      <c r="X8" s="12" t="str">
        <f>IFERROR(__xludf.DUMMYFUNCTION("""COMPUTED_VALUE"""),"FE0207")</f>
        <v>FE0207</v>
      </c>
      <c r="Y8" s="12" t="str">
        <f>IFERROR(__xludf.DUMMYFUNCTION("""COMPUTED_VALUE"""),"FE0794")</f>
        <v>FE0794</v>
      </c>
      <c r="Z8" s="12" t="str">
        <f>IFERROR(__xludf.DUMMYFUNCTION("""COMPUTED_VALUE"""),"FE0129")</f>
        <v>FE0129</v>
      </c>
      <c r="AA8" s="12" t="str">
        <f>IFERROR(__xludf.DUMMYFUNCTION("""COMPUTED_VALUE"""),"FE0025")</f>
        <v>FE0025</v>
      </c>
      <c r="AB8" s="12" t="str">
        <f>IFERROR(__xludf.DUMMYFUNCTION("""COMPUTED_VALUE"""),"FE0198")</f>
        <v>FE0198</v>
      </c>
      <c r="AC8" s="12" t="str">
        <f>IFERROR(__xludf.DUMMYFUNCTION("""COMPUTED_VALUE"""),"FE0129")</f>
        <v>FE0129</v>
      </c>
      <c r="AD8" s="12" t="str">
        <f>IFERROR(__xludf.DUMMYFUNCTION("""COMPUTED_VALUE"""),"FE0472")</f>
        <v>FE0472</v>
      </c>
      <c r="AE8" s="12" t="str">
        <f>IFERROR(__xludf.DUMMYFUNCTION("""COMPUTED_VALUE"""),"FE4040")</f>
        <v>FE4040</v>
      </c>
      <c r="AF8" s="12" t="str">
        <f>IFERROR(__xludf.DUMMYFUNCTION("""COMPUTED_VALUE"""),"FE4038")</f>
        <v>FE4038</v>
      </c>
      <c r="AG8" s="12" t="str">
        <f>IFERROR(__xludf.DUMMYFUNCTION("""COMPUTED_VALUE"""),"FE4053")</f>
        <v>FE4053</v>
      </c>
      <c r="AH8" s="12" t="str">
        <f>IFERROR(__xludf.DUMMYFUNCTION("""COMPUTED_VALUE"""),"FE0198")</f>
        <v>FE0198</v>
      </c>
      <c r="AI8" s="12" t="str">
        <f>IFERROR(__xludf.DUMMYFUNCTION("""COMPUTED_VALUE"""),"FE0972")</f>
        <v>FE0972</v>
      </c>
      <c r="AJ8" s="12" t="str">
        <f>IFERROR(__xludf.DUMMYFUNCTION("""COMPUTED_VALUE"""),"FE0036")</f>
        <v>FE0036</v>
      </c>
      <c r="AK8" s="12" t="str">
        <f>IFERROR(__xludf.DUMMYFUNCTION("""COMPUTED_VALUE"""),"FE4039")</f>
        <v>FE4039</v>
      </c>
      <c r="AL8" s="12" t="str">
        <f>IFERROR(__xludf.DUMMYFUNCTION("""COMPUTED_VALUE"""),"FE4040")</f>
        <v>FE4040</v>
      </c>
      <c r="AM8" s="12" t="str">
        <f>IFERROR(__xludf.DUMMYFUNCTION("""COMPUTED_VALUE"""),"FE0036")</f>
        <v>FE0036</v>
      </c>
      <c r="AN8" s="12" t="str">
        <f>IFERROR(__xludf.DUMMYFUNCTION("""COMPUTED_VALUE"""),"FE0972")</f>
        <v>FE0972</v>
      </c>
      <c r="AO8" s="12" t="str">
        <f>IFERROR(__xludf.DUMMYFUNCTION("""COMPUTED_VALUE"""),"FE1031")</f>
        <v>FE1031</v>
      </c>
      <c r="AP8" s="12" t="str">
        <f>IFERROR(__xludf.DUMMYFUNCTION("""COMPUTED_VALUE"""),"FE0972")</f>
        <v>FE0972</v>
      </c>
      <c r="AQ8" s="12" t="str">
        <f>IFERROR(__xludf.DUMMYFUNCTION("""COMPUTED_VALUE"""),"FE0036")</f>
        <v>FE0036</v>
      </c>
      <c r="AR8" s="12" t="str">
        <f>IFERROR(__xludf.DUMMYFUNCTION("""COMPUTED_VALUE"""),"FE1031")</f>
        <v>FE1031</v>
      </c>
      <c r="AS8" s="12" t="str">
        <f>IFERROR(__xludf.DUMMYFUNCTION("""COMPUTED_VALUE"""),"FE0035")</f>
        <v>FE0035</v>
      </c>
    </row>
    <row r="9">
      <c r="B9" s="292" t="str">
        <f>IFERROR(__xludf.DUMMYFUNCTION("""COMPUTED_VALUE"""),"Keto")</f>
        <v>Keto</v>
      </c>
      <c r="C9" s="12">
        <f>IFERROR(__xludf.DUMMYFUNCTION("""COMPUTED_VALUE"""),307.0)</f>
        <v>307</v>
      </c>
      <c r="D9" s="12" t="str">
        <f>IFERROR(__xludf.DUMMYFUNCTION("""COMPUTED_VALUE"""),"#REF!")</f>
        <v>#REF!</v>
      </c>
      <c r="E9" s="12" t="str">
        <f>IFERROR(__xludf.DUMMYFUNCTION("""COMPUTED_VALUE"""),"#REF!")</f>
        <v>#REF!</v>
      </c>
      <c r="F9" s="12" t="str">
        <f>IFERROR(__xludf.DUMMYFUNCTION("""COMPUTED_VALUE"""),"#REF!")</f>
        <v>#REF!</v>
      </c>
      <c r="G9" s="12" t="str">
        <f>IFERROR(__xludf.DUMMYFUNCTION("""COMPUTED_VALUE"""),"#REF!")</f>
        <v>#REF!</v>
      </c>
      <c r="H9" s="12" t="str">
        <f>IFERROR(__xludf.DUMMYFUNCTION("""COMPUTED_VALUE"""),"#REF!")</f>
        <v>#REF!</v>
      </c>
      <c r="I9" s="12" t="str">
        <f>IFERROR(__xludf.DUMMYFUNCTION("""COMPUTED_VALUE"""),"#REF!")</f>
        <v>#REF!</v>
      </c>
      <c r="J9" s="12" t="str">
        <f>IFERROR(__xludf.DUMMYFUNCTION("""COMPUTED_VALUE"""),"#REF!")</f>
        <v>#REF!</v>
      </c>
      <c r="K9" s="12" t="str">
        <f>IFERROR(__xludf.DUMMYFUNCTION("""COMPUTED_VALUE"""),"#REF!")</f>
        <v>#REF!</v>
      </c>
      <c r="L9" s="12" t="str">
        <f>IFERROR(__xludf.DUMMYFUNCTION("""COMPUTED_VALUE"""),"#REF!")</f>
        <v>#REF!</v>
      </c>
      <c r="M9" s="12" t="str">
        <f>IFERROR(__xludf.DUMMYFUNCTION("""COMPUTED_VALUE"""),"#REF!")</f>
        <v>#REF!</v>
      </c>
      <c r="N9" s="12" t="str">
        <f>IFERROR(__xludf.DUMMYFUNCTION("""COMPUTED_VALUE"""),"FE4010")</f>
        <v>FE4010</v>
      </c>
      <c r="O9" s="12" t="str">
        <f>IFERROR(__xludf.DUMMYFUNCTION("""COMPUTED_VALUE"""),"FE4010")</f>
        <v>FE4010</v>
      </c>
      <c r="P9" s="12" t="str">
        <f>IFERROR(__xludf.DUMMYFUNCTION("""COMPUTED_VALUE"""),"FE4022")</f>
        <v>FE4022</v>
      </c>
      <c r="Q9" s="12" t="str">
        <f>IFERROR(__xludf.DUMMYFUNCTION("""COMPUTED_VALUE"""),"#REF!")</f>
        <v>#REF!</v>
      </c>
      <c r="R9" s="12" t="str">
        <f>IFERROR(__xludf.DUMMYFUNCTION("""COMPUTED_VALUE"""),"FE4022")</f>
        <v>FE4022</v>
      </c>
      <c r="S9" s="12" t="str">
        <f>IFERROR(__xludf.DUMMYFUNCTION("""COMPUTED_VALUE"""),"FE4060")</f>
        <v>FE4060</v>
      </c>
      <c r="T9" s="12" t="str">
        <f>IFERROR(__xludf.DUMMYFUNCTION("""COMPUTED_VALUE"""),"FE4010")</f>
        <v>FE4010</v>
      </c>
      <c r="U9" s="12" t="str">
        <f>IFERROR(__xludf.DUMMYFUNCTION("""COMPUTED_VALUE"""),"FE4022")</f>
        <v>FE4022</v>
      </c>
      <c r="V9" s="12" t="str">
        <f>IFERROR(__xludf.DUMMYFUNCTION("""COMPUTED_VALUE"""),"FE0565")</f>
        <v>FE0565</v>
      </c>
      <c r="W9" s="12" t="str">
        <f>IFERROR(__xludf.DUMMYFUNCTION("""COMPUTED_VALUE"""),"FE4060")</f>
        <v>FE4060</v>
      </c>
      <c r="X9" s="12" t="str">
        <f>IFERROR(__xludf.DUMMYFUNCTION("""COMPUTED_VALUE"""),"FE4006")</f>
        <v>FE4006</v>
      </c>
      <c r="Y9" s="12" t="str">
        <f>IFERROR(__xludf.DUMMYFUNCTION("""COMPUTED_VALUE"""),"FE4060")</f>
        <v>FE4060</v>
      </c>
      <c r="Z9" s="12" t="str">
        <f>IFERROR(__xludf.DUMMYFUNCTION("""COMPUTED_VALUE"""),"FE4010")</f>
        <v>FE4010</v>
      </c>
      <c r="AA9" s="12" t="str">
        <f>IFERROR(__xludf.DUMMYFUNCTION("""COMPUTED_VALUE"""),"FE4020")</f>
        <v>FE4020</v>
      </c>
      <c r="AB9" s="12" t="str">
        <f>IFERROR(__xludf.DUMMYFUNCTION("""COMPUTED_VALUE"""),"FE4022")</f>
        <v>FE4022</v>
      </c>
      <c r="AC9" s="12" t="str">
        <f>IFERROR(__xludf.DUMMYFUNCTION("""COMPUTED_VALUE"""),"FE4060")</f>
        <v>FE4060</v>
      </c>
      <c r="AD9" s="12" t="str">
        <f>IFERROR(__xludf.DUMMYFUNCTION("""COMPUTED_VALUE"""),"FE4006")</f>
        <v>FE4006</v>
      </c>
      <c r="AE9" s="12" t="str">
        <f>IFERROR(__xludf.DUMMYFUNCTION("""COMPUTED_VALUE"""),"FE4010")</f>
        <v>FE4010</v>
      </c>
      <c r="AF9" s="12" t="str">
        <f>IFERROR(__xludf.DUMMYFUNCTION("""COMPUTED_VALUE"""),"FE4022")</f>
        <v>FE4022</v>
      </c>
      <c r="AG9" s="12" t="str">
        <f>IFERROR(__xludf.DUMMYFUNCTION("""COMPUTED_VALUE"""),"FE4060")</f>
        <v>FE4060</v>
      </c>
      <c r="AH9" s="12" t="str">
        <f>IFERROR(__xludf.DUMMYFUNCTION("""COMPUTED_VALUE"""),"FE4010")</f>
        <v>FE4010</v>
      </c>
      <c r="AI9" s="12" t="str">
        <f>IFERROR(__xludf.DUMMYFUNCTION("""COMPUTED_VALUE"""),"FE0207")</f>
        <v>FE0207</v>
      </c>
      <c r="AJ9" s="12" t="str">
        <f>IFERROR(__xludf.DUMMYFUNCTION("""COMPUTED_VALUE"""),"FE0472")</f>
        <v>FE0472</v>
      </c>
      <c r="AK9" s="12" t="str">
        <f>IFERROR(__xludf.DUMMYFUNCTION("""COMPUTED_VALUE"""),"FE4040")</f>
        <v>FE4040</v>
      </c>
      <c r="AL9" s="12" t="str">
        <f>IFERROR(__xludf.DUMMYFUNCTION("""COMPUTED_VALUE"""),"FE0970")</f>
        <v>FE0970</v>
      </c>
      <c r="AM9" s="12" t="str">
        <f>IFERROR(__xludf.DUMMYFUNCTION("""COMPUTED_VALUE"""),"FE0207")</f>
        <v>FE0207</v>
      </c>
      <c r="AN9" s="12" t="str">
        <f>IFERROR(__xludf.DUMMYFUNCTION("""COMPUTED_VALUE"""),"FE4053")</f>
        <v>FE4053</v>
      </c>
      <c r="AO9" s="12" t="str">
        <f>IFERROR(__xludf.DUMMYFUNCTION("""COMPUTED_VALUE"""),"FE0207")</f>
        <v>FE0207</v>
      </c>
      <c r="AP9" s="12" t="str">
        <f>IFERROR(__xludf.DUMMYFUNCTION("""COMPUTED_VALUE"""),"FE4038")</f>
        <v>FE4038</v>
      </c>
      <c r="AQ9" s="12" t="str">
        <f>IFERROR(__xludf.DUMMYFUNCTION("""COMPUTED_VALUE"""),"FE4040")</f>
        <v>FE4040</v>
      </c>
      <c r="AR9" s="12" t="str">
        <f>IFERROR(__xludf.DUMMYFUNCTION("""COMPUTED_VALUE"""),"FE0472")</f>
        <v>FE0472</v>
      </c>
      <c r="AS9" s="12" t="str">
        <f>IFERROR(__xludf.DUMMYFUNCTION("""COMPUTED_VALUE"""),"FE4053")</f>
        <v>FE4053</v>
      </c>
    </row>
    <row r="10">
      <c r="B10" s="292" t="str">
        <f>IFERROR(__xludf.DUMMYFUNCTION("""COMPUTED_VALUE"""),"Keto")</f>
        <v>Keto</v>
      </c>
      <c r="C10" s="12">
        <f>IFERROR(__xludf.DUMMYFUNCTION("""COMPUTED_VALUE"""),308.0)</f>
        <v>308</v>
      </c>
      <c r="D10" s="12" t="str">
        <f>IFERROR(__xludf.DUMMYFUNCTION("""COMPUTED_VALUE"""),"#REF!")</f>
        <v>#REF!</v>
      </c>
      <c r="E10" s="12" t="str">
        <f>IFERROR(__xludf.DUMMYFUNCTION("""COMPUTED_VALUE"""),"#REF!")</f>
        <v>#REF!</v>
      </c>
      <c r="F10" s="12" t="str">
        <f>IFERROR(__xludf.DUMMYFUNCTION("""COMPUTED_VALUE"""),"#REF!")</f>
        <v>#REF!</v>
      </c>
      <c r="G10" s="12" t="str">
        <f>IFERROR(__xludf.DUMMYFUNCTION("""COMPUTED_VALUE"""),"#REF!")</f>
        <v>#REF!</v>
      </c>
      <c r="H10" s="12" t="str">
        <f>IFERROR(__xludf.DUMMYFUNCTION("""COMPUTED_VALUE"""),"#REF!")</f>
        <v>#REF!</v>
      </c>
      <c r="I10" s="12" t="str">
        <f>IFERROR(__xludf.DUMMYFUNCTION("""COMPUTED_VALUE"""),"#REF!")</f>
        <v>#REF!</v>
      </c>
      <c r="J10" s="12" t="str">
        <f>IFERROR(__xludf.DUMMYFUNCTION("""COMPUTED_VALUE"""),"#REF!")</f>
        <v>#REF!</v>
      </c>
      <c r="K10" s="12" t="str">
        <f>IFERROR(__xludf.DUMMYFUNCTION("""COMPUTED_VALUE"""),"#REF!")</f>
        <v>#REF!</v>
      </c>
      <c r="L10" s="12" t="str">
        <f>IFERROR(__xludf.DUMMYFUNCTION("""COMPUTED_VALUE"""),"#REF!")</f>
        <v>#REF!</v>
      </c>
      <c r="M10" s="12" t="str">
        <f>IFERROR(__xludf.DUMMYFUNCTION("""COMPUTED_VALUE"""),"#REF!")</f>
        <v>#REF!</v>
      </c>
      <c r="N10" s="12" t="str">
        <f>IFERROR(__xludf.DUMMYFUNCTION("""COMPUTED_VALUE"""),"FE0036")</f>
        <v>FE0036</v>
      </c>
      <c r="O10" s="12" t="str">
        <f>IFERROR(__xludf.DUMMYFUNCTION("""COMPUTED_VALUE"""),"FE4039")</f>
        <v>FE4039</v>
      </c>
      <c r="P10" s="12" t="str">
        <f>IFERROR(__xludf.DUMMYFUNCTION("""COMPUTED_VALUE"""),"FE0036")</f>
        <v>FE0036</v>
      </c>
      <c r="Q10" s="12" t="str">
        <f>IFERROR(__xludf.DUMMYFUNCTION("""COMPUTED_VALUE"""),"#REF!")</f>
        <v>#REF!</v>
      </c>
      <c r="R10" s="12" t="str">
        <f>IFERROR(__xludf.DUMMYFUNCTION("""COMPUTED_VALUE"""),"FE0036")</f>
        <v>FE0036</v>
      </c>
      <c r="S10" s="12" t="str">
        <f>IFERROR(__xludf.DUMMYFUNCTION("""COMPUTED_VALUE"""),"FE0035")</f>
        <v>FE0035</v>
      </c>
      <c r="T10" s="12" t="str">
        <f>IFERROR(__xludf.DUMMYFUNCTION("""COMPUTED_VALUE"""),"FE0036")</f>
        <v>FE0036</v>
      </c>
      <c r="U10" s="12" t="str">
        <f>IFERROR(__xludf.DUMMYFUNCTION("""COMPUTED_VALUE"""),"FE4039")</f>
        <v>FE4039</v>
      </c>
      <c r="V10" s="12" t="str">
        <f>IFERROR(__xludf.DUMMYFUNCTION("""COMPUTED_VALUE"""),"FE0036")</f>
        <v>FE0036</v>
      </c>
      <c r="W10" s="12" t="str">
        <f>IFERROR(__xludf.DUMMYFUNCTION("""COMPUTED_VALUE"""),"FE0035")</f>
        <v>FE0035</v>
      </c>
      <c r="X10" s="12" t="str">
        <f>IFERROR(__xludf.DUMMYFUNCTION("""COMPUTED_VALUE"""),"FE0036")</f>
        <v>FE0036</v>
      </c>
      <c r="Y10" s="12" t="str">
        <f>IFERROR(__xludf.DUMMYFUNCTION("""COMPUTED_VALUE"""),"FE0035")</f>
        <v>FE0035</v>
      </c>
      <c r="Z10" s="12" t="str">
        <f>IFERROR(__xludf.DUMMYFUNCTION("""COMPUTED_VALUE"""),"FE4039")</f>
        <v>FE4039</v>
      </c>
      <c r="AA10" s="12" t="str">
        <f>IFERROR(__xludf.DUMMYFUNCTION("""COMPUTED_VALUE"""),"FE0035")</f>
        <v>FE0035</v>
      </c>
      <c r="AB10" s="12" t="str">
        <f>IFERROR(__xludf.DUMMYFUNCTION("""COMPUTED_VALUE"""),"FE4039")</f>
        <v>FE4039</v>
      </c>
      <c r="AC10" s="12" t="str">
        <f>IFERROR(__xludf.DUMMYFUNCTION("""COMPUTED_VALUE"""),"FE0972")</f>
        <v>FE0972</v>
      </c>
      <c r="AD10" s="12" t="str">
        <f>IFERROR(__xludf.DUMMYFUNCTION("""COMPUTED_VALUE"""),"FE1031")</f>
        <v>FE1031</v>
      </c>
      <c r="AE10" s="12" t="str">
        <f>IFERROR(__xludf.DUMMYFUNCTION("""COMPUTED_VALUE"""),"FE0972")</f>
        <v>FE0972</v>
      </c>
      <c r="AF10" s="12" t="str">
        <f>IFERROR(__xludf.DUMMYFUNCTION("""COMPUTED_VALUE"""),"FE4039")</f>
        <v>FE4039</v>
      </c>
      <c r="AG10" s="12" t="str">
        <f>IFERROR(__xludf.DUMMYFUNCTION("""COMPUTED_VALUE"""),"FE0036")</f>
        <v>FE0036</v>
      </c>
      <c r="AH10" s="12" t="str">
        <f>IFERROR(__xludf.DUMMYFUNCTION("""COMPUTED_VALUE"""),"FE1031")</f>
        <v>FE1031</v>
      </c>
      <c r="AI10" s="12" t="str">
        <f>IFERROR(__xludf.DUMMYFUNCTION("""COMPUTED_VALUE"""),"FE0024")</f>
        <v>FE0024</v>
      </c>
      <c r="AJ10" s="12" t="str">
        <f>IFERROR(__xludf.DUMMYFUNCTION("""COMPUTED_VALUE"""),"FE4038")</f>
        <v>FE4038</v>
      </c>
      <c r="AK10" s="12" t="str">
        <f>IFERROR(__xludf.DUMMYFUNCTION("""COMPUTED_VALUE"""),"FE0024")</f>
        <v>FE0024</v>
      </c>
      <c r="AL10" s="12" t="str">
        <f>IFERROR(__xludf.DUMMYFUNCTION("""COMPUTED_VALUE"""),"FE4053")</f>
        <v>FE4053</v>
      </c>
      <c r="AM10" s="12" t="str">
        <f>IFERROR(__xludf.DUMMYFUNCTION("""COMPUTED_VALUE"""),"FE4023")</f>
        <v>FE4023</v>
      </c>
      <c r="AN10" s="12" t="str">
        <f>IFERROR(__xludf.DUMMYFUNCTION("""COMPUTED_VALUE"""),"FE4038")</f>
        <v>FE4038</v>
      </c>
      <c r="AO10" s="12" t="str">
        <f>IFERROR(__xludf.DUMMYFUNCTION("""COMPUTED_VALUE"""),"FE0129")</f>
        <v>FE0129</v>
      </c>
      <c r="AP10" s="12" t="str">
        <f>IFERROR(__xludf.DUMMYFUNCTION("""COMPUTED_VALUE"""),"FE0024")</f>
        <v>FE0024</v>
      </c>
      <c r="AQ10" s="12" t="str">
        <f>IFERROR(__xludf.DUMMYFUNCTION("""COMPUTED_VALUE"""),"FE0198")</f>
        <v>FE0198</v>
      </c>
      <c r="AR10" s="12" t="str">
        <f>IFERROR(__xludf.DUMMYFUNCTION("""COMPUTED_VALUE"""),"FE4038")</f>
        <v>FE4038</v>
      </c>
      <c r="AS10" s="12" t="str">
        <f>IFERROR(__xludf.DUMMYFUNCTION("""COMPUTED_VALUE"""),"FE0129")</f>
        <v>FE0129</v>
      </c>
    </row>
    <row r="11">
      <c r="B11" s="292" t="str">
        <f>IFERROR(__xludf.DUMMYFUNCTION("""COMPUTED_VALUE"""),"V/VV")</f>
        <v>V/VV</v>
      </c>
      <c r="C11" s="12">
        <f>IFERROR(__xludf.DUMMYFUNCTION("""COMPUTED_VALUE"""),309.0)</f>
        <v>309</v>
      </c>
      <c r="D11" s="12" t="str">
        <f>IFERROR(__xludf.DUMMYFUNCTION("""COMPUTED_VALUE"""),"#REF!")</f>
        <v>#REF!</v>
      </c>
      <c r="E11" s="12" t="str">
        <f>IFERROR(__xludf.DUMMYFUNCTION("""COMPUTED_VALUE"""),"#REF!")</f>
        <v>#REF!</v>
      </c>
      <c r="F11" s="12" t="str">
        <f>IFERROR(__xludf.DUMMYFUNCTION("""COMPUTED_VALUE"""),"#REF!")</f>
        <v>#REF!</v>
      </c>
      <c r="G11" s="12" t="str">
        <f>IFERROR(__xludf.DUMMYFUNCTION("""COMPUTED_VALUE"""),"#REF!")</f>
        <v>#REF!</v>
      </c>
      <c r="H11" s="12" t="str">
        <f>IFERROR(__xludf.DUMMYFUNCTION("""COMPUTED_VALUE"""),"#REF!")</f>
        <v>#REF!</v>
      </c>
      <c r="I11" s="12" t="str">
        <f>IFERROR(__xludf.DUMMYFUNCTION("""COMPUTED_VALUE"""),"#REF!")</f>
        <v>#REF!</v>
      </c>
      <c r="J11" s="12" t="str">
        <f>IFERROR(__xludf.DUMMYFUNCTION("""COMPUTED_VALUE"""),"#REF!")</f>
        <v>#REF!</v>
      </c>
      <c r="K11" s="12" t="str">
        <f>IFERROR(__xludf.DUMMYFUNCTION("""COMPUTED_VALUE"""),"#REF!")</f>
        <v>#REF!</v>
      </c>
      <c r="L11" s="12" t="str">
        <f>IFERROR(__xludf.DUMMYFUNCTION("""COMPUTED_VALUE"""),"#REF!")</f>
        <v>#REF!</v>
      </c>
      <c r="M11" s="12" t="str">
        <f>IFERROR(__xludf.DUMMYFUNCTION("""COMPUTED_VALUE"""),"#REF!")</f>
        <v>#REF!</v>
      </c>
      <c r="N11" s="12" t="str">
        <f>IFERROR(__xludf.DUMMYFUNCTION("""COMPUTED_VALUE"""),"FE0031")</f>
        <v>FE0031</v>
      </c>
      <c r="O11" s="12" t="str">
        <f>IFERROR(__xludf.DUMMYFUNCTION("""COMPUTED_VALUE"""),"FE0031")</f>
        <v>FE0031</v>
      </c>
      <c r="P11" s="12" t="str">
        <f>IFERROR(__xludf.DUMMYFUNCTION("""COMPUTED_VALUE"""),"FE0121")</f>
        <v>FE0121</v>
      </c>
      <c r="Q11" s="12" t="str">
        <f>IFERROR(__xludf.DUMMYFUNCTION("""COMPUTED_VALUE"""),"#REF!")</f>
        <v>#REF!</v>
      </c>
      <c r="R11" s="12" t="str">
        <f>IFERROR(__xludf.DUMMYFUNCTION("""COMPUTED_VALUE"""),"FE0425")</f>
        <v>FE0425</v>
      </c>
      <c r="S11" s="12" t="str">
        <f>IFERROR(__xludf.DUMMYFUNCTION("""COMPUTED_VALUE"""),"FE0121")</f>
        <v>FE0121</v>
      </c>
      <c r="T11" s="12" t="str">
        <f>IFERROR(__xludf.DUMMYFUNCTION("""COMPUTED_VALUE"""),"FE0090")</f>
        <v>FE0090</v>
      </c>
      <c r="U11" s="12" t="str">
        <f>IFERROR(__xludf.DUMMYFUNCTION("""COMPUTED_VALUE"""),"FE0031")</f>
        <v>FE0031</v>
      </c>
      <c r="V11" s="12" t="str">
        <f>IFERROR(__xludf.DUMMYFUNCTION("""COMPUTED_VALUE"""),"FE0090")</f>
        <v>FE0090</v>
      </c>
      <c r="W11" s="12" t="str">
        <f>IFERROR(__xludf.DUMMYFUNCTION("""COMPUTED_VALUE"""),"FE0121")</f>
        <v>FE0121</v>
      </c>
      <c r="X11" s="12" t="str">
        <f>IFERROR(__xludf.DUMMYFUNCTION("""COMPUTED_VALUE"""),"FE0090")</f>
        <v>FE0090</v>
      </c>
      <c r="Y11" s="12" t="str">
        <f>IFERROR(__xludf.DUMMYFUNCTION("""COMPUTED_VALUE"""),"FE0121")</f>
        <v>FE0121</v>
      </c>
      <c r="Z11" s="12" t="str">
        <f>IFERROR(__xludf.DUMMYFUNCTION("""COMPUTED_VALUE"""),"FE0031")</f>
        <v>FE0031</v>
      </c>
      <c r="AA11" s="12" t="str">
        <f>IFERROR(__xludf.DUMMYFUNCTION("""COMPUTED_VALUE"""),"FE0090")</f>
        <v>FE0090</v>
      </c>
      <c r="AB11" s="12" t="str">
        <f>IFERROR(__xludf.DUMMYFUNCTION("""COMPUTED_VALUE"""),"FE0425")</f>
        <v>FE0425</v>
      </c>
      <c r="AC11" s="12" t="str">
        <f>IFERROR(__xludf.DUMMYFUNCTION("""COMPUTED_VALUE"""),"FE0090")</f>
        <v>FE0090</v>
      </c>
      <c r="AD11" s="12" t="str">
        <f>IFERROR(__xludf.DUMMYFUNCTION("""COMPUTED_VALUE"""),"FE0121")</f>
        <v>FE0121</v>
      </c>
      <c r="AE11" s="12" t="str">
        <f>IFERROR(__xludf.DUMMYFUNCTION("""COMPUTED_VALUE"""),"FE0425")</f>
        <v>FE0425</v>
      </c>
      <c r="AF11" s="12" t="str">
        <f>IFERROR(__xludf.DUMMYFUNCTION("""COMPUTED_VALUE"""),"FE0090")</f>
        <v>FE0090</v>
      </c>
      <c r="AG11" s="12" t="str">
        <f>IFERROR(__xludf.DUMMYFUNCTION("""COMPUTED_VALUE"""),"FE0121")</f>
        <v>FE0121</v>
      </c>
      <c r="AH11" s="12" t="str">
        <f>IFERROR(__xludf.DUMMYFUNCTION("""COMPUTED_VALUE"""),"FE0090")</f>
        <v>FE0090</v>
      </c>
      <c r="AI11" s="12" t="str">
        <f>IFERROR(__xludf.DUMMYFUNCTION("""COMPUTED_VALUE"""),"FE0121")</f>
        <v>FE0121</v>
      </c>
      <c r="AJ11" s="12" t="str">
        <f>IFERROR(__xludf.DUMMYFUNCTION("""COMPUTED_VALUE"""),"FE0031")</f>
        <v>FE0031</v>
      </c>
      <c r="AK11" s="12" t="str">
        <f>IFERROR(__xludf.DUMMYFUNCTION("""COMPUTED_VALUE"""),"FE0121")</f>
        <v>FE0121</v>
      </c>
      <c r="AL11" s="12" t="str">
        <f>IFERROR(__xludf.DUMMYFUNCTION("""COMPUTED_VALUE"""),"FE0031")</f>
        <v>FE0031</v>
      </c>
      <c r="AM11" s="12" t="str">
        <f>IFERROR(__xludf.DUMMYFUNCTION("""COMPUTED_VALUE"""),"FE0121")</f>
        <v>FE0121</v>
      </c>
      <c r="AN11" s="12" t="str">
        <f>IFERROR(__xludf.DUMMYFUNCTION("""COMPUTED_VALUE"""),"FE0121")</f>
        <v>FE0121</v>
      </c>
      <c r="AO11" s="12" t="str">
        <f>IFERROR(__xludf.DUMMYFUNCTION("""COMPUTED_VALUE"""),"FE0090")</f>
        <v>FE0090</v>
      </c>
      <c r="AP11" s="12" t="str">
        <f>IFERROR(__xludf.DUMMYFUNCTION("""COMPUTED_VALUE"""),"FE0121")</f>
        <v>FE0121</v>
      </c>
      <c r="AQ11" s="12" t="str">
        <f>IFERROR(__xludf.DUMMYFUNCTION("""COMPUTED_VALUE"""),"FE0090")</f>
        <v>FE0090</v>
      </c>
      <c r="AR11" s="12" t="str">
        <f>IFERROR(__xludf.DUMMYFUNCTION("""COMPUTED_VALUE"""),"FE0121")</f>
        <v>FE0121</v>
      </c>
      <c r="AS11" s="12" t="str">
        <f>IFERROR(__xludf.DUMMYFUNCTION("""COMPUTED_VALUE"""),"FE0031")</f>
        <v>FE0031</v>
      </c>
    </row>
    <row r="12">
      <c r="B12" s="292" t="str">
        <f>IFERROR(__xludf.DUMMYFUNCTION("""COMPUTED_VALUE"""),"V/VV")</f>
        <v>V/VV</v>
      </c>
      <c r="C12" s="12">
        <f>IFERROR(__xludf.DUMMYFUNCTION("""COMPUTED_VALUE"""),310.0)</f>
        <v>310</v>
      </c>
      <c r="D12" s="12" t="str">
        <f>IFERROR(__xludf.DUMMYFUNCTION("""COMPUTED_VALUE"""),"#REF!")</f>
        <v>#REF!</v>
      </c>
      <c r="E12" s="12" t="str">
        <f>IFERROR(__xludf.DUMMYFUNCTION("""COMPUTED_VALUE"""),"#REF!")</f>
        <v>#REF!</v>
      </c>
      <c r="F12" s="12" t="str">
        <f>IFERROR(__xludf.DUMMYFUNCTION("""COMPUTED_VALUE"""),"#REF!")</f>
        <v>#REF!</v>
      </c>
      <c r="G12" s="12" t="str">
        <f>IFERROR(__xludf.DUMMYFUNCTION("""COMPUTED_VALUE"""),"#REF!")</f>
        <v>#REF!</v>
      </c>
      <c r="H12" s="12" t="str">
        <f>IFERROR(__xludf.DUMMYFUNCTION("""COMPUTED_VALUE"""),"#REF!")</f>
        <v>#REF!</v>
      </c>
      <c r="I12" s="12" t="str">
        <f>IFERROR(__xludf.DUMMYFUNCTION("""COMPUTED_VALUE"""),"#REF!")</f>
        <v>#REF!</v>
      </c>
      <c r="J12" s="12" t="str">
        <f>IFERROR(__xludf.DUMMYFUNCTION("""COMPUTED_VALUE"""),"#REF!")</f>
        <v>#REF!</v>
      </c>
      <c r="K12" s="12" t="str">
        <f>IFERROR(__xludf.DUMMYFUNCTION("""COMPUTED_VALUE"""),"#REF!")</f>
        <v>#REF!</v>
      </c>
      <c r="L12" s="12" t="str">
        <f>IFERROR(__xludf.DUMMYFUNCTION("""COMPUTED_VALUE"""),"#REF!")</f>
        <v>#REF!</v>
      </c>
      <c r="M12" s="12" t="str">
        <f>IFERROR(__xludf.DUMMYFUNCTION("""COMPUTED_VALUE"""),"#REF!")</f>
        <v>#REF!</v>
      </c>
      <c r="N12" s="12" t="str">
        <f>IFERROR(__xludf.DUMMYFUNCTION("""COMPUTED_VALUE"""),"FE0090")</f>
        <v>FE0090</v>
      </c>
      <c r="O12" s="12" t="str">
        <f>IFERROR(__xludf.DUMMYFUNCTION("""COMPUTED_VALUE"""),"FE0425")</f>
        <v>FE0425</v>
      </c>
      <c r="P12" s="12" t="str">
        <f>IFERROR(__xludf.DUMMYFUNCTION("""COMPUTED_VALUE"""),"FE0425")</f>
        <v>FE0425</v>
      </c>
      <c r="Q12" s="12" t="str">
        <f>IFERROR(__xludf.DUMMYFUNCTION("""COMPUTED_VALUE"""),"#REF!")</f>
        <v>#REF!</v>
      </c>
      <c r="R12" s="12" t="str">
        <f>IFERROR(__xludf.DUMMYFUNCTION("""COMPUTED_VALUE"""),"FE0090")</f>
        <v>FE0090</v>
      </c>
      <c r="S12" s="12" t="str">
        <f>IFERROR(__xludf.DUMMYFUNCTION("""COMPUTED_VALUE"""),"FE0031")</f>
        <v>FE0031</v>
      </c>
      <c r="T12" s="12" t="str">
        <f>IFERROR(__xludf.DUMMYFUNCTION("""COMPUTED_VALUE"""),"FE0425")</f>
        <v>FE0425</v>
      </c>
      <c r="U12" s="12" t="str">
        <f>IFERROR(__xludf.DUMMYFUNCTION("""COMPUTED_VALUE"""),"FE0121")</f>
        <v>FE0121</v>
      </c>
      <c r="V12" s="12" t="str">
        <f>IFERROR(__xludf.DUMMYFUNCTION("""COMPUTED_VALUE"""),"FE0425")</f>
        <v>FE0425</v>
      </c>
      <c r="W12" s="12" t="str">
        <f>IFERROR(__xludf.DUMMYFUNCTION("""COMPUTED_VALUE"""),"FE0031")</f>
        <v>FE0031</v>
      </c>
      <c r="X12" s="12" t="str">
        <f>IFERROR(__xludf.DUMMYFUNCTION("""COMPUTED_VALUE"""),"FE0425")</f>
        <v>FE0425</v>
      </c>
      <c r="Y12" s="12" t="str">
        <f>IFERROR(__xludf.DUMMYFUNCTION("""COMPUTED_VALUE"""),"FE0516")</f>
        <v>FE0516</v>
      </c>
      <c r="Z12" s="12" t="str">
        <f>IFERROR(__xludf.DUMMYFUNCTION("""COMPUTED_VALUE"""),"FE0131")</f>
        <v>FE0131</v>
      </c>
      <c r="AA12" s="12" t="str">
        <f>IFERROR(__xludf.DUMMYFUNCTION("""COMPUTED_VALUE"""),"FE0935")</f>
        <v>FE0935</v>
      </c>
      <c r="AB12" s="12" t="str">
        <f>IFERROR(__xludf.DUMMYFUNCTION("""COMPUTED_VALUE"""),"FE0516")</f>
        <v>FE0516</v>
      </c>
      <c r="AC12" s="12" t="str">
        <f>IFERROR(__xludf.DUMMYFUNCTION("""COMPUTED_VALUE"""),"FE0031")</f>
        <v>FE0031</v>
      </c>
      <c r="AD12" s="12" t="str">
        <f>IFERROR(__xludf.DUMMYFUNCTION("""COMPUTED_VALUE"""),"FE0090")</f>
        <v>FE0090</v>
      </c>
      <c r="AE12" s="12" t="str">
        <f>IFERROR(__xludf.DUMMYFUNCTION("""COMPUTED_VALUE"""),"FE0516")</f>
        <v>FE0516</v>
      </c>
      <c r="AF12" s="12" t="str">
        <f>IFERROR(__xludf.DUMMYFUNCTION("""COMPUTED_VALUE"""),"FE0121")</f>
        <v>FE0121</v>
      </c>
      <c r="AG12" s="12" t="str">
        <f>IFERROR(__xludf.DUMMYFUNCTION("""COMPUTED_VALUE"""),"FE0090")</f>
        <v>FE0090</v>
      </c>
      <c r="AH12" s="12" t="str">
        <f>IFERROR(__xludf.DUMMYFUNCTION("""COMPUTED_VALUE"""),"FE0121")</f>
        <v>FE0121</v>
      </c>
      <c r="AI12" s="12" t="str">
        <f>IFERROR(__xludf.DUMMYFUNCTION("""COMPUTED_VALUE"""),"FE0031")</f>
        <v>FE0031</v>
      </c>
      <c r="AJ12" s="12" t="str">
        <f>IFERROR(__xludf.DUMMYFUNCTION("""COMPUTED_VALUE"""),"FE0090")</f>
        <v>FE0090</v>
      </c>
      <c r="AK12" s="12" t="str">
        <f>IFERROR(__xludf.DUMMYFUNCTION("""COMPUTED_VALUE"""),"FE0090")</f>
        <v>FE0090</v>
      </c>
      <c r="AL12" s="12" t="str">
        <f>IFERROR(__xludf.DUMMYFUNCTION("""COMPUTED_VALUE"""),"FE0121")</f>
        <v>FE0121</v>
      </c>
      <c r="AM12" s="12" t="str">
        <f>IFERROR(__xludf.DUMMYFUNCTION("""COMPUTED_VALUE"""),"FE0090")</f>
        <v>FE0090</v>
      </c>
      <c r="AN12" s="12" t="str">
        <f>IFERROR(__xludf.DUMMYFUNCTION("""COMPUTED_VALUE"""),"FE0031")</f>
        <v>FE0031</v>
      </c>
      <c r="AO12" s="12" t="str">
        <f>IFERROR(__xludf.DUMMYFUNCTION("""COMPUTED_VALUE"""),"FE0031")</f>
        <v>FE0031</v>
      </c>
      <c r="AP12" s="12" t="str">
        <f>IFERROR(__xludf.DUMMYFUNCTION("""COMPUTED_VALUE"""),"FE0090")</f>
        <v>FE0090</v>
      </c>
      <c r="AQ12" s="12" t="str">
        <f>IFERROR(__xludf.DUMMYFUNCTION("""COMPUTED_VALUE"""),"FE0031")</f>
        <v>FE0031</v>
      </c>
      <c r="AR12" s="12" t="str">
        <f>IFERROR(__xludf.DUMMYFUNCTION("""COMPUTED_VALUE"""),"FE0031")</f>
        <v>FE0031</v>
      </c>
      <c r="AS12" s="12" t="str">
        <f>IFERROR(__xludf.DUMMYFUNCTION("""COMPUTED_VALUE"""),"FE0090")</f>
        <v>FE0090</v>
      </c>
    </row>
    <row r="13">
      <c r="B13" s="292" t="str">
        <f>IFERROR(__xludf.DUMMYFUNCTION("""COMPUTED_VALUE"""),"Flexible")</f>
        <v>Flexible</v>
      </c>
      <c r="C13" s="12">
        <f>IFERROR(__xludf.DUMMYFUNCTION("""COMPUTED_VALUE"""),311.0)</f>
        <v>311</v>
      </c>
      <c r="D13" s="12" t="str">
        <f>IFERROR(__xludf.DUMMYFUNCTION("""COMPUTED_VALUE"""),"#REF!")</f>
        <v>#REF!</v>
      </c>
      <c r="E13" s="12" t="str">
        <f>IFERROR(__xludf.DUMMYFUNCTION("""COMPUTED_VALUE"""),"#REF!")</f>
        <v>#REF!</v>
      </c>
      <c r="F13" s="12" t="str">
        <f>IFERROR(__xludf.DUMMYFUNCTION("""COMPUTED_VALUE"""),"#REF!")</f>
        <v>#REF!</v>
      </c>
      <c r="G13" s="12" t="str">
        <f>IFERROR(__xludf.DUMMYFUNCTION("""COMPUTED_VALUE"""),"#REF!")</f>
        <v>#REF!</v>
      </c>
      <c r="H13" s="12" t="str">
        <f>IFERROR(__xludf.DUMMYFUNCTION("""COMPUTED_VALUE"""),"#REF!")</f>
        <v>#REF!</v>
      </c>
      <c r="I13" s="12" t="str">
        <f>IFERROR(__xludf.DUMMYFUNCTION("""COMPUTED_VALUE"""),"#REF!")</f>
        <v>#REF!</v>
      </c>
      <c r="J13" s="12" t="str">
        <f>IFERROR(__xludf.DUMMYFUNCTION("""COMPUTED_VALUE"""),"#REF!")</f>
        <v>#REF!</v>
      </c>
      <c r="K13" s="12" t="str">
        <f>IFERROR(__xludf.DUMMYFUNCTION("""COMPUTED_VALUE"""),"#REF!")</f>
        <v>#REF!</v>
      </c>
      <c r="L13" s="12" t="str">
        <f>IFERROR(__xludf.DUMMYFUNCTION("""COMPUTED_VALUE"""),"#REF!")</f>
        <v>#REF!</v>
      </c>
      <c r="M13" s="12" t="str">
        <f>IFERROR(__xludf.DUMMYFUNCTION("""COMPUTED_VALUE"""),"#REF!")</f>
        <v>#REF!</v>
      </c>
      <c r="N13" s="12" t="str">
        <f>IFERROR(__xludf.DUMMYFUNCTION("""COMPUTED_VALUE"""),"FE0413")</f>
        <v>FE0413</v>
      </c>
      <c r="O13" s="12" t="str">
        <f>IFERROR(__xludf.DUMMYFUNCTION("""COMPUTED_VALUE"""),"FE0746")</f>
        <v>FE0746</v>
      </c>
      <c r="P13" s="12" t="str">
        <f>IFERROR(__xludf.DUMMYFUNCTION("""COMPUTED_VALUE"""),"FE4063")</f>
        <v>FE4063</v>
      </c>
      <c r="Q13" s="12" t="str">
        <f>IFERROR(__xludf.DUMMYFUNCTION("""COMPUTED_VALUE"""),"#REF!")</f>
        <v>#REF!</v>
      </c>
      <c r="R13" s="12" t="str">
        <f>IFERROR(__xludf.DUMMYFUNCTION("""COMPUTED_VALUE"""),"FE4063")</f>
        <v>FE4063</v>
      </c>
      <c r="S13" s="12" t="str">
        <f>IFERROR(__xludf.DUMMYFUNCTION("""COMPUTED_VALUE"""),"FE1345")</f>
        <v>FE1345</v>
      </c>
      <c r="T13" s="12" t="str">
        <f>IFERROR(__xludf.DUMMYFUNCTION("""COMPUTED_VALUE"""),"FE0413")</f>
        <v>FE0413</v>
      </c>
      <c r="U13" s="12" t="str">
        <f>IFERROR(__xludf.DUMMYFUNCTION("""COMPUTED_VALUE"""),"FE4063")</f>
        <v>FE4063</v>
      </c>
      <c r="V13" s="12" t="str">
        <f>IFERROR(__xludf.DUMMYFUNCTION("""COMPUTED_VALUE"""),"FE1345")</f>
        <v>FE1345</v>
      </c>
      <c r="W13" s="12" t="str">
        <f>IFERROR(__xludf.DUMMYFUNCTION("""COMPUTED_VALUE"""),"FE0746")</f>
        <v>FE0746</v>
      </c>
      <c r="X13" s="12" t="str">
        <f>IFERROR(__xludf.DUMMYFUNCTION("""COMPUTED_VALUE"""),"FE0780")</f>
        <v>FE0780</v>
      </c>
      <c r="Y13" s="12" t="str">
        <f>IFERROR(__xludf.DUMMYFUNCTION("""COMPUTED_VALUE"""),"FE4063")</f>
        <v>FE4063</v>
      </c>
      <c r="Z13" s="12" t="str">
        <f>IFERROR(__xludf.DUMMYFUNCTION("""COMPUTED_VALUE"""),"FE1345")</f>
        <v>FE1345</v>
      </c>
      <c r="AA13" s="12" t="str">
        <f>IFERROR(__xludf.DUMMYFUNCTION("""COMPUTED_VALUE"""),"FE4050")</f>
        <v>FE4050</v>
      </c>
      <c r="AB13" s="12" t="str">
        <f>IFERROR(__xludf.DUMMYFUNCTION("""COMPUTED_VALUE"""),"FE0047")</f>
        <v>FE0047</v>
      </c>
      <c r="AC13" s="12" t="str">
        <f>IFERROR(__xludf.DUMMYFUNCTION("""COMPUTED_VALUE"""),"FE1345")</f>
        <v>FE1345</v>
      </c>
      <c r="AD13" s="12" t="str">
        <f>IFERROR(__xludf.DUMMYFUNCTION("""COMPUTED_VALUE"""),"FE4065")</f>
        <v>FE4065</v>
      </c>
      <c r="AE13" s="12" t="str">
        <f>IFERROR(__xludf.DUMMYFUNCTION("""COMPUTED_VALUE"""),"FE1345")</f>
        <v>FE1345</v>
      </c>
      <c r="AF13" s="12" t="str">
        <f>IFERROR(__xludf.DUMMYFUNCTION("""COMPUTED_VALUE"""),"FE1346")</f>
        <v>FE1346</v>
      </c>
      <c r="AG13" s="12" t="str">
        <f>IFERROR(__xludf.DUMMYFUNCTION("""COMPUTED_VALUE"""),"FE0384")</f>
        <v>FE0384</v>
      </c>
      <c r="AH13" s="12" t="str">
        <f>IFERROR(__xludf.DUMMYFUNCTION("""COMPUTED_VALUE"""),"FE1404")</f>
        <v>FE1404</v>
      </c>
      <c r="AI13" s="12" t="str">
        <f>IFERROR(__xludf.DUMMYFUNCTION("""COMPUTED_VALUE"""),"FE0565")</f>
        <v>FE0565</v>
      </c>
      <c r="AJ13" s="12" t="str">
        <f>IFERROR(__xludf.DUMMYFUNCTION("""COMPUTED_VALUE"""),"FE4060")</f>
        <v>FE4060</v>
      </c>
      <c r="AK13" s="12" t="str">
        <f>IFERROR(__xludf.DUMMYFUNCTION("""COMPUTED_VALUE"""),"FE4006")</f>
        <v>FE4006</v>
      </c>
      <c r="AL13" s="12" t="str">
        <f>IFERROR(__xludf.DUMMYFUNCTION("""COMPUTED_VALUE"""),"FE0169")</f>
        <v>FE0169</v>
      </c>
      <c r="AM13" s="12" t="str">
        <f>IFERROR(__xludf.DUMMYFUNCTION("""COMPUTED_VALUE"""),"FE4006")</f>
        <v>FE4006</v>
      </c>
      <c r="AN13" s="12" t="str">
        <f>IFERROR(__xludf.DUMMYFUNCTION("""COMPUTED_VALUE"""),"FE0430")</f>
        <v>FE0430</v>
      </c>
      <c r="AO13" s="12" t="str">
        <f>IFERROR(__xludf.DUMMYFUNCTION("""COMPUTED_VALUE"""),"FE4006")</f>
        <v>FE4006</v>
      </c>
      <c r="AP13" s="12" t="str">
        <f>IFERROR(__xludf.DUMMYFUNCTION("""COMPUTED_VALUE"""),"FE0959")</f>
        <v>FE0959</v>
      </c>
      <c r="AQ13" s="12" t="str">
        <f>IFERROR(__xludf.DUMMYFUNCTION("""COMPUTED_VALUE"""),"FE0430")</f>
        <v>FE0430</v>
      </c>
      <c r="AR13" s="12" t="str">
        <f>IFERROR(__xludf.DUMMYFUNCTION("""COMPUTED_VALUE"""),"FE4006")</f>
        <v>FE4006</v>
      </c>
      <c r="AS13" s="12" t="str">
        <f>IFERROR(__xludf.DUMMYFUNCTION("""COMPUTED_VALUE"""),"FE4060")</f>
        <v>FE4060</v>
      </c>
    </row>
    <row r="14">
      <c r="B14" s="292" t="str">
        <f>IFERROR(__xludf.DUMMYFUNCTION("""COMPUTED_VALUE"""),"Pesc/P+")</f>
        <v>Pesc/P+</v>
      </c>
      <c r="C14" s="12">
        <f>IFERROR(__xludf.DUMMYFUNCTION("""COMPUTED_VALUE"""),312.0)</f>
        <v>312</v>
      </c>
      <c r="D14" s="12" t="str">
        <f>IFERROR(__xludf.DUMMYFUNCTION("""COMPUTED_VALUE"""),"#REF!")</f>
        <v>#REF!</v>
      </c>
      <c r="E14" s="12" t="str">
        <f>IFERROR(__xludf.DUMMYFUNCTION("""COMPUTED_VALUE"""),"#REF!")</f>
        <v>#REF!</v>
      </c>
      <c r="F14" s="12" t="str">
        <f>IFERROR(__xludf.DUMMYFUNCTION("""COMPUTED_VALUE"""),"#REF!")</f>
        <v>#REF!</v>
      </c>
      <c r="G14" s="12" t="str">
        <f>IFERROR(__xludf.DUMMYFUNCTION("""COMPUTED_VALUE"""),"#REF!")</f>
        <v>#REF!</v>
      </c>
      <c r="H14" s="12" t="str">
        <f>IFERROR(__xludf.DUMMYFUNCTION("""COMPUTED_VALUE"""),"#REF!")</f>
        <v>#REF!</v>
      </c>
      <c r="I14" s="12" t="str">
        <f>IFERROR(__xludf.DUMMYFUNCTION("""COMPUTED_VALUE"""),"#REF!")</f>
        <v>#REF!</v>
      </c>
      <c r="J14" s="12" t="str">
        <f>IFERROR(__xludf.DUMMYFUNCTION("""COMPUTED_VALUE"""),"#REF!")</f>
        <v>#REF!</v>
      </c>
      <c r="K14" s="12" t="str">
        <f>IFERROR(__xludf.DUMMYFUNCTION("""COMPUTED_VALUE"""),"#REF!")</f>
        <v>#REF!</v>
      </c>
      <c r="L14" s="12" t="str">
        <f>IFERROR(__xludf.DUMMYFUNCTION("""COMPUTED_VALUE"""),"#REF!")</f>
        <v>#REF!</v>
      </c>
      <c r="M14" s="12" t="str">
        <f>IFERROR(__xludf.DUMMYFUNCTION("""COMPUTED_VALUE"""),"#REF!")</f>
        <v>#REF!</v>
      </c>
      <c r="N14" s="12" t="str">
        <f>IFERROR(__xludf.DUMMYFUNCTION("""COMPUTED_VALUE"""),"FE4044")</f>
        <v>FE4044</v>
      </c>
      <c r="O14" s="12" t="str">
        <f>IFERROR(__xludf.DUMMYFUNCTION("""COMPUTED_VALUE"""),"FE0036")</f>
        <v>FE0036</v>
      </c>
      <c r="P14" s="12" t="str">
        <f>IFERROR(__xludf.DUMMYFUNCTION("""COMPUTED_VALUE"""),"FE4044")</f>
        <v>FE4044</v>
      </c>
      <c r="Q14" s="12" t="str">
        <f>IFERROR(__xludf.DUMMYFUNCTION("""COMPUTED_VALUE"""),"#REF!")</f>
        <v>#REF!</v>
      </c>
      <c r="R14" s="12" t="str">
        <f>IFERROR(__xludf.DUMMYFUNCTION("""COMPUTED_VALUE"""),"FE4044")</f>
        <v>FE4044</v>
      </c>
      <c r="S14" s="12" t="str">
        <f>IFERROR(__xludf.DUMMYFUNCTION("""COMPUTED_VALUE"""),"FE4039")</f>
        <v>FE4039</v>
      </c>
      <c r="T14" s="12" t="str">
        <f>IFERROR(__xludf.DUMMYFUNCTION("""COMPUTED_VALUE"""),"FE4044")</f>
        <v>FE4044</v>
      </c>
      <c r="U14" s="12" t="str">
        <f>IFERROR(__xludf.DUMMYFUNCTION("""COMPUTED_VALUE"""),"FE0035")</f>
        <v>FE0035</v>
      </c>
      <c r="V14" s="12" t="str">
        <f>IFERROR(__xludf.DUMMYFUNCTION("""COMPUTED_VALUE"""),"FE4009")</f>
        <v>FE4009</v>
      </c>
      <c r="W14" s="12" t="str">
        <f>IFERROR(__xludf.DUMMYFUNCTION("""COMPUTED_VALUE"""),"FE4039")</f>
        <v>FE4039</v>
      </c>
      <c r="X14" s="12" t="str">
        <f>IFERROR(__xludf.DUMMYFUNCTION("""COMPUTED_VALUE"""),"FE4044")</f>
        <v>FE4044</v>
      </c>
      <c r="Y14" s="12" t="str">
        <f>IFERROR(__xludf.DUMMYFUNCTION("""COMPUTED_VALUE"""),"FE4009")</f>
        <v>FE4009</v>
      </c>
      <c r="Z14" s="12" t="str">
        <f>IFERROR(__xludf.DUMMYFUNCTION("""COMPUTED_VALUE"""),"FE0036")</f>
        <v>FE0036</v>
      </c>
      <c r="AA14" s="12" t="str">
        <f>IFERROR(__xludf.DUMMYFUNCTION("""COMPUTED_VALUE"""),"FE1145")</f>
        <v>FE1145</v>
      </c>
      <c r="AB14" s="12" t="str">
        <f>IFERROR(__xludf.DUMMYFUNCTION("""COMPUTED_VALUE"""),"FE1320")</f>
        <v>FE1320</v>
      </c>
      <c r="AC14" s="12" t="str">
        <f>IFERROR(__xludf.DUMMYFUNCTION("""COMPUTED_VALUE"""),"FE4044")</f>
        <v>FE4044</v>
      </c>
      <c r="AD14" s="12" t="str">
        <f>IFERROR(__xludf.DUMMYFUNCTION("""COMPUTED_VALUE"""),"FE1465")</f>
        <v>FE1465</v>
      </c>
      <c r="AE14" s="12" t="str">
        <f>IFERROR(__xludf.DUMMYFUNCTION("""COMPUTED_VALUE"""),"FE1145")</f>
        <v>FE1145</v>
      </c>
      <c r="AF14" s="12" t="str">
        <f>IFERROR(__xludf.DUMMYFUNCTION("""COMPUTED_VALUE"""),"FE4066")</f>
        <v>FE4066</v>
      </c>
      <c r="AG14" s="12" t="str">
        <f>IFERROR(__xludf.DUMMYFUNCTION("""COMPUTED_VALUE"""),"FE1465")</f>
        <v>FE1465</v>
      </c>
      <c r="AH14" s="12" t="str">
        <f>IFERROR(__xludf.DUMMYFUNCTION("""COMPUTED_VALUE"""),"FE1731")</f>
        <v>FE1731</v>
      </c>
      <c r="AI14" s="12" t="str">
        <f>IFERROR(__xludf.DUMMYFUNCTION("""COMPUTED_VALUE"""),"FE4066")</f>
        <v>FE4066</v>
      </c>
      <c r="AJ14" s="12" t="str">
        <f>IFERROR(__xludf.DUMMYFUNCTION("""COMPUTED_VALUE"""),"FE1439")</f>
        <v>FE1439</v>
      </c>
      <c r="AK14" s="12" t="str">
        <f>IFERROR(__xludf.DUMMYFUNCTION("""COMPUTED_VALUE"""),"FE1731")</f>
        <v>FE1731</v>
      </c>
      <c r="AL14" s="12" t="str">
        <f>IFERROR(__xludf.DUMMYFUNCTION("""COMPUTED_VALUE"""),"FE4009")</f>
        <v>FE4009</v>
      </c>
      <c r="AM14" s="12" t="str">
        <f>IFERROR(__xludf.DUMMYFUNCTION("""COMPUTED_VALUE"""),"FE4077")</f>
        <v>FE4077</v>
      </c>
      <c r="AN14" s="12" t="str">
        <f>IFERROR(__xludf.DUMMYFUNCTION("""COMPUTED_VALUE"""),"FE1439")</f>
        <v>FE1439</v>
      </c>
      <c r="AO14" s="12" t="str">
        <f>IFERROR(__xludf.DUMMYFUNCTION("""COMPUTED_VALUE"""),"FE1731")</f>
        <v>FE1731</v>
      </c>
      <c r="AP14" s="12" t="str">
        <f>IFERROR(__xludf.DUMMYFUNCTION("""COMPUTED_VALUE"""),"FE4066")</f>
        <v>FE4066</v>
      </c>
      <c r="AQ14" s="12" t="str">
        <f>IFERROR(__xludf.DUMMYFUNCTION("""COMPUTED_VALUE"""),"FE4009")</f>
        <v>FE4009</v>
      </c>
      <c r="AR14" s="12" t="str">
        <f>IFERROR(__xludf.DUMMYFUNCTION("""COMPUTED_VALUE"""),"FE1731")</f>
        <v>FE1731</v>
      </c>
      <c r="AS14" s="12" t="str">
        <f>IFERROR(__xludf.DUMMYFUNCTION("""COMPUTED_VALUE"""),"FE1439")</f>
        <v>FE1439</v>
      </c>
    </row>
    <row r="15">
      <c r="B15" s="292" t="str">
        <f>IFERROR(__xludf.DUMMYFUNCTION("""COMPUTED_VALUE"""),"CS/P+")</f>
        <v>CS/P+</v>
      </c>
      <c r="C15" s="12">
        <f>IFERROR(__xludf.DUMMYFUNCTION("""COMPUTED_VALUE"""),313.0)</f>
        <v>313</v>
      </c>
      <c r="D15" s="12" t="str">
        <f>IFERROR(__xludf.DUMMYFUNCTION("""COMPUTED_VALUE"""),"#REF!")</f>
        <v>#REF!</v>
      </c>
      <c r="E15" s="12" t="str">
        <f>IFERROR(__xludf.DUMMYFUNCTION("""COMPUTED_VALUE"""),"#REF!")</f>
        <v>#REF!</v>
      </c>
      <c r="F15" s="12" t="str">
        <f>IFERROR(__xludf.DUMMYFUNCTION("""COMPUTED_VALUE"""),"#REF!")</f>
        <v>#REF!</v>
      </c>
      <c r="G15" s="12" t="str">
        <f>IFERROR(__xludf.DUMMYFUNCTION("""COMPUTED_VALUE"""),"#REF!")</f>
        <v>#REF!</v>
      </c>
      <c r="H15" s="12" t="str">
        <f>IFERROR(__xludf.DUMMYFUNCTION("""COMPUTED_VALUE"""),"#REF!")</f>
        <v>#REF!</v>
      </c>
      <c r="I15" s="12" t="str">
        <f>IFERROR(__xludf.DUMMYFUNCTION("""COMPUTED_VALUE"""),"#REF!")</f>
        <v>#REF!</v>
      </c>
      <c r="J15" s="12" t="str">
        <f>IFERROR(__xludf.DUMMYFUNCTION("""COMPUTED_VALUE"""),"#REF!")</f>
        <v>#REF!</v>
      </c>
      <c r="K15" s="12" t="str">
        <f>IFERROR(__xludf.DUMMYFUNCTION("""COMPUTED_VALUE"""),"#REF!")</f>
        <v>#REF!</v>
      </c>
      <c r="L15" s="12" t="str">
        <f>IFERROR(__xludf.DUMMYFUNCTION("""COMPUTED_VALUE"""),"#REF!")</f>
        <v>#REF!</v>
      </c>
      <c r="M15" s="12" t="str">
        <f>IFERROR(__xludf.DUMMYFUNCTION("""COMPUTED_VALUE"""),"#REF!")</f>
        <v>#REF!</v>
      </c>
      <c r="N15" s="12" t="str">
        <f>IFERROR(__xludf.DUMMYFUNCTION("""COMPUTED_VALUE"""),"FE0207")</f>
        <v>FE0207</v>
      </c>
      <c r="O15" s="12" t="str">
        <f>IFERROR(__xludf.DUMMYFUNCTION("""COMPUTED_VALUE"""),"FE0129")</f>
        <v>FE0129</v>
      </c>
      <c r="P15" s="12" t="str">
        <f>IFERROR(__xludf.DUMMYFUNCTION("""COMPUTED_VALUE"""),"FE0970")</f>
        <v>FE0970</v>
      </c>
      <c r="Q15" s="12" t="str">
        <f>IFERROR(__xludf.DUMMYFUNCTION("""COMPUTED_VALUE"""),"#REF!")</f>
        <v>#REF!</v>
      </c>
      <c r="R15" s="12" t="str">
        <f>IFERROR(__xludf.DUMMYFUNCTION("""COMPUTED_VALUE"""),"FE0970")</f>
        <v>FE0970</v>
      </c>
      <c r="S15" s="12" t="str">
        <f>IFERROR(__xludf.DUMMYFUNCTION("""COMPUTED_VALUE"""),"FE0198")</f>
        <v>FE0198</v>
      </c>
      <c r="T15" s="12" t="str">
        <f>IFERROR(__xludf.DUMMYFUNCTION("""COMPUTED_VALUE"""),"FE0401")</f>
        <v>FE0401</v>
      </c>
      <c r="U15" s="12" t="str">
        <f>IFERROR(__xludf.DUMMYFUNCTION("""COMPUTED_VALUE"""),"FE0472")</f>
        <v>FE0472</v>
      </c>
      <c r="V15" s="12" t="str">
        <f>IFERROR(__xludf.DUMMYFUNCTION("""COMPUTED_VALUE"""),"FE1367")</f>
        <v>FE1367</v>
      </c>
      <c r="W15" s="12" t="str">
        <f>IFERROR(__xludf.DUMMYFUNCTION("""COMPUTED_VALUE"""),"FE0322")</f>
        <v>FE0322</v>
      </c>
      <c r="X15" s="12" t="str">
        <f>IFERROR(__xludf.DUMMYFUNCTION("""COMPUTED_VALUE"""),"FE0673")</f>
        <v>FE0673</v>
      </c>
      <c r="Y15" s="12" t="str">
        <f>IFERROR(__xludf.DUMMYFUNCTION("""COMPUTED_VALUE"""),"FE0123")</f>
        <v>FE0123</v>
      </c>
      <c r="Z15" s="12" t="str">
        <f>IFERROR(__xludf.DUMMYFUNCTION("""COMPUTED_VALUE"""),"FE0130")</f>
        <v>FE0130</v>
      </c>
      <c r="AA15" s="12" t="str">
        <f>IFERROR(__xludf.DUMMYFUNCTION("""COMPUTED_VALUE"""),"FE1131")</f>
        <v>FE1131</v>
      </c>
      <c r="AB15" s="12" t="str">
        <f>IFERROR(__xludf.DUMMYFUNCTION("""COMPUTED_VALUE"""),"FE0322")</f>
        <v>FE0322</v>
      </c>
      <c r="AC15" s="12" t="str">
        <f>IFERROR(__xludf.DUMMYFUNCTION("""COMPUTED_VALUE"""),"FE4064")</f>
        <v>FE4064</v>
      </c>
      <c r="AD15" s="12" t="str">
        <f>IFERROR(__xludf.DUMMYFUNCTION("""COMPUTED_VALUE"""),"FE0673")</f>
        <v>FE0673</v>
      </c>
      <c r="AE15" s="12" t="str">
        <f>IFERROR(__xludf.DUMMYFUNCTION("""COMPUTED_VALUE"""),"FE4067")</f>
        <v>FE4067</v>
      </c>
      <c r="AF15" s="12" t="str">
        <f>IFERROR(__xludf.DUMMYFUNCTION("""COMPUTED_VALUE"""),"FE1399")</f>
        <v>FE1399</v>
      </c>
      <c r="AG15" s="12" t="str">
        <f>IFERROR(__xludf.DUMMYFUNCTION("""COMPUTED_VALUE"""),"FE4071")</f>
        <v>FE4071</v>
      </c>
      <c r="AH15" s="12" t="str">
        <f>IFERROR(__xludf.DUMMYFUNCTION("""COMPUTED_VALUE"""),"FE1429")</f>
        <v>FE1429</v>
      </c>
      <c r="AI15" s="12" t="str">
        <f>IFERROR(__xludf.DUMMYFUNCTION("""COMPUTED_VALUE"""),"FE1451")</f>
        <v>FE1451</v>
      </c>
      <c r="AJ15" s="12" t="str">
        <f>IFERROR(__xludf.DUMMYFUNCTION("""COMPUTED_VALUE"""),"FE4067")</f>
        <v>FE4067</v>
      </c>
      <c r="AK15" s="12" t="str">
        <f>IFERROR(__xludf.DUMMYFUNCTION("""COMPUTED_VALUE"""),"FE4070")</f>
        <v>FE4070</v>
      </c>
      <c r="AL15" s="12" t="str">
        <f>IFERROR(__xludf.DUMMYFUNCTION("""COMPUTED_VALUE"""),"FE1348")</f>
        <v>FE1348</v>
      </c>
      <c r="AM15" s="12" t="str">
        <f>IFERROR(__xludf.DUMMYFUNCTION("""COMPUTED_VALUE"""),"FE4072")</f>
        <v>FE4072</v>
      </c>
      <c r="AN15" s="12" t="str">
        <f>IFERROR(__xludf.DUMMYFUNCTION("""COMPUTED_VALUE"""),"FE4064")</f>
        <v>FE4064</v>
      </c>
      <c r="AO15" s="12" t="str">
        <f>IFERROR(__xludf.DUMMYFUNCTION("""COMPUTED_VALUE"""),"FE4081")</f>
        <v>FE4081</v>
      </c>
      <c r="AP15" s="12" t="str">
        <f>IFERROR(__xludf.DUMMYFUNCTION("""COMPUTED_VALUE"""),"FE1429")</f>
        <v>FE1429</v>
      </c>
      <c r="AQ15" s="12" t="str">
        <f>IFERROR(__xludf.DUMMYFUNCTION("""COMPUTED_VALUE"""),"FE1451")</f>
        <v>FE1451</v>
      </c>
      <c r="AR15" s="12" t="str">
        <f>IFERROR(__xludf.DUMMYFUNCTION("""COMPUTED_VALUE"""),"FE1458")</f>
        <v>FE1458</v>
      </c>
      <c r="AS15" s="12" t="str">
        <f>IFERROR(__xludf.DUMMYFUNCTION("""COMPUTED_VALUE"""),"FE4081")</f>
        <v>FE4081</v>
      </c>
    </row>
    <row r="16">
      <c r="B16" s="292" t="str">
        <f>IFERROR(__xludf.DUMMYFUNCTION("""COMPUTED_VALUE"""),"Flexible")</f>
        <v>Flexible</v>
      </c>
      <c r="C16" s="12">
        <f>IFERROR(__xludf.DUMMYFUNCTION("""COMPUTED_VALUE"""),314.0)</f>
        <v>314</v>
      </c>
      <c r="D16" s="12" t="str">
        <f>IFERROR(__xludf.DUMMYFUNCTION("""COMPUTED_VALUE"""),"#REF!")</f>
        <v>#REF!</v>
      </c>
      <c r="E16" s="12" t="str">
        <f>IFERROR(__xludf.DUMMYFUNCTION("""COMPUTED_VALUE"""),"#REF!")</f>
        <v>#REF!</v>
      </c>
      <c r="F16" s="12" t="str">
        <f>IFERROR(__xludf.DUMMYFUNCTION("""COMPUTED_VALUE"""),"#REF!")</f>
        <v>#REF!</v>
      </c>
      <c r="G16" s="12" t="str">
        <f>IFERROR(__xludf.DUMMYFUNCTION("""COMPUTED_VALUE"""),"#REF!")</f>
        <v>#REF!</v>
      </c>
      <c r="H16" s="12" t="str">
        <f>IFERROR(__xludf.DUMMYFUNCTION("""COMPUTED_VALUE"""),"#REF!")</f>
        <v>#REF!</v>
      </c>
      <c r="I16" s="12" t="str">
        <f>IFERROR(__xludf.DUMMYFUNCTION("""COMPUTED_VALUE"""),"#REF!")</f>
        <v>#REF!</v>
      </c>
      <c r="J16" s="12" t="str">
        <f>IFERROR(__xludf.DUMMYFUNCTION("""COMPUTED_VALUE"""),"#REF!")</f>
        <v>#REF!</v>
      </c>
      <c r="K16" s="12" t="str">
        <f>IFERROR(__xludf.DUMMYFUNCTION("""COMPUTED_VALUE"""),"#REF!")</f>
        <v>#REF!</v>
      </c>
      <c r="L16" s="12" t="str">
        <f>IFERROR(__xludf.DUMMYFUNCTION("""COMPUTED_VALUE"""),"#REF!")</f>
        <v>#REF!</v>
      </c>
      <c r="M16" s="12" t="str">
        <f>IFERROR(__xludf.DUMMYFUNCTION("""COMPUTED_VALUE"""),"#REF!")</f>
        <v>#REF!</v>
      </c>
      <c r="N16" s="12" t="str">
        <f>IFERROR(__xludf.DUMMYFUNCTION("""COMPUTED_VALUE"""),"FE4001")</f>
        <v>FE4001</v>
      </c>
      <c r="O16" s="12" t="str">
        <f>IFERROR(__xludf.DUMMYFUNCTION("""COMPUTED_VALUE"""),"FE4050")</f>
        <v>FE4050</v>
      </c>
      <c r="P16" s="12" t="str">
        <f>IFERROR(__xludf.DUMMYFUNCTION("""COMPUTED_VALUE"""),"FE1512")</f>
        <v>FE1512</v>
      </c>
      <c r="Q16" s="12" t="str">
        <f>IFERROR(__xludf.DUMMYFUNCTION("""COMPUTED_VALUE"""),"#REF!")</f>
        <v>#REF!</v>
      </c>
      <c r="R16" s="12" t="str">
        <f>IFERROR(__xludf.DUMMYFUNCTION("""COMPUTED_VALUE"""),"FE4014")</f>
        <v>FE4014</v>
      </c>
      <c r="S16" s="12" t="str">
        <f>IFERROR(__xludf.DUMMYFUNCTION("""COMPUTED_VALUE"""),"FE0833")</f>
        <v>FE0833</v>
      </c>
      <c r="T16" s="12" t="str">
        <f>IFERROR(__xludf.DUMMYFUNCTION("""COMPUTED_VALUE"""),"FE0224")</f>
        <v>FE0224</v>
      </c>
      <c r="U16" s="12" t="str">
        <f>IFERROR(__xludf.DUMMYFUNCTION("""COMPUTED_VALUE"""),"FE1451")</f>
        <v>FE1451</v>
      </c>
      <c r="V16" s="12" t="str">
        <f>IFERROR(__xludf.DUMMYFUNCTION("""COMPUTED_VALUE"""),"FE4014")</f>
        <v>FE4014</v>
      </c>
      <c r="W16" s="12" t="str">
        <f>IFERROR(__xludf.DUMMYFUNCTION("""COMPUTED_VALUE"""),"FE1404")</f>
        <v>FE1404</v>
      </c>
      <c r="X16" s="12" t="str">
        <f>IFERROR(__xludf.DUMMYFUNCTION("""COMPUTED_VALUE"""),"FE0517")</f>
        <v>FE0517</v>
      </c>
      <c r="Y16" s="12" t="str">
        <f>IFERROR(__xludf.DUMMYFUNCTION("""COMPUTED_VALUE"""),"FE1348")</f>
        <v>FE1348</v>
      </c>
      <c r="Z16" s="12" t="str">
        <f>IFERROR(__xludf.DUMMYFUNCTION("""COMPUTED_VALUE"""),"FE0780")</f>
        <v>FE0780</v>
      </c>
      <c r="AA16" s="12" t="str">
        <f>IFERROR(__xludf.DUMMYFUNCTION("""COMPUTED_VALUE"""),"FE0833")</f>
        <v>FE0833</v>
      </c>
      <c r="AB16" s="12" t="str">
        <f>IFERROR(__xludf.DUMMYFUNCTION("""COMPUTED_VALUE"""),"FE1351")</f>
        <v>FE1351</v>
      </c>
      <c r="AC16" s="12" t="str">
        <f>IFERROR(__xludf.DUMMYFUNCTION("""COMPUTED_VALUE"""),"FE1404")</f>
        <v>FE1404</v>
      </c>
      <c r="AD16" s="12" t="str">
        <f>IFERROR(__xludf.DUMMYFUNCTION("""COMPUTED_VALUE"""),"FE1451")</f>
        <v>FE1451</v>
      </c>
      <c r="AE16" s="12" t="str">
        <f>IFERROR(__xludf.DUMMYFUNCTION("""COMPUTED_VALUE"""),"FE1068")</f>
        <v>FE1068</v>
      </c>
      <c r="AF16" s="12" t="str">
        <f>IFERROR(__xludf.DUMMYFUNCTION("""COMPUTED_VALUE"""),"FE1636")</f>
        <v>FE1636</v>
      </c>
      <c r="AG16" s="12" t="str">
        <f>IFERROR(__xludf.DUMMYFUNCTION("""COMPUTED_VALUE"""),"FE1776")</f>
        <v>FE1776</v>
      </c>
      <c r="AH16" s="12" t="str">
        <f>IFERROR(__xludf.DUMMYFUNCTION("""COMPUTED_VALUE"""),"FE1408")</f>
        <v>FE1408</v>
      </c>
      <c r="AI16" s="12" t="str">
        <f>IFERROR(__xludf.DUMMYFUNCTION("""COMPUTED_VALUE"""),"FE0689")</f>
        <v>FE0689</v>
      </c>
      <c r="AJ16" s="12" t="str">
        <f>IFERROR(__xludf.DUMMYFUNCTION("""COMPUTED_VALUE"""),"FE4064")</f>
        <v>FE4064</v>
      </c>
      <c r="AK16" s="12" t="str">
        <f>IFERROR(__xludf.DUMMYFUNCTION("""COMPUTED_VALUE"""),"FE0262")</f>
        <v>FE0262</v>
      </c>
      <c r="AL16" s="12" t="str">
        <f>IFERROR(__xludf.DUMMYFUNCTION("""COMPUTED_VALUE"""),"FE4075")</f>
        <v>FE4075</v>
      </c>
      <c r="AM16" s="12" t="str">
        <f>IFERROR(__xludf.DUMMYFUNCTION("""COMPUTED_VALUE"""),"FE1636")</f>
        <v>FE1636</v>
      </c>
      <c r="AN16" s="12" t="str">
        <f>IFERROR(__xludf.DUMMYFUNCTION("""COMPUTED_VALUE"""),"FE4078")</f>
        <v>FE4078</v>
      </c>
      <c r="AO16" s="12" t="str">
        <f>IFERROR(__xludf.DUMMYFUNCTION("""COMPUTED_VALUE"""),"FE4071")</f>
        <v>FE4071</v>
      </c>
      <c r="AP16" s="12" t="str">
        <f>IFERROR(__xludf.DUMMYFUNCTION("""COMPUTED_VALUE"""),"FE4068")</f>
        <v>FE4068</v>
      </c>
      <c r="AQ16" s="12" t="str">
        <f>IFERROR(__xludf.DUMMYFUNCTION("""COMPUTED_VALUE"""),"FE1403")</f>
        <v>FE1403</v>
      </c>
      <c r="AR16" s="12" t="str">
        <f>IFERROR(__xludf.DUMMYFUNCTION("""COMPUTED_VALUE"""),"FE4075")</f>
        <v>FE4075</v>
      </c>
      <c r="AS16" s="12" t="str">
        <f>IFERROR(__xludf.DUMMYFUNCTION("""COMPUTED_VALUE"""),"FE4064")</f>
        <v>FE4064</v>
      </c>
    </row>
    <row r="17">
      <c r="B17" s="292" t="str">
        <f>IFERROR(__xludf.DUMMYFUNCTION("""COMPUTED_VALUE"""),"Keto")</f>
        <v>Keto</v>
      </c>
      <c r="C17" s="12">
        <f>IFERROR(__xludf.DUMMYFUNCTION("""COMPUTED_VALUE"""),315.0)</f>
        <v>315</v>
      </c>
      <c r="D17" s="12" t="str">
        <f>IFERROR(__xludf.DUMMYFUNCTION("""COMPUTED_VALUE"""),"#REF!")</f>
        <v>#REF!</v>
      </c>
      <c r="E17" s="12" t="str">
        <f>IFERROR(__xludf.DUMMYFUNCTION("""COMPUTED_VALUE"""),"#REF!")</f>
        <v>#REF!</v>
      </c>
      <c r="F17" s="12" t="str">
        <f>IFERROR(__xludf.DUMMYFUNCTION("""COMPUTED_VALUE"""),"#REF!")</f>
        <v>#REF!</v>
      </c>
      <c r="G17" s="12" t="str">
        <f>IFERROR(__xludf.DUMMYFUNCTION("""COMPUTED_VALUE"""),"#REF!")</f>
        <v>#REF!</v>
      </c>
      <c r="H17" s="12" t="str">
        <f>IFERROR(__xludf.DUMMYFUNCTION("""COMPUTED_VALUE"""),"#REF!")</f>
        <v>#REF!</v>
      </c>
      <c r="I17" s="12" t="str">
        <f>IFERROR(__xludf.DUMMYFUNCTION("""COMPUTED_VALUE"""),"#REF!")</f>
        <v>#REF!</v>
      </c>
      <c r="J17" s="12" t="str">
        <f>IFERROR(__xludf.DUMMYFUNCTION("""COMPUTED_VALUE"""),"#REF!")</f>
        <v>#REF!</v>
      </c>
      <c r="K17" s="12" t="str">
        <f>IFERROR(__xludf.DUMMYFUNCTION("""COMPUTED_VALUE"""),"#REF!")</f>
        <v>#REF!</v>
      </c>
      <c r="L17" s="12" t="str">
        <f>IFERROR(__xludf.DUMMYFUNCTION("""COMPUTED_VALUE"""),"#REF!")</f>
        <v>#REF!</v>
      </c>
      <c r="M17" s="12" t="str">
        <f>IFERROR(__xludf.DUMMYFUNCTION("""COMPUTED_VALUE"""),"#REF!")</f>
        <v>#REF!</v>
      </c>
      <c r="N17" s="12" t="str">
        <f>IFERROR(__xludf.DUMMYFUNCTION("""COMPUTED_VALUE"""),"FE4027")</f>
        <v>FE4027</v>
      </c>
      <c r="O17" s="12" t="str">
        <f>IFERROR(__xludf.DUMMYFUNCTION("""COMPUTED_VALUE"""),"FE0413")</f>
        <v>FE0413</v>
      </c>
      <c r="P17" s="12" t="str">
        <f>IFERROR(__xludf.DUMMYFUNCTION("""COMPUTED_VALUE"""),"FE0746")</f>
        <v>FE0746</v>
      </c>
      <c r="Q17" s="12" t="str">
        <f>IFERROR(__xludf.DUMMYFUNCTION("""COMPUTED_VALUE"""),"#REF!")</f>
        <v>#REF!</v>
      </c>
      <c r="R17" s="12" t="str">
        <f>IFERROR(__xludf.DUMMYFUNCTION("""COMPUTED_VALUE"""),"FE1346")</f>
        <v>FE1346</v>
      </c>
      <c r="S17" s="12" t="str">
        <f>IFERROR(__xludf.DUMMYFUNCTION("""COMPUTED_VALUE"""),"FE0746")</f>
        <v>FE0746</v>
      </c>
      <c r="T17" s="12" t="str">
        <f>IFERROR(__xludf.DUMMYFUNCTION("""COMPUTED_VALUE"""),"FE1506")</f>
        <v>FE1506</v>
      </c>
      <c r="U17" s="12" t="str">
        <f>IFERROR(__xludf.DUMMYFUNCTION("""COMPUTED_VALUE"""),"FE0780")</f>
        <v>FE0780</v>
      </c>
      <c r="V17" s="12" t="str">
        <f>IFERROR(__xludf.DUMMYFUNCTION("""COMPUTED_VALUE"""),"FE4027")</f>
        <v>FE4027</v>
      </c>
      <c r="W17" s="12" t="str">
        <f>IFERROR(__xludf.DUMMYFUNCTION("""COMPUTED_VALUE"""),"FE4050")</f>
        <v>FE4050</v>
      </c>
      <c r="X17" s="12" t="str">
        <f>IFERROR(__xludf.DUMMYFUNCTION("""COMPUTED_VALUE"""),"FE0745")</f>
        <v>FE0745</v>
      </c>
      <c r="Y17" s="12" t="str">
        <f>IFERROR(__xludf.DUMMYFUNCTION("""COMPUTED_VALUE"""),"FE4027")</f>
        <v>FE4027</v>
      </c>
      <c r="Z17" s="12" t="str">
        <f>IFERROR(__xludf.DUMMYFUNCTION("""COMPUTED_VALUE"""),"FE4043")</f>
        <v>FE4043</v>
      </c>
      <c r="AA17" s="12" t="str">
        <f>IFERROR(__xludf.DUMMYFUNCTION("""COMPUTED_VALUE"""),"FE0160")</f>
        <v>FE0160</v>
      </c>
      <c r="AB17" s="12" t="str">
        <f>IFERROR(__xludf.DUMMYFUNCTION("""COMPUTED_VALUE"""),"FE1346")</f>
        <v>FE1346</v>
      </c>
      <c r="AC17" s="12" t="str">
        <f>IFERROR(__xludf.DUMMYFUNCTION("""COMPUTED_VALUE"""),"FE1506")</f>
        <v>FE1506</v>
      </c>
      <c r="AD17" s="12" t="str">
        <f>IFERROR(__xludf.DUMMYFUNCTION("""COMPUTED_VALUE"""),"FE4063")</f>
        <v>FE4063</v>
      </c>
      <c r="AE17" s="12" t="str">
        <f>IFERROR(__xludf.DUMMYFUNCTION("""COMPUTED_VALUE"""),"FE1422")</f>
        <v>FE1422</v>
      </c>
      <c r="AF17" s="12" t="str">
        <f>IFERROR(__xludf.DUMMYFUNCTION("""COMPUTED_VALUE"""),"FE1348")</f>
        <v>FE1348</v>
      </c>
      <c r="AG17" s="12" t="str">
        <f>IFERROR(__xludf.DUMMYFUNCTION("""COMPUTED_VALUE"""),"FE4065")</f>
        <v>FE4065</v>
      </c>
      <c r="AH17" s="12" t="str">
        <f>IFERROR(__xludf.DUMMYFUNCTION("""COMPUTED_VALUE"""),"FE1348")</f>
        <v>FE1348</v>
      </c>
      <c r="AI17" s="12" t="str">
        <f>IFERROR(__xludf.DUMMYFUNCTION("""COMPUTED_VALUE"""),"FE4063")</f>
        <v>FE4063</v>
      </c>
      <c r="AJ17" s="12" t="str">
        <f>IFERROR(__xludf.DUMMYFUNCTION("""COMPUTED_VALUE"""),"FE0745")</f>
        <v>FE0745</v>
      </c>
      <c r="AK17" s="12" t="str">
        <f>IFERROR(__xludf.DUMMYFUNCTION("""COMPUTED_VALUE"""),"FE4063")</f>
        <v>FE4063</v>
      </c>
      <c r="AL17" s="12" t="str">
        <f>IFERROR(__xludf.DUMMYFUNCTION("""COMPUTED_VALUE"""),"FE0746")</f>
        <v>FE0746</v>
      </c>
      <c r="AM17" s="12" t="str">
        <f>IFERROR(__xludf.DUMMYFUNCTION("""COMPUTED_VALUE"""),"FE0849")</f>
        <v>FE0849</v>
      </c>
      <c r="AN17" s="12" t="str">
        <f>IFERROR(__xludf.DUMMYFUNCTION("""COMPUTED_VALUE"""),"FE4063")</f>
        <v>FE4063</v>
      </c>
      <c r="AO17" s="12" t="str">
        <f>IFERROR(__xludf.DUMMYFUNCTION("""COMPUTED_VALUE"""),"FE0413")</f>
        <v>FE0413</v>
      </c>
      <c r="AP17" s="12" t="str">
        <f>IFERROR(__xludf.DUMMYFUNCTION("""COMPUTED_VALUE"""),"FE0746")</f>
        <v>FE0746</v>
      </c>
      <c r="AQ17" s="12" t="str">
        <f>IFERROR(__xludf.DUMMYFUNCTION("""COMPUTED_VALUE"""),"FE4063")</f>
        <v>FE4063</v>
      </c>
      <c r="AR17" s="12" t="str">
        <f>IFERROR(__xludf.DUMMYFUNCTION("""COMPUTED_VALUE"""),"FE0713")</f>
        <v>FE0713</v>
      </c>
      <c r="AS17" s="12" t="str">
        <f>IFERROR(__xludf.DUMMYFUNCTION("""COMPUTED_VALUE"""),"FE0413")</f>
        <v>FE0413</v>
      </c>
    </row>
    <row r="18">
      <c r="B18" s="292" t="str">
        <f>IFERROR(__xludf.DUMMYFUNCTION("""COMPUTED_VALUE"""),"Flexible")</f>
        <v>Flexible</v>
      </c>
      <c r="C18" s="12">
        <f>IFERROR(__xludf.DUMMYFUNCTION("""COMPUTED_VALUE"""),316.0)</f>
        <v>316</v>
      </c>
      <c r="D18" s="12" t="str">
        <f>IFERROR(__xludf.DUMMYFUNCTION("""COMPUTED_VALUE"""),"#REF!")</f>
        <v>#REF!</v>
      </c>
      <c r="E18" s="12" t="str">
        <f>IFERROR(__xludf.DUMMYFUNCTION("""COMPUTED_VALUE"""),"#REF!")</f>
        <v>#REF!</v>
      </c>
      <c r="F18" s="12" t="str">
        <f>IFERROR(__xludf.DUMMYFUNCTION("""COMPUTED_VALUE"""),"#REF!")</f>
        <v>#REF!</v>
      </c>
      <c r="G18" s="12" t="str">
        <f>IFERROR(__xludf.DUMMYFUNCTION("""COMPUTED_VALUE"""),"#REF!")</f>
        <v>#REF!</v>
      </c>
      <c r="H18" s="12" t="str">
        <f>IFERROR(__xludf.DUMMYFUNCTION("""COMPUTED_VALUE"""),"#REF!")</f>
        <v>#REF!</v>
      </c>
      <c r="I18" s="12" t="str">
        <f>IFERROR(__xludf.DUMMYFUNCTION("""COMPUTED_VALUE"""),"#REF!")</f>
        <v>#REF!</v>
      </c>
      <c r="J18" s="12" t="str">
        <f>IFERROR(__xludf.DUMMYFUNCTION("""COMPUTED_VALUE"""),"#REF!")</f>
        <v>#REF!</v>
      </c>
      <c r="K18" s="12" t="str">
        <f>IFERROR(__xludf.DUMMYFUNCTION("""COMPUTED_VALUE"""),"#REF!")</f>
        <v>#REF!</v>
      </c>
      <c r="L18" s="12" t="str">
        <f>IFERROR(__xludf.DUMMYFUNCTION("""COMPUTED_VALUE"""),"#REF!")</f>
        <v>#REF!</v>
      </c>
      <c r="M18" s="12" t="str">
        <f>IFERROR(__xludf.DUMMYFUNCTION("""COMPUTED_VALUE"""),"#REF!")</f>
        <v>#REF!</v>
      </c>
      <c r="N18" s="12" t="str">
        <f>IFERROR(__xludf.DUMMYFUNCTION("""COMPUTED_VALUE"""),"FE4006")</f>
        <v>FE4006</v>
      </c>
      <c r="O18" s="12" t="str">
        <f>IFERROR(__xludf.DUMMYFUNCTION("""COMPUTED_VALUE"""),"FE4006")</f>
        <v>FE4006</v>
      </c>
      <c r="P18" s="12" t="str">
        <f>IFERROR(__xludf.DUMMYFUNCTION("""COMPUTED_VALUE"""),"FE0129")</f>
        <v>FE0129</v>
      </c>
      <c r="Q18" s="12" t="str">
        <f>IFERROR(__xludf.DUMMYFUNCTION("""COMPUTED_VALUE"""),"#REF!")</f>
        <v>#REF!</v>
      </c>
      <c r="R18" s="12" t="str">
        <f>IFERROR(__xludf.DUMMYFUNCTION("""COMPUTED_VALUE"""),"FE4011")</f>
        <v>FE4011</v>
      </c>
      <c r="S18" s="12" t="str">
        <f>IFERROR(__xludf.DUMMYFUNCTION("""COMPUTED_VALUE"""),"FE4023")</f>
        <v>FE4023</v>
      </c>
      <c r="T18" s="12" t="str">
        <f>IFERROR(__xludf.DUMMYFUNCTION("""COMPUTED_VALUE"""),"FE0024")</f>
        <v>FE0024</v>
      </c>
      <c r="U18" s="12" t="str">
        <f>IFERROR(__xludf.DUMMYFUNCTION("""COMPUTED_VALUE"""),"FE4055")</f>
        <v>FE4055</v>
      </c>
      <c r="V18" s="12" t="str">
        <f>IFERROR(__xludf.DUMMYFUNCTION("""COMPUTED_VALUE"""),"FE0129")</f>
        <v>FE0129</v>
      </c>
      <c r="W18" s="12" t="str">
        <f>IFERROR(__xludf.DUMMYFUNCTION("""COMPUTED_VALUE"""),"FE4040")</f>
        <v>FE4040</v>
      </c>
      <c r="X18" s="12" t="str">
        <f>IFERROR(__xludf.DUMMYFUNCTION("""COMPUTED_VALUE"""),"FE4038")</f>
        <v>FE4038</v>
      </c>
      <c r="Y18" s="12" t="str">
        <f>IFERROR(__xludf.DUMMYFUNCTION("""COMPUTED_VALUE"""),"FE4055")</f>
        <v>FE4055</v>
      </c>
      <c r="Z18" s="12" t="str">
        <f>IFERROR(__xludf.DUMMYFUNCTION("""COMPUTED_VALUE"""),"FE4051")</f>
        <v>FE4051</v>
      </c>
      <c r="AA18" s="12" t="str">
        <f>IFERROR(__xludf.DUMMYFUNCTION("""COMPUTED_VALUE"""),"FE0472")</f>
        <v>FE0472</v>
      </c>
      <c r="AB18" s="12" t="str">
        <f>IFERROR(__xludf.DUMMYFUNCTION("""COMPUTED_VALUE"""),"FE0970")</f>
        <v>FE0970</v>
      </c>
      <c r="AC18" s="12" t="str">
        <f>IFERROR(__xludf.DUMMYFUNCTION("""COMPUTED_VALUE"""),"FE0024")</f>
        <v>FE0024</v>
      </c>
      <c r="AD18" s="12" t="str">
        <f>IFERROR(__xludf.DUMMYFUNCTION("""COMPUTED_VALUE"""),"FE0025")</f>
        <v>FE0025</v>
      </c>
      <c r="AE18" s="12" t="str">
        <f>IFERROR(__xludf.DUMMYFUNCTION("""COMPUTED_VALUE"""),"FE0024")</f>
        <v>FE0024</v>
      </c>
      <c r="AF18" s="12" t="str">
        <f>IFERROR(__xludf.DUMMYFUNCTION("""COMPUTED_VALUE"""),"FE0207")</f>
        <v>FE0207</v>
      </c>
      <c r="AG18" s="12" t="str">
        <f>IFERROR(__xludf.DUMMYFUNCTION("""COMPUTED_VALUE"""),"FE0025")</f>
        <v>FE0025</v>
      </c>
      <c r="AH18" s="12" t="str">
        <f>IFERROR(__xludf.DUMMYFUNCTION("""COMPUTED_VALUE"""),"FE0472")</f>
        <v>FE0472</v>
      </c>
      <c r="AI18" s="12" t="str">
        <f>IFERROR(__xludf.DUMMYFUNCTION("""COMPUTED_VALUE"""),"FE1829")</f>
        <v>FE1829</v>
      </c>
      <c r="AJ18" s="12" t="str">
        <f>IFERROR(__xludf.DUMMYFUNCTION("""COMPUTED_VALUE"""),"FE0160")</f>
        <v>FE0160</v>
      </c>
      <c r="AK18" s="12" t="str">
        <f>IFERROR(__xludf.DUMMYFUNCTION("""COMPUTED_VALUE"""),"FE0092")</f>
        <v>FE0092</v>
      </c>
      <c r="AL18" s="12" t="str">
        <f>IFERROR(__xludf.DUMMYFUNCTION("""COMPUTED_VALUE"""),"FE1712")</f>
        <v>FE1712</v>
      </c>
      <c r="AM18" s="12" t="str">
        <f>IFERROR(__xludf.DUMMYFUNCTION("""COMPUTED_VALUE"""),"FE0160")</f>
        <v>FE0160</v>
      </c>
      <c r="AN18" s="12" t="str">
        <f>IFERROR(__xludf.DUMMYFUNCTION("""COMPUTED_VALUE"""),"FE4070")</f>
        <v>FE4070</v>
      </c>
      <c r="AO18" s="12" t="str">
        <f>IFERROR(__xludf.DUMMYFUNCTION("""COMPUTED_VALUE"""),"FE1776")</f>
        <v>FE1776</v>
      </c>
      <c r="AP18" s="12" t="str">
        <f>IFERROR(__xludf.DUMMYFUNCTION("""COMPUTED_VALUE"""),"FE4069")</f>
        <v>FE4069</v>
      </c>
      <c r="AQ18" s="12" t="str">
        <f>IFERROR(__xludf.DUMMYFUNCTION("""COMPUTED_VALUE"""),"FE1698")</f>
        <v>FE1698</v>
      </c>
      <c r="AR18" s="12" t="str">
        <f>IFERROR(__xludf.DUMMYFUNCTION("""COMPUTED_VALUE"""),"FE4079")</f>
        <v>FE4079</v>
      </c>
      <c r="AS18" s="12" t="str">
        <f>IFERROR(__xludf.DUMMYFUNCTION("""COMPUTED_VALUE"""),"FE0160")</f>
        <v>FE0160</v>
      </c>
    </row>
    <row r="19">
      <c r="B19" s="292" t="str">
        <f>IFERROR(__xludf.DUMMYFUNCTION("""COMPUTED_VALUE"""),"P+")</f>
        <v>P+</v>
      </c>
      <c r="C19" s="12">
        <f>IFERROR(__xludf.DUMMYFUNCTION("""COMPUTED_VALUE"""),317.0)</f>
        <v>317</v>
      </c>
      <c r="D19" s="12" t="str">
        <f>IFERROR(__xludf.DUMMYFUNCTION("""COMPUTED_VALUE"""),"#REF!")</f>
        <v>#REF!</v>
      </c>
      <c r="E19" s="12" t="str">
        <f>IFERROR(__xludf.DUMMYFUNCTION("""COMPUTED_VALUE"""),"#REF!")</f>
        <v>#REF!</v>
      </c>
      <c r="F19" s="12" t="str">
        <f>IFERROR(__xludf.DUMMYFUNCTION("""COMPUTED_VALUE"""),"#REF!")</f>
        <v>#REF!</v>
      </c>
      <c r="G19" s="12" t="str">
        <f>IFERROR(__xludf.DUMMYFUNCTION("""COMPUTED_VALUE"""),"#REF!")</f>
        <v>#REF!</v>
      </c>
      <c r="H19" s="12" t="str">
        <f>IFERROR(__xludf.DUMMYFUNCTION("""COMPUTED_VALUE"""),"#REF!")</f>
        <v>#REF!</v>
      </c>
      <c r="I19" s="12" t="str">
        <f>IFERROR(__xludf.DUMMYFUNCTION("""COMPUTED_VALUE"""),"#REF!")</f>
        <v>#REF!</v>
      </c>
      <c r="J19" s="12" t="str">
        <f>IFERROR(__xludf.DUMMYFUNCTION("""COMPUTED_VALUE"""),"#REF!")</f>
        <v>#REF!</v>
      </c>
      <c r="K19" s="12" t="str">
        <f>IFERROR(__xludf.DUMMYFUNCTION("""COMPUTED_VALUE"""),"#REF!")</f>
        <v>#REF!</v>
      </c>
      <c r="L19" s="12" t="str">
        <f>IFERROR(__xludf.DUMMYFUNCTION("""COMPUTED_VALUE"""),"#REF!")</f>
        <v>#REF!</v>
      </c>
      <c r="M19" s="12" t="str">
        <f>IFERROR(__xludf.DUMMYFUNCTION("""COMPUTED_VALUE"""),"#REF!")</f>
        <v>#REF!</v>
      </c>
      <c r="N19" s="12" t="str">
        <f>IFERROR(__xludf.DUMMYFUNCTION("""COMPUTED_VALUE"""),"FE1398")</f>
        <v>FE1398</v>
      </c>
      <c r="O19" s="12" t="str">
        <f>IFERROR(__xludf.DUMMYFUNCTION("""COMPUTED_VALUE"""),"FE0322")</f>
        <v>FE0322</v>
      </c>
      <c r="P19" s="12" t="str">
        <f>IFERROR(__xludf.DUMMYFUNCTION("""COMPUTED_VALUE"""),"FE0169")</f>
        <v>FE0169</v>
      </c>
      <c r="Q19" s="12" t="str">
        <f>IFERROR(__xludf.DUMMYFUNCTION("""COMPUTED_VALUE"""),"#REF!")</f>
        <v>#REF!</v>
      </c>
      <c r="R19" s="12" t="str">
        <f>IFERROR(__xludf.DUMMYFUNCTION("""COMPUTED_VALUE"""),"FE4010")</f>
        <v>FE4010</v>
      </c>
      <c r="S19" s="12" t="str">
        <f>IFERROR(__xludf.DUMMYFUNCTION("""COMPUTED_VALUE"""),"FE4006")</f>
        <v>FE4006</v>
      </c>
      <c r="T19" s="12" t="str">
        <f>IFERROR(__xludf.DUMMYFUNCTION("""COMPUTED_VALUE"""),"FE0169")</f>
        <v>FE0169</v>
      </c>
      <c r="U19" s="12" t="str">
        <f>IFERROR(__xludf.DUMMYFUNCTION("""COMPUTED_VALUE"""),"FE4006")</f>
        <v>FE4006</v>
      </c>
      <c r="V19" s="12" t="str">
        <f>IFERROR(__xludf.DUMMYFUNCTION("""COMPUTED_VALUE"""),"FE0430")</f>
        <v>FE0430</v>
      </c>
      <c r="W19" s="12" t="str">
        <f>IFERROR(__xludf.DUMMYFUNCTION("""COMPUTED_VALUE"""),"FE4010")</f>
        <v>FE4010</v>
      </c>
      <c r="X19" s="12" t="str">
        <f>IFERROR(__xludf.DUMMYFUNCTION("""COMPUTED_VALUE"""),"FE4020")</f>
        <v>FE4020</v>
      </c>
      <c r="Y19" s="12" t="str">
        <f>IFERROR(__xludf.DUMMYFUNCTION("""COMPUTED_VALUE"""),"FE0169")</f>
        <v>FE0169</v>
      </c>
      <c r="Z19" s="12" t="str">
        <f>IFERROR(__xludf.DUMMYFUNCTION("""COMPUTED_VALUE"""),"FE4022")</f>
        <v>FE4022</v>
      </c>
      <c r="AA19" s="12" t="str">
        <f>IFERROR(__xludf.DUMMYFUNCTION("""COMPUTED_VALUE"""),"FE0430")</f>
        <v>FE0430</v>
      </c>
      <c r="AB19" s="12" t="str">
        <f>IFERROR(__xludf.DUMMYFUNCTION("""COMPUTED_VALUE"""),"FE4060")</f>
        <v>FE4060</v>
      </c>
      <c r="AC19" s="12" t="str">
        <f>IFERROR(__xludf.DUMMYFUNCTION("""COMPUTED_VALUE"""),"FE0169")</f>
        <v>FE0169</v>
      </c>
      <c r="AD19" s="12" t="str">
        <f>IFERROR(__xludf.DUMMYFUNCTION("""COMPUTED_VALUE"""),"FE4020")</f>
        <v>FE4020</v>
      </c>
      <c r="AE19" s="12" t="str">
        <f>IFERROR(__xludf.DUMMYFUNCTION("""COMPUTED_VALUE"""),"FE4048")</f>
        <v>FE4048</v>
      </c>
      <c r="AF19" s="12" t="str">
        <f>IFERROR(__xludf.DUMMYFUNCTION("""COMPUTED_VALUE"""),"FE0430")</f>
        <v>FE0430</v>
      </c>
      <c r="AG19" s="12" t="str">
        <f>IFERROR(__xludf.DUMMYFUNCTION("""COMPUTED_VALUE"""),"FE0565")</f>
        <v>FE0565</v>
      </c>
      <c r="AH19" s="12" t="str">
        <f>IFERROR(__xludf.DUMMYFUNCTION("""COMPUTED_VALUE"""),"FE1072")</f>
        <v>FE1072</v>
      </c>
      <c r="AI19" s="12" t="str">
        <f>IFERROR(__xludf.DUMMYFUNCTION("""COMPUTED_VALUE"""),"FE0962")</f>
        <v>FE0962</v>
      </c>
      <c r="AJ19" s="12" t="str">
        <f>IFERROR(__xludf.DUMMYFUNCTION("""COMPUTED_VALUE"""),"FE4022")</f>
        <v>FE4022</v>
      </c>
      <c r="AK19" s="12" t="str">
        <f>IFERROR(__xludf.DUMMYFUNCTION("""COMPUTED_VALUE"""),"FE4048")</f>
        <v>FE4048</v>
      </c>
      <c r="AL19" s="12" t="str">
        <f>IFERROR(__xludf.DUMMYFUNCTION("""COMPUTED_VALUE"""),"FE4060")</f>
        <v>FE4060</v>
      </c>
      <c r="AM19" s="12" t="str">
        <f>IFERROR(__xludf.DUMMYFUNCTION("""COMPUTED_VALUE"""),"FE0565")</f>
        <v>FE0565</v>
      </c>
      <c r="AN19" s="12" t="str">
        <f>IFERROR(__xludf.DUMMYFUNCTION("""COMPUTED_VALUE"""),"FE0959")</f>
        <v>FE0959</v>
      </c>
      <c r="AO19" s="12" t="str">
        <f>IFERROR(__xludf.DUMMYFUNCTION("""COMPUTED_VALUE"""),"FE4048")</f>
        <v>FE4048</v>
      </c>
      <c r="AP19" s="12" t="str">
        <f>IFERROR(__xludf.DUMMYFUNCTION("""COMPUTED_VALUE"""),"FE4060")</f>
        <v>FE4060</v>
      </c>
      <c r="AQ19" s="12" t="str">
        <f>IFERROR(__xludf.DUMMYFUNCTION("""COMPUTED_VALUE"""),"FE0169")</f>
        <v>FE0169</v>
      </c>
      <c r="AR19" s="12" t="str">
        <f>IFERROR(__xludf.DUMMYFUNCTION("""COMPUTED_VALUE"""),"FE0890")</f>
        <v>FE0890</v>
      </c>
      <c r="AS19" s="12" t="str">
        <f>IFERROR(__xludf.DUMMYFUNCTION("""COMPUTED_VALUE"""),"FE0959")</f>
        <v>FE0959</v>
      </c>
    </row>
    <row r="20">
      <c r="B20" s="292" t="str">
        <f>IFERROR(__xludf.DUMMYFUNCTION("""COMPUTED_VALUE"""),"CS")</f>
        <v>CS</v>
      </c>
      <c r="C20" s="12">
        <f>IFERROR(__xludf.DUMMYFUNCTION("""COMPUTED_VALUE"""),318.0)</f>
        <v>318</v>
      </c>
      <c r="D20" s="12" t="str">
        <f>IFERROR(__xludf.DUMMYFUNCTION("""COMPUTED_VALUE"""),"#REF!")</f>
        <v>#REF!</v>
      </c>
      <c r="E20" s="12" t="str">
        <f>IFERROR(__xludf.DUMMYFUNCTION("""COMPUTED_VALUE"""),"#REF!")</f>
        <v>#REF!</v>
      </c>
      <c r="F20" s="12" t="str">
        <f>IFERROR(__xludf.DUMMYFUNCTION("""COMPUTED_VALUE"""),"#REF!")</f>
        <v>#REF!</v>
      </c>
      <c r="G20" s="12" t="str">
        <f>IFERROR(__xludf.DUMMYFUNCTION("""COMPUTED_VALUE"""),"#REF!")</f>
        <v>#REF!</v>
      </c>
      <c r="H20" s="12" t="str">
        <f>IFERROR(__xludf.DUMMYFUNCTION("""COMPUTED_VALUE"""),"#REF!")</f>
        <v>#REF!</v>
      </c>
      <c r="I20" s="12" t="str">
        <f>IFERROR(__xludf.DUMMYFUNCTION("""COMPUTED_VALUE"""),"#REF!")</f>
        <v>#REF!</v>
      </c>
      <c r="J20" s="12" t="str">
        <f>IFERROR(__xludf.DUMMYFUNCTION("""COMPUTED_VALUE"""),"#REF!")</f>
        <v>#REF!</v>
      </c>
      <c r="K20" s="12" t="str">
        <f>IFERROR(__xludf.DUMMYFUNCTION("""COMPUTED_VALUE"""),"#REF!")</f>
        <v>#REF!</v>
      </c>
      <c r="L20" s="12" t="str">
        <f>IFERROR(__xludf.DUMMYFUNCTION("""COMPUTED_VALUE"""),"#REF!")</f>
        <v>#REF!</v>
      </c>
      <c r="M20" s="12" t="str">
        <f>IFERROR(__xludf.DUMMYFUNCTION("""COMPUTED_VALUE"""),"#REF!")</f>
        <v>#REF!</v>
      </c>
      <c r="N20" s="12" t="str">
        <f>IFERROR(__xludf.DUMMYFUNCTION("""COMPUTED_VALUE"""),"FE4048")</f>
        <v>FE4048</v>
      </c>
      <c r="O20" s="12" t="str">
        <f>IFERROR(__xludf.DUMMYFUNCTION("""COMPUTED_VALUE"""),"FE0430")</f>
        <v>FE0430</v>
      </c>
      <c r="P20" s="12" t="str">
        <f>IFERROR(__xludf.DUMMYFUNCTION("""COMPUTED_VALUE"""),"FE4048")</f>
        <v>FE4048</v>
      </c>
      <c r="Q20" s="12" t="str">
        <f>IFERROR(__xludf.DUMMYFUNCTION("""COMPUTED_VALUE"""),"#REF!")</f>
        <v>#REF!</v>
      </c>
      <c r="R20" s="12" t="str">
        <f>IFERROR(__xludf.DUMMYFUNCTION("""COMPUTED_VALUE"""),"FE4048")</f>
        <v>FE4048</v>
      </c>
      <c r="S20" s="12" t="str">
        <f>IFERROR(__xludf.DUMMYFUNCTION("""COMPUTED_VALUE"""),"FE4048")</f>
        <v>FE4048</v>
      </c>
      <c r="T20" s="12" t="str">
        <f>IFERROR(__xludf.DUMMYFUNCTION("""COMPUTED_VALUE"""),"FE0430")</f>
        <v>FE0430</v>
      </c>
      <c r="U20" s="12" t="str">
        <f>IFERROR(__xludf.DUMMYFUNCTION("""COMPUTED_VALUE"""),"FE4048")</f>
        <v>FE4048</v>
      </c>
      <c r="V20" s="12" t="str">
        <f>IFERROR(__xludf.DUMMYFUNCTION("""COMPUTED_VALUE"""),"FE4042")</f>
        <v>FE4042</v>
      </c>
      <c r="W20" s="12" t="str">
        <f>IFERROR(__xludf.DUMMYFUNCTION("""COMPUTED_VALUE"""),"FE4048")</f>
        <v>FE4048</v>
      </c>
      <c r="X20" s="12" t="str">
        <f>IFERROR(__xludf.DUMMYFUNCTION("""COMPUTED_VALUE"""),"FE1072")</f>
        <v>FE1072</v>
      </c>
      <c r="Y20" s="12" t="str">
        <f>IFERROR(__xludf.DUMMYFUNCTION("""COMPUTED_VALUE"""),"FE4042")</f>
        <v>FE4042</v>
      </c>
      <c r="Z20" s="12" t="str">
        <f>IFERROR(__xludf.DUMMYFUNCTION("""COMPUTED_VALUE"""),"FE4048")</f>
        <v>FE4048</v>
      </c>
      <c r="AA20" s="12" t="str">
        <f>IFERROR(__xludf.DUMMYFUNCTION("""COMPUTED_VALUE"""),"FE0890")</f>
        <v>FE0890</v>
      </c>
      <c r="AB20" s="12" t="str">
        <f>IFERROR(__xludf.DUMMYFUNCTION("""COMPUTED_VALUE"""),"FE1072")</f>
        <v>FE1072</v>
      </c>
      <c r="AC20" s="12" t="str">
        <f>IFERROR(__xludf.DUMMYFUNCTION("""COMPUTED_VALUE"""),"FE4048")</f>
        <v>FE4048</v>
      </c>
      <c r="AD20" s="12" t="str">
        <f>IFERROR(__xludf.DUMMYFUNCTION("""COMPUTED_VALUE"""),"FE0890")</f>
        <v>FE0890</v>
      </c>
      <c r="AE20" s="12" t="str">
        <f>IFERROR(__xludf.DUMMYFUNCTION("""COMPUTED_VALUE"""),"FE1072")</f>
        <v>FE1072</v>
      </c>
      <c r="AF20" s="12" t="str">
        <f>IFERROR(__xludf.DUMMYFUNCTION("""COMPUTED_VALUE"""),"FE4042")</f>
        <v>FE4042</v>
      </c>
      <c r="AG20" s="12" t="str">
        <f>IFERROR(__xludf.DUMMYFUNCTION("""COMPUTED_VALUE"""),"FE4048")</f>
        <v>FE4048</v>
      </c>
      <c r="AH20" s="12" t="str">
        <f>IFERROR(__xludf.DUMMYFUNCTION("""COMPUTED_VALUE"""),"FE0430")</f>
        <v>FE0430</v>
      </c>
      <c r="AI20" s="12" t="str">
        <f>IFERROR(__xludf.DUMMYFUNCTION("""COMPUTED_VALUE"""),"FE0890")</f>
        <v>FE0890</v>
      </c>
      <c r="AJ20" s="12" t="str">
        <f>IFERROR(__xludf.DUMMYFUNCTION("""COMPUTED_VALUE"""),"FE4042")</f>
        <v>FE4042</v>
      </c>
      <c r="AK20" s="12" t="str">
        <f>IFERROR(__xludf.DUMMYFUNCTION("""COMPUTED_VALUE"""),"FE1072")</f>
        <v>FE1072</v>
      </c>
      <c r="AL20" s="12" t="str">
        <f>IFERROR(__xludf.DUMMYFUNCTION("""COMPUTED_VALUE"""),"FE0430")</f>
        <v>FE0430</v>
      </c>
      <c r="AM20" s="12" t="str">
        <f>IFERROR(__xludf.DUMMYFUNCTION("""COMPUTED_VALUE"""),"FE4042")</f>
        <v>FE4042</v>
      </c>
      <c r="AN20" s="12" t="str">
        <f>IFERROR(__xludf.DUMMYFUNCTION("""COMPUTED_VALUE"""),"FE0890")</f>
        <v>FE0890</v>
      </c>
      <c r="AO20" s="12" t="str">
        <f>IFERROR(__xludf.DUMMYFUNCTION("""COMPUTED_VALUE"""),"FE4049")</f>
        <v>FE4049</v>
      </c>
      <c r="AP20" s="12" t="str">
        <f>IFERROR(__xludf.DUMMYFUNCTION("""COMPUTED_VALUE"""),"FE0890")</f>
        <v>FE0890</v>
      </c>
      <c r="AQ20" s="12" t="str">
        <f>IFERROR(__xludf.DUMMYFUNCTION("""COMPUTED_VALUE"""),"FE1072")</f>
        <v>FE1072</v>
      </c>
      <c r="AR20" s="12" t="str">
        <f>IFERROR(__xludf.DUMMYFUNCTION("""COMPUTED_VALUE"""),"FE4042")</f>
        <v>FE4042</v>
      </c>
      <c r="AS20" s="12" t="str">
        <f>IFERROR(__xludf.DUMMYFUNCTION("""COMPUTED_VALUE"""),"FE1072")</f>
        <v>FE1072</v>
      </c>
    </row>
    <row r="21">
      <c r="C21" s="12"/>
    </row>
    <row r="22">
      <c r="B22" s="328" t="s">
        <v>308</v>
      </c>
      <c r="C22" s="5"/>
    </row>
    <row r="23">
      <c r="B23" s="329"/>
      <c r="C23" s="330" t="str">
        <f>IFERROR(__xludf.DUMMYFUNCTION("importrange(""https://docs.google.com/spreadsheets/d/1DSoDd3iElhYYB-GTAs8T3qRTJRDC_wCuCEnSMB6p4rY/edit?gid=1842011934#gid=1842011934"", ""Slot Level Volumes!B24:AK42"")"),"Slot Split")</f>
        <v>Slot Split</v>
      </c>
      <c r="D23" s="323" t="str">
        <f>IFERROR(__xludf.DUMMYFUNCTION("""COMPUTED_VALUE"""),"W01")</f>
        <v>W01</v>
      </c>
      <c r="E23" s="323" t="str">
        <f>IFERROR(__xludf.DUMMYFUNCTION("""COMPUTED_VALUE"""),"W02")</f>
        <v>W02</v>
      </c>
      <c r="F23" s="323" t="str">
        <f>IFERROR(__xludf.DUMMYFUNCTION("""COMPUTED_VALUE"""),"W03")</f>
        <v>W03</v>
      </c>
      <c r="G23" s="323" t="str">
        <f>IFERROR(__xludf.DUMMYFUNCTION("""COMPUTED_VALUE"""),"W04")</f>
        <v>W04</v>
      </c>
      <c r="H23" s="323" t="str">
        <f>IFERROR(__xludf.DUMMYFUNCTION("""COMPUTED_VALUE"""),"W05")</f>
        <v>W05</v>
      </c>
      <c r="I23" s="323" t="str">
        <f>IFERROR(__xludf.DUMMYFUNCTION("""COMPUTED_VALUE"""),"W06")</f>
        <v>W06</v>
      </c>
      <c r="J23" s="323" t="str">
        <f>IFERROR(__xludf.DUMMYFUNCTION("""COMPUTED_VALUE"""),"W07")</f>
        <v>W07</v>
      </c>
      <c r="K23" s="323" t="str">
        <f>IFERROR(__xludf.DUMMYFUNCTION("""COMPUTED_VALUE"""),"W08")</f>
        <v>W08</v>
      </c>
      <c r="L23" s="323" t="str">
        <f>IFERROR(__xludf.DUMMYFUNCTION("""COMPUTED_VALUE"""),"W09")</f>
        <v>W09</v>
      </c>
      <c r="M23" s="323" t="str">
        <f>IFERROR(__xludf.DUMMYFUNCTION("""COMPUTED_VALUE"""),"W10")</f>
        <v>W10</v>
      </c>
      <c r="N23" s="323" t="str">
        <f>IFERROR(__xludf.DUMMYFUNCTION("""COMPUTED_VALUE"""),"W11")</f>
        <v>W11</v>
      </c>
      <c r="O23" s="323" t="str">
        <f>IFERROR(__xludf.DUMMYFUNCTION("""COMPUTED_VALUE"""),"W12")</f>
        <v>W12</v>
      </c>
      <c r="P23" s="323" t="str">
        <f>IFERROR(__xludf.DUMMYFUNCTION("""COMPUTED_VALUE"""),"W13")</f>
        <v>W13</v>
      </c>
      <c r="Q23" s="323" t="str">
        <f>IFERROR(__xludf.DUMMYFUNCTION("""COMPUTED_VALUE"""),"W14")</f>
        <v>W14</v>
      </c>
      <c r="R23" s="323" t="str">
        <f>IFERROR(__xludf.DUMMYFUNCTION("""COMPUTED_VALUE"""),"W15")</f>
        <v>W15</v>
      </c>
      <c r="S23" s="323" t="str">
        <f>IFERROR(__xludf.DUMMYFUNCTION("""COMPUTED_VALUE"""),"W16")</f>
        <v>W16</v>
      </c>
      <c r="T23" s="323" t="str">
        <f>IFERROR(__xludf.DUMMYFUNCTION("""COMPUTED_VALUE"""),"W17")</f>
        <v>W17</v>
      </c>
      <c r="U23" s="323" t="str">
        <f>IFERROR(__xludf.DUMMYFUNCTION("""COMPUTED_VALUE"""),"W18")</f>
        <v>W18</v>
      </c>
      <c r="V23" s="323" t="str">
        <f>IFERROR(__xludf.DUMMYFUNCTION("""COMPUTED_VALUE"""),"W19")</f>
        <v>W19</v>
      </c>
      <c r="W23" s="323" t="str">
        <f>IFERROR(__xludf.DUMMYFUNCTION("""COMPUTED_VALUE"""),"W20")</f>
        <v>W20</v>
      </c>
      <c r="X23" s="323" t="str">
        <f>IFERROR(__xludf.DUMMYFUNCTION("""COMPUTED_VALUE"""),"W21")</f>
        <v>W21</v>
      </c>
      <c r="Y23" s="323" t="str">
        <f>IFERROR(__xludf.DUMMYFUNCTION("""COMPUTED_VALUE"""),"W22")</f>
        <v>W22</v>
      </c>
      <c r="Z23" s="323" t="str">
        <f>IFERROR(__xludf.DUMMYFUNCTION("""COMPUTED_VALUE"""),"W23")</f>
        <v>W23</v>
      </c>
      <c r="AA23" s="323" t="str">
        <f>IFERROR(__xludf.DUMMYFUNCTION("""COMPUTED_VALUE"""),"W24")</f>
        <v>W24</v>
      </c>
      <c r="AB23" s="323" t="str">
        <f>IFERROR(__xludf.DUMMYFUNCTION("""COMPUTED_VALUE"""),"W25")</f>
        <v>W25</v>
      </c>
      <c r="AC23" s="323" t="str">
        <f>IFERROR(__xludf.DUMMYFUNCTION("""COMPUTED_VALUE"""),"W26")</f>
        <v>W26</v>
      </c>
      <c r="AD23" s="323" t="str">
        <f>IFERROR(__xludf.DUMMYFUNCTION("""COMPUTED_VALUE"""),"W27")</f>
        <v>W27</v>
      </c>
      <c r="AE23" s="323" t="str">
        <f>IFERROR(__xludf.DUMMYFUNCTION("""COMPUTED_VALUE"""),"W28")</f>
        <v>W28</v>
      </c>
      <c r="AF23" s="323" t="str">
        <f>IFERROR(__xludf.DUMMYFUNCTION("""COMPUTED_VALUE"""),"W29")</f>
        <v>W29</v>
      </c>
      <c r="AG23" s="323" t="str">
        <f>IFERROR(__xludf.DUMMYFUNCTION("""COMPUTED_VALUE"""),"W30")</f>
        <v>W30</v>
      </c>
      <c r="AH23" s="323" t="str">
        <f>IFERROR(__xludf.DUMMYFUNCTION("""COMPUTED_VALUE"""),"W31")</f>
        <v>W31</v>
      </c>
      <c r="AI23" s="323" t="str">
        <f>IFERROR(__xludf.DUMMYFUNCTION("""COMPUTED_VALUE"""),"W32")</f>
        <v>W32</v>
      </c>
      <c r="AJ23" s="323" t="str">
        <f>IFERROR(__xludf.DUMMYFUNCTION("""COMPUTED_VALUE"""),"W33")</f>
        <v>W33</v>
      </c>
      <c r="AK23" s="323" t="str">
        <f>IFERROR(__xludf.DUMMYFUNCTION("""COMPUTED_VALUE"""),"W34")</f>
        <v>W34</v>
      </c>
      <c r="AL23" s="323" t="str">
        <f>IFERROR(__xludf.DUMMYFUNCTION("""COMPUTED_VALUE"""),"W35")</f>
        <v>W35</v>
      </c>
    </row>
    <row r="24">
      <c r="B24" s="292" t="s">
        <v>309</v>
      </c>
      <c r="C24" s="12">
        <f>IFERROR(__xludf.DUMMYFUNCTION("""COMPUTED_VALUE"""),401.0)</f>
        <v>401</v>
      </c>
      <c r="D24" s="331">
        <f>IFERROR(__xludf.DUMMYFUNCTION("""COMPUTED_VALUE"""),0.14186612875452018)</f>
        <v>0.1418661288</v>
      </c>
      <c r="E24" s="331">
        <f>IFERROR(__xludf.DUMMYFUNCTION("""COMPUTED_VALUE"""),0.13305586265201275)</f>
        <v>0.1330558627</v>
      </c>
      <c r="F24" s="331">
        <f>IFERROR(__xludf.DUMMYFUNCTION("""COMPUTED_VALUE"""),0.12714449104079298)</f>
        <v>0.127144491</v>
      </c>
      <c r="G24" s="331">
        <f>IFERROR(__xludf.DUMMYFUNCTION("""COMPUTED_VALUE"""),0.12082661885199392)</f>
        <v>0.1208266189</v>
      </c>
      <c r="H24" s="331">
        <f>IFERROR(__xludf.DUMMYFUNCTION("""COMPUTED_VALUE"""),0.12252125449778091)</f>
        <v>0.1225212545</v>
      </c>
      <c r="I24" s="331">
        <f>IFERROR(__xludf.DUMMYFUNCTION("""COMPUTED_VALUE"""),0.12594452864839747)</f>
        <v>0.1259445286</v>
      </c>
      <c r="J24" s="331">
        <f>IFERROR(__xludf.DUMMYFUNCTION("""COMPUTED_VALUE"""),0.1016871266329679)</f>
        <v>0.1016871266</v>
      </c>
      <c r="K24" s="331">
        <f>IFERROR(__xludf.DUMMYFUNCTION("""COMPUTED_VALUE"""),0.10503039747163269)</f>
        <v>0.1050303975</v>
      </c>
      <c r="L24" s="331">
        <f>IFERROR(__xludf.DUMMYFUNCTION("""COMPUTED_VALUE"""),0.11418555286348335)</f>
        <v>0.1141855529</v>
      </c>
      <c r="M24" s="331">
        <f>IFERROR(__xludf.DUMMYFUNCTION("""COMPUTED_VALUE"""),0.12185833107313986)</f>
        <v>0.1218583311</v>
      </c>
      <c r="N24" s="331">
        <f>IFERROR(__xludf.DUMMYFUNCTION("""COMPUTED_VALUE"""),0.12367183222908729)</f>
        <v>0.1236718322</v>
      </c>
      <c r="O24" s="331">
        <f>IFERROR(__xludf.DUMMYFUNCTION("""COMPUTED_VALUE"""),0.12251108804378598)</f>
        <v>0.122511088</v>
      </c>
      <c r="P24" s="331">
        <f>IFERROR(__xludf.DUMMYFUNCTION("""COMPUTED_VALUE"""),0.11818530288229694)</f>
        <v>0.1181853029</v>
      </c>
      <c r="Q24" s="331">
        <f>IFERROR(__xludf.DUMMYFUNCTION("""COMPUTED_VALUE"""),0.12133024572237232)</f>
        <v>0.1213302457</v>
      </c>
      <c r="R24" s="331">
        <f>IFERROR(__xludf.DUMMYFUNCTION("""COMPUTED_VALUE"""),0.1214010524908545)</f>
        <v>0.1214010525</v>
      </c>
      <c r="S24" s="331">
        <f>IFERROR(__xludf.DUMMYFUNCTION("""COMPUTED_VALUE"""),0.12004646078163432)</f>
        <v>0.1200464608</v>
      </c>
      <c r="T24" s="331">
        <f>IFERROR(__xludf.DUMMYFUNCTION("""COMPUTED_VALUE"""),0.12346233276465834)</f>
        <v>0.1234623328</v>
      </c>
      <c r="U24" s="331">
        <f>IFERROR(__xludf.DUMMYFUNCTION("""COMPUTED_VALUE"""),0.1157422664164028)</f>
        <v>0.1157422664</v>
      </c>
      <c r="V24" s="331">
        <f>IFERROR(__xludf.DUMMYFUNCTION("""COMPUTED_VALUE"""),0.12247290959081351)</f>
        <v>0.1224729096</v>
      </c>
      <c r="W24" s="331">
        <f>IFERROR(__xludf.DUMMYFUNCTION("""COMPUTED_VALUE"""),0.11929700678670903)</f>
        <v>0.1192970068</v>
      </c>
      <c r="X24" s="331">
        <f>IFERROR(__xludf.DUMMYFUNCTION("""COMPUTED_VALUE"""),0.10644573144573144)</f>
        <v>0.1064457314</v>
      </c>
      <c r="Y24" s="331">
        <f>IFERROR(__xludf.DUMMYFUNCTION("""COMPUTED_VALUE"""),0.12800994468964746)</f>
        <v>0.1280099447</v>
      </c>
      <c r="Z24" s="331">
        <f>IFERROR(__xludf.DUMMYFUNCTION("""COMPUTED_VALUE"""),0.12692013062935936)</f>
        <v>0.1269201306</v>
      </c>
      <c r="AA24" s="331">
        <f>IFERROR(__xludf.DUMMYFUNCTION("""COMPUTED_VALUE"""),0.12936574462140263)</f>
        <v>0.1293657446</v>
      </c>
      <c r="AB24" s="331">
        <f>IFERROR(__xludf.DUMMYFUNCTION("""COMPUTED_VALUE"""),0.11122915117390843)</f>
        <v>0.1112291512</v>
      </c>
      <c r="AC24" s="331">
        <f>IFERROR(__xludf.DUMMYFUNCTION("""COMPUTED_VALUE"""),0.12678764402902334)</f>
        <v>0.126787644</v>
      </c>
      <c r="AD24" s="331">
        <f>IFERROR(__xludf.DUMMYFUNCTION("""COMPUTED_VALUE"""),0.13290816326530613)</f>
        <v>0.1329081633</v>
      </c>
      <c r="AE24" s="331">
        <f>IFERROR(__xludf.DUMMYFUNCTION("""COMPUTED_VALUE"""),0.12267601129142158)</f>
        <v>0.1226760113</v>
      </c>
      <c r="AF24" s="331">
        <f>IFERROR(__xludf.DUMMYFUNCTION("""COMPUTED_VALUE"""),0.12463052013940971)</f>
        <v>0.1246305201</v>
      </c>
      <c r="AG24" s="331">
        <f>IFERROR(__xludf.DUMMYFUNCTION("""COMPUTED_VALUE"""),0.12211673103851539)</f>
        <v>0.122116731</v>
      </c>
      <c r="AH24" s="331">
        <f>IFERROR(__xludf.DUMMYFUNCTION("""COMPUTED_VALUE"""),0.1222141472868217)</f>
        <v>0.1222141473</v>
      </c>
      <c r="AI24" s="331">
        <f>IFERROR(__xludf.DUMMYFUNCTION("""COMPUTED_VALUE"""),0.1230823612583952)</f>
        <v>0.1230823613</v>
      </c>
      <c r="AJ24" s="331">
        <f>IFERROR(__xludf.DUMMYFUNCTION("""COMPUTED_VALUE"""),0.1252900554405369)</f>
        <v>0.1252900554</v>
      </c>
      <c r="AK24" s="331">
        <f>IFERROR(__xludf.DUMMYFUNCTION("""COMPUTED_VALUE"""),0.12555440914389848)</f>
        <v>0.1255544091</v>
      </c>
      <c r="AL24" s="331">
        <f>IFERROR(__xludf.DUMMYFUNCTION("""COMPUTED_VALUE"""),0.12500812838953843)</f>
        <v>0.1250081284</v>
      </c>
      <c r="AM24" s="12"/>
      <c r="AN24" s="12"/>
      <c r="AO24" s="12"/>
      <c r="AP24" s="12"/>
      <c r="AQ24" s="12"/>
      <c r="AR24" s="12"/>
      <c r="AS24" s="12"/>
      <c r="AT24" s="12"/>
    </row>
    <row r="25">
      <c r="B25" s="292" t="s">
        <v>310</v>
      </c>
      <c r="C25" s="12">
        <f>IFERROR(__xludf.DUMMYFUNCTION("""COMPUTED_VALUE"""),402.0)</f>
        <v>402</v>
      </c>
      <c r="D25" s="331">
        <f>IFERROR(__xludf.DUMMYFUNCTION("""COMPUTED_VALUE"""),0.09994834075422498)</f>
        <v>0.09994834075</v>
      </c>
      <c r="E25" s="331">
        <f>IFERROR(__xludf.DUMMYFUNCTION("""COMPUTED_VALUE"""),0.09722312544709631)</f>
        <v>0.09722312545</v>
      </c>
      <c r="F25" s="331">
        <f>IFERROR(__xludf.DUMMYFUNCTION("""COMPUTED_VALUE"""),0.0778092832634388)</f>
        <v>0.07780928326</v>
      </c>
      <c r="G25" s="331">
        <f>IFERROR(__xludf.DUMMYFUNCTION("""COMPUTED_VALUE"""),0.07886016477904628)</f>
        <v>0.07886016478</v>
      </c>
      <c r="H25" s="331">
        <f>IFERROR(__xludf.DUMMYFUNCTION("""COMPUTED_VALUE"""),0.08519960498984097)</f>
        <v>0.08519960499</v>
      </c>
      <c r="I25" s="331">
        <f>IFERROR(__xludf.DUMMYFUNCTION("""COMPUTED_VALUE"""),0.08242153359368949)</f>
        <v>0.08242153359</v>
      </c>
      <c r="J25" s="331">
        <f>IFERROR(__xludf.DUMMYFUNCTION("""COMPUTED_VALUE"""),0.08536291822578175)</f>
        <v>0.08536291823</v>
      </c>
      <c r="K25" s="331">
        <f>IFERROR(__xludf.DUMMYFUNCTION("""COMPUTED_VALUE"""),0.08841603933015824)</f>
        <v>0.08841603933</v>
      </c>
      <c r="L25" s="331">
        <f>IFERROR(__xludf.DUMMYFUNCTION("""COMPUTED_VALUE"""),0.08285983833272582)</f>
        <v>0.08285983833</v>
      </c>
      <c r="M25" s="331">
        <f>IFERROR(__xludf.DUMMYFUNCTION("""COMPUTED_VALUE"""),0.09542536841153602)</f>
        <v>0.09542536841</v>
      </c>
      <c r="N25" s="331">
        <f>IFERROR(__xludf.DUMMYFUNCTION("""COMPUTED_VALUE"""),0.08127101884853022)</f>
        <v>0.08127101885</v>
      </c>
      <c r="O25" s="331">
        <f>IFERROR(__xludf.DUMMYFUNCTION("""COMPUTED_VALUE"""),0.08117863546286685)</f>
        <v>0.08117863546</v>
      </c>
      <c r="P25" s="331">
        <f>IFERROR(__xludf.DUMMYFUNCTION("""COMPUTED_VALUE"""),0.08691405042474003)</f>
        <v>0.08691405042</v>
      </c>
      <c r="Q25" s="331">
        <f>IFERROR(__xludf.DUMMYFUNCTION("""COMPUTED_VALUE"""),0.08152579441657018)</f>
        <v>0.08152579442</v>
      </c>
      <c r="R25" s="331">
        <f>IFERROR(__xludf.DUMMYFUNCTION("""COMPUTED_VALUE"""),0.07316391390478968)</f>
        <v>0.0731639139</v>
      </c>
      <c r="S25" s="331">
        <f>IFERROR(__xludf.DUMMYFUNCTION("""COMPUTED_VALUE"""),0.0830144848319213)</f>
        <v>0.08301448483</v>
      </c>
      <c r="T25" s="331">
        <f>IFERROR(__xludf.DUMMYFUNCTION("""COMPUTED_VALUE"""),0.0902098111400437)</f>
        <v>0.09020981114</v>
      </c>
      <c r="U25" s="331">
        <f>IFERROR(__xludf.DUMMYFUNCTION("""COMPUTED_VALUE"""),0.08549568008252977)</f>
        <v>0.08549568008</v>
      </c>
      <c r="V25" s="331">
        <f>IFERROR(__xludf.DUMMYFUNCTION("""COMPUTED_VALUE"""),0.08957356191708447)</f>
        <v>0.08957356192</v>
      </c>
      <c r="W25" s="331">
        <f>IFERROR(__xludf.DUMMYFUNCTION("""COMPUTED_VALUE"""),0.08253893531050174)</f>
        <v>0.08253893531</v>
      </c>
      <c r="X25" s="331">
        <f>IFERROR(__xludf.DUMMYFUNCTION("""COMPUTED_VALUE"""),0.09050568425568425)</f>
        <v>0.09050568426</v>
      </c>
      <c r="Y25" s="331">
        <f>IFERROR(__xludf.DUMMYFUNCTION("""COMPUTED_VALUE"""),0.08415274596346164)</f>
        <v>0.08415274596</v>
      </c>
      <c r="Z25" s="331">
        <f>IFERROR(__xludf.DUMMYFUNCTION("""COMPUTED_VALUE"""),0.09251569030628015)</f>
        <v>0.09251569031</v>
      </c>
      <c r="AA25" s="331">
        <f>IFERROR(__xludf.DUMMYFUNCTION("""COMPUTED_VALUE"""),0.08482018121582245)</f>
        <v>0.08482018122</v>
      </c>
      <c r="AB25" s="331">
        <f>IFERROR(__xludf.DUMMYFUNCTION("""COMPUTED_VALUE"""),0.0894640390948688)</f>
        <v>0.08946403909</v>
      </c>
      <c r="AC25" s="331">
        <f>IFERROR(__xludf.DUMMYFUNCTION("""COMPUTED_VALUE"""),0.08928746859781342)</f>
        <v>0.0892874686</v>
      </c>
      <c r="AD25" s="331">
        <f>IFERROR(__xludf.DUMMYFUNCTION("""COMPUTED_VALUE"""),0.08856292517006803)</f>
        <v>0.08856292517</v>
      </c>
      <c r="AE25" s="331">
        <f>IFERROR(__xludf.DUMMYFUNCTION("""COMPUTED_VALUE"""),0.08553390902896556)</f>
        <v>0.08553390903</v>
      </c>
      <c r="AF25" s="331">
        <f>IFERROR(__xludf.DUMMYFUNCTION("""COMPUTED_VALUE"""),0.08438111204246997)</f>
        <v>0.08438111204</v>
      </c>
      <c r="AG25" s="331">
        <f>IFERROR(__xludf.DUMMYFUNCTION("""COMPUTED_VALUE"""),0.08333974487205133)</f>
        <v>0.08333974487</v>
      </c>
      <c r="AH25" s="331">
        <f>IFERROR(__xludf.DUMMYFUNCTION("""COMPUTED_VALUE"""),0.08103197674418605)</f>
        <v>0.08103197674</v>
      </c>
      <c r="AI25" s="331">
        <f>IFERROR(__xludf.DUMMYFUNCTION("""COMPUTED_VALUE"""),0.08052315305761754)</f>
        <v>0.08052315306</v>
      </c>
      <c r="AJ25" s="331">
        <f>IFERROR(__xludf.DUMMYFUNCTION("""COMPUTED_VALUE"""),0.08413344634495408)</f>
        <v>0.08413344634</v>
      </c>
      <c r="AK25" s="331">
        <f>IFERROR(__xludf.DUMMYFUNCTION("""COMPUTED_VALUE"""),0.07798576960698925)</f>
        <v>0.07798576961</v>
      </c>
      <c r="AL25" s="331">
        <f>IFERROR(__xludf.DUMMYFUNCTION("""COMPUTED_VALUE"""),0.09227347804034282)</f>
        <v>0.09227347804</v>
      </c>
      <c r="AM25" s="12"/>
      <c r="AN25" s="12"/>
      <c r="AO25" s="12"/>
      <c r="AP25" s="12"/>
      <c r="AQ25" s="12"/>
      <c r="AR25" s="12"/>
      <c r="AS25" s="12"/>
      <c r="AT25" s="12"/>
    </row>
    <row r="26">
      <c r="B26" s="292" t="s">
        <v>99</v>
      </c>
      <c r="C26" s="12">
        <f>IFERROR(__xludf.DUMMYFUNCTION("""COMPUTED_VALUE"""),403.0)</f>
        <v>403</v>
      </c>
      <c r="D26" s="331">
        <f>IFERROR(__xludf.DUMMYFUNCTION("""COMPUTED_VALUE"""),0.11028018990922732)</f>
        <v>0.1102801899</v>
      </c>
      <c r="E26" s="331">
        <f>IFERROR(__xludf.DUMMYFUNCTION("""COMPUTED_VALUE"""),0.11201794888469793)</f>
        <v>0.1120179489</v>
      </c>
      <c r="F26" s="331">
        <f>IFERROR(__xludf.DUMMYFUNCTION("""COMPUTED_VALUE"""),0.1064620663362562)</f>
        <v>0.1064620663</v>
      </c>
      <c r="G26" s="331">
        <f>IFERROR(__xludf.DUMMYFUNCTION("""COMPUTED_VALUE"""),0.10482534782904741)</f>
        <v>0.1048253478</v>
      </c>
      <c r="H26" s="331">
        <f>IFERROR(__xludf.DUMMYFUNCTION("""COMPUTED_VALUE"""),0.10616465567146052)</f>
        <v>0.1061646557</v>
      </c>
      <c r="I26" s="331">
        <f>IFERROR(__xludf.DUMMYFUNCTION("""COMPUTED_VALUE"""),0.09143811747004614)</f>
        <v>0.09143811747</v>
      </c>
      <c r="J26" s="331">
        <f>IFERROR(__xludf.DUMMYFUNCTION("""COMPUTED_VALUE"""),0.08022057375434911)</f>
        <v>0.08022057375</v>
      </c>
      <c r="K26" s="331">
        <f>IFERROR(__xludf.DUMMYFUNCTION("""COMPUTED_VALUE"""),0.07892368808024054)</f>
        <v>0.07892368808</v>
      </c>
      <c r="L26" s="331">
        <f>IFERROR(__xludf.DUMMYFUNCTION("""COMPUTED_VALUE"""),0.08129462467034028)</f>
        <v>0.08129462467</v>
      </c>
      <c r="M26" s="331">
        <f>IFERROR(__xludf.DUMMYFUNCTION("""COMPUTED_VALUE"""),0.07534354940782931)</f>
        <v>0.07534354941</v>
      </c>
      <c r="N26" s="331">
        <f>IFERROR(__xludf.DUMMYFUNCTION("""COMPUTED_VALUE"""),0.092086298783281)</f>
        <v>0.09208629878</v>
      </c>
      <c r="O26" s="331">
        <f>IFERROR(__xludf.DUMMYFUNCTION("""COMPUTED_VALUE"""),0.08437529489478154)</f>
        <v>0.08437529489</v>
      </c>
      <c r="P26" s="331">
        <f>IFERROR(__xludf.DUMMYFUNCTION("""COMPUTED_VALUE"""),0.07728166384330988)</f>
        <v>0.07728166384</v>
      </c>
      <c r="Q26" s="331">
        <f>IFERROR(__xludf.DUMMYFUNCTION("""COMPUTED_VALUE"""),0.09778721214460312)</f>
        <v>0.09778721214</v>
      </c>
      <c r="R26" s="331">
        <f>IFERROR(__xludf.DUMMYFUNCTION("""COMPUTED_VALUE"""),0.10143289459291939)</f>
        <v>0.1014328946</v>
      </c>
      <c r="S26" s="331">
        <f>IFERROR(__xludf.DUMMYFUNCTION("""COMPUTED_VALUE"""),0.09965837660562996)</f>
        <v>0.09965837661</v>
      </c>
      <c r="T26" s="331">
        <f>IFERROR(__xludf.DUMMYFUNCTION("""COMPUTED_VALUE"""),0.11006854030109844)</f>
        <v>0.1100685403</v>
      </c>
      <c r="U26" s="331">
        <f>IFERROR(__xludf.DUMMYFUNCTION("""COMPUTED_VALUE"""),0.0805238347685298)</f>
        <v>0.08052383477</v>
      </c>
      <c r="V26" s="331">
        <f>IFERROR(__xludf.DUMMYFUNCTION("""COMPUTED_VALUE"""),0.1018383740363362)</f>
        <v>0.101838374</v>
      </c>
      <c r="W26" s="331">
        <f>IFERROR(__xludf.DUMMYFUNCTION("""COMPUTED_VALUE"""),0.097001556104769)</f>
        <v>0.0970015561</v>
      </c>
      <c r="X26" s="331">
        <f>IFERROR(__xludf.DUMMYFUNCTION("""COMPUTED_VALUE"""),0.0956536894036894)</f>
        <v>0.0956536894</v>
      </c>
      <c r="Y26" s="331">
        <f>IFERROR(__xludf.DUMMYFUNCTION("""COMPUTED_VALUE"""),0.09323146544499693)</f>
        <v>0.09323146544</v>
      </c>
      <c r="Z26" s="331">
        <f>IFERROR(__xludf.DUMMYFUNCTION("""COMPUTED_VALUE"""),0.092703839589297)</f>
        <v>0.09270383959</v>
      </c>
      <c r="AA26" s="331">
        <f>IFERROR(__xludf.DUMMYFUNCTION("""COMPUTED_VALUE"""),0.09715403344908793)</f>
        <v>0.09715403345</v>
      </c>
      <c r="AB26" s="331">
        <f>IFERROR(__xludf.DUMMYFUNCTION("""COMPUTED_VALUE"""),0.0977504515032402)</f>
        <v>0.0977504515</v>
      </c>
      <c r="AC26" s="331">
        <f>IFERROR(__xludf.DUMMYFUNCTION("""COMPUTED_VALUE"""),0.09327326568705879)</f>
        <v>0.09327326569</v>
      </c>
      <c r="AD26" s="331">
        <f>IFERROR(__xludf.DUMMYFUNCTION("""COMPUTED_VALUE"""),0.09017857142857143)</f>
        <v>0.09017857143</v>
      </c>
      <c r="AE26" s="331">
        <f>IFERROR(__xludf.DUMMYFUNCTION("""COMPUTED_VALUE"""),0.09090150598640023)</f>
        <v>0.09090150599</v>
      </c>
      <c r="AF26" s="331">
        <f>IFERROR(__xludf.DUMMYFUNCTION("""COMPUTED_VALUE"""),0.08888104586697254)</f>
        <v>0.08888104587</v>
      </c>
      <c r="AG26" s="331">
        <f>IFERROR(__xludf.DUMMYFUNCTION("""COMPUTED_VALUE"""),0.09311092987828334)</f>
        <v>0.09311092988</v>
      </c>
      <c r="AH26" s="331">
        <f>IFERROR(__xludf.DUMMYFUNCTION("""COMPUTED_VALUE"""),0.0870124757751938)</f>
        <v>0.08701247578</v>
      </c>
      <c r="AI26" s="331">
        <f>IFERROR(__xludf.DUMMYFUNCTION("""COMPUTED_VALUE"""),0.08858253799929304)</f>
        <v>0.088582538</v>
      </c>
      <c r="AJ26" s="331">
        <f>IFERROR(__xludf.DUMMYFUNCTION("""COMPUTED_VALUE"""),0.09170615125957009)</f>
        <v>0.09170615126</v>
      </c>
      <c r="AK26" s="331">
        <f>IFERROR(__xludf.DUMMYFUNCTION("""COMPUTED_VALUE"""),0.08763349368208069)</f>
        <v>0.08763349368</v>
      </c>
      <c r="AL26" s="331">
        <f>IFERROR(__xludf.DUMMYFUNCTION("""COMPUTED_VALUE"""),0.0867591785774668)</f>
        <v>0.08675917858</v>
      </c>
      <c r="AM26" s="12"/>
      <c r="AN26" s="12"/>
      <c r="AO26" s="12"/>
      <c r="AP26" s="12"/>
      <c r="AQ26" s="12"/>
      <c r="AR26" s="12"/>
      <c r="AS26" s="12"/>
      <c r="AT26" s="12"/>
    </row>
    <row r="27">
      <c r="B27" s="292" t="s">
        <v>311</v>
      </c>
      <c r="C27" s="12">
        <f>IFERROR(__xludf.DUMMYFUNCTION("""COMPUTED_VALUE"""),404.0)</f>
        <v>404</v>
      </c>
      <c r="D27" s="331">
        <f>IFERROR(__xludf.DUMMYFUNCTION("""COMPUTED_VALUE"""),0.12444958303608768)</f>
        <v>0.124449583</v>
      </c>
      <c r="E27" s="331">
        <f>IFERROR(__xludf.DUMMYFUNCTION("""COMPUTED_VALUE"""),0.12292709891396242)</f>
        <v>0.1229270989</v>
      </c>
      <c r="F27" s="331">
        <f>IFERROR(__xludf.DUMMYFUNCTION("""COMPUTED_VALUE"""),0.10011199008768586)</f>
        <v>0.1001119901</v>
      </c>
      <c r="G27" s="331">
        <f>IFERROR(__xludf.DUMMYFUNCTION("""COMPUTED_VALUE"""),0.11571983022764928)</f>
        <v>0.1157198302</v>
      </c>
      <c r="H27" s="331">
        <f>IFERROR(__xludf.DUMMYFUNCTION("""COMPUTED_VALUE"""),0.11712959284441367)</f>
        <v>0.1171295928</v>
      </c>
      <c r="I27" s="331">
        <f>IFERROR(__xludf.DUMMYFUNCTION("""COMPUTED_VALUE"""),0.10551062629302238)</f>
        <v>0.1055106263</v>
      </c>
      <c r="J27" s="331">
        <f>IFERROR(__xludf.DUMMYFUNCTION("""COMPUTED_VALUE"""),0.12395238407842622)</f>
        <v>0.1239523841</v>
      </c>
      <c r="K27" s="331">
        <f>IFERROR(__xludf.DUMMYFUNCTION("""COMPUTED_VALUE"""),0.12138138401773368)</f>
        <v>0.121381384</v>
      </c>
      <c r="L27" s="331">
        <f>IFERROR(__xludf.DUMMYFUNCTION("""COMPUTED_VALUE"""),0.10494435987049465)</f>
        <v>0.1049443599</v>
      </c>
      <c r="M27" s="331">
        <f>IFERROR(__xludf.DUMMYFUNCTION("""COMPUTED_VALUE"""),0.10556233613597324)</f>
        <v>0.1055623361</v>
      </c>
      <c r="N27" s="331">
        <f>IFERROR(__xludf.DUMMYFUNCTION("""COMPUTED_VALUE"""),0.12273331620169156)</f>
        <v>0.1227333162</v>
      </c>
      <c r="O27" s="331">
        <f>IFERROR(__xludf.DUMMYFUNCTION("""COMPUTED_VALUE"""),0.11972728130603001)</f>
        <v>0.1197272813</v>
      </c>
      <c r="P27" s="331">
        <f>IFERROR(__xludf.DUMMYFUNCTION("""COMPUTED_VALUE"""),0.12237706032915806)</f>
        <v>0.1223770603</v>
      </c>
      <c r="Q27" s="331">
        <f>IFERROR(__xludf.DUMMYFUNCTION("""COMPUTED_VALUE"""),0.10294609545863888)</f>
        <v>0.1029460955</v>
      </c>
      <c r="R27" s="331">
        <f>IFERROR(__xludf.DUMMYFUNCTION("""COMPUTED_VALUE"""),0.11832622355100206)</f>
        <v>0.1183262236</v>
      </c>
      <c r="S27" s="331">
        <f>IFERROR(__xludf.DUMMYFUNCTION("""COMPUTED_VALUE"""),0.09961738179830555)</f>
        <v>0.0996173818</v>
      </c>
      <c r="T27" s="331">
        <f>IFERROR(__xludf.DUMMYFUNCTION("""COMPUTED_VALUE"""),0.11922720062254946)</f>
        <v>0.1192272006</v>
      </c>
      <c r="U27" s="331">
        <f>IFERROR(__xludf.DUMMYFUNCTION("""COMPUTED_VALUE"""),0.11463900391156706)</f>
        <v>0.1146390039</v>
      </c>
      <c r="V27" s="331">
        <f>IFERROR(__xludf.DUMMYFUNCTION("""COMPUTED_VALUE"""),0.11491185508652757)</f>
        <v>0.1149118551</v>
      </c>
      <c r="W27" s="331">
        <f>IFERROR(__xludf.DUMMYFUNCTION("""COMPUTED_VALUE"""),0.10329135773410224)</f>
        <v>0.1032913577</v>
      </c>
      <c r="X27" s="331">
        <f>IFERROR(__xludf.DUMMYFUNCTION("""COMPUTED_VALUE"""),0.12352531102531103)</f>
        <v>0.123525311</v>
      </c>
      <c r="Y27" s="331">
        <f>IFERROR(__xludf.DUMMYFUNCTION("""COMPUTED_VALUE"""),0.11055086876361808)</f>
        <v>0.1105508688</v>
      </c>
      <c r="Z27" s="331">
        <f>IFERROR(__xludf.DUMMYFUNCTION("""COMPUTED_VALUE"""),0.11485169804727922)</f>
        <v>0.114851698</v>
      </c>
      <c r="AA27" s="331">
        <f>IFERROR(__xludf.DUMMYFUNCTION("""COMPUTED_VALUE"""),0.1168589257440892)</f>
        <v>0.1168589257</v>
      </c>
      <c r="AB27" s="331">
        <f>IFERROR(__xludf.DUMMYFUNCTION("""COMPUTED_VALUE"""),0.11523956230744714)</f>
        <v>0.1152395623</v>
      </c>
      <c r="AC27" s="331">
        <f>IFERROR(__xludf.DUMMYFUNCTION("""COMPUTED_VALUE"""),0.1053288984323467)</f>
        <v>0.1053288984</v>
      </c>
      <c r="AD27" s="331">
        <f>IFERROR(__xludf.DUMMYFUNCTION("""COMPUTED_VALUE"""),0.11152210884353742)</f>
        <v>0.1115221088</v>
      </c>
      <c r="AE27" s="331">
        <f>IFERROR(__xludf.DUMMYFUNCTION("""COMPUTED_VALUE"""),0.11662703544560789)</f>
        <v>0.1166270354</v>
      </c>
      <c r="AF27" s="331">
        <f>IFERROR(__xludf.DUMMYFUNCTION("""COMPUTED_VALUE"""),0.10877781209099867)</f>
        <v>0.1087778121</v>
      </c>
      <c r="AG27" s="331">
        <f>IFERROR(__xludf.DUMMYFUNCTION("""COMPUTED_VALUE"""),0.11728499546063059)</f>
        <v>0.1172849955</v>
      </c>
      <c r="AH27" s="331">
        <f>IFERROR(__xludf.DUMMYFUNCTION("""COMPUTED_VALUE"""),0.12045784883720931)</f>
        <v>0.1204578488</v>
      </c>
      <c r="AI27" s="331">
        <f>IFERROR(__xludf.DUMMYFUNCTION("""COMPUTED_VALUE"""),0.11165782962177448)</f>
        <v>0.1116578296</v>
      </c>
      <c r="AJ27" s="331">
        <f>IFERROR(__xludf.DUMMYFUNCTION("""COMPUTED_VALUE"""),0.11657797107087774)</f>
        <v>0.1165779711</v>
      </c>
      <c r="AK27" s="331">
        <f>IFERROR(__xludf.DUMMYFUNCTION("""COMPUTED_VALUE"""),0.11860000803977007)</f>
        <v>0.118600008</v>
      </c>
      <c r="AL27" s="331">
        <f>IFERROR(__xludf.DUMMYFUNCTION("""COMPUTED_VALUE"""),0.11560520737147391)</f>
        <v>0.1156052074</v>
      </c>
      <c r="AM27" s="12"/>
      <c r="AN27" s="12"/>
      <c r="AO27" s="12"/>
      <c r="AP27" s="12"/>
      <c r="AQ27" s="12"/>
      <c r="AR27" s="12"/>
      <c r="AS27" s="12"/>
      <c r="AT27" s="12"/>
    </row>
    <row r="28">
      <c r="B28" s="292" t="s">
        <v>309</v>
      </c>
      <c r="C28" s="12">
        <f>IFERROR(__xludf.DUMMYFUNCTION("""COMPUTED_VALUE"""),405.0)</f>
        <v>405</v>
      </c>
      <c r="D28" s="331">
        <f>IFERROR(__xludf.DUMMYFUNCTION("""COMPUTED_VALUE"""),0.1009077267471895)</f>
        <v>0.1009077267</v>
      </c>
      <c r="E28" s="331">
        <f>IFERROR(__xludf.DUMMYFUNCTION("""COMPUTED_VALUE"""),0.1048969239773688)</f>
        <v>0.104896924</v>
      </c>
      <c r="F28" s="331">
        <f>IFERROR(__xludf.DUMMYFUNCTION("""COMPUTED_VALUE"""),0.08079965688143348)</f>
        <v>0.08079965688</v>
      </c>
      <c r="G28" s="331">
        <f>IFERROR(__xludf.DUMMYFUNCTION("""COMPUTED_VALUE"""),0.07598901473024808)</f>
        <v>0.07598901473</v>
      </c>
      <c r="H28" s="331">
        <f>IFERROR(__xludf.DUMMYFUNCTION("""COMPUTED_VALUE"""),0.10090920441775729)</f>
        <v>0.1009092044</v>
      </c>
      <c r="I28" s="331">
        <f>IFERROR(__xludf.DUMMYFUNCTION("""COMPUTED_VALUE"""),0.08547500248924095)</f>
        <v>0.08547500249</v>
      </c>
      <c r="J28" s="331">
        <f>IFERROR(__xludf.DUMMYFUNCTION("""COMPUTED_VALUE"""),0.09810936781986476)</f>
        <v>0.09810936782</v>
      </c>
      <c r="K28" s="331">
        <f>IFERROR(__xludf.DUMMYFUNCTION("""COMPUTED_VALUE"""),0.10068476614797094)</f>
        <v>0.1006847661</v>
      </c>
      <c r="L28" s="331">
        <f>IFERROR(__xludf.DUMMYFUNCTION("""COMPUTED_VALUE"""),0.08090868157550547)</f>
        <v>0.08090868158</v>
      </c>
      <c r="M28" s="331">
        <f>IFERROR(__xludf.DUMMYFUNCTION("""COMPUTED_VALUE"""),0.08907422475363891)</f>
        <v>0.08907422475</v>
      </c>
      <c r="N28" s="331">
        <f>IFERROR(__xludf.DUMMYFUNCTION("""COMPUTED_VALUE"""),0.0935164184440745)</f>
        <v>0.09351641844</v>
      </c>
      <c r="O28" s="331">
        <f>IFERROR(__xludf.DUMMYFUNCTION("""COMPUTED_VALUE"""),0.08692318580730396)</f>
        <v>0.08692318581</v>
      </c>
      <c r="P28" s="331">
        <f>IFERROR(__xludf.DUMMYFUNCTION("""COMPUTED_VALUE"""),0.08233897592521608)</f>
        <v>0.08233897593</v>
      </c>
      <c r="Q28" s="331">
        <f>IFERROR(__xludf.DUMMYFUNCTION("""COMPUTED_VALUE"""),0.09909944680303615)</f>
        <v>0.0990994468</v>
      </c>
      <c r="R28" s="331">
        <f>IFERROR(__xludf.DUMMYFUNCTION("""COMPUTED_VALUE"""),0.08302038137601633)</f>
        <v>0.08302038138</v>
      </c>
      <c r="S28" s="331">
        <f>IFERROR(__xludf.DUMMYFUNCTION("""COMPUTED_VALUE"""),0.09982235583492757)</f>
        <v>0.09982235583</v>
      </c>
      <c r="T28" s="331">
        <f>IFERROR(__xludf.DUMMYFUNCTION("""COMPUTED_VALUE"""),0.08534614348567837)</f>
        <v>0.08534614349</v>
      </c>
      <c r="U28" s="331">
        <f>IFERROR(__xludf.DUMMYFUNCTION("""COMPUTED_VALUE"""),0.08738698723367673)</f>
        <v>0.08738698723</v>
      </c>
      <c r="V28" s="331">
        <f>IFERROR(__xludf.DUMMYFUNCTION("""COMPUTED_VALUE"""),0.08217424119898648)</f>
        <v>0.0821742412</v>
      </c>
      <c r="W28" s="331">
        <f>IFERROR(__xludf.DUMMYFUNCTION("""COMPUTED_VALUE"""),0.09755076955265257)</f>
        <v>0.09755076955</v>
      </c>
      <c r="X28" s="331">
        <f>IFERROR(__xludf.DUMMYFUNCTION("""COMPUTED_VALUE"""),0.09104193479193479)</f>
        <v>0.09104193479</v>
      </c>
      <c r="Y28" s="331">
        <f>IFERROR(__xludf.DUMMYFUNCTION("""COMPUTED_VALUE"""),0.09412537013240964)</f>
        <v>0.09412537013</v>
      </c>
      <c r="Z28" s="331">
        <f>IFERROR(__xludf.DUMMYFUNCTION("""COMPUTED_VALUE"""),0.09317421279683909)</f>
        <v>0.0931742128</v>
      </c>
      <c r="AA28" s="331">
        <f>IFERROR(__xludf.DUMMYFUNCTION("""COMPUTED_VALUE"""),0.09833818970449314)</f>
        <v>0.0983381897</v>
      </c>
      <c r="AB28" s="331">
        <f>IFERROR(__xludf.DUMMYFUNCTION("""COMPUTED_VALUE"""),0.09702007861468183)</f>
        <v>0.09702007861</v>
      </c>
      <c r="AC28" s="331">
        <f>IFERROR(__xludf.DUMMYFUNCTION("""COMPUTED_VALUE"""),0.09794675311916691)</f>
        <v>0.09794675312</v>
      </c>
      <c r="AD28" s="331">
        <f>IFERROR(__xludf.DUMMYFUNCTION("""COMPUTED_VALUE"""),0.08905895691609977)</f>
        <v>0.08905895692</v>
      </c>
      <c r="AE28" s="331">
        <f>IFERROR(__xludf.DUMMYFUNCTION("""COMPUTED_VALUE"""),0.09921710956294412)</f>
        <v>0.09921710956</v>
      </c>
      <c r="AF28" s="331">
        <f>IFERROR(__xludf.DUMMYFUNCTION("""COMPUTED_VALUE"""),0.0982338495022132)</f>
        <v>0.0982338495</v>
      </c>
      <c r="AG28" s="331">
        <f>IFERROR(__xludf.DUMMYFUNCTION("""COMPUTED_VALUE"""),0.09443427146967855)</f>
        <v>0.09443427147</v>
      </c>
      <c r="AH28" s="331">
        <f>IFERROR(__xludf.DUMMYFUNCTION("""COMPUTED_VALUE"""),0.10171390503875968)</f>
        <v>0.101713905</v>
      </c>
      <c r="AI28" s="331">
        <f>IFERROR(__xludf.DUMMYFUNCTION("""COMPUTED_VALUE"""),0.0927112053729233)</f>
        <v>0.09271120537</v>
      </c>
      <c r="AJ28" s="331">
        <f>IFERROR(__xludf.DUMMYFUNCTION("""COMPUTED_VALUE"""),0.09962622795926024)</f>
        <v>0.09962622796</v>
      </c>
      <c r="AK28" s="331">
        <f>IFERROR(__xludf.DUMMYFUNCTION("""COMPUTED_VALUE"""),0.09559286604403114)</f>
        <v>0.09559286604</v>
      </c>
      <c r="AL28" s="331">
        <f>IFERROR(__xludf.DUMMYFUNCTION("""COMPUTED_VALUE"""),0.09379511256193833)</f>
        <v>0.09379511256</v>
      </c>
      <c r="AM28" s="12"/>
      <c r="AN28" s="12"/>
      <c r="AO28" s="12"/>
      <c r="AP28" s="12"/>
      <c r="AQ28" s="12"/>
      <c r="AR28" s="12"/>
      <c r="AS28" s="12"/>
      <c r="AT28" s="12"/>
    </row>
    <row r="29">
      <c r="B29" s="292" t="s">
        <v>99</v>
      </c>
      <c r="C29" s="12">
        <f>IFERROR(__xludf.DUMMYFUNCTION("""COMPUTED_VALUE"""),406.0)</f>
        <v>406</v>
      </c>
      <c r="D29" s="331">
        <f>IFERROR(__xludf.DUMMYFUNCTION("""COMPUTED_VALUE"""),0.07399571966249292)</f>
        <v>0.07399571966</v>
      </c>
      <c r="E29" s="331">
        <f>IFERROR(__xludf.DUMMYFUNCTION("""COMPUTED_VALUE"""),0.08054236847239384)</f>
        <v>0.08054236847</v>
      </c>
      <c r="F29" s="331">
        <f>IFERROR(__xludf.DUMMYFUNCTION("""COMPUTED_VALUE"""),0.070041460160122)</f>
        <v>0.07004146016</v>
      </c>
      <c r="G29" s="331">
        <f>IFERROR(__xludf.DUMMYFUNCTION("""COMPUTED_VALUE"""),0.06232551805533489)</f>
        <v>0.06232551806</v>
      </c>
      <c r="H29" s="331">
        <f>IFERROR(__xludf.DUMMYFUNCTION("""COMPUTED_VALUE"""),0.07600540301252001)</f>
        <v>0.07600540301</v>
      </c>
      <c r="I29" s="331">
        <f>IFERROR(__xludf.DUMMYFUNCTION("""COMPUTED_VALUE"""),0.08496609100664904)</f>
        <v>0.08496609101</v>
      </c>
      <c r="J29" s="331">
        <f>IFERROR(__xludf.DUMMYFUNCTION("""COMPUTED_VALUE"""),0.0638854241887131)</f>
        <v>0.06388542419</v>
      </c>
      <c r="K29" s="331">
        <f>IFERROR(__xludf.DUMMYFUNCTION("""COMPUTED_VALUE"""),0.07468779492131773)</f>
        <v>0.07468779492</v>
      </c>
      <c r="L29" s="331">
        <f>IFERROR(__xludf.DUMMYFUNCTION("""COMPUTED_VALUE"""),0.08609747207272883)</f>
        <v>0.08609747207</v>
      </c>
      <c r="M29" s="331">
        <f>IFERROR(__xludf.DUMMYFUNCTION("""COMPUTED_VALUE"""),0.09341379622095651)</f>
        <v>0.09341379622</v>
      </c>
      <c r="N29" s="331">
        <f>IFERROR(__xludf.DUMMYFUNCTION("""COMPUTED_VALUE"""),0.07428801269231199)</f>
        <v>0.07428801269</v>
      </c>
      <c r="O29" s="331">
        <f>IFERROR(__xludf.DUMMYFUNCTION("""COMPUTED_VALUE"""),0.07111682551665566)</f>
        <v>0.07111682552</v>
      </c>
      <c r="P29" s="331">
        <f>IFERROR(__xludf.DUMMYFUNCTION("""COMPUTED_VALUE"""),0.07353504878018621)</f>
        <v>0.07353504878</v>
      </c>
      <c r="Q29" s="331">
        <f>IFERROR(__xludf.DUMMYFUNCTION("""COMPUTED_VALUE"""),0.06593335906342468)</f>
        <v>0.06593335906</v>
      </c>
      <c r="R29" s="331">
        <f>IFERROR(__xludf.DUMMYFUNCTION("""COMPUTED_VALUE"""),0.07592275251880751)</f>
        <v>0.07592275252</v>
      </c>
      <c r="S29" s="331">
        <f>IFERROR(__xludf.DUMMYFUNCTION("""COMPUTED_VALUE"""),0.0676414320852692)</f>
        <v>0.06764143209</v>
      </c>
      <c r="T29" s="331">
        <f>IFERROR(__xludf.DUMMYFUNCTION("""COMPUTED_VALUE"""),0.0800035916314986)</f>
        <v>0.08000359163</v>
      </c>
      <c r="U29" s="331">
        <f>IFERROR(__xludf.DUMMYFUNCTION("""COMPUTED_VALUE"""),0.08025160116344046)</f>
        <v>0.08025160116</v>
      </c>
      <c r="V29" s="331">
        <f>IFERROR(__xludf.DUMMYFUNCTION("""COMPUTED_VALUE"""),0.08194511833522022)</f>
        <v>0.08194511834</v>
      </c>
      <c r="W29" s="331">
        <f>IFERROR(__xludf.DUMMYFUNCTION("""COMPUTED_VALUE"""),0.07388228525100363)</f>
        <v>0.07388228525</v>
      </c>
      <c r="X29" s="331">
        <f>IFERROR(__xludf.DUMMYFUNCTION("""COMPUTED_VALUE"""),0.06628056628056628)</f>
        <v>0.06628056628</v>
      </c>
      <c r="Y29" s="331">
        <f>IFERROR(__xludf.DUMMYFUNCTION("""COMPUTED_VALUE"""),0.08042348734566176)</f>
        <v>0.08042348735</v>
      </c>
      <c r="Z29" s="331">
        <f>IFERROR(__xludf.DUMMYFUNCTION("""COMPUTED_VALUE"""),0.08380706634950073)</f>
        <v>0.08380706635</v>
      </c>
      <c r="AA29" s="331">
        <f>IFERROR(__xludf.DUMMYFUNCTION("""COMPUTED_VALUE"""),0.065514442714778)</f>
        <v>0.06551444271</v>
      </c>
      <c r="AB29" s="331">
        <f>IFERROR(__xludf.DUMMYFUNCTION("""COMPUTED_VALUE"""),0.0806198873897801)</f>
        <v>0.08061988739</v>
      </c>
      <c r="AC29" s="331">
        <f>IFERROR(__xludf.DUMMYFUNCTION("""COMPUTED_VALUE"""),0.07010231148162183)</f>
        <v>0.07010231148</v>
      </c>
      <c r="AD29" s="331">
        <f>IFERROR(__xludf.DUMMYFUNCTION("""COMPUTED_VALUE"""),0.06998299319727891)</f>
        <v>0.0699829932</v>
      </c>
      <c r="AE29" s="331">
        <f>IFERROR(__xludf.DUMMYFUNCTION("""COMPUTED_VALUE"""),0.07139182067220114)</f>
        <v>0.07139182067</v>
      </c>
      <c r="AF29" s="331">
        <f>IFERROR(__xludf.DUMMYFUNCTION("""COMPUTED_VALUE"""),0.08441052337465625)</f>
        <v>0.08441052337</v>
      </c>
      <c r="AG29" s="331">
        <f>IFERROR(__xludf.DUMMYFUNCTION("""COMPUTED_VALUE"""),0.06538230723067691)</f>
        <v>0.06538230723</v>
      </c>
      <c r="AH29" s="331">
        <f>IFERROR(__xludf.DUMMYFUNCTION("""COMPUTED_VALUE"""),0.06993398740310078)</f>
        <v>0.0699339874</v>
      </c>
      <c r="AI29" s="331">
        <f>IFERROR(__xludf.DUMMYFUNCTION("""COMPUTED_VALUE"""),0.08513255567338282)</f>
        <v>0.08513255567</v>
      </c>
      <c r="AJ29" s="331">
        <f>IFERROR(__xludf.DUMMYFUNCTION("""COMPUTED_VALUE"""),0.06167933415776237)</f>
        <v>0.06167933416</v>
      </c>
      <c r="AK29" s="331">
        <f>IFERROR(__xludf.DUMMYFUNCTION("""COMPUTED_VALUE"""),0.06482734593790618)</f>
        <v>0.06482734594</v>
      </c>
      <c r="AL29" s="331">
        <f>IFERROR(__xludf.DUMMYFUNCTION("""COMPUTED_VALUE"""),0.06042319647292921)</f>
        <v>0.06042319647</v>
      </c>
      <c r="AM29" s="12"/>
      <c r="AN29" s="12"/>
      <c r="AO29" s="12"/>
      <c r="AP29" s="12"/>
      <c r="AQ29" s="12"/>
      <c r="AR29" s="12"/>
      <c r="AS29" s="12"/>
      <c r="AT29" s="12"/>
    </row>
    <row r="30">
      <c r="B30" s="292" t="s">
        <v>99</v>
      </c>
      <c r="C30" s="12">
        <f>IFERROR(__xludf.DUMMYFUNCTION("""COMPUTED_VALUE"""),407.0)</f>
        <v>407</v>
      </c>
      <c r="D30" s="331">
        <f>IFERROR(__xludf.DUMMYFUNCTION("""COMPUTED_VALUE"""),0.05404541093700032)</f>
        <v>0.05404541094</v>
      </c>
      <c r="E30" s="331">
        <f>IFERROR(__xludf.DUMMYFUNCTION("""COMPUTED_VALUE"""),0.057927424074917085)</f>
        <v>0.05792742407</v>
      </c>
      <c r="F30" s="331">
        <f>IFERROR(__xludf.DUMMYFUNCTION("""COMPUTED_VALUE"""),0.0474885627144491)</f>
        <v>0.04748856271</v>
      </c>
      <c r="G30" s="331">
        <f>IFERROR(__xludf.DUMMYFUNCTION("""COMPUTED_VALUE"""),0.05258857441158447)</f>
        <v>0.05258857441</v>
      </c>
      <c r="H30" s="331">
        <f>IFERROR(__xludf.DUMMYFUNCTION("""COMPUTED_VALUE"""),0.060613627850486386)</f>
        <v>0.06061362785</v>
      </c>
      <c r="I30" s="331">
        <f>IFERROR(__xludf.DUMMYFUNCTION("""COMPUTED_VALUE"""),0.052561705517264266)</f>
        <v>0.05256170552</v>
      </c>
      <c r="J30" s="331">
        <f>IFERROR(__xludf.DUMMYFUNCTION("""COMPUTED_VALUE"""),0.06274754370992801)</f>
        <v>0.06274754371</v>
      </c>
      <c r="K30" s="331">
        <f>IFERROR(__xludf.DUMMYFUNCTION("""COMPUTED_VALUE"""),0.053442486227860325)</f>
        <v>0.05344248623</v>
      </c>
      <c r="L30" s="331">
        <f>IFERROR(__xludf.DUMMYFUNCTION("""COMPUTED_VALUE"""),0.058170200904822146)</f>
        <v>0.0581702009</v>
      </c>
      <c r="M30" s="331">
        <f>IFERROR(__xludf.DUMMYFUNCTION("""COMPUTED_VALUE"""),0.05562336135973239)</f>
        <v>0.05562336136</v>
      </c>
      <c r="N30" s="331">
        <f>IFERROR(__xludf.DUMMYFUNCTION("""COMPUTED_VALUE"""),0.0521099851401629)</f>
        <v>0.05210998514</v>
      </c>
      <c r="O30" s="331">
        <f>IFERROR(__xludf.DUMMYFUNCTION("""COMPUTED_VALUE"""),0.059757478531659906)</f>
        <v>0.05975747853</v>
      </c>
      <c r="P30" s="331">
        <f>IFERROR(__xludf.DUMMYFUNCTION("""COMPUTED_VALUE"""),0.057151336045404524)</f>
        <v>0.05715133605</v>
      </c>
      <c r="Q30" s="331">
        <f>IFERROR(__xludf.DUMMYFUNCTION("""COMPUTED_VALUE"""),0.05561559243535315)</f>
        <v>0.05561559244</v>
      </c>
      <c r="R30" s="331">
        <f>IFERROR(__xludf.DUMMYFUNCTION("""COMPUTED_VALUE"""),0.05201686902200994)</f>
        <v>0.05201686902</v>
      </c>
      <c r="S30" s="331">
        <f>IFERROR(__xludf.DUMMYFUNCTION("""COMPUTED_VALUE"""),0.06136922656463514)</f>
        <v>0.06136922656</v>
      </c>
      <c r="T30" s="331">
        <f>IFERROR(__xludf.DUMMYFUNCTION("""COMPUTED_VALUE"""),0.05086648109903924)</f>
        <v>0.0508664811</v>
      </c>
      <c r="U30" s="331">
        <f>IFERROR(__xludf.DUMMYFUNCTION("""COMPUTED_VALUE"""),0.0699067241700457)</f>
        <v>0.06990672417</v>
      </c>
      <c r="V30" s="331">
        <f>IFERROR(__xludf.DUMMYFUNCTION("""COMPUTED_VALUE"""),0.05463906410049059)</f>
        <v>0.0546390641</v>
      </c>
      <c r="W30" s="331">
        <f>IFERROR(__xludf.DUMMYFUNCTION("""COMPUTED_VALUE"""),0.06224419076013756)</f>
        <v>0.06224419076</v>
      </c>
      <c r="X30" s="331">
        <f>IFERROR(__xludf.DUMMYFUNCTION("""COMPUTED_VALUE"""),0.057526276276276274)</f>
        <v>0.05752627628</v>
      </c>
      <c r="Y30" s="331">
        <f>IFERROR(__xludf.DUMMYFUNCTION("""COMPUTED_VALUE"""),0.0541231353706911)</f>
        <v>0.05412313537</v>
      </c>
      <c r="Z30" s="331">
        <f>IFERROR(__xludf.DUMMYFUNCTION("""COMPUTED_VALUE"""),0.05206359445765969)</f>
        <v>0.05206359446</v>
      </c>
      <c r="AA30" s="331">
        <f>IFERROR(__xludf.DUMMYFUNCTION("""COMPUTED_VALUE"""),0.054231695472265466)</f>
        <v>0.05423169547</v>
      </c>
      <c r="AB30" s="331">
        <f>IFERROR(__xludf.DUMMYFUNCTION("""COMPUTED_VALUE"""),0.04827100818017635)</f>
        <v>0.04827100818</v>
      </c>
      <c r="AC30" s="331">
        <f>IFERROR(__xludf.DUMMYFUNCTION("""COMPUTED_VALUE"""),0.04361921603300914)</f>
        <v>0.04361921603</v>
      </c>
      <c r="AD30" s="331">
        <f>IFERROR(__xludf.DUMMYFUNCTION("""COMPUTED_VALUE"""),0.04774659863945578)</f>
        <v>0.04774659864</v>
      </c>
      <c r="AE30" s="331">
        <f>IFERROR(__xludf.DUMMYFUNCTION("""COMPUTED_VALUE"""),0.051520587376413164)</f>
        <v>0.05152058738</v>
      </c>
      <c r="AF30" s="331">
        <f>IFERROR(__xludf.DUMMYFUNCTION("""COMPUTED_VALUE"""),0.04427876060646167)</f>
        <v>0.04427876061</v>
      </c>
      <c r="AG30" s="331">
        <f>IFERROR(__xludf.DUMMYFUNCTION("""COMPUTED_VALUE"""),0.04965608506316648)</f>
        <v>0.04965608506</v>
      </c>
      <c r="AH30" s="331">
        <f>IFERROR(__xludf.DUMMYFUNCTION("""COMPUTED_VALUE"""),0.04823764534883721)</f>
        <v>0.04823764535</v>
      </c>
      <c r="AI30" s="331">
        <f>IFERROR(__xludf.DUMMYFUNCTION("""COMPUTED_VALUE"""),0.04907741251325557)</f>
        <v>0.04907741251</v>
      </c>
      <c r="AJ30" s="331">
        <f>IFERROR(__xludf.DUMMYFUNCTION("""COMPUTED_VALUE"""),0.04711750892745488)</f>
        <v>0.04711750893</v>
      </c>
      <c r="AK30" s="331">
        <f>IFERROR(__xludf.DUMMYFUNCTION("""COMPUTED_VALUE"""),0.04770263570461885)</f>
        <v>0.0477026357</v>
      </c>
      <c r="AL30" s="331">
        <f>IFERROR(__xludf.DUMMYFUNCTION("""COMPUTED_VALUE"""),0.049485635510007675)</f>
        <v>0.04948563551</v>
      </c>
      <c r="AM30" s="12"/>
      <c r="AN30" s="12"/>
      <c r="AO30" s="12"/>
      <c r="AP30" s="12"/>
      <c r="AQ30" s="12"/>
      <c r="AR30" s="12"/>
      <c r="AS30" s="12"/>
      <c r="AT30" s="12"/>
    </row>
    <row r="31">
      <c r="B31" s="292" t="s">
        <v>99</v>
      </c>
      <c r="C31" s="12">
        <f>IFERROR(__xludf.DUMMYFUNCTION("""COMPUTED_VALUE"""),408.0)</f>
        <v>408</v>
      </c>
      <c r="D31" s="331">
        <f>IFERROR(__xludf.DUMMYFUNCTION("""COMPUTED_VALUE"""),0.06774741088780104)</f>
        <v>0.06774741089</v>
      </c>
      <c r="E31" s="331">
        <f>IFERROR(__xludf.DUMMYFUNCTION("""COMPUTED_VALUE"""),0.060740066332834755)</f>
        <v>0.06074006633</v>
      </c>
      <c r="F31" s="331">
        <f>IFERROR(__xludf.DUMMYFUNCTION("""COMPUTED_VALUE"""),0.08608940144872283)</f>
        <v>0.08608940145</v>
      </c>
      <c r="G31" s="331">
        <f>IFERROR(__xludf.DUMMYFUNCTION("""COMPUTED_VALUE"""),0.07749835447922104)</f>
        <v>0.07749835448</v>
      </c>
      <c r="H31" s="331">
        <f>IFERROR(__xludf.DUMMYFUNCTION("""COMPUTED_VALUE"""),0.06609609643696296)</f>
        <v>0.06609609644</v>
      </c>
      <c r="I31" s="331">
        <f>IFERROR(__xludf.DUMMYFUNCTION("""COMPUTED_VALUE"""),0.07652479837148325)</f>
        <v>0.07652479837</v>
      </c>
      <c r="J31" s="331">
        <f>IFERROR(__xludf.DUMMYFUNCTION("""COMPUTED_VALUE"""),0.07395128996258124)</f>
        <v>0.07395128996</v>
      </c>
      <c r="K31" s="331">
        <f>IFERROR(__xludf.DUMMYFUNCTION("""COMPUTED_VALUE"""),0.08025151987358163)</f>
        <v>0.08025151987</v>
      </c>
      <c r="L31" s="331">
        <f>IFERROR(__xludf.DUMMYFUNCTION("""COMPUTED_VALUE"""),0.06970561118377323)</f>
        <v>0.06970561118</v>
      </c>
      <c r="M31" s="331">
        <f>IFERROR(__xludf.DUMMYFUNCTION("""COMPUTED_VALUE"""),0.06562471747581593)</f>
        <v>0.06562471748</v>
      </c>
      <c r="N31" s="331">
        <f>IFERROR(__xludf.DUMMYFUNCTION("""COMPUTED_VALUE"""),0.08062299587723316)</f>
        <v>0.08062299588</v>
      </c>
      <c r="O31" s="331">
        <f>IFERROR(__xludf.DUMMYFUNCTION("""COMPUTED_VALUE"""),0.07472633764272907)</f>
        <v>0.07472633764</v>
      </c>
      <c r="P31" s="331">
        <f>IFERROR(__xludf.DUMMYFUNCTION("""COMPUTED_VALUE"""),0.07834505953779382)</f>
        <v>0.07834505954</v>
      </c>
      <c r="Q31" s="331">
        <f>IFERROR(__xludf.DUMMYFUNCTION("""COMPUTED_VALUE"""),0.0678631159140615)</f>
        <v>0.06786311591</v>
      </c>
      <c r="R31" s="331">
        <f>IFERROR(__xludf.DUMMYFUNCTION("""COMPUTED_VALUE"""),0.07943510652520022)</f>
        <v>0.07943510653</v>
      </c>
      <c r="S31" s="331">
        <f>IFERROR(__xludf.DUMMYFUNCTION("""COMPUTED_VALUE"""),0.06340530199508063)</f>
        <v>0.063405302</v>
      </c>
      <c r="T31" s="331">
        <f>IFERROR(__xludf.DUMMYFUNCTION("""COMPUTED_VALUE"""),0.07811798509472928)</f>
        <v>0.07811798509</v>
      </c>
      <c r="U31" s="331">
        <f>IFERROR(__xludf.DUMMYFUNCTION("""COMPUTED_VALUE"""),0.05937558207843194)</f>
        <v>0.05937558208</v>
      </c>
      <c r="V31" s="331">
        <f>IFERROR(__xludf.DUMMYFUNCTION("""COMPUTED_VALUE"""),0.07769960644778694)</f>
        <v>0.07769960645</v>
      </c>
      <c r="W31" s="331">
        <f>IFERROR(__xludf.DUMMYFUNCTION("""COMPUTED_VALUE"""),0.06768401919631765)</f>
        <v>0.0676840192</v>
      </c>
      <c r="X31" s="331">
        <f>IFERROR(__xludf.DUMMYFUNCTION("""COMPUTED_VALUE"""),0.07861432861432861)</f>
        <v>0.07861432861</v>
      </c>
      <c r="Y31" s="331">
        <f>IFERROR(__xludf.DUMMYFUNCTION("""COMPUTED_VALUE"""),0.06205653947147886)</f>
        <v>0.06205653947</v>
      </c>
      <c r="Z31" s="331">
        <f>IFERROR(__xludf.DUMMYFUNCTION("""COMPUTED_VALUE"""),0.07469526535768523)</f>
        <v>0.07469526536</v>
      </c>
      <c r="AA31" s="331">
        <f>IFERROR(__xludf.DUMMYFUNCTION("""COMPUTED_VALUE"""),0.06524834018547346)</f>
        <v>0.06524834019</v>
      </c>
      <c r="AB31" s="331">
        <f>IFERROR(__xludf.DUMMYFUNCTION("""COMPUTED_VALUE"""),0.059771061298204614)</f>
        <v>0.0597710613</v>
      </c>
      <c r="AC31" s="331">
        <f>IFERROR(__xludf.DUMMYFUNCTION("""COMPUTED_VALUE"""),0.06370258094396025)</f>
        <v>0.06370258094</v>
      </c>
      <c r="AD31" s="331">
        <f>IFERROR(__xludf.DUMMYFUNCTION("""COMPUTED_VALUE"""),0.05646258503401361)</f>
        <v>0.05646258503</v>
      </c>
      <c r="AE31" s="331">
        <f>IFERROR(__xludf.DUMMYFUNCTION("""COMPUTED_VALUE"""),0.06067053244893135)</f>
        <v>0.06067053245</v>
      </c>
      <c r="AF31" s="331">
        <f>IFERROR(__xludf.DUMMYFUNCTION("""COMPUTED_VALUE"""),0.05569035749474272)</f>
        <v>0.05569035749</v>
      </c>
      <c r="AG31" s="331">
        <f>IFERROR(__xludf.DUMMYFUNCTION("""COMPUTED_VALUE"""),0.0625509717328081)</f>
        <v>0.06255097173</v>
      </c>
      <c r="AH31" s="331">
        <f>IFERROR(__xludf.DUMMYFUNCTION("""COMPUTED_VALUE"""),0.07477894864341085)</f>
        <v>0.07477894864</v>
      </c>
      <c r="AI31" s="331">
        <f>IFERROR(__xludf.DUMMYFUNCTION("""COMPUTED_VALUE"""),0.06101095793566631)</f>
        <v>0.06101095794</v>
      </c>
      <c r="AJ31" s="331">
        <f>IFERROR(__xludf.DUMMYFUNCTION("""COMPUTED_VALUE"""),0.06301324181244702)</f>
        <v>0.06301324181</v>
      </c>
      <c r="AK31" s="331">
        <f>IFERROR(__xludf.DUMMYFUNCTION("""COMPUTED_VALUE"""),0.07525224778571332)</f>
        <v>0.07525224779</v>
      </c>
      <c r="AL31" s="331">
        <f>IFERROR(__xludf.DUMMYFUNCTION("""COMPUTED_VALUE"""),0.06305029197175221)</f>
        <v>0.06305029197</v>
      </c>
      <c r="AM31" s="12"/>
      <c r="AN31" s="12"/>
      <c r="AO31" s="12"/>
      <c r="AP31" s="12"/>
      <c r="AQ31" s="12"/>
      <c r="AR31" s="12"/>
      <c r="AS31" s="12"/>
      <c r="AT31" s="12"/>
    </row>
    <row r="32">
      <c r="B32" s="292" t="s">
        <v>103</v>
      </c>
      <c r="C32" s="12">
        <f>IFERROR(__xludf.DUMMYFUNCTION("""COMPUTED_VALUE"""),409.0)</f>
        <v>409</v>
      </c>
      <c r="D32" s="331">
        <f>IFERROR(__xludf.DUMMYFUNCTION("""COMPUTED_VALUE"""),0.01633416152124179)</f>
        <v>0.01633416152</v>
      </c>
      <c r="E32" s="331">
        <f>IFERROR(__xludf.DUMMYFUNCTION("""COMPUTED_VALUE"""),0.01884307732327502)</f>
        <v>0.01884307732</v>
      </c>
      <c r="F32" s="331">
        <f>IFERROR(__xludf.DUMMYFUNCTION("""COMPUTED_VALUE"""),0.01691765154403355)</f>
        <v>0.01691765154</v>
      </c>
      <c r="G32" s="331">
        <f>IFERROR(__xludf.DUMMYFUNCTION("""COMPUTED_VALUE"""),0.020381760820717673)</f>
        <v>0.02038176082</v>
      </c>
      <c r="H32" s="331">
        <f>IFERROR(__xludf.DUMMYFUNCTION("""COMPUTED_VALUE"""),0.017423580290355168)</f>
        <v>0.01742358029</v>
      </c>
      <c r="I32" s="331">
        <f>IFERROR(__xludf.DUMMYFUNCTION("""COMPUTED_VALUE"""),0.01697109161513016)</f>
        <v>0.01697109162</v>
      </c>
      <c r="J32" s="331">
        <f>IFERROR(__xludf.DUMMYFUNCTION("""COMPUTED_VALUE"""),0.02133525897722051)</f>
        <v>0.02133525898</v>
      </c>
      <c r="K32" s="331">
        <f>IFERROR(__xludf.DUMMYFUNCTION("""COMPUTED_VALUE"""),0.017536158725281477)</f>
        <v>0.01753615873</v>
      </c>
      <c r="L32" s="331">
        <f>IFERROR(__xludf.DUMMYFUNCTION("""COMPUTED_VALUE"""),0.01872896074101074)</f>
        <v>0.01872896074</v>
      </c>
      <c r="M32" s="331">
        <f>IFERROR(__xludf.DUMMYFUNCTION("""COMPUTED_VALUE"""),0.0207711780128379)</f>
        <v>0.02077117801</v>
      </c>
      <c r="N32" s="331">
        <f>IFERROR(__xludf.DUMMYFUNCTION("""COMPUTED_VALUE"""),0.01627878395137593)</f>
        <v>0.01627878395</v>
      </c>
      <c r="O32" s="331">
        <f>IFERROR(__xludf.DUMMYFUNCTION("""COMPUTED_VALUE"""),0.01736340473718977)</f>
        <v>0.01736340474</v>
      </c>
      <c r="P32" s="331">
        <f>IFERROR(__xludf.DUMMYFUNCTION("""COMPUTED_VALUE"""),0.017261632436041695)</f>
        <v>0.01726163244</v>
      </c>
      <c r="Q32" s="331">
        <f>IFERROR(__xludf.DUMMYFUNCTION("""COMPUTED_VALUE"""),0.01774089798018783)</f>
        <v>0.01774089798</v>
      </c>
      <c r="R32" s="331">
        <f>IFERROR(__xludf.DUMMYFUNCTION("""COMPUTED_VALUE"""),0.01651657126189521)</f>
        <v>0.01651657126</v>
      </c>
      <c r="S32" s="331">
        <f>IFERROR(__xludf.DUMMYFUNCTION("""COMPUTED_VALUE"""),0.017463787920196774)</f>
        <v>0.01746378792</v>
      </c>
      <c r="T32" s="331">
        <f>IFERROR(__xludf.DUMMYFUNCTION("""COMPUTED_VALUE"""),0.016701086468528328)</f>
        <v>0.01670108647</v>
      </c>
      <c r="U32" s="331">
        <f>IFERROR(__xludf.DUMMYFUNCTION("""COMPUTED_VALUE"""),0.015560299743527288)</f>
        <v>0.01556029974</v>
      </c>
      <c r="V32" s="331">
        <f>IFERROR(__xludf.DUMMYFUNCTION("""COMPUTED_VALUE"""),0.02040541269071109)</f>
        <v>0.02040541269</v>
      </c>
      <c r="W32" s="331">
        <f>IFERROR(__xludf.DUMMYFUNCTION("""COMPUTED_VALUE"""),0.016567939011154265)</f>
        <v>0.01656793901</v>
      </c>
      <c r="X32" s="331">
        <f>IFERROR(__xludf.DUMMYFUNCTION("""COMPUTED_VALUE"""),0.0174013299013299)</f>
        <v>0.0174013299</v>
      </c>
      <c r="Y32" s="331">
        <f>IFERROR(__xludf.DUMMYFUNCTION("""COMPUTED_VALUE"""),0.018450751438627858)</f>
        <v>0.01845075144</v>
      </c>
      <c r="Z32" s="331">
        <f>IFERROR(__xludf.DUMMYFUNCTION("""COMPUTED_VALUE"""),0.019446572323240468)</f>
        <v>0.01944657232</v>
      </c>
      <c r="AA32" s="331">
        <f>IFERROR(__xludf.DUMMYFUNCTION("""COMPUTED_VALUE"""),0.018028446360382654)</f>
        <v>0.01802844636</v>
      </c>
      <c r="AB32" s="331">
        <f>IFERROR(__xludf.DUMMYFUNCTION("""COMPUTED_VALUE"""),0.017927334537341973)</f>
        <v>0.01792733454</v>
      </c>
      <c r="AC32" s="331">
        <f>IFERROR(__xludf.DUMMYFUNCTION("""COMPUTED_VALUE"""),0.01817467334708714)</f>
        <v>0.01817467335</v>
      </c>
      <c r="AD32" s="331">
        <f>IFERROR(__xludf.DUMMYFUNCTION("""COMPUTED_VALUE"""),0.01659580498866213)</f>
        <v>0.01659580499</v>
      </c>
      <c r="AE32" s="331">
        <f>IFERROR(__xludf.DUMMYFUNCTION("""COMPUTED_VALUE"""),0.016770264069083475)</f>
        <v>0.01677026407</v>
      </c>
      <c r="AF32" s="331">
        <f>IFERROR(__xludf.DUMMYFUNCTION("""COMPUTED_VALUE"""),0.016087998705901385)</f>
        <v>0.01608799871</v>
      </c>
      <c r="AG32" s="331">
        <f>IFERROR(__xludf.DUMMYFUNCTION("""COMPUTED_VALUE"""),0.021465831627864033)</f>
        <v>0.02146583163</v>
      </c>
      <c r="AH32" s="331">
        <f>IFERROR(__xludf.DUMMYFUNCTION("""COMPUTED_VALUE"""),0.017487281976744186)</f>
        <v>0.01748728198</v>
      </c>
      <c r="AI32" s="331">
        <f>IFERROR(__xludf.DUMMYFUNCTION("""COMPUTED_VALUE"""),0.015892541534110995)</f>
        <v>0.01589254153</v>
      </c>
      <c r="AJ32" s="331">
        <f>IFERROR(__xludf.DUMMYFUNCTION("""COMPUTED_VALUE"""),0.018285650766302158)</f>
        <v>0.01828565077</v>
      </c>
      <c r="AK32" s="331">
        <f>IFERROR(__xludf.DUMMYFUNCTION("""COMPUTED_VALUE"""),0.015436358520146324)</f>
        <v>0.01543635852</v>
      </c>
      <c r="AL32" s="331">
        <f>IFERROR(__xludf.DUMMYFUNCTION("""COMPUTED_VALUE"""),0.01702409904930356)</f>
        <v>0.01702409905</v>
      </c>
      <c r="AM32" s="12"/>
      <c r="AN32" s="12"/>
      <c r="AO32" s="12"/>
      <c r="AP32" s="12"/>
      <c r="AQ32" s="12"/>
      <c r="AR32" s="12"/>
      <c r="AS32" s="12"/>
      <c r="AT32" s="12"/>
    </row>
    <row r="33">
      <c r="B33" s="292" t="s">
        <v>103</v>
      </c>
      <c r="C33" s="12">
        <f>IFERROR(__xludf.DUMMYFUNCTION("""COMPUTED_VALUE"""),410.0)</f>
        <v>410</v>
      </c>
      <c r="D33" s="331">
        <f>IFERROR(__xludf.DUMMYFUNCTION("""COMPUTED_VALUE"""),0.015202578042360582)</f>
        <v>0.01520257804</v>
      </c>
      <c r="E33" s="331">
        <f>IFERROR(__xludf.DUMMYFUNCTION("""COMPUTED_VALUE"""),0.018647980750471485)</f>
        <v>0.01864798075</v>
      </c>
      <c r="F33" s="331">
        <f>IFERROR(__xludf.DUMMYFUNCTION("""COMPUTED_VALUE"""),0.0144395730080061)</f>
        <v>0.01443957301</v>
      </c>
      <c r="G33" s="331">
        <f>IFERROR(__xludf.DUMMYFUNCTION("""COMPUTED_VALUE"""),0.017953199119362672)</f>
        <v>0.01795319912</v>
      </c>
      <c r="H33" s="331">
        <f>IFERROR(__xludf.DUMMYFUNCTION("""COMPUTED_VALUE"""),0.013791302965981453)</f>
        <v>0.01379130297</v>
      </c>
      <c r="I33" s="331">
        <f>IFERROR(__xludf.DUMMYFUNCTION("""COMPUTED_VALUE"""),0.019770104769385656)</f>
        <v>0.01977010477</v>
      </c>
      <c r="J33" s="331">
        <f>IFERROR(__xludf.DUMMYFUNCTION("""COMPUTED_VALUE"""),0.014759622748856649)</f>
        <v>0.01475962275</v>
      </c>
      <c r="K33" s="331">
        <f>IFERROR(__xludf.DUMMYFUNCTION("""COMPUTED_VALUE"""),0.023297412374075455)</f>
        <v>0.02329741237</v>
      </c>
      <c r="L33" s="331">
        <f>IFERROR(__xludf.DUMMYFUNCTION("""COMPUTED_VALUE"""),0.01769977915478462)</f>
        <v>0.01769977915</v>
      </c>
      <c r="M33" s="331">
        <f>IFERROR(__xludf.DUMMYFUNCTION("""COMPUTED_VALUE"""),0.014759063375824971)</f>
        <v>0.01475906338</v>
      </c>
      <c r="N33" s="331">
        <f>IFERROR(__xludf.DUMMYFUNCTION("""COMPUTED_VALUE"""),0.014871009910282337)</f>
        <v>0.01487100991</v>
      </c>
      <c r="O33" s="331">
        <f>IFERROR(__xludf.DUMMYFUNCTION("""COMPUTED_VALUE"""),0.01855477965461923)</f>
        <v>0.01855477965</v>
      </c>
      <c r="P33" s="331">
        <f>IFERROR(__xludf.DUMMYFUNCTION("""COMPUTED_VALUE"""),0.014108540551234653)</f>
        <v>0.01410854055</v>
      </c>
      <c r="Q33" s="331">
        <f>IFERROR(__xludf.DUMMYFUNCTION("""COMPUTED_VALUE"""),0.017830953299884215)</f>
        <v>0.0178309533</v>
      </c>
      <c r="R33" s="331">
        <f>IFERROR(__xludf.DUMMYFUNCTION("""COMPUTED_VALUE"""),0.013490356218325008)</f>
        <v>0.01349035622</v>
      </c>
      <c r="S33" s="331">
        <f>IFERROR(__xludf.DUMMYFUNCTION("""COMPUTED_VALUE"""),0.01683520087455589)</f>
        <v>0.01683520087</v>
      </c>
      <c r="T33" s="331">
        <f>IFERROR(__xludf.DUMMYFUNCTION("""COMPUTED_VALUE"""),0.012840082607524467)</f>
        <v>0.01284008261</v>
      </c>
      <c r="U33" s="331">
        <f>IFERROR(__xludf.DUMMYFUNCTION("""COMPUTED_VALUE"""),0.016964452022409125)</f>
        <v>0.01696445202</v>
      </c>
      <c r="V33" s="331">
        <f>IFERROR(__xludf.DUMMYFUNCTION("""COMPUTED_VALUE"""),0.01323521483637932)</f>
        <v>0.01323521484</v>
      </c>
      <c r="W33" s="331">
        <f>IFERROR(__xludf.DUMMYFUNCTION("""COMPUTED_VALUE"""),0.021105488211525636)</f>
        <v>0.02110548821</v>
      </c>
      <c r="X33" s="331">
        <f>IFERROR(__xludf.DUMMYFUNCTION("""COMPUTED_VALUE"""),0.015068640068640069)</f>
        <v>0.01506864007</v>
      </c>
      <c r="Y33" s="331">
        <f>IFERROR(__xludf.DUMMYFUNCTION("""COMPUTED_VALUE"""),0.018883736521593385)</f>
        <v>0.01888373652</v>
      </c>
      <c r="Z33" s="331">
        <f>IFERROR(__xludf.DUMMYFUNCTION("""COMPUTED_VALUE"""),0.016503379967477052)</f>
        <v>0.01650337997</v>
      </c>
      <c r="AA33" s="331">
        <f>IFERROR(__xludf.DUMMYFUNCTION("""COMPUTED_VALUE"""),0.015593608217246105)</f>
        <v>0.01559360822</v>
      </c>
      <c r="AB33" s="331">
        <f>IFERROR(__xludf.DUMMYFUNCTION("""COMPUTED_VALUE"""),0.01576277488579624)</f>
        <v>0.01576277489</v>
      </c>
      <c r="AC33" s="331">
        <f>IFERROR(__xludf.DUMMYFUNCTION("""COMPUTED_VALUE"""),0.020532468808330876)</f>
        <v>0.02053246881</v>
      </c>
      <c r="AD33" s="331">
        <f>IFERROR(__xludf.DUMMYFUNCTION("""COMPUTED_VALUE"""),0.014540816326530611)</f>
        <v>0.01454081633</v>
      </c>
      <c r="AE33" s="331">
        <f>IFERROR(__xludf.DUMMYFUNCTION("""COMPUTED_VALUE"""),0.013252124094391835)</f>
        <v>0.01325212409</v>
      </c>
      <c r="AF33" s="331">
        <f>IFERROR(__xludf.DUMMYFUNCTION("""COMPUTED_VALUE"""),0.014043911118954132)</f>
        <v>0.01404391112</v>
      </c>
      <c r="AG33" s="331">
        <f>IFERROR(__xludf.DUMMYFUNCTION("""COMPUTED_VALUE"""),0.03426839213996646)</f>
        <v>0.03426839214</v>
      </c>
      <c r="AH33" s="331">
        <f>IFERROR(__xludf.DUMMYFUNCTION("""COMPUTED_VALUE"""),0.01638202519379845)</f>
        <v>0.01638202519</v>
      </c>
      <c r="AI33" s="331">
        <f>IFERROR(__xludf.DUMMYFUNCTION("""COMPUTED_VALUE"""),0.015623895369388477)</f>
        <v>0.01562389537</v>
      </c>
      <c r="AJ33" s="331">
        <f>IFERROR(__xludf.DUMMYFUNCTION("""COMPUTED_VALUE"""),0.016256999541469242)</f>
        <v>0.01625699954</v>
      </c>
      <c r="AK33" s="331">
        <f>IFERROR(__xludf.DUMMYFUNCTION("""COMPUTED_VALUE"""),0.013185222902624985)</f>
        <v>0.0131852229</v>
      </c>
      <c r="AL33" s="331">
        <f>IFERROR(__xludf.DUMMYFUNCTION("""COMPUTED_VALUE"""),0.016399838732751557)</f>
        <v>0.01639983873</v>
      </c>
      <c r="AM33" s="12"/>
      <c r="AN33" s="12"/>
      <c r="AO33" s="12"/>
      <c r="AP33" s="12"/>
      <c r="AQ33" s="12"/>
      <c r="AR33" s="12"/>
      <c r="AS33" s="12"/>
      <c r="AT33" s="12"/>
    </row>
    <row r="34">
      <c r="B34" s="292" t="s">
        <v>312</v>
      </c>
      <c r="C34" s="12">
        <f>IFERROR(__xludf.DUMMYFUNCTION("""COMPUTED_VALUE"""),411.0)</f>
        <v>411</v>
      </c>
      <c r="D34" s="331">
        <f>IFERROR(__xludf.DUMMYFUNCTION("""COMPUTED_VALUE"""),0.025731224324124866)</f>
        <v>0.02573122432</v>
      </c>
      <c r="E34" s="331">
        <f>IFERROR(__xludf.DUMMYFUNCTION("""COMPUTED_VALUE"""),0.017916368602458217)</f>
        <v>0.0179163686</v>
      </c>
      <c r="F34" s="331">
        <f>IFERROR(__xludf.DUMMYFUNCTION("""COMPUTED_VALUE"""),0.026246187571483035)</f>
        <v>0.02624618757</v>
      </c>
      <c r="G34" s="331">
        <f>IFERROR(__xludf.DUMMYFUNCTION("""COMPUTED_VALUE"""),0.02652125558909644)</f>
        <v>0.02652125559</v>
      </c>
      <c r="H34" s="331">
        <f>IFERROR(__xludf.DUMMYFUNCTION("""COMPUTED_VALUE"""),0.021135313681199558)</f>
        <v>0.02113531368</v>
      </c>
      <c r="I34" s="331">
        <f>IFERROR(__xludf.DUMMYFUNCTION("""COMPUTED_VALUE"""),0.019980307338282315)</f>
        <v>0.01998030734</v>
      </c>
      <c r="J34" s="331">
        <f>IFERROR(__xludf.DUMMYFUNCTION("""COMPUTED_VALUE"""),0.03360029759950984)</f>
        <v>0.0336002976</v>
      </c>
      <c r="K34" s="331">
        <f>IFERROR(__xludf.DUMMYFUNCTION("""COMPUTED_VALUE"""),0.03389811908785637)</f>
        <v>0.03389811909</v>
      </c>
      <c r="L34" s="331">
        <f>IFERROR(__xludf.DUMMYFUNCTION("""COMPUTED_VALUE"""),0.045519843907459424)</f>
        <v>0.04551984391</v>
      </c>
      <c r="M34" s="331">
        <f>IFERROR(__xludf.DUMMYFUNCTION("""COMPUTED_VALUE"""),0.019595877407106048)</f>
        <v>0.01959587741</v>
      </c>
      <c r="N34" s="331">
        <f>IFERROR(__xludf.DUMMYFUNCTION("""COMPUTED_VALUE"""),0.05022178027552149)</f>
        <v>0.05022178028</v>
      </c>
      <c r="O34" s="331">
        <f>IFERROR(__xludf.DUMMYFUNCTION("""COMPUTED_VALUE"""),0.020041049353590638)</f>
        <v>0.02004104935</v>
      </c>
      <c r="P34" s="331">
        <f>IFERROR(__xludf.DUMMYFUNCTION("""COMPUTED_VALUE"""),0.038480086060860855)</f>
        <v>0.03848008606</v>
      </c>
      <c r="Q34" s="331">
        <f>IFERROR(__xludf.DUMMYFUNCTION("""COMPUTED_VALUE"""),0.04628843432394185)</f>
        <v>0.04628843432</v>
      </c>
      <c r="R34" s="331">
        <f>IFERROR(__xludf.DUMMYFUNCTION("""COMPUTED_VALUE"""),0.029216951665633623)</f>
        <v>0.02921695167</v>
      </c>
      <c r="S34" s="331">
        <f>IFERROR(__xludf.DUMMYFUNCTION("""COMPUTED_VALUE"""),0.018174364580486473)</f>
        <v>0.01817436458</v>
      </c>
      <c r="T34" s="331">
        <f>IFERROR(__xludf.DUMMYFUNCTION("""COMPUTED_VALUE"""),0.019918589686031548)</f>
        <v>0.01991858969</v>
      </c>
      <c r="U34" s="331">
        <f>IFERROR(__xludf.DUMMYFUNCTION("""COMPUTED_VALUE"""),0.03824165747281246)</f>
        <v>0.03824165747</v>
      </c>
      <c r="V34" s="331">
        <f>IFERROR(__xludf.DUMMYFUNCTION("""COMPUTED_VALUE"""),0.021510593562995308)</f>
        <v>0.02151059356</v>
      </c>
      <c r="W34" s="331">
        <f>IFERROR(__xludf.DUMMYFUNCTION("""COMPUTED_VALUE"""),0.021523936552770257)</f>
        <v>0.02152393655</v>
      </c>
      <c r="X34" s="331">
        <f>IFERROR(__xludf.DUMMYFUNCTION("""COMPUTED_VALUE"""),0.024895431145431145)</f>
        <v>0.02489543115</v>
      </c>
      <c r="Y34" s="331">
        <f>IFERROR(__xludf.DUMMYFUNCTION("""COMPUTED_VALUE"""),0.03222247052907984)</f>
        <v>0.03222247053</v>
      </c>
      <c r="Z34" s="331">
        <f>IFERROR(__xludf.DUMMYFUNCTION("""COMPUTED_VALUE"""),0.020615785724845112)</f>
        <v>0.02061578572</v>
      </c>
      <c r="AA34" s="331">
        <f>IFERROR(__xludf.DUMMYFUNCTION("""COMPUTED_VALUE"""),0.02445482244308732)</f>
        <v>0.02445482244</v>
      </c>
      <c r="AB34" s="331">
        <f>IFERROR(__xludf.DUMMYFUNCTION("""COMPUTED_VALUE"""),0.02216349729098056)</f>
        <v>0.02216349729</v>
      </c>
      <c r="AC34" s="331">
        <f>IFERROR(__xludf.DUMMYFUNCTION("""COMPUTED_VALUE"""),0.0314653418101694)</f>
        <v>0.03146534181</v>
      </c>
      <c r="AD34" s="331">
        <f>IFERROR(__xludf.DUMMYFUNCTION("""COMPUTED_VALUE"""),0.03334750566893424)</f>
        <v>0.03334750567</v>
      </c>
      <c r="AE34" s="331">
        <f>IFERROR(__xludf.DUMMYFUNCTION("""COMPUTED_VALUE"""),0.04063243085394852)</f>
        <v>0.04063243085</v>
      </c>
      <c r="AF34" s="331">
        <f>IFERROR(__xludf.DUMMYFUNCTION("""COMPUTED_VALUE"""),0.04960221173218041)</f>
        <v>0.04960221173</v>
      </c>
      <c r="AG34" s="331">
        <f>IFERROR(__xludf.DUMMYFUNCTION("""COMPUTED_VALUE"""),0.02608213950482404)</f>
        <v>0.0260821395</v>
      </c>
      <c r="AH34" s="331">
        <f>IFERROR(__xludf.DUMMYFUNCTION("""COMPUTED_VALUE"""),0.027601138565891473)</f>
        <v>0.02760113857</v>
      </c>
      <c r="AI34" s="331">
        <f>IFERROR(__xludf.DUMMYFUNCTION("""COMPUTED_VALUE"""),0.03283138918345705)</f>
        <v>0.03283138918</v>
      </c>
      <c r="AJ34" s="331">
        <f>IFERROR(__xludf.DUMMYFUNCTION("""COMPUTED_VALUE"""),0.027261737692617655)</f>
        <v>0.02726173769</v>
      </c>
      <c r="AK34" s="331">
        <f>IFERROR(__xludf.DUMMYFUNCTION("""COMPUTED_VALUE"""),0.033793833496362)</f>
        <v>0.0337938335</v>
      </c>
      <c r="AL34" s="331">
        <f>IFERROR(__xludf.DUMMYFUNCTION("""COMPUTED_VALUE"""),0.024736315043373088)</f>
        <v>0.02473631504</v>
      </c>
      <c r="AM34" s="12"/>
      <c r="AN34" s="12"/>
      <c r="AO34" s="12"/>
      <c r="AP34" s="12"/>
      <c r="AQ34" s="12"/>
      <c r="AR34" s="12"/>
      <c r="AS34" s="12"/>
      <c r="AT34" s="12"/>
    </row>
    <row r="35">
      <c r="B35" s="292" t="s">
        <v>313</v>
      </c>
      <c r="C35" s="12">
        <f>IFERROR(__xludf.DUMMYFUNCTION("""COMPUTED_VALUE"""),412.0)</f>
        <v>412</v>
      </c>
      <c r="D35" s="331">
        <f>IFERROR(__xludf.DUMMYFUNCTION("""COMPUTED_VALUE"""),0.04885488671865391)</f>
        <v>0.04885488672</v>
      </c>
      <c r="E35" s="331">
        <f>IFERROR(__xludf.DUMMYFUNCTION("""COMPUTED_VALUE"""),0.04282369773037654)</f>
        <v>0.04282369773</v>
      </c>
      <c r="F35" s="331">
        <f>IFERROR(__xludf.DUMMYFUNCTION("""COMPUTED_VALUE"""),0.048846740373618)</f>
        <v>0.04884674037</v>
      </c>
      <c r="G35" s="331">
        <f>IFERROR(__xludf.DUMMYFUNCTION("""COMPUTED_VALUE"""),0.05700310946685127)</f>
        <v>0.05700310947</v>
      </c>
      <c r="H35" s="331">
        <f>IFERROR(__xludf.DUMMYFUNCTION("""COMPUTED_VALUE"""),0.05258856513694821)</f>
        <v>0.05258856514</v>
      </c>
      <c r="I35" s="331">
        <f>IFERROR(__xludf.DUMMYFUNCTION("""COMPUTED_VALUE"""),0.04941973027691423)</f>
        <v>0.04941973028</v>
      </c>
      <c r="J35" s="331">
        <f>IFERROR(__xludf.DUMMYFUNCTION("""COMPUTED_VALUE"""),0.060263900741810546)</f>
        <v>0.06026390074</v>
      </c>
      <c r="K35" s="331">
        <f>IFERROR(__xludf.DUMMYFUNCTION("""COMPUTED_VALUE"""),0.0457937361455567)</f>
        <v>0.04579373615</v>
      </c>
      <c r="L35" s="331">
        <f>IFERROR(__xludf.DUMMYFUNCTION("""COMPUTED_VALUE"""),0.05436437316409014)</f>
        <v>0.05436437316</v>
      </c>
      <c r="M35" s="331">
        <f>IFERROR(__xludf.DUMMYFUNCTION("""COMPUTED_VALUE"""),0.0532840611156315)</f>
        <v>0.05328406112</v>
      </c>
      <c r="N35" s="331">
        <f>IFERROR(__xludf.DUMMYFUNCTION("""COMPUTED_VALUE"""),0.046154877490139995)</f>
        <v>0.04615487749</v>
      </c>
      <c r="O35" s="331">
        <f>IFERROR(__xludf.DUMMYFUNCTION("""COMPUTED_VALUE"""),0.053588279701802397)</f>
        <v>0.0535882797</v>
      </c>
      <c r="P35" s="331">
        <f>IFERROR(__xludf.DUMMYFUNCTION("""COMPUTED_VALUE"""),0.05644652727115354)</f>
        <v>0.05644652727</v>
      </c>
      <c r="Q35" s="331">
        <f>IFERROR(__xludf.DUMMYFUNCTION("""COMPUTED_VALUE"""),0.05125434195291393)</f>
        <v>0.05125434195</v>
      </c>
      <c r="R35" s="331">
        <f>IFERROR(__xludf.DUMMYFUNCTION("""COMPUTED_VALUE"""),0.04781176699359512)</f>
        <v>0.04781176699</v>
      </c>
      <c r="S35" s="331">
        <f>IFERROR(__xludf.DUMMYFUNCTION("""COMPUTED_VALUE"""),0.05862257447389997)</f>
        <v>0.05862257447</v>
      </c>
      <c r="T35" s="331">
        <f>IFERROR(__xludf.DUMMYFUNCTION("""COMPUTED_VALUE"""),0.04574840621352249)</f>
        <v>0.04574840621</v>
      </c>
      <c r="U35" s="331">
        <f>IFERROR(__xludf.DUMMYFUNCTION("""COMPUTED_VALUE"""),0.0601349705557864)</f>
        <v>0.06013497056</v>
      </c>
      <c r="V35" s="331">
        <f>IFERROR(__xludf.DUMMYFUNCTION("""COMPUTED_VALUE"""),0.05316998220928352)</f>
        <v>0.05316998221</v>
      </c>
      <c r="W35" s="331">
        <f>IFERROR(__xludf.DUMMYFUNCTION("""COMPUTED_VALUE"""),0.04776849345520641)</f>
        <v>0.04776849346</v>
      </c>
      <c r="X35" s="331">
        <f>IFERROR(__xludf.DUMMYFUNCTION("""COMPUTED_VALUE"""),0.054147897897897895)</f>
        <v>0.0541478979</v>
      </c>
      <c r="Y35" s="331">
        <f>IFERROR(__xludf.DUMMYFUNCTION("""COMPUTED_VALUE"""),0.05546399240181016)</f>
        <v>0.0554639924</v>
      </c>
      <c r="Z35" s="331">
        <f>IFERROR(__xludf.DUMMYFUNCTION("""COMPUTED_VALUE"""),0.04885161741187222)</f>
        <v>0.04885161741</v>
      </c>
      <c r="AA35" s="331">
        <f>IFERROR(__xludf.DUMMYFUNCTION("""COMPUTED_VALUE"""),0.05387245705770433)</f>
        <v>0.05387245706</v>
      </c>
      <c r="AB35" s="331">
        <f>IFERROR(__xludf.DUMMYFUNCTION("""COMPUTED_VALUE"""),0.05071443748008074)</f>
        <v>0.05071443748</v>
      </c>
      <c r="AC35" s="331">
        <f>IFERROR(__xludf.DUMMYFUNCTION("""COMPUTED_VALUE"""),0.06601827291482464)</f>
        <v>0.06601827291</v>
      </c>
      <c r="AD35" s="331">
        <f>IFERROR(__xludf.DUMMYFUNCTION("""COMPUTED_VALUE"""),0.05681689342403628)</f>
        <v>0.05681689342</v>
      </c>
      <c r="AE35" s="331">
        <f>IFERROR(__xludf.DUMMYFUNCTION("""COMPUTED_VALUE"""),0.062380932515678666)</f>
        <v>0.06238093252</v>
      </c>
      <c r="AF35" s="331">
        <f>IFERROR(__xludf.DUMMYFUNCTION("""COMPUTED_VALUE"""),0.05102866134321554)</f>
        <v>0.05102866134</v>
      </c>
      <c r="AG35" s="331">
        <f>IFERROR(__xludf.DUMMYFUNCTION("""COMPUTED_VALUE"""),0.05916567928970409)</f>
        <v>0.05916567929</v>
      </c>
      <c r="AH35" s="331">
        <f>IFERROR(__xludf.DUMMYFUNCTION("""COMPUTED_VALUE"""),0.04732921511627907)</f>
        <v>0.04732921512</v>
      </c>
      <c r="AI35" s="331">
        <f>IFERROR(__xludf.DUMMYFUNCTION("""COMPUTED_VALUE"""),0.06116648992576882)</f>
        <v>0.06116648993</v>
      </c>
      <c r="AJ35" s="331">
        <f>IFERROR(__xludf.DUMMYFUNCTION("""COMPUTED_VALUE"""),0.049910378079450875)</f>
        <v>0.04991037808</v>
      </c>
      <c r="AK35" s="331">
        <f>IFERROR(__xludf.DUMMYFUNCTION("""COMPUTED_VALUE"""),0.052593495826019375)</f>
        <v>0.05259349583</v>
      </c>
      <c r="AL35" s="331">
        <f>IFERROR(__xludf.DUMMYFUNCTION("""COMPUTED_VALUE"""),0.06022811512400671)</f>
        <v>0.06022811512</v>
      </c>
      <c r="AM35" s="12"/>
      <c r="AN35" s="12"/>
      <c r="AO35" s="12"/>
      <c r="AP35" s="12"/>
      <c r="AQ35" s="12"/>
      <c r="AR35" s="12"/>
      <c r="AS35" s="12"/>
      <c r="AT35" s="12"/>
    </row>
    <row r="36">
      <c r="B36" s="292" t="s">
        <v>313</v>
      </c>
      <c r="C36" s="12">
        <f>IFERROR(__xludf.DUMMYFUNCTION("""COMPUTED_VALUE"""),413.0)</f>
        <v>413</v>
      </c>
      <c r="D36" s="331">
        <f>IFERROR(__xludf.DUMMYFUNCTION("""COMPUTED_VALUE"""),0.04341836609185506)</f>
        <v>0.04341836609</v>
      </c>
      <c r="E36" s="331">
        <f>IFERROR(__xludf.DUMMYFUNCTION("""COMPUTED_VALUE"""),0.03836899265136243)</f>
        <v>0.03836899265</v>
      </c>
      <c r="F36" s="331">
        <f>IFERROR(__xludf.DUMMYFUNCTION("""COMPUTED_VALUE"""),0.05356462066336256)</f>
        <v>0.05356462066</v>
      </c>
      <c r="G36" s="331">
        <f>IFERROR(__xludf.DUMMYFUNCTION("""COMPUTED_VALUE"""),0.04524614721169341)</f>
        <v>0.04524614721</v>
      </c>
      <c r="H36" s="331">
        <f>IFERROR(__xludf.DUMMYFUNCTION("""COMPUTED_VALUE"""),0.04443864289038468)</f>
        <v>0.04443864289</v>
      </c>
      <c r="I36" s="331">
        <f>IFERROR(__xludf.DUMMYFUNCTION("""COMPUTED_VALUE"""),0.051256236931485025)</f>
        <v>0.05125623693</v>
      </c>
      <c r="J36" s="331">
        <f>IFERROR(__xludf.DUMMYFUNCTION("""COMPUTED_VALUE"""),0.05031838771089083)</f>
        <v>0.05031838771</v>
      </c>
      <c r="K36" s="331">
        <f>IFERROR(__xludf.DUMMYFUNCTION("""COMPUTED_VALUE"""),0.042139455259750234)</f>
        <v>0.04213945526</v>
      </c>
      <c r="L36" s="331">
        <f>IFERROR(__xludf.DUMMYFUNCTION("""COMPUTED_VALUE"""),0.049711614743026225)</f>
        <v>0.04971161474</v>
      </c>
      <c r="M36" s="331">
        <f>IFERROR(__xludf.DUMMYFUNCTION("""COMPUTED_VALUE"""),0.04766748033631679)</f>
        <v>0.04766748034</v>
      </c>
      <c r="N36" s="331">
        <f>IFERROR(__xludf.DUMMYFUNCTION("""COMPUTED_VALUE"""),0.03889255108767304)</f>
        <v>0.03889255109</v>
      </c>
      <c r="O36" s="331">
        <f>IFERROR(__xludf.DUMMYFUNCTION("""COMPUTED_VALUE"""),0.05778758139095971)</f>
        <v>0.05778758139</v>
      </c>
      <c r="P36" s="331">
        <f>IFERROR(__xludf.DUMMYFUNCTION("""COMPUTED_VALUE"""),0.0503258194947634)</f>
        <v>0.05032581949</v>
      </c>
      <c r="Q36" s="331">
        <f>IFERROR(__xludf.DUMMYFUNCTION("""COMPUTED_VALUE"""),0.050521034349671944)</f>
        <v>0.05052103435</v>
      </c>
      <c r="R36" s="331">
        <f>IFERROR(__xludf.DUMMYFUNCTION("""COMPUTED_VALUE"""),0.05164011132582249)</f>
        <v>0.05164011133</v>
      </c>
      <c r="S36" s="331">
        <f>IFERROR(__xludf.DUMMYFUNCTION("""COMPUTED_VALUE"""),0.05595791199781361)</f>
        <v>0.055957912</v>
      </c>
      <c r="T36" s="331">
        <f>IFERROR(__xludf.DUMMYFUNCTION("""COMPUTED_VALUE"""),0.0458381970009877)</f>
        <v>0.045838197</v>
      </c>
      <c r="U36" s="331">
        <f>IFERROR(__xludf.DUMMYFUNCTION("""COMPUTED_VALUE"""),0.04652329030131962)</f>
        <v>0.0465232903</v>
      </c>
      <c r="V36" s="331">
        <f>IFERROR(__xludf.DUMMYFUNCTION("""COMPUTED_VALUE"""),0.04701062051862634)</f>
        <v>0.04701062052</v>
      </c>
      <c r="W36" s="331">
        <f>IFERROR(__xludf.DUMMYFUNCTION("""COMPUTED_VALUE"""),0.05469904410707047)</f>
        <v>0.05469904411</v>
      </c>
      <c r="X36" s="331">
        <f>IFERROR(__xludf.DUMMYFUNCTION("""COMPUTED_VALUE"""),0.05060864435864436)</f>
        <v>0.05060864436</v>
      </c>
      <c r="Y36" s="331">
        <f>IFERROR(__xludf.DUMMYFUNCTION("""COMPUTED_VALUE"""),0.047740097212134756)</f>
        <v>0.04774009721</v>
      </c>
      <c r="Z36" s="331">
        <f>IFERROR(__xludf.DUMMYFUNCTION("""COMPUTED_VALUE"""),0.052883387762233065)</f>
        <v>0.05288338776</v>
      </c>
      <c r="AA36" s="331">
        <f>IFERROR(__xludf.DUMMYFUNCTION("""COMPUTED_VALUE"""),0.04650141699596855)</f>
        <v>0.046501417</v>
      </c>
      <c r="AB36" s="331">
        <f>IFERROR(__xludf.DUMMYFUNCTION("""COMPUTED_VALUE"""),0.04906777860405822)</f>
        <v>0.0490677786</v>
      </c>
      <c r="AC36" s="331">
        <f>IFERROR(__xludf.DUMMYFUNCTION("""COMPUTED_VALUE"""),0.04241224930880103)</f>
        <v>0.04241224931</v>
      </c>
      <c r="AD36" s="331">
        <f>IFERROR(__xludf.DUMMYFUNCTION("""COMPUTED_VALUE"""),0.04494047619047619)</f>
        <v>0.04494047619</v>
      </c>
      <c r="AE36" s="331">
        <f>IFERROR(__xludf.DUMMYFUNCTION("""COMPUTED_VALUE"""),0.06538456190118616)</f>
        <v>0.0653845619</v>
      </c>
      <c r="AF36" s="331">
        <f>IFERROR(__xludf.DUMMYFUNCTION("""COMPUTED_VALUE"""),0.04513168923986412)</f>
        <v>0.04513168924</v>
      </c>
      <c r="AG36" s="331">
        <f>IFERROR(__xludf.DUMMYFUNCTION("""COMPUTED_VALUE"""),0.054272392940126486)</f>
        <v>0.05427239294</v>
      </c>
      <c r="AH36" s="331">
        <f>IFERROR(__xludf.DUMMYFUNCTION("""COMPUTED_VALUE"""),0.054066739341085274)</f>
        <v>0.05406673934</v>
      </c>
      <c r="AI36" s="331">
        <f>IFERROR(__xludf.DUMMYFUNCTION("""COMPUTED_VALUE"""),0.05152350653941322)</f>
        <v>0.05152350654</v>
      </c>
      <c r="AJ36" s="331">
        <f>IFERROR(__xludf.DUMMYFUNCTION("""COMPUTED_VALUE"""),0.04620044741485917)</f>
        <v>0.04620044741</v>
      </c>
      <c r="AK36" s="331">
        <f>IFERROR(__xludf.DUMMYFUNCTION("""COMPUTED_VALUE"""),0.048077824974205735)</f>
        <v>0.04807782497</v>
      </c>
      <c r="AL36" s="331">
        <f>IFERROR(__xludf.DUMMYFUNCTION("""COMPUTED_VALUE"""),0.05023995005917468)</f>
        <v>0.05023995006</v>
      </c>
      <c r="AM36" s="12"/>
      <c r="AN36" s="12"/>
      <c r="AO36" s="12"/>
      <c r="AP36" s="12"/>
      <c r="AQ36" s="12"/>
      <c r="AR36" s="12"/>
      <c r="AS36" s="12"/>
      <c r="AT36" s="12"/>
    </row>
    <row r="37">
      <c r="B37" s="292" t="s">
        <v>310</v>
      </c>
      <c r="C37" s="12">
        <f>IFERROR(__xludf.DUMMYFUNCTION("""COMPUTED_VALUE"""),414.0)</f>
        <v>414</v>
      </c>
      <c r="D37" s="331">
        <f>IFERROR(__xludf.DUMMYFUNCTION("""COMPUTED_VALUE"""),0.0244520430001722)</f>
        <v>0.024452043</v>
      </c>
      <c r="E37" s="331">
        <f>IFERROR(__xludf.DUMMYFUNCTION("""COMPUTED_VALUE"""),0.02676074656955193)</f>
        <v>0.02676074657</v>
      </c>
      <c r="F37" s="331">
        <f>IFERROR(__xludf.DUMMYFUNCTION("""COMPUTED_VALUE"""),0.02678231033168128)</f>
        <v>0.02678231033</v>
      </c>
      <c r="G37" s="331">
        <f>IFERROR(__xludf.DUMMYFUNCTION("""COMPUTED_VALUE"""),0.029925781338659526)</f>
        <v>0.02992578134</v>
      </c>
      <c r="H37" s="331">
        <f>IFERROR(__xludf.DUMMYFUNCTION("""COMPUTED_VALUE"""),0.03526714264634105)</f>
        <v>0.03526714265</v>
      </c>
      <c r="I37" s="331">
        <f>IFERROR(__xludf.DUMMYFUNCTION("""COMPUTED_VALUE"""),0.03487149985064554)</f>
        <v>0.03487149985</v>
      </c>
      <c r="J37" s="331">
        <f>IFERROR(__xludf.DUMMYFUNCTION("""COMPUTED_VALUE"""),0.027024661371145977)</f>
        <v>0.02702466137</v>
      </c>
      <c r="K37" s="331">
        <f>IFERROR(__xludf.DUMMYFUNCTION("""COMPUTED_VALUE"""),0.02353883633650111)</f>
        <v>0.02353883634</v>
      </c>
      <c r="L37" s="331">
        <f>IFERROR(__xludf.DUMMYFUNCTION("""COMPUTED_VALUE"""),0.0302000471708227)</f>
        <v>0.03020004717</v>
      </c>
      <c r="M37" s="331">
        <f>IFERROR(__xludf.DUMMYFUNCTION("""COMPUTED_VALUE"""),0.03564325106229093)</f>
        <v>0.03564325106</v>
      </c>
      <c r="N37" s="331">
        <f>IFERROR(__xludf.DUMMYFUNCTION("""COMPUTED_VALUE"""),0.02685943487927779)</f>
        <v>0.02685943488</v>
      </c>
      <c r="O37" s="331">
        <f>IFERROR(__xludf.DUMMYFUNCTION("""COMPUTED_VALUE"""),0.03965745022176088)</f>
        <v>0.03965745022</v>
      </c>
      <c r="P37" s="331">
        <f>IFERROR(__xludf.DUMMYFUNCTION("""COMPUTED_VALUE"""),0.03073955461031494)</f>
        <v>0.03073955461</v>
      </c>
      <c r="Q37" s="331">
        <f>IFERROR(__xludf.DUMMYFUNCTION("""COMPUTED_VALUE"""),0.02552425061108967)</f>
        <v>0.02552425061</v>
      </c>
      <c r="R37" s="331">
        <f>IFERROR(__xludf.DUMMYFUNCTION("""COMPUTED_VALUE"""),0.042330550187771175)</f>
        <v>0.04233055019</v>
      </c>
      <c r="S37" s="331">
        <f>IFERROR(__xludf.DUMMYFUNCTION("""COMPUTED_VALUE"""),0.03283684066684887)</f>
        <v>0.03283684067</v>
      </c>
      <c r="T37" s="331">
        <f>IFERROR(__xludf.DUMMYFUNCTION("""COMPUTED_VALUE"""),0.03829577085391039)</f>
        <v>0.03829577085</v>
      </c>
      <c r="U37" s="331">
        <f>IFERROR(__xludf.DUMMYFUNCTION("""COMPUTED_VALUE"""),0.036164085223446475)</f>
        <v>0.03616408522</v>
      </c>
      <c r="V37" s="331">
        <f>IFERROR(__xludf.DUMMYFUNCTION("""COMPUTED_VALUE"""),0.03054072995848833)</f>
        <v>0.03054072996</v>
      </c>
      <c r="W37" s="331">
        <f>IFERROR(__xludf.DUMMYFUNCTION("""COMPUTED_VALUE"""),0.03174976789193572)</f>
        <v>0.03174976789</v>
      </c>
      <c r="X37" s="331">
        <f>IFERROR(__xludf.DUMMYFUNCTION("""COMPUTED_VALUE"""),0.041492385242385244)</f>
        <v>0.04149238524</v>
      </c>
      <c r="Y37" s="331">
        <f>IFERROR(__xludf.DUMMYFUNCTION("""COMPUTED_VALUE"""),0.031300631320185485)</f>
        <v>0.03130063132</v>
      </c>
      <c r="Z37" s="331">
        <f>IFERROR(__xludf.DUMMYFUNCTION("""COMPUTED_VALUE"""),0.03129997715330135)</f>
        <v>0.03129997715</v>
      </c>
      <c r="AA37" s="331">
        <f>IFERROR(__xludf.DUMMYFUNCTION("""COMPUTED_VALUE"""),0.029537380752804054)</f>
        <v>0.02953738075</v>
      </c>
      <c r="AB37" s="331">
        <f>IFERROR(__xludf.DUMMYFUNCTION("""COMPUTED_VALUE"""),0.04959895888664613)</f>
        <v>0.04959895889</v>
      </c>
      <c r="AC37" s="331">
        <f>IFERROR(__xludf.DUMMYFUNCTION("""COMPUTED_VALUE"""),0.03076361697051352)</f>
        <v>0.03076361697</v>
      </c>
      <c r="AD37" s="331">
        <f>IFERROR(__xludf.DUMMYFUNCTION("""COMPUTED_VALUE"""),0.03897392290249433)</f>
        <v>0.0389739229</v>
      </c>
      <c r="AE37" s="331">
        <f>IFERROR(__xludf.DUMMYFUNCTION("""COMPUTED_VALUE"""),0.028256365330329703)</f>
        <v>0.02825636533</v>
      </c>
      <c r="AF37" s="331">
        <f>IFERROR(__xludf.DUMMYFUNCTION("""COMPUTED_VALUE"""),0.036675931236305345)</f>
        <v>0.03667593124</v>
      </c>
      <c r="AG37" s="331">
        <f>IFERROR(__xludf.DUMMYFUNCTION("""COMPUTED_VALUE"""),0.03302198901318725)</f>
        <v>0.03302198901</v>
      </c>
      <c r="AH37" s="331">
        <f>IFERROR(__xludf.DUMMYFUNCTION("""COMPUTED_VALUE"""),0.03432352228682171)</f>
        <v>0.03432352229</v>
      </c>
      <c r="AI37" s="331">
        <f>IFERROR(__xludf.DUMMYFUNCTION("""COMPUTED_VALUE"""),0.038628490632732417)</f>
        <v>0.03862849063</v>
      </c>
      <c r="AJ37" s="331">
        <f>IFERROR(__xludf.DUMMYFUNCTION("""COMPUTED_VALUE"""),0.03886395531409357)</f>
        <v>0.03886395531</v>
      </c>
      <c r="AK37" s="331">
        <f>IFERROR(__xludf.DUMMYFUNCTION("""COMPUTED_VALUE"""),0.030430529686850956)</f>
        <v>0.03043052969</v>
      </c>
      <c r="AL37" s="331">
        <f>IFERROR(__xludf.DUMMYFUNCTION("""COMPUTED_VALUE"""),0.041279213432001145)</f>
        <v>0.04127921343</v>
      </c>
      <c r="AM37" s="12"/>
      <c r="AN37" s="12"/>
      <c r="AO37" s="12"/>
      <c r="AP37" s="12"/>
      <c r="AQ37" s="12"/>
      <c r="AR37" s="12"/>
      <c r="AS37" s="12"/>
      <c r="AT37" s="12"/>
    </row>
    <row r="38">
      <c r="B38" s="292" t="s">
        <v>314</v>
      </c>
      <c r="C38" s="12">
        <f>IFERROR(__xludf.DUMMYFUNCTION("""COMPUTED_VALUE"""),415.0)</f>
        <v>415</v>
      </c>
      <c r="D38" s="331">
        <f>IFERROR(__xludf.DUMMYFUNCTION("""COMPUTED_VALUE"""),0.01835133207055177)</f>
        <v>0.01835133207</v>
      </c>
      <c r="E38" s="331">
        <f>IFERROR(__xludf.DUMMYFUNCTION("""COMPUTED_VALUE"""),0.011153020745268909)</f>
        <v>0.01115302075</v>
      </c>
      <c r="F38" s="331">
        <f>IFERROR(__xludf.DUMMYFUNCTION("""COMPUTED_VALUE"""),0.02961780404117423)</f>
        <v>0.02961780404</v>
      </c>
      <c r="G38" s="331">
        <f>IFERROR(__xludf.DUMMYFUNCTION("""COMPUTED_VALUE"""),0.016920492975328535)</f>
        <v>0.01692049298</v>
      </c>
      <c r="H38" s="331">
        <f>IFERROR(__xludf.DUMMYFUNCTION("""COMPUTED_VALUE"""),0.01605012542707636)</f>
        <v>0.01605012543</v>
      </c>
      <c r="I38" s="331">
        <f>IFERROR(__xludf.DUMMYFUNCTION("""COMPUTED_VALUE"""),0.023255042095830243)</f>
        <v>0.0232550421</v>
      </c>
      <c r="J38" s="331">
        <f>IFERROR(__xludf.DUMMYFUNCTION("""COMPUTED_VALUE"""),0.0373968795816101)</f>
        <v>0.03739687958</v>
      </c>
      <c r="K38" s="331">
        <f>IFERROR(__xludf.DUMMYFUNCTION("""COMPUTED_VALUE"""),0.026117683207866033)</f>
        <v>0.02611768321</v>
      </c>
      <c r="L38" s="331">
        <f>IFERROR(__xludf.DUMMYFUNCTION("""COMPUTED_VALUE"""),0.017399601192135336)</f>
        <v>0.01739960119</v>
      </c>
      <c r="M38" s="331">
        <f>IFERROR(__xludf.DUMMYFUNCTION("""COMPUTED_VALUE"""),0.02610523460808245)</f>
        <v>0.02610523461</v>
      </c>
      <c r="N38" s="331">
        <f>IFERROR(__xludf.DUMMYFUNCTION("""COMPUTED_VALUE"""),0.022099817883199445)</f>
        <v>0.02209981788</v>
      </c>
      <c r="O38" s="331">
        <f>IFERROR(__xludf.DUMMYFUNCTION("""COMPUTED_VALUE"""),0.02439369632914976)</f>
        <v>0.02439369633</v>
      </c>
      <c r="P38" s="331">
        <f>IFERROR(__xludf.DUMMYFUNCTION("""COMPUTED_VALUE"""),0.02188616720042536)</f>
        <v>0.0218861672</v>
      </c>
      <c r="Q38" s="331">
        <f>IFERROR(__xludf.DUMMYFUNCTION("""COMPUTED_VALUE"""),0.021446031133410523)</f>
        <v>0.02144603113</v>
      </c>
      <c r="R38" s="331">
        <f>IFERROR(__xludf.DUMMYFUNCTION("""COMPUTED_VALUE"""),0.027965143836365624)</f>
        <v>0.02796514384</v>
      </c>
      <c r="S38" s="331">
        <f>IFERROR(__xludf.DUMMYFUNCTION("""COMPUTED_VALUE"""),0.04314020224104947)</f>
        <v>0.04314020224</v>
      </c>
      <c r="T38" s="331">
        <f>IFERROR(__xludf.DUMMYFUNCTION("""COMPUTED_VALUE"""),0.02826913292029571)</f>
        <v>0.02826913292</v>
      </c>
      <c r="U38" s="331">
        <f>IFERROR(__xludf.DUMMYFUNCTION("""COMPUTED_VALUE"""),0.028785121717077644)</f>
        <v>0.02878512172</v>
      </c>
      <c r="V38" s="331">
        <f>IFERROR(__xludf.DUMMYFUNCTION("""COMPUTED_VALUE"""),0.027737344331230793)</f>
        <v>0.02773734433</v>
      </c>
      <c r="W38" s="331">
        <f>IFERROR(__xludf.DUMMYFUNCTION("""COMPUTED_VALUE"""),0.03176284440259961)</f>
        <v>0.0317628444</v>
      </c>
      <c r="X38" s="331">
        <f>IFERROR(__xludf.DUMMYFUNCTION("""COMPUTED_VALUE"""),0.02277724152724153)</f>
        <v>0.02277724153</v>
      </c>
      <c r="Y38" s="331">
        <f>IFERROR(__xludf.DUMMYFUNCTION("""COMPUTED_VALUE"""),0.02216604279568691)</f>
        <v>0.0221660428</v>
      </c>
      <c r="Z38" s="331">
        <f>IFERROR(__xludf.DUMMYFUNCTION("""COMPUTED_VALUE"""),0.025507667083282937)</f>
        <v>0.02550766708</v>
      </c>
      <c r="AA38" s="331">
        <f>IFERROR(__xludf.DUMMYFUNCTION("""COMPUTED_VALUE"""),0.030482044731835176)</f>
        <v>0.03048204473</v>
      </c>
      <c r="AB38" s="331">
        <f>IFERROR(__xludf.DUMMYFUNCTION("""COMPUTED_VALUE"""),0.023889833209391267)</f>
        <v>0.02388983321</v>
      </c>
      <c r="AC38" s="331">
        <f>IFERROR(__xludf.DUMMYFUNCTION("""COMPUTED_VALUE"""),0.023381471657333727)</f>
        <v>0.02338147166</v>
      </c>
      <c r="AD38" s="331">
        <f>IFERROR(__xludf.DUMMYFUNCTION("""COMPUTED_VALUE"""),0.03195861678004535)</f>
        <v>0.03195861678</v>
      </c>
      <c r="AE38" s="331">
        <f>IFERROR(__xludf.DUMMYFUNCTION("""COMPUTED_VALUE"""),0.020191064202578116)</f>
        <v>0.0201910642</v>
      </c>
      <c r="AF38" s="331">
        <f>IFERROR(__xludf.DUMMYFUNCTION("""COMPUTED_VALUE"""),0.031793650093380976)</f>
        <v>0.03179365009</v>
      </c>
      <c r="AG38" s="331">
        <f>IFERROR(__xludf.DUMMYFUNCTION("""COMPUTED_VALUE"""),0.03268345976887685)</f>
        <v>0.03268345977</v>
      </c>
      <c r="AH38" s="331">
        <f>IFERROR(__xludf.DUMMYFUNCTION("""COMPUTED_VALUE"""),0.02685925387596899)</f>
        <v>0.02685925388</v>
      </c>
      <c r="AI38" s="331">
        <f>IFERROR(__xludf.DUMMYFUNCTION("""COMPUTED_VALUE"""),0.02863202545068929)</f>
        <v>0.02863202545</v>
      </c>
      <c r="AJ38" s="331">
        <f>IFERROR(__xludf.DUMMYFUNCTION("""COMPUTED_VALUE"""),0.029846183773569176)</f>
        <v>0.02984618377</v>
      </c>
      <c r="AK38" s="331">
        <f>IFERROR(__xludf.DUMMYFUNCTION("""COMPUTED_VALUE"""),0.03218587948384676)</f>
        <v>0.03218587948</v>
      </c>
      <c r="AL38" s="331">
        <f>IFERROR(__xludf.DUMMYFUNCTION("""COMPUTED_VALUE"""),0.031876292413936615)</f>
        <v>0.03187629241</v>
      </c>
      <c r="AM38" s="12"/>
      <c r="AN38" s="12"/>
      <c r="AO38" s="12"/>
      <c r="AP38" s="12"/>
      <c r="AQ38" s="12"/>
      <c r="AR38" s="12"/>
      <c r="AS38" s="12"/>
      <c r="AT38" s="12"/>
    </row>
    <row r="39">
      <c r="B39" s="292" t="s">
        <v>99</v>
      </c>
      <c r="C39" s="12">
        <f>IFERROR(__xludf.DUMMYFUNCTION("""COMPUTED_VALUE"""),416.0)</f>
        <v>416</v>
      </c>
      <c r="D39" s="331">
        <f>IFERROR(__xludf.DUMMYFUNCTION("""COMPUTED_VALUE"""),0.01163563011980025)</f>
        <v>0.01163563012</v>
      </c>
      <c r="E39" s="331">
        <f>IFERROR(__xludf.DUMMYFUNCTION("""COMPUTED_VALUE"""),0.031247967744033295)</f>
        <v>0.03124796774</v>
      </c>
      <c r="F39" s="331">
        <f>IFERROR(__xludf.DUMMYFUNCTION("""COMPUTED_VALUE"""),0.025102459016393443)</f>
        <v>0.02510245902</v>
      </c>
      <c r="G39" s="331">
        <f>IFERROR(__xludf.DUMMYFUNCTION("""COMPUTED_VALUE"""),0.0358496561428993)</f>
        <v>0.03584965614</v>
      </c>
      <c r="H39" s="331">
        <f>IFERROR(__xludf.DUMMYFUNCTION("""COMPUTED_VALUE"""),0.01803652708884323)</f>
        <v>0.01803652709</v>
      </c>
      <c r="I39" s="331">
        <f>IFERROR(__xludf.DUMMYFUNCTION("""COMPUTED_VALUE"""),0.01999137063138214)</f>
        <v>0.01999137063</v>
      </c>
      <c r="J39" s="331">
        <f>IFERROR(__xludf.DUMMYFUNCTION("""COMPUTED_VALUE"""),0.01962843825904287)</f>
        <v>0.01962843826</v>
      </c>
      <c r="K39" s="331">
        <f>IFERROR(__xludf.DUMMYFUNCTION("""COMPUTED_VALUE"""),0.0276430436977372)</f>
        <v>0.0276430437</v>
      </c>
      <c r="L39" s="331">
        <f>IFERROR(__xludf.DUMMYFUNCTION("""COMPUTED_VALUE"""),0.03479920238427067)</f>
        <v>0.03479920238</v>
      </c>
      <c r="M39" s="331">
        <f>IFERROR(__xludf.DUMMYFUNCTION("""COMPUTED_VALUE"""),0.030738631226833017)</f>
        <v>0.03073863123</v>
      </c>
      <c r="N39" s="331">
        <f>IFERROR(__xludf.DUMMYFUNCTION("""COMPUTED_VALUE"""),0.01946303475861144)</f>
        <v>0.01946303476</v>
      </c>
      <c r="O39" s="331">
        <f>IFERROR(__xludf.DUMMYFUNCTION("""COMPUTED_VALUE"""),0.025502500707747476)</f>
        <v>0.02550250071</v>
      </c>
      <c r="P39" s="331">
        <f>IFERROR(__xludf.DUMMYFUNCTION("""COMPUTED_VALUE"""),0.021045342697810148)</f>
        <v>0.0210453427</v>
      </c>
      <c r="Q39" s="331">
        <f>IFERROR(__xludf.DUMMYFUNCTION("""COMPUTED_VALUE"""),0.028071529653930272)</f>
        <v>0.02807152965</v>
      </c>
      <c r="R39" s="331">
        <f>IFERROR(__xludf.DUMMYFUNCTION("""COMPUTED_VALUE"""),0.02097689624579186)</f>
        <v>0.02097689625</v>
      </c>
      <c r="S39" s="331">
        <f>IFERROR(__xludf.DUMMYFUNCTION("""COMPUTED_VALUE"""),0.01978682700191309)</f>
        <v>0.019786827</v>
      </c>
      <c r="T39" s="331">
        <f>IFERROR(__xludf.DUMMYFUNCTION("""COMPUTED_VALUE"""),0.019185298255065698)</f>
        <v>0.01918529826</v>
      </c>
      <c r="U39" s="331">
        <f>IFERROR(__xludf.DUMMYFUNCTION("""COMPUTED_VALUE"""),0.018741134497729)</f>
        <v>0.0187411345</v>
      </c>
      <c r="V39" s="331">
        <f>IFERROR(__xludf.DUMMYFUNCTION("""COMPUTED_VALUE"""),0.01888241953744137)</f>
        <v>0.01888241954</v>
      </c>
      <c r="W39" s="331">
        <f>IFERROR(__xludf.DUMMYFUNCTION("""COMPUTED_VALUE"""),0.030023668484301647)</f>
        <v>0.03002366848</v>
      </c>
      <c r="X39" s="331">
        <f>IFERROR(__xludf.DUMMYFUNCTION("""COMPUTED_VALUE"""),0.022857679107679107)</f>
        <v>0.02285767911</v>
      </c>
      <c r="Y39" s="331">
        <f>IFERROR(__xludf.DUMMYFUNCTION("""COMPUTED_VALUE"""),0.02312978378680373)</f>
        <v>0.02312978379</v>
      </c>
      <c r="Z39" s="331">
        <f>IFERROR(__xludf.DUMMYFUNCTION("""COMPUTED_VALUE"""),0.01653025843647946)</f>
        <v>0.01653025844</v>
      </c>
      <c r="AA39" s="331">
        <f>IFERROR(__xludf.DUMMYFUNCTION("""COMPUTED_VALUE"""),0.021847017655902818)</f>
        <v>0.02184701766</v>
      </c>
      <c r="AB39" s="331">
        <f>IFERROR(__xludf.DUMMYFUNCTION("""COMPUTED_VALUE"""),0.031007648996069267)</f>
        <v>0.031007649</v>
      </c>
      <c r="AC39" s="331">
        <f>IFERROR(__xludf.DUMMYFUNCTION("""COMPUTED_VALUE"""),0.029668926220650357)</f>
        <v>0.02966892622</v>
      </c>
      <c r="AD39" s="331">
        <f>IFERROR(__xludf.DUMMYFUNCTION("""COMPUTED_VALUE"""),0.03581349206349206)</f>
        <v>0.03581349206</v>
      </c>
      <c r="AE39" s="331">
        <f>IFERROR(__xludf.DUMMYFUNCTION("""COMPUTED_VALUE"""),0.018077399079443217)</f>
        <v>0.01807739908</v>
      </c>
      <c r="AF39" s="331">
        <f>IFERROR(__xludf.DUMMYFUNCTION("""COMPUTED_VALUE"""),0.023793767738709726)</f>
        <v>0.02379376774</v>
      </c>
      <c r="AG39" s="331">
        <f>IFERROR(__xludf.DUMMYFUNCTION("""COMPUTED_VALUE"""),0.013879699016726423)</f>
        <v>0.01387969902</v>
      </c>
      <c r="AH39" s="331">
        <f>IFERROR(__xludf.DUMMYFUNCTION("""COMPUTED_VALUE"""),0.01818374515503876)</f>
        <v>0.01818374516</v>
      </c>
      <c r="AI39" s="331">
        <f>IFERROR(__xludf.DUMMYFUNCTION("""COMPUTED_VALUE"""),0.027656415694591728)</f>
        <v>0.02765641569</v>
      </c>
      <c r="AJ39" s="331">
        <f>IFERROR(__xludf.DUMMYFUNCTION("""COMPUTED_VALUE"""),0.0358209784768442)</f>
        <v>0.03582097848</v>
      </c>
      <c r="AK39" s="331">
        <f>IFERROR(__xludf.DUMMYFUNCTION("""COMPUTED_VALUE"""),0.01685671789786812)</f>
        <v>0.0168567179</v>
      </c>
      <c r="AL39" s="331">
        <f>IFERROR(__xludf.DUMMYFUNCTION("""COMPUTED_VALUE"""),0.01711513701213406)</f>
        <v>0.01711513701</v>
      </c>
      <c r="AM39" s="12"/>
      <c r="AN39" s="12"/>
      <c r="AO39" s="12"/>
      <c r="AP39" s="12"/>
      <c r="AQ39" s="12"/>
      <c r="AR39" s="12"/>
      <c r="AS39" s="12"/>
      <c r="AT39" s="12"/>
    </row>
    <row r="40">
      <c r="B40" s="292" t="s">
        <v>313</v>
      </c>
      <c r="C40" s="12">
        <f>IFERROR(__xludf.DUMMYFUNCTION("""COMPUTED_VALUE"""),417.0)</f>
        <v>417</v>
      </c>
      <c r="D40" s="331">
        <f>IFERROR(__xludf.DUMMYFUNCTION("""COMPUTED_VALUE"""),0.011734028683181226)</f>
        <v>0.01173402868</v>
      </c>
      <c r="E40" s="331">
        <f>IFERROR(__xludf.DUMMYFUNCTION("""COMPUTED_VALUE"""),0.015656499967483903)</f>
        <v>0.01565649997</v>
      </c>
      <c r="F40" s="331">
        <f>IFERROR(__xludf.DUMMYFUNCTION("""COMPUTED_VALUE"""),0.033323008006099886)</f>
        <v>0.03332300801</v>
      </c>
      <c r="G40" s="331">
        <f>IFERROR(__xludf.DUMMYFUNCTION("""COMPUTED_VALUE"""),0.03699584647858553)</f>
        <v>0.03699584648</v>
      </c>
      <c r="H40" s="331">
        <f>IFERROR(__xludf.DUMMYFUNCTION("""COMPUTED_VALUE"""),0.029114972928183068)</f>
        <v>0.02911497293</v>
      </c>
      <c r="I40" s="331">
        <f>IFERROR(__xludf.DUMMYFUNCTION("""COMPUTED_VALUE"""),0.045768843553972274)</f>
        <v>0.04576884355</v>
      </c>
      <c r="J40" s="331">
        <f>IFERROR(__xludf.DUMMYFUNCTION("""COMPUTED_VALUE"""),0.027462307709140245)</f>
        <v>0.02746230771</v>
      </c>
      <c r="K40" s="331">
        <f>IFERROR(__xludf.DUMMYFUNCTION("""COMPUTED_VALUE"""),0.03338234971358339)</f>
        <v>0.03338234971</v>
      </c>
      <c r="L40" s="331">
        <f>IFERROR(__xludf.DUMMYFUNCTION("""COMPUTED_VALUE"""),0.02491477089989065)</f>
        <v>0.0249147709</v>
      </c>
      <c r="M40" s="331">
        <f>IFERROR(__xludf.DUMMYFUNCTION("""COMPUTED_VALUE"""),0.028116806798661964)</f>
        <v>0.0281168068</v>
      </c>
      <c r="N40" s="331">
        <f>IFERROR(__xludf.DUMMYFUNCTION("""COMPUTED_VALUE"""),0.0267030155413785)</f>
        <v>0.02670301554</v>
      </c>
      <c r="O40" s="331">
        <f>IFERROR(__xludf.DUMMYFUNCTION("""COMPUTED_VALUE"""),0.01910918184391809)</f>
        <v>0.01910918184</v>
      </c>
      <c r="P40" s="331">
        <f>IFERROR(__xludf.DUMMYFUNCTION("""COMPUTED_VALUE"""),0.03092503060353888)</f>
        <v>0.0309250306</v>
      </c>
      <c r="Q40" s="331">
        <f>IFERROR(__xludf.DUMMYFUNCTION("""COMPUTED_VALUE"""),0.031879583172520265)</f>
        <v>0.03187958317</v>
      </c>
      <c r="R40" s="331">
        <f>IFERROR(__xludf.DUMMYFUNCTION("""COMPUTED_VALUE"""),0.020454296860757646)</f>
        <v>0.02045429686</v>
      </c>
      <c r="S40" s="331">
        <f>IFERROR(__xludf.DUMMYFUNCTION("""COMPUTED_VALUE"""),0.023490024596884394)</f>
        <v>0.0234900246</v>
      </c>
      <c r="T40" s="331">
        <f>IFERROR(__xludf.DUMMYFUNCTION("""COMPUTED_VALUE"""),0.01465086348807279)</f>
        <v>0.01465086349</v>
      </c>
      <c r="U40" s="331">
        <f>IFERROR(__xludf.DUMMYFUNCTION("""COMPUTED_VALUE"""),0.020259911452437922)</f>
        <v>0.02025991145</v>
      </c>
      <c r="V40" s="331">
        <f>IFERROR(__xludf.DUMMYFUNCTION("""COMPUTED_VALUE"""),0.024866569626394955)</f>
        <v>0.02486656963</v>
      </c>
      <c r="W40" s="331">
        <f>IFERROR(__xludf.DUMMYFUNCTION("""COMPUTED_VALUE"""),0.018019431694846547)</f>
        <v>0.01801943169</v>
      </c>
      <c r="X40" s="331">
        <f>IFERROR(__xludf.DUMMYFUNCTION("""COMPUTED_VALUE"""),0.018876018876018877)</f>
        <v>0.01887601888</v>
      </c>
      <c r="Y40" s="331">
        <f>IFERROR(__xludf.DUMMYFUNCTION("""COMPUTED_VALUE"""),0.021551483323090675)</f>
        <v>0.02155148332</v>
      </c>
      <c r="Z40" s="331">
        <f>IFERROR(__xludf.DUMMYFUNCTION("""COMPUTED_VALUE"""),0.017954817293606956)</f>
        <v>0.01795481729</v>
      </c>
      <c r="AA40" s="331">
        <f>IFERROR(__xludf.DUMMYFUNCTION("""COMPUTED_VALUE"""),0.027421865644832955)</f>
        <v>0.02742186564</v>
      </c>
      <c r="AB40" s="331">
        <f>IFERROR(__xludf.DUMMYFUNCTION("""COMPUTED_VALUE"""),0.02315946032083289)</f>
        <v>0.02315946032</v>
      </c>
      <c r="AC40" s="331">
        <f>IFERROR(__xludf.DUMMYFUNCTION("""COMPUTED_VALUE"""),0.02297447125033332)</f>
        <v>0.02297447125</v>
      </c>
      <c r="AD40" s="331">
        <f>IFERROR(__xludf.DUMMYFUNCTION("""COMPUTED_VALUE"""),0.022052154195011338)</f>
        <v>0.0220521542</v>
      </c>
      <c r="AE40" s="331">
        <f>IFERROR(__xludf.DUMMYFUNCTION("""COMPUTED_VALUE"""),0.015268449376329731)</f>
        <v>0.01526844938</v>
      </c>
      <c r="AF40" s="331">
        <f>IFERROR(__xludf.DUMMYFUNCTION("""COMPUTED_VALUE"""),0.02124968750459552)</f>
        <v>0.0212496875</v>
      </c>
      <c r="AG40" s="331">
        <f>IFERROR(__xludf.DUMMYFUNCTION("""COMPUTED_VALUE"""),0.014710634434579224)</f>
        <v>0.01471063443</v>
      </c>
      <c r="AH40" s="331">
        <f>IFERROR(__xludf.DUMMYFUNCTION("""COMPUTED_VALUE"""),0.031340843023255814)</f>
        <v>0.03134084302</v>
      </c>
      <c r="AI40" s="331">
        <f>IFERROR(__xludf.DUMMYFUNCTION("""COMPUTED_VALUE"""),0.013658536585365854)</f>
        <v>0.01365853659</v>
      </c>
      <c r="AJ40" s="331">
        <f>IFERROR(__xludf.DUMMYFUNCTION("""COMPUTED_VALUE"""),0.023121066014534036)</f>
        <v>0.02312106601</v>
      </c>
      <c r="AK40" s="331">
        <f>IFERROR(__xludf.DUMMYFUNCTION("""COMPUTED_VALUE"""),0.039220678288600944)</f>
        <v>0.03922067829</v>
      </c>
      <c r="AL40" s="331">
        <f>IFERROR(__xludf.DUMMYFUNCTION("""COMPUTED_VALUE"""),0.030120560273634106)</f>
        <v>0.03012056027</v>
      </c>
      <c r="AM40" s="12"/>
      <c r="AN40" s="12"/>
      <c r="AO40" s="12"/>
      <c r="AP40" s="12"/>
      <c r="AQ40" s="12"/>
      <c r="AR40" s="12"/>
      <c r="AS40" s="12"/>
      <c r="AT40" s="12"/>
    </row>
    <row r="41">
      <c r="B41" s="292" t="s">
        <v>310</v>
      </c>
      <c r="C41" s="12">
        <f>IFERROR(__xludf.DUMMYFUNCTION("""COMPUTED_VALUE"""),418.0)</f>
        <v>418</v>
      </c>
      <c r="D41" s="331">
        <f>IFERROR(__xludf.DUMMYFUNCTION("""COMPUTED_VALUE"""),0.011045238739514403)</f>
        <v>0.01104523874</v>
      </c>
      <c r="E41" s="331">
        <f>IFERROR(__xludf.DUMMYFUNCTION("""COMPUTED_VALUE"""),0.009250829160434414)</f>
        <v>0.00925082916</v>
      </c>
      <c r="F41" s="331">
        <f>IFERROR(__xludf.DUMMYFUNCTION("""COMPUTED_VALUE"""),0.029212733511246664)</f>
        <v>0.02921273351</v>
      </c>
      <c r="G41" s="331">
        <f>IFERROR(__xludf.DUMMYFUNCTION("""COMPUTED_VALUE"""),0.02456932749268027)</f>
        <v>0.02456932749</v>
      </c>
      <c r="H41" s="331">
        <f>IFERROR(__xludf.DUMMYFUNCTION("""COMPUTED_VALUE"""),0.01751438722346451)</f>
        <v>0.01751438722</v>
      </c>
      <c r="I41" s="331">
        <f>IFERROR(__xludf.DUMMYFUNCTION("""COMPUTED_VALUE"""),0.013873369547179413)</f>
        <v>0.01387336955</v>
      </c>
      <c r="J41" s="331">
        <f>IFERROR(__xludf.DUMMYFUNCTION("""COMPUTED_VALUE"""),0.018293616928160353)</f>
        <v>0.01829361693</v>
      </c>
      <c r="K41" s="331">
        <f>IFERROR(__xludf.DUMMYFUNCTION("""COMPUTED_VALUE"""),0.023835129381296227)</f>
        <v>0.02383512938</v>
      </c>
      <c r="L41" s="331">
        <f>IFERROR(__xludf.DUMMYFUNCTION("""COMPUTED_VALUE"""),0.02849546516863569)</f>
        <v>0.02849546517</v>
      </c>
      <c r="M41" s="331">
        <f>IFERROR(__xludf.DUMMYFUNCTION("""COMPUTED_VALUE"""),0.021392731217792244)</f>
        <v>0.02139273122</v>
      </c>
      <c r="N41" s="331">
        <f>IFERROR(__xludf.DUMMYFUNCTION("""COMPUTED_VALUE"""),0.01815581600616739)</f>
        <v>0.01815581601</v>
      </c>
      <c r="O41" s="331">
        <f>IFERROR(__xludf.DUMMYFUNCTION("""COMPUTED_VALUE"""),0.02368594885344909)</f>
        <v>0.02368594885</v>
      </c>
      <c r="P41" s="331">
        <f>IFERROR(__xludf.DUMMYFUNCTION("""COMPUTED_VALUE"""),0.02265280130575099)</f>
        <v>0.02265280131</v>
      </c>
      <c r="Q41" s="331">
        <f>IFERROR(__xludf.DUMMYFUNCTION("""COMPUTED_VALUE"""),0.017342081564389555)</f>
        <v>0.01734208156</v>
      </c>
      <c r="R41" s="331">
        <f>IFERROR(__xludf.DUMMYFUNCTION("""COMPUTED_VALUE"""),0.024878161422442605)</f>
        <v>0.02487816142</v>
      </c>
      <c r="S41" s="331">
        <f>IFERROR(__xludf.DUMMYFUNCTION("""COMPUTED_VALUE"""),0.0191172451489478)</f>
        <v>0.01911724515</v>
      </c>
      <c r="T41" s="331">
        <f>IFERROR(__xludf.DUMMYFUNCTION("""COMPUTED_VALUE"""),0.021250486366765436)</f>
        <v>0.02125048637</v>
      </c>
      <c r="U41" s="331">
        <f>IFERROR(__xludf.DUMMYFUNCTION("""COMPUTED_VALUE"""),0.025303397188829825)</f>
        <v>0.02530339719</v>
      </c>
      <c r="V41" s="331">
        <f>IFERROR(__xludf.DUMMYFUNCTION("""COMPUTED_VALUE"""),0.017386382015202977)</f>
        <v>0.01738638202</v>
      </c>
      <c r="W41" s="331">
        <f>IFERROR(__xludf.DUMMYFUNCTION("""COMPUTED_VALUE"""),0.02328926549239601)</f>
        <v>0.02328926549</v>
      </c>
      <c r="X41" s="331">
        <f>IFERROR(__xludf.DUMMYFUNCTION("""COMPUTED_VALUE"""),0.02228120978120978)</f>
        <v>0.02228120978</v>
      </c>
      <c r="Y41" s="331">
        <f>IFERROR(__xludf.DUMMYFUNCTION("""COMPUTED_VALUE"""),0.022417453489021733)</f>
        <v>0.02241745349</v>
      </c>
      <c r="Z41" s="331">
        <f>IFERROR(__xludf.DUMMYFUNCTION("""COMPUTED_VALUE"""),0.019675039309760917)</f>
        <v>0.01967503931</v>
      </c>
      <c r="AA41" s="331">
        <f>IFERROR(__xludf.DUMMYFUNCTION("""COMPUTED_VALUE"""),0.020729387032823746)</f>
        <v>0.02072938703</v>
      </c>
      <c r="AB41" s="331">
        <f>IFERROR(__xludf.DUMMYFUNCTION("""COMPUTED_VALUE"""),0.017343036226495273)</f>
        <v>0.01734303623</v>
      </c>
      <c r="AC41" s="331">
        <f>IFERROR(__xludf.DUMMYFUNCTION("""COMPUTED_VALUE"""),0.024560369387955593)</f>
        <v>0.02456036939</v>
      </c>
      <c r="AD41" s="331">
        <f>IFERROR(__xludf.DUMMYFUNCTION("""COMPUTED_VALUE"""),0.018537414965986394)</f>
        <v>0.01853741497</v>
      </c>
      <c r="AE41" s="331">
        <f>IFERROR(__xludf.DUMMYFUNCTION("""COMPUTED_VALUE"""),0.021247896764145565)</f>
        <v>0.02124789676</v>
      </c>
      <c r="AF41" s="331">
        <f>IFERROR(__xludf.DUMMYFUNCTION("""COMPUTED_VALUE"""),0.021308510168968103)</f>
        <v>0.02130851017</v>
      </c>
      <c r="AG41" s="331">
        <f>IFERROR(__xludf.DUMMYFUNCTION("""COMPUTED_VALUE"""),0.022573745518334437)</f>
        <v>0.02257374552</v>
      </c>
      <c r="AH41" s="331">
        <f>IFERROR(__xludf.DUMMYFUNCTION("""COMPUTED_VALUE"""),0.0210453003875969)</f>
        <v>0.02104530039</v>
      </c>
      <c r="AI41" s="331">
        <f>IFERROR(__xludf.DUMMYFUNCTION("""COMPUTED_VALUE"""),0.022608695652173914)</f>
        <v>0.02260869565</v>
      </c>
      <c r="AJ41" s="331">
        <f>IFERROR(__xludf.DUMMYFUNCTION("""COMPUTED_VALUE"""),0.0252886659533966)</f>
        <v>0.02528866595</v>
      </c>
      <c r="AK41" s="331">
        <f>IFERROR(__xludf.DUMMYFUNCTION("""COMPUTED_VALUE"""),0.025070682978466815)</f>
        <v>0.02507068298</v>
      </c>
      <c r="AL41" s="331">
        <f>IFERROR(__xludf.DUMMYFUNCTION("""COMPUTED_VALUE"""),0.024580249964235086)</f>
        <v>0.02458024996</v>
      </c>
      <c r="AM41" s="12"/>
      <c r="AN41" s="12"/>
      <c r="AO41" s="12"/>
      <c r="AP41" s="12"/>
      <c r="AQ41" s="12"/>
      <c r="AR41" s="12"/>
      <c r="AS41" s="12"/>
      <c r="AT41" s="12"/>
    </row>
    <row r="42">
      <c r="C42" s="12"/>
    </row>
    <row r="43">
      <c r="B43" s="328"/>
      <c r="C43" s="5"/>
    </row>
    <row r="44">
      <c r="B44" s="332" t="s">
        <v>315</v>
      </c>
      <c r="C44" s="333" t="s">
        <v>316</v>
      </c>
      <c r="D44" s="334" t="s">
        <v>317</v>
      </c>
      <c r="E44" s="334" t="s">
        <v>318</v>
      </c>
      <c r="F44" s="334" t="s">
        <v>319</v>
      </c>
      <c r="G44" s="334" t="s">
        <v>320</v>
      </c>
      <c r="H44" s="334" t="s">
        <v>321</v>
      </c>
      <c r="I44" s="334" t="s">
        <v>322</v>
      </c>
      <c r="J44" s="334" t="s">
        <v>323</v>
      </c>
      <c r="K44" s="334" t="s">
        <v>324</v>
      </c>
      <c r="L44" s="334" t="s">
        <v>325</v>
      </c>
      <c r="M44" s="334" t="s">
        <v>326</v>
      </c>
      <c r="N44" s="334" t="s">
        <v>327</v>
      </c>
      <c r="O44" s="334" t="s">
        <v>328</v>
      </c>
      <c r="P44" s="334" t="s">
        <v>329</v>
      </c>
      <c r="Q44" s="334" t="s">
        <v>330</v>
      </c>
      <c r="R44" s="334" t="s">
        <v>331</v>
      </c>
      <c r="S44" s="334" t="s">
        <v>332</v>
      </c>
      <c r="T44" s="334" t="s">
        <v>226</v>
      </c>
      <c r="U44" s="334" t="s">
        <v>227</v>
      </c>
      <c r="V44" s="334" t="s">
        <v>228</v>
      </c>
      <c r="W44" s="334" t="s">
        <v>229</v>
      </c>
      <c r="X44" s="334" t="s">
        <v>230</v>
      </c>
      <c r="Y44" s="334" t="s">
        <v>231</v>
      </c>
      <c r="Z44" s="334" t="s">
        <v>232</v>
      </c>
      <c r="AA44" s="334" t="s">
        <v>333</v>
      </c>
      <c r="AB44" s="334" t="s">
        <v>334</v>
      </c>
      <c r="AC44" s="334" t="s">
        <v>335</v>
      </c>
      <c r="AD44" s="334" t="s">
        <v>336</v>
      </c>
      <c r="AE44" s="334" t="s">
        <v>337</v>
      </c>
      <c r="AF44" s="334" t="s">
        <v>338</v>
      </c>
      <c r="AG44" s="334" t="s">
        <v>339</v>
      </c>
      <c r="AH44" s="334" t="s">
        <v>340</v>
      </c>
      <c r="AI44" s="334" t="s">
        <v>341</v>
      </c>
      <c r="AJ44" s="334" t="s">
        <v>342</v>
      </c>
      <c r="AK44" s="334" t="s">
        <v>343</v>
      </c>
      <c r="AL44" s="334" t="s">
        <v>344</v>
      </c>
      <c r="AM44" s="12"/>
    </row>
    <row r="45">
      <c r="B45" s="292" t="s">
        <v>309</v>
      </c>
      <c r="C45" s="12">
        <v>401.0</v>
      </c>
      <c r="D45" s="331" t="str">
        <f t="shared" ref="D45:P45" si="1">vlookup(D3,'Butter | Sauce Cup'!$B:$M,11,false)</f>
        <v>#REF!</v>
      </c>
      <c r="E45" s="331" t="str">
        <f t="shared" si="1"/>
        <v>#REF!</v>
      </c>
      <c r="F45" s="331" t="str">
        <f t="shared" si="1"/>
        <v>#REF!</v>
      </c>
      <c r="G45" s="331" t="str">
        <f t="shared" si="1"/>
        <v>#REF!</v>
      </c>
      <c r="H45" s="331" t="str">
        <f t="shared" si="1"/>
        <v>#REF!</v>
      </c>
      <c r="I45" s="331" t="str">
        <f t="shared" si="1"/>
        <v>#REF!</v>
      </c>
      <c r="J45" s="331" t="str">
        <f t="shared" si="1"/>
        <v>#REF!</v>
      </c>
      <c r="K45" s="331" t="str">
        <f t="shared" si="1"/>
        <v>#REF!</v>
      </c>
      <c r="L45" s="331" t="str">
        <f t="shared" si="1"/>
        <v>#REF!</v>
      </c>
      <c r="M45" s="331" t="str">
        <f t="shared" si="1"/>
        <v>#REF!</v>
      </c>
      <c r="N45" s="331" t="str">
        <f t="shared" si="1"/>
        <v>#REF!</v>
      </c>
      <c r="O45" s="331" t="str">
        <f t="shared" si="1"/>
        <v>#REF!</v>
      </c>
      <c r="P45" s="331" t="str">
        <f t="shared" si="1"/>
        <v>#REF!</v>
      </c>
      <c r="Q45" s="331" t="str">
        <f t="shared" ref="Q45:AL45" si="2">if(vlookup(Q3,'Butter | Sauce Cup'!$B:$M,11,false)="YES",Q24,"")</f>
        <v>#REF!</v>
      </c>
      <c r="R45" s="331" t="str">
        <f t="shared" si="2"/>
        <v>#REF!</v>
      </c>
      <c r="S45" s="331" t="str">
        <f t="shared" si="2"/>
        <v>#REF!</v>
      </c>
      <c r="T45" s="331" t="str">
        <f t="shared" si="2"/>
        <v>#REF!</v>
      </c>
      <c r="U45" s="331" t="str">
        <f t="shared" si="2"/>
        <v>#REF!</v>
      </c>
      <c r="V45" s="331" t="str">
        <f t="shared" si="2"/>
        <v>#REF!</v>
      </c>
      <c r="W45" s="331" t="str">
        <f t="shared" si="2"/>
        <v>#REF!</v>
      </c>
      <c r="X45" s="331" t="str">
        <f t="shared" si="2"/>
        <v>#REF!</v>
      </c>
      <c r="Y45" s="331" t="str">
        <f t="shared" si="2"/>
        <v>#REF!</v>
      </c>
      <c r="Z45" s="331" t="str">
        <f t="shared" si="2"/>
        <v>#REF!</v>
      </c>
      <c r="AA45" s="331" t="str">
        <f t="shared" si="2"/>
        <v>#REF!</v>
      </c>
      <c r="AB45" s="331" t="str">
        <f t="shared" si="2"/>
        <v>#REF!</v>
      </c>
      <c r="AC45" s="331" t="str">
        <f t="shared" si="2"/>
        <v>#REF!</v>
      </c>
      <c r="AD45" s="331" t="str">
        <f t="shared" si="2"/>
        <v>#REF!</v>
      </c>
      <c r="AE45" s="331" t="str">
        <f t="shared" si="2"/>
        <v>#REF!</v>
      </c>
      <c r="AF45" s="331" t="str">
        <f t="shared" si="2"/>
        <v>#REF!</v>
      </c>
      <c r="AG45" s="331" t="str">
        <f t="shared" si="2"/>
        <v>#REF!</v>
      </c>
      <c r="AH45" s="331" t="str">
        <f t="shared" si="2"/>
        <v>#REF!</v>
      </c>
      <c r="AI45" s="331" t="str">
        <f t="shared" si="2"/>
        <v>#REF!</v>
      </c>
      <c r="AJ45" s="331" t="str">
        <f t="shared" si="2"/>
        <v>#REF!</v>
      </c>
      <c r="AK45" s="331" t="str">
        <f t="shared" si="2"/>
        <v>#REF!</v>
      </c>
      <c r="AL45" s="331" t="str">
        <f t="shared" si="2"/>
        <v>#REF!</v>
      </c>
      <c r="AM45" s="12"/>
    </row>
    <row r="46">
      <c r="B46" s="292" t="s">
        <v>310</v>
      </c>
      <c r="C46" s="12">
        <v>402.0</v>
      </c>
      <c r="D46" s="331" t="str">
        <f t="shared" ref="D46:P46" si="3">vlookup(D4,'Butter | Sauce Cup'!$B:$M,11,false)</f>
        <v>#REF!</v>
      </c>
      <c r="E46" s="331" t="str">
        <f t="shared" si="3"/>
        <v>#REF!</v>
      </c>
      <c r="F46" s="331" t="str">
        <f t="shared" si="3"/>
        <v>#REF!</v>
      </c>
      <c r="G46" s="331" t="str">
        <f t="shared" si="3"/>
        <v>#REF!</v>
      </c>
      <c r="H46" s="331" t="str">
        <f t="shared" si="3"/>
        <v>#REF!</v>
      </c>
      <c r="I46" s="331" t="str">
        <f t="shared" si="3"/>
        <v>#REF!</v>
      </c>
      <c r="J46" s="331" t="str">
        <f t="shared" si="3"/>
        <v>#REF!</v>
      </c>
      <c r="K46" s="331" t="str">
        <f t="shared" si="3"/>
        <v>#REF!</v>
      </c>
      <c r="L46" s="331" t="str">
        <f t="shared" si="3"/>
        <v>#REF!</v>
      </c>
      <c r="M46" s="331" t="str">
        <f t="shared" si="3"/>
        <v>#REF!</v>
      </c>
      <c r="N46" s="331" t="str">
        <f t="shared" si="3"/>
        <v>#REF!</v>
      </c>
      <c r="O46" s="331" t="str">
        <f t="shared" si="3"/>
        <v>#REF!</v>
      </c>
      <c r="P46" s="331" t="str">
        <f t="shared" si="3"/>
        <v>#REF!</v>
      </c>
      <c r="Q46" s="331" t="str">
        <f t="shared" ref="Q46:AL46" si="4">if(vlookup(Q4,'Butter | Sauce Cup'!$B:$M,11,false)="YES",Q25,"")</f>
        <v>#REF!</v>
      </c>
      <c r="R46" s="331" t="str">
        <f t="shared" si="4"/>
        <v>#REF!</v>
      </c>
      <c r="S46" s="331" t="str">
        <f t="shared" si="4"/>
        <v>#REF!</v>
      </c>
      <c r="T46" s="331" t="str">
        <f t="shared" si="4"/>
        <v>#REF!</v>
      </c>
      <c r="U46" s="331" t="str">
        <f t="shared" si="4"/>
        <v>#REF!</v>
      </c>
      <c r="V46" s="331" t="str">
        <f t="shared" si="4"/>
        <v>#REF!</v>
      </c>
      <c r="W46" s="331" t="str">
        <f t="shared" si="4"/>
        <v>#REF!</v>
      </c>
      <c r="X46" s="331" t="str">
        <f t="shared" si="4"/>
        <v>#REF!</v>
      </c>
      <c r="Y46" s="331" t="str">
        <f t="shared" si="4"/>
        <v>#REF!</v>
      </c>
      <c r="Z46" s="331" t="str">
        <f t="shared" si="4"/>
        <v>#REF!</v>
      </c>
      <c r="AA46" s="331" t="str">
        <f t="shared" si="4"/>
        <v>#REF!</v>
      </c>
      <c r="AB46" s="331" t="str">
        <f t="shared" si="4"/>
        <v>#REF!</v>
      </c>
      <c r="AC46" s="331" t="str">
        <f t="shared" si="4"/>
        <v>#REF!</v>
      </c>
      <c r="AD46" s="331" t="str">
        <f t="shared" si="4"/>
        <v>#REF!</v>
      </c>
      <c r="AE46" s="331" t="str">
        <f t="shared" si="4"/>
        <v>#REF!</v>
      </c>
      <c r="AF46" s="331" t="str">
        <f t="shared" si="4"/>
        <v>#REF!</v>
      </c>
      <c r="AG46" s="331" t="str">
        <f t="shared" si="4"/>
        <v>#REF!</v>
      </c>
      <c r="AH46" s="331" t="str">
        <f t="shared" si="4"/>
        <v>#REF!</v>
      </c>
      <c r="AI46" s="331" t="str">
        <f t="shared" si="4"/>
        <v>#REF!</v>
      </c>
      <c r="AJ46" s="331" t="str">
        <f t="shared" si="4"/>
        <v>#REF!</v>
      </c>
      <c r="AK46" s="331" t="str">
        <f t="shared" si="4"/>
        <v>#REF!</v>
      </c>
      <c r="AL46" s="331" t="str">
        <f t="shared" si="4"/>
        <v>#REF!</v>
      </c>
      <c r="AM46" s="12"/>
    </row>
    <row r="47">
      <c r="B47" s="292" t="s">
        <v>99</v>
      </c>
      <c r="C47" s="12">
        <v>403.0</v>
      </c>
      <c r="D47" s="331" t="str">
        <f t="shared" ref="D47:P47" si="5">vlookup(D5,'Butter | Sauce Cup'!$B:$M,11,false)</f>
        <v>#REF!</v>
      </c>
      <c r="E47" s="331" t="str">
        <f t="shared" si="5"/>
        <v>#REF!</v>
      </c>
      <c r="F47" s="331" t="str">
        <f t="shared" si="5"/>
        <v>#REF!</v>
      </c>
      <c r="G47" s="331" t="str">
        <f t="shared" si="5"/>
        <v>#REF!</v>
      </c>
      <c r="H47" s="331" t="str">
        <f t="shared" si="5"/>
        <v>#REF!</v>
      </c>
      <c r="I47" s="331" t="str">
        <f t="shared" si="5"/>
        <v>#REF!</v>
      </c>
      <c r="J47" s="331" t="str">
        <f t="shared" si="5"/>
        <v>#REF!</v>
      </c>
      <c r="K47" s="331" t="str">
        <f t="shared" si="5"/>
        <v>#REF!</v>
      </c>
      <c r="L47" s="331" t="str">
        <f t="shared" si="5"/>
        <v>#REF!</v>
      </c>
      <c r="M47" s="331" t="str">
        <f t="shared" si="5"/>
        <v>#REF!</v>
      </c>
      <c r="N47" s="331" t="str">
        <f t="shared" si="5"/>
        <v>#REF!</v>
      </c>
      <c r="O47" s="331" t="str">
        <f t="shared" si="5"/>
        <v>#REF!</v>
      </c>
      <c r="P47" s="331" t="str">
        <f t="shared" si="5"/>
        <v>#REF!</v>
      </c>
      <c r="Q47" s="331" t="str">
        <f t="shared" ref="Q47:AL47" si="6">if(vlookup(Q5,'Butter | Sauce Cup'!$B:$M,11,false)="YES",Q26,"")</f>
        <v>#REF!</v>
      </c>
      <c r="R47" s="331" t="str">
        <f t="shared" si="6"/>
        <v>#REF!</v>
      </c>
      <c r="S47" s="331" t="str">
        <f t="shared" si="6"/>
        <v>#REF!</v>
      </c>
      <c r="T47" s="331" t="str">
        <f t="shared" si="6"/>
        <v>#REF!</v>
      </c>
      <c r="U47" s="331" t="str">
        <f t="shared" si="6"/>
        <v>#REF!</v>
      </c>
      <c r="V47" s="331" t="str">
        <f t="shared" si="6"/>
        <v>#REF!</v>
      </c>
      <c r="W47" s="331" t="str">
        <f t="shared" si="6"/>
        <v>#REF!</v>
      </c>
      <c r="X47" s="331" t="str">
        <f t="shared" si="6"/>
        <v>#REF!</v>
      </c>
      <c r="Y47" s="331" t="str">
        <f t="shared" si="6"/>
        <v>#REF!</v>
      </c>
      <c r="Z47" s="331" t="str">
        <f t="shared" si="6"/>
        <v>#REF!</v>
      </c>
      <c r="AA47" s="331" t="str">
        <f t="shared" si="6"/>
        <v>#REF!</v>
      </c>
      <c r="AB47" s="331" t="str">
        <f t="shared" si="6"/>
        <v>#REF!</v>
      </c>
      <c r="AC47" s="331" t="str">
        <f t="shared" si="6"/>
        <v>#REF!</v>
      </c>
      <c r="AD47" s="331" t="str">
        <f t="shared" si="6"/>
        <v>#REF!</v>
      </c>
      <c r="AE47" s="331" t="str">
        <f t="shared" si="6"/>
        <v>#REF!</v>
      </c>
      <c r="AF47" s="331" t="str">
        <f t="shared" si="6"/>
        <v>#REF!</v>
      </c>
      <c r="AG47" s="331" t="str">
        <f t="shared" si="6"/>
        <v>#REF!</v>
      </c>
      <c r="AH47" s="331" t="str">
        <f t="shared" si="6"/>
        <v>#REF!</v>
      </c>
      <c r="AI47" s="331" t="str">
        <f t="shared" si="6"/>
        <v>#REF!</v>
      </c>
      <c r="AJ47" s="331" t="str">
        <f t="shared" si="6"/>
        <v>#REF!</v>
      </c>
      <c r="AK47" s="331" t="str">
        <f t="shared" si="6"/>
        <v>#REF!</v>
      </c>
      <c r="AL47" s="331" t="str">
        <f t="shared" si="6"/>
        <v>#REF!</v>
      </c>
      <c r="AM47" s="12"/>
    </row>
    <row r="48">
      <c r="B48" s="292" t="s">
        <v>311</v>
      </c>
      <c r="C48" s="12">
        <v>404.0</v>
      </c>
      <c r="D48" s="331" t="str">
        <f t="shared" ref="D48:P48" si="7">vlookup(D6,'Butter | Sauce Cup'!$B:$M,11,false)</f>
        <v>#REF!</v>
      </c>
      <c r="E48" s="331" t="str">
        <f t="shared" si="7"/>
        <v>#REF!</v>
      </c>
      <c r="F48" s="331" t="str">
        <f t="shared" si="7"/>
        <v>#REF!</v>
      </c>
      <c r="G48" s="331" t="str">
        <f t="shared" si="7"/>
        <v>#REF!</v>
      </c>
      <c r="H48" s="331" t="str">
        <f t="shared" si="7"/>
        <v>#REF!</v>
      </c>
      <c r="I48" s="331" t="str">
        <f t="shared" si="7"/>
        <v>#REF!</v>
      </c>
      <c r="J48" s="331" t="str">
        <f t="shared" si="7"/>
        <v>#REF!</v>
      </c>
      <c r="K48" s="331" t="str">
        <f t="shared" si="7"/>
        <v>#REF!</v>
      </c>
      <c r="L48" s="331" t="str">
        <f t="shared" si="7"/>
        <v>#REF!</v>
      </c>
      <c r="M48" s="331" t="str">
        <f t="shared" si="7"/>
        <v>#REF!</v>
      </c>
      <c r="N48" s="331" t="str">
        <f t="shared" si="7"/>
        <v>#REF!</v>
      </c>
      <c r="O48" s="331" t="str">
        <f t="shared" si="7"/>
        <v>#REF!</v>
      </c>
      <c r="P48" s="331" t="str">
        <f t="shared" si="7"/>
        <v>#REF!</v>
      </c>
      <c r="Q48" s="331" t="str">
        <f t="shared" ref="Q48:AL48" si="8">if(vlookup(Q6,'Butter | Sauce Cup'!$B:$M,11,false)="YES",Q27,"")</f>
        <v>#REF!</v>
      </c>
      <c r="R48" s="331" t="str">
        <f t="shared" si="8"/>
        <v>#REF!</v>
      </c>
      <c r="S48" s="331" t="str">
        <f t="shared" si="8"/>
        <v>#REF!</v>
      </c>
      <c r="T48" s="331" t="str">
        <f t="shared" si="8"/>
        <v>#REF!</v>
      </c>
      <c r="U48" s="331" t="str">
        <f t="shared" si="8"/>
        <v>#REF!</v>
      </c>
      <c r="V48" s="331" t="str">
        <f t="shared" si="8"/>
        <v>#REF!</v>
      </c>
      <c r="W48" s="331" t="str">
        <f t="shared" si="8"/>
        <v>#REF!</v>
      </c>
      <c r="X48" s="331" t="str">
        <f t="shared" si="8"/>
        <v>#REF!</v>
      </c>
      <c r="Y48" s="331" t="str">
        <f t="shared" si="8"/>
        <v>#REF!</v>
      </c>
      <c r="Z48" s="331" t="str">
        <f t="shared" si="8"/>
        <v>#REF!</v>
      </c>
      <c r="AA48" s="331" t="str">
        <f t="shared" si="8"/>
        <v>#REF!</v>
      </c>
      <c r="AB48" s="331" t="str">
        <f t="shared" si="8"/>
        <v>#REF!</v>
      </c>
      <c r="AC48" s="331" t="str">
        <f t="shared" si="8"/>
        <v>#REF!</v>
      </c>
      <c r="AD48" s="331" t="str">
        <f t="shared" si="8"/>
        <v>#REF!</v>
      </c>
      <c r="AE48" s="331" t="str">
        <f t="shared" si="8"/>
        <v>#REF!</v>
      </c>
      <c r="AF48" s="331" t="str">
        <f t="shared" si="8"/>
        <v>#REF!</v>
      </c>
      <c r="AG48" s="331" t="str">
        <f t="shared" si="8"/>
        <v>#REF!</v>
      </c>
      <c r="AH48" s="331" t="str">
        <f t="shared" si="8"/>
        <v>#REF!</v>
      </c>
      <c r="AI48" s="331" t="str">
        <f t="shared" si="8"/>
        <v>#REF!</v>
      </c>
      <c r="AJ48" s="331" t="str">
        <f t="shared" si="8"/>
        <v>#REF!</v>
      </c>
      <c r="AK48" s="331" t="str">
        <f t="shared" si="8"/>
        <v>#REF!</v>
      </c>
      <c r="AL48" s="331" t="str">
        <f t="shared" si="8"/>
        <v>#REF!</v>
      </c>
      <c r="AM48" s="12"/>
    </row>
    <row r="49">
      <c r="B49" s="292" t="s">
        <v>309</v>
      </c>
      <c r="C49" s="12">
        <v>405.0</v>
      </c>
      <c r="D49" s="331" t="str">
        <f t="shared" ref="D49:P49" si="9">vlookup(D7,'Butter | Sauce Cup'!$B:$M,11,false)</f>
        <v>#REF!</v>
      </c>
      <c r="E49" s="331" t="str">
        <f t="shared" si="9"/>
        <v>#REF!</v>
      </c>
      <c r="F49" s="331" t="str">
        <f t="shared" si="9"/>
        <v>#REF!</v>
      </c>
      <c r="G49" s="331" t="str">
        <f t="shared" si="9"/>
        <v>#REF!</v>
      </c>
      <c r="H49" s="331" t="str">
        <f t="shared" si="9"/>
        <v>#REF!</v>
      </c>
      <c r="I49" s="331" t="str">
        <f t="shared" si="9"/>
        <v>#REF!</v>
      </c>
      <c r="J49" s="331" t="str">
        <f t="shared" si="9"/>
        <v>#REF!</v>
      </c>
      <c r="K49" s="331" t="str">
        <f t="shared" si="9"/>
        <v>#REF!</v>
      </c>
      <c r="L49" s="331" t="str">
        <f t="shared" si="9"/>
        <v>#REF!</v>
      </c>
      <c r="M49" s="331" t="str">
        <f t="shared" si="9"/>
        <v>#REF!</v>
      </c>
      <c r="N49" s="331" t="str">
        <f t="shared" si="9"/>
        <v>#REF!</v>
      </c>
      <c r="O49" s="331" t="str">
        <f t="shared" si="9"/>
        <v>#REF!</v>
      </c>
      <c r="P49" s="331" t="str">
        <f t="shared" si="9"/>
        <v>#REF!</v>
      </c>
      <c r="Q49" s="331" t="str">
        <f t="shared" ref="Q49:AL49" si="10">if(vlookup(Q7,'Butter | Sauce Cup'!$B:$M,11,false)="YES",Q28,"")</f>
        <v>#REF!</v>
      </c>
      <c r="R49" s="331" t="str">
        <f t="shared" si="10"/>
        <v>#REF!</v>
      </c>
      <c r="S49" s="331" t="str">
        <f t="shared" si="10"/>
        <v>#REF!</v>
      </c>
      <c r="T49" s="331" t="str">
        <f t="shared" si="10"/>
        <v>#REF!</v>
      </c>
      <c r="U49" s="331" t="str">
        <f t="shared" si="10"/>
        <v>#REF!</v>
      </c>
      <c r="V49" s="331" t="str">
        <f t="shared" si="10"/>
        <v>#REF!</v>
      </c>
      <c r="W49" s="331" t="str">
        <f t="shared" si="10"/>
        <v>#REF!</v>
      </c>
      <c r="X49" s="331" t="str">
        <f t="shared" si="10"/>
        <v>#REF!</v>
      </c>
      <c r="Y49" s="331" t="str">
        <f t="shared" si="10"/>
        <v>#REF!</v>
      </c>
      <c r="Z49" s="331" t="str">
        <f t="shared" si="10"/>
        <v>#REF!</v>
      </c>
      <c r="AA49" s="331" t="str">
        <f t="shared" si="10"/>
        <v>#REF!</v>
      </c>
      <c r="AB49" s="331" t="str">
        <f t="shared" si="10"/>
        <v>#REF!</v>
      </c>
      <c r="AC49" s="331" t="str">
        <f t="shared" si="10"/>
        <v>#REF!</v>
      </c>
      <c r="AD49" s="331" t="str">
        <f t="shared" si="10"/>
        <v>#REF!</v>
      </c>
      <c r="AE49" s="331" t="str">
        <f t="shared" si="10"/>
        <v>#REF!</v>
      </c>
      <c r="AF49" s="331" t="str">
        <f t="shared" si="10"/>
        <v>#REF!</v>
      </c>
      <c r="AG49" s="331" t="str">
        <f t="shared" si="10"/>
        <v>#REF!</v>
      </c>
      <c r="AH49" s="331" t="str">
        <f t="shared" si="10"/>
        <v>#REF!</v>
      </c>
      <c r="AI49" s="331" t="str">
        <f t="shared" si="10"/>
        <v>#REF!</v>
      </c>
      <c r="AJ49" s="331" t="str">
        <f t="shared" si="10"/>
        <v>#REF!</v>
      </c>
      <c r="AK49" s="331" t="str">
        <f t="shared" si="10"/>
        <v>#REF!</v>
      </c>
      <c r="AL49" s="331" t="str">
        <f t="shared" si="10"/>
        <v>#REF!</v>
      </c>
      <c r="AM49" s="12"/>
    </row>
    <row r="50">
      <c r="B50" s="292" t="s">
        <v>99</v>
      </c>
      <c r="C50" s="12">
        <v>406.0</v>
      </c>
      <c r="D50" s="331" t="str">
        <f t="shared" ref="D50:P50" si="11">vlookup(D8,'Butter | Sauce Cup'!$B:$M,11,false)</f>
        <v>#REF!</v>
      </c>
      <c r="E50" s="331" t="str">
        <f t="shared" si="11"/>
        <v>#REF!</v>
      </c>
      <c r="F50" s="331" t="str">
        <f t="shared" si="11"/>
        <v>#REF!</v>
      </c>
      <c r="G50" s="331" t="str">
        <f t="shared" si="11"/>
        <v>#REF!</v>
      </c>
      <c r="H50" s="331" t="str">
        <f t="shared" si="11"/>
        <v>#REF!</v>
      </c>
      <c r="I50" s="331" t="str">
        <f t="shared" si="11"/>
        <v>#REF!</v>
      </c>
      <c r="J50" s="331" t="str">
        <f t="shared" si="11"/>
        <v>#REF!</v>
      </c>
      <c r="K50" s="331" t="str">
        <f t="shared" si="11"/>
        <v>#REF!</v>
      </c>
      <c r="L50" s="331" t="str">
        <f t="shared" si="11"/>
        <v>#REF!</v>
      </c>
      <c r="M50" s="331" t="str">
        <f t="shared" si="11"/>
        <v>#REF!</v>
      </c>
      <c r="N50" s="331" t="str">
        <f t="shared" si="11"/>
        <v>#REF!</v>
      </c>
      <c r="O50" s="331" t="str">
        <f t="shared" si="11"/>
        <v>#REF!</v>
      </c>
      <c r="P50" s="331" t="str">
        <f t="shared" si="11"/>
        <v>#REF!</v>
      </c>
      <c r="Q50" s="331" t="str">
        <f t="shared" ref="Q50:AL50" si="12">if(vlookup(Q8,'Butter | Sauce Cup'!$B:$M,11,false)="YES",Q29,"")</f>
        <v>#REF!</v>
      </c>
      <c r="R50" s="331" t="str">
        <f t="shared" si="12"/>
        <v>#REF!</v>
      </c>
      <c r="S50" s="331" t="str">
        <f t="shared" si="12"/>
        <v>#REF!</v>
      </c>
      <c r="T50" s="331" t="str">
        <f t="shared" si="12"/>
        <v>#REF!</v>
      </c>
      <c r="U50" s="331" t="str">
        <f t="shared" si="12"/>
        <v>#REF!</v>
      </c>
      <c r="V50" s="331" t="str">
        <f t="shared" si="12"/>
        <v>#REF!</v>
      </c>
      <c r="W50" s="331" t="str">
        <f t="shared" si="12"/>
        <v>#REF!</v>
      </c>
      <c r="X50" s="331" t="str">
        <f t="shared" si="12"/>
        <v>#REF!</v>
      </c>
      <c r="Y50" s="331" t="str">
        <f t="shared" si="12"/>
        <v>#REF!</v>
      </c>
      <c r="Z50" s="331" t="str">
        <f t="shared" si="12"/>
        <v>#REF!</v>
      </c>
      <c r="AA50" s="331" t="str">
        <f t="shared" si="12"/>
        <v>#REF!</v>
      </c>
      <c r="AB50" s="331" t="str">
        <f t="shared" si="12"/>
        <v>#REF!</v>
      </c>
      <c r="AC50" s="331" t="str">
        <f t="shared" si="12"/>
        <v>#REF!</v>
      </c>
      <c r="AD50" s="331" t="str">
        <f t="shared" si="12"/>
        <v>#REF!</v>
      </c>
      <c r="AE50" s="331" t="str">
        <f t="shared" si="12"/>
        <v>#REF!</v>
      </c>
      <c r="AF50" s="331" t="str">
        <f t="shared" si="12"/>
        <v>#REF!</v>
      </c>
      <c r="AG50" s="331" t="str">
        <f t="shared" si="12"/>
        <v>#REF!</v>
      </c>
      <c r="AH50" s="331" t="str">
        <f t="shared" si="12"/>
        <v>#REF!</v>
      </c>
      <c r="AI50" s="331" t="str">
        <f t="shared" si="12"/>
        <v>#REF!</v>
      </c>
      <c r="AJ50" s="331" t="str">
        <f t="shared" si="12"/>
        <v>#REF!</v>
      </c>
      <c r="AK50" s="331" t="str">
        <f t="shared" si="12"/>
        <v>#REF!</v>
      </c>
      <c r="AL50" s="331" t="str">
        <f t="shared" si="12"/>
        <v>#REF!</v>
      </c>
      <c r="AM50" s="12"/>
    </row>
    <row r="51">
      <c r="B51" s="292" t="s">
        <v>99</v>
      </c>
      <c r="C51" s="12">
        <v>407.0</v>
      </c>
      <c r="D51" s="331" t="str">
        <f t="shared" ref="D51:P51" si="13">vlookup(D9,'Butter | Sauce Cup'!$B:$M,11,false)</f>
        <v>#REF!</v>
      </c>
      <c r="E51" s="331" t="str">
        <f t="shared" si="13"/>
        <v>#REF!</v>
      </c>
      <c r="F51" s="331" t="str">
        <f t="shared" si="13"/>
        <v>#REF!</v>
      </c>
      <c r="G51" s="331" t="str">
        <f t="shared" si="13"/>
        <v>#REF!</v>
      </c>
      <c r="H51" s="331" t="str">
        <f t="shared" si="13"/>
        <v>#REF!</v>
      </c>
      <c r="I51" s="331" t="str">
        <f t="shared" si="13"/>
        <v>#REF!</v>
      </c>
      <c r="J51" s="331" t="str">
        <f t="shared" si="13"/>
        <v>#REF!</v>
      </c>
      <c r="K51" s="331" t="str">
        <f t="shared" si="13"/>
        <v>#REF!</v>
      </c>
      <c r="L51" s="331" t="str">
        <f t="shared" si="13"/>
        <v>#REF!</v>
      </c>
      <c r="M51" s="331" t="str">
        <f t="shared" si="13"/>
        <v>#REF!</v>
      </c>
      <c r="N51" s="331" t="str">
        <f t="shared" si="13"/>
        <v>#REF!</v>
      </c>
      <c r="O51" s="331" t="str">
        <f t="shared" si="13"/>
        <v>#REF!</v>
      </c>
      <c r="P51" s="331" t="str">
        <f t="shared" si="13"/>
        <v>#REF!</v>
      </c>
      <c r="Q51" s="331" t="str">
        <f t="shared" ref="Q51:AL51" si="14">if(vlookup(Q9,'Butter | Sauce Cup'!$B:$M,11,false)="YES",Q30,"")</f>
        <v>#REF!</v>
      </c>
      <c r="R51" s="331" t="str">
        <f t="shared" si="14"/>
        <v>#REF!</v>
      </c>
      <c r="S51" s="331" t="str">
        <f t="shared" si="14"/>
        <v>#REF!</v>
      </c>
      <c r="T51" s="331" t="str">
        <f t="shared" si="14"/>
        <v>#REF!</v>
      </c>
      <c r="U51" s="331" t="str">
        <f t="shared" si="14"/>
        <v>#REF!</v>
      </c>
      <c r="V51" s="331" t="str">
        <f t="shared" si="14"/>
        <v>#REF!</v>
      </c>
      <c r="W51" s="331" t="str">
        <f t="shared" si="14"/>
        <v>#REF!</v>
      </c>
      <c r="X51" s="331" t="str">
        <f t="shared" si="14"/>
        <v>#REF!</v>
      </c>
      <c r="Y51" s="331" t="str">
        <f t="shared" si="14"/>
        <v>#REF!</v>
      </c>
      <c r="Z51" s="331" t="str">
        <f t="shared" si="14"/>
        <v>#REF!</v>
      </c>
      <c r="AA51" s="331" t="str">
        <f t="shared" si="14"/>
        <v>#REF!</v>
      </c>
      <c r="AB51" s="331" t="str">
        <f t="shared" si="14"/>
        <v>#REF!</v>
      </c>
      <c r="AC51" s="331" t="str">
        <f t="shared" si="14"/>
        <v>#REF!</v>
      </c>
      <c r="AD51" s="331" t="str">
        <f t="shared" si="14"/>
        <v>#REF!</v>
      </c>
      <c r="AE51" s="331" t="str">
        <f t="shared" si="14"/>
        <v>#REF!</v>
      </c>
      <c r="AF51" s="331" t="str">
        <f t="shared" si="14"/>
        <v>#REF!</v>
      </c>
      <c r="AG51" s="331" t="str">
        <f t="shared" si="14"/>
        <v>#REF!</v>
      </c>
      <c r="AH51" s="331" t="str">
        <f t="shared" si="14"/>
        <v>#REF!</v>
      </c>
      <c r="AI51" s="331" t="str">
        <f t="shared" si="14"/>
        <v>#REF!</v>
      </c>
      <c r="AJ51" s="331" t="str">
        <f t="shared" si="14"/>
        <v>#REF!</v>
      </c>
      <c r="AK51" s="331" t="str">
        <f t="shared" si="14"/>
        <v>#REF!</v>
      </c>
      <c r="AL51" s="331" t="str">
        <f t="shared" si="14"/>
        <v>#REF!</v>
      </c>
      <c r="AM51" s="12"/>
    </row>
    <row r="52">
      <c r="B52" s="292" t="s">
        <v>99</v>
      </c>
      <c r="C52" s="12">
        <v>408.0</v>
      </c>
      <c r="D52" s="331" t="str">
        <f t="shared" ref="D52:P52" si="15">vlookup(D10,'Butter | Sauce Cup'!$B:$M,11,false)</f>
        <v>#REF!</v>
      </c>
      <c r="E52" s="331" t="str">
        <f t="shared" si="15"/>
        <v>#REF!</v>
      </c>
      <c r="F52" s="331" t="str">
        <f t="shared" si="15"/>
        <v>#REF!</v>
      </c>
      <c r="G52" s="331" t="str">
        <f t="shared" si="15"/>
        <v>#REF!</v>
      </c>
      <c r="H52" s="331" t="str">
        <f t="shared" si="15"/>
        <v>#REF!</v>
      </c>
      <c r="I52" s="331" t="str">
        <f t="shared" si="15"/>
        <v>#REF!</v>
      </c>
      <c r="J52" s="331" t="str">
        <f t="shared" si="15"/>
        <v>#REF!</v>
      </c>
      <c r="K52" s="331" t="str">
        <f t="shared" si="15"/>
        <v>#REF!</v>
      </c>
      <c r="L52" s="331" t="str">
        <f t="shared" si="15"/>
        <v>#REF!</v>
      </c>
      <c r="M52" s="331" t="str">
        <f t="shared" si="15"/>
        <v>#REF!</v>
      </c>
      <c r="N52" s="331" t="str">
        <f t="shared" si="15"/>
        <v>#REF!</v>
      </c>
      <c r="O52" s="331" t="str">
        <f t="shared" si="15"/>
        <v>#REF!</v>
      </c>
      <c r="P52" s="331" t="str">
        <f t="shared" si="15"/>
        <v>#REF!</v>
      </c>
      <c r="Q52" s="331" t="str">
        <f t="shared" ref="Q52:AL52" si="16">if(vlookup(Q10,'Butter | Sauce Cup'!$B:$M,11,false)="YES",Q31,"")</f>
        <v>#REF!</v>
      </c>
      <c r="R52" s="331" t="str">
        <f t="shared" si="16"/>
        <v>#REF!</v>
      </c>
      <c r="S52" s="331" t="str">
        <f t="shared" si="16"/>
        <v>#REF!</v>
      </c>
      <c r="T52" s="331" t="str">
        <f t="shared" si="16"/>
        <v>#REF!</v>
      </c>
      <c r="U52" s="331" t="str">
        <f t="shared" si="16"/>
        <v>#REF!</v>
      </c>
      <c r="V52" s="331" t="str">
        <f t="shared" si="16"/>
        <v>#REF!</v>
      </c>
      <c r="W52" s="331" t="str">
        <f t="shared" si="16"/>
        <v>#REF!</v>
      </c>
      <c r="X52" s="331" t="str">
        <f t="shared" si="16"/>
        <v>#REF!</v>
      </c>
      <c r="Y52" s="331" t="str">
        <f t="shared" si="16"/>
        <v>#REF!</v>
      </c>
      <c r="Z52" s="331" t="str">
        <f t="shared" si="16"/>
        <v>#REF!</v>
      </c>
      <c r="AA52" s="331" t="str">
        <f t="shared" si="16"/>
        <v>#REF!</v>
      </c>
      <c r="AB52" s="331" t="str">
        <f t="shared" si="16"/>
        <v>#REF!</v>
      </c>
      <c r="AC52" s="331" t="str">
        <f t="shared" si="16"/>
        <v>#REF!</v>
      </c>
      <c r="AD52" s="331" t="str">
        <f t="shared" si="16"/>
        <v>#REF!</v>
      </c>
      <c r="AE52" s="331" t="str">
        <f t="shared" si="16"/>
        <v>#REF!</v>
      </c>
      <c r="AF52" s="331" t="str">
        <f t="shared" si="16"/>
        <v>#REF!</v>
      </c>
      <c r="AG52" s="331" t="str">
        <f t="shared" si="16"/>
        <v>#REF!</v>
      </c>
      <c r="AH52" s="331" t="str">
        <f t="shared" si="16"/>
        <v>#REF!</v>
      </c>
      <c r="AI52" s="331" t="str">
        <f t="shared" si="16"/>
        <v>#REF!</v>
      </c>
      <c r="AJ52" s="331" t="str">
        <f t="shared" si="16"/>
        <v>#REF!</v>
      </c>
      <c r="AK52" s="331" t="str">
        <f t="shared" si="16"/>
        <v>#REF!</v>
      </c>
      <c r="AL52" s="331" t="str">
        <f t="shared" si="16"/>
        <v>#REF!</v>
      </c>
      <c r="AM52" s="12"/>
    </row>
    <row r="53">
      <c r="B53" s="292" t="s">
        <v>103</v>
      </c>
      <c r="C53" s="12">
        <v>409.0</v>
      </c>
      <c r="D53" s="331" t="str">
        <f t="shared" ref="D53:P53" si="17">vlookup(D11,'Butter | Sauce Cup'!$B:$M,11,false)</f>
        <v>#REF!</v>
      </c>
      <c r="E53" s="331" t="str">
        <f t="shared" si="17"/>
        <v>#REF!</v>
      </c>
      <c r="F53" s="331" t="str">
        <f t="shared" si="17"/>
        <v>#REF!</v>
      </c>
      <c r="G53" s="331" t="str">
        <f t="shared" si="17"/>
        <v>#REF!</v>
      </c>
      <c r="H53" s="331" t="str">
        <f t="shared" si="17"/>
        <v>#REF!</v>
      </c>
      <c r="I53" s="331" t="str">
        <f t="shared" si="17"/>
        <v>#REF!</v>
      </c>
      <c r="J53" s="331" t="str">
        <f t="shared" si="17"/>
        <v>#REF!</v>
      </c>
      <c r="K53" s="331" t="str">
        <f t="shared" si="17"/>
        <v>#REF!</v>
      </c>
      <c r="L53" s="331" t="str">
        <f t="shared" si="17"/>
        <v>#REF!</v>
      </c>
      <c r="M53" s="331" t="str">
        <f t="shared" si="17"/>
        <v>#REF!</v>
      </c>
      <c r="N53" s="331" t="str">
        <f t="shared" si="17"/>
        <v>#REF!</v>
      </c>
      <c r="O53" s="331" t="str">
        <f t="shared" si="17"/>
        <v>#REF!</v>
      </c>
      <c r="P53" s="331" t="str">
        <f t="shared" si="17"/>
        <v>#REF!</v>
      </c>
      <c r="Q53" s="331" t="str">
        <f t="shared" ref="Q53:AL53" si="18">if(vlookup(Q11,'Butter | Sauce Cup'!$B:$M,11,false)="YES",Q32,"")</f>
        <v>#REF!</v>
      </c>
      <c r="R53" s="331" t="str">
        <f t="shared" si="18"/>
        <v>#REF!</v>
      </c>
      <c r="S53" s="331" t="str">
        <f t="shared" si="18"/>
        <v>#REF!</v>
      </c>
      <c r="T53" s="331" t="str">
        <f t="shared" si="18"/>
        <v>#REF!</v>
      </c>
      <c r="U53" s="331" t="str">
        <f t="shared" si="18"/>
        <v>#REF!</v>
      </c>
      <c r="V53" s="331" t="str">
        <f t="shared" si="18"/>
        <v>#REF!</v>
      </c>
      <c r="W53" s="331" t="str">
        <f t="shared" si="18"/>
        <v>#REF!</v>
      </c>
      <c r="X53" s="331" t="str">
        <f t="shared" si="18"/>
        <v>#REF!</v>
      </c>
      <c r="Y53" s="331" t="str">
        <f t="shared" si="18"/>
        <v>#REF!</v>
      </c>
      <c r="Z53" s="331" t="str">
        <f t="shared" si="18"/>
        <v>#REF!</v>
      </c>
      <c r="AA53" s="331" t="str">
        <f t="shared" si="18"/>
        <v>#REF!</v>
      </c>
      <c r="AB53" s="331" t="str">
        <f t="shared" si="18"/>
        <v>#REF!</v>
      </c>
      <c r="AC53" s="331" t="str">
        <f t="shared" si="18"/>
        <v>#REF!</v>
      </c>
      <c r="AD53" s="331" t="str">
        <f t="shared" si="18"/>
        <v>#REF!</v>
      </c>
      <c r="AE53" s="331" t="str">
        <f t="shared" si="18"/>
        <v>#REF!</v>
      </c>
      <c r="AF53" s="331" t="str">
        <f t="shared" si="18"/>
        <v>#REF!</v>
      </c>
      <c r="AG53" s="331" t="str">
        <f t="shared" si="18"/>
        <v>#REF!</v>
      </c>
      <c r="AH53" s="331" t="str">
        <f t="shared" si="18"/>
        <v>#REF!</v>
      </c>
      <c r="AI53" s="331" t="str">
        <f t="shared" si="18"/>
        <v>#REF!</v>
      </c>
      <c r="AJ53" s="331" t="str">
        <f t="shared" si="18"/>
        <v>#REF!</v>
      </c>
      <c r="AK53" s="331" t="str">
        <f t="shared" si="18"/>
        <v>#REF!</v>
      </c>
      <c r="AL53" s="331" t="str">
        <f t="shared" si="18"/>
        <v>#REF!</v>
      </c>
      <c r="AM53" s="12"/>
    </row>
    <row r="54">
      <c r="B54" s="292" t="s">
        <v>103</v>
      </c>
      <c r="C54" s="12">
        <v>410.0</v>
      </c>
      <c r="D54" s="331" t="str">
        <f t="shared" ref="D54:P54" si="19">vlookup(D12,'Butter | Sauce Cup'!$B:$M,11,false)</f>
        <v>#REF!</v>
      </c>
      <c r="E54" s="331" t="str">
        <f t="shared" si="19"/>
        <v>#REF!</v>
      </c>
      <c r="F54" s="331" t="str">
        <f t="shared" si="19"/>
        <v>#REF!</v>
      </c>
      <c r="G54" s="331" t="str">
        <f t="shared" si="19"/>
        <v>#REF!</v>
      </c>
      <c r="H54" s="331" t="str">
        <f t="shared" si="19"/>
        <v>#REF!</v>
      </c>
      <c r="I54" s="331" t="str">
        <f t="shared" si="19"/>
        <v>#REF!</v>
      </c>
      <c r="J54" s="331" t="str">
        <f t="shared" si="19"/>
        <v>#REF!</v>
      </c>
      <c r="K54" s="331" t="str">
        <f t="shared" si="19"/>
        <v>#REF!</v>
      </c>
      <c r="L54" s="331" t="str">
        <f t="shared" si="19"/>
        <v>#REF!</v>
      </c>
      <c r="M54" s="331" t="str">
        <f t="shared" si="19"/>
        <v>#REF!</v>
      </c>
      <c r="N54" s="331" t="str">
        <f t="shared" si="19"/>
        <v>#REF!</v>
      </c>
      <c r="O54" s="331" t="str">
        <f t="shared" si="19"/>
        <v>#REF!</v>
      </c>
      <c r="P54" s="331" t="str">
        <f t="shared" si="19"/>
        <v>#REF!</v>
      </c>
      <c r="Q54" s="331" t="str">
        <f t="shared" ref="Q54:AL54" si="20">if(vlookup(Q12,'Butter | Sauce Cup'!$B:$M,11,false)="YES",Q33,"")</f>
        <v>#REF!</v>
      </c>
      <c r="R54" s="331" t="str">
        <f t="shared" si="20"/>
        <v>#REF!</v>
      </c>
      <c r="S54" s="331" t="str">
        <f t="shared" si="20"/>
        <v>#REF!</v>
      </c>
      <c r="T54" s="331" t="str">
        <f t="shared" si="20"/>
        <v>#REF!</v>
      </c>
      <c r="U54" s="331" t="str">
        <f t="shared" si="20"/>
        <v>#REF!</v>
      </c>
      <c r="V54" s="331" t="str">
        <f t="shared" si="20"/>
        <v>#REF!</v>
      </c>
      <c r="W54" s="331" t="str">
        <f t="shared" si="20"/>
        <v>#REF!</v>
      </c>
      <c r="X54" s="331" t="str">
        <f t="shared" si="20"/>
        <v>#REF!</v>
      </c>
      <c r="Y54" s="331" t="str">
        <f t="shared" si="20"/>
        <v>#REF!</v>
      </c>
      <c r="Z54" s="331" t="str">
        <f t="shared" si="20"/>
        <v>#REF!</v>
      </c>
      <c r="AA54" s="331" t="str">
        <f t="shared" si="20"/>
        <v>#REF!</v>
      </c>
      <c r="AB54" s="331" t="str">
        <f t="shared" si="20"/>
        <v>#REF!</v>
      </c>
      <c r="AC54" s="331" t="str">
        <f t="shared" si="20"/>
        <v>#REF!</v>
      </c>
      <c r="AD54" s="331" t="str">
        <f t="shared" si="20"/>
        <v>#REF!</v>
      </c>
      <c r="AE54" s="331" t="str">
        <f t="shared" si="20"/>
        <v>#REF!</v>
      </c>
      <c r="AF54" s="331" t="str">
        <f t="shared" si="20"/>
        <v>#REF!</v>
      </c>
      <c r="AG54" s="331" t="str">
        <f t="shared" si="20"/>
        <v>#REF!</v>
      </c>
      <c r="AH54" s="331" t="str">
        <f t="shared" si="20"/>
        <v>#REF!</v>
      </c>
      <c r="AI54" s="331" t="str">
        <f t="shared" si="20"/>
        <v>#REF!</v>
      </c>
      <c r="AJ54" s="331" t="str">
        <f t="shared" si="20"/>
        <v>#REF!</v>
      </c>
      <c r="AK54" s="331" t="str">
        <f t="shared" si="20"/>
        <v>#REF!</v>
      </c>
      <c r="AL54" s="331" t="str">
        <f t="shared" si="20"/>
        <v>#REF!</v>
      </c>
      <c r="AM54" s="12"/>
    </row>
    <row r="55">
      <c r="B55" s="292" t="s">
        <v>312</v>
      </c>
      <c r="C55" s="12">
        <v>411.0</v>
      </c>
      <c r="D55" s="331" t="str">
        <f t="shared" ref="D55:P55" si="21">vlookup(D13,'Butter | Sauce Cup'!$B:$M,11,false)</f>
        <v>#REF!</v>
      </c>
      <c r="E55" s="331" t="str">
        <f t="shared" si="21"/>
        <v>#REF!</v>
      </c>
      <c r="F55" s="331" t="str">
        <f t="shared" si="21"/>
        <v>#REF!</v>
      </c>
      <c r="G55" s="331" t="str">
        <f t="shared" si="21"/>
        <v>#REF!</v>
      </c>
      <c r="H55" s="331" t="str">
        <f t="shared" si="21"/>
        <v>#REF!</v>
      </c>
      <c r="I55" s="331" t="str">
        <f t="shared" si="21"/>
        <v>#REF!</v>
      </c>
      <c r="J55" s="331" t="str">
        <f t="shared" si="21"/>
        <v>#REF!</v>
      </c>
      <c r="K55" s="331" t="str">
        <f t="shared" si="21"/>
        <v>#REF!</v>
      </c>
      <c r="L55" s="331" t="str">
        <f t="shared" si="21"/>
        <v>#REF!</v>
      </c>
      <c r="M55" s="331" t="str">
        <f t="shared" si="21"/>
        <v>#REF!</v>
      </c>
      <c r="N55" s="331" t="str">
        <f t="shared" si="21"/>
        <v>#REF!</v>
      </c>
      <c r="O55" s="331" t="str">
        <f t="shared" si="21"/>
        <v>#REF!</v>
      </c>
      <c r="P55" s="331" t="str">
        <f t="shared" si="21"/>
        <v>#REF!</v>
      </c>
      <c r="Q55" s="331" t="str">
        <f t="shared" ref="Q55:AL55" si="22">if(vlookup(Q13,'Butter | Sauce Cup'!$B:$M,11,false)="YES",Q34,"")</f>
        <v>#REF!</v>
      </c>
      <c r="R55" s="331" t="str">
        <f t="shared" si="22"/>
        <v>#REF!</v>
      </c>
      <c r="S55" s="331" t="str">
        <f t="shared" si="22"/>
        <v>#REF!</v>
      </c>
      <c r="T55" s="331" t="str">
        <f t="shared" si="22"/>
        <v>#REF!</v>
      </c>
      <c r="U55" s="331" t="str">
        <f t="shared" si="22"/>
        <v>#REF!</v>
      </c>
      <c r="V55" s="331" t="str">
        <f t="shared" si="22"/>
        <v>#REF!</v>
      </c>
      <c r="W55" s="331" t="str">
        <f t="shared" si="22"/>
        <v>#REF!</v>
      </c>
      <c r="X55" s="331" t="str">
        <f t="shared" si="22"/>
        <v>#REF!</v>
      </c>
      <c r="Y55" s="331" t="str">
        <f t="shared" si="22"/>
        <v>#REF!</v>
      </c>
      <c r="Z55" s="331" t="str">
        <f t="shared" si="22"/>
        <v>#REF!</v>
      </c>
      <c r="AA55" s="331" t="str">
        <f t="shared" si="22"/>
        <v>#REF!</v>
      </c>
      <c r="AB55" s="331" t="str">
        <f t="shared" si="22"/>
        <v>#REF!</v>
      </c>
      <c r="AC55" s="331" t="str">
        <f t="shared" si="22"/>
        <v>#REF!</v>
      </c>
      <c r="AD55" s="331" t="str">
        <f t="shared" si="22"/>
        <v>#REF!</v>
      </c>
      <c r="AE55" s="331" t="str">
        <f t="shared" si="22"/>
        <v>#REF!</v>
      </c>
      <c r="AF55" s="331" t="str">
        <f t="shared" si="22"/>
        <v>#REF!</v>
      </c>
      <c r="AG55" s="331" t="str">
        <f t="shared" si="22"/>
        <v>#REF!</v>
      </c>
      <c r="AH55" s="331" t="str">
        <f t="shared" si="22"/>
        <v>#REF!</v>
      </c>
      <c r="AI55" s="331" t="str">
        <f t="shared" si="22"/>
        <v>#REF!</v>
      </c>
      <c r="AJ55" s="331" t="str">
        <f t="shared" si="22"/>
        <v>#REF!</v>
      </c>
      <c r="AK55" s="331" t="str">
        <f t="shared" si="22"/>
        <v>#REF!</v>
      </c>
      <c r="AL55" s="331" t="str">
        <f t="shared" si="22"/>
        <v>#REF!</v>
      </c>
      <c r="AM55" s="12"/>
    </row>
    <row r="56">
      <c r="B56" s="292" t="s">
        <v>313</v>
      </c>
      <c r="C56" s="12">
        <v>412.0</v>
      </c>
      <c r="D56" s="331" t="str">
        <f t="shared" ref="D56:P56" si="23">vlookup(D14,'Butter | Sauce Cup'!$B:$M,11,false)</f>
        <v>#REF!</v>
      </c>
      <c r="E56" s="331" t="str">
        <f t="shared" si="23"/>
        <v>#REF!</v>
      </c>
      <c r="F56" s="331" t="str">
        <f t="shared" si="23"/>
        <v>#REF!</v>
      </c>
      <c r="G56" s="331" t="str">
        <f t="shared" si="23"/>
        <v>#REF!</v>
      </c>
      <c r="H56" s="331" t="str">
        <f t="shared" si="23"/>
        <v>#REF!</v>
      </c>
      <c r="I56" s="331" t="str">
        <f t="shared" si="23"/>
        <v>#REF!</v>
      </c>
      <c r="J56" s="331" t="str">
        <f t="shared" si="23"/>
        <v>#REF!</v>
      </c>
      <c r="K56" s="331" t="str">
        <f t="shared" si="23"/>
        <v>#REF!</v>
      </c>
      <c r="L56" s="331" t="str">
        <f t="shared" si="23"/>
        <v>#REF!</v>
      </c>
      <c r="M56" s="331" t="str">
        <f t="shared" si="23"/>
        <v>#REF!</v>
      </c>
      <c r="N56" s="331" t="str">
        <f t="shared" si="23"/>
        <v>#REF!</v>
      </c>
      <c r="O56" s="331" t="str">
        <f t="shared" si="23"/>
        <v>#REF!</v>
      </c>
      <c r="P56" s="331" t="str">
        <f t="shared" si="23"/>
        <v>#REF!</v>
      </c>
      <c r="Q56" s="331" t="str">
        <f t="shared" ref="Q56:AL56" si="24">if(vlookup(Q14,'Butter | Sauce Cup'!$B:$M,11,false)="YES",Q35,"")</f>
        <v>#REF!</v>
      </c>
      <c r="R56" s="331" t="str">
        <f t="shared" si="24"/>
        <v>#REF!</v>
      </c>
      <c r="S56" s="331" t="str">
        <f t="shared" si="24"/>
        <v>#REF!</v>
      </c>
      <c r="T56" s="331" t="str">
        <f t="shared" si="24"/>
        <v>#REF!</v>
      </c>
      <c r="U56" s="331" t="str">
        <f t="shared" si="24"/>
        <v>#REF!</v>
      </c>
      <c r="V56" s="331" t="str">
        <f t="shared" si="24"/>
        <v>#REF!</v>
      </c>
      <c r="W56" s="331" t="str">
        <f t="shared" si="24"/>
        <v>#REF!</v>
      </c>
      <c r="X56" s="331" t="str">
        <f t="shared" si="24"/>
        <v>#REF!</v>
      </c>
      <c r="Y56" s="331" t="str">
        <f t="shared" si="24"/>
        <v>#REF!</v>
      </c>
      <c r="Z56" s="331" t="str">
        <f t="shared" si="24"/>
        <v>#REF!</v>
      </c>
      <c r="AA56" s="331" t="str">
        <f t="shared" si="24"/>
        <v>#REF!</v>
      </c>
      <c r="AB56" s="331" t="str">
        <f t="shared" si="24"/>
        <v>#REF!</v>
      </c>
      <c r="AC56" s="331" t="str">
        <f t="shared" si="24"/>
        <v>#REF!</v>
      </c>
      <c r="AD56" s="331" t="str">
        <f t="shared" si="24"/>
        <v>#REF!</v>
      </c>
      <c r="AE56" s="331" t="str">
        <f t="shared" si="24"/>
        <v>#REF!</v>
      </c>
      <c r="AF56" s="331" t="str">
        <f t="shared" si="24"/>
        <v>#REF!</v>
      </c>
      <c r="AG56" s="331" t="str">
        <f t="shared" si="24"/>
        <v>#REF!</v>
      </c>
      <c r="AH56" s="331" t="str">
        <f t="shared" si="24"/>
        <v>#REF!</v>
      </c>
      <c r="AI56" s="331" t="str">
        <f t="shared" si="24"/>
        <v>#REF!</v>
      </c>
      <c r="AJ56" s="331" t="str">
        <f t="shared" si="24"/>
        <v>#REF!</v>
      </c>
      <c r="AK56" s="331" t="str">
        <f t="shared" si="24"/>
        <v>#REF!</v>
      </c>
      <c r="AL56" s="331" t="str">
        <f t="shared" si="24"/>
        <v>#REF!</v>
      </c>
      <c r="AM56" s="12"/>
    </row>
    <row r="57">
      <c r="B57" s="292" t="s">
        <v>313</v>
      </c>
      <c r="C57" s="12">
        <v>413.0</v>
      </c>
      <c r="D57" s="331" t="str">
        <f t="shared" ref="D57:P57" si="25">vlookup(D15,'Butter | Sauce Cup'!$B:$M,11,false)</f>
        <v>#REF!</v>
      </c>
      <c r="E57" s="331" t="str">
        <f t="shared" si="25"/>
        <v>#REF!</v>
      </c>
      <c r="F57" s="331" t="str">
        <f t="shared" si="25"/>
        <v>#REF!</v>
      </c>
      <c r="G57" s="331" t="str">
        <f t="shared" si="25"/>
        <v>#REF!</v>
      </c>
      <c r="H57" s="331" t="str">
        <f t="shared" si="25"/>
        <v>#REF!</v>
      </c>
      <c r="I57" s="331" t="str">
        <f t="shared" si="25"/>
        <v>#REF!</v>
      </c>
      <c r="J57" s="331" t="str">
        <f t="shared" si="25"/>
        <v>#REF!</v>
      </c>
      <c r="K57" s="331" t="str">
        <f t="shared" si="25"/>
        <v>#REF!</v>
      </c>
      <c r="L57" s="331" t="str">
        <f t="shared" si="25"/>
        <v>#REF!</v>
      </c>
      <c r="M57" s="331" t="str">
        <f t="shared" si="25"/>
        <v>#REF!</v>
      </c>
      <c r="N57" s="331" t="str">
        <f t="shared" si="25"/>
        <v>#REF!</v>
      </c>
      <c r="O57" s="331" t="str">
        <f t="shared" si="25"/>
        <v>#REF!</v>
      </c>
      <c r="P57" s="331" t="str">
        <f t="shared" si="25"/>
        <v>#REF!</v>
      </c>
      <c r="Q57" s="331" t="str">
        <f t="shared" ref="Q57:AL57" si="26">if(vlookup(Q15,'Butter | Sauce Cup'!$B:$M,11,false)="YES",Q36,"")</f>
        <v>#REF!</v>
      </c>
      <c r="R57" s="331" t="str">
        <f t="shared" si="26"/>
        <v>#REF!</v>
      </c>
      <c r="S57" s="331" t="str">
        <f t="shared" si="26"/>
        <v>#REF!</v>
      </c>
      <c r="T57" s="331" t="str">
        <f t="shared" si="26"/>
        <v>#REF!</v>
      </c>
      <c r="U57" s="331" t="str">
        <f t="shared" si="26"/>
        <v>#REF!</v>
      </c>
      <c r="V57" s="331" t="str">
        <f t="shared" si="26"/>
        <v>#REF!</v>
      </c>
      <c r="W57" s="331" t="str">
        <f t="shared" si="26"/>
        <v>#REF!</v>
      </c>
      <c r="X57" s="331" t="str">
        <f t="shared" si="26"/>
        <v>#REF!</v>
      </c>
      <c r="Y57" s="331" t="str">
        <f t="shared" si="26"/>
        <v>#REF!</v>
      </c>
      <c r="Z57" s="331" t="str">
        <f t="shared" si="26"/>
        <v>#REF!</v>
      </c>
      <c r="AA57" s="331" t="str">
        <f t="shared" si="26"/>
        <v>#REF!</v>
      </c>
      <c r="AB57" s="331" t="str">
        <f t="shared" si="26"/>
        <v>#REF!</v>
      </c>
      <c r="AC57" s="331" t="str">
        <f t="shared" si="26"/>
        <v>#REF!</v>
      </c>
      <c r="AD57" s="331" t="str">
        <f t="shared" si="26"/>
        <v>#REF!</v>
      </c>
      <c r="AE57" s="331" t="str">
        <f t="shared" si="26"/>
        <v>#REF!</v>
      </c>
      <c r="AF57" s="331" t="str">
        <f t="shared" si="26"/>
        <v>#REF!</v>
      </c>
      <c r="AG57" s="331" t="str">
        <f t="shared" si="26"/>
        <v>#REF!</v>
      </c>
      <c r="AH57" s="331" t="str">
        <f t="shared" si="26"/>
        <v>#REF!</v>
      </c>
      <c r="AI57" s="331" t="str">
        <f t="shared" si="26"/>
        <v>#REF!</v>
      </c>
      <c r="AJ57" s="331" t="str">
        <f t="shared" si="26"/>
        <v>#REF!</v>
      </c>
      <c r="AK57" s="331" t="str">
        <f t="shared" si="26"/>
        <v>#REF!</v>
      </c>
      <c r="AL57" s="331" t="str">
        <f t="shared" si="26"/>
        <v>#REF!</v>
      </c>
      <c r="AM57" s="12"/>
    </row>
    <row r="58">
      <c r="B58" s="292" t="s">
        <v>310</v>
      </c>
      <c r="C58" s="12">
        <v>414.0</v>
      </c>
      <c r="D58" s="331" t="str">
        <f t="shared" ref="D58:P58" si="27">vlookup(D16,'Butter | Sauce Cup'!$B:$M,11,false)</f>
        <v>#REF!</v>
      </c>
      <c r="E58" s="331" t="str">
        <f t="shared" si="27"/>
        <v>#REF!</v>
      </c>
      <c r="F58" s="331" t="str">
        <f t="shared" si="27"/>
        <v>#REF!</v>
      </c>
      <c r="G58" s="331" t="str">
        <f t="shared" si="27"/>
        <v>#REF!</v>
      </c>
      <c r="H58" s="331" t="str">
        <f t="shared" si="27"/>
        <v>#REF!</v>
      </c>
      <c r="I58" s="331" t="str">
        <f t="shared" si="27"/>
        <v>#REF!</v>
      </c>
      <c r="J58" s="331" t="str">
        <f t="shared" si="27"/>
        <v>#REF!</v>
      </c>
      <c r="K58" s="331" t="str">
        <f t="shared" si="27"/>
        <v>#REF!</v>
      </c>
      <c r="L58" s="331" t="str">
        <f t="shared" si="27"/>
        <v>#REF!</v>
      </c>
      <c r="M58" s="331" t="str">
        <f t="shared" si="27"/>
        <v>#REF!</v>
      </c>
      <c r="N58" s="331" t="str">
        <f t="shared" si="27"/>
        <v>#REF!</v>
      </c>
      <c r="O58" s="331" t="str">
        <f t="shared" si="27"/>
        <v>#REF!</v>
      </c>
      <c r="P58" s="331" t="str">
        <f t="shared" si="27"/>
        <v>#REF!</v>
      </c>
      <c r="Q58" s="331" t="str">
        <f t="shared" ref="Q58:AL58" si="28">if(vlookup(Q16,'Butter | Sauce Cup'!$B:$M,11,false)="YES",Q37,"")</f>
        <v>#REF!</v>
      </c>
      <c r="R58" s="331" t="str">
        <f t="shared" si="28"/>
        <v>#REF!</v>
      </c>
      <c r="S58" s="331" t="str">
        <f t="shared" si="28"/>
        <v>#REF!</v>
      </c>
      <c r="T58" s="331" t="str">
        <f t="shared" si="28"/>
        <v>#REF!</v>
      </c>
      <c r="U58" s="331" t="str">
        <f t="shared" si="28"/>
        <v>#REF!</v>
      </c>
      <c r="V58" s="331" t="str">
        <f t="shared" si="28"/>
        <v>#REF!</v>
      </c>
      <c r="W58" s="331" t="str">
        <f t="shared" si="28"/>
        <v>#REF!</v>
      </c>
      <c r="X58" s="331" t="str">
        <f t="shared" si="28"/>
        <v>#REF!</v>
      </c>
      <c r="Y58" s="331" t="str">
        <f t="shared" si="28"/>
        <v>#REF!</v>
      </c>
      <c r="Z58" s="331" t="str">
        <f t="shared" si="28"/>
        <v>#REF!</v>
      </c>
      <c r="AA58" s="331" t="str">
        <f t="shared" si="28"/>
        <v>#REF!</v>
      </c>
      <c r="AB58" s="331" t="str">
        <f t="shared" si="28"/>
        <v>#REF!</v>
      </c>
      <c r="AC58" s="331" t="str">
        <f t="shared" si="28"/>
        <v>#REF!</v>
      </c>
      <c r="AD58" s="331" t="str">
        <f t="shared" si="28"/>
        <v>#REF!</v>
      </c>
      <c r="AE58" s="331" t="str">
        <f t="shared" si="28"/>
        <v>#REF!</v>
      </c>
      <c r="AF58" s="331" t="str">
        <f t="shared" si="28"/>
        <v>#REF!</v>
      </c>
      <c r="AG58" s="331" t="str">
        <f t="shared" si="28"/>
        <v>#REF!</v>
      </c>
      <c r="AH58" s="331" t="str">
        <f t="shared" si="28"/>
        <v>#REF!</v>
      </c>
      <c r="AI58" s="331" t="str">
        <f t="shared" si="28"/>
        <v>#REF!</v>
      </c>
      <c r="AJ58" s="331" t="str">
        <f t="shared" si="28"/>
        <v>#REF!</v>
      </c>
      <c r="AK58" s="331" t="str">
        <f t="shared" si="28"/>
        <v>#REF!</v>
      </c>
      <c r="AL58" s="331" t="str">
        <f t="shared" si="28"/>
        <v>#REF!</v>
      </c>
      <c r="AM58" s="12"/>
    </row>
    <row r="59">
      <c r="B59" s="292" t="s">
        <v>314</v>
      </c>
      <c r="C59" s="12">
        <v>415.0</v>
      </c>
      <c r="D59" s="331" t="str">
        <f t="shared" ref="D59:P59" si="29">vlookup(D17,'Butter | Sauce Cup'!$B:$M,11,false)</f>
        <v>#REF!</v>
      </c>
      <c r="E59" s="331" t="str">
        <f t="shared" si="29"/>
        <v>#REF!</v>
      </c>
      <c r="F59" s="331" t="str">
        <f t="shared" si="29"/>
        <v>#REF!</v>
      </c>
      <c r="G59" s="331" t="str">
        <f t="shared" si="29"/>
        <v>#REF!</v>
      </c>
      <c r="H59" s="331" t="str">
        <f t="shared" si="29"/>
        <v>#REF!</v>
      </c>
      <c r="I59" s="331" t="str">
        <f t="shared" si="29"/>
        <v>#REF!</v>
      </c>
      <c r="J59" s="331" t="str">
        <f t="shared" si="29"/>
        <v>#REF!</v>
      </c>
      <c r="K59" s="331" t="str">
        <f t="shared" si="29"/>
        <v>#REF!</v>
      </c>
      <c r="L59" s="331" t="str">
        <f t="shared" si="29"/>
        <v>#REF!</v>
      </c>
      <c r="M59" s="331" t="str">
        <f t="shared" si="29"/>
        <v>#REF!</v>
      </c>
      <c r="N59" s="331" t="str">
        <f t="shared" si="29"/>
        <v>#REF!</v>
      </c>
      <c r="O59" s="331" t="str">
        <f t="shared" si="29"/>
        <v>#REF!</v>
      </c>
      <c r="P59" s="331" t="str">
        <f t="shared" si="29"/>
        <v>#REF!</v>
      </c>
      <c r="Q59" s="331" t="str">
        <f t="shared" ref="Q59:AL59" si="30">if(vlookup(Q17,'Butter | Sauce Cup'!$B:$M,11,false)="YES",Q38,"")</f>
        <v>#REF!</v>
      </c>
      <c r="R59" s="331" t="str">
        <f t="shared" si="30"/>
        <v>#REF!</v>
      </c>
      <c r="S59" s="331" t="str">
        <f t="shared" si="30"/>
        <v>#REF!</v>
      </c>
      <c r="T59" s="331" t="str">
        <f t="shared" si="30"/>
        <v>#REF!</v>
      </c>
      <c r="U59" s="331" t="str">
        <f t="shared" si="30"/>
        <v>#REF!</v>
      </c>
      <c r="V59" s="331" t="str">
        <f t="shared" si="30"/>
        <v>#REF!</v>
      </c>
      <c r="W59" s="331" t="str">
        <f t="shared" si="30"/>
        <v>#REF!</v>
      </c>
      <c r="X59" s="331" t="str">
        <f t="shared" si="30"/>
        <v>#REF!</v>
      </c>
      <c r="Y59" s="331" t="str">
        <f t="shared" si="30"/>
        <v>#REF!</v>
      </c>
      <c r="Z59" s="331" t="str">
        <f t="shared" si="30"/>
        <v>#REF!</v>
      </c>
      <c r="AA59" s="331" t="str">
        <f t="shared" si="30"/>
        <v>#REF!</v>
      </c>
      <c r="AB59" s="331" t="str">
        <f t="shared" si="30"/>
        <v>#REF!</v>
      </c>
      <c r="AC59" s="331" t="str">
        <f t="shared" si="30"/>
        <v>#REF!</v>
      </c>
      <c r="AD59" s="331" t="str">
        <f t="shared" si="30"/>
        <v>#REF!</v>
      </c>
      <c r="AE59" s="331" t="str">
        <f t="shared" si="30"/>
        <v>#REF!</v>
      </c>
      <c r="AF59" s="331" t="str">
        <f t="shared" si="30"/>
        <v>#REF!</v>
      </c>
      <c r="AG59" s="331" t="str">
        <f t="shared" si="30"/>
        <v>#REF!</v>
      </c>
      <c r="AH59" s="331" t="str">
        <f t="shared" si="30"/>
        <v>#REF!</v>
      </c>
      <c r="AI59" s="331" t="str">
        <f t="shared" si="30"/>
        <v>#REF!</v>
      </c>
      <c r="AJ59" s="331" t="str">
        <f t="shared" si="30"/>
        <v>#REF!</v>
      </c>
      <c r="AK59" s="331" t="str">
        <f t="shared" si="30"/>
        <v>#REF!</v>
      </c>
      <c r="AL59" s="331" t="str">
        <f t="shared" si="30"/>
        <v>#REF!</v>
      </c>
      <c r="AM59" s="12"/>
    </row>
    <row r="60">
      <c r="B60" s="292" t="s">
        <v>99</v>
      </c>
      <c r="C60" s="12">
        <v>416.0</v>
      </c>
      <c r="D60" s="331" t="str">
        <f t="shared" ref="D60:P60" si="31">vlookup(D18,'Butter | Sauce Cup'!$B:$M,11,false)</f>
        <v>#REF!</v>
      </c>
      <c r="E60" s="331" t="str">
        <f t="shared" si="31"/>
        <v>#REF!</v>
      </c>
      <c r="F60" s="331" t="str">
        <f t="shared" si="31"/>
        <v>#REF!</v>
      </c>
      <c r="G60" s="331" t="str">
        <f t="shared" si="31"/>
        <v>#REF!</v>
      </c>
      <c r="H60" s="331" t="str">
        <f t="shared" si="31"/>
        <v>#REF!</v>
      </c>
      <c r="I60" s="331" t="str">
        <f t="shared" si="31"/>
        <v>#REF!</v>
      </c>
      <c r="J60" s="331" t="str">
        <f t="shared" si="31"/>
        <v>#REF!</v>
      </c>
      <c r="K60" s="331" t="str">
        <f t="shared" si="31"/>
        <v>#REF!</v>
      </c>
      <c r="L60" s="331" t="str">
        <f t="shared" si="31"/>
        <v>#REF!</v>
      </c>
      <c r="M60" s="331" t="str">
        <f t="shared" si="31"/>
        <v>#REF!</v>
      </c>
      <c r="N60" s="331" t="str">
        <f t="shared" si="31"/>
        <v>#REF!</v>
      </c>
      <c r="O60" s="331" t="str">
        <f t="shared" si="31"/>
        <v>#REF!</v>
      </c>
      <c r="P60" s="331" t="str">
        <f t="shared" si="31"/>
        <v>#REF!</v>
      </c>
      <c r="Q60" s="331" t="str">
        <f t="shared" ref="Q60:AI60" si="32">if(vlookup(Q18,'Butter | Sauce Cup'!$B:$M,11,false)="YES",Q39,"")</f>
        <v>#REF!</v>
      </c>
      <c r="R60" s="331" t="str">
        <f t="shared" si="32"/>
        <v>#REF!</v>
      </c>
      <c r="S60" s="331" t="str">
        <f t="shared" si="32"/>
        <v>#REF!</v>
      </c>
      <c r="T60" s="331" t="str">
        <f t="shared" si="32"/>
        <v>#REF!</v>
      </c>
      <c r="U60" s="331" t="str">
        <f t="shared" si="32"/>
        <v>#REF!</v>
      </c>
      <c r="V60" s="331" t="str">
        <f t="shared" si="32"/>
        <v>#REF!</v>
      </c>
      <c r="W60" s="331" t="str">
        <f t="shared" si="32"/>
        <v>#REF!</v>
      </c>
      <c r="X60" s="331" t="str">
        <f t="shared" si="32"/>
        <v>#REF!</v>
      </c>
      <c r="Y60" s="331" t="str">
        <f t="shared" si="32"/>
        <v>#REF!</v>
      </c>
      <c r="Z60" s="331" t="str">
        <f t="shared" si="32"/>
        <v>#REF!</v>
      </c>
      <c r="AA60" s="331" t="str">
        <f t="shared" si="32"/>
        <v>#REF!</v>
      </c>
      <c r="AB60" s="331" t="str">
        <f t="shared" si="32"/>
        <v>#REF!</v>
      </c>
      <c r="AC60" s="331" t="str">
        <f t="shared" si="32"/>
        <v>#REF!</v>
      </c>
      <c r="AD60" s="331" t="str">
        <f t="shared" si="32"/>
        <v>#REF!</v>
      </c>
      <c r="AE60" s="331" t="str">
        <f t="shared" si="32"/>
        <v>#REF!</v>
      </c>
      <c r="AF60" s="331" t="str">
        <f t="shared" si="32"/>
        <v>#REF!</v>
      </c>
      <c r="AG60" s="331" t="str">
        <f t="shared" si="32"/>
        <v>#REF!</v>
      </c>
      <c r="AH60" s="331" t="str">
        <f t="shared" si="32"/>
        <v>#REF!</v>
      </c>
      <c r="AI60" s="331" t="str">
        <f t="shared" si="32"/>
        <v>#REF!</v>
      </c>
      <c r="AJ60" s="331"/>
      <c r="AK60" s="331" t="str">
        <f t="shared" ref="AK60:AL60" si="33">if(vlookup(AK18,'Butter | Sauce Cup'!$B:$M,11,false)="YES",AK39,"")</f>
        <v>#REF!</v>
      </c>
      <c r="AL60" s="331" t="str">
        <f t="shared" si="33"/>
        <v>#REF!</v>
      </c>
      <c r="AM60" s="12"/>
    </row>
    <row r="61">
      <c r="B61" s="292" t="s">
        <v>313</v>
      </c>
      <c r="C61" s="12">
        <v>417.0</v>
      </c>
      <c r="D61" s="331" t="str">
        <f t="shared" ref="D61:P61" si="34">vlookup(D19,'Butter | Sauce Cup'!$B:$M,11,false)</f>
        <v>#REF!</v>
      </c>
      <c r="E61" s="331" t="str">
        <f t="shared" si="34"/>
        <v>#REF!</v>
      </c>
      <c r="F61" s="331" t="str">
        <f t="shared" si="34"/>
        <v>#REF!</v>
      </c>
      <c r="G61" s="331" t="str">
        <f t="shared" si="34"/>
        <v>#REF!</v>
      </c>
      <c r="H61" s="331" t="str">
        <f t="shared" si="34"/>
        <v>#REF!</v>
      </c>
      <c r="I61" s="331" t="str">
        <f t="shared" si="34"/>
        <v>#REF!</v>
      </c>
      <c r="J61" s="331" t="str">
        <f t="shared" si="34"/>
        <v>#REF!</v>
      </c>
      <c r="K61" s="331" t="str">
        <f t="shared" si="34"/>
        <v>#REF!</v>
      </c>
      <c r="L61" s="331" t="str">
        <f t="shared" si="34"/>
        <v>#REF!</v>
      </c>
      <c r="M61" s="331" t="str">
        <f t="shared" si="34"/>
        <v>#REF!</v>
      </c>
      <c r="N61" s="331" t="str">
        <f t="shared" si="34"/>
        <v>#REF!</v>
      </c>
      <c r="O61" s="331" t="str">
        <f t="shared" si="34"/>
        <v>#REF!</v>
      </c>
      <c r="P61" s="331" t="str">
        <f t="shared" si="34"/>
        <v>#REF!</v>
      </c>
      <c r="Q61" s="331" t="str">
        <f t="shared" ref="Q61:AK61" si="35">if(vlookup(Q19,'Butter | Sauce Cup'!$B:$M,11,false)="YES",Q40,"")</f>
        <v>#REF!</v>
      </c>
      <c r="R61" s="331" t="str">
        <f t="shared" si="35"/>
        <v>#REF!</v>
      </c>
      <c r="S61" s="331" t="str">
        <f t="shared" si="35"/>
        <v>#REF!</v>
      </c>
      <c r="T61" s="331" t="str">
        <f t="shared" si="35"/>
        <v>#REF!</v>
      </c>
      <c r="U61" s="331" t="str">
        <f t="shared" si="35"/>
        <v>#REF!</v>
      </c>
      <c r="V61" s="331" t="str">
        <f t="shared" si="35"/>
        <v>#REF!</v>
      </c>
      <c r="W61" s="331" t="str">
        <f t="shared" si="35"/>
        <v>#REF!</v>
      </c>
      <c r="X61" s="331" t="str">
        <f t="shared" si="35"/>
        <v>#REF!</v>
      </c>
      <c r="Y61" s="331" t="str">
        <f t="shared" si="35"/>
        <v>#REF!</v>
      </c>
      <c r="Z61" s="331" t="str">
        <f t="shared" si="35"/>
        <v>#REF!</v>
      </c>
      <c r="AA61" s="331" t="str">
        <f t="shared" si="35"/>
        <v>#REF!</v>
      </c>
      <c r="AB61" s="331" t="str">
        <f t="shared" si="35"/>
        <v>#REF!</v>
      </c>
      <c r="AC61" s="331" t="str">
        <f t="shared" si="35"/>
        <v>#REF!</v>
      </c>
      <c r="AD61" s="331" t="str">
        <f t="shared" si="35"/>
        <v>#REF!</v>
      </c>
      <c r="AE61" s="331" t="str">
        <f t="shared" si="35"/>
        <v>#REF!</v>
      </c>
      <c r="AF61" s="331" t="str">
        <f t="shared" si="35"/>
        <v>#REF!</v>
      </c>
      <c r="AG61" s="331" t="str">
        <f t="shared" si="35"/>
        <v>#REF!</v>
      </c>
      <c r="AH61" s="331" t="str">
        <f t="shared" si="35"/>
        <v>#REF!</v>
      </c>
      <c r="AI61" s="331" t="str">
        <f t="shared" si="35"/>
        <v>#REF!</v>
      </c>
      <c r="AJ61" s="331" t="str">
        <f t="shared" si="35"/>
        <v>#REF!</v>
      </c>
      <c r="AK61" s="331" t="str">
        <f t="shared" si="35"/>
        <v>#REF!</v>
      </c>
      <c r="AL61" s="331"/>
      <c r="AM61" s="12"/>
    </row>
    <row r="62">
      <c r="B62" s="292" t="s">
        <v>310</v>
      </c>
      <c r="C62" s="12">
        <v>418.0</v>
      </c>
      <c r="D62" s="331" t="str">
        <f t="shared" ref="D62:P62" si="36">vlookup(D20,'Butter | Sauce Cup'!$B:$M,11,false)</f>
        <v>#REF!</v>
      </c>
      <c r="E62" s="331" t="str">
        <f t="shared" si="36"/>
        <v>#REF!</v>
      </c>
      <c r="F62" s="331" t="str">
        <f t="shared" si="36"/>
        <v>#REF!</v>
      </c>
      <c r="G62" s="331" t="str">
        <f t="shared" si="36"/>
        <v>#REF!</v>
      </c>
      <c r="H62" s="331" t="str">
        <f t="shared" si="36"/>
        <v>#REF!</v>
      </c>
      <c r="I62" s="331" t="str">
        <f t="shared" si="36"/>
        <v>#REF!</v>
      </c>
      <c r="J62" s="331" t="str">
        <f t="shared" si="36"/>
        <v>#REF!</v>
      </c>
      <c r="K62" s="331" t="str">
        <f t="shared" si="36"/>
        <v>#REF!</v>
      </c>
      <c r="L62" s="331" t="str">
        <f t="shared" si="36"/>
        <v>#REF!</v>
      </c>
      <c r="M62" s="331" t="str">
        <f t="shared" si="36"/>
        <v>#REF!</v>
      </c>
      <c r="N62" s="331" t="str">
        <f t="shared" si="36"/>
        <v>#REF!</v>
      </c>
      <c r="O62" s="331" t="str">
        <f t="shared" si="36"/>
        <v>#REF!</v>
      </c>
      <c r="P62" s="331" t="str">
        <f t="shared" si="36"/>
        <v>#REF!</v>
      </c>
      <c r="Q62" s="331" t="str">
        <f t="shared" ref="Q62:AL62" si="37">if(vlookup(Q20,'Butter | Sauce Cup'!$B:$M,11,false)="YES",Q41,"")</f>
        <v>#REF!</v>
      </c>
      <c r="R62" s="331" t="str">
        <f t="shared" si="37"/>
        <v>#REF!</v>
      </c>
      <c r="S62" s="331" t="str">
        <f t="shared" si="37"/>
        <v>#REF!</v>
      </c>
      <c r="T62" s="331" t="str">
        <f t="shared" si="37"/>
        <v>#REF!</v>
      </c>
      <c r="U62" s="331" t="str">
        <f t="shared" si="37"/>
        <v>#REF!</v>
      </c>
      <c r="V62" s="331" t="str">
        <f t="shared" si="37"/>
        <v>#REF!</v>
      </c>
      <c r="W62" s="331" t="str">
        <f t="shared" si="37"/>
        <v>#REF!</v>
      </c>
      <c r="X62" s="331" t="str">
        <f t="shared" si="37"/>
        <v>#REF!</v>
      </c>
      <c r="Y62" s="331" t="str">
        <f t="shared" si="37"/>
        <v>#REF!</v>
      </c>
      <c r="Z62" s="331" t="str">
        <f t="shared" si="37"/>
        <v>#REF!</v>
      </c>
      <c r="AA62" s="331" t="str">
        <f t="shared" si="37"/>
        <v>#REF!</v>
      </c>
      <c r="AB62" s="331" t="str">
        <f t="shared" si="37"/>
        <v>#REF!</v>
      </c>
      <c r="AC62" s="331" t="str">
        <f t="shared" si="37"/>
        <v>#REF!</v>
      </c>
      <c r="AD62" s="331" t="str">
        <f t="shared" si="37"/>
        <v>#REF!</v>
      </c>
      <c r="AE62" s="331" t="str">
        <f t="shared" si="37"/>
        <v>#REF!</v>
      </c>
      <c r="AF62" s="331" t="str">
        <f t="shared" si="37"/>
        <v>#REF!</v>
      </c>
      <c r="AG62" s="331" t="str">
        <f t="shared" si="37"/>
        <v>#REF!</v>
      </c>
      <c r="AH62" s="331" t="str">
        <f t="shared" si="37"/>
        <v>#REF!</v>
      </c>
      <c r="AI62" s="331" t="str">
        <f t="shared" si="37"/>
        <v>#REF!</v>
      </c>
      <c r="AJ62" s="331" t="str">
        <f t="shared" si="37"/>
        <v>#REF!</v>
      </c>
      <c r="AK62" s="331" t="str">
        <f t="shared" si="37"/>
        <v>#REF!</v>
      </c>
      <c r="AL62" s="331" t="str">
        <f t="shared" si="37"/>
        <v>#REF!</v>
      </c>
      <c r="AM62" s="12"/>
    </row>
    <row r="63">
      <c r="B63" s="335" t="s">
        <v>345</v>
      </c>
      <c r="C63" s="336"/>
      <c r="D63" s="336"/>
      <c r="E63" s="336"/>
      <c r="F63" s="336"/>
      <c r="G63" s="336"/>
      <c r="H63" s="336"/>
      <c r="I63" s="336"/>
      <c r="J63" s="336"/>
      <c r="K63" s="336"/>
      <c r="L63" s="336"/>
      <c r="M63" s="336"/>
      <c r="N63" s="336"/>
      <c r="O63" s="336"/>
      <c r="P63" s="336"/>
      <c r="Q63" s="336" t="str">
        <f t="shared" ref="Q63:AL63" si="38">sum(Q45:Q62)</f>
        <v>#REF!</v>
      </c>
      <c r="R63" s="336" t="str">
        <f t="shared" si="38"/>
        <v>#REF!</v>
      </c>
      <c r="S63" s="336" t="str">
        <f t="shared" si="38"/>
        <v>#REF!</v>
      </c>
      <c r="T63" s="336" t="str">
        <f t="shared" si="38"/>
        <v>#REF!</v>
      </c>
      <c r="U63" s="336" t="str">
        <f t="shared" si="38"/>
        <v>#REF!</v>
      </c>
      <c r="V63" s="336" t="str">
        <f t="shared" si="38"/>
        <v>#REF!</v>
      </c>
      <c r="W63" s="336" t="str">
        <f t="shared" si="38"/>
        <v>#REF!</v>
      </c>
      <c r="X63" s="336" t="str">
        <f t="shared" si="38"/>
        <v>#REF!</v>
      </c>
      <c r="Y63" s="336" t="str">
        <f t="shared" si="38"/>
        <v>#REF!</v>
      </c>
      <c r="Z63" s="336" t="str">
        <f t="shared" si="38"/>
        <v>#REF!</v>
      </c>
      <c r="AA63" s="336" t="str">
        <f t="shared" si="38"/>
        <v>#REF!</v>
      </c>
      <c r="AB63" s="336" t="str">
        <f t="shared" si="38"/>
        <v>#REF!</v>
      </c>
      <c r="AC63" s="336" t="str">
        <f t="shared" si="38"/>
        <v>#REF!</v>
      </c>
      <c r="AD63" s="336" t="str">
        <f t="shared" si="38"/>
        <v>#REF!</v>
      </c>
      <c r="AE63" s="336" t="str">
        <f t="shared" si="38"/>
        <v>#REF!</v>
      </c>
      <c r="AF63" s="336" t="str">
        <f t="shared" si="38"/>
        <v>#REF!</v>
      </c>
      <c r="AG63" s="336" t="str">
        <f t="shared" si="38"/>
        <v>#REF!</v>
      </c>
      <c r="AH63" s="336" t="str">
        <f t="shared" si="38"/>
        <v>#REF!</v>
      </c>
      <c r="AI63" s="336" t="str">
        <f t="shared" si="38"/>
        <v>#REF!</v>
      </c>
      <c r="AJ63" s="336" t="str">
        <f t="shared" si="38"/>
        <v>#REF!</v>
      </c>
      <c r="AK63" s="336" t="str">
        <f t="shared" si="38"/>
        <v>#REF!</v>
      </c>
      <c r="AL63" s="336" t="str">
        <f t="shared" si="38"/>
        <v>#REF!</v>
      </c>
      <c r="AM63" s="12" t="str">
        <f>average(Q63:AL63)</f>
        <v>#REF!</v>
      </c>
    </row>
    <row r="64">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row>
    <row r="65">
      <c r="B65" s="337" t="s">
        <v>346</v>
      </c>
      <c r="C65" s="338" t="s">
        <v>316</v>
      </c>
      <c r="D65" s="338" t="s">
        <v>317</v>
      </c>
      <c r="E65" s="338" t="s">
        <v>318</v>
      </c>
      <c r="F65" s="338" t="s">
        <v>319</v>
      </c>
      <c r="G65" s="338" t="s">
        <v>320</v>
      </c>
      <c r="H65" s="338" t="s">
        <v>321</v>
      </c>
      <c r="I65" s="338" t="s">
        <v>322</v>
      </c>
      <c r="J65" s="338" t="s">
        <v>323</v>
      </c>
      <c r="K65" s="338" t="s">
        <v>324</v>
      </c>
      <c r="L65" s="338" t="s">
        <v>325</v>
      </c>
      <c r="M65" s="338" t="s">
        <v>326</v>
      </c>
      <c r="N65" s="338" t="s">
        <v>327</v>
      </c>
      <c r="O65" s="338" t="s">
        <v>328</v>
      </c>
      <c r="P65" s="338" t="s">
        <v>329</v>
      </c>
      <c r="Q65" s="338" t="s">
        <v>330</v>
      </c>
      <c r="R65" s="338" t="s">
        <v>331</v>
      </c>
      <c r="S65" s="338" t="s">
        <v>332</v>
      </c>
      <c r="T65" s="338" t="s">
        <v>226</v>
      </c>
      <c r="U65" s="338" t="s">
        <v>227</v>
      </c>
      <c r="V65" s="338" t="s">
        <v>228</v>
      </c>
      <c r="W65" s="338" t="s">
        <v>229</v>
      </c>
      <c r="X65" s="338" t="s">
        <v>230</v>
      </c>
      <c r="Y65" s="338" t="s">
        <v>231</v>
      </c>
      <c r="Z65" s="338" t="s">
        <v>232</v>
      </c>
      <c r="AA65" s="338" t="s">
        <v>333</v>
      </c>
      <c r="AB65" s="338" t="s">
        <v>334</v>
      </c>
      <c r="AC65" s="338" t="s">
        <v>335</v>
      </c>
      <c r="AD65" s="338" t="s">
        <v>336</v>
      </c>
      <c r="AE65" s="338" t="s">
        <v>337</v>
      </c>
      <c r="AF65" s="338" t="s">
        <v>338</v>
      </c>
      <c r="AG65" s="338" t="s">
        <v>339</v>
      </c>
      <c r="AH65" s="338" t="s">
        <v>340</v>
      </c>
      <c r="AI65" s="338" t="s">
        <v>341</v>
      </c>
      <c r="AJ65" s="338" t="s">
        <v>342</v>
      </c>
      <c r="AK65" s="338" t="s">
        <v>343</v>
      </c>
      <c r="AL65" s="338" t="s">
        <v>344</v>
      </c>
      <c r="AM65" s="12"/>
    </row>
    <row r="66">
      <c r="B66" s="292" t="s">
        <v>309</v>
      </c>
      <c r="C66" s="12">
        <v>401.0</v>
      </c>
      <c r="D66" s="331" t="str">
        <f t="shared" ref="D66:P66" si="39">vlookup(D3,'Butter | Sauce Cup'!$B:$P,12,false)</f>
        <v>#REF!</v>
      </c>
      <c r="E66" s="331" t="str">
        <f t="shared" si="39"/>
        <v>#REF!</v>
      </c>
      <c r="F66" s="331" t="str">
        <f t="shared" si="39"/>
        <v>#REF!</v>
      </c>
      <c r="G66" s="331" t="str">
        <f t="shared" si="39"/>
        <v>#REF!</v>
      </c>
      <c r="H66" s="331" t="str">
        <f t="shared" si="39"/>
        <v>#REF!</v>
      </c>
      <c r="I66" s="331" t="str">
        <f t="shared" si="39"/>
        <v>#REF!</v>
      </c>
      <c r="J66" s="331" t="str">
        <f t="shared" si="39"/>
        <v>#REF!</v>
      </c>
      <c r="K66" s="331" t="str">
        <f t="shared" si="39"/>
        <v>#REF!</v>
      </c>
      <c r="L66" s="331" t="str">
        <f t="shared" si="39"/>
        <v>#REF!</v>
      </c>
      <c r="M66" s="331" t="str">
        <f t="shared" si="39"/>
        <v>#REF!</v>
      </c>
      <c r="N66" s="331" t="str">
        <f t="shared" si="39"/>
        <v>#REF!</v>
      </c>
      <c r="O66" s="331" t="str">
        <f t="shared" si="39"/>
        <v>#REF!</v>
      </c>
      <c r="P66" s="331" t="str">
        <f t="shared" si="39"/>
        <v>#REF!</v>
      </c>
      <c r="Q66" s="331" t="str">
        <f t="shared" ref="Q66:AL66" si="40">if(vlookup(Q3,'Butter | Sauce Cup'!$B:$P,12,false)=TRUE,Q24,"")</f>
        <v>#REF!</v>
      </c>
      <c r="R66" s="331" t="str">
        <f t="shared" si="40"/>
        <v>#REF!</v>
      </c>
      <c r="S66" s="331" t="str">
        <f t="shared" si="40"/>
        <v>#REF!</v>
      </c>
      <c r="T66" s="331" t="str">
        <f t="shared" si="40"/>
        <v>#REF!</v>
      </c>
      <c r="U66" s="331" t="str">
        <f t="shared" si="40"/>
        <v>#REF!</v>
      </c>
      <c r="V66" s="331" t="str">
        <f t="shared" si="40"/>
        <v>#REF!</v>
      </c>
      <c r="W66" s="331" t="str">
        <f t="shared" si="40"/>
        <v>#REF!</v>
      </c>
      <c r="X66" s="331" t="str">
        <f t="shared" si="40"/>
        <v>#REF!</v>
      </c>
      <c r="Y66" s="331" t="str">
        <f t="shared" si="40"/>
        <v>#REF!</v>
      </c>
      <c r="Z66" s="331" t="str">
        <f t="shared" si="40"/>
        <v>#REF!</v>
      </c>
      <c r="AA66" s="331" t="str">
        <f t="shared" si="40"/>
        <v>#REF!</v>
      </c>
      <c r="AB66" s="331" t="str">
        <f t="shared" si="40"/>
        <v>#REF!</v>
      </c>
      <c r="AC66" s="331" t="str">
        <f t="shared" si="40"/>
        <v>#REF!</v>
      </c>
      <c r="AD66" s="331" t="str">
        <f t="shared" si="40"/>
        <v>#REF!</v>
      </c>
      <c r="AE66" s="331" t="str">
        <f t="shared" si="40"/>
        <v>#REF!</v>
      </c>
      <c r="AF66" s="331" t="str">
        <f t="shared" si="40"/>
        <v>#REF!</v>
      </c>
      <c r="AG66" s="331" t="str">
        <f t="shared" si="40"/>
        <v>#REF!</v>
      </c>
      <c r="AH66" s="331" t="str">
        <f t="shared" si="40"/>
        <v>#REF!</v>
      </c>
      <c r="AI66" s="331" t="str">
        <f t="shared" si="40"/>
        <v>#REF!</v>
      </c>
      <c r="AJ66" s="331" t="str">
        <f t="shared" si="40"/>
        <v>#REF!</v>
      </c>
      <c r="AK66" s="331" t="str">
        <f t="shared" si="40"/>
        <v>#REF!</v>
      </c>
      <c r="AL66" s="331" t="str">
        <f t="shared" si="40"/>
        <v>#REF!</v>
      </c>
      <c r="AM66" s="12"/>
    </row>
    <row r="67">
      <c r="B67" s="292" t="s">
        <v>310</v>
      </c>
      <c r="C67" s="12">
        <v>402.0</v>
      </c>
      <c r="D67" s="331" t="str">
        <f t="shared" ref="D67:P67" si="41">vlookup(D4,'Butter | Sauce Cup'!$B:$P,12,false)</f>
        <v>#REF!</v>
      </c>
      <c r="E67" s="331" t="str">
        <f t="shared" si="41"/>
        <v>#REF!</v>
      </c>
      <c r="F67" s="331" t="str">
        <f t="shared" si="41"/>
        <v>#REF!</v>
      </c>
      <c r="G67" s="331" t="str">
        <f t="shared" si="41"/>
        <v>#REF!</v>
      </c>
      <c r="H67" s="331" t="str">
        <f t="shared" si="41"/>
        <v>#REF!</v>
      </c>
      <c r="I67" s="331" t="str">
        <f t="shared" si="41"/>
        <v>#REF!</v>
      </c>
      <c r="J67" s="331" t="str">
        <f t="shared" si="41"/>
        <v>#REF!</v>
      </c>
      <c r="K67" s="331" t="str">
        <f t="shared" si="41"/>
        <v>#REF!</v>
      </c>
      <c r="L67" s="331" t="str">
        <f t="shared" si="41"/>
        <v>#REF!</v>
      </c>
      <c r="M67" s="331" t="str">
        <f t="shared" si="41"/>
        <v>#REF!</v>
      </c>
      <c r="N67" s="331" t="str">
        <f t="shared" si="41"/>
        <v>#REF!</v>
      </c>
      <c r="O67" s="331" t="str">
        <f t="shared" si="41"/>
        <v>#REF!</v>
      </c>
      <c r="P67" s="331" t="str">
        <f t="shared" si="41"/>
        <v>#REF!</v>
      </c>
      <c r="Q67" s="331" t="str">
        <f t="shared" ref="Q67:AL67" si="42">if(vlookup(Q4,'Butter | Sauce Cup'!$B:$P,12,false)=TRUE,Q25,"")</f>
        <v>#REF!</v>
      </c>
      <c r="R67" s="331" t="str">
        <f t="shared" si="42"/>
        <v>#REF!</v>
      </c>
      <c r="S67" s="331" t="str">
        <f t="shared" si="42"/>
        <v>#REF!</v>
      </c>
      <c r="T67" s="331" t="str">
        <f t="shared" si="42"/>
        <v>#REF!</v>
      </c>
      <c r="U67" s="331" t="str">
        <f t="shared" si="42"/>
        <v>#REF!</v>
      </c>
      <c r="V67" s="331" t="str">
        <f t="shared" si="42"/>
        <v>#REF!</v>
      </c>
      <c r="W67" s="331" t="str">
        <f t="shared" si="42"/>
        <v>#REF!</v>
      </c>
      <c r="X67" s="331" t="str">
        <f t="shared" si="42"/>
        <v>#REF!</v>
      </c>
      <c r="Y67" s="331" t="str">
        <f t="shared" si="42"/>
        <v>#REF!</v>
      </c>
      <c r="Z67" s="331" t="str">
        <f t="shared" si="42"/>
        <v>#REF!</v>
      </c>
      <c r="AA67" s="331" t="str">
        <f t="shared" si="42"/>
        <v>#REF!</v>
      </c>
      <c r="AB67" s="331" t="str">
        <f t="shared" si="42"/>
        <v>#REF!</v>
      </c>
      <c r="AC67" s="331" t="str">
        <f t="shared" si="42"/>
        <v>#REF!</v>
      </c>
      <c r="AD67" s="331" t="str">
        <f t="shared" si="42"/>
        <v>#REF!</v>
      </c>
      <c r="AE67" s="331" t="str">
        <f t="shared" si="42"/>
        <v>#REF!</v>
      </c>
      <c r="AF67" s="331" t="str">
        <f t="shared" si="42"/>
        <v>#REF!</v>
      </c>
      <c r="AG67" s="331" t="str">
        <f t="shared" si="42"/>
        <v>#REF!</v>
      </c>
      <c r="AH67" s="331" t="str">
        <f t="shared" si="42"/>
        <v>#REF!</v>
      </c>
      <c r="AI67" s="331" t="str">
        <f t="shared" si="42"/>
        <v>#REF!</v>
      </c>
      <c r="AJ67" s="331" t="str">
        <f t="shared" si="42"/>
        <v>#REF!</v>
      </c>
      <c r="AK67" s="331" t="str">
        <f t="shared" si="42"/>
        <v>#REF!</v>
      </c>
      <c r="AL67" s="331" t="str">
        <f t="shared" si="42"/>
        <v>#REF!</v>
      </c>
      <c r="AM67" s="12"/>
    </row>
    <row r="68">
      <c r="B68" s="292" t="s">
        <v>99</v>
      </c>
      <c r="C68" s="12">
        <v>403.0</v>
      </c>
      <c r="D68" s="331" t="str">
        <f t="shared" ref="D68:P68" si="43">vlookup(D5,'Butter | Sauce Cup'!$B:$P,12,false)</f>
        <v>#REF!</v>
      </c>
      <c r="E68" s="331" t="str">
        <f t="shared" si="43"/>
        <v>#REF!</v>
      </c>
      <c r="F68" s="331" t="str">
        <f t="shared" si="43"/>
        <v>#REF!</v>
      </c>
      <c r="G68" s="331" t="str">
        <f t="shared" si="43"/>
        <v>#REF!</v>
      </c>
      <c r="H68" s="331" t="str">
        <f t="shared" si="43"/>
        <v>#REF!</v>
      </c>
      <c r="I68" s="331" t="str">
        <f t="shared" si="43"/>
        <v>#REF!</v>
      </c>
      <c r="J68" s="331" t="str">
        <f t="shared" si="43"/>
        <v>#REF!</v>
      </c>
      <c r="K68" s="331" t="str">
        <f t="shared" si="43"/>
        <v>#REF!</v>
      </c>
      <c r="L68" s="331" t="str">
        <f t="shared" si="43"/>
        <v>#REF!</v>
      </c>
      <c r="M68" s="331" t="str">
        <f t="shared" si="43"/>
        <v>#REF!</v>
      </c>
      <c r="N68" s="331" t="str">
        <f t="shared" si="43"/>
        <v>#REF!</v>
      </c>
      <c r="O68" s="331" t="str">
        <f t="shared" si="43"/>
        <v>#REF!</v>
      </c>
      <c r="P68" s="331" t="str">
        <f t="shared" si="43"/>
        <v>#REF!</v>
      </c>
      <c r="Q68" s="331" t="str">
        <f t="shared" ref="Q68:AL68" si="44">if(vlookup(Q5,'Butter | Sauce Cup'!$B:$P,12,false)=TRUE,Q26,"")</f>
        <v>#REF!</v>
      </c>
      <c r="R68" s="331" t="str">
        <f t="shared" si="44"/>
        <v>#REF!</v>
      </c>
      <c r="S68" s="331" t="str">
        <f t="shared" si="44"/>
        <v>#REF!</v>
      </c>
      <c r="T68" s="331" t="str">
        <f t="shared" si="44"/>
        <v>#REF!</v>
      </c>
      <c r="U68" s="331" t="str">
        <f t="shared" si="44"/>
        <v>#REF!</v>
      </c>
      <c r="V68" s="331" t="str">
        <f t="shared" si="44"/>
        <v>#REF!</v>
      </c>
      <c r="W68" s="331" t="str">
        <f t="shared" si="44"/>
        <v>#REF!</v>
      </c>
      <c r="X68" s="331" t="str">
        <f t="shared" si="44"/>
        <v>#REF!</v>
      </c>
      <c r="Y68" s="331" t="str">
        <f t="shared" si="44"/>
        <v>#REF!</v>
      </c>
      <c r="Z68" s="331" t="str">
        <f t="shared" si="44"/>
        <v>#REF!</v>
      </c>
      <c r="AA68" s="331" t="str">
        <f t="shared" si="44"/>
        <v>#REF!</v>
      </c>
      <c r="AB68" s="331" t="str">
        <f t="shared" si="44"/>
        <v>#REF!</v>
      </c>
      <c r="AC68" s="331" t="str">
        <f t="shared" si="44"/>
        <v>#REF!</v>
      </c>
      <c r="AD68" s="331" t="str">
        <f t="shared" si="44"/>
        <v>#REF!</v>
      </c>
      <c r="AE68" s="331" t="str">
        <f t="shared" si="44"/>
        <v>#REF!</v>
      </c>
      <c r="AF68" s="331" t="str">
        <f t="shared" si="44"/>
        <v>#REF!</v>
      </c>
      <c r="AG68" s="331" t="str">
        <f t="shared" si="44"/>
        <v>#REF!</v>
      </c>
      <c r="AH68" s="331" t="str">
        <f t="shared" si="44"/>
        <v>#REF!</v>
      </c>
      <c r="AI68" s="331" t="str">
        <f t="shared" si="44"/>
        <v>#REF!</v>
      </c>
      <c r="AJ68" s="331" t="str">
        <f t="shared" si="44"/>
        <v>#REF!</v>
      </c>
      <c r="AK68" s="331" t="str">
        <f t="shared" si="44"/>
        <v>#REF!</v>
      </c>
      <c r="AL68" s="331" t="str">
        <f t="shared" si="44"/>
        <v>#REF!</v>
      </c>
      <c r="AM68" s="12"/>
    </row>
    <row r="69">
      <c r="B69" s="292" t="s">
        <v>311</v>
      </c>
      <c r="C69" s="12">
        <v>404.0</v>
      </c>
      <c r="D69" s="331" t="str">
        <f t="shared" ref="D69:P69" si="45">vlookup(D6,'Butter | Sauce Cup'!$B:$P,12,false)</f>
        <v>#REF!</v>
      </c>
      <c r="E69" s="331" t="str">
        <f t="shared" si="45"/>
        <v>#REF!</v>
      </c>
      <c r="F69" s="331" t="str">
        <f t="shared" si="45"/>
        <v>#REF!</v>
      </c>
      <c r="G69" s="331" t="str">
        <f t="shared" si="45"/>
        <v>#REF!</v>
      </c>
      <c r="H69" s="331" t="str">
        <f t="shared" si="45"/>
        <v>#REF!</v>
      </c>
      <c r="I69" s="331" t="str">
        <f t="shared" si="45"/>
        <v>#REF!</v>
      </c>
      <c r="J69" s="331" t="str">
        <f t="shared" si="45"/>
        <v>#REF!</v>
      </c>
      <c r="K69" s="331" t="str">
        <f t="shared" si="45"/>
        <v>#REF!</v>
      </c>
      <c r="L69" s="331" t="str">
        <f t="shared" si="45"/>
        <v>#REF!</v>
      </c>
      <c r="M69" s="331" t="str">
        <f t="shared" si="45"/>
        <v>#REF!</v>
      </c>
      <c r="N69" s="331" t="str">
        <f t="shared" si="45"/>
        <v>#REF!</v>
      </c>
      <c r="O69" s="331" t="str">
        <f t="shared" si="45"/>
        <v>#REF!</v>
      </c>
      <c r="P69" s="331" t="str">
        <f t="shared" si="45"/>
        <v>#REF!</v>
      </c>
      <c r="Q69" s="331" t="str">
        <f t="shared" ref="Q69:AL69" si="46">if(vlookup(Q6,'Butter | Sauce Cup'!$B:$P,12,false)=TRUE,Q27,"")</f>
        <v>#REF!</v>
      </c>
      <c r="R69" s="331" t="str">
        <f t="shared" si="46"/>
        <v>#REF!</v>
      </c>
      <c r="S69" s="331" t="str">
        <f t="shared" si="46"/>
        <v>#REF!</v>
      </c>
      <c r="T69" s="331" t="str">
        <f t="shared" si="46"/>
        <v>#REF!</v>
      </c>
      <c r="U69" s="331" t="str">
        <f t="shared" si="46"/>
        <v>#REF!</v>
      </c>
      <c r="V69" s="331" t="str">
        <f t="shared" si="46"/>
        <v>#REF!</v>
      </c>
      <c r="W69" s="331" t="str">
        <f t="shared" si="46"/>
        <v>#REF!</v>
      </c>
      <c r="X69" s="331" t="str">
        <f t="shared" si="46"/>
        <v>#REF!</v>
      </c>
      <c r="Y69" s="331" t="str">
        <f t="shared" si="46"/>
        <v>#REF!</v>
      </c>
      <c r="Z69" s="331" t="str">
        <f t="shared" si="46"/>
        <v>#REF!</v>
      </c>
      <c r="AA69" s="331" t="str">
        <f t="shared" si="46"/>
        <v>#REF!</v>
      </c>
      <c r="AB69" s="331" t="str">
        <f t="shared" si="46"/>
        <v>#REF!</v>
      </c>
      <c r="AC69" s="331" t="str">
        <f t="shared" si="46"/>
        <v>#REF!</v>
      </c>
      <c r="AD69" s="331" t="str">
        <f t="shared" si="46"/>
        <v>#REF!</v>
      </c>
      <c r="AE69" s="331" t="str">
        <f t="shared" si="46"/>
        <v>#REF!</v>
      </c>
      <c r="AF69" s="331" t="str">
        <f t="shared" si="46"/>
        <v>#REF!</v>
      </c>
      <c r="AG69" s="331" t="str">
        <f t="shared" si="46"/>
        <v>#REF!</v>
      </c>
      <c r="AH69" s="331" t="str">
        <f t="shared" si="46"/>
        <v>#REF!</v>
      </c>
      <c r="AI69" s="331" t="str">
        <f t="shared" si="46"/>
        <v>#REF!</v>
      </c>
      <c r="AJ69" s="331" t="str">
        <f t="shared" si="46"/>
        <v>#REF!</v>
      </c>
      <c r="AK69" s="331" t="str">
        <f t="shared" si="46"/>
        <v>#REF!</v>
      </c>
      <c r="AL69" s="331" t="str">
        <f t="shared" si="46"/>
        <v>#REF!</v>
      </c>
      <c r="AM69" s="12"/>
    </row>
    <row r="70">
      <c r="B70" s="292" t="s">
        <v>309</v>
      </c>
      <c r="C70" s="12">
        <v>405.0</v>
      </c>
      <c r="D70" s="331" t="str">
        <f t="shared" ref="D70:P70" si="47">vlookup(D7,'Butter | Sauce Cup'!$B:$P,12,false)</f>
        <v>#REF!</v>
      </c>
      <c r="E70" s="331" t="str">
        <f t="shared" si="47"/>
        <v>#REF!</v>
      </c>
      <c r="F70" s="331" t="str">
        <f t="shared" si="47"/>
        <v>#REF!</v>
      </c>
      <c r="G70" s="331" t="str">
        <f t="shared" si="47"/>
        <v>#REF!</v>
      </c>
      <c r="H70" s="331" t="str">
        <f t="shared" si="47"/>
        <v>#REF!</v>
      </c>
      <c r="I70" s="331" t="str">
        <f t="shared" si="47"/>
        <v>#REF!</v>
      </c>
      <c r="J70" s="331" t="str">
        <f t="shared" si="47"/>
        <v>#REF!</v>
      </c>
      <c r="K70" s="331" t="str">
        <f t="shared" si="47"/>
        <v>#REF!</v>
      </c>
      <c r="L70" s="331" t="str">
        <f t="shared" si="47"/>
        <v>#REF!</v>
      </c>
      <c r="M70" s="331" t="str">
        <f t="shared" si="47"/>
        <v>#REF!</v>
      </c>
      <c r="N70" s="331" t="str">
        <f t="shared" si="47"/>
        <v>#REF!</v>
      </c>
      <c r="O70" s="331" t="str">
        <f t="shared" si="47"/>
        <v>#REF!</v>
      </c>
      <c r="P70" s="331" t="str">
        <f t="shared" si="47"/>
        <v>#REF!</v>
      </c>
      <c r="Q70" s="331" t="str">
        <f t="shared" ref="Q70:AL70" si="48">if(vlookup(Q7,'Butter | Sauce Cup'!$B:$P,12,false)=TRUE,Q28,"")</f>
        <v>#REF!</v>
      </c>
      <c r="R70" s="331" t="str">
        <f t="shared" si="48"/>
        <v>#REF!</v>
      </c>
      <c r="S70" s="331" t="str">
        <f t="shared" si="48"/>
        <v>#REF!</v>
      </c>
      <c r="T70" s="331" t="str">
        <f t="shared" si="48"/>
        <v>#REF!</v>
      </c>
      <c r="U70" s="331" t="str">
        <f t="shared" si="48"/>
        <v>#REF!</v>
      </c>
      <c r="V70" s="331" t="str">
        <f t="shared" si="48"/>
        <v>#REF!</v>
      </c>
      <c r="W70" s="331" t="str">
        <f t="shared" si="48"/>
        <v>#REF!</v>
      </c>
      <c r="X70" s="331" t="str">
        <f t="shared" si="48"/>
        <v>#REF!</v>
      </c>
      <c r="Y70" s="331" t="str">
        <f t="shared" si="48"/>
        <v>#REF!</v>
      </c>
      <c r="Z70" s="331" t="str">
        <f t="shared" si="48"/>
        <v>#REF!</v>
      </c>
      <c r="AA70" s="331" t="str">
        <f t="shared" si="48"/>
        <v>#REF!</v>
      </c>
      <c r="AB70" s="331" t="str">
        <f t="shared" si="48"/>
        <v>#REF!</v>
      </c>
      <c r="AC70" s="331" t="str">
        <f t="shared" si="48"/>
        <v>#REF!</v>
      </c>
      <c r="AD70" s="331" t="str">
        <f t="shared" si="48"/>
        <v>#REF!</v>
      </c>
      <c r="AE70" s="331" t="str">
        <f t="shared" si="48"/>
        <v>#REF!</v>
      </c>
      <c r="AF70" s="331" t="str">
        <f t="shared" si="48"/>
        <v>#REF!</v>
      </c>
      <c r="AG70" s="331" t="str">
        <f t="shared" si="48"/>
        <v>#REF!</v>
      </c>
      <c r="AH70" s="331" t="str">
        <f t="shared" si="48"/>
        <v>#REF!</v>
      </c>
      <c r="AI70" s="331" t="str">
        <f t="shared" si="48"/>
        <v>#REF!</v>
      </c>
      <c r="AJ70" s="331" t="str">
        <f t="shared" si="48"/>
        <v>#REF!</v>
      </c>
      <c r="AK70" s="331" t="str">
        <f t="shared" si="48"/>
        <v>#REF!</v>
      </c>
      <c r="AL70" s="331" t="str">
        <f t="shared" si="48"/>
        <v>#REF!</v>
      </c>
      <c r="AM70" s="12"/>
    </row>
    <row r="71">
      <c r="B71" s="292" t="s">
        <v>99</v>
      </c>
      <c r="C71" s="12">
        <v>406.0</v>
      </c>
      <c r="D71" s="331" t="str">
        <f t="shared" ref="D71:P71" si="49">vlookup(D8,'Butter | Sauce Cup'!$B:$P,12,false)</f>
        <v>#REF!</v>
      </c>
      <c r="E71" s="331" t="str">
        <f t="shared" si="49"/>
        <v>#REF!</v>
      </c>
      <c r="F71" s="331" t="str">
        <f t="shared" si="49"/>
        <v>#REF!</v>
      </c>
      <c r="G71" s="331" t="str">
        <f t="shared" si="49"/>
        <v>#REF!</v>
      </c>
      <c r="H71" s="331" t="str">
        <f t="shared" si="49"/>
        <v>#REF!</v>
      </c>
      <c r="I71" s="331" t="str">
        <f t="shared" si="49"/>
        <v>#REF!</v>
      </c>
      <c r="J71" s="331" t="str">
        <f t="shared" si="49"/>
        <v>#REF!</v>
      </c>
      <c r="K71" s="331" t="str">
        <f t="shared" si="49"/>
        <v>#REF!</v>
      </c>
      <c r="L71" s="331" t="str">
        <f t="shared" si="49"/>
        <v>#REF!</v>
      </c>
      <c r="M71" s="331" t="str">
        <f t="shared" si="49"/>
        <v>#REF!</v>
      </c>
      <c r="N71" s="331" t="str">
        <f t="shared" si="49"/>
        <v>#REF!</v>
      </c>
      <c r="O71" s="331" t="str">
        <f t="shared" si="49"/>
        <v>#REF!</v>
      </c>
      <c r="P71" s="331" t="str">
        <f t="shared" si="49"/>
        <v>#REF!</v>
      </c>
      <c r="Q71" s="331" t="str">
        <f t="shared" ref="Q71:AL71" si="50">if(vlookup(Q8,'Butter | Sauce Cup'!$B:$P,12,false)=TRUE,Q29,"")</f>
        <v>#REF!</v>
      </c>
      <c r="R71" s="331" t="str">
        <f t="shared" si="50"/>
        <v>#REF!</v>
      </c>
      <c r="S71" s="331" t="str">
        <f t="shared" si="50"/>
        <v>#REF!</v>
      </c>
      <c r="T71" s="331" t="str">
        <f t="shared" si="50"/>
        <v>#REF!</v>
      </c>
      <c r="U71" s="331" t="str">
        <f t="shared" si="50"/>
        <v>#REF!</v>
      </c>
      <c r="V71" s="331" t="str">
        <f t="shared" si="50"/>
        <v>#REF!</v>
      </c>
      <c r="W71" s="331" t="str">
        <f t="shared" si="50"/>
        <v>#REF!</v>
      </c>
      <c r="X71" s="331" t="str">
        <f t="shared" si="50"/>
        <v>#REF!</v>
      </c>
      <c r="Y71" s="331" t="str">
        <f t="shared" si="50"/>
        <v>#REF!</v>
      </c>
      <c r="Z71" s="331" t="str">
        <f t="shared" si="50"/>
        <v>#REF!</v>
      </c>
      <c r="AA71" s="331" t="str">
        <f t="shared" si="50"/>
        <v>#REF!</v>
      </c>
      <c r="AB71" s="331" t="str">
        <f t="shared" si="50"/>
        <v>#REF!</v>
      </c>
      <c r="AC71" s="331" t="str">
        <f t="shared" si="50"/>
        <v>#REF!</v>
      </c>
      <c r="AD71" s="331" t="str">
        <f t="shared" si="50"/>
        <v>#REF!</v>
      </c>
      <c r="AE71" s="331" t="str">
        <f t="shared" si="50"/>
        <v>#REF!</v>
      </c>
      <c r="AF71" s="331" t="str">
        <f t="shared" si="50"/>
        <v>#REF!</v>
      </c>
      <c r="AG71" s="331" t="str">
        <f t="shared" si="50"/>
        <v>#REF!</v>
      </c>
      <c r="AH71" s="331" t="str">
        <f t="shared" si="50"/>
        <v>#REF!</v>
      </c>
      <c r="AI71" s="331" t="str">
        <f t="shared" si="50"/>
        <v>#REF!</v>
      </c>
      <c r="AJ71" s="331" t="str">
        <f t="shared" si="50"/>
        <v>#REF!</v>
      </c>
      <c r="AK71" s="331" t="str">
        <f t="shared" si="50"/>
        <v>#REF!</v>
      </c>
      <c r="AL71" s="331" t="str">
        <f t="shared" si="50"/>
        <v>#REF!</v>
      </c>
      <c r="AM71" s="12"/>
    </row>
    <row r="72">
      <c r="B72" s="292" t="s">
        <v>99</v>
      </c>
      <c r="C72" s="12">
        <v>407.0</v>
      </c>
      <c r="D72" s="331" t="str">
        <f t="shared" ref="D72:P72" si="51">vlookup(D9,'Butter | Sauce Cup'!$B:$P,12,false)</f>
        <v>#REF!</v>
      </c>
      <c r="E72" s="331" t="str">
        <f t="shared" si="51"/>
        <v>#REF!</v>
      </c>
      <c r="F72" s="331" t="str">
        <f t="shared" si="51"/>
        <v>#REF!</v>
      </c>
      <c r="G72" s="331" t="str">
        <f t="shared" si="51"/>
        <v>#REF!</v>
      </c>
      <c r="H72" s="331" t="str">
        <f t="shared" si="51"/>
        <v>#REF!</v>
      </c>
      <c r="I72" s="331" t="str">
        <f t="shared" si="51"/>
        <v>#REF!</v>
      </c>
      <c r="J72" s="331" t="str">
        <f t="shared" si="51"/>
        <v>#REF!</v>
      </c>
      <c r="K72" s="331" t="str">
        <f t="shared" si="51"/>
        <v>#REF!</v>
      </c>
      <c r="L72" s="331" t="str">
        <f t="shared" si="51"/>
        <v>#REF!</v>
      </c>
      <c r="M72" s="331" t="str">
        <f t="shared" si="51"/>
        <v>#REF!</v>
      </c>
      <c r="N72" s="331" t="str">
        <f t="shared" si="51"/>
        <v>#REF!</v>
      </c>
      <c r="O72" s="331" t="str">
        <f t="shared" si="51"/>
        <v>#REF!</v>
      </c>
      <c r="P72" s="331" t="str">
        <f t="shared" si="51"/>
        <v>#REF!</v>
      </c>
      <c r="Q72" s="331" t="str">
        <f t="shared" ref="Q72:AL72" si="52">if(vlookup(Q9,'Butter | Sauce Cup'!$B:$P,12,false)=TRUE,Q30,"")</f>
        <v>#REF!</v>
      </c>
      <c r="R72" s="331" t="str">
        <f t="shared" si="52"/>
        <v>#REF!</v>
      </c>
      <c r="S72" s="331" t="str">
        <f t="shared" si="52"/>
        <v>#REF!</v>
      </c>
      <c r="T72" s="331" t="str">
        <f t="shared" si="52"/>
        <v>#REF!</v>
      </c>
      <c r="U72" s="331" t="str">
        <f t="shared" si="52"/>
        <v>#REF!</v>
      </c>
      <c r="V72" s="331" t="str">
        <f t="shared" si="52"/>
        <v>#REF!</v>
      </c>
      <c r="W72" s="331" t="str">
        <f t="shared" si="52"/>
        <v>#REF!</v>
      </c>
      <c r="X72" s="331" t="str">
        <f t="shared" si="52"/>
        <v>#REF!</v>
      </c>
      <c r="Y72" s="331" t="str">
        <f t="shared" si="52"/>
        <v>#REF!</v>
      </c>
      <c r="Z72" s="331" t="str">
        <f t="shared" si="52"/>
        <v>#REF!</v>
      </c>
      <c r="AA72" s="331" t="str">
        <f t="shared" si="52"/>
        <v>#REF!</v>
      </c>
      <c r="AB72" s="331" t="str">
        <f t="shared" si="52"/>
        <v>#REF!</v>
      </c>
      <c r="AC72" s="331" t="str">
        <f t="shared" si="52"/>
        <v>#REF!</v>
      </c>
      <c r="AD72" s="331" t="str">
        <f t="shared" si="52"/>
        <v>#REF!</v>
      </c>
      <c r="AE72" s="331" t="str">
        <f t="shared" si="52"/>
        <v>#REF!</v>
      </c>
      <c r="AF72" s="331" t="str">
        <f t="shared" si="52"/>
        <v>#REF!</v>
      </c>
      <c r="AG72" s="331" t="str">
        <f t="shared" si="52"/>
        <v>#REF!</v>
      </c>
      <c r="AH72" s="331" t="str">
        <f t="shared" si="52"/>
        <v>#REF!</v>
      </c>
      <c r="AI72" s="331" t="str">
        <f t="shared" si="52"/>
        <v>#REF!</v>
      </c>
      <c r="AJ72" s="331" t="str">
        <f t="shared" si="52"/>
        <v>#REF!</v>
      </c>
      <c r="AK72" s="331" t="str">
        <f t="shared" si="52"/>
        <v>#REF!</v>
      </c>
      <c r="AL72" s="331" t="str">
        <f t="shared" si="52"/>
        <v>#REF!</v>
      </c>
      <c r="AM72" s="12"/>
    </row>
    <row r="73">
      <c r="B73" s="292" t="s">
        <v>99</v>
      </c>
      <c r="C73" s="12">
        <v>408.0</v>
      </c>
      <c r="D73" s="331" t="str">
        <f t="shared" ref="D73:P73" si="53">vlookup(D10,'Butter | Sauce Cup'!$B:$P,12,false)</f>
        <v>#REF!</v>
      </c>
      <c r="E73" s="331" t="str">
        <f t="shared" si="53"/>
        <v>#REF!</v>
      </c>
      <c r="F73" s="331" t="str">
        <f t="shared" si="53"/>
        <v>#REF!</v>
      </c>
      <c r="G73" s="331" t="str">
        <f t="shared" si="53"/>
        <v>#REF!</v>
      </c>
      <c r="H73" s="331" t="str">
        <f t="shared" si="53"/>
        <v>#REF!</v>
      </c>
      <c r="I73" s="331" t="str">
        <f t="shared" si="53"/>
        <v>#REF!</v>
      </c>
      <c r="J73" s="331" t="str">
        <f t="shared" si="53"/>
        <v>#REF!</v>
      </c>
      <c r="K73" s="331" t="str">
        <f t="shared" si="53"/>
        <v>#REF!</v>
      </c>
      <c r="L73" s="331" t="str">
        <f t="shared" si="53"/>
        <v>#REF!</v>
      </c>
      <c r="M73" s="331" t="str">
        <f t="shared" si="53"/>
        <v>#REF!</v>
      </c>
      <c r="N73" s="331" t="str">
        <f t="shared" si="53"/>
        <v>#REF!</v>
      </c>
      <c r="O73" s="331" t="str">
        <f t="shared" si="53"/>
        <v>#REF!</v>
      </c>
      <c r="P73" s="331" t="str">
        <f t="shared" si="53"/>
        <v>#REF!</v>
      </c>
      <c r="Q73" s="331" t="str">
        <f t="shared" ref="Q73:AL73" si="54">if(vlookup(Q10,'Butter | Sauce Cup'!$B:$P,12,false)=TRUE,Q31,"")</f>
        <v>#REF!</v>
      </c>
      <c r="R73" s="331" t="str">
        <f t="shared" si="54"/>
        <v>#REF!</v>
      </c>
      <c r="S73" s="331" t="str">
        <f t="shared" si="54"/>
        <v>#REF!</v>
      </c>
      <c r="T73" s="331" t="str">
        <f t="shared" si="54"/>
        <v>#REF!</v>
      </c>
      <c r="U73" s="331" t="str">
        <f t="shared" si="54"/>
        <v>#REF!</v>
      </c>
      <c r="V73" s="331" t="str">
        <f t="shared" si="54"/>
        <v>#REF!</v>
      </c>
      <c r="W73" s="331" t="str">
        <f t="shared" si="54"/>
        <v>#REF!</v>
      </c>
      <c r="X73" s="331" t="str">
        <f t="shared" si="54"/>
        <v>#REF!</v>
      </c>
      <c r="Y73" s="331" t="str">
        <f t="shared" si="54"/>
        <v>#REF!</v>
      </c>
      <c r="Z73" s="331" t="str">
        <f t="shared" si="54"/>
        <v>#REF!</v>
      </c>
      <c r="AA73" s="331" t="str">
        <f t="shared" si="54"/>
        <v>#REF!</v>
      </c>
      <c r="AB73" s="331" t="str">
        <f t="shared" si="54"/>
        <v>#REF!</v>
      </c>
      <c r="AC73" s="331" t="str">
        <f t="shared" si="54"/>
        <v>#REF!</v>
      </c>
      <c r="AD73" s="331" t="str">
        <f t="shared" si="54"/>
        <v>#REF!</v>
      </c>
      <c r="AE73" s="331" t="str">
        <f t="shared" si="54"/>
        <v>#REF!</v>
      </c>
      <c r="AF73" s="331" t="str">
        <f t="shared" si="54"/>
        <v>#REF!</v>
      </c>
      <c r="AG73" s="331" t="str">
        <f t="shared" si="54"/>
        <v>#REF!</v>
      </c>
      <c r="AH73" s="331" t="str">
        <f t="shared" si="54"/>
        <v>#REF!</v>
      </c>
      <c r="AI73" s="331" t="str">
        <f t="shared" si="54"/>
        <v>#REF!</v>
      </c>
      <c r="AJ73" s="331" t="str">
        <f t="shared" si="54"/>
        <v>#REF!</v>
      </c>
      <c r="AK73" s="331" t="str">
        <f t="shared" si="54"/>
        <v>#REF!</v>
      </c>
      <c r="AL73" s="331" t="str">
        <f t="shared" si="54"/>
        <v>#REF!</v>
      </c>
      <c r="AM73" s="12"/>
    </row>
    <row r="74">
      <c r="B74" s="292" t="s">
        <v>103</v>
      </c>
      <c r="C74" s="12">
        <v>409.0</v>
      </c>
      <c r="D74" s="331" t="str">
        <f t="shared" ref="D74:P74" si="55">vlookup(D11,'Butter | Sauce Cup'!$B:$P,12,false)</f>
        <v>#REF!</v>
      </c>
      <c r="E74" s="331" t="str">
        <f t="shared" si="55"/>
        <v>#REF!</v>
      </c>
      <c r="F74" s="331" t="str">
        <f t="shared" si="55"/>
        <v>#REF!</v>
      </c>
      <c r="G74" s="331" t="str">
        <f t="shared" si="55"/>
        <v>#REF!</v>
      </c>
      <c r="H74" s="331" t="str">
        <f t="shared" si="55"/>
        <v>#REF!</v>
      </c>
      <c r="I74" s="331" t="str">
        <f t="shared" si="55"/>
        <v>#REF!</v>
      </c>
      <c r="J74" s="331" t="str">
        <f t="shared" si="55"/>
        <v>#REF!</v>
      </c>
      <c r="K74" s="331" t="str">
        <f t="shared" si="55"/>
        <v>#REF!</v>
      </c>
      <c r="L74" s="331" t="str">
        <f t="shared" si="55"/>
        <v>#REF!</v>
      </c>
      <c r="M74" s="331" t="str">
        <f t="shared" si="55"/>
        <v>#REF!</v>
      </c>
      <c r="N74" s="331" t="str">
        <f t="shared" si="55"/>
        <v>#REF!</v>
      </c>
      <c r="O74" s="331" t="str">
        <f t="shared" si="55"/>
        <v>#REF!</v>
      </c>
      <c r="P74" s="331" t="str">
        <f t="shared" si="55"/>
        <v>#REF!</v>
      </c>
      <c r="Q74" s="331" t="str">
        <f t="shared" ref="Q74:AL74" si="56">if(vlookup(Q11,'Butter | Sauce Cup'!$B:$P,12,false)=TRUE,Q32,"")</f>
        <v>#REF!</v>
      </c>
      <c r="R74" s="331" t="str">
        <f t="shared" si="56"/>
        <v>#REF!</v>
      </c>
      <c r="S74" s="331" t="str">
        <f t="shared" si="56"/>
        <v>#REF!</v>
      </c>
      <c r="T74" s="331" t="str">
        <f t="shared" si="56"/>
        <v>#REF!</v>
      </c>
      <c r="U74" s="331" t="str">
        <f t="shared" si="56"/>
        <v>#REF!</v>
      </c>
      <c r="V74" s="331" t="str">
        <f t="shared" si="56"/>
        <v>#REF!</v>
      </c>
      <c r="W74" s="331" t="str">
        <f t="shared" si="56"/>
        <v>#REF!</v>
      </c>
      <c r="X74" s="331" t="str">
        <f t="shared" si="56"/>
        <v>#REF!</v>
      </c>
      <c r="Y74" s="331" t="str">
        <f t="shared" si="56"/>
        <v>#REF!</v>
      </c>
      <c r="Z74" s="331" t="str">
        <f t="shared" si="56"/>
        <v>#REF!</v>
      </c>
      <c r="AA74" s="331" t="str">
        <f t="shared" si="56"/>
        <v>#REF!</v>
      </c>
      <c r="AB74" s="331" t="str">
        <f t="shared" si="56"/>
        <v>#REF!</v>
      </c>
      <c r="AC74" s="331" t="str">
        <f t="shared" si="56"/>
        <v>#REF!</v>
      </c>
      <c r="AD74" s="331" t="str">
        <f t="shared" si="56"/>
        <v>#REF!</v>
      </c>
      <c r="AE74" s="331" t="str">
        <f t="shared" si="56"/>
        <v>#REF!</v>
      </c>
      <c r="AF74" s="331" t="str">
        <f t="shared" si="56"/>
        <v>#REF!</v>
      </c>
      <c r="AG74" s="331" t="str">
        <f t="shared" si="56"/>
        <v>#REF!</v>
      </c>
      <c r="AH74" s="331" t="str">
        <f t="shared" si="56"/>
        <v>#REF!</v>
      </c>
      <c r="AI74" s="331" t="str">
        <f t="shared" si="56"/>
        <v>#REF!</v>
      </c>
      <c r="AJ74" s="331" t="str">
        <f t="shared" si="56"/>
        <v>#REF!</v>
      </c>
      <c r="AK74" s="331" t="str">
        <f t="shared" si="56"/>
        <v>#REF!</v>
      </c>
      <c r="AL74" s="331" t="str">
        <f t="shared" si="56"/>
        <v>#REF!</v>
      </c>
      <c r="AM74" s="12"/>
    </row>
    <row r="75">
      <c r="B75" s="292" t="s">
        <v>103</v>
      </c>
      <c r="C75" s="12">
        <v>410.0</v>
      </c>
      <c r="D75" s="331" t="str">
        <f t="shared" ref="D75:P75" si="57">vlookup(D12,'Butter | Sauce Cup'!$B:$P,12,false)</f>
        <v>#REF!</v>
      </c>
      <c r="E75" s="331" t="str">
        <f t="shared" si="57"/>
        <v>#REF!</v>
      </c>
      <c r="F75" s="331" t="str">
        <f t="shared" si="57"/>
        <v>#REF!</v>
      </c>
      <c r="G75" s="331" t="str">
        <f t="shared" si="57"/>
        <v>#REF!</v>
      </c>
      <c r="H75" s="331" t="str">
        <f t="shared" si="57"/>
        <v>#REF!</v>
      </c>
      <c r="I75" s="331" t="str">
        <f t="shared" si="57"/>
        <v>#REF!</v>
      </c>
      <c r="J75" s="331" t="str">
        <f t="shared" si="57"/>
        <v>#REF!</v>
      </c>
      <c r="K75" s="331" t="str">
        <f t="shared" si="57"/>
        <v>#REF!</v>
      </c>
      <c r="L75" s="331" t="str">
        <f t="shared" si="57"/>
        <v>#REF!</v>
      </c>
      <c r="M75" s="331" t="str">
        <f t="shared" si="57"/>
        <v>#REF!</v>
      </c>
      <c r="N75" s="331" t="str">
        <f t="shared" si="57"/>
        <v>#REF!</v>
      </c>
      <c r="O75" s="331" t="str">
        <f t="shared" si="57"/>
        <v>#REF!</v>
      </c>
      <c r="P75" s="331" t="str">
        <f t="shared" si="57"/>
        <v>#REF!</v>
      </c>
      <c r="Q75" s="331" t="str">
        <f t="shared" ref="Q75:AL75" si="58">if(vlookup(Q12,'Butter | Sauce Cup'!$B:$P,12,false)=TRUE,Q33,"")</f>
        <v>#REF!</v>
      </c>
      <c r="R75" s="331" t="str">
        <f t="shared" si="58"/>
        <v>#REF!</v>
      </c>
      <c r="S75" s="331" t="str">
        <f t="shared" si="58"/>
        <v>#REF!</v>
      </c>
      <c r="T75" s="331" t="str">
        <f t="shared" si="58"/>
        <v>#REF!</v>
      </c>
      <c r="U75" s="331" t="str">
        <f t="shared" si="58"/>
        <v>#REF!</v>
      </c>
      <c r="V75" s="331" t="str">
        <f t="shared" si="58"/>
        <v>#REF!</v>
      </c>
      <c r="W75" s="331" t="str">
        <f t="shared" si="58"/>
        <v>#REF!</v>
      </c>
      <c r="X75" s="331" t="str">
        <f t="shared" si="58"/>
        <v>#REF!</v>
      </c>
      <c r="Y75" s="331" t="str">
        <f t="shared" si="58"/>
        <v>#REF!</v>
      </c>
      <c r="Z75" s="331" t="str">
        <f t="shared" si="58"/>
        <v>#REF!</v>
      </c>
      <c r="AA75" s="331" t="str">
        <f t="shared" si="58"/>
        <v>#REF!</v>
      </c>
      <c r="AB75" s="331" t="str">
        <f t="shared" si="58"/>
        <v>#REF!</v>
      </c>
      <c r="AC75" s="331" t="str">
        <f t="shared" si="58"/>
        <v>#REF!</v>
      </c>
      <c r="AD75" s="331" t="str">
        <f t="shared" si="58"/>
        <v>#REF!</v>
      </c>
      <c r="AE75" s="331" t="str">
        <f t="shared" si="58"/>
        <v>#REF!</v>
      </c>
      <c r="AF75" s="331" t="str">
        <f t="shared" si="58"/>
        <v>#REF!</v>
      </c>
      <c r="AG75" s="331" t="str">
        <f t="shared" si="58"/>
        <v>#REF!</v>
      </c>
      <c r="AH75" s="331" t="str">
        <f t="shared" si="58"/>
        <v>#REF!</v>
      </c>
      <c r="AI75" s="331" t="str">
        <f t="shared" si="58"/>
        <v>#REF!</v>
      </c>
      <c r="AJ75" s="331" t="str">
        <f t="shared" si="58"/>
        <v>#REF!</v>
      </c>
      <c r="AK75" s="331" t="str">
        <f t="shared" si="58"/>
        <v>#REF!</v>
      </c>
      <c r="AL75" s="331" t="str">
        <f t="shared" si="58"/>
        <v>#REF!</v>
      </c>
      <c r="AM75" s="12"/>
    </row>
    <row r="76">
      <c r="B76" s="292" t="s">
        <v>312</v>
      </c>
      <c r="C76" s="12">
        <v>411.0</v>
      </c>
      <c r="D76" s="331" t="str">
        <f t="shared" ref="D76:P76" si="59">vlookup(D13,'Butter | Sauce Cup'!$B:$P,12,false)</f>
        <v>#REF!</v>
      </c>
      <c r="E76" s="331" t="str">
        <f t="shared" si="59"/>
        <v>#REF!</v>
      </c>
      <c r="F76" s="331" t="str">
        <f t="shared" si="59"/>
        <v>#REF!</v>
      </c>
      <c r="G76" s="331" t="str">
        <f t="shared" si="59"/>
        <v>#REF!</v>
      </c>
      <c r="H76" s="331" t="str">
        <f t="shared" si="59"/>
        <v>#REF!</v>
      </c>
      <c r="I76" s="331" t="str">
        <f t="shared" si="59"/>
        <v>#REF!</v>
      </c>
      <c r="J76" s="331" t="str">
        <f t="shared" si="59"/>
        <v>#REF!</v>
      </c>
      <c r="K76" s="331" t="str">
        <f t="shared" si="59"/>
        <v>#REF!</v>
      </c>
      <c r="L76" s="331" t="str">
        <f t="shared" si="59"/>
        <v>#REF!</v>
      </c>
      <c r="M76" s="331" t="str">
        <f t="shared" si="59"/>
        <v>#REF!</v>
      </c>
      <c r="N76" s="331" t="str">
        <f t="shared" si="59"/>
        <v>#REF!</v>
      </c>
      <c r="O76" s="331" t="str">
        <f t="shared" si="59"/>
        <v>#REF!</v>
      </c>
      <c r="P76" s="331" t="str">
        <f t="shared" si="59"/>
        <v>#REF!</v>
      </c>
      <c r="Q76" s="331" t="str">
        <f t="shared" ref="Q76:AL76" si="60">if(vlookup(Q13,'Butter | Sauce Cup'!$B:$P,12,false)=TRUE,Q34,"")</f>
        <v>#REF!</v>
      </c>
      <c r="R76" s="331" t="str">
        <f t="shared" si="60"/>
        <v>#REF!</v>
      </c>
      <c r="S76" s="331" t="str">
        <f t="shared" si="60"/>
        <v>#REF!</v>
      </c>
      <c r="T76" s="331" t="str">
        <f t="shared" si="60"/>
        <v>#REF!</v>
      </c>
      <c r="U76" s="331" t="str">
        <f t="shared" si="60"/>
        <v>#REF!</v>
      </c>
      <c r="V76" s="331" t="str">
        <f t="shared" si="60"/>
        <v>#REF!</v>
      </c>
      <c r="W76" s="331" t="str">
        <f t="shared" si="60"/>
        <v>#REF!</v>
      </c>
      <c r="X76" s="331" t="str">
        <f t="shared" si="60"/>
        <v>#REF!</v>
      </c>
      <c r="Y76" s="331" t="str">
        <f t="shared" si="60"/>
        <v>#REF!</v>
      </c>
      <c r="Z76" s="331" t="str">
        <f t="shared" si="60"/>
        <v>#REF!</v>
      </c>
      <c r="AA76" s="331" t="str">
        <f t="shared" si="60"/>
        <v>#REF!</v>
      </c>
      <c r="AB76" s="331" t="str">
        <f t="shared" si="60"/>
        <v>#REF!</v>
      </c>
      <c r="AC76" s="331" t="str">
        <f t="shared" si="60"/>
        <v>#REF!</v>
      </c>
      <c r="AD76" s="331" t="str">
        <f t="shared" si="60"/>
        <v>#REF!</v>
      </c>
      <c r="AE76" s="331" t="str">
        <f t="shared" si="60"/>
        <v>#REF!</v>
      </c>
      <c r="AF76" s="331" t="str">
        <f t="shared" si="60"/>
        <v>#REF!</v>
      </c>
      <c r="AG76" s="331" t="str">
        <f t="shared" si="60"/>
        <v>#REF!</v>
      </c>
      <c r="AH76" s="331" t="str">
        <f t="shared" si="60"/>
        <v>#REF!</v>
      </c>
      <c r="AI76" s="331" t="str">
        <f t="shared" si="60"/>
        <v>#REF!</v>
      </c>
      <c r="AJ76" s="331" t="str">
        <f t="shared" si="60"/>
        <v>#REF!</v>
      </c>
      <c r="AK76" s="331" t="str">
        <f t="shared" si="60"/>
        <v>#REF!</v>
      </c>
      <c r="AL76" s="331" t="str">
        <f t="shared" si="60"/>
        <v>#REF!</v>
      </c>
      <c r="AM76" s="12"/>
    </row>
    <row r="77">
      <c r="B77" s="292" t="s">
        <v>313</v>
      </c>
      <c r="C77" s="12">
        <v>412.0</v>
      </c>
      <c r="D77" s="331" t="str">
        <f t="shared" ref="D77:P77" si="61">vlookup(D14,'Butter | Sauce Cup'!$B:$P,12,false)</f>
        <v>#REF!</v>
      </c>
      <c r="E77" s="331" t="str">
        <f t="shared" si="61"/>
        <v>#REF!</v>
      </c>
      <c r="F77" s="331" t="str">
        <f t="shared" si="61"/>
        <v>#REF!</v>
      </c>
      <c r="G77" s="331" t="str">
        <f t="shared" si="61"/>
        <v>#REF!</v>
      </c>
      <c r="H77" s="331" t="str">
        <f t="shared" si="61"/>
        <v>#REF!</v>
      </c>
      <c r="I77" s="331" t="str">
        <f t="shared" si="61"/>
        <v>#REF!</v>
      </c>
      <c r="J77" s="331" t="str">
        <f t="shared" si="61"/>
        <v>#REF!</v>
      </c>
      <c r="K77" s="331" t="str">
        <f t="shared" si="61"/>
        <v>#REF!</v>
      </c>
      <c r="L77" s="331" t="str">
        <f t="shared" si="61"/>
        <v>#REF!</v>
      </c>
      <c r="M77" s="331" t="str">
        <f t="shared" si="61"/>
        <v>#REF!</v>
      </c>
      <c r="N77" s="331" t="str">
        <f t="shared" si="61"/>
        <v>#REF!</v>
      </c>
      <c r="O77" s="331" t="str">
        <f t="shared" si="61"/>
        <v>#REF!</v>
      </c>
      <c r="P77" s="331" t="str">
        <f t="shared" si="61"/>
        <v>#REF!</v>
      </c>
      <c r="Q77" s="331" t="str">
        <f t="shared" ref="Q77:AL77" si="62">if(vlookup(Q14,'Butter | Sauce Cup'!$B:$P,12,false)=TRUE,Q35,"")</f>
        <v>#REF!</v>
      </c>
      <c r="R77" s="331" t="str">
        <f t="shared" si="62"/>
        <v>#REF!</v>
      </c>
      <c r="S77" s="331" t="str">
        <f t="shared" si="62"/>
        <v>#REF!</v>
      </c>
      <c r="T77" s="331" t="str">
        <f t="shared" si="62"/>
        <v>#REF!</v>
      </c>
      <c r="U77" s="331" t="str">
        <f t="shared" si="62"/>
        <v>#REF!</v>
      </c>
      <c r="V77" s="331" t="str">
        <f t="shared" si="62"/>
        <v>#REF!</v>
      </c>
      <c r="W77" s="331" t="str">
        <f t="shared" si="62"/>
        <v>#REF!</v>
      </c>
      <c r="X77" s="331" t="str">
        <f t="shared" si="62"/>
        <v>#REF!</v>
      </c>
      <c r="Y77" s="331" t="str">
        <f t="shared" si="62"/>
        <v>#REF!</v>
      </c>
      <c r="Z77" s="331" t="str">
        <f t="shared" si="62"/>
        <v>#REF!</v>
      </c>
      <c r="AA77" s="331" t="str">
        <f t="shared" si="62"/>
        <v>#REF!</v>
      </c>
      <c r="AB77" s="331" t="str">
        <f t="shared" si="62"/>
        <v>#REF!</v>
      </c>
      <c r="AC77" s="331" t="str">
        <f t="shared" si="62"/>
        <v>#REF!</v>
      </c>
      <c r="AD77" s="331" t="str">
        <f t="shared" si="62"/>
        <v>#REF!</v>
      </c>
      <c r="AE77" s="331" t="str">
        <f t="shared" si="62"/>
        <v>#REF!</v>
      </c>
      <c r="AF77" s="331" t="str">
        <f t="shared" si="62"/>
        <v>#REF!</v>
      </c>
      <c r="AG77" s="331" t="str">
        <f t="shared" si="62"/>
        <v>#REF!</v>
      </c>
      <c r="AH77" s="331" t="str">
        <f t="shared" si="62"/>
        <v>#REF!</v>
      </c>
      <c r="AI77" s="331" t="str">
        <f t="shared" si="62"/>
        <v>#REF!</v>
      </c>
      <c r="AJ77" s="331" t="str">
        <f t="shared" si="62"/>
        <v>#REF!</v>
      </c>
      <c r="AK77" s="331" t="str">
        <f t="shared" si="62"/>
        <v>#REF!</v>
      </c>
      <c r="AL77" s="331" t="str">
        <f t="shared" si="62"/>
        <v>#REF!</v>
      </c>
      <c r="AM77" s="12"/>
    </row>
    <row r="78">
      <c r="B78" s="292" t="s">
        <v>313</v>
      </c>
      <c r="C78" s="12">
        <v>413.0</v>
      </c>
      <c r="D78" s="331" t="str">
        <f t="shared" ref="D78:P78" si="63">vlookup(D15,'Butter | Sauce Cup'!$B:$P,12,false)</f>
        <v>#REF!</v>
      </c>
      <c r="E78" s="331" t="str">
        <f t="shared" si="63"/>
        <v>#REF!</v>
      </c>
      <c r="F78" s="331" t="str">
        <f t="shared" si="63"/>
        <v>#REF!</v>
      </c>
      <c r="G78" s="331" t="str">
        <f t="shared" si="63"/>
        <v>#REF!</v>
      </c>
      <c r="H78" s="331" t="str">
        <f t="shared" si="63"/>
        <v>#REF!</v>
      </c>
      <c r="I78" s="331" t="str">
        <f t="shared" si="63"/>
        <v>#REF!</v>
      </c>
      <c r="J78" s="331" t="str">
        <f t="shared" si="63"/>
        <v>#REF!</v>
      </c>
      <c r="K78" s="331" t="str">
        <f t="shared" si="63"/>
        <v>#REF!</v>
      </c>
      <c r="L78" s="331" t="str">
        <f t="shared" si="63"/>
        <v>#REF!</v>
      </c>
      <c r="M78" s="331" t="str">
        <f t="shared" si="63"/>
        <v>#REF!</v>
      </c>
      <c r="N78" s="331" t="str">
        <f t="shared" si="63"/>
        <v>#REF!</v>
      </c>
      <c r="O78" s="331" t="str">
        <f t="shared" si="63"/>
        <v>#REF!</v>
      </c>
      <c r="P78" s="331" t="str">
        <f t="shared" si="63"/>
        <v>#REF!</v>
      </c>
      <c r="Q78" s="331" t="str">
        <f t="shared" ref="Q78:AL78" si="64">if(vlookup(Q15,'Butter | Sauce Cup'!$B:$P,12,false)=TRUE,Q36,"")</f>
        <v>#REF!</v>
      </c>
      <c r="R78" s="331" t="str">
        <f t="shared" si="64"/>
        <v>#REF!</v>
      </c>
      <c r="S78" s="331" t="str">
        <f t="shared" si="64"/>
        <v>#REF!</v>
      </c>
      <c r="T78" s="331" t="str">
        <f t="shared" si="64"/>
        <v>#REF!</v>
      </c>
      <c r="U78" s="331" t="str">
        <f t="shared" si="64"/>
        <v>#REF!</v>
      </c>
      <c r="V78" s="331" t="str">
        <f t="shared" si="64"/>
        <v>#REF!</v>
      </c>
      <c r="W78" s="331" t="str">
        <f t="shared" si="64"/>
        <v>#REF!</v>
      </c>
      <c r="X78" s="331" t="str">
        <f t="shared" si="64"/>
        <v>#REF!</v>
      </c>
      <c r="Y78" s="331" t="str">
        <f t="shared" si="64"/>
        <v>#REF!</v>
      </c>
      <c r="Z78" s="331" t="str">
        <f t="shared" si="64"/>
        <v>#REF!</v>
      </c>
      <c r="AA78" s="331" t="str">
        <f t="shared" si="64"/>
        <v>#REF!</v>
      </c>
      <c r="AB78" s="331" t="str">
        <f t="shared" si="64"/>
        <v>#REF!</v>
      </c>
      <c r="AC78" s="331" t="str">
        <f t="shared" si="64"/>
        <v>#REF!</v>
      </c>
      <c r="AD78" s="331" t="str">
        <f t="shared" si="64"/>
        <v>#REF!</v>
      </c>
      <c r="AE78" s="331" t="str">
        <f t="shared" si="64"/>
        <v>#REF!</v>
      </c>
      <c r="AF78" s="331" t="str">
        <f t="shared" si="64"/>
        <v>#REF!</v>
      </c>
      <c r="AG78" s="331" t="str">
        <f t="shared" si="64"/>
        <v>#REF!</v>
      </c>
      <c r="AH78" s="331" t="str">
        <f t="shared" si="64"/>
        <v>#REF!</v>
      </c>
      <c r="AI78" s="331" t="str">
        <f t="shared" si="64"/>
        <v>#REF!</v>
      </c>
      <c r="AJ78" s="331" t="str">
        <f t="shared" si="64"/>
        <v>#REF!</v>
      </c>
      <c r="AK78" s="331" t="str">
        <f t="shared" si="64"/>
        <v>#REF!</v>
      </c>
      <c r="AL78" s="331" t="str">
        <f t="shared" si="64"/>
        <v>#REF!</v>
      </c>
      <c r="AM78" s="12"/>
    </row>
    <row r="79">
      <c r="B79" s="292" t="s">
        <v>310</v>
      </c>
      <c r="C79" s="12">
        <v>414.0</v>
      </c>
      <c r="D79" s="331" t="str">
        <f t="shared" ref="D79:P79" si="65">vlookup(D16,'Butter | Sauce Cup'!$B:$P,12,false)</f>
        <v>#REF!</v>
      </c>
      <c r="E79" s="331" t="str">
        <f t="shared" si="65"/>
        <v>#REF!</v>
      </c>
      <c r="F79" s="331" t="str">
        <f t="shared" si="65"/>
        <v>#REF!</v>
      </c>
      <c r="G79" s="331" t="str">
        <f t="shared" si="65"/>
        <v>#REF!</v>
      </c>
      <c r="H79" s="331" t="str">
        <f t="shared" si="65"/>
        <v>#REF!</v>
      </c>
      <c r="I79" s="331" t="str">
        <f t="shared" si="65"/>
        <v>#REF!</v>
      </c>
      <c r="J79" s="331" t="str">
        <f t="shared" si="65"/>
        <v>#REF!</v>
      </c>
      <c r="K79" s="331" t="str">
        <f t="shared" si="65"/>
        <v>#REF!</v>
      </c>
      <c r="L79" s="331" t="str">
        <f t="shared" si="65"/>
        <v>#REF!</v>
      </c>
      <c r="M79" s="331" t="str">
        <f t="shared" si="65"/>
        <v>#REF!</v>
      </c>
      <c r="N79" s="331" t="str">
        <f t="shared" si="65"/>
        <v>#REF!</v>
      </c>
      <c r="O79" s="331" t="str">
        <f t="shared" si="65"/>
        <v>#REF!</v>
      </c>
      <c r="P79" s="331" t="str">
        <f t="shared" si="65"/>
        <v>#REF!</v>
      </c>
      <c r="Q79" s="331" t="str">
        <f t="shared" ref="Q79:AL79" si="66">if(vlookup(Q16,'Butter | Sauce Cup'!$B:$P,12,false)=TRUE,Q37,"")</f>
        <v>#REF!</v>
      </c>
      <c r="R79" s="331" t="str">
        <f t="shared" si="66"/>
        <v>#REF!</v>
      </c>
      <c r="S79" s="331" t="str">
        <f t="shared" si="66"/>
        <v>#REF!</v>
      </c>
      <c r="T79" s="331" t="str">
        <f t="shared" si="66"/>
        <v>#REF!</v>
      </c>
      <c r="U79" s="331" t="str">
        <f t="shared" si="66"/>
        <v>#REF!</v>
      </c>
      <c r="V79" s="331" t="str">
        <f t="shared" si="66"/>
        <v>#REF!</v>
      </c>
      <c r="W79" s="331" t="str">
        <f t="shared" si="66"/>
        <v>#REF!</v>
      </c>
      <c r="X79" s="331" t="str">
        <f t="shared" si="66"/>
        <v>#REF!</v>
      </c>
      <c r="Y79" s="331" t="str">
        <f t="shared" si="66"/>
        <v>#REF!</v>
      </c>
      <c r="Z79" s="331" t="str">
        <f t="shared" si="66"/>
        <v>#REF!</v>
      </c>
      <c r="AA79" s="331" t="str">
        <f t="shared" si="66"/>
        <v>#REF!</v>
      </c>
      <c r="AB79" s="331" t="str">
        <f t="shared" si="66"/>
        <v>#REF!</v>
      </c>
      <c r="AC79" s="331" t="str">
        <f t="shared" si="66"/>
        <v>#REF!</v>
      </c>
      <c r="AD79" s="331" t="str">
        <f t="shared" si="66"/>
        <v>#REF!</v>
      </c>
      <c r="AE79" s="331" t="str">
        <f t="shared" si="66"/>
        <v>#REF!</v>
      </c>
      <c r="AF79" s="331" t="str">
        <f t="shared" si="66"/>
        <v>#REF!</v>
      </c>
      <c r="AG79" s="331" t="str">
        <f t="shared" si="66"/>
        <v>#REF!</v>
      </c>
      <c r="AH79" s="331" t="str">
        <f t="shared" si="66"/>
        <v>#REF!</v>
      </c>
      <c r="AI79" s="331" t="str">
        <f t="shared" si="66"/>
        <v>#REF!</v>
      </c>
      <c r="AJ79" s="331" t="str">
        <f t="shared" si="66"/>
        <v>#REF!</v>
      </c>
      <c r="AK79" s="331" t="str">
        <f t="shared" si="66"/>
        <v>#REF!</v>
      </c>
      <c r="AL79" s="331" t="str">
        <f t="shared" si="66"/>
        <v>#REF!</v>
      </c>
      <c r="AM79" s="12"/>
    </row>
    <row r="80">
      <c r="B80" s="292" t="s">
        <v>314</v>
      </c>
      <c r="C80" s="12">
        <v>415.0</v>
      </c>
      <c r="D80" s="331" t="str">
        <f t="shared" ref="D80:P80" si="67">vlookup(D17,'Butter | Sauce Cup'!$B:$P,12,false)</f>
        <v>#REF!</v>
      </c>
      <c r="E80" s="331" t="str">
        <f t="shared" si="67"/>
        <v>#REF!</v>
      </c>
      <c r="F80" s="331" t="str">
        <f t="shared" si="67"/>
        <v>#REF!</v>
      </c>
      <c r="G80" s="331" t="str">
        <f t="shared" si="67"/>
        <v>#REF!</v>
      </c>
      <c r="H80" s="331" t="str">
        <f t="shared" si="67"/>
        <v>#REF!</v>
      </c>
      <c r="I80" s="331" t="str">
        <f t="shared" si="67"/>
        <v>#REF!</v>
      </c>
      <c r="J80" s="331" t="str">
        <f t="shared" si="67"/>
        <v>#REF!</v>
      </c>
      <c r="K80" s="331" t="str">
        <f t="shared" si="67"/>
        <v>#REF!</v>
      </c>
      <c r="L80" s="331" t="str">
        <f t="shared" si="67"/>
        <v>#REF!</v>
      </c>
      <c r="M80" s="331" t="str">
        <f t="shared" si="67"/>
        <v>#REF!</v>
      </c>
      <c r="N80" s="331" t="str">
        <f t="shared" si="67"/>
        <v>#REF!</v>
      </c>
      <c r="O80" s="331" t="str">
        <f t="shared" si="67"/>
        <v>#REF!</v>
      </c>
      <c r="P80" s="331" t="str">
        <f t="shared" si="67"/>
        <v>#REF!</v>
      </c>
      <c r="Q80" s="331" t="str">
        <f t="shared" ref="Q80:AL80" si="68">if(vlookup(Q17,'Butter | Sauce Cup'!$B:$P,12,false)=TRUE,Q38,"")</f>
        <v>#REF!</v>
      </c>
      <c r="R80" s="331" t="str">
        <f t="shared" si="68"/>
        <v>#REF!</v>
      </c>
      <c r="S80" s="331" t="str">
        <f t="shared" si="68"/>
        <v>#REF!</v>
      </c>
      <c r="T80" s="331" t="str">
        <f t="shared" si="68"/>
        <v>#REF!</v>
      </c>
      <c r="U80" s="331" t="str">
        <f t="shared" si="68"/>
        <v>#REF!</v>
      </c>
      <c r="V80" s="331" t="str">
        <f t="shared" si="68"/>
        <v>#REF!</v>
      </c>
      <c r="W80" s="331" t="str">
        <f t="shared" si="68"/>
        <v>#REF!</v>
      </c>
      <c r="X80" s="331" t="str">
        <f t="shared" si="68"/>
        <v>#REF!</v>
      </c>
      <c r="Y80" s="331" t="str">
        <f t="shared" si="68"/>
        <v>#REF!</v>
      </c>
      <c r="Z80" s="331" t="str">
        <f t="shared" si="68"/>
        <v>#REF!</v>
      </c>
      <c r="AA80" s="331" t="str">
        <f t="shared" si="68"/>
        <v>#REF!</v>
      </c>
      <c r="AB80" s="331" t="str">
        <f t="shared" si="68"/>
        <v>#REF!</v>
      </c>
      <c r="AC80" s="331" t="str">
        <f t="shared" si="68"/>
        <v>#REF!</v>
      </c>
      <c r="AD80" s="331" t="str">
        <f t="shared" si="68"/>
        <v>#REF!</v>
      </c>
      <c r="AE80" s="331" t="str">
        <f t="shared" si="68"/>
        <v>#REF!</v>
      </c>
      <c r="AF80" s="331" t="str">
        <f t="shared" si="68"/>
        <v>#REF!</v>
      </c>
      <c r="AG80" s="331" t="str">
        <f t="shared" si="68"/>
        <v>#REF!</v>
      </c>
      <c r="AH80" s="331" t="str">
        <f t="shared" si="68"/>
        <v>#REF!</v>
      </c>
      <c r="AI80" s="331" t="str">
        <f t="shared" si="68"/>
        <v>#REF!</v>
      </c>
      <c r="AJ80" s="331" t="str">
        <f t="shared" si="68"/>
        <v>#REF!</v>
      </c>
      <c r="AK80" s="331" t="str">
        <f t="shared" si="68"/>
        <v>#REF!</v>
      </c>
      <c r="AL80" s="331" t="str">
        <f t="shared" si="68"/>
        <v>#REF!</v>
      </c>
      <c r="AM80" s="12"/>
    </row>
    <row r="81">
      <c r="B81" s="292" t="s">
        <v>99</v>
      </c>
      <c r="C81" s="12">
        <v>416.0</v>
      </c>
      <c r="D81" s="331" t="str">
        <f t="shared" ref="D81:P81" si="69">vlookup(D18,'Butter | Sauce Cup'!$B:$P,12,false)</f>
        <v>#REF!</v>
      </c>
      <c r="E81" s="331" t="str">
        <f t="shared" si="69"/>
        <v>#REF!</v>
      </c>
      <c r="F81" s="331" t="str">
        <f t="shared" si="69"/>
        <v>#REF!</v>
      </c>
      <c r="G81" s="331" t="str">
        <f t="shared" si="69"/>
        <v>#REF!</v>
      </c>
      <c r="H81" s="331" t="str">
        <f t="shared" si="69"/>
        <v>#REF!</v>
      </c>
      <c r="I81" s="331" t="str">
        <f t="shared" si="69"/>
        <v>#REF!</v>
      </c>
      <c r="J81" s="331" t="str">
        <f t="shared" si="69"/>
        <v>#REF!</v>
      </c>
      <c r="K81" s="331" t="str">
        <f t="shared" si="69"/>
        <v>#REF!</v>
      </c>
      <c r="L81" s="331" t="str">
        <f t="shared" si="69"/>
        <v>#REF!</v>
      </c>
      <c r="M81" s="331" t="str">
        <f t="shared" si="69"/>
        <v>#REF!</v>
      </c>
      <c r="N81" s="331" t="str">
        <f t="shared" si="69"/>
        <v>#REF!</v>
      </c>
      <c r="O81" s="331" t="str">
        <f t="shared" si="69"/>
        <v>#REF!</v>
      </c>
      <c r="P81" s="331" t="str">
        <f t="shared" si="69"/>
        <v>#REF!</v>
      </c>
      <c r="Q81" s="331" t="str">
        <f t="shared" ref="Q81:AI81" si="70">if(vlookup(Q18,'Butter | Sauce Cup'!$B:$P,12,false)=TRUE,Q39,"")</f>
        <v>#REF!</v>
      </c>
      <c r="R81" s="331" t="str">
        <f t="shared" si="70"/>
        <v>#REF!</v>
      </c>
      <c r="S81" s="331" t="str">
        <f t="shared" si="70"/>
        <v>#REF!</v>
      </c>
      <c r="T81" s="331" t="str">
        <f t="shared" si="70"/>
        <v>#REF!</v>
      </c>
      <c r="U81" s="331" t="str">
        <f t="shared" si="70"/>
        <v>#REF!</v>
      </c>
      <c r="V81" s="331" t="str">
        <f t="shared" si="70"/>
        <v>#REF!</v>
      </c>
      <c r="W81" s="331" t="str">
        <f t="shared" si="70"/>
        <v>#REF!</v>
      </c>
      <c r="X81" s="331" t="str">
        <f t="shared" si="70"/>
        <v>#REF!</v>
      </c>
      <c r="Y81" s="331" t="str">
        <f t="shared" si="70"/>
        <v>#REF!</v>
      </c>
      <c r="Z81" s="331" t="str">
        <f t="shared" si="70"/>
        <v>#REF!</v>
      </c>
      <c r="AA81" s="331" t="str">
        <f t="shared" si="70"/>
        <v>#REF!</v>
      </c>
      <c r="AB81" s="331" t="str">
        <f t="shared" si="70"/>
        <v>#REF!</v>
      </c>
      <c r="AC81" s="331" t="str">
        <f t="shared" si="70"/>
        <v>#REF!</v>
      </c>
      <c r="AD81" s="331" t="str">
        <f t="shared" si="70"/>
        <v>#REF!</v>
      </c>
      <c r="AE81" s="331" t="str">
        <f t="shared" si="70"/>
        <v>#REF!</v>
      </c>
      <c r="AF81" s="331" t="str">
        <f t="shared" si="70"/>
        <v>#REF!</v>
      </c>
      <c r="AG81" s="331" t="str">
        <f t="shared" si="70"/>
        <v>#REF!</v>
      </c>
      <c r="AH81" s="331" t="str">
        <f t="shared" si="70"/>
        <v>#REF!</v>
      </c>
      <c r="AI81" s="331" t="str">
        <f t="shared" si="70"/>
        <v>#REF!</v>
      </c>
      <c r="AJ81" s="331"/>
      <c r="AK81" s="331" t="str">
        <f t="shared" ref="AK81:AL81" si="71">if(vlookup(AK18,'Butter | Sauce Cup'!$B:$P,12,false)=TRUE,AK39,"")</f>
        <v>#REF!</v>
      </c>
      <c r="AL81" s="331" t="str">
        <f t="shared" si="71"/>
        <v>#REF!</v>
      </c>
      <c r="AM81" s="12"/>
    </row>
    <row r="82">
      <c r="B82" s="292" t="s">
        <v>313</v>
      </c>
      <c r="C82" s="12">
        <v>417.0</v>
      </c>
      <c r="D82" s="331" t="str">
        <f t="shared" ref="D82:P82" si="72">vlookup(D19,'Butter | Sauce Cup'!$B:$P,12,false)</f>
        <v>#REF!</v>
      </c>
      <c r="E82" s="331" t="str">
        <f t="shared" si="72"/>
        <v>#REF!</v>
      </c>
      <c r="F82" s="331" t="str">
        <f t="shared" si="72"/>
        <v>#REF!</v>
      </c>
      <c r="G82" s="331" t="str">
        <f t="shared" si="72"/>
        <v>#REF!</v>
      </c>
      <c r="H82" s="331" t="str">
        <f t="shared" si="72"/>
        <v>#REF!</v>
      </c>
      <c r="I82" s="331" t="str">
        <f t="shared" si="72"/>
        <v>#REF!</v>
      </c>
      <c r="J82" s="331" t="str">
        <f t="shared" si="72"/>
        <v>#REF!</v>
      </c>
      <c r="K82" s="331" t="str">
        <f t="shared" si="72"/>
        <v>#REF!</v>
      </c>
      <c r="L82" s="331" t="str">
        <f t="shared" si="72"/>
        <v>#REF!</v>
      </c>
      <c r="M82" s="331" t="str">
        <f t="shared" si="72"/>
        <v>#REF!</v>
      </c>
      <c r="N82" s="331" t="str">
        <f t="shared" si="72"/>
        <v>#REF!</v>
      </c>
      <c r="O82" s="331" t="str">
        <f t="shared" si="72"/>
        <v>#REF!</v>
      </c>
      <c r="P82" s="331" t="str">
        <f t="shared" si="72"/>
        <v>#REF!</v>
      </c>
      <c r="Q82" s="331" t="str">
        <f t="shared" ref="Q82:AK82" si="73">if(vlookup(Q19,'Butter | Sauce Cup'!$B:$P,12,false)=TRUE,Q40,"")</f>
        <v>#REF!</v>
      </c>
      <c r="R82" s="331" t="str">
        <f t="shared" si="73"/>
        <v>#REF!</v>
      </c>
      <c r="S82" s="331" t="str">
        <f t="shared" si="73"/>
        <v>#REF!</v>
      </c>
      <c r="T82" s="331" t="str">
        <f t="shared" si="73"/>
        <v>#REF!</v>
      </c>
      <c r="U82" s="331" t="str">
        <f t="shared" si="73"/>
        <v>#REF!</v>
      </c>
      <c r="V82" s="331" t="str">
        <f t="shared" si="73"/>
        <v>#REF!</v>
      </c>
      <c r="W82" s="331" t="str">
        <f t="shared" si="73"/>
        <v>#REF!</v>
      </c>
      <c r="X82" s="331" t="str">
        <f t="shared" si="73"/>
        <v>#REF!</v>
      </c>
      <c r="Y82" s="331" t="str">
        <f t="shared" si="73"/>
        <v>#REF!</v>
      </c>
      <c r="Z82" s="331" t="str">
        <f t="shared" si="73"/>
        <v>#REF!</v>
      </c>
      <c r="AA82" s="331" t="str">
        <f t="shared" si="73"/>
        <v>#REF!</v>
      </c>
      <c r="AB82" s="331" t="str">
        <f t="shared" si="73"/>
        <v>#REF!</v>
      </c>
      <c r="AC82" s="331" t="str">
        <f t="shared" si="73"/>
        <v>#REF!</v>
      </c>
      <c r="AD82" s="331" t="str">
        <f t="shared" si="73"/>
        <v>#REF!</v>
      </c>
      <c r="AE82" s="331" t="str">
        <f t="shared" si="73"/>
        <v>#REF!</v>
      </c>
      <c r="AF82" s="331" t="str">
        <f t="shared" si="73"/>
        <v>#REF!</v>
      </c>
      <c r="AG82" s="331" t="str">
        <f t="shared" si="73"/>
        <v>#REF!</v>
      </c>
      <c r="AH82" s="331" t="str">
        <f t="shared" si="73"/>
        <v>#REF!</v>
      </c>
      <c r="AI82" s="331" t="str">
        <f t="shared" si="73"/>
        <v>#REF!</v>
      </c>
      <c r="AJ82" s="331" t="str">
        <f t="shared" si="73"/>
        <v>#REF!</v>
      </c>
      <c r="AK82" s="331" t="str">
        <f t="shared" si="73"/>
        <v>#REF!</v>
      </c>
      <c r="AL82" s="331"/>
      <c r="AM82" s="12"/>
    </row>
    <row r="83">
      <c r="B83" s="292" t="s">
        <v>310</v>
      </c>
      <c r="C83" s="12">
        <v>418.0</v>
      </c>
      <c r="D83" s="331" t="str">
        <f t="shared" ref="D83:P83" si="74">vlookup(D20,'Butter | Sauce Cup'!$B:$P,12,false)</f>
        <v>#REF!</v>
      </c>
      <c r="E83" s="331" t="str">
        <f t="shared" si="74"/>
        <v>#REF!</v>
      </c>
      <c r="F83" s="331" t="str">
        <f t="shared" si="74"/>
        <v>#REF!</v>
      </c>
      <c r="G83" s="331" t="str">
        <f t="shared" si="74"/>
        <v>#REF!</v>
      </c>
      <c r="H83" s="331" t="str">
        <f t="shared" si="74"/>
        <v>#REF!</v>
      </c>
      <c r="I83" s="331" t="str">
        <f t="shared" si="74"/>
        <v>#REF!</v>
      </c>
      <c r="J83" s="331" t="str">
        <f t="shared" si="74"/>
        <v>#REF!</v>
      </c>
      <c r="K83" s="331" t="str">
        <f t="shared" si="74"/>
        <v>#REF!</v>
      </c>
      <c r="L83" s="331" t="str">
        <f t="shared" si="74"/>
        <v>#REF!</v>
      </c>
      <c r="M83" s="331" t="str">
        <f t="shared" si="74"/>
        <v>#REF!</v>
      </c>
      <c r="N83" s="331" t="str">
        <f t="shared" si="74"/>
        <v>#REF!</v>
      </c>
      <c r="O83" s="331" t="str">
        <f t="shared" si="74"/>
        <v>#REF!</v>
      </c>
      <c r="P83" s="331" t="str">
        <f t="shared" si="74"/>
        <v>#REF!</v>
      </c>
      <c r="Q83" s="331" t="str">
        <f t="shared" ref="Q83:AL83" si="75">if(vlookup(Q20,'Butter | Sauce Cup'!$B:$P,12,false)=TRUE,Q41,"")</f>
        <v>#REF!</v>
      </c>
      <c r="R83" s="331" t="str">
        <f t="shared" si="75"/>
        <v>#REF!</v>
      </c>
      <c r="S83" s="331" t="str">
        <f t="shared" si="75"/>
        <v>#REF!</v>
      </c>
      <c r="T83" s="331" t="str">
        <f t="shared" si="75"/>
        <v>#REF!</v>
      </c>
      <c r="U83" s="331" t="str">
        <f t="shared" si="75"/>
        <v>#REF!</v>
      </c>
      <c r="V83" s="331" t="str">
        <f t="shared" si="75"/>
        <v>#REF!</v>
      </c>
      <c r="W83" s="331" t="str">
        <f t="shared" si="75"/>
        <v>#REF!</v>
      </c>
      <c r="X83" s="331" t="str">
        <f t="shared" si="75"/>
        <v>#REF!</v>
      </c>
      <c r="Y83" s="331" t="str">
        <f t="shared" si="75"/>
        <v>#REF!</v>
      </c>
      <c r="Z83" s="331" t="str">
        <f t="shared" si="75"/>
        <v>#REF!</v>
      </c>
      <c r="AA83" s="331" t="str">
        <f t="shared" si="75"/>
        <v>#REF!</v>
      </c>
      <c r="AB83" s="331" t="str">
        <f t="shared" si="75"/>
        <v>#REF!</v>
      </c>
      <c r="AC83" s="331" t="str">
        <f t="shared" si="75"/>
        <v>#REF!</v>
      </c>
      <c r="AD83" s="331" t="str">
        <f t="shared" si="75"/>
        <v>#REF!</v>
      </c>
      <c r="AE83" s="331" t="str">
        <f t="shared" si="75"/>
        <v>#REF!</v>
      </c>
      <c r="AF83" s="331" t="str">
        <f t="shared" si="75"/>
        <v>#REF!</v>
      </c>
      <c r="AG83" s="331" t="str">
        <f t="shared" si="75"/>
        <v>#REF!</v>
      </c>
      <c r="AH83" s="331" t="str">
        <f t="shared" si="75"/>
        <v>#REF!</v>
      </c>
      <c r="AI83" s="331" t="str">
        <f t="shared" si="75"/>
        <v>#REF!</v>
      </c>
      <c r="AJ83" s="331" t="str">
        <f t="shared" si="75"/>
        <v>#REF!</v>
      </c>
      <c r="AK83" s="331" t="str">
        <f t="shared" si="75"/>
        <v>#REF!</v>
      </c>
      <c r="AL83" s="331" t="str">
        <f t="shared" si="75"/>
        <v>#REF!</v>
      </c>
      <c r="AM83" s="12"/>
    </row>
    <row r="84">
      <c r="B84" s="335" t="s">
        <v>347</v>
      </c>
      <c r="C84" s="186"/>
      <c r="D84" s="186"/>
      <c r="E84" s="186"/>
      <c r="F84" s="186"/>
      <c r="G84" s="186"/>
      <c r="H84" s="186"/>
      <c r="I84" s="186"/>
      <c r="J84" s="186"/>
      <c r="K84" s="186"/>
      <c r="L84" s="186"/>
      <c r="M84" s="186"/>
      <c r="N84" s="186"/>
      <c r="O84" s="186"/>
      <c r="P84" s="186"/>
      <c r="Q84" s="336" t="str">
        <f t="shared" ref="Q84:AL84" si="76">sum(Q66:Q83)</f>
        <v>#REF!</v>
      </c>
      <c r="R84" s="336" t="str">
        <f t="shared" si="76"/>
        <v>#REF!</v>
      </c>
      <c r="S84" s="336" t="str">
        <f t="shared" si="76"/>
        <v>#REF!</v>
      </c>
      <c r="T84" s="336" t="str">
        <f t="shared" si="76"/>
        <v>#REF!</v>
      </c>
      <c r="U84" s="336" t="str">
        <f t="shared" si="76"/>
        <v>#REF!</v>
      </c>
      <c r="V84" s="336" t="str">
        <f t="shared" si="76"/>
        <v>#REF!</v>
      </c>
      <c r="W84" s="336" t="str">
        <f t="shared" si="76"/>
        <v>#REF!</v>
      </c>
      <c r="X84" s="336" t="str">
        <f t="shared" si="76"/>
        <v>#REF!</v>
      </c>
      <c r="Y84" s="336" t="str">
        <f t="shared" si="76"/>
        <v>#REF!</v>
      </c>
      <c r="Z84" s="336" t="str">
        <f t="shared" si="76"/>
        <v>#REF!</v>
      </c>
      <c r="AA84" s="336" t="str">
        <f t="shared" si="76"/>
        <v>#REF!</v>
      </c>
      <c r="AB84" s="336" t="str">
        <f t="shared" si="76"/>
        <v>#REF!</v>
      </c>
      <c r="AC84" s="336" t="str">
        <f t="shared" si="76"/>
        <v>#REF!</v>
      </c>
      <c r="AD84" s="336" t="str">
        <f t="shared" si="76"/>
        <v>#REF!</v>
      </c>
      <c r="AE84" s="336" t="str">
        <f t="shared" si="76"/>
        <v>#REF!</v>
      </c>
      <c r="AF84" s="336" t="str">
        <f t="shared" si="76"/>
        <v>#REF!</v>
      </c>
      <c r="AG84" s="336" t="str">
        <f t="shared" si="76"/>
        <v>#REF!</v>
      </c>
      <c r="AH84" s="336" t="str">
        <f t="shared" si="76"/>
        <v>#REF!</v>
      </c>
      <c r="AI84" s="336" t="str">
        <f t="shared" si="76"/>
        <v>#REF!</v>
      </c>
      <c r="AJ84" s="336" t="str">
        <f t="shared" si="76"/>
        <v>#REF!</v>
      </c>
      <c r="AK84" s="336" t="str">
        <f t="shared" si="76"/>
        <v>#REF!</v>
      </c>
      <c r="AL84" s="336" t="str">
        <f t="shared" si="76"/>
        <v>#REF!</v>
      </c>
      <c r="AM84" s="12" t="str">
        <f>average(Q84:AL84)</f>
        <v>#REF!</v>
      </c>
    </row>
    <row r="85">
      <c r="C85" s="12"/>
    </row>
    <row r="86">
      <c r="C86" s="12"/>
    </row>
    <row r="87">
      <c r="B87" s="339" t="s">
        <v>348</v>
      </c>
      <c r="C87" s="340" t="s">
        <v>316</v>
      </c>
      <c r="D87" s="340" t="s">
        <v>317</v>
      </c>
      <c r="E87" s="340" t="s">
        <v>318</v>
      </c>
      <c r="F87" s="340" t="s">
        <v>319</v>
      </c>
      <c r="G87" s="340" t="s">
        <v>320</v>
      </c>
      <c r="H87" s="340" t="s">
        <v>321</v>
      </c>
      <c r="I87" s="340" t="s">
        <v>322</v>
      </c>
      <c r="J87" s="340" t="s">
        <v>323</v>
      </c>
      <c r="K87" s="340" t="s">
        <v>324</v>
      </c>
      <c r="L87" s="340" t="s">
        <v>325</v>
      </c>
      <c r="M87" s="340" t="s">
        <v>326</v>
      </c>
      <c r="N87" s="340" t="s">
        <v>327</v>
      </c>
      <c r="O87" s="340" t="s">
        <v>328</v>
      </c>
      <c r="P87" s="340" t="s">
        <v>329</v>
      </c>
      <c r="Q87" s="340" t="s">
        <v>330</v>
      </c>
      <c r="R87" s="340" t="s">
        <v>331</v>
      </c>
      <c r="S87" s="340" t="s">
        <v>332</v>
      </c>
      <c r="T87" s="340" t="s">
        <v>226</v>
      </c>
      <c r="U87" s="340" t="s">
        <v>227</v>
      </c>
      <c r="V87" s="340" t="s">
        <v>228</v>
      </c>
      <c r="W87" s="340" t="s">
        <v>229</v>
      </c>
      <c r="X87" s="340" t="s">
        <v>230</v>
      </c>
      <c r="Y87" s="340" t="s">
        <v>231</v>
      </c>
      <c r="Z87" s="340" t="s">
        <v>232</v>
      </c>
      <c r="AA87" s="340" t="s">
        <v>333</v>
      </c>
      <c r="AB87" s="340" t="s">
        <v>334</v>
      </c>
      <c r="AC87" s="340" t="s">
        <v>335</v>
      </c>
      <c r="AD87" s="340" t="s">
        <v>336</v>
      </c>
      <c r="AE87" s="340" t="s">
        <v>337</v>
      </c>
      <c r="AF87" s="340" t="s">
        <v>338</v>
      </c>
      <c r="AG87" s="340" t="s">
        <v>339</v>
      </c>
      <c r="AH87" s="340" t="s">
        <v>340</v>
      </c>
      <c r="AI87" s="340" t="s">
        <v>341</v>
      </c>
      <c r="AJ87" s="340" t="s">
        <v>342</v>
      </c>
      <c r="AK87" s="340" t="s">
        <v>343</v>
      </c>
      <c r="AL87" s="340" t="s">
        <v>344</v>
      </c>
    </row>
    <row r="88">
      <c r="B88" s="292" t="s">
        <v>309</v>
      </c>
      <c r="C88" s="12">
        <v>401.0</v>
      </c>
      <c r="D88" s="331" t="str">
        <f t="shared" ref="D88:P88" si="77">vlookup(D25,'Butter | Sauce Cup'!$B:$P,12,false)</f>
        <v>#REF!</v>
      </c>
      <c r="E88" s="331" t="str">
        <f t="shared" si="77"/>
        <v>#REF!</v>
      </c>
      <c r="F88" s="331" t="str">
        <f t="shared" si="77"/>
        <v>#REF!</v>
      </c>
      <c r="G88" s="331" t="str">
        <f t="shared" si="77"/>
        <v>#REF!</v>
      </c>
      <c r="H88" s="331" t="str">
        <f t="shared" si="77"/>
        <v>#REF!</v>
      </c>
      <c r="I88" s="331" t="str">
        <f t="shared" si="77"/>
        <v>#REF!</v>
      </c>
      <c r="J88" s="331" t="str">
        <f t="shared" si="77"/>
        <v>#REF!</v>
      </c>
      <c r="K88" s="331" t="str">
        <f t="shared" si="77"/>
        <v>#REF!</v>
      </c>
      <c r="L88" s="331" t="str">
        <f t="shared" si="77"/>
        <v>#REF!</v>
      </c>
      <c r="M88" s="331" t="str">
        <f t="shared" si="77"/>
        <v>#REF!</v>
      </c>
      <c r="N88" s="331" t="str">
        <f t="shared" si="77"/>
        <v>#REF!</v>
      </c>
      <c r="O88" s="331" t="str">
        <f t="shared" si="77"/>
        <v>#REF!</v>
      </c>
      <c r="P88" s="331" t="str">
        <f t="shared" si="77"/>
        <v>#REF!</v>
      </c>
      <c r="Q88" s="331" t="str">
        <f t="shared" ref="Q88:AL88" si="78">if(vlookup(Q3,'Butter | Sauce Cup'!$B:$P,15,false)=TRUE,Q46,"")</f>
        <v>#REF!</v>
      </c>
      <c r="R88" s="331" t="str">
        <f t="shared" si="78"/>
        <v>#REF!</v>
      </c>
      <c r="S88" s="331" t="str">
        <f t="shared" si="78"/>
        <v>#REF!</v>
      </c>
      <c r="T88" s="331" t="str">
        <f t="shared" si="78"/>
        <v>#REF!</v>
      </c>
      <c r="U88" s="331" t="str">
        <f t="shared" si="78"/>
        <v>#REF!</v>
      </c>
      <c r="V88" s="331" t="str">
        <f t="shared" si="78"/>
        <v>#REF!</v>
      </c>
      <c r="W88" s="331" t="str">
        <f t="shared" si="78"/>
        <v>#REF!</v>
      </c>
      <c r="X88" s="331" t="str">
        <f t="shared" si="78"/>
        <v>#REF!</v>
      </c>
      <c r="Y88" s="331" t="str">
        <f t="shared" si="78"/>
        <v>#REF!</v>
      </c>
      <c r="Z88" s="331" t="str">
        <f t="shared" si="78"/>
        <v>#REF!</v>
      </c>
      <c r="AA88" s="331" t="str">
        <f t="shared" si="78"/>
        <v>#REF!</v>
      </c>
      <c r="AB88" s="331" t="str">
        <f t="shared" si="78"/>
        <v>#REF!</v>
      </c>
      <c r="AC88" s="331" t="str">
        <f t="shared" si="78"/>
        <v>#REF!</v>
      </c>
      <c r="AD88" s="331" t="str">
        <f t="shared" si="78"/>
        <v>#REF!</v>
      </c>
      <c r="AE88" s="331" t="str">
        <f t="shared" si="78"/>
        <v>#REF!</v>
      </c>
      <c r="AF88" s="331" t="str">
        <f t="shared" si="78"/>
        <v>#REF!</v>
      </c>
      <c r="AG88" s="331" t="str">
        <f t="shared" si="78"/>
        <v>#REF!</v>
      </c>
      <c r="AH88" s="331" t="str">
        <f t="shared" si="78"/>
        <v>#REF!</v>
      </c>
      <c r="AI88" s="331" t="str">
        <f t="shared" si="78"/>
        <v>#REF!</v>
      </c>
      <c r="AJ88" s="331" t="str">
        <f t="shared" si="78"/>
        <v>#REF!</v>
      </c>
      <c r="AK88" s="331" t="str">
        <f t="shared" si="78"/>
        <v>#REF!</v>
      </c>
      <c r="AL88" s="331" t="str">
        <f t="shared" si="78"/>
        <v>#REF!</v>
      </c>
    </row>
    <row r="89">
      <c r="B89" s="292" t="s">
        <v>310</v>
      </c>
      <c r="C89" s="12">
        <v>402.0</v>
      </c>
      <c r="D89" s="331" t="str">
        <f t="shared" ref="D89:P89" si="79">vlookup(D26,'Butter | Sauce Cup'!$B:$P,12,false)</f>
        <v>#REF!</v>
      </c>
      <c r="E89" s="331" t="str">
        <f t="shared" si="79"/>
        <v>#REF!</v>
      </c>
      <c r="F89" s="331" t="str">
        <f t="shared" si="79"/>
        <v>#REF!</v>
      </c>
      <c r="G89" s="331" t="str">
        <f t="shared" si="79"/>
        <v>#REF!</v>
      </c>
      <c r="H89" s="331" t="str">
        <f t="shared" si="79"/>
        <v>#REF!</v>
      </c>
      <c r="I89" s="331" t="str">
        <f t="shared" si="79"/>
        <v>#REF!</v>
      </c>
      <c r="J89" s="331" t="str">
        <f t="shared" si="79"/>
        <v>#REF!</v>
      </c>
      <c r="K89" s="331" t="str">
        <f t="shared" si="79"/>
        <v>#REF!</v>
      </c>
      <c r="L89" s="331" t="str">
        <f t="shared" si="79"/>
        <v>#REF!</v>
      </c>
      <c r="M89" s="331" t="str">
        <f t="shared" si="79"/>
        <v>#REF!</v>
      </c>
      <c r="N89" s="331" t="str">
        <f t="shared" si="79"/>
        <v>#REF!</v>
      </c>
      <c r="O89" s="331" t="str">
        <f t="shared" si="79"/>
        <v>#REF!</v>
      </c>
      <c r="P89" s="331" t="str">
        <f t="shared" si="79"/>
        <v>#REF!</v>
      </c>
      <c r="Q89" s="331" t="str">
        <f t="shared" ref="Q89:AL89" si="80">if(vlookup(Q4,'Butter | Sauce Cup'!$B:$P,15,false)=TRUE,Q47,"")</f>
        <v>#REF!</v>
      </c>
      <c r="R89" s="331" t="str">
        <f t="shared" si="80"/>
        <v>#REF!</v>
      </c>
      <c r="S89" s="331" t="str">
        <f t="shared" si="80"/>
        <v>#REF!</v>
      </c>
      <c r="T89" s="331" t="str">
        <f t="shared" si="80"/>
        <v>#REF!</v>
      </c>
      <c r="U89" s="331" t="str">
        <f t="shared" si="80"/>
        <v>#REF!</v>
      </c>
      <c r="V89" s="331" t="str">
        <f t="shared" si="80"/>
        <v>#REF!</v>
      </c>
      <c r="W89" s="331" t="str">
        <f t="shared" si="80"/>
        <v>#REF!</v>
      </c>
      <c r="X89" s="331" t="str">
        <f t="shared" si="80"/>
        <v>#REF!</v>
      </c>
      <c r="Y89" s="331" t="str">
        <f t="shared" si="80"/>
        <v>#REF!</v>
      </c>
      <c r="Z89" s="331" t="str">
        <f t="shared" si="80"/>
        <v>#REF!</v>
      </c>
      <c r="AA89" s="331" t="str">
        <f t="shared" si="80"/>
        <v>#REF!</v>
      </c>
      <c r="AB89" s="331" t="str">
        <f t="shared" si="80"/>
        <v>#REF!</v>
      </c>
      <c r="AC89" s="331" t="str">
        <f t="shared" si="80"/>
        <v>#REF!</v>
      </c>
      <c r="AD89" s="331" t="str">
        <f t="shared" si="80"/>
        <v>#REF!</v>
      </c>
      <c r="AE89" s="331" t="str">
        <f t="shared" si="80"/>
        <v>#REF!</v>
      </c>
      <c r="AF89" s="331" t="str">
        <f t="shared" si="80"/>
        <v>#REF!</v>
      </c>
      <c r="AG89" s="331" t="str">
        <f t="shared" si="80"/>
        <v>#REF!</v>
      </c>
      <c r="AH89" s="331" t="str">
        <f t="shared" si="80"/>
        <v>#REF!</v>
      </c>
      <c r="AI89" s="331" t="str">
        <f t="shared" si="80"/>
        <v>#REF!</v>
      </c>
      <c r="AJ89" s="331" t="str">
        <f t="shared" si="80"/>
        <v>#REF!</v>
      </c>
      <c r="AK89" s="331" t="str">
        <f t="shared" si="80"/>
        <v>#REF!</v>
      </c>
      <c r="AL89" s="331" t="str">
        <f t="shared" si="80"/>
        <v>#REF!</v>
      </c>
    </row>
    <row r="90">
      <c r="B90" s="292" t="s">
        <v>99</v>
      </c>
      <c r="C90" s="12">
        <v>403.0</v>
      </c>
      <c r="D90" s="331" t="str">
        <f t="shared" ref="D90:P90" si="81">vlookup(D27,'Butter | Sauce Cup'!$B:$P,12,false)</f>
        <v>#REF!</v>
      </c>
      <c r="E90" s="331" t="str">
        <f t="shared" si="81"/>
        <v>#REF!</v>
      </c>
      <c r="F90" s="331" t="str">
        <f t="shared" si="81"/>
        <v>#REF!</v>
      </c>
      <c r="G90" s="331" t="str">
        <f t="shared" si="81"/>
        <v>#REF!</v>
      </c>
      <c r="H90" s="331" t="str">
        <f t="shared" si="81"/>
        <v>#REF!</v>
      </c>
      <c r="I90" s="331" t="str">
        <f t="shared" si="81"/>
        <v>#REF!</v>
      </c>
      <c r="J90" s="331" t="str">
        <f t="shared" si="81"/>
        <v>#REF!</v>
      </c>
      <c r="K90" s="331" t="str">
        <f t="shared" si="81"/>
        <v>#REF!</v>
      </c>
      <c r="L90" s="331" t="str">
        <f t="shared" si="81"/>
        <v>#REF!</v>
      </c>
      <c r="M90" s="331" t="str">
        <f t="shared" si="81"/>
        <v>#REF!</v>
      </c>
      <c r="N90" s="331" t="str">
        <f t="shared" si="81"/>
        <v>#REF!</v>
      </c>
      <c r="O90" s="331" t="str">
        <f t="shared" si="81"/>
        <v>#REF!</v>
      </c>
      <c r="P90" s="331" t="str">
        <f t="shared" si="81"/>
        <v>#REF!</v>
      </c>
      <c r="Q90" s="331" t="str">
        <f t="shared" ref="Q90:AL90" si="82">if(vlookup(Q5,'Butter | Sauce Cup'!$B:$P,15,false)=TRUE,Q48,"")</f>
        <v>#REF!</v>
      </c>
      <c r="R90" s="331" t="str">
        <f t="shared" si="82"/>
        <v>#REF!</v>
      </c>
      <c r="S90" s="331" t="str">
        <f t="shared" si="82"/>
        <v>#REF!</v>
      </c>
      <c r="T90" s="331" t="str">
        <f t="shared" si="82"/>
        <v>#REF!</v>
      </c>
      <c r="U90" s="331" t="str">
        <f t="shared" si="82"/>
        <v>#REF!</v>
      </c>
      <c r="V90" s="331" t="str">
        <f t="shared" si="82"/>
        <v>#REF!</v>
      </c>
      <c r="W90" s="331" t="str">
        <f t="shared" si="82"/>
        <v>#REF!</v>
      </c>
      <c r="X90" s="331" t="str">
        <f t="shared" si="82"/>
        <v>#REF!</v>
      </c>
      <c r="Y90" s="331" t="str">
        <f t="shared" si="82"/>
        <v>#REF!</v>
      </c>
      <c r="Z90" s="331" t="str">
        <f t="shared" si="82"/>
        <v>#REF!</v>
      </c>
      <c r="AA90" s="331" t="str">
        <f t="shared" si="82"/>
        <v>#REF!</v>
      </c>
      <c r="AB90" s="331" t="str">
        <f t="shared" si="82"/>
        <v>#REF!</v>
      </c>
      <c r="AC90" s="331" t="str">
        <f t="shared" si="82"/>
        <v>#REF!</v>
      </c>
      <c r="AD90" s="331" t="str">
        <f t="shared" si="82"/>
        <v>#REF!</v>
      </c>
      <c r="AE90" s="331" t="str">
        <f t="shared" si="82"/>
        <v>#REF!</v>
      </c>
      <c r="AF90" s="331" t="str">
        <f t="shared" si="82"/>
        <v>#REF!</v>
      </c>
      <c r="AG90" s="331" t="str">
        <f t="shared" si="82"/>
        <v>#REF!</v>
      </c>
      <c r="AH90" s="331" t="str">
        <f t="shared" si="82"/>
        <v>#REF!</v>
      </c>
      <c r="AI90" s="331" t="str">
        <f t="shared" si="82"/>
        <v>#REF!</v>
      </c>
      <c r="AJ90" s="331" t="str">
        <f t="shared" si="82"/>
        <v>#REF!</v>
      </c>
      <c r="AK90" s="331" t="str">
        <f t="shared" si="82"/>
        <v>#REF!</v>
      </c>
      <c r="AL90" s="331" t="str">
        <f t="shared" si="82"/>
        <v>#REF!</v>
      </c>
    </row>
    <row r="91">
      <c r="B91" s="292" t="s">
        <v>311</v>
      </c>
      <c r="C91" s="12">
        <v>404.0</v>
      </c>
      <c r="D91" s="331" t="str">
        <f t="shared" ref="D91:P91" si="83">vlookup(D28,'Butter | Sauce Cup'!$B:$P,12,false)</f>
        <v>#REF!</v>
      </c>
      <c r="E91" s="331" t="str">
        <f t="shared" si="83"/>
        <v>#REF!</v>
      </c>
      <c r="F91" s="331" t="str">
        <f t="shared" si="83"/>
        <v>#REF!</v>
      </c>
      <c r="G91" s="331" t="str">
        <f t="shared" si="83"/>
        <v>#REF!</v>
      </c>
      <c r="H91" s="331" t="str">
        <f t="shared" si="83"/>
        <v>#REF!</v>
      </c>
      <c r="I91" s="331" t="str">
        <f t="shared" si="83"/>
        <v>#REF!</v>
      </c>
      <c r="J91" s="331" t="str">
        <f t="shared" si="83"/>
        <v>#REF!</v>
      </c>
      <c r="K91" s="331" t="str">
        <f t="shared" si="83"/>
        <v>#REF!</v>
      </c>
      <c r="L91" s="331" t="str">
        <f t="shared" si="83"/>
        <v>#REF!</v>
      </c>
      <c r="M91" s="331" t="str">
        <f t="shared" si="83"/>
        <v>#REF!</v>
      </c>
      <c r="N91" s="331" t="str">
        <f t="shared" si="83"/>
        <v>#REF!</v>
      </c>
      <c r="O91" s="331" t="str">
        <f t="shared" si="83"/>
        <v>#REF!</v>
      </c>
      <c r="P91" s="331" t="str">
        <f t="shared" si="83"/>
        <v>#REF!</v>
      </c>
      <c r="Q91" s="331" t="str">
        <f t="shared" ref="Q91:AL91" si="84">if(vlookup(Q6,'Butter | Sauce Cup'!$B:$P,15,false)=TRUE,Q49,"")</f>
        <v>#REF!</v>
      </c>
      <c r="R91" s="331" t="str">
        <f t="shared" si="84"/>
        <v>#REF!</v>
      </c>
      <c r="S91" s="331" t="str">
        <f t="shared" si="84"/>
        <v>#REF!</v>
      </c>
      <c r="T91" s="331" t="str">
        <f t="shared" si="84"/>
        <v>#REF!</v>
      </c>
      <c r="U91" s="331" t="str">
        <f t="shared" si="84"/>
        <v>#REF!</v>
      </c>
      <c r="V91" s="331" t="str">
        <f t="shared" si="84"/>
        <v>#REF!</v>
      </c>
      <c r="W91" s="331" t="str">
        <f t="shared" si="84"/>
        <v>#REF!</v>
      </c>
      <c r="X91" s="331" t="str">
        <f t="shared" si="84"/>
        <v>#REF!</v>
      </c>
      <c r="Y91" s="331" t="str">
        <f t="shared" si="84"/>
        <v>#REF!</v>
      </c>
      <c r="Z91" s="331" t="str">
        <f t="shared" si="84"/>
        <v>#REF!</v>
      </c>
      <c r="AA91" s="331" t="str">
        <f t="shared" si="84"/>
        <v>#REF!</v>
      </c>
      <c r="AB91" s="331" t="str">
        <f t="shared" si="84"/>
        <v>#REF!</v>
      </c>
      <c r="AC91" s="331" t="str">
        <f t="shared" si="84"/>
        <v>#REF!</v>
      </c>
      <c r="AD91" s="331" t="str">
        <f t="shared" si="84"/>
        <v>#REF!</v>
      </c>
      <c r="AE91" s="331" t="str">
        <f t="shared" si="84"/>
        <v>#REF!</v>
      </c>
      <c r="AF91" s="331" t="str">
        <f t="shared" si="84"/>
        <v>#REF!</v>
      </c>
      <c r="AG91" s="331" t="str">
        <f t="shared" si="84"/>
        <v>#REF!</v>
      </c>
      <c r="AH91" s="331" t="str">
        <f t="shared" si="84"/>
        <v>#REF!</v>
      </c>
      <c r="AI91" s="331" t="str">
        <f t="shared" si="84"/>
        <v>#REF!</v>
      </c>
      <c r="AJ91" s="331" t="str">
        <f t="shared" si="84"/>
        <v>#REF!</v>
      </c>
      <c r="AK91" s="331" t="str">
        <f t="shared" si="84"/>
        <v>#REF!</v>
      </c>
      <c r="AL91" s="331" t="str">
        <f t="shared" si="84"/>
        <v>#REF!</v>
      </c>
    </row>
    <row r="92">
      <c r="B92" s="292" t="s">
        <v>309</v>
      </c>
      <c r="C92" s="12">
        <v>405.0</v>
      </c>
      <c r="D92" s="331" t="str">
        <f t="shared" ref="D92:P92" si="85">vlookup(D29,'Butter | Sauce Cup'!$B:$P,12,false)</f>
        <v>#REF!</v>
      </c>
      <c r="E92" s="331" t="str">
        <f t="shared" si="85"/>
        <v>#REF!</v>
      </c>
      <c r="F92" s="331" t="str">
        <f t="shared" si="85"/>
        <v>#REF!</v>
      </c>
      <c r="G92" s="331" t="str">
        <f t="shared" si="85"/>
        <v>#REF!</v>
      </c>
      <c r="H92" s="331" t="str">
        <f t="shared" si="85"/>
        <v>#REF!</v>
      </c>
      <c r="I92" s="331" t="str">
        <f t="shared" si="85"/>
        <v>#REF!</v>
      </c>
      <c r="J92" s="331" t="str">
        <f t="shared" si="85"/>
        <v>#REF!</v>
      </c>
      <c r="K92" s="331" t="str">
        <f t="shared" si="85"/>
        <v>#REF!</v>
      </c>
      <c r="L92" s="331" t="str">
        <f t="shared" si="85"/>
        <v>#REF!</v>
      </c>
      <c r="M92" s="331" t="str">
        <f t="shared" si="85"/>
        <v>#REF!</v>
      </c>
      <c r="N92" s="331" t="str">
        <f t="shared" si="85"/>
        <v>#REF!</v>
      </c>
      <c r="O92" s="331" t="str">
        <f t="shared" si="85"/>
        <v>#REF!</v>
      </c>
      <c r="P92" s="331" t="str">
        <f t="shared" si="85"/>
        <v>#REF!</v>
      </c>
      <c r="Q92" s="331" t="str">
        <f t="shared" ref="Q92:AL92" si="86">if(vlookup(Q7,'Butter | Sauce Cup'!$B:$P,15,false)=TRUE,Q50,"")</f>
        <v>#REF!</v>
      </c>
      <c r="R92" s="331" t="str">
        <f t="shared" si="86"/>
        <v>#REF!</v>
      </c>
      <c r="S92" s="331" t="str">
        <f t="shared" si="86"/>
        <v>#REF!</v>
      </c>
      <c r="T92" s="331" t="str">
        <f t="shared" si="86"/>
        <v>#REF!</v>
      </c>
      <c r="U92" s="331" t="str">
        <f t="shared" si="86"/>
        <v>#REF!</v>
      </c>
      <c r="V92" s="331" t="str">
        <f t="shared" si="86"/>
        <v>#REF!</v>
      </c>
      <c r="W92" s="331" t="str">
        <f t="shared" si="86"/>
        <v>#REF!</v>
      </c>
      <c r="X92" s="331" t="str">
        <f t="shared" si="86"/>
        <v>#REF!</v>
      </c>
      <c r="Y92" s="331" t="str">
        <f t="shared" si="86"/>
        <v>#REF!</v>
      </c>
      <c r="Z92" s="331" t="str">
        <f t="shared" si="86"/>
        <v>#REF!</v>
      </c>
      <c r="AA92" s="331" t="str">
        <f t="shared" si="86"/>
        <v>#REF!</v>
      </c>
      <c r="AB92" s="331" t="str">
        <f t="shared" si="86"/>
        <v>#REF!</v>
      </c>
      <c r="AC92" s="331" t="str">
        <f t="shared" si="86"/>
        <v>#REF!</v>
      </c>
      <c r="AD92" s="331" t="str">
        <f t="shared" si="86"/>
        <v>#REF!</v>
      </c>
      <c r="AE92" s="331" t="str">
        <f t="shared" si="86"/>
        <v>#REF!</v>
      </c>
      <c r="AF92" s="331" t="str">
        <f t="shared" si="86"/>
        <v>#REF!</v>
      </c>
      <c r="AG92" s="331" t="str">
        <f t="shared" si="86"/>
        <v>#REF!</v>
      </c>
      <c r="AH92" s="331" t="str">
        <f t="shared" si="86"/>
        <v>#REF!</v>
      </c>
      <c r="AI92" s="331" t="str">
        <f t="shared" si="86"/>
        <v>#REF!</v>
      </c>
      <c r="AJ92" s="331" t="str">
        <f t="shared" si="86"/>
        <v>#REF!</v>
      </c>
      <c r="AK92" s="331" t="str">
        <f t="shared" si="86"/>
        <v>#REF!</v>
      </c>
      <c r="AL92" s="331" t="str">
        <f t="shared" si="86"/>
        <v>#REF!</v>
      </c>
    </row>
    <row r="93">
      <c r="B93" s="292" t="s">
        <v>99</v>
      </c>
      <c r="C93" s="12">
        <v>406.0</v>
      </c>
      <c r="D93" s="331" t="str">
        <f t="shared" ref="D93:P93" si="87">vlookup(D30,'Butter | Sauce Cup'!$B:$P,12,false)</f>
        <v>#REF!</v>
      </c>
      <c r="E93" s="331" t="str">
        <f t="shared" si="87"/>
        <v>#REF!</v>
      </c>
      <c r="F93" s="331" t="str">
        <f t="shared" si="87"/>
        <v>#REF!</v>
      </c>
      <c r="G93" s="331" t="str">
        <f t="shared" si="87"/>
        <v>#REF!</v>
      </c>
      <c r="H93" s="331" t="str">
        <f t="shared" si="87"/>
        <v>#REF!</v>
      </c>
      <c r="I93" s="331" t="str">
        <f t="shared" si="87"/>
        <v>#REF!</v>
      </c>
      <c r="J93" s="331" t="str">
        <f t="shared" si="87"/>
        <v>#REF!</v>
      </c>
      <c r="K93" s="331" t="str">
        <f t="shared" si="87"/>
        <v>#REF!</v>
      </c>
      <c r="L93" s="331" t="str">
        <f t="shared" si="87"/>
        <v>#REF!</v>
      </c>
      <c r="M93" s="331" t="str">
        <f t="shared" si="87"/>
        <v>#REF!</v>
      </c>
      <c r="N93" s="331" t="str">
        <f t="shared" si="87"/>
        <v>#REF!</v>
      </c>
      <c r="O93" s="331" t="str">
        <f t="shared" si="87"/>
        <v>#REF!</v>
      </c>
      <c r="P93" s="331" t="str">
        <f t="shared" si="87"/>
        <v>#REF!</v>
      </c>
      <c r="Q93" s="331" t="str">
        <f t="shared" ref="Q93:AL93" si="88">if(vlookup(Q8,'Butter | Sauce Cup'!$B:$P,15,false)=TRUE,Q51,"")</f>
        <v>#REF!</v>
      </c>
      <c r="R93" s="331" t="str">
        <f t="shared" si="88"/>
        <v>#REF!</v>
      </c>
      <c r="S93" s="331" t="str">
        <f t="shared" si="88"/>
        <v>#REF!</v>
      </c>
      <c r="T93" s="331" t="str">
        <f t="shared" si="88"/>
        <v>#REF!</v>
      </c>
      <c r="U93" s="331" t="str">
        <f t="shared" si="88"/>
        <v>#REF!</v>
      </c>
      <c r="V93" s="331" t="str">
        <f t="shared" si="88"/>
        <v>#REF!</v>
      </c>
      <c r="W93" s="331" t="str">
        <f t="shared" si="88"/>
        <v>#REF!</v>
      </c>
      <c r="X93" s="331" t="str">
        <f t="shared" si="88"/>
        <v>#REF!</v>
      </c>
      <c r="Y93" s="331" t="str">
        <f t="shared" si="88"/>
        <v>#REF!</v>
      </c>
      <c r="Z93" s="331" t="str">
        <f t="shared" si="88"/>
        <v>#REF!</v>
      </c>
      <c r="AA93" s="331" t="str">
        <f t="shared" si="88"/>
        <v>#REF!</v>
      </c>
      <c r="AB93" s="331" t="str">
        <f t="shared" si="88"/>
        <v>#REF!</v>
      </c>
      <c r="AC93" s="331" t="str">
        <f t="shared" si="88"/>
        <v>#REF!</v>
      </c>
      <c r="AD93" s="331" t="str">
        <f t="shared" si="88"/>
        <v>#REF!</v>
      </c>
      <c r="AE93" s="331" t="str">
        <f t="shared" si="88"/>
        <v>#REF!</v>
      </c>
      <c r="AF93" s="331" t="str">
        <f t="shared" si="88"/>
        <v>#REF!</v>
      </c>
      <c r="AG93" s="331" t="str">
        <f t="shared" si="88"/>
        <v>#REF!</v>
      </c>
      <c r="AH93" s="331" t="str">
        <f t="shared" si="88"/>
        <v>#REF!</v>
      </c>
      <c r="AI93" s="331" t="str">
        <f t="shared" si="88"/>
        <v>#REF!</v>
      </c>
      <c r="AJ93" s="331" t="str">
        <f t="shared" si="88"/>
        <v>#REF!</v>
      </c>
      <c r="AK93" s="331" t="str">
        <f t="shared" si="88"/>
        <v>#REF!</v>
      </c>
      <c r="AL93" s="331" t="str">
        <f t="shared" si="88"/>
        <v>#REF!</v>
      </c>
    </row>
    <row r="94">
      <c r="B94" s="292" t="s">
        <v>99</v>
      </c>
      <c r="C94" s="12">
        <v>407.0</v>
      </c>
      <c r="D94" s="331" t="str">
        <f t="shared" ref="D94:P94" si="89">vlookup(D31,'Butter | Sauce Cup'!$B:$P,12,false)</f>
        <v>#REF!</v>
      </c>
      <c r="E94" s="331" t="str">
        <f t="shared" si="89"/>
        <v>#REF!</v>
      </c>
      <c r="F94" s="331" t="str">
        <f t="shared" si="89"/>
        <v>#REF!</v>
      </c>
      <c r="G94" s="331" t="str">
        <f t="shared" si="89"/>
        <v>#REF!</v>
      </c>
      <c r="H94" s="331" t="str">
        <f t="shared" si="89"/>
        <v>#REF!</v>
      </c>
      <c r="I94" s="331" t="str">
        <f t="shared" si="89"/>
        <v>#REF!</v>
      </c>
      <c r="J94" s="331" t="str">
        <f t="shared" si="89"/>
        <v>#REF!</v>
      </c>
      <c r="K94" s="331" t="str">
        <f t="shared" si="89"/>
        <v>#REF!</v>
      </c>
      <c r="L94" s="331" t="str">
        <f t="shared" si="89"/>
        <v>#REF!</v>
      </c>
      <c r="M94" s="331" t="str">
        <f t="shared" si="89"/>
        <v>#REF!</v>
      </c>
      <c r="N94" s="331" t="str">
        <f t="shared" si="89"/>
        <v>#REF!</v>
      </c>
      <c r="O94" s="331" t="str">
        <f t="shared" si="89"/>
        <v>#REF!</v>
      </c>
      <c r="P94" s="331" t="str">
        <f t="shared" si="89"/>
        <v>#REF!</v>
      </c>
      <c r="Q94" s="331" t="str">
        <f t="shared" ref="Q94:AL94" si="90">if(vlookup(Q9,'Butter | Sauce Cup'!$B:$P,15,false)=TRUE,Q52,"")</f>
        <v>#REF!</v>
      </c>
      <c r="R94" s="331" t="str">
        <f t="shared" si="90"/>
        <v>#REF!</v>
      </c>
      <c r="S94" s="331" t="str">
        <f t="shared" si="90"/>
        <v>#REF!</v>
      </c>
      <c r="T94" s="331" t="str">
        <f t="shared" si="90"/>
        <v>#REF!</v>
      </c>
      <c r="U94" s="331" t="str">
        <f t="shared" si="90"/>
        <v>#REF!</v>
      </c>
      <c r="V94" s="331" t="str">
        <f t="shared" si="90"/>
        <v>#REF!</v>
      </c>
      <c r="W94" s="331" t="str">
        <f t="shared" si="90"/>
        <v>#REF!</v>
      </c>
      <c r="X94" s="331" t="str">
        <f t="shared" si="90"/>
        <v>#REF!</v>
      </c>
      <c r="Y94" s="331" t="str">
        <f t="shared" si="90"/>
        <v>#REF!</v>
      </c>
      <c r="Z94" s="331" t="str">
        <f t="shared" si="90"/>
        <v>#REF!</v>
      </c>
      <c r="AA94" s="331" t="str">
        <f t="shared" si="90"/>
        <v>#REF!</v>
      </c>
      <c r="AB94" s="331" t="str">
        <f t="shared" si="90"/>
        <v>#REF!</v>
      </c>
      <c r="AC94" s="331" t="str">
        <f t="shared" si="90"/>
        <v>#REF!</v>
      </c>
      <c r="AD94" s="331" t="str">
        <f t="shared" si="90"/>
        <v>#REF!</v>
      </c>
      <c r="AE94" s="331" t="str">
        <f t="shared" si="90"/>
        <v>#REF!</v>
      </c>
      <c r="AF94" s="331" t="str">
        <f t="shared" si="90"/>
        <v>#REF!</v>
      </c>
      <c r="AG94" s="331" t="str">
        <f t="shared" si="90"/>
        <v>#REF!</v>
      </c>
      <c r="AH94" s="331" t="str">
        <f t="shared" si="90"/>
        <v>#REF!</v>
      </c>
      <c r="AI94" s="331" t="str">
        <f t="shared" si="90"/>
        <v>#REF!</v>
      </c>
      <c r="AJ94" s="331" t="str">
        <f t="shared" si="90"/>
        <v>#REF!</v>
      </c>
      <c r="AK94" s="331" t="str">
        <f t="shared" si="90"/>
        <v>#REF!</v>
      </c>
      <c r="AL94" s="331" t="str">
        <f t="shared" si="90"/>
        <v>#REF!</v>
      </c>
    </row>
    <row r="95">
      <c r="B95" s="292" t="s">
        <v>99</v>
      </c>
      <c r="C95" s="12">
        <v>408.0</v>
      </c>
      <c r="D95" s="331" t="str">
        <f t="shared" ref="D95:P95" si="91">vlookup(D32,'Butter | Sauce Cup'!$B:$P,12,false)</f>
        <v>#REF!</v>
      </c>
      <c r="E95" s="331" t="str">
        <f t="shared" si="91"/>
        <v>#REF!</v>
      </c>
      <c r="F95" s="331" t="str">
        <f t="shared" si="91"/>
        <v>#REF!</v>
      </c>
      <c r="G95" s="331" t="str">
        <f t="shared" si="91"/>
        <v>#REF!</v>
      </c>
      <c r="H95" s="331" t="str">
        <f t="shared" si="91"/>
        <v>#REF!</v>
      </c>
      <c r="I95" s="331" t="str">
        <f t="shared" si="91"/>
        <v>#REF!</v>
      </c>
      <c r="J95" s="331" t="str">
        <f t="shared" si="91"/>
        <v>#REF!</v>
      </c>
      <c r="K95" s="331" t="str">
        <f t="shared" si="91"/>
        <v>#REF!</v>
      </c>
      <c r="L95" s="331" t="str">
        <f t="shared" si="91"/>
        <v>#REF!</v>
      </c>
      <c r="M95" s="331" t="str">
        <f t="shared" si="91"/>
        <v>#REF!</v>
      </c>
      <c r="N95" s="331" t="str">
        <f t="shared" si="91"/>
        <v>#REF!</v>
      </c>
      <c r="O95" s="331" t="str">
        <f t="shared" si="91"/>
        <v>#REF!</v>
      </c>
      <c r="P95" s="331" t="str">
        <f t="shared" si="91"/>
        <v>#REF!</v>
      </c>
      <c r="Q95" s="331" t="str">
        <f t="shared" ref="Q95:AL95" si="92">if(vlookup(Q10,'Butter | Sauce Cup'!$B:$P,15,false)=TRUE,Q53,"")</f>
        <v>#REF!</v>
      </c>
      <c r="R95" s="331" t="str">
        <f t="shared" si="92"/>
        <v>#REF!</v>
      </c>
      <c r="S95" s="331" t="str">
        <f t="shared" si="92"/>
        <v>#REF!</v>
      </c>
      <c r="T95" s="331" t="str">
        <f t="shared" si="92"/>
        <v>#REF!</v>
      </c>
      <c r="U95" s="331" t="str">
        <f t="shared" si="92"/>
        <v>#REF!</v>
      </c>
      <c r="V95" s="331" t="str">
        <f t="shared" si="92"/>
        <v>#REF!</v>
      </c>
      <c r="W95" s="331" t="str">
        <f t="shared" si="92"/>
        <v>#REF!</v>
      </c>
      <c r="X95" s="331" t="str">
        <f t="shared" si="92"/>
        <v>#REF!</v>
      </c>
      <c r="Y95" s="331" t="str">
        <f t="shared" si="92"/>
        <v>#REF!</v>
      </c>
      <c r="Z95" s="331" t="str">
        <f t="shared" si="92"/>
        <v>#REF!</v>
      </c>
      <c r="AA95" s="331" t="str">
        <f t="shared" si="92"/>
        <v>#REF!</v>
      </c>
      <c r="AB95" s="331" t="str">
        <f t="shared" si="92"/>
        <v>#REF!</v>
      </c>
      <c r="AC95" s="331" t="str">
        <f t="shared" si="92"/>
        <v>#REF!</v>
      </c>
      <c r="AD95" s="331" t="str">
        <f t="shared" si="92"/>
        <v>#REF!</v>
      </c>
      <c r="AE95" s="331" t="str">
        <f t="shared" si="92"/>
        <v>#REF!</v>
      </c>
      <c r="AF95" s="331" t="str">
        <f t="shared" si="92"/>
        <v>#REF!</v>
      </c>
      <c r="AG95" s="331" t="str">
        <f t="shared" si="92"/>
        <v>#REF!</v>
      </c>
      <c r="AH95" s="331" t="str">
        <f t="shared" si="92"/>
        <v>#REF!</v>
      </c>
      <c r="AI95" s="331" t="str">
        <f t="shared" si="92"/>
        <v>#REF!</v>
      </c>
      <c r="AJ95" s="331" t="str">
        <f t="shared" si="92"/>
        <v>#REF!</v>
      </c>
      <c r="AK95" s="331" t="str">
        <f t="shared" si="92"/>
        <v>#REF!</v>
      </c>
      <c r="AL95" s="331" t="str">
        <f t="shared" si="92"/>
        <v>#REF!</v>
      </c>
    </row>
    <row r="96">
      <c r="B96" s="292" t="s">
        <v>103</v>
      </c>
      <c r="C96" s="12">
        <v>409.0</v>
      </c>
      <c r="D96" s="331" t="str">
        <f t="shared" ref="D96:P96" si="93">vlookup(D33,'Butter | Sauce Cup'!$B:$P,12,false)</f>
        <v>#REF!</v>
      </c>
      <c r="E96" s="331" t="str">
        <f t="shared" si="93"/>
        <v>#REF!</v>
      </c>
      <c r="F96" s="331" t="str">
        <f t="shared" si="93"/>
        <v>#REF!</v>
      </c>
      <c r="G96" s="331" t="str">
        <f t="shared" si="93"/>
        <v>#REF!</v>
      </c>
      <c r="H96" s="331" t="str">
        <f t="shared" si="93"/>
        <v>#REF!</v>
      </c>
      <c r="I96" s="331" t="str">
        <f t="shared" si="93"/>
        <v>#REF!</v>
      </c>
      <c r="J96" s="331" t="str">
        <f t="shared" si="93"/>
        <v>#REF!</v>
      </c>
      <c r="K96" s="331" t="str">
        <f t="shared" si="93"/>
        <v>#REF!</v>
      </c>
      <c r="L96" s="331" t="str">
        <f t="shared" si="93"/>
        <v>#REF!</v>
      </c>
      <c r="M96" s="331" t="str">
        <f t="shared" si="93"/>
        <v>#REF!</v>
      </c>
      <c r="N96" s="331" t="str">
        <f t="shared" si="93"/>
        <v>#REF!</v>
      </c>
      <c r="O96" s="331" t="str">
        <f t="shared" si="93"/>
        <v>#REF!</v>
      </c>
      <c r="P96" s="331" t="str">
        <f t="shared" si="93"/>
        <v>#REF!</v>
      </c>
      <c r="Q96" s="331" t="str">
        <f t="shared" ref="Q96:AL96" si="94">if(vlookup(Q11,'Butter | Sauce Cup'!$B:$P,15,false)=TRUE,Q54,"")</f>
        <v>#REF!</v>
      </c>
      <c r="R96" s="331" t="str">
        <f t="shared" si="94"/>
        <v>#REF!</v>
      </c>
      <c r="S96" s="331" t="str">
        <f t="shared" si="94"/>
        <v>#REF!</v>
      </c>
      <c r="T96" s="331" t="str">
        <f t="shared" si="94"/>
        <v>#REF!</v>
      </c>
      <c r="U96" s="331" t="str">
        <f t="shared" si="94"/>
        <v>#REF!</v>
      </c>
      <c r="V96" s="331" t="str">
        <f t="shared" si="94"/>
        <v>#REF!</v>
      </c>
      <c r="W96" s="331" t="str">
        <f t="shared" si="94"/>
        <v>#REF!</v>
      </c>
      <c r="X96" s="331" t="str">
        <f t="shared" si="94"/>
        <v>#REF!</v>
      </c>
      <c r="Y96" s="331" t="str">
        <f t="shared" si="94"/>
        <v>#REF!</v>
      </c>
      <c r="Z96" s="331" t="str">
        <f t="shared" si="94"/>
        <v>#REF!</v>
      </c>
      <c r="AA96" s="331" t="str">
        <f t="shared" si="94"/>
        <v>#REF!</v>
      </c>
      <c r="AB96" s="331" t="str">
        <f t="shared" si="94"/>
        <v>#REF!</v>
      </c>
      <c r="AC96" s="331" t="str">
        <f t="shared" si="94"/>
        <v>#REF!</v>
      </c>
      <c r="AD96" s="331" t="str">
        <f t="shared" si="94"/>
        <v>#REF!</v>
      </c>
      <c r="AE96" s="331" t="str">
        <f t="shared" si="94"/>
        <v>#REF!</v>
      </c>
      <c r="AF96" s="331" t="str">
        <f t="shared" si="94"/>
        <v>#REF!</v>
      </c>
      <c r="AG96" s="331" t="str">
        <f t="shared" si="94"/>
        <v>#REF!</v>
      </c>
      <c r="AH96" s="331" t="str">
        <f t="shared" si="94"/>
        <v>#REF!</v>
      </c>
      <c r="AI96" s="331" t="str">
        <f t="shared" si="94"/>
        <v>#REF!</v>
      </c>
      <c r="AJ96" s="331" t="str">
        <f t="shared" si="94"/>
        <v>#REF!</v>
      </c>
      <c r="AK96" s="331" t="str">
        <f t="shared" si="94"/>
        <v>#REF!</v>
      </c>
      <c r="AL96" s="331" t="str">
        <f t="shared" si="94"/>
        <v>#REF!</v>
      </c>
    </row>
    <row r="97">
      <c r="B97" s="292" t="s">
        <v>103</v>
      </c>
      <c r="C97" s="12">
        <v>410.0</v>
      </c>
      <c r="D97" s="331" t="str">
        <f t="shared" ref="D97:P97" si="95">vlookup(D34,'Butter | Sauce Cup'!$B:$P,12,false)</f>
        <v>#REF!</v>
      </c>
      <c r="E97" s="331" t="str">
        <f t="shared" si="95"/>
        <v>#REF!</v>
      </c>
      <c r="F97" s="331" t="str">
        <f t="shared" si="95"/>
        <v>#REF!</v>
      </c>
      <c r="G97" s="331" t="str">
        <f t="shared" si="95"/>
        <v>#REF!</v>
      </c>
      <c r="H97" s="331" t="str">
        <f t="shared" si="95"/>
        <v>#REF!</v>
      </c>
      <c r="I97" s="331" t="str">
        <f t="shared" si="95"/>
        <v>#REF!</v>
      </c>
      <c r="J97" s="331" t="str">
        <f t="shared" si="95"/>
        <v>#REF!</v>
      </c>
      <c r="K97" s="331" t="str">
        <f t="shared" si="95"/>
        <v>#REF!</v>
      </c>
      <c r="L97" s="331" t="str">
        <f t="shared" si="95"/>
        <v>#REF!</v>
      </c>
      <c r="M97" s="331" t="str">
        <f t="shared" si="95"/>
        <v>#REF!</v>
      </c>
      <c r="N97" s="331" t="str">
        <f t="shared" si="95"/>
        <v>#REF!</v>
      </c>
      <c r="O97" s="331" t="str">
        <f t="shared" si="95"/>
        <v>#REF!</v>
      </c>
      <c r="P97" s="331" t="str">
        <f t="shared" si="95"/>
        <v>#REF!</v>
      </c>
      <c r="Q97" s="331" t="str">
        <f t="shared" ref="Q97:AL97" si="96">if(vlookup(Q12,'Butter | Sauce Cup'!$B:$P,15,false)=TRUE,Q55,"")</f>
        <v>#REF!</v>
      </c>
      <c r="R97" s="331" t="str">
        <f t="shared" si="96"/>
        <v>#REF!</v>
      </c>
      <c r="S97" s="331" t="str">
        <f t="shared" si="96"/>
        <v>#REF!</v>
      </c>
      <c r="T97" s="331" t="str">
        <f t="shared" si="96"/>
        <v>#REF!</v>
      </c>
      <c r="U97" s="331" t="str">
        <f t="shared" si="96"/>
        <v>#REF!</v>
      </c>
      <c r="V97" s="331" t="str">
        <f t="shared" si="96"/>
        <v>#REF!</v>
      </c>
      <c r="W97" s="331" t="str">
        <f t="shared" si="96"/>
        <v>#REF!</v>
      </c>
      <c r="X97" s="331" t="str">
        <f t="shared" si="96"/>
        <v>#REF!</v>
      </c>
      <c r="Y97" s="331" t="str">
        <f t="shared" si="96"/>
        <v>#REF!</v>
      </c>
      <c r="Z97" s="331" t="str">
        <f t="shared" si="96"/>
        <v>#REF!</v>
      </c>
      <c r="AA97" s="331" t="str">
        <f t="shared" si="96"/>
        <v>#REF!</v>
      </c>
      <c r="AB97" s="331" t="str">
        <f t="shared" si="96"/>
        <v>#REF!</v>
      </c>
      <c r="AC97" s="331" t="str">
        <f t="shared" si="96"/>
        <v>#REF!</v>
      </c>
      <c r="AD97" s="331" t="str">
        <f t="shared" si="96"/>
        <v>#REF!</v>
      </c>
      <c r="AE97" s="331" t="str">
        <f t="shared" si="96"/>
        <v>#REF!</v>
      </c>
      <c r="AF97" s="331" t="str">
        <f t="shared" si="96"/>
        <v>#REF!</v>
      </c>
      <c r="AG97" s="331" t="str">
        <f t="shared" si="96"/>
        <v>#REF!</v>
      </c>
      <c r="AH97" s="331" t="str">
        <f t="shared" si="96"/>
        <v>#REF!</v>
      </c>
      <c r="AI97" s="331" t="str">
        <f t="shared" si="96"/>
        <v>#REF!</v>
      </c>
      <c r="AJ97" s="331" t="str">
        <f t="shared" si="96"/>
        <v>#REF!</v>
      </c>
      <c r="AK97" s="331" t="str">
        <f t="shared" si="96"/>
        <v>#REF!</v>
      </c>
      <c r="AL97" s="331" t="str">
        <f t="shared" si="96"/>
        <v>#REF!</v>
      </c>
    </row>
    <row r="98">
      <c r="B98" s="292" t="s">
        <v>312</v>
      </c>
      <c r="C98" s="12">
        <v>411.0</v>
      </c>
      <c r="D98" s="331" t="str">
        <f t="shared" ref="D98:P98" si="97">vlookup(D35,'Butter | Sauce Cup'!$B:$P,12,false)</f>
        <v>#REF!</v>
      </c>
      <c r="E98" s="331" t="str">
        <f t="shared" si="97"/>
        <v>#REF!</v>
      </c>
      <c r="F98" s="331" t="str">
        <f t="shared" si="97"/>
        <v>#REF!</v>
      </c>
      <c r="G98" s="331" t="str">
        <f t="shared" si="97"/>
        <v>#REF!</v>
      </c>
      <c r="H98" s="331" t="str">
        <f t="shared" si="97"/>
        <v>#REF!</v>
      </c>
      <c r="I98" s="331" t="str">
        <f t="shared" si="97"/>
        <v>#REF!</v>
      </c>
      <c r="J98" s="331" t="str">
        <f t="shared" si="97"/>
        <v>#REF!</v>
      </c>
      <c r="K98" s="331" t="str">
        <f t="shared" si="97"/>
        <v>#REF!</v>
      </c>
      <c r="L98" s="331" t="str">
        <f t="shared" si="97"/>
        <v>#REF!</v>
      </c>
      <c r="M98" s="331" t="str">
        <f t="shared" si="97"/>
        <v>#REF!</v>
      </c>
      <c r="N98" s="331" t="str">
        <f t="shared" si="97"/>
        <v>#REF!</v>
      </c>
      <c r="O98" s="331" t="str">
        <f t="shared" si="97"/>
        <v>#REF!</v>
      </c>
      <c r="P98" s="331" t="str">
        <f t="shared" si="97"/>
        <v>#REF!</v>
      </c>
      <c r="Q98" s="331" t="str">
        <f t="shared" ref="Q98:AL98" si="98">if(vlookup(Q13,'Butter | Sauce Cup'!$B:$P,15,false)=TRUE,Q56,"")</f>
        <v>#REF!</v>
      </c>
      <c r="R98" s="331" t="str">
        <f t="shared" si="98"/>
        <v>#REF!</v>
      </c>
      <c r="S98" s="331" t="str">
        <f t="shared" si="98"/>
        <v>#REF!</v>
      </c>
      <c r="T98" s="331" t="str">
        <f t="shared" si="98"/>
        <v>#REF!</v>
      </c>
      <c r="U98" s="331" t="str">
        <f t="shared" si="98"/>
        <v>#REF!</v>
      </c>
      <c r="V98" s="331" t="str">
        <f t="shared" si="98"/>
        <v>#REF!</v>
      </c>
      <c r="W98" s="331" t="str">
        <f t="shared" si="98"/>
        <v>#REF!</v>
      </c>
      <c r="X98" s="331" t="str">
        <f t="shared" si="98"/>
        <v>#REF!</v>
      </c>
      <c r="Y98" s="331" t="str">
        <f t="shared" si="98"/>
        <v>#REF!</v>
      </c>
      <c r="Z98" s="331" t="str">
        <f t="shared" si="98"/>
        <v>#REF!</v>
      </c>
      <c r="AA98" s="331" t="str">
        <f t="shared" si="98"/>
        <v>#REF!</v>
      </c>
      <c r="AB98" s="331" t="str">
        <f t="shared" si="98"/>
        <v>#REF!</v>
      </c>
      <c r="AC98" s="331" t="str">
        <f t="shared" si="98"/>
        <v>#REF!</v>
      </c>
      <c r="AD98" s="331" t="str">
        <f t="shared" si="98"/>
        <v>#REF!</v>
      </c>
      <c r="AE98" s="331" t="str">
        <f t="shared" si="98"/>
        <v>#REF!</v>
      </c>
      <c r="AF98" s="331" t="str">
        <f t="shared" si="98"/>
        <v>#REF!</v>
      </c>
      <c r="AG98" s="331" t="str">
        <f t="shared" si="98"/>
        <v>#REF!</v>
      </c>
      <c r="AH98" s="331" t="str">
        <f t="shared" si="98"/>
        <v>#REF!</v>
      </c>
      <c r="AI98" s="331" t="str">
        <f t="shared" si="98"/>
        <v>#REF!</v>
      </c>
      <c r="AJ98" s="331" t="str">
        <f t="shared" si="98"/>
        <v>#REF!</v>
      </c>
      <c r="AK98" s="331" t="str">
        <f t="shared" si="98"/>
        <v>#REF!</v>
      </c>
      <c r="AL98" s="331" t="str">
        <f t="shared" si="98"/>
        <v>#REF!</v>
      </c>
    </row>
    <row r="99">
      <c r="B99" s="292" t="s">
        <v>313</v>
      </c>
      <c r="C99" s="12">
        <v>412.0</v>
      </c>
      <c r="D99" s="331" t="str">
        <f t="shared" ref="D99:P99" si="99">vlookup(D36,'Butter | Sauce Cup'!$B:$P,12,false)</f>
        <v>#REF!</v>
      </c>
      <c r="E99" s="331" t="str">
        <f t="shared" si="99"/>
        <v>#REF!</v>
      </c>
      <c r="F99" s="331" t="str">
        <f t="shared" si="99"/>
        <v>#REF!</v>
      </c>
      <c r="G99" s="331" t="str">
        <f t="shared" si="99"/>
        <v>#REF!</v>
      </c>
      <c r="H99" s="331" t="str">
        <f t="shared" si="99"/>
        <v>#REF!</v>
      </c>
      <c r="I99" s="331" t="str">
        <f t="shared" si="99"/>
        <v>#REF!</v>
      </c>
      <c r="J99" s="331" t="str">
        <f t="shared" si="99"/>
        <v>#REF!</v>
      </c>
      <c r="K99" s="331" t="str">
        <f t="shared" si="99"/>
        <v>#REF!</v>
      </c>
      <c r="L99" s="331" t="str">
        <f t="shared" si="99"/>
        <v>#REF!</v>
      </c>
      <c r="M99" s="331" t="str">
        <f t="shared" si="99"/>
        <v>#REF!</v>
      </c>
      <c r="N99" s="331" t="str">
        <f t="shared" si="99"/>
        <v>#REF!</v>
      </c>
      <c r="O99" s="331" t="str">
        <f t="shared" si="99"/>
        <v>#REF!</v>
      </c>
      <c r="P99" s="331" t="str">
        <f t="shared" si="99"/>
        <v>#REF!</v>
      </c>
      <c r="Q99" s="331" t="str">
        <f t="shared" ref="Q99:AL99" si="100">if(vlookup(Q14,'Butter | Sauce Cup'!$B:$P,15,false)=TRUE,Q57,"")</f>
        <v>#REF!</v>
      </c>
      <c r="R99" s="331" t="str">
        <f t="shared" si="100"/>
        <v>#REF!</v>
      </c>
      <c r="S99" s="331" t="str">
        <f t="shared" si="100"/>
        <v>#REF!</v>
      </c>
      <c r="T99" s="331" t="str">
        <f t="shared" si="100"/>
        <v>#REF!</v>
      </c>
      <c r="U99" s="331" t="str">
        <f t="shared" si="100"/>
        <v>#REF!</v>
      </c>
      <c r="V99" s="331" t="str">
        <f t="shared" si="100"/>
        <v>#REF!</v>
      </c>
      <c r="W99" s="331" t="str">
        <f t="shared" si="100"/>
        <v>#REF!</v>
      </c>
      <c r="X99" s="331" t="str">
        <f t="shared" si="100"/>
        <v>#REF!</v>
      </c>
      <c r="Y99" s="331" t="str">
        <f t="shared" si="100"/>
        <v>#REF!</v>
      </c>
      <c r="Z99" s="331" t="str">
        <f t="shared" si="100"/>
        <v>#REF!</v>
      </c>
      <c r="AA99" s="331" t="str">
        <f t="shared" si="100"/>
        <v>#REF!</v>
      </c>
      <c r="AB99" s="331" t="str">
        <f t="shared" si="100"/>
        <v>#REF!</v>
      </c>
      <c r="AC99" s="331" t="str">
        <f t="shared" si="100"/>
        <v>#REF!</v>
      </c>
      <c r="AD99" s="331" t="str">
        <f t="shared" si="100"/>
        <v>#REF!</v>
      </c>
      <c r="AE99" s="331" t="str">
        <f t="shared" si="100"/>
        <v>#REF!</v>
      </c>
      <c r="AF99" s="331" t="str">
        <f t="shared" si="100"/>
        <v>#REF!</v>
      </c>
      <c r="AG99" s="331" t="str">
        <f t="shared" si="100"/>
        <v>#REF!</v>
      </c>
      <c r="AH99" s="331" t="str">
        <f t="shared" si="100"/>
        <v>#REF!</v>
      </c>
      <c r="AI99" s="331" t="str">
        <f t="shared" si="100"/>
        <v>#REF!</v>
      </c>
      <c r="AJ99" s="331" t="str">
        <f t="shared" si="100"/>
        <v>#REF!</v>
      </c>
      <c r="AK99" s="331" t="str">
        <f t="shared" si="100"/>
        <v>#REF!</v>
      </c>
      <c r="AL99" s="331" t="str">
        <f t="shared" si="100"/>
        <v>#REF!</v>
      </c>
    </row>
    <row r="100">
      <c r="B100" s="292" t="s">
        <v>313</v>
      </c>
      <c r="C100" s="12">
        <v>413.0</v>
      </c>
      <c r="D100" s="331" t="str">
        <f t="shared" ref="D100:P100" si="101">vlookup(D37,'Butter | Sauce Cup'!$B:$P,12,false)</f>
        <v>#REF!</v>
      </c>
      <c r="E100" s="331" t="str">
        <f t="shared" si="101"/>
        <v>#REF!</v>
      </c>
      <c r="F100" s="331" t="str">
        <f t="shared" si="101"/>
        <v>#REF!</v>
      </c>
      <c r="G100" s="331" t="str">
        <f t="shared" si="101"/>
        <v>#REF!</v>
      </c>
      <c r="H100" s="331" t="str">
        <f t="shared" si="101"/>
        <v>#REF!</v>
      </c>
      <c r="I100" s="331" t="str">
        <f t="shared" si="101"/>
        <v>#REF!</v>
      </c>
      <c r="J100" s="331" t="str">
        <f t="shared" si="101"/>
        <v>#REF!</v>
      </c>
      <c r="K100" s="331" t="str">
        <f t="shared" si="101"/>
        <v>#REF!</v>
      </c>
      <c r="L100" s="331" t="str">
        <f t="shared" si="101"/>
        <v>#REF!</v>
      </c>
      <c r="M100" s="331" t="str">
        <f t="shared" si="101"/>
        <v>#REF!</v>
      </c>
      <c r="N100" s="331" t="str">
        <f t="shared" si="101"/>
        <v>#REF!</v>
      </c>
      <c r="O100" s="331" t="str">
        <f t="shared" si="101"/>
        <v>#REF!</v>
      </c>
      <c r="P100" s="331" t="str">
        <f t="shared" si="101"/>
        <v>#REF!</v>
      </c>
      <c r="Q100" s="331" t="str">
        <f t="shared" ref="Q100:AL100" si="102">if(vlookup(Q15,'Butter | Sauce Cup'!$B:$P,15,false)=TRUE,Q58,"")</f>
        <v>#REF!</v>
      </c>
      <c r="R100" s="331" t="str">
        <f t="shared" si="102"/>
        <v>#REF!</v>
      </c>
      <c r="S100" s="331" t="str">
        <f t="shared" si="102"/>
        <v>#REF!</v>
      </c>
      <c r="T100" s="331" t="str">
        <f t="shared" si="102"/>
        <v>#REF!</v>
      </c>
      <c r="U100" s="331" t="str">
        <f t="shared" si="102"/>
        <v>#REF!</v>
      </c>
      <c r="V100" s="331" t="str">
        <f t="shared" si="102"/>
        <v>#REF!</v>
      </c>
      <c r="W100" s="331" t="str">
        <f t="shared" si="102"/>
        <v>#REF!</v>
      </c>
      <c r="X100" s="331" t="str">
        <f t="shared" si="102"/>
        <v>#REF!</v>
      </c>
      <c r="Y100" s="331" t="str">
        <f t="shared" si="102"/>
        <v>#REF!</v>
      </c>
      <c r="Z100" s="331" t="str">
        <f t="shared" si="102"/>
        <v>#REF!</v>
      </c>
      <c r="AA100" s="331" t="str">
        <f t="shared" si="102"/>
        <v>#REF!</v>
      </c>
      <c r="AB100" s="331" t="str">
        <f t="shared" si="102"/>
        <v>#REF!</v>
      </c>
      <c r="AC100" s="331" t="str">
        <f t="shared" si="102"/>
        <v>#REF!</v>
      </c>
      <c r="AD100" s="331" t="str">
        <f t="shared" si="102"/>
        <v>#REF!</v>
      </c>
      <c r="AE100" s="331" t="str">
        <f t="shared" si="102"/>
        <v>#REF!</v>
      </c>
      <c r="AF100" s="331" t="str">
        <f t="shared" si="102"/>
        <v>#REF!</v>
      </c>
      <c r="AG100" s="331" t="str">
        <f t="shared" si="102"/>
        <v>#REF!</v>
      </c>
      <c r="AH100" s="331" t="str">
        <f t="shared" si="102"/>
        <v>#REF!</v>
      </c>
      <c r="AI100" s="331" t="str">
        <f t="shared" si="102"/>
        <v>#REF!</v>
      </c>
      <c r="AJ100" s="331" t="str">
        <f t="shared" si="102"/>
        <v>#REF!</v>
      </c>
      <c r="AK100" s="331" t="str">
        <f t="shared" si="102"/>
        <v>#REF!</v>
      </c>
      <c r="AL100" s="331" t="str">
        <f t="shared" si="102"/>
        <v>#REF!</v>
      </c>
    </row>
    <row r="101">
      <c r="B101" s="292" t="s">
        <v>310</v>
      </c>
      <c r="C101" s="12">
        <v>414.0</v>
      </c>
      <c r="D101" s="331" t="str">
        <f t="shared" ref="D101:P101" si="103">vlookup(D38,'Butter | Sauce Cup'!$B:$P,12,false)</f>
        <v>#REF!</v>
      </c>
      <c r="E101" s="331" t="str">
        <f t="shared" si="103"/>
        <v>#REF!</v>
      </c>
      <c r="F101" s="331" t="str">
        <f t="shared" si="103"/>
        <v>#REF!</v>
      </c>
      <c r="G101" s="331" t="str">
        <f t="shared" si="103"/>
        <v>#REF!</v>
      </c>
      <c r="H101" s="331" t="str">
        <f t="shared" si="103"/>
        <v>#REF!</v>
      </c>
      <c r="I101" s="331" t="str">
        <f t="shared" si="103"/>
        <v>#REF!</v>
      </c>
      <c r="J101" s="331" t="str">
        <f t="shared" si="103"/>
        <v>#REF!</v>
      </c>
      <c r="K101" s="331" t="str">
        <f t="shared" si="103"/>
        <v>#REF!</v>
      </c>
      <c r="L101" s="331" t="str">
        <f t="shared" si="103"/>
        <v>#REF!</v>
      </c>
      <c r="M101" s="331" t="str">
        <f t="shared" si="103"/>
        <v>#REF!</v>
      </c>
      <c r="N101" s="331" t="str">
        <f t="shared" si="103"/>
        <v>#REF!</v>
      </c>
      <c r="O101" s="331" t="str">
        <f t="shared" si="103"/>
        <v>#REF!</v>
      </c>
      <c r="P101" s="331" t="str">
        <f t="shared" si="103"/>
        <v>#REF!</v>
      </c>
      <c r="Q101" s="331" t="str">
        <f t="shared" ref="Q101:AL101" si="104">if(vlookup(Q16,'Butter | Sauce Cup'!$B:$P,15,false)=TRUE,Q59,"")</f>
        <v>#REF!</v>
      </c>
      <c r="R101" s="331" t="str">
        <f t="shared" si="104"/>
        <v>#REF!</v>
      </c>
      <c r="S101" s="331" t="str">
        <f t="shared" si="104"/>
        <v>#REF!</v>
      </c>
      <c r="T101" s="331" t="str">
        <f t="shared" si="104"/>
        <v>#REF!</v>
      </c>
      <c r="U101" s="331" t="str">
        <f t="shared" si="104"/>
        <v>#REF!</v>
      </c>
      <c r="V101" s="331" t="str">
        <f t="shared" si="104"/>
        <v>#REF!</v>
      </c>
      <c r="W101" s="331" t="str">
        <f t="shared" si="104"/>
        <v>#REF!</v>
      </c>
      <c r="X101" s="331" t="str">
        <f t="shared" si="104"/>
        <v>#REF!</v>
      </c>
      <c r="Y101" s="331" t="str">
        <f t="shared" si="104"/>
        <v>#REF!</v>
      </c>
      <c r="Z101" s="331" t="str">
        <f t="shared" si="104"/>
        <v>#REF!</v>
      </c>
      <c r="AA101" s="331" t="str">
        <f t="shared" si="104"/>
        <v>#REF!</v>
      </c>
      <c r="AB101" s="331" t="str">
        <f t="shared" si="104"/>
        <v>#REF!</v>
      </c>
      <c r="AC101" s="331" t="str">
        <f t="shared" si="104"/>
        <v>#REF!</v>
      </c>
      <c r="AD101" s="331" t="str">
        <f t="shared" si="104"/>
        <v>#REF!</v>
      </c>
      <c r="AE101" s="331" t="str">
        <f t="shared" si="104"/>
        <v>#REF!</v>
      </c>
      <c r="AF101" s="331" t="str">
        <f t="shared" si="104"/>
        <v>#REF!</v>
      </c>
      <c r="AG101" s="331" t="str">
        <f t="shared" si="104"/>
        <v>#REF!</v>
      </c>
      <c r="AH101" s="331" t="str">
        <f t="shared" si="104"/>
        <v>#REF!</v>
      </c>
      <c r="AI101" s="331" t="str">
        <f t="shared" si="104"/>
        <v>#REF!</v>
      </c>
      <c r="AJ101" s="331" t="str">
        <f t="shared" si="104"/>
        <v>#REF!</v>
      </c>
      <c r="AK101" s="331" t="str">
        <f t="shared" si="104"/>
        <v>#REF!</v>
      </c>
      <c r="AL101" s="331" t="str">
        <f t="shared" si="104"/>
        <v>#REF!</v>
      </c>
    </row>
    <row r="102">
      <c r="B102" s="292" t="s">
        <v>314</v>
      </c>
      <c r="C102" s="12">
        <v>415.0</v>
      </c>
      <c r="D102" s="331" t="str">
        <f t="shared" ref="D102:P102" si="105">vlookup(D39,'Butter | Sauce Cup'!$B:$P,12,false)</f>
        <v>#REF!</v>
      </c>
      <c r="E102" s="331" t="str">
        <f t="shared" si="105"/>
        <v>#REF!</v>
      </c>
      <c r="F102" s="331" t="str">
        <f t="shared" si="105"/>
        <v>#REF!</v>
      </c>
      <c r="G102" s="331" t="str">
        <f t="shared" si="105"/>
        <v>#REF!</v>
      </c>
      <c r="H102" s="331" t="str">
        <f t="shared" si="105"/>
        <v>#REF!</v>
      </c>
      <c r="I102" s="331" t="str">
        <f t="shared" si="105"/>
        <v>#REF!</v>
      </c>
      <c r="J102" s="331" t="str">
        <f t="shared" si="105"/>
        <v>#REF!</v>
      </c>
      <c r="K102" s="331" t="str">
        <f t="shared" si="105"/>
        <v>#REF!</v>
      </c>
      <c r="L102" s="331" t="str">
        <f t="shared" si="105"/>
        <v>#REF!</v>
      </c>
      <c r="M102" s="331" t="str">
        <f t="shared" si="105"/>
        <v>#REF!</v>
      </c>
      <c r="N102" s="331" t="str">
        <f t="shared" si="105"/>
        <v>#REF!</v>
      </c>
      <c r="O102" s="331" t="str">
        <f t="shared" si="105"/>
        <v>#REF!</v>
      </c>
      <c r="P102" s="331" t="str">
        <f t="shared" si="105"/>
        <v>#REF!</v>
      </c>
      <c r="Q102" s="331" t="str">
        <f t="shared" ref="Q102:AL102" si="106">if(vlookup(Q17,'Butter | Sauce Cup'!$B:$P,15,false)=TRUE,Q60,"")</f>
        <v>#REF!</v>
      </c>
      <c r="R102" s="331" t="str">
        <f t="shared" si="106"/>
        <v>#REF!</v>
      </c>
      <c r="S102" s="331" t="str">
        <f t="shared" si="106"/>
        <v>#REF!</v>
      </c>
      <c r="T102" s="331" t="str">
        <f t="shared" si="106"/>
        <v>#REF!</v>
      </c>
      <c r="U102" s="331" t="str">
        <f t="shared" si="106"/>
        <v>#REF!</v>
      </c>
      <c r="V102" s="331" t="str">
        <f t="shared" si="106"/>
        <v>#REF!</v>
      </c>
      <c r="W102" s="331" t="str">
        <f t="shared" si="106"/>
        <v>#REF!</v>
      </c>
      <c r="X102" s="331" t="str">
        <f t="shared" si="106"/>
        <v>#REF!</v>
      </c>
      <c r="Y102" s="331" t="str">
        <f t="shared" si="106"/>
        <v>#REF!</v>
      </c>
      <c r="Z102" s="331" t="str">
        <f t="shared" si="106"/>
        <v>#REF!</v>
      </c>
      <c r="AA102" s="331" t="str">
        <f t="shared" si="106"/>
        <v>#REF!</v>
      </c>
      <c r="AB102" s="331" t="str">
        <f t="shared" si="106"/>
        <v>#REF!</v>
      </c>
      <c r="AC102" s="331" t="str">
        <f t="shared" si="106"/>
        <v>#REF!</v>
      </c>
      <c r="AD102" s="331" t="str">
        <f t="shared" si="106"/>
        <v>#REF!</v>
      </c>
      <c r="AE102" s="331" t="str">
        <f t="shared" si="106"/>
        <v>#REF!</v>
      </c>
      <c r="AF102" s="331" t="str">
        <f t="shared" si="106"/>
        <v>#REF!</v>
      </c>
      <c r="AG102" s="331" t="str">
        <f t="shared" si="106"/>
        <v>#REF!</v>
      </c>
      <c r="AH102" s="331" t="str">
        <f t="shared" si="106"/>
        <v>#REF!</v>
      </c>
      <c r="AI102" s="331" t="str">
        <f t="shared" si="106"/>
        <v>#REF!</v>
      </c>
      <c r="AJ102" s="331" t="str">
        <f t="shared" si="106"/>
        <v>#REF!</v>
      </c>
      <c r="AK102" s="331" t="str">
        <f t="shared" si="106"/>
        <v>#REF!</v>
      </c>
      <c r="AL102" s="331" t="str">
        <f t="shared" si="106"/>
        <v>#REF!</v>
      </c>
    </row>
    <row r="103">
      <c r="B103" s="292" t="s">
        <v>99</v>
      </c>
      <c r="C103" s="12">
        <v>416.0</v>
      </c>
      <c r="D103" s="331" t="str">
        <f t="shared" ref="D103:P103" si="107">vlookup(D40,'Butter | Sauce Cup'!$B:$P,12,false)</f>
        <v>#REF!</v>
      </c>
      <c r="E103" s="331" t="str">
        <f t="shared" si="107"/>
        <v>#REF!</v>
      </c>
      <c r="F103" s="331" t="str">
        <f t="shared" si="107"/>
        <v>#REF!</v>
      </c>
      <c r="G103" s="331" t="str">
        <f t="shared" si="107"/>
        <v>#REF!</v>
      </c>
      <c r="H103" s="331" t="str">
        <f t="shared" si="107"/>
        <v>#REF!</v>
      </c>
      <c r="I103" s="331" t="str">
        <f t="shared" si="107"/>
        <v>#REF!</v>
      </c>
      <c r="J103" s="331" t="str">
        <f t="shared" si="107"/>
        <v>#REF!</v>
      </c>
      <c r="K103" s="331" t="str">
        <f t="shared" si="107"/>
        <v>#REF!</v>
      </c>
      <c r="L103" s="331" t="str">
        <f t="shared" si="107"/>
        <v>#REF!</v>
      </c>
      <c r="M103" s="331" t="str">
        <f t="shared" si="107"/>
        <v>#REF!</v>
      </c>
      <c r="N103" s="331" t="str">
        <f t="shared" si="107"/>
        <v>#REF!</v>
      </c>
      <c r="O103" s="331" t="str">
        <f t="shared" si="107"/>
        <v>#REF!</v>
      </c>
      <c r="P103" s="331" t="str">
        <f t="shared" si="107"/>
        <v>#REF!</v>
      </c>
      <c r="Q103" s="331" t="str">
        <f t="shared" ref="Q103:AI103" si="108">if(vlookup(Q18,'Butter | Sauce Cup'!$B:$P,15,false)=TRUE,Q61,"")</f>
        <v>#REF!</v>
      </c>
      <c r="R103" s="331" t="str">
        <f t="shared" si="108"/>
        <v>#REF!</v>
      </c>
      <c r="S103" s="331" t="str">
        <f t="shared" si="108"/>
        <v>#REF!</v>
      </c>
      <c r="T103" s="331" t="str">
        <f t="shared" si="108"/>
        <v>#REF!</v>
      </c>
      <c r="U103" s="331" t="str">
        <f t="shared" si="108"/>
        <v>#REF!</v>
      </c>
      <c r="V103" s="331" t="str">
        <f t="shared" si="108"/>
        <v>#REF!</v>
      </c>
      <c r="W103" s="331" t="str">
        <f t="shared" si="108"/>
        <v>#REF!</v>
      </c>
      <c r="X103" s="331" t="str">
        <f t="shared" si="108"/>
        <v>#REF!</v>
      </c>
      <c r="Y103" s="331" t="str">
        <f t="shared" si="108"/>
        <v>#REF!</v>
      </c>
      <c r="Z103" s="331" t="str">
        <f t="shared" si="108"/>
        <v>#REF!</v>
      </c>
      <c r="AA103" s="331" t="str">
        <f t="shared" si="108"/>
        <v>#REF!</v>
      </c>
      <c r="AB103" s="331" t="str">
        <f t="shared" si="108"/>
        <v>#REF!</v>
      </c>
      <c r="AC103" s="331" t="str">
        <f t="shared" si="108"/>
        <v>#REF!</v>
      </c>
      <c r="AD103" s="331" t="str">
        <f t="shared" si="108"/>
        <v>#REF!</v>
      </c>
      <c r="AE103" s="331" t="str">
        <f t="shared" si="108"/>
        <v>#REF!</v>
      </c>
      <c r="AF103" s="331" t="str">
        <f t="shared" si="108"/>
        <v>#REF!</v>
      </c>
      <c r="AG103" s="331" t="str">
        <f t="shared" si="108"/>
        <v>#REF!</v>
      </c>
      <c r="AH103" s="331" t="str">
        <f t="shared" si="108"/>
        <v>#REF!</v>
      </c>
      <c r="AI103" s="331" t="str">
        <f t="shared" si="108"/>
        <v>#REF!</v>
      </c>
      <c r="AJ103" s="331"/>
      <c r="AK103" s="331" t="str">
        <f t="shared" ref="AK103:AL103" si="109">if(vlookup(AK18,'Butter | Sauce Cup'!$B:$P,15,false)=TRUE,AK61,"")</f>
        <v>#REF!</v>
      </c>
      <c r="AL103" s="331" t="str">
        <f t="shared" si="109"/>
        <v>#REF!</v>
      </c>
    </row>
    <row r="104">
      <c r="B104" s="292" t="s">
        <v>313</v>
      </c>
      <c r="C104" s="12">
        <v>417.0</v>
      </c>
      <c r="D104" s="331" t="str">
        <f t="shared" ref="D104:P104" si="110">vlookup(D41,'Butter | Sauce Cup'!$B:$P,12,false)</f>
        <v>#REF!</v>
      </c>
      <c r="E104" s="331" t="str">
        <f t="shared" si="110"/>
        <v>#REF!</v>
      </c>
      <c r="F104" s="331" t="str">
        <f t="shared" si="110"/>
        <v>#REF!</v>
      </c>
      <c r="G104" s="331" t="str">
        <f t="shared" si="110"/>
        <v>#REF!</v>
      </c>
      <c r="H104" s="331" t="str">
        <f t="shared" si="110"/>
        <v>#REF!</v>
      </c>
      <c r="I104" s="331" t="str">
        <f t="shared" si="110"/>
        <v>#REF!</v>
      </c>
      <c r="J104" s="331" t="str">
        <f t="shared" si="110"/>
        <v>#REF!</v>
      </c>
      <c r="K104" s="331" t="str">
        <f t="shared" si="110"/>
        <v>#REF!</v>
      </c>
      <c r="L104" s="331" t="str">
        <f t="shared" si="110"/>
        <v>#REF!</v>
      </c>
      <c r="M104" s="331" t="str">
        <f t="shared" si="110"/>
        <v>#REF!</v>
      </c>
      <c r="N104" s="331" t="str">
        <f t="shared" si="110"/>
        <v>#REF!</v>
      </c>
      <c r="O104" s="331" t="str">
        <f t="shared" si="110"/>
        <v>#REF!</v>
      </c>
      <c r="P104" s="331" t="str">
        <f t="shared" si="110"/>
        <v>#REF!</v>
      </c>
      <c r="Q104" s="331" t="str">
        <f t="shared" ref="Q104:AK104" si="111">if(vlookup(Q19,'Butter | Sauce Cup'!$B:$P,15,false)=TRUE,Q62,"")</f>
        <v>#REF!</v>
      </c>
      <c r="R104" s="331" t="str">
        <f t="shared" si="111"/>
        <v>#REF!</v>
      </c>
      <c r="S104" s="331" t="str">
        <f t="shared" si="111"/>
        <v>#REF!</v>
      </c>
      <c r="T104" s="331" t="str">
        <f t="shared" si="111"/>
        <v>#REF!</v>
      </c>
      <c r="U104" s="331" t="str">
        <f t="shared" si="111"/>
        <v>#REF!</v>
      </c>
      <c r="V104" s="331" t="str">
        <f t="shared" si="111"/>
        <v>#REF!</v>
      </c>
      <c r="W104" s="331" t="str">
        <f t="shared" si="111"/>
        <v>#REF!</v>
      </c>
      <c r="X104" s="331" t="str">
        <f t="shared" si="111"/>
        <v>#REF!</v>
      </c>
      <c r="Y104" s="331" t="str">
        <f t="shared" si="111"/>
        <v>#REF!</v>
      </c>
      <c r="Z104" s="331" t="str">
        <f t="shared" si="111"/>
        <v>#REF!</v>
      </c>
      <c r="AA104" s="331" t="str">
        <f t="shared" si="111"/>
        <v>#REF!</v>
      </c>
      <c r="AB104" s="331" t="str">
        <f t="shared" si="111"/>
        <v>#REF!</v>
      </c>
      <c r="AC104" s="331" t="str">
        <f t="shared" si="111"/>
        <v>#REF!</v>
      </c>
      <c r="AD104" s="331" t="str">
        <f t="shared" si="111"/>
        <v>#REF!</v>
      </c>
      <c r="AE104" s="331" t="str">
        <f t="shared" si="111"/>
        <v>#REF!</v>
      </c>
      <c r="AF104" s="331" t="str">
        <f t="shared" si="111"/>
        <v>#REF!</v>
      </c>
      <c r="AG104" s="331" t="str">
        <f t="shared" si="111"/>
        <v>#REF!</v>
      </c>
      <c r="AH104" s="331" t="str">
        <f t="shared" si="111"/>
        <v>#REF!</v>
      </c>
      <c r="AI104" s="331" t="str">
        <f t="shared" si="111"/>
        <v>#REF!</v>
      </c>
      <c r="AJ104" s="331" t="str">
        <f t="shared" si="111"/>
        <v>#REF!</v>
      </c>
      <c r="AK104" s="331" t="str">
        <f t="shared" si="111"/>
        <v>#REF!</v>
      </c>
      <c r="AL104" s="331"/>
    </row>
    <row r="105">
      <c r="B105" s="292" t="s">
        <v>310</v>
      </c>
      <c r="C105" s="12">
        <v>418.0</v>
      </c>
      <c r="D105" s="331" t="str">
        <f t="shared" ref="D105:P105" si="112">vlookup(D42,'Butter | Sauce Cup'!$B:$P,12,false)</f>
        <v>#REF!</v>
      </c>
      <c r="E105" s="331" t="str">
        <f t="shared" si="112"/>
        <v>#REF!</v>
      </c>
      <c r="F105" s="331" t="str">
        <f t="shared" si="112"/>
        <v>#REF!</v>
      </c>
      <c r="G105" s="331" t="str">
        <f t="shared" si="112"/>
        <v>#REF!</v>
      </c>
      <c r="H105" s="331" t="str">
        <f t="shared" si="112"/>
        <v>#REF!</v>
      </c>
      <c r="I105" s="331" t="str">
        <f t="shared" si="112"/>
        <v>#REF!</v>
      </c>
      <c r="J105" s="331" t="str">
        <f t="shared" si="112"/>
        <v>#REF!</v>
      </c>
      <c r="K105" s="331" t="str">
        <f t="shared" si="112"/>
        <v>#REF!</v>
      </c>
      <c r="L105" s="331" t="str">
        <f t="shared" si="112"/>
        <v>#REF!</v>
      </c>
      <c r="M105" s="331" t="str">
        <f t="shared" si="112"/>
        <v>#REF!</v>
      </c>
      <c r="N105" s="331" t="str">
        <f t="shared" si="112"/>
        <v>#REF!</v>
      </c>
      <c r="O105" s="331" t="str">
        <f t="shared" si="112"/>
        <v>#REF!</v>
      </c>
      <c r="P105" s="331" t="str">
        <f t="shared" si="112"/>
        <v>#REF!</v>
      </c>
      <c r="Q105" s="331" t="str">
        <f t="shared" ref="Q105:AL105" si="113">if(vlookup(Q20,'Butter | Sauce Cup'!$B:$P,15,false)=TRUE,Q63,"")</f>
        <v>#REF!</v>
      </c>
      <c r="R105" s="331" t="str">
        <f t="shared" si="113"/>
        <v>#REF!</v>
      </c>
      <c r="S105" s="331" t="str">
        <f t="shared" si="113"/>
        <v>#REF!</v>
      </c>
      <c r="T105" s="331" t="str">
        <f t="shared" si="113"/>
        <v>#REF!</v>
      </c>
      <c r="U105" s="331" t="str">
        <f t="shared" si="113"/>
        <v>#REF!</v>
      </c>
      <c r="V105" s="331" t="str">
        <f t="shared" si="113"/>
        <v>#REF!</v>
      </c>
      <c r="W105" s="331" t="str">
        <f t="shared" si="113"/>
        <v>#REF!</v>
      </c>
      <c r="X105" s="331" t="str">
        <f t="shared" si="113"/>
        <v>#REF!</v>
      </c>
      <c r="Y105" s="331" t="str">
        <f t="shared" si="113"/>
        <v>#REF!</v>
      </c>
      <c r="Z105" s="331" t="str">
        <f t="shared" si="113"/>
        <v>#REF!</v>
      </c>
      <c r="AA105" s="331" t="str">
        <f t="shared" si="113"/>
        <v>#REF!</v>
      </c>
      <c r="AB105" s="331" t="str">
        <f t="shared" si="113"/>
        <v>#REF!</v>
      </c>
      <c r="AC105" s="331" t="str">
        <f t="shared" si="113"/>
        <v>#REF!</v>
      </c>
      <c r="AD105" s="331" t="str">
        <f t="shared" si="113"/>
        <v>#REF!</v>
      </c>
      <c r="AE105" s="331" t="str">
        <f t="shared" si="113"/>
        <v>#REF!</v>
      </c>
      <c r="AF105" s="331" t="str">
        <f t="shared" si="113"/>
        <v>#REF!</v>
      </c>
      <c r="AG105" s="331" t="str">
        <f t="shared" si="113"/>
        <v>#REF!</v>
      </c>
      <c r="AH105" s="331" t="str">
        <f t="shared" si="113"/>
        <v>#REF!</v>
      </c>
      <c r="AI105" s="331" t="str">
        <f t="shared" si="113"/>
        <v>#REF!</v>
      </c>
      <c r="AJ105" s="331" t="str">
        <f t="shared" si="113"/>
        <v>#REF!</v>
      </c>
      <c r="AK105" s="331" t="str">
        <f t="shared" si="113"/>
        <v>#REF!</v>
      </c>
      <c r="AL105" s="331" t="str">
        <f t="shared" si="113"/>
        <v>#REF!</v>
      </c>
    </row>
    <row r="106">
      <c r="B106" s="335" t="s">
        <v>347</v>
      </c>
      <c r="C106" s="186"/>
      <c r="D106" s="186"/>
      <c r="E106" s="186"/>
      <c r="F106" s="186"/>
      <c r="G106" s="186"/>
      <c r="H106" s="186"/>
      <c r="I106" s="186"/>
      <c r="J106" s="186"/>
      <c r="K106" s="186"/>
      <c r="L106" s="186"/>
      <c r="M106" s="186"/>
      <c r="N106" s="186"/>
      <c r="O106" s="186"/>
      <c r="P106" s="186"/>
      <c r="Q106" s="336" t="str">
        <f t="shared" ref="Q106:AL106" si="114">sum(Q88:Q105)</f>
        <v>#REF!</v>
      </c>
      <c r="R106" s="336" t="str">
        <f t="shared" si="114"/>
        <v>#REF!</v>
      </c>
      <c r="S106" s="336" t="str">
        <f t="shared" si="114"/>
        <v>#REF!</v>
      </c>
      <c r="T106" s="336" t="str">
        <f t="shared" si="114"/>
        <v>#REF!</v>
      </c>
      <c r="U106" s="336" t="str">
        <f t="shared" si="114"/>
        <v>#REF!</v>
      </c>
      <c r="V106" s="336" t="str">
        <f t="shared" si="114"/>
        <v>#REF!</v>
      </c>
      <c r="W106" s="336" t="str">
        <f t="shared" si="114"/>
        <v>#REF!</v>
      </c>
      <c r="X106" s="336" t="str">
        <f t="shared" si="114"/>
        <v>#REF!</v>
      </c>
      <c r="Y106" s="336" t="str">
        <f t="shared" si="114"/>
        <v>#REF!</v>
      </c>
      <c r="Z106" s="336" t="str">
        <f t="shared" si="114"/>
        <v>#REF!</v>
      </c>
      <c r="AA106" s="336" t="str">
        <f t="shared" si="114"/>
        <v>#REF!</v>
      </c>
      <c r="AB106" s="336" t="str">
        <f t="shared" si="114"/>
        <v>#REF!</v>
      </c>
      <c r="AC106" s="336" t="str">
        <f t="shared" si="114"/>
        <v>#REF!</v>
      </c>
      <c r="AD106" s="336" t="str">
        <f t="shared" si="114"/>
        <v>#REF!</v>
      </c>
      <c r="AE106" s="336" t="str">
        <f t="shared" si="114"/>
        <v>#REF!</v>
      </c>
      <c r="AF106" s="336" t="str">
        <f t="shared" si="114"/>
        <v>#REF!</v>
      </c>
      <c r="AG106" s="336" t="str">
        <f t="shared" si="114"/>
        <v>#REF!</v>
      </c>
      <c r="AH106" s="336" t="str">
        <f t="shared" si="114"/>
        <v>#REF!</v>
      </c>
      <c r="AI106" s="336" t="str">
        <f t="shared" si="114"/>
        <v>#REF!</v>
      </c>
      <c r="AJ106" s="336" t="str">
        <f t="shared" si="114"/>
        <v>#REF!</v>
      </c>
      <c r="AK106" s="336" t="str">
        <f t="shared" si="114"/>
        <v>#REF!</v>
      </c>
      <c r="AL106" s="336" t="str">
        <f t="shared" si="114"/>
        <v>#REF!</v>
      </c>
      <c r="AM106" s="292" t="str">
        <f>AVERAGE(D106:AL106)</f>
        <v>#REF!</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2" t="str">
        <f>IFERROR(__xludf.DUMMYFUNCTION("IMPORTRANGE(""https://docs.google.com/spreadsheets/d/1mnGm3iYGkB4FyqAD-LwwVYksgBMX_SY4qHQa16KgMiw/edit#gid=1956920866"", ""EU Meal Database!A1:BW"")"),"Meal ID")</f>
        <v>Meal ID</v>
      </c>
      <c r="B1" s="292" t="str">
        <f>IFERROR(__xludf.DUMMYFUNCTION("""COMPUTED_VALUE"""),"Internal SKU (Dutch)")</f>
        <v>Internal SKU (Dutch)</v>
      </c>
      <c r="C1" s="292" t="str">
        <f>IFERROR(__xludf.DUMMYFUNCTION("""COMPUTED_VALUE"""),"Internal SKU (NOR)")</f>
        <v>Internal SKU (NOR)</v>
      </c>
      <c r="D1" s="292" t="str">
        <f>IFERROR(__xludf.DUMMYFUNCTION("""COMPUTED_VALUE"""),"Internal SKU (DE)")</f>
        <v>Internal SKU (DE)</v>
      </c>
      <c r="E1" s="292" t="str">
        <f>IFERROR(__xludf.DUMMYFUNCTION("""COMPUTED_VALUE"""),"Meal Name")</f>
        <v>Meal Name</v>
      </c>
      <c r="F1" s="292" t="str">
        <f>IFERROR(__xludf.DUMMYFUNCTION("""COMPUTED_VALUE"""),"Meal Descriptor")</f>
        <v>Meal Descriptor</v>
      </c>
      <c r="G1" s="292" t="str">
        <f>IFERROR(__xludf.DUMMYFUNCTION("""COMPUTED_VALUE"""),"Dutch name")</f>
        <v>Dutch name</v>
      </c>
      <c r="H1" s="292" t="str">
        <f>IFERROR(__xludf.DUMMYFUNCTION("""COMPUTED_VALUE"""),"Dutch Descriptor")</f>
        <v>Dutch Descriptor</v>
      </c>
      <c r="I1" s="292" t="str">
        <f>IFERROR(__xludf.DUMMYFUNCTION("""COMPUTED_VALUE"""),"Danish name")</f>
        <v>Danish name</v>
      </c>
      <c r="J1" s="292" t="str">
        <f>IFERROR(__xludf.DUMMYFUNCTION("""COMPUTED_VALUE"""),"DE Name")</f>
        <v>DE Name</v>
      </c>
      <c r="K1" s="292" t="str">
        <f>IFERROR(__xludf.DUMMYFUNCTION("""COMPUTED_VALUE"""),"Maitre Code")</f>
        <v>Maitre Code</v>
      </c>
      <c r="L1" s="292" t="str">
        <f>IFERROR(__xludf.DUMMYFUNCTION("""COMPUTED_VALUE"""),"Maitre Name")</f>
        <v>Maitre Name</v>
      </c>
      <c r="M1" s="292" t="str">
        <f>IFERROR(__xludf.DUMMYFUNCTION("""COMPUTED_VALUE"""),"Internal SKU Name")</f>
        <v>Internal SKU Name</v>
      </c>
      <c r="N1" s="292" t="str">
        <f>IFERROR(__xludf.DUMMYFUNCTION("""COMPUTED_VALUE"""),"Internal Nordics SKU Name")</f>
        <v>Internal Nordics SKU Name</v>
      </c>
      <c r="O1" s="292" t="str">
        <f>IFERROR(__xludf.DUMMYFUNCTION("""COMPUTED_VALUE"""),"Internal DE SKU Name")</f>
        <v>Internal DE SKU Name</v>
      </c>
      <c r="P1" s="292" t="str">
        <f>IFERROR(__xludf.DUMMYFUNCTION("""COMPUTED_VALUE"""),"STATUS")</f>
        <v>STATUS</v>
      </c>
      <c r="Q1" s="341" t="str">
        <f>IFERROR(__xludf.DUMMYFUNCTION("""COMPUTED_VALUE"""),"VERSION NOTES")</f>
        <v>VERSION NOTES</v>
      </c>
      <c r="R1" s="342" t="str">
        <f>IFERROR(__xludf.DUMMYFUNCTION("""COMPUTED_VALUE"""),"TOTAL PC1 COST")</f>
        <v>TOTAL PC1 COST</v>
      </c>
      <c r="S1" s="298" t="str">
        <f>IFERROR(__xludf.DUMMYFUNCTION("""COMPUTED_VALUE"""),"Last 3 Runs")</f>
        <v>Last 3 Runs</v>
      </c>
      <c r="T1" s="343" t="str">
        <f>IFERROR(__xludf.DUMMYFUNCTION("""COMPUTED_VALUE"""),"US L3 Run Ratings")</f>
        <v>US L3 Run Ratings</v>
      </c>
      <c r="U1" s="292" t="str">
        <f>IFERROR(__xludf.DUMMYFUNCTION("""COMPUTED_VALUE"""),"# of Ratings")</f>
        <v># of Ratings</v>
      </c>
      <c r="V1" s="295" t="str">
        <f>IFERROR(__xludf.DUMMYFUNCTION("""COMPUTED_VALUE"""),"LAST WEEK RAN")</f>
        <v>LAST WEEK RAN</v>
      </c>
      <c r="W1" s="292" t="str">
        <f>IFERROR(__xludf.DUMMYFUNCTION("""COMPUTED_VALUE"""),"PORK FREE")</f>
        <v>PORK FREE</v>
      </c>
      <c r="X1" s="292" t="str">
        <f>IFERROR(__xludf.DUMMYFUNCTION("""COMPUTED_VALUE"""),"MEAL WEIGHT (g)")</f>
        <v>MEAL WEIGHT (g)</v>
      </c>
      <c r="Y1" s="344" t="str">
        <f>IFERROR(__xludf.DUMMYFUNCTION("""COMPUTED_VALUE"""),"CALORIES")</f>
        <v>CALORIES</v>
      </c>
      <c r="Z1" s="343" t="str">
        <f>IFERROR(__xludf.DUMMYFUNCTION("""COMPUTED_VALUE"""),"FAT (g)")</f>
        <v>FAT (g)</v>
      </c>
      <c r="AA1" s="292" t="str">
        <f>IFERROR(__xludf.DUMMYFUNCTION("""COMPUTED_VALUE"""),"SAT FAT (g)")</f>
        <v>SAT FAT (g)</v>
      </c>
      <c r="AB1" s="292" t="str">
        <f>IFERROR(__xludf.DUMMYFUNCTION("""COMPUTED_VALUE"""),"CARBS (g)")</f>
        <v>CARBS (g)</v>
      </c>
      <c r="AC1" s="292" t="str">
        <f>IFERROR(__xludf.DUMMYFUNCTION("""COMPUTED_VALUE"""),"SUGARS (g)")</f>
        <v>SUGARS (g)</v>
      </c>
      <c r="AD1" s="292" t="str">
        <f>IFERROR(__xludf.DUMMYFUNCTION("""COMPUTED_VALUE"""),"FIBER (g)")</f>
        <v>FIBER (g)</v>
      </c>
      <c r="AE1" s="343" t="str">
        <f>IFERROR(__xludf.DUMMYFUNCTION("""COMPUTED_VALUE"""),"PROTEIN (g)")</f>
        <v>PROTEIN (g)</v>
      </c>
      <c r="AF1" s="345" t="str">
        <f>IFERROR(__xludf.DUMMYFUNCTION("""COMPUTED_VALUE"""),"SALT (g)")</f>
        <v>SALT (g)</v>
      </c>
      <c r="AG1" s="292" t="str">
        <f>IFERROR(__xludf.DUMMYFUNCTION("""COMPUTED_VALUE"""),"SPICY?")</f>
        <v>SPICY?</v>
      </c>
      <c r="AH1" s="292" t="str">
        <f>IFERROR(__xludf.DUMMYFUNCTION("""COMPUTED_VALUE"""),"KETO")</f>
        <v>KETO</v>
      </c>
      <c r="AI1" s="292" t="str">
        <f>IFERROR(__xludf.DUMMYFUNCTION("""COMPUTED_VALUE"""),"CALORIE SMART
(Caloriebewust)")</f>
        <v>CALORIE SMART
(Caloriebewust)</v>
      </c>
      <c r="AJ1" s="292" t="str">
        <f>IFERROR(__xludf.DUMMYFUNCTION("""COMPUTED_VALUE"""),"CHEF'S CHOICE (not to tag)")</f>
        <v>CHEF'S CHOICE (not to tag)</v>
      </c>
      <c r="AK1" s="292" t="str">
        <f>IFERROR(__xludf.DUMMYFUNCTION("""COMPUTED_VALUE"""),"VEGGIE")</f>
        <v>VEGGIE</v>
      </c>
      <c r="AL1" s="292" t="str">
        <f>IFERROR(__xludf.DUMMYFUNCTION("""COMPUTED_VALUE"""),"VEGAN")</f>
        <v>VEGAN</v>
      </c>
      <c r="AM1" s="292" t="str">
        <f>IFERROR(__xludf.DUMMYFUNCTION("""COMPUTED_VALUE"""),"PROTEIN PLUS
(Eiwitrijk)")</f>
        <v>PROTEIN PLUS
(Eiwitrijk)</v>
      </c>
      <c r="AN1" s="292" t="str">
        <f>IFERROR(__xludf.DUMMYFUNCTION("""COMPUTED_VALUE"""),"LACTOSE FREE")</f>
        <v>LACTOSE FREE</v>
      </c>
      <c r="AO1" s="292" t="str">
        <f>IFERROR(__xludf.DUMMYFUNCTION("""COMPUTED_VALUE"""),"Source of fibre ")</f>
        <v>Source of fibre </v>
      </c>
      <c r="AP1" s="292" t="str">
        <f>IFERROR(__xludf.DUMMYFUNCTION("""COMPUTED_VALUE"""),"PROTEIN TYPE")</f>
        <v>PROTEIN TYPE</v>
      </c>
      <c r="AQ1" s="292" t="str">
        <f>IFERROR(__xludf.DUMMYFUNCTION("""COMPUTED_VALUE"""),"PROTEIN (GENERAL)")</f>
        <v>PROTEIN (GENERAL)</v>
      </c>
      <c r="AR1" s="292" t="str">
        <f>IFERROR(__xludf.DUMMYFUNCTION("""COMPUTED_VALUE"""),"PROTEIN (TYPE)")</f>
        <v>PROTEIN (TYPE)</v>
      </c>
      <c r="AS1" s="292" t="str">
        <f>IFERROR(__xludf.DUMMYFUNCTION("""COMPUTED_VALUE"""),"SIDE 1")</f>
        <v>SIDE 1</v>
      </c>
      <c r="AT1" s="292" t="str">
        <f>IFERROR(__xludf.DUMMYFUNCTION("""COMPUTED_VALUE"""),"SIDE 2")</f>
        <v>SIDE 2</v>
      </c>
      <c r="AU1" s="292" t="str">
        <f>IFERROR(__xludf.DUMMYFUNCTION("""COMPUTED_VALUE"""),"SIDE 3")</f>
        <v>SIDE 3</v>
      </c>
      <c r="AV1" s="292" t="str">
        <f>IFERROR(__xludf.DUMMYFUNCTION("""COMPUTED_VALUE"""),"SIDE 4 / GARNISH")</f>
        <v>SIDE 4 / GARNISH</v>
      </c>
      <c r="AW1" s="292" t="str">
        <f>IFERROR(__xludf.DUMMYFUNCTION("""COMPUTED_VALUE"""),"SEASONALITY")</f>
        <v>SEASONALITY</v>
      </c>
      <c r="AX1" s="292" t="str">
        <f>IFERROR(__xludf.DUMMYFUNCTION("""COMPUTED_VALUE"""),"CUISINE")</f>
        <v>CUISINE</v>
      </c>
      <c r="AY1" s="292" t="str">
        <f>IFERROR(__xludf.DUMMYFUNCTION("""COMPUTED_VALUE"""),"Reason for Slot + Details")</f>
        <v>Reason for Slot + Details</v>
      </c>
      <c r="AZ1" s="292" t="str">
        <f>IFERROR(__xludf.DUMMYFUNCTION("""COMPUTED_VALUE"""),"CONTAINER")</f>
        <v>CONTAINER</v>
      </c>
      <c r="BA1" s="292" t="str">
        <f>IFERROR(__xludf.DUMMYFUNCTION("""COMPUTED_VALUE"""),"Cup")</f>
        <v>Cup</v>
      </c>
      <c r="BB1" s="342" t="str">
        <f>IFERROR(__xludf.DUMMYFUNCTION("""COMPUTED_VALUE"""),"INGREDIENT COST")</f>
        <v>INGREDIENT COST</v>
      </c>
      <c r="BC1" s="292" t="str">
        <f>IFERROR(__xludf.DUMMYFUNCTION("""COMPUTED_VALUE"""),"LABOR COST")</f>
        <v>LABOR COST</v>
      </c>
      <c r="BD1" s="292" t="str">
        <f>IFERROR(__xludf.DUMMYFUNCTION("""COMPUTED_VALUE"""),"PACKAGING COST")</f>
        <v>PACKAGING COST</v>
      </c>
      <c r="BE1" s="292" t="str">
        <f>IFERROR(__xludf.DUMMYFUNCTION("""COMPUTED_VALUE"""),"COMAN MARKUP")</f>
        <v>COMAN MARKUP</v>
      </c>
      <c r="BF1" s="292" t="str">
        <f>IFERROR(__xludf.DUMMYFUNCTION("""COMPUTED_VALUE"""),"Import Scores Combined")</f>
        <v>Import Scores Combined</v>
      </c>
      <c r="BG1" s="292" t="str">
        <f>IFERROR(__xludf.DUMMYFUNCTION("""COMPUTED_VALUE"""),"BNL")</f>
        <v>BNL</v>
      </c>
      <c r="BH1" s="292" t="str">
        <f>IFERROR(__xludf.DUMMYFUNCTION("""COMPUTED_VALUE"""),"NOR")</f>
        <v>NOR</v>
      </c>
      <c r="BI1" s="292" t="str">
        <f>IFERROR(__xludf.DUMMYFUNCTION("""COMPUTED_VALUE"""),"Vegetable Quantity (Cooked)")</f>
        <v>Vegetable Quantity (Cooked)</v>
      </c>
      <c r="BJ1" s="292" t="str">
        <f>IFERROR(__xludf.DUMMYFUNCTION("""COMPUTED_VALUE"""),"Salmon ")</f>
        <v>Salmon </v>
      </c>
      <c r="BK1" s="346" t="str">
        <f>IFERROR(__xludf.DUMMYFUNCTION("""COMPUTED_VALUE"""),"kJ")</f>
        <v>kJ</v>
      </c>
      <c r="BL1" s="292" t="str">
        <f>IFERROR(__xludf.DUMMYFUNCTION("""COMPUTED_VALUE"""),"R&amp;D type")</f>
        <v>R&amp;D type</v>
      </c>
      <c r="BM1" s="292" t="str">
        <f>IFERROR(__xludf.DUMMYFUNCTION("""COMPUTED_VALUE"""),"Swedish name")</f>
        <v>Swedish name</v>
      </c>
      <c r="BN1" s="292" t="str">
        <f>IFERROR(__xludf.DUMMYFUNCTION("""COMPUTED_VALUE"""),"DE")</f>
        <v>DE</v>
      </c>
      <c r="BO1" s="343" t="str">
        <f>IFERROR(__xludf.DUMMYFUNCTION("""COMPUTED_VALUE"""),"TV")</f>
        <v>TV</v>
      </c>
      <c r="BP1" s="341" t="str">
        <f>IFERROR(__xludf.DUMMYFUNCTION("""COMPUTED_VALUE"""),"MAX MEAL COST")</f>
        <v>MAX MEAL COST</v>
      </c>
      <c r="BQ1" s="292" t="str">
        <f>IFERROR(__xludf.DUMMYFUNCTION("""COMPUTED_VALUE"""),"STATUS")</f>
        <v>STATUS</v>
      </c>
      <c r="BR1" s="292" t="str">
        <f>IFERROR(__xludf.DUMMYFUNCTION("""COMPUTED_VALUE"""),"Athlete Sprint")</f>
        <v>Athlete Sprint</v>
      </c>
      <c r="BS1" s="292" t="str">
        <f>IFERROR(__xludf.DUMMYFUNCTION("""COMPUTED_VALUE"""),"Medi")</f>
        <v>Medi</v>
      </c>
      <c r="BT1" s="345" t="str">
        <f>IFERROR(__xludf.DUMMYFUNCTION("""COMPUTED_VALUE"""),"ENERGIE (kJ/100g)")</f>
        <v>ENERGIE (kJ/100g)</v>
      </c>
      <c r="BU1" s="345" t="str">
        <f>IFERROR(__xludf.DUMMYFUNCTION("""COMPUTED_VALUE"""),"ENERGY
(Kcal/100g)")</f>
        <v>ENERGY
(Kcal/100g)</v>
      </c>
      <c r="BV1" s="344" t="str">
        <f>IFERROR(__xludf.DUMMYFUNCTION("""COMPUTED_VALUE"""),"FAT (g/100g)")</f>
        <v>FAT (g/100g)</v>
      </c>
      <c r="BW1" s="344" t="str">
        <f>IFERROR(__xludf.DUMMYFUNCTION("""COMPUTED_VALUE"""),"SAT FAT (g/100g)")</f>
        <v>SAT FAT (g/100g)</v>
      </c>
    </row>
    <row r="2">
      <c r="A2" s="292" t="str">
        <f>IFERROR(__xludf.DUMMYFUNCTION("""COMPUTED_VALUE"""),"FE0002D")</f>
        <v>FE0002D</v>
      </c>
      <c r="B2" s="292" t="str">
        <f>IFERROR(__xludf.DUMMYFUNCTION("""COMPUTED_VALUE"""),"CON-40-143682-4")</f>
        <v>CON-40-143682-4</v>
      </c>
      <c r="C2" s="292"/>
      <c r="D2" s="292" t="str">
        <f>IFERROR(__xludf.DUMMYFUNCTION("""COMPUTED_VALUE"""),"CON-00-136627-3")</f>
        <v>CON-00-136627-3</v>
      </c>
      <c r="E2" s="292" t="str">
        <f>IFERROR(__xludf.DUMMYFUNCTION("""COMPUTED_VALUE"""),"Chicken and mushrooms in red wine sauce")</f>
        <v>Chicken and mushrooms in red wine sauce</v>
      </c>
      <c r="F2" s="292" t="str">
        <f>IFERROR(__xludf.DUMMYFUNCTION("""COMPUTED_VALUE"""),"with garlic-cauliflower puree and green beans")</f>
        <v>with garlic-cauliflower puree and green beans</v>
      </c>
      <c r="G2" s="292" t="str">
        <f>IFERROR(__xludf.DUMMYFUNCTION("""COMPUTED_VALUE"""),"Kipfilet en champignons in rode wijnsaus")</f>
        <v>Kipfilet en champignons in rode wijnsaus</v>
      </c>
      <c r="H2" s="292" t="str">
        <f>IFERROR(__xludf.DUMMYFUNCTION("""COMPUTED_VALUE"""),"met knoflook-bloemkoolpuree en sperziebonen")</f>
        <v>met knoflook-bloemkoolpuree en sperziebonen</v>
      </c>
      <c r="I2" s="292"/>
      <c r="J2" s="292" t="str">
        <f>IFERROR(__xludf.DUMMYFUNCTION("""COMPUTED_VALUE"""),"Hähnchen mit Pilze in Rotweinsauce")</f>
        <v>Hähnchen mit Pilze in Rotweinsauce</v>
      </c>
      <c r="K2" s="292">
        <f>IFERROR(__xludf.DUMMYFUNCTION("""COMPUTED_VALUE"""),565020.0)</f>
        <v>565020</v>
      </c>
      <c r="L2" s="292" t="str">
        <f>IFERROR(__xludf.DUMMYFUNCTION("""COMPUTED_VALUE"""),"HF Kipf.Champignons/rode wijnsaus 400g")</f>
        <v>HF Kipf.Champignons/rode wijnsaus 400g</v>
      </c>
      <c r="M2" s="292" t="str">
        <f>IFERROR(__xludf.DUMMYFUNCTION("""COMPUTED_VALUE"""),"FA-NL Kipfilet en champignons in rode wijnsaus [FE0002]")</f>
        <v>FA-NL Kipfilet en champignons in rode wijnsaus [FE0002]</v>
      </c>
      <c r="N2" s="292" t="str">
        <f>IFERROR(__xludf.DUMMYFUNCTION("""COMPUTED_VALUE"""),"#N/A")</f>
        <v>#N/A</v>
      </c>
      <c r="O2" s="292" t="str">
        <f>IFERROR(__xludf.DUMMYFUNCTION("""COMPUTED_VALUE"""),"FA-DE Huhn mit Pilze in Rotweinsauce (FE0002)")</f>
        <v>FA-DE Huhn mit Pilze in Rotweinsauce (FE0002)</v>
      </c>
      <c r="P2" s="292" t="str">
        <f>IFERROR(__xludf.DUMMYFUNCTION("""COMPUTED_VALUE"""),"Graveyard")</f>
        <v>Graveyard</v>
      </c>
      <c r="Q2" s="292"/>
      <c r="R2" s="342">
        <f>IFERROR(__xludf.DUMMYFUNCTION("""COMPUTED_VALUE"""),3.72)</f>
        <v>3.72</v>
      </c>
      <c r="S2" s="298">
        <f>IFERROR(__xludf.DUMMYFUNCTION("""COMPUTED_VALUE"""),0.038430250214360834)</f>
        <v>0.03843025021</v>
      </c>
      <c r="T2" s="343">
        <f>IFERROR(__xludf.DUMMYFUNCTION("""COMPUTED_VALUE"""),3.4787899664370254)</f>
        <v>3.478789966</v>
      </c>
      <c r="U2" s="292">
        <f>IFERROR(__xludf.DUMMYFUNCTION("""COMPUTED_VALUE"""),64623.0)</f>
        <v>64623</v>
      </c>
      <c r="V2" s="292"/>
      <c r="W2" s="292" t="b">
        <f>IFERROR(__xludf.DUMMYFUNCTION("""COMPUTED_VALUE"""),FALSE)</f>
        <v>0</v>
      </c>
      <c r="X2" s="345">
        <f>IFERROR(__xludf.DUMMYFUNCTION("""COMPUTED_VALUE"""),400.0)</f>
        <v>400</v>
      </c>
      <c r="Y2" s="344">
        <f>IFERROR(__xludf.DUMMYFUNCTION("""COMPUTED_VALUE"""),450.0)</f>
        <v>450</v>
      </c>
      <c r="Z2" s="343">
        <f>IFERROR(__xludf.DUMMYFUNCTION("""COMPUTED_VALUE"""),21.5)</f>
        <v>21.5</v>
      </c>
      <c r="AA2" s="344">
        <f>IFERROR(__xludf.DUMMYFUNCTION("""COMPUTED_VALUE"""),9.4)</f>
        <v>9.4</v>
      </c>
      <c r="AB2" s="344">
        <f>IFERROR(__xludf.DUMMYFUNCTION("""COMPUTED_VALUE"""),18.9)</f>
        <v>18.9</v>
      </c>
      <c r="AC2" s="344">
        <f>IFERROR(__xludf.DUMMYFUNCTION("""COMPUTED_VALUE"""),5.5)</f>
        <v>5.5</v>
      </c>
      <c r="AD2" s="344">
        <f>IFERROR(__xludf.DUMMYFUNCTION("""COMPUTED_VALUE"""),10.0)</f>
        <v>10</v>
      </c>
      <c r="AE2" s="343">
        <f>IFERROR(__xludf.DUMMYFUNCTION("""COMPUTED_VALUE"""),36.4)</f>
        <v>36.4</v>
      </c>
      <c r="AF2" s="343">
        <f>IFERROR(__xludf.DUMMYFUNCTION("""COMPUTED_VALUE"""),2.0)</f>
        <v>2</v>
      </c>
      <c r="AG2" s="292" t="b">
        <f>IFERROR(__xludf.DUMMYFUNCTION("""COMPUTED_VALUE"""),FALSE)</f>
        <v>0</v>
      </c>
      <c r="AH2" s="292" t="b">
        <f>IFERROR(__xludf.DUMMYFUNCTION("""COMPUTED_VALUE"""),FALSE)</f>
        <v>0</v>
      </c>
      <c r="AI2" s="292" t="b">
        <f>IFERROR(__xludf.DUMMYFUNCTION("""COMPUTED_VALUE"""),TRUE)</f>
        <v>1</v>
      </c>
      <c r="AJ2" s="292" t="b">
        <f>IFERROR(__xludf.DUMMYFUNCTION("""COMPUTED_VALUE"""),FALSE)</f>
        <v>0</v>
      </c>
      <c r="AK2" s="292" t="b">
        <f>IFERROR(__xludf.DUMMYFUNCTION("""COMPUTED_VALUE"""),FALSE)</f>
        <v>0</v>
      </c>
      <c r="AL2" s="292" t="b">
        <f>IFERROR(__xludf.DUMMYFUNCTION("""COMPUTED_VALUE"""),FALSE)</f>
        <v>0</v>
      </c>
      <c r="AM2" s="292" t="b">
        <f>IFERROR(__xludf.DUMMYFUNCTION("""COMPUTED_VALUE"""),TRUE)</f>
        <v>1</v>
      </c>
      <c r="AN2" s="292" t="b">
        <f>IFERROR(__xludf.DUMMYFUNCTION("""COMPUTED_VALUE"""),FALSE)</f>
        <v>0</v>
      </c>
      <c r="AO2" s="292" t="str">
        <f>IFERROR(__xludf.DUMMYFUNCTION("""COMPUTED_VALUE"""),"TRUE")</f>
        <v>TRUE</v>
      </c>
      <c r="AP2" s="292" t="str">
        <f>IFERROR(__xludf.DUMMYFUNCTION("""COMPUTED_VALUE"""),"Chicken breast")</f>
        <v>Chicken breast</v>
      </c>
      <c r="AQ2" s="292" t="str">
        <f>IFERROR(__xludf.DUMMYFUNCTION("""COMPUTED_VALUE"""),"Chicken")</f>
        <v>Chicken</v>
      </c>
      <c r="AR2" s="292" t="str">
        <f>IFERROR(__xludf.DUMMYFUNCTION("""COMPUTED_VALUE"""),"Breast")</f>
        <v>Breast</v>
      </c>
      <c r="AS2" s="292" t="str">
        <f>IFERROR(__xludf.DUMMYFUNCTION("""COMPUTED_VALUE"""),"Cauliflower Mash")</f>
        <v>Cauliflower Mash</v>
      </c>
      <c r="AT2" s="292" t="str">
        <f>IFERROR(__xludf.DUMMYFUNCTION("""COMPUTED_VALUE"""),"Green Beans")</f>
        <v>Green Beans</v>
      </c>
      <c r="AU2" s="292" t="str">
        <f>IFERROR(__xludf.DUMMYFUNCTION("""COMPUTED_VALUE"""),"Mushrooms")</f>
        <v>Mushrooms</v>
      </c>
      <c r="AV2" s="292" t="str">
        <f>IFERROR(__xludf.DUMMYFUNCTION("""COMPUTED_VALUE"""),"Wine based sauce")</f>
        <v>Wine based sauce</v>
      </c>
      <c r="AW2" s="292" t="str">
        <f>IFERROR(__xludf.DUMMYFUNCTION("""COMPUTED_VALUE"""),"Year Round")</f>
        <v>Year Round</v>
      </c>
      <c r="AX2" s="292" t="str">
        <f>IFERROR(__xludf.DUMMYFUNCTION("""COMPUTED_VALUE"""),"Italian")</f>
        <v>Italian</v>
      </c>
      <c r="AY2" s="292"/>
      <c r="AZ2" s="292" t="str">
        <f>IFERROR(__xludf.DUMMYFUNCTION("""COMPUTED_VALUE"""),"2 CT")</f>
        <v>2 CT</v>
      </c>
      <c r="BA2" s="292" t="b">
        <f>IFERROR(__xludf.DUMMYFUNCTION("""COMPUTED_VALUE"""),FALSE)</f>
        <v>0</v>
      </c>
      <c r="BB2" s="342">
        <f>IFERROR(__xludf.DUMMYFUNCTION("""COMPUTED_VALUE"""),1.7)</f>
        <v>1.7</v>
      </c>
      <c r="BC2" s="342">
        <f>IFERROR(__xludf.DUMMYFUNCTION("""COMPUTED_VALUE"""),0.82)</f>
        <v>0.82</v>
      </c>
      <c r="BD2" s="342">
        <f>IFERROR(__xludf.DUMMYFUNCTION("""COMPUTED_VALUE"""),0.362)</f>
        <v>0.362</v>
      </c>
      <c r="BE2" s="342">
        <f>IFERROR(__xludf.DUMMYFUNCTION("""COMPUTED_VALUE"""),0.89)</f>
        <v>0.89</v>
      </c>
      <c r="BF2" s="296" t="str">
        <f>IFERROR(__xludf.DUMMYFUNCTION("""COMPUTED_VALUE"""),"#REF!")</f>
        <v>#REF!</v>
      </c>
      <c r="BG2" s="296" t="str">
        <f>IFERROR(__xludf.DUMMYFUNCTION("""COMPUTED_VALUE"""),"#REF!")</f>
        <v>#REF!</v>
      </c>
      <c r="BH2" s="296" t="str">
        <f>IFERROR(__xludf.DUMMYFUNCTION("""COMPUTED_VALUE"""),"#REF!")</f>
        <v>#REF!</v>
      </c>
      <c r="BI2" s="295">
        <f>IFERROR(__xludf.DUMMYFUNCTION("""COMPUTED_VALUE"""),192.0)</f>
        <v>192</v>
      </c>
      <c r="BJ2" s="292"/>
      <c r="BK2" s="292"/>
      <c r="BL2" s="292"/>
      <c r="BM2" s="292"/>
      <c r="BN2" s="292"/>
      <c r="BO2" s="292"/>
      <c r="BP2" s="292"/>
      <c r="BQ2" s="292" t="str">
        <f>IFERROR(__xludf.DUMMYFUNCTION("""COMPUTED_VALUE"""),"Graveyard")</f>
        <v>Graveyard</v>
      </c>
      <c r="BR2" s="292" t="b">
        <f>IFERROR(__xludf.DUMMYFUNCTION("""COMPUTED_VALUE"""),FALSE)</f>
        <v>0</v>
      </c>
      <c r="BS2" s="292" t="b">
        <f>IFERROR(__xludf.DUMMYFUNCTION("""COMPUTED_VALUE"""),FALSE)</f>
        <v>0</v>
      </c>
      <c r="BT2" s="345">
        <f>IFERROR(__xludf.DUMMYFUNCTION("""COMPUTED_VALUE"""),469.5)</f>
        <v>469.5</v>
      </c>
      <c r="BU2" s="345">
        <f>IFERROR(__xludf.DUMMYFUNCTION("""COMPUTED_VALUE"""),112.5)</f>
        <v>112.5</v>
      </c>
      <c r="BV2" s="344">
        <f>IFERROR(__xludf.DUMMYFUNCTION("""COMPUTED_VALUE"""),5.375)</f>
        <v>5.375</v>
      </c>
      <c r="BW2" s="344">
        <f>IFERROR(__xludf.DUMMYFUNCTION("""COMPUTED_VALUE"""),2.35)</f>
        <v>2.35</v>
      </c>
    </row>
    <row r="3">
      <c r="A3" s="292" t="str">
        <f>IFERROR(__xludf.DUMMYFUNCTION("""COMPUTED_VALUE"""),"FE0024C")</f>
        <v>FE0024C</v>
      </c>
      <c r="B3" s="292" t="str">
        <f>IFERROR(__xludf.DUMMYFUNCTION("""COMPUTED_VALUE"""),"CON-40-143690-4")</f>
        <v>CON-40-143690-4</v>
      </c>
      <c r="C3" s="292" t="str">
        <f>IFERROR(__xludf.DUMMYFUNCTION("""COMPUTED_VALUE"""),"CON-00-147812-2")</f>
        <v>CON-00-147812-2</v>
      </c>
      <c r="D3" s="292" t="str">
        <f>IFERROR(__xludf.DUMMYFUNCTION("""COMPUTED_VALUE"""),"CON-00-136673-3")</f>
        <v>CON-00-136673-3</v>
      </c>
      <c r="E3" s="292" t="str">
        <f>IFERROR(__xludf.DUMMYFUNCTION("""COMPUTED_VALUE"""),"Chicken in tomato cream sauce")</f>
        <v>Chicken in tomato cream sauce</v>
      </c>
      <c r="F3" s="292" t="str">
        <f>IFERROR(__xludf.DUMMYFUNCTION("""COMPUTED_VALUE"""),"with sun-dried tomatoes and courgette spaghetti")</f>
        <v>with sun-dried tomatoes and courgette spaghetti</v>
      </c>
      <c r="G3" s="292" t="str">
        <f>IFERROR(__xludf.DUMMYFUNCTION("""COMPUTED_VALUE"""),"Kipfilet in tomaten-roomsaus")</f>
        <v>Kipfilet in tomaten-roomsaus</v>
      </c>
      <c r="H3" s="292" t="str">
        <f>IFERROR(__xludf.DUMMYFUNCTION("""COMPUTED_VALUE"""),"met zongedroogde tomaatjes en courgette-spaghetti")</f>
        <v>met zongedroogde tomaatjes en courgette-spaghetti</v>
      </c>
      <c r="I3" s="292"/>
      <c r="J3" s="292" t="str">
        <f>IFERROR(__xludf.DUMMYFUNCTION("""COMPUTED_VALUE"""),"Hähnchen in Tomaten-Creme")</f>
        <v>Hähnchen in Tomaten-Creme</v>
      </c>
      <c r="K3" s="292">
        <f>IFERROR(__xludf.DUMMYFUNCTION("""COMPUTED_VALUE"""),565026.0)</f>
        <v>565026</v>
      </c>
      <c r="L3" s="292" t="str">
        <f>IFERROR(__xludf.DUMMYFUNCTION("""COMPUTED_VALUE"""),"HF Kipfilet met zongedroogde tomaat 318g")</f>
        <v>HF Kipfilet met zongedroogde tomaat 318g</v>
      </c>
      <c r="M3" s="292" t="str">
        <f>IFERROR(__xludf.DUMMYFUNCTION("""COMPUTED_VALUE"""),"FA-NL Kipfilet in tomaten-roomsaus [FE0024]")</f>
        <v>FA-NL Kipfilet in tomaten-roomsaus [FE0024]</v>
      </c>
      <c r="N3" s="292" t="str">
        <f>IFERROR(__xludf.DUMMYFUNCTION("""COMPUTED_VALUE"""),"FA-NO Kylling i cremet tomatsauce (FE0024)")</f>
        <v>FA-NO Kylling i cremet tomatsauce (FE0024)</v>
      </c>
      <c r="O3" s="292" t="str">
        <f>IFERROR(__xludf.DUMMYFUNCTION("""COMPUTED_VALUE"""),"FA-DE Hähnchen in Tomatencreme (FE0024)")</f>
        <v>FA-DE Hähnchen in Tomatencreme (FE0024)</v>
      </c>
      <c r="P3" s="292" t="str">
        <f>IFERROR(__xludf.DUMMYFUNCTION("""COMPUTED_VALUE"""),"Graveyard")</f>
        <v>Graveyard</v>
      </c>
      <c r="Q3" s="292"/>
      <c r="R3" s="342">
        <f>IFERROR(__xludf.DUMMYFUNCTION("""COMPUTED_VALUE"""),4.31)</f>
        <v>4.31</v>
      </c>
      <c r="S3" s="298">
        <f>IFERROR(__xludf.DUMMYFUNCTION("""COMPUTED_VALUE"""),0.053558397350974195)</f>
        <v>0.05355839735</v>
      </c>
      <c r="T3" s="343">
        <f>IFERROR(__xludf.DUMMYFUNCTION("""COMPUTED_VALUE"""),3.612669662403502)</f>
        <v>3.612669662</v>
      </c>
      <c r="U3" s="292">
        <f>IFERROR(__xludf.DUMMYFUNCTION("""COMPUTED_VALUE"""),82355.0)</f>
        <v>82355</v>
      </c>
      <c r="V3" s="292"/>
      <c r="W3" s="292" t="b">
        <f>IFERROR(__xludf.DUMMYFUNCTION("""COMPUTED_VALUE"""),FALSE)</f>
        <v>0</v>
      </c>
      <c r="X3" s="345">
        <f>IFERROR(__xludf.DUMMYFUNCTION("""COMPUTED_VALUE"""),318.0)</f>
        <v>318</v>
      </c>
      <c r="Y3" s="344">
        <f>IFERROR(__xludf.DUMMYFUNCTION("""COMPUTED_VALUE"""),661.0)</f>
        <v>661</v>
      </c>
      <c r="Z3" s="343">
        <f>IFERROR(__xludf.DUMMYFUNCTION("""COMPUTED_VALUE"""),54.3)</f>
        <v>54.3</v>
      </c>
      <c r="AA3" s="344">
        <f>IFERROR(__xludf.DUMMYFUNCTION("""COMPUTED_VALUE"""),24.6)</f>
        <v>24.6</v>
      </c>
      <c r="AB3" s="344">
        <f>IFERROR(__xludf.DUMMYFUNCTION("""COMPUTED_VALUE"""),9.8)</f>
        <v>9.8</v>
      </c>
      <c r="AC3" s="344">
        <f>IFERROR(__xludf.DUMMYFUNCTION("""COMPUTED_VALUE"""),7.4)</f>
        <v>7.4</v>
      </c>
      <c r="AD3" s="344">
        <f>IFERROR(__xludf.DUMMYFUNCTION("""COMPUTED_VALUE"""),2.4)</f>
        <v>2.4</v>
      </c>
      <c r="AE3" s="343">
        <f>IFERROR(__xludf.DUMMYFUNCTION("""COMPUTED_VALUE"""),31.7)</f>
        <v>31.7</v>
      </c>
      <c r="AF3" s="343">
        <f>IFERROR(__xludf.DUMMYFUNCTION("""COMPUTED_VALUE"""),1.9)</f>
        <v>1.9</v>
      </c>
      <c r="AG3" s="292" t="b">
        <f>IFERROR(__xludf.DUMMYFUNCTION("""COMPUTED_VALUE"""),FALSE)</f>
        <v>0</v>
      </c>
      <c r="AH3" s="292" t="b">
        <f>IFERROR(__xludf.DUMMYFUNCTION("""COMPUTED_VALUE"""),TRUE)</f>
        <v>1</v>
      </c>
      <c r="AI3" s="292" t="b">
        <f>IFERROR(__xludf.DUMMYFUNCTION("""COMPUTED_VALUE"""),FALSE)</f>
        <v>0</v>
      </c>
      <c r="AJ3" s="292" t="b">
        <f>IFERROR(__xludf.DUMMYFUNCTION("""COMPUTED_VALUE"""),FALSE)</f>
        <v>0</v>
      </c>
      <c r="AK3" s="292" t="b">
        <f>IFERROR(__xludf.DUMMYFUNCTION("""COMPUTED_VALUE"""),FALSE)</f>
        <v>0</v>
      </c>
      <c r="AL3" s="292" t="b">
        <f>IFERROR(__xludf.DUMMYFUNCTION("""COMPUTED_VALUE"""),FALSE)</f>
        <v>0</v>
      </c>
      <c r="AM3" s="292" t="b">
        <f>IFERROR(__xludf.DUMMYFUNCTION("""COMPUTED_VALUE"""),FALSE)</f>
        <v>0</v>
      </c>
      <c r="AN3" s="292" t="b">
        <f>IFERROR(__xludf.DUMMYFUNCTION("""COMPUTED_VALUE"""),FALSE)</f>
        <v>0</v>
      </c>
      <c r="AO3" s="292" t="str">
        <f>IFERROR(__xludf.DUMMYFUNCTION("""COMPUTED_VALUE"""),"FALSE")</f>
        <v>FALSE</v>
      </c>
      <c r="AP3" s="292" t="str">
        <f>IFERROR(__xludf.DUMMYFUNCTION("""COMPUTED_VALUE"""),"Chicken breast")</f>
        <v>Chicken breast</v>
      </c>
      <c r="AQ3" s="292" t="str">
        <f>IFERROR(__xludf.DUMMYFUNCTION("""COMPUTED_VALUE"""),"Chicken")</f>
        <v>Chicken</v>
      </c>
      <c r="AR3" s="292" t="str">
        <f>IFERROR(__xludf.DUMMYFUNCTION("""COMPUTED_VALUE"""),"Breast")</f>
        <v>Breast</v>
      </c>
      <c r="AS3" s="292" t="str">
        <f>IFERROR(__xludf.DUMMYFUNCTION("""COMPUTED_VALUE"""),"Tomato Based Sauce")</f>
        <v>Tomato Based Sauce</v>
      </c>
      <c r="AT3" s="292" t="str">
        <f>IFERROR(__xludf.DUMMYFUNCTION("""COMPUTED_VALUE"""),"Zucchini Noodles")</f>
        <v>Zucchini Noodles</v>
      </c>
      <c r="AU3" s="292"/>
      <c r="AV3" s="292"/>
      <c r="AW3" s="292" t="str">
        <f>IFERROR(__xludf.DUMMYFUNCTION("""COMPUTED_VALUE"""),"Year Round")</f>
        <v>Year Round</v>
      </c>
      <c r="AX3" s="292" t="str">
        <f>IFERROR(__xludf.DUMMYFUNCTION("""COMPUTED_VALUE"""),"Mediterranean")</f>
        <v>Mediterranean</v>
      </c>
      <c r="AY3" s="292"/>
      <c r="AZ3" s="292" t="str">
        <f>IFERROR(__xludf.DUMMYFUNCTION("""COMPUTED_VALUE"""),"2 CT")</f>
        <v>2 CT</v>
      </c>
      <c r="BA3" s="292" t="b">
        <f>IFERROR(__xludf.DUMMYFUNCTION("""COMPUTED_VALUE"""),FALSE)</f>
        <v>0</v>
      </c>
      <c r="BB3" s="342">
        <f>IFERROR(__xludf.DUMMYFUNCTION("""COMPUTED_VALUE"""),2.35)</f>
        <v>2.35</v>
      </c>
      <c r="BC3" s="342">
        <f>IFERROR(__xludf.DUMMYFUNCTION("""COMPUTED_VALUE"""),0.76)</f>
        <v>0.76</v>
      </c>
      <c r="BD3" s="342">
        <f>IFERROR(__xludf.DUMMYFUNCTION("""COMPUTED_VALUE"""),0.362)</f>
        <v>0.362</v>
      </c>
      <c r="BE3" s="342">
        <f>IFERROR(__xludf.DUMMYFUNCTION("""COMPUTED_VALUE"""),0.89)</f>
        <v>0.89</v>
      </c>
      <c r="BF3" s="296" t="str">
        <f>IFERROR(__xludf.DUMMYFUNCTION("""COMPUTED_VALUE"""),"#REF!")</f>
        <v>#REF!</v>
      </c>
      <c r="BG3" s="296" t="str">
        <f>IFERROR(__xludf.DUMMYFUNCTION("""COMPUTED_VALUE"""),"#REF!")</f>
        <v>#REF!</v>
      </c>
      <c r="BH3" s="296" t="str">
        <f>IFERROR(__xludf.DUMMYFUNCTION("""COMPUTED_VALUE"""),"#REF!")</f>
        <v>#REF!</v>
      </c>
      <c r="BI3" s="295">
        <f>IFERROR(__xludf.DUMMYFUNCTION("""COMPUTED_VALUE"""),116.0)</f>
        <v>116</v>
      </c>
      <c r="BJ3" s="295" t="str">
        <f>IFERROR(__xludf.DUMMYFUNCTION("""COMPUTED_VALUE"""),"FALSE")</f>
        <v>FALSE</v>
      </c>
      <c r="BK3" s="292"/>
      <c r="BL3" s="292"/>
      <c r="BM3" s="292"/>
      <c r="BN3" s="292"/>
      <c r="BO3" s="292"/>
      <c r="BP3" s="292"/>
      <c r="BQ3" s="292" t="str">
        <f>IFERROR(__xludf.DUMMYFUNCTION("""COMPUTED_VALUE"""),"Graveyard")</f>
        <v>Graveyard</v>
      </c>
      <c r="BR3" s="292" t="b">
        <f>IFERROR(__xludf.DUMMYFUNCTION("""COMPUTED_VALUE"""),FALSE)</f>
        <v>0</v>
      </c>
      <c r="BS3" s="292" t="b">
        <f>IFERROR(__xludf.DUMMYFUNCTION("""COMPUTED_VALUE"""),FALSE)</f>
        <v>0</v>
      </c>
      <c r="BT3" s="345">
        <f>IFERROR(__xludf.DUMMYFUNCTION("""COMPUTED_VALUE"""),861.9496855345911)</f>
        <v>861.9496855</v>
      </c>
      <c r="BU3" s="345">
        <f>IFERROR(__xludf.DUMMYFUNCTION("""COMPUTED_VALUE"""),207.86163522012578)</f>
        <v>207.8616352</v>
      </c>
      <c r="BV3" s="344">
        <f>IFERROR(__xludf.DUMMYFUNCTION("""COMPUTED_VALUE"""),17.075471698113205)</f>
        <v>17.0754717</v>
      </c>
      <c r="BW3" s="344">
        <f>IFERROR(__xludf.DUMMYFUNCTION("""COMPUTED_VALUE"""),7.735849056603775)</f>
        <v>7.735849057</v>
      </c>
    </row>
    <row r="4">
      <c r="A4" s="292" t="str">
        <f>IFERROR(__xludf.DUMMYFUNCTION("""COMPUTED_VALUE"""),"FE0024D")</f>
        <v>FE0024D</v>
      </c>
      <c r="B4" s="292" t="str">
        <f>IFERROR(__xludf.DUMMYFUNCTION("""COMPUTED_VALUE"""),"CON-40-143690-4")</f>
        <v>CON-40-143690-4</v>
      </c>
      <c r="C4" s="292" t="str">
        <f>IFERROR(__xludf.DUMMYFUNCTION("""COMPUTED_VALUE"""),"CON-00-147812-2")</f>
        <v>CON-00-147812-2</v>
      </c>
      <c r="D4" s="292" t="str">
        <f>IFERROR(__xludf.DUMMYFUNCTION("""COMPUTED_VALUE"""),"CON-00-136673-3")</f>
        <v>CON-00-136673-3</v>
      </c>
      <c r="E4" s="292" t="str">
        <f>IFERROR(__xludf.DUMMYFUNCTION("""COMPUTED_VALUE"""),"Chicken in tomato cream sauce")</f>
        <v>Chicken in tomato cream sauce</v>
      </c>
      <c r="F4" s="292" t="str">
        <f>IFERROR(__xludf.DUMMYFUNCTION("""COMPUTED_VALUE"""),"with sun-dried tomatoes and courgette spaghetti")</f>
        <v>with sun-dried tomatoes and courgette spaghetti</v>
      </c>
      <c r="G4" s="292" t="str">
        <f>IFERROR(__xludf.DUMMYFUNCTION("""COMPUTED_VALUE"""),"Kipfilet in tomaten-roomsaus")</f>
        <v>Kipfilet in tomaten-roomsaus</v>
      </c>
      <c r="H4" s="292" t="str">
        <f>IFERROR(__xludf.DUMMYFUNCTION("""COMPUTED_VALUE"""),"met zongedroogde tomaatjes en courgette-spaghetti")</f>
        <v>met zongedroogde tomaatjes en courgette-spaghetti</v>
      </c>
      <c r="I4" s="292" t="str">
        <f>IFERROR(__xludf.DUMMYFUNCTION("""COMPUTED_VALUE"""),"Kylling i cremet tomatsauce")</f>
        <v>Kylling i cremet tomatsauce</v>
      </c>
      <c r="J4" s="292" t="str">
        <f>IFERROR(__xludf.DUMMYFUNCTION("""COMPUTED_VALUE"""),"Hähnchen in Tomatencreme")</f>
        <v>Hähnchen in Tomatencreme</v>
      </c>
      <c r="K4" s="292">
        <f>IFERROR(__xludf.DUMMYFUNCTION("""COMPUTED_VALUE"""),565026.0)</f>
        <v>565026</v>
      </c>
      <c r="L4" s="292" t="str">
        <f>IFERROR(__xludf.DUMMYFUNCTION("""COMPUTED_VALUE"""),"HF Kipfilet met zongedroogde tomaat")</f>
        <v>HF Kipfilet met zongedroogde tomaat</v>
      </c>
      <c r="M4" s="292" t="str">
        <f>IFERROR(__xludf.DUMMYFUNCTION("""COMPUTED_VALUE"""),"FA-NL Kipfilet in tomaten-roomsaus [FE0024]")</f>
        <v>FA-NL Kipfilet in tomaten-roomsaus [FE0024]</v>
      </c>
      <c r="N4" s="292" t="str">
        <f>IFERROR(__xludf.DUMMYFUNCTION("""COMPUTED_VALUE"""),"FA-NO Kylling i cremet tomatsauce (FE0024)")</f>
        <v>FA-NO Kylling i cremet tomatsauce (FE0024)</v>
      </c>
      <c r="O4" s="292" t="str">
        <f>IFERROR(__xludf.DUMMYFUNCTION("""COMPUTED_VALUE"""),"FA-DE Hähnchen in Tomatencreme (FE0024)")</f>
        <v>FA-DE Hähnchen in Tomatencreme (FE0024)</v>
      </c>
      <c r="P4" s="292" t="str">
        <f>IFERROR(__xludf.DUMMYFUNCTION("""COMPUTED_VALUE"""),"Graveyard")</f>
        <v>Graveyard</v>
      </c>
      <c r="Q4" s="292" t="str">
        <f>IFERROR(__xludf.DUMMYFUNCTION("""COMPUTED_VALUE"""),"increased portion size")</f>
        <v>increased portion size</v>
      </c>
      <c r="R4" s="342">
        <f>IFERROR(__xludf.DUMMYFUNCTION("""COMPUTED_VALUE"""),4.8)</f>
        <v>4.8</v>
      </c>
      <c r="S4" s="292"/>
      <c r="T4" s="292"/>
      <c r="U4" s="292"/>
      <c r="V4" s="292"/>
      <c r="W4" s="292" t="b">
        <f>IFERROR(__xludf.DUMMYFUNCTION("""COMPUTED_VALUE"""),TRUE)</f>
        <v>1</v>
      </c>
      <c r="X4" s="345">
        <f>IFERROR(__xludf.DUMMYFUNCTION("""COMPUTED_VALUE"""),357.0)</f>
        <v>357</v>
      </c>
      <c r="Y4" s="344">
        <f>IFERROR(__xludf.DUMMYFUNCTION("""COMPUTED_VALUE"""),709.0)</f>
        <v>709</v>
      </c>
      <c r="Z4" s="343">
        <f>IFERROR(__xludf.DUMMYFUNCTION("""COMPUTED_VALUE"""),58.2)</f>
        <v>58.2</v>
      </c>
      <c r="AA4" s="344">
        <f>IFERROR(__xludf.DUMMYFUNCTION("""COMPUTED_VALUE"""),25.4)</f>
        <v>25.4</v>
      </c>
      <c r="AB4" s="344">
        <f>IFERROR(__xludf.DUMMYFUNCTION("""COMPUTED_VALUE"""),11.9)</f>
        <v>11.9</v>
      </c>
      <c r="AC4" s="344">
        <f>IFERROR(__xludf.DUMMYFUNCTION("""COMPUTED_VALUE"""),8.7)</f>
        <v>8.7</v>
      </c>
      <c r="AD4" s="344">
        <f>IFERROR(__xludf.DUMMYFUNCTION("""COMPUTED_VALUE"""),2.9)</f>
        <v>2.9</v>
      </c>
      <c r="AE4" s="343">
        <f>IFERROR(__xludf.DUMMYFUNCTION("""COMPUTED_VALUE"""),32.5)</f>
        <v>32.5</v>
      </c>
      <c r="AF4" s="343">
        <f>IFERROR(__xludf.DUMMYFUNCTION("""COMPUTED_VALUE"""),1.92)</f>
        <v>1.92</v>
      </c>
      <c r="AG4" s="292" t="b">
        <f>IFERROR(__xludf.DUMMYFUNCTION("""COMPUTED_VALUE"""),FALSE)</f>
        <v>0</v>
      </c>
      <c r="AH4" s="292" t="b">
        <f>IFERROR(__xludf.DUMMYFUNCTION("""COMPUTED_VALUE"""),TRUE)</f>
        <v>1</v>
      </c>
      <c r="AI4" s="292" t="b">
        <f>IFERROR(__xludf.DUMMYFUNCTION("""COMPUTED_VALUE"""),FALSE)</f>
        <v>0</v>
      </c>
      <c r="AJ4" s="292" t="b">
        <f>IFERROR(__xludf.DUMMYFUNCTION("""COMPUTED_VALUE"""),FALSE)</f>
        <v>0</v>
      </c>
      <c r="AK4" s="292" t="b">
        <f>IFERROR(__xludf.DUMMYFUNCTION("""COMPUTED_VALUE"""),FALSE)</f>
        <v>0</v>
      </c>
      <c r="AL4" s="292" t="b">
        <f>IFERROR(__xludf.DUMMYFUNCTION("""COMPUTED_VALUE"""),FALSE)</f>
        <v>0</v>
      </c>
      <c r="AM4" s="292" t="b">
        <f>IFERROR(__xludf.DUMMYFUNCTION("""COMPUTED_VALUE"""),FALSE)</f>
        <v>0</v>
      </c>
      <c r="AN4" s="292" t="b">
        <f>IFERROR(__xludf.DUMMYFUNCTION("""COMPUTED_VALUE"""),FALSE)</f>
        <v>0</v>
      </c>
      <c r="AO4" s="292" t="str">
        <f>IFERROR(__xludf.DUMMYFUNCTION("""COMPUTED_VALUE"""),"FALSE")</f>
        <v>FALSE</v>
      </c>
      <c r="AP4" s="292" t="str">
        <f>IFERROR(__xludf.DUMMYFUNCTION("""COMPUTED_VALUE"""),"Chicken breast")</f>
        <v>Chicken breast</v>
      </c>
      <c r="AQ4" s="292" t="str">
        <f>IFERROR(__xludf.DUMMYFUNCTION("""COMPUTED_VALUE"""),"Chicken")</f>
        <v>Chicken</v>
      </c>
      <c r="AR4" s="292" t="str">
        <f>IFERROR(__xludf.DUMMYFUNCTION("""COMPUTED_VALUE"""),"Breast")</f>
        <v>Breast</v>
      </c>
      <c r="AS4" s="292" t="str">
        <f>IFERROR(__xludf.DUMMYFUNCTION("""COMPUTED_VALUE"""),"Tomato Based Sauce")</f>
        <v>Tomato Based Sauce</v>
      </c>
      <c r="AT4" s="292" t="str">
        <f>IFERROR(__xludf.DUMMYFUNCTION("""COMPUTED_VALUE"""),"Zucchini Noodles")</f>
        <v>Zucchini Noodles</v>
      </c>
      <c r="AU4" s="292" t="str">
        <f>IFERROR(__xludf.DUMMYFUNCTION("""COMPUTED_VALUE"""),"Spinach")</f>
        <v>Spinach</v>
      </c>
      <c r="AV4" s="292"/>
      <c r="AW4" s="292" t="str">
        <f>IFERROR(__xludf.DUMMYFUNCTION("""COMPUTED_VALUE"""),"Year Round")</f>
        <v>Year Round</v>
      </c>
      <c r="AX4" s="292" t="str">
        <f>IFERROR(__xludf.DUMMYFUNCTION("""COMPUTED_VALUE"""),"Italian")</f>
        <v>Italian</v>
      </c>
      <c r="AY4" s="292"/>
      <c r="AZ4" s="292" t="str">
        <f>IFERROR(__xludf.DUMMYFUNCTION("""COMPUTED_VALUE"""),"2 CT")</f>
        <v>2 CT</v>
      </c>
      <c r="BA4" s="292" t="b">
        <f>IFERROR(__xludf.DUMMYFUNCTION("""COMPUTED_VALUE"""),FALSE)</f>
        <v>0</v>
      </c>
      <c r="BB4" s="342">
        <f>IFERROR(__xludf.DUMMYFUNCTION("""COMPUTED_VALUE"""),2.82)</f>
        <v>2.82</v>
      </c>
      <c r="BC4" s="342">
        <f>IFERROR(__xludf.DUMMYFUNCTION("""COMPUTED_VALUE"""),0.78)</f>
        <v>0.78</v>
      </c>
      <c r="BD4" s="342">
        <f>IFERROR(__xludf.DUMMYFUNCTION("""COMPUTED_VALUE"""),0.362)</f>
        <v>0.362</v>
      </c>
      <c r="BE4" s="342">
        <f>IFERROR(__xludf.DUMMYFUNCTION("""COMPUTED_VALUE"""),0.89)</f>
        <v>0.89</v>
      </c>
      <c r="BF4" s="296" t="str">
        <f>IFERROR(__xludf.DUMMYFUNCTION("""COMPUTED_VALUE"""),"#REF!")</f>
        <v>#REF!</v>
      </c>
      <c r="BG4" s="296" t="str">
        <f>IFERROR(__xludf.DUMMYFUNCTION("""COMPUTED_VALUE"""),"#REF!")</f>
        <v>#REF!</v>
      </c>
      <c r="BH4" s="296" t="str">
        <f>IFERROR(__xludf.DUMMYFUNCTION("""COMPUTED_VALUE"""),"#REF!")</f>
        <v>#REF!</v>
      </c>
      <c r="BI4" s="295">
        <f>IFERROR(__xludf.DUMMYFUNCTION("""COMPUTED_VALUE"""),153.0)</f>
        <v>153</v>
      </c>
      <c r="BJ4" s="295" t="str">
        <f>IFERROR(__xludf.DUMMYFUNCTION("""COMPUTED_VALUE"""),"FALSE")</f>
        <v>FALSE</v>
      </c>
      <c r="BK4" s="346">
        <f>IFERROR(__xludf.DUMMYFUNCTION("""COMPUTED_VALUE"""),2940.0)</f>
        <v>2940</v>
      </c>
      <c r="BL4" s="292" t="str">
        <f>IFERROR(__xludf.DUMMYFUNCTION("""COMPUTED_VALUE"""),"US")</f>
        <v>US</v>
      </c>
      <c r="BM4" s="292" t="str">
        <f>IFERROR(__xludf.DUMMYFUNCTION("""COMPUTED_VALUE"""),"Kyckling i krämig tomatsås")</f>
        <v>Kyckling i krämig tomatsås</v>
      </c>
      <c r="BN4" s="292"/>
      <c r="BO4" s="292"/>
      <c r="BP4" s="292"/>
      <c r="BQ4" s="292" t="str">
        <f>IFERROR(__xludf.DUMMYFUNCTION("""COMPUTED_VALUE"""),"Graveyard")</f>
        <v>Graveyard</v>
      </c>
      <c r="BR4" s="292" t="b">
        <f>IFERROR(__xludf.DUMMYFUNCTION("""COMPUTED_VALUE"""),FALSE)</f>
        <v>0</v>
      </c>
      <c r="BS4" s="292" t="b">
        <f>IFERROR(__xludf.DUMMYFUNCTION("""COMPUTED_VALUE"""),FALSE)</f>
        <v>0</v>
      </c>
      <c r="BT4" s="345">
        <f>IFERROR(__xludf.DUMMYFUNCTION("""COMPUTED_VALUE"""),822.0)</f>
        <v>822</v>
      </c>
      <c r="BU4" s="345">
        <f>IFERROR(__xludf.DUMMYFUNCTION("""COMPUTED_VALUE"""),198.0)</f>
        <v>198</v>
      </c>
      <c r="BV4" s="344">
        <f>IFERROR(__xludf.DUMMYFUNCTION("""COMPUTED_VALUE"""),16.3)</f>
        <v>16.3</v>
      </c>
      <c r="BW4" s="344">
        <f>IFERROR(__xludf.DUMMYFUNCTION("""COMPUTED_VALUE"""),7.1)</f>
        <v>7.1</v>
      </c>
    </row>
    <row r="5">
      <c r="A5" s="292" t="str">
        <f>IFERROR(__xludf.DUMMYFUNCTION("""COMPUTED_VALUE"""),"FE0025L")</f>
        <v>FE0025L</v>
      </c>
      <c r="B5" s="292" t="str">
        <f>IFERROR(__xludf.DUMMYFUNCTION("""COMPUTED_VALUE"""),"CON-40-143676-4")</f>
        <v>CON-40-143676-4</v>
      </c>
      <c r="C5" s="292" t="str">
        <f>IFERROR(__xludf.DUMMYFUNCTION("""COMPUTED_VALUE"""),"CON-00-147811-2")</f>
        <v>CON-00-147811-2</v>
      </c>
      <c r="D5" s="292" t="str">
        <f>IFERROR(__xludf.DUMMYFUNCTION("""COMPUTED_VALUE"""),"CON-00-136695-3")</f>
        <v>CON-00-136695-3</v>
      </c>
      <c r="E5" s="292" t="str">
        <f>IFERROR(__xludf.DUMMYFUNCTION("""COMPUTED_VALUE"""),"Chicken in lemon-capers sauce")</f>
        <v>Chicken in lemon-capers sauce</v>
      </c>
      <c r="F5" s="292" t="str">
        <f>IFERROR(__xludf.DUMMYFUNCTION("""COMPUTED_VALUE"""),"with tarragon-cauliflower mash and broccoli")</f>
        <v>with tarragon-cauliflower mash and broccoli</v>
      </c>
      <c r="G5" s="292" t="str">
        <f>IFERROR(__xludf.DUMMYFUNCTION("""COMPUTED_VALUE"""),"Kip in citroen-kappertjessaus")</f>
        <v>Kip in citroen-kappertjessaus</v>
      </c>
      <c r="H5" s="292" t="str">
        <f>IFERROR(__xludf.DUMMYFUNCTION("""COMPUTED_VALUE"""),"met dragon-bloemkoolpuree en broccoli")</f>
        <v>met dragon-bloemkoolpuree en broccoli</v>
      </c>
      <c r="I5" s="292" t="str">
        <f>IFERROR(__xludf.DUMMYFUNCTION("""COMPUTED_VALUE"""),"Kylling i citron- og kaperssauce")</f>
        <v>Kylling i citron- og kaperssauce</v>
      </c>
      <c r="J5" s="292" t="str">
        <f>IFERROR(__xludf.DUMMYFUNCTION("""COMPUTED_VALUE"""),"Hähnchen in Zitronen-Kapern-Sauce")</f>
        <v>Hähnchen in Zitronen-Kapern-Sauce</v>
      </c>
      <c r="K5" s="292">
        <f>IFERROR(__xludf.DUMMYFUNCTION("""COMPUTED_VALUE"""),565090.0)</f>
        <v>565090</v>
      </c>
      <c r="L5" s="292" t="str">
        <f>IFERROR(__xludf.DUMMYFUNCTION("""COMPUTED_VALUE"""),"HF Kip Piccata met broccoli")</f>
        <v>HF Kip Piccata met broccoli</v>
      </c>
      <c r="M5" s="292" t="str">
        <f>IFERROR(__xludf.DUMMYFUNCTION("""COMPUTED_VALUE"""),"FA-NL Kip in citroen-kappertjessaus (FE0025)")</f>
        <v>FA-NL Kip in citroen-kappertjessaus (FE0025)</v>
      </c>
      <c r="N5" s="292" t="str">
        <f>IFERROR(__xludf.DUMMYFUNCTION("""COMPUTED_VALUE"""),"FA-NO Kylling i citron-kapers sauce (FE0025)")</f>
        <v>FA-NO Kylling i citron-kapers sauce (FE0025)</v>
      </c>
      <c r="O5" s="292" t="str">
        <f>IFERROR(__xludf.DUMMYFUNCTION("""COMPUTED_VALUE"""),"FA-DE Hähnchen in Zitronen-Kapern-Sauce (FE0025)")</f>
        <v>FA-DE Hähnchen in Zitronen-Kapern-Sauce (FE0025)</v>
      </c>
      <c r="P5" s="292" t="str">
        <f>IFERROR(__xludf.DUMMYFUNCTION("""COMPUTED_VALUE"""),"Graveyard")</f>
        <v>Graveyard</v>
      </c>
      <c r="Q5" s="292"/>
      <c r="R5" s="342">
        <f>IFERROR(__xludf.DUMMYFUNCTION("""COMPUTED_VALUE"""),4.6)</f>
        <v>4.6</v>
      </c>
      <c r="S5" s="292"/>
      <c r="T5" s="292"/>
      <c r="U5" s="292"/>
      <c r="V5" s="292"/>
      <c r="W5" s="292" t="b">
        <f>IFERROR(__xludf.DUMMYFUNCTION("""COMPUTED_VALUE"""),TRUE)</f>
        <v>1</v>
      </c>
      <c r="X5" s="345">
        <f>IFERROR(__xludf.DUMMYFUNCTION("""COMPUTED_VALUE"""),370.0)</f>
        <v>370</v>
      </c>
      <c r="Y5" s="344">
        <f>IFERROR(__xludf.DUMMYFUNCTION("""COMPUTED_VALUE"""),762.0)</f>
        <v>762</v>
      </c>
      <c r="Z5" s="343">
        <f>IFERROR(__xludf.DUMMYFUNCTION("""COMPUTED_VALUE"""),58.5)</f>
        <v>58.5</v>
      </c>
      <c r="AA5" s="344">
        <f>IFERROR(__xludf.DUMMYFUNCTION("""COMPUTED_VALUE"""),30.0)</f>
        <v>30</v>
      </c>
      <c r="AB5" s="344">
        <f>IFERROR(__xludf.DUMMYFUNCTION("""COMPUTED_VALUE"""),15.0)</f>
        <v>15</v>
      </c>
      <c r="AC5" s="344">
        <f>IFERROR(__xludf.DUMMYFUNCTION("""COMPUTED_VALUE"""),12.2)</f>
        <v>12.2</v>
      </c>
      <c r="AD5" s="344">
        <f>IFERROR(__xludf.DUMMYFUNCTION("""COMPUTED_VALUE"""),5.9)</f>
        <v>5.9</v>
      </c>
      <c r="AE5" s="343">
        <f>IFERROR(__xludf.DUMMYFUNCTION("""COMPUTED_VALUE"""),40.7)</f>
        <v>40.7</v>
      </c>
      <c r="AF5" s="343">
        <f>IFERROR(__xludf.DUMMYFUNCTION("""COMPUTED_VALUE"""),2.04)</f>
        <v>2.04</v>
      </c>
      <c r="AG5" s="292" t="b">
        <f>IFERROR(__xludf.DUMMYFUNCTION("""COMPUTED_VALUE"""),FALSE)</f>
        <v>0</v>
      </c>
      <c r="AH5" s="292" t="b">
        <f>IFERROR(__xludf.DUMMYFUNCTION("""COMPUTED_VALUE"""),TRUE)</f>
        <v>1</v>
      </c>
      <c r="AI5" s="292" t="b">
        <f>IFERROR(__xludf.DUMMYFUNCTION("""COMPUTED_VALUE"""),FALSE)</f>
        <v>0</v>
      </c>
      <c r="AJ5" s="292" t="b">
        <f>IFERROR(__xludf.DUMMYFUNCTION("""COMPUTED_VALUE"""),FALSE)</f>
        <v>0</v>
      </c>
      <c r="AK5" s="292" t="b">
        <f>IFERROR(__xludf.DUMMYFUNCTION("""COMPUTED_VALUE"""),FALSE)</f>
        <v>0</v>
      </c>
      <c r="AL5" s="292" t="b">
        <f>IFERROR(__xludf.DUMMYFUNCTION("""COMPUTED_VALUE"""),FALSE)</f>
        <v>0</v>
      </c>
      <c r="AM5" s="292" t="b">
        <f>IFERROR(__xludf.DUMMYFUNCTION("""COMPUTED_VALUE"""),TRUE)</f>
        <v>1</v>
      </c>
      <c r="AN5" s="292" t="b">
        <f>IFERROR(__xludf.DUMMYFUNCTION("""COMPUTED_VALUE"""),FALSE)</f>
        <v>0</v>
      </c>
      <c r="AO5" s="292" t="str">
        <f>IFERROR(__xludf.DUMMYFUNCTION("""COMPUTED_VALUE"""),"FALSE")</f>
        <v>FALSE</v>
      </c>
      <c r="AP5" s="292" t="str">
        <f>IFERROR(__xludf.DUMMYFUNCTION("""COMPUTED_VALUE"""),"Chicken breast")</f>
        <v>Chicken breast</v>
      </c>
      <c r="AQ5" s="292" t="str">
        <f>IFERROR(__xludf.DUMMYFUNCTION("""COMPUTED_VALUE"""),"Chicken")</f>
        <v>Chicken</v>
      </c>
      <c r="AR5" s="292" t="str">
        <f>IFERROR(__xludf.DUMMYFUNCTION("""COMPUTED_VALUE"""),"Breast")</f>
        <v>Breast</v>
      </c>
      <c r="AS5" s="292" t="str">
        <f>IFERROR(__xludf.DUMMYFUNCTION("""COMPUTED_VALUE"""),"Cauliflower Mash")</f>
        <v>Cauliflower Mash</v>
      </c>
      <c r="AT5" s="292" t="str">
        <f>IFERROR(__xludf.DUMMYFUNCTION("""COMPUTED_VALUE"""),"Broccoli")</f>
        <v>Broccoli</v>
      </c>
      <c r="AU5" s="292" t="str">
        <f>IFERROR(__xludf.DUMMYFUNCTION("""COMPUTED_VALUE"""),"Creamy Sauce Base")</f>
        <v>Creamy Sauce Base</v>
      </c>
      <c r="AV5" s="292" t="str">
        <f>IFERROR(__xludf.DUMMYFUNCTION("""COMPUTED_VALUE"""),"Compound Butter")</f>
        <v>Compound Butter</v>
      </c>
      <c r="AW5" s="292" t="str">
        <f>IFERROR(__xludf.DUMMYFUNCTION("""COMPUTED_VALUE"""),"Year Round")</f>
        <v>Year Round</v>
      </c>
      <c r="AX5" s="292" t="str">
        <f>IFERROR(__xludf.DUMMYFUNCTION("""COMPUTED_VALUE"""),"Italian")</f>
        <v>Italian</v>
      </c>
      <c r="AY5" s="292"/>
      <c r="AZ5" s="292" t="str">
        <f>IFERROR(__xludf.DUMMYFUNCTION("""COMPUTED_VALUE"""),"2 CT")</f>
        <v>2 CT</v>
      </c>
      <c r="BA5" s="292" t="b">
        <f>IFERROR(__xludf.DUMMYFUNCTION("""COMPUTED_VALUE"""),FALSE)</f>
        <v>0</v>
      </c>
      <c r="BB5" s="342">
        <f>IFERROR(__xludf.DUMMYFUNCTION("""COMPUTED_VALUE"""),2.33)</f>
        <v>2.33</v>
      </c>
      <c r="BC5" s="342">
        <f>IFERROR(__xludf.DUMMYFUNCTION("""COMPUTED_VALUE"""),1.07)</f>
        <v>1.07</v>
      </c>
      <c r="BD5" s="342">
        <f>IFERROR(__xludf.DUMMYFUNCTION("""COMPUTED_VALUE"""),0.362)</f>
        <v>0.362</v>
      </c>
      <c r="BE5" s="342">
        <f>IFERROR(__xludf.DUMMYFUNCTION("""COMPUTED_VALUE"""),0.89)</f>
        <v>0.89</v>
      </c>
      <c r="BF5" s="296" t="str">
        <f>IFERROR(__xludf.DUMMYFUNCTION("""COMPUTED_VALUE"""),"#REF!")</f>
        <v>#REF!</v>
      </c>
      <c r="BG5" s="296" t="str">
        <f>IFERROR(__xludf.DUMMYFUNCTION("""COMPUTED_VALUE"""),"#REF!")</f>
        <v>#REF!</v>
      </c>
      <c r="BH5" s="296" t="str">
        <f>IFERROR(__xludf.DUMMYFUNCTION("""COMPUTED_VALUE"""),"#REF!")</f>
        <v>#REF!</v>
      </c>
      <c r="BI5" s="295">
        <f>IFERROR(__xludf.DUMMYFUNCTION("""COMPUTED_VALUE"""),160.0)</f>
        <v>160</v>
      </c>
      <c r="BJ5" s="295" t="str">
        <f>IFERROR(__xludf.DUMMYFUNCTION("""COMPUTED_VALUE"""),"FALSE")</f>
        <v>FALSE</v>
      </c>
      <c r="BK5" s="346">
        <f>IFERROR(__xludf.DUMMYFUNCTION("""COMPUTED_VALUE"""),3171.0)</f>
        <v>3171</v>
      </c>
      <c r="BL5" s="292" t="str">
        <f>IFERROR(__xludf.DUMMYFUNCTION("""COMPUTED_VALUE"""),"US")</f>
        <v>US</v>
      </c>
      <c r="BM5" s="292" t="str">
        <f>IFERROR(__xludf.DUMMYFUNCTION("""COMPUTED_VALUE"""),"Kyckling i citron- och kaprissås")</f>
        <v>Kyckling i citron- och kaprissås</v>
      </c>
      <c r="BN5" s="292"/>
      <c r="BO5" s="292"/>
      <c r="BP5" s="292"/>
      <c r="BQ5" s="292" t="str">
        <f>IFERROR(__xludf.DUMMYFUNCTION("""COMPUTED_VALUE"""),"Graveyard")</f>
        <v>Graveyard</v>
      </c>
      <c r="BR5" s="292" t="b">
        <f>IFERROR(__xludf.DUMMYFUNCTION("""COMPUTED_VALUE"""),FALSE)</f>
        <v>0</v>
      </c>
      <c r="BS5" s="292" t="b">
        <f>IFERROR(__xludf.DUMMYFUNCTION("""COMPUTED_VALUE"""),FALSE)</f>
        <v>0</v>
      </c>
      <c r="BT5" s="345">
        <f>IFERROR(__xludf.DUMMYFUNCTION("""COMPUTED_VALUE"""),857.0)</f>
        <v>857</v>
      </c>
      <c r="BU5" s="345">
        <f>IFERROR(__xludf.DUMMYFUNCTION("""COMPUTED_VALUE"""),206.0)</f>
        <v>206</v>
      </c>
      <c r="BV5" s="344">
        <f>IFERROR(__xludf.DUMMYFUNCTION("""COMPUTED_VALUE"""),15.8)</f>
        <v>15.8</v>
      </c>
      <c r="BW5" s="344">
        <f>IFERROR(__xludf.DUMMYFUNCTION("""COMPUTED_VALUE"""),8.1)</f>
        <v>8.1</v>
      </c>
    </row>
    <row r="6">
      <c r="A6" s="292" t="str">
        <f>IFERROR(__xludf.DUMMYFUNCTION("""COMPUTED_VALUE"""),"FE0031A")</f>
        <v>FE0031A</v>
      </c>
      <c r="B6" s="292" t="str">
        <f>IFERROR(__xludf.DUMMYFUNCTION("""COMPUTED_VALUE"""),"CON-40-143722-4")</f>
        <v>CON-40-143722-4</v>
      </c>
      <c r="C6" s="292" t="str">
        <f>IFERROR(__xludf.DUMMYFUNCTION("""COMPUTED_VALUE"""),"CON-00-147816-2")</f>
        <v>CON-00-147816-2</v>
      </c>
      <c r="D6" s="292" t="str">
        <f>IFERROR(__xludf.DUMMYFUNCTION("""COMPUTED_VALUE"""),"CON-00-136629-3")</f>
        <v>CON-00-136629-3</v>
      </c>
      <c r="E6" s="292" t="str">
        <f>IFERROR(__xludf.DUMMYFUNCTION("""COMPUTED_VALUE"""),"Vegan tomato risotto")</f>
        <v>Vegan tomato risotto</v>
      </c>
      <c r="F6" s="292" t="str">
        <f>IFERROR(__xludf.DUMMYFUNCTION("""COMPUTED_VALUE"""),"with grilled courgette and peppers, fresh basil and pine nuts")</f>
        <v>with grilled courgette and peppers, fresh basil and pine nuts</v>
      </c>
      <c r="G6" s="292" t="str">
        <f>IFERROR(__xludf.DUMMYFUNCTION("""COMPUTED_VALUE"""),"Vegan tomatenrisotto")</f>
        <v>Vegan tomatenrisotto</v>
      </c>
      <c r="H6" s="292" t="str">
        <f>IFERROR(__xludf.DUMMYFUNCTION("""COMPUTED_VALUE"""),"met gegrilde courgette en paprika, vers basilicum en pijnboompitten")</f>
        <v>met gegrilde courgette en paprika, vers basilicum en pijnboompitten</v>
      </c>
      <c r="I6" s="292"/>
      <c r="J6" s="292" t="str">
        <f>IFERROR(__xludf.DUMMYFUNCTION("""COMPUTED_VALUE"""),"Veganes Tomaten-Creme-Risotto")</f>
        <v>Veganes Tomaten-Creme-Risotto</v>
      </c>
      <c r="K6" s="292">
        <f>IFERROR(__xludf.DUMMYFUNCTION("""COMPUTED_VALUE"""),565021.0)</f>
        <v>565021</v>
      </c>
      <c r="L6" s="292" t="str">
        <f>IFERROR(__xludf.DUMMYFUNCTION("""COMPUTED_VALUE"""),"HF Tomatenrisotto 401g")</f>
        <v>HF Tomatenrisotto 401g</v>
      </c>
      <c r="M6" s="292" t="str">
        <f>IFERROR(__xludf.DUMMYFUNCTION("""COMPUTED_VALUE"""),"FA-NL Romige Tomatenrisotto (FE0031)")</f>
        <v>FA-NL Romige Tomatenrisotto (FE0031)</v>
      </c>
      <c r="N6" s="292" t="str">
        <f>IFERROR(__xludf.DUMMYFUNCTION("""COMPUTED_VALUE"""),"FA-NO Cremet tomatrisotto (FE0031)")</f>
        <v>FA-NO Cremet tomatrisotto (FE0031)</v>
      </c>
      <c r="O6" s="292" t="str">
        <f>IFERROR(__xludf.DUMMYFUNCTION("""COMPUTED_VALUE"""),"FA-DE Cremiges Tomaten-Risotto (FE0031)")</f>
        <v>FA-DE Cremiges Tomaten-Risotto (FE0031)</v>
      </c>
      <c r="P6" s="292" t="str">
        <f>IFERROR(__xludf.DUMMYFUNCTION("""COMPUTED_VALUE"""),"Graveyard")</f>
        <v>Graveyard</v>
      </c>
      <c r="Q6" s="292"/>
      <c r="R6" s="342">
        <f>IFERROR(__xludf.DUMMYFUNCTION("""COMPUTED_VALUE"""),3.92)</f>
        <v>3.92</v>
      </c>
      <c r="S6" s="298">
        <f>IFERROR(__xludf.DUMMYFUNCTION("""COMPUTED_VALUE"""),0.009861771306391477)</f>
        <v>0.009861771306</v>
      </c>
      <c r="T6" s="343">
        <f>IFERROR(__xludf.DUMMYFUNCTION("""COMPUTED_VALUE"""),3.418432601880878)</f>
        <v>3.418432602</v>
      </c>
      <c r="U6" s="292">
        <f>IFERROR(__xludf.DUMMYFUNCTION("""COMPUTED_VALUE"""),9369.0)</f>
        <v>9369</v>
      </c>
      <c r="V6" s="292"/>
      <c r="W6" s="292" t="b">
        <f>IFERROR(__xludf.DUMMYFUNCTION("""COMPUTED_VALUE"""),TRUE)</f>
        <v>1</v>
      </c>
      <c r="X6" s="345">
        <f>IFERROR(__xludf.DUMMYFUNCTION("""COMPUTED_VALUE"""),401.0)</f>
        <v>401</v>
      </c>
      <c r="Y6" s="344">
        <f>IFERROR(__xludf.DUMMYFUNCTION("""COMPUTED_VALUE"""),541.0)</f>
        <v>541</v>
      </c>
      <c r="Z6" s="343">
        <f>IFERROR(__xludf.DUMMYFUNCTION("""COMPUTED_VALUE"""),26.9)</f>
        <v>26.9</v>
      </c>
      <c r="AA6" s="344">
        <f>IFERROR(__xludf.DUMMYFUNCTION("""COMPUTED_VALUE"""),3.0)</f>
        <v>3</v>
      </c>
      <c r="AB6" s="344">
        <f>IFERROR(__xludf.DUMMYFUNCTION("""COMPUTED_VALUE"""),60.0)</f>
        <v>60</v>
      </c>
      <c r="AC6" s="344">
        <f>IFERROR(__xludf.DUMMYFUNCTION("""COMPUTED_VALUE"""),8.8)</f>
        <v>8.8</v>
      </c>
      <c r="AD6" s="344">
        <f>IFERROR(__xludf.DUMMYFUNCTION("""COMPUTED_VALUE"""),5.4)</f>
        <v>5.4</v>
      </c>
      <c r="AE6" s="343">
        <f>IFERROR(__xludf.DUMMYFUNCTION("""COMPUTED_VALUE"""),9.8)</f>
        <v>9.8</v>
      </c>
      <c r="AF6" s="343">
        <f>IFERROR(__xludf.DUMMYFUNCTION("""COMPUTED_VALUE"""),1.92)</f>
        <v>1.92</v>
      </c>
      <c r="AG6" s="292" t="b">
        <f>IFERROR(__xludf.DUMMYFUNCTION("""COMPUTED_VALUE"""),FALSE)</f>
        <v>0</v>
      </c>
      <c r="AH6" s="292" t="b">
        <f>IFERROR(__xludf.DUMMYFUNCTION("""COMPUTED_VALUE"""),FALSE)</f>
        <v>0</v>
      </c>
      <c r="AI6" s="292" t="b">
        <f>IFERROR(__xludf.DUMMYFUNCTION("""COMPUTED_VALUE"""),TRUE)</f>
        <v>1</v>
      </c>
      <c r="AJ6" s="292" t="b">
        <f>IFERROR(__xludf.DUMMYFUNCTION("""COMPUTED_VALUE"""),FALSE)</f>
        <v>0</v>
      </c>
      <c r="AK6" s="292" t="b">
        <f>IFERROR(__xludf.DUMMYFUNCTION("""COMPUTED_VALUE"""),FALSE)</f>
        <v>0</v>
      </c>
      <c r="AL6" s="292" t="b">
        <f>IFERROR(__xludf.DUMMYFUNCTION("""COMPUTED_VALUE"""),TRUE)</f>
        <v>1</v>
      </c>
      <c r="AM6" s="292" t="b">
        <f>IFERROR(__xludf.DUMMYFUNCTION("""COMPUTED_VALUE"""),FALSE)</f>
        <v>0</v>
      </c>
      <c r="AN6" s="292" t="b">
        <f>IFERROR(__xludf.DUMMYFUNCTION("""COMPUTED_VALUE"""),TRUE)</f>
        <v>1</v>
      </c>
      <c r="AO6" s="292" t="str">
        <f>IFERROR(__xludf.DUMMYFUNCTION("""COMPUTED_VALUE"""),"FALSE")</f>
        <v>FALSE</v>
      </c>
      <c r="AP6" s="292" t="str">
        <f>IFERROR(__xludf.DUMMYFUNCTION("""COMPUTED_VALUE"""),"Vegan")</f>
        <v>Vegan</v>
      </c>
      <c r="AQ6" s="292" t="str">
        <f>IFERROR(__xludf.DUMMYFUNCTION("""COMPUTED_VALUE"""),"Vegan")</f>
        <v>Vegan</v>
      </c>
      <c r="AR6" s="292" t="str">
        <f>IFERROR(__xludf.DUMMYFUNCTION("""COMPUTED_VALUE"""),"Risotto")</f>
        <v>Risotto</v>
      </c>
      <c r="AS6" s="292" t="str">
        <f>IFERROR(__xludf.DUMMYFUNCTION("""COMPUTED_VALUE"""),"Risotto")</f>
        <v>Risotto</v>
      </c>
      <c r="AT6" s="292" t="str">
        <f>IFERROR(__xludf.DUMMYFUNCTION("""COMPUTED_VALUE"""),"Cherry Tomatoes")</f>
        <v>Cherry Tomatoes</v>
      </c>
      <c r="AU6" s="292" t="str">
        <f>IFERROR(__xludf.DUMMYFUNCTION("""COMPUTED_VALUE"""),"Zucchini Diced")</f>
        <v>Zucchini Diced</v>
      </c>
      <c r="AV6" s="292" t="str">
        <f>IFERROR(__xludf.DUMMYFUNCTION("""COMPUTED_VALUE"""),"Pine nuts")</f>
        <v>Pine nuts</v>
      </c>
      <c r="AW6" s="292" t="str">
        <f>IFERROR(__xludf.DUMMYFUNCTION("""COMPUTED_VALUE"""),"Year Round")</f>
        <v>Year Round</v>
      </c>
      <c r="AX6" s="292" t="str">
        <f>IFERROR(__xludf.DUMMYFUNCTION("""COMPUTED_VALUE"""),"Italian")</f>
        <v>Italian</v>
      </c>
      <c r="AY6" s="292"/>
      <c r="AZ6" s="292" t="str">
        <f>IFERROR(__xludf.DUMMYFUNCTION("""COMPUTED_VALUE"""),"3 CT")</f>
        <v>3 CT</v>
      </c>
      <c r="BA6" s="292" t="b">
        <f>IFERROR(__xludf.DUMMYFUNCTION("""COMPUTED_VALUE"""),TRUE)</f>
        <v>1</v>
      </c>
      <c r="BB6" s="342">
        <f>IFERROR(__xludf.DUMMYFUNCTION("""COMPUTED_VALUE"""),1.9)</f>
        <v>1.9</v>
      </c>
      <c r="BC6" s="342">
        <f>IFERROR(__xludf.DUMMYFUNCTION("""COMPUTED_VALUE"""),0.79)</f>
        <v>0.79</v>
      </c>
      <c r="BD6" s="342">
        <f>IFERROR(__xludf.DUMMYFUNCTION("""COMPUTED_VALUE"""),0.392)</f>
        <v>0.392</v>
      </c>
      <c r="BE6" s="342">
        <f>IFERROR(__xludf.DUMMYFUNCTION("""COMPUTED_VALUE"""),0.89)</f>
        <v>0.89</v>
      </c>
      <c r="BF6" s="296" t="str">
        <f>IFERROR(__xludf.DUMMYFUNCTION("""COMPUTED_VALUE"""),"#REF!")</f>
        <v>#REF!</v>
      </c>
      <c r="BG6" s="296" t="str">
        <f>IFERROR(__xludf.DUMMYFUNCTION("""COMPUTED_VALUE"""),"#REF!")</f>
        <v>#REF!</v>
      </c>
      <c r="BH6" s="296" t="str">
        <f>IFERROR(__xludf.DUMMYFUNCTION("""COMPUTED_VALUE"""),"#REF!")</f>
        <v>#REF!</v>
      </c>
      <c r="BI6" s="295">
        <f>IFERROR(__xludf.DUMMYFUNCTION("""COMPUTED_VALUE"""),170.0)</f>
        <v>170</v>
      </c>
      <c r="BJ6" s="292"/>
      <c r="BK6" s="346">
        <f>IFERROR(__xludf.DUMMYFUNCTION("""COMPUTED_VALUE"""),2263.0)</f>
        <v>2263</v>
      </c>
      <c r="BL6" s="292"/>
      <c r="BM6" s="292"/>
      <c r="BN6" s="292"/>
      <c r="BO6" s="292"/>
      <c r="BP6" s="292"/>
      <c r="BQ6" s="292" t="str">
        <f>IFERROR(__xludf.DUMMYFUNCTION("""COMPUTED_VALUE"""),"Graveyard")</f>
        <v>Graveyard</v>
      </c>
      <c r="BR6" s="292" t="b">
        <f>IFERROR(__xludf.DUMMYFUNCTION("""COMPUTED_VALUE"""),FALSE)</f>
        <v>0</v>
      </c>
      <c r="BS6" s="292" t="b">
        <f>IFERROR(__xludf.DUMMYFUNCTION("""COMPUTED_VALUE"""),FALSE)</f>
        <v>0</v>
      </c>
      <c r="BT6" s="345">
        <f>IFERROR(__xludf.DUMMYFUNCTION("""COMPUTED_VALUE"""),564.3391521197008)</f>
        <v>564.3391521</v>
      </c>
      <c r="BU6" s="345">
        <f>IFERROR(__xludf.DUMMYFUNCTION("""COMPUTED_VALUE"""),134.91271820448878)</f>
        <v>134.9127182</v>
      </c>
      <c r="BV6" s="344">
        <f>IFERROR(__xludf.DUMMYFUNCTION("""COMPUTED_VALUE"""),6.708229426433915)</f>
        <v>6.708229426</v>
      </c>
      <c r="BW6" s="344">
        <f>IFERROR(__xludf.DUMMYFUNCTION("""COMPUTED_VALUE"""),0.7481296758104738)</f>
        <v>0.7481296758</v>
      </c>
    </row>
    <row r="7">
      <c r="A7" s="292" t="str">
        <f>IFERROR(__xludf.DUMMYFUNCTION("""COMPUTED_VALUE"""),"FE0031B")</f>
        <v>FE0031B</v>
      </c>
      <c r="B7" s="292" t="str">
        <f>IFERROR(__xludf.DUMMYFUNCTION("""COMPUTED_VALUE"""),"CON-40-143722-4")</f>
        <v>CON-40-143722-4</v>
      </c>
      <c r="C7" s="292" t="str">
        <f>IFERROR(__xludf.DUMMYFUNCTION("""COMPUTED_VALUE"""),"CON-00-147816-2")</f>
        <v>CON-00-147816-2</v>
      </c>
      <c r="D7" s="292" t="str">
        <f>IFERROR(__xludf.DUMMYFUNCTION("""COMPUTED_VALUE"""),"CON-00-136629-3")</f>
        <v>CON-00-136629-3</v>
      </c>
      <c r="E7" s="292" t="str">
        <f>IFERROR(__xludf.DUMMYFUNCTION("""COMPUTED_VALUE"""),"Creamy tomato risotto")</f>
        <v>Creamy tomato risotto</v>
      </c>
      <c r="F7" s="292" t="str">
        <f>IFERROR(__xludf.DUMMYFUNCTION("""COMPUTED_VALUE"""),"with grilled courgette and peppers, fresh basil and pine nuts")</f>
        <v>with grilled courgette and peppers, fresh basil and pine nuts</v>
      </c>
      <c r="G7" s="292" t="str">
        <f>IFERROR(__xludf.DUMMYFUNCTION("""COMPUTED_VALUE"""),"Romige tomatenrisotto")</f>
        <v>Romige tomatenrisotto</v>
      </c>
      <c r="H7" s="292" t="str">
        <f>IFERROR(__xludf.DUMMYFUNCTION("""COMPUTED_VALUE"""),"met gegrilde courgette en paprika, vers basilicum en pijnboompitten")</f>
        <v>met gegrilde courgette en paprika, vers basilicum en pijnboompitten</v>
      </c>
      <c r="I7" s="292" t="str">
        <f>IFERROR(__xludf.DUMMYFUNCTION("""COMPUTED_VALUE"""),"Cremet tomatrisotto")</f>
        <v>Cremet tomatrisotto</v>
      </c>
      <c r="J7" s="292" t="str">
        <f>IFERROR(__xludf.DUMMYFUNCTION("""COMPUTED_VALUE"""),"Cremiges Tomaten-Risotto")</f>
        <v>Cremiges Tomaten-Risotto</v>
      </c>
      <c r="K7" s="292">
        <f>IFERROR(__xludf.DUMMYFUNCTION("""COMPUTED_VALUE"""),565021.0)</f>
        <v>565021</v>
      </c>
      <c r="L7" s="292" t="str">
        <f>IFERROR(__xludf.DUMMYFUNCTION("""COMPUTED_VALUE"""),"Tomatenrisotto 401g")</f>
        <v>Tomatenrisotto 401g</v>
      </c>
      <c r="M7" s="292" t="str">
        <f>IFERROR(__xludf.DUMMYFUNCTION("""COMPUTED_VALUE"""),"FA-NL Romige Tomatenrisotto (FE0031)")</f>
        <v>FA-NL Romige Tomatenrisotto (FE0031)</v>
      </c>
      <c r="N7" s="292" t="str">
        <f>IFERROR(__xludf.DUMMYFUNCTION("""COMPUTED_VALUE"""),"FA-NO Cremet tomatrisotto (FE0031)")</f>
        <v>FA-NO Cremet tomatrisotto (FE0031)</v>
      </c>
      <c r="O7" s="292" t="str">
        <f>IFERROR(__xludf.DUMMYFUNCTION("""COMPUTED_VALUE"""),"FA-DE Cremiges Tomaten-Risotto (FE0031)")</f>
        <v>FA-DE Cremiges Tomaten-Risotto (FE0031)</v>
      </c>
      <c r="P7" s="292" t="str">
        <f>IFERROR(__xludf.DUMMYFUNCTION("""COMPUTED_VALUE"""),"Graveyard")</f>
        <v>Graveyard</v>
      </c>
      <c r="Q7" s="292" t="str">
        <f>IFERROR(__xludf.DUMMYFUNCTION("""COMPUTED_VALUE"""),"rework -- added cream cheese, and cheese (vegetarian, instead of vegan)")</f>
        <v>rework -- added cream cheese, and cheese (vegetarian, instead of vegan)</v>
      </c>
      <c r="R7" s="342">
        <f>IFERROR(__xludf.DUMMYFUNCTION("""COMPUTED_VALUE"""),3.9400000000000004)</f>
        <v>3.94</v>
      </c>
      <c r="S7" s="292"/>
      <c r="T7" s="292"/>
      <c r="U7" s="292"/>
      <c r="V7" s="292"/>
      <c r="W7" s="292" t="b">
        <f>IFERROR(__xludf.DUMMYFUNCTION("""COMPUTED_VALUE"""),TRUE)</f>
        <v>1</v>
      </c>
      <c r="X7" s="345">
        <f>IFERROR(__xludf.DUMMYFUNCTION("""COMPUTED_VALUE"""),401.0)</f>
        <v>401</v>
      </c>
      <c r="Y7" s="344">
        <f>IFERROR(__xludf.DUMMYFUNCTION("""COMPUTED_VALUE"""),564.0)</f>
        <v>564</v>
      </c>
      <c r="Z7" s="343">
        <f>IFERROR(__xludf.DUMMYFUNCTION("""COMPUTED_VALUE"""),29.4)</f>
        <v>29.4</v>
      </c>
      <c r="AA7" s="344">
        <f>IFERROR(__xludf.DUMMYFUNCTION("""COMPUTED_VALUE"""),5.2)</f>
        <v>5.2</v>
      </c>
      <c r="AB7" s="344">
        <f>IFERROR(__xludf.DUMMYFUNCTION("""COMPUTED_VALUE"""),59.3)</f>
        <v>59.3</v>
      </c>
      <c r="AC7" s="344">
        <f>IFERROR(__xludf.DUMMYFUNCTION("""COMPUTED_VALUE"""),9.4)</f>
        <v>9.4</v>
      </c>
      <c r="AD7" s="344">
        <f>IFERROR(__xludf.DUMMYFUNCTION("""COMPUTED_VALUE"""),5.5)</f>
        <v>5.5</v>
      </c>
      <c r="AE7" s="343">
        <f>IFERROR(__xludf.DUMMYFUNCTION("""COMPUTED_VALUE"""),12.2)</f>
        <v>12.2</v>
      </c>
      <c r="AF7" s="343">
        <f>IFERROR(__xludf.DUMMYFUNCTION("""COMPUTED_VALUE"""),1.92)</f>
        <v>1.92</v>
      </c>
      <c r="AG7" s="292" t="b">
        <f>IFERROR(__xludf.DUMMYFUNCTION("""COMPUTED_VALUE"""),FALSE)</f>
        <v>0</v>
      </c>
      <c r="AH7" s="292" t="b">
        <f>IFERROR(__xludf.DUMMYFUNCTION("""COMPUTED_VALUE"""),FALSE)</f>
        <v>0</v>
      </c>
      <c r="AI7" s="292" t="b">
        <f>IFERROR(__xludf.DUMMYFUNCTION("""COMPUTED_VALUE"""),FALSE)</f>
        <v>0</v>
      </c>
      <c r="AJ7" s="292" t="b">
        <f>IFERROR(__xludf.DUMMYFUNCTION("""COMPUTED_VALUE"""),FALSE)</f>
        <v>0</v>
      </c>
      <c r="AK7" s="292" t="b">
        <f>IFERROR(__xludf.DUMMYFUNCTION("""COMPUTED_VALUE"""),TRUE)</f>
        <v>1</v>
      </c>
      <c r="AL7" s="292" t="b">
        <f>IFERROR(__xludf.DUMMYFUNCTION("""COMPUTED_VALUE"""),FALSE)</f>
        <v>0</v>
      </c>
      <c r="AM7" s="292" t="b">
        <f>IFERROR(__xludf.DUMMYFUNCTION("""COMPUTED_VALUE"""),FALSE)</f>
        <v>0</v>
      </c>
      <c r="AN7" s="292" t="b">
        <f>IFERROR(__xludf.DUMMYFUNCTION("""COMPUTED_VALUE"""),FALSE)</f>
        <v>0</v>
      </c>
      <c r="AO7" s="292" t="str">
        <f>IFERROR(__xludf.DUMMYFUNCTION("""COMPUTED_VALUE"""),"FALSE")</f>
        <v>FALSE</v>
      </c>
      <c r="AP7" s="292" t="str">
        <f>IFERROR(__xludf.DUMMYFUNCTION("""COMPUTED_VALUE"""),"Vegetarian")</f>
        <v>Vegetarian</v>
      </c>
      <c r="AQ7" s="292" t="str">
        <f>IFERROR(__xludf.DUMMYFUNCTION("""COMPUTED_VALUE"""),"Vegetarian")</f>
        <v>Vegetarian</v>
      </c>
      <c r="AR7" s="292" t="str">
        <f>IFERROR(__xludf.DUMMYFUNCTION("""COMPUTED_VALUE"""),"Risotto")</f>
        <v>Risotto</v>
      </c>
      <c r="AS7" s="292" t="str">
        <f>IFERROR(__xludf.DUMMYFUNCTION("""COMPUTED_VALUE"""),"Risotto")</f>
        <v>Risotto</v>
      </c>
      <c r="AT7" s="292" t="str">
        <f>IFERROR(__xludf.DUMMYFUNCTION("""COMPUTED_VALUE"""),"Cherry Tomatoes")</f>
        <v>Cherry Tomatoes</v>
      </c>
      <c r="AU7" s="292" t="str">
        <f>IFERROR(__xludf.DUMMYFUNCTION("""COMPUTED_VALUE"""),"Zucchini Diced")</f>
        <v>Zucchini Diced</v>
      </c>
      <c r="AV7" s="292" t="str">
        <f>IFERROR(__xludf.DUMMYFUNCTION("""COMPUTED_VALUE"""),"Pine nuts")</f>
        <v>Pine nuts</v>
      </c>
      <c r="AW7" s="292" t="str">
        <f>IFERROR(__xludf.DUMMYFUNCTION("""COMPUTED_VALUE"""),"Year Round")</f>
        <v>Year Round</v>
      </c>
      <c r="AX7" s="292" t="str">
        <f>IFERROR(__xludf.DUMMYFUNCTION("""COMPUTED_VALUE"""),"Italian")</f>
        <v>Italian</v>
      </c>
      <c r="AY7" s="292"/>
      <c r="AZ7" s="292" t="str">
        <f>IFERROR(__xludf.DUMMYFUNCTION("""COMPUTED_VALUE"""),"2 CT")</f>
        <v>2 CT</v>
      </c>
      <c r="BA7" s="292" t="b">
        <f>IFERROR(__xludf.DUMMYFUNCTION("""COMPUTED_VALUE"""),TRUE)</f>
        <v>1</v>
      </c>
      <c r="BB7" s="342">
        <f>IFERROR(__xludf.DUMMYFUNCTION("""COMPUTED_VALUE"""),1.74)</f>
        <v>1.74</v>
      </c>
      <c r="BC7" s="342">
        <f>IFERROR(__xludf.DUMMYFUNCTION("""COMPUTED_VALUE"""),0.92)</f>
        <v>0.92</v>
      </c>
      <c r="BD7" s="342">
        <f>IFERROR(__xludf.DUMMYFUNCTION("""COMPUTED_VALUE"""),0.39)</f>
        <v>0.39</v>
      </c>
      <c r="BE7" s="342">
        <f>IFERROR(__xludf.DUMMYFUNCTION("""COMPUTED_VALUE"""),0.89)</f>
        <v>0.89</v>
      </c>
      <c r="BF7" s="296">
        <f>IFERROR(__xludf.DUMMYFUNCTION("""COMPUTED_VALUE"""),2.7148288098666966)</f>
        <v>2.71482881</v>
      </c>
      <c r="BG7" s="296">
        <f>IFERROR(__xludf.DUMMYFUNCTION("""COMPUTED_VALUE"""),3.3908496732026143)</f>
        <v>3.390849673</v>
      </c>
      <c r="BH7" s="296">
        <f>IFERROR(__xludf.DUMMYFUNCTION("""COMPUTED_VALUE"""),2.805860805860805)</f>
        <v>2.805860806</v>
      </c>
      <c r="BI7" s="295">
        <f>IFERROR(__xludf.DUMMYFUNCTION("""COMPUTED_VALUE"""),169.0)</f>
        <v>169</v>
      </c>
      <c r="BJ7" s="295" t="str">
        <f>IFERROR(__xludf.DUMMYFUNCTION("""COMPUTED_VALUE"""),"FALSE")</f>
        <v>FALSE</v>
      </c>
      <c r="BK7" s="346">
        <f>IFERROR(__xludf.DUMMYFUNCTION("""COMPUTED_VALUE"""),2357.0)</f>
        <v>2357</v>
      </c>
      <c r="BL7" s="292" t="str">
        <f>IFERROR(__xludf.DUMMYFUNCTION("""COMPUTED_VALUE"""),"US")</f>
        <v>US</v>
      </c>
      <c r="BM7" s="292" t="str">
        <f>IFERROR(__xludf.DUMMYFUNCTION("""COMPUTED_VALUE"""),"Krämig tomatrisotto")</f>
        <v>Krämig tomatrisotto</v>
      </c>
      <c r="BN7" s="343">
        <f>IFERROR(__xludf.DUMMYFUNCTION("""COMPUTED_VALUE"""),2.9166666666666665)</f>
        <v>2.916666667</v>
      </c>
      <c r="BO7" s="343">
        <f>IFERROR(__xludf.DUMMYFUNCTION("""COMPUTED_VALUE"""),2.511111111111111)</f>
        <v>2.511111111</v>
      </c>
      <c r="BP7" s="292"/>
      <c r="BQ7" s="292" t="str">
        <f>IFERROR(__xludf.DUMMYFUNCTION("""COMPUTED_VALUE"""),"Active")</f>
        <v>Active</v>
      </c>
      <c r="BR7" s="344" t="b">
        <f>IFERROR(__xludf.DUMMYFUNCTION("""COMPUTED_VALUE"""),FALSE)</f>
        <v>0</v>
      </c>
      <c r="BS7" s="292" t="b">
        <f>IFERROR(__xludf.DUMMYFUNCTION("""COMPUTED_VALUE"""),FALSE)</f>
        <v>0</v>
      </c>
      <c r="BT7" s="345">
        <f>IFERROR(__xludf.DUMMYFUNCTION("""COMPUTED_VALUE"""),588.0)</f>
        <v>588</v>
      </c>
      <c r="BU7" s="345">
        <f>IFERROR(__xludf.DUMMYFUNCTION("""COMPUTED_VALUE"""),141.0)</f>
        <v>141</v>
      </c>
      <c r="BV7" s="344">
        <f>IFERROR(__xludf.DUMMYFUNCTION("""COMPUTED_VALUE"""),7.3)</f>
        <v>7.3</v>
      </c>
      <c r="BW7" s="344">
        <f>IFERROR(__xludf.DUMMYFUNCTION("""COMPUTED_VALUE"""),1.3)</f>
        <v>1.3</v>
      </c>
    </row>
    <row r="8">
      <c r="A8" s="292" t="str">
        <f>IFERROR(__xludf.DUMMYFUNCTION("""COMPUTED_VALUE"""),"FE0035B")</f>
        <v>FE0035B</v>
      </c>
      <c r="B8" s="292" t="str">
        <f>IFERROR(__xludf.DUMMYFUNCTION("""COMPUTED_VALUE"""),"CON-40-143754-4")</f>
        <v>CON-40-143754-4</v>
      </c>
      <c r="C8" s="292" t="str">
        <f>IFERROR(__xludf.DUMMYFUNCTION("""COMPUTED_VALUE"""),"CON-00-147813-2")</f>
        <v>CON-00-147813-2</v>
      </c>
      <c r="D8" s="292" t="str">
        <f>IFERROR(__xludf.DUMMYFUNCTION("""COMPUTED_VALUE"""),"CON-00-136630-3")</f>
        <v>CON-00-136630-3</v>
      </c>
      <c r="E8" s="292" t="str">
        <f>IFERROR(__xludf.DUMMYFUNCTION("""COMPUTED_VALUE"""),"Salmon with pesto")</f>
        <v>Salmon with pesto</v>
      </c>
      <c r="F8" s="292" t="str">
        <f>IFERROR(__xludf.DUMMYFUNCTION("""COMPUTED_VALUE"""),"with creamy spinach and green beans in tomato butter")</f>
        <v>with creamy spinach and green beans in tomato butter</v>
      </c>
      <c r="G8" s="292" t="str">
        <f>IFERROR(__xludf.DUMMYFUNCTION("""COMPUTED_VALUE"""),"Zalm met pesto")</f>
        <v>Zalm met pesto</v>
      </c>
      <c r="H8" s="292" t="str">
        <f>IFERROR(__xludf.DUMMYFUNCTION("""COMPUTED_VALUE"""),"met romige spinazie en sperziebonen in tomatenboter")</f>
        <v>met romige spinazie en sperziebonen in tomatenboter</v>
      </c>
      <c r="I8" s="292"/>
      <c r="J8" s="292" t="str">
        <f>IFERROR(__xludf.DUMMYFUNCTION("""COMPUTED_VALUE"""),"Lachs mit grünem Pesto")</f>
        <v>Lachs mit grünem Pesto</v>
      </c>
      <c r="K8" s="292">
        <f>IFERROR(__xludf.DUMMYFUNCTION("""COMPUTED_VALUE"""),565022.0)</f>
        <v>565022</v>
      </c>
      <c r="L8" s="292" t="str">
        <f>IFERROR(__xludf.DUMMYFUNCTION("""COMPUTED_VALUE"""),"HF Zalm met pesto 335g")</f>
        <v>HF Zalm met pesto 335g</v>
      </c>
      <c r="M8" s="292" t="str">
        <f>IFERROR(__xludf.DUMMYFUNCTION("""COMPUTED_VALUE"""),"FA-NL Zalm met pesto [FE0035]")</f>
        <v>FA-NL Zalm met pesto [FE0035]</v>
      </c>
      <c r="N8" s="292" t="str">
        <f>IFERROR(__xludf.DUMMYFUNCTION("""COMPUTED_VALUE"""),"FA-NO Laks med pesto (FE0035)")</f>
        <v>FA-NO Laks med pesto (FE0035)</v>
      </c>
      <c r="O8" s="292" t="str">
        <f>IFERROR(__xludf.DUMMYFUNCTION("""COMPUTED_VALUE"""),"FA-DE Lachs mit grünem Pesto (FE0035)")</f>
        <v>FA-DE Lachs mit grünem Pesto (FE0035)</v>
      </c>
      <c r="P8" s="292" t="str">
        <f>IFERROR(__xludf.DUMMYFUNCTION("""COMPUTED_VALUE"""),"Graveyard")</f>
        <v>Graveyard</v>
      </c>
      <c r="Q8" s="292"/>
      <c r="R8" s="342">
        <f>IFERROR(__xludf.DUMMYFUNCTION("""COMPUTED_VALUE"""),6.39)</f>
        <v>6.39</v>
      </c>
      <c r="S8" s="298">
        <f>IFERROR(__xludf.DUMMYFUNCTION("""COMPUTED_VALUE"""),0.02487618491769906)</f>
        <v>0.02487618492</v>
      </c>
      <c r="T8" s="343">
        <f>IFERROR(__xludf.DUMMYFUNCTION("""COMPUTED_VALUE"""),3.6498667554963364)</f>
        <v>3.649866755</v>
      </c>
      <c r="U8" s="292">
        <f>IFERROR(__xludf.DUMMYFUNCTION("""COMPUTED_VALUE"""),39635.0)</f>
        <v>39635</v>
      </c>
      <c r="V8" s="292"/>
      <c r="W8" s="292" t="b">
        <f>IFERROR(__xludf.DUMMYFUNCTION("""COMPUTED_VALUE"""),TRUE)</f>
        <v>1</v>
      </c>
      <c r="X8" s="345">
        <f>IFERROR(__xludf.DUMMYFUNCTION("""COMPUTED_VALUE"""),335.0)</f>
        <v>335</v>
      </c>
      <c r="Y8" s="344">
        <f>IFERROR(__xludf.DUMMYFUNCTION("""COMPUTED_VALUE"""),714.0)</f>
        <v>714</v>
      </c>
      <c r="Z8" s="343">
        <f>IFERROR(__xludf.DUMMYFUNCTION("""COMPUTED_VALUE"""),57.0)</f>
        <v>57</v>
      </c>
      <c r="AA8" s="344">
        <f>IFERROR(__xludf.DUMMYFUNCTION("""COMPUTED_VALUE"""),20.1)</f>
        <v>20.1</v>
      </c>
      <c r="AB8" s="344">
        <f>IFERROR(__xludf.DUMMYFUNCTION("""COMPUTED_VALUE"""),9.0)</f>
        <v>9</v>
      </c>
      <c r="AC8" s="344">
        <f>IFERROR(__xludf.DUMMYFUNCTION("""COMPUTED_VALUE"""),5.4)</f>
        <v>5.4</v>
      </c>
      <c r="AD8" s="344">
        <f>IFERROR(__xludf.DUMMYFUNCTION("""COMPUTED_VALUE"""),5.7)</f>
        <v>5.7</v>
      </c>
      <c r="AE8" s="343">
        <f>IFERROR(__xludf.DUMMYFUNCTION("""COMPUTED_VALUE"""),37.9)</f>
        <v>37.9</v>
      </c>
      <c r="AF8" s="343">
        <f>IFERROR(__xludf.DUMMYFUNCTION("""COMPUTED_VALUE"""),1.5)</f>
        <v>1.5</v>
      </c>
      <c r="AG8" s="292" t="b">
        <f>IFERROR(__xludf.DUMMYFUNCTION("""COMPUTED_VALUE"""),FALSE)</f>
        <v>0</v>
      </c>
      <c r="AH8" s="292" t="b">
        <f>IFERROR(__xludf.DUMMYFUNCTION("""COMPUTED_VALUE"""),TRUE)</f>
        <v>1</v>
      </c>
      <c r="AI8" s="292" t="b">
        <f>IFERROR(__xludf.DUMMYFUNCTION("""COMPUTED_VALUE"""),FALSE)</f>
        <v>0</v>
      </c>
      <c r="AJ8" s="292" t="b">
        <f>IFERROR(__xludf.DUMMYFUNCTION("""COMPUTED_VALUE"""),FALSE)</f>
        <v>0</v>
      </c>
      <c r="AK8" s="292" t="b">
        <f>IFERROR(__xludf.DUMMYFUNCTION("""COMPUTED_VALUE"""),FALSE)</f>
        <v>0</v>
      </c>
      <c r="AL8" s="292" t="b">
        <f>IFERROR(__xludf.DUMMYFUNCTION("""COMPUTED_VALUE"""),FALSE)</f>
        <v>0</v>
      </c>
      <c r="AM8" s="292" t="b">
        <f>IFERROR(__xludf.DUMMYFUNCTION("""COMPUTED_VALUE"""),TRUE)</f>
        <v>1</v>
      </c>
      <c r="AN8" s="292" t="b">
        <f>IFERROR(__xludf.DUMMYFUNCTION("""COMPUTED_VALUE"""),FALSE)</f>
        <v>0</v>
      </c>
      <c r="AO8" s="292" t="str">
        <f>IFERROR(__xludf.DUMMYFUNCTION("""COMPUTED_VALUE"""),"FALSE")</f>
        <v>FALSE</v>
      </c>
      <c r="AP8" s="292" t="str">
        <f>IFERROR(__xludf.DUMMYFUNCTION("""COMPUTED_VALUE"""),"Salmon")</f>
        <v>Salmon</v>
      </c>
      <c r="AQ8" s="292" t="str">
        <f>IFERROR(__xludf.DUMMYFUNCTION("""COMPUTED_VALUE"""),"Salmon")</f>
        <v>Salmon</v>
      </c>
      <c r="AR8" s="292" t="str">
        <f>IFERROR(__xludf.DUMMYFUNCTION("""COMPUTED_VALUE"""),"Filet")</f>
        <v>Filet</v>
      </c>
      <c r="AS8" s="292" t="str">
        <f>IFERROR(__xludf.DUMMYFUNCTION("""COMPUTED_VALUE"""),"Spinach")</f>
        <v>Spinach</v>
      </c>
      <c r="AT8" s="292" t="str">
        <f>IFERROR(__xludf.DUMMYFUNCTION("""COMPUTED_VALUE"""),"Green Beans")</f>
        <v>Green Beans</v>
      </c>
      <c r="AU8" s="292" t="str">
        <f>IFERROR(__xludf.DUMMYFUNCTION("""COMPUTED_VALUE"""),"Pesto")</f>
        <v>Pesto</v>
      </c>
      <c r="AV8" s="292" t="str">
        <f>IFERROR(__xludf.DUMMYFUNCTION("""COMPUTED_VALUE"""),"Compound Butter")</f>
        <v>Compound Butter</v>
      </c>
      <c r="AW8" s="292" t="str">
        <f>IFERROR(__xludf.DUMMYFUNCTION("""COMPUTED_VALUE"""),"Year Round")</f>
        <v>Year Round</v>
      </c>
      <c r="AX8" s="292" t="str">
        <f>IFERROR(__xludf.DUMMYFUNCTION("""COMPUTED_VALUE"""),"Italian")</f>
        <v>Italian</v>
      </c>
      <c r="AY8" s="292"/>
      <c r="AZ8" s="292" t="str">
        <f>IFERROR(__xludf.DUMMYFUNCTION("""COMPUTED_VALUE"""),"2 CT")</f>
        <v>2 CT</v>
      </c>
      <c r="BA8" s="292" t="b">
        <f>IFERROR(__xludf.DUMMYFUNCTION("""COMPUTED_VALUE"""),FALSE)</f>
        <v>0</v>
      </c>
      <c r="BB8" s="342">
        <f>IFERROR(__xludf.DUMMYFUNCTION("""COMPUTED_VALUE"""),4.1)</f>
        <v>4.1</v>
      </c>
      <c r="BC8" s="342">
        <f>IFERROR(__xludf.DUMMYFUNCTION("""COMPUTED_VALUE"""),1.09)</f>
        <v>1.09</v>
      </c>
      <c r="BD8" s="342">
        <f>IFERROR(__xludf.DUMMYFUNCTION("""COMPUTED_VALUE"""),0.362)</f>
        <v>0.362</v>
      </c>
      <c r="BE8" s="342">
        <f>IFERROR(__xludf.DUMMYFUNCTION("""COMPUTED_VALUE"""),0.89)</f>
        <v>0.89</v>
      </c>
      <c r="BF8" s="296" t="str">
        <f>IFERROR(__xludf.DUMMYFUNCTION("""COMPUTED_VALUE"""),"#REF!")</f>
        <v>#REF!</v>
      </c>
      <c r="BG8" s="296" t="str">
        <f>IFERROR(__xludf.DUMMYFUNCTION("""COMPUTED_VALUE"""),"#REF!")</f>
        <v>#REF!</v>
      </c>
      <c r="BH8" s="296" t="str">
        <f>IFERROR(__xludf.DUMMYFUNCTION("""COMPUTED_VALUE"""),"#REF!")</f>
        <v>#REF!</v>
      </c>
      <c r="BI8" s="295">
        <f>IFERROR(__xludf.DUMMYFUNCTION("""COMPUTED_VALUE"""),131.0)</f>
        <v>131</v>
      </c>
      <c r="BJ8" s="295" t="str">
        <f>IFERROR(__xludf.DUMMYFUNCTION("""COMPUTED_VALUE"""),"TRUE")</f>
        <v>TRUE</v>
      </c>
      <c r="BK8" s="346">
        <f>IFERROR(__xludf.DUMMYFUNCTION("""COMPUTED_VALUE"""),2951.0)</f>
        <v>2951</v>
      </c>
      <c r="BL8" s="292"/>
      <c r="BM8" s="292"/>
      <c r="BN8" s="292"/>
      <c r="BO8" s="292"/>
      <c r="BP8" s="292"/>
      <c r="BQ8" s="292" t="str">
        <f>IFERROR(__xludf.DUMMYFUNCTION("""COMPUTED_VALUE"""),"Graveyard")</f>
        <v>Graveyard</v>
      </c>
      <c r="BR8" s="292" t="b">
        <f>IFERROR(__xludf.DUMMYFUNCTION("""COMPUTED_VALUE"""),FALSE)</f>
        <v>0</v>
      </c>
      <c r="BS8" s="292" t="b">
        <f>IFERROR(__xludf.DUMMYFUNCTION("""COMPUTED_VALUE"""),FALSE)</f>
        <v>0</v>
      </c>
      <c r="BT8" s="345">
        <f>IFERROR(__xludf.DUMMYFUNCTION("""COMPUTED_VALUE"""),880.8955223880597)</f>
        <v>880.8955224</v>
      </c>
      <c r="BU8" s="345">
        <f>IFERROR(__xludf.DUMMYFUNCTION("""COMPUTED_VALUE"""),213.13432835820896)</f>
        <v>213.1343284</v>
      </c>
      <c r="BV8" s="344">
        <f>IFERROR(__xludf.DUMMYFUNCTION("""COMPUTED_VALUE"""),17.01492537313433)</f>
        <v>17.01492537</v>
      </c>
      <c r="BW8" s="344">
        <f>IFERROR(__xludf.DUMMYFUNCTION("""COMPUTED_VALUE"""),6.000000000000001)</f>
        <v>6</v>
      </c>
    </row>
    <row r="9">
      <c r="A9" s="292" t="str">
        <f>IFERROR(__xludf.DUMMYFUNCTION("""COMPUTED_VALUE"""),"FE0035C")</f>
        <v>FE0035C</v>
      </c>
      <c r="B9" s="292" t="str">
        <f>IFERROR(__xludf.DUMMYFUNCTION("""COMPUTED_VALUE"""),"CON-40-143754-4")</f>
        <v>CON-40-143754-4</v>
      </c>
      <c r="C9" s="292" t="str">
        <f>IFERROR(__xludf.DUMMYFUNCTION("""COMPUTED_VALUE"""),"CON-00-147813-2")</f>
        <v>CON-00-147813-2</v>
      </c>
      <c r="D9" s="292" t="str">
        <f>IFERROR(__xludf.DUMMYFUNCTION("""COMPUTED_VALUE"""),"CON-00-136630-3")</f>
        <v>CON-00-136630-3</v>
      </c>
      <c r="E9" s="292" t="str">
        <f>IFERROR(__xludf.DUMMYFUNCTION("""COMPUTED_VALUE"""),"Salmon with pesto")</f>
        <v>Salmon with pesto</v>
      </c>
      <c r="F9" s="292" t="str">
        <f>IFERROR(__xludf.DUMMYFUNCTION("""COMPUTED_VALUE"""),"with creamy spinach and green beans in tomato butter")</f>
        <v>with creamy spinach and green beans in tomato butter</v>
      </c>
      <c r="G9" s="292" t="str">
        <f>IFERROR(__xludf.DUMMYFUNCTION("""COMPUTED_VALUE"""),"Zalm met pesto")</f>
        <v>Zalm met pesto</v>
      </c>
      <c r="H9" s="292" t="str">
        <f>IFERROR(__xludf.DUMMYFUNCTION("""COMPUTED_VALUE"""),"met romige spinazie en sperziebonen in tomatenboter")</f>
        <v>met romige spinazie en sperziebonen in tomatenboter</v>
      </c>
      <c r="I9" s="292" t="str">
        <f>IFERROR(__xludf.DUMMYFUNCTION("""COMPUTED_VALUE"""),"Laks med pesto")</f>
        <v>Laks med pesto</v>
      </c>
      <c r="J9" s="292" t="str">
        <f>IFERROR(__xludf.DUMMYFUNCTION("""COMPUTED_VALUE"""),"Lachs mit grünem Pesto")</f>
        <v>Lachs mit grünem Pesto</v>
      </c>
      <c r="K9" s="292">
        <f>IFERROR(__xludf.DUMMYFUNCTION("""COMPUTED_VALUE"""),565022.0)</f>
        <v>565022</v>
      </c>
      <c r="L9" s="292" t="str">
        <f>IFERROR(__xludf.DUMMYFUNCTION("""COMPUTED_VALUE"""),"HF Zalm met pesto")</f>
        <v>HF Zalm met pesto</v>
      </c>
      <c r="M9" s="292" t="str">
        <f>IFERROR(__xludf.DUMMYFUNCTION("""COMPUTED_VALUE"""),"FA-NL Zalm met pesto [FE0035]")</f>
        <v>FA-NL Zalm met pesto [FE0035]</v>
      </c>
      <c r="N9" s="292" t="str">
        <f>IFERROR(__xludf.DUMMYFUNCTION("""COMPUTED_VALUE"""),"FA-NO Laks med pesto (FE0035)")</f>
        <v>FA-NO Laks med pesto (FE0035)</v>
      </c>
      <c r="O9" s="292" t="str">
        <f>IFERROR(__xludf.DUMMYFUNCTION("""COMPUTED_VALUE"""),"FA-DE Lachs mit grünem Pesto (FE0035)")</f>
        <v>FA-DE Lachs mit grünem Pesto (FE0035)</v>
      </c>
      <c r="P9" s="292" t="str">
        <f>IFERROR(__xludf.DUMMYFUNCTION("""COMPUTED_VALUE"""),"Graveyard")</f>
        <v>Graveyard</v>
      </c>
      <c r="Q9" s="292" t="str">
        <f>IFERROR(__xludf.DUMMYFUNCTION("""COMPUTED_VALUE"""),"increased portion size")</f>
        <v>increased portion size</v>
      </c>
      <c r="R9" s="342">
        <f>IFERROR(__xludf.DUMMYFUNCTION("""COMPUTED_VALUE"""),6.05)</f>
        <v>6.05</v>
      </c>
      <c r="S9" s="292"/>
      <c r="T9" s="292"/>
      <c r="U9" s="292"/>
      <c r="V9" s="292"/>
      <c r="W9" s="292" t="b">
        <f>IFERROR(__xludf.DUMMYFUNCTION("""COMPUTED_VALUE"""),TRUE)</f>
        <v>1</v>
      </c>
      <c r="X9" s="345">
        <f>IFERROR(__xludf.DUMMYFUNCTION("""COMPUTED_VALUE"""),365.0)</f>
        <v>365</v>
      </c>
      <c r="Y9" s="344">
        <f>IFERROR(__xludf.DUMMYFUNCTION("""COMPUTED_VALUE"""),743.0)</f>
        <v>743</v>
      </c>
      <c r="Z9" s="343">
        <f>IFERROR(__xludf.DUMMYFUNCTION("""COMPUTED_VALUE"""),58.9)</f>
        <v>58.9</v>
      </c>
      <c r="AA9" s="344">
        <f>IFERROR(__xludf.DUMMYFUNCTION("""COMPUTED_VALUE"""),20.6)</f>
        <v>20.6</v>
      </c>
      <c r="AB9" s="344">
        <f>IFERROR(__xludf.DUMMYFUNCTION("""COMPUTED_VALUE"""),8.4)</f>
        <v>8.4</v>
      </c>
      <c r="AC9" s="344">
        <f>IFERROR(__xludf.DUMMYFUNCTION("""COMPUTED_VALUE"""),5.9)</f>
        <v>5.9</v>
      </c>
      <c r="AD9" s="344">
        <f>IFERROR(__xludf.DUMMYFUNCTION("""COMPUTED_VALUE"""),7.8)</f>
        <v>7.8</v>
      </c>
      <c r="AE9" s="343">
        <f>IFERROR(__xludf.DUMMYFUNCTION("""COMPUTED_VALUE"""),40.1)</f>
        <v>40.1</v>
      </c>
      <c r="AF9" s="343">
        <f>IFERROR(__xludf.DUMMYFUNCTION("""COMPUTED_VALUE"""),1.7)</f>
        <v>1.7</v>
      </c>
      <c r="AG9" s="292" t="b">
        <f>IFERROR(__xludf.DUMMYFUNCTION("""COMPUTED_VALUE"""),FALSE)</f>
        <v>0</v>
      </c>
      <c r="AH9" s="292" t="b">
        <f>IFERROR(__xludf.DUMMYFUNCTION("""COMPUTED_VALUE"""),TRUE)</f>
        <v>1</v>
      </c>
      <c r="AI9" s="292" t="b">
        <f>IFERROR(__xludf.DUMMYFUNCTION("""COMPUTED_VALUE"""),FALSE)</f>
        <v>0</v>
      </c>
      <c r="AJ9" s="292" t="b">
        <f>IFERROR(__xludf.DUMMYFUNCTION("""COMPUTED_VALUE"""),FALSE)</f>
        <v>0</v>
      </c>
      <c r="AK9" s="292" t="b">
        <f>IFERROR(__xludf.DUMMYFUNCTION("""COMPUTED_VALUE"""),FALSE)</f>
        <v>0</v>
      </c>
      <c r="AL9" s="292" t="b">
        <f>IFERROR(__xludf.DUMMYFUNCTION("""COMPUTED_VALUE"""),FALSE)</f>
        <v>0</v>
      </c>
      <c r="AM9" s="292" t="b">
        <f>IFERROR(__xludf.DUMMYFUNCTION("""COMPUTED_VALUE"""),TRUE)</f>
        <v>1</v>
      </c>
      <c r="AN9" s="292" t="b">
        <f>IFERROR(__xludf.DUMMYFUNCTION("""COMPUTED_VALUE"""),FALSE)</f>
        <v>0</v>
      </c>
      <c r="AO9" s="292" t="str">
        <f>IFERROR(__xludf.DUMMYFUNCTION("""COMPUTED_VALUE"""),"FALSE")</f>
        <v>FALSE</v>
      </c>
      <c r="AP9" s="292" t="str">
        <f>IFERROR(__xludf.DUMMYFUNCTION("""COMPUTED_VALUE"""),"Salmon")</f>
        <v>Salmon</v>
      </c>
      <c r="AQ9" s="292" t="str">
        <f>IFERROR(__xludf.DUMMYFUNCTION("""COMPUTED_VALUE"""),"Salmon")</f>
        <v>Salmon</v>
      </c>
      <c r="AR9" s="292" t="str">
        <f>IFERROR(__xludf.DUMMYFUNCTION("""COMPUTED_VALUE"""),"Filet")</f>
        <v>Filet</v>
      </c>
      <c r="AS9" s="292" t="str">
        <f>IFERROR(__xludf.DUMMYFUNCTION("""COMPUTED_VALUE"""),"Spinach")</f>
        <v>Spinach</v>
      </c>
      <c r="AT9" s="292" t="str">
        <f>IFERROR(__xludf.DUMMYFUNCTION("""COMPUTED_VALUE"""),"Green Beans")</f>
        <v>Green Beans</v>
      </c>
      <c r="AU9" s="292" t="str">
        <f>IFERROR(__xludf.DUMMYFUNCTION("""COMPUTED_VALUE"""),"Pesto")</f>
        <v>Pesto</v>
      </c>
      <c r="AV9" s="292" t="str">
        <f>IFERROR(__xludf.DUMMYFUNCTION("""COMPUTED_VALUE"""),"Compound Butter")</f>
        <v>Compound Butter</v>
      </c>
      <c r="AW9" s="292" t="str">
        <f>IFERROR(__xludf.DUMMYFUNCTION("""COMPUTED_VALUE"""),"Year Round")</f>
        <v>Year Round</v>
      </c>
      <c r="AX9" s="292" t="str">
        <f>IFERROR(__xludf.DUMMYFUNCTION("""COMPUTED_VALUE"""),"Italian")</f>
        <v>Italian</v>
      </c>
      <c r="AY9" s="292"/>
      <c r="AZ9" s="292" t="str">
        <f>IFERROR(__xludf.DUMMYFUNCTION("""COMPUTED_VALUE"""),"2 CT")</f>
        <v>2 CT</v>
      </c>
      <c r="BA9" s="292" t="b">
        <f>IFERROR(__xludf.DUMMYFUNCTION("""COMPUTED_VALUE"""),FALSE)</f>
        <v>0</v>
      </c>
      <c r="BB9" s="342">
        <f>IFERROR(__xludf.DUMMYFUNCTION("""COMPUTED_VALUE"""),3.76)</f>
        <v>3.76</v>
      </c>
      <c r="BC9" s="342">
        <f>IFERROR(__xludf.DUMMYFUNCTION("""COMPUTED_VALUE"""),1.09)</f>
        <v>1.09</v>
      </c>
      <c r="BD9" s="342">
        <f>IFERROR(__xludf.DUMMYFUNCTION("""COMPUTED_VALUE"""),0.362)</f>
        <v>0.362</v>
      </c>
      <c r="BE9" s="342">
        <f>IFERROR(__xludf.DUMMYFUNCTION("""COMPUTED_VALUE"""),0.89)</f>
        <v>0.89</v>
      </c>
      <c r="BF9" s="296" t="str">
        <f>IFERROR(__xludf.DUMMYFUNCTION("""COMPUTED_VALUE"""),"#REF!")</f>
        <v>#REF!</v>
      </c>
      <c r="BG9" s="296" t="str">
        <f>IFERROR(__xludf.DUMMYFUNCTION("""COMPUTED_VALUE"""),"#REF!")</f>
        <v>#REF!</v>
      </c>
      <c r="BH9" s="296" t="str">
        <f>IFERROR(__xludf.DUMMYFUNCTION("""COMPUTED_VALUE"""),"#REF!")</f>
        <v>#REF!</v>
      </c>
      <c r="BI9" s="295">
        <f>IFERROR(__xludf.DUMMYFUNCTION("""COMPUTED_VALUE"""),159.0)</f>
        <v>159</v>
      </c>
      <c r="BJ9" s="295" t="str">
        <f>IFERROR(__xludf.DUMMYFUNCTION("""COMPUTED_VALUE"""),"TRUE")</f>
        <v>TRUE</v>
      </c>
      <c r="BK9" s="346">
        <f>IFERROR(__xludf.DUMMYFUNCTION("""COMPUTED_VALUE"""),3080.0)</f>
        <v>3080</v>
      </c>
      <c r="BL9" s="292" t="str">
        <f>IFERROR(__xludf.DUMMYFUNCTION("""COMPUTED_VALUE"""),"US")</f>
        <v>US</v>
      </c>
      <c r="BM9" s="292" t="str">
        <f>IFERROR(__xludf.DUMMYFUNCTION("""COMPUTED_VALUE"""),"Lax med pesto")</f>
        <v>Lax med pesto</v>
      </c>
      <c r="BN9" s="292"/>
      <c r="BO9" s="292"/>
      <c r="BP9" s="292"/>
      <c r="BQ9" s="292" t="str">
        <f>IFERROR(__xludf.DUMMYFUNCTION("""COMPUTED_VALUE"""),"Graveyard")</f>
        <v>Graveyard</v>
      </c>
      <c r="BR9" s="292" t="b">
        <f>IFERROR(__xludf.DUMMYFUNCTION("""COMPUTED_VALUE"""),FALSE)</f>
        <v>0</v>
      </c>
      <c r="BS9" s="292" t="b">
        <f>IFERROR(__xludf.DUMMYFUNCTION("""COMPUTED_VALUE"""),FALSE)</f>
        <v>0</v>
      </c>
      <c r="BT9" s="345">
        <f>IFERROR(__xludf.DUMMYFUNCTION("""COMPUTED_VALUE"""),843.0)</f>
        <v>843</v>
      </c>
      <c r="BU9" s="345">
        <f>IFERROR(__xludf.DUMMYFUNCTION("""COMPUTED_VALUE"""),203.0)</f>
        <v>203</v>
      </c>
      <c r="BV9" s="344">
        <f>IFERROR(__xludf.DUMMYFUNCTION("""COMPUTED_VALUE"""),16.1)</f>
        <v>16.1</v>
      </c>
      <c r="BW9" s="344">
        <f>IFERROR(__xludf.DUMMYFUNCTION("""COMPUTED_VALUE"""),5.7)</f>
        <v>5.7</v>
      </c>
    </row>
    <row r="10">
      <c r="A10" s="292" t="str">
        <f>IFERROR(__xludf.DUMMYFUNCTION("""COMPUTED_VALUE"""),"FE0035D")</f>
        <v>FE0035D</v>
      </c>
      <c r="B10" s="292" t="str">
        <f>IFERROR(__xludf.DUMMYFUNCTION("""COMPUTED_VALUE"""),"CON-40-143754-4")</f>
        <v>CON-40-143754-4</v>
      </c>
      <c r="C10" s="292" t="str">
        <f>IFERROR(__xludf.DUMMYFUNCTION("""COMPUTED_VALUE"""),"CON-00-147813-2")</f>
        <v>CON-00-147813-2</v>
      </c>
      <c r="D10" s="292" t="str">
        <f>IFERROR(__xludf.DUMMYFUNCTION("""COMPUTED_VALUE"""),"CON-00-136630-3")</f>
        <v>CON-00-136630-3</v>
      </c>
      <c r="E10" s="292" t="str">
        <f>IFERROR(__xludf.DUMMYFUNCTION("""COMPUTED_VALUE"""),"Salmon with pesto")</f>
        <v>Salmon with pesto</v>
      </c>
      <c r="F10" s="292" t="str">
        <f>IFERROR(__xludf.DUMMYFUNCTION("""COMPUTED_VALUE"""),"with creamy spinach and green beans in tomato butter")</f>
        <v>with creamy spinach and green beans in tomato butter</v>
      </c>
      <c r="G10" s="292" t="str">
        <f>IFERROR(__xludf.DUMMYFUNCTION("""COMPUTED_VALUE"""),"Zalm met pesto")</f>
        <v>Zalm met pesto</v>
      </c>
      <c r="H10" s="292" t="str">
        <f>IFERROR(__xludf.DUMMYFUNCTION("""COMPUTED_VALUE"""),"met romige spinazie en sperziebonen in tomatenboter")</f>
        <v>met romige spinazie en sperziebonen in tomatenboter</v>
      </c>
      <c r="I10" s="292" t="str">
        <f>IFERROR(__xludf.DUMMYFUNCTION("""COMPUTED_VALUE"""),"Laks med pesto")</f>
        <v>Laks med pesto</v>
      </c>
      <c r="J10" s="292" t="str">
        <f>IFERROR(__xludf.DUMMYFUNCTION("""COMPUTED_VALUE"""),"Lachs mit grünem Pesto")</f>
        <v>Lachs mit grünem Pesto</v>
      </c>
      <c r="K10" s="292">
        <f>IFERROR(__xludf.DUMMYFUNCTION("""COMPUTED_VALUE"""),565022.0)</f>
        <v>565022</v>
      </c>
      <c r="L10" s="292" t="str">
        <f>IFERROR(__xludf.DUMMYFUNCTION("""COMPUTED_VALUE"""),"HF Zalm met pesto")</f>
        <v>HF Zalm met pesto</v>
      </c>
      <c r="M10" s="292" t="str">
        <f>IFERROR(__xludf.DUMMYFUNCTION("""COMPUTED_VALUE"""),"FA-NL Zalm met pesto [FE0035]")</f>
        <v>FA-NL Zalm met pesto [FE0035]</v>
      </c>
      <c r="N10" s="292" t="str">
        <f>IFERROR(__xludf.DUMMYFUNCTION("""COMPUTED_VALUE"""),"FA-NO Laks med pesto (FE0035)")</f>
        <v>FA-NO Laks med pesto (FE0035)</v>
      </c>
      <c r="O10" s="292" t="str">
        <f>IFERROR(__xludf.DUMMYFUNCTION("""COMPUTED_VALUE"""),"FA-DE Lachs mit grünem Pesto (FE0035)")</f>
        <v>FA-DE Lachs mit grünem Pesto (FE0035)</v>
      </c>
      <c r="P10" s="292" t="str">
        <f>IFERROR(__xludf.DUMMYFUNCTION("""COMPUTED_VALUE"""),"Graveyard")</f>
        <v>Graveyard</v>
      </c>
      <c r="Q10" s="292" t="str">
        <f>IFERROR(__xludf.DUMMYFUNCTION("""COMPUTED_VALUE"""),"produced at Bonfait, without LAB")</f>
        <v>produced at Bonfait, without LAB</v>
      </c>
      <c r="R10" s="342">
        <f>IFERROR(__xludf.DUMMYFUNCTION("""COMPUTED_VALUE"""),6.94)</f>
        <v>6.94</v>
      </c>
      <c r="S10" s="292"/>
      <c r="T10" s="292"/>
      <c r="U10" s="292"/>
      <c r="V10" s="292"/>
      <c r="W10" s="292"/>
      <c r="X10" s="345">
        <f>IFERROR(__xludf.DUMMYFUNCTION("""COMPUTED_VALUE"""),361.0)</f>
        <v>361</v>
      </c>
      <c r="Y10" s="344">
        <f>IFERROR(__xludf.DUMMYFUNCTION("""COMPUTED_VALUE"""),804.0)</f>
        <v>804</v>
      </c>
      <c r="Z10" s="343">
        <f>IFERROR(__xludf.DUMMYFUNCTION("""COMPUTED_VALUE"""),65.6)</f>
        <v>65.6</v>
      </c>
      <c r="AA10" s="344">
        <f>IFERROR(__xludf.DUMMYFUNCTION("""COMPUTED_VALUE"""),21.6)</f>
        <v>21.6</v>
      </c>
      <c r="AB10" s="344">
        <f>IFERROR(__xludf.DUMMYFUNCTION("""COMPUTED_VALUE"""),8.5)</f>
        <v>8.5</v>
      </c>
      <c r="AC10" s="344">
        <f>IFERROR(__xludf.DUMMYFUNCTION("""COMPUTED_VALUE"""),5.8)</f>
        <v>5.8</v>
      </c>
      <c r="AD10" s="344">
        <f>IFERROR(__xludf.DUMMYFUNCTION("""COMPUTED_VALUE"""),7.7)</f>
        <v>7.7</v>
      </c>
      <c r="AE10" s="343">
        <f>IFERROR(__xludf.DUMMYFUNCTION("""COMPUTED_VALUE"""),40.3)</f>
        <v>40.3</v>
      </c>
      <c r="AF10" s="343">
        <f>IFERROR(__xludf.DUMMYFUNCTION("""COMPUTED_VALUE"""),1.75)</f>
        <v>1.75</v>
      </c>
      <c r="AG10" s="292" t="b">
        <f>IFERROR(__xludf.DUMMYFUNCTION("""COMPUTED_VALUE"""),FALSE)</f>
        <v>0</v>
      </c>
      <c r="AH10" s="292" t="b">
        <f>IFERROR(__xludf.DUMMYFUNCTION("""COMPUTED_VALUE"""),TRUE)</f>
        <v>1</v>
      </c>
      <c r="AI10" s="292" t="b">
        <f>IFERROR(__xludf.DUMMYFUNCTION("""COMPUTED_VALUE"""),FALSE)</f>
        <v>0</v>
      </c>
      <c r="AJ10" s="292" t="b">
        <f>IFERROR(__xludf.DUMMYFUNCTION("""COMPUTED_VALUE"""),FALSE)</f>
        <v>0</v>
      </c>
      <c r="AK10" s="292" t="b">
        <f>IFERROR(__xludf.DUMMYFUNCTION("""COMPUTED_VALUE"""),FALSE)</f>
        <v>0</v>
      </c>
      <c r="AL10" s="292" t="b">
        <f>IFERROR(__xludf.DUMMYFUNCTION("""COMPUTED_VALUE"""),FALSE)</f>
        <v>0</v>
      </c>
      <c r="AM10" s="292" t="b">
        <f>IFERROR(__xludf.DUMMYFUNCTION("""COMPUTED_VALUE"""),TRUE)</f>
        <v>1</v>
      </c>
      <c r="AN10" s="292" t="b">
        <f>IFERROR(__xludf.DUMMYFUNCTION("""COMPUTED_VALUE"""),FALSE)</f>
        <v>0</v>
      </c>
      <c r="AO10" s="292" t="str">
        <f>IFERROR(__xludf.DUMMYFUNCTION("""COMPUTED_VALUE"""),"FALSE")</f>
        <v>FALSE</v>
      </c>
      <c r="AP10" s="292" t="str">
        <f>IFERROR(__xludf.DUMMYFUNCTION("""COMPUTED_VALUE"""),"Salmon")</f>
        <v>Salmon</v>
      </c>
      <c r="AQ10" s="292" t="str">
        <f>IFERROR(__xludf.DUMMYFUNCTION("""COMPUTED_VALUE"""),"Salmon")</f>
        <v>Salmon</v>
      </c>
      <c r="AR10" s="292" t="str">
        <f>IFERROR(__xludf.DUMMYFUNCTION("""COMPUTED_VALUE"""),"Filet")</f>
        <v>Filet</v>
      </c>
      <c r="AS10" s="292" t="str">
        <f>IFERROR(__xludf.DUMMYFUNCTION("""COMPUTED_VALUE"""),"Spinach")</f>
        <v>Spinach</v>
      </c>
      <c r="AT10" s="292" t="str">
        <f>IFERROR(__xludf.DUMMYFUNCTION("""COMPUTED_VALUE"""),"Green Beans")</f>
        <v>Green Beans</v>
      </c>
      <c r="AU10" s="292" t="str">
        <f>IFERROR(__xludf.DUMMYFUNCTION("""COMPUTED_VALUE"""),"Pesto")</f>
        <v>Pesto</v>
      </c>
      <c r="AV10" s="292" t="str">
        <f>IFERROR(__xludf.DUMMYFUNCTION("""COMPUTED_VALUE"""),"Compound Butter")</f>
        <v>Compound Butter</v>
      </c>
      <c r="AW10" s="292" t="str">
        <f>IFERROR(__xludf.DUMMYFUNCTION("""COMPUTED_VALUE"""),"Year Round")</f>
        <v>Year Round</v>
      </c>
      <c r="AX10" s="292" t="str">
        <f>IFERROR(__xludf.DUMMYFUNCTION("""COMPUTED_VALUE"""),"Italian")</f>
        <v>Italian</v>
      </c>
      <c r="AY10" s="292"/>
      <c r="AZ10" s="292" t="str">
        <f>IFERROR(__xludf.DUMMYFUNCTION("""COMPUTED_VALUE"""),"2 CT")</f>
        <v>2 CT</v>
      </c>
      <c r="BA10" s="292" t="b">
        <f>IFERROR(__xludf.DUMMYFUNCTION("""COMPUTED_VALUE"""),FALSE)</f>
        <v>0</v>
      </c>
      <c r="BB10" s="342">
        <f>IFERROR(__xludf.DUMMYFUNCTION("""COMPUTED_VALUE"""),4.49)</f>
        <v>4.49</v>
      </c>
      <c r="BC10" s="342">
        <f>IFERROR(__xludf.DUMMYFUNCTION("""COMPUTED_VALUE"""),1.2)</f>
        <v>1.2</v>
      </c>
      <c r="BD10" s="342">
        <f>IFERROR(__xludf.DUMMYFUNCTION("""COMPUTED_VALUE"""),0.36)</f>
        <v>0.36</v>
      </c>
      <c r="BE10" s="342">
        <f>IFERROR(__xludf.DUMMYFUNCTION("""COMPUTED_VALUE"""),0.89)</f>
        <v>0.89</v>
      </c>
      <c r="BF10" s="296">
        <f>IFERROR(__xludf.DUMMYFUNCTION("""COMPUTED_VALUE"""),3.5020497602211926)</f>
        <v>3.50204976</v>
      </c>
      <c r="BG10" s="296">
        <f>IFERROR(__xludf.DUMMYFUNCTION("""COMPUTED_VALUE"""),3.5945701357466064)</f>
        <v>3.594570136</v>
      </c>
      <c r="BH10" s="296">
        <f>IFERROR(__xludf.DUMMYFUNCTION("""COMPUTED_VALUE"""),3.5901960784313727)</f>
        <v>3.590196078</v>
      </c>
      <c r="BI10" s="295">
        <f>IFERROR(__xludf.DUMMYFUNCTION("""COMPUTED_VALUE"""),160.0)</f>
        <v>160</v>
      </c>
      <c r="BJ10" s="292"/>
      <c r="BK10" s="346">
        <f>IFERROR(__xludf.DUMMYFUNCTION("""COMPUTED_VALUE"""),3331.0)</f>
        <v>3331</v>
      </c>
      <c r="BL10" s="292" t="str">
        <f>IFERROR(__xludf.DUMMYFUNCTION("""COMPUTED_VALUE"""),"US")</f>
        <v>US</v>
      </c>
      <c r="BM10" s="292" t="str">
        <f>IFERROR(__xludf.DUMMYFUNCTION("""COMPUTED_VALUE"""),"Lax med pesto")</f>
        <v>Lax med pesto</v>
      </c>
      <c r="BN10" s="343">
        <f>IFERROR(__xludf.DUMMYFUNCTION("""COMPUTED_VALUE"""),3.6129032258064515)</f>
        <v>3.612903226</v>
      </c>
      <c r="BO10" s="343">
        <f>IFERROR(__xludf.DUMMYFUNCTION("""COMPUTED_VALUE"""),3.5)</f>
        <v>3.5</v>
      </c>
      <c r="BP10" s="292"/>
      <c r="BQ10" s="292" t="str">
        <f>IFERROR(__xludf.DUMMYFUNCTION("""COMPUTED_VALUE"""),"Active")</f>
        <v>Active</v>
      </c>
      <c r="BR10" s="292" t="b">
        <f>IFERROR(__xludf.DUMMYFUNCTION("""COMPUTED_VALUE"""),FALSE)</f>
        <v>0</v>
      </c>
      <c r="BS10" s="292" t="b">
        <f>IFERROR(__xludf.DUMMYFUNCTION("""COMPUTED_VALUE"""),FALSE)</f>
        <v>0</v>
      </c>
      <c r="BT10" s="345">
        <f>IFERROR(__xludf.DUMMYFUNCTION("""COMPUTED_VALUE"""),923.0)</f>
        <v>923</v>
      </c>
      <c r="BU10" s="345">
        <f>IFERROR(__xludf.DUMMYFUNCTION("""COMPUTED_VALUE"""),223.0)</f>
        <v>223</v>
      </c>
      <c r="BV10" s="344">
        <f>IFERROR(__xludf.DUMMYFUNCTION("""COMPUTED_VALUE"""),18.2)</f>
        <v>18.2</v>
      </c>
      <c r="BW10" s="344">
        <f>IFERROR(__xludf.DUMMYFUNCTION("""COMPUTED_VALUE"""),6.0)</f>
        <v>6</v>
      </c>
    </row>
    <row r="11">
      <c r="A11" s="292" t="str">
        <f>IFERROR(__xludf.DUMMYFUNCTION("""COMPUTED_VALUE"""),"FE0036A")</f>
        <v>FE0036A</v>
      </c>
      <c r="B11" s="292" t="str">
        <f>IFERROR(__xludf.DUMMYFUNCTION("""COMPUTED_VALUE"""),"CON-40-143755-4")</f>
        <v>CON-40-143755-4</v>
      </c>
      <c r="C11" s="292" t="str">
        <f>IFERROR(__xludf.DUMMYFUNCTION("""COMPUTED_VALUE"""),"CON-00-147814-2")</f>
        <v>CON-00-147814-2</v>
      </c>
      <c r="D11" s="292" t="str">
        <f>IFERROR(__xludf.DUMMYFUNCTION("""COMPUTED_VALUE"""),"CON-00-136617-3")</f>
        <v>CON-00-136617-3</v>
      </c>
      <c r="E11" s="292" t="str">
        <f>IFERROR(__xludf.DUMMYFUNCTION("""COMPUTED_VALUE"""),"Salmon with smokey twist")</f>
        <v>Salmon with smokey twist</v>
      </c>
      <c r="F11" s="292" t="str">
        <f>IFERROR(__xludf.DUMMYFUNCTION("""COMPUTED_VALUE"""),"with cauliflower rice in cheese sauce and spicy broccoli")</f>
        <v>with cauliflower rice in cheese sauce and spicy broccoli</v>
      </c>
      <c r="G11" s="292" t="str">
        <f>IFERROR(__xludf.DUMMYFUNCTION("""COMPUTED_VALUE"""),"Zalm met smokey twist")</f>
        <v>Zalm met smokey twist</v>
      </c>
      <c r="H11" s="292" t="str">
        <f>IFERROR(__xludf.DUMMYFUNCTION("""COMPUTED_VALUE"""),"met bloemkoolrijst in kaassaus en pittige broccoli ")</f>
        <v>met bloemkoolrijst in kaassaus en pittige broccoli </v>
      </c>
      <c r="I11" s="292"/>
      <c r="J11" s="292" t="str">
        <f>IFERROR(__xludf.DUMMYFUNCTION("""COMPUTED_VALUE"""),"Lachs mit Rauchnote")</f>
        <v>Lachs mit Rauchnote</v>
      </c>
      <c r="K11" s="292">
        <f>IFERROR(__xludf.DUMMYFUNCTION("""COMPUTED_VALUE"""),565042.0)</f>
        <v>565042</v>
      </c>
      <c r="L11" s="292" t="str">
        <f>IFERROR(__xludf.DUMMYFUNCTION("""COMPUTED_VALUE"""),"HF Zwarte Zalm 369g")</f>
        <v>HF Zwarte Zalm 369g</v>
      </c>
      <c r="M11" s="292" t="str">
        <f>IFERROR(__xludf.DUMMYFUNCTION("""COMPUTED_VALUE"""),"FA-NL Zalm Op Cheesy Bloemkoolrijst (FE0036)")</f>
        <v>FA-NL Zalm Op Cheesy Bloemkoolrijst (FE0036)</v>
      </c>
      <c r="N11" s="292" t="str">
        <f>IFERROR(__xludf.DUMMYFUNCTION("""COMPUTED_VALUE"""),"FA-NO Laks og ostegratineret blomkålsris (FE0036)")</f>
        <v>FA-NO Laks og ostegratineret blomkålsris (FE0036)</v>
      </c>
      <c r="O11" s="292" t="str">
        <f>IFERROR(__xludf.DUMMYFUNCTION("""COMPUTED_VALUE"""),"FA-DE Lachs auf Blumenkohlreis in Käsecreme (FE0036)")</f>
        <v>FA-DE Lachs auf Blumenkohlreis in Käsecreme (FE0036)</v>
      </c>
      <c r="P11" s="292" t="str">
        <f>IFERROR(__xludf.DUMMYFUNCTION("""COMPUTED_VALUE"""),"Graveyard")</f>
        <v>Graveyard</v>
      </c>
      <c r="Q11" s="292"/>
      <c r="R11" s="342">
        <f>IFERROR(__xludf.DUMMYFUNCTION("""COMPUTED_VALUE"""),5.63)</f>
        <v>5.63</v>
      </c>
      <c r="S11" s="298">
        <f>IFERROR(__xludf.DUMMYFUNCTION("""COMPUTED_VALUE"""),0.03694957380045493)</f>
        <v>0.0369495738</v>
      </c>
      <c r="T11" s="343">
        <f>IFERROR(__xludf.DUMMYFUNCTION("""COMPUTED_VALUE"""),3.643191432035565)</f>
        <v>3.643191432</v>
      </c>
      <c r="U11" s="292">
        <f>IFERROR(__xludf.DUMMYFUNCTION("""COMPUTED_VALUE"""),33398.0)</f>
        <v>33398</v>
      </c>
      <c r="V11" s="292"/>
      <c r="W11" s="292" t="b">
        <f>IFERROR(__xludf.DUMMYFUNCTION("""COMPUTED_VALUE"""),TRUE)</f>
        <v>1</v>
      </c>
      <c r="X11" s="345">
        <f>IFERROR(__xludf.DUMMYFUNCTION("""COMPUTED_VALUE"""),369.0)</f>
        <v>369</v>
      </c>
      <c r="Y11" s="344">
        <f>IFERROR(__xludf.DUMMYFUNCTION("""COMPUTED_VALUE"""),648.0)</f>
        <v>648</v>
      </c>
      <c r="Z11" s="343">
        <f>IFERROR(__xludf.DUMMYFUNCTION("""COMPUTED_VALUE"""),47.4)</f>
        <v>47.4</v>
      </c>
      <c r="AA11" s="344">
        <f>IFERROR(__xludf.DUMMYFUNCTION("""COMPUTED_VALUE"""),19.3)</f>
        <v>19.3</v>
      </c>
      <c r="AB11" s="344">
        <f>IFERROR(__xludf.DUMMYFUNCTION("""COMPUTED_VALUE"""),11.2)</f>
        <v>11.2</v>
      </c>
      <c r="AC11" s="344">
        <f>IFERROR(__xludf.DUMMYFUNCTION("""COMPUTED_VALUE"""),8.8)</f>
        <v>8.8</v>
      </c>
      <c r="AD11" s="344">
        <f>IFERROR(__xludf.DUMMYFUNCTION("""COMPUTED_VALUE"""),5.4)</f>
        <v>5.4</v>
      </c>
      <c r="AE11" s="343">
        <f>IFERROR(__xludf.DUMMYFUNCTION("""COMPUTED_VALUE"""),41.1)</f>
        <v>41.1</v>
      </c>
      <c r="AF11" s="343">
        <f>IFERROR(__xludf.DUMMYFUNCTION("""COMPUTED_VALUE"""),2.0)</f>
        <v>2</v>
      </c>
      <c r="AG11" s="292" t="b">
        <f>IFERROR(__xludf.DUMMYFUNCTION("""COMPUTED_VALUE"""),TRUE)</f>
        <v>1</v>
      </c>
      <c r="AH11" s="292" t="b">
        <f>IFERROR(__xludf.DUMMYFUNCTION("""COMPUTED_VALUE"""),TRUE)</f>
        <v>1</v>
      </c>
      <c r="AI11" s="292" t="b">
        <f>IFERROR(__xludf.DUMMYFUNCTION("""COMPUTED_VALUE"""),FALSE)</f>
        <v>0</v>
      </c>
      <c r="AJ11" s="292" t="b">
        <f>IFERROR(__xludf.DUMMYFUNCTION("""COMPUTED_VALUE"""),FALSE)</f>
        <v>0</v>
      </c>
      <c r="AK11" s="292" t="b">
        <f>IFERROR(__xludf.DUMMYFUNCTION("""COMPUTED_VALUE"""),FALSE)</f>
        <v>0</v>
      </c>
      <c r="AL11" s="292" t="b">
        <f>IFERROR(__xludf.DUMMYFUNCTION("""COMPUTED_VALUE"""),FALSE)</f>
        <v>0</v>
      </c>
      <c r="AM11" s="292" t="b">
        <f>IFERROR(__xludf.DUMMYFUNCTION("""COMPUTED_VALUE"""),TRUE)</f>
        <v>1</v>
      </c>
      <c r="AN11" s="292" t="b">
        <f>IFERROR(__xludf.DUMMYFUNCTION("""COMPUTED_VALUE"""),FALSE)</f>
        <v>0</v>
      </c>
      <c r="AO11" s="292" t="str">
        <f>IFERROR(__xludf.DUMMYFUNCTION("""COMPUTED_VALUE"""),"FALSE")</f>
        <v>FALSE</v>
      </c>
      <c r="AP11" s="292" t="str">
        <f>IFERROR(__xludf.DUMMYFUNCTION("""COMPUTED_VALUE"""),"Salmon")</f>
        <v>Salmon</v>
      </c>
      <c r="AQ11" s="292" t="str">
        <f>IFERROR(__xludf.DUMMYFUNCTION("""COMPUTED_VALUE"""),"Salmon")</f>
        <v>Salmon</v>
      </c>
      <c r="AR11" s="292" t="str">
        <f>IFERROR(__xludf.DUMMYFUNCTION("""COMPUTED_VALUE"""),"Filet")</f>
        <v>Filet</v>
      </c>
      <c r="AS11" s="292" t="str">
        <f>IFERROR(__xludf.DUMMYFUNCTION("""COMPUTED_VALUE"""),"Cauliflower Rice")</f>
        <v>Cauliflower Rice</v>
      </c>
      <c r="AT11" s="292" t="str">
        <f>IFERROR(__xludf.DUMMYFUNCTION("""COMPUTED_VALUE"""),"Broccoli")</f>
        <v>Broccoli</v>
      </c>
      <c r="AU11" s="292"/>
      <c r="AV11" s="292"/>
      <c r="AW11" s="292" t="str">
        <f>IFERROR(__xludf.DUMMYFUNCTION("""COMPUTED_VALUE"""),"Year Round")</f>
        <v>Year Round</v>
      </c>
      <c r="AX11" s="292" t="str">
        <f>IFERROR(__xludf.DUMMYFUNCTION("""COMPUTED_VALUE"""),"American")</f>
        <v>American</v>
      </c>
      <c r="AY11" s="292"/>
      <c r="AZ11" s="292" t="str">
        <f>IFERROR(__xludf.DUMMYFUNCTION("""COMPUTED_VALUE"""),"2 CT")</f>
        <v>2 CT</v>
      </c>
      <c r="BA11" s="292" t="b">
        <f>IFERROR(__xludf.DUMMYFUNCTION("""COMPUTED_VALUE"""),FALSE)</f>
        <v>0</v>
      </c>
      <c r="BB11" s="342">
        <f>IFERROR(__xludf.DUMMYFUNCTION("""COMPUTED_VALUE"""),3.57)</f>
        <v>3.57</v>
      </c>
      <c r="BC11" s="342">
        <f>IFERROR(__xludf.DUMMYFUNCTION("""COMPUTED_VALUE"""),0.86)</f>
        <v>0.86</v>
      </c>
      <c r="BD11" s="342">
        <f>IFERROR(__xludf.DUMMYFUNCTION("""COMPUTED_VALUE"""),0.362)</f>
        <v>0.362</v>
      </c>
      <c r="BE11" s="342">
        <f>IFERROR(__xludf.DUMMYFUNCTION("""COMPUTED_VALUE"""),0.89)</f>
        <v>0.89</v>
      </c>
      <c r="BF11" s="296" t="str">
        <f>IFERROR(__xludf.DUMMYFUNCTION("""COMPUTED_VALUE"""),"#REF!")</f>
        <v>#REF!</v>
      </c>
      <c r="BG11" s="296" t="str">
        <f>IFERROR(__xludf.DUMMYFUNCTION("""COMPUTED_VALUE"""),"#REF!")</f>
        <v>#REF!</v>
      </c>
      <c r="BH11" s="296" t="str">
        <f>IFERROR(__xludf.DUMMYFUNCTION("""COMPUTED_VALUE"""),"#REF!")</f>
        <v>#REF!</v>
      </c>
      <c r="BI11" s="295">
        <f>IFERROR(__xludf.DUMMYFUNCTION("""COMPUTED_VALUE"""),170.0)</f>
        <v>170</v>
      </c>
      <c r="BJ11" s="295" t="str">
        <f>IFERROR(__xludf.DUMMYFUNCTION("""COMPUTED_VALUE"""),"TRUE")</f>
        <v>TRUE</v>
      </c>
      <c r="BK11" s="346">
        <f>IFERROR(__xludf.DUMMYFUNCTION("""COMPUTED_VALUE"""),2694.0)</f>
        <v>2694</v>
      </c>
      <c r="BL11" s="292" t="str">
        <f>IFERROR(__xludf.DUMMYFUNCTION("""COMPUTED_VALUE"""),"US")</f>
        <v>US</v>
      </c>
      <c r="BM11" s="292"/>
      <c r="BN11" s="292"/>
      <c r="BO11" s="292"/>
      <c r="BP11" s="292"/>
      <c r="BQ11" s="292" t="str">
        <f>IFERROR(__xludf.DUMMYFUNCTION("""COMPUTED_VALUE"""),"Graveyard")</f>
        <v>Graveyard</v>
      </c>
      <c r="BR11" s="292" t="b">
        <f>IFERROR(__xludf.DUMMYFUNCTION("""COMPUTED_VALUE"""),FALSE)</f>
        <v>0</v>
      </c>
      <c r="BS11" s="292" t="b">
        <f>IFERROR(__xludf.DUMMYFUNCTION("""COMPUTED_VALUE"""),FALSE)</f>
        <v>0</v>
      </c>
      <c r="BT11" s="292"/>
      <c r="BU11" s="292"/>
      <c r="BV11" s="292"/>
      <c r="BW11" s="292"/>
    </row>
    <row r="12">
      <c r="A12" s="292" t="str">
        <f>IFERROR(__xludf.DUMMYFUNCTION("""COMPUTED_VALUE"""),"FE0036B")</f>
        <v>FE0036B</v>
      </c>
      <c r="B12" s="292" t="str">
        <f>IFERROR(__xludf.DUMMYFUNCTION("""COMPUTED_VALUE"""),"CON-40-143755-4")</f>
        <v>CON-40-143755-4</v>
      </c>
      <c r="C12" s="292" t="str">
        <f>IFERROR(__xludf.DUMMYFUNCTION("""COMPUTED_VALUE"""),"CON-00-147814-2")</f>
        <v>CON-00-147814-2</v>
      </c>
      <c r="D12" s="292" t="str">
        <f>IFERROR(__xludf.DUMMYFUNCTION("""COMPUTED_VALUE"""),"CON-00-136617-3")</f>
        <v>CON-00-136617-3</v>
      </c>
      <c r="E12" s="292" t="str">
        <f>IFERROR(__xludf.DUMMYFUNCTION("""COMPUTED_VALUE"""),"Salmon on cheesy cauliflower rice")</f>
        <v>Salmon on cheesy cauliflower rice</v>
      </c>
      <c r="F12" s="292" t="str">
        <f>IFERROR(__xludf.DUMMYFUNCTION("""COMPUTED_VALUE"""),"mokey")</f>
        <v>mokey</v>
      </c>
      <c r="G12" s="292" t="str">
        <f>IFERROR(__xludf.DUMMYFUNCTION("""COMPUTED_VALUE"""),"Zalm op cheesy bloemkoolrijst")</f>
        <v>Zalm op cheesy bloemkoolrijst</v>
      </c>
      <c r="H12" s="292" t="str">
        <f>IFERROR(__xludf.DUMMYFUNCTION("""COMPUTED_VALUE"""),"met pittige broccoli")</f>
        <v>met pittige broccoli</v>
      </c>
      <c r="I12" s="292" t="str">
        <f>IFERROR(__xludf.DUMMYFUNCTION("""COMPUTED_VALUE"""),"Laks og ostegratineret blomkålsris")</f>
        <v>Laks og ostegratineret blomkålsris</v>
      </c>
      <c r="J12" s="292" t="str">
        <f>IFERROR(__xludf.DUMMYFUNCTION("""COMPUTED_VALUE"""),"Lachs auf Blumenkohlreis in Käsecreme")</f>
        <v>Lachs auf Blumenkohlreis in Käsecreme</v>
      </c>
      <c r="K12" s="292">
        <f>IFERROR(__xludf.DUMMYFUNCTION("""COMPUTED_VALUE"""),565042.0)</f>
        <v>565042</v>
      </c>
      <c r="L12" s="292" t="str">
        <f>IFERROR(__xludf.DUMMYFUNCTION("""COMPUTED_VALUE"""),"HF Zwarte Zalm 369g")</f>
        <v>HF Zwarte Zalm 369g</v>
      </c>
      <c r="M12" s="292" t="str">
        <f>IFERROR(__xludf.DUMMYFUNCTION("""COMPUTED_VALUE"""),"FA-NL Zalm Op Cheesy Bloemkoolrijst (FE0036)")</f>
        <v>FA-NL Zalm Op Cheesy Bloemkoolrijst (FE0036)</v>
      </c>
      <c r="N12" s="292" t="str">
        <f>IFERROR(__xludf.DUMMYFUNCTION("""COMPUTED_VALUE"""),"FA-NO Laks og ostegratineret blomkålsris (FE0036)")</f>
        <v>FA-NO Laks og ostegratineret blomkålsris (FE0036)</v>
      </c>
      <c r="O12" s="292" t="str">
        <f>IFERROR(__xludf.DUMMYFUNCTION("""COMPUTED_VALUE"""),"FA-DE Lachs auf Blumenkohlreis in Käsecreme (FE0036)")</f>
        <v>FA-DE Lachs auf Blumenkohlreis in Käsecreme (FE0036)</v>
      </c>
      <c r="P12" s="292" t="str">
        <f>IFERROR(__xludf.DUMMYFUNCTION("""COMPUTED_VALUE"""),"Graveyard")</f>
        <v>Graveyard</v>
      </c>
      <c r="Q12" s="292" t="str">
        <f>IFERROR(__xludf.DUMMYFUNCTION("""COMPUTED_VALUE"""),"swapped smoked cheese for gouda cheese and smoke aroma due to inavailability RM")</f>
        <v>swapped smoked cheese for gouda cheese and smoke aroma due to inavailability RM</v>
      </c>
      <c r="R12" s="342">
        <f>IFERROR(__xludf.DUMMYFUNCTION("""COMPUTED_VALUE"""),5.63)</f>
        <v>5.63</v>
      </c>
      <c r="S12" s="292"/>
      <c r="T12" s="292"/>
      <c r="U12" s="292"/>
      <c r="V12" s="292"/>
      <c r="W12" s="292" t="b">
        <f>IFERROR(__xludf.DUMMYFUNCTION("""COMPUTED_VALUE"""),TRUE)</f>
        <v>1</v>
      </c>
      <c r="X12" s="345">
        <f>IFERROR(__xludf.DUMMYFUNCTION("""COMPUTED_VALUE"""),369.0)</f>
        <v>369</v>
      </c>
      <c r="Y12" s="344">
        <f>IFERROR(__xludf.DUMMYFUNCTION("""COMPUTED_VALUE"""),535.0)</f>
        <v>535</v>
      </c>
      <c r="Z12" s="343">
        <f>IFERROR(__xludf.DUMMYFUNCTION("""COMPUTED_VALUE"""),35.9)</f>
        <v>35.9</v>
      </c>
      <c r="AA12" s="344">
        <f>IFERROR(__xludf.DUMMYFUNCTION("""COMPUTED_VALUE"""),14.3)</f>
        <v>14.3</v>
      </c>
      <c r="AB12" s="344">
        <f>IFERROR(__xludf.DUMMYFUNCTION("""COMPUTED_VALUE"""),11.2)</f>
        <v>11.2</v>
      </c>
      <c r="AC12" s="344">
        <f>IFERROR(__xludf.DUMMYFUNCTION("""COMPUTED_VALUE"""),7.7)</f>
        <v>7.7</v>
      </c>
      <c r="AD12" s="344">
        <f>IFERROR(__xludf.DUMMYFUNCTION("""COMPUTED_VALUE"""),5.3)</f>
        <v>5.3</v>
      </c>
      <c r="AE12" s="343">
        <f>IFERROR(__xludf.DUMMYFUNCTION("""COMPUTED_VALUE"""),38.8)</f>
        <v>38.8</v>
      </c>
      <c r="AF12" s="343">
        <f>IFERROR(__xludf.DUMMYFUNCTION("""COMPUTED_VALUE"""),1.79)</f>
        <v>1.79</v>
      </c>
      <c r="AG12" s="292" t="b">
        <f>IFERROR(__xludf.DUMMYFUNCTION("""COMPUTED_VALUE"""),TRUE)</f>
        <v>1</v>
      </c>
      <c r="AH12" s="292" t="b">
        <f>IFERROR(__xludf.DUMMYFUNCTION("""COMPUTED_VALUE"""),TRUE)</f>
        <v>1</v>
      </c>
      <c r="AI12" s="292" t="b">
        <f>IFERROR(__xludf.DUMMYFUNCTION("""COMPUTED_VALUE"""),FALSE)</f>
        <v>0</v>
      </c>
      <c r="AJ12" s="292" t="b">
        <f>IFERROR(__xludf.DUMMYFUNCTION("""COMPUTED_VALUE"""),FALSE)</f>
        <v>0</v>
      </c>
      <c r="AK12" s="292" t="b">
        <f>IFERROR(__xludf.DUMMYFUNCTION("""COMPUTED_VALUE"""),FALSE)</f>
        <v>0</v>
      </c>
      <c r="AL12" s="292" t="b">
        <f>IFERROR(__xludf.DUMMYFUNCTION("""COMPUTED_VALUE"""),FALSE)</f>
        <v>0</v>
      </c>
      <c r="AM12" s="292" t="b">
        <f>IFERROR(__xludf.DUMMYFUNCTION("""COMPUTED_VALUE"""),TRUE)</f>
        <v>1</v>
      </c>
      <c r="AN12" s="292" t="b">
        <f>IFERROR(__xludf.DUMMYFUNCTION("""COMPUTED_VALUE"""),FALSE)</f>
        <v>0</v>
      </c>
      <c r="AO12" s="292" t="str">
        <f>IFERROR(__xludf.DUMMYFUNCTION("""COMPUTED_VALUE"""),"FALSE")</f>
        <v>FALSE</v>
      </c>
      <c r="AP12" s="292" t="str">
        <f>IFERROR(__xludf.DUMMYFUNCTION("""COMPUTED_VALUE"""),"Salmon")</f>
        <v>Salmon</v>
      </c>
      <c r="AQ12" s="292" t="str">
        <f>IFERROR(__xludf.DUMMYFUNCTION("""COMPUTED_VALUE"""),"Salmon")</f>
        <v>Salmon</v>
      </c>
      <c r="AR12" s="292" t="str">
        <f>IFERROR(__xludf.DUMMYFUNCTION("""COMPUTED_VALUE"""),"Filet")</f>
        <v>Filet</v>
      </c>
      <c r="AS12" s="292" t="str">
        <f>IFERROR(__xludf.DUMMYFUNCTION("""COMPUTED_VALUE"""),"Cauliflower Rice")</f>
        <v>Cauliflower Rice</v>
      </c>
      <c r="AT12" s="292" t="str">
        <f>IFERROR(__xludf.DUMMYFUNCTION("""COMPUTED_VALUE"""),"Broccoli")</f>
        <v>Broccoli</v>
      </c>
      <c r="AU12" s="292"/>
      <c r="AV12" s="292"/>
      <c r="AW12" s="292" t="str">
        <f>IFERROR(__xludf.DUMMYFUNCTION("""COMPUTED_VALUE"""),"Year Round")</f>
        <v>Year Round</v>
      </c>
      <c r="AX12" s="292" t="str">
        <f>IFERROR(__xludf.DUMMYFUNCTION("""COMPUTED_VALUE"""),"American")</f>
        <v>American</v>
      </c>
      <c r="AY12" s="292"/>
      <c r="AZ12" s="292" t="str">
        <f>IFERROR(__xludf.DUMMYFUNCTION("""COMPUTED_VALUE"""),"2 CT")</f>
        <v>2 CT</v>
      </c>
      <c r="BA12" s="292" t="b">
        <f>IFERROR(__xludf.DUMMYFUNCTION("""COMPUTED_VALUE"""),FALSE)</f>
        <v>0</v>
      </c>
      <c r="BB12" s="342">
        <f>IFERROR(__xludf.DUMMYFUNCTION("""COMPUTED_VALUE"""),3.57)</f>
        <v>3.57</v>
      </c>
      <c r="BC12" s="342">
        <f>IFERROR(__xludf.DUMMYFUNCTION("""COMPUTED_VALUE"""),0.86)</f>
        <v>0.86</v>
      </c>
      <c r="BD12" s="342">
        <f>IFERROR(__xludf.DUMMYFUNCTION("""COMPUTED_VALUE"""),0.362)</f>
        <v>0.362</v>
      </c>
      <c r="BE12" s="342">
        <f>IFERROR(__xludf.DUMMYFUNCTION("""COMPUTED_VALUE"""),0.89)</f>
        <v>0.89</v>
      </c>
      <c r="BF12" s="296" t="str">
        <f>IFERROR(__xludf.DUMMYFUNCTION("""COMPUTED_VALUE"""),"#REF!")</f>
        <v>#REF!</v>
      </c>
      <c r="BG12" s="296" t="str">
        <f>IFERROR(__xludf.DUMMYFUNCTION("""COMPUTED_VALUE"""),"#REF!")</f>
        <v>#REF!</v>
      </c>
      <c r="BH12" s="296" t="str">
        <f>IFERROR(__xludf.DUMMYFUNCTION("""COMPUTED_VALUE"""),"#REF!")</f>
        <v>#REF!</v>
      </c>
      <c r="BI12" s="295">
        <f>IFERROR(__xludf.DUMMYFUNCTION("""COMPUTED_VALUE"""),174.0)</f>
        <v>174</v>
      </c>
      <c r="BJ12" s="295" t="str">
        <f>IFERROR(__xludf.DUMMYFUNCTION("""COMPUTED_VALUE"""),"TRUE")</f>
        <v>TRUE</v>
      </c>
      <c r="BK12" s="346">
        <f>IFERROR(__xludf.DUMMYFUNCTION("""COMPUTED_VALUE"""),2228.0)</f>
        <v>2228</v>
      </c>
      <c r="BL12" s="292" t="str">
        <f>IFERROR(__xludf.DUMMYFUNCTION("""COMPUTED_VALUE"""),"US")</f>
        <v>US</v>
      </c>
      <c r="BM12" s="292" t="str">
        <f>IFERROR(__xludf.DUMMYFUNCTION("""COMPUTED_VALUE"""),"#N/A")</f>
        <v>#N/A</v>
      </c>
      <c r="BN12" s="292"/>
      <c r="BO12" s="292"/>
      <c r="BP12" s="292"/>
      <c r="BQ12" s="292" t="str">
        <f>IFERROR(__xludf.DUMMYFUNCTION("""COMPUTED_VALUE"""),"Graveyard")</f>
        <v>Graveyard</v>
      </c>
      <c r="BR12" s="292" t="b">
        <f>IFERROR(__xludf.DUMMYFUNCTION("""COMPUTED_VALUE"""),FALSE)</f>
        <v>0</v>
      </c>
      <c r="BS12" s="292" t="b">
        <f>IFERROR(__xludf.DUMMYFUNCTION("""COMPUTED_VALUE"""),FALSE)</f>
        <v>0</v>
      </c>
      <c r="BT12" s="345">
        <f>IFERROR(__xludf.DUMMYFUNCTION("""COMPUTED_VALUE"""),604.0)</f>
        <v>604</v>
      </c>
      <c r="BU12" s="345">
        <f>IFERROR(__xludf.DUMMYFUNCTION("""COMPUTED_VALUE"""),145.0)</f>
        <v>145</v>
      </c>
      <c r="BV12" s="344">
        <f>IFERROR(__xludf.DUMMYFUNCTION("""COMPUTED_VALUE"""),9.7)</f>
        <v>9.7</v>
      </c>
      <c r="BW12" s="344">
        <f>IFERROR(__xludf.DUMMYFUNCTION("""COMPUTED_VALUE"""),3.9)</f>
        <v>3.9</v>
      </c>
    </row>
    <row r="13">
      <c r="A13" s="292" t="str">
        <f>IFERROR(__xludf.DUMMYFUNCTION("""COMPUTED_VALUE"""),"FE0036C")</f>
        <v>FE0036C</v>
      </c>
      <c r="B13" s="292" t="str">
        <f>IFERROR(__xludf.DUMMYFUNCTION("""COMPUTED_VALUE"""),"CON-40-143755-4")</f>
        <v>CON-40-143755-4</v>
      </c>
      <c r="C13" s="292" t="str">
        <f>IFERROR(__xludf.DUMMYFUNCTION("""COMPUTED_VALUE"""),"CON-00-147814-2")</f>
        <v>CON-00-147814-2</v>
      </c>
      <c r="D13" s="292" t="str">
        <f>IFERROR(__xludf.DUMMYFUNCTION("""COMPUTED_VALUE"""),"CON-00-136617-3")</f>
        <v>CON-00-136617-3</v>
      </c>
      <c r="E13" s="292" t="str">
        <f>IFERROR(__xludf.DUMMYFUNCTION("""COMPUTED_VALUE"""),"Salmon on cheesy cauliflower rice")</f>
        <v>Salmon on cheesy cauliflower rice</v>
      </c>
      <c r="F13" s="292" t="str">
        <f>IFERROR(__xludf.DUMMYFUNCTION("""COMPUTED_VALUE"""),"with spicy broccoli")</f>
        <v>with spicy broccoli</v>
      </c>
      <c r="G13" s="292" t="str">
        <f>IFERROR(__xludf.DUMMYFUNCTION("""COMPUTED_VALUE"""),"Zalm op cheesy bloemkoolrijst")</f>
        <v>Zalm op cheesy bloemkoolrijst</v>
      </c>
      <c r="H13" s="292" t="str">
        <f>IFERROR(__xludf.DUMMYFUNCTION("""COMPUTED_VALUE"""),"met pittige broccoli")</f>
        <v>met pittige broccoli</v>
      </c>
      <c r="I13" s="292" t="str">
        <f>IFERROR(__xludf.DUMMYFUNCTION("""COMPUTED_VALUE"""),"Laks og ostegratineret blomkålsris")</f>
        <v>Laks og ostegratineret blomkålsris</v>
      </c>
      <c r="J13" s="292" t="str">
        <f>IFERROR(__xludf.DUMMYFUNCTION("""COMPUTED_VALUE"""),"Lachs auf Blumenkohlreis in Käsecreme")</f>
        <v>Lachs auf Blumenkohlreis in Käsecreme</v>
      </c>
      <c r="K13" s="292">
        <f>IFERROR(__xludf.DUMMYFUNCTION("""COMPUTED_VALUE"""),565042.0)</f>
        <v>565042</v>
      </c>
      <c r="L13" s="292" t="str">
        <f>IFERROR(__xludf.DUMMYFUNCTION("""COMPUTED_VALUE"""),"HF Zwarte Zalm 365g")</f>
        <v>HF Zwarte Zalm 365g</v>
      </c>
      <c r="M13" s="292" t="str">
        <f>IFERROR(__xludf.DUMMYFUNCTION("""COMPUTED_VALUE"""),"FA-NL Zalm Op Cheesy Bloemkoolrijst (FE0036)")</f>
        <v>FA-NL Zalm Op Cheesy Bloemkoolrijst (FE0036)</v>
      </c>
      <c r="N13" s="292" t="str">
        <f>IFERROR(__xludf.DUMMYFUNCTION("""COMPUTED_VALUE"""),"FA-NO Laks og ostegratineret blomkålsris (FE0036)")</f>
        <v>FA-NO Laks og ostegratineret blomkålsris (FE0036)</v>
      </c>
      <c r="O13" s="292" t="str">
        <f>IFERROR(__xludf.DUMMYFUNCTION("""COMPUTED_VALUE"""),"FA-DE Lachs auf Blumenkohlreis in Käsecreme (FE0036)")</f>
        <v>FA-DE Lachs auf Blumenkohlreis in Käsecreme (FE0036)</v>
      </c>
      <c r="P13" s="292" t="str">
        <f>IFERROR(__xludf.DUMMYFUNCTION("""COMPUTED_VALUE"""),"Graveyard")</f>
        <v>Graveyard</v>
      </c>
      <c r="Q13" s="292" t="str">
        <f>IFERROR(__xludf.DUMMYFUNCTION("""COMPUTED_VALUE"""),"produced at Bonfait, without LAB")</f>
        <v>produced at Bonfait, without LAB</v>
      </c>
      <c r="R13" s="342">
        <f>IFERROR(__xludf.DUMMYFUNCTION("""COMPUTED_VALUE"""),5.63)</f>
        <v>5.63</v>
      </c>
      <c r="S13" s="292"/>
      <c r="T13" s="292"/>
      <c r="U13" s="292"/>
      <c r="V13" s="292"/>
      <c r="W13" s="292" t="b">
        <f>IFERROR(__xludf.DUMMYFUNCTION("""COMPUTED_VALUE"""),TRUE)</f>
        <v>1</v>
      </c>
      <c r="X13" s="345">
        <f>IFERROR(__xludf.DUMMYFUNCTION("""COMPUTED_VALUE"""),365.0)</f>
        <v>365</v>
      </c>
      <c r="Y13" s="344">
        <f>IFERROR(__xludf.DUMMYFUNCTION("""COMPUTED_VALUE"""),605.0)</f>
        <v>605</v>
      </c>
      <c r="Z13" s="343">
        <f>IFERROR(__xludf.DUMMYFUNCTION("""COMPUTED_VALUE"""),45.4)</f>
        <v>45.4</v>
      </c>
      <c r="AA13" s="344">
        <f>IFERROR(__xludf.DUMMYFUNCTION("""COMPUTED_VALUE"""),15.1)</f>
        <v>15.1</v>
      </c>
      <c r="AB13" s="344">
        <f>IFERROR(__xludf.DUMMYFUNCTION("""COMPUTED_VALUE"""),9.3)</f>
        <v>9.3</v>
      </c>
      <c r="AC13" s="344">
        <f>IFERROR(__xludf.DUMMYFUNCTION("""COMPUTED_VALUE"""),4.7)</f>
        <v>4.7</v>
      </c>
      <c r="AD13" s="344">
        <f>IFERROR(__xludf.DUMMYFUNCTION("""COMPUTED_VALUE"""),6.1)</f>
        <v>6.1</v>
      </c>
      <c r="AE13" s="343">
        <f>IFERROR(__xludf.DUMMYFUNCTION("""COMPUTED_VALUE"""),36.1)</f>
        <v>36.1</v>
      </c>
      <c r="AF13" s="343">
        <f>IFERROR(__xludf.DUMMYFUNCTION("""COMPUTED_VALUE"""),1.97)</f>
        <v>1.97</v>
      </c>
      <c r="AG13" s="292" t="b">
        <f>IFERROR(__xludf.DUMMYFUNCTION("""COMPUTED_VALUE"""),TRUE)</f>
        <v>1</v>
      </c>
      <c r="AH13" s="292" t="b">
        <f>IFERROR(__xludf.DUMMYFUNCTION("""COMPUTED_VALUE"""),TRUE)</f>
        <v>1</v>
      </c>
      <c r="AI13" s="292" t="b">
        <f>IFERROR(__xludf.DUMMYFUNCTION("""COMPUTED_VALUE"""),FALSE)</f>
        <v>0</v>
      </c>
      <c r="AJ13" s="292" t="b">
        <f>IFERROR(__xludf.DUMMYFUNCTION("""COMPUTED_VALUE"""),FALSE)</f>
        <v>0</v>
      </c>
      <c r="AK13" s="292" t="b">
        <f>IFERROR(__xludf.DUMMYFUNCTION("""COMPUTED_VALUE"""),FALSE)</f>
        <v>0</v>
      </c>
      <c r="AL13" s="292" t="b">
        <f>IFERROR(__xludf.DUMMYFUNCTION("""COMPUTED_VALUE"""),FALSE)</f>
        <v>0</v>
      </c>
      <c r="AM13" s="292" t="b">
        <f>IFERROR(__xludf.DUMMYFUNCTION("""COMPUTED_VALUE"""),TRUE)</f>
        <v>1</v>
      </c>
      <c r="AN13" s="292" t="b">
        <f>IFERROR(__xludf.DUMMYFUNCTION("""COMPUTED_VALUE"""),FALSE)</f>
        <v>0</v>
      </c>
      <c r="AO13" s="292" t="str">
        <f>IFERROR(__xludf.DUMMYFUNCTION("""COMPUTED_VALUE"""),"FALSE")</f>
        <v>FALSE</v>
      </c>
      <c r="AP13" s="292" t="str">
        <f>IFERROR(__xludf.DUMMYFUNCTION("""COMPUTED_VALUE"""),"Salmon")</f>
        <v>Salmon</v>
      </c>
      <c r="AQ13" s="292" t="str">
        <f>IFERROR(__xludf.DUMMYFUNCTION("""COMPUTED_VALUE"""),"Salmon")</f>
        <v>Salmon</v>
      </c>
      <c r="AR13" s="292" t="str">
        <f>IFERROR(__xludf.DUMMYFUNCTION("""COMPUTED_VALUE"""),"Filet")</f>
        <v>Filet</v>
      </c>
      <c r="AS13" s="292" t="str">
        <f>IFERROR(__xludf.DUMMYFUNCTION("""COMPUTED_VALUE"""),"Cauliflower Rice")</f>
        <v>Cauliflower Rice</v>
      </c>
      <c r="AT13" s="292" t="str">
        <f>IFERROR(__xludf.DUMMYFUNCTION("""COMPUTED_VALUE"""),"Broccoli")</f>
        <v>Broccoli</v>
      </c>
      <c r="AU13" s="292"/>
      <c r="AV13" s="292"/>
      <c r="AW13" s="292" t="str">
        <f>IFERROR(__xludf.DUMMYFUNCTION("""COMPUTED_VALUE"""),"Year Round")</f>
        <v>Year Round</v>
      </c>
      <c r="AX13" s="292" t="str">
        <f>IFERROR(__xludf.DUMMYFUNCTION("""COMPUTED_VALUE"""),"American")</f>
        <v>American</v>
      </c>
      <c r="AY13" s="292"/>
      <c r="AZ13" s="292" t="str">
        <f>IFERROR(__xludf.DUMMYFUNCTION("""COMPUTED_VALUE"""),"2 CT")</f>
        <v>2 CT</v>
      </c>
      <c r="BA13" s="292" t="b">
        <f>IFERROR(__xludf.DUMMYFUNCTION("""COMPUTED_VALUE"""),FALSE)</f>
        <v>0</v>
      </c>
      <c r="BB13" s="342">
        <f>IFERROR(__xludf.DUMMYFUNCTION("""COMPUTED_VALUE"""),3.57)</f>
        <v>3.57</v>
      </c>
      <c r="BC13" s="342">
        <f>IFERROR(__xludf.DUMMYFUNCTION("""COMPUTED_VALUE"""),0.86)</f>
        <v>0.86</v>
      </c>
      <c r="BD13" s="342">
        <f>IFERROR(__xludf.DUMMYFUNCTION("""COMPUTED_VALUE"""),0.362)</f>
        <v>0.362</v>
      </c>
      <c r="BE13" s="342">
        <f>IFERROR(__xludf.DUMMYFUNCTION("""COMPUTED_VALUE"""),0.89)</f>
        <v>0.89</v>
      </c>
      <c r="BF13" s="296" t="str">
        <f>IFERROR(__xludf.DUMMYFUNCTION("""COMPUTED_VALUE"""),"#REF!")</f>
        <v>#REF!</v>
      </c>
      <c r="BG13" s="296" t="str">
        <f>IFERROR(__xludf.DUMMYFUNCTION("""COMPUTED_VALUE"""),"#REF!")</f>
        <v>#REF!</v>
      </c>
      <c r="BH13" s="296" t="str">
        <f>IFERROR(__xludf.DUMMYFUNCTION("""COMPUTED_VALUE"""),"#REF!")</f>
        <v>#REF!</v>
      </c>
      <c r="BI13" s="295">
        <f>IFERROR(__xludf.DUMMYFUNCTION("""COMPUTED_VALUE"""),173.0)</f>
        <v>173</v>
      </c>
      <c r="BJ13" s="295" t="str">
        <f>IFERROR(__xludf.DUMMYFUNCTION("""COMPUTED_VALUE"""),"TRUE")</f>
        <v>TRUE</v>
      </c>
      <c r="BK13" s="346">
        <f>IFERROR(__xludf.DUMMYFUNCTION("""COMPUTED_VALUE"""),2513.0)</f>
        <v>2513</v>
      </c>
      <c r="BL13" s="292" t="str">
        <f>IFERROR(__xludf.DUMMYFUNCTION("""COMPUTED_VALUE"""),"US")</f>
        <v>US</v>
      </c>
      <c r="BM13" s="292" t="str">
        <f>IFERROR(__xludf.DUMMYFUNCTION("""COMPUTED_VALUE"""),"Lax på ostgratinerat blomkålsris")</f>
        <v>Lax på ostgratinerat blomkålsris</v>
      </c>
      <c r="BN13" s="292"/>
      <c r="BO13" s="292"/>
      <c r="BP13" s="292"/>
      <c r="BQ13" s="292" t="str">
        <f>IFERROR(__xludf.DUMMYFUNCTION("""COMPUTED_VALUE"""),"Graveyard")</f>
        <v>Graveyard</v>
      </c>
      <c r="BR13" s="292" t="b">
        <f>IFERROR(__xludf.DUMMYFUNCTION("""COMPUTED_VALUE"""),FALSE)</f>
        <v>0</v>
      </c>
      <c r="BS13" s="292" t="b">
        <f>IFERROR(__xludf.DUMMYFUNCTION("""COMPUTED_VALUE"""),FALSE)</f>
        <v>0</v>
      </c>
      <c r="BT13" s="345">
        <f>IFERROR(__xludf.DUMMYFUNCTION("""COMPUTED_VALUE"""),688.0)</f>
        <v>688</v>
      </c>
      <c r="BU13" s="345">
        <f>IFERROR(__xludf.DUMMYFUNCTION("""COMPUTED_VALUE"""),166.0)</f>
        <v>166</v>
      </c>
      <c r="BV13" s="344">
        <f>IFERROR(__xludf.DUMMYFUNCTION("""COMPUTED_VALUE"""),12.4)</f>
        <v>12.4</v>
      </c>
      <c r="BW13" s="344">
        <f>IFERROR(__xludf.DUMMYFUNCTION("""COMPUTED_VALUE"""),4.1)</f>
        <v>4.1</v>
      </c>
    </row>
    <row r="14">
      <c r="A14" s="292" t="str">
        <f>IFERROR(__xludf.DUMMYFUNCTION("""COMPUTED_VALUE"""),"FE0036D")</f>
        <v>FE0036D</v>
      </c>
      <c r="B14" s="292" t="str">
        <f>IFERROR(__xludf.DUMMYFUNCTION("""COMPUTED_VALUE"""),"CON-40-143755-4")</f>
        <v>CON-40-143755-4</v>
      </c>
      <c r="C14" s="292" t="str">
        <f>IFERROR(__xludf.DUMMYFUNCTION("""COMPUTED_VALUE"""),"CON-00-147814-2")</f>
        <v>CON-00-147814-2</v>
      </c>
      <c r="D14" s="292" t="str">
        <f>IFERROR(__xludf.DUMMYFUNCTION("""COMPUTED_VALUE"""),"CON-00-136617-3")</f>
        <v>CON-00-136617-3</v>
      </c>
      <c r="E14" s="292" t="str">
        <f>IFERROR(__xludf.DUMMYFUNCTION("""COMPUTED_VALUE"""),"Salmon on cheesy cauliflower rice")</f>
        <v>Salmon on cheesy cauliflower rice</v>
      </c>
      <c r="F14" s="292" t="str">
        <f>IFERROR(__xludf.DUMMYFUNCTION("""COMPUTED_VALUE"""),"with spicy broccoli")</f>
        <v>with spicy broccoli</v>
      </c>
      <c r="G14" s="292" t="str">
        <f>IFERROR(__xludf.DUMMYFUNCTION("""COMPUTED_VALUE"""),"Zalm op cheesy bloemkoolrijst")</f>
        <v>Zalm op cheesy bloemkoolrijst</v>
      </c>
      <c r="H14" s="292" t="str">
        <f>IFERROR(__xludf.DUMMYFUNCTION("""COMPUTED_VALUE"""),"met pittige broccoli")</f>
        <v>met pittige broccoli</v>
      </c>
      <c r="I14" s="292" t="str">
        <f>IFERROR(__xludf.DUMMYFUNCTION("""COMPUTED_VALUE"""),"Laks og ostegratineret blomkålsris")</f>
        <v>Laks og ostegratineret blomkålsris</v>
      </c>
      <c r="J14" s="292" t="str">
        <f>IFERROR(__xludf.DUMMYFUNCTION("""COMPUTED_VALUE"""),"Lachs auf Blumenkohlreis in Käsecreme")</f>
        <v>Lachs auf Blumenkohlreis in Käsecreme</v>
      </c>
      <c r="K14" s="292">
        <f>IFERROR(__xludf.DUMMYFUNCTION("""COMPUTED_VALUE"""),565042.0)</f>
        <v>565042</v>
      </c>
      <c r="L14" s="292" t="str">
        <f>IFERROR(__xludf.DUMMYFUNCTION("""COMPUTED_VALUE"""),"HF Zwarte Zalm 365g")</f>
        <v>HF Zwarte Zalm 365g</v>
      </c>
      <c r="M14" s="292" t="str">
        <f>IFERROR(__xludf.DUMMYFUNCTION("""COMPUTED_VALUE"""),"FA-NL Zalm Op Cheesy Bloemkoolrijst (FE0036)")</f>
        <v>FA-NL Zalm Op Cheesy Bloemkoolrijst (FE0036)</v>
      </c>
      <c r="N14" s="292" t="str">
        <f>IFERROR(__xludf.DUMMYFUNCTION("""COMPUTED_VALUE"""),"FA-NO Laks og ostegratineret blomkålsris (FE0036)")</f>
        <v>FA-NO Laks og ostegratineret blomkålsris (FE0036)</v>
      </c>
      <c r="O14" s="292" t="str">
        <f>IFERROR(__xludf.DUMMYFUNCTION("""COMPUTED_VALUE"""),"FA-DE Lachs auf Blumenkohlreis in Käsecreme (FE0036)")</f>
        <v>FA-DE Lachs auf Blumenkohlreis in Käsecreme (FE0036)</v>
      </c>
      <c r="P14" s="292" t="str">
        <f>IFERROR(__xludf.DUMMYFUNCTION("""COMPUTED_VALUE"""),"Graveyard")</f>
        <v>Graveyard</v>
      </c>
      <c r="Q14" s="292" t="str">
        <f>IFERROR(__xludf.DUMMYFUNCTION("""COMPUTED_VALUE"""),"removed smoke aroma , also produced at Bonfait without LAB")</f>
        <v>removed smoke aroma , also produced at Bonfait without LAB</v>
      </c>
      <c r="R14" s="342">
        <f>IFERROR(__xludf.DUMMYFUNCTION("""COMPUTED_VALUE"""),6.12)</f>
        <v>6.12</v>
      </c>
      <c r="S14" s="292"/>
      <c r="T14" s="292"/>
      <c r="U14" s="292"/>
      <c r="V14" s="292"/>
      <c r="W14" s="292" t="b">
        <f>IFERROR(__xludf.DUMMYFUNCTION("""COMPUTED_VALUE"""),TRUE)</f>
        <v>1</v>
      </c>
      <c r="X14" s="345">
        <f>IFERROR(__xludf.DUMMYFUNCTION("""COMPUTED_VALUE"""),365.0)</f>
        <v>365</v>
      </c>
      <c r="Y14" s="344">
        <f>IFERROR(__xludf.DUMMYFUNCTION("""COMPUTED_VALUE"""),608.0)</f>
        <v>608</v>
      </c>
      <c r="Z14" s="343">
        <f>IFERROR(__xludf.DUMMYFUNCTION("""COMPUTED_VALUE"""),45.9)</f>
        <v>45.9</v>
      </c>
      <c r="AA14" s="344">
        <f>IFERROR(__xludf.DUMMYFUNCTION("""COMPUTED_VALUE"""),15.5)</f>
        <v>15.5</v>
      </c>
      <c r="AB14" s="344">
        <f>IFERROR(__xludf.DUMMYFUNCTION("""COMPUTED_VALUE"""),9.2)</f>
        <v>9.2</v>
      </c>
      <c r="AC14" s="344">
        <f>IFERROR(__xludf.DUMMYFUNCTION("""COMPUTED_VALUE"""),4.5)</f>
        <v>4.5</v>
      </c>
      <c r="AD14" s="344">
        <f>IFERROR(__xludf.DUMMYFUNCTION("""COMPUTED_VALUE"""),5.9)</f>
        <v>5.9</v>
      </c>
      <c r="AE14" s="343">
        <f>IFERROR(__xludf.DUMMYFUNCTION("""COMPUTED_VALUE"""),35.9)</f>
        <v>35.9</v>
      </c>
      <c r="AF14" s="343">
        <f>IFERROR(__xludf.DUMMYFUNCTION("""COMPUTED_VALUE"""),2.0)</f>
        <v>2</v>
      </c>
      <c r="AG14" s="292" t="b">
        <f>IFERROR(__xludf.DUMMYFUNCTION("""COMPUTED_VALUE"""),TRUE)</f>
        <v>1</v>
      </c>
      <c r="AH14" s="292" t="b">
        <f>IFERROR(__xludf.DUMMYFUNCTION("""COMPUTED_VALUE"""),TRUE)</f>
        <v>1</v>
      </c>
      <c r="AI14" s="292" t="b">
        <f>IFERROR(__xludf.DUMMYFUNCTION("""COMPUTED_VALUE"""),FALSE)</f>
        <v>0</v>
      </c>
      <c r="AJ14" s="292" t="b">
        <f>IFERROR(__xludf.DUMMYFUNCTION("""COMPUTED_VALUE"""),FALSE)</f>
        <v>0</v>
      </c>
      <c r="AK14" s="292" t="b">
        <f>IFERROR(__xludf.DUMMYFUNCTION("""COMPUTED_VALUE"""),FALSE)</f>
        <v>0</v>
      </c>
      <c r="AL14" s="292" t="b">
        <f>IFERROR(__xludf.DUMMYFUNCTION("""COMPUTED_VALUE"""),FALSE)</f>
        <v>0</v>
      </c>
      <c r="AM14" s="292" t="b">
        <f>IFERROR(__xludf.DUMMYFUNCTION("""COMPUTED_VALUE"""),TRUE)</f>
        <v>1</v>
      </c>
      <c r="AN14" s="292" t="b">
        <f>IFERROR(__xludf.DUMMYFUNCTION("""COMPUTED_VALUE"""),FALSE)</f>
        <v>0</v>
      </c>
      <c r="AO14" s="292" t="str">
        <f>IFERROR(__xludf.DUMMYFUNCTION("""COMPUTED_VALUE"""),"FALSE")</f>
        <v>FALSE</v>
      </c>
      <c r="AP14" s="292" t="str">
        <f>IFERROR(__xludf.DUMMYFUNCTION("""COMPUTED_VALUE"""),"Salmon")</f>
        <v>Salmon</v>
      </c>
      <c r="AQ14" s="292" t="str">
        <f>IFERROR(__xludf.DUMMYFUNCTION("""COMPUTED_VALUE"""),"Salmon")</f>
        <v>Salmon</v>
      </c>
      <c r="AR14" s="292" t="str">
        <f>IFERROR(__xludf.DUMMYFUNCTION("""COMPUTED_VALUE"""),"Filet")</f>
        <v>Filet</v>
      </c>
      <c r="AS14" s="292" t="str">
        <f>IFERROR(__xludf.DUMMYFUNCTION("""COMPUTED_VALUE"""),"Cauliflower Rice")</f>
        <v>Cauliflower Rice</v>
      </c>
      <c r="AT14" s="292" t="str">
        <f>IFERROR(__xludf.DUMMYFUNCTION("""COMPUTED_VALUE"""),"Broccoli")</f>
        <v>Broccoli</v>
      </c>
      <c r="AU14" s="292"/>
      <c r="AV14" s="292"/>
      <c r="AW14" s="292" t="str">
        <f>IFERROR(__xludf.DUMMYFUNCTION("""COMPUTED_VALUE"""),"Year Round")</f>
        <v>Year Round</v>
      </c>
      <c r="AX14" s="292" t="str">
        <f>IFERROR(__xludf.DUMMYFUNCTION("""COMPUTED_VALUE"""),"American")</f>
        <v>American</v>
      </c>
      <c r="AY14" s="292"/>
      <c r="AZ14" s="292" t="str">
        <f>IFERROR(__xludf.DUMMYFUNCTION("""COMPUTED_VALUE"""),"2 CT")</f>
        <v>2 CT</v>
      </c>
      <c r="BA14" s="292" t="b">
        <f>IFERROR(__xludf.DUMMYFUNCTION("""COMPUTED_VALUE"""),FALSE)</f>
        <v>0</v>
      </c>
      <c r="BB14" s="342">
        <f>IFERROR(__xludf.DUMMYFUNCTION("""COMPUTED_VALUE"""),3.92)</f>
        <v>3.92</v>
      </c>
      <c r="BC14" s="342">
        <f>IFERROR(__xludf.DUMMYFUNCTION("""COMPUTED_VALUE"""),0.95)</f>
        <v>0.95</v>
      </c>
      <c r="BD14" s="342">
        <f>IFERROR(__xludf.DUMMYFUNCTION("""COMPUTED_VALUE"""),0.36)</f>
        <v>0.36</v>
      </c>
      <c r="BE14" s="342">
        <f>IFERROR(__xludf.DUMMYFUNCTION("""COMPUTED_VALUE"""),0.89)</f>
        <v>0.89</v>
      </c>
      <c r="BF14" s="296">
        <f>IFERROR(__xludf.DUMMYFUNCTION("""COMPUTED_VALUE"""),3.4542021735463506)</f>
        <v>3.454202174</v>
      </c>
      <c r="BG14" s="296">
        <f>IFERROR(__xludf.DUMMYFUNCTION("""COMPUTED_VALUE"""),3.535375713967807)</f>
        <v>3.535375714</v>
      </c>
      <c r="BH14" s="296">
        <f>IFERROR(__xludf.DUMMYFUNCTION("""COMPUTED_VALUE"""),3.457955182072829)</f>
        <v>3.457955182</v>
      </c>
      <c r="BI14" s="295">
        <f>IFERROR(__xludf.DUMMYFUNCTION("""COMPUTED_VALUE"""),174.0)</f>
        <v>174</v>
      </c>
      <c r="BJ14" s="295" t="str">
        <f>IFERROR(__xludf.DUMMYFUNCTION("""COMPUTED_VALUE"""),"TRUE")</f>
        <v>TRUE</v>
      </c>
      <c r="BK14" s="346">
        <f>IFERROR(__xludf.DUMMYFUNCTION("""COMPUTED_VALUE"""),2524.0)</f>
        <v>2524</v>
      </c>
      <c r="BL14" s="292"/>
      <c r="BM14" s="292"/>
      <c r="BN14" s="343">
        <f>IFERROR(__xludf.DUMMYFUNCTION("""COMPUTED_VALUE"""),3.623524783634933)</f>
        <v>3.623524784</v>
      </c>
      <c r="BO14" s="343">
        <f>IFERROR(__xludf.DUMMYFUNCTION("""COMPUTED_VALUE"""),3.380952380952381)</f>
        <v>3.380952381</v>
      </c>
      <c r="BP14" s="292"/>
      <c r="BQ14" s="292" t="str">
        <f>IFERROR(__xludf.DUMMYFUNCTION("""COMPUTED_VALUE"""),"Active")</f>
        <v>Active</v>
      </c>
      <c r="BR14" s="292" t="b">
        <f>IFERROR(__xludf.DUMMYFUNCTION("""COMPUTED_VALUE"""),FALSE)</f>
        <v>0</v>
      </c>
      <c r="BS14" s="292" t="b">
        <f>IFERROR(__xludf.DUMMYFUNCTION("""COMPUTED_VALUE"""),FALSE)</f>
        <v>0</v>
      </c>
      <c r="BT14" s="292"/>
      <c r="BU14" s="292"/>
      <c r="BV14" s="292"/>
      <c r="BW14" s="292"/>
    </row>
    <row r="15">
      <c r="A15" s="292" t="str">
        <f>IFERROR(__xludf.DUMMYFUNCTION("""COMPUTED_VALUE"""),"FE0047G")</f>
        <v>FE0047G</v>
      </c>
      <c r="B15" s="292" t="str">
        <f>IFERROR(__xludf.DUMMYFUNCTION("""COMPUTED_VALUE"""),"CON-40-143652-4")</f>
        <v>CON-40-143652-4</v>
      </c>
      <c r="C15" s="292" t="str">
        <f>IFERROR(__xludf.DUMMYFUNCTION("""COMPUTED_VALUE"""),"CON-00-147815-2")</f>
        <v>CON-00-147815-2</v>
      </c>
      <c r="D15" s="292" t="str">
        <f>IFERROR(__xludf.DUMMYFUNCTION("""COMPUTED_VALUE"""),"CON-00-136723-3")</f>
        <v>CON-00-136723-3</v>
      </c>
      <c r="E15" s="292" t="str">
        <f>IFERROR(__xludf.DUMMYFUNCTION("""COMPUTED_VALUE"""),"Beef &amp; pepper casserole")</f>
        <v>Beef &amp; pepper casserole</v>
      </c>
      <c r="F15" s="292" t="str">
        <f>IFERROR(__xludf.DUMMYFUNCTION("""COMPUTED_VALUE"""),"with cheesy rice and green beans")</f>
        <v>with cheesy rice and green beans</v>
      </c>
      <c r="G15" s="292" t="str">
        <f>IFERROR(__xludf.DUMMYFUNCTION("""COMPUTED_VALUE"""),"Casserole met rundergehakt en paprika")</f>
        <v>Casserole met rundergehakt en paprika</v>
      </c>
      <c r="H15" s="292" t="str">
        <f>IFERROR(__xludf.DUMMYFUNCTION("""COMPUTED_VALUE"""),"met kazige rijst en sperziebonen")</f>
        <v>met kazige rijst en sperziebonen</v>
      </c>
      <c r="I15" s="292" t="str">
        <f>IFERROR(__xludf.DUMMYFUNCTION("""COMPUTED_VALUE"""),"Oksekøds- og pebergryde ")</f>
        <v>Oksekøds- og pebergryde </v>
      </c>
      <c r="J15" s="292" t="str">
        <f>IFERROR(__xludf.DUMMYFUNCTION("""COMPUTED_VALUE"""),"Rindfleisch-Paprika-Auflauf ")</f>
        <v>Rindfleisch-Paprika-Auflauf </v>
      </c>
      <c r="K15" s="292">
        <f>IFERROR(__xludf.DUMMYFUNCTION("""COMPUTED_VALUE"""),565113.0)</f>
        <v>565113</v>
      </c>
      <c r="L15" s="292"/>
      <c r="M15" s="292" t="str">
        <f>IFERROR(__xludf.DUMMYFUNCTION("""COMPUTED_VALUE"""),"FA-NL Casserole met rundergehakt &amp; paprika (FE0047)")</f>
        <v>FA-NL Casserole met rundergehakt &amp; paprika (FE0047)</v>
      </c>
      <c r="N15" s="292" t="str">
        <f>IFERROR(__xludf.DUMMYFUNCTION("""COMPUTED_VALUE"""),"FA-NO Oksekøds- og pebergryde (FE0047)")</f>
        <v>FA-NO Oksekøds- og pebergryde (FE0047)</v>
      </c>
      <c r="O15" s="292" t="str">
        <f>IFERROR(__xludf.DUMMYFUNCTION("""COMPUTED_VALUE"""),"FA-DE Rindfleisch-Paprika-Auflauf (FE0047)")</f>
        <v>FA-DE Rindfleisch-Paprika-Auflauf (FE0047)</v>
      </c>
      <c r="P15" s="292" t="str">
        <f>IFERROR(__xludf.DUMMYFUNCTION("""COMPUTED_VALUE"""),"Active")</f>
        <v>Active</v>
      </c>
      <c r="Q15" s="292"/>
      <c r="R15" s="342">
        <f>IFERROR(__xludf.DUMMYFUNCTION("""COMPUTED_VALUE"""),4.279999999999999)</f>
        <v>4.28</v>
      </c>
      <c r="S15" s="292"/>
      <c r="T15" s="292"/>
      <c r="U15" s="292"/>
      <c r="V15" s="292"/>
      <c r="W15" s="292" t="b">
        <f>IFERROR(__xludf.DUMMYFUNCTION("""COMPUTED_VALUE"""),TRUE)</f>
        <v>1</v>
      </c>
      <c r="X15" s="345">
        <f>IFERROR(__xludf.DUMMYFUNCTION("""COMPUTED_VALUE"""),449.0)</f>
        <v>449</v>
      </c>
      <c r="Y15" s="344">
        <f>IFERROR(__xludf.DUMMYFUNCTION("""COMPUTED_VALUE"""),544.0)</f>
        <v>544</v>
      </c>
      <c r="Z15" s="343">
        <f>IFERROR(__xludf.DUMMYFUNCTION("""COMPUTED_VALUE"""),22.4)</f>
        <v>22.4</v>
      </c>
      <c r="AA15" s="344">
        <f>IFERROR(__xludf.DUMMYFUNCTION("""COMPUTED_VALUE"""),8.9)</f>
        <v>8.9</v>
      </c>
      <c r="AB15" s="344">
        <f>IFERROR(__xludf.DUMMYFUNCTION("""COMPUTED_VALUE"""),54.4)</f>
        <v>54.4</v>
      </c>
      <c r="AC15" s="344">
        <f>IFERROR(__xludf.DUMMYFUNCTION("""COMPUTED_VALUE"""),10.1)</f>
        <v>10.1</v>
      </c>
      <c r="AD15" s="344">
        <f>IFERROR(__xludf.DUMMYFUNCTION("""COMPUTED_VALUE"""),13.2)</f>
        <v>13.2</v>
      </c>
      <c r="AE15" s="343">
        <f>IFERROR(__xludf.DUMMYFUNCTION("""COMPUTED_VALUE"""),23.9)</f>
        <v>23.9</v>
      </c>
      <c r="AF15" s="343">
        <f>IFERROR(__xludf.DUMMYFUNCTION("""COMPUTED_VALUE"""),1.81)</f>
        <v>1.81</v>
      </c>
      <c r="AG15" s="292" t="b">
        <f>IFERROR(__xludf.DUMMYFUNCTION("""COMPUTED_VALUE"""),FALSE)</f>
        <v>0</v>
      </c>
      <c r="AH15" s="292" t="b">
        <f>IFERROR(__xludf.DUMMYFUNCTION("""COMPUTED_VALUE"""),FALSE)</f>
        <v>0</v>
      </c>
      <c r="AI15" s="292" t="b">
        <f>IFERROR(__xludf.DUMMYFUNCTION("""COMPUTED_VALUE"""),TRUE)</f>
        <v>1</v>
      </c>
      <c r="AJ15" s="292" t="b">
        <f>IFERROR(__xludf.DUMMYFUNCTION("""COMPUTED_VALUE"""),FALSE)</f>
        <v>0</v>
      </c>
      <c r="AK15" s="292" t="b">
        <f>IFERROR(__xludf.DUMMYFUNCTION("""COMPUTED_VALUE"""),FALSE)</f>
        <v>0</v>
      </c>
      <c r="AL15" s="292" t="b">
        <f>IFERROR(__xludf.DUMMYFUNCTION("""COMPUTED_VALUE"""),FALSE)</f>
        <v>0</v>
      </c>
      <c r="AM15" s="292" t="b">
        <f>IFERROR(__xludf.DUMMYFUNCTION("""COMPUTED_VALUE"""),FALSE)</f>
        <v>0</v>
      </c>
      <c r="AN15" s="292" t="b">
        <f>IFERROR(__xludf.DUMMYFUNCTION("""COMPUTED_VALUE"""),FALSE)</f>
        <v>0</v>
      </c>
      <c r="AO15" s="292" t="str">
        <f>IFERROR(__xludf.DUMMYFUNCTION("""COMPUTED_VALUE"""),"TRUE")</f>
        <v>TRUE</v>
      </c>
      <c r="AP15" s="292" t="str">
        <f>IFERROR(__xludf.DUMMYFUNCTION("""COMPUTED_VALUE"""),"Ground beef")</f>
        <v>Ground beef</v>
      </c>
      <c r="AQ15" s="292" t="str">
        <f>IFERROR(__xludf.DUMMYFUNCTION("""COMPUTED_VALUE"""),"Beef")</f>
        <v>Beef</v>
      </c>
      <c r="AR15" s="292" t="str">
        <f>IFERROR(__xludf.DUMMYFUNCTION("""COMPUTED_VALUE"""),"Ground")</f>
        <v>Ground</v>
      </c>
      <c r="AS15" s="292" t="str">
        <f>IFERROR(__xludf.DUMMYFUNCTION("""COMPUTED_VALUE"""),"Rice")</f>
        <v>Rice</v>
      </c>
      <c r="AT15" s="292" t="str">
        <f>IFERROR(__xludf.DUMMYFUNCTION("""COMPUTED_VALUE"""),"Pepper Mix")</f>
        <v>Pepper Mix</v>
      </c>
      <c r="AU15" s="292" t="str">
        <f>IFERROR(__xludf.DUMMYFUNCTION("""COMPUTED_VALUE"""),"Green Beans")</f>
        <v>Green Beans</v>
      </c>
      <c r="AV15" s="292" t="str">
        <f>IFERROR(__xludf.DUMMYFUNCTION("""COMPUTED_VALUE"""),"Cheese")</f>
        <v>Cheese</v>
      </c>
      <c r="AW15" s="292" t="str">
        <f>IFERROR(__xludf.DUMMYFUNCTION("""COMPUTED_VALUE"""),"Year Round")</f>
        <v>Year Round</v>
      </c>
      <c r="AX15" s="292" t="str">
        <f>IFERROR(__xludf.DUMMYFUNCTION("""COMPUTED_VALUE"""),"American")</f>
        <v>American</v>
      </c>
      <c r="AY15" s="292"/>
      <c r="AZ15" s="292" t="str">
        <f>IFERROR(__xludf.DUMMYFUNCTION("""COMPUTED_VALUE"""),"2 CT")</f>
        <v>2 CT</v>
      </c>
      <c r="BA15" s="292" t="b">
        <f>IFERROR(__xludf.DUMMYFUNCTION("""COMPUTED_VALUE"""),FALSE)</f>
        <v>0</v>
      </c>
      <c r="BB15" s="342">
        <f>IFERROR(__xludf.DUMMYFUNCTION("""COMPUTED_VALUE"""),1.88)</f>
        <v>1.88</v>
      </c>
      <c r="BC15" s="342">
        <f>IFERROR(__xludf.DUMMYFUNCTION("""COMPUTED_VALUE"""),1.15)</f>
        <v>1.15</v>
      </c>
      <c r="BD15" s="342">
        <f>IFERROR(__xludf.DUMMYFUNCTION("""COMPUTED_VALUE"""),0.36)</f>
        <v>0.36</v>
      </c>
      <c r="BE15" s="342">
        <f>IFERROR(__xludf.DUMMYFUNCTION("""COMPUTED_VALUE"""),0.89)</f>
        <v>0.89</v>
      </c>
      <c r="BF15" s="296">
        <f>IFERROR(__xludf.DUMMYFUNCTION("""COMPUTED_VALUE"""),3.215646518245374)</f>
        <v>3.215646518</v>
      </c>
      <c r="BG15" s="296">
        <f>IFERROR(__xludf.DUMMYFUNCTION("""COMPUTED_VALUE"""),2.996045401966455)</f>
        <v>2.996045402</v>
      </c>
      <c r="BH15" s="296">
        <f>IFERROR(__xludf.DUMMYFUNCTION("""COMPUTED_VALUE"""),2.877185310853345)</f>
        <v>2.877185311</v>
      </c>
      <c r="BI15" s="295">
        <f>IFERROR(__xludf.DUMMYFUNCTION("""COMPUTED_VALUE"""),247.0)</f>
        <v>247</v>
      </c>
      <c r="BJ15" s="295" t="str">
        <f>IFERROR(__xludf.DUMMYFUNCTION("""COMPUTED_VALUE"""),"FALSE")</f>
        <v>FALSE</v>
      </c>
      <c r="BK15" s="346">
        <f>IFERROR(__xludf.DUMMYFUNCTION("""COMPUTED_VALUE"""),2277.0)</f>
        <v>2277</v>
      </c>
      <c r="BL15" s="292" t="str">
        <f>IFERROR(__xludf.DUMMYFUNCTION("""COMPUTED_VALUE"""),"US")</f>
        <v>US</v>
      </c>
      <c r="BM15" s="292" t="str">
        <f>IFERROR(__xludf.DUMMYFUNCTION("""COMPUTED_VALUE"""),"Köttgryta med paprika")</f>
        <v>Köttgryta med paprika</v>
      </c>
      <c r="BN15" s="343">
        <f>IFERROR(__xludf.DUMMYFUNCTION("""COMPUTED_VALUE"""),3.1924242424242424)</f>
        <v>3.192424242</v>
      </c>
      <c r="BO15" s="343">
        <f>IFERROR(__xludf.DUMMYFUNCTION("""COMPUTED_VALUE"""),2.879385964912281)</f>
        <v>2.879385965</v>
      </c>
      <c r="BP15" s="292"/>
      <c r="BQ15" s="292" t="str">
        <f>IFERROR(__xludf.DUMMYFUNCTION("""COMPUTED_VALUE"""),"Active")</f>
        <v>Active</v>
      </c>
      <c r="BR15" s="292" t="b">
        <f>IFERROR(__xludf.DUMMYFUNCTION("""COMPUTED_VALUE"""),FALSE)</f>
        <v>0</v>
      </c>
      <c r="BS15" s="292" t="b">
        <f>IFERROR(__xludf.DUMMYFUNCTION("""COMPUTED_VALUE"""),FALSE)</f>
        <v>0</v>
      </c>
      <c r="BT15" s="345">
        <f>IFERROR(__xludf.DUMMYFUNCTION("""COMPUTED_VALUE"""),507.0)</f>
        <v>507</v>
      </c>
      <c r="BU15" s="345">
        <f>IFERROR(__xludf.DUMMYFUNCTION("""COMPUTED_VALUE"""),121.1)</f>
        <v>121.1</v>
      </c>
      <c r="BV15" s="344">
        <f>IFERROR(__xludf.DUMMYFUNCTION("""COMPUTED_VALUE"""),5.0)</f>
        <v>5</v>
      </c>
      <c r="BW15" s="344">
        <f>IFERROR(__xludf.DUMMYFUNCTION("""COMPUTED_VALUE"""),2.0)</f>
        <v>2</v>
      </c>
    </row>
    <row r="16">
      <c r="A16" s="292" t="str">
        <f>IFERROR(__xludf.DUMMYFUNCTION("""COMPUTED_VALUE"""),"FE0076A")</f>
        <v>FE0076A</v>
      </c>
      <c r="B16" s="292" t="str">
        <f>IFERROR(__xludf.DUMMYFUNCTION("""COMPUTED_VALUE"""),"CON-40-143716-4")</f>
        <v>CON-40-143716-4</v>
      </c>
      <c r="C16" s="292"/>
      <c r="D16" s="292" t="str">
        <f>IFERROR(__xludf.DUMMYFUNCTION("""COMPUTED_VALUE"""),"CON-00-136632-3")</f>
        <v>CON-00-136632-3</v>
      </c>
      <c r="E16" s="292" t="str">
        <f>IFERROR(__xludf.DUMMYFUNCTION("""COMPUTED_VALUE"""),"Pulled pork in spicy citrus marinade")</f>
        <v>Pulled pork in spicy citrus marinade</v>
      </c>
      <c r="F16" s="292" t="str">
        <f>IFERROR(__xludf.DUMMYFUNCTION("""COMPUTED_VALUE"""),"with wild rice and black beans")</f>
        <v>with wild rice and black beans</v>
      </c>
      <c r="G16" s="292" t="str">
        <f>IFERROR(__xludf.DUMMYFUNCTION("""COMPUTED_VALUE"""),"Pulled pork in pittige citrus-marinade")</f>
        <v>Pulled pork in pittige citrus-marinade</v>
      </c>
      <c r="H16" s="292" t="str">
        <f>IFERROR(__xludf.DUMMYFUNCTION("""COMPUTED_VALUE"""),"met wilde rijst en zwarte bonen")</f>
        <v>met wilde rijst en zwarte bonen</v>
      </c>
      <c r="I16" s="292"/>
      <c r="J16" s="292" t="str">
        <f>IFERROR(__xludf.DUMMYFUNCTION("""COMPUTED_VALUE"""),"Pulled Pork in würziger Zitrusmarinade")</f>
        <v>Pulled Pork in würziger Zitrusmarinade</v>
      </c>
      <c r="K16" s="292">
        <f>IFERROR(__xludf.DUMMYFUNCTION("""COMPUTED_VALUE"""),565041.0)</f>
        <v>565041</v>
      </c>
      <c r="L16" s="292" t="str">
        <f>IFERROR(__xludf.DUMMYFUNCTION("""COMPUTED_VALUE"""),"HF Citrus Mojo Cubaans Varkensvlees 380g")</f>
        <v>HF Citrus Mojo Cubaans Varkensvlees 380g</v>
      </c>
      <c r="M16" s="292" t="str">
        <f>IFERROR(__xludf.DUMMYFUNCTION("""COMPUTED_VALUE"""),"FA-NL Pulled pork in pittige citrus-marinade (FE0076)")</f>
        <v>FA-NL Pulled pork in pittige citrus-marinade (FE0076)</v>
      </c>
      <c r="N16" s="292" t="str">
        <f>IFERROR(__xludf.DUMMYFUNCTION("""COMPUTED_VALUE"""),"#N/A")</f>
        <v>#N/A</v>
      </c>
      <c r="O16" s="292" t="str">
        <f>IFERROR(__xludf.DUMMYFUNCTION("""COMPUTED_VALUE"""),"FA-DE Pulled Pork in würziger Zitrusmarinade (FE0076)")</f>
        <v>FA-DE Pulled Pork in würziger Zitrusmarinade (FE0076)</v>
      </c>
      <c r="P16" s="292" t="str">
        <f>IFERROR(__xludf.DUMMYFUNCTION("""COMPUTED_VALUE"""),"Graveyard")</f>
        <v>Graveyard</v>
      </c>
      <c r="Q16" s="292"/>
      <c r="R16" s="342">
        <f>IFERROR(__xludf.DUMMYFUNCTION("""COMPUTED_VALUE"""),3.95)</f>
        <v>3.95</v>
      </c>
      <c r="S16" s="298">
        <f>IFERROR(__xludf.DUMMYFUNCTION("""COMPUTED_VALUE"""),0.019005046595692757)</f>
        <v>0.0190050466</v>
      </c>
      <c r="T16" s="343">
        <f>IFERROR(__xludf.DUMMYFUNCTION("""COMPUTED_VALUE"""),3.4171523178807948)</f>
        <v>3.417152318</v>
      </c>
      <c r="U16" s="292">
        <f>IFERROR(__xludf.DUMMYFUNCTION("""COMPUTED_VALUE"""),3988.0)</f>
        <v>3988</v>
      </c>
      <c r="V16" s="292"/>
      <c r="W16" s="292" t="b">
        <f>IFERROR(__xludf.DUMMYFUNCTION("""COMPUTED_VALUE"""),FALSE)</f>
        <v>0</v>
      </c>
      <c r="X16" s="345">
        <f>IFERROR(__xludf.DUMMYFUNCTION("""COMPUTED_VALUE"""),380.0)</f>
        <v>380</v>
      </c>
      <c r="Y16" s="344">
        <f>IFERROR(__xludf.DUMMYFUNCTION("""COMPUTED_VALUE"""),483.0)</f>
        <v>483</v>
      </c>
      <c r="Z16" s="343">
        <f>IFERROR(__xludf.DUMMYFUNCTION("""COMPUTED_VALUE"""),18.0)</f>
        <v>18</v>
      </c>
      <c r="AA16" s="344">
        <f>IFERROR(__xludf.DUMMYFUNCTION("""COMPUTED_VALUE"""),2.9)</f>
        <v>2.9</v>
      </c>
      <c r="AB16" s="344">
        <f>IFERROR(__xludf.DUMMYFUNCTION("""COMPUTED_VALUE"""),44.4)</f>
        <v>44.4</v>
      </c>
      <c r="AC16" s="344">
        <f>IFERROR(__xludf.DUMMYFUNCTION("""COMPUTED_VALUE"""),8.3)</f>
        <v>8.3</v>
      </c>
      <c r="AD16" s="344">
        <f>IFERROR(__xludf.DUMMYFUNCTION("""COMPUTED_VALUE"""),8.8)</f>
        <v>8.8</v>
      </c>
      <c r="AE16" s="343">
        <f>IFERROR(__xludf.DUMMYFUNCTION("""COMPUTED_VALUE"""),31.0)</f>
        <v>31</v>
      </c>
      <c r="AF16" s="343">
        <f>IFERROR(__xludf.DUMMYFUNCTION("""COMPUTED_VALUE"""),1.7)</f>
        <v>1.7</v>
      </c>
      <c r="AG16" s="292" t="b">
        <f>IFERROR(__xludf.DUMMYFUNCTION("""COMPUTED_VALUE"""),FALSE)</f>
        <v>0</v>
      </c>
      <c r="AH16" s="292" t="b">
        <f>IFERROR(__xludf.DUMMYFUNCTION("""COMPUTED_VALUE"""),FALSE)</f>
        <v>0</v>
      </c>
      <c r="AI16" s="292" t="b">
        <f>IFERROR(__xludf.DUMMYFUNCTION("""COMPUTED_VALUE"""),TRUE)</f>
        <v>1</v>
      </c>
      <c r="AJ16" s="292" t="b">
        <f>IFERROR(__xludf.DUMMYFUNCTION("""COMPUTED_VALUE"""),FALSE)</f>
        <v>0</v>
      </c>
      <c r="AK16" s="292" t="b">
        <f>IFERROR(__xludf.DUMMYFUNCTION("""COMPUTED_VALUE"""),FALSE)</f>
        <v>0</v>
      </c>
      <c r="AL16" s="292" t="b">
        <f>IFERROR(__xludf.DUMMYFUNCTION("""COMPUTED_VALUE"""),FALSE)</f>
        <v>0</v>
      </c>
      <c r="AM16" s="292" t="b">
        <f>IFERROR(__xludf.DUMMYFUNCTION("""COMPUTED_VALUE"""),TRUE)</f>
        <v>1</v>
      </c>
      <c r="AN16" s="292" t="b">
        <f>IFERROR(__xludf.DUMMYFUNCTION("""COMPUTED_VALUE"""),TRUE)</f>
        <v>1</v>
      </c>
      <c r="AO16" s="292" t="str">
        <f>IFERROR(__xludf.DUMMYFUNCTION("""COMPUTED_VALUE"""),"FALSE")</f>
        <v>FALSE</v>
      </c>
      <c r="AP16" s="292" t="str">
        <f>IFERROR(__xludf.DUMMYFUNCTION("""COMPUTED_VALUE"""),"Shredded pork")</f>
        <v>Shredded pork</v>
      </c>
      <c r="AQ16" s="292" t="str">
        <f>IFERROR(__xludf.DUMMYFUNCTION("""COMPUTED_VALUE"""),"Pork")</f>
        <v>Pork</v>
      </c>
      <c r="AR16" s="292" t="str">
        <f>IFERROR(__xludf.DUMMYFUNCTION("""COMPUTED_VALUE"""),"Shoulder")</f>
        <v>Shoulder</v>
      </c>
      <c r="AS16" s="292" t="str">
        <f>IFERROR(__xludf.DUMMYFUNCTION("""COMPUTED_VALUE"""),"Rice")</f>
        <v>Rice</v>
      </c>
      <c r="AT16" s="292" t="str">
        <f>IFERROR(__xludf.DUMMYFUNCTION("""COMPUTED_VALUE"""),"Black Beans")</f>
        <v>Black Beans</v>
      </c>
      <c r="AU16" s="292" t="str">
        <f>IFERROR(__xludf.DUMMYFUNCTION("""COMPUTED_VALUE"""),"Cauliflower Florets")</f>
        <v>Cauliflower Florets</v>
      </c>
      <c r="AV16" s="292" t="str">
        <f>IFERROR(__xludf.DUMMYFUNCTION("""COMPUTED_VALUE"""),"Pepper Mix")</f>
        <v>Pepper Mix</v>
      </c>
      <c r="AW16" s="292" t="str">
        <f>IFERROR(__xludf.DUMMYFUNCTION("""COMPUTED_VALUE"""),"Year Round")</f>
        <v>Year Round</v>
      </c>
      <c r="AX16" s="292" t="str">
        <f>IFERROR(__xludf.DUMMYFUNCTION("""COMPUTED_VALUE"""),"Latin")</f>
        <v>Latin</v>
      </c>
      <c r="AY16" s="292"/>
      <c r="AZ16" s="292" t="str">
        <f>IFERROR(__xludf.DUMMYFUNCTION("""COMPUTED_VALUE"""),"2 CT")</f>
        <v>2 CT</v>
      </c>
      <c r="BA16" s="292" t="b">
        <f>IFERROR(__xludf.DUMMYFUNCTION("""COMPUTED_VALUE"""),FALSE)</f>
        <v>0</v>
      </c>
      <c r="BB16" s="342">
        <f>IFERROR(__xludf.DUMMYFUNCTION("""COMPUTED_VALUE"""),1.89)</f>
        <v>1.89</v>
      </c>
      <c r="BC16" s="342">
        <f>IFERROR(__xludf.DUMMYFUNCTION("""COMPUTED_VALUE"""),0.86)</f>
        <v>0.86</v>
      </c>
      <c r="BD16" s="342">
        <f>IFERROR(__xludf.DUMMYFUNCTION("""COMPUTED_VALUE"""),0.362)</f>
        <v>0.362</v>
      </c>
      <c r="BE16" s="342">
        <f>IFERROR(__xludf.DUMMYFUNCTION("""COMPUTED_VALUE"""),0.89)</f>
        <v>0.89</v>
      </c>
      <c r="BF16" s="296" t="str">
        <f>IFERROR(__xludf.DUMMYFUNCTION("""COMPUTED_VALUE"""),"#REF!")</f>
        <v>#REF!</v>
      </c>
      <c r="BG16" s="296" t="str">
        <f>IFERROR(__xludf.DUMMYFUNCTION("""COMPUTED_VALUE"""),"#REF!")</f>
        <v>#REF!</v>
      </c>
      <c r="BH16" s="296" t="str">
        <f>IFERROR(__xludf.DUMMYFUNCTION("""COMPUTED_VALUE"""),"#REF!")</f>
        <v>#REF!</v>
      </c>
      <c r="BI16" s="295">
        <f>IFERROR(__xludf.DUMMYFUNCTION("""COMPUTED_VALUE"""),158.0)</f>
        <v>158</v>
      </c>
      <c r="BJ16" s="295" t="str">
        <f>IFERROR(__xludf.DUMMYFUNCTION("""COMPUTED_VALUE"""),"FALSE")</f>
        <v>FALSE</v>
      </c>
      <c r="BK16" s="346">
        <f>IFERROR(__xludf.DUMMYFUNCTION("""COMPUTED_VALUE"""),2026.0)</f>
        <v>2026</v>
      </c>
      <c r="BL16" s="292"/>
      <c r="BM16" s="292"/>
      <c r="BN16" s="292"/>
      <c r="BO16" s="292"/>
      <c r="BP16" s="292"/>
      <c r="BQ16" s="292" t="str">
        <f>IFERROR(__xludf.DUMMYFUNCTION("""COMPUTED_VALUE"""),"Graveyard")</f>
        <v>Graveyard</v>
      </c>
      <c r="BR16" s="292" t="b">
        <f>IFERROR(__xludf.DUMMYFUNCTION("""COMPUTED_VALUE"""),FALSE)</f>
        <v>0</v>
      </c>
      <c r="BS16" s="292" t="b">
        <f>IFERROR(__xludf.DUMMYFUNCTION("""COMPUTED_VALUE"""),FALSE)</f>
        <v>0</v>
      </c>
      <c r="BT16" s="345">
        <f>IFERROR(__xludf.DUMMYFUNCTION("""COMPUTED_VALUE"""),533.1578947368422)</f>
        <v>533.1578947</v>
      </c>
      <c r="BU16" s="345">
        <f>IFERROR(__xludf.DUMMYFUNCTION("""COMPUTED_VALUE"""),127.10526315789474)</f>
        <v>127.1052632</v>
      </c>
      <c r="BV16" s="344">
        <f>IFERROR(__xludf.DUMMYFUNCTION("""COMPUTED_VALUE"""),4.736842105263158)</f>
        <v>4.736842105</v>
      </c>
      <c r="BW16" s="344">
        <f>IFERROR(__xludf.DUMMYFUNCTION("""COMPUTED_VALUE"""),0.763157894736842)</f>
        <v>0.7631578947</v>
      </c>
    </row>
    <row r="17">
      <c r="A17" s="292" t="str">
        <f>IFERROR(__xludf.DUMMYFUNCTION("""COMPUTED_VALUE"""),"FE0078A")</f>
        <v>FE0078A</v>
      </c>
      <c r="B17" s="292" t="str">
        <f>IFERROR(__xludf.DUMMYFUNCTION("""COMPUTED_VALUE"""),"CON-40-143655-4")</f>
        <v>CON-40-143655-4</v>
      </c>
      <c r="C17" s="292"/>
      <c r="D17" s="292" t="str">
        <f>IFERROR(__xludf.DUMMYFUNCTION("""COMPUTED_VALUE"""),"CON-00-136633-3")</f>
        <v>CON-00-136633-3</v>
      </c>
      <c r="E17" s="292" t="str">
        <f>IFERROR(__xludf.DUMMYFUNCTION("""COMPUTED_VALUE"""),"Roasted beef and mustard dressing")</f>
        <v>Roasted beef and mustard dressing</v>
      </c>
      <c r="F17" s="292" t="str">
        <f>IFERROR(__xludf.DUMMYFUNCTION("""COMPUTED_VALUE"""),"with spinach-potato puree and Brussels sprouts in balsamic vinegar")</f>
        <v>with spinach-potato puree and Brussels sprouts in balsamic vinegar</v>
      </c>
      <c r="G17" s="292" t="str">
        <f>IFERROR(__xludf.DUMMYFUNCTION("""COMPUTED_VALUE"""),"Draadjesvlees en mosterddressing")</f>
        <v>Draadjesvlees en mosterddressing</v>
      </c>
      <c r="H17" s="292" t="str">
        <f>IFERROR(__xludf.DUMMYFUNCTION("""COMPUTED_VALUE"""),"met spinazie-aardappelpuree en spruitjes in balsamicoazijn")</f>
        <v>met spinazie-aardappelpuree en spruitjes in balsamicoazijn</v>
      </c>
      <c r="I17" s="292"/>
      <c r="J17" s="292" t="str">
        <f>IFERROR(__xludf.DUMMYFUNCTION("""COMPUTED_VALUE"""),"Rinderbraten mit Senf-Dressing")</f>
        <v>Rinderbraten mit Senf-Dressing</v>
      </c>
      <c r="K17" s="292">
        <f>IFERROR(__xludf.DUMMYFUNCTION("""COMPUTED_VALUE"""),565025.0)</f>
        <v>565025</v>
      </c>
      <c r="L17" s="292" t="str">
        <f>IFERROR(__xludf.DUMMYFUNCTION("""COMPUTED_VALUE"""),"HF Langzaam/gegaard rund met moster 392g")</f>
        <v>HF Langzaam/gegaard rund met moster 392g</v>
      </c>
      <c r="M17" s="292" t="str">
        <f>IFERROR(__xludf.DUMMYFUNCTION("""COMPUTED_VALUE"""),"FA-NL Draadjesvlees en mosterddressing [FE0078]")</f>
        <v>FA-NL Draadjesvlees en mosterddressing [FE0078]</v>
      </c>
      <c r="N17" s="292" t="str">
        <f>IFERROR(__xludf.DUMMYFUNCTION("""COMPUTED_VALUE"""),"#N/A")</f>
        <v>#N/A</v>
      </c>
      <c r="O17" s="292" t="str">
        <f>IFERROR(__xludf.DUMMYFUNCTION("""COMPUTED_VALUE"""),"FA-DE Rinderbraten mit Senf-Dressing (FE0078)")</f>
        <v>FA-DE Rinderbraten mit Senf-Dressing (FE0078)</v>
      </c>
      <c r="P17" s="292" t="str">
        <f>IFERROR(__xludf.DUMMYFUNCTION("""COMPUTED_VALUE"""),"Graveyard")</f>
        <v>Graveyard</v>
      </c>
      <c r="Q17" s="292"/>
      <c r="R17" s="342">
        <f>IFERROR(__xludf.DUMMYFUNCTION("""COMPUTED_VALUE"""),4.3)</f>
        <v>4.3</v>
      </c>
      <c r="S17" s="298">
        <f>IFERROR(__xludf.DUMMYFUNCTION("""COMPUTED_VALUE"""),0.03650574511101883)</f>
        <v>0.03650574511</v>
      </c>
      <c r="T17" s="343">
        <f>IFERROR(__xludf.DUMMYFUNCTION("""COMPUTED_VALUE"""),3.437449334698056)</f>
        <v>3.437449335</v>
      </c>
      <c r="U17" s="292">
        <f>IFERROR(__xludf.DUMMYFUNCTION("""COMPUTED_VALUE"""),12285.0)</f>
        <v>12285</v>
      </c>
      <c r="V17" s="292"/>
      <c r="W17" s="292" t="b">
        <f>IFERROR(__xludf.DUMMYFUNCTION("""COMPUTED_VALUE"""),TRUE)</f>
        <v>1</v>
      </c>
      <c r="X17" s="345">
        <f>IFERROR(__xludf.DUMMYFUNCTION("""COMPUTED_VALUE"""),392.0)</f>
        <v>392</v>
      </c>
      <c r="Y17" s="344">
        <f>IFERROR(__xludf.DUMMYFUNCTION("""COMPUTED_VALUE"""),441.0)</f>
        <v>441</v>
      </c>
      <c r="Z17" s="343">
        <f>IFERROR(__xludf.DUMMYFUNCTION("""COMPUTED_VALUE"""),18.0)</f>
        <v>18</v>
      </c>
      <c r="AA17" s="344">
        <f>IFERROR(__xludf.DUMMYFUNCTION("""COMPUTED_VALUE"""),6.9)</f>
        <v>6.9</v>
      </c>
      <c r="AB17" s="344">
        <f>IFERROR(__xludf.DUMMYFUNCTION("""COMPUTED_VALUE"""),34.2)</f>
        <v>34.2</v>
      </c>
      <c r="AC17" s="344">
        <f>IFERROR(__xludf.DUMMYFUNCTION("""COMPUTED_VALUE"""),7.6)</f>
        <v>7.6</v>
      </c>
      <c r="AD17" s="344">
        <f>IFERROR(__xludf.DUMMYFUNCTION("""COMPUTED_VALUE"""),9.9)</f>
        <v>9.9</v>
      </c>
      <c r="AE17" s="343">
        <f>IFERROR(__xludf.DUMMYFUNCTION("""COMPUTED_VALUE"""),28.3)</f>
        <v>28.3</v>
      </c>
      <c r="AF17" s="343">
        <f>IFERROR(__xludf.DUMMYFUNCTION("""COMPUTED_VALUE"""),1.96)</f>
        <v>1.96</v>
      </c>
      <c r="AG17" s="292" t="b">
        <f>IFERROR(__xludf.DUMMYFUNCTION("""COMPUTED_VALUE"""),FALSE)</f>
        <v>0</v>
      </c>
      <c r="AH17" s="292" t="b">
        <f>IFERROR(__xludf.DUMMYFUNCTION("""COMPUTED_VALUE"""),FALSE)</f>
        <v>0</v>
      </c>
      <c r="AI17" s="292" t="b">
        <f>IFERROR(__xludf.DUMMYFUNCTION("""COMPUTED_VALUE"""),TRUE)</f>
        <v>1</v>
      </c>
      <c r="AJ17" s="292" t="b">
        <f>IFERROR(__xludf.DUMMYFUNCTION("""COMPUTED_VALUE"""),FALSE)</f>
        <v>0</v>
      </c>
      <c r="AK17" s="292" t="b">
        <f>IFERROR(__xludf.DUMMYFUNCTION("""COMPUTED_VALUE"""),FALSE)</f>
        <v>0</v>
      </c>
      <c r="AL17" s="292" t="b">
        <f>IFERROR(__xludf.DUMMYFUNCTION("""COMPUTED_VALUE"""),FALSE)</f>
        <v>0</v>
      </c>
      <c r="AM17" s="292" t="b">
        <f>IFERROR(__xludf.DUMMYFUNCTION("""COMPUTED_VALUE"""),FALSE)</f>
        <v>0</v>
      </c>
      <c r="AN17" s="292" t="b">
        <f>IFERROR(__xludf.DUMMYFUNCTION("""COMPUTED_VALUE"""),FALSE)</f>
        <v>0</v>
      </c>
      <c r="AO17" s="292" t="str">
        <f>IFERROR(__xludf.DUMMYFUNCTION("""COMPUTED_VALUE"""),"TRUE")</f>
        <v>TRUE</v>
      </c>
      <c r="AP17" s="292" t="str">
        <f>IFERROR(__xludf.DUMMYFUNCTION("""COMPUTED_VALUE"""),"Shredded beef")</f>
        <v>Shredded beef</v>
      </c>
      <c r="AQ17" s="292" t="str">
        <f>IFERROR(__xludf.DUMMYFUNCTION("""COMPUTED_VALUE"""),"Beef")</f>
        <v>Beef</v>
      </c>
      <c r="AR17" s="292" t="str">
        <f>IFERROR(__xludf.DUMMYFUNCTION("""COMPUTED_VALUE"""),"Shredded")</f>
        <v>Shredded</v>
      </c>
      <c r="AS17" s="292" t="str">
        <f>IFERROR(__xludf.DUMMYFUNCTION("""COMPUTED_VALUE"""),"Potato Mash")</f>
        <v>Potato Mash</v>
      </c>
      <c r="AT17" s="292" t="str">
        <f>IFERROR(__xludf.DUMMYFUNCTION("""COMPUTED_VALUE"""),"Spinach")</f>
        <v>Spinach</v>
      </c>
      <c r="AU17" s="292" t="str">
        <f>IFERROR(__xludf.DUMMYFUNCTION("""COMPUTED_VALUE"""),"Brussels Sprouts")</f>
        <v>Brussels Sprouts</v>
      </c>
      <c r="AV17" s="292" t="str">
        <f>IFERROR(__xludf.DUMMYFUNCTION("""COMPUTED_VALUE"""),"Cupped Sauce")</f>
        <v>Cupped Sauce</v>
      </c>
      <c r="AW17" s="292" t="str">
        <f>IFERROR(__xludf.DUMMYFUNCTION("""COMPUTED_VALUE"""),"Fall/Winter")</f>
        <v>Fall/Winter</v>
      </c>
      <c r="AX17" s="292" t="str">
        <f>IFERROR(__xludf.DUMMYFUNCTION("""COMPUTED_VALUE"""),"American")</f>
        <v>American</v>
      </c>
      <c r="AY17" s="292"/>
      <c r="AZ17" s="292" t="str">
        <f>IFERROR(__xludf.DUMMYFUNCTION("""COMPUTED_VALUE"""),"3 CT")</f>
        <v>3 CT</v>
      </c>
      <c r="BA17" s="292" t="b">
        <f>IFERROR(__xludf.DUMMYFUNCTION("""COMPUTED_VALUE"""),TRUE)</f>
        <v>1</v>
      </c>
      <c r="BB17" s="342">
        <f>IFERROR(__xludf.DUMMYFUNCTION("""COMPUTED_VALUE"""),2.28)</f>
        <v>2.28</v>
      </c>
      <c r="BC17" s="342">
        <f>IFERROR(__xludf.DUMMYFUNCTION("""COMPUTED_VALUE"""),0.79)</f>
        <v>0.79</v>
      </c>
      <c r="BD17" s="342">
        <f>IFERROR(__xludf.DUMMYFUNCTION("""COMPUTED_VALUE"""),0.392)</f>
        <v>0.392</v>
      </c>
      <c r="BE17" s="342">
        <f>IFERROR(__xludf.DUMMYFUNCTION("""COMPUTED_VALUE"""),0.89)</f>
        <v>0.89</v>
      </c>
      <c r="BF17" s="296" t="str">
        <f>IFERROR(__xludf.DUMMYFUNCTION("""COMPUTED_VALUE"""),"#REF!")</f>
        <v>#REF!</v>
      </c>
      <c r="BG17" s="296" t="str">
        <f>IFERROR(__xludf.DUMMYFUNCTION("""COMPUTED_VALUE"""),"#REF!")</f>
        <v>#REF!</v>
      </c>
      <c r="BH17" s="296" t="str">
        <f>IFERROR(__xludf.DUMMYFUNCTION("""COMPUTED_VALUE"""),"#REF!")</f>
        <v>#REF!</v>
      </c>
      <c r="BI17" s="295">
        <f>IFERROR(__xludf.DUMMYFUNCTION("""COMPUTED_VALUE"""),118.0)</f>
        <v>118</v>
      </c>
      <c r="BJ17" s="295" t="str">
        <f>IFERROR(__xludf.DUMMYFUNCTION("""COMPUTED_VALUE"""),"FALSE")</f>
        <v>FALSE</v>
      </c>
      <c r="BK17" s="346">
        <f>IFERROR(__xludf.DUMMYFUNCTION("""COMPUTED_VALUE"""),1849.0)</f>
        <v>1849</v>
      </c>
      <c r="BL17" s="292"/>
      <c r="BM17" s="292"/>
      <c r="BN17" s="292"/>
      <c r="BO17" s="292"/>
      <c r="BP17" s="292"/>
      <c r="BQ17" s="292" t="str">
        <f>IFERROR(__xludf.DUMMYFUNCTION("""COMPUTED_VALUE"""),"Graveyard")</f>
        <v>Graveyard</v>
      </c>
      <c r="BR17" s="292" t="b">
        <f>IFERROR(__xludf.DUMMYFUNCTION("""COMPUTED_VALUE"""),FALSE)</f>
        <v>0</v>
      </c>
      <c r="BS17" s="292" t="b">
        <f>IFERROR(__xludf.DUMMYFUNCTION("""COMPUTED_VALUE"""),FALSE)</f>
        <v>0</v>
      </c>
      <c r="BT17" s="345">
        <f>IFERROR(__xludf.DUMMYFUNCTION("""COMPUTED_VALUE"""),471.6836734693878)</f>
        <v>471.6836735</v>
      </c>
      <c r="BU17" s="345">
        <f>IFERROR(__xludf.DUMMYFUNCTION("""COMPUTED_VALUE"""),112.5)</f>
        <v>112.5</v>
      </c>
      <c r="BV17" s="344">
        <f>IFERROR(__xludf.DUMMYFUNCTION("""COMPUTED_VALUE"""),4.591836734693878)</f>
        <v>4.591836735</v>
      </c>
      <c r="BW17" s="344">
        <f>IFERROR(__xludf.DUMMYFUNCTION("""COMPUTED_VALUE"""),1.760204081632653)</f>
        <v>1.760204082</v>
      </c>
    </row>
    <row r="18">
      <c r="A18" s="292" t="str">
        <f>IFERROR(__xludf.DUMMYFUNCTION("""COMPUTED_VALUE"""),"FE0090B")</f>
        <v>FE0090B</v>
      </c>
      <c r="B18" s="292" t="str">
        <f>IFERROR(__xludf.DUMMYFUNCTION("""COMPUTED_VALUE"""),"CON-40-143718-4")</f>
        <v>CON-40-143718-4</v>
      </c>
      <c r="C18" s="292" t="str">
        <f>IFERROR(__xludf.DUMMYFUNCTION("""COMPUTED_VALUE"""),"CON-00-147817-2")</f>
        <v>CON-00-147817-2</v>
      </c>
      <c r="D18" s="292" t="str">
        <f>IFERROR(__xludf.DUMMYFUNCTION("""COMPUTED_VALUE"""),"CON-00-136634-3")</f>
        <v>CON-00-136634-3</v>
      </c>
      <c r="E18" s="292" t="str">
        <f>IFERROR(__xludf.DUMMYFUNCTION("""COMPUTED_VALUE"""),"Ratatouille of zucchini and pepper")</f>
        <v>Ratatouille of zucchini and pepper</v>
      </c>
      <c r="F18" s="292" t="str">
        <f>IFERROR(__xludf.DUMMYFUNCTION("""COMPUTED_VALUE"""),"with creamy mascarpone polenta")</f>
        <v>with creamy mascarpone polenta</v>
      </c>
      <c r="G18" s="292" t="str">
        <f>IFERROR(__xludf.DUMMYFUNCTION("""COMPUTED_VALUE"""),"Ratatouille van courgette en paprika")</f>
        <v>Ratatouille van courgette en paprika</v>
      </c>
      <c r="H18" s="292" t="str">
        <f>IFERROR(__xludf.DUMMYFUNCTION("""COMPUTED_VALUE"""),"met romige mascapone-polenta")</f>
        <v>met romige mascapone-polenta</v>
      </c>
      <c r="I18" s="292" t="str">
        <f>IFERROR(__xludf.DUMMYFUNCTION("""COMPUTED_VALUE"""),"Squash- og peberfrugtsratatouille")</f>
        <v>Squash- og peberfrugtsratatouille</v>
      </c>
      <c r="J18" s="292" t="str">
        <f>IFERROR(__xludf.DUMMYFUNCTION("""COMPUTED_VALUE"""),"Zucchini-Paprika-Ratatouille")</f>
        <v>Zucchini-Paprika-Ratatouille</v>
      </c>
      <c r="K18" s="292">
        <f>IFERROR(__xludf.DUMMYFUNCTION("""COMPUTED_VALUE"""),565048.0)</f>
        <v>565048</v>
      </c>
      <c r="L18" s="292" t="str">
        <f>IFERROR(__xludf.DUMMYFUNCTION("""COMPUTED_VALUE"""),"HF Ratatouille verse groenten 409g")</f>
        <v>HF Ratatouille verse groenten 409g</v>
      </c>
      <c r="M18" s="292" t="str">
        <f>IFERROR(__xludf.DUMMYFUNCTION("""COMPUTED_VALUE"""),"FA-NL Ratatouille van courgette en paprika (FE0090)")</f>
        <v>FA-NL Ratatouille van courgette en paprika (FE0090)</v>
      </c>
      <c r="N18" s="292" t="str">
        <f>IFERROR(__xludf.DUMMYFUNCTION("""COMPUTED_VALUE"""),"FA-NO Squash- og peberfrugtsratatouille (FE0090)")</f>
        <v>FA-NO Squash- og peberfrugtsratatouille (FE0090)</v>
      </c>
      <c r="O18" s="292" t="str">
        <f>IFERROR(__xludf.DUMMYFUNCTION("""COMPUTED_VALUE"""),"FA-DE Zucchini-Paprika-Ratatouille (FE0090)")</f>
        <v>FA-DE Zucchini-Paprika-Ratatouille (FE0090)</v>
      </c>
      <c r="P18" s="292" t="str">
        <f>IFERROR(__xludf.DUMMYFUNCTION("""COMPUTED_VALUE"""),"Graveyard")</f>
        <v>Graveyard</v>
      </c>
      <c r="Q18" s="292"/>
      <c r="R18" s="342">
        <f>IFERROR(__xludf.DUMMYFUNCTION("""COMPUTED_VALUE"""),3.63)</f>
        <v>3.63</v>
      </c>
      <c r="S18" s="298">
        <f>IFERROR(__xludf.DUMMYFUNCTION("""COMPUTED_VALUE"""),0.007340621730927399)</f>
        <v>0.007340621731</v>
      </c>
      <c r="T18" s="343">
        <f>IFERROR(__xludf.DUMMYFUNCTION("""COMPUTED_VALUE"""),3.330971659919028)</f>
        <v>3.33097166</v>
      </c>
      <c r="U18" s="292">
        <f>IFERROR(__xludf.DUMMYFUNCTION("""COMPUTED_VALUE"""),4633.0)</f>
        <v>4633</v>
      </c>
      <c r="V18" s="292"/>
      <c r="W18" s="292" t="b">
        <f>IFERROR(__xludf.DUMMYFUNCTION("""COMPUTED_VALUE"""),TRUE)</f>
        <v>1</v>
      </c>
      <c r="X18" s="345">
        <f>IFERROR(__xludf.DUMMYFUNCTION("""COMPUTED_VALUE"""),409.0)</f>
        <v>409</v>
      </c>
      <c r="Y18" s="344">
        <f>IFERROR(__xludf.DUMMYFUNCTION("""COMPUTED_VALUE"""),451.0)</f>
        <v>451</v>
      </c>
      <c r="Z18" s="343">
        <f>IFERROR(__xludf.DUMMYFUNCTION("""COMPUTED_VALUE"""),23.3)</f>
        <v>23.3</v>
      </c>
      <c r="AA18" s="344">
        <f>IFERROR(__xludf.DUMMYFUNCTION("""COMPUTED_VALUE"""),8.6)</f>
        <v>8.6</v>
      </c>
      <c r="AB18" s="344">
        <f>IFERROR(__xludf.DUMMYFUNCTION("""COMPUTED_VALUE"""),40.3)</f>
        <v>40.3</v>
      </c>
      <c r="AC18" s="344">
        <f>IFERROR(__xludf.DUMMYFUNCTION("""COMPUTED_VALUE"""),23.3)</f>
        <v>23.3</v>
      </c>
      <c r="AD18" s="344">
        <f>IFERROR(__xludf.DUMMYFUNCTION("""COMPUTED_VALUE"""),7.8)</f>
        <v>7.8</v>
      </c>
      <c r="AE18" s="343">
        <f>IFERROR(__xludf.DUMMYFUNCTION("""COMPUTED_VALUE"""),15.1)</f>
        <v>15.1</v>
      </c>
      <c r="AF18" s="343">
        <f>IFERROR(__xludf.DUMMYFUNCTION("""COMPUTED_VALUE"""),1.84)</f>
        <v>1.84</v>
      </c>
      <c r="AG18" s="292" t="b">
        <f>IFERROR(__xludf.DUMMYFUNCTION("""COMPUTED_VALUE"""),FALSE)</f>
        <v>0</v>
      </c>
      <c r="AH18" s="292" t="b">
        <f>IFERROR(__xludf.DUMMYFUNCTION("""COMPUTED_VALUE"""),FALSE)</f>
        <v>0</v>
      </c>
      <c r="AI18" s="292" t="b">
        <f>IFERROR(__xludf.DUMMYFUNCTION("""COMPUTED_VALUE"""),TRUE)</f>
        <v>1</v>
      </c>
      <c r="AJ18" s="292" t="b">
        <f>IFERROR(__xludf.DUMMYFUNCTION("""COMPUTED_VALUE"""),FALSE)</f>
        <v>0</v>
      </c>
      <c r="AK18" s="292" t="b">
        <f>IFERROR(__xludf.DUMMYFUNCTION("""COMPUTED_VALUE"""),TRUE)</f>
        <v>1</v>
      </c>
      <c r="AL18" s="292" t="b">
        <f>IFERROR(__xludf.DUMMYFUNCTION("""COMPUTED_VALUE"""),FALSE)</f>
        <v>0</v>
      </c>
      <c r="AM18" s="292" t="b">
        <f>IFERROR(__xludf.DUMMYFUNCTION("""COMPUTED_VALUE"""),FALSE)</f>
        <v>0</v>
      </c>
      <c r="AN18" s="292" t="b">
        <f>IFERROR(__xludf.DUMMYFUNCTION("""COMPUTED_VALUE"""),FALSE)</f>
        <v>0</v>
      </c>
      <c r="AO18" s="292" t="str">
        <f>IFERROR(__xludf.DUMMYFUNCTION("""COMPUTED_VALUE"""),"FALSE")</f>
        <v>FALSE</v>
      </c>
      <c r="AP18" s="292" t="str">
        <f>IFERROR(__xludf.DUMMYFUNCTION("""COMPUTED_VALUE"""),"Vegetarian")</f>
        <v>Vegetarian</v>
      </c>
      <c r="AQ18" s="292" t="str">
        <f>IFERROR(__xludf.DUMMYFUNCTION("""COMPUTED_VALUE"""),"Vegetarian")</f>
        <v>Vegetarian</v>
      </c>
      <c r="AR18" s="292" t="str">
        <f>IFERROR(__xludf.DUMMYFUNCTION("""COMPUTED_VALUE"""),"Vegetable")</f>
        <v>Vegetable</v>
      </c>
      <c r="AS18" s="292" t="str">
        <f>IFERROR(__xludf.DUMMYFUNCTION("""COMPUTED_VALUE"""),"Zucchini Diced")</f>
        <v>Zucchini Diced</v>
      </c>
      <c r="AT18" s="292" t="str">
        <f>IFERROR(__xludf.DUMMYFUNCTION("""COMPUTED_VALUE"""),"Pepper Mix")</f>
        <v>Pepper Mix</v>
      </c>
      <c r="AU18" s="292" t="str">
        <f>IFERROR(__xludf.DUMMYFUNCTION("""COMPUTED_VALUE"""),"Polenta/Grits")</f>
        <v>Polenta/Grits</v>
      </c>
      <c r="AV18" s="292" t="str">
        <f>IFERROR(__xludf.DUMMYFUNCTION("""COMPUTED_VALUE"""),"Seeds")</f>
        <v>Seeds</v>
      </c>
      <c r="AW18" s="292" t="str">
        <f>IFERROR(__xludf.DUMMYFUNCTION("""COMPUTED_VALUE"""),"Year Round")</f>
        <v>Year Round</v>
      </c>
      <c r="AX18" s="292" t="str">
        <f>IFERROR(__xludf.DUMMYFUNCTION("""COMPUTED_VALUE"""),"French")</f>
        <v>French</v>
      </c>
      <c r="AY18" s="292"/>
      <c r="AZ18" s="292" t="str">
        <f>IFERROR(__xludf.DUMMYFUNCTION("""COMPUTED_VALUE"""),"2 CT")</f>
        <v>2 CT</v>
      </c>
      <c r="BA18" s="292" t="b">
        <f>IFERROR(__xludf.DUMMYFUNCTION("""COMPUTED_VALUE"""),FALSE)</f>
        <v>0</v>
      </c>
      <c r="BB18" s="342">
        <f>IFERROR(__xludf.DUMMYFUNCTION("""COMPUTED_VALUE"""),1.41)</f>
        <v>1.41</v>
      </c>
      <c r="BC18" s="342">
        <f>IFERROR(__xludf.DUMMYFUNCTION("""COMPUTED_VALUE"""),0.97)</f>
        <v>0.97</v>
      </c>
      <c r="BD18" s="342">
        <f>IFERROR(__xludf.DUMMYFUNCTION("""COMPUTED_VALUE"""),0.36)</f>
        <v>0.36</v>
      </c>
      <c r="BE18" s="342">
        <f>IFERROR(__xludf.DUMMYFUNCTION("""COMPUTED_VALUE"""),0.89)</f>
        <v>0.89</v>
      </c>
      <c r="BF18" s="296" t="str">
        <f>IFERROR(__xludf.DUMMYFUNCTION("""COMPUTED_VALUE"""),"#REF!")</f>
        <v>#REF!</v>
      </c>
      <c r="BG18" s="296" t="str">
        <f>IFERROR(__xludf.DUMMYFUNCTION("""COMPUTED_VALUE"""),"#REF!")</f>
        <v>#REF!</v>
      </c>
      <c r="BH18" s="296" t="str">
        <f>IFERROR(__xludf.DUMMYFUNCTION("""COMPUTED_VALUE"""),"#REF!")</f>
        <v>#REF!</v>
      </c>
      <c r="BI18" s="295">
        <f>IFERROR(__xludf.DUMMYFUNCTION("""COMPUTED_VALUE"""),225.0)</f>
        <v>225</v>
      </c>
      <c r="BJ18" s="295" t="str">
        <f>IFERROR(__xludf.DUMMYFUNCTION("""COMPUTED_VALUE"""),"FALSE")</f>
        <v>FALSE</v>
      </c>
      <c r="BK18" s="346">
        <f>IFERROR(__xludf.DUMMYFUNCTION("""COMPUTED_VALUE"""),1883.0)</f>
        <v>1883</v>
      </c>
      <c r="BL18" s="292" t="str">
        <f>IFERROR(__xludf.DUMMYFUNCTION("""COMPUTED_VALUE"""),"US")</f>
        <v>US</v>
      </c>
      <c r="BM18" s="292" t="str">
        <f>IFERROR(__xludf.DUMMYFUNCTION("""COMPUTED_VALUE"""),"Ratatouille på zucchini och paprika")</f>
        <v>Ratatouille på zucchini och paprika</v>
      </c>
      <c r="BN18" s="292"/>
      <c r="BO18" s="292"/>
      <c r="BP18" s="292"/>
      <c r="BQ18" s="292" t="str">
        <f>IFERROR(__xludf.DUMMYFUNCTION("""COMPUTED_VALUE"""),"Active")</f>
        <v>Active</v>
      </c>
      <c r="BR18" s="292" t="b">
        <f>IFERROR(__xludf.DUMMYFUNCTION("""COMPUTED_VALUE"""),FALSE)</f>
        <v>0</v>
      </c>
      <c r="BS18" s="292" t="b">
        <f>IFERROR(__xludf.DUMMYFUNCTION("""COMPUTED_VALUE"""),FALSE)</f>
        <v>0</v>
      </c>
      <c r="BT18" s="345">
        <f>IFERROR(__xludf.DUMMYFUNCTION("""COMPUTED_VALUE"""),460.0)</f>
        <v>460</v>
      </c>
      <c r="BU18" s="345">
        <f>IFERROR(__xludf.DUMMYFUNCTION("""COMPUTED_VALUE"""),110.0)</f>
        <v>110</v>
      </c>
      <c r="BV18" s="344">
        <f>IFERROR(__xludf.DUMMYFUNCTION("""COMPUTED_VALUE"""),5.7)</f>
        <v>5.7</v>
      </c>
      <c r="BW18" s="344">
        <f>IFERROR(__xludf.DUMMYFUNCTION("""COMPUTED_VALUE"""),2.1)</f>
        <v>2.1</v>
      </c>
    </row>
    <row r="19">
      <c r="A19" s="292" t="str">
        <f>IFERROR(__xludf.DUMMYFUNCTION("""COMPUTED_VALUE"""),"FE0121A")</f>
        <v>FE0121A</v>
      </c>
      <c r="B19" s="292" t="str">
        <f>IFERROR(__xludf.DUMMYFUNCTION("""COMPUTED_VALUE"""),"CON-40-143697-4")</f>
        <v>CON-40-143697-4</v>
      </c>
      <c r="C19" s="292" t="str">
        <f>IFERROR(__xludf.DUMMYFUNCTION("""COMPUTED_VALUE"""),"CON-00-147818-2")</f>
        <v>CON-00-147818-2</v>
      </c>
      <c r="D19" s="292" t="str">
        <f>IFERROR(__xludf.DUMMYFUNCTION("""COMPUTED_VALUE"""),"CON-00-136641-3")</f>
        <v>CON-00-136641-3</v>
      </c>
      <c r="E19" s="292" t="str">
        <f>IFERROR(__xludf.DUMMYFUNCTION("""COMPUTED_VALUE"""),"Mexican style corn cake")</f>
        <v>Mexican style corn cake</v>
      </c>
      <c r="F19" s="292" t="str">
        <f>IFERROR(__xludf.DUMMYFUNCTION("""COMPUTED_VALUE"""),"with vegetarian chili, sweet potato and jalapeño cream")</f>
        <v>with vegetarian chili, sweet potato and jalapeño cream</v>
      </c>
      <c r="G19" s="292" t="str">
        <f>IFERROR(__xludf.DUMMYFUNCTION("""COMPUTED_VALUE"""),"Mexicaanse stijl maïscake")</f>
        <v>Mexicaanse stijl maïscake</v>
      </c>
      <c r="H19" s="292" t="str">
        <f>IFERROR(__xludf.DUMMYFUNCTION("""COMPUTED_VALUE"""),"met vegetarische chili, zoete aardappel en jalapeñocrème")</f>
        <v>met vegetarische chili, zoete aardappel en jalapeñocrème</v>
      </c>
      <c r="I19" s="292"/>
      <c r="J19" s="292" t="str">
        <f>IFERROR(__xludf.DUMMYFUNCTION("""COMPUTED_VALUE"""),"Mexikanische Mais-Bowl")</f>
        <v>Mexikanische Mais-Bowl</v>
      </c>
      <c r="K19" s="292">
        <f>IFERROR(__xludf.DUMMYFUNCTION("""COMPUTED_VALUE"""),565023.0)</f>
        <v>565023</v>
      </c>
      <c r="L19" s="292" t="str">
        <f>IFERROR(__xludf.DUMMYFUNCTION("""COMPUTED_VALUE"""),"HF Vegetarische Chili Bowl 403g")</f>
        <v>HF Vegetarische Chili Bowl 403g</v>
      </c>
      <c r="M19" s="292" t="str">
        <f>IFERROR(__xludf.DUMMYFUNCTION("""COMPUTED_VALUE"""),"FA-NL Mexicaanse stijl maïscake [FE0121]")</f>
        <v>FA-NL Mexicaanse stijl maïscake [FE0121]</v>
      </c>
      <c r="N19" s="292" t="str">
        <f>IFERROR(__xludf.DUMMYFUNCTION("""COMPUTED_VALUE"""),"FA-NO Mexicansk majskage (FE0121)")</f>
        <v>FA-NO Mexicansk majskage (FE0121)</v>
      </c>
      <c r="O19" s="292" t="str">
        <f>IFERROR(__xludf.DUMMYFUNCTION("""COMPUTED_VALUE"""),"FA-DE Mexikanische Mais-Bowl (FE0121)")</f>
        <v>FA-DE Mexikanische Mais-Bowl (FE0121)</v>
      </c>
      <c r="P19" s="292" t="str">
        <f>IFERROR(__xludf.DUMMYFUNCTION("""COMPUTED_VALUE"""),"Graveyard")</f>
        <v>Graveyard</v>
      </c>
      <c r="Q19" s="292" t="str">
        <f>IFERROR(__xludf.DUMMYFUNCTION("""COMPUTED_VALUE"""),"New version ")</f>
        <v>New version </v>
      </c>
      <c r="R19" s="342">
        <f>IFERROR(__xludf.DUMMYFUNCTION("""COMPUTED_VALUE"""),3.81)</f>
        <v>3.81</v>
      </c>
      <c r="S19" s="298">
        <f>IFERROR(__xludf.DUMMYFUNCTION("""COMPUTED_VALUE"""),0.009403854209568465)</f>
        <v>0.00940385421</v>
      </c>
      <c r="T19" s="343">
        <f>IFERROR(__xludf.DUMMYFUNCTION("""COMPUTED_VALUE"""),3.456677357280308)</f>
        <v>3.456677357</v>
      </c>
      <c r="U19" s="292">
        <f>IFERROR(__xludf.DUMMYFUNCTION("""COMPUTED_VALUE"""),4281.0)</f>
        <v>4281</v>
      </c>
      <c r="V19" s="292"/>
      <c r="W19" s="292" t="b">
        <f>IFERROR(__xludf.DUMMYFUNCTION("""COMPUTED_VALUE"""),TRUE)</f>
        <v>1</v>
      </c>
      <c r="X19" s="345">
        <f>IFERROR(__xludf.DUMMYFUNCTION("""COMPUTED_VALUE"""),390.0)</f>
        <v>390</v>
      </c>
      <c r="Y19" s="344">
        <f>IFERROR(__xludf.DUMMYFUNCTION("""COMPUTED_VALUE"""),572.0)</f>
        <v>572</v>
      </c>
      <c r="Z19" s="343">
        <f>IFERROR(__xludf.DUMMYFUNCTION("""COMPUTED_VALUE"""),26.2)</f>
        <v>26.2</v>
      </c>
      <c r="AA19" s="344">
        <f>IFERROR(__xludf.DUMMYFUNCTION("""COMPUTED_VALUE"""),8.6)</f>
        <v>8.6</v>
      </c>
      <c r="AB19" s="344">
        <f>IFERROR(__xludf.DUMMYFUNCTION("""COMPUTED_VALUE"""),60.5)</f>
        <v>60.5</v>
      </c>
      <c r="AC19" s="344">
        <f>IFERROR(__xludf.DUMMYFUNCTION("""COMPUTED_VALUE"""),16.9)</f>
        <v>16.9</v>
      </c>
      <c r="AD19" s="344">
        <f>IFERROR(__xludf.DUMMYFUNCTION("""COMPUTED_VALUE"""),14.2)</f>
        <v>14.2</v>
      </c>
      <c r="AE19" s="343">
        <f>IFERROR(__xludf.DUMMYFUNCTION("""COMPUTED_VALUE"""),15.7)</f>
        <v>15.7</v>
      </c>
      <c r="AF19" s="343">
        <f>IFERROR(__xludf.DUMMYFUNCTION("""COMPUTED_VALUE"""),1.83)</f>
        <v>1.83</v>
      </c>
      <c r="AG19" s="292" t="b">
        <f>IFERROR(__xludf.DUMMYFUNCTION("""COMPUTED_VALUE"""),TRUE)</f>
        <v>1</v>
      </c>
      <c r="AH19" s="292" t="b">
        <f>IFERROR(__xludf.DUMMYFUNCTION("""COMPUTED_VALUE"""),FALSE)</f>
        <v>0</v>
      </c>
      <c r="AI19" s="292" t="b">
        <f>IFERROR(__xludf.DUMMYFUNCTION("""COMPUTED_VALUE"""),FALSE)</f>
        <v>0</v>
      </c>
      <c r="AJ19" s="292" t="b">
        <f>IFERROR(__xludf.DUMMYFUNCTION("""COMPUTED_VALUE"""),FALSE)</f>
        <v>0</v>
      </c>
      <c r="AK19" s="292" t="b">
        <f>IFERROR(__xludf.DUMMYFUNCTION("""COMPUTED_VALUE"""),TRUE)</f>
        <v>1</v>
      </c>
      <c r="AL19" s="292" t="b">
        <f>IFERROR(__xludf.DUMMYFUNCTION("""COMPUTED_VALUE"""),FALSE)</f>
        <v>0</v>
      </c>
      <c r="AM19" s="292" t="b">
        <f>IFERROR(__xludf.DUMMYFUNCTION("""COMPUTED_VALUE"""),FALSE)</f>
        <v>0</v>
      </c>
      <c r="AN19" s="292" t="b">
        <f>IFERROR(__xludf.DUMMYFUNCTION("""COMPUTED_VALUE"""),FALSE)</f>
        <v>0</v>
      </c>
      <c r="AO19" s="292" t="str">
        <f>IFERROR(__xludf.DUMMYFUNCTION("""COMPUTED_VALUE"""),"TRUE")</f>
        <v>TRUE</v>
      </c>
      <c r="AP19" s="292" t="str">
        <f>IFERROR(__xludf.DUMMYFUNCTION("""COMPUTED_VALUE"""),"Vegetarian")</f>
        <v>Vegetarian</v>
      </c>
      <c r="AQ19" s="292" t="str">
        <f>IFERROR(__xludf.DUMMYFUNCTION("""COMPUTED_VALUE"""),"Vegetarian")</f>
        <v>Vegetarian</v>
      </c>
      <c r="AR19" s="292" t="str">
        <f>IFERROR(__xludf.DUMMYFUNCTION("""COMPUTED_VALUE"""),"Legumes")</f>
        <v>Legumes</v>
      </c>
      <c r="AS19" s="292" t="str">
        <f>IFERROR(__xludf.DUMMYFUNCTION("""COMPUTED_VALUE"""),"Veggie-based Cake")</f>
        <v>Veggie-based Cake</v>
      </c>
      <c r="AT19" s="292" t="str">
        <f>IFERROR(__xludf.DUMMYFUNCTION("""COMPUTED_VALUE"""),"Mixed Beans")</f>
        <v>Mixed Beans</v>
      </c>
      <c r="AU19" s="292" t="str">
        <f>IFERROR(__xludf.DUMMYFUNCTION("""COMPUTED_VALUE"""),"Sweet Potato")</f>
        <v>Sweet Potato</v>
      </c>
      <c r="AV19" s="292" t="str">
        <f>IFERROR(__xludf.DUMMYFUNCTION("""COMPUTED_VALUE"""),"Pepper Mix")</f>
        <v>Pepper Mix</v>
      </c>
      <c r="AW19" s="292" t="str">
        <f>IFERROR(__xludf.DUMMYFUNCTION("""COMPUTED_VALUE"""),"Year Round")</f>
        <v>Year Round</v>
      </c>
      <c r="AX19" s="292" t="str">
        <f>IFERROR(__xludf.DUMMYFUNCTION("""COMPUTED_VALUE"""),"Mexican")</f>
        <v>Mexican</v>
      </c>
      <c r="AY19" s="292"/>
      <c r="AZ19" s="292" t="str">
        <f>IFERROR(__xludf.DUMMYFUNCTION("""COMPUTED_VALUE"""),"2 CT")</f>
        <v>2 CT</v>
      </c>
      <c r="BA19" s="292" t="b">
        <f>IFERROR(__xludf.DUMMYFUNCTION("""COMPUTED_VALUE"""),TRUE)</f>
        <v>1</v>
      </c>
      <c r="BB19" s="342">
        <f>IFERROR(__xludf.DUMMYFUNCTION("""COMPUTED_VALUE"""),1.54)</f>
        <v>1.54</v>
      </c>
      <c r="BC19" s="342">
        <f>IFERROR(__xludf.DUMMYFUNCTION("""COMPUTED_VALUE"""),1.03)</f>
        <v>1.03</v>
      </c>
      <c r="BD19" s="342">
        <f>IFERROR(__xludf.DUMMYFUNCTION("""COMPUTED_VALUE"""),0.392)</f>
        <v>0.392</v>
      </c>
      <c r="BE19" s="342">
        <f>IFERROR(__xludf.DUMMYFUNCTION("""COMPUTED_VALUE"""),0.89)</f>
        <v>0.89</v>
      </c>
      <c r="BF19" s="296" t="str">
        <f>IFERROR(__xludf.DUMMYFUNCTION("""COMPUTED_VALUE"""),"#REF!")</f>
        <v>#REF!</v>
      </c>
      <c r="BG19" s="296" t="str">
        <f>IFERROR(__xludf.DUMMYFUNCTION("""COMPUTED_VALUE"""),"#REF!")</f>
        <v>#REF!</v>
      </c>
      <c r="BH19" s="296" t="str">
        <f>IFERROR(__xludf.DUMMYFUNCTION("""COMPUTED_VALUE"""),"#REF!")</f>
        <v>#REF!</v>
      </c>
      <c r="BI19" s="295">
        <f>IFERROR(__xludf.DUMMYFUNCTION("""COMPUTED_VALUE"""),133.0)</f>
        <v>133</v>
      </c>
      <c r="BJ19" s="295" t="str">
        <f>IFERROR(__xludf.DUMMYFUNCTION("""COMPUTED_VALUE"""),"FALSE")</f>
        <v>FALSE</v>
      </c>
      <c r="BK19" s="346">
        <f>IFERROR(__xludf.DUMMYFUNCTION("""COMPUTED_VALUE"""),2392.0)</f>
        <v>2392</v>
      </c>
      <c r="BL19" s="292"/>
      <c r="BM19" s="292"/>
      <c r="BN19" s="292"/>
      <c r="BO19" s="292"/>
      <c r="BP19" s="292"/>
      <c r="BQ19" s="292" t="str">
        <f>IFERROR(__xludf.DUMMYFUNCTION("""COMPUTED_VALUE"""),"Graveyard")</f>
        <v>Graveyard</v>
      </c>
      <c r="BR19" s="292" t="b">
        <f>IFERROR(__xludf.DUMMYFUNCTION("""COMPUTED_VALUE"""),FALSE)</f>
        <v>0</v>
      </c>
      <c r="BS19" s="292" t="b">
        <f>IFERROR(__xludf.DUMMYFUNCTION("""COMPUTED_VALUE"""),FALSE)</f>
        <v>0</v>
      </c>
      <c r="BT19" s="345">
        <f>IFERROR(__xludf.DUMMYFUNCTION("""COMPUTED_VALUE"""),613.3333333333334)</f>
        <v>613.3333333</v>
      </c>
      <c r="BU19" s="345">
        <f>IFERROR(__xludf.DUMMYFUNCTION("""COMPUTED_VALUE"""),146.66666666666666)</f>
        <v>146.6666667</v>
      </c>
      <c r="BV19" s="344">
        <f>IFERROR(__xludf.DUMMYFUNCTION("""COMPUTED_VALUE"""),6.717948717948717)</f>
        <v>6.717948718</v>
      </c>
      <c r="BW19" s="344">
        <f>IFERROR(__xludf.DUMMYFUNCTION("""COMPUTED_VALUE"""),2.205128205128205)</f>
        <v>2.205128205</v>
      </c>
    </row>
    <row r="20">
      <c r="A20" s="292" t="str">
        <f>IFERROR(__xludf.DUMMYFUNCTION("""COMPUTED_VALUE"""),"FE0121B")</f>
        <v>FE0121B</v>
      </c>
      <c r="B20" s="292" t="str">
        <f>IFERROR(__xludf.DUMMYFUNCTION("""COMPUTED_VALUE"""),"CON-40-143697-4")</f>
        <v>CON-40-143697-4</v>
      </c>
      <c r="C20" s="292" t="str">
        <f>IFERROR(__xludf.DUMMYFUNCTION("""COMPUTED_VALUE"""),"CON-00-147818-2")</f>
        <v>CON-00-147818-2</v>
      </c>
      <c r="D20" s="292" t="str">
        <f>IFERROR(__xludf.DUMMYFUNCTION("""COMPUTED_VALUE"""),"CON-00-136641-3")</f>
        <v>CON-00-136641-3</v>
      </c>
      <c r="E20" s="292" t="str">
        <f>IFERROR(__xludf.DUMMYFUNCTION("""COMPUTED_VALUE"""),"Mexican style corn cake")</f>
        <v>Mexican style corn cake</v>
      </c>
      <c r="F20" s="292" t="str">
        <f>IFERROR(__xludf.DUMMYFUNCTION("""COMPUTED_VALUE"""),"with vegetarian chili, sweet potato and jalapeño cream")</f>
        <v>with vegetarian chili, sweet potato and jalapeño cream</v>
      </c>
      <c r="G20" s="292" t="str">
        <f>IFERROR(__xludf.DUMMYFUNCTION("""COMPUTED_VALUE"""),"Mexicaanse stijl maïscake")</f>
        <v>Mexicaanse stijl maïscake</v>
      </c>
      <c r="H20" s="292" t="str">
        <f>IFERROR(__xludf.DUMMYFUNCTION("""COMPUTED_VALUE"""),"met vegetarische chili, zoete aardappel en jalapeño-crème")</f>
        <v>met vegetarische chili, zoete aardappel en jalapeño-crème</v>
      </c>
      <c r="I20" s="292" t="str">
        <f>IFERROR(__xludf.DUMMYFUNCTION("""COMPUTED_VALUE"""),"Mexicansk majskage")</f>
        <v>Mexicansk majskage</v>
      </c>
      <c r="J20" s="292" t="str">
        <f>IFERROR(__xludf.DUMMYFUNCTION("""COMPUTED_VALUE"""),"Mexikanische Mais-Bowl")</f>
        <v>Mexikanische Mais-Bowl</v>
      </c>
      <c r="K20" s="292">
        <f>IFERROR(__xludf.DUMMYFUNCTION("""COMPUTED_VALUE"""),565023.0)</f>
        <v>565023</v>
      </c>
      <c r="L20" s="292" t="str">
        <f>IFERROR(__xludf.DUMMYFUNCTION("""COMPUTED_VALUE"""),"HF Mexicaanse Stijl Maiscake 390g")</f>
        <v>HF Mexicaanse Stijl Maiscake 390g</v>
      </c>
      <c r="M20" s="292" t="str">
        <f>IFERROR(__xludf.DUMMYFUNCTION("""COMPUTED_VALUE"""),"FA-NL Mexicaanse stijl maïscake [FE0121]")</f>
        <v>FA-NL Mexicaanse stijl maïscake [FE0121]</v>
      </c>
      <c r="N20" s="292" t="str">
        <f>IFERROR(__xludf.DUMMYFUNCTION("""COMPUTED_VALUE"""),"FA-NO Mexicansk majskage (FE0121)")</f>
        <v>FA-NO Mexicansk majskage (FE0121)</v>
      </c>
      <c r="O20" s="292" t="str">
        <f>IFERROR(__xludf.DUMMYFUNCTION("""COMPUTED_VALUE"""),"FA-DE Mexikanische Mais-Bowl (FE0121)")</f>
        <v>FA-DE Mexikanische Mais-Bowl (FE0121)</v>
      </c>
      <c r="P20" s="292" t="str">
        <f>IFERROR(__xludf.DUMMYFUNCTION("""COMPUTED_VALUE"""),"Graveyard")</f>
        <v>Graveyard</v>
      </c>
      <c r="Q20" s="292"/>
      <c r="R20" s="342">
        <f>IFERROR(__xludf.DUMMYFUNCTION("""COMPUTED_VALUE"""),4.0)</f>
        <v>4</v>
      </c>
      <c r="S20" s="292"/>
      <c r="T20" s="292"/>
      <c r="U20" s="292"/>
      <c r="V20" s="292"/>
      <c r="W20" s="292" t="b">
        <f>IFERROR(__xludf.DUMMYFUNCTION("""COMPUTED_VALUE"""),TRUE)</f>
        <v>1</v>
      </c>
      <c r="X20" s="345">
        <f>IFERROR(__xludf.DUMMYFUNCTION("""COMPUTED_VALUE"""),390.0)</f>
        <v>390</v>
      </c>
      <c r="Y20" s="344">
        <f>IFERROR(__xludf.DUMMYFUNCTION("""COMPUTED_VALUE"""),616.0)</f>
        <v>616</v>
      </c>
      <c r="Z20" s="343">
        <f>IFERROR(__xludf.DUMMYFUNCTION("""COMPUTED_VALUE"""),28.1)</f>
        <v>28.1</v>
      </c>
      <c r="AA20" s="344">
        <f>IFERROR(__xludf.DUMMYFUNCTION("""COMPUTED_VALUE"""),9.0)</f>
        <v>9</v>
      </c>
      <c r="AB20" s="344">
        <f>IFERROR(__xludf.DUMMYFUNCTION("""COMPUTED_VALUE"""),65.5)</f>
        <v>65.5</v>
      </c>
      <c r="AC20" s="344">
        <f>IFERROR(__xludf.DUMMYFUNCTION("""COMPUTED_VALUE"""),18.5)</f>
        <v>18.5</v>
      </c>
      <c r="AD20" s="344">
        <f>IFERROR(__xludf.DUMMYFUNCTION("""COMPUTED_VALUE"""),15.4)</f>
        <v>15.4</v>
      </c>
      <c r="AE20" s="343">
        <f>IFERROR(__xludf.DUMMYFUNCTION("""COMPUTED_VALUE"""),16.7)</f>
        <v>16.7</v>
      </c>
      <c r="AF20" s="343">
        <f>IFERROR(__xludf.DUMMYFUNCTION("""COMPUTED_VALUE"""),1.91)</f>
        <v>1.91</v>
      </c>
      <c r="AG20" s="292" t="b">
        <f>IFERROR(__xludf.DUMMYFUNCTION("""COMPUTED_VALUE"""),TRUE)</f>
        <v>1</v>
      </c>
      <c r="AH20" s="292" t="b">
        <f>IFERROR(__xludf.DUMMYFUNCTION("""COMPUTED_VALUE"""),FALSE)</f>
        <v>0</v>
      </c>
      <c r="AI20" s="292" t="b">
        <f>IFERROR(__xludf.DUMMYFUNCTION("""COMPUTED_VALUE"""),FALSE)</f>
        <v>0</v>
      </c>
      <c r="AJ20" s="292" t="b">
        <f>IFERROR(__xludf.DUMMYFUNCTION("""COMPUTED_VALUE"""),FALSE)</f>
        <v>0</v>
      </c>
      <c r="AK20" s="292" t="b">
        <f>IFERROR(__xludf.DUMMYFUNCTION("""COMPUTED_VALUE"""),TRUE)</f>
        <v>1</v>
      </c>
      <c r="AL20" s="292" t="b">
        <f>IFERROR(__xludf.DUMMYFUNCTION("""COMPUTED_VALUE"""),FALSE)</f>
        <v>0</v>
      </c>
      <c r="AM20" s="292" t="b">
        <f>IFERROR(__xludf.DUMMYFUNCTION("""COMPUTED_VALUE"""),FALSE)</f>
        <v>0</v>
      </c>
      <c r="AN20" s="292" t="b">
        <f>IFERROR(__xludf.DUMMYFUNCTION("""COMPUTED_VALUE"""),FALSE)</f>
        <v>0</v>
      </c>
      <c r="AO20" s="292" t="str">
        <f>IFERROR(__xludf.DUMMYFUNCTION("""COMPUTED_VALUE"""),"TRUE")</f>
        <v>TRUE</v>
      </c>
      <c r="AP20" s="292" t="str">
        <f>IFERROR(__xludf.DUMMYFUNCTION("""COMPUTED_VALUE"""),"Vegetarian")</f>
        <v>Vegetarian</v>
      </c>
      <c r="AQ20" s="292" t="str">
        <f>IFERROR(__xludf.DUMMYFUNCTION("""COMPUTED_VALUE"""),"Vegetarian")</f>
        <v>Vegetarian</v>
      </c>
      <c r="AR20" s="292" t="str">
        <f>IFERROR(__xludf.DUMMYFUNCTION("""COMPUTED_VALUE"""),"Legumes")</f>
        <v>Legumes</v>
      </c>
      <c r="AS20" s="292" t="str">
        <f>IFERROR(__xludf.DUMMYFUNCTION("""COMPUTED_VALUE"""),"Veggie-based Cake")</f>
        <v>Veggie-based Cake</v>
      </c>
      <c r="AT20" s="292" t="str">
        <f>IFERROR(__xludf.DUMMYFUNCTION("""COMPUTED_VALUE"""),"Mixed Beans")</f>
        <v>Mixed Beans</v>
      </c>
      <c r="AU20" s="292" t="str">
        <f>IFERROR(__xludf.DUMMYFUNCTION("""COMPUTED_VALUE"""),"Sweet Potato")</f>
        <v>Sweet Potato</v>
      </c>
      <c r="AV20" s="292" t="str">
        <f>IFERROR(__xludf.DUMMYFUNCTION("""COMPUTED_VALUE"""),"Pepper Mix")</f>
        <v>Pepper Mix</v>
      </c>
      <c r="AW20" s="292" t="str">
        <f>IFERROR(__xludf.DUMMYFUNCTION("""COMPUTED_VALUE"""),"Year Round")</f>
        <v>Year Round</v>
      </c>
      <c r="AX20" s="292" t="str">
        <f>IFERROR(__xludf.DUMMYFUNCTION("""COMPUTED_VALUE"""),"Mexican")</f>
        <v>Mexican</v>
      </c>
      <c r="AY20" s="292"/>
      <c r="AZ20" s="292" t="str">
        <f>IFERROR(__xludf.DUMMYFUNCTION("""COMPUTED_VALUE"""),"2 CT")</f>
        <v>2 CT</v>
      </c>
      <c r="BA20" s="292" t="b">
        <f>IFERROR(__xludf.DUMMYFUNCTION("""COMPUTED_VALUE"""),TRUE)</f>
        <v>1</v>
      </c>
      <c r="BB20" s="342">
        <f>IFERROR(__xludf.DUMMYFUNCTION("""COMPUTED_VALUE"""),1.58)</f>
        <v>1.58</v>
      </c>
      <c r="BC20" s="342">
        <f>IFERROR(__xludf.DUMMYFUNCTION("""COMPUTED_VALUE"""),1.14)</f>
        <v>1.14</v>
      </c>
      <c r="BD20" s="342">
        <f>IFERROR(__xludf.DUMMYFUNCTION("""COMPUTED_VALUE"""),0.39)</f>
        <v>0.39</v>
      </c>
      <c r="BE20" s="342">
        <f>IFERROR(__xludf.DUMMYFUNCTION("""COMPUTED_VALUE"""),0.89)</f>
        <v>0.89</v>
      </c>
      <c r="BF20" s="296">
        <f>IFERROR(__xludf.DUMMYFUNCTION("""COMPUTED_VALUE"""),3.4299096225412016)</f>
        <v>3.429909623</v>
      </c>
      <c r="BG20" s="296" t="str">
        <f>IFERROR(__xludf.DUMMYFUNCTION("""COMPUTED_VALUE"""),"#REF!")</f>
        <v>#REF!</v>
      </c>
      <c r="BH20" s="296" t="str">
        <f>IFERROR(__xludf.DUMMYFUNCTION("""COMPUTED_VALUE"""),"#REF!")</f>
        <v>#REF!</v>
      </c>
      <c r="BI20" s="295">
        <f>IFERROR(__xludf.DUMMYFUNCTION("""COMPUTED_VALUE"""),151.0)</f>
        <v>151</v>
      </c>
      <c r="BJ20" s="295" t="str">
        <f>IFERROR(__xludf.DUMMYFUNCTION("""COMPUTED_VALUE"""),"FALSE")</f>
        <v>FALSE</v>
      </c>
      <c r="BK20" s="346">
        <f>IFERROR(__xludf.DUMMYFUNCTION("""COMPUTED_VALUE"""),2576.0)</f>
        <v>2576</v>
      </c>
      <c r="BL20" s="292" t="str">
        <f>IFERROR(__xludf.DUMMYFUNCTION("""COMPUTED_VALUE"""),"US")</f>
        <v>US</v>
      </c>
      <c r="BM20" s="292" t="str">
        <f>IFERROR(__xludf.DUMMYFUNCTION("""COMPUTED_VALUE"""),"Mexikanskt majsbröd")</f>
        <v>Mexikanskt majsbröd</v>
      </c>
      <c r="BN20" s="292"/>
      <c r="BO20" s="343">
        <f>IFERROR(__xludf.DUMMYFUNCTION("""COMPUTED_VALUE"""),2.4222222222222225)</f>
        <v>2.422222222</v>
      </c>
      <c r="BP20" s="292"/>
      <c r="BQ20" s="292" t="str">
        <f>IFERROR(__xludf.DUMMYFUNCTION("""COMPUTED_VALUE"""),"Active")</f>
        <v>Active</v>
      </c>
      <c r="BR20" s="292" t="b">
        <f>IFERROR(__xludf.DUMMYFUNCTION("""COMPUTED_VALUE"""),FALSE)</f>
        <v>0</v>
      </c>
      <c r="BS20" s="292" t="b">
        <f>IFERROR(__xludf.DUMMYFUNCTION("""COMPUTED_VALUE"""),FALSE)</f>
        <v>0</v>
      </c>
      <c r="BT20" s="345">
        <f>IFERROR(__xludf.DUMMYFUNCTION("""COMPUTED_VALUE"""),660.0)</f>
        <v>660</v>
      </c>
      <c r="BU20" s="345">
        <f>IFERROR(__xludf.DUMMYFUNCTION("""COMPUTED_VALUE"""),158.0)</f>
        <v>158</v>
      </c>
      <c r="BV20" s="344">
        <f>IFERROR(__xludf.DUMMYFUNCTION("""COMPUTED_VALUE"""),7.2)</f>
        <v>7.2</v>
      </c>
      <c r="BW20" s="344">
        <f>IFERROR(__xludf.DUMMYFUNCTION("""COMPUTED_VALUE"""),2.3)</f>
        <v>2.3</v>
      </c>
    </row>
    <row r="21">
      <c r="A21" s="292" t="str">
        <f>IFERROR(__xludf.DUMMYFUNCTION("""COMPUTED_VALUE"""),"FE0123F")</f>
        <v>FE0123F</v>
      </c>
      <c r="B21" s="292" t="str">
        <f>IFERROR(__xludf.DUMMYFUNCTION("""COMPUTED_VALUE"""),"CON-40-143675-4")</f>
        <v>CON-40-143675-4</v>
      </c>
      <c r="C21" s="292" t="str">
        <f>IFERROR(__xludf.DUMMYFUNCTION("""COMPUTED_VALUE"""),"CON-00-147821-2")</f>
        <v>CON-00-147821-2</v>
      </c>
      <c r="D21" s="292" t="str">
        <f>IFERROR(__xludf.DUMMYFUNCTION("""COMPUTED_VALUE"""),"CON-00-136725-3")</f>
        <v>CON-00-136725-3</v>
      </c>
      <c r="E21" s="292" t="str">
        <f>IFERROR(__xludf.DUMMYFUNCTION("""COMPUTED_VALUE"""),"Chicken Alfredo")</f>
        <v>Chicken Alfredo</v>
      </c>
      <c r="F21" s="292" t="str">
        <f>IFERROR(__xludf.DUMMYFUNCTION("""COMPUTED_VALUE"""),"with cherry tomatoes, broccoli and lemon-garlic butter")</f>
        <v>with cherry tomatoes, broccoli and lemon-garlic butter</v>
      </c>
      <c r="G21" s="292" t="str">
        <f>IFERROR(__xludf.DUMMYFUNCTION("""COMPUTED_VALUE"""),"Kip Alfredo")</f>
        <v>Kip Alfredo</v>
      </c>
      <c r="H21" s="292" t="str">
        <f>IFERROR(__xludf.DUMMYFUNCTION("""COMPUTED_VALUE"""),"met cherrytomaatjes, broccoli en citroen-knoflook boter")</f>
        <v>met cherrytomaatjes, broccoli en citroen-knoflook boter</v>
      </c>
      <c r="I21" s="292" t="str">
        <f>IFERROR(__xludf.DUMMYFUNCTION("""COMPUTED_VALUE"""),"Chicken Alfredo ")</f>
        <v>Chicken Alfredo </v>
      </c>
      <c r="J21" s="292" t="str">
        <f>IFERROR(__xludf.DUMMYFUNCTION("""COMPUTED_VALUE"""),"Hähnchen „Alfredo""")</f>
        <v>Hähnchen „Alfredo"</v>
      </c>
      <c r="K21" s="292">
        <f>IFERROR(__xludf.DUMMYFUNCTION("""COMPUTED_VALUE"""),565070.0)</f>
        <v>565070</v>
      </c>
      <c r="L21" s="292" t="str">
        <f>IFERROR(__xludf.DUMMYFUNCTION("""COMPUTED_VALUE"""),"HF Gegrilde kip in Alfredosaus 366g")</f>
        <v>HF Gegrilde kip in Alfredosaus 366g</v>
      </c>
      <c r="M21" s="292" t="str">
        <f>IFERROR(__xludf.DUMMYFUNCTION("""COMPUTED_VALUE"""),"FA-NL Kip Alfredo (FE0123)")</f>
        <v>FA-NL Kip Alfredo (FE0123)</v>
      </c>
      <c r="N21" s="292" t="str">
        <f>IFERROR(__xludf.DUMMYFUNCTION("""COMPUTED_VALUE"""),"FA-NO Chicken Alfredo (FE0123)")</f>
        <v>FA-NO Chicken Alfredo (FE0123)</v>
      </c>
      <c r="O21" s="292" t="str">
        <f>IFERROR(__xludf.DUMMYFUNCTION("""COMPUTED_VALUE"""),"FA-DE Hähnchen Alfredo (FE0123)")</f>
        <v>FA-DE Hähnchen Alfredo (FE0123)</v>
      </c>
      <c r="P21" s="292" t="str">
        <f>IFERROR(__xludf.DUMMYFUNCTION("""COMPUTED_VALUE"""),"Graveyard")</f>
        <v>Graveyard</v>
      </c>
      <c r="Q21" s="292" t="str">
        <f>IFERROR(__xludf.DUMMYFUNCTION("""COMPUTED_VALUE"""),"new version ")</f>
        <v>new version </v>
      </c>
      <c r="R21" s="342">
        <f>IFERROR(__xludf.DUMMYFUNCTION("""COMPUTED_VALUE"""),4.78)</f>
        <v>4.78</v>
      </c>
      <c r="S21" s="292"/>
      <c r="T21" s="292"/>
      <c r="U21" s="292"/>
      <c r="V21" s="292"/>
      <c r="W21" s="292" t="b">
        <f>IFERROR(__xludf.DUMMYFUNCTION("""COMPUTED_VALUE"""),FALSE)</f>
        <v>0</v>
      </c>
      <c r="X21" s="345">
        <f>IFERROR(__xludf.DUMMYFUNCTION("""COMPUTED_VALUE"""),366.0)</f>
        <v>366</v>
      </c>
      <c r="Y21" s="344">
        <f>IFERROR(__xludf.DUMMYFUNCTION("""COMPUTED_VALUE"""),684.0)</f>
        <v>684</v>
      </c>
      <c r="Z21" s="343">
        <f>IFERROR(__xludf.DUMMYFUNCTION("""COMPUTED_VALUE"""),49.3)</f>
        <v>49.3</v>
      </c>
      <c r="AA21" s="344">
        <f>IFERROR(__xludf.DUMMYFUNCTION("""COMPUTED_VALUE"""),23.2)</f>
        <v>23.2</v>
      </c>
      <c r="AB21" s="344">
        <f>IFERROR(__xludf.DUMMYFUNCTION("""COMPUTED_VALUE"""),13.9)</f>
        <v>13.9</v>
      </c>
      <c r="AC21" s="344">
        <f>IFERROR(__xludf.DUMMYFUNCTION("""COMPUTED_VALUE"""),11.2)</f>
        <v>11.2</v>
      </c>
      <c r="AD21" s="344">
        <f>IFERROR(__xludf.DUMMYFUNCTION("""COMPUTED_VALUE"""),5.9)</f>
        <v>5.9</v>
      </c>
      <c r="AE21" s="343">
        <f>IFERROR(__xludf.DUMMYFUNCTION("""COMPUTED_VALUE"""),40.7)</f>
        <v>40.7</v>
      </c>
      <c r="AF21" s="343">
        <f>IFERROR(__xludf.DUMMYFUNCTION("""COMPUTED_VALUE"""),2.01)</f>
        <v>2.01</v>
      </c>
      <c r="AG21" s="292" t="b">
        <f>IFERROR(__xludf.DUMMYFUNCTION("""COMPUTED_VALUE"""),FALSE)</f>
        <v>0</v>
      </c>
      <c r="AH21" s="292" t="b">
        <f>IFERROR(__xludf.DUMMYFUNCTION("""COMPUTED_VALUE"""),TRUE)</f>
        <v>1</v>
      </c>
      <c r="AI21" s="292" t="b">
        <f>IFERROR(__xludf.DUMMYFUNCTION("""COMPUTED_VALUE"""),FALSE)</f>
        <v>0</v>
      </c>
      <c r="AJ21" s="292" t="b">
        <f>IFERROR(__xludf.DUMMYFUNCTION("""COMPUTED_VALUE"""),FALSE)</f>
        <v>0</v>
      </c>
      <c r="AK21" s="292" t="b">
        <f>IFERROR(__xludf.DUMMYFUNCTION("""COMPUTED_VALUE"""),FALSE)</f>
        <v>0</v>
      </c>
      <c r="AL21" s="292" t="b">
        <f>IFERROR(__xludf.DUMMYFUNCTION("""COMPUTED_VALUE"""),FALSE)</f>
        <v>0</v>
      </c>
      <c r="AM21" s="292" t="b">
        <f>IFERROR(__xludf.DUMMYFUNCTION("""COMPUTED_VALUE"""),TRUE)</f>
        <v>1</v>
      </c>
      <c r="AN21" s="292" t="b">
        <f>IFERROR(__xludf.DUMMYFUNCTION("""COMPUTED_VALUE"""),FALSE)</f>
        <v>0</v>
      </c>
      <c r="AO21" s="292" t="str">
        <f>IFERROR(__xludf.DUMMYFUNCTION("""COMPUTED_VALUE"""),"FALSE")</f>
        <v>FALSE</v>
      </c>
      <c r="AP21" s="292" t="str">
        <f>IFERROR(__xludf.DUMMYFUNCTION("""COMPUTED_VALUE"""),"Chicken breast")</f>
        <v>Chicken breast</v>
      </c>
      <c r="AQ21" s="292" t="str">
        <f>IFERROR(__xludf.DUMMYFUNCTION("""COMPUTED_VALUE"""),"Chicken")</f>
        <v>Chicken</v>
      </c>
      <c r="AR21" s="292" t="str">
        <f>IFERROR(__xludf.DUMMYFUNCTION("""COMPUTED_VALUE"""),"Breast")</f>
        <v>Breast</v>
      </c>
      <c r="AS21" s="292" t="str">
        <f>IFERROR(__xludf.DUMMYFUNCTION("""COMPUTED_VALUE"""),"Creamy Sauce Base")</f>
        <v>Creamy Sauce Base</v>
      </c>
      <c r="AT21" s="292" t="str">
        <f>IFERROR(__xludf.DUMMYFUNCTION("""COMPUTED_VALUE"""),"Broccoli")</f>
        <v>Broccoli</v>
      </c>
      <c r="AU21" s="292" t="str">
        <f>IFERROR(__xludf.DUMMYFUNCTION("""COMPUTED_VALUE"""),"Cherry Tomatoes")</f>
        <v>Cherry Tomatoes</v>
      </c>
      <c r="AV21" s="292" t="str">
        <f>IFERROR(__xludf.DUMMYFUNCTION("""COMPUTED_VALUE"""),"Compound Butter")</f>
        <v>Compound Butter</v>
      </c>
      <c r="AW21" s="292" t="str">
        <f>IFERROR(__xludf.DUMMYFUNCTION("""COMPUTED_VALUE"""),"Year Round")</f>
        <v>Year Round</v>
      </c>
      <c r="AX21" s="292" t="str">
        <f>IFERROR(__xludf.DUMMYFUNCTION("""COMPUTED_VALUE"""),"Italian")</f>
        <v>Italian</v>
      </c>
      <c r="AY21" s="292"/>
      <c r="AZ21" s="292" t="str">
        <f>IFERROR(__xludf.DUMMYFUNCTION("""COMPUTED_VALUE"""),"2 CT")</f>
        <v>2 CT</v>
      </c>
      <c r="BA21" s="292" t="b">
        <f>IFERROR(__xludf.DUMMYFUNCTION("""COMPUTED_VALUE"""),FALSE)</f>
        <v>0</v>
      </c>
      <c r="BB21" s="342">
        <f>IFERROR(__xludf.DUMMYFUNCTION("""COMPUTED_VALUE"""),2.51)</f>
        <v>2.51</v>
      </c>
      <c r="BC21" s="342">
        <f>IFERROR(__xludf.DUMMYFUNCTION("""COMPUTED_VALUE"""),1.07)</f>
        <v>1.07</v>
      </c>
      <c r="BD21" s="342">
        <f>IFERROR(__xludf.DUMMYFUNCTION("""COMPUTED_VALUE"""),0.362)</f>
        <v>0.362</v>
      </c>
      <c r="BE21" s="342">
        <f>IFERROR(__xludf.DUMMYFUNCTION("""COMPUTED_VALUE"""),0.89)</f>
        <v>0.89</v>
      </c>
      <c r="BF21" s="296" t="str">
        <f>IFERROR(__xludf.DUMMYFUNCTION("""COMPUTED_VALUE"""),"#REF!")</f>
        <v>#REF!</v>
      </c>
      <c r="BG21" s="296" t="str">
        <f>IFERROR(__xludf.DUMMYFUNCTION("""COMPUTED_VALUE"""),"#REF!")</f>
        <v>#REF!</v>
      </c>
      <c r="BH21" s="296" t="str">
        <f>IFERROR(__xludf.DUMMYFUNCTION("""COMPUTED_VALUE"""),"#REF!")</f>
        <v>#REF!</v>
      </c>
      <c r="BI21" s="295">
        <f>IFERROR(__xludf.DUMMYFUNCTION("""COMPUTED_VALUE"""),165.0)</f>
        <v>165</v>
      </c>
      <c r="BJ21" s="295" t="str">
        <f>IFERROR(__xludf.DUMMYFUNCTION("""COMPUTED_VALUE"""),"FALSE")</f>
        <v>FALSE</v>
      </c>
      <c r="BK21" s="346">
        <f>IFERROR(__xludf.DUMMYFUNCTION("""COMPUTED_VALUE"""),2837.0)</f>
        <v>2837</v>
      </c>
      <c r="BL21" s="292"/>
      <c r="BM21" s="292" t="str">
        <f>IFERROR(__xludf.DUMMYFUNCTION("""COMPUTED_VALUE"""),"Kyckling Alfredo ")</f>
        <v>Kyckling Alfredo </v>
      </c>
      <c r="BN21" s="292"/>
      <c r="BO21" s="292"/>
      <c r="BP21" s="292"/>
      <c r="BQ21" s="292" t="str">
        <f>IFERROR(__xludf.DUMMYFUNCTION("""COMPUTED_VALUE"""),"Graveyard")</f>
        <v>Graveyard</v>
      </c>
      <c r="BR21" s="292" t="b">
        <f>IFERROR(__xludf.DUMMYFUNCTION("""COMPUTED_VALUE"""),FALSE)</f>
        <v>0</v>
      </c>
      <c r="BS21" s="292" t="b">
        <f>IFERROR(__xludf.DUMMYFUNCTION("""COMPUTED_VALUE"""),FALSE)</f>
        <v>0</v>
      </c>
      <c r="BT21" s="345">
        <f>IFERROR(__xludf.DUMMYFUNCTION("""COMPUTED_VALUE"""),775.0)</f>
        <v>775</v>
      </c>
      <c r="BU21" s="345">
        <f>IFERROR(__xludf.DUMMYFUNCTION("""COMPUTED_VALUE"""),187.0)</f>
        <v>187</v>
      </c>
      <c r="BV21" s="344">
        <f>IFERROR(__xludf.DUMMYFUNCTION("""COMPUTED_VALUE"""),13.45901639344262)</f>
        <v>13.45901639</v>
      </c>
      <c r="BW21" s="344">
        <f>IFERROR(__xludf.DUMMYFUNCTION("""COMPUTED_VALUE"""),6.330601092896175)</f>
        <v>6.330601093</v>
      </c>
    </row>
    <row r="22">
      <c r="A22" s="292" t="str">
        <f>IFERROR(__xludf.DUMMYFUNCTION("""COMPUTED_VALUE"""),"FE0123G")</f>
        <v>FE0123G</v>
      </c>
      <c r="B22" s="292" t="str">
        <f>IFERROR(__xludf.DUMMYFUNCTION("""COMPUTED_VALUE"""),"CON-40-143675-4")</f>
        <v>CON-40-143675-4</v>
      </c>
      <c r="C22" s="292" t="str">
        <f>IFERROR(__xludf.DUMMYFUNCTION("""COMPUTED_VALUE"""),"CON-00-147821-2")</f>
        <v>CON-00-147821-2</v>
      </c>
      <c r="D22" s="292" t="str">
        <f>IFERROR(__xludf.DUMMYFUNCTION("""COMPUTED_VALUE"""),"CON-00-136725-3")</f>
        <v>CON-00-136725-3</v>
      </c>
      <c r="E22" s="292" t="str">
        <f>IFERROR(__xludf.DUMMYFUNCTION("""COMPUTED_VALUE"""),"Chicken Alfredo")</f>
        <v>Chicken Alfredo</v>
      </c>
      <c r="F22" s="292" t="str">
        <f>IFERROR(__xludf.DUMMYFUNCTION("""COMPUTED_VALUE"""),"with cherry tomatoes, broccoli and tomato butter")</f>
        <v>with cherry tomatoes, broccoli and tomato butter</v>
      </c>
      <c r="G22" s="292" t="str">
        <f>IFERROR(__xludf.DUMMYFUNCTION("""COMPUTED_VALUE"""),"Kip Alfredo")</f>
        <v>Kip Alfredo</v>
      </c>
      <c r="H22" s="292" t="str">
        <f>IFERROR(__xludf.DUMMYFUNCTION("""COMPUTED_VALUE"""),"met cherrytomaatjes, broccoli en tomatenboter")</f>
        <v>met cherrytomaatjes, broccoli en tomatenboter</v>
      </c>
      <c r="I22" s="292" t="str">
        <f>IFERROR(__xludf.DUMMYFUNCTION("""COMPUTED_VALUE"""),"Chicken Alfredo ")</f>
        <v>Chicken Alfredo </v>
      </c>
      <c r="J22" s="292" t="str">
        <f>IFERROR(__xludf.DUMMYFUNCTION("""COMPUTED_VALUE"""),"Hähnchen Alfredo")</f>
        <v>Hähnchen Alfredo</v>
      </c>
      <c r="K22" s="292">
        <f>IFERROR(__xludf.DUMMYFUNCTION("""COMPUTED_VALUE"""),565070.0)</f>
        <v>565070</v>
      </c>
      <c r="L22" s="292"/>
      <c r="M22" s="292" t="str">
        <f>IFERROR(__xludf.DUMMYFUNCTION("""COMPUTED_VALUE"""),"FA-NL Kip Alfredo (FE0123)")</f>
        <v>FA-NL Kip Alfredo (FE0123)</v>
      </c>
      <c r="N22" s="292" t="str">
        <f>IFERROR(__xludf.DUMMYFUNCTION("""COMPUTED_VALUE"""),"FA-NO Chicken Alfredo (FE0123)")</f>
        <v>FA-NO Chicken Alfredo (FE0123)</v>
      </c>
      <c r="O22" s="292" t="str">
        <f>IFERROR(__xludf.DUMMYFUNCTION("""COMPUTED_VALUE"""),"FA-DE Hähnchen Alfredo (FE0123)")</f>
        <v>FA-DE Hähnchen Alfredo (FE0123)</v>
      </c>
      <c r="P22" s="292" t="str">
        <f>IFERROR(__xludf.DUMMYFUNCTION("""COMPUTED_VALUE"""),"Graveyard")</f>
        <v>Graveyard</v>
      </c>
      <c r="Q22" s="292"/>
      <c r="R22" s="342">
        <f>IFERROR(__xludf.DUMMYFUNCTION("""COMPUTED_VALUE"""),5.24)</f>
        <v>5.24</v>
      </c>
      <c r="S22" s="292"/>
      <c r="T22" s="292"/>
      <c r="U22" s="292"/>
      <c r="V22" s="292"/>
      <c r="W22" s="292" t="b">
        <f>IFERROR(__xludf.DUMMYFUNCTION("""COMPUTED_VALUE"""),TRUE)</f>
        <v>1</v>
      </c>
      <c r="X22" s="345">
        <f>IFERROR(__xludf.DUMMYFUNCTION("""COMPUTED_VALUE"""),368.0)</f>
        <v>368</v>
      </c>
      <c r="Y22" s="344">
        <f>IFERROR(__xludf.DUMMYFUNCTION("""COMPUTED_VALUE"""),699.0)</f>
        <v>699</v>
      </c>
      <c r="Z22" s="343">
        <f>IFERROR(__xludf.DUMMYFUNCTION("""COMPUTED_VALUE"""),51.5)</f>
        <v>51.5</v>
      </c>
      <c r="AA22" s="344">
        <f>IFERROR(__xludf.DUMMYFUNCTION("""COMPUTED_VALUE"""),24.7)</f>
        <v>24.7</v>
      </c>
      <c r="AB22" s="344">
        <f>IFERROR(__xludf.DUMMYFUNCTION("""COMPUTED_VALUE"""),13.6)</f>
        <v>13.6</v>
      </c>
      <c r="AC22" s="344">
        <f>IFERROR(__xludf.DUMMYFUNCTION("""COMPUTED_VALUE"""),11.0)</f>
        <v>11</v>
      </c>
      <c r="AD22" s="344">
        <f>IFERROR(__xludf.DUMMYFUNCTION("""COMPUTED_VALUE"""),5.9)</f>
        <v>5.9</v>
      </c>
      <c r="AE22" s="343">
        <f>IFERROR(__xludf.DUMMYFUNCTION("""COMPUTED_VALUE"""),40.5)</f>
        <v>40.5</v>
      </c>
      <c r="AF22" s="343">
        <f>IFERROR(__xludf.DUMMYFUNCTION("""COMPUTED_VALUE"""),1.91)</f>
        <v>1.91</v>
      </c>
      <c r="AG22" s="292" t="b">
        <f>IFERROR(__xludf.DUMMYFUNCTION("""COMPUTED_VALUE"""),FALSE)</f>
        <v>0</v>
      </c>
      <c r="AH22" s="292" t="b">
        <f>IFERROR(__xludf.DUMMYFUNCTION("""COMPUTED_VALUE"""),TRUE)</f>
        <v>1</v>
      </c>
      <c r="AI22" s="292" t="b">
        <f>IFERROR(__xludf.DUMMYFUNCTION("""COMPUTED_VALUE"""),FALSE)</f>
        <v>0</v>
      </c>
      <c r="AJ22" s="292" t="b">
        <f>IFERROR(__xludf.DUMMYFUNCTION("""COMPUTED_VALUE"""),FALSE)</f>
        <v>0</v>
      </c>
      <c r="AK22" s="292" t="b">
        <f>IFERROR(__xludf.DUMMYFUNCTION("""COMPUTED_VALUE"""),FALSE)</f>
        <v>0</v>
      </c>
      <c r="AL22" s="292" t="b">
        <f>IFERROR(__xludf.DUMMYFUNCTION("""COMPUTED_VALUE"""),FALSE)</f>
        <v>0</v>
      </c>
      <c r="AM22" s="292" t="b">
        <f>IFERROR(__xludf.DUMMYFUNCTION("""COMPUTED_VALUE"""),TRUE)</f>
        <v>1</v>
      </c>
      <c r="AN22" s="292" t="b">
        <f>IFERROR(__xludf.DUMMYFUNCTION("""COMPUTED_VALUE"""),FALSE)</f>
        <v>0</v>
      </c>
      <c r="AO22" s="292" t="str">
        <f>IFERROR(__xludf.DUMMYFUNCTION("""COMPUTED_VALUE"""),"FALSE")</f>
        <v>FALSE</v>
      </c>
      <c r="AP22" s="292" t="str">
        <f>IFERROR(__xludf.DUMMYFUNCTION("""COMPUTED_VALUE"""),"Chicken breast")</f>
        <v>Chicken breast</v>
      </c>
      <c r="AQ22" s="292" t="str">
        <f>IFERROR(__xludf.DUMMYFUNCTION("""COMPUTED_VALUE"""),"Chicken")</f>
        <v>Chicken</v>
      </c>
      <c r="AR22" s="292" t="str">
        <f>IFERROR(__xludf.DUMMYFUNCTION("""COMPUTED_VALUE"""),"Breast")</f>
        <v>Breast</v>
      </c>
      <c r="AS22" s="292" t="str">
        <f>IFERROR(__xludf.DUMMYFUNCTION("""COMPUTED_VALUE"""),"Creamy Sauce Base")</f>
        <v>Creamy Sauce Base</v>
      </c>
      <c r="AT22" s="292" t="str">
        <f>IFERROR(__xludf.DUMMYFUNCTION("""COMPUTED_VALUE"""),"Broccoli")</f>
        <v>Broccoli</v>
      </c>
      <c r="AU22" s="292" t="str">
        <f>IFERROR(__xludf.DUMMYFUNCTION("""COMPUTED_VALUE"""),"Cherry Tomatoes")</f>
        <v>Cherry Tomatoes</v>
      </c>
      <c r="AV22" s="292" t="str">
        <f>IFERROR(__xludf.DUMMYFUNCTION("""COMPUTED_VALUE"""),"Compound Butter")</f>
        <v>Compound Butter</v>
      </c>
      <c r="AW22" s="292" t="str">
        <f>IFERROR(__xludf.DUMMYFUNCTION("""COMPUTED_VALUE"""),"Year Round")</f>
        <v>Year Round</v>
      </c>
      <c r="AX22" s="292" t="str">
        <f>IFERROR(__xludf.DUMMYFUNCTION("""COMPUTED_VALUE"""),"Italian")</f>
        <v>Italian</v>
      </c>
      <c r="AY22" s="292"/>
      <c r="AZ22" s="292" t="str">
        <f>IFERROR(__xludf.DUMMYFUNCTION("""COMPUTED_VALUE"""),"2 CT")</f>
        <v>2 CT</v>
      </c>
      <c r="BA22" s="292" t="b">
        <f>IFERROR(__xludf.DUMMYFUNCTION("""COMPUTED_VALUE"""),FALSE)</f>
        <v>0</v>
      </c>
      <c r="BB22" s="342">
        <f>IFERROR(__xludf.DUMMYFUNCTION("""COMPUTED_VALUE"""),2.81)</f>
        <v>2.81</v>
      </c>
      <c r="BC22" s="342">
        <f>IFERROR(__xludf.DUMMYFUNCTION("""COMPUTED_VALUE"""),1.18)</f>
        <v>1.18</v>
      </c>
      <c r="BD22" s="342">
        <f>IFERROR(__xludf.DUMMYFUNCTION("""COMPUTED_VALUE"""),0.36)</f>
        <v>0.36</v>
      </c>
      <c r="BE22" s="342">
        <f>IFERROR(__xludf.DUMMYFUNCTION("""COMPUTED_VALUE"""),0.89)</f>
        <v>0.89</v>
      </c>
      <c r="BF22" s="296" t="str">
        <f>IFERROR(__xludf.DUMMYFUNCTION("""COMPUTED_VALUE"""),"#REF!")</f>
        <v>#REF!</v>
      </c>
      <c r="BG22" s="296" t="str">
        <f>IFERROR(__xludf.DUMMYFUNCTION("""COMPUTED_VALUE"""),"#REF!")</f>
        <v>#REF!</v>
      </c>
      <c r="BH22" s="296" t="str">
        <f>IFERROR(__xludf.DUMMYFUNCTION("""COMPUTED_VALUE"""),"#REF!")</f>
        <v>#REF!</v>
      </c>
      <c r="BI22" s="295">
        <f>IFERROR(__xludf.DUMMYFUNCTION("""COMPUTED_VALUE"""),165.0)</f>
        <v>165</v>
      </c>
      <c r="BJ22" s="295" t="str">
        <f>IFERROR(__xludf.DUMMYFUNCTION("""COMPUTED_VALUE"""),"FALSE")</f>
        <v>FALSE</v>
      </c>
      <c r="BK22" s="346">
        <f>IFERROR(__xludf.DUMMYFUNCTION("""COMPUTED_VALUE"""),2907.0)</f>
        <v>2907</v>
      </c>
      <c r="BL22" s="292" t="str">
        <f>IFERROR(__xludf.DUMMYFUNCTION("""COMPUTED_VALUE"""),"US")</f>
        <v>US</v>
      </c>
      <c r="BM22" s="292" t="str">
        <f>IFERROR(__xludf.DUMMYFUNCTION("""COMPUTED_VALUE"""),"Kyckling Alfredo ")</f>
        <v>Kyckling Alfredo </v>
      </c>
      <c r="BN22" s="292"/>
      <c r="BO22" s="292"/>
      <c r="BP22" s="292"/>
      <c r="BQ22" s="292" t="str">
        <f>IFERROR(__xludf.DUMMYFUNCTION("""COMPUTED_VALUE"""),"Graveyard")</f>
        <v>Graveyard</v>
      </c>
      <c r="BR22" s="292" t="b">
        <f>IFERROR(__xludf.DUMMYFUNCTION("""COMPUTED_VALUE"""),FALSE)</f>
        <v>0</v>
      </c>
      <c r="BS22" s="292" t="b">
        <f>IFERROR(__xludf.DUMMYFUNCTION("""COMPUTED_VALUE"""),FALSE)</f>
        <v>0</v>
      </c>
      <c r="BT22" s="345">
        <f>IFERROR(__xludf.DUMMYFUNCTION("""COMPUTED_VALUE"""),790.0)</f>
        <v>790</v>
      </c>
      <c r="BU22" s="345">
        <f>IFERROR(__xludf.DUMMYFUNCTION("""COMPUTED_VALUE"""),190.0)</f>
        <v>190</v>
      </c>
      <c r="BV22" s="344">
        <f>IFERROR(__xludf.DUMMYFUNCTION("""COMPUTED_VALUE"""),14.0)</f>
        <v>14</v>
      </c>
      <c r="BW22" s="344">
        <f>IFERROR(__xludf.DUMMYFUNCTION("""COMPUTED_VALUE"""),6.7)</f>
        <v>6.7</v>
      </c>
    </row>
    <row r="23">
      <c r="A23" s="347" t="str">
        <f>IFERROR(__xludf.DUMMYFUNCTION("""COMPUTED_VALUE"""),"FE0129F")</f>
        <v>FE0129F</v>
      </c>
      <c r="B23" s="292" t="str">
        <f>IFERROR(__xludf.DUMMYFUNCTION("""COMPUTED_VALUE"""),"CON-40-143705-4")</f>
        <v>CON-40-143705-4</v>
      </c>
      <c r="C23" s="292" t="str">
        <f>IFERROR(__xludf.DUMMYFUNCTION("""COMPUTED_VALUE"""),"CON-00-147819-2")</f>
        <v>CON-00-147819-2</v>
      </c>
      <c r="D23" s="292" t="str">
        <f>IFERROR(__xludf.DUMMYFUNCTION("""COMPUTED_VALUE"""),"CON-00-136727-3")</f>
        <v>CON-00-136727-3</v>
      </c>
      <c r="E23" s="292" t="str">
        <f>IFERROR(__xludf.DUMMYFUNCTION("""COMPUTED_VALUE"""),"Peruvian style chicken breast")</f>
        <v>Peruvian style chicken breast</v>
      </c>
      <c r="F23" s="292" t="str">
        <f>IFERROR(__xludf.DUMMYFUNCTION("""COMPUTED_VALUE"""),"with cauliflower rice and red pepper in cheese and chili-garlic broccoli")</f>
        <v>with cauliflower rice and red pepper in cheese and chili-garlic broccoli</v>
      </c>
      <c r="G23" s="292" t="str">
        <f>IFERROR(__xludf.DUMMYFUNCTION("""COMPUTED_VALUE"""),"Peruaanse stijl kipfilet")</f>
        <v>Peruaanse stijl kipfilet</v>
      </c>
      <c r="H23" s="292" t="str">
        <f>IFERROR(__xludf.DUMMYFUNCTION("""COMPUTED_VALUE"""),"met paprika-bloemkoolrijst in kaassaus en chili-knoflook broccoli")</f>
        <v>met paprika-bloemkoolrijst in kaassaus en chili-knoflook broccoli</v>
      </c>
      <c r="I23" s="292" t="str">
        <f>IFERROR(__xludf.DUMMYFUNCTION("""COMPUTED_VALUE"""),"Peruansk kyllingebryst ")</f>
        <v>Peruansk kyllingebryst </v>
      </c>
      <c r="J23" s="292" t="str">
        <f>IFERROR(__xludf.DUMMYFUNCTION("""COMPUTED_VALUE"""),"Peruanische Hähnchenbrust ")</f>
        <v>Peruanische Hähnchenbrust </v>
      </c>
      <c r="K23" s="292">
        <f>IFERROR(__xludf.DUMMYFUNCTION("""COMPUTED_VALUE"""),565116.0)</f>
        <v>565116</v>
      </c>
      <c r="L23" s="292"/>
      <c r="M23" s="292" t="str">
        <f>IFERROR(__xludf.DUMMYFUNCTION("""COMPUTED_VALUE"""),"FA-NL Peruaanse stijl kipfilet (FE0129)")</f>
        <v>FA-NL Peruaanse stijl kipfilet (FE0129)</v>
      </c>
      <c r="N23" s="292" t="str">
        <f>IFERROR(__xludf.DUMMYFUNCTION("""COMPUTED_VALUE"""),"FA-NO Peruansk kyllingebryst (FE0129)")</f>
        <v>FA-NO Peruansk kyllingebryst (FE0129)</v>
      </c>
      <c r="O23" s="292" t="str">
        <f>IFERROR(__xludf.DUMMYFUNCTION("""COMPUTED_VALUE"""),"FA-DE Peruanische Hähnchenbrust (FE0129)")</f>
        <v>FA-DE Peruanische Hähnchenbrust (FE0129)</v>
      </c>
      <c r="P23" s="292" t="str">
        <f>IFERROR(__xludf.DUMMYFUNCTION("""COMPUTED_VALUE"""),"Graveyard")</f>
        <v>Graveyard</v>
      </c>
      <c r="Q23" s="292"/>
      <c r="R23" s="342">
        <f>IFERROR(__xludf.DUMMYFUNCTION("""COMPUTED_VALUE"""),4.88)</f>
        <v>4.88</v>
      </c>
      <c r="S23" s="292"/>
      <c r="T23" s="292"/>
      <c r="U23" s="292"/>
      <c r="V23" s="292"/>
      <c r="W23" s="292" t="b">
        <f>IFERROR(__xludf.DUMMYFUNCTION("""COMPUTED_VALUE"""),TRUE)</f>
        <v>1</v>
      </c>
      <c r="X23" s="345">
        <f>IFERROR(__xludf.DUMMYFUNCTION("""COMPUTED_VALUE"""),386.0)</f>
        <v>386</v>
      </c>
      <c r="Y23" s="344">
        <f>IFERROR(__xludf.DUMMYFUNCTION("""COMPUTED_VALUE"""),652.0)</f>
        <v>652</v>
      </c>
      <c r="Z23" s="343">
        <f>IFERROR(__xludf.DUMMYFUNCTION("""COMPUTED_VALUE"""),51.0)</f>
        <v>51</v>
      </c>
      <c r="AA23" s="344">
        <f>IFERROR(__xludf.DUMMYFUNCTION("""COMPUTED_VALUE"""),20.4)</f>
        <v>20.4</v>
      </c>
      <c r="AB23" s="344">
        <f>IFERROR(__xludf.DUMMYFUNCTION("""COMPUTED_VALUE"""),9.6)</f>
        <v>9.6</v>
      </c>
      <c r="AC23" s="344">
        <f>IFERROR(__xludf.DUMMYFUNCTION("""COMPUTED_VALUE"""),5.0)</f>
        <v>5</v>
      </c>
      <c r="AD23" s="344">
        <f>IFERROR(__xludf.DUMMYFUNCTION("""COMPUTED_VALUE"""),6.9)</f>
        <v>6.9</v>
      </c>
      <c r="AE23" s="343">
        <f>IFERROR(__xludf.DUMMYFUNCTION("""COMPUTED_VALUE"""),34.0)</f>
        <v>34</v>
      </c>
      <c r="AF23" s="343">
        <f>IFERROR(__xludf.DUMMYFUNCTION("""COMPUTED_VALUE"""),2.04)</f>
        <v>2.04</v>
      </c>
      <c r="AG23" s="292" t="b">
        <f>IFERROR(__xludf.DUMMYFUNCTION("""COMPUTED_VALUE"""),TRUE)</f>
        <v>1</v>
      </c>
      <c r="AH23" s="292" t="b">
        <f>IFERROR(__xludf.DUMMYFUNCTION("""COMPUTED_VALUE"""),TRUE)</f>
        <v>1</v>
      </c>
      <c r="AI23" s="292" t="b">
        <f>IFERROR(__xludf.DUMMYFUNCTION("""COMPUTED_VALUE"""),FALSE)</f>
        <v>0</v>
      </c>
      <c r="AJ23" s="292" t="b">
        <f>IFERROR(__xludf.DUMMYFUNCTION("""COMPUTED_VALUE"""),FALSE)</f>
        <v>0</v>
      </c>
      <c r="AK23" s="292" t="b">
        <f>IFERROR(__xludf.DUMMYFUNCTION("""COMPUTED_VALUE"""),FALSE)</f>
        <v>0</v>
      </c>
      <c r="AL23" s="292" t="b">
        <f>IFERROR(__xludf.DUMMYFUNCTION("""COMPUTED_VALUE"""),FALSE)</f>
        <v>0</v>
      </c>
      <c r="AM23" s="292" t="b">
        <f>IFERROR(__xludf.DUMMYFUNCTION("""COMPUTED_VALUE"""),TRUE)</f>
        <v>1</v>
      </c>
      <c r="AN23" s="292" t="b">
        <f>IFERROR(__xludf.DUMMYFUNCTION("""COMPUTED_VALUE"""),FALSE)</f>
        <v>0</v>
      </c>
      <c r="AO23" s="292" t="str">
        <f>IFERROR(__xludf.DUMMYFUNCTION("""COMPUTED_VALUE"""),"FALSE")</f>
        <v>FALSE</v>
      </c>
      <c r="AP23" s="292" t="str">
        <f>IFERROR(__xludf.DUMMYFUNCTION("""COMPUTED_VALUE"""),"Chicken breast")</f>
        <v>Chicken breast</v>
      </c>
      <c r="AQ23" s="292" t="str">
        <f>IFERROR(__xludf.DUMMYFUNCTION("""COMPUTED_VALUE"""),"Chicken")</f>
        <v>Chicken</v>
      </c>
      <c r="AR23" s="292" t="str">
        <f>IFERROR(__xludf.DUMMYFUNCTION("""COMPUTED_VALUE"""),"Breast")</f>
        <v>Breast</v>
      </c>
      <c r="AS23" s="292" t="str">
        <f>IFERROR(__xludf.DUMMYFUNCTION("""COMPUTED_VALUE"""),"Cauliflower Rice")</f>
        <v>Cauliflower Rice</v>
      </c>
      <c r="AT23" s="292" t="str">
        <f>IFERROR(__xludf.DUMMYFUNCTION("""COMPUTED_VALUE"""),"Broccoli")</f>
        <v>Broccoli</v>
      </c>
      <c r="AU23" s="292" t="str">
        <f>IFERROR(__xludf.DUMMYFUNCTION("""COMPUTED_VALUE"""),"Compound Butter")</f>
        <v>Compound Butter</v>
      </c>
      <c r="AV23" s="292" t="str">
        <f>IFERROR(__xludf.DUMMYFUNCTION("""COMPUTED_VALUE"""),"Cupped Sauce")</f>
        <v>Cupped Sauce</v>
      </c>
      <c r="AW23" s="292" t="str">
        <f>IFERROR(__xludf.DUMMYFUNCTION("""COMPUTED_VALUE"""),"Year Round")</f>
        <v>Year Round</v>
      </c>
      <c r="AX23" s="292" t="str">
        <f>IFERROR(__xludf.DUMMYFUNCTION("""COMPUTED_VALUE"""),"Peruvian")</f>
        <v>Peruvian</v>
      </c>
      <c r="AY23" s="292"/>
      <c r="AZ23" s="292" t="str">
        <f>IFERROR(__xludf.DUMMYFUNCTION("""COMPUTED_VALUE"""),"2 CT")</f>
        <v>2 CT</v>
      </c>
      <c r="BA23" s="292" t="b">
        <f>IFERROR(__xludf.DUMMYFUNCTION("""COMPUTED_VALUE"""),TRUE)</f>
        <v>1</v>
      </c>
      <c r="BB23" s="342">
        <f>IFERROR(__xludf.DUMMYFUNCTION("""COMPUTED_VALUE"""),2.47)</f>
        <v>2.47</v>
      </c>
      <c r="BC23" s="342">
        <f>IFERROR(__xludf.DUMMYFUNCTION("""COMPUTED_VALUE"""),1.13)</f>
        <v>1.13</v>
      </c>
      <c r="BD23" s="342">
        <f>IFERROR(__xludf.DUMMYFUNCTION("""COMPUTED_VALUE"""),0.39)</f>
        <v>0.39</v>
      </c>
      <c r="BE23" s="342">
        <f>IFERROR(__xludf.DUMMYFUNCTION("""COMPUTED_VALUE"""),0.89)</f>
        <v>0.89</v>
      </c>
      <c r="BF23" s="296">
        <f>IFERROR(__xludf.DUMMYFUNCTION("""COMPUTED_VALUE"""),3.4178639644239666)</f>
        <v>3.417863964</v>
      </c>
      <c r="BG23" s="296">
        <f>IFERROR(__xludf.DUMMYFUNCTION("""COMPUTED_VALUE"""),3.3085550031978603)</f>
        <v>3.308555003</v>
      </c>
      <c r="BH23" s="296">
        <f>IFERROR(__xludf.DUMMYFUNCTION("""COMPUTED_VALUE"""),3.4339936836060865)</f>
        <v>3.433993684</v>
      </c>
      <c r="BI23" s="295">
        <f>IFERROR(__xludf.DUMMYFUNCTION("""COMPUTED_VALUE"""),163.0)</f>
        <v>163</v>
      </c>
      <c r="BJ23" s="295" t="str">
        <f>IFERROR(__xludf.DUMMYFUNCTION("""COMPUTED_VALUE"""),"FALSE")</f>
        <v>FALSE</v>
      </c>
      <c r="BK23" s="346">
        <f>IFERROR(__xludf.DUMMYFUNCTION("""COMPUTED_VALUE"""),2703.0)</f>
        <v>2703</v>
      </c>
      <c r="BL23" s="292" t="str">
        <f>IFERROR(__xludf.DUMMYFUNCTION("""COMPUTED_VALUE"""),"US")</f>
        <v>US</v>
      </c>
      <c r="BM23" s="292" t="str">
        <f>IFERROR(__xludf.DUMMYFUNCTION("""COMPUTED_VALUE"""),"Kycklingbröst i peruansk tappning ")</f>
        <v>Kycklingbröst i peruansk tappning </v>
      </c>
      <c r="BN23" s="343">
        <f>IFERROR(__xludf.DUMMYFUNCTION("""COMPUTED_VALUE"""),3.529083785412899)</f>
        <v>3.529083785</v>
      </c>
      <c r="BO23" s="343">
        <f>IFERROR(__xludf.DUMMYFUNCTION("""COMPUTED_VALUE"""),3.4166666666666665)</f>
        <v>3.416666667</v>
      </c>
      <c r="BP23" s="292"/>
      <c r="BQ23" s="292" t="str">
        <f>IFERROR(__xludf.DUMMYFUNCTION("""COMPUTED_VALUE"""),"Graveyard")</f>
        <v>Graveyard</v>
      </c>
      <c r="BR23" s="292" t="b">
        <f>IFERROR(__xludf.DUMMYFUNCTION("""COMPUTED_VALUE"""),FALSE)</f>
        <v>0</v>
      </c>
      <c r="BS23" s="292" t="b">
        <f>IFERROR(__xludf.DUMMYFUNCTION("""COMPUTED_VALUE"""),FALSE)</f>
        <v>0</v>
      </c>
      <c r="BT23" s="345">
        <f>IFERROR(__xludf.DUMMYFUNCTION("""COMPUTED_VALUE"""),700.0)</f>
        <v>700</v>
      </c>
      <c r="BU23" s="345">
        <f>IFERROR(__xludf.DUMMYFUNCTION("""COMPUTED_VALUE"""),168.9)</f>
        <v>168.9</v>
      </c>
      <c r="BV23" s="344">
        <f>IFERROR(__xludf.DUMMYFUNCTION("""COMPUTED_VALUE"""),13.3)</f>
        <v>13.3</v>
      </c>
      <c r="BW23" s="344">
        <f>IFERROR(__xludf.DUMMYFUNCTION("""COMPUTED_VALUE"""),5.3)</f>
        <v>5.3</v>
      </c>
    </row>
    <row r="24">
      <c r="A24" s="292" t="str">
        <f>IFERROR(__xludf.DUMMYFUNCTION("""COMPUTED_VALUE"""),"FE0130C")</f>
        <v>FE0130C</v>
      </c>
      <c r="B24" s="292" t="str">
        <f>IFERROR(__xludf.DUMMYFUNCTION("""COMPUTED_VALUE"""),"CON-40-143737-4")</f>
        <v>CON-40-143737-4</v>
      </c>
      <c r="C24" s="292" t="str">
        <f>IFERROR(__xludf.DUMMYFUNCTION("""COMPUTED_VALUE"""),"CON-00-147820-2")</f>
        <v>CON-00-147820-2</v>
      </c>
      <c r="D24" s="292" t="str">
        <f>IFERROR(__xludf.DUMMYFUNCTION("""COMPUTED_VALUE"""),"CON-00-136635-3")</f>
        <v>CON-00-136635-3</v>
      </c>
      <c r="E24" s="292" t="str">
        <f>IFERROR(__xludf.DUMMYFUNCTION("""COMPUTED_VALUE"""),"Rice bowl with pulled chicken and taco spices")</f>
        <v>Rice bowl with pulled chicken and taco spices</v>
      </c>
      <c r="F24" s="292" t="str">
        <f>IFERROR(__xludf.DUMMYFUNCTION("""COMPUTED_VALUE"""),"with black beans, corn salsa, and sour cream with coriander and lime")</f>
        <v>with black beans, corn salsa, and sour cream with coriander and lime</v>
      </c>
      <c r="G24" s="292" t="str">
        <f>IFERROR(__xludf.DUMMYFUNCTION("""COMPUTED_VALUE"""),"Mexicaanse stijl rijstbowl met kip")</f>
        <v>Mexicaanse stijl rijstbowl met kip</v>
      </c>
      <c r="H24" s="292" t="str">
        <f>IFERROR(__xludf.DUMMYFUNCTION("""COMPUTED_VALUE"""),"met zwarte bonen, maïssalsa, en zure room met koriander en limoen")</f>
        <v>met zwarte bonen, maïssalsa, en zure room met koriander en limoen</v>
      </c>
      <c r="I24" s="292" t="str">
        <f>IFERROR(__xludf.DUMMYFUNCTION("""COMPUTED_VALUE"""),"Ris-bowl med pulled chicken og tacokrydderier")</f>
        <v>Ris-bowl med pulled chicken og tacokrydderier</v>
      </c>
      <c r="J24" s="292" t="str">
        <f>IFERROR(__xludf.DUMMYFUNCTION("""COMPUTED_VALUE"""),"Mexikanisch Reis-Bowl mit Pulled Chicken und Taco-Gewürzen")</f>
        <v>Mexikanisch Reis-Bowl mit Pulled Chicken und Taco-Gewürzen</v>
      </c>
      <c r="K24" s="292">
        <f>IFERROR(__xludf.DUMMYFUNCTION("""COMPUTED_VALUE"""),565029.0)</f>
        <v>565029</v>
      </c>
      <c r="L24" s="292" t="str">
        <f>IFERROR(__xludf.DUMMYFUNCTION("""COMPUTED_VALUE"""),"HF Pulled Chicken Taco Bowl 403g")</f>
        <v>HF Pulled Chicken Taco Bowl 403g</v>
      </c>
      <c r="M24" s="292" t="str">
        <f>IFERROR(__xludf.DUMMYFUNCTION("""COMPUTED_VALUE"""),"FA-NL Mexicaanse stijl rijstbowl (FE0130)")</f>
        <v>FA-NL Mexicaanse stijl rijstbowl (FE0130)</v>
      </c>
      <c r="N24" s="292" t="str">
        <f>IFERROR(__xludf.DUMMYFUNCTION("""COMPUTED_VALUE"""),"FA-NO Ris-bowl med pulled chicken og tacokrydderier (FE0130)")</f>
        <v>FA-NO Ris-bowl med pulled chicken og tacokrydderier (FE0130)</v>
      </c>
      <c r="O24" s="292" t="str">
        <f>IFERROR(__xludf.DUMMYFUNCTION("""COMPUTED_VALUE"""),"FA-DE Mexikanische Reis-Bowl mit Hähnchen (FE0130)")</f>
        <v>FA-DE Mexikanische Reis-Bowl mit Hähnchen (FE0130)</v>
      </c>
      <c r="P24" s="292" t="str">
        <f>IFERROR(__xludf.DUMMYFUNCTION("""COMPUTED_VALUE"""),"Hold")</f>
        <v>Hold</v>
      </c>
      <c r="Q24" s="292"/>
      <c r="R24" s="342">
        <f>IFERROR(__xludf.DUMMYFUNCTION("""COMPUTED_VALUE"""),4.27)</f>
        <v>4.27</v>
      </c>
      <c r="S24" s="298">
        <f>IFERROR(__xludf.DUMMYFUNCTION("""COMPUTED_VALUE"""),0.053463274898175914)</f>
        <v>0.0534632749</v>
      </c>
      <c r="T24" s="343">
        <f>IFERROR(__xludf.DUMMYFUNCTION("""COMPUTED_VALUE"""),3.51038885486834)</f>
        <v>3.510388855</v>
      </c>
      <c r="U24" s="292">
        <f>IFERROR(__xludf.DUMMYFUNCTION("""COMPUTED_VALUE"""),69151.0)</f>
        <v>69151</v>
      </c>
      <c r="V24" s="292"/>
      <c r="W24" s="292" t="b">
        <f>IFERROR(__xludf.DUMMYFUNCTION("""COMPUTED_VALUE"""),FALSE)</f>
        <v>0</v>
      </c>
      <c r="X24" s="345">
        <f>IFERROR(__xludf.DUMMYFUNCTION("""COMPUTED_VALUE"""),407.0)</f>
        <v>407</v>
      </c>
      <c r="Y24" s="344">
        <f>IFERROR(__xludf.DUMMYFUNCTION("""COMPUTED_VALUE"""),548.0)</f>
        <v>548</v>
      </c>
      <c r="Z24" s="343">
        <f>IFERROR(__xludf.DUMMYFUNCTION("""COMPUTED_VALUE"""),19.1)</f>
        <v>19.1</v>
      </c>
      <c r="AA24" s="344">
        <f>IFERROR(__xludf.DUMMYFUNCTION("""COMPUTED_VALUE"""),7.3)</f>
        <v>7.3</v>
      </c>
      <c r="AB24" s="344">
        <f>IFERROR(__xludf.DUMMYFUNCTION("""COMPUTED_VALUE"""),55.0)</f>
        <v>55</v>
      </c>
      <c r="AC24" s="344">
        <f>IFERROR(__xludf.DUMMYFUNCTION("""COMPUTED_VALUE"""),9.0)</f>
        <v>9</v>
      </c>
      <c r="AD24" s="344">
        <f>IFERROR(__xludf.DUMMYFUNCTION("""COMPUTED_VALUE"""),11.0)</f>
        <v>11</v>
      </c>
      <c r="AE24" s="343">
        <f>IFERROR(__xludf.DUMMYFUNCTION("""COMPUTED_VALUE"""),33.0)</f>
        <v>33</v>
      </c>
      <c r="AF24" s="343">
        <f>IFERROR(__xludf.DUMMYFUNCTION("""COMPUTED_VALUE"""),1.79)</f>
        <v>1.79</v>
      </c>
      <c r="AG24" s="292" t="b">
        <f>IFERROR(__xludf.DUMMYFUNCTION("""COMPUTED_VALUE"""),TRUE)</f>
        <v>1</v>
      </c>
      <c r="AH24" s="292" t="b">
        <f>IFERROR(__xludf.DUMMYFUNCTION("""COMPUTED_VALUE"""),FALSE)</f>
        <v>0</v>
      </c>
      <c r="AI24" s="292" t="b">
        <f>IFERROR(__xludf.DUMMYFUNCTION("""COMPUTED_VALUE"""),TRUE)</f>
        <v>1</v>
      </c>
      <c r="AJ24" s="292" t="b">
        <f>IFERROR(__xludf.DUMMYFUNCTION("""COMPUTED_VALUE"""),FALSE)</f>
        <v>0</v>
      </c>
      <c r="AK24" s="292" t="b">
        <f>IFERROR(__xludf.DUMMYFUNCTION("""COMPUTED_VALUE"""),FALSE)</f>
        <v>0</v>
      </c>
      <c r="AL24" s="292" t="b">
        <f>IFERROR(__xludf.DUMMYFUNCTION("""COMPUTED_VALUE"""),FALSE)</f>
        <v>0</v>
      </c>
      <c r="AM24" s="292" t="b">
        <f>IFERROR(__xludf.DUMMYFUNCTION("""COMPUTED_VALUE"""),TRUE)</f>
        <v>1</v>
      </c>
      <c r="AN24" s="292" t="b">
        <f>IFERROR(__xludf.DUMMYFUNCTION("""COMPUTED_VALUE"""),FALSE)</f>
        <v>0</v>
      </c>
      <c r="AO24" s="292" t="str">
        <f>IFERROR(__xludf.DUMMYFUNCTION("""COMPUTED_VALUE"""),"TRUE")</f>
        <v>TRUE</v>
      </c>
      <c r="AP24" s="292" t="str">
        <f>IFERROR(__xludf.DUMMYFUNCTION("""COMPUTED_VALUE"""),"Shredded chicken")</f>
        <v>Shredded chicken</v>
      </c>
      <c r="AQ24" s="292" t="str">
        <f>IFERROR(__xludf.DUMMYFUNCTION("""COMPUTED_VALUE"""),"Chicken")</f>
        <v>Chicken</v>
      </c>
      <c r="AR24" s="292" t="str">
        <f>IFERROR(__xludf.DUMMYFUNCTION("""COMPUTED_VALUE"""),"Shredded")</f>
        <v>Shredded</v>
      </c>
      <c r="AS24" s="292" t="str">
        <f>IFERROR(__xludf.DUMMYFUNCTION("""COMPUTED_VALUE"""),"Rice")</f>
        <v>Rice</v>
      </c>
      <c r="AT24" s="292" t="str">
        <f>IFERROR(__xludf.DUMMYFUNCTION("""COMPUTED_VALUE"""),"Pepper Mix")</f>
        <v>Pepper Mix</v>
      </c>
      <c r="AU24" s="292" t="str">
        <f>IFERROR(__xludf.DUMMYFUNCTION("""COMPUTED_VALUE"""),"Corn Kernels")</f>
        <v>Corn Kernels</v>
      </c>
      <c r="AV24" s="292" t="str">
        <f>IFERROR(__xludf.DUMMYFUNCTION("""COMPUTED_VALUE"""),"Cupped Sauce")</f>
        <v>Cupped Sauce</v>
      </c>
      <c r="AW24" s="292" t="str">
        <f>IFERROR(__xludf.DUMMYFUNCTION("""COMPUTED_VALUE"""),"Year Round")</f>
        <v>Year Round</v>
      </c>
      <c r="AX24" s="292" t="str">
        <f>IFERROR(__xludf.DUMMYFUNCTION("""COMPUTED_VALUE"""),"Mexican")</f>
        <v>Mexican</v>
      </c>
      <c r="AY24" s="292"/>
      <c r="AZ24" s="292" t="str">
        <f>IFERROR(__xludf.DUMMYFUNCTION("""COMPUTED_VALUE"""),"2 CT")</f>
        <v>2 CT</v>
      </c>
      <c r="BA24" s="292" t="b">
        <f>IFERROR(__xludf.DUMMYFUNCTION("""COMPUTED_VALUE"""),TRUE)</f>
        <v>1</v>
      </c>
      <c r="BB24" s="342">
        <f>IFERROR(__xludf.DUMMYFUNCTION("""COMPUTED_VALUE"""),2.06)</f>
        <v>2.06</v>
      </c>
      <c r="BC24" s="342">
        <f>IFERROR(__xludf.DUMMYFUNCTION("""COMPUTED_VALUE"""),0.97)</f>
        <v>0.97</v>
      </c>
      <c r="BD24" s="342">
        <f>IFERROR(__xludf.DUMMYFUNCTION("""COMPUTED_VALUE"""),0.392)</f>
        <v>0.392</v>
      </c>
      <c r="BE24" s="342">
        <f>IFERROR(__xludf.DUMMYFUNCTION("""COMPUTED_VALUE"""),0.89)</f>
        <v>0.89</v>
      </c>
      <c r="BF24" s="296" t="str">
        <f>IFERROR(__xludf.DUMMYFUNCTION("""COMPUTED_VALUE"""),"#REF!")</f>
        <v>#REF!</v>
      </c>
      <c r="BG24" s="296" t="str">
        <f>IFERROR(__xludf.DUMMYFUNCTION("""COMPUTED_VALUE"""),"#REF!")</f>
        <v>#REF!</v>
      </c>
      <c r="BH24" s="296" t="str">
        <f>IFERROR(__xludf.DUMMYFUNCTION("""COMPUTED_VALUE"""),"#REF!")</f>
        <v>#REF!</v>
      </c>
      <c r="BI24" s="295">
        <f>IFERROR(__xludf.DUMMYFUNCTION("""COMPUTED_VALUE"""),153.0)</f>
        <v>153</v>
      </c>
      <c r="BJ24" s="295" t="str">
        <f>IFERROR(__xludf.DUMMYFUNCTION("""COMPUTED_VALUE"""),"FALSE")</f>
        <v>FALSE</v>
      </c>
      <c r="BK24" s="346">
        <f>IFERROR(__xludf.DUMMYFUNCTION("""COMPUTED_VALUE"""),2300.0)</f>
        <v>2300</v>
      </c>
      <c r="BL24" s="292" t="str">
        <f>IFERROR(__xludf.DUMMYFUNCTION("""COMPUTED_VALUE"""),"US")</f>
        <v>US</v>
      </c>
      <c r="BM24" s="292" t="str">
        <f>IFERROR(__xludf.DUMMYFUNCTION("""COMPUTED_VALUE"""),"Ris-bowl med pulled chicken och tacokrydda")</f>
        <v>Ris-bowl med pulled chicken och tacokrydda</v>
      </c>
      <c r="BN24" s="292"/>
      <c r="BO24" s="292"/>
      <c r="BP24" s="292"/>
      <c r="BQ24" s="292" t="str">
        <f>IFERROR(__xludf.DUMMYFUNCTION("""COMPUTED_VALUE"""),"Hold")</f>
        <v>Hold</v>
      </c>
      <c r="BR24" s="292" t="b">
        <f>IFERROR(__xludf.DUMMYFUNCTION("""COMPUTED_VALUE"""),FALSE)</f>
        <v>0</v>
      </c>
      <c r="BS24" s="292" t="b">
        <f>IFERROR(__xludf.DUMMYFUNCTION("""COMPUTED_VALUE"""),FALSE)</f>
        <v>0</v>
      </c>
      <c r="BT24" s="292"/>
      <c r="BU24" s="292"/>
      <c r="BV24" s="292"/>
      <c r="BW24" s="292"/>
    </row>
    <row r="25">
      <c r="A25" s="292" t="str">
        <f>IFERROR(__xludf.DUMMYFUNCTION("""COMPUTED_VALUE"""),"FE0130D")</f>
        <v>FE0130D</v>
      </c>
      <c r="B25" s="292" t="str">
        <f>IFERROR(__xludf.DUMMYFUNCTION("""COMPUTED_VALUE"""),"CON-40-143737-4")</f>
        <v>CON-40-143737-4</v>
      </c>
      <c r="C25" s="292" t="str">
        <f>IFERROR(__xludf.DUMMYFUNCTION("""COMPUTED_VALUE"""),"CON-00-147820-2")</f>
        <v>CON-00-147820-2</v>
      </c>
      <c r="D25" s="292" t="str">
        <f>IFERROR(__xludf.DUMMYFUNCTION("""COMPUTED_VALUE"""),"CON-00-136635-3")</f>
        <v>CON-00-136635-3</v>
      </c>
      <c r="E25" s="292" t="str">
        <f>IFERROR(__xludf.DUMMYFUNCTION("""COMPUTED_VALUE"""),"Mexican style rice bowl with chicken")</f>
        <v>Mexican style rice bowl with chicken</v>
      </c>
      <c r="F25" s="292" t="str">
        <f>IFERROR(__xludf.DUMMYFUNCTION("""COMPUTED_VALUE"""),"with black beans, corn salsa, and sour cream with coriander and lime")</f>
        <v>with black beans, corn salsa, and sour cream with coriander and lime</v>
      </c>
      <c r="G25" s="292" t="str">
        <f>IFERROR(__xludf.DUMMYFUNCTION("""COMPUTED_VALUE"""),"Mexicaanse stijl rijstbowl met kip ")</f>
        <v>Mexicaanse stijl rijstbowl met kip </v>
      </c>
      <c r="H25" s="292" t="str">
        <f>IFERROR(__xludf.DUMMYFUNCTION("""COMPUTED_VALUE"""),"met zwarte bonen, maïssalsa, en zure room met koriander en limoen")</f>
        <v>met zwarte bonen, maïssalsa, en zure room met koriander en limoen</v>
      </c>
      <c r="I25" s="292" t="str">
        <f>IFERROR(__xludf.DUMMYFUNCTION("""COMPUTED_VALUE"""),"Mexicansk bowl med kylling og ris")</f>
        <v>Mexicansk bowl med kylling og ris</v>
      </c>
      <c r="J25" s="292" t="str">
        <f>IFERROR(__xludf.DUMMYFUNCTION("""COMPUTED_VALUE"""),"Mexikanische Reis-Bowl mit Hähnchen")</f>
        <v>Mexikanische Reis-Bowl mit Hähnchen</v>
      </c>
      <c r="K25" s="292">
        <f>IFERROR(__xludf.DUMMYFUNCTION("""COMPUTED_VALUE"""),565029.0)</f>
        <v>565029</v>
      </c>
      <c r="L25" s="292" t="str">
        <f>IFERROR(__xludf.DUMMYFUNCTION("""COMPUTED_VALUE"""),"Mexicaanse stijl rijstbowl met kip")</f>
        <v>Mexicaanse stijl rijstbowl met kip</v>
      </c>
      <c r="M25" s="292" t="str">
        <f>IFERROR(__xludf.DUMMYFUNCTION("""COMPUTED_VALUE"""),"FA-NL Mexicaanse stijl rijstbowl (FE0130)")</f>
        <v>FA-NL Mexicaanse stijl rijstbowl (FE0130)</v>
      </c>
      <c r="N25" s="292" t="str">
        <f>IFERROR(__xludf.DUMMYFUNCTION("""COMPUTED_VALUE"""),"FA-NO Ris-bowl med pulled chicken og tacokrydderier (FE0130)")</f>
        <v>FA-NO Ris-bowl med pulled chicken og tacokrydderier (FE0130)</v>
      </c>
      <c r="O25" s="292" t="str">
        <f>IFERROR(__xludf.DUMMYFUNCTION("""COMPUTED_VALUE"""),"FA-DE Mexikanische Reis-Bowl mit Hähnchen (FE0130)")</f>
        <v>FA-DE Mexikanische Reis-Bowl mit Hähnchen (FE0130)</v>
      </c>
      <c r="P25" s="292" t="str">
        <f>IFERROR(__xludf.DUMMYFUNCTION("""COMPUTED_VALUE"""),"Hold")</f>
        <v>Hold</v>
      </c>
      <c r="Q25" s="292"/>
      <c r="R25" s="342">
        <f>IFERROR(__xludf.DUMMYFUNCTION("""COMPUTED_VALUE"""),4.74)</f>
        <v>4.74</v>
      </c>
      <c r="S25" s="292"/>
      <c r="T25" s="292"/>
      <c r="U25" s="292"/>
      <c r="V25" s="292"/>
      <c r="W25" s="292" t="b">
        <f>IFERROR(__xludf.DUMMYFUNCTION("""COMPUTED_VALUE"""),TRUE)</f>
        <v>1</v>
      </c>
      <c r="X25" s="345">
        <f>IFERROR(__xludf.DUMMYFUNCTION("""COMPUTED_VALUE"""),403.0)</f>
        <v>403</v>
      </c>
      <c r="Y25" s="344">
        <f>IFERROR(__xludf.DUMMYFUNCTION("""COMPUTED_VALUE"""),549.0)</f>
        <v>549</v>
      </c>
      <c r="Z25" s="343">
        <f>IFERROR(__xludf.DUMMYFUNCTION("""COMPUTED_VALUE"""),15.3)</f>
        <v>15.3</v>
      </c>
      <c r="AA25" s="344">
        <f>IFERROR(__xludf.DUMMYFUNCTION("""COMPUTED_VALUE"""),5.8)</f>
        <v>5.8</v>
      </c>
      <c r="AB25" s="344">
        <f>IFERROR(__xludf.DUMMYFUNCTION("""COMPUTED_VALUE"""),56.5)</f>
        <v>56.5</v>
      </c>
      <c r="AC25" s="344">
        <f>IFERROR(__xludf.DUMMYFUNCTION("""COMPUTED_VALUE"""),7.5)</f>
        <v>7.5</v>
      </c>
      <c r="AD25" s="344">
        <f>IFERROR(__xludf.DUMMYFUNCTION("""COMPUTED_VALUE"""),9.9)</f>
        <v>9.9</v>
      </c>
      <c r="AE25" s="343">
        <f>IFERROR(__xludf.DUMMYFUNCTION("""COMPUTED_VALUE"""),40.8)</f>
        <v>40.8</v>
      </c>
      <c r="AF25" s="343">
        <f>IFERROR(__xludf.DUMMYFUNCTION("""COMPUTED_VALUE"""),1.94)</f>
        <v>1.94</v>
      </c>
      <c r="AG25" s="292" t="b">
        <f>IFERROR(__xludf.DUMMYFUNCTION("""COMPUTED_VALUE"""),TRUE)</f>
        <v>1</v>
      </c>
      <c r="AH25" s="292" t="b">
        <f>IFERROR(__xludf.DUMMYFUNCTION("""COMPUTED_VALUE"""),FALSE)</f>
        <v>0</v>
      </c>
      <c r="AI25" s="292" t="b">
        <f>IFERROR(__xludf.DUMMYFUNCTION("""COMPUTED_VALUE"""),TRUE)</f>
        <v>1</v>
      </c>
      <c r="AJ25" s="292" t="b">
        <f>IFERROR(__xludf.DUMMYFUNCTION("""COMPUTED_VALUE"""),FALSE)</f>
        <v>0</v>
      </c>
      <c r="AK25" s="292" t="b">
        <f>IFERROR(__xludf.DUMMYFUNCTION("""COMPUTED_VALUE"""),FALSE)</f>
        <v>0</v>
      </c>
      <c r="AL25" s="292" t="b">
        <f>IFERROR(__xludf.DUMMYFUNCTION("""COMPUTED_VALUE"""),FALSE)</f>
        <v>0</v>
      </c>
      <c r="AM25" s="292" t="b">
        <f>IFERROR(__xludf.DUMMYFUNCTION("""COMPUTED_VALUE"""),FALSE)</f>
        <v>0</v>
      </c>
      <c r="AN25" s="292" t="b">
        <f>IFERROR(__xludf.DUMMYFUNCTION("""COMPUTED_VALUE"""),FALSE)</f>
        <v>0</v>
      </c>
      <c r="AO25" s="292" t="str">
        <f>IFERROR(__xludf.DUMMYFUNCTION("""COMPUTED_VALUE"""),"TRUE")</f>
        <v>TRUE</v>
      </c>
      <c r="AP25" s="292" t="str">
        <f>IFERROR(__xludf.DUMMYFUNCTION("""COMPUTED_VALUE"""),"Diced chicken")</f>
        <v>Diced chicken</v>
      </c>
      <c r="AQ25" s="292" t="str">
        <f>IFERROR(__xludf.DUMMYFUNCTION("""COMPUTED_VALUE"""),"Chicken")</f>
        <v>Chicken</v>
      </c>
      <c r="AR25" s="292" t="str">
        <f>IFERROR(__xludf.DUMMYFUNCTION("""COMPUTED_VALUE"""),"PIeces")</f>
        <v>PIeces</v>
      </c>
      <c r="AS25" s="292" t="str">
        <f>IFERROR(__xludf.DUMMYFUNCTION("""COMPUTED_VALUE"""),"Rice")</f>
        <v>Rice</v>
      </c>
      <c r="AT25" s="292" t="str">
        <f>IFERROR(__xludf.DUMMYFUNCTION("""COMPUTED_VALUE"""),"Pepper Mix")</f>
        <v>Pepper Mix</v>
      </c>
      <c r="AU25" s="292" t="str">
        <f>IFERROR(__xludf.DUMMYFUNCTION("""COMPUTED_VALUE"""),"Corn Kernels")</f>
        <v>Corn Kernels</v>
      </c>
      <c r="AV25" s="292" t="str">
        <f>IFERROR(__xludf.DUMMYFUNCTION("""COMPUTED_VALUE"""),"Cupped Sauce")</f>
        <v>Cupped Sauce</v>
      </c>
      <c r="AW25" s="292" t="str">
        <f>IFERROR(__xludf.DUMMYFUNCTION("""COMPUTED_VALUE"""),"Year Round")</f>
        <v>Year Round</v>
      </c>
      <c r="AX25" s="292" t="str">
        <f>IFERROR(__xludf.DUMMYFUNCTION("""COMPUTED_VALUE"""),"Mexican")</f>
        <v>Mexican</v>
      </c>
      <c r="AY25" s="292"/>
      <c r="AZ25" s="292" t="str">
        <f>IFERROR(__xludf.DUMMYFUNCTION("""COMPUTED_VALUE"""),"2 CT")</f>
        <v>2 CT</v>
      </c>
      <c r="BA25" s="292" t="b">
        <f>IFERROR(__xludf.DUMMYFUNCTION("""COMPUTED_VALUE"""),TRUE)</f>
        <v>1</v>
      </c>
      <c r="BB25" s="342">
        <f>IFERROR(__xludf.DUMMYFUNCTION("""COMPUTED_VALUE"""),2.25)</f>
        <v>2.25</v>
      </c>
      <c r="BC25" s="342">
        <f>IFERROR(__xludf.DUMMYFUNCTION("""COMPUTED_VALUE"""),0.96)</f>
        <v>0.96</v>
      </c>
      <c r="BD25" s="342">
        <f>IFERROR(__xludf.DUMMYFUNCTION("""COMPUTED_VALUE"""),0.392)</f>
        <v>0.392</v>
      </c>
      <c r="BE25" s="342">
        <f>IFERROR(__xludf.DUMMYFUNCTION("""COMPUTED_VALUE"""),0.89)</f>
        <v>0.89</v>
      </c>
      <c r="BF25" s="296" t="str">
        <f>IFERROR(__xludf.DUMMYFUNCTION("""COMPUTED_VALUE"""),"#REF!")</f>
        <v>#REF!</v>
      </c>
      <c r="BG25" s="296" t="str">
        <f>IFERROR(__xludf.DUMMYFUNCTION("""COMPUTED_VALUE"""),"#REF!")</f>
        <v>#REF!</v>
      </c>
      <c r="BH25" s="296" t="str">
        <f>IFERROR(__xludf.DUMMYFUNCTION("""COMPUTED_VALUE"""),"#REF!")</f>
        <v>#REF!</v>
      </c>
      <c r="BI25" s="295">
        <f>IFERROR(__xludf.DUMMYFUNCTION("""COMPUTED_VALUE"""),142.0)</f>
        <v>142</v>
      </c>
      <c r="BJ25" s="295" t="str">
        <f>IFERROR(__xludf.DUMMYFUNCTION("""COMPUTED_VALUE"""),"FALSE")</f>
        <v>FALSE</v>
      </c>
      <c r="BK25" s="346">
        <f>IFERROR(__xludf.DUMMYFUNCTION("""COMPUTED_VALUE"""),2310.0)</f>
        <v>2310</v>
      </c>
      <c r="BL25" s="292" t="str">
        <f>IFERROR(__xludf.DUMMYFUNCTION("""COMPUTED_VALUE"""),"US")</f>
        <v>US</v>
      </c>
      <c r="BM25" s="292" t="str">
        <f>IFERROR(__xludf.DUMMYFUNCTION("""COMPUTED_VALUE"""),"Mexikansk risbowl med kyckling")</f>
        <v>Mexikansk risbowl med kyckling</v>
      </c>
      <c r="BN25" s="292"/>
      <c r="BO25" s="292"/>
      <c r="BP25" s="292"/>
      <c r="BQ25" s="292" t="str">
        <f>IFERROR(__xludf.DUMMYFUNCTION("""COMPUTED_VALUE"""),"Hold")</f>
        <v>Hold</v>
      </c>
      <c r="BR25" s="292" t="b">
        <f>IFERROR(__xludf.DUMMYFUNCTION("""COMPUTED_VALUE"""),FALSE)</f>
        <v>0</v>
      </c>
      <c r="BS25" s="292" t="b">
        <f>IFERROR(__xludf.DUMMYFUNCTION("""COMPUTED_VALUE"""),FALSE)</f>
        <v>0</v>
      </c>
      <c r="BT25" s="292"/>
      <c r="BU25" s="292"/>
      <c r="BV25" s="292"/>
      <c r="BW25" s="292"/>
    </row>
    <row r="26">
      <c r="A26" s="292" t="str">
        <f>IFERROR(__xludf.DUMMYFUNCTION("""COMPUTED_VALUE"""),"FE0131B")</f>
        <v>FE0131B</v>
      </c>
      <c r="B26" s="292" t="str">
        <f>IFERROR(__xludf.DUMMYFUNCTION("""COMPUTED_VALUE"""),"CON-40-143757-4")</f>
        <v>CON-40-143757-4</v>
      </c>
      <c r="C26" s="292" t="str">
        <f>IFERROR(__xludf.DUMMYFUNCTION("""COMPUTED_VALUE"""),"CON-00-147822-2")</f>
        <v>CON-00-147822-2</v>
      </c>
      <c r="D26" s="292" t="str">
        <f>IFERROR(__xludf.DUMMYFUNCTION("""COMPUTED_VALUE"""),"CON-00-136625-3")</f>
        <v>CON-00-136625-3</v>
      </c>
      <c r="E26" s="292" t="str">
        <f>IFERROR(__xludf.DUMMYFUNCTION("""COMPUTED_VALUE"""),"Black bean bowl and enchilada sauce")</f>
        <v>Black bean bowl and enchilada sauce</v>
      </c>
      <c r="F26" s="292" t="str">
        <f>IFERROR(__xludf.DUMMYFUNCTION("""COMPUTED_VALUE"""),"with rice, grilled zucchini, corn and salsa verde")</f>
        <v>with rice, grilled zucchini, corn and salsa verde</v>
      </c>
      <c r="G26" s="292" t="str">
        <f>IFERROR(__xludf.DUMMYFUNCTION("""COMPUTED_VALUE"""),"Zwarte bonenbowl en enchiladasaus")</f>
        <v>Zwarte bonenbowl en enchiladasaus</v>
      </c>
      <c r="H26" s="292" t="str">
        <f>IFERROR(__xludf.DUMMYFUNCTION("""COMPUTED_VALUE"""),"met rijst, gegrilde courgette, maïs en salsa verde")</f>
        <v>met rijst, gegrilde courgette, maïs en salsa verde</v>
      </c>
      <c r="I26" s="292"/>
      <c r="J26" s="292" t="str">
        <f>IFERROR(__xludf.DUMMYFUNCTION("""COMPUTED_VALUE"""),"Black-Bean-Bowl mit Enchiladasauce")</f>
        <v>Black-Bean-Bowl mit Enchiladasauce</v>
      </c>
      <c r="K26" s="292">
        <f>IFERROR(__xludf.DUMMYFUNCTION("""COMPUTED_VALUE"""),565044.0)</f>
        <v>565044</v>
      </c>
      <c r="L26" s="292" t="str">
        <f>IFERROR(__xludf.DUMMYFUNCTION("""COMPUTED_VALUE"""),"HF Black Bean &amp; Rice Enchilada Bowl 374g")</f>
        <v>HF Black Bean &amp; Rice Enchilada Bowl 374g</v>
      </c>
      <c r="M26" s="292" t="str">
        <f>IFERROR(__xludf.DUMMYFUNCTION("""COMPUTED_VALUE"""),"FA-NL Zwarte bonenbowl en enchiladasaus (FE0131)")</f>
        <v>FA-NL Zwarte bonenbowl en enchiladasaus (FE0131)</v>
      </c>
      <c r="N26" s="292" t="str">
        <f>IFERROR(__xludf.DUMMYFUNCTION("""COMPUTED_VALUE"""),"FA-NO Mexikansk-inspireret bønnebowl (FE0131)")</f>
        <v>FA-NO Mexikansk-inspireret bønnebowl (FE0131)</v>
      </c>
      <c r="O26" s="292" t="str">
        <f>IFERROR(__xludf.DUMMYFUNCTION("""COMPUTED_VALUE"""),"FA-DE Black Bean Bowl – mit Enchiladasauce (FE0131)")</f>
        <v>FA-DE Black Bean Bowl – mit Enchiladasauce (FE0131)</v>
      </c>
      <c r="P26" s="292" t="str">
        <f>IFERROR(__xludf.DUMMYFUNCTION("""COMPUTED_VALUE"""),"Graveyard")</f>
        <v>Graveyard</v>
      </c>
      <c r="Q26" s="292" t="str">
        <f>IFERROR(__xludf.DUMMYFUNCTION("""COMPUTED_VALUE"""),"New version ")</f>
        <v>New version </v>
      </c>
      <c r="R26" s="342">
        <f>IFERROR(__xludf.DUMMYFUNCTION("""COMPUTED_VALUE"""),3.94)</f>
        <v>3.94</v>
      </c>
      <c r="S26" s="298">
        <f>IFERROR(__xludf.DUMMYFUNCTION("""COMPUTED_VALUE"""),0.011)</f>
        <v>0.011</v>
      </c>
      <c r="T26" s="292">
        <f>IFERROR(__xludf.DUMMYFUNCTION("""COMPUTED_VALUE"""),3.32)</f>
        <v>3.32</v>
      </c>
      <c r="U26" s="292">
        <f>IFERROR(__xludf.DUMMYFUNCTION("""COMPUTED_VALUE"""),2158.0)</f>
        <v>2158</v>
      </c>
      <c r="V26" s="292"/>
      <c r="W26" s="292" t="b">
        <f>IFERROR(__xludf.DUMMYFUNCTION("""COMPUTED_VALUE"""),TRUE)</f>
        <v>1</v>
      </c>
      <c r="X26" s="345">
        <f>IFERROR(__xludf.DUMMYFUNCTION("""COMPUTED_VALUE"""),374.0)</f>
        <v>374</v>
      </c>
      <c r="Y26" s="344">
        <f>IFERROR(__xludf.DUMMYFUNCTION("""COMPUTED_VALUE"""),489.0)</f>
        <v>489</v>
      </c>
      <c r="Z26" s="343">
        <f>IFERROR(__xludf.DUMMYFUNCTION("""COMPUTED_VALUE"""),24.6)</f>
        <v>24.6</v>
      </c>
      <c r="AA26" s="344">
        <f>IFERROR(__xludf.DUMMYFUNCTION("""COMPUTED_VALUE"""),6.4)</f>
        <v>6.4</v>
      </c>
      <c r="AB26" s="344">
        <f>IFERROR(__xludf.DUMMYFUNCTION("""COMPUTED_VALUE"""),43.3)</f>
        <v>43.3</v>
      </c>
      <c r="AC26" s="344">
        <f>IFERROR(__xludf.DUMMYFUNCTION("""COMPUTED_VALUE"""),12.1)</f>
        <v>12.1</v>
      </c>
      <c r="AD26" s="344">
        <f>IFERROR(__xludf.DUMMYFUNCTION("""COMPUTED_VALUE"""),12.6)</f>
        <v>12.6</v>
      </c>
      <c r="AE26" s="343">
        <f>IFERROR(__xludf.DUMMYFUNCTION("""COMPUTED_VALUE"""),16.7)</f>
        <v>16.7</v>
      </c>
      <c r="AF26" s="343">
        <f>IFERROR(__xludf.DUMMYFUNCTION("""COMPUTED_VALUE"""),1.81)</f>
        <v>1.81</v>
      </c>
      <c r="AG26" s="292" t="b">
        <f>IFERROR(__xludf.DUMMYFUNCTION("""COMPUTED_VALUE"""),TRUE)</f>
        <v>1</v>
      </c>
      <c r="AH26" s="292" t="b">
        <f>IFERROR(__xludf.DUMMYFUNCTION("""COMPUTED_VALUE"""),FALSE)</f>
        <v>0</v>
      </c>
      <c r="AI26" s="292" t="b">
        <f>IFERROR(__xludf.DUMMYFUNCTION("""COMPUTED_VALUE"""),TRUE)</f>
        <v>1</v>
      </c>
      <c r="AJ26" s="292" t="b">
        <f>IFERROR(__xludf.DUMMYFUNCTION("""COMPUTED_VALUE"""),FALSE)</f>
        <v>0</v>
      </c>
      <c r="AK26" s="292" t="b">
        <f>IFERROR(__xludf.DUMMYFUNCTION("""COMPUTED_VALUE"""),TRUE)</f>
        <v>1</v>
      </c>
      <c r="AL26" s="292" t="b">
        <f>IFERROR(__xludf.DUMMYFUNCTION("""COMPUTED_VALUE"""),FALSE)</f>
        <v>0</v>
      </c>
      <c r="AM26" s="292" t="b">
        <f>IFERROR(__xludf.DUMMYFUNCTION("""COMPUTED_VALUE"""),FALSE)</f>
        <v>0</v>
      </c>
      <c r="AN26" s="292" t="b">
        <f>IFERROR(__xludf.DUMMYFUNCTION("""COMPUTED_VALUE"""),FALSE)</f>
        <v>0</v>
      </c>
      <c r="AO26" s="292" t="str">
        <f>IFERROR(__xludf.DUMMYFUNCTION("""COMPUTED_VALUE"""),"TRUE")</f>
        <v>TRUE</v>
      </c>
      <c r="AP26" s="292" t="str">
        <f>IFERROR(__xludf.DUMMYFUNCTION("""COMPUTED_VALUE"""),"Vegetarian")</f>
        <v>Vegetarian</v>
      </c>
      <c r="AQ26" s="292" t="str">
        <f>IFERROR(__xludf.DUMMYFUNCTION("""COMPUTED_VALUE"""),"Vegetarian")</f>
        <v>Vegetarian</v>
      </c>
      <c r="AR26" s="292" t="str">
        <f>IFERROR(__xludf.DUMMYFUNCTION("""COMPUTED_VALUE"""),"Legumes")</f>
        <v>Legumes</v>
      </c>
      <c r="AS26" s="292" t="str">
        <f>IFERROR(__xludf.DUMMYFUNCTION("""COMPUTED_VALUE"""),"Rice")</f>
        <v>Rice</v>
      </c>
      <c r="AT26" s="292" t="str">
        <f>IFERROR(__xludf.DUMMYFUNCTION("""COMPUTED_VALUE"""),"Black Beans")</f>
        <v>Black Beans</v>
      </c>
      <c r="AU26" s="292" t="str">
        <f>IFERROR(__xludf.DUMMYFUNCTION("""COMPUTED_VALUE"""),"Corn Kernels")</f>
        <v>Corn Kernels</v>
      </c>
      <c r="AV26" s="292" t="str">
        <f>IFERROR(__xludf.DUMMYFUNCTION("""COMPUTED_VALUE"""),"Zucchini Diced")</f>
        <v>Zucchini Diced</v>
      </c>
      <c r="AW26" s="292" t="str">
        <f>IFERROR(__xludf.DUMMYFUNCTION("""COMPUTED_VALUE"""),"Year Round")</f>
        <v>Year Round</v>
      </c>
      <c r="AX26" s="292" t="str">
        <f>IFERROR(__xludf.DUMMYFUNCTION("""COMPUTED_VALUE"""),"Mexican")</f>
        <v>Mexican</v>
      </c>
      <c r="AY26" s="292"/>
      <c r="AZ26" s="292" t="str">
        <f>IFERROR(__xludf.DUMMYFUNCTION("""COMPUTED_VALUE"""),"2 CT")</f>
        <v>2 CT</v>
      </c>
      <c r="BA26" s="292" t="b">
        <f>IFERROR(__xludf.DUMMYFUNCTION("""COMPUTED_VALUE"""),TRUE)</f>
        <v>1</v>
      </c>
      <c r="BB26" s="342">
        <f>IFERROR(__xludf.DUMMYFUNCTION("""COMPUTED_VALUE"""),1.8)</f>
        <v>1.8</v>
      </c>
      <c r="BC26" s="342">
        <f>IFERROR(__xludf.DUMMYFUNCTION("""COMPUTED_VALUE"""),0.91)</f>
        <v>0.91</v>
      </c>
      <c r="BD26" s="342">
        <f>IFERROR(__xludf.DUMMYFUNCTION("""COMPUTED_VALUE"""),0.39)</f>
        <v>0.39</v>
      </c>
      <c r="BE26" s="342">
        <f>IFERROR(__xludf.DUMMYFUNCTION("""COMPUTED_VALUE"""),0.89)</f>
        <v>0.89</v>
      </c>
      <c r="BF26" s="296" t="str">
        <f>IFERROR(__xludf.DUMMYFUNCTION("""COMPUTED_VALUE"""),"#REF!")</f>
        <v>#REF!</v>
      </c>
      <c r="BG26" s="296" t="str">
        <f>IFERROR(__xludf.DUMMYFUNCTION("""COMPUTED_VALUE"""),"#REF!")</f>
        <v>#REF!</v>
      </c>
      <c r="BH26" s="296" t="str">
        <f>IFERROR(__xludf.DUMMYFUNCTION("""COMPUTED_VALUE"""),"#REF!")</f>
        <v>#REF!</v>
      </c>
      <c r="BI26" s="295">
        <f>IFERROR(__xludf.DUMMYFUNCTION("""COMPUTED_VALUE"""),163.0)</f>
        <v>163</v>
      </c>
      <c r="BJ26" s="295" t="str">
        <f>IFERROR(__xludf.DUMMYFUNCTION("""COMPUTED_VALUE"""),"FALSE")</f>
        <v>FALSE</v>
      </c>
      <c r="BK26" s="346">
        <f>IFERROR(__xludf.DUMMYFUNCTION("""COMPUTED_VALUE"""),2041.0)</f>
        <v>2041</v>
      </c>
      <c r="BL26" s="292"/>
      <c r="BM26" s="292"/>
      <c r="BN26" s="292"/>
      <c r="BO26" s="292"/>
      <c r="BP26" s="292"/>
      <c r="BQ26" s="292" t="str">
        <f>IFERROR(__xludf.DUMMYFUNCTION("""COMPUTED_VALUE"""),"Graveyard")</f>
        <v>Graveyard</v>
      </c>
      <c r="BR26" s="292" t="b">
        <f>IFERROR(__xludf.DUMMYFUNCTION("""COMPUTED_VALUE"""),FALSE)</f>
        <v>0</v>
      </c>
      <c r="BS26" s="292" t="b">
        <f>IFERROR(__xludf.DUMMYFUNCTION("""COMPUTED_VALUE"""),FALSE)</f>
        <v>0</v>
      </c>
      <c r="BT26" s="345">
        <f>IFERROR(__xludf.DUMMYFUNCTION("""COMPUTED_VALUE"""),545.7219251336899)</f>
        <v>545.7219251</v>
      </c>
      <c r="BU26" s="345">
        <f>IFERROR(__xludf.DUMMYFUNCTION("""COMPUTED_VALUE"""),130.74866310160428)</f>
        <v>130.7486631</v>
      </c>
      <c r="BV26" s="344">
        <f>IFERROR(__xludf.DUMMYFUNCTION("""COMPUTED_VALUE"""),6.577540106951872)</f>
        <v>6.577540107</v>
      </c>
      <c r="BW26" s="344">
        <f>IFERROR(__xludf.DUMMYFUNCTION("""COMPUTED_VALUE"""),1.7112299465240641)</f>
        <v>1.711229947</v>
      </c>
    </row>
    <row r="27">
      <c r="A27" s="292" t="str">
        <f>IFERROR(__xludf.DUMMYFUNCTION("""COMPUTED_VALUE"""),"FE0131C")</f>
        <v>FE0131C</v>
      </c>
      <c r="B27" s="292" t="str">
        <f>IFERROR(__xludf.DUMMYFUNCTION("""COMPUTED_VALUE"""),"CON-40-143757-4")</f>
        <v>CON-40-143757-4</v>
      </c>
      <c r="C27" s="292" t="str">
        <f>IFERROR(__xludf.DUMMYFUNCTION("""COMPUTED_VALUE"""),"CON-00-147822-2")</f>
        <v>CON-00-147822-2</v>
      </c>
      <c r="D27" s="292" t="str">
        <f>IFERROR(__xludf.DUMMYFUNCTION("""COMPUTED_VALUE"""),"CON-00-136625-3")</f>
        <v>CON-00-136625-3</v>
      </c>
      <c r="E27" s="292" t="str">
        <f>IFERROR(__xludf.DUMMYFUNCTION("""COMPUTED_VALUE"""),"Black bean bowl and enchilada sauce")</f>
        <v>Black bean bowl and enchilada sauce</v>
      </c>
      <c r="F27" s="292" t="str">
        <f>IFERROR(__xludf.DUMMYFUNCTION("""COMPUTED_VALUE"""),"with rice, grilled zucchini, corn and salsa verde")</f>
        <v>with rice, grilled zucchini, corn and salsa verde</v>
      </c>
      <c r="G27" s="292" t="str">
        <f>IFERROR(__xludf.DUMMYFUNCTION("""COMPUTED_VALUE"""),"Zwarte bonenbowl en enchiladasaus")</f>
        <v>Zwarte bonenbowl en enchiladasaus</v>
      </c>
      <c r="H27" s="292" t="str">
        <f>IFERROR(__xludf.DUMMYFUNCTION("""COMPUTED_VALUE"""),"met rijst, gegrilde courgette, maïs en salsa verde")</f>
        <v>met rijst, gegrilde courgette, maïs en salsa verde</v>
      </c>
      <c r="I27" s="292" t="str">
        <f>IFERROR(__xludf.DUMMYFUNCTION("""COMPUTED_VALUE"""),"Mexikansk-inspireret bønnebowl ")</f>
        <v>Mexikansk-inspireret bønnebowl </v>
      </c>
      <c r="J27" s="292" t="str">
        <f>IFERROR(__xludf.DUMMYFUNCTION("""COMPUTED_VALUE"""),"Black Bean Bowl mit Enchiladasauce")</f>
        <v>Black Bean Bowl mit Enchiladasauce</v>
      </c>
      <c r="K27" s="292">
        <f>IFERROR(__xludf.DUMMYFUNCTION("""COMPUTED_VALUE"""),565044.0)</f>
        <v>565044</v>
      </c>
      <c r="L27" s="292" t="str">
        <f>IFERROR(__xludf.DUMMYFUNCTION("""COMPUTED_VALUE"""),"HF Black Bean &amp; Rice Enchilada Bowl 400g")</f>
        <v>HF Black Bean &amp; Rice Enchilada Bowl 400g</v>
      </c>
      <c r="M27" s="292" t="str">
        <f>IFERROR(__xludf.DUMMYFUNCTION("""COMPUTED_VALUE"""),"FA-NL Zwarte bonenbowl en enchiladasaus (FE0131)")</f>
        <v>FA-NL Zwarte bonenbowl en enchiladasaus (FE0131)</v>
      </c>
      <c r="N27" s="292" t="str">
        <f>IFERROR(__xludf.DUMMYFUNCTION("""COMPUTED_VALUE"""),"FA-NO Mexikansk-inspireret bønnebowl (FE0131)")</f>
        <v>FA-NO Mexikansk-inspireret bønnebowl (FE0131)</v>
      </c>
      <c r="O27" s="292" t="str">
        <f>IFERROR(__xludf.DUMMYFUNCTION("""COMPUTED_VALUE"""),"FA-DE Black Bean Bowl – mit Enchiladasauce (FE0131)")</f>
        <v>FA-DE Black Bean Bowl – mit Enchiladasauce (FE0131)</v>
      </c>
      <c r="P27" s="292" t="str">
        <f>IFERROR(__xludf.DUMMYFUNCTION("""COMPUTED_VALUE"""),"Active")</f>
        <v>Active</v>
      </c>
      <c r="Q27" s="292"/>
      <c r="R27" s="342">
        <f>IFERROR(__xludf.DUMMYFUNCTION("""COMPUTED_VALUE"""),4.17)</f>
        <v>4.17</v>
      </c>
      <c r="S27" s="292"/>
      <c r="T27" s="292"/>
      <c r="U27" s="292"/>
      <c r="V27" s="292"/>
      <c r="W27" s="292" t="b">
        <f>IFERROR(__xludf.DUMMYFUNCTION("""COMPUTED_VALUE"""),TRUE)</f>
        <v>1</v>
      </c>
      <c r="X27" s="345">
        <f>IFERROR(__xludf.DUMMYFUNCTION("""COMPUTED_VALUE"""),400.0)</f>
        <v>400</v>
      </c>
      <c r="Y27" s="344">
        <f>IFERROR(__xludf.DUMMYFUNCTION("""COMPUTED_VALUE"""),517.0)</f>
        <v>517</v>
      </c>
      <c r="Z27" s="343">
        <f>IFERROR(__xludf.DUMMYFUNCTION("""COMPUTED_VALUE"""),21.5)</f>
        <v>21.5</v>
      </c>
      <c r="AA27" s="344">
        <f>IFERROR(__xludf.DUMMYFUNCTION("""COMPUTED_VALUE"""),6.1)</f>
        <v>6.1</v>
      </c>
      <c r="AB27" s="344">
        <f>IFERROR(__xludf.DUMMYFUNCTION("""COMPUTED_VALUE"""),55.6)</f>
        <v>55.6</v>
      </c>
      <c r="AC27" s="344">
        <f>IFERROR(__xludf.DUMMYFUNCTION("""COMPUTED_VALUE"""),11.1)</f>
        <v>11.1</v>
      </c>
      <c r="AD27" s="344">
        <f>IFERROR(__xludf.DUMMYFUNCTION("""COMPUTED_VALUE"""),12.8)</f>
        <v>12.8</v>
      </c>
      <c r="AE27" s="343">
        <f>IFERROR(__xludf.DUMMYFUNCTION("""COMPUTED_VALUE"""),18.1)</f>
        <v>18.1</v>
      </c>
      <c r="AF27" s="343">
        <f>IFERROR(__xludf.DUMMYFUNCTION("""COMPUTED_VALUE"""),1.79)</f>
        <v>1.79</v>
      </c>
      <c r="AG27" s="292" t="b">
        <f>IFERROR(__xludf.DUMMYFUNCTION("""COMPUTED_VALUE"""),TRUE)</f>
        <v>1</v>
      </c>
      <c r="AH27" s="292" t="b">
        <f>IFERROR(__xludf.DUMMYFUNCTION("""COMPUTED_VALUE"""),FALSE)</f>
        <v>0</v>
      </c>
      <c r="AI27" s="292" t="b">
        <f>IFERROR(__xludf.DUMMYFUNCTION("""COMPUTED_VALUE"""),TRUE)</f>
        <v>1</v>
      </c>
      <c r="AJ27" s="292" t="b">
        <f>IFERROR(__xludf.DUMMYFUNCTION("""COMPUTED_VALUE"""),FALSE)</f>
        <v>0</v>
      </c>
      <c r="AK27" s="292" t="b">
        <f>IFERROR(__xludf.DUMMYFUNCTION("""COMPUTED_VALUE"""),TRUE)</f>
        <v>1</v>
      </c>
      <c r="AL27" s="292" t="b">
        <f>IFERROR(__xludf.DUMMYFUNCTION("""COMPUTED_VALUE"""),FALSE)</f>
        <v>0</v>
      </c>
      <c r="AM27" s="292" t="b">
        <f>IFERROR(__xludf.DUMMYFUNCTION("""COMPUTED_VALUE"""),FALSE)</f>
        <v>0</v>
      </c>
      <c r="AN27" s="292" t="b">
        <f>IFERROR(__xludf.DUMMYFUNCTION("""COMPUTED_VALUE"""),FALSE)</f>
        <v>0</v>
      </c>
      <c r="AO27" s="292" t="str">
        <f>IFERROR(__xludf.DUMMYFUNCTION("""COMPUTED_VALUE"""),"TRUE")</f>
        <v>TRUE</v>
      </c>
      <c r="AP27" s="292" t="str">
        <f>IFERROR(__xludf.DUMMYFUNCTION("""COMPUTED_VALUE"""),"Vegetarian")</f>
        <v>Vegetarian</v>
      </c>
      <c r="AQ27" s="292" t="str">
        <f>IFERROR(__xludf.DUMMYFUNCTION("""COMPUTED_VALUE"""),"Vegetarian")</f>
        <v>Vegetarian</v>
      </c>
      <c r="AR27" s="292" t="str">
        <f>IFERROR(__xludf.DUMMYFUNCTION("""COMPUTED_VALUE"""),"Legumes")</f>
        <v>Legumes</v>
      </c>
      <c r="AS27" s="292" t="str">
        <f>IFERROR(__xludf.DUMMYFUNCTION("""COMPUTED_VALUE"""),"Rice")</f>
        <v>Rice</v>
      </c>
      <c r="AT27" s="292" t="str">
        <f>IFERROR(__xludf.DUMMYFUNCTION("""COMPUTED_VALUE"""),"Black Beans")</f>
        <v>Black Beans</v>
      </c>
      <c r="AU27" s="292" t="str">
        <f>IFERROR(__xludf.DUMMYFUNCTION("""COMPUTED_VALUE"""),"Corn Kernels")</f>
        <v>Corn Kernels</v>
      </c>
      <c r="AV27" s="292" t="str">
        <f>IFERROR(__xludf.DUMMYFUNCTION("""COMPUTED_VALUE"""),"Zucchini Diced")</f>
        <v>Zucchini Diced</v>
      </c>
      <c r="AW27" s="292" t="str">
        <f>IFERROR(__xludf.DUMMYFUNCTION("""COMPUTED_VALUE"""),"Year Round")</f>
        <v>Year Round</v>
      </c>
      <c r="AX27" s="292" t="str">
        <f>IFERROR(__xludf.DUMMYFUNCTION("""COMPUTED_VALUE"""),"Mexican")</f>
        <v>Mexican</v>
      </c>
      <c r="AY27" s="292"/>
      <c r="AZ27" s="292" t="str">
        <f>IFERROR(__xludf.DUMMYFUNCTION("""COMPUTED_VALUE"""),"2 CT")</f>
        <v>2 CT</v>
      </c>
      <c r="BA27" s="292" t="b">
        <f>IFERROR(__xludf.DUMMYFUNCTION("""COMPUTED_VALUE"""),TRUE)</f>
        <v>1</v>
      </c>
      <c r="BB27" s="342">
        <f>IFERROR(__xludf.DUMMYFUNCTION("""COMPUTED_VALUE"""),1.88)</f>
        <v>1.88</v>
      </c>
      <c r="BC27" s="342">
        <f>IFERROR(__xludf.DUMMYFUNCTION("""COMPUTED_VALUE"""),1.01)</f>
        <v>1.01</v>
      </c>
      <c r="BD27" s="342">
        <f>IFERROR(__xludf.DUMMYFUNCTION("""COMPUTED_VALUE"""),0.39)</f>
        <v>0.39</v>
      </c>
      <c r="BE27" s="342">
        <f>IFERROR(__xludf.DUMMYFUNCTION("""COMPUTED_VALUE"""),0.89)</f>
        <v>0.89</v>
      </c>
      <c r="BF27" s="296">
        <f>IFERROR(__xludf.DUMMYFUNCTION("""COMPUTED_VALUE"""),3.174444444444444)</f>
        <v>3.174444444</v>
      </c>
      <c r="BG27" s="296">
        <f>IFERROR(__xludf.DUMMYFUNCTION("""COMPUTED_VALUE"""),3.3529411764705883)</f>
        <v>3.352941176</v>
      </c>
      <c r="BH27" s="296">
        <f>IFERROR(__xludf.DUMMYFUNCTION("""COMPUTED_VALUE"""),2.7857142857142856)</f>
        <v>2.785714286</v>
      </c>
      <c r="BI27" s="295">
        <f>IFERROR(__xludf.DUMMYFUNCTION("""COMPUTED_VALUE"""),175.0)</f>
        <v>175</v>
      </c>
      <c r="BJ27" s="295" t="str">
        <f>IFERROR(__xludf.DUMMYFUNCTION("""COMPUTED_VALUE"""),"FALSE")</f>
        <v>FALSE</v>
      </c>
      <c r="BK27" s="346">
        <f>IFERROR(__xludf.DUMMYFUNCTION("""COMPUTED_VALUE"""),2163.0)</f>
        <v>2163</v>
      </c>
      <c r="BL27" s="292" t="str">
        <f>IFERROR(__xludf.DUMMYFUNCTION("""COMPUTED_VALUE"""),"US")</f>
        <v>US</v>
      </c>
      <c r="BM27" s="292" t="str">
        <f>IFERROR(__xludf.DUMMYFUNCTION("""COMPUTED_VALUE"""),"Mexikansk-inspirerad bönbowl ")</f>
        <v>Mexikansk-inspirerad bönbowl </v>
      </c>
      <c r="BN27" s="343">
        <f>IFERROR(__xludf.DUMMYFUNCTION("""COMPUTED_VALUE"""),2.5)</f>
        <v>2.5</v>
      </c>
      <c r="BO27" s="343">
        <f>IFERROR(__xludf.DUMMYFUNCTION("""COMPUTED_VALUE"""),2.6)</f>
        <v>2.6</v>
      </c>
      <c r="BP27" s="292"/>
      <c r="BQ27" s="292" t="str">
        <f>IFERROR(__xludf.DUMMYFUNCTION("""COMPUTED_VALUE"""),"Active")</f>
        <v>Active</v>
      </c>
      <c r="BR27" s="344" t="b">
        <f>IFERROR(__xludf.DUMMYFUNCTION("""COMPUTED_VALUE"""),FALSE)</f>
        <v>0</v>
      </c>
      <c r="BS27" s="292" t="b">
        <f>IFERROR(__xludf.DUMMYFUNCTION("""COMPUTED_VALUE"""),FALSE)</f>
        <v>0</v>
      </c>
      <c r="BT27" s="345">
        <f>IFERROR(__xludf.DUMMYFUNCTION("""COMPUTED_VALUE"""),541.0)</f>
        <v>541</v>
      </c>
      <c r="BU27" s="345">
        <f>IFERROR(__xludf.DUMMYFUNCTION("""COMPUTED_VALUE"""),129.0)</f>
        <v>129</v>
      </c>
      <c r="BV27" s="344">
        <f>IFERROR(__xludf.DUMMYFUNCTION("""COMPUTED_VALUE"""),5.4)</f>
        <v>5.4</v>
      </c>
      <c r="BW27" s="344">
        <f>IFERROR(__xludf.DUMMYFUNCTION("""COMPUTED_VALUE"""),1.5)</f>
        <v>1.5</v>
      </c>
    </row>
    <row r="28">
      <c r="A28" s="292" t="str">
        <f>IFERROR(__xludf.DUMMYFUNCTION("""COMPUTED_VALUE"""),"FE0160B")</f>
        <v>FE0160B</v>
      </c>
      <c r="B28" s="292" t="str">
        <f>IFERROR(__xludf.DUMMYFUNCTION("""COMPUTED_VALUE"""),"CON-40-143670-4")</f>
        <v>CON-40-143670-4</v>
      </c>
      <c r="C28" s="292" t="str">
        <f>IFERROR(__xludf.DUMMYFUNCTION("""COMPUTED_VALUE"""),"CON-00-147823-2")</f>
        <v>CON-00-147823-2</v>
      </c>
      <c r="D28" s="292" t="str">
        <f>IFERROR(__xludf.DUMMYFUNCTION("""COMPUTED_VALUE"""),"CON-00-137164-3")</f>
        <v>CON-00-137164-3</v>
      </c>
      <c r="E28" s="292" t="str">
        <f>IFERROR(__xludf.DUMMYFUNCTION("""COMPUTED_VALUE"""),"Savory mash and beef casserole")</f>
        <v>Savory mash and beef casserole</v>
      </c>
      <c r="F28" s="292" t="str">
        <f>IFERROR(__xludf.DUMMYFUNCTION("""COMPUTED_VALUE"""),"with green beans")</f>
        <v>with green beans</v>
      </c>
      <c r="G28" s="292" t="str">
        <f>IFERROR(__xludf.DUMMYFUNCTION("""COMPUTED_VALUE"""),"Hartige ovenschotel van puree en rundergehakt")</f>
        <v>Hartige ovenschotel van puree en rundergehakt</v>
      </c>
      <c r="H28" s="292" t="str">
        <f>IFERROR(__xludf.DUMMYFUNCTION("""COMPUTED_VALUE"""),"met sperziebonen")</f>
        <v>met sperziebonen</v>
      </c>
      <c r="I28" s="292" t="str">
        <f>IFERROR(__xludf.DUMMYFUNCTION("""COMPUTED_VALUE"""),"Kartoffelmos og oksekødsgryde")</f>
        <v>Kartoffelmos og oksekødsgryde</v>
      </c>
      <c r="J28" s="292" t="str">
        <f>IFERROR(__xludf.DUMMYFUNCTION("""COMPUTED_VALUE"""),"Herzhafter Kartoffel-Rindfleisch-Auflauf")</f>
        <v>Herzhafter Kartoffel-Rindfleisch-Auflauf</v>
      </c>
      <c r="K28" s="292">
        <f>IFERROR(__xludf.DUMMYFUNCTION("""COMPUTED_VALUE"""),565118.0)</f>
        <v>565118</v>
      </c>
      <c r="L28" s="292"/>
      <c r="M28" s="292" t="str">
        <f>IFERROR(__xludf.DUMMYFUNCTION("""COMPUTED_VALUE"""),"FA-NL Hartige ovenschotel van puree en rundergehakt (FE0160)")</f>
        <v>FA-NL Hartige ovenschotel van puree en rundergehakt (FE0160)</v>
      </c>
      <c r="N28" s="292" t="str">
        <f>IFERROR(__xludf.DUMMYFUNCTION("""COMPUTED_VALUE"""),"FA-NO Kartoffelmos og oksekødsgryde (FE0160)")</f>
        <v>FA-NO Kartoffelmos og oksekødsgryde (FE0160)</v>
      </c>
      <c r="O28" s="292" t="str">
        <f>IFERROR(__xludf.DUMMYFUNCTION("""COMPUTED_VALUE"""),"FA-DE Herzhafter Kartoffel-Rindfleischauflauf (FE0160)")</f>
        <v>FA-DE Herzhafter Kartoffel-Rindfleischauflauf (FE0160)</v>
      </c>
      <c r="P28" s="292" t="str">
        <f>IFERROR(__xludf.DUMMYFUNCTION("""COMPUTED_VALUE"""),"Rework")</f>
        <v>Rework</v>
      </c>
      <c r="Q28" s="292" t="str">
        <f>IFERROR(__xludf.DUMMYFUNCTION("""COMPUTED_VALUE"""),"Rework")</f>
        <v>Rework</v>
      </c>
      <c r="R28" s="342">
        <f>IFERROR(__xludf.DUMMYFUNCTION("""COMPUTED_VALUE"""),3.6)</f>
        <v>3.6</v>
      </c>
      <c r="S28" s="292"/>
      <c r="T28" s="292"/>
      <c r="U28" s="292"/>
      <c r="V28" s="292"/>
      <c r="W28" s="292" t="b">
        <f>IFERROR(__xludf.DUMMYFUNCTION("""COMPUTED_VALUE"""),TRUE)</f>
        <v>1</v>
      </c>
      <c r="X28" s="345">
        <f>IFERROR(__xludf.DUMMYFUNCTION("""COMPUTED_VALUE"""),414.0)</f>
        <v>414</v>
      </c>
      <c r="Y28" s="344">
        <f>IFERROR(__xludf.DUMMYFUNCTION("""COMPUTED_VALUE"""),476.0)</f>
        <v>476</v>
      </c>
      <c r="Z28" s="343">
        <f>IFERROR(__xludf.DUMMYFUNCTION("""COMPUTED_VALUE"""),25.7)</f>
        <v>25.7</v>
      </c>
      <c r="AA28" s="344">
        <f>IFERROR(__xludf.DUMMYFUNCTION("""COMPUTED_VALUE"""),7.4)</f>
        <v>7.4</v>
      </c>
      <c r="AB28" s="344">
        <f>IFERROR(__xludf.DUMMYFUNCTION("""COMPUTED_VALUE"""),33.2)</f>
        <v>33.2</v>
      </c>
      <c r="AC28" s="344">
        <f>IFERROR(__xludf.DUMMYFUNCTION("""COMPUTED_VALUE"""),8.8)</f>
        <v>8.8</v>
      </c>
      <c r="AD28" s="344">
        <f>IFERROR(__xludf.DUMMYFUNCTION("""COMPUTED_VALUE"""),12.1)</f>
        <v>12.1</v>
      </c>
      <c r="AE28" s="343">
        <f>IFERROR(__xludf.DUMMYFUNCTION("""COMPUTED_VALUE"""),20.4)</f>
        <v>20.4</v>
      </c>
      <c r="AF28" s="343">
        <f>IFERROR(__xludf.DUMMYFUNCTION("""COMPUTED_VALUE"""),1.98)</f>
        <v>1.98</v>
      </c>
      <c r="AG28" s="292" t="b">
        <f>IFERROR(__xludf.DUMMYFUNCTION("""COMPUTED_VALUE"""),FALSE)</f>
        <v>0</v>
      </c>
      <c r="AH28" s="292" t="b">
        <f>IFERROR(__xludf.DUMMYFUNCTION("""COMPUTED_VALUE"""),FALSE)</f>
        <v>0</v>
      </c>
      <c r="AI28" s="292" t="b">
        <f>IFERROR(__xludf.DUMMYFUNCTION("""COMPUTED_VALUE"""),TRUE)</f>
        <v>1</v>
      </c>
      <c r="AJ28" s="292" t="b">
        <f>IFERROR(__xludf.DUMMYFUNCTION("""COMPUTED_VALUE"""),FALSE)</f>
        <v>0</v>
      </c>
      <c r="AK28" s="292" t="b">
        <f>IFERROR(__xludf.DUMMYFUNCTION("""COMPUTED_VALUE"""),FALSE)</f>
        <v>0</v>
      </c>
      <c r="AL28" s="292" t="b">
        <f>IFERROR(__xludf.DUMMYFUNCTION("""COMPUTED_VALUE"""),FALSE)</f>
        <v>0</v>
      </c>
      <c r="AM28" s="292" t="b">
        <f>IFERROR(__xludf.DUMMYFUNCTION("""COMPUTED_VALUE"""),FALSE)</f>
        <v>0</v>
      </c>
      <c r="AN28" s="292" t="b">
        <f>IFERROR(__xludf.DUMMYFUNCTION("""COMPUTED_VALUE"""),FALSE)</f>
        <v>0</v>
      </c>
      <c r="AO28" s="292" t="str">
        <f>IFERROR(__xludf.DUMMYFUNCTION("""COMPUTED_VALUE"""),"TRUE")</f>
        <v>TRUE</v>
      </c>
      <c r="AP28" s="292" t="str">
        <f>IFERROR(__xludf.DUMMYFUNCTION("""COMPUTED_VALUE"""),"Ground beef")</f>
        <v>Ground beef</v>
      </c>
      <c r="AQ28" s="292" t="str">
        <f>IFERROR(__xludf.DUMMYFUNCTION("""COMPUTED_VALUE"""),"Beef")</f>
        <v>Beef</v>
      </c>
      <c r="AR28" s="292" t="str">
        <f>IFERROR(__xludf.DUMMYFUNCTION("""COMPUTED_VALUE"""),"Ground")</f>
        <v>Ground</v>
      </c>
      <c r="AS28" s="292" t="str">
        <f>IFERROR(__xludf.DUMMYFUNCTION("""COMPUTED_VALUE"""),"Potato Mash")</f>
        <v>Potato Mash</v>
      </c>
      <c r="AT28" s="292" t="str">
        <f>IFERROR(__xludf.DUMMYFUNCTION("""COMPUTED_VALUE"""),"Green Beans")</f>
        <v>Green Beans</v>
      </c>
      <c r="AU28" s="292" t="str">
        <f>IFERROR(__xludf.DUMMYFUNCTION("""COMPUTED_VALUE"""),"Spinach")</f>
        <v>Spinach</v>
      </c>
      <c r="AV28" s="292"/>
      <c r="AW28" s="292" t="str">
        <f>IFERROR(__xludf.DUMMYFUNCTION("""COMPUTED_VALUE"""),"Year Round")</f>
        <v>Year Round</v>
      </c>
      <c r="AX28" s="292" t="str">
        <f>IFERROR(__xludf.DUMMYFUNCTION("""COMPUTED_VALUE"""),"British")</f>
        <v>British</v>
      </c>
      <c r="AY28" s="292"/>
      <c r="AZ28" s="292" t="str">
        <f>IFERROR(__xludf.DUMMYFUNCTION("""COMPUTED_VALUE"""),"2 CT")</f>
        <v>2 CT</v>
      </c>
      <c r="BA28" s="292" t="b">
        <f>IFERROR(__xludf.DUMMYFUNCTION("""COMPUTED_VALUE"""),FALSE)</f>
        <v>0</v>
      </c>
      <c r="BB28" s="342">
        <f>IFERROR(__xludf.DUMMYFUNCTION("""COMPUTED_VALUE"""),1.39)</f>
        <v>1.39</v>
      </c>
      <c r="BC28" s="342">
        <f>IFERROR(__xludf.DUMMYFUNCTION("""COMPUTED_VALUE"""),1.01)</f>
        <v>1.01</v>
      </c>
      <c r="BD28" s="342">
        <f>IFERROR(__xludf.DUMMYFUNCTION("""COMPUTED_VALUE"""),0.36)</f>
        <v>0.36</v>
      </c>
      <c r="BE28" s="342">
        <f>IFERROR(__xludf.DUMMYFUNCTION("""COMPUTED_VALUE"""),0.89)</f>
        <v>0.89</v>
      </c>
      <c r="BF28" s="296" t="str">
        <f>IFERROR(__xludf.DUMMYFUNCTION("""COMPUTED_VALUE"""),"#REF!")</f>
        <v>#REF!</v>
      </c>
      <c r="BG28" s="296" t="str">
        <f>IFERROR(__xludf.DUMMYFUNCTION("""COMPUTED_VALUE"""),"#REF!")</f>
        <v>#REF!</v>
      </c>
      <c r="BH28" s="296" t="str">
        <f>IFERROR(__xludf.DUMMYFUNCTION("""COMPUTED_VALUE"""),"#REF!")</f>
        <v>#REF!</v>
      </c>
      <c r="BI28" s="295">
        <f>IFERROR(__xludf.DUMMYFUNCTION("""COMPUTED_VALUE"""),182.0)</f>
        <v>182</v>
      </c>
      <c r="BJ28" s="295" t="str">
        <f>IFERROR(__xludf.DUMMYFUNCTION("""COMPUTED_VALUE"""),"FALSE")</f>
        <v>FALSE</v>
      </c>
      <c r="BK28" s="346">
        <f>IFERROR(__xludf.DUMMYFUNCTION("""COMPUTED_VALUE"""),1986.0)</f>
        <v>1986</v>
      </c>
      <c r="BL28" s="292" t="str">
        <f>IFERROR(__xludf.DUMMYFUNCTION("""COMPUTED_VALUE"""),"US")</f>
        <v>US</v>
      </c>
      <c r="BM28" s="292" t="str">
        <f>IFERROR(__xludf.DUMMYFUNCTION("""COMPUTED_VALUE"""),"Köttgryta och potatismos")</f>
        <v>Köttgryta och potatismos</v>
      </c>
      <c r="BN28" s="292"/>
      <c r="BO28" s="292"/>
      <c r="BP28" s="292"/>
      <c r="BQ28" s="292" t="str">
        <f>IFERROR(__xludf.DUMMYFUNCTION("""COMPUTED_VALUE"""),"Hold - Rework")</f>
        <v>Hold - Rework</v>
      </c>
      <c r="BR28" s="292" t="b">
        <f>IFERROR(__xludf.DUMMYFUNCTION("""COMPUTED_VALUE"""),FALSE)</f>
        <v>0</v>
      </c>
      <c r="BS28" s="292" t="b">
        <f>IFERROR(__xludf.DUMMYFUNCTION("""COMPUTED_VALUE"""),FALSE)</f>
        <v>0</v>
      </c>
      <c r="BT28" s="345">
        <f>IFERROR(__xludf.DUMMYFUNCTION("""COMPUTED_VALUE"""),480.0)</f>
        <v>480</v>
      </c>
      <c r="BU28" s="345">
        <f>IFERROR(__xludf.DUMMYFUNCTION("""COMPUTED_VALUE"""),115.0)</f>
        <v>115</v>
      </c>
      <c r="BV28" s="344">
        <f>IFERROR(__xludf.DUMMYFUNCTION("""COMPUTED_VALUE"""),6.2)</f>
        <v>6.2</v>
      </c>
      <c r="BW28" s="344">
        <f>IFERROR(__xludf.DUMMYFUNCTION("""COMPUTED_VALUE"""),1.8)</f>
        <v>1.8</v>
      </c>
    </row>
    <row r="29">
      <c r="A29" s="292" t="str">
        <f>IFERROR(__xludf.DUMMYFUNCTION("""COMPUTED_VALUE"""),"FE0169F")</f>
        <v>FE0169F</v>
      </c>
      <c r="B29" s="292" t="str">
        <f>IFERROR(__xludf.DUMMYFUNCTION("""COMPUTED_VALUE"""),"CON-40-143739-4")</f>
        <v>CON-40-143739-4</v>
      </c>
      <c r="C29" s="292" t="str">
        <f>IFERROR(__xludf.DUMMYFUNCTION("""COMPUTED_VALUE"""),"CON-00-147824-2")</f>
        <v>CON-00-147824-2</v>
      </c>
      <c r="D29" s="292" t="str">
        <f>IFERROR(__xludf.DUMMYFUNCTION("""COMPUTED_VALUE"""),"CON-00-136637-3")</f>
        <v>CON-00-136637-3</v>
      </c>
      <c r="E29" s="292" t="str">
        <f>IFERROR(__xludf.DUMMYFUNCTION("""COMPUTED_VALUE"""),"Pork tenderloin in creamy garlic-mustard sauce")</f>
        <v>Pork tenderloin in creamy garlic-mustard sauce</v>
      </c>
      <c r="F29" s="292" t="str">
        <f>IFERROR(__xludf.DUMMYFUNCTION("""COMPUTED_VALUE"""),"with puree of celeriac and cauliflower, and roasted broccoli")</f>
        <v>with puree of celeriac and cauliflower, and roasted broccoli</v>
      </c>
      <c r="G29" s="292" t="str">
        <f>IFERROR(__xludf.DUMMYFUNCTION("""COMPUTED_VALUE"""),"Varkenshaas in romige knoflook-mosterdsaus")</f>
        <v>Varkenshaas in romige knoflook-mosterdsaus</v>
      </c>
      <c r="H29" s="292" t="str">
        <f>IFERROR(__xludf.DUMMYFUNCTION("""COMPUTED_VALUE"""),"met puree van knolselderij en bloemkool, en geroosterde broccoli")</f>
        <v>met puree van knolselderij en bloemkool, en geroosterde broccoli</v>
      </c>
      <c r="I29" s="292"/>
      <c r="J29" s="292" t="str">
        <f>IFERROR(__xludf.DUMMYFUNCTION("""COMPUTED_VALUE"""),"Schweinefilet in cremiger Knoblauch-Senf-Sauce")</f>
        <v>Schweinefilet in cremiger Knoblauch-Senf-Sauce</v>
      </c>
      <c r="K29" s="292">
        <f>IFERROR(__xludf.DUMMYFUNCTION("""COMPUTED_VALUE"""),565030.0)</f>
        <v>565030</v>
      </c>
      <c r="L29" s="292" t="str">
        <f>IFERROR(__xludf.DUMMYFUNCTION("""COMPUTED_VALUE"""),"HF Romige Dijon varkenshaas 389g")</f>
        <v>HF Romige Dijon varkenshaas 389g</v>
      </c>
      <c r="M29" s="292" t="str">
        <f>IFERROR(__xludf.DUMMYFUNCTION("""COMPUTED_VALUE"""),"FA-NL Varkenshaas in romige knoflook-mosterdsaus (FE0169)")</f>
        <v>FA-NL Varkenshaas in romige knoflook-mosterdsaus (FE0169)</v>
      </c>
      <c r="N29" s="292" t="str">
        <f>IFERROR(__xludf.DUMMYFUNCTION("""COMPUTED_VALUE"""),"FA-NO Svinemørbrad i cremet hvidløg-sennepssauce (FE0169)")</f>
        <v>FA-NO Svinemørbrad i cremet hvidløg-sennepssauce (FE0169)</v>
      </c>
      <c r="O29" s="292" t="str">
        <f>IFERROR(__xludf.DUMMYFUNCTION("""COMPUTED_VALUE"""),"FA-DE Schweinefilet in cremiger Knoblauch-Senf-Sauce (FE0169)")</f>
        <v>FA-DE Schweinefilet in cremiger Knoblauch-Senf-Sauce (FE0169)</v>
      </c>
      <c r="P29" s="292" t="str">
        <f>IFERROR(__xludf.DUMMYFUNCTION("""COMPUTED_VALUE"""),"Graveyard")</f>
        <v>Graveyard</v>
      </c>
      <c r="Q29" s="292" t="str">
        <f>IFERROR(__xludf.DUMMYFUNCTION("""COMPUTED_VALUE"""),"New Version")</f>
        <v>New Version</v>
      </c>
      <c r="R29" s="342">
        <f>IFERROR(__xludf.DUMMYFUNCTION("""COMPUTED_VALUE"""),4.66)</f>
        <v>4.66</v>
      </c>
      <c r="S29" s="298">
        <f>IFERROR(__xludf.DUMMYFUNCTION("""COMPUTED_VALUE"""),0.02447047430181725)</f>
        <v>0.0244704743</v>
      </c>
      <c r="T29" s="343">
        <f>IFERROR(__xludf.DUMMYFUNCTION("""COMPUTED_VALUE"""),3.5067156286721506)</f>
        <v>3.506715629</v>
      </c>
      <c r="U29" s="292">
        <f>IFERROR(__xludf.DUMMYFUNCTION("""COMPUTED_VALUE"""),14192.0)</f>
        <v>14192</v>
      </c>
      <c r="V29" s="292"/>
      <c r="W29" s="292" t="b">
        <f>IFERROR(__xludf.DUMMYFUNCTION("""COMPUTED_VALUE"""),FALSE)</f>
        <v>0</v>
      </c>
      <c r="X29" s="345">
        <f>IFERROR(__xludf.DUMMYFUNCTION("""COMPUTED_VALUE"""),389.0)</f>
        <v>389</v>
      </c>
      <c r="Y29" s="344">
        <f>IFERROR(__xludf.DUMMYFUNCTION("""COMPUTED_VALUE"""),699.0)</f>
        <v>699</v>
      </c>
      <c r="Z29" s="343">
        <f>IFERROR(__xludf.DUMMYFUNCTION("""COMPUTED_VALUE"""),55.1)</f>
        <v>55.1</v>
      </c>
      <c r="AA29" s="344">
        <f>IFERROR(__xludf.DUMMYFUNCTION("""COMPUTED_VALUE"""),19.2)</f>
        <v>19.2</v>
      </c>
      <c r="AB29" s="344">
        <f>IFERROR(__xludf.DUMMYFUNCTION("""COMPUTED_VALUE"""),10.6)</f>
        <v>10.6</v>
      </c>
      <c r="AC29" s="344">
        <f>IFERROR(__xludf.DUMMYFUNCTION("""COMPUTED_VALUE"""),7.0)</f>
        <v>7</v>
      </c>
      <c r="AD29" s="344">
        <f>IFERROR(__xludf.DUMMYFUNCTION("""COMPUTED_VALUE"""),8.6)</f>
        <v>8.6</v>
      </c>
      <c r="AE29" s="343">
        <f>IFERROR(__xludf.DUMMYFUNCTION("""COMPUTED_VALUE"""),35.4)</f>
        <v>35.4</v>
      </c>
      <c r="AF29" s="343">
        <f>IFERROR(__xludf.DUMMYFUNCTION("""COMPUTED_VALUE"""),2.0)</f>
        <v>2</v>
      </c>
      <c r="AG29" s="292" t="b">
        <f>IFERROR(__xludf.DUMMYFUNCTION("""COMPUTED_VALUE"""),FALSE)</f>
        <v>0</v>
      </c>
      <c r="AH29" s="292" t="b">
        <f>IFERROR(__xludf.DUMMYFUNCTION("""COMPUTED_VALUE"""),TRUE)</f>
        <v>1</v>
      </c>
      <c r="AI29" s="292" t="b">
        <f>IFERROR(__xludf.DUMMYFUNCTION("""COMPUTED_VALUE"""),FALSE)</f>
        <v>0</v>
      </c>
      <c r="AJ29" s="292" t="b">
        <f>IFERROR(__xludf.DUMMYFUNCTION("""COMPUTED_VALUE"""),FALSE)</f>
        <v>0</v>
      </c>
      <c r="AK29" s="292" t="b">
        <f>IFERROR(__xludf.DUMMYFUNCTION("""COMPUTED_VALUE"""),FALSE)</f>
        <v>0</v>
      </c>
      <c r="AL29" s="292" t="b">
        <f>IFERROR(__xludf.DUMMYFUNCTION("""COMPUTED_VALUE"""),FALSE)</f>
        <v>0</v>
      </c>
      <c r="AM29" s="292" t="b">
        <f>IFERROR(__xludf.DUMMYFUNCTION("""COMPUTED_VALUE"""),TRUE)</f>
        <v>1</v>
      </c>
      <c r="AN29" s="292" t="b">
        <f>IFERROR(__xludf.DUMMYFUNCTION("""COMPUTED_VALUE"""),FALSE)</f>
        <v>0</v>
      </c>
      <c r="AO29" s="292" t="str">
        <f>IFERROR(__xludf.DUMMYFUNCTION("""COMPUTED_VALUE"""),"FALSE")</f>
        <v>FALSE</v>
      </c>
      <c r="AP29" s="292" t="str">
        <f>IFERROR(__xludf.DUMMYFUNCTION("""COMPUTED_VALUE"""),"Pork tenderloin")</f>
        <v>Pork tenderloin</v>
      </c>
      <c r="AQ29" s="292" t="str">
        <f>IFERROR(__xludf.DUMMYFUNCTION("""COMPUTED_VALUE"""),"Pork")</f>
        <v>Pork</v>
      </c>
      <c r="AR29" s="292" t="str">
        <f>IFERROR(__xludf.DUMMYFUNCTION("""COMPUTED_VALUE"""),"Tenderloin")</f>
        <v>Tenderloin</v>
      </c>
      <c r="AS29" s="292" t="str">
        <f>IFERROR(__xludf.DUMMYFUNCTION("""COMPUTED_VALUE"""),"Cauliflower Mash")</f>
        <v>Cauliflower Mash</v>
      </c>
      <c r="AT29" s="292" t="str">
        <f>IFERROR(__xludf.DUMMYFUNCTION("""COMPUTED_VALUE"""),"Celeriac")</f>
        <v>Celeriac</v>
      </c>
      <c r="AU29" s="292" t="str">
        <f>IFERROR(__xludf.DUMMYFUNCTION("""COMPUTED_VALUE"""),"Broccoli")</f>
        <v>Broccoli</v>
      </c>
      <c r="AV29" s="292" t="str">
        <f>IFERROR(__xludf.DUMMYFUNCTION("""COMPUTED_VALUE"""),"Creamy Sauce Base")</f>
        <v>Creamy Sauce Base</v>
      </c>
      <c r="AW29" s="292" t="str">
        <f>IFERROR(__xludf.DUMMYFUNCTION("""COMPUTED_VALUE"""),"Year Round")</f>
        <v>Year Round</v>
      </c>
      <c r="AX29" s="292" t="str">
        <f>IFERROR(__xludf.DUMMYFUNCTION("""COMPUTED_VALUE"""),"French")</f>
        <v>French</v>
      </c>
      <c r="AY29" s="292"/>
      <c r="AZ29" s="292" t="str">
        <f>IFERROR(__xludf.DUMMYFUNCTION("""COMPUTED_VALUE"""),"2 CT")</f>
        <v>2 CT</v>
      </c>
      <c r="BA29" s="292" t="b">
        <f>IFERROR(__xludf.DUMMYFUNCTION("""COMPUTED_VALUE"""),FALSE)</f>
        <v>0</v>
      </c>
      <c r="BB29" s="342">
        <f>IFERROR(__xludf.DUMMYFUNCTION("""COMPUTED_VALUE"""),2.43)</f>
        <v>2.43</v>
      </c>
      <c r="BC29" s="342">
        <f>IFERROR(__xludf.DUMMYFUNCTION("""COMPUTED_VALUE"""),1.02)</f>
        <v>1.02</v>
      </c>
      <c r="BD29" s="342">
        <f>IFERROR(__xludf.DUMMYFUNCTION("""COMPUTED_VALUE"""),0.362)</f>
        <v>0.362</v>
      </c>
      <c r="BE29" s="342">
        <f>IFERROR(__xludf.DUMMYFUNCTION("""COMPUTED_VALUE"""),0.89)</f>
        <v>0.89</v>
      </c>
      <c r="BF29" s="296" t="str">
        <f>IFERROR(__xludf.DUMMYFUNCTION("""COMPUTED_VALUE"""),"#REF!")</f>
        <v>#REF!</v>
      </c>
      <c r="BG29" s="296" t="str">
        <f>IFERROR(__xludf.DUMMYFUNCTION("""COMPUTED_VALUE"""),"#REF!")</f>
        <v>#REF!</v>
      </c>
      <c r="BH29" s="296" t="str">
        <f>IFERROR(__xludf.DUMMYFUNCTION("""COMPUTED_VALUE"""),"#REF!")</f>
        <v>#REF!</v>
      </c>
      <c r="BI29" s="295">
        <f>IFERROR(__xludf.DUMMYFUNCTION("""COMPUTED_VALUE"""),217.0)</f>
        <v>217</v>
      </c>
      <c r="BJ29" s="295" t="str">
        <f>IFERROR(__xludf.DUMMYFUNCTION("""COMPUTED_VALUE"""),"FALSE")</f>
        <v>FALSE</v>
      </c>
      <c r="BK29" s="346">
        <f>IFERROR(__xludf.DUMMYFUNCTION("""COMPUTED_VALUE"""),2898.0)</f>
        <v>2898</v>
      </c>
      <c r="BL29" s="292"/>
      <c r="BM29" s="292"/>
      <c r="BN29" s="292"/>
      <c r="BO29" s="292"/>
      <c r="BP29" s="292"/>
      <c r="BQ29" s="292" t="str">
        <f>IFERROR(__xludf.DUMMYFUNCTION("""COMPUTED_VALUE"""),"Graveyard")</f>
        <v>Graveyard</v>
      </c>
      <c r="BR29" s="292" t="b">
        <f>IFERROR(__xludf.DUMMYFUNCTION("""COMPUTED_VALUE"""),FALSE)</f>
        <v>0</v>
      </c>
      <c r="BS29" s="292" t="b">
        <f>IFERROR(__xludf.DUMMYFUNCTION("""COMPUTED_VALUE"""),FALSE)</f>
        <v>0</v>
      </c>
      <c r="BT29" s="345">
        <f>IFERROR(__xludf.DUMMYFUNCTION("""COMPUTED_VALUE"""),744.987146529563)</f>
        <v>744.9871465</v>
      </c>
      <c r="BU29" s="345">
        <f>IFERROR(__xludf.DUMMYFUNCTION("""COMPUTED_VALUE"""),179.69151670951157)</f>
        <v>179.6915167</v>
      </c>
      <c r="BV29" s="344">
        <f>IFERROR(__xludf.DUMMYFUNCTION("""COMPUTED_VALUE"""),14.16452442159383)</f>
        <v>14.16452442</v>
      </c>
      <c r="BW29" s="344">
        <f>IFERROR(__xludf.DUMMYFUNCTION("""COMPUTED_VALUE"""),4.93573264781491)</f>
        <v>4.935732648</v>
      </c>
    </row>
    <row r="30">
      <c r="A30" s="292" t="str">
        <f>IFERROR(__xludf.DUMMYFUNCTION("""COMPUTED_VALUE"""),"FE0169G")</f>
        <v>FE0169G</v>
      </c>
      <c r="B30" s="292" t="str">
        <f>IFERROR(__xludf.DUMMYFUNCTION("""COMPUTED_VALUE"""),"CON-40-143739-4")</f>
        <v>CON-40-143739-4</v>
      </c>
      <c r="C30" s="292" t="str">
        <f>IFERROR(__xludf.DUMMYFUNCTION("""COMPUTED_VALUE"""),"CON-00-147824-2")</f>
        <v>CON-00-147824-2</v>
      </c>
      <c r="D30" s="292" t="str">
        <f>IFERROR(__xludf.DUMMYFUNCTION("""COMPUTED_VALUE"""),"CON-00-136637-3")</f>
        <v>CON-00-136637-3</v>
      </c>
      <c r="E30" s="292" t="str">
        <f>IFERROR(__xludf.DUMMYFUNCTION("""COMPUTED_VALUE"""),"Pork tenderloin in creamy garlic-mustard sauce")</f>
        <v>Pork tenderloin in creamy garlic-mustard sauce</v>
      </c>
      <c r="F30" s="292" t="str">
        <f>IFERROR(__xludf.DUMMYFUNCTION("""COMPUTED_VALUE"""),"with broccoli, and puree of celeriac and cauliflower")</f>
        <v>with broccoli, and puree of celeriac and cauliflower</v>
      </c>
      <c r="G30" s="292" t="str">
        <f>IFERROR(__xludf.DUMMYFUNCTION("""COMPUTED_VALUE"""),"Varkenshaas in romige knoflook-mosterdsaus")</f>
        <v>Varkenshaas in romige knoflook-mosterdsaus</v>
      </c>
      <c r="H30" s="292" t="str">
        <f>IFERROR(__xludf.DUMMYFUNCTION("""COMPUTED_VALUE"""),"met broccoli, en puree van knolselderij en bloemkool")</f>
        <v>met broccoli, en puree van knolselderij en bloemkool</v>
      </c>
      <c r="I30" s="292" t="str">
        <f>IFERROR(__xludf.DUMMYFUNCTION("""COMPUTED_VALUE"""),"Svinemørbrad i cremet hvidløg-sennepssauce")</f>
        <v>Svinemørbrad i cremet hvidløg-sennepssauce</v>
      </c>
      <c r="J30" s="292" t="str">
        <f>IFERROR(__xludf.DUMMYFUNCTION("""COMPUTED_VALUE"""),"Schweinefilet in cremiger Knoblauch-Senf-Sauce")</f>
        <v>Schweinefilet in cremiger Knoblauch-Senf-Sauce</v>
      </c>
      <c r="K30" s="292">
        <f>IFERROR(__xludf.DUMMYFUNCTION("""COMPUTED_VALUE"""),565030.0)</f>
        <v>565030</v>
      </c>
      <c r="L30" s="292" t="str">
        <f>IFERROR(__xludf.DUMMYFUNCTION("""COMPUTED_VALUE"""),"Varkenshaas in romige knoflook-mosterdsaus")</f>
        <v>Varkenshaas in romige knoflook-mosterdsaus</v>
      </c>
      <c r="M30" s="292" t="str">
        <f>IFERROR(__xludf.DUMMYFUNCTION("""COMPUTED_VALUE"""),"FA-NL Varkenshaas in romige knoflook-mosterdsaus (FE0169)")</f>
        <v>FA-NL Varkenshaas in romige knoflook-mosterdsaus (FE0169)</v>
      </c>
      <c r="N30" s="292" t="str">
        <f>IFERROR(__xludf.DUMMYFUNCTION("""COMPUTED_VALUE"""),"FA-NO Svinemørbrad i cremet hvidløg-sennepssauce (FE0169)")</f>
        <v>FA-NO Svinemørbrad i cremet hvidløg-sennepssauce (FE0169)</v>
      </c>
      <c r="O30" s="292" t="str">
        <f>IFERROR(__xludf.DUMMYFUNCTION("""COMPUTED_VALUE"""),"FA-DE Schweinefilet in cremiger Knoblauch-Senf-Sauce (FE0169)")</f>
        <v>FA-DE Schweinefilet in cremiger Knoblauch-Senf-Sauce (FE0169)</v>
      </c>
      <c r="P30" s="292" t="str">
        <f>IFERROR(__xludf.DUMMYFUNCTION("""COMPUTED_VALUE"""),"Graveyard")</f>
        <v>Graveyard</v>
      </c>
      <c r="Q30" s="292"/>
      <c r="R30" s="342">
        <f>IFERROR(__xludf.DUMMYFUNCTION("""COMPUTED_VALUE"""),5.04)</f>
        <v>5.04</v>
      </c>
      <c r="S30" s="292"/>
      <c r="T30" s="292"/>
      <c r="U30" s="292"/>
      <c r="V30" s="292"/>
      <c r="W30" s="292" t="b">
        <f>IFERROR(__xludf.DUMMYFUNCTION("""COMPUTED_VALUE"""),FALSE)</f>
        <v>0</v>
      </c>
      <c r="X30" s="345">
        <f>IFERROR(__xludf.DUMMYFUNCTION("""COMPUTED_VALUE"""),389.0)</f>
        <v>389</v>
      </c>
      <c r="Y30" s="344">
        <f>IFERROR(__xludf.DUMMYFUNCTION("""COMPUTED_VALUE"""),650.0)</f>
        <v>650</v>
      </c>
      <c r="Z30" s="343">
        <f>IFERROR(__xludf.DUMMYFUNCTION("""COMPUTED_VALUE"""),48.4)</f>
        <v>48.4</v>
      </c>
      <c r="AA30" s="344">
        <f>IFERROR(__xludf.DUMMYFUNCTION("""COMPUTED_VALUE"""),17.3)</f>
        <v>17.3</v>
      </c>
      <c r="AB30" s="344">
        <f>IFERROR(__xludf.DUMMYFUNCTION("""COMPUTED_VALUE"""),13.7)</f>
        <v>13.7</v>
      </c>
      <c r="AC30" s="344">
        <f>IFERROR(__xludf.DUMMYFUNCTION("""COMPUTED_VALUE"""),11.5)</f>
        <v>11.5</v>
      </c>
      <c r="AD30" s="344">
        <f>IFERROR(__xludf.DUMMYFUNCTION("""COMPUTED_VALUE"""),6.7)</f>
        <v>6.7</v>
      </c>
      <c r="AE30" s="343">
        <f>IFERROR(__xludf.DUMMYFUNCTION("""COMPUTED_VALUE"""),35.9)</f>
        <v>35.9</v>
      </c>
      <c r="AF30" s="343">
        <f>IFERROR(__xludf.DUMMYFUNCTION("""COMPUTED_VALUE"""),1.91)</f>
        <v>1.91</v>
      </c>
      <c r="AG30" s="292" t="b">
        <f>IFERROR(__xludf.DUMMYFUNCTION("""COMPUTED_VALUE"""),FALSE)</f>
        <v>0</v>
      </c>
      <c r="AH30" s="292" t="b">
        <f>IFERROR(__xludf.DUMMYFUNCTION("""COMPUTED_VALUE"""),TRUE)</f>
        <v>1</v>
      </c>
      <c r="AI30" s="292" t="b">
        <f>IFERROR(__xludf.DUMMYFUNCTION("""COMPUTED_VALUE"""),FALSE)</f>
        <v>0</v>
      </c>
      <c r="AJ30" s="292" t="b">
        <f>IFERROR(__xludf.DUMMYFUNCTION("""COMPUTED_VALUE"""),FALSE)</f>
        <v>0</v>
      </c>
      <c r="AK30" s="292" t="b">
        <f>IFERROR(__xludf.DUMMYFUNCTION("""COMPUTED_VALUE"""),FALSE)</f>
        <v>0</v>
      </c>
      <c r="AL30" s="292" t="b">
        <f>IFERROR(__xludf.DUMMYFUNCTION("""COMPUTED_VALUE"""),FALSE)</f>
        <v>0</v>
      </c>
      <c r="AM30" s="292" t="b">
        <f>IFERROR(__xludf.DUMMYFUNCTION("""COMPUTED_VALUE"""),TRUE)</f>
        <v>1</v>
      </c>
      <c r="AN30" s="292" t="b">
        <f>IFERROR(__xludf.DUMMYFUNCTION("""COMPUTED_VALUE"""),FALSE)</f>
        <v>0</v>
      </c>
      <c r="AO30" s="292" t="str">
        <f>IFERROR(__xludf.DUMMYFUNCTION("""COMPUTED_VALUE"""),"FALSE")</f>
        <v>FALSE</v>
      </c>
      <c r="AP30" s="292" t="str">
        <f>IFERROR(__xludf.DUMMYFUNCTION("""COMPUTED_VALUE"""),"Pork tenderloin")</f>
        <v>Pork tenderloin</v>
      </c>
      <c r="AQ30" s="292" t="str">
        <f>IFERROR(__xludf.DUMMYFUNCTION("""COMPUTED_VALUE"""),"Pork")</f>
        <v>Pork</v>
      </c>
      <c r="AR30" s="292" t="str">
        <f>IFERROR(__xludf.DUMMYFUNCTION("""COMPUTED_VALUE"""),"Tenderloin")</f>
        <v>Tenderloin</v>
      </c>
      <c r="AS30" s="292" t="str">
        <f>IFERROR(__xludf.DUMMYFUNCTION("""COMPUTED_VALUE"""),"Cauliflower Mash")</f>
        <v>Cauliflower Mash</v>
      </c>
      <c r="AT30" s="292" t="str">
        <f>IFERROR(__xludf.DUMMYFUNCTION("""COMPUTED_VALUE"""),"Celeriac")</f>
        <v>Celeriac</v>
      </c>
      <c r="AU30" s="292" t="str">
        <f>IFERROR(__xludf.DUMMYFUNCTION("""COMPUTED_VALUE"""),"Broccoli")</f>
        <v>Broccoli</v>
      </c>
      <c r="AV30" s="292" t="str">
        <f>IFERROR(__xludf.DUMMYFUNCTION("""COMPUTED_VALUE"""),"Creamy Sauce Base")</f>
        <v>Creamy Sauce Base</v>
      </c>
      <c r="AW30" s="292" t="str">
        <f>IFERROR(__xludf.DUMMYFUNCTION("""COMPUTED_VALUE"""),"Year Round")</f>
        <v>Year Round</v>
      </c>
      <c r="AX30" s="292" t="str">
        <f>IFERROR(__xludf.DUMMYFUNCTION("""COMPUTED_VALUE"""),"French")</f>
        <v>French</v>
      </c>
      <c r="AY30" s="292"/>
      <c r="AZ30" s="292" t="str">
        <f>IFERROR(__xludf.DUMMYFUNCTION("""COMPUTED_VALUE"""),"2 CT")</f>
        <v>2 CT</v>
      </c>
      <c r="BA30" s="292" t="b">
        <f>IFERROR(__xludf.DUMMYFUNCTION("""COMPUTED_VALUE"""),FALSE)</f>
        <v>0</v>
      </c>
      <c r="BB30" s="342">
        <f>IFERROR(__xludf.DUMMYFUNCTION("""COMPUTED_VALUE"""),2.76)</f>
        <v>2.76</v>
      </c>
      <c r="BC30" s="342">
        <f>IFERROR(__xludf.DUMMYFUNCTION("""COMPUTED_VALUE"""),1.08)</f>
        <v>1.08</v>
      </c>
      <c r="BD30" s="342">
        <f>IFERROR(__xludf.DUMMYFUNCTION("""COMPUTED_VALUE"""),0.362)</f>
        <v>0.362</v>
      </c>
      <c r="BE30" s="342">
        <f>IFERROR(__xludf.DUMMYFUNCTION("""COMPUTED_VALUE"""),0.89)</f>
        <v>0.89</v>
      </c>
      <c r="BF30" s="296" t="str">
        <f>IFERROR(__xludf.DUMMYFUNCTION("""COMPUTED_VALUE"""),"#REF!")</f>
        <v>#REF!</v>
      </c>
      <c r="BG30" s="296" t="str">
        <f>IFERROR(__xludf.DUMMYFUNCTION("""COMPUTED_VALUE"""),"#REF!")</f>
        <v>#REF!</v>
      </c>
      <c r="BH30" s="296" t="str">
        <f>IFERROR(__xludf.DUMMYFUNCTION("""COMPUTED_VALUE"""),"#REF!")</f>
        <v>#REF!</v>
      </c>
      <c r="BI30" s="295">
        <f>IFERROR(__xludf.DUMMYFUNCTION("""COMPUTED_VALUE"""),221.0)</f>
        <v>221</v>
      </c>
      <c r="BJ30" s="295" t="str">
        <f>IFERROR(__xludf.DUMMYFUNCTION("""COMPUTED_VALUE"""),"FALSE")</f>
        <v>FALSE</v>
      </c>
      <c r="BK30" s="346">
        <f>IFERROR(__xludf.DUMMYFUNCTION("""COMPUTED_VALUE"""),2697.0)</f>
        <v>2697</v>
      </c>
      <c r="BL30" s="292" t="str">
        <f>IFERROR(__xludf.DUMMYFUNCTION("""COMPUTED_VALUE"""),"US")</f>
        <v>US</v>
      </c>
      <c r="BM30" s="292" t="str">
        <f>IFERROR(__xludf.DUMMYFUNCTION("""COMPUTED_VALUE"""),"Fläskfilé i krämig vitlöks- och senapssås")</f>
        <v>Fläskfilé i krämig vitlöks- och senapssås</v>
      </c>
      <c r="BN30" s="292"/>
      <c r="BO30" s="292"/>
      <c r="BP30" s="292"/>
      <c r="BQ30" s="292" t="str">
        <f>IFERROR(__xludf.DUMMYFUNCTION("""COMPUTED_VALUE"""),"Graveyard")</f>
        <v>Graveyard</v>
      </c>
      <c r="BR30" s="292" t="b">
        <f>IFERROR(__xludf.DUMMYFUNCTION("""COMPUTED_VALUE"""),FALSE)</f>
        <v>0</v>
      </c>
      <c r="BS30" s="292" t="b">
        <f>IFERROR(__xludf.DUMMYFUNCTION("""COMPUTED_VALUE"""),FALSE)</f>
        <v>0</v>
      </c>
      <c r="BT30" s="345">
        <f>IFERROR(__xludf.DUMMYFUNCTION("""COMPUTED_VALUE"""),693.0)</f>
        <v>693</v>
      </c>
      <c r="BU30" s="345">
        <f>IFERROR(__xludf.DUMMYFUNCTION("""COMPUTED_VALUE"""),167.0)</f>
        <v>167</v>
      </c>
      <c r="BV30" s="344">
        <f>IFERROR(__xludf.DUMMYFUNCTION("""COMPUTED_VALUE"""),12.4)</f>
        <v>12.4</v>
      </c>
      <c r="BW30" s="344">
        <f>IFERROR(__xludf.DUMMYFUNCTION("""COMPUTED_VALUE"""),4.4)</f>
        <v>4.4</v>
      </c>
    </row>
    <row r="31">
      <c r="A31" s="292" t="str">
        <f>IFERROR(__xludf.DUMMYFUNCTION("""COMPUTED_VALUE"""),"FE0198C")</f>
        <v>FE0198C</v>
      </c>
      <c r="B31" s="292" t="str">
        <f>IFERROR(__xludf.DUMMYFUNCTION("""COMPUTED_VALUE"""),"CON-40-143710-4")</f>
        <v>CON-40-143710-4</v>
      </c>
      <c r="C31" s="292" t="str">
        <f>IFERROR(__xludf.DUMMYFUNCTION("""COMPUTED_VALUE"""),"CON-00-147826-2")</f>
        <v>CON-00-147826-2</v>
      </c>
      <c r="D31" s="292" t="str">
        <f>IFERROR(__xludf.DUMMYFUNCTION("""COMPUTED_VALUE"""),"CON-00-136638-3")</f>
        <v>CON-00-136638-3</v>
      </c>
      <c r="E31" s="292" t="str">
        <f>IFERROR(__xludf.DUMMYFUNCTION("""COMPUTED_VALUE"""),"Spicy chicken with jalapeño, lime and cheddar")</f>
        <v>Spicy chicken with jalapeño, lime and cheddar</v>
      </c>
      <c r="F31" s="292" t="str">
        <f>IFERROR(__xludf.DUMMYFUNCTION("""COMPUTED_VALUE"""),"with creamy cauliflower rice and coriander-cumin sauce")</f>
        <v>with creamy cauliflower rice and coriander-cumin sauce</v>
      </c>
      <c r="G31" s="292" t="str">
        <f>IFERROR(__xludf.DUMMYFUNCTION("""COMPUTED_VALUE"""),"Pittige kipfilet met jalapeño, limoen en cheddar")</f>
        <v>Pittige kipfilet met jalapeño, limoen en cheddar</v>
      </c>
      <c r="H31" s="292" t="str">
        <f>IFERROR(__xludf.DUMMYFUNCTION("""COMPUTED_VALUE"""),"met romige bloemkoolrijst en koriander-komijnsaus")</f>
        <v>met romige bloemkoolrijst en koriander-komijnsaus</v>
      </c>
      <c r="I31" s="292" t="str">
        <f>IFERROR(__xludf.DUMMYFUNCTION("""COMPUTED_VALUE"""),"Spicy kylling med jalapeño, lime og cheddar")</f>
        <v>Spicy kylling med jalapeño, lime og cheddar</v>
      </c>
      <c r="J31" s="292" t="str">
        <f>IFERROR(__xludf.DUMMYFUNCTION("""COMPUTED_VALUE"""),"Scharfes Hähnchen mit Jalapeño, Limette und Cheddar")</f>
        <v>Scharfes Hähnchen mit Jalapeño, Limette und Cheddar</v>
      </c>
      <c r="K31" s="292">
        <f>IFERROR(__xludf.DUMMYFUNCTION("""COMPUTED_VALUE"""),565043.0)</f>
        <v>565043</v>
      </c>
      <c r="L31" s="292" t="str">
        <f>IFERROR(__xludf.DUMMYFUNCTION("""COMPUTED_VALUE"""),"HF Pittige Kipfilet Jala/Limo/Ched 353g")</f>
        <v>HF Pittige Kipfilet Jala/Limo/Ched 353g</v>
      </c>
      <c r="M31" s="292" t="str">
        <f>IFERROR(__xludf.DUMMYFUNCTION("""COMPUTED_VALUE"""),"FA-NL Pittige kipfilet met jalapeño, limoen en cheddar (FE0198)")</f>
        <v>FA-NL Pittige kipfilet met jalapeño, limoen en cheddar (FE0198)</v>
      </c>
      <c r="N31" s="292" t="str">
        <f>IFERROR(__xludf.DUMMYFUNCTION("""COMPUTED_VALUE"""),"FA-NO Spicy kylling med jalapeño, lime og cheddar (FE0198)")</f>
        <v>FA-NO Spicy kylling med jalapeño, lime og cheddar (FE0198)</v>
      </c>
      <c r="O31" s="292" t="str">
        <f>IFERROR(__xludf.DUMMYFUNCTION("""COMPUTED_VALUE"""),"FA-DE Scharfes Hähnchen mit Jalapeño, Limette und Cheddar (FE0198)")</f>
        <v>FA-DE Scharfes Hähnchen mit Jalapeño, Limette und Cheddar (FE0198)</v>
      </c>
      <c r="P31" s="292" t="str">
        <f>IFERROR(__xludf.DUMMYFUNCTION("""COMPUTED_VALUE"""),"Graveyard")</f>
        <v>Graveyard</v>
      </c>
      <c r="Q31" s="292"/>
      <c r="R31" s="342">
        <f>IFERROR(__xludf.DUMMYFUNCTION("""COMPUTED_VALUE"""),4.91)</f>
        <v>4.91</v>
      </c>
      <c r="S31" s="298">
        <f>IFERROR(__xludf.DUMMYFUNCTION("""COMPUTED_VALUE"""),0.018594697698108696)</f>
        <v>0.0185946977</v>
      </c>
      <c r="T31" s="343">
        <f>IFERROR(__xludf.DUMMYFUNCTION("""COMPUTED_VALUE"""),3.6551217596229373)</f>
        <v>3.65512176</v>
      </c>
      <c r="U31" s="292">
        <f>IFERROR(__xludf.DUMMYFUNCTION("""COMPUTED_VALUE"""),27377.0)</f>
        <v>27377</v>
      </c>
      <c r="V31" s="292"/>
      <c r="W31" s="292" t="b">
        <f>IFERROR(__xludf.DUMMYFUNCTION("""COMPUTED_VALUE"""),TRUE)</f>
        <v>1</v>
      </c>
      <c r="X31" s="345">
        <f>IFERROR(__xludf.DUMMYFUNCTION("""COMPUTED_VALUE"""),353.0)</f>
        <v>353</v>
      </c>
      <c r="Y31" s="344">
        <f>IFERROR(__xludf.DUMMYFUNCTION("""COMPUTED_VALUE"""),539.0)</f>
        <v>539</v>
      </c>
      <c r="Z31" s="343">
        <f>IFERROR(__xludf.DUMMYFUNCTION("""COMPUTED_VALUE"""),38.8)</f>
        <v>38.8</v>
      </c>
      <c r="AA31" s="344">
        <f>IFERROR(__xludf.DUMMYFUNCTION("""COMPUTED_VALUE"""),19.7)</f>
        <v>19.7</v>
      </c>
      <c r="AB31" s="344">
        <f>IFERROR(__xludf.DUMMYFUNCTION("""COMPUTED_VALUE"""),12.6)</f>
        <v>12.6</v>
      </c>
      <c r="AC31" s="344">
        <f>IFERROR(__xludf.DUMMYFUNCTION("""COMPUTED_VALUE"""),8.9)</f>
        <v>8.9</v>
      </c>
      <c r="AD31" s="344">
        <f>IFERROR(__xludf.DUMMYFUNCTION("""COMPUTED_VALUE"""),5.7)</f>
        <v>5.7</v>
      </c>
      <c r="AE31" s="343">
        <f>IFERROR(__xludf.DUMMYFUNCTION("""COMPUTED_VALUE"""),31.7)</f>
        <v>31.7</v>
      </c>
      <c r="AF31" s="343">
        <f>IFERROR(__xludf.DUMMYFUNCTION("""COMPUTED_VALUE"""),1.65)</f>
        <v>1.65</v>
      </c>
      <c r="AG31" s="292" t="b">
        <f>IFERROR(__xludf.DUMMYFUNCTION("""COMPUTED_VALUE"""),TRUE)</f>
        <v>1</v>
      </c>
      <c r="AH31" s="292" t="b">
        <f>IFERROR(__xludf.DUMMYFUNCTION("""COMPUTED_VALUE"""),TRUE)</f>
        <v>1</v>
      </c>
      <c r="AI31" s="292" t="b">
        <f>IFERROR(__xludf.DUMMYFUNCTION("""COMPUTED_VALUE"""),FALSE)</f>
        <v>0</v>
      </c>
      <c r="AJ31" s="292" t="b">
        <f>IFERROR(__xludf.DUMMYFUNCTION("""COMPUTED_VALUE"""),FALSE)</f>
        <v>0</v>
      </c>
      <c r="AK31" s="292" t="b">
        <f>IFERROR(__xludf.DUMMYFUNCTION("""COMPUTED_VALUE"""),FALSE)</f>
        <v>0</v>
      </c>
      <c r="AL31" s="292" t="b">
        <f>IFERROR(__xludf.DUMMYFUNCTION("""COMPUTED_VALUE"""),FALSE)</f>
        <v>0</v>
      </c>
      <c r="AM31" s="292" t="b">
        <f>IFERROR(__xludf.DUMMYFUNCTION("""COMPUTED_VALUE"""),TRUE)</f>
        <v>1</v>
      </c>
      <c r="AN31" s="292" t="b">
        <f>IFERROR(__xludf.DUMMYFUNCTION("""COMPUTED_VALUE"""),FALSE)</f>
        <v>0</v>
      </c>
      <c r="AO31" s="292" t="str">
        <f>IFERROR(__xludf.DUMMYFUNCTION("""COMPUTED_VALUE"""),"FALSE")</f>
        <v>FALSE</v>
      </c>
      <c r="AP31" s="292" t="str">
        <f>IFERROR(__xludf.DUMMYFUNCTION("""COMPUTED_VALUE"""),"Chicken breast")</f>
        <v>Chicken breast</v>
      </c>
      <c r="AQ31" s="292" t="str">
        <f>IFERROR(__xludf.DUMMYFUNCTION("""COMPUTED_VALUE"""),"Chicken")</f>
        <v>Chicken</v>
      </c>
      <c r="AR31" s="292" t="str">
        <f>IFERROR(__xludf.DUMMYFUNCTION("""COMPUTED_VALUE"""),"Breast")</f>
        <v>Breast</v>
      </c>
      <c r="AS31" s="292" t="str">
        <f>IFERROR(__xludf.DUMMYFUNCTION("""COMPUTED_VALUE"""),"Creamy Sauce Base")</f>
        <v>Creamy Sauce Base</v>
      </c>
      <c r="AT31" s="292" t="str">
        <f>IFERROR(__xludf.DUMMYFUNCTION("""COMPUTED_VALUE"""),"Pepper Mix")</f>
        <v>Pepper Mix</v>
      </c>
      <c r="AU31" s="292" t="str">
        <f>IFERROR(__xludf.DUMMYFUNCTION("""COMPUTED_VALUE"""),"Cauliflower Rice")</f>
        <v>Cauliflower Rice</v>
      </c>
      <c r="AV31" s="292" t="str">
        <f>IFERROR(__xludf.DUMMYFUNCTION("""COMPUTED_VALUE"""),"Jalapeno slices")</f>
        <v>Jalapeno slices</v>
      </c>
      <c r="AW31" s="292" t="str">
        <f>IFERROR(__xludf.DUMMYFUNCTION("""COMPUTED_VALUE"""),"Year Round")</f>
        <v>Year Round</v>
      </c>
      <c r="AX31" s="292" t="str">
        <f>IFERROR(__xludf.DUMMYFUNCTION("""COMPUTED_VALUE"""),"Mexican")</f>
        <v>Mexican</v>
      </c>
      <c r="AY31" s="292"/>
      <c r="AZ31" s="292" t="str">
        <f>IFERROR(__xludf.DUMMYFUNCTION("""COMPUTED_VALUE"""),"2 CT")</f>
        <v>2 CT</v>
      </c>
      <c r="BA31" s="292" t="b">
        <f>IFERROR(__xludf.DUMMYFUNCTION("""COMPUTED_VALUE"""),FALSE)</f>
        <v>0</v>
      </c>
      <c r="BB31" s="342">
        <f>IFERROR(__xludf.DUMMYFUNCTION("""COMPUTED_VALUE"""),2.69)</f>
        <v>2.69</v>
      </c>
      <c r="BC31" s="342">
        <f>IFERROR(__xludf.DUMMYFUNCTION("""COMPUTED_VALUE"""),0.97)</f>
        <v>0.97</v>
      </c>
      <c r="BD31" s="342">
        <f>IFERROR(__xludf.DUMMYFUNCTION("""COMPUTED_VALUE"""),0.36)</f>
        <v>0.36</v>
      </c>
      <c r="BE31" s="342">
        <f>IFERROR(__xludf.DUMMYFUNCTION("""COMPUTED_VALUE"""),0.89)</f>
        <v>0.89</v>
      </c>
      <c r="BF31" s="296">
        <f>IFERROR(__xludf.DUMMYFUNCTION("""COMPUTED_VALUE"""),3.371337026846137)</f>
        <v>3.371337027</v>
      </c>
      <c r="BG31" s="296">
        <f>IFERROR(__xludf.DUMMYFUNCTION("""COMPUTED_VALUE"""),3.414038234604356)</f>
        <v>3.414038235</v>
      </c>
      <c r="BH31" s="296">
        <f>IFERROR(__xludf.DUMMYFUNCTION("""COMPUTED_VALUE"""),3.534469621678924)</f>
        <v>3.534469622</v>
      </c>
      <c r="BI31" s="295">
        <f>IFERROR(__xludf.DUMMYFUNCTION("""COMPUTED_VALUE"""),151.0)</f>
        <v>151</v>
      </c>
      <c r="BJ31" s="295" t="str">
        <f>IFERROR(__xludf.DUMMYFUNCTION("""COMPUTED_VALUE"""),"FALSE")</f>
        <v>FALSE</v>
      </c>
      <c r="BK31" s="346">
        <f>IFERROR(__xludf.DUMMYFUNCTION("""COMPUTED_VALUE"""),2241.0)</f>
        <v>2241</v>
      </c>
      <c r="BL31" s="292" t="str">
        <f>IFERROR(__xludf.DUMMYFUNCTION("""COMPUTED_VALUE"""),"US")</f>
        <v>US</v>
      </c>
      <c r="BM31" s="292" t="str">
        <f>IFERROR(__xludf.DUMMYFUNCTION("""COMPUTED_VALUE"""),"Het kyckling med jalapeño, lime och cheddar")</f>
        <v>Het kyckling med jalapeño, lime och cheddar</v>
      </c>
      <c r="BN31" s="343">
        <f>IFERROR(__xludf.DUMMYFUNCTION("""COMPUTED_VALUE"""),3.626982011992005)</f>
        <v>3.626982012</v>
      </c>
      <c r="BO31" s="343">
        <f>IFERROR(__xludf.DUMMYFUNCTION("""COMPUTED_VALUE"""),3.6207264957264957)</f>
        <v>3.620726496</v>
      </c>
      <c r="BP31" s="292"/>
      <c r="BQ31" s="292" t="str">
        <f>IFERROR(__xludf.DUMMYFUNCTION("""COMPUTED_VALUE"""),"Active - Rework")</f>
        <v>Active - Rework</v>
      </c>
      <c r="BR31" s="292" t="b">
        <f>IFERROR(__xludf.DUMMYFUNCTION("""COMPUTED_VALUE"""),FALSE)</f>
        <v>0</v>
      </c>
      <c r="BS31" s="292" t="b">
        <f>IFERROR(__xludf.DUMMYFUNCTION("""COMPUTED_VALUE"""),FALSE)</f>
        <v>0</v>
      </c>
      <c r="BT31" s="345">
        <f>IFERROR(__xludf.DUMMYFUNCTION("""COMPUTED_VALUE"""),635.0)</f>
        <v>635</v>
      </c>
      <c r="BU31" s="345">
        <f>IFERROR(__xludf.DUMMYFUNCTION("""COMPUTED_VALUE"""),152.8)</f>
        <v>152.8</v>
      </c>
      <c r="BV31" s="344">
        <f>IFERROR(__xludf.DUMMYFUNCTION("""COMPUTED_VALUE"""),11.0)</f>
        <v>11</v>
      </c>
      <c r="BW31" s="344">
        <f>IFERROR(__xludf.DUMMYFUNCTION("""COMPUTED_VALUE"""),5.6)</f>
        <v>5.6</v>
      </c>
    </row>
    <row r="32">
      <c r="A32" s="292" t="str">
        <f>IFERROR(__xludf.DUMMYFUNCTION("""COMPUTED_VALUE"""),"FE0207H")</f>
        <v>FE0207H</v>
      </c>
      <c r="B32" s="292" t="str">
        <f>IFERROR(__xludf.DUMMYFUNCTION("""COMPUTED_VALUE"""),"CON-40-143689-4")</f>
        <v>CON-40-143689-4</v>
      </c>
      <c r="C32" s="292" t="str">
        <f>IFERROR(__xludf.DUMMYFUNCTION("""COMPUTED_VALUE"""),"CON-00-147825-2")</f>
        <v>CON-00-147825-2</v>
      </c>
      <c r="D32" s="292" t="str">
        <f>IFERROR(__xludf.DUMMYFUNCTION("""COMPUTED_VALUE"""),"CON-00-136619-3")</f>
        <v>CON-00-136619-3</v>
      </c>
      <c r="E32" s="292" t="str">
        <f>IFERROR(__xludf.DUMMYFUNCTION("""COMPUTED_VALUE"""),"Chicken in creamy spinach")</f>
        <v>Chicken in creamy spinach</v>
      </c>
      <c r="F32" s="292" t="str">
        <f>IFERROR(__xludf.DUMMYFUNCTION("""COMPUTED_VALUE"""),"with artichoke, courgette and pepper in tomato butter")</f>
        <v>with artichoke, courgette and pepper in tomato butter</v>
      </c>
      <c r="G32" s="292" t="str">
        <f>IFERROR(__xludf.DUMMYFUNCTION("""COMPUTED_VALUE"""),"Kipfilet in romige spinazie")</f>
        <v>Kipfilet in romige spinazie</v>
      </c>
      <c r="H32" s="292" t="str">
        <f>IFERROR(__xludf.DUMMYFUNCTION("""COMPUTED_VALUE"""),"met artisjok, courgette en paprika in tomatenboter")</f>
        <v>met artisjok, courgette en paprika in tomatenboter</v>
      </c>
      <c r="I32" s="292" t="str">
        <f>IFERROR(__xludf.DUMMYFUNCTION("""COMPUTED_VALUE"""),"Kylling i cremet spinat")</f>
        <v>Kylling i cremet spinat</v>
      </c>
      <c r="J32" s="292" t="str">
        <f>IFERROR(__xludf.DUMMYFUNCTION("""COMPUTED_VALUE"""),"Hähnchen in Spinat-Creme")</f>
        <v>Hähnchen in Spinat-Creme</v>
      </c>
      <c r="K32" s="292">
        <f>IFERROR(__xludf.DUMMYFUNCTION("""COMPUTED_VALUE"""),565054.0)</f>
        <v>565054</v>
      </c>
      <c r="L32" s="292" t="str">
        <f>IFERROR(__xludf.DUMMYFUNCTION("""COMPUTED_VALUE"""),"HF Artichoke and spinach chicken 408g")</f>
        <v>HF Artichoke and spinach chicken 408g</v>
      </c>
      <c r="M32" s="292" t="str">
        <f>IFERROR(__xludf.DUMMYFUNCTION("""COMPUTED_VALUE"""),"FA-NL Kipfilet in romige spinazie (FE0207)")</f>
        <v>FA-NL Kipfilet in romige spinazie (FE0207)</v>
      </c>
      <c r="N32" s="292" t="str">
        <f>IFERROR(__xludf.DUMMYFUNCTION("""COMPUTED_VALUE"""),"FA-NO Kylling i cremet spinat (FE0207)")</f>
        <v>FA-NO Kylling i cremet spinat (FE0207)</v>
      </c>
      <c r="O32" s="292" t="str">
        <f>IFERROR(__xludf.DUMMYFUNCTION("""COMPUTED_VALUE"""),"FA-DE Hähnchen in Spinat-Creme (FE0207)")</f>
        <v>FA-DE Hähnchen in Spinat-Creme (FE0207)</v>
      </c>
      <c r="P32" s="292" t="str">
        <f>IFERROR(__xludf.DUMMYFUNCTION("""COMPUTED_VALUE"""),"Graveyard")</f>
        <v>Graveyard</v>
      </c>
      <c r="Q32" s="292"/>
      <c r="R32" s="342">
        <f>IFERROR(__xludf.DUMMYFUNCTION("""COMPUTED_VALUE"""),5.29)</f>
        <v>5.29</v>
      </c>
      <c r="S32" s="292"/>
      <c r="T32" s="343">
        <f>IFERROR(__xludf.DUMMYFUNCTION("""COMPUTED_VALUE"""),3.51)</f>
        <v>3.51</v>
      </c>
      <c r="U32" s="292"/>
      <c r="V32" s="292"/>
      <c r="W32" s="292" t="b">
        <f>IFERROR(__xludf.DUMMYFUNCTION("""COMPUTED_VALUE"""),TRUE)</f>
        <v>1</v>
      </c>
      <c r="X32" s="345">
        <f>IFERROR(__xludf.DUMMYFUNCTION("""COMPUTED_VALUE"""),408.0)</f>
        <v>408</v>
      </c>
      <c r="Y32" s="344">
        <f>IFERROR(__xludf.DUMMYFUNCTION("""COMPUTED_VALUE"""),521.0)</f>
        <v>521</v>
      </c>
      <c r="Z32" s="343">
        <f>IFERROR(__xludf.DUMMYFUNCTION("""COMPUTED_VALUE"""),34.9)</f>
        <v>34.9</v>
      </c>
      <c r="AA32" s="344">
        <f>IFERROR(__xludf.DUMMYFUNCTION("""COMPUTED_VALUE"""),18.0)</f>
        <v>18</v>
      </c>
      <c r="AB32" s="344">
        <f>IFERROR(__xludf.DUMMYFUNCTION("""COMPUTED_VALUE"""),13.2)</f>
        <v>13.2</v>
      </c>
      <c r="AC32" s="344">
        <f>IFERROR(__xludf.DUMMYFUNCTION("""COMPUTED_VALUE"""),11.3)</f>
        <v>11.3</v>
      </c>
      <c r="AD32" s="344">
        <f>IFERROR(__xludf.DUMMYFUNCTION("""COMPUTED_VALUE"""),4.8)</f>
        <v>4.8</v>
      </c>
      <c r="AE32" s="343">
        <f>IFERROR(__xludf.DUMMYFUNCTION("""COMPUTED_VALUE"""),35.1)</f>
        <v>35.1</v>
      </c>
      <c r="AF32" s="343">
        <f>IFERROR(__xludf.DUMMYFUNCTION("""COMPUTED_VALUE"""),1.95)</f>
        <v>1.95</v>
      </c>
      <c r="AG32" s="292" t="b">
        <f>IFERROR(__xludf.DUMMYFUNCTION("""COMPUTED_VALUE"""),FALSE)</f>
        <v>0</v>
      </c>
      <c r="AH32" s="292" t="b">
        <f>IFERROR(__xludf.DUMMYFUNCTION("""COMPUTED_VALUE"""),TRUE)</f>
        <v>1</v>
      </c>
      <c r="AI32" s="292" t="b">
        <f>IFERROR(__xludf.DUMMYFUNCTION("""COMPUTED_VALUE"""),FALSE)</f>
        <v>0</v>
      </c>
      <c r="AJ32" s="292" t="b">
        <f>IFERROR(__xludf.DUMMYFUNCTION("""COMPUTED_VALUE"""),FALSE)</f>
        <v>0</v>
      </c>
      <c r="AK32" s="292" t="b">
        <f>IFERROR(__xludf.DUMMYFUNCTION("""COMPUTED_VALUE"""),FALSE)</f>
        <v>0</v>
      </c>
      <c r="AL32" s="292" t="b">
        <f>IFERROR(__xludf.DUMMYFUNCTION("""COMPUTED_VALUE"""),FALSE)</f>
        <v>0</v>
      </c>
      <c r="AM32" s="292" t="b">
        <f>IFERROR(__xludf.DUMMYFUNCTION("""COMPUTED_VALUE"""),TRUE)</f>
        <v>1</v>
      </c>
      <c r="AN32" s="292" t="b">
        <f>IFERROR(__xludf.DUMMYFUNCTION("""COMPUTED_VALUE"""),FALSE)</f>
        <v>0</v>
      </c>
      <c r="AO32" s="292" t="str">
        <f>IFERROR(__xludf.DUMMYFUNCTION("""COMPUTED_VALUE"""),"FALSE")</f>
        <v>FALSE</v>
      </c>
      <c r="AP32" s="292" t="str">
        <f>IFERROR(__xludf.DUMMYFUNCTION("""COMPUTED_VALUE"""),"Chicken breast")</f>
        <v>Chicken breast</v>
      </c>
      <c r="AQ32" s="292" t="str">
        <f>IFERROR(__xludf.DUMMYFUNCTION("""COMPUTED_VALUE"""),"Chicken")</f>
        <v>Chicken</v>
      </c>
      <c r="AR32" s="292" t="str">
        <f>IFERROR(__xludf.DUMMYFUNCTION("""COMPUTED_VALUE"""),"Breast")</f>
        <v>Breast</v>
      </c>
      <c r="AS32" s="292" t="str">
        <f>IFERROR(__xludf.DUMMYFUNCTION("""COMPUTED_VALUE"""),"vegetable dip")</f>
        <v>vegetable dip</v>
      </c>
      <c r="AT32" s="292" t="str">
        <f>IFERROR(__xludf.DUMMYFUNCTION("""COMPUTED_VALUE"""),"Zucchini Diced")</f>
        <v>Zucchini Diced</v>
      </c>
      <c r="AU32" s="292" t="str">
        <f>IFERROR(__xludf.DUMMYFUNCTION("""COMPUTED_VALUE"""),"Compound Butter")</f>
        <v>Compound Butter</v>
      </c>
      <c r="AV32" s="292" t="str">
        <f>IFERROR(__xludf.DUMMYFUNCTION("""COMPUTED_VALUE"""),"Cherry Tomatoes")</f>
        <v>Cherry Tomatoes</v>
      </c>
      <c r="AW32" s="292" t="str">
        <f>IFERROR(__xludf.DUMMYFUNCTION("""COMPUTED_VALUE"""),"Year Round")</f>
        <v>Year Round</v>
      </c>
      <c r="AX32" s="292" t="str">
        <f>IFERROR(__xludf.DUMMYFUNCTION("""COMPUTED_VALUE"""),"American")</f>
        <v>American</v>
      </c>
      <c r="AY32" s="292"/>
      <c r="AZ32" s="292" t="str">
        <f>IFERROR(__xludf.DUMMYFUNCTION("""COMPUTED_VALUE"""),"2 CT")</f>
        <v>2 CT</v>
      </c>
      <c r="BA32" s="292" t="b">
        <f>IFERROR(__xludf.DUMMYFUNCTION("""COMPUTED_VALUE"""),FALSE)</f>
        <v>0</v>
      </c>
      <c r="BB32" s="342">
        <f>IFERROR(__xludf.DUMMYFUNCTION("""COMPUTED_VALUE"""),2.94)</f>
        <v>2.94</v>
      </c>
      <c r="BC32" s="342">
        <f>IFERROR(__xludf.DUMMYFUNCTION("""COMPUTED_VALUE"""),1.15)</f>
        <v>1.15</v>
      </c>
      <c r="BD32" s="342">
        <f>IFERROR(__xludf.DUMMYFUNCTION("""COMPUTED_VALUE"""),0.362)</f>
        <v>0.362</v>
      </c>
      <c r="BE32" s="342">
        <f>IFERROR(__xludf.DUMMYFUNCTION("""COMPUTED_VALUE"""),0.89)</f>
        <v>0.89</v>
      </c>
      <c r="BF32" s="296" t="str">
        <f>IFERROR(__xludf.DUMMYFUNCTION("""COMPUTED_VALUE"""),"#REF!")</f>
        <v>#REF!</v>
      </c>
      <c r="BG32" s="296" t="str">
        <f>IFERROR(__xludf.DUMMYFUNCTION("""COMPUTED_VALUE"""),"#REF!")</f>
        <v>#REF!</v>
      </c>
      <c r="BH32" s="296" t="str">
        <f>IFERROR(__xludf.DUMMYFUNCTION("""COMPUTED_VALUE"""),"#REF!")</f>
        <v>#REF!</v>
      </c>
      <c r="BI32" s="295">
        <f>IFERROR(__xludf.DUMMYFUNCTION("""COMPUTED_VALUE"""),209.0)</f>
        <v>209</v>
      </c>
      <c r="BJ32" s="295" t="str">
        <f>IFERROR(__xludf.DUMMYFUNCTION("""COMPUTED_VALUE"""),"FALSE")</f>
        <v>FALSE</v>
      </c>
      <c r="BK32" s="346">
        <f>IFERROR(__xludf.DUMMYFUNCTION("""COMPUTED_VALUE"""),2169.0)</f>
        <v>2169</v>
      </c>
      <c r="BL32" s="292" t="str">
        <f>IFERROR(__xludf.DUMMYFUNCTION("""COMPUTED_VALUE"""),"US")</f>
        <v>US</v>
      </c>
      <c r="BM32" s="292" t="str">
        <f>IFERROR(__xludf.DUMMYFUNCTION("""COMPUTED_VALUE"""),"#N/A")</f>
        <v>#N/A</v>
      </c>
      <c r="BN32" s="292"/>
      <c r="BO32" s="292"/>
      <c r="BP32" s="292"/>
      <c r="BQ32" s="292" t="str">
        <f>IFERROR(__xludf.DUMMYFUNCTION("""COMPUTED_VALUE"""),"Graveyard")</f>
        <v>Graveyard</v>
      </c>
      <c r="BR32" s="292" t="b">
        <f>IFERROR(__xludf.DUMMYFUNCTION("""COMPUTED_VALUE"""),FALSE)</f>
        <v>0</v>
      </c>
      <c r="BS32" s="292" t="b">
        <f>IFERROR(__xludf.DUMMYFUNCTION("""COMPUTED_VALUE"""),FALSE)</f>
        <v>0</v>
      </c>
      <c r="BT32" s="345">
        <f>IFERROR(__xludf.DUMMYFUNCTION("""COMPUTED_VALUE"""),532.0)</f>
        <v>532</v>
      </c>
      <c r="BU32" s="345">
        <f>IFERROR(__xludf.DUMMYFUNCTION("""COMPUTED_VALUE"""),128.0)</f>
        <v>128</v>
      </c>
      <c r="BV32" s="344">
        <f>IFERROR(__xludf.DUMMYFUNCTION("""COMPUTED_VALUE"""),8.6)</f>
        <v>8.6</v>
      </c>
      <c r="BW32" s="344">
        <f>IFERROR(__xludf.DUMMYFUNCTION("""COMPUTED_VALUE"""),4.4)</f>
        <v>4.4</v>
      </c>
    </row>
    <row r="33">
      <c r="A33" s="292" t="str">
        <f>IFERROR(__xludf.DUMMYFUNCTION("""COMPUTED_VALUE"""),"FE0224C")</f>
        <v>FE0224C</v>
      </c>
      <c r="B33" s="292" t="str">
        <f>IFERROR(__xludf.DUMMYFUNCTION("""COMPUTED_VALUE"""),"CON-40-143681-4")</f>
        <v>CON-40-143681-4</v>
      </c>
      <c r="C33" s="292" t="str">
        <f>IFERROR(__xludf.DUMMYFUNCTION("""COMPUTED_VALUE"""),"CON-00-147827-2")</f>
        <v>CON-00-147827-2</v>
      </c>
      <c r="D33" s="292" t="str">
        <f>IFERROR(__xludf.DUMMYFUNCTION("""COMPUTED_VALUE"""),"CON-00-136620-3")</f>
        <v>CON-00-136620-3</v>
      </c>
      <c r="E33" s="292" t="str">
        <f>IFERROR(__xludf.DUMMYFUNCTION("""COMPUTED_VALUE"""),"Chicken à la Florentine")</f>
        <v>Chicken à la Florentine</v>
      </c>
      <c r="F33" s="292" t="str">
        <f>IFERROR(__xludf.DUMMYFUNCTION("""COMPUTED_VALUE"""),"with creamy polenta, garlic spinach and cauliflower")</f>
        <v>with creamy polenta, garlic spinach and cauliflower</v>
      </c>
      <c r="G33" s="292" t="str">
        <f>IFERROR(__xludf.DUMMYFUNCTION("""COMPUTED_VALUE"""),"Kipfilet à la Florentine ")</f>
        <v>Kipfilet à la Florentine </v>
      </c>
      <c r="H33" s="292" t="str">
        <f>IFERROR(__xludf.DUMMYFUNCTION("""COMPUTED_VALUE"""),"met romige polenta, knoflookspinazie en bloemkool")</f>
        <v>met romige polenta, knoflookspinazie en bloemkool</v>
      </c>
      <c r="I33" s="292" t="str">
        <f>IFERROR(__xludf.DUMMYFUNCTION("""COMPUTED_VALUE"""),"Kylling à la Florentine")</f>
        <v>Kylling à la Florentine</v>
      </c>
      <c r="J33" s="292" t="str">
        <f>IFERROR(__xludf.DUMMYFUNCTION("""COMPUTED_VALUE"""),"Hähnchen à la Florentine")</f>
        <v>Hähnchen à la Florentine</v>
      </c>
      <c r="K33" s="292">
        <f>IFERROR(__xludf.DUMMYFUNCTION("""COMPUTED_VALUE"""),565047.0)</f>
        <v>565047</v>
      </c>
      <c r="L33" s="292" t="str">
        <f>IFERROR(__xludf.DUMMYFUNCTION("""COMPUTED_VALUE"""),"HF Kip Florentine 404g")</f>
        <v>HF Kip Florentine 404g</v>
      </c>
      <c r="M33" s="292" t="str">
        <f>IFERROR(__xludf.DUMMYFUNCTION("""COMPUTED_VALUE"""),"FA-NL Kipfilet à la Florentine (FE0224)")</f>
        <v>FA-NL Kipfilet à la Florentine (FE0224)</v>
      </c>
      <c r="N33" s="292" t="str">
        <f>IFERROR(__xludf.DUMMYFUNCTION("""COMPUTED_VALUE"""),"FA-NO Kylling à la Florentine (FE0224)")</f>
        <v>FA-NO Kylling à la Florentine (FE0224)</v>
      </c>
      <c r="O33" s="292" t="str">
        <f>IFERROR(__xludf.DUMMYFUNCTION("""COMPUTED_VALUE"""),"FA-DE Hähnchen à la Florentine (FE0224)")</f>
        <v>FA-DE Hähnchen à la Florentine (FE0224)</v>
      </c>
      <c r="P33" s="292" t="str">
        <f>IFERROR(__xludf.DUMMYFUNCTION("""COMPUTED_VALUE"""),"Active")</f>
        <v>Active</v>
      </c>
      <c r="Q33" s="292"/>
      <c r="R33" s="342">
        <f>IFERROR(__xludf.DUMMYFUNCTION("""COMPUTED_VALUE"""),4.22)</f>
        <v>4.22</v>
      </c>
      <c r="S33" s="298">
        <f>IFERROR(__xludf.DUMMYFUNCTION("""COMPUTED_VALUE"""),0.052)</f>
        <v>0.052</v>
      </c>
      <c r="T33" s="343">
        <f>IFERROR(__xludf.DUMMYFUNCTION("""COMPUTED_VALUE"""),3.53)</f>
        <v>3.53</v>
      </c>
      <c r="U33" s="292">
        <f>IFERROR(__xludf.DUMMYFUNCTION("""COMPUTED_VALUE"""),2825.0)</f>
        <v>2825</v>
      </c>
      <c r="V33" s="292"/>
      <c r="W33" s="292" t="b">
        <f>IFERROR(__xludf.DUMMYFUNCTION("""COMPUTED_VALUE"""),TRUE)</f>
        <v>1</v>
      </c>
      <c r="X33" s="345">
        <f>IFERROR(__xludf.DUMMYFUNCTION("""COMPUTED_VALUE"""),404.0)</f>
        <v>404</v>
      </c>
      <c r="Y33" s="344">
        <f>IFERROR(__xludf.DUMMYFUNCTION("""COMPUTED_VALUE"""),479.0)</f>
        <v>479</v>
      </c>
      <c r="Z33" s="343">
        <f>IFERROR(__xludf.DUMMYFUNCTION("""COMPUTED_VALUE"""),23.2)</f>
        <v>23.2</v>
      </c>
      <c r="AA33" s="344">
        <f>IFERROR(__xludf.DUMMYFUNCTION("""COMPUTED_VALUE"""),10.7)</f>
        <v>10.7</v>
      </c>
      <c r="AB33" s="344">
        <f>IFERROR(__xludf.DUMMYFUNCTION("""COMPUTED_VALUE"""),22.4)</f>
        <v>22.4</v>
      </c>
      <c r="AC33" s="344">
        <f>IFERROR(__xludf.DUMMYFUNCTION("""COMPUTED_VALUE"""),11.9)</f>
        <v>11.9</v>
      </c>
      <c r="AD33" s="344">
        <f>IFERROR(__xludf.DUMMYFUNCTION("""COMPUTED_VALUE"""),5.5)</f>
        <v>5.5</v>
      </c>
      <c r="AE33" s="343">
        <f>IFERROR(__xludf.DUMMYFUNCTION("""COMPUTED_VALUE"""),41.4)</f>
        <v>41.4</v>
      </c>
      <c r="AF33" s="343">
        <f>IFERROR(__xludf.DUMMYFUNCTION("""COMPUTED_VALUE"""),2.05)</f>
        <v>2.05</v>
      </c>
      <c r="AG33" s="292" t="b">
        <f>IFERROR(__xludf.DUMMYFUNCTION("""COMPUTED_VALUE"""),FALSE)</f>
        <v>0</v>
      </c>
      <c r="AH33" s="292" t="b">
        <f>IFERROR(__xludf.DUMMYFUNCTION("""COMPUTED_VALUE"""),FALSE)</f>
        <v>0</v>
      </c>
      <c r="AI33" s="292" t="b">
        <f>IFERROR(__xludf.DUMMYFUNCTION("""COMPUTED_VALUE"""),TRUE)</f>
        <v>1</v>
      </c>
      <c r="AJ33" s="292" t="b">
        <f>IFERROR(__xludf.DUMMYFUNCTION("""COMPUTED_VALUE"""),FALSE)</f>
        <v>0</v>
      </c>
      <c r="AK33" s="292" t="b">
        <f>IFERROR(__xludf.DUMMYFUNCTION("""COMPUTED_VALUE"""),FALSE)</f>
        <v>0</v>
      </c>
      <c r="AL33" s="292" t="b">
        <f>IFERROR(__xludf.DUMMYFUNCTION("""COMPUTED_VALUE"""),FALSE)</f>
        <v>0</v>
      </c>
      <c r="AM33" s="292" t="b">
        <f>IFERROR(__xludf.DUMMYFUNCTION("""COMPUTED_VALUE"""),TRUE)</f>
        <v>1</v>
      </c>
      <c r="AN33" s="292" t="b">
        <f>IFERROR(__xludf.DUMMYFUNCTION("""COMPUTED_VALUE"""),FALSE)</f>
        <v>0</v>
      </c>
      <c r="AO33" s="292" t="str">
        <f>IFERROR(__xludf.DUMMYFUNCTION("""COMPUTED_VALUE"""),"FALSE")</f>
        <v>FALSE</v>
      </c>
      <c r="AP33" s="292" t="str">
        <f>IFERROR(__xludf.DUMMYFUNCTION("""COMPUTED_VALUE"""),"Chicken breast")</f>
        <v>Chicken breast</v>
      </c>
      <c r="AQ33" s="292" t="str">
        <f>IFERROR(__xludf.DUMMYFUNCTION("""COMPUTED_VALUE"""),"Chicken")</f>
        <v>Chicken</v>
      </c>
      <c r="AR33" s="292" t="str">
        <f>IFERROR(__xludf.DUMMYFUNCTION("""COMPUTED_VALUE"""),"Breast")</f>
        <v>Breast</v>
      </c>
      <c r="AS33" s="292" t="str">
        <f>IFERROR(__xludf.DUMMYFUNCTION("""COMPUTED_VALUE"""),"Polenta/Grits")</f>
        <v>Polenta/Grits</v>
      </c>
      <c r="AT33" s="292" t="str">
        <f>IFERROR(__xludf.DUMMYFUNCTION("""COMPUTED_VALUE"""),"Spinach")</f>
        <v>Spinach</v>
      </c>
      <c r="AU33" s="292" t="str">
        <f>IFERROR(__xludf.DUMMYFUNCTION("""COMPUTED_VALUE"""),"Cauliflower Florets")</f>
        <v>Cauliflower Florets</v>
      </c>
      <c r="AV33" s="292" t="str">
        <f>IFERROR(__xludf.DUMMYFUNCTION("""COMPUTED_VALUE"""),"Cheese")</f>
        <v>Cheese</v>
      </c>
      <c r="AW33" s="292" t="str">
        <f>IFERROR(__xludf.DUMMYFUNCTION("""COMPUTED_VALUE"""),"Year Round")</f>
        <v>Year Round</v>
      </c>
      <c r="AX33" s="292" t="str">
        <f>IFERROR(__xludf.DUMMYFUNCTION("""COMPUTED_VALUE"""),"Italian")</f>
        <v>Italian</v>
      </c>
      <c r="AY33" s="292"/>
      <c r="AZ33" s="292" t="str">
        <f>IFERROR(__xludf.DUMMYFUNCTION("""COMPUTED_VALUE"""),"2 CT")</f>
        <v>2 CT</v>
      </c>
      <c r="BA33" s="292" t="b">
        <f>IFERROR(__xludf.DUMMYFUNCTION("""COMPUTED_VALUE"""),FALSE)</f>
        <v>0</v>
      </c>
      <c r="BB33" s="342">
        <f>IFERROR(__xludf.DUMMYFUNCTION("""COMPUTED_VALUE"""),1.95)</f>
        <v>1.95</v>
      </c>
      <c r="BC33" s="342">
        <f>IFERROR(__xludf.DUMMYFUNCTION("""COMPUTED_VALUE"""),1.02)</f>
        <v>1.02</v>
      </c>
      <c r="BD33" s="342">
        <f>IFERROR(__xludf.DUMMYFUNCTION("""COMPUTED_VALUE"""),0.36)</f>
        <v>0.36</v>
      </c>
      <c r="BE33" s="342">
        <f>IFERROR(__xludf.DUMMYFUNCTION("""COMPUTED_VALUE"""),0.89)</f>
        <v>0.89</v>
      </c>
      <c r="BF33" s="296">
        <f>IFERROR(__xludf.DUMMYFUNCTION("""COMPUTED_VALUE"""),3.3166666666666664)</f>
        <v>3.316666667</v>
      </c>
      <c r="BG33" s="296">
        <f>IFERROR(__xludf.DUMMYFUNCTION("""COMPUTED_VALUE"""),3.34)</f>
        <v>3.34</v>
      </c>
      <c r="BH33" s="296">
        <f>IFERROR(__xludf.DUMMYFUNCTION("""COMPUTED_VALUE"""),3.246666666666666)</f>
        <v>3.246666667</v>
      </c>
      <c r="BI33" s="295">
        <f>IFERROR(__xludf.DUMMYFUNCTION("""COMPUTED_VALUE"""),174.0)</f>
        <v>174</v>
      </c>
      <c r="BJ33" s="295" t="str">
        <f>IFERROR(__xludf.DUMMYFUNCTION("""COMPUTED_VALUE"""),"FALSE")</f>
        <v>FALSE</v>
      </c>
      <c r="BK33" s="346">
        <f>IFERROR(__xludf.DUMMYFUNCTION("""COMPUTED_VALUE"""),2004.0)</f>
        <v>2004</v>
      </c>
      <c r="BL33" s="292" t="str">
        <f>IFERROR(__xludf.DUMMYFUNCTION("""COMPUTED_VALUE"""),"US")</f>
        <v>US</v>
      </c>
      <c r="BM33" s="292" t="str">
        <f>IFERROR(__xludf.DUMMYFUNCTION("""COMPUTED_VALUE"""),"#N/A")</f>
        <v>#N/A</v>
      </c>
      <c r="BN33" s="343">
        <f>IFERROR(__xludf.DUMMYFUNCTION("""COMPUTED_VALUE"""),3.36)</f>
        <v>3.36</v>
      </c>
      <c r="BO33" s="343">
        <f>IFERROR(__xludf.DUMMYFUNCTION("""COMPUTED_VALUE"""),3.22)</f>
        <v>3.22</v>
      </c>
      <c r="BP33" s="292"/>
      <c r="BQ33" s="292" t="str">
        <f>IFERROR(__xludf.DUMMYFUNCTION("""COMPUTED_VALUE"""),"Active")</f>
        <v>Active</v>
      </c>
      <c r="BR33" s="344" t="b">
        <f>IFERROR(__xludf.DUMMYFUNCTION("""COMPUTED_VALUE"""),FALSE)</f>
        <v>0</v>
      </c>
      <c r="BS33" s="292" t="b">
        <f>IFERROR(__xludf.DUMMYFUNCTION("""COMPUTED_VALUE"""),FALSE)</f>
        <v>0</v>
      </c>
      <c r="BT33" s="345">
        <f>IFERROR(__xludf.DUMMYFUNCTION("""COMPUTED_VALUE"""),497.0)</f>
        <v>497</v>
      </c>
      <c r="BU33" s="345">
        <f>IFERROR(__xludf.DUMMYFUNCTION("""COMPUTED_VALUE"""),119.0)</f>
        <v>119</v>
      </c>
      <c r="BV33" s="344">
        <f>IFERROR(__xludf.DUMMYFUNCTION("""COMPUTED_VALUE"""),5.8)</f>
        <v>5.8</v>
      </c>
      <c r="BW33" s="344">
        <f>IFERROR(__xludf.DUMMYFUNCTION("""COMPUTED_VALUE"""),2.7)</f>
        <v>2.7</v>
      </c>
    </row>
    <row r="34">
      <c r="A34" s="292" t="str">
        <f>IFERROR(__xludf.DUMMYFUNCTION("""COMPUTED_VALUE"""),"FE0230D")</f>
        <v>FE0230D</v>
      </c>
      <c r="B34" s="292" t="str">
        <f>IFERROR(__xludf.DUMMYFUNCTION("""COMPUTED_VALUE"""),"CON-40-143673-4")</f>
        <v>CON-40-143673-4</v>
      </c>
      <c r="C34" s="292" t="str">
        <f>IFERROR(__xludf.DUMMYFUNCTION("""COMPUTED_VALUE"""),"CON-00-147828-2")</f>
        <v>CON-00-147828-2</v>
      </c>
      <c r="D34" s="292" t="str">
        <f>IFERROR(__xludf.DUMMYFUNCTION("""COMPUTED_VALUE"""),"CON-00-136642-3")</f>
        <v>CON-00-136642-3</v>
      </c>
      <c r="E34" s="292" t="str">
        <f>IFERROR(__xludf.DUMMYFUNCTION("""COMPUTED_VALUE"""),"Italian style chickpea bowl")</f>
        <v>Italian style chickpea bowl</v>
      </c>
      <c r="F34" s="292" t="str">
        <f>IFERROR(__xludf.DUMMYFUNCTION("""COMPUTED_VALUE"""),"with quinoa, brown rice, courgette, fennel, and red pepper and basil sauce")</f>
        <v>with quinoa, brown rice, courgette, fennel, and red pepper and basil sauce</v>
      </c>
      <c r="G34" s="292" t="str">
        <f>IFERROR(__xludf.DUMMYFUNCTION("""COMPUTED_VALUE"""),"Kikkererwtenbowl op Italiaanse wijze")</f>
        <v>Kikkererwtenbowl op Italiaanse wijze</v>
      </c>
      <c r="H34" s="292" t="str">
        <f>IFERROR(__xludf.DUMMYFUNCTION("""COMPUTED_VALUE"""),"met quinoa, bruine rijst, courgette, venkel, en saus van rode paprika en basilicum")</f>
        <v>met quinoa, bruine rijst, courgette, venkel, en saus van rode paprika en basilicum</v>
      </c>
      <c r="I34" s="292" t="str">
        <f>IFERROR(__xludf.DUMMYFUNCTION("""COMPUTED_VALUE"""),"Italiensk kikærtebowl")</f>
        <v>Italiensk kikærtebowl</v>
      </c>
      <c r="J34" s="292" t="str">
        <f>IFERROR(__xludf.DUMMYFUNCTION("""COMPUTED_VALUE"""),"Kichererbsen-Bowl „Italian Style""")</f>
        <v>Kichererbsen-Bowl „Italian Style"</v>
      </c>
      <c r="K34" s="292">
        <f>IFERROR(__xludf.DUMMYFUNCTION("""COMPUTED_VALUE"""),565045.0)</f>
        <v>565045</v>
      </c>
      <c r="L34" s="292" t="str">
        <f>IFERROR(__xludf.DUMMYFUNCTION("""COMPUTED_VALUE"""),"HF Italian Chickpea Bowl 421g")</f>
        <v>HF Italian Chickpea Bowl 421g</v>
      </c>
      <c r="M34" s="292" t="str">
        <f>IFERROR(__xludf.DUMMYFUNCTION("""COMPUTED_VALUE"""),"FA-NL Kikkererwtenbowl op Italiaanse wijze (FE0230)")</f>
        <v>FA-NL Kikkererwtenbowl op Italiaanse wijze (FE0230)</v>
      </c>
      <c r="N34" s="292" t="str">
        <f>IFERROR(__xludf.DUMMYFUNCTION("""COMPUTED_VALUE"""),"FA-NO Italiensk kikærtebowl (FE0230)")</f>
        <v>FA-NO Italiensk kikærtebowl (FE0230)</v>
      </c>
      <c r="O34" s="292" t="str">
        <f>IFERROR(__xludf.DUMMYFUNCTION("""COMPUTED_VALUE"""),"FA-DE Kichererbsen-Bowl „Italian Style"" (FE0230)")</f>
        <v>FA-DE Kichererbsen-Bowl „Italian Style" (FE0230)</v>
      </c>
      <c r="P34" s="292" t="str">
        <f>IFERROR(__xludf.DUMMYFUNCTION("""COMPUTED_VALUE"""),"Active")</f>
        <v>Active</v>
      </c>
      <c r="Q34" s="292"/>
      <c r="R34" s="342" t="str">
        <f>IFERROR(__xludf.DUMMYFUNCTION("""COMPUTED_VALUE"""),"#N/A")</f>
        <v>#N/A</v>
      </c>
      <c r="S34" s="298">
        <f>IFERROR(__xludf.DUMMYFUNCTION("""COMPUTED_VALUE"""),0.005)</f>
        <v>0.005</v>
      </c>
      <c r="T34" s="343">
        <f>IFERROR(__xludf.DUMMYFUNCTION("""COMPUTED_VALUE"""),3.15)</f>
        <v>3.15</v>
      </c>
      <c r="U34" s="292">
        <f>IFERROR(__xludf.DUMMYFUNCTION("""COMPUTED_VALUE"""),977.0)</f>
        <v>977</v>
      </c>
      <c r="V34" s="292"/>
      <c r="W34" s="292" t="b">
        <f>IFERROR(__xludf.DUMMYFUNCTION("""COMPUTED_VALUE"""),TRUE)</f>
        <v>1</v>
      </c>
      <c r="X34" s="345">
        <f>IFERROR(__xludf.DUMMYFUNCTION("""COMPUTED_VALUE"""),421.0)</f>
        <v>421</v>
      </c>
      <c r="Y34" s="344">
        <f>IFERROR(__xludf.DUMMYFUNCTION("""COMPUTED_VALUE"""),525.0)</f>
        <v>525</v>
      </c>
      <c r="Z34" s="343">
        <f>IFERROR(__xludf.DUMMYFUNCTION("""COMPUTED_VALUE"""),26.2)</f>
        <v>26.2</v>
      </c>
      <c r="AA34" s="344">
        <f>IFERROR(__xludf.DUMMYFUNCTION("""COMPUTED_VALUE"""),3.8)</f>
        <v>3.8</v>
      </c>
      <c r="AB34" s="344">
        <f>IFERROR(__xludf.DUMMYFUNCTION("""COMPUTED_VALUE"""),47.1)</f>
        <v>47.1</v>
      </c>
      <c r="AC34" s="344">
        <f>IFERROR(__xludf.DUMMYFUNCTION("""COMPUTED_VALUE"""),14.1)</f>
        <v>14.1</v>
      </c>
      <c r="AD34" s="344">
        <f>IFERROR(__xludf.DUMMYFUNCTION("""COMPUTED_VALUE"""),12.9)</f>
        <v>12.9</v>
      </c>
      <c r="AE34" s="343">
        <f>IFERROR(__xludf.DUMMYFUNCTION("""COMPUTED_VALUE"""),16.3)</f>
        <v>16.3</v>
      </c>
      <c r="AF34" s="343">
        <f>IFERROR(__xludf.DUMMYFUNCTION("""COMPUTED_VALUE"""),1.92)</f>
        <v>1.92</v>
      </c>
      <c r="AG34" s="292" t="b">
        <f>IFERROR(__xludf.DUMMYFUNCTION("""COMPUTED_VALUE"""),FALSE)</f>
        <v>0</v>
      </c>
      <c r="AH34" s="292" t="b">
        <f>IFERROR(__xludf.DUMMYFUNCTION("""COMPUTED_VALUE"""),FALSE)</f>
        <v>0</v>
      </c>
      <c r="AI34" s="292" t="b">
        <f>IFERROR(__xludf.DUMMYFUNCTION("""COMPUTED_VALUE"""),TRUE)</f>
        <v>1</v>
      </c>
      <c r="AJ34" s="292" t="b">
        <f>IFERROR(__xludf.DUMMYFUNCTION("""COMPUTED_VALUE"""),FALSE)</f>
        <v>0</v>
      </c>
      <c r="AK34" s="292" t="b">
        <f>IFERROR(__xludf.DUMMYFUNCTION("""COMPUTED_VALUE"""),TRUE)</f>
        <v>1</v>
      </c>
      <c r="AL34" s="292" t="b">
        <f>IFERROR(__xludf.DUMMYFUNCTION("""COMPUTED_VALUE"""),FALSE)</f>
        <v>0</v>
      </c>
      <c r="AM34" s="292" t="b">
        <f>IFERROR(__xludf.DUMMYFUNCTION("""COMPUTED_VALUE"""),FALSE)</f>
        <v>0</v>
      </c>
      <c r="AN34" s="292" t="b">
        <f>IFERROR(__xludf.DUMMYFUNCTION("""COMPUTED_VALUE"""),FALSE)</f>
        <v>0</v>
      </c>
      <c r="AO34" s="292" t="str">
        <f>IFERROR(__xludf.DUMMYFUNCTION("""COMPUTED_VALUE"""),"TRUE")</f>
        <v>TRUE</v>
      </c>
      <c r="AP34" s="292" t="str">
        <f>IFERROR(__xludf.DUMMYFUNCTION("""COMPUTED_VALUE"""),"Vegetarian")</f>
        <v>Vegetarian</v>
      </c>
      <c r="AQ34" s="292" t="str">
        <f>IFERROR(__xludf.DUMMYFUNCTION("""COMPUTED_VALUE"""),"Vegetarian")</f>
        <v>Vegetarian</v>
      </c>
      <c r="AR34" s="292" t="str">
        <f>IFERROR(__xludf.DUMMYFUNCTION("""COMPUTED_VALUE"""),"Legumes")</f>
        <v>Legumes</v>
      </c>
      <c r="AS34" s="292" t="str">
        <f>IFERROR(__xludf.DUMMYFUNCTION("""COMPUTED_VALUE"""),"Grain Mix")</f>
        <v>Grain Mix</v>
      </c>
      <c r="AT34" s="292" t="str">
        <f>IFERROR(__xludf.DUMMYFUNCTION("""COMPUTED_VALUE"""),"Chickpeas")</f>
        <v>Chickpeas</v>
      </c>
      <c r="AU34" s="292" t="str">
        <f>IFERROR(__xludf.DUMMYFUNCTION("""COMPUTED_VALUE"""),"Zucchini Diced")</f>
        <v>Zucchini Diced</v>
      </c>
      <c r="AV34" s="292" t="str">
        <f>IFERROR(__xludf.DUMMYFUNCTION("""COMPUTED_VALUE"""),"Pepper Mix")</f>
        <v>Pepper Mix</v>
      </c>
      <c r="AW34" s="292" t="str">
        <f>IFERROR(__xludf.DUMMYFUNCTION("""COMPUTED_VALUE"""),"Year Round")</f>
        <v>Year Round</v>
      </c>
      <c r="AX34" s="292" t="str">
        <f>IFERROR(__xludf.DUMMYFUNCTION("""COMPUTED_VALUE"""),"Italian")</f>
        <v>Italian</v>
      </c>
      <c r="AY34" s="292"/>
      <c r="AZ34" s="292" t="str">
        <f>IFERROR(__xludf.DUMMYFUNCTION("""COMPUTED_VALUE"""),"2 CT")</f>
        <v>2 CT</v>
      </c>
      <c r="BA34" s="292" t="b">
        <f>IFERROR(__xludf.DUMMYFUNCTION("""COMPUTED_VALUE"""),TRUE)</f>
        <v>1</v>
      </c>
      <c r="BB34" s="342" t="str">
        <f>IFERROR(__xludf.DUMMYFUNCTION("""COMPUTED_VALUE"""),"#N/A")</f>
        <v>#N/A</v>
      </c>
      <c r="BC34" s="342" t="str">
        <f>IFERROR(__xludf.DUMMYFUNCTION("""COMPUTED_VALUE"""),"#N/A")</f>
        <v>#N/A</v>
      </c>
      <c r="BD34" s="342" t="str">
        <f>IFERROR(__xludf.DUMMYFUNCTION("""COMPUTED_VALUE"""),"#N/A")</f>
        <v>#N/A</v>
      </c>
      <c r="BE34" s="342">
        <f>IFERROR(__xludf.DUMMYFUNCTION("""COMPUTED_VALUE"""),0.89)</f>
        <v>0.89</v>
      </c>
      <c r="BF34" s="296" t="str">
        <f>IFERROR(__xludf.DUMMYFUNCTION("""COMPUTED_VALUE"""),"#REF!")</f>
        <v>#REF!</v>
      </c>
      <c r="BG34" s="296" t="str">
        <f>IFERROR(__xludf.DUMMYFUNCTION("""COMPUTED_VALUE"""),"#REF!")</f>
        <v>#REF!</v>
      </c>
      <c r="BH34" s="296" t="str">
        <f>IFERROR(__xludf.DUMMYFUNCTION("""COMPUTED_VALUE"""),"#REF!")</f>
        <v>#REF!</v>
      </c>
      <c r="BI34" s="295">
        <f>IFERROR(__xludf.DUMMYFUNCTION("""COMPUTED_VALUE"""),183.0)</f>
        <v>183</v>
      </c>
      <c r="BJ34" s="295" t="str">
        <f>IFERROR(__xludf.DUMMYFUNCTION("""COMPUTED_VALUE"""),"FALSE")</f>
        <v>FALSE</v>
      </c>
      <c r="BK34" s="346">
        <f>IFERROR(__xludf.DUMMYFUNCTION("""COMPUTED_VALUE"""),2192.0)</f>
        <v>2192</v>
      </c>
      <c r="BL34" s="292" t="str">
        <f>IFERROR(__xludf.DUMMYFUNCTION("""COMPUTED_VALUE"""),"US")</f>
        <v>US</v>
      </c>
      <c r="BM34" s="292" t="str">
        <f>IFERROR(__xludf.DUMMYFUNCTION("""COMPUTED_VALUE"""),"Italiensk kikärtsbowl")</f>
        <v>Italiensk kikärtsbowl</v>
      </c>
      <c r="BN34" s="292"/>
      <c r="BO34" s="292"/>
      <c r="BP34" s="292"/>
      <c r="BQ34" s="292" t="str">
        <f>IFERROR(__xludf.DUMMYFUNCTION("""COMPUTED_VALUE"""),"Active")</f>
        <v>Active</v>
      </c>
      <c r="BR34" s="344" t="b">
        <f>IFERROR(__xludf.DUMMYFUNCTION("""COMPUTED_VALUE"""),FALSE)</f>
        <v>0</v>
      </c>
      <c r="BS34" s="292" t="b">
        <f>IFERROR(__xludf.DUMMYFUNCTION("""COMPUTED_VALUE"""),TRUE)</f>
        <v>1</v>
      </c>
      <c r="BT34" s="345">
        <f>IFERROR(__xludf.DUMMYFUNCTION("""COMPUTED_VALUE"""),521.0)</f>
        <v>521</v>
      </c>
      <c r="BU34" s="345">
        <f>IFERROR(__xludf.DUMMYFUNCTION("""COMPUTED_VALUE"""),125.0)</f>
        <v>125</v>
      </c>
      <c r="BV34" s="344">
        <f>IFERROR(__xludf.DUMMYFUNCTION("""COMPUTED_VALUE"""),6.2)</f>
        <v>6.2</v>
      </c>
      <c r="BW34" s="344">
        <f>IFERROR(__xludf.DUMMYFUNCTION("""COMPUTED_VALUE"""),0.9)</f>
        <v>0.9</v>
      </c>
    </row>
    <row r="35">
      <c r="A35" s="292" t="str">
        <f>IFERROR(__xludf.DUMMYFUNCTION("""COMPUTED_VALUE"""),"FE0232D")</f>
        <v>FE0232D</v>
      </c>
      <c r="B35" s="292" t="str">
        <f>IFERROR(__xludf.DUMMYFUNCTION("""COMPUTED_VALUE"""),"CON-40-143687-4")</f>
        <v>CON-40-143687-4</v>
      </c>
      <c r="C35" s="292" t="str">
        <f>IFERROR(__xludf.DUMMYFUNCTION("""COMPUTED_VALUE"""),"CON-00-147829-2")</f>
        <v>CON-00-147829-2</v>
      </c>
      <c r="D35" s="292" t="str">
        <f>IFERROR(__xludf.DUMMYFUNCTION("""COMPUTED_VALUE"""),"CON-00-136644-3")</f>
        <v>CON-00-136644-3</v>
      </c>
      <c r="E35" s="292" t="str">
        <f>IFERROR(__xludf.DUMMYFUNCTION("""COMPUTED_VALUE"""),"Chicken in Italian herbs and Parmesan cheese")</f>
        <v>Chicken in Italian herbs and Parmesan cheese</v>
      </c>
      <c r="F35" s="292" t="str">
        <f>IFERROR(__xludf.DUMMYFUNCTION("""COMPUTED_VALUE"""),"with garlic and cauliflower puree, roasted green beans and almond ")</f>
        <v>with garlic and cauliflower puree, roasted green beans and almond </v>
      </c>
      <c r="G35" s="292" t="str">
        <f>IFERROR(__xludf.DUMMYFUNCTION("""COMPUTED_VALUE"""),"Kipfilet in Italiaanse kruiden en Parmezaanse kaas")</f>
        <v>Kipfilet in Italiaanse kruiden en Parmezaanse kaas</v>
      </c>
      <c r="H35" s="292" t="str">
        <f>IFERROR(__xludf.DUMMYFUNCTION("""COMPUTED_VALUE"""),"met puree van knoflook en bloemkool, geroosterde sperziebonen en amandelschaafsel")</f>
        <v>met puree van knoflook en bloemkool, geroosterde sperziebonen en amandelschaafsel</v>
      </c>
      <c r="I35" s="292" t="str">
        <f>IFERROR(__xludf.DUMMYFUNCTION("""COMPUTED_VALUE"""),"Kylling i italienske krydderurter og parmesanost")</f>
        <v>Kylling i italienske krydderurter og parmesanost</v>
      </c>
      <c r="J35" s="292" t="str">
        <f>IFERROR(__xludf.DUMMYFUNCTION("""COMPUTED_VALUE"""),"Hähnchen in italienischen Kräutern und Parmesan")</f>
        <v>Hähnchen in italienischen Kräutern und Parmesan</v>
      </c>
      <c r="K35" s="292">
        <f>IFERROR(__xludf.DUMMYFUNCTION("""COMPUTED_VALUE"""),565040.0)</f>
        <v>565040</v>
      </c>
      <c r="L35" s="292" t="str">
        <f>IFERROR(__xludf.DUMMYFUNCTION("""COMPUTED_VALUE"""),"HF Kipfilet met kruidenkorst 332g")</f>
        <v>HF Kipfilet met kruidenkorst 332g</v>
      </c>
      <c r="M35" s="292" t="str">
        <f>IFERROR(__xludf.DUMMYFUNCTION("""COMPUTED_VALUE"""),"FA-NL Kipfilet in Italiaanse kruiden en Parmezaanse kaas (FE0232)")</f>
        <v>FA-NL Kipfilet in Italiaanse kruiden en Parmezaanse kaas (FE0232)</v>
      </c>
      <c r="N35" s="292" t="str">
        <f>IFERROR(__xludf.DUMMYFUNCTION("""COMPUTED_VALUE"""),"FA-NO Kylling i italienske krydderurter og parmesanost (FE0232)")</f>
        <v>FA-NO Kylling i italienske krydderurter og parmesanost (FE0232)</v>
      </c>
      <c r="O35" s="292" t="str">
        <f>IFERROR(__xludf.DUMMYFUNCTION("""COMPUTED_VALUE"""),"FA-DE Huhn in italienischen Kräutern und Parmesan (FE0232)")</f>
        <v>FA-DE Huhn in italienischen Kräutern und Parmesan (FE0232)</v>
      </c>
      <c r="P35" s="292" t="str">
        <f>IFERROR(__xludf.DUMMYFUNCTION("""COMPUTED_VALUE"""),"Hold")</f>
        <v>Hold</v>
      </c>
      <c r="Q35" s="292"/>
      <c r="R35" s="342">
        <f>IFERROR(__xludf.DUMMYFUNCTION("""COMPUTED_VALUE"""),4.26)</f>
        <v>4.26</v>
      </c>
      <c r="S35" s="298">
        <f>IFERROR(__xludf.DUMMYFUNCTION("""COMPUTED_VALUE"""),0.07434666074294048)</f>
        <v>0.07434666074</v>
      </c>
      <c r="T35" s="343">
        <f>IFERROR(__xludf.DUMMYFUNCTION("""COMPUTED_VALUE"""),3.650409180778819)</f>
        <v>3.650409181</v>
      </c>
      <c r="U35" s="292">
        <f>IFERROR(__xludf.DUMMYFUNCTION("""COMPUTED_VALUE"""),32895.0)</f>
        <v>32895</v>
      </c>
      <c r="V35" s="292"/>
      <c r="W35" s="292" t="b">
        <f>IFERROR(__xludf.DUMMYFUNCTION("""COMPUTED_VALUE"""),TRUE)</f>
        <v>1</v>
      </c>
      <c r="X35" s="345">
        <f>IFERROR(__xludf.DUMMYFUNCTION("""COMPUTED_VALUE"""),332.0)</f>
        <v>332</v>
      </c>
      <c r="Y35" s="344">
        <f>IFERROR(__xludf.DUMMYFUNCTION("""COMPUTED_VALUE"""),675.0)</f>
        <v>675</v>
      </c>
      <c r="Z35" s="343">
        <f>IFERROR(__xludf.DUMMYFUNCTION("""COMPUTED_VALUE"""),50.6)</f>
        <v>50.6</v>
      </c>
      <c r="AA35" s="344">
        <f>IFERROR(__xludf.DUMMYFUNCTION("""COMPUTED_VALUE"""),25.2)</f>
        <v>25.2</v>
      </c>
      <c r="AB35" s="344">
        <f>IFERROR(__xludf.DUMMYFUNCTION("""COMPUTED_VALUE"""),9.7)</f>
        <v>9.7</v>
      </c>
      <c r="AC35" s="344">
        <f>IFERROR(__xludf.DUMMYFUNCTION("""COMPUTED_VALUE"""),6.2)</f>
        <v>6.2</v>
      </c>
      <c r="AD35" s="344">
        <f>IFERROR(__xludf.DUMMYFUNCTION("""COMPUTED_VALUE"""),8.3)</f>
        <v>8.3</v>
      </c>
      <c r="AE35" s="343">
        <f>IFERROR(__xludf.DUMMYFUNCTION("""COMPUTED_VALUE"""),40.9)</f>
        <v>40.9</v>
      </c>
      <c r="AF35" s="343">
        <f>IFERROR(__xludf.DUMMYFUNCTION("""COMPUTED_VALUE"""),2.0)</f>
        <v>2</v>
      </c>
      <c r="AG35" s="292" t="b">
        <f>IFERROR(__xludf.DUMMYFUNCTION("""COMPUTED_VALUE"""),FALSE)</f>
        <v>0</v>
      </c>
      <c r="AH35" s="292" t="b">
        <f>IFERROR(__xludf.DUMMYFUNCTION("""COMPUTED_VALUE"""),TRUE)</f>
        <v>1</v>
      </c>
      <c r="AI35" s="292" t="b">
        <f>IFERROR(__xludf.DUMMYFUNCTION("""COMPUTED_VALUE"""),FALSE)</f>
        <v>0</v>
      </c>
      <c r="AJ35" s="292" t="b">
        <f>IFERROR(__xludf.DUMMYFUNCTION("""COMPUTED_VALUE"""),FALSE)</f>
        <v>0</v>
      </c>
      <c r="AK35" s="292" t="b">
        <f>IFERROR(__xludf.DUMMYFUNCTION("""COMPUTED_VALUE"""),FALSE)</f>
        <v>0</v>
      </c>
      <c r="AL35" s="292" t="b">
        <f>IFERROR(__xludf.DUMMYFUNCTION("""COMPUTED_VALUE"""),FALSE)</f>
        <v>0</v>
      </c>
      <c r="AM35" s="292" t="b">
        <f>IFERROR(__xludf.DUMMYFUNCTION("""COMPUTED_VALUE"""),TRUE)</f>
        <v>1</v>
      </c>
      <c r="AN35" s="292" t="b">
        <f>IFERROR(__xludf.DUMMYFUNCTION("""COMPUTED_VALUE"""),FALSE)</f>
        <v>0</v>
      </c>
      <c r="AO35" s="292" t="str">
        <f>IFERROR(__xludf.DUMMYFUNCTION("""COMPUTED_VALUE"""),"FALSE")</f>
        <v>FALSE</v>
      </c>
      <c r="AP35" s="292" t="str">
        <f>IFERROR(__xludf.DUMMYFUNCTION("""COMPUTED_VALUE"""),"Chicken breast")</f>
        <v>Chicken breast</v>
      </c>
      <c r="AQ35" s="292" t="str">
        <f>IFERROR(__xludf.DUMMYFUNCTION("""COMPUTED_VALUE"""),"Chicken")</f>
        <v>Chicken</v>
      </c>
      <c r="AR35" s="292" t="str">
        <f>IFERROR(__xludf.DUMMYFUNCTION("""COMPUTED_VALUE"""),"Breast")</f>
        <v>Breast</v>
      </c>
      <c r="AS35" s="292" t="str">
        <f>IFERROR(__xludf.DUMMYFUNCTION("""COMPUTED_VALUE"""),"Cauliflower Mash")</f>
        <v>Cauliflower Mash</v>
      </c>
      <c r="AT35" s="292" t="str">
        <f>IFERROR(__xludf.DUMMYFUNCTION("""COMPUTED_VALUE"""),"Green Beans")</f>
        <v>Green Beans</v>
      </c>
      <c r="AU35" s="292"/>
      <c r="AV35" s="292" t="str">
        <f>IFERROR(__xludf.DUMMYFUNCTION("""COMPUTED_VALUE"""),"Nuts")</f>
        <v>Nuts</v>
      </c>
      <c r="AW35" s="292" t="str">
        <f>IFERROR(__xludf.DUMMYFUNCTION("""COMPUTED_VALUE"""),"Year Round")</f>
        <v>Year Round</v>
      </c>
      <c r="AX35" s="292" t="str">
        <f>IFERROR(__xludf.DUMMYFUNCTION("""COMPUTED_VALUE"""),"Italian")</f>
        <v>Italian</v>
      </c>
      <c r="AY35" s="292"/>
      <c r="AZ35" s="292" t="str">
        <f>IFERROR(__xludf.DUMMYFUNCTION("""COMPUTED_VALUE"""),"2 CT")</f>
        <v>2 CT</v>
      </c>
      <c r="BA35" s="292" t="b">
        <f>IFERROR(__xludf.DUMMYFUNCTION("""COMPUTED_VALUE"""),FALSE)</f>
        <v>0</v>
      </c>
      <c r="BB35" s="342">
        <f>IFERROR(__xludf.DUMMYFUNCTION("""COMPUTED_VALUE"""),2.16)</f>
        <v>2.16</v>
      </c>
      <c r="BC35" s="342">
        <f>IFERROR(__xludf.DUMMYFUNCTION("""COMPUTED_VALUE"""),0.9)</f>
        <v>0.9</v>
      </c>
      <c r="BD35" s="342">
        <f>IFERROR(__xludf.DUMMYFUNCTION("""COMPUTED_VALUE"""),0.362)</f>
        <v>0.362</v>
      </c>
      <c r="BE35" s="342">
        <f>IFERROR(__xludf.DUMMYFUNCTION("""COMPUTED_VALUE"""),0.89)</f>
        <v>0.89</v>
      </c>
      <c r="BF35" s="296" t="str">
        <f>IFERROR(__xludf.DUMMYFUNCTION("""COMPUTED_VALUE"""),"#REF!")</f>
        <v>#REF!</v>
      </c>
      <c r="BG35" s="296" t="str">
        <f>IFERROR(__xludf.DUMMYFUNCTION("""COMPUTED_VALUE"""),"#REF!")</f>
        <v>#REF!</v>
      </c>
      <c r="BH35" s="296" t="str">
        <f>IFERROR(__xludf.DUMMYFUNCTION("""COMPUTED_VALUE"""),"#REF!")</f>
        <v>#REF!</v>
      </c>
      <c r="BI35" s="295">
        <f>IFERROR(__xludf.DUMMYFUNCTION("""COMPUTED_VALUE"""),150.0)</f>
        <v>150</v>
      </c>
      <c r="BJ35" s="295" t="str">
        <f>IFERROR(__xludf.DUMMYFUNCTION("""COMPUTED_VALUE"""),"FALSE")</f>
        <v>FALSE</v>
      </c>
      <c r="BK35" s="346">
        <f>IFERROR(__xludf.DUMMYFUNCTION("""COMPUTED_VALUE"""),2803.0)</f>
        <v>2803</v>
      </c>
      <c r="BL35" s="292" t="str">
        <f>IFERROR(__xludf.DUMMYFUNCTION("""COMPUTED_VALUE"""),"US")</f>
        <v>US</v>
      </c>
      <c r="BM35" s="292" t="str">
        <f>IFERROR(__xludf.DUMMYFUNCTION("""COMPUTED_VALUE"""),"Kyckling med italienska örter och parmesanost")</f>
        <v>Kyckling med italienska örter och parmesanost</v>
      </c>
      <c r="BN35" s="292"/>
      <c r="BO35" s="292"/>
      <c r="BP35" s="292"/>
      <c r="BQ35" s="292" t="str">
        <f>IFERROR(__xludf.DUMMYFUNCTION("""COMPUTED_VALUE"""),"Hold")</f>
        <v>Hold</v>
      </c>
      <c r="BR35" s="292" t="b">
        <f>IFERROR(__xludf.DUMMYFUNCTION("""COMPUTED_VALUE"""),FALSE)</f>
        <v>0</v>
      </c>
      <c r="BS35" s="292" t="b">
        <f>IFERROR(__xludf.DUMMYFUNCTION("""COMPUTED_VALUE"""),FALSE)</f>
        <v>0</v>
      </c>
      <c r="BT35" s="345">
        <f>IFERROR(__xludf.DUMMYFUNCTION("""COMPUTED_VALUE"""),844.0)</f>
        <v>844</v>
      </c>
      <c r="BU35" s="345">
        <f>IFERROR(__xludf.DUMMYFUNCTION("""COMPUTED_VALUE"""),203.0)</f>
        <v>203</v>
      </c>
      <c r="BV35" s="344">
        <f>IFERROR(__xludf.DUMMYFUNCTION("""COMPUTED_VALUE"""),15.2)</f>
        <v>15.2</v>
      </c>
      <c r="BW35" s="344">
        <f>IFERROR(__xludf.DUMMYFUNCTION("""COMPUTED_VALUE"""),7.6)</f>
        <v>7.6</v>
      </c>
    </row>
    <row r="36">
      <c r="A36" s="292" t="str">
        <f>IFERROR(__xludf.DUMMYFUNCTION("""COMPUTED_VALUE"""),"FE0238B")</f>
        <v>FE0238B</v>
      </c>
      <c r="B36" s="292" t="str">
        <f>IFERROR(__xludf.DUMMYFUNCTION("""COMPUTED_VALUE"""),"CON-40-143691-4")</f>
        <v>CON-40-143691-4</v>
      </c>
      <c r="C36" s="292"/>
      <c r="D36" s="292" t="str">
        <f>IFERROR(__xludf.DUMMYFUNCTION("""COMPUTED_VALUE"""),"CON-00-136640-3")</f>
        <v>CON-00-136640-3</v>
      </c>
      <c r="E36" s="292" t="str">
        <f>IFERROR(__xludf.DUMMYFUNCTION("""COMPUTED_VALUE"""),"Chicken fillet Peruvian style")</f>
        <v>Chicken fillet Peruvian style</v>
      </c>
      <c r="F36" s="292" t="str">
        <f>IFERROR(__xludf.DUMMYFUNCTION("""COMPUTED_VALUE"""),"with quinoa, roasted pepper, tomato and Ají Verde")</f>
        <v>with quinoa, roasted pepper, tomato and Ají Verde</v>
      </c>
      <c r="G36" s="292" t="str">
        <f>IFERROR(__xludf.DUMMYFUNCTION("""COMPUTED_VALUE"""),"Kipfilet op z'n Peruaans")</f>
        <v>Kipfilet op z'n Peruaans</v>
      </c>
      <c r="H36" s="292" t="str">
        <f>IFERROR(__xludf.DUMMYFUNCTION("""COMPUTED_VALUE"""),"met quinoa, geroosterde paprika, tomaat en Ají Verde")</f>
        <v>met quinoa, geroosterde paprika, tomaat en Ají Verde</v>
      </c>
      <c r="I36" s="292"/>
      <c r="J36" s="292" t="str">
        <f>IFERROR(__xludf.DUMMYFUNCTION("""COMPUTED_VALUE"""),"Hähnchenfilet nach peruanischer Art")</f>
        <v>Hähnchenfilet nach peruanischer Art</v>
      </c>
      <c r="K36" s="292">
        <f>IFERROR(__xludf.DUMMYFUNCTION("""COMPUTED_VALUE"""),565051.0)</f>
        <v>565051</v>
      </c>
      <c r="L36" s="292" t="str">
        <f>IFERROR(__xludf.DUMMYFUNCTION("""COMPUTED_VALUE"""),"HF Aji Amarillopeper kipfilet 423g")</f>
        <v>HF Aji Amarillopeper kipfilet 423g</v>
      </c>
      <c r="M36" s="292" t="str">
        <f>IFERROR(__xludf.DUMMYFUNCTION("""COMPUTED_VALUE"""),"FA-NL Kipfilet op z'n Peruaans (FE0238)")</f>
        <v>FA-NL Kipfilet op z'n Peruaans (FE0238)</v>
      </c>
      <c r="N36" s="292" t="str">
        <f>IFERROR(__xludf.DUMMYFUNCTION("""COMPUTED_VALUE"""),"#N/A")</f>
        <v>#N/A</v>
      </c>
      <c r="O36" s="292" t="str">
        <f>IFERROR(__xludf.DUMMYFUNCTION("""COMPUTED_VALUE"""),"FA-DE Hähnchenfilet nach peruanischer Art (FE0238)")</f>
        <v>FA-DE Hähnchenfilet nach peruanischer Art (FE0238)</v>
      </c>
      <c r="P36" s="292" t="str">
        <f>IFERROR(__xludf.DUMMYFUNCTION("""COMPUTED_VALUE"""),"Graveyard")</f>
        <v>Graveyard</v>
      </c>
      <c r="Q36" s="292"/>
      <c r="R36" s="342">
        <f>IFERROR(__xludf.DUMMYFUNCTION("""COMPUTED_VALUE"""),5.1)</f>
        <v>5.1</v>
      </c>
      <c r="S36" s="292"/>
      <c r="T36" s="343">
        <f>IFERROR(__xludf.DUMMYFUNCTION("""COMPUTED_VALUE"""),3.36)</f>
        <v>3.36</v>
      </c>
      <c r="U36" s="292"/>
      <c r="V36" s="292"/>
      <c r="W36" s="292" t="b">
        <f>IFERROR(__xludf.DUMMYFUNCTION("""COMPUTED_VALUE"""),TRUE)</f>
        <v>1</v>
      </c>
      <c r="X36" s="345">
        <f>IFERROR(__xludf.DUMMYFUNCTION("""COMPUTED_VALUE"""),423.0)</f>
        <v>423</v>
      </c>
      <c r="Y36" s="344">
        <f>IFERROR(__xludf.DUMMYFUNCTION("""COMPUTED_VALUE"""),501.0)</f>
        <v>501</v>
      </c>
      <c r="Z36" s="343">
        <f>IFERROR(__xludf.DUMMYFUNCTION("""COMPUTED_VALUE"""),20.9)</f>
        <v>20.9</v>
      </c>
      <c r="AA36" s="344">
        <f>IFERROR(__xludf.DUMMYFUNCTION("""COMPUTED_VALUE"""),4.4)</f>
        <v>4.4</v>
      </c>
      <c r="AB36" s="344">
        <f>IFERROR(__xludf.DUMMYFUNCTION("""COMPUTED_VALUE"""),36.3)</f>
        <v>36.3</v>
      </c>
      <c r="AC36" s="344">
        <f>IFERROR(__xludf.DUMMYFUNCTION("""COMPUTED_VALUE"""),12.7)</f>
        <v>12.7</v>
      </c>
      <c r="AD36" s="344">
        <f>IFERROR(__xludf.DUMMYFUNCTION("""COMPUTED_VALUE"""),9.7)</f>
        <v>9.7</v>
      </c>
      <c r="AE36" s="343">
        <f>IFERROR(__xludf.DUMMYFUNCTION("""COMPUTED_VALUE"""),36.3)</f>
        <v>36.3</v>
      </c>
      <c r="AF36" s="343">
        <f>IFERROR(__xludf.DUMMYFUNCTION("""COMPUTED_VALUE"""),1.95)</f>
        <v>1.95</v>
      </c>
      <c r="AG36" s="292" t="b">
        <f>IFERROR(__xludf.DUMMYFUNCTION("""COMPUTED_VALUE"""),TRUE)</f>
        <v>1</v>
      </c>
      <c r="AH36" s="292" t="b">
        <f>IFERROR(__xludf.DUMMYFUNCTION("""COMPUTED_VALUE"""),FALSE)</f>
        <v>0</v>
      </c>
      <c r="AI36" s="292" t="b">
        <f>IFERROR(__xludf.DUMMYFUNCTION("""COMPUTED_VALUE"""),TRUE)</f>
        <v>1</v>
      </c>
      <c r="AJ36" s="292" t="b">
        <f>IFERROR(__xludf.DUMMYFUNCTION("""COMPUTED_VALUE"""),FALSE)</f>
        <v>0</v>
      </c>
      <c r="AK36" s="292" t="b">
        <f>IFERROR(__xludf.DUMMYFUNCTION("""COMPUTED_VALUE"""),FALSE)</f>
        <v>0</v>
      </c>
      <c r="AL36" s="292" t="b">
        <f>IFERROR(__xludf.DUMMYFUNCTION("""COMPUTED_VALUE"""),FALSE)</f>
        <v>0</v>
      </c>
      <c r="AM36" s="292" t="b">
        <f>IFERROR(__xludf.DUMMYFUNCTION("""COMPUTED_VALUE"""),TRUE)</f>
        <v>1</v>
      </c>
      <c r="AN36" s="292" t="b">
        <f>IFERROR(__xludf.DUMMYFUNCTION("""COMPUTED_VALUE"""),FALSE)</f>
        <v>0</v>
      </c>
      <c r="AO36" s="292" t="str">
        <f>IFERROR(__xludf.DUMMYFUNCTION("""COMPUTED_VALUE"""),"TRUE")</f>
        <v>TRUE</v>
      </c>
      <c r="AP36" s="292" t="str">
        <f>IFERROR(__xludf.DUMMYFUNCTION("""COMPUTED_VALUE"""),"Chicken breast")</f>
        <v>Chicken breast</v>
      </c>
      <c r="AQ36" s="292" t="str">
        <f>IFERROR(__xludf.DUMMYFUNCTION("""COMPUTED_VALUE"""),"Chicken")</f>
        <v>Chicken</v>
      </c>
      <c r="AR36" s="292" t="str">
        <f>IFERROR(__xludf.DUMMYFUNCTION("""COMPUTED_VALUE"""),"Breast")</f>
        <v>Breast</v>
      </c>
      <c r="AS36" s="292" t="str">
        <f>IFERROR(__xludf.DUMMYFUNCTION("""COMPUTED_VALUE"""),"Quinoa")</f>
        <v>Quinoa</v>
      </c>
      <c r="AT36" s="292" t="str">
        <f>IFERROR(__xludf.DUMMYFUNCTION("""COMPUTED_VALUE"""),"Pepper Mix")</f>
        <v>Pepper Mix</v>
      </c>
      <c r="AU36" s="292" t="str">
        <f>IFERROR(__xludf.DUMMYFUNCTION("""COMPUTED_VALUE"""),"Cherry Tomatoes")</f>
        <v>Cherry Tomatoes</v>
      </c>
      <c r="AV36" s="292" t="str">
        <f>IFERROR(__xludf.DUMMYFUNCTION("""COMPUTED_VALUE"""),"Cupped Sauce")</f>
        <v>Cupped Sauce</v>
      </c>
      <c r="AW36" s="292" t="str">
        <f>IFERROR(__xludf.DUMMYFUNCTION("""COMPUTED_VALUE"""),"Year Round")</f>
        <v>Year Round</v>
      </c>
      <c r="AX36" s="292" t="str">
        <f>IFERROR(__xludf.DUMMYFUNCTION("""COMPUTED_VALUE"""),"Peruvian")</f>
        <v>Peruvian</v>
      </c>
      <c r="AY36" s="292"/>
      <c r="AZ36" s="292" t="str">
        <f>IFERROR(__xludf.DUMMYFUNCTION("""COMPUTED_VALUE"""),"2 CT")</f>
        <v>2 CT</v>
      </c>
      <c r="BA36" s="292" t="b">
        <f>IFERROR(__xludf.DUMMYFUNCTION("""COMPUTED_VALUE"""),TRUE)</f>
        <v>1</v>
      </c>
      <c r="BB36" s="342">
        <f>IFERROR(__xludf.DUMMYFUNCTION("""COMPUTED_VALUE"""),2.69)</f>
        <v>2.69</v>
      </c>
      <c r="BC36" s="342">
        <f>IFERROR(__xludf.DUMMYFUNCTION("""COMPUTED_VALUE"""),1.18)</f>
        <v>1.18</v>
      </c>
      <c r="BD36" s="342">
        <f>IFERROR(__xludf.DUMMYFUNCTION("""COMPUTED_VALUE"""),0.392)</f>
        <v>0.392</v>
      </c>
      <c r="BE36" s="342">
        <f>IFERROR(__xludf.DUMMYFUNCTION("""COMPUTED_VALUE"""),0.89)</f>
        <v>0.89</v>
      </c>
      <c r="BF36" s="296" t="str">
        <f>IFERROR(__xludf.DUMMYFUNCTION("""COMPUTED_VALUE"""),"#REF!")</f>
        <v>#REF!</v>
      </c>
      <c r="BG36" s="296" t="str">
        <f>IFERROR(__xludf.DUMMYFUNCTION("""COMPUTED_VALUE"""),"#REF!")</f>
        <v>#REF!</v>
      </c>
      <c r="BH36" s="296" t="str">
        <f>IFERROR(__xludf.DUMMYFUNCTION("""COMPUTED_VALUE"""),"#REF!")</f>
        <v>#REF!</v>
      </c>
      <c r="BI36" s="295">
        <f>IFERROR(__xludf.DUMMYFUNCTION("""COMPUTED_VALUE"""),159.0)</f>
        <v>159</v>
      </c>
      <c r="BJ36" s="295" t="str">
        <f>IFERROR(__xludf.DUMMYFUNCTION("""COMPUTED_VALUE"""),"FALSE")</f>
        <v>FALSE</v>
      </c>
      <c r="BK36" s="346">
        <f>IFERROR(__xludf.DUMMYFUNCTION("""COMPUTED_VALUE"""),2099.0)</f>
        <v>2099</v>
      </c>
      <c r="BL36" s="292"/>
      <c r="BM36" s="292"/>
      <c r="BN36" s="292"/>
      <c r="BO36" s="292"/>
      <c r="BP36" s="292"/>
      <c r="BQ36" s="292" t="str">
        <f>IFERROR(__xludf.DUMMYFUNCTION("""COMPUTED_VALUE"""),"Graveyard")</f>
        <v>Graveyard</v>
      </c>
      <c r="BR36" s="292" t="b">
        <f>IFERROR(__xludf.DUMMYFUNCTION("""COMPUTED_VALUE"""),FALSE)</f>
        <v>0</v>
      </c>
      <c r="BS36" s="292" t="b">
        <f>IFERROR(__xludf.DUMMYFUNCTION("""COMPUTED_VALUE"""),TRUE)</f>
        <v>1</v>
      </c>
      <c r="BT36" s="345">
        <f>IFERROR(__xludf.DUMMYFUNCTION("""COMPUTED_VALUE"""),496.21749408983453)</f>
        <v>496.2174941</v>
      </c>
      <c r="BU36" s="345">
        <f>IFERROR(__xludf.DUMMYFUNCTION("""COMPUTED_VALUE"""),118.43971631205675)</f>
        <v>118.4397163</v>
      </c>
      <c r="BV36" s="344">
        <f>IFERROR(__xludf.DUMMYFUNCTION("""COMPUTED_VALUE"""),4.940898345153664)</f>
        <v>4.940898345</v>
      </c>
      <c r="BW36" s="344">
        <f>IFERROR(__xludf.DUMMYFUNCTION("""COMPUTED_VALUE"""),1.0401891252955084)</f>
        <v>1.040189125</v>
      </c>
    </row>
    <row r="37">
      <c r="A37" s="292" t="str">
        <f>IFERROR(__xludf.DUMMYFUNCTION("""COMPUTED_VALUE"""),"FE0243C")</f>
        <v>FE0243C</v>
      </c>
      <c r="B37" s="292" t="str">
        <f>IFERROR(__xludf.DUMMYFUNCTION("""COMPUTED_VALUE"""),"CON-40-143747-4")</f>
        <v>CON-40-143747-4</v>
      </c>
      <c r="C37" s="292"/>
      <c r="D37" s="292" t="str">
        <f>IFERROR(__xludf.DUMMYFUNCTION("""COMPUTED_VALUE"""),"CON-00-136643-3")</f>
        <v>CON-00-136643-3</v>
      </c>
      <c r="E37" s="292" t="str">
        <f>IFERROR(__xludf.DUMMYFUNCTION("""COMPUTED_VALUE"""),"Vegan risotto and mushrooms in red wine sauce")</f>
        <v>Vegan risotto and mushrooms in red wine sauce</v>
      </c>
      <c r="F37" s="292" t="str">
        <f>IFERROR(__xludf.DUMMYFUNCTION("""COMPUTED_VALUE"""),"with portobello and roasted garlic green beans")</f>
        <v>with portobello and roasted garlic green beans</v>
      </c>
      <c r="G37" s="292" t="str">
        <f>IFERROR(__xludf.DUMMYFUNCTION("""COMPUTED_VALUE"""),"Vegan risotto en champignons in rode wijnsaus")</f>
        <v>Vegan risotto en champignons in rode wijnsaus</v>
      </c>
      <c r="H37" s="292" t="str">
        <f>IFERROR(__xludf.DUMMYFUNCTION("""COMPUTED_VALUE"""),"met portobello en geroosterde knoflook-sperziebonen")</f>
        <v>met portobello en geroosterde knoflook-sperziebonen</v>
      </c>
      <c r="I37" s="292"/>
      <c r="J37" s="292" t="str">
        <f>IFERROR(__xludf.DUMMYFUNCTION("""COMPUTED_VALUE"""),"Veganes Risotto mit Pilze in Rotweinsauce")</f>
        <v>Veganes Risotto mit Pilze in Rotweinsauce</v>
      </c>
      <c r="K37" s="292">
        <f>IFERROR(__xludf.DUMMYFUNCTION("""COMPUTED_VALUE"""),565038.0)</f>
        <v>565038</v>
      </c>
      <c r="L37" s="292" t="str">
        <f>IFERROR(__xludf.DUMMYFUNCTION("""COMPUTED_VALUE"""),"HF Portobello in rode wijnsaus 406g")</f>
        <v>HF Portobello in rode wijnsaus 406g</v>
      </c>
      <c r="M37" s="292" t="str">
        <f>IFERROR(__xludf.DUMMYFUNCTION("""COMPUTED_VALUE"""),"FA-NL Vegan risotto en champignons in rode wijnsaus (FE0243)")</f>
        <v>FA-NL Vegan risotto en champignons in rode wijnsaus (FE0243)</v>
      </c>
      <c r="N37" s="292" t="str">
        <f>IFERROR(__xludf.DUMMYFUNCTION("""COMPUTED_VALUE"""),"#N/A")</f>
        <v>#N/A</v>
      </c>
      <c r="O37" s="292" t="str">
        <f>IFERROR(__xludf.DUMMYFUNCTION("""COMPUTED_VALUE"""),"FA-DE Veganes Risotto mit Pilze in Rotweinsauce (FE0243)")</f>
        <v>FA-DE Veganes Risotto mit Pilze in Rotweinsauce (FE0243)</v>
      </c>
      <c r="P37" s="292" t="str">
        <f>IFERROR(__xludf.DUMMYFUNCTION("""COMPUTED_VALUE"""),"Graveyard")</f>
        <v>Graveyard</v>
      </c>
      <c r="Q37" s="292"/>
      <c r="R37" s="342">
        <f>IFERROR(__xludf.DUMMYFUNCTION("""COMPUTED_VALUE"""),4.72)</f>
        <v>4.72</v>
      </c>
      <c r="S37" s="298">
        <f>IFERROR(__xludf.DUMMYFUNCTION("""COMPUTED_VALUE"""),0.00923999191202123)</f>
        <v>0.009239991912</v>
      </c>
      <c r="T37" s="343">
        <f>IFERROR(__xludf.DUMMYFUNCTION("""COMPUTED_VALUE"""),3.4386315789473683)</f>
        <v>3.438631579</v>
      </c>
      <c r="U37" s="292">
        <f>IFERROR(__xludf.DUMMYFUNCTION("""COMPUTED_VALUE"""),8091.0)</f>
        <v>8091</v>
      </c>
      <c r="V37" s="292"/>
      <c r="W37" s="292" t="b">
        <f>IFERROR(__xludf.DUMMYFUNCTION("""COMPUTED_VALUE"""),TRUE)</f>
        <v>1</v>
      </c>
      <c r="X37" s="345">
        <f>IFERROR(__xludf.DUMMYFUNCTION("""COMPUTED_VALUE"""),406.0)</f>
        <v>406</v>
      </c>
      <c r="Y37" s="344">
        <f>IFERROR(__xludf.DUMMYFUNCTION("""COMPUTED_VALUE"""),450.0)</f>
        <v>450</v>
      </c>
      <c r="Z37" s="343">
        <f>IFERROR(__xludf.DUMMYFUNCTION("""COMPUTED_VALUE"""),21.6)</f>
        <v>21.6</v>
      </c>
      <c r="AA37" s="344">
        <f>IFERROR(__xludf.DUMMYFUNCTION("""COMPUTED_VALUE"""),3.1)</f>
        <v>3.1</v>
      </c>
      <c r="AB37" s="344">
        <f>IFERROR(__xludf.DUMMYFUNCTION("""COMPUTED_VALUE"""),45.1)</f>
        <v>45.1</v>
      </c>
      <c r="AC37" s="344">
        <f>IFERROR(__xludf.DUMMYFUNCTION("""COMPUTED_VALUE"""),4.3)</f>
        <v>4.3</v>
      </c>
      <c r="AD37" s="344">
        <f>IFERROR(__xludf.DUMMYFUNCTION("""COMPUTED_VALUE"""),8.5)</f>
        <v>8.5</v>
      </c>
      <c r="AE37" s="343">
        <f>IFERROR(__xludf.DUMMYFUNCTION("""COMPUTED_VALUE"""),11.9)</f>
        <v>11.9</v>
      </c>
      <c r="AF37" s="343">
        <f>IFERROR(__xludf.DUMMYFUNCTION("""COMPUTED_VALUE"""),1.96)</f>
        <v>1.96</v>
      </c>
      <c r="AG37" s="292" t="b">
        <f>IFERROR(__xludf.DUMMYFUNCTION("""COMPUTED_VALUE"""),FALSE)</f>
        <v>0</v>
      </c>
      <c r="AH37" s="292" t="b">
        <f>IFERROR(__xludf.DUMMYFUNCTION("""COMPUTED_VALUE"""),FALSE)</f>
        <v>0</v>
      </c>
      <c r="AI37" s="292" t="b">
        <f>IFERROR(__xludf.DUMMYFUNCTION("""COMPUTED_VALUE"""),TRUE)</f>
        <v>1</v>
      </c>
      <c r="AJ37" s="292" t="b">
        <f>IFERROR(__xludf.DUMMYFUNCTION("""COMPUTED_VALUE"""),FALSE)</f>
        <v>0</v>
      </c>
      <c r="AK37" s="292" t="b">
        <f>IFERROR(__xludf.DUMMYFUNCTION("""COMPUTED_VALUE"""),FALSE)</f>
        <v>0</v>
      </c>
      <c r="AL37" s="292" t="b">
        <f>IFERROR(__xludf.DUMMYFUNCTION("""COMPUTED_VALUE"""),TRUE)</f>
        <v>1</v>
      </c>
      <c r="AM37" s="292" t="b">
        <f>IFERROR(__xludf.DUMMYFUNCTION("""COMPUTED_VALUE"""),FALSE)</f>
        <v>0</v>
      </c>
      <c r="AN37" s="292" t="b">
        <f>IFERROR(__xludf.DUMMYFUNCTION("""COMPUTED_VALUE"""),TRUE)</f>
        <v>1</v>
      </c>
      <c r="AO37" s="292" t="str">
        <f>IFERROR(__xludf.DUMMYFUNCTION("""COMPUTED_VALUE"""),"FALSE")</f>
        <v>FALSE</v>
      </c>
      <c r="AP37" s="292" t="str">
        <f>IFERROR(__xludf.DUMMYFUNCTION("""COMPUTED_VALUE"""),"Vegan")</f>
        <v>Vegan</v>
      </c>
      <c r="AQ37" s="292" t="str">
        <f>IFERROR(__xludf.DUMMYFUNCTION("""COMPUTED_VALUE"""),"Vegan")</f>
        <v>Vegan</v>
      </c>
      <c r="AR37" s="292" t="str">
        <f>IFERROR(__xludf.DUMMYFUNCTION("""COMPUTED_VALUE"""),"Risotto")</f>
        <v>Risotto</v>
      </c>
      <c r="AS37" s="292" t="str">
        <f>IFERROR(__xludf.DUMMYFUNCTION("""COMPUTED_VALUE"""),"Risotto")</f>
        <v>Risotto</v>
      </c>
      <c r="AT37" s="292" t="str">
        <f>IFERROR(__xludf.DUMMYFUNCTION("""COMPUTED_VALUE"""),"Green Beans")</f>
        <v>Green Beans</v>
      </c>
      <c r="AU37" s="292" t="str">
        <f>IFERROR(__xludf.DUMMYFUNCTION("""COMPUTED_VALUE"""),"Mushrooms")</f>
        <v>Mushrooms</v>
      </c>
      <c r="AV37" s="292"/>
      <c r="AW37" s="292" t="str">
        <f>IFERROR(__xludf.DUMMYFUNCTION("""COMPUTED_VALUE"""),"Year Round")</f>
        <v>Year Round</v>
      </c>
      <c r="AX37" s="292" t="str">
        <f>IFERROR(__xludf.DUMMYFUNCTION("""COMPUTED_VALUE"""),"Italian")</f>
        <v>Italian</v>
      </c>
      <c r="AY37" s="292"/>
      <c r="AZ37" s="292" t="str">
        <f>IFERROR(__xludf.DUMMYFUNCTION("""COMPUTED_VALUE"""),"2 CT")</f>
        <v>2 CT</v>
      </c>
      <c r="BA37" s="292" t="b">
        <f>IFERROR(__xludf.DUMMYFUNCTION("""COMPUTED_VALUE"""),FALSE)</f>
        <v>0</v>
      </c>
      <c r="BB37" s="342">
        <f>IFERROR(__xludf.DUMMYFUNCTION("""COMPUTED_VALUE"""),2.54)</f>
        <v>2.54</v>
      </c>
      <c r="BC37" s="342">
        <f>IFERROR(__xludf.DUMMYFUNCTION("""COMPUTED_VALUE"""),0.98)</f>
        <v>0.98</v>
      </c>
      <c r="BD37" s="342">
        <f>IFERROR(__xludf.DUMMYFUNCTION("""COMPUTED_VALUE"""),0.362)</f>
        <v>0.362</v>
      </c>
      <c r="BE37" s="342">
        <f>IFERROR(__xludf.DUMMYFUNCTION("""COMPUTED_VALUE"""),0.89)</f>
        <v>0.89</v>
      </c>
      <c r="BF37" s="296" t="str">
        <f>IFERROR(__xludf.DUMMYFUNCTION("""COMPUTED_VALUE"""),"#REF!")</f>
        <v>#REF!</v>
      </c>
      <c r="BG37" s="296" t="str">
        <f>IFERROR(__xludf.DUMMYFUNCTION("""COMPUTED_VALUE"""),"#REF!")</f>
        <v>#REF!</v>
      </c>
      <c r="BH37" s="296" t="str">
        <f>IFERROR(__xludf.DUMMYFUNCTION("""COMPUTED_VALUE"""),"#REF!")</f>
        <v>#REF!</v>
      </c>
      <c r="BI37" s="295">
        <f>IFERROR(__xludf.DUMMYFUNCTION("""COMPUTED_VALUE"""),184.0)</f>
        <v>184</v>
      </c>
      <c r="BJ37" s="295" t="str">
        <f>IFERROR(__xludf.DUMMYFUNCTION("""COMPUTED_VALUE"""),"FALSE")</f>
        <v>FALSE</v>
      </c>
      <c r="BK37" s="346">
        <f>IFERROR(__xludf.DUMMYFUNCTION("""COMPUTED_VALUE"""),1880.0)</f>
        <v>1880</v>
      </c>
      <c r="BL37" s="292"/>
      <c r="BM37" s="292"/>
      <c r="BN37" s="292"/>
      <c r="BO37" s="292"/>
      <c r="BP37" s="292"/>
      <c r="BQ37" s="292" t="str">
        <f>IFERROR(__xludf.DUMMYFUNCTION("""COMPUTED_VALUE"""),"Graveyard")</f>
        <v>Graveyard</v>
      </c>
      <c r="BR37" s="292" t="b">
        <f>IFERROR(__xludf.DUMMYFUNCTION("""COMPUTED_VALUE"""),FALSE)</f>
        <v>0</v>
      </c>
      <c r="BS37" s="292" t="b">
        <f>IFERROR(__xludf.DUMMYFUNCTION("""COMPUTED_VALUE"""),FALSE)</f>
        <v>0</v>
      </c>
      <c r="BT37" s="345">
        <f>IFERROR(__xludf.DUMMYFUNCTION("""COMPUTED_VALUE"""),463.05418719211826)</f>
        <v>463.0541872</v>
      </c>
      <c r="BU37" s="345">
        <f>IFERROR(__xludf.DUMMYFUNCTION("""COMPUTED_VALUE"""),110.83743842364532)</f>
        <v>110.8374384</v>
      </c>
      <c r="BV37" s="344">
        <f>IFERROR(__xludf.DUMMYFUNCTION("""COMPUTED_VALUE"""),5.320197044334975)</f>
        <v>5.320197044</v>
      </c>
      <c r="BW37" s="344">
        <f>IFERROR(__xludf.DUMMYFUNCTION("""COMPUTED_VALUE"""),0.7635467980295567)</f>
        <v>0.763546798</v>
      </c>
    </row>
    <row r="38">
      <c r="A38" s="292" t="str">
        <f>IFERROR(__xludf.DUMMYFUNCTION("""COMPUTED_VALUE"""),"FE0257C")</f>
        <v>FE0257C</v>
      </c>
      <c r="B38" s="292" t="str">
        <f>IFERROR(__xludf.DUMMYFUNCTION("""COMPUTED_VALUE"""),"CON-40-143667-4")</f>
        <v>CON-40-143667-4</v>
      </c>
      <c r="C38" s="292" t="str">
        <f>IFERROR(__xludf.DUMMYFUNCTION("""COMPUTED_VALUE"""),"CON-00-147830-2")</f>
        <v>CON-00-147830-2</v>
      </c>
      <c r="D38" s="292" t="str">
        <f>IFERROR(__xludf.DUMMYFUNCTION("""COMPUTED_VALUE"""),"CON-00-136616-3")</f>
        <v>CON-00-136616-3</v>
      </c>
      <c r="E38" s="292" t="str">
        <f>IFERROR(__xludf.DUMMYFUNCTION("""COMPUTED_VALUE"""),"Greek style ground beef and feta")</f>
        <v>Greek style ground beef and feta</v>
      </c>
      <c r="F38" s="292" t="str">
        <f>IFERROR(__xludf.DUMMYFUNCTION("""COMPUTED_VALUE"""),"with garlic spinach, courgette in tomato butter and sour cream of lemon and coriander")</f>
        <v>with garlic spinach, courgette in tomato butter and sour cream of lemon and coriander</v>
      </c>
      <c r="G38" s="292" t="str">
        <f>IFERROR(__xludf.DUMMYFUNCTION("""COMPUTED_VALUE"""),"Griekse stijl rundergehakt en feta")</f>
        <v>Griekse stijl rundergehakt en feta</v>
      </c>
      <c r="H38" s="292" t="str">
        <f>IFERROR(__xludf.DUMMYFUNCTION("""COMPUTED_VALUE"""),"met knoflookspinazie, courgette in tomatenboter en zure room van citroen en koriander")</f>
        <v>met knoflookspinazie, courgette in tomatenboter en zure room van citroen en koriander</v>
      </c>
      <c r="I38" s="292" t="str">
        <f>IFERROR(__xludf.DUMMYFUNCTION("""COMPUTED_VALUE"""),"Græsk-inspireret hakket oksekød og feta ")</f>
        <v>Græsk-inspireret hakket oksekød og feta </v>
      </c>
      <c r="J38" s="292" t="str">
        <f>IFERROR(__xludf.DUMMYFUNCTION("""COMPUTED_VALUE"""),"Hackfleisch ""Griechischer Art"" – mit Feta")</f>
        <v>Hackfleisch "Griechischer Art" – mit Feta</v>
      </c>
      <c r="K38" s="292">
        <f>IFERROR(__xludf.DUMMYFUNCTION("""COMPUTED_VALUE"""),565027.0)</f>
        <v>565027</v>
      </c>
      <c r="L38" s="292" t="str">
        <f>IFERROR(__xludf.DUMMYFUNCTION("""COMPUTED_VALUE"""),"HF Yia Yia's Griekse bowl/rundergeh 375g")</f>
        <v>HF Yia Yia's Griekse bowl/rundergeh 375g</v>
      </c>
      <c r="M38" s="292" t="str">
        <f>IFERROR(__xludf.DUMMYFUNCTION("""COMPUTED_VALUE"""),"FA-NL Griekse stijl rundergehakt en feta [FE0257]")</f>
        <v>FA-NL Griekse stijl rundergehakt en feta [FE0257]</v>
      </c>
      <c r="N38" s="292" t="str">
        <f>IFERROR(__xludf.DUMMYFUNCTION("""COMPUTED_VALUE"""),"FA-NO Græsk-inspireret hakket oksekød og feta (FE0257)")</f>
        <v>FA-NO Græsk-inspireret hakket oksekød og feta (FE0257)</v>
      </c>
      <c r="O38" s="292" t="str">
        <f>IFERROR(__xludf.DUMMYFUNCTION("""COMPUTED_VALUE"""),"FA-DE Hackfleisch ""Griechischer Art"" – mit Feta (FE0257)")</f>
        <v>FA-DE Hackfleisch "Griechischer Art" – mit Feta (FE0257)</v>
      </c>
      <c r="P38" s="292" t="str">
        <f>IFERROR(__xludf.DUMMYFUNCTION("""COMPUTED_VALUE"""),"Graveyard")</f>
        <v>Graveyard</v>
      </c>
      <c r="Q38" s="292"/>
      <c r="R38" s="342">
        <f>IFERROR(__xludf.DUMMYFUNCTION("""COMPUTED_VALUE"""),5.4799999999999995)</f>
        <v>5.48</v>
      </c>
      <c r="S38" s="298">
        <f>IFERROR(__xludf.DUMMYFUNCTION("""COMPUTED_VALUE"""),0.04687471595078505)</f>
        <v>0.04687471595</v>
      </c>
      <c r="T38" s="343">
        <f>IFERROR(__xludf.DUMMYFUNCTION("""COMPUTED_VALUE"""),3.316482614535144)</f>
        <v>3.316482615</v>
      </c>
      <c r="U38" s="292">
        <f>IFERROR(__xludf.DUMMYFUNCTION("""COMPUTED_VALUE"""),16447.0)</f>
        <v>16447</v>
      </c>
      <c r="V38" s="292"/>
      <c r="W38" s="292" t="b">
        <f>IFERROR(__xludf.DUMMYFUNCTION("""COMPUTED_VALUE"""),FALSE)</f>
        <v>0</v>
      </c>
      <c r="X38" s="345">
        <f>IFERROR(__xludf.DUMMYFUNCTION("""COMPUTED_VALUE"""),375.0)</f>
        <v>375</v>
      </c>
      <c r="Y38" s="344">
        <f>IFERROR(__xludf.DUMMYFUNCTION("""COMPUTED_VALUE"""),750.0)</f>
        <v>750</v>
      </c>
      <c r="Z38" s="343">
        <f>IFERROR(__xludf.DUMMYFUNCTION("""COMPUTED_VALUE"""),56.3)</f>
        <v>56.3</v>
      </c>
      <c r="AA38" s="344">
        <f>IFERROR(__xludf.DUMMYFUNCTION("""COMPUTED_VALUE"""),24.5)</f>
        <v>24.5</v>
      </c>
      <c r="AB38" s="344">
        <f>IFERROR(__xludf.DUMMYFUNCTION("""COMPUTED_VALUE"""),14.6)</f>
        <v>14.6</v>
      </c>
      <c r="AC38" s="344">
        <f>IFERROR(__xludf.DUMMYFUNCTION("""COMPUTED_VALUE"""),12.4)</f>
        <v>12.4</v>
      </c>
      <c r="AD38" s="344">
        <f>IFERROR(__xludf.DUMMYFUNCTION("""COMPUTED_VALUE"""),5.6)</f>
        <v>5.6</v>
      </c>
      <c r="AE38" s="343">
        <f>IFERROR(__xludf.DUMMYFUNCTION("""COMPUTED_VALUE"""),40.9)</f>
        <v>40.9</v>
      </c>
      <c r="AF38" s="343">
        <f>IFERROR(__xludf.DUMMYFUNCTION("""COMPUTED_VALUE"""),1.95)</f>
        <v>1.95</v>
      </c>
      <c r="AG38" s="292" t="b">
        <f>IFERROR(__xludf.DUMMYFUNCTION("""COMPUTED_VALUE"""),FALSE)</f>
        <v>0</v>
      </c>
      <c r="AH38" s="292" t="b">
        <f>IFERROR(__xludf.DUMMYFUNCTION("""COMPUTED_VALUE"""),TRUE)</f>
        <v>1</v>
      </c>
      <c r="AI38" s="292"/>
      <c r="AJ38" s="292"/>
      <c r="AK38" s="292" t="b">
        <f>IFERROR(__xludf.DUMMYFUNCTION("""COMPUTED_VALUE"""),FALSE)</f>
        <v>0</v>
      </c>
      <c r="AL38" s="292" t="b">
        <f>IFERROR(__xludf.DUMMYFUNCTION("""COMPUTED_VALUE"""),FALSE)</f>
        <v>0</v>
      </c>
      <c r="AM38" s="292"/>
      <c r="AN38" s="292" t="b">
        <f>IFERROR(__xludf.DUMMYFUNCTION("""COMPUTED_VALUE"""),FALSE)</f>
        <v>0</v>
      </c>
      <c r="AO38" s="292" t="str">
        <f>IFERROR(__xludf.DUMMYFUNCTION("""COMPUTED_VALUE"""),"FALSE")</f>
        <v>FALSE</v>
      </c>
      <c r="AP38" s="292" t="str">
        <f>IFERROR(__xludf.DUMMYFUNCTION("""COMPUTED_VALUE"""),"Ground beef")</f>
        <v>Ground beef</v>
      </c>
      <c r="AQ38" s="292" t="str">
        <f>IFERROR(__xludf.DUMMYFUNCTION("""COMPUTED_VALUE"""),"Beef")</f>
        <v>Beef</v>
      </c>
      <c r="AR38" s="292" t="str">
        <f>IFERROR(__xludf.DUMMYFUNCTION("""COMPUTED_VALUE"""),"Ground")</f>
        <v>Ground</v>
      </c>
      <c r="AS38" s="292" t="str">
        <f>IFERROR(__xludf.DUMMYFUNCTION("""COMPUTED_VALUE"""),"Spinach")</f>
        <v>Spinach</v>
      </c>
      <c r="AT38" s="292" t="str">
        <f>IFERROR(__xludf.DUMMYFUNCTION("""COMPUTED_VALUE"""),"Cherry Tomatoes")</f>
        <v>Cherry Tomatoes</v>
      </c>
      <c r="AU38" s="292" t="str">
        <f>IFERROR(__xludf.DUMMYFUNCTION("""COMPUTED_VALUE"""),"Zucchini Diced")</f>
        <v>Zucchini Diced</v>
      </c>
      <c r="AV38" s="292" t="str">
        <f>IFERROR(__xludf.DUMMYFUNCTION("""COMPUTED_VALUE"""),"Compound Butter")</f>
        <v>Compound Butter</v>
      </c>
      <c r="AW38" s="292" t="str">
        <f>IFERROR(__xludf.DUMMYFUNCTION("""COMPUTED_VALUE"""),"Year Round")</f>
        <v>Year Round</v>
      </c>
      <c r="AX38" s="292" t="str">
        <f>IFERROR(__xludf.DUMMYFUNCTION("""COMPUTED_VALUE"""),"Mediterranean")</f>
        <v>Mediterranean</v>
      </c>
      <c r="AY38" s="292"/>
      <c r="AZ38" s="292" t="str">
        <f>IFERROR(__xludf.DUMMYFUNCTION("""COMPUTED_VALUE"""),"2 CT")</f>
        <v>2 CT</v>
      </c>
      <c r="BA38" s="292" t="b">
        <f>IFERROR(__xludf.DUMMYFUNCTION("""COMPUTED_VALUE"""),TRUE)</f>
        <v>1</v>
      </c>
      <c r="BB38" s="342">
        <f>IFERROR(__xludf.DUMMYFUNCTION("""COMPUTED_VALUE"""),3.0)</f>
        <v>3</v>
      </c>
      <c r="BC38" s="342">
        <f>IFERROR(__xludf.DUMMYFUNCTION("""COMPUTED_VALUE"""),1.2)</f>
        <v>1.2</v>
      </c>
      <c r="BD38" s="342">
        <f>IFERROR(__xludf.DUMMYFUNCTION("""COMPUTED_VALUE"""),0.39)</f>
        <v>0.39</v>
      </c>
      <c r="BE38" s="342">
        <f>IFERROR(__xludf.DUMMYFUNCTION("""COMPUTED_VALUE"""),0.89)</f>
        <v>0.89</v>
      </c>
      <c r="BF38" s="296">
        <f>IFERROR(__xludf.DUMMYFUNCTION("""COMPUTED_VALUE"""),3.3019478177600345)</f>
        <v>3.301947818</v>
      </c>
      <c r="BG38" s="296">
        <f>IFERROR(__xludf.DUMMYFUNCTION("""COMPUTED_VALUE"""),3.5546045274170273)</f>
        <v>3.554604527</v>
      </c>
      <c r="BH38" s="296">
        <f>IFERROR(__xludf.DUMMYFUNCTION("""COMPUTED_VALUE"""),3.397486715658564)</f>
        <v>3.397486716</v>
      </c>
      <c r="BI38" s="295">
        <f>IFERROR(__xludf.DUMMYFUNCTION("""COMPUTED_VALUE"""),184.0)</f>
        <v>184</v>
      </c>
      <c r="BJ38" s="295" t="str">
        <f>IFERROR(__xludf.DUMMYFUNCTION("""COMPUTED_VALUE"""),"FALSE")</f>
        <v>FALSE</v>
      </c>
      <c r="BK38" s="346">
        <f>IFERROR(__xludf.DUMMYFUNCTION("""COMPUTED_VALUE"""),3120.0)</f>
        <v>3120</v>
      </c>
      <c r="BL38" s="292" t="str">
        <f>IFERROR(__xludf.DUMMYFUNCTION("""COMPUTED_VALUE"""),"US")</f>
        <v>US</v>
      </c>
      <c r="BM38" s="292" t="str">
        <f>IFERROR(__xludf.DUMMYFUNCTION("""COMPUTED_VALUE"""),"Grekisk-inspirerad nötfärsbowl")</f>
        <v>Grekisk-inspirerad nötfärsbowl</v>
      </c>
      <c r="BN38" s="343">
        <f>IFERROR(__xludf.DUMMYFUNCTION("""COMPUTED_VALUE"""),3.313684210526316)</f>
        <v>3.313684211</v>
      </c>
      <c r="BO38" s="343">
        <f>IFERROR(__xludf.DUMMYFUNCTION("""COMPUTED_VALUE"""),3.235)</f>
        <v>3.235</v>
      </c>
      <c r="BP38" s="292"/>
      <c r="BQ38" s="292" t="str">
        <f>IFERROR(__xludf.DUMMYFUNCTION("""COMPUTED_VALUE"""),"Hospital")</f>
        <v>Hospital</v>
      </c>
      <c r="BR38" s="292"/>
      <c r="BS38" s="292" t="b">
        <f>IFERROR(__xludf.DUMMYFUNCTION("""COMPUTED_VALUE"""),FALSE)</f>
        <v>0</v>
      </c>
      <c r="BT38" s="345">
        <f>IFERROR(__xludf.DUMMYFUNCTION("""COMPUTED_VALUE"""),832.0)</f>
        <v>832</v>
      </c>
      <c r="BU38" s="345">
        <f>IFERROR(__xludf.DUMMYFUNCTION("""COMPUTED_VALUE"""),200.0)</f>
        <v>200</v>
      </c>
      <c r="BV38" s="344">
        <f>IFERROR(__xludf.DUMMYFUNCTION("""COMPUTED_VALUE"""),15.0)</f>
        <v>15</v>
      </c>
      <c r="BW38" s="344">
        <f>IFERROR(__xludf.DUMMYFUNCTION("""COMPUTED_VALUE"""),6.5)</f>
        <v>6.5</v>
      </c>
    </row>
    <row r="39">
      <c r="A39" s="292" t="str">
        <f>IFERROR(__xludf.DUMMYFUNCTION("""COMPUTED_VALUE"""),"FE0271B")</f>
        <v>FE0271B</v>
      </c>
      <c r="B39" s="292" t="str">
        <f>IFERROR(__xludf.DUMMYFUNCTION("""COMPUTED_VALUE"""),"CON-40-143686-4")</f>
        <v>CON-40-143686-4</v>
      </c>
      <c r="C39" s="292" t="str">
        <f>IFERROR(__xludf.DUMMYFUNCTION("""COMPUTED_VALUE"""),"CON-00-147831-2")</f>
        <v>CON-00-147831-2</v>
      </c>
      <c r="D39" s="292" t="str">
        <f>IFERROR(__xludf.DUMMYFUNCTION("""COMPUTED_VALUE"""),"CON-00-136669-3")</f>
        <v>CON-00-136669-3</v>
      </c>
      <c r="E39" s="292" t="str">
        <f>IFERROR(__xludf.DUMMYFUNCTION("""COMPUTED_VALUE"""),"Cranberry Chicken ")</f>
        <v>Cranberry Chicken </v>
      </c>
      <c r="F39" s="292" t="str">
        <f>IFERROR(__xludf.DUMMYFUNCTION("""COMPUTED_VALUE"""),"with pumpkinpuree and green beans")</f>
        <v>with pumpkinpuree and green beans</v>
      </c>
      <c r="G39" s="292" t="str">
        <f>IFERROR(__xludf.DUMMYFUNCTION("""COMPUTED_VALUE"""),"Kipfilet in cranberrysaus")</f>
        <v>Kipfilet in cranberrysaus</v>
      </c>
      <c r="H39" s="292" t="str">
        <f>IFERROR(__xludf.DUMMYFUNCTION("""COMPUTED_VALUE"""),"met pompoenpuree en sperziebonen")</f>
        <v>met pompoenpuree en sperziebonen</v>
      </c>
      <c r="I39" s="292" t="str">
        <f>IFERROR(__xludf.DUMMYFUNCTION("""COMPUTED_VALUE"""),"Kylling i tranebærsauce")</f>
        <v>Kylling i tranebærsauce</v>
      </c>
      <c r="J39" s="292" t="str">
        <f>IFERROR(__xludf.DUMMYFUNCTION("""COMPUTED_VALUE"""),"Cranberry-Hähnchen")</f>
        <v>Cranberry-Hähnchen</v>
      </c>
      <c r="K39" s="292">
        <f>IFERROR(__xludf.DUMMYFUNCTION("""COMPUTED_VALUE"""),565132.0)</f>
        <v>565132</v>
      </c>
      <c r="L39" s="292"/>
      <c r="M39" s="292" t="str">
        <f>IFERROR(__xludf.DUMMYFUNCTION("""COMPUTED_VALUE"""),"FA-NL Kipfilet in cranberrysaus (FE0271)")</f>
        <v>FA-NL Kipfilet in cranberrysaus (FE0271)</v>
      </c>
      <c r="N39" s="292" t="str">
        <f>IFERROR(__xludf.DUMMYFUNCTION("""COMPUTED_VALUE"""),"FA-NO Kylling i tranebærsauce (FE0271)")</f>
        <v>FA-NO Kylling i tranebærsauce (FE0271)</v>
      </c>
      <c r="O39" s="292" t="str">
        <f>IFERROR(__xludf.DUMMYFUNCTION("""COMPUTED_VALUE"""),"FA-DE Cranberry-Hähnchen (FE0271)")</f>
        <v>FA-DE Cranberry-Hähnchen (FE0271)</v>
      </c>
      <c r="P39" s="292" t="str">
        <f>IFERROR(__xludf.DUMMYFUNCTION("""COMPUTED_VALUE"""),"Active")</f>
        <v>Active</v>
      </c>
      <c r="Q39" s="292"/>
      <c r="R39" s="342">
        <f>IFERROR(__xludf.DUMMYFUNCTION("""COMPUTED_VALUE"""),4.46)</f>
        <v>4.46</v>
      </c>
      <c r="S39" s="292"/>
      <c r="T39" s="292"/>
      <c r="U39" s="292"/>
      <c r="V39" s="292"/>
      <c r="W39" s="292" t="b">
        <f>IFERROR(__xludf.DUMMYFUNCTION("""COMPUTED_VALUE"""),TRUE)</f>
        <v>1</v>
      </c>
      <c r="X39" s="345">
        <f>IFERROR(__xludf.DUMMYFUNCTION("""COMPUTED_VALUE"""),424.0)</f>
        <v>424</v>
      </c>
      <c r="Y39" s="344">
        <f>IFERROR(__xludf.DUMMYFUNCTION("""COMPUTED_VALUE"""),507.0)</f>
        <v>507</v>
      </c>
      <c r="Z39" s="343">
        <f>IFERROR(__xludf.DUMMYFUNCTION("""COMPUTED_VALUE"""),19.6)</f>
        <v>19.6</v>
      </c>
      <c r="AA39" s="344">
        <f>IFERROR(__xludf.DUMMYFUNCTION("""COMPUTED_VALUE"""),4.7)</f>
        <v>4.7</v>
      </c>
      <c r="AB39" s="344">
        <f>IFERROR(__xludf.DUMMYFUNCTION("""COMPUTED_VALUE"""),46.0)</f>
        <v>46</v>
      </c>
      <c r="AC39" s="344">
        <f>IFERROR(__xludf.DUMMYFUNCTION("""COMPUTED_VALUE"""),28.0)</f>
        <v>28</v>
      </c>
      <c r="AD39" s="344">
        <f>IFERROR(__xludf.DUMMYFUNCTION("""COMPUTED_VALUE"""),10.5)</f>
        <v>10.5</v>
      </c>
      <c r="AE39" s="343">
        <f>IFERROR(__xludf.DUMMYFUNCTION("""COMPUTED_VALUE"""),30.4)</f>
        <v>30.4</v>
      </c>
      <c r="AF39" s="343">
        <f>IFERROR(__xludf.DUMMYFUNCTION("""COMPUTED_VALUE"""),1.94)</f>
        <v>1.94</v>
      </c>
      <c r="AG39" s="292" t="b">
        <f>IFERROR(__xludf.DUMMYFUNCTION("""COMPUTED_VALUE"""),FALSE)</f>
        <v>0</v>
      </c>
      <c r="AH39" s="292" t="b">
        <f>IFERROR(__xludf.DUMMYFUNCTION("""COMPUTED_VALUE"""),FALSE)</f>
        <v>0</v>
      </c>
      <c r="AI39" s="292" t="b">
        <f>IFERROR(__xludf.DUMMYFUNCTION("""COMPUTED_VALUE"""),TRUE)</f>
        <v>1</v>
      </c>
      <c r="AJ39" s="292" t="b">
        <f>IFERROR(__xludf.DUMMYFUNCTION("""COMPUTED_VALUE"""),FALSE)</f>
        <v>0</v>
      </c>
      <c r="AK39" s="292" t="b">
        <f>IFERROR(__xludf.DUMMYFUNCTION("""COMPUTED_VALUE"""),FALSE)</f>
        <v>0</v>
      </c>
      <c r="AL39" s="292" t="b">
        <f>IFERROR(__xludf.DUMMYFUNCTION("""COMPUTED_VALUE"""),FALSE)</f>
        <v>0</v>
      </c>
      <c r="AM39" s="292" t="b">
        <f>IFERROR(__xludf.DUMMYFUNCTION("""COMPUTED_VALUE"""),TRUE)</f>
        <v>1</v>
      </c>
      <c r="AN39" s="292" t="b">
        <f>IFERROR(__xludf.DUMMYFUNCTION("""COMPUTED_VALUE"""),FALSE)</f>
        <v>0</v>
      </c>
      <c r="AO39" s="292" t="str">
        <f>IFERROR(__xludf.DUMMYFUNCTION("""COMPUTED_VALUE"""),"TRUE")</f>
        <v>TRUE</v>
      </c>
      <c r="AP39" s="292" t="str">
        <f>IFERROR(__xludf.DUMMYFUNCTION("""COMPUTED_VALUE"""),"Chicken breast")</f>
        <v>Chicken breast</v>
      </c>
      <c r="AQ39" s="292" t="str">
        <f>IFERROR(__xludf.DUMMYFUNCTION("""COMPUTED_VALUE"""),"Chicken")</f>
        <v>Chicken</v>
      </c>
      <c r="AR39" s="292" t="str">
        <f>IFERROR(__xludf.DUMMYFUNCTION("""COMPUTED_VALUE"""),"Breast")</f>
        <v>Breast</v>
      </c>
      <c r="AS39" s="292" t="str">
        <f>IFERROR(__xludf.DUMMYFUNCTION("""COMPUTED_VALUE"""),"Sweet Potato Mash")</f>
        <v>Sweet Potato Mash</v>
      </c>
      <c r="AT39" s="292" t="str">
        <f>IFERROR(__xludf.DUMMYFUNCTION("""COMPUTED_VALUE"""),"Pumpkin ")</f>
        <v>Pumpkin </v>
      </c>
      <c r="AU39" s="292" t="str">
        <f>IFERROR(__xludf.DUMMYFUNCTION("""COMPUTED_VALUE"""),"Green Beans")</f>
        <v>Green Beans</v>
      </c>
      <c r="AV39" s="292" t="str">
        <f>IFERROR(__xludf.DUMMYFUNCTION("""COMPUTED_VALUE"""),"cranberry")</f>
        <v>cranberry</v>
      </c>
      <c r="AW39" s="292" t="str">
        <f>IFERROR(__xludf.DUMMYFUNCTION("""COMPUTED_VALUE"""),"Year Round")</f>
        <v>Year Round</v>
      </c>
      <c r="AX39" s="292" t="str">
        <f>IFERROR(__xludf.DUMMYFUNCTION("""COMPUTED_VALUE"""),"American")</f>
        <v>American</v>
      </c>
      <c r="AY39" s="292"/>
      <c r="AZ39" s="292" t="str">
        <f>IFERROR(__xludf.DUMMYFUNCTION("""COMPUTED_VALUE"""),"2 CT")</f>
        <v>2 CT</v>
      </c>
      <c r="BA39" s="292" t="b">
        <f>IFERROR(__xludf.DUMMYFUNCTION("""COMPUTED_VALUE"""),FALSE)</f>
        <v>0</v>
      </c>
      <c r="BB39" s="342">
        <f>IFERROR(__xludf.DUMMYFUNCTION("""COMPUTED_VALUE"""),2.15)</f>
        <v>2.15</v>
      </c>
      <c r="BC39" s="342">
        <f>IFERROR(__xludf.DUMMYFUNCTION("""COMPUTED_VALUE"""),1.06)</f>
        <v>1.06</v>
      </c>
      <c r="BD39" s="342">
        <f>IFERROR(__xludf.DUMMYFUNCTION("""COMPUTED_VALUE"""),0.36)</f>
        <v>0.36</v>
      </c>
      <c r="BE39" s="342">
        <f>IFERROR(__xludf.DUMMYFUNCTION("""COMPUTED_VALUE"""),0.89)</f>
        <v>0.89</v>
      </c>
      <c r="BF39" s="296">
        <f>IFERROR(__xludf.DUMMYFUNCTION("""COMPUTED_VALUE"""),3.1153226626766553)</f>
        <v>3.115322663</v>
      </c>
      <c r="BG39" s="296">
        <f>IFERROR(__xludf.DUMMYFUNCTION("""COMPUTED_VALUE"""),3.3209534068160913)</f>
        <v>3.320953407</v>
      </c>
      <c r="BH39" s="296">
        <f>IFERROR(__xludf.DUMMYFUNCTION("""COMPUTED_VALUE"""),3.284192755248875)</f>
        <v>3.284192755</v>
      </c>
      <c r="BI39" s="295">
        <f>IFERROR(__xludf.DUMMYFUNCTION("""COMPUTED_VALUE"""),151.5)</f>
        <v>151.5</v>
      </c>
      <c r="BJ39" s="295" t="str">
        <f>IFERROR(__xludf.DUMMYFUNCTION("""COMPUTED_VALUE"""),"FALSE")</f>
        <v>FALSE</v>
      </c>
      <c r="BK39" s="346">
        <f>IFERROR(__xludf.DUMMYFUNCTION("""COMPUTED_VALUE"""),2125.0)</f>
        <v>2125</v>
      </c>
      <c r="BL39" s="292" t="str">
        <f>IFERROR(__xludf.DUMMYFUNCTION("""COMPUTED_VALUE"""),"US")</f>
        <v>US</v>
      </c>
      <c r="BM39" s="292" t="str">
        <f>IFERROR(__xludf.DUMMYFUNCTION("""COMPUTED_VALUE"""),"Kyckling i tranbärssås")</f>
        <v>Kyckling i tranbärssås</v>
      </c>
      <c r="BN39" s="343">
        <f>IFERROR(__xludf.DUMMYFUNCTION("""COMPUTED_VALUE"""),3.3404255319148937)</f>
        <v>3.340425532</v>
      </c>
      <c r="BO39" s="343">
        <f>IFERROR(__xludf.DUMMYFUNCTION("""COMPUTED_VALUE"""),3.358974358974359)</f>
        <v>3.358974359</v>
      </c>
      <c r="BP39" s="292"/>
      <c r="BQ39" s="292" t="str">
        <f>IFERROR(__xludf.DUMMYFUNCTION("""COMPUTED_VALUE"""),"Hold")</f>
        <v>Hold</v>
      </c>
      <c r="BR39" s="292" t="b">
        <f>IFERROR(__xludf.DUMMYFUNCTION("""COMPUTED_VALUE"""),FALSE)</f>
        <v>0</v>
      </c>
      <c r="BS39" s="292" t="b">
        <f>IFERROR(__xludf.DUMMYFUNCTION("""COMPUTED_VALUE"""),TRUE)</f>
        <v>1</v>
      </c>
      <c r="BT39" s="345">
        <f>IFERROR(__xludf.DUMMYFUNCTION("""COMPUTED_VALUE"""),501.0)</f>
        <v>501</v>
      </c>
      <c r="BU39" s="345">
        <f>IFERROR(__xludf.DUMMYFUNCTION("""COMPUTED_VALUE"""),119.6)</f>
        <v>119.6</v>
      </c>
      <c r="BV39" s="344">
        <f>IFERROR(__xludf.DUMMYFUNCTION("""COMPUTED_VALUE"""),4.6)</f>
        <v>4.6</v>
      </c>
      <c r="BW39" s="344">
        <f>IFERROR(__xludf.DUMMYFUNCTION("""COMPUTED_VALUE"""),1.1)</f>
        <v>1.1</v>
      </c>
    </row>
    <row r="40">
      <c r="A40" s="292" t="str">
        <f>IFERROR(__xludf.DUMMYFUNCTION("""COMPUTED_VALUE"""),"FE0277C")</f>
        <v>FE0277C</v>
      </c>
      <c r="B40" s="292" t="str">
        <f>IFERROR(__xludf.DUMMYFUNCTION("""COMPUTED_VALUE"""),"CON-40-143656-4")</f>
        <v>CON-40-143656-4</v>
      </c>
      <c r="C40" s="292" t="str">
        <f>IFERROR(__xludf.DUMMYFUNCTION("""COMPUTED_VALUE"""),"CON-00-147832-2")</f>
        <v>CON-00-147832-2</v>
      </c>
      <c r="D40" s="292" t="str">
        <f>IFERROR(__xludf.DUMMYFUNCTION("""COMPUTED_VALUE"""),"CON-00-136705-3")</f>
        <v>CON-00-136705-3</v>
      </c>
      <c r="E40" s="292" t="str">
        <f>IFERROR(__xludf.DUMMYFUNCTION("""COMPUTED_VALUE"""),"Shredded beef with sesame dressing")</f>
        <v>Shredded beef with sesame dressing</v>
      </c>
      <c r="F40" s="292" t="str">
        <f>IFERROR(__xludf.DUMMYFUNCTION("""COMPUTED_VALUE"""),"with stir-fry vegetables and steamed broccoli")</f>
        <v>with stir-fry vegetables and steamed broccoli</v>
      </c>
      <c r="G40" s="292" t="str">
        <f>IFERROR(__xludf.DUMMYFUNCTION("""COMPUTED_VALUE"""),"Gegaard rundvlees met sesamdressing")</f>
        <v>Gegaard rundvlees met sesamdressing</v>
      </c>
      <c r="H40" s="292" t="str">
        <f>IFERROR(__xludf.DUMMYFUNCTION("""COMPUTED_VALUE"""),"met roerbakgroenten en gestoomde broccoli")</f>
        <v>met roerbakgroenten en gestoomde broccoli</v>
      </c>
      <c r="I40" s="292"/>
      <c r="J40" s="292" t="str">
        <f>IFERROR(__xludf.DUMMYFUNCTION("""COMPUTED_VALUE"""),"Zerkleinertes Rindfleisch mit Sesam-Dressing")</f>
        <v>Zerkleinertes Rindfleisch mit Sesam-Dressing</v>
      </c>
      <c r="K40" s="292">
        <f>IFERROR(__xludf.DUMMYFUNCTION("""COMPUTED_VALUE"""),565034.0)</f>
        <v>565034</v>
      </c>
      <c r="L40" s="292" t="str">
        <f>IFERROR(__xludf.DUMMYFUNCTION("""COMPUTED_VALUE"""),"HF Gestoofd rundvlees in sojasaus 382g")</f>
        <v>HF Gestoofd rundvlees in sojasaus 382g</v>
      </c>
      <c r="M40" s="292" t="str">
        <f>IFERROR(__xludf.DUMMYFUNCTION("""COMPUTED_VALUE"""),"FA-NL Gegaard rundvlees met sesamdressing (FE0277)")</f>
        <v>FA-NL Gegaard rundvlees met sesamdressing (FE0277)</v>
      </c>
      <c r="N40" s="292" t="str">
        <f>IFERROR(__xludf.DUMMYFUNCTION("""COMPUTED_VALUE"""),"FA-NO Braiseret oksekød med sesamdressing (FE0277)")</f>
        <v>FA-NO Braiseret oksekød med sesamdressing (FE0277)</v>
      </c>
      <c r="O40" s="292" t="str">
        <f>IFERROR(__xludf.DUMMYFUNCTION("""COMPUTED_VALUE"""),"FA-DE Geschmortes Rindfleisch mit Sesamdressing (FE0277)")</f>
        <v>FA-DE Geschmortes Rindfleisch mit Sesamdressing (FE0277)</v>
      </c>
      <c r="P40" s="292" t="str">
        <f>IFERROR(__xludf.DUMMYFUNCTION("""COMPUTED_VALUE"""),"Graveyard")</f>
        <v>Graveyard</v>
      </c>
      <c r="Q40" s="292"/>
      <c r="R40" s="342">
        <f>IFERROR(__xludf.DUMMYFUNCTION("""COMPUTED_VALUE"""),4.48)</f>
        <v>4.48</v>
      </c>
      <c r="S40" s="298">
        <f>IFERROR(__xludf.DUMMYFUNCTION("""COMPUTED_VALUE"""),0.0174061540297252)</f>
        <v>0.01740615403</v>
      </c>
      <c r="T40" s="343">
        <f>IFERROR(__xludf.DUMMYFUNCTION("""COMPUTED_VALUE"""),3.3949143746756616)</f>
        <v>3.394914375</v>
      </c>
      <c r="U40" s="292">
        <f>IFERROR(__xludf.DUMMYFUNCTION("""COMPUTED_VALUE"""),1927.0)</f>
        <v>1927</v>
      </c>
      <c r="V40" s="292"/>
      <c r="W40" s="292" t="b">
        <f>IFERROR(__xludf.DUMMYFUNCTION("""COMPUTED_VALUE"""),TRUE)</f>
        <v>1</v>
      </c>
      <c r="X40" s="345">
        <f>IFERROR(__xludf.DUMMYFUNCTION("""COMPUTED_VALUE"""),382.0)</f>
        <v>382</v>
      </c>
      <c r="Y40" s="344">
        <f>IFERROR(__xludf.DUMMYFUNCTION("""COMPUTED_VALUE"""),573.0)</f>
        <v>573</v>
      </c>
      <c r="Z40" s="343">
        <f>IFERROR(__xludf.DUMMYFUNCTION("""COMPUTED_VALUE"""),21.2)</f>
        <v>21.2</v>
      </c>
      <c r="AA40" s="344">
        <f>IFERROR(__xludf.DUMMYFUNCTION("""COMPUTED_VALUE"""),6.7)</f>
        <v>6.7</v>
      </c>
      <c r="AB40" s="344">
        <f>IFERROR(__xludf.DUMMYFUNCTION("""COMPUTED_VALUE"""),46.9)</f>
        <v>46.9</v>
      </c>
      <c r="AC40" s="344">
        <f>IFERROR(__xludf.DUMMYFUNCTION("""COMPUTED_VALUE"""),15.3)</f>
        <v>15.3</v>
      </c>
      <c r="AD40" s="344">
        <f>IFERROR(__xludf.DUMMYFUNCTION("""COMPUTED_VALUE"""),8.4)</f>
        <v>8.4</v>
      </c>
      <c r="AE40" s="343">
        <f>IFERROR(__xludf.DUMMYFUNCTION("""COMPUTED_VALUE"""),42.2)</f>
        <v>42.2</v>
      </c>
      <c r="AF40" s="343">
        <f>IFERROR(__xludf.DUMMYFUNCTION("""COMPUTED_VALUE"""),2.0)</f>
        <v>2</v>
      </c>
      <c r="AG40" s="292" t="b">
        <f>IFERROR(__xludf.DUMMYFUNCTION("""COMPUTED_VALUE"""),FALSE)</f>
        <v>0</v>
      </c>
      <c r="AH40" s="292" t="b">
        <f>IFERROR(__xludf.DUMMYFUNCTION("""COMPUTED_VALUE"""),FALSE)</f>
        <v>0</v>
      </c>
      <c r="AI40" s="292" t="b">
        <f>IFERROR(__xludf.DUMMYFUNCTION("""COMPUTED_VALUE"""),FALSE)</f>
        <v>0</v>
      </c>
      <c r="AJ40" s="292" t="b">
        <f>IFERROR(__xludf.DUMMYFUNCTION("""COMPUTED_VALUE"""),TRUE)</f>
        <v>1</v>
      </c>
      <c r="AK40" s="292" t="b">
        <f>IFERROR(__xludf.DUMMYFUNCTION("""COMPUTED_VALUE"""),FALSE)</f>
        <v>0</v>
      </c>
      <c r="AL40" s="292" t="b">
        <f>IFERROR(__xludf.DUMMYFUNCTION("""COMPUTED_VALUE"""),FALSE)</f>
        <v>0</v>
      </c>
      <c r="AM40" s="292" t="b">
        <f>IFERROR(__xludf.DUMMYFUNCTION("""COMPUTED_VALUE"""),TRUE)</f>
        <v>1</v>
      </c>
      <c r="AN40" s="292" t="b">
        <f>IFERROR(__xludf.DUMMYFUNCTION("""COMPUTED_VALUE"""),TRUE)</f>
        <v>1</v>
      </c>
      <c r="AO40" s="292" t="str">
        <f>IFERROR(__xludf.DUMMYFUNCTION("""COMPUTED_VALUE"""),"FALSE")</f>
        <v>FALSE</v>
      </c>
      <c r="AP40" s="292" t="str">
        <f>IFERROR(__xludf.DUMMYFUNCTION("""COMPUTED_VALUE"""),"Shredded beef")</f>
        <v>Shredded beef</v>
      </c>
      <c r="AQ40" s="292" t="str">
        <f>IFERROR(__xludf.DUMMYFUNCTION("""COMPUTED_VALUE"""),"Beef")</f>
        <v>Beef</v>
      </c>
      <c r="AR40" s="292" t="str">
        <f>IFERROR(__xludf.DUMMYFUNCTION("""COMPUTED_VALUE"""),"Chuck")</f>
        <v>Chuck</v>
      </c>
      <c r="AS40" s="292" t="str">
        <f>IFERROR(__xludf.DUMMYFUNCTION("""COMPUTED_VALUE"""),"Rice")</f>
        <v>Rice</v>
      </c>
      <c r="AT40" s="292" t="str">
        <f>IFERROR(__xludf.DUMMYFUNCTION("""COMPUTED_VALUE"""),"Broccoli")</f>
        <v>Broccoli</v>
      </c>
      <c r="AU40" s="292" t="str">
        <f>IFERROR(__xludf.DUMMYFUNCTION("""COMPUTED_VALUE"""),"Pepper Mix")</f>
        <v>Pepper Mix</v>
      </c>
      <c r="AV40" s="292" t="str">
        <f>IFERROR(__xludf.DUMMYFUNCTION("""COMPUTED_VALUE"""),"Cabbage")</f>
        <v>Cabbage</v>
      </c>
      <c r="AW40" s="292" t="str">
        <f>IFERROR(__xludf.DUMMYFUNCTION("""COMPUTED_VALUE"""),"Year Round")</f>
        <v>Year Round</v>
      </c>
      <c r="AX40" s="292" t="str">
        <f>IFERROR(__xludf.DUMMYFUNCTION("""COMPUTED_VALUE"""),"Asian")</f>
        <v>Asian</v>
      </c>
      <c r="AY40" s="292"/>
      <c r="AZ40" s="292" t="str">
        <f>IFERROR(__xludf.DUMMYFUNCTION("""COMPUTED_VALUE"""),"3 CT")</f>
        <v>3 CT</v>
      </c>
      <c r="BA40" s="292" t="b">
        <f>IFERROR(__xludf.DUMMYFUNCTION("""COMPUTED_VALUE"""),TRUE)</f>
        <v>1</v>
      </c>
      <c r="BB40" s="342">
        <f>IFERROR(__xludf.DUMMYFUNCTION("""COMPUTED_VALUE"""),2.39)</f>
        <v>2.39</v>
      </c>
      <c r="BC40" s="342">
        <f>IFERROR(__xludf.DUMMYFUNCTION("""COMPUTED_VALUE"""),0.86)</f>
        <v>0.86</v>
      </c>
      <c r="BD40" s="342">
        <f>IFERROR(__xludf.DUMMYFUNCTION("""COMPUTED_VALUE"""),0.392)</f>
        <v>0.392</v>
      </c>
      <c r="BE40" s="342">
        <f>IFERROR(__xludf.DUMMYFUNCTION("""COMPUTED_VALUE"""),0.89)</f>
        <v>0.89</v>
      </c>
      <c r="BF40" s="296" t="str">
        <f>IFERROR(__xludf.DUMMYFUNCTION("""COMPUTED_VALUE"""),"#REF!")</f>
        <v>#REF!</v>
      </c>
      <c r="BG40" s="296" t="str">
        <f>IFERROR(__xludf.DUMMYFUNCTION("""COMPUTED_VALUE"""),"#REF!")</f>
        <v>#REF!</v>
      </c>
      <c r="BH40" s="296" t="str">
        <f>IFERROR(__xludf.DUMMYFUNCTION("""COMPUTED_VALUE"""),"#REF!")</f>
        <v>#REF!</v>
      </c>
      <c r="BI40" s="295">
        <f>IFERROR(__xludf.DUMMYFUNCTION("""COMPUTED_VALUE"""),157.0)</f>
        <v>157</v>
      </c>
      <c r="BJ40" s="295" t="str">
        <f>IFERROR(__xludf.DUMMYFUNCTION("""COMPUTED_VALUE"""),"FALSE")</f>
        <v>FALSE</v>
      </c>
      <c r="BK40" s="346">
        <f>IFERROR(__xludf.DUMMYFUNCTION("""COMPUTED_VALUE"""),2402.0)</f>
        <v>2402</v>
      </c>
      <c r="BL40" s="292"/>
      <c r="BM40" s="292"/>
      <c r="BN40" s="292"/>
      <c r="BO40" s="292"/>
      <c r="BP40" s="292"/>
      <c r="BQ40" s="292" t="str">
        <f>IFERROR(__xludf.DUMMYFUNCTION("""COMPUTED_VALUE"""),"Graveyard")</f>
        <v>Graveyard</v>
      </c>
      <c r="BR40" s="292" t="b">
        <f>IFERROR(__xludf.DUMMYFUNCTION("""COMPUTED_VALUE"""),FALSE)</f>
        <v>0</v>
      </c>
      <c r="BS40" s="292" t="b">
        <f>IFERROR(__xludf.DUMMYFUNCTION("""COMPUTED_VALUE"""),FALSE)</f>
        <v>0</v>
      </c>
      <c r="BT40" s="345">
        <f>IFERROR(__xludf.DUMMYFUNCTION("""COMPUTED_VALUE"""),628.7958115183246)</f>
        <v>628.7958115</v>
      </c>
      <c r="BU40" s="345">
        <f>IFERROR(__xludf.DUMMYFUNCTION("""COMPUTED_VALUE"""),150.0)</f>
        <v>150</v>
      </c>
      <c r="BV40" s="344">
        <f>IFERROR(__xludf.DUMMYFUNCTION("""COMPUTED_VALUE"""),5.549738219895288)</f>
        <v>5.54973822</v>
      </c>
      <c r="BW40" s="344">
        <f>IFERROR(__xludf.DUMMYFUNCTION("""COMPUTED_VALUE"""),1.7539267015706808)</f>
        <v>1.753926702</v>
      </c>
    </row>
    <row r="41">
      <c r="A41" s="292" t="str">
        <f>IFERROR(__xludf.DUMMYFUNCTION("""COMPUTED_VALUE"""),"FE0277D")</f>
        <v>FE0277D</v>
      </c>
      <c r="B41" s="292" t="str">
        <f>IFERROR(__xludf.DUMMYFUNCTION("""COMPUTED_VALUE"""),"CON-40-143656-4")</f>
        <v>CON-40-143656-4</v>
      </c>
      <c r="C41" s="292" t="str">
        <f>IFERROR(__xludf.DUMMYFUNCTION("""COMPUTED_VALUE"""),"CON-00-147832-2")</f>
        <v>CON-00-147832-2</v>
      </c>
      <c r="D41" s="292" t="str">
        <f>IFERROR(__xludf.DUMMYFUNCTION("""COMPUTED_VALUE"""),"CON-00-136705-3")</f>
        <v>CON-00-136705-3</v>
      </c>
      <c r="E41" s="292" t="str">
        <f>IFERROR(__xludf.DUMMYFUNCTION("""COMPUTED_VALUE"""),"Braised beef with sesame dressing")</f>
        <v>Braised beef with sesame dressing</v>
      </c>
      <c r="F41" s="292" t="str">
        <f>IFERROR(__xludf.DUMMYFUNCTION("""COMPUTED_VALUE"""),"with stir-fry vegetables and steamed broccoli")</f>
        <v>with stir-fry vegetables and steamed broccoli</v>
      </c>
      <c r="G41" s="292" t="str">
        <f>IFERROR(__xludf.DUMMYFUNCTION("""COMPUTED_VALUE"""),"Gegaard rundvlees met sesamdressing")</f>
        <v>Gegaard rundvlees met sesamdressing</v>
      </c>
      <c r="H41" s="292" t="str">
        <f>IFERROR(__xludf.DUMMYFUNCTION("""COMPUTED_VALUE"""),"met roerbakgroenten en gestoomde broccoli")</f>
        <v>met roerbakgroenten en gestoomde broccoli</v>
      </c>
      <c r="I41" s="292" t="str">
        <f>IFERROR(__xludf.DUMMYFUNCTION("""COMPUTED_VALUE"""),"Braiseret oksekød med sesamdressing")</f>
        <v>Braiseret oksekød med sesamdressing</v>
      </c>
      <c r="J41" s="292" t="str">
        <f>IFERROR(__xludf.DUMMYFUNCTION("""COMPUTED_VALUE"""),"Geschmortes Rindfleisch mit Sesamdressing")</f>
        <v>Geschmortes Rindfleisch mit Sesamdressing</v>
      </c>
      <c r="K41" s="292">
        <f>IFERROR(__xludf.DUMMYFUNCTION("""COMPUTED_VALUE"""),565097.0)</f>
        <v>565097</v>
      </c>
      <c r="L41" s="292" t="str">
        <f>IFERROR(__xludf.DUMMYFUNCTION("""COMPUTED_VALUE"""),"HF Gestoofd rundvlees in sojasaus")</f>
        <v>HF Gestoofd rundvlees in sojasaus</v>
      </c>
      <c r="M41" s="292" t="str">
        <f>IFERROR(__xludf.DUMMYFUNCTION("""COMPUTED_VALUE"""),"FA-NL Gegaard rundvlees met sesamdressing (FE0277)")</f>
        <v>FA-NL Gegaard rundvlees met sesamdressing (FE0277)</v>
      </c>
      <c r="N41" s="292" t="str">
        <f>IFERROR(__xludf.DUMMYFUNCTION("""COMPUTED_VALUE"""),"FA-NO Braiseret oksekød med sesamdressing (FE0277)")</f>
        <v>FA-NO Braiseret oksekød med sesamdressing (FE0277)</v>
      </c>
      <c r="O41" s="292" t="str">
        <f>IFERROR(__xludf.DUMMYFUNCTION("""COMPUTED_VALUE"""),"FA-DE Geschmortes Rindfleisch mit Sesamdressing (FE0277)")</f>
        <v>FA-DE Geschmortes Rindfleisch mit Sesamdressing (FE0277)</v>
      </c>
      <c r="P41" s="292" t="str">
        <f>IFERROR(__xludf.DUMMYFUNCTION("""COMPUTED_VALUE"""),"Graveyard")</f>
        <v>Graveyard</v>
      </c>
      <c r="Q41" s="292"/>
      <c r="R41" s="342">
        <f>IFERROR(__xludf.DUMMYFUNCTION("""COMPUTED_VALUE"""),4.7)</f>
        <v>4.7</v>
      </c>
      <c r="S41" s="292"/>
      <c r="T41" s="292"/>
      <c r="U41" s="292"/>
      <c r="V41" s="292"/>
      <c r="W41" s="292" t="b">
        <f>IFERROR(__xludf.DUMMYFUNCTION("""COMPUTED_VALUE"""),TRUE)</f>
        <v>1</v>
      </c>
      <c r="X41" s="345">
        <f>IFERROR(__xludf.DUMMYFUNCTION("""COMPUTED_VALUE"""),405.0)</f>
        <v>405</v>
      </c>
      <c r="Y41" s="344">
        <f>IFERROR(__xludf.DUMMYFUNCTION("""COMPUTED_VALUE"""),565.0)</f>
        <v>565</v>
      </c>
      <c r="Z41" s="343">
        <f>IFERROR(__xludf.DUMMYFUNCTION("""COMPUTED_VALUE"""),21.5)</f>
        <v>21.5</v>
      </c>
      <c r="AA41" s="344">
        <f>IFERROR(__xludf.DUMMYFUNCTION("""COMPUTED_VALUE"""),6.1)</f>
        <v>6.1</v>
      </c>
      <c r="AB41" s="344">
        <f>IFERROR(__xludf.DUMMYFUNCTION("""COMPUTED_VALUE"""),48.6)</f>
        <v>48.6</v>
      </c>
      <c r="AC41" s="344">
        <f>IFERROR(__xludf.DUMMYFUNCTION("""COMPUTED_VALUE"""),15.0)</f>
        <v>15</v>
      </c>
      <c r="AD41" s="344">
        <f>IFERROR(__xludf.DUMMYFUNCTION("""COMPUTED_VALUE"""),9.3)</f>
        <v>9.3</v>
      </c>
      <c r="AE41" s="343">
        <f>IFERROR(__xludf.DUMMYFUNCTION("""COMPUTED_VALUE"""),38.5)</f>
        <v>38.5</v>
      </c>
      <c r="AF41" s="343">
        <f>IFERROR(__xludf.DUMMYFUNCTION("""COMPUTED_VALUE"""),2.03)</f>
        <v>2.03</v>
      </c>
      <c r="AG41" s="292" t="b">
        <f>IFERROR(__xludf.DUMMYFUNCTION("""COMPUTED_VALUE"""),FALSE)</f>
        <v>0</v>
      </c>
      <c r="AH41" s="292" t="b">
        <f>IFERROR(__xludf.DUMMYFUNCTION("""COMPUTED_VALUE"""),FALSE)</f>
        <v>0</v>
      </c>
      <c r="AI41" s="292" t="b">
        <f>IFERROR(__xludf.DUMMYFUNCTION("""COMPUTED_VALUE"""),FALSE)</f>
        <v>0</v>
      </c>
      <c r="AJ41" s="292" t="b">
        <f>IFERROR(__xludf.DUMMYFUNCTION("""COMPUTED_VALUE"""),FALSE)</f>
        <v>0</v>
      </c>
      <c r="AK41" s="292" t="b">
        <f>IFERROR(__xludf.DUMMYFUNCTION("""COMPUTED_VALUE"""),FALSE)</f>
        <v>0</v>
      </c>
      <c r="AL41" s="292" t="b">
        <f>IFERROR(__xludf.DUMMYFUNCTION("""COMPUTED_VALUE"""),FALSE)</f>
        <v>0</v>
      </c>
      <c r="AM41" s="292" t="b">
        <f>IFERROR(__xludf.DUMMYFUNCTION("""COMPUTED_VALUE"""),TRUE)</f>
        <v>1</v>
      </c>
      <c r="AN41" s="292" t="b">
        <f>IFERROR(__xludf.DUMMYFUNCTION("""COMPUTED_VALUE"""),TRUE)</f>
        <v>1</v>
      </c>
      <c r="AO41" s="292" t="str">
        <f>IFERROR(__xludf.DUMMYFUNCTION("""COMPUTED_VALUE"""),"TRUE")</f>
        <v>TRUE</v>
      </c>
      <c r="AP41" s="292" t="str">
        <f>IFERROR(__xludf.DUMMYFUNCTION("""COMPUTED_VALUE"""),"Shredded beef")</f>
        <v>Shredded beef</v>
      </c>
      <c r="AQ41" s="292" t="str">
        <f>IFERROR(__xludf.DUMMYFUNCTION("""COMPUTED_VALUE"""),"Beef")</f>
        <v>Beef</v>
      </c>
      <c r="AR41" s="292" t="str">
        <f>IFERROR(__xludf.DUMMYFUNCTION("""COMPUTED_VALUE"""),"Shredded")</f>
        <v>Shredded</v>
      </c>
      <c r="AS41" s="292" t="str">
        <f>IFERROR(__xludf.DUMMYFUNCTION("""COMPUTED_VALUE"""),"Rice")</f>
        <v>Rice</v>
      </c>
      <c r="AT41" s="292" t="str">
        <f>IFERROR(__xludf.DUMMYFUNCTION("""COMPUTED_VALUE"""),"Broccoli")</f>
        <v>Broccoli</v>
      </c>
      <c r="AU41" s="292" t="str">
        <f>IFERROR(__xludf.DUMMYFUNCTION("""COMPUTED_VALUE"""),"Red bell pepper")</f>
        <v>Red bell pepper</v>
      </c>
      <c r="AV41" s="292" t="str">
        <f>IFERROR(__xludf.DUMMYFUNCTION("""COMPUTED_VALUE"""),"Cabbage")</f>
        <v>Cabbage</v>
      </c>
      <c r="AW41" s="292" t="str">
        <f>IFERROR(__xludf.DUMMYFUNCTION("""COMPUTED_VALUE"""),"Year Round")</f>
        <v>Year Round</v>
      </c>
      <c r="AX41" s="292" t="str">
        <f>IFERROR(__xludf.DUMMYFUNCTION("""COMPUTED_VALUE"""),"Asian")</f>
        <v>Asian</v>
      </c>
      <c r="AY41" s="292"/>
      <c r="AZ41" s="292" t="str">
        <f>IFERROR(__xludf.DUMMYFUNCTION("""COMPUTED_VALUE"""),"2 CT")</f>
        <v>2 CT</v>
      </c>
      <c r="BA41" s="292" t="b">
        <f>IFERROR(__xludf.DUMMYFUNCTION("""COMPUTED_VALUE"""),TRUE)</f>
        <v>1</v>
      </c>
      <c r="BB41" s="342">
        <f>IFERROR(__xludf.DUMMYFUNCTION("""COMPUTED_VALUE"""),2.46)</f>
        <v>2.46</v>
      </c>
      <c r="BC41" s="342">
        <f>IFERROR(__xludf.DUMMYFUNCTION("""COMPUTED_VALUE"""),1.01)</f>
        <v>1.01</v>
      </c>
      <c r="BD41" s="342">
        <f>IFERROR(__xludf.DUMMYFUNCTION("""COMPUTED_VALUE"""),0.392)</f>
        <v>0.392</v>
      </c>
      <c r="BE41" s="342">
        <f>IFERROR(__xludf.DUMMYFUNCTION("""COMPUTED_VALUE"""),0.89)</f>
        <v>0.89</v>
      </c>
      <c r="BF41" s="296" t="str">
        <f>IFERROR(__xludf.DUMMYFUNCTION("""COMPUTED_VALUE"""),"#REF!")</f>
        <v>#REF!</v>
      </c>
      <c r="BG41" s="296" t="str">
        <f>IFERROR(__xludf.DUMMYFUNCTION("""COMPUTED_VALUE"""),"#REF!")</f>
        <v>#REF!</v>
      </c>
      <c r="BH41" s="296" t="str">
        <f>IFERROR(__xludf.DUMMYFUNCTION("""COMPUTED_VALUE"""),"#REF!")</f>
        <v>#REF!</v>
      </c>
      <c r="BI41" s="295">
        <f>IFERROR(__xludf.DUMMYFUNCTION("""COMPUTED_VALUE"""),176.0)</f>
        <v>176</v>
      </c>
      <c r="BJ41" s="295" t="str">
        <f>IFERROR(__xludf.DUMMYFUNCTION("""COMPUTED_VALUE"""),"FALSE")</f>
        <v>FALSE</v>
      </c>
      <c r="BK41" s="346">
        <f>IFERROR(__xludf.DUMMYFUNCTION("""COMPUTED_VALUE"""),2369.0)</f>
        <v>2369</v>
      </c>
      <c r="BL41" s="292" t="str">
        <f>IFERROR(__xludf.DUMMYFUNCTION("""COMPUTED_VALUE"""),"US")</f>
        <v>US</v>
      </c>
      <c r="BM41" s="292" t="str">
        <f>IFERROR(__xludf.DUMMYFUNCTION("""COMPUTED_VALUE"""),"Bräserat nötkött med sesamdressing")</f>
        <v>Bräserat nötkött med sesamdressing</v>
      </c>
      <c r="BN41" s="292"/>
      <c r="BO41" s="292"/>
      <c r="BP41" s="292"/>
      <c r="BQ41" s="292" t="str">
        <f>IFERROR(__xludf.DUMMYFUNCTION("""COMPUTED_VALUE"""),"Graveyard")</f>
        <v>Graveyard</v>
      </c>
      <c r="BR41" s="292" t="b">
        <f>IFERROR(__xludf.DUMMYFUNCTION("""COMPUTED_VALUE"""),FALSE)</f>
        <v>0</v>
      </c>
      <c r="BS41" s="292" t="b">
        <f>IFERROR(__xludf.DUMMYFUNCTION("""COMPUTED_VALUE"""),FALSE)</f>
        <v>0</v>
      </c>
      <c r="BT41" s="345">
        <f>IFERROR(__xludf.DUMMYFUNCTION("""COMPUTED_VALUE"""),585.0)</f>
        <v>585</v>
      </c>
      <c r="BU41" s="345">
        <f>IFERROR(__xludf.DUMMYFUNCTION("""COMPUTED_VALUE"""),139.5)</f>
        <v>139.5</v>
      </c>
      <c r="BV41" s="344">
        <f>IFERROR(__xludf.DUMMYFUNCTION("""COMPUTED_VALUE"""),5.3)</f>
        <v>5.3</v>
      </c>
      <c r="BW41" s="344">
        <f>IFERROR(__xludf.DUMMYFUNCTION("""COMPUTED_VALUE"""),1.5)</f>
        <v>1.5</v>
      </c>
    </row>
    <row r="42">
      <c r="A42" s="292" t="str">
        <f>IFERROR(__xludf.DUMMYFUNCTION("""COMPUTED_VALUE"""),"FE0281C")</f>
        <v>FE0281C</v>
      </c>
      <c r="B42" s="292" t="str">
        <f>IFERROR(__xludf.DUMMYFUNCTION("""COMPUTED_VALUE"""),"CON-40-143708-4")</f>
        <v>CON-40-143708-4</v>
      </c>
      <c r="C42" s="292" t="str">
        <f>IFERROR(__xludf.DUMMYFUNCTION("""COMPUTED_VALUE"""),"CON-00-147833-2")</f>
        <v>CON-00-147833-2</v>
      </c>
      <c r="D42" s="292" t="str">
        <f>IFERROR(__xludf.DUMMYFUNCTION("""COMPUTED_VALUE"""),"CON-00-136683-3")</f>
        <v>CON-00-136683-3</v>
      </c>
      <c r="E42" s="292" t="str">
        <f>IFERROR(__xludf.DUMMYFUNCTION("""COMPUTED_VALUE"""),"Citrus salmon with Mexican twist")</f>
        <v>Citrus salmon with Mexican twist</v>
      </c>
      <c r="F42" s="292" t="str">
        <f>IFERROR(__xludf.DUMMYFUNCTION("""COMPUTED_VALUE"""),"with cauliflower rice, broccoli and jalapeño crema")</f>
        <v>with cauliflower rice, broccoli and jalapeño crema</v>
      </c>
      <c r="G42" s="292" t="str">
        <f>IFERROR(__xludf.DUMMYFUNCTION("""COMPUTED_VALUE"""),"Citrus-zalm met Mexicaanse twist")</f>
        <v>Citrus-zalm met Mexicaanse twist</v>
      </c>
      <c r="H42" s="292" t="str">
        <f>IFERROR(__xludf.DUMMYFUNCTION("""COMPUTED_VALUE"""),"met bloemkoolrijst, broccoli en jalapeño-crème ")</f>
        <v>met bloemkoolrijst, broccoli en jalapeño-crème </v>
      </c>
      <c r="I42" s="292" t="str">
        <f>IFERROR(__xludf.DUMMYFUNCTION("""COMPUTED_VALUE"""),"Mexikansk inspireret laks i citron ")</f>
        <v>Mexikansk inspireret laks i citron </v>
      </c>
      <c r="J42" s="292" t="str">
        <f>IFERROR(__xludf.DUMMYFUNCTION("""COMPUTED_VALUE"""),"Zitruslachs „Mexican Style""")</f>
        <v>Zitruslachs „Mexican Style"</v>
      </c>
      <c r="K42" s="292">
        <f>IFERROR(__xludf.DUMMYFUNCTION("""COMPUTED_VALUE"""),565087.0)</f>
        <v>565087</v>
      </c>
      <c r="L42" s="292"/>
      <c r="M42" s="292" t="str">
        <f>IFERROR(__xludf.DUMMYFUNCTION("""COMPUTED_VALUE"""),"FA-NL Pittige citrus-zalm (FE0281)")</f>
        <v>FA-NL Pittige citrus-zalm (FE0281)</v>
      </c>
      <c r="N42" s="292" t="str">
        <f>IFERROR(__xludf.DUMMYFUNCTION("""COMPUTED_VALUE"""),"FA-NO Krydret citruslaks (FE0281)")</f>
        <v>FA-NO Krydret citruslaks (FE0281)</v>
      </c>
      <c r="O42" s="292" t="str">
        <f>IFERROR(__xludf.DUMMYFUNCTION("""COMPUTED_VALUE"""),"FA-DE Würziger Zitronenlachs (FE0281)")</f>
        <v>FA-DE Würziger Zitronenlachs (FE0281)</v>
      </c>
      <c r="P42" s="292" t="str">
        <f>IFERROR(__xludf.DUMMYFUNCTION("""COMPUTED_VALUE"""),"Graveyard")</f>
        <v>Graveyard</v>
      </c>
      <c r="Q42" s="292" t="str">
        <f>IFERROR(__xludf.DUMMYFUNCTION("""COMPUTED_VALUE"""),"new version ")</f>
        <v>new version </v>
      </c>
      <c r="R42" s="342">
        <f>IFERROR(__xludf.DUMMYFUNCTION("""COMPUTED_VALUE"""),6.35)</f>
        <v>6.35</v>
      </c>
      <c r="S42" s="292"/>
      <c r="T42" s="292"/>
      <c r="U42" s="292"/>
      <c r="V42" s="292"/>
      <c r="W42" s="292" t="b">
        <f>IFERROR(__xludf.DUMMYFUNCTION("""COMPUTED_VALUE"""),TRUE)</f>
        <v>1</v>
      </c>
      <c r="X42" s="345">
        <f>IFERROR(__xludf.DUMMYFUNCTION("""COMPUTED_VALUE"""),418.0)</f>
        <v>418</v>
      </c>
      <c r="Y42" s="344">
        <f>IFERROR(__xludf.DUMMYFUNCTION("""COMPUTED_VALUE"""),548.0)</f>
        <v>548</v>
      </c>
      <c r="Z42" s="343">
        <f>IFERROR(__xludf.DUMMYFUNCTION("""COMPUTED_VALUE"""),34.7)</f>
        <v>34.7</v>
      </c>
      <c r="AA42" s="344">
        <f>IFERROR(__xludf.DUMMYFUNCTION("""COMPUTED_VALUE"""),7.1)</f>
        <v>7.1</v>
      </c>
      <c r="AB42" s="344">
        <f>IFERROR(__xludf.DUMMYFUNCTION("""COMPUTED_VALUE"""),17.1)</f>
        <v>17.1</v>
      </c>
      <c r="AC42" s="344">
        <f>IFERROR(__xludf.DUMMYFUNCTION("""COMPUTED_VALUE"""),13.8)</f>
        <v>13.8</v>
      </c>
      <c r="AD42" s="344">
        <f>IFERROR(__xludf.DUMMYFUNCTION("""COMPUTED_VALUE"""),7.9)</f>
        <v>7.9</v>
      </c>
      <c r="AE42" s="343">
        <f>IFERROR(__xludf.DUMMYFUNCTION("""COMPUTED_VALUE"""),36.4)</f>
        <v>36.4</v>
      </c>
      <c r="AF42" s="343">
        <f>IFERROR(__xludf.DUMMYFUNCTION("""COMPUTED_VALUE"""),2.05)</f>
        <v>2.05</v>
      </c>
      <c r="AG42" s="292" t="b">
        <f>IFERROR(__xludf.DUMMYFUNCTION("""COMPUTED_VALUE"""),TRUE)</f>
        <v>1</v>
      </c>
      <c r="AH42" s="292" t="b">
        <f>IFERROR(__xludf.DUMMYFUNCTION("""COMPUTED_VALUE"""),FALSE)</f>
        <v>0</v>
      </c>
      <c r="AI42" s="292" t="b">
        <f>IFERROR(__xludf.DUMMYFUNCTION("""COMPUTED_VALUE"""),TRUE)</f>
        <v>1</v>
      </c>
      <c r="AJ42" s="292" t="b">
        <f>IFERROR(__xludf.DUMMYFUNCTION("""COMPUTED_VALUE"""),FALSE)</f>
        <v>0</v>
      </c>
      <c r="AK42" s="292" t="b">
        <f>IFERROR(__xludf.DUMMYFUNCTION("""COMPUTED_VALUE"""),FALSE)</f>
        <v>0</v>
      </c>
      <c r="AL42" s="292" t="b">
        <f>IFERROR(__xludf.DUMMYFUNCTION("""COMPUTED_VALUE"""),FALSE)</f>
        <v>0</v>
      </c>
      <c r="AM42" s="292" t="b">
        <f>IFERROR(__xludf.DUMMYFUNCTION("""COMPUTED_VALUE"""),TRUE)</f>
        <v>1</v>
      </c>
      <c r="AN42" s="292" t="b">
        <f>IFERROR(__xludf.DUMMYFUNCTION("""COMPUTED_VALUE"""),FALSE)</f>
        <v>0</v>
      </c>
      <c r="AO42" s="292" t="str">
        <f>IFERROR(__xludf.DUMMYFUNCTION("""COMPUTED_VALUE"""),"FALSE")</f>
        <v>FALSE</v>
      </c>
      <c r="AP42" s="292" t="str">
        <f>IFERROR(__xludf.DUMMYFUNCTION("""COMPUTED_VALUE"""),"Salmon")</f>
        <v>Salmon</v>
      </c>
      <c r="AQ42" s="292" t="str">
        <f>IFERROR(__xludf.DUMMYFUNCTION("""COMPUTED_VALUE"""),"Salmon")</f>
        <v>Salmon</v>
      </c>
      <c r="AR42" s="292" t="str">
        <f>IFERROR(__xludf.DUMMYFUNCTION("""COMPUTED_VALUE"""),"Filet")</f>
        <v>Filet</v>
      </c>
      <c r="AS42" s="292" t="str">
        <f>IFERROR(__xludf.DUMMYFUNCTION("""COMPUTED_VALUE"""),"Cauliflower Rice")</f>
        <v>Cauliflower Rice</v>
      </c>
      <c r="AT42" s="292" t="str">
        <f>IFERROR(__xludf.DUMMYFUNCTION("""COMPUTED_VALUE"""),"Broccoli")</f>
        <v>Broccoli</v>
      </c>
      <c r="AU42" s="292"/>
      <c r="AV42" s="292" t="str">
        <f>IFERROR(__xludf.DUMMYFUNCTION("""COMPUTED_VALUE"""),"Compound Butter")</f>
        <v>Compound Butter</v>
      </c>
      <c r="AW42" s="292" t="str">
        <f>IFERROR(__xludf.DUMMYFUNCTION("""COMPUTED_VALUE"""),"Year Round")</f>
        <v>Year Round</v>
      </c>
      <c r="AX42" s="292" t="str">
        <f>IFERROR(__xludf.DUMMYFUNCTION("""COMPUTED_VALUE"""),"Mexican")</f>
        <v>Mexican</v>
      </c>
      <c r="AY42" s="292"/>
      <c r="AZ42" s="292" t="str">
        <f>IFERROR(__xludf.DUMMYFUNCTION("""COMPUTED_VALUE"""),"2 CT")</f>
        <v>2 CT</v>
      </c>
      <c r="BA42" s="292" t="b">
        <f>IFERROR(__xludf.DUMMYFUNCTION("""COMPUTED_VALUE"""),TRUE)</f>
        <v>1</v>
      </c>
      <c r="BB42" s="342">
        <f>IFERROR(__xludf.DUMMYFUNCTION("""COMPUTED_VALUE"""),4.08)</f>
        <v>4.08</v>
      </c>
      <c r="BC42" s="342">
        <f>IFERROR(__xludf.DUMMYFUNCTION("""COMPUTED_VALUE"""),1.04)</f>
        <v>1.04</v>
      </c>
      <c r="BD42" s="342">
        <f>IFERROR(__xludf.DUMMYFUNCTION("""COMPUTED_VALUE"""),0.392)</f>
        <v>0.392</v>
      </c>
      <c r="BE42" s="342">
        <f>IFERROR(__xludf.DUMMYFUNCTION("""COMPUTED_VALUE"""),0.89)</f>
        <v>0.89</v>
      </c>
      <c r="BF42" s="296" t="str">
        <f>IFERROR(__xludf.DUMMYFUNCTION("""COMPUTED_VALUE"""),"#REF!")</f>
        <v>#REF!</v>
      </c>
      <c r="BG42" s="296" t="str">
        <f>IFERROR(__xludf.DUMMYFUNCTION("""COMPUTED_VALUE"""),"#REF!")</f>
        <v>#REF!</v>
      </c>
      <c r="BH42" s="296" t="str">
        <f>IFERROR(__xludf.DUMMYFUNCTION("""COMPUTED_VALUE"""),"#REF!")</f>
        <v>#REF!</v>
      </c>
      <c r="BI42" s="295">
        <f>IFERROR(__xludf.DUMMYFUNCTION("""COMPUTED_VALUE"""),213.0)</f>
        <v>213</v>
      </c>
      <c r="BJ42" s="295" t="str">
        <f>IFERROR(__xludf.DUMMYFUNCTION("""COMPUTED_VALUE"""),"TRUE")</f>
        <v>TRUE</v>
      </c>
      <c r="BK42" s="346">
        <f>IFERROR(__xludf.DUMMYFUNCTION("""COMPUTED_VALUE"""),2282.0)</f>
        <v>2282</v>
      </c>
      <c r="BL42" s="292"/>
      <c r="BM42" s="292" t="str">
        <f>IFERROR(__xludf.DUMMYFUNCTION("""COMPUTED_VALUE"""),"Citronlax med mexikansk twist")</f>
        <v>Citronlax med mexikansk twist</v>
      </c>
      <c r="BN42" s="292"/>
      <c r="BO42" s="292"/>
      <c r="BP42" s="292"/>
      <c r="BQ42" s="292" t="str">
        <f>IFERROR(__xludf.DUMMYFUNCTION("""COMPUTED_VALUE"""),"Graveyard")</f>
        <v>Graveyard</v>
      </c>
      <c r="BR42" s="292" t="b">
        <f>IFERROR(__xludf.DUMMYFUNCTION("""COMPUTED_VALUE"""),FALSE)</f>
        <v>0</v>
      </c>
      <c r="BS42" s="292" t="b">
        <f>IFERROR(__xludf.DUMMYFUNCTION("""COMPUTED_VALUE"""),FALSE)</f>
        <v>0</v>
      </c>
      <c r="BT42" s="345">
        <f>IFERROR(__xludf.DUMMYFUNCTION("""COMPUTED_VALUE"""),546.0)</f>
        <v>546</v>
      </c>
      <c r="BU42" s="345">
        <f>IFERROR(__xludf.DUMMYFUNCTION("""COMPUTED_VALUE"""),131.0)</f>
        <v>131</v>
      </c>
      <c r="BV42" s="344">
        <f>IFERROR(__xludf.DUMMYFUNCTION("""COMPUTED_VALUE"""),8.3)</f>
        <v>8.3</v>
      </c>
      <c r="BW42" s="344">
        <f>IFERROR(__xludf.DUMMYFUNCTION("""COMPUTED_VALUE"""),1.7)</f>
        <v>1.7</v>
      </c>
    </row>
    <row r="43">
      <c r="A43" s="292" t="str">
        <f>IFERROR(__xludf.DUMMYFUNCTION("""COMPUTED_VALUE"""),"FE0281D")</f>
        <v>FE0281D</v>
      </c>
      <c r="B43" s="292" t="str">
        <f>IFERROR(__xludf.DUMMYFUNCTION("""COMPUTED_VALUE"""),"CON-40-143708-4")</f>
        <v>CON-40-143708-4</v>
      </c>
      <c r="C43" s="292" t="str">
        <f>IFERROR(__xludf.DUMMYFUNCTION("""COMPUTED_VALUE"""),"CON-00-147833-2")</f>
        <v>CON-00-147833-2</v>
      </c>
      <c r="D43" s="292" t="str">
        <f>IFERROR(__xludf.DUMMYFUNCTION("""COMPUTED_VALUE"""),"CON-00-136683-3")</f>
        <v>CON-00-136683-3</v>
      </c>
      <c r="E43" s="292" t="str">
        <f>IFERROR(__xludf.DUMMYFUNCTION("""COMPUTED_VALUE"""),"Spicy citrus salmon")</f>
        <v>Spicy citrus salmon</v>
      </c>
      <c r="F43" s="292" t="str">
        <f>IFERROR(__xludf.DUMMYFUNCTION("""COMPUTED_VALUE"""),"with cauliflower rice, broccoli and jalapeños")</f>
        <v>with cauliflower rice, broccoli and jalapeños</v>
      </c>
      <c r="G43" s="292" t="str">
        <f>IFERROR(__xludf.DUMMYFUNCTION("""COMPUTED_VALUE"""),"Pittige citrus-zalm")</f>
        <v>Pittige citrus-zalm</v>
      </c>
      <c r="H43" s="292" t="str">
        <f>IFERROR(__xludf.DUMMYFUNCTION("""COMPUTED_VALUE"""),"met romige bloemkoolrijst, broccoli en jalapeño's")</f>
        <v>met romige bloemkoolrijst, broccoli en jalapeño's</v>
      </c>
      <c r="I43" s="292" t="str">
        <f>IFERROR(__xludf.DUMMYFUNCTION("""COMPUTED_VALUE"""),"Krydret citruslaks ")</f>
        <v>Krydret citruslaks </v>
      </c>
      <c r="J43" s="292" t="str">
        <f>IFERROR(__xludf.DUMMYFUNCTION("""COMPUTED_VALUE"""),"Würziger Zitronenlachs")</f>
        <v>Würziger Zitronenlachs</v>
      </c>
      <c r="K43" s="292">
        <f>IFERROR(__xludf.DUMMYFUNCTION("""COMPUTED_VALUE"""),565087.0)</f>
        <v>565087</v>
      </c>
      <c r="L43" s="292"/>
      <c r="M43" s="292" t="str">
        <f>IFERROR(__xludf.DUMMYFUNCTION("""COMPUTED_VALUE"""),"FA-NL Pittige citrus-zalm (FE0281)")</f>
        <v>FA-NL Pittige citrus-zalm (FE0281)</v>
      </c>
      <c r="N43" s="292" t="str">
        <f>IFERROR(__xludf.DUMMYFUNCTION("""COMPUTED_VALUE"""),"FA-NO Krydret citruslaks (FE0281)")</f>
        <v>FA-NO Krydret citruslaks (FE0281)</v>
      </c>
      <c r="O43" s="292" t="str">
        <f>IFERROR(__xludf.DUMMYFUNCTION("""COMPUTED_VALUE"""),"FA-DE Würziger Zitronenlachs (FE0281)")</f>
        <v>FA-DE Würziger Zitronenlachs (FE0281)</v>
      </c>
      <c r="P43" s="292" t="str">
        <f>IFERROR(__xludf.DUMMYFUNCTION("""COMPUTED_VALUE"""),"Hold")</f>
        <v>Hold</v>
      </c>
      <c r="Q43" s="292" t="str">
        <f>IFERROR(__xludf.DUMMYFUNCTION("""COMPUTED_VALUE"""),"BF version without LAB")</f>
        <v>BF version without LAB</v>
      </c>
      <c r="R43" s="342">
        <f>IFERROR(__xludf.DUMMYFUNCTION("""COMPUTED_VALUE"""),6.42)</f>
        <v>6.42</v>
      </c>
      <c r="S43" s="292"/>
      <c r="T43" s="292"/>
      <c r="U43" s="292"/>
      <c r="V43" s="292"/>
      <c r="W43" s="292" t="b">
        <f>IFERROR(__xludf.DUMMYFUNCTION("""COMPUTED_VALUE"""),TRUE)</f>
        <v>1</v>
      </c>
      <c r="X43" s="345">
        <f>IFERROR(__xludf.DUMMYFUNCTION("""COMPUTED_VALUE"""),404.0)</f>
        <v>404</v>
      </c>
      <c r="Y43" s="344">
        <f>IFERROR(__xludf.DUMMYFUNCTION("""COMPUTED_VALUE"""),571.0)</f>
        <v>571</v>
      </c>
      <c r="Z43" s="343">
        <f>IFERROR(__xludf.DUMMYFUNCTION("""COMPUTED_VALUE"""),37.0)</f>
        <v>37</v>
      </c>
      <c r="AA43" s="344">
        <f>IFERROR(__xludf.DUMMYFUNCTION("""COMPUTED_VALUE"""),9.4)</f>
        <v>9.4</v>
      </c>
      <c r="AB43" s="344">
        <f>IFERROR(__xludf.DUMMYFUNCTION("""COMPUTED_VALUE"""),18.4)</f>
        <v>18.4</v>
      </c>
      <c r="AC43" s="344">
        <f>IFERROR(__xludf.DUMMYFUNCTION("""COMPUTED_VALUE"""),15.0)</f>
        <v>15</v>
      </c>
      <c r="AD43" s="344">
        <f>IFERROR(__xludf.DUMMYFUNCTION("""COMPUTED_VALUE"""),6.7)</f>
        <v>6.7</v>
      </c>
      <c r="AE43" s="343">
        <f>IFERROR(__xludf.DUMMYFUNCTION("""COMPUTED_VALUE"""),37.2)</f>
        <v>37.2</v>
      </c>
      <c r="AF43" s="343">
        <f>IFERROR(__xludf.DUMMYFUNCTION("""COMPUTED_VALUE"""),2.03)</f>
        <v>2.03</v>
      </c>
      <c r="AG43" s="292" t="b">
        <f>IFERROR(__xludf.DUMMYFUNCTION("""COMPUTED_VALUE"""),TRUE)</f>
        <v>1</v>
      </c>
      <c r="AH43" s="292" t="b">
        <f>IFERROR(__xludf.DUMMYFUNCTION("""COMPUTED_VALUE"""),FALSE)</f>
        <v>0</v>
      </c>
      <c r="AI43" s="292" t="b">
        <f>IFERROR(__xludf.DUMMYFUNCTION("""COMPUTED_VALUE"""),FALSE)</f>
        <v>0</v>
      </c>
      <c r="AJ43" s="292" t="b">
        <f>IFERROR(__xludf.DUMMYFUNCTION("""COMPUTED_VALUE"""),FALSE)</f>
        <v>0</v>
      </c>
      <c r="AK43" s="292" t="b">
        <f>IFERROR(__xludf.DUMMYFUNCTION("""COMPUTED_VALUE"""),FALSE)</f>
        <v>0</v>
      </c>
      <c r="AL43" s="292" t="b">
        <f>IFERROR(__xludf.DUMMYFUNCTION("""COMPUTED_VALUE"""),FALSE)</f>
        <v>0</v>
      </c>
      <c r="AM43" s="292" t="b">
        <f>IFERROR(__xludf.DUMMYFUNCTION("""COMPUTED_VALUE"""),TRUE)</f>
        <v>1</v>
      </c>
      <c r="AN43" s="292" t="b">
        <f>IFERROR(__xludf.DUMMYFUNCTION("""COMPUTED_VALUE"""),FALSE)</f>
        <v>0</v>
      </c>
      <c r="AO43" s="292" t="str">
        <f>IFERROR(__xludf.DUMMYFUNCTION("""COMPUTED_VALUE"""),"FALSE")</f>
        <v>FALSE</v>
      </c>
      <c r="AP43" s="292" t="str">
        <f>IFERROR(__xludf.DUMMYFUNCTION("""COMPUTED_VALUE"""),"Salmon")</f>
        <v>Salmon</v>
      </c>
      <c r="AQ43" s="292" t="str">
        <f>IFERROR(__xludf.DUMMYFUNCTION("""COMPUTED_VALUE"""),"Salmon")</f>
        <v>Salmon</v>
      </c>
      <c r="AR43" s="292" t="str">
        <f>IFERROR(__xludf.DUMMYFUNCTION("""COMPUTED_VALUE"""),"Filet")</f>
        <v>Filet</v>
      </c>
      <c r="AS43" s="292" t="str">
        <f>IFERROR(__xludf.DUMMYFUNCTION("""COMPUTED_VALUE"""),"Cauliflower Rice")</f>
        <v>Cauliflower Rice</v>
      </c>
      <c r="AT43" s="292" t="str">
        <f>IFERROR(__xludf.DUMMYFUNCTION("""COMPUTED_VALUE"""),"Broccoli")</f>
        <v>Broccoli</v>
      </c>
      <c r="AU43" s="292"/>
      <c r="AV43" s="292" t="str">
        <f>IFERROR(__xludf.DUMMYFUNCTION("""COMPUTED_VALUE"""),"Jalapeno slices")</f>
        <v>Jalapeno slices</v>
      </c>
      <c r="AW43" s="292" t="str">
        <f>IFERROR(__xludf.DUMMYFUNCTION("""COMPUTED_VALUE"""),"Year Round")</f>
        <v>Year Round</v>
      </c>
      <c r="AX43" s="292" t="str">
        <f>IFERROR(__xludf.DUMMYFUNCTION("""COMPUTED_VALUE"""),"Mexican")</f>
        <v>Mexican</v>
      </c>
      <c r="AY43" s="292"/>
      <c r="AZ43" s="292" t="str">
        <f>IFERROR(__xludf.DUMMYFUNCTION("""COMPUTED_VALUE"""),"2 CT")</f>
        <v>2 CT</v>
      </c>
      <c r="BA43" s="292" t="b">
        <f>IFERROR(__xludf.DUMMYFUNCTION("""COMPUTED_VALUE"""),TRUE)</f>
        <v>1</v>
      </c>
      <c r="BB43" s="342">
        <f>IFERROR(__xludf.DUMMYFUNCTION("""COMPUTED_VALUE"""),4.18)</f>
        <v>4.18</v>
      </c>
      <c r="BC43" s="342">
        <f>IFERROR(__xludf.DUMMYFUNCTION("""COMPUTED_VALUE"""),1.01)</f>
        <v>1.01</v>
      </c>
      <c r="BD43" s="342">
        <f>IFERROR(__xludf.DUMMYFUNCTION("""COMPUTED_VALUE"""),0.39)</f>
        <v>0.39</v>
      </c>
      <c r="BE43" s="342">
        <f>IFERROR(__xludf.DUMMYFUNCTION("""COMPUTED_VALUE"""),0.89)</f>
        <v>0.89</v>
      </c>
      <c r="BF43" s="296" t="str">
        <f>IFERROR(__xludf.DUMMYFUNCTION("""COMPUTED_VALUE"""),"#REF!")</f>
        <v>#REF!</v>
      </c>
      <c r="BG43" s="296" t="str">
        <f>IFERROR(__xludf.DUMMYFUNCTION("""COMPUTED_VALUE"""),"#REF!")</f>
        <v>#REF!</v>
      </c>
      <c r="BH43" s="296" t="str">
        <f>IFERROR(__xludf.DUMMYFUNCTION("""COMPUTED_VALUE"""),"#REF!")</f>
        <v>#REF!</v>
      </c>
      <c r="BI43" s="295">
        <f>IFERROR(__xludf.DUMMYFUNCTION("""COMPUTED_VALUE"""),206.0)</f>
        <v>206</v>
      </c>
      <c r="BJ43" s="295" t="str">
        <f>IFERROR(__xludf.DUMMYFUNCTION("""COMPUTED_VALUE"""),"TRUE")</f>
        <v>TRUE</v>
      </c>
      <c r="BK43" s="346">
        <f>IFERROR(__xludf.DUMMYFUNCTION("""COMPUTED_VALUE"""),2379.0)</f>
        <v>2379</v>
      </c>
      <c r="BL43" s="292" t="str">
        <f>IFERROR(__xludf.DUMMYFUNCTION("""COMPUTED_VALUE"""),"US")</f>
        <v>US</v>
      </c>
      <c r="BM43" s="292" t="str">
        <f>IFERROR(__xludf.DUMMYFUNCTION("""COMPUTED_VALUE"""),"Het citronlax ")</f>
        <v>Het citronlax </v>
      </c>
      <c r="BN43" s="292"/>
      <c r="BO43" s="292"/>
      <c r="BP43" s="292"/>
      <c r="BQ43" s="292" t="str">
        <f>IFERROR(__xludf.DUMMYFUNCTION("""COMPUTED_VALUE"""),"Graveyard")</f>
        <v>Graveyard</v>
      </c>
      <c r="BR43" s="292" t="b">
        <f>IFERROR(__xludf.DUMMYFUNCTION("""COMPUTED_VALUE"""),FALSE)</f>
        <v>0</v>
      </c>
      <c r="BS43" s="292" t="b">
        <f>IFERROR(__xludf.DUMMYFUNCTION("""COMPUTED_VALUE"""),FALSE)</f>
        <v>0</v>
      </c>
      <c r="BT43" s="345">
        <f>IFERROR(__xludf.DUMMYFUNCTION("""COMPUTED_VALUE"""),589.0)</f>
        <v>589</v>
      </c>
      <c r="BU43" s="345">
        <f>IFERROR(__xludf.DUMMYFUNCTION("""COMPUTED_VALUE"""),141.4)</f>
        <v>141.4</v>
      </c>
      <c r="BV43" s="344">
        <f>IFERROR(__xludf.DUMMYFUNCTION("""COMPUTED_VALUE"""),9.2)</f>
        <v>9.2</v>
      </c>
      <c r="BW43" s="344">
        <f>IFERROR(__xludf.DUMMYFUNCTION("""COMPUTED_VALUE"""),2.3)</f>
        <v>2.3</v>
      </c>
    </row>
    <row r="44">
      <c r="A44" s="292" t="str">
        <f>IFERROR(__xludf.DUMMYFUNCTION("""COMPUTED_VALUE"""),"FE0286B")</f>
        <v>FE0286B</v>
      </c>
      <c r="B44" s="292" t="str">
        <f>IFERROR(__xludf.DUMMYFUNCTION("""COMPUTED_VALUE"""),"CON-40-143744-4")</f>
        <v>CON-40-143744-4</v>
      </c>
      <c r="C44" s="292"/>
      <c r="D44" s="292" t="str">
        <f>IFERROR(__xludf.DUMMYFUNCTION("""COMPUTED_VALUE"""),"CON-00-136652-3")</f>
        <v>CON-00-136652-3</v>
      </c>
      <c r="E44" s="292" t="str">
        <f>IFERROR(__xludf.DUMMYFUNCTION("""COMPUTED_VALUE"""),"Pork tenderloin with chimichurri")</f>
        <v>Pork tenderloin with chimichurri</v>
      </c>
      <c r="F44" s="292" t="str">
        <f>IFERROR(__xludf.DUMMYFUNCTION("""COMPUTED_VALUE"""),"with courgette and puree of red pepper and cauliflower")</f>
        <v>with courgette and puree of red pepper and cauliflower</v>
      </c>
      <c r="G44" s="292" t="str">
        <f>IFERROR(__xludf.DUMMYFUNCTION("""COMPUTED_VALUE"""),"Varkenshaas met chimichurri")</f>
        <v>Varkenshaas met chimichurri</v>
      </c>
      <c r="H44" s="292" t="str">
        <f>IFERROR(__xludf.DUMMYFUNCTION("""COMPUTED_VALUE"""),"met courgette en puree van rode paprika en bloemkool")</f>
        <v>met courgette en puree van rode paprika en bloemkool</v>
      </c>
      <c r="I44" s="292"/>
      <c r="J44" s="292" t="str">
        <f>IFERROR(__xludf.DUMMYFUNCTION("""COMPUTED_VALUE"""),"Schweinefilet mit Chimichurri")</f>
        <v>Schweinefilet mit Chimichurri</v>
      </c>
      <c r="K44" s="292">
        <f>IFERROR(__xludf.DUMMYFUNCTION("""COMPUTED_VALUE"""),565052.0)</f>
        <v>565052</v>
      </c>
      <c r="L44" s="292" t="str">
        <f>IFERROR(__xludf.DUMMYFUNCTION("""COMPUTED_VALUE"""),"HF Chimichurri gegrilde varkenshaas 401g")</f>
        <v>HF Chimichurri gegrilde varkenshaas 401g</v>
      </c>
      <c r="M44" s="292" t="str">
        <f>IFERROR(__xludf.DUMMYFUNCTION("""COMPUTED_VALUE"""),"FA-NL Varkenshaas met chimichurri (FE0286)")</f>
        <v>FA-NL Varkenshaas met chimichurri (FE0286)</v>
      </c>
      <c r="N44" s="292" t="str">
        <f>IFERROR(__xludf.DUMMYFUNCTION("""COMPUTED_VALUE"""),"#N/A")</f>
        <v>#N/A</v>
      </c>
      <c r="O44" s="292" t="str">
        <f>IFERROR(__xludf.DUMMYFUNCTION("""COMPUTED_VALUE"""),"FA-DE Schweinefilet mit Chimichurri (FE0286)")</f>
        <v>FA-DE Schweinefilet mit Chimichurri (FE0286)</v>
      </c>
      <c r="P44" s="292" t="str">
        <f>IFERROR(__xludf.DUMMYFUNCTION("""COMPUTED_VALUE"""),"Graveyard")</f>
        <v>Graveyard</v>
      </c>
      <c r="Q44" s="292"/>
      <c r="R44" s="342">
        <f>IFERROR(__xludf.DUMMYFUNCTION("""COMPUTED_VALUE"""),5.77)</f>
        <v>5.77</v>
      </c>
      <c r="S44" s="292"/>
      <c r="T44" s="343">
        <f>IFERROR(__xludf.DUMMYFUNCTION("""COMPUTED_VALUE"""),3.4)</f>
        <v>3.4</v>
      </c>
      <c r="U44" s="292"/>
      <c r="V44" s="292"/>
      <c r="W44" s="292" t="b">
        <f>IFERROR(__xludf.DUMMYFUNCTION("""COMPUTED_VALUE"""),FALSE)</f>
        <v>0</v>
      </c>
      <c r="X44" s="345">
        <f>IFERROR(__xludf.DUMMYFUNCTION("""COMPUTED_VALUE"""),401.0)</f>
        <v>401</v>
      </c>
      <c r="Y44" s="344">
        <f>IFERROR(__xludf.DUMMYFUNCTION("""COMPUTED_VALUE"""),705.0)</f>
        <v>705</v>
      </c>
      <c r="Z44" s="343">
        <f>IFERROR(__xludf.DUMMYFUNCTION("""COMPUTED_VALUE"""),54.6)</f>
        <v>54.6</v>
      </c>
      <c r="AA44" s="344">
        <f>IFERROR(__xludf.DUMMYFUNCTION("""COMPUTED_VALUE"""),23.0)</f>
        <v>23</v>
      </c>
      <c r="AB44" s="344">
        <f>IFERROR(__xludf.DUMMYFUNCTION("""COMPUTED_VALUE"""),14.0)</f>
        <v>14</v>
      </c>
      <c r="AC44" s="344">
        <f>IFERROR(__xludf.DUMMYFUNCTION("""COMPUTED_VALUE"""),10.2)</f>
        <v>10.2</v>
      </c>
      <c r="AD44" s="344">
        <f>IFERROR(__xludf.DUMMYFUNCTION("""COMPUTED_VALUE"""),5.8)</f>
        <v>5.8</v>
      </c>
      <c r="AE44" s="343">
        <f>IFERROR(__xludf.DUMMYFUNCTION("""COMPUTED_VALUE"""),35.9)</f>
        <v>35.9</v>
      </c>
      <c r="AF44" s="343">
        <f>IFERROR(__xludf.DUMMYFUNCTION("""COMPUTED_VALUE"""),1.97)</f>
        <v>1.97</v>
      </c>
      <c r="AG44" s="292" t="b">
        <f>IFERROR(__xludf.DUMMYFUNCTION("""COMPUTED_VALUE"""),FALSE)</f>
        <v>0</v>
      </c>
      <c r="AH44" s="292" t="b">
        <f>IFERROR(__xludf.DUMMYFUNCTION("""COMPUTED_VALUE"""),TRUE)</f>
        <v>1</v>
      </c>
      <c r="AI44" s="292" t="b">
        <f>IFERROR(__xludf.DUMMYFUNCTION("""COMPUTED_VALUE"""),FALSE)</f>
        <v>0</v>
      </c>
      <c r="AJ44" s="292" t="b">
        <f>IFERROR(__xludf.DUMMYFUNCTION("""COMPUTED_VALUE"""),FALSE)</f>
        <v>0</v>
      </c>
      <c r="AK44" s="292" t="b">
        <f>IFERROR(__xludf.DUMMYFUNCTION("""COMPUTED_VALUE"""),FALSE)</f>
        <v>0</v>
      </c>
      <c r="AL44" s="292" t="b">
        <f>IFERROR(__xludf.DUMMYFUNCTION("""COMPUTED_VALUE"""),FALSE)</f>
        <v>0</v>
      </c>
      <c r="AM44" s="292" t="b">
        <f>IFERROR(__xludf.DUMMYFUNCTION("""COMPUTED_VALUE"""),TRUE)</f>
        <v>1</v>
      </c>
      <c r="AN44" s="292" t="b">
        <f>IFERROR(__xludf.DUMMYFUNCTION("""COMPUTED_VALUE"""),FALSE)</f>
        <v>0</v>
      </c>
      <c r="AO44" s="292" t="str">
        <f>IFERROR(__xludf.DUMMYFUNCTION("""COMPUTED_VALUE"""),"FALSE")</f>
        <v>FALSE</v>
      </c>
      <c r="AP44" s="292" t="str">
        <f>IFERROR(__xludf.DUMMYFUNCTION("""COMPUTED_VALUE"""),"Pork tenderloin")</f>
        <v>Pork tenderloin</v>
      </c>
      <c r="AQ44" s="292" t="str">
        <f>IFERROR(__xludf.DUMMYFUNCTION("""COMPUTED_VALUE"""),"Pork")</f>
        <v>Pork</v>
      </c>
      <c r="AR44" s="292" t="str">
        <f>IFERROR(__xludf.DUMMYFUNCTION("""COMPUTED_VALUE"""),"Tenderloin")</f>
        <v>Tenderloin</v>
      </c>
      <c r="AS44" s="292" t="str">
        <f>IFERROR(__xludf.DUMMYFUNCTION("""COMPUTED_VALUE"""),"Cauliflower Mash")</f>
        <v>Cauliflower Mash</v>
      </c>
      <c r="AT44" s="292" t="str">
        <f>IFERROR(__xludf.DUMMYFUNCTION("""COMPUTED_VALUE"""),"Zucchini Diced")</f>
        <v>Zucchini Diced</v>
      </c>
      <c r="AU44" s="292" t="str">
        <f>IFERROR(__xludf.DUMMYFUNCTION("""COMPUTED_VALUE"""),"Compound Butter")</f>
        <v>Compound Butter</v>
      </c>
      <c r="AV44" s="292" t="str">
        <f>IFERROR(__xludf.DUMMYFUNCTION("""COMPUTED_VALUE"""),"Cupped Sauce")</f>
        <v>Cupped Sauce</v>
      </c>
      <c r="AW44" s="292" t="str">
        <f>IFERROR(__xludf.DUMMYFUNCTION("""COMPUTED_VALUE"""),"Year Round")</f>
        <v>Year Round</v>
      </c>
      <c r="AX44" s="292" t="str">
        <f>IFERROR(__xludf.DUMMYFUNCTION("""COMPUTED_VALUE"""),"Peruvian")</f>
        <v>Peruvian</v>
      </c>
      <c r="AY44" s="292"/>
      <c r="AZ44" s="292" t="str">
        <f>IFERROR(__xludf.DUMMYFUNCTION("""COMPUTED_VALUE"""),"2 CT")</f>
        <v>2 CT</v>
      </c>
      <c r="BA44" s="292" t="b">
        <f>IFERROR(__xludf.DUMMYFUNCTION("""COMPUTED_VALUE"""),TRUE)</f>
        <v>1</v>
      </c>
      <c r="BB44" s="342">
        <f>IFERROR(__xludf.DUMMYFUNCTION("""COMPUTED_VALUE"""),3.47)</f>
        <v>3.47</v>
      </c>
      <c r="BC44" s="342">
        <f>IFERROR(__xludf.DUMMYFUNCTION("""COMPUTED_VALUE"""),1.06)</f>
        <v>1.06</v>
      </c>
      <c r="BD44" s="342">
        <f>IFERROR(__xludf.DUMMYFUNCTION("""COMPUTED_VALUE"""),0.392)</f>
        <v>0.392</v>
      </c>
      <c r="BE44" s="342">
        <f>IFERROR(__xludf.DUMMYFUNCTION("""COMPUTED_VALUE"""),0.89)</f>
        <v>0.89</v>
      </c>
      <c r="BF44" s="296" t="str">
        <f>IFERROR(__xludf.DUMMYFUNCTION("""COMPUTED_VALUE"""),"#REF!")</f>
        <v>#REF!</v>
      </c>
      <c r="BG44" s="296" t="str">
        <f>IFERROR(__xludf.DUMMYFUNCTION("""COMPUTED_VALUE"""),"#REF!")</f>
        <v>#REF!</v>
      </c>
      <c r="BH44" s="296" t="str">
        <f>IFERROR(__xludf.DUMMYFUNCTION("""COMPUTED_VALUE"""),"#REF!")</f>
        <v>#REF!</v>
      </c>
      <c r="BI44" s="295">
        <f>IFERROR(__xludf.DUMMYFUNCTION("""COMPUTED_VALUE"""),197.0)</f>
        <v>197</v>
      </c>
      <c r="BJ44" s="295" t="str">
        <f>IFERROR(__xludf.DUMMYFUNCTION("""COMPUTED_VALUE"""),"FALSE")</f>
        <v>FALSE</v>
      </c>
      <c r="BK44" s="346">
        <f>IFERROR(__xludf.DUMMYFUNCTION("""COMPUTED_VALUE"""),2926.0)</f>
        <v>2926</v>
      </c>
      <c r="BL44" s="292"/>
      <c r="BM44" s="292"/>
      <c r="BN44" s="292"/>
      <c r="BO44" s="292"/>
      <c r="BP44" s="292"/>
      <c r="BQ44" s="292" t="str">
        <f>IFERROR(__xludf.DUMMYFUNCTION("""COMPUTED_VALUE"""),"Graveyard")</f>
        <v>Graveyard</v>
      </c>
      <c r="BR44" s="292" t="b">
        <f>IFERROR(__xludf.DUMMYFUNCTION("""COMPUTED_VALUE"""),FALSE)</f>
        <v>0</v>
      </c>
      <c r="BS44" s="292" t="b">
        <f>IFERROR(__xludf.DUMMYFUNCTION("""COMPUTED_VALUE"""),FALSE)</f>
        <v>0</v>
      </c>
      <c r="BT44" s="345">
        <f>IFERROR(__xludf.DUMMYFUNCTION("""COMPUTED_VALUE"""),729.6758104738154)</f>
        <v>729.6758105</v>
      </c>
      <c r="BU44" s="345">
        <f>IFERROR(__xludf.DUMMYFUNCTION("""COMPUTED_VALUE"""),175.81047381546136)</f>
        <v>175.8104738</v>
      </c>
      <c r="BV44" s="344">
        <f>IFERROR(__xludf.DUMMYFUNCTION("""COMPUTED_VALUE"""),13.615960099750623)</f>
        <v>13.6159601</v>
      </c>
      <c r="BW44" s="344">
        <f>IFERROR(__xludf.DUMMYFUNCTION("""COMPUTED_VALUE"""),5.7356608478802995)</f>
        <v>5.735660848</v>
      </c>
    </row>
    <row r="45">
      <c r="A45" s="292" t="str">
        <f>IFERROR(__xludf.DUMMYFUNCTION("""COMPUTED_VALUE"""),"FE0324C")</f>
        <v>FE0324C</v>
      </c>
      <c r="B45" s="292" t="str">
        <f>IFERROR(__xludf.DUMMYFUNCTION("""COMPUTED_VALUE"""),"CON-40-143713-4")</f>
        <v>CON-40-143713-4</v>
      </c>
      <c r="C45" s="292" t="str">
        <f>IFERROR(__xludf.DUMMYFUNCTION("""COMPUTED_VALUE"""),"CON-00-147834-2")</f>
        <v>CON-00-147834-2</v>
      </c>
      <c r="D45" s="292" t="str">
        <f>IFERROR(__xludf.DUMMYFUNCTION("""COMPUTED_VALUE"""),"CON-00-136715-3")</f>
        <v>CON-00-136715-3</v>
      </c>
      <c r="E45" s="292" t="str">
        <f>IFERROR(__xludf.DUMMYFUNCTION("""COMPUTED_VALUE"""),"Ginger-soy pulled chicken")</f>
        <v>Ginger-soy pulled chicken</v>
      </c>
      <c r="F45" s="292" t="str">
        <f>IFERROR(__xludf.DUMMYFUNCTION("""COMPUTED_VALUE"""),"with quinoa and broccoli")</f>
        <v>with quinoa and broccoli</v>
      </c>
      <c r="G45" s="292" t="str">
        <f>IFERROR(__xludf.DUMMYFUNCTION("""COMPUTED_VALUE"""),"Pulled chicken in gember-soja dressing")</f>
        <v>Pulled chicken in gember-soja dressing</v>
      </c>
      <c r="H45" s="292" t="str">
        <f>IFERROR(__xludf.DUMMYFUNCTION("""COMPUTED_VALUE"""),"met quinoa en broccoli")</f>
        <v>met quinoa en broccoli</v>
      </c>
      <c r="I45" s="292" t="str">
        <f>IFERROR(__xludf.DUMMYFUNCTION("""COMPUTED_VALUE"""),"Pulled chicken i ingefær-sojadressing")</f>
        <v>Pulled chicken i ingefær-sojadressing</v>
      </c>
      <c r="J45" s="292" t="str">
        <f>IFERROR(__xludf.DUMMYFUNCTION("""COMPUTED_VALUE"""),"Pulled Chicken mit Ingwer-Soja-Dressing")</f>
        <v>Pulled Chicken mit Ingwer-Soja-Dressing</v>
      </c>
      <c r="K45" s="292">
        <f>IFERROR(__xludf.DUMMYFUNCTION("""COMPUTED_VALUE"""),565107.0)</f>
        <v>565107</v>
      </c>
      <c r="L45" s="292"/>
      <c r="M45" s="292" t="str">
        <f>IFERROR(__xludf.DUMMYFUNCTION("""COMPUTED_VALUE"""),"FA-NL Pulled chicken in gember-soja dressing (FE0324)")</f>
        <v>FA-NL Pulled chicken in gember-soja dressing (FE0324)</v>
      </c>
      <c r="N45" s="292" t="str">
        <f>IFERROR(__xludf.DUMMYFUNCTION("""COMPUTED_VALUE"""),"FA-NO Pulled chicken i ingefær-sojadressing (FE0324)")</f>
        <v>FA-NO Pulled chicken i ingefær-sojadressing (FE0324)</v>
      </c>
      <c r="O45" s="292" t="str">
        <f>IFERROR(__xludf.DUMMYFUNCTION("""COMPUTED_VALUE"""),"FA-DE Pulled Chicken mit Ingwer-Soja-Dressing (FE0324)")</f>
        <v>FA-DE Pulled Chicken mit Ingwer-Soja-Dressing (FE0324)</v>
      </c>
      <c r="P45" s="292" t="str">
        <f>IFERROR(__xludf.DUMMYFUNCTION("""COMPUTED_VALUE"""),"Graveyard")</f>
        <v>Graveyard</v>
      </c>
      <c r="Q45" s="292"/>
      <c r="R45" s="342">
        <f>IFERROR(__xludf.DUMMYFUNCTION("""COMPUTED_VALUE"""),3.9)</f>
        <v>3.9</v>
      </c>
      <c r="S45" s="292"/>
      <c r="T45" s="292"/>
      <c r="U45" s="292"/>
      <c r="V45" s="292"/>
      <c r="W45" s="292" t="b">
        <f>IFERROR(__xludf.DUMMYFUNCTION("""COMPUTED_VALUE"""),TRUE)</f>
        <v>1</v>
      </c>
      <c r="X45" s="345">
        <f>IFERROR(__xludf.DUMMYFUNCTION("""COMPUTED_VALUE"""),394.0)</f>
        <v>394</v>
      </c>
      <c r="Y45" s="344">
        <f>IFERROR(__xludf.DUMMYFUNCTION("""COMPUTED_VALUE"""),546.0)</f>
        <v>546</v>
      </c>
      <c r="Z45" s="343">
        <f>IFERROR(__xludf.DUMMYFUNCTION("""COMPUTED_VALUE"""),32.4)</f>
        <v>32.4</v>
      </c>
      <c r="AA45" s="344">
        <f>IFERROR(__xludf.DUMMYFUNCTION("""COMPUTED_VALUE"""),5.9)</f>
        <v>5.9</v>
      </c>
      <c r="AB45" s="344">
        <f>IFERROR(__xludf.DUMMYFUNCTION("""COMPUTED_VALUE"""),26.3)</f>
        <v>26.3</v>
      </c>
      <c r="AC45" s="344">
        <f>IFERROR(__xludf.DUMMYFUNCTION("""COMPUTED_VALUE"""),7.9)</f>
        <v>7.9</v>
      </c>
      <c r="AD45" s="344">
        <f>IFERROR(__xludf.DUMMYFUNCTION("""COMPUTED_VALUE"""),7.8)</f>
        <v>7.8</v>
      </c>
      <c r="AE45" s="343">
        <f>IFERROR(__xludf.DUMMYFUNCTION("""COMPUTED_VALUE"""),32.4)</f>
        <v>32.4</v>
      </c>
      <c r="AF45" s="343">
        <f>IFERROR(__xludf.DUMMYFUNCTION("""COMPUTED_VALUE"""),1.98)</f>
        <v>1.98</v>
      </c>
      <c r="AG45" s="292" t="b">
        <f>IFERROR(__xludf.DUMMYFUNCTION("""COMPUTED_VALUE"""),FALSE)</f>
        <v>0</v>
      </c>
      <c r="AH45" s="292" t="b">
        <f>IFERROR(__xludf.DUMMYFUNCTION("""COMPUTED_VALUE"""),FALSE)</f>
        <v>0</v>
      </c>
      <c r="AI45" s="292" t="b">
        <f>IFERROR(__xludf.DUMMYFUNCTION("""COMPUTED_VALUE"""),TRUE)</f>
        <v>1</v>
      </c>
      <c r="AJ45" s="292" t="b">
        <f>IFERROR(__xludf.DUMMYFUNCTION("""COMPUTED_VALUE"""),FALSE)</f>
        <v>0</v>
      </c>
      <c r="AK45" s="292" t="b">
        <f>IFERROR(__xludf.DUMMYFUNCTION("""COMPUTED_VALUE"""),FALSE)</f>
        <v>0</v>
      </c>
      <c r="AL45" s="292" t="b">
        <f>IFERROR(__xludf.DUMMYFUNCTION("""COMPUTED_VALUE"""),FALSE)</f>
        <v>0</v>
      </c>
      <c r="AM45" s="292" t="b">
        <f>IFERROR(__xludf.DUMMYFUNCTION("""COMPUTED_VALUE"""),TRUE)</f>
        <v>1</v>
      </c>
      <c r="AN45" s="292" t="b">
        <f>IFERROR(__xludf.DUMMYFUNCTION("""COMPUTED_VALUE"""),TRUE)</f>
        <v>1</v>
      </c>
      <c r="AO45" s="292" t="str">
        <f>IFERROR(__xludf.DUMMYFUNCTION("""COMPUTED_VALUE"""),"FALSE")</f>
        <v>FALSE</v>
      </c>
      <c r="AP45" s="292" t="str">
        <f>IFERROR(__xludf.DUMMYFUNCTION("""COMPUTED_VALUE"""),"Shredded chicken")</f>
        <v>Shredded chicken</v>
      </c>
      <c r="AQ45" s="292" t="str">
        <f>IFERROR(__xludf.DUMMYFUNCTION("""COMPUTED_VALUE"""),"Chicken")</f>
        <v>Chicken</v>
      </c>
      <c r="AR45" s="292" t="str">
        <f>IFERROR(__xludf.DUMMYFUNCTION("""COMPUTED_VALUE"""),"Shredded")</f>
        <v>Shredded</v>
      </c>
      <c r="AS45" s="292" t="str">
        <f>IFERROR(__xludf.DUMMYFUNCTION("""COMPUTED_VALUE"""),"Quinoa")</f>
        <v>Quinoa</v>
      </c>
      <c r="AT45" s="292" t="str">
        <f>IFERROR(__xludf.DUMMYFUNCTION("""COMPUTED_VALUE"""),"Spinach")</f>
        <v>Spinach</v>
      </c>
      <c r="AU45" s="292" t="str">
        <f>IFERROR(__xludf.DUMMYFUNCTION("""COMPUTED_VALUE"""),"Broccoli")</f>
        <v>Broccoli</v>
      </c>
      <c r="AV45" s="292" t="str">
        <f>IFERROR(__xludf.DUMMYFUNCTION("""COMPUTED_VALUE"""),"Cupped Sauce")</f>
        <v>Cupped Sauce</v>
      </c>
      <c r="AW45" s="292" t="str">
        <f>IFERROR(__xludf.DUMMYFUNCTION("""COMPUTED_VALUE"""),"Year Round")</f>
        <v>Year Round</v>
      </c>
      <c r="AX45" s="292" t="str">
        <f>IFERROR(__xludf.DUMMYFUNCTION("""COMPUTED_VALUE"""),"Asian")</f>
        <v>Asian</v>
      </c>
      <c r="AY45" s="292"/>
      <c r="AZ45" s="292" t="str">
        <f>IFERROR(__xludf.DUMMYFUNCTION("""COMPUTED_VALUE"""),"2 CT")</f>
        <v>2 CT</v>
      </c>
      <c r="BA45" s="292" t="b">
        <f>IFERROR(__xludf.DUMMYFUNCTION("""COMPUTED_VALUE"""),TRUE)</f>
        <v>1</v>
      </c>
      <c r="BB45" s="342">
        <f>IFERROR(__xludf.DUMMYFUNCTION("""COMPUTED_VALUE"""),1.61)</f>
        <v>1.61</v>
      </c>
      <c r="BC45" s="342">
        <f>IFERROR(__xludf.DUMMYFUNCTION("""COMPUTED_VALUE"""),1.06)</f>
        <v>1.06</v>
      </c>
      <c r="BD45" s="342">
        <f>IFERROR(__xludf.DUMMYFUNCTION("""COMPUTED_VALUE"""),0.39)</f>
        <v>0.39</v>
      </c>
      <c r="BE45" s="342">
        <f>IFERROR(__xludf.DUMMYFUNCTION("""COMPUTED_VALUE"""),0.89)</f>
        <v>0.89</v>
      </c>
      <c r="BF45" s="296" t="str">
        <f>IFERROR(__xludf.DUMMYFUNCTION("""COMPUTED_VALUE"""),"#REF!")</f>
        <v>#REF!</v>
      </c>
      <c r="BG45" s="296" t="str">
        <f>IFERROR(__xludf.DUMMYFUNCTION("""COMPUTED_VALUE"""),"#REF!")</f>
        <v>#REF!</v>
      </c>
      <c r="BH45" s="296" t="str">
        <f>IFERROR(__xludf.DUMMYFUNCTION("""COMPUTED_VALUE"""),"#REF!")</f>
        <v>#REF!</v>
      </c>
      <c r="BI45" s="295">
        <f>IFERROR(__xludf.DUMMYFUNCTION("""COMPUTED_VALUE"""),177.0)</f>
        <v>177</v>
      </c>
      <c r="BJ45" s="295" t="str">
        <f>IFERROR(__xludf.DUMMYFUNCTION("""COMPUTED_VALUE"""),"FALSE")</f>
        <v>FALSE</v>
      </c>
      <c r="BK45" s="346">
        <f>IFERROR(__xludf.DUMMYFUNCTION("""COMPUTED_VALUE"""),2277.0)</f>
        <v>2277</v>
      </c>
      <c r="BL45" s="292" t="str">
        <f>IFERROR(__xludf.DUMMYFUNCTION("""COMPUTED_VALUE"""),"US")</f>
        <v>US</v>
      </c>
      <c r="BM45" s="292" t="str">
        <f>IFERROR(__xludf.DUMMYFUNCTION("""COMPUTED_VALUE"""),"Pulled chicken i ingefära- och sojadressing ")</f>
        <v>Pulled chicken i ingefära- och sojadressing </v>
      </c>
      <c r="BN45" s="292"/>
      <c r="BO45" s="292"/>
      <c r="BP45" s="292"/>
      <c r="BQ45" s="292" t="str">
        <f>IFERROR(__xludf.DUMMYFUNCTION("""COMPUTED_VALUE"""),"Graveyard")</f>
        <v>Graveyard</v>
      </c>
      <c r="BR45" s="292" t="b">
        <f>IFERROR(__xludf.DUMMYFUNCTION("""COMPUTED_VALUE"""),FALSE)</f>
        <v>0</v>
      </c>
      <c r="BS45" s="292" t="b">
        <f>IFERROR(__xludf.DUMMYFUNCTION("""COMPUTED_VALUE"""),FALSE)</f>
        <v>0</v>
      </c>
      <c r="BT45" s="345">
        <f>IFERROR(__xludf.DUMMYFUNCTION("""COMPUTED_VALUE"""),578.0)</f>
        <v>578</v>
      </c>
      <c r="BU45" s="345">
        <f>IFERROR(__xludf.DUMMYFUNCTION("""COMPUTED_VALUE"""),138.6)</f>
        <v>138.6</v>
      </c>
      <c r="BV45" s="344">
        <f>IFERROR(__xludf.DUMMYFUNCTION("""COMPUTED_VALUE"""),8.2)</f>
        <v>8.2</v>
      </c>
      <c r="BW45" s="344">
        <f>IFERROR(__xludf.DUMMYFUNCTION("""COMPUTED_VALUE"""),1.5)</f>
        <v>1.5</v>
      </c>
    </row>
    <row r="46">
      <c r="A46" s="292" t="str">
        <f>IFERROR(__xludf.DUMMYFUNCTION("""COMPUTED_VALUE"""),"FE0332B")</f>
        <v>FE0332B</v>
      </c>
      <c r="B46" s="292" t="str">
        <f>IFERROR(__xludf.DUMMYFUNCTION("""COMPUTED_VALUE"""),"CON-40-143703-4")</f>
        <v>CON-40-143703-4</v>
      </c>
      <c r="C46" s="292" t="str">
        <f>IFERROR(__xludf.DUMMYFUNCTION("""COMPUTED_VALUE"""),"CON-00-147835-2")</f>
        <v>CON-00-147835-2</v>
      </c>
      <c r="D46" s="292" t="str">
        <f>IFERROR(__xludf.DUMMYFUNCTION("""COMPUTED_VALUE"""),"CON-00-136645-3")</f>
        <v>CON-00-136645-3</v>
      </c>
      <c r="E46" s="292" t="str">
        <f>IFERROR(__xludf.DUMMYFUNCTION("""COMPUTED_VALUE"""),"North African style chicken fillet")</f>
        <v>North African style chicken fillet</v>
      </c>
      <c r="F46" s="292" t="str">
        <f>IFERROR(__xludf.DUMMYFUNCTION("""COMPUTED_VALUE"""),"with lemon rice, roasted carrots and chermoula")</f>
        <v>with lemon rice, roasted carrots and chermoula</v>
      </c>
      <c r="G46" s="292" t="str">
        <f>IFERROR(__xludf.DUMMYFUNCTION("""COMPUTED_VALUE"""),"Noord-Afrikaanse stijl kipfilet")</f>
        <v>Noord-Afrikaanse stijl kipfilet</v>
      </c>
      <c r="H46" s="292" t="str">
        <f>IFERROR(__xludf.DUMMYFUNCTION("""COMPUTED_VALUE"""),"met citroen-rijst, geroosterde wortels en chermoula")</f>
        <v>met citroen-rijst, geroosterde wortels en chermoula</v>
      </c>
      <c r="I46" s="292" t="str">
        <f>IFERROR(__xludf.DUMMYFUNCTION("""COMPUTED_VALUE"""),"Nordafrikansk-inspireret kyllingefilet ")</f>
        <v>Nordafrikansk-inspireret kyllingefilet </v>
      </c>
      <c r="J46" s="292" t="str">
        <f>IFERROR(__xludf.DUMMYFUNCTION("""COMPUTED_VALUE"""),"Hähnchenfilet nach nordafrikanischer Art")</f>
        <v>Hähnchenfilet nach nordafrikanischer Art</v>
      </c>
      <c r="K46" s="292">
        <f>IFERROR(__xludf.DUMMYFUNCTION("""COMPUTED_VALUE"""),565053.0)</f>
        <v>565053</v>
      </c>
      <c r="L46" s="292" t="str">
        <f>IFERROR(__xludf.DUMMYFUNCTION("""COMPUTED_VALUE"""),"HF Noord-Afrikaanse stijl kipfilet 404g")</f>
        <v>HF Noord-Afrikaanse stijl kipfilet 404g</v>
      </c>
      <c r="M46" s="292" t="str">
        <f>IFERROR(__xludf.DUMMYFUNCTION("""COMPUTED_VALUE"""),"FA-NL Noord-Afrikaanse stijl kipfilet (FE0332)")</f>
        <v>FA-NL Noord-Afrikaanse stijl kipfilet (FE0332)</v>
      </c>
      <c r="N46" s="292" t="str">
        <f>IFERROR(__xludf.DUMMYFUNCTION("""COMPUTED_VALUE"""),"FA-NO Nordafrikansk-inspireret kyllingefilet (FE0332)")</f>
        <v>FA-NO Nordafrikansk-inspireret kyllingefilet (FE0332)</v>
      </c>
      <c r="O46" s="292" t="str">
        <f>IFERROR(__xludf.DUMMYFUNCTION("""COMPUTED_VALUE"""),"FA-DE Hähnchenfilet nach nordafrikanischer Art (FE0332)")</f>
        <v>FA-DE Hähnchenfilet nach nordafrikanischer Art (FE0332)</v>
      </c>
      <c r="P46" s="292" t="str">
        <f>IFERROR(__xludf.DUMMYFUNCTION("""COMPUTED_VALUE"""),"Hold")</f>
        <v>Hold</v>
      </c>
      <c r="Q46" s="292" t="str">
        <f>IFERROR(__xludf.DUMMYFUNCTION("""COMPUTED_VALUE"""),"Cotton seed oil in raisins")</f>
        <v>Cotton seed oil in raisins</v>
      </c>
      <c r="R46" s="342">
        <f>IFERROR(__xludf.DUMMYFUNCTION("""COMPUTED_VALUE"""),5.25)</f>
        <v>5.25</v>
      </c>
      <c r="S46" s="292"/>
      <c r="T46" s="343">
        <f>IFERROR(__xludf.DUMMYFUNCTION("""COMPUTED_VALUE"""),3.44)</f>
        <v>3.44</v>
      </c>
      <c r="U46" s="292"/>
      <c r="V46" s="292"/>
      <c r="W46" s="292" t="b">
        <f>IFERROR(__xludf.DUMMYFUNCTION("""COMPUTED_VALUE"""),TRUE)</f>
        <v>1</v>
      </c>
      <c r="X46" s="345">
        <f>IFERROR(__xludf.DUMMYFUNCTION("""COMPUTED_VALUE"""),404.0)</f>
        <v>404</v>
      </c>
      <c r="Y46" s="344">
        <f>IFERROR(__xludf.DUMMYFUNCTION("""COMPUTED_VALUE"""),590.0)</f>
        <v>590</v>
      </c>
      <c r="Z46" s="343">
        <f>IFERROR(__xludf.DUMMYFUNCTION("""COMPUTED_VALUE"""),26.7)</f>
        <v>26.7</v>
      </c>
      <c r="AA46" s="344">
        <f>IFERROR(__xludf.DUMMYFUNCTION("""COMPUTED_VALUE"""),3.6)</f>
        <v>3.6</v>
      </c>
      <c r="AB46" s="344">
        <f>IFERROR(__xludf.DUMMYFUNCTION("""COMPUTED_VALUE"""),48.9)</f>
        <v>48.9</v>
      </c>
      <c r="AC46" s="344">
        <f>IFERROR(__xludf.DUMMYFUNCTION("""COMPUTED_VALUE"""),13.7)</f>
        <v>13.7</v>
      </c>
      <c r="AD46" s="344">
        <f>IFERROR(__xludf.DUMMYFUNCTION("""COMPUTED_VALUE"""),8.1)</f>
        <v>8.1</v>
      </c>
      <c r="AE46" s="343">
        <f>IFERROR(__xludf.DUMMYFUNCTION("""COMPUTED_VALUE"""),33.9)</f>
        <v>33.9</v>
      </c>
      <c r="AF46" s="343">
        <f>IFERROR(__xludf.DUMMYFUNCTION("""COMPUTED_VALUE"""),1.98)</f>
        <v>1.98</v>
      </c>
      <c r="AG46" s="292" t="b">
        <f>IFERROR(__xludf.DUMMYFUNCTION("""COMPUTED_VALUE"""),TRUE)</f>
        <v>1</v>
      </c>
      <c r="AH46" s="292" t="b">
        <f>IFERROR(__xludf.DUMMYFUNCTION("""COMPUTED_VALUE"""),FALSE)</f>
        <v>0</v>
      </c>
      <c r="AI46" s="292" t="b">
        <f>IFERROR(__xludf.DUMMYFUNCTION("""COMPUTED_VALUE"""),FALSE)</f>
        <v>0</v>
      </c>
      <c r="AJ46" s="292" t="b">
        <f>IFERROR(__xludf.DUMMYFUNCTION("""COMPUTED_VALUE"""),FALSE)</f>
        <v>0</v>
      </c>
      <c r="AK46" s="292" t="b">
        <f>IFERROR(__xludf.DUMMYFUNCTION("""COMPUTED_VALUE"""),FALSE)</f>
        <v>0</v>
      </c>
      <c r="AL46" s="292" t="b">
        <f>IFERROR(__xludf.DUMMYFUNCTION("""COMPUTED_VALUE"""),FALSE)</f>
        <v>0</v>
      </c>
      <c r="AM46" s="292" t="b">
        <f>IFERROR(__xludf.DUMMYFUNCTION("""COMPUTED_VALUE"""),TRUE)</f>
        <v>1</v>
      </c>
      <c r="AN46" s="292" t="b">
        <f>IFERROR(__xludf.DUMMYFUNCTION("""COMPUTED_VALUE"""),TRUE)</f>
        <v>1</v>
      </c>
      <c r="AO46" s="292" t="str">
        <f>IFERROR(__xludf.DUMMYFUNCTION("""COMPUTED_VALUE"""),"FALSE")</f>
        <v>FALSE</v>
      </c>
      <c r="AP46" s="292" t="str">
        <f>IFERROR(__xludf.DUMMYFUNCTION("""COMPUTED_VALUE"""),"Chicken breast")</f>
        <v>Chicken breast</v>
      </c>
      <c r="AQ46" s="292" t="str">
        <f>IFERROR(__xludf.DUMMYFUNCTION("""COMPUTED_VALUE"""),"Chicken")</f>
        <v>Chicken</v>
      </c>
      <c r="AR46" s="292" t="str">
        <f>IFERROR(__xludf.DUMMYFUNCTION("""COMPUTED_VALUE"""),"Breast")</f>
        <v>Breast</v>
      </c>
      <c r="AS46" s="292" t="str">
        <f>IFERROR(__xludf.DUMMYFUNCTION("""COMPUTED_VALUE"""),"Rice")</f>
        <v>Rice</v>
      </c>
      <c r="AT46" s="292" t="str">
        <f>IFERROR(__xludf.DUMMYFUNCTION("""COMPUTED_VALUE"""),"Zucchini Diced")</f>
        <v>Zucchini Diced</v>
      </c>
      <c r="AU46" s="292" t="str">
        <f>IFERROR(__xludf.DUMMYFUNCTION("""COMPUTED_VALUE"""),"Carrots")</f>
        <v>Carrots</v>
      </c>
      <c r="AV46" s="292" t="str">
        <f>IFERROR(__xludf.DUMMYFUNCTION("""COMPUTED_VALUE"""),"Pepper Mix")</f>
        <v>Pepper Mix</v>
      </c>
      <c r="AW46" s="292" t="str">
        <f>IFERROR(__xludf.DUMMYFUNCTION("""COMPUTED_VALUE"""),"Year Round")</f>
        <v>Year Round</v>
      </c>
      <c r="AX46" s="292" t="str">
        <f>IFERROR(__xludf.DUMMYFUNCTION("""COMPUTED_VALUE"""),"Tunisian")</f>
        <v>Tunisian</v>
      </c>
      <c r="AY46" s="292"/>
      <c r="AZ46" s="292" t="str">
        <f>IFERROR(__xludf.DUMMYFUNCTION("""COMPUTED_VALUE"""),"2 CT")</f>
        <v>2 CT</v>
      </c>
      <c r="BA46" s="292" t="b">
        <f>IFERROR(__xludf.DUMMYFUNCTION("""COMPUTED_VALUE"""),TRUE)</f>
        <v>1</v>
      </c>
      <c r="BB46" s="342">
        <f>IFERROR(__xludf.DUMMYFUNCTION("""COMPUTED_VALUE"""),2.81)</f>
        <v>2.81</v>
      </c>
      <c r="BC46" s="342">
        <f>IFERROR(__xludf.DUMMYFUNCTION("""COMPUTED_VALUE"""),1.2)</f>
        <v>1.2</v>
      </c>
      <c r="BD46" s="342">
        <f>IFERROR(__xludf.DUMMYFUNCTION("""COMPUTED_VALUE"""),0.392)</f>
        <v>0.392</v>
      </c>
      <c r="BE46" s="342">
        <f>IFERROR(__xludf.DUMMYFUNCTION("""COMPUTED_VALUE"""),0.89)</f>
        <v>0.89</v>
      </c>
      <c r="BF46" s="296" t="str">
        <f>IFERROR(__xludf.DUMMYFUNCTION("""COMPUTED_VALUE"""),"#REF!")</f>
        <v>#REF!</v>
      </c>
      <c r="BG46" s="296" t="str">
        <f>IFERROR(__xludf.DUMMYFUNCTION("""COMPUTED_VALUE"""),"#REF!")</f>
        <v>#REF!</v>
      </c>
      <c r="BH46" s="296" t="str">
        <f>IFERROR(__xludf.DUMMYFUNCTION("""COMPUTED_VALUE"""),"#REF!")</f>
        <v>#REF!</v>
      </c>
      <c r="BI46" s="295">
        <f>IFERROR(__xludf.DUMMYFUNCTION("""COMPUTED_VALUE"""),156.0)</f>
        <v>156</v>
      </c>
      <c r="BJ46" s="295" t="str">
        <f>IFERROR(__xludf.DUMMYFUNCTION("""COMPUTED_VALUE"""),"FALSE")</f>
        <v>FALSE</v>
      </c>
      <c r="BK46" s="346">
        <f>IFERROR(__xludf.DUMMYFUNCTION("""COMPUTED_VALUE"""),2477.0)</f>
        <v>2477</v>
      </c>
      <c r="BL46" s="292" t="str">
        <f>IFERROR(__xludf.DUMMYFUNCTION("""COMPUTED_VALUE"""),"US")</f>
        <v>US</v>
      </c>
      <c r="BM46" s="292" t="str">
        <f>IFERROR(__xludf.DUMMYFUNCTION("""COMPUTED_VALUE"""),"Nordafrikansk kycklingfilé")</f>
        <v>Nordafrikansk kycklingfilé</v>
      </c>
      <c r="BN46" s="292"/>
      <c r="BO46" s="292"/>
      <c r="BP46" s="292"/>
      <c r="BQ46" s="292" t="str">
        <f>IFERROR(__xludf.DUMMYFUNCTION("""COMPUTED_VALUE"""),"Hold")</f>
        <v>Hold</v>
      </c>
      <c r="BR46" s="292" t="b">
        <f>IFERROR(__xludf.DUMMYFUNCTION("""COMPUTED_VALUE"""),FALSE)</f>
        <v>0</v>
      </c>
      <c r="BS46" s="292" t="b">
        <f>IFERROR(__xludf.DUMMYFUNCTION("""COMPUTED_VALUE"""),TRUE)</f>
        <v>1</v>
      </c>
      <c r="BT46" s="345">
        <f>IFERROR(__xludf.DUMMYFUNCTION("""COMPUTED_VALUE"""),613.0)</f>
        <v>613</v>
      </c>
      <c r="BU46" s="345">
        <f>IFERROR(__xludf.DUMMYFUNCTION("""COMPUTED_VALUE"""),146.0)</f>
        <v>146</v>
      </c>
      <c r="BV46" s="344">
        <f>IFERROR(__xludf.DUMMYFUNCTION("""COMPUTED_VALUE"""),6.6)</f>
        <v>6.6</v>
      </c>
      <c r="BW46" s="344">
        <f>IFERROR(__xludf.DUMMYFUNCTION("""COMPUTED_VALUE"""),0.9)</f>
        <v>0.9</v>
      </c>
    </row>
    <row r="47">
      <c r="A47" s="292" t="str">
        <f>IFERROR(__xludf.DUMMYFUNCTION("""COMPUTED_VALUE"""),"FE0401C")</f>
        <v>FE0401C</v>
      </c>
      <c r="B47" s="292" t="str">
        <f>IFERROR(__xludf.DUMMYFUNCTION("""COMPUTED_VALUE"""),"CON-40-143715-4")</f>
        <v>CON-40-143715-4</v>
      </c>
      <c r="C47" s="292" t="str">
        <f>IFERROR(__xludf.DUMMYFUNCTION("""COMPUTED_VALUE"""),"CON-00-147836-2")</f>
        <v>CON-00-147836-2</v>
      </c>
      <c r="D47" s="292" t="str">
        <f>IFERROR(__xludf.DUMMYFUNCTION("""COMPUTED_VALUE"""),"CON-00-136648-3")</f>
        <v>CON-00-136648-3</v>
      </c>
      <c r="E47" s="292" t="str">
        <f>IFERROR(__xludf.DUMMYFUNCTION("""COMPUTED_VALUE"""),"Pulled chicken with cheddar and bacon")</f>
        <v>Pulled chicken with cheddar and bacon</v>
      </c>
      <c r="F47" s="292" t="str">
        <f>IFERROR(__xludf.DUMMYFUNCTION("""COMPUTED_VALUE"""),"with cheese sauce, roasted portobello and broccoli")</f>
        <v>with cheese sauce, roasted portobello and broccoli</v>
      </c>
      <c r="G47" s="292" t="str">
        <f>IFERROR(__xludf.DUMMYFUNCTION("""COMPUTED_VALUE"""),"Pulled chicken met cheddar en bacon")</f>
        <v>Pulled chicken met cheddar en bacon</v>
      </c>
      <c r="H47" s="292" t="str">
        <f>IFERROR(__xludf.DUMMYFUNCTION("""COMPUTED_VALUE"""),"met kaassaus, geroosterde portobello en broccoli")</f>
        <v>met kaassaus, geroosterde portobello en broccoli</v>
      </c>
      <c r="I47" s="292"/>
      <c r="J47" s="292" t="str">
        <f>IFERROR(__xludf.DUMMYFUNCTION("""COMPUTED_VALUE"""),"Pulled Chicken mit Cheddar und Speck")</f>
        <v>Pulled Chicken mit Cheddar und Speck</v>
      </c>
      <c r="K47" s="292">
        <f>IFERROR(__xludf.DUMMYFUNCTION("""COMPUTED_VALUE"""),565024.0)</f>
        <v>565024</v>
      </c>
      <c r="L47" s="292" t="str">
        <f>IFERROR(__xludf.DUMMYFUNCTION("""COMPUTED_VALUE"""),"HF Pul. Chick./gesm. cheddar/bac 352g")</f>
        <v>HF Pul. Chick./gesm. cheddar/bac 352g</v>
      </c>
      <c r="M47" s="292" t="str">
        <f>IFERROR(__xludf.DUMMYFUNCTION("""COMPUTED_VALUE"""),"FA-NL Pulled chicken met cheddar en bacon (FE0401)")</f>
        <v>FA-NL Pulled chicken met cheddar en bacon (FE0401)</v>
      </c>
      <c r="N47" s="292" t="str">
        <f>IFERROR(__xludf.DUMMYFUNCTION("""COMPUTED_VALUE"""),"FA-NO Pulled chicken med cheddar og bacon (FE0401)")</f>
        <v>FA-NO Pulled chicken med cheddar og bacon (FE0401)</v>
      </c>
      <c r="O47" s="292" t="str">
        <f>IFERROR(__xludf.DUMMYFUNCTION("""COMPUTED_VALUE"""),"FA-DE Pulled Chicken mit Cheddar und Speck (FE0401)")</f>
        <v>FA-DE Pulled Chicken mit Cheddar und Speck (FE0401)</v>
      </c>
      <c r="P47" s="292" t="str">
        <f>IFERROR(__xludf.DUMMYFUNCTION("""COMPUTED_VALUE"""),"Graveyard")</f>
        <v>Graveyard</v>
      </c>
      <c r="Q47" s="292" t="str">
        <f>IFERROR(__xludf.DUMMYFUNCTION("""COMPUTED_VALUE"""),"New Version")</f>
        <v>New Version</v>
      </c>
      <c r="R47" s="342">
        <f>IFERROR(__xludf.DUMMYFUNCTION("""COMPUTED_VALUE"""),5.14)</f>
        <v>5.14</v>
      </c>
      <c r="S47" s="298">
        <f>IFERROR(__xludf.DUMMYFUNCTION("""COMPUTED_VALUE"""),0.04860459979825743)</f>
        <v>0.0486045998</v>
      </c>
      <c r="T47" s="343">
        <f>IFERROR(__xludf.DUMMYFUNCTION("""COMPUTED_VALUE"""),3.5976435152374204)</f>
        <v>3.597643515</v>
      </c>
      <c r="U47" s="292">
        <f>IFERROR(__xludf.DUMMYFUNCTION("""COMPUTED_VALUE"""),14036.0)</f>
        <v>14036</v>
      </c>
      <c r="V47" s="292"/>
      <c r="W47" s="292" t="b">
        <f>IFERROR(__xludf.DUMMYFUNCTION("""COMPUTED_VALUE"""),FALSE)</f>
        <v>0</v>
      </c>
      <c r="X47" s="345">
        <f>IFERROR(__xludf.DUMMYFUNCTION("""COMPUTED_VALUE"""),352.0)</f>
        <v>352</v>
      </c>
      <c r="Y47" s="344">
        <f>IFERROR(__xludf.DUMMYFUNCTION("""COMPUTED_VALUE"""),756.0)</f>
        <v>756</v>
      </c>
      <c r="Z47" s="343">
        <f>IFERROR(__xludf.DUMMYFUNCTION("""COMPUTED_VALUE"""),56.1)</f>
        <v>56.1</v>
      </c>
      <c r="AA47" s="344">
        <f>IFERROR(__xludf.DUMMYFUNCTION("""COMPUTED_VALUE"""),17.4)</f>
        <v>17.4</v>
      </c>
      <c r="AB47" s="344">
        <f>IFERROR(__xludf.DUMMYFUNCTION("""COMPUTED_VALUE"""),9.4)</f>
        <v>9.4</v>
      </c>
      <c r="AC47" s="344">
        <f>IFERROR(__xludf.DUMMYFUNCTION("""COMPUTED_VALUE"""),7.6)</f>
        <v>7.6</v>
      </c>
      <c r="AD47" s="344">
        <f>IFERROR(__xludf.DUMMYFUNCTION("""COMPUTED_VALUE"""),4.9)</f>
        <v>4.9</v>
      </c>
      <c r="AE47" s="343">
        <f>IFERROR(__xludf.DUMMYFUNCTION("""COMPUTED_VALUE"""),45.2)</f>
        <v>45.2</v>
      </c>
      <c r="AF47" s="343">
        <f>IFERROR(__xludf.DUMMYFUNCTION("""COMPUTED_VALUE"""),1.8)</f>
        <v>1.8</v>
      </c>
      <c r="AG47" s="292" t="b">
        <f>IFERROR(__xludf.DUMMYFUNCTION("""COMPUTED_VALUE"""),FALSE)</f>
        <v>0</v>
      </c>
      <c r="AH47" s="292" t="b">
        <f>IFERROR(__xludf.DUMMYFUNCTION("""COMPUTED_VALUE"""),TRUE)</f>
        <v>1</v>
      </c>
      <c r="AI47" s="292" t="b">
        <f>IFERROR(__xludf.DUMMYFUNCTION("""COMPUTED_VALUE"""),FALSE)</f>
        <v>0</v>
      </c>
      <c r="AJ47" s="292" t="b">
        <f>IFERROR(__xludf.DUMMYFUNCTION("""COMPUTED_VALUE"""),FALSE)</f>
        <v>0</v>
      </c>
      <c r="AK47" s="292" t="b">
        <f>IFERROR(__xludf.DUMMYFUNCTION("""COMPUTED_VALUE"""),FALSE)</f>
        <v>0</v>
      </c>
      <c r="AL47" s="292" t="b">
        <f>IFERROR(__xludf.DUMMYFUNCTION("""COMPUTED_VALUE"""),FALSE)</f>
        <v>0</v>
      </c>
      <c r="AM47" s="292" t="b">
        <f>IFERROR(__xludf.DUMMYFUNCTION("""COMPUTED_VALUE"""),TRUE)</f>
        <v>1</v>
      </c>
      <c r="AN47" s="292" t="b">
        <f>IFERROR(__xludf.DUMMYFUNCTION("""COMPUTED_VALUE"""),FALSE)</f>
        <v>0</v>
      </c>
      <c r="AO47" s="292" t="str">
        <f>IFERROR(__xludf.DUMMYFUNCTION("""COMPUTED_VALUE"""),"FALSE")</f>
        <v>FALSE</v>
      </c>
      <c r="AP47" s="292" t="str">
        <f>IFERROR(__xludf.DUMMYFUNCTION("""COMPUTED_VALUE"""),"Shredded chicken")</f>
        <v>Shredded chicken</v>
      </c>
      <c r="AQ47" s="292" t="str">
        <f>IFERROR(__xludf.DUMMYFUNCTION("""COMPUTED_VALUE"""),"Chicken")</f>
        <v>Chicken</v>
      </c>
      <c r="AR47" s="292" t="str">
        <f>IFERROR(__xludf.DUMMYFUNCTION("""COMPUTED_VALUE"""),"Shredded")</f>
        <v>Shredded</v>
      </c>
      <c r="AS47" s="292" t="str">
        <f>IFERROR(__xludf.DUMMYFUNCTION("""COMPUTED_VALUE"""),"Creamy Sauce Base")</f>
        <v>Creamy Sauce Base</v>
      </c>
      <c r="AT47" s="292" t="str">
        <f>IFERROR(__xludf.DUMMYFUNCTION("""COMPUTED_VALUE"""),"Broccoli")</f>
        <v>Broccoli</v>
      </c>
      <c r="AU47" s="292" t="str">
        <f>IFERROR(__xludf.DUMMYFUNCTION("""COMPUTED_VALUE"""),"Mushrooms")</f>
        <v>Mushrooms</v>
      </c>
      <c r="AV47" s="292" t="str">
        <f>IFERROR(__xludf.DUMMYFUNCTION("""COMPUTED_VALUE"""),"Cheese")</f>
        <v>Cheese</v>
      </c>
      <c r="AW47" s="292" t="str">
        <f>IFERROR(__xludf.DUMMYFUNCTION("""COMPUTED_VALUE"""),"Year Round")</f>
        <v>Year Round</v>
      </c>
      <c r="AX47" s="292" t="str">
        <f>IFERROR(__xludf.DUMMYFUNCTION("""COMPUTED_VALUE"""),"American")</f>
        <v>American</v>
      </c>
      <c r="AY47" s="292"/>
      <c r="AZ47" s="292" t="str">
        <f>IFERROR(__xludf.DUMMYFUNCTION("""COMPUTED_VALUE"""),"3 CT")</f>
        <v>3 CT</v>
      </c>
      <c r="BA47" s="292" t="b">
        <f>IFERROR(__xludf.DUMMYFUNCTION("""COMPUTED_VALUE"""),FALSE)</f>
        <v>0</v>
      </c>
      <c r="BB47" s="342">
        <f>IFERROR(__xludf.DUMMYFUNCTION("""COMPUTED_VALUE"""),2.98)</f>
        <v>2.98</v>
      </c>
      <c r="BC47" s="342">
        <f>IFERROR(__xludf.DUMMYFUNCTION("""COMPUTED_VALUE"""),0.95)</f>
        <v>0.95</v>
      </c>
      <c r="BD47" s="342">
        <f>IFERROR(__xludf.DUMMYFUNCTION("""COMPUTED_VALUE"""),0.362)</f>
        <v>0.362</v>
      </c>
      <c r="BE47" s="342">
        <f>IFERROR(__xludf.DUMMYFUNCTION("""COMPUTED_VALUE"""),0.89)</f>
        <v>0.89</v>
      </c>
      <c r="BF47" s="296" t="str">
        <f>IFERROR(__xludf.DUMMYFUNCTION("""COMPUTED_VALUE"""),"#REF!")</f>
        <v>#REF!</v>
      </c>
      <c r="BG47" s="296" t="str">
        <f>IFERROR(__xludf.DUMMYFUNCTION("""COMPUTED_VALUE"""),"#REF!")</f>
        <v>#REF!</v>
      </c>
      <c r="BH47" s="296" t="str">
        <f>IFERROR(__xludf.DUMMYFUNCTION("""COMPUTED_VALUE"""),"#REF!")</f>
        <v>#REF!</v>
      </c>
      <c r="BI47" s="295">
        <f>IFERROR(__xludf.DUMMYFUNCTION("""COMPUTED_VALUE"""),127.0)</f>
        <v>127</v>
      </c>
      <c r="BJ47" s="295" t="str">
        <f>IFERROR(__xludf.DUMMYFUNCTION("""COMPUTED_VALUE"""),"FALSE")</f>
        <v>FALSE</v>
      </c>
      <c r="BK47" s="346">
        <f>IFERROR(__xludf.DUMMYFUNCTION("""COMPUTED_VALUE"""),3137.0)</f>
        <v>3137</v>
      </c>
      <c r="BL47" s="292"/>
      <c r="BM47" s="292"/>
      <c r="BN47" s="292"/>
      <c r="BO47" s="292"/>
      <c r="BP47" s="292"/>
      <c r="BQ47" s="292" t="str">
        <f>IFERROR(__xludf.DUMMYFUNCTION("""COMPUTED_VALUE"""),"Graveyard")</f>
        <v>Graveyard</v>
      </c>
      <c r="BR47" s="292" t="b">
        <f>IFERROR(__xludf.DUMMYFUNCTION("""COMPUTED_VALUE"""),FALSE)</f>
        <v>0</v>
      </c>
      <c r="BS47" s="292" t="b">
        <f>IFERROR(__xludf.DUMMYFUNCTION("""COMPUTED_VALUE"""),FALSE)</f>
        <v>0</v>
      </c>
      <c r="BT47" s="345">
        <f>IFERROR(__xludf.DUMMYFUNCTION("""COMPUTED_VALUE"""),891.1931818181819)</f>
        <v>891.1931818</v>
      </c>
      <c r="BU47" s="345">
        <f>IFERROR(__xludf.DUMMYFUNCTION("""COMPUTED_VALUE"""),214.77272727272728)</f>
        <v>214.7727273</v>
      </c>
      <c r="BV47" s="344">
        <f>IFERROR(__xludf.DUMMYFUNCTION("""COMPUTED_VALUE"""),15.937500000000002)</f>
        <v>15.9375</v>
      </c>
      <c r="BW47" s="344">
        <f>IFERROR(__xludf.DUMMYFUNCTION("""COMPUTED_VALUE"""),4.943181818181818)</f>
        <v>4.943181818</v>
      </c>
    </row>
    <row r="48">
      <c r="A48" s="292" t="str">
        <f>IFERROR(__xludf.DUMMYFUNCTION("""COMPUTED_VALUE"""),"FE0401D")</f>
        <v>FE0401D</v>
      </c>
      <c r="B48" s="292" t="str">
        <f>IFERROR(__xludf.DUMMYFUNCTION("""COMPUTED_VALUE"""),"CON-40-143715-4")</f>
        <v>CON-40-143715-4</v>
      </c>
      <c r="C48" s="292" t="str">
        <f>IFERROR(__xludf.DUMMYFUNCTION("""COMPUTED_VALUE"""),"CON-00-147836-2")</f>
        <v>CON-00-147836-2</v>
      </c>
      <c r="D48" s="292" t="str">
        <f>IFERROR(__xludf.DUMMYFUNCTION("""COMPUTED_VALUE"""),"CON-00-136648-3")</f>
        <v>CON-00-136648-3</v>
      </c>
      <c r="E48" s="292" t="str">
        <f>IFERROR(__xludf.DUMMYFUNCTION("""COMPUTED_VALUE"""),"Pulled chicken with cheddar and bacon")</f>
        <v>Pulled chicken with cheddar and bacon</v>
      </c>
      <c r="F48" s="292" t="str">
        <f>IFERROR(__xludf.DUMMYFUNCTION("""COMPUTED_VALUE"""),"with cheese sauce, roasted portobello and broccoli")</f>
        <v>with cheese sauce, roasted portobello and broccoli</v>
      </c>
      <c r="G48" s="292" t="str">
        <f>IFERROR(__xludf.DUMMYFUNCTION("""COMPUTED_VALUE"""),"Pulled chicken met cheddar en bacon")</f>
        <v>Pulled chicken met cheddar en bacon</v>
      </c>
      <c r="H48" s="292" t="str">
        <f>IFERROR(__xludf.DUMMYFUNCTION("""COMPUTED_VALUE"""),"met kaassaus, geroosterde portobello en broccoli")</f>
        <v>met kaassaus, geroosterde portobello en broccoli</v>
      </c>
      <c r="I48" s="292" t="str">
        <f>IFERROR(__xludf.DUMMYFUNCTION("""COMPUTED_VALUE"""),"Pulled chicken med cheddar og bacon")</f>
        <v>Pulled chicken med cheddar og bacon</v>
      </c>
      <c r="J48" s="292" t="str">
        <f>IFERROR(__xludf.DUMMYFUNCTION("""COMPUTED_VALUE"""),"Pulled Chicken mit Cheddar und Speck")</f>
        <v>Pulled Chicken mit Cheddar und Speck</v>
      </c>
      <c r="K48" s="292">
        <f>IFERROR(__xludf.DUMMYFUNCTION("""COMPUTED_VALUE"""),565024.0)</f>
        <v>565024</v>
      </c>
      <c r="L48" s="292" t="str">
        <f>IFERROR(__xludf.DUMMYFUNCTION("""COMPUTED_VALUE"""),"HF Pul. Chick./gesm. cheddar/bac 380g")</f>
        <v>HF Pul. Chick./gesm. cheddar/bac 380g</v>
      </c>
      <c r="M48" s="292" t="str">
        <f>IFERROR(__xludf.DUMMYFUNCTION("""COMPUTED_VALUE"""),"FA-NL Pulled chicken met cheddar en bacon (FE0401)")</f>
        <v>FA-NL Pulled chicken met cheddar en bacon (FE0401)</v>
      </c>
      <c r="N48" s="292" t="str">
        <f>IFERROR(__xludf.DUMMYFUNCTION("""COMPUTED_VALUE"""),"FA-NO Pulled chicken med cheddar og bacon (FE0401)")</f>
        <v>FA-NO Pulled chicken med cheddar og bacon (FE0401)</v>
      </c>
      <c r="O48" s="292" t="str">
        <f>IFERROR(__xludf.DUMMYFUNCTION("""COMPUTED_VALUE"""),"FA-DE Pulled Chicken mit Cheddar und Speck (FE0401)")</f>
        <v>FA-DE Pulled Chicken mit Cheddar und Speck (FE0401)</v>
      </c>
      <c r="P48" s="292" t="str">
        <f>IFERROR(__xludf.DUMMYFUNCTION("""COMPUTED_VALUE"""),"Graveyard")</f>
        <v>Graveyard</v>
      </c>
      <c r="Q48" s="292"/>
      <c r="R48" s="342">
        <f>IFERROR(__xludf.DUMMYFUNCTION("""COMPUTED_VALUE"""),5.29)</f>
        <v>5.29</v>
      </c>
      <c r="S48" s="292"/>
      <c r="T48" s="292"/>
      <c r="U48" s="292"/>
      <c r="V48" s="292"/>
      <c r="W48" s="292" t="b">
        <f>IFERROR(__xludf.DUMMYFUNCTION("""COMPUTED_VALUE"""),FALSE)</f>
        <v>0</v>
      </c>
      <c r="X48" s="345">
        <f>IFERROR(__xludf.DUMMYFUNCTION("""COMPUTED_VALUE"""),380.0)</f>
        <v>380</v>
      </c>
      <c r="Y48" s="344">
        <f>IFERROR(__xludf.DUMMYFUNCTION("""COMPUTED_VALUE"""),805.0)</f>
        <v>805</v>
      </c>
      <c r="Z48" s="343">
        <f>IFERROR(__xludf.DUMMYFUNCTION("""COMPUTED_VALUE"""),64.0)</f>
        <v>64</v>
      </c>
      <c r="AA48" s="344">
        <f>IFERROR(__xludf.DUMMYFUNCTION("""COMPUTED_VALUE"""),18.6)</f>
        <v>18.6</v>
      </c>
      <c r="AB48" s="344">
        <f>IFERROR(__xludf.DUMMYFUNCTION("""COMPUTED_VALUE"""),7.8)</f>
        <v>7.8</v>
      </c>
      <c r="AC48" s="344">
        <f>IFERROR(__xludf.DUMMYFUNCTION("""COMPUTED_VALUE"""),4.9)</f>
        <v>4.9</v>
      </c>
      <c r="AD48" s="344">
        <f>IFERROR(__xludf.DUMMYFUNCTION("""COMPUTED_VALUE"""),7.7)</f>
        <v>7.7</v>
      </c>
      <c r="AE48" s="343">
        <f>IFERROR(__xludf.DUMMYFUNCTION("""COMPUTED_VALUE"""),45.7)</f>
        <v>45.7</v>
      </c>
      <c r="AF48" s="343">
        <f>IFERROR(__xludf.DUMMYFUNCTION("""COMPUTED_VALUE"""),2.03)</f>
        <v>2.03</v>
      </c>
      <c r="AG48" s="292" t="b">
        <f>IFERROR(__xludf.DUMMYFUNCTION("""COMPUTED_VALUE"""),FALSE)</f>
        <v>0</v>
      </c>
      <c r="AH48" s="292" t="b">
        <f>IFERROR(__xludf.DUMMYFUNCTION("""COMPUTED_VALUE"""),TRUE)</f>
        <v>1</v>
      </c>
      <c r="AI48" s="292" t="b">
        <f>IFERROR(__xludf.DUMMYFUNCTION("""COMPUTED_VALUE"""),FALSE)</f>
        <v>0</v>
      </c>
      <c r="AJ48" s="292" t="b">
        <f>IFERROR(__xludf.DUMMYFUNCTION("""COMPUTED_VALUE"""),FALSE)</f>
        <v>0</v>
      </c>
      <c r="AK48" s="292" t="b">
        <f>IFERROR(__xludf.DUMMYFUNCTION("""COMPUTED_VALUE"""),FALSE)</f>
        <v>0</v>
      </c>
      <c r="AL48" s="292" t="b">
        <f>IFERROR(__xludf.DUMMYFUNCTION("""COMPUTED_VALUE"""),FALSE)</f>
        <v>0</v>
      </c>
      <c r="AM48" s="292" t="b">
        <f>IFERROR(__xludf.DUMMYFUNCTION("""COMPUTED_VALUE"""),TRUE)</f>
        <v>1</v>
      </c>
      <c r="AN48" s="292" t="b">
        <f>IFERROR(__xludf.DUMMYFUNCTION("""COMPUTED_VALUE"""),FALSE)</f>
        <v>0</v>
      </c>
      <c r="AO48" s="292" t="str">
        <f>IFERROR(__xludf.DUMMYFUNCTION("""COMPUTED_VALUE"""),"FALSE")</f>
        <v>FALSE</v>
      </c>
      <c r="AP48" s="292" t="str">
        <f>IFERROR(__xludf.DUMMYFUNCTION("""COMPUTED_VALUE"""),"Shredded chicken")</f>
        <v>Shredded chicken</v>
      </c>
      <c r="AQ48" s="292" t="str">
        <f>IFERROR(__xludf.DUMMYFUNCTION("""COMPUTED_VALUE"""),"Chicken")</f>
        <v>Chicken</v>
      </c>
      <c r="AR48" s="292" t="str">
        <f>IFERROR(__xludf.DUMMYFUNCTION("""COMPUTED_VALUE"""),"Thigh")</f>
        <v>Thigh</v>
      </c>
      <c r="AS48" s="292" t="str">
        <f>IFERROR(__xludf.DUMMYFUNCTION("""COMPUTED_VALUE"""),"Creamy Sauce Base")</f>
        <v>Creamy Sauce Base</v>
      </c>
      <c r="AT48" s="292" t="str">
        <f>IFERROR(__xludf.DUMMYFUNCTION("""COMPUTED_VALUE"""),"Broccoli")</f>
        <v>Broccoli</v>
      </c>
      <c r="AU48" s="292" t="str">
        <f>IFERROR(__xludf.DUMMYFUNCTION("""COMPUTED_VALUE"""),"Mushrooms")</f>
        <v>Mushrooms</v>
      </c>
      <c r="AV48" s="292" t="str">
        <f>IFERROR(__xludf.DUMMYFUNCTION("""COMPUTED_VALUE"""),"Cheese")</f>
        <v>Cheese</v>
      </c>
      <c r="AW48" s="292" t="str">
        <f>IFERROR(__xludf.DUMMYFUNCTION("""COMPUTED_VALUE"""),"Year Round")</f>
        <v>Year Round</v>
      </c>
      <c r="AX48" s="292" t="str">
        <f>IFERROR(__xludf.DUMMYFUNCTION("""COMPUTED_VALUE"""),"American")</f>
        <v>American</v>
      </c>
      <c r="AY48" s="292"/>
      <c r="AZ48" s="292" t="str">
        <f>IFERROR(__xludf.DUMMYFUNCTION("""COMPUTED_VALUE"""),"2 CT")</f>
        <v>2 CT</v>
      </c>
      <c r="BA48" s="292" t="b">
        <f>IFERROR(__xludf.DUMMYFUNCTION("""COMPUTED_VALUE"""),FALSE)</f>
        <v>0</v>
      </c>
      <c r="BB48" s="342">
        <f>IFERROR(__xludf.DUMMYFUNCTION("""COMPUTED_VALUE"""),3.12)</f>
        <v>3.12</v>
      </c>
      <c r="BC48" s="342">
        <f>IFERROR(__xludf.DUMMYFUNCTION("""COMPUTED_VALUE"""),0.95)</f>
        <v>0.95</v>
      </c>
      <c r="BD48" s="342">
        <f>IFERROR(__xludf.DUMMYFUNCTION("""COMPUTED_VALUE"""),0.362)</f>
        <v>0.362</v>
      </c>
      <c r="BE48" s="342">
        <f>IFERROR(__xludf.DUMMYFUNCTION("""COMPUTED_VALUE"""),0.89)</f>
        <v>0.89</v>
      </c>
      <c r="BF48" s="296" t="str">
        <f>IFERROR(__xludf.DUMMYFUNCTION("""COMPUTED_VALUE"""),"#REF!")</f>
        <v>#REF!</v>
      </c>
      <c r="BG48" s="296" t="str">
        <f>IFERROR(__xludf.DUMMYFUNCTION("""COMPUTED_VALUE"""),"#REF!")</f>
        <v>#REF!</v>
      </c>
      <c r="BH48" s="296" t="str">
        <f>IFERROR(__xludf.DUMMYFUNCTION("""COMPUTED_VALUE"""),"#REF!")</f>
        <v>#REF!</v>
      </c>
      <c r="BI48" s="295">
        <f>IFERROR(__xludf.DUMMYFUNCTION("""COMPUTED_VALUE"""),151.0)</f>
        <v>151</v>
      </c>
      <c r="BJ48" s="295" t="str">
        <f>IFERROR(__xludf.DUMMYFUNCTION("""COMPUTED_VALUE"""),"FALSE")</f>
        <v>FALSE</v>
      </c>
      <c r="BK48" s="346">
        <f>IFERROR(__xludf.DUMMYFUNCTION("""COMPUTED_VALUE"""),3337.0)</f>
        <v>3337</v>
      </c>
      <c r="BL48" s="292" t="str">
        <f>IFERROR(__xludf.DUMMYFUNCTION("""COMPUTED_VALUE"""),"US")</f>
        <v>US</v>
      </c>
      <c r="BM48" s="292" t="str">
        <f>IFERROR(__xludf.DUMMYFUNCTION("""COMPUTED_VALUE"""),"Pulled chicken med cheddar och bacon")</f>
        <v>Pulled chicken med cheddar och bacon</v>
      </c>
      <c r="BN48" s="292"/>
      <c r="BO48" s="292"/>
      <c r="BP48" s="292"/>
      <c r="BQ48" s="292" t="str">
        <f>IFERROR(__xludf.DUMMYFUNCTION("""COMPUTED_VALUE"""),"Graveyard")</f>
        <v>Graveyard</v>
      </c>
      <c r="BR48" s="292" t="b">
        <f>IFERROR(__xludf.DUMMYFUNCTION("""COMPUTED_VALUE"""),FALSE)</f>
        <v>0</v>
      </c>
      <c r="BS48" s="292" t="b">
        <f>IFERROR(__xludf.DUMMYFUNCTION("""COMPUTED_VALUE"""),FALSE)</f>
        <v>0</v>
      </c>
      <c r="BT48" s="345">
        <f>IFERROR(__xludf.DUMMYFUNCTION("""COMPUTED_VALUE"""),878.0)</f>
        <v>878</v>
      </c>
      <c r="BU48" s="345">
        <f>IFERROR(__xludf.DUMMYFUNCTION("""COMPUTED_VALUE"""),211.8)</f>
        <v>211.8</v>
      </c>
      <c r="BV48" s="344">
        <f>IFERROR(__xludf.DUMMYFUNCTION("""COMPUTED_VALUE"""),16.8)</f>
        <v>16.8</v>
      </c>
      <c r="BW48" s="344">
        <f>IFERROR(__xludf.DUMMYFUNCTION("""COMPUTED_VALUE"""),4.9)</f>
        <v>4.9</v>
      </c>
    </row>
    <row r="49">
      <c r="A49" s="292" t="str">
        <f>IFERROR(__xludf.DUMMYFUNCTION("""COMPUTED_VALUE"""),"FE0410C")</f>
        <v>FE0410C</v>
      </c>
      <c r="B49" s="292" t="str">
        <f>IFERROR(__xludf.DUMMYFUNCTION("""COMPUTED_VALUE"""),"CON-40-143671-4")</f>
        <v>CON-40-143671-4</v>
      </c>
      <c r="C49" s="292" t="str">
        <f>IFERROR(__xludf.DUMMYFUNCTION("""COMPUTED_VALUE"""),"CON-00-147838-2")</f>
        <v>CON-00-147838-2</v>
      </c>
      <c r="D49" s="292" t="str">
        <f>IFERROR(__xludf.DUMMYFUNCTION("""COMPUTED_VALUE"""),"CON-00-136646-3")</f>
        <v>CON-00-136646-3</v>
      </c>
      <c r="E49" s="292" t="str">
        <f>IFERROR(__xludf.DUMMYFUNCTION("""COMPUTED_VALUE"""),"Honey-mustard chicken")</f>
        <v>Honey-mustard chicken</v>
      </c>
      <c r="F49" s="292" t="str">
        <f>IFERROR(__xludf.DUMMYFUNCTION("""COMPUTED_VALUE"""),"with rosemary potatoes, carrots and roasted garlic green beans")</f>
        <v>with rosemary potatoes, carrots and roasted garlic green beans</v>
      </c>
      <c r="G49" s="292" t="str">
        <f>IFERROR(__xludf.DUMMYFUNCTION("""COMPUTED_VALUE"""),"Honing-mosterd kip")</f>
        <v>Honing-mosterd kip</v>
      </c>
      <c r="H49" s="292" t="str">
        <f>IFERROR(__xludf.DUMMYFUNCTION("""COMPUTED_VALUE"""),"met rozemarijnaardappelen, wortels en geroosterde knoflook-sperziebonen")</f>
        <v>met rozemarijnaardappelen, wortels en geroosterde knoflook-sperziebonen</v>
      </c>
      <c r="I49" s="292" t="str">
        <f>IFERROR(__xludf.DUMMYFUNCTION("""COMPUTED_VALUE"""),"Kylling med honning og sennep ")</f>
        <v>Kylling med honning og sennep </v>
      </c>
      <c r="J49" s="292" t="str">
        <f>IFERROR(__xludf.DUMMYFUNCTION("""COMPUTED_VALUE"""),"Honig-Senf-Hähnchen")</f>
        <v>Honig-Senf-Hähnchen</v>
      </c>
      <c r="K49" s="292">
        <f>IFERROR(__xludf.DUMMYFUNCTION("""COMPUTED_VALUE"""),565050.0)</f>
        <v>565050</v>
      </c>
      <c r="L49" s="292" t="str">
        <f>IFERROR(__xludf.DUMMYFUNCTION("""COMPUTED_VALUE"""),"HF Honing mosterd kip 404g")</f>
        <v>HF Honing mosterd kip 404g</v>
      </c>
      <c r="M49" s="292" t="str">
        <f>IFERROR(__xludf.DUMMYFUNCTION("""COMPUTED_VALUE"""),"FA-NL Honing-mosterd kip (FE0410)")</f>
        <v>FA-NL Honing-mosterd kip (FE0410)</v>
      </c>
      <c r="N49" s="292" t="str">
        <f>IFERROR(__xludf.DUMMYFUNCTION("""COMPUTED_VALUE"""),"FA-NO Kylling med honning og sennep (FE0410)")</f>
        <v>FA-NO Kylling med honning og sennep (FE0410)</v>
      </c>
      <c r="O49" s="292" t="str">
        <f>IFERROR(__xludf.DUMMYFUNCTION("""COMPUTED_VALUE"""),"FA-DE Honig-Senf-Hähnchen (FE0410)")</f>
        <v>FA-DE Honig-Senf-Hähnchen (FE0410)</v>
      </c>
      <c r="P49" s="292" t="str">
        <f>IFERROR(__xludf.DUMMYFUNCTION("""COMPUTED_VALUE"""),"Hold")</f>
        <v>Hold</v>
      </c>
      <c r="Q49" s="292" t="str">
        <f>IFERROR(__xludf.DUMMYFUNCTION("""COMPUTED_VALUE"""),"Hold until veg quality improves")</f>
        <v>Hold until veg quality improves</v>
      </c>
      <c r="R49" s="342">
        <f>IFERROR(__xludf.DUMMYFUNCTION("""COMPUTED_VALUE"""),4.71)</f>
        <v>4.71</v>
      </c>
      <c r="S49" s="298">
        <f>IFERROR(__xludf.DUMMYFUNCTION("""COMPUTED_VALUE"""),0.05492254005181621)</f>
        <v>0.05492254005</v>
      </c>
      <c r="T49" s="343">
        <f>IFERROR(__xludf.DUMMYFUNCTION("""COMPUTED_VALUE"""),3.47459413991308)</f>
        <v>3.47459414</v>
      </c>
      <c r="U49" s="292">
        <f>IFERROR(__xludf.DUMMYFUNCTION("""COMPUTED_VALUE"""),19977.0)</f>
        <v>19977</v>
      </c>
      <c r="V49" s="292"/>
      <c r="W49" s="292" t="b">
        <f>IFERROR(__xludf.DUMMYFUNCTION("""COMPUTED_VALUE"""),TRUE)</f>
        <v>1</v>
      </c>
      <c r="X49" s="345">
        <f>IFERROR(__xludf.DUMMYFUNCTION("""COMPUTED_VALUE"""),404.0)</f>
        <v>404</v>
      </c>
      <c r="Y49" s="344">
        <f>IFERROR(__xludf.DUMMYFUNCTION("""COMPUTED_VALUE"""),603.0)</f>
        <v>603</v>
      </c>
      <c r="Z49" s="343">
        <f>IFERROR(__xludf.DUMMYFUNCTION("""COMPUTED_VALUE"""),23.3)</f>
        <v>23.3</v>
      </c>
      <c r="AA49" s="344">
        <f>IFERROR(__xludf.DUMMYFUNCTION("""COMPUTED_VALUE"""),4.9)</f>
        <v>4.9</v>
      </c>
      <c r="AB49" s="344">
        <f>IFERROR(__xludf.DUMMYFUNCTION("""COMPUTED_VALUE"""),54.8)</f>
        <v>54.8</v>
      </c>
      <c r="AC49" s="344">
        <f>IFERROR(__xludf.DUMMYFUNCTION("""COMPUTED_VALUE"""),19.1)</f>
        <v>19.1</v>
      </c>
      <c r="AD49" s="344">
        <f>IFERROR(__xludf.DUMMYFUNCTION("""COMPUTED_VALUE"""),13.5)</f>
        <v>13.5</v>
      </c>
      <c r="AE49" s="343">
        <f>IFERROR(__xludf.DUMMYFUNCTION("""COMPUTED_VALUE"""),35.2)</f>
        <v>35.2</v>
      </c>
      <c r="AF49" s="343">
        <f>IFERROR(__xludf.DUMMYFUNCTION("""COMPUTED_VALUE"""),2.0)</f>
        <v>2</v>
      </c>
      <c r="AG49" s="292" t="b">
        <f>IFERROR(__xludf.DUMMYFUNCTION("""COMPUTED_VALUE"""),FALSE)</f>
        <v>0</v>
      </c>
      <c r="AH49" s="292" t="b">
        <f>IFERROR(__xludf.DUMMYFUNCTION("""COMPUTED_VALUE"""),FALSE)</f>
        <v>0</v>
      </c>
      <c r="AI49" s="292" t="b">
        <f>IFERROR(__xludf.DUMMYFUNCTION("""COMPUTED_VALUE"""),FALSE)</f>
        <v>0</v>
      </c>
      <c r="AJ49" s="292" t="b">
        <f>IFERROR(__xludf.DUMMYFUNCTION("""COMPUTED_VALUE"""),FALSE)</f>
        <v>0</v>
      </c>
      <c r="AK49" s="292" t="b">
        <f>IFERROR(__xludf.DUMMYFUNCTION("""COMPUTED_VALUE"""),FALSE)</f>
        <v>0</v>
      </c>
      <c r="AL49" s="292" t="b">
        <f>IFERROR(__xludf.DUMMYFUNCTION("""COMPUTED_VALUE"""),FALSE)</f>
        <v>0</v>
      </c>
      <c r="AM49" s="292" t="b">
        <f>IFERROR(__xludf.DUMMYFUNCTION("""COMPUTED_VALUE"""),TRUE)</f>
        <v>1</v>
      </c>
      <c r="AN49" s="292" t="b">
        <f>IFERROR(__xludf.DUMMYFUNCTION("""COMPUTED_VALUE"""),FALSE)</f>
        <v>0</v>
      </c>
      <c r="AO49" s="292" t="str">
        <f>IFERROR(__xludf.DUMMYFUNCTION("""COMPUTED_VALUE"""),"TRUE")</f>
        <v>TRUE</v>
      </c>
      <c r="AP49" s="292" t="str">
        <f>IFERROR(__xludf.DUMMYFUNCTION("""COMPUTED_VALUE"""),"Chicken breast")</f>
        <v>Chicken breast</v>
      </c>
      <c r="AQ49" s="292" t="str">
        <f>IFERROR(__xludf.DUMMYFUNCTION("""COMPUTED_VALUE"""),"Chicken")</f>
        <v>Chicken</v>
      </c>
      <c r="AR49" s="292" t="str">
        <f>IFERROR(__xludf.DUMMYFUNCTION("""COMPUTED_VALUE"""),"Breast")</f>
        <v>Breast</v>
      </c>
      <c r="AS49" s="292" t="str">
        <f>IFERROR(__xludf.DUMMYFUNCTION("""COMPUTED_VALUE"""),"Green Beans")</f>
        <v>Green Beans</v>
      </c>
      <c r="AT49" s="292" t="str">
        <f>IFERROR(__xludf.DUMMYFUNCTION("""COMPUTED_VALUE"""),"Potato Non-Mash")</f>
        <v>Potato Non-Mash</v>
      </c>
      <c r="AU49" s="292" t="str">
        <f>IFERROR(__xludf.DUMMYFUNCTION("""COMPUTED_VALUE"""),"Carrots")</f>
        <v>Carrots</v>
      </c>
      <c r="AV49" s="292" t="str">
        <f>IFERROR(__xludf.DUMMYFUNCTION("""COMPUTED_VALUE"""),"Cupped Sauce")</f>
        <v>Cupped Sauce</v>
      </c>
      <c r="AW49" s="292" t="str">
        <f>IFERROR(__xludf.DUMMYFUNCTION("""COMPUTED_VALUE"""),"Year Round")</f>
        <v>Year Round</v>
      </c>
      <c r="AX49" s="292" t="str">
        <f>IFERROR(__xludf.DUMMYFUNCTION("""COMPUTED_VALUE"""),"American")</f>
        <v>American</v>
      </c>
      <c r="AY49" s="292"/>
      <c r="AZ49" s="292" t="str">
        <f>IFERROR(__xludf.DUMMYFUNCTION("""COMPUTED_VALUE"""),"2 CT")</f>
        <v>2 CT</v>
      </c>
      <c r="BA49" s="292" t="b">
        <f>IFERROR(__xludf.DUMMYFUNCTION("""COMPUTED_VALUE"""),TRUE)</f>
        <v>1</v>
      </c>
      <c r="BB49" s="342">
        <f>IFERROR(__xludf.DUMMYFUNCTION("""COMPUTED_VALUE"""),2.47)</f>
        <v>2.47</v>
      </c>
      <c r="BC49" s="342">
        <f>IFERROR(__xludf.DUMMYFUNCTION("""COMPUTED_VALUE"""),0.96)</f>
        <v>0.96</v>
      </c>
      <c r="BD49" s="342">
        <f>IFERROR(__xludf.DUMMYFUNCTION("""COMPUTED_VALUE"""),0.39)</f>
        <v>0.39</v>
      </c>
      <c r="BE49" s="342">
        <f>IFERROR(__xludf.DUMMYFUNCTION("""COMPUTED_VALUE"""),0.89)</f>
        <v>0.89</v>
      </c>
      <c r="BF49" s="296" t="str">
        <f>IFERROR(__xludf.DUMMYFUNCTION("""COMPUTED_VALUE"""),"#REF!")</f>
        <v>#REF!</v>
      </c>
      <c r="BG49" s="296" t="str">
        <f>IFERROR(__xludf.DUMMYFUNCTION("""COMPUTED_VALUE"""),"#REF!")</f>
        <v>#REF!</v>
      </c>
      <c r="BH49" s="296" t="str">
        <f>IFERROR(__xludf.DUMMYFUNCTION("""COMPUTED_VALUE"""),"#REF!")</f>
        <v>#REF!</v>
      </c>
      <c r="BI49" s="295">
        <f>IFERROR(__xludf.DUMMYFUNCTION("""COMPUTED_VALUE"""),163.0)</f>
        <v>163</v>
      </c>
      <c r="BJ49" s="295" t="str">
        <f>IFERROR(__xludf.DUMMYFUNCTION("""COMPUTED_VALUE"""),"FALSE")</f>
        <v>FALSE</v>
      </c>
      <c r="BK49" s="346">
        <f>IFERROR(__xludf.DUMMYFUNCTION("""COMPUTED_VALUE"""),2527.0)</f>
        <v>2527</v>
      </c>
      <c r="BL49" s="292" t="str">
        <f>IFERROR(__xludf.DUMMYFUNCTION("""COMPUTED_VALUE"""),"US")</f>
        <v>US</v>
      </c>
      <c r="BM49" s="292" t="str">
        <f>IFERROR(__xludf.DUMMYFUNCTION("""COMPUTED_VALUE"""),"Kyckling i honung- och senapssås ")</f>
        <v>Kyckling i honung- och senapssås </v>
      </c>
      <c r="BN49" s="292"/>
      <c r="BO49" s="292"/>
      <c r="BP49" s="292"/>
      <c r="BQ49" s="292" t="str">
        <f>IFERROR(__xludf.DUMMYFUNCTION("""COMPUTED_VALUE"""),"Hold - Rework")</f>
        <v>Hold - Rework</v>
      </c>
      <c r="BR49" s="292" t="b">
        <f>IFERROR(__xludf.DUMMYFUNCTION("""COMPUTED_VALUE"""),FALSE)</f>
        <v>0</v>
      </c>
      <c r="BS49" s="292" t="b">
        <f>IFERROR(__xludf.DUMMYFUNCTION("""COMPUTED_VALUE"""),TRUE)</f>
        <v>1</v>
      </c>
      <c r="BT49" s="345">
        <f>IFERROR(__xludf.DUMMYFUNCTION("""COMPUTED_VALUE"""),625.0)</f>
        <v>625</v>
      </c>
      <c r="BU49" s="345">
        <f>IFERROR(__xludf.DUMMYFUNCTION("""COMPUTED_VALUE"""),149.0)</f>
        <v>149</v>
      </c>
      <c r="BV49" s="344">
        <f>IFERROR(__xludf.DUMMYFUNCTION("""COMPUTED_VALUE"""),5.8)</f>
        <v>5.8</v>
      </c>
      <c r="BW49" s="344">
        <f>IFERROR(__xludf.DUMMYFUNCTION("""COMPUTED_VALUE"""),1.2)</f>
        <v>1.2</v>
      </c>
    </row>
    <row r="50">
      <c r="A50" s="292" t="str">
        <f>IFERROR(__xludf.DUMMYFUNCTION("""COMPUTED_VALUE"""),"FE0412C")</f>
        <v>FE0412C</v>
      </c>
      <c r="B50" s="292" t="str">
        <f>IFERROR(__xludf.DUMMYFUNCTION("""COMPUTED_VALUE"""),"CON-40-143702-4")</f>
        <v>CON-40-143702-4</v>
      </c>
      <c r="C50" s="292" t="str">
        <f>IFERROR(__xludf.DUMMYFUNCTION("""COMPUTED_VALUE"""),"CON-00-147837-2")</f>
        <v>CON-00-147837-2</v>
      </c>
      <c r="D50" s="292" t="str">
        <f>IFERROR(__xludf.DUMMYFUNCTION("""COMPUTED_VALUE"""),"CON-00-136702-3")</f>
        <v>CON-00-136702-3</v>
      </c>
      <c r="E50" s="292" t="str">
        <f>IFERROR(__xludf.DUMMYFUNCTION("""COMPUTED_VALUE"""),"Mujadara rice bowl")</f>
        <v>Mujadara rice bowl</v>
      </c>
      <c r="F50" s="292" t="str">
        <f>IFERROR(__xludf.DUMMYFUNCTION("""COMPUTED_VALUE"""),"with lentils, carrot and coriander zoug")</f>
        <v>with lentils, carrot and coriander zoug</v>
      </c>
      <c r="G50" s="292" t="str">
        <f>IFERROR(__xludf.DUMMYFUNCTION("""COMPUTED_VALUE"""),"Mujadara rijstbowl")</f>
        <v>Mujadara rijstbowl</v>
      </c>
      <c r="H50" s="292" t="str">
        <f>IFERROR(__xludf.DUMMYFUNCTION("""COMPUTED_VALUE"""),"met linzen, wortel en koriander-zoug")</f>
        <v>met linzen, wortel en koriander-zoug</v>
      </c>
      <c r="I50" s="292" t="str">
        <f>IFERROR(__xludf.DUMMYFUNCTION("""COMPUTED_VALUE"""),"Mujadara ris bowl")</f>
        <v>Mujadara ris bowl</v>
      </c>
      <c r="J50" s="292" t="str">
        <f>IFERROR(__xludf.DUMMYFUNCTION("""COMPUTED_VALUE"""),"Reis-Bowl ""Mujadara""")</f>
        <v>Reis-Bowl "Mujadara"</v>
      </c>
      <c r="K50" s="292">
        <f>IFERROR(__xludf.DUMMYFUNCTION("""COMPUTED_VALUE"""),565094.0)</f>
        <v>565094</v>
      </c>
      <c r="L50" s="292"/>
      <c r="M50" s="292" t="str">
        <f>IFERROR(__xludf.DUMMYFUNCTION("""COMPUTED_VALUE"""),"FA-NL Mujadara rijstbowl (FE0412)")</f>
        <v>FA-NL Mujadara rijstbowl (FE0412)</v>
      </c>
      <c r="N50" s="292" t="str">
        <f>IFERROR(__xludf.DUMMYFUNCTION("""COMPUTED_VALUE"""),"FA-NO Mujadara ris bowl (FE0412)")</f>
        <v>FA-NO Mujadara ris bowl (FE0412)</v>
      </c>
      <c r="O50" s="292" t="str">
        <f>IFERROR(__xludf.DUMMYFUNCTION("""COMPUTED_VALUE"""),"FA-DE Reis-Bowl ""Mujadara"" (FE0412)")</f>
        <v>FA-DE Reis-Bowl "Mujadara" (FE0412)</v>
      </c>
      <c r="P50" s="292" t="str">
        <f>IFERROR(__xludf.DUMMYFUNCTION("""COMPUTED_VALUE"""),"Active")</f>
        <v>Active</v>
      </c>
      <c r="Q50" s="292"/>
      <c r="R50" s="342">
        <f>IFERROR(__xludf.DUMMYFUNCTION("""COMPUTED_VALUE"""),4.180000000000001)</f>
        <v>4.18</v>
      </c>
      <c r="S50" s="292"/>
      <c r="T50" s="292"/>
      <c r="U50" s="292"/>
      <c r="V50" s="292"/>
      <c r="W50" s="292" t="b">
        <f>IFERROR(__xludf.DUMMYFUNCTION("""COMPUTED_VALUE"""),TRUE)</f>
        <v>1</v>
      </c>
      <c r="X50" s="345">
        <f>IFERROR(__xludf.DUMMYFUNCTION("""COMPUTED_VALUE"""),412.0)</f>
        <v>412</v>
      </c>
      <c r="Y50" s="344">
        <f>IFERROR(__xludf.DUMMYFUNCTION("""COMPUTED_VALUE"""),691.0)</f>
        <v>691</v>
      </c>
      <c r="Z50" s="343">
        <f>IFERROR(__xludf.DUMMYFUNCTION("""COMPUTED_VALUE"""),31.3)</f>
        <v>31.3</v>
      </c>
      <c r="AA50" s="344">
        <f>IFERROR(__xludf.DUMMYFUNCTION("""COMPUTED_VALUE"""),4.9)</f>
        <v>4.9</v>
      </c>
      <c r="AB50" s="344">
        <f>IFERROR(__xludf.DUMMYFUNCTION("""COMPUTED_VALUE"""),75.4)</f>
        <v>75.4</v>
      </c>
      <c r="AC50" s="344">
        <f>IFERROR(__xludf.DUMMYFUNCTION("""COMPUTED_VALUE"""),24.3)</f>
        <v>24.3</v>
      </c>
      <c r="AD50" s="344">
        <f>IFERROR(__xludf.DUMMYFUNCTION("""COMPUTED_VALUE"""),19.8)</f>
        <v>19.8</v>
      </c>
      <c r="AE50" s="343">
        <f>IFERROR(__xludf.DUMMYFUNCTION("""COMPUTED_VALUE"""),16.0)</f>
        <v>16</v>
      </c>
      <c r="AF50" s="343">
        <f>IFERROR(__xludf.DUMMYFUNCTION("""COMPUTED_VALUE"""),2.02)</f>
        <v>2.02</v>
      </c>
      <c r="AG50" s="292" t="b">
        <f>IFERROR(__xludf.DUMMYFUNCTION("""COMPUTED_VALUE"""),FALSE)</f>
        <v>0</v>
      </c>
      <c r="AH50" s="292" t="b">
        <f>IFERROR(__xludf.DUMMYFUNCTION("""COMPUTED_VALUE"""),FALSE)</f>
        <v>0</v>
      </c>
      <c r="AI50" s="292" t="b">
        <f>IFERROR(__xludf.DUMMYFUNCTION("""COMPUTED_VALUE"""),FALSE)</f>
        <v>0</v>
      </c>
      <c r="AJ50" s="292" t="b">
        <f>IFERROR(__xludf.DUMMYFUNCTION("""COMPUTED_VALUE"""),FALSE)</f>
        <v>0</v>
      </c>
      <c r="AK50" s="292" t="b">
        <f>IFERROR(__xludf.DUMMYFUNCTION("""COMPUTED_VALUE"""),TRUE)</f>
        <v>1</v>
      </c>
      <c r="AL50" s="292" t="b">
        <f>IFERROR(__xludf.DUMMYFUNCTION("""COMPUTED_VALUE"""),FALSE)</f>
        <v>0</v>
      </c>
      <c r="AM50" s="292" t="b">
        <f>IFERROR(__xludf.DUMMYFUNCTION("""COMPUTED_VALUE"""),FALSE)</f>
        <v>0</v>
      </c>
      <c r="AN50" s="292" t="b">
        <f>IFERROR(__xludf.DUMMYFUNCTION("""COMPUTED_VALUE"""),TRUE)</f>
        <v>1</v>
      </c>
      <c r="AO50" s="292" t="str">
        <f>IFERROR(__xludf.DUMMYFUNCTION("""COMPUTED_VALUE"""),"TRUE")</f>
        <v>TRUE</v>
      </c>
      <c r="AP50" s="292" t="str">
        <f>IFERROR(__xludf.DUMMYFUNCTION("""COMPUTED_VALUE"""),"Vegetarian")</f>
        <v>Vegetarian</v>
      </c>
      <c r="AQ50" s="292" t="str">
        <f>IFERROR(__xludf.DUMMYFUNCTION("""COMPUTED_VALUE"""),"Vegetarian")</f>
        <v>Vegetarian</v>
      </c>
      <c r="AR50" s="292" t="str">
        <f>IFERROR(__xludf.DUMMYFUNCTION("""COMPUTED_VALUE"""),"Legumes")</f>
        <v>Legumes</v>
      </c>
      <c r="AS50" s="292" t="str">
        <f>IFERROR(__xludf.DUMMYFUNCTION("""COMPUTED_VALUE"""),"Rice")</f>
        <v>Rice</v>
      </c>
      <c r="AT50" s="292" t="str">
        <f>IFERROR(__xludf.DUMMYFUNCTION("""COMPUTED_VALUE"""),"Carrots")</f>
        <v>Carrots</v>
      </c>
      <c r="AU50" s="292" t="str">
        <f>IFERROR(__xludf.DUMMYFUNCTION("""COMPUTED_VALUE"""),"Caramelized Onions")</f>
        <v>Caramelized Onions</v>
      </c>
      <c r="AV50" s="292" t="str">
        <f>IFERROR(__xludf.DUMMYFUNCTION("""COMPUTED_VALUE"""),"Lentils")</f>
        <v>Lentils</v>
      </c>
      <c r="AW50" s="292" t="str">
        <f>IFERROR(__xludf.DUMMYFUNCTION("""COMPUTED_VALUE"""),"Year Round")</f>
        <v>Year Round</v>
      </c>
      <c r="AX50" s="292" t="str">
        <f>IFERROR(__xludf.DUMMYFUNCTION("""COMPUTED_VALUE"""),"Middle Eastern")</f>
        <v>Middle Eastern</v>
      </c>
      <c r="AY50" s="292"/>
      <c r="AZ50" s="292" t="str">
        <f>IFERROR(__xludf.DUMMYFUNCTION("""COMPUTED_VALUE"""),"2 CT")</f>
        <v>2 CT</v>
      </c>
      <c r="BA50" s="292" t="b">
        <f>IFERROR(__xludf.DUMMYFUNCTION("""COMPUTED_VALUE"""),TRUE)</f>
        <v>1</v>
      </c>
      <c r="BB50" s="342">
        <f>IFERROR(__xludf.DUMMYFUNCTION("""COMPUTED_VALUE"""),1.79)</f>
        <v>1.79</v>
      </c>
      <c r="BC50" s="342">
        <f>IFERROR(__xludf.DUMMYFUNCTION("""COMPUTED_VALUE"""),1.11)</f>
        <v>1.11</v>
      </c>
      <c r="BD50" s="342">
        <f>IFERROR(__xludf.DUMMYFUNCTION("""COMPUTED_VALUE"""),0.39)</f>
        <v>0.39</v>
      </c>
      <c r="BE50" s="342">
        <f>IFERROR(__xludf.DUMMYFUNCTION("""COMPUTED_VALUE"""),0.89)</f>
        <v>0.89</v>
      </c>
      <c r="BF50" s="296" t="str">
        <f>IFERROR(__xludf.DUMMYFUNCTION("""COMPUTED_VALUE"""),"#REF!")</f>
        <v>#REF!</v>
      </c>
      <c r="BG50" s="296" t="str">
        <f>IFERROR(__xludf.DUMMYFUNCTION("""COMPUTED_VALUE"""),"#REF!")</f>
        <v>#REF!</v>
      </c>
      <c r="BH50" s="296" t="str">
        <f>IFERROR(__xludf.DUMMYFUNCTION("""COMPUTED_VALUE"""),"#REF!")</f>
        <v>#REF!</v>
      </c>
      <c r="BI50" s="295">
        <f>IFERROR(__xludf.DUMMYFUNCTION("""COMPUTED_VALUE"""),186.0)</f>
        <v>186</v>
      </c>
      <c r="BJ50" s="295" t="str">
        <f>IFERROR(__xludf.DUMMYFUNCTION("""COMPUTED_VALUE"""),"FALSE")</f>
        <v>FALSE</v>
      </c>
      <c r="BK50" s="346">
        <f>IFERROR(__xludf.DUMMYFUNCTION("""COMPUTED_VALUE"""),2888.0)</f>
        <v>2888</v>
      </c>
      <c r="BL50" s="292" t="str">
        <f>IFERROR(__xludf.DUMMYFUNCTION("""COMPUTED_VALUE"""),"US")</f>
        <v>US</v>
      </c>
      <c r="BM50" s="292" t="str">
        <f>IFERROR(__xludf.DUMMYFUNCTION("""COMPUTED_VALUE"""),"Mujadara risbowl")</f>
        <v>Mujadara risbowl</v>
      </c>
      <c r="BN50" s="292"/>
      <c r="BO50" s="292"/>
      <c r="BP50" s="292"/>
      <c r="BQ50" s="292" t="str">
        <f>IFERROR(__xludf.DUMMYFUNCTION("""COMPUTED_VALUE"""),"Active")</f>
        <v>Active</v>
      </c>
      <c r="BR50" s="292" t="b">
        <f>IFERROR(__xludf.DUMMYFUNCTION("""COMPUTED_VALUE"""),FALSE)</f>
        <v>0</v>
      </c>
      <c r="BS50" s="292" t="b">
        <f>IFERROR(__xludf.DUMMYFUNCTION("""COMPUTED_VALUE"""),FALSE)</f>
        <v>0</v>
      </c>
      <c r="BT50" s="345">
        <f>IFERROR(__xludf.DUMMYFUNCTION("""COMPUTED_VALUE"""),701.0)</f>
        <v>701</v>
      </c>
      <c r="BU50" s="345">
        <f>IFERROR(__xludf.DUMMYFUNCTION("""COMPUTED_VALUE"""),167.8)</f>
        <v>167.8</v>
      </c>
      <c r="BV50" s="344">
        <f>IFERROR(__xludf.DUMMYFUNCTION("""COMPUTED_VALUE"""),7.6)</f>
        <v>7.6</v>
      </c>
      <c r="BW50" s="344">
        <f>IFERROR(__xludf.DUMMYFUNCTION("""COMPUTED_VALUE"""),1.2)</f>
        <v>1.2</v>
      </c>
    </row>
    <row r="51">
      <c r="A51" s="292" t="str">
        <f>IFERROR(__xludf.DUMMYFUNCTION("""COMPUTED_VALUE"""),"FE0413F")</f>
        <v>FE0413F</v>
      </c>
      <c r="B51" s="292" t="str">
        <f>IFERROR(__xludf.DUMMYFUNCTION("""COMPUTED_VALUE"""),"CON-40-143665-4")</f>
        <v>CON-40-143665-4</v>
      </c>
      <c r="C51" s="292" t="str">
        <f>IFERROR(__xludf.DUMMYFUNCTION("""COMPUTED_VALUE"""),"CON-00-147839-2")</f>
        <v>CON-00-147839-2</v>
      </c>
      <c r="D51" s="292" t="str">
        <f>IFERROR(__xludf.DUMMYFUNCTION("""COMPUTED_VALUE"""),"CON-00-136698-3")</f>
        <v>CON-00-136698-3</v>
      </c>
      <c r="E51" s="292" t="str">
        <f>IFERROR(__xludf.DUMMYFUNCTION("""COMPUTED_VALUE"""),"Braised beef in herby jus")</f>
        <v>Braised beef in herby jus</v>
      </c>
      <c r="F51" s="292" t="str">
        <f>IFERROR(__xludf.DUMMYFUNCTION("""COMPUTED_VALUE"""),"with cauliflower puree, broccoli and Emmentaler")</f>
        <v>with cauliflower puree, broccoli and Emmentaler</v>
      </c>
      <c r="G51" s="292" t="str">
        <f>IFERROR(__xludf.DUMMYFUNCTION("""COMPUTED_VALUE"""),"Gestoofd rundvlees in kruidige jus")</f>
        <v>Gestoofd rundvlees in kruidige jus</v>
      </c>
      <c r="H51" s="292" t="str">
        <f>IFERROR(__xludf.DUMMYFUNCTION("""COMPUTED_VALUE"""),"met bloemkoolpuree, broccoli en Emmentaler")</f>
        <v>met bloemkoolpuree, broccoli en Emmentaler</v>
      </c>
      <c r="I51" s="292" t="str">
        <f>IFERROR(__xludf.DUMMYFUNCTION("""COMPUTED_VALUE"""),"Braiseret oksekød i urtesauce")</f>
        <v>Braiseret oksekød i urtesauce</v>
      </c>
      <c r="J51" s="292" t="str">
        <f>IFERROR(__xludf.DUMMYFUNCTION("""COMPUTED_VALUE"""),"Geschmortes Rindfleisch in Kräuterjus")</f>
        <v>Geschmortes Rindfleisch in Kräuterjus</v>
      </c>
      <c r="K51" s="292">
        <f>IFERROR(__xludf.DUMMYFUNCTION("""COMPUTED_VALUE"""),565089.0)</f>
        <v>565089</v>
      </c>
      <c r="L51" s="292" t="str">
        <f>IFERROR(__xludf.DUMMYFUNCTION("""COMPUTED_VALUE"""),"HF Franse stijl rundvlees")</f>
        <v>HF Franse stijl rundvlees</v>
      </c>
      <c r="M51" s="292" t="str">
        <f>IFERROR(__xludf.DUMMYFUNCTION("""COMPUTED_VALUE"""),"FA-NL Gestoofd rundvlees in kruidige jus (FE0413)")</f>
        <v>FA-NL Gestoofd rundvlees in kruidige jus (FE0413)</v>
      </c>
      <c r="N51" s="292" t="str">
        <f>IFERROR(__xludf.DUMMYFUNCTION("""COMPUTED_VALUE"""),"FA-NO Braiseret oksekød i urtesauce (FE0413)")</f>
        <v>FA-NO Braiseret oksekød i urtesauce (FE0413)</v>
      </c>
      <c r="O51" s="292" t="str">
        <f>IFERROR(__xludf.DUMMYFUNCTION("""COMPUTED_VALUE"""),"FA-DE Geschmortes Rindfleisch in Kräuterjus (FE0413)")</f>
        <v>FA-DE Geschmortes Rindfleisch in Kräuterjus (FE0413)</v>
      </c>
      <c r="P51" s="292" t="str">
        <f>IFERROR(__xludf.DUMMYFUNCTION("""COMPUTED_VALUE"""),"Active")</f>
        <v>Active</v>
      </c>
      <c r="Q51" s="292"/>
      <c r="R51" s="342">
        <f>IFERROR(__xludf.DUMMYFUNCTION("""COMPUTED_VALUE"""),4.9)</f>
        <v>4.9</v>
      </c>
      <c r="S51" s="292"/>
      <c r="T51" s="292"/>
      <c r="U51" s="292"/>
      <c r="V51" s="292"/>
      <c r="W51" s="292" t="b">
        <f>IFERROR(__xludf.DUMMYFUNCTION("""COMPUTED_VALUE"""),TRUE)</f>
        <v>1</v>
      </c>
      <c r="X51" s="345">
        <f>IFERROR(__xludf.DUMMYFUNCTION("""COMPUTED_VALUE"""),391.0)</f>
        <v>391</v>
      </c>
      <c r="Y51" s="344">
        <f>IFERROR(__xludf.DUMMYFUNCTION("""COMPUTED_VALUE"""),640.0)</f>
        <v>640</v>
      </c>
      <c r="Z51" s="343">
        <f>IFERROR(__xludf.DUMMYFUNCTION("""COMPUTED_VALUE"""),42.6)</f>
        <v>42.6</v>
      </c>
      <c r="AA51" s="344">
        <f>IFERROR(__xludf.DUMMYFUNCTION("""COMPUTED_VALUE"""),19.9)</f>
        <v>19.9</v>
      </c>
      <c r="AB51" s="344">
        <f>IFERROR(__xludf.DUMMYFUNCTION("""COMPUTED_VALUE"""),14.9)</f>
        <v>14.9</v>
      </c>
      <c r="AC51" s="344">
        <f>IFERROR(__xludf.DUMMYFUNCTION("""COMPUTED_VALUE"""),13.3)</f>
        <v>13.3</v>
      </c>
      <c r="AD51" s="344">
        <f>IFERROR(__xludf.DUMMYFUNCTION("""COMPUTED_VALUE"""),7.4)</f>
        <v>7.4</v>
      </c>
      <c r="AE51" s="343">
        <f>IFERROR(__xludf.DUMMYFUNCTION("""COMPUTED_VALUE"""),45.0)</f>
        <v>45</v>
      </c>
      <c r="AF51" s="343">
        <f>IFERROR(__xludf.DUMMYFUNCTION("""COMPUTED_VALUE"""),1.92)</f>
        <v>1.92</v>
      </c>
      <c r="AG51" s="292" t="b">
        <f>IFERROR(__xludf.DUMMYFUNCTION("""COMPUTED_VALUE"""),FALSE)</f>
        <v>0</v>
      </c>
      <c r="AH51" s="292" t="b">
        <f>IFERROR(__xludf.DUMMYFUNCTION("""COMPUTED_VALUE"""),TRUE)</f>
        <v>1</v>
      </c>
      <c r="AI51" s="292" t="b">
        <f>IFERROR(__xludf.DUMMYFUNCTION("""COMPUTED_VALUE"""),FALSE)</f>
        <v>0</v>
      </c>
      <c r="AJ51" s="292" t="b">
        <f>IFERROR(__xludf.DUMMYFUNCTION("""COMPUTED_VALUE"""),FALSE)</f>
        <v>0</v>
      </c>
      <c r="AK51" s="292" t="b">
        <f>IFERROR(__xludf.DUMMYFUNCTION("""COMPUTED_VALUE"""),FALSE)</f>
        <v>0</v>
      </c>
      <c r="AL51" s="292" t="b">
        <f>IFERROR(__xludf.DUMMYFUNCTION("""COMPUTED_VALUE"""),FALSE)</f>
        <v>0</v>
      </c>
      <c r="AM51" s="292" t="b">
        <f>IFERROR(__xludf.DUMMYFUNCTION("""COMPUTED_VALUE"""),TRUE)</f>
        <v>1</v>
      </c>
      <c r="AN51" s="292" t="b">
        <f>IFERROR(__xludf.DUMMYFUNCTION("""COMPUTED_VALUE"""),FALSE)</f>
        <v>0</v>
      </c>
      <c r="AO51" s="292" t="str">
        <f>IFERROR(__xludf.DUMMYFUNCTION("""COMPUTED_VALUE"""),"FALSE")</f>
        <v>FALSE</v>
      </c>
      <c r="AP51" s="292" t="str">
        <f>IFERROR(__xludf.DUMMYFUNCTION("""COMPUTED_VALUE"""),"Shredded beef")</f>
        <v>Shredded beef</v>
      </c>
      <c r="AQ51" s="292" t="str">
        <f>IFERROR(__xludf.DUMMYFUNCTION("""COMPUTED_VALUE"""),"Beef")</f>
        <v>Beef</v>
      </c>
      <c r="AR51" s="292" t="str">
        <f>IFERROR(__xludf.DUMMYFUNCTION("""COMPUTED_VALUE"""),"Shredded")</f>
        <v>Shredded</v>
      </c>
      <c r="AS51" s="292" t="str">
        <f>IFERROR(__xludf.DUMMYFUNCTION("""COMPUTED_VALUE"""),"Cauliflower Mash")</f>
        <v>Cauliflower Mash</v>
      </c>
      <c r="AT51" s="292" t="str">
        <f>IFERROR(__xludf.DUMMYFUNCTION("""COMPUTED_VALUE"""),"Caramelized Onions")</f>
        <v>Caramelized Onions</v>
      </c>
      <c r="AU51" s="292" t="str">
        <f>IFERROR(__xludf.DUMMYFUNCTION("""COMPUTED_VALUE"""),"Broccoli")</f>
        <v>Broccoli</v>
      </c>
      <c r="AV51" s="292" t="str">
        <f>IFERROR(__xludf.DUMMYFUNCTION("""COMPUTED_VALUE"""),"Compound Butter")</f>
        <v>Compound Butter</v>
      </c>
      <c r="AW51" s="292" t="str">
        <f>IFERROR(__xludf.DUMMYFUNCTION("""COMPUTED_VALUE"""),"Year Round")</f>
        <v>Year Round</v>
      </c>
      <c r="AX51" s="292" t="str">
        <f>IFERROR(__xludf.DUMMYFUNCTION("""COMPUTED_VALUE"""),"French")</f>
        <v>French</v>
      </c>
      <c r="AY51" s="292"/>
      <c r="AZ51" s="292" t="str">
        <f>IFERROR(__xludf.DUMMYFUNCTION("""COMPUTED_VALUE"""),"2 CT")</f>
        <v>2 CT</v>
      </c>
      <c r="BA51" s="292" t="b">
        <f>IFERROR(__xludf.DUMMYFUNCTION("""COMPUTED_VALUE"""),FALSE)</f>
        <v>0</v>
      </c>
      <c r="BB51" s="342">
        <f>IFERROR(__xludf.DUMMYFUNCTION("""COMPUTED_VALUE"""),2.45)</f>
        <v>2.45</v>
      </c>
      <c r="BC51" s="342">
        <f>IFERROR(__xludf.DUMMYFUNCTION("""COMPUTED_VALUE"""),1.2)</f>
        <v>1.2</v>
      </c>
      <c r="BD51" s="342">
        <f>IFERROR(__xludf.DUMMYFUNCTION("""COMPUTED_VALUE"""),0.36)</f>
        <v>0.36</v>
      </c>
      <c r="BE51" s="342">
        <f>IFERROR(__xludf.DUMMYFUNCTION("""COMPUTED_VALUE"""),0.89)</f>
        <v>0.89</v>
      </c>
      <c r="BF51" s="296">
        <f>IFERROR(__xludf.DUMMYFUNCTION("""COMPUTED_VALUE"""),3.2533333333333334)</f>
        <v>3.253333333</v>
      </c>
      <c r="BG51" s="296">
        <f>IFERROR(__xludf.DUMMYFUNCTION("""COMPUTED_VALUE"""),3.236666666666667)</f>
        <v>3.236666667</v>
      </c>
      <c r="BH51" s="296">
        <f>IFERROR(__xludf.DUMMYFUNCTION("""COMPUTED_VALUE"""),3.1966666666666668)</f>
        <v>3.196666667</v>
      </c>
      <c r="BI51" s="295">
        <f>IFERROR(__xludf.DUMMYFUNCTION("""COMPUTED_VALUE"""),223.0)</f>
        <v>223</v>
      </c>
      <c r="BJ51" s="295" t="str">
        <f>IFERROR(__xludf.DUMMYFUNCTION("""COMPUTED_VALUE"""),"FALSE")</f>
        <v>FALSE</v>
      </c>
      <c r="BK51" s="346">
        <f>IFERROR(__xludf.DUMMYFUNCTION("""COMPUTED_VALUE"""),2667.0)</f>
        <v>2667</v>
      </c>
      <c r="BL51" s="292" t="str">
        <f>IFERROR(__xludf.DUMMYFUNCTION("""COMPUTED_VALUE"""),"US")</f>
        <v>US</v>
      </c>
      <c r="BM51" s="292" t="str">
        <f>IFERROR(__xludf.DUMMYFUNCTION("""COMPUTED_VALUE"""),"Bräserad biff i örtsky")</f>
        <v>Bräserad biff i örtsky</v>
      </c>
      <c r="BN51" s="343">
        <f>IFERROR(__xludf.DUMMYFUNCTION("""COMPUTED_VALUE"""),3.346666666666667)</f>
        <v>3.346666667</v>
      </c>
      <c r="BO51" s="343">
        <f>IFERROR(__xludf.DUMMYFUNCTION("""COMPUTED_VALUE"""),2.983333333333333)</f>
        <v>2.983333333</v>
      </c>
      <c r="BP51" s="292"/>
      <c r="BQ51" s="292" t="str">
        <f>IFERROR(__xludf.DUMMYFUNCTION("""COMPUTED_VALUE"""),"Active")</f>
        <v>Active</v>
      </c>
      <c r="BR51" s="292" t="b">
        <f>IFERROR(__xludf.DUMMYFUNCTION("""COMPUTED_VALUE"""),FALSE)</f>
        <v>0</v>
      </c>
      <c r="BS51" s="292" t="b">
        <f>IFERROR(__xludf.DUMMYFUNCTION("""COMPUTED_VALUE"""),FALSE)</f>
        <v>0</v>
      </c>
      <c r="BT51" s="345">
        <f>IFERROR(__xludf.DUMMYFUNCTION("""COMPUTED_VALUE"""),682.0)</f>
        <v>682</v>
      </c>
      <c r="BU51" s="345">
        <f>IFERROR(__xludf.DUMMYFUNCTION("""COMPUTED_VALUE"""),163.8)</f>
        <v>163.8</v>
      </c>
      <c r="BV51" s="344">
        <f>IFERROR(__xludf.DUMMYFUNCTION("""COMPUTED_VALUE"""),10.9)</f>
        <v>10.9</v>
      </c>
      <c r="BW51" s="344">
        <f>IFERROR(__xludf.DUMMYFUNCTION("""COMPUTED_VALUE"""),5.1)</f>
        <v>5.1</v>
      </c>
    </row>
    <row r="52">
      <c r="A52" s="292" t="str">
        <f>IFERROR(__xludf.DUMMYFUNCTION("""COMPUTED_VALUE"""),"FE0425B")</f>
        <v>FE0425B</v>
      </c>
      <c r="B52" s="292" t="str">
        <f>IFERROR(__xludf.DUMMYFUNCTION("""COMPUTED_VALUE"""),"CON-40-143717-4")</f>
        <v>CON-40-143717-4</v>
      </c>
      <c r="C52" s="292" t="str">
        <f>IFERROR(__xludf.DUMMYFUNCTION("""COMPUTED_VALUE"""),"CON-00-147841-2")</f>
        <v>CON-00-147841-2</v>
      </c>
      <c r="D52" s="292" t="str">
        <f>IFERROR(__xludf.DUMMYFUNCTION("""COMPUTED_VALUE"""),"CON-00-136647-3")</f>
        <v>CON-00-136647-3</v>
      </c>
      <c r="E52" s="292" t="str">
        <f>IFERROR(__xludf.DUMMYFUNCTION("""COMPUTED_VALUE"""),"Quinoa bowl with sweet potato and peanut sauce")</f>
        <v>Quinoa bowl with sweet potato and peanut sauce</v>
      </c>
      <c r="F52" s="292" t="str">
        <f>IFERROR(__xludf.DUMMYFUNCTION("""COMPUTED_VALUE"""),"with coriander quinoa, roasted sesame broccoli and spicy peanuts")</f>
        <v>with coriander quinoa, roasted sesame broccoli and spicy peanuts</v>
      </c>
      <c r="G52" s="292" t="str">
        <f>IFERROR(__xludf.DUMMYFUNCTION("""COMPUTED_VALUE"""),"Quinoabowl met zoete aardappel en pindasaus")</f>
        <v>Quinoabowl met zoete aardappel en pindasaus</v>
      </c>
      <c r="H52" s="292" t="str">
        <f>IFERROR(__xludf.DUMMYFUNCTION("""COMPUTED_VALUE"""),"met korianderquinoa, geroosterde sesambroccoli en pittige pinda's")</f>
        <v>met korianderquinoa, geroosterde sesambroccoli en pittige pinda's</v>
      </c>
      <c r="I52" s="292"/>
      <c r="J52" s="345" t="str">
        <f>IFERROR(__xludf.DUMMYFUNCTION("""COMPUTED_VALUE"""),"Quinoa-Bowl mit Süßkartoffeln in Erdnusssauce")</f>
        <v>Quinoa-Bowl mit Süßkartoffeln in Erdnusssauce</v>
      </c>
      <c r="K52" s="292">
        <f>IFERROR(__xludf.DUMMYFUNCTION("""COMPUTED_VALUE"""),565028.0)</f>
        <v>565028</v>
      </c>
      <c r="L52" s="292" t="str">
        <f>IFERROR(__xludf.DUMMYFUNCTION("""COMPUTED_VALUE"""),"HF Azia geinspireerde Pinda Bowl 392g")</f>
        <v>HF Azia geinspireerde Pinda Bowl 392g</v>
      </c>
      <c r="M52" s="292" t="str">
        <f>IFERROR(__xludf.DUMMYFUNCTION("""COMPUTED_VALUE"""),"FA-NL Quinoabowl met zoete aardappel en pindasaus [FE0425]")</f>
        <v>FA-NL Quinoabowl met zoete aardappel en pindasaus [FE0425]</v>
      </c>
      <c r="N52" s="292" t="str">
        <f>IFERROR(__xludf.DUMMYFUNCTION("""COMPUTED_VALUE"""),"FA-NO Quinoabowl med sød kartoffel og peanutsauce (FE0425)")</f>
        <v>FA-NO Quinoabowl med sød kartoffel og peanutsauce (FE0425)</v>
      </c>
      <c r="O52" s="292" t="str">
        <f>IFERROR(__xludf.DUMMYFUNCTION("""COMPUTED_VALUE"""),"FA-DE Quinoa-Süßkartoffel-Erdnuss-Bowl (FE0425)")</f>
        <v>FA-DE Quinoa-Süßkartoffel-Erdnuss-Bowl (FE0425)</v>
      </c>
      <c r="P52" s="292" t="str">
        <f>IFERROR(__xludf.DUMMYFUNCTION("""COMPUTED_VALUE"""),"Graveyard")</f>
        <v>Graveyard</v>
      </c>
      <c r="Q52" s="292"/>
      <c r="R52" s="342">
        <f>IFERROR(__xludf.DUMMYFUNCTION("""COMPUTED_VALUE"""),4.29)</f>
        <v>4.29</v>
      </c>
      <c r="S52" s="298">
        <f>IFERROR(__xludf.DUMMYFUNCTION("""COMPUTED_VALUE"""),0.008301146202176892)</f>
        <v>0.008301146202</v>
      </c>
      <c r="T52" s="343">
        <f>IFERROR(__xludf.DUMMYFUNCTION("""COMPUTED_VALUE"""),3.3432526475037827)</f>
        <v>3.343252648</v>
      </c>
      <c r="U52" s="292">
        <f>IFERROR(__xludf.DUMMYFUNCTION("""COMPUTED_VALUE"""),6876.0)</f>
        <v>6876</v>
      </c>
      <c r="V52" s="292"/>
      <c r="W52" s="292" t="b">
        <f>IFERROR(__xludf.DUMMYFUNCTION("""COMPUTED_VALUE"""),TRUE)</f>
        <v>1</v>
      </c>
      <c r="X52" s="345">
        <f>IFERROR(__xludf.DUMMYFUNCTION("""COMPUTED_VALUE"""),392.0)</f>
        <v>392</v>
      </c>
      <c r="Y52" s="344">
        <f>IFERROR(__xludf.DUMMYFUNCTION("""COMPUTED_VALUE"""),699.0)</f>
        <v>699</v>
      </c>
      <c r="Z52" s="343">
        <f>IFERROR(__xludf.DUMMYFUNCTION("""COMPUTED_VALUE"""),36.7)</f>
        <v>36.7</v>
      </c>
      <c r="AA52" s="344">
        <f>IFERROR(__xludf.DUMMYFUNCTION("""COMPUTED_VALUE"""),5.4)</f>
        <v>5.4</v>
      </c>
      <c r="AB52" s="344">
        <f>IFERROR(__xludf.DUMMYFUNCTION("""COMPUTED_VALUE"""),63.0)</f>
        <v>63</v>
      </c>
      <c r="AC52" s="344">
        <f>IFERROR(__xludf.DUMMYFUNCTION("""COMPUTED_VALUE"""),24.2)</f>
        <v>24.2</v>
      </c>
      <c r="AD52" s="344">
        <f>IFERROR(__xludf.DUMMYFUNCTION("""COMPUTED_VALUE"""),13.6)</f>
        <v>13.6</v>
      </c>
      <c r="AE52" s="343">
        <f>IFERROR(__xludf.DUMMYFUNCTION("""COMPUTED_VALUE"""),21.4)</f>
        <v>21.4</v>
      </c>
      <c r="AF52" s="343">
        <f>IFERROR(__xludf.DUMMYFUNCTION("""COMPUTED_VALUE"""),1.99)</f>
        <v>1.99</v>
      </c>
      <c r="AG52" s="292" t="b">
        <f>IFERROR(__xludf.DUMMYFUNCTION("""COMPUTED_VALUE"""),TRUE)</f>
        <v>1</v>
      </c>
      <c r="AH52" s="292" t="b">
        <f>IFERROR(__xludf.DUMMYFUNCTION("""COMPUTED_VALUE"""),FALSE)</f>
        <v>0</v>
      </c>
      <c r="AI52" s="292" t="b">
        <f>IFERROR(__xludf.DUMMYFUNCTION("""COMPUTED_VALUE"""),FALSE)</f>
        <v>0</v>
      </c>
      <c r="AJ52" s="292" t="b">
        <f>IFERROR(__xludf.DUMMYFUNCTION("""COMPUTED_VALUE"""),FALSE)</f>
        <v>0</v>
      </c>
      <c r="AK52" s="292" t="b">
        <f>IFERROR(__xludf.DUMMYFUNCTION("""COMPUTED_VALUE"""),FALSE)</f>
        <v>0</v>
      </c>
      <c r="AL52" s="292" t="b">
        <f>IFERROR(__xludf.DUMMYFUNCTION("""COMPUTED_VALUE"""),TRUE)</f>
        <v>1</v>
      </c>
      <c r="AM52" s="292" t="b">
        <f>IFERROR(__xludf.DUMMYFUNCTION("""COMPUTED_VALUE"""),FALSE)</f>
        <v>0</v>
      </c>
      <c r="AN52" s="292" t="b">
        <f>IFERROR(__xludf.DUMMYFUNCTION("""COMPUTED_VALUE"""),TRUE)</f>
        <v>1</v>
      </c>
      <c r="AO52" s="292" t="str">
        <f>IFERROR(__xludf.DUMMYFUNCTION("""COMPUTED_VALUE"""),"TRUE")</f>
        <v>TRUE</v>
      </c>
      <c r="AP52" s="292" t="str">
        <f>IFERROR(__xludf.DUMMYFUNCTION("""COMPUTED_VALUE"""),"Vegan")</f>
        <v>Vegan</v>
      </c>
      <c r="AQ52" s="292" t="str">
        <f>IFERROR(__xludf.DUMMYFUNCTION("""COMPUTED_VALUE"""),"Vegan")</f>
        <v>Vegan</v>
      </c>
      <c r="AR52" s="292" t="str">
        <f>IFERROR(__xludf.DUMMYFUNCTION("""COMPUTED_VALUE"""),"Quinoa")</f>
        <v>Quinoa</v>
      </c>
      <c r="AS52" s="292" t="str">
        <f>IFERROR(__xludf.DUMMYFUNCTION("""COMPUTED_VALUE"""),"Quinoa")</f>
        <v>Quinoa</v>
      </c>
      <c r="AT52" s="292" t="str">
        <f>IFERROR(__xludf.DUMMYFUNCTION("""COMPUTED_VALUE"""),"Sweet Potato")</f>
        <v>Sweet Potato</v>
      </c>
      <c r="AU52" s="292" t="str">
        <f>IFERROR(__xludf.DUMMYFUNCTION("""COMPUTED_VALUE"""),"Broccoli")</f>
        <v>Broccoli</v>
      </c>
      <c r="AV52" s="292" t="str">
        <f>IFERROR(__xludf.DUMMYFUNCTION("""COMPUTED_VALUE"""),"Nuts")</f>
        <v>Nuts</v>
      </c>
      <c r="AW52" s="292" t="str">
        <f>IFERROR(__xludf.DUMMYFUNCTION("""COMPUTED_VALUE"""),"Year Round")</f>
        <v>Year Round</v>
      </c>
      <c r="AX52" s="292" t="str">
        <f>IFERROR(__xludf.DUMMYFUNCTION("""COMPUTED_VALUE"""),"Asian")</f>
        <v>Asian</v>
      </c>
      <c r="AY52" s="292"/>
      <c r="AZ52" s="292" t="str">
        <f>IFERROR(__xludf.DUMMYFUNCTION("""COMPUTED_VALUE"""),"3 CT")</f>
        <v>3 CT</v>
      </c>
      <c r="BA52" s="292" t="b">
        <f>IFERROR(__xludf.DUMMYFUNCTION("""COMPUTED_VALUE"""),TRUE)</f>
        <v>1</v>
      </c>
      <c r="BB52" s="342">
        <f>IFERROR(__xludf.DUMMYFUNCTION("""COMPUTED_VALUE"""),1.93)</f>
        <v>1.93</v>
      </c>
      <c r="BC52" s="342">
        <f>IFERROR(__xludf.DUMMYFUNCTION("""COMPUTED_VALUE"""),1.13)</f>
        <v>1.13</v>
      </c>
      <c r="BD52" s="342">
        <f>IFERROR(__xludf.DUMMYFUNCTION("""COMPUTED_VALUE"""),0.392)</f>
        <v>0.392</v>
      </c>
      <c r="BE52" s="342">
        <f>IFERROR(__xludf.DUMMYFUNCTION("""COMPUTED_VALUE"""),0.89)</f>
        <v>0.89</v>
      </c>
      <c r="BF52" s="296" t="str">
        <f>IFERROR(__xludf.DUMMYFUNCTION("""COMPUTED_VALUE"""),"#REF!")</f>
        <v>#REF!</v>
      </c>
      <c r="BG52" s="296" t="str">
        <f>IFERROR(__xludf.DUMMYFUNCTION("""COMPUTED_VALUE"""),"#REF!")</f>
        <v>#REF!</v>
      </c>
      <c r="BH52" s="296" t="str">
        <f>IFERROR(__xludf.DUMMYFUNCTION("""COMPUTED_VALUE"""),"#REF!")</f>
        <v>#REF!</v>
      </c>
      <c r="BI52" s="295">
        <f>IFERROR(__xludf.DUMMYFUNCTION("""COMPUTED_VALUE"""),146.0)</f>
        <v>146</v>
      </c>
      <c r="BJ52" s="295" t="str">
        <f>IFERROR(__xludf.DUMMYFUNCTION("""COMPUTED_VALUE"""),"FALSE")</f>
        <v>FALSE</v>
      </c>
      <c r="BK52" s="346">
        <f>IFERROR(__xludf.DUMMYFUNCTION("""COMPUTED_VALUE"""),2919.0)</f>
        <v>2919</v>
      </c>
      <c r="BL52" s="292"/>
      <c r="BM52" s="292"/>
      <c r="BN52" s="292"/>
      <c r="BO52" s="292"/>
      <c r="BP52" s="292"/>
      <c r="BQ52" s="292" t="str">
        <f>IFERROR(__xludf.DUMMYFUNCTION("""COMPUTED_VALUE"""),"Graveyard")</f>
        <v>Graveyard</v>
      </c>
      <c r="BR52" s="292" t="b">
        <f>IFERROR(__xludf.DUMMYFUNCTION("""COMPUTED_VALUE"""),FALSE)</f>
        <v>0</v>
      </c>
      <c r="BS52" s="292" t="b">
        <f>IFERROR(__xludf.DUMMYFUNCTION("""COMPUTED_VALUE"""),FALSE)</f>
        <v>0</v>
      </c>
      <c r="BT52" s="345">
        <f>IFERROR(__xludf.DUMMYFUNCTION("""COMPUTED_VALUE"""),744.6428571428571)</f>
        <v>744.6428571</v>
      </c>
      <c r="BU52" s="345">
        <f>IFERROR(__xludf.DUMMYFUNCTION("""COMPUTED_VALUE"""),178.31632653061226)</f>
        <v>178.3163265</v>
      </c>
      <c r="BV52" s="344">
        <f>IFERROR(__xludf.DUMMYFUNCTION("""COMPUTED_VALUE"""),9.362244897959185)</f>
        <v>9.362244898</v>
      </c>
      <c r="BW52" s="344">
        <f>IFERROR(__xludf.DUMMYFUNCTION("""COMPUTED_VALUE"""),1.3775510204081634)</f>
        <v>1.37755102</v>
      </c>
    </row>
    <row r="53">
      <c r="A53" s="292" t="str">
        <f>IFERROR(__xludf.DUMMYFUNCTION("""COMPUTED_VALUE"""),"FE0425C")</f>
        <v>FE0425C</v>
      </c>
      <c r="B53" s="292" t="str">
        <f>IFERROR(__xludf.DUMMYFUNCTION("""COMPUTED_VALUE"""),"CON-40-143717-4")</f>
        <v>CON-40-143717-4</v>
      </c>
      <c r="C53" s="292" t="str">
        <f>IFERROR(__xludf.DUMMYFUNCTION("""COMPUTED_VALUE"""),"CON-00-147841-2")</f>
        <v>CON-00-147841-2</v>
      </c>
      <c r="D53" s="292" t="str">
        <f>IFERROR(__xludf.DUMMYFUNCTION("""COMPUTED_VALUE"""),"CON-00-136647-3")</f>
        <v>CON-00-136647-3</v>
      </c>
      <c r="E53" s="292" t="str">
        <f>IFERROR(__xludf.DUMMYFUNCTION("""COMPUTED_VALUE"""),"Quinoa bowl with sweet potato and peanut sauce")</f>
        <v>Quinoa bowl with sweet potato and peanut sauce</v>
      </c>
      <c r="F53" s="292" t="str">
        <f>IFERROR(__xludf.DUMMYFUNCTION("""COMPUTED_VALUE"""),"with coriander quinoa, roasted sesame broccoli and spicy peanuts")</f>
        <v>with coriander quinoa, roasted sesame broccoli and spicy peanuts</v>
      </c>
      <c r="G53" s="292" t="str">
        <f>IFERROR(__xludf.DUMMYFUNCTION("""COMPUTED_VALUE"""),"Quinoabowl met zoete aardappel en pindasaus")</f>
        <v>Quinoabowl met zoete aardappel en pindasaus</v>
      </c>
      <c r="H53" s="292" t="str">
        <f>IFERROR(__xludf.DUMMYFUNCTION("""COMPUTED_VALUE"""),"met korianderquinoa, geroosterde sesambroccoli en pittige pinda's")</f>
        <v>met korianderquinoa, geroosterde sesambroccoli en pittige pinda's</v>
      </c>
      <c r="I53" s="292" t="str">
        <f>IFERROR(__xludf.DUMMYFUNCTION("""COMPUTED_VALUE"""),"Quinoabowl med sød kartoffel og peanutsauce")</f>
        <v>Quinoabowl med sød kartoffel og peanutsauce</v>
      </c>
      <c r="J53" s="292" t="str">
        <f>IFERROR(__xludf.DUMMYFUNCTION("""COMPUTED_VALUE"""),"Quinoa-Süßkartoffel-Erdnuss-Bowl")</f>
        <v>Quinoa-Süßkartoffel-Erdnuss-Bowl</v>
      </c>
      <c r="K53" s="292">
        <f>IFERROR(__xludf.DUMMYFUNCTION("""COMPUTED_VALUE"""),565028.0)</f>
        <v>565028</v>
      </c>
      <c r="L53" s="292" t="str">
        <f>IFERROR(__xludf.DUMMYFUNCTION("""COMPUTED_VALUE"""),"HF Azia geinspireerde Pinda Bowl 392g")</f>
        <v>HF Azia geinspireerde Pinda Bowl 392g</v>
      </c>
      <c r="M53" s="292" t="str">
        <f>IFERROR(__xludf.DUMMYFUNCTION("""COMPUTED_VALUE"""),"FA-NL Quinoabowl met zoete aardappel en pindasaus [FE0425]")</f>
        <v>FA-NL Quinoabowl met zoete aardappel en pindasaus [FE0425]</v>
      </c>
      <c r="N53" s="292" t="str">
        <f>IFERROR(__xludf.DUMMYFUNCTION("""COMPUTED_VALUE"""),"FA-NO Quinoabowl med sød kartoffel og peanutsauce (FE0425)")</f>
        <v>FA-NO Quinoabowl med sød kartoffel og peanutsauce (FE0425)</v>
      </c>
      <c r="O53" s="292" t="str">
        <f>IFERROR(__xludf.DUMMYFUNCTION("""COMPUTED_VALUE"""),"FA-DE Quinoa-Süßkartoffel-Erdnuss-Bowl (FE0425)")</f>
        <v>FA-DE Quinoa-Süßkartoffel-Erdnuss-Bowl (FE0425)</v>
      </c>
      <c r="P53" s="292" t="str">
        <f>IFERROR(__xludf.DUMMYFUNCTION("""COMPUTED_VALUE"""),"Graveyard")</f>
        <v>Graveyard</v>
      </c>
      <c r="Q53" s="292"/>
      <c r="R53" s="342">
        <f>IFERROR(__xludf.DUMMYFUNCTION("""COMPUTED_VALUE"""),4.51)</f>
        <v>4.51</v>
      </c>
      <c r="S53" s="292"/>
      <c r="T53" s="292"/>
      <c r="U53" s="292"/>
      <c r="V53" s="292"/>
      <c r="W53" s="292" t="b">
        <f>IFERROR(__xludf.DUMMYFUNCTION("""COMPUTED_VALUE"""),TRUE)</f>
        <v>1</v>
      </c>
      <c r="X53" s="345">
        <f>IFERROR(__xludf.DUMMYFUNCTION("""COMPUTED_VALUE"""),397.0)</f>
        <v>397</v>
      </c>
      <c r="Y53" s="344">
        <f>IFERROR(__xludf.DUMMYFUNCTION("""COMPUTED_VALUE"""),694.0)</f>
        <v>694</v>
      </c>
      <c r="Z53" s="343">
        <f>IFERROR(__xludf.DUMMYFUNCTION("""COMPUTED_VALUE"""),35.8)</f>
        <v>35.8</v>
      </c>
      <c r="AA53" s="344">
        <f>IFERROR(__xludf.DUMMYFUNCTION("""COMPUTED_VALUE"""),5.3)</f>
        <v>5.3</v>
      </c>
      <c r="AB53" s="344">
        <f>IFERROR(__xludf.DUMMYFUNCTION("""COMPUTED_VALUE"""),63.3)</f>
        <v>63.3</v>
      </c>
      <c r="AC53" s="344">
        <f>IFERROR(__xludf.DUMMYFUNCTION("""COMPUTED_VALUE"""),24.1)</f>
        <v>24.1</v>
      </c>
      <c r="AD53" s="344">
        <f>IFERROR(__xludf.DUMMYFUNCTION("""COMPUTED_VALUE"""),13.6)</f>
        <v>13.6</v>
      </c>
      <c r="AE53" s="343">
        <f>IFERROR(__xludf.DUMMYFUNCTION("""COMPUTED_VALUE"""),21.8)</f>
        <v>21.8</v>
      </c>
      <c r="AF53" s="343">
        <f>IFERROR(__xludf.DUMMYFUNCTION("""COMPUTED_VALUE"""),2.0)</f>
        <v>2</v>
      </c>
      <c r="AG53" s="292" t="b">
        <f>IFERROR(__xludf.DUMMYFUNCTION("""COMPUTED_VALUE"""),TRUE)</f>
        <v>1</v>
      </c>
      <c r="AH53" s="292" t="b">
        <f>IFERROR(__xludf.DUMMYFUNCTION("""COMPUTED_VALUE"""),FALSE)</f>
        <v>0</v>
      </c>
      <c r="AI53" s="292" t="b">
        <f>IFERROR(__xludf.DUMMYFUNCTION("""COMPUTED_VALUE"""),FALSE)</f>
        <v>0</v>
      </c>
      <c r="AJ53" s="292" t="b">
        <f>IFERROR(__xludf.DUMMYFUNCTION("""COMPUTED_VALUE"""),FALSE)</f>
        <v>0</v>
      </c>
      <c r="AK53" s="292" t="b">
        <f>IFERROR(__xludf.DUMMYFUNCTION("""COMPUTED_VALUE"""),FALSE)</f>
        <v>0</v>
      </c>
      <c r="AL53" s="292" t="b">
        <f>IFERROR(__xludf.DUMMYFUNCTION("""COMPUTED_VALUE"""),TRUE)</f>
        <v>1</v>
      </c>
      <c r="AM53" s="292" t="b">
        <f>IFERROR(__xludf.DUMMYFUNCTION("""COMPUTED_VALUE"""),FALSE)</f>
        <v>0</v>
      </c>
      <c r="AN53" s="292" t="b">
        <f>IFERROR(__xludf.DUMMYFUNCTION("""COMPUTED_VALUE"""),TRUE)</f>
        <v>1</v>
      </c>
      <c r="AO53" s="292" t="str">
        <f>IFERROR(__xludf.DUMMYFUNCTION("""COMPUTED_VALUE"""),"TRUE")</f>
        <v>TRUE</v>
      </c>
      <c r="AP53" s="292" t="str">
        <f>IFERROR(__xludf.DUMMYFUNCTION("""COMPUTED_VALUE"""),"Vegan")</f>
        <v>Vegan</v>
      </c>
      <c r="AQ53" s="292" t="str">
        <f>IFERROR(__xludf.DUMMYFUNCTION("""COMPUTED_VALUE"""),"Vegan")</f>
        <v>Vegan</v>
      </c>
      <c r="AR53" s="292" t="str">
        <f>IFERROR(__xludf.DUMMYFUNCTION("""COMPUTED_VALUE"""),"Quinoa")</f>
        <v>Quinoa</v>
      </c>
      <c r="AS53" s="292" t="str">
        <f>IFERROR(__xludf.DUMMYFUNCTION("""COMPUTED_VALUE"""),"Quinoa")</f>
        <v>Quinoa</v>
      </c>
      <c r="AT53" s="292" t="str">
        <f>IFERROR(__xludf.DUMMYFUNCTION("""COMPUTED_VALUE"""),"Sweet Potato")</f>
        <v>Sweet Potato</v>
      </c>
      <c r="AU53" s="292" t="str">
        <f>IFERROR(__xludf.DUMMYFUNCTION("""COMPUTED_VALUE"""),"Broccoli")</f>
        <v>Broccoli</v>
      </c>
      <c r="AV53" s="292" t="str">
        <f>IFERROR(__xludf.DUMMYFUNCTION("""COMPUTED_VALUE"""),"Nuts")</f>
        <v>Nuts</v>
      </c>
      <c r="AW53" s="292" t="str">
        <f>IFERROR(__xludf.DUMMYFUNCTION("""COMPUTED_VALUE"""),"Year Round")</f>
        <v>Year Round</v>
      </c>
      <c r="AX53" s="292" t="str">
        <f>IFERROR(__xludf.DUMMYFUNCTION("""COMPUTED_VALUE"""),"Thai")</f>
        <v>Thai</v>
      </c>
      <c r="AY53" s="292"/>
      <c r="AZ53" s="292" t="str">
        <f>IFERROR(__xludf.DUMMYFUNCTION("""COMPUTED_VALUE"""),"2 CT")</f>
        <v>2 CT</v>
      </c>
      <c r="BA53" s="292" t="b">
        <f>IFERROR(__xludf.DUMMYFUNCTION("""COMPUTED_VALUE"""),TRUE)</f>
        <v>1</v>
      </c>
      <c r="BB53" s="342">
        <f>IFERROR(__xludf.DUMMYFUNCTION("""COMPUTED_VALUE"""),1.99)</f>
        <v>1.99</v>
      </c>
      <c r="BC53" s="342">
        <f>IFERROR(__xludf.DUMMYFUNCTION("""COMPUTED_VALUE"""),1.24)</f>
        <v>1.24</v>
      </c>
      <c r="BD53" s="342">
        <f>IFERROR(__xludf.DUMMYFUNCTION("""COMPUTED_VALUE"""),0.39)</f>
        <v>0.39</v>
      </c>
      <c r="BE53" s="342">
        <f>IFERROR(__xludf.DUMMYFUNCTION("""COMPUTED_VALUE"""),0.89)</f>
        <v>0.89</v>
      </c>
      <c r="BF53" s="296">
        <f>IFERROR(__xludf.DUMMYFUNCTION("""COMPUTED_VALUE"""),3.0923364197530865)</f>
        <v>3.09233642</v>
      </c>
      <c r="BG53" s="296">
        <f>IFERROR(__xludf.DUMMYFUNCTION("""COMPUTED_VALUE"""),3.4098039215686273)</f>
        <v>3.409803922</v>
      </c>
      <c r="BH53" s="296">
        <f>IFERROR(__xludf.DUMMYFUNCTION("""COMPUTED_VALUE"""),2.8159340659340657)</f>
        <v>2.815934066</v>
      </c>
      <c r="BI53" s="295">
        <f>IFERROR(__xludf.DUMMYFUNCTION("""COMPUTED_VALUE"""),152.0)</f>
        <v>152</v>
      </c>
      <c r="BJ53" s="295" t="str">
        <f>IFERROR(__xludf.DUMMYFUNCTION("""COMPUTED_VALUE"""),"FALSE")</f>
        <v>FALSE</v>
      </c>
      <c r="BK53" s="346">
        <f>IFERROR(__xludf.DUMMYFUNCTION("""COMPUTED_VALUE"""),2898.0)</f>
        <v>2898</v>
      </c>
      <c r="BL53" s="292" t="str">
        <f>IFERROR(__xludf.DUMMYFUNCTION("""COMPUTED_VALUE"""),"US")</f>
        <v>US</v>
      </c>
      <c r="BM53" s="292" t="str">
        <f>IFERROR(__xludf.DUMMYFUNCTION("""COMPUTED_VALUE"""),"Quinoabowl med sötpotatis och jordnötssås")</f>
        <v>Quinoabowl med sötpotatis och jordnötssås</v>
      </c>
      <c r="BN53" s="343">
        <f>IFERROR(__xludf.DUMMYFUNCTION("""COMPUTED_VALUE"""),3.125)</f>
        <v>3.125</v>
      </c>
      <c r="BO53" s="343">
        <f>IFERROR(__xludf.DUMMYFUNCTION("""COMPUTED_VALUE"""),2.511111111111111)</f>
        <v>2.511111111</v>
      </c>
      <c r="BP53" s="292"/>
      <c r="BQ53" s="292" t="str">
        <f>IFERROR(__xludf.DUMMYFUNCTION("""COMPUTED_VALUE"""),"Active")</f>
        <v>Active</v>
      </c>
      <c r="BR53" s="292" t="b">
        <f>IFERROR(__xludf.DUMMYFUNCTION("""COMPUTED_VALUE"""),FALSE)</f>
        <v>0</v>
      </c>
      <c r="BS53" s="292" t="b">
        <f>IFERROR(__xludf.DUMMYFUNCTION("""COMPUTED_VALUE"""),TRUE)</f>
        <v>1</v>
      </c>
      <c r="BT53" s="345">
        <f>IFERROR(__xludf.DUMMYFUNCTION("""COMPUTED_VALUE"""),730.0)</f>
        <v>730</v>
      </c>
      <c r="BU53" s="345">
        <f>IFERROR(__xludf.DUMMYFUNCTION("""COMPUTED_VALUE"""),175.0)</f>
        <v>175</v>
      </c>
      <c r="BV53" s="344">
        <f>IFERROR(__xludf.DUMMYFUNCTION("""COMPUTED_VALUE"""),9.0)</f>
        <v>9</v>
      </c>
      <c r="BW53" s="344">
        <f>IFERROR(__xludf.DUMMYFUNCTION("""COMPUTED_VALUE"""),1.3)</f>
        <v>1.3</v>
      </c>
    </row>
    <row r="54">
      <c r="A54" s="292" t="str">
        <f>IFERROR(__xludf.DUMMYFUNCTION("""COMPUTED_VALUE"""),"FE0426B")</f>
        <v>FE0426B</v>
      </c>
      <c r="B54" s="292" t="str">
        <f>IFERROR(__xludf.DUMMYFUNCTION("""COMPUTED_VALUE"""),"CON-40-143659-4")</f>
        <v>CON-40-143659-4</v>
      </c>
      <c r="C54" s="292" t="str">
        <f>IFERROR(__xludf.DUMMYFUNCTION("""COMPUTED_VALUE"""),"CON-00-147840-2")</f>
        <v>CON-00-147840-2</v>
      </c>
      <c r="D54" s="292" t="str">
        <f>IFERROR(__xludf.DUMMYFUNCTION("""COMPUTED_VALUE"""),"CON-00-136649-3")</f>
        <v>CON-00-136649-3</v>
      </c>
      <c r="E54" s="292" t="str">
        <f>IFERROR(__xludf.DUMMYFUNCTION("""COMPUTED_VALUE"""),"Grilled chicken fillet and potato leek mash")</f>
        <v>Grilled chicken fillet and potato leek mash</v>
      </c>
      <c r="F54" s="292" t="str">
        <f>IFERROR(__xludf.DUMMYFUNCTION("""COMPUTED_VALUE"""),"with roasted corn and zucchini in a butter of herbs and Parmesan cheese")</f>
        <v>with roasted corn and zucchini in a butter of herbs and Parmesan cheese</v>
      </c>
      <c r="G54" s="292" t="str">
        <f>IFERROR(__xludf.DUMMYFUNCTION("""COMPUTED_VALUE"""),"Gegrilde kipfilet en aardappel-preipuree")</f>
        <v>Gegrilde kipfilet en aardappel-preipuree</v>
      </c>
      <c r="H54" s="292" t="str">
        <f>IFERROR(__xludf.DUMMYFUNCTION("""COMPUTED_VALUE"""),"met geroosterde maïs en courgette in een boter van kruiden en Parmezaanse kaas")</f>
        <v>met geroosterde maïs en courgette in een boter van kruiden en Parmezaanse kaas</v>
      </c>
      <c r="I54" s="292" t="str">
        <f>IFERROR(__xludf.DUMMYFUNCTION("""COMPUTED_VALUE"""),"Grillet kyllingefilet og kartoffel-porremos")</f>
        <v>Grillet kyllingefilet og kartoffel-porremos</v>
      </c>
      <c r="J54" s="292" t="str">
        <f>IFERROR(__xludf.DUMMYFUNCTION("""COMPUTED_VALUE"""),"Gegrilltes Hähnchenfilet mit Kartoffel-Lauch-Püree")</f>
        <v>Gegrilltes Hähnchenfilet mit Kartoffel-Lauch-Püree</v>
      </c>
      <c r="K54" s="292">
        <f>IFERROR(__xludf.DUMMYFUNCTION("""COMPUTED_VALUE"""),565035.0)</f>
        <v>565035</v>
      </c>
      <c r="L54" s="292" t="str">
        <f>IFERROR(__xludf.DUMMYFUNCTION("""COMPUTED_VALUE"""),"HF Puree van aardappel en prei met gegrilde kip 416g")</f>
        <v>HF Puree van aardappel en prei met gegrilde kip 416g</v>
      </c>
      <c r="M54" s="292" t="str">
        <f>IFERROR(__xludf.DUMMYFUNCTION("""COMPUTED_VALUE"""),"FA-NL Gegrilde kipfilet en aardappel-preipuree (FE0426)")</f>
        <v>FA-NL Gegrilde kipfilet en aardappel-preipuree (FE0426)</v>
      </c>
      <c r="N54" s="292" t="str">
        <f>IFERROR(__xludf.DUMMYFUNCTION("""COMPUTED_VALUE"""),"FA-NO Grillet kyllingefilet og kartoffel-porremos (FE0426)")</f>
        <v>FA-NO Grillet kyllingefilet og kartoffel-porremos (FE0426)</v>
      </c>
      <c r="O54" s="292" t="str">
        <f>IFERROR(__xludf.DUMMYFUNCTION("""COMPUTED_VALUE"""),"FA-DE Gegrilltes Hähnchenfilet mit Kartoffel-Lauch-Püree (FE0426)")</f>
        <v>FA-DE Gegrilltes Hähnchenfilet mit Kartoffel-Lauch-Püree (FE0426)</v>
      </c>
      <c r="P54" s="292" t="str">
        <f>IFERROR(__xludf.DUMMYFUNCTION("""COMPUTED_VALUE"""),"Hold")</f>
        <v>Hold</v>
      </c>
      <c r="Q54" s="292"/>
      <c r="R54" s="342">
        <f>IFERROR(__xludf.DUMMYFUNCTION("""COMPUTED_VALUE"""),4.59)</f>
        <v>4.59</v>
      </c>
      <c r="S54" s="298">
        <f>IFERROR(__xludf.DUMMYFUNCTION("""COMPUTED_VALUE"""),0.04824021317156787)</f>
        <v>0.04824021317</v>
      </c>
      <c r="T54" s="343">
        <f>IFERROR(__xludf.DUMMYFUNCTION("""COMPUTED_VALUE"""),3.5211863018187777)</f>
        <v>3.521186302</v>
      </c>
      <c r="U54" s="292">
        <f>IFERROR(__xludf.DUMMYFUNCTION("""COMPUTED_VALUE"""),12491.0)</f>
        <v>12491</v>
      </c>
      <c r="V54" s="292"/>
      <c r="W54" s="292" t="b">
        <f>IFERROR(__xludf.DUMMYFUNCTION("""COMPUTED_VALUE"""),TRUE)</f>
        <v>1</v>
      </c>
      <c r="X54" s="345">
        <f>IFERROR(__xludf.DUMMYFUNCTION("""COMPUTED_VALUE"""),416.0)</f>
        <v>416</v>
      </c>
      <c r="Y54" s="344">
        <f>IFERROR(__xludf.DUMMYFUNCTION("""COMPUTED_VALUE"""),459.0)</f>
        <v>459</v>
      </c>
      <c r="Z54" s="343">
        <f>IFERROR(__xludf.DUMMYFUNCTION("""COMPUTED_VALUE"""),20.8)</f>
        <v>20.8</v>
      </c>
      <c r="AA54" s="344">
        <f>IFERROR(__xludf.DUMMYFUNCTION("""COMPUTED_VALUE"""),10.5)</f>
        <v>10.5</v>
      </c>
      <c r="AB54" s="344">
        <f>IFERROR(__xludf.DUMMYFUNCTION("""COMPUTED_VALUE"""),32.9)</f>
        <v>32.9</v>
      </c>
      <c r="AC54" s="344">
        <f>IFERROR(__xludf.DUMMYFUNCTION("""COMPUTED_VALUE"""),6.6)</f>
        <v>6.6</v>
      </c>
      <c r="AD54" s="344">
        <f>IFERROR(__xludf.DUMMYFUNCTION("""COMPUTED_VALUE"""),5.5)</f>
        <v>5.5</v>
      </c>
      <c r="AE54" s="343">
        <f>IFERROR(__xludf.DUMMYFUNCTION("""COMPUTED_VALUE"""),31.6)</f>
        <v>31.6</v>
      </c>
      <c r="AF54" s="343">
        <f>IFERROR(__xludf.DUMMYFUNCTION("""COMPUTED_VALUE"""),1.4)</f>
        <v>1.4</v>
      </c>
      <c r="AG54" s="292" t="b">
        <f>IFERROR(__xludf.DUMMYFUNCTION("""COMPUTED_VALUE"""),FALSE)</f>
        <v>0</v>
      </c>
      <c r="AH54" s="292" t="b">
        <f>IFERROR(__xludf.DUMMYFUNCTION("""COMPUTED_VALUE"""),FALSE)</f>
        <v>0</v>
      </c>
      <c r="AI54" s="292" t="b">
        <f>IFERROR(__xludf.DUMMYFUNCTION("""COMPUTED_VALUE"""),TRUE)</f>
        <v>1</v>
      </c>
      <c r="AJ54" s="292" t="b">
        <f>IFERROR(__xludf.DUMMYFUNCTION("""COMPUTED_VALUE"""),FALSE)</f>
        <v>0</v>
      </c>
      <c r="AK54" s="292" t="b">
        <f>IFERROR(__xludf.DUMMYFUNCTION("""COMPUTED_VALUE"""),FALSE)</f>
        <v>0</v>
      </c>
      <c r="AL54" s="292" t="b">
        <f>IFERROR(__xludf.DUMMYFUNCTION("""COMPUTED_VALUE"""),FALSE)</f>
        <v>0</v>
      </c>
      <c r="AM54" s="292" t="b">
        <f>IFERROR(__xludf.DUMMYFUNCTION("""COMPUTED_VALUE"""),TRUE)</f>
        <v>1</v>
      </c>
      <c r="AN54" s="292" t="b">
        <f>IFERROR(__xludf.DUMMYFUNCTION("""COMPUTED_VALUE"""),FALSE)</f>
        <v>0</v>
      </c>
      <c r="AO54" s="292" t="str">
        <f>IFERROR(__xludf.DUMMYFUNCTION("""COMPUTED_VALUE"""),"FALSE")</f>
        <v>FALSE</v>
      </c>
      <c r="AP54" s="292" t="str">
        <f>IFERROR(__xludf.DUMMYFUNCTION("""COMPUTED_VALUE"""),"Chicken breast")</f>
        <v>Chicken breast</v>
      </c>
      <c r="AQ54" s="292" t="str">
        <f>IFERROR(__xludf.DUMMYFUNCTION("""COMPUTED_VALUE"""),"Chicken")</f>
        <v>Chicken</v>
      </c>
      <c r="AR54" s="292" t="str">
        <f>IFERROR(__xludf.DUMMYFUNCTION("""COMPUTED_VALUE"""),"Breast")</f>
        <v>Breast</v>
      </c>
      <c r="AS54" s="292" t="str">
        <f>IFERROR(__xludf.DUMMYFUNCTION("""COMPUTED_VALUE"""),"Potato Mash")</f>
        <v>Potato Mash</v>
      </c>
      <c r="AT54" s="292" t="str">
        <f>IFERROR(__xludf.DUMMYFUNCTION("""COMPUTED_VALUE"""),"Corn Kernels")</f>
        <v>Corn Kernels</v>
      </c>
      <c r="AU54" s="292" t="str">
        <f>IFERROR(__xludf.DUMMYFUNCTION("""COMPUTED_VALUE"""),"Zucchini Diced")</f>
        <v>Zucchini Diced</v>
      </c>
      <c r="AV54" s="292" t="str">
        <f>IFERROR(__xludf.DUMMYFUNCTION("""COMPUTED_VALUE"""),"Compound Butter")</f>
        <v>Compound Butter</v>
      </c>
      <c r="AW54" s="292" t="str">
        <f>IFERROR(__xludf.DUMMYFUNCTION("""COMPUTED_VALUE"""),"Year Round")</f>
        <v>Year Round</v>
      </c>
      <c r="AX54" s="292" t="str">
        <f>IFERROR(__xludf.DUMMYFUNCTION("""COMPUTED_VALUE"""),"French")</f>
        <v>French</v>
      </c>
      <c r="AY54" s="292"/>
      <c r="AZ54" s="292" t="str">
        <f>IFERROR(__xludf.DUMMYFUNCTION("""COMPUTED_VALUE"""),"2 CT")</f>
        <v>2 CT</v>
      </c>
      <c r="BA54" s="292" t="b">
        <f>IFERROR(__xludf.DUMMYFUNCTION("""COMPUTED_VALUE"""),FALSE)</f>
        <v>0</v>
      </c>
      <c r="BB54" s="342">
        <f>IFERROR(__xludf.DUMMYFUNCTION("""COMPUTED_VALUE"""),2.3)</f>
        <v>2.3</v>
      </c>
      <c r="BC54" s="342">
        <f>IFERROR(__xludf.DUMMYFUNCTION("""COMPUTED_VALUE"""),1.04)</f>
        <v>1.04</v>
      </c>
      <c r="BD54" s="342">
        <f>IFERROR(__xludf.DUMMYFUNCTION("""COMPUTED_VALUE"""),0.36)</f>
        <v>0.36</v>
      </c>
      <c r="BE54" s="342">
        <f>IFERROR(__xludf.DUMMYFUNCTION("""COMPUTED_VALUE"""),0.89)</f>
        <v>0.89</v>
      </c>
      <c r="BF54" s="296">
        <f>IFERROR(__xludf.DUMMYFUNCTION("""COMPUTED_VALUE"""),3.3433333333333337)</f>
        <v>3.343333333</v>
      </c>
      <c r="BG54" s="296">
        <f>IFERROR(__xludf.DUMMYFUNCTION("""COMPUTED_VALUE"""),3.3166666666666664)</f>
        <v>3.316666667</v>
      </c>
      <c r="BH54" s="296">
        <f>IFERROR(__xludf.DUMMYFUNCTION("""COMPUTED_VALUE"""),3.3433333333333333)</f>
        <v>3.343333333</v>
      </c>
      <c r="BI54" s="295">
        <f>IFERROR(__xludf.DUMMYFUNCTION("""COMPUTED_VALUE"""),153.0)</f>
        <v>153</v>
      </c>
      <c r="BJ54" s="295" t="str">
        <f>IFERROR(__xludf.DUMMYFUNCTION("""COMPUTED_VALUE"""),"FALSE")</f>
        <v>FALSE</v>
      </c>
      <c r="BK54" s="346">
        <f>IFERROR(__xludf.DUMMYFUNCTION("""COMPUTED_VALUE"""),1922.0)</f>
        <v>1922</v>
      </c>
      <c r="BL54" s="292" t="str">
        <f>IFERROR(__xludf.DUMMYFUNCTION("""COMPUTED_VALUE"""),"US")</f>
        <v>US</v>
      </c>
      <c r="BM54" s="292" t="str">
        <f>IFERROR(__xludf.DUMMYFUNCTION("""COMPUTED_VALUE"""),"Grillad kycklingfilé med potatis- och purjolöksmos ")</f>
        <v>Grillad kycklingfilé med potatis- och purjolöksmos </v>
      </c>
      <c r="BN54" s="343">
        <f>IFERROR(__xludf.DUMMYFUNCTION("""COMPUTED_VALUE"""),3.42)</f>
        <v>3.42</v>
      </c>
      <c r="BO54" s="343">
        <f>IFERROR(__xludf.DUMMYFUNCTION("""COMPUTED_VALUE"""),3.27)</f>
        <v>3.27</v>
      </c>
      <c r="BP54" s="292"/>
      <c r="BQ54" s="292" t="str">
        <f>IFERROR(__xludf.DUMMYFUNCTION("""COMPUTED_VALUE"""),"Proven")</f>
        <v>Proven</v>
      </c>
      <c r="BR54" s="344" t="b">
        <f>IFERROR(__xludf.DUMMYFUNCTION("""COMPUTED_VALUE"""),FALSE)</f>
        <v>0</v>
      </c>
      <c r="BS54" s="292" t="b">
        <f>IFERROR(__xludf.DUMMYFUNCTION("""COMPUTED_VALUE"""),FALSE)</f>
        <v>0</v>
      </c>
      <c r="BT54" s="345">
        <f>IFERROR(__xludf.DUMMYFUNCTION("""COMPUTED_VALUE"""),462.0)</f>
        <v>462</v>
      </c>
      <c r="BU54" s="345">
        <f>IFERROR(__xludf.DUMMYFUNCTION("""COMPUTED_VALUE"""),110.0)</f>
        <v>110</v>
      </c>
      <c r="BV54" s="344">
        <f>IFERROR(__xludf.DUMMYFUNCTION("""COMPUTED_VALUE"""),5.0)</f>
        <v>5</v>
      </c>
      <c r="BW54" s="344">
        <f>IFERROR(__xludf.DUMMYFUNCTION("""COMPUTED_VALUE"""),2.5)</f>
        <v>2.5</v>
      </c>
    </row>
    <row r="55">
      <c r="A55" s="292" t="str">
        <f>IFERROR(__xludf.DUMMYFUNCTION("""COMPUTED_VALUE"""),"FE0430B")</f>
        <v>FE0430B</v>
      </c>
      <c r="B55" s="292" t="str">
        <f>IFERROR(__xludf.DUMMYFUNCTION("""COMPUTED_VALUE"""),"CON-40-143738-4")</f>
        <v>CON-40-143738-4</v>
      </c>
      <c r="C55" s="292" t="str">
        <f>IFERROR(__xludf.DUMMYFUNCTION("""COMPUTED_VALUE"""),"CON-00-147848-2")</f>
        <v>CON-00-147848-2</v>
      </c>
      <c r="D55" s="292" t="str">
        <f>IFERROR(__xludf.DUMMYFUNCTION("""COMPUTED_VALUE"""),"CON-00-136639-3")</f>
        <v>CON-00-136639-3</v>
      </c>
      <c r="E55" s="292" t="str">
        <f>IFERROR(__xludf.DUMMYFUNCTION("""COMPUTED_VALUE"""),"Pork tenderloin in red pepper sauce")</f>
        <v>Pork tenderloin in red pepper sauce</v>
      </c>
      <c r="F55" s="292" t="str">
        <f>IFERROR(__xludf.DUMMYFUNCTION("""COMPUTED_VALUE"""),"with mashed potatoes, grilled balsamic green beans and caramelized onions")</f>
        <v>with mashed potatoes, grilled balsamic green beans and caramelized onions</v>
      </c>
      <c r="G55" s="292" t="str">
        <f>IFERROR(__xludf.DUMMYFUNCTION("""COMPUTED_VALUE"""),"Varkenshaas in rode paprikasaus")</f>
        <v>Varkenshaas in rode paprikasaus</v>
      </c>
      <c r="H55" s="292" t="str">
        <f>IFERROR(__xludf.DUMMYFUNCTION("""COMPUTED_VALUE"""),"met aardappelpuree, gegrilde balsamico-sperziebonen en gekaramelliseerde uien")</f>
        <v>met aardappelpuree, gegrilde balsamico-sperziebonen en gekaramelliseerde uien</v>
      </c>
      <c r="I55" s="292"/>
      <c r="J55" s="292" t="str">
        <f>IFERROR(__xludf.DUMMYFUNCTION("""COMPUTED_VALUE"""),"Schweinefilet in Paprika-Sauce")</f>
        <v>Schweinefilet in Paprika-Sauce</v>
      </c>
      <c r="K55" s="292">
        <f>IFERROR(__xludf.DUMMYFUNCTION("""COMPUTED_VALUE"""),565039.0)</f>
        <v>565039</v>
      </c>
      <c r="L55" s="292" t="str">
        <f>IFERROR(__xludf.DUMMYFUNCTION("""COMPUTED_VALUE"""),"HF Varkenshaas met geroosterde paprika 344g")</f>
        <v>HF Varkenshaas met geroosterde paprika 344g</v>
      </c>
      <c r="M55" s="292" t="str">
        <f>IFERROR(__xludf.DUMMYFUNCTION("""COMPUTED_VALUE"""),"FA-NL Varkenshaas in rode paprikasaus (FE0430)")</f>
        <v>FA-NL Varkenshaas in rode paprikasaus (FE0430)</v>
      </c>
      <c r="N55" s="292" t="str">
        <f>IFERROR(__xludf.DUMMYFUNCTION("""COMPUTED_VALUE"""),"FA-NO Svinemørbrad i rød peberfrugtsauce (FE0430)")</f>
        <v>FA-NO Svinemørbrad i rød peberfrugtsauce (FE0430)</v>
      </c>
      <c r="O55" s="292" t="str">
        <f>IFERROR(__xludf.DUMMYFUNCTION("""COMPUTED_VALUE"""),"FA-DE Schweinefilet in Paprika-Sauce (FE0430)")</f>
        <v>FA-DE Schweinefilet in Paprika-Sauce (FE0430)</v>
      </c>
      <c r="P55" s="292" t="str">
        <f>IFERROR(__xludf.DUMMYFUNCTION("""COMPUTED_VALUE"""),"Graveyard")</f>
        <v>Graveyard</v>
      </c>
      <c r="Q55" s="292"/>
      <c r="R55" s="342">
        <f>IFERROR(__xludf.DUMMYFUNCTION("""COMPUTED_VALUE"""),5.01)</f>
        <v>5.01</v>
      </c>
      <c r="S55" s="298">
        <f>IFERROR(__xludf.DUMMYFUNCTION("""COMPUTED_VALUE"""),0.014816494344573522)</f>
        <v>0.01481649434</v>
      </c>
      <c r="T55" s="343">
        <f>IFERROR(__xludf.DUMMYFUNCTION("""COMPUTED_VALUE"""),3.3700000000000006)</f>
        <v>3.37</v>
      </c>
      <c r="U55" s="292">
        <f>IFERROR(__xludf.DUMMYFUNCTION("""COMPUTED_VALUE"""),793.0)</f>
        <v>793</v>
      </c>
      <c r="V55" s="292"/>
      <c r="W55" s="292" t="b">
        <f>IFERROR(__xludf.DUMMYFUNCTION("""COMPUTED_VALUE"""),FALSE)</f>
        <v>0</v>
      </c>
      <c r="X55" s="345">
        <f>IFERROR(__xludf.DUMMYFUNCTION("""COMPUTED_VALUE"""),344.0)</f>
        <v>344</v>
      </c>
      <c r="Y55" s="344">
        <f>IFERROR(__xludf.DUMMYFUNCTION("""COMPUTED_VALUE"""),476.0)</f>
        <v>476</v>
      </c>
      <c r="Z55" s="343">
        <f>IFERROR(__xludf.DUMMYFUNCTION("""COMPUTED_VALUE"""),25.8)</f>
        <v>25.8</v>
      </c>
      <c r="AA55" s="344">
        <f>IFERROR(__xludf.DUMMYFUNCTION("""COMPUTED_VALUE"""),9.1)</f>
        <v>9.1</v>
      </c>
      <c r="AB55" s="344">
        <f>IFERROR(__xludf.DUMMYFUNCTION("""COMPUTED_VALUE"""),26.5)</f>
        <v>26.5</v>
      </c>
      <c r="AC55" s="344">
        <f>IFERROR(__xludf.DUMMYFUNCTION("""COMPUTED_VALUE"""),6.1)</f>
        <v>6.1</v>
      </c>
      <c r="AD55" s="344">
        <f>IFERROR(__xludf.DUMMYFUNCTION("""COMPUTED_VALUE"""),8.2)</f>
        <v>8.2</v>
      </c>
      <c r="AE55" s="343">
        <f>IFERROR(__xludf.DUMMYFUNCTION("""COMPUTED_VALUE"""),29.5)</f>
        <v>29.5</v>
      </c>
      <c r="AF55" s="343">
        <f>IFERROR(__xludf.DUMMYFUNCTION("""COMPUTED_VALUE"""),1.8)</f>
        <v>1.8</v>
      </c>
      <c r="AG55" s="292" t="b">
        <f>IFERROR(__xludf.DUMMYFUNCTION("""COMPUTED_VALUE"""),FALSE)</f>
        <v>0</v>
      </c>
      <c r="AH55" s="292" t="b">
        <f>IFERROR(__xludf.DUMMYFUNCTION("""COMPUTED_VALUE"""),FALSE)</f>
        <v>0</v>
      </c>
      <c r="AI55" s="292" t="b">
        <f>IFERROR(__xludf.DUMMYFUNCTION("""COMPUTED_VALUE"""),TRUE)</f>
        <v>1</v>
      </c>
      <c r="AJ55" s="292" t="b">
        <f>IFERROR(__xludf.DUMMYFUNCTION("""COMPUTED_VALUE"""),FALSE)</f>
        <v>0</v>
      </c>
      <c r="AK55" s="292" t="b">
        <f>IFERROR(__xludf.DUMMYFUNCTION("""COMPUTED_VALUE"""),FALSE)</f>
        <v>0</v>
      </c>
      <c r="AL55" s="292" t="b">
        <f>IFERROR(__xludf.DUMMYFUNCTION("""COMPUTED_VALUE"""),FALSE)</f>
        <v>0</v>
      </c>
      <c r="AM55" s="292" t="b">
        <f>IFERROR(__xludf.DUMMYFUNCTION("""COMPUTED_VALUE"""),FALSE)</f>
        <v>0</v>
      </c>
      <c r="AN55" s="292" t="b">
        <f>IFERROR(__xludf.DUMMYFUNCTION("""COMPUTED_VALUE"""),FALSE)</f>
        <v>0</v>
      </c>
      <c r="AO55" s="292" t="str">
        <f>IFERROR(__xludf.DUMMYFUNCTION("""COMPUTED_VALUE"""),"FALSE")</f>
        <v>FALSE</v>
      </c>
      <c r="AP55" s="292" t="str">
        <f>IFERROR(__xludf.DUMMYFUNCTION("""COMPUTED_VALUE"""),"Pork tenderloin")</f>
        <v>Pork tenderloin</v>
      </c>
      <c r="AQ55" s="292" t="str">
        <f>IFERROR(__xludf.DUMMYFUNCTION("""COMPUTED_VALUE"""),"Pork")</f>
        <v>Pork</v>
      </c>
      <c r="AR55" s="292" t="str">
        <f>IFERROR(__xludf.DUMMYFUNCTION("""COMPUTED_VALUE"""),"Tenderloin")</f>
        <v>Tenderloin</v>
      </c>
      <c r="AS55" s="292" t="str">
        <f>IFERROR(__xludf.DUMMYFUNCTION("""COMPUTED_VALUE"""),"Potato Mash")</f>
        <v>Potato Mash</v>
      </c>
      <c r="AT55" s="292" t="str">
        <f>IFERROR(__xludf.DUMMYFUNCTION("""COMPUTED_VALUE"""),"Green Beans")</f>
        <v>Green Beans</v>
      </c>
      <c r="AU55" s="292" t="str">
        <f>IFERROR(__xludf.DUMMYFUNCTION("""COMPUTED_VALUE"""),"Caramelized Onions")</f>
        <v>Caramelized Onions</v>
      </c>
      <c r="AV55" s="292"/>
      <c r="AW55" s="292" t="str">
        <f>IFERROR(__xludf.DUMMYFUNCTION("""COMPUTED_VALUE"""),"Year Round")</f>
        <v>Year Round</v>
      </c>
      <c r="AX55" s="292" t="str">
        <f>IFERROR(__xludf.DUMMYFUNCTION("""COMPUTED_VALUE"""),"American")</f>
        <v>American</v>
      </c>
      <c r="AY55" s="292"/>
      <c r="AZ55" s="292" t="str">
        <f>IFERROR(__xludf.DUMMYFUNCTION("""COMPUTED_VALUE"""),"2 CT")</f>
        <v>2 CT</v>
      </c>
      <c r="BA55" s="292" t="b">
        <f>IFERROR(__xludf.DUMMYFUNCTION("""COMPUTED_VALUE"""),FALSE)</f>
        <v>0</v>
      </c>
      <c r="BB55" s="342">
        <f>IFERROR(__xludf.DUMMYFUNCTION("""COMPUTED_VALUE"""),2.81)</f>
        <v>2.81</v>
      </c>
      <c r="BC55" s="342">
        <f>IFERROR(__xludf.DUMMYFUNCTION("""COMPUTED_VALUE"""),0.99)</f>
        <v>0.99</v>
      </c>
      <c r="BD55" s="342">
        <f>IFERROR(__xludf.DUMMYFUNCTION("""COMPUTED_VALUE"""),0.362)</f>
        <v>0.362</v>
      </c>
      <c r="BE55" s="342">
        <f>IFERROR(__xludf.DUMMYFUNCTION("""COMPUTED_VALUE"""),0.89)</f>
        <v>0.89</v>
      </c>
      <c r="BF55" s="296" t="str">
        <f>IFERROR(__xludf.DUMMYFUNCTION("""COMPUTED_VALUE"""),"#REF!")</f>
        <v>#REF!</v>
      </c>
      <c r="BG55" s="296" t="str">
        <f>IFERROR(__xludf.DUMMYFUNCTION("""COMPUTED_VALUE"""),"#REF!")</f>
        <v>#REF!</v>
      </c>
      <c r="BH55" s="296" t="str">
        <f>IFERROR(__xludf.DUMMYFUNCTION("""COMPUTED_VALUE"""),"#REF!")</f>
        <v>#REF!</v>
      </c>
      <c r="BI55" s="295">
        <f>IFERROR(__xludf.DUMMYFUNCTION("""COMPUTED_VALUE"""),156.0)</f>
        <v>156</v>
      </c>
      <c r="BJ55" s="295" t="str">
        <f>IFERROR(__xludf.DUMMYFUNCTION("""COMPUTED_VALUE"""),"FALSE")</f>
        <v>FALSE</v>
      </c>
      <c r="BK55" s="346">
        <f>IFERROR(__xludf.DUMMYFUNCTION("""COMPUTED_VALUE"""),1987.0)</f>
        <v>1987</v>
      </c>
      <c r="BL55" s="292"/>
      <c r="BM55" s="292"/>
      <c r="BN55" s="292"/>
      <c r="BO55" s="292"/>
      <c r="BP55" s="292"/>
      <c r="BQ55" s="292" t="str">
        <f>IFERROR(__xludf.DUMMYFUNCTION("""COMPUTED_VALUE"""),"Graveyard")</f>
        <v>Graveyard</v>
      </c>
      <c r="BR55" s="292" t="b">
        <f>IFERROR(__xludf.DUMMYFUNCTION("""COMPUTED_VALUE"""),FALSE)</f>
        <v>0</v>
      </c>
      <c r="BS55" s="292" t="b">
        <f>IFERROR(__xludf.DUMMYFUNCTION("""COMPUTED_VALUE"""),FALSE)</f>
        <v>0</v>
      </c>
      <c r="BT55" s="345">
        <f>IFERROR(__xludf.DUMMYFUNCTION("""COMPUTED_VALUE"""),577.6162790697674)</f>
        <v>577.6162791</v>
      </c>
      <c r="BU55" s="345">
        <f>IFERROR(__xludf.DUMMYFUNCTION("""COMPUTED_VALUE"""),138.37209302325581)</f>
        <v>138.372093</v>
      </c>
      <c r="BV55" s="344">
        <f>IFERROR(__xludf.DUMMYFUNCTION("""COMPUTED_VALUE"""),7.5)</f>
        <v>7.5</v>
      </c>
      <c r="BW55" s="344">
        <f>IFERROR(__xludf.DUMMYFUNCTION("""COMPUTED_VALUE"""),2.6453488372093026)</f>
        <v>2.645348837</v>
      </c>
    </row>
    <row r="56">
      <c r="A56" s="292" t="str">
        <f>IFERROR(__xludf.DUMMYFUNCTION("""COMPUTED_VALUE"""),"FE0430C")</f>
        <v>FE0430C</v>
      </c>
      <c r="B56" s="292" t="str">
        <f>IFERROR(__xludf.DUMMYFUNCTION("""COMPUTED_VALUE"""),"CON-40-143738-4")</f>
        <v>CON-40-143738-4</v>
      </c>
      <c r="C56" s="292" t="str">
        <f>IFERROR(__xludf.DUMMYFUNCTION("""COMPUTED_VALUE"""),"CON-00-147848-2")</f>
        <v>CON-00-147848-2</v>
      </c>
      <c r="D56" s="292" t="str">
        <f>IFERROR(__xludf.DUMMYFUNCTION("""COMPUTED_VALUE"""),"CON-00-136639-3")</f>
        <v>CON-00-136639-3</v>
      </c>
      <c r="E56" s="292" t="str">
        <f>IFERROR(__xludf.DUMMYFUNCTION("""COMPUTED_VALUE"""),"Pork tenderloin in red pepper sauce")</f>
        <v>Pork tenderloin in red pepper sauce</v>
      </c>
      <c r="F56" s="292" t="str">
        <f>IFERROR(__xludf.DUMMYFUNCTION("""COMPUTED_VALUE"""),"with mashed potatoes, grilled green beans and caramelized onions")</f>
        <v>with mashed potatoes, grilled green beans and caramelized onions</v>
      </c>
      <c r="G56" s="292" t="str">
        <f>IFERROR(__xludf.DUMMYFUNCTION("""COMPUTED_VALUE"""),"Varkenshaas in rode paprikasaus")</f>
        <v>Varkenshaas in rode paprikasaus</v>
      </c>
      <c r="H56" s="292" t="str">
        <f>IFERROR(__xludf.DUMMYFUNCTION("""COMPUTED_VALUE"""),"met aardappelpuree, sperziebonen en gekaramelliseerde uien")</f>
        <v>met aardappelpuree, sperziebonen en gekaramelliseerde uien</v>
      </c>
      <c r="I56" s="292" t="str">
        <f>IFERROR(__xludf.DUMMYFUNCTION("""COMPUTED_VALUE"""),"Svinemørbrad i rød peberfrugtsauce")</f>
        <v>Svinemørbrad i rød peberfrugtsauce</v>
      </c>
      <c r="J56" s="292" t="str">
        <f>IFERROR(__xludf.DUMMYFUNCTION("""COMPUTED_VALUE"""),"Schweinefilet in Paprika-Sauce")</f>
        <v>Schweinefilet in Paprika-Sauce</v>
      </c>
      <c r="K56" s="292">
        <f>IFERROR(__xludf.DUMMYFUNCTION("""COMPUTED_VALUE"""),565039.0)</f>
        <v>565039</v>
      </c>
      <c r="L56" s="292" t="str">
        <f>IFERROR(__xludf.DUMMYFUNCTION("""COMPUTED_VALUE"""),"HF Varkenshaas met geroosterde paprika")</f>
        <v>HF Varkenshaas met geroosterde paprika</v>
      </c>
      <c r="M56" s="292" t="str">
        <f>IFERROR(__xludf.DUMMYFUNCTION("""COMPUTED_VALUE"""),"FA-NL Varkenshaas in rode paprikasaus (FE0430)")</f>
        <v>FA-NL Varkenshaas in rode paprikasaus (FE0430)</v>
      </c>
      <c r="N56" s="292" t="str">
        <f>IFERROR(__xludf.DUMMYFUNCTION("""COMPUTED_VALUE"""),"FA-NO Svinemørbrad i rød peberfrugtsauce (FE0430)")</f>
        <v>FA-NO Svinemørbrad i rød peberfrugtsauce (FE0430)</v>
      </c>
      <c r="O56" s="292" t="str">
        <f>IFERROR(__xludf.DUMMYFUNCTION("""COMPUTED_VALUE"""),"FA-DE Schweinefilet in Paprika-Sauce (FE0430)")</f>
        <v>FA-DE Schweinefilet in Paprika-Sauce (FE0430)</v>
      </c>
      <c r="P56" s="292" t="str">
        <f>IFERROR(__xludf.DUMMYFUNCTION("""COMPUTED_VALUE"""),"Hold")</f>
        <v>Hold</v>
      </c>
      <c r="Q56" s="292" t="str">
        <f>IFERROR(__xludf.DUMMYFUNCTION("""COMPUTED_VALUE"""),"new version ")</f>
        <v>new version </v>
      </c>
      <c r="R56" s="342">
        <f>IFERROR(__xludf.DUMMYFUNCTION("""COMPUTED_VALUE"""),4.74)</f>
        <v>4.74</v>
      </c>
      <c r="S56" s="292"/>
      <c r="T56" s="292"/>
      <c r="U56" s="292"/>
      <c r="V56" s="292"/>
      <c r="W56" s="292" t="b">
        <f>IFERROR(__xludf.DUMMYFUNCTION("""COMPUTED_VALUE"""),FALSE)</f>
        <v>0</v>
      </c>
      <c r="X56" s="345">
        <f>IFERROR(__xludf.DUMMYFUNCTION("""COMPUTED_VALUE"""),404.0)</f>
        <v>404</v>
      </c>
      <c r="Y56" s="344">
        <f>IFERROR(__xludf.DUMMYFUNCTION("""COMPUTED_VALUE"""),521.0)</f>
        <v>521</v>
      </c>
      <c r="Z56" s="343">
        <f>IFERROR(__xludf.DUMMYFUNCTION("""COMPUTED_VALUE"""),27.0)</f>
        <v>27</v>
      </c>
      <c r="AA56" s="344">
        <f>IFERROR(__xludf.DUMMYFUNCTION("""COMPUTED_VALUE"""),10.0)</f>
        <v>10</v>
      </c>
      <c r="AB56" s="344">
        <f>IFERROR(__xludf.DUMMYFUNCTION("""COMPUTED_VALUE"""),30.7)</f>
        <v>30.7</v>
      </c>
      <c r="AC56" s="344">
        <f>IFERROR(__xludf.DUMMYFUNCTION("""COMPUTED_VALUE"""),8.7)</f>
        <v>8.7</v>
      </c>
      <c r="AD56" s="344">
        <f>IFERROR(__xludf.DUMMYFUNCTION("""COMPUTED_VALUE"""),11.4)</f>
        <v>11.4</v>
      </c>
      <c r="AE56" s="343">
        <f>IFERROR(__xludf.DUMMYFUNCTION("""COMPUTED_VALUE"""),30.0)</f>
        <v>30</v>
      </c>
      <c r="AF56" s="343">
        <f>IFERROR(__xludf.DUMMYFUNCTION("""COMPUTED_VALUE"""),2.0)</f>
        <v>2</v>
      </c>
      <c r="AG56" s="292" t="b">
        <f>IFERROR(__xludf.DUMMYFUNCTION("""COMPUTED_VALUE"""),FALSE)</f>
        <v>0</v>
      </c>
      <c r="AH56" s="292" t="b">
        <f>IFERROR(__xludf.DUMMYFUNCTION("""COMPUTED_VALUE"""),FALSE)</f>
        <v>0</v>
      </c>
      <c r="AI56" s="292" t="b">
        <f>IFERROR(__xludf.DUMMYFUNCTION("""COMPUTED_VALUE"""),TRUE)</f>
        <v>1</v>
      </c>
      <c r="AJ56" s="292" t="b">
        <f>IFERROR(__xludf.DUMMYFUNCTION("""COMPUTED_VALUE"""),FALSE)</f>
        <v>0</v>
      </c>
      <c r="AK56" s="292" t="b">
        <f>IFERROR(__xludf.DUMMYFUNCTION("""COMPUTED_VALUE"""),FALSE)</f>
        <v>0</v>
      </c>
      <c r="AL56" s="292" t="b">
        <f>IFERROR(__xludf.DUMMYFUNCTION("""COMPUTED_VALUE"""),FALSE)</f>
        <v>0</v>
      </c>
      <c r="AM56" s="292" t="b">
        <f>IFERROR(__xludf.DUMMYFUNCTION("""COMPUTED_VALUE"""),TRUE)</f>
        <v>1</v>
      </c>
      <c r="AN56" s="292" t="b">
        <f>IFERROR(__xludf.DUMMYFUNCTION("""COMPUTED_VALUE"""),FALSE)</f>
        <v>0</v>
      </c>
      <c r="AO56" s="292" t="str">
        <f>IFERROR(__xludf.DUMMYFUNCTION("""COMPUTED_VALUE"""),"TRUE")</f>
        <v>TRUE</v>
      </c>
      <c r="AP56" s="292" t="str">
        <f>IFERROR(__xludf.DUMMYFUNCTION("""COMPUTED_VALUE"""),"Pork tenderloin")</f>
        <v>Pork tenderloin</v>
      </c>
      <c r="AQ56" s="292" t="str">
        <f>IFERROR(__xludf.DUMMYFUNCTION("""COMPUTED_VALUE"""),"Pork")</f>
        <v>Pork</v>
      </c>
      <c r="AR56" s="292" t="str">
        <f>IFERROR(__xludf.DUMMYFUNCTION("""COMPUTED_VALUE"""),"Tenderloin")</f>
        <v>Tenderloin</v>
      </c>
      <c r="AS56" s="292" t="str">
        <f>IFERROR(__xludf.DUMMYFUNCTION("""COMPUTED_VALUE"""),"Potato Mash")</f>
        <v>Potato Mash</v>
      </c>
      <c r="AT56" s="292" t="str">
        <f>IFERROR(__xludf.DUMMYFUNCTION("""COMPUTED_VALUE"""),"Green Beans")</f>
        <v>Green Beans</v>
      </c>
      <c r="AU56" s="292" t="str">
        <f>IFERROR(__xludf.DUMMYFUNCTION("""COMPUTED_VALUE"""),"Caramelized Onions")</f>
        <v>Caramelized Onions</v>
      </c>
      <c r="AV56" s="292"/>
      <c r="AW56" s="292" t="str">
        <f>IFERROR(__xludf.DUMMYFUNCTION("""COMPUTED_VALUE"""),"Year Round")</f>
        <v>Year Round</v>
      </c>
      <c r="AX56" s="292" t="str">
        <f>IFERROR(__xludf.DUMMYFUNCTION("""COMPUTED_VALUE"""),"American")</f>
        <v>American</v>
      </c>
      <c r="AY56" s="292"/>
      <c r="AZ56" s="292" t="str">
        <f>IFERROR(__xludf.DUMMYFUNCTION("""COMPUTED_VALUE"""),"2 CT")</f>
        <v>2 CT</v>
      </c>
      <c r="BA56" s="292" t="b">
        <f>IFERROR(__xludf.DUMMYFUNCTION("""COMPUTED_VALUE"""),FALSE)</f>
        <v>0</v>
      </c>
      <c r="BB56" s="342">
        <f>IFERROR(__xludf.DUMMYFUNCTION("""COMPUTED_VALUE"""),2.51)</f>
        <v>2.51</v>
      </c>
      <c r="BC56" s="342">
        <f>IFERROR(__xludf.DUMMYFUNCTION("""COMPUTED_VALUE"""),1.03)</f>
        <v>1.03</v>
      </c>
      <c r="BD56" s="342">
        <f>IFERROR(__xludf.DUMMYFUNCTION("""COMPUTED_VALUE"""),0.362)</f>
        <v>0.362</v>
      </c>
      <c r="BE56" s="342">
        <f>IFERROR(__xludf.DUMMYFUNCTION("""COMPUTED_VALUE"""),0.89)</f>
        <v>0.89</v>
      </c>
      <c r="BF56" s="296" t="str">
        <f>IFERROR(__xludf.DUMMYFUNCTION("""COMPUTED_VALUE"""),"#REF!")</f>
        <v>#REF!</v>
      </c>
      <c r="BG56" s="296" t="str">
        <f>IFERROR(__xludf.DUMMYFUNCTION("""COMPUTED_VALUE"""),"#REF!")</f>
        <v>#REF!</v>
      </c>
      <c r="BH56" s="296" t="str">
        <f>IFERROR(__xludf.DUMMYFUNCTION("""COMPUTED_VALUE"""),"#REF!")</f>
        <v>#REF!</v>
      </c>
      <c r="BI56" s="295">
        <f>IFERROR(__xludf.DUMMYFUNCTION("""COMPUTED_VALUE"""),156.0)</f>
        <v>156</v>
      </c>
      <c r="BJ56" s="295" t="str">
        <f>IFERROR(__xludf.DUMMYFUNCTION("""COMPUTED_VALUE"""),"FALSE")</f>
        <v>FALSE</v>
      </c>
      <c r="BK56" s="346">
        <f>IFERROR(__xludf.DUMMYFUNCTION("""COMPUTED_VALUE"""),2174.0)</f>
        <v>2174</v>
      </c>
      <c r="BL56" s="292" t="str">
        <f>IFERROR(__xludf.DUMMYFUNCTION("""COMPUTED_VALUE"""),"US")</f>
        <v>US</v>
      </c>
      <c r="BM56" s="292" t="str">
        <f>IFERROR(__xludf.DUMMYFUNCTION("""COMPUTED_VALUE"""),"Fläskfilé i paprikasås")</f>
        <v>Fläskfilé i paprikasås</v>
      </c>
      <c r="BN56" s="292"/>
      <c r="BO56" s="292"/>
      <c r="BP56" s="292"/>
      <c r="BQ56" s="292" t="str">
        <f>IFERROR(__xludf.DUMMYFUNCTION("""COMPUTED_VALUE"""),"Graveyard")</f>
        <v>Graveyard</v>
      </c>
      <c r="BR56" s="292" t="b">
        <f>IFERROR(__xludf.DUMMYFUNCTION("""COMPUTED_VALUE"""),FALSE)</f>
        <v>0</v>
      </c>
      <c r="BS56" s="292" t="b">
        <f>IFERROR(__xludf.DUMMYFUNCTION("""COMPUTED_VALUE"""),FALSE)</f>
        <v>0</v>
      </c>
      <c r="BT56" s="345">
        <f>IFERROR(__xludf.DUMMYFUNCTION("""COMPUTED_VALUE"""),539.0)</f>
        <v>539</v>
      </c>
      <c r="BU56" s="345">
        <f>IFERROR(__xludf.DUMMYFUNCTION("""COMPUTED_VALUE"""),129.0)</f>
        <v>129</v>
      </c>
      <c r="BV56" s="344">
        <f>IFERROR(__xludf.DUMMYFUNCTION("""COMPUTED_VALUE"""),6.9)</f>
        <v>6.9</v>
      </c>
      <c r="BW56" s="344">
        <f>IFERROR(__xludf.DUMMYFUNCTION("""COMPUTED_VALUE"""),2.5)</f>
        <v>2.5</v>
      </c>
    </row>
    <row r="57">
      <c r="A57" s="292" t="str">
        <f>IFERROR(__xludf.DUMMYFUNCTION("""COMPUTED_VALUE"""),"FE0430D")</f>
        <v>FE0430D</v>
      </c>
      <c r="B57" s="292" t="str">
        <f>IFERROR(__xludf.DUMMYFUNCTION("""COMPUTED_VALUE"""),"CON-40-143738-4")</f>
        <v>CON-40-143738-4</v>
      </c>
      <c r="C57" s="292" t="str">
        <f>IFERROR(__xludf.DUMMYFUNCTION("""COMPUTED_VALUE"""),"CON-00-147848-2")</f>
        <v>CON-00-147848-2</v>
      </c>
      <c r="D57" s="292" t="str">
        <f>IFERROR(__xludf.DUMMYFUNCTION("""COMPUTED_VALUE"""),"CON-00-136639-3")</f>
        <v>CON-00-136639-3</v>
      </c>
      <c r="E57" s="292" t="str">
        <f>IFERROR(__xludf.DUMMYFUNCTION("""COMPUTED_VALUE"""),"Pork tenderloin in red pepper sauce")</f>
        <v>Pork tenderloin in red pepper sauce</v>
      </c>
      <c r="F57" s="292" t="str">
        <f>IFERROR(__xludf.DUMMYFUNCTION("""COMPUTED_VALUE"""),"with mashed potatoes, grilled green beans and caramelized onions")</f>
        <v>with mashed potatoes, grilled green beans and caramelized onions</v>
      </c>
      <c r="G57" s="292" t="str">
        <f>IFERROR(__xludf.DUMMYFUNCTION("""COMPUTED_VALUE"""),"Varkenshaas in rode paprikasaus")</f>
        <v>Varkenshaas in rode paprikasaus</v>
      </c>
      <c r="H57" s="292" t="str">
        <f>IFERROR(__xludf.DUMMYFUNCTION("""COMPUTED_VALUE"""),"met aardappelpuree, sperziebonen en gekaramelliseerde uien")</f>
        <v>met aardappelpuree, sperziebonen en gekaramelliseerde uien</v>
      </c>
      <c r="I57" s="292" t="str">
        <f>IFERROR(__xludf.DUMMYFUNCTION("""COMPUTED_VALUE"""),"Svinemørbrad i rød peberfrugtsauce")</f>
        <v>Svinemørbrad i rød peberfrugtsauce</v>
      </c>
      <c r="J57" s="292" t="str">
        <f>IFERROR(__xludf.DUMMYFUNCTION("""COMPUTED_VALUE"""),"Schweinefilet in Paprikasauce")</f>
        <v>Schweinefilet in Paprikasauce</v>
      </c>
      <c r="K57" s="292">
        <f>IFERROR(__xludf.DUMMYFUNCTION("""COMPUTED_VALUE"""),565039.0)</f>
        <v>565039</v>
      </c>
      <c r="L57" s="292"/>
      <c r="M57" s="292" t="str">
        <f>IFERROR(__xludf.DUMMYFUNCTION("""COMPUTED_VALUE"""),"FA-NL Varkenshaas in rode paprikasaus (FE0430)")</f>
        <v>FA-NL Varkenshaas in rode paprikasaus (FE0430)</v>
      </c>
      <c r="N57" s="292" t="str">
        <f>IFERROR(__xludf.DUMMYFUNCTION("""COMPUTED_VALUE"""),"FA-NO Svinemørbrad i rød peberfrugtsauce (FE0430)")</f>
        <v>FA-NO Svinemørbrad i rød peberfrugtsauce (FE0430)</v>
      </c>
      <c r="O57" s="292" t="str">
        <f>IFERROR(__xludf.DUMMYFUNCTION("""COMPUTED_VALUE"""),"FA-DE Schweinefilet in Paprika-Sauce (FE0430)")</f>
        <v>FA-DE Schweinefilet in Paprika-Sauce (FE0430)</v>
      </c>
      <c r="P57" s="292" t="str">
        <f>IFERROR(__xludf.DUMMYFUNCTION("""COMPUTED_VALUE"""),"Graveyard")</f>
        <v>Graveyard</v>
      </c>
      <c r="Q57" s="292" t="str">
        <f>IFERROR(__xludf.DUMMYFUNCTION("""COMPUTED_VALUE"""),"new version ")</f>
        <v>new version </v>
      </c>
      <c r="R57" s="342">
        <f>IFERROR(__xludf.DUMMYFUNCTION("""COMPUTED_VALUE"""),4.74)</f>
        <v>4.74</v>
      </c>
      <c r="S57" s="292"/>
      <c r="T57" s="292"/>
      <c r="U57" s="292"/>
      <c r="V57" s="292"/>
      <c r="W57" s="292" t="b">
        <f>IFERROR(__xludf.DUMMYFUNCTION("""COMPUTED_VALUE"""),FALSE)</f>
        <v>0</v>
      </c>
      <c r="X57" s="345">
        <f>IFERROR(__xludf.DUMMYFUNCTION("""COMPUTED_VALUE"""),414.0)</f>
        <v>414</v>
      </c>
      <c r="Y57" s="344">
        <f>IFERROR(__xludf.DUMMYFUNCTION("""COMPUTED_VALUE"""),546.0)</f>
        <v>546</v>
      </c>
      <c r="Z57" s="343">
        <f>IFERROR(__xludf.DUMMYFUNCTION("""COMPUTED_VALUE"""),30.2)</f>
        <v>30.2</v>
      </c>
      <c r="AA57" s="344">
        <f>IFERROR(__xludf.DUMMYFUNCTION("""COMPUTED_VALUE"""),10.8)</f>
        <v>10.8</v>
      </c>
      <c r="AB57" s="344">
        <f>IFERROR(__xludf.DUMMYFUNCTION("""COMPUTED_VALUE"""),30.6)</f>
        <v>30.6</v>
      </c>
      <c r="AC57" s="344">
        <f>IFERROR(__xludf.DUMMYFUNCTION("""COMPUTED_VALUE"""),8.7)</f>
        <v>8.7</v>
      </c>
      <c r="AD57" s="344">
        <f>IFERROR(__xludf.DUMMYFUNCTION("""COMPUTED_VALUE"""),12.0)</f>
        <v>12</v>
      </c>
      <c r="AE57" s="343">
        <f>IFERROR(__xludf.DUMMYFUNCTION("""COMPUTED_VALUE"""),30.6)</f>
        <v>30.6</v>
      </c>
      <c r="AF57" s="343">
        <f>IFERROR(__xludf.DUMMYFUNCTION("""COMPUTED_VALUE"""),1.99)</f>
        <v>1.99</v>
      </c>
      <c r="AG57" s="292" t="b">
        <f>IFERROR(__xludf.DUMMYFUNCTION("""COMPUTED_VALUE"""),FALSE)</f>
        <v>0</v>
      </c>
      <c r="AH57" s="292" t="b">
        <f>IFERROR(__xludf.DUMMYFUNCTION("""COMPUTED_VALUE"""),FALSE)</f>
        <v>0</v>
      </c>
      <c r="AI57" s="292" t="b">
        <f>IFERROR(__xludf.DUMMYFUNCTION("""COMPUTED_VALUE"""),TRUE)</f>
        <v>1</v>
      </c>
      <c r="AJ57" s="292" t="b">
        <f>IFERROR(__xludf.DUMMYFUNCTION("""COMPUTED_VALUE"""),FALSE)</f>
        <v>0</v>
      </c>
      <c r="AK57" s="292" t="b">
        <f>IFERROR(__xludf.DUMMYFUNCTION("""COMPUTED_VALUE"""),FALSE)</f>
        <v>0</v>
      </c>
      <c r="AL57" s="292" t="b">
        <f>IFERROR(__xludf.DUMMYFUNCTION("""COMPUTED_VALUE"""),FALSE)</f>
        <v>0</v>
      </c>
      <c r="AM57" s="292" t="b">
        <f>IFERROR(__xludf.DUMMYFUNCTION("""COMPUTED_VALUE"""),TRUE)</f>
        <v>1</v>
      </c>
      <c r="AN57" s="292" t="b">
        <f>IFERROR(__xludf.DUMMYFUNCTION("""COMPUTED_VALUE"""),FALSE)</f>
        <v>0</v>
      </c>
      <c r="AO57" s="292" t="str">
        <f>IFERROR(__xludf.DUMMYFUNCTION("""COMPUTED_VALUE"""),"TRUE")</f>
        <v>TRUE</v>
      </c>
      <c r="AP57" s="292" t="str">
        <f>IFERROR(__xludf.DUMMYFUNCTION("""COMPUTED_VALUE"""),"Pork tenderloin")</f>
        <v>Pork tenderloin</v>
      </c>
      <c r="AQ57" s="292" t="str">
        <f>IFERROR(__xludf.DUMMYFUNCTION("""COMPUTED_VALUE"""),"Pork")</f>
        <v>Pork</v>
      </c>
      <c r="AR57" s="292" t="str">
        <f>IFERROR(__xludf.DUMMYFUNCTION("""COMPUTED_VALUE"""),"Tenderloin")</f>
        <v>Tenderloin</v>
      </c>
      <c r="AS57" s="292" t="str">
        <f>IFERROR(__xludf.DUMMYFUNCTION("""COMPUTED_VALUE"""),"Potato Mash")</f>
        <v>Potato Mash</v>
      </c>
      <c r="AT57" s="292" t="str">
        <f>IFERROR(__xludf.DUMMYFUNCTION("""COMPUTED_VALUE"""),"Green Beans")</f>
        <v>Green Beans</v>
      </c>
      <c r="AU57" s="292" t="str">
        <f>IFERROR(__xludf.DUMMYFUNCTION("""COMPUTED_VALUE"""),"Caramelized Onions")</f>
        <v>Caramelized Onions</v>
      </c>
      <c r="AV57" s="292"/>
      <c r="AW57" s="292" t="str">
        <f>IFERROR(__xludf.DUMMYFUNCTION("""COMPUTED_VALUE"""),"Year Round")</f>
        <v>Year Round</v>
      </c>
      <c r="AX57" s="292" t="str">
        <f>IFERROR(__xludf.DUMMYFUNCTION("""COMPUTED_VALUE"""),"American")</f>
        <v>American</v>
      </c>
      <c r="AY57" s="292"/>
      <c r="AZ57" s="292" t="str">
        <f>IFERROR(__xludf.DUMMYFUNCTION("""COMPUTED_VALUE"""),"2 CT")</f>
        <v>2 CT</v>
      </c>
      <c r="BA57" s="292" t="b">
        <f>IFERROR(__xludf.DUMMYFUNCTION("""COMPUTED_VALUE"""),FALSE)</f>
        <v>0</v>
      </c>
      <c r="BB57" s="342">
        <f>IFERROR(__xludf.DUMMYFUNCTION("""COMPUTED_VALUE"""),2.51)</f>
        <v>2.51</v>
      </c>
      <c r="BC57" s="342">
        <f>IFERROR(__xludf.DUMMYFUNCTION("""COMPUTED_VALUE"""),1.03)</f>
        <v>1.03</v>
      </c>
      <c r="BD57" s="342">
        <f>IFERROR(__xludf.DUMMYFUNCTION("""COMPUTED_VALUE"""),0.362)</f>
        <v>0.362</v>
      </c>
      <c r="BE57" s="342">
        <f>IFERROR(__xludf.DUMMYFUNCTION("""COMPUTED_VALUE"""),0.89)</f>
        <v>0.89</v>
      </c>
      <c r="BF57" s="296" t="str">
        <f>IFERROR(__xludf.DUMMYFUNCTION("""COMPUTED_VALUE"""),"#REF!")</f>
        <v>#REF!</v>
      </c>
      <c r="BG57" s="296" t="str">
        <f>IFERROR(__xludf.DUMMYFUNCTION("""COMPUTED_VALUE"""),"#REF!")</f>
        <v>#REF!</v>
      </c>
      <c r="BH57" s="296" t="str">
        <f>IFERROR(__xludf.DUMMYFUNCTION("""COMPUTED_VALUE"""),"#REF!")</f>
        <v>#REF!</v>
      </c>
      <c r="BI57" s="295">
        <f>IFERROR(__xludf.DUMMYFUNCTION("""COMPUTED_VALUE"""),156.0)</f>
        <v>156</v>
      </c>
      <c r="BJ57" s="295" t="str">
        <f>IFERROR(__xludf.DUMMYFUNCTION("""COMPUTED_VALUE"""),"FALSE")</f>
        <v>FALSE</v>
      </c>
      <c r="BK57" s="346">
        <f>IFERROR(__xludf.DUMMYFUNCTION("""COMPUTED_VALUE"""),2273.0)</f>
        <v>2273</v>
      </c>
      <c r="BL57" s="292" t="str">
        <f>IFERROR(__xludf.DUMMYFUNCTION("""COMPUTED_VALUE"""),"US")</f>
        <v>US</v>
      </c>
      <c r="BM57" s="292" t="str">
        <f>IFERROR(__xludf.DUMMYFUNCTION("""COMPUTED_VALUE"""),"Fläskfilé i paprikasås")</f>
        <v>Fläskfilé i paprikasås</v>
      </c>
      <c r="BN57" s="292"/>
      <c r="BO57" s="292"/>
      <c r="BP57" s="292"/>
      <c r="BQ57" s="292" t="str">
        <f>IFERROR(__xludf.DUMMYFUNCTION("""COMPUTED_VALUE"""),"Graveyard")</f>
        <v>Graveyard</v>
      </c>
      <c r="BR57" s="292" t="b">
        <f>IFERROR(__xludf.DUMMYFUNCTION("""COMPUTED_VALUE"""),FALSE)</f>
        <v>0</v>
      </c>
      <c r="BS57" s="292" t="b">
        <f>IFERROR(__xludf.DUMMYFUNCTION("""COMPUTED_VALUE"""),FALSE)</f>
        <v>0</v>
      </c>
      <c r="BT57" s="345">
        <f>IFERROR(__xludf.DUMMYFUNCTION("""COMPUTED_VALUE"""),549.0)</f>
        <v>549</v>
      </c>
      <c r="BU57" s="345">
        <f>IFERROR(__xludf.DUMMYFUNCTION("""COMPUTED_VALUE"""),132.0)</f>
        <v>132</v>
      </c>
      <c r="BV57" s="344">
        <f>IFERROR(__xludf.DUMMYFUNCTION("""COMPUTED_VALUE"""),7.3)</f>
        <v>7.3</v>
      </c>
      <c r="BW57" s="344">
        <f>IFERROR(__xludf.DUMMYFUNCTION("""COMPUTED_VALUE"""),2.6)</f>
        <v>2.6</v>
      </c>
    </row>
    <row r="58">
      <c r="A58" s="292" t="str">
        <f>IFERROR(__xludf.DUMMYFUNCTION("""COMPUTED_VALUE"""),"FE0432D")</f>
        <v>FE0432D</v>
      </c>
      <c r="B58" s="292" t="str">
        <f>IFERROR(__xludf.DUMMYFUNCTION("""COMPUTED_VALUE"""),"CON-40-143709-4")</f>
        <v>CON-40-143709-4</v>
      </c>
      <c r="C58" s="292" t="str">
        <f>IFERROR(__xludf.DUMMYFUNCTION("""COMPUTED_VALUE"""),"CON-00-147842-2")</f>
        <v>CON-00-147842-2</v>
      </c>
      <c r="D58" s="292" t="str">
        <f>IFERROR(__xludf.DUMMYFUNCTION("""COMPUTED_VALUE"""),"CON-00-136731-3")</f>
        <v>CON-00-136731-3</v>
      </c>
      <c r="E58" s="292" t="str">
        <f>IFERROR(__xludf.DUMMYFUNCTION("""COMPUTED_VALUE"""),"Spicy green curry with sweet potato")</f>
        <v>Spicy green curry with sweet potato</v>
      </c>
      <c r="F58" s="292" t="str">
        <f>IFERROR(__xludf.DUMMYFUNCTION("""COMPUTED_VALUE"""),"with chickpeas and garlic-lime rice")</f>
        <v>with chickpeas and garlic-lime rice</v>
      </c>
      <c r="G58" s="292" t="str">
        <f>IFERROR(__xludf.DUMMYFUNCTION("""COMPUTED_VALUE"""),"Pittige groene curry met zoete aardappel")</f>
        <v>Pittige groene curry met zoete aardappel</v>
      </c>
      <c r="H58" s="292" t="str">
        <f>IFERROR(__xludf.DUMMYFUNCTION("""COMPUTED_VALUE"""),"met kikkererwten en knoflook-limoenrijst")</f>
        <v>met kikkererwten en knoflook-limoenrijst</v>
      </c>
      <c r="I58" s="292"/>
      <c r="J58" s="292" t="str">
        <f>IFERROR(__xludf.DUMMYFUNCTION("""COMPUTED_VALUE"""),"Scharfes grünes Curry mit Süßkartoffeln")</f>
        <v>Scharfes grünes Curry mit Süßkartoffeln</v>
      </c>
      <c r="K58" s="292">
        <f>IFERROR(__xludf.DUMMYFUNCTION("""COMPUTED_VALUE"""),565033.0)</f>
        <v>565033</v>
      </c>
      <c r="L58" s="292" t="str">
        <f>IFERROR(__xludf.DUMMYFUNCTION("""COMPUTED_VALUE"""),"HF Thai roasted vegetable green curry 419g")</f>
        <v>HF Thai roasted vegetable green curry 419g</v>
      </c>
      <c r="M58" s="292" t="str">
        <f>IFERROR(__xludf.DUMMYFUNCTION("""COMPUTED_VALUE"""),"FA-NL Pittige groene curry met zoete aardappel (FE0432)")</f>
        <v>FA-NL Pittige groene curry met zoete aardappel (FE0432)</v>
      </c>
      <c r="N58" s="292" t="str">
        <f>IFERROR(__xludf.DUMMYFUNCTION("""COMPUTED_VALUE"""),"FA-NO Stærk grøn karry med sød kartoffel (FE0432)")</f>
        <v>FA-NO Stærk grøn karry med sød kartoffel (FE0432)</v>
      </c>
      <c r="O58" s="292" t="str">
        <f>IFERROR(__xludf.DUMMYFUNCTION("""COMPUTED_VALUE"""),"FA-DE Grünes Curry (FE0432)")</f>
        <v>FA-DE Grünes Curry (FE0432)</v>
      </c>
      <c r="P58" s="292" t="str">
        <f>IFERROR(__xludf.DUMMYFUNCTION("""COMPUTED_VALUE"""),"Graveyard")</f>
        <v>Graveyard</v>
      </c>
      <c r="Q58" s="292" t="str">
        <f>IFERROR(__xludf.DUMMYFUNCTION("""COMPUTED_VALUE"""),"New version ")</f>
        <v>New version </v>
      </c>
      <c r="R58" s="342">
        <f>IFERROR(__xludf.DUMMYFUNCTION("""COMPUTED_VALUE"""),3.89)</f>
        <v>3.89</v>
      </c>
      <c r="S58" s="298">
        <f>IFERROR(__xludf.DUMMYFUNCTION("""COMPUTED_VALUE"""),0.007)</f>
        <v>0.007</v>
      </c>
      <c r="T58" s="343">
        <f>IFERROR(__xludf.DUMMYFUNCTION("""COMPUTED_VALUE"""),3.19)</f>
        <v>3.19</v>
      </c>
      <c r="U58" s="292">
        <f>IFERROR(__xludf.DUMMYFUNCTION("""COMPUTED_VALUE"""),1134.0)</f>
        <v>1134</v>
      </c>
      <c r="V58" s="292"/>
      <c r="W58" s="292" t="b">
        <f>IFERROR(__xludf.DUMMYFUNCTION("""COMPUTED_VALUE"""),TRUE)</f>
        <v>1</v>
      </c>
      <c r="X58" s="345">
        <f>IFERROR(__xludf.DUMMYFUNCTION("""COMPUTED_VALUE"""),419.0)</f>
        <v>419</v>
      </c>
      <c r="Y58" s="344">
        <f>IFERROR(__xludf.DUMMYFUNCTION("""COMPUTED_VALUE"""),583.0)</f>
        <v>583</v>
      </c>
      <c r="Z58" s="343">
        <f>IFERROR(__xludf.DUMMYFUNCTION("""COMPUTED_VALUE"""),23.8)</f>
        <v>23.8</v>
      </c>
      <c r="AA58" s="344">
        <f>IFERROR(__xludf.DUMMYFUNCTION("""COMPUTED_VALUE"""),13.4)</f>
        <v>13.4</v>
      </c>
      <c r="AB58" s="344">
        <f>IFERROR(__xludf.DUMMYFUNCTION("""COMPUTED_VALUE"""),70.7)</f>
        <v>70.7</v>
      </c>
      <c r="AC58" s="344">
        <f>IFERROR(__xludf.DUMMYFUNCTION("""COMPUTED_VALUE"""),15.2)</f>
        <v>15.2</v>
      </c>
      <c r="AD58" s="344">
        <f>IFERROR(__xludf.DUMMYFUNCTION("""COMPUTED_VALUE"""),12.5)</f>
        <v>12.5</v>
      </c>
      <c r="AE58" s="343">
        <f>IFERROR(__xludf.DUMMYFUNCTION("""COMPUTED_VALUE"""),14.9)</f>
        <v>14.9</v>
      </c>
      <c r="AF58" s="343">
        <f>IFERROR(__xludf.DUMMYFUNCTION("""COMPUTED_VALUE"""),2.0)</f>
        <v>2</v>
      </c>
      <c r="AG58" s="292" t="b">
        <f>IFERROR(__xludf.DUMMYFUNCTION("""COMPUTED_VALUE"""),TRUE)</f>
        <v>1</v>
      </c>
      <c r="AH58" s="292" t="b">
        <f>IFERROR(__xludf.DUMMYFUNCTION("""COMPUTED_VALUE"""),FALSE)</f>
        <v>0</v>
      </c>
      <c r="AI58" s="292" t="b">
        <f>IFERROR(__xludf.DUMMYFUNCTION("""COMPUTED_VALUE"""),FALSE)</f>
        <v>0</v>
      </c>
      <c r="AJ58" s="292" t="b">
        <f>IFERROR(__xludf.DUMMYFUNCTION("""COMPUTED_VALUE"""),FALSE)</f>
        <v>0</v>
      </c>
      <c r="AK58" s="292" t="b">
        <f>IFERROR(__xludf.DUMMYFUNCTION("""COMPUTED_VALUE"""),FALSE)</f>
        <v>0</v>
      </c>
      <c r="AL58" s="292" t="b">
        <f>IFERROR(__xludf.DUMMYFUNCTION("""COMPUTED_VALUE"""),TRUE)</f>
        <v>1</v>
      </c>
      <c r="AM58" s="292" t="b">
        <f>IFERROR(__xludf.DUMMYFUNCTION("""COMPUTED_VALUE"""),FALSE)</f>
        <v>0</v>
      </c>
      <c r="AN58" s="292" t="b">
        <f>IFERROR(__xludf.DUMMYFUNCTION("""COMPUTED_VALUE"""),TRUE)</f>
        <v>1</v>
      </c>
      <c r="AO58" s="292" t="str">
        <f>IFERROR(__xludf.DUMMYFUNCTION("""COMPUTED_VALUE"""),"TRUE")</f>
        <v>TRUE</v>
      </c>
      <c r="AP58" s="292" t="str">
        <f>IFERROR(__xludf.DUMMYFUNCTION("""COMPUTED_VALUE"""),"Vegan")</f>
        <v>Vegan</v>
      </c>
      <c r="AQ58" s="292" t="str">
        <f>IFERROR(__xludf.DUMMYFUNCTION("""COMPUTED_VALUE"""),"Vegan")</f>
        <v>Vegan</v>
      </c>
      <c r="AR58" s="292" t="str">
        <f>IFERROR(__xludf.DUMMYFUNCTION("""COMPUTED_VALUE"""),"Legumes")</f>
        <v>Legumes</v>
      </c>
      <c r="AS58" s="341" t="str">
        <f>IFERROR(__xludf.DUMMYFUNCTION("""COMPUTED_VALUE"""),"Rice")</f>
        <v>Rice</v>
      </c>
      <c r="AT58" s="292" t="str">
        <f>IFERROR(__xludf.DUMMYFUNCTION("""COMPUTED_VALUE"""),"Sweet Potato")</f>
        <v>Sweet Potato</v>
      </c>
      <c r="AU58" s="292" t="str">
        <f>IFERROR(__xludf.DUMMYFUNCTION("""COMPUTED_VALUE"""),"Chickpeas")</f>
        <v>Chickpeas</v>
      </c>
      <c r="AV58" s="292" t="str">
        <f>IFERROR(__xludf.DUMMYFUNCTION("""COMPUTED_VALUE"""),"Pepper Mix")</f>
        <v>Pepper Mix</v>
      </c>
      <c r="AW58" s="292" t="str">
        <f>IFERROR(__xludf.DUMMYFUNCTION("""COMPUTED_VALUE"""),"Year Round")</f>
        <v>Year Round</v>
      </c>
      <c r="AX58" s="292" t="str">
        <f>IFERROR(__xludf.DUMMYFUNCTION("""COMPUTED_VALUE"""),"Thai")</f>
        <v>Thai</v>
      </c>
      <c r="AY58" s="292"/>
      <c r="AZ58" s="292" t="str">
        <f>IFERROR(__xludf.DUMMYFUNCTION("""COMPUTED_VALUE"""),"2 CT")</f>
        <v>2 CT</v>
      </c>
      <c r="BA58" s="292" t="b">
        <f>IFERROR(__xludf.DUMMYFUNCTION("""COMPUTED_VALUE"""),FALSE)</f>
        <v>0</v>
      </c>
      <c r="BB58" s="342">
        <f>IFERROR(__xludf.DUMMYFUNCTION("""COMPUTED_VALUE"""),1.78)</f>
        <v>1.78</v>
      </c>
      <c r="BC58" s="342">
        <f>IFERROR(__xludf.DUMMYFUNCTION("""COMPUTED_VALUE"""),0.91)</f>
        <v>0.91</v>
      </c>
      <c r="BD58" s="342">
        <f>IFERROR(__xludf.DUMMYFUNCTION("""COMPUTED_VALUE"""),0.362)</f>
        <v>0.362</v>
      </c>
      <c r="BE58" s="342">
        <f>IFERROR(__xludf.DUMMYFUNCTION("""COMPUTED_VALUE"""),0.89)</f>
        <v>0.89</v>
      </c>
      <c r="BF58" s="296" t="str">
        <f>IFERROR(__xludf.DUMMYFUNCTION("""COMPUTED_VALUE"""),"#REF!")</f>
        <v>#REF!</v>
      </c>
      <c r="BG58" s="296" t="str">
        <f>IFERROR(__xludf.DUMMYFUNCTION("""COMPUTED_VALUE"""),"#REF!")</f>
        <v>#REF!</v>
      </c>
      <c r="BH58" s="296" t="str">
        <f>IFERROR(__xludf.DUMMYFUNCTION("""COMPUTED_VALUE"""),"#REF!")</f>
        <v>#REF!</v>
      </c>
      <c r="BI58" s="295">
        <f>IFERROR(__xludf.DUMMYFUNCTION("""COMPUTED_VALUE"""),122.0)</f>
        <v>122</v>
      </c>
      <c r="BJ58" s="295" t="str">
        <f>IFERROR(__xludf.DUMMYFUNCTION("""COMPUTED_VALUE"""),"FALSE")</f>
        <v>FALSE</v>
      </c>
      <c r="BK58" s="346">
        <f>IFERROR(__xludf.DUMMYFUNCTION("""COMPUTED_VALUE"""),2444.0)</f>
        <v>2444</v>
      </c>
      <c r="BL58" s="292"/>
      <c r="BM58" s="292"/>
      <c r="BN58" s="292"/>
      <c r="BO58" s="292"/>
      <c r="BP58" s="292"/>
      <c r="BQ58" s="292" t="str">
        <f>IFERROR(__xludf.DUMMYFUNCTION("""COMPUTED_VALUE"""),"Graveyard")</f>
        <v>Graveyard</v>
      </c>
      <c r="BR58" s="292" t="b">
        <f>IFERROR(__xludf.DUMMYFUNCTION("""COMPUTED_VALUE"""),FALSE)</f>
        <v>0</v>
      </c>
      <c r="BS58" s="292" t="b">
        <f>IFERROR(__xludf.DUMMYFUNCTION("""COMPUTED_VALUE"""),FALSE)</f>
        <v>0</v>
      </c>
      <c r="BT58" s="345">
        <f>IFERROR(__xludf.DUMMYFUNCTION("""COMPUTED_VALUE"""),583.2935560859188)</f>
        <v>583.2935561</v>
      </c>
      <c r="BU58" s="345">
        <f>IFERROR(__xludf.DUMMYFUNCTION("""COMPUTED_VALUE"""),139.14081145584726)</f>
        <v>139.1408115</v>
      </c>
      <c r="BV58" s="344">
        <f>IFERROR(__xludf.DUMMYFUNCTION("""COMPUTED_VALUE"""),5.68019093078759)</f>
        <v>5.680190931</v>
      </c>
      <c r="BW58" s="344">
        <f>IFERROR(__xludf.DUMMYFUNCTION("""COMPUTED_VALUE"""),3.1980906921241052)</f>
        <v>3.198090692</v>
      </c>
    </row>
    <row r="59">
      <c r="A59" s="292" t="str">
        <f>IFERROR(__xludf.DUMMYFUNCTION("""COMPUTED_VALUE"""),"FE0432E")</f>
        <v>FE0432E</v>
      </c>
      <c r="B59" s="292" t="str">
        <f>IFERROR(__xludf.DUMMYFUNCTION("""COMPUTED_VALUE"""),"CON-40-143709-4")</f>
        <v>CON-40-143709-4</v>
      </c>
      <c r="C59" s="292" t="str">
        <f>IFERROR(__xludf.DUMMYFUNCTION("""COMPUTED_VALUE"""),"CON-00-147842-2")</f>
        <v>CON-00-147842-2</v>
      </c>
      <c r="D59" s="292" t="str">
        <f>IFERROR(__xludf.DUMMYFUNCTION("""COMPUTED_VALUE"""),"CON-00-136731-3")</f>
        <v>CON-00-136731-3</v>
      </c>
      <c r="E59" s="292" t="str">
        <f>IFERROR(__xludf.DUMMYFUNCTION("""COMPUTED_VALUE"""),"Spicy green curry with sweet potato")</f>
        <v>Spicy green curry with sweet potato</v>
      </c>
      <c r="F59" s="292" t="str">
        <f>IFERROR(__xludf.DUMMYFUNCTION("""COMPUTED_VALUE"""),"with chickpeas and garlic-lime rice")</f>
        <v>with chickpeas and garlic-lime rice</v>
      </c>
      <c r="G59" s="292" t="str">
        <f>IFERROR(__xludf.DUMMYFUNCTION("""COMPUTED_VALUE"""),"Pittige groene curry met zoete aardappel")</f>
        <v>Pittige groene curry met zoete aardappel</v>
      </c>
      <c r="H59" s="292" t="str">
        <f>IFERROR(__xludf.DUMMYFUNCTION("""COMPUTED_VALUE"""),"met kikkererwten en knoflook-limoenrijst")</f>
        <v>met kikkererwten en knoflook-limoenrijst</v>
      </c>
      <c r="I59" s="292" t="str">
        <f>IFERROR(__xludf.DUMMYFUNCTION("""COMPUTED_VALUE"""),"Stærk grøn karry med sød kartoffel")</f>
        <v>Stærk grøn karry med sød kartoffel</v>
      </c>
      <c r="J59" s="292" t="str">
        <f>IFERROR(__xludf.DUMMYFUNCTION("""COMPUTED_VALUE"""),"Scharfes grünes Curry mit Süßkartoffeln")</f>
        <v>Scharfes grünes Curry mit Süßkartoffeln</v>
      </c>
      <c r="K59" s="292">
        <f>IFERROR(__xludf.DUMMYFUNCTION("""COMPUTED_VALUE"""),565033.0)</f>
        <v>565033</v>
      </c>
      <c r="L59" s="292" t="str">
        <f>IFERROR(__xludf.DUMMYFUNCTION("""COMPUTED_VALUE"""),"HF Thai roasted vegetable green curry 434g")</f>
        <v>HF Thai roasted vegetable green curry 434g</v>
      </c>
      <c r="M59" s="292" t="str">
        <f>IFERROR(__xludf.DUMMYFUNCTION("""COMPUTED_VALUE"""),"FA-NL Pittige groene curry met zoete aardappel (FE0432)")</f>
        <v>FA-NL Pittige groene curry met zoete aardappel (FE0432)</v>
      </c>
      <c r="N59" s="292" t="str">
        <f>IFERROR(__xludf.DUMMYFUNCTION("""COMPUTED_VALUE"""),"FA-NO Stærk grøn karry med sød kartoffel (FE0432)")</f>
        <v>FA-NO Stærk grøn karry med sød kartoffel (FE0432)</v>
      </c>
      <c r="O59" s="292" t="str">
        <f>IFERROR(__xludf.DUMMYFUNCTION("""COMPUTED_VALUE"""),"FA-DE Grünes Curry (FE0432)")</f>
        <v>FA-DE Grünes Curry (FE0432)</v>
      </c>
      <c r="P59" s="292" t="str">
        <f>IFERROR(__xludf.DUMMYFUNCTION("""COMPUTED_VALUE"""),"Graveyard")</f>
        <v>Graveyard</v>
      </c>
      <c r="Q59" s="292" t="str">
        <f>IFERROR(__xludf.DUMMYFUNCTION("""COMPUTED_VALUE"""),"new version ")</f>
        <v>new version </v>
      </c>
      <c r="R59" s="342">
        <f>IFERROR(__xludf.DUMMYFUNCTION("""COMPUTED_VALUE"""),3.89)</f>
        <v>3.89</v>
      </c>
      <c r="S59" s="292"/>
      <c r="T59" s="292"/>
      <c r="U59" s="292"/>
      <c r="V59" s="292"/>
      <c r="W59" s="292" t="b">
        <f>IFERROR(__xludf.DUMMYFUNCTION("""COMPUTED_VALUE"""),TRUE)</f>
        <v>1</v>
      </c>
      <c r="X59" s="345">
        <f>IFERROR(__xludf.DUMMYFUNCTION("""COMPUTED_VALUE"""),434.0)</f>
        <v>434</v>
      </c>
      <c r="Y59" s="344">
        <f>IFERROR(__xludf.DUMMYFUNCTION("""COMPUTED_VALUE"""),604.0)</f>
        <v>604</v>
      </c>
      <c r="Z59" s="343">
        <f>IFERROR(__xludf.DUMMYFUNCTION("""COMPUTED_VALUE"""),22.9)</f>
        <v>22.9</v>
      </c>
      <c r="AA59" s="344">
        <f>IFERROR(__xludf.DUMMYFUNCTION("""COMPUTED_VALUE"""),13.1)</f>
        <v>13.1</v>
      </c>
      <c r="AB59" s="344">
        <f>IFERROR(__xludf.DUMMYFUNCTION("""COMPUTED_VALUE"""),76.9)</f>
        <v>76.9</v>
      </c>
      <c r="AC59" s="344">
        <f>IFERROR(__xludf.DUMMYFUNCTION("""COMPUTED_VALUE"""),16.7)</f>
        <v>16.7</v>
      </c>
      <c r="AD59" s="344">
        <f>IFERROR(__xludf.DUMMYFUNCTION("""COMPUTED_VALUE"""),14.3)</f>
        <v>14.3</v>
      </c>
      <c r="AE59" s="343">
        <f>IFERROR(__xludf.DUMMYFUNCTION("""COMPUTED_VALUE"""),14.9)</f>
        <v>14.9</v>
      </c>
      <c r="AF59" s="343">
        <f>IFERROR(__xludf.DUMMYFUNCTION("""COMPUTED_VALUE"""),1.91)</f>
        <v>1.91</v>
      </c>
      <c r="AG59" s="292" t="b">
        <f>IFERROR(__xludf.DUMMYFUNCTION("""COMPUTED_VALUE"""),TRUE)</f>
        <v>1</v>
      </c>
      <c r="AH59" s="292" t="b">
        <f>IFERROR(__xludf.DUMMYFUNCTION("""COMPUTED_VALUE"""),FALSE)</f>
        <v>0</v>
      </c>
      <c r="AI59" s="292" t="b">
        <f>IFERROR(__xludf.DUMMYFUNCTION("""COMPUTED_VALUE"""),FALSE)</f>
        <v>0</v>
      </c>
      <c r="AJ59" s="292" t="b">
        <f>IFERROR(__xludf.DUMMYFUNCTION("""COMPUTED_VALUE"""),FALSE)</f>
        <v>0</v>
      </c>
      <c r="AK59" s="292" t="b">
        <f>IFERROR(__xludf.DUMMYFUNCTION("""COMPUTED_VALUE"""),FALSE)</f>
        <v>0</v>
      </c>
      <c r="AL59" s="292" t="b">
        <f>IFERROR(__xludf.DUMMYFUNCTION("""COMPUTED_VALUE"""),TRUE)</f>
        <v>1</v>
      </c>
      <c r="AM59" s="292" t="b">
        <f>IFERROR(__xludf.DUMMYFUNCTION("""COMPUTED_VALUE"""),FALSE)</f>
        <v>0</v>
      </c>
      <c r="AN59" s="292" t="b">
        <f>IFERROR(__xludf.DUMMYFUNCTION("""COMPUTED_VALUE"""),TRUE)</f>
        <v>1</v>
      </c>
      <c r="AO59" s="292" t="str">
        <f>IFERROR(__xludf.DUMMYFUNCTION("""COMPUTED_VALUE"""),"TRUE")</f>
        <v>TRUE</v>
      </c>
      <c r="AP59" s="292" t="str">
        <f>IFERROR(__xludf.DUMMYFUNCTION("""COMPUTED_VALUE"""),"Vegan")</f>
        <v>Vegan</v>
      </c>
      <c r="AQ59" s="292" t="str">
        <f>IFERROR(__xludf.DUMMYFUNCTION("""COMPUTED_VALUE"""),"Vegan")</f>
        <v>Vegan</v>
      </c>
      <c r="AR59" s="292" t="str">
        <f>IFERROR(__xludf.DUMMYFUNCTION("""COMPUTED_VALUE"""),"Legumes")</f>
        <v>Legumes</v>
      </c>
      <c r="AS59" s="341" t="str">
        <f>IFERROR(__xludf.DUMMYFUNCTION("""COMPUTED_VALUE"""),"Rice")</f>
        <v>Rice</v>
      </c>
      <c r="AT59" s="292" t="str">
        <f>IFERROR(__xludf.DUMMYFUNCTION("""COMPUTED_VALUE"""),"Sweet Potato")</f>
        <v>Sweet Potato</v>
      </c>
      <c r="AU59" s="292" t="str">
        <f>IFERROR(__xludf.DUMMYFUNCTION("""COMPUTED_VALUE"""),"Chickpeas")</f>
        <v>Chickpeas</v>
      </c>
      <c r="AV59" s="292" t="str">
        <f>IFERROR(__xludf.DUMMYFUNCTION("""COMPUTED_VALUE"""),"Pepper Mix")</f>
        <v>Pepper Mix</v>
      </c>
      <c r="AW59" s="292" t="str">
        <f>IFERROR(__xludf.DUMMYFUNCTION("""COMPUTED_VALUE"""),"Year Round")</f>
        <v>Year Round</v>
      </c>
      <c r="AX59" s="292" t="str">
        <f>IFERROR(__xludf.DUMMYFUNCTION("""COMPUTED_VALUE"""),"Thai")</f>
        <v>Thai</v>
      </c>
      <c r="AY59" s="292"/>
      <c r="AZ59" s="292" t="str">
        <f>IFERROR(__xludf.DUMMYFUNCTION("""COMPUTED_VALUE"""),"2 CT")</f>
        <v>2 CT</v>
      </c>
      <c r="BA59" s="292" t="b">
        <f>IFERROR(__xludf.DUMMYFUNCTION("""COMPUTED_VALUE"""),FALSE)</f>
        <v>0</v>
      </c>
      <c r="BB59" s="342">
        <f>IFERROR(__xludf.DUMMYFUNCTION("""COMPUTED_VALUE"""),1.78)</f>
        <v>1.78</v>
      </c>
      <c r="BC59" s="342">
        <f>IFERROR(__xludf.DUMMYFUNCTION("""COMPUTED_VALUE"""),0.91)</f>
        <v>0.91</v>
      </c>
      <c r="BD59" s="342">
        <f>IFERROR(__xludf.DUMMYFUNCTION("""COMPUTED_VALUE"""),0.362)</f>
        <v>0.362</v>
      </c>
      <c r="BE59" s="342">
        <f>IFERROR(__xludf.DUMMYFUNCTION("""COMPUTED_VALUE"""),0.89)</f>
        <v>0.89</v>
      </c>
      <c r="BF59" s="296" t="str">
        <f>IFERROR(__xludf.DUMMYFUNCTION("""COMPUTED_VALUE"""),"#REF!")</f>
        <v>#REF!</v>
      </c>
      <c r="BG59" s="296" t="str">
        <f>IFERROR(__xludf.DUMMYFUNCTION("""COMPUTED_VALUE"""),"#REF!")</f>
        <v>#REF!</v>
      </c>
      <c r="BH59" s="296" t="str">
        <f>IFERROR(__xludf.DUMMYFUNCTION("""COMPUTED_VALUE"""),"#REF!")</f>
        <v>#REF!</v>
      </c>
      <c r="BI59" s="295">
        <f>IFERROR(__xludf.DUMMYFUNCTION("""COMPUTED_VALUE"""),167.0)</f>
        <v>167</v>
      </c>
      <c r="BJ59" s="295" t="str">
        <f>IFERROR(__xludf.DUMMYFUNCTION("""COMPUTED_VALUE"""),"FALSE")</f>
        <v>FALSE</v>
      </c>
      <c r="BK59" s="346">
        <f>IFERROR(__xludf.DUMMYFUNCTION("""COMPUTED_VALUE"""),2533.0)</f>
        <v>2533</v>
      </c>
      <c r="BL59" s="292"/>
      <c r="BM59" s="292" t="str">
        <f>IFERROR(__xludf.DUMMYFUNCTION("""COMPUTED_VALUE"""),"Het sötpotatiscurry ")</f>
        <v>Het sötpotatiscurry </v>
      </c>
      <c r="BN59" s="292"/>
      <c r="BO59" s="292"/>
      <c r="BP59" s="292"/>
      <c r="BQ59" s="292" t="str">
        <f>IFERROR(__xludf.DUMMYFUNCTION("""COMPUTED_VALUE"""),"Graveyard")</f>
        <v>Graveyard</v>
      </c>
      <c r="BR59" s="292" t="b">
        <f>IFERROR(__xludf.DUMMYFUNCTION("""COMPUTED_VALUE"""),FALSE)</f>
        <v>0</v>
      </c>
      <c r="BS59" s="292" t="b">
        <f>IFERROR(__xludf.DUMMYFUNCTION("""COMPUTED_VALUE"""),FALSE)</f>
        <v>0</v>
      </c>
      <c r="BT59" s="292"/>
      <c r="BU59" s="292"/>
      <c r="BV59" s="292"/>
      <c r="BW59" s="292"/>
    </row>
    <row r="60">
      <c r="A60" s="292" t="str">
        <f>IFERROR(__xludf.DUMMYFUNCTION("""COMPUTED_VALUE"""),"FE0432F")</f>
        <v>FE0432F</v>
      </c>
      <c r="B60" s="292" t="str">
        <f>IFERROR(__xludf.DUMMYFUNCTION("""COMPUTED_VALUE"""),"CON-40-143709-4")</f>
        <v>CON-40-143709-4</v>
      </c>
      <c r="C60" s="292" t="str">
        <f>IFERROR(__xludf.DUMMYFUNCTION("""COMPUTED_VALUE"""),"CON-00-147842-2")</f>
        <v>CON-00-147842-2</v>
      </c>
      <c r="D60" s="292" t="str">
        <f>IFERROR(__xludf.DUMMYFUNCTION("""COMPUTED_VALUE"""),"CON-00-136731-3")</f>
        <v>CON-00-136731-3</v>
      </c>
      <c r="E60" s="292" t="str">
        <f>IFERROR(__xludf.DUMMYFUNCTION("""COMPUTED_VALUE"""),"Green curry with sweet potato")</f>
        <v>Green curry with sweet potato</v>
      </c>
      <c r="F60" s="292" t="str">
        <f>IFERROR(__xludf.DUMMYFUNCTION("""COMPUTED_VALUE"""),"with chickpeas and garlic-lime rice")</f>
        <v>with chickpeas and garlic-lime rice</v>
      </c>
      <c r="G60" s="292" t="str">
        <f>IFERROR(__xludf.DUMMYFUNCTION("""COMPUTED_VALUE"""),"Groene curry met zoete aardappel")</f>
        <v>Groene curry met zoete aardappel</v>
      </c>
      <c r="H60" s="292" t="str">
        <f>IFERROR(__xludf.DUMMYFUNCTION("""COMPUTED_VALUE"""),"met kikkererwten en knoflook-limoenrijst")</f>
        <v>met kikkererwten en knoflook-limoenrijst</v>
      </c>
      <c r="I60" s="292" t="str">
        <f>IFERROR(__xludf.DUMMYFUNCTION("""COMPUTED_VALUE"""),"Grøn karry med sød kartoffel")</f>
        <v>Grøn karry med sød kartoffel</v>
      </c>
      <c r="J60" s="292" t="str">
        <f>IFERROR(__xludf.DUMMYFUNCTION("""COMPUTED_VALUE"""),"Grünes Curry")</f>
        <v>Grünes Curry</v>
      </c>
      <c r="K60" s="292"/>
      <c r="L60" s="292"/>
      <c r="M60" s="292" t="str">
        <f>IFERROR(__xludf.DUMMYFUNCTION("""COMPUTED_VALUE"""),"FA-NL Pittige groene curry met zoete aardappel (FE0432)")</f>
        <v>FA-NL Pittige groene curry met zoete aardappel (FE0432)</v>
      </c>
      <c r="N60" s="292" t="str">
        <f>IFERROR(__xludf.DUMMYFUNCTION("""COMPUTED_VALUE"""),"FA-NO Stærk grøn karry med sød kartoffel (FE0432)")</f>
        <v>FA-NO Stærk grøn karry med sød kartoffel (FE0432)</v>
      </c>
      <c r="O60" s="292" t="str">
        <f>IFERROR(__xludf.DUMMYFUNCTION("""COMPUTED_VALUE"""),"FA-DE Grünes Curry (FE0432)")</f>
        <v>FA-DE Grünes Curry (FE0432)</v>
      </c>
      <c r="P60" s="292" t="str">
        <f>IFERROR(__xludf.DUMMYFUNCTION("""COMPUTED_VALUE"""),"Graveyard")</f>
        <v>Graveyard</v>
      </c>
      <c r="Q60" s="292"/>
      <c r="R60" s="342">
        <f>IFERROR(__xludf.DUMMYFUNCTION("""COMPUTED_VALUE"""),3.89)</f>
        <v>3.89</v>
      </c>
      <c r="S60" s="292"/>
      <c r="T60" s="292"/>
      <c r="U60" s="292"/>
      <c r="V60" s="292"/>
      <c r="W60" s="292" t="b">
        <f>IFERROR(__xludf.DUMMYFUNCTION("""COMPUTED_VALUE"""),FALSE)</f>
        <v>0</v>
      </c>
      <c r="X60" s="345">
        <f>IFERROR(__xludf.DUMMYFUNCTION("""COMPUTED_VALUE"""),434.0)</f>
        <v>434</v>
      </c>
      <c r="Y60" s="344">
        <f>IFERROR(__xludf.DUMMYFUNCTION("""COMPUTED_VALUE"""),577.0)</f>
        <v>577</v>
      </c>
      <c r="Z60" s="343">
        <f>IFERROR(__xludf.DUMMYFUNCTION("""COMPUTED_VALUE"""),20.4)</f>
        <v>20.4</v>
      </c>
      <c r="AA60" s="344">
        <f>IFERROR(__xludf.DUMMYFUNCTION("""COMPUTED_VALUE"""),10.9)</f>
        <v>10.9</v>
      </c>
      <c r="AB60" s="344">
        <f>IFERROR(__xludf.DUMMYFUNCTION("""COMPUTED_VALUE"""),76.0)</f>
        <v>76</v>
      </c>
      <c r="AC60" s="344">
        <f>IFERROR(__xludf.DUMMYFUNCTION("""COMPUTED_VALUE"""),16.1)</f>
        <v>16.1</v>
      </c>
      <c r="AD60" s="344">
        <f>IFERROR(__xludf.DUMMYFUNCTION("""COMPUTED_VALUE"""),13.9)</f>
        <v>13.9</v>
      </c>
      <c r="AE60" s="343">
        <f>IFERROR(__xludf.DUMMYFUNCTION("""COMPUTED_VALUE"""),14.3)</f>
        <v>14.3</v>
      </c>
      <c r="AF60" s="343">
        <f>IFERROR(__xludf.DUMMYFUNCTION("""COMPUTED_VALUE"""),2.04)</f>
        <v>2.04</v>
      </c>
      <c r="AG60" s="292" t="b">
        <f>IFERROR(__xludf.DUMMYFUNCTION("""COMPUTED_VALUE"""),FALSE)</f>
        <v>0</v>
      </c>
      <c r="AH60" s="292" t="b">
        <f>IFERROR(__xludf.DUMMYFUNCTION("""COMPUTED_VALUE"""),FALSE)</f>
        <v>0</v>
      </c>
      <c r="AI60" s="292" t="b">
        <f>IFERROR(__xludf.DUMMYFUNCTION("""COMPUTED_VALUE"""),FALSE)</f>
        <v>0</v>
      </c>
      <c r="AJ60" s="292" t="b">
        <f>IFERROR(__xludf.DUMMYFUNCTION("""COMPUTED_VALUE"""),FALSE)</f>
        <v>0</v>
      </c>
      <c r="AK60" s="292" t="b">
        <f>IFERROR(__xludf.DUMMYFUNCTION("""COMPUTED_VALUE"""),TRUE)</f>
        <v>1</v>
      </c>
      <c r="AL60" s="292" t="b">
        <f>IFERROR(__xludf.DUMMYFUNCTION("""COMPUTED_VALUE"""),TRUE)</f>
        <v>1</v>
      </c>
      <c r="AM60" s="292" t="b">
        <f>IFERROR(__xludf.DUMMYFUNCTION("""COMPUTED_VALUE"""),FALSE)</f>
        <v>0</v>
      </c>
      <c r="AN60" s="292" t="b">
        <f>IFERROR(__xludf.DUMMYFUNCTION("""COMPUTED_VALUE"""),TRUE)</f>
        <v>1</v>
      </c>
      <c r="AO60" s="292" t="str">
        <f>IFERROR(__xludf.DUMMYFUNCTION("""COMPUTED_VALUE"""),"TRUE")</f>
        <v>TRUE</v>
      </c>
      <c r="AP60" s="292" t="str">
        <f>IFERROR(__xludf.DUMMYFUNCTION("""COMPUTED_VALUE"""),"Vegan")</f>
        <v>Vegan</v>
      </c>
      <c r="AQ60" s="292" t="str">
        <f>IFERROR(__xludf.DUMMYFUNCTION("""COMPUTED_VALUE"""),"Vegan")</f>
        <v>Vegan</v>
      </c>
      <c r="AR60" s="292" t="str">
        <f>IFERROR(__xludf.DUMMYFUNCTION("""COMPUTED_VALUE"""),"Legumes")</f>
        <v>Legumes</v>
      </c>
      <c r="AS60" s="341" t="str">
        <f>IFERROR(__xludf.DUMMYFUNCTION("""COMPUTED_VALUE"""),"Rice")</f>
        <v>Rice</v>
      </c>
      <c r="AT60" s="292" t="str">
        <f>IFERROR(__xludf.DUMMYFUNCTION("""COMPUTED_VALUE"""),"Sweet Potato")</f>
        <v>Sweet Potato</v>
      </c>
      <c r="AU60" s="292" t="str">
        <f>IFERROR(__xludf.DUMMYFUNCTION("""COMPUTED_VALUE"""),"Chickpeas")</f>
        <v>Chickpeas</v>
      </c>
      <c r="AV60" s="292" t="str">
        <f>IFERROR(__xludf.DUMMYFUNCTION("""COMPUTED_VALUE"""),"Pepper Mix")</f>
        <v>Pepper Mix</v>
      </c>
      <c r="AW60" s="292" t="str">
        <f>IFERROR(__xludf.DUMMYFUNCTION("""COMPUTED_VALUE"""),"Year Round")</f>
        <v>Year Round</v>
      </c>
      <c r="AX60" s="292" t="str">
        <f>IFERROR(__xludf.DUMMYFUNCTION("""COMPUTED_VALUE"""),"Thai")</f>
        <v>Thai</v>
      </c>
      <c r="AY60" s="292"/>
      <c r="AZ60" s="292" t="str">
        <f>IFERROR(__xludf.DUMMYFUNCTION("""COMPUTED_VALUE"""),"2 CT")</f>
        <v>2 CT</v>
      </c>
      <c r="BA60" s="292" t="b">
        <f>IFERROR(__xludf.DUMMYFUNCTION("""COMPUTED_VALUE"""),FALSE)</f>
        <v>0</v>
      </c>
      <c r="BB60" s="342">
        <f>IFERROR(__xludf.DUMMYFUNCTION("""COMPUTED_VALUE"""),1.78)</f>
        <v>1.78</v>
      </c>
      <c r="BC60" s="342">
        <f>IFERROR(__xludf.DUMMYFUNCTION("""COMPUTED_VALUE"""),0.91)</f>
        <v>0.91</v>
      </c>
      <c r="BD60" s="342">
        <f>IFERROR(__xludf.DUMMYFUNCTION("""COMPUTED_VALUE"""),0.362)</f>
        <v>0.362</v>
      </c>
      <c r="BE60" s="342">
        <f>IFERROR(__xludf.DUMMYFUNCTION("""COMPUTED_VALUE"""),0.89)</f>
        <v>0.89</v>
      </c>
      <c r="BF60" s="296" t="str">
        <f>IFERROR(__xludf.DUMMYFUNCTION("""COMPUTED_VALUE"""),"#REF!")</f>
        <v>#REF!</v>
      </c>
      <c r="BG60" s="296" t="str">
        <f>IFERROR(__xludf.DUMMYFUNCTION("""COMPUTED_VALUE"""),"#REF!")</f>
        <v>#REF!</v>
      </c>
      <c r="BH60" s="296" t="str">
        <f>IFERROR(__xludf.DUMMYFUNCTION("""COMPUTED_VALUE"""),"#REF!")</f>
        <v>#REF!</v>
      </c>
      <c r="BI60" s="295">
        <f>IFERROR(__xludf.DUMMYFUNCTION("""COMPUTED_VALUE"""),162.0)</f>
        <v>162</v>
      </c>
      <c r="BJ60" s="295" t="str">
        <f>IFERROR(__xludf.DUMMYFUNCTION("""COMPUTED_VALUE"""),"FALSE")</f>
        <v>FALSE</v>
      </c>
      <c r="BK60" s="346">
        <f>IFERROR(__xludf.DUMMYFUNCTION("""COMPUTED_VALUE"""),2413.0)</f>
        <v>2413</v>
      </c>
      <c r="BL60" s="292" t="str">
        <f>IFERROR(__xludf.DUMMYFUNCTION("""COMPUTED_VALUE"""),"US")</f>
        <v>US</v>
      </c>
      <c r="BM60" s="292" t="str">
        <f>IFERROR(__xludf.DUMMYFUNCTION("""COMPUTED_VALUE"""),"Grön curry med sötpotatis")</f>
        <v>Grön curry med sötpotatis</v>
      </c>
      <c r="BN60" s="292"/>
      <c r="BO60" s="292"/>
      <c r="BP60" s="292"/>
      <c r="BQ60" s="292" t="str">
        <f>IFERROR(__xludf.DUMMYFUNCTION("""COMPUTED_VALUE"""),"Graveyard")</f>
        <v>Graveyard</v>
      </c>
      <c r="BR60" s="292" t="b">
        <f>IFERROR(__xludf.DUMMYFUNCTION("""COMPUTED_VALUE"""),FALSE)</f>
        <v>0</v>
      </c>
      <c r="BS60" s="292" t="b">
        <f>IFERROR(__xludf.DUMMYFUNCTION("""COMPUTED_VALUE"""),FALSE)</f>
        <v>0</v>
      </c>
      <c r="BT60" s="345">
        <f>IFERROR(__xludf.DUMMYFUNCTION("""COMPUTED_VALUE"""),556.0)</f>
        <v>556</v>
      </c>
      <c r="BU60" s="345">
        <f>IFERROR(__xludf.DUMMYFUNCTION("""COMPUTED_VALUE"""),133.0)</f>
        <v>133</v>
      </c>
      <c r="BV60" s="344">
        <f>IFERROR(__xludf.DUMMYFUNCTION("""COMPUTED_VALUE"""),4.7)</f>
        <v>4.7</v>
      </c>
      <c r="BW60" s="344">
        <f>IFERROR(__xludf.DUMMYFUNCTION("""COMPUTED_VALUE"""),2.5)</f>
        <v>2.5</v>
      </c>
    </row>
    <row r="61">
      <c r="A61" s="292" t="str">
        <f>IFERROR(__xludf.DUMMYFUNCTION("""COMPUTED_VALUE"""),"FE0444C")</f>
        <v>FE0444C</v>
      </c>
      <c r="B61" s="292" t="str">
        <f>IFERROR(__xludf.DUMMYFUNCTION("""COMPUTED_VALUE"""),"CON-40-143748-4")</f>
        <v>CON-40-143748-4</v>
      </c>
      <c r="C61" s="292" t="str">
        <f>IFERROR(__xludf.DUMMYFUNCTION("""COMPUTED_VALUE"""),"CON-00-147843-2")</f>
        <v>CON-00-147843-2</v>
      </c>
      <c r="D61" s="292" t="str">
        <f>IFERROR(__xludf.DUMMYFUNCTION("""COMPUTED_VALUE"""),"CON-00-136618-3")</f>
        <v>CON-00-136618-3</v>
      </c>
      <c r="E61" s="292" t="str">
        <f>IFERROR(__xludf.DUMMYFUNCTION("""COMPUTED_VALUE"""),"Vegetarian Biryani")</f>
        <v>Vegetarian Biryani</v>
      </c>
      <c r="F61" s="292" t="str">
        <f>IFERROR(__xludf.DUMMYFUNCTION("""COMPUTED_VALUE"""),"with rice, tandoori cauliflower in curry-honey butter and yoghurt sauce with lime")</f>
        <v>with rice, tandoori cauliflower in curry-honey butter and yoghurt sauce with lime</v>
      </c>
      <c r="G61" s="292" t="str">
        <f>IFERROR(__xludf.DUMMYFUNCTION("""COMPUTED_VALUE"""),"Vegetarische biryani")</f>
        <v>Vegetarische biryani</v>
      </c>
      <c r="H61" s="292" t="str">
        <f>IFERROR(__xludf.DUMMYFUNCTION("""COMPUTED_VALUE"""),"met rijst, tandoori-bloemkool in kerrie-honingboter en yoghurtsaus met limoen")</f>
        <v>met rijst, tandoori-bloemkool in kerrie-honingboter en yoghurtsaus met limoen</v>
      </c>
      <c r="I61" s="292" t="str">
        <f>IFERROR(__xludf.DUMMYFUNCTION("""COMPUTED_VALUE"""),"Vegetarisk biryani")</f>
        <v>Vegetarisk biryani</v>
      </c>
      <c r="J61" s="292" t="str">
        <f>IFERROR(__xludf.DUMMYFUNCTION("""COMPUTED_VALUE"""),"Vegetarisches Biryani")</f>
        <v>Vegetarisches Biryani</v>
      </c>
      <c r="K61" s="292">
        <f>IFERROR(__xludf.DUMMYFUNCTION("""COMPUTED_VALUE"""),565031.0)</f>
        <v>565031</v>
      </c>
      <c r="L61" s="292" t="str">
        <f>IFERROR(__xludf.DUMMYFUNCTION("""COMPUTED_VALUE"""),"HF Indiase Biryani Rijst 354g")</f>
        <v>HF Indiase Biryani Rijst 354g</v>
      </c>
      <c r="M61" s="292" t="str">
        <f>IFERROR(__xludf.DUMMYFUNCTION("""COMPUTED_VALUE"""),"FA-NL Vegetarische biryani [FE0444]")</f>
        <v>FA-NL Vegetarische biryani [FE0444]</v>
      </c>
      <c r="N61" s="292" t="str">
        <f>IFERROR(__xludf.DUMMYFUNCTION("""COMPUTED_VALUE"""),"FA-NO Vegetarisk biryani (FE0444)")</f>
        <v>FA-NO Vegetarisk biryani (FE0444)</v>
      </c>
      <c r="O61" s="292" t="str">
        <f>IFERROR(__xludf.DUMMYFUNCTION("""COMPUTED_VALUE"""),"FA-DE Vegetarisches Biryani (FE0444)")</f>
        <v>FA-DE Vegetarisches Biryani (FE0444)</v>
      </c>
      <c r="P61" s="292" t="str">
        <f>IFERROR(__xludf.DUMMYFUNCTION("""COMPUTED_VALUE"""),"Rework")</f>
        <v>Rework</v>
      </c>
      <c r="Q61" s="292"/>
      <c r="R61" s="342">
        <f>IFERROR(__xludf.DUMMYFUNCTION("""COMPUTED_VALUE"""),3.09)</f>
        <v>3.09</v>
      </c>
      <c r="S61" s="298">
        <f>IFERROR(__xludf.DUMMYFUNCTION("""COMPUTED_VALUE"""),0.008934623251369792)</f>
        <v>0.008934623251</v>
      </c>
      <c r="T61" s="343">
        <f>IFERROR(__xludf.DUMMYFUNCTION("""COMPUTED_VALUE"""),3.24)</f>
        <v>3.24</v>
      </c>
      <c r="U61" s="292">
        <f>IFERROR(__xludf.DUMMYFUNCTION("""COMPUTED_VALUE"""),420.0)</f>
        <v>420</v>
      </c>
      <c r="V61" s="292"/>
      <c r="W61" s="292" t="b">
        <f>IFERROR(__xludf.DUMMYFUNCTION("""COMPUTED_VALUE"""),TRUE)</f>
        <v>1</v>
      </c>
      <c r="X61" s="345">
        <f>IFERROR(__xludf.DUMMYFUNCTION("""COMPUTED_VALUE"""),354.0)</f>
        <v>354</v>
      </c>
      <c r="Y61" s="344">
        <f>IFERROR(__xludf.DUMMYFUNCTION("""COMPUTED_VALUE"""),587.0)</f>
        <v>587</v>
      </c>
      <c r="Z61" s="343">
        <f>IFERROR(__xludf.DUMMYFUNCTION("""COMPUTED_VALUE"""),32.3)</f>
        <v>32.3</v>
      </c>
      <c r="AA61" s="344">
        <f>IFERROR(__xludf.DUMMYFUNCTION("""COMPUTED_VALUE"""),9.0)</f>
        <v>9</v>
      </c>
      <c r="AB61" s="344">
        <f>IFERROR(__xludf.DUMMYFUNCTION("""COMPUTED_VALUE"""),54.6)</f>
        <v>54.6</v>
      </c>
      <c r="AC61" s="344">
        <f>IFERROR(__xludf.DUMMYFUNCTION("""COMPUTED_VALUE"""),10.8)</f>
        <v>10.8</v>
      </c>
      <c r="AD61" s="344">
        <f>IFERROR(__xludf.DUMMYFUNCTION("""COMPUTED_VALUE"""),7.6)</f>
        <v>7.6</v>
      </c>
      <c r="AE61" s="343">
        <f>IFERROR(__xludf.DUMMYFUNCTION("""COMPUTED_VALUE"""),15.2)</f>
        <v>15.2</v>
      </c>
      <c r="AF61" s="343">
        <f>IFERROR(__xludf.DUMMYFUNCTION("""COMPUTED_VALUE"""),1.89)</f>
        <v>1.89</v>
      </c>
      <c r="AG61" s="292" t="b">
        <f>IFERROR(__xludf.DUMMYFUNCTION("""COMPUTED_VALUE"""),FALSE)</f>
        <v>0</v>
      </c>
      <c r="AH61" s="292" t="b">
        <f>IFERROR(__xludf.DUMMYFUNCTION("""COMPUTED_VALUE"""),FALSE)</f>
        <v>0</v>
      </c>
      <c r="AI61" s="292" t="b">
        <f>IFERROR(__xludf.DUMMYFUNCTION("""COMPUTED_VALUE"""),FALSE)</f>
        <v>0</v>
      </c>
      <c r="AJ61" s="292" t="b">
        <f>IFERROR(__xludf.DUMMYFUNCTION("""COMPUTED_VALUE"""),FALSE)</f>
        <v>0</v>
      </c>
      <c r="AK61" s="292" t="b">
        <f>IFERROR(__xludf.DUMMYFUNCTION("""COMPUTED_VALUE"""),TRUE)</f>
        <v>1</v>
      </c>
      <c r="AL61" s="292" t="b">
        <f>IFERROR(__xludf.DUMMYFUNCTION("""COMPUTED_VALUE"""),FALSE)</f>
        <v>0</v>
      </c>
      <c r="AM61" s="292" t="b">
        <f>IFERROR(__xludf.DUMMYFUNCTION("""COMPUTED_VALUE"""),FALSE)</f>
        <v>0</v>
      </c>
      <c r="AN61" s="292" t="b">
        <f>IFERROR(__xludf.DUMMYFUNCTION("""COMPUTED_VALUE"""),FALSE)</f>
        <v>0</v>
      </c>
      <c r="AO61" s="292" t="str">
        <f>IFERROR(__xludf.DUMMYFUNCTION("""COMPUTED_VALUE"""),"FALSE")</f>
        <v>FALSE</v>
      </c>
      <c r="AP61" s="292" t="str">
        <f>IFERROR(__xludf.DUMMYFUNCTION("""COMPUTED_VALUE"""),"Vegetarian")</f>
        <v>Vegetarian</v>
      </c>
      <c r="AQ61" s="292" t="str">
        <f>IFERROR(__xludf.DUMMYFUNCTION("""COMPUTED_VALUE"""),"Vegetarian")</f>
        <v>Vegetarian</v>
      </c>
      <c r="AR61" s="292" t="str">
        <f>IFERROR(__xludf.DUMMYFUNCTION("""COMPUTED_VALUE"""),"Rice")</f>
        <v>Rice</v>
      </c>
      <c r="AS61" s="292" t="str">
        <f>IFERROR(__xludf.DUMMYFUNCTION("""COMPUTED_VALUE"""),"Rice")</f>
        <v>Rice</v>
      </c>
      <c r="AT61" s="292" t="str">
        <f>IFERROR(__xludf.DUMMYFUNCTION("""COMPUTED_VALUE"""),"Cauliflower Florets")</f>
        <v>Cauliflower Florets</v>
      </c>
      <c r="AU61" s="292" t="str">
        <f>IFERROR(__xludf.DUMMYFUNCTION("""COMPUTED_VALUE"""),"Green Beans")</f>
        <v>Green Beans</v>
      </c>
      <c r="AV61" s="292" t="str">
        <f>IFERROR(__xludf.DUMMYFUNCTION("""COMPUTED_VALUE"""),"Corn Kernels")</f>
        <v>Corn Kernels</v>
      </c>
      <c r="AW61" s="292" t="str">
        <f>IFERROR(__xludf.DUMMYFUNCTION("""COMPUTED_VALUE"""),"Year Round")</f>
        <v>Year Round</v>
      </c>
      <c r="AX61" s="292" t="str">
        <f>IFERROR(__xludf.DUMMYFUNCTION("""COMPUTED_VALUE"""),"Indian")</f>
        <v>Indian</v>
      </c>
      <c r="AY61" s="292"/>
      <c r="AZ61" s="292" t="str">
        <f>IFERROR(__xludf.DUMMYFUNCTION("""COMPUTED_VALUE"""),"2 CT")</f>
        <v>2 CT</v>
      </c>
      <c r="BA61" s="292" t="b">
        <f>IFERROR(__xludf.DUMMYFUNCTION("""COMPUTED_VALUE"""),TRUE)</f>
        <v>1</v>
      </c>
      <c r="BB61" s="342">
        <f>IFERROR(__xludf.DUMMYFUNCTION("""COMPUTED_VALUE"""),0.89)</f>
        <v>0.89</v>
      </c>
      <c r="BC61" s="342">
        <f>IFERROR(__xludf.DUMMYFUNCTION("""COMPUTED_VALUE"""),0.97)</f>
        <v>0.97</v>
      </c>
      <c r="BD61" s="342">
        <f>IFERROR(__xludf.DUMMYFUNCTION("""COMPUTED_VALUE"""),0.392)</f>
        <v>0.392</v>
      </c>
      <c r="BE61" s="342">
        <f>IFERROR(__xludf.DUMMYFUNCTION("""COMPUTED_VALUE"""),0.89)</f>
        <v>0.89</v>
      </c>
      <c r="BF61" s="296" t="str">
        <f>IFERROR(__xludf.DUMMYFUNCTION("""COMPUTED_VALUE"""),"#REF!")</f>
        <v>#REF!</v>
      </c>
      <c r="BG61" s="296" t="str">
        <f>IFERROR(__xludf.DUMMYFUNCTION("""COMPUTED_VALUE"""),"#REF!")</f>
        <v>#REF!</v>
      </c>
      <c r="BH61" s="296" t="str">
        <f>IFERROR(__xludf.DUMMYFUNCTION("""COMPUTED_VALUE"""),"#REF!")</f>
        <v>#REF!</v>
      </c>
      <c r="BI61" s="295">
        <f>IFERROR(__xludf.DUMMYFUNCTION("""COMPUTED_VALUE"""),180.0)</f>
        <v>180</v>
      </c>
      <c r="BJ61" s="295" t="str">
        <f>IFERROR(__xludf.DUMMYFUNCTION("""COMPUTED_VALUE"""),"FALSE")</f>
        <v>FALSE</v>
      </c>
      <c r="BK61" s="346">
        <f>IFERROR(__xludf.DUMMYFUNCTION("""COMPUTED_VALUE"""),2450.0)</f>
        <v>2450</v>
      </c>
      <c r="BL61" s="292" t="str">
        <f>IFERROR(__xludf.DUMMYFUNCTION("""COMPUTED_VALUE"""),"US")</f>
        <v>US</v>
      </c>
      <c r="BM61" s="292" t="str">
        <f>IFERROR(__xludf.DUMMYFUNCTION("""COMPUTED_VALUE"""),"Vegetarisk biryani")</f>
        <v>Vegetarisk biryani</v>
      </c>
      <c r="BN61" s="292"/>
      <c r="BO61" s="292"/>
      <c r="BP61" s="292"/>
      <c r="BQ61" s="292" t="str">
        <f>IFERROR(__xludf.DUMMYFUNCTION("""COMPUTED_VALUE"""),"Hold - Rework")</f>
        <v>Hold - Rework</v>
      </c>
      <c r="BR61" s="292" t="b">
        <f>IFERROR(__xludf.DUMMYFUNCTION("""COMPUTED_VALUE"""),FALSE)</f>
        <v>0</v>
      </c>
      <c r="BS61" s="292" t="b">
        <f>IFERROR(__xludf.DUMMYFUNCTION("""COMPUTED_VALUE"""),FALSE)</f>
        <v>0</v>
      </c>
      <c r="BT61" s="345">
        <f>IFERROR(__xludf.DUMMYFUNCTION("""COMPUTED_VALUE"""),692.0)</f>
        <v>692</v>
      </c>
      <c r="BU61" s="345">
        <f>IFERROR(__xludf.DUMMYFUNCTION("""COMPUTED_VALUE"""),166.0)</f>
        <v>166</v>
      </c>
      <c r="BV61" s="344">
        <f>IFERROR(__xludf.DUMMYFUNCTION("""COMPUTED_VALUE"""),9.1)</f>
        <v>9.1</v>
      </c>
      <c r="BW61" s="344">
        <f>IFERROR(__xludf.DUMMYFUNCTION("""COMPUTED_VALUE"""),2.6)</f>
        <v>2.6</v>
      </c>
    </row>
    <row r="62">
      <c r="A62" s="292" t="str">
        <f>IFERROR(__xludf.DUMMYFUNCTION("""COMPUTED_VALUE"""),"FE0472A")</f>
        <v>FE0472A</v>
      </c>
      <c r="B62" s="292" t="str">
        <f>IFERROR(__xludf.DUMMYFUNCTION("""COMPUTED_VALUE"""),"CON-40-143711-4")</f>
        <v>CON-40-143711-4</v>
      </c>
      <c r="C62" s="292" t="str">
        <f>IFERROR(__xludf.DUMMYFUNCTION("""COMPUTED_VALUE"""),"CON-00-147844-2")</f>
        <v>CON-00-147844-2</v>
      </c>
      <c r="D62" s="292" t="str">
        <f>IFERROR(__xludf.DUMMYFUNCTION("""COMPUTED_VALUE"""),"CON-00-136623-3")</f>
        <v>CON-00-136623-3</v>
      </c>
      <c r="E62" s="292" t="str">
        <f>IFERROR(__xludf.DUMMYFUNCTION("""COMPUTED_VALUE"""),"Indian style butter chicken")</f>
        <v>Indian style butter chicken</v>
      </c>
      <c r="F62" s="292" t="str">
        <f>IFERROR(__xludf.DUMMYFUNCTION("""COMPUTED_VALUE"""),"with cauliflower rice, coriander and lime")</f>
        <v>with cauliflower rice, coriander and lime</v>
      </c>
      <c r="G62" s="292" t="str">
        <f>IFERROR(__xludf.DUMMYFUNCTION("""COMPUTED_VALUE"""),"Indiase stijl butter chicken")</f>
        <v>Indiase stijl butter chicken</v>
      </c>
      <c r="H62" s="292" t="str">
        <f>IFERROR(__xludf.DUMMYFUNCTION("""COMPUTED_VALUE"""),"met bloemkoolrijst, koriander en limoen")</f>
        <v>met bloemkoolrijst, koriander en limoen</v>
      </c>
      <c r="I62" s="292" t="str">
        <f>IFERROR(__xludf.DUMMYFUNCTION("""COMPUTED_VALUE"""),"Indisk-inspireret butter chicken")</f>
        <v>Indisk-inspireret butter chicken</v>
      </c>
      <c r="J62" s="292" t="str">
        <f>IFERROR(__xludf.DUMMYFUNCTION("""COMPUTED_VALUE"""),"Indisches Butterhuhn")</f>
        <v>Indisches Butterhuhn</v>
      </c>
      <c r="K62" s="292">
        <f>IFERROR(__xludf.DUMMYFUNCTION("""COMPUTED_VALUE"""),565036.0)</f>
        <v>565036</v>
      </c>
      <c r="L62" s="292" t="str">
        <f>IFERROR(__xludf.DUMMYFUNCTION("""COMPUTED_VALUE"""),"HF Indiase Butter Chicken 360g")</f>
        <v>HF Indiase Butter Chicken 360g</v>
      </c>
      <c r="M62" s="292" t="str">
        <f>IFERROR(__xludf.DUMMYFUNCTION("""COMPUTED_VALUE"""),"FA-NL Indiase stijl butter chicken (FE0472)")</f>
        <v>FA-NL Indiase stijl butter chicken (FE0472)</v>
      </c>
      <c r="N62" s="292" t="str">
        <f>IFERROR(__xludf.DUMMYFUNCTION("""COMPUTED_VALUE"""),"FA-NO Indisk-inspireret butter chicken (FE0472)")</f>
        <v>FA-NO Indisk-inspireret butter chicken (FE0472)</v>
      </c>
      <c r="O62" s="292" t="str">
        <f>IFERROR(__xludf.DUMMYFUNCTION("""COMPUTED_VALUE"""),"FA-DE Indisches Butterhuhn (FE0472)")</f>
        <v>FA-DE Indisches Butterhuhn (FE0472)</v>
      </c>
      <c r="P62" s="292" t="str">
        <f>IFERROR(__xludf.DUMMYFUNCTION("""COMPUTED_VALUE"""),"Graveyard")</f>
        <v>Graveyard</v>
      </c>
      <c r="Q62" s="292"/>
      <c r="R62" s="342">
        <f>IFERROR(__xludf.DUMMYFUNCTION("""COMPUTED_VALUE"""),4.81)</f>
        <v>4.81</v>
      </c>
      <c r="S62" s="298">
        <f>IFERROR(__xludf.DUMMYFUNCTION("""COMPUTED_VALUE"""),0.036034168498860944)</f>
        <v>0.0360341685</v>
      </c>
      <c r="T62" s="343">
        <f>IFERROR(__xludf.DUMMYFUNCTION("""COMPUTED_VALUE"""),3.49)</f>
        <v>3.49</v>
      </c>
      <c r="U62" s="292">
        <f>IFERROR(__xludf.DUMMYFUNCTION("""COMPUTED_VALUE"""),3966.0)</f>
        <v>3966</v>
      </c>
      <c r="V62" s="292"/>
      <c r="W62" s="292" t="b">
        <f>IFERROR(__xludf.DUMMYFUNCTION("""COMPUTED_VALUE"""),TRUE)</f>
        <v>1</v>
      </c>
      <c r="X62" s="345">
        <f>IFERROR(__xludf.DUMMYFUNCTION("""COMPUTED_VALUE"""),360.0)</f>
        <v>360</v>
      </c>
      <c r="Y62" s="344">
        <f>IFERROR(__xludf.DUMMYFUNCTION("""COMPUTED_VALUE"""),757.0)</f>
        <v>757</v>
      </c>
      <c r="Z62" s="343">
        <f>IFERROR(__xludf.DUMMYFUNCTION("""COMPUTED_VALUE"""),60.2)</f>
        <v>60.2</v>
      </c>
      <c r="AA62" s="344">
        <f>IFERROR(__xludf.DUMMYFUNCTION("""COMPUTED_VALUE"""),27.0)</f>
        <v>27</v>
      </c>
      <c r="AB62" s="344">
        <f>IFERROR(__xludf.DUMMYFUNCTION("""COMPUTED_VALUE"""),14.9)</f>
        <v>14.9</v>
      </c>
      <c r="AC62" s="344">
        <f>IFERROR(__xludf.DUMMYFUNCTION("""COMPUTED_VALUE"""),9.3)</f>
        <v>9.3</v>
      </c>
      <c r="AD62" s="344">
        <f>IFERROR(__xludf.DUMMYFUNCTION("""COMPUTED_VALUE"""),7.3)</f>
        <v>7.3</v>
      </c>
      <c r="AE62" s="343">
        <f>IFERROR(__xludf.DUMMYFUNCTION("""COMPUTED_VALUE"""),34.6)</f>
        <v>34.6</v>
      </c>
      <c r="AF62" s="343">
        <f>IFERROR(__xludf.DUMMYFUNCTION("""COMPUTED_VALUE"""),1.9)</f>
        <v>1.9</v>
      </c>
      <c r="AG62" s="292" t="b">
        <f>IFERROR(__xludf.DUMMYFUNCTION("""COMPUTED_VALUE"""),FALSE)</f>
        <v>0</v>
      </c>
      <c r="AH62" s="292" t="b">
        <f>IFERROR(__xludf.DUMMYFUNCTION("""COMPUTED_VALUE"""),TRUE)</f>
        <v>1</v>
      </c>
      <c r="AI62" s="292" t="b">
        <f>IFERROR(__xludf.DUMMYFUNCTION("""COMPUTED_VALUE"""),FALSE)</f>
        <v>0</v>
      </c>
      <c r="AJ62" s="292" t="b">
        <f>IFERROR(__xludf.DUMMYFUNCTION("""COMPUTED_VALUE"""),FALSE)</f>
        <v>0</v>
      </c>
      <c r="AK62" s="292" t="b">
        <f>IFERROR(__xludf.DUMMYFUNCTION("""COMPUTED_VALUE"""),FALSE)</f>
        <v>0</v>
      </c>
      <c r="AL62" s="292" t="b">
        <f>IFERROR(__xludf.DUMMYFUNCTION("""COMPUTED_VALUE"""),FALSE)</f>
        <v>0</v>
      </c>
      <c r="AM62" s="292" t="b">
        <f>IFERROR(__xludf.DUMMYFUNCTION("""COMPUTED_VALUE"""),FALSE)</f>
        <v>0</v>
      </c>
      <c r="AN62" s="292" t="b">
        <f>IFERROR(__xludf.DUMMYFUNCTION("""COMPUTED_VALUE"""),FALSE)</f>
        <v>0</v>
      </c>
      <c r="AO62" s="292" t="str">
        <f>IFERROR(__xludf.DUMMYFUNCTION("""COMPUTED_VALUE"""),"FALSE")</f>
        <v>FALSE</v>
      </c>
      <c r="AP62" s="292" t="str">
        <f>IFERROR(__xludf.DUMMYFUNCTION("""COMPUTED_VALUE"""),"Diced chicken")</f>
        <v>Diced chicken</v>
      </c>
      <c r="AQ62" s="292" t="str">
        <f>IFERROR(__xludf.DUMMYFUNCTION("""COMPUTED_VALUE"""),"Chicken")</f>
        <v>Chicken</v>
      </c>
      <c r="AR62" s="292" t="str">
        <f>IFERROR(__xludf.DUMMYFUNCTION("""COMPUTED_VALUE"""),"Pieces")</f>
        <v>Pieces</v>
      </c>
      <c r="AS62" s="292" t="str">
        <f>IFERROR(__xludf.DUMMYFUNCTION("""COMPUTED_VALUE"""),"Cauliflower Rice")</f>
        <v>Cauliflower Rice</v>
      </c>
      <c r="AT62" s="292" t="str">
        <f>IFERROR(__xludf.DUMMYFUNCTION("""COMPUTED_VALUE"""),"Tomato Based Sauce")</f>
        <v>Tomato Based Sauce</v>
      </c>
      <c r="AU62" s="292" t="str">
        <f>IFERROR(__xludf.DUMMYFUNCTION("""COMPUTED_VALUE"""),"Green onion")</f>
        <v>Green onion</v>
      </c>
      <c r="AV62" s="292"/>
      <c r="AW62" s="292" t="str">
        <f>IFERROR(__xludf.DUMMYFUNCTION("""COMPUTED_VALUE"""),"Year Round")</f>
        <v>Year Round</v>
      </c>
      <c r="AX62" s="292" t="str">
        <f>IFERROR(__xludf.DUMMYFUNCTION("""COMPUTED_VALUE"""),"Indian")</f>
        <v>Indian</v>
      </c>
      <c r="AY62" s="292"/>
      <c r="AZ62" s="292" t="str">
        <f>IFERROR(__xludf.DUMMYFUNCTION("""COMPUTED_VALUE"""),"2 CT")</f>
        <v>2 CT</v>
      </c>
      <c r="BA62" s="292" t="b">
        <f>IFERROR(__xludf.DUMMYFUNCTION("""COMPUTED_VALUE"""),FALSE)</f>
        <v>0</v>
      </c>
      <c r="BB62" s="342">
        <f>IFERROR(__xludf.DUMMYFUNCTION("""COMPUTED_VALUE"""),2.75)</f>
        <v>2.75</v>
      </c>
      <c r="BC62" s="342">
        <f>IFERROR(__xludf.DUMMYFUNCTION("""COMPUTED_VALUE"""),0.86)</f>
        <v>0.86</v>
      </c>
      <c r="BD62" s="342">
        <f>IFERROR(__xludf.DUMMYFUNCTION("""COMPUTED_VALUE"""),0.362)</f>
        <v>0.362</v>
      </c>
      <c r="BE62" s="342">
        <f>IFERROR(__xludf.DUMMYFUNCTION("""COMPUTED_VALUE"""),0.89)</f>
        <v>0.89</v>
      </c>
      <c r="BF62" s="296" t="str">
        <f>IFERROR(__xludf.DUMMYFUNCTION("""COMPUTED_VALUE"""),"#REF!")</f>
        <v>#REF!</v>
      </c>
      <c r="BG62" s="296" t="str">
        <f>IFERROR(__xludf.DUMMYFUNCTION("""COMPUTED_VALUE"""),"#REF!")</f>
        <v>#REF!</v>
      </c>
      <c r="BH62" s="296" t="str">
        <f>IFERROR(__xludf.DUMMYFUNCTION("""COMPUTED_VALUE"""),"#REF!")</f>
        <v>#REF!</v>
      </c>
      <c r="BI62" s="295">
        <f>IFERROR(__xludf.DUMMYFUNCTION("""COMPUTED_VALUE"""),160.0)</f>
        <v>160</v>
      </c>
      <c r="BJ62" s="295" t="str">
        <f>IFERROR(__xludf.DUMMYFUNCTION("""COMPUTED_VALUE"""),"FALSE")</f>
        <v>FALSE</v>
      </c>
      <c r="BK62" s="346">
        <f>IFERROR(__xludf.DUMMYFUNCTION("""COMPUTED_VALUE"""),3138.0)</f>
        <v>3138</v>
      </c>
      <c r="BL62" s="292" t="str">
        <f>IFERROR(__xludf.DUMMYFUNCTION("""COMPUTED_VALUE"""),"US")</f>
        <v>US</v>
      </c>
      <c r="BM62" s="292" t="str">
        <f>IFERROR(__xludf.DUMMYFUNCTION("""COMPUTED_VALUE"""),"Indisk-inspirerad butter chicken")</f>
        <v>Indisk-inspirerad butter chicken</v>
      </c>
      <c r="BN62" s="292"/>
      <c r="BO62" s="292"/>
      <c r="BP62" s="292"/>
      <c r="BQ62" s="292" t="str">
        <f>IFERROR(__xludf.DUMMYFUNCTION("""COMPUTED_VALUE"""),"Graveyard")</f>
        <v>Graveyard</v>
      </c>
      <c r="BR62" s="292" t="b">
        <f>IFERROR(__xludf.DUMMYFUNCTION("""COMPUTED_VALUE"""),FALSE)</f>
        <v>0</v>
      </c>
      <c r="BS62" s="292" t="b">
        <f>IFERROR(__xludf.DUMMYFUNCTION("""COMPUTED_VALUE"""),FALSE)</f>
        <v>0</v>
      </c>
      <c r="BT62" s="345">
        <f>IFERROR(__xludf.DUMMYFUNCTION("""COMPUTED_VALUE"""),872.0)</f>
        <v>872</v>
      </c>
      <c r="BU62" s="345">
        <f>IFERROR(__xludf.DUMMYFUNCTION("""COMPUTED_VALUE"""),210.0)</f>
        <v>210</v>
      </c>
      <c r="BV62" s="344">
        <f>IFERROR(__xludf.DUMMYFUNCTION("""COMPUTED_VALUE"""),16.7)</f>
        <v>16.7</v>
      </c>
      <c r="BW62" s="344">
        <f>IFERROR(__xludf.DUMMYFUNCTION("""COMPUTED_VALUE"""),7.5)</f>
        <v>7.5</v>
      </c>
    </row>
    <row r="63">
      <c r="A63" s="292" t="str">
        <f>IFERROR(__xludf.DUMMYFUNCTION("""COMPUTED_VALUE"""),"FE0478A")</f>
        <v>FE0478A</v>
      </c>
      <c r="B63" s="292" t="str">
        <f>IFERROR(__xludf.DUMMYFUNCTION("""COMPUTED_VALUE"""),"CON-40-143674-4")</f>
        <v>CON-40-143674-4</v>
      </c>
      <c r="C63" s="292"/>
      <c r="D63" s="292" t="str">
        <f>IFERROR(__xludf.DUMMYFUNCTION("""COMPUTED_VALUE"""),"CON-00-136667-3")</f>
        <v>CON-00-136667-3</v>
      </c>
      <c r="E63" s="292" t="str">
        <f>IFERROR(__xludf.DUMMYFUNCTION("""COMPUTED_VALUE"""),"Chickpea curry with coconut milk")</f>
        <v>Chickpea curry with coconut milk</v>
      </c>
      <c r="F63" s="292" t="str">
        <f>IFERROR(__xludf.DUMMYFUNCTION("""COMPUTED_VALUE"""),"with wild rice and garlic-ginger broccoli")</f>
        <v>with wild rice and garlic-ginger broccoli</v>
      </c>
      <c r="G63" s="292" t="str">
        <f>IFERROR(__xludf.DUMMYFUNCTION("""COMPUTED_VALUE"""),"Kikkererwtencurry met kokosmelk")</f>
        <v>Kikkererwtencurry met kokosmelk</v>
      </c>
      <c r="H63" s="292" t="str">
        <f>IFERROR(__xludf.DUMMYFUNCTION("""COMPUTED_VALUE"""),"met wilde rijst en knoflook-gemberbroccoli")</f>
        <v>met wilde rijst en knoflook-gemberbroccoli</v>
      </c>
      <c r="I63" s="292"/>
      <c r="J63" s="292" t="str">
        <f>IFERROR(__xludf.DUMMYFUNCTION("""COMPUTED_VALUE"""),"Kichererbsencurry mit Kokosmilch")</f>
        <v>Kichererbsencurry mit Kokosmilch</v>
      </c>
      <c r="K63" s="292">
        <f>IFERROR(__xludf.DUMMYFUNCTION("""COMPUTED_VALUE"""),565037.0)</f>
        <v>565037</v>
      </c>
      <c r="L63" s="292" t="str">
        <f>IFERROR(__xludf.DUMMYFUNCTION("""COMPUTED_VALUE"""),"HF Kikkererwtencurry 389g")</f>
        <v>HF Kikkererwtencurry 389g</v>
      </c>
      <c r="M63" s="292" t="str">
        <f>IFERROR(__xludf.DUMMYFUNCTION("""COMPUTED_VALUE"""),"FA-NL Kikkererwtencurry met kokosmelk (FE0478)")</f>
        <v>FA-NL Kikkererwtencurry met kokosmelk (FE0478)</v>
      </c>
      <c r="N63" s="292" t="str">
        <f>IFERROR(__xludf.DUMMYFUNCTION("""COMPUTED_VALUE"""),"#N/A")</f>
        <v>#N/A</v>
      </c>
      <c r="O63" s="292" t="str">
        <f>IFERROR(__xludf.DUMMYFUNCTION("""COMPUTED_VALUE"""),"FA-DE Kichererbsencurry mit Kokosmilch (FE0478)")</f>
        <v>FA-DE Kichererbsencurry mit Kokosmilch (FE0478)</v>
      </c>
      <c r="P63" s="292" t="str">
        <f>IFERROR(__xludf.DUMMYFUNCTION("""COMPUTED_VALUE"""),"Graveyard")</f>
        <v>Graveyard</v>
      </c>
      <c r="Q63" s="292"/>
      <c r="R63" s="342">
        <f>IFERROR(__xludf.DUMMYFUNCTION("""COMPUTED_VALUE"""),3.99)</f>
        <v>3.99</v>
      </c>
      <c r="S63" s="298">
        <f>IFERROR(__xludf.DUMMYFUNCTION("""COMPUTED_VALUE"""),0.007078859227917492)</f>
        <v>0.007078859228</v>
      </c>
      <c r="T63" s="343">
        <f>IFERROR(__xludf.DUMMYFUNCTION("""COMPUTED_VALUE"""),3.1411796536796537)</f>
        <v>3.141179654</v>
      </c>
      <c r="U63" s="292">
        <f>IFERROR(__xludf.DUMMYFUNCTION("""COMPUTED_VALUE"""),5477.0)</f>
        <v>5477</v>
      </c>
      <c r="V63" s="292"/>
      <c r="W63" s="292" t="b">
        <f>IFERROR(__xludf.DUMMYFUNCTION("""COMPUTED_VALUE"""),TRUE)</f>
        <v>1</v>
      </c>
      <c r="X63" s="345">
        <f>IFERROR(__xludf.DUMMYFUNCTION("""COMPUTED_VALUE"""),389.0)</f>
        <v>389</v>
      </c>
      <c r="Y63" s="344">
        <f>IFERROR(__xludf.DUMMYFUNCTION("""COMPUTED_VALUE"""),472.0)</f>
        <v>472</v>
      </c>
      <c r="Z63" s="343">
        <f>IFERROR(__xludf.DUMMYFUNCTION("""COMPUTED_VALUE"""),17.7)</f>
        <v>17.7</v>
      </c>
      <c r="AA63" s="344">
        <f>IFERROR(__xludf.DUMMYFUNCTION("""COMPUTED_VALUE"""),8.5)</f>
        <v>8.5</v>
      </c>
      <c r="AB63" s="344">
        <f>IFERROR(__xludf.DUMMYFUNCTION("""COMPUTED_VALUE"""),51.3)</f>
        <v>51.3</v>
      </c>
      <c r="AC63" s="344">
        <f>IFERROR(__xludf.DUMMYFUNCTION("""COMPUTED_VALUE"""),8.1)</f>
        <v>8.1</v>
      </c>
      <c r="AD63" s="344">
        <f>IFERROR(__xludf.DUMMYFUNCTION("""COMPUTED_VALUE"""),14.3)</f>
        <v>14.3</v>
      </c>
      <c r="AE63" s="343">
        <f>IFERROR(__xludf.DUMMYFUNCTION("""COMPUTED_VALUE"""),19.2)</f>
        <v>19.2</v>
      </c>
      <c r="AF63" s="343">
        <f>IFERROR(__xludf.DUMMYFUNCTION("""COMPUTED_VALUE"""),2.0)</f>
        <v>2</v>
      </c>
      <c r="AG63" s="292" t="b">
        <f>IFERROR(__xludf.DUMMYFUNCTION("""COMPUTED_VALUE"""),FALSE)</f>
        <v>0</v>
      </c>
      <c r="AH63" s="292" t="b">
        <f>IFERROR(__xludf.DUMMYFUNCTION("""COMPUTED_VALUE"""),FALSE)</f>
        <v>0</v>
      </c>
      <c r="AI63" s="292" t="b">
        <f>IFERROR(__xludf.DUMMYFUNCTION("""COMPUTED_VALUE"""),TRUE)</f>
        <v>1</v>
      </c>
      <c r="AJ63" s="292" t="b">
        <f>IFERROR(__xludf.DUMMYFUNCTION("""COMPUTED_VALUE"""),FALSE)</f>
        <v>0</v>
      </c>
      <c r="AK63" s="292" t="b">
        <f>IFERROR(__xludf.DUMMYFUNCTION("""COMPUTED_VALUE"""),FALSE)</f>
        <v>0</v>
      </c>
      <c r="AL63" s="292" t="b">
        <f>IFERROR(__xludf.DUMMYFUNCTION("""COMPUTED_VALUE"""),TRUE)</f>
        <v>1</v>
      </c>
      <c r="AM63" s="292" t="b">
        <f>IFERROR(__xludf.DUMMYFUNCTION("""COMPUTED_VALUE"""),FALSE)</f>
        <v>0</v>
      </c>
      <c r="AN63" s="292" t="b">
        <f>IFERROR(__xludf.DUMMYFUNCTION("""COMPUTED_VALUE"""),TRUE)</f>
        <v>1</v>
      </c>
      <c r="AO63" s="292" t="str">
        <f>IFERROR(__xludf.DUMMYFUNCTION("""COMPUTED_VALUE"""),"TRUE")</f>
        <v>TRUE</v>
      </c>
      <c r="AP63" s="292" t="str">
        <f>IFERROR(__xludf.DUMMYFUNCTION("""COMPUTED_VALUE"""),"Vegan")</f>
        <v>Vegan</v>
      </c>
      <c r="AQ63" s="292" t="str">
        <f>IFERROR(__xludf.DUMMYFUNCTION("""COMPUTED_VALUE"""),"Vegan")</f>
        <v>Vegan</v>
      </c>
      <c r="AR63" s="292" t="str">
        <f>IFERROR(__xludf.DUMMYFUNCTION("""COMPUTED_VALUE"""),"Legumes")</f>
        <v>Legumes</v>
      </c>
      <c r="AS63" s="292" t="str">
        <f>IFERROR(__xludf.DUMMYFUNCTION("""COMPUTED_VALUE"""),"Rice")</f>
        <v>Rice</v>
      </c>
      <c r="AT63" s="292" t="str">
        <f>IFERROR(__xludf.DUMMYFUNCTION("""COMPUTED_VALUE"""),"Broccoli")</f>
        <v>Broccoli</v>
      </c>
      <c r="AU63" s="292" t="str">
        <f>IFERROR(__xludf.DUMMYFUNCTION("""COMPUTED_VALUE"""),"Chickpeas")</f>
        <v>Chickpeas</v>
      </c>
      <c r="AV63" s="292" t="str">
        <f>IFERROR(__xludf.DUMMYFUNCTION("""COMPUTED_VALUE"""),"Pepper Mix")</f>
        <v>Pepper Mix</v>
      </c>
      <c r="AW63" s="292" t="str">
        <f>IFERROR(__xludf.DUMMYFUNCTION("""COMPUTED_VALUE"""),"Year Round")</f>
        <v>Year Round</v>
      </c>
      <c r="AX63" s="292" t="str">
        <f>IFERROR(__xludf.DUMMYFUNCTION("""COMPUTED_VALUE"""),"Indian")</f>
        <v>Indian</v>
      </c>
      <c r="AY63" s="292"/>
      <c r="AZ63" s="292" t="str">
        <f>IFERROR(__xludf.DUMMYFUNCTION("""COMPUTED_VALUE"""),"2 CT")</f>
        <v>2 CT</v>
      </c>
      <c r="BA63" s="292" t="b">
        <f>IFERROR(__xludf.DUMMYFUNCTION("""COMPUTED_VALUE"""),FALSE)</f>
        <v>0</v>
      </c>
      <c r="BB63" s="342">
        <f>IFERROR(__xludf.DUMMYFUNCTION("""COMPUTED_VALUE"""),2.75)</f>
        <v>2.75</v>
      </c>
      <c r="BC63" s="342">
        <f>IFERROR(__xludf.DUMMYFUNCTION("""COMPUTED_VALUE"""),0.79)</f>
        <v>0.79</v>
      </c>
      <c r="BD63" s="342">
        <f>IFERROR(__xludf.DUMMYFUNCTION("""COMPUTED_VALUE"""),0.362)</f>
        <v>0.362</v>
      </c>
      <c r="BE63" s="342">
        <f>IFERROR(__xludf.DUMMYFUNCTION("""COMPUTED_VALUE"""),0.89)</f>
        <v>0.89</v>
      </c>
      <c r="BF63" s="296" t="str">
        <f>IFERROR(__xludf.DUMMYFUNCTION("""COMPUTED_VALUE"""),"#REF!")</f>
        <v>#REF!</v>
      </c>
      <c r="BG63" s="296" t="str">
        <f>IFERROR(__xludf.DUMMYFUNCTION("""COMPUTED_VALUE"""),"#REF!")</f>
        <v>#REF!</v>
      </c>
      <c r="BH63" s="296" t="str">
        <f>IFERROR(__xludf.DUMMYFUNCTION("""COMPUTED_VALUE"""),"#REF!")</f>
        <v>#REF!</v>
      </c>
      <c r="BI63" s="295">
        <f>IFERROR(__xludf.DUMMYFUNCTION("""COMPUTED_VALUE"""),139.0)</f>
        <v>139</v>
      </c>
      <c r="BJ63" s="295" t="str">
        <f>IFERROR(__xludf.DUMMYFUNCTION("""COMPUTED_VALUE"""),"FALSE")</f>
        <v>FALSE</v>
      </c>
      <c r="BK63" s="346">
        <f>IFERROR(__xludf.DUMMYFUNCTION("""COMPUTED_VALUE"""),1975.0)</f>
        <v>1975</v>
      </c>
      <c r="BL63" s="292"/>
      <c r="BM63" s="292"/>
      <c r="BN63" s="292"/>
      <c r="BO63" s="292"/>
      <c r="BP63" s="292"/>
      <c r="BQ63" s="292" t="str">
        <f>IFERROR(__xludf.DUMMYFUNCTION("""COMPUTED_VALUE"""),"Graveyard")</f>
        <v>Graveyard</v>
      </c>
      <c r="BR63" s="292" t="b">
        <f>IFERROR(__xludf.DUMMYFUNCTION("""COMPUTED_VALUE"""),FALSE)</f>
        <v>0</v>
      </c>
      <c r="BS63" s="292" t="b">
        <f>IFERROR(__xludf.DUMMYFUNCTION("""COMPUTED_VALUE"""),FALSE)</f>
        <v>0</v>
      </c>
      <c r="BT63" s="345">
        <f>IFERROR(__xludf.DUMMYFUNCTION("""COMPUTED_VALUE"""),507.7120822622108)</f>
        <v>507.7120823</v>
      </c>
      <c r="BU63" s="345">
        <f>IFERROR(__xludf.DUMMYFUNCTION("""COMPUTED_VALUE"""),121.33676092544987)</f>
        <v>121.3367609</v>
      </c>
      <c r="BV63" s="344">
        <f>IFERROR(__xludf.DUMMYFUNCTION("""COMPUTED_VALUE"""),4.5501285347043705)</f>
        <v>4.550128535</v>
      </c>
      <c r="BW63" s="344">
        <f>IFERROR(__xludf.DUMMYFUNCTION("""COMPUTED_VALUE"""),2.185089974293059)</f>
        <v>2.185089974</v>
      </c>
    </row>
    <row r="64">
      <c r="A64" s="292" t="str">
        <f>IFERROR(__xludf.DUMMYFUNCTION("""COMPUTED_VALUE"""),"FE0485F")</f>
        <v>FE0485F</v>
      </c>
      <c r="B64" s="292" t="str">
        <f>IFERROR(__xludf.DUMMYFUNCTION("""COMPUTED_VALUE"""),"CON-40-143731-4")</f>
        <v>CON-40-143731-4</v>
      </c>
      <c r="C64" s="292" t="str">
        <f>IFERROR(__xludf.DUMMYFUNCTION("""COMPUTED_VALUE"""),"CON-00-147845-2")</f>
        <v>CON-00-147845-2</v>
      </c>
      <c r="D64" s="292" t="str">
        <f>IFERROR(__xludf.DUMMYFUNCTION("""COMPUTED_VALUE"""),"CON-00-138005-2")</f>
        <v>CON-00-138005-2</v>
      </c>
      <c r="E64" s="292" t="str">
        <f>IFERROR(__xludf.DUMMYFUNCTION("""COMPUTED_VALUE"""),"Rosemary-tomato shredded chicken")</f>
        <v>Rosemary-tomato shredded chicken</v>
      </c>
      <c r="F64" s="292" t="str">
        <f>IFERROR(__xludf.DUMMYFUNCTION("""COMPUTED_VALUE"""),"with courgette")</f>
        <v>with courgette</v>
      </c>
      <c r="G64" s="292" t="str">
        <f>IFERROR(__xludf.DUMMYFUNCTION("""COMPUTED_VALUE"""),"Tomaat-rozemarijn pulled chicken ")</f>
        <v>Tomaat-rozemarijn pulled chicken </v>
      </c>
      <c r="H64" s="292" t="str">
        <f>IFERROR(__xludf.DUMMYFUNCTION("""COMPUTED_VALUE"""),"met courgette")</f>
        <v>met courgette</v>
      </c>
      <c r="I64" s="292" t="str">
        <f>IFERROR(__xludf.DUMMYFUNCTION("""COMPUTED_VALUE"""),"Kyllingestrimler med rosmarin og tomat ")</f>
        <v>Kyllingestrimler med rosmarin og tomat </v>
      </c>
      <c r="J64" s="292" t="str">
        <f>IFERROR(__xludf.DUMMYFUNCTION("""COMPUTED_VALUE"""),"Rosmarin-Tomaten-Hähnchen")</f>
        <v>Rosmarin-Tomaten-Hähnchen</v>
      </c>
      <c r="K64" s="292">
        <f>IFERROR(__xludf.DUMMYFUNCTION("""COMPUTED_VALUE"""),565127.0)</f>
        <v>565127</v>
      </c>
      <c r="L64" s="292"/>
      <c r="M64" s="292" t="str">
        <f>IFERROR(__xludf.DUMMYFUNCTION("""COMPUTED_VALUE"""),"FA-NL Tomaat-rozemarijn pulled chicken (FE0485)")</f>
        <v>FA-NL Tomaat-rozemarijn pulled chicken (FE0485)</v>
      </c>
      <c r="N64" s="292" t="str">
        <f>IFERROR(__xludf.DUMMYFUNCTION("""COMPUTED_VALUE"""),"FA-NO Kyllingestrimler med rosmarin og tomat (FE0485)")</f>
        <v>FA-NO Kyllingestrimler med rosmarin og tomat (FE0485)</v>
      </c>
      <c r="O64" s="292" t="str">
        <f>IFERROR(__xludf.DUMMYFUNCTION("""COMPUTED_VALUE"""),"FA-DE Rosmarin-Tomaten-Hähnchen (FE0485)")</f>
        <v>FA-DE Rosmarin-Tomaten-Hähnchen (FE0485)</v>
      </c>
      <c r="P64" s="292" t="str">
        <f>IFERROR(__xludf.DUMMYFUNCTION("""COMPUTED_VALUE"""),"Active")</f>
        <v>Active</v>
      </c>
      <c r="Q64" s="292"/>
      <c r="R64" s="342">
        <f>IFERROR(__xludf.DUMMYFUNCTION("""COMPUTED_VALUE"""),5.12)</f>
        <v>5.12</v>
      </c>
      <c r="S64" s="292"/>
      <c r="T64" s="292"/>
      <c r="U64" s="292"/>
      <c r="V64" s="292"/>
      <c r="W64" s="292" t="b">
        <f>IFERROR(__xludf.DUMMYFUNCTION("""COMPUTED_VALUE"""),TRUE)</f>
        <v>1</v>
      </c>
      <c r="X64" s="345">
        <f>IFERROR(__xludf.DUMMYFUNCTION("""COMPUTED_VALUE"""),416.0)</f>
        <v>416</v>
      </c>
      <c r="Y64" s="344">
        <f>IFERROR(__xludf.DUMMYFUNCTION("""COMPUTED_VALUE"""),571.0)</f>
        <v>571</v>
      </c>
      <c r="Z64" s="343">
        <f>IFERROR(__xludf.DUMMYFUNCTION("""COMPUTED_VALUE"""),41.3)</f>
        <v>41.3</v>
      </c>
      <c r="AA64" s="344">
        <f>IFERROR(__xludf.DUMMYFUNCTION("""COMPUTED_VALUE"""),22.7)</f>
        <v>22.7</v>
      </c>
      <c r="AB64" s="344">
        <f>IFERROR(__xludf.DUMMYFUNCTION("""COMPUTED_VALUE"""),14.1)</f>
        <v>14.1</v>
      </c>
      <c r="AC64" s="344">
        <f>IFERROR(__xludf.DUMMYFUNCTION("""COMPUTED_VALUE"""),12.1)</f>
        <v>12.1</v>
      </c>
      <c r="AD64" s="344">
        <f>IFERROR(__xludf.DUMMYFUNCTION("""COMPUTED_VALUE"""),4.8)</f>
        <v>4.8</v>
      </c>
      <c r="AE64" s="343">
        <f>IFERROR(__xludf.DUMMYFUNCTION("""COMPUTED_VALUE"""),32.6)</f>
        <v>32.6</v>
      </c>
      <c r="AF64" s="343">
        <f>IFERROR(__xludf.DUMMYFUNCTION("""COMPUTED_VALUE"""),2.04)</f>
        <v>2.04</v>
      </c>
      <c r="AG64" s="292" t="b">
        <f>IFERROR(__xludf.DUMMYFUNCTION("""COMPUTED_VALUE"""),FALSE)</f>
        <v>0</v>
      </c>
      <c r="AH64" s="292" t="b">
        <f>IFERROR(__xludf.DUMMYFUNCTION("""COMPUTED_VALUE"""),TRUE)</f>
        <v>1</v>
      </c>
      <c r="AI64" s="292" t="b">
        <f>IFERROR(__xludf.DUMMYFUNCTION("""COMPUTED_VALUE"""),FALSE)</f>
        <v>0</v>
      </c>
      <c r="AJ64" s="292" t="b">
        <f>IFERROR(__xludf.DUMMYFUNCTION("""COMPUTED_VALUE"""),FALSE)</f>
        <v>0</v>
      </c>
      <c r="AK64" s="292" t="b">
        <f>IFERROR(__xludf.DUMMYFUNCTION("""COMPUTED_VALUE"""),FALSE)</f>
        <v>0</v>
      </c>
      <c r="AL64" s="292" t="b">
        <f>IFERROR(__xludf.DUMMYFUNCTION("""COMPUTED_VALUE"""),FALSE)</f>
        <v>0</v>
      </c>
      <c r="AM64" s="292" t="b">
        <f>IFERROR(__xludf.DUMMYFUNCTION("""COMPUTED_VALUE"""),TRUE)</f>
        <v>1</v>
      </c>
      <c r="AN64" s="292" t="b">
        <f>IFERROR(__xludf.DUMMYFUNCTION("""COMPUTED_VALUE"""),FALSE)</f>
        <v>0</v>
      </c>
      <c r="AO64" s="292" t="str">
        <f>IFERROR(__xludf.DUMMYFUNCTION("""COMPUTED_VALUE"""),"FALSE")</f>
        <v>FALSE</v>
      </c>
      <c r="AP64" s="292" t="str">
        <f>IFERROR(__xludf.DUMMYFUNCTION("""COMPUTED_VALUE"""),"Shredded chicken")</f>
        <v>Shredded chicken</v>
      </c>
      <c r="AQ64" s="292" t="str">
        <f>IFERROR(__xludf.DUMMYFUNCTION("""COMPUTED_VALUE"""),"Chicken")</f>
        <v>Chicken</v>
      </c>
      <c r="AR64" s="292" t="str">
        <f>IFERROR(__xludf.DUMMYFUNCTION("""COMPUTED_VALUE"""),"Shredded")</f>
        <v>Shredded</v>
      </c>
      <c r="AS64" s="292" t="str">
        <f>IFERROR(__xludf.DUMMYFUNCTION("""COMPUTED_VALUE"""),"Creamy Sauce Base")</f>
        <v>Creamy Sauce Base</v>
      </c>
      <c r="AT64" s="292" t="str">
        <f>IFERROR(__xludf.DUMMYFUNCTION("""COMPUTED_VALUE"""),"Red bell pepper")</f>
        <v>Red bell pepper</v>
      </c>
      <c r="AU64" s="292" t="str">
        <f>IFERROR(__xludf.DUMMYFUNCTION("""COMPUTED_VALUE"""),"Zucchini Diced")</f>
        <v>Zucchini Diced</v>
      </c>
      <c r="AV64" s="292" t="str">
        <f>IFERROR(__xludf.DUMMYFUNCTION("""COMPUTED_VALUE"""),"Compound Butter")</f>
        <v>Compound Butter</v>
      </c>
      <c r="AW64" s="292" t="str">
        <f>IFERROR(__xludf.DUMMYFUNCTION("""COMPUTED_VALUE"""),"Year Round")</f>
        <v>Year Round</v>
      </c>
      <c r="AX64" s="292" t="str">
        <f>IFERROR(__xludf.DUMMYFUNCTION("""COMPUTED_VALUE"""),"Italian")</f>
        <v>Italian</v>
      </c>
      <c r="AY64" s="292"/>
      <c r="AZ64" s="292" t="str">
        <f>IFERROR(__xludf.DUMMYFUNCTION("""COMPUTED_VALUE"""),"2 CT")</f>
        <v>2 CT</v>
      </c>
      <c r="BA64" s="292" t="b">
        <f>IFERROR(__xludf.DUMMYFUNCTION("""COMPUTED_VALUE"""),FALSE)</f>
        <v>0</v>
      </c>
      <c r="BB64" s="342">
        <f>IFERROR(__xludf.DUMMYFUNCTION("""COMPUTED_VALUE"""),2.7)</f>
        <v>2.7</v>
      </c>
      <c r="BC64" s="342">
        <f>IFERROR(__xludf.DUMMYFUNCTION("""COMPUTED_VALUE"""),1.17)</f>
        <v>1.17</v>
      </c>
      <c r="BD64" s="342">
        <f>IFERROR(__xludf.DUMMYFUNCTION("""COMPUTED_VALUE"""),0.36)</f>
        <v>0.36</v>
      </c>
      <c r="BE64" s="342">
        <f>IFERROR(__xludf.DUMMYFUNCTION("""COMPUTED_VALUE"""),0.89)</f>
        <v>0.89</v>
      </c>
      <c r="BF64" s="296" t="str">
        <f>IFERROR(__xludf.DUMMYFUNCTION("""COMPUTED_VALUE"""),"#REF!")</f>
        <v>#REF!</v>
      </c>
      <c r="BG64" s="296" t="str">
        <f>IFERROR(__xludf.DUMMYFUNCTION("""COMPUTED_VALUE"""),"#REF!")</f>
        <v>#REF!</v>
      </c>
      <c r="BH64" s="296" t="str">
        <f>IFERROR(__xludf.DUMMYFUNCTION("""COMPUTED_VALUE"""),"#REF!")</f>
        <v>#REF!</v>
      </c>
      <c r="BI64" s="295">
        <f>IFERROR(__xludf.DUMMYFUNCTION("""COMPUTED_VALUE"""),184.0)</f>
        <v>184</v>
      </c>
      <c r="BJ64" s="295" t="str">
        <f>IFERROR(__xludf.DUMMYFUNCTION("""COMPUTED_VALUE"""),"FALSE")</f>
        <v>FALSE</v>
      </c>
      <c r="BK64" s="346">
        <f>IFERROR(__xludf.DUMMYFUNCTION("""COMPUTED_VALUE"""),2374.0)</f>
        <v>2374</v>
      </c>
      <c r="BL64" s="292" t="str">
        <f>IFERROR(__xludf.DUMMYFUNCTION("""COMPUTED_VALUE"""),"US")</f>
        <v>US</v>
      </c>
      <c r="BM64" s="292" t="str">
        <f>IFERROR(__xludf.DUMMYFUNCTION("""COMPUTED_VALUE"""),"Stimlad kyckling med rosmarin och tomat ")</f>
        <v>Stimlad kyckling med rosmarin och tomat </v>
      </c>
      <c r="BN64" s="292"/>
      <c r="BO64" s="292"/>
      <c r="BP64" s="292"/>
      <c r="BQ64" s="292" t="str">
        <f>IFERROR(__xludf.DUMMYFUNCTION("""COMPUTED_VALUE"""),"Active")</f>
        <v>Active</v>
      </c>
      <c r="BR64" s="292" t="b">
        <f>IFERROR(__xludf.DUMMYFUNCTION("""COMPUTED_VALUE"""),FALSE)</f>
        <v>0</v>
      </c>
      <c r="BS64" s="292" t="b">
        <f>IFERROR(__xludf.DUMMYFUNCTION("""COMPUTED_VALUE"""),FALSE)</f>
        <v>0</v>
      </c>
      <c r="BT64" s="345">
        <f>IFERROR(__xludf.DUMMYFUNCTION("""COMPUTED_VALUE"""),571.0)</f>
        <v>571</v>
      </c>
      <c r="BU64" s="345">
        <f>IFERROR(__xludf.DUMMYFUNCTION("""COMPUTED_VALUE"""),137.3)</f>
        <v>137.3</v>
      </c>
      <c r="BV64" s="344">
        <f>IFERROR(__xludf.DUMMYFUNCTION("""COMPUTED_VALUE"""),9.9)</f>
        <v>9.9</v>
      </c>
      <c r="BW64" s="344">
        <f>IFERROR(__xludf.DUMMYFUNCTION("""COMPUTED_VALUE"""),5.5)</f>
        <v>5.5</v>
      </c>
    </row>
    <row r="65">
      <c r="A65" s="292" t="str">
        <f>IFERROR(__xludf.DUMMYFUNCTION("""COMPUTED_VALUE"""),"FE0516A")</f>
        <v>FE0516A</v>
      </c>
      <c r="B65" s="292" t="str">
        <f>IFERROR(__xludf.DUMMYFUNCTION("""COMPUTED_VALUE"""),"CON-40-143733-4")</f>
        <v>CON-40-143733-4</v>
      </c>
      <c r="C65" s="292" t="str">
        <f>IFERROR(__xludf.DUMMYFUNCTION("""COMPUTED_VALUE"""),"CON-00-147846-2")</f>
        <v>CON-00-147846-2</v>
      </c>
      <c r="D65" s="292" t="str">
        <f>IFERROR(__xludf.DUMMYFUNCTION("""COMPUTED_VALUE"""),"CON-00-136721-3")</f>
        <v>CON-00-136721-3</v>
      </c>
      <c r="E65" s="292" t="str">
        <f>IFERROR(__xludf.DUMMYFUNCTION("""COMPUTED_VALUE"""),"Sun-dried tomato trottole")</f>
        <v>Sun-dried tomato trottole</v>
      </c>
      <c r="F65" s="292" t="str">
        <f>IFERROR(__xludf.DUMMYFUNCTION("""COMPUTED_VALUE"""),"with cream, garlic spinach and courgette")</f>
        <v>with cream, garlic spinach and courgette</v>
      </c>
      <c r="G65" s="292" t="str">
        <f>IFERROR(__xludf.DUMMYFUNCTION("""COMPUTED_VALUE"""),"Trottole in zongedroogde tomatensaus")</f>
        <v>Trottole in zongedroogde tomatensaus</v>
      </c>
      <c r="H65" s="292" t="str">
        <f>IFERROR(__xludf.DUMMYFUNCTION("""COMPUTED_VALUE"""),"met room, knoflook-spinazie en courgette ")</f>
        <v>met room, knoflook-spinazie en courgette </v>
      </c>
      <c r="I65" s="292" t="str">
        <f>IFERROR(__xludf.DUMMYFUNCTION("""COMPUTED_VALUE"""),"Trottole i soltørret tomatsauce ")</f>
        <v>Trottole i soltørret tomatsauce </v>
      </c>
      <c r="J65" s="292" t="str">
        <f>IFERROR(__xludf.DUMMYFUNCTION("""COMPUTED_VALUE"""),"Trottole mit getrockneten Tomaten")</f>
        <v>Trottole mit getrockneten Tomaten</v>
      </c>
      <c r="K65" s="292">
        <f>IFERROR(__xludf.DUMMYFUNCTION("""COMPUTED_VALUE"""),565111.0)</f>
        <v>565111</v>
      </c>
      <c r="L65" s="292"/>
      <c r="M65" s="292" t="str">
        <f>IFERROR(__xludf.DUMMYFUNCTION("""COMPUTED_VALUE"""),"FA-NL Trottole in zongedroogde tomatensaus (FE0516)")</f>
        <v>FA-NL Trottole in zongedroogde tomatensaus (FE0516)</v>
      </c>
      <c r="N65" s="292" t="str">
        <f>IFERROR(__xludf.DUMMYFUNCTION("""COMPUTED_VALUE"""),"FA-NO Trottole i soltørret tomatsauce (FE0516)")</f>
        <v>FA-NO Trottole i soltørret tomatsauce (FE0516)</v>
      </c>
      <c r="O65" s="292" t="str">
        <f>IFERROR(__xludf.DUMMYFUNCTION("""COMPUTED_VALUE"""),"FA-DE Trottole in einer Sauce aus sonnengetrockneten Tomaten (FE0516)")</f>
        <v>FA-DE Trottole in einer Sauce aus sonnengetrockneten Tomaten (FE0516)</v>
      </c>
      <c r="P65" s="292" t="str">
        <f>IFERROR(__xludf.DUMMYFUNCTION("""COMPUTED_VALUE"""),"Active")</f>
        <v>Active</v>
      </c>
      <c r="Q65" s="292"/>
      <c r="R65" s="342">
        <f>IFERROR(__xludf.DUMMYFUNCTION("""COMPUTED_VALUE"""),4.12)</f>
        <v>4.12</v>
      </c>
      <c r="S65" s="292"/>
      <c r="T65" s="292"/>
      <c r="U65" s="292"/>
      <c r="V65" s="292"/>
      <c r="W65" s="292" t="b">
        <f>IFERROR(__xludf.DUMMYFUNCTION("""COMPUTED_VALUE"""),TRUE)</f>
        <v>1</v>
      </c>
      <c r="X65" s="345">
        <f>IFERROR(__xludf.DUMMYFUNCTION("""COMPUTED_VALUE"""),434.0)</f>
        <v>434</v>
      </c>
      <c r="Y65" s="344">
        <f>IFERROR(__xludf.DUMMYFUNCTION("""COMPUTED_VALUE"""),599.0)</f>
        <v>599</v>
      </c>
      <c r="Z65" s="343">
        <f>IFERROR(__xludf.DUMMYFUNCTION("""COMPUTED_VALUE"""),27.8)</f>
        <v>27.8</v>
      </c>
      <c r="AA65" s="344">
        <f>IFERROR(__xludf.DUMMYFUNCTION("""COMPUTED_VALUE"""),10.0)</f>
        <v>10</v>
      </c>
      <c r="AB65" s="344">
        <f>IFERROR(__xludf.DUMMYFUNCTION("""COMPUTED_VALUE"""),67.3)</f>
        <v>67.3</v>
      </c>
      <c r="AC65" s="344">
        <f>IFERROR(__xludf.DUMMYFUNCTION("""COMPUTED_VALUE"""),7.8)</f>
        <v>7.8</v>
      </c>
      <c r="AD65" s="344">
        <f>IFERROR(__xludf.DUMMYFUNCTION("""COMPUTED_VALUE"""),5.6)</f>
        <v>5.6</v>
      </c>
      <c r="AE65" s="343">
        <f>IFERROR(__xludf.DUMMYFUNCTION("""COMPUTED_VALUE"""),16.1)</f>
        <v>16.1</v>
      </c>
      <c r="AF65" s="343">
        <f>IFERROR(__xludf.DUMMYFUNCTION("""COMPUTED_VALUE"""),1.87)</f>
        <v>1.87</v>
      </c>
      <c r="AG65" s="292" t="b">
        <f>IFERROR(__xludf.DUMMYFUNCTION("""COMPUTED_VALUE"""),FALSE)</f>
        <v>0</v>
      </c>
      <c r="AH65" s="292" t="b">
        <f>IFERROR(__xludf.DUMMYFUNCTION("""COMPUTED_VALUE"""),FALSE)</f>
        <v>0</v>
      </c>
      <c r="AI65" s="292" t="b">
        <f>IFERROR(__xludf.DUMMYFUNCTION("""COMPUTED_VALUE"""),FALSE)</f>
        <v>0</v>
      </c>
      <c r="AJ65" s="292" t="b">
        <f>IFERROR(__xludf.DUMMYFUNCTION("""COMPUTED_VALUE"""),FALSE)</f>
        <v>0</v>
      </c>
      <c r="AK65" s="292" t="b">
        <f>IFERROR(__xludf.DUMMYFUNCTION("""COMPUTED_VALUE"""),TRUE)</f>
        <v>1</v>
      </c>
      <c r="AL65" s="292" t="b">
        <f>IFERROR(__xludf.DUMMYFUNCTION("""COMPUTED_VALUE"""),FALSE)</f>
        <v>0</v>
      </c>
      <c r="AM65" s="292" t="b">
        <f>IFERROR(__xludf.DUMMYFUNCTION("""COMPUTED_VALUE"""),FALSE)</f>
        <v>0</v>
      </c>
      <c r="AN65" s="292" t="b">
        <f>IFERROR(__xludf.DUMMYFUNCTION("""COMPUTED_VALUE"""),FALSE)</f>
        <v>0</v>
      </c>
      <c r="AO65" s="292" t="str">
        <f>IFERROR(__xludf.DUMMYFUNCTION("""COMPUTED_VALUE"""),"FALSE")</f>
        <v>FALSE</v>
      </c>
      <c r="AP65" s="292" t="str">
        <f>IFERROR(__xludf.DUMMYFUNCTION("""COMPUTED_VALUE"""),"Vegetarian")</f>
        <v>Vegetarian</v>
      </c>
      <c r="AQ65" s="292" t="str">
        <f>IFERROR(__xludf.DUMMYFUNCTION("""COMPUTED_VALUE"""),"Vegetarian")</f>
        <v>Vegetarian</v>
      </c>
      <c r="AR65" s="292" t="str">
        <f>IFERROR(__xludf.DUMMYFUNCTION("""COMPUTED_VALUE"""),"Pasta")</f>
        <v>Pasta</v>
      </c>
      <c r="AS65" s="292" t="str">
        <f>IFERROR(__xludf.DUMMYFUNCTION("""COMPUTED_VALUE"""),"Pasta")</f>
        <v>Pasta</v>
      </c>
      <c r="AT65" s="292" t="str">
        <f>IFERROR(__xludf.DUMMYFUNCTION("""COMPUTED_VALUE"""),"Zucchini Diced")</f>
        <v>Zucchini Diced</v>
      </c>
      <c r="AU65" s="292" t="str">
        <f>IFERROR(__xludf.DUMMYFUNCTION("""COMPUTED_VALUE"""),"Spinach")</f>
        <v>Spinach</v>
      </c>
      <c r="AV65" s="292" t="str">
        <f>IFERROR(__xludf.DUMMYFUNCTION("""COMPUTED_VALUE"""),"Tomato Based Sauce")</f>
        <v>Tomato Based Sauce</v>
      </c>
      <c r="AW65" s="292" t="str">
        <f>IFERROR(__xludf.DUMMYFUNCTION("""COMPUTED_VALUE"""),"Year Round")</f>
        <v>Year Round</v>
      </c>
      <c r="AX65" s="292" t="str">
        <f>IFERROR(__xludf.DUMMYFUNCTION("""COMPUTED_VALUE"""),"Italian")</f>
        <v>Italian</v>
      </c>
      <c r="AY65" s="292"/>
      <c r="AZ65" s="292" t="str">
        <f>IFERROR(__xludf.DUMMYFUNCTION("""COMPUTED_VALUE"""),"2 CT")</f>
        <v>2 CT</v>
      </c>
      <c r="BA65" s="292" t="b">
        <f>IFERROR(__xludf.DUMMYFUNCTION("""COMPUTED_VALUE"""),FALSE)</f>
        <v>0</v>
      </c>
      <c r="BB65" s="342">
        <f>IFERROR(__xludf.DUMMYFUNCTION("""COMPUTED_VALUE"""),1.72)</f>
        <v>1.72</v>
      </c>
      <c r="BC65" s="342">
        <f>IFERROR(__xludf.DUMMYFUNCTION("""COMPUTED_VALUE"""),1.15)</f>
        <v>1.15</v>
      </c>
      <c r="BD65" s="342">
        <f>IFERROR(__xludf.DUMMYFUNCTION("""COMPUTED_VALUE"""),0.36)</f>
        <v>0.36</v>
      </c>
      <c r="BE65" s="342">
        <f>IFERROR(__xludf.DUMMYFUNCTION("""COMPUTED_VALUE"""),0.89)</f>
        <v>0.89</v>
      </c>
      <c r="BF65" s="296">
        <f>IFERROR(__xludf.DUMMYFUNCTION("""COMPUTED_VALUE"""),2.8737038432160382)</f>
        <v>2.873703843</v>
      </c>
      <c r="BG65" s="296">
        <f>IFERROR(__xludf.DUMMYFUNCTION("""COMPUTED_VALUE"""),3.3529411764705883)</f>
        <v>3.352941176</v>
      </c>
      <c r="BH65" s="296">
        <f>IFERROR(__xludf.DUMMYFUNCTION("""COMPUTED_VALUE"""),2.7857142857142856)</f>
        <v>2.785714286</v>
      </c>
      <c r="BI65" s="295">
        <f>IFERROR(__xludf.DUMMYFUNCTION("""COMPUTED_VALUE"""),234.0)</f>
        <v>234</v>
      </c>
      <c r="BJ65" s="295" t="str">
        <f>IFERROR(__xludf.DUMMYFUNCTION("""COMPUTED_VALUE"""),"FALSE")</f>
        <v>FALSE</v>
      </c>
      <c r="BK65" s="346">
        <f>IFERROR(__xludf.DUMMYFUNCTION("""COMPUTED_VALUE"""),2504.0)</f>
        <v>2504</v>
      </c>
      <c r="BL65" s="292" t="str">
        <f>IFERROR(__xludf.DUMMYFUNCTION("""COMPUTED_VALUE"""),"Frankenstein")</f>
        <v>Frankenstein</v>
      </c>
      <c r="BM65" s="292" t="str">
        <f>IFERROR(__xludf.DUMMYFUNCTION("""COMPUTED_VALUE"""),"Trottole i sås på soltorkade tomater")</f>
        <v>Trottole i sås på soltorkade tomater</v>
      </c>
      <c r="BN65" s="343">
        <f>IFERROR(__xludf.DUMMYFUNCTION("""COMPUTED_VALUE"""),2.5)</f>
        <v>2.5</v>
      </c>
      <c r="BO65" s="343">
        <f>IFERROR(__xludf.DUMMYFUNCTION("""COMPUTED_VALUE"""),2.6)</f>
        <v>2.6</v>
      </c>
      <c r="BP65" s="292"/>
      <c r="BQ65" s="292" t="str">
        <f>IFERROR(__xludf.DUMMYFUNCTION("""COMPUTED_VALUE"""),"Active")</f>
        <v>Active</v>
      </c>
      <c r="BR65" s="292" t="b">
        <f>IFERROR(__xludf.DUMMYFUNCTION("""COMPUTED_VALUE"""),FALSE)</f>
        <v>0</v>
      </c>
      <c r="BS65" s="292" t="b">
        <f>IFERROR(__xludf.DUMMYFUNCTION("""COMPUTED_VALUE"""),FALSE)</f>
        <v>0</v>
      </c>
      <c r="BT65" s="345">
        <f>IFERROR(__xludf.DUMMYFUNCTION("""COMPUTED_VALUE"""),577.0)</f>
        <v>577</v>
      </c>
      <c r="BU65" s="345">
        <f>IFERROR(__xludf.DUMMYFUNCTION("""COMPUTED_VALUE"""),138.0)</f>
        <v>138</v>
      </c>
      <c r="BV65" s="344">
        <f>IFERROR(__xludf.DUMMYFUNCTION("""COMPUTED_VALUE"""),6.4)</f>
        <v>6.4</v>
      </c>
      <c r="BW65" s="344">
        <f>IFERROR(__xludf.DUMMYFUNCTION("""COMPUTED_VALUE"""),2.3)</f>
        <v>2.3</v>
      </c>
    </row>
    <row r="66">
      <c r="A66" s="292" t="str">
        <f>IFERROR(__xludf.DUMMYFUNCTION("""COMPUTED_VALUE"""),"FE0517A")</f>
        <v>FE0517A</v>
      </c>
      <c r="B66" s="292" t="str">
        <f>IFERROR(__xludf.DUMMYFUNCTION("""COMPUTED_VALUE"""),"CON-40-143672-4")</f>
        <v>CON-40-143672-4</v>
      </c>
      <c r="C66" s="292" t="str">
        <f>IFERROR(__xludf.DUMMYFUNCTION("""COMPUTED_VALUE"""),"CON-00-147847-2")</f>
        <v>CON-00-147847-2</v>
      </c>
      <c r="D66" s="292" t="str">
        <f>IFERROR(__xludf.DUMMYFUNCTION("""COMPUTED_VALUE"""),"CON-00-136682-3")</f>
        <v>CON-00-136682-3</v>
      </c>
      <c r="E66" s="292" t="str">
        <f>IFERROR(__xludf.DUMMYFUNCTION("""COMPUTED_VALUE"""),"Apricot-mustard chicken ")</f>
        <v>Apricot-mustard chicken </v>
      </c>
      <c r="F66" s="292" t="str">
        <f>IFERROR(__xludf.DUMMYFUNCTION("""COMPUTED_VALUE"""),"with celeriac mash and green beans")</f>
        <v>with celeriac mash and green beans</v>
      </c>
      <c r="G66" s="292" t="str">
        <f>IFERROR(__xludf.DUMMYFUNCTION("""COMPUTED_VALUE"""),"Abrikoos-mosterd kip ")</f>
        <v>Abrikoos-mosterd kip </v>
      </c>
      <c r="H66" s="292" t="str">
        <f>IFERROR(__xludf.DUMMYFUNCTION("""COMPUTED_VALUE"""),"met knolselderpuree en sperziebonen")</f>
        <v>met knolselderpuree en sperziebonen</v>
      </c>
      <c r="I66" s="292" t="str">
        <f>IFERROR(__xludf.DUMMYFUNCTION("""COMPUTED_VALUE"""),"Abrikos-sennep kylling")</f>
        <v>Abrikos-sennep kylling</v>
      </c>
      <c r="J66" s="292" t="str">
        <f>IFERROR(__xludf.DUMMYFUNCTION("""COMPUTED_VALUE"""),"Aprikosen-Senf-Hähnchen")</f>
        <v>Aprikosen-Senf-Hähnchen</v>
      </c>
      <c r="K66" s="292">
        <f>IFERROR(__xludf.DUMMYFUNCTION("""COMPUTED_VALUE"""),565074.0)</f>
        <v>565074</v>
      </c>
      <c r="L66" s="292" t="str">
        <f>IFERROR(__xludf.DUMMYFUNCTION("""COMPUTED_VALUE"""),"HF Abrikozen mosterd kip")</f>
        <v>HF Abrikozen mosterd kip</v>
      </c>
      <c r="M66" s="292" t="str">
        <f>IFERROR(__xludf.DUMMYFUNCTION("""COMPUTED_VALUE"""),"FA-NL Abrikoos-mosterd kip (FE0517)")</f>
        <v>FA-NL Abrikoos-mosterd kip (FE0517)</v>
      </c>
      <c r="N66" s="292" t="str">
        <f>IFERROR(__xludf.DUMMYFUNCTION("""COMPUTED_VALUE"""),"FA-NO Abrikos-sennep kylling (FE0517)")</f>
        <v>FA-NO Abrikos-sennep kylling (FE0517)</v>
      </c>
      <c r="O66" s="292" t="str">
        <f>IFERROR(__xludf.DUMMYFUNCTION("""COMPUTED_VALUE"""),"FA-DE Aprikosen-Senf-Hähnchen (FE0517)")</f>
        <v>FA-DE Aprikosen-Senf-Hähnchen (FE0517)</v>
      </c>
      <c r="P66" s="292" t="str">
        <f>IFERROR(__xludf.DUMMYFUNCTION("""COMPUTED_VALUE"""),"Graveyard")</f>
        <v>Graveyard</v>
      </c>
      <c r="Q66" s="292"/>
      <c r="R66" s="342">
        <f>IFERROR(__xludf.DUMMYFUNCTION("""COMPUTED_VALUE"""),3.96)</f>
        <v>3.96</v>
      </c>
      <c r="S66" s="292"/>
      <c r="T66" s="292"/>
      <c r="U66" s="292"/>
      <c r="V66" s="292"/>
      <c r="W66" s="292" t="b">
        <f>IFERROR(__xludf.DUMMYFUNCTION("""COMPUTED_VALUE"""),TRUE)</f>
        <v>1</v>
      </c>
      <c r="X66" s="345">
        <f>IFERROR(__xludf.DUMMYFUNCTION("""COMPUTED_VALUE"""),414.0)</f>
        <v>414</v>
      </c>
      <c r="Y66" s="344">
        <f>IFERROR(__xludf.DUMMYFUNCTION("""COMPUTED_VALUE"""),447.0)</f>
        <v>447</v>
      </c>
      <c r="Z66" s="343">
        <f>IFERROR(__xludf.DUMMYFUNCTION("""COMPUTED_VALUE"""),22.2)</f>
        <v>22.2</v>
      </c>
      <c r="AA66" s="344">
        <f>IFERROR(__xludf.DUMMYFUNCTION("""COMPUTED_VALUE"""),6.1)</f>
        <v>6.1</v>
      </c>
      <c r="AB66" s="344">
        <f>IFERROR(__xludf.DUMMYFUNCTION("""COMPUTED_VALUE"""),25.6)</f>
        <v>25.6</v>
      </c>
      <c r="AC66" s="344">
        <f>IFERROR(__xludf.DUMMYFUNCTION("""COMPUTED_VALUE"""),11.1)</f>
        <v>11.1</v>
      </c>
      <c r="AD66" s="344">
        <f>IFERROR(__xludf.DUMMYFUNCTION("""COMPUTED_VALUE"""),10.8)</f>
        <v>10.8</v>
      </c>
      <c r="AE66" s="343">
        <f>IFERROR(__xludf.DUMMYFUNCTION("""COMPUTED_VALUE"""),30.2)</f>
        <v>30.2</v>
      </c>
      <c r="AF66" s="343">
        <f>IFERROR(__xludf.DUMMYFUNCTION("""COMPUTED_VALUE"""),1.99)</f>
        <v>1.99</v>
      </c>
      <c r="AG66" s="292" t="b">
        <f>IFERROR(__xludf.DUMMYFUNCTION("""COMPUTED_VALUE"""),FALSE)</f>
        <v>0</v>
      </c>
      <c r="AH66" s="292" t="b">
        <f>IFERROR(__xludf.DUMMYFUNCTION("""COMPUTED_VALUE"""),FALSE)</f>
        <v>0</v>
      </c>
      <c r="AI66" s="292" t="b">
        <f>IFERROR(__xludf.DUMMYFUNCTION("""COMPUTED_VALUE"""),TRUE)</f>
        <v>1</v>
      </c>
      <c r="AJ66" s="292" t="b">
        <f>IFERROR(__xludf.DUMMYFUNCTION("""COMPUTED_VALUE"""),FALSE)</f>
        <v>0</v>
      </c>
      <c r="AK66" s="292" t="b">
        <f>IFERROR(__xludf.DUMMYFUNCTION("""COMPUTED_VALUE"""),FALSE)</f>
        <v>0</v>
      </c>
      <c r="AL66" s="292" t="b">
        <f>IFERROR(__xludf.DUMMYFUNCTION("""COMPUTED_VALUE"""),FALSE)</f>
        <v>0</v>
      </c>
      <c r="AM66" s="292" t="b">
        <f>IFERROR(__xludf.DUMMYFUNCTION("""COMPUTED_VALUE"""),TRUE)</f>
        <v>1</v>
      </c>
      <c r="AN66" s="292" t="b">
        <f>IFERROR(__xludf.DUMMYFUNCTION("""COMPUTED_VALUE"""),FALSE)</f>
        <v>0</v>
      </c>
      <c r="AO66" s="292" t="str">
        <f>IFERROR(__xludf.DUMMYFUNCTION("""COMPUTED_VALUE"""),"TRUE")</f>
        <v>TRUE</v>
      </c>
      <c r="AP66" s="292" t="str">
        <f>IFERROR(__xludf.DUMMYFUNCTION("""COMPUTED_VALUE"""),"Shredded chicken")</f>
        <v>Shredded chicken</v>
      </c>
      <c r="AQ66" s="292" t="str">
        <f>IFERROR(__xludf.DUMMYFUNCTION("""COMPUTED_VALUE"""),"Chicken")</f>
        <v>Chicken</v>
      </c>
      <c r="AR66" s="292" t="str">
        <f>IFERROR(__xludf.DUMMYFUNCTION("""COMPUTED_VALUE"""),"Shredded")</f>
        <v>Shredded</v>
      </c>
      <c r="AS66" s="292" t="str">
        <f>IFERROR(__xludf.DUMMYFUNCTION("""COMPUTED_VALUE"""),"Potato Mash")</f>
        <v>Potato Mash</v>
      </c>
      <c r="AT66" s="292" t="str">
        <f>IFERROR(__xludf.DUMMYFUNCTION("""COMPUTED_VALUE"""),"Green Beans")</f>
        <v>Green Beans</v>
      </c>
      <c r="AU66" s="292" t="str">
        <f>IFERROR(__xludf.DUMMYFUNCTION("""COMPUTED_VALUE"""),"Other sauce")</f>
        <v>Other sauce</v>
      </c>
      <c r="AV66" s="292"/>
      <c r="AW66" s="292" t="str">
        <f>IFERROR(__xludf.DUMMYFUNCTION("""COMPUTED_VALUE"""),"Year Round")</f>
        <v>Year Round</v>
      </c>
      <c r="AX66" s="292" t="str">
        <f>IFERROR(__xludf.DUMMYFUNCTION("""COMPUTED_VALUE"""),"American")</f>
        <v>American</v>
      </c>
      <c r="AY66" s="292"/>
      <c r="AZ66" s="292" t="str">
        <f>IFERROR(__xludf.DUMMYFUNCTION("""COMPUTED_VALUE"""),"2 CT")</f>
        <v>2 CT</v>
      </c>
      <c r="BA66" s="292" t="b">
        <f>IFERROR(__xludf.DUMMYFUNCTION("""COMPUTED_VALUE"""),FALSE)</f>
        <v>0</v>
      </c>
      <c r="BB66" s="342">
        <f>IFERROR(__xludf.DUMMYFUNCTION("""COMPUTED_VALUE"""),1.58)</f>
        <v>1.58</v>
      </c>
      <c r="BC66" s="342">
        <f>IFERROR(__xludf.DUMMYFUNCTION("""COMPUTED_VALUE"""),1.13)</f>
        <v>1.13</v>
      </c>
      <c r="BD66" s="342">
        <f>IFERROR(__xludf.DUMMYFUNCTION("""COMPUTED_VALUE"""),0.36)</f>
        <v>0.36</v>
      </c>
      <c r="BE66" s="342">
        <f>IFERROR(__xludf.DUMMYFUNCTION("""COMPUTED_VALUE"""),0.89)</f>
        <v>0.89</v>
      </c>
      <c r="BF66" s="296" t="str">
        <f>IFERROR(__xludf.DUMMYFUNCTION("""COMPUTED_VALUE"""),"#REF!")</f>
        <v>#REF!</v>
      </c>
      <c r="BG66" s="296" t="str">
        <f>IFERROR(__xludf.DUMMYFUNCTION("""COMPUTED_VALUE"""),"#REF!")</f>
        <v>#REF!</v>
      </c>
      <c r="BH66" s="296" t="str">
        <f>IFERROR(__xludf.DUMMYFUNCTION("""COMPUTED_VALUE"""),"#REF!")</f>
        <v>#REF!</v>
      </c>
      <c r="BI66" s="295">
        <f>IFERROR(__xludf.DUMMYFUNCTION("""COMPUTED_VALUE"""),162.0)</f>
        <v>162</v>
      </c>
      <c r="BJ66" s="295" t="str">
        <f>IFERROR(__xludf.DUMMYFUNCTION("""COMPUTED_VALUE"""),"FALSE")</f>
        <v>FALSE</v>
      </c>
      <c r="BK66" s="346">
        <f>IFERROR(__xludf.DUMMYFUNCTION("""COMPUTED_VALUE"""),1867.0)</f>
        <v>1867</v>
      </c>
      <c r="BL66" s="292" t="str">
        <f>IFERROR(__xludf.DUMMYFUNCTION("""COMPUTED_VALUE"""),"US")</f>
        <v>US</v>
      </c>
      <c r="BM66" s="292" t="str">
        <f>IFERROR(__xludf.DUMMYFUNCTION("""COMPUTED_VALUE"""),"Kyckling i aprikos- och senapssås")</f>
        <v>Kyckling i aprikos- och senapssås</v>
      </c>
      <c r="BN66" s="292"/>
      <c r="BO66" s="292"/>
      <c r="BP66" s="292"/>
      <c r="BQ66" s="292" t="str">
        <f>IFERROR(__xludf.DUMMYFUNCTION("""COMPUTED_VALUE"""),"Graveyard")</f>
        <v>Graveyard</v>
      </c>
      <c r="BR66" s="292" t="b">
        <f>IFERROR(__xludf.DUMMYFUNCTION("""COMPUTED_VALUE"""),FALSE)</f>
        <v>0</v>
      </c>
      <c r="BS66" s="292" t="b">
        <f>IFERROR(__xludf.DUMMYFUNCTION("""COMPUTED_VALUE"""),FALSE)</f>
        <v>0</v>
      </c>
      <c r="BT66" s="345">
        <f>IFERROR(__xludf.DUMMYFUNCTION("""COMPUTED_VALUE"""),451.0)</f>
        <v>451</v>
      </c>
      <c r="BU66" s="345">
        <f>IFERROR(__xludf.DUMMYFUNCTION("""COMPUTED_VALUE"""),108.06)</f>
        <v>108.06</v>
      </c>
      <c r="BV66" s="344">
        <f>IFERROR(__xludf.DUMMYFUNCTION("""COMPUTED_VALUE"""),5.35)</f>
        <v>5.35</v>
      </c>
      <c r="BW66" s="344">
        <f>IFERROR(__xludf.DUMMYFUNCTION("""COMPUTED_VALUE"""),1.47)</f>
        <v>1.47</v>
      </c>
    </row>
    <row r="67">
      <c r="A67" s="292" t="str">
        <f>IFERROR(__xludf.DUMMYFUNCTION("""COMPUTED_VALUE"""),"FE0565C")</f>
        <v>FE0565C</v>
      </c>
      <c r="B67" s="292" t="str">
        <f>IFERROR(__xludf.DUMMYFUNCTION("""COMPUTED_VALUE"""),"CON-40-143745-4")</f>
        <v>CON-40-143745-4</v>
      </c>
      <c r="C67" s="292" t="str">
        <f>IFERROR(__xludf.DUMMYFUNCTION("""COMPUTED_VALUE"""),"CON-00-147849-2")</f>
        <v>CON-00-147849-2</v>
      </c>
      <c r="D67" s="292" t="str">
        <f>IFERROR(__xludf.DUMMYFUNCTION("""COMPUTED_VALUE"""),"CON-00-136655-3")</f>
        <v>CON-00-136655-3</v>
      </c>
      <c r="E67" s="292" t="str">
        <f>IFERROR(__xludf.DUMMYFUNCTION("""COMPUTED_VALUE"""),"Pork tenderloin with caramelized onion")</f>
        <v>Pork tenderloin with caramelized onion</v>
      </c>
      <c r="F67" s="292" t="str">
        <f>IFERROR(__xludf.DUMMYFUNCTION("""COMPUTED_VALUE"""),"with bacon, cauliflower puree and green beans in mushroom cream")</f>
        <v>with bacon, cauliflower puree and green beans in mushroom cream</v>
      </c>
      <c r="G67" s="341" t="str">
        <f>IFERROR(__xludf.DUMMYFUNCTION("""COMPUTED_VALUE"""),"Varkenshaas met gekaramelliseerde ui")</f>
        <v>Varkenshaas met gekaramelliseerde ui</v>
      </c>
      <c r="H67" s="292" t="str">
        <f>IFERROR(__xludf.DUMMYFUNCTION("""COMPUTED_VALUE"""),"met bacon, bloemkoolpuree en sperziebonen in champignoncrème")</f>
        <v>met bacon, bloemkoolpuree en sperziebonen in champignoncrème</v>
      </c>
      <c r="I67" s="292" t="str">
        <f>IFERROR(__xludf.DUMMYFUNCTION("""COMPUTED_VALUE"""),"Svinemørbrad med karamelliseret løg")</f>
        <v>Svinemørbrad med karamelliseret løg</v>
      </c>
      <c r="J67" s="292" t="str">
        <f>IFERROR(__xludf.DUMMYFUNCTION("""COMPUTED_VALUE"""),"Schweinefilet mit karamellisierten Zwiebeln")</f>
        <v>Schweinefilet mit karamellisierten Zwiebeln</v>
      </c>
      <c r="K67" s="292">
        <f>IFERROR(__xludf.DUMMYFUNCTION("""COMPUTED_VALUE"""),565061.0)</f>
        <v>565061</v>
      </c>
      <c r="L67" s="292" t="str">
        <f>IFERROR(__xludf.DUMMYFUNCTION("""COMPUTED_VALUE"""),"HF Varkenshaas met spek en ui 389g")</f>
        <v>HF Varkenshaas met spek en ui 389g</v>
      </c>
      <c r="M67" s="292" t="str">
        <f>IFERROR(__xludf.DUMMYFUNCTION("""COMPUTED_VALUE"""),"FA-NL Varkenshaas Met Gekaramelliseerde Ui (FE0565)")</f>
        <v>FA-NL Varkenshaas Met Gekaramelliseerde Ui (FE0565)</v>
      </c>
      <c r="N67" s="292" t="str">
        <f>IFERROR(__xludf.DUMMYFUNCTION("""COMPUTED_VALUE"""),"FA-NO Svinemørbrad med karamelliseret løg (FE0565)")</f>
        <v>FA-NO Svinemørbrad med karamelliseret løg (FE0565)</v>
      </c>
      <c r="O67" s="292" t="str">
        <f>IFERROR(__xludf.DUMMYFUNCTION("""COMPUTED_VALUE"""),"FA-DE Schweinefilet mit karamellisierten Zwiebeln (FE0565)")</f>
        <v>FA-DE Schweinefilet mit karamellisierten Zwiebeln (FE0565)</v>
      </c>
      <c r="P67" s="292" t="str">
        <f>IFERROR(__xludf.DUMMYFUNCTION("""COMPUTED_VALUE"""),"Graveyard")</f>
        <v>Graveyard</v>
      </c>
      <c r="Q67" s="292"/>
      <c r="R67" s="342">
        <f>IFERROR(__xludf.DUMMYFUNCTION("""COMPUTED_VALUE"""),5.83)</f>
        <v>5.83</v>
      </c>
      <c r="S67" s="292"/>
      <c r="T67" s="292"/>
      <c r="U67" s="292"/>
      <c r="V67" s="292"/>
      <c r="W67" s="292" t="b">
        <f>IFERROR(__xludf.DUMMYFUNCTION("""COMPUTED_VALUE"""),FALSE)</f>
        <v>0</v>
      </c>
      <c r="X67" s="345">
        <f>IFERROR(__xludf.DUMMYFUNCTION("""COMPUTED_VALUE"""),389.0)</f>
        <v>389</v>
      </c>
      <c r="Y67" s="344">
        <f>IFERROR(__xludf.DUMMYFUNCTION("""COMPUTED_VALUE"""),581.0)</f>
        <v>581</v>
      </c>
      <c r="Z67" s="343">
        <f>IFERROR(__xludf.DUMMYFUNCTION("""COMPUTED_VALUE"""),41.1)</f>
        <v>41.1</v>
      </c>
      <c r="AA67" s="344">
        <f>IFERROR(__xludf.DUMMYFUNCTION("""COMPUTED_VALUE"""),15.6)</f>
        <v>15.6</v>
      </c>
      <c r="AB67" s="344">
        <f>IFERROR(__xludf.DUMMYFUNCTION("""COMPUTED_VALUE"""),12.5)</f>
        <v>12.5</v>
      </c>
      <c r="AC67" s="344">
        <f>IFERROR(__xludf.DUMMYFUNCTION("""COMPUTED_VALUE"""),9.3)</f>
        <v>9.3</v>
      </c>
      <c r="AD67" s="344">
        <f>IFERROR(__xludf.DUMMYFUNCTION("""COMPUTED_VALUE"""),9.5)</f>
        <v>9.5</v>
      </c>
      <c r="AE67" s="343">
        <f>IFERROR(__xludf.DUMMYFUNCTION("""COMPUTED_VALUE"""),35.1)</f>
        <v>35.1</v>
      </c>
      <c r="AF67" s="343">
        <f>IFERROR(__xludf.DUMMYFUNCTION("""COMPUTED_VALUE"""),1.69)</f>
        <v>1.69</v>
      </c>
      <c r="AG67" s="292" t="b">
        <f>IFERROR(__xludf.DUMMYFUNCTION("""COMPUTED_VALUE"""),FALSE)</f>
        <v>0</v>
      </c>
      <c r="AH67" s="292" t="b">
        <f>IFERROR(__xludf.DUMMYFUNCTION("""COMPUTED_VALUE"""),TRUE)</f>
        <v>1</v>
      </c>
      <c r="AI67" s="292" t="b">
        <f>IFERROR(__xludf.DUMMYFUNCTION("""COMPUTED_VALUE"""),FALSE)</f>
        <v>0</v>
      </c>
      <c r="AJ67" s="292" t="b">
        <f>IFERROR(__xludf.DUMMYFUNCTION("""COMPUTED_VALUE"""),FALSE)</f>
        <v>0</v>
      </c>
      <c r="AK67" s="292" t="b">
        <f>IFERROR(__xludf.DUMMYFUNCTION("""COMPUTED_VALUE"""),FALSE)</f>
        <v>0</v>
      </c>
      <c r="AL67" s="292" t="b">
        <f>IFERROR(__xludf.DUMMYFUNCTION("""COMPUTED_VALUE"""),FALSE)</f>
        <v>0</v>
      </c>
      <c r="AM67" s="292" t="b">
        <f>IFERROR(__xludf.DUMMYFUNCTION("""COMPUTED_VALUE"""),TRUE)</f>
        <v>1</v>
      </c>
      <c r="AN67" s="292" t="b">
        <f>IFERROR(__xludf.DUMMYFUNCTION("""COMPUTED_VALUE"""),FALSE)</f>
        <v>0</v>
      </c>
      <c r="AO67" s="292" t="str">
        <f>IFERROR(__xludf.DUMMYFUNCTION("""COMPUTED_VALUE"""),"TRUE")</f>
        <v>TRUE</v>
      </c>
      <c r="AP67" s="292" t="str">
        <f>IFERROR(__xludf.DUMMYFUNCTION("""COMPUTED_VALUE"""),"Pork tenderloin")</f>
        <v>Pork tenderloin</v>
      </c>
      <c r="AQ67" s="292" t="str">
        <f>IFERROR(__xludf.DUMMYFUNCTION("""COMPUTED_VALUE"""),"Pork")</f>
        <v>Pork</v>
      </c>
      <c r="AR67" s="292" t="str">
        <f>IFERROR(__xludf.DUMMYFUNCTION("""COMPUTED_VALUE"""),"Tenderloin")</f>
        <v>Tenderloin</v>
      </c>
      <c r="AS67" s="292" t="str">
        <f>IFERROR(__xludf.DUMMYFUNCTION("""COMPUTED_VALUE"""),"Cauliflower Mash")</f>
        <v>Cauliflower Mash</v>
      </c>
      <c r="AT67" s="292" t="str">
        <f>IFERROR(__xludf.DUMMYFUNCTION("""COMPUTED_VALUE"""),"Green Beans")</f>
        <v>Green Beans</v>
      </c>
      <c r="AU67" s="292" t="str">
        <f>IFERROR(__xludf.DUMMYFUNCTION("""COMPUTED_VALUE"""),"Mushrooms")</f>
        <v>Mushrooms</v>
      </c>
      <c r="AV67" s="292" t="str">
        <f>IFERROR(__xludf.DUMMYFUNCTION("""COMPUTED_VALUE"""),"Caramelized Onions")</f>
        <v>Caramelized Onions</v>
      </c>
      <c r="AW67" s="292" t="str">
        <f>IFERROR(__xludf.DUMMYFUNCTION("""COMPUTED_VALUE"""),"Year Round")</f>
        <v>Year Round</v>
      </c>
      <c r="AX67" s="292" t="str">
        <f>IFERROR(__xludf.DUMMYFUNCTION("""COMPUTED_VALUE"""),"American")</f>
        <v>American</v>
      </c>
      <c r="AY67" s="292"/>
      <c r="AZ67" s="292" t="str">
        <f>IFERROR(__xludf.DUMMYFUNCTION("""COMPUTED_VALUE"""),"2 CT")</f>
        <v>2 CT</v>
      </c>
      <c r="BA67" s="292" t="b">
        <f>IFERROR(__xludf.DUMMYFUNCTION("""COMPUTED_VALUE"""),FALSE)</f>
        <v>0</v>
      </c>
      <c r="BB67" s="342">
        <f>IFERROR(__xludf.DUMMYFUNCTION("""COMPUTED_VALUE"""),3.62)</f>
        <v>3.62</v>
      </c>
      <c r="BC67" s="342">
        <f>IFERROR(__xludf.DUMMYFUNCTION("""COMPUTED_VALUE"""),1.0)</f>
        <v>1</v>
      </c>
      <c r="BD67" s="342">
        <f>IFERROR(__xludf.DUMMYFUNCTION("""COMPUTED_VALUE"""),0.362)</f>
        <v>0.362</v>
      </c>
      <c r="BE67" s="342">
        <f>IFERROR(__xludf.DUMMYFUNCTION("""COMPUTED_VALUE"""),0.89)</f>
        <v>0.89</v>
      </c>
      <c r="BF67" s="296" t="str">
        <f>IFERROR(__xludf.DUMMYFUNCTION("""COMPUTED_VALUE"""),"#REF!")</f>
        <v>#REF!</v>
      </c>
      <c r="BG67" s="296" t="str">
        <f>IFERROR(__xludf.DUMMYFUNCTION("""COMPUTED_VALUE"""),"#REF!")</f>
        <v>#REF!</v>
      </c>
      <c r="BH67" s="296" t="str">
        <f>IFERROR(__xludf.DUMMYFUNCTION("""COMPUTED_VALUE"""),"#REF!")</f>
        <v>#REF!</v>
      </c>
      <c r="BI67" s="295">
        <f>IFERROR(__xludf.DUMMYFUNCTION("""COMPUTED_VALUE"""),214.0)</f>
        <v>214</v>
      </c>
      <c r="BJ67" s="295" t="str">
        <f>IFERROR(__xludf.DUMMYFUNCTION("""COMPUTED_VALUE"""),"FALSE")</f>
        <v>FALSE</v>
      </c>
      <c r="BK67" s="346">
        <f>IFERROR(__xludf.DUMMYFUNCTION("""COMPUTED_VALUE"""),2413.0)</f>
        <v>2413</v>
      </c>
      <c r="BL67" s="292" t="str">
        <f>IFERROR(__xludf.DUMMYFUNCTION("""COMPUTED_VALUE"""),"US")</f>
        <v>US</v>
      </c>
      <c r="BM67" s="292" t="str">
        <f>IFERROR(__xludf.DUMMYFUNCTION("""COMPUTED_VALUE"""),"Fläskfilé med karamelliserad lök")</f>
        <v>Fläskfilé med karamelliserad lök</v>
      </c>
      <c r="BN67" s="292"/>
      <c r="BO67" s="292"/>
      <c r="BP67" s="292"/>
      <c r="BQ67" s="292" t="str">
        <f>IFERROR(__xludf.DUMMYFUNCTION("""COMPUTED_VALUE"""),"Graveyard")</f>
        <v>Graveyard</v>
      </c>
      <c r="BR67" s="292" t="b">
        <f>IFERROR(__xludf.DUMMYFUNCTION("""COMPUTED_VALUE"""),FALSE)</f>
        <v>0</v>
      </c>
      <c r="BS67" s="292" t="b">
        <f>IFERROR(__xludf.DUMMYFUNCTION("""COMPUTED_VALUE"""),FALSE)</f>
        <v>0</v>
      </c>
      <c r="BT67" s="345">
        <f>IFERROR(__xludf.DUMMYFUNCTION("""COMPUTED_VALUE"""),620.0)</f>
        <v>620</v>
      </c>
      <c r="BU67" s="345">
        <f>IFERROR(__xludf.DUMMYFUNCTION("""COMPUTED_VALUE"""),149.3)</f>
        <v>149.3</v>
      </c>
      <c r="BV67" s="344">
        <f>IFERROR(__xludf.DUMMYFUNCTION("""COMPUTED_VALUE"""),10.6)</f>
        <v>10.6</v>
      </c>
      <c r="BW67" s="344">
        <f>IFERROR(__xludf.DUMMYFUNCTION("""COMPUTED_VALUE"""),4.0)</f>
        <v>4</v>
      </c>
    </row>
    <row r="68">
      <c r="A68" s="292" t="str">
        <f>IFERROR(__xludf.DUMMYFUNCTION("""COMPUTED_VALUE"""),"FE0573A")</f>
        <v>FE0573A</v>
      </c>
      <c r="B68" s="292" t="str">
        <f>IFERROR(__xludf.DUMMYFUNCTION("""COMPUTED_VALUE"""),"CON-40-143653-4")</f>
        <v>CON-40-143653-4</v>
      </c>
      <c r="C68" s="292" t="str">
        <f>IFERROR(__xludf.DUMMYFUNCTION("""COMPUTED_VALUE"""),"CON-00-147850-2")</f>
        <v>CON-00-147850-2</v>
      </c>
      <c r="D68" s="292" t="str">
        <f>IFERROR(__xludf.DUMMYFUNCTION("""COMPUTED_VALUE"""),"CON-00-136621-3")</f>
        <v>CON-00-136621-3</v>
      </c>
      <c r="E68" s="292" t="str">
        <f>IFERROR(__xludf.DUMMYFUNCTION("""COMPUTED_VALUE"""),"Chili Garlic Pork Tenderloin")</f>
        <v>Chili Garlic Pork Tenderloin</v>
      </c>
      <c r="F68" s="292" t="str">
        <f>IFERROR(__xludf.DUMMYFUNCTION("""COMPUTED_VALUE"""),"with stir fried cabbage in peanut sauce with pepper, cauliflower, and broccoli")</f>
        <v>with stir fried cabbage in peanut sauce with pepper, cauliflower, and broccoli</v>
      </c>
      <c r="G68" s="292" t="str">
        <f>IFERROR(__xludf.DUMMYFUNCTION("""COMPUTED_VALUE"""),"Chili-knoflook varkenshaas")</f>
        <v>Chili-knoflook varkenshaas</v>
      </c>
      <c r="H68" s="292" t="str">
        <f>IFERROR(__xludf.DUMMYFUNCTION("""COMPUTED_VALUE"""),"met gewokte kool in pindasaus, paprika, bloemkool en broccoli")</f>
        <v>met gewokte kool in pindasaus, paprika, bloemkool en broccoli</v>
      </c>
      <c r="I68" s="292" t="str">
        <f>IFERROR(__xludf.DUMMYFUNCTION("""COMPUTED_VALUE"""),"Chili- og hvidløgsmarineret svinemørbrad")</f>
        <v>Chili- og hvidløgsmarineret svinemørbrad</v>
      </c>
      <c r="J68" s="292" t="str">
        <f>IFERROR(__xludf.DUMMYFUNCTION("""COMPUTED_VALUE"""),"Chili-Knoblauch-Schweinefilet")</f>
        <v>Chili-Knoblauch-Schweinefilet</v>
      </c>
      <c r="K68" s="292">
        <f>IFERROR(__xludf.DUMMYFUNCTION("""COMPUTED_VALUE"""),565067.0)</f>
        <v>565067</v>
      </c>
      <c r="L68" s="292" t="str">
        <f>IFERROR(__xludf.DUMMYFUNCTION("""COMPUTED_VALUE"""),"HF Chili-knoflook varkenshaas 356g")</f>
        <v>HF Chili-knoflook varkenshaas 356g</v>
      </c>
      <c r="M68" s="292" t="str">
        <f>IFERROR(__xludf.DUMMYFUNCTION("""COMPUTED_VALUE"""),"FA-NL Chili-knoflook Varkenshaas (FE0573)")</f>
        <v>FA-NL Chili-knoflook Varkenshaas (FE0573)</v>
      </c>
      <c r="N68" s="292" t="str">
        <f>IFERROR(__xludf.DUMMYFUNCTION("""COMPUTED_VALUE"""),"FA-NO Chili- og hvidløgsmarineret svinemørbrad (FE0573)")</f>
        <v>FA-NO Chili- og hvidløgsmarineret svinemørbrad (FE0573)</v>
      </c>
      <c r="O68" s="292" t="str">
        <f>IFERROR(__xludf.DUMMYFUNCTION("""COMPUTED_VALUE"""),"FA-DE Chili-Knoblauch-Schweinefilet (FE0573)")</f>
        <v>FA-DE Chili-Knoblauch-Schweinefilet (FE0573)</v>
      </c>
      <c r="P68" s="292" t="str">
        <f>IFERROR(__xludf.DUMMYFUNCTION("""COMPUTED_VALUE"""),"Graveyard")</f>
        <v>Graveyard</v>
      </c>
      <c r="Q68" s="292" t="str">
        <f>IFERROR(__xludf.DUMMYFUNCTION("""COMPUTED_VALUE"""),"in rework")</f>
        <v>in rework</v>
      </c>
      <c r="R68" s="342">
        <f>IFERROR(__xludf.DUMMYFUNCTION("""COMPUTED_VALUE"""),5.54)</f>
        <v>5.54</v>
      </c>
      <c r="S68" s="292"/>
      <c r="T68" s="292"/>
      <c r="U68" s="292"/>
      <c r="V68" s="292"/>
      <c r="W68" s="292" t="b">
        <f>IFERROR(__xludf.DUMMYFUNCTION("""COMPUTED_VALUE"""),FALSE)</f>
        <v>0</v>
      </c>
      <c r="X68" s="345">
        <f>IFERROR(__xludf.DUMMYFUNCTION("""COMPUTED_VALUE"""),356.0)</f>
        <v>356</v>
      </c>
      <c r="Y68" s="344">
        <f>IFERROR(__xludf.DUMMYFUNCTION("""COMPUTED_VALUE"""),581.0)</f>
        <v>581</v>
      </c>
      <c r="Z68" s="343">
        <f>IFERROR(__xludf.DUMMYFUNCTION("""COMPUTED_VALUE"""),41.3)</f>
        <v>41.3</v>
      </c>
      <c r="AA68" s="344">
        <f>IFERROR(__xludf.DUMMYFUNCTION("""COMPUTED_VALUE"""),10.7)</f>
        <v>10.7</v>
      </c>
      <c r="AB68" s="344">
        <f>IFERROR(__xludf.DUMMYFUNCTION("""COMPUTED_VALUE"""),13.9)</f>
        <v>13.9</v>
      </c>
      <c r="AC68" s="344">
        <f>IFERROR(__xludf.DUMMYFUNCTION("""COMPUTED_VALUE"""),11.8)</f>
        <v>11.8</v>
      </c>
      <c r="AD68" s="344">
        <f>IFERROR(__xludf.DUMMYFUNCTION("""COMPUTED_VALUE"""),9.3)</f>
        <v>9.3</v>
      </c>
      <c r="AE68" s="343">
        <f>IFERROR(__xludf.DUMMYFUNCTION("""COMPUTED_VALUE"""),33.8)</f>
        <v>33.8</v>
      </c>
      <c r="AF68" s="343">
        <f>IFERROR(__xludf.DUMMYFUNCTION("""COMPUTED_VALUE"""),1.82)</f>
        <v>1.82</v>
      </c>
      <c r="AG68" s="292" t="b">
        <f>IFERROR(__xludf.DUMMYFUNCTION("""COMPUTED_VALUE"""),FALSE)</f>
        <v>0</v>
      </c>
      <c r="AH68" s="292" t="b">
        <f>IFERROR(__xludf.DUMMYFUNCTION("""COMPUTED_VALUE"""),TRUE)</f>
        <v>1</v>
      </c>
      <c r="AI68" s="292" t="b">
        <f>IFERROR(__xludf.DUMMYFUNCTION("""COMPUTED_VALUE"""),FALSE)</f>
        <v>0</v>
      </c>
      <c r="AJ68" s="292" t="b">
        <f>IFERROR(__xludf.DUMMYFUNCTION("""COMPUTED_VALUE"""),FALSE)</f>
        <v>0</v>
      </c>
      <c r="AK68" s="292" t="b">
        <f>IFERROR(__xludf.DUMMYFUNCTION("""COMPUTED_VALUE"""),FALSE)</f>
        <v>0</v>
      </c>
      <c r="AL68" s="292" t="b">
        <f>IFERROR(__xludf.DUMMYFUNCTION("""COMPUTED_VALUE"""),FALSE)</f>
        <v>0</v>
      </c>
      <c r="AM68" s="292" t="b">
        <f>IFERROR(__xludf.DUMMYFUNCTION("""COMPUTED_VALUE"""),TRUE)</f>
        <v>1</v>
      </c>
      <c r="AN68" s="292" t="b">
        <f>IFERROR(__xludf.DUMMYFUNCTION("""COMPUTED_VALUE"""),FALSE)</f>
        <v>0</v>
      </c>
      <c r="AO68" s="292" t="str">
        <f>IFERROR(__xludf.DUMMYFUNCTION("""COMPUTED_VALUE"""),"TRUE")</f>
        <v>TRUE</v>
      </c>
      <c r="AP68" s="292" t="str">
        <f>IFERROR(__xludf.DUMMYFUNCTION("""COMPUTED_VALUE"""),"Pork tenderloin")</f>
        <v>Pork tenderloin</v>
      </c>
      <c r="AQ68" s="292" t="str">
        <f>IFERROR(__xludf.DUMMYFUNCTION("""COMPUTED_VALUE"""),"Pork")</f>
        <v>Pork</v>
      </c>
      <c r="AR68" s="292" t="str">
        <f>IFERROR(__xludf.DUMMYFUNCTION("""COMPUTED_VALUE"""),"Tenderloin")</f>
        <v>Tenderloin</v>
      </c>
      <c r="AS68" s="292" t="str">
        <f>IFERROR(__xludf.DUMMYFUNCTION("""COMPUTED_VALUE"""),"Cabbage")</f>
        <v>Cabbage</v>
      </c>
      <c r="AT68" s="292" t="str">
        <f>IFERROR(__xludf.DUMMYFUNCTION("""COMPUTED_VALUE"""),"Broccoli")</f>
        <v>Broccoli</v>
      </c>
      <c r="AU68" s="292" t="str">
        <f>IFERROR(__xludf.DUMMYFUNCTION("""COMPUTED_VALUE"""),"Cauliflower Florets")</f>
        <v>Cauliflower Florets</v>
      </c>
      <c r="AV68" s="292" t="str">
        <f>IFERROR(__xludf.DUMMYFUNCTION("""COMPUTED_VALUE"""),"Red bell pepper")</f>
        <v>Red bell pepper</v>
      </c>
      <c r="AW68" s="292" t="str">
        <f>IFERROR(__xludf.DUMMYFUNCTION("""COMPUTED_VALUE"""),"Year Round")</f>
        <v>Year Round</v>
      </c>
      <c r="AX68" s="292" t="str">
        <f>IFERROR(__xludf.DUMMYFUNCTION("""COMPUTED_VALUE"""),"Thai")</f>
        <v>Thai</v>
      </c>
      <c r="AY68" s="292"/>
      <c r="AZ68" s="292" t="str">
        <f>IFERROR(__xludf.DUMMYFUNCTION("""COMPUTED_VALUE"""),"2 CT")</f>
        <v>2 CT</v>
      </c>
      <c r="BA68" s="292" t="b">
        <f>IFERROR(__xludf.DUMMYFUNCTION("""COMPUTED_VALUE"""),FALSE)</f>
        <v>0</v>
      </c>
      <c r="BB68" s="342">
        <f>IFERROR(__xludf.DUMMYFUNCTION("""COMPUTED_VALUE"""),3.19)</f>
        <v>3.19</v>
      </c>
      <c r="BC68" s="342">
        <f>IFERROR(__xludf.DUMMYFUNCTION("""COMPUTED_VALUE"""),1.14)</f>
        <v>1.14</v>
      </c>
      <c r="BD68" s="342">
        <f>IFERROR(__xludf.DUMMYFUNCTION("""COMPUTED_VALUE"""),0.362)</f>
        <v>0.362</v>
      </c>
      <c r="BE68" s="342">
        <f>IFERROR(__xludf.DUMMYFUNCTION("""COMPUTED_VALUE"""),0.89)</f>
        <v>0.89</v>
      </c>
      <c r="BF68" s="296" t="str">
        <f>IFERROR(__xludf.DUMMYFUNCTION("""COMPUTED_VALUE"""),"#REF!")</f>
        <v>#REF!</v>
      </c>
      <c r="BG68" s="296" t="str">
        <f>IFERROR(__xludf.DUMMYFUNCTION("""COMPUTED_VALUE"""),"#REF!")</f>
        <v>#REF!</v>
      </c>
      <c r="BH68" s="296" t="str">
        <f>IFERROR(__xludf.DUMMYFUNCTION("""COMPUTED_VALUE"""),"#REF!")</f>
        <v>#REF!</v>
      </c>
      <c r="BI68" s="295">
        <f>IFERROR(__xludf.DUMMYFUNCTION("""COMPUTED_VALUE"""),182.0)</f>
        <v>182</v>
      </c>
      <c r="BJ68" s="295" t="str">
        <f>IFERROR(__xludf.DUMMYFUNCTION("""COMPUTED_VALUE"""),"FALSE")</f>
        <v>FALSE</v>
      </c>
      <c r="BK68" s="346">
        <f>IFERROR(__xludf.DUMMYFUNCTION("""COMPUTED_VALUE"""),2414.0)</f>
        <v>2414</v>
      </c>
      <c r="BL68" s="292"/>
      <c r="BM68" s="292" t="str">
        <f>IFERROR(__xludf.DUMMYFUNCTION("""COMPUTED_VALUE"""),"Chili- och vitlöksmarinerad fläskfilé")</f>
        <v>Chili- och vitlöksmarinerad fläskfilé</v>
      </c>
      <c r="BN68" s="292"/>
      <c r="BO68" s="292"/>
      <c r="BP68" s="292"/>
      <c r="BQ68" s="292" t="str">
        <f>IFERROR(__xludf.DUMMYFUNCTION("""COMPUTED_VALUE"""),"Graveyard")</f>
        <v>Graveyard</v>
      </c>
      <c r="BR68" s="292" t="b">
        <f>IFERROR(__xludf.DUMMYFUNCTION("""COMPUTED_VALUE"""),FALSE)</f>
        <v>0</v>
      </c>
      <c r="BS68" s="292" t="b">
        <f>IFERROR(__xludf.DUMMYFUNCTION("""COMPUTED_VALUE"""),FALSE)</f>
        <v>0</v>
      </c>
      <c r="BT68" s="345">
        <f>IFERROR(__xludf.DUMMYFUNCTION("""COMPUTED_VALUE"""),678.0)</f>
        <v>678</v>
      </c>
      <c r="BU68" s="345">
        <f>IFERROR(__xludf.DUMMYFUNCTION("""COMPUTED_VALUE"""),163.3)</f>
        <v>163.3</v>
      </c>
      <c r="BV68" s="344">
        <f>IFERROR(__xludf.DUMMYFUNCTION("""COMPUTED_VALUE"""),11.6)</f>
        <v>11.6</v>
      </c>
      <c r="BW68" s="344">
        <f>IFERROR(__xludf.DUMMYFUNCTION("""COMPUTED_VALUE"""),3.0)</f>
        <v>3</v>
      </c>
    </row>
    <row r="69">
      <c r="A69" s="292" t="str">
        <f>IFERROR(__xludf.DUMMYFUNCTION("""COMPUTED_VALUE"""),"FE0612B")</f>
        <v>FE0612B</v>
      </c>
      <c r="B69" s="292" t="str">
        <f>IFERROR(__xludf.DUMMYFUNCTION("""COMPUTED_VALUE"""),"CON-40-143751-4")</f>
        <v>CON-40-143751-4</v>
      </c>
      <c r="C69" s="292" t="str">
        <f>IFERROR(__xludf.DUMMYFUNCTION("""COMPUTED_VALUE"""),"CON-00-147851-2")</f>
        <v>CON-00-147851-2</v>
      </c>
      <c r="D69" s="292" t="str">
        <f>IFERROR(__xludf.DUMMYFUNCTION("""COMPUTED_VALUE"""),"CON-00-136713-3")</f>
        <v>CON-00-136713-3</v>
      </c>
      <c r="E69" s="292" t="str">
        <f>IFERROR(__xludf.DUMMYFUNCTION("""COMPUTED_VALUE"""),"Minced potato dish with cheese sauce")</f>
        <v>Minced potato dish with cheese sauce</v>
      </c>
      <c r="F69" s="292" t="str">
        <f>IFERROR(__xludf.DUMMYFUNCTION("""COMPUTED_VALUE"""),"with mushrooms and roasted carrots")</f>
        <v>with mushrooms and roasted carrots</v>
      </c>
      <c r="G69" s="292" t="str">
        <f>IFERROR(__xludf.DUMMYFUNCTION("""COMPUTED_VALUE"""),"Aardappelgehaktschotel met kaassaus")</f>
        <v>Aardappelgehaktschotel met kaassaus</v>
      </c>
      <c r="H69" s="292" t="str">
        <f>IFERROR(__xludf.DUMMYFUNCTION("""COMPUTED_VALUE"""),"met champignons en geroosterde wortels")</f>
        <v>met champignons en geroosterde wortels</v>
      </c>
      <c r="I69" s="292"/>
      <c r="J69" s="292" t="str">
        <f>IFERROR(__xludf.DUMMYFUNCTION("""COMPUTED_VALUE"""),"Gestampfte Kartoffeln mit Käsesauce")</f>
        <v>Gestampfte Kartoffeln mit Käsesauce</v>
      </c>
      <c r="K69" s="292">
        <f>IFERROR(__xludf.DUMMYFUNCTION("""COMPUTED_VALUE"""),565057.0)</f>
        <v>565057</v>
      </c>
      <c r="L69" s="292" t="str">
        <f>IFERROR(__xludf.DUMMYFUNCTION("""COMPUTED_VALUE"""),"HF Aardappel gehaktschotel met kaassaus 404g")</f>
        <v>HF Aardappel gehaktschotel met kaassaus 404g</v>
      </c>
      <c r="M69" s="292" t="str">
        <f>IFERROR(__xludf.DUMMYFUNCTION("""COMPUTED_VALUE"""),"FA-NL Rundergehaktschotel met kaassaus (FE0612)")</f>
        <v>FA-NL Rundergehaktschotel met kaassaus (FE0612)</v>
      </c>
      <c r="N69" s="292" t="str">
        <f>IFERROR(__xludf.DUMMYFUNCTION("""COMPUTED_VALUE"""),"FA-NO Hakket oksekødsret med ostesauce (FE0612)")</f>
        <v>FA-NO Hakket oksekødsret med ostesauce (FE0612)</v>
      </c>
      <c r="O69" s="292" t="str">
        <f>IFERROR(__xludf.DUMMYFUNCTION("""COMPUTED_VALUE"""),"FA-DE Rindhackfleisch mit Käsesauce (FE0612)")</f>
        <v>FA-DE Rindhackfleisch mit Käsesauce (FE0612)</v>
      </c>
      <c r="P69" s="292" t="str">
        <f>IFERROR(__xludf.DUMMYFUNCTION("""COMPUTED_VALUE"""),"Graveyard")</f>
        <v>Graveyard</v>
      </c>
      <c r="Q69" s="292"/>
      <c r="R69" s="342">
        <f>IFERROR(__xludf.DUMMYFUNCTION("""COMPUTED_VALUE"""),5.02)</f>
        <v>5.02</v>
      </c>
      <c r="S69" s="292"/>
      <c r="T69" s="292"/>
      <c r="U69" s="292"/>
      <c r="V69" s="292"/>
      <c r="W69" s="292" t="b">
        <f>IFERROR(__xludf.DUMMYFUNCTION("""COMPUTED_VALUE"""),TRUE)</f>
        <v>1</v>
      </c>
      <c r="X69" s="345">
        <f>IFERROR(__xludf.DUMMYFUNCTION("""COMPUTED_VALUE"""),399.0)</f>
        <v>399</v>
      </c>
      <c r="Y69" s="344">
        <f>IFERROR(__xludf.DUMMYFUNCTION("""COMPUTED_VALUE"""),798.0)</f>
        <v>798</v>
      </c>
      <c r="Z69" s="343">
        <f>IFERROR(__xludf.DUMMYFUNCTION("""COMPUTED_VALUE"""),48.5)</f>
        <v>48.5</v>
      </c>
      <c r="AA69" s="344">
        <f>IFERROR(__xludf.DUMMYFUNCTION("""COMPUTED_VALUE"""),14.9)</f>
        <v>14.9</v>
      </c>
      <c r="AB69" s="344">
        <f>IFERROR(__xludf.DUMMYFUNCTION("""COMPUTED_VALUE"""),49.4)</f>
        <v>49.4</v>
      </c>
      <c r="AC69" s="344">
        <f>IFERROR(__xludf.DUMMYFUNCTION("""COMPUTED_VALUE"""),19.8)</f>
        <v>19.8</v>
      </c>
      <c r="AD69" s="344">
        <f>IFERROR(__xludf.DUMMYFUNCTION("""COMPUTED_VALUE"""),10.8)</f>
        <v>10.8</v>
      </c>
      <c r="AE69" s="343">
        <f>IFERROR(__xludf.DUMMYFUNCTION("""COMPUTED_VALUE"""),34.6)</f>
        <v>34.6</v>
      </c>
      <c r="AF69" s="343">
        <f>IFERROR(__xludf.DUMMYFUNCTION("""COMPUTED_VALUE"""),1.98)</f>
        <v>1.98</v>
      </c>
      <c r="AG69" s="292" t="b">
        <f>IFERROR(__xludf.DUMMYFUNCTION("""COMPUTED_VALUE"""),FALSE)</f>
        <v>0</v>
      </c>
      <c r="AH69" s="292" t="b">
        <f>IFERROR(__xludf.DUMMYFUNCTION("""COMPUTED_VALUE"""),FALSE)</f>
        <v>0</v>
      </c>
      <c r="AI69" s="292" t="b">
        <f>IFERROR(__xludf.DUMMYFUNCTION("""COMPUTED_VALUE"""),FALSE)</f>
        <v>0</v>
      </c>
      <c r="AJ69" s="292" t="b">
        <f>IFERROR(__xludf.DUMMYFUNCTION("""COMPUTED_VALUE"""),TRUE)</f>
        <v>1</v>
      </c>
      <c r="AK69" s="292" t="b">
        <f>IFERROR(__xludf.DUMMYFUNCTION("""COMPUTED_VALUE"""),FALSE)</f>
        <v>0</v>
      </c>
      <c r="AL69" s="292" t="b">
        <f>IFERROR(__xludf.DUMMYFUNCTION("""COMPUTED_VALUE"""),FALSE)</f>
        <v>0</v>
      </c>
      <c r="AM69" s="292" t="b">
        <f>IFERROR(__xludf.DUMMYFUNCTION("""COMPUTED_VALUE"""),FALSE)</f>
        <v>0</v>
      </c>
      <c r="AN69" s="292" t="b">
        <f>IFERROR(__xludf.DUMMYFUNCTION("""COMPUTED_VALUE"""),FALSE)</f>
        <v>0</v>
      </c>
      <c r="AO69" s="292" t="str">
        <f>IFERROR(__xludf.DUMMYFUNCTION("""COMPUTED_VALUE"""),"FALSE")</f>
        <v>FALSE</v>
      </c>
      <c r="AP69" s="292" t="str">
        <f>IFERROR(__xludf.DUMMYFUNCTION("""COMPUTED_VALUE"""),"Ground beef")</f>
        <v>Ground beef</v>
      </c>
      <c r="AQ69" s="292" t="str">
        <f>IFERROR(__xludf.DUMMYFUNCTION("""COMPUTED_VALUE"""),"Beef")</f>
        <v>Beef</v>
      </c>
      <c r="AR69" s="292" t="str">
        <f>IFERROR(__xludf.DUMMYFUNCTION("""COMPUTED_VALUE"""),"Ground")</f>
        <v>Ground</v>
      </c>
      <c r="AS69" s="292" t="str">
        <f>IFERROR(__xludf.DUMMYFUNCTION("""COMPUTED_VALUE"""),"Potato Non-Mash")</f>
        <v>Potato Non-Mash</v>
      </c>
      <c r="AT69" s="292" t="str">
        <f>IFERROR(__xludf.DUMMYFUNCTION("""COMPUTED_VALUE"""),"Mushrooms")</f>
        <v>Mushrooms</v>
      </c>
      <c r="AU69" s="292" t="str">
        <f>IFERROR(__xludf.DUMMYFUNCTION("""COMPUTED_VALUE"""),"Carrots")</f>
        <v>Carrots</v>
      </c>
      <c r="AV69" s="292" t="str">
        <f>IFERROR(__xludf.DUMMYFUNCTION("""COMPUTED_VALUE"""),"Cheese")</f>
        <v>Cheese</v>
      </c>
      <c r="AW69" s="292" t="str">
        <f>IFERROR(__xludf.DUMMYFUNCTION("""COMPUTED_VALUE"""),"Year Round")</f>
        <v>Year Round</v>
      </c>
      <c r="AX69" s="292" t="str">
        <f>IFERROR(__xludf.DUMMYFUNCTION("""COMPUTED_VALUE"""),"French")</f>
        <v>French</v>
      </c>
      <c r="AY69" s="292"/>
      <c r="AZ69" s="292" t="str">
        <f>IFERROR(__xludf.DUMMYFUNCTION("""COMPUTED_VALUE"""),"2 CT")</f>
        <v>2 CT</v>
      </c>
      <c r="BA69" s="292" t="b">
        <f>IFERROR(__xludf.DUMMYFUNCTION("""COMPUTED_VALUE"""),FALSE)</f>
        <v>0</v>
      </c>
      <c r="BB69" s="342">
        <f>IFERROR(__xludf.DUMMYFUNCTION("""COMPUTED_VALUE"""),2.7)</f>
        <v>2.7</v>
      </c>
      <c r="BC69" s="342">
        <f>IFERROR(__xludf.DUMMYFUNCTION("""COMPUTED_VALUE"""),1.11)</f>
        <v>1.11</v>
      </c>
      <c r="BD69" s="342">
        <f>IFERROR(__xludf.DUMMYFUNCTION("""COMPUTED_VALUE"""),0.362)</f>
        <v>0.362</v>
      </c>
      <c r="BE69" s="342">
        <f>IFERROR(__xludf.DUMMYFUNCTION("""COMPUTED_VALUE"""),0.89)</f>
        <v>0.89</v>
      </c>
      <c r="BF69" s="296" t="str">
        <f>IFERROR(__xludf.DUMMYFUNCTION("""COMPUTED_VALUE"""),"#REF!")</f>
        <v>#REF!</v>
      </c>
      <c r="BG69" s="296" t="str">
        <f>IFERROR(__xludf.DUMMYFUNCTION("""COMPUTED_VALUE"""),"#REF!")</f>
        <v>#REF!</v>
      </c>
      <c r="BH69" s="296" t="str">
        <f>IFERROR(__xludf.DUMMYFUNCTION("""COMPUTED_VALUE"""),"#REF!")</f>
        <v>#REF!</v>
      </c>
      <c r="BI69" s="295">
        <f>IFERROR(__xludf.DUMMYFUNCTION("""COMPUTED_VALUE"""),181.0)</f>
        <v>181</v>
      </c>
      <c r="BJ69" s="295" t="str">
        <f>IFERROR(__xludf.DUMMYFUNCTION("""COMPUTED_VALUE"""),"FALSE")</f>
        <v>FALSE</v>
      </c>
      <c r="BK69" s="346">
        <f>IFERROR(__xludf.DUMMYFUNCTION("""COMPUTED_VALUE"""),3325.0)</f>
        <v>3325</v>
      </c>
      <c r="BL69" s="292"/>
      <c r="BM69" s="292"/>
      <c r="BN69" s="292"/>
      <c r="BO69" s="292"/>
      <c r="BP69" s="292"/>
      <c r="BQ69" s="292" t="str">
        <f>IFERROR(__xludf.DUMMYFUNCTION("""COMPUTED_VALUE"""),"Graveyard")</f>
        <v>Graveyard</v>
      </c>
      <c r="BR69" s="292" t="b">
        <f>IFERROR(__xludf.DUMMYFUNCTION("""COMPUTED_VALUE"""),FALSE)</f>
        <v>0</v>
      </c>
      <c r="BS69" s="292" t="b">
        <f>IFERROR(__xludf.DUMMYFUNCTION("""COMPUTED_VALUE"""),FALSE)</f>
        <v>0</v>
      </c>
      <c r="BT69" s="345">
        <f>IFERROR(__xludf.DUMMYFUNCTION("""COMPUTED_VALUE"""),833.3333333333334)</f>
        <v>833.3333333</v>
      </c>
      <c r="BU69" s="345">
        <f>IFERROR(__xludf.DUMMYFUNCTION("""COMPUTED_VALUE"""),200.0)</f>
        <v>200</v>
      </c>
      <c r="BV69" s="344">
        <f>IFERROR(__xludf.DUMMYFUNCTION("""COMPUTED_VALUE"""),12.155388471177945)</f>
        <v>12.15538847</v>
      </c>
      <c r="BW69" s="344">
        <f>IFERROR(__xludf.DUMMYFUNCTION("""COMPUTED_VALUE"""),3.7343358395989976)</f>
        <v>3.73433584</v>
      </c>
    </row>
    <row r="70">
      <c r="A70" s="292" t="str">
        <f>IFERROR(__xludf.DUMMYFUNCTION("""COMPUTED_VALUE"""),"FE0612C")</f>
        <v>FE0612C</v>
      </c>
      <c r="B70" s="292" t="str">
        <f>IFERROR(__xludf.DUMMYFUNCTION("""COMPUTED_VALUE"""),"CON-40-143751-4")</f>
        <v>CON-40-143751-4</v>
      </c>
      <c r="C70" s="292" t="str">
        <f>IFERROR(__xludf.DUMMYFUNCTION("""COMPUTED_VALUE"""),"CON-00-147851-2")</f>
        <v>CON-00-147851-2</v>
      </c>
      <c r="D70" s="292" t="str">
        <f>IFERROR(__xludf.DUMMYFUNCTION("""COMPUTED_VALUE"""),"CON-00-136713-3")</f>
        <v>CON-00-136713-3</v>
      </c>
      <c r="E70" s="292" t="str">
        <f>IFERROR(__xludf.DUMMYFUNCTION("""COMPUTED_VALUE"""),"Minced beef dish with cheese sauce")</f>
        <v>Minced beef dish with cheese sauce</v>
      </c>
      <c r="F70" s="292" t="str">
        <f>IFERROR(__xludf.DUMMYFUNCTION("""COMPUTED_VALUE"""),"with potato, spinach and green beans")</f>
        <v>with potato, spinach and green beans</v>
      </c>
      <c r="G70" s="292" t="str">
        <f>IFERROR(__xludf.DUMMYFUNCTION("""COMPUTED_VALUE"""),"Rundergehaktschotel met kaassaus")</f>
        <v>Rundergehaktschotel met kaassaus</v>
      </c>
      <c r="H70" s="292" t="str">
        <f>IFERROR(__xludf.DUMMYFUNCTION("""COMPUTED_VALUE"""),"met aardappel, spinazie en sperziebonen")</f>
        <v>met aardappel, spinazie en sperziebonen</v>
      </c>
      <c r="I70" s="292" t="str">
        <f>IFERROR(__xludf.DUMMYFUNCTION("""COMPUTED_VALUE"""),"Hakket oksekødsret med ostesauce")</f>
        <v>Hakket oksekødsret med ostesauce</v>
      </c>
      <c r="J70" s="292" t="str">
        <f>IFERROR(__xludf.DUMMYFUNCTION("""COMPUTED_VALUE"""),"Rindhackfleisch mit Käsesauce")</f>
        <v>Rindhackfleisch mit Käsesauce</v>
      </c>
      <c r="K70" s="292">
        <f>IFERROR(__xludf.DUMMYFUNCTION("""COMPUTED_VALUE"""),565100.0)</f>
        <v>565100</v>
      </c>
      <c r="L70" s="292"/>
      <c r="M70" s="292" t="str">
        <f>IFERROR(__xludf.DUMMYFUNCTION("""COMPUTED_VALUE"""),"FA-NL Rundergehaktschotel met kaassaus (FE0612)")</f>
        <v>FA-NL Rundergehaktschotel met kaassaus (FE0612)</v>
      </c>
      <c r="N70" s="292" t="str">
        <f>IFERROR(__xludf.DUMMYFUNCTION("""COMPUTED_VALUE"""),"FA-NO Hakket oksekødsret med ostesauce (FE0612)")</f>
        <v>FA-NO Hakket oksekødsret med ostesauce (FE0612)</v>
      </c>
      <c r="O70" s="292" t="str">
        <f>IFERROR(__xludf.DUMMYFUNCTION("""COMPUTED_VALUE"""),"FA-DE Rindhackfleisch mit Käsesauce (FE0612)")</f>
        <v>FA-DE Rindhackfleisch mit Käsesauce (FE0612)</v>
      </c>
      <c r="P70" s="292" t="str">
        <f>IFERROR(__xludf.DUMMYFUNCTION("""COMPUTED_VALUE"""),"Hold")</f>
        <v>Hold</v>
      </c>
      <c r="Q70" s="292"/>
      <c r="R70" s="342">
        <f>IFERROR(__xludf.DUMMYFUNCTION("""COMPUTED_VALUE"""),3.98)</f>
        <v>3.98</v>
      </c>
      <c r="S70" s="292"/>
      <c r="T70" s="292"/>
      <c r="U70" s="292"/>
      <c r="V70" s="292"/>
      <c r="W70" s="292" t="b">
        <f>IFERROR(__xludf.DUMMYFUNCTION("""COMPUTED_VALUE"""),TRUE)</f>
        <v>1</v>
      </c>
      <c r="X70" s="345">
        <f>IFERROR(__xludf.DUMMYFUNCTION("""COMPUTED_VALUE"""),454.0)</f>
        <v>454</v>
      </c>
      <c r="Y70" s="344">
        <f>IFERROR(__xludf.DUMMYFUNCTION("""COMPUTED_VALUE"""),522.0)</f>
        <v>522</v>
      </c>
      <c r="Z70" s="343">
        <f>IFERROR(__xludf.DUMMYFUNCTION("""COMPUTED_VALUE"""),27.2)</f>
        <v>27.2</v>
      </c>
      <c r="AA70" s="344">
        <f>IFERROR(__xludf.DUMMYFUNCTION("""COMPUTED_VALUE"""),8.6)</f>
        <v>8.6</v>
      </c>
      <c r="AB70" s="344">
        <f>IFERROR(__xludf.DUMMYFUNCTION("""COMPUTED_VALUE"""),35.4)</f>
        <v>35.4</v>
      </c>
      <c r="AC70" s="344">
        <f>IFERROR(__xludf.DUMMYFUNCTION("""COMPUTED_VALUE"""),6.8)</f>
        <v>6.8</v>
      </c>
      <c r="AD70" s="344">
        <f>IFERROR(__xludf.DUMMYFUNCTION("""COMPUTED_VALUE"""),10.4)</f>
        <v>10.4</v>
      </c>
      <c r="AE70" s="343">
        <f>IFERROR(__xludf.DUMMYFUNCTION("""COMPUTED_VALUE"""),26.8)</f>
        <v>26.8</v>
      </c>
      <c r="AF70" s="343">
        <f>IFERROR(__xludf.DUMMYFUNCTION("""COMPUTED_VALUE"""),2.0)</f>
        <v>2</v>
      </c>
      <c r="AG70" s="292" t="b">
        <f>IFERROR(__xludf.DUMMYFUNCTION("""COMPUTED_VALUE"""),FALSE)</f>
        <v>0</v>
      </c>
      <c r="AH70" s="292" t="b">
        <f>IFERROR(__xludf.DUMMYFUNCTION("""COMPUTED_VALUE"""),FALSE)</f>
        <v>0</v>
      </c>
      <c r="AI70" s="292" t="b">
        <f>IFERROR(__xludf.DUMMYFUNCTION("""COMPUTED_VALUE"""),TRUE)</f>
        <v>1</v>
      </c>
      <c r="AJ70" s="292" t="b">
        <f>IFERROR(__xludf.DUMMYFUNCTION("""COMPUTED_VALUE"""),FALSE)</f>
        <v>0</v>
      </c>
      <c r="AK70" s="292" t="b">
        <f>IFERROR(__xludf.DUMMYFUNCTION("""COMPUTED_VALUE"""),FALSE)</f>
        <v>0</v>
      </c>
      <c r="AL70" s="292" t="b">
        <f>IFERROR(__xludf.DUMMYFUNCTION("""COMPUTED_VALUE"""),FALSE)</f>
        <v>0</v>
      </c>
      <c r="AM70" s="292" t="b">
        <f>IFERROR(__xludf.DUMMYFUNCTION("""COMPUTED_VALUE"""),FALSE)</f>
        <v>0</v>
      </c>
      <c r="AN70" s="292" t="b">
        <f>IFERROR(__xludf.DUMMYFUNCTION("""COMPUTED_VALUE"""),FALSE)</f>
        <v>0</v>
      </c>
      <c r="AO70" s="292" t="str">
        <f>IFERROR(__xludf.DUMMYFUNCTION("""COMPUTED_VALUE"""),"TRUE")</f>
        <v>TRUE</v>
      </c>
      <c r="AP70" s="292" t="str">
        <f>IFERROR(__xludf.DUMMYFUNCTION("""COMPUTED_VALUE"""),"Ground beef")</f>
        <v>Ground beef</v>
      </c>
      <c r="AQ70" s="292" t="str">
        <f>IFERROR(__xludf.DUMMYFUNCTION("""COMPUTED_VALUE"""),"Beef")</f>
        <v>Beef</v>
      </c>
      <c r="AR70" s="292" t="str">
        <f>IFERROR(__xludf.DUMMYFUNCTION("""COMPUTED_VALUE"""),"Ground")</f>
        <v>Ground</v>
      </c>
      <c r="AS70" s="292" t="str">
        <f>IFERROR(__xludf.DUMMYFUNCTION("""COMPUTED_VALUE"""),"Potato Non-Mash")</f>
        <v>Potato Non-Mash</v>
      </c>
      <c r="AT70" s="292" t="str">
        <f>IFERROR(__xludf.DUMMYFUNCTION("""COMPUTED_VALUE"""),"Spinach")</f>
        <v>Spinach</v>
      </c>
      <c r="AU70" s="292" t="str">
        <f>IFERROR(__xludf.DUMMYFUNCTION("""COMPUTED_VALUE"""),"Broccoli")</f>
        <v>Broccoli</v>
      </c>
      <c r="AV70" s="292" t="str">
        <f>IFERROR(__xludf.DUMMYFUNCTION("""COMPUTED_VALUE"""),"Green Beans")</f>
        <v>Green Beans</v>
      </c>
      <c r="AW70" s="292" t="str">
        <f>IFERROR(__xludf.DUMMYFUNCTION("""COMPUTED_VALUE"""),"Year Round")</f>
        <v>Year Round</v>
      </c>
      <c r="AX70" s="292" t="str">
        <f>IFERROR(__xludf.DUMMYFUNCTION("""COMPUTED_VALUE"""),"French")</f>
        <v>French</v>
      </c>
      <c r="AY70" s="292"/>
      <c r="AZ70" s="292" t="str">
        <f>IFERROR(__xludf.DUMMYFUNCTION("""COMPUTED_VALUE"""),"2 CT")</f>
        <v>2 CT</v>
      </c>
      <c r="BA70" s="292" t="b">
        <f>IFERROR(__xludf.DUMMYFUNCTION("""COMPUTED_VALUE"""),FALSE)</f>
        <v>0</v>
      </c>
      <c r="BB70" s="342">
        <f>IFERROR(__xludf.DUMMYFUNCTION("""COMPUTED_VALUE"""),1.55)</f>
        <v>1.55</v>
      </c>
      <c r="BC70" s="342">
        <f>IFERROR(__xludf.DUMMYFUNCTION("""COMPUTED_VALUE"""),1.18)</f>
        <v>1.18</v>
      </c>
      <c r="BD70" s="342">
        <f>IFERROR(__xludf.DUMMYFUNCTION("""COMPUTED_VALUE"""),0.36)</f>
        <v>0.36</v>
      </c>
      <c r="BE70" s="342">
        <f>IFERROR(__xludf.DUMMYFUNCTION("""COMPUTED_VALUE"""),0.89)</f>
        <v>0.89</v>
      </c>
      <c r="BF70" s="296" t="str">
        <f>IFERROR(__xludf.DUMMYFUNCTION("""COMPUTED_VALUE"""),"#REF!")</f>
        <v>#REF!</v>
      </c>
      <c r="BG70" s="296" t="str">
        <f>IFERROR(__xludf.DUMMYFUNCTION("""COMPUTED_VALUE"""),"#REF!")</f>
        <v>#REF!</v>
      </c>
      <c r="BH70" s="296" t="str">
        <f>IFERROR(__xludf.DUMMYFUNCTION("""COMPUTED_VALUE"""),"#REF!")</f>
        <v>#REF!</v>
      </c>
      <c r="BI70" s="295">
        <f>IFERROR(__xludf.DUMMYFUNCTION("""COMPUTED_VALUE"""),199.0)</f>
        <v>199</v>
      </c>
      <c r="BJ70" s="295" t="str">
        <f>IFERROR(__xludf.DUMMYFUNCTION("""COMPUTED_VALUE"""),"FALSE")</f>
        <v>FALSE</v>
      </c>
      <c r="BK70" s="346">
        <f>IFERROR(__xludf.DUMMYFUNCTION("""COMPUTED_VALUE"""),2179.0)</f>
        <v>2179</v>
      </c>
      <c r="BL70" s="292" t="str">
        <f>IFERROR(__xludf.DUMMYFUNCTION("""COMPUTED_VALUE"""),"US")</f>
        <v>US</v>
      </c>
      <c r="BM70" s="292" t="str">
        <f>IFERROR(__xludf.DUMMYFUNCTION("""COMPUTED_VALUE"""),"Köttfärsrätt med ostsås")</f>
        <v>Köttfärsrätt med ostsås</v>
      </c>
      <c r="BN70" s="292"/>
      <c r="BO70" s="292"/>
      <c r="BP70" s="292"/>
      <c r="BQ70" s="292" t="str">
        <f>IFERROR(__xludf.DUMMYFUNCTION("""COMPUTED_VALUE"""),"Active - Rework")</f>
        <v>Active - Rework</v>
      </c>
      <c r="BR70" s="292" t="b">
        <f>IFERROR(__xludf.DUMMYFUNCTION("""COMPUTED_VALUE"""),FALSE)</f>
        <v>0</v>
      </c>
      <c r="BS70" s="292" t="b">
        <f>IFERROR(__xludf.DUMMYFUNCTION("""COMPUTED_VALUE"""),FALSE)</f>
        <v>0</v>
      </c>
      <c r="BT70" s="345">
        <f>IFERROR(__xludf.DUMMYFUNCTION("""COMPUTED_VALUE"""),480.0)</f>
        <v>480</v>
      </c>
      <c r="BU70" s="345">
        <f>IFERROR(__xludf.DUMMYFUNCTION("""COMPUTED_VALUE"""),114.9)</f>
        <v>114.9</v>
      </c>
      <c r="BV70" s="344">
        <f>IFERROR(__xludf.DUMMYFUNCTION("""COMPUTED_VALUE"""),6.0)</f>
        <v>6</v>
      </c>
      <c r="BW70" s="344">
        <f>IFERROR(__xludf.DUMMYFUNCTION("""COMPUTED_VALUE"""),1.9)</f>
        <v>1.9</v>
      </c>
    </row>
    <row r="71">
      <c r="A71" s="292" t="str">
        <f>IFERROR(__xludf.DUMMYFUNCTION("""COMPUTED_VALUE"""),"FE0628B")</f>
        <v>FE0628B</v>
      </c>
      <c r="B71" s="292" t="str">
        <f>IFERROR(__xludf.DUMMYFUNCTION("""COMPUTED_VALUE"""),"CON-40-143677-4")</f>
        <v>CON-40-143677-4</v>
      </c>
      <c r="C71" s="292" t="str">
        <f>IFERROR(__xludf.DUMMYFUNCTION("""COMPUTED_VALUE"""),"CON-00-147853-2")</f>
        <v>CON-00-147853-2</v>
      </c>
      <c r="D71" s="292" t="str">
        <f>IFERROR(__xludf.DUMMYFUNCTION("""COMPUTED_VALUE"""),"CON-00-138294-2")</f>
        <v>CON-00-138294-2</v>
      </c>
      <c r="E71" s="292" t="str">
        <f>IFERROR(__xludf.DUMMYFUNCTION("""COMPUTED_VALUE"""),"Mushroom Chicken &amp; Rice")</f>
        <v>Mushroom Chicken &amp; Rice</v>
      </c>
      <c r="F71" s="292" t="str">
        <f>IFERROR(__xludf.DUMMYFUNCTION("""COMPUTED_VALUE"""),"with cheese and garlic green beans")</f>
        <v>with cheese and garlic green beans</v>
      </c>
      <c r="G71" s="292" t="str">
        <f>IFERROR(__xludf.DUMMYFUNCTION("""COMPUTED_VALUE"""),"Kip met champignons &amp; rijst")</f>
        <v>Kip met champignons &amp; rijst</v>
      </c>
      <c r="H71" s="292" t="str">
        <f>IFERROR(__xludf.DUMMYFUNCTION("""COMPUTED_VALUE"""),"met kaas en knoflook-sperziebonen")</f>
        <v>met kaas en knoflook-sperziebonen</v>
      </c>
      <c r="I71" s="292" t="str">
        <f>IFERROR(__xludf.DUMMYFUNCTION("""COMPUTED_VALUE"""),"Kylling med svampe og ris ")</f>
        <v>Kylling med svampe og ris </v>
      </c>
      <c r="J71" s="292" t="str">
        <f>IFERROR(__xludf.DUMMYFUNCTION("""COMPUTED_VALUE"""),"Hähnchen mit Champignons und Reis")</f>
        <v>Hähnchen mit Champignons und Reis</v>
      </c>
      <c r="K71" s="292">
        <f>IFERROR(__xludf.DUMMYFUNCTION("""COMPUTED_VALUE"""),565135.0)</f>
        <v>565135</v>
      </c>
      <c r="L71" s="292"/>
      <c r="M71" s="292" t="str">
        <f>IFERROR(__xludf.DUMMYFUNCTION("""COMPUTED_VALUE"""),"FA-NL Kip met champignons &amp; rijst (FE0628)")</f>
        <v>FA-NL Kip met champignons &amp; rijst (FE0628)</v>
      </c>
      <c r="N71" s="292" t="str">
        <f>IFERROR(__xludf.DUMMYFUNCTION("""COMPUTED_VALUE"""),"FA-NO Kylling med svampe og ris (FE0628)")</f>
        <v>FA-NO Kylling med svampe og ris (FE0628)</v>
      </c>
      <c r="O71" s="292" t="str">
        <f>IFERROR(__xludf.DUMMYFUNCTION("""COMPUTED_VALUE"""),"FA-DE Hähnchen mit Champignons und Reis (FE0628)")</f>
        <v>FA-DE Hähnchen mit Champignons und Reis (FE0628)</v>
      </c>
      <c r="P71" s="292" t="str">
        <f>IFERROR(__xludf.DUMMYFUNCTION("""COMPUTED_VALUE"""),"Graveyard")</f>
        <v>Graveyard</v>
      </c>
      <c r="Q71" s="292"/>
      <c r="R71" s="342">
        <f>IFERROR(__xludf.DUMMYFUNCTION("""COMPUTED_VALUE"""),4.79)</f>
        <v>4.79</v>
      </c>
      <c r="S71" s="292"/>
      <c r="T71" s="292"/>
      <c r="U71" s="292"/>
      <c r="V71" s="292"/>
      <c r="W71" s="292" t="b">
        <f>IFERROR(__xludf.DUMMYFUNCTION("""COMPUTED_VALUE"""),TRUE)</f>
        <v>1</v>
      </c>
      <c r="X71" s="345">
        <f>IFERROR(__xludf.DUMMYFUNCTION("""COMPUTED_VALUE"""),419.0)</f>
        <v>419</v>
      </c>
      <c r="Y71" s="344">
        <f>IFERROR(__xludf.DUMMYFUNCTION("""COMPUTED_VALUE"""),472.0)</f>
        <v>472</v>
      </c>
      <c r="Z71" s="343">
        <f>IFERROR(__xludf.DUMMYFUNCTION("""COMPUTED_VALUE"""),20.0)</f>
        <v>20</v>
      </c>
      <c r="AA71" s="344">
        <f>IFERROR(__xludf.DUMMYFUNCTION("""COMPUTED_VALUE"""),7.3)</f>
        <v>7.3</v>
      </c>
      <c r="AB71" s="344">
        <f>IFERROR(__xludf.DUMMYFUNCTION("""COMPUTED_VALUE"""),34.4)</f>
        <v>34.4</v>
      </c>
      <c r="AC71" s="344">
        <f>IFERROR(__xludf.DUMMYFUNCTION("""COMPUTED_VALUE"""),5.1)</f>
        <v>5.1</v>
      </c>
      <c r="AD71" s="344">
        <f>IFERROR(__xludf.DUMMYFUNCTION("""COMPUTED_VALUE"""),9.1)</f>
        <v>9.1</v>
      </c>
      <c r="AE71" s="343">
        <f>IFERROR(__xludf.DUMMYFUNCTION("""COMPUTED_VALUE"""),34.6)</f>
        <v>34.6</v>
      </c>
      <c r="AF71" s="343">
        <f>IFERROR(__xludf.DUMMYFUNCTION("""COMPUTED_VALUE"""),1.71)</f>
        <v>1.71</v>
      </c>
      <c r="AG71" s="292" t="b">
        <f>IFERROR(__xludf.DUMMYFUNCTION("""COMPUTED_VALUE"""),FALSE)</f>
        <v>0</v>
      </c>
      <c r="AH71" s="292" t="b">
        <f>IFERROR(__xludf.DUMMYFUNCTION("""COMPUTED_VALUE"""),FALSE)</f>
        <v>0</v>
      </c>
      <c r="AI71" s="292" t="b">
        <f>IFERROR(__xludf.DUMMYFUNCTION("""COMPUTED_VALUE"""),TRUE)</f>
        <v>1</v>
      </c>
      <c r="AJ71" s="292" t="b">
        <f>IFERROR(__xludf.DUMMYFUNCTION("""COMPUTED_VALUE"""),FALSE)</f>
        <v>0</v>
      </c>
      <c r="AK71" s="292" t="b">
        <f>IFERROR(__xludf.DUMMYFUNCTION("""COMPUTED_VALUE"""),FALSE)</f>
        <v>0</v>
      </c>
      <c r="AL71" s="292" t="b">
        <f>IFERROR(__xludf.DUMMYFUNCTION("""COMPUTED_VALUE"""),FALSE)</f>
        <v>0</v>
      </c>
      <c r="AM71" s="292" t="b">
        <f>IFERROR(__xludf.DUMMYFUNCTION("""COMPUTED_VALUE"""),TRUE)</f>
        <v>1</v>
      </c>
      <c r="AN71" s="292" t="b">
        <f>IFERROR(__xludf.DUMMYFUNCTION("""COMPUTED_VALUE"""),FALSE)</f>
        <v>0</v>
      </c>
      <c r="AO71" s="292" t="str">
        <f>IFERROR(__xludf.DUMMYFUNCTION("""COMPUTED_VALUE"""),"TRUE")</f>
        <v>TRUE</v>
      </c>
      <c r="AP71" s="292" t="str">
        <f>IFERROR(__xludf.DUMMYFUNCTION("""COMPUTED_VALUE"""),"Chicken breast")</f>
        <v>Chicken breast</v>
      </c>
      <c r="AQ71" s="292" t="str">
        <f>IFERROR(__xludf.DUMMYFUNCTION("""COMPUTED_VALUE"""),"Chicken")</f>
        <v>Chicken</v>
      </c>
      <c r="AR71" s="292" t="str">
        <f>IFERROR(__xludf.DUMMYFUNCTION("""COMPUTED_VALUE"""),"Breast")</f>
        <v>Breast</v>
      </c>
      <c r="AS71" s="292" t="str">
        <f>IFERROR(__xludf.DUMMYFUNCTION("""COMPUTED_VALUE"""),"Rice")</f>
        <v>Rice</v>
      </c>
      <c r="AT71" s="292" t="str">
        <f>IFERROR(__xludf.DUMMYFUNCTION("""COMPUTED_VALUE"""),"Mushrooms")</f>
        <v>Mushrooms</v>
      </c>
      <c r="AU71" s="292" t="str">
        <f>IFERROR(__xludf.DUMMYFUNCTION("""COMPUTED_VALUE"""),"Green Beans")</f>
        <v>Green Beans</v>
      </c>
      <c r="AV71" s="292"/>
      <c r="AW71" s="292" t="str">
        <f>IFERROR(__xludf.DUMMYFUNCTION("""COMPUTED_VALUE"""),"Year Round")</f>
        <v>Year Round</v>
      </c>
      <c r="AX71" s="292" t="str">
        <f>IFERROR(__xludf.DUMMYFUNCTION("""COMPUTED_VALUE"""),"American")</f>
        <v>American</v>
      </c>
      <c r="AY71" s="292"/>
      <c r="AZ71" s="292" t="str">
        <f>IFERROR(__xludf.DUMMYFUNCTION("""COMPUTED_VALUE"""),"2 CT")</f>
        <v>2 CT</v>
      </c>
      <c r="BA71" s="292" t="b">
        <f>IFERROR(__xludf.DUMMYFUNCTION("""COMPUTED_VALUE"""),FALSE)</f>
        <v>0</v>
      </c>
      <c r="BB71" s="342">
        <f>IFERROR(__xludf.DUMMYFUNCTION("""COMPUTED_VALUE"""),2.42)</f>
        <v>2.42</v>
      </c>
      <c r="BC71" s="342">
        <f>IFERROR(__xludf.DUMMYFUNCTION("""COMPUTED_VALUE"""),1.12)</f>
        <v>1.12</v>
      </c>
      <c r="BD71" s="342">
        <f>IFERROR(__xludf.DUMMYFUNCTION("""COMPUTED_VALUE"""),0.36)</f>
        <v>0.36</v>
      </c>
      <c r="BE71" s="342">
        <f>IFERROR(__xludf.DUMMYFUNCTION("""COMPUTED_VALUE"""),0.89)</f>
        <v>0.89</v>
      </c>
      <c r="BF71" s="296">
        <f>IFERROR(__xludf.DUMMYFUNCTION("""COMPUTED_VALUE"""),3.236666666666667)</f>
        <v>3.236666667</v>
      </c>
      <c r="BG71" s="296">
        <f>IFERROR(__xludf.DUMMYFUNCTION("""COMPUTED_VALUE"""),3.233333333333333)</f>
        <v>3.233333333</v>
      </c>
      <c r="BH71" s="296">
        <f>IFERROR(__xludf.DUMMYFUNCTION("""COMPUTED_VALUE"""),3.1333333333333333)</f>
        <v>3.133333333</v>
      </c>
      <c r="BI71" s="295">
        <f>IFERROR(__xludf.DUMMYFUNCTION("""COMPUTED_VALUE"""),162.0)</f>
        <v>162</v>
      </c>
      <c r="BJ71" s="295" t="str">
        <f>IFERROR(__xludf.DUMMYFUNCTION("""COMPUTED_VALUE"""),"FALSE")</f>
        <v>FALSE</v>
      </c>
      <c r="BK71" s="346">
        <f>IFERROR(__xludf.DUMMYFUNCTION("""COMPUTED_VALUE"""),1970.0)</f>
        <v>1970</v>
      </c>
      <c r="BL71" s="292" t="str">
        <f>IFERROR(__xludf.DUMMYFUNCTION("""COMPUTED_VALUE"""),"US")</f>
        <v>US</v>
      </c>
      <c r="BM71" s="292" t="str">
        <f>IFERROR(__xludf.DUMMYFUNCTION("""COMPUTED_VALUE"""),"Kyckling med champinjoner och ris")</f>
        <v>Kyckling med champinjoner och ris</v>
      </c>
      <c r="BN71" s="343">
        <f>IFERROR(__xludf.DUMMYFUNCTION("""COMPUTED_VALUE"""),3.353333333333333)</f>
        <v>3.353333333</v>
      </c>
      <c r="BO71" s="343">
        <f>IFERROR(__xludf.DUMMYFUNCTION("""COMPUTED_VALUE"""),3.1533333333333338)</f>
        <v>3.153333333</v>
      </c>
      <c r="BP71" s="292"/>
      <c r="BQ71" s="292" t="str">
        <f>IFERROR(__xludf.DUMMYFUNCTION("""COMPUTED_VALUE"""),"Active")</f>
        <v>Active</v>
      </c>
      <c r="BR71" s="292" t="b">
        <f>IFERROR(__xludf.DUMMYFUNCTION("""COMPUTED_VALUE"""),FALSE)</f>
        <v>0</v>
      </c>
      <c r="BS71" s="292" t="b">
        <f>IFERROR(__xludf.DUMMYFUNCTION("""COMPUTED_VALUE"""),FALSE)</f>
        <v>0</v>
      </c>
      <c r="BT71" s="345">
        <f>IFERROR(__xludf.DUMMYFUNCTION("""COMPUTED_VALUE"""),534.0)</f>
        <v>534</v>
      </c>
      <c r="BU71" s="345">
        <f>IFERROR(__xludf.DUMMYFUNCTION("""COMPUTED_VALUE"""),127.5)</f>
        <v>127.5</v>
      </c>
      <c r="BV71" s="344">
        <f>IFERROR(__xludf.DUMMYFUNCTION("""COMPUTED_VALUE"""),5.2)</f>
        <v>5.2</v>
      </c>
      <c r="BW71" s="344">
        <f>IFERROR(__xludf.DUMMYFUNCTION("""COMPUTED_VALUE"""),1.7)</f>
        <v>1.7</v>
      </c>
    </row>
    <row r="72">
      <c r="A72" s="292" t="str">
        <f>IFERROR(__xludf.DUMMYFUNCTION("""COMPUTED_VALUE"""),"FE0651B")</f>
        <v>FE0651B</v>
      </c>
      <c r="B72" s="292" t="str">
        <f>IFERROR(__xludf.DUMMYFUNCTION("""COMPUTED_VALUE"""),"CON-40-143685-4")</f>
        <v>CON-40-143685-4</v>
      </c>
      <c r="C72" s="292" t="str">
        <f>IFERROR(__xludf.DUMMYFUNCTION("""COMPUTED_VALUE"""),"CON-00-147852-2")</f>
        <v>CON-00-147852-2</v>
      </c>
      <c r="D72" s="292" t="str">
        <f>IFERROR(__xludf.DUMMYFUNCTION("""COMPUTED_VALUE"""),"CON-00-136680-3")</f>
        <v>CON-00-136680-3</v>
      </c>
      <c r="E72" s="292" t="str">
        <f>IFERROR(__xludf.DUMMYFUNCTION("""COMPUTED_VALUE"""),"BBQ Chickpeas &amp; Roasted Cabbage ")</f>
        <v>BBQ Chickpeas &amp; Roasted Cabbage </v>
      </c>
      <c r="F72" s="292" t="str">
        <f>IFERROR(__xludf.DUMMYFUNCTION("""COMPUTED_VALUE"""),"with creamy polenta and corn")</f>
        <v>with creamy polenta and corn</v>
      </c>
      <c r="G72" s="292" t="str">
        <f>IFERROR(__xludf.DUMMYFUNCTION("""COMPUTED_VALUE"""),"BBQ- kikkererwten &amp; geroosterde kool")</f>
        <v>BBQ- kikkererwten &amp; geroosterde kool</v>
      </c>
      <c r="H72" s="292" t="str">
        <f>IFERROR(__xludf.DUMMYFUNCTION("""COMPUTED_VALUE"""),"met romige polenta en maïs")</f>
        <v>met romige polenta en maïs</v>
      </c>
      <c r="I72" s="292" t="str">
        <f>IFERROR(__xludf.DUMMYFUNCTION("""COMPUTED_VALUE"""),"BBQ-kikærter og ristet kål")</f>
        <v>BBQ-kikærter og ristet kål</v>
      </c>
      <c r="J72" s="292" t="str">
        <f>IFERROR(__xludf.DUMMYFUNCTION("""COMPUTED_VALUE"""),"BBQ-Kichererbsen und Röst-Kohl")</f>
        <v>BBQ-Kichererbsen und Röst-Kohl</v>
      </c>
      <c r="K72" s="292">
        <f>IFERROR(__xludf.DUMMYFUNCTION("""COMPUTED_VALUE"""),565075.0)</f>
        <v>565075</v>
      </c>
      <c r="L72" s="292"/>
      <c r="M72" s="292" t="str">
        <f>IFERROR(__xludf.DUMMYFUNCTION("""COMPUTED_VALUE"""),"FA-NL BBQ- kikkererwten &amp; geroosterde kool (FE0651)")</f>
        <v>FA-NL BBQ- kikkererwten &amp; geroosterde kool (FE0651)</v>
      </c>
      <c r="N72" s="292" t="str">
        <f>IFERROR(__xludf.DUMMYFUNCTION("""COMPUTED_VALUE"""),"FA-NO BBQ-kikærter og ristet kål (FE0651)")</f>
        <v>FA-NO BBQ-kikærter og ristet kål (FE0651)</v>
      </c>
      <c r="O72" s="292" t="str">
        <f>IFERROR(__xludf.DUMMYFUNCTION("""COMPUTED_VALUE"""),"FA-DE BBQ-Kichererbsen und Röst-Kohl (FE0651)")</f>
        <v>FA-DE BBQ-Kichererbsen und Röst-Kohl (FE0651)</v>
      </c>
      <c r="P72" s="292" t="str">
        <f>IFERROR(__xludf.DUMMYFUNCTION("""COMPUTED_VALUE"""),"Active")</f>
        <v>Active</v>
      </c>
      <c r="Q72" s="292"/>
      <c r="R72" s="342">
        <f>IFERROR(__xludf.DUMMYFUNCTION("""COMPUTED_VALUE"""),3.92)</f>
        <v>3.92</v>
      </c>
      <c r="S72" s="292"/>
      <c r="T72" s="292"/>
      <c r="U72" s="292"/>
      <c r="V72" s="292"/>
      <c r="W72" s="292" t="b">
        <f>IFERROR(__xludf.DUMMYFUNCTION("""COMPUTED_VALUE"""),TRUE)</f>
        <v>1</v>
      </c>
      <c r="X72" s="345">
        <f>IFERROR(__xludf.DUMMYFUNCTION("""COMPUTED_VALUE"""),404.0)</f>
        <v>404</v>
      </c>
      <c r="Y72" s="344">
        <f>IFERROR(__xludf.DUMMYFUNCTION("""COMPUTED_VALUE"""),532.0)</f>
        <v>532</v>
      </c>
      <c r="Z72" s="343">
        <f>IFERROR(__xludf.DUMMYFUNCTION("""COMPUTED_VALUE"""),21.4)</f>
        <v>21.4</v>
      </c>
      <c r="AA72" s="344">
        <f>IFERROR(__xludf.DUMMYFUNCTION("""COMPUTED_VALUE"""),6.9)</f>
        <v>6.9</v>
      </c>
      <c r="AB72" s="344">
        <f>IFERROR(__xludf.DUMMYFUNCTION("""COMPUTED_VALUE"""),55.8)</f>
        <v>55.8</v>
      </c>
      <c r="AC72" s="344">
        <f>IFERROR(__xludf.DUMMYFUNCTION("""COMPUTED_VALUE"""),18.2)</f>
        <v>18.2</v>
      </c>
      <c r="AD72" s="344">
        <f>IFERROR(__xludf.DUMMYFUNCTION("""COMPUTED_VALUE"""),16.6)</f>
        <v>16.6</v>
      </c>
      <c r="AE72" s="343">
        <f>IFERROR(__xludf.DUMMYFUNCTION("""COMPUTED_VALUE"""),20.6)</f>
        <v>20.6</v>
      </c>
      <c r="AF72" s="343">
        <f>IFERROR(__xludf.DUMMYFUNCTION("""COMPUTED_VALUE"""),1.98)</f>
        <v>1.98</v>
      </c>
      <c r="AG72" s="292" t="b">
        <f>IFERROR(__xludf.DUMMYFUNCTION("""COMPUTED_VALUE"""),FALSE)</f>
        <v>0</v>
      </c>
      <c r="AH72" s="292" t="b">
        <f>IFERROR(__xludf.DUMMYFUNCTION("""COMPUTED_VALUE"""),FALSE)</f>
        <v>0</v>
      </c>
      <c r="AI72" s="292" t="b">
        <f>IFERROR(__xludf.DUMMYFUNCTION("""COMPUTED_VALUE"""),TRUE)</f>
        <v>1</v>
      </c>
      <c r="AJ72" s="292" t="b">
        <f>IFERROR(__xludf.DUMMYFUNCTION("""COMPUTED_VALUE"""),FALSE)</f>
        <v>0</v>
      </c>
      <c r="AK72" s="292" t="b">
        <f>IFERROR(__xludf.DUMMYFUNCTION("""COMPUTED_VALUE"""),TRUE)</f>
        <v>1</v>
      </c>
      <c r="AL72" s="292" t="b">
        <f>IFERROR(__xludf.DUMMYFUNCTION("""COMPUTED_VALUE"""),FALSE)</f>
        <v>0</v>
      </c>
      <c r="AM72" s="292" t="b">
        <f>IFERROR(__xludf.DUMMYFUNCTION("""COMPUTED_VALUE"""),FALSE)</f>
        <v>0</v>
      </c>
      <c r="AN72" s="292" t="b">
        <f>IFERROR(__xludf.DUMMYFUNCTION("""COMPUTED_VALUE"""),FALSE)</f>
        <v>0</v>
      </c>
      <c r="AO72" s="292" t="str">
        <f>IFERROR(__xludf.DUMMYFUNCTION("""COMPUTED_VALUE"""),"TRUE")</f>
        <v>TRUE</v>
      </c>
      <c r="AP72" s="292" t="str">
        <f>IFERROR(__xludf.DUMMYFUNCTION("""COMPUTED_VALUE"""),"Vegetarian")</f>
        <v>Vegetarian</v>
      </c>
      <c r="AQ72" s="292" t="str">
        <f>IFERROR(__xludf.DUMMYFUNCTION("""COMPUTED_VALUE"""),"Vegetarian")</f>
        <v>Vegetarian</v>
      </c>
      <c r="AR72" s="292" t="str">
        <f>IFERROR(__xludf.DUMMYFUNCTION("""COMPUTED_VALUE"""),"Legumes")</f>
        <v>Legumes</v>
      </c>
      <c r="AS72" s="292" t="str">
        <f>IFERROR(__xludf.DUMMYFUNCTION("""COMPUTED_VALUE"""),"Cabbage")</f>
        <v>Cabbage</v>
      </c>
      <c r="AT72" s="292" t="str">
        <f>IFERROR(__xludf.DUMMYFUNCTION("""COMPUTED_VALUE"""),"Chickpeas")</f>
        <v>Chickpeas</v>
      </c>
      <c r="AU72" s="292" t="str">
        <f>IFERROR(__xludf.DUMMYFUNCTION("""COMPUTED_VALUE"""),"Polenta/Grits")</f>
        <v>Polenta/Grits</v>
      </c>
      <c r="AV72" s="292" t="str">
        <f>IFERROR(__xludf.DUMMYFUNCTION("""COMPUTED_VALUE"""),"Corn Kernels")</f>
        <v>Corn Kernels</v>
      </c>
      <c r="AW72" s="292" t="str">
        <f>IFERROR(__xludf.DUMMYFUNCTION("""COMPUTED_VALUE"""),"Year Round")</f>
        <v>Year Round</v>
      </c>
      <c r="AX72" s="292" t="str">
        <f>IFERROR(__xludf.DUMMYFUNCTION("""COMPUTED_VALUE"""),"American")</f>
        <v>American</v>
      </c>
      <c r="AY72" s="292"/>
      <c r="AZ72" s="292" t="str">
        <f>IFERROR(__xludf.DUMMYFUNCTION("""COMPUTED_VALUE"""),"2 CT")</f>
        <v>2 CT</v>
      </c>
      <c r="BA72" s="292" t="b">
        <f>IFERROR(__xludf.DUMMYFUNCTION("""COMPUTED_VALUE"""),FALSE)</f>
        <v>0</v>
      </c>
      <c r="BB72" s="342">
        <f>IFERROR(__xludf.DUMMYFUNCTION("""COMPUTED_VALUE"""),1.47)</f>
        <v>1.47</v>
      </c>
      <c r="BC72" s="342">
        <f>IFERROR(__xludf.DUMMYFUNCTION("""COMPUTED_VALUE"""),1.2)</f>
        <v>1.2</v>
      </c>
      <c r="BD72" s="342">
        <f>IFERROR(__xludf.DUMMYFUNCTION("""COMPUTED_VALUE"""),0.36)</f>
        <v>0.36</v>
      </c>
      <c r="BE72" s="342">
        <f>IFERROR(__xludf.DUMMYFUNCTION("""COMPUTED_VALUE"""),0.89)</f>
        <v>0.89</v>
      </c>
      <c r="BF72" s="296" t="str">
        <f>IFERROR(__xludf.DUMMYFUNCTION("""COMPUTED_VALUE"""),"#REF!")</f>
        <v>#REF!</v>
      </c>
      <c r="BG72" s="296" t="str">
        <f>IFERROR(__xludf.DUMMYFUNCTION("""COMPUTED_VALUE"""),"#REF!")</f>
        <v>#REF!</v>
      </c>
      <c r="BH72" s="296" t="str">
        <f>IFERROR(__xludf.DUMMYFUNCTION("""COMPUTED_VALUE"""),"#REF!")</f>
        <v>#REF!</v>
      </c>
      <c r="BI72" s="295">
        <f>IFERROR(__xludf.DUMMYFUNCTION("""COMPUTED_VALUE"""),230.0)</f>
        <v>230</v>
      </c>
      <c r="BJ72" s="295" t="str">
        <f>IFERROR(__xludf.DUMMYFUNCTION("""COMPUTED_VALUE"""),"FALSE")</f>
        <v>FALSE</v>
      </c>
      <c r="BK72" s="346">
        <f>IFERROR(__xludf.DUMMYFUNCTION("""COMPUTED_VALUE"""),2226.0)</f>
        <v>2226</v>
      </c>
      <c r="BL72" s="292" t="str">
        <f>IFERROR(__xludf.DUMMYFUNCTION("""COMPUTED_VALUE"""),"US")</f>
        <v>US</v>
      </c>
      <c r="BM72" s="292" t="str">
        <f>IFERROR(__xludf.DUMMYFUNCTION("""COMPUTED_VALUE"""),"BBQ-kikärtor och rostad kål")</f>
        <v>BBQ-kikärtor och rostad kål</v>
      </c>
      <c r="BN72" s="292"/>
      <c r="BO72" s="292"/>
      <c r="BP72" s="292"/>
      <c r="BQ72" s="292" t="str">
        <f>IFERROR(__xludf.DUMMYFUNCTION("""COMPUTED_VALUE"""),"Hold - Rework")</f>
        <v>Hold - Rework</v>
      </c>
      <c r="BR72" s="292" t="b">
        <f>IFERROR(__xludf.DUMMYFUNCTION("""COMPUTED_VALUE"""),FALSE)</f>
        <v>0</v>
      </c>
      <c r="BS72" s="292" t="b">
        <f>IFERROR(__xludf.DUMMYFUNCTION("""COMPUTED_VALUE"""),FALSE)</f>
        <v>0</v>
      </c>
      <c r="BT72" s="345">
        <f>IFERROR(__xludf.DUMMYFUNCTION("""COMPUTED_VALUE"""),551.0)</f>
        <v>551</v>
      </c>
      <c r="BU72" s="345">
        <f>IFERROR(__xludf.DUMMYFUNCTION("""COMPUTED_VALUE"""),131.6)</f>
        <v>131.6</v>
      </c>
      <c r="BV72" s="344">
        <f>IFERROR(__xludf.DUMMYFUNCTION("""COMPUTED_VALUE"""),5.3)</f>
        <v>5.3</v>
      </c>
      <c r="BW72" s="344">
        <f>IFERROR(__xludf.DUMMYFUNCTION("""COMPUTED_VALUE"""),1.7)</f>
        <v>1.7</v>
      </c>
    </row>
    <row r="73">
      <c r="A73" s="292" t="str">
        <f>IFERROR(__xludf.DUMMYFUNCTION("""COMPUTED_VALUE"""),"FE0652A")</f>
        <v>FE0652A</v>
      </c>
      <c r="B73" s="292" t="str">
        <f>IFERROR(__xludf.DUMMYFUNCTION("""COMPUTED_VALUE"""),"CON-40-143693-4")</f>
        <v>CON-40-143693-4</v>
      </c>
      <c r="C73" s="292"/>
      <c r="D73" s="292" t="str">
        <f>IFERROR(__xludf.DUMMYFUNCTION("""COMPUTED_VALUE"""),"CON-00-136654-3")</f>
        <v>CON-00-136654-3</v>
      </c>
      <c r="E73" s="292" t="str">
        <f>IFERROR(__xludf.DUMMYFUNCTION("""COMPUTED_VALUE"""),"Garlic-almond salmon and kale")</f>
        <v>Garlic-almond salmon and kale</v>
      </c>
      <c r="F73" s="292" t="str">
        <f>IFERROR(__xludf.DUMMYFUNCTION("""COMPUTED_VALUE"""),"with quinoa, raisins, roasted carrots, and a dressing of honey and spring onion")</f>
        <v>with quinoa, raisins, roasted carrots, and a dressing of honey and spring onion</v>
      </c>
      <c r="G73" s="292" t="str">
        <f>IFERROR(__xludf.DUMMYFUNCTION("""COMPUTED_VALUE"""),"Knoflook-amandel zalm en gebakken boerenkool")</f>
        <v>Knoflook-amandel zalm en gebakken boerenkool</v>
      </c>
      <c r="H73" s="292" t="str">
        <f>IFERROR(__xludf.DUMMYFUNCTION("""COMPUTED_VALUE"""),"met quinoa, rozijnen, geroosterde wortels, en een dressing van honing en bosui")</f>
        <v>met quinoa, rozijnen, geroosterde wortels, en een dressing van honing en bosui</v>
      </c>
      <c r="I73" s="292"/>
      <c r="J73" s="292" t="str">
        <f>IFERROR(__xludf.DUMMYFUNCTION("""COMPUTED_VALUE"""),"Knoblauch-Mandel-Lachs mit Grünkohl")</f>
        <v>Knoblauch-Mandel-Lachs mit Grünkohl</v>
      </c>
      <c r="K73" s="292">
        <f>IFERROR(__xludf.DUMMYFUNCTION("""COMPUTED_VALUE"""),565046.0)</f>
        <v>565046</v>
      </c>
      <c r="L73" s="292" t="str">
        <f>IFERROR(__xludf.DUMMYFUNCTION("""COMPUTED_VALUE"""),"HF Toasted Almond Salmon &amp; Sauteed 396g")</f>
        <v>HF Toasted Almond Salmon &amp; Sauteed 396g</v>
      </c>
      <c r="M73" s="292" t="str">
        <f>IFERROR(__xludf.DUMMYFUNCTION("""COMPUTED_VALUE"""),"FA-NL Knoflook-amandel zalm en gebakken boerenkool (FE0652)")</f>
        <v>FA-NL Knoflook-amandel zalm en gebakken boerenkool (FE0652)</v>
      </c>
      <c r="N73" s="292" t="str">
        <f>IFERROR(__xludf.DUMMYFUNCTION("""COMPUTED_VALUE"""),"#N/A")</f>
        <v>#N/A</v>
      </c>
      <c r="O73" s="292" t="str">
        <f>IFERROR(__xludf.DUMMYFUNCTION("""COMPUTED_VALUE"""),"FA-DE Knoblauch-Mandel-Lachs mit Grünkohl (FE0652)")</f>
        <v>FA-DE Knoblauch-Mandel-Lachs mit Grünkohl (FE0652)</v>
      </c>
      <c r="P73" s="292" t="str">
        <f>IFERROR(__xludf.DUMMYFUNCTION("""COMPUTED_VALUE"""),"Graveyard")</f>
        <v>Graveyard</v>
      </c>
      <c r="Q73" s="292"/>
      <c r="R73" s="342">
        <f>IFERROR(__xludf.DUMMYFUNCTION("""COMPUTED_VALUE"""),6.54)</f>
        <v>6.54</v>
      </c>
      <c r="S73" s="298">
        <f>IFERROR(__xludf.DUMMYFUNCTION("""COMPUTED_VALUE"""),0.021)</f>
        <v>0.021</v>
      </c>
      <c r="T73" s="343">
        <f>IFERROR(__xludf.DUMMYFUNCTION("""COMPUTED_VALUE"""),3.41)</f>
        <v>3.41</v>
      </c>
      <c r="U73" s="292">
        <f>IFERROR(__xludf.DUMMYFUNCTION("""COMPUTED_VALUE"""),1338.0)</f>
        <v>1338</v>
      </c>
      <c r="V73" s="292"/>
      <c r="W73" s="292" t="b">
        <f>IFERROR(__xludf.DUMMYFUNCTION("""COMPUTED_VALUE"""),TRUE)</f>
        <v>1</v>
      </c>
      <c r="X73" s="345">
        <f>IFERROR(__xludf.DUMMYFUNCTION("""COMPUTED_VALUE"""),396.0)</f>
        <v>396</v>
      </c>
      <c r="Y73" s="344">
        <f>IFERROR(__xludf.DUMMYFUNCTION("""COMPUTED_VALUE"""),615.0)</f>
        <v>615</v>
      </c>
      <c r="Z73" s="343">
        <f>IFERROR(__xludf.DUMMYFUNCTION("""COMPUTED_VALUE"""),30.1)</f>
        <v>30.1</v>
      </c>
      <c r="AA73" s="344">
        <f>IFERROR(__xludf.DUMMYFUNCTION("""COMPUTED_VALUE"""),5.1)</f>
        <v>5.1</v>
      </c>
      <c r="AB73" s="344">
        <f>IFERROR(__xludf.DUMMYFUNCTION("""COMPUTED_VALUE"""),43.7)</f>
        <v>43.7</v>
      </c>
      <c r="AC73" s="344">
        <f>IFERROR(__xludf.DUMMYFUNCTION("""COMPUTED_VALUE"""),34.1)</f>
        <v>34.1</v>
      </c>
      <c r="AD73" s="344">
        <f>IFERROR(__xludf.DUMMYFUNCTION("""COMPUTED_VALUE"""),10.9)</f>
        <v>10.9</v>
      </c>
      <c r="AE73" s="343">
        <f>IFERROR(__xludf.DUMMYFUNCTION("""COMPUTED_VALUE"""),34.2)</f>
        <v>34.2</v>
      </c>
      <c r="AF73" s="343">
        <f>IFERROR(__xludf.DUMMYFUNCTION("""COMPUTED_VALUE"""),1.92)</f>
        <v>1.92</v>
      </c>
      <c r="AG73" s="292" t="b">
        <f>IFERROR(__xludf.DUMMYFUNCTION("""COMPUTED_VALUE"""),FALSE)</f>
        <v>0</v>
      </c>
      <c r="AH73" s="292" t="b">
        <f>IFERROR(__xludf.DUMMYFUNCTION("""COMPUTED_VALUE"""),FALSE)</f>
        <v>0</v>
      </c>
      <c r="AI73" s="292" t="b">
        <f>IFERROR(__xludf.DUMMYFUNCTION("""COMPUTED_VALUE"""),FALSE)</f>
        <v>0</v>
      </c>
      <c r="AJ73" s="292" t="b">
        <f>IFERROR(__xludf.DUMMYFUNCTION("""COMPUTED_VALUE"""),FALSE)</f>
        <v>0</v>
      </c>
      <c r="AK73" s="292" t="b">
        <f>IFERROR(__xludf.DUMMYFUNCTION("""COMPUTED_VALUE"""),FALSE)</f>
        <v>0</v>
      </c>
      <c r="AL73" s="292" t="b">
        <f>IFERROR(__xludf.DUMMYFUNCTION("""COMPUTED_VALUE"""),FALSE)</f>
        <v>0</v>
      </c>
      <c r="AM73" s="292" t="b">
        <f>IFERROR(__xludf.DUMMYFUNCTION("""COMPUTED_VALUE"""),TRUE)</f>
        <v>1</v>
      </c>
      <c r="AN73" s="292" t="b">
        <f>IFERROR(__xludf.DUMMYFUNCTION("""COMPUTED_VALUE"""),TRUE)</f>
        <v>1</v>
      </c>
      <c r="AO73" s="292" t="str">
        <f>IFERROR(__xludf.DUMMYFUNCTION("""COMPUTED_VALUE"""),"TRUE")</f>
        <v>TRUE</v>
      </c>
      <c r="AP73" s="292" t="str">
        <f>IFERROR(__xludf.DUMMYFUNCTION("""COMPUTED_VALUE"""),"Salmon")</f>
        <v>Salmon</v>
      </c>
      <c r="AQ73" s="292" t="str">
        <f>IFERROR(__xludf.DUMMYFUNCTION("""COMPUTED_VALUE"""),"Salmon")</f>
        <v>Salmon</v>
      </c>
      <c r="AR73" s="292" t="str">
        <f>IFERROR(__xludf.DUMMYFUNCTION("""COMPUTED_VALUE"""),"Filet")</f>
        <v>Filet</v>
      </c>
      <c r="AS73" s="292" t="str">
        <f>IFERROR(__xludf.DUMMYFUNCTION("""COMPUTED_VALUE"""),"Quinoa")</f>
        <v>Quinoa</v>
      </c>
      <c r="AT73" s="292" t="str">
        <f>IFERROR(__xludf.DUMMYFUNCTION("""COMPUTED_VALUE"""),"Kale")</f>
        <v>Kale</v>
      </c>
      <c r="AU73" s="292" t="str">
        <f>IFERROR(__xludf.DUMMYFUNCTION("""COMPUTED_VALUE"""),"Carrots")</f>
        <v>Carrots</v>
      </c>
      <c r="AV73" s="292" t="str">
        <f>IFERROR(__xludf.DUMMYFUNCTION("""COMPUTED_VALUE"""),"Nuts")</f>
        <v>Nuts</v>
      </c>
      <c r="AW73" s="292" t="str">
        <f>IFERROR(__xludf.DUMMYFUNCTION("""COMPUTED_VALUE"""),"Fall/Winter")</f>
        <v>Fall/Winter</v>
      </c>
      <c r="AX73" s="292" t="str">
        <f>IFERROR(__xludf.DUMMYFUNCTION("""COMPUTED_VALUE"""),"American")</f>
        <v>American</v>
      </c>
      <c r="AY73" s="292"/>
      <c r="AZ73" s="292" t="str">
        <f>IFERROR(__xludf.DUMMYFUNCTION("""COMPUTED_VALUE"""),"2 CT")</f>
        <v>2 CT</v>
      </c>
      <c r="BA73" s="292" t="b">
        <f>IFERROR(__xludf.DUMMYFUNCTION("""COMPUTED_VALUE"""),TRUE)</f>
        <v>1</v>
      </c>
      <c r="BB73" s="342">
        <f>IFERROR(__xludf.DUMMYFUNCTION("""COMPUTED_VALUE"""),4.4)</f>
        <v>4.4</v>
      </c>
      <c r="BC73" s="342">
        <f>IFERROR(__xludf.DUMMYFUNCTION("""COMPUTED_VALUE"""),0.94)</f>
        <v>0.94</v>
      </c>
      <c r="BD73" s="342">
        <f>IFERROR(__xludf.DUMMYFUNCTION("""COMPUTED_VALUE"""),0.39)</f>
        <v>0.39</v>
      </c>
      <c r="BE73" s="342">
        <f>IFERROR(__xludf.DUMMYFUNCTION("""COMPUTED_VALUE"""),0.89)</f>
        <v>0.89</v>
      </c>
      <c r="BF73" s="296" t="str">
        <f>IFERROR(__xludf.DUMMYFUNCTION("""COMPUTED_VALUE"""),"#REF!")</f>
        <v>#REF!</v>
      </c>
      <c r="BG73" s="296" t="str">
        <f>IFERROR(__xludf.DUMMYFUNCTION("""COMPUTED_VALUE"""),"#REF!")</f>
        <v>#REF!</v>
      </c>
      <c r="BH73" s="296" t="str">
        <f>IFERROR(__xludf.DUMMYFUNCTION("""COMPUTED_VALUE"""),"#REF!")</f>
        <v>#REF!</v>
      </c>
      <c r="BI73" s="295">
        <f>IFERROR(__xludf.DUMMYFUNCTION("""COMPUTED_VALUE"""),187.0)</f>
        <v>187</v>
      </c>
      <c r="BJ73" s="295" t="str">
        <f>IFERROR(__xludf.DUMMYFUNCTION("""COMPUTED_VALUE"""),"TRUE")</f>
        <v>TRUE</v>
      </c>
      <c r="BK73" s="346">
        <f>IFERROR(__xludf.DUMMYFUNCTION("""COMPUTED_VALUE"""),2571.0)</f>
        <v>2571</v>
      </c>
      <c r="BL73" s="292"/>
      <c r="BM73" s="292"/>
      <c r="BN73" s="292"/>
      <c r="BO73" s="292"/>
      <c r="BP73" s="292"/>
      <c r="BQ73" s="292" t="str">
        <f>IFERROR(__xludf.DUMMYFUNCTION("""COMPUTED_VALUE"""),"Graveyard")</f>
        <v>Graveyard</v>
      </c>
      <c r="BR73" s="292" t="b">
        <f>IFERROR(__xludf.DUMMYFUNCTION("""COMPUTED_VALUE"""),FALSE)</f>
        <v>0</v>
      </c>
      <c r="BS73" s="292" t="b">
        <f>IFERROR(__xludf.DUMMYFUNCTION("""COMPUTED_VALUE"""),TRUE)</f>
        <v>1</v>
      </c>
      <c r="BT73" s="345">
        <f>IFERROR(__xludf.DUMMYFUNCTION("""COMPUTED_VALUE"""),649.2424242424242)</f>
        <v>649.2424242</v>
      </c>
      <c r="BU73" s="345">
        <f>IFERROR(__xludf.DUMMYFUNCTION("""COMPUTED_VALUE"""),155.3030303030303)</f>
        <v>155.3030303</v>
      </c>
      <c r="BV73" s="344">
        <f>IFERROR(__xludf.DUMMYFUNCTION("""COMPUTED_VALUE"""),7.601010101010101)</f>
        <v>7.601010101</v>
      </c>
      <c r="BW73" s="344">
        <f>IFERROR(__xludf.DUMMYFUNCTION("""COMPUTED_VALUE"""),1.2878787878787878)</f>
        <v>1.287878788</v>
      </c>
    </row>
    <row r="74">
      <c r="A74" s="292" t="str">
        <f>IFERROR(__xludf.DUMMYFUNCTION("""COMPUTED_VALUE"""),"FE0673A")</f>
        <v>FE0673A</v>
      </c>
      <c r="B74" s="292" t="str">
        <f>IFERROR(__xludf.DUMMYFUNCTION("""COMPUTED_VALUE"""),"CON-40-143730-4")</f>
        <v>CON-40-143730-4</v>
      </c>
      <c r="C74" s="292" t="str">
        <f>IFERROR(__xludf.DUMMYFUNCTION("""COMPUTED_VALUE"""),"CON-00-151055-2")</f>
        <v>CON-00-151055-2</v>
      </c>
      <c r="D74" s="292" t="str">
        <f>IFERROR(__xludf.DUMMYFUNCTION("""COMPUTED_VALUE"""),"CON-00-136656-3")</f>
        <v>CON-00-136656-3</v>
      </c>
      <c r="E74" s="292" t="str">
        <f>IFERROR(__xludf.DUMMYFUNCTION("""COMPUTED_VALUE"""),"Thai style chicken and peanut sauce")</f>
        <v>Thai style chicken and peanut sauce</v>
      </c>
      <c r="F74" s="292" t="str">
        <f>IFERROR(__xludf.DUMMYFUNCTION("""COMPUTED_VALUE"""),"with rice, edamame and stir-fry vegetables")</f>
        <v>with rice, edamame and stir-fry vegetables</v>
      </c>
      <c r="G74" s="292" t="str">
        <f>IFERROR(__xludf.DUMMYFUNCTION("""COMPUTED_VALUE"""),"Thaise stijl kip en pindasaus")</f>
        <v>Thaise stijl kip en pindasaus</v>
      </c>
      <c r="H74" s="292" t="str">
        <f>IFERROR(__xludf.DUMMYFUNCTION("""COMPUTED_VALUE"""),"met zilvervliesrijst, edamame en roerbakgroenten ")</f>
        <v>met zilvervliesrijst, edamame en roerbakgroenten </v>
      </c>
      <c r="I74" s="292" t="str">
        <f>IFERROR(__xludf.DUMMYFUNCTION("""COMPUTED_VALUE"""),"Placeholder")</f>
        <v>Placeholder</v>
      </c>
      <c r="J74" s="292" t="str">
        <f>IFERROR(__xludf.DUMMYFUNCTION("""COMPUTED_VALUE"""),"Hähnchen mit Erdnusssauce „Thai-Style""")</f>
        <v>Hähnchen mit Erdnusssauce „Thai-Style"</v>
      </c>
      <c r="K74" s="292">
        <f>IFERROR(__xludf.DUMMYFUNCTION("""COMPUTED_VALUE"""),565058.0)</f>
        <v>565058</v>
      </c>
      <c r="L74" s="292" t="str">
        <f>IFERROR(__xludf.DUMMYFUNCTION("""COMPUTED_VALUE"""),"Thaise kipstukjes met pindasaus 419g")</f>
        <v>Thaise kipstukjes met pindasaus 419g</v>
      </c>
      <c r="M74" s="292" t="str">
        <f>IFERROR(__xludf.DUMMYFUNCTION("""COMPUTED_VALUE"""),"FA-NL Thaise stijl kip en pindasaus (FE0673)")</f>
        <v>FA-NL Thaise stijl kip en pindasaus (FE0673)</v>
      </c>
      <c r="N74" s="292" t="str">
        <f>IFERROR(__xludf.DUMMYFUNCTION("""COMPUTED_VALUE"""),"FA-NO Thai-inspireret kylling med peanutsauce (FE0673)")</f>
        <v>FA-NO Thai-inspireret kylling med peanutsauce (FE0673)</v>
      </c>
      <c r="O74" s="292" t="str">
        <f>IFERROR(__xludf.DUMMYFUNCTION("""COMPUTED_VALUE"""),"FA-DE Hähnchen mit Erdnusssauce „Thai-Style"" (FE0673)")</f>
        <v>FA-DE Hähnchen mit Erdnusssauce „Thai-Style" (FE0673)</v>
      </c>
      <c r="P74" s="292" t="str">
        <f>IFERROR(__xludf.DUMMYFUNCTION("""COMPUTED_VALUE"""),"Graveyard")</f>
        <v>Graveyard</v>
      </c>
      <c r="Q74" s="292" t="str">
        <f>IFERROR(__xludf.DUMMYFUNCTION("""COMPUTED_VALUE"""),"not enough veg")</f>
        <v>not enough veg</v>
      </c>
      <c r="R74" s="342">
        <f>IFERROR(__xludf.DUMMYFUNCTION("""COMPUTED_VALUE"""),4.85)</f>
        <v>4.85</v>
      </c>
      <c r="S74" s="292"/>
      <c r="T74" s="292"/>
      <c r="U74" s="292"/>
      <c r="V74" s="292"/>
      <c r="W74" s="292" t="b">
        <f>IFERROR(__xludf.DUMMYFUNCTION("""COMPUTED_VALUE"""),TRUE)</f>
        <v>1</v>
      </c>
      <c r="X74" s="345">
        <f>IFERROR(__xludf.DUMMYFUNCTION("""COMPUTED_VALUE"""),419.0)</f>
        <v>419</v>
      </c>
      <c r="Y74" s="344">
        <f>IFERROR(__xludf.DUMMYFUNCTION("""COMPUTED_VALUE"""),638.0)</f>
        <v>638</v>
      </c>
      <c r="Z74" s="343">
        <f>IFERROR(__xludf.DUMMYFUNCTION("""COMPUTED_VALUE"""),24.8)</f>
        <v>24.8</v>
      </c>
      <c r="AA74" s="344">
        <f>IFERROR(__xludf.DUMMYFUNCTION("""COMPUTED_VALUE"""),3.8)</f>
        <v>3.8</v>
      </c>
      <c r="AB74" s="344">
        <f>IFERROR(__xludf.DUMMYFUNCTION("""COMPUTED_VALUE"""),60.5)</f>
        <v>60.5</v>
      </c>
      <c r="AC74" s="344">
        <f>IFERROR(__xludf.DUMMYFUNCTION("""COMPUTED_VALUE"""),15.6)</f>
        <v>15.6</v>
      </c>
      <c r="AD74" s="344">
        <f>IFERROR(__xludf.DUMMYFUNCTION("""COMPUTED_VALUE"""),11.4)</f>
        <v>11.4</v>
      </c>
      <c r="AE74" s="343">
        <f>IFERROR(__xludf.DUMMYFUNCTION("""COMPUTED_VALUE"""),37.0)</f>
        <v>37</v>
      </c>
      <c r="AF74" s="343">
        <f>IFERROR(__xludf.DUMMYFUNCTION("""COMPUTED_VALUE"""),1.97)</f>
        <v>1.97</v>
      </c>
      <c r="AG74" s="292" t="b">
        <f>IFERROR(__xludf.DUMMYFUNCTION("""COMPUTED_VALUE"""),TRUE)</f>
        <v>1</v>
      </c>
      <c r="AH74" s="292" t="b">
        <f>IFERROR(__xludf.DUMMYFUNCTION("""COMPUTED_VALUE"""),FALSE)</f>
        <v>0</v>
      </c>
      <c r="AI74" s="292" t="b">
        <f>IFERROR(__xludf.DUMMYFUNCTION("""COMPUTED_VALUE"""),FALSE)</f>
        <v>0</v>
      </c>
      <c r="AJ74" s="292" t="b">
        <f>IFERROR(__xludf.DUMMYFUNCTION("""COMPUTED_VALUE"""),FALSE)</f>
        <v>0</v>
      </c>
      <c r="AK74" s="292" t="b">
        <f>IFERROR(__xludf.DUMMYFUNCTION("""COMPUTED_VALUE"""),FALSE)</f>
        <v>0</v>
      </c>
      <c r="AL74" s="292" t="b">
        <f>IFERROR(__xludf.DUMMYFUNCTION("""COMPUTED_VALUE"""),FALSE)</f>
        <v>0</v>
      </c>
      <c r="AM74" s="292" t="b">
        <f>IFERROR(__xludf.DUMMYFUNCTION("""COMPUTED_VALUE"""),TRUE)</f>
        <v>1</v>
      </c>
      <c r="AN74" s="292" t="b">
        <f>IFERROR(__xludf.DUMMYFUNCTION("""COMPUTED_VALUE"""),TRUE)</f>
        <v>1</v>
      </c>
      <c r="AO74" s="292" t="str">
        <f>IFERROR(__xludf.DUMMYFUNCTION("""COMPUTED_VALUE"""),"TRUE")</f>
        <v>TRUE</v>
      </c>
      <c r="AP74" s="292" t="str">
        <f>IFERROR(__xludf.DUMMYFUNCTION("""COMPUTED_VALUE"""),"Diced chicken")</f>
        <v>Diced chicken</v>
      </c>
      <c r="AQ74" s="292" t="str">
        <f>IFERROR(__xludf.DUMMYFUNCTION("""COMPUTED_VALUE"""),"Chicken")</f>
        <v>Chicken</v>
      </c>
      <c r="AR74" s="292" t="str">
        <f>IFERROR(__xludf.DUMMYFUNCTION("""COMPUTED_VALUE"""),"Pieces")</f>
        <v>Pieces</v>
      </c>
      <c r="AS74" s="292" t="str">
        <f>IFERROR(__xludf.DUMMYFUNCTION("""COMPUTED_VALUE"""),"Rice")</f>
        <v>Rice</v>
      </c>
      <c r="AT74" s="292" t="str">
        <f>IFERROR(__xludf.DUMMYFUNCTION("""COMPUTED_VALUE"""),"Pepper Mix")</f>
        <v>Pepper Mix</v>
      </c>
      <c r="AU74" s="292" t="str">
        <f>IFERROR(__xludf.DUMMYFUNCTION("""COMPUTED_VALUE"""),"Cabbage")</f>
        <v>Cabbage</v>
      </c>
      <c r="AV74" s="292" t="str">
        <f>IFERROR(__xludf.DUMMYFUNCTION("""COMPUTED_VALUE"""),"Cupped Sauce")</f>
        <v>Cupped Sauce</v>
      </c>
      <c r="AW74" s="292" t="str">
        <f>IFERROR(__xludf.DUMMYFUNCTION("""COMPUTED_VALUE"""),"Year Round")</f>
        <v>Year Round</v>
      </c>
      <c r="AX74" s="292" t="str">
        <f>IFERROR(__xludf.DUMMYFUNCTION("""COMPUTED_VALUE"""),"Thai")</f>
        <v>Thai</v>
      </c>
      <c r="AY74" s="292"/>
      <c r="AZ74" s="292" t="str">
        <f>IFERROR(__xludf.DUMMYFUNCTION("""COMPUTED_VALUE"""),"2 CT")</f>
        <v>2 CT</v>
      </c>
      <c r="BA74" s="292" t="b">
        <f>IFERROR(__xludf.DUMMYFUNCTION("""COMPUTED_VALUE"""),TRUE)</f>
        <v>1</v>
      </c>
      <c r="BB74" s="342">
        <f>IFERROR(__xludf.DUMMYFUNCTION("""COMPUTED_VALUE"""),2.58)</f>
        <v>2.58</v>
      </c>
      <c r="BC74" s="342">
        <f>IFERROR(__xludf.DUMMYFUNCTION("""COMPUTED_VALUE"""),1.04)</f>
        <v>1.04</v>
      </c>
      <c r="BD74" s="342">
        <f>IFERROR(__xludf.DUMMYFUNCTION("""COMPUTED_VALUE"""),0.392)</f>
        <v>0.392</v>
      </c>
      <c r="BE74" s="342">
        <f>IFERROR(__xludf.DUMMYFUNCTION("""COMPUTED_VALUE"""),0.89)</f>
        <v>0.89</v>
      </c>
      <c r="BF74" s="296" t="str">
        <f>IFERROR(__xludf.DUMMYFUNCTION("""COMPUTED_VALUE"""),"#REF!")</f>
        <v>#REF!</v>
      </c>
      <c r="BG74" s="296" t="str">
        <f>IFERROR(__xludf.DUMMYFUNCTION("""COMPUTED_VALUE"""),"#REF!")</f>
        <v>#REF!</v>
      </c>
      <c r="BH74" s="296" t="str">
        <f>IFERROR(__xludf.DUMMYFUNCTION("""COMPUTED_VALUE"""),"#REF!")</f>
        <v>#REF!</v>
      </c>
      <c r="BI74" s="295">
        <f>IFERROR(__xludf.DUMMYFUNCTION("""COMPUTED_VALUE"""),140.0)</f>
        <v>140</v>
      </c>
      <c r="BJ74" s="295" t="str">
        <f>IFERROR(__xludf.DUMMYFUNCTION("""COMPUTED_VALUE"""),"FALSE")</f>
        <v>FALSE</v>
      </c>
      <c r="BK74" s="346">
        <f>IFERROR(__xludf.DUMMYFUNCTION("""COMPUTED_VALUE"""),2675.0)</f>
        <v>2675</v>
      </c>
      <c r="BL74" s="292"/>
      <c r="BM74" s="292"/>
      <c r="BN74" s="292"/>
      <c r="BO74" s="292"/>
      <c r="BP74" s="292"/>
      <c r="BQ74" s="292" t="str">
        <f>IFERROR(__xludf.DUMMYFUNCTION("""COMPUTED_VALUE"""),"Graveyard")</f>
        <v>Graveyard</v>
      </c>
      <c r="BR74" s="292" t="b">
        <f>IFERROR(__xludf.DUMMYFUNCTION("""COMPUTED_VALUE"""),FALSE)</f>
        <v>0</v>
      </c>
      <c r="BS74" s="292" t="b">
        <f>IFERROR(__xludf.DUMMYFUNCTION("""COMPUTED_VALUE"""),FALSE)</f>
        <v>0</v>
      </c>
      <c r="BT74" s="345">
        <f>IFERROR(__xludf.DUMMYFUNCTION("""COMPUTED_VALUE"""),638.4248210023866)</f>
        <v>638.424821</v>
      </c>
      <c r="BU74" s="345">
        <f>IFERROR(__xludf.DUMMYFUNCTION("""COMPUTED_VALUE"""),152.2673031026253)</f>
        <v>152.2673031</v>
      </c>
      <c r="BV74" s="344">
        <f>IFERROR(__xludf.DUMMYFUNCTION("""COMPUTED_VALUE"""),5.918854415274463)</f>
        <v>5.918854415</v>
      </c>
      <c r="BW74" s="344">
        <f>IFERROR(__xludf.DUMMYFUNCTION("""COMPUTED_VALUE"""),0.9069212410501192)</f>
        <v>0.9069212411</v>
      </c>
    </row>
    <row r="75">
      <c r="A75" s="292" t="str">
        <f>IFERROR(__xludf.DUMMYFUNCTION("""COMPUTED_VALUE"""),"FE0713A")</f>
        <v>FE0713A</v>
      </c>
      <c r="B75" s="292" t="str">
        <f>IFERROR(__xludf.DUMMYFUNCTION("""COMPUTED_VALUE"""),"CON-40-143695-4")</f>
        <v>CON-40-143695-4</v>
      </c>
      <c r="C75" s="292" t="str">
        <f>IFERROR(__xludf.DUMMYFUNCTION("""COMPUTED_VALUE"""),"CON-00-147854-2")</f>
        <v>CON-00-147854-2</v>
      </c>
      <c r="D75" s="292" t="str">
        <f>IFERROR(__xludf.DUMMYFUNCTION("""COMPUTED_VALUE"""),"CON-00-136671-3")</f>
        <v>CON-00-136671-3</v>
      </c>
      <c r="E75" s="292" t="str">
        <f>IFERROR(__xludf.DUMMYFUNCTION("""COMPUTED_VALUE"""),"Cabbage in cheese sauce with minced beef")</f>
        <v>Cabbage in cheese sauce with minced beef</v>
      </c>
      <c r="F75" s="292" t="str">
        <f>IFERROR(__xludf.DUMMYFUNCTION("""COMPUTED_VALUE"""),"with spicy garlic green beans and red peppers")</f>
        <v>with spicy garlic green beans and red peppers</v>
      </c>
      <c r="G75" s="292" t="str">
        <f>IFERROR(__xludf.DUMMYFUNCTION("""COMPUTED_VALUE"""),"Rundvlees met gesmolten kaas en kool")</f>
        <v>Rundvlees met gesmolten kaas en kool</v>
      </c>
      <c r="H75" s="292" t="str">
        <f>IFERROR(__xludf.DUMMYFUNCTION("""COMPUTED_VALUE"""),"met pittige knoflook-sperziebonen en rode paprika")</f>
        <v>met pittige knoflook-sperziebonen en rode paprika</v>
      </c>
      <c r="I75" s="292" t="str">
        <f>IFERROR(__xludf.DUMMYFUNCTION("""COMPUTED_VALUE"""),"Savoykål i ostesauce med hakket oksekød")</f>
        <v>Savoykål i ostesauce med hakket oksekød</v>
      </c>
      <c r="J75" s="292" t="str">
        <f>IFERROR(__xludf.DUMMYFUNCTION("""COMPUTED_VALUE"""),"Kohl in Hackfleisch-Käsesauce")</f>
        <v>Kohl in Hackfleisch-Käsesauce</v>
      </c>
      <c r="K75" s="292">
        <f>IFERROR(__xludf.DUMMYFUNCTION("""COMPUTED_VALUE"""),565032.0)</f>
        <v>565032</v>
      </c>
      <c r="L75" s="292" t="str">
        <f>IFERROR(__xludf.DUMMYFUNCTION("""COMPUTED_VALUE"""),"HF Rundvlees met gesmolten kaas en kool 355g")</f>
        <v>HF Rundvlees met gesmolten kaas en kool 355g</v>
      </c>
      <c r="M75" s="292" t="str">
        <f>IFERROR(__xludf.DUMMYFUNCTION("""COMPUTED_VALUE"""),"FA-NL Kool in kaassaus met rundergehakt (FE0713)")</f>
        <v>FA-NL Kool in kaassaus met rundergehakt (FE0713)</v>
      </c>
      <c r="N75" s="292" t="str">
        <f>IFERROR(__xludf.DUMMYFUNCTION("""COMPUTED_VALUE"""),"FA-NO Savoykål i ostesauce med hakket oksekød (FE0713)")</f>
        <v>FA-NO Savoykål i ostesauce med hakket oksekød (FE0713)</v>
      </c>
      <c r="O75" s="292" t="str">
        <f>IFERROR(__xludf.DUMMYFUNCTION("""COMPUTED_VALUE"""),"FA-DE Kohl in Hackfleisch-Käsesauce (FE0713)")</f>
        <v>FA-DE Kohl in Hackfleisch-Käsesauce (FE0713)</v>
      </c>
      <c r="P75" s="292" t="str">
        <f>IFERROR(__xludf.DUMMYFUNCTION("""COMPUTED_VALUE"""),"Graveyard")</f>
        <v>Graveyard</v>
      </c>
      <c r="Q75" s="292"/>
      <c r="R75" s="342">
        <f>IFERROR(__xludf.DUMMYFUNCTION("""COMPUTED_VALUE"""),4.71)</f>
        <v>4.71</v>
      </c>
      <c r="S75" s="298">
        <f>IFERROR(__xludf.DUMMYFUNCTION("""COMPUTED_VALUE"""),0.012)</f>
        <v>0.012</v>
      </c>
      <c r="T75" s="343">
        <f>IFERROR(__xludf.DUMMYFUNCTION("""COMPUTED_VALUE"""),3.49)</f>
        <v>3.49</v>
      </c>
      <c r="U75" s="292">
        <f>IFERROR(__xludf.DUMMYFUNCTION("""COMPUTED_VALUE"""),1303.0)</f>
        <v>1303</v>
      </c>
      <c r="V75" s="292"/>
      <c r="W75" s="292" t="b">
        <f>IFERROR(__xludf.DUMMYFUNCTION("""COMPUTED_VALUE"""),TRUE)</f>
        <v>1</v>
      </c>
      <c r="X75" s="345">
        <f>IFERROR(__xludf.DUMMYFUNCTION("""COMPUTED_VALUE"""),355.0)</f>
        <v>355</v>
      </c>
      <c r="Y75" s="344">
        <f>IFERROR(__xludf.DUMMYFUNCTION("""COMPUTED_VALUE"""),839.0)</f>
        <v>839</v>
      </c>
      <c r="Z75" s="343">
        <f>IFERROR(__xludf.DUMMYFUNCTION("""COMPUTED_VALUE"""),65.7)</f>
        <v>65.7</v>
      </c>
      <c r="AA75" s="344">
        <f>IFERROR(__xludf.DUMMYFUNCTION("""COMPUTED_VALUE"""),27.4)</f>
        <v>27.4</v>
      </c>
      <c r="AB75" s="344">
        <f>IFERROR(__xludf.DUMMYFUNCTION("""COMPUTED_VALUE"""),15.0)</f>
        <v>15</v>
      </c>
      <c r="AC75" s="344">
        <f>IFERROR(__xludf.DUMMYFUNCTION("""COMPUTED_VALUE"""),12.5)</f>
        <v>12.5</v>
      </c>
      <c r="AD75" s="344">
        <f>IFERROR(__xludf.DUMMYFUNCTION("""COMPUTED_VALUE"""),8.5)</f>
        <v>8.5</v>
      </c>
      <c r="AE75" s="343">
        <f>IFERROR(__xludf.DUMMYFUNCTION("""COMPUTED_VALUE"""),41.8)</f>
        <v>41.8</v>
      </c>
      <c r="AF75" s="343">
        <f>IFERROR(__xludf.DUMMYFUNCTION("""COMPUTED_VALUE"""),1.94)</f>
        <v>1.94</v>
      </c>
      <c r="AG75" s="292" t="b">
        <f>IFERROR(__xludf.DUMMYFUNCTION("""COMPUTED_VALUE"""),FALSE)</f>
        <v>0</v>
      </c>
      <c r="AH75" s="292" t="b">
        <f>IFERROR(__xludf.DUMMYFUNCTION("""COMPUTED_VALUE"""),TRUE)</f>
        <v>1</v>
      </c>
      <c r="AI75" s="292" t="b">
        <f>IFERROR(__xludf.DUMMYFUNCTION("""COMPUTED_VALUE"""),FALSE)</f>
        <v>0</v>
      </c>
      <c r="AJ75" s="292" t="b">
        <f>IFERROR(__xludf.DUMMYFUNCTION("""COMPUTED_VALUE"""),FALSE)</f>
        <v>0</v>
      </c>
      <c r="AK75" s="292" t="b">
        <f>IFERROR(__xludf.DUMMYFUNCTION("""COMPUTED_VALUE"""),FALSE)</f>
        <v>0</v>
      </c>
      <c r="AL75" s="292" t="b">
        <f>IFERROR(__xludf.DUMMYFUNCTION("""COMPUTED_VALUE"""),FALSE)</f>
        <v>0</v>
      </c>
      <c r="AM75" s="292" t="b">
        <f>IFERROR(__xludf.DUMMYFUNCTION("""COMPUTED_VALUE"""),FALSE)</f>
        <v>0</v>
      </c>
      <c r="AN75" s="292" t="b">
        <f>IFERROR(__xludf.DUMMYFUNCTION("""COMPUTED_VALUE"""),FALSE)</f>
        <v>0</v>
      </c>
      <c r="AO75" s="292" t="str">
        <f>IFERROR(__xludf.DUMMYFUNCTION("""COMPUTED_VALUE"""),"FALSE")</f>
        <v>FALSE</v>
      </c>
      <c r="AP75" s="292" t="str">
        <f>IFERROR(__xludf.DUMMYFUNCTION("""COMPUTED_VALUE"""),"Ground beef")</f>
        <v>Ground beef</v>
      </c>
      <c r="AQ75" s="292" t="str">
        <f>IFERROR(__xludf.DUMMYFUNCTION("""COMPUTED_VALUE"""),"Beef")</f>
        <v>Beef</v>
      </c>
      <c r="AR75" s="292" t="str">
        <f>IFERROR(__xludf.DUMMYFUNCTION("""COMPUTED_VALUE"""),"Ground")</f>
        <v>Ground</v>
      </c>
      <c r="AS75" s="292" t="str">
        <f>IFERROR(__xludf.DUMMYFUNCTION("""COMPUTED_VALUE"""),"Cabbage")</f>
        <v>Cabbage</v>
      </c>
      <c r="AT75" s="292" t="str">
        <f>IFERROR(__xludf.DUMMYFUNCTION("""COMPUTED_VALUE"""),"Green Beans")</f>
        <v>Green Beans</v>
      </c>
      <c r="AU75" s="292" t="str">
        <f>IFERROR(__xludf.DUMMYFUNCTION("""COMPUTED_VALUE"""),"Pepper Mix")</f>
        <v>Pepper Mix</v>
      </c>
      <c r="AV75" s="292" t="str">
        <f>IFERROR(__xludf.DUMMYFUNCTION("""COMPUTED_VALUE"""),"Cheese")</f>
        <v>Cheese</v>
      </c>
      <c r="AW75" s="292" t="str">
        <f>IFERROR(__xludf.DUMMYFUNCTION("""COMPUTED_VALUE"""),"Year Round")</f>
        <v>Year Round</v>
      </c>
      <c r="AX75" s="292" t="str">
        <f>IFERROR(__xludf.DUMMYFUNCTION("""COMPUTED_VALUE"""),"American")</f>
        <v>American</v>
      </c>
      <c r="AY75" s="292"/>
      <c r="AZ75" s="292" t="str">
        <f>IFERROR(__xludf.DUMMYFUNCTION("""COMPUTED_VALUE"""),"2 CT")</f>
        <v>2 CT</v>
      </c>
      <c r="BA75" s="292" t="b">
        <f>IFERROR(__xludf.DUMMYFUNCTION("""COMPUTED_VALUE"""),FALSE)</f>
        <v>0</v>
      </c>
      <c r="BB75" s="342">
        <f>IFERROR(__xludf.DUMMYFUNCTION("""COMPUTED_VALUE"""),2.48)</f>
        <v>2.48</v>
      </c>
      <c r="BC75" s="342">
        <f>IFERROR(__xludf.DUMMYFUNCTION("""COMPUTED_VALUE"""),0.98)</f>
        <v>0.98</v>
      </c>
      <c r="BD75" s="342">
        <f>IFERROR(__xludf.DUMMYFUNCTION("""COMPUTED_VALUE"""),0.36)</f>
        <v>0.36</v>
      </c>
      <c r="BE75" s="342">
        <f>IFERROR(__xludf.DUMMYFUNCTION("""COMPUTED_VALUE"""),0.89)</f>
        <v>0.89</v>
      </c>
      <c r="BF75" s="296">
        <f>IFERROR(__xludf.DUMMYFUNCTION("""COMPUTED_VALUE"""),3.323541658072763)</f>
        <v>3.323541658</v>
      </c>
      <c r="BG75" s="296">
        <f>IFERROR(__xludf.DUMMYFUNCTION("""COMPUTED_VALUE"""),3.610637626262626)</f>
        <v>3.610637626</v>
      </c>
      <c r="BH75" s="296">
        <f>IFERROR(__xludf.DUMMYFUNCTION("""COMPUTED_VALUE"""),3.462973431317128)</f>
        <v>3.462973431</v>
      </c>
      <c r="BI75" s="295">
        <f>IFERROR(__xludf.DUMMYFUNCTION("""COMPUTED_VALUE"""),150.0)</f>
        <v>150</v>
      </c>
      <c r="BJ75" s="295" t="str">
        <f>IFERROR(__xludf.DUMMYFUNCTION("""COMPUTED_VALUE"""),"FALSE")</f>
        <v>FALSE</v>
      </c>
      <c r="BK75" s="346">
        <f>IFERROR(__xludf.DUMMYFUNCTION("""COMPUTED_VALUE"""),3478.0)</f>
        <v>3478</v>
      </c>
      <c r="BL75" s="292" t="str">
        <f>IFERROR(__xludf.DUMMYFUNCTION("""COMPUTED_VALUE"""),"US")</f>
        <v>US</v>
      </c>
      <c r="BM75" s="292" t="str">
        <f>IFERROR(__xludf.DUMMYFUNCTION("""COMPUTED_VALUE"""),"Savoykål i ostsås med nötfärs")</f>
        <v>Savoykål i ostsås med nötfärs</v>
      </c>
      <c r="BN75" s="343">
        <f>IFERROR(__xludf.DUMMYFUNCTION("""COMPUTED_VALUE"""),3.4473684210526314)</f>
        <v>3.447368421</v>
      </c>
      <c r="BO75" s="343">
        <f>IFERROR(__xludf.DUMMYFUNCTION("""COMPUTED_VALUE"""),3.2999999999999994)</f>
        <v>3.3</v>
      </c>
      <c r="BP75" s="292"/>
      <c r="BQ75" s="292" t="str">
        <f>IFERROR(__xludf.DUMMYFUNCTION("""COMPUTED_VALUE"""),"Graveyard")</f>
        <v>Graveyard</v>
      </c>
      <c r="BR75" s="292" t="b">
        <f>IFERROR(__xludf.DUMMYFUNCTION("""COMPUTED_VALUE"""),FALSE)</f>
        <v>0</v>
      </c>
      <c r="BS75" s="292" t="b">
        <f>IFERROR(__xludf.DUMMYFUNCTION("""COMPUTED_VALUE"""),FALSE)</f>
        <v>0</v>
      </c>
      <c r="BT75" s="345">
        <f>IFERROR(__xludf.DUMMYFUNCTION("""COMPUTED_VALUE"""),980.0)</f>
        <v>980</v>
      </c>
      <c r="BU75" s="345">
        <f>IFERROR(__xludf.DUMMYFUNCTION("""COMPUTED_VALUE"""),236.0)</f>
        <v>236</v>
      </c>
      <c r="BV75" s="344">
        <f>IFERROR(__xludf.DUMMYFUNCTION("""COMPUTED_VALUE"""),18.5)</f>
        <v>18.5</v>
      </c>
      <c r="BW75" s="344">
        <f>IFERROR(__xludf.DUMMYFUNCTION("""COMPUTED_VALUE"""),7.7)</f>
        <v>7.7</v>
      </c>
    </row>
    <row r="76">
      <c r="A76" s="292" t="str">
        <f>IFERROR(__xludf.DUMMYFUNCTION("""COMPUTED_VALUE"""),"FE0745A")</f>
        <v>FE0745A</v>
      </c>
      <c r="B76" s="292" t="str">
        <f>IFERROR(__xludf.DUMMYFUNCTION("""COMPUTED_VALUE"""),"CON-40-143726-4")</f>
        <v>CON-40-143726-4</v>
      </c>
      <c r="C76" s="292" t="str">
        <f>IFERROR(__xludf.DUMMYFUNCTION("""COMPUTED_VALUE"""),"CON-00-147855-2")</f>
        <v>CON-00-147855-2</v>
      </c>
      <c r="D76" s="292" t="str">
        <f>IFERROR(__xludf.DUMMYFUNCTION("""COMPUTED_VALUE"""),"CON-00-136718-3")</f>
        <v>CON-00-136718-3</v>
      </c>
      <c r="E76" s="292" t="str">
        <f>IFERROR(__xludf.DUMMYFUNCTION("""COMPUTED_VALUE"""),"Beef in paprika sauce")</f>
        <v>Beef in paprika sauce</v>
      </c>
      <c r="F76" s="292" t="str">
        <f>IFERROR(__xludf.DUMMYFUNCTION("""COMPUTED_VALUE"""),"with pecorino, cauliflower puree and zucchini")</f>
        <v>with pecorino, cauliflower puree and zucchini</v>
      </c>
      <c r="G76" s="292" t="str">
        <f>IFERROR(__xludf.DUMMYFUNCTION("""COMPUTED_VALUE"""),"Rundvlees in paprikasaus")</f>
        <v>Rundvlees in paprikasaus</v>
      </c>
      <c r="H76" s="292" t="str">
        <f>IFERROR(__xludf.DUMMYFUNCTION("""COMPUTED_VALUE"""),"met pecorino, bloemkoolpuree en courgette")</f>
        <v>met pecorino, bloemkoolpuree en courgette</v>
      </c>
      <c r="I76" s="292" t="str">
        <f>IFERROR(__xludf.DUMMYFUNCTION("""COMPUTED_VALUE"""),"Oksekød i paprikasauce ")</f>
        <v>Oksekød i paprikasauce </v>
      </c>
      <c r="J76" s="292" t="str">
        <f>IFERROR(__xludf.DUMMYFUNCTION("""COMPUTED_VALUE"""),"Rindfleisch in Paprikasauce")</f>
        <v>Rindfleisch in Paprikasauce</v>
      </c>
      <c r="K76" s="292">
        <f>IFERROR(__xludf.DUMMYFUNCTION("""COMPUTED_VALUE"""),565106.0)</f>
        <v>565106</v>
      </c>
      <c r="L76" s="292"/>
      <c r="M76" s="292" t="str">
        <f>IFERROR(__xludf.DUMMYFUNCTION("""COMPUTED_VALUE"""),"FA-NL Rundvlees in paprikasaus (FE0745)")</f>
        <v>FA-NL Rundvlees in paprikasaus (FE0745)</v>
      </c>
      <c r="N76" s="292" t="str">
        <f>IFERROR(__xludf.DUMMYFUNCTION("""COMPUTED_VALUE"""),"FA-NO Oksekød i paprikasauce (FE0745)")</f>
        <v>FA-NO Oksekød i paprikasauce (FE0745)</v>
      </c>
      <c r="O76" s="292" t="str">
        <f>IFERROR(__xludf.DUMMYFUNCTION("""COMPUTED_VALUE"""),"FA-DE Rindfleisch in Paprikasauce (FE0745)")</f>
        <v>FA-DE Rindfleisch in Paprikasauce (FE0745)</v>
      </c>
      <c r="P76" s="292" t="str">
        <f>IFERROR(__xludf.DUMMYFUNCTION("""COMPUTED_VALUE"""),"Graveyard")</f>
        <v>Graveyard</v>
      </c>
      <c r="Q76" s="292"/>
      <c r="R76" s="342">
        <f>IFERROR(__xludf.DUMMYFUNCTION("""COMPUTED_VALUE"""),5.03)</f>
        <v>5.03</v>
      </c>
      <c r="S76" s="292"/>
      <c r="T76" s="292"/>
      <c r="U76" s="292"/>
      <c r="V76" s="292"/>
      <c r="W76" s="292" t="b">
        <f>IFERROR(__xludf.DUMMYFUNCTION("""COMPUTED_VALUE"""),TRUE)</f>
        <v>1</v>
      </c>
      <c r="X76" s="345">
        <f>IFERROR(__xludf.DUMMYFUNCTION("""COMPUTED_VALUE"""),422.0)</f>
        <v>422</v>
      </c>
      <c r="Y76" s="344">
        <f>IFERROR(__xludf.DUMMYFUNCTION("""COMPUTED_VALUE"""),565.0)</f>
        <v>565</v>
      </c>
      <c r="Z76" s="343">
        <f>IFERROR(__xludf.DUMMYFUNCTION("""COMPUTED_VALUE"""),37.6)</f>
        <v>37.6</v>
      </c>
      <c r="AA76" s="344">
        <f>IFERROR(__xludf.DUMMYFUNCTION("""COMPUTED_VALUE"""),21.1)</f>
        <v>21.1</v>
      </c>
      <c r="AB76" s="344">
        <f>IFERROR(__xludf.DUMMYFUNCTION("""COMPUTED_VALUE"""),12.2)</f>
        <v>12.2</v>
      </c>
      <c r="AC76" s="344">
        <f>IFERROR(__xludf.DUMMYFUNCTION("""COMPUTED_VALUE"""),10.6)</f>
        <v>10.6</v>
      </c>
      <c r="AD76" s="344">
        <f>IFERROR(__xludf.DUMMYFUNCTION("""COMPUTED_VALUE"""),5.1)</f>
        <v>5.1</v>
      </c>
      <c r="AE76" s="343">
        <f>IFERROR(__xludf.DUMMYFUNCTION("""COMPUTED_VALUE"""),40.9)</f>
        <v>40.9</v>
      </c>
      <c r="AF76" s="343">
        <f>IFERROR(__xludf.DUMMYFUNCTION("""COMPUTED_VALUE"""),2.03)</f>
        <v>2.03</v>
      </c>
      <c r="AG76" s="292" t="b">
        <f>IFERROR(__xludf.DUMMYFUNCTION("""COMPUTED_VALUE"""),FALSE)</f>
        <v>0</v>
      </c>
      <c r="AH76" s="292" t="b">
        <f>IFERROR(__xludf.DUMMYFUNCTION("""COMPUTED_VALUE"""),TRUE)</f>
        <v>1</v>
      </c>
      <c r="AI76" s="292" t="b">
        <f>IFERROR(__xludf.DUMMYFUNCTION("""COMPUTED_VALUE"""),FALSE)</f>
        <v>0</v>
      </c>
      <c r="AJ76" s="292" t="b">
        <f>IFERROR(__xludf.DUMMYFUNCTION("""COMPUTED_VALUE"""),FALSE)</f>
        <v>0</v>
      </c>
      <c r="AK76" s="292" t="b">
        <f>IFERROR(__xludf.DUMMYFUNCTION("""COMPUTED_VALUE"""),FALSE)</f>
        <v>0</v>
      </c>
      <c r="AL76" s="292" t="b">
        <f>IFERROR(__xludf.DUMMYFUNCTION("""COMPUTED_VALUE"""),FALSE)</f>
        <v>0</v>
      </c>
      <c r="AM76" s="292" t="b">
        <f>IFERROR(__xludf.DUMMYFUNCTION("""COMPUTED_VALUE"""),TRUE)</f>
        <v>1</v>
      </c>
      <c r="AN76" s="292" t="b">
        <f>IFERROR(__xludf.DUMMYFUNCTION("""COMPUTED_VALUE"""),FALSE)</f>
        <v>0</v>
      </c>
      <c r="AO76" s="292" t="str">
        <f>IFERROR(__xludf.DUMMYFUNCTION("""COMPUTED_VALUE"""),"FALSE")</f>
        <v>FALSE</v>
      </c>
      <c r="AP76" s="292" t="str">
        <f>IFERROR(__xludf.DUMMYFUNCTION("""COMPUTED_VALUE"""),"Shredded beef")</f>
        <v>Shredded beef</v>
      </c>
      <c r="AQ76" s="292" t="str">
        <f>IFERROR(__xludf.DUMMYFUNCTION("""COMPUTED_VALUE"""),"Beef")</f>
        <v>Beef</v>
      </c>
      <c r="AR76" s="292" t="str">
        <f>IFERROR(__xludf.DUMMYFUNCTION("""COMPUTED_VALUE"""),"Shredded")</f>
        <v>Shredded</v>
      </c>
      <c r="AS76" s="292" t="str">
        <f>IFERROR(__xludf.DUMMYFUNCTION("""COMPUTED_VALUE"""),"Cauliflower Mash")</f>
        <v>Cauliflower Mash</v>
      </c>
      <c r="AT76" s="292" t="str">
        <f>IFERROR(__xludf.DUMMYFUNCTION("""COMPUTED_VALUE"""),"Zucchini Diced")</f>
        <v>Zucchini Diced</v>
      </c>
      <c r="AU76" s="292" t="str">
        <f>IFERROR(__xludf.DUMMYFUNCTION("""COMPUTED_VALUE"""),"Red bell pepper")</f>
        <v>Red bell pepper</v>
      </c>
      <c r="AV76" s="292" t="str">
        <f>IFERROR(__xludf.DUMMYFUNCTION("""COMPUTED_VALUE"""),"Cheese")</f>
        <v>Cheese</v>
      </c>
      <c r="AW76" s="292" t="str">
        <f>IFERROR(__xludf.DUMMYFUNCTION("""COMPUTED_VALUE"""),"Year Round")</f>
        <v>Year Round</v>
      </c>
      <c r="AX76" s="292" t="str">
        <f>IFERROR(__xludf.DUMMYFUNCTION("""COMPUTED_VALUE"""),"American")</f>
        <v>American</v>
      </c>
      <c r="AY76" s="292"/>
      <c r="AZ76" s="292" t="str">
        <f>IFERROR(__xludf.DUMMYFUNCTION("""COMPUTED_VALUE"""),"2 CT")</f>
        <v>2 CT</v>
      </c>
      <c r="BA76" s="292" t="b">
        <f>IFERROR(__xludf.DUMMYFUNCTION("""COMPUTED_VALUE"""),FALSE)</f>
        <v>0</v>
      </c>
      <c r="BB76" s="342">
        <f>IFERROR(__xludf.DUMMYFUNCTION("""COMPUTED_VALUE"""),2.79)</f>
        <v>2.79</v>
      </c>
      <c r="BC76" s="342">
        <f>IFERROR(__xludf.DUMMYFUNCTION("""COMPUTED_VALUE"""),1.04)</f>
        <v>1.04</v>
      </c>
      <c r="BD76" s="342">
        <f>IFERROR(__xludf.DUMMYFUNCTION("""COMPUTED_VALUE"""),0.362)</f>
        <v>0.362</v>
      </c>
      <c r="BE76" s="342">
        <f>IFERROR(__xludf.DUMMYFUNCTION("""COMPUTED_VALUE"""),0.89)</f>
        <v>0.89</v>
      </c>
      <c r="BF76" s="296" t="str">
        <f>IFERROR(__xludf.DUMMYFUNCTION("""COMPUTED_VALUE"""),"#REF!")</f>
        <v>#REF!</v>
      </c>
      <c r="BG76" s="296" t="str">
        <f>IFERROR(__xludf.DUMMYFUNCTION("""COMPUTED_VALUE"""),"#REF!")</f>
        <v>#REF!</v>
      </c>
      <c r="BH76" s="296" t="str">
        <f>IFERROR(__xludf.DUMMYFUNCTION("""COMPUTED_VALUE"""),"#REF!")</f>
        <v>#REF!</v>
      </c>
      <c r="BI76" s="295">
        <f>IFERROR(__xludf.DUMMYFUNCTION("""COMPUTED_VALUE"""),252.0)</f>
        <v>252</v>
      </c>
      <c r="BJ76" s="295" t="str">
        <f>IFERROR(__xludf.DUMMYFUNCTION("""COMPUTED_VALUE"""),"FALSE")</f>
        <v>FALSE</v>
      </c>
      <c r="BK76" s="346">
        <f>IFERROR(__xludf.DUMMYFUNCTION("""COMPUTED_VALUE"""),2351.0)</f>
        <v>2351</v>
      </c>
      <c r="BL76" s="292" t="str">
        <f>IFERROR(__xludf.DUMMYFUNCTION("""COMPUTED_VALUE"""),"US")</f>
        <v>US</v>
      </c>
      <c r="BM76" s="292" t="str">
        <f>IFERROR(__xludf.DUMMYFUNCTION("""COMPUTED_VALUE"""),"Nötkött i paprikasås ")</f>
        <v>Nötkött i paprikasås </v>
      </c>
      <c r="BN76" s="292"/>
      <c r="BO76" s="292"/>
      <c r="BP76" s="292"/>
      <c r="BQ76" s="292" t="str">
        <f>IFERROR(__xludf.DUMMYFUNCTION("""COMPUTED_VALUE"""),"Graveyard")</f>
        <v>Graveyard</v>
      </c>
      <c r="BR76" s="292" t="b">
        <f>IFERROR(__xludf.DUMMYFUNCTION("""COMPUTED_VALUE"""),FALSE)</f>
        <v>0</v>
      </c>
      <c r="BS76" s="292" t="b">
        <f>IFERROR(__xludf.DUMMYFUNCTION("""COMPUTED_VALUE"""),FALSE)</f>
        <v>0</v>
      </c>
      <c r="BT76" s="345">
        <f>IFERROR(__xludf.DUMMYFUNCTION("""COMPUTED_VALUE"""),557.0)</f>
        <v>557</v>
      </c>
      <c r="BU76" s="345">
        <f>IFERROR(__xludf.DUMMYFUNCTION("""COMPUTED_VALUE"""),134.0)</f>
        <v>134</v>
      </c>
      <c r="BV76" s="344">
        <f>IFERROR(__xludf.DUMMYFUNCTION("""COMPUTED_VALUE"""),8.9)</f>
        <v>8.9</v>
      </c>
      <c r="BW76" s="344">
        <f>IFERROR(__xludf.DUMMYFUNCTION("""COMPUTED_VALUE"""),5.0)</f>
        <v>5</v>
      </c>
    </row>
    <row r="77">
      <c r="A77" s="292" t="str">
        <f>IFERROR(__xludf.DUMMYFUNCTION("""COMPUTED_VALUE"""),"FE0746A")</f>
        <v>FE0746A</v>
      </c>
      <c r="B77" s="292" t="str">
        <f>IFERROR(__xludf.DUMMYFUNCTION("""COMPUTED_VALUE"""),"CON-40-143706-4")</f>
        <v>CON-40-143706-4</v>
      </c>
      <c r="C77" s="292" t="str">
        <f>IFERROR(__xludf.DUMMYFUNCTION("""COMPUTED_VALUE"""),"CON-00-147857-2")</f>
        <v>CON-00-147857-2</v>
      </c>
      <c r="D77" s="292" t="str">
        <f>IFERROR(__xludf.DUMMYFUNCTION("""COMPUTED_VALUE"""),"CON-00-136694-3")</f>
        <v>CON-00-136694-3</v>
      </c>
      <c r="E77" s="292" t="str">
        <f>IFERROR(__xludf.DUMMYFUNCTION("""COMPUTED_VALUE"""),"Spicy ground beef with jalapenos")</f>
        <v>Spicy ground beef with jalapenos</v>
      </c>
      <c r="F77" s="292" t="str">
        <f>IFERROR(__xludf.DUMMYFUNCTION("""COMPUTED_VALUE"""),"with cauliflower rice, courgette and coriander crema")</f>
        <v>with cauliflower rice, courgette and coriander crema</v>
      </c>
      <c r="G77" s="292" t="str">
        <f>IFERROR(__xludf.DUMMYFUNCTION("""COMPUTED_VALUE"""),"Pittig rundergehakt met jalapeno's")</f>
        <v>Pittig rundergehakt met jalapeno's</v>
      </c>
      <c r="H77" s="292" t="str">
        <f>IFERROR(__xludf.DUMMYFUNCTION("""COMPUTED_VALUE"""),"met bloemkoolrijst, courgette en koriander-crème")</f>
        <v>met bloemkoolrijst, courgette en koriander-crème</v>
      </c>
      <c r="I77" s="292" t="str">
        <f>IFERROR(__xludf.DUMMYFUNCTION("""COMPUTED_VALUE"""),"Krydret hakket oksekød med jalapenos")</f>
        <v>Krydret hakket oksekød med jalapenos</v>
      </c>
      <c r="J77" s="292" t="str">
        <f>IFERROR(__xludf.DUMMYFUNCTION("""COMPUTED_VALUE"""),"Scharfes Rinderhack mit Jalapeños")</f>
        <v>Scharfes Rinderhack mit Jalapeños</v>
      </c>
      <c r="K77" s="292">
        <f>IFERROR(__xludf.DUMMYFUNCTION("""COMPUTED_VALUE"""),565091.0)</f>
        <v>565091</v>
      </c>
      <c r="L77" s="292" t="str">
        <f>IFERROR(__xludf.DUMMYFUNCTION("""COMPUTED_VALUE"""),"HF Beef burrito bowl")</f>
        <v>HF Beef burrito bowl</v>
      </c>
      <c r="M77" s="292" t="str">
        <f>IFERROR(__xludf.DUMMYFUNCTION("""COMPUTED_VALUE"""),"FA-NL Pittig rundergehakt met jalapenos (FE0746)")</f>
        <v>FA-NL Pittig rundergehakt met jalapenos (FE0746)</v>
      </c>
      <c r="N77" s="292" t="str">
        <f>IFERROR(__xludf.DUMMYFUNCTION("""COMPUTED_VALUE"""),"FA-NO Krydret hakkebøf med jalapenos (FE0746)")</f>
        <v>FA-NO Krydret hakkebøf med jalapenos (FE0746)</v>
      </c>
      <c r="O77" s="292" t="str">
        <f>IFERROR(__xludf.DUMMYFUNCTION("""COMPUTED_VALUE"""),"FA-DE Scharfes Rinderhack mit Jalapeños (FE0746)")</f>
        <v>FA-DE Scharfes Rinderhack mit Jalapeños (FE0746)</v>
      </c>
      <c r="P77" s="292" t="str">
        <f>IFERROR(__xludf.DUMMYFUNCTION("""COMPUTED_VALUE"""),"Hold")</f>
        <v>Hold</v>
      </c>
      <c r="Q77" s="292" t="str">
        <f>IFERROR(__xludf.DUMMYFUNCTION("""COMPUTED_VALUE"""),"On Hold from W10")</f>
        <v>On Hold from W10</v>
      </c>
      <c r="R77" s="342">
        <f>IFERROR(__xludf.DUMMYFUNCTION("""COMPUTED_VALUE"""),5.079999999999999)</f>
        <v>5.08</v>
      </c>
      <c r="S77" s="292"/>
      <c r="T77" s="292"/>
      <c r="U77" s="292"/>
      <c r="V77" s="292"/>
      <c r="W77" s="292" t="b">
        <f>IFERROR(__xludf.DUMMYFUNCTION("""COMPUTED_VALUE"""),TRUE)</f>
        <v>1</v>
      </c>
      <c r="X77" s="345">
        <f>IFERROR(__xludf.DUMMYFUNCTION("""COMPUTED_VALUE"""),417.0)</f>
        <v>417</v>
      </c>
      <c r="Y77" s="344">
        <f>IFERROR(__xludf.DUMMYFUNCTION("""COMPUTED_VALUE"""),513.0)</f>
        <v>513</v>
      </c>
      <c r="Z77" s="343">
        <f>IFERROR(__xludf.DUMMYFUNCTION("""COMPUTED_VALUE"""),37.5)</f>
        <v>37.5</v>
      </c>
      <c r="AA77" s="344">
        <f>IFERROR(__xludf.DUMMYFUNCTION("""COMPUTED_VALUE"""),17.5)</f>
        <v>17.5</v>
      </c>
      <c r="AB77" s="344">
        <f>IFERROR(__xludf.DUMMYFUNCTION("""COMPUTED_VALUE"""),14.2)</f>
        <v>14.2</v>
      </c>
      <c r="AC77" s="344">
        <f>IFERROR(__xludf.DUMMYFUNCTION("""COMPUTED_VALUE"""),10.4)</f>
        <v>10.4</v>
      </c>
      <c r="AD77" s="344">
        <f>IFERROR(__xludf.DUMMYFUNCTION("""COMPUTED_VALUE"""),5.8)</f>
        <v>5.8</v>
      </c>
      <c r="AE77" s="343">
        <f>IFERROR(__xludf.DUMMYFUNCTION("""COMPUTED_VALUE"""),25.0)</f>
        <v>25</v>
      </c>
      <c r="AF77" s="343">
        <f>IFERROR(__xludf.DUMMYFUNCTION("""COMPUTED_VALUE"""),2.0)</f>
        <v>2</v>
      </c>
      <c r="AG77" s="292" t="b">
        <f>IFERROR(__xludf.DUMMYFUNCTION("""COMPUTED_VALUE"""),TRUE)</f>
        <v>1</v>
      </c>
      <c r="AH77" s="292" t="b">
        <f>IFERROR(__xludf.DUMMYFUNCTION("""COMPUTED_VALUE"""),TRUE)</f>
        <v>1</v>
      </c>
      <c r="AI77" s="292" t="b">
        <f>IFERROR(__xludf.DUMMYFUNCTION("""COMPUTED_VALUE"""),FALSE)</f>
        <v>0</v>
      </c>
      <c r="AJ77" s="292" t="b">
        <f>IFERROR(__xludf.DUMMYFUNCTION("""COMPUTED_VALUE"""),FALSE)</f>
        <v>0</v>
      </c>
      <c r="AK77" s="292" t="b">
        <f>IFERROR(__xludf.DUMMYFUNCTION("""COMPUTED_VALUE"""),FALSE)</f>
        <v>0</v>
      </c>
      <c r="AL77" s="292" t="b">
        <f>IFERROR(__xludf.DUMMYFUNCTION("""COMPUTED_VALUE"""),FALSE)</f>
        <v>0</v>
      </c>
      <c r="AM77" s="292" t="b">
        <f>IFERROR(__xludf.DUMMYFUNCTION("""COMPUTED_VALUE"""),FALSE)</f>
        <v>0</v>
      </c>
      <c r="AN77" s="292" t="b">
        <f>IFERROR(__xludf.DUMMYFUNCTION("""COMPUTED_VALUE"""),FALSE)</f>
        <v>0</v>
      </c>
      <c r="AO77" s="292" t="str">
        <f>IFERROR(__xludf.DUMMYFUNCTION("""COMPUTED_VALUE"""),"FALSE")</f>
        <v>FALSE</v>
      </c>
      <c r="AP77" s="292" t="str">
        <f>IFERROR(__xludf.DUMMYFUNCTION("""COMPUTED_VALUE"""),"Ground beef")</f>
        <v>Ground beef</v>
      </c>
      <c r="AQ77" s="292" t="str">
        <f>IFERROR(__xludf.DUMMYFUNCTION("""COMPUTED_VALUE"""),"Beef")</f>
        <v>Beef</v>
      </c>
      <c r="AR77" s="292" t="str">
        <f>IFERROR(__xludf.DUMMYFUNCTION("""COMPUTED_VALUE"""),"Ground")</f>
        <v>Ground</v>
      </c>
      <c r="AS77" s="292" t="str">
        <f>IFERROR(__xludf.DUMMYFUNCTION("""COMPUTED_VALUE"""),"Cauliflower Rice")</f>
        <v>Cauliflower Rice</v>
      </c>
      <c r="AT77" s="292" t="str">
        <f>IFERROR(__xludf.DUMMYFUNCTION("""COMPUTED_VALUE"""),"Zucchini Diced")</f>
        <v>Zucchini Diced</v>
      </c>
      <c r="AU77" s="292" t="str">
        <f>IFERROR(__xludf.DUMMYFUNCTION("""COMPUTED_VALUE"""),"Cheese")</f>
        <v>Cheese</v>
      </c>
      <c r="AV77" s="292" t="str">
        <f>IFERROR(__xludf.DUMMYFUNCTION("""COMPUTED_VALUE"""),"Jalapeno slices")</f>
        <v>Jalapeno slices</v>
      </c>
      <c r="AW77" s="292" t="str">
        <f>IFERROR(__xludf.DUMMYFUNCTION("""COMPUTED_VALUE"""),"Year Round")</f>
        <v>Year Round</v>
      </c>
      <c r="AX77" s="292" t="str">
        <f>IFERROR(__xludf.DUMMYFUNCTION("""COMPUTED_VALUE"""),"Mexican")</f>
        <v>Mexican</v>
      </c>
      <c r="AY77" s="292"/>
      <c r="AZ77" s="292" t="str">
        <f>IFERROR(__xludf.DUMMYFUNCTION("""COMPUTED_VALUE"""),"2 CT")</f>
        <v>2 CT</v>
      </c>
      <c r="BA77" s="292" t="b">
        <f>IFERROR(__xludf.DUMMYFUNCTION("""COMPUTED_VALUE"""),TRUE)</f>
        <v>1</v>
      </c>
      <c r="BB77" s="342">
        <f>IFERROR(__xludf.DUMMYFUNCTION("""COMPUTED_VALUE"""),2.69)</f>
        <v>2.69</v>
      </c>
      <c r="BC77" s="342">
        <f>IFERROR(__xludf.DUMMYFUNCTION("""COMPUTED_VALUE"""),1.11)</f>
        <v>1.11</v>
      </c>
      <c r="BD77" s="342">
        <f>IFERROR(__xludf.DUMMYFUNCTION("""COMPUTED_VALUE"""),0.39)</f>
        <v>0.39</v>
      </c>
      <c r="BE77" s="342">
        <f>IFERROR(__xludf.DUMMYFUNCTION("""COMPUTED_VALUE"""),0.89)</f>
        <v>0.89</v>
      </c>
      <c r="BF77" s="296">
        <f>IFERROR(__xludf.DUMMYFUNCTION("""COMPUTED_VALUE"""),3.3033333333333332)</f>
        <v>3.303333333</v>
      </c>
      <c r="BG77" s="296">
        <f>IFERROR(__xludf.DUMMYFUNCTION("""COMPUTED_VALUE"""),3.393333333333333)</f>
        <v>3.393333333</v>
      </c>
      <c r="BH77" s="296">
        <f>IFERROR(__xludf.DUMMYFUNCTION("""COMPUTED_VALUE"""),3.2133333333333334)</f>
        <v>3.213333333</v>
      </c>
      <c r="BI77" s="295">
        <f>IFERROR(__xludf.DUMMYFUNCTION("""COMPUTED_VALUE"""),197.0)</f>
        <v>197</v>
      </c>
      <c r="BJ77" s="295" t="str">
        <f>IFERROR(__xludf.DUMMYFUNCTION("""COMPUTED_VALUE"""),"FALSE")</f>
        <v>FALSE</v>
      </c>
      <c r="BK77" s="346">
        <f>IFERROR(__xludf.DUMMYFUNCTION("""COMPUTED_VALUE"""),2127.0)</f>
        <v>2127</v>
      </c>
      <c r="BL77" s="292" t="str">
        <f>IFERROR(__xludf.DUMMYFUNCTION("""COMPUTED_VALUE"""),"US")</f>
        <v>US</v>
      </c>
      <c r="BM77" s="292" t="str">
        <f>IFERROR(__xludf.DUMMYFUNCTION("""COMPUTED_VALUE"""),"Het nötfärs med jalapenos")</f>
        <v>Het nötfärs med jalapenos</v>
      </c>
      <c r="BN77" s="343">
        <f>IFERROR(__xludf.DUMMYFUNCTION("""COMPUTED_VALUE"""),3.25)</f>
        <v>3.25</v>
      </c>
      <c r="BO77" s="343">
        <f>IFERROR(__xludf.DUMMYFUNCTION("""COMPUTED_VALUE"""),3.1133333333333333)</f>
        <v>3.113333333</v>
      </c>
      <c r="BP77" s="292"/>
      <c r="BQ77" s="292" t="str">
        <f>IFERROR(__xludf.DUMMYFUNCTION("""COMPUTED_VALUE"""),"Proven")</f>
        <v>Proven</v>
      </c>
      <c r="BR77" s="292" t="b">
        <f>IFERROR(__xludf.DUMMYFUNCTION("""COMPUTED_VALUE"""),FALSE)</f>
        <v>0</v>
      </c>
      <c r="BS77" s="292" t="b">
        <f>IFERROR(__xludf.DUMMYFUNCTION("""COMPUTED_VALUE"""),FALSE)</f>
        <v>0</v>
      </c>
      <c r="BT77" s="345">
        <f>IFERROR(__xludf.DUMMYFUNCTION("""COMPUTED_VALUE"""),510.0)</f>
        <v>510</v>
      </c>
      <c r="BU77" s="345">
        <f>IFERROR(__xludf.DUMMYFUNCTION("""COMPUTED_VALUE"""),123.0)</f>
        <v>123</v>
      </c>
      <c r="BV77" s="344">
        <f>IFERROR(__xludf.DUMMYFUNCTION("""COMPUTED_VALUE"""),9.0)</f>
        <v>9</v>
      </c>
      <c r="BW77" s="344">
        <f>IFERROR(__xludf.DUMMYFUNCTION("""COMPUTED_VALUE"""),4.2)</f>
        <v>4.2</v>
      </c>
    </row>
    <row r="78">
      <c r="A78" s="292" t="str">
        <f>IFERROR(__xludf.DUMMYFUNCTION("""COMPUTED_VALUE"""),"FE0777A")</f>
        <v>FE0777A</v>
      </c>
      <c r="B78" s="292" t="str">
        <f>IFERROR(__xludf.DUMMYFUNCTION("""COMPUTED_VALUE"""),"CON-40-143743-4")</f>
        <v>CON-40-143743-4</v>
      </c>
      <c r="C78" s="292" t="str">
        <f>IFERROR(__xludf.DUMMYFUNCTION("""COMPUTED_VALUE"""),"CON-00-147856-2")</f>
        <v>CON-00-147856-2</v>
      </c>
      <c r="D78" s="292" t="str">
        <f>IFERROR(__xludf.DUMMYFUNCTION("""COMPUTED_VALUE"""),"CON-00-136716-3")</f>
        <v>CON-00-136716-3</v>
      </c>
      <c r="E78" s="292" t="str">
        <f>IFERROR(__xludf.DUMMYFUNCTION("""COMPUTED_VALUE"""),"Pork tenderloin with blue cheese sauce")</f>
        <v>Pork tenderloin with blue cheese sauce</v>
      </c>
      <c r="F78" s="292" t="str">
        <f>IFERROR(__xludf.DUMMYFUNCTION("""COMPUTED_VALUE"""),"with celeriac mash, zucchini and pearl onions ")</f>
        <v>with celeriac mash, zucchini and pearl onions </v>
      </c>
      <c r="G78" s="292" t="str">
        <f>IFERROR(__xludf.DUMMYFUNCTION("""COMPUTED_VALUE"""),"Varkenshaas met blauwe kaassaus")</f>
        <v>Varkenshaas met blauwe kaassaus</v>
      </c>
      <c r="H78" s="292" t="str">
        <f>IFERROR(__xludf.DUMMYFUNCTION("""COMPUTED_VALUE"""),"met knolselderijpuree, courgette en zilveruitjes ")</f>
        <v>met knolselderijpuree, courgette en zilveruitjes </v>
      </c>
      <c r="I78" s="292" t="str">
        <f>IFERROR(__xludf.DUMMYFUNCTION("""COMPUTED_VALUE"""),"Svinemørbrad med blå ostesauce ")</f>
        <v>Svinemørbrad med blå ostesauce </v>
      </c>
      <c r="J78" s="292" t="str">
        <f>IFERROR(__xludf.DUMMYFUNCTION("""COMPUTED_VALUE"""),"Schweinefilet in Blauschimmelkäsesauce")</f>
        <v>Schweinefilet in Blauschimmelkäsesauce</v>
      </c>
      <c r="K78" s="292">
        <f>IFERROR(__xludf.DUMMYFUNCTION("""COMPUTED_VALUE"""),565105.0)</f>
        <v>565105</v>
      </c>
      <c r="L78" s="292"/>
      <c r="M78" s="292" t="str">
        <f>IFERROR(__xludf.DUMMYFUNCTION("""COMPUTED_VALUE"""),"FA-NL Varkenshaas met blauwe kaassaus (FE0777)")</f>
        <v>FA-NL Varkenshaas met blauwe kaassaus (FE0777)</v>
      </c>
      <c r="N78" s="292" t="str">
        <f>IFERROR(__xludf.DUMMYFUNCTION("""COMPUTED_VALUE"""),"FA-NO Svinemørbrad med blå ostesauce (FE0777)")</f>
        <v>FA-NO Svinemørbrad med blå ostesauce (FE0777)</v>
      </c>
      <c r="O78" s="292" t="str">
        <f>IFERROR(__xludf.DUMMYFUNCTION("""COMPUTED_VALUE"""),"FA-DE Schweinefilet in Blauschimmelkäsesauce (FE0777)")</f>
        <v>FA-DE Schweinefilet in Blauschimmelkäsesauce (FE0777)</v>
      </c>
      <c r="P78" s="292" t="str">
        <f>IFERROR(__xludf.DUMMYFUNCTION("""COMPUTED_VALUE"""),"Graveyard")</f>
        <v>Graveyard</v>
      </c>
      <c r="Q78" s="292"/>
      <c r="R78" s="342">
        <f>IFERROR(__xludf.DUMMYFUNCTION("""COMPUTED_VALUE"""),5.42)</f>
        <v>5.42</v>
      </c>
      <c r="S78" s="292"/>
      <c r="T78" s="292"/>
      <c r="U78" s="292"/>
      <c r="V78" s="292"/>
      <c r="W78" s="292" t="b">
        <f>IFERROR(__xludf.DUMMYFUNCTION("""COMPUTED_VALUE"""),FALSE)</f>
        <v>0</v>
      </c>
      <c r="X78" s="345">
        <f>IFERROR(__xludf.DUMMYFUNCTION("""COMPUTED_VALUE"""),454.0)</f>
        <v>454</v>
      </c>
      <c r="Y78" s="344">
        <f>IFERROR(__xludf.DUMMYFUNCTION("""COMPUTED_VALUE"""),604.0)</f>
        <v>604</v>
      </c>
      <c r="Z78" s="343">
        <f>IFERROR(__xludf.DUMMYFUNCTION("""COMPUTED_VALUE"""),37.2)</f>
        <v>37.2</v>
      </c>
      <c r="AA78" s="344">
        <f>IFERROR(__xludf.DUMMYFUNCTION("""COMPUTED_VALUE"""),10.4)</f>
        <v>10.4</v>
      </c>
      <c r="AB78" s="344">
        <f>IFERROR(__xludf.DUMMYFUNCTION("""COMPUTED_VALUE"""),27.7)</f>
        <v>27.7</v>
      </c>
      <c r="AC78" s="344">
        <f>IFERROR(__xludf.DUMMYFUNCTION("""COMPUTED_VALUE"""),11.8)</f>
        <v>11.8</v>
      </c>
      <c r="AD78" s="344">
        <f>IFERROR(__xludf.DUMMYFUNCTION("""COMPUTED_VALUE"""),5.9)</f>
        <v>5.9</v>
      </c>
      <c r="AE78" s="343">
        <f>IFERROR(__xludf.DUMMYFUNCTION("""COMPUTED_VALUE"""),35.0)</f>
        <v>35</v>
      </c>
      <c r="AF78" s="343">
        <f>IFERROR(__xludf.DUMMYFUNCTION("""COMPUTED_VALUE"""),1.86)</f>
        <v>1.86</v>
      </c>
      <c r="AG78" s="292" t="b">
        <f>IFERROR(__xludf.DUMMYFUNCTION("""COMPUTED_VALUE"""),FALSE)</f>
        <v>0</v>
      </c>
      <c r="AH78" s="292" t="b">
        <f>IFERROR(__xludf.DUMMYFUNCTION("""COMPUTED_VALUE"""),FALSE)</f>
        <v>0</v>
      </c>
      <c r="AI78" s="292" t="b">
        <f>IFERROR(__xludf.DUMMYFUNCTION("""COMPUTED_VALUE"""),FALSE)</f>
        <v>0</v>
      </c>
      <c r="AJ78" s="292" t="b">
        <f>IFERROR(__xludf.DUMMYFUNCTION("""COMPUTED_VALUE"""),FALSE)</f>
        <v>0</v>
      </c>
      <c r="AK78" s="292" t="b">
        <f>IFERROR(__xludf.DUMMYFUNCTION("""COMPUTED_VALUE"""),FALSE)</f>
        <v>0</v>
      </c>
      <c r="AL78" s="292" t="b">
        <f>IFERROR(__xludf.DUMMYFUNCTION("""COMPUTED_VALUE"""),FALSE)</f>
        <v>0</v>
      </c>
      <c r="AM78" s="292" t="b">
        <f>IFERROR(__xludf.DUMMYFUNCTION("""COMPUTED_VALUE"""),TRUE)</f>
        <v>1</v>
      </c>
      <c r="AN78" s="292" t="b">
        <f>IFERROR(__xludf.DUMMYFUNCTION("""COMPUTED_VALUE"""),FALSE)</f>
        <v>0</v>
      </c>
      <c r="AO78" s="292" t="str">
        <f>IFERROR(__xludf.DUMMYFUNCTION("""COMPUTED_VALUE"""),"FALSE")</f>
        <v>FALSE</v>
      </c>
      <c r="AP78" s="292" t="str">
        <f>IFERROR(__xludf.DUMMYFUNCTION("""COMPUTED_VALUE"""),"Pork tenderloin")</f>
        <v>Pork tenderloin</v>
      </c>
      <c r="AQ78" s="292" t="str">
        <f>IFERROR(__xludf.DUMMYFUNCTION("""COMPUTED_VALUE"""),"Pork")</f>
        <v>Pork</v>
      </c>
      <c r="AR78" s="292" t="str">
        <f>IFERROR(__xludf.DUMMYFUNCTION("""COMPUTED_VALUE"""),"Tenderloin")</f>
        <v>Tenderloin</v>
      </c>
      <c r="AS78" s="292" t="str">
        <f>IFERROR(__xludf.DUMMYFUNCTION("""COMPUTED_VALUE"""),"Mash Mixed potato / low-carb veg")</f>
        <v>Mash Mixed potato / low-carb veg</v>
      </c>
      <c r="AT78" s="292" t="str">
        <f>IFERROR(__xludf.DUMMYFUNCTION("""COMPUTED_VALUE"""),"Zucchini Diced")</f>
        <v>Zucchini Diced</v>
      </c>
      <c r="AU78" s="292" t="str">
        <f>IFERROR(__xludf.DUMMYFUNCTION("""COMPUTED_VALUE"""),"Pearl onion")</f>
        <v>Pearl onion</v>
      </c>
      <c r="AV78" s="292" t="str">
        <f>IFERROR(__xludf.DUMMYFUNCTION("""COMPUTED_VALUE"""),"Cheese")</f>
        <v>Cheese</v>
      </c>
      <c r="AW78" s="292" t="str">
        <f>IFERROR(__xludf.DUMMYFUNCTION("""COMPUTED_VALUE"""),"Year Round")</f>
        <v>Year Round</v>
      </c>
      <c r="AX78" s="292" t="str">
        <f>IFERROR(__xludf.DUMMYFUNCTION("""COMPUTED_VALUE"""),"French")</f>
        <v>French</v>
      </c>
      <c r="AY78" s="292"/>
      <c r="AZ78" s="292" t="str">
        <f>IFERROR(__xludf.DUMMYFUNCTION("""COMPUTED_VALUE"""),"2 CT")</f>
        <v>2 CT</v>
      </c>
      <c r="BA78" s="292" t="b">
        <f>IFERROR(__xludf.DUMMYFUNCTION("""COMPUTED_VALUE"""),FALSE)</f>
        <v>0</v>
      </c>
      <c r="BB78" s="342">
        <f>IFERROR(__xludf.DUMMYFUNCTION("""COMPUTED_VALUE"""),3.12)</f>
        <v>3.12</v>
      </c>
      <c r="BC78" s="342">
        <f>IFERROR(__xludf.DUMMYFUNCTION("""COMPUTED_VALUE"""),1.1)</f>
        <v>1.1</v>
      </c>
      <c r="BD78" s="342">
        <f>IFERROR(__xludf.DUMMYFUNCTION("""COMPUTED_VALUE"""),0.362)</f>
        <v>0.362</v>
      </c>
      <c r="BE78" s="342">
        <f>IFERROR(__xludf.DUMMYFUNCTION("""COMPUTED_VALUE"""),0.89)</f>
        <v>0.89</v>
      </c>
      <c r="BF78" s="296" t="str">
        <f>IFERROR(__xludf.DUMMYFUNCTION("""COMPUTED_VALUE"""),"#REF!")</f>
        <v>#REF!</v>
      </c>
      <c r="BG78" s="296" t="str">
        <f>IFERROR(__xludf.DUMMYFUNCTION("""COMPUTED_VALUE"""),"#REF!")</f>
        <v>#REF!</v>
      </c>
      <c r="BH78" s="296" t="str">
        <f>IFERROR(__xludf.DUMMYFUNCTION("""COMPUTED_VALUE"""),"#REF!")</f>
        <v>#REF!</v>
      </c>
      <c r="BI78" s="295">
        <f>IFERROR(__xludf.DUMMYFUNCTION("""COMPUTED_VALUE"""),198.0)</f>
        <v>198</v>
      </c>
      <c r="BJ78" s="295" t="str">
        <f>IFERROR(__xludf.DUMMYFUNCTION("""COMPUTED_VALUE"""),"FALSE")</f>
        <v>FALSE</v>
      </c>
      <c r="BK78" s="346">
        <f>IFERROR(__xludf.DUMMYFUNCTION("""COMPUTED_VALUE"""),2511.0)</f>
        <v>2511</v>
      </c>
      <c r="BL78" s="292"/>
      <c r="BM78" s="292" t="str">
        <f>IFERROR(__xludf.DUMMYFUNCTION("""COMPUTED_VALUE"""),"Fläskfilé med blue cheese-sås")</f>
        <v>Fläskfilé med blue cheese-sås</v>
      </c>
      <c r="BN78" s="292"/>
      <c r="BO78" s="292"/>
      <c r="BP78" s="292"/>
      <c r="BQ78" s="292" t="str">
        <f>IFERROR(__xludf.DUMMYFUNCTION("""COMPUTED_VALUE"""),"Graveyard")</f>
        <v>Graveyard</v>
      </c>
      <c r="BR78" s="292" t="b">
        <f>IFERROR(__xludf.DUMMYFUNCTION("""COMPUTED_VALUE"""),FALSE)</f>
        <v>0</v>
      </c>
      <c r="BS78" s="292" t="b">
        <f>IFERROR(__xludf.DUMMYFUNCTION("""COMPUTED_VALUE"""),FALSE)</f>
        <v>0</v>
      </c>
      <c r="BT78" s="345">
        <f>IFERROR(__xludf.DUMMYFUNCTION("""COMPUTED_VALUE"""),553.0)</f>
        <v>553</v>
      </c>
      <c r="BU78" s="345">
        <f>IFERROR(__xludf.DUMMYFUNCTION("""COMPUTED_VALUE"""),133.0)</f>
        <v>133</v>
      </c>
      <c r="BV78" s="344">
        <f>IFERROR(__xludf.DUMMYFUNCTION("""COMPUTED_VALUE"""),8.2)</f>
        <v>8.2</v>
      </c>
      <c r="BW78" s="344">
        <f>IFERROR(__xludf.DUMMYFUNCTION("""COMPUTED_VALUE"""),2.3)</f>
        <v>2.3</v>
      </c>
    </row>
    <row r="79">
      <c r="A79" s="292" t="str">
        <f>IFERROR(__xludf.DUMMYFUNCTION("""COMPUTED_VALUE"""),"FE0778C")</f>
        <v>FE0778C</v>
      </c>
      <c r="B79" s="292" t="str">
        <f>IFERROR(__xludf.DUMMYFUNCTION("""COMPUTED_VALUE"""),"CON-40-143704-4")</f>
        <v>CON-40-143704-4</v>
      </c>
      <c r="C79" s="292" t="str">
        <f>IFERROR(__xludf.DUMMYFUNCTION("""COMPUTED_VALUE"""),"CON-00-147859-2")</f>
        <v>CON-00-147859-2</v>
      </c>
      <c r="D79" s="292" t="str">
        <f>IFERROR(__xludf.DUMMYFUNCTION("""COMPUTED_VALUE"""),"CON-00-136729-3")</f>
        <v>CON-00-136729-3</v>
      </c>
      <c r="E79" s="292" t="str">
        <f>IFERROR(__xludf.DUMMYFUNCTION("""COMPUTED_VALUE"""),"Creamy pesto pasta")</f>
        <v>Creamy pesto pasta</v>
      </c>
      <c r="F79" s="292" t="str">
        <f>IFERROR(__xludf.DUMMYFUNCTION("""COMPUTED_VALUE"""),"with roasted vegetables and green beans")</f>
        <v>with roasted vegetables and green beans</v>
      </c>
      <c r="G79" s="292" t="str">
        <f>IFERROR(__xludf.DUMMYFUNCTION("""COMPUTED_VALUE"""),"Pasta in romige pestosaus")</f>
        <v>Pasta in romige pestosaus</v>
      </c>
      <c r="H79" s="292" t="str">
        <f>IFERROR(__xludf.DUMMYFUNCTION("""COMPUTED_VALUE"""),"met geroosterde groente en sperziebonen")</f>
        <v>met geroosterde groente en sperziebonen</v>
      </c>
      <c r="I79" s="292" t="str">
        <f>IFERROR(__xludf.DUMMYFUNCTION("""COMPUTED_VALUE"""),"Cremet pesto pasta ")</f>
        <v>Cremet pesto pasta </v>
      </c>
      <c r="J79" s="292" t="str">
        <f>IFERROR(__xludf.DUMMYFUNCTION("""COMPUTED_VALUE"""),"Cremige Pesto-Pasta ")</f>
        <v>Cremige Pesto-Pasta </v>
      </c>
      <c r="K79" s="292">
        <f>IFERROR(__xludf.DUMMYFUNCTION("""COMPUTED_VALUE"""),565112.0)</f>
        <v>565112</v>
      </c>
      <c r="L79" s="292"/>
      <c r="M79" s="292" t="str">
        <f>IFERROR(__xludf.DUMMYFUNCTION("""COMPUTED_VALUE"""),"FA-NL Pasta in romige pestosaus (FE0778)")</f>
        <v>FA-NL Pasta in romige pestosaus (FE0778)</v>
      </c>
      <c r="N79" s="292" t="str">
        <f>IFERROR(__xludf.DUMMYFUNCTION("""COMPUTED_VALUE"""),"FA-NO Cremet pesto pasta (FE0778)")</f>
        <v>FA-NO Cremet pesto pasta (FE0778)</v>
      </c>
      <c r="O79" s="292" t="str">
        <f>IFERROR(__xludf.DUMMYFUNCTION("""COMPUTED_VALUE"""),"FA-DE Cremige Pesto-Pasta (FE0778)")</f>
        <v>FA-DE Cremige Pesto-Pasta (FE0778)</v>
      </c>
      <c r="P79" s="292" t="str">
        <f>IFERROR(__xludf.DUMMYFUNCTION("""COMPUTED_VALUE"""),"Active")</f>
        <v>Active</v>
      </c>
      <c r="Q79" s="292"/>
      <c r="R79" s="342">
        <f>IFERROR(__xludf.DUMMYFUNCTION("""COMPUTED_VALUE"""),4.25)</f>
        <v>4.25</v>
      </c>
      <c r="S79" s="292"/>
      <c r="T79" s="292"/>
      <c r="U79" s="292"/>
      <c r="V79" s="292"/>
      <c r="W79" s="292" t="b">
        <f>IFERROR(__xludf.DUMMYFUNCTION("""COMPUTED_VALUE"""),TRUE)</f>
        <v>1</v>
      </c>
      <c r="X79" s="345">
        <f>IFERROR(__xludf.DUMMYFUNCTION("""COMPUTED_VALUE"""),449.0)</f>
        <v>449</v>
      </c>
      <c r="Y79" s="344">
        <f>IFERROR(__xludf.DUMMYFUNCTION("""COMPUTED_VALUE"""),588.0)</f>
        <v>588</v>
      </c>
      <c r="Z79" s="343">
        <f>IFERROR(__xludf.DUMMYFUNCTION("""COMPUTED_VALUE"""),25.8)</f>
        <v>25.8</v>
      </c>
      <c r="AA79" s="344">
        <f>IFERROR(__xludf.DUMMYFUNCTION("""COMPUTED_VALUE"""),9.7)</f>
        <v>9.7</v>
      </c>
      <c r="AB79" s="344">
        <f>IFERROR(__xludf.DUMMYFUNCTION("""COMPUTED_VALUE"""),64.9)</f>
        <v>64.9</v>
      </c>
      <c r="AC79" s="344">
        <f>IFERROR(__xludf.DUMMYFUNCTION("""COMPUTED_VALUE"""),11.1)</f>
        <v>11.1</v>
      </c>
      <c r="AD79" s="344">
        <f>IFERROR(__xludf.DUMMYFUNCTION("""COMPUTED_VALUE"""),11.5)</f>
        <v>11.5</v>
      </c>
      <c r="AE79" s="343">
        <f>IFERROR(__xludf.DUMMYFUNCTION("""COMPUTED_VALUE"""),17.6)</f>
        <v>17.6</v>
      </c>
      <c r="AF79" s="343">
        <f>IFERROR(__xludf.DUMMYFUNCTION("""COMPUTED_VALUE"""),1.81)</f>
        <v>1.81</v>
      </c>
      <c r="AG79" s="292" t="b">
        <f>IFERROR(__xludf.DUMMYFUNCTION("""COMPUTED_VALUE"""),FALSE)</f>
        <v>0</v>
      </c>
      <c r="AH79" s="292" t="b">
        <f>IFERROR(__xludf.DUMMYFUNCTION("""COMPUTED_VALUE"""),FALSE)</f>
        <v>0</v>
      </c>
      <c r="AI79" s="292" t="b">
        <f>IFERROR(__xludf.DUMMYFUNCTION("""COMPUTED_VALUE"""),FALSE)</f>
        <v>0</v>
      </c>
      <c r="AJ79" s="292" t="b">
        <f>IFERROR(__xludf.DUMMYFUNCTION("""COMPUTED_VALUE"""),FALSE)</f>
        <v>0</v>
      </c>
      <c r="AK79" s="292" t="b">
        <f>IFERROR(__xludf.DUMMYFUNCTION("""COMPUTED_VALUE"""),TRUE)</f>
        <v>1</v>
      </c>
      <c r="AL79" s="292" t="b">
        <f>IFERROR(__xludf.DUMMYFUNCTION("""COMPUTED_VALUE"""),FALSE)</f>
        <v>0</v>
      </c>
      <c r="AM79" s="292" t="b">
        <f>IFERROR(__xludf.DUMMYFUNCTION("""COMPUTED_VALUE"""),FALSE)</f>
        <v>0</v>
      </c>
      <c r="AN79" s="292" t="b">
        <f>IFERROR(__xludf.DUMMYFUNCTION("""COMPUTED_VALUE"""),FALSE)</f>
        <v>0</v>
      </c>
      <c r="AO79" s="292" t="str">
        <f>IFERROR(__xludf.DUMMYFUNCTION("""COMPUTED_VALUE"""),"TRUE")</f>
        <v>TRUE</v>
      </c>
      <c r="AP79" s="292" t="str">
        <f>IFERROR(__xludf.DUMMYFUNCTION("""COMPUTED_VALUE"""),"Vegetarian")</f>
        <v>Vegetarian</v>
      </c>
      <c r="AQ79" s="292" t="str">
        <f>IFERROR(__xludf.DUMMYFUNCTION("""COMPUTED_VALUE"""),"Vegetarian")</f>
        <v>Vegetarian</v>
      </c>
      <c r="AR79" s="292" t="str">
        <f>IFERROR(__xludf.DUMMYFUNCTION("""COMPUTED_VALUE"""),"Pasta")</f>
        <v>Pasta</v>
      </c>
      <c r="AS79" s="292" t="str">
        <f>IFERROR(__xludf.DUMMYFUNCTION("""COMPUTED_VALUE"""),"Pasta")</f>
        <v>Pasta</v>
      </c>
      <c r="AT79" s="292" t="str">
        <f>IFERROR(__xludf.DUMMYFUNCTION("""COMPUTED_VALUE"""),"Zucchini Diced")</f>
        <v>Zucchini Diced</v>
      </c>
      <c r="AU79" s="292" t="str">
        <f>IFERROR(__xludf.DUMMYFUNCTION("""COMPUTED_VALUE"""),"Green Beans")</f>
        <v>Green Beans</v>
      </c>
      <c r="AV79" s="292" t="str">
        <f>IFERROR(__xludf.DUMMYFUNCTION("""COMPUTED_VALUE"""),"Cherry Tomatoes")</f>
        <v>Cherry Tomatoes</v>
      </c>
      <c r="AW79" s="292" t="str">
        <f>IFERROR(__xludf.DUMMYFUNCTION("""COMPUTED_VALUE"""),"Year Round")</f>
        <v>Year Round</v>
      </c>
      <c r="AX79" s="292" t="str">
        <f>IFERROR(__xludf.DUMMYFUNCTION("""COMPUTED_VALUE"""),"Italian")</f>
        <v>Italian</v>
      </c>
      <c r="AY79" s="292"/>
      <c r="AZ79" s="292" t="str">
        <f>IFERROR(__xludf.DUMMYFUNCTION("""COMPUTED_VALUE"""),"2 CT")</f>
        <v>2 CT</v>
      </c>
      <c r="BA79" s="292" t="b">
        <f>IFERROR(__xludf.DUMMYFUNCTION("""COMPUTED_VALUE"""),FALSE)</f>
        <v>0</v>
      </c>
      <c r="BB79" s="342">
        <f>IFERROR(__xludf.DUMMYFUNCTION("""COMPUTED_VALUE"""),1.8)</f>
        <v>1.8</v>
      </c>
      <c r="BC79" s="342">
        <f>IFERROR(__xludf.DUMMYFUNCTION("""COMPUTED_VALUE"""),1.2)</f>
        <v>1.2</v>
      </c>
      <c r="BD79" s="342">
        <f>IFERROR(__xludf.DUMMYFUNCTION("""COMPUTED_VALUE"""),0.36)</f>
        <v>0.36</v>
      </c>
      <c r="BE79" s="342">
        <f>IFERROR(__xludf.DUMMYFUNCTION("""COMPUTED_VALUE"""),0.89)</f>
        <v>0.89</v>
      </c>
      <c r="BF79" s="296" t="str">
        <f>IFERROR(__xludf.DUMMYFUNCTION("""COMPUTED_VALUE"""),"#REF!")</f>
        <v>#REF!</v>
      </c>
      <c r="BG79" s="296" t="str">
        <f>IFERROR(__xludf.DUMMYFUNCTION("""COMPUTED_VALUE"""),"#REF!")</f>
        <v>#REF!</v>
      </c>
      <c r="BH79" s="296" t="str">
        <f>IFERROR(__xludf.DUMMYFUNCTION("""COMPUTED_VALUE"""),"#REF!")</f>
        <v>#REF!</v>
      </c>
      <c r="BI79" s="295">
        <f>IFERROR(__xludf.DUMMYFUNCTION("""COMPUTED_VALUE"""),251.0)</f>
        <v>251</v>
      </c>
      <c r="BJ79" s="295" t="str">
        <f>IFERROR(__xludf.DUMMYFUNCTION("""COMPUTED_VALUE"""),"FALSE")</f>
        <v>FALSE</v>
      </c>
      <c r="BK79" s="346">
        <f>IFERROR(__xludf.DUMMYFUNCTION("""COMPUTED_VALUE"""),2459.0)</f>
        <v>2459</v>
      </c>
      <c r="BL79" s="292" t="str">
        <f>IFERROR(__xludf.DUMMYFUNCTION("""COMPUTED_VALUE"""),"US")</f>
        <v>US</v>
      </c>
      <c r="BM79" s="292" t="str">
        <f>IFERROR(__xludf.DUMMYFUNCTION("""COMPUTED_VALUE"""),"Krämig pasta pesto ")</f>
        <v>Krämig pasta pesto </v>
      </c>
      <c r="BN79" s="292"/>
      <c r="BO79" s="292"/>
      <c r="BP79" s="292"/>
      <c r="BQ79" s="292" t="str">
        <f>IFERROR(__xludf.DUMMYFUNCTION("""COMPUTED_VALUE"""),"Active")</f>
        <v>Active</v>
      </c>
      <c r="BR79" s="292" t="b">
        <f>IFERROR(__xludf.DUMMYFUNCTION("""COMPUTED_VALUE"""),FALSE)</f>
        <v>0</v>
      </c>
      <c r="BS79" s="292" t="b">
        <f>IFERROR(__xludf.DUMMYFUNCTION("""COMPUTED_VALUE"""),FALSE)</f>
        <v>0</v>
      </c>
      <c r="BT79" s="345">
        <f>IFERROR(__xludf.DUMMYFUNCTION("""COMPUTED_VALUE"""),548.0)</f>
        <v>548</v>
      </c>
      <c r="BU79" s="345">
        <f>IFERROR(__xludf.DUMMYFUNCTION("""COMPUTED_VALUE"""),130.9)</f>
        <v>130.9</v>
      </c>
      <c r="BV79" s="344">
        <f>IFERROR(__xludf.DUMMYFUNCTION("""COMPUTED_VALUE"""),5.7)</f>
        <v>5.7</v>
      </c>
      <c r="BW79" s="344">
        <f>IFERROR(__xludf.DUMMYFUNCTION("""COMPUTED_VALUE"""),2.2)</f>
        <v>2.2</v>
      </c>
    </row>
    <row r="80">
      <c r="A80" s="347" t="str">
        <f>IFERROR(__xludf.DUMMYFUNCTION("""COMPUTED_VALUE"""),"FE0780D")</f>
        <v>FE0780D</v>
      </c>
      <c r="B80" s="292" t="str">
        <f>IFERROR(__xludf.DUMMYFUNCTION("""COMPUTED_VALUE"""),"CON-40-143732-4")</f>
        <v>CON-40-143732-4</v>
      </c>
      <c r="C80" s="292" t="str">
        <f>IFERROR(__xludf.DUMMYFUNCTION("""COMPUTED_VALUE"""),"CON-00-147858-2")</f>
        <v>CON-00-147858-2</v>
      </c>
      <c r="D80" s="292" t="str">
        <f>IFERROR(__xludf.DUMMYFUNCTION("""COMPUTED_VALUE"""),"CON-00-136722-3")</f>
        <v>CON-00-136722-3</v>
      </c>
      <c r="E80" s="292" t="str">
        <f>IFERROR(__xludf.DUMMYFUNCTION("""COMPUTED_VALUE"""),"Trottole bolognese")</f>
        <v>Trottole bolognese</v>
      </c>
      <c r="F80" s="292" t="str">
        <f>IFERROR(__xludf.DUMMYFUNCTION("""COMPUTED_VALUE"""),"with carrots and roasted courgette")</f>
        <v>with carrots and roasted courgette</v>
      </c>
      <c r="G80" s="292" t="str">
        <f>IFERROR(__xludf.DUMMYFUNCTION("""COMPUTED_VALUE"""),"Trottole bolognese")</f>
        <v>Trottole bolognese</v>
      </c>
      <c r="H80" s="292" t="str">
        <f>IFERROR(__xludf.DUMMYFUNCTION("""COMPUTED_VALUE"""),"met wortel en geroosterde courgette")</f>
        <v>met wortel en geroosterde courgette</v>
      </c>
      <c r="I80" s="292" t="str">
        <f>IFERROR(__xludf.DUMMYFUNCTION("""COMPUTED_VALUE"""),"Trottole bolognese ")</f>
        <v>Trottole bolognese </v>
      </c>
      <c r="J80" s="292" t="str">
        <f>IFERROR(__xludf.DUMMYFUNCTION("""COMPUTED_VALUE"""),"Trottole Bolognese ")</f>
        <v>Trottole Bolognese </v>
      </c>
      <c r="K80" s="292">
        <f>IFERROR(__xludf.DUMMYFUNCTION("""COMPUTED_VALUE"""),565115.0)</f>
        <v>565115</v>
      </c>
      <c r="L80" s="292"/>
      <c r="M80" s="292" t="str">
        <f>IFERROR(__xludf.DUMMYFUNCTION("""COMPUTED_VALUE"""),"FA-NL Trottole bolognese (FE0780)")</f>
        <v>FA-NL Trottole bolognese (FE0780)</v>
      </c>
      <c r="N80" s="292" t="str">
        <f>IFERROR(__xludf.DUMMYFUNCTION("""COMPUTED_VALUE"""),"FA-NO Trottole bolognese (FE0780)")</f>
        <v>FA-NO Trottole bolognese (FE0780)</v>
      </c>
      <c r="O80" s="292" t="str">
        <f>IFERROR(__xludf.DUMMYFUNCTION("""COMPUTED_VALUE"""),"FA-DE Trottole Bolognese (FE0780)")</f>
        <v>FA-DE Trottole Bolognese (FE0780)</v>
      </c>
      <c r="P80" s="292" t="str">
        <f>IFERROR(__xludf.DUMMYFUNCTION("""COMPUTED_VALUE"""),"Graveyard")</f>
        <v>Graveyard</v>
      </c>
      <c r="Q80" s="292"/>
      <c r="R80" s="342">
        <f>IFERROR(__xludf.DUMMYFUNCTION("""COMPUTED_VALUE"""),4.3999999999999995)</f>
        <v>4.4</v>
      </c>
      <c r="S80" s="292"/>
      <c r="T80" s="292"/>
      <c r="U80" s="292"/>
      <c r="V80" s="292"/>
      <c r="W80" s="292" t="b">
        <f>IFERROR(__xludf.DUMMYFUNCTION("""COMPUTED_VALUE"""),TRUE)</f>
        <v>1</v>
      </c>
      <c r="X80" s="345">
        <f>IFERROR(__xludf.DUMMYFUNCTION("""COMPUTED_VALUE"""),429.0)</f>
        <v>429</v>
      </c>
      <c r="Y80" s="344">
        <f>IFERROR(__xludf.DUMMYFUNCTION("""COMPUTED_VALUE"""),533.0)</f>
        <v>533</v>
      </c>
      <c r="Z80" s="343">
        <f>IFERROR(__xludf.DUMMYFUNCTION("""COMPUTED_VALUE"""),20.1)</f>
        <v>20.1</v>
      </c>
      <c r="AA80" s="344">
        <f>IFERROR(__xludf.DUMMYFUNCTION("""COMPUTED_VALUE"""),8.3)</f>
        <v>8.3</v>
      </c>
      <c r="AB80" s="344">
        <f>IFERROR(__xludf.DUMMYFUNCTION("""COMPUTED_VALUE"""),63.3)</f>
        <v>63.3</v>
      </c>
      <c r="AC80" s="344">
        <f>IFERROR(__xludf.DUMMYFUNCTION("""COMPUTED_VALUE"""),16.1)</f>
        <v>16.1</v>
      </c>
      <c r="AD80" s="344">
        <f>IFERROR(__xludf.DUMMYFUNCTION("""COMPUTED_VALUE"""),6.7)</f>
        <v>6.7</v>
      </c>
      <c r="AE80" s="343">
        <f>IFERROR(__xludf.DUMMYFUNCTION("""COMPUTED_VALUE"""),20.6)</f>
        <v>20.6</v>
      </c>
      <c r="AF80" s="343">
        <f>IFERROR(__xludf.DUMMYFUNCTION("""COMPUTED_VALUE"""),2.03)</f>
        <v>2.03</v>
      </c>
      <c r="AG80" s="292" t="b">
        <f>IFERROR(__xludf.DUMMYFUNCTION("""COMPUTED_VALUE"""),FALSE)</f>
        <v>0</v>
      </c>
      <c r="AH80" s="292" t="b">
        <f>IFERROR(__xludf.DUMMYFUNCTION("""COMPUTED_VALUE"""),FALSE)</f>
        <v>0</v>
      </c>
      <c r="AI80" s="292" t="b">
        <f>IFERROR(__xludf.DUMMYFUNCTION("""COMPUTED_VALUE"""),TRUE)</f>
        <v>1</v>
      </c>
      <c r="AJ80" s="292" t="b">
        <f>IFERROR(__xludf.DUMMYFUNCTION("""COMPUTED_VALUE"""),FALSE)</f>
        <v>0</v>
      </c>
      <c r="AK80" s="292" t="b">
        <f>IFERROR(__xludf.DUMMYFUNCTION("""COMPUTED_VALUE"""),FALSE)</f>
        <v>0</v>
      </c>
      <c r="AL80" s="292" t="b">
        <f>IFERROR(__xludf.DUMMYFUNCTION("""COMPUTED_VALUE"""),FALSE)</f>
        <v>0</v>
      </c>
      <c r="AM80" s="292" t="b">
        <f>IFERROR(__xludf.DUMMYFUNCTION("""COMPUTED_VALUE"""),FALSE)</f>
        <v>0</v>
      </c>
      <c r="AN80" s="292" t="b">
        <f>IFERROR(__xludf.DUMMYFUNCTION("""COMPUTED_VALUE"""),FALSE)</f>
        <v>0</v>
      </c>
      <c r="AO80" s="292" t="str">
        <f>IFERROR(__xludf.DUMMYFUNCTION("""COMPUTED_VALUE"""),"FALSE")</f>
        <v>FALSE</v>
      </c>
      <c r="AP80" s="292" t="str">
        <f>IFERROR(__xludf.DUMMYFUNCTION("""COMPUTED_VALUE"""),"Ground beef")</f>
        <v>Ground beef</v>
      </c>
      <c r="AQ80" s="292" t="str">
        <f>IFERROR(__xludf.DUMMYFUNCTION("""COMPUTED_VALUE"""),"Beef")</f>
        <v>Beef</v>
      </c>
      <c r="AR80" s="292" t="str">
        <f>IFERROR(__xludf.DUMMYFUNCTION("""COMPUTED_VALUE"""),"Ground")</f>
        <v>Ground</v>
      </c>
      <c r="AS80" s="292" t="str">
        <f>IFERROR(__xludf.DUMMYFUNCTION("""COMPUTED_VALUE"""),"Pasta")</f>
        <v>Pasta</v>
      </c>
      <c r="AT80" s="292" t="str">
        <f>IFERROR(__xludf.DUMMYFUNCTION("""COMPUTED_VALUE"""),"Zucchini Diced")</f>
        <v>Zucchini Diced</v>
      </c>
      <c r="AU80" s="292" t="str">
        <f>IFERROR(__xludf.DUMMYFUNCTION("""COMPUTED_VALUE"""),"Cherry Tomatoes")</f>
        <v>Cherry Tomatoes</v>
      </c>
      <c r="AV80" s="292" t="str">
        <f>IFERROR(__xludf.DUMMYFUNCTION("""COMPUTED_VALUE"""),"Carrots")</f>
        <v>Carrots</v>
      </c>
      <c r="AW80" s="292" t="str">
        <f>IFERROR(__xludf.DUMMYFUNCTION("""COMPUTED_VALUE"""),"Year Round")</f>
        <v>Year Round</v>
      </c>
      <c r="AX80" s="292" t="str">
        <f>IFERROR(__xludf.DUMMYFUNCTION("""COMPUTED_VALUE"""),"Italian")</f>
        <v>Italian</v>
      </c>
      <c r="AY80" s="292"/>
      <c r="AZ80" s="292" t="str">
        <f>IFERROR(__xludf.DUMMYFUNCTION("""COMPUTED_VALUE"""),"2 CT")</f>
        <v>2 CT</v>
      </c>
      <c r="BA80" s="292" t="b">
        <f>IFERROR(__xludf.DUMMYFUNCTION("""COMPUTED_VALUE"""),FALSE)</f>
        <v>0</v>
      </c>
      <c r="BB80" s="342">
        <f>IFERROR(__xludf.DUMMYFUNCTION("""COMPUTED_VALUE"""),2.09)</f>
        <v>2.09</v>
      </c>
      <c r="BC80" s="342">
        <f>IFERROR(__xludf.DUMMYFUNCTION("""COMPUTED_VALUE"""),1.06)</f>
        <v>1.06</v>
      </c>
      <c r="BD80" s="342">
        <f>IFERROR(__xludf.DUMMYFUNCTION("""COMPUTED_VALUE"""),0.36)</f>
        <v>0.36</v>
      </c>
      <c r="BE80" s="342">
        <f>IFERROR(__xludf.DUMMYFUNCTION("""COMPUTED_VALUE"""),0.89)</f>
        <v>0.89</v>
      </c>
      <c r="BF80" s="296">
        <f>IFERROR(__xludf.DUMMYFUNCTION("""COMPUTED_VALUE"""),3.502159385572169)</f>
        <v>3.502159386</v>
      </c>
      <c r="BG80" s="296">
        <f>IFERROR(__xludf.DUMMYFUNCTION("""COMPUTED_VALUE"""),3.2186277612478986)</f>
        <v>3.218627761</v>
      </c>
      <c r="BH80" s="296">
        <f>IFERROR(__xludf.DUMMYFUNCTION("""COMPUTED_VALUE"""),3.1507403251253367)</f>
        <v>3.150740325</v>
      </c>
      <c r="BI80" s="295">
        <f>IFERROR(__xludf.DUMMYFUNCTION("""COMPUTED_VALUE"""),239.0)</f>
        <v>239</v>
      </c>
      <c r="BJ80" s="295" t="str">
        <f>IFERROR(__xludf.DUMMYFUNCTION("""COMPUTED_VALUE"""),"FALSE")</f>
        <v>FALSE</v>
      </c>
      <c r="BK80" s="346">
        <f>IFERROR(__xludf.DUMMYFUNCTION("""COMPUTED_VALUE"""),2254.0)</f>
        <v>2254</v>
      </c>
      <c r="BL80" s="292" t="str">
        <f>IFERROR(__xludf.DUMMYFUNCTION("""COMPUTED_VALUE"""),"US")</f>
        <v>US</v>
      </c>
      <c r="BM80" s="292" t="str">
        <f>IFERROR(__xludf.DUMMYFUNCTION("""COMPUTED_VALUE"""),"Trottole bolognese")</f>
        <v>Trottole bolognese</v>
      </c>
      <c r="BN80" s="343">
        <f>IFERROR(__xludf.DUMMYFUNCTION("""COMPUTED_VALUE"""),3.334017595307918)</f>
        <v>3.334017595</v>
      </c>
      <c r="BO80" s="343">
        <f>IFERROR(__xludf.DUMMYFUNCTION("""COMPUTED_VALUE"""),3.404511278195489)</f>
        <v>3.404511278</v>
      </c>
      <c r="BP80" s="292"/>
      <c r="BQ80" s="292" t="str">
        <f>IFERROR(__xludf.DUMMYFUNCTION("""COMPUTED_VALUE"""),"Proven")</f>
        <v>Proven</v>
      </c>
      <c r="BR80" s="292" t="b">
        <f>IFERROR(__xludf.DUMMYFUNCTION("""COMPUTED_VALUE"""),FALSE)</f>
        <v>0</v>
      </c>
      <c r="BS80" s="292" t="b">
        <f>IFERROR(__xludf.DUMMYFUNCTION("""COMPUTED_VALUE"""),FALSE)</f>
        <v>0</v>
      </c>
      <c r="BT80" s="345">
        <f>IFERROR(__xludf.DUMMYFUNCTION("""COMPUTED_VALUE"""),525.0)</f>
        <v>525</v>
      </c>
      <c r="BU80" s="345">
        <f>IFERROR(__xludf.DUMMYFUNCTION("""COMPUTED_VALUE"""),124.2)</f>
        <v>124.2</v>
      </c>
      <c r="BV80" s="344">
        <f>IFERROR(__xludf.DUMMYFUNCTION("""COMPUTED_VALUE"""),4.7)</f>
        <v>4.7</v>
      </c>
      <c r="BW80" s="344">
        <f>IFERROR(__xludf.DUMMYFUNCTION("""COMPUTED_VALUE"""),1.9)</f>
        <v>1.9</v>
      </c>
    </row>
    <row r="81">
      <c r="A81" s="292" t="str">
        <f>IFERROR(__xludf.DUMMYFUNCTION("""COMPUTED_VALUE"""),"FE0849A")</f>
        <v>FE0849A</v>
      </c>
      <c r="B81" s="292" t="str">
        <f>IFERROR(__xludf.DUMMYFUNCTION("""COMPUTED_VALUE"""),"CON-40-143654-4")</f>
        <v>CON-40-143654-4</v>
      </c>
      <c r="C81" s="292" t="str">
        <f>IFERROR(__xludf.DUMMYFUNCTION("""COMPUTED_VALUE"""),"CON-00-147860-2")</f>
        <v>CON-00-147860-2</v>
      </c>
      <c r="D81" s="292" t="str">
        <f>IFERROR(__xludf.DUMMYFUNCTION("""COMPUTED_VALUE"""),"CON-00-136657-3")</f>
        <v>CON-00-136657-3</v>
      </c>
      <c r="E81" s="292" t="str">
        <f>IFERROR(__xludf.DUMMYFUNCTION("""COMPUTED_VALUE"""),"Courgette-spaghetti bolognese")</f>
        <v>Courgette-spaghetti bolognese</v>
      </c>
      <c r="F81" s="292" t="str">
        <f>IFERROR(__xludf.DUMMYFUNCTION("""COMPUTED_VALUE"""),"with minced beef, mushrooms and mozzarella")</f>
        <v>with minced beef, mushrooms and mozzarella</v>
      </c>
      <c r="G81" s="292" t="str">
        <f>IFERROR(__xludf.DUMMYFUNCTION("""COMPUTED_VALUE"""),"Courgette-spaghetti bolognese")</f>
        <v>Courgette-spaghetti bolognese</v>
      </c>
      <c r="H81" s="292" t="str">
        <f>IFERROR(__xludf.DUMMYFUNCTION("""COMPUTED_VALUE"""),"met rundergehakt, champignons en mozzarella")</f>
        <v>met rundergehakt, champignons en mozzarella</v>
      </c>
      <c r="I81" s="292" t="str">
        <f>IFERROR(__xludf.DUMMYFUNCTION("""COMPUTED_VALUE"""),"Squash-spaghetti bolognese")</f>
        <v>Squash-spaghetti bolognese</v>
      </c>
      <c r="J81" s="292" t="str">
        <f>IFERROR(__xludf.DUMMYFUNCTION("""COMPUTED_VALUE"""),"Zucchini-Spaghetti Bolognese")</f>
        <v>Zucchini-Spaghetti Bolognese</v>
      </c>
      <c r="K81" s="292">
        <f>IFERROR(__xludf.DUMMYFUNCTION("""COMPUTED_VALUE"""),565060.0)</f>
        <v>565060</v>
      </c>
      <c r="L81" s="292" t="str">
        <f>IFERROR(__xludf.DUMMYFUNCTION("""COMPUTED_VALUE"""),"HF Courgette-spaghetti bolognese 352g")</f>
        <v>HF Courgette-spaghetti bolognese 352g</v>
      </c>
      <c r="M81" s="292" t="str">
        <f>IFERROR(__xludf.DUMMYFUNCTION("""COMPUTED_VALUE"""),"FA-NL Courgette-spaghetti bolognese (FE0849)")</f>
        <v>FA-NL Courgette-spaghetti bolognese (FE0849)</v>
      </c>
      <c r="N81" s="292" t="str">
        <f>IFERROR(__xludf.DUMMYFUNCTION("""COMPUTED_VALUE"""),"FA-NO Squash-spaghetti bolognese (FE0849)")</f>
        <v>FA-NO Squash-spaghetti bolognese (FE0849)</v>
      </c>
      <c r="O81" s="292" t="str">
        <f>IFERROR(__xludf.DUMMYFUNCTION("""COMPUTED_VALUE"""),"FA-DE Zucchini-Spaghetti Bolognese (FE0849)")</f>
        <v>FA-DE Zucchini-Spaghetti Bolognese (FE0849)</v>
      </c>
      <c r="P81" s="292" t="str">
        <f>IFERROR(__xludf.DUMMYFUNCTION("""COMPUTED_VALUE"""),"Active")</f>
        <v>Active</v>
      </c>
      <c r="Q81" s="292"/>
      <c r="R81" s="342">
        <f>IFERROR(__xludf.DUMMYFUNCTION("""COMPUTED_VALUE"""),5.05)</f>
        <v>5.05</v>
      </c>
      <c r="S81" s="292"/>
      <c r="T81" s="292"/>
      <c r="U81" s="292"/>
      <c r="V81" s="292"/>
      <c r="W81" s="292" t="b">
        <f>IFERROR(__xludf.DUMMYFUNCTION("""COMPUTED_VALUE"""),TRUE)</f>
        <v>1</v>
      </c>
      <c r="X81" s="345">
        <f>IFERROR(__xludf.DUMMYFUNCTION("""COMPUTED_VALUE"""),352.0)</f>
        <v>352</v>
      </c>
      <c r="Y81" s="344">
        <f>IFERROR(__xludf.DUMMYFUNCTION("""COMPUTED_VALUE"""),692.0)</f>
        <v>692</v>
      </c>
      <c r="Z81" s="343">
        <f>IFERROR(__xludf.DUMMYFUNCTION("""COMPUTED_VALUE"""),56.6)</f>
        <v>56.6</v>
      </c>
      <c r="AA81" s="344">
        <f>IFERROR(__xludf.DUMMYFUNCTION("""COMPUTED_VALUE"""),17.9)</f>
        <v>17.9</v>
      </c>
      <c r="AB81" s="344">
        <f>IFERROR(__xludf.DUMMYFUNCTION("""COMPUTED_VALUE"""),15.0)</f>
        <v>15</v>
      </c>
      <c r="AC81" s="344">
        <f>IFERROR(__xludf.DUMMYFUNCTION("""COMPUTED_VALUE"""),10.8)</f>
        <v>10.8</v>
      </c>
      <c r="AD81" s="344">
        <f>IFERROR(__xludf.DUMMYFUNCTION("""COMPUTED_VALUE"""),6.6)</f>
        <v>6.6</v>
      </c>
      <c r="AE81" s="343">
        <f>IFERROR(__xludf.DUMMYFUNCTION("""COMPUTED_VALUE"""),26.5)</f>
        <v>26.5</v>
      </c>
      <c r="AF81" s="343">
        <f>IFERROR(__xludf.DUMMYFUNCTION("""COMPUTED_VALUE"""),1.89)</f>
        <v>1.89</v>
      </c>
      <c r="AG81" s="292" t="b">
        <f>IFERROR(__xludf.DUMMYFUNCTION("""COMPUTED_VALUE"""),FALSE)</f>
        <v>0</v>
      </c>
      <c r="AH81" s="292" t="b">
        <f>IFERROR(__xludf.DUMMYFUNCTION("""COMPUTED_VALUE"""),TRUE)</f>
        <v>1</v>
      </c>
      <c r="AI81" s="292" t="b">
        <f>IFERROR(__xludf.DUMMYFUNCTION("""COMPUTED_VALUE"""),FALSE)</f>
        <v>0</v>
      </c>
      <c r="AJ81" s="292" t="b">
        <f>IFERROR(__xludf.DUMMYFUNCTION("""COMPUTED_VALUE"""),FALSE)</f>
        <v>0</v>
      </c>
      <c r="AK81" s="292" t="b">
        <f>IFERROR(__xludf.DUMMYFUNCTION("""COMPUTED_VALUE"""),FALSE)</f>
        <v>0</v>
      </c>
      <c r="AL81" s="292" t="b">
        <f>IFERROR(__xludf.DUMMYFUNCTION("""COMPUTED_VALUE"""),FALSE)</f>
        <v>0</v>
      </c>
      <c r="AM81" s="292" t="b">
        <f>IFERROR(__xludf.DUMMYFUNCTION("""COMPUTED_VALUE"""),FALSE)</f>
        <v>0</v>
      </c>
      <c r="AN81" s="292" t="b">
        <f>IFERROR(__xludf.DUMMYFUNCTION("""COMPUTED_VALUE"""),FALSE)</f>
        <v>0</v>
      </c>
      <c r="AO81" s="292" t="str">
        <f>IFERROR(__xludf.DUMMYFUNCTION("""COMPUTED_VALUE"""),"FALSE")</f>
        <v>FALSE</v>
      </c>
      <c r="AP81" s="292" t="str">
        <f>IFERROR(__xludf.DUMMYFUNCTION("""COMPUTED_VALUE"""),"Ground beef")</f>
        <v>Ground beef</v>
      </c>
      <c r="AQ81" s="292" t="str">
        <f>IFERROR(__xludf.DUMMYFUNCTION("""COMPUTED_VALUE"""),"Beef")</f>
        <v>Beef</v>
      </c>
      <c r="AR81" s="292" t="str">
        <f>IFERROR(__xludf.DUMMYFUNCTION("""COMPUTED_VALUE"""),"Ground")</f>
        <v>Ground</v>
      </c>
      <c r="AS81" s="292" t="str">
        <f>IFERROR(__xludf.DUMMYFUNCTION("""COMPUTED_VALUE"""),"Zucchini Noodles")</f>
        <v>Zucchini Noodles</v>
      </c>
      <c r="AT81" s="292" t="str">
        <f>IFERROR(__xludf.DUMMYFUNCTION("""COMPUTED_VALUE"""),"Mushrooms")</f>
        <v>Mushrooms</v>
      </c>
      <c r="AU81" s="292" t="str">
        <f>IFERROR(__xludf.DUMMYFUNCTION("""COMPUTED_VALUE"""),"Tomato Based Sauce")</f>
        <v>Tomato Based Sauce</v>
      </c>
      <c r="AV81" s="292" t="str">
        <f>IFERROR(__xludf.DUMMYFUNCTION("""COMPUTED_VALUE"""),"Cheese")</f>
        <v>Cheese</v>
      </c>
      <c r="AW81" s="292" t="str">
        <f>IFERROR(__xludf.DUMMYFUNCTION("""COMPUTED_VALUE"""),"Year Round")</f>
        <v>Year Round</v>
      </c>
      <c r="AX81" s="292" t="str">
        <f>IFERROR(__xludf.DUMMYFUNCTION("""COMPUTED_VALUE"""),"Italian")</f>
        <v>Italian</v>
      </c>
      <c r="AY81" s="292"/>
      <c r="AZ81" s="292" t="str">
        <f>IFERROR(__xludf.DUMMYFUNCTION("""COMPUTED_VALUE"""),"2 CT")</f>
        <v>2 CT</v>
      </c>
      <c r="BA81" s="292" t="b">
        <f>IFERROR(__xludf.DUMMYFUNCTION("""COMPUTED_VALUE"""),FALSE)</f>
        <v>0</v>
      </c>
      <c r="BB81" s="342">
        <f>IFERROR(__xludf.DUMMYFUNCTION("""COMPUTED_VALUE"""),2.76)</f>
        <v>2.76</v>
      </c>
      <c r="BC81" s="342">
        <f>IFERROR(__xludf.DUMMYFUNCTION("""COMPUTED_VALUE"""),1.04)</f>
        <v>1.04</v>
      </c>
      <c r="BD81" s="342">
        <f>IFERROR(__xludf.DUMMYFUNCTION("""COMPUTED_VALUE"""),0.36)</f>
        <v>0.36</v>
      </c>
      <c r="BE81" s="342">
        <f>IFERROR(__xludf.DUMMYFUNCTION("""COMPUTED_VALUE"""),0.89)</f>
        <v>0.89</v>
      </c>
      <c r="BF81" s="296">
        <f>IFERROR(__xludf.DUMMYFUNCTION("""COMPUTED_VALUE"""),3.313333333333334)</f>
        <v>3.313333333</v>
      </c>
      <c r="BG81" s="296">
        <f>IFERROR(__xludf.DUMMYFUNCTION("""COMPUTED_VALUE"""),3.3333333333333335)</f>
        <v>3.333333333</v>
      </c>
      <c r="BH81" s="296">
        <f>IFERROR(__xludf.DUMMYFUNCTION("""COMPUTED_VALUE"""),3.2733333333333334)</f>
        <v>3.273333333</v>
      </c>
      <c r="BI81" s="295">
        <f>IFERROR(__xludf.DUMMYFUNCTION("""COMPUTED_VALUE"""),189.0)</f>
        <v>189</v>
      </c>
      <c r="BJ81" s="295" t="str">
        <f>IFERROR(__xludf.DUMMYFUNCTION("""COMPUTED_VALUE"""),"FALSE")</f>
        <v>FALSE</v>
      </c>
      <c r="BK81" s="346">
        <f>IFERROR(__xludf.DUMMYFUNCTION("""COMPUTED_VALUE"""),2866.0)</f>
        <v>2866</v>
      </c>
      <c r="BL81" s="292" t="str">
        <f>IFERROR(__xludf.DUMMYFUNCTION("""COMPUTED_VALUE"""),"US")</f>
        <v>US</v>
      </c>
      <c r="BM81" s="292" t="str">
        <f>IFERROR(__xludf.DUMMYFUNCTION("""COMPUTED_VALUE"""),"Zucchini-spaghetti bolognese")</f>
        <v>Zucchini-spaghetti bolognese</v>
      </c>
      <c r="BN81" s="343">
        <f>IFERROR(__xludf.DUMMYFUNCTION("""COMPUTED_VALUE"""),3.31)</f>
        <v>3.31</v>
      </c>
      <c r="BO81" s="343">
        <f>IFERROR(__xludf.DUMMYFUNCTION("""COMPUTED_VALUE"""),3.2833333333333337)</f>
        <v>3.283333333</v>
      </c>
      <c r="BP81" s="292"/>
      <c r="BQ81" s="292" t="str">
        <f>IFERROR(__xludf.DUMMYFUNCTION("""COMPUTED_VALUE"""),"Active")</f>
        <v>Active</v>
      </c>
      <c r="BR81" s="344" t="b">
        <f>IFERROR(__xludf.DUMMYFUNCTION("""COMPUTED_VALUE"""),FALSE)</f>
        <v>0</v>
      </c>
      <c r="BS81" s="292" t="b">
        <f>IFERROR(__xludf.DUMMYFUNCTION("""COMPUTED_VALUE"""),FALSE)</f>
        <v>0</v>
      </c>
      <c r="BT81" s="345">
        <f>IFERROR(__xludf.DUMMYFUNCTION("""COMPUTED_VALUE"""),814.0)</f>
        <v>814</v>
      </c>
      <c r="BU81" s="345">
        <f>IFERROR(__xludf.DUMMYFUNCTION("""COMPUTED_VALUE"""),196.0)</f>
        <v>196</v>
      </c>
      <c r="BV81" s="344">
        <f>IFERROR(__xludf.DUMMYFUNCTION("""COMPUTED_VALUE"""),16.1)</f>
        <v>16.1</v>
      </c>
      <c r="BW81" s="344">
        <f>IFERROR(__xludf.DUMMYFUNCTION("""COMPUTED_VALUE"""),5.1)</f>
        <v>5.1</v>
      </c>
    </row>
    <row r="82">
      <c r="A82" s="347" t="str">
        <f>IFERROR(__xludf.DUMMYFUNCTION("""COMPUTED_VALUE"""),"FE0890B")</f>
        <v>FE0890B</v>
      </c>
      <c r="B82" s="292" t="str">
        <f>IFERROR(__xludf.DUMMYFUNCTION("""COMPUTED_VALUE"""),"CON-40-143741-4")</f>
        <v>CON-40-143741-4</v>
      </c>
      <c r="C82" s="292" t="str">
        <f>IFERROR(__xludf.DUMMYFUNCTION("""COMPUTED_VALUE"""),"CON-00-147861-2")</f>
        <v>CON-00-147861-2</v>
      </c>
      <c r="D82" s="292" t="str">
        <f>IFERROR(__xludf.DUMMYFUNCTION("""COMPUTED_VALUE"""),"CON-00-136726-3")</f>
        <v>CON-00-136726-3</v>
      </c>
      <c r="E82" s="292" t="str">
        <f>IFERROR(__xludf.DUMMYFUNCTION("""COMPUTED_VALUE"""),"Pork tenderloin with apple-mustard sauce")</f>
        <v>Pork tenderloin with apple-mustard sauce</v>
      </c>
      <c r="F82" s="292" t="str">
        <f>IFERROR(__xludf.DUMMYFUNCTION("""COMPUTED_VALUE"""),"with sweet potato puree and green beans ")</f>
        <v>with sweet potato puree and green beans </v>
      </c>
      <c r="G82" s="292" t="str">
        <f>IFERROR(__xludf.DUMMYFUNCTION("""COMPUTED_VALUE"""),"Varkenshaas met appel-mosterdsaus")</f>
        <v>Varkenshaas met appel-mosterdsaus</v>
      </c>
      <c r="H82" s="292" t="str">
        <f>IFERROR(__xludf.DUMMYFUNCTION("""COMPUTED_VALUE"""),"met zoete aardappelpuree en sperziebonen ")</f>
        <v>met zoete aardappelpuree en sperziebonen </v>
      </c>
      <c r="I82" s="292" t="str">
        <f>IFERROR(__xludf.DUMMYFUNCTION("""COMPUTED_VALUE"""),"Svinemørbrad med æble-sennepssauce ")</f>
        <v>Svinemørbrad med æble-sennepssauce </v>
      </c>
      <c r="J82" s="292" t="str">
        <f>IFERROR(__xludf.DUMMYFUNCTION("""COMPUTED_VALUE"""),"Schweinefilet mit Apfel-Senf-Soße")</f>
        <v>Schweinefilet mit Apfel-Senf-Soße</v>
      </c>
      <c r="K82" s="292">
        <f>IFERROR(__xludf.DUMMYFUNCTION("""COMPUTED_VALUE"""),565117.0)</f>
        <v>565117</v>
      </c>
      <c r="L82" s="292"/>
      <c r="M82" s="292" t="str">
        <f>IFERROR(__xludf.DUMMYFUNCTION("""COMPUTED_VALUE"""),"FA-NL Varkenshaas met appel-mosterdsaus (FE0890)")</f>
        <v>FA-NL Varkenshaas met appel-mosterdsaus (FE0890)</v>
      </c>
      <c r="N82" s="292" t="str">
        <f>IFERROR(__xludf.DUMMYFUNCTION("""COMPUTED_VALUE"""),"FA-NO Svinemørbrad med æble-sennepssauce (FE0890)")</f>
        <v>FA-NO Svinemørbrad med æble-sennepssauce (FE0890)</v>
      </c>
      <c r="O82" s="292" t="str">
        <f>IFERROR(__xludf.DUMMYFUNCTION("""COMPUTED_VALUE"""),"FA-DE Schweinefilet mit Apfel-Senf-Soße (FE0890)")</f>
        <v>FA-DE Schweinefilet mit Apfel-Senf-Soße (FE0890)</v>
      </c>
      <c r="P82" s="292" t="str">
        <f>IFERROR(__xludf.DUMMYFUNCTION("""COMPUTED_VALUE"""),"Active")</f>
        <v>Active</v>
      </c>
      <c r="Q82" s="292"/>
      <c r="R82" s="342">
        <f>IFERROR(__xludf.DUMMYFUNCTION("""COMPUTED_VALUE"""),4.8)</f>
        <v>4.8</v>
      </c>
      <c r="S82" s="292"/>
      <c r="T82" s="292"/>
      <c r="U82" s="292"/>
      <c r="V82" s="292"/>
      <c r="W82" s="292" t="b">
        <f>IFERROR(__xludf.DUMMYFUNCTION("""COMPUTED_VALUE"""),FALSE)</f>
        <v>0</v>
      </c>
      <c r="X82" s="345">
        <f>IFERROR(__xludf.DUMMYFUNCTION("""COMPUTED_VALUE"""),439.0)</f>
        <v>439</v>
      </c>
      <c r="Y82" s="344">
        <f>IFERROR(__xludf.DUMMYFUNCTION("""COMPUTED_VALUE"""),549.0)</f>
        <v>549</v>
      </c>
      <c r="Z82" s="343">
        <f>IFERROR(__xludf.DUMMYFUNCTION("""COMPUTED_VALUE"""),24.6)</f>
        <v>24.6</v>
      </c>
      <c r="AA82" s="344">
        <f>IFERROR(__xludf.DUMMYFUNCTION("""COMPUTED_VALUE"""),5.4)</f>
        <v>5.4</v>
      </c>
      <c r="AB82" s="344">
        <f>IFERROR(__xludf.DUMMYFUNCTION("""COMPUTED_VALUE"""),44.4)</f>
        <v>44.4</v>
      </c>
      <c r="AC82" s="344">
        <f>IFERROR(__xludf.DUMMYFUNCTION("""COMPUTED_VALUE"""),18.8)</f>
        <v>18.8</v>
      </c>
      <c r="AD82" s="344">
        <f>IFERROR(__xludf.DUMMYFUNCTION("""COMPUTED_VALUE"""),11.3)</f>
        <v>11.3</v>
      </c>
      <c r="AE82" s="343">
        <f>IFERROR(__xludf.DUMMYFUNCTION("""COMPUTED_VALUE"""),30.3)</f>
        <v>30.3</v>
      </c>
      <c r="AF82" s="343">
        <f>IFERROR(__xludf.DUMMYFUNCTION("""COMPUTED_VALUE"""),2.04)</f>
        <v>2.04</v>
      </c>
      <c r="AG82" s="292" t="b">
        <f>IFERROR(__xludf.DUMMYFUNCTION("""COMPUTED_VALUE"""),FALSE)</f>
        <v>0</v>
      </c>
      <c r="AH82" s="292" t="b">
        <f>IFERROR(__xludf.DUMMYFUNCTION("""COMPUTED_VALUE"""),FALSE)</f>
        <v>0</v>
      </c>
      <c r="AI82" s="292" t="b">
        <f>IFERROR(__xludf.DUMMYFUNCTION("""COMPUTED_VALUE"""),TRUE)</f>
        <v>1</v>
      </c>
      <c r="AJ82" s="292" t="b">
        <f>IFERROR(__xludf.DUMMYFUNCTION("""COMPUTED_VALUE"""),FALSE)</f>
        <v>0</v>
      </c>
      <c r="AK82" s="292" t="b">
        <f>IFERROR(__xludf.DUMMYFUNCTION("""COMPUTED_VALUE"""),FALSE)</f>
        <v>0</v>
      </c>
      <c r="AL82" s="292" t="b">
        <f>IFERROR(__xludf.DUMMYFUNCTION("""COMPUTED_VALUE"""),FALSE)</f>
        <v>0</v>
      </c>
      <c r="AM82" s="292" t="b">
        <f>IFERROR(__xludf.DUMMYFUNCTION("""COMPUTED_VALUE"""),TRUE)</f>
        <v>1</v>
      </c>
      <c r="AN82" s="292" t="b">
        <f>IFERROR(__xludf.DUMMYFUNCTION("""COMPUTED_VALUE"""),FALSE)</f>
        <v>0</v>
      </c>
      <c r="AO82" s="292" t="str">
        <f>IFERROR(__xludf.DUMMYFUNCTION("""COMPUTED_VALUE"""),"TRUE")</f>
        <v>TRUE</v>
      </c>
      <c r="AP82" s="292" t="str">
        <f>IFERROR(__xludf.DUMMYFUNCTION("""COMPUTED_VALUE"""),"Pork tenderloin")</f>
        <v>Pork tenderloin</v>
      </c>
      <c r="AQ82" s="292" t="str">
        <f>IFERROR(__xludf.DUMMYFUNCTION("""COMPUTED_VALUE"""),"Pork")</f>
        <v>Pork</v>
      </c>
      <c r="AR82" s="292" t="str">
        <f>IFERROR(__xludf.DUMMYFUNCTION("""COMPUTED_VALUE"""),"Tenderloin")</f>
        <v>Tenderloin</v>
      </c>
      <c r="AS82" s="292" t="str">
        <f>IFERROR(__xludf.DUMMYFUNCTION("""COMPUTED_VALUE"""),"Sweet Potato Mash")</f>
        <v>Sweet Potato Mash</v>
      </c>
      <c r="AT82" s="292" t="str">
        <f>IFERROR(__xludf.DUMMYFUNCTION("""COMPUTED_VALUE"""),"Green Beans")</f>
        <v>Green Beans</v>
      </c>
      <c r="AU82" s="292" t="str">
        <f>IFERROR(__xludf.DUMMYFUNCTION("""COMPUTED_VALUE"""),"Spinach")</f>
        <v>Spinach</v>
      </c>
      <c r="AV82" s="292" t="str">
        <f>IFERROR(__xludf.DUMMYFUNCTION("""COMPUTED_VALUE"""),"Cupped Sauce")</f>
        <v>Cupped Sauce</v>
      </c>
      <c r="AW82" s="292" t="str">
        <f>IFERROR(__xludf.DUMMYFUNCTION("""COMPUTED_VALUE"""),"Fall/Winter")</f>
        <v>Fall/Winter</v>
      </c>
      <c r="AX82" s="292" t="str">
        <f>IFERROR(__xludf.DUMMYFUNCTION("""COMPUTED_VALUE"""),"American")</f>
        <v>American</v>
      </c>
      <c r="AY82" s="292"/>
      <c r="AZ82" s="292" t="str">
        <f>IFERROR(__xludf.DUMMYFUNCTION("""COMPUTED_VALUE"""),"2 CT")</f>
        <v>2 CT</v>
      </c>
      <c r="BA82" s="292" t="b">
        <f>IFERROR(__xludf.DUMMYFUNCTION("""COMPUTED_VALUE"""),TRUE)</f>
        <v>1</v>
      </c>
      <c r="BB82" s="342">
        <f>IFERROR(__xludf.DUMMYFUNCTION("""COMPUTED_VALUE"""),2.32)</f>
        <v>2.32</v>
      </c>
      <c r="BC82" s="342">
        <f>IFERROR(__xludf.DUMMYFUNCTION("""COMPUTED_VALUE"""),1.2)</f>
        <v>1.2</v>
      </c>
      <c r="BD82" s="342">
        <f>IFERROR(__xludf.DUMMYFUNCTION("""COMPUTED_VALUE"""),0.39)</f>
        <v>0.39</v>
      </c>
      <c r="BE82" s="342">
        <f>IFERROR(__xludf.DUMMYFUNCTION("""COMPUTED_VALUE"""),0.89)</f>
        <v>0.89</v>
      </c>
      <c r="BF82" s="296">
        <f>IFERROR(__xludf.DUMMYFUNCTION("""COMPUTED_VALUE"""),3.1333333333333333)</f>
        <v>3.133333333</v>
      </c>
      <c r="BG82" s="296">
        <f>IFERROR(__xludf.DUMMYFUNCTION("""COMPUTED_VALUE"""),3.106666666666667)</f>
        <v>3.106666667</v>
      </c>
      <c r="BH82" s="296">
        <f>IFERROR(__xludf.DUMMYFUNCTION("""COMPUTED_VALUE"""),3.11)</f>
        <v>3.11</v>
      </c>
      <c r="BI82" s="295">
        <f>IFERROR(__xludf.DUMMYFUNCTION("""COMPUTED_VALUE"""),165.0)</f>
        <v>165</v>
      </c>
      <c r="BJ82" s="295" t="str">
        <f>IFERROR(__xludf.DUMMYFUNCTION("""COMPUTED_VALUE"""),"FALSE")</f>
        <v>FALSE</v>
      </c>
      <c r="BK82" s="346">
        <f>IFERROR(__xludf.DUMMYFUNCTION("""COMPUTED_VALUE"""),2298.0)</f>
        <v>2298</v>
      </c>
      <c r="BL82" s="292" t="str">
        <f>IFERROR(__xludf.DUMMYFUNCTION("""COMPUTED_VALUE"""),"US")</f>
        <v>US</v>
      </c>
      <c r="BM82" s="292" t="str">
        <f>IFERROR(__xludf.DUMMYFUNCTION("""COMPUTED_VALUE"""),"Fläskfilé med äppel- och senapssås")</f>
        <v>Fläskfilé med äppel- och senapssås</v>
      </c>
      <c r="BN82" s="343">
        <f>IFERROR(__xludf.DUMMYFUNCTION("""COMPUTED_VALUE"""),3.2699999999999996)</f>
        <v>3.27</v>
      </c>
      <c r="BO82" s="343">
        <f>IFERROR(__xludf.DUMMYFUNCTION("""COMPUTED_VALUE"""),3.08)</f>
        <v>3.08</v>
      </c>
      <c r="BP82" s="292"/>
      <c r="BQ82" s="292" t="str">
        <f>IFERROR(__xludf.DUMMYFUNCTION("""COMPUTED_VALUE"""),"Active")</f>
        <v>Active</v>
      </c>
      <c r="BR82" s="292" t="b">
        <f>IFERROR(__xludf.DUMMYFUNCTION("""COMPUTED_VALUE"""),FALSE)</f>
        <v>0</v>
      </c>
      <c r="BS82" s="292" t="b">
        <f>IFERROR(__xludf.DUMMYFUNCTION("""COMPUTED_VALUE"""),FALSE)</f>
        <v>0</v>
      </c>
      <c r="BT82" s="345">
        <f>IFERROR(__xludf.DUMMYFUNCTION("""COMPUTED_VALUE"""),524.0)</f>
        <v>524</v>
      </c>
      <c r="BU82" s="345">
        <f>IFERROR(__xludf.DUMMYFUNCTION("""COMPUTED_VALUE"""),125.1)</f>
        <v>125.1</v>
      </c>
      <c r="BV82" s="344">
        <f>IFERROR(__xludf.DUMMYFUNCTION("""COMPUTED_VALUE"""),5.6)</f>
        <v>5.6</v>
      </c>
      <c r="BW82" s="344">
        <f>IFERROR(__xludf.DUMMYFUNCTION("""COMPUTED_VALUE"""),1.2)</f>
        <v>1.2</v>
      </c>
    </row>
    <row r="83">
      <c r="A83" s="292" t="str">
        <f>IFERROR(__xludf.DUMMYFUNCTION("""COMPUTED_VALUE"""),"FE0928A")</f>
        <v>FE0928A</v>
      </c>
      <c r="B83" s="292" t="str">
        <f>IFERROR(__xludf.DUMMYFUNCTION("""COMPUTED_VALUE"""),"CON-40-143753-4")</f>
        <v>CON-40-143753-4</v>
      </c>
      <c r="C83" s="292" t="str">
        <f>IFERROR(__xludf.DUMMYFUNCTION("""COMPUTED_VALUE"""),"CON-00-147862-2")</f>
        <v>CON-00-147862-2</v>
      </c>
      <c r="D83" s="292" t="str">
        <f>IFERROR(__xludf.DUMMYFUNCTION("""COMPUTED_VALUE"""),"CON-00-136704-3")</f>
        <v>CON-00-136704-3</v>
      </c>
      <c r="E83" s="292" t="str">
        <f>IFERROR(__xludf.DUMMYFUNCTION("""COMPUTED_VALUE"""),"Salmon with coriander rice")</f>
        <v>Salmon with coriander rice</v>
      </c>
      <c r="F83" s="292" t="str">
        <f>IFERROR(__xludf.DUMMYFUNCTION("""COMPUTED_VALUE"""),"with tomato sauce, zucchini and chimichurri cream")</f>
        <v>with tomato sauce, zucchini and chimichurri cream</v>
      </c>
      <c r="G83" s="292" t="str">
        <f>IFERROR(__xludf.DUMMYFUNCTION("""COMPUTED_VALUE"""),"Zalm met koriander-rijst")</f>
        <v>Zalm met koriander-rijst</v>
      </c>
      <c r="H83" s="292" t="str">
        <f>IFERROR(__xludf.DUMMYFUNCTION("""COMPUTED_VALUE"""),"met tomatensaus, courgette en chimichurri-crème")</f>
        <v>met tomatensaus, courgette en chimichurri-crème</v>
      </c>
      <c r="I83" s="292" t="str">
        <f>IFERROR(__xludf.DUMMYFUNCTION("""COMPUTED_VALUE"""),"Laks med korianderris")</f>
        <v>Laks med korianderris</v>
      </c>
      <c r="J83" s="292" t="str">
        <f>IFERROR(__xludf.DUMMYFUNCTION("""COMPUTED_VALUE"""),"Lachs mit Korianderreis")</f>
        <v>Lachs mit Korianderreis</v>
      </c>
      <c r="K83" s="292">
        <f>IFERROR(__xludf.DUMMYFUNCTION("""COMPUTED_VALUE"""),565098.0)</f>
        <v>565098</v>
      </c>
      <c r="L83" s="292" t="str">
        <f>IFERROR(__xludf.DUMMYFUNCTION("""COMPUTED_VALUE"""),"HF Zalm met koriander-rijst")</f>
        <v>HF Zalm met koriander-rijst</v>
      </c>
      <c r="M83" s="292" t="str">
        <f>IFERROR(__xludf.DUMMYFUNCTION("""COMPUTED_VALUE"""),"FA-NL Zalm met koriander-rijst (FE0928)")</f>
        <v>FA-NL Zalm met koriander-rijst (FE0928)</v>
      </c>
      <c r="N83" s="292" t="str">
        <f>IFERROR(__xludf.DUMMYFUNCTION("""COMPUTED_VALUE"""),"FA-NO Laks med korianderris (FE0928)")</f>
        <v>FA-NO Laks med korianderris (FE0928)</v>
      </c>
      <c r="O83" s="292" t="str">
        <f>IFERROR(__xludf.DUMMYFUNCTION("""COMPUTED_VALUE"""),"FA-DE Lachs mit Korianderreis (FE0928)")</f>
        <v>FA-DE Lachs mit Korianderreis (FE0928)</v>
      </c>
      <c r="P83" s="292" t="str">
        <f>IFERROR(__xludf.DUMMYFUNCTION("""COMPUTED_VALUE"""),"Hold")</f>
        <v>Hold</v>
      </c>
      <c r="Q83" s="292" t="str">
        <f>IFERROR(__xludf.DUMMYFUNCTION("""COMPUTED_VALUE"""),"meal is not suitable for autoclave")</f>
        <v>meal is not suitable for autoclave</v>
      </c>
      <c r="R83" s="342">
        <f>IFERROR(__xludf.DUMMYFUNCTION("""COMPUTED_VALUE"""),6.86)</f>
        <v>6.86</v>
      </c>
      <c r="S83" s="292"/>
      <c r="T83" s="292"/>
      <c r="U83" s="292"/>
      <c r="V83" s="292"/>
      <c r="W83" s="292" t="b">
        <f>IFERROR(__xludf.DUMMYFUNCTION("""COMPUTED_VALUE"""),TRUE)</f>
        <v>1</v>
      </c>
      <c r="X83" s="345">
        <f>IFERROR(__xludf.DUMMYFUNCTION("""COMPUTED_VALUE"""),429.0)</f>
        <v>429</v>
      </c>
      <c r="Y83" s="344">
        <f>IFERROR(__xludf.DUMMYFUNCTION("""COMPUTED_VALUE"""),556.0)</f>
        <v>556</v>
      </c>
      <c r="Z83" s="343">
        <f>IFERROR(__xludf.DUMMYFUNCTION("""COMPUTED_VALUE"""),24.5)</f>
        <v>24.5</v>
      </c>
      <c r="AA83" s="344">
        <f>IFERROR(__xludf.DUMMYFUNCTION("""COMPUTED_VALUE"""),5.2)</f>
        <v>5.2</v>
      </c>
      <c r="AB83" s="344">
        <f>IFERROR(__xludf.DUMMYFUNCTION("""COMPUTED_VALUE"""),46.8)</f>
        <v>46.8</v>
      </c>
      <c r="AC83" s="344">
        <f>IFERROR(__xludf.DUMMYFUNCTION("""COMPUTED_VALUE"""),9.4)</f>
        <v>9.4</v>
      </c>
      <c r="AD83" s="344">
        <f>IFERROR(__xludf.DUMMYFUNCTION("""COMPUTED_VALUE"""),5.6)</f>
        <v>5.6</v>
      </c>
      <c r="AE83" s="343">
        <f>IFERROR(__xludf.DUMMYFUNCTION("""COMPUTED_VALUE"""),33.9)</f>
        <v>33.9</v>
      </c>
      <c r="AF83" s="343">
        <f>IFERROR(__xludf.DUMMYFUNCTION("""COMPUTED_VALUE"""),1.93)</f>
        <v>1.93</v>
      </c>
      <c r="AG83" s="292" t="b">
        <f>IFERROR(__xludf.DUMMYFUNCTION("""COMPUTED_VALUE"""),FALSE)</f>
        <v>0</v>
      </c>
      <c r="AH83" s="292" t="b">
        <f>IFERROR(__xludf.DUMMYFUNCTION("""COMPUTED_VALUE"""),FALSE)</f>
        <v>0</v>
      </c>
      <c r="AI83" s="292" t="b">
        <f>IFERROR(__xludf.DUMMYFUNCTION("""COMPUTED_VALUE"""),FALSE)</f>
        <v>0</v>
      </c>
      <c r="AJ83" s="292" t="b">
        <f>IFERROR(__xludf.DUMMYFUNCTION("""COMPUTED_VALUE"""),FALSE)</f>
        <v>0</v>
      </c>
      <c r="AK83" s="292" t="b">
        <f>IFERROR(__xludf.DUMMYFUNCTION("""COMPUTED_VALUE"""),FALSE)</f>
        <v>0</v>
      </c>
      <c r="AL83" s="292" t="b">
        <f>IFERROR(__xludf.DUMMYFUNCTION("""COMPUTED_VALUE"""),FALSE)</f>
        <v>0</v>
      </c>
      <c r="AM83" s="292" t="b">
        <f>IFERROR(__xludf.DUMMYFUNCTION("""COMPUTED_VALUE"""),TRUE)</f>
        <v>1</v>
      </c>
      <c r="AN83" s="292" t="b">
        <f>IFERROR(__xludf.DUMMYFUNCTION("""COMPUTED_VALUE"""),FALSE)</f>
        <v>0</v>
      </c>
      <c r="AO83" s="292" t="str">
        <f>IFERROR(__xludf.DUMMYFUNCTION("""COMPUTED_VALUE"""),"FALSE")</f>
        <v>FALSE</v>
      </c>
      <c r="AP83" s="292" t="str">
        <f>IFERROR(__xludf.DUMMYFUNCTION("""COMPUTED_VALUE"""),"Salmon")</f>
        <v>Salmon</v>
      </c>
      <c r="AQ83" s="292" t="str">
        <f>IFERROR(__xludf.DUMMYFUNCTION("""COMPUTED_VALUE"""),"Salmon")</f>
        <v>Salmon</v>
      </c>
      <c r="AR83" s="292" t="str">
        <f>IFERROR(__xludf.DUMMYFUNCTION("""COMPUTED_VALUE"""),"Filet")</f>
        <v>Filet</v>
      </c>
      <c r="AS83" s="292" t="str">
        <f>IFERROR(__xludf.DUMMYFUNCTION("""COMPUTED_VALUE"""),"Rice")</f>
        <v>Rice</v>
      </c>
      <c r="AT83" s="292" t="str">
        <f>IFERROR(__xludf.DUMMYFUNCTION("""COMPUTED_VALUE"""),"Zucchini Diced")</f>
        <v>Zucchini Diced</v>
      </c>
      <c r="AU83" s="292"/>
      <c r="AV83" s="292" t="str">
        <f>IFERROR(__xludf.DUMMYFUNCTION("""COMPUTED_VALUE"""),"Cupped Sauce")</f>
        <v>Cupped Sauce</v>
      </c>
      <c r="AW83" s="292" t="str">
        <f>IFERROR(__xludf.DUMMYFUNCTION("""COMPUTED_VALUE"""),"Year Round")</f>
        <v>Year Round</v>
      </c>
      <c r="AX83" s="292" t="str">
        <f>IFERROR(__xludf.DUMMYFUNCTION("""COMPUTED_VALUE"""),"Mexican")</f>
        <v>Mexican</v>
      </c>
      <c r="AY83" s="292"/>
      <c r="AZ83" s="292" t="str">
        <f>IFERROR(__xludf.DUMMYFUNCTION("""COMPUTED_VALUE"""),"2 CT")</f>
        <v>2 CT</v>
      </c>
      <c r="BA83" s="292" t="b">
        <f>IFERROR(__xludf.DUMMYFUNCTION("""COMPUTED_VALUE"""),TRUE)</f>
        <v>1</v>
      </c>
      <c r="BB83" s="342">
        <f>IFERROR(__xludf.DUMMYFUNCTION("""COMPUTED_VALUE"""),4.62)</f>
        <v>4.62</v>
      </c>
      <c r="BC83" s="342">
        <f>IFERROR(__xludf.DUMMYFUNCTION("""COMPUTED_VALUE"""),1.01)</f>
        <v>1.01</v>
      </c>
      <c r="BD83" s="342">
        <f>IFERROR(__xludf.DUMMYFUNCTION("""COMPUTED_VALUE"""),0.392)</f>
        <v>0.392</v>
      </c>
      <c r="BE83" s="342">
        <f>IFERROR(__xludf.DUMMYFUNCTION("""COMPUTED_VALUE"""),0.89)</f>
        <v>0.89</v>
      </c>
      <c r="BF83" s="296" t="str">
        <f>IFERROR(__xludf.DUMMYFUNCTION("""COMPUTED_VALUE"""),"#REF!")</f>
        <v>#REF!</v>
      </c>
      <c r="BG83" s="296" t="str">
        <f>IFERROR(__xludf.DUMMYFUNCTION("""COMPUTED_VALUE"""),"#REF!")</f>
        <v>#REF!</v>
      </c>
      <c r="BH83" s="296" t="str">
        <f>IFERROR(__xludf.DUMMYFUNCTION("""COMPUTED_VALUE"""),"#REF!")</f>
        <v>#REF!</v>
      </c>
      <c r="BI83" s="295">
        <f>IFERROR(__xludf.DUMMYFUNCTION("""COMPUTED_VALUE"""),169.0)</f>
        <v>169</v>
      </c>
      <c r="BJ83" s="295" t="str">
        <f>IFERROR(__xludf.DUMMYFUNCTION("""COMPUTED_VALUE"""),"TRUE")</f>
        <v>TRUE</v>
      </c>
      <c r="BK83" s="346">
        <f>IFERROR(__xludf.DUMMYFUNCTION("""COMPUTED_VALUE"""),2329.0)</f>
        <v>2329</v>
      </c>
      <c r="BL83" s="292" t="str">
        <f>IFERROR(__xludf.DUMMYFUNCTION("""COMPUTED_VALUE"""),"US")</f>
        <v>US</v>
      </c>
      <c r="BM83" s="292" t="str">
        <f>IFERROR(__xludf.DUMMYFUNCTION("""COMPUTED_VALUE"""),"Lax med korianderris")</f>
        <v>Lax med korianderris</v>
      </c>
      <c r="BN83" s="292"/>
      <c r="BO83" s="292"/>
      <c r="BP83" s="292"/>
      <c r="BQ83" s="292" t="str">
        <f>IFERROR(__xludf.DUMMYFUNCTION("""COMPUTED_VALUE"""),"Hold")</f>
        <v>Hold</v>
      </c>
      <c r="BR83" s="292" t="b">
        <f>IFERROR(__xludf.DUMMYFUNCTION("""COMPUTED_VALUE"""),FALSE)</f>
        <v>0</v>
      </c>
      <c r="BS83" s="292" t="b">
        <f>IFERROR(__xludf.DUMMYFUNCTION("""COMPUTED_VALUE"""),TRUE)</f>
        <v>1</v>
      </c>
      <c r="BT83" s="345">
        <f>IFERROR(__xludf.DUMMYFUNCTION("""COMPUTED_VALUE"""),543.0)</f>
        <v>543</v>
      </c>
      <c r="BU83" s="345">
        <f>IFERROR(__xludf.DUMMYFUNCTION("""COMPUTED_VALUE"""),130.0)</f>
        <v>130</v>
      </c>
      <c r="BV83" s="344">
        <f>IFERROR(__xludf.DUMMYFUNCTION("""COMPUTED_VALUE"""),5.7)</f>
        <v>5.7</v>
      </c>
      <c r="BW83" s="344">
        <f>IFERROR(__xludf.DUMMYFUNCTION("""COMPUTED_VALUE"""),1.2)</f>
        <v>1.2</v>
      </c>
    </row>
    <row r="84">
      <c r="A84" s="292" t="str">
        <f>IFERROR(__xludf.DUMMYFUNCTION("""COMPUTED_VALUE"""),"FE0935A")</f>
        <v>FE0935A</v>
      </c>
      <c r="B84" s="292" t="str">
        <f>IFERROR(__xludf.DUMMYFUNCTION("""COMPUTED_VALUE"""),"CON-40-143749-4")</f>
        <v>CON-40-143749-4</v>
      </c>
      <c r="C84" s="292" t="str">
        <f>IFERROR(__xludf.DUMMYFUNCTION("""COMPUTED_VALUE"""),"CON-00-147863-2")</f>
        <v>CON-00-147863-2</v>
      </c>
      <c r="D84" s="292" t="str">
        <f>IFERROR(__xludf.DUMMYFUNCTION("""COMPUTED_VALUE"""),"CON-00-136660-3")</f>
        <v>CON-00-136660-3</v>
      </c>
      <c r="E84" s="292" t="str">
        <f>IFERROR(__xludf.DUMMYFUNCTION("""COMPUTED_VALUE"""),"Vegetarian stew with white beans")</f>
        <v>Vegetarian stew with white beans</v>
      </c>
      <c r="F84" s="292" t="str">
        <f>IFERROR(__xludf.DUMMYFUNCTION("""COMPUTED_VALUE"""),"with kale, Italian herbs and potato")</f>
        <v>with kale, Italian herbs and potato</v>
      </c>
      <c r="G84" s="292" t="str">
        <f>IFERROR(__xludf.DUMMYFUNCTION("""COMPUTED_VALUE"""),"Vegetarische stoof met witte bonen")</f>
        <v>Vegetarische stoof met witte bonen</v>
      </c>
      <c r="H84" s="292" t="str">
        <f>IFERROR(__xludf.DUMMYFUNCTION("""COMPUTED_VALUE"""),"met boerenkool, Italiaanse kruiden en aardappel")</f>
        <v>met boerenkool, Italiaanse kruiden en aardappel</v>
      </c>
      <c r="I84" s="292" t="str">
        <f>IFERROR(__xludf.DUMMYFUNCTION("""COMPUTED_VALUE"""),"Vegetarisk gryderet med hvide bønner")</f>
        <v>Vegetarisk gryderet med hvide bønner</v>
      </c>
      <c r="J84" s="292" t="str">
        <f>IFERROR(__xludf.DUMMYFUNCTION("""COMPUTED_VALUE"""),"Vegetarischer Bohnen-Eintopf")</f>
        <v>Vegetarischer Bohnen-Eintopf</v>
      </c>
      <c r="K84" s="292">
        <f>IFERROR(__xludf.DUMMYFUNCTION("""COMPUTED_VALUE"""),565065.0)</f>
        <v>565065</v>
      </c>
      <c r="L84" s="292" t="str">
        <f>IFERROR(__xludf.DUMMYFUNCTION("""COMPUTED_VALUE"""),"HF Vegetarische stoof met witte bonen 404g")</f>
        <v>HF Vegetarische stoof met witte bonen 404g</v>
      </c>
      <c r="M84" s="292" t="str">
        <f>IFERROR(__xludf.DUMMYFUNCTION("""COMPUTED_VALUE"""),"FA-NL Vegetarische stoof met witte bonen (FE0935)")</f>
        <v>FA-NL Vegetarische stoof met witte bonen (FE0935)</v>
      </c>
      <c r="N84" s="292" t="str">
        <f>IFERROR(__xludf.DUMMYFUNCTION("""COMPUTED_VALUE"""),"FA-NO Vegetarisk gryderet med hvide bønner (FE0935)")</f>
        <v>FA-NO Vegetarisk gryderet med hvide bønner (FE0935)</v>
      </c>
      <c r="O84" s="292" t="str">
        <f>IFERROR(__xludf.DUMMYFUNCTION("""COMPUTED_VALUE"""),"FA-DE Vegetarischer Bohnen-Eintopf (FE0935)")</f>
        <v>FA-DE Vegetarischer Bohnen-Eintopf (FE0935)</v>
      </c>
      <c r="P84" s="292" t="str">
        <f>IFERROR(__xludf.DUMMYFUNCTION("""COMPUTED_VALUE"""),"Active")</f>
        <v>Active</v>
      </c>
      <c r="Q84" s="292"/>
      <c r="R84" s="342">
        <f>IFERROR(__xludf.DUMMYFUNCTION("""COMPUTED_VALUE"""),3.4)</f>
        <v>3.4</v>
      </c>
      <c r="S84" s="292"/>
      <c r="T84" s="292"/>
      <c r="U84" s="292"/>
      <c r="V84" s="292"/>
      <c r="W84" s="292" t="b">
        <f>IFERROR(__xludf.DUMMYFUNCTION("""COMPUTED_VALUE"""),TRUE)</f>
        <v>1</v>
      </c>
      <c r="X84" s="345">
        <f>IFERROR(__xludf.DUMMYFUNCTION("""COMPUTED_VALUE"""),404.0)</f>
        <v>404</v>
      </c>
      <c r="Y84" s="344">
        <f>IFERROR(__xludf.DUMMYFUNCTION("""COMPUTED_VALUE"""),408.0)</f>
        <v>408</v>
      </c>
      <c r="Z84" s="343">
        <f>IFERROR(__xludf.DUMMYFUNCTION("""COMPUTED_VALUE"""),13.8)</f>
        <v>13.8</v>
      </c>
      <c r="AA84" s="344">
        <f>IFERROR(__xludf.DUMMYFUNCTION("""COMPUTED_VALUE"""),4.9)</f>
        <v>4.9</v>
      </c>
      <c r="AB84" s="344">
        <f>IFERROR(__xludf.DUMMYFUNCTION("""COMPUTED_VALUE"""),44.7)</f>
        <v>44.7</v>
      </c>
      <c r="AC84" s="344">
        <f>IFERROR(__xludf.DUMMYFUNCTION("""COMPUTED_VALUE"""),14.6)</f>
        <v>14.6</v>
      </c>
      <c r="AD84" s="344">
        <f>IFERROR(__xludf.DUMMYFUNCTION("""COMPUTED_VALUE"""),14.9)</f>
        <v>14.9</v>
      </c>
      <c r="AE84" s="343">
        <f>IFERROR(__xludf.DUMMYFUNCTION("""COMPUTED_VALUE"""),17.3)</f>
        <v>17.3</v>
      </c>
      <c r="AF84" s="343">
        <f>IFERROR(__xludf.DUMMYFUNCTION("""COMPUTED_VALUE"""),1.89)</f>
        <v>1.89</v>
      </c>
      <c r="AG84" s="292" t="b">
        <f>IFERROR(__xludf.DUMMYFUNCTION("""COMPUTED_VALUE"""),FALSE)</f>
        <v>0</v>
      </c>
      <c r="AH84" s="292" t="b">
        <f>IFERROR(__xludf.DUMMYFUNCTION("""COMPUTED_VALUE"""),FALSE)</f>
        <v>0</v>
      </c>
      <c r="AI84" s="292" t="b">
        <f>IFERROR(__xludf.DUMMYFUNCTION("""COMPUTED_VALUE"""),TRUE)</f>
        <v>1</v>
      </c>
      <c r="AJ84" s="292" t="b">
        <f>IFERROR(__xludf.DUMMYFUNCTION("""COMPUTED_VALUE"""),FALSE)</f>
        <v>0</v>
      </c>
      <c r="AK84" s="292" t="b">
        <f>IFERROR(__xludf.DUMMYFUNCTION("""COMPUTED_VALUE"""),TRUE)</f>
        <v>1</v>
      </c>
      <c r="AL84" s="292" t="b">
        <f>IFERROR(__xludf.DUMMYFUNCTION("""COMPUTED_VALUE"""),FALSE)</f>
        <v>0</v>
      </c>
      <c r="AM84" s="292" t="b">
        <f>IFERROR(__xludf.DUMMYFUNCTION("""COMPUTED_VALUE"""),FALSE)</f>
        <v>0</v>
      </c>
      <c r="AN84" s="292" t="b">
        <f>IFERROR(__xludf.DUMMYFUNCTION("""COMPUTED_VALUE"""),FALSE)</f>
        <v>0</v>
      </c>
      <c r="AO84" s="292" t="str">
        <f>IFERROR(__xludf.DUMMYFUNCTION("""COMPUTED_VALUE"""),"TRUE")</f>
        <v>TRUE</v>
      </c>
      <c r="AP84" s="292" t="str">
        <f>IFERROR(__xludf.DUMMYFUNCTION("""COMPUTED_VALUE"""),"Vegetarian")</f>
        <v>Vegetarian</v>
      </c>
      <c r="AQ84" s="292" t="str">
        <f>IFERROR(__xludf.DUMMYFUNCTION("""COMPUTED_VALUE"""),"Vegetarian")</f>
        <v>Vegetarian</v>
      </c>
      <c r="AR84" s="292" t="str">
        <f>IFERROR(__xludf.DUMMYFUNCTION("""COMPUTED_VALUE"""),"Legumes")</f>
        <v>Legumes</v>
      </c>
      <c r="AS84" s="292" t="str">
        <f>IFERROR(__xludf.DUMMYFUNCTION("""COMPUTED_VALUE"""),"White Beans")</f>
        <v>White Beans</v>
      </c>
      <c r="AT84" s="292" t="str">
        <f>IFERROR(__xludf.DUMMYFUNCTION("""COMPUTED_VALUE"""),"Mushrooms")</f>
        <v>Mushrooms</v>
      </c>
      <c r="AU84" s="292" t="str">
        <f>IFERROR(__xludf.DUMMYFUNCTION("""COMPUTED_VALUE"""),"Potato Non-Mash")</f>
        <v>Potato Non-Mash</v>
      </c>
      <c r="AV84" s="292"/>
      <c r="AW84" s="292" t="str">
        <f>IFERROR(__xludf.DUMMYFUNCTION("""COMPUTED_VALUE"""),"Year Round")</f>
        <v>Year Round</v>
      </c>
      <c r="AX84" s="292" t="str">
        <f>IFERROR(__xludf.DUMMYFUNCTION("""COMPUTED_VALUE"""),"Italian")</f>
        <v>Italian</v>
      </c>
      <c r="AY84" s="292"/>
      <c r="AZ84" s="292" t="str">
        <f>IFERROR(__xludf.DUMMYFUNCTION("""COMPUTED_VALUE"""),"2 CT")</f>
        <v>2 CT</v>
      </c>
      <c r="BA84" s="292" t="b">
        <f>IFERROR(__xludf.DUMMYFUNCTION("""COMPUTED_VALUE"""),FALSE)</f>
        <v>0</v>
      </c>
      <c r="BB84" s="342">
        <f>IFERROR(__xludf.DUMMYFUNCTION("""COMPUTED_VALUE"""),1.19)</f>
        <v>1.19</v>
      </c>
      <c r="BC84" s="342">
        <f>IFERROR(__xludf.DUMMYFUNCTION("""COMPUTED_VALUE"""),0.96)</f>
        <v>0.96</v>
      </c>
      <c r="BD84" s="342">
        <f>IFERROR(__xludf.DUMMYFUNCTION("""COMPUTED_VALUE"""),0.36)</f>
        <v>0.36</v>
      </c>
      <c r="BE84" s="342">
        <f>IFERROR(__xludf.DUMMYFUNCTION("""COMPUTED_VALUE"""),0.89)</f>
        <v>0.89</v>
      </c>
      <c r="BF84" s="296">
        <f>IFERROR(__xludf.DUMMYFUNCTION("""COMPUTED_VALUE"""),2.8217910447761194)</f>
        <v>2.821791045</v>
      </c>
      <c r="BG84" s="296">
        <f>IFERROR(__xludf.DUMMYFUNCTION("""COMPUTED_VALUE"""),3.3529411764705883)</f>
        <v>3.352941176</v>
      </c>
      <c r="BH84" s="296">
        <f>IFERROR(__xludf.DUMMYFUNCTION("""COMPUTED_VALUE"""),2.7857142857142856)</f>
        <v>2.785714286</v>
      </c>
      <c r="BI84" s="295">
        <f>IFERROR(__xludf.DUMMYFUNCTION("""COMPUTED_VALUE"""),161.0)</f>
        <v>161</v>
      </c>
      <c r="BJ84" s="295" t="str">
        <f>IFERROR(__xludf.DUMMYFUNCTION("""COMPUTED_VALUE"""),"FALSE")</f>
        <v>FALSE</v>
      </c>
      <c r="BK84" s="346">
        <f>IFERROR(__xludf.DUMMYFUNCTION("""COMPUTED_VALUE"""),1708.0)</f>
        <v>1708</v>
      </c>
      <c r="BL84" s="292" t="str">
        <f>IFERROR(__xludf.DUMMYFUNCTION("""COMPUTED_VALUE"""),"US")</f>
        <v>US</v>
      </c>
      <c r="BM84" s="292" t="str">
        <f>IFERROR(__xludf.DUMMYFUNCTION("""COMPUTED_VALUE"""),"Vegetarisk gryta med vita bönor")</f>
        <v>Vegetarisk gryta med vita bönor</v>
      </c>
      <c r="BN84" s="343">
        <f>IFERROR(__xludf.DUMMYFUNCTION("""COMPUTED_VALUE"""),2.5)</f>
        <v>2.5</v>
      </c>
      <c r="BO84" s="343">
        <f>IFERROR(__xludf.DUMMYFUNCTION("""COMPUTED_VALUE"""),2.6)</f>
        <v>2.6</v>
      </c>
      <c r="BP84" s="292"/>
      <c r="BQ84" s="292" t="str">
        <f>IFERROR(__xludf.DUMMYFUNCTION("""COMPUTED_VALUE"""),"Hospital")</f>
        <v>Hospital</v>
      </c>
      <c r="BR84" s="344" t="b">
        <f>IFERROR(__xludf.DUMMYFUNCTION("""COMPUTED_VALUE"""),FALSE)</f>
        <v>0</v>
      </c>
      <c r="BS84" s="292" t="b">
        <f>IFERROR(__xludf.DUMMYFUNCTION("""COMPUTED_VALUE"""),FALSE)</f>
        <v>0</v>
      </c>
      <c r="BT84" s="345">
        <f>IFERROR(__xludf.DUMMYFUNCTION("""COMPUTED_VALUE"""),423.0)</f>
        <v>423</v>
      </c>
      <c r="BU84" s="345">
        <f>IFERROR(__xludf.DUMMYFUNCTION("""COMPUTED_VALUE"""),101.0)</f>
        <v>101</v>
      </c>
      <c r="BV84" s="344">
        <f>IFERROR(__xludf.DUMMYFUNCTION("""COMPUTED_VALUE"""),3.4)</f>
        <v>3.4</v>
      </c>
      <c r="BW84" s="344">
        <f>IFERROR(__xludf.DUMMYFUNCTION("""COMPUTED_VALUE"""),1.2)</f>
        <v>1.2</v>
      </c>
    </row>
    <row r="85">
      <c r="A85" s="292" t="str">
        <f>IFERROR(__xludf.DUMMYFUNCTION("""COMPUTED_VALUE"""),"FE1072A")</f>
        <v>FE1072A</v>
      </c>
      <c r="B85" s="292" t="str">
        <f>IFERROR(__xludf.DUMMYFUNCTION("""COMPUTED_VALUE"""),"CON-40-143777-4")</f>
        <v>CON-40-143777-4</v>
      </c>
      <c r="C85" s="292" t="str">
        <f>IFERROR(__xludf.DUMMYFUNCTION("""COMPUTED_VALUE"""),"CON-00-147864-2")</f>
        <v>CON-00-147864-2</v>
      </c>
      <c r="D85" s="292" t="str">
        <f>IFERROR(__xludf.DUMMYFUNCTION("""COMPUTED_VALUE"""),"CON-00-136696-3")</f>
        <v>CON-00-136696-3</v>
      </c>
      <c r="E85" s="292" t="str">
        <f>IFERROR(__xludf.DUMMYFUNCTION("""COMPUTED_VALUE"""),"Pork tenderloin in spicy ancho chili sauce")</f>
        <v>Pork tenderloin in spicy ancho chili sauce</v>
      </c>
      <c r="F85" s="292" t="str">
        <f>IFERROR(__xludf.DUMMYFUNCTION("""COMPUTED_VALUE"""),"with tomato rice, zucchini and corn")</f>
        <v>with tomato rice, zucchini and corn</v>
      </c>
      <c r="G85" s="292" t="str">
        <f>IFERROR(__xludf.DUMMYFUNCTION("""COMPUTED_VALUE"""),"Varkenshaas in pittige ancho chili-saus")</f>
        <v>Varkenshaas in pittige ancho chili-saus</v>
      </c>
      <c r="H85" s="292" t="str">
        <f>IFERROR(__xludf.DUMMYFUNCTION("""COMPUTED_VALUE"""),"met tomaten-rijst, courgette en maïs")</f>
        <v>met tomaten-rijst, courgette en maïs</v>
      </c>
      <c r="I85" s="292" t="str">
        <f>IFERROR(__xludf.DUMMYFUNCTION("""COMPUTED_VALUE"""),"Svinemørbrad i spicy ancho chili sauce")</f>
        <v>Svinemørbrad i spicy ancho chili sauce</v>
      </c>
      <c r="J85" s="292" t="str">
        <f>IFERROR(__xludf.DUMMYFUNCTION("""COMPUTED_VALUE"""),"Schweinefilet in scharfer Ancho-Chili-Sauce")</f>
        <v>Schweinefilet in scharfer Ancho-Chili-Sauce</v>
      </c>
      <c r="K85" s="292">
        <f>IFERROR(__xludf.DUMMYFUNCTION("""COMPUTED_VALUE"""),565095.0)</f>
        <v>565095</v>
      </c>
      <c r="L85" s="292"/>
      <c r="M85" s="292" t="str">
        <f>IFERROR(__xludf.DUMMYFUNCTION("""COMPUTED_VALUE"""),"FA-NL Varkenshaas in pittige ancho chili-saus (FE1072)")</f>
        <v>FA-NL Varkenshaas in pittige ancho chili-saus (FE1072)</v>
      </c>
      <c r="N85" s="292" t="str">
        <f>IFERROR(__xludf.DUMMYFUNCTION("""COMPUTED_VALUE"""),"FA-NO Svinemørbrad i spicy ancho chili sauce (FE1072)")</f>
        <v>FA-NO Svinemørbrad i spicy ancho chili sauce (FE1072)</v>
      </c>
      <c r="O85" s="292" t="str">
        <f>IFERROR(__xludf.DUMMYFUNCTION("""COMPUTED_VALUE"""),"FA-DE Schweinefilet in scharfer Ancho-Chili-Sauce (FE1072)")</f>
        <v>FA-DE Schweinefilet in scharfer Ancho-Chili-Sauce (FE1072)</v>
      </c>
      <c r="P85" s="292" t="str">
        <f>IFERROR(__xludf.DUMMYFUNCTION("""COMPUTED_VALUE"""),"Graveyard")</f>
        <v>Graveyard</v>
      </c>
      <c r="Q85" s="292"/>
      <c r="R85" s="342">
        <f>IFERROR(__xludf.DUMMYFUNCTION("""COMPUTED_VALUE"""),5.01)</f>
        <v>5.01</v>
      </c>
      <c r="S85" s="292"/>
      <c r="T85" s="292"/>
      <c r="U85" s="292"/>
      <c r="V85" s="292"/>
      <c r="W85" s="292" t="b">
        <f>IFERROR(__xludf.DUMMYFUNCTION("""COMPUTED_VALUE"""),FALSE)</f>
        <v>0</v>
      </c>
      <c r="X85" s="345">
        <f>IFERROR(__xludf.DUMMYFUNCTION("""COMPUTED_VALUE"""),399.0)</f>
        <v>399</v>
      </c>
      <c r="Y85" s="344">
        <f>IFERROR(__xludf.DUMMYFUNCTION("""COMPUTED_VALUE"""),500.0)</f>
        <v>500</v>
      </c>
      <c r="Z85" s="343">
        <f>IFERROR(__xludf.DUMMYFUNCTION("""COMPUTED_VALUE"""),19.1)</f>
        <v>19.1</v>
      </c>
      <c r="AA85" s="344">
        <f>IFERROR(__xludf.DUMMYFUNCTION("""COMPUTED_VALUE"""),3.3)</f>
        <v>3.3</v>
      </c>
      <c r="AB85" s="344">
        <f>IFERROR(__xludf.DUMMYFUNCTION("""COMPUTED_VALUE"""),48.2)</f>
        <v>48.2</v>
      </c>
      <c r="AC85" s="344">
        <f>IFERROR(__xludf.DUMMYFUNCTION("""COMPUTED_VALUE"""),8.4)</f>
        <v>8.4</v>
      </c>
      <c r="AD85" s="344">
        <f>IFERROR(__xludf.DUMMYFUNCTION("""COMPUTED_VALUE"""),6.5)</f>
        <v>6.5</v>
      </c>
      <c r="AE85" s="343">
        <f>IFERROR(__xludf.DUMMYFUNCTION("""COMPUTED_VALUE"""),30.0)</f>
        <v>30</v>
      </c>
      <c r="AF85" s="343">
        <f>IFERROR(__xludf.DUMMYFUNCTION("""COMPUTED_VALUE"""),2.03)</f>
        <v>2.03</v>
      </c>
      <c r="AG85" s="292" t="b">
        <f>IFERROR(__xludf.DUMMYFUNCTION("""COMPUTED_VALUE"""),TRUE)</f>
        <v>1</v>
      </c>
      <c r="AH85" s="292" t="b">
        <f>IFERROR(__xludf.DUMMYFUNCTION("""COMPUTED_VALUE"""),FALSE)</f>
        <v>0</v>
      </c>
      <c r="AI85" s="292" t="b">
        <f>IFERROR(__xludf.DUMMYFUNCTION("""COMPUTED_VALUE"""),TRUE)</f>
        <v>1</v>
      </c>
      <c r="AJ85" s="292" t="b">
        <f>IFERROR(__xludf.DUMMYFUNCTION("""COMPUTED_VALUE"""),FALSE)</f>
        <v>0</v>
      </c>
      <c r="AK85" s="292" t="b">
        <f>IFERROR(__xludf.DUMMYFUNCTION("""COMPUTED_VALUE"""),FALSE)</f>
        <v>0</v>
      </c>
      <c r="AL85" s="292" t="b">
        <f>IFERROR(__xludf.DUMMYFUNCTION("""COMPUTED_VALUE"""),FALSE)</f>
        <v>0</v>
      </c>
      <c r="AM85" s="292" t="b">
        <f>IFERROR(__xludf.DUMMYFUNCTION("""COMPUTED_VALUE"""),FALSE)</f>
        <v>0</v>
      </c>
      <c r="AN85" s="292" t="b">
        <f>IFERROR(__xludf.DUMMYFUNCTION("""COMPUTED_VALUE"""),TRUE)</f>
        <v>1</v>
      </c>
      <c r="AO85" s="292" t="str">
        <f>IFERROR(__xludf.DUMMYFUNCTION("""COMPUTED_VALUE"""),"FALSE")</f>
        <v>FALSE</v>
      </c>
      <c r="AP85" s="292" t="str">
        <f>IFERROR(__xludf.DUMMYFUNCTION("""COMPUTED_VALUE"""),"Pork tenderloin")</f>
        <v>Pork tenderloin</v>
      </c>
      <c r="AQ85" s="292" t="str">
        <f>IFERROR(__xludf.DUMMYFUNCTION("""COMPUTED_VALUE"""),"Pork")</f>
        <v>Pork</v>
      </c>
      <c r="AR85" s="292" t="str">
        <f>IFERROR(__xludf.DUMMYFUNCTION("""COMPUTED_VALUE"""),"Tenderloin")</f>
        <v>Tenderloin</v>
      </c>
      <c r="AS85" s="292" t="str">
        <f>IFERROR(__xludf.DUMMYFUNCTION("""COMPUTED_VALUE"""),"Rice")</f>
        <v>Rice</v>
      </c>
      <c r="AT85" s="292" t="str">
        <f>IFERROR(__xludf.DUMMYFUNCTION("""COMPUTED_VALUE"""),"Zucchini Diced")</f>
        <v>Zucchini Diced</v>
      </c>
      <c r="AU85" s="292" t="str">
        <f>IFERROR(__xludf.DUMMYFUNCTION("""COMPUTED_VALUE"""),"Corn Kernels")</f>
        <v>Corn Kernels</v>
      </c>
      <c r="AV85" s="292"/>
      <c r="AW85" s="292" t="str">
        <f>IFERROR(__xludf.DUMMYFUNCTION("""COMPUTED_VALUE"""),"Year Round")</f>
        <v>Year Round</v>
      </c>
      <c r="AX85" s="292" t="str">
        <f>IFERROR(__xludf.DUMMYFUNCTION("""COMPUTED_VALUE"""),"Mexican")</f>
        <v>Mexican</v>
      </c>
      <c r="AY85" s="292"/>
      <c r="AZ85" s="292" t="str">
        <f>IFERROR(__xludf.DUMMYFUNCTION("""COMPUTED_VALUE"""),"2 CT")</f>
        <v>2 CT</v>
      </c>
      <c r="BA85" s="292" t="b">
        <f>IFERROR(__xludf.DUMMYFUNCTION("""COMPUTED_VALUE"""),FALSE)</f>
        <v>0</v>
      </c>
      <c r="BB85" s="342">
        <f>IFERROR(__xludf.DUMMYFUNCTION("""COMPUTED_VALUE"""),2.54)</f>
        <v>2.54</v>
      </c>
      <c r="BC85" s="342">
        <f>IFERROR(__xludf.DUMMYFUNCTION("""COMPUTED_VALUE"""),1.22)</f>
        <v>1.22</v>
      </c>
      <c r="BD85" s="342">
        <f>IFERROR(__xludf.DUMMYFUNCTION("""COMPUTED_VALUE"""),0.36)</f>
        <v>0.36</v>
      </c>
      <c r="BE85" s="342">
        <f>IFERROR(__xludf.DUMMYFUNCTION("""COMPUTED_VALUE"""),0.89)</f>
        <v>0.89</v>
      </c>
      <c r="BF85" s="296">
        <f>IFERROR(__xludf.DUMMYFUNCTION("""COMPUTED_VALUE"""),3.28)</f>
        <v>3.28</v>
      </c>
      <c r="BG85" s="296">
        <f>IFERROR(__xludf.DUMMYFUNCTION("""COMPUTED_VALUE"""),3.34)</f>
        <v>3.34</v>
      </c>
      <c r="BH85" s="296">
        <f>IFERROR(__xludf.DUMMYFUNCTION("""COMPUTED_VALUE"""),3.2099999999999995)</f>
        <v>3.21</v>
      </c>
      <c r="BI85" s="295">
        <f>IFERROR(__xludf.DUMMYFUNCTION("""COMPUTED_VALUE"""),171.0)</f>
        <v>171</v>
      </c>
      <c r="BJ85" s="295" t="str">
        <f>IFERROR(__xludf.DUMMYFUNCTION("""COMPUTED_VALUE"""),"FALSE")</f>
        <v>FALSE</v>
      </c>
      <c r="BK85" s="346">
        <f>IFERROR(__xludf.DUMMYFUNCTION("""COMPUTED_VALUE"""),2096.0)</f>
        <v>2096</v>
      </c>
      <c r="BL85" s="292" t="str">
        <f>IFERROR(__xludf.DUMMYFUNCTION("""COMPUTED_VALUE"""),"US")</f>
        <v>US</v>
      </c>
      <c r="BM85" s="292" t="str">
        <f>IFERROR(__xludf.DUMMYFUNCTION("""COMPUTED_VALUE"""),"Fläskfilé i het ancho-chilisås")</f>
        <v>Fläskfilé i het ancho-chilisås</v>
      </c>
      <c r="BN85" s="343">
        <f>IFERROR(__xludf.DUMMYFUNCTION("""COMPUTED_VALUE"""),3.236666666666667)</f>
        <v>3.236666667</v>
      </c>
      <c r="BO85" s="343">
        <f>IFERROR(__xludf.DUMMYFUNCTION("""COMPUTED_VALUE"""),3.186666666666667)</f>
        <v>3.186666667</v>
      </c>
      <c r="BP85" s="292"/>
      <c r="BQ85" s="292" t="str">
        <f>IFERROR(__xludf.DUMMYFUNCTION("""COMPUTED_VALUE"""),"Graveyard")</f>
        <v>Graveyard</v>
      </c>
      <c r="BR85" s="292" t="b">
        <f>IFERROR(__xludf.DUMMYFUNCTION("""COMPUTED_VALUE"""),FALSE)</f>
        <v>0</v>
      </c>
      <c r="BS85" s="292" t="b">
        <f>IFERROR(__xludf.DUMMYFUNCTION("""COMPUTED_VALUE"""),FALSE)</f>
        <v>0</v>
      </c>
      <c r="BT85" s="345">
        <f>IFERROR(__xludf.DUMMYFUNCTION("""COMPUTED_VALUE"""),525.0)</f>
        <v>525</v>
      </c>
      <c r="BU85" s="345">
        <f>IFERROR(__xludf.DUMMYFUNCTION("""COMPUTED_VALUE"""),125.2)</f>
        <v>125.2</v>
      </c>
      <c r="BV85" s="344">
        <f>IFERROR(__xludf.DUMMYFUNCTION("""COMPUTED_VALUE"""),4.8)</f>
        <v>4.8</v>
      </c>
      <c r="BW85" s="344">
        <f>IFERROR(__xludf.DUMMYFUNCTION("""COMPUTED_VALUE"""),0.8)</f>
        <v>0.8</v>
      </c>
    </row>
    <row r="86">
      <c r="A86" s="292" t="str">
        <f>IFERROR(__xludf.DUMMYFUNCTION("""COMPUTED_VALUE"""),"FE1169A")</f>
        <v>FE1169A</v>
      </c>
      <c r="B86" s="292" t="str">
        <f>IFERROR(__xludf.DUMMYFUNCTION("""COMPUTED_VALUE"""),"CON-40-143794-4")</f>
        <v>CON-40-143794-4</v>
      </c>
      <c r="C86" s="292" t="str">
        <f>IFERROR(__xludf.DUMMYFUNCTION("""COMPUTED_VALUE"""),"CON-00-147865-2")</f>
        <v>CON-00-147865-2</v>
      </c>
      <c r="D86" s="292" t="str">
        <f>IFERROR(__xludf.DUMMYFUNCTION("""COMPUTED_VALUE"""),"CON-00-136692-3")</f>
        <v>CON-00-136692-3</v>
      </c>
      <c r="E86" s="292" t="str">
        <f>IFERROR(__xludf.DUMMYFUNCTION("""COMPUTED_VALUE"""),"Salmon and sweet soy dressing ")</f>
        <v>Salmon and sweet soy dressing </v>
      </c>
      <c r="F86" s="292" t="str">
        <f>IFERROR(__xludf.DUMMYFUNCTION("""COMPUTED_VALUE"""),"with garlic-ginger rice and green cabbage ")</f>
        <v>with garlic-ginger rice and green cabbage </v>
      </c>
      <c r="G86" s="292" t="str">
        <f>IFERROR(__xludf.DUMMYFUNCTION("""COMPUTED_VALUE"""),"Zalm &amp; zoete sojadressing ")</f>
        <v>Zalm &amp; zoete sojadressing </v>
      </c>
      <c r="H86" s="292" t="str">
        <f>IFERROR(__xludf.DUMMYFUNCTION("""COMPUTED_VALUE"""),"met knoflook-gemberrijst en groene kool ")</f>
        <v>met knoflook-gemberrijst en groene kool </v>
      </c>
      <c r="I86" s="292" t="str">
        <f>IFERROR(__xludf.DUMMYFUNCTION("""COMPUTED_VALUE"""),"Laks og sød sojadressing")</f>
        <v>Laks og sød sojadressing</v>
      </c>
      <c r="J86" s="292" t="str">
        <f>IFERROR(__xludf.DUMMYFUNCTION("""COMPUTED_VALUE"""),"Lachs mit süßem Soja-Dressing")</f>
        <v>Lachs mit süßem Soja-Dressing</v>
      </c>
      <c r="K86" s="292">
        <f>IFERROR(__xludf.DUMMYFUNCTION("""COMPUTED_VALUE"""),565096.0)</f>
        <v>565096</v>
      </c>
      <c r="L86" s="292"/>
      <c r="M86" s="292" t="str">
        <f>IFERROR(__xludf.DUMMYFUNCTION("""COMPUTED_VALUE"""),"FA-NL Zalm &amp; zoete sojadressing (FE1169)")</f>
        <v>FA-NL Zalm &amp; zoete sojadressing (FE1169)</v>
      </c>
      <c r="N86" s="292" t="str">
        <f>IFERROR(__xludf.DUMMYFUNCTION("""COMPUTED_VALUE"""),"FA-NO Laks og sød sojadressing (FE1169)")</f>
        <v>FA-NO Laks og sød sojadressing (FE1169)</v>
      </c>
      <c r="O86" s="292" t="str">
        <f>IFERROR(__xludf.DUMMYFUNCTION("""COMPUTED_VALUE"""),"FA-DE Lachs mit süßem Sojadressing (FE1169)")</f>
        <v>FA-DE Lachs mit süßem Sojadressing (FE1169)</v>
      </c>
      <c r="P86" s="292" t="str">
        <f>IFERROR(__xludf.DUMMYFUNCTION("""COMPUTED_VALUE"""),"Graveyard")</f>
        <v>Graveyard</v>
      </c>
      <c r="Q86" s="292"/>
      <c r="R86" s="342">
        <f>IFERROR(__xludf.DUMMYFUNCTION("""COMPUTED_VALUE"""),6.36)</f>
        <v>6.36</v>
      </c>
      <c r="S86" s="292"/>
      <c r="T86" s="292"/>
      <c r="U86" s="292"/>
      <c r="V86" s="292"/>
      <c r="W86" s="292" t="b">
        <f>IFERROR(__xludf.DUMMYFUNCTION("""COMPUTED_VALUE"""),TRUE)</f>
        <v>1</v>
      </c>
      <c r="X86" s="345">
        <f>IFERROR(__xludf.DUMMYFUNCTION("""COMPUTED_VALUE"""),424.0)</f>
        <v>424</v>
      </c>
      <c r="Y86" s="344">
        <f>IFERROR(__xludf.DUMMYFUNCTION("""COMPUTED_VALUE"""),636.0)</f>
        <v>636</v>
      </c>
      <c r="Z86" s="343">
        <f>IFERROR(__xludf.DUMMYFUNCTION("""COMPUTED_VALUE"""),29.7)</f>
        <v>29.7</v>
      </c>
      <c r="AA86" s="344">
        <f>IFERROR(__xludf.DUMMYFUNCTION("""COMPUTED_VALUE"""),5.5)</f>
        <v>5.5</v>
      </c>
      <c r="AB86" s="344">
        <f>IFERROR(__xludf.DUMMYFUNCTION("""COMPUTED_VALUE"""),51.7)</f>
        <v>51.7</v>
      </c>
      <c r="AC86" s="344">
        <f>IFERROR(__xludf.DUMMYFUNCTION("""COMPUTED_VALUE"""),16.1)</f>
        <v>16.1</v>
      </c>
      <c r="AD86" s="344">
        <f>IFERROR(__xludf.DUMMYFUNCTION("""COMPUTED_VALUE"""),11.0)</f>
        <v>11</v>
      </c>
      <c r="AE86" s="343">
        <f>IFERROR(__xludf.DUMMYFUNCTION("""COMPUTED_VALUE"""),35.2)</f>
        <v>35.2</v>
      </c>
      <c r="AF86" s="343">
        <f>IFERROR(__xludf.DUMMYFUNCTION("""COMPUTED_VALUE"""),2.04)</f>
        <v>2.04</v>
      </c>
      <c r="AG86" s="292" t="b">
        <f>IFERROR(__xludf.DUMMYFUNCTION("""COMPUTED_VALUE"""),FALSE)</f>
        <v>0</v>
      </c>
      <c r="AH86" s="292" t="b">
        <f>IFERROR(__xludf.DUMMYFUNCTION("""COMPUTED_VALUE"""),FALSE)</f>
        <v>0</v>
      </c>
      <c r="AI86" s="292" t="b">
        <f>IFERROR(__xludf.DUMMYFUNCTION("""COMPUTED_VALUE"""),FALSE)</f>
        <v>0</v>
      </c>
      <c r="AJ86" s="292" t="b">
        <f>IFERROR(__xludf.DUMMYFUNCTION("""COMPUTED_VALUE"""),FALSE)</f>
        <v>0</v>
      </c>
      <c r="AK86" s="292" t="b">
        <f>IFERROR(__xludf.DUMMYFUNCTION("""COMPUTED_VALUE"""),FALSE)</f>
        <v>0</v>
      </c>
      <c r="AL86" s="292" t="b">
        <f>IFERROR(__xludf.DUMMYFUNCTION("""COMPUTED_VALUE"""),FALSE)</f>
        <v>0</v>
      </c>
      <c r="AM86" s="292" t="b">
        <f>IFERROR(__xludf.DUMMYFUNCTION("""COMPUTED_VALUE"""),TRUE)</f>
        <v>1</v>
      </c>
      <c r="AN86" s="292" t="b">
        <f>IFERROR(__xludf.DUMMYFUNCTION("""COMPUTED_VALUE"""),TRUE)</f>
        <v>1</v>
      </c>
      <c r="AO86" s="292" t="str">
        <f>IFERROR(__xludf.DUMMYFUNCTION("""COMPUTED_VALUE"""),"TRUE")</f>
        <v>TRUE</v>
      </c>
      <c r="AP86" s="292" t="str">
        <f>IFERROR(__xludf.DUMMYFUNCTION("""COMPUTED_VALUE"""),"Salmon")</f>
        <v>Salmon</v>
      </c>
      <c r="AQ86" s="292" t="str">
        <f>IFERROR(__xludf.DUMMYFUNCTION("""COMPUTED_VALUE"""),"Salmon")</f>
        <v>Salmon</v>
      </c>
      <c r="AR86" s="292" t="str">
        <f>IFERROR(__xludf.DUMMYFUNCTION("""COMPUTED_VALUE"""),"Filet")</f>
        <v>Filet</v>
      </c>
      <c r="AS86" s="292" t="str">
        <f>IFERROR(__xludf.DUMMYFUNCTION("""COMPUTED_VALUE"""),"Rice")</f>
        <v>Rice</v>
      </c>
      <c r="AT86" s="292" t="str">
        <f>IFERROR(__xludf.DUMMYFUNCTION("""COMPUTED_VALUE"""),"Cabbage")</f>
        <v>Cabbage</v>
      </c>
      <c r="AU86" s="292" t="str">
        <f>IFERROR(__xludf.DUMMYFUNCTION("""COMPUTED_VALUE"""),"Green Beans")</f>
        <v>Green Beans</v>
      </c>
      <c r="AV86" s="292" t="str">
        <f>IFERROR(__xludf.DUMMYFUNCTION("""COMPUTED_VALUE"""),"Cupped Sauce")</f>
        <v>Cupped Sauce</v>
      </c>
      <c r="AW86" s="292" t="str">
        <f>IFERROR(__xludf.DUMMYFUNCTION("""COMPUTED_VALUE"""),"Year Round")</f>
        <v>Year Round</v>
      </c>
      <c r="AX86" s="292" t="str">
        <f>IFERROR(__xludf.DUMMYFUNCTION("""COMPUTED_VALUE"""),"Asian")</f>
        <v>Asian</v>
      </c>
      <c r="AY86" s="292"/>
      <c r="AZ86" s="292" t="str">
        <f>IFERROR(__xludf.DUMMYFUNCTION("""COMPUTED_VALUE"""),"2 CT")</f>
        <v>2 CT</v>
      </c>
      <c r="BA86" s="292" t="b">
        <f>IFERROR(__xludf.DUMMYFUNCTION("""COMPUTED_VALUE"""),TRUE)</f>
        <v>1</v>
      </c>
      <c r="BB86" s="342">
        <f>IFERROR(__xludf.DUMMYFUNCTION("""COMPUTED_VALUE"""),4.11)</f>
        <v>4.11</v>
      </c>
      <c r="BC86" s="342">
        <f>IFERROR(__xludf.DUMMYFUNCTION("""COMPUTED_VALUE"""),1.02)</f>
        <v>1.02</v>
      </c>
      <c r="BD86" s="342">
        <f>IFERROR(__xludf.DUMMYFUNCTION("""COMPUTED_VALUE"""),0.392)</f>
        <v>0.392</v>
      </c>
      <c r="BE86" s="342">
        <f>IFERROR(__xludf.DUMMYFUNCTION("""COMPUTED_VALUE"""),0.89)</f>
        <v>0.89</v>
      </c>
      <c r="BF86" s="296" t="str">
        <f>IFERROR(__xludf.DUMMYFUNCTION("""COMPUTED_VALUE"""),"#REF!")</f>
        <v>#REF!</v>
      </c>
      <c r="BG86" s="296" t="str">
        <f>IFERROR(__xludf.DUMMYFUNCTION("""COMPUTED_VALUE"""),"#REF!")</f>
        <v>#REF!</v>
      </c>
      <c r="BH86" s="296" t="str">
        <f>IFERROR(__xludf.DUMMYFUNCTION("""COMPUTED_VALUE"""),"#REF!")</f>
        <v>#REF!</v>
      </c>
      <c r="BI86" s="295">
        <f>IFERROR(__xludf.DUMMYFUNCTION("""COMPUTED_VALUE"""),161.0)</f>
        <v>161</v>
      </c>
      <c r="BJ86" s="295" t="str">
        <f>IFERROR(__xludf.DUMMYFUNCTION("""COMPUTED_VALUE"""),"TRUE")</f>
        <v>TRUE</v>
      </c>
      <c r="BK86" s="346">
        <f>IFERROR(__xludf.DUMMYFUNCTION("""COMPUTED_VALUE"""),2663.0)</f>
        <v>2663</v>
      </c>
      <c r="BL86" s="292" t="str">
        <f>IFERROR(__xludf.DUMMYFUNCTION("""COMPUTED_VALUE"""),"US")</f>
        <v>US</v>
      </c>
      <c r="BM86" s="292" t="str">
        <f>IFERROR(__xludf.DUMMYFUNCTION("""COMPUTED_VALUE"""),"Lax med söt sojadressing")</f>
        <v>Lax med söt sojadressing</v>
      </c>
      <c r="BN86" s="292"/>
      <c r="BO86" s="292"/>
      <c r="BP86" s="292"/>
      <c r="BQ86" s="292" t="str">
        <f>IFERROR(__xludf.DUMMYFUNCTION("""COMPUTED_VALUE"""),"Graveyard")</f>
        <v>Graveyard</v>
      </c>
      <c r="BR86" s="292" t="b">
        <f>IFERROR(__xludf.DUMMYFUNCTION("""COMPUTED_VALUE"""),FALSE)</f>
        <v>0</v>
      </c>
      <c r="BS86" s="292" t="b">
        <f>IFERROR(__xludf.DUMMYFUNCTION("""COMPUTED_VALUE"""),FALSE)</f>
        <v>0</v>
      </c>
      <c r="BT86" s="345">
        <f>IFERROR(__xludf.DUMMYFUNCTION("""COMPUTED_VALUE"""),628.0)</f>
        <v>628</v>
      </c>
      <c r="BU86" s="345">
        <f>IFERROR(__xludf.DUMMYFUNCTION("""COMPUTED_VALUE"""),150.0)</f>
        <v>150</v>
      </c>
      <c r="BV86" s="344">
        <f>IFERROR(__xludf.DUMMYFUNCTION("""COMPUTED_VALUE"""),7.0)</f>
        <v>7</v>
      </c>
      <c r="BW86" s="344">
        <f>IFERROR(__xludf.DUMMYFUNCTION("""COMPUTED_VALUE"""),1.3)</f>
        <v>1.3</v>
      </c>
    </row>
    <row r="87">
      <c r="A87" s="292" t="str">
        <f>IFERROR(__xludf.DUMMYFUNCTION("""COMPUTED_VALUE"""),"FE1169B")</f>
        <v>FE1169B</v>
      </c>
      <c r="B87" s="292" t="str">
        <f>IFERROR(__xludf.DUMMYFUNCTION("""COMPUTED_VALUE"""),"CON-40-143794-4")</f>
        <v>CON-40-143794-4</v>
      </c>
      <c r="C87" s="292" t="str">
        <f>IFERROR(__xludf.DUMMYFUNCTION("""COMPUTED_VALUE"""),"CON-00-147865-2")</f>
        <v>CON-00-147865-2</v>
      </c>
      <c r="D87" s="292" t="str">
        <f>IFERROR(__xludf.DUMMYFUNCTION("""COMPUTED_VALUE"""),"CON-00-136692-3")</f>
        <v>CON-00-136692-3</v>
      </c>
      <c r="E87" s="292" t="str">
        <f>IFERROR(__xludf.DUMMYFUNCTION("""COMPUTED_VALUE"""),"Salmon and sweet soy dressing ")</f>
        <v>Salmon and sweet soy dressing </v>
      </c>
      <c r="F87" s="292" t="str">
        <f>IFERROR(__xludf.DUMMYFUNCTION("""COMPUTED_VALUE"""),"with garlic-ginger rice and green cabbage ")</f>
        <v>with garlic-ginger rice and green cabbage </v>
      </c>
      <c r="G87" s="292" t="str">
        <f>IFERROR(__xludf.DUMMYFUNCTION("""COMPUTED_VALUE"""),"Zalm &amp; zoete sojadressing ")</f>
        <v>Zalm &amp; zoete sojadressing </v>
      </c>
      <c r="H87" s="292" t="str">
        <f>IFERROR(__xludf.DUMMYFUNCTION("""COMPUTED_VALUE"""),"met knoflook-gemberrijst en groene kool ")</f>
        <v>met knoflook-gemberrijst en groene kool </v>
      </c>
      <c r="I87" s="292" t="str">
        <f>IFERROR(__xludf.DUMMYFUNCTION("""COMPUTED_VALUE"""),"Laks og sød sojadressing")</f>
        <v>Laks og sød sojadressing</v>
      </c>
      <c r="J87" s="292" t="str">
        <f>IFERROR(__xludf.DUMMYFUNCTION("""COMPUTED_VALUE"""),"Lachs mit süßem Sojadressing")</f>
        <v>Lachs mit süßem Sojadressing</v>
      </c>
      <c r="K87" s="292">
        <f>IFERROR(__xludf.DUMMYFUNCTION("""COMPUTED_VALUE"""),565096.0)</f>
        <v>565096</v>
      </c>
      <c r="L87" s="292"/>
      <c r="M87" s="292" t="str">
        <f>IFERROR(__xludf.DUMMYFUNCTION("""COMPUTED_VALUE"""),"FA-NL Zalm &amp; zoete sojadressing (FE1169)")</f>
        <v>FA-NL Zalm &amp; zoete sojadressing (FE1169)</v>
      </c>
      <c r="N87" s="292" t="str">
        <f>IFERROR(__xludf.DUMMYFUNCTION("""COMPUTED_VALUE"""),"FA-NO Laks og sød sojadressing (FE1169)")</f>
        <v>FA-NO Laks og sød sojadressing (FE1169)</v>
      </c>
      <c r="O87" s="292" t="str">
        <f>IFERROR(__xludf.DUMMYFUNCTION("""COMPUTED_VALUE"""),"FA-DE Lachs mit süßem Sojadressing (FE1169)")</f>
        <v>FA-DE Lachs mit süßem Sojadressing (FE1169)</v>
      </c>
      <c r="P87" s="292" t="str">
        <f>IFERROR(__xludf.DUMMYFUNCTION("""COMPUTED_VALUE"""),"Graveyard")</f>
        <v>Graveyard</v>
      </c>
      <c r="Q87" s="292" t="str">
        <f>IFERROR(__xludf.DUMMYFUNCTION("""COMPUTED_VALUE"""),"produced at Bonfait, without LAB")</f>
        <v>produced at Bonfait, without LAB</v>
      </c>
      <c r="R87" s="342">
        <f>IFERROR(__xludf.DUMMYFUNCTION("""COMPUTED_VALUE"""),6.459999999999999)</f>
        <v>6.46</v>
      </c>
      <c r="S87" s="292"/>
      <c r="T87" s="292"/>
      <c r="U87" s="292"/>
      <c r="V87" s="292"/>
      <c r="W87" s="292"/>
      <c r="X87" s="345">
        <f>IFERROR(__xludf.DUMMYFUNCTION("""COMPUTED_VALUE"""),420.0)</f>
        <v>420</v>
      </c>
      <c r="Y87" s="344">
        <f>IFERROR(__xludf.DUMMYFUNCTION("""COMPUTED_VALUE"""),686.0)</f>
        <v>686</v>
      </c>
      <c r="Z87" s="343">
        <f>IFERROR(__xludf.DUMMYFUNCTION("""COMPUTED_VALUE"""),34.4)</f>
        <v>34.4</v>
      </c>
      <c r="AA87" s="344">
        <f>IFERROR(__xludf.DUMMYFUNCTION("""COMPUTED_VALUE"""),5.7)</f>
        <v>5.7</v>
      </c>
      <c r="AB87" s="344">
        <f>IFERROR(__xludf.DUMMYFUNCTION("""COMPUTED_VALUE"""),53.0)</f>
        <v>53</v>
      </c>
      <c r="AC87" s="344">
        <f>IFERROR(__xludf.DUMMYFUNCTION("""COMPUTED_VALUE"""),16.7)</f>
        <v>16.7</v>
      </c>
      <c r="AD87" s="344">
        <f>IFERROR(__xludf.DUMMYFUNCTION("""COMPUTED_VALUE"""),11.6)</f>
        <v>11.6</v>
      </c>
      <c r="AE87" s="343">
        <f>IFERROR(__xludf.DUMMYFUNCTION("""COMPUTED_VALUE"""),34.9)</f>
        <v>34.9</v>
      </c>
      <c r="AF87" s="343">
        <f>IFERROR(__xludf.DUMMYFUNCTION("""COMPUTED_VALUE"""),2.0)</f>
        <v>2</v>
      </c>
      <c r="AG87" s="292" t="b">
        <f>IFERROR(__xludf.DUMMYFUNCTION("""COMPUTED_VALUE"""),FALSE)</f>
        <v>0</v>
      </c>
      <c r="AH87" s="292" t="b">
        <f>IFERROR(__xludf.DUMMYFUNCTION("""COMPUTED_VALUE"""),FALSE)</f>
        <v>0</v>
      </c>
      <c r="AI87" s="292" t="b">
        <f>IFERROR(__xludf.DUMMYFUNCTION("""COMPUTED_VALUE"""),FALSE)</f>
        <v>0</v>
      </c>
      <c r="AJ87" s="292" t="b">
        <f>IFERROR(__xludf.DUMMYFUNCTION("""COMPUTED_VALUE"""),FALSE)</f>
        <v>0</v>
      </c>
      <c r="AK87" s="292" t="b">
        <f>IFERROR(__xludf.DUMMYFUNCTION("""COMPUTED_VALUE"""),FALSE)</f>
        <v>0</v>
      </c>
      <c r="AL87" s="292" t="b">
        <f>IFERROR(__xludf.DUMMYFUNCTION("""COMPUTED_VALUE"""),FALSE)</f>
        <v>0</v>
      </c>
      <c r="AM87" s="292" t="b">
        <f>IFERROR(__xludf.DUMMYFUNCTION("""COMPUTED_VALUE"""),TRUE)</f>
        <v>1</v>
      </c>
      <c r="AN87" s="292" t="b">
        <f>IFERROR(__xludf.DUMMYFUNCTION("""COMPUTED_VALUE"""),TRUE)</f>
        <v>1</v>
      </c>
      <c r="AO87" s="292" t="str">
        <f>IFERROR(__xludf.DUMMYFUNCTION("""COMPUTED_VALUE"""),"TRUE")</f>
        <v>TRUE</v>
      </c>
      <c r="AP87" s="292" t="str">
        <f>IFERROR(__xludf.DUMMYFUNCTION("""COMPUTED_VALUE"""),"Salmon")</f>
        <v>Salmon</v>
      </c>
      <c r="AQ87" s="292" t="str">
        <f>IFERROR(__xludf.DUMMYFUNCTION("""COMPUTED_VALUE"""),"Salmon")</f>
        <v>Salmon</v>
      </c>
      <c r="AR87" s="292" t="str">
        <f>IFERROR(__xludf.DUMMYFUNCTION("""COMPUTED_VALUE"""),"Filet")</f>
        <v>Filet</v>
      </c>
      <c r="AS87" s="292" t="str">
        <f>IFERROR(__xludf.DUMMYFUNCTION("""COMPUTED_VALUE"""),"Rice")</f>
        <v>Rice</v>
      </c>
      <c r="AT87" s="292" t="str">
        <f>IFERROR(__xludf.DUMMYFUNCTION("""COMPUTED_VALUE"""),"Cabbage")</f>
        <v>Cabbage</v>
      </c>
      <c r="AU87" s="292" t="str">
        <f>IFERROR(__xludf.DUMMYFUNCTION("""COMPUTED_VALUE"""),"Green Beans")</f>
        <v>Green Beans</v>
      </c>
      <c r="AV87" s="292" t="str">
        <f>IFERROR(__xludf.DUMMYFUNCTION("""COMPUTED_VALUE"""),"Cupped Sauce")</f>
        <v>Cupped Sauce</v>
      </c>
      <c r="AW87" s="292" t="str">
        <f>IFERROR(__xludf.DUMMYFUNCTION("""COMPUTED_VALUE"""),"Year Round")</f>
        <v>Year Round</v>
      </c>
      <c r="AX87" s="292" t="str">
        <f>IFERROR(__xludf.DUMMYFUNCTION("""COMPUTED_VALUE"""),"Asian")</f>
        <v>Asian</v>
      </c>
      <c r="AY87" s="292"/>
      <c r="AZ87" s="292" t="str">
        <f>IFERROR(__xludf.DUMMYFUNCTION("""COMPUTED_VALUE"""),"2 CT")</f>
        <v>2 CT</v>
      </c>
      <c r="BA87" s="292" t="b">
        <f>IFERROR(__xludf.DUMMYFUNCTION("""COMPUTED_VALUE"""),TRUE)</f>
        <v>1</v>
      </c>
      <c r="BB87" s="342">
        <f>IFERROR(__xludf.DUMMYFUNCTION("""COMPUTED_VALUE"""),4.05)</f>
        <v>4.05</v>
      </c>
      <c r="BC87" s="342">
        <f>IFERROR(__xludf.DUMMYFUNCTION("""COMPUTED_VALUE"""),1.13)</f>
        <v>1.13</v>
      </c>
      <c r="BD87" s="342">
        <f>IFERROR(__xludf.DUMMYFUNCTION("""COMPUTED_VALUE"""),0.39)</f>
        <v>0.39</v>
      </c>
      <c r="BE87" s="342">
        <f>IFERROR(__xludf.DUMMYFUNCTION("""COMPUTED_VALUE"""),0.89)</f>
        <v>0.89</v>
      </c>
      <c r="BF87" s="296" t="str">
        <f>IFERROR(__xludf.DUMMYFUNCTION("""COMPUTED_VALUE"""),"#REF!")</f>
        <v>#REF!</v>
      </c>
      <c r="BG87" s="296" t="str">
        <f>IFERROR(__xludf.DUMMYFUNCTION("""COMPUTED_VALUE"""),"#REF!")</f>
        <v>#REF!</v>
      </c>
      <c r="BH87" s="296" t="str">
        <f>IFERROR(__xludf.DUMMYFUNCTION("""COMPUTED_VALUE"""),"#REF!")</f>
        <v>#REF!</v>
      </c>
      <c r="BI87" s="295">
        <f>IFERROR(__xludf.DUMMYFUNCTION("""COMPUTED_VALUE"""),165.0)</f>
        <v>165</v>
      </c>
      <c r="BJ87" s="295" t="str">
        <f>IFERROR(__xludf.DUMMYFUNCTION("""COMPUTED_VALUE"""),"TRUE")</f>
        <v>TRUE</v>
      </c>
      <c r="BK87" s="346">
        <f>IFERROR(__xludf.DUMMYFUNCTION("""COMPUTED_VALUE"""),2868.0)</f>
        <v>2868</v>
      </c>
      <c r="BL87" s="292" t="str">
        <f>IFERROR(__xludf.DUMMYFUNCTION("""COMPUTED_VALUE"""),"US")</f>
        <v>US</v>
      </c>
      <c r="BM87" s="292" t="str">
        <f>IFERROR(__xludf.DUMMYFUNCTION("""COMPUTED_VALUE"""),"Lax med söt sojadressing")</f>
        <v>Lax med söt sojadressing</v>
      </c>
      <c r="BN87" s="292"/>
      <c r="BO87" s="292"/>
      <c r="BP87" s="292"/>
      <c r="BQ87" s="292" t="str">
        <f>IFERROR(__xludf.DUMMYFUNCTION("""COMPUTED_VALUE"""),"Active")</f>
        <v>Active</v>
      </c>
      <c r="BR87" s="292" t="b">
        <f>IFERROR(__xludf.DUMMYFUNCTION("""COMPUTED_VALUE"""),FALSE)</f>
        <v>0</v>
      </c>
      <c r="BS87" s="292" t="b">
        <f>IFERROR(__xludf.DUMMYFUNCTION("""COMPUTED_VALUE"""),TRUE)</f>
        <v>1</v>
      </c>
      <c r="BT87" s="345">
        <f>IFERROR(__xludf.DUMMYFUNCTION("""COMPUTED_VALUE"""),683.0)</f>
        <v>683</v>
      </c>
      <c r="BU87" s="345">
        <f>IFERROR(__xludf.DUMMYFUNCTION("""COMPUTED_VALUE"""),163.0)</f>
        <v>163</v>
      </c>
      <c r="BV87" s="344">
        <f>IFERROR(__xludf.DUMMYFUNCTION("""COMPUTED_VALUE"""),8.2)</f>
        <v>8.2</v>
      </c>
      <c r="BW87" s="344">
        <f>IFERROR(__xludf.DUMMYFUNCTION("""COMPUTED_VALUE"""),1.4)</f>
        <v>1.4</v>
      </c>
    </row>
    <row r="88">
      <c r="A88" s="292" t="str">
        <f>IFERROR(__xludf.DUMMYFUNCTION("""COMPUTED_VALUE"""),"FE4001A")</f>
        <v>FE4001A</v>
      </c>
      <c r="B88" s="292" t="str">
        <f>IFERROR(__xludf.DUMMYFUNCTION("""COMPUTED_VALUE"""),"CON-40-143660-4")</f>
        <v>CON-40-143660-4</v>
      </c>
      <c r="C88" s="292" t="str">
        <f>IFERROR(__xludf.DUMMYFUNCTION("""COMPUTED_VALUE"""),"CON-00-147866-2")</f>
        <v>CON-00-147866-2</v>
      </c>
      <c r="D88" s="292" t="str">
        <f>IFERROR(__xludf.DUMMYFUNCTION("""COMPUTED_VALUE"""),"CON-00-136659-3")</f>
        <v>CON-00-136659-3</v>
      </c>
      <c r="E88" s="292" t="str">
        <f>IFERROR(__xludf.DUMMYFUNCTION("""COMPUTED_VALUE"""),"Grilled chicken fillet and pesto")</f>
        <v>Grilled chicken fillet and pesto</v>
      </c>
      <c r="F88" s="292" t="str">
        <f>IFERROR(__xludf.DUMMYFUNCTION("""COMPUTED_VALUE"""),"with green beans, cherry tomatoes, and potato and leek puree")</f>
        <v>with green beans, cherry tomatoes, and potato and leek puree</v>
      </c>
      <c r="G88" s="292" t="str">
        <f>IFERROR(__xludf.DUMMYFUNCTION("""COMPUTED_VALUE"""),"Gegrilde kipfilet en pesto")</f>
        <v>Gegrilde kipfilet en pesto</v>
      </c>
      <c r="H88" s="292" t="str">
        <f>IFERROR(__xludf.DUMMYFUNCTION("""COMPUTED_VALUE"""),"met sperziebonen, cherrytomaatjes, en puree van aardappel en prei")</f>
        <v>met sperziebonen, cherrytomaatjes, en puree van aardappel en prei</v>
      </c>
      <c r="I88" s="292" t="str">
        <f>IFERROR(__xludf.DUMMYFUNCTION("""COMPUTED_VALUE"""),"Grillet kyllingefilet og pesto")</f>
        <v>Grillet kyllingefilet og pesto</v>
      </c>
      <c r="J88" s="292" t="str">
        <f>IFERROR(__xludf.DUMMYFUNCTION("""COMPUTED_VALUE"""),"Gegrilltes Hähnchenfilet mit Pesto")</f>
        <v>Gegrilltes Hähnchenfilet mit Pesto</v>
      </c>
      <c r="K88" s="292">
        <f>IFERROR(__xludf.DUMMYFUNCTION("""COMPUTED_VALUE"""),565055.0)</f>
        <v>565055</v>
      </c>
      <c r="L88" s="292" t="str">
        <f>IFERROR(__xludf.DUMMYFUNCTION("""COMPUTED_VALUE"""),"Gegrilde kipfilet en pesto 409g")</f>
        <v>Gegrilde kipfilet en pesto 409g</v>
      </c>
      <c r="M88" s="292" t="str">
        <f>IFERROR(__xludf.DUMMYFUNCTION("""COMPUTED_VALUE"""),"FA-NL Gegrilde kipfilet en pesto (FE4001)")</f>
        <v>FA-NL Gegrilde kipfilet en pesto (FE4001)</v>
      </c>
      <c r="N88" s="292" t="str">
        <f>IFERROR(__xludf.DUMMYFUNCTION("""COMPUTED_VALUE"""),"FA-NO Grillet kyllingefilet og pesto (FE4001)")</f>
        <v>FA-NO Grillet kyllingefilet og pesto (FE4001)</v>
      </c>
      <c r="O88" s="292" t="str">
        <f>IFERROR(__xludf.DUMMYFUNCTION("""COMPUTED_VALUE"""),"FA-DE Gegrilltes Hähnchenfilet mit Pesto (FE4001)")</f>
        <v>FA-DE Gegrilltes Hähnchenfilet mit Pesto (FE4001)</v>
      </c>
      <c r="P88" s="292" t="str">
        <f>IFERROR(__xludf.DUMMYFUNCTION("""COMPUTED_VALUE"""),"Graveyard")</f>
        <v>Graveyard</v>
      </c>
      <c r="Q88" s="292"/>
      <c r="R88" s="342">
        <f>IFERROR(__xludf.DUMMYFUNCTION("""COMPUTED_VALUE"""),5.06)</f>
        <v>5.06</v>
      </c>
      <c r="S88" s="292"/>
      <c r="T88" s="292"/>
      <c r="U88" s="292"/>
      <c r="V88" s="292"/>
      <c r="W88" s="292" t="b">
        <f>IFERROR(__xludf.DUMMYFUNCTION("""COMPUTED_VALUE"""),TRUE)</f>
        <v>1</v>
      </c>
      <c r="X88" s="345">
        <f>IFERROR(__xludf.DUMMYFUNCTION("""COMPUTED_VALUE"""),409.0)</f>
        <v>409</v>
      </c>
      <c r="Y88" s="344">
        <f>IFERROR(__xludf.DUMMYFUNCTION("""COMPUTED_VALUE"""),540.0)</f>
        <v>540</v>
      </c>
      <c r="Z88" s="343">
        <f>IFERROR(__xludf.DUMMYFUNCTION("""COMPUTED_VALUE"""),31.6)</f>
        <v>31.6</v>
      </c>
      <c r="AA88" s="344">
        <f>IFERROR(__xludf.DUMMYFUNCTION("""COMPUTED_VALUE"""),7.3)</f>
        <v>7.3</v>
      </c>
      <c r="AB88" s="344">
        <f>IFERROR(__xludf.DUMMYFUNCTION("""COMPUTED_VALUE"""),23.9)</f>
        <v>23.9</v>
      </c>
      <c r="AC88" s="344">
        <f>IFERROR(__xludf.DUMMYFUNCTION("""COMPUTED_VALUE"""),8.4)</f>
        <v>8.4</v>
      </c>
      <c r="AD88" s="344">
        <f>IFERROR(__xludf.DUMMYFUNCTION("""COMPUTED_VALUE"""),8.9)</f>
        <v>8.9</v>
      </c>
      <c r="AE88" s="343">
        <f>IFERROR(__xludf.DUMMYFUNCTION("""COMPUTED_VALUE"""),34.8)</f>
        <v>34.8</v>
      </c>
      <c r="AF88" s="343">
        <f>IFERROR(__xludf.DUMMYFUNCTION("""COMPUTED_VALUE"""),1.86)</f>
        <v>1.86</v>
      </c>
      <c r="AG88" s="292" t="b">
        <f>IFERROR(__xludf.DUMMYFUNCTION("""COMPUTED_VALUE"""),FALSE)</f>
        <v>0</v>
      </c>
      <c r="AH88" s="292" t="b">
        <f>IFERROR(__xludf.DUMMYFUNCTION("""COMPUTED_VALUE"""),FALSE)</f>
        <v>0</v>
      </c>
      <c r="AI88" s="292" t="b">
        <f>IFERROR(__xludf.DUMMYFUNCTION("""COMPUTED_VALUE"""),TRUE)</f>
        <v>1</v>
      </c>
      <c r="AJ88" s="292" t="b">
        <f>IFERROR(__xludf.DUMMYFUNCTION("""COMPUTED_VALUE"""),FALSE)</f>
        <v>0</v>
      </c>
      <c r="AK88" s="292" t="b">
        <f>IFERROR(__xludf.DUMMYFUNCTION("""COMPUTED_VALUE"""),FALSE)</f>
        <v>0</v>
      </c>
      <c r="AL88" s="292" t="b">
        <f>IFERROR(__xludf.DUMMYFUNCTION("""COMPUTED_VALUE"""),FALSE)</f>
        <v>0</v>
      </c>
      <c r="AM88" s="292" t="b">
        <f>IFERROR(__xludf.DUMMYFUNCTION("""COMPUTED_VALUE"""),TRUE)</f>
        <v>1</v>
      </c>
      <c r="AN88" s="292" t="b">
        <f>IFERROR(__xludf.DUMMYFUNCTION("""COMPUTED_VALUE"""),FALSE)</f>
        <v>0</v>
      </c>
      <c r="AO88" s="292" t="str">
        <f>IFERROR(__xludf.DUMMYFUNCTION("""COMPUTED_VALUE"""),"FALSE")</f>
        <v>FALSE</v>
      </c>
      <c r="AP88" s="292" t="str">
        <f>IFERROR(__xludf.DUMMYFUNCTION("""COMPUTED_VALUE"""),"Chicken breast")</f>
        <v>Chicken breast</v>
      </c>
      <c r="AQ88" s="292" t="str">
        <f>IFERROR(__xludf.DUMMYFUNCTION("""COMPUTED_VALUE"""),"Chicken")</f>
        <v>Chicken</v>
      </c>
      <c r="AR88" s="292" t="str">
        <f>IFERROR(__xludf.DUMMYFUNCTION("""COMPUTED_VALUE"""),"Breast")</f>
        <v>Breast</v>
      </c>
      <c r="AS88" s="292" t="str">
        <f>IFERROR(__xludf.DUMMYFUNCTION("""COMPUTED_VALUE"""),"Potato Mash")</f>
        <v>Potato Mash</v>
      </c>
      <c r="AT88" s="292" t="str">
        <f>IFERROR(__xludf.DUMMYFUNCTION("""COMPUTED_VALUE"""),"Pesto")</f>
        <v>Pesto</v>
      </c>
      <c r="AU88" s="292" t="str">
        <f>IFERROR(__xludf.DUMMYFUNCTION("""COMPUTED_VALUE"""),"Green Beans")</f>
        <v>Green Beans</v>
      </c>
      <c r="AV88" s="292" t="str">
        <f>IFERROR(__xludf.DUMMYFUNCTION("""COMPUTED_VALUE"""),"Cherry Tomatoes")</f>
        <v>Cherry Tomatoes</v>
      </c>
      <c r="AW88" s="292" t="str">
        <f>IFERROR(__xludf.DUMMYFUNCTION("""COMPUTED_VALUE"""),"Year Round")</f>
        <v>Year Round</v>
      </c>
      <c r="AX88" s="292" t="str">
        <f>IFERROR(__xludf.DUMMYFUNCTION("""COMPUTED_VALUE"""),"Italian")</f>
        <v>Italian</v>
      </c>
      <c r="AY88" s="292"/>
      <c r="AZ88" s="292" t="str">
        <f>IFERROR(__xludf.DUMMYFUNCTION("""COMPUTED_VALUE"""),"2 CT")</f>
        <v>2 CT</v>
      </c>
      <c r="BA88" s="292" t="b">
        <f>IFERROR(__xludf.DUMMYFUNCTION("""COMPUTED_VALUE"""),FALSE)</f>
        <v>0</v>
      </c>
      <c r="BB88" s="342">
        <f>IFERROR(__xludf.DUMMYFUNCTION("""COMPUTED_VALUE"""),2.57)</f>
        <v>2.57</v>
      </c>
      <c r="BC88" s="342">
        <f>IFERROR(__xludf.DUMMYFUNCTION("""COMPUTED_VALUE"""),1.24)</f>
        <v>1.24</v>
      </c>
      <c r="BD88" s="342">
        <f>IFERROR(__xludf.DUMMYFUNCTION("""COMPUTED_VALUE"""),0.36)</f>
        <v>0.36</v>
      </c>
      <c r="BE88" s="342">
        <f>IFERROR(__xludf.DUMMYFUNCTION("""COMPUTED_VALUE"""),0.89)</f>
        <v>0.89</v>
      </c>
      <c r="BF88" s="296">
        <f>IFERROR(__xludf.DUMMYFUNCTION("""COMPUTED_VALUE"""),3.2888394820703177)</f>
        <v>3.288839482</v>
      </c>
      <c r="BG88" s="296">
        <f>IFERROR(__xludf.DUMMYFUNCTION("""COMPUTED_VALUE"""),3.1728026632037283)</f>
        <v>3.172802663</v>
      </c>
      <c r="BH88" s="296">
        <f>IFERROR(__xludf.DUMMYFUNCTION("""COMPUTED_VALUE"""),3.1539224875610126)</f>
        <v>3.153922488</v>
      </c>
      <c r="BI88" s="295">
        <f>IFERROR(__xludf.DUMMYFUNCTION("""COMPUTED_VALUE"""),159.0)</f>
        <v>159</v>
      </c>
      <c r="BJ88" s="295" t="str">
        <f>IFERROR(__xludf.DUMMYFUNCTION("""COMPUTED_VALUE"""),"FALSE")</f>
        <v>FALSE</v>
      </c>
      <c r="BK88" s="346">
        <f>IFERROR(__xludf.DUMMYFUNCTION("""COMPUTED_VALUE"""),2253.0)</f>
        <v>2253</v>
      </c>
      <c r="BL88" s="292" t="str">
        <f>IFERROR(__xludf.DUMMYFUNCTION("""COMPUTED_VALUE"""),"Frankenstein")</f>
        <v>Frankenstein</v>
      </c>
      <c r="BM88" s="292" t="str">
        <f>IFERROR(__xludf.DUMMYFUNCTION("""COMPUTED_VALUE"""),"Grillad kycklingfilé och pesto")</f>
        <v>Grillad kycklingfilé och pesto</v>
      </c>
      <c r="BN88" s="343">
        <f>IFERROR(__xludf.DUMMYFUNCTION("""COMPUTED_VALUE"""),3.2824576639166305)</f>
        <v>3.282457664</v>
      </c>
      <c r="BO88" s="343">
        <f>IFERROR(__xludf.DUMMYFUNCTION("""COMPUTED_VALUE"""),3.1306230319388213)</f>
        <v>3.130623032</v>
      </c>
      <c r="BP88" s="292"/>
      <c r="BQ88" s="292" t="str">
        <f>IFERROR(__xludf.DUMMYFUNCTION("""COMPUTED_VALUE"""),"Graveyard")</f>
        <v>Graveyard</v>
      </c>
      <c r="BR88" s="292" t="b">
        <f>IFERROR(__xludf.DUMMYFUNCTION("""COMPUTED_VALUE"""),FALSE)</f>
        <v>0</v>
      </c>
      <c r="BS88" s="292" t="b">
        <f>IFERROR(__xludf.DUMMYFUNCTION("""COMPUTED_VALUE"""),FALSE)</f>
        <v>0</v>
      </c>
      <c r="BT88" s="345">
        <f>IFERROR(__xludf.DUMMYFUNCTION("""COMPUTED_VALUE"""),551.0)</f>
        <v>551</v>
      </c>
      <c r="BU88" s="345">
        <f>IFERROR(__xludf.DUMMYFUNCTION("""COMPUTED_VALUE"""),132.0)</f>
        <v>132</v>
      </c>
      <c r="BV88" s="344">
        <f>IFERROR(__xludf.DUMMYFUNCTION("""COMPUTED_VALUE"""),7.7)</f>
        <v>7.7</v>
      </c>
      <c r="BW88" s="344">
        <f>IFERROR(__xludf.DUMMYFUNCTION("""COMPUTED_VALUE"""),1.8)</f>
        <v>1.8</v>
      </c>
    </row>
    <row r="89">
      <c r="A89" s="292" t="str">
        <f>IFERROR(__xludf.DUMMYFUNCTION("""COMPUTED_VALUE"""),"FE4002A")</f>
        <v>FE4002A</v>
      </c>
      <c r="B89" s="292" t="str">
        <f>IFERROR(__xludf.DUMMYFUNCTION("""COMPUTED_VALUE"""),"CON-40-143728-4")</f>
        <v>CON-40-143728-4</v>
      </c>
      <c r="C89" s="292" t="str">
        <f>IFERROR(__xludf.DUMMYFUNCTION("""COMPUTED_VALUE"""),"CON-00-147867-2")</f>
        <v>CON-00-147867-2</v>
      </c>
      <c r="D89" s="292" t="str">
        <f>IFERROR(__xludf.DUMMYFUNCTION("""COMPUTED_VALUE"""),"CON-00-136622-3")</f>
        <v>CON-00-136622-3</v>
      </c>
      <c r="E89" s="292" t="str">
        <f>IFERROR(__xludf.DUMMYFUNCTION("""COMPUTED_VALUE"""),"Tagine of vegetables and feta")</f>
        <v>Tagine of vegetables and feta</v>
      </c>
      <c r="F89" s="292" t="str">
        <f>IFERROR(__xludf.DUMMYFUNCTION("""COMPUTED_VALUE"""),"with potatoes and roasted nuts")</f>
        <v>with potatoes and roasted nuts</v>
      </c>
      <c r="G89" s="292" t="str">
        <f>IFERROR(__xludf.DUMMYFUNCTION("""COMPUTED_VALUE"""),"Tajine van groenten en feta")</f>
        <v>Tajine van groenten en feta</v>
      </c>
      <c r="H89" s="292" t="str">
        <f>IFERROR(__xludf.DUMMYFUNCTION("""COMPUTED_VALUE"""),"met aardappels en geroosterde noten")</f>
        <v>met aardappels en geroosterde noten</v>
      </c>
      <c r="I89" s="292" t="str">
        <f>IFERROR(__xludf.DUMMYFUNCTION("""COMPUTED_VALUE"""),"Grøntsagstagine med feta")</f>
        <v>Grøntsagstagine med feta</v>
      </c>
      <c r="J89" s="292" t="str">
        <f>IFERROR(__xludf.DUMMYFUNCTION("""COMPUTED_VALUE"""),"Gemüse-Tagine mit Feta")</f>
        <v>Gemüse-Tagine mit Feta</v>
      </c>
      <c r="K89" s="292">
        <f>IFERROR(__xludf.DUMMYFUNCTION("""COMPUTED_VALUE"""),565056.0)</f>
        <v>565056</v>
      </c>
      <c r="L89" s="292" t="str">
        <f>IFERROR(__xludf.DUMMYFUNCTION("""COMPUTED_VALUE"""),"Tajine van groente en feta 399g")</f>
        <v>Tajine van groente en feta 399g</v>
      </c>
      <c r="M89" s="292" t="str">
        <f>IFERROR(__xludf.DUMMYFUNCTION("""COMPUTED_VALUE"""),"FA-NL Tajine van groenten en feta (FE4002)")</f>
        <v>FA-NL Tajine van groenten en feta (FE4002)</v>
      </c>
      <c r="N89" s="292" t="str">
        <f>IFERROR(__xludf.DUMMYFUNCTION("""COMPUTED_VALUE"""),"FA-NO Grøntsagstagine med feta (FE4002)")</f>
        <v>FA-NO Grøntsagstagine med feta (FE4002)</v>
      </c>
      <c r="O89" s="292" t="str">
        <f>IFERROR(__xludf.DUMMYFUNCTION("""COMPUTED_VALUE"""),"FA-DE Gemüse-Tagine mit Feta (FE4002)")</f>
        <v>FA-DE Gemüse-Tagine mit Feta (FE4002)</v>
      </c>
      <c r="P89" s="292" t="str">
        <f>IFERROR(__xludf.DUMMYFUNCTION("""COMPUTED_VALUE"""),"Hold")</f>
        <v>Hold</v>
      </c>
      <c r="Q89" s="292" t="str">
        <f>IFERROR(__xludf.DUMMYFUNCTION("""COMPUTED_VALUE"""),"on hold due to change in RM raisins, sunflower oil was replaced with cotton seed oil")</f>
        <v>on hold due to change in RM raisins, sunflower oil was replaced with cotton seed oil</v>
      </c>
      <c r="R89" s="342">
        <f>IFERROR(__xludf.DUMMYFUNCTION("""COMPUTED_VALUE"""),5.15)</f>
        <v>5.15</v>
      </c>
      <c r="S89" s="292"/>
      <c r="T89" s="292"/>
      <c r="U89" s="292"/>
      <c r="V89" s="292"/>
      <c r="W89" s="292" t="b">
        <f>IFERROR(__xludf.DUMMYFUNCTION("""COMPUTED_VALUE"""),TRUE)</f>
        <v>1</v>
      </c>
      <c r="X89" s="345">
        <f>IFERROR(__xludf.DUMMYFUNCTION("""COMPUTED_VALUE"""),399.0)</f>
        <v>399</v>
      </c>
      <c r="Y89" s="344">
        <f>IFERROR(__xludf.DUMMYFUNCTION("""COMPUTED_VALUE"""),572.0)</f>
        <v>572</v>
      </c>
      <c r="Z89" s="343">
        <f>IFERROR(__xludf.DUMMYFUNCTION("""COMPUTED_VALUE"""),35.5)</f>
        <v>35.5</v>
      </c>
      <c r="AA89" s="344">
        <f>IFERROR(__xludf.DUMMYFUNCTION("""COMPUTED_VALUE"""),8.1)</f>
        <v>8.1</v>
      </c>
      <c r="AB89" s="344">
        <f>IFERROR(__xludf.DUMMYFUNCTION("""COMPUTED_VALUE"""),37.9)</f>
        <v>37.9</v>
      </c>
      <c r="AC89" s="344">
        <f>IFERROR(__xludf.DUMMYFUNCTION("""COMPUTED_VALUE"""),17.5)</f>
        <v>17.5</v>
      </c>
      <c r="AD89" s="344">
        <f>IFERROR(__xludf.DUMMYFUNCTION("""COMPUTED_VALUE"""),14.1)</f>
        <v>14.1</v>
      </c>
      <c r="AE89" s="343">
        <f>IFERROR(__xludf.DUMMYFUNCTION("""COMPUTED_VALUE"""),16.6)</f>
        <v>16.6</v>
      </c>
      <c r="AF89" s="343">
        <f>IFERROR(__xludf.DUMMYFUNCTION("""COMPUTED_VALUE"""),1.71)</f>
        <v>1.71</v>
      </c>
      <c r="AG89" s="292" t="b">
        <f>IFERROR(__xludf.DUMMYFUNCTION("""COMPUTED_VALUE"""),FALSE)</f>
        <v>0</v>
      </c>
      <c r="AH89" s="292" t="b">
        <f>IFERROR(__xludf.DUMMYFUNCTION("""COMPUTED_VALUE"""),FALSE)</f>
        <v>0</v>
      </c>
      <c r="AI89" s="292" t="b">
        <f>IFERROR(__xludf.DUMMYFUNCTION("""COMPUTED_VALUE"""),FALSE)</f>
        <v>0</v>
      </c>
      <c r="AJ89" s="292" t="b">
        <f>IFERROR(__xludf.DUMMYFUNCTION("""COMPUTED_VALUE"""),FALSE)</f>
        <v>0</v>
      </c>
      <c r="AK89" s="292" t="b">
        <f>IFERROR(__xludf.DUMMYFUNCTION("""COMPUTED_VALUE"""),TRUE)</f>
        <v>1</v>
      </c>
      <c r="AL89" s="292" t="b">
        <f>IFERROR(__xludf.DUMMYFUNCTION("""COMPUTED_VALUE"""),FALSE)</f>
        <v>0</v>
      </c>
      <c r="AM89" s="292" t="b">
        <f>IFERROR(__xludf.DUMMYFUNCTION("""COMPUTED_VALUE"""),FALSE)</f>
        <v>0</v>
      </c>
      <c r="AN89" s="292" t="b">
        <f>IFERROR(__xludf.DUMMYFUNCTION("""COMPUTED_VALUE"""),FALSE)</f>
        <v>0</v>
      </c>
      <c r="AO89" s="292" t="str">
        <f>IFERROR(__xludf.DUMMYFUNCTION("""COMPUTED_VALUE"""),"TRUE")</f>
        <v>TRUE</v>
      </c>
      <c r="AP89" s="292" t="str">
        <f>IFERROR(__xludf.DUMMYFUNCTION("""COMPUTED_VALUE"""),"Vegetarian")</f>
        <v>Vegetarian</v>
      </c>
      <c r="AQ89" s="292" t="str">
        <f>IFERROR(__xludf.DUMMYFUNCTION("""COMPUTED_VALUE"""),"Vegetarian")</f>
        <v>Vegetarian</v>
      </c>
      <c r="AR89" s="292" t="str">
        <f>IFERROR(__xludf.DUMMYFUNCTION("""COMPUTED_VALUE"""),"Vegetable")</f>
        <v>Vegetable</v>
      </c>
      <c r="AS89" s="292" t="str">
        <f>IFERROR(__xludf.DUMMYFUNCTION("""COMPUTED_VALUE"""),"Potato Non-Mash")</f>
        <v>Potato Non-Mash</v>
      </c>
      <c r="AT89" s="292" t="str">
        <f>IFERROR(__xludf.DUMMYFUNCTION("""COMPUTED_VALUE"""),"Nuts")</f>
        <v>Nuts</v>
      </c>
      <c r="AU89" s="292" t="str">
        <f>IFERROR(__xludf.DUMMYFUNCTION("""COMPUTED_VALUE"""),"Tomato Based Sauce")</f>
        <v>Tomato Based Sauce</v>
      </c>
      <c r="AV89" s="292" t="str">
        <f>IFERROR(__xludf.DUMMYFUNCTION("""COMPUTED_VALUE"""),"Carrots")</f>
        <v>Carrots</v>
      </c>
      <c r="AW89" s="292" t="str">
        <f>IFERROR(__xludf.DUMMYFUNCTION("""COMPUTED_VALUE"""),"Year Round")</f>
        <v>Year Round</v>
      </c>
      <c r="AX89" s="292" t="str">
        <f>IFERROR(__xludf.DUMMYFUNCTION("""COMPUTED_VALUE"""),"Moroccan")</f>
        <v>Moroccan</v>
      </c>
      <c r="AY89" s="292"/>
      <c r="AZ89" s="292" t="str">
        <f>IFERROR(__xludf.DUMMYFUNCTION("""COMPUTED_VALUE"""),"2 CT")</f>
        <v>2 CT</v>
      </c>
      <c r="BA89" s="292" t="b">
        <f>IFERROR(__xludf.DUMMYFUNCTION("""COMPUTED_VALUE"""),TRUE)</f>
        <v>1</v>
      </c>
      <c r="BB89" s="342">
        <f>IFERROR(__xludf.DUMMYFUNCTION("""COMPUTED_VALUE"""),2.97)</f>
        <v>2.97</v>
      </c>
      <c r="BC89" s="342">
        <f>IFERROR(__xludf.DUMMYFUNCTION("""COMPUTED_VALUE"""),0.98)</f>
        <v>0.98</v>
      </c>
      <c r="BD89" s="342">
        <f>IFERROR(__xludf.DUMMYFUNCTION("""COMPUTED_VALUE"""),0.362)</f>
        <v>0.362</v>
      </c>
      <c r="BE89" s="342">
        <f>IFERROR(__xludf.DUMMYFUNCTION("""COMPUTED_VALUE"""),0.89)</f>
        <v>0.89</v>
      </c>
      <c r="BF89" s="296" t="str">
        <f>IFERROR(__xludf.DUMMYFUNCTION("""COMPUTED_VALUE"""),"#REF!")</f>
        <v>#REF!</v>
      </c>
      <c r="BG89" s="296" t="str">
        <f>IFERROR(__xludf.DUMMYFUNCTION("""COMPUTED_VALUE"""),"#REF!")</f>
        <v>#REF!</v>
      </c>
      <c r="BH89" s="296" t="str">
        <f>IFERROR(__xludf.DUMMYFUNCTION("""COMPUTED_VALUE"""),"#REF!")</f>
        <v>#REF!</v>
      </c>
      <c r="BI89" s="295">
        <f>IFERROR(__xludf.DUMMYFUNCTION("""COMPUTED_VALUE"""),271.0)</f>
        <v>271</v>
      </c>
      <c r="BJ89" s="295" t="str">
        <f>IFERROR(__xludf.DUMMYFUNCTION("""COMPUTED_VALUE"""),"FALSE")</f>
        <v>FALSE</v>
      </c>
      <c r="BK89" s="346">
        <f>IFERROR(__xludf.DUMMYFUNCTION("""COMPUTED_VALUE"""),2382.0)</f>
        <v>2382</v>
      </c>
      <c r="BL89" s="292" t="str">
        <f>IFERROR(__xludf.DUMMYFUNCTION("""COMPUTED_VALUE"""),"Local Development")</f>
        <v>Local Development</v>
      </c>
      <c r="BM89" s="292" t="str">
        <f>IFERROR(__xludf.DUMMYFUNCTION("""COMPUTED_VALUE"""),"Grönsakstagine")</f>
        <v>Grönsakstagine</v>
      </c>
      <c r="BN89" s="292"/>
      <c r="BO89" s="292"/>
      <c r="BP89" s="292"/>
      <c r="BQ89" s="292" t="str">
        <f>IFERROR(__xludf.DUMMYFUNCTION("""COMPUTED_VALUE"""),"Hold")</f>
        <v>Hold</v>
      </c>
      <c r="BR89" s="292" t="b">
        <f>IFERROR(__xludf.DUMMYFUNCTION("""COMPUTED_VALUE"""),FALSE)</f>
        <v>0</v>
      </c>
      <c r="BS89" s="292" t="b">
        <f>IFERROR(__xludf.DUMMYFUNCTION("""COMPUTED_VALUE"""),FALSE)</f>
        <v>0</v>
      </c>
      <c r="BT89" s="345">
        <f>IFERROR(__xludf.DUMMYFUNCTION("""COMPUTED_VALUE"""),597.0)</f>
        <v>597</v>
      </c>
      <c r="BU89" s="345">
        <f>IFERROR(__xludf.DUMMYFUNCTION("""COMPUTED_VALUE"""),143.0)</f>
        <v>143</v>
      </c>
      <c r="BV89" s="344">
        <f>IFERROR(__xludf.DUMMYFUNCTION("""COMPUTED_VALUE"""),8.9)</f>
        <v>8.9</v>
      </c>
      <c r="BW89" s="344">
        <f>IFERROR(__xludf.DUMMYFUNCTION("""COMPUTED_VALUE"""),2.0)</f>
        <v>2</v>
      </c>
    </row>
    <row r="90">
      <c r="A90" s="292" t="str">
        <f>IFERROR(__xludf.DUMMYFUNCTION("""COMPUTED_VALUE"""),"FE4004A")</f>
        <v>FE4004A</v>
      </c>
      <c r="B90" s="292" t="str">
        <f>IFERROR(__xludf.DUMMYFUNCTION("""COMPUTED_VALUE"""),"CON-40-143683-4")</f>
        <v>CON-40-143683-4</v>
      </c>
      <c r="C90" s="292" t="str">
        <f>IFERROR(__xludf.DUMMYFUNCTION("""COMPUTED_VALUE"""),"CON-00-147868-2")</f>
        <v>CON-00-147868-2</v>
      </c>
      <c r="D90" s="292" t="str">
        <f>IFERROR(__xludf.DUMMYFUNCTION("""COMPUTED_VALUE"""),"CON-00-136661-3")</f>
        <v>CON-00-136661-3</v>
      </c>
      <c r="E90" s="292" t="str">
        <f>IFERROR(__xludf.DUMMYFUNCTION("""COMPUTED_VALUE"""),"Chicken in basil-pepper sauce")</f>
        <v>Chicken in basil-pepper sauce</v>
      </c>
      <c r="F90" s="292" t="str">
        <f>IFERROR(__xludf.DUMMYFUNCTION("""COMPUTED_VALUE"""),"with mascarpone rice, fennel and cherry tomatoes")</f>
        <v>with mascarpone rice, fennel and cherry tomatoes</v>
      </c>
      <c r="G90" s="292" t="str">
        <f>IFERROR(__xludf.DUMMYFUNCTION("""COMPUTED_VALUE"""),"Kipfilet in basilicum-paprikasaus")</f>
        <v>Kipfilet in basilicum-paprikasaus</v>
      </c>
      <c r="H90" s="292" t="str">
        <f>IFERROR(__xludf.DUMMYFUNCTION("""COMPUTED_VALUE"""),"met mascarpone-rijst, venkel en cherrytomaatjes")</f>
        <v>met mascarpone-rijst, venkel en cherrytomaatjes</v>
      </c>
      <c r="I90" s="292" t="str">
        <f>IFERROR(__xludf.DUMMYFUNCTION("""COMPUTED_VALUE"""),"Kylling i peberfrugt- og basilikumauce")</f>
        <v>Kylling i peberfrugt- og basilikumauce</v>
      </c>
      <c r="J90" s="292" t="str">
        <f>IFERROR(__xludf.DUMMYFUNCTION("""COMPUTED_VALUE"""),"Hähnchen in Basilikum-Paprika-Sauce")</f>
        <v>Hähnchen in Basilikum-Paprika-Sauce</v>
      </c>
      <c r="K90" s="292">
        <f>IFERROR(__xludf.DUMMYFUNCTION("""COMPUTED_VALUE"""),565062.0)</f>
        <v>565062</v>
      </c>
      <c r="L90" s="292" t="str">
        <f>IFERROR(__xludf.DUMMYFUNCTION("""COMPUTED_VALUE"""),"HF Italiaanse stijl kipfilet in paprikasaus 382g")</f>
        <v>HF Italiaanse stijl kipfilet in paprikasaus 382g</v>
      </c>
      <c r="M90" s="292" t="str">
        <f>IFERROR(__xludf.DUMMYFUNCTION("""COMPUTED_VALUE"""),"FA-NL Kipfilet in basilicum-paprikasaus (FE4004)")</f>
        <v>FA-NL Kipfilet in basilicum-paprikasaus (FE4004)</v>
      </c>
      <c r="N90" s="292" t="str">
        <f>IFERROR(__xludf.DUMMYFUNCTION("""COMPUTED_VALUE"""),"FA-NO Kylling i peberfrugt- og basilikumauce (FE4004)")</f>
        <v>FA-NO Kylling i peberfrugt- og basilikumauce (FE4004)</v>
      </c>
      <c r="O90" s="292" t="str">
        <f>IFERROR(__xludf.DUMMYFUNCTION("""COMPUTED_VALUE"""),"FA-DE Hähnchen in Basilikum-Paprika-Sauce (FE4004)")</f>
        <v>FA-DE Hähnchen in Basilikum-Paprika-Sauce (FE4004)</v>
      </c>
      <c r="P90" s="292" t="str">
        <f>IFERROR(__xludf.DUMMYFUNCTION("""COMPUTED_VALUE"""),"Graveyard")</f>
        <v>Graveyard</v>
      </c>
      <c r="Q90" s="292"/>
      <c r="R90" s="342">
        <f>IFERROR(__xludf.DUMMYFUNCTION("""COMPUTED_VALUE"""),4.97)</f>
        <v>4.97</v>
      </c>
      <c r="S90" s="292"/>
      <c r="T90" s="292"/>
      <c r="U90" s="292"/>
      <c r="V90" s="292"/>
      <c r="W90" s="292" t="b">
        <f>IFERROR(__xludf.DUMMYFUNCTION("""COMPUTED_VALUE"""),TRUE)</f>
        <v>1</v>
      </c>
      <c r="X90" s="345">
        <f>IFERROR(__xludf.DUMMYFUNCTION("""COMPUTED_VALUE"""),382.0)</f>
        <v>382</v>
      </c>
      <c r="Y90" s="344">
        <f>IFERROR(__xludf.DUMMYFUNCTION("""COMPUTED_VALUE"""),535.0)</f>
        <v>535</v>
      </c>
      <c r="Z90" s="343">
        <f>IFERROR(__xludf.DUMMYFUNCTION("""COMPUTED_VALUE"""),22.5)</f>
        <v>22.5</v>
      </c>
      <c r="AA90" s="344">
        <f>IFERROR(__xludf.DUMMYFUNCTION("""COMPUTED_VALUE"""),6.0)</f>
        <v>6</v>
      </c>
      <c r="AB90" s="344">
        <f>IFERROR(__xludf.DUMMYFUNCTION("""COMPUTED_VALUE"""),46.5)</f>
        <v>46.5</v>
      </c>
      <c r="AC90" s="344">
        <f>IFERROR(__xludf.DUMMYFUNCTION("""COMPUTED_VALUE"""),10.4)</f>
        <v>10.4</v>
      </c>
      <c r="AD90" s="344">
        <f>IFERROR(__xludf.DUMMYFUNCTION("""COMPUTED_VALUE"""),6.7)</f>
        <v>6.7</v>
      </c>
      <c r="AE90" s="343">
        <f>IFERROR(__xludf.DUMMYFUNCTION("""COMPUTED_VALUE"""),32.9)</f>
        <v>32.9</v>
      </c>
      <c r="AF90" s="343">
        <f>IFERROR(__xludf.DUMMYFUNCTION("""COMPUTED_VALUE"""),1.88)</f>
        <v>1.88</v>
      </c>
      <c r="AG90" s="292" t="b">
        <f>IFERROR(__xludf.DUMMYFUNCTION("""COMPUTED_VALUE"""),FALSE)</f>
        <v>0</v>
      </c>
      <c r="AH90" s="292" t="b">
        <f>IFERROR(__xludf.DUMMYFUNCTION("""COMPUTED_VALUE"""),FALSE)</f>
        <v>0</v>
      </c>
      <c r="AI90" s="292" t="b">
        <f>IFERROR(__xludf.DUMMYFUNCTION("""COMPUTED_VALUE"""),TRUE)</f>
        <v>1</v>
      </c>
      <c r="AJ90" s="292" t="b">
        <f>IFERROR(__xludf.DUMMYFUNCTION("""COMPUTED_VALUE"""),FALSE)</f>
        <v>0</v>
      </c>
      <c r="AK90" s="292" t="b">
        <f>IFERROR(__xludf.DUMMYFUNCTION("""COMPUTED_VALUE"""),FALSE)</f>
        <v>0</v>
      </c>
      <c r="AL90" s="292" t="b">
        <f>IFERROR(__xludf.DUMMYFUNCTION("""COMPUTED_VALUE"""),FALSE)</f>
        <v>0</v>
      </c>
      <c r="AM90" s="292" t="b">
        <f>IFERROR(__xludf.DUMMYFUNCTION("""COMPUTED_VALUE"""),TRUE)</f>
        <v>1</v>
      </c>
      <c r="AN90" s="292" t="b">
        <f>IFERROR(__xludf.DUMMYFUNCTION("""COMPUTED_VALUE"""),FALSE)</f>
        <v>0</v>
      </c>
      <c r="AO90" s="292" t="str">
        <f>IFERROR(__xludf.DUMMYFUNCTION("""COMPUTED_VALUE"""),"FALSE")</f>
        <v>FALSE</v>
      </c>
      <c r="AP90" s="292" t="str">
        <f>IFERROR(__xludf.DUMMYFUNCTION("""COMPUTED_VALUE"""),"Chicken breast")</f>
        <v>Chicken breast</v>
      </c>
      <c r="AQ90" s="292" t="str">
        <f>IFERROR(__xludf.DUMMYFUNCTION("""COMPUTED_VALUE"""),"Chicken")</f>
        <v>Chicken</v>
      </c>
      <c r="AR90" s="292" t="str">
        <f>IFERROR(__xludf.DUMMYFUNCTION("""COMPUTED_VALUE"""),"Breast")</f>
        <v>Breast</v>
      </c>
      <c r="AS90" s="292" t="str">
        <f>IFERROR(__xludf.DUMMYFUNCTION("""COMPUTED_VALUE"""),"Cherry Tomatoes")</f>
        <v>Cherry Tomatoes</v>
      </c>
      <c r="AT90" s="292" t="str">
        <f>IFERROR(__xludf.DUMMYFUNCTION("""COMPUTED_VALUE"""),"Pepper Mix")</f>
        <v>Pepper Mix</v>
      </c>
      <c r="AU90" s="292" t="str">
        <f>IFERROR(__xludf.DUMMYFUNCTION("""COMPUTED_VALUE"""),"Rice")</f>
        <v>Rice</v>
      </c>
      <c r="AV90" s="292"/>
      <c r="AW90" s="292" t="str">
        <f>IFERROR(__xludf.DUMMYFUNCTION("""COMPUTED_VALUE"""),"Year Round")</f>
        <v>Year Round</v>
      </c>
      <c r="AX90" s="292" t="str">
        <f>IFERROR(__xludf.DUMMYFUNCTION("""COMPUTED_VALUE"""),"Italian")</f>
        <v>Italian</v>
      </c>
      <c r="AY90" s="292"/>
      <c r="AZ90" s="292" t="str">
        <f>IFERROR(__xludf.DUMMYFUNCTION("""COMPUTED_VALUE"""),"2 CT")</f>
        <v>2 CT</v>
      </c>
      <c r="BA90" s="292" t="b">
        <f>IFERROR(__xludf.DUMMYFUNCTION("""COMPUTED_VALUE"""),FALSE)</f>
        <v>0</v>
      </c>
      <c r="BB90" s="342">
        <f>IFERROR(__xludf.DUMMYFUNCTION("""COMPUTED_VALUE"""),2.65)</f>
        <v>2.65</v>
      </c>
      <c r="BC90" s="342">
        <f>IFERROR(__xludf.DUMMYFUNCTION("""COMPUTED_VALUE"""),1.12)</f>
        <v>1.12</v>
      </c>
      <c r="BD90" s="342">
        <f>IFERROR(__xludf.DUMMYFUNCTION("""COMPUTED_VALUE"""),0.362)</f>
        <v>0.362</v>
      </c>
      <c r="BE90" s="342">
        <f>IFERROR(__xludf.DUMMYFUNCTION("""COMPUTED_VALUE"""),0.89)</f>
        <v>0.89</v>
      </c>
      <c r="BF90" s="296" t="str">
        <f>IFERROR(__xludf.DUMMYFUNCTION("""COMPUTED_VALUE"""),"#REF!")</f>
        <v>#REF!</v>
      </c>
      <c r="BG90" s="296" t="str">
        <f>IFERROR(__xludf.DUMMYFUNCTION("""COMPUTED_VALUE"""),"#REF!")</f>
        <v>#REF!</v>
      </c>
      <c r="BH90" s="296" t="str">
        <f>IFERROR(__xludf.DUMMYFUNCTION("""COMPUTED_VALUE"""),"#REF!")</f>
        <v>#REF!</v>
      </c>
      <c r="BI90" s="295">
        <f>IFERROR(__xludf.DUMMYFUNCTION("""COMPUTED_VALUE"""),151.0)</f>
        <v>151</v>
      </c>
      <c r="BJ90" s="295" t="str">
        <f>IFERROR(__xludf.DUMMYFUNCTION("""COMPUTED_VALUE"""),"FALSE")</f>
        <v>FALSE</v>
      </c>
      <c r="BK90" s="346">
        <f>IFERROR(__xludf.DUMMYFUNCTION("""COMPUTED_VALUE"""),2244.0)</f>
        <v>2244</v>
      </c>
      <c r="BL90" s="292" t="str">
        <f>IFERROR(__xludf.DUMMYFUNCTION("""COMPUTED_VALUE"""),"Frankenstein")</f>
        <v>Frankenstein</v>
      </c>
      <c r="BM90" s="292" t="str">
        <f>IFERROR(__xludf.DUMMYFUNCTION("""COMPUTED_VALUE"""),"Kyckling i basilika- och paprikasås")</f>
        <v>Kyckling i basilika- och paprikasås</v>
      </c>
      <c r="BN90" s="292"/>
      <c r="BO90" s="292"/>
      <c r="BP90" s="292"/>
      <c r="BQ90" s="292" t="str">
        <f>IFERROR(__xludf.DUMMYFUNCTION("""COMPUTED_VALUE"""),"Graveyard")</f>
        <v>Graveyard</v>
      </c>
      <c r="BR90" s="292" t="b">
        <f>IFERROR(__xludf.DUMMYFUNCTION("""COMPUTED_VALUE"""),FALSE)</f>
        <v>0</v>
      </c>
      <c r="BS90" s="292" t="b">
        <f>IFERROR(__xludf.DUMMYFUNCTION("""COMPUTED_VALUE"""),FALSE)</f>
        <v>0</v>
      </c>
      <c r="BT90" s="345">
        <f>IFERROR(__xludf.DUMMYFUNCTION("""COMPUTED_VALUE"""),588.0)</f>
        <v>588</v>
      </c>
      <c r="BU90" s="345">
        <f>IFERROR(__xludf.DUMMYFUNCTION("""COMPUTED_VALUE"""),140.0)</f>
        <v>140</v>
      </c>
      <c r="BV90" s="344">
        <f>IFERROR(__xludf.DUMMYFUNCTION("""COMPUTED_VALUE"""),5.9)</f>
        <v>5.9</v>
      </c>
      <c r="BW90" s="344">
        <f>IFERROR(__xludf.DUMMYFUNCTION("""COMPUTED_VALUE"""),1.6)</f>
        <v>1.6</v>
      </c>
    </row>
    <row r="91">
      <c r="A91" s="292" t="str">
        <f>IFERROR(__xludf.DUMMYFUNCTION("""COMPUTED_VALUE"""),"FE4004B")</f>
        <v>FE4004B</v>
      </c>
      <c r="B91" s="292" t="str">
        <f>IFERROR(__xludf.DUMMYFUNCTION("""COMPUTED_VALUE"""),"CON-40-143683-4")</f>
        <v>CON-40-143683-4</v>
      </c>
      <c r="C91" s="292" t="str">
        <f>IFERROR(__xludf.DUMMYFUNCTION("""COMPUTED_VALUE"""),"CON-00-147868-2")</f>
        <v>CON-00-147868-2</v>
      </c>
      <c r="D91" s="292" t="str">
        <f>IFERROR(__xludf.DUMMYFUNCTION("""COMPUTED_VALUE"""),"CON-00-136661-3")</f>
        <v>CON-00-136661-3</v>
      </c>
      <c r="E91" s="292" t="str">
        <f>IFERROR(__xludf.DUMMYFUNCTION("""COMPUTED_VALUE"""),"Chicken in basil-pepper sauce")</f>
        <v>Chicken in basil-pepper sauce</v>
      </c>
      <c r="F91" s="292" t="str">
        <f>IFERROR(__xludf.DUMMYFUNCTION("""COMPUTED_VALUE"""),"with mascarpone rice, fennel and cherry tomatoes")</f>
        <v>with mascarpone rice, fennel and cherry tomatoes</v>
      </c>
      <c r="G91" s="292" t="str">
        <f>IFERROR(__xludf.DUMMYFUNCTION("""COMPUTED_VALUE"""),"Kipfilet in basilicum-paprikasaus")</f>
        <v>Kipfilet in basilicum-paprikasaus</v>
      </c>
      <c r="H91" s="292" t="str">
        <f>IFERROR(__xludf.DUMMYFUNCTION("""COMPUTED_VALUE"""),"met mascarpone-rijst, venkel en cherrytomaatjes")</f>
        <v>met mascarpone-rijst, venkel en cherrytomaatjes</v>
      </c>
      <c r="I91" s="292" t="str">
        <f>IFERROR(__xludf.DUMMYFUNCTION("""COMPUTED_VALUE"""),"Kylling i peberfrugt- og basilikumauce")</f>
        <v>Kylling i peberfrugt- og basilikumauce</v>
      </c>
      <c r="J91" s="292" t="str">
        <f>IFERROR(__xludf.DUMMYFUNCTION("""COMPUTED_VALUE"""),"Hähnchen in Basilikum-Paprika-Sauce")</f>
        <v>Hähnchen in Basilikum-Paprika-Sauce</v>
      </c>
      <c r="K91" s="292">
        <f>IFERROR(__xludf.DUMMYFUNCTION("""COMPUTED_VALUE"""),565062.0)</f>
        <v>565062</v>
      </c>
      <c r="L91" s="292"/>
      <c r="M91" s="292" t="str">
        <f>IFERROR(__xludf.DUMMYFUNCTION("""COMPUTED_VALUE"""),"FA-NL Kipfilet in basilicum-paprikasaus (FE4004)")</f>
        <v>FA-NL Kipfilet in basilicum-paprikasaus (FE4004)</v>
      </c>
      <c r="N91" s="292" t="str">
        <f>IFERROR(__xludf.DUMMYFUNCTION("""COMPUTED_VALUE"""),"FA-NO Kylling i peberfrugt- og basilikumauce (FE4004)")</f>
        <v>FA-NO Kylling i peberfrugt- og basilikumauce (FE4004)</v>
      </c>
      <c r="O91" s="292" t="str">
        <f>IFERROR(__xludf.DUMMYFUNCTION("""COMPUTED_VALUE"""),"FA-DE Hähnchen in Basilikum-Paprika-Sauce (FE4004)")</f>
        <v>FA-DE Hähnchen in Basilikum-Paprika-Sauce (FE4004)</v>
      </c>
      <c r="P91" s="292" t="str">
        <f>IFERROR(__xludf.DUMMYFUNCTION("""COMPUTED_VALUE"""),"Graveyard")</f>
        <v>Graveyard</v>
      </c>
      <c r="Q91" s="292" t="str">
        <f>IFERROR(__xludf.DUMMYFUNCTION("""COMPUTED_VALUE"""),"due to RM chicken breast change, meal was not Protein+ anymore. Increased rice component (+15g)")</f>
        <v>due to RM chicken breast change, meal was not Protein+ anymore. Increased rice component (+15g)</v>
      </c>
      <c r="R91" s="342">
        <f>IFERROR(__xludf.DUMMYFUNCTION("""COMPUTED_VALUE"""),4.97)</f>
        <v>4.97</v>
      </c>
      <c r="S91" s="292"/>
      <c r="T91" s="292"/>
      <c r="U91" s="292"/>
      <c r="V91" s="292"/>
      <c r="W91" s="292" t="b">
        <f>IFERROR(__xludf.DUMMYFUNCTION("""COMPUTED_VALUE"""),TRUE)</f>
        <v>1</v>
      </c>
      <c r="X91" s="345">
        <f>IFERROR(__xludf.DUMMYFUNCTION("""COMPUTED_VALUE"""),392.0)</f>
        <v>392</v>
      </c>
      <c r="Y91" s="344">
        <f>IFERROR(__xludf.DUMMYFUNCTION("""COMPUTED_VALUE"""),537.0)</f>
        <v>537</v>
      </c>
      <c r="Z91" s="343">
        <f>IFERROR(__xludf.DUMMYFUNCTION("""COMPUTED_VALUE"""),22.3)</f>
        <v>22.3</v>
      </c>
      <c r="AA91" s="344">
        <f>IFERROR(__xludf.DUMMYFUNCTION("""COMPUTED_VALUE"""),6.3)</f>
        <v>6.3</v>
      </c>
      <c r="AB91" s="344">
        <f>IFERROR(__xludf.DUMMYFUNCTION("""COMPUTED_VALUE"""),49.8)</f>
        <v>49.8</v>
      </c>
      <c r="AC91" s="344">
        <f>IFERROR(__xludf.DUMMYFUNCTION("""COMPUTED_VALUE"""),10.6)</f>
        <v>10.6</v>
      </c>
      <c r="AD91" s="344">
        <f>IFERROR(__xludf.DUMMYFUNCTION("""COMPUTED_VALUE"""),6.7)</f>
        <v>6.7</v>
      </c>
      <c r="AE91" s="343">
        <f>IFERROR(__xludf.DUMMYFUNCTION("""COMPUTED_VALUE"""),30.2)</f>
        <v>30.2</v>
      </c>
      <c r="AF91" s="343">
        <f>IFERROR(__xludf.DUMMYFUNCTION("""COMPUTED_VALUE"""),1.61)</f>
        <v>1.61</v>
      </c>
      <c r="AG91" s="292" t="b">
        <f>IFERROR(__xludf.DUMMYFUNCTION("""COMPUTED_VALUE"""),FALSE)</f>
        <v>0</v>
      </c>
      <c r="AH91" s="292" t="b">
        <f>IFERROR(__xludf.DUMMYFUNCTION("""COMPUTED_VALUE"""),FALSE)</f>
        <v>0</v>
      </c>
      <c r="AI91" s="292" t="b">
        <f>IFERROR(__xludf.DUMMYFUNCTION("""COMPUTED_VALUE"""),TRUE)</f>
        <v>1</v>
      </c>
      <c r="AJ91" s="292" t="b">
        <f>IFERROR(__xludf.DUMMYFUNCTION("""COMPUTED_VALUE"""),FALSE)</f>
        <v>0</v>
      </c>
      <c r="AK91" s="292" t="b">
        <f>IFERROR(__xludf.DUMMYFUNCTION("""COMPUTED_VALUE"""),FALSE)</f>
        <v>0</v>
      </c>
      <c r="AL91" s="292" t="b">
        <f>IFERROR(__xludf.DUMMYFUNCTION("""COMPUTED_VALUE"""),FALSE)</f>
        <v>0</v>
      </c>
      <c r="AM91" s="292" t="b">
        <f>IFERROR(__xludf.DUMMYFUNCTION("""COMPUTED_VALUE"""),TRUE)</f>
        <v>1</v>
      </c>
      <c r="AN91" s="292" t="b">
        <f>IFERROR(__xludf.DUMMYFUNCTION("""COMPUTED_VALUE"""),FALSE)</f>
        <v>0</v>
      </c>
      <c r="AO91" s="292" t="str">
        <f>IFERROR(__xludf.DUMMYFUNCTION("""COMPUTED_VALUE"""),"FALSE")</f>
        <v>FALSE</v>
      </c>
      <c r="AP91" s="292" t="str">
        <f>IFERROR(__xludf.DUMMYFUNCTION("""COMPUTED_VALUE"""),"Chicken breast")</f>
        <v>Chicken breast</v>
      </c>
      <c r="AQ91" s="292" t="str">
        <f>IFERROR(__xludf.DUMMYFUNCTION("""COMPUTED_VALUE"""),"Chicken")</f>
        <v>Chicken</v>
      </c>
      <c r="AR91" s="292" t="str">
        <f>IFERROR(__xludf.DUMMYFUNCTION("""COMPUTED_VALUE"""),"Breast")</f>
        <v>Breast</v>
      </c>
      <c r="AS91" s="292" t="str">
        <f>IFERROR(__xludf.DUMMYFUNCTION("""COMPUTED_VALUE"""),"Cherry Tomatoes")</f>
        <v>Cherry Tomatoes</v>
      </c>
      <c r="AT91" s="292" t="str">
        <f>IFERROR(__xludf.DUMMYFUNCTION("""COMPUTED_VALUE"""),"Pepper Mix")</f>
        <v>Pepper Mix</v>
      </c>
      <c r="AU91" s="292" t="str">
        <f>IFERROR(__xludf.DUMMYFUNCTION("""COMPUTED_VALUE"""),"Rice")</f>
        <v>Rice</v>
      </c>
      <c r="AV91" s="292"/>
      <c r="AW91" s="292" t="str">
        <f>IFERROR(__xludf.DUMMYFUNCTION("""COMPUTED_VALUE"""),"Year Round")</f>
        <v>Year Round</v>
      </c>
      <c r="AX91" s="292" t="str">
        <f>IFERROR(__xludf.DUMMYFUNCTION("""COMPUTED_VALUE"""),"Italian")</f>
        <v>Italian</v>
      </c>
      <c r="AY91" s="292"/>
      <c r="AZ91" s="292" t="str">
        <f>IFERROR(__xludf.DUMMYFUNCTION("""COMPUTED_VALUE"""),"2 CT")</f>
        <v>2 CT</v>
      </c>
      <c r="BA91" s="292" t="b">
        <f>IFERROR(__xludf.DUMMYFUNCTION("""COMPUTED_VALUE"""),FALSE)</f>
        <v>0</v>
      </c>
      <c r="BB91" s="342">
        <f>IFERROR(__xludf.DUMMYFUNCTION("""COMPUTED_VALUE"""),2.65)</f>
        <v>2.65</v>
      </c>
      <c r="BC91" s="342">
        <f>IFERROR(__xludf.DUMMYFUNCTION("""COMPUTED_VALUE"""),1.12)</f>
        <v>1.12</v>
      </c>
      <c r="BD91" s="342">
        <f>IFERROR(__xludf.DUMMYFUNCTION("""COMPUTED_VALUE"""),0.362)</f>
        <v>0.362</v>
      </c>
      <c r="BE91" s="342">
        <f>IFERROR(__xludf.DUMMYFUNCTION("""COMPUTED_VALUE"""),0.89)</f>
        <v>0.89</v>
      </c>
      <c r="BF91" s="296" t="str">
        <f>IFERROR(__xludf.DUMMYFUNCTION("""COMPUTED_VALUE"""),"#REF!")</f>
        <v>#REF!</v>
      </c>
      <c r="BG91" s="296" t="str">
        <f>IFERROR(__xludf.DUMMYFUNCTION("""COMPUTED_VALUE"""),"#REF!")</f>
        <v>#REF!</v>
      </c>
      <c r="BH91" s="296" t="str">
        <f>IFERROR(__xludf.DUMMYFUNCTION("""COMPUTED_VALUE"""),"#REF!")</f>
        <v>#REF!</v>
      </c>
      <c r="BI91" s="292"/>
      <c r="BJ91" s="295" t="str">
        <f>IFERROR(__xludf.DUMMYFUNCTION("""COMPUTED_VALUE"""),"FALSE")</f>
        <v>FALSE</v>
      </c>
      <c r="BK91" s="346">
        <f>IFERROR(__xludf.DUMMYFUNCTION("""COMPUTED_VALUE"""),2246.0)</f>
        <v>2246</v>
      </c>
      <c r="BL91" s="292" t="str">
        <f>IFERROR(__xludf.DUMMYFUNCTION("""COMPUTED_VALUE"""),"Frankenstein")</f>
        <v>Frankenstein</v>
      </c>
      <c r="BM91" s="292"/>
      <c r="BN91" s="292"/>
      <c r="BO91" s="292"/>
      <c r="BP91" s="292"/>
      <c r="BQ91" s="292" t="str">
        <f>IFERROR(__xludf.DUMMYFUNCTION("""COMPUTED_VALUE"""),"Graveyard")</f>
        <v>Graveyard</v>
      </c>
      <c r="BR91" s="292" t="b">
        <f>IFERROR(__xludf.DUMMYFUNCTION("""COMPUTED_VALUE"""),FALSE)</f>
        <v>0</v>
      </c>
      <c r="BS91" s="292" t="b">
        <f>IFERROR(__xludf.DUMMYFUNCTION("""COMPUTED_VALUE"""),FALSE)</f>
        <v>0</v>
      </c>
      <c r="BT91" s="292"/>
      <c r="BU91" s="292"/>
      <c r="BV91" s="292"/>
      <c r="BW91" s="292"/>
    </row>
    <row r="92">
      <c r="A92" s="292" t="str">
        <f>IFERROR(__xludf.DUMMYFUNCTION("""COMPUTED_VALUE"""),"FE4005A")</f>
        <v>FE4005A</v>
      </c>
      <c r="B92" s="292" t="str">
        <f>IFERROR(__xludf.DUMMYFUNCTION("""COMPUTED_VALUE"""),"CON-40-143668-4")</f>
        <v>CON-40-143668-4</v>
      </c>
      <c r="C92" s="292" t="str">
        <f>IFERROR(__xludf.DUMMYFUNCTION("""COMPUTED_VALUE"""),"CON-00-147869-2")</f>
        <v>CON-00-147869-2</v>
      </c>
      <c r="D92" s="292" t="str">
        <f>IFERROR(__xludf.DUMMYFUNCTION("""COMPUTED_VALUE"""),"CON-00-136663-3")</f>
        <v>CON-00-136663-3</v>
      </c>
      <c r="E92" s="292" t="str">
        <f>IFERROR(__xludf.DUMMYFUNCTION("""COMPUTED_VALUE"""),"Green curry with beef")</f>
        <v>Green curry with beef</v>
      </c>
      <c r="F92" s="292" t="str">
        <f>IFERROR(__xludf.DUMMYFUNCTION("""COMPUTED_VALUE"""),"with coriander-cauliflower rice, bell pepper and green beans")</f>
        <v>with coriander-cauliflower rice, bell pepper and green beans</v>
      </c>
      <c r="G92" s="292" t="str">
        <f>IFERROR(__xludf.DUMMYFUNCTION("""COMPUTED_VALUE"""),"Groene curry met rundvlees")</f>
        <v>Groene curry met rundvlees</v>
      </c>
      <c r="H92" s="292" t="str">
        <f>IFERROR(__xludf.DUMMYFUNCTION("""COMPUTED_VALUE"""),"met koriander-bloemkoolrijst, paprika en sperziebonen")</f>
        <v>met koriander-bloemkoolrijst, paprika en sperziebonen</v>
      </c>
      <c r="I92" s="292" t="str">
        <f>IFERROR(__xludf.DUMMYFUNCTION("""COMPUTED_VALUE"""),"Grøn karry med oksekød")</f>
        <v>Grøn karry med oksekød</v>
      </c>
      <c r="J92" s="292" t="str">
        <f>IFERROR(__xludf.DUMMYFUNCTION("""COMPUTED_VALUE"""),"Grünes Curry mit Rindfleisch")</f>
        <v>Grünes Curry mit Rindfleisch</v>
      </c>
      <c r="K92" s="292">
        <f>IFERROR(__xludf.DUMMYFUNCTION("""COMPUTED_VALUE"""),565059.0)</f>
        <v>565059</v>
      </c>
      <c r="L92" s="292" t="str">
        <f>IFERROR(__xludf.DUMMYFUNCTION("""COMPUTED_VALUE"""),"HF Groene Curry met rundvlees 394g")</f>
        <v>HF Groene Curry met rundvlees 394g</v>
      </c>
      <c r="M92" s="292" t="str">
        <f>IFERROR(__xludf.DUMMYFUNCTION("""COMPUTED_VALUE"""),"FA-NL Groene curry met rundsvlees (FE4005)")</f>
        <v>FA-NL Groene curry met rundsvlees (FE4005)</v>
      </c>
      <c r="N92" s="292" t="str">
        <f>IFERROR(__xludf.DUMMYFUNCTION("""COMPUTED_VALUE"""),"FA-NO Grøn karry med oksekød (FE4005)")</f>
        <v>FA-NO Grøn karry med oksekød (FE4005)</v>
      </c>
      <c r="O92" s="292" t="str">
        <f>IFERROR(__xludf.DUMMYFUNCTION("""COMPUTED_VALUE"""),"FA-DE Grünes Curry mit Rindfleisch (FE4005)")</f>
        <v>FA-DE Grünes Curry mit Rindfleisch (FE4005)</v>
      </c>
      <c r="P92" s="292" t="str">
        <f>IFERROR(__xludf.DUMMYFUNCTION("""COMPUTED_VALUE"""),"Graveyard")</f>
        <v>Graveyard</v>
      </c>
      <c r="Q92" s="292"/>
      <c r="R92" s="342">
        <f>IFERROR(__xludf.DUMMYFUNCTION("""COMPUTED_VALUE"""),4.79)</f>
        <v>4.79</v>
      </c>
      <c r="S92" s="292"/>
      <c r="T92" s="292"/>
      <c r="U92" s="292"/>
      <c r="V92" s="292"/>
      <c r="W92" s="292" t="b">
        <f>IFERROR(__xludf.DUMMYFUNCTION("""COMPUTED_VALUE"""),TRUE)</f>
        <v>1</v>
      </c>
      <c r="X92" s="345">
        <f>IFERROR(__xludf.DUMMYFUNCTION("""COMPUTED_VALUE"""),394.0)</f>
        <v>394</v>
      </c>
      <c r="Y92" s="344">
        <f>IFERROR(__xludf.DUMMYFUNCTION("""COMPUTED_VALUE"""),543.0)</f>
        <v>543</v>
      </c>
      <c r="Z92" s="343">
        <f>IFERROR(__xludf.DUMMYFUNCTION("""COMPUTED_VALUE"""),33.2)</f>
        <v>33.2</v>
      </c>
      <c r="AA92" s="344">
        <f>IFERROR(__xludf.DUMMYFUNCTION("""COMPUTED_VALUE"""),15.8)</f>
        <v>15.8</v>
      </c>
      <c r="AB92" s="344">
        <f>IFERROR(__xludf.DUMMYFUNCTION("""COMPUTED_VALUE"""),21.8)</f>
        <v>21.8</v>
      </c>
      <c r="AC92" s="344">
        <f>IFERROR(__xludf.DUMMYFUNCTION("""COMPUTED_VALUE"""),14.7)</f>
        <v>14.7</v>
      </c>
      <c r="AD92" s="344">
        <f>IFERROR(__xludf.DUMMYFUNCTION("""COMPUTED_VALUE"""),11.3)</f>
        <v>11.3</v>
      </c>
      <c r="AE92" s="343">
        <f>IFERROR(__xludf.DUMMYFUNCTION("""COMPUTED_VALUE"""),31.8)</f>
        <v>31.8</v>
      </c>
      <c r="AF92" s="343">
        <f>IFERROR(__xludf.DUMMYFUNCTION("""COMPUTED_VALUE"""),1.94)</f>
        <v>1.94</v>
      </c>
      <c r="AG92" s="292" t="b">
        <f>IFERROR(__xludf.DUMMYFUNCTION("""COMPUTED_VALUE"""),FALSE)</f>
        <v>0</v>
      </c>
      <c r="AH92" s="292" t="b">
        <f>IFERROR(__xludf.DUMMYFUNCTION("""COMPUTED_VALUE"""),FALSE)</f>
        <v>0</v>
      </c>
      <c r="AI92" s="292" t="b">
        <f>IFERROR(__xludf.DUMMYFUNCTION("""COMPUTED_VALUE"""),TRUE)</f>
        <v>1</v>
      </c>
      <c r="AJ92" s="292" t="b">
        <f>IFERROR(__xludf.DUMMYFUNCTION("""COMPUTED_VALUE"""),FALSE)</f>
        <v>0</v>
      </c>
      <c r="AK92" s="292" t="b">
        <f>IFERROR(__xludf.DUMMYFUNCTION("""COMPUTED_VALUE"""),FALSE)</f>
        <v>0</v>
      </c>
      <c r="AL92" s="292" t="b">
        <f>IFERROR(__xludf.DUMMYFUNCTION("""COMPUTED_VALUE"""),FALSE)</f>
        <v>0</v>
      </c>
      <c r="AM92" s="292" t="b">
        <f>IFERROR(__xludf.DUMMYFUNCTION("""COMPUTED_VALUE"""),TRUE)</f>
        <v>1</v>
      </c>
      <c r="AN92" s="292" t="b">
        <f>IFERROR(__xludf.DUMMYFUNCTION("""COMPUTED_VALUE"""),TRUE)</f>
        <v>1</v>
      </c>
      <c r="AO92" s="292" t="str">
        <f>IFERROR(__xludf.DUMMYFUNCTION("""COMPUTED_VALUE"""),"TRUE")</f>
        <v>TRUE</v>
      </c>
      <c r="AP92" s="292" t="str">
        <f>IFERROR(__xludf.DUMMYFUNCTION("""COMPUTED_VALUE"""),"Shredded beef")</f>
        <v>Shredded beef</v>
      </c>
      <c r="AQ92" s="292" t="str">
        <f>IFERROR(__xludf.DUMMYFUNCTION("""COMPUTED_VALUE"""),"Beef")</f>
        <v>Beef</v>
      </c>
      <c r="AR92" s="292" t="str">
        <f>IFERROR(__xludf.DUMMYFUNCTION("""COMPUTED_VALUE"""),"Shredded")</f>
        <v>Shredded</v>
      </c>
      <c r="AS92" s="292" t="str">
        <f>IFERROR(__xludf.DUMMYFUNCTION("""COMPUTED_VALUE"""),"Cauliflower Rice")</f>
        <v>Cauliflower Rice</v>
      </c>
      <c r="AT92" s="292" t="str">
        <f>IFERROR(__xludf.DUMMYFUNCTION("""COMPUTED_VALUE"""),"Rice")</f>
        <v>Rice</v>
      </c>
      <c r="AU92" s="292" t="str">
        <f>IFERROR(__xludf.DUMMYFUNCTION("""COMPUTED_VALUE"""),"Green Beans")</f>
        <v>Green Beans</v>
      </c>
      <c r="AV92" s="292" t="str">
        <f>IFERROR(__xludf.DUMMYFUNCTION("""COMPUTED_VALUE"""),"Red bell pepper")</f>
        <v>Red bell pepper</v>
      </c>
      <c r="AW92" s="292" t="str">
        <f>IFERROR(__xludf.DUMMYFUNCTION("""COMPUTED_VALUE"""),"Year Round")</f>
        <v>Year Round</v>
      </c>
      <c r="AX92" s="292" t="str">
        <f>IFERROR(__xludf.DUMMYFUNCTION("""COMPUTED_VALUE"""),"Thai")</f>
        <v>Thai</v>
      </c>
      <c r="AY92" s="292"/>
      <c r="AZ92" s="292" t="str">
        <f>IFERROR(__xludf.DUMMYFUNCTION("""COMPUTED_VALUE"""),"2 CT")</f>
        <v>2 CT</v>
      </c>
      <c r="BA92" s="292" t="b">
        <f>IFERROR(__xludf.DUMMYFUNCTION("""COMPUTED_VALUE"""),FALSE)</f>
        <v>0</v>
      </c>
      <c r="BB92" s="342">
        <f>IFERROR(__xludf.DUMMYFUNCTION("""COMPUTED_VALUE"""),2.7)</f>
        <v>2.7</v>
      </c>
      <c r="BC92" s="342">
        <f>IFERROR(__xludf.DUMMYFUNCTION("""COMPUTED_VALUE"""),0.89)</f>
        <v>0.89</v>
      </c>
      <c r="BD92" s="342">
        <f>IFERROR(__xludf.DUMMYFUNCTION("""COMPUTED_VALUE"""),0.362)</f>
        <v>0.362</v>
      </c>
      <c r="BE92" s="342">
        <f>IFERROR(__xludf.DUMMYFUNCTION("""COMPUTED_VALUE"""),0.89)</f>
        <v>0.89</v>
      </c>
      <c r="BF92" s="296" t="str">
        <f>IFERROR(__xludf.DUMMYFUNCTION("""COMPUTED_VALUE"""),"#REF!")</f>
        <v>#REF!</v>
      </c>
      <c r="BG92" s="296" t="str">
        <f>IFERROR(__xludf.DUMMYFUNCTION("""COMPUTED_VALUE"""),"#REF!")</f>
        <v>#REF!</v>
      </c>
      <c r="BH92" s="296" t="str">
        <f>IFERROR(__xludf.DUMMYFUNCTION("""COMPUTED_VALUE"""),"#REF!")</f>
        <v>#REF!</v>
      </c>
      <c r="BI92" s="295">
        <f>IFERROR(__xludf.DUMMYFUNCTION("""COMPUTED_VALUE"""),239.0)</f>
        <v>239</v>
      </c>
      <c r="BJ92" s="295" t="str">
        <f>IFERROR(__xludf.DUMMYFUNCTION("""COMPUTED_VALUE"""),"FALSE")</f>
        <v>FALSE</v>
      </c>
      <c r="BK92" s="346">
        <f>IFERROR(__xludf.DUMMYFUNCTION("""COMPUTED_VALUE"""),2260.0)</f>
        <v>2260</v>
      </c>
      <c r="BL92" s="292"/>
      <c r="BM92" s="292" t="str">
        <f>IFERROR(__xludf.DUMMYFUNCTION("""COMPUTED_VALUE"""),"Grön curry med nötkött")</f>
        <v>Grön curry med nötkött</v>
      </c>
      <c r="BN92" s="292"/>
      <c r="BO92" s="292"/>
      <c r="BP92" s="292"/>
      <c r="BQ92" s="292" t="str">
        <f>IFERROR(__xludf.DUMMYFUNCTION("""COMPUTED_VALUE"""),"Graveyard")</f>
        <v>Graveyard</v>
      </c>
      <c r="BR92" s="292" t="b">
        <f>IFERROR(__xludf.DUMMYFUNCTION("""COMPUTED_VALUE"""),FALSE)</f>
        <v>0</v>
      </c>
      <c r="BS92" s="292" t="b">
        <f>IFERROR(__xludf.DUMMYFUNCTION("""COMPUTED_VALUE"""),FALSE)</f>
        <v>0</v>
      </c>
      <c r="BT92" s="345">
        <f>IFERROR(__xludf.DUMMYFUNCTION("""COMPUTED_VALUE"""),573.6040609137056)</f>
        <v>573.6040609</v>
      </c>
      <c r="BU92" s="345">
        <f>IFERROR(__xludf.DUMMYFUNCTION("""COMPUTED_VALUE"""),137.81725888324874)</f>
        <v>137.8172589</v>
      </c>
      <c r="BV92" s="344">
        <f>IFERROR(__xludf.DUMMYFUNCTION("""COMPUTED_VALUE"""),8.426395939086294)</f>
        <v>8.426395939</v>
      </c>
      <c r="BW92" s="344">
        <f>IFERROR(__xludf.DUMMYFUNCTION("""COMPUTED_VALUE"""),4.01015228426396)</f>
        <v>4.010152284</v>
      </c>
    </row>
    <row r="93">
      <c r="A93" s="292" t="str">
        <f>IFERROR(__xludf.DUMMYFUNCTION("""COMPUTED_VALUE"""),"FE4005B")</f>
        <v>FE4005B</v>
      </c>
      <c r="B93" s="292" t="str">
        <f>IFERROR(__xludf.DUMMYFUNCTION("""COMPUTED_VALUE"""),"CON-40-143668-4")</f>
        <v>CON-40-143668-4</v>
      </c>
      <c r="C93" s="292" t="str">
        <f>IFERROR(__xludf.DUMMYFUNCTION("""COMPUTED_VALUE"""),"CON-00-147869-2")</f>
        <v>CON-00-147869-2</v>
      </c>
      <c r="D93" s="292" t="str">
        <f>IFERROR(__xludf.DUMMYFUNCTION("""COMPUTED_VALUE"""),"CON-00-136663-3")</f>
        <v>CON-00-136663-3</v>
      </c>
      <c r="E93" s="292" t="str">
        <f>IFERROR(__xludf.DUMMYFUNCTION("""COMPUTED_VALUE"""),"Green curry with beef")</f>
        <v>Green curry with beef</v>
      </c>
      <c r="F93" s="292" t="str">
        <f>IFERROR(__xludf.DUMMYFUNCTION("""COMPUTED_VALUE"""),"with coriander-cauliflower rice, bell pepper and green beans")</f>
        <v>with coriander-cauliflower rice, bell pepper and green beans</v>
      </c>
      <c r="G93" s="292" t="str">
        <f>IFERROR(__xludf.DUMMYFUNCTION("""COMPUTED_VALUE"""),"Groene curry met rundvlees")</f>
        <v>Groene curry met rundvlees</v>
      </c>
      <c r="H93" s="292" t="str">
        <f>IFERROR(__xludf.DUMMYFUNCTION("""COMPUTED_VALUE"""),"met koriander-(bloemkool)rijst, paprika en sperziebonen")</f>
        <v>met koriander-(bloemkool)rijst, paprika en sperziebonen</v>
      </c>
      <c r="I93" s="292" t="str">
        <f>IFERROR(__xludf.DUMMYFUNCTION("""COMPUTED_VALUE"""),"Grøn karry med oksekød")</f>
        <v>Grøn karry med oksekød</v>
      </c>
      <c r="J93" s="292" t="str">
        <f>IFERROR(__xludf.DUMMYFUNCTION("""COMPUTED_VALUE"""),"Grünes Curry mit Rindfleisch")</f>
        <v>Grünes Curry mit Rindfleisch</v>
      </c>
      <c r="K93" s="292">
        <f>IFERROR(__xludf.DUMMYFUNCTION("""COMPUTED_VALUE"""),565059.0)</f>
        <v>565059</v>
      </c>
      <c r="L93" s="292"/>
      <c r="M93" s="292" t="str">
        <f>IFERROR(__xludf.DUMMYFUNCTION("""COMPUTED_VALUE"""),"FA-NL Groene curry met rundsvlees (FE4005)")</f>
        <v>FA-NL Groene curry met rundsvlees (FE4005)</v>
      </c>
      <c r="N93" s="292" t="str">
        <f>IFERROR(__xludf.DUMMYFUNCTION("""COMPUTED_VALUE"""),"FA-NO Grøn karry med oksekød (FE4005)")</f>
        <v>FA-NO Grøn karry med oksekød (FE4005)</v>
      </c>
      <c r="O93" s="292" t="str">
        <f>IFERROR(__xludf.DUMMYFUNCTION("""COMPUTED_VALUE"""),"FA-DE Grünes Curry mit Rindfleisch (FE4005)")</f>
        <v>FA-DE Grünes Curry mit Rindfleisch (FE4005)</v>
      </c>
      <c r="P93" s="292" t="str">
        <f>IFERROR(__xludf.DUMMYFUNCTION("""COMPUTED_VALUE"""),"Graveyard")</f>
        <v>Graveyard</v>
      </c>
      <c r="Q93" s="292" t="str">
        <f>IFERROR(__xludf.DUMMYFUNCTION("""COMPUTED_VALUE"""),"reworked after transition from Bonfait to Maitre because meal was much more bland
change in flavour drivers: added a lime leaf extract")</f>
        <v>reworked after transition from Bonfait to Maitre because meal was much more bland
change in flavour drivers: added a lime leaf extract</v>
      </c>
      <c r="R93" s="342">
        <f>IFERROR(__xludf.DUMMYFUNCTION("""COMPUTED_VALUE"""),4.79)</f>
        <v>4.79</v>
      </c>
      <c r="S93" s="292"/>
      <c r="T93" s="292"/>
      <c r="U93" s="292"/>
      <c r="V93" s="292"/>
      <c r="W93" s="292" t="b">
        <f>IFERROR(__xludf.DUMMYFUNCTION("""COMPUTED_VALUE"""),TRUE)</f>
        <v>1</v>
      </c>
      <c r="X93" s="345">
        <f>IFERROR(__xludf.DUMMYFUNCTION("""COMPUTED_VALUE"""),439.0)</f>
        <v>439</v>
      </c>
      <c r="Y93" s="344">
        <f>IFERROR(__xludf.DUMMYFUNCTION("""COMPUTED_VALUE"""),536.0)</f>
        <v>536</v>
      </c>
      <c r="Z93" s="343">
        <f>IFERROR(__xludf.DUMMYFUNCTION("""COMPUTED_VALUE"""),23.7)</f>
        <v>23.7</v>
      </c>
      <c r="AA93" s="344">
        <f>IFERROR(__xludf.DUMMYFUNCTION("""COMPUTED_VALUE"""),14.1)</f>
        <v>14.1</v>
      </c>
      <c r="AB93" s="344">
        <f>IFERROR(__xludf.DUMMYFUNCTION("""COMPUTED_VALUE"""),43.0)</f>
        <v>43</v>
      </c>
      <c r="AC93" s="344">
        <f>IFERROR(__xludf.DUMMYFUNCTION("""COMPUTED_VALUE"""),13.6)</f>
        <v>13.6</v>
      </c>
      <c r="AD93" s="344">
        <f>IFERROR(__xludf.DUMMYFUNCTION("""COMPUTED_VALUE"""),9.7)</f>
        <v>9.7</v>
      </c>
      <c r="AE93" s="343">
        <f>IFERROR(__xludf.DUMMYFUNCTION("""COMPUTED_VALUE"""),32.5)</f>
        <v>32.5</v>
      </c>
      <c r="AF93" s="343">
        <f>IFERROR(__xludf.DUMMYFUNCTION("""COMPUTED_VALUE"""),1.98)</f>
        <v>1.98</v>
      </c>
      <c r="AG93" s="292" t="b">
        <f>IFERROR(__xludf.DUMMYFUNCTION("""COMPUTED_VALUE"""),FALSE)</f>
        <v>0</v>
      </c>
      <c r="AH93" s="292" t="b">
        <f>IFERROR(__xludf.DUMMYFUNCTION("""COMPUTED_VALUE"""),FALSE)</f>
        <v>0</v>
      </c>
      <c r="AI93" s="292" t="b">
        <f>IFERROR(__xludf.DUMMYFUNCTION("""COMPUTED_VALUE"""),TRUE)</f>
        <v>1</v>
      </c>
      <c r="AJ93" s="292" t="b">
        <f>IFERROR(__xludf.DUMMYFUNCTION("""COMPUTED_VALUE"""),FALSE)</f>
        <v>0</v>
      </c>
      <c r="AK93" s="292" t="b">
        <f>IFERROR(__xludf.DUMMYFUNCTION("""COMPUTED_VALUE"""),FALSE)</f>
        <v>0</v>
      </c>
      <c r="AL93" s="292" t="b">
        <f>IFERROR(__xludf.DUMMYFUNCTION("""COMPUTED_VALUE"""),FALSE)</f>
        <v>0</v>
      </c>
      <c r="AM93" s="292" t="b">
        <f>IFERROR(__xludf.DUMMYFUNCTION("""COMPUTED_VALUE"""),TRUE)</f>
        <v>1</v>
      </c>
      <c r="AN93" s="292" t="b">
        <f>IFERROR(__xludf.DUMMYFUNCTION("""COMPUTED_VALUE"""),TRUE)</f>
        <v>1</v>
      </c>
      <c r="AO93" s="292" t="str">
        <f>IFERROR(__xludf.DUMMYFUNCTION("""COMPUTED_VALUE"""),"TRUE")</f>
        <v>TRUE</v>
      </c>
      <c r="AP93" s="292" t="str">
        <f>IFERROR(__xludf.DUMMYFUNCTION("""COMPUTED_VALUE"""),"Shredded beef")</f>
        <v>Shredded beef</v>
      </c>
      <c r="AQ93" s="292" t="str">
        <f>IFERROR(__xludf.DUMMYFUNCTION("""COMPUTED_VALUE"""),"Beef")</f>
        <v>Beef</v>
      </c>
      <c r="AR93" s="292" t="str">
        <f>IFERROR(__xludf.DUMMYFUNCTION("""COMPUTED_VALUE"""),"Shredded ")</f>
        <v>Shredded </v>
      </c>
      <c r="AS93" s="292" t="str">
        <f>IFERROR(__xludf.DUMMYFUNCTION("""COMPUTED_VALUE"""),"Cauliflower Rice")</f>
        <v>Cauliflower Rice</v>
      </c>
      <c r="AT93" s="292" t="str">
        <f>IFERROR(__xludf.DUMMYFUNCTION("""COMPUTED_VALUE"""),"Rice")</f>
        <v>Rice</v>
      </c>
      <c r="AU93" s="292" t="str">
        <f>IFERROR(__xludf.DUMMYFUNCTION("""COMPUTED_VALUE"""),"Green Beans")</f>
        <v>Green Beans</v>
      </c>
      <c r="AV93" s="292" t="str">
        <f>IFERROR(__xludf.DUMMYFUNCTION("""COMPUTED_VALUE"""),"Red bell pepper")</f>
        <v>Red bell pepper</v>
      </c>
      <c r="AW93" s="292" t="str">
        <f>IFERROR(__xludf.DUMMYFUNCTION("""COMPUTED_VALUE"""),"Year Round")</f>
        <v>Year Round</v>
      </c>
      <c r="AX93" s="292" t="str">
        <f>IFERROR(__xludf.DUMMYFUNCTION("""COMPUTED_VALUE"""),"Thai")</f>
        <v>Thai</v>
      </c>
      <c r="AY93" s="292"/>
      <c r="AZ93" s="292" t="str">
        <f>IFERROR(__xludf.DUMMYFUNCTION("""COMPUTED_VALUE"""),"2 CT")</f>
        <v>2 CT</v>
      </c>
      <c r="BA93" s="292" t="b">
        <f>IFERROR(__xludf.DUMMYFUNCTION("""COMPUTED_VALUE"""),FALSE)</f>
        <v>0</v>
      </c>
      <c r="BB93" s="342">
        <f>IFERROR(__xludf.DUMMYFUNCTION("""COMPUTED_VALUE"""),2.7)</f>
        <v>2.7</v>
      </c>
      <c r="BC93" s="342">
        <f>IFERROR(__xludf.DUMMYFUNCTION("""COMPUTED_VALUE"""),0.89)</f>
        <v>0.89</v>
      </c>
      <c r="BD93" s="342">
        <f>IFERROR(__xludf.DUMMYFUNCTION("""COMPUTED_VALUE"""),0.362)</f>
        <v>0.362</v>
      </c>
      <c r="BE93" s="342">
        <f>IFERROR(__xludf.DUMMYFUNCTION("""COMPUTED_VALUE"""),0.89)</f>
        <v>0.89</v>
      </c>
      <c r="BF93" s="296" t="str">
        <f>IFERROR(__xludf.DUMMYFUNCTION("""COMPUTED_VALUE"""),"#REF!")</f>
        <v>#REF!</v>
      </c>
      <c r="BG93" s="296" t="str">
        <f>IFERROR(__xludf.DUMMYFUNCTION("""COMPUTED_VALUE"""),"#REF!")</f>
        <v>#REF!</v>
      </c>
      <c r="BH93" s="296" t="str">
        <f>IFERROR(__xludf.DUMMYFUNCTION("""COMPUTED_VALUE"""),"#REF!")</f>
        <v>#REF!</v>
      </c>
      <c r="BI93" s="295">
        <f>IFERROR(__xludf.DUMMYFUNCTION("""COMPUTED_VALUE"""),203.0)</f>
        <v>203</v>
      </c>
      <c r="BJ93" s="295" t="str">
        <f>IFERROR(__xludf.DUMMYFUNCTION("""COMPUTED_VALUE"""),"FALSE")</f>
        <v>FALSE</v>
      </c>
      <c r="BK93" s="346">
        <f>IFERROR(__xludf.DUMMYFUNCTION("""COMPUTED_VALUE"""),2243.0)</f>
        <v>2243</v>
      </c>
      <c r="BL93" s="292" t="str">
        <f>IFERROR(__xludf.DUMMYFUNCTION("""COMPUTED_VALUE"""),"Frankenstein")</f>
        <v>Frankenstein</v>
      </c>
      <c r="BM93" s="292" t="str">
        <f>IFERROR(__xludf.DUMMYFUNCTION("""COMPUTED_VALUE"""),"Grön curry med nötkött")</f>
        <v>Grön curry med nötkött</v>
      </c>
      <c r="BN93" s="292"/>
      <c r="BO93" s="292"/>
      <c r="BP93" s="292"/>
      <c r="BQ93" s="292" t="str">
        <f>IFERROR(__xludf.DUMMYFUNCTION("""COMPUTED_VALUE"""),"Graveyard")</f>
        <v>Graveyard</v>
      </c>
      <c r="BR93" s="292" t="b">
        <f>IFERROR(__xludf.DUMMYFUNCTION("""COMPUTED_VALUE"""),FALSE)</f>
        <v>0</v>
      </c>
      <c r="BS93" s="292" t="b">
        <f>IFERROR(__xludf.DUMMYFUNCTION("""COMPUTED_VALUE"""),FALSE)</f>
        <v>0</v>
      </c>
      <c r="BT93" s="345">
        <f>IFERROR(__xludf.DUMMYFUNCTION("""COMPUTED_VALUE"""),511.0)</f>
        <v>511</v>
      </c>
      <c r="BU93" s="345">
        <f>IFERROR(__xludf.DUMMYFUNCTION("""COMPUTED_VALUE"""),122.0)</f>
        <v>122</v>
      </c>
      <c r="BV93" s="344">
        <f>IFERROR(__xludf.DUMMYFUNCTION("""COMPUTED_VALUE"""),5.4)</f>
        <v>5.4</v>
      </c>
      <c r="BW93" s="344">
        <f>IFERROR(__xludf.DUMMYFUNCTION("""COMPUTED_VALUE"""),3.2)</f>
        <v>3.2</v>
      </c>
    </row>
    <row r="94">
      <c r="A94" s="292" t="str">
        <f>IFERROR(__xludf.DUMMYFUNCTION("""COMPUTED_VALUE"""),"FE4006A")</f>
        <v>FE4006A</v>
      </c>
      <c r="B94" s="292" t="str">
        <f>IFERROR(__xludf.DUMMYFUNCTION("""COMPUTED_VALUE"""),"CON-40-143740-4")</f>
        <v>CON-40-143740-4</v>
      </c>
      <c r="C94" s="292" t="str">
        <f>IFERROR(__xludf.DUMMYFUNCTION("""COMPUTED_VALUE"""),"CON-00-147870-2")</f>
        <v>CON-00-147870-2</v>
      </c>
      <c r="D94" s="292" t="str">
        <f>IFERROR(__xludf.DUMMYFUNCTION("""COMPUTED_VALUE"""),"CON-00-136664-3")</f>
        <v>CON-00-136664-3</v>
      </c>
      <c r="E94" s="292" t="str">
        <f>IFERROR(__xludf.DUMMYFUNCTION("""COMPUTED_VALUE"""),"Pork tenderloin in sundried tomato sauce")</f>
        <v>Pork tenderloin in sundried tomato sauce</v>
      </c>
      <c r="F94" s="292" t="str">
        <f>IFERROR(__xludf.DUMMYFUNCTION("""COMPUTED_VALUE"""),"with cauliflower mash and broccoli")</f>
        <v>with cauliflower mash and broccoli</v>
      </c>
      <c r="G94" s="292" t="str">
        <f>IFERROR(__xludf.DUMMYFUNCTION("""COMPUTED_VALUE"""),"Varkenshaas in zongedroogde tomatensaus")</f>
        <v>Varkenshaas in zongedroogde tomatensaus</v>
      </c>
      <c r="H94" s="292" t="str">
        <f>IFERROR(__xludf.DUMMYFUNCTION("""COMPUTED_VALUE"""),"met bloemkoolpuree en broccoli")</f>
        <v>met bloemkoolpuree en broccoli</v>
      </c>
      <c r="I94" s="292" t="str">
        <f>IFERROR(__xludf.DUMMYFUNCTION("""COMPUTED_VALUE"""),"Svinemørbrad i soltørret tomatsauce")</f>
        <v>Svinemørbrad i soltørret tomatsauce</v>
      </c>
      <c r="J94" s="292" t="str">
        <f>IFERROR(__xludf.DUMMYFUNCTION("""COMPUTED_VALUE"""),"Schweinefilet in Sonnentomaten-Sauce")</f>
        <v>Schweinefilet in Sonnentomaten-Sauce</v>
      </c>
      <c r="K94" s="292">
        <f>IFERROR(__xludf.DUMMYFUNCTION("""COMPUTED_VALUE"""),565063.0)</f>
        <v>565063</v>
      </c>
      <c r="L94" s="292" t="str">
        <f>IFERROR(__xludf.DUMMYFUNCTION("""COMPUTED_VALUE"""),"HF Varkenshaas met tomatensaus 384g")</f>
        <v>HF Varkenshaas met tomatensaus 384g</v>
      </c>
      <c r="M94" s="292" t="str">
        <f>IFERROR(__xludf.DUMMYFUNCTION("""COMPUTED_VALUE"""),"FA-NL Varkenshaas in Zongedroogde Tomatensaus (FE4006)")</f>
        <v>FA-NL Varkenshaas in Zongedroogde Tomatensaus (FE4006)</v>
      </c>
      <c r="N94" s="292" t="str">
        <f>IFERROR(__xludf.DUMMYFUNCTION("""COMPUTED_VALUE"""),"FA-NO Svinemørbrad i soltørret tomatsauce (FE4006)")</f>
        <v>FA-NO Svinemørbrad i soltørret tomatsauce (FE4006)</v>
      </c>
      <c r="O94" s="292" t="str">
        <f>IFERROR(__xludf.DUMMYFUNCTION("""COMPUTED_VALUE"""),"FA-DE Schweinefilet in Sauce aus sonnengetrockneten Tomaten (FE4006)")</f>
        <v>FA-DE Schweinefilet in Sauce aus sonnengetrockneten Tomaten (FE4006)</v>
      </c>
      <c r="P94" s="292" t="str">
        <f>IFERROR(__xludf.DUMMYFUNCTION("""COMPUTED_VALUE"""),"Active")</f>
        <v>Active</v>
      </c>
      <c r="Q94" s="292"/>
      <c r="R94" s="342">
        <f>IFERROR(__xludf.DUMMYFUNCTION("""COMPUTED_VALUE"""),4.9799999999999995)</f>
        <v>4.98</v>
      </c>
      <c r="S94" s="292"/>
      <c r="T94" s="292"/>
      <c r="U94" s="292"/>
      <c r="V94" s="292"/>
      <c r="W94" s="292" t="b">
        <f>IFERROR(__xludf.DUMMYFUNCTION("""COMPUTED_VALUE"""),FALSE)</f>
        <v>0</v>
      </c>
      <c r="X94" s="345">
        <f>IFERROR(__xludf.DUMMYFUNCTION("""COMPUTED_VALUE"""),369.0)</f>
        <v>369</v>
      </c>
      <c r="Y94" s="344">
        <f>IFERROR(__xludf.DUMMYFUNCTION("""COMPUTED_VALUE"""),638.0)</f>
        <v>638</v>
      </c>
      <c r="Z94" s="343">
        <f>IFERROR(__xludf.DUMMYFUNCTION("""COMPUTED_VALUE"""),50.8)</f>
        <v>50.8</v>
      </c>
      <c r="AA94" s="344">
        <f>IFERROR(__xludf.DUMMYFUNCTION("""COMPUTED_VALUE"""),22.3)</f>
        <v>22.3</v>
      </c>
      <c r="AB94" s="344">
        <f>IFERROR(__xludf.DUMMYFUNCTION("""COMPUTED_VALUE"""),10.0)</f>
        <v>10</v>
      </c>
      <c r="AC94" s="344">
        <f>IFERROR(__xludf.DUMMYFUNCTION("""COMPUTED_VALUE"""),7.2)</f>
        <v>7.2</v>
      </c>
      <c r="AD94" s="344">
        <f>IFERROR(__xludf.DUMMYFUNCTION("""COMPUTED_VALUE"""),5.5)</f>
        <v>5.5</v>
      </c>
      <c r="AE94" s="343">
        <f>IFERROR(__xludf.DUMMYFUNCTION("""COMPUTED_VALUE"""),32.0)</f>
        <v>32</v>
      </c>
      <c r="AF94" s="343">
        <f>IFERROR(__xludf.DUMMYFUNCTION("""COMPUTED_VALUE"""),1.89)</f>
        <v>1.89</v>
      </c>
      <c r="AG94" s="292" t="b">
        <f>IFERROR(__xludf.DUMMYFUNCTION("""COMPUTED_VALUE"""),FALSE)</f>
        <v>0</v>
      </c>
      <c r="AH94" s="292" t="b">
        <f>IFERROR(__xludf.DUMMYFUNCTION("""COMPUTED_VALUE"""),TRUE)</f>
        <v>1</v>
      </c>
      <c r="AI94" s="292" t="b">
        <f>IFERROR(__xludf.DUMMYFUNCTION("""COMPUTED_VALUE"""),FALSE)</f>
        <v>0</v>
      </c>
      <c r="AJ94" s="292" t="b">
        <f>IFERROR(__xludf.DUMMYFUNCTION("""COMPUTED_VALUE"""),FALSE)</f>
        <v>0</v>
      </c>
      <c r="AK94" s="292" t="b">
        <f>IFERROR(__xludf.DUMMYFUNCTION("""COMPUTED_VALUE"""),FALSE)</f>
        <v>0</v>
      </c>
      <c r="AL94" s="292" t="b">
        <f>IFERROR(__xludf.DUMMYFUNCTION("""COMPUTED_VALUE"""),FALSE)</f>
        <v>0</v>
      </c>
      <c r="AM94" s="292" t="b">
        <f>IFERROR(__xludf.DUMMYFUNCTION("""COMPUTED_VALUE"""),TRUE)</f>
        <v>1</v>
      </c>
      <c r="AN94" s="292" t="b">
        <f>IFERROR(__xludf.DUMMYFUNCTION("""COMPUTED_VALUE"""),FALSE)</f>
        <v>0</v>
      </c>
      <c r="AO94" s="292" t="str">
        <f>IFERROR(__xludf.DUMMYFUNCTION("""COMPUTED_VALUE"""),"FALSE")</f>
        <v>FALSE</v>
      </c>
      <c r="AP94" s="292" t="str">
        <f>IFERROR(__xludf.DUMMYFUNCTION("""COMPUTED_VALUE"""),"Pork tenderloin")</f>
        <v>Pork tenderloin</v>
      </c>
      <c r="AQ94" s="292" t="str">
        <f>IFERROR(__xludf.DUMMYFUNCTION("""COMPUTED_VALUE"""),"Pork")</f>
        <v>Pork</v>
      </c>
      <c r="AR94" s="292" t="str">
        <f>IFERROR(__xludf.DUMMYFUNCTION("""COMPUTED_VALUE"""),"Tenderloin")</f>
        <v>Tenderloin</v>
      </c>
      <c r="AS94" s="292" t="str">
        <f>IFERROR(__xludf.DUMMYFUNCTION("""COMPUTED_VALUE"""),"Cauliflower Mash")</f>
        <v>Cauliflower Mash</v>
      </c>
      <c r="AT94" s="292" t="str">
        <f>IFERROR(__xludf.DUMMYFUNCTION("""COMPUTED_VALUE"""),"Tomato Based Sauce")</f>
        <v>Tomato Based Sauce</v>
      </c>
      <c r="AU94" s="292" t="str">
        <f>IFERROR(__xludf.DUMMYFUNCTION("""COMPUTED_VALUE"""),"Broccoli")</f>
        <v>Broccoli</v>
      </c>
      <c r="AV94" s="292" t="str">
        <f>IFERROR(__xludf.DUMMYFUNCTION("""COMPUTED_VALUE"""),"Cauliflower Florets")</f>
        <v>Cauliflower Florets</v>
      </c>
      <c r="AW94" s="292" t="str">
        <f>IFERROR(__xludf.DUMMYFUNCTION("""COMPUTED_VALUE"""),"Year Round")</f>
        <v>Year Round</v>
      </c>
      <c r="AX94" s="292" t="str">
        <f>IFERROR(__xludf.DUMMYFUNCTION("""COMPUTED_VALUE"""),"Italian")</f>
        <v>Italian</v>
      </c>
      <c r="AY94" s="292"/>
      <c r="AZ94" s="292" t="str">
        <f>IFERROR(__xludf.DUMMYFUNCTION("""COMPUTED_VALUE"""),"2 CT")</f>
        <v>2 CT</v>
      </c>
      <c r="BA94" s="292" t="b">
        <f>IFERROR(__xludf.DUMMYFUNCTION("""COMPUTED_VALUE"""),FALSE)</f>
        <v>0</v>
      </c>
      <c r="BB94" s="342">
        <f>IFERROR(__xludf.DUMMYFUNCTION("""COMPUTED_VALUE"""),2.51)</f>
        <v>2.51</v>
      </c>
      <c r="BC94" s="342">
        <f>IFERROR(__xludf.DUMMYFUNCTION("""COMPUTED_VALUE"""),1.22)</f>
        <v>1.22</v>
      </c>
      <c r="BD94" s="342">
        <f>IFERROR(__xludf.DUMMYFUNCTION("""COMPUTED_VALUE"""),0.36)</f>
        <v>0.36</v>
      </c>
      <c r="BE94" s="342">
        <f>IFERROR(__xludf.DUMMYFUNCTION("""COMPUTED_VALUE"""),0.89)</f>
        <v>0.89</v>
      </c>
      <c r="BF94" s="296">
        <f>IFERROR(__xludf.DUMMYFUNCTION("""COMPUTED_VALUE"""),3.223333333333333)</f>
        <v>3.223333333</v>
      </c>
      <c r="BG94" s="296">
        <f>IFERROR(__xludf.DUMMYFUNCTION("""COMPUTED_VALUE"""),3.2266666666666666)</f>
        <v>3.226666667</v>
      </c>
      <c r="BH94" s="296">
        <f>IFERROR(__xludf.DUMMYFUNCTION("""COMPUTED_VALUE"""),3.2366666666666664)</f>
        <v>3.236666667</v>
      </c>
      <c r="BI94" s="295">
        <f>IFERROR(__xludf.DUMMYFUNCTION("""COMPUTED_VALUE"""),198.63)</f>
        <v>198.63</v>
      </c>
      <c r="BJ94" s="295" t="str">
        <f>IFERROR(__xludf.DUMMYFUNCTION("""COMPUTED_VALUE"""),"FALSE")</f>
        <v>FALSE</v>
      </c>
      <c r="BK94" s="346">
        <f>IFERROR(__xludf.DUMMYFUNCTION("""COMPUTED_VALUE"""),2646.0)</f>
        <v>2646</v>
      </c>
      <c r="BL94" s="292" t="str">
        <f>IFERROR(__xludf.DUMMYFUNCTION("""COMPUTED_VALUE"""),"Frankenstein")</f>
        <v>Frankenstein</v>
      </c>
      <c r="BM94" s="292" t="str">
        <f>IFERROR(__xludf.DUMMYFUNCTION("""COMPUTED_VALUE"""),"Fläskfilé i sås på soltorkade tomater")</f>
        <v>Fläskfilé i sås på soltorkade tomater</v>
      </c>
      <c r="BN94" s="343">
        <f>IFERROR(__xludf.DUMMYFUNCTION("""COMPUTED_VALUE"""),3.2099999999999995)</f>
        <v>3.21</v>
      </c>
      <c r="BO94" s="343">
        <f>IFERROR(__xludf.DUMMYFUNCTION("""COMPUTED_VALUE"""),3.2933333333333334)</f>
        <v>3.293333333</v>
      </c>
      <c r="BP94" s="292"/>
      <c r="BQ94" s="292" t="str">
        <f>IFERROR(__xludf.DUMMYFUNCTION("""COMPUTED_VALUE"""),"Active")</f>
        <v>Active</v>
      </c>
      <c r="BR94" s="344" t="b">
        <f>IFERROR(__xludf.DUMMYFUNCTION("""COMPUTED_VALUE"""),FALSE)</f>
        <v>0</v>
      </c>
      <c r="BS94" s="292" t="b">
        <f>IFERROR(__xludf.DUMMYFUNCTION("""COMPUTED_VALUE"""),FALSE)</f>
        <v>0</v>
      </c>
      <c r="BT94" s="345">
        <f>IFERROR(__xludf.DUMMYFUNCTION("""COMPUTED_VALUE"""),717.0)</f>
        <v>717</v>
      </c>
      <c r="BU94" s="345">
        <f>IFERROR(__xludf.DUMMYFUNCTION("""COMPUTED_VALUE"""),172.9)</f>
        <v>172.9</v>
      </c>
      <c r="BV94" s="344">
        <f>IFERROR(__xludf.DUMMYFUNCTION("""COMPUTED_VALUE"""),13.8)</f>
        <v>13.8</v>
      </c>
      <c r="BW94" s="344">
        <f>IFERROR(__xludf.DUMMYFUNCTION("""COMPUTED_VALUE"""),6.1)</f>
        <v>6.1</v>
      </c>
    </row>
    <row r="95">
      <c r="A95" s="292" t="str">
        <f>IFERROR(__xludf.DUMMYFUNCTION("""COMPUTED_VALUE"""),"FE4008A")</f>
        <v>FE4008A</v>
      </c>
      <c r="B95" s="292" t="str">
        <f>IFERROR(__xludf.DUMMYFUNCTION("""COMPUTED_VALUE"""),"CON-40-143651-4")</f>
        <v>CON-40-143651-4</v>
      </c>
      <c r="C95" s="292" t="str">
        <f>IFERROR(__xludf.DUMMYFUNCTION("""COMPUTED_VALUE"""),"CON-00-147872-2")</f>
        <v>CON-00-147872-2</v>
      </c>
      <c r="D95" s="292" t="str">
        <f>IFERROR(__xludf.DUMMYFUNCTION("""COMPUTED_VALUE"""),"CON-00-136665-3")</f>
        <v>CON-00-136665-3</v>
      </c>
      <c r="E95" s="292" t="str">
        <f>IFERROR(__xludf.DUMMYFUNCTION("""COMPUTED_VALUE"""),"Indian style curry with cauliflower")</f>
        <v>Indian style curry with cauliflower</v>
      </c>
      <c r="F95" s="292" t="str">
        <f>IFERROR(__xludf.DUMMYFUNCTION("""COMPUTED_VALUE"""),"with sweet potato, bell pepper, and pumkin seeds")</f>
        <v>with sweet potato, bell pepper, and pumkin seeds</v>
      </c>
      <c r="G95" s="292" t="str">
        <f>IFERROR(__xludf.DUMMYFUNCTION("""COMPUTED_VALUE"""),"Bloemkoolcurry met knoflook-gemberrijst")</f>
        <v>Bloemkoolcurry met knoflook-gemberrijst</v>
      </c>
      <c r="H95" s="292" t="str">
        <f>IFERROR(__xludf.DUMMYFUNCTION("""COMPUTED_VALUE"""),"met zoete aardappel, paprika en pompoenpitten")</f>
        <v>met zoete aardappel, paprika en pompoenpitten</v>
      </c>
      <c r="I95" s="292" t="str">
        <f>IFERROR(__xludf.DUMMYFUNCTION("""COMPUTED_VALUE"""),"Indisk karry med blomkål")</f>
        <v>Indisk karry med blomkål</v>
      </c>
      <c r="J95" s="292" t="str">
        <f>IFERROR(__xludf.DUMMYFUNCTION("""COMPUTED_VALUE"""),"Indisches Blumenkohl-Curry")</f>
        <v>Indisches Blumenkohl-Curry</v>
      </c>
      <c r="K95" s="292">
        <f>IFERROR(__xludf.DUMMYFUNCTION("""COMPUTED_VALUE"""),565068.0)</f>
        <v>565068</v>
      </c>
      <c r="L95" s="292" t="str">
        <f>IFERROR(__xludf.DUMMYFUNCTION("""COMPUTED_VALUE"""),"HF Bloemkoolcurry met knoflook-gemberrijst 420g")</f>
        <v>HF Bloemkoolcurry met knoflook-gemberrijst 420g</v>
      </c>
      <c r="M95" s="292" t="str">
        <f>IFERROR(__xludf.DUMMYFUNCTION("""COMPUTED_VALUE"""),"FA-NL Bloemkoolcurry met knoflook-gemberrijst (FE4008)")</f>
        <v>FA-NL Bloemkoolcurry met knoflook-gemberrijst (FE4008)</v>
      </c>
      <c r="N95" s="292" t="str">
        <f>IFERROR(__xludf.DUMMYFUNCTION("""COMPUTED_VALUE"""),"FA-NO Indisk karry med blomkål (FE4008)")</f>
        <v>FA-NO Indisk karry med blomkål (FE4008)</v>
      </c>
      <c r="O95" s="292" t="str">
        <f>IFERROR(__xludf.DUMMYFUNCTION("""COMPUTED_VALUE"""),"FA-DE Indisches Curry mit Blumenkohl (FE4008)")</f>
        <v>FA-DE Indisches Curry mit Blumenkohl (FE4008)</v>
      </c>
      <c r="P95" s="292" t="str">
        <f>IFERROR(__xludf.DUMMYFUNCTION("""COMPUTED_VALUE"""),"Hold")</f>
        <v>Hold</v>
      </c>
      <c r="Q95" s="292" t="str">
        <f>IFERROR(__xludf.DUMMYFUNCTION("""COMPUTED_VALUE"""),"on hold due to quality issues")</f>
        <v>on hold due to quality issues</v>
      </c>
      <c r="R95" s="342">
        <f>IFERROR(__xludf.DUMMYFUNCTION("""COMPUTED_VALUE"""),3.82)</f>
        <v>3.82</v>
      </c>
      <c r="S95" s="292"/>
      <c r="T95" s="292"/>
      <c r="U95" s="292"/>
      <c r="V95" s="292"/>
      <c r="W95" s="292" t="b">
        <f>IFERROR(__xludf.DUMMYFUNCTION("""COMPUTED_VALUE"""),TRUE)</f>
        <v>1</v>
      </c>
      <c r="X95" s="345">
        <f>IFERROR(__xludf.DUMMYFUNCTION("""COMPUTED_VALUE"""),420.0)</f>
        <v>420</v>
      </c>
      <c r="Y95" s="344">
        <f>IFERROR(__xludf.DUMMYFUNCTION("""COMPUTED_VALUE"""),588.0)</f>
        <v>588</v>
      </c>
      <c r="Z95" s="343">
        <f>IFERROR(__xludf.DUMMYFUNCTION("""COMPUTED_VALUE"""),26.2)</f>
        <v>26.2</v>
      </c>
      <c r="AA95" s="344">
        <f>IFERROR(__xludf.DUMMYFUNCTION("""COMPUTED_VALUE"""),11.2)</f>
        <v>11.2</v>
      </c>
      <c r="AB95" s="344">
        <f>IFERROR(__xludf.DUMMYFUNCTION("""COMPUTED_VALUE"""),67.5)</f>
        <v>67.5</v>
      </c>
      <c r="AC95" s="344">
        <f>IFERROR(__xludf.DUMMYFUNCTION("""COMPUTED_VALUE"""),14.9)</f>
        <v>14.9</v>
      </c>
      <c r="AD95" s="344">
        <f>IFERROR(__xludf.DUMMYFUNCTION("""COMPUTED_VALUE"""),9.9)</f>
        <v>9.9</v>
      </c>
      <c r="AE95" s="343">
        <f>IFERROR(__xludf.DUMMYFUNCTION("""COMPUTED_VALUE"""),14.5)</f>
        <v>14.5</v>
      </c>
      <c r="AF95" s="343">
        <f>IFERROR(__xludf.DUMMYFUNCTION("""COMPUTED_VALUE"""),2.02)</f>
        <v>2.02</v>
      </c>
      <c r="AG95" s="292" t="b">
        <f>IFERROR(__xludf.DUMMYFUNCTION("""COMPUTED_VALUE"""),FALSE)</f>
        <v>0</v>
      </c>
      <c r="AH95" s="292" t="b">
        <f>IFERROR(__xludf.DUMMYFUNCTION("""COMPUTED_VALUE"""),FALSE)</f>
        <v>0</v>
      </c>
      <c r="AI95" s="292" t="b">
        <f>IFERROR(__xludf.DUMMYFUNCTION("""COMPUTED_VALUE"""),FALSE)</f>
        <v>0</v>
      </c>
      <c r="AJ95" s="292" t="b">
        <f>IFERROR(__xludf.DUMMYFUNCTION("""COMPUTED_VALUE"""),FALSE)</f>
        <v>0</v>
      </c>
      <c r="AK95" s="292" t="b">
        <f>IFERROR(__xludf.DUMMYFUNCTION("""COMPUTED_VALUE"""),TRUE)</f>
        <v>1</v>
      </c>
      <c r="AL95" s="292" t="b">
        <f>IFERROR(__xludf.DUMMYFUNCTION("""COMPUTED_VALUE"""),FALSE)</f>
        <v>0</v>
      </c>
      <c r="AM95" s="292" t="b">
        <f>IFERROR(__xludf.DUMMYFUNCTION("""COMPUTED_VALUE"""),FALSE)</f>
        <v>0</v>
      </c>
      <c r="AN95" s="292" t="b">
        <f>IFERROR(__xludf.DUMMYFUNCTION("""COMPUTED_VALUE"""),FALSE)</f>
        <v>0</v>
      </c>
      <c r="AO95" s="292" t="str">
        <f>IFERROR(__xludf.DUMMYFUNCTION("""COMPUTED_VALUE"""),"TRUE")</f>
        <v>TRUE</v>
      </c>
      <c r="AP95" s="292" t="str">
        <f>IFERROR(__xludf.DUMMYFUNCTION("""COMPUTED_VALUE"""),"Vegetarian")</f>
        <v>Vegetarian</v>
      </c>
      <c r="AQ95" s="292" t="str">
        <f>IFERROR(__xludf.DUMMYFUNCTION("""COMPUTED_VALUE"""),"Vegetarian")</f>
        <v>Vegetarian</v>
      </c>
      <c r="AR95" s="292" t="str">
        <f>IFERROR(__xludf.DUMMYFUNCTION("""COMPUTED_VALUE"""),"Rice")</f>
        <v>Rice</v>
      </c>
      <c r="AS95" s="292" t="str">
        <f>IFERROR(__xludf.DUMMYFUNCTION("""COMPUTED_VALUE"""),"Cauliflower Florets")</f>
        <v>Cauliflower Florets</v>
      </c>
      <c r="AT95" s="292" t="str">
        <f>IFERROR(__xludf.DUMMYFUNCTION("""COMPUTED_VALUE"""),"Sweet Potato")</f>
        <v>Sweet Potato</v>
      </c>
      <c r="AU95" s="292" t="str">
        <f>IFERROR(__xludf.DUMMYFUNCTION("""COMPUTED_VALUE"""),"Rice")</f>
        <v>Rice</v>
      </c>
      <c r="AV95" s="292" t="str">
        <f>IFERROR(__xludf.DUMMYFUNCTION("""COMPUTED_VALUE"""),"Seeds")</f>
        <v>Seeds</v>
      </c>
      <c r="AW95" s="292" t="str">
        <f>IFERROR(__xludf.DUMMYFUNCTION("""COMPUTED_VALUE"""),"Year Round")</f>
        <v>Year Round</v>
      </c>
      <c r="AX95" s="292" t="str">
        <f>IFERROR(__xludf.DUMMYFUNCTION("""COMPUTED_VALUE"""),"Indian")</f>
        <v>Indian</v>
      </c>
      <c r="AY95" s="292"/>
      <c r="AZ95" s="292" t="str">
        <f>IFERROR(__xludf.DUMMYFUNCTION("""COMPUTED_VALUE"""),"2 CT")</f>
        <v>2 CT</v>
      </c>
      <c r="BA95" s="292" t="b">
        <f>IFERROR(__xludf.DUMMYFUNCTION("""COMPUTED_VALUE"""),FALSE)</f>
        <v>0</v>
      </c>
      <c r="BB95" s="342">
        <f>IFERROR(__xludf.DUMMYFUNCTION("""COMPUTED_VALUE"""),1.55)</f>
        <v>1.55</v>
      </c>
      <c r="BC95" s="342">
        <f>IFERROR(__xludf.DUMMYFUNCTION("""COMPUTED_VALUE"""),1.06)</f>
        <v>1.06</v>
      </c>
      <c r="BD95" s="342">
        <f>IFERROR(__xludf.DUMMYFUNCTION("""COMPUTED_VALUE"""),0.362)</f>
        <v>0.362</v>
      </c>
      <c r="BE95" s="342">
        <f>IFERROR(__xludf.DUMMYFUNCTION("""COMPUTED_VALUE"""),0.89)</f>
        <v>0.89</v>
      </c>
      <c r="BF95" s="296" t="str">
        <f>IFERROR(__xludf.DUMMYFUNCTION("""COMPUTED_VALUE"""),"#REF!")</f>
        <v>#REF!</v>
      </c>
      <c r="BG95" s="296" t="str">
        <f>IFERROR(__xludf.DUMMYFUNCTION("""COMPUTED_VALUE"""),"#REF!")</f>
        <v>#REF!</v>
      </c>
      <c r="BH95" s="296" t="str">
        <f>IFERROR(__xludf.DUMMYFUNCTION("""COMPUTED_VALUE"""),"#REF!")</f>
        <v>#REF!</v>
      </c>
      <c r="BI95" s="295">
        <f>IFERROR(__xludf.DUMMYFUNCTION("""COMPUTED_VALUE"""),184.0)</f>
        <v>184</v>
      </c>
      <c r="BJ95" s="295" t="str">
        <f>IFERROR(__xludf.DUMMYFUNCTION("""COMPUTED_VALUE"""),"FALSE")</f>
        <v>FALSE</v>
      </c>
      <c r="BK95" s="346">
        <f>IFERROR(__xludf.DUMMYFUNCTION("""COMPUTED_VALUE"""),2457.0)</f>
        <v>2457</v>
      </c>
      <c r="BL95" s="292" t="str">
        <f>IFERROR(__xludf.DUMMYFUNCTION("""COMPUTED_VALUE"""),"Local Development")</f>
        <v>Local Development</v>
      </c>
      <c r="BM95" s="292" t="str">
        <f>IFERROR(__xludf.DUMMYFUNCTION("""COMPUTED_VALUE"""),"Indisk curry med blomkål")</f>
        <v>Indisk curry med blomkål</v>
      </c>
      <c r="BN95" s="292"/>
      <c r="BO95" s="292"/>
      <c r="BP95" s="292"/>
      <c r="BQ95" s="292" t="str">
        <f>IFERROR(__xludf.DUMMYFUNCTION("""COMPUTED_VALUE"""),"Hold - Rework")</f>
        <v>Hold - Rework</v>
      </c>
      <c r="BR95" s="292" t="b">
        <f>IFERROR(__xludf.DUMMYFUNCTION("""COMPUTED_VALUE"""),FALSE)</f>
        <v>0</v>
      </c>
      <c r="BS95" s="292" t="b">
        <f>IFERROR(__xludf.DUMMYFUNCTION("""COMPUTED_VALUE"""),FALSE)</f>
        <v>0</v>
      </c>
      <c r="BT95" s="345">
        <f>IFERROR(__xludf.DUMMYFUNCTION("""COMPUTED_VALUE"""),585.0)</f>
        <v>585</v>
      </c>
      <c r="BU95" s="345">
        <f>IFERROR(__xludf.DUMMYFUNCTION("""COMPUTED_VALUE"""),140.0)</f>
        <v>140</v>
      </c>
      <c r="BV95" s="344">
        <f>IFERROR(__xludf.DUMMYFUNCTION("""COMPUTED_VALUE"""),6.24)</f>
        <v>6.24</v>
      </c>
      <c r="BW95" s="344">
        <f>IFERROR(__xludf.DUMMYFUNCTION("""COMPUTED_VALUE"""),2.67)</f>
        <v>2.67</v>
      </c>
    </row>
    <row r="96">
      <c r="A96" s="292" t="str">
        <f>IFERROR(__xludf.DUMMYFUNCTION("""COMPUTED_VALUE"""),"FE4009A")</f>
        <v>FE4009A</v>
      </c>
      <c r="B96" s="292" t="str">
        <f>IFERROR(__xludf.DUMMYFUNCTION("""COMPUTED_VALUE"""),"CON-40-143765-4")</f>
        <v>CON-40-143765-4</v>
      </c>
      <c r="C96" s="292" t="str">
        <f>IFERROR(__xludf.DUMMYFUNCTION("""COMPUTED_VALUE"""),"CON-00-147871-2")</f>
        <v>CON-00-147871-2</v>
      </c>
      <c r="D96" s="292" t="str">
        <f>IFERROR(__xludf.DUMMYFUNCTION("""COMPUTED_VALUE"""),"CON-00-137745-2")</f>
        <v>CON-00-137745-2</v>
      </c>
      <c r="E96" s="292" t="str">
        <f>IFERROR(__xludf.DUMMYFUNCTION("""COMPUTED_VALUE"""),"Salmon in mustard-dill sauce")</f>
        <v>Salmon in mustard-dill sauce</v>
      </c>
      <c r="F96" s="292" t="str">
        <f>IFERROR(__xludf.DUMMYFUNCTION("""COMPUTED_VALUE"""),"with potato spinach puree, carrots and green beans")</f>
        <v>with potato spinach puree, carrots and green beans</v>
      </c>
      <c r="G96" s="292" t="str">
        <f>IFERROR(__xludf.DUMMYFUNCTION("""COMPUTED_VALUE"""),"Zalm in mosterd-dillesaus")</f>
        <v>Zalm in mosterd-dillesaus</v>
      </c>
      <c r="H96" s="292" t="str">
        <f>IFERROR(__xludf.DUMMYFUNCTION("""COMPUTED_VALUE"""),"met aardappel-spinaziepuree, wortels en sperziebonen")</f>
        <v>met aardappel-spinaziepuree, wortels en sperziebonen</v>
      </c>
      <c r="I96" s="292" t="str">
        <f>IFERROR(__xludf.DUMMYFUNCTION("""COMPUTED_VALUE"""),"Laks i senneps-dild sauce")</f>
        <v>Laks i senneps-dild sauce</v>
      </c>
      <c r="J96" s="292" t="str">
        <f>IFERROR(__xludf.DUMMYFUNCTION("""COMPUTED_VALUE"""),"Lachs in Senf-Dill-Sauce")</f>
        <v>Lachs in Senf-Dill-Sauce</v>
      </c>
      <c r="K96" s="292">
        <f>IFERROR(__xludf.DUMMYFUNCTION("""COMPUTED_VALUE"""),565064.0)</f>
        <v>565064</v>
      </c>
      <c r="L96" s="292" t="str">
        <f>IFERROR(__xludf.DUMMYFUNCTION("""COMPUTED_VALUE"""),"HF Zalm in mosterd-dillesaus 403g")</f>
        <v>HF Zalm in mosterd-dillesaus 403g</v>
      </c>
      <c r="M96" s="292" t="str">
        <f>IFERROR(__xludf.DUMMYFUNCTION("""COMPUTED_VALUE"""),"FA-NL Zalm in mosterd-dillesaus (FE4009)")</f>
        <v>FA-NL Zalm in mosterd-dillesaus (FE4009)</v>
      </c>
      <c r="N96" s="292" t="str">
        <f>IFERROR(__xludf.DUMMYFUNCTION("""COMPUTED_VALUE"""),"FA-NO Laks i dild- og sennepssauce (FE4009)")</f>
        <v>FA-NO Laks i dild- og sennepssauce (FE4009)</v>
      </c>
      <c r="O96" s="292" t="str">
        <f>IFERROR(__xludf.DUMMYFUNCTION("""COMPUTED_VALUE"""),"FA-DE Lachs in Senf-Dill-Sauce (FE4009)")</f>
        <v>FA-DE Lachs in Senf-Dill-Sauce (FE4009)</v>
      </c>
      <c r="P96" s="292" t="str">
        <f>IFERROR(__xludf.DUMMYFUNCTION("""COMPUTED_VALUE"""),"Graveyard")</f>
        <v>Graveyard</v>
      </c>
      <c r="Q96" s="292"/>
      <c r="R96" s="342">
        <f>IFERROR(__xludf.DUMMYFUNCTION("""COMPUTED_VALUE"""),6.07)</f>
        <v>6.07</v>
      </c>
      <c r="S96" s="292"/>
      <c r="T96" s="292"/>
      <c r="U96" s="292"/>
      <c r="V96" s="292"/>
      <c r="W96" s="292" t="b">
        <f>IFERROR(__xludf.DUMMYFUNCTION("""COMPUTED_VALUE"""),TRUE)</f>
        <v>1</v>
      </c>
      <c r="X96" s="345">
        <f>IFERROR(__xludf.DUMMYFUNCTION("""COMPUTED_VALUE"""),403.0)</f>
        <v>403</v>
      </c>
      <c r="Y96" s="344">
        <f>IFERROR(__xludf.DUMMYFUNCTION("""COMPUTED_VALUE"""),537.0)</f>
        <v>537</v>
      </c>
      <c r="Z96" s="343">
        <f>IFERROR(__xludf.DUMMYFUNCTION("""COMPUTED_VALUE"""),26.2)</f>
        <v>26.2</v>
      </c>
      <c r="AA96" s="344">
        <f>IFERROR(__xludf.DUMMYFUNCTION("""COMPUTED_VALUE"""),5.9)</f>
        <v>5.9</v>
      </c>
      <c r="AB96" s="344">
        <f>IFERROR(__xludf.DUMMYFUNCTION("""COMPUTED_VALUE"""),35.4)</f>
        <v>35.4</v>
      </c>
      <c r="AC96" s="344">
        <f>IFERROR(__xludf.DUMMYFUNCTION("""COMPUTED_VALUE"""),12.5)</f>
        <v>12.5</v>
      </c>
      <c r="AD96" s="344">
        <f>IFERROR(__xludf.DUMMYFUNCTION("""COMPUTED_VALUE"""),10.7)</f>
        <v>10.7</v>
      </c>
      <c r="AE96" s="343">
        <f>IFERROR(__xludf.DUMMYFUNCTION("""COMPUTED_VALUE"""),33.6)</f>
        <v>33.6</v>
      </c>
      <c r="AF96" s="343">
        <f>IFERROR(__xludf.DUMMYFUNCTION("""COMPUTED_VALUE"""),1.91)</f>
        <v>1.91</v>
      </c>
      <c r="AG96" s="292" t="b">
        <f>IFERROR(__xludf.DUMMYFUNCTION("""COMPUTED_VALUE"""),FALSE)</f>
        <v>0</v>
      </c>
      <c r="AH96" s="292" t="b">
        <f>IFERROR(__xludf.DUMMYFUNCTION("""COMPUTED_VALUE"""),FALSE)</f>
        <v>0</v>
      </c>
      <c r="AI96" s="292" t="b">
        <f>IFERROR(__xludf.DUMMYFUNCTION("""COMPUTED_VALUE"""),TRUE)</f>
        <v>1</v>
      </c>
      <c r="AJ96" s="292" t="b">
        <f>IFERROR(__xludf.DUMMYFUNCTION("""COMPUTED_VALUE"""),FALSE)</f>
        <v>0</v>
      </c>
      <c r="AK96" s="292" t="b">
        <f>IFERROR(__xludf.DUMMYFUNCTION("""COMPUTED_VALUE"""),FALSE)</f>
        <v>0</v>
      </c>
      <c r="AL96" s="292" t="b">
        <f>IFERROR(__xludf.DUMMYFUNCTION("""COMPUTED_VALUE"""),FALSE)</f>
        <v>0</v>
      </c>
      <c r="AM96" s="292" t="b">
        <f>IFERROR(__xludf.DUMMYFUNCTION("""COMPUTED_VALUE"""),TRUE)</f>
        <v>1</v>
      </c>
      <c r="AN96" s="292" t="b">
        <f>IFERROR(__xludf.DUMMYFUNCTION("""COMPUTED_VALUE"""),FALSE)</f>
        <v>0</v>
      </c>
      <c r="AO96" s="292" t="str">
        <f>IFERROR(__xludf.DUMMYFUNCTION("""COMPUTED_VALUE"""),"TRUE")</f>
        <v>TRUE</v>
      </c>
      <c r="AP96" s="292" t="str">
        <f>IFERROR(__xludf.DUMMYFUNCTION("""COMPUTED_VALUE"""),"Salmon")</f>
        <v>Salmon</v>
      </c>
      <c r="AQ96" s="292" t="str">
        <f>IFERROR(__xludf.DUMMYFUNCTION("""COMPUTED_VALUE"""),"Salmon")</f>
        <v>Salmon</v>
      </c>
      <c r="AR96" s="292" t="str">
        <f>IFERROR(__xludf.DUMMYFUNCTION("""COMPUTED_VALUE"""),"Filet")</f>
        <v>Filet</v>
      </c>
      <c r="AS96" s="292" t="str">
        <f>IFERROR(__xludf.DUMMYFUNCTION("""COMPUTED_VALUE"""),"Potato Mash")</f>
        <v>Potato Mash</v>
      </c>
      <c r="AT96" s="292" t="str">
        <f>IFERROR(__xludf.DUMMYFUNCTION("""COMPUTED_VALUE"""),"Spinach")</f>
        <v>Spinach</v>
      </c>
      <c r="AU96" s="292" t="str">
        <f>IFERROR(__xludf.DUMMYFUNCTION("""COMPUTED_VALUE"""),"Green Beans")</f>
        <v>Green Beans</v>
      </c>
      <c r="AV96" s="292" t="str">
        <f>IFERROR(__xludf.DUMMYFUNCTION("""COMPUTED_VALUE"""),"Carrots")</f>
        <v>Carrots</v>
      </c>
      <c r="AW96" s="292" t="str">
        <f>IFERROR(__xludf.DUMMYFUNCTION("""COMPUTED_VALUE"""),"Year Round")</f>
        <v>Year Round</v>
      </c>
      <c r="AX96" s="292" t="str">
        <f>IFERROR(__xludf.DUMMYFUNCTION("""COMPUTED_VALUE"""),"European")</f>
        <v>European</v>
      </c>
      <c r="AY96" s="292"/>
      <c r="AZ96" s="292" t="str">
        <f>IFERROR(__xludf.DUMMYFUNCTION("""COMPUTED_VALUE"""),"2 CT")</f>
        <v>2 CT</v>
      </c>
      <c r="BA96" s="292" t="b">
        <f>IFERROR(__xludf.DUMMYFUNCTION("""COMPUTED_VALUE"""),FALSE)</f>
        <v>0</v>
      </c>
      <c r="BB96" s="342">
        <f>IFERROR(__xludf.DUMMYFUNCTION("""COMPUTED_VALUE"""),3.77)</f>
        <v>3.77</v>
      </c>
      <c r="BC96" s="342">
        <f>IFERROR(__xludf.DUMMYFUNCTION("""COMPUTED_VALUE"""),1.1)</f>
        <v>1.1</v>
      </c>
      <c r="BD96" s="342">
        <f>IFERROR(__xludf.DUMMYFUNCTION("""COMPUTED_VALUE"""),0.362)</f>
        <v>0.362</v>
      </c>
      <c r="BE96" s="342">
        <f>IFERROR(__xludf.DUMMYFUNCTION("""COMPUTED_VALUE"""),0.89)</f>
        <v>0.89</v>
      </c>
      <c r="BF96" s="296" t="str">
        <f>IFERROR(__xludf.DUMMYFUNCTION("""COMPUTED_VALUE"""),"#REF!")</f>
        <v>#REF!</v>
      </c>
      <c r="BG96" s="296" t="str">
        <f>IFERROR(__xludf.DUMMYFUNCTION("""COMPUTED_VALUE"""),"#REF!")</f>
        <v>#REF!</v>
      </c>
      <c r="BH96" s="296" t="str">
        <f>IFERROR(__xludf.DUMMYFUNCTION("""COMPUTED_VALUE"""),"#REF!")</f>
        <v>#REF!</v>
      </c>
      <c r="BI96" s="295">
        <f>IFERROR(__xludf.DUMMYFUNCTION("""COMPUTED_VALUE"""),150.0)</f>
        <v>150</v>
      </c>
      <c r="BJ96" s="295" t="str">
        <f>IFERROR(__xludf.DUMMYFUNCTION("""COMPUTED_VALUE"""),"TRUE")</f>
        <v>TRUE</v>
      </c>
      <c r="BK96" s="346">
        <f>IFERROR(__xludf.DUMMYFUNCTION("""COMPUTED_VALUE"""),2244.0)</f>
        <v>2244</v>
      </c>
      <c r="BL96" s="292" t="str">
        <f>IFERROR(__xludf.DUMMYFUNCTION("""COMPUTED_VALUE"""),"Frankenstein")</f>
        <v>Frankenstein</v>
      </c>
      <c r="BM96" s="292" t="str">
        <f>IFERROR(__xludf.DUMMYFUNCTION("""COMPUTED_VALUE"""),"Lax i dill- och senapssås")</f>
        <v>Lax i dill- och senapssås</v>
      </c>
      <c r="BN96" s="292"/>
      <c r="BO96" s="292"/>
      <c r="BP96" s="292"/>
      <c r="BQ96" s="292" t="str">
        <f>IFERROR(__xludf.DUMMYFUNCTION("""COMPUTED_VALUE"""),"Graveyard")</f>
        <v>Graveyard</v>
      </c>
      <c r="BR96" s="292" t="b">
        <f>IFERROR(__xludf.DUMMYFUNCTION("""COMPUTED_VALUE"""),FALSE)</f>
        <v>0</v>
      </c>
      <c r="BS96" s="292" t="b">
        <f>IFERROR(__xludf.DUMMYFUNCTION("""COMPUTED_VALUE"""),TRUE)</f>
        <v>1</v>
      </c>
      <c r="BT96" s="345">
        <f>IFERROR(__xludf.DUMMYFUNCTION("""COMPUTED_VALUE"""),556.0)</f>
        <v>556</v>
      </c>
      <c r="BU96" s="345">
        <f>IFERROR(__xludf.DUMMYFUNCTION("""COMPUTED_VALUE"""),133.0)</f>
        <v>133</v>
      </c>
      <c r="BV96" s="344">
        <f>IFERROR(__xludf.DUMMYFUNCTION("""COMPUTED_VALUE"""),6.5)</f>
        <v>6.5</v>
      </c>
      <c r="BW96" s="344">
        <f>IFERROR(__xludf.DUMMYFUNCTION("""COMPUTED_VALUE"""),1.5)</f>
        <v>1.5</v>
      </c>
    </row>
    <row r="97">
      <c r="A97" s="292" t="str">
        <f>IFERROR(__xludf.DUMMYFUNCTION("""COMPUTED_VALUE"""),"FE4009B")</f>
        <v>FE4009B</v>
      </c>
      <c r="B97" s="292" t="str">
        <f>IFERROR(__xludf.DUMMYFUNCTION("""COMPUTED_VALUE"""),"CON-40-143765-4")</f>
        <v>CON-40-143765-4</v>
      </c>
      <c r="C97" s="292" t="str">
        <f>IFERROR(__xludf.DUMMYFUNCTION("""COMPUTED_VALUE"""),"CON-00-147871-2")</f>
        <v>CON-00-147871-2</v>
      </c>
      <c r="D97" s="292" t="str">
        <f>IFERROR(__xludf.DUMMYFUNCTION("""COMPUTED_VALUE"""),"CON-00-137745-2")</f>
        <v>CON-00-137745-2</v>
      </c>
      <c r="E97" s="292" t="str">
        <f>IFERROR(__xludf.DUMMYFUNCTION("""COMPUTED_VALUE"""),"Salmon in mustard-dill sauce")</f>
        <v>Salmon in mustard-dill sauce</v>
      </c>
      <c r="F97" s="292" t="str">
        <f>IFERROR(__xludf.DUMMYFUNCTION("""COMPUTED_VALUE"""),"with potato spinach puree, carrots and green beans")</f>
        <v>with potato spinach puree, carrots and green beans</v>
      </c>
      <c r="G97" s="292" t="str">
        <f>IFERROR(__xludf.DUMMYFUNCTION("""COMPUTED_VALUE"""),"Zalm in mosterd-dillesaus")</f>
        <v>Zalm in mosterd-dillesaus</v>
      </c>
      <c r="H97" s="292" t="str">
        <f>IFERROR(__xludf.DUMMYFUNCTION("""COMPUTED_VALUE"""),"met aardappel-spinaziepuree, wortels en sperziebonen")</f>
        <v>met aardappel-spinaziepuree, wortels en sperziebonen</v>
      </c>
      <c r="I97" s="292" t="str">
        <f>IFERROR(__xludf.DUMMYFUNCTION("""COMPUTED_VALUE"""),"Laks i dild- og sennepssauce")</f>
        <v>Laks i dild- og sennepssauce</v>
      </c>
      <c r="J97" s="292" t="str">
        <f>IFERROR(__xludf.DUMMYFUNCTION("""COMPUTED_VALUE"""),"Lachs in Senf-Dill-Sauce")</f>
        <v>Lachs in Senf-Dill-Sauce</v>
      </c>
      <c r="K97" s="292">
        <f>IFERROR(__xludf.DUMMYFUNCTION("""COMPUTED_VALUE"""),565064.0)</f>
        <v>565064</v>
      </c>
      <c r="L97" s="292" t="str">
        <f>IFERROR(__xludf.DUMMYFUNCTION("""COMPUTED_VALUE"""),"HF Zalm in mosterd-dillesaus 403g")</f>
        <v>HF Zalm in mosterd-dillesaus 403g</v>
      </c>
      <c r="M97" s="292" t="str">
        <f>IFERROR(__xludf.DUMMYFUNCTION("""COMPUTED_VALUE"""),"FA-NL Zalm in mosterd-dillesaus (FE4009)")</f>
        <v>FA-NL Zalm in mosterd-dillesaus (FE4009)</v>
      </c>
      <c r="N97" s="292" t="str">
        <f>IFERROR(__xludf.DUMMYFUNCTION("""COMPUTED_VALUE"""),"FA-NO Laks i dild- og sennepssauce (FE4009)")</f>
        <v>FA-NO Laks i dild- og sennepssauce (FE4009)</v>
      </c>
      <c r="O97" s="292" t="str">
        <f>IFERROR(__xludf.DUMMYFUNCTION("""COMPUTED_VALUE"""),"FA-DE Lachs in Senf-Dill-Sauce (FE4009)")</f>
        <v>FA-DE Lachs in Senf-Dill-Sauce (FE4009)</v>
      </c>
      <c r="P97" s="292" t="str">
        <f>IFERROR(__xludf.DUMMYFUNCTION("""COMPUTED_VALUE"""),"Graveyard")</f>
        <v>Graveyard</v>
      </c>
      <c r="Q97" s="292"/>
      <c r="R97" s="342">
        <f>IFERROR(__xludf.DUMMYFUNCTION("""COMPUTED_VALUE"""),6.12)</f>
        <v>6.12</v>
      </c>
      <c r="S97" s="292"/>
      <c r="T97" s="292"/>
      <c r="U97" s="292"/>
      <c r="V97" s="292"/>
      <c r="W97" s="292" t="b">
        <f>IFERROR(__xludf.DUMMYFUNCTION("""COMPUTED_VALUE"""),TRUE)</f>
        <v>1</v>
      </c>
      <c r="X97" s="345">
        <f>IFERROR(__xludf.DUMMYFUNCTION("""COMPUTED_VALUE"""),399.0)</f>
        <v>399</v>
      </c>
      <c r="Y97" s="344">
        <f>IFERROR(__xludf.DUMMYFUNCTION("""COMPUTED_VALUE"""),548.0)</f>
        <v>548</v>
      </c>
      <c r="Z97" s="343">
        <f>IFERROR(__xludf.DUMMYFUNCTION("""COMPUTED_VALUE"""),32.5)</f>
        <v>32.5</v>
      </c>
      <c r="AA97" s="344">
        <f>IFERROR(__xludf.DUMMYFUNCTION("""COMPUTED_VALUE"""),6.3)</f>
        <v>6.3</v>
      </c>
      <c r="AB97" s="344">
        <f>IFERROR(__xludf.DUMMYFUNCTION("""COMPUTED_VALUE"""),26.5)</f>
        <v>26.5</v>
      </c>
      <c r="AC97" s="344">
        <f>IFERROR(__xludf.DUMMYFUNCTION("""COMPUTED_VALUE"""),7.7)</f>
        <v>7.7</v>
      </c>
      <c r="AD97" s="344">
        <f>IFERROR(__xludf.DUMMYFUNCTION("""COMPUTED_VALUE"""),8.3)</f>
        <v>8.3</v>
      </c>
      <c r="AE97" s="343">
        <f>IFERROR(__xludf.DUMMYFUNCTION("""COMPUTED_VALUE"""),32.4)</f>
        <v>32.4</v>
      </c>
      <c r="AF97" s="343">
        <f>IFERROR(__xludf.DUMMYFUNCTION("""COMPUTED_VALUE"""),1.78)</f>
        <v>1.78</v>
      </c>
      <c r="AG97" s="292" t="b">
        <f>IFERROR(__xludf.DUMMYFUNCTION("""COMPUTED_VALUE"""),FALSE)</f>
        <v>0</v>
      </c>
      <c r="AH97" s="292" t="b">
        <f>IFERROR(__xludf.DUMMYFUNCTION("""COMPUTED_VALUE"""),FALSE)</f>
        <v>0</v>
      </c>
      <c r="AI97" s="292" t="b">
        <f>IFERROR(__xludf.DUMMYFUNCTION("""COMPUTED_VALUE"""),TRUE)</f>
        <v>1</v>
      </c>
      <c r="AJ97" s="292" t="b">
        <f>IFERROR(__xludf.DUMMYFUNCTION("""COMPUTED_VALUE"""),FALSE)</f>
        <v>0</v>
      </c>
      <c r="AK97" s="292" t="b">
        <f>IFERROR(__xludf.DUMMYFUNCTION("""COMPUTED_VALUE"""),FALSE)</f>
        <v>0</v>
      </c>
      <c r="AL97" s="292" t="b">
        <f>IFERROR(__xludf.DUMMYFUNCTION("""COMPUTED_VALUE"""),FALSE)</f>
        <v>0</v>
      </c>
      <c r="AM97" s="292" t="b">
        <f>IFERROR(__xludf.DUMMYFUNCTION("""COMPUTED_VALUE"""),TRUE)</f>
        <v>1</v>
      </c>
      <c r="AN97" s="292" t="b">
        <f>IFERROR(__xludf.DUMMYFUNCTION("""COMPUTED_VALUE"""),FALSE)</f>
        <v>0</v>
      </c>
      <c r="AO97" s="292" t="str">
        <f>IFERROR(__xludf.DUMMYFUNCTION("""COMPUTED_VALUE"""),"FALSE")</f>
        <v>FALSE</v>
      </c>
      <c r="AP97" s="292" t="str">
        <f>IFERROR(__xludf.DUMMYFUNCTION("""COMPUTED_VALUE"""),"Salmon")</f>
        <v>Salmon</v>
      </c>
      <c r="AQ97" s="292" t="str">
        <f>IFERROR(__xludf.DUMMYFUNCTION("""COMPUTED_VALUE"""),"Salmon")</f>
        <v>Salmon</v>
      </c>
      <c r="AR97" s="292" t="str">
        <f>IFERROR(__xludf.DUMMYFUNCTION("""COMPUTED_VALUE"""),"Filet")</f>
        <v>Filet</v>
      </c>
      <c r="AS97" s="292" t="str">
        <f>IFERROR(__xludf.DUMMYFUNCTION("""COMPUTED_VALUE"""),"Potato Mash")</f>
        <v>Potato Mash</v>
      </c>
      <c r="AT97" s="292" t="str">
        <f>IFERROR(__xludf.DUMMYFUNCTION("""COMPUTED_VALUE"""),"Spinach")</f>
        <v>Spinach</v>
      </c>
      <c r="AU97" s="292" t="str">
        <f>IFERROR(__xludf.DUMMYFUNCTION("""COMPUTED_VALUE"""),"Green Beans")</f>
        <v>Green Beans</v>
      </c>
      <c r="AV97" s="292" t="str">
        <f>IFERROR(__xludf.DUMMYFUNCTION("""COMPUTED_VALUE"""),"Carrots")</f>
        <v>Carrots</v>
      </c>
      <c r="AW97" s="292" t="str">
        <f>IFERROR(__xludf.DUMMYFUNCTION("""COMPUTED_VALUE"""),"Year Round")</f>
        <v>Year Round</v>
      </c>
      <c r="AX97" s="292" t="str">
        <f>IFERROR(__xludf.DUMMYFUNCTION("""COMPUTED_VALUE"""),"European")</f>
        <v>European</v>
      </c>
      <c r="AY97" s="292"/>
      <c r="AZ97" s="292" t="str">
        <f>IFERROR(__xludf.DUMMYFUNCTION("""COMPUTED_VALUE"""),"2 CT")</f>
        <v>2 CT</v>
      </c>
      <c r="BA97" s="292" t="b">
        <f>IFERROR(__xludf.DUMMYFUNCTION("""COMPUTED_VALUE"""),FALSE)</f>
        <v>0</v>
      </c>
      <c r="BB97" s="342">
        <f>IFERROR(__xludf.DUMMYFUNCTION("""COMPUTED_VALUE"""),3.65)</f>
        <v>3.65</v>
      </c>
      <c r="BC97" s="342">
        <f>IFERROR(__xludf.DUMMYFUNCTION("""COMPUTED_VALUE"""),1.22)</f>
        <v>1.22</v>
      </c>
      <c r="BD97" s="342">
        <f>IFERROR(__xludf.DUMMYFUNCTION("""COMPUTED_VALUE"""),0.36)</f>
        <v>0.36</v>
      </c>
      <c r="BE97" s="342">
        <f>IFERROR(__xludf.DUMMYFUNCTION("""COMPUTED_VALUE"""),0.89)</f>
        <v>0.89</v>
      </c>
      <c r="BF97" s="296">
        <f>IFERROR(__xludf.DUMMYFUNCTION("""COMPUTED_VALUE"""),3.2825026214718904)</f>
        <v>3.282502621</v>
      </c>
      <c r="BG97" s="296">
        <f>IFERROR(__xludf.DUMMYFUNCTION("""COMPUTED_VALUE"""),3.4761812921890063)</f>
        <v>3.476181292</v>
      </c>
      <c r="BH97" s="296">
        <f>IFERROR(__xludf.DUMMYFUNCTION("""COMPUTED_VALUE"""),3.3257142857142856)</f>
        <v>3.325714286</v>
      </c>
      <c r="BI97" s="295">
        <f>IFERROR(__xludf.DUMMYFUNCTION("""COMPUTED_VALUE"""),151.0)</f>
        <v>151</v>
      </c>
      <c r="BJ97" s="295" t="str">
        <f>IFERROR(__xludf.DUMMYFUNCTION("""COMPUTED_VALUE"""),"TRUE")</f>
        <v>TRUE</v>
      </c>
      <c r="BK97" s="346">
        <f>IFERROR(__xludf.DUMMYFUNCTION("""COMPUTED_VALUE"""),2282.0)</f>
        <v>2282</v>
      </c>
      <c r="BL97" s="292" t="str">
        <f>IFERROR(__xludf.DUMMYFUNCTION("""COMPUTED_VALUE"""),"Frankenstein")</f>
        <v>Frankenstein</v>
      </c>
      <c r="BM97" s="292" t="str">
        <f>IFERROR(__xludf.DUMMYFUNCTION("""COMPUTED_VALUE"""),"Lax i dill- och senapssås")</f>
        <v>Lax i dill- och senapssås</v>
      </c>
      <c r="BN97" s="343">
        <f>IFERROR(__xludf.DUMMYFUNCTION("""COMPUTED_VALUE"""),3.6341463414634148)</f>
        <v>3.634146341</v>
      </c>
      <c r="BO97" s="343">
        <f>IFERROR(__xludf.DUMMYFUNCTION("""COMPUTED_VALUE"""),3.142857142857143)</f>
        <v>3.142857143</v>
      </c>
      <c r="BP97" s="292"/>
      <c r="BQ97" s="292" t="str">
        <f>IFERROR(__xludf.DUMMYFUNCTION("""COMPUTED_VALUE"""),"Graveyard")</f>
        <v>Graveyard</v>
      </c>
      <c r="BR97" s="292" t="b">
        <f>IFERROR(__xludf.DUMMYFUNCTION("""COMPUTED_VALUE"""),FALSE)</f>
        <v>0</v>
      </c>
      <c r="BS97" s="292" t="b">
        <f>IFERROR(__xludf.DUMMYFUNCTION("""COMPUTED_VALUE"""),FALSE)</f>
        <v>0</v>
      </c>
      <c r="BT97" s="345">
        <f>IFERROR(__xludf.DUMMYFUNCTION("""COMPUTED_VALUE"""),572.0)</f>
        <v>572</v>
      </c>
      <c r="BU97" s="345">
        <f>IFERROR(__xludf.DUMMYFUNCTION("""COMPUTED_VALUE"""),137.0)</f>
        <v>137</v>
      </c>
      <c r="BV97" s="344">
        <f>IFERROR(__xludf.DUMMYFUNCTION("""COMPUTED_VALUE"""),8.1)</f>
        <v>8.1</v>
      </c>
      <c r="BW97" s="344">
        <f>IFERROR(__xludf.DUMMYFUNCTION("""COMPUTED_VALUE"""),1.6)</f>
        <v>1.6</v>
      </c>
    </row>
    <row r="98">
      <c r="A98" s="292" t="str">
        <f>IFERROR(__xludf.DUMMYFUNCTION("""COMPUTED_VALUE"""),"FE4010A")</f>
        <v>FE4010A</v>
      </c>
      <c r="B98" s="292" t="str">
        <f>IFERROR(__xludf.DUMMYFUNCTION("""COMPUTED_VALUE"""),"CON-40-143698-4")</f>
        <v>CON-40-143698-4</v>
      </c>
      <c r="C98" s="292" t="str">
        <f>IFERROR(__xludf.DUMMYFUNCTION("""COMPUTED_VALUE"""),"CON-00-147874-2")</f>
        <v>CON-00-147874-2</v>
      </c>
      <c r="D98" s="292" t="str">
        <f>IFERROR(__xludf.DUMMYFUNCTION("""COMPUTED_VALUE"""),"CON-00-136670-3")</f>
        <v>CON-00-136670-3</v>
      </c>
      <c r="E98" s="292" t="str">
        <f>IFERROR(__xludf.DUMMYFUNCTION("""COMPUTED_VALUE"""),"Grilled pork tenderloin and tomato butter")</f>
        <v>Grilled pork tenderloin and tomato butter</v>
      </c>
      <c r="F98" s="292" t="str">
        <f>IFERROR(__xludf.DUMMYFUNCTION("""COMPUTED_VALUE"""),"with broccoli in roasted pepper sauce and cauliflower puree")</f>
        <v>with broccoli in roasted pepper sauce and cauliflower puree</v>
      </c>
      <c r="G98" s="292" t="str">
        <f>IFERROR(__xludf.DUMMYFUNCTION("""COMPUTED_VALUE"""),"Gegrilde varkenshaas en tomatenboter")</f>
        <v>Gegrilde varkenshaas en tomatenboter</v>
      </c>
      <c r="H98" s="292" t="str">
        <f>IFERROR(__xludf.DUMMYFUNCTION("""COMPUTED_VALUE"""),"met broccoli in geroosterde paprikasaus en bloemkoolpuree ")</f>
        <v>met broccoli in geroosterde paprikasaus en bloemkoolpuree </v>
      </c>
      <c r="I98" s="292" t="str">
        <f>IFERROR(__xludf.DUMMYFUNCTION("""COMPUTED_VALUE"""),"Grillet svinemørbrad og tomatsmør")</f>
        <v>Grillet svinemørbrad og tomatsmør</v>
      </c>
      <c r="J98" s="292" t="str">
        <f>IFERROR(__xludf.DUMMYFUNCTION("""COMPUTED_VALUE"""),"Gegrilltes Schweinefilet mit Tomatenbutter")</f>
        <v>Gegrilltes Schweinefilet mit Tomatenbutter</v>
      </c>
      <c r="K98" s="292">
        <f>IFERROR(__xludf.DUMMYFUNCTION("""COMPUTED_VALUE"""),565066.0)</f>
        <v>565066</v>
      </c>
      <c r="L98" s="292" t="str">
        <f>IFERROR(__xludf.DUMMYFUNCTION("""COMPUTED_VALUE"""),"HF Gegrilde varkenshaas en tomatenboter 379g")</f>
        <v>HF Gegrilde varkenshaas en tomatenboter 379g</v>
      </c>
      <c r="M98" s="292" t="str">
        <f>IFERROR(__xludf.DUMMYFUNCTION("""COMPUTED_VALUE"""),"FA-NL Gegrilde varkenshaas en tomatenboter (FE4010)")</f>
        <v>FA-NL Gegrilde varkenshaas en tomatenboter (FE4010)</v>
      </c>
      <c r="N98" s="292" t="str">
        <f>IFERROR(__xludf.DUMMYFUNCTION("""COMPUTED_VALUE"""),"FA-NO Grillet svinemørbrad og tomatsmør (FE4010)")</f>
        <v>FA-NO Grillet svinemørbrad og tomatsmør (FE4010)</v>
      </c>
      <c r="O98" s="292" t="str">
        <f>IFERROR(__xludf.DUMMYFUNCTION("""COMPUTED_VALUE"""),"FA-DE Gegrilltes Schweinefilet mit Tomatenbutter (FE4010)")</f>
        <v>FA-DE Gegrilltes Schweinefilet mit Tomatenbutter (FE4010)</v>
      </c>
      <c r="P98" s="292" t="str">
        <f>IFERROR(__xludf.DUMMYFUNCTION("""COMPUTED_VALUE"""),"Graveyard")</f>
        <v>Graveyard</v>
      </c>
      <c r="Q98" s="292"/>
      <c r="R98" s="342">
        <f>IFERROR(__xludf.DUMMYFUNCTION("""COMPUTED_VALUE"""),5.12)</f>
        <v>5.12</v>
      </c>
      <c r="S98" s="292"/>
      <c r="T98" s="292"/>
      <c r="U98" s="292"/>
      <c r="V98" s="292"/>
      <c r="W98" s="292" t="b">
        <f>IFERROR(__xludf.DUMMYFUNCTION("""COMPUTED_VALUE"""),FALSE)</f>
        <v>0</v>
      </c>
      <c r="X98" s="345">
        <f>IFERROR(__xludf.DUMMYFUNCTION("""COMPUTED_VALUE"""),373.0)</f>
        <v>373</v>
      </c>
      <c r="Y98" s="344">
        <f>IFERROR(__xludf.DUMMYFUNCTION("""COMPUTED_VALUE"""),626.0)</f>
        <v>626</v>
      </c>
      <c r="Z98" s="343">
        <f>IFERROR(__xludf.DUMMYFUNCTION("""COMPUTED_VALUE"""),48.4)</f>
        <v>48.4</v>
      </c>
      <c r="AA98" s="344">
        <f>IFERROR(__xludf.DUMMYFUNCTION("""COMPUTED_VALUE"""),26.0)</f>
        <v>26</v>
      </c>
      <c r="AB98" s="344">
        <f>IFERROR(__xludf.DUMMYFUNCTION("""COMPUTED_VALUE"""),11.1)</f>
        <v>11.1</v>
      </c>
      <c r="AC98" s="344">
        <f>IFERROR(__xludf.DUMMYFUNCTION("""COMPUTED_VALUE"""),7.8)</f>
        <v>7.8</v>
      </c>
      <c r="AD98" s="344">
        <f>IFERROR(__xludf.DUMMYFUNCTION("""COMPUTED_VALUE"""),7.9)</f>
        <v>7.9</v>
      </c>
      <c r="AE98" s="343">
        <f>IFERROR(__xludf.DUMMYFUNCTION("""COMPUTED_VALUE"""),31.4)</f>
        <v>31.4</v>
      </c>
      <c r="AF98" s="343">
        <f>IFERROR(__xludf.DUMMYFUNCTION("""COMPUTED_VALUE"""),1.87)</f>
        <v>1.87</v>
      </c>
      <c r="AG98" s="292" t="b">
        <f>IFERROR(__xludf.DUMMYFUNCTION("""COMPUTED_VALUE"""),FALSE)</f>
        <v>0</v>
      </c>
      <c r="AH98" s="292" t="b">
        <f>IFERROR(__xludf.DUMMYFUNCTION("""COMPUTED_VALUE"""),TRUE)</f>
        <v>1</v>
      </c>
      <c r="AI98" s="292" t="b">
        <f>IFERROR(__xludf.DUMMYFUNCTION("""COMPUTED_VALUE"""),FALSE)</f>
        <v>0</v>
      </c>
      <c r="AJ98" s="292" t="b">
        <f>IFERROR(__xludf.DUMMYFUNCTION("""COMPUTED_VALUE"""),FALSE)</f>
        <v>0</v>
      </c>
      <c r="AK98" s="292" t="b">
        <f>IFERROR(__xludf.DUMMYFUNCTION("""COMPUTED_VALUE"""),FALSE)</f>
        <v>0</v>
      </c>
      <c r="AL98" s="292" t="b">
        <f>IFERROR(__xludf.DUMMYFUNCTION("""COMPUTED_VALUE"""),FALSE)</f>
        <v>0</v>
      </c>
      <c r="AM98" s="292" t="b">
        <f>IFERROR(__xludf.DUMMYFUNCTION("""COMPUTED_VALUE"""),TRUE)</f>
        <v>1</v>
      </c>
      <c r="AN98" s="292" t="b">
        <f>IFERROR(__xludf.DUMMYFUNCTION("""COMPUTED_VALUE"""),FALSE)</f>
        <v>0</v>
      </c>
      <c r="AO98" s="292" t="str">
        <f>IFERROR(__xludf.DUMMYFUNCTION("""COMPUTED_VALUE"""),"FALSE")</f>
        <v>FALSE</v>
      </c>
      <c r="AP98" s="292" t="str">
        <f>IFERROR(__xludf.DUMMYFUNCTION("""COMPUTED_VALUE"""),"Pork tenderloin")</f>
        <v>Pork tenderloin</v>
      </c>
      <c r="AQ98" s="292" t="str">
        <f>IFERROR(__xludf.DUMMYFUNCTION("""COMPUTED_VALUE"""),"Pork")</f>
        <v>Pork</v>
      </c>
      <c r="AR98" s="292" t="str">
        <f>IFERROR(__xludf.DUMMYFUNCTION("""COMPUTED_VALUE"""),"Tenderloin")</f>
        <v>Tenderloin</v>
      </c>
      <c r="AS98" s="292" t="str">
        <f>IFERROR(__xludf.DUMMYFUNCTION("""COMPUTED_VALUE"""),"Cauliflower Mash")</f>
        <v>Cauliflower Mash</v>
      </c>
      <c r="AT98" s="292" t="str">
        <f>IFERROR(__xludf.DUMMYFUNCTION("""COMPUTED_VALUE"""),"Compound Butter")</f>
        <v>Compound Butter</v>
      </c>
      <c r="AU98" s="292" t="str">
        <f>IFERROR(__xludf.DUMMYFUNCTION("""COMPUTED_VALUE"""),"Cauliflower Florets")</f>
        <v>Cauliflower Florets</v>
      </c>
      <c r="AV98" s="292" t="str">
        <f>IFERROR(__xludf.DUMMYFUNCTION("""COMPUTED_VALUE"""),"Broccoli")</f>
        <v>Broccoli</v>
      </c>
      <c r="AW98" s="292" t="str">
        <f>IFERROR(__xludf.DUMMYFUNCTION("""COMPUTED_VALUE"""),"Year Round")</f>
        <v>Year Round</v>
      </c>
      <c r="AX98" s="292" t="str">
        <f>IFERROR(__xludf.DUMMYFUNCTION("""COMPUTED_VALUE"""),"American")</f>
        <v>American</v>
      </c>
      <c r="AY98" s="292"/>
      <c r="AZ98" s="292" t="str">
        <f>IFERROR(__xludf.DUMMYFUNCTION("""COMPUTED_VALUE"""),"2 CT")</f>
        <v>2 CT</v>
      </c>
      <c r="BA98" s="292" t="b">
        <f>IFERROR(__xludf.DUMMYFUNCTION("""COMPUTED_VALUE"""),FALSE)</f>
        <v>0</v>
      </c>
      <c r="BB98" s="342">
        <f>IFERROR(__xludf.DUMMYFUNCTION("""COMPUTED_VALUE"""),2.84)</f>
        <v>2.84</v>
      </c>
      <c r="BC98" s="342">
        <f>IFERROR(__xludf.DUMMYFUNCTION("""COMPUTED_VALUE"""),1.07)</f>
        <v>1.07</v>
      </c>
      <c r="BD98" s="342">
        <f>IFERROR(__xludf.DUMMYFUNCTION("""COMPUTED_VALUE"""),0.362)</f>
        <v>0.362</v>
      </c>
      <c r="BE98" s="342">
        <f>IFERROR(__xludf.DUMMYFUNCTION("""COMPUTED_VALUE"""),0.89)</f>
        <v>0.89</v>
      </c>
      <c r="BF98" s="296" t="str">
        <f>IFERROR(__xludf.DUMMYFUNCTION("""COMPUTED_VALUE"""),"#REF!")</f>
        <v>#REF!</v>
      </c>
      <c r="BG98" s="296" t="str">
        <f>IFERROR(__xludf.DUMMYFUNCTION("""COMPUTED_VALUE"""),"#REF!")</f>
        <v>#REF!</v>
      </c>
      <c r="BH98" s="296" t="str">
        <f>IFERROR(__xludf.DUMMYFUNCTION("""COMPUTED_VALUE"""),"#REF!")</f>
        <v>#REF!</v>
      </c>
      <c r="BI98" s="295">
        <f>IFERROR(__xludf.DUMMYFUNCTION("""COMPUTED_VALUE"""),204.0)</f>
        <v>204</v>
      </c>
      <c r="BJ98" s="295" t="str">
        <f>IFERROR(__xludf.DUMMYFUNCTION("""COMPUTED_VALUE"""),"FALSE")</f>
        <v>FALSE</v>
      </c>
      <c r="BK98" s="346">
        <f>IFERROR(__xludf.DUMMYFUNCTION("""COMPUTED_VALUE"""),2597.0)</f>
        <v>2597</v>
      </c>
      <c r="BL98" s="292" t="str">
        <f>IFERROR(__xludf.DUMMYFUNCTION("""COMPUTED_VALUE"""),"Frankenstein")</f>
        <v>Frankenstein</v>
      </c>
      <c r="BM98" s="292" t="str">
        <f>IFERROR(__xludf.DUMMYFUNCTION("""COMPUTED_VALUE"""),"Grillad fläskfilé i tomatsmör")</f>
        <v>Grillad fläskfilé i tomatsmör</v>
      </c>
      <c r="BN98" s="292"/>
      <c r="BO98" s="292"/>
      <c r="BP98" s="292"/>
      <c r="BQ98" s="292" t="str">
        <f>IFERROR(__xludf.DUMMYFUNCTION("""COMPUTED_VALUE"""),"Graveyard")</f>
        <v>Graveyard</v>
      </c>
      <c r="BR98" s="292" t="b">
        <f>IFERROR(__xludf.DUMMYFUNCTION("""COMPUTED_VALUE"""),FALSE)</f>
        <v>0</v>
      </c>
      <c r="BS98" s="292" t="b">
        <f>IFERROR(__xludf.DUMMYFUNCTION("""COMPUTED_VALUE"""),FALSE)</f>
        <v>0</v>
      </c>
      <c r="BT98" s="345">
        <f>IFERROR(__xludf.DUMMYFUNCTION("""COMPUTED_VALUE"""),696.0)</f>
        <v>696</v>
      </c>
      <c r="BU98" s="345">
        <f>IFERROR(__xludf.DUMMYFUNCTION("""COMPUTED_VALUE"""),167.9)</f>
        <v>167.9</v>
      </c>
      <c r="BV98" s="344">
        <f>IFERROR(__xludf.DUMMYFUNCTION("""COMPUTED_VALUE"""),13.0)</f>
        <v>13</v>
      </c>
      <c r="BW98" s="344">
        <f>IFERROR(__xludf.DUMMYFUNCTION("""COMPUTED_VALUE"""),7.0)</f>
        <v>7</v>
      </c>
    </row>
    <row r="99">
      <c r="A99" s="292" t="str">
        <f>IFERROR(__xludf.DUMMYFUNCTION("""COMPUTED_VALUE"""),"FE4011A")</f>
        <v>FE4011A</v>
      </c>
      <c r="B99" s="292" t="str">
        <f>IFERROR(__xludf.DUMMYFUNCTION("""COMPUTED_VALUE"""),"CON-40-143750-4")</f>
        <v>CON-40-143750-4</v>
      </c>
      <c r="C99" s="292" t="str">
        <f>IFERROR(__xludf.DUMMYFUNCTION("""COMPUTED_VALUE"""),"CON-00-147873-2")</f>
        <v>CON-00-147873-2</v>
      </c>
      <c r="D99" s="292" t="str">
        <f>IFERROR(__xludf.DUMMYFUNCTION("""COMPUTED_VALUE"""),"CON-00-136685-3")</f>
        <v>CON-00-136685-3</v>
      </c>
      <c r="E99" s="292" t="str">
        <f>IFERROR(__xludf.DUMMYFUNCTION("""COMPUTED_VALUE"""),"Spicy pulled chicken and beans")</f>
        <v>Spicy pulled chicken and beans</v>
      </c>
      <c r="F99" s="292" t="str">
        <f>IFERROR(__xludf.DUMMYFUNCTION("""COMPUTED_VALUE"""),"with corn cake, carrot and fresh yoghurt sauce")</f>
        <v>with corn cake, carrot and fresh yoghurt sauce</v>
      </c>
      <c r="G99" s="292" t="str">
        <f>IFERROR(__xludf.DUMMYFUNCTION("""COMPUTED_VALUE"""),"Pittige pulled chicken en bonen")</f>
        <v>Pittige pulled chicken en bonen</v>
      </c>
      <c r="H99" s="292" t="str">
        <f>IFERROR(__xludf.DUMMYFUNCTION("""COMPUTED_VALUE"""),"met maïscake, wortel en frisse yoghurtsaus")</f>
        <v>met maïscake, wortel en frisse yoghurtsaus</v>
      </c>
      <c r="I99" s="292" t="str">
        <f>IFERROR(__xludf.DUMMYFUNCTION("""COMPUTED_VALUE"""),"Spicy pulled chicken og bønner")</f>
        <v>Spicy pulled chicken og bønner</v>
      </c>
      <c r="J99" s="292" t="str">
        <f>IFERROR(__xludf.DUMMYFUNCTION("""COMPUTED_VALUE"""),"Würziges Pulled Chicken mit Bohnen")</f>
        <v>Würziges Pulled Chicken mit Bohnen</v>
      </c>
      <c r="K99" s="292">
        <f>IFERROR(__xludf.DUMMYFUNCTION("""COMPUTED_VALUE"""),565079.0)</f>
        <v>565079</v>
      </c>
      <c r="L99" s="292" t="str">
        <f>IFERROR(__xludf.DUMMYFUNCTION("""COMPUTED_VALUE"""),"HF Pittige pulled chicken en bonen 394g")</f>
        <v>HF Pittige pulled chicken en bonen 394g</v>
      </c>
      <c r="M99" s="292" t="str">
        <f>IFERROR(__xludf.DUMMYFUNCTION("""COMPUTED_VALUE"""),"FA-NL Pittige Pulled Chicken En Bonen (FE4011)")</f>
        <v>FA-NL Pittige Pulled Chicken En Bonen (FE4011)</v>
      </c>
      <c r="N99" s="292" t="str">
        <f>IFERROR(__xludf.DUMMYFUNCTION("""COMPUTED_VALUE"""),"FA-NO Spicy pulled chicken og bønner (FE4011)")</f>
        <v>FA-NO Spicy pulled chicken og bønner (FE4011)</v>
      </c>
      <c r="O99" s="292" t="str">
        <f>IFERROR(__xludf.DUMMYFUNCTION("""COMPUTED_VALUE"""),"FA-DE Würziges Pulled Chicken mit Bohnen (FE4011)")</f>
        <v>FA-DE Würziges Pulled Chicken mit Bohnen (FE4011)</v>
      </c>
      <c r="P99" s="292" t="str">
        <f>IFERROR(__xludf.DUMMYFUNCTION("""COMPUTED_VALUE"""),"Graveyard")</f>
        <v>Graveyard</v>
      </c>
      <c r="Q99" s="292" t="str">
        <f>IFERROR(__xludf.DUMMYFUNCTION("""COMPUTED_VALUE"""),"New version made to be cs")</f>
        <v>New version made to be cs</v>
      </c>
      <c r="R99" s="342">
        <f>IFERROR(__xludf.DUMMYFUNCTION("""COMPUTED_VALUE"""),4.51)</f>
        <v>4.51</v>
      </c>
      <c r="S99" s="292"/>
      <c r="T99" s="292"/>
      <c r="U99" s="292"/>
      <c r="V99" s="292"/>
      <c r="W99" s="292" t="b">
        <f>IFERROR(__xludf.DUMMYFUNCTION("""COMPUTED_VALUE"""),TRUE)</f>
        <v>1</v>
      </c>
      <c r="X99" s="345">
        <f>IFERROR(__xludf.DUMMYFUNCTION("""COMPUTED_VALUE"""),394.0)</f>
        <v>394</v>
      </c>
      <c r="Y99" s="344">
        <f>IFERROR(__xludf.DUMMYFUNCTION("""COMPUTED_VALUE"""),558.0)</f>
        <v>558</v>
      </c>
      <c r="Z99" s="343">
        <f>IFERROR(__xludf.DUMMYFUNCTION("""COMPUTED_VALUE"""),29.8)</f>
        <v>29.8</v>
      </c>
      <c r="AA99" s="344">
        <f>IFERROR(__xludf.DUMMYFUNCTION("""COMPUTED_VALUE"""),9.9)</f>
        <v>9.9</v>
      </c>
      <c r="AB99" s="344">
        <f>IFERROR(__xludf.DUMMYFUNCTION("""COMPUTED_VALUE"""),40.3)</f>
        <v>40.3</v>
      </c>
      <c r="AC99" s="344">
        <f>IFERROR(__xludf.DUMMYFUNCTION("""COMPUTED_VALUE"""),17.9)</f>
        <v>17.9</v>
      </c>
      <c r="AD99" s="344">
        <f>IFERROR(__xludf.DUMMYFUNCTION("""COMPUTED_VALUE"""),11.6)</f>
        <v>11.6</v>
      </c>
      <c r="AE99" s="343">
        <f>IFERROR(__xludf.DUMMYFUNCTION("""COMPUTED_VALUE"""),25.3)</f>
        <v>25.3</v>
      </c>
      <c r="AF99" s="343">
        <f>IFERROR(__xludf.DUMMYFUNCTION("""COMPUTED_VALUE"""),1.98)</f>
        <v>1.98</v>
      </c>
      <c r="AG99" s="292" t="b">
        <f>IFERROR(__xludf.DUMMYFUNCTION("""COMPUTED_VALUE"""),TRUE)</f>
        <v>1</v>
      </c>
      <c r="AH99" s="292" t="b">
        <f>IFERROR(__xludf.DUMMYFUNCTION("""COMPUTED_VALUE"""),FALSE)</f>
        <v>0</v>
      </c>
      <c r="AI99" s="292" t="b">
        <f>IFERROR(__xludf.DUMMYFUNCTION("""COMPUTED_VALUE"""),FALSE)</f>
        <v>0</v>
      </c>
      <c r="AJ99" s="292" t="b">
        <f>IFERROR(__xludf.DUMMYFUNCTION("""COMPUTED_VALUE"""),TRUE)</f>
        <v>1</v>
      </c>
      <c r="AK99" s="292" t="b">
        <f>IFERROR(__xludf.DUMMYFUNCTION("""COMPUTED_VALUE"""),FALSE)</f>
        <v>0</v>
      </c>
      <c r="AL99" s="292" t="b">
        <f>IFERROR(__xludf.DUMMYFUNCTION("""COMPUTED_VALUE"""),FALSE)</f>
        <v>0</v>
      </c>
      <c r="AM99" s="292" t="b">
        <f>IFERROR(__xludf.DUMMYFUNCTION("""COMPUTED_VALUE"""),FALSE)</f>
        <v>0</v>
      </c>
      <c r="AN99" s="292" t="b">
        <f>IFERROR(__xludf.DUMMYFUNCTION("""COMPUTED_VALUE"""),FALSE)</f>
        <v>0</v>
      </c>
      <c r="AO99" s="292" t="str">
        <f>IFERROR(__xludf.DUMMYFUNCTION("""COMPUTED_VALUE"""),"TRUE")</f>
        <v>TRUE</v>
      </c>
      <c r="AP99" s="292" t="str">
        <f>IFERROR(__xludf.DUMMYFUNCTION("""COMPUTED_VALUE"""),"Shredded chicken")</f>
        <v>Shredded chicken</v>
      </c>
      <c r="AQ99" s="292" t="str">
        <f>IFERROR(__xludf.DUMMYFUNCTION("""COMPUTED_VALUE"""),"Chicken")</f>
        <v>Chicken</v>
      </c>
      <c r="AR99" s="292" t="str">
        <f>IFERROR(__xludf.DUMMYFUNCTION("""COMPUTED_VALUE"""),"Thigh")</f>
        <v>Thigh</v>
      </c>
      <c r="AS99" s="292" t="str">
        <f>IFERROR(__xludf.DUMMYFUNCTION("""COMPUTED_VALUE"""),"Veggie-based Cake")</f>
        <v>Veggie-based Cake</v>
      </c>
      <c r="AT99" s="292" t="str">
        <f>IFERROR(__xludf.DUMMYFUNCTION("""COMPUTED_VALUE"""),"Carrots")</f>
        <v>Carrots</v>
      </c>
      <c r="AU99" s="292" t="str">
        <f>IFERROR(__xludf.DUMMYFUNCTION("""COMPUTED_VALUE"""),"Pepper Mix")</f>
        <v>Pepper Mix</v>
      </c>
      <c r="AV99" s="292" t="str">
        <f>IFERROR(__xludf.DUMMYFUNCTION("""COMPUTED_VALUE"""),"Black Beans")</f>
        <v>Black Beans</v>
      </c>
      <c r="AW99" s="292" t="str">
        <f>IFERROR(__xludf.DUMMYFUNCTION("""COMPUTED_VALUE"""),"Year Round")</f>
        <v>Year Round</v>
      </c>
      <c r="AX99" s="292" t="str">
        <f>IFERROR(__xludf.DUMMYFUNCTION("""COMPUTED_VALUE"""),"Mexican")</f>
        <v>Mexican</v>
      </c>
      <c r="AY99" s="292"/>
      <c r="AZ99" s="292" t="str">
        <f>IFERROR(__xludf.DUMMYFUNCTION("""COMPUTED_VALUE"""),"2 CT")</f>
        <v>2 CT</v>
      </c>
      <c r="BA99" s="292" t="b">
        <f>IFERROR(__xludf.DUMMYFUNCTION("""COMPUTED_VALUE"""),TRUE)</f>
        <v>1</v>
      </c>
      <c r="BB99" s="342">
        <f>IFERROR(__xludf.DUMMYFUNCTION("""COMPUTED_VALUE"""),2.05)</f>
        <v>2.05</v>
      </c>
      <c r="BC99" s="342">
        <f>IFERROR(__xludf.DUMMYFUNCTION("""COMPUTED_VALUE"""),1.23)</f>
        <v>1.23</v>
      </c>
      <c r="BD99" s="342">
        <f>IFERROR(__xludf.DUMMYFUNCTION("""COMPUTED_VALUE"""),0.392)</f>
        <v>0.392</v>
      </c>
      <c r="BE99" s="342">
        <f>IFERROR(__xludf.DUMMYFUNCTION("""COMPUTED_VALUE"""),0.89)</f>
        <v>0.89</v>
      </c>
      <c r="BF99" s="296" t="str">
        <f>IFERROR(__xludf.DUMMYFUNCTION("""COMPUTED_VALUE"""),"#REF!")</f>
        <v>#REF!</v>
      </c>
      <c r="BG99" s="296" t="str">
        <f>IFERROR(__xludf.DUMMYFUNCTION("""COMPUTED_VALUE"""),"#REF!")</f>
        <v>#REF!</v>
      </c>
      <c r="BH99" s="296" t="str">
        <f>IFERROR(__xludf.DUMMYFUNCTION("""COMPUTED_VALUE"""),"#REF!")</f>
        <v>#REF!</v>
      </c>
      <c r="BI99" s="295">
        <f>IFERROR(__xludf.DUMMYFUNCTION("""COMPUTED_VALUE"""),185.0)</f>
        <v>185</v>
      </c>
      <c r="BJ99" s="295" t="str">
        <f>IFERROR(__xludf.DUMMYFUNCTION("""COMPUTED_VALUE"""),"FALSE")</f>
        <v>FALSE</v>
      </c>
      <c r="BK99" s="346">
        <f>IFERROR(__xludf.DUMMYFUNCTION("""COMPUTED_VALUE"""),2327.0)</f>
        <v>2327</v>
      </c>
      <c r="BL99" s="292" t="str">
        <f>IFERROR(__xludf.DUMMYFUNCTION("""COMPUTED_VALUE"""),"Frankenstein")</f>
        <v>Frankenstein</v>
      </c>
      <c r="BM99" s="292" t="str">
        <f>IFERROR(__xludf.DUMMYFUNCTION("""COMPUTED_VALUE"""),"Spicy pulled chicken och bönor ")</f>
        <v>Spicy pulled chicken och bönor </v>
      </c>
      <c r="BN99" s="292"/>
      <c r="BO99" s="292"/>
      <c r="BP99" s="292"/>
      <c r="BQ99" s="292" t="str">
        <f>IFERROR(__xludf.DUMMYFUNCTION("""COMPUTED_VALUE"""),"Graveyard")</f>
        <v>Graveyard</v>
      </c>
      <c r="BR99" s="292" t="b">
        <f>IFERROR(__xludf.DUMMYFUNCTION("""COMPUTED_VALUE"""),FALSE)</f>
        <v>0</v>
      </c>
      <c r="BS99" s="292" t="b">
        <f>IFERROR(__xludf.DUMMYFUNCTION("""COMPUTED_VALUE"""),FALSE)</f>
        <v>0</v>
      </c>
      <c r="BT99" s="345">
        <f>IFERROR(__xludf.DUMMYFUNCTION("""COMPUTED_VALUE"""),583.0)</f>
        <v>583</v>
      </c>
      <c r="BU99" s="345">
        <f>IFERROR(__xludf.DUMMYFUNCTION("""COMPUTED_VALUE"""),140.0)</f>
        <v>140</v>
      </c>
      <c r="BV99" s="344">
        <f>IFERROR(__xludf.DUMMYFUNCTION("""COMPUTED_VALUE"""),7.5)</f>
        <v>7.5</v>
      </c>
      <c r="BW99" s="344">
        <f>IFERROR(__xludf.DUMMYFUNCTION("""COMPUTED_VALUE"""),2.5)</f>
        <v>2.5</v>
      </c>
    </row>
    <row r="100">
      <c r="A100" s="292" t="str">
        <f>IFERROR(__xludf.DUMMYFUNCTION("""COMPUTED_VALUE"""),"FE4012A")</f>
        <v>FE4012A</v>
      </c>
      <c r="B100" s="292" t="str">
        <f>IFERROR(__xludf.DUMMYFUNCTION("""COMPUTED_VALUE"""),"CON-40-143736-4")</f>
        <v>CON-40-143736-4</v>
      </c>
      <c r="C100" s="292" t="str">
        <f>IFERROR(__xludf.DUMMYFUNCTION("""COMPUTED_VALUE"""),"CON-00-147876-2")</f>
        <v>CON-00-147876-2</v>
      </c>
      <c r="D100" s="292" t="str">
        <f>IFERROR(__xludf.DUMMYFUNCTION("""COMPUTED_VALUE"""),"CON-00-136678-3")</f>
        <v>CON-00-136678-3</v>
      </c>
      <c r="E100" s="292" t="str">
        <f>IFERROR(__xludf.DUMMYFUNCTION("""COMPUTED_VALUE"""),"Souvlaki-style pork tenderloin")</f>
        <v>Souvlaki-style pork tenderloin</v>
      </c>
      <c r="F100" s="292" t="str">
        <f>IFERROR(__xludf.DUMMYFUNCTION("""COMPUTED_VALUE"""),"with rice, grilled vegetables and fresh dill-yogurt sauce")</f>
        <v>with rice, grilled vegetables and fresh dill-yogurt sauce</v>
      </c>
      <c r="G100" s="292" t="str">
        <f>IFERROR(__xludf.DUMMYFUNCTION("""COMPUTED_VALUE"""),"Souvlaki-stijl varkenshaas ")</f>
        <v>Souvlaki-stijl varkenshaas </v>
      </c>
      <c r="H100" s="292" t="str">
        <f>IFERROR(__xludf.DUMMYFUNCTION("""COMPUTED_VALUE"""),"met rijst, gegrilde groente en frisse dille-yoghurtsaus")</f>
        <v>met rijst, gegrilde groente en frisse dille-yoghurtsaus</v>
      </c>
      <c r="I100" s="292" t="str">
        <f>IFERROR(__xludf.DUMMYFUNCTION("""COMPUTED_VALUE"""),"Souvlaki inspireret svinemørbrad ")</f>
        <v>Souvlaki inspireret svinemørbrad </v>
      </c>
      <c r="J100" s="292" t="str">
        <f>IFERROR(__xludf.DUMMYFUNCTION("""COMPUTED_VALUE"""),"Schweinefilet „Souvlaki-Style""")</f>
        <v>Schweinefilet „Souvlaki-Style"</v>
      </c>
      <c r="K100" s="292">
        <f>IFERROR(__xludf.DUMMYFUNCTION("""COMPUTED_VALUE"""),565077.0)</f>
        <v>565077</v>
      </c>
      <c r="L100" s="292" t="str">
        <f>IFERROR(__xludf.DUMMYFUNCTION("""COMPUTED_VALUE"""),"HF Varkenshaas souvlaki 424g")</f>
        <v>HF Varkenshaas souvlaki 424g</v>
      </c>
      <c r="M100" s="292" t="str">
        <f>IFERROR(__xludf.DUMMYFUNCTION("""COMPUTED_VALUE"""),"FA-NL Varkenshaas en smokey paprikarijst (FE4012)")</f>
        <v>FA-NL Varkenshaas en smokey paprikarijst (FE4012)</v>
      </c>
      <c r="N100" s="292" t="str">
        <f>IFERROR(__xludf.DUMMYFUNCTION("""COMPUTED_VALUE"""),"FA-NO Svinemørbrad og røget paprikaris (FE4012)")</f>
        <v>FA-NO Svinemørbrad og røget paprikaris (FE4012)</v>
      </c>
      <c r="O100" s="292" t="str">
        <f>IFERROR(__xludf.DUMMYFUNCTION("""COMPUTED_VALUE"""),"FA-DE Schweinefilet auf rauchigem Paprikareis (FE4012)")</f>
        <v>FA-DE Schweinefilet auf rauchigem Paprikareis (FE4012)</v>
      </c>
      <c r="P100" s="292" t="str">
        <f>IFERROR(__xludf.DUMMYFUNCTION("""COMPUTED_VALUE"""),"Graveyard")</f>
        <v>Graveyard</v>
      </c>
      <c r="Q100" s="292"/>
      <c r="R100" s="342">
        <f>IFERROR(__xludf.DUMMYFUNCTION("""COMPUTED_VALUE"""),5.48)</f>
        <v>5.48</v>
      </c>
      <c r="S100" s="292"/>
      <c r="T100" s="292"/>
      <c r="U100" s="292"/>
      <c r="V100" s="292"/>
      <c r="W100" s="292" t="b">
        <f>IFERROR(__xludf.DUMMYFUNCTION("""COMPUTED_VALUE"""),FALSE)</f>
        <v>0</v>
      </c>
      <c r="X100" s="345">
        <f>IFERROR(__xludf.DUMMYFUNCTION("""COMPUTED_VALUE"""),449.0)</f>
        <v>449</v>
      </c>
      <c r="Y100" s="344">
        <f>IFERROR(__xludf.DUMMYFUNCTION("""COMPUTED_VALUE"""),507.0)</f>
        <v>507</v>
      </c>
      <c r="Z100" s="343">
        <f>IFERROR(__xludf.DUMMYFUNCTION("""COMPUTED_VALUE"""),17.5)</f>
        <v>17.5</v>
      </c>
      <c r="AA100" s="344">
        <f>IFERROR(__xludf.DUMMYFUNCTION("""COMPUTED_VALUE"""),4.5)</f>
        <v>4.5</v>
      </c>
      <c r="AB100" s="344">
        <f>IFERROR(__xludf.DUMMYFUNCTION("""COMPUTED_VALUE"""),53.4)</f>
        <v>53.4</v>
      </c>
      <c r="AC100" s="344">
        <f>IFERROR(__xludf.DUMMYFUNCTION("""COMPUTED_VALUE"""),9.9)</f>
        <v>9.9</v>
      </c>
      <c r="AD100" s="344">
        <f>IFERROR(__xludf.DUMMYFUNCTION("""COMPUTED_VALUE"""),6.3)</f>
        <v>6.3</v>
      </c>
      <c r="AE100" s="343">
        <f>IFERROR(__xludf.DUMMYFUNCTION("""COMPUTED_VALUE"""),30.1)</f>
        <v>30.1</v>
      </c>
      <c r="AF100" s="343">
        <f>IFERROR(__xludf.DUMMYFUNCTION("""COMPUTED_VALUE"""),1.89)</f>
        <v>1.89</v>
      </c>
      <c r="AG100" s="292" t="b">
        <f>IFERROR(__xludf.DUMMYFUNCTION("""COMPUTED_VALUE"""),FALSE)</f>
        <v>0</v>
      </c>
      <c r="AH100" s="292" t="b">
        <f>IFERROR(__xludf.DUMMYFUNCTION("""COMPUTED_VALUE"""),FALSE)</f>
        <v>0</v>
      </c>
      <c r="AI100" s="292" t="b">
        <f>IFERROR(__xludf.DUMMYFUNCTION("""COMPUTED_VALUE"""),TRUE)</f>
        <v>1</v>
      </c>
      <c r="AJ100" s="292" t="b">
        <f>IFERROR(__xludf.DUMMYFUNCTION("""COMPUTED_VALUE"""),FALSE)</f>
        <v>0</v>
      </c>
      <c r="AK100" s="292" t="b">
        <f>IFERROR(__xludf.DUMMYFUNCTION("""COMPUTED_VALUE"""),FALSE)</f>
        <v>0</v>
      </c>
      <c r="AL100" s="292" t="b">
        <f>IFERROR(__xludf.DUMMYFUNCTION("""COMPUTED_VALUE"""),FALSE)</f>
        <v>0</v>
      </c>
      <c r="AM100" s="292" t="b">
        <f>IFERROR(__xludf.DUMMYFUNCTION("""COMPUTED_VALUE"""),TRUE)</f>
        <v>1</v>
      </c>
      <c r="AN100" s="292" t="b">
        <f>IFERROR(__xludf.DUMMYFUNCTION("""COMPUTED_VALUE"""),FALSE)</f>
        <v>0</v>
      </c>
      <c r="AO100" s="292" t="str">
        <f>IFERROR(__xludf.DUMMYFUNCTION("""COMPUTED_VALUE"""),"FALSE")</f>
        <v>FALSE</v>
      </c>
      <c r="AP100" s="292" t="str">
        <f>IFERROR(__xludf.DUMMYFUNCTION("""COMPUTED_VALUE"""),"Pork tenderloin")</f>
        <v>Pork tenderloin</v>
      </c>
      <c r="AQ100" s="292" t="str">
        <f>IFERROR(__xludf.DUMMYFUNCTION("""COMPUTED_VALUE"""),"Pork")</f>
        <v>Pork</v>
      </c>
      <c r="AR100" s="292" t="str">
        <f>IFERROR(__xludf.DUMMYFUNCTION("""COMPUTED_VALUE"""),"Tenderloin")</f>
        <v>Tenderloin</v>
      </c>
      <c r="AS100" s="292" t="str">
        <f>IFERROR(__xludf.DUMMYFUNCTION("""COMPUTED_VALUE"""),"Rice")</f>
        <v>Rice</v>
      </c>
      <c r="AT100" s="292" t="str">
        <f>IFERROR(__xludf.DUMMYFUNCTION("""COMPUTED_VALUE"""),"Zucchini Diced")</f>
        <v>Zucchini Diced</v>
      </c>
      <c r="AU100" s="292" t="str">
        <f>IFERROR(__xludf.DUMMYFUNCTION("""COMPUTED_VALUE"""),"Cherry Tomatoes")</f>
        <v>Cherry Tomatoes</v>
      </c>
      <c r="AV100" s="292" t="str">
        <f>IFERROR(__xludf.DUMMYFUNCTION("""COMPUTED_VALUE"""),"Cupped Sauce")</f>
        <v>Cupped Sauce</v>
      </c>
      <c r="AW100" s="292" t="str">
        <f>IFERROR(__xludf.DUMMYFUNCTION("""COMPUTED_VALUE"""),"Year Round")</f>
        <v>Year Round</v>
      </c>
      <c r="AX100" s="292" t="str">
        <f>IFERROR(__xludf.DUMMYFUNCTION("""COMPUTED_VALUE"""),"Greek")</f>
        <v>Greek</v>
      </c>
      <c r="AY100" s="292"/>
      <c r="AZ100" s="292" t="str">
        <f>IFERROR(__xludf.DUMMYFUNCTION("""COMPUTED_VALUE"""),"2 CT")</f>
        <v>2 CT</v>
      </c>
      <c r="BA100" s="292" t="b">
        <f>IFERROR(__xludf.DUMMYFUNCTION("""COMPUTED_VALUE"""),TRUE)</f>
        <v>1</v>
      </c>
      <c r="BB100" s="342">
        <f>IFERROR(__xludf.DUMMYFUNCTION("""COMPUTED_VALUE"""),3.13)</f>
        <v>3.13</v>
      </c>
      <c r="BC100" s="342">
        <f>IFERROR(__xludf.DUMMYFUNCTION("""COMPUTED_VALUE"""),1.12)</f>
        <v>1.12</v>
      </c>
      <c r="BD100" s="342">
        <f>IFERROR(__xludf.DUMMYFUNCTION("""COMPUTED_VALUE"""),0.392)</f>
        <v>0.392</v>
      </c>
      <c r="BE100" s="342">
        <f>IFERROR(__xludf.DUMMYFUNCTION("""COMPUTED_VALUE"""),0.89)</f>
        <v>0.89</v>
      </c>
      <c r="BF100" s="296" t="str">
        <f>IFERROR(__xludf.DUMMYFUNCTION("""COMPUTED_VALUE"""),"#REF!")</f>
        <v>#REF!</v>
      </c>
      <c r="BG100" s="296" t="str">
        <f>IFERROR(__xludf.DUMMYFUNCTION("""COMPUTED_VALUE"""),"#REF!")</f>
        <v>#REF!</v>
      </c>
      <c r="BH100" s="296" t="str">
        <f>IFERROR(__xludf.DUMMYFUNCTION("""COMPUTED_VALUE"""),"#REF!")</f>
        <v>#REF!</v>
      </c>
      <c r="BI100" s="295">
        <f>IFERROR(__xludf.DUMMYFUNCTION("""COMPUTED_VALUE"""),196.0)</f>
        <v>196</v>
      </c>
      <c r="BJ100" s="295" t="str">
        <f>IFERROR(__xludf.DUMMYFUNCTION("""COMPUTED_VALUE"""),"FALSE")</f>
        <v>FALSE</v>
      </c>
      <c r="BK100" s="346">
        <f>IFERROR(__xludf.DUMMYFUNCTION("""COMPUTED_VALUE"""),2128.0)</f>
        <v>2128</v>
      </c>
      <c r="BL100" s="292"/>
      <c r="BM100" s="292" t="str">
        <f>IFERROR(__xludf.DUMMYFUNCTION("""COMPUTED_VALUE"""),"Souvlaki-inspirerad fläskfilé")</f>
        <v>Souvlaki-inspirerad fläskfilé</v>
      </c>
      <c r="BN100" s="292"/>
      <c r="BO100" s="292"/>
      <c r="BP100" s="292"/>
      <c r="BQ100" s="292" t="str">
        <f>IFERROR(__xludf.DUMMYFUNCTION("""COMPUTED_VALUE"""),"Graveyard")</f>
        <v>Graveyard</v>
      </c>
      <c r="BR100" s="292" t="b">
        <f>IFERROR(__xludf.DUMMYFUNCTION("""COMPUTED_VALUE"""),FALSE)</f>
        <v>0</v>
      </c>
      <c r="BS100" s="292" t="b">
        <f>IFERROR(__xludf.DUMMYFUNCTION("""COMPUTED_VALUE"""),FALSE)</f>
        <v>0</v>
      </c>
      <c r="BT100" s="345">
        <f>IFERROR(__xludf.DUMMYFUNCTION("""COMPUTED_VALUE"""),474.0)</f>
        <v>474</v>
      </c>
      <c r="BU100" s="345">
        <f>IFERROR(__xludf.DUMMYFUNCTION("""COMPUTED_VALUE"""),113.0)</f>
        <v>113</v>
      </c>
      <c r="BV100" s="344">
        <f>IFERROR(__xludf.DUMMYFUNCTION("""COMPUTED_VALUE"""),3.9)</f>
        <v>3.9</v>
      </c>
      <c r="BW100" s="344">
        <f>IFERROR(__xludf.DUMMYFUNCTION("""COMPUTED_VALUE"""),1.0)</f>
        <v>1</v>
      </c>
    </row>
    <row r="101">
      <c r="A101" s="292" t="str">
        <f>IFERROR(__xludf.DUMMYFUNCTION("""COMPUTED_VALUE"""),"FE4012B")</f>
        <v>FE4012B</v>
      </c>
      <c r="B101" s="292" t="str">
        <f>IFERROR(__xludf.DUMMYFUNCTION("""COMPUTED_VALUE"""),"CON-40-143736-4")</f>
        <v>CON-40-143736-4</v>
      </c>
      <c r="C101" s="292" t="str">
        <f>IFERROR(__xludf.DUMMYFUNCTION("""COMPUTED_VALUE"""),"CON-00-147876-2")</f>
        <v>CON-00-147876-2</v>
      </c>
      <c r="D101" s="292" t="str">
        <f>IFERROR(__xludf.DUMMYFUNCTION("""COMPUTED_VALUE"""),"CON-00-136678-3")</f>
        <v>CON-00-136678-3</v>
      </c>
      <c r="E101" s="292" t="str">
        <f>IFERROR(__xludf.DUMMYFUNCTION("""COMPUTED_VALUE"""),"Pork tenderloin and smoky paprika rice")</f>
        <v>Pork tenderloin and smoky paprika rice</v>
      </c>
      <c r="F101" s="292" t="str">
        <f>IFERROR(__xludf.DUMMYFUNCTION("""COMPUTED_VALUE"""),"with creamy dill sauce, spinach and courgette")</f>
        <v>with creamy dill sauce, spinach and courgette</v>
      </c>
      <c r="G101" s="292" t="str">
        <f>IFERROR(__xludf.DUMMYFUNCTION("""COMPUTED_VALUE"""),"Varkenshaas en smokey paprikarijst ")</f>
        <v>Varkenshaas en smokey paprikarijst </v>
      </c>
      <c r="H101" s="292" t="str">
        <f>IFERROR(__xludf.DUMMYFUNCTION("""COMPUTED_VALUE"""),"met romige dillesaus. spinazie en courgette")</f>
        <v>met romige dillesaus. spinazie en courgette</v>
      </c>
      <c r="I101" s="292" t="str">
        <f>IFERROR(__xludf.DUMMYFUNCTION("""COMPUTED_VALUE"""),"Svinemørbrad og røget paprikaris")</f>
        <v>Svinemørbrad og røget paprikaris</v>
      </c>
      <c r="J101" s="292" t="str">
        <f>IFERROR(__xludf.DUMMYFUNCTION("""COMPUTED_VALUE"""),"Schweinefilet auf rauchigem Paprikareis")</f>
        <v>Schweinefilet auf rauchigem Paprikareis</v>
      </c>
      <c r="K101" s="292">
        <f>IFERROR(__xludf.DUMMYFUNCTION("""COMPUTED_VALUE"""),565124.0)</f>
        <v>565124</v>
      </c>
      <c r="L101" s="292"/>
      <c r="M101" s="292" t="str">
        <f>IFERROR(__xludf.DUMMYFUNCTION("""COMPUTED_VALUE"""),"FA-NL Varkenshaas en smokey paprikarijst (FE4012)")</f>
        <v>FA-NL Varkenshaas en smokey paprikarijst (FE4012)</v>
      </c>
      <c r="N101" s="292" t="str">
        <f>IFERROR(__xludf.DUMMYFUNCTION("""COMPUTED_VALUE"""),"FA-NO Svinemørbrad og røget paprikaris (FE4012)")</f>
        <v>FA-NO Svinemørbrad og røget paprikaris (FE4012)</v>
      </c>
      <c r="O101" s="292" t="str">
        <f>IFERROR(__xludf.DUMMYFUNCTION("""COMPUTED_VALUE"""),"FA-DE Schweinefilet auf rauchigem Paprikareis (FE4012)")</f>
        <v>FA-DE Schweinefilet auf rauchigem Paprikareis (FE4012)</v>
      </c>
      <c r="P101" s="292" t="str">
        <f>IFERROR(__xludf.DUMMYFUNCTION("""COMPUTED_VALUE"""),"Graveyard")</f>
        <v>Graveyard</v>
      </c>
      <c r="Q101" s="292" t="str">
        <f>IFERROR(__xludf.DUMMYFUNCTION("""COMPUTED_VALUE"""),"improved version: adjusted rice component, adjusted vegetables in meal")</f>
        <v>improved version: adjusted rice component, adjusted vegetables in meal</v>
      </c>
      <c r="R101" s="342">
        <f>IFERROR(__xludf.DUMMYFUNCTION("""COMPUTED_VALUE"""),5.12)</f>
        <v>5.12</v>
      </c>
      <c r="S101" s="292"/>
      <c r="T101" s="292"/>
      <c r="U101" s="292"/>
      <c r="V101" s="292"/>
      <c r="W101" s="292" t="b">
        <f>IFERROR(__xludf.DUMMYFUNCTION("""COMPUTED_VALUE"""),FALSE)</f>
        <v>0</v>
      </c>
      <c r="X101" s="345">
        <f>IFERROR(__xludf.DUMMYFUNCTION("""COMPUTED_VALUE"""),434.0)</f>
        <v>434</v>
      </c>
      <c r="Y101" s="344">
        <f>IFERROR(__xludf.DUMMYFUNCTION("""COMPUTED_VALUE"""),481.0)</f>
        <v>481</v>
      </c>
      <c r="Z101" s="343">
        <f>IFERROR(__xludf.DUMMYFUNCTION("""COMPUTED_VALUE"""),19.0)</f>
        <v>19</v>
      </c>
      <c r="AA101" s="344">
        <f>IFERROR(__xludf.DUMMYFUNCTION("""COMPUTED_VALUE"""),4.6)</f>
        <v>4.6</v>
      </c>
      <c r="AB101" s="344">
        <f>IFERROR(__xludf.DUMMYFUNCTION("""COMPUTED_VALUE"""),42.9)</f>
        <v>42.9</v>
      </c>
      <c r="AC101" s="344">
        <f>IFERROR(__xludf.DUMMYFUNCTION("""COMPUTED_VALUE"""),6.8)</f>
        <v>6.8</v>
      </c>
      <c r="AD101" s="344">
        <f>IFERROR(__xludf.DUMMYFUNCTION("""COMPUTED_VALUE"""),6.2)</f>
        <v>6.2</v>
      </c>
      <c r="AE101" s="343">
        <f>IFERROR(__xludf.DUMMYFUNCTION("""COMPUTED_VALUE"""),30.9)</f>
        <v>30.9</v>
      </c>
      <c r="AF101" s="343">
        <f>IFERROR(__xludf.DUMMYFUNCTION("""COMPUTED_VALUE"""),2.03)</f>
        <v>2.03</v>
      </c>
      <c r="AG101" s="292" t="b">
        <f>IFERROR(__xludf.DUMMYFUNCTION("""COMPUTED_VALUE"""),FALSE)</f>
        <v>0</v>
      </c>
      <c r="AH101" s="292" t="b">
        <f>IFERROR(__xludf.DUMMYFUNCTION("""COMPUTED_VALUE"""),FALSE)</f>
        <v>0</v>
      </c>
      <c r="AI101" s="292" t="b">
        <f>IFERROR(__xludf.DUMMYFUNCTION("""COMPUTED_VALUE"""),TRUE)</f>
        <v>1</v>
      </c>
      <c r="AJ101" s="292" t="b">
        <f>IFERROR(__xludf.DUMMYFUNCTION("""COMPUTED_VALUE"""),FALSE)</f>
        <v>0</v>
      </c>
      <c r="AK101" s="292" t="b">
        <f>IFERROR(__xludf.DUMMYFUNCTION("""COMPUTED_VALUE"""),FALSE)</f>
        <v>0</v>
      </c>
      <c r="AL101" s="292" t="b">
        <f>IFERROR(__xludf.DUMMYFUNCTION("""COMPUTED_VALUE"""),FALSE)</f>
        <v>0</v>
      </c>
      <c r="AM101" s="292" t="b">
        <f>IFERROR(__xludf.DUMMYFUNCTION("""COMPUTED_VALUE"""),TRUE)</f>
        <v>1</v>
      </c>
      <c r="AN101" s="292" t="b">
        <f>IFERROR(__xludf.DUMMYFUNCTION("""COMPUTED_VALUE"""),FALSE)</f>
        <v>0</v>
      </c>
      <c r="AO101" s="292" t="str">
        <f>IFERROR(__xludf.DUMMYFUNCTION("""COMPUTED_VALUE"""),"FALSE")</f>
        <v>FALSE</v>
      </c>
      <c r="AP101" s="292" t="str">
        <f>IFERROR(__xludf.DUMMYFUNCTION("""COMPUTED_VALUE"""),"Pork tenderloin")</f>
        <v>Pork tenderloin</v>
      </c>
      <c r="AQ101" s="292" t="str">
        <f>IFERROR(__xludf.DUMMYFUNCTION("""COMPUTED_VALUE"""),"Pork")</f>
        <v>Pork</v>
      </c>
      <c r="AR101" s="292" t="str">
        <f>IFERROR(__xludf.DUMMYFUNCTION("""COMPUTED_VALUE"""),"Tenderloin")</f>
        <v>Tenderloin</v>
      </c>
      <c r="AS101" s="292" t="str">
        <f>IFERROR(__xludf.DUMMYFUNCTION("""COMPUTED_VALUE"""),"Rice")</f>
        <v>Rice</v>
      </c>
      <c r="AT101" s="292" t="str">
        <f>IFERROR(__xludf.DUMMYFUNCTION("""COMPUTED_VALUE"""),"Spinach")</f>
        <v>Spinach</v>
      </c>
      <c r="AU101" s="292" t="str">
        <f>IFERROR(__xludf.DUMMYFUNCTION("""COMPUTED_VALUE"""),"Zucchini Diced")</f>
        <v>Zucchini Diced</v>
      </c>
      <c r="AV101" s="292" t="str">
        <f>IFERROR(__xludf.DUMMYFUNCTION("""COMPUTED_VALUE"""),"Cupped Sauce")</f>
        <v>Cupped Sauce</v>
      </c>
      <c r="AW101" s="292" t="str">
        <f>IFERROR(__xludf.DUMMYFUNCTION("""COMPUTED_VALUE"""),"Year Round")</f>
        <v>Year Round</v>
      </c>
      <c r="AX101" s="292" t="str">
        <f>IFERROR(__xludf.DUMMYFUNCTION("""COMPUTED_VALUE"""),"Greek")</f>
        <v>Greek</v>
      </c>
      <c r="AY101" s="292"/>
      <c r="AZ101" s="292" t="str">
        <f>IFERROR(__xludf.DUMMYFUNCTION("""COMPUTED_VALUE"""),"2 CT")</f>
        <v>2 CT</v>
      </c>
      <c r="BA101" s="292" t="b">
        <f>IFERROR(__xludf.DUMMYFUNCTION("""COMPUTED_VALUE"""),TRUE)</f>
        <v>1</v>
      </c>
      <c r="BB101" s="342">
        <f>IFERROR(__xludf.DUMMYFUNCTION("""COMPUTED_VALUE"""),2.81)</f>
        <v>2.81</v>
      </c>
      <c r="BC101" s="342">
        <f>IFERROR(__xludf.DUMMYFUNCTION("""COMPUTED_VALUE"""),1.08)</f>
        <v>1.08</v>
      </c>
      <c r="BD101" s="342">
        <f>IFERROR(__xludf.DUMMYFUNCTION("""COMPUTED_VALUE"""),0.39)</f>
        <v>0.39</v>
      </c>
      <c r="BE101" s="342">
        <f>IFERROR(__xludf.DUMMYFUNCTION("""COMPUTED_VALUE"""),0.89)</f>
        <v>0.89</v>
      </c>
      <c r="BF101" s="296" t="str">
        <f>IFERROR(__xludf.DUMMYFUNCTION("""COMPUTED_VALUE"""),"#REF!")</f>
        <v>#REF!</v>
      </c>
      <c r="BG101" s="296" t="str">
        <f>IFERROR(__xludf.DUMMYFUNCTION("""COMPUTED_VALUE"""),"#REF!")</f>
        <v>#REF!</v>
      </c>
      <c r="BH101" s="296" t="str">
        <f>IFERROR(__xludf.DUMMYFUNCTION("""COMPUTED_VALUE"""),"#REF!")</f>
        <v>#REF!</v>
      </c>
      <c r="BI101" s="295">
        <f>IFERROR(__xludf.DUMMYFUNCTION("""COMPUTED_VALUE"""),204.0)</f>
        <v>204</v>
      </c>
      <c r="BJ101" s="295" t="str">
        <f>IFERROR(__xludf.DUMMYFUNCTION("""COMPUTED_VALUE"""),"FALSE")</f>
        <v>FALSE</v>
      </c>
      <c r="BK101" s="346">
        <f>IFERROR(__xludf.DUMMYFUNCTION("""COMPUTED_VALUE"""),2018.0)</f>
        <v>2018</v>
      </c>
      <c r="BL101" s="292" t="str">
        <f>IFERROR(__xludf.DUMMYFUNCTION("""COMPUTED_VALUE"""),"Local Development")</f>
        <v>Local Development</v>
      </c>
      <c r="BM101" s="292" t="str">
        <f>IFERROR(__xludf.DUMMYFUNCTION("""COMPUTED_VALUE"""),"Fläskfilé och rökigt paprikaris ")</f>
        <v>Fläskfilé och rökigt paprikaris </v>
      </c>
      <c r="BN101" s="292"/>
      <c r="BO101" s="292"/>
      <c r="BP101" s="292"/>
      <c r="BQ101" s="292" t="str">
        <f>IFERROR(__xludf.DUMMYFUNCTION("""COMPUTED_VALUE"""),"Graveyard")</f>
        <v>Graveyard</v>
      </c>
      <c r="BR101" s="292" t="b">
        <f>IFERROR(__xludf.DUMMYFUNCTION("""COMPUTED_VALUE"""),FALSE)</f>
        <v>0</v>
      </c>
      <c r="BS101" s="292" t="b">
        <f>IFERROR(__xludf.DUMMYFUNCTION("""COMPUTED_VALUE"""),FALSE)</f>
        <v>0</v>
      </c>
      <c r="BT101" s="345">
        <f>IFERROR(__xludf.DUMMYFUNCTION("""COMPUTED_VALUE"""),465.0)</f>
        <v>465</v>
      </c>
      <c r="BU101" s="345">
        <f>IFERROR(__xludf.DUMMYFUNCTION("""COMPUTED_VALUE"""),110.8)</f>
        <v>110.8</v>
      </c>
      <c r="BV101" s="344">
        <f>IFERROR(__xludf.DUMMYFUNCTION("""COMPUTED_VALUE"""),4.3)</f>
        <v>4.3</v>
      </c>
      <c r="BW101" s="344">
        <f>IFERROR(__xludf.DUMMYFUNCTION("""COMPUTED_VALUE"""),1.1)</f>
        <v>1.1</v>
      </c>
    </row>
    <row r="102">
      <c r="A102" s="292" t="str">
        <f>IFERROR(__xludf.DUMMYFUNCTION("""COMPUTED_VALUE"""),"FE4013A")</f>
        <v>FE4013A</v>
      </c>
      <c r="B102" s="292" t="str">
        <f>IFERROR(__xludf.DUMMYFUNCTION("""COMPUTED_VALUE"""),"CON-40-143700-4")</f>
        <v>CON-40-143700-4</v>
      </c>
      <c r="C102" s="292" t="str">
        <f>IFERROR(__xludf.DUMMYFUNCTION("""COMPUTED_VALUE"""),"CON-00-147875-2")</f>
        <v>CON-00-147875-2</v>
      </c>
      <c r="D102" s="292" t="str">
        <f>IFERROR(__xludf.DUMMYFUNCTION("""COMPUTED_VALUE"""),"CON-00-136676-3")</f>
        <v>CON-00-136676-3</v>
      </c>
      <c r="E102" s="292" t="str">
        <f>IFERROR(__xludf.DUMMYFUNCTION("""COMPUTED_VALUE"""),"Chicken in yellow curry")</f>
        <v>Chicken in yellow curry</v>
      </c>
      <c r="F102" s="292" t="str">
        <f>IFERROR(__xludf.DUMMYFUNCTION("""COMPUTED_VALUE"""),"with (cauliflower) rice, broccoli and bell pepper")</f>
        <v>with (cauliflower) rice, broccoli and bell pepper</v>
      </c>
      <c r="G102" s="292" t="str">
        <f>IFERROR(__xludf.DUMMYFUNCTION("""COMPUTED_VALUE"""),"Milde gele kipcurry ")</f>
        <v>Milde gele kipcurry </v>
      </c>
      <c r="H102" s="292" t="str">
        <f>IFERROR(__xludf.DUMMYFUNCTION("""COMPUTED_VALUE"""),"met (bloemkool)rijst, broccoli en paprika")</f>
        <v>met (bloemkool)rijst, broccoli en paprika</v>
      </c>
      <c r="I102" s="292" t="str">
        <f>IFERROR(__xludf.DUMMYFUNCTION("""COMPUTED_VALUE"""),"Kylling i gul karry")</f>
        <v>Kylling i gul karry</v>
      </c>
      <c r="J102" s="292" t="str">
        <f>IFERROR(__xludf.DUMMYFUNCTION("""COMPUTED_VALUE"""),"Hähnchen in gelbem Curry")</f>
        <v>Hähnchen in gelbem Curry</v>
      </c>
      <c r="K102" s="292">
        <f>IFERROR(__xludf.DUMMYFUNCTION("""COMPUTED_VALUE"""),565069.0)</f>
        <v>565069</v>
      </c>
      <c r="L102" s="292" t="str">
        <f>IFERROR(__xludf.DUMMYFUNCTION("""COMPUTED_VALUE"""),"HF Gele curry met kippendij 404g")</f>
        <v>HF Gele curry met kippendij 404g</v>
      </c>
      <c r="M102" s="292" t="str">
        <f>IFERROR(__xludf.DUMMYFUNCTION("""COMPUTED_VALUE"""),"FA-NL Milde Gele Kipcurry (FE4013)")</f>
        <v>FA-NL Milde Gele Kipcurry (FE4013)</v>
      </c>
      <c r="N102" s="292" t="str">
        <f>IFERROR(__xludf.DUMMYFUNCTION("""COMPUTED_VALUE"""),"FA-NO Kylling i gul karry (FE4013)")</f>
        <v>FA-NO Kylling i gul karry (FE4013)</v>
      </c>
      <c r="O102" s="292" t="str">
        <f>IFERROR(__xludf.DUMMYFUNCTION("""COMPUTED_VALUE"""),"FA-DE Huhn in gelbem Curry (FE4013)")</f>
        <v>FA-DE Huhn in gelbem Curry (FE4013)</v>
      </c>
      <c r="P102" s="292" t="str">
        <f>IFERROR(__xludf.DUMMYFUNCTION("""COMPUTED_VALUE"""),"Graveyard")</f>
        <v>Graveyard</v>
      </c>
      <c r="Q102" s="292"/>
      <c r="R102" s="342">
        <f>IFERROR(__xludf.DUMMYFUNCTION("""COMPUTED_VALUE"""),4.31)</f>
        <v>4.31</v>
      </c>
      <c r="S102" s="292"/>
      <c r="T102" s="292"/>
      <c r="U102" s="292"/>
      <c r="V102" s="292"/>
      <c r="W102" s="292" t="b">
        <f>IFERROR(__xludf.DUMMYFUNCTION("""COMPUTED_VALUE"""),TRUE)</f>
        <v>1</v>
      </c>
      <c r="X102" s="345">
        <f>IFERROR(__xludf.DUMMYFUNCTION("""COMPUTED_VALUE"""),404.0)</f>
        <v>404</v>
      </c>
      <c r="Y102" s="344">
        <f>IFERROR(__xludf.DUMMYFUNCTION("""COMPUTED_VALUE"""),541.0)</f>
        <v>541</v>
      </c>
      <c r="Z102" s="343">
        <f>IFERROR(__xludf.DUMMYFUNCTION("""COMPUTED_VALUE"""),26.4)</f>
        <v>26.4</v>
      </c>
      <c r="AA102" s="344">
        <f>IFERROR(__xludf.DUMMYFUNCTION("""COMPUTED_VALUE"""),12.4)</f>
        <v>12.4</v>
      </c>
      <c r="AB102" s="344">
        <f>IFERROR(__xludf.DUMMYFUNCTION("""COMPUTED_VALUE"""),43.3)</f>
        <v>43.3</v>
      </c>
      <c r="AC102" s="344">
        <f>IFERROR(__xludf.DUMMYFUNCTION("""COMPUTED_VALUE"""),12.2)</f>
        <v>12.2</v>
      </c>
      <c r="AD102" s="344">
        <f>IFERROR(__xludf.DUMMYFUNCTION("""COMPUTED_VALUE"""),7.4)</f>
        <v>7.4</v>
      </c>
      <c r="AE102" s="343">
        <f>IFERROR(__xludf.DUMMYFUNCTION("""COMPUTED_VALUE"""),28.2)</f>
        <v>28.2</v>
      </c>
      <c r="AF102" s="343">
        <f>IFERROR(__xludf.DUMMYFUNCTION("""COMPUTED_VALUE"""),2.02)</f>
        <v>2.02</v>
      </c>
      <c r="AG102" s="292" t="b">
        <f>IFERROR(__xludf.DUMMYFUNCTION("""COMPUTED_VALUE"""),FALSE)</f>
        <v>0</v>
      </c>
      <c r="AH102" s="292" t="b">
        <f>IFERROR(__xludf.DUMMYFUNCTION("""COMPUTED_VALUE"""),FALSE)</f>
        <v>0</v>
      </c>
      <c r="AI102" s="292" t="b">
        <f>IFERROR(__xludf.DUMMYFUNCTION("""COMPUTED_VALUE"""),TRUE)</f>
        <v>1</v>
      </c>
      <c r="AJ102" s="292" t="b">
        <f>IFERROR(__xludf.DUMMYFUNCTION("""COMPUTED_VALUE"""),FALSE)</f>
        <v>0</v>
      </c>
      <c r="AK102" s="292" t="b">
        <f>IFERROR(__xludf.DUMMYFUNCTION("""COMPUTED_VALUE"""),FALSE)</f>
        <v>0</v>
      </c>
      <c r="AL102" s="292" t="b">
        <f>IFERROR(__xludf.DUMMYFUNCTION("""COMPUTED_VALUE"""),FALSE)</f>
        <v>0</v>
      </c>
      <c r="AM102" s="292" t="b">
        <f>IFERROR(__xludf.DUMMYFUNCTION("""COMPUTED_VALUE"""),FALSE)</f>
        <v>0</v>
      </c>
      <c r="AN102" s="292" t="b">
        <f>IFERROR(__xludf.DUMMYFUNCTION("""COMPUTED_VALUE"""),TRUE)</f>
        <v>1</v>
      </c>
      <c r="AO102" s="292" t="str">
        <f>IFERROR(__xludf.DUMMYFUNCTION("""COMPUTED_VALUE"""),"FALSE")</f>
        <v>FALSE</v>
      </c>
      <c r="AP102" s="292" t="str">
        <f>IFERROR(__xludf.DUMMYFUNCTION("""COMPUTED_VALUE"""),"Chicken breast")</f>
        <v>Chicken breast</v>
      </c>
      <c r="AQ102" s="292" t="str">
        <f>IFERROR(__xludf.DUMMYFUNCTION("""COMPUTED_VALUE"""),"Chicken")</f>
        <v>Chicken</v>
      </c>
      <c r="AR102" s="292" t="str">
        <f>IFERROR(__xludf.DUMMYFUNCTION("""COMPUTED_VALUE"""),"Pieces")</f>
        <v>Pieces</v>
      </c>
      <c r="AS102" s="292" t="str">
        <f>IFERROR(__xludf.DUMMYFUNCTION("""COMPUTED_VALUE"""),"Pepper Mix")</f>
        <v>Pepper Mix</v>
      </c>
      <c r="AT102" s="292" t="str">
        <f>IFERROR(__xludf.DUMMYFUNCTION("""COMPUTED_VALUE"""),"Broccoli")</f>
        <v>Broccoli</v>
      </c>
      <c r="AU102" s="292" t="str">
        <f>IFERROR(__xludf.DUMMYFUNCTION("""COMPUTED_VALUE"""),"Rice")</f>
        <v>Rice</v>
      </c>
      <c r="AV102" s="292" t="str">
        <f>IFERROR(__xludf.DUMMYFUNCTION("""COMPUTED_VALUE"""),"Cauliflower Rice")</f>
        <v>Cauliflower Rice</v>
      </c>
      <c r="AW102" s="292" t="str">
        <f>IFERROR(__xludf.DUMMYFUNCTION("""COMPUTED_VALUE"""),"Year Round")</f>
        <v>Year Round</v>
      </c>
      <c r="AX102" s="292" t="str">
        <f>IFERROR(__xludf.DUMMYFUNCTION("""COMPUTED_VALUE"""),"Thai")</f>
        <v>Thai</v>
      </c>
      <c r="AY102" s="292"/>
      <c r="AZ102" s="292" t="str">
        <f>IFERROR(__xludf.DUMMYFUNCTION("""COMPUTED_VALUE"""),"2 CT")</f>
        <v>2 CT</v>
      </c>
      <c r="BA102" s="292" t="b">
        <f>IFERROR(__xludf.DUMMYFUNCTION("""COMPUTED_VALUE"""),FALSE)</f>
        <v>0</v>
      </c>
      <c r="BB102" s="342">
        <f>IFERROR(__xludf.DUMMYFUNCTION("""COMPUTED_VALUE"""),2.1)</f>
        <v>2.1</v>
      </c>
      <c r="BC102" s="342">
        <f>IFERROR(__xludf.DUMMYFUNCTION("""COMPUTED_VALUE"""),1.0)</f>
        <v>1</v>
      </c>
      <c r="BD102" s="342">
        <f>IFERROR(__xludf.DUMMYFUNCTION("""COMPUTED_VALUE"""),0.362)</f>
        <v>0.362</v>
      </c>
      <c r="BE102" s="342">
        <f>IFERROR(__xludf.DUMMYFUNCTION("""COMPUTED_VALUE"""),0.89)</f>
        <v>0.89</v>
      </c>
      <c r="BF102" s="296" t="str">
        <f>IFERROR(__xludf.DUMMYFUNCTION("""COMPUTED_VALUE"""),"#REF!")</f>
        <v>#REF!</v>
      </c>
      <c r="BG102" s="296" t="str">
        <f>IFERROR(__xludf.DUMMYFUNCTION("""COMPUTED_VALUE"""),"#REF!")</f>
        <v>#REF!</v>
      </c>
      <c r="BH102" s="296" t="str">
        <f>IFERROR(__xludf.DUMMYFUNCTION("""COMPUTED_VALUE"""),"#REF!")</f>
        <v>#REF!</v>
      </c>
      <c r="BI102" s="295">
        <f>IFERROR(__xludf.DUMMYFUNCTION("""COMPUTED_VALUE"""),160.0)</f>
        <v>160</v>
      </c>
      <c r="BJ102" s="295" t="str">
        <f>IFERROR(__xludf.DUMMYFUNCTION("""COMPUTED_VALUE"""),"FALSE")</f>
        <v>FALSE</v>
      </c>
      <c r="BK102" s="346">
        <f>IFERROR(__xludf.DUMMYFUNCTION("""COMPUTED_VALUE"""),2258.0)</f>
        <v>2258</v>
      </c>
      <c r="BL102" s="292" t="str">
        <f>IFERROR(__xludf.DUMMYFUNCTION("""COMPUTED_VALUE"""),"Local Development")</f>
        <v>Local Development</v>
      </c>
      <c r="BM102" s="292" t="str">
        <f>IFERROR(__xludf.DUMMYFUNCTION("""COMPUTED_VALUE"""),"Kyckling i gul curry")</f>
        <v>Kyckling i gul curry</v>
      </c>
      <c r="BN102" s="292"/>
      <c r="BO102" s="292"/>
      <c r="BP102" s="292"/>
      <c r="BQ102" s="292" t="str">
        <f>IFERROR(__xludf.DUMMYFUNCTION("""COMPUTED_VALUE"""),"Graveyard")</f>
        <v>Graveyard</v>
      </c>
      <c r="BR102" s="292" t="b">
        <f>IFERROR(__xludf.DUMMYFUNCTION("""COMPUTED_VALUE"""),FALSE)</f>
        <v>0</v>
      </c>
      <c r="BS102" s="292" t="b">
        <f>IFERROR(__xludf.DUMMYFUNCTION("""COMPUTED_VALUE"""),FALSE)</f>
        <v>0</v>
      </c>
      <c r="BT102" s="345">
        <f>IFERROR(__xludf.DUMMYFUNCTION("""COMPUTED_VALUE"""),559.0)</f>
        <v>559</v>
      </c>
      <c r="BU102" s="345">
        <f>IFERROR(__xludf.DUMMYFUNCTION("""COMPUTED_VALUE"""),134.0)</f>
        <v>134</v>
      </c>
      <c r="BV102" s="344">
        <f>IFERROR(__xludf.DUMMYFUNCTION("""COMPUTED_VALUE"""),6.53)</f>
        <v>6.53</v>
      </c>
      <c r="BW102" s="344">
        <f>IFERROR(__xludf.DUMMYFUNCTION("""COMPUTED_VALUE"""),3.06)</f>
        <v>3.06</v>
      </c>
    </row>
    <row r="103">
      <c r="A103" s="292" t="str">
        <f>IFERROR(__xludf.DUMMYFUNCTION("""COMPUTED_VALUE"""),"FE4014A")</f>
        <v>FE4014A</v>
      </c>
      <c r="B103" s="292" t="str">
        <f>IFERROR(__xludf.DUMMYFUNCTION("""COMPUTED_VALUE"""),"CON-40-143720-4")</f>
        <v>CON-40-143720-4</v>
      </c>
      <c r="C103" s="292" t="str">
        <f>IFERROR(__xludf.DUMMYFUNCTION("""COMPUTED_VALUE"""),"CON-00-147877-2")</f>
        <v>CON-00-147877-2</v>
      </c>
      <c r="D103" s="292" t="str">
        <f>IFERROR(__xludf.DUMMYFUNCTION("""COMPUTED_VALUE"""),"CON-00-136675-3")</f>
        <v>CON-00-136675-3</v>
      </c>
      <c r="E103" s="292" t="str">
        <f>IFERROR(__xludf.DUMMYFUNCTION("""COMPUTED_VALUE"""),"Grilled chicken and herby risotto")</f>
        <v>Grilled chicken and herby risotto</v>
      </c>
      <c r="F103" s="292" t="str">
        <f>IFERROR(__xludf.DUMMYFUNCTION("""COMPUTED_VALUE"""),"with courgette, peas, and parsley")</f>
        <v>with courgette, peas, and parsley</v>
      </c>
      <c r="G103" s="292" t="str">
        <f>IFERROR(__xludf.DUMMYFUNCTION("""COMPUTED_VALUE"""),"Gegrilde kipfilet &amp; kruidige risotto")</f>
        <v>Gegrilde kipfilet &amp; kruidige risotto</v>
      </c>
      <c r="H103" s="292" t="str">
        <f>IFERROR(__xludf.DUMMYFUNCTION("""COMPUTED_VALUE"""),"met courgette, doperwten en peterselie")</f>
        <v>met courgette, doperwten en peterselie</v>
      </c>
      <c r="I103" s="292" t="str">
        <f>IFERROR(__xludf.DUMMYFUNCTION("""COMPUTED_VALUE"""),"Grillet kylling og urterisotto")</f>
        <v>Grillet kylling og urterisotto</v>
      </c>
      <c r="J103" s="292" t="str">
        <f>IFERROR(__xludf.DUMMYFUNCTION("""COMPUTED_VALUE"""),"GrillHähnchen und Kräuterrisotto")</f>
        <v>GrillHähnchen und Kräuterrisotto</v>
      </c>
      <c r="K103" s="292">
        <f>IFERROR(__xludf.DUMMYFUNCTION("""COMPUTED_VALUE"""),565088.0)</f>
        <v>565088</v>
      </c>
      <c r="L103" s="292" t="str">
        <f>IFERROR(__xludf.DUMMYFUNCTION("""COMPUTED_VALUE"""),"HF Gegrilde kip op pesto-risotto 414g")</f>
        <v>HF Gegrilde kip op pesto-risotto 414g</v>
      </c>
      <c r="M103" s="292" t="str">
        <f>IFERROR(__xludf.DUMMYFUNCTION("""COMPUTED_VALUE"""),"FA-NL Romige basilicum-risotto met kipfilet (FE4014)")</f>
        <v>FA-NL Romige basilicum-risotto met kipfilet (FE4014)</v>
      </c>
      <c r="N103" s="292" t="str">
        <f>IFERROR(__xludf.DUMMYFUNCTION("""COMPUTED_VALUE"""),"FA-NO Cremet basilikumrisotto med kylling (FE4014)")</f>
        <v>FA-NO Cremet basilikumrisotto med kylling (FE4014)</v>
      </c>
      <c r="O103" s="292" t="str">
        <f>IFERROR(__xludf.DUMMYFUNCTION("""COMPUTED_VALUE"""),"FA-DE Cremiges Basilikum-Risotto (FE4014)")</f>
        <v>FA-DE Cremiges Basilikum-Risotto (FE4014)</v>
      </c>
      <c r="P103" s="292" t="str">
        <f>IFERROR(__xludf.DUMMYFUNCTION("""COMPUTED_VALUE"""),"Graveyard")</f>
        <v>Graveyard</v>
      </c>
      <c r="Q103" s="292"/>
      <c r="R103" s="342">
        <f>IFERROR(__xludf.DUMMYFUNCTION("""COMPUTED_VALUE"""),4.92)</f>
        <v>4.92</v>
      </c>
      <c r="S103" s="292"/>
      <c r="T103" s="292"/>
      <c r="U103" s="292"/>
      <c r="V103" s="292"/>
      <c r="W103" s="292" t="b">
        <f>IFERROR(__xludf.DUMMYFUNCTION("""COMPUTED_VALUE"""),FALSE)</f>
        <v>0</v>
      </c>
      <c r="X103" s="345">
        <f>IFERROR(__xludf.DUMMYFUNCTION("""COMPUTED_VALUE"""),414.0)</f>
        <v>414</v>
      </c>
      <c r="Y103" s="344">
        <f>IFERROR(__xludf.DUMMYFUNCTION("""COMPUTED_VALUE"""),505.0)</f>
        <v>505</v>
      </c>
      <c r="Z103" s="343">
        <f>IFERROR(__xludf.DUMMYFUNCTION("""COMPUTED_VALUE"""),21.2)</f>
        <v>21.2</v>
      </c>
      <c r="AA103" s="344">
        <f>IFERROR(__xludf.DUMMYFUNCTION("""COMPUTED_VALUE"""),4.7)</f>
        <v>4.7</v>
      </c>
      <c r="AB103" s="344">
        <f>IFERROR(__xludf.DUMMYFUNCTION("""COMPUTED_VALUE"""),38.9)</f>
        <v>38.9</v>
      </c>
      <c r="AC103" s="344">
        <f>IFERROR(__xludf.DUMMYFUNCTION("""COMPUTED_VALUE"""),8.3)</f>
        <v>8.3</v>
      </c>
      <c r="AD103" s="344">
        <f>IFERROR(__xludf.DUMMYFUNCTION("""COMPUTED_VALUE"""),5.6)</f>
        <v>5.6</v>
      </c>
      <c r="AE103" s="343">
        <f>IFERROR(__xludf.DUMMYFUNCTION("""COMPUTED_VALUE"""),36.1)</f>
        <v>36.1</v>
      </c>
      <c r="AF103" s="343">
        <f>IFERROR(__xludf.DUMMYFUNCTION("""COMPUTED_VALUE"""),2.0)</f>
        <v>2</v>
      </c>
      <c r="AG103" s="292" t="b">
        <f>IFERROR(__xludf.DUMMYFUNCTION("""COMPUTED_VALUE"""),FALSE)</f>
        <v>0</v>
      </c>
      <c r="AH103" s="292" t="b">
        <f>IFERROR(__xludf.DUMMYFUNCTION("""COMPUTED_VALUE"""),FALSE)</f>
        <v>0</v>
      </c>
      <c r="AI103" s="292" t="b">
        <f>IFERROR(__xludf.DUMMYFUNCTION("""COMPUTED_VALUE"""),TRUE)</f>
        <v>1</v>
      </c>
      <c r="AJ103" s="292" t="b">
        <f>IFERROR(__xludf.DUMMYFUNCTION("""COMPUTED_VALUE"""),FALSE)</f>
        <v>0</v>
      </c>
      <c r="AK103" s="292" t="b">
        <f>IFERROR(__xludf.DUMMYFUNCTION("""COMPUTED_VALUE"""),FALSE)</f>
        <v>0</v>
      </c>
      <c r="AL103" s="292" t="b">
        <f>IFERROR(__xludf.DUMMYFUNCTION("""COMPUTED_VALUE"""),FALSE)</f>
        <v>0</v>
      </c>
      <c r="AM103" s="292" t="b">
        <f>IFERROR(__xludf.DUMMYFUNCTION("""COMPUTED_VALUE"""),TRUE)</f>
        <v>1</v>
      </c>
      <c r="AN103" s="292" t="b">
        <f>IFERROR(__xludf.DUMMYFUNCTION("""COMPUTED_VALUE"""),FALSE)</f>
        <v>0</v>
      </c>
      <c r="AO103" s="292" t="str">
        <f>IFERROR(__xludf.DUMMYFUNCTION("""COMPUTED_VALUE"""),"FALSE")</f>
        <v>FALSE</v>
      </c>
      <c r="AP103" s="292" t="str">
        <f>IFERROR(__xludf.DUMMYFUNCTION("""COMPUTED_VALUE"""),"Chicken breast")</f>
        <v>Chicken breast</v>
      </c>
      <c r="AQ103" s="292" t="str">
        <f>IFERROR(__xludf.DUMMYFUNCTION("""COMPUTED_VALUE"""),"Chicken")</f>
        <v>Chicken</v>
      </c>
      <c r="AR103" s="292" t="str">
        <f>IFERROR(__xludf.DUMMYFUNCTION("""COMPUTED_VALUE"""),"Breast")</f>
        <v>Breast</v>
      </c>
      <c r="AS103" s="292" t="str">
        <f>IFERROR(__xludf.DUMMYFUNCTION("""COMPUTED_VALUE"""),"Risotto")</f>
        <v>Risotto</v>
      </c>
      <c r="AT103" s="292" t="str">
        <f>IFERROR(__xludf.DUMMYFUNCTION("""COMPUTED_VALUE"""),"Zucchini Half Moon")</f>
        <v>Zucchini Half Moon</v>
      </c>
      <c r="AU103" s="292" t="str">
        <f>IFERROR(__xludf.DUMMYFUNCTION("""COMPUTED_VALUE"""),"Peas")</f>
        <v>Peas</v>
      </c>
      <c r="AV103" s="292" t="str">
        <f>IFERROR(__xludf.DUMMYFUNCTION("""COMPUTED_VALUE"""),"Red bell pepper")</f>
        <v>Red bell pepper</v>
      </c>
      <c r="AW103" s="292" t="str">
        <f>IFERROR(__xludf.DUMMYFUNCTION("""COMPUTED_VALUE"""),"Year Round")</f>
        <v>Year Round</v>
      </c>
      <c r="AX103" s="292" t="str">
        <f>IFERROR(__xludf.DUMMYFUNCTION("""COMPUTED_VALUE"""),"Italian")</f>
        <v>Italian</v>
      </c>
      <c r="AY103" s="292"/>
      <c r="AZ103" s="292" t="str">
        <f>IFERROR(__xludf.DUMMYFUNCTION("""COMPUTED_VALUE"""),"2 CT")</f>
        <v>2 CT</v>
      </c>
      <c r="BA103" s="292" t="b">
        <f>IFERROR(__xludf.DUMMYFUNCTION("""COMPUTED_VALUE"""),FALSE)</f>
        <v>0</v>
      </c>
      <c r="BB103" s="342">
        <f>IFERROR(__xludf.DUMMYFUNCTION("""COMPUTED_VALUE"""),2.6)</f>
        <v>2.6</v>
      </c>
      <c r="BC103" s="342">
        <f>IFERROR(__xludf.DUMMYFUNCTION("""COMPUTED_VALUE"""),1.12)</f>
        <v>1.12</v>
      </c>
      <c r="BD103" s="342">
        <f>IFERROR(__xludf.DUMMYFUNCTION("""COMPUTED_VALUE"""),0.362)</f>
        <v>0.362</v>
      </c>
      <c r="BE103" s="342">
        <f>IFERROR(__xludf.DUMMYFUNCTION("""COMPUTED_VALUE"""),0.89)</f>
        <v>0.89</v>
      </c>
      <c r="BF103" s="296" t="str">
        <f>IFERROR(__xludf.DUMMYFUNCTION("""COMPUTED_VALUE"""),"#REF!")</f>
        <v>#REF!</v>
      </c>
      <c r="BG103" s="296" t="str">
        <f>IFERROR(__xludf.DUMMYFUNCTION("""COMPUTED_VALUE"""),"#REF!")</f>
        <v>#REF!</v>
      </c>
      <c r="BH103" s="296" t="str">
        <f>IFERROR(__xludf.DUMMYFUNCTION("""COMPUTED_VALUE"""),"#REF!")</f>
        <v>#REF!</v>
      </c>
      <c r="BI103" s="295">
        <f>IFERROR(__xludf.DUMMYFUNCTION("""COMPUTED_VALUE"""),166.0)</f>
        <v>166</v>
      </c>
      <c r="BJ103" s="295" t="str">
        <f>IFERROR(__xludf.DUMMYFUNCTION("""COMPUTED_VALUE"""),"FALSE")</f>
        <v>FALSE</v>
      </c>
      <c r="BK103" s="346">
        <f>IFERROR(__xludf.DUMMYFUNCTION("""COMPUTED_VALUE"""),2118.0)</f>
        <v>2118</v>
      </c>
      <c r="BL103" s="292"/>
      <c r="BM103" s="292" t="str">
        <f>IFERROR(__xludf.DUMMYFUNCTION("""COMPUTED_VALUE"""),"Grillad kyckling och örtrisotto")</f>
        <v>Grillad kyckling och örtrisotto</v>
      </c>
      <c r="BN103" s="292"/>
      <c r="BO103" s="292"/>
      <c r="BP103" s="292"/>
      <c r="BQ103" s="292" t="str">
        <f>IFERROR(__xludf.DUMMYFUNCTION("""COMPUTED_VALUE"""),"Graveyard")</f>
        <v>Graveyard</v>
      </c>
      <c r="BR103" s="292" t="b">
        <f>IFERROR(__xludf.DUMMYFUNCTION("""COMPUTED_VALUE"""),FALSE)</f>
        <v>0</v>
      </c>
      <c r="BS103" s="292" t="b">
        <f>IFERROR(__xludf.DUMMYFUNCTION("""COMPUTED_VALUE"""),FALSE)</f>
        <v>0</v>
      </c>
      <c r="BT103" s="345">
        <f>IFERROR(__xludf.DUMMYFUNCTION("""COMPUTED_VALUE"""),512.0)</f>
        <v>512</v>
      </c>
      <c r="BU103" s="345">
        <f>IFERROR(__xludf.DUMMYFUNCTION("""COMPUTED_VALUE"""),122.0)</f>
        <v>122</v>
      </c>
      <c r="BV103" s="344">
        <f>IFERROR(__xludf.DUMMYFUNCTION("""COMPUTED_VALUE"""),5.1)</f>
        <v>5.1</v>
      </c>
      <c r="BW103" s="344">
        <f>IFERROR(__xludf.DUMMYFUNCTION("""COMPUTED_VALUE"""),1.1)</f>
        <v>1.1</v>
      </c>
    </row>
    <row r="104">
      <c r="A104" s="292" t="str">
        <f>IFERROR(__xludf.DUMMYFUNCTION("""COMPUTED_VALUE"""),"FE4014B")</f>
        <v>FE4014B</v>
      </c>
      <c r="B104" s="292" t="str">
        <f>IFERROR(__xludf.DUMMYFUNCTION("""COMPUTED_VALUE"""),"CON-40-143720-4")</f>
        <v>CON-40-143720-4</v>
      </c>
      <c r="C104" s="292" t="str">
        <f>IFERROR(__xludf.DUMMYFUNCTION("""COMPUTED_VALUE"""),"CON-00-147877-2")</f>
        <v>CON-00-147877-2</v>
      </c>
      <c r="D104" s="292" t="str">
        <f>IFERROR(__xludf.DUMMYFUNCTION("""COMPUTED_VALUE"""),"CON-00-136675-3")</f>
        <v>CON-00-136675-3</v>
      </c>
      <c r="E104" s="292" t="str">
        <f>IFERROR(__xludf.DUMMYFUNCTION("""COMPUTED_VALUE"""),"Creamy basil risotto with chicken")</f>
        <v>Creamy basil risotto with chicken</v>
      </c>
      <c r="F104" s="292" t="str">
        <f>IFERROR(__xludf.DUMMYFUNCTION("""COMPUTED_VALUE"""),"with courgette, peas, and parsley")</f>
        <v>with courgette, peas, and parsley</v>
      </c>
      <c r="G104" s="292" t="str">
        <f>IFERROR(__xludf.DUMMYFUNCTION("""COMPUTED_VALUE"""),"Romige basilicum-risotto met kipfilet")</f>
        <v>Romige basilicum-risotto met kipfilet</v>
      </c>
      <c r="H104" s="292" t="str">
        <f>IFERROR(__xludf.DUMMYFUNCTION("""COMPUTED_VALUE"""),"met courgette, doperwten en peterselie")</f>
        <v>met courgette, doperwten en peterselie</v>
      </c>
      <c r="I104" s="292" t="str">
        <f>IFERROR(__xludf.DUMMYFUNCTION("""COMPUTED_VALUE"""),"Cremet basilikumrisotto med kylling")</f>
        <v>Cremet basilikumrisotto med kylling</v>
      </c>
      <c r="J104" s="292" t="str">
        <f>IFERROR(__xludf.DUMMYFUNCTION("""COMPUTED_VALUE"""),"Cremiges Basilikum-Risotto")</f>
        <v>Cremiges Basilikum-Risotto</v>
      </c>
      <c r="K104" s="292">
        <f>IFERROR(__xludf.DUMMYFUNCTION("""COMPUTED_VALUE"""),565122.0)</f>
        <v>565122</v>
      </c>
      <c r="L104" s="292"/>
      <c r="M104" s="292" t="str">
        <f>IFERROR(__xludf.DUMMYFUNCTION("""COMPUTED_VALUE"""),"FA-NL Romige basilicum-risotto met kipfilet (FE4014)")</f>
        <v>FA-NL Romige basilicum-risotto met kipfilet (FE4014)</v>
      </c>
      <c r="N104" s="292" t="str">
        <f>IFERROR(__xludf.DUMMYFUNCTION("""COMPUTED_VALUE"""),"FA-NO Cremet basilikumrisotto med kylling (FE4014)")</f>
        <v>FA-NO Cremet basilikumrisotto med kylling (FE4014)</v>
      </c>
      <c r="O104" s="292" t="str">
        <f>IFERROR(__xludf.DUMMYFUNCTION("""COMPUTED_VALUE"""),"FA-DE Cremiges Basilikum-Risotto (FE4014)")</f>
        <v>FA-DE Cremiges Basilikum-Risotto (FE4014)</v>
      </c>
      <c r="P104" s="292" t="str">
        <f>IFERROR(__xludf.DUMMYFUNCTION("""COMPUTED_VALUE"""),"Hold")</f>
        <v>Hold</v>
      </c>
      <c r="Q104" s="292" t="str">
        <f>IFERROR(__xludf.DUMMYFUNCTION("""COMPUTED_VALUE"""),"improved version to make the risotto more flavourful and creamy")</f>
        <v>improved version to make the risotto more flavourful and creamy</v>
      </c>
      <c r="R104" s="342">
        <f>IFERROR(__xludf.DUMMYFUNCTION("""COMPUTED_VALUE"""),5.12)</f>
        <v>5.12</v>
      </c>
      <c r="S104" s="292"/>
      <c r="T104" s="292"/>
      <c r="U104" s="292"/>
      <c r="V104" s="292"/>
      <c r="W104" s="292" t="b">
        <f>IFERROR(__xludf.DUMMYFUNCTION("""COMPUTED_VALUE"""),TRUE)</f>
        <v>1</v>
      </c>
      <c r="X104" s="345">
        <f>IFERROR(__xludf.DUMMYFUNCTION("""COMPUTED_VALUE"""),429.0)</f>
        <v>429</v>
      </c>
      <c r="Y104" s="344">
        <f>IFERROR(__xludf.DUMMYFUNCTION("""COMPUTED_VALUE"""),544.0)</f>
        <v>544</v>
      </c>
      <c r="Z104" s="343">
        <f>IFERROR(__xludf.DUMMYFUNCTION("""COMPUTED_VALUE"""),24.0)</f>
        <v>24</v>
      </c>
      <c r="AA104" s="344">
        <f>IFERROR(__xludf.DUMMYFUNCTION("""COMPUTED_VALUE"""),8.6)</f>
        <v>8.6</v>
      </c>
      <c r="AB104" s="344">
        <f>IFERROR(__xludf.DUMMYFUNCTION("""COMPUTED_VALUE"""),44.2)</f>
        <v>44.2</v>
      </c>
      <c r="AC104" s="344">
        <f>IFERROR(__xludf.DUMMYFUNCTION("""COMPUTED_VALUE"""),9.9)</f>
        <v>9.9</v>
      </c>
      <c r="AD104" s="344">
        <f>IFERROR(__xludf.DUMMYFUNCTION("""COMPUTED_VALUE"""),5.9)</f>
        <v>5.9</v>
      </c>
      <c r="AE104" s="343">
        <f>IFERROR(__xludf.DUMMYFUNCTION("""COMPUTED_VALUE"""),34.2)</f>
        <v>34.2</v>
      </c>
      <c r="AF104" s="343">
        <f>IFERROR(__xludf.DUMMYFUNCTION("""COMPUTED_VALUE"""),1.91)</f>
        <v>1.91</v>
      </c>
      <c r="AG104" s="292" t="b">
        <f>IFERROR(__xludf.DUMMYFUNCTION("""COMPUTED_VALUE"""),FALSE)</f>
        <v>0</v>
      </c>
      <c r="AH104" s="292" t="b">
        <f>IFERROR(__xludf.DUMMYFUNCTION("""COMPUTED_VALUE"""),FALSE)</f>
        <v>0</v>
      </c>
      <c r="AI104" s="292" t="b">
        <f>IFERROR(__xludf.DUMMYFUNCTION("""COMPUTED_VALUE"""),TRUE)</f>
        <v>1</v>
      </c>
      <c r="AJ104" s="292" t="b">
        <f>IFERROR(__xludf.DUMMYFUNCTION("""COMPUTED_VALUE"""),FALSE)</f>
        <v>0</v>
      </c>
      <c r="AK104" s="292" t="b">
        <f>IFERROR(__xludf.DUMMYFUNCTION("""COMPUTED_VALUE"""),FALSE)</f>
        <v>0</v>
      </c>
      <c r="AL104" s="292" t="b">
        <f>IFERROR(__xludf.DUMMYFUNCTION("""COMPUTED_VALUE"""),FALSE)</f>
        <v>0</v>
      </c>
      <c r="AM104" s="292" t="b">
        <f>IFERROR(__xludf.DUMMYFUNCTION("""COMPUTED_VALUE"""),TRUE)</f>
        <v>1</v>
      </c>
      <c r="AN104" s="292" t="b">
        <f>IFERROR(__xludf.DUMMYFUNCTION("""COMPUTED_VALUE"""),FALSE)</f>
        <v>0</v>
      </c>
      <c r="AO104" s="292" t="str">
        <f>IFERROR(__xludf.DUMMYFUNCTION("""COMPUTED_VALUE"""),"FALSE")</f>
        <v>FALSE</v>
      </c>
      <c r="AP104" s="292" t="str">
        <f>IFERROR(__xludf.DUMMYFUNCTION("""COMPUTED_VALUE"""),"Chicken breast")</f>
        <v>Chicken breast</v>
      </c>
      <c r="AQ104" s="292" t="str">
        <f>IFERROR(__xludf.DUMMYFUNCTION("""COMPUTED_VALUE"""),"Chicken")</f>
        <v>Chicken</v>
      </c>
      <c r="AR104" s="292" t="str">
        <f>IFERROR(__xludf.DUMMYFUNCTION("""COMPUTED_VALUE"""),"Breast")</f>
        <v>Breast</v>
      </c>
      <c r="AS104" s="292" t="str">
        <f>IFERROR(__xludf.DUMMYFUNCTION("""COMPUTED_VALUE"""),"Risotto")</f>
        <v>Risotto</v>
      </c>
      <c r="AT104" s="292" t="str">
        <f>IFERROR(__xludf.DUMMYFUNCTION("""COMPUTED_VALUE"""),"Zucchini Half Moon")</f>
        <v>Zucchini Half Moon</v>
      </c>
      <c r="AU104" s="292" t="str">
        <f>IFERROR(__xludf.DUMMYFUNCTION("""COMPUTED_VALUE"""),"Peas")</f>
        <v>Peas</v>
      </c>
      <c r="AV104" s="292" t="str">
        <f>IFERROR(__xludf.DUMMYFUNCTION("""COMPUTED_VALUE"""),"Red bell pepper")</f>
        <v>Red bell pepper</v>
      </c>
      <c r="AW104" s="292" t="str">
        <f>IFERROR(__xludf.DUMMYFUNCTION("""COMPUTED_VALUE"""),"Year Round")</f>
        <v>Year Round</v>
      </c>
      <c r="AX104" s="292" t="str">
        <f>IFERROR(__xludf.DUMMYFUNCTION("""COMPUTED_VALUE"""),"Italian")</f>
        <v>Italian</v>
      </c>
      <c r="AY104" s="292"/>
      <c r="AZ104" s="292" t="str">
        <f>IFERROR(__xludf.DUMMYFUNCTION("""COMPUTED_VALUE"""),"2 CT")</f>
        <v>2 CT</v>
      </c>
      <c r="BA104" s="292" t="b">
        <f>IFERROR(__xludf.DUMMYFUNCTION("""COMPUTED_VALUE"""),FALSE)</f>
        <v>0</v>
      </c>
      <c r="BB104" s="342">
        <f>IFERROR(__xludf.DUMMYFUNCTION("""COMPUTED_VALUE"""),2.63)</f>
        <v>2.63</v>
      </c>
      <c r="BC104" s="342">
        <f>IFERROR(__xludf.DUMMYFUNCTION("""COMPUTED_VALUE"""),1.24)</f>
        <v>1.24</v>
      </c>
      <c r="BD104" s="342">
        <f>IFERROR(__xludf.DUMMYFUNCTION("""COMPUTED_VALUE"""),0.36)</f>
        <v>0.36</v>
      </c>
      <c r="BE104" s="342">
        <f>IFERROR(__xludf.DUMMYFUNCTION("""COMPUTED_VALUE"""),0.89)</f>
        <v>0.89</v>
      </c>
      <c r="BF104" s="296">
        <f>IFERROR(__xludf.DUMMYFUNCTION("""COMPUTED_VALUE"""),3.3466666666666662)</f>
        <v>3.346666667</v>
      </c>
      <c r="BG104" s="296">
        <f>IFERROR(__xludf.DUMMYFUNCTION("""COMPUTED_VALUE"""),3.39)</f>
        <v>3.39</v>
      </c>
      <c r="BH104" s="296">
        <f>IFERROR(__xludf.DUMMYFUNCTION("""COMPUTED_VALUE"""),3.24)</f>
        <v>3.24</v>
      </c>
      <c r="BI104" s="295">
        <f>IFERROR(__xludf.DUMMYFUNCTION("""COMPUTED_VALUE"""),171.0)</f>
        <v>171</v>
      </c>
      <c r="BJ104" s="295" t="str">
        <f>IFERROR(__xludf.DUMMYFUNCTION("""COMPUTED_VALUE"""),"FALSE")</f>
        <v>FALSE</v>
      </c>
      <c r="BK104" s="346">
        <f>IFERROR(__xludf.DUMMYFUNCTION("""COMPUTED_VALUE"""),2279.0)</f>
        <v>2279</v>
      </c>
      <c r="BL104" s="292" t="str">
        <f>IFERROR(__xludf.DUMMYFUNCTION("""COMPUTED_VALUE"""),"Frankenstein")</f>
        <v>Frankenstein</v>
      </c>
      <c r="BM104" s="292" t="str">
        <f>IFERROR(__xludf.DUMMYFUNCTION("""COMPUTED_VALUE"""),"Krämig basilikarisotto med kyckling")</f>
        <v>Krämig basilikarisotto med kyckling</v>
      </c>
      <c r="BN104" s="343">
        <f>IFERROR(__xludf.DUMMYFUNCTION("""COMPUTED_VALUE"""),3.3733333333333335)</f>
        <v>3.373333333</v>
      </c>
      <c r="BO104" s="343">
        <f>IFERROR(__xludf.DUMMYFUNCTION("""COMPUTED_VALUE"""),3.3266666666666667)</f>
        <v>3.326666667</v>
      </c>
      <c r="BP104" s="292"/>
      <c r="BQ104" s="292" t="str">
        <f>IFERROR(__xludf.DUMMYFUNCTION("""COMPUTED_VALUE"""),"Proven")</f>
        <v>Proven</v>
      </c>
      <c r="BR104" s="292" t="b">
        <f>IFERROR(__xludf.DUMMYFUNCTION("""COMPUTED_VALUE"""),FALSE)</f>
        <v>0</v>
      </c>
      <c r="BS104" s="292" t="b">
        <f>IFERROR(__xludf.DUMMYFUNCTION("""COMPUTED_VALUE"""),FALSE)</f>
        <v>0</v>
      </c>
      <c r="BT104" s="345">
        <f>IFERROR(__xludf.DUMMYFUNCTION("""COMPUTED_VALUE"""),531.0)</f>
        <v>531</v>
      </c>
      <c r="BU104" s="345">
        <f>IFERROR(__xludf.DUMMYFUNCTION("""COMPUTED_VALUE"""),126.8)</f>
        <v>126.8</v>
      </c>
      <c r="BV104" s="344">
        <f>IFERROR(__xludf.DUMMYFUNCTION("""COMPUTED_VALUE"""),5.6)</f>
        <v>5.6</v>
      </c>
      <c r="BW104" s="344">
        <f>IFERROR(__xludf.DUMMYFUNCTION("""COMPUTED_VALUE"""),2.0)</f>
        <v>2</v>
      </c>
    </row>
    <row r="105">
      <c r="A105" s="292" t="str">
        <f>IFERROR(__xludf.DUMMYFUNCTION("""COMPUTED_VALUE"""),"FE4015A")</f>
        <v>FE4015A</v>
      </c>
      <c r="B105" s="292" t="str">
        <f>IFERROR(__xludf.DUMMYFUNCTION("""COMPUTED_VALUE"""),"CON-40-143658-4")</f>
        <v>CON-40-143658-4</v>
      </c>
      <c r="C105" s="292" t="str">
        <f>IFERROR(__xludf.DUMMYFUNCTION("""COMPUTED_VALUE"""),"CON-00-147878-2")</f>
        <v>CON-00-147878-2</v>
      </c>
      <c r="D105" s="292" t="str">
        <f>IFERROR(__xludf.DUMMYFUNCTION("""COMPUTED_VALUE"""),"CON-00-136674-3")</f>
        <v>CON-00-136674-3</v>
      </c>
      <c r="E105" s="292" t="str">
        <f>IFERROR(__xludf.DUMMYFUNCTION("""COMPUTED_VALUE"""),"Grilled chicken and ratatouille")</f>
        <v>Grilled chicken and ratatouille</v>
      </c>
      <c r="F105" s="292" t="str">
        <f>IFERROR(__xludf.DUMMYFUNCTION("""COMPUTED_VALUE"""),"with mozzarella, potato wedges and garlic sauce")</f>
        <v>with mozzarella, potato wedges and garlic sauce</v>
      </c>
      <c r="G105" s="292" t="str">
        <f>IFERROR(__xludf.DUMMYFUNCTION("""COMPUTED_VALUE"""),"Gegrilde kipfilet en ratatouille")</f>
        <v>Gegrilde kipfilet en ratatouille</v>
      </c>
      <c r="H105" s="292" t="str">
        <f>IFERROR(__xludf.DUMMYFUNCTION("""COMPUTED_VALUE"""),"met mozzarella, aardappelpartjes en knoflooksaus")</f>
        <v>met mozzarella, aardappelpartjes en knoflooksaus</v>
      </c>
      <c r="I105" s="292" t="str">
        <f>IFERROR(__xludf.DUMMYFUNCTION("""COMPUTED_VALUE"""),"Grillet kylling og ratatouille")</f>
        <v>Grillet kylling og ratatouille</v>
      </c>
      <c r="J105" s="292" t="str">
        <f>IFERROR(__xludf.DUMMYFUNCTION("""COMPUTED_VALUE"""),"Grillhähnchen und Ratatouille")</f>
        <v>Grillhähnchen und Ratatouille</v>
      </c>
      <c r="K105" s="292">
        <f>IFERROR(__xludf.DUMMYFUNCTION("""COMPUTED_VALUE"""),565072.0)</f>
        <v>565072</v>
      </c>
      <c r="L105" s="292" t="str">
        <f>IFERROR(__xludf.DUMMYFUNCTION("""COMPUTED_VALUE"""),"HF Gegrilde kipfilet en ratatouille 429g")</f>
        <v>HF Gegrilde kipfilet en ratatouille 429g</v>
      </c>
      <c r="M105" s="292" t="str">
        <f>IFERROR(__xludf.DUMMYFUNCTION("""COMPUTED_VALUE"""),"FA-NL Gegrilde kipfilet &amp; ratatouille (FE4015)")</f>
        <v>FA-NL Gegrilde kipfilet &amp; ratatouille (FE4015)</v>
      </c>
      <c r="N105" s="292" t="str">
        <f>IFERROR(__xludf.DUMMYFUNCTION("""COMPUTED_VALUE"""),"FA-NO Grillet kylling og ratatouille (FE4015)")</f>
        <v>FA-NO Grillet kylling og ratatouille (FE4015)</v>
      </c>
      <c r="O105" s="292" t="str">
        <f>IFERROR(__xludf.DUMMYFUNCTION("""COMPUTED_VALUE"""),"FA-DE Grillhähnchen und Ratatouille (FE4015)")</f>
        <v>FA-DE Grillhähnchen und Ratatouille (FE4015)</v>
      </c>
      <c r="P105" s="292" t="str">
        <f>IFERROR(__xludf.DUMMYFUNCTION("""COMPUTED_VALUE"""),"Hold")</f>
        <v>Hold</v>
      </c>
      <c r="Q105" s="292"/>
      <c r="R105" s="342">
        <f>IFERROR(__xludf.DUMMYFUNCTION("""COMPUTED_VALUE"""),4.87)</f>
        <v>4.87</v>
      </c>
      <c r="S105" s="292"/>
      <c r="T105" s="292"/>
      <c r="U105" s="292"/>
      <c r="V105" s="292"/>
      <c r="W105" s="292" t="b">
        <f>IFERROR(__xludf.DUMMYFUNCTION("""COMPUTED_VALUE"""),TRUE)</f>
        <v>1</v>
      </c>
      <c r="X105" s="345">
        <f>IFERROR(__xludf.DUMMYFUNCTION("""COMPUTED_VALUE"""),429.0)</f>
        <v>429</v>
      </c>
      <c r="Y105" s="344">
        <f>IFERROR(__xludf.DUMMYFUNCTION("""COMPUTED_VALUE"""),493.0)</f>
        <v>493</v>
      </c>
      <c r="Z105" s="343">
        <f>IFERROR(__xludf.DUMMYFUNCTION("""COMPUTED_VALUE"""),23.2)</f>
        <v>23.2</v>
      </c>
      <c r="AA105" s="344">
        <f>IFERROR(__xludf.DUMMYFUNCTION("""COMPUTED_VALUE"""),6.0)</f>
        <v>6</v>
      </c>
      <c r="AB105" s="344">
        <f>IFERROR(__xludf.DUMMYFUNCTION("""COMPUTED_VALUE"""),30.0)</f>
        <v>30</v>
      </c>
      <c r="AC105" s="344">
        <f>IFERROR(__xludf.DUMMYFUNCTION("""COMPUTED_VALUE"""),11.2)</f>
        <v>11.2</v>
      </c>
      <c r="AD105" s="344">
        <f>IFERROR(__xludf.DUMMYFUNCTION("""COMPUTED_VALUE"""),9.0)</f>
        <v>9</v>
      </c>
      <c r="AE105" s="343">
        <f>IFERROR(__xludf.DUMMYFUNCTION("""COMPUTED_VALUE"""),35.6)</f>
        <v>35.6</v>
      </c>
      <c r="AF105" s="343">
        <f>IFERROR(__xludf.DUMMYFUNCTION("""COMPUTED_VALUE"""),2.04)</f>
        <v>2.04</v>
      </c>
      <c r="AG105" s="292" t="b">
        <f>IFERROR(__xludf.DUMMYFUNCTION("""COMPUTED_VALUE"""),FALSE)</f>
        <v>0</v>
      </c>
      <c r="AH105" s="292" t="b">
        <f>IFERROR(__xludf.DUMMYFUNCTION("""COMPUTED_VALUE"""),FALSE)</f>
        <v>0</v>
      </c>
      <c r="AI105" s="292" t="b">
        <f>IFERROR(__xludf.DUMMYFUNCTION("""COMPUTED_VALUE"""),TRUE)</f>
        <v>1</v>
      </c>
      <c r="AJ105" s="292" t="b">
        <f>IFERROR(__xludf.DUMMYFUNCTION("""COMPUTED_VALUE"""),FALSE)</f>
        <v>0</v>
      </c>
      <c r="AK105" s="292" t="b">
        <f>IFERROR(__xludf.DUMMYFUNCTION("""COMPUTED_VALUE"""),FALSE)</f>
        <v>0</v>
      </c>
      <c r="AL105" s="292" t="b">
        <f>IFERROR(__xludf.DUMMYFUNCTION("""COMPUTED_VALUE"""),FALSE)</f>
        <v>0</v>
      </c>
      <c r="AM105" s="292" t="b">
        <f>IFERROR(__xludf.DUMMYFUNCTION("""COMPUTED_VALUE"""),TRUE)</f>
        <v>1</v>
      </c>
      <c r="AN105" s="292" t="b">
        <f>IFERROR(__xludf.DUMMYFUNCTION("""COMPUTED_VALUE"""),FALSE)</f>
        <v>0</v>
      </c>
      <c r="AO105" s="292" t="str">
        <f>IFERROR(__xludf.DUMMYFUNCTION("""COMPUTED_VALUE"""),"TRUE")</f>
        <v>TRUE</v>
      </c>
      <c r="AP105" s="292" t="str">
        <f>IFERROR(__xludf.DUMMYFUNCTION("""COMPUTED_VALUE"""),"Chicken breast")</f>
        <v>Chicken breast</v>
      </c>
      <c r="AQ105" s="292" t="str">
        <f>IFERROR(__xludf.DUMMYFUNCTION("""COMPUTED_VALUE"""),"Chicken")</f>
        <v>Chicken</v>
      </c>
      <c r="AR105" s="292" t="str">
        <f>IFERROR(__xludf.DUMMYFUNCTION("""COMPUTED_VALUE"""),"Breast")</f>
        <v>Breast</v>
      </c>
      <c r="AS105" s="292" t="str">
        <f>IFERROR(__xludf.DUMMYFUNCTION("""COMPUTED_VALUE"""),"Zucchini Diced")</f>
        <v>Zucchini Diced</v>
      </c>
      <c r="AT105" s="292" t="str">
        <f>IFERROR(__xludf.DUMMYFUNCTION("""COMPUTED_VALUE"""),"Tomato Based Sauce")</f>
        <v>Tomato Based Sauce</v>
      </c>
      <c r="AU105" s="292" t="str">
        <f>IFERROR(__xludf.DUMMYFUNCTION("""COMPUTED_VALUE"""),"Pepper Mix")</f>
        <v>Pepper Mix</v>
      </c>
      <c r="AV105" s="292" t="str">
        <f>IFERROR(__xludf.DUMMYFUNCTION("""COMPUTED_VALUE"""),"Potato Non-Mash")</f>
        <v>Potato Non-Mash</v>
      </c>
      <c r="AW105" s="292" t="str">
        <f>IFERROR(__xludf.DUMMYFUNCTION("""COMPUTED_VALUE"""),"Year Round")</f>
        <v>Year Round</v>
      </c>
      <c r="AX105" s="292" t="str">
        <f>IFERROR(__xludf.DUMMYFUNCTION("""COMPUTED_VALUE"""),"French")</f>
        <v>French</v>
      </c>
      <c r="AY105" s="292"/>
      <c r="AZ105" s="292" t="str">
        <f>IFERROR(__xludf.DUMMYFUNCTION("""COMPUTED_VALUE"""),"2 CT")</f>
        <v>2 CT</v>
      </c>
      <c r="BA105" s="292" t="b">
        <f>IFERROR(__xludf.DUMMYFUNCTION("""COMPUTED_VALUE"""),TRUE)</f>
        <v>1</v>
      </c>
      <c r="BB105" s="342">
        <f>IFERROR(__xludf.DUMMYFUNCTION("""COMPUTED_VALUE"""),2.4)</f>
        <v>2.4</v>
      </c>
      <c r="BC105" s="342">
        <f>IFERROR(__xludf.DUMMYFUNCTION("""COMPUTED_VALUE"""),1.19)</f>
        <v>1.19</v>
      </c>
      <c r="BD105" s="342">
        <f>IFERROR(__xludf.DUMMYFUNCTION("""COMPUTED_VALUE"""),0.39)</f>
        <v>0.39</v>
      </c>
      <c r="BE105" s="342">
        <f>IFERROR(__xludf.DUMMYFUNCTION("""COMPUTED_VALUE"""),0.89)</f>
        <v>0.89</v>
      </c>
      <c r="BF105" s="296">
        <f>IFERROR(__xludf.DUMMYFUNCTION("""COMPUTED_VALUE"""),3.3333333333333335)</f>
        <v>3.333333333</v>
      </c>
      <c r="BG105" s="296">
        <f>IFERROR(__xludf.DUMMYFUNCTION("""COMPUTED_VALUE"""),3.373333333333333)</f>
        <v>3.373333333</v>
      </c>
      <c r="BH105" s="296">
        <f>IFERROR(__xludf.DUMMYFUNCTION("""COMPUTED_VALUE"""),3.19)</f>
        <v>3.19</v>
      </c>
      <c r="BI105" s="295">
        <f>IFERROR(__xludf.DUMMYFUNCTION("""COMPUTED_VALUE"""),163.0)</f>
        <v>163</v>
      </c>
      <c r="BJ105" s="295" t="str">
        <f>IFERROR(__xludf.DUMMYFUNCTION("""COMPUTED_VALUE"""),"FALSE")</f>
        <v>FALSE</v>
      </c>
      <c r="BK105" s="346">
        <f>IFERROR(__xludf.DUMMYFUNCTION("""COMPUTED_VALUE"""),2059.0)</f>
        <v>2059</v>
      </c>
      <c r="BL105" s="292" t="str">
        <f>IFERROR(__xludf.DUMMYFUNCTION("""COMPUTED_VALUE"""),"Frankenstein")</f>
        <v>Frankenstein</v>
      </c>
      <c r="BM105" s="292" t="str">
        <f>IFERROR(__xludf.DUMMYFUNCTION("""COMPUTED_VALUE"""),"Grillad kyckling och ratatouille")</f>
        <v>Grillad kyckling och ratatouille</v>
      </c>
      <c r="BN105" s="343">
        <f>IFERROR(__xludf.DUMMYFUNCTION("""COMPUTED_VALUE"""),3.4233333333333333)</f>
        <v>3.423333333</v>
      </c>
      <c r="BO105" s="343">
        <f>IFERROR(__xludf.DUMMYFUNCTION("""COMPUTED_VALUE"""),3.186666666666667)</f>
        <v>3.186666667</v>
      </c>
      <c r="BP105" s="292"/>
      <c r="BQ105" s="292" t="str">
        <f>IFERROR(__xludf.DUMMYFUNCTION("""COMPUTED_VALUE"""),"Proven")</f>
        <v>Proven</v>
      </c>
      <c r="BR105" s="292" t="b">
        <f>IFERROR(__xludf.DUMMYFUNCTION("""COMPUTED_VALUE"""),FALSE)</f>
        <v>0</v>
      </c>
      <c r="BS105" s="292" t="b">
        <f>IFERROR(__xludf.DUMMYFUNCTION("""COMPUTED_VALUE"""),FALSE)</f>
        <v>0</v>
      </c>
      <c r="BT105" s="345">
        <f>IFERROR(__xludf.DUMMYFUNCTION("""COMPUTED_VALUE"""),480.0)</f>
        <v>480</v>
      </c>
      <c r="BU105" s="345">
        <f>IFERROR(__xludf.DUMMYFUNCTION("""COMPUTED_VALUE"""),115.0)</f>
        <v>115</v>
      </c>
      <c r="BV105" s="344">
        <f>IFERROR(__xludf.DUMMYFUNCTION("""COMPUTED_VALUE"""),5.4)</f>
        <v>5.4</v>
      </c>
      <c r="BW105" s="344">
        <f>IFERROR(__xludf.DUMMYFUNCTION("""COMPUTED_VALUE"""),1.4)</f>
        <v>1.4</v>
      </c>
    </row>
    <row r="106">
      <c r="A106" s="292" t="str">
        <f>IFERROR(__xludf.DUMMYFUNCTION("""COMPUTED_VALUE"""),"FE4016A")</f>
        <v>FE4016A</v>
      </c>
      <c r="B106" s="292" t="str">
        <f>IFERROR(__xludf.DUMMYFUNCTION("""COMPUTED_VALUE"""),"CON-40-143696-4")</f>
        <v>CON-40-143696-4</v>
      </c>
      <c r="C106" s="292" t="str">
        <f>IFERROR(__xludf.DUMMYFUNCTION("""COMPUTED_VALUE"""),"CON-00-147880-2")</f>
        <v>CON-00-147880-2</v>
      </c>
      <c r="D106" s="292" t="str">
        <f>IFERROR(__xludf.DUMMYFUNCTION("""COMPUTED_VALUE"""),"CON-00-136677-3")</f>
        <v>CON-00-136677-3</v>
      </c>
      <c r="E106" s="292" t="str">
        <f>IFERROR(__xludf.DUMMYFUNCTION("""COMPUTED_VALUE"""),"Spiced chicken &amp; wild rice")</f>
        <v>Spiced chicken &amp; wild rice</v>
      </c>
      <c r="F106" s="292" t="str">
        <f>IFERROR(__xludf.DUMMYFUNCTION("""COMPUTED_VALUE"""),"with garlic-lemon spinach, green beans, bell pepper and yoghurtsauce")</f>
        <v>with garlic-lemon spinach, green beans, bell pepper and yoghurtsauce</v>
      </c>
      <c r="G106" s="292" t="str">
        <f>IFERROR(__xludf.DUMMYFUNCTION("""COMPUTED_VALUE"""),"Kruidige kip &amp; wilde rijst")</f>
        <v>Kruidige kip &amp; wilde rijst</v>
      </c>
      <c r="H106" s="292" t="str">
        <f>IFERROR(__xludf.DUMMYFUNCTION("""COMPUTED_VALUE"""),"met citroen-knoflook spinazie, sperziebonen, paprika en yoghurtsaus")</f>
        <v>met citroen-knoflook spinazie, sperziebonen, paprika en yoghurtsaus</v>
      </c>
      <c r="I106" s="292" t="str">
        <f>IFERROR(__xludf.DUMMYFUNCTION("""COMPUTED_VALUE"""),"Krydret kylling med vilde ris")</f>
        <v>Krydret kylling med vilde ris</v>
      </c>
      <c r="J106" s="292" t="str">
        <f>IFERROR(__xludf.DUMMYFUNCTION("""COMPUTED_VALUE"""),"Gewürztes Hähnchen mit Wildreis")</f>
        <v>Gewürztes Hähnchen mit Wildreis</v>
      </c>
      <c r="K106" s="292">
        <f>IFERROR(__xludf.DUMMYFUNCTION("""COMPUTED_VALUE"""),565076.0)</f>
        <v>565076</v>
      </c>
      <c r="L106" s="292"/>
      <c r="M106" s="292" t="str">
        <f>IFERROR(__xludf.DUMMYFUNCTION("""COMPUTED_VALUE"""),"FA-NL Kruidige kip &amp; wilde rijst (FE4016)")</f>
        <v>FA-NL Kruidige kip &amp; wilde rijst (FE4016)</v>
      </c>
      <c r="N106" s="292" t="str">
        <f>IFERROR(__xludf.DUMMYFUNCTION("""COMPUTED_VALUE"""),"FA-NO Krydret kylling med vilde ris (FE4016)")</f>
        <v>FA-NO Krydret kylling med vilde ris (FE4016)</v>
      </c>
      <c r="O106" s="292" t="str">
        <f>IFERROR(__xludf.DUMMYFUNCTION("""COMPUTED_VALUE"""),"FA-DE Gewürztes Hähnchen mit Wildreis (FE4016)")</f>
        <v>FA-DE Gewürztes Hähnchen mit Wildreis (FE4016)</v>
      </c>
      <c r="P106" s="292" t="str">
        <f>IFERROR(__xludf.DUMMYFUNCTION("""COMPUTED_VALUE"""),"Graveyard")</f>
        <v>Graveyard</v>
      </c>
      <c r="Q106" s="292"/>
      <c r="R106" s="342">
        <f>IFERROR(__xludf.DUMMYFUNCTION("""COMPUTED_VALUE"""),4.67)</f>
        <v>4.67</v>
      </c>
      <c r="S106" s="292"/>
      <c r="T106" s="292"/>
      <c r="U106" s="292"/>
      <c r="V106" s="292"/>
      <c r="W106" s="292" t="b">
        <f>IFERROR(__xludf.DUMMYFUNCTION("""COMPUTED_VALUE"""),TRUE)</f>
        <v>1</v>
      </c>
      <c r="X106" s="345">
        <f>IFERROR(__xludf.DUMMYFUNCTION("""COMPUTED_VALUE"""),409.0)</f>
        <v>409</v>
      </c>
      <c r="Y106" s="344">
        <f>IFERROR(__xludf.DUMMYFUNCTION("""COMPUTED_VALUE"""),521.0)</f>
        <v>521</v>
      </c>
      <c r="Z106" s="343">
        <f>IFERROR(__xludf.DUMMYFUNCTION("""COMPUTED_VALUE"""),18.8)</f>
        <v>18.8</v>
      </c>
      <c r="AA106" s="344">
        <f>IFERROR(__xludf.DUMMYFUNCTION("""COMPUTED_VALUE"""),4.9)</f>
        <v>4.9</v>
      </c>
      <c r="AB106" s="344">
        <f>IFERROR(__xludf.DUMMYFUNCTION("""COMPUTED_VALUE"""),47.4)</f>
        <v>47.4</v>
      </c>
      <c r="AC106" s="344">
        <f>IFERROR(__xludf.DUMMYFUNCTION("""COMPUTED_VALUE"""),9.4)</f>
        <v>9.4</v>
      </c>
      <c r="AD106" s="344">
        <f>IFERROR(__xludf.DUMMYFUNCTION("""COMPUTED_VALUE"""),10.2)</f>
        <v>10.2</v>
      </c>
      <c r="AE106" s="343">
        <f>IFERROR(__xludf.DUMMYFUNCTION("""COMPUTED_VALUE"""),34.4)</f>
        <v>34.4</v>
      </c>
      <c r="AF106" s="343">
        <f>IFERROR(__xludf.DUMMYFUNCTION("""COMPUTED_VALUE"""),2.0)</f>
        <v>2</v>
      </c>
      <c r="AG106" s="292" t="b">
        <f>IFERROR(__xludf.DUMMYFUNCTION("""COMPUTED_VALUE"""),FALSE)</f>
        <v>0</v>
      </c>
      <c r="AH106" s="292" t="b">
        <f>IFERROR(__xludf.DUMMYFUNCTION("""COMPUTED_VALUE"""),FALSE)</f>
        <v>0</v>
      </c>
      <c r="AI106" s="292" t="b">
        <f>IFERROR(__xludf.DUMMYFUNCTION("""COMPUTED_VALUE"""),TRUE)</f>
        <v>1</v>
      </c>
      <c r="AJ106" s="292" t="b">
        <f>IFERROR(__xludf.DUMMYFUNCTION("""COMPUTED_VALUE"""),FALSE)</f>
        <v>0</v>
      </c>
      <c r="AK106" s="292" t="b">
        <f>IFERROR(__xludf.DUMMYFUNCTION("""COMPUTED_VALUE"""),FALSE)</f>
        <v>0</v>
      </c>
      <c r="AL106" s="292" t="b">
        <f>IFERROR(__xludf.DUMMYFUNCTION("""COMPUTED_VALUE"""),FALSE)</f>
        <v>0</v>
      </c>
      <c r="AM106" s="292" t="b">
        <f>IFERROR(__xludf.DUMMYFUNCTION("""COMPUTED_VALUE"""),TRUE)</f>
        <v>1</v>
      </c>
      <c r="AN106" s="292" t="b">
        <f>IFERROR(__xludf.DUMMYFUNCTION("""COMPUTED_VALUE"""),FALSE)</f>
        <v>0</v>
      </c>
      <c r="AO106" s="292" t="str">
        <f>IFERROR(__xludf.DUMMYFUNCTION("""COMPUTED_VALUE"""),"TRUE")</f>
        <v>TRUE</v>
      </c>
      <c r="AP106" s="292" t="str">
        <f>IFERROR(__xludf.DUMMYFUNCTION("""COMPUTED_VALUE"""),"Diced chicken")</f>
        <v>Diced chicken</v>
      </c>
      <c r="AQ106" s="292" t="str">
        <f>IFERROR(__xludf.DUMMYFUNCTION("""COMPUTED_VALUE"""),"Chicken")</f>
        <v>Chicken</v>
      </c>
      <c r="AR106" s="292" t="str">
        <f>IFERROR(__xludf.DUMMYFUNCTION("""COMPUTED_VALUE"""),"Pieces")</f>
        <v>Pieces</v>
      </c>
      <c r="AS106" s="292" t="str">
        <f>IFERROR(__xludf.DUMMYFUNCTION("""COMPUTED_VALUE"""),"Rice")</f>
        <v>Rice</v>
      </c>
      <c r="AT106" s="292" t="str">
        <f>IFERROR(__xludf.DUMMYFUNCTION("""COMPUTED_VALUE"""),"Spinach")</f>
        <v>Spinach</v>
      </c>
      <c r="AU106" s="292" t="str">
        <f>IFERROR(__xludf.DUMMYFUNCTION("""COMPUTED_VALUE"""),"Green Beans")</f>
        <v>Green Beans</v>
      </c>
      <c r="AV106" s="292" t="str">
        <f>IFERROR(__xludf.DUMMYFUNCTION("""COMPUTED_VALUE"""),"Cupped Sauce")</f>
        <v>Cupped Sauce</v>
      </c>
      <c r="AW106" s="292" t="str">
        <f>IFERROR(__xludf.DUMMYFUNCTION("""COMPUTED_VALUE"""),"Year Round")</f>
        <v>Year Round</v>
      </c>
      <c r="AX106" s="292" t="str">
        <f>IFERROR(__xludf.DUMMYFUNCTION("""COMPUTED_VALUE"""),"Middle Eastern")</f>
        <v>Middle Eastern</v>
      </c>
      <c r="AY106" s="292"/>
      <c r="AZ106" s="292" t="str">
        <f>IFERROR(__xludf.DUMMYFUNCTION("""COMPUTED_VALUE"""),"2 CT")</f>
        <v>2 CT</v>
      </c>
      <c r="BA106" s="292" t="b">
        <f>IFERROR(__xludf.DUMMYFUNCTION("""COMPUTED_VALUE"""),TRUE)</f>
        <v>1</v>
      </c>
      <c r="BB106" s="342">
        <f>IFERROR(__xludf.DUMMYFUNCTION("""COMPUTED_VALUE"""),2.45)</f>
        <v>2.45</v>
      </c>
      <c r="BC106" s="342">
        <f>IFERROR(__xludf.DUMMYFUNCTION("""COMPUTED_VALUE"""),0.99)</f>
        <v>0.99</v>
      </c>
      <c r="BD106" s="342">
        <f>IFERROR(__xludf.DUMMYFUNCTION("""COMPUTED_VALUE"""),0.392)</f>
        <v>0.392</v>
      </c>
      <c r="BE106" s="342">
        <f>IFERROR(__xludf.DUMMYFUNCTION("""COMPUTED_VALUE"""),0.89)</f>
        <v>0.89</v>
      </c>
      <c r="BF106" s="296" t="str">
        <f>IFERROR(__xludf.DUMMYFUNCTION("""COMPUTED_VALUE"""),"#REF!")</f>
        <v>#REF!</v>
      </c>
      <c r="BG106" s="296" t="str">
        <f>IFERROR(__xludf.DUMMYFUNCTION("""COMPUTED_VALUE"""),"#REF!")</f>
        <v>#REF!</v>
      </c>
      <c r="BH106" s="296" t="str">
        <f>IFERROR(__xludf.DUMMYFUNCTION("""COMPUTED_VALUE"""),"#REF!")</f>
        <v>#REF!</v>
      </c>
      <c r="BI106" s="295">
        <f>IFERROR(__xludf.DUMMYFUNCTION("""COMPUTED_VALUE"""),171.0)</f>
        <v>171</v>
      </c>
      <c r="BJ106" s="295" t="str">
        <f>IFERROR(__xludf.DUMMYFUNCTION("""COMPUTED_VALUE"""),"FALSE")</f>
        <v>FALSE</v>
      </c>
      <c r="BK106" s="346">
        <f>IFERROR(__xludf.DUMMYFUNCTION("""COMPUTED_VALUE"""),2184.0)</f>
        <v>2184</v>
      </c>
      <c r="BL106" s="292" t="str">
        <f>IFERROR(__xludf.DUMMYFUNCTION("""COMPUTED_VALUE"""),"Frankenstein")</f>
        <v>Frankenstein</v>
      </c>
      <c r="BM106" s="292" t="str">
        <f>IFERROR(__xludf.DUMMYFUNCTION("""COMPUTED_VALUE"""),"Kryddad kyckling och vildris ")</f>
        <v>Kryddad kyckling och vildris </v>
      </c>
      <c r="BN106" s="292"/>
      <c r="BO106" s="292"/>
      <c r="BP106" s="292"/>
      <c r="BQ106" s="292" t="str">
        <f>IFERROR(__xludf.DUMMYFUNCTION("""COMPUTED_VALUE"""),"Graveyard")</f>
        <v>Graveyard</v>
      </c>
      <c r="BR106" s="292" t="b">
        <f>IFERROR(__xludf.DUMMYFUNCTION("""COMPUTED_VALUE"""),FALSE)</f>
        <v>0</v>
      </c>
      <c r="BS106" s="292" t="b">
        <f>IFERROR(__xludf.DUMMYFUNCTION("""COMPUTED_VALUE"""),TRUE)</f>
        <v>1</v>
      </c>
      <c r="BT106" s="345">
        <f>IFERROR(__xludf.DUMMYFUNCTION("""COMPUTED_VALUE"""),534.0)</f>
        <v>534</v>
      </c>
      <c r="BU106" s="345">
        <f>IFERROR(__xludf.DUMMYFUNCTION("""COMPUTED_VALUE"""),127.0)</f>
        <v>127</v>
      </c>
      <c r="BV106" s="344">
        <f>IFERROR(__xludf.DUMMYFUNCTION("""COMPUTED_VALUE"""),4.6)</f>
        <v>4.6</v>
      </c>
      <c r="BW106" s="344">
        <f>IFERROR(__xludf.DUMMYFUNCTION("""COMPUTED_VALUE"""),1.2)</f>
        <v>1.2</v>
      </c>
    </row>
    <row r="107">
      <c r="A107" s="292" t="str">
        <f>IFERROR(__xludf.DUMMYFUNCTION("""COMPUTED_VALUE"""),"FE4019A")</f>
        <v>FE4019A</v>
      </c>
      <c r="B107" s="292" t="str">
        <f>IFERROR(__xludf.DUMMYFUNCTION("""COMPUTED_VALUE"""),"CON-40-143680-4")</f>
        <v>CON-40-143680-4</v>
      </c>
      <c r="C107" s="292" t="str">
        <f>IFERROR(__xludf.DUMMYFUNCTION("""COMPUTED_VALUE"""),"CON-00-147879-2")</f>
        <v>CON-00-147879-2</v>
      </c>
      <c r="D107" s="292" t="str">
        <f>IFERROR(__xludf.DUMMYFUNCTION("""COMPUTED_VALUE"""),"CON-00-136624-3")</f>
        <v>CON-00-136624-3</v>
      </c>
      <c r="E107" s="292" t="str">
        <f>IFERROR(__xludf.DUMMYFUNCTION("""COMPUTED_VALUE"""),"Chicken &amp; green cabbage in cheese sauce")</f>
        <v>Chicken &amp; green cabbage in cheese sauce</v>
      </c>
      <c r="F107" s="292" t="str">
        <f>IFERROR(__xludf.DUMMYFUNCTION("""COMPUTED_VALUE"""),"with sweet potato and green beans with almond")</f>
        <v>with sweet potato and green beans with almond</v>
      </c>
      <c r="G107" s="292" t="str">
        <f>IFERROR(__xludf.DUMMYFUNCTION("""COMPUTED_VALUE"""),"Kipfilet &amp; groene kool in kaassaus ")</f>
        <v>Kipfilet &amp; groene kool in kaassaus </v>
      </c>
      <c r="H107" s="292" t="str">
        <f>IFERROR(__xludf.DUMMYFUNCTION("""COMPUTED_VALUE"""),"met zoete aardappel en sperziebonen met amandel")</f>
        <v>met zoete aardappel en sperziebonen met amandel</v>
      </c>
      <c r="I107" s="292" t="str">
        <f>IFERROR(__xludf.DUMMYFUNCTION("""COMPUTED_VALUE"""),"Kylling og grønkål i ostesauce")</f>
        <v>Kylling og grønkål i ostesauce</v>
      </c>
      <c r="J107" s="292" t="str">
        <f>IFERROR(__xludf.DUMMYFUNCTION("""COMPUTED_VALUE"""),"Hähnchenbrust mit Grünkohl in Käsesauce")</f>
        <v>Hähnchenbrust mit Grünkohl in Käsesauce</v>
      </c>
      <c r="K107" s="292">
        <f>IFERROR(__xludf.DUMMYFUNCTION("""COMPUTED_VALUE"""),565078.0)</f>
        <v>565078</v>
      </c>
      <c r="L107" s="292" t="str">
        <f>IFERROR(__xludf.DUMMYFUNCTION("""COMPUTED_VALUE"""),"HF Gegrilde Kipfilet op gesmoorde kool met kaas 400g")</f>
        <v>HF Gegrilde Kipfilet op gesmoorde kool met kaas 400g</v>
      </c>
      <c r="M107" s="292" t="str">
        <f>IFERROR(__xludf.DUMMYFUNCTION("""COMPUTED_VALUE"""),"FA-NL Kipfilet &amp; groene kool in kaassaus (FE4019)")</f>
        <v>FA-NL Kipfilet &amp; groene kool in kaassaus (FE4019)</v>
      </c>
      <c r="N107" s="292" t="str">
        <f>IFERROR(__xludf.DUMMYFUNCTION("""COMPUTED_VALUE"""),"FA-NO Kylling og grønkål i ostesauce (FE4019)")</f>
        <v>FA-NO Kylling og grønkål i ostesauce (FE4019)</v>
      </c>
      <c r="O107" s="292" t="str">
        <f>IFERROR(__xludf.DUMMYFUNCTION("""COMPUTED_VALUE"""),"FA-DE Hähnchenbrust mit Grünkohl in Käsesauce (FE4019)")</f>
        <v>FA-DE Hähnchenbrust mit Grünkohl in Käsesauce (FE4019)</v>
      </c>
      <c r="P107" s="292" t="str">
        <f>IFERROR(__xludf.DUMMYFUNCTION("""COMPUTED_VALUE"""),"Active")</f>
        <v>Active</v>
      </c>
      <c r="Q107" s="292"/>
      <c r="R107" s="342">
        <f>IFERROR(__xludf.DUMMYFUNCTION("""COMPUTED_VALUE"""),5.04)</f>
        <v>5.04</v>
      </c>
      <c r="S107" s="292"/>
      <c r="T107" s="292"/>
      <c r="U107" s="292"/>
      <c r="V107" s="292"/>
      <c r="W107" s="292" t="b">
        <f>IFERROR(__xludf.DUMMYFUNCTION("""COMPUTED_VALUE"""),TRUE)</f>
        <v>1</v>
      </c>
      <c r="X107" s="345">
        <f>IFERROR(__xludf.DUMMYFUNCTION("""COMPUTED_VALUE"""),400.0)</f>
        <v>400</v>
      </c>
      <c r="Y107" s="344">
        <f>IFERROR(__xludf.DUMMYFUNCTION("""COMPUTED_VALUE"""),612.0)</f>
        <v>612</v>
      </c>
      <c r="Z107" s="343">
        <f>IFERROR(__xludf.DUMMYFUNCTION("""COMPUTED_VALUE"""),32.2)</f>
        <v>32.2</v>
      </c>
      <c r="AA107" s="344">
        <f>IFERROR(__xludf.DUMMYFUNCTION("""COMPUTED_VALUE"""),9.4)</f>
        <v>9.4</v>
      </c>
      <c r="AB107" s="344">
        <f>IFERROR(__xludf.DUMMYFUNCTION("""COMPUTED_VALUE"""),36.5)</f>
        <v>36.5</v>
      </c>
      <c r="AC107" s="344">
        <f>IFERROR(__xludf.DUMMYFUNCTION("""COMPUTED_VALUE"""),14.1)</f>
        <v>14.1</v>
      </c>
      <c r="AD107" s="344">
        <f>IFERROR(__xludf.DUMMYFUNCTION("""COMPUTED_VALUE"""),12.9)</f>
        <v>12.9</v>
      </c>
      <c r="AE107" s="343">
        <f>IFERROR(__xludf.DUMMYFUNCTION("""COMPUTED_VALUE"""),37.2)</f>
        <v>37.2</v>
      </c>
      <c r="AF107" s="343">
        <f>IFERROR(__xludf.DUMMYFUNCTION("""COMPUTED_VALUE"""),2.0)</f>
        <v>2</v>
      </c>
      <c r="AG107" s="292" t="b">
        <f>IFERROR(__xludf.DUMMYFUNCTION("""COMPUTED_VALUE"""),FALSE)</f>
        <v>0</v>
      </c>
      <c r="AH107" s="292" t="b">
        <f>IFERROR(__xludf.DUMMYFUNCTION("""COMPUTED_VALUE"""),FALSE)</f>
        <v>0</v>
      </c>
      <c r="AI107" s="292" t="b">
        <f>IFERROR(__xludf.DUMMYFUNCTION("""COMPUTED_VALUE"""),FALSE)</f>
        <v>0</v>
      </c>
      <c r="AJ107" s="292" t="b">
        <f>IFERROR(__xludf.DUMMYFUNCTION("""COMPUTED_VALUE"""),FALSE)</f>
        <v>0</v>
      </c>
      <c r="AK107" s="292" t="b">
        <f>IFERROR(__xludf.DUMMYFUNCTION("""COMPUTED_VALUE"""),FALSE)</f>
        <v>0</v>
      </c>
      <c r="AL107" s="292" t="b">
        <f>IFERROR(__xludf.DUMMYFUNCTION("""COMPUTED_VALUE"""),FALSE)</f>
        <v>0</v>
      </c>
      <c r="AM107" s="292" t="b">
        <f>IFERROR(__xludf.DUMMYFUNCTION("""COMPUTED_VALUE"""),TRUE)</f>
        <v>1</v>
      </c>
      <c r="AN107" s="292" t="b">
        <f>IFERROR(__xludf.DUMMYFUNCTION("""COMPUTED_VALUE"""),FALSE)</f>
        <v>0</v>
      </c>
      <c r="AO107" s="292" t="str">
        <f>IFERROR(__xludf.DUMMYFUNCTION("""COMPUTED_VALUE"""),"TRUE")</f>
        <v>TRUE</v>
      </c>
      <c r="AP107" s="292" t="str">
        <f>IFERROR(__xludf.DUMMYFUNCTION("""COMPUTED_VALUE"""),"Chicken breast")</f>
        <v>Chicken breast</v>
      </c>
      <c r="AQ107" s="292" t="str">
        <f>IFERROR(__xludf.DUMMYFUNCTION("""COMPUTED_VALUE"""),"Chicken")</f>
        <v>Chicken</v>
      </c>
      <c r="AR107" s="292" t="str">
        <f>IFERROR(__xludf.DUMMYFUNCTION("""COMPUTED_VALUE"""),"Breast")</f>
        <v>Breast</v>
      </c>
      <c r="AS107" s="292" t="str">
        <f>IFERROR(__xludf.DUMMYFUNCTION("""COMPUTED_VALUE"""),"Cabbage")</f>
        <v>Cabbage</v>
      </c>
      <c r="AT107" s="292" t="str">
        <f>IFERROR(__xludf.DUMMYFUNCTION("""COMPUTED_VALUE"""),"Sweet Potato")</f>
        <v>Sweet Potato</v>
      </c>
      <c r="AU107" s="292" t="str">
        <f>IFERROR(__xludf.DUMMYFUNCTION("""COMPUTED_VALUE"""),"Green Beans")</f>
        <v>Green Beans</v>
      </c>
      <c r="AV107" s="292" t="str">
        <f>IFERROR(__xludf.DUMMYFUNCTION("""COMPUTED_VALUE"""),"Nuts")</f>
        <v>Nuts</v>
      </c>
      <c r="AW107" s="292" t="str">
        <f>IFERROR(__xludf.DUMMYFUNCTION("""COMPUTED_VALUE"""),"Year Round")</f>
        <v>Year Round</v>
      </c>
      <c r="AX107" s="292" t="str">
        <f>IFERROR(__xludf.DUMMYFUNCTION("""COMPUTED_VALUE"""),"American")</f>
        <v>American</v>
      </c>
      <c r="AY107" s="292"/>
      <c r="AZ107" s="292" t="str">
        <f>IFERROR(__xludf.DUMMYFUNCTION("""COMPUTED_VALUE"""),"2 CT")</f>
        <v>2 CT</v>
      </c>
      <c r="BA107" s="292" t="b">
        <f>IFERROR(__xludf.DUMMYFUNCTION("""COMPUTED_VALUE"""),FALSE)</f>
        <v>0</v>
      </c>
      <c r="BB107" s="342">
        <f>IFERROR(__xludf.DUMMYFUNCTION("""COMPUTED_VALUE"""),2.51)</f>
        <v>2.51</v>
      </c>
      <c r="BC107" s="342">
        <f>IFERROR(__xludf.DUMMYFUNCTION("""COMPUTED_VALUE"""),1.28)</f>
        <v>1.28</v>
      </c>
      <c r="BD107" s="342">
        <f>IFERROR(__xludf.DUMMYFUNCTION("""COMPUTED_VALUE"""),0.36)</f>
        <v>0.36</v>
      </c>
      <c r="BE107" s="342">
        <f>IFERROR(__xludf.DUMMYFUNCTION("""COMPUTED_VALUE"""),0.89)</f>
        <v>0.89</v>
      </c>
      <c r="BF107" s="296" t="str">
        <f>IFERROR(__xludf.DUMMYFUNCTION("""COMPUTED_VALUE"""),"#REF!")</f>
        <v>#REF!</v>
      </c>
      <c r="BG107" s="296" t="str">
        <f>IFERROR(__xludf.DUMMYFUNCTION("""COMPUTED_VALUE"""),"#REF!")</f>
        <v>#REF!</v>
      </c>
      <c r="BH107" s="296" t="str">
        <f>IFERROR(__xludf.DUMMYFUNCTION("""COMPUTED_VALUE"""),"#REF!")</f>
        <v>#REF!</v>
      </c>
      <c r="BI107" s="295">
        <f>IFERROR(__xludf.DUMMYFUNCTION("""COMPUTED_VALUE"""),159.0)</f>
        <v>159</v>
      </c>
      <c r="BJ107" s="295" t="str">
        <f>IFERROR(__xludf.DUMMYFUNCTION("""COMPUTED_VALUE"""),"FALSE")</f>
        <v>FALSE</v>
      </c>
      <c r="BK107" s="346">
        <f>IFERROR(__xludf.DUMMYFUNCTION("""COMPUTED_VALUE"""),2560.0)</f>
        <v>2560</v>
      </c>
      <c r="BL107" s="292" t="str">
        <f>IFERROR(__xludf.DUMMYFUNCTION("""COMPUTED_VALUE"""),"Frankenstein")</f>
        <v>Frankenstein</v>
      </c>
      <c r="BM107" s="292" t="str">
        <f>IFERROR(__xludf.DUMMYFUNCTION("""COMPUTED_VALUE"""),"Kyckling och savoykål i ostsås")</f>
        <v>Kyckling och savoykål i ostsås</v>
      </c>
      <c r="BN107" s="292"/>
      <c r="BO107" s="292"/>
      <c r="BP107" s="292"/>
      <c r="BQ107" s="292" t="str">
        <f>IFERROR(__xludf.DUMMYFUNCTION("""COMPUTED_VALUE"""),"Hold")</f>
        <v>Hold</v>
      </c>
      <c r="BR107" s="292" t="b">
        <f>IFERROR(__xludf.DUMMYFUNCTION("""COMPUTED_VALUE"""),FALSE)</f>
        <v>0</v>
      </c>
      <c r="BS107" s="292" t="b">
        <f>IFERROR(__xludf.DUMMYFUNCTION("""COMPUTED_VALUE"""),FALSE)</f>
        <v>0</v>
      </c>
      <c r="BT107" s="345">
        <f>IFERROR(__xludf.DUMMYFUNCTION("""COMPUTED_VALUE"""),640.0)</f>
        <v>640</v>
      </c>
      <c r="BU107" s="345">
        <f>IFERROR(__xludf.DUMMYFUNCTION("""COMPUTED_VALUE"""),153.0)</f>
        <v>153</v>
      </c>
      <c r="BV107" s="344">
        <f>IFERROR(__xludf.DUMMYFUNCTION("""COMPUTED_VALUE"""),8.05)</f>
        <v>8.05</v>
      </c>
      <c r="BW107" s="344">
        <f>IFERROR(__xludf.DUMMYFUNCTION("""COMPUTED_VALUE"""),2.34)</f>
        <v>2.34</v>
      </c>
    </row>
    <row r="108">
      <c r="A108" s="292" t="str">
        <f>IFERROR(__xludf.DUMMYFUNCTION("""COMPUTED_VALUE"""),"FE4020A")</f>
        <v>FE4020A</v>
      </c>
      <c r="B108" s="292" t="str">
        <f>IFERROR(__xludf.DUMMYFUNCTION("""COMPUTED_VALUE"""),"CON-40-143662-4")</f>
        <v>CON-40-143662-4</v>
      </c>
      <c r="C108" s="292" t="str">
        <f>IFERROR(__xludf.DUMMYFUNCTION("""COMPUTED_VALUE"""),"CON-00-147881-2")</f>
        <v>CON-00-147881-2</v>
      </c>
      <c r="D108" s="292" t="str">
        <f>IFERROR(__xludf.DUMMYFUNCTION("""COMPUTED_VALUE"""),"CON-00-136679-3")</f>
        <v>CON-00-136679-3</v>
      </c>
      <c r="E108" s="292" t="str">
        <f>IFERROR(__xludf.DUMMYFUNCTION("""COMPUTED_VALUE"""),"Grilled pork tenderloin with broccoli in peppersauce")</f>
        <v>Grilled pork tenderloin with broccoli in peppersauce</v>
      </c>
      <c r="F108" s="292" t="str">
        <f>IFERROR(__xludf.DUMMYFUNCTION("""COMPUTED_VALUE"""),"with cauliflower rice in rosemary-cheesesauce")</f>
        <v>with cauliflower rice in rosemary-cheesesauce</v>
      </c>
      <c r="G108" s="292" t="str">
        <f>IFERROR(__xludf.DUMMYFUNCTION("""COMPUTED_VALUE"""),"Gegrilde varkenshaas met broccoli in paprikasaus")</f>
        <v>Gegrilde varkenshaas met broccoli in paprikasaus</v>
      </c>
      <c r="H108" s="292" t="str">
        <f>IFERROR(__xludf.DUMMYFUNCTION("""COMPUTED_VALUE"""),"met bloemkoolrijst in rozemarijn-kaassaus ")</f>
        <v>met bloemkoolrijst in rozemarijn-kaassaus </v>
      </c>
      <c r="I108" s="292" t="str">
        <f>IFERROR(__xludf.DUMMYFUNCTION("""COMPUTED_VALUE"""),"Grillet svinemørbrad med broccoli i pebersauce")</f>
        <v>Grillet svinemørbrad med broccoli i pebersauce</v>
      </c>
      <c r="J108" s="292" t="str">
        <f>IFERROR(__xludf.DUMMYFUNCTION("""COMPUTED_VALUE"""),"Gegrilltes Schweinefilet mit Brokkoli in Paprikasauce")</f>
        <v>Gegrilltes Schweinefilet mit Brokkoli in Paprikasauce</v>
      </c>
      <c r="K108" s="292">
        <f>IFERROR(__xludf.DUMMYFUNCTION("""COMPUTED_VALUE"""),565071.0)</f>
        <v>565071</v>
      </c>
      <c r="L108" s="292" t="str">
        <f>IFERROR(__xludf.DUMMYFUNCTION("""COMPUTED_VALUE"""),"HF Gegrilde varkenshaas met broccoli in paprikasaus")</f>
        <v>HF Gegrilde varkenshaas met broccoli in paprikasaus</v>
      </c>
      <c r="M108" s="292" t="str">
        <f>IFERROR(__xludf.DUMMYFUNCTION("""COMPUTED_VALUE"""),"FA-NL Gegrilde varkenshaas met broccoli in paprikasaus (FE4020)")</f>
        <v>FA-NL Gegrilde varkenshaas met broccoli in paprikasaus (FE4020)</v>
      </c>
      <c r="N108" s="292" t="str">
        <f>IFERROR(__xludf.DUMMYFUNCTION("""COMPUTED_VALUE"""),"FA-NO Grillet svinemørbrad med broccoli i pebersauce (FE4020)")</f>
        <v>FA-NO Grillet svinemørbrad med broccoli i pebersauce (FE4020)</v>
      </c>
      <c r="O108" s="292" t="str">
        <f>IFERROR(__xludf.DUMMYFUNCTION("""COMPUTED_VALUE"""),"FA-DE Gegrilltes Schweinefilet mit Brokkoli in Paprikasauce (FE4020)")</f>
        <v>FA-DE Gegrilltes Schweinefilet mit Brokkoli in Paprikasauce (FE4020)</v>
      </c>
      <c r="P108" s="292" t="str">
        <f>IFERROR(__xludf.DUMMYFUNCTION("""COMPUTED_VALUE"""),"Active")</f>
        <v>Active</v>
      </c>
      <c r="Q108" s="292"/>
      <c r="R108" s="342">
        <f>IFERROR(__xludf.DUMMYFUNCTION("""COMPUTED_VALUE"""),5.14)</f>
        <v>5.14</v>
      </c>
      <c r="S108" s="292"/>
      <c r="T108" s="292"/>
      <c r="U108" s="292"/>
      <c r="V108" s="292"/>
      <c r="W108" s="292" t="b">
        <f>IFERROR(__xludf.DUMMYFUNCTION("""COMPUTED_VALUE"""),FALSE)</f>
        <v>0</v>
      </c>
      <c r="X108" s="345">
        <f>IFERROR(__xludf.DUMMYFUNCTION("""COMPUTED_VALUE"""),381.0)</f>
        <v>381</v>
      </c>
      <c r="Y108" s="344">
        <f>IFERROR(__xludf.DUMMYFUNCTION("""COMPUTED_VALUE"""),564.0)</f>
        <v>564</v>
      </c>
      <c r="Z108" s="343">
        <f>IFERROR(__xludf.DUMMYFUNCTION("""COMPUTED_VALUE"""),38.4)</f>
        <v>38.4</v>
      </c>
      <c r="AA108" s="344">
        <f>IFERROR(__xludf.DUMMYFUNCTION("""COMPUTED_VALUE"""),16.6)</f>
        <v>16.6</v>
      </c>
      <c r="AB108" s="344">
        <f>IFERROR(__xludf.DUMMYFUNCTION("""COMPUTED_VALUE"""),14.1)</f>
        <v>14.1</v>
      </c>
      <c r="AC108" s="344">
        <f>IFERROR(__xludf.DUMMYFUNCTION("""COMPUTED_VALUE"""),9.9)</f>
        <v>9.9</v>
      </c>
      <c r="AD108" s="344">
        <f>IFERROR(__xludf.DUMMYFUNCTION("""COMPUTED_VALUE"""),6.2)</f>
        <v>6.2</v>
      </c>
      <c r="AE108" s="343">
        <f>IFERROR(__xludf.DUMMYFUNCTION("""COMPUTED_VALUE"""),36.8)</f>
        <v>36.8</v>
      </c>
      <c r="AF108" s="343">
        <f>IFERROR(__xludf.DUMMYFUNCTION("""COMPUTED_VALUE"""),2.04)</f>
        <v>2.04</v>
      </c>
      <c r="AG108" s="292" t="b">
        <f>IFERROR(__xludf.DUMMYFUNCTION("""COMPUTED_VALUE"""),FALSE)</f>
        <v>0</v>
      </c>
      <c r="AH108" s="292" t="b">
        <f>IFERROR(__xludf.DUMMYFUNCTION("""COMPUTED_VALUE"""),TRUE)</f>
        <v>1</v>
      </c>
      <c r="AI108" s="292" t="b">
        <f>IFERROR(__xludf.DUMMYFUNCTION("""COMPUTED_VALUE"""),FALSE)</f>
        <v>0</v>
      </c>
      <c r="AJ108" s="292" t="b">
        <f>IFERROR(__xludf.DUMMYFUNCTION("""COMPUTED_VALUE"""),FALSE)</f>
        <v>0</v>
      </c>
      <c r="AK108" s="292" t="b">
        <f>IFERROR(__xludf.DUMMYFUNCTION("""COMPUTED_VALUE"""),FALSE)</f>
        <v>0</v>
      </c>
      <c r="AL108" s="292" t="b">
        <f>IFERROR(__xludf.DUMMYFUNCTION("""COMPUTED_VALUE"""),FALSE)</f>
        <v>0</v>
      </c>
      <c r="AM108" s="292" t="b">
        <f>IFERROR(__xludf.DUMMYFUNCTION("""COMPUTED_VALUE"""),TRUE)</f>
        <v>1</v>
      </c>
      <c r="AN108" s="292" t="b">
        <f>IFERROR(__xludf.DUMMYFUNCTION("""COMPUTED_VALUE"""),FALSE)</f>
        <v>0</v>
      </c>
      <c r="AO108" s="292" t="str">
        <f>IFERROR(__xludf.DUMMYFUNCTION("""COMPUTED_VALUE"""),"FALSE")</f>
        <v>FALSE</v>
      </c>
      <c r="AP108" s="292" t="str">
        <f>IFERROR(__xludf.DUMMYFUNCTION("""COMPUTED_VALUE"""),"Pork tenderloin")</f>
        <v>Pork tenderloin</v>
      </c>
      <c r="AQ108" s="292" t="str">
        <f>IFERROR(__xludf.DUMMYFUNCTION("""COMPUTED_VALUE"""),"Pork")</f>
        <v>Pork</v>
      </c>
      <c r="AR108" s="292" t="str">
        <f>IFERROR(__xludf.DUMMYFUNCTION("""COMPUTED_VALUE"""),"Tenderloin")</f>
        <v>Tenderloin</v>
      </c>
      <c r="AS108" s="292" t="str">
        <f>IFERROR(__xludf.DUMMYFUNCTION("""COMPUTED_VALUE"""),"Cauliflower Rice")</f>
        <v>Cauliflower Rice</v>
      </c>
      <c r="AT108" s="292" t="str">
        <f>IFERROR(__xludf.DUMMYFUNCTION("""COMPUTED_VALUE"""),"Broccoli")</f>
        <v>Broccoli</v>
      </c>
      <c r="AU108" s="292" t="str">
        <f>IFERROR(__xludf.DUMMYFUNCTION("""COMPUTED_VALUE"""),"Cheese")</f>
        <v>Cheese</v>
      </c>
      <c r="AV108" s="292" t="str">
        <f>IFERROR(__xludf.DUMMYFUNCTION("""COMPUTED_VALUE"""),"Compound Butter")</f>
        <v>Compound Butter</v>
      </c>
      <c r="AW108" s="292" t="str">
        <f>IFERROR(__xludf.DUMMYFUNCTION("""COMPUTED_VALUE"""),"Year Round")</f>
        <v>Year Round</v>
      </c>
      <c r="AX108" s="292" t="str">
        <f>IFERROR(__xludf.DUMMYFUNCTION("""COMPUTED_VALUE"""),"American")</f>
        <v>American</v>
      </c>
      <c r="AY108" s="292"/>
      <c r="AZ108" s="292" t="str">
        <f>IFERROR(__xludf.DUMMYFUNCTION("""COMPUTED_VALUE"""),"2 CT")</f>
        <v>2 CT</v>
      </c>
      <c r="BA108" s="292" t="b">
        <f>IFERROR(__xludf.DUMMYFUNCTION("""COMPUTED_VALUE"""),FALSE)</f>
        <v>0</v>
      </c>
      <c r="BB108" s="342">
        <f>IFERROR(__xludf.DUMMYFUNCTION("""COMPUTED_VALUE"""),2.71)</f>
        <v>2.71</v>
      </c>
      <c r="BC108" s="342">
        <f>IFERROR(__xludf.DUMMYFUNCTION("""COMPUTED_VALUE"""),1.18)</f>
        <v>1.18</v>
      </c>
      <c r="BD108" s="342">
        <f>IFERROR(__xludf.DUMMYFUNCTION("""COMPUTED_VALUE"""),0.36)</f>
        <v>0.36</v>
      </c>
      <c r="BE108" s="342">
        <f>IFERROR(__xludf.DUMMYFUNCTION("""COMPUTED_VALUE"""),0.89)</f>
        <v>0.89</v>
      </c>
      <c r="BF108" s="296">
        <f>IFERROR(__xludf.DUMMYFUNCTION("""COMPUTED_VALUE"""),3.1429780337751354)</f>
        <v>3.142978034</v>
      </c>
      <c r="BG108" s="296">
        <f>IFERROR(__xludf.DUMMYFUNCTION("""COMPUTED_VALUE"""),3.2343078891732504)</f>
        <v>3.234307889</v>
      </c>
      <c r="BH108" s="296">
        <f>IFERROR(__xludf.DUMMYFUNCTION("""COMPUTED_VALUE"""),3.427109440267335)</f>
        <v>3.42710944</v>
      </c>
      <c r="BI108" s="295">
        <f>IFERROR(__xludf.DUMMYFUNCTION("""COMPUTED_VALUE"""),176.0)</f>
        <v>176</v>
      </c>
      <c r="BJ108" s="295" t="str">
        <f>IFERROR(__xludf.DUMMYFUNCTION("""COMPUTED_VALUE"""),"FALSE")</f>
        <v>FALSE</v>
      </c>
      <c r="BK108" s="346">
        <f>IFERROR(__xludf.DUMMYFUNCTION("""COMPUTED_VALUE"""),2347.0)</f>
        <v>2347</v>
      </c>
      <c r="BL108" s="292" t="str">
        <f>IFERROR(__xludf.DUMMYFUNCTION("""COMPUTED_VALUE"""),"Frankenstein")</f>
        <v>Frankenstein</v>
      </c>
      <c r="BM108" s="292" t="str">
        <f>IFERROR(__xludf.DUMMYFUNCTION("""COMPUTED_VALUE"""),"Grillad fläskfilé med broccoli i paprikasås")</f>
        <v>Grillad fläskfilé med broccoli i paprikasås</v>
      </c>
      <c r="BN108" s="343">
        <f>IFERROR(__xludf.DUMMYFUNCTION("""COMPUTED_VALUE"""),3.439587128111718)</f>
        <v>3.439587128</v>
      </c>
      <c r="BO108" s="343">
        <f>IFERROR(__xludf.DUMMYFUNCTION("""COMPUTED_VALUE"""),3.3518518518518516)</f>
        <v>3.351851852</v>
      </c>
      <c r="BP108" s="292"/>
      <c r="BQ108" s="292" t="str">
        <f>IFERROR(__xludf.DUMMYFUNCTION("""COMPUTED_VALUE"""),"Active")</f>
        <v>Active</v>
      </c>
      <c r="BR108" s="292" t="b">
        <f>IFERROR(__xludf.DUMMYFUNCTION("""COMPUTED_VALUE"""),FALSE)</f>
        <v>0</v>
      </c>
      <c r="BS108" s="292" t="b">
        <f>IFERROR(__xludf.DUMMYFUNCTION("""COMPUTED_VALUE"""),FALSE)</f>
        <v>0</v>
      </c>
      <c r="BT108" s="345">
        <f>IFERROR(__xludf.DUMMYFUNCTION("""COMPUTED_VALUE"""),616.0)</f>
        <v>616</v>
      </c>
      <c r="BU108" s="345">
        <f>IFERROR(__xludf.DUMMYFUNCTION("""COMPUTED_VALUE"""),148.1)</f>
        <v>148.1</v>
      </c>
      <c r="BV108" s="344">
        <f>IFERROR(__xludf.DUMMYFUNCTION("""COMPUTED_VALUE"""),10.1)</f>
        <v>10.1</v>
      </c>
      <c r="BW108" s="344">
        <f>IFERROR(__xludf.DUMMYFUNCTION("""COMPUTED_VALUE"""),4.4)</f>
        <v>4.4</v>
      </c>
    </row>
    <row r="109">
      <c r="A109" s="292" t="str">
        <f>IFERROR(__xludf.DUMMYFUNCTION("""COMPUTED_VALUE"""),"FE4021A")</f>
        <v>FE4021A</v>
      </c>
      <c r="B109" s="292" t="str">
        <f>IFERROR(__xludf.DUMMYFUNCTION("""COMPUTED_VALUE"""),"CON-40-143669-4")</f>
        <v>CON-40-143669-4</v>
      </c>
      <c r="C109" s="292" t="str">
        <f>IFERROR(__xludf.DUMMYFUNCTION("""COMPUTED_VALUE"""),"CON-00-147882-2")</f>
        <v>CON-00-147882-2</v>
      </c>
      <c r="D109" s="292" t="str">
        <f>IFERROR(__xludf.DUMMYFUNCTION("""COMPUTED_VALUE"""),"CON-00-136681-3")</f>
        <v>CON-00-136681-3</v>
      </c>
      <c r="E109" s="292" t="str">
        <f>IFERROR(__xludf.DUMMYFUNCTION("""COMPUTED_VALUE"""),"Savory chickpeacake &amp; couscous")</f>
        <v>Savory chickpeacake &amp; couscous</v>
      </c>
      <c r="F109" s="292" t="str">
        <f>IFERROR(__xludf.DUMMYFUNCTION("""COMPUTED_VALUE"""),"with Morrocan spices, grilled peppersauce and feta")</f>
        <v>with Morrocan spices, grilled peppersauce and feta</v>
      </c>
      <c r="G109" s="292" t="str">
        <f>IFERROR(__xludf.DUMMYFUNCTION("""COMPUTED_VALUE"""),"Hartige kikkererwtentaart &amp; couscous")</f>
        <v>Hartige kikkererwtentaart &amp; couscous</v>
      </c>
      <c r="H109" s="292" t="str">
        <f>IFERROR(__xludf.DUMMYFUNCTION("""COMPUTED_VALUE"""),"met Marokkaanse kruiden, gegrilde paprikasaus en feta")</f>
        <v>met Marokkaanse kruiden, gegrilde paprikasaus en feta</v>
      </c>
      <c r="I109" s="292" t="str">
        <f>IFERROR(__xludf.DUMMYFUNCTION("""COMPUTED_VALUE"""),"Marokkansk kikærtekage og couscous ")</f>
        <v>Marokkansk kikærtekage og couscous </v>
      </c>
      <c r="J109" s="292" t="str">
        <f>IFERROR(__xludf.DUMMYFUNCTION("""COMPUTED_VALUE"""),"Herzhafte Kichererbsenpfanne mit Couscous")</f>
        <v>Herzhafte Kichererbsenpfanne mit Couscous</v>
      </c>
      <c r="K109" s="292">
        <f>IFERROR(__xludf.DUMMYFUNCTION("""COMPUTED_VALUE"""),565073.0)</f>
        <v>565073</v>
      </c>
      <c r="L109" s="292" t="str">
        <f>IFERROR(__xludf.DUMMYFUNCTION("""COMPUTED_VALUE"""),"HF Kruidige kikkererwt")</f>
        <v>HF Kruidige kikkererwt</v>
      </c>
      <c r="M109" s="292" t="str">
        <f>IFERROR(__xludf.DUMMYFUNCTION("""COMPUTED_VALUE"""),"FA-NL Hartige kikkererwtentaart &amp; couscous (FE4021)")</f>
        <v>FA-NL Hartige kikkererwtentaart &amp; couscous (FE4021)</v>
      </c>
      <c r="N109" s="292" t="str">
        <f>IFERROR(__xludf.DUMMYFUNCTION("""COMPUTED_VALUE"""),"FA-NO Marokkansk kikærtekage og couscous (FE4021)")</f>
        <v>FA-NO Marokkansk kikærtekage og couscous (FE4021)</v>
      </c>
      <c r="O109" s="292" t="str">
        <f>IFERROR(__xludf.DUMMYFUNCTION("""COMPUTED_VALUE"""),"FA-DE Herzhafte Kichererbsenpfanne mit Couscous (FE4021)")</f>
        <v>FA-DE Herzhafte Kichererbsenpfanne mit Couscous (FE4021)</v>
      </c>
      <c r="P109" s="292" t="str">
        <f>IFERROR(__xludf.DUMMYFUNCTION("""COMPUTED_VALUE"""),"Hold")</f>
        <v>Hold</v>
      </c>
      <c r="Q109" s="292" t="str">
        <f>IFERROR(__xludf.DUMMYFUNCTION("""COMPUTED_VALUE"""),"on hold due to change in RM raisins, sunflower oil was replaced with cotton seed oil")</f>
        <v>on hold due to change in RM raisins, sunflower oil was replaced with cotton seed oil</v>
      </c>
      <c r="R109" s="342">
        <f>IFERROR(__xludf.DUMMYFUNCTION("""COMPUTED_VALUE"""),3.94)</f>
        <v>3.94</v>
      </c>
      <c r="S109" s="292"/>
      <c r="T109" s="292"/>
      <c r="U109" s="292"/>
      <c r="V109" s="292"/>
      <c r="W109" s="292" t="b">
        <f>IFERROR(__xludf.DUMMYFUNCTION("""COMPUTED_VALUE"""),TRUE)</f>
        <v>1</v>
      </c>
      <c r="X109" s="345">
        <f>IFERROR(__xludf.DUMMYFUNCTION("""COMPUTED_VALUE"""),404.0)</f>
        <v>404</v>
      </c>
      <c r="Y109" s="344">
        <f>IFERROR(__xludf.DUMMYFUNCTION("""COMPUTED_VALUE"""),614.0)</f>
        <v>614</v>
      </c>
      <c r="Z109" s="343">
        <f>IFERROR(__xludf.DUMMYFUNCTION("""COMPUTED_VALUE"""),21.7)</f>
        <v>21.7</v>
      </c>
      <c r="AA109" s="344">
        <f>IFERROR(__xludf.DUMMYFUNCTION("""COMPUTED_VALUE"""),6.5)</f>
        <v>6.5</v>
      </c>
      <c r="AB109" s="344">
        <f>IFERROR(__xludf.DUMMYFUNCTION("""COMPUTED_VALUE"""),74.3)</f>
        <v>74.3</v>
      </c>
      <c r="AC109" s="344">
        <f>IFERROR(__xludf.DUMMYFUNCTION("""COMPUTED_VALUE"""),19.9)</f>
        <v>19.9</v>
      </c>
      <c r="AD109" s="344">
        <f>IFERROR(__xludf.DUMMYFUNCTION("""COMPUTED_VALUE"""),16.4)</f>
        <v>16.4</v>
      </c>
      <c r="AE109" s="343">
        <f>IFERROR(__xludf.DUMMYFUNCTION("""COMPUTED_VALUE"""),21.1)</f>
        <v>21.1</v>
      </c>
      <c r="AF109" s="343">
        <f>IFERROR(__xludf.DUMMYFUNCTION("""COMPUTED_VALUE"""),2.02)</f>
        <v>2.02</v>
      </c>
      <c r="AG109" s="292" t="b">
        <f>IFERROR(__xludf.DUMMYFUNCTION("""COMPUTED_VALUE"""),FALSE)</f>
        <v>0</v>
      </c>
      <c r="AH109" s="292" t="b">
        <f>IFERROR(__xludf.DUMMYFUNCTION("""COMPUTED_VALUE"""),FALSE)</f>
        <v>0</v>
      </c>
      <c r="AI109" s="292" t="b">
        <f>IFERROR(__xludf.DUMMYFUNCTION("""COMPUTED_VALUE"""),FALSE)</f>
        <v>0</v>
      </c>
      <c r="AJ109" s="292" t="b">
        <f>IFERROR(__xludf.DUMMYFUNCTION("""COMPUTED_VALUE"""),FALSE)</f>
        <v>0</v>
      </c>
      <c r="AK109" s="292" t="b">
        <f>IFERROR(__xludf.DUMMYFUNCTION("""COMPUTED_VALUE"""),TRUE)</f>
        <v>1</v>
      </c>
      <c r="AL109" s="292" t="b">
        <f>IFERROR(__xludf.DUMMYFUNCTION("""COMPUTED_VALUE"""),FALSE)</f>
        <v>0</v>
      </c>
      <c r="AM109" s="292" t="b">
        <f>IFERROR(__xludf.DUMMYFUNCTION("""COMPUTED_VALUE"""),FALSE)</f>
        <v>0</v>
      </c>
      <c r="AN109" s="292" t="b">
        <f>IFERROR(__xludf.DUMMYFUNCTION("""COMPUTED_VALUE"""),FALSE)</f>
        <v>0</v>
      </c>
      <c r="AO109" s="292" t="str">
        <f>IFERROR(__xludf.DUMMYFUNCTION("""COMPUTED_VALUE"""),"TRUE")</f>
        <v>TRUE</v>
      </c>
      <c r="AP109" s="292" t="str">
        <f>IFERROR(__xludf.DUMMYFUNCTION("""COMPUTED_VALUE"""),"Vegetarian")</f>
        <v>Vegetarian</v>
      </c>
      <c r="AQ109" s="292" t="str">
        <f>IFERROR(__xludf.DUMMYFUNCTION("""COMPUTED_VALUE"""),"Vegetarian")</f>
        <v>Vegetarian</v>
      </c>
      <c r="AR109" s="292" t="str">
        <f>IFERROR(__xludf.DUMMYFUNCTION("""COMPUTED_VALUE"""),"Legumes")</f>
        <v>Legumes</v>
      </c>
      <c r="AS109" s="292" t="str">
        <f>IFERROR(__xludf.DUMMYFUNCTION("""COMPUTED_VALUE"""),"Veggie-based Cake")</f>
        <v>Veggie-based Cake</v>
      </c>
      <c r="AT109" s="292" t="str">
        <f>IFERROR(__xludf.DUMMYFUNCTION("""COMPUTED_VALUE"""),"Couscous")</f>
        <v>Couscous</v>
      </c>
      <c r="AU109" s="292" t="str">
        <f>IFERROR(__xludf.DUMMYFUNCTION("""COMPUTED_VALUE"""),"Chickpeas")</f>
        <v>Chickpeas</v>
      </c>
      <c r="AV109" s="292" t="str">
        <f>IFERROR(__xludf.DUMMYFUNCTION("""COMPUTED_VALUE"""),"Tomato Based Sauce")</f>
        <v>Tomato Based Sauce</v>
      </c>
      <c r="AW109" s="292" t="str">
        <f>IFERROR(__xludf.DUMMYFUNCTION("""COMPUTED_VALUE"""),"Year Round")</f>
        <v>Year Round</v>
      </c>
      <c r="AX109" s="292" t="str">
        <f>IFERROR(__xludf.DUMMYFUNCTION("""COMPUTED_VALUE"""),"Moroccan")</f>
        <v>Moroccan</v>
      </c>
      <c r="AY109" s="292"/>
      <c r="AZ109" s="292" t="str">
        <f>IFERROR(__xludf.DUMMYFUNCTION("""COMPUTED_VALUE"""),"2 CT")</f>
        <v>2 CT</v>
      </c>
      <c r="BA109" s="292" t="b">
        <f>IFERROR(__xludf.DUMMYFUNCTION("""COMPUTED_VALUE"""),FALSE)</f>
        <v>0</v>
      </c>
      <c r="BB109" s="342">
        <f>IFERROR(__xludf.DUMMYFUNCTION("""COMPUTED_VALUE"""),1.75)</f>
        <v>1.75</v>
      </c>
      <c r="BC109" s="342">
        <f>IFERROR(__xludf.DUMMYFUNCTION("""COMPUTED_VALUE"""),0.98)</f>
        <v>0.98</v>
      </c>
      <c r="BD109" s="342">
        <f>IFERROR(__xludf.DUMMYFUNCTION("""COMPUTED_VALUE"""),0.362)</f>
        <v>0.362</v>
      </c>
      <c r="BE109" s="342">
        <f>IFERROR(__xludf.DUMMYFUNCTION("""COMPUTED_VALUE"""),0.89)</f>
        <v>0.89</v>
      </c>
      <c r="BF109" s="296" t="str">
        <f>IFERROR(__xludf.DUMMYFUNCTION("""COMPUTED_VALUE"""),"#REF!")</f>
        <v>#REF!</v>
      </c>
      <c r="BG109" s="296" t="str">
        <f>IFERROR(__xludf.DUMMYFUNCTION("""COMPUTED_VALUE"""),"#REF!")</f>
        <v>#REF!</v>
      </c>
      <c r="BH109" s="296" t="str">
        <f>IFERROR(__xludf.DUMMYFUNCTION("""COMPUTED_VALUE"""),"#REF!")</f>
        <v>#REF!</v>
      </c>
      <c r="BI109" s="295">
        <f>IFERROR(__xludf.DUMMYFUNCTION("""COMPUTED_VALUE"""),151.0)</f>
        <v>151</v>
      </c>
      <c r="BJ109" s="295" t="str">
        <f>IFERROR(__xludf.DUMMYFUNCTION("""COMPUTED_VALUE"""),"FALSE")</f>
        <v>FALSE</v>
      </c>
      <c r="BK109" s="346">
        <f>IFERROR(__xludf.DUMMYFUNCTION("""COMPUTED_VALUE"""),2573.0)</f>
        <v>2573</v>
      </c>
      <c r="BL109" s="292" t="str">
        <f>IFERROR(__xludf.DUMMYFUNCTION("""COMPUTED_VALUE"""),"Local Development")</f>
        <v>Local Development</v>
      </c>
      <c r="BM109" s="292" t="str">
        <f>IFERROR(__xludf.DUMMYFUNCTION("""COMPUTED_VALUE"""),"Marockansk kikärtskaka och couscous ")</f>
        <v>Marockansk kikärtskaka och couscous </v>
      </c>
      <c r="BN109" s="292"/>
      <c r="BO109" s="292"/>
      <c r="BP109" s="292"/>
      <c r="BQ109" s="292" t="str">
        <f>IFERROR(__xludf.DUMMYFUNCTION("""COMPUTED_VALUE"""),"Hold")</f>
        <v>Hold</v>
      </c>
      <c r="BR109" s="292" t="b">
        <f>IFERROR(__xludf.DUMMYFUNCTION("""COMPUTED_VALUE"""),FALSE)</f>
        <v>0</v>
      </c>
      <c r="BS109" s="292" t="b">
        <f>IFERROR(__xludf.DUMMYFUNCTION("""COMPUTED_VALUE"""),FALSE)</f>
        <v>0</v>
      </c>
      <c r="BT109" s="345">
        <f>IFERROR(__xludf.DUMMYFUNCTION("""COMPUTED_VALUE"""),637.0)</f>
        <v>637</v>
      </c>
      <c r="BU109" s="345">
        <f>IFERROR(__xludf.DUMMYFUNCTION("""COMPUTED_VALUE"""),152.0)</f>
        <v>152</v>
      </c>
      <c r="BV109" s="344">
        <f>IFERROR(__xludf.DUMMYFUNCTION("""COMPUTED_VALUE"""),5.38)</f>
        <v>5.38</v>
      </c>
      <c r="BW109" s="344">
        <f>IFERROR(__xludf.DUMMYFUNCTION("""COMPUTED_VALUE"""),1.6)</f>
        <v>1.6</v>
      </c>
    </row>
    <row r="110">
      <c r="A110" s="292" t="str">
        <f>IFERROR(__xludf.DUMMYFUNCTION("""COMPUTED_VALUE"""),"FE4022A")</f>
        <v>FE4022A</v>
      </c>
      <c r="B110" s="292" t="str">
        <f>IFERROR(__xludf.DUMMYFUNCTION("""COMPUTED_VALUE"""),"CON-40-143746-4")</f>
        <v>CON-40-143746-4</v>
      </c>
      <c r="C110" s="292" t="str">
        <f>IFERROR(__xludf.DUMMYFUNCTION("""COMPUTED_VALUE"""),"CON-00-147883-2")</f>
        <v>CON-00-147883-2</v>
      </c>
      <c r="D110" s="292" t="str">
        <f>IFERROR(__xludf.DUMMYFUNCTION("""COMPUTED_VALUE"""),"CON-00-136684-3")</f>
        <v>CON-00-136684-3</v>
      </c>
      <c r="E110" s="292" t="str">
        <f>IFERROR(__xludf.DUMMYFUNCTION("""COMPUTED_VALUE"""),"Pork tenderloin with black pepper and sage")</f>
        <v>Pork tenderloin with black pepper and sage</v>
      </c>
      <c r="F110" s="292" t="str">
        <f>IFERROR(__xludf.DUMMYFUNCTION("""COMPUTED_VALUE"""),"with green cabbage and creamy broccoli")</f>
        <v>with green cabbage and creamy broccoli</v>
      </c>
      <c r="G110" s="292" t="str">
        <f>IFERROR(__xludf.DUMMYFUNCTION("""COMPUTED_VALUE"""),"Varkenshaas met zwarte peper &amp; salie")</f>
        <v>Varkenshaas met zwarte peper &amp; salie</v>
      </c>
      <c r="H110" s="292" t="str">
        <f>IFERROR(__xludf.DUMMYFUNCTION("""COMPUTED_VALUE"""),"met groene kool en romige broccoli")</f>
        <v>met groene kool en romige broccoli</v>
      </c>
      <c r="I110" s="292" t="str">
        <f>IFERROR(__xludf.DUMMYFUNCTION("""COMPUTED_VALUE"""),"Svinemørbrad med sort peber og salvie")</f>
        <v>Svinemørbrad med sort peber og salvie</v>
      </c>
      <c r="J110" s="292" t="str">
        <f>IFERROR(__xludf.DUMMYFUNCTION("""COMPUTED_VALUE"""),"Schweinefilet mit schwarzem Pfeffer und Salbei")</f>
        <v>Schweinefilet mit schwarzem Pfeffer und Salbei</v>
      </c>
      <c r="K110" s="292">
        <f>IFERROR(__xludf.DUMMYFUNCTION("""COMPUTED_VALUE"""),565086.0)</f>
        <v>565086</v>
      </c>
      <c r="L110" s="292" t="str">
        <f>IFERROR(__xludf.DUMMYFUNCTION("""COMPUTED_VALUE"""),"HF Varkenshaas zwarte peper sali")</f>
        <v>HF Varkenshaas zwarte peper sali</v>
      </c>
      <c r="M110" s="292" t="str">
        <f>IFERROR(__xludf.DUMMYFUNCTION("""COMPUTED_VALUE"""),"FA-NL Varkenshaas met zwarte peper &amp; salie (FE4022)")</f>
        <v>FA-NL Varkenshaas met zwarte peper &amp; salie (FE4022)</v>
      </c>
      <c r="N110" s="292" t="str">
        <f>IFERROR(__xludf.DUMMYFUNCTION("""COMPUTED_VALUE"""),"FA-NO Svinemørbrad med sort peber og salvie (FE4022)")</f>
        <v>FA-NO Svinemørbrad med sort peber og salvie (FE4022)</v>
      </c>
      <c r="O110" s="292" t="str">
        <f>IFERROR(__xludf.DUMMYFUNCTION("""COMPUTED_VALUE"""),"FA-DE Schweinefilet mit schwarzem Pfeffer und Salbei (FE4022)")</f>
        <v>FA-DE Schweinefilet mit schwarzem Pfeffer und Salbei (FE4022)</v>
      </c>
      <c r="P110" s="292" t="str">
        <f>IFERROR(__xludf.DUMMYFUNCTION("""COMPUTED_VALUE"""),"Graveyard")</f>
        <v>Graveyard</v>
      </c>
      <c r="Q110" s="292" t="str">
        <f>IFERROR(__xludf.DUMMYFUNCTION("""COMPUTED_VALUE"""),"New version")</f>
        <v>New version</v>
      </c>
      <c r="R110" s="342">
        <f>IFERROR(__xludf.DUMMYFUNCTION("""COMPUTED_VALUE"""),5.35)</f>
        <v>5.35</v>
      </c>
      <c r="S110" s="292"/>
      <c r="T110" s="292"/>
      <c r="U110" s="292"/>
      <c r="V110" s="292"/>
      <c r="W110" s="292" t="b">
        <f>IFERROR(__xludf.DUMMYFUNCTION("""COMPUTED_VALUE"""),FALSE)</f>
        <v>0</v>
      </c>
      <c r="X110" s="345">
        <f>IFERROR(__xludf.DUMMYFUNCTION("""COMPUTED_VALUE"""),354.0)</f>
        <v>354</v>
      </c>
      <c r="Y110" s="344">
        <f>IFERROR(__xludf.DUMMYFUNCTION("""COMPUTED_VALUE"""),680.0)</f>
        <v>680</v>
      </c>
      <c r="Z110" s="343">
        <f>IFERROR(__xludf.DUMMYFUNCTION("""COMPUTED_VALUE"""),50.6)</f>
        <v>50.6</v>
      </c>
      <c r="AA110" s="344">
        <f>IFERROR(__xludf.DUMMYFUNCTION("""COMPUTED_VALUE"""),22.0)</f>
        <v>22</v>
      </c>
      <c r="AB110" s="344">
        <f>IFERROR(__xludf.DUMMYFUNCTION("""COMPUTED_VALUE"""),14.2)</f>
        <v>14.2</v>
      </c>
      <c r="AC110" s="344">
        <f>IFERROR(__xludf.DUMMYFUNCTION("""COMPUTED_VALUE"""),11.7)</f>
        <v>11.7</v>
      </c>
      <c r="AD110" s="344">
        <f>IFERROR(__xludf.DUMMYFUNCTION("""COMPUTED_VALUE"""),5.7)</f>
        <v>5.7</v>
      </c>
      <c r="AE110" s="343">
        <f>IFERROR(__xludf.DUMMYFUNCTION("""COMPUTED_VALUE"""),38.2)</f>
        <v>38.2</v>
      </c>
      <c r="AF110" s="343">
        <f>IFERROR(__xludf.DUMMYFUNCTION("""COMPUTED_VALUE"""),1.95)</f>
        <v>1.95</v>
      </c>
      <c r="AG110" s="292" t="b">
        <f>IFERROR(__xludf.DUMMYFUNCTION("""COMPUTED_VALUE"""),FALSE)</f>
        <v>0</v>
      </c>
      <c r="AH110" s="292" t="b">
        <f>IFERROR(__xludf.DUMMYFUNCTION("""COMPUTED_VALUE"""),TRUE)</f>
        <v>1</v>
      </c>
      <c r="AI110" s="292" t="b">
        <f>IFERROR(__xludf.DUMMYFUNCTION("""COMPUTED_VALUE"""),FALSE)</f>
        <v>0</v>
      </c>
      <c r="AJ110" s="292" t="b">
        <f>IFERROR(__xludf.DUMMYFUNCTION("""COMPUTED_VALUE"""),FALSE)</f>
        <v>0</v>
      </c>
      <c r="AK110" s="292" t="b">
        <f>IFERROR(__xludf.DUMMYFUNCTION("""COMPUTED_VALUE"""),FALSE)</f>
        <v>0</v>
      </c>
      <c r="AL110" s="292" t="b">
        <f>IFERROR(__xludf.DUMMYFUNCTION("""COMPUTED_VALUE"""),FALSE)</f>
        <v>0</v>
      </c>
      <c r="AM110" s="292" t="b">
        <f>IFERROR(__xludf.DUMMYFUNCTION("""COMPUTED_VALUE"""),TRUE)</f>
        <v>1</v>
      </c>
      <c r="AN110" s="292" t="b">
        <f>IFERROR(__xludf.DUMMYFUNCTION("""COMPUTED_VALUE"""),FALSE)</f>
        <v>0</v>
      </c>
      <c r="AO110" s="292" t="str">
        <f>IFERROR(__xludf.DUMMYFUNCTION("""COMPUTED_VALUE"""),"FALSE")</f>
        <v>FALSE</v>
      </c>
      <c r="AP110" s="292" t="str">
        <f>IFERROR(__xludf.DUMMYFUNCTION("""COMPUTED_VALUE"""),"Pork tenderloin")</f>
        <v>Pork tenderloin</v>
      </c>
      <c r="AQ110" s="292" t="str">
        <f>IFERROR(__xludf.DUMMYFUNCTION("""COMPUTED_VALUE"""),"Pork")</f>
        <v>Pork</v>
      </c>
      <c r="AR110" s="292" t="str">
        <f>IFERROR(__xludf.DUMMYFUNCTION("""COMPUTED_VALUE"""),"Tenderloin")</f>
        <v>Tenderloin</v>
      </c>
      <c r="AS110" s="292" t="str">
        <f>IFERROR(__xludf.DUMMYFUNCTION("""COMPUTED_VALUE"""),"Cabbage")</f>
        <v>Cabbage</v>
      </c>
      <c r="AT110" s="292" t="str">
        <f>IFERROR(__xludf.DUMMYFUNCTION("""COMPUTED_VALUE"""),"Broccoli")</f>
        <v>Broccoli</v>
      </c>
      <c r="AU110" s="292" t="str">
        <f>IFERROR(__xludf.DUMMYFUNCTION("""COMPUTED_VALUE"""),"Cheese")</f>
        <v>Cheese</v>
      </c>
      <c r="AV110" s="292"/>
      <c r="AW110" s="292" t="str">
        <f>IFERROR(__xludf.DUMMYFUNCTION("""COMPUTED_VALUE"""),"Year Round")</f>
        <v>Year Round</v>
      </c>
      <c r="AX110" s="292" t="str">
        <f>IFERROR(__xludf.DUMMYFUNCTION("""COMPUTED_VALUE"""),"American")</f>
        <v>American</v>
      </c>
      <c r="AY110" s="292"/>
      <c r="AZ110" s="292" t="str">
        <f>IFERROR(__xludf.DUMMYFUNCTION("""COMPUTED_VALUE"""),"2 CT")</f>
        <v>2 CT</v>
      </c>
      <c r="BA110" s="292" t="b">
        <f>IFERROR(__xludf.DUMMYFUNCTION("""COMPUTED_VALUE"""),FALSE)</f>
        <v>0</v>
      </c>
      <c r="BB110" s="342">
        <f>IFERROR(__xludf.DUMMYFUNCTION("""COMPUTED_VALUE"""),3.05)</f>
        <v>3.05</v>
      </c>
      <c r="BC110" s="342">
        <f>IFERROR(__xludf.DUMMYFUNCTION("""COMPUTED_VALUE"""),1.1)</f>
        <v>1.1</v>
      </c>
      <c r="BD110" s="342">
        <f>IFERROR(__xludf.DUMMYFUNCTION("""COMPUTED_VALUE"""),0.362)</f>
        <v>0.362</v>
      </c>
      <c r="BE110" s="342">
        <f>IFERROR(__xludf.DUMMYFUNCTION("""COMPUTED_VALUE"""),0.89)</f>
        <v>0.89</v>
      </c>
      <c r="BF110" s="296" t="str">
        <f>IFERROR(__xludf.DUMMYFUNCTION("""COMPUTED_VALUE"""),"#REF!")</f>
        <v>#REF!</v>
      </c>
      <c r="BG110" s="296" t="str">
        <f>IFERROR(__xludf.DUMMYFUNCTION("""COMPUTED_VALUE"""),"#REF!")</f>
        <v>#REF!</v>
      </c>
      <c r="BH110" s="296" t="str">
        <f>IFERROR(__xludf.DUMMYFUNCTION("""COMPUTED_VALUE"""),"#REF!")</f>
        <v>#REF!</v>
      </c>
      <c r="BI110" s="295">
        <f>IFERROR(__xludf.DUMMYFUNCTION("""COMPUTED_VALUE"""),154.0)</f>
        <v>154</v>
      </c>
      <c r="BJ110" s="295" t="str">
        <f>IFERROR(__xludf.DUMMYFUNCTION("""COMPUTED_VALUE"""),"FALSE")</f>
        <v>FALSE</v>
      </c>
      <c r="BK110" s="346">
        <f>IFERROR(__xludf.DUMMYFUNCTION("""COMPUTED_VALUE"""),2821.0)</f>
        <v>2821</v>
      </c>
      <c r="BL110" s="292" t="str">
        <f>IFERROR(__xludf.DUMMYFUNCTION("""COMPUTED_VALUE"""),"US")</f>
        <v>US</v>
      </c>
      <c r="BM110" s="292" t="str">
        <f>IFERROR(__xludf.DUMMYFUNCTION("""COMPUTED_VALUE"""),"Fläskfilé med svartpeppar och salvia")</f>
        <v>Fläskfilé med svartpeppar och salvia</v>
      </c>
      <c r="BN110" s="292"/>
      <c r="BO110" s="292"/>
      <c r="BP110" s="292"/>
      <c r="BQ110" s="292" t="str">
        <f>IFERROR(__xludf.DUMMYFUNCTION("""COMPUTED_VALUE"""),"Graveyard")</f>
        <v>Graveyard</v>
      </c>
      <c r="BR110" s="292" t="b">
        <f>IFERROR(__xludf.DUMMYFUNCTION("""COMPUTED_VALUE"""),FALSE)</f>
        <v>0</v>
      </c>
      <c r="BS110" s="292" t="b">
        <f>IFERROR(__xludf.DUMMYFUNCTION("""COMPUTED_VALUE"""),FALSE)</f>
        <v>0</v>
      </c>
      <c r="BT110" s="345">
        <f>IFERROR(__xludf.DUMMYFUNCTION("""COMPUTED_VALUE"""),797.0)</f>
        <v>797</v>
      </c>
      <c r="BU110" s="345">
        <f>IFERROR(__xludf.DUMMYFUNCTION("""COMPUTED_VALUE"""),192.0)</f>
        <v>192</v>
      </c>
      <c r="BV110" s="344">
        <f>IFERROR(__xludf.DUMMYFUNCTION("""COMPUTED_VALUE"""),14.3)</f>
        <v>14.3</v>
      </c>
      <c r="BW110" s="344">
        <f>IFERROR(__xludf.DUMMYFUNCTION("""COMPUTED_VALUE"""),6.2)</f>
        <v>6.2</v>
      </c>
    </row>
    <row r="111">
      <c r="A111" s="292" t="str">
        <f>IFERROR(__xludf.DUMMYFUNCTION("""COMPUTED_VALUE"""),"FE4023A")</f>
        <v>FE4023A</v>
      </c>
      <c r="B111" s="292" t="str">
        <f>IFERROR(__xludf.DUMMYFUNCTION("""COMPUTED_VALUE"""),"CON-40-143684-4")</f>
        <v>CON-40-143684-4</v>
      </c>
      <c r="C111" s="292" t="str">
        <f>IFERROR(__xludf.DUMMYFUNCTION("""COMPUTED_VALUE"""),"CON-00-147884-2")</f>
        <v>CON-00-147884-2</v>
      </c>
      <c r="D111" s="292" t="str">
        <f>IFERROR(__xludf.DUMMYFUNCTION("""COMPUTED_VALUE"""),"CON-00-136687-3")</f>
        <v>CON-00-136687-3</v>
      </c>
      <c r="E111" s="292" t="str">
        <f>IFERROR(__xludf.DUMMYFUNCTION("""COMPUTED_VALUE"""),"Chicken in chive cream sauce")</f>
        <v>Chicken in chive cream sauce</v>
      </c>
      <c r="F111" s="292" t="str">
        <f>IFERROR(__xludf.DUMMYFUNCTION("""COMPUTED_VALUE"""),"with green beans and garlic-lemon butter")</f>
        <v>with green beans and garlic-lemon butter</v>
      </c>
      <c r="G111" s="292" t="str">
        <f>IFERROR(__xludf.DUMMYFUNCTION("""COMPUTED_VALUE"""),"Kipfilet in bieslookroomsaus")</f>
        <v>Kipfilet in bieslookroomsaus</v>
      </c>
      <c r="H111" s="292" t="str">
        <f>IFERROR(__xludf.DUMMYFUNCTION("""COMPUTED_VALUE"""),"met sperziebonen en knoflook-citroenboter")</f>
        <v>met sperziebonen en knoflook-citroenboter</v>
      </c>
      <c r="I111" s="292" t="str">
        <f>IFERROR(__xludf.DUMMYFUNCTION("""COMPUTED_VALUE"""),"Kylling i purløg-flødesauce")</f>
        <v>Kylling i purløg-flødesauce</v>
      </c>
      <c r="J111" s="292" t="str">
        <f>IFERROR(__xludf.DUMMYFUNCTION("""COMPUTED_VALUE"""),"Hähnchen in Schnittlauchcreme")</f>
        <v>Hähnchen in Schnittlauchcreme</v>
      </c>
      <c r="K111" s="292">
        <f>IFERROR(__xludf.DUMMYFUNCTION("""COMPUTED_VALUE"""),565080.0)</f>
        <v>565080</v>
      </c>
      <c r="L111" s="292" t="str">
        <f>IFERROR(__xludf.DUMMYFUNCTION("""COMPUTED_VALUE"""),"HF Kipfilet is bieslook roomsaus")</f>
        <v>HF Kipfilet is bieslook roomsaus</v>
      </c>
      <c r="M111" s="292" t="str">
        <f>IFERROR(__xludf.DUMMYFUNCTION("""COMPUTED_VALUE"""),"FA-NL Kipfilet in bieslookroomsaus (FE4023)")</f>
        <v>FA-NL Kipfilet in bieslookroomsaus (FE4023)</v>
      </c>
      <c r="N111" s="292" t="str">
        <f>IFERROR(__xludf.DUMMYFUNCTION("""COMPUTED_VALUE"""),"FA-NO Kylling i purløg-flødesauce (FE4023)")</f>
        <v>FA-NO Kylling i purløg-flødesauce (FE4023)</v>
      </c>
      <c r="O111" s="292" t="str">
        <f>IFERROR(__xludf.DUMMYFUNCTION("""COMPUTED_VALUE"""),"FA-DE Hähnchen in Schnittlauchcreme (FE4023)")</f>
        <v>FA-DE Hähnchen in Schnittlauchcreme (FE4023)</v>
      </c>
      <c r="P111" s="292" t="str">
        <f>IFERROR(__xludf.DUMMYFUNCTION("""COMPUTED_VALUE"""),"Graveyard")</f>
        <v>Graveyard</v>
      </c>
      <c r="Q111" s="292"/>
      <c r="R111" s="342">
        <f>IFERROR(__xludf.DUMMYFUNCTION("""COMPUTED_VALUE"""),4.85)</f>
        <v>4.85</v>
      </c>
      <c r="S111" s="292"/>
      <c r="T111" s="292"/>
      <c r="U111" s="292"/>
      <c r="V111" s="292"/>
      <c r="W111" s="292" t="b">
        <f>IFERROR(__xludf.DUMMYFUNCTION("""COMPUTED_VALUE"""),TRUE)</f>
        <v>1</v>
      </c>
      <c r="X111" s="345">
        <f>IFERROR(__xludf.DUMMYFUNCTION("""COMPUTED_VALUE"""),381.0)</f>
        <v>381</v>
      </c>
      <c r="Y111" s="344">
        <f>IFERROR(__xludf.DUMMYFUNCTION("""COMPUTED_VALUE"""),674.0)</f>
        <v>674</v>
      </c>
      <c r="Z111" s="343">
        <f>IFERROR(__xludf.DUMMYFUNCTION("""COMPUTED_VALUE"""),51.1)</f>
        <v>51.1</v>
      </c>
      <c r="AA111" s="344">
        <f>IFERROR(__xludf.DUMMYFUNCTION("""COMPUTED_VALUE"""),26.3)</f>
        <v>26.3</v>
      </c>
      <c r="AB111" s="344">
        <f>IFERROR(__xludf.DUMMYFUNCTION("""COMPUTED_VALUE"""),11.8)</f>
        <v>11.8</v>
      </c>
      <c r="AC111" s="344">
        <f>IFERROR(__xludf.DUMMYFUNCTION("""COMPUTED_VALUE"""),5.7)</f>
        <v>5.7</v>
      </c>
      <c r="AD111" s="344">
        <f>IFERROR(__xludf.DUMMYFUNCTION("""COMPUTED_VALUE"""),9.5)</f>
        <v>9.5</v>
      </c>
      <c r="AE111" s="343">
        <f>IFERROR(__xludf.DUMMYFUNCTION("""COMPUTED_VALUE"""),37.0)</f>
        <v>37</v>
      </c>
      <c r="AF111" s="343">
        <f>IFERROR(__xludf.DUMMYFUNCTION("""COMPUTED_VALUE"""),1.98)</f>
        <v>1.98</v>
      </c>
      <c r="AG111" s="292" t="b">
        <f>IFERROR(__xludf.DUMMYFUNCTION("""COMPUTED_VALUE"""),FALSE)</f>
        <v>0</v>
      </c>
      <c r="AH111" s="292" t="b">
        <f>IFERROR(__xludf.DUMMYFUNCTION("""COMPUTED_VALUE"""),TRUE)</f>
        <v>1</v>
      </c>
      <c r="AI111" s="292" t="b">
        <f>IFERROR(__xludf.DUMMYFUNCTION("""COMPUTED_VALUE"""),FALSE)</f>
        <v>0</v>
      </c>
      <c r="AJ111" s="292" t="b">
        <f>IFERROR(__xludf.DUMMYFUNCTION("""COMPUTED_VALUE"""),FALSE)</f>
        <v>0</v>
      </c>
      <c r="AK111" s="292" t="b">
        <f>IFERROR(__xludf.DUMMYFUNCTION("""COMPUTED_VALUE"""),FALSE)</f>
        <v>0</v>
      </c>
      <c r="AL111" s="292" t="b">
        <f>IFERROR(__xludf.DUMMYFUNCTION("""COMPUTED_VALUE"""),FALSE)</f>
        <v>0</v>
      </c>
      <c r="AM111" s="292" t="b">
        <f>IFERROR(__xludf.DUMMYFUNCTION("""COMPUTED_VALUE"""),TRUE)</f>
        <v>1</v>
      </c>
      <c r="AN111" s="292" t="b">
        <f>IFERROR(__xludf.DUMMYFUNCTION("""COMPUTED_VALUE"""),FALSE)</f>
        <v>0</v>
      </c>
      <c r="AO111" s="292" t="str">
        <f>IFERROR(__xludf.DUMMYFUNCTION("""COMPUTED_VALUE"""),"FALSE")</f>
        <v>FALSE</v>
      </c>
      <c r="AP111" s="292" t="str">
        <f>IFERROR(__xludf.DUMMYFUNCTION("""COMPUTED_VALUE"""),"Chicken breast")</f>
        <v>Chicken breast</v>
      </c>
      <c r="AQ111" s="292" t="str">
        <f>IFERROR(__xludf.DUMMYFUNCTION("""COMPUTED_VALUE"""),"Chicken")</f>
        <v>Chicken</v>
      </c>
      <c r="AR111" s="292" t="str">
        <f>IFERROR(__xludf.DUMMYFUNCTION("""COMPUTED_VALUE"""),"Breast")</f>
        <v>Breast</v>
      </c>
      <c r="AS111" s="292" t="str">
        <f>IFERROR(__xludf.DUMMYFUNCTION("""COMPUTED_VALUE"""),"Potato Mash")</f>
        <v>Potato Mash</v>
      </c>
      <c r="AT111" s="292" t="str">
        <f>IFERROR(__xludf.DUMMYFUNCTION("""COMPUTED_VALUE"""),"Green Beans")</f>
        <v>Green Beans</v>
      </c>
      <c r="AU111" s="292" t="str">
        <f>IFERROR(__xludf.DUMMYFUNCTION("""COMPUTED_VALUE"""),"Creamy Sauce Base")</f>
        <v>Creamy Sauce Base</v>
      </c>
      <c r="AV111" s="292" t="str">
        <f>IFERROR(__xludf.DUMMYFUNCTION("""COMPUTED_VALUE"""),"Compound Butter")</f>
        <v>Compound Butter</v>
      </c>
      <c r="AW111" s="292" t="str">
        <f>IFERROR(__xludf.DUMMYFUNCTION("""COMPUTED_VALUE"""),"Year Round")</f>
        <v>Year Round</v>
      </c>
      <c r="AX111" s="292" t="str">
        <f>IFERROR(__xludf.DUMMYFUNCTION("""COMPUTED_VALUE"""),"American")</f>
        <v>American</v>
      </c>
      <c r="AY111" s="292"/>
      <c r="AZ111" s="292" t="str">
        <f>IFERROR(__xludf.DUMMYFUNCTION("""COMPUTED_VALUE"""),"2 CT")</f>
        <v>2 CT</v>
      </c>
      <c r="BA111" s="292" t="b">
        <f>IFERROR(__xludf.DUMMYFUNCTION("""COMPUTED_VALUE"""),FALSE)</f>
        <v>0</v>
      </c>
      <c r="BB111" s="342">
        <f>IFERROR(__xludf.DUMMYFUNCTION("""COMPUTED_VALUE"""),2.42)</f>
        <v>2.42</v>
      </c>
      <c r="BC111" s="342">
        <f>IFERROR(__xludf.DUMMYFUNCTION("""COMPUTED_VALUE"""),1.18)</f>
        <v>1.18</v>
      </c>
      <c r="BD111" s="342">
        <f>IFERROR(__xludf.DUMMYFUNCTION("""COMPUTED_VALUE"""),0.36)</f>
        <v>0.36</v>
      </c>
      <c r="BE111" s="342">
        <f>IFERROR(__xludf.DUMMYFUNCTION("""COMPUTED_VALUE"""),0.89)</f>
        <v>0.89</v>
      </c>
      <c r="BF111" s="296">
        <f>IFERROR(__xludf.DUMMYFUNCTION("""COMPUTED_VALUE"""),3.4745387754329164)</f>
        <v>3.474538775</v>
      </c>
      <c r="BG111" s="296">
        <f>IFERROR(__xludf.DUMMYFUNCTION("""COMPUTED_VALUE"""),3.1319444444444446)</f>
        <v>3.131944444</v>
      </c>
      <c r="BH111" s="296">
        <f>IFERROR(__xludf.DUMMYFUNCTION("""COMPUTED_VALUE"""),3.1185185185185187)</f>
        <v>3.118518519</v>
      </c>
      <c r="BI111" s="295">
        <f>IFERROR(__xludf.DUMMYFUNCTION("""COMPUTED_VALUE"""),159.0)</f>
        <v>159</v>
      </c>
      <c r="BJ111" s="295" t="str">
        <f>IFERROR(__xludf.DUMMYFUNCTION("""COMPUTED_VALUE"""),"FALSE")</f>
        <v>FALSE</v>
      </c>
      <c r="BK111" s="346">
        <f>IFERROR(__xludf.DUMMYFUNCTION("""COMPUTED_VALUE"""),2804.0)</f>
        <v>2804</v>
      </c>
      <c r="BL111" s="292" t="str">
        <f>IFERROR(__xludf.DUMMYFUNCTION("""COMPUTED_VALUE"""),"Local Development")</f>
        <v>Local Development</v>
      </c>
      <c r="BM111" s="292" t="str">
        <f>IFERROR(__xludf.DUMMYFUNCTION("""COMPUTED_VALUE"""),"Kyckling i krämig gräslökssås ")</f>
        <v>Kyckling i krämig gräslökssås </v>
      </c>
      <c r="BN111" s="343">
        <f>IFERROR(__xludf.DUMMYFUNCTION("""COMPUTED_VALUE"""),3.3214285714285716)</f>
        <v>3.321428571</v>
      </c>
      <c r="BO111" s="343">
        <f>IFERROR(__xludf.DUMMYFUNCTION("""COMPUTED_VALUE"""),2.8333333333333335)</f>
        <v>2.833333333</v>
      </c>
      <c r="BP111" s="292"/>
      <c r="BQ111" s="292" t="str">
        <f>IFERROR(__xludf.DUMMYFUNCTION("""COMPUTED_VALUE"""),"Hold")</f>
        <v>Hold</v>
      </c>
      <c r="BR111" s="292" t="b">
        <f>IFERROR(__xludf.DUMMYFUNCTION("""COMPUTED_VALUE"""),FALSE)</f>
        <v>0</v>
      </c>
      <c r="BS111" s="292" t="b">
        <f>IFERROR(__xludf.DUMMYFUNCTION("""COMPUTED_VALUE"""),FALSE)</f>
        <v>0</v>
      </c>
      <c r="BT111" s="345">
        <f>IFERROR(__xludf.DUMMYFUNCTION("""COMPUTED_VALUE"""),736.0)</f>
        <v>736</v>
      </c>
      <c r="BU111" s="345">
        <f>IFERROR(__xludf.DUMMYFUNCTION("""COMPUTED_VALUE"""),177.0)</f>
        <v>177</v>
      </c>
      <c r="BV111" s="344">
        <f>IFERROR(__xludf.DUMMYFUNCTION("""COMPUTED_VALUE"""),13.4)</f>
        <v>13.4</v>
      </c>
      <c r="BW111" s="344">
        <f>IFERROR(__xludf.DUMMYFUNCTION("""COMPUTED_VALUE"""),6.9)</f>
        <v>6.9</v>
      </c>
    </row>
    <row r="112">
      <c r="A112" s="292" t="str">
        <f>IFERROR(__xludf.DUMMYFUNCTION("""COMPUTED_VALUE"""),"FE4024A")</f>
        <v>FE4024A</v>
      </c>
      <c r="B112" s="292" t="str">
        <f>IFERROR(__xludf.DUMMYFUNCTION("""COMPUTED_VALUE"""),"CON-40-143661-4")</f>
        <v>CON-40-143661-4</v>
      </c>
      <c r="C112" s="292" t="str">
        <f>IFERROR(__xludf.DUMMYFUNCTION("""COMPUTED_VALUE"""),"CON-00-147885-2")</f>
        <v>CON-00-147885-2</v>
      </c>
      <c r="D112" s="292" t="str">
        <f>IFERROR(__xludf.DUMMYFUNCTION("""COMPUTED_VALUE"""),"CON-00-136689-3")</f>
        <v>CON-00-136689-3</v>
      </c>
      <c r="E112" s="292" t="str">
        <f>IFERROR(__xludf.DUMMYFUNCTION("""COMPUTED_VALUE"""),"Vegetarian shawarma-style cauliflower bowl")</f>
        <v>Vegetarian shawarma-style cauliflower bowl</v>
      </c>
      <c r="F112" s="292" t="str">
        <f>IFERROR(__xludf.DUMMYFUNCTION("""COMPUTED_VALUE"""),"with couscous, chickpeas and garlic sauce")</f>
        <v>with couscous, chickpeas and garlic sauce</v>
      </c>
      <c r="G112" s="292" t="str">
        <f>IFERROR(__xludf.DUMMYFUNCTION("""COMPUTED_VALUE"""),"Vegetarische shoarma-stijl bloemkool bowl")</f>
        <v>Vegetarische shoarma-stijl bloemkool bowl</v>
      </c>
      <c r="H112" s="292" t="str">
        <f>IFERROR(__xludf.DUMMYFUNCTION("""COMPUTED_VALUE"""),"met couscous, kikkererwten en knoflooksaus")</f>
        <v>met couscous, kikkererwten en knoflooksaus</v>
      </c>
      <c r="I112" s="292" t="str">
        <f>IFERROR(__xludf.DUMMYFUNCTION("""COMPUTED_VALUE"""),"Vegetarisk shawarma-inspireret bowl ")</f>
        <v>Vegetarisk shawarma-inspireret bowl </v>
      </c>
      <c r="J112" s="292" t="str">
        <f>IFERROR(__xludf.DUMMYFUNCTION("""COMPUTED_VALUE"""),"Vegetarische Shawarma-Blumenkohlschale")</f>
        <v>Vegetarische Shawarma-Blumenkohlschale</v>
      </c>
      <c r="K112" s="292">
        <f>IFERROR(__xludf.DUMMYFUNCTION("""COMPUTED_VALUE"""),565083.0)</f>
        <v>565083</v>
      </c>
      <c r="L112" s="292"/>
      <c r="M112" s="292" t="str">
        <f>IFERROR(__xludf.DUMMYFUNCTION("""COMPUTED_VALUE"""),"FA-NL Vegetarische shoarma-stijl bloemkool bowl (FE4024)")</f>
        <v>FA-NL Vegetarische shoarma-stijl bloemkool bowl (FE4024)</v>
      </c>
      <c r="N112" s="292" t="str">
        <f>IFERROR(__xludf.DUMMYFUNCTION("""COMPUTED_VALUE"""),"FA-NO Vegetarisk shawarma-inspireret bowl (FE4024)")</f>
        <v>FA-NO Vegetarisk shawarma-inspireret bowl (FE4024)</v>
      </c>
      <c r="O112" s="292" t="str">
        <f>IFERROR(__xludf.DUMMYFUNCTION("""COMPUTED_VALUE"""),"FA-DE Vegetarische Shawarma-Blumenkohlschale (FE4024)")</f>
        <v>FA-DE Vegetarische Shawarma-Blumenkohlschale (FE4024)</v>
      </c>
      <c r="P112" s="292" t="str">
        <f>IFERROR(__xludf.DUMMYFUNCTION("""COMPUTED_VALUE"""),"Hold")</f>
        <v>Hold</v>
      </c>
      <c r="Q112" s="292" t="str">
        <f>IFERROR(__xludf.DUMMYFUNCTION("""COMPUTED_VALUE"""),"on hold due to change in RM raisins, sunflower oil was replaced with cotton seed oil")</f>
        <v>on hold due to change in RM raisins, sunflower oil was replaced with cotton seed oil</v>
      </c>
      <c r="R112" s="342">
        <f>IFERROR(__xludf.DUMMYFUNCTION("""COMPUTED_VALUE"""),3.75)</f>
        <v>3.75</v>
      </c>
      <c r="S112" s="292"/>
      <c r="T112" s="292"/>
      <c r="U112" s="292"/>
      <c r="V112" s="292"/>
      <c r="W112" s="292" t="b">
        <f>IFERROR(__xludf.DUMMYFUNCTION("""COMPUTED_VALUE"""),TRUE)</f>
        <v>1</v>
      </c>
      <c r="X112" s="345">
        <f>IFERROR(__xludf.DUMMYFUNCTION("""COMPUTED_VALUE"""),414.0)</f>
        <v>414</v>
      </c>
      <c r="Y112" s="344">
        <f>IFERROR(__xludf.DUMMYFUNCTION("""COMPUTED_VALUE"""),522.0)</f>
        <v>522</v>
      </c>
      <c r="Z112" s="343">
        <f>IFERROR(__xludf.DUMMYFUNCTION("""COMPUTED_VALUE"""),17.0)</f>
        <v>17</v>
      </c>
      <c r="AA112" s="344">
        <f>IFERROR(__xludf.DUMMYFUNCTION("""COMPUTED_VALUE"""),6.6)</f>
        <v>6.6</v>
      </c>
      <c r="AB112" s="344">
        <f>IFERROR(__xludf.DUMMYFUNCTION("""COMPUTED_VALUE"""),64.6)</f>
        <v>64.6</v>
      </c>
      <c r="AC112" s="344">
        <f>IFERROR(__xludf.DUMMYFUNCTION("""COMPUTED_VALUE"""),18.2)</f>
        <v>18.2</v>
      </c>
      <c r="AD112" s="344">
        <f>IFERROR(__xludf.DUMMYFUNCTION("""COMPUTED_VALUE"""),13.3)</f>
        <v>13.3</v>
      </c>
      <c r="AE112" s="343">
        <f>IFERROR(__xludf.DUMMYFUNCTION("""COMPUTED_VALUE"""),20.3)</f>
        <v>20.3</v>
      </c>
      <c r="AF112" s="343">
        <f>IFERROR(__xludf.DUMMYFUNCTION("""COMPUTED_VALUE"""),1.9)</f>
        <v>1.9</v>
      </c>
      <c r="AG112" s="292" t="b">
        <f>IFERROR(__xludf.DUMMYFUNCTION("""COMPUTED_VALUE"""),FALSE)</f>
        <v>0</v>
      </c>
      <c r="AH112" s="292" t="b">
        <f>IFERROR(__xludf.DUMMYFUNCTION("""COMPUTED_VALUE"""),FALSE)</f>
        <v>0</v>
      </c>
      <c r="AI112" s="292" t="b">
        <f>IFERROR(__xludf.DUMMYFUNCTION("""COMPUTED_VALUE"""),TRUE)</f>
        <v>1</v>
      </c>
      <c r="AJ112" s="292" t="b">
        <f>IFERROR(__xludf.DUMMYFUNCTION("""COMPUTED_VALUE"""),FALSE)</f>
        <v>0</v>
      </c>
      <c r="AK112" s="292" t="b">
        <f>IFERROR(__xludf.DUMMYFUNCTION("""COMPUTED_VALUE"""),TRUE)</f>
        <v>1</v>
      </c>
      <c r="AL112" s="292" t="b">
        <f>IFERROR(__xludf.DUMMYFUNCTION("""COMPUTED_VALUE"""),FALSE)</f>
        <v>0</v>
      </c>
      <c r="AM112" s="292" t="b">
        <f>IFERROR(__xludf.DUMMYFUNCTION("""COMPUTED_VALUE"""),FALSE)</f>
        <v>0</v>
      </c>
      <c r="AN112" s="292" t="b">
        <f>IFERROR(__xludf.DUMMYFUNCTION("""COMPUTED_VALUE"""),FALSE)</f>
        <v>0</v>
      </c>
      <c r="AO112" s="292" t="str">
        <f>IFERROR(__xludf.DUMMYFUNCTION("""COMPUTED_VALUE"""),"TRUE")</f>
        <v>TRUE</v>
      </c>
      <c r="AP112" s="292" t="str">
        <f>IFERROR(__xludf.DUMMYFUNCTION("""COMPUTED_VALUE"""),"Vegetarian")</f>
        <v>Vegetarian</v>
      </c>
      <c r="AQ112" s="292" t="str">
        <f>IFERROR(__xludf.DUMMYFUNCTION("""COMPUTED_VALUE"""),"Vegetarian")</f>
        <v>Vegetarian</v>
      </c>
      <c r="AR112" s="292" t="str">
        <f>IFERROR(__xludf.DUMMYFUNCTION("""COMPUTED_VALUE"""),"Legumes")</f>
        <v>Legumes</v>
      </c>
      <c r="AS112" s="292" t="str">
        <f>IFERROR(__xludf.DUMMYFUNCTION("""COMPUTED_VALUE"""),"Couscous")</f>
        <v>Couscous</v>
      </c>
      <c r="AT112" s="292" t="str">
        <f>IFERROR(__xludf.DUMMYFUNCTION("""COMPUTED_VALUE"""),"Cauliflower Florets")</f>
        <v>Cauliflower Florets</v>
      </c>
      <c r="AU112" s="292" t="str">
        <f>IFERROR(__xludf.DUMMYFUNCTION("""COMPUTED_VALUE"""),"Red bell pepper")</f>
        <v>Red bell pepper</v>
      </c>
      <c r="AV112" s="292" t="str">
        <f>IFERROR(__xludf.DUMMYFUNCTION("""COMPUTED_VALUE"""),"Cheese")</f>
        <v>Cheese</v>
      </c>
      <c r="AW112" s="292" t="str">
        <f>IFERROR(__xludf.DUMMYFUNCTION("""COMPUTED_VALUE"""),"Year Round")</f>
        <v>Year Round</v>
      </c>
      <c r="AX112" s="292" t="str">
        <f>IFERROR(__xludf.DUMMYFUNCTION("""COMPUTED_VALUE"""),"Mediterranean")</f>
        <v>Mediterranean</v>
      </c>
      <c r="AY112" s="292"/>
      <c r="AZ112" s="292" t="str">
        <f>IFERROR(__xludf.DUMMYFUNCTION("""COMPUTED_VALUE"""),"2 CT")</f>
        <v>2 CT</v>
      </c>
      <c r="BA112" s="292" t="b">
        <f>IFERROR(__xludf.DUMMYFUNCTION("""COMPUTED_VALUE"""),TRUE)</f>
        <v>1</v>
      </c>
      <c r="BB112" s="342">
        <f>IFERROR(__xludf.DUMMYFUNCTION("""COMPUTED_VALUE"""),1.55)</f>
        <v>1.55</v>
      </c>
      <c r="BC112" s="342">
        <f>IFERROR(__xludf.DUMMYFUNCTION("""COMPUTED_VALUE"""),0.97)</f>
        <v>0.97</v>
      </c>
      <c r="BD112" s="342">
        <f>IFERROR(__xludf.DUMMYFUNCTION("""COMPUTED_VALUE"""),0.392)</f>
        <v>0.392</v>
      </c>
      <c r="BE112" s="342">
        <f>IFERROR(__xludf.DUMMYFUNCTION("""COMPUTED_VALUE"""),0.89)</f>
        <v>0.89</v>
      </c>
      <c r="BF112" s="296" t="str">
        <f>IFERROR(__xludf.DUMMYFUNCTION("""COMPUTED_VALUE"""),"#REF!")</f>
        <v>#REF!</v>
      </c>
      <c r="BG112" s="296" t="str">
        <f>IFERROR(__xludf.DUMMYFUNCTION("""COMPUTED_VALUE"""),"#REF!")</f>
        <v>#REF!</v>
      </c>
      <c r="BH112" s="296" t="str">
        <f>IFERROR(__xludf.DUMMYFUNCTION("""COMPUTED_VALUE"""),"#REF!")</f>
        <v>#REF!</v>
      </c>
      <c r="BI112" s="295">
        <f>IFERROR(__xludf.DUMMYFUNCTION("""COMPUTED_VALUE"""),177.0)</f>
        <v>177</v>
      </c>
      <c r="BJ112" s="295" t="str">
        <f>IFERROR(__xludf.DUMMYFUNCTION("""COMPUTED_VALUE"""),"FALSE")</f>
        <v>FALSE</v>
      </c>
      <c r="BK112" s="346">
        <f>IFERROR(__xludf.DUMMYFUNCTION("""COMPUTED_VALUE"""),2190.0)</f>
        <v>2190</v>
      </c>
      <c r="BL112" s="292" t="str">
        <f>IFERROR(__xludf.DUMMYFUNCTION("""COMPUTED_VALUE"""),"Local Development")</f>
        <v>Local Development</v>
      </c>
      <c r="BM112" s="292" t="str">
        <f>IFERROR(__xludf.DUMMYFUNCTION("""COMPUTED_VALUE"""),"Vegetarisk bowl med shawarmakryddad blomkål")</f>
        <v>Vegetarisk bowl med shawarmakryddad blomkål</v>
      </c>
      <c r="BN112" s="292"/>
      <c r="BO112" s="292"/>
      <c r="BP112" s="292"/>
      <c r="BQ112" s="292" t="str">
        <f>IFERROR(__xludf.DUMMYFUNCTION("""COMPUTED_VALUE"""),"Hold")</f>
        <v>Hold</v>
      </c>
      <c r="BR112" s="292" t="b">
        <f>IFERROR(__xludf.DUMMYFUNCTION("""COMPUTED_VALUE"""),FALSE)</f>
        <v>0</v>
      </c>
      <c r="BS112" s="292" t="b">
        <f>IFERROR(__xludf.DUMMYFUNCTION("""COMPUTED_VALUE"""),FALSE)</f>
        <v>0</v>
      </c>
      <c r="BT112" s="345">
        <f>IFERROR(__xludf.DUMMYFUNCTION("""COMPUTED_VALUE"""),529.0)</f>
        <v>529</v>
      </c>
      <c r="BU112" s="345">
        <f>IFERROR(__xludf.DUMMYFUNCTION("""COMPUTED_VALUE"""),126.0)</f>
        <v>126</v>
      </c>
      <c r="BV112" s="344">
        <f>IFERROR(__xludf.DUMMYFUNCTION("""COMPUTED_VALUE"""),4.1)</f>
        <v>4.1</v>
      </c>
      <c r="BW112" s="344">
        <f>IFERROR(__xludf.DUMMYFUNCTION("""COMPUTED_VALUE"""),1.6)</f>
        <v>1.6</v>
      </c>
    </row>
    <row r="113">
      <c r="A113" s="292" t="str">
        <f>IFERROR(__xludf.DUMMYFUNCTION("""COMPUTED_VALUE"""),"FE4025A")</f>
        <v>FE4025A</v>
      </c>
      <c r="B113" s="292" t="str">
        <f>IFERROR(__xludf.DUMMYFUNCTION("""COMPUTED_VALUE"""),"CON-40-143729-4")</f>
        <v>CON-40-143729-4</v>
      </c>
      <c r="C113" s="292" t="str">
        <f>IFERROR(__xludf.DUMMYFUNCTION("""COMPUTED_VALUE"""),"CON-00-147886-2")</f>
        <v>CON-00-147886-2</v>
      </c>
      <c r="D113" s="292" t="str">
        <f>IFERROR(__xludf.DUMMYFUNCTION("""COMPUTED_VALUE"""),"CON-00-136688-3")</f>
        <v>CON-00-136688-3</v>
      </c>
      <c r="E113" s="292" t="str">
        <f>IFERROR(__xludf.DUMMYFUNCTION("""COMPUTED_VALUE"""),"Tagine-style chicken")</f>
        <v>Tagine-style chicken</v>
      </c>
      <c r="F113" s="292" t="str">
        <f>IFERROR(__xludf.DUMMYFUNCTION("""COMPUTED_VALUE"""),"with whole grain couscous, currants and feta")</f>
        <v>with whole grain couscous, currants and feta</v>
      </c>
      <c r="G113" s="292" t="str">
        <f>IFERROR(__xludf.DUMMYFUNCTION("""COMPUTED_VALUE"""),"Tajine-stijl kip")</f>
        <v>Tajine-stijl kip</v>
      </c>
      <c r="H113" s="292" t="str">
        <f>IFERROR(__xludf.DUMMYFUNCTION("""COMPUTED_VALUE"""),"met volkoren couscous, rozijnen en feta")</f>
        <v>met volkoren couscous, rozijnen en feta</v>
      </c>
      <c r="I113" s="292" t="str">
        <f>IFERROR(__xludf.DUMMYFUNCTION("""COMPUTED_VALUE"""),"Kyllingetagine")</f>
        <v>Kyllingetagine</v>
      </c>
      <c r="J113" s="292" t="str">
        <f>IFERROR(__xludf.DUMMYFUNCTION("""COMPUTED_VALUE"""),"Hähnchen „Tagine-Art""")</f>
        <v>Hähnchen „Tagine-Art"</v>
      </c>
      <c r="K113" s="292">
        <f>IFERROR(__xludf.DUMMYFUNCTION("""COMPUTED_VALUE"""),565081.0)</f>
        <v>565081</v>
      </c>
      <c r="L113" s="292" t="str">
        <f>IFERROR(__xludf.DUMMYFUNCTION("""COMPUTED_VALUE"""),"HF Marokannse stijl kip")</f>
        <v>HF Marokannse stijl kip</v>
      </c>
      <c r="M113" s="292" t="str">
        <f>IFERROR(__xludf.DUMMYFUNCTION("""COMPUTED_VALUE"""),"FA-NL Tajine-stijl kip (FE4025)")</f>
        <v>FA-NL Tajine-stijl kip (FE4025)</v>
      </c>
      <c r="N113" s="292" t="str">
        <f>IFERROR(__xludf.DUMMYFUNCTION("""COMPUTED_VALUE"""),"FA-NO Kyllingetagine (FE4025)")</f>
        <v>FA-NO Kyllingetagine (FE4025)</v>
      </c>
      <c r="O113" s="292" t="str">
        <f>IFERROR(__xludf.DUMMYFUNCTION("""COMPUTED_VALUE"""),"FA-DE Huhn „Tagine-Art"" (FE4025)")</f>
        <v>FA-DE Huhn „Tagine-Art" (FE4025)</v>
      </c>
      <c r="P113" s="292" t="str">
        <f>IFERROR(__xludf.DUMMYFUNCTION("""COMPUTED_VALUE"""),"Hold")</f>
        <v>Hold</v>
      </c>
      <c r="Q113" s="292" t="str">
        <f>IFERROR(__xludf.DUMMYFUNCTION("""COMPUTED_VALUE"""),"on hold due to change in RM raisins, sunflower oil was replaced with cotton seed oil")</f>
        <v>on hold due to change in RM raisins, sunflower oil was replaced with cotton seed oil</v>
      </c>
      <c r="R113" s="342">
        <f>IFERROR(__xludf.DUMMYFUNCTION("""COMPUTED_VALUE"""),4.52)</f>
        <v>4.52</v>
      </c>
      <c r="S113" s="292"/>
      <c r="T113" s="292"/>
      <c r="U113" s="292"/>
      <c r="V113" s="292"/>
      <c r="W113" s="292" t="b">
        <f>IFERROR(__xludf.DUMMYFUNCTION("""COMPUTED_VALUE"""),TRUE)</f>
        <v>1</v>
      </c>
      <c r="X113" s="345">
        <f>IFERROR(__xludf.DUMMYFUNCTION("""COMPUTED_VALUE"""),392.0)</f>
        <v>392</v>
      </c>
      <c r="Y113" s="344">
        <f>IFERROR(__xludf.DUMMYFUNCTION("""COMPUTED_VALUE"""),545.0)</f>
        <v>545</v>
      </c>
      <c r="Z113" s="343">
        <f>IFERROR(__xludf.DUMMYFUNCTION("""COMPUTED_VALUE"""),20.4)</f>
        <v>20.4</v>
      </c>
      <c r="AA113" s="344">
        <f>IFERROR(__xludf.DUMMYFUNCTION("""COMPUTED_VALUE"""),5.9)</f>
        <v>5.9</v>
      </c>
      <c r="AB113" s="344">
        <f>IFERROR(__xludf.DUMMYFUNCTION("""COMPUTED_VALUE"""),54.9)</f>
        <v>54.9</v>
      </c>
      <c r="AC113" s="344">
        <f>IFERROR(__xludf.DUMMYFUNCTION("""COMPUTED_VALUE"""),20.4)</f>
        <v>20.4</v>
      </c>
      <c r="AD113" s="344">
        <f>IFERROR(__xludf.DUMMYFUNCTION("""COMPUTED_VALUE"""),10.2)</f>
        <v>10.2</v>
      </c>
      <c r="AE113" s="343">
        <f>IFERROR(__xludf.DUMMYFUNCTION("""COMPUTED_VALUE"""),29.4)</f>
        <v>29.4</v>
      </c>
      <c r="AF113" s="343">
        <f>IFERROR(__xludf.DUMMYFUNCTION("""COMPUTED_VALUE"""),1.88)</f>
        <v>1.88</v>
      </c>
      <c r="AG113" s="292" t="b">
        <f>IFERROR(__xludf.DUMMYFUNCTION("""COMPUTED_VALUE"""),FALSE)</f>
        <v>0</v>
      </c>
      <c r="AH113" s="292" t="b">
        <f>IFERROR(__xludf.DUMMYFUNCTION("""COMPUTED_VALUE"""),FALSE)</f>
        <v>0</v>
      </c>
      <c r="AI113" s="292" t="b">
        <f>IFERROR(__xludf.DUMMYFUNCTION("""COMPUTED_VALUE"""),TRUE)</f>
        <v>1</v>
      </c>
      <c r="AJ113" s="292" t="b">
        <f>IFERROR(__xludf.DUMMYFUNCTION("""COMPUTED_VALUE"""),FALSE)</f>
        <v>0</v>
      </c>
      <c r="AK113" s="292" t="b">
        <f>IFERROR(__xludf.DUMMYFUNCTION("""COMPUTED_VALUE"""),FALSE)</f>
        <v>0</v>
      </c>
      <c r="AL113" s="292" t="b">
        <f>IFERROR(__xludf.DUMMYFUNCTION("""COMPUTED_VALUE"""),FALSE)</f>
        <v>0</v>
      </c>
      <c r="AM113" s="292" t="b">
        <f>IFERROR(__xludf.DUMMYFUNCTION("""COMPUTED_VALUE"""),FALSE)</f>
        <v>0</v>
      </c>
      <c r="AN113" s="292" t="b">
        <f>IFERROR(__xludf.DUMMYFUNCTION("""COMPUTED_VALUE"""),FALSE)</f>
        <v>0</v>
      </c>
      <c r="AO113" s="292" t="str">
        <f>IFERROR(__xludf.DUMMYFUNCTION("""COMPUTED_VALUE"""),"TRUE")</f>
        <v>TRUE</v>
      </c>
      <c r="AP113" s="292" t="str">
        <f>IFERROR(__xludf.DUMMYFUNCTION("""COMPUTED_VALUE"""),"Shredded chicken")</f>
        <v>Shredded chicken</v>
      </c>
      <c r="AQ113" s="292" t="str">
        <f>IFERROR(__xludf.DUMMYFUNCTION("""COMPUTED_VALUE"""),"Chicken")</f>
        <v>Chicken</v>
      </c>
      <c r="AR113" s="292" t="str">
        <f>IFERROR(__xludf.DUMMYFUNCTION("""COMPUTED_VALUE"""),"Shredded")</f>
        <v>Shredded</v>
      </c>
      <c r="AS113" s="292" t="str">
        <f>IFERROR(__xludf.DUMMYFUNCTION("""COMPUTED_VALUE"""),"Couscous")</f>
        <v>Couscous</v>
      </c>
      <c r="AT113" s="292" t="str">
        <f>IFERROR(__xludf.DUMMYFUNCTION("""COMPUTED_VALUE"""),"Red bell pepper")</f>
        <v>Red bell pepper</v>
      </c>
      <c r="AU113" s="292" t="str">
        <f>IFERROR(__xludf.DUMMYFUNCTION("""COMPUTED_VALUE"""),"Zucchini Diced")</f>
        <v>Zucchini Diced</v>
      </c>
      <c r="AV113" s="292" t="str">
        <f>IFERROR(__xludf.DUMMYFUNCTION("""COMPUTED_VALUE"""),"Tomato Based Sauce")</f>
        <v>Tomato Based Sauce</v>
      </c>
      <c r="AW113" s="292" t="str">
        <f>IFERROR(__xludf.DUMMYFUNCTION("""COMPUTED_VALUE"""),"Year Round")</f>
        <v>Year Round</v>
      </c>
      <c r="AX113" s="292" t="str">
        <f>IFERROR(__xludf.DUMMYFUNCTION("""COMPUTED_VALUE"""),"Moroccan")</f>
        <v>Moroccan</v>
      </c>
      <c r="AY113" s="292"/>
      <c r="AZ113" s="292" t="str">
        <f>IFERROR(__xludf.DUMMYFUNCTION("""COMPUTED_VALUE"""),"2 CT")</f>
        <v>2 CT</v>
      </c>
      <c r="BA113" s="292" t="b">
        <f>IFERROR(__xludf.DUMMYFUNCTION("""COMPUTED_VALUE"""),FALSE)</f>
        <v>0</v>
      </c>
      <c r="BB113" s="342">
        <f>IFERROR(__xludf.DUMMYFUNCTION("""COMPUTED_VALUE"""),2.31)</f>
        <v>2.31</v>
      </c>
      <c r="BC113" s="342">
        <f>IFERROR(__xludf.DUMMYFUNCTION("""COMPUTED_VALUE"""),1.01)</f>
        <v>1.01</v>
      </c>
      <c r="BD113" s="342">
        <f>IFERROR(__xludf.DUMMYFUNCTION("""COMPUTED_VALUE"""),0.362)</f>
        <v>0.362</v>
      </c>
      <c r="BE113" s="342">
        <f>IFERROR(__xludf.DUMMYFUNCTION("""COMPUTED_VALUE"""),0.89)</f>
        <v>0.89</v>
      </c>
      <c r="BF113" s="296" t="str">
        <f>IFERROR(__xludf.DUMMYFUNCTION("""COMPUTED_VALUE"""),"#REF!")</f>
        <v>#REF!</v>
      </c>
      <c r="BG113" s="296" t="str">
        <f>IFERROR(__xludf.DUMMYFUNCTION("""COMPUTED_VALUE"""),"#REF!")</f>
        <v>#REF!</v>
      </c>
      <c r="BH113" s="296" t="str">
        <f>IFERROR(__xludf.DUMMYFUNCTION("""COMPUTED_VALUE"""),"#REF!")</f>
        <v>#REF!</v>
      </c>
      <c r="BI113" s="295">
        <f>IFERROR(__xludf.DUMMYFUNCTION("""COMPUTED_VALUE"""),165.0)</f>
        <v>165</v>
      </c>
      <c r="BJ113" s="295" t="str">
        <f>IFERROR(__xludf.DUMMYFUNCTION("""COMPUTED_VALUE"""),"FALSE")</f>
        <v>FALSE</v>
      </c>
      <c r="BK113" s="346">
        <f>IFERROR(__xludf.DUMMYFUNCTION("""COMPUTED_VALUE"""),2285.0)</f>
        <v>2285</v>
      </c>
      <c r="BL113" s="292" t="str">
        <f>IFERROR(__xludf.DUMMYFUNCTION("""COMPUTED_VALUE"""),"Frankenstein")</f>
        <v>Frankenstein</v>
      </c>
      <c r="BM113" s="292" t="str">
        <f>IFERROR(__xludf.DUMMYFUNCTION("""COMPUTED_VALUE"""),"Kycklingtagine")</f>
        <v>Kycklingtagine</v>
      </c>
      <c r="BN113" s="292"/>
      <c r="BO113" s="292"/>
      <c r="BP113" s="292"/>
      <c r="BQ113" s="292" t="str">
        <f>IFERROR(__xludf.DUMMYFUNCTION("""COMPUTED_VALUE"""),"Hold")</f>
        <v>Hold</v>
      </c>
      <c r="BR113" s="292" t="b">
        <f>IFERROR(__xludf.DUMMYFUNCTION("""COMPUTED_VALUE"""),FALSE)</f>
        <v>0</v>
      </c>
      <c r="BS113" s="292" t="b">
        <f>IFERROR(__xludf.DUMMYFUNCTION("""COMPUTED_VALUE"""),TRUE)</f>
        <v>1</v>
      </c>
      <c r="BT113" s="345">
        <f>IFERROR(__xludf.DUMMYFUNCTION("""COMPUTED_VALUE"""),583.0)</f>
        <v>583</v>
      </c>
      <c r="BU113" s="345">
        <f>IFERROR(__xludf.DUMMYFUNCTION("""COMPUTED_VALUE"""),139.0)</f>
        <v>139</v>
      </c>
      <c r="BV113" s="344">
        <f>IFERROR(__xludf.DUMMYFUNCTION("""COMPUTED_VALUE"""),5.2)</f>
        <v>5.2</v>
      </c>
      <c r="BW113" s="344">
        <f>IFERROR(__xludf.DUMMYFUNCTION("""COMPUTED_VALUE"""),1.5)</f>
        <v>1.5</v>
      </c>
    </row>
    <row r="114">
      <c r="A114" s="292" t="str">
        <f>IFERROR(__xludf.DUMMYFUNCTION("""COMPUTED_VALUE"""),"FE4026A")</f>
        <v>FE4026A</v>
      </c>
      <c r="B114" s="292" t="str">
        <f>IFERROR(__xludf.DUMMYFUNCTION("""COMPUTED_VALUE"""),"CON-40-143650-4")</f>
        <v>CON-40-143650-4</v>
      </c>
      <c r="C114" s="292" t="str">
        <f>IFERROR(__xludf.DUMMYFUNCTION("""COMPUTED_VALUE"""),"CON-00-147887-2")</f>
        <v>CON-00-147887-2</v>
      </c>
      <c r="D114" s="292" t="str">
        <f>IFERROR(__xludf.DUMMYFUNCTION("""COMPUTED_VALUE"""),"CON-00-136690-3")</f>
        <v>CON-00-136690-3</v>
      </c>
      <c r="E114" s="292" t="str">
        <f>IFERROR(__xludf.DUMMYFUNCTION("""COMPUTED_VALUE"""),"Mediterranean vegetable dish with eggplant")</f>
        <v>Mediterranean vegetable dish with eggplant</v>
      </c>
      <c r="F114" s="292" t="str">
        <f>IFERROR(__xludf.DUMMYFUNCTION("""COMPUTED_VALUE"""),"with potato, zucchini and spicy green beans")</f>
        <v>with potato, zucchini and spicy green beans</v>
      </c>
      <c r="G114" s="292" t="str">
        <f>IFERROR(__xludf.DUMMYFUNCTION("""COMPUTED_VALUE"""),"Mediterrane groenteschotel met aubergine")</f>
        <v>Mediterrane groenteschotel met aubergine</v>
      </c>
      <c r="H114" s="292" t="str">
        <f>IFERROR(__xludf.DUMMYFUNCTION("""COMPUTED_VALUE"""),"met aardappel, courgette en pittige sperziebonen")</f>
        <v>met aardappel, courgette en pittige sperziebonen</v>
      </c>
      <c r="I114" s="292" t="str">
        <f>IFERROR(__xludf.DUMMYFUNCTION("""COMPUTED_VALUE"""),"Middelhavsgrøntsagsret med aubergine")</f>
        <v>Middelhavsgrøntsagsret med aubergine</v>
      </c>
      <c r="J114" s="292" t="str">
        <f>IFERROR(__xludf.DUMMYFUNCTION("""COMPUTED_VALUE"""),"Mediterranes Gemüse mit Auberginen")</f>
        <v>Mediterranes Gemüse mit Auberginen</v>
      </c>
      <c r="K114" s="292">
        <f>IFERROR(__xludf.DUMMYFUNCTION("""COMPUTED_VALUE"""),565084.0)</f>
        <v>565084</v>
      </c>
      <c r="L114" s="292" t="str">
        <f>IFERROR(__xludf.DUMMYFUNCTION("""COMPUTED_VALUE"""),"HF Aubergine parmezaanse ovenschotel")</f>
        <v>HF Aubergine parmezaanse ovenschotel</v>
      </c>
      <c r="M114" s="292" t="str">
        <f>IFERROR(__xludf.DUMMYFUNCTION("""COMPUTED_VALUE"""),"FA-NL - Mediterrane groenteschotel met aubergine (FE4026)")</f>
        <v>FA-NL - Mediterrane groenteschotel met aubergine (FE4026)</v>
      </c>
      <c r="N114" s="292" t="str">
        <f>IFERROR(__xludf.DUMMYFUNCTION("""COMPUTED_VALUE"""),"FA-NO Middelhavsgrøntsagsret med aubergine (FE4026)")</f>
        <v>FA-NO Middelhavsgrøntsagsret med aubergine (FE4026)</v>
      </c>
      <c r="O114" s="292" t="str">
        <f>IFERROR(__xludf.DUMMYFUNCTION("""COMPUTED_VALUE"""),"FA-DE Mediterranes Gemüse mit Auberginen (FE4026)")</f>
        <v>FA-DE Mediterranes Gemüse mit Auberginen (FE4026)</v>
      </c>
      <c r="P114" s="292" t="str">
        <f>IFERROR(__xludf.DUMMYFUNCTION("""COMPUTED_VALUE"""),"Hold")</f>
        <v>Hold</v>
      </c>
      <c r="Q114" s="292" t="str">
        <f>IFERROR(__xludf.DUMMYFUNCTION("""COMPUTED_VALUE"""),"on hold due to quality issues")</f>
        <v>on hold due to quality issues</v>
      </c>
      <c r="R114" s="342">
        <f>IFERROR(__xludf.DUMMYFUNCTION("""COMPUTED_VALUE"""),3.96)</f>
        <v>3.96</v>
      </c>
      <c r="S114" s="292"/>
      <c r="T114" s="292"/>
      <c r="U114" s="292"/>
      <c r="V114" s="292"/>
      <c r="W114" s="292" t="b">
        <f>IFERROR(__xludf.DUMMYFUNCTION("""COMPUTED_VALUE"""),TRUE)</f>
        <v>1</v>
      </c>
      <c r="X114" s="345">
        <f>IFERROR(__xludf.DUMMYFUNCTION("""COMPUTED_VALUE"""),449.0)</f>
        <v>449</v>
      </c>
      <c r="Y114" s="344">
        <f>IFERROR(__xludf.DUMMYFUNCTION("""COMPUTED_VALUE"""),512.0)</f>
        <v>512</v>
      </c>
      <c r="Z114" s="343">
        <f>IFERROR(__xludf.DUMMYFUNCTION("""COMPUTED_VALUE"""),30.5)</f>
        <v>30.5</v>
      </c>
      <c r="AA114" s="344">
        <f>IFERROR(__xludf.DUMMYFUNCTION("""COMPUTED_VALUE"""),8.1)</f>
        <v>8.1</v>
      </c>
      <c r="AB114" s="344">
        <f>IFERROR(__xludf.DUMMYFUNCTION("""COMPUTED_VALUE"""),31.4)</f>
        <v>31.4</v>
      </c>
      <c r="AC114" s="344">
        <f>IFERROR(__xludf.DUMMYFUNCTION("""COMPUTED_VALUE"""),13.5)</f>
        <v>13.5</v>
      </c>
      <c r="AD114" s="344">
        <f>IFERROR(__xludf.DUMMYFUNCTION("""COMPUTED_VALUE"""),13.0)</f>
        <v>13</v>
      </c>
      <c r="AE114" s="343">
        <f>IFERROR(__xludf.DUMMYFUNCTION("""COMPUTED_VALUE"""),19.8)</f>
        <v>19.8</v>
      </c>
      <c r="AF114" s="343">
        <f>IFERROR(__xludf.DUMMYFUNCTION("""COMPUTED_VALUE"""),1.89)</f>
        <v>1.89</v>
      </c>
      <c r="AG114" s="292" t="b">
        <f>IFERROR(__xludf.DUMMYFUNCTION("""COMPUTED_VALUE"""),FALSE)</f>
        <v>0</v>
      </c>
      <c r="AH114" s="292" t="b">
        <f>IFERROR(__xludf.DUMMYFUNCTION("""COMPUTED_VALUE"""),FALSE)</f>
        <v>0</v>
      </c>
      <c r="AI114" s="292" t="b">
        <f>IFERROR(__xludf.DUMMYFUNCTION("""COMPUTED_VALUE"""),TRUE)</f>
        <v>1</v>
      </c>
      <c r="AJ114" s="292" t="b">
        <f>IFERROR(__xludf.DUMMYFUNCTION("""COMPUTED_VALUE"""),FALSE)</f>
        <v>0</v>
      </c>
      <c r="AK114" s="292" t="b">
        <f>IFERROR(__xludf.DUMMYFUNCTION("""COMPUTED_VALUE"""),TRUE)</f>
        <v>1</v>
      </c>
      <c r="AL114" s="292" t="b">
        <f>IFERROR(__xludf.DUMMYFUNCTION("""COMPUTED_VALUE"""),FALSE)</f>
        <v>0</v>
      </c>
      <c r="AM114" s="292" t="b">
        <f>IFERROR(__xludf.DUMMYFUNCTION("""COMPUTED_VALUE"""),FALSE)</f>
        <v>0</v>
      </c>
      <c r="AN114" s="292" t="b">
        <f>IFERROR(__xludf.DUMMYFUNCTION("""COMPUTED_VALUE"""),FALSE)</f>
        <v>0</v>
      </c>
      <c r="AO114" s="292" t="str">
        <f>IFERROR(__xludf.DUMMYFUNCTION("""COMPUTED_VALUE"""),"TRUE")</f>
        <v>TRUE</v>
      </c>
      <c r="AP114" s="292" t="str">
        <f>IFERROR(__xludf.DUMMYFUNCTION("""COMPUTED_VALUE"""),"Vegetarian")</f>
        <v>Vegetarian</v>
      </c>
      <c r="AQ114" s="292" t="str">
        <f>IFERROR(__xludf.DUMMYFUNCTION("""COMPUTED_VALUE"""),"Vegetarian")</f>
        <v>Vegetarian</v>
      </c>
      <c r="AR114" s="292" t="str">
        <f>IFERROR(__xludf.DUMMYFUNCTION("""COMPUTED_VALUE"""),"Vegetable")</f>
        <v>Vegetable</v>
      </c>
      <c r="AS114" s="292" t="str">
        <f>IFERROR(__xludf.DUMMYFUNCTION("""COMPUTED_VALUE"""),"Zucchini Diced")</f>
        <v>Zucchini Diced</v>
      </c>
      <c r="AT114" s="292" t="str">
        <f>IFERROR(__xludf.DUMMYFUNCTION("""COMPUTED_VALUE"""),"Potato Non-Mash")</f>
        <v>Potato Non-Mash</v>
      </c>
      <c r="AU114" s="292" t="str">
        <f>IFERROR(__xludf.DUMMYFUNCTION("""COMPUTED_VALUE"""),"Green Beans")</f>
        <v>Green Beans</v>
      </c>
      <c r="AV114" s="292" t="str">
        <f>IFERROR(__xludf.DUMMYFUNCTION("""COMPUTED_VALUE"""),"Aubergine")</f>
        <v>Aubergine</v>
      </c>
      <c r="AW114" s="292" t="str">
        <f>IFERROR(__xludf.DUMMYFUNCTION("""COMPUTED_VALUE"""),"Year Round")</f>
        <v>Year Round</v>
      </c>
      <c r="AX114" s="292" t="str">
        <f>IFERROR(__xludf.DUMMYFUNCTION("""COMPUTED_VALUE"""),"Italian")</f>
        <v>Italian</v>
      </c>
      <c r="AY114" s="292"/>
      <c r="AZ114" s="292" t="str">
        <f>IFERROR(__xludf.DUMMYFUNCTION("""COMPUTED_VALUE"""),"2 CT")</f>
        <v>2 CT</v>
      </c>
      <c r="BA114" s="292" t="b">
        <f>IFERROR(__xludf.DUMMYFUNCTION("""COMPUTED_VALUE"""),FALSE)</f>
        <v>0</v>
      </c>
      <c r="BB114" s="342">
        <f>IFERROR(__xludf.DUMMYFUNCTION("""COMPUTED_VALUE"""),1.77)</f>
        <v>1.77</v>
      </c>
      <c r="BC114" s="342">
        <f>IFERROR(__xludf.DUMMYFUNCTION("""COMPUTED_VALUE"""),0.99)</f>
        <v>0.99</v>
      </c>
      <c r="BD114" s="342">
        <f>IFERROR(__xludf.DUMMYFUNCTION("""COMPUTED_VALUE"""),0.362)</f>
        <v>0.362</v>
      </c>
      <c r="BE114" s="342">
        <f>IFERROR(__xludf.DUMMYFUNCTION("""COMPUTED_VALUE"""),0.89)</f>
        <v>0.89</v>
      </c>
      <c r="BF114" s="296" t="str">
        <f>IFERROR(__xludf.DUMMYFUNCTION("""COMPUTED_VALUE"""),"#REF!")</f>
        <v>#REF!</v>
      </c>
      <c r="BG114" s="296" t="str">
        <f>IFERROR(__xludf.DUMMYFUNCTION("""COMPUTED_VALUE"""),"#REF!")</f>
        <v>#REF!</v>
      </c>
      <c r="BH114" s="296" t="str">
        <f>IFERROR(__xludf.DUMMYFUNCTION("""COMPUTED_VALUE"""),"#REF!")</f>
        <v>#REF!</v>
      </c>
      <c r="BI114" s="295">
        <f>IFERROR(__xludf.DUMMYFUNCTION("""COMPUTED_VALUE"""),256.0)</f>
        <v>256</v>
      </c>
      <c r="BJ114" s="295" t="str">
        <f>IFERROR(__xludf.DUMMYFUNCTION("""COMPUTED_VALUE"""),"FALSE")</f>
        <v>FALSE</v>
      </c>
      <c r="BK114" s="346">
        <f>IFERROR(__xludf.DUMMYFUNCTION("""COMPUTED_VALUE"""),2133.0)</f>
        <v>2133</v>
      </c>
      <c r="BL114" s="292" t="str">
        <f>IFERROR(__xludf.DUMMYFUNCTION("""COMPUTED_VALUE"""),"Local Development")</f>
        <v>Local Development</v>
      </c>
      <c r="BM114" s="292" t="str">
        <f>IFERROR(__xludf.DUMMYFUNCTION("""COMPUTED_VALUE"""),"Medelhavsinspirerad grönsaksrätt med aubergine")</f>
        <v>Medelhavsinspirerad grönsaksrätt med aubergine</v>
      </c>
      <c r="BN114" s="292"/>
      <c r="BO114" s="292"/>
      <c r="BP114" s="292"/>
      <c r="BQ114" s="292" t="str">
        <f>IFERROR(__xludf.DUMMYFUNCTION("""COMPUTED_VALUE"""),"Hold")</f>
        <v>Hold</v>
      </c>
      <c r="BR114" s="292" t="b">
        <f>IFERROR(__xludf.DUMMYFUNCTION("""COMPUTED_VALUE"""),FALSE)</f>
        <v>0</v>
      </c>
      <c r="BS114" s="292" t="b">
        <f>IFERROR(__xludf.DUMMYFUNCTION("""COMPUTED_VALUE"""),FALSE)</f>
        <v>0</v>
      </c>
      <c r="BT114" s="345">
        <f>IFERROR(__xludf.DUMMYFUNCTION("""COMPUTED_VALUE"""),475.0)</f>
        <v>475</v>
      </c>
      <c r="BU114" s="345">
        <f>IFERROR(__xludf.DUMMYFUNCTION("""COMPUTED_VALUE"""),114.0)</f>
        <v>114</v>
      </c>
      <c r="BV114" s="344">
        <f>IFERROR(__xludf.DUMMYFUNCTION("""COMPUTED_VALUE"""),6.8)</f>
        <v>6.8</v>
      </c>
      <c r="BW114" s="344">
        <f>IFERROR(__xludf.DUMMYFUNCTION("""COMPUTED_VALUE"""),1.8)</f>
        <v>1.8</v>
      </c>
    </row>
    <row r="115">
      <c r="A115" s="292" t="str">
        <f>IFERROR(__xludf.DUMMYFUNCTION("""COMPUTED_VALUE"""),"FE4027A")</f>
        <v>FE4027A</v>
      </c>
      <c r="B115" s="292" t="str">
        <f>IFERROR(__xludf.DUMMYFUNCTION("""COMPUTED_VALUE"""),"CON-40-143725-4")</f>
        <v>CON-40-143725-4</v>
      </c>
      <c r="C115" s="292" t="str">
        <f>IFERROR(__xludf.DUMMYFUNCTION("""COMPUTED_VALUE"""),"CON-00-147888-2")</f>
        <v>CON-00-147888-2</v>
      </c>
      <c r="D115" s="292" t="str">
        <f>IFERROR(__xludf.DUMMYFUNCTION("""COMPUTED_VALUE"""),"CON-00-136693-3")</f>
        <v>CON-00-136693-3</v>
      </c>
      <c r="E115" s="292" t="str">
        <f>IFERROR(__xludf.DUMMYFUNCTION("""COMPUTED_VALUE"""),"Beef &amp; BBQ sauce")</f>
        <v>Beef &amp; BBQ sauce</v>
      </c>
      <c r="F115" s="292" t="str">
        <f>IFERROR(__xludf.DUMMYFUNCTION("""COMPUTED_VALUE"""),"with potato-leek mash, herby courgette and corn")</f>
        <v>with potato-leek mash, herby courgette and corn</v>
      </c>
      <c r="G115" s="292" t="str">
        <f>IFERROR(__xludf.DUMMYFUNCTION("""COMPUTED_VALUE"""),"Rundvlees &amp; BBQ saus")</f>
        <v>Rundvlees &amp; BBQ saus</v>
      </c>
      <c r="H115" s="292" t="str">
        <f>IFERROR(__xludf.DUMMYFUNCTION("""COMPUTED_VALUE"""),"met aardappel-preipuree, kruidige courgette en mais")</f>
        <v>met aardappel-preipuree, kruidige courgette en mais</v>
      </c>
      <c r="I115" s="292" t="str">
        <f>IFERROR(__xludf.DUMMYFUNCTION("""COMPUTED_VALUE"""),"Oksekød med BBQ sauce")</f>
        <v>Oksekød med BBQ sauce</v>
      </c>
      <c r="J115" s="292" t="str">
        <f>IFERROR(__xludf.DUMMYFUNCTION("""COMPUTED_VALUE"""),"Rindfleisch mit BBQ-Sauce")</f>
        <v>Rindfleisch mit BBQ-Sauce</v>
      </c>
      <c r="K115" s="292">
        <f>IFERROR(__xludf.DUMMYFUNCTION("""COMPUTED_VALUE"""),565085.0)</f>
        <v>565085</v>
      </c>
      <c r="L115" s="292" t="str">
        <f>IFERROR(__xludf.DUMMYFUNCTION("""COMPUTED_VALUE"""),"HF BBQ Beef")</f>
        <v>HF BBQ Beef</v>
      </c>
      <c r="M115" s="292" t="str">
        <f>IFERROR(__xludf.DUMMYFUNCTION("""COMPUTED_VALUE"""),"FA-NL Rundvlees &amp; BBQ saus (FE4027)")</f>
        <v>FA-NL Rundvlees &amp; BBQ saus (FE4027)</v>
      </c>
      <c r="N115" s="292" t="str">
        <f>IFERROR(__xludf.DUMMYFUNCTION("""COMPUTED_VALUE"""),"FA-NO Oksekød med BBQ sauce (FE4027)")</f>
        <v>FA-NO Oksekød med BBQ sauce (FE4027)</v>
      </c>
      <c r="O115" s="292" t="str">
        <f>IFERROR(__xludf.DUMMYFUNCTION("""COMPUTED_VALUE"""),"FA-DE Rindfleisch mit BBQ-Sauce (FE4027)")</f>
        <v>FA-DE Rindfleisch mit BBQ-Sauce (FE4027)</v>
      </c>
      <c r="P115" s="292" t="str">
        <f>IFERROR(__xludf.DUMMYFUNCTION("""COMPUTED_VALUE"""),"Graveyard")</f>
        <v>Graveyard</v>
      </c>
      <c r="Q115" s="292" t="str">
        <f>IFERROR(__xludf.DUMMYFUNCTION("""COMPUTED_VALUE"""),"Replaced after menu W04 with B version")</f>
        <v>Replaced after menu W04 with B version</v>
      </c>
      <c r="R115" s="342">
        <f>IFERROR(__xludf.DUMMYFUNCTION("""COMPUTED_VALUE"""),4.32)</f>
        <v>4.32</v>
      </c>
      <c r="S115" s="292"/>
      <c r="T115" s="292"/>
      <c r="U115" s="292"/>
      <c r="V115" s="292"/>
      <c r="W115" s="292" t="b">
        <f>IFERROR(__xludf.DUMMYFUNCTION("""COMPUTED_VALUE"""),TRUE)</f>
        <v>1</v>
      </c>
      <c r="X115" s="345">
        <f>IFERROR(__xludf.DUMMYFUNCTION("""COMPUTED_VALUE"""),404.0)</f>
        <v>404</v>
      </c>
      <c r="Y115" s="344">
        <f>IFERROR(__xludf.DUMMYFUNCTION("""COMPUTED_VALUE"""),497.0)</f>
        <v>497</v>
      </c>
      <c r="Z115" s="343">
        <f>IFERROR(__xludf.DUMMYFUNCTION("""COMPUTED_VALUE"""),20.6)</f>
        <v>20.6</v>
      </c>
      <c r="AA115" s="344">
        <f>IFERROR(__xludf.DUMMYFUNCTION("""COMPUTED_VALUE"""),8.1)</f>
        <v>8.1</v>
      </c>
      <c r="AB115" s="344">
        <f>IFERROR(__xludf.DUMMYFUNCTION("""COMPUTED_VALUE"""),41.2)</f>
        <v>41.2</v>
      </c>
      <c r="AC115" s="344">
        <f>IFERROR(__xludf.DUMMYFUNCTION("""COMPUTED_VALUE"""),15.8)</f>
        <v>15.8</v>
      </c>
      <c r="AD115" s="344">
        <f>IFERROR(__xludf.DUMMYFUNCTION("""COMPUTED_VALUE"""),7.3)</f>
        <v>7.3</v>
      </c>
      <c r="AE115" s="343">
        <f>IFERROR(__xludf.DUMMYFUNCTION("""COMPUTED_VALUE"""),32.3)</f>
        <v>32.3</v>
      </c>
      <c r="AF115" s="343">
        <f>IFERROR(__xludf.DUMMYFUNCTION("""COMPUTED_VALUE"""),1.98)</f>
        <v>1.98</v>
      </c>
      <c r="AG115" s="292" t="b">
        <f>IFERROR(__xludf.DUMMYFUNCTION("""COMPUTED_VALUE"""),TRUE)</f>
        <v>1</v>
      </c>
      <c r="AH115" s="292" t="b">
        <f>IFERROR(__xludf.DUMMYFUNCTION("""COMPUTED_VALUE"""),FALSE)</f>
        <v>0</v>
      </c>
      <c r="AI115" s="292" t="b">
        <f>IFERROR(__xludf.DUMMYFUNCTION("""COMPUTED_VALUE"""),TRUE)</f>
        <v>1</v>
      </c>
      <c r="AJ115" s="292" t="b">
        <f>IFERROR(__xludf.DUMMYFUNCTION("""COMPUTED_VALUE"""),FALSE)</f>
        <v>0</v>
      </c>
      <c r="AK115" s="292" t="b">
        <f>IFERROR(__xludf.DUMMYFUNCTION("""COMPUTED_VALUE"""),FALSE)</f>
        <v>0</v>
      </c>
      <c r="AL115" s="292" t="b">
        <f>IFERROR(__xludf.DUMMYFUNCTION("""COMPUTED_VALUE"""),FALSE)</f>
        <v>0</v>
      </c>
      <c r="AM115" s="292" t="b">
        <f>IFERROR(__xludf.DUMMYFUNCTION("""COMPUTED_VALUE"""),TRUE)</f>
        <v>1</v>
      </c>
      <c r="AN115" s="292" t="b">
        <f>IFERROR(__xludf.DUMMYFUNCTION("""COMPUTED_VALUE"""),FALSE)</f>
        <v>0</v>
      </c>
      <c r="AO115" s="292" t="str">
        <f>IFERROR(__xludf.DUMMYFUNCTION("""COMPUTED_VALUE"""),"FALSE")</f>
        <v>FALSE</v>
      </c>
      <c r="AP115" s="292" t="str">
        <f>IFERROR(__xludf.DUMMYFUNCTION("""COMPUTED_VALUE"""),"Shredded beef")</f>
        <v>Shredded beef</v>
      </c>
      <c r="AQ115" s="292" t="str">
        <f>IFERROR(__xludf.DUMMYFUNCTION("""COMPUTED_VALUE"""),"Beef")</f>
        <v>Beef</v>
      </c>
      <c r="AR115" s="292" t="str">
        <f>IFERROR(__xludf.DUMMYFUNCTION("""COMPUTED_VALUE"""),"Shredded")</f>
        <v>Shredded</v>
      </c>
      <c r="AS115" s="292" t="str">
        <f>IFERROR(__xludf.DUMMYFUNCTION("""COMPUTED_VALUE"""),"Potato Mash")</f>
        <v>Potato Mash</v>
      </c>
      <c r="AT115" s="292" t="str">
        <f>IFERROR(__xludf.DUMMYFUNCTION("""COMPUTED_VALUE"""),"Zucchini Diced")</f>
        <v>Zucchini Diced</v>
      </c>
      <c r="AU115" s="292" t="str">
        <f>IFERROR(__xludf.DUMMYFUNCTION("""COMPUTED_VALUE"""),"Corn Kernels")</f>
        <v>Corn Kernels</v>
      </c>
      <c r="AV115" s="292" t="str">
        <f>IFERROR(__xludf.DUMMYFUNCTION("""COMPUTED_VALUE"""),"Green onion")</f>
        <v>Green onion</v>
      </c>
      <c r="AW115" s="292" t="str">
        <f>IFERROR(__xludf.DUMMYFUNCTION("""COMPUTED_VALUE"""),"Year Round")</f>
        <v>Year Round</v>
      </c>
      <c r="AX115" s="292" t="str">
        <f>IFERROR(__xludf.DUMMYFUNCTION("""COMPUTED_VALUE"""),"American")</f>
        <v>American</v>
      </c>
      <c r="AY115" s="292"/>
      <c r="AZ115" s="292" t="str">
        <f>IFERROR(__xludf.DUMMYFUNCTION("""COMPUTED_VALUE"""),"2 CT")</f>
        <v>2 CT</v>
      </c>
      <c r="BA115" s="292" t="b">
        <f>IFERROR(__xludf.DUMMYFUNCTION("""COMPUTED_VALUE"""),FALSE)</f>
        <v>0</v>
      </c>
      <c r="BB115" s="342">
        <f>IFERROR(__xludf.DUMMYFUNCTION("""COMPUTED_VALUE"""),2.07)</f>
        <v>2.07</v>
      </c>
      <c r="BC115" s="342">
        <f>IFERROR(__xludf.DUMMYFUNCTION("""COMPUTED_VALUE"""),1.04)</f>
        <v>1.04</v>
      </c>
      <c r="BD115" s="342">
        <f>IFERROR(__xludf.DUMMYFUNCTION("""COMPUTED_VALUE"""),0.362)</f>
        <v>0.362</v>
      </c>
      <c r="BE115" s="342">
        <f>IFERROR(__xludf.DUMMYFUNCTION("""COMPUTED_VALUE"""),0.89)</f>
        <v>0.89</v>
      </c>
      <c r="BF115" s="296" t="str">
        <f>IFERROR(__xludf.DUMMYFUNCTION("""COMPUTED_VALUE"""),"#REF!")</f>
        <v>#REF!</v>
      </c>
      <c r="BG115" s="296" t="str">
        <f>IFERROR(__xludf.DUMMYFUNCTION("""COMPUTED_VALUE"""),"#REF!")</f>
        <v>#REF!</v>
      </c>
      <c r="BH115" s="296" t="str">
        <f>IFERROR(__xludf.DUMMYFUNCTION("""COMPUTED_VALUE"""),"#REF!")</f>
        <v>#REF!</v>
      </c>
      <c r="BI115" s="295">
        <f>IFERROR(__xludf.DUMMYFUNCTION("""COMPUTED_VALUE"""),160.0)</f>
        <v>160</v>
      </c>
      <c r="BJ115" s="295" t="str">
        <f>IFERROR(__xludf.DUMMYFUNCTION("""COMPUTED_VALUE"""),"FALSE")</f>
        <v>FALSE</v>
      </c>
      <c r="BK115" s="346">
        <f>IFERROR(__xludf.DUMMYFUNCTION("""COMPUTED_VALUE"""),2085.0)</f>
        <v>2085</v>
      </c>
      <c r="BL115" s="292" t="str">
        <f>IFERROR(__xludf.DUMMYFUNCTION("""COMPUTED_VALUE"""),"US")</f>
        <v>US</v>
      </c>
      <c r="BM115" s="292" t="str">
        <f>IFERROR(__xludf.DUMMYFUNCTION("""COMPUTED_VALUE"""),"Pulled beef i BBQ-sås")</f>
        <v>Pulled beef i BBQ-sås</v>
      </c>
      <c r="BN115" s="292"/>
      <c r="BO115" s="292"/>
      <c r="BP115" s="292"/>
      <c r="BQ115" s="292" t="str">
        <f>IFERROR(__xludf.DUMMYFUNCTION("""COMPUTED_VALUE"""),"Graveyard")</f>
        <v>Graveyard</v>
      </c>
      <c r="BR115" s="292" t="b">
        <f>IFERROR(__xludf.DUMMYFUNCTION("""COMPUTED_VALUE"""),FALSE)</f>
        <v>0</v>
      </c>
      <c r="BS115" s="292" t="b">
        <f>IFERROR(__xludf.DUMMYFUNCTION("""COMPUTED_VALUE"""),FALSE)</f>
        <v>0</v>
      </c>
      <c r="BT115" s="345">
        <f>IFERROR(__xludf.DUMMYFUNCTION("""COMPUTED_VALUE"""),516.0)</f>
        <v>516</v>
      </c>
      <c r="BU115" s="345">
        <f>IFERROR(__xludf.DUMMYFUNCTION("""COMPUTED_VALUE"""),123.0)</f>
        <v>123</v>
      </c>
      <c r="BV115" s="344">
        <f>IFERROR(__xludf.DUMMYFUNCTION("""COMPUTED_VALUE"""),5.1)</f>
        <v>5.1</v>
      </c>
      <c r="BW115" s="344">
        <f>IFERROR(__xludf.DUMMYFUNCTION("""COMPUTED_VALUE"""),2.0)</f>
        <v>2</v>
      </c>
    </row>
    <row r="116">
      <c r="A116" s="292" t="str">
        <f>IFERROR(__xludf.DUMMYFUNCTION("""COMPUTED_VALUE"""),"FE4029A")</f>
        <v>FE4029A</v>
      </c>
      <c r="B116" s="292" t="str">
        <f>IFERROR(__xludf.DUMMYFUNCTION("""COMPUTED_VALUE"""),"CON-40-143678-4")</f>
        <v>CON-40-143678-4</v>
      </c>
      <c r="C116" s="292" t="str">
        <f>IFERROR(__xludf.DUMMYFUNCTION("""COMPUTED_VALUE"""),"CON-00-147889-2")</f>
        <v>CON-00-147889-2</v>
      </c>
      <c r="D116" s="292" t="str">
        <f>IFERROR(__xludf.DUMMYFUNCTION("""COMPUTED_VALUE"""),"CON-00-136697-3")</f>
        <v>CON-00-136697-3</v>
      </c>
      <c r="E116" s="292" t="str">
        <f>IFERROR(__xludf.DUMMYFUNCTION("""COMPUTED_VALUE"""),"Chicken with garlic-parmesan dressing")</f>
        <v>Chicken with garlic-parmesan dressing</v>
      </c>
      <c r="F116" s="292" t="str">
        <f>IFERROR(__xludf.DUMMYFUNCTION("""COMPUTED_VALUE"""),"with roasted cabbage, tomatoes and sweet potato")</f>
        <v>with roasted cabbage, tomatoes and sweet potato</v>
      </c>
      <c r="G116" s="292" t="str">
        <f>IFERROR(__xludf.DUMMYFUNCTION("""COMPUTED_VALUE"""),"Kip met parmezaan-knoflook dressing")</f>
        <v>Kip met parmezaan-knoflook dressing</v>
      </c>
      <c r="H116" s="292" t="str">
        <f>IFERROR(__xludf.DUMMYFUNCTION("""COMPUTED_VALUE"""),"met geroosterde kool, tomaat en zoete aardappel ")</f>
        <v>met geroosterde kool, tomaat en zoete aardappel </v>
      </c>
      <c r="I116" s="292" t="str">
        <f>IFERROR(__xludf.DUMMYFUNCTION("""COMPUTED_VALUE"""),"Hvidløgs- og parmesan kylling")</f>
        <v>Hvidløgs- og parmesan kylling</v>
      </c>
      <c r="J116" s="292" t="str">
        <f>IFERROR(__xludf.DUMMYFUNCTION("""COMPUTED_VALUE"""),"Hähnchen mit Parmesan-Knoblauch-Dressing")</f>
        <v>Hähnchen mit Parmesan-Knoblauch-Dressing</v>
      </c>
      <c r="K116" s="292">
        <f>IFERROR(__xludf.DUMMYFUNCTION("""COMPUTED_VALUE"""),565093.0)</f>
        <v>565093</v>
      </c>
      <c r="L116" s="292" t="str">
        <f>IFERROR(__xludf.DUMMYFUNCTION("""COMPUTED_VALUE"""),"HF Gegrildge kipfilet parmezaan")</f>
        <v>HF Gegrildge kipfilet parmezaan</v>
      </c>
      <c r="M116" s="292" t="str">
        <f>IFERROR(__xludf.DUMMYFUNCTION("""COMPUTED_VALUE"""),"FA-NL Kip met parmezaan-knoflook dressing (FE4029)")</f>
        <v>FA-NL Kip met parmezaan-knoflook dressing (FE4029)</v>
      </c>
      <c r="N116" s="292" t="str">
        <f>IFERROR(__xludf.DUMMYFUNCTION("""COMPUTED_VALUE"""),"FA-NO Hvidløgs- og parmesan kylling (FE4029)")</f>
        <v>FA-NO Hvidløgs- og parmesan kylling (FE4029)</v>
      </c>
      <c r="O116" s="292" t="str">
        <f>IFERROR(__xludf.DUMMYFUNCTION("""COMPUTED_VALUE"""),"FA-DE Huhn mit Parmesan-Knoblauch-Dressing (FE4029)")</f>
        <v>FA-DE Huhn mit Parmesan-Knoblauch-Dressing (FE4029)</v>
      </c>
      <c r="P116" s="292" t="str">
        <f>IFERROR(__xludf.DUMMYFUNCTION("""COMPUTED_VALUE"""),"Graveyard")</f>
        <v>Graveyard</v>
      </c>
      <c r="Q116" s="292"/>
      <c r="R116" s="342">
        <f>IFERROR(__xludf.DUMMYFUNCTION("""COMPUTED_VALUE"""),5.3)</f>
        <v>5.3</v>
      </c>
      <c r="S116" s="292"/>
      <c r="T116" s="292"/>
      <c r="U116" s="292"/>
      <c r="V116" s="292"/>
      <c r="W116" s="292" t="b">
        <f>IFERROR(__xludf.DUMMYFUNCTION("""COMPUTED_VALUE"""),TRUE)</f>
        <v>1</v>
      </c>
      <c r="X116" s="345">
        <f>IFERROR(__xludf.DUMMYFUNCTION("""COMPUTED_VALUE"""),399.0)</f>
        <v>399</v>
      </c>
      <c r="Y116" s="344">
        <f>IFERROR(__xludf.DUMMYFUNCTION("""COMPUTED_VALUE"""),523.0)</f>
        <v>523</v>
      </c>
      <c r="Z116" s="343">
        <f>IFERROR(__xludf.DUMMYFUNCTION("""COMPUTED_VALUE"""),23.1)</f>
        <v>23.1</v>
      </c>
      <c r="AA116" s="344">
        <f>IFERROR(__xludf.DUMMYFUNCTION("""COMPUTED_VALUE"""),5.2)</f>
        <v>5.2</v>
      </c>
      <c r="AB116" s="344">
        <f>IFERROR(__xludf.DUMMYFUNCTION("""COMPUTED_VALUE"""),38.3)</f>
        <v>38.3</v>
      </c>
      <c r="AC116" s="344">
        <f>IFERROR(__xludf.DUMMYFUNCTION("""COMPUTED_VALUE"""),16.8)</f>
        <v>16.8</v>
      </c>
      <c r="AD116" s="344">
        <f>IFERROR(__xludf.DUMMYFUNCTION("""COMPUTED_VALUE"""),10.4)</f>
        <v>10.4</v>
      </c>
      <c r="AE116" s="343">
        <f>IFERROR(__xludf.DUMMYFUNCTION("""COMPUTED_VALUE"""),33.1)</f>
        <v>33.1</v>
      </c>
      <c r="AF116" s="343">
        <f>IFERROR(__xludf.DUMMYFUNCTION("""COMPUTED_VALUE"""),1.96)</f>
        <v>1.96</v>
      </c>
      <c r="AG116" s="292" t="b">
        <f>IFERROR(__xludf.DUMMYFUNCTION("""COMPUTED_VALUE"""),FALSE)</f>
        <v>0</v>
      </c>
      <c r="AH116" s="292" t="b">
        <f>IFERROR(__xludf.DUMMYFUNCTION("""COMPUTED_VALUE"""),FALSE)</f>
        <v>0</v>
      </c>
      <c r="AI116" s="292" t="b">
        <f>IFERROR(__xludf.DUMMYFUNCTION("""COMPUTED_VALUE"""),TRUE)</f>
        <v>1</v>
      </c>
      <c r="AJ116" s="292" t="b">
        <f>IFERROR(__xludf.DUMMYFUNCTION("""COMPUTED_VALUE"""),FALSE)</f>
        <v>0</v>
      </c>
      <c r="AK116" s="292" t="b">
        <f>IFERROR(__xludf.DUMMYFUNCTION("""COMPUTED_VALUE"""),FALSE)</f>
        <v>0</v>
      </c>
      <c r="AL116" s="292" t="b">
        <f>IFERROR(__xludf.DUMMYFUNCTION("""COMPUTED_VALUE"""),FALSE)</f>
        <v>0</v>
      </c>
      <c r="AM116" s="292" t="b">
        <f>IFERROR(__xludf.DUMMYFUNCTION("""COMPUTED_VALUE"""),TRUE)</f>
        <v>1</v>
      </c>
      <c r="AN116" s="292" t="b">
        <f>IFERROR(__xludf.DUMMYFUNCTION("""COMPUTED_VALUE"""),FALSE)</f>
        <v>0</v>
      </c>
      <c r="AO116" s="292" t="str">
        <f>IFERROR(__xludf.DUMMYFUNCTION("""COMPUTED_VALUE"""),"TRUE")</f>
        <v>TRUE</v>
      </c>
      <c r="AP116" s="292" t="str">
        <f>IFERROR(__xludf.DUMMYFUNCTION("""COMPUTED_VALUE"""),"Chicken breast")</f>
        <v>Chicken breast</v>
      </c>
      <c r="AQ116" s="292" t="str">
        <f>IFERROR(__xludf.DUMMYFUNCTION("""COMPUTED_VALUE"""),"Chicken")</f>
        <v>Chicken</v>
      </c>
      <c r="AR116" s="292" t="str">
        <f>IFERROR(__xludf.DUMMYFUNCTION("""COMPUTED_VALUE"""),"Breast")</f>
        <v>Breast</v>
      </c>
      <c r="AS116" s="292" t="str">
        <f>IFERROR(__xludf.DUMMYFUNCTION("""COMPUTED_VALUE"""),"Potato Mash")</f>
        <v>Potato Mash</v>
      </c>
      <c r="AT116" s="292" t="str">
        <f>IFERROR(__xludf.DUMMYFUNCTION("""COMPUTED_VALUE"""),"Cabbage")</f>
        <v>Cabbage</v>
      </c>
      <c r="AU116" s="292" t="str">
        <f>IFERROR(__xludf.DUMMYFUNCTION("""COMPUTED_VALUE"""),"Sweet Potato")</f>
        <v>Sweet Potato</v>
      </c>
      <c r="AV116" s="292" t="str">
        <f>IFERROR(__xludf.DUMMYFUNCTION("""COMPUTED_VALUE"""),"Cherry Tomatoes")</f>
        <v>Cherry Tomatoes</v>
      </c>
      <c r="AW116" s="292" t="str">
        <f>IFERROR(__xludf.DUMMYFUNCTION("""COMPUTED_VALUE"""),"Year Round")</f>
        <v>Year Round</v>
      </c>
      <c r="AX116" s="292" t="str">
        <f>IFERROR(__xludf.DUMMYFUNCTION("""COMPUTED_VALUE"""),"American")</f>
        <v>American</v>
      </c>
      <c r="AY116" s="292"/>
      <c r="AZ116" s="292" t="str">
        <f>IFERROR(__xludf.DUMMYFUNCTION("""COMPUTED_VALUE"""),"2 CT")</f>
        <v>2 CT</v>
      </c>
      <c r="BA116" s="292" t="b">
        <f>IFERROR(__xludf.DUMMYFUNCTION("""COMPUTED_VALUE"""),TRUE)</f>
        <v>1</v>
      </c>
      <c r="BB116" s="342">
        <f>IFERROR(__xludf.DUMMYFUNCTION("""COMPUTED_VALUE"""),3.01)</f>
        <v>3.01</v>
      </c>
      <c r="BC116" s="342">
        <f>IFERROR(__xludf.DUMMYFUNCTION("""COMPUTED_VALUE"""),1.06)</f>
        <v>1.06</v>
      </c>
      <c r="BD116" s="342">
        <f>IFERROR(__xludf.DUMMYFUNCTION("""COMPUTED_VALUE"""),0.392)</f>
        <v>0.392</v>
      </c>
      <c r="BE116" s="342">
        <f>IFERROR(__xludf.DUMMYFUNCTION("""COMPUTED_VALUE"""),0.89)</f>
        <v>0.89</v>
      </c>
      <c r="BF116" s="296" t="str">
        <f>IFERROR(__xludf.DUMMYFUNCTION("""COMPUTED_VALUE"""),"#REF!")</f>
        <v>#REF!</v>
      </c>
      <c r="BG116" s="296" t="str">
        <f>IFERROR(__xludf.DUMMYFUNCTION("""COMPUTED_VALUE"""),"#REF!")</f>
        <v>#REF!</v>
      </c>
      <c r="BH116" s="296" t="str">
        <f>IFERROR(__xludf.DUMMYFUNCTION("""COMPUTED_VALUE"""),"#REF!")</f>
        <v>#REF!</v>
      </c>
      <c r="BI116" s="295">
        <f>IFERROR(__xludf.DUMMYFUNCTION("""COMPUTED_VALUE"""),151.0)</f>
        <v>151</v>
      </c>
      <c r="BJ116" s="295" t="str">
        <f>IFERROR(__xludf.DUMMYFUNCTION("""COMPUTED_VALUE"""),"FALSE")</f>
        <v>FALSE</v>
      </c>
      <c r="BK116" s="346">
        <f>IFERROR(__xludf.DUMMYFUNCTION("""COMPUTED_VALUE"""),2183.0)</f>
        <v>2183</v>
      </c>
      <c r="BL116" s="292" t="str">
        <f>IFERROR(__xludf.DUMMYFUNCTION("""COMPUTED_VALUE"""),"Local Development")</f>
        <v>Local Development</v>
      </c>
      <c r="BM116" s="292" t="str">
        <f>IFERROR(__xludf.DUMMYFUNCTION("""COMPUTED_VALUE"""),"Kyckling med vitlök och parmesan")</f>
        <v>Kyckling med vitlök och parmesan</v>
      </c>
      <c r="BN116" s="292"/>
      <c r="BO116" s="292"/>
      <c r="BP116" s="292"/>
      <c r="BQ116" s="292" t="str">
        <f>IFERROR(__xludf.DUMMYFUNCTION("""COMPUTED_VALUE"""),"Graveyard")</f>
        <v>Graveyard</v>
      </c>
      <c r="BR116" s="292" t="b">
        <f>IFERROR(__xludf.DUMMYFUNCTION("""COMPUTED_VALUE"""),FALSE)</f>
        <v>0</v>
      </c>
      <c r="BS116" s="292" t="b">
        <f>IFERROR(__xludf.DUMMYFUNCTION("""COMPUTED_VALUE"""),TRUE)</f>
        <v>1</v>
      </c>
      <c r="BT116" s="345">
        <f>IFERROR(__xludf.DUMMYFUNCTION("""COMPUTED_VALUE"""),547.0)</f>
        <v>547</v>
      </c>
      <c r="BU116" s="345">
        <f>IFERROR(__xludf.DUMMYFUNCTION("""COMPUTED_VALUE"""),131.0)</f>
        <v>131</v>
      </c>
      <c r="BV116" s="344">
        <f>IFERROR(__xludf.DUMMYFUNCTION("""COMPUTED_VALUE"""),5.8)</f>
        <v>5.8</v>
      </c>
      <c r="BW116" s="344">
        <f>IFERROR(__xludf.DUMMYFUNCTION("""COMPUTED_VALUE"""),1.3)</f>
        <v>1.3</v>
      </c>
    </row>
    <row r="117">
      <c r="A117" s="292" t="str">
        <f>IFERROR(__xludf.DUMMYFUNCTION("""COMPUTED_VALUE"""),"FE4030A")</f>
        <v>FE4030A</v>
      </c>
      <c r="B117" s="292" t="str">
        <f>IFERROR(__xludf.DUMMYFUNCTION("""COMPUTED_VALUE"""),"CON-40-143707-4")</f>
        <v>CON-40-143707-4</v>
      </c>
      <c r="C117" s="292" t="str">
        <f>IFERROR(__xludf.DUMMYFUNCTION("""COMPUTED_VALUE"""),"CON-00-147892-2")</f>
        <v>CON-00-147892-2</v>
      </c>
      <c r="D117" s="292" t="str">
        <f>IFERROR(__xludf.DUMMYFUNCTION("""COMPUTED_VALUE"""),"CON-00-136701-3")</f>
        <v>CON-00-136701-3</v>
      </c>
      <c r="E117" s="292" t="str">
        <f>IFERROR(__xludf.DUMMYFUNCTION("""COMPUTED_VALUE"""),"Spicy cajun chicken")</f>
        <v>Spicy cajun chicken</v>
      </c>
      <c r="F117" s="292" t="str">
        <f>IFERROR(__xludf.DUMMYFUNCTION("""COMPUTED_VALUE"""),"with creamy polenta and corn ")</f>
        <v>with creamy polenta and corn </v>
      </c>
      <c r="G117" s="292" t="str">
        <f>IFERROR(__xludf.DUMMYFUNCTION("""COMPUTED_VALUE"""),"Pittige cajun-kip ")</f>
        <v>Pittige cajun-kip </v>
      </c>
      <c r="H117" s="292" t="str">
        <f>IFERROR(__xludf.DUMMYFUNCTION("""COMPUTED_VALUE"""),"met romige polenta en maïs")</f>
        <v>met romige polenta en maïs</v>
      </c>
      <c r="I117" s="292" t="str">
        <f>IFERROR(__xludf.DUMMYFUNCTION("""COMPUTED_VALUE"""),"Spicy cajun-kylling")</f>
        <v>Spicy cajun-kylling</v>
      </c>
      <c r="J117" s="292" t="str">
        <f>IFERROR(__xludf.DUMMYFUNCTION("""COMPUTED_VALUE"""),"Spicy Cajun Hähnchen")</f>
        <v>Spicy Cajun Hähnchen</v>
      </c>
      <c r="K117" s="292">
        <f>IFERROR(__xludf.DUMMYFUNCTION("""COMPUTED_VALUE"""),565092.0)</f>
        <v>565092</v>
      </c>
      <c r="L117" s="292" t="str">
        <f>IFERROR(__xludf.DUMMYFUNCTION("""COMPUTED_VALUE"""),"HF Spicy cajun chicken")</f>
        <v>HF Spicy cajun chicken</v>
      </c>
      <c r="M117" s="292" t="str">
        <f>IFERROR(__xludf.DUMMYFUNCTION("""COMPUTED_VALUE"""),"FA-NL Pittige cajun-kip (FE4030)")</f>
        <v>FA-NL Pittige cajun-kip (FE4030)</v>
      </c>
      <c r="N117" s="292" t="str">
        <f>IFERROR(__xludf.DUMMYFUNCTION("""COMPUTED_VALUE"""),"FA-NO Spicy cajun-kylling (FE4030)")</f>
        <v>FA-NO Spicy cajun-kylling (FE4030)</v>
      </c>
      <c r="O117" s="292" t="str">
        <f>IFERROR(__xludf.DUMMYFUNCTION("""COMPUTED_VALUE"""),"FA-DE Spicy Cajun Hähnchen (FE4030)")</f>
        <v>FA-DE Spicy Cajun Hähnchen (FE4030)</v>
      </c>
      <c r="P117" s="292" t="str">
        <f>IFERROR(__xludf.DUMMYFUNCTION("""COMPUTED_VALUE"""),"Graveyard")</f>
        <v>Graveyard</v>
      </c>
      <c r="Q117" s="292"/>
      <c r="R117" s="342">
        <f>IFERROR(__xludf.DUMMYFUNCTION("""COMPUTED_VALUE"""),4.24)</f>
        <v>4.24</v>
      </c>
      <c r="S117" s="292"/>
      <c r="T117" s="292"/>
      <c r="U117" s="292"/>
      <c r="V117" s="292"/>
      <c r="W117" s="292" t="b">
        <f>IFERROR(__xludf.DUMMYFUNCTION("""COMPUTED_VALUE"""),TRUE)</f>
        <v>1</v>
      </c>
      <c r="X117" s="345">
        <f>IFERROR(__xludf.DUMMYFUNCTION("""COMPUTED_VALUE"""),399.0)</f>
        <v>399</v>
      </c>
      <c r="Y117" s="344">
        <f>IFERROR(__xludf.DUMMYFUNCTION("""COMPUTED_VALUE"""),531.0)</f>
        <v>531</v>
      </c>
      <c r="Z117" s="343">
        <f>IFERROR(__xludf.DUMMYFUNCTION("""COMPUTED_VALUE"""),23.9)</f>
        <v>23.9</v>
      </c>
      <c r="AA117" s="344">
        <f>IFERROR(__xludf.DUMMYFUNCTION("""COMPUTED_VALUE"""),8.4)</f>
        <v>8.4</v>
      </c>
      <c r="AB117" s="344">
        <f>IFERROR(__xludf.DUMMYFUNCTION("""COMPUTED_VALUE"""),37.1)</f>
        <v>37.1</v>
      </c>
      <c r="AC117" s="344">
        <f>IFERROR(__xludf.DUMMYFUNCTION("""COMPUTED_VALUE"""),13.6)</f>
        <v>13.6</v>
      </c>
      <c r="AD117" s="344">
        <f>IFERROR(__xludf.DUMMYFUNCTION("""COMPUTED_VALUE"""),8.0)</f>
        <v>8</v>
      </c>
      <c r="AE117" s="343">
        <f>IFERROR(__xludf.DUMMYFUNCTION("""COMPUTED_VALUE"""),36.7)</f>
        <v>36.7</v>
      </c>
      <c r="AF117" s="343">
        <f>IFERROR(__xludf.DUMMYFUNCTION("""COMPUTED_VALUE"""),1.96)</f>
        <v>1.96</v>
      </c>
      <c r="AG117" s="292" t="b">
        <f>IFERROR(__xludf.DUMMYFUNCTION("""COMPUTED_VALUE"""),TRUE)</f>
        <v>1</v>
      </c>
      <c r="AH117" s="292" t="b">
        <f>IFERROR(__xludf.DUMMYFUNCTION("""COMPUTED_VALUE"""),FALSE)</f>
        <v>0</v>
      </c>
      <c r="AI117" s="292" t="b">
        <f>IFERROR(__xludf.DUMMYFUNCTION("""COMPUTED_VALUE"""),TRUE)</f>
        <v>1</v>
      </c>
      <c r="AJ117" s="292" t="b">
        <f>IFERROR(__xludf.DUMMYFUNCTION("""COMPUTED_VALUE"""),FALSE)</f>
        <v>0</v>
      </c>
      <c r="AK117" s="292" t="b">
        <f>IFERROR(__xludf.DUMMYFUNCTION("""COMPUTED_VALUE"""),FALSE)</f>
        <v>0</v>
      </c>
      <c r="AL117" s="292" t="b">
        <f>IFERROR(__xludf.DUMMYFUNCTION("""COMPUTED_VALUE"""),FALSE)</f>
        <v>0</v>
      </c>
      <c r="AM117" s="292" t="b">
        <f>IFERROR(__xludf.DUMMYFUNCTION("""COMPUTED_VALUE"""),TRUE)</f>
        <v>1</v>
      </c>
      <c r="AN117" s="292" t="b">
        <f>IFERROR(__xludf.DUMMYFUNCTION("""COMPUTED_VALUE"""),FALSE)</f>
        <v>0</v>
      </c>
      <c r="AO117" s="292" t="str">
        <f>IFERROR(__xludf.DUMMYFUNCTION("""COMPUTED_VALUE"""),"FALSE")</f>
        <v>FALSE</v>
      </c>
      <c r="AP117" s="292" t="str">
        <f>IFERROR(__xludf.DUMMYFUNCTION("""COMPUTED_VALUE"""),"Chicken breast")</f>
        <v>Chicken breast</v>
      </c>
      <c r="AQ117" s="292" t="str">
        <f>IFERROR(__xludf.DUMMYFUNCTION("""COMPUTED_VALUE"""),"Chicken")</f>
        <v>Chicken</v>
      </c>
      <c r="AR117" s="292" t="str">
        <f>IFERROR(__xludf.DUMMYFUNCTION("""COMPUTED_VALUE"""),"Breast")</f>
        <v>Breast</v>
      </c>
      <c r="AS117" s="292" t="str">
        <f>IFERROR(__xludf.DUMMYFUNCTION("""COMPUTED_VALUE"""),"Cabbage")</f>
        <v>Cabbage</v>
      </c>
      <c r="AT117" s="292" t="str">
        <f>IFERROR(__xludf.DUMMYFUNCTION("""COMPUTED_VALUE"""),"Red bell pepper")</f>
        <v>Red bell pepper</v>
      </c>
      <c r="AU117" s="292" t="str">
        <f>IFERROR(__xludf.DUMMYFUNCTION("""COMPUTED_VALUE"""),"Corn Kernels")</f>
        <v>Corn Kernels</v>
      </c>
      <c r="AV117" s="292" t="str">
        <f>IFERROR(__xludf.DUMMYFUNCTION("""COMPUTED_VALUE"""),"Polenta/Grits")</f>
        <v>Polenta/Grits</v>
      </c>
      <c r="AW117" s="292" t="str">
        <f>IFERROR(__xludf.DUMMYFUNCTION("""COMPUTED_VALUE"""),"Year Round")</f>
        <v>Year Round</v>
      </c>
      <c r="AX117" s="292" t="str">
        <f>IFERROR(__xludf.DUMMYFUNCTION("""COMPUTED_VALUE"""),"American")</f>
        <v>American</v>
      </c>
      <c r="AY117" s="292"/>
      <c r="AZ117" s="292" t="str">
        <f>IFERROR(__xludf.DUMMYFUNCTION("""COMPUTED_VALUE"""),"2 CT")</f>
        <v>2 CT</v>
      </c>
      <c r="BA117" s="292" t="b">
        <f>IFERROR(__xludf.DUMMYFUNCTION("""COMPUTED_VALUE"""),FALSE)</f>
        <v>0</v>
      </c>
      <c r="BB117" s="342">
        <f>IFERROR(__xludf.DUMMYFUNCTION("""COMPUTED_VALUE"""),1.98)</f>
        <v>1.98</v>
      </c>
      <c r="BC117" s="342">
        <f>IFERROR(__xludf.DUMMYFUNCTION("""COMPUTED_VALUE"""),1.06)</f>
        <v>1.06</v>
      </c>
      <c r="BD117" s="342">
        <f>IFERROR(__xludf.DUMMYFUNCTION("""COMPUTED_VALUE"""),0.362)</f>
        <v>0.362</v>
      </c>
      <c r="BE117" s="342">
        <f>IFERROR(__xludf.DUMMYFUNCTION("""COMPUTED_VALUE"""),0.89)</f>
        <v>0.89</v>
      </c>
      <c r="BF117" s="296" t="str">
        <f>IFERROR(__xludf.DUMMYFUNCTION("""COMPUTED_VALUE"""),"#REF!")</f>
        <v>#REF!</v>
      </c>
      <c r="BG117" s="296" t="str">
        <f>IFERROR(__xludf.DUMMYFUNCTION("""COMPUTED_VALUE"""),"#REF!")</f>
        <v>#REF!</v>
      </c>
      <c r="BH117" s="296" t="str">
        <f>IFERROR(__xludf.DUMMYFUNCTION("""COMPUTED_VALUE"""),"#REF!")</f>
        <v>#REF!</v>
      </c>
      <c r="BI117" s="295">
        <f>IFERROR(__xludf.DUMMYFUNCTION("""COMPUTED_VALUE"""),201.0)</f>
        <v>201</v>
      </c>
      <c r="BJ117" s="295" t="str">
        <f>IFERROR(__xludf.DUMMYFUNCTION("""COMPUTED_VALUE"""),"FALSE")</f>
        <v>FALSE</v>
      </c>
      <c r="BK117" s="346">
        <f>IFERROR(__xludf.DUMMYFUNCTION("""COMPUTED_VALUE"""),2218.0)</f>
        <v>2218</v>
      </c>
      <c r="BL117" s="292"/>
      <c r="BM117" s="292" t="str">
        <f>IFERROR(__xludf.DUMMYFUNCTION("""COMPUTED_VALUE"""),"Het cajunkyckling")</f>
        <v>Het cajunkyckling</v>
      </c>
      <c r="BN117" s="292"/>
      <c r="BO117" s="292"/>
      <c r="BP117" s="292"/>
      <c r="BQ117" s="292" t="str">
        <f>IFERROR(__xludf.DUMMYFUNCTION("""COMPUTED_VALUE"""),"Graveyard")</f>
        <v>Graveyard</v>
      </c>
      <c r="BR117" s="292" t="b">
        <f>IFERROR(__xludf.DUMMYFUNCTION("""COMPUTED_VALUE"""),FALSE)</f>
        <v>0</v>
      </c>
      <c r="BS117" s="292" t="b">
        <f>IFERROR(__xludf.DUMMYFUNCTION("""COMPUTED_VALUE"""),FALSE)</f>
        <v>0</v>
      </c>
      <c r="BT117" s="345">
        <f>IFERROR(__xludf.DUMMYFUNCTION("""COMPUTED_VALUE"""),556.0)</f>
        <v>556</v>
      </c>
      <c r="BU117" s="345">
        <f>IFERROR(__xludf.DUMMYFUNCTION("""COMPUTED_VALUE"""),133.0)</f>
        <v>133</v>
      </c>
      <c r="BV117" s="344">
        <f>IFERROR(__xludf.DUMMYFUNCTION("""COMPUTED_VALUE"""),6.0)</f>
        <v>6</v>
      </c>
      <c r="BW117" s="344">
        <f>IFERROR(__xludf.DUMMYFUNCTION("""COMPUTED_VALUE"""),2.1)</f>
        <v>2.1</v>
      </c>
    </row>
    <row r="118">
      <c r="A118" s="292" t="str">
        <f>IFERROR(__xludf.DUMMYFUNCTION("""COMPUTED_VALUE"""),"FE4034A")</f>
        <v>FE4034A</v>
      </c>
      <c r="B118" s="292" t="str">
        <f>IFERROR(__xludf.DUMMYFUNCTION("""COMPUTED_VALUE"""),"CON-40-143714-4")</f>
        <v>CON-40-143714-4</v>
      </c>
      <c r="C118" s="292" t="str">
        <f>IFERROR(__xludf.DUMMYFUNCTION("""COMPUTED_VALUE"""),"CON-00-147890-2")</f>
        <v>CON-00-147890-2</v>
      </c>
      <c r="D118" s="292" t="str">
        <f>IFERROR(__xludf.DUMMYFUNCTION("""COMPUTED_VALUE"""),"CON-00-136710-3")</f>
        <v>CON-00-136710-3</v>
      </c>
      <c r="E118" s="292" t="str">
        <f>IFERROR(__xludf.DUMMYFUNCTION("""COMPUTED_VALUE"""),"Pulled chicken in smokey tomato sauce")</f>
        <v>Pulled chicken in smokey tomato sauce</v>
      </c>
      <c r="F118" s="292" t="str">
        <f>IFERROR(__xludf.DUMMYFUNCTION("""COMPUTED_VALUE"""),"with potato wedges, zucchini and garlic sauce")</f>
        <v>with potato wedges, zucchini and garlic sauce</v>
      </c>
      <c r="G118" s="292" t="str">
        <f>IFERROR(__xludf.DUMMYFUNCTION("""COMPUTED_VALUE"""),"Pulled chicken in smokey tomatensaus")</f>
        <v>Pulled chicken in smokey tomatensaus</v>
      </c>
      <c r="H118" s="292" t="str">
        <f>IFERROR(__xludf.DUMMYFUNCTION("""COMPUTED_VALUE"""),"met aardappelpartjes, courgette en knoflooksaus")</f>
        <v>met aardappelpartjes, courgette en knoflooksaus</v>
      </c>
      <c r="I118" s="292" t="str">
        <f>IFERROR(__xludf.DUMMYFUNCTION("""COMPUTED_VALUE"""),"Pulled chicken i røget tomatsauce ")</f>
        <v>Pulled chicken i røget tomatsauce </v>
      </c>
      <c r="J118" s="292" t="str">
        <f>IFERROR(__xludf.DUMMYFUNCTION("""COMPUTED_VALUE"""),"Pulled Chicken in rauchiger Tomatensauce")</f>
        <v>Pulled Chicken in rauchiger Tomatensauce</v>
      </c>
      <c r="K118" s="292">
        <f>IFERROR(__xludf.DUMMYFUNCTION("""COMPUTED_VALUE"""),565103.0)</f>
        <v>565103</v>
      </c>
      <c r="L118" s="292"/>
      <c r="M118" s="292" t="str">
        <f>IFERROR(__xludf.DUMMYFUNCTION("""COMPUTED_VALUE"""),"FA-NL Pulled chicken in smokey tomatensaus (FE4034)")</f>
        <v>FA-NL Pulled chicken in smokey tomatensaus (FE4034)</v>
      </c>
      <c r="N118" s="292" t="str">
        <f>IFERROR(__xludf.DUMMYFUNCTION("""COMPUTED_VALUE"""),"FA-NO Pulled chicken i røget tomatsauce (FE4034)")</f>
        <v>FA-NO Pulled chicken i røget tomatsauce (FE4034)</v>
      </c>
      <c r="O118" s="292" t="str">
        <f>IFERROR(__xludf.DUMMYFUNCTION("""COMPUTED_VALUE"""),"FA-DE Pulled Chicken in rauchiger Tomatensauce (FE4034)")</f>
        <v>FA-DE Pulled Chicken in rauchiger Tomatensauce (FE4034)</v>
      </c>
      <c r="P118" s="292" t="str">
        <f>IFERROR(__xludf.DUMMYFUNCTION("""COMPUTED_VALUE"""),"Rework")</f>
        <v>Rework</v>
      </c>
      <c r="Q118" s="292"/>
      <c r="R118" s="342">
        <f>IFERROR(__xludf.DUMMYFUNCTION("""COMPUTED_VALUE"""),4.11)</f>
        <v>4.11</v>
      </c>
      <c r="S118" s="292"/>
      <c r="T118" s="292"/>
      <c r="U118" s="292"/>
      <c r="V118" s="292"/>
      <c r="W118" s="292" t="b">
        <f>IFERROR(__xludf.DUMMYFUNCTION("""COMPUTED_VALUE"""),TRUE)</f>
        <v>1</v>
      </c>
      <c r="X118" s="345">
        <f>IFERROR(__xludf.DUMMYFUNCTION("""COMPUTED_VALUE"""),459.0)</f>
        <v>459</v>
      </c>
      <c r="Y118" s="344">
        <f>IFERROR(__xludf.DUMMYFUNCTION("""COMPUTED_VALUE"""),439.0)</f>
        <v>439</v>
      </c>
      <c r="Z118" s="343">
        <f>IFERROR(__xludf.DUMMYFUNCTION("""COMPUTED_VALUE"""),19.7)</f>
        <v>19.7</v>
      </c>
      <c r="AA118" s="344">
        <f>IFERROR(__xludf.DUMMYFUNCTION("""COMPUTED_VALUE"""),6.0)</f>
        <v>6</v>
      </c>
      <c r="AB118" s="344">
        <f>IFERROR(__xludf.DUMMYFUNCTION("""COMPUTED_VALUE"""),28.0)</f>
        <v>28</v>
      </c>
      <c r="AC118" s="344">
        <f>IFERROR(__xludf.DUMMYFUNCTION("""COMPUTED_VALUE"""),11.0)</f>
        <v>11</v>
      </c>
      <c r="AD118" s="344">
        <f>IFERROR(__xludf.DUMMYFUNCTION("""COMPUTED_VALUE"""),10.1)</f>
        <v>10.1</v>
      </c>
      <c r="AE118" s="343">
        <f>IFERROR(__xludf.DUMMYFUNCTION("""COMPUTED_VALUE"""),31.7)</f>
        <v>31.7</v>
      </c>
      <c r="AF118" s="343">
        <f>IFERROR(__xludf.DUMMYFUNCTION("""COMPUTED_VALUE"""),1.93)</f>
        <v>1.93</v>
      </c>
      <c r="AG118" s="292" t="b">
        <f>IFERROR(__xludf.DUMMYFUNCTION("""COMPUTED_VALUE"""),FALSE)</f>
        <v>0</v>
      </c>
      <c r="AH118" s="292" t="b">
        <f>IFERROR(__xludf.DUMMYFUNCTION("""COMPUTED_VALUE"""),FALSE)</f>
        <v>0</v>
      </c>
      <c r="AI118" s="292" t="b">
        <f>IFERROR(__xludf.DUMMYFUNCTION("""COMPUTED_VALUE"""),TRUE)</f>
        <v>1</v>
      </c>
      <c r="AJ118" s="292" t="b">
        <f>IFERROR(__xludf.DUMMYFUNCTION("""COMPUTED_VALUE"""),FALSE)</f>
        <v>0</v>
      </c>
      <c r="AK118" s="292" t="b">
        <f>IFERROR(__xludf.DUMMYFUNCTION("""COMPUTED_VALUE"""),FALSE)</f>
        <v>0</v>
      </c>
      <c r="AL118" s="292" t="b">
        <f>IFERROR(__xludf.DUMMYFUNCTION("""COMPUTED_VALUE"""),FALSE)</f>
        <v>0</v>
      </c>
      <c r="AM118" s="292" t="b">
        <f>IFERROR(__xludf.DUMMYFUNCTION("""COMPUTED_VALUE"""),TRUE)</f>
        <v>1</v>
      </c>
      <c r="AN118" s="292" t="b">
        <f>IFERROR(__xludf.DUMMYFUNCTION("""COMPUTED_VALUE"""),FALSE)</f>
        <v>0</v>
      </c>
      <c r="AO118" s="292" t="str">
        <f>IFERROR(__xludf.DUMMYFUNCTION("""COMPUTED_VALUE"""),"TRUE")</f>
        <v>TRUE</v>
      </c>
      <c r="AP118" s="292" t="str">
        <f>IFERROR(__xludf.DUMMYFUNCTION("""COMPUTED_VALUE"""),"Shredded chicken")</f>
        <v>Shredded chicken</v>
      </c>
      <c r="AQ118" s="292" t="str">
        <f>IFERROR(__xludf.DUMMYFUNCTION("""COMPUTED_VALUE"""),"Chicken")</f>
        <v>Chicken</v>
      </c>
      <c r="AR118" s="292" t="str">
        <f>IFERROR(__xludf.DUMMYFUNCTION("""COMPUTED_VALUE"""),"Shredded")</f>
        <v>Shredded</v>
      </c>
      <c r="AS118" s="292" t="str">
        <f>IFERROR(__xludf.DUMMYFUNCTION("""COMPUTED_VALUE"""),"Potato Non-Mash")</f>
        <v>Potato Non-Mash</v>
      </c>
      <c r="AT118" s="292" t="str">
        <f>IFERROR(__xludf.DUMMYFUNCTION("""COMPUTED_VALUE"""),"Zucchini Half Moon")</f>
        <v>Zucchini Half Moon</v>
      </c>
      <c r="AU118" s="292" t="str">
        <f>IFERROR(__xludf.DUMMYFUNCTION("""COMPUTED_VALUE"""),"Peas")</f>
        <v>Peas</v>
      </c>
      <c r="AV118" s="292" t="str">
        <f>IFERROR(__xludf.DUMMYFUNCTION("""COMPUTED_VALUE"""),"Cupped Sauce")</f>
        <v>Cupped Sauce</v>
      </c>
      <c r="AW118" s="292" t="str">
        <f>IFERROR(__xludf.DUMMYFUNCTION("""COMPUTED_VALUE"""),"Year Round")</f>
        <v>Year Round</v>
      </c>
      <c r="AX118" s="292" t="str">
        <f>IFERROR(__xludf.DUMMYFUNCTION("""COMPUTED_VALUE"""),"Spanish")</f>
        <v>Spanish</v>
      </c>
      <c r="AY118" s="292"/>
      <c r="AZ118" s="292" t="str">
        <f>IFERROR(__xludf.DUMMYFUNCTION("""COMPUTED_VALUE"""),"2 CT")</f>
        <v>2 CT</v>
      </c>
      <c r="BA118" s="292" t="b">
        <f>IFERROR(__xludf.DUMMYFUNCTION("""COMPUTED_VALUE"""),TRUE)</f>
        <v>1</v>
      </c>
      <c r="BB118" s="342">
        <f>IFERROR(__xludf.DUMMYFUNCTION("""COMPUTED_VALUE"""),1.84)</f>
        <v>1.84</v>
      </c>
      <c r="BC118" s="342">
        <f>IFERROR(__xludf.DUMMYFUNCTION("""COMPUTED_VALUE"""),1.04)</f>
        <v>1.04</v>
      </c>
      <c r="BD118" s="342">
        <f>IFERROR(__xludf.DUMMYFUNCTION("""COMPUTED_VALUE"""),0.392)</f>
        <v>0.392</v>
      </c>
      <c r="BE118" s="342">
        <f>IFERROR(__xludf.DUMMYFUNCTION("""COMPUTED_VALUE"""),0.89)</f>
        <v>0.89</v>
      </c>
      <c r="BF118" s="296" t="str">
        <f>IFERROR(__xludf.DUMMYFUNCTION("""COMPUTED_VALUE"""),"#REF!")</f>
        <v>#REF!</v>
      </c>
      <c r="BG118" s="296" t="str">
        <f>IFERROR(__xludf.DUMMYFUNCTION("""COMPUTED_VALUE"""),"#REF!")</f>
        <v>#REF!</v>
      </c>
      <c r="BH118" s="296" t="str">
        <f>IFERROR(__xludf.DUMMYFUNCTION("""COMPUTED_VALUE"""),"#REF!")</f>
        <v>#REF!</v>
      </c>
      <c r="BI118" s="295">
        <f>IFERROR(__xludf.DUMMYFUNCTION("""COMPUTED_VALUE"""),177.0)</f>
        <v>177</v>
      </c>
      <c r="BJ118" s="295" t="str">
        <f>IFERROR(__xludf.DUMMYFUNCTION("""COMPUTED_VALUE"""),"FALSE")</f>
        <v>FALSE</v>
      </c>
      <c r="BK118" s="346">
        <f>IFERROR(__xludf.DUMMYFUNCTION("""COMPUTED_VALUE"""),1841.0)</f>
        <v>1841</v>
      </c>
      <c r="BL118" s="292" t="str">
        <f>IFERROR(__xludf.DUMMYFUNCTION("""COMPUTED_VALUE"""),"Local Development")</f>
        <v>Local Development</v>
      </c>
      <c r="BM118" s="292" t="str">
        <f>IFERROR(__xludf.DUMMYFUNCTION("""COMPUTED_VALUE"""),"Pulled chicken i rökig tomatsås")</f>
        <v>Pulled chicken i rökig tomatsås</v>
      </c>
      <c r="BN118" s="292"/>
      <c r="BO118" s="292"/>
      <c r="BP118" s="292"/>
      <c r="BQ118" s="292" t="str">
        <f>IFERROR(__xludf.DUMMYFUNCTION("""COMPUTED_VALUE"""),"Graveyard")</f>
        <v>Graveyard</v>
      </c>
      <c r="BR118" s="292" t="b">
        <f>IFERROR(__xludf.DUMMYFUNCTION("""COMPUTED_VALUE"""),FALSE)</f>
        <v>0</v>
      </c>
      <c r="BS118" s="292" t="b">
        <f>IFERROR(__xludf.DUMMYFUNCTION("""COMPUTED_VALUE"""),FALSE)</f>
        <v>0</v>
      </c>
      <c r="BT118" s="345">
        <f>IFERROR(__xludf.DUMMYFUNCTION("""COMPUTED_VALUE"""),401.0)</f>
        <v>401</v>
      </c>
      <c r="BU118" s="345">
        <f>IFERROR(__xludf.DUMMYFUNCTION("""COMPUTED_VALUE"""),96.0)</f>
        <v>96</v>
      </c>
      <c r="BV118" s="344">
        <f>IFERROR(__xludf.DUMMYFUNCTION("""COMPUTED_VALUE"""),4.3)</f>
        <v>4.3</v>
      </c>
      <c r="BW118" s="344">
        <f>IFERROR(__xludf.DUMMYFUNCTION("""COMPUTED_VALUE"""),1.3)</f>
        <v>1.3</v>
      </c>
    </row>
    <row r="119">
      <c r="A119" s="292" t="str">
        <f>IFERROR(__xludf.DUMMYFUNCTION("""COMPUTED_VALUE"""),"FE4037A")</f>
        <v>FE4037A</v>
      </c>
      <c r="B119" s="292" t="str">
        <f>IFERROR(__xludf.DUMMYFUNCTION("""COMPUTED_VALUE"""),"CON-40-143701-4")</f>
        <v>CON-40-143701-4</v>
      </c>
      <c r="C119" s="292" t="str">
        <f>IFERROR(__xludf.DUMMYFUNCTION("""COMPUTED_VALUE"""),"CON-00-147891-2")</f>
        <v>CON-00-147891-2</v>
      </c>
      <c r="D119" s="292" t="str">
        <f>IFERROR(__xludf.DUMMYFUNCTION("""COMPUTED_VALUE"""),"CON-00-136707-3")</f>
        <v>CON-00-136707-3</v>
      </c>
      <c r="E119" s="292" t="str">
        <f>IFERROR(__xludf.DUMMYFUNCTION("""COMPUTED_VALUE"""),"Miso-mushrooms")</f>
        <v>Miso-mushrooms</v>
      </c>
      <c r="F119" s="292" t="str">
        <f>IFERROR(__xludf.DUMMYFUNCTION("""COMPUTED_VALUE"""),"with garlic-lime rice, spinach, peanuts and sweet soy dressing")</f>
        <v>with garlic-lime rice, spinach, peanuts and sweet soy dressing</v>
      </c>
      <c r="G119" s="292" t="str">
        <f>IFERROR(__xludf.DUMMYFUNCTION("""COMPUTED_VALUE"""),"Miso-champignons")</f>
        <v>Miso-champignons</v>
      </c>
      <c r="H119" s="292" t="str">
        <f>IFERROR(__xludf.DUMMYFUNCTION("""COMPUTED_VALUE"""),"met knoflook-limoenrijst, spinazie, pinda's en zoete sojadressing")</f>
        <v>met knoflook-limoenrijst, spinazie, pinda's en zoete sojadressing</v>
      </c>
      <c r="I119" s="292" t="str">
        <f>IFERROR(__xludf.DUMMYFUNCTION("""COMPUTED_VALUE"""),"Miso-svampe")</f>
        <v>Miso-svampe</v>
      </c>
      <c r="J119" s="292" t="str">
        <f>IFERROR(__xludf.DUMMYFUNCTION("""COMPUTED_VALUE"""),"Miso-Pilze")</f>
        <v>Miso-Pilze</v>
      </c>
      <c r="K119" s="292">
        <f>IFERROR(__xludf.DUMMYFUNCTION("""COMPUTED_VALUE"""),565099.0)</f>
        <v>565099</v>
      </c>
      <c r="L119" s="292"/>
      <c r="M119" s="292" t="str">
        <f>IFERROR(__xludf.DUMMYFUNCTION("""COMPUTED_VALUE"""),"FA-NL Miso-champignons (FE4037)")</f>
        <v>FA-NL Miso-champignons (FE4037)</v>
      </c>
      <c r="N119" s="292" t="str">
        <f>IFERROR(__xludf.DUMMYFUNCTION("""COMPUTED_VALUE"""),"FA-NO Miso-svampe (FE4037)")</f>
        <v>FA-NO Miso-svampe (FE4037)</v>
      </c>
      <c r="O119" s="292" t="str">
        <f>IFERROR(__xludf.DUMMYFUNCTION("""COMPUTED_VALUE"""),"FA-DE Miso-Pilze (FE4037)")</f>
        <v>FA-DE Miso-Pilze (FE4037)</v>
      </c>
      <c r="P119" s="292" t="str">
        <f>IFERROR(__xludf.DUMMYFUNCTION("""COMPUTED_VALUE"""),"Active")</f>
        <v>Active</v>
      </c>
      <c r="Q119" s="292"/>
      <c r="R119" s="342">
        <f>IFERROR(__xludf.DUMMYFUNCTION("""COMPUTED_VALUE"""),4.0)</f>
        <v>4</v>
      </c>
      <c r="S119" s="292"/>
      <c r="T119" s="292"/>
      <c r="U119" s="292"/>
      <c r="V119" s="292"/>
      <c r="W119" s="292" t="b">
        <f>IFERROR(__xludf.DUMMYFUNCTION("""COMPUTED_VALUE"""),TRUE)</f>
        <v>1</v>
      </c>
      <c r="X119" s="345">
        <f>IFERROR(__xludf.DUMMYFUNCTION("""COMPUTED_VALUE"""),404.0)</f>
        <v>404</v>
      </c>
      <c r="Y119" s="344">
        <f>IFERROR(__xludf.DUMMYFUNCTION("""COMPUTED_VALUE"""),602.0)</f>
        <v>602</v>
      </c>
      <c r="Z119" s="343">
        <f>IFERROR(__xludf.DUMMYFUNCTION("""COMPUTED_VALUE"""),29.1)</f>
        <v>29.1</v>
      </c>
      <c r="AA119" s="344">
        <f>IFERROR(__xludf.DUMMYFUNCTION("""COMPUTED_VALUE"""),4.4)</f>
        <v>4.4</v>
      </c>
      <c r="AB119" s="344">
        <f>IFERROR(__xludf.DUMMYFUNCTION("""COMPUTED_VALUE"""),60.2)</f>
        <v>60.2</v>
      </c>
      <c r="AC119" s="344">
        <f>IFERROR(__xludf.DUMMYFUNCTION("""COMPUTED_VALUE"""),14.5)</f>
        <v>14.5</v>
      </c>
      <c r="AD119" s="344">
        <f>IFERROR(__xludf.DUMMYFUNCTION("""COMPUTED_VALUE"""),10.1)</f>
        <v>10.1</v>
      </c>
      <c r="AE119" s="343">
        <f>IFERROR(__xludf.DUMMYFUNCTION("""COMPUTED_VALUE"""),19.4)</f>
        <v>19.4</v>
      </c>
      <c r="AF119" s="343">
        <f>IFERROR(__xludf.DUMMYFUNCTION("""COMPUTED_VALUE"""),1.98)</f>
        <v>1.98</v>
      </c>
      <c r="AG119" s="292" t="b">
        <f>IFERROR(__xludf.DUMMYFUNCTION("""COMPUTED_VALUE"""),TRUE)</f>
        <v>1</v>
      </c>
      <c r="AH119" s="292" t="b">
        <f>IFERROR(__xludf.DUMMYFUNCTION("""COMPUTED_VALUE"""),FALSE)</f>
        <v>0</v>
      </c>
      <c r="AI119" s="292" t="b">
        <f>IFERROR(__xludf.DUMMYFUNCTION("""COMPUTED_VALUE"""),FALSE)</f>
        <v>0</v>
      </c>
      <c r="AJ119" s="292" t="b">
        <f>IFERROR(__xludf.DUMMYFUNCTION("""COMPUTED_VALUE"""),FALSE)</f>
        <v>0</v>
      </c>
      <c r="AK119" s="292" t="b">
        <f>IFERROR(__xludf.DUMMYFUNCTION("""COMPUTED_VALUE"""),TRUE)</f>
        <v>1</v>
      </c>
      <c r="AL119" s="292" t="b">
        <f>IFERROR(__xludf.DUMMYFUNCTION("""COMPUTED_VALUE"""),TRUE)</f>
        <v>1</v>
      </c>
      <c r="AM119" s="292" t="b">
        <f>IFERROR(__xludf.DUMMYFUNCTION("""COMPUTED_VALUE"""),FALSE)</f>
        <v>0</v>
      </c>
      <c r="AN119" s="292" t="b">
        <f>IFERROR(__xludf.DUMMYFUNCTION("""COMPUTED_VALUE"""),TRUE)</f>
        <v>1</v>
      </c>
      <c r="AO119" s="292" t="str">
        <f>IFERROR(__xludf.DUMMYFUNCTION("""COMPUTED_VALUE"""),"TRUE")</f>
        <v>TRUE</v>
      </c>
      <c r="AP119" s="292" t="str">
        <f>IFERROR(__xludf.DUMMYFUNCTION("""COMPUTED_VALUE"""),"Vegetarian")</f>
        <v>Vegetarian</v>
      </c>
      <c r="AQ119" s="292" t="str">
        <f>IFERROR(__xludf.DUMMYFUNCTION("""COMPUTED_VALUE"""),"Vegetarian")</f>
        <v>Vegetarian</v>
      </c>
      <c r="AR119" s="292" t="str">
        <f>IFERROR(__xludf.DUMMYFUNCTION("""COMPUTED_VALUE"""),"Rice")</f>
        <v>Rice</v>
      </c>
      <c r="AS119" s="292" t="str">
        <f>IFERROR(__xludf.DUMMYFUNCTION("""COMPUTED_VALUE"""),"Rice")</f>
        <v>Rice</v>
      </c>
      <c r="AT119" s="292" t="str">
        <f>IFERROR(__xludf.DUMMYFUNCTION("""COMPUTED_VALUE"""),"Mushrooms")</f>
        <v>Mushrooms</v>
      </c>
      <c r="AU119" s="292" t="str">
        <f>IFERROR(__xludf.DUMMYFUNCTION("""COMPUTED_VALUE"""),"Spinach")</f>
        <v>Spinach</v>
      </c>
      <c r="AV119" s="292" t="str">
        <f>IFERROR(__xludf.DUMMYFUNCTION("""COMPUTED_VALUE"""),"Broccoli")</f>
        <v>Broccoli</v>
      </c>
      <c r="AW119" s="292" t="str">
        <f>IFERROR(__xludf.DUMMYFUNCTION("""COMPUTED_VALUE"""),"Year Round")</f>
        <v>Year Round</v>
      </c>
      <c r="AX119" s="292" t="str">
        <f>IFERROR(__xludf.DUMMYFUNCTION("""COMPUTED_VALUE"""),"Japanese")</f>
        <v>Japanese</v>
      </c>
      <c r="AY119" s="292"/>
      <c r="AZ119" s="292" t="str">
        <f>IFERROR(__xludf.DUMMYFUNCTION("""COMPUTED_VALUE"""),"2 CT")</f>
        <v>2 CT</v>
      </c>
      <c r="BA119" s="292" t="b">
        <f>IFERROR(__xludf.DUMMYFUNCTION("""COMPUTED_VALUE"""),TRUE)</f>
        <v>1</v>
      </c>
      <c r="BB119" s="342">
        <f>IFERROR(__xludf.DUMMYFUNCTION("""COMPUTED_VALUE"""),1.58)</f>
        <v>1.58</v>
      </c>
      <c r="BC119" s="342">
        <f>IFERROR(__xludf.DUMMYFUNCTION("""COMPUTED_VALUE"""),1.14)</f>
        <v>1.14</v>
      </c>
      <c r="BD119" s="342">
        <f>IFERROR(__xludf.DUMMYFUNCTION("""COMPUTED_VALUE"""),0.39)</f>
        <v>0.39</v>
      </c>
      <c r="BE119" s="342">
        <f>IFERROR(__xludf.DUMMYFUNCTION("""COMPUTED_VALUE"""),0.89)</f>
        <v>0.89</v>
      </c>
      <c r="BF119" s="296" t="str">
        <f>IFERROR(__xludf.DUMMYFUNCTION("""COMPUTED_VALUE"""),"#REF!")</f>
        <v>#REF!</v>
      </c>
      <c r="BG119" s="296" t="str">
        <f>IFERROR(__xludf.DUMMYFUNCTION("""COMPUTED_VALUE"""),"#REF!")</f>
        <v>#REF!</v>
      </c>
      <c r="BH119" s="296" t="str">
        <f>IFERROR(__xludf.DUMMYFUNCTION("""COMPUTED_VALUE"""),"#REF!")</f>
        <v>#REF!</v>
      </c>
      <c r="BI119" s="295">
        <f>IFERROR(__xludf.DUMMYFUNCTION("""COMPUTED_VALUE"""),213.0)</f>
        <v>213</v>
      </c>
      <c r="BJ119" s="295" t="str">
        <f>IFERROR(__xludf.DUMMYFUNCTION("""COMPUTED_VALUE"""),"FALSE")</f>
        <v>FALSE</v>
      </c>
      <c r="BK119" s="346">
        <f>IFERROR(__xludf.DUMMYFUNCTION("""COMPUTED_VALUE"""),2521.0)</f>
        <v>2521</v>
      </c>
      <c r="BL119" s="292" t="str">
        <f>IFERROR(__xludf.DUMMYFUNCTION("""COMPUTED_VALUE"""),"Local Development")</f>
        <v>Local Development</v>
      </c>
      <c r="BM119" s="292" t="str">
        <f>IFERROR(__xludf.DUMMYFUNCTION("""COMPUTED_VALUE"""),"Miso-champinjoner")</f>
        <v>Miso-champinjoner</v>
      </c>
      <c r="BN119" s="292"/>
      <c r="BO119" s="292"/>
      <c r="BP119" s="292"/>
      <c r="BQ119" s="292" t="str">
        <f>IFERROR(__xludf.DUMMYFUNCTION("""COMPUTED_VALUE"""),"Active")</f>
        <v>Active</v>
      </c>
      <c r="BR119" s="292" t="b">
        <f>IFERROR(__xludf.DUMMYFUNCTION("""COMPUTED_VALUE"""),FALSE)</f>
        <v>0</v>
      </c>
      <c r="BS119" s="292" t="b">
        <f>IFERROR(__xludf.DUMMYFUNCTION("""COMPUTED_VALUE"""),TRUE)</f>
        <v>1</v>
      </c>
      <c r="BT119" s="345">
        <f>IFERROR(__xludf.DUMMYFUNCTION("""COMPUTED_VALUE"""),624.0)</f>
        <v>624</v>
      </c>
      <c r="BU119" s="345">
        <f>IFERROR(__xludf.DUMMYFUNCTION("""COMPUTED_VALUE"""),149.0)</f>
        <v>149</v>
      </c>
      <c r="BV119" s="344">
        <f>IFERROR(__xludf.DUMMYFUNCTION("""COMPUTED_VALUE"""),7.2)</f>
        <v>7.2</v>
      </c>
      <c r="BW119" s="344">
        <f>IFERROR(__xludf.DUMMYFUNCTION("""COMPUTED_VALUE"""),1.1)</f>
        <v>1.1</v>
      </c>
    </row>
    <row r="120">
      <c r="A120" s="292" t="str">
        <f>IFERROR(__xludf.DUMMYFUNCTION("""COMPUTED_VALUE"""),"FE4038A")</f>
        <v>FE4038A</v>
      </c>
      <c r="B120" s="292" t="str">
        <f>IFERROR(__xludf.DUMMYFUNCTION("""COMPUTED_VALUE"""),"CON-40-143724-4")</f>
        <v>CON-40-143724-4</v>
      </c>
      <c r="C120" s="292" t="str">
        <f>IFERROR(__xludf.DUMMYFUNCTION("""COMPUTED_VALUE"""),"CON-00-147894-2")</f>
        <v>CON-00-147894-2</v>
      </c>
      <c r="D120" s="292" t="str">
        <f>IFERROR(__xludf.DUMMYFUNCTION("""COMPUTED_VALUE"""),"CON-00-136711-3")</f>
        <v>CON-00-136711-3</v>
      </c>
      <c r="E120" s="292" t="str">
        <f>IFERROR(__xludf.DUMMYFUNCTION("""COMPUTED_VALUE"""),"Chicken in mushroom sauce")</f>
        <v>Chicken in mushroom sauce</v>
      </c>
      <c r="F120" s="292" t="str">
        <f>IFERROR(__xludf.DUMMYFUNCTION("""COMPUTED_VALUE"""),"with garlic-green beans and broccoli")</f>
        <v>with garlic-green beans and broccoli</v>
      </c>
      <c r="G120" s="292" t="str">
        <f>IFERROR(__xludf.DUMMYFUNCTION("""COMPUTED_VALUE"""),"Kipfilet in champignonsaus ")</f>
        <v>Kipfilet in champignonsaus </v>
      </c>
      <c r="H120" s="292" t="str">
        <f>IFERROR(__xludf.DUMMYFUNCTION("""COMPUTED_VALUE"""),"met knoflook-sperziebonen en broccoli ")</f>
        <v>met knoflook-sperziebonen en broccoli </v>
      </c>
      <c r="I120" s="292" t="str">
        <f>IFERROR(__xludf.DUMMYFUNCTION("""COMPUTED_VALUE"""),"Kylling i svampesauce     ")</f>
        <v>Kylling i svampesauce     </v>
      </c>
      <c r="J120" s="292" t="str">
        <f>IFERROR(__xludf.DUMMYFUNCTION("""COMPUTED_VALUE"""),"Hähnchen in Pilzsauce")</f>
        <v>Hähnchen in Pilzsauce</v>
      </c>
      <c r="K120" s="292">
        <f>IFERROR(__xludf.DUMMYFUNCTION("""COMPUTED_VALUE"""),565101.0)</f>
        <v>565101</v>
      </c>
      <c r="L120" s="292"/>
      <c r="M120" s="292" t="str">
        <f>IFERROR(__xludf.DUMMYFUNCTION("""COMPUTED_VALUE"""),"FA-NL Kipfilet in champignonsaus (FE4038)")</f>
        <v>FA-NL Kipfilet in champignonsaus (FE4038)</v>
      </c>
      <c r="N120" s="292" t="str">
        <f>IFERROR(__xludf.DUMMYFUNCTION("""COMPUTED_VALUE"""),"FA-NO Kylling i svampesauce (FE4038)")</f>
        <v>FA-NO Kylling i svampesauce (FE4038)</v>
      </c>
      <c r="O120" s="292" t="str">
        <f>IFERROR(__xludf.DUMMYFUNCTION("""COMPUTED_VALUE"""),"FA-DE Hähnchen in Pilzsauce (FE4038)")</f>
        <v>FA-DE Hähnchen in Pilzsauce (FE4038)</v>
      </c>
      <c r="P120" s="292" t="str">
        <f>IFERROR(__xludf.DUMMYFUNCTION("""COMPUTED_VALUE"""),"Graveyard")</f>
        <v>Graveyard</v>
      </c>
      <c r="Q120" s="292"/>
      <c r="R120" s="342">
        <f>IFERROR(__xludf.DUMMYFUNCTION("""COMPUTED_VALUE"""),5.17)</f>
        <v>5.17</v>
      </c>
      <c r="S120" s="292"/>
      <c r="T120" s="292"/>
      <c r="U120" s="292"/>
      <c r="V120" s="292"/>
      <c r="W120" s="292" t="b">
        <f>IFERROR(__xludf.DUMMYFUNCTION("""COMPUTED_VALUE"""),TRUE)</f>
        <v>1</v>
      </c>
      <c r="X120" s="345">
        <f>IFERROR(__xludf.DUMMYFUNCTION("""COMPUTED_VALUE"""),404.0)</f>
        <v>404</v>
      </c>
      <c r="Y120" s="344">
        <f>IFERROR(__xludf.DUMMYFUNCTION("""COMPUTED_VALUE"""),529.0)</f>
        <v>529</v>
      </c>
      <c r="Z120" s="343">
        <f>IFERROR(__xludf.DUMMYFUNCTION("""COMPUTED_VALUE"""),40.0)</f>
        <v>40</v>
      </c>
      <c r="AA120" s="344">
        <f>IFERROR(__xludf.DUMMYFUNCTION("""COMPUTED_VALUE"""),20.6)</f>
        <v>20.6</v>
      </c>
      <c r="AB120" s="344">
        <f>IFERROR(__xludf.DUMMYFUNCTION("""COMPUTED_VALUE"""),13.7)</f>
        <v>13.7</v>
      </c>
      <c r="AC120" s="344">
        <f>IFERROR(__xludf.DUMMYFUNCTION("""COMPUTED_VALUE"""),8.5)</f>
        <v>8.5</v>
      </c>
      <c r="AD120" s="344">
        <f>IFERROR(__xludf.DUMMYFUNCTION("""COMPUTED_VALUE"""),10.1)</f>
        <v>10.1</v>
      </c>
      <c r="AE120" s="343">
        <f>IFERROR(__xludf.DUMMYFUNCTION("""COMPUTED_VALUE"""),39.6)</f>
        <v>39.6</v>
      </c>
      <c r="AF120" s="343">
        <f>IFERROR(__xludf.DUMMYFUNCTION("""COMPUTED_VALUE"""),1.78)</f>
        <v>1.78</v>
      </c>
      <c r="AG120" s="292" t="b">
        <f>IFERROR(__xludf.DUMMYFUNCTION("""COMPUTED_VALUE"""),FALSE)</f>
        <v>0</v>
      </c>
      <c r="AH120" s="292" t="b">
        <f>IFERROR(__xludf.DUMMYFUNCTION("""COMPUTED_VALUE"""),TRUE)</f>
        <v>1</v>
      </c>
      <c r="AI120" s="292" t="b">
        <f>IFERROR(__xludf.DUMMYFUNCTION("""COMPUTED_VALUE"""),FALSE)</f>
        <v>0</v>
      </c>
      <c r="AJ120" s="292" t="b">
        <f>IFERROR(__xludf.DUMMYFUNCTION("""COMPUTED_VALUE"""),FALSE)</f>
        <v>0</v>
      </c>
      <c r="AK120" s="292" t="b">
        <f>IFERROR(__xludf.DUMMYFUNCTION("""COMPUTED_VALUE"""),FALSE)</f>
        <v>0</v>
      </c>
      <c r="AL120" s="292" t="b">
        <f>IFERROR(__xludf.DUMMYFUNCTION("""COMPUTED_VALUE"""),FALSE)</f>
        <v>0</v>
      </c>
      <c r="AM120" s="292" t="b">
        <f>IFERROR(__xludf.DUMMYFUNCTION("""COMPUTED_VALUE"""),TRUE)</f>
        <v>1</v>
      </c>
      <c r="AN120" s="292" t="b">
        <f>IFERROR(__xludf.DUMMYFUNCTION("""COMPUTED_VALUE"""),FALSE)</f>
        <v>0</v>
      </c>
      <c r="AO120" s="292" t="str">
        <f>IFERROR(__xludf.DUMMYFUNCTION("""COMPUTED_VALUE"""),"TRUE")</f>
        <v>TRUE</v>
      </c>
      <c r="AP120" s="292" t="str">
        <f>IFERROR(__xludf.DUMMYFUNCTION("""COMPUTED_VALUE"""),"Chicken breast")</f>
        <v>Chicken breast</v>
      </c>
      <c r="AQ120" s="292" t="str">
        <f>IFERROR(__xludf.DUMMYFUNCTION("""COMPUTED_VALUE"""),"Chicken")</f>
        <v>Chicken</v>
      </c>
      <c r="AR120" s="292" t="str">
        <f>IFERROR(__xludf.DUMMYFUNCTION("""COMPUTED_VALUE"""),"Breast")</f>
        <v>Breast</v>
      </c>
      <c r="AS120" s="292" t="str">
        <f>IFERROR(__xludf.DUMMYFUNCTION("""COMPUTED_VALUE"""),"Mushrooms")</f>
        <v>Mushrooms</v>
      </c>
      <c r="AT120" s="292" t="str">
        <f>IFERROR(__xludf.DUMMYFUNCTION("""COMPUTED_VALUE"""),"Green Beans")</f>
        <v>Green Beans</v>
      </c>
      <c r="AU120" s="292" t="str">
        <f>IFERROR(__xludf.DUMMYFUNCTION("""COMPUTED_VALUE"""),"Broccoli")</f>
        <v>Broccoli</v>
      </c>
      <c r="AV120" s="292" t="str">
        <f>IFERROR(__xludf.DUMMYFUNCTION("""COMPUTED_VALUE"""),"Creamy Sauce Base")</f>
        <v>Creamy Sauce Base</v>
      </c>
      <c r="AW120" s="292" t="str">
        <f>IFERROR(__xludf.DUMMYFUNCTION("""COMPUTED_VALUE"""),"Year Round")</f>
        <v>Year Round</v>
      </c>
      <c r="AX120" s="292" t="str">
        <f>IFERROR(__xludf.DUMMYFUNCTION("""COMPUTED_VALUE"""),"American")</f>
        <v>American</v>
      </c>
      <c r="AY120" s="292"/>
      <c r="AZ120" s="292" t="str">
        <f>IFERROR(__xludf.DUMMYFUNCTION("""COMPUTED_VALUE"""),"2 CT")</f>
        <v>2 CT</v>
      </c>
      <c r="BA120" s="292" t="b">
        <f>IFERROR(__xludf.DUMMYFUNCTION("""COMPUTED_VALUE"""),FALSE)</f>
        <v>0</v>
      </c>
      <c r="BB120" s="342">
        <f>IFERROR(__xludf.DUMMYFUNCTION("""COMPUTED_VALUE"""),2.8)</f>
        <v>2.8</v>
      </c>
      <c r="BC120" s="342">
        <f>IFERROR(__xludf.DUMMYFUNCTION("""COMPUTED_VALUE"""),1.12)</f>
        <v>1.12</v>
      </c>
      <c r="BD120" s="342">
        <f>IFERROR(__xludf.DUMMYFUNCTION("""COMPUTED_VALUE"""),0.36)</f>
        <v>0.36</v>
      </c>
      <c r="BE120" s="342">
        <f>IFERROR(__xludf.DUMMYFUNCTION("""COMPUTED_VALUE"""),0.89)</f>
        <v>0.89</v>
      </c>
      <c r="BF120" s="296" t="str">
        <f>IFERROR(__xludf.DUMMYFUNCTION("""COMPUTED_VALUE"""),"#REF!")</f>
        <v>#REF!</v>
      </c>
      <c r="BG120" s="296" t="str">
        <f>IFERROR(__xludf.DUMMYFUNCTION("""COMPUTED_VALUE"""),"#REF!")</f>
        <v>#REF!</v>
      </c>
      <c r="BH120" s="296" t="str">
        <f>IFERROR(__xludf.DUMMYFUNCTION("""COMPUTED_VALUE"""),"#REF!")</f>
        <v>#REF!</v>
      </c>
      <c r="BI120" s="295">
        <f>IFERROR(__xludf.DUMMYFUNCTION("""COMPUTED_VALUE"""),193.0)</f>
        <v>193</v>
      </c>
      <c r="BJ120" s="295" t="str">
        <f>IFERROR(__xludf.DUMMYFUNCTION("""COMPUTED_VALUE"""),"FALSE")</f>
        <v>FALSE</v>
      </c>
      <c r="BK120" s="346">
        <f>IFERROR(__xludf.DUMMYFUNCTION("""COMPUTED_VALUE"""),2464.0)</f>
        <v>2464</v>
      </c>
      <c r="BL120" s="292" t="str">
        <f>IFERROR(__xludf.DUMMYFUNCTION("""COMPUTED_VALUE"""),"Local Development")</f>
        <v>Local Development</v>
      </c>
      <c r="BM120" s="292" t="str">
        <f>IFERROR(__xludf.DUMMYFUNCTION("""COMPUTED_VALUE"""),"Kyckling i svampsås")</f>
        <v>Kyckling i svampsås</v>
      </c>
      <c r="BN120" s="292"/>
      <c r="BO120" s="292"/>
      <c r="BP120" s="292"/>
      <c r="BQ120" s="292" t="str">
        <f>IFERROR(__xludf.DUMMYFUNCTION("""COMPUTED_VALUE"""),"Graveyard")</f>
        <v>Graveyard</v>
      </c>
      <c r="BR120" s="292" t="b">
        <f>IFERROR(__xludf.DUMMYFUNCTION("""COMPUTED_VALUE"""),FALSE)</f>
        <v>0</v>
      </c>
      <c r="BS120" s="292" t="b">
        <f>IFERROR(__xludf.DUMMYFUNCTION("""COMPUTED_VALUE"""),FALSE)</f>
        <v>0</v>
      </c>
      <c r="BT120" s="345">
        <f>IFERROR(__xludf.DUMMYFUNCTION("""COMPUTED_VALUE"""),610.0)</f>
        <v>610</v>
      </c>
      <c r="BU120" s="345">
        <f>IFERROR(__xludf.DUMMYFUNCTION("""COMPUTED_VALUE"""),131.0)</f>
        <v>131</v>
      </c>
      <c r="BV120" s="344">
        <f>IFERROR(__xludf.DUMMYFUNCTION("""COMPUTED_VALUE"""),9.9)</f>
        <v>9.9</v>
      </c>
      <c r="BW120" s="344">
        <f>IFERROR(__xludf.DUMMYFUNCTION("""COMPUTED_VALUE"""),5.1)</f>
        <v>5.1</v>
      </c>
    </row>
    <row r="121">
      <c r="A121" s="292" t="str">
        <f>IFERROR(__xludf.DUMMYFUNCTION("""COMPUTED_VALUE"""),"FE4039A")</f>
        <v>FE4039A</v>
      </c>
      <c r="B121" s="292" t="str">
        <f>IFERROR(__xludf.DUMMYFUNCTION("""COMPUTED_VALUE"""),"CON-40-143752-4")</f>
        <v>CON-40-143752-4</v>
      </c>
      <c r="C121" s="292" t="str">
        <f>IFERROR(__xludf.DUMMYFUNCTION("""COMPUTED_VALUE"""),"CON-00-147893-2")</f>
        <v>CON-00-147893-2</v>
      </c>
      <c r="D121" s="292" t="str">
        <f>IFERROR(__xludf.DUMMYFUNCTION("""COMPUTED_VALUE"""),"CON-00-137744-2")</f>
        <v>CON-00-137744-2</v>
      </c>
      <c r="E121" s="292" t="str">
        <f>IFERROR(__xludf.DUMMYFUNCTION("""COMPUTED_VALUE"""),"Salmon in creamy gochugaru sauce")</f>
        <v>Salmon in creamy gochugaru sauce</v>
      </c>
      <c r="F121" s="292" t="str">
        <f>IFERROR(__xludf.DUMMYFUNCTION("""COMPUTED_VALUE"""),"with sesame-courgetti ")</f>
        <v>with sesame-courgetti </v>
      </c>
      <c r="G121" s="292" t="str">
        <f>IFERROR(__xludf.DUMMYFUNCTION("""COMPUTED_VALUE"""),"Zalm in romige gochugaru saus")</f>
        <v>Zalm in romige gochugaru saus</v>
      </c>
      <c r="H121" s="292" t="str">
        <f>IFERROR(__xludf.DUMMYFUNCTION("""COMPUTED_VALUE"""),"met sesam-courgetti")</f>
        <v>met sesam-courgetti</v>
      </c>
      <c r="I121" s="292" t="str">
        <f>IFERROR(__xludf.DUMMYFUNCTION("""COMPUTED_VALUE"""),"Laks i cremet gochugaru sauce")</f>
        <v>Laks i cremet gochugaru sauce</v>
      </c>
      <c r="J121" s="292" t="str">
        <f>IFERROR(__xludf.DUMMYFUNCTION("""COMPUTED_VALUE"""),"Lachs in cremiger Gochugaru-Sauce")</f>
        <v>Lachs in cremiger Gochugaru-Sauce</v>
      </c>
      <c r="K121" s="292">
        <f>IFERROR(__xludf.DUMMYFUNCTION("""COMPUTED_VALUE"""),565102.0)</f>
        <v>565102</v>
      </c>
      <c r="L121" s="292"/>
      <c r="M121" s="292" t="str">
        <f>IFERROR(__xludf.DUMMYFUNCTION("""COMPUTED_VALUE"""),"FA-NL Zalm in romige gochugaru saus (FE4039)")</f>
        <v>FA-NL Zalm in romige gochugaru saus (FE4039)</v>
      </c>
      <c r="N121" s="292" t="str">
        <f>IFERROR(__xludf.DUMMYFUNCTION("""COMPUTED_VALUE"""),"FA-NO Laks i cremet gochugaru sauce (FE4039)")</f>
        <v>FA-NO Laks i cremet gochugaru sauce (FE4039)</v>
      </c>
      <c r="O121" s="292" t="str">
        <f>IFERROR(__xludf.DUMMYFUNCTION("""COMPUTED_VALUE"""),"FA-DE Lachs in cremiger Gochugaru-Sauce (FE4039)")</f>
        <v>FA-DE Lachs in cremiger Gochugaru-Sauce (FE4039)</v>
      </c>
      <c r="P121" s="292" t="str">
        <f>IFERROR(__xludf.DUMMYFUNCTION("""COMPUTED_VALUE"""),"Graveyard")</f>
        <v>Graveyard</v>
      </c>
      <c r="Q121" s="292"/>
      <c r="R121" s="342">
        <f>IFERROR(__xludf.DUMMYFUNCTION("""COMPUTED_VALUE"""),7.14)</f>
        <v>7.14</v>
      </c>
      <c r="S121" s="292"/>
      <c r="T121" s="292"/>
      <c r="U121" s="292"/>
      <c r="V121" s="292"/>
      <c r="W121" s="292" t="b">
        <f>IFERROR(__xludf.DUMMYFUNCTION("""COMPUTED_VALUE"""),TRUE)</f>
        <v>1</v>
      </c>
      <c r="X121" s="345">
        <f>IFERROR(__xludf.DUMMYFUNCTION("""COMPUTED_VALUE"""),419.0)</f>
        <v>419</v>
      </c>
      <c r="Y121" s="344">
        <f>IFERROR(__xludf.DUMMYFUNCTION("""COMPUTED_VALUE"""),624.0)</f>
        <v>624</v>
      </c>
      <c r="Z121" s="343">
        <f>IFERROR(__xludf.DUMMYFUNCTION("""COMPUTED_VALUE"""),46.5)</f>
        <v>46.5</v>
      </c>
      <c r="AA121" s="344">
        <f>IFERROR(__xludf.DUMMYFUNCTION("""COMPUTED_VALUE"""),17.6)</f>
        <v>17.6</v>
      </c>
      <c r="AB121" s="344">
        <f>IFERROR(__xludf.DUMMYFUNCTION("""COMPUTED_VALUE"""),13.0)</f>
        <v>13</v>
      </c>
      <c r="AC121" s="344">
        <f>IFERROR(__xludf.DUMMYFUNCTION("""COMPUTED_VALUE"""),9.6)</f>
        <v>9.6</v>
      </c>
      <c r="AD121" s="344">
        <f>IFERROR(__xludf.DUMMYFUNCTION("""COMPUTED_VALUE"""),3.8)</f>
        <v>3.8</v>
      </c>
      <c r="AE121" s="343">
        <f>IFERROR(__xludf.DUMMYFUNCTION("""COMPUTED_VALUE"""),35.6)</f>
        <v>35.6</v>
      </c>
      <c r="AF121" s="343">
        <f>IFERROR(__xludf.DUMMYFUNCTION("""COMPUTED_VALUE"""),1.93)</f>
        <v>1.93</v>
      </c>
      <c r="AG121" s="292" t="b">
        <f>IFERROR(__xludf.DUMMYFUNCTION("""COMPUTED_VALUE"""),TRUE)</f>
        <v>1</v>
      </c>
      <c r="AH121" s="292" t="b">
        <f>IFERROR(__xludf.DUMMYFUNCTION("""COMPUTED_VALUE"""),TRUE)</f>
        <v>1</v>
      </c>
      <c r="AI121" s="292" t="b">
        <f>IFERROR(__xludf.DUMMYFUNCTION("""COMPUTED_VALUE"""),FALSE)</f>
        <v>0</v>
      </c>
      <c r="AJ121" s="292" t="b">
        <f>IFERROR(__xludf.DUMMYFUNCTION("""COMPUTED_VALUE"""),FALSE)</f>
        <v>0</v>
      </c>
      <c r="AK121" s="292" t="b">
        <f>IFERROR(__xludf.DUMMYFUNCTION("""COMPUTED_VALUE"""),FALSE)</f>
        <v>0</v>
      </c>
      <c r="AL121" s="292" t="b">
        <f>IFERROR(__xludf.DUMMYFUNCTION("""COMPUTED_VALUE"""),FALSE)</f>
        <v>0</v>
      </c>
      <c r="AM121" s="292" t="b">
        <f>IFERROR(__xludf.DUMMYFUNCTION("""COMPUTED_VALUE"""),TRUE)</f>
        <v>1</v>
      </c>
      <c r="AN121" s="292" t="b">
        <f>IFERROR(__xludf.DUMMYFUNCTION("""COMPUTED_VALUE"""),FALSE)</f>
        <v>0</v>
      </c>
      <c r="AO121" s="292" t="str">
        <f>IFERROR(__xludf.DUMMYFUNCTION("""COMPUTED_VALUE"""),"FALSE")</f>
        <v>FALSE</v>
      </c>
      <c r="AP121" s="292" t="str">
        <f>IFERROR(__xludf.DUMMYFUNCTION("""COMPUTED_VALUE"""),"Salmon")</f>
        <v>Salmon</v>
      </c>
      <c r="AQ121" s="292" t="str">
        <f>IFERROR(__xludf.DUMMYFUNCTION("""COMPUTED_VALUE"""),"Salmon")</f>
        <v>Salmon</v>
      </c>
      <c r="AR121" s="292" t="str">
        <f>IFERROR(__xludf.DUMMYFUNCTION("""COMPUTED_VALUE"""),"Filet")</f>
        <v>Filet</v>
      </c>
      <c r="AS121" s="292" t="str">
        <f>IFERROR(__xludf.DUMMYFUNCTION("""COMPUTED_VALUE"""),"Zucchini Noodles")</f>
        <v>Zucchini Noodles</v>
      </c>
      <c r="AT121" s="292" t="str">
        <f>IFERROR(__xludf.DUMMYFUNCTION("""COMPUTED_VALUE"""),"Cherry Tomatoes")</f>
        <v>Cherry Tomatoes</v>
      </c>
      <c r="AU121" s="292" t="str">
        <f>IFERROR(__xludf.DUMMYFUNCTION("""COMPUTED_VALUE"""),"Creamy Sauce Base")</f>
        <v>Creamy Sauce Base</v>
      </c>
      <c r="AV121" s="292" t="str">
        <f>IFERROR(__xludf.DUMMYFUNCTION("""COMPUTED_VALUE"""),"Green onion")</f>
        <v>Green onion</v>
      </c>
      <c r="AW121" s="292" t="str">
        <f>IFERROR(__xludf.DUMMYFUNCTION("""COMPUTED_VALUE"""),"Year Round")</f>
        <v>Year Round</v>
      </c>
      <c r="AX121" s="292" t="str">
        <f>IFERROR(__xludf.DUMMYFUNCTION("""COMPUTED_VALUE"""),"Fusion")</f>
        <v>Fusion</v>
      </c>
      <c r="AY121" s="292"/>
      <c r="AZ121" s="292" t="str">
        <f>IFERROR(__xludf.DUMMYFUNCTION("""COMPUTED_VALUE"""),"2 CT")</f>
        <v>2 CT</v>
      </c>
      <c r="BA121" s="292" t="b">
        <f>IFERROR(__xludf.DUMMYFUNCTION("""COMPUTED_VALUE"""),FALSE)</f>
        <v>0</v>
      </c>
      <c r="BB121" s="342">
        <f>IFERROR(__xludf.DUMMYFUNCTION("""COMPUTED_VALUE"""),4.91)</f>
        <v>4.91</v>
      </c>
      <c r="BC121" s="342">
        <f>IFERROR(__xludf.DUMMYFUNCTION("""COMPUTED_VALUE"""),1.03)</f>
        <v>1.03</v>
      </c>
      <c r="BD121" s="342">
        <f>IFERROR(__xludf.DUMMYFUNCTION("""COMPUTED_VALUE"""),0.362)</f>
        <v>0.362</v>
      </c>
      <c r="BE121" s="342">
        <f>IFERROR(__xludf.DUMMYFUNCTION("""COMPUTED_VALUE"""),0.89)</f>
        <v>0.89</v>
      </c>
      <c r="BF121" s="296" t="str">
        <f>IFERROR(__xludf.DUMMYFUNCTION("""COMPUTED_VALUE"""),"#REF!")</f>
        <v>#REF!</v>
      </c>
      <c r="BG121" s="296" t="str">
        <f>IFERROR(__xludf.DUMMYFUNCTION("""COMPUTED_VALUE"""),"#REF!")</f>
        <v>#REF!</v>
      </c>
      <c r="BH121" s="296" t="str">
        <f>IFERROR(__xludf.DUMMYFUNCTION("""COMPUTED_VALUE"""),"#REF!")</f>
        <v>#REF!</v>
      </c>
      <c r="BI121" s="295">
        <f>IFERROR(__xludf.DUMMYFUNCTION("""COMPUTED_VALUE"""),175.0)</f>
        <v>175</v>
      </c>
      <c r="BJ121" s="295" t="str">
        <f>IFERROR(__xludf.DUMMYFUNCTION("""COMPUTED_VALUE"""),"TRUE")</f>
        <v>TRUE</v>
      </c>
      <c r="BK121" s="346">
        <f>IFERROR(__xludf.DUMMYFUNCTION("""COMPUTED_VALUE"""),2594.0)</f>
        <v>2594</v>
      </c>
      <c r="BL121" s="292" t="str">
        <f>IFERROR(__xludf.DUMMYFUNCTION("""COMPUTED_VALUE"""),"Local Development")</f>
        <v>Local Development</v>
      </c>
      <c r="BM121" s="292" t="str">
        <f>IFERROR(__xludf.DUMMYFUNCTION("""COMPUTED_VALUE"""),"Lax i krämig gochugaru-sås")</f>
        <v>Lax i krämig gochugaru-sås</v>
      </c>
      <c r="BN121" s="292"/>
      <c r="BO121" s="292"/>
      <c r="BP121" s="292"/>
      <c r="BQ121" s="292" t="str">
        <f>IFERROR(__xludf.DUMMYFUNCTION("""COMPUTED_VALUE"""),"Graveyard")</f>
        <v>Graveyard</v>
      </c>
      <c r="BR121" s="292" t="b">
        <f>IFERROR(__xludf.DUMMYFUNCTION("""COMPUTED_VALUE"""),FALSE)</f>
        <v>0</v>
      </c>
      <c r="BS121" s="292" t="b">
        <f>IFERROR(__xludf.DUMMYFUNCTION("""COMPUTED_VALUE"""),FALSE)</f>
        <v>0</v>
      </c>
      <c r="BT121" s="345">
        <f>IFERROR(__xludf.DUMMYFUNCTION("""COMPUTED_VALUE"""),619.0)</f>
        <v>619</v>
      </c>
      <c r="BU121" s="345">
        <f>IFERROR(__xludf.DUMMYFUNCTION("""COMPUTED_VALUE"""),149.0)</f>
        <v>149</v>
      </c>
      <c r="BV121" s="344">
        <f>IFERROR(__xludf.DUMMYFUNCTION("""COMPUTED_VALUE"""),11.1)</f>
        <v>11.1</v>
      </c>
      <c r="BW121" s="344">
        <f>IFERROR(__xludf.DUMMYFUNCTION("""COMPUTED_VALUE"""),4.2)</f>
        <v>4.2</v>
      </c>
    </row>
    <row r="122">
      <c r="A122" s="292" t="str">
        <f>IFERROR(__xludf.DUMMYFUNCTION("""COMPUTED_VALUE"""),"FE4039B")</f>
        <v>FE4039B</v>
      </c>
      <c r="B122" s="292" t="str">
        <f>IFERROR(__xludf.DUMMYFUNCTION("""COMPUTED_VALUE"""),"CON-40-143752-4")</f>
        <v>CON-40-143752-4</v>
      </c>
      <c r="C122" s="292" t="str">
        <f>IFERROR(__xludf.DUMMYFUNCTION("""COMPUTED_VALUE"""),"CON-00-147893-2")</f>
        <v>CON-00-147893-2</v>
      </c>
      <c r="D122" s="292" t="str">
        <f>IFERROR(__xludf.DUMMYFUNCTION("""COMPUTED_VALUE"""),"CON-00-137744-2")</f>
        <v>CON-00-137744-2</v>
      </c>
      <c r="E122" s="292" t="str">
        <f>IFERROR(__xludf.DUMMYFUNCTION("""COMPUTED_VALUE"""),"Salmon in creamy gochugaru sauce")</f>
        <v>Salmon in creamy gochugaru sauce</v>
      </c>
      <c r="F122" s="292" t="str">
        <f>IFERROR(__xludf.DUMMYFUNCTION("""COMPUTED_VALUE"""),"with sesame-courgetti ")</f>
        <v>with sesame-courgetti </v>
      </c>
      <c r="G122" s="292" t="str">
        <f>IFERROR(__xludf.DUMMYFUNCTION("""COMPUTED_VALUE"""),"Zalm in romige gochugaru saus")</f>
        <v>Zalm in romige gochugaru saus</v>
      </c>
      <c r="H122" s="292" t="str">
        <f>IFERROR(__xludf.DUMMYFUNCTION("""COMPUTED_VALUE"""),"met sesam-courgetti")</f>
        <v>met sesam-courgetti</v>
      </c>
      <c r="I122" s="292" t="str">
        <f>IFERROR(__xludf.DUMMYFUNCTION("""COMPUTED_VALUE"""),"Laks i cremet gochugaru sauce")</f>
        <v>Laks i cremet gochugaru sauce</v>
      </c>
      <c r="J122" s="292" t="str">
        <f>IFERROR(__xludf.DUMMYFUNCTION("""COMPUTED_VALUE"""),"Lachs in cremiger Gochugaru-Sauce")</f>
        <v>Lachs in cremiger Gochugaru-Sauce</v>
      </c>
      <c r="K122" s="292">
        <f>IFERROR(__xludf.DUMMYFUNCTION("""COMPUTED_VALUE"""),565102.0)</f>
        <v>565102</v>
      </c>
      <c r="L122" s="292" t="str">
        <f>IFERROR(__xludf.DUMMYFUNCTION("""COMPUTED_VALUE"""),"Zalm in romige gochugaru saus 415g")</f>
        <v>Zalm in romige gochugaru saus 415g</v>
      </c>
      <c r="M122" s="292" t="str">
        <f>IFERROR(__xludf.DUMMYFUNCTION("""COMPUTED_VALUE"""),"FA-NL Zalm in romige gochugaru saus (FE4039)")</f>
        <v>FA-NL Zalm in romige gochugaru saus (FE4039)</v>
      </c>
      <c r="N122" s="292" t="str">
        <f>IFERROR(__xludf.DUMMYFUNCTION("""COMPUTED_VALUE"""),"FA-NO Laks i cremet gochugaru sauce (FE4039)")</f>
        <v>FA-NO Laks i cremet gochugaru sauce (FE4039)</v>
      </c>
      <c r="O122" s="292" t="str">
        <f>IFERROR(__xludf.DUMMYFUNCTION("""COMPUTED_VALUE"""),"FA-DE Lachs in cremiger Gochugaru-Sauce (FE4039)")</f>
        <v>FA-DE Lachs in cremiger Gochugaru-Sauce (FE4039)</v>
      </c>
      <c r="P122" s="292" t="str">
        <f>IFERROR(__xludf.DUMMYFUNCTION("""COMPUTED_VALUE"""),"Graveyard")</f>
        <v>Graveyard</v>
      </c>
      <c r="Q122" s="292" t="str">
        <f>IFERROR(__xludf.DUMMYFUNCTION("""COMPUTED_VALUE"""),"produced at Bonfait, without LAB")</f>
        <v>produced at Bonfait, without LAB</v>
      </c>
      <c r="R122" s="342">
        <f>IFERROR(__xludf.DUMMYFUNCTION("""COMPUTED_VALUE"""),7.17)</f>
        <v>7.17</v>
      </c>
      <c r="S122" s="292"/>
      <c r="T122" s="292"/>
      <c r="U122" s="292"/>
      <c r="V122" s="292"/>
      <c r="W122" s="292"/>
      <c r="X122" s="345">
        <f>IFERROR(__xludf.DUMMYFUNCTION("""COMPUTED_VALUE"""),415.0)</f>
        <v>415</v>
      </c>
      <c r="Y122" s="344">
        <f>IFERROR(__xludf.DUMMYFUNCTION("""COMPUTED_VALUE"""),719.0)</f>
        <v>719</v>
      </c>
      <c r="Z122" s="343">
        <f>IFERROR(__xludf.DUMMYFUNCTION("""COMPUTED_VALUE"""),56.9)</f>
        <v>56.9</v>
      </c>
      <c r="AA122" s="344">
        <f>IFERROR(__xludf.DUMMYFUNCTION("""COMPUTED_VALUE"""),18.7)</f>
        <v>18.7</v>
      </c>
      <c r="AB122" s="344">
        <f>IFERROR(__xludf.DUMMYFUNCTION("""COMPUTED_VALUE"""),13.1)</f>
        <v>13.1</v>
      </c>
      <c r="AC122" s="344">
        <f>IFERROR(__xludf.DUMMYFUNCTION("""COMPUTED_VALUE"""),10.4)</f>
        <v>10.4</v>
      </c>
      <c r="AD122" s="344">
        <f>IFERROR(__xludf.DUMMYFUNCTION("""COMPUTED_VALUE"""),3.7)</f>
        <v>3.7</v>
      </c>
      <c r="AE122" s="343">
        <f>IFERROR(__xludf.DUMMYFUNCTION("""COMPUTED_VALUE"""),36.3)</f>
        <v>36.3</v>
      </c>
      <c r="AF122" s="343">
        <f>IFERROR(__xludf.DUMMYFUNCTION("""COMPUTED_VALUE"""),1.98)</f>
        <v>1.98</v>
      </c>
      <c r="AG122" s="292" t="b">
        <f>IFERROR(__xludf.DUMMYFUNCTION("""COMPUTED_VALUE"""),TRUE)</f>
        <v>1</v>
      </c>
      <c r="AH122" s="292" t="b">
        <f>IFERROR(__xludf.DUMMYFUNCTION("""COMPUTED_VALUE"""),TRUE)</f>
        <v>1</v>
      </c>
      <c r="AI122" s="292" t="b">
        <f>IFERROR(__xludf.DUMMYFUNCTION("""COMPUTED_VALUE"""),FALSE)</f>
        <v>0</v>
      </c>
      <c r="AJ122" s="292" t="b">
        <f>IFERROR(__xludf.DUMMYFUNCTION("""COMPUTED_VALUE"""),FALSE)</f>
        <v>0</v>
      </c>
      <c r="AK122" s="292" t="b">
        <f>IFERROR(__xludf.DUMMYFUNCTION("""COMPUTED_VALUE"""),FALSE)</f>
        <v>0</v>
      </c>
      <c r="AL122" s="292" t="b">
        <f>IFERROR(__xludf.DUMMYFUNCTION("""COMPUTED_VALUE"""),FALSE)</f>
        <v>0</v>
      </c>
      <c r="AM122" s="292" t="b">
        <f>IFERROR(__xludf.DUMMYFUNCTION("""COMPUTED_VALUE"""),TRUE)</f>
        <v>1</v>
      </c>
      <c r="AN122" s="292" t="b">
        <f>IFERROR(__xludf.DUMMYFUNCTION("""COMPUTED_VALUE"""),FALSE)</f>
        <v>0</v>
      </c>
      <c r="AO122" s="292" t="str">
        <f>IFERROR(__xludf.DUMMYFUNCTION("""COMPUTED_VALUE"""),"FALSE")</f>
        <v>FALSE</v>
      </c>
      <c r="AP122" s="292" t="str">
        <f>IFERROR(__xludf.DUMMYFUNCTION("""COMPUTED_VALUE"""),"Salmon")</f>
        <v>Salmon</v>
      </c>
      <c r="AQ122" s="292" t="str">
        <f>IFERROR(__xludf.DUMMYFUNCTION("""COMPUTED_VALUE"""),"Salmon")</f>
        <v>Salmon</v>
      </c>
      <c r="AR122" s="292" t="str">
        <f>IFERROR(__xludf.DUMMYFUNCTION("""COMPUTED_VALUE"""),"Filet")</f>
        <v>Filet</v>
      </c>
      <c r="AS122" s="292" t="str">
        <f>IFERROR(__xludf.DUMMYFUNCTION("""COMPUTED_VALUE"""),"Zucchini Noodles")</f>
        <v>Zucchini Noodles</v>
      </c>
      <c r="AT122" s="292" t="str">
        <f>IFERROR(__xludf.DUMMYFUNCTION("""COMPUTED_VALUE"""),"Cherry Tomatoes")</f>
        <v>Cherry Tomatoes</v>
      </c>
      <c r="AU122" s="292" t="str">
        <f>IFERROR(__xludf.DUMMYFUNCTION("""COMPUTED_VALUE"""),"Creamy Sauce Base")</f>
        <v>Creamy Sauce Base</v>
      </c>
      <c r="AV122" s="292" t="str">
        <f>IFERROR(__xludf.DUMMYFUNCTION("""COMPUTED_VALUE"""),"Green onion")</f>
        <v>Green onion</v>
      </c>
      <c r="AW122" s="292" t="str">
        <f>IFERROR(__xludf.DUMMYFUNCTION("""COMPUTED_VALUE"""),"Year Round")</f>
        <v>Year Round</v>
      </c>
      <c r="AX122" s="292" t="str">
        <f>IFERROR(__xludf.DUMMYFUNCTION("""COMPUTED_VALUE"""),"Fusion")</f>
        <v>Fusion</v>
      </c>
      <c r="AY122" s="292"/>
      <c r="AZ122" s="292" t="str">
        <f>IFERROR(__xludf.DUMMYFUNCTION("""COMPUTED_VALUE"""),"2 CT")</f>
        <v>2 CT</v>
      </c>
      <c r="BA122" s="292" t="b">
        <f>IFERROR(__xludf.DUMMYFUNCTION("""COMPUTED_VALUE"""),FALSE)</f>
        <v>0</v>
      </c>
      <c r="BB122" s="342">
        <f>IFERROR(__xludf.DUMMYFUNCTION("""COMPUTED_VALUE"""),4.78)</f>
        <v>4.78</v>
      </c>
      <c r="BC122" s="342">
        <f>IFERROR(__xludf.DUMMYFUNCTION("""COMPUTED_VALUE"""),1.14)</f>
        <v>1.14</v>
      </c>
      <c r="BD122" s="342">
        <f>IFERROR(__xludf.DUMMYFUNCTION("""COMPUTED_VALUE"""),0.36)</f>
        <v>0.36</v>
      </c>
      <c r="BE122" s="342">
        <f>IFERROR(__xludf.DUMMYFUNCTION("""COMPUTED_VALUE"""),0.89)</f>
        <v>0.89</v>
      </c>
      <c r="BF122" s="296">
        <f>IFERROR(__xludf.DUMMYFUNCTION("""COMPUTED_VALUE"""),3.5831729218493926)</f>
        <v>3.583172922</v>
      </c>
      <c r="BG122" s="296">
        <f>IFERROR(__xludf.DUMMYFUNCTION("""COMPUTED_VALUE"""),3.5945701357466064)</f>
        <v>3.594570136</v>
      </c>
      <c r="BH122" s="296">
        <f>IFERROR(__xludf.DUMMYFUNCTION("""COMPUTED_VALUE"""),3.5901960784313727)</f>
        <v>3.590196078</v>
      </c>
      <c r="BI122" s="295">
        <f>IFERROR(__xludf.DUMMYFUNCTION("""COMPUTED_VALUE"""),172.0)</f>
        <v>172</v>
      </c>
      <c r="BJ122" s="295" t="str">
        <f>IFERROR(__xludf.DUMMYFUNCTION("""COMPUTED_VALUE"""),"TRUE")</f>
        <v>TRUE</v>
      </c>
      <c r="BK122" s="346">
        <f>IFERROR(__xludf.DUMMYFUNCTION("""COMPUTED_VALUE"""),2984.0)</f>
        <v>2984</v>
      </c>
      <c r="BL122" s="292" t="str">
        <f>IFERROR(__xludf.DUMMYFUNCTION("""COMPUTED_VALUE"""),"Local Development")</f>
        <v>Local Development</v>
      </c>
      <c r="BM122" s="292" t="str">
        <f>IFERROR(__xludf.DUMMYFUNCTION("""COMPUTED_VALUE"""),"Lax i krämig gochugaru-sås")</f>
        <v>Lax i krämig gochugaru-sås</v>
      </c>
      <c r="BN122" s="343">
        <f>IFERROR(__xludf.DUMMYFUNCTION("""COMPUTED_VALUE"""),3.6129032258064515)</f>
        <v>3.612903226</v>
      </c>
      <c r="BO122" s="343">
        <f>IFERROR(__xludf.DUMMYFUNCTION("""COMPUTED_VALUE"""),3.380952380952381)</f>
        <v>3.380952381</v>
      </c>
      <c r="BP122" s="292"/>
      <c r="BQ122" s="292" t="str">
        <f>IFERROR(__xludf.DUMMYFUNCTION("""COMPUTED_VALUE"""),"Proven")</f>
        <v>Proven</v>
      </c>
      <c r="BR122" s="292" t="b">
        <f>IFERROR(__xludf.DUMMYFUNCTION("""COMPUTED_VALUE"""),FALSE)</f>
        <v>0</v>
      </c>
      <c r="BS122" s="292" t="b">
        <f>IFERROR(__xludf.DUMMYFUNCTION("""COMPUTED_VALUE"""),FALSE)</f>
        <v>0</v>
      </c>
      <c r="BT122" s="345">
        <f>IFERROR(__xludf.DUMMYFUNCTION("""COMPUTED_VALUE"""),719.0)</f>
        <v>719</v>
      </c>
      <c r="BU122" s="345">
        <f>IFERROR(__xludf.DUMMYFUNCTION("""COMPUTED_VALUE"""),173.0)</f>
        <v>173</v>
      </c>
      <c r="BV122" s="344">
        <f>IFERROR(__xludf.DUMMYFUNCTION("""COMPUTED_VALUE"""),13.7)</f>
        <v>13.7</v>
      </c>
      <c r="BW122" s="344">
        <f>IFERROR(__xludf.DUMMYFUNCTION("""COMPUTED_VALUE"""),4.5)</f>
        <v>4.5</v>
      </c>
    </row>
    <row r="123">
      <c r="A123" s="292" t="str">
        <f>IFERROR(__xludf.DUMMYFUNCTION("""COMPUTED_VALUE"""),"FE4040A")</f>
        <v>FE4040A</v>
      </c>
      <c r="B123" s="292" t="str">
        <f>IFERROR(__xludf.DUMMYFUNCTION("""COMPUTED_VALUE"""),"CON-40-143688-4")</f>
        <v>CON-40-143688-4</v>
      </c>
      <c r="C123" s="292" t="str">
        <f>IFERROR(__xludf.DUMMYFUNCTION("""COMPUTED_VALUE"""),"CON-00-147896-2")</f>
        <v>CON-00-147896-2</v>
      </c>
      <c r="D123" s="292" t="str">
        <f>IFERROR(__xludf.DUMMYFUNCTION("""COMPUTED_VALUE"""),"CON-00-136714-3")</f>
        <v>CON-00-136714-3</v>
      </c>
      <c r="E123" s="292" t="str">
        <f>IFERROR(__xludf.DUMMYFUNCTION("""COMPUTED_VALUE"""),"Chicken in creamy basil sauce")</f>
        <v>Chicken in creamy basil sauce</v>
      </c>
      <c r="F123" s="292" t="str">
        <f>IFERROR(__xludf.DUMMYFUNCTION("""COMPUTED_VALUE"""),"with mozzarella en chili-cauliflower")</f>
        <v>with mozzarella en chili-cauliflower</v>
      </c>
      <c r="G123" s="292" t="str">
        <f>IFERROR(__xludf.DUMMYFUNCTION("""COMPUTED_VALUE"""),"Kipfilet in romige basilicumsaus")</f>
        <v>Kipfilet in romige basilicumsaus</v>
      </c>
      <c r="H123" s="292" t="str">
        <f>IFERROR(__xludf.DUMMYFUNCTION("""COMPUTED_VALUE"""),"met mozzarella en chili-bloemkool")</f>
        <v>met mozzarella en chili-bloemkool</v>
      </c>
      <c r="I123" s="292" t="str">
        <f>IFERROR(__xludf.DUMMYFUNCTION("""COMPUTED_VALUE"""),"Kyllingebryst i cremet basilikumsauce ")</f>
        <v>Kyllingebryst i cremet basilikumsauce </v>
      </c>
      <c r="J123" s="292" t="str">
        <f>IFERROR(__xludf.DUMMYFUNCTION("""COMPUTED_VALUE"""),"Hähnchenbrust in cremiger Basilikumsauce")</f>
        <v>Hähnchenbrust in cremiger Basilikumsauce</v>
      </c>
      <c r="K123" s="292">
        <f>IFERROR(__xludf.DUMMYFUNCTION("""COMPUTED_VALUE"""),565108.0)</f>
        <v>565108</v>
      </c>
      <c r="L123" s="292"/>
      <c r="M123" s="292" t="str">
        <f>IFERROR(__xludf.DUMMYFUNCTION("""COMPUTED_VALUE"""),"FA-NL Kipfilet in romige basilicumsaus (FE4040)")</f>
        <v>FA-NL Kipfilet in romige basilicumsaus (FE4040)</v>
      </c>
      <c r="N123" s="292" t="str">
        <f>IFERROR(__xludf.DUMMYFUNCTION("""COMPUTED_VALUE"""),"FA-NO Kyllingebryst i cremet basilikumsauce (FE4040)")</f>
        <v>FA-NO Kyllingebryst i cremet basilikumsauce (FE4040)</v>
      </c>
      <c r="O123" s="292" t="str">
        <f>IFERROR(__xludf.DUMMYFUNCTION("""COMPUTED_VALUE"""),"FA-DE Hähnchenbrust in cremiger Basilikumsauce (FE4040)")</f>
        <v>FA-DE Hähnchenbrust in cremiger Basilikumsauce (FE4040)</v>
      </c>
      <c r="P123" s="292" t="str">
        <f>IFERROR(__xludf.DUMMYFUNCTION("""COMPUTED_VALUE"""),"Graveyard")</f>
        <v>Graveyard</v>
      </c>
      <c r="Q123" s="292"/>
      <c r="R123" s="342">
        <f>IFERROR(__xludf.DUMMYFUNCTION("""COMPUTED_VALUE"""),5.06)</f>
        <v>5.06</v>
      </c>
      <c r="S123" s="292"/>
      <c r="T123" s="292"/>
      <c r="U123" s="292"/>
      <c r="V123" s="292"/>
      <c r="W123" s="292" t="b">
        <f>IFERROR(__xludf.DUMMYFUNCTION("""COMPUTED_VALUE"""),TRUE)</f>
        <v>1</v>
      </c>
      <c r="X123" s="345">
        <f>IFERROR(__xludf.DUMMYFUNCTION("""COMPUTED_VALUE"""),394.0)</f>
        <v>394</v>
      </c>
      <c r="Y123" s="344">
        <f>IFERROR(__xludf.DUMMYFUNCTION("""COMPUTED_VALUE"""),701.0)</f>
        <v>701</v>
      </c>
      <c r="Z123" s="343">
        <f>IFERROR(__xludf.DUMMYFUNCTION("""COMPUTED_VALUE"""),53.2)</f>
        <v>53.2</v>
      </c>
      <c r="AA123" s="344">
        <f>IFERROR(__xludf.DUMMYFUNCTION("""COMPUTED_VALUE"""),26.0)</f>
        <v>26</v>
      </c>
      <c r="AB123" s="344">
        <f>IFERROR(__xludf.DUMMYFUNCTION("""COMPUTED_VALUE"""),15.0)</f>
        <v>15</v>
      </c>
      <c r="AC123" s="344">
        <f>IFERROR(__xludf.DUMMYFUNCTION("""COMPUTED_VALUE"""),7.1)</f>
        <v>7.1</v>
      </c>
      <c r="AD123" s="344">
        <f>IFERROR(__xludf.DUMMYFUNCTION("""COMPUTED_VALUE"""),4.7)</f>
        <v>4.7</v>
      </c>
      <c r="AE123" s="343">
        <f>IFERROR(__xludf.DUMMYFUNCTION("""COMPUTED_VALUE"""),38.6)</f>
        <v>38.6</v>
      </c>
      <c r="AF123" s="343">
        <f>IFERROR(__xludf.DUMMYFUNCTION("""COMPUTED_VALUE"""),1.89)</f>
        <v>1.89</v>
      </c>
      <c r="AG123" s="292" t="b">
        <f>IFERROR(__xludf.DUMMYFUNCTION("""COMPUTED_VALUE"""),FALSE)</f>
        <v>0</v>
      </c>
      <c r="AH123" s="292" t="b">
        <f>IFERROR(__xludf.DUMMYFUNCTION("""COMPUTED_VALUE"""),TRUE)</f>
        <v>1</v>
      </c>
      <c r="AI123" s="292" t="b">
        <f>IFERROR(__xludf.DUMMYFUNCTION("""COMPUTED_VALUE"""),FALSE)</f>
        <v>0</v>
      </c>
      <c r="AJ123" s="292" t="b">
        <f>IFERROR(__xludf.DUMMYFUNCTION("""COMPUTED_VALUE"""),FALSE)</f>
        <v>0</v>
      </c>
      <c r="AK123" s="292" t="b">
        <f>IFERROR(__xludf.DUMMYFUNCTION("""COMPUTED_VALUE"""),FALSE)</f>
        <v>0</v>
      </c>
      <c r="AL123" s="292" t="b">
        <f>IFERROR(__xludf.DUMMYFUNCTION("""COMPUTED_VALUE"""),FALSE)</f>
        <v>0</v>
      </c>
      <c r="AM123" s="292" t="b">
        <f>IFERROR(__xludf.DUMMYFUNCTION("""COMPUTED_VALUE"""),TRUE)</f>
        <v>1</v>
      </c>
      <c r="AN123" s="292" t="b">
        <f>IFERROR(__xludf.DUMMYFUNCTION("""COMPUTED_VALUE"""),FALSE)</f>
        <v>0</v>
      </c>
      <c r="AO123" s="292" t="str">
        <f>IFERROR(__xludf.DUMMYFUNCTION("""COMPUTED_VALUE"""),"FALSE")</f>
        <v>FALSE</v>
      </c>
      <c r="AP123" s="292" t="str">
        <f>IFERROR(__xludf.DUMMYFUNCTION("""COMPUTED_VALUE"""),"Chicken breast")</f>
        <v>Chicken breast</v>
      </c>
      <c r="AQ123" s="292" t="str">
        <f>IFERROR(__xludf.DUMMYFUNCTION("""COMPUTED_VALUE"""),"Chicken")</f>
        <v>Chicken</v>
      </c>
      <c r="AR123" s="292" t="str">
        <f>IFERROR(__xludf.DUMMYFUNCTION("""COMPUTED_VALUE"""),"Breast")</f>
        <v>Breast</v>
      </c>
      <c r="AS123" s="292" t="str">
        <f>IFERROR(__xludf.DUMMYFUNCTION("""COMPUTED_VALUE"""),"Cauliflower Florets")</f>
        <v>Cauliflower Florets</v>
      </c>
      <c r="AT123" s="292"/>
      <c r="AU123" s="292"/>
      <c r="AV123" s="292" t="str">
        <f>IFERROR(__xludf.DUMMYFUNCTION("""COMPUTED_VALUE"""),"Cheese")</f>
        <v>Cheese</v>
      </c>
      <c r="AW123" s="292" t="str">
        <f>IFERROR(__xludf.DUMMYFUNCTION("""COMPUTED_VALUE"""),"Year Round")</f>
        <v>Year Round</v>
      </c>
      <c r="AX123" s="292" t="str">
        <f>IFERROR(__xludf.DUMMYFUNCTION("""COMPUTED_VALUE"""),"American")</f>
        <v>American</v>
      </c>
      <c r="AY123" s="292"/>
      <c r="AZ123" s="292" t="str">
        <f>IFERROR(__xludf.DUMMYFUNCTION("""COMPUTED_VALUE"""),"2 CT")</f>
        <v>2 CT</v>
      </c>
      <c r="BA123" s="292" t="b">
        <f>IFERROR(__xludf.DUMMYFUNCTION("""COMPUTED_VALUE"""),FALSE)</f>
        <v>0</v>
      </c>
      <c r="BB123" s="342">
        <f>IFERROR(__xludf.DUMMYFUNCTION("""COMPUTED_VALUE"""),2.64)</f>
        <v>2.64</v>
      </c>
      <c r="BC123" s="342">
        <f>IFERROR(__xludf.DUMMYFUNCTION("""COMPUTED_VALUE"""),1.17)</f>
        <v>1.17</v>
      </c>
      <c r="BD123" s="342">
        <f>IFERROR(__xludf.DUMMYFUNCTION("""COMPUTED_VALUE"""),0.36)</f>
        <v>0.36</v>
      </c>
      <c r="BE123" s="342">
        <f>IFERROR(__xludf.DUMMYFUNCTION("""COMPUTED_VALUE"""),0.89)</f>
        <v>0.89</v>
      </c>
      <c r="BF123" s="296">
        <f>IFERROR(__xludf.DUMMYFUNCTION("""COMPUTED_VALUE"""),3.452205697528278)</f>
        <v>3.452205698</v>
      </c>
      <c r="BG123" s="296">
        <f>IFERROR(__xludf.DUMMYFUNCTION("""COMPUTED_VALUE"""),3.385235756777259)</f>
        <v>3.385235757</v>
      </c>
      <c r="BH123" s="296">
        <f>IFERROR(__xludf.DUMMYFUNCTION("""COMPUTED_VALUE"""),3.4205318115590093)</f>
        <v>3.420531812</v>
      </c>
      <c r="BI123" s="295">
        <f>IFERROR(__xludf.DUMMYFUNCTION("""COMPUTED_VALUE"""),150.0)</f>
        <v>150</v>
      </c>
      <c r="BJ123" s="295" t="str">
        <f>IFERROR(__xludf.DUMMYFUNCTION("""COMPUTED_VALUE"""),"FALSE")</f>
        <v>FALSE</v>
      </c>
      <c r="BK123" s="346">
        <f>IFERROR(__xludf.DUMMYFUNCTION("""COMPUTED_VALUE"""),2920.0)</f>
        <v>2920</v>
      </c>
      <c r="BL123" s="292" t="str">
        <f>IFERROR(__xludf.DUMMYFUNCTION("""COMPUTED_VALUE"""),"Frankenstein")</f>
        <v>Frankenstein</v>
      </c>
      <c r="BM123" s="292" t="str">
        <f>IFERROR(__xludf.DUMMYFUNCTION("""COMPUTED_VALUE"""),"Kycklingbröst i krämig basilikasås")</f>
        <v>Kycklingbröst i krämig basilikasås</v>
      </c>
      <c r="BN123" s="343">
        <f>IFERROR(__xludf.DUMMYFUNCTION("""COMPUTED_VALUE"""),3.4322033898305087)</f>
        <v>3.43220339</v>
      </c>
      <c r="BO123" s="343">
        <f>IFERROR(__xludf.DUMMYFUNCTION("""COMPUTED_VALUE"""),3.1944444444444446)</f>
        <v>3.194444444</v>
      </c>
      <c r="BP123" s="292"/>
      <c r="BQ123" s="292" t="str">
        <f>IFERROR(__xludf.DUMMYFUNCTION("""COMPUTED_VALUE"""),"Proven")</f>
        <v>Proven</v>
      </c>
      <c r="BR123" s="292" t="b">
        <f>IFERROR(__xludf.DUMMYFUNCTION("""COMPUTED_VALUE"""),FALSE)</f>
        <v>0</v>
      </c>
      <c r="BS123" s="292" t="b">
        <f>IFERROR(__xludf.DUMMYFUNCTION("""COMPUTED_VALUE"""),FALSE)</f>
        <v>0</v>
      </c>
      <c r="BT123" s="345">
        <f>IFERROR(__xludf.DUMMYFUNCTION("""COMPUTED_VALUE"""),741.0)</f>
        <v>741</v>
      </c>
      <c r="BU123" s="345">
        <f>IFERROR(__xludf.DUMMYFUNCTION("""COMPUTED_VALUE"""),178.0)</f>
        <v>178</v>
      </c>
      <c r="BV123" s="344">
        <f>IFERROR(__xludf.DUMMYFUNCTION("""COMPUTED_VALUE"""),13.5)</f>
        <v>13.5</v>
      </c>
      <c r="BW123" s="344">
        <f>IFERROR(__xludf.DUMMYFUNCTION("""COMPUTED_VALUE"""),6.6)</f>
        <v>6.6</v>
      </c>
    </row>
    <row r="124">
      <c r="A124" s="292" t="str">
        <f>IFERROR(__xludf.DUMMYFUNCTION("""COMPUTED_VALUE"""),"FE4042A")</f>
        <v>FE4042A</v>
      </c>
      <c r="B124" s="292" t="str">
        <f>IFERROR(__xludf.DUMMYFUNCTION("""COMPUTED_VALUE"""),"CON-40-143734-4")</f>
        <v>CON-40-143734-4</v>
      </c>
      <c r="C124" s="292" t="str">
        <f>IFERROR(__xludf.DUMMYFUNCTION("""COMPUTED_VALUE"""),"CON-00-147895-2")</f>
        <v>CON-00-147895-2</v>
      </c>
      <c r="D124" s="292" t="str">
        <f>IFERROR(__xludf.DUMMYFUNCTION("""COMPUTED_VALUE"""),"CON-00-136717-3")</f>
        <v>CON-00-136717-3</v>
      </c>
      <c r="E124" s="292" t="str">
        <f>IFERROR(__xludf.DUMMYFUNCTION("""COMPUTED_VALUE"""),"Pork tenderloin and Mediterranean mash")</f>
        <v>Pork tenderloin and Mediterranean mash</v>
      </c>
      <c r="F124" s="292" t="str">
        <f>IFERROR(__xludf.DUMMYFUNCTION("""COMPUTED_VALUE"""),"with spinach, sun-dried tomatoes and green beans with pine nuts")</f>
        <v>with spinach, sun-dried tomatoes and green beans with pine nuts</v>
      </c>
      <c r="G124" s="292" t="str">
        <f>IFERROR(__xludf.DUMMYFUNCTION("""COMPUTED_VALUE"""),"Varkenshaas &amp; Mediterrane stamppot")</f>
        <v>Varkenshaas &amp; Mediterrane stamppot</v>
      </c>
      <c r="H124" s="292" t="str">
        <f>IFERROR(__xludf.DUMMYFUNCTION("""COMPUTED_VALUE"""),"met spinazie, zongedroogde tomaat en sperziebonen met pijnboompitten")</f>
        <v>met spinazie, zongedroogde tomaat en sperziebonen met pijnboompitten</v>
      </c>
      <c r="I124" s="292" t="str">
        <f>IFERROR(__xludf.DUMMYFUNCTION("""COMPUTED_VALUE"""),"Svinemørbrad og middelhavsinspireret kartoffelmos ")</f>
        <v>Svinemørbrad og middelhavsinspireret kartoffelmos </v>
      </c>
      <c r="J124" s="292" t="str">
        <f>IFERROR(__xludf.DUMMYFUNCTION("""COMPUTED_VALUE"""),"Schweinefilet auf mediterranem Püree")</f>
        <v>Schweinefilet auf mediterranem Püree</v>
      </c>
      <c r="K124" s="292">
        <f>IFERROR(__xludf.DUMMYFUNCTION("""COMPUTED_VALUE"""),565109.0)</f>
        <v>565109</v>
      </c>
      <c r="L124" s="292"/>
      <c r="M124" s="292" t="str">
        <f>IFERROR(__xludf.DUMMYFUNCTION("""COMPUTED_VALUE"""),"FA-NL Varkenshaas &amp; Mediterrane stamppot (FE4042)")</f>
        <v>FA-NL Varkenshaas &amp; Mediterrane stamppot (FE4042)</v>
      </c>
      <c r="N124" s="292" t="str">
        <f>IFERROR(__xludf.DUMMYFUNCTION("""COMPUTED_VALUE"""),"FA-NO Svinemørbrad og middelhavsinspireret kartoffelmos (FE4042)")</f>
        <v>FA-NO Svinemørbrad og middelhavsinspireret kartoffelmos (FE4042)</v>
      </c>
      <c r="O124" s="292" t="str">
        <f>IFERROR(__xludf.DUMMYFUNCTION("""COMPUTED_VALUE"""),"FA-DE Schweinefilet auf mediterranem Püree (FE4042)")</f>
        <v>FA-DE Schweinefilet auf mediterranem Püree (FE4042)</v>
      </c>
      <c r="P124" s="292" t="str">
        <f>IFERROR(__xludf.DUMMYFUNCTION("""COMPUTED_VALUE"""),"Active")</f>
        <v>Active</v>
      </c>
      <c r="Q124" s="292"/>
      <c r="R124" s="342">
        <f>IFERROR(__xludf.DUMMYFUNCTION("""COMPUTED_VALUE"""),4.949999999999999)</f>
        <v>4.95</v>
      </c>
      <c r="S124" s="292"/>
      <c r="T124" s="292"/>
      <c r="U124" s="292"/>
      <c r="V124" s="292"/>
      <c r="W124" s="292" t="b">
        <f>IFERROR(__xludf.DUMMYFUNCTION("""COMPUTED_VALUE"""),FALSE)</f>
        <v>0</v>
      </c>
      <c r="X124" s="345">
        <f>IFERROR(__xludf.DUMMYFUNCTION("""COMPUTED_VALUE"""),414.0)</f>
        <v>414</v>
      </c>
      <c r="Y124" s="344">
        <f>IFERROR(__xludf.DUMMYFUNCTION("""COMPUTED_VALUE"""),489.0)</f>
        <v>489</v>
      </c>
      <c r="Z124" s="343">
        <f>IFERROR(__xludf.DUMMYFUNCTION("""COMPUTED_VALUE"""),24.4)</f>
        <v>24.4</v>
      </c>
      <c r="AA124" s="344">
        <f>IFERROR(__xludf.DUMMYFUNCTION("""COMPUTED_VALUE"""),4.6)</f>
        <v>4.6</v>
      </c>
      <c r="AB124" s="344">
        <f>IFERROR(__xludf.DUMMYFUNCTION("""COMPUTED_VALUE"""),29.0)</f>
        <v>29</v>
      </c>
      <c r="AC124" s="344">
        <f>IFERROR(__xludf.DUMMYFUNCTION("""COMPUTED_VALUE"""),7.5)</f>
        <v>7.5</v>
      </c>
      <c r="AD124" s="344">
        <f>IFERROR(__xludf.DUMMYFUNCTION("""COMPUTED_VALUE"""),12.0)</f>
        <v>12</v>
      </c>
      <c r="AE124" s="343">
        <f>IFERROR(__xludf.DUMMYFUNCTION("""COMPUTED_VALUE"""),31.9)</f>
        <v>31.9</v>
      </c>
      <c r="AF124" s="343">
        <f>IFERROR(__xludf.DUMMYFUNCTION("""COMPUTED_VALUE"""),1.95)</f>
        <v>1.95</v>
      </c>
      <c r="AG124" s="292" t="b">
        <f>IFERROR(__xludf.DUMMYFUNCTION("""COMPUTED_VALUE"""),FALSE)</f>
        <v>0</v>
      </c>
      <c r="AH124" s="292" t="b">
        <f>IFERROR(__xludf.DUMMYFUNCTION("""COMPUTED_VALUE"""),FALSE)</f>
        <v>0</v>
      </c>
      <c r="AI124" s="292" t="b">
        <f>IFERROR(__xludf.DUMMYFUNCTION("""COMPUTED_VALUE"""),TRUE)</f>
        <v>1</v>
      </c>
      <c r="AJ124" s="292" t="b">
        <f>IFERROR(__xludf.DUMMYFUNCTION("""COMPUTED_VALUE"""),FALSE)</f>
        <v>0</v>
      </c>
      <c r="AK124" s="292" t="b">
        <f>IFERROR(__xludf.DUMMYFUNCTION("""COMPUTED_VALUE"""),FALSE)</f>
        <v>0</v>
      </c>
      <c r="AL124" s="292" t="b">
        <f>IFERROR(__xludf.DUMMYFUNCTION("""COMPUTED_VALUE"""),FALSE)</f>
        <v>0</v>
      </c>
      <c r="AM124" s="292" t="b">
        <f>IFERROR(__xludf.DUMMYFUNCTION("""COMPUTED_VALUE"""),TRUE)</f>
        <v>1</v>
      </c>
      <c r="AN124" s="292" t="b">
        <f>IFERROR(__xludf.DUMMYFUNCTION("""COMPUTED_VALUE"""),FALSE)</f>
        <v>0</v>
      </c>
      <c r="AO124" s="292" t="str">
        <f>IFERROR(__xludf.DUMMYFUNCTION("""COMPUTED_VALUE"""),"TRUE")</f>
        <v>TRUE</v>
      </c>
      <c r="AP124" s="292" t="str">
        <f>IFERROR(__xludf.DUMMYFUNCTION("""COMPUTED_VALUE"""),"Pork tenderloin")</f>
        <v>Pork tenderloin</v>
      </c>
      <c r="AQ124" s="292" t="str">
        <f>IFERROR(__xludf.DUMMYFUNCTION("""COMPUTED_VALUE"""),"Pork")</f>
        <v>Pork</v>
      </c>
      <c r="AR124" s="292" t="str">
        <f>IFERROR(__xludf.DUMMYFUNCTION("""COMPUTED_VALUE"""),"Tenderloin")</f>
        <v>Tenderloin</v>
      </c>
      <c r="AS124" s="292" t="str">
        <f>IFERROR(__xludf.DUMMYFUNCTION("""COMPUTED_VALUE"""),"Potato Mash")</f>
        <v>Potato Mash</v>
      </c>
      <c r="AT124" s="292" t="str">
        <f>IFERROR(__xludf.DUMMYFUNCTION("""COMPUTED_VALUE"""),"Green Beans")</f>
        <v>Green Beans</v>
      </c>
      <c r="AU124" s="292"/>
      <c r="AV124" s="292" t="str">
        <f>IFERROR(__xludf.DUMMYFUNCTION("""COMPUTED_VALUE"""),"Pine nuts")</f>
        <v>Pine nuts</v>
      </c>
      <c r="AW124" s="292" t="str">
        <f>IFERROR(__xludf.DUMMYFUNCTION("""COMPUTED_VALUE"""),"Year Round")</f>
        <v>Year Round</v>
      </c>
      <c r="AX124" s="292" t="str">
        <f>IFERROR(__xludf.DUMMYFUNCTION("""COMPUTED_VALUE"""),"Mediterranean")</f>
        <v>Mediterranean</v>
      </c>
      <c r="AY124" s="292"/>
      <c r="AZ124" s="292" t="str">
        <f>IFERROR(__xludf.DUMMYFUNCTION("""COMPUTED_VALUE"""),"2 CT")</f>
        <v>2 CT</v>
      </c>
      <c r="BA124" s="292" t="b">
        <f>IFERROR(__xludf.DUMMYFUNCTION("""COMPUTED_VALUE"""),FALSE)</f>
        <v>0</v>
      </c>
      <c r="BB124" s="342">
        <f>IFERROR(__xludf.DUMMYFUNCTION("""COMPUTED_VALUE"""),2.53)</f>
        <v>2.53</v>
      </c>
      <c r="BC124" s="342">
        <f>IFERROR(__xludf.DUMMYFUNCTION("""COMPUTED_VALUE"""),1.17)</f>
        <v>1.17</v>
      </c>
      <c r="BD124" s="342">
        <f>IFERROR(__xludf.DUMMYFUNCTION("""COMPUTED_VALUE"""),0.36)</f>
        <v>0.36</v>
      </c>
      <c r="BE124" s="342">
        <f>IFERROR(__xludf.DUMMYFUNCTION("""COMPUTED_VALUE"""),0.89)</f>
        <v>0.89</v>
      </c>
      <c r="BF124" s="296">
        <f>IFERROR(__xludf.DUMMYFUNCTION("""COMPUTED_VALUE"""),3.2266666666666666)</f>
        <v>3.226666667</v>
      </c>
      <c r="BG124" s="296">
        <f>IFERROR(__xludf.DUMMYFUNCTION("""COMPUTED_VALUE"""),3.1633333333333336)</f>
        <v>3.163333333</v>
      </c>
      <c r="BH124" s="296">
        <f>IFERROR(__xludf.DUMMYFUNCTION("""COMPUTED_VALUE"""),3.19)</f>
        <v>3.19</v>
      </c>
      <c r="BI124" s="295">
        <f>IFERROR(__xludf.DUMMYFUNCTION("""COMPUTED_VALUE"""),163.0)</f>
        <v>163</v>
      </c>
      <c r="BJ124" s="295" t="str">
        <f>IFERROR(__xludf.DUMMYFUNCTION("""COMPUTED_VALUE"""),"FALSE")</f>
        <v>FALSE</v>
      </c>
      <c r="BK124" s="346">
        <f>IFERROR(__xludf.DUMMYFUNCTION("""COMPUTED_VALUE"""),2045.0)</f>
        <v>2045</v>
      </c>
      <c r="BL124" s="292" t="str">
        <f>IFERROR(__xludf.DUMMYFUNCTION("""COMPUTED_VALUE"""),"Local Development")</f>
        <v>Local Development</v>
      </c>
      <c r="BM124" s="292" t="str">
        <f>IFERROR(__xludf.DUMMYFUNCTION("""COMPUTED_VALUE"""),"Fläskfilé med medelhavsinspirerat mos ")</f>
        <v>Fläskfilé med medelhavsinspirerat mos </v>
      </c>
      <c r="BN124" s="343">
        <f>IFERROR(__xludf.DUMMYFUNCTION("""COMPUTED_VALUE"""),3.44)</f>
        <v>3.44</v>
      </c>
      <c r="BO124" s="343">
        <f>IFERROR(__xludf.DUMMYFUNCTION("""COMPUTED_VALUE"""),3.1566666666666667)</f>
        <v>3.156666667</v>
      </c>
      <c r="BP124" s="292"/>
      <c r="BQ124" s="292" t="str">
        <f>IFERROR(__xludf.DUMMYFUNCTION("""COMPUTED_VALUE"""),"Active")</f>
        <v>Active</v>
      </c>
      <c r="BR124" s="292" t="b">
        <f>IFERROR(__xludf.DUMMYFUNCTION("""COMPUTED_VALUE"""),FALSE)</f>
        <v>0</v>
      </c>
      <c r="BS124" s="292" t="b">
        <f>IFERROR(__xludf.DUMMYFUNCTION("""COMPUTED_VALUE"""),FALSE)</f>
        <v>0</v>
      </c>
      <c r="BT124" s="345">
        <f>IFERROR(__xludf.DUMMYFUNCTION("""COMPUTED_VALUE"""),494.0)</f>
        <v>494</v>
      </c>
      <c r="BU124" s="345">
        <f>IFERROR(__xludf.DUMMYFUNCTION("""COMPUTED_VALUE"""),118.0)</f>
        <v>118</v>
      </c>
      <c r="BV124" s="344">
        <f>IFERROR(__xludf.DUMMYFUNCTION("""COMPUTED_VALUE"""),5.9)</f>
        <v>5.9</v>
      </c>
      <c r="BW124" s="344">
        <f>IFERROR(__xludf.DUMMYFUNCTION("""COMPUTED_VALUE"""),1.1)</f>
        <v>1.1</v>
      </c>
    </row>
    <row r="125">
      <c r="A125" s="292" t="str">
        <f>IFERROR(__xludf.DUMMYFUNCTION("""COMPUTED_VALUE"""),"FE4043A")</f>
        <v>FE4043A</v>
      </c>
      <c r="B125" s="292" t="str">
        <f>IFERROR(__xludf.DUMMYFUNCTION("""COMPUTED_VALUE"""),"CON-40-143727-4")</f>
        <v>CON-40-143727-4</v>
      </c>
      <c r="C125" s="292" t="str">
        <f>IFERROR(__xludf.DUMMYFUNCTION("""COMPUTED_VALUE"""),"CON-00-147897-2")</f>
        <v>CON-00-147897-2</v>
      </c>
      <c r="D125" s="292" t="str">
        <f>IFERROR(__xludf.DUMMYFUNCTION("""COMPUTED_VALUE"""),"CON-00-136720-3")</f>
        <v>CON-00-136720-3</v>
      </c>
      <c r="E125" s="292" t="str">
        <f>IFERROR(__xludf.DUMMYFUNCTION("""COMPUTED_VALUE"""),"Beef in tomato ragout")</f>
        <v>Beef in tomato ragout</v>
      </c>
      <c r="F125" s="292" t="str">
        <f>IFERROR(__xludf.DUMMYFUNCTION("""COMPUTED_VALUE"""),"with potato wedges and broccoli")</f>
        <v>with potato wedges and broccoli</v>
      </c>
      <c r="G125" s="292" t="str">
        <f>IFERROR(__xludf.DUMMYFUNCTION("""COMPUTED_VALUE"""),"Rundvlees in tomatenragout")</f>
        <v>Rundvlees in tomatenragout</v>
      </c>
      <c r="H125" s="292" t="str">
        <f>IFERROR(__xludf.DUMMYFUNCTION("""COMPUTED_VALUE"""),"met aardappelparten en broccoli")</f>
        <v>met aardappelparten en broccoli</v>
      </c>
      <c r="I125" s="292" t="str">
        <f>IFERROR(__xludf.DUMMYFUNCTION("""COMPUTED_VALUE"""),"Oksekød i tomatragout ")</f>
        <v>Oksekød i tomatragout </v>
      </c>
      <c r="J125" s="292" t="str">
        <f>IFERROR(__xludf.DUMMYFUNCTION("""COMPUTED_VALUE"""),"Rindfleisch-Tomaten-Ragout")</f>
        <v>Rindfleisch-Tomaten-Ragout</v>
      </c>
      <c r="K125" s="292">
        <f>IFERROR(__xludf.DUMMYFUNCTION("""COMPUTED_VALUE"""),565110.0)</f>
        <v>565110</v>
      </c>
      <c r="L125" s="292"/>
      <c r="M125" s="292" t="str">
        <f>IFERROR(__xludf.DUMMYFUNCTION("""COMPUTED_VALUE"""),"FA-NL Rundvlees in tomatenragout (FE4043)")</f>
        <v>FA-NL Rundvlees in tomatenragout (FE4043)</v>
      </c>
      <c r="N125" s="292" t="str">
        <f>IFERROR(__xludf.DUMMYFUNCTION("""COMPUTED_VALUE"""),"FA-NO Oksekød i tomatragout (FE4043)")</f>
        <v>FA-NO Oksekød i tomatragout (FE4043)</v>
      </c>
      <c r="O125" s="292" t="str">
        <f>IFERROR(__xludf.DUMMYFUNCTION("""COMPUTED_VALUE"""),"FA-DE Rindfleisch in Tomaten-Ragout (FE4043)")</f>
        <v>FA-DE Rindfleisch in Tomaten-Ragout (FE4043)</v>
      </c>
      <c r="P125" s="292" t="str">
        <f>IFERROR(__xludf.DUMMYFUNCTION("""COMPUTED_VALUE"""),"Active")</f>
        <v>Active</v>
      </c>
      <c r="Q125" s="292"/>
      <c r="R125" s="342">
        <f>IFERROR(__xludf.DUMMYFUNCTION("""COMPUTED_VALUE"""),4.49)</f>
        <v>4.49</v>
      </c>
      <c r="S125" s="292"/>
      <c r="T125" s="292"/>
      <c r="U125" s="292"/>
      <c r="V125" s="292"/>
      <c r="W125" s="292" t="b">
        <f>IFERROR(__xludf.DUMMYFUNCTION("""COMPUTED_VALUE"""),TRUE)</f>
        <v>1</v>
      </c>
      <c r="X125" s="345">
        <f>IFERROR(__xludf.DUMMYFUNCTION("""COMPUTED_VALUE"""),444.0)</f>
        <v>444</v>
      </c>
      <c r="Y125" s="344">
        <f>IFERROR(__xludf.DUMMYFUNCTION("""COMPUTED_VALUE"""),524.0)</f>
        <v>524</v>
      </c>
      <c r="Z125" s="343">
        <f>IFERROR(__xludf.DUMMYFUNCTION("""COMPUTED_VALUE"""),19.1)</f>
        <v>19.1</v>
      </c>
      <c r="AA125" s="344">
        <f>IFERROR(__xludf.DUMMYFUNCTION("""COMPUTED_VALUE"""),6.2)</f>
        <v>6.2</v>
      </c>
      <c r="AB125" s="344">
        <f>IFERROR(__xludf.DUMMYFUNCTION("""COMPUTED_VALUE"""),36.9)</f>
        <v>36.9</v>
      </c>
      <c r="AC125" s="344">
        <f>IFERROR(__xludf.DUMMYFUNCTION("""COMPUTED_VALUE"""),14.2)</f>
        <v>14.2</v>
      </c>
      <c r="AD125" s="344">
        <f>IFERROR(__xludf.DUMMYFUNCTION("""COMPUTED_VALUE"""),12.9)</f>
        <v>12.9</v>
      </c>
      <c r="AE125" s="343">
        <f>IFERROR(__xludf.DUMMYFUNCTION("""COMPUTED_VALUE"""),44.0)</f>
        <v>44</v>
      </c>
      <c r="AF125" s="343">
        <f>IFERROR(__xludf.DUMMYFUNCTION("""COMPUTED_VALUE"""),2.0)</f>
        <v>2</v>
      </c>
      <c r="AG125" s="292" t="b">
        <f>IFERROR(__xludf.DUMMYFUNCTION("""COMPUTED_VALUE"""),FALSE)</f>
        <v>0</v>
      </c>
      <c r="AH125" s="292" t="b">
        <f>IFERROR(__xludf.DUMMYFUNCTION("""COMPUTED_VALUE"""),FALSE)</f>
        <v>0</v>
      </c>
      <c r="AI125" s="292" t="b">
        <f>IFERROR(__xludf.DUMMYFUNCTION("""COMPUTED_VALUE"""),TRUE)</f>
        <v>1</v>
      </c>
      <c r="AJ125" s="292" t="b">
        <f>IFERROR(__xludf.DUMMYFUNCTION("""COMPUTED_VALUE"""),FALSE)</f>
        <v>0</v>
      </c>
      <c r="AK125" s="292" t="b">
        <f>IFERROR(__xludf.DUMMYFUNCTION("""COMPUTED_VALUE"""),FALSE)</f>
        <v>0</v>
      </c>
      <c r="AL125" s="292" t="b">
        <f>IFERROR(__xludf.DUMMYFUNCTION("""COMPUTED_VALUE"""),FALSE)</f>
        <v>0</v>
      </c>
      <c r="AM125" s="292" t="b">
        <f>IFERROR(__xludf.DUMMYFUNCTION("""COMPUTED_VALUE"""),TRUE)</f>
        <v>1</v>
      </c>
      <c r="AN125" s="292" t="b">
        <f>IFERROR(__xludf.DUMMYFUNCTION("""COMPUTED_VALUE"""),TRUE)</f>
        <v>1</v>
      </c>
      <c r="AO125" s="292" t="str">
        <f>IFERROR(__xludf.DUMMYFUNCTION("""COMPUTED_VALUE"""),"TRUE")</f>
        <v>TRUE</v>
      </c>
      <c r="AP125" s="292" t="str">
        <f>IFERROR(__xludf.DUMMYFUNCTION("""COMPUTED_VALUE"""),"Shredded beef")</f>
        <v>Shredded beef</v>
      </c>
      <c r="AQ125" s="292" t="str">
        <f>IFERROR(__xludf.DUMMYFUNCTION("""COMPUTED_VALUE"""),"Beef")</f>
        <v>Beef</v>
      </c>
      <c r="AR125" s="292" t="str">
        <f>IFERROR(__xludf.DUMMYFUNCTION("""COMPUTED_VALUE"""),"Shredded")</f>
        <v>Shredded</v>
      </c>
      <c r="AS125" s="292" t="str">
        <f>IFERROR(__xludf.DUMMYFUNCTION("""COMPUTED_VALUE"""),"Potato Non-Mash")</f>
        <v>Potato Non-Mash</v>
      </c>
      <c r="AT125" s="292" t="str">
        <f>IFERROR(__xludf.DUMMYFUNCTION("""COMPUTED_VALUE"""),"Broccoli")</f>
        <v>Broccoli</v>
      </c>
      <c r="AU125" s="292" t="str">
        <f>IFERROR(__xludf.DUMMYFUNCTION("""COMPUTED_VALUE"""),"Tomato Based Sauce")</f>
        <v>Tomato Based Sauce</v>
      </c>
      <c r="AV125" s="292"/>
      <c r="AW125" s="292" t="str">
        <f>IFERROR(__xludf.DUMMYFUNCTION("""COMPUTED_VALUE"""),"Year Round")</f>
        <v>Year Round</v>
      </c>
      <c r="AX125" s="292" t="str">
        <f>IFERROR(__xludf.DUMMYFUNCTION("""COMPUTED_VALUE"""),"Italian")</f>
        <v>Italian</v>
      </c>
      <c r="AY125" s="292"/>
      <c r="AZ125" s="292" t="str">
        <f>IFERROR(__xludf.DUMMYFUNCTION("""COMPUTED_VALUE"""),"2 CT")</f>
        <v>2 CT</v>
      </c>
      <c r="BA125" s="292" t="b">
        <f>IFERROR(__xludf.DUMMYFUNCTION("""COMPUTED_VALUE"""),FALSE)</f>
        <v>0</v>
      </c>
      <c r="BB125" s="342">
        <f>IFERROR(__xludf.DUMMYFUNCTION("""COMPUTED_VALUE"""),2.12)</f>
        <v>2.12</v>
      </c>
      <c r="BC125" s="342">
        <f>IFERROR(__xludf.DUMMYFUNCTION("""COMPUTED_VALUE"""),1.12)</f>
        <v>1.12</v>
      </c>
      <c r="BD125" s="342">
        <f>IFERROR(__xludf.DUMMYFUNCTION("""COMPUTED_VALUE"""),0.36)</f>
        <v>0.36</v>
      </c>
      <c r="BE125" s="342">
        <f>IFERROR(__xludf.DUMMYFUNCTION("""COMPUTED_VALUE"""),0.89)</f>
        <v>0.89</v>
      </c>
      <c r="BF125" s="296">
        <f>IFERROR(__xludf.DUMMYFUNCTION("""COMPUTED_VALUE"""),3.0758108108108106)</f>
        <v>3.075810811</v>
      </c>
      <c r="BG125" s="296">
        <f>IFERROR(__xludf.DUMMYFUNCTION("""COMPUTED_VALUE"""),3.6060606060606064)</f>
        <v>3.606060606</v>
      </c>
      <c r="BH125" s="296">
        <f>IFERROR(__xludf.DUMMYFUNCTION("""COMPUTED_VALUE"""),3.45625)</f>
        <v>3.45625</v>
      </c>
      <c r="BI125" s="295">
        <f>IFERROR(__xludf.DUMMYFUNCTION("""COMPUTED_VALUE"""),177.0)</f>
        <v>177</v>
      </c>
      <c r="BJ125" s="295" t="str">
        <f>IFERROR(__xludf.DUMMYFUNCTION("""COMPUTED_VALUE"""),"FALSE")</f>
        <v>FALSE</v>
      </c>
      <c r="BK125" s="346">
        <f>IFERROR(__xludf.DUMMYFUNCTION("""COMPUTED_VALUE"""),2202.0)</f>
        <v>2202</v>
      </c>
      <c r="BL125" s="292" t="str">
        <f>IFERROR(__xludf.DUMMYFUNCTION("""COMPUTED_VALUE"""),"Frankenstein")</f>
        <v>Frankenstein</v>
      </c>
      <c r="BM125" s="292" t="str">
        <f>IFERROR(__xludf.DUMMYFUNCTION("""COMPUTED_VALUE"""),"Nötkött i tomatragu ")</f>
        <v>Nötkött i tomatragu </v>
      </c>
      <c r="BN125" s="343">
        <f>IFERROR(__xludf.DUMMYFUNCTION("""COMPUTED_VALUE"""),3.4838709677419355)</f>
        <v>3.483870968</v>
      </c>
      <c r="BO125" s="343">
        <f>IFERROR(__xludf.DUMMYFUNCTION("""COMPUTED_VALUE"""),3.8)</f>
        <v>3.8</v>
      </c>
      <c r="BP125" s="292"/>
      <c r="BQ125" s="292" t="str">
        <f>IFERROR(__xludf.DUMMYFUNCTION("""COMPUTED_VALUE"""),"Active")</f>
        <v>Active</v>
      </c>
      <c r="BR125" s="292" t="b">
        <f>IFERROR(__xludf.DUMMYFUNCTION("""COMPUTED_VALUE"""),FALSE)</f>
        <v>0</v>
      </c>
      <c r="BS125" s="292" t="b">
        <f>IFERROR(__xludf.DUMMYFUNCTION("""COMPUTED_VALUE"""),FALSE)</f>
        <v>0</v>
      </c>
      <c r="BT125" s="345">
        <f>IFERROR(__xludf.DUMMYFUNCTION("""COMPUTED_VALUE"""),496.0)</f>
        <v>496</v>
      </c>
      <c r="BU125" s="345">
        <f>IFERROR(__xludf.DUMMYFUNCTION("""COMPUTED_VALUE"""),118.0)</f>
        <v>118</v>
      </c>
      <c r="BV125" s="344">
        <f>IFERROR(__xludf.DUMMYFUNCTION("""COMPUTED_VALUE"""),4.3)</f>
        <v>4.3</v>
      </c>
      <c r="BW125" s="344">
        <f>IFERROR(__xludf.DUMMYFUNCTION("""COMPUTED_VALUE"""),1.4)</f>
        <v>1.4</v>
      </c>
    </row>
    <row r="126">
      <c r="A126" s="292" t="str">
        <f>IFERROR(__xludf.DUMMYFUNCTION("""COMPUTED_VALUE"""),"FE4044A")</f>
        <v>FE4044A</v>
      </c>
      <c r="B126" s="292" t="str">
        <f>IFERROR(__xludf.DUMMYFUNCTION("""COMPUTED_VALUE"""),"CON-40-143756-4")</f>
        <v>CON-40-143756-4</v>
      </c>
      <c r="C126" s="292" t="str">
        <f>IFERROR(__xludf.DUMMYFUNCTION("""COMPUTED_VALUE"""),"CON-00-147898-2")</f>
        <v>CON-00-147898-2</v>
      </c>
      <c r="D126" s="292" t="str">
        <f>IFERROR(__xludf.DUMMYFUNCTION("""COMPUTED_VALUE"""),"CON-00-136719-3")</f>
        <v>CON-00-136719-3</v>
      </c>
      <c r="E126" s="292" t="str">
        <f>IFERROR(__xludf.DUMMYFUNCTION("""COMPUTED_VALUE"""),"Salmon on tomato risotto ")</f>
        <v>Salmon on tomato risotto </v>
      </c>
      <c r="F126" s="292" t="str">
        <f>IFERROR(__xludf.DUMMYFUNCTION("""COMPUTED_VALUE"""),"with green beans, pesto and ricotta ")</f>
        <v>with green beans, pesto and ricotta </v>
      </c>
      <c r="G126" s="292" t="str">
        <f>IFERROR(__xludf.DUMMYFUNCTION("""COMPUTED_VALUE"""),"Zalm op tomatenrisotto ")</f>
        <v>Zalm op tomatenrisotto </v>
      </c>
      <c r="H126" s="292" t="str">
        <f>IFERROR(__xludf.DUMMYFUNCTION("""COMPUTED_VALUE"""),"met sperziebonen, pesto en ricotta ")</f>
        <v>met sperziebonen, pesto en ricotta </v>
      </c>
      <c r="I126" s="292" t="str">
        <f>IFERROR(__xludf.DUMMYFUNCTION("""COMPUTED_VALUE"""),"Laks på tomatrisotto")</f>
        <v>Laks på tomatrisotto</v>
      </c>
      <c r="J126" s="292" t="str">
        <f>IFERROR(__xludf.DUMMYFUNCTION("""COMPUTED_VALUE"""),"Lachs auf Tomatenrisotto")</f>
        <v>Lachs auf Tomatenrisotto</v>
      </c>
      <c r="K126" s="292">
        <f>IFERROR(__xludf.DUMMYFUNCTION("""COMPUTED_VALUE"""),565104.0)</f>
        <v>565104</v>
      </c>
      <c r="L126" s="292"/>
      <c r="M126" s="292" t="str">
        <f>IFERROR(__xludf.DUMMYFUNCTION("""COMPUTED_VALUE"""),"FA-NL Zalm op tomatenrisotto (FE4044)")</f>
        <v>FA-NL Zalm op tomatenrisotto (FE4044)</v>
      </c>
      <c r="N126" s="292" t="str">
        <f>IFERROR(__xludf.DUMMYFUNCTION("""COMPUTED_VALUE"""),"FA-NO Laks på tomatrisotto (FE4044)")</f>
        <v>FA-NO Laks på tomatrisotto (FE4044)</v>
      </c>
      <c r="O126" s="292" t="str">
        <f>IFERROR(__xludf.DUMMYFUNCTION("""COMPUTED_VALUE"""),"FA-DE Lachs auf Tomatenrisotto (FE4044)")</f>
        <v>FA-DE Lachs auf Tomatenrisotto (FE4044)</v>
      </c>
      <c r="P126" s="292" t="str">
        <f>IFERROR(__xludf.DUMMYFUNCTION("""COMPUTED_VALUE"""),"Graveyard")</f>
        <v>Graveyard</v>
      </c>
      <c r="Q126" s="292"/>
      <c r="R126" s="342">
        <f>IFERROR(__xludf.DUMMYFUNCTION("""COMPUTED_VALUE"""),6.52)</f>
        <v>6.52</v>
      </c>
      <c r="S126" s="292"/>
      <c r="T126" s="292"/>
      <c r="U126" s="292"/>
      <c r="V126" s="292"/>
      <c r="W126" s="292" t="b">
        <f>IFERROR(__xludf.DUMMYFUNCTION("""COMPUTED_VALUE"""),TRUE)</f>
        <v>1</v>
      </c>
      <c r="X126" s="345">
        <f>IFERROR(__xludf.DUMMYFUNCTION("""COMPUTED_VALUE"""),453.0)</f>
        <v>453</v>
      </c>
      <c r="Y126" s="344">
        <f>IFERROR(__xludf.DUMMYFUNCTION("""COMPUTED_VALUE"""),675.0)</f>
        <v>675</v>
      </c>
      <c r="Z126" s="343">
        <f>IFERROR(__xludf.DUMMYFUNCTION("""COMPUTED_VALUE"""),39.9)</f>
        <v>39.9</v>
      </c>
      <c r="AA126" s="344">
        <f>IFERROR(__xludf.DUMMYFUNCTION("""COMPUTED_VALUE"""),9.1)</f>
        <v>9.1</v>
      </c>
      <c r="AB126" s="344">
        <f>IFERROR(__xludf.DUMMYFUNCTION("""COMPUTED_VALUE"""),35.8)</f>
        <v>35.8</v>
      </c>
      <c r="AC126" s="344">
        <f>IFERROR(__xludf.DUMMYFUNCTION("""COMPUTED_VALUE"""),6.8)</f>
        <v>6.8</v>
      </c>
      <c r="AD126" s="344">
        <f>IFERROR(__xludf.DUMMYFUNCTION("""COMPUTED_VALUE"""),9.1)</f>
        <v>9.1</v>
      </c>
      <c r="AE126" s="343">
        <f>IFERROR(__xludf.DUMMYFUNCTION("""COMPUTED_VALUE"""),38.5)</f>
        <v>38.5</v>
      </c>
      <c r="AF126" s="343">
        <f>IFERROR(__xludf.DUMMYFUNCTION("""COMPUTED_VALUE"""),1.99)</f>
        <v>1.99</v>
      </c>
      <c r="AG126" s="292" t="b">
        <f>IFERROR(__xludf.DUMMYFUNCTION("""COMPUTED_VALUE"""),FALSE)</f>
        <v>0</v>
      </c>
      <c r="AH126" s="292" t="b">
        <f>IFERROR(__xludf.DUMMYFUNCTION("""COMPUTED_VALUE"""),FALSE)</f>
        <v>0</v>
      </c>
      <c r="AI126" s="292" t="b">
        <f>IFERROR(__xludf.DUMMYFUNCTION("""COMPUTED_VALUE"""),FALSE)</f>
        <v>0</v>
      </c>
      <c r="AJ126" s="292" t="b">
        <f>IFERROR(__xludf.DUMMYFUNCTION("""COMPUTED_VALUE"""),FALSE)</f>
        <v>0</v>
      </c>
      <c r="AK126" s="292" t="b">
        <f>IFERROR(__xludf.DUMMYFUNCTION("""COMPUTED_VALUE"""),FALSE)</f>
        <v>0</v>
      </c>
      <c r="AL126" s="292" t="b">
        <f>IFERROR(__xludf.DUMMYFUNCTION("""COMPUTED_VALUE"""),FALSE)</f>
        <v>0</v>
      </c>
      <c r="AM126" s="292" t="b">
        <f>IFERROR(__xludf.DUMMYFUNCTION("""COMPUTED_VALUE"""),TRUE)</f>
        <v>1</v>
      </c>
      <c r="AN126" s="292" t="b">
        <f>IFERROR(__xludf.DUMMYFUNCTION("""COMPUTED_VALUE"""),FALSE)</f>
        <v>0</v>
      </c>
      <c r="AO126" s="292" t="str">
        <f>IFERROR(__xludf.DUMMYFUNCTION("""COMPUTED_VALUE"""),"FALSE")</f>
        <v>FALSE</v>
      </c>
      <c r="AP126" s="292" t="str">
        <f>IFERROR(__xludf.DUMMYFUNCTION("""COMPUTED_VALUE"""),"Salmon")</f>
        <v>Salmon</v>
      </c>
      <c r="AQ126" s="292" t="str">
        <f>IFERROR(__xludf.DUMMYFUNCTION("""COMPUTED_VALUE"""),"Salmon")</f>
        <v>Salmon</v>
      </c>
      <c r="AR126" s="292" t="str">
        <f>IFERROR(__xludf.DUMMYFUNCTION("""COMPUTED_VALUE"""),"Filet")</f>
        <v>Filet</v>
      </c>
      <c r="AS126" s="292" t="str">
        <f>IFERROR(__xludf.DUMMYFUNCTION("""COMPUTED_VALUE"""),"Risotto")</f>
        <v>Risotto</v>
      </c>
      <c r="AT126" s="292" t="str">
        <f>IFERROR(__xludf.DUMMYFUNCTION("""COMPUTED_VALUE"""),"Green Beans")</f>
        <v>Green Beans</v>
      </c>
      <c r="AU126" s="292" t="str">
        <f>IFERROR(__xludf.DUMMYFUNCTION("""COMPUTED_VALUE"""),"Cherry Tomatoes")</f>
        <v>Cherry Tomatoes</v>
      </c>
      <c r="AV126" s="292" t="str">
        <f>IFERROR(__xludf.DUMMYFUNCTION("""COMPUTED_VALUE"""),"Pesto")</f>
        <v>Pesto</v>
      </c>
      <c r="AW126" s="292" t="str">
        <f>IFERROR(__xludf.DUMMYFUNCTION("""COMPUTED_VALUE"""),"Year Round")</f>
        <v>Year Round</v>
      </c>
      <c r="AX126" s="292" t="str">
        <f>IFERROR(__xludf.DUMMYFUNCTION("""COMPUTED_VALUE"""),"Italian")</f>
        <v>Italian</v>
      </c>
      <c r="AY126" s="292"/>
      <c r="AZ126" s="292" t="str">
        <f>IFERROR(__xludf.DUMMYFUNCTION("""COMPUTED_VALUE"""),"2 CT")</f>
        <v>2 CT</v>
      </c>
      <c r="BA126" s="292" t="b">
        <f>IFERROR(__xludf.DUMMYFUNCTION("""COMPUTED_VALUE"""),FALSE)</f>
        <v>0</v>
      </c>
      <c r="BB126" s="342">
        <f>IFERROR(__xludf.DUMMYFUNCTION("""COMPUTED_VALUE"""),4.28)</f>
        <v>4.28</v>
      </c>
      <c r="BC126" s="342">
        <f>IFERROR(__xludf.DUMMYFUNCTION("""COMPUTED_VALUE"""),1.04)</f>
        <v>1.04</v>
      </c>
      <c r="BD126" s="342">
        <f>IFERROR(__xludf.DUMMYFUNCTION("""COMPUTED_VALUE"""),0.362)</f>
        <v>0.362</v>
      </c>
      <c r="BE126" s="342">
        <f>IFERROR(__xludf.DUMMYFUNCTION("""COMPUTED_VALUE"""),0.89)</f>
        <v>0.89</v>
      </c>
      <c r="BF126" s="296" t="str">
        <f>IFERROR(__xludf.DUMMYFUNCTION("""COMPUTED_VALUE"""),"#REF!")</f>
        <v>#REF!</v>
      </c>
      <c r="BG126" s="296" t="str">
        <f>IFERROR(__xludf.DUMMYFUNCTION("""COMPUTED_VALUE"""),"#REF!")</f>
        <v>#REF!</v>
      </c>
      <c r="BH126" s="296" t="str">
        <f>IFERROR(__xludf.DUMMYFUNCTION("""COMPUTED_VALUE"""),"#REF!")</f>
        <v>#REF!</v>
      </c>
      <c r="BI126" s="295">
        <f>IFERROR(__xludf.DUMMYFUNCTION("""COMPUTED_VALUE"""),187.0)</f>
        <v>187</v>
      </c>
      <c r="BJ126" s="295" t="str">
        <f>IFERROR(__xludf.DUMMYFUNCTION("""COMPUTED_VALUE"""),"TRUE")</f>
        <v>TRUE</v>
      </c>
      <c r="BK126" s="346">
        <f>IFERROR(__xludf.DUMMYFUNCTION("""COMPUTED_VALUE"""),2813.0)</f>
        <v>2813</v>
      </c>
      <c r="BL126" s="292" t="str">
        <f>IFERROR(__xludf.DUMMYFUNCTION("""COMPUTED_VALUE"""),"Frankenstein")</f>
        <v>Frankenstein</v>
      </c>
      <c r="BM126" s="292" t="str">
        <f>IFERROR(__xludf.DUMMYFUNCTION("""COMPUTED_VALUE"""),"Lax på tomatrisotto ")</f>
        <v>Lax på tomatrisotto </v>
      </c>
      <c r="BN126" s="292"/>
      <c r="BO126" s="292"/>
      <c r="BP126" s="292"/>
      <c r="BQ126" s="292" t="str">
        <f>IFERROR(__xludf.DUMMYFUNCTION("""COMPUTED_VALUE"""),"Graveyard")</f>
        <v>Graveyard</v>
      </c>
      <c r="BR126" s="292" t="b">
        <f>IFERROR(__xludf.DUMMYFUNCTION("""COMPUTED_VALUE"""),FALSE)</f>
        <v>0</v>
      </c>
      <c r="BS126" s="292" t="b">
        <f>IFERROR(__xludf.DUMMYFUNCTION("""COMPUTED_VALUE"""),FALSE)</f>
        <v>0</v>
      </c>
      <c r="BT126" s="345">
        <f>IFERROR(__xludf.DUMMYFUNCTION("""COMPUTED_VALUE"""),621.0)</f>
        <v>621</v>
      </c>
      <c r="BU126" s="345">
        <f>IFERROR(__xludf.DUMMYFUNCTION("""COMPUTED_VALUE"""),149.0)</f>
        <v>149</v>
      </c>
      <c r="BV126" s="344">
        <f>IFERROR(__xludf.DUMMYFUNCTION("""COMPUTED_VALUE"""),8.8)</f>
        <v>8.8</v>
      </c>
      <c r="BW126" s="344">
        <f>IFERROR(__xludf.DUMMYFUNCTION("""COMPUTED_VALUE"""),2.0)</f>
        <v>2</v>
      </c>
    </row>
    <row r="127">
      <c r="A127" s="292" t="str">
        <f>IFERROR(__xludf.DUMMYFUNCTION("""COMPUTED_VALUE"""),"FE4046A")</f>
        <v>FE4046A</v>
      </c>
      <c r="B127" s="292" t="str">
        <f>IFERROR(__xludf.DUMMYFUNCTION("""COMPUTED_VALUE"""),"CON-40-143721-4")</f>
        <v>CON-40-143721-4</v>
      </c>
      <c r="C127" s="292" t="str">
        <f>IFERROR(__xludf.DUMMYFUNCTION("""COMPUTED_VALUE"""),"CON-00-147899-2")</f>
        <v>CON-00-147899-2</v>
      </c>
      <c r="D127" s="292" t="str">
        <f>IFERROR(__xludf.DUMMYFUNCTION("""COMPUTED_VALUE"""),"CON-00-136724-3")</f>
        <v>CON-00-136724-3</v>
      </c>
      <c r="E127" s="292" t="str">
        <f>IFERROR(__xludf.DUMMYFUNCTION("""COMPUTED_VALUE"""),"Creamy pumpkin risotto")</f>
        <v>Creamy pumpkin risotto</v>
      </c>
      <c r="F127" s="292" t="str">
        <f>IFERROR(__xludf.DUMMYFUNCTION("""COMPUTED_VALUE"""),"with sage and roasted green beans")</f>
        <v>with sage and roasted green beans</v>
      </c>
      <c r="G127" s="292" t="str">
        <f>IFERROR(__xludf.DUMMYFUNCTION("""COMPUTED_VALUE"""),"Romige pompoenrisotto")</f>
        <v>Romige pompoenrisotto</v>
      </c>
      <c r="H127" s="292" t="str">
        <f>IFERROR(__xludf.DUMMYFUNCTION("""COMPUTED_VALUE"""),"met salie en geroosterde sperziebonen")</f>
        <v>met salie en geroosterde sperziebonen</v>
      </c>
      <c r="I127" s="292" t="str">
        <f>IFERROR(__xludf.DUMMYFUNCTION("""COMPUTED_VALUE"""),"Cremet græskarrisotto ")</f>
        <v>Cremet græskarrisotto </v>
      </c>
      <c r="J127" s="292" t="str">
        <f>IFERROR(__xludf.DUMMYFUNCTION("""COMPUTED_VALUE"""),"Cremiges Kürbisrisotto")</f>
        <v>Cremiges Kürbisrisotto</v>
      </c>
      <c r="K127" s="292">
        <f>IFERROR(__xludf.DUMMYFUNCTION("""COMPUTED_VALUE"""),565114.0)</f>
        <v>565114</v>
      </c>
      <c r="L127" s="292"/>
      <c r="M127" s="292" t="str">
        <f>IFERROR(__xludf.DUMMYFUNCTION("""COMPUTED_VALUE"""),"FA-NL Romige pompoenrisotto (FE4046)")</f>
        <v>FA-NL Romige pompoenrisotto (FE4046)</v>
      </c>
      <c r="N127" s="292" t="str">
        <f>IFERROR(__xludf.DUMMYFUNCTION("""COMPUTED_VALUE"""),"FA-NO Cremet græskarrisotto (FE4046)")</f>
        <v>FA-NO Cremet græskarrisotto (FE4046)</v>
      </c>
      <c r="O127" s="292" t="str">
        <f>IFERROR(__xludf.DUMMYFUNCTION("""COMPUTED_VALUE"""),"FA-DE Cremiges Kürbisrisotto (FE4046)")</f>
        <v>FA-DE Cremiges Kürbisrisotto (FE4046)</v>
      </c>
      <c r="P127" s="292" t="str">
        <f>IFERROR(__xludf.DUMMYFUNCTION("""COMPUTED_VALUE"""),"Active")</f>
        <v>Active</v>
      </c>
      <c r="Q127" s="292"/>
      <c r="R127" s="342">
        <f>IFERROR(__xludf.DUMMYFUNCTION("""COMPUTED_VALUE"""),3.19)</f>
        <v>3.19</v>
      </c>
      <c r="S127" s="292"/>
      <c r="T127" s="292"/>
      <c r="U127" s="292"/>
      <c r="V127" s="292"/>
      <c r="W127" s="292" t="b">
        <f>IFERROR(__xludf.DUMMYFUNCTION("""COMPUTED_VALUE"""),TRUE)</f>
        <v>1</v>
      </c>
      <c r="X127" s="345">
        <f>IFERROR(__xludf.DUMMYFUNCTION("""COMPUTED_VALUE"""),426.0)</f>
        <v>426</v>
      </c>
      <c r="Y127" s="344">
        <f>IFERROR(__xludf.DUMMYFUNCTION("""COMPUTED_VALUE"""),552.0)</f>
        <v>552</v>
      </c>
      <c r="Z127" s="343">
        <f>IFERROR(__xludf.DUMMYFUNCTION("""COMPUTED_VALUE"""),23.7)</f>
        <v>23.7</v>
      </c>
      <c r="AA127" s="344">
        <f>IFERROR(__xludf.DUMMYFUNCTION("""COMPUTED_VALUE"""),5.3)</f>
        <v>5.3</v>
      </c>
      <c r="AB127" s="344">
        <f>IFERROR(__xludf.DUMMYFUNCTION("""COMPUTED_VALUE"""),62.9)</f>
        <v>62.9</v>
      </c>
      <c r="AC127" s="344">
        <f>IFERROR(__xludf.DUMMYFUNCTION("""COMPUTED_VALUE"""),7.4)</f>
        <v>7.4</v>
      </c>
      <c r="AD127" s="344">
        <f>IFERROR(__xludf.DUMMYFUNCTION("""COMPUTED_VALUE"""),11.0)</f>
        <v>11</v>
      </c>
      <c r="AE127" s="343">
        <f>IFERROR(__xludf.DUMMYFUNCTION("""COMPUTED_VALUE"""),15.8)</f>
        <v>15.8</v>
      </c>
      <c r="AF127" s="343">
        <f>IFERROR(__xludf.DUMMYFUNCTION("""COMPUTED_VALUE"""),2.0)</f>
        <v>2</v>
      </c>
      <c r="AG127" s="292" t="b">
        <f>IFERROR(__xludf.DUMMYFUNCTION("""COMPUTED_VALUE"""),FALSE)</f>
        <v>0</v>
      </c>
      <c r="AH127" s="292" t="b">
        <f>IFERROR(__xludf.DUMMYFUNCTION("""COMPUTED_VALUE"""),FALSE)</f>
        <v>0</v>
      </c>
      <c r="AI127" s="292" t="b">
        <f>IFERROR(__xludf.DUMMYFUNCTION("""COMPUTED_VALUE"""),FALSE)</f>
        <v>0</v>
      </c>
      <c r="AJ127" s="292" t="b">
        <f>IFERROR(__xludf.DUMMYFUNCTION("""COMPUTED_VALUE"""),FALSE)</f>
        <v>0</v>
      </c>
      <c r="AK127" s="292" t="b">
        <f>IFERROR(__xludf.DUMMYFUNCTION("""COMPUTED_VALUE"""),TRUE)</f>
        <v>1</v>
      </c>
      <c r="AL127" s="292" t="b">
        <f>IFERROR(__xludf.DUMMYFUNCTION("""COMPUTED_VALUE"""),FALSE)</f>
        <v>0</v>
      </c>
      <c r="AM127" s="292" t="b">
        <f>IFERROR(__xludf.DUMMYFUNCTION("""COMPUTED_VALUE"""),FALSE)</f>
        <v>0</v>
      </c>
      <c r="AN127" s="292" t="b">
        <f>IFERROR(__xludf.DUMMYFUNCTION("""COMPUTED_VALUE"""),FALSE)</f>
        <v>0</v>
      </c>
      <c r="AO127" s="292" t="str">
        <f>IFERROR(__xludf.DUMMYFUNCTION("""COMPUTED_VALUE"""),"TRUE")</f>
        <v>TRUE</v>
      </c>
      <c r="AP127" s="292" t="str">
        <f>IFERROR(__xludf.DUMMYFUNCTION("""COMPUTED_VALUE"""),"Vegetarian")</f>
        <v>Vegetarian</v>
      </c>
      <c r="AQ127" s="292" t="str">
        <f>IFERROR(__xludf.DUMMYFUNCTION("""COMPUTED_VALUE"""),"Vegetarian")</f>
        <v>Vegetarian</v>
      </c>
      <c r="AR127" s="292" t="str">
        <f>IFERROR(__xludf.DUMMYFUNCTION("""COMPUTED_VALUE"""),"Risotto")</f>
        <v>Risotto</v>
      </c>
      <c r="AS127" s="292" t="str">
        <f>IFERROR(__xludf.DUMMYFUNCTION("""COMPUTED_VALUE"""),"Risotto")</f>
        <v>Risotto</v>
      </c>
      <c r="AT127" s="292" t="str">
        <f>IFERROR(__xludf.DUMMYFUNCTION("""COMPUTED_VALUE"""),"Pumpkin ")</f>
        <v>Pumpkin </v>
      </c>
      <c r="AU127" s="292" t="str">
        <f>IFERROR(__xludf.DUMMYFUNCTION("""COMPUTED_VALUE"""),"Green Beans")</f>
        <v>Green Beans</v>
      </c>
      <c r="AV127" s="292" t="str">
        <f>IFERROR(__xludf.DUMMYFUNCTION("""COMPUTED_VALUE"""),"Pumpkin seeds")</f>
        <v>Pumpkin seeds</v>
      </c>
      <c r="AW127" s="292" t="str">
        <f>IFERROR(__xludf.DUMMYFUNCTION("""COMPUTED_VALUE"""),"Fall/Winter")</f>
        <v>Fall/Winter</v>
      </c>
      <c r="AX127" s="292" t="str">
        <f>IFERROR(__xludf.DUMMYFUNCTION("""COMPUTED_VALUE"""),"Italian")</f>
        <v>Italian</v>
      </c>
      <c r="AY127" s="292"/>
      <c r="AZ127" s="292" t="str">
        <f>IFERROR(__xludf.DUMMYFUNCTION("""COMPUTED_VALUE"""),"2 CT")</f>
        <v>2 CT</v>
      </c>
      <c r="BA127" s="292" t="b">
        <f>IFERROR(__xludf.DUMMYFUNCTION("""COMPUTED_VALUE"""),FALSE)</f>
        <v>0</v>
      </c>
      <c r="BB127" s="342">
        <f>IFERROR(__xludf.DUMMYFUNCTION("""COMPUTED_VALUE"""),0.82)</f>
        <v>0.82</v>
      </c>
      <c r="BC127" s="342">
        <f>IFERROR(__xludf.DUMMYFUNCTION("""COMPUTED_VALUE"""),1.12)</f>
        <v>1.12</v>
      </c>
      <c r="BD127" s="342">
        <f>IFERROR(__xludf.DUMMYFUNCTION("""COMPUTED_VALUE"""),0.36)</f>
        <v>0.36</v>
      </c>
      <c r="BE127" s="342">
        <f>IFERROR(__xludf.DUMMYFUNCTION("""COMPUTED_VALUE"""),0.89)</f>
        <v>0.89</v>
      </c>
      <c r="BF127" s="296" t="str">
        <f>IFERROR(__xludf.DUMMYFUNCTION("""COMPUTED_VALUE"""),"#REF!")</f>
        <v>#REF!</v>
      </c>
      <c r="BG127" s="296" t="str">
        <f>IFERROR(__xludf.DUMMYFUNCTION("""COMPUTED_VALUE"""),"#REF!")</f>
        <v>#REF!</v>
      </c>
      <c r="BH127" s="296" t="str">
        <f>IFERROR(__xludf.DUMMYFUNCTION("""COMPUTED_VALUE"""),"#REF!")</f>
        <v>#REF!</v>
      </c>
      <c r="BI127" s="295">
        <f>IFERROR(__xludf.DUMMYFUNCTION("""COMPUTED_VALUE"""),213.0)</f>
        <v>213</v>
      </c>
      <c r="BJ127" s="295" t="str">
        <f>IFERROR(__xludf.DUMMYFUNCTION("""COMPUTED_VALUE"""),"FALSE")</f>
        <v>FALSE</v>
      </c>
      <c r="BK127" s="346">
        <f>IFERROR(__xludf.DUMMYFUNCTION("""COMPUTED_VALUE"""),2312.0)</f>
        <v>2312</v>
      </c>
      <c r="BL127" s="292" t="str">
        <f>IFERROR(__xludf.DUMMYFUNCTION("""COMPUTED_VALUE"""),"Local Development")</f>
        <v>Local Development</v>
      </c>
      <c r="BM127" s="292" t="str">
        <f>IFERROR(__xludf.DUMMYFUNCTION("""COMPUTED_VALUE"""),"Krämig pumparisotto ")</f>
        <v>Krämig pumparisotto </v>
      </c>
      <c r="BN127" s="292"/>
      <c r="BO127" s="292"/>
      <c r="BP127" s="292"/>
      <c r="BQ127" s="292" t="str">
        <f>IFERROR(__xludf.DUMMYFUNCTION("""COMPUTED_VALUE"""),"Active")</f>
        <v>Active</v>
      </c>
      <c r="BR127" s="292" t="b">
        <f>IFERROR(__xludf.DUMMYFUNCTION("""COMPUTED_VALUE"""),FALSE)</f>
        <v>0</v>
      </c>
      <c r="BS127" s="292" t="b">
        <f>IFERROR(__xludf.DUMMYFUNCTION("""COMPUTED_VALUE"""),FALSE)</f>
        <v>0</v>
      </c>
      <c r="BT127" s="345">
        <f>IFERROR(__xludf.DUMMYFUNCTION("""COMPUTED_VALUE"""),543.0)</f>
        <v>543</v>
      </c>
      <c r="BU127" s="345">
        <f>IFERROR(__xludf.DUMMYFUNCTION("""COMPUTED_VALUE"""),129.6)</f>
        <v>129.6</v>
      </c>
      <c r="BV127" s="344">
        <f>IFERROR(__xludf.DUMMYFUNCTION("""COMPUTED_VALUE"""),5.6)</f>
        <v>5.6</v>
      </c>
      <c r="BW127" s="344">
        <f>IFERROR(__xludf.DUMMYFUNCTION("""COMPUTED_VALUE"""),1.3)</f>
        <v>1.3</v>
      </c>
    </row>
    <row r="128">
      <c r="A128" s="292" t="str">
        <f>IFERROR(__xludf.DUMMYFUNCTION("""COMPUTED_VALUE"""),"FE4047A")</f>
        <v>FE4047A</v>
      </c>
      <c r="B128" s="292" t="str">
        <f>IFERROR(__xludf.DUMMYFUNCTION("""COMPUTED_VALUE"""),"CON-40-143679-4")</f>
        <v>CON-40-143679-4</v>
      </c>
      <c r="C128" s="292" t="str">
        <f>IFERROR(__xludf.DUMMYFUNCTION("""COMPUTED_VALUE"""),"CON-00-147900-2")</f>
        <v>CON-00-147900-2</v>
      </c>
      <c r="D128" s="292" t="str">
        <f>IFERROR(__xludf.DUMMYFUNCTION("""COMPUTED_VALUE"""),"CON-00-137932-2")</f>
        <v>CON-00-137932-2</v>
      </c>
      <c r="E128" s="292" t="str">
        <f>IFERROR(__xludf.DUMMYFUNCTION("""COMPUTED_VALUE"""),"Coconut Lime Chicken")</f>
        <v>Coconut Lime Chicken</v>
      </c>
      <c r="F128" s="292" t="str">
        <f>IFERROR(__xludf.DUMMYFUNCTION("""COMPUTED_VALUE"""),"with cauliflower rice and shredded coconut")</f>
        <v>with cauliflower rice and shredded coconut</v>
      </c>
      <c r="G128" s="292" t="str">
        <f>IFERROR(__xludf.DUMMYFUNCTION("""COMPUTED_VALUE"""),"Kipblokjes in kokos-limoensaus ")</f>
        <v>Kipblokjes in kokos-limoensaus </v>
      </c>
      <c r="H128" s="292" t="str">
        <f>IFERROR(__xludf.DUMMYFUNCTION("""COMPUTED_VALUE"""),"met bloemkoolrijst en geraspte kokosnoot")</f>
        <v>met bloemkoolrijst en geraspte kokosnoot</v>
      </c>
      <c r="I128" s="292" t="str">
        <f>IFERROR(__xludf.DUMMYFUNCTION("""COMPUTED_VALUE"""),"Kokos- og limekylling")</f>
        <v>Kokos- og limekylling</v>
      </c>
      <c r="J128" s="292" t="str">
        <f>IFERROR(__xludf.DUMMYFUNCTION("""COMPUTED_VALUE"""),"Kokos-Limetten-Hähnchen")</f>
        <v>Kokos-Limetten-Hähnchen</v>
      </c>
      <c r="K128" s="292">
        <f>IFERROR(__xludf.DUMMYFUNCTION("""COMPUTED_VALUE"""),565129.0)</f>
        <v>565129</v>
      </c>
      <c r="L128" s="292" t="str">
        <f>IFERROR(__xludf.DUMMYFUNCTION("""COMPUTED_VALUE"""),"HF Kokos limoen kip")</f>
        <v>HF Kokos limoen kip</v>
      </c>
      <c r="M128" s="292" t="str">
        <f>IFERROR(__xludf.DUMMYFUNCTION("""COMPUTED_VALUE"""),"FA-NL Kipblokjes in kokos-limoensaus (FE4047)")</f>
        <v>FA-NL Kipblokjes in kokos-limoensaus (FE4047)</v>
      </c>
      <c r="N128" s="292" t="str">
        <f>IFERROR(__xludf.DUMMYFUNCTION("""COMPUTED_VALUE"""),"FA-NO Kokos- og limekylling (FE4047)")</f>
        <v>FA-NO Kokos- og limekylling (FE4047)</v>
      </c>
      <c r="O128" s="292" t="str">
        <f>IFERROR(__xludf.DUMMYFUNCTION("""COMPUTED_VALUE"""),"FA-DE Kokos-Limetten-Hähnchen (FE4047)")</f>
        <v>FA-DE Kokos-Limetten-Hähnchen (FE4047)</v>
      </c>
      <c r="P128" s="292" t="str">
        <f>IFERROR(__xludf.DUMMYFUNCTION("""COMPUTED_VALUE"""),"Graveyard")</f>
        <v>Graveyard</v>
      </c>
      <c r="Q128" s="292"/>
      <c r="R128" s="342">
        <f>IFERROR(__xludf.DUMMYFUNCTION("""COMPUTED_VALUE"""),4.13)</f>
        <v>4.13</v>
      </c>
      <c r="S128" s="292"/>
      <c r="T128" s="292"/>
      <c r="U128" s="292"/>
      <c r="V128" s="292"/>
      <c r="W128" s="292" t="b">
        <f>IFERROR(__xludf.DUMMYFUNCTION("""COMPUTED_VALUE"""),TRUE)</f>
        <v>1</v>
      </c>
      <c r="X128" s="345">
        <f>IFERROR(__xludf.DUMMYFUNCTION("""COMPUTED_VALUE"""),409.0)</f>
        <v>409</v>
      </c>
      <c r="Y128" s="344">
        <f>IFERROR(__xludf.DUMMYFUNCTION("""COMPUTED_VALUE"""),591.0)</f>
        <v>591</v>
      </c>
      <c r="Z128" s="343">
        <f>IFERROR(__xludf.DUMMYFUNCTION("""COMPUTED_VALUE"""),45.0)</f>
        <v>45</v>
      </c>
      <c r="AA128" s="344">
        <f>IFERROR(__xludf.DUMMYFUNCTION("""COMPUTED_VALUE"""),24.7)</f>
        <v>24.7</v>
      </c>
      <c r="AB128" s="344">
        <f>IFERROR(__xludf.DUMMYFUNCTION("""COMPUTED_VALUE"""),13.0)</f>
        <v>13</v>
      </c>
      <c r="AC128" s="344">
        <f>IFERROR(__xludf.DUMMYFUNCTION("""COMPUTED_VALUE"""),6.8)</f>
        <v>6.8</v>
      </c>
      <c r="AD128" s="344">
        <f>IFERROR(__xludf.DUMMYFUNCTION("""COMPUTED_VALUE"""),7.5)</f>
        <v>7.5</v>
      </c>
      <c r="AE128" s="343">
        <f>IFERROR(__xludf.DUMMYFUNCTION("""COMPUTED_VALUE"""),28.0)</f>
        <v>28</v>
      </c>
      <c r="AF128" s="343">
        <f>IFERROR(__xludf.DUMMYFUNCTION("""COMPUTED_VALUE"""),2.03)</f>
        <v>2.03</v>
      </c>
      <c r="AG128" s="292" t="b">
        <f>IFERROR(__xludf.DUMMYFUNCTION("""COMPUTED_VALUE"""),FALSE)</f>
        <v>0</v>
      </c>
      <c r="AH128" s="292" t="b">
        <f>IFERROR(__xludf.DUMMYFUNCTION("""COMPUTED_VALUE"""),TRUE)</f>
        <v>1</v>
      </c>
      <c r="AI128" s="292" t="b">
        <f>IFERROR(__xludf.DUMMYFUNCTION("""COMPUTED_VALUE"""),FALSE)</f>
        <v>0</v>
      </c>
      <c r="AJ128" s="292" t="b">
        <f>IFERROR(__xludf.DUMMYFUNCTION("""COMPUTED_VALUE"""),FALSE)</f>
        <v>0</v>
      </c>
      <c r="AK128" s="292" t="b">
        <f>IFERROR(__xludf.DUMMYFUNCTION("""COMPUTED_VALUE"""),FALSE)</f>
        <v>0</v>
      </c>
      <c r="AL128" s="292" t="b">
        <f>IFERROR(__xludf.DUMMYFUNCTION("""COMPUTED_VALUE"""),FALSE)</f>
        <v>0</v>
      </c>
      <c r="AM128" s="292" t="b">
        <f>IFERROR(__xludf.DUMMYFUNCTION("""COMPUTED_VALUE"""),FALSE)</f>
        <v>0</v>
      </c>
      <c r="AN128" s="292" t="b">
        <f>IFERROR(__xludf.DUMMYFUNCTION("""COMPUTED_VALUE"""),TRUE)</f>
        <v>1</v>
      </c>
      <c r="AO128" s="292" t="str">
        <f>IFERROR(__xludf.DUMMYFUNCTION("""COMPUTED_VALUE"""),"FALSE")</f>
        <v>FALSE</v>
      </c>
      <c r="AP128" s="292" t="str">
        <f>IFERROR(__xludf.DUMMYFUNCTION("""COMPUTED_VALUE"""),"Diced chicken")</f>
        <v>Diced chicken</v>
      </c>
      <c r="AQ128" s="292" t="str">
        <f>IFERROR(__xludf.DUMMYFUNCTION("""COMPUTED_VALUE"""),"Chicken")</f>
        <v>Chicken</v>
      </c>
      <c r="AR128" s="292" t="str">
        <f>IFERROR(__xludf.DUMMYFUNCTION("""COMPUTED_VALUE"""),"Pieces")</f>
        <v>Pieces</v>
      </c>
      <c r="AS128" s="292" t="str">
        <f>IFERROR(__xludf.DUMMYFUNCTION("""COMPUTED_VALUE"""),"Spinach")</f>
        <v>Spinach</v>
      </c>
      <c r="AT128" s="292" t="str">
        <f>IFERROR(__xludf.DUMMYFUNCTION("""COMPUTED_VALUE"""),"Cauliflower Rice")</f>
        <v>Cauliflower Rice</v>
      </c>
      <c r="AU128" s="292" t="str">
        <f>IFERROR(__xludf.DUMMYFUNCTION("""COMPUTED_VALUE"""),"Red bell pepper")</f>
        <v>Red bell pepper</v>
      </c>
      <c r="AV128" s="292"/>
      <c r="AW128" s="292" t="str">
        <f>IFERROR(__xludf.DUMMYFUNCTION("""COMPUTED_VALUE"""),"Year Round")</f>
        <v>Year Round</v>
      </c>
      <c r="AX128" s="292" t="str">
        <f>IFERROR(__xludf.DUMMYFUNCTION("""COMPUTED_VALUE"""),"Asian")</f>
        <v>Asian</v>
      </c>
      <c r="AY128" s="292"/>
      <c r="AZ128" s="292" t="str">
        <f>IFERROR(__xludf.DUMMYFUNCTION("""COMPUTED_VALUE"""),"2 CT")</f>
        <v>2 CT</v>
      </c>
      <c r="BA128" s="292" t="b">
        <f>IFERROR(__xludf.DUMMYFUNCTION("""COMPUTED_VALUE"""),FALSE)</f>
        <v>0</v>
      </c>
      <c r="BB128" s="342">
        <f>IFERROR(__xludf.DUMMYFUNCTION("""COMPUTED_VALUE"""),1.82)</f>
        <v>1.82</v>
      </c>
      <c r="BC128" s="342">
        <f>IFERROR(__xludf.DUMMYFUNCTION("""COMPUTED_VALUE"""),1.11)</f>
        <v>1.11</v>
      </c>
      <c r="BD128" s="342">
        <f>IFERROR(__xludf.DUMMYFUNCTION("""COMPUTED_VALUE"""),0.36)</f>
        <v>0.36</v>
      </c>
      <c r="BE128" s="342">
        <f>IFERROR(__xludf.DUMMYFUNCTION("""COMPUTED_VALUE"""),0.89)</f>
        <v>0.89</v>
      </c>
      <c r="BF128" s="296" t="str">
        <f>IFERROR(__xludf.DUMMYFUNCTION("""COMPUTED_VALUE"""),"#REF!")</f>
        <v>#REF!</v>
      </c>
      <c r="BG128" s="296" t="str">
        <f>IFERROR(__xludf.DUMMYFUNCTION("""COMPUTED_VALUE"""),"#REF!")</f>
        <v>#REF!</v>
      </c>
      <c r="BH128" s="296" t="str">
        <f>IFERROR(__xludf.DUMMYFUNCTION("""COMPUTED_VALUE"""),"#REF!")</f>
        <v>#REF!</v>
      </c>
      <c r="BI128" s="295">
        <f>IFERROR(__xludf.DUMMYFUNCTION("""COMPUTED_VALUE"""),177.0)</f>
        <v>177</v>
      </c>
      <c r="BJ128" s="295" t="str">
        <f>IFERROR(__xludf.DUMMYFUNCTION("""COMPUTED_VALUE"""),"FALSE")</f>
        <v>FALSE</v>
      </c>
      <c r="BK128" s="346">
        <f>IFERROR(__xludf.DUMMYFUNCTION("""COMPUTED_VALUE"""),2453.0)</f>
        <v>2453</v>
      </c>
      <c r="BL128" s="292" t="str">
        <f>IFERROR(__xludf.DUMMYFUNCTION("""COMPUTED_VALUE"""),"US")</f>
        <v>US</v>
      </c>
      <c r="BM128" s="292" t="str">
        <f>IFERROR(__xludf.DUMMYFUNCTION("""COMPUTED_VALUE"""),"Kokos- och limekyckling ")</f>
        <v>Kokos- och limekyckling </v>
      </c>
      <c r="BN128" s="292"/>
      <c r="BO128" s="292"/>
      <c r="BP128" s="292"/>
      <c r="BQ128" s="292" t="str">
        <f>IFERROR(__xludf.DUMMYFUNCTION("""COMPUTED_VALUE"""),"Graveyard")</f>
        <v>Graveyard</v>
      </c>
      <c r="BR128" s="292" t="b">
        <f>IFERROR(__xludf.DUMMYFUNCTION("""COMPUTED_VALUE"""),FALSE)</f>
        <v>0</v>
      </c>
      <c r="BS128" s="292" t="b">
        <f>IFERROR(__xludf.DUMMYFUNCTION("""COMPUTED_VALUE"""),FALSE)</f>
        <v>0</v>
      </c>
      <c r="BT128" s="345">
        <f>IFERROR(__xludf.DUMMYFUNCTION("""COMPUTED_VALUE"""),600.0)</f>
        <v>600</v>
      </c>
      <c r="BU128" s="345">
        <f>IFERROR(__xludf.DUMMYFUNCTION("""COMPUTED_VALUE"""),144.6)</f>
        <v>144.6</v>
      </c>
      <c r="BV128" s="344">
        <f>IFERROR(__xludf.DUMMYFUNCTION("""COMPUTED_VALUE"""),11.1)</f>
        <v>11.1</v>
      </c>
      <c r="BW128" s="344">
        <f>IFERROR(__xludf.DUMMYFUNCTION("""COMPUTED_VALUE"""),6.0)</f>
        <v>6</v>
      </c>
    </row>
    <row r="129">
      <c r="A129" s="292" t="str">
        <f>IFERROR(__xludf.DUMMYFUNCTION("""COMPUTED_VALUE"""),"FE4048A")</f>
        <v>FE4048A</v>
      </c>
      <c r="B129" s="292" t="str">
        <f>IFERROR(__xludf.DUMMYFUNCTION("""COMPUTED_VALUE"""),"CON-40-143735-4")</f>
        <v>CON-40-143735-4</v>
      </c>
      <c r="C129" s="292" t="str">
        <f>IFERROR(__xludf.DUMMYFUNCTION("""COMPUTED_VALUE"""),"CON-00-147902-2")</f>
        <v>CON-00-147902-2</v>
      </c>
      <c r="D129" s="292" t="str">
        <f>IFERROR(__xludf.DUMMYFUNCTION("""COMPUTED_VALUE"""),"CON-00-138006-2")</f>
        <v>CON-00-138006-2</v>
      </c>
      <c r="E129" s="292" t="str">
        <f>IFERROR(__xludf.DUMMYFUNCTION("""COMPUTED_VALUE"""),"Creamy leek pork tenderloin")</f>
        <v>Creamy leek pork tenderloin</v>
      </c>
      <c r="F129" s="292" t="str">
        <f>IFERROR(__xludf.DUMMYFUNCTION("""COMPUTED_VALUE"""),"with sweet potato puree and green beans ")</f>
        <v>with sweet potato puree and green beans </v>
      </c>
      <c r="G129" s="292" t="str">
        <f>IFERROR(__xludf.DUMMYFUNCTION("""COMPUTED_VALUE"""),"Varkenshaas &amp; romige prei ")</f>
        <v>Varkenshaas &amp; romige prei </v>
      </c>
      <c r="H129" s="292" t="str">
        <f>IFERROR(__xludf.DUMMYFUNCTION("""COMPUTED_VALUE"""),"met zoete aardappelpuree en sperziebonen ")</f>
        <v>met zoete aardappelpuree en sperziebonen </v>
      </c>
      <c r="I129" s="292" t="str">
        <f>IFERROR(__xludf.DUMMYFUNCTION("""COMPUTED_VALUE"""),"Svinemørbrad med cremet porre")</f>
        <v>Svinemørbrad med cremet porre</v>
      </c>
      <c r="J129" s="292" t="str">
        <f>IFERROR(__xludf.DUMMYFUNCTION("""COMPUTED_VALUE"""),"Schweinefilet in Lauchcreme ")</f>
        <v>Schweinefilet in Lauchcreme </v>
      </c>
      <c r="K129" s="292">
        <f>IFERROR(__xludf.DUMMYFUNCTION("""COMPUTED_VALUE"""),565123.0)</f>
        <v>565123</v>
      </c>
      <c r="L129" s="292"/>
      <c r="M129" s="292" t="str">
        <f>IFERROR(__xludf.DUMMYFUNCTION("""COMPUTED_VALUE"""),"FA-NL Varkenshaas &amp; romige prei (FE4048)")</f>
        <v>FA-NL Varkenshaas &amp; romige prei (FE4048)</v>
      </c>
      <c r="N129" s="292" t="str">
        <f>IFERROR(__xludf.DUMMYFUNCTION("""COMPUTED_VALUE"""),"FA-NO Svinemørbrad med cremet porre (FE4048)")</f>
        <v>FA-NO Svinemørbrad med cremet porre (FE4048)</v>
      </c>
      <c r="O129" s="292" t="str">
        <f>IFERROR(__xludf.DUMMYFUNCTION("""COMPUTED_VALUE"""),"FA-DE Schweinefilet in Lauchcreme (FE4048)")</f>
        <v>FA-DE Schweinefilet in Lauchcreme (FE4048)</v>
      </c>
      <c r="P129" s="292" t="str">
        <f>IFERROR(__xludf.DUMMYFUNCTION("""COMPUTED_VALUE"""),"Graveyard")</f>
        <v>Graveyard</v>
      </c>
      <c r="Q129" s="292"/>
      <c r="R129" s="342">
        <f>IFERROR(__xludf.DUMMYFUNCTION("""COMPUTED_VALUE"""),4.71)</f>
        <v>4.71</v>
      </c>
      <c r="S129" s="292"/>
      <c r="T129" s="292"/>
      <c r="U129" s="292"/>
      <c r="V129" s="292"/>
      <c r="W129" s="292" t="b">
        <f>IFERROR(__xludf.DUMMYFUNCTION("""COMPUTED_VALUE"""),FALSE)</f>
        <v>0</v>
      </c>
      <c r="X129" s="345">
        <f>IFERROR(__xludf.DUMMYFUNCTION("""COMPUTED_VALUE"""),419.0)</f>
        <v>419</v>
      </c>
      <c r="Y129" s="344">
        <f>IFERROR(__xludf.DUMMYFUNCTION("""COMPUTED_VALUE"""),550.0)</f>
        <v>550</v>
      </c>
      <c r="Z129" s="343">
        <f>IFERROR(__xludf.DUMMYFUNCTION("""COMPUTED_VALUE"""),30.0)</f>
        <v>30</v>
      </c>
      <c r="AA129" s="344">
        <f>IFERROR(__xludf.DUMMYFUNCTION("""COMPUTED_VALUE"""),7.3)</f>
        <v>7.3</v>
      </c>
      <c r="AB129" s="344">
        <f>IFERROR(__xludf.DUMMYFUNCTION("""COMPUTED_VALUE"""),33.5)</f>
        <v>33.5</v>
      </c>
      <c r="AC129" s="344">
        <f>IFERROR(__xludf.DUMMYFUNCTION("""COMPUTED_VALUE"""),14.3)</f>
        <v>14.3</v>
      </c>
      <c r="AD129" s="344">
        <f>IFERROR(__xludf.DUMMYFUNCTION("""COMPUTED_VALUE"""),12.2)</f>
        <v>12.2</v>
      </c>
      <c r="AE129" s="343">
        <f>IFERROR(__xludf.DUMMYFUNCTION("""COMPUTED_VALUE"""),30.7)</f>
        <v>30.7</v>
      </c>
      <c r="AF129" s="343">
        <f>IFERROR(__xludf.DUMMYFUNCTION("""COMPUTED_VALUE"""),1.97)</f>
        <v>1.97</v>
      </c>
      <c r="AG129" s="292" t="b">
        <f>IFERROR(__xludf.DUMMYFUNCTION("""COMPUTED_VALUE"""),FALSE)</f>
        <v>0</v>
      </c>
      <c r="AH129" s="292" t="b">
        <f>IFERROR(__xludf.DUMMYFUNCTION("""COMPUTED_VALUE"""),FALSE)</f>
        <v>0</v>
      </c>
      <c r="AI129" s="292" t="b">
        <f>IFERROR(__xludf.DUMMYFUNCTION("""COMPUTED_VALUE"""),TRUE)</f>
        <v>1</v>
      </c>
      <c r="AJ129" s="292" t="b">
        <f>IFERROR(__xludf.DUMMYFUNCTION("""COMPUTED_VALUE"""),FALSE)</f>
        <v>0</v>
      </c>
      <c r="AK129" s="292" t="b">
        <f>IFERROR(__xludf.DUMMYFUNCTION("""COMPUTED_VALUE"""),FALSE)</f>
        <v>0</v>
      </c>
      <c r="AL129" s="292" t="b">
        <f>IFERROR(__xludf.DUMMYFUNCTION("""COMPUTED_VALUE"""),FALSE)</f>
        <v>0</v>
      </c>
      <c r="AM129" s="292" t="b">
        <f>IFERROR(__xludf.DUMMYFUNCTION("""COMPUTED_VALUE"""),TRUE)</f>
        <v>1</v>
      </c>
      <c r="AN129" s="292" t="b">
        <f>IFERROR(__xludf.DUMMYFUNCTION("""COMPUTED_VALUE"""),FALSE)</f>
        <v>0</v>
      </c>
      <c r="AO129" s="292" t="str">
        <f>IFERROR(__xludf.DUMMYFUNCTION("""COMPUTED_VALUE"""),"TRUE")</f>
        <v>TRUE</v>
      </c>
      <c r="AP129" s="292" t="str">
        <f>IFERROR(__xludf.DUMMYFUNCTION("""COMPUTED_VALUE"""),"Pork tenderloin")</f>
        <v>Pork tenderloin</v>
      </c>
      <c r="AQ129" s="292" t="str">
        <f>IFERROR(__xludf.DUMMYFUNCTION("""COMPUTED_VALUE"""),"Pork")</f>
        <v>Pork</v>
      </c>
      <c r="AR129" s="292" t="str">
        <f>IFERROR(__xludf.DUMMYFUNCTION("""COMPUTED_VALUE"""),"Tenderloin")</f>
        <v>Tenderloin</v>
      </c>
      <c r="AS129" s="292" t="str">
        <f>IFERROR(__xludf.DUMMYFUNCTION("""COMPUTED_VALUE"""),"Sweet Potato Mash")</f>
        <v>Sweet Potato Mash</v>
      </c>
      <c r="AT129" s="292" t="str">
        <f>IFERROR(__xludf.DUMMYFUNCTION("""COMPUTED_VALUE"""),"Creamy Leeks")</f>
        <v>Creamy Leeks</v>
      </c>
      <c r="AU129" s="292" t="str">
        <f>IFERROR(__xludf.DUMMYFUNCTION("""COMPUTED_VALUE"""),"Green Beans")</f>
        <v>Green Beans</v>
      </c>
      <c r="AV129" s="292"/>
      <c r="AW129" s="292" t="str">
        <f>IFERROR(__xludf.DUMMYFUNCTION("""COMPUTED_VALUE"""),"Year Round")</f>
        <v>Year Round</v>
      </c>
      <c r="AX129" s="292" t="str">
        <f>IFERROR(__xludf.DUMMYFUNCTION("""COMPUTED_VALUE"""),"American")</f>
        <v>American</v>
      </c>
      <c r="AY129" s="292"/>
      <c r="AZ129" s="292" t="str">
        <f>IFERROR(__xludf.DUMMYFUNCTION("""COMPUTED_VALUE"""),"2 CT")</f>
        <v>2 CT</v>
      </c>
      <c r="BA129" s="292" t="b">
        <f>IFERROR(__xludf.DUMMYFUNCTION("""COMPUTED_VALUE"""),FALSE)</f>
        <v>0</v>
      </c>
      <c r="BB129" s="342">
        <f>IFERROR(__xludf.DUMMYFUNCTION("""COMPUTED_VALUE"""),2.34)</f>
        <v>2.34</v>
      </c>
      <c r="BC129" s="342">
        <f>IFERROR(__xludf.DUMMYFUNCTION("""COMPUTED_VALUE"""),1.12)</f>
        <v>1.12</v>
      </c>
      <c r="BD129" s="342">
        <f>IFERROR(__xludf.DUMMYFUNCTION("""COMPUTED_VALUE"""),0.36)</f>
        <v>0.36</v>
      </c>
      <c r="BE129" s="342">
        <f>IFERROR(__xludf.DUMMYFUNCTION("""COMPUTED_VALUE"""),0.89)</f>
        <v>0.89</v>
      </c>
      <c r="BF129" s="296">
        <f>IFERROR(__xludf.DUMMYFUNCTION("""COMPUTED_VALUE"""),3.203333333333333)</f>
        <v>3.203333333</v>
      </c>
      <c r="BG129" s="296">
        <f>IFERROR(__xludf.DUMMYFUNCTION("""COMPUTED_VALUE"""),3.016666666666667)</f>
        <v>3.016666667</v>
      </c>
      <c r="BH129" s="296">
        <f>IFERROR(__xludf.DUMMYFUNCTION("""COMPUTED_VALUE"""),3.14)</f>
        <v>3.14</v>
      </c>
      <c r="BI129" s="295">
        <f>IFERROR(__xludf.DUMMYFUNCTION("""COMPUTED_VALUE"""),193.0)</f>
        <v>193</v>
      </c>
      <c r="BJ129" s="295" t="str">
        <f>IFERROR(__xludf.DUMMYFUNCTION("""COMPUTED_VALUE"""),"FALSE")</f>
        <v>FALSE</v>
      </c>
      <c r="BK129" s="346">
        <f>IFERROR(__xludf.DUMMYFUNCTION("""COMPUTED_VALUE"""),2295.0)</f>
        <v>2295</v>
      </c>
      <c r="BL129" s="292" t="str">
        <f>IFERROR(__xludf.DUMMYFUNCTION("""COMPUTED_VALUE"""),"Frankenstein")</f>
        <v>Frankenstein</v>
      </c>
      <c r="BM129" s="292" t="str">
        <f>IFERROR(__xludf.DUMMYFUNCTION("""COMPUTED_VALUE"""),"Fläskfilé med krämig purjolök")</f>
        <v>Fläskfilé med krämig purjolök</v>
      </c>
      <c r="BN129" s="343">
        <f>IFERROR(__xludf.DUMMYFUNCTION("""COMPUTED_VALUE"""),3.403333333333333)</f>
        <v>3.403333333</v>
      </c>
      <c r="BO129" s="343">
        <f>IFERROR(__xludf.DUMMYFUNCTION("""COMPUTED_VALUE"""),3.0533333333333332)</f>
        <v>3.053333333</v>
      </c>
      <c r="BP129" s="292"/>
      <c r="BQ129" s="292" t="str">
        <f>IFERROR(__xludf.DUMMYFUNCTION("""COMPUTED_VALUE"""),"Active")</f>
        <v>Active</v>
      </c>
      <c r="BR129" s="292" t="b">
        <f>IFERROR(__xludf.DUMMYFUNCTION("""COMPUTED_VALUE"""),FALSE)</f>
        <v>0</v>
      </c>
      <c r="BS129" s="292" t="b">
        <f>IFERROR(__xludf.DUMMYFUNCTION("""COMPUTED_VALUE"""),FALSE)</f>
        <v>0</v>
      </c>
      <c r="BT129" s="345">
        <f>IFERROR(__xludf.DUMMYFUNCTION("""COMPUTED_VALUE"""),548.0)</f>
        <v>548</v>
      </c>
      <c r="BU129" s="345">
        <f>IFERROR(__xludf.DUMMYFUNCTION("""COMPUTED_VALUE"""),131.3)</f>
        <v>131.3</v>
      </c>
      <c r="BV129" s="344">
        <f>IFERROR(__xludf.DUMMYFUNCTION("""COMPUTED_VALUE"""),7.0)</f>
        <v>7</v>
      </c>
      <c r="BW129" s="344">
        <f>IFERROR(__xludf.DUMMYFUNCTION("""COMPUTED_VALUE"""),1.7)</f>
        <v>1.7</v>
      </c>
    </row>
    <row r="130">
      <c r="A130" s="292" t="str">
        <f>IFERROR(__xludf.DUMMYFUNCTION("""COMPUTED_VALUE"""),"FE4049A")</f>
        <v>FE4049A</v>
      </c>
      <c r="B130" s="292" t="str">
        <f>IFERROR(__xludf.DUMMYFUNCTION("""COMPUTED_VALUE"""),"CON-40-143719-4")</f>
        <v>CON-40-143719-4</v>
      </c>
      <c r="C130" s="292" t="str">
        <f>IFERROR(__xludf.DUMMYFUNCTION("""COMPUTED_VALUE"""),"CON-00-147901-2")</f>
        <v>CON-00-147901-2</v>
      </c>
      <c r="D130" s="292" t="str">
        <f>IFERROR(__xludf.DUMMYFUNCTION("""COMPUTED_VALUE"""),"CON-00-138152-2")</f>
        <v>CON-00-138152-2</v>
      </c>
      <c r="E130" s="292" t="str">
        <f>IFERROR(__xludf.DUMMYFUNCTION("""COMPUTED_VALUE"""),"Red chile pulled pork")</f>
        <v>Red chile pulled pork</v>
      </c>
      <c r="F130" s="292" t="str">
        <f>IFERROR(__xludf.DUMMYFUNCTION("""COMPUTED_VALUE"""),"with corncake, bell pepper and courgette")</f>
        <v>with corncake, bell pepper and courgette</v>
      </c>
      <c r="G130" s="292" t="str">
        <f>IFERROR(__xludf.DUMMYFUNCTION("""COMPUTED_VALUE"""),"Rode chili &amp; pulled pork ")</f>
        <v>Rode chili &amp; pulled pork </v>
      </c>
      <c r="H130" s="292" t="str">
        <f>IFERROR(__xludf.DUMMYFUNCTION("""COMPUTED_VALUE"""),"met maiscake, paprika en courgette")</f>
        <v>met maiscake, paprika en courgette</v>
      </c>
      <c r="I130" s="292" t="str">
        <f>IFERROR(__xludf.DUMMYFUNCTION("""COMPUTED_VALUE"""),"Pulled pork i rød chilisauce")</f>
        <v>Pulled pork i rød chilisauce</v>
      </c>
      <c r="J130" s="292" t="str">
        <f>IFERROR(__xludf.DUMMYFUNCTION("""COMPUTED_VALUE"""),"Pulled Pork-Chilli-Bowl")</f>
        <v>Pulled Pork-Chilli-Bowl</v>
      </c>
      <c r="K130" s="292">
        <f>IFERROR(__xludf.DUMMYFUNCTION("""COMPUTED_VALUE"""),565130.0)</f>
        <v>565130</v>
      </c>
      <c r="L130" s="292"/>
      <c r="M130" s="292" t="str">
        <f>IFERROR(__xludf.DUMMYFUNCTION("""COMPUTED_VALUE"""),"FA-NL Rode chili &amp; pulled pork (FE40490")</f>
        <v>FA-NL Rode chili &amp; pulled pork (FE40490</v>
      </c>
      <c r="N130" s="292" t="str">
        <f>IFERROR(__xludf.DUMMYFUNCTION("""COMPUTED_VALUE"""),"FA-NO Pulled pork i rød chilisauce (FE4049)")</f>
        <v>FA-NO Pulled pork i rød chilisauce (FE4049)</v>
      </c>
      <c r="O130" s="292" t="str">
        <f>IFERROR(__xludf.DUMMYFUNCTION("""COMPUTED_VALUE"""),"FA-DE Pulled Pork-Chilli-Bow (FE4049)")</f>
        <v>FA-DE Pulled Pork-Chilli-Bow (FE4049)</v>
      </c>
      <c r="P130" s="292" t="str">
        <f>IFERROR(__xludf.DUMMYFUNCTION("""COMPUTED_VALUE"""),"Graveyard")</f>
        <v>Graveyard</v>
      </c>
      <c r="Q130" s="292"/>
      <c r="R130" s="342">
        <f>IFERROR(__xludf.DUMMYFUNCTION("""COMPUTED_VALUE"""),4.68)</f>
        <v>4.68</v>
      </c>
      <c r="S130" s="292"/>
      <c r="T130" s="292"/>
      <c r="U130" s="292"/>
      <c r="V130" s="292"/>
      <c r="W130" s="292" t="b">
        <f>IFERROR(__xludf.DUMMYFUNCTION("""COMPUTED_VALUE"""),FALSE)</f>
        <v>0</v>
      </c>
      <c r="X130" s="345">
        <f>IFERROR(__xludf.DUMMYFUNCTION("""COMPUTED_VALUE"""),484.0)</f>
        <v>484</v>
      </c>
      <c r="Y130" s="344">
        <f>IFERROR(__xludf.DUMMYFUNCTION("""COMPUTED_VALUE"""),612.0)</f>
        <v>612</v>
      </c>
      <c r="Z130" s="343">
        <f>IFERROR(__xludf.DUMMYFUNCTION("""COMPUTED_VALUE"""),26.9)</f>
        <v>26.9</v>
      </c>
      <c r="AA130" s="344">
        <f>IFERROR(__xludf.DUMMYFUNCTION("""COMPUTED_VALUE"""),9.7)</f>
        <v>9.7</v>
      </c>
      <c r="AB130" s="344">
        <f>IFERROR(__xludf.DUMMYFUNCTION("""COMPUTED_VALUE"""),52.8)</f>
        <v>52.8</v>
      </c>
      <c r="AC130" s="344">
        <f>IFERROR(__xludf.DUMMYFUNCTION("""COMPUTED_VALUE"""),17.8)</f>
        <v>17.8</v>
      </c>
      <c r="AD130" s="344">
        <f>IFERROR(__xludf.DUMMYFUNCTION("""COMPUTED_VALUE"""),13.9)</f>
        <v>13.9</v>
      </c>
      <c r="AE130" s="343">
        <f>IFERROR(__xludf.DUMMYFUNCTION("""COMPUTED_VALUE"""),31.5)</f>
        <v>31.5</v>
      </c>
      <c r="AF130" s="343">
        <f>IFERROR(__xludf.DUMMYFUNCTION("""COMPUTED_VALUE"""),2.03)</f>
        <v>2.03</v>
      </c>
      <c r="AG130" s="292" t="b">
        <f>IFERROR(__xludf.DUMMYFUNCTION("""COMPUTED_VALUE"""),TRUE)</f>
        <v>1</v>
      </c>
      <c r="AH130" s="292" t="b">
        <f>IFERROR(__xludf.DUMMYFUNCTION("""COMPUTED_VALUE"""),FALSE)</f>
        <v>0</v>
      </c>
      <c r="AI130" s="292" t="b">
        <f>IFERROR(__xludf.DUMMYFUNCTION("""COMPUTED_VALUE"""),FALSE)</f>
        <v>0</v>
      </c>
      <c r="AJ130" s="292" t="b">
        <f>IFERROR(__xludf.DUMMYFUNCTION("""COMPUTED_VALUE"""),FALSE)</f>
        <v>0</v>
      </c>
      <c r="AK130" s="292" t="b">
        <f>IFERROR(__xludf.DUMMYFUNCTION("""COMPUTED_VALUE"""),FALSE)</f>
        <v>0</v>
      </c>
      <c r="AL130" s="292" t="b">
        <f>IFERROR(__xludf.DUMMYFUNCTION("""COMPUTED_VALUE"""),FALSE)</f>
        <v>0</v>
      </c>
      <c r="AM130" s="292" t="b">
        <f>IFERROR(__xludf.DUMMYFUNCTION("""COMPUTED_VALUE"""),TRUE)</f>
        <v>1</v>
      </c>
      <c r="AN130" s="292" t="b">
        <f>IFERROR(__xludf.DUMMYFUNCTION("""COMPUTED_VALUE"""),FALSE)</f>
        <v>0</v>
      </c>
      <c r="AO130" s="292" t="str">
        <f>IFERROR(__xludf.DUMMYFUNCTION("""COMPUTED_VALUE"""),"TRUE")</f>
        <v>TRUE</v>
      </c>
      <c r="AP130" s="292" t="str">
        <f>IFERROR(__xludf.DUMMYFUNCTION("""COMPUTED_VALUE"""),"Shredded pork")</f>
        <v>Shredded pork</v>
      </c>
      <c r="AQ130" s="292" t="str">
        <f>IFERROR(__xludf.DUMMYFUNCTION("""COMPUTED_VALUE"""),"Pork")</f>
        <v>Pork</v>
      </c>
      <c r="AR130" s="292" t="str">
        <f>IFERROR(__xludf.DUMMYFUNCTION("""COMPUTED_VALUE"""),"Shredded")</f>
        <v>Shredded</v>
      </c>
      <c r="AS130" s="292" t="str">
        <f>IFERROR(__xludf.DUMMYFUNCTION("""COMPUTED_VALUE"""),"Veggie-based Cake")</f>
        <v>Veggie-based Cake</v>
      </c>
      <c r="AT130" s="292" t="str">
        <f>IFERROR(__xludf.DUMMYFUNCTION("""COMPUTED_VALUE"""),"Mixed Beans")</f>
        <v>Mixed Beans</v>
      </c>
      <c r="AU130" s="292" t="str">
        <f>IFERROR(__xludf.DUMMYFUNCTION("""COMPUTED_VALUE"""),"Corn Kernels")</f>
        <v>Corn Kernels</v>
      </c>
      <c r="AV130" s="292" t="str">
        <f>IFERROR(__xludf.DUMMYFUNCTION("""COMPUTED_VALUE"""),"Zucchini Diced")</f>
        <v>Zucchini Diced</v>
      </c>
      <c r="AW130" s="292" t="str">
        <f>IFERROR(__xludf.DUMMYFUNCTION("""COMPUTED_VALUE"""),"Year Round")</f>
        <v>Year Round</v>
      </c>
      <c r="AX130" s="292" t="str">
        <f>IFERROR(__xludf.DUMMYFUNCTION("""COMPUTED_VALUE"""),"Mexican")</f>
        <v>Mexican</v>
      </c>
      <c r="AY130" s="292"/>
      <c r="AZ130" s="292" t="str">
        <f>IFERROR(__xludf.DUMMYFUNCTION("""COMPUTED_VALUE"""),"2 CT")</f>
        <v>2 CT</v>
      </c>
      <c r="BA130" s="292" t="b">
        <f>IFERROR(__xludf.DUMMYFUNCTION("""COMPUTED_VALUE"""),FALSE)</f>
        <v>0</v>
      </c>
      <c r="BB130" s="342">
        <f>IFERROR(__xludf.DUMMYFUNCTION("""COMPUTED_VALUE"""),2.31)</f>
        <v>2.31</v>
      </c>
      <c r="BC130" s="342">
        <f>IFERROR(__xludf.DUMMYFUNCTION("""COMPUTED_VALUE"""),1.12)</f>
        <v>1.12</v>
      </c>
      <c r="BD130" s="342">
        <f>IFERROR(__xludf.DUMMYFUNCTION("""COMPUTED_VALUE"""),0.36)</f>
        <v>0.36</v>
      </c>
      <c r="BE130" s="342">
        <f>IFERROR(__xludf.DUMMYFUNCTION("""COMPUTED_VALUE"""),0.89)</f>
        <v>0.89</v>
      </c>
      <c r="BF130" s="296" t="str">
        <f>IFERROR(__xludf.DUMMYFUNCTION("""COMPUTED_VALUE"""),"#REF!")</f>
        <v>#REF!</v>
      </c>
      <c r="BG130" s="296" t="str">
        <f>IFERROR(__xludf.DUMMYFUNCTION("""COMPUTED_VALUE"""),"#REF!")</f>
        <v>#REF!</v>
      </c>
      <c r="BH130" s="296" t="str">
        <f>IFERROR(__xludf.DUMMYFUNCTION("""COMPUTED_VALUE"""),"#REF!")</f>
        <v>#REF!</v>
      </c>
      <c r="BI130" s="295">
        <f>IFERROR(__xludf.DUMMYFUNCTION("""COMPUTED_VALUE"""),252.0)</f>
        <v>252</v>
      </c>
      <c r="BJ130" s="295" t="str">
        <f>IFERROR(__xludf.DUMMYFUNCTION("""COMPUTED_VALUE"""),"FALSE")</f>
        <v>FALSE</v>
      </c>
      <c r="BK130" s="346">
        <f>IFERROR(__xludf.DUMMYFUNCTION("""COMPUTED_VALUE"""),2559.0)</f>
        <v>2559</v>
      </c>
      <c r="BL130" s="292" t="str">
        <f>IFERROR(__xludf.DUMMYFUNCTION("""COMPUTED_VALUE"""),"Frankenstein")</f>
        <v>Frankenstein</v>
      </c>
      <c r="BM130" s="292" t="str">
        <f>IFERROR(__xludf.DUMMYFUNCTION("""COMPUTED_VALUE"""),"Pulled pork i chilisås")</f>
        <v>Pulled pork i chilisås</v>
      </c>
      <c r="BN130" s="292"/>
      <c r="BO130" s="292"/>
      <c r="BP130" s="292"/>
      <c r="BQ130" s="292" t="str">
        <f>IFERROR(__xludf.DUMMYFUNCTION("""COMPUTED_VALUE"""),"Graveyard")</f>
        <v>Graveyard</v>
      </c>
      <c r="BR130" s="292" t="b">
        <f>IFERROR(__xludf.DUMMYFUNCTION("""COMPUTED_VALUE"""),FALSE)</f>
        <v>0</v>
      </c>
      <c r="BS130" s="292" t="b">
        <f>IFERROR(__xludf.DUMMYFUNCTION("""COMPUTED_VALUE"""),FALSE)</f>
        <v>0</v>
      </c>
      <c r="BT130" s="345">
        <f>IFERROR(__xludf.DUMMYFUNCTION("""COMPUTED_VALUE"""),529.0)</f>
        <v>529</v>
      </c>
      <c r="BU130" s="345">
        <f>IFERROR(__xludf.DUMMYFUNCTION("""COMPUTED_VALUE"""),126.4)</f>
        <v>126.4</v>
      </c>
      <c r="BV130" s="344">
        <f>IFERROR(__xludf.DUMMYFUNCTION("""COMPUTED_VALUE"""),5.5)</f>
        <v>5.5</v>
      </c>
      <c r="BW130" s="344">
        <f>IFERROR(__xludf.DUMMYFUNCTION("""COMPUTED_VALUE"""),2.0)</f>
        <v>2</v>
      </c>
    </row>
    <row r="131">
      <c r="A131" s="292" t="str">
        <f>IFERROR(__xludf.DUMMYFUNCTION("""COMPUTED_VALUE"""),"FE4050A")</f>
        <v>FE4050A</v>
      </c>
      <c r="B131" s="292" t="str">
        <f>IFERROR(__xludf.DUMMYFUNCTION("""COMPUTED_VALUE"""),"CON-40-143723-4")</f>
        <v>CON-40-143723-4</v>
      </c>
      <c r="C131" s="292" t="str">
        <f>IFERROR(__xludf.DUMMYFUNCTION("""COMPUTED_VALUE"""),"CON-00-147903-2")</f>
        <v>CON-00-147903-2</v>
      </c>
      <c r="D131" s="292" t="str">
        <f>IFERROR(__xludf.DUMMYFUNCTION("""COMPUTED_VALUE"""),"CON-00-137312-2")</f>
        <v>CON-00-137312-2</v>
      </c>
      <c r="E131" s="292" t="str">
        <f>IFERROR(__xludf.DUMMYFUNCTION("""COMPUTED_VALUE"""),"Beef &amp; black bean bowl")</f>
        <v>Beef &amp; black bean bowl</v>
      </c>
      <c r="F131" s="292" t="str">
        <f>IFERROR(__xludf.DUMMYFUNCTION("""COMPUTED_VALUE"""),"with coriander, rice and corn")</f>
        <v>with coriander, rice and corn</v>
      </c>
      <c r="G131" s="292" t="str">
        <f>IFERROR(__xludf.DUMMYFUNCTION("""COMPUTED_VALUE"""),"Rundergehakt &amp; zwarte bonen bowl")</f>
        <v>Rundergehakt &amp; zwarte bonen bowl</v>
      </c>
      <c r="H131" s="292" t="str">
        <f>IFERROR(__xludf.DUMMYFUNCTION("""COMPUTED_VALUE"""),"met koriander, rijst en maïs")</f>
        <v>met koriander, rijst en maïs</v>
      </c>
      <c r="I131" s="292" t="str">
        <f>IFERROR(__xludf.DUMMYFUNCTION("""COMPUTED_VALUE"""),"Bowl med oksekød og sorte bønner")</f>
        <v>Bowl med oksekød og sorte bønner</v>
      </c>
      <c r="J131" s="292" t="str">
        <f>IFERROR(__xludf.DUMMYFUNCTION("""COMPUTED_VALUE"""),"Rindfleisch-Bohnen-Bowl")</f>
        <v>Rindfleisch-Bohnen-Bowl</v>
      </c>
      <c r="K131" s="292">
        <f>IFERROR(__xludf.DUMMYFUNCTION("""COMPUTED_VALUE"""),565125.0)</f>
        <v>565125</v>
      </c>
      <c r="L131" s="292" t="str">
        <f>IFERROR(__xludf.DUMMYFUNCTION("""COMPUTED_VALUE"""),"HF Gehakt en zwarte bonen bowl")</f>
        <v>HF Gehakt en zwarte bonen bowl</v>
      </c>
      <c r="M131" s="292" t="str">
        <f>IFERROR(__xludf.DUMMYFUNCTION("""COMPUTED_VALUE"""),"FA-NL Rundergehakt &amp; zwarte bonen bowl (FE4050)")</f>
        <v>FA-NL Rundergehakt &amp; zwarte bonen bowl (FE4050)</v>
      </c>
      <c r="N131" s="292" t="str">
        <f>IFERROR(__xludf.DUMMYFUNCTION("""COMPUTED_VALUE"""),"FA-NO Bowl med oksekød og sorte bønner (FE4050)")</f>
        <v>FA-NO Bowl med oksekød og sorte bønner (FE4050)</v>
      </c>
      <c r="O131" s="292" t="str">
        <f>IFERROR(__xludf.DUMMYFUNCTION("""COMPUTED_VALUE"""),"FA-DE Rindfleisch &amp; Schwarze Bohnen Bowl (FE4050)")</f>
        <v>FA-DE Rindfleisch &amp; Schwarze Bohnen Bowl (FE4050)</v>
      </c>
      <c r="P131" s="292" t="str">
        <f>IFERROR(__xludf.DUMMYFUNCTION("""COMPUTED_VALUE"""),"Active")</f>
        <v>Active</v>
      </c>
      <c r="Q131" s="292"/>
      <c r="R131" s="342">
        <f>IFERROR(__xludf.DUMMYFUNCTION("""COMPUTED_VALUE"""),4.49)</f>
        <v>4.49</v>
      </c>
      <c r="S131" s="292"/>
      <c r="T131" s="292"/>
      <c r="U131" s="292"/>
      <c r="V131" s="292"/>
      <c r="W131" s="292" t="b">
        <f>IFERROR(__xludf.DUMMYFUNCTION("""COMPUTED_VALUE"""),TRUE)</f>
        <v>1</v>
      </c>
      <c r="X131" s="345">
        <f>IFERROR(__xludf.DUMMYFUNCTION("""COMPUTED_VALUE"""),434.0)</f>
        <v>434</v>
      </c>
      <c r="Y131" s="344">
        <f>IFERROR(__xludf.DUMMYFUNCTION("""COMPUTED_VALUE"""),528.0)</f>
        <v>528</v>
      </c>
      <c r="Z131" s="343">
        <f>IFERROR(__xludf.DUMMYFUNCTION("""COMPUTED_VALUE"""),19.0)</f>
        <v>19</v>
      </c>
      <c r="AA131" s="344">
        <f>IFERROR(__xludf.DUMMYFUNCTION("""COMPUTED_VALUE"""),5.5)</f>
        <v>5.5</v>
      </c>
      <c r="AB131" s="344">
        <f>IFERROR(__xludf.DUMMYFUNCTION("""COMPUTED_VALUE"""),58.9)</f>
        <v>58.9</v>
      </c>
      <c r="AC131" s="344">
        <f>IFERROR(__xludf.DUMMYFUNCTION("""COMPUTED_VALUE"""),12.8)</f>
        <v>12.8</v>
      </c>
      <c r="AD131" s="344">
        <f>IFERROR(__xludf.DUMMYFUNCTION("""COMPUTED_VALUE"""),12.3)</f>
        <v>12.3</v>
      </c>
      <c r="AE131" s="343">
        <f>IFERROR(__xludf.DUMMYFUNCTION("""COMPUTED_VALUE"""),24.4)</f>
        <v>24.4</v>
      </c>
      <c r="AF131" s="343">
        <f>IFERROR(__xludf.DUMMYFUNCTION("""COMPUTED_VALUE"""),2.01)</f>
        <v>2.01</v>
      </c>
      <c r="AG131" s="292" t="b">
        <f>IFERROR(__xludf.DUMMYFUNCTION("""COMPUTED_VALUE"""),TRUE)</f>
        <v>1</v>
      </c>
      <c r="AH131" s="292" t="b">
        <f>IFERROR(__xludf.DUMMYFUNCTION("""COMPUTED_VALUE"""),FALSE)</f>
        <v>0</v>
      </c>
      <c r="AI131" s="292" t="b">
        <f>IFERROR(__xludf.DUMMYFUNCTION("""COMPUTED_VALUE"""),TRUE)</f>
        <v>1</v>
      </c>
      <c r="AJ131" s="292" t="b">
        <f>IFERROR(__xludf.DUMMYFUNCTION("""COMPUTED_VALUE"""),FALSE)</f>
        <v>0</v>
      </c>
      <c r="AK131" s="292" t="b">
        <f>IFERROR(__xludf.DUMMYFUNCTION("""COMPUTED_VALUE"""),FALSE)</f>
        <v>0</v>
      </c>
      <c r="AL131" s="292" t="b">
        <f>IFERROR(__xludf.DUMMYFUNCTION("""COMPUTED_VALUE"""),FALSE)</f>
        <v>0</v>
      </c>
      <c r="AM131" s="292" t="b">
        <f>IFERROR(__xludf.DUMMYFUNCTION("""COMPUTED_VALUE"""),FALSE)</f>
        <v>0</v>
      </c>
      <c r="AN131" s="292" t="b">
        <f>IFERROR(__xludf.DUMMYFUNCTION("""COMPUTED_VALUE"""),TRUE)</f>
        <v>1</v>
      </c>
      <c r="AO131" s="292" t="str">
        <f>IFERROR(__xludf.DUMMYFUNCTION("""COMPUTED_VALUE"""),"TRUE")</f>
        <v>TRUE</v>
      </c>
      <c r="AP131" s="292" t="str">
        <f>IFERROR(__xludf.DUMMYFUNCTION("""COMPUTED_VALUE"""),"Ground beef")</f>
        <v>Ground beef</v>
      </c>
      <c r="AQ131" s="292" t="str">
        <f>IFERROR(__xludf.DUMMYFUNCTION("""COMPUTED_VALUE"""),"Beef")</f>
        <v>Beef</v>
      </c>
      <c r="AR131" s="292" t="str">
        <f>IFERROR(__xludf.DUMMYFUNCTION("""COMPUTED_VALUE"""),"Ground")</f>
        <v>Ground</v>
      </c>
      <c r="AS131" s="292" t="str">
        <f>IFERROR(__xludf.DUMMYFUNCTION("""COMPUTED_VALUE"""),"Rice")</f>
        <v>Rice</v>
      </c>
      <c r="AT131" s="292" t="str">
        <f>IFERROR(__xludf.DUMMYFUNCTION("""COMPUTED_VALUE"""),"Corn Kernels")</f>
        <v>Corn Kernels</v>
      </c>
      <c r="AU131" s="292" t="str">
        <f>IFERROR(__xludf.DUMMYFUNCTION("""COMPUTED_VALUE"""),"Mixed Beans")</f>
        <v>Mixed Beans</v>
      </c>
      <c r="AV131" s="292"/>
      <c r="AW131" s="292" t="str">
        <f>IFERROR(__xludf.DUMMYFUNCTION("""COMPUTED_VALUE"""),"Year Round")</f>
        <v>Year Round</v>
      </c>
      <c r="AX131" s="292" t="str">
        <f>IFERROR(__xludf.DUMMYFUNCTION("""COMPUTED_VALUE"""),"Mexican")</f>
        <v>Mexican</v>
      </c>
      <c r="AY131" s="292"/>
      <c r="AZ131" s="292" t="str">
        <f>IFERROR(__xludf.DUMMYFUNCTION("""COMPUTED_VALUE"""),"2 CT")</f>
        <v>2 CT</v>
      </c>
      <c r="BA131" s="292" t="b">
        <f>IFERROR(__xludf.DUMMYFUNCTION("""COMPUTED_VALUE"""),FALSE)</f>
        <v>0</v>
      </c>
      <c r="BB131" s="342">
        <f>IFERROR(__xludf.DUMMYFUNCTION("""COMPUTED_VALUE"""),2.12)</f>
        <v>2.12</v>
      </c>
      <c r="BC131" s="342">
        <f>IFERROR(__xludf.DUMMYFUNCTION("""COMPUTED_VALUE"""),1.12)</f>
        <v>1.12</v>
      </c>
      <c r="BD131" s="342">
        <f>IFERROR(__xludf.DUMMYFUNCTION("""COMPUTED_VALUE"""),0.36)</f>
        <v>0.36</v>
      </c>
      <c r="BE131" s="342">
        <f>IFERROR(__xludf.DUMMYFUNCTION("""COMPUTED_VALUE"""),0.89)</f>
        <v>0.89</v>
      </c>
      <c r="BF131" s="296">
        <f>IFERROR(__xludf.DUMMYFUNCTION("""COMPUTED_VALUE"""),3.300906819151732)</f>
        <v>3.300906819</v>
      </c>
      <c r="BG131" s="296">
        <f>IFERROR(__xludf.DUMMYFUNCTION("""COMPUTED_VALUE"""),3.2186277612478986)</f>
        <v>3.218627761</v>
      </c>
      <c r="BH131" s="296">
        <f>IFERROR(__xludf.DUMMYFUNCTION("""COMPUTED_VALUE"""),3.1507403251253367)</f>
        <v>3.150740325</v>
      </c>
      <c r="BI131" s="295">
        <f>IFERROR(__xludf.DUMMYFUNCTION("""COMPUTED_VALUE"""),178.0)</f>
        <v>178</v>
      </c>
      <c r="BJ131" s="295" t="str">
        <f>IFERROR(__xludf.DUMMYFUNCTION("""COMPUTED_VALUE"""),"FALSE")</f>
        <v>FALSE</v>
      </c>
      <c r="BK131" s="346">
        <f>IFERROR(__xludf.DUMMYFUNCTION("""COMPUTED_VALUE"""),2216.0)</f>
        <v>2216</v>
      </c>
      <c r="BL131" s="292" t="str">
        <f>IFERROR(__xludf.DUMMYFUNCTION("""COMPUTED_VALUE"""),"Frankenstein")</f>
        <v>Frankenstein</v>
      </c>
      <c r="BM131" s="292" t="str">
        <f>IFERROR(__xludf.DUMMYFUNCTION("""COMPUTED_VALUE"""),"Bowl med nötkött och svarta bönor ")</f>
        <v>Bowl med nötkött och svarta bönor </v>
      </c>
      <c r="BN131" s="343">
        <f>IFERROR(__xludf.DUMMYFUNCTION("""COMPUTED_VALUE"""),3.334017595307918)</f>
        <v>3.334017595</v>
      </c>
      <c r="BO131" s="343">
        <f>IFERROR(__xludf.DUMMYFUNCTION("""COMPUTED_VALUE"""),3.404511278195489)</f>
        <v>3.404511278</v>
      </c>
      <c r="BP131" s="292"/>
      <c r="BQ131" s="292" t="str">
        <f>IFERROR(__xludf.DUMMYFUNCTION("""COMPUTED_VALUE"""),"Active")</f>
        <v>Active</v>
      </c>
      <c r="BR131" s="292" t="b">
        <f>IFERROR(__xludf.DUMMYFUNCTION("""COMPUTED_VALUE"""),FALSE)</f>
        <v>0</v>
      </c>
      <c r="BS131" s="292" t="b">
        <f>IFERROR(__xludf.DUMMYFUNCTION("""COMPUTED_VALUE"""),FALSE)</f>
        <v>0</v>
      </c>
      <c r="BT131" s="345">
        <f>IFERROR(__xludf.DUMMYFUNCTION("""COMPUTED_VALUE"""),510.0)</f>
        <v>510</v>
      </c>
      <c r="BU131" s="345">
        <f>IFERROR(__xludf.DUMMYFUNCTION("""COMPUTED_VALUE"""),121.9)</f>
        <v>121.9</v>
      </c>
      <c r="BV131" s="344">
        <f>IFERROR(__xludf.DUMMYFUNCTION("""COMPUTED_VALUE"""),4.5)</f>
        <v>4.5</v>
      </c>
      <c r="BW131" s="344">
        <f>IFERROR(__xludf.DUMMYFUNCTION("""COMPUTED_VALUE"""),1.3)</f>
        <v>1.3</v>
      </c>
    </row>
    <row r="132">
      <c r="A132" s="292" t="str">
        <f>IFERROR(__xludf.DUMMYFUNCTION("""COMPUTED_VALUE"""),"FE4051A")</f>
        <v>FE4051A</v>
      </c>
      <c r="B132" s="292" t="str">
        <f>IFERROR(__xludf.DUMMYFUNCTION("""COMPUTED_VALUE"""),"CON-40-143692-4")</f>
        <v>CON-40-143692-4</v>
      </c>
      <c r="C132" s="292" t="str">
        <f>IFERROR(__xludf.DUMMYFUNCTION("""COMPUTED_VALUE"""),"CON-00-151283-2")</f>
        <v>CON-00-151283-2</v>
      </c>
      <c r="D132" s="292" t="str">
        <f>IFERROR(__xludf.DUMMYFUNCTION("""COMPUTED_VALUE"""),"CON-00-137456-2")</f>
        <v>CON-00-137456-2</v>
      </c>
      <c r="E132" s="292" t="str">
        <f>IFERROR(__xludf.DUMMYFUNCTION("""COMPUTED_VALUE"""),"Tomato-mozzarella chicken")</f>
        <v>Tomato-mozzarella chicken</v>
      </c>
      <c r="F132" s="292" t="str">
        <f>IFERROR(__xludf.DUMMYFUNCTION("""COMPUTED_VALUE"""),"with courgette spaghetti and green beans ")</f>
        <v>with courgette spaghetti and green beans </v>
      </c>
      <c r="G132" s="292" t="str">
        <f>IFERROR(__xludf.DUMMYFUNCTION("""COMPUTED_VALUE"""),"Kipfilet tomaat-mozzarella")</f>
        <v>Kipfilet tomaat-mozzarella</v>
      </c>
      <c r="H132" s="292" t="str">
        <f>IFERROR(__xludf.DUMMYFUNCTION("""COMPUTED_VALUE"""),"met courgettespaghetti en sperziebonen")</f>
        <v>met courgettespaghetti en sperziebonen</v>
      </c>
      <c r="I132" s="292" t="str">
        <f>IFERROR(__xludf.DUMMYFUNCTION("""COMPUTED_VALUE"""),"Tomat- og mozzarella kylling")</f>
        <v>Tomat- og mozzarella kylling</v>
      </c>
      <c r="J132" s="292" t="str">
        <f>IFERROR(__xludf.DUMMYFUNCTION("""COMPUTED_VALUE"""),"Tomate-Mozzarella-Hähnchen")</f>
        <v>Tomate-Mozzarella-Hähnchen</v>
      </c>
      <c r="K132" s="292">
        <f>IFERROR(__xludf.DUMMYFUNCTION("""COMPUTED_VALUE"""),565126.0)</f>
        <v>565126</v>
      </c>
      <c r="L132" s="292" t="str">
        <f>IFERROR(__xludf.DUMMYFUNCTION("""COMPUTED_VALUE"""),"HF Kip tomatensaus mozzarella")</f>
        <v>HF Kip tomatensaus mozzarella</v>
      </c>
      <c r="M132" s="292" t="str">
        <f>IFERROR(__xludf.DUMMYFUNCTION("""COMPUTED_VALUE"""),"FA-NL Kipfilet tomaat-mozzarella (FE4051)")</f>
        <v>FA-NL Kipfilet tomaat-mozzarella (FE4051)</v>
      </c>
      <c r="N132" s="292" t="str">
        <f>IFERROR(__xludf.DUMMYFUNCTION("""COMPUTED_VALUE"""),"FA-NO Tomat- og mozzarella kylling (FE4051)")</f>
        <v>FA-NO Tomat- og mozzarella kylling (FE4051)</v>
      </c>
      <c r="O132" s="292" t="str">
        <f>IFERROR(__xludf.DUMMYFUNCTION("""COMPUTED_VALUE"""),"FA-DE Tomate-Mozzarella-Hähnchen (FE4051)")</f>
        <v>FA-DE Tomate-Mozzarella-Hähnchen (FE4051)</v>
      </c>
      <c r="P132" s="292" t="str">
        <f>IFERROR(__xludf.DUMMYFUNCTION("""COMPUTED_VALUE"""),"Active")</f>
        <v>Active</v>
      </c>
      <c r="Q132" s="292"/>
      <c r="R132" s="342">
        <f>IFERROR(__xludf.DUMMYFUNCTION("""COMPUTED_VALUE"""),5.21)</f>
        <v>5.21</v>
      </c>
      <c r="S132" s="292"/>
      <c r="T132" s="292"/>
      <c r="U132" s="292"/>
      <c r="V132" s="292"/>
      <c r="W132" s="292" t="b">
        <f>IFERROR(__xludf.DUMMYFUNCTION("""COMPUTED_VALUE"""),TRUE)</f>
        <v>1</v>
      </c>
      <c r="X132" s="345">
        <f>IFERROR(__xludf.DUMMYFUNCTION("""COMPUTED_VALUE"""),426.0)</f>
        <v>426</v>
      </c>
      <c r="Y132" s="344">
        <f>IFERROR(__xludf.DUMMYFUNCTION("""COMPUTED_VALUE"""),567.0)</f>
        <v>567</v>
      </c>
      <c r="Z132" s="343">
        <f>IFERROR(__xludf.DUMMYFUNCTION("""COMPUTED_VALUE"""),38.0)</f>
        <v>38</v>
      </c>
      <c r="AA132" s="344">
        <f>IFERROR(__xludf.DUMMYFUNCTION("""COMPUTED_VALUE"""),13.5)</f>
        <v>13.5</v>
      </c>
      <c r="AB132" s="344">
        <f>IFERROR(__xludf.DUMMYFUNCTION("""COMPUTED_VALUE"""),14.1)</f>
        <v>14.1</v>
      </c>
      <c r="AC132" s="344">
        <f>IFERROR(__xludf.DUMMYFUNCTION("""COMPUTED_VALUE"""),9.9)</f>
        <v>9.9</v>
      </c>
      <c r="AD132" s="344">
        <f>IFERROR(__xludf.DUMMYFUNCTION("""COMPUTED_VALUE"""),8.6)</f>
        <v>8.6</v>
      </c>
      <c r="AE132" s="343">
        <f>IFERROR(__xludf.DUMMYFUNCTION("""COMPUTED_VALUE"""),36.4)</f>
        <v>36.4</v>
      </c>
      <c r="AF132" s="343">
        <f>IFERROR(__xludf.DUMMYFUNCTION("""COMPUTED_VALUE"""),2.04)</f>
        <v>2.04</v>
      </c>
      <c r="AG132" s="292" t="b">
        <f>IFERROR(__xludf.DUMMYFUNCTION("""COMPUTED_VALUE"""),FALSE)</f>
        <v>0</v>
      </c>
      <c r="AH132" s="292" t="b">
        <f>IFERROR(__xludf.DUMMYFUNCTION("""COMPUTED_VALUE"""),TRUE)</f>
        <v>1</v>
      </c>
      <c r="AI132" s="292" t="b">
        <f>IFERROR(__xludf.DUMMYFUNCTION("""COMPUTED_VALUE"""),FALSE)</f>
        <v>0</v>
      </c>
      <c r="AJ132" s="292" t="b">
        <f>IFERROR(__xludf.DUMMYFUNCTION("""COMPUTED_VALUE"""),FALSE)</f>
        <v>0</v>
      </c>
      <c r="AK132" s="292" t="b">
        <f>IFERROR(__xludf.DUMMYFUNCTION("""COMPUTED_VALUE"""),FALSE)</f>
        <v>0</v>
      </c>
      <c r="AL132" s="292" t="b">
        <f>IFERROR(__xludf.DUMMYFUNCTION("""COMPUTED_VALUE"""),FALSE)</f>
        <v>0</v>
      </c>
      <c r="AM132" s="292" t="b">
        <f>IFERROR(__xludf.DUMMYFUNCTION("""COMPUTED_VALUE"""),TRUE)</f>
        <v>1</v>
      </c>
      <c r="AN132" s="292" t="b">
        <f>IFERROR(__xludf.DUMMYFUNCTION("""COMPUTED_VALUE"""),FALSE)</f>
        <v>0</v>
      </c>
      <c r="AO132" s="292" t="str">
        <f>IFERROR(__xludf.DUMMYFUNCTION("""COMPUTED_VALUE"""),"FALSE")</f>
        <v>FALSE</v>
      </c>
      <c r="AP132" s="292" t="str">
        <f>IFERROR(__xludf.DUMMYFUNCTION("""COMPUTED_VALUE"""),"Chicken breast")</f>
        <v>Chicken breast</v>
      </c>
      <c r="AQ132" s="292" t="str">
        <f>IFERROR(__xludf.DUMMYFUNCTION("""COMPUTED_VALUE"""),"Chicken")</f>
        <v>Chicken</v>
      </c>
      <c r="AR132" s="292" t="str">
        <f>IFERROR(__xludf.DUMMYFUNCTION("""COMPUTED_VALUE"""),"Breast")</f>
        <v>Breast</v>
      </c>
      <c r="AS132" s="292" t="str">
        <f>IFERROR(__xludf.DUMMYFUNCTION("""COMPUTED_VALUE"""),"Zucchini Noodles")</f>
        <v>Zucchini Noodles</v>
      </c>
      <c r="AT132" s="292" t="str">
        <f>IFERROR(__xludf.DUMMYFUNCTION("""COMPUTED_VALUE"""),"Green Beans")</f>
        <v>Green Beans</v>
      </c>
      <c r="AU132" s="292" t="str">
        <f>IFERROR(__xludf.DUMMYFUNCTION("""COMPUTED_VALUE"""),"Tomato Based Sauce")</f>
        <v>Tomato Based Sauce</v>
      </c>
      <c r="AV132" s="292" t="str">
        <f>IFERROR(__xludf.DUMMYFUNCTION("""COMPUTED_VALUE"""),"Cheese")</f>
        <v>Cheese</v>
      </c>
      <c r="AW132" s="292" t="str">
        <f>IFERROR(__xludf.DUMMYFUNCTION("""COMPUTED_VALUE"""),"Year Round")</f>
        <v>Year Round</v>
      </c>
      <c r="AX132" s="292" t="str">
        <f>IFERROR(__xludf.DUMMYFUNCTION("""COMPUTED_VALUE"""),"Italian")</f>
        <v>Italian</v>
      </c>
      <c r="AY132" s="292"/>
      <c r="AZ132" s="292" t="str">
        <f>IFERROR(__xludf.DUMMYFUNCTION("""COMPUTED_VALUE"""),"2 CT")</f>
        <v>2 CT</v>
      </c>
      <c r="BA132" s="292" t="b">
        <f>IFERROR(__xludf.DUMMYFUNCTION("""COMPUTED_VALUE"""),FALSE)</f>
        <v>0</v>
      </c>
      <c r="BB132" s="342">
        <f>IFERROR(__xludf.DUMMYFUNCTION("""COMPUTED_VALUE"""),2.84)</f>
        <v>2.84</v>
      </c>
      <c r="BC132" s="342">
        <f>IFERROR(__xludf.DUMMYFUNCTION("""COMPUTED_VALUE"""),1.12)</f>
        <v>1.12</v>
      </c>
      <c r="BD132" s="342">
        <f>IFERROR(__xludf.DUMMYFUNCTION("""COMPUTED_VALUE"""),0.36)</f>
        <v>0.36</v>
      </c>
      <c r="BE132" s="342">
        <f>IFERROR(__xludf.DUMMYFUNCTION("""COMPUTED_VALUE"""),0.89)</f>
        <v>0.89</v>
      </c>
      <c r="BF132" s="296">
        <f>IFERROR(__xludf.DUMMYFUNCTION("""COMPUTED_VALUE"""),3.043823529411765)</f>
        <v>3.043823529</v>
      </c>
      <c r="BG132" s="296">
        <f>IFERROR(__xludf.DUMMYFUNCTION("""COMPUTED_VALUE"""),3.1319444444444446)</f>
        <v>3.131944444</v>
      </c>
      <c r="BH132" s="296">
        <f>IFERROR(__xludf.DUMMYFUNCTION("""COMPUTED_VALUE"""),3.1185185185185187)</f>
        <v>3.118518519</v>
      </c>
      <c r="BI132" s="295">
        <f>IFERROR(__xludf.DUMMYFUNCTION("""COMPUTED_VALUE"""),234.0)</f>
        <v>234</v>
      </c>
      <c r="BJ132" s="295" t="str">
        <f>IFERROR(__xludf.DUMMYFUNCTION("""COMPUTED_VALUE"""),"FALSE")</f>
        <v>FALSE</v>
      </c>
      <c r="BK132" s="346">
        <f>IFERROR(__xludf.DUMMYFUNCTION("""COMPUTED_VALUE"""),2360.0)</f>
        <v>2360</v>
      </c>
      <c r="BL132" s="292" t="str">
        <f>IFERROR(__xludf.DUMMYFUNCTION("""COMPUTED_VALUE"""),"Frankenstein")</f>
        <v>Frankenstein</v>
      </c>
      <c r="BM132" s="292" t="str">
        <f>IFERROR(__xludf.DUMMYFUNCTION("""COMPUTED_VALUE"""),"Tomat- och mozzarellakyckling ")</f>
        <v>Tomat- och mozzarellakyckling </v>
      </c>
      <c r="BN132" s="343">
        <f>IFERROR(__xludf.DUMMYFUNCTION("""COMPUTED_VALUE"""),3.3214285714285716)</f>
        <v>3.321428571</v>
      </c>
      <c r="BO132" s="343">
        <f>IFERROR(__xludf.DUMMYFUNCTION("""COMPUTED_VALUE"""),2.8333333333333335)</f>
        <v>2.833333333</v>
      </c>
      <c r="BP132" s="292"/>
      <c r="BQ132" s="292" t="str">
        <f>IFERROR(__xludf.DUMMYFUNCTION("""COMPUTED_VALUE"""),"Active")</f>
        <v>Active</v>
      </c>
      <c r="BR132" s="292" t="b">
        <f>IFERROR(__xludf.DUMMYFUNCTION("""COMPUTED_VALUE"""),FALSE)</f>
        <v>0</v>
      </c>
      <c r="BS132" s="292" t="b">
        <f>IFERROR(__xludf.DUMMYFUNCTION("""COMPUTED_VALUE"""),FALSE)</f>
        <v>0</v>
      </c>
      <c r="BT132" s="345">
        <f>IFERROR(__xludf.DUMMYFUNCTION("""COMPUTED_VALUE"""),554.0)</f>
        <v>554</v>
      </c>
      <c r="BU132" s="345">
        <f>IFERROR(__xludf.DUMMYFUNCTION("""COMPUTED_VALUE"""),133.2)</f>
        <v>133.2</v>
      </c>
      <c r="BV132" s="344">
        <f>IFERROR(__xludf.DUMMYFUNCTION("""COMPUTED_VALUE"""),9.0)</f>
        <v>9</v>
      </c>
      <c r="BW132" s="344">
        <f>IFERROR(__xludf.DUMMYFUNCTION("""COMPUTED_VALUE"""),3.2)</f>
        <v>3.2</v>
      </c>
    </row>
    <row r="133">
      <c r="A133" s="292" t="str">
        <f>IFERROR(__xludf.DUMMYFUNCTION("""COMPUTED_VALUE"""),"FE4053A")</f>
        <v>FE4053A</v>
      </c>
      <c r="B133" s="292" t="str">
        <f>IFERROR(__xludf.DUMMYFUNCTION("""COMPUTED_VALUE"""),"CON-40-143666-4")</f>
        <v>CON-40-143666-4</v>
      </c>
      <c r="C133" s="292" t="str">
        <f>IFERROR(__xludf.DUMMYFUNCTION("""COMPUTED_VALUE"""),"CON-00-147904-2")</f>
        <v>CON-00-147904-2</v>
      </c>
      <c r="D133" s="292" t="str">
        <f>IFERROR(__xludf.DUMMYFUNCTION("""COMPUTED_VALUE"""),"CON-00-137559-2")</f>
        <v>CON-00-137559-2</v>
      </c>
      <c r="E133" s="292" t="str">
        <f>IFERROR(__xludf.DUMMYFUNCTION("""COMPUTED_VALUE"""),"Gochugaru Chicken")</f>
        <v>Gochugaru Chicken</v>
      </c>
      <c r="F133" s="292" t="str">
        <f>IFERROR(__xludf.DUMMYFUNCTION("""COMPUTED_VALUE"""),"with chili-tomato cream sauce and spicy cauliflower")</f>
        <v>with chili-tomato cream sauce and spicy cauliflower</v>
      </c>
      <c r="G133" s="292" t="str">
        <f>IFERROR(__xludf.DUMMYFUNCTION("""COMPUTED_VALUE"""),"Gochugaru kipblokjes")</f>
        <v>Gochugaru kipblokjes</v>
      </c>
      <c r="H133" s="292" t="str">
        <f>IFERROR(__xludf.DUMMYFUNCTION("""COMPUTED_VALUE"""),"met een romige chili-tomatensaus en pittige bloemkool")</f>
        <v>met een romige chili-tomatensaus en pittige bloemkool</v>
      </c>
      <c r="I133" s="292" t="str">
        <f>IFERROR(__xludf.DUMMYFUNCTION("""COMPUTED_VALUE"""),"Gochugaru-kylling")</f>
        <v>Gochugaru-kylling</v>
      </c>
      <c r="J133" s="292" t="str">
        <f>IFERROR(__xludf.DUMMYFUNCTION("""COMPUTED_VALUE"""),"Gochugaru-Hähnchen")</f>
        <v>Gochugaru-Hähnchen</v>
      </c>
      <c r="K133" s="292">
        <f>IFERROR(__xludf.DUMMYFUNCTION("""COMPUTED_VALUE"""),565131.0)</f>
        <v>565131</v>
      </c>
      <c r="L133" s="292"/>
      <c r="M133" s="292" t="str">
        <f>IFERROR(__xludf.DUMMYFUNCTION("""COMPUTED_VALUE"""),"FA-NL Gochugaru kipblokjes (FE4053)")</f>
        <v>FA-NL Gochugaru kipblokjes (FE4053)</v>
      </c>
      <c r="N133" s="292" t="str">
        <f>IFERROR(__xludf.DUMMYFUNCTION("""COMPUTED_VALUE"""),"FA-NO Gochugaru-kylling (FE4053)")</f>
        <v>FA-NO Gochugaru-kylling (FE4053)</v>
      </c>
      <c r="O133" s="292" t="str">
        <f>IFERROR(__xludf.DUMMYFUNCTION("""COMPUTED_VALUE"""),"FA-DE Gochugaru-Hähnchen (FE4053)")</f>
        <v>FA-DE Gochugaru-Hähnchen (FE4053)</v>
      </c>
      <c r="P133" s="292" t="str">
        <f>IFERROR(__xludf.DUMMYFUNCTION("""COMPUTED_VALUE"""),"Graveyard")</f>
        <v>Graveyard</v>
      </c>
      <c r="Q133" s="292" t="str">
        <f>IFERROR(__xludf.DUMMYFUNCTION("""COMPUTED_VALUE"""),"New version B")</f>
        <v>New version B</v>
      </c>
      <c r="R133" s="342">
        <f>IFERROR(__xludf.DUMMYFUNCTION("""COMPUTED_VALUE"""),5.26)</f>
        <v>5.26</v>
      </c>
      <c r="S133" s="292"/>
      <c r="T133" s="292"/>
      <c r="U133" s="292"/>
      <c r="V133" s="292"/>
      <c r="W133" s="292" t="b">
        <f>IFERROR(__xludf.DUMMYFUNCTION("""COMPUTED_VALUE"""),TRUE)</f>
        <v>1</v>
      </c>
      <c r="X133" s="345">
        <f>IFERROR(__xludf.DUMMYFUNCTION("""COMPUTED_VALUE"""),384.0)</f>
        <v>384</v>
      </c>
      <c r="Y133" s="344">
        <f>IFERROR(__xludf.DUMMYFUNCTION("""COMPUTED_VALUE"""),542.0)</f>
        <v>542</v>
      </c>
      <c r="Z133" s="343">
        <f>IFERROR(__xludf.DUMMYFUNCTION("""COMPUTED_VALUE"""),36.5)</f>
        <v>36.5</v>
      </c>
      <c r="AA133" s="344">
        <f>IFERROR(__xludf.DUMMYFUNCTION("""COMPUTED_VALUE"""),18.8)</f>
        <v>18.8</v>
      </c>
      <c r="AB133" s="344">
        <f>IFERROR(__xludf.DUMMYFUNCTION("""COMPUTED_VALUE"""),11.8)</f>
        <v>11.8</v>
      </c>
      <c r="AC133" s="344">
        <f>IFERROR(__xludf.DUMMYFUNCTION("""COMPUTED_VALUE"""),8.1)</f>
        <v>8.1</v>
      </c>
      <c r="AD133" s="344">
        <f>IFERROR(__xludf.DUMMYFUNCTION("""COMPUTED_VALUE"""),4.3)</f>
        <v>4.3</v>
      </c>
      <c r="AE133" s="343">
        <f>IFERROR(__xludf.DUMMYFUNCTION("""COMPUTED_VALUE"""),39.3)</f>
        <v>39.3</v>
      </c>
      <c r="AF133" s="343">
        <f>IFERROR(__xludf.DUMMYFUNCTION("""COMPUTED_VALUE"""),2.04)</f>
        <v>2.04</v>
      </c>
      <c r="AG133" s="292" t="b">
        <f>IFERROR(__xludf.DUMMYFUNCTION("""COMPUTED_VALUE"""),TRUE)</f>
        <v>1</v>
      </c>
      <c r="AH133" s="292" t="b">
        <f>IFERROR(__xludf.DUMMYFUNCTION("""COMPUTED_VALUE"""),TRUE)</f>
        <v>1</v>
      </c>
      <c r="AI133" s="292" t="b">
        <f>IFERROR(__xludf.DUMMYFUNCTION("""COMPUTED_VALUE"""),FALSE)</f>
        <v>0</v>
      </c>
      <c r="AJ133" s="292" t="b">
        <f>IFERROR(__xludf.DUMMYFUNCTION("""COMPUTED_VALUE"""),FALSE)</f>
        <v>0</v>
      </c>
      <c r="AK133" s="292" t="b">
        <f>IFERROR(__xludf.DUMMYFUNCTION("""COMPUTED_VALUE"""),FALSE)</f>
        <v>0</v>
      </c>
      <c r="AL133" s="292" t="b">
        <f>IFERROR(__xludf.DUMMYFUNCTION("""COMPUTED_VALUE"""),FALSE)</f>
        <v>0</v>
      </c>
      <c r="AM133" s="292" t="b">
        <f>IFERROR(__xludf.DUMMYFUNCTION("""COMPUTED_VALUE"""),TRUE)</f>
        <v>1</v>
      </c>
      <c r="AN133" s="292" t="str">
        <f>IFERROR(__xludf.DUMMYFUNCTION("""COMPUTED_VALUE"""),"FLASE")</f>
        <v>FLASE</v>
      </c>
      <c r="AO133" s="292" t="str">
        <f>IFERROR(__xludf.DUMMYFUNCTION("""COMPUTED_VALUE"""),"FALSE")</f>
        <v>FALSE</v>
      </c>
      <c r="AP133" s="292" t="str">
        <f>IFERROR(__xludf.DUMMYFUNCTION("""COMPUTED_VALUE"""),"Diced chicken")</f>
        <v>Diced chicken</v>
      </c>
      <c r="AQ133" s="292" t="str">
        <f>IFERROR(__xludf.DUMMYFUNCTION("""COMPUTED_VALUE"""),"Chicken")</f>
        <v>Chicken</v>
      </c>
      <c r="AR133" s="292" t="str">
        <f>IFERROR(__xludf.DUMMYFUNCTION("""COMPUTED_VALUE"""),"Pieces")</f>
        <v>Pieces</v>
      </c>
      <c r="AS133" s="292" t="str">
        <f>IFERROR(__xludf.DUMMYFUNCTION("""COMPUTED_VALUE"""),"Creamy Sauce Base")</f>
        <v>Creamy Sauce Base</v>
      </c>
      <c r="AT133" s="292" t="str">
        <f>IFERROR(__xludf.DUMMYFUNCTION("""COMPUTED_VALUE"""),"Cauliflower Florets")</f>
        <v>Cauliflower Florets</v>
      </c>
      <c r="AU133" s="292" t="str">
        <f>IFERROR(__xludf.DUMMYFUNCTION("""COMPUTED_VALUE"""),"Green onion")</f>
        <v>Green onion</v>
      </c>
      <c r="AV133" s="292" t="str">
        <f>IFERROR(__xludf.DUMMYFUNCTION("""COMPUTED_VALUE"""),"Cheese")</f>
        <v>Cheese</v>
      </c>
      <c r="AW133" s="292" t="str">
        <f>IFERROR(__xludf.DUMMYFUNCTION("""COMPUTED_VALUE"""),"Year Round")</f>
        <v>Year Round</v>
      </c>
      <c r="AX133" s="292" t="str">
        <f>IFERROR(__xludf.DUMMYFUNCTION("""COMPUTED_VALUE"""),"Korean")</f>
        <v>Korean</v>
      </c>
      <c r="AY133" s="292"/>
      <c r="AZ133" s="292" t="str">
        <f>IFERROR(__xludf.DUMMYFUNCTION("""COMPUTED_VALUE"""),"2 CT")</f>
        <v>2 CT</v>
      </c>
      <c r="BA133" s="292" t="b">
        <f>IFERROR(__xludf.DUMMYFUNCTION("""COMPUTED_VALUE"""),FALSE)</f>
        <v>0</v>
      </c>
      <c r="BB133" s="342">
        <f>IFERROR(__xludf.DUMMYFUNCTION("""COMPUTED_VALUE"""),2.89)</f>
        <v>2.89</v>
      </c>
      <c r="BC133" s="342">
        <f>IFERROR(__xludf.DUMMYFUNCTION("""COMPUTED_VALUE"""),1.12)</f>
        <v>1.12</v>
      </c>
      <c r="BD133" s="342">
        <f>IFERROR(__xludf.DUMMYFUNCTION("""COMPUTED_VALUE"""),0.36)</f>
        <v>0.36</v>
      </c>
      <c r="BE133" s="342">
        <f>IFERROR(__xludf.DUMMYFUNCTION("""COMPUTED_VALUE"""),0.89)</f>
        <v>0.89</v>
      </c>
      <c r="BF133" s="296">
        <f>IFERROR(__xludf.DUMMYFUNCTION("""COMPUTED_VALUE"""),3.42)</f>
        <v>3.42</v>
      </c>
      <c r="BG133" s="296">
        <f>IFERROR(__xludf.DUMMYFUNCTION("""COMPUTED_VALUE"""),3.4500000000000006)</f>
        <v>3.45</v>
      </c>
      <c r="BH133" s="296">
        <f>IFERROR(__xludf.DUMMYFUNCTION("""COMPUTED_VALUE"""),3.3633333333333333)</f>
        <v>3.363333333</v>
      </c>
      <c r="BI133" s="295">
        <f>IFERROR(__xludf.DUMMYFUNCTION("""COMPUTED_VALUE"""),154.0)</f>
        <v>154</v>
      </c>
      <c r="BJ133" s="295" t="str">
        <f>IFERROR(__xludf.DUMMYFUNCTION("""COMPUTED_VALUE"""),"FALSE")</f>
        <v>FALSE</v>
      </c>
      <c r="BK133" s="346">
        <f>IFERROR(__xludf.DUMMYFUNCTION("""COMPUTED_VALUE"""),2258.0)</f>
        <v>2258</v>
      </c>
      <c r="BL133" s="292" t="str">
        <f>IFERROR(__xludf.DUMMYFUNCTION("""COMPUTED_VALUE"""),"Frankenstein")</f>
        <v>Frankenstein</v>
      </c>
      <c r="BM133" s="292" t="str">
        <f>IFERROR(__xludf.DUMMYFUNCTION("""COMPUTED_VALUE"""),"Gochugaru-kyckling ")</f>
        <v>Gochugaru-kyckling </v>
      </c>
      <c r="BN133" s="343">
        <f>IFERROR(__xludf.DUMMYFUNCTION("""COMPUTED_VALUE"""),3.4499999999999997)</f>
        <v>3.45</v>
      </c>
      <c r="BO133" s="343">
        <f>IFERROR(__xludf.DUMMYFUNCTION("""COMPUTED_VALUE"""),3.313333333333333)</f>
        <v>3.313333333</v>
      </c>
      <c r="BP133" s="292"/>
      <c r="BQ133" s="292" t="str">
        <f>IFERROR(__xludf.DUMMYFUNCTION("""COMPUTED_VALUE"""),"Proven")</f>
        <v>Proven</v>
      </c>
      <c r="BR133" s="292" t="b">
        <f>IFERROR(__xludf.DUMMYFUNCTION("""COMPUTED_VALUE"""),FALSE)</f>
        <v>0</v>
      </c>
      <c r="BS133" s="292" t="b">
        <f>IFERROR(__xludf.DUMMYFUNCTION("""COMPUTED_VALUE"""),FALSE)</f>
        <v>0</v>
      </c>
      <c r="BT133" s="345">
        <f>IFERROR(__xludf.DUMMYFUNCTION("""COMPUTED_VALUE"""),588.0)</f>
        <v>588</v>
      </c>
      <c r="BU133" s="345">
        <f>IFERROR(__xludf.DUMMYFUNCTION("""COMPUTED_VALUE"""),141.3)</f>
        <v>141.3</v>
      </c>
      <c r="BV133" s="344">
        <f>IFERROR(__xludf.DUMMYFUNCTION("""COMPUTED_VALUE"""),9.5)</f>
        <v>9.5</v>
      </c>
      <c r="BW133" s="344">
        <f>IFERROR(__xludf.DUMMYFUNCTION("""COMPUTED_VALUE"""),4.9)</f>
        <v>4.9</v>
      </c>
    </row>
    <row r="134">
      <c r="A134" s="292" t="str">
        <f>IFERROR(__xludf.DUMMYFUNCTION("""COMPUTED_VALUE"""),"FE4063A")</f>
        <v>FE4063A</v>
      </c>
      <c r="B134" s="292" t="str">
        <f>IFERROR(__xludf.DUMMYFUNCTION("""COMPUTED_VALUE"""),"CON-40-143712-4")</f>
        <v>CON-40-143712-4</v>
      </c>
      <c r="C134" s="292" t="str">
        <f>IFERROR(__xludf.DUMMYFUNCTION("""COMPUTED_VALUE"""),"CON-00-147906-2")</f>
        <v>CON-00-147906-2</v>
      </c>
      <c r="D134" s="292" t="str">
        <f>IFERROR(__xludf.DUMMYFUNCTION("""COMPUTED_VALUE"""),"CON-00-138996-2")</f>
        <v>CON-00-138996-2</v>
      </c>
      <c r="E134" s="292" t="str">
        <f>IFERROR(__xludf.DUMMYFUNCTION("""COMPUTED_VALUE"""),"Cheddar pulled beef")</f>
        <v>Cheddar pulled beef</v>
      </c>
      <c r="F134" s="292" t="str">
        <f>IFERROR(__xludf.DUMMYFUNCTION("""COMPUTED_VALUE"""),"with bell pepper and smokey cauliflower florets")</f>
        <v>with bell pepper and smokey cauliflower florets</v>
      </c>
      <c r="G134" s="292" t="str">
        <f>IFERROR(__xludf.DUMMYFUNCTION("""COMPUTED_VALUE"""),"Pulled beef met cheddar")</f>
        <v>Pulled beef met cheddar</v>
      </c>
      <c r="H134" s="292" t="str">
        <f>IFERROR(__xludf.DUMMYFUNCTION("""COMPUTED_VALUE"""),"met paprika en smokey bloemkoolroosjes")</f>
        <v>met paprika en smokey bloemkoolroosjes</v>
      </c>
      <c r="I134" s="292" t="str">
        <f>IFERROR(__xludf.DUMMYFUNCTION("""COMPUTED_VALUE"""),"Pulled beef med cheddar")</f>
        <v>Pulled beef med cheddar</v>
      </c>
      <c r="J134" s="292" t="str">
        <f>IFERROR(__xludf.DUMMYFUNCTION("""COMPUTED_VALUE"""),"Cheddar Pulled Beef")</f>
        <v>Cheddar Pulled Beef</v>
      </c>
      <c r="K134" s="292">
        <f>IFERROR(__xludf.DUMMYFUNCTION("""COMPUTED_VALUE"""),565136.0)</f>
        <v>565136</v>
      </c>
      <c r="L134" s="292"/>
      <c r="M134" s="292" t="str">
        <f>IFERROR(__xludf.DUMMYFUNCTION("""COMPUTED_VALUE"""),"FA-NL Pulled beef met cheddar (FE4063)")</f>
        <v>FA-NL Pulled beef met cheddar (FE4063)</v>
      </c>
      <c r="N134" s="292" t="str">
        <f>IFERROR(__xludf.DUMMYFUNCTION("""COMPUTED_VALUE"""),"FA-NO Pulled beef med cheddar (FE4063)")</f>
        <v>FA-NO Pulled beef med cheddar (FE4063)</v>
      </c>
      <c r="O134" s="292" t="str">
        <f>IFERROR(__xludf.DUMMYFUNCTION("""COMPUTED_VALUE"""),"FA-DE Cheddar Pulled Beef (FE4063)")</f>
        <v>FA-DE Cheddar Pulled Beef (FE4063)</v>
      </c>
      <c r="P134" s="292" t="str">
        <f>IFERROR(__xludf.DUMMYFUNCTION("""COMPUTED_VALUE"""),"Hold - Rework")</f>
        <v>Hold - Rework</v>
      </c>
      <c r="Q134" s="292"/>
      <c r="R134" s="342">
        <f>IFERROR(__xludf.DUMMYFUNCTION("""COMPUTED_VALUE"""),5.02)</f>
        <v>5.02</v>
      </c>
      <c r="S134" s="292"/>
      <c r="T134" s="292"/>
      <c r="U134" s="292"/>
      <c r="V134" s="292"/>
      <c r="W134" s="292" t="b">
        <f>IFERROR(__xludf.DUMMYFUNCTION("""COMPUTED_VALUE"""),TRUE)</f>
        <v>1</v>
      </c>
      <c r="X134" s="345">
        <f>IFERROR(__xludf.DUMMYFUNCTION("""COMPUTED_VALUE"""),384.0)</f>
        <v>384</v>
      </c>
      <c r="Y134" s="344">
        <f>IFERROR(__xludf.DUMMYFUNCTION("""COMPUTED_VALUE"""),677.0)</f>
        <v>677</v>
      </c>
      <c r="Z134" s="343">
        <f>IFERROR(__xludf.DUMMYFUNCTION("""COMPUTED_VALUE"""),46.4)</f>
        <v>46.4</v>
      </c>
      <c r="AA134" s="344">
        <f>IFERROR(__xludf.DUMMYFUNCTION("""COMPUTED_VALUE"""),23.5)</f>
        <v>23.5</v>
      </c>
      <c r="AB134" s="344">
        <f>IFERROR(__xludf.DUMMYFUNCTION("""COMPUTED_VALUE"""),16.0)</f>
        <v>16</v>
      </c>
      <c r="AC134" s="344">
        <f>IFERROR(__xludf.DUMMYFUNCTION("""COMPUTED_VALUE"""),11.0)</f>
        <v>11</v>
      </c>
      <c r="AD134" s="344">
        <f>IFERROR(__xludf.DUMMYFUNCTION("""COMPUTED_VALUE"""),5.0)</f>
        <v>5</v>
      </c>
      <c r="AE134" s="343">
        <f>IFERROR(__xludf.DUMMYFUNCTION("""COMPUTED_VALUE"""),46.4)</f>
        <v>46.4</v>
      </c>
      <c r="AF134" s="343">
        <f>IFERROR(__xludf.DUMMYFUNCTION("""COMPUTED_VALUE"""),2.0)</f>
        <v>2</v>
      </c>
      <c r="AG134" s="292" t="b">
        <f>IFERROR(__xludf.DUMMYFUNCTION("""COMPUTED_VALUE"""),FALSE)</f>
        <v>0</v>
      </c>
      <c r="AH134" s="292" t="b">
        <f>IFERROR(__xludf.DUMMYFUNCTION("""COMPUTED_VALUE"""),TRUE)</f>
        <v>1</v>
      </c>
      <c r="AI134" s="292" t="b">
        <f>IFERROR(__xludf.DUMMYFUNCTION("""COMPUTED_VALUE"""),FALSE)</f>
        <v>0</v>
      </c>
      <c r="AJ134" s="292" t="b">
        <f>IFERROR(__xludf.DUMMYFUNCTION("""COMPUTED_VALUE"""),FALSE)</f>
        <v>0</v>
      </c>
      <c r="AK134" s="292" t="b">
        <f>IFERROR(__xludf.DUMMYFUNCTION("""COMPUTED_VALUE"""),FALSE)</f>
        <v>0</v>
      </c>
      <c r="AL134" s="292" t="b">
        <f>IFERROR(__xludf.DUMMYFUNCTION("""COMPUTED_VALUE"""),FALSE)</f>
        <v>0</v>
      </c>
      <c r="AM134" s="292" t="b">
        <f>IFERROR(__xludf.DUMMYFUNCTION("""COMPUTED_VALUE"""),TRUE)</f>
        <v>1</v>
      </c>
      <c r="AN134" s="292" t="b">
        <f>IFERROR(__xludf.DUMMYFUNCTION("""COMPUTED_VALUE"""),FALSE)</f>
        <v>0</v>
      </c>
      <c r="AO134" s="292" t="str">
        <f>IFERROR(__xludf.DUMMYFUNCTION("""COMPUTED_VALUE"""),"FALSE")</f>
        <v>FALSE</v>
      </c>
      <c r="AP134" s="292" t="str">
        <f>IFERROR(__xludf.DUMMYFUNCTION("""COMPUTED_VALUE"""),"Shredded beef")</f>
        <v>Shredded beef</v>
      </c>
      <c r="AQ134" s="292" t="str">
        <f>IFERROR(__xludf.DUMMYFUNCTION("""COMPUTED_VALUE"""),"Beef")</f>
        <v>Beef</v>
      </c>
      <c r="AR134" s="292" t="str">
        <f>IFERROR(__xludf.DUMMYFUNCTION("""COMPUTED_VALUE"""),"Pulled")</f>
        <v>Pulled</v>
      </c>
      <c r="AS134" s="292" t="str">
        <f>IFERROR(__xludf.DUMMYFUNCTION("""COMPUTED_VALUE"""),"Cauliflower Florets")</f>
        <v>Cauliflower Florets</v>
      </c>
      <c r="AT134" s="292" t="str">
        <f>IFERROR(__xludf.DUMMYFUNCTION("""COMPUTED_VALUE"""),"Pepper Mix")</f>
        <v>Pepper Mix</v>
      </c>
      <c r="AU134" s="292" t="str">
        <f>IFERROR(__xludf.DUMMYFUNCTION("""COMPUTED_VALUE"""),"Cheese")</f>
        <v>Cheese</v>
      </c>
      <c r="AV134" s="292"/>
      <c r="AW134" s="292" t="str">
        <f>IFERROR(__xludf.DUMMYFUNCTION("""COMPUTED_VALUE"""),"Year Round")</f>
        <v>Year Round</v>
      </c>
      <c r="AX134" s="292" t="str">
        <f>IFERROR(__xludf.DUMMYFUNCTION("""COMPUTED_VALUE"""),"American")</f>
        <v>American</v>
      </c>
      <c r="AY134" s="292"/>
      <c r="AZ134" s="292" t="str">
        <f>IFERROR(__xludf.DUMMYFUNCTION("""COMPUTED_VALUE"""),"2 CT")</f>
        <v>2 CT</v>
      </c>
      <c r="BA134" s="292" t="b">
        <f>IFERROR(__xludf.DUMMYFUNCTION("""COMPUTED_VALUE"""),FALSE)</f>
        <v>0</v>
      </c>
      <c r="BB134" s="342">
        <f>IFERROR(__xludf.DUMMYFUNCTION("""COMPUTED_VALUE"""),2.65)</f>
        <v>2.65</v>
      </c>
      <c r="BC134" s="342">
        <f>IFERROR(__xludf.DUMMYFUNCTION("""COMPUTED_VALUE"""),1.12)</f>
        <v>1.12</v>
      </c>
      <c r="BD134" s="342">
        <f>IFERROR(__xludf.DUMMYFUNCTION("""COMPUTED_VALUE"""),0.36)</f>
        <v>0.36</v>
      </c>
      <c r="BE134" s="342">
        <f>IFERROR(__xludf.DUMMYFUNCTION("""COMPUTED_VALUE"""),0.89)</f>
        <v>0.89</v>
      </c>
      <c r="BF134" s="296">
        <f>IFERROR(__xludf.DUMMYFUNCTION("""COMPUTED_VALUE"""),3.3033333333333332)</f>
        <v>3.303333333</v>
      </c>
      <c r="BG134" s="296">
        <f>IFERROR(__xludf.DUMMYFUNCTION("""COMPUTED_VALUE"""),3.3333333333333335)</f>
        <v>3.333333333</v>
      </c>
      <c r="BH134" s="296">
        <f>IFERROR(__xludf.DUMMYFUNCTION("""COMPUTED_VALUE"""),3.2066666666666666)</f>
        <v>3.206666667</v>
      </c>
      <c r="BI134" s="295">
        <f>IFERROR(__xludf.DUMMYFUNCTION("""COMPUTED_VALUE"""),164.0)</f>
        <v>164</v>
      </c>
      <c r="BJ134" s="295" t="str">
        <f>IFERROR(__xludf.DUMMYFUNCTION("""COMPUTED_VALUE"""),"FALSE")</f>
        <v>FALSE</v>
      </c>
      <c r="BK134" s="346">
        <f>IFERROR(__xludf.DUMMYFUNCTION("""COMPUTED_VALUE"""),2834.0)</f>
        <v>2834</v>
      </c>
      <c r="BL134" s="292" t="str">
        <f>IFERROR(__xludf.DUMMYFUNCTION("""COMPUTED_VALUE"""),"US")</f>
        <v>US</v>
      </c>
      <c r="BM134" s="292"/>
      <c r="BN134" s="343">
        <f>IFERROR(__xludf.DUMMYFUNCTION("""COMPUTED_VALUE"""),3.33)</f>
        <v>3.33</v>
      </c>
      <c r="BO134" s="343">
        <f>IFERROR(__xludf.DUMMYFUNCTION("""COMPUTED_VALUE"""),3.266666666666667)</f>
        <v>3.266666667</v>
      </c>
      <c r="BP134" s="292"/>
      <c r="BQ134" s="292" t="str">
        <f>IFERROR(__xludf.DUMMYFUNCTION("""COMPUTED_VALUE"""),"Active")</f>
        <v>Active</v>
      </c>
      <c r="BR134" s="292" t="b">
        <f>IFERROR(__xludf.DUMMYFUNCTION("""COMPUTED_VALUE"""),FALSE)</f>
        <v>0</v>
      </c>
      <c r="BS134" s="292" t="b">
        <f>IFERROR(__xludf.DUMMYFUNCTION("""COMPUTED_VALUE"""),FALSE)</f>
        <v>0</v>
      </c>
      <c r="BT134" s="292"/>
      <c r="BU134" s="292"/>
      <c r="BV134" s="292"/>
      <c r="BW134" s="292"/>
    </row>
    <row r="135">
      <c r="A135" s="292" t="str">
        <f>IFERROR(__xludf.DUMMYFUNCTION("""COMPUTED_VALUE"""),"FE4055A")</f>
        <v>FE4055A</v>
      </c>
      <c r="B135" s="292" t="str">
        <f>IFERROR(__xludf.DUMMYFUNCTION("""COMPUTED_VALUE"""),"CON-40-143694-4")</f>
        <v>CON-40-143694-4</v>
      </c>
      <c r="C135" s="292" t="str">
        <f>IFERROR(__xludf.DUMMYFUNCTION("""COMPUTED_VALUE"""),"CON-00-147905-2")</f>
        <v>CON-00-147905-2</v>
      </c>
      <c r="D135" s="292" t="str">
        <f>IFERROR(__xludf.DUMMYFUNCTION("""COMPUTED_VALUE"""),"CON-00-138291-2")</f>
        <v>CON-00-138291-2</v>
      </c>
      <c r="E135" s="292" t="str">
        <f>IFERROR(__xludf.DUMMYFUNCTION("""COMPUTED_VALUE"""),"Lemon-garlic chicken")</f>
        <v>Lemon-garlic chicken</v>
      </c>
      <c r="F135" s="292" t="str">
        <f>IFERROR(__xludf.DUMMYFUNCTION("""COMPUTED_VALUE"""),"with cauliflower puree, green beans and almonds")</f>
        <v>with cauliflower puree, green beans and almonds</v>
      </c>
      <c r="G135" s="292" t="str">
        <f>IFERROR(__xludf.DUMMYFUNCTION("""COMPUTED_VALUE"""),"Knoflook-citroen kipfilet")</f>
        <v>Knoflook-citroen kipfilet</v>
      </c>
      <c r="H135" s="292" t="str">
        <f>IFERROR(__xludf.DUMMYFUNCTION("""COMPUTED_VALUE"""),"met bloemkoolpuree, sperziebonen en amandel")</f>
        <v>met bloemkoolpuree, sperziebonen en amandel</v>
      </c>
      <c r="I135" s="292" t="str">
        <f>IFERROR(__xludf.DUMMYFUNCTION("""COMPUTED_VALUE"""),"Citron- og hvidløgskylling")</f>
        <v>Citron- og hvidløgskylling</v>
      </c>
      <c r="J135" s="292" t="str">
        <f>IFERROR(__xludf.DUMMYFUNCTION("""COMPUTED_VALUE"""),"Zitronen-Knoblauch-Hähnchen")</f>
        <v>Zitronen-Knoblauch-Hähnchen</v>
      </c>
      <c r="K135" s="292">
        <f>IFERROR(__xludf.DUMMYFUNCTION("""COMPUTED_VALUE"""),565133.0)</f>
        <v>565133</v>
      </c>
      <c r="L135" s="292"/>
      <c r="M135" s="292" t="str">
        <f>IFERROR(__xludf.DUMMYFUNCTION("""COMPUTED_VALUE"""),"FA-NL Knoflook-citroen kipfilet (FE4055)")</f>
        <v>FA-NL Knoflook-citroen kipfilet (FE4055)</v>
      </c>
      <c r="N135" s="292" t="str">
        <f>IFERROR(__xludf.DUMMYFUNCTION("""COMPUTED_VALUE"""),"FA-NO Citron- og hvidløgskylling (FE4055)")</f>
        <v>FA-NO Citron- og hvidløgskylling (FE4055)</v>
      </c>
      <c r="O135" s="292" t="str">
        <f>IFERROR(__xludf.DUMMYFUNCTION("""COMPUTED_VALUE"""),"FA-DE Zitronen-Knoblauch-Hähnchen (FE4055)")</f>
        <v>FA-DE Zitronen-Knoblauch-Hähnchen (FE4055)</v>
      </c>
      <c r="P135" s="292" t="str">
        <f>IFERROR(__xludf.DUMMYFUNCTION("""COMPUTED_VALUE"""),"Active")</f>
        <v>Active</v>
      </c>
      <c r="Q135" s="292"/>
      <c r="R135" s="342">
        <f>IFERROR(__xludf.DUMMYFUNCTION("""COMPUTED_VALUE"""),4.79)</f>
        <v>4.79</v>
      </c>
      <c r="S135" s="292"/>
      <c r="T135" s="292"/>
      <c r="U135" s="292"/>
      <c r="V135" s="292"/>
      <c r="W135" s="292" t="b">
        <f>IFERROR(__xludf.DUMMYFUNCTION("""COMPUTED_VALUE"""),TRUE)</f>
        <v>1</v>
      </c>
      <c r="X135" s="345">
        <f>IFERROR(__xludf.DUMMYFUNCTION("""COMPUTED_VALUE"""),392.0)</f>
        <v>392</v>
      </c>
      <c r="Y135" s="344">
        <f>IFERROR(__xludf.DUMMYFUNCTION("""COMPUTED_VALUE"""),701.0)</f>
        <v>701</v>
      </c>
      <c r="Z135" s="343">
        <f>IFERROR(__xludf.DUMMYFUNCTION("""COMPUTED_VALUE"""),54.2)</f>
        <v>54.2</v>
      </c>
      <c r="AA135" s="344">
        <f>IFERROR(__xludf.DUMMYFUNCTION("""COMPUTED_VALUE"""),28.1)</f>
        <v>28.1</v>
      </c>
      <c r="AB135" s="344">
        <f>IFERROR(__xludf.DUMMYFUNCTION("""COMPUTED_VALUE"""),12.1)</f>
        <v>12.1</v>
      </c>
      <c r="AC135" s="344">
        <f>IFERROR(__xludf.DUMMYFUNCTION("""COMPUTED_VALUE"""),8.4)</f>
        <v>8.4</v>
      </c>
      <c r="AD135" s="344">
        <f>IFERROR(__xludf.DUMMYFUNCTION("""COMPUTED_VALUE"""),9.0)</f>
        <v>9</v>
      </c>
      <c r="AE135" s="343">
        <f>IFERROR(__xludf.DUMMYFUNCTION("""COMPUTED_VALUE"""),36.2)</f>
        <v>36.2</v>
      </c>
      <c r="AF135" s="343">
        <f>IFERROR(__xludf.DUMMYFUNCTION("""COMPUTED_VALUE"""),2.0)</f>
        <v>2</v>
      </c>
      <c r="AG135" s="292" t="b">
        <f>IFERROR(__xludf.DUMMYFUNCTION("""COMPUTED_VALUE"""),FALSE)</f>
        <v>0</v>
      </c>
      <c r="AH135" s="292" t="b">
        <f>IFERROR(__xludf.DUMMYFUNCTION("""COMPUTED_VALUE"""),TRUE)</f>
        <v>1</v>
      </c>
      <c r="AI135" s="292" t="b">
        <f>IFERROR(__xludf.DUMMYFUNCTION("""COMPUTED_VALUE"""),FALSE)</f>
        <v>0</v>
      </c>
      <c r="AJ135" s="292" t="b">
        <f>IFERROR(__xludf.DUMMYFUNCTION("""COMPUTED_VALUE"""),FALSE)</f>
        <v>0</v>
      </c>
      <c r="AK135" s="292" t="b">
        <f>IFERROR(__xludf.DUMMYFUNCTION("""COMPUTED_VALUE"""),FALSE)</f>
        <v>0</v>
      </c>
      <c r="AL135" s="292" t="b">
        <f>IFERROR(__xludf.DUMMYFUNCTION("""COMPUTED_VALUE"""),FALSE)</f>
        <v>0</v>
      </c>
      <c r="AM135" s="292" t="b">
        <f>IFERROR(__xludf.DUMMYFUNCTION("""COMPUTED_VALUE"""),TRUE)</f>
        <v>1</v>
      </c>
      <c r="AN135" s="292" t="b">
        <f>IFERROR(__xludf.DUMMYFUNCTION("""COMPUTED_VALUE"""),FALSE)</f>
        <v>0</v>
      </c>
      <c r="AO135" s="292" t="str">
        <f>IFERROR(__xludf.DUMMYFUNCTION("""COMPUTED_VALUE"""),"FALSE")</f>
        <v>FALSE</v>
      </c>
      <c r="AP135" s="292" t="str">
        <f>IFERROR(__xludf.DUMMYFUNCTION("""COMPUTED_VALUE"""),"Chicken breast")</f>
        <v>Chicken breast</v>
      </c>
      <c r="AQ135" s="292" t="str">
        <f>IFERROR(__xludf.DUMMYFUNCTION("""COMPUTED_VALUE"""),"Chicken")</f>
        <v>Chicken</v>
      </c>
      <c r="AR135" s="292" t="str">
        <f>IFERROR(__xludf.DUMMYFUNCTION("""COMPUTED_VALUE"""),"Breast")</f>
        <v>Breast</v>
      </c>
      <c r="AS135" s="292" t="str">
        <f>IFERROR(__xludf.DUMMYFUNCTION("""COMPUTED_VALUE"""),"Cauliflower Mash")</f>
        <v>Cauliflower Mash</v>
      </c>
      <c r="AT135" s="292" t="str">
        <f>IFERROR(__xludf.DUMMYFUNCTION("""COMPUTED_VALUE"""),"Green Beans")</f>
        <v>Green Beans</v>
      </c>
      <c r="AU135" s="292" t="str">
        <f>IFERROR(__xludf.DUMMYFUNCTION("""COMPUTED_VALUE"""),"Nuts")</f>
        <v>Nuts</v>
      </c>
      <c r="AV135" s="292" t="str">
        <f>IFERROR(__xludf.DUMMYFUNCTION("""COMPUTED_VALUE"""),"Compound Butter")</f>
        <v>Compound Butter</v>
      </c>
      <c r="AW135" s="292" t="str">
        <f>IFERROR(__xludf.DUMMYFUNCTION("""COMPUTED_VALUE"""),"Year Round")</f>
        <v>Year Round</v>
      </c>
      <c r="AX135" s="292" t="str">
        <f>IFERROR(__xludf.DUMMYFUNCTION("""COMPUTED_VALUE"""),"American")</f>
        <v>American</v>
      </c>
      <c r="AY135" s="292"/>
      <c r="AZ135" s="292" t="str">
        <f>IFERROR(__xludf.DUMMYFUNCTION("""COMPUTED_VALUE"""),"2 CT")</f>
        <v>2 CT</v>
      </c>
      <c r="BA135" s="292" t="b">
        <f>IFERROR(__xludf.DUMMYFUNCTION("""COMPUTED_VALUE"""),FALSE)</f>
        <v>0</v>
      </c>
      <c r="BB135" s="342">
        <f>IFERROR(__xludf.DUMMYFUNCTION("""COMPUTED_VALUE"""),2.42)</f>
        <v>2.42</v>
      </c>
      <c r="BC135" s="342">
        <f>IFERROR(__xludf.DUMMYFUNCTION("""COMPUTED_VALUE"""),1.12)</f>
        <v>1.12</v>
      </c>
      <c r="BD135" s="342">
        <f>IFERROR(__xludf.DUMMYFUNCTION("""COMPUTED_VALUE"""),0.36)</f>
        <v>0.36</v>
      </c>
      <c r="BE135" s="342">
        <f>IFERROR(__xludf.DUMMYFUNCTION("""COMPUTED_VALUE"""),0.89)</f>
        <v>0.89</v>
      </c>
      <c r="BF135" s="296">
        <f>IFERROR(__xludf.DUMMYFUNCTION("""COMPUTED_VALUE"""),3.2837399355877617)</f>
        <v>3.283739936</v>
      </c>
      <c r="BG135" s="296">
        <f>IFERROR(__xludf.DUMMYFUNCTION("""COMPUTED_VALUE"""),3.1319444444444446)</f>
        <v>3.131944444</v>
      </c>
      <c r="BH135" s="296">
        <f>IFERROR(__xludf.DUMMYFUNCTION("""COMPUTED_VALUE"""),3.1185185185185187)</f>
        <v>3.118518519</v>
      </c>
      <c r="BI135" s="295">
        <f>IFERROR(__xludf.DUMMYFUNCTION("""COMPUTED_VALUE"""),214.0)</f>
        <v>214</v>
      </c>
      <c r="BJ135" s="295" t="str">
        <f>IFERROR(__xludf.DUMMYFUNCTION("""COMPUTED_VALUE"""),"FALSE")</f>
        <v>FALSE</v>
      </c>
      <c r="BK135" s="346">
        <f>IFERROR(__xludf.DUMMYFUNCTION("""COMPUTED_VALUE"""),2907.0)</f>
        <v>2907</v>
      </c>
      <c r="BL135" s="292" t="str">
        <f>IFERROR(__xludf.DUMMYFUNCTION("""COMPUTED_VALUE"""),"Frankenstein")</f>
        <v>Frankenstein</v>
      </c>
      <c r="BM135" s="292" t="str">
        <f>IFERROR(__xludf.DUMMYFUNCTION("""COMPUTED_VALUE"""),"Citron- och vitlökskyckling ")</f>
        <v>Citron- och vitlökskyckling </v>
      </c>
      <c r="BN135" s="343">
        <f>IFERROR(__xludf.DUMMYFUNCTION("""COMPUTED_VALUE"""),3.3214285714285716)</f>
        <v>3.321428571</v>
      </c>
      <c r="BO135" s="343">
        <f>IFERROR(__xludf.DUMMYFUNCTION("""COMPUTED_VALUE"""),2.8333333333333335)</f>
        <v>2.833333333</v>
      </c>
      <c r="BP135" s="292"/>
      <c r="BQ135" s="292" t="str">
        <f>IFERROR(__xludf.DUMMYFUNCTION("""COMPUTED_VALUE"""),"Proven")</f>
        <v>Proven</v>
      </c>
      <c r="BR135" s="292" t="b">
        <f>IFERROR(__xludf.DUMMYFUNCTION("""COMPUTED_VALUE"""),FALSE)</f>
        <v>0</v>
      </c>
      <c r="BS135" s="292" t="b">
        <f>IFERROR(__xludf.DUMMYFUNCTION("""COMPUTED_VALUE"""),FALSE)</f>
        <v>0</v>
      </c>
      <c r="BT135" s="345">
        <f>IFERROR(__xludf.DUMMYFUNCTION("""COMPUTED_VALUE"""),742.0)</f>
        <v>742</v>
      </c>
      <c r="BU135" s="345">
        <f>IFERROR(__xludf.DUMMYFUNCTION("""COMPUTED_VALUE"""),178.8)</f>
        <v>178.8</v>
      </c>
      <c r="BV135" s="344">
        <f>IFERROR(__xludf.DUMMYFUNCTION("""COMPUTED_VALUE"""),13.8)</f>
        <v>13.8</v>
      </c>
      <c r="BW135" s="344">
        <f>IFERROR(__xludf.DUMMYFUNCTION("""COMPUTED_VALUE"""),7.2)</f>
        <v>7.2</v>
      </c>
    </row>
    <row r="136">
      <c r="A136" s="292" t="str">
        <f>IFERROR(__xludf.DUMMYFUNCTION("""COMPUTED_VALUE"""),"FE4060A")</f>
        <v>FE4060A</v>
      </c>
      <c r="B136" s="292" t="str">
        <f>IFERROR(__xludf.DUMMYFUNCTION("""COMPUTED_VALUE"""),"CON-40-143742-4")</f>
        <v>CON-40-143742-4</v>
      </c>
      <c r="C136" s="292" t="str">
        <f>IFERROR(__xludf.DUMMYFUNCTION("""COMPUTED_VALUE"""),"CON-00-147907-2")</f>
        <v>CON-00-147907-2</v>
      </c>
      <c r="D136" s="292" t="str">
        <f>IFERROR(__xludf.DUMMYFUNCTION("""COMPUTED_VALUE"""),"CON-00-139494-2")</f>
        <v>CON-00-139494-2</v>
      </c>
      <c r="E136" s="292" t="str">
        <f>IFERROR(__xludf.DUMMYFUNCTION("""COMPUTED_VALUE"""),"Artichoke &amp; Spinach Pork tenderloin")</f>
        <v>Artichoke &amp; Spinach Pork tenderloin</v>
      </c>
      <c r="F136" s="292" t="str">
        <f>IFERROR(__xludf.DUMMYFUNCTION("""COMPUTED_VALUE"""),"with Parmesan basil-cauliflower")</f>
        <v>with Parmesan basil-cauliflower</v>
      </c>
      <c r="G136" s="292" t="str">
        <f>IFERROR(__xludf.DUMMYFUNCTION("""COMPUTED_VALUE"""),"Varkenshaas met artisjok &amp; spinazie")</f>
        <v>Varkenshaas met artisjok &amp; spinazie</v>
      </c>
      <c r="H136" s="292" t="str">
        <f>IFERROR(__xludf.DUMMYFUNCTION("""COMPUTED_VALUE"""),"met parmezaan-basilicum bloemkool")</f>
        <v>met parmezaan-basilicum bloemkool</v>
      </c>
      <c r="I136" s="292" t="str">
        <f>IFERROR(__xludf.DUMMYFUNCTION("""COMPUTED_VALUE"""),"Svinemørbrad med artiskok og spinat ")</f>
        <v>Svinemørbrad med artiskok og spinat </v>
      </c>
      <c r="J136" s="292" t="str">
        <f>IFERROR(__xludf.DUMMYFUNCTION("""COMPUTED_VALUE"""),"Schweinefilet mit Artischocken und Spinat")</f>
        <v>Schweinefilet mit Artischocken und Spinat</v>
      </c>
      <c r="K136" s="292">
        <f>IFERROR(__xludf.DUMMYFUNCTION("""COMPUTED_VALUE"""),565134.0)</f>
        <v>565134</v>
      </c>
      <c r="L136" s="292"/>
      <c r="M136" s="292" t="str">
        <f>IFERROR(__xludf.DUMMYFUNCTION("""COMPUTED_VALUE"""),"FA-NL Varkenshaas met artisjok &amp; spinazie (FE4060)")</f>
        <v>FA-NL Varkenshaas met artisjok &amp; spinazie (FE4060)</v>
      </c>
      <c r="N136" s="292" t="str">
        <f>IFERROR(__xludf.DUMMYFUNCTION("""COMPUTED_VALUE"""),"FA-NO Svinemørbrad med artiskok og spinat (FE4060)")</f>
        <v>FA-NO Svinemørbrad med artiskok og spinat (FE4060)</v>
      </c>
      <c r="O136" s="292" t="str">
        <f>IFERROR(__xludf.DUMMYFUNCTION("""COMPUTED_VALUE"""),"FA-DE Schweinefilet mit Artischocken und Spinat (FE4060)")</f>
        <v>FA-DE Schweinefilet mit Artischocken und Spinat (FE4060)</v>
      </c>
      <c r="P136" s="292" t="str">
        <f>IFERROR(__xludf.DUMMYFUNCTION("""COMPUTED_VALUE"""),"Active")</f>
        <v>Active</v>
      </c>
      <c r="Q136" s="292"/>
      <c r="R136" s="342">
        <f>IFERROR(__xludf.DUMMYFUNCTION("""COMPUTED_VALUE"""),5.29)</f>
        <v>5.29</v>
      </c>
      <c r="S136" s="292"/>
      <c r="T136" s="292"/>
      <c r="U136" s="292"/>
      <c r="V136" s="292"/>
      <c r="W136" s="292" t="b">
        <f>IFERROR(__xludf.DUMMYFUNCTION("""COMPUTED_VALUE"""),FALSE)</f>
        <v>0</v>
      </c>
      <c r="X136" s="345">
        <f>IFERROR(__xludf.DUMMYFUNCTION("""COMPUTED_VALUE"""),389.0)</f>
        <v>389</v>
      </c>
      <c r="Y136" s="344">
        <f>IFERROR(__xludf.DUMMYFUNCTION("""COMPUTED_VALUE"""),547.0)</f>
        <v>547</v>
      </c>
      <c r="Z136" s="343">
        <f>IFERROR(__xludf.DUMMYFUNCTION("""COMPUTED_VALUE"""),38.8)</f>
        <v>38.8</v>
      </c>
      <c r="AA136" s="344">
        <f>IFERROR(__xludf.DUMMYFUNCTION("""COMPUTED_VALUE"""),15.5)</f>
        <v>15.5</v>
      </c>
      <c r="AB136" s="344">
        <f>IFERROR(__xludf.DUMMYFUNCTION("""COMPUTED_VALUE"""),10.7)</f>
        <v>10.7</v>
      </c>
      <c r="AC136" s="344">
        <f>IFERROR(__xludf.DUMMYFUNCTION("""COMPUTED_VALUE"""),6.8)</f>
        <v>6.8</v>
      </c>
      <c r="AD136" s="344">
        <f>IFERROR(__xludf.DUMMYFUNCTION("""COMPUTED_VALUE"""),4.5)</f>
        <v>4.5</v>
      </c>
      <c r="AE136" s="343">
        <f>IFERROR(__xludf.DUMMYFUNCTION("""COMPUTED_VALUE"""),35.6)</f>
        <v>35.6</v>
      </c>
      <c r="AF136" s="343">
        <f>IFERROR(__xludf.DUMMYFUNCTION("""COMPUTED_VALUE"""),1.86)</f>
        <v>1.86</v>
      </c>
      <c r="AG136" s="292" t="b">
        <f>IFERROR(__xludf.DUMMYFUNCTION("""COMPUTED_VALUE"""),FALSE)</f>
        <v>0</v>
      </c>
      <c r="AH136" s="292" t="b">
        <f>IFERROR(__xludf.DUMMYFUNCTION("""COMPUTED_VALUE"""),TRUE)</f>
        <v>1</v>
      </c>
      <c r="AI136" s="292" t="b">
        <f>IFERROR(__xludf.DUMMYFUNCTION("""COMPUTED_VALUE"""),FALSE)</f>
        <v>0</v>
      </c>
      <c r="AJ136" s="292" t="b">
        <f>IFERROR(__xludf.DUMMYFUNCTION("""COMPUTED_VALUE"""),FALSE)</f>
        <v>0</v>
      </c>
      <c r="AK136" s="292" t="b">
        <f>IFERROR(__xludf.DUMMYFUNCTION("""COMPUTED_VALUE"""),FALSE)</f>
        <v>0</v>
      </c>
      <c r="AL136" s="292" t="b">
        <f>IFERROR(__xludf.DUMMYFUNCTION("""COMPUTED_VALUE"""),FALSE)</f>
        <v>0</v>
      </c>
      <c r="AM136" s="292" t="b">
        <f>IFERROR(__xludf.DUMMYFUNCTION("""COMPUTED_VALUE"""),TRUE)</f>
        <v>1</v>
      </c>
      <c r="AN136" s="292" t="b">
        <f>IFERROR(__xludf.DUMMYFUNCTION("""COMPUTED_VALUE"""),FALSE)</f>
        <v>0</v>
      </c>
      <c r="AO136" s="292" t="str">
        <f>IFERROR(__xludf.DUMMYFUNCTION("""COMPUTED_VALUE"""),"FALSE")</f>
        <v>FALSE</v>
      </c>
      <c r="AP136" s="292" t="str">
        <f>IFERROR(__xludf.DUMMYFUNCTION("""COMPUTED_VALUE"""),"Pork tenderloin")</f>
        <v>Pork tenderloin</v>
      </c>
      <c r="AQ136" s="292" t="str">
        <f>IFERROR(__xludf.DUMMYFUNCTION("""COMPUTED_VALUE"""),"Pork")</f>
        <v>Pork</v>
      </c>
      <c r="AR136" s="292" t="str">
        <f>IFERROR(__xludf.DUMMYFUNCTION("""COMPUTED_VALUE"""),"Tenderloin")</f>
        <v>Tenderloin</v>
      </c>
      <c r="AS136" s="292" t="str">
        <f>IFERROR(__xludf.DUMMYFUNCTION("""COMPUTED_VALUE"""),"vegetable dip")</f>
        <v>vegetable dip</v>
      </c>
      <c r="AT136" s="292" t="str">
        <f>IFERROR(__xludf.DUMMYFUNCTION("""COMPUTED_VALUE"""),"Cauliflower Florets")</f>
        <v>Cauliflower Florets</v>
      </c>
      <c r="AU136" s="292"/>
      <c r="AV136" s="292"/>
      <c r="AW136" s="292" t="str">
        <f>IFERROR(__xludf.DUMMYFUNCTION("""COMPUTED_VALUE"""),"Year Round")</f>
        <v>Year Round</v>
      </c>
      <c r="AX136" s="292" t="str">
        <f>IFERROR(__xludf.DUMMYFUNCTION("""COMPUTED_VALUE"""),"American")</f>
        <v>American</v>
      </c>
      <c r="AY136" s="292"/>
      <c r="AZ136" s="292" t="str">
        <f>IFERROR(__xludf.DUMMYFUNCTION("""COMPUTED_VALUE"""),"2 CT")</f>
        <v>2 CT</v>
      </c>
      <c r="BA136" s="292" t="b">
        <f>IFERROR(__xludf.DUMMYFUNCTION("""COMPUTED_VALUE"""),FALSE)</f>
        <v>0</v>
      </c>
      <c r="BB136" s="342">
        <f>IFERROR(__xludf.DUMMYFUNCTION("""COMPUTED_VALUE"""),2.92)</f>
        <v>2.92</v>
      </c>
      <c r="BC136" s="342">
        <f>IFERROR(__xludf.DUMMYFUNCTION("""COMPUTED_VALUE"""),1.12)</f>
        <v>1.12</v>
      </c>
      <c r="BD136" s="342">
        <f>IFERROR(__xludf.DUMMYFUNCTION("""COMPUTED_VALUE"""),0.36)</f>
        <v>0.36</v>
      </c>
      <c r="BE136" s="342">
        <f>IFERROR(__xludf.DUMMYFUNCTION("""COMPUTED_VALUE"""),0.89)</f>
        <v>0.89</v>
      </c>
      <c r="BF136" s="296">
        <f>IFERROR(__xludf.DUMMYFUNCTION("""COMPUTED_VALUE"""),3.34)</f>
        <v>3.34</v>
      </c>
      <c r="BG136" s="296">
        <f>IFERROR(__xludf.DUMMYFUNCTION("""COMPUTED_VALUE"""),3.2566666666666664)</f>
        <v>3.256666667</v>
      </c>
      <c r="BH136" s="296">
        <f>IFERROR(__xludf.DUMMYFUNCTION("""COMPUTED_VALUE"""),3.4499999999999997)</f>
        <v>3.45</v>
      </c>
      <c r="BI136" s="295">
        <f>IFERROR(__xludf.DUMMYFUNCTION("""COMPUTED_VALUE"""),157.0)</f>
        <v>157</v>
      </c>
      <c r="BJ136" s="295" t="str">
        <f>IFERROR(__xludf.DUMMYFUNCTION("""COMPUTED_VALUE"""),"FALSE")</f>
        <v>FALSE</v>
      </c>
      <c r="BK136" s="346">
        <f>IFERROR(__xludf.DUMMYFUNCTION("""COMPUTED_VALUE"""),2274.0)</f>
        <v>2274</v>
      </c>
      <c r="BL136" s="292" t="str">
        <f>IFERROR(__xludf.DUMMYFUNCTION("""COMPUTED_VALUE"""),"Frankenstein")</f>
        <v>Frankenstein</v>
      </c>
      <c r="BM136" s="292" t="str">
        <f>IFERROR(__xludf.DUMMYFUNCTION("""COMPUTED_VALUE"""),"Fläskfilé med kronärtskocka och spenat")</f>
        <v>Fläskfilé med kronärtskocka och spenat</v>
      </c>
      <c r="BN136" s="343">
        <f>IFERROR(__xludf.DUMMYFUNCTION("""COMPUTED_VALUE"""),3.3366666666666664)</f>
        <v>3.336666667</v>
      </c>
      <c r="BO136" s="343">
        <f>IFERROR(__xludf.DUMMYFUNCTION("""COMPUTED_VALUE"""),3.3333333333333335)</f>
        <v>3.333333333</v>
      </c>
      <c r="BP136" s="292"/>
      <c r="BQ136" s="292" t="str">
        <f>IFERROR(__xludf.DUMMYFUNCTION("""COMPUTED_VALUE"""),"Proven")</f>
        <v>Proven</v>
      </c>
      <c r="BR136" s="292" t="b">
        <f>IFERROR(__xludf.DUMMYFUNCTION("""COMPUTED_VALUE"""),FALSE)</f>
        <v>0</v>
      </c>
      <c r="BS136" s="292" t="b">
        <f>IFERROR(__xludf.DUMMYFUNCTION("""COMPUTED_VALUE"""),FALSE)</f>
        <v>0</v>
      </c>
      <c r="BT136" s="345">
        <f>IFERROR(__xludf.DUMMYFUNCTION("""COMPUTED_VALUE"""),584.0)</f>
        <v>584</v>
      </c>
      <c r="BU136" s="345">
        <f>IFERROR(__xludf.DUMMYFUNCTION("""COMPUTED_VALUE"""),140.6)</f>
        <v>140.6</v>
      </c>
      <c r="BV136" s="344">
        <f>IFERROR(__xludf.DUMMYFUNCTION("""COMPUTED_VALUE"""),10.0)</f>
        <v>10</v>
      </c>
      <c r="BW136" s="344">
        <f>IFERROR(__xludf.DUMMYFUNCTION("""COMPUTED_VALUE"""),4.0)</f>
        <v>4</v>
      </c>
    </row>
    <row r="137">
      <c r="A137" s="292" t="str">
        <f>IFERROR(__xludf.DUMMYFUNCTION("""COMPUTED_VALUE"""),"FE0035F")</f>
        <v>FE0035F</v>
      </c>
      <c r="B137" s="292" t="str">
        <f>IFERROR(__xludf.DUMMYFUNCTION("""COMPUTED_VALUE"""),"CON-40-143754-4")</f>
        <v>CON-40-143754-4</v>
      </c>
      <c r="C137" s="292" t="str">
        <f>IFERROR(__xludf.DUMMYFUNCTION("""COMPUTED_VALUE"""),"CON-00-147813-2")</f>
        <v>CON-00-147813-2</v>
      </c>
      <c r="D137" s="292" t="str">
        <f>IFERROR(__xludf.DUMMYFUNCTION("""COMPUTED_VALUE"""),"CON-00-136630-3")</f>
        <v>CON-00-136630-3</v>
      </c>
      <c r="E137" s="292" t="str">
        <f>IFERROR(__xludf.DUMMYFUNCTION("""COMPUTED_VALUE"""),"Salmon with pesto")</f>
        <v>Salmon with pesto</v>
      </c>
      <c r="F137" s="292" t="str">
        <f>IFERROR(__xludf.DUMMYFUNCTION("""COMPUTED_VALUE"""),"with green beans, spinach, cream cheese and butter with sun-dried tomatoes")</f>
        <v>with green beans, spinach, cream cheese and butter with sun-dried tomatoes</v>
      </c>
      <c r="G137" s="292" t="str">
        <f>IFERROR(__xludf.DUMMYFUNCTION("""COMPUTED_VALUE"""),"Zalm met pesto")</f>
        <v>Zalm met pesto</v>
      </c>
      <c r="H137" s="292" t="str">
        <f>IFERROR(__xludf.DUMMYFUNCTION("""COMPUTED_VALUE"""),"met sperziebonen, spinazie, roomkaas en boter met zongedroogde tomaat")</f>
        <v>met sperziebonen, spinazie, roomkaas en boter met zongedroogde tomaat</v>
      </c>
      <c r="I137" s="292" t="str">
        <f>IFERROR(__xludf.DUMMYFUNCTION("""COMPUTED_VALUE"""),"Laks med pesto")</f>
        <v>Laks med pesto</v>
      </c>
      <c r="J137" s="292" t="str">
        <f>IFERROR(__xludf.DUMMYFUNCTION("""COMPUTED_VALUE"""),"Lachs mit Pesto")</f>
        <v>Lachs mit Pesto</v>
      </c>
      <c r="K137" s="292">
        <f>IFERROR(__xludf.DUMMYFUNCTION("""COMPUTED_VALUE"""),565022.0)</f>
        <v>565022</v>
      </c>
      <c r="L137" s="292" t="str">
        <f>IFERROR(__xludf.DUMMYFUNCTION("""COMPUTED_VALUE"""),"HF Zalm met pesto")</f>
        <v>HF Zalm met pesto</v>
      </c>
      <c r="M137" s="292" t="str">
        <f>IFERROR(__xludf.DUMMYFUNCTION("""COMPUTED_VALUE"""),"FA-NL Zalm met pesto [FE0035]")</f>
        <v>FA-NL Zalm met pesto [FE0035]</v>
      </c>
      <c r="N137" s="292" t="str">
        <f>IFERROR(__xludf.DUMMYFUNCTION("""COMPUTED_VALUE"""),"FA-NO Laks med pesto (FE0035)")</f>
        <v>FA-NO Laks med pesto (FE0035)</v>
      </c>
      <c r="O137" s="292" t="str">
        <f>IFERROR(__xludf.DUMMYFUNCTION("""COMPUTED_VALUE"""),"FA-DE Lachs mit grünem Pesto (FE0035)")</f>
        <v>FA-DE Lachs mit grünem Pesto (FE0035)</v>
      </c>
      <c r="P137" s="292" t="str">
        <f>IFERROR(__xludf.DUMMYFUNCTION("""COMPUTED_VALUE"""),"Active")</f>
        <v>Active</v>
      </c>
      <c r="Q137" s="292"/>
      <c r="R137" s="342">
        <f>IFERROR(__xludf.DUMMYFUNCTION("""COMPUTED_VALUE"""),6.92)</f>
        <v>6.92</v>
      </c>
      <c r="S137" s="292"/>
      <c r="T137" s="292"/>
      <c r="U137" s="292"/>
      <c r="V137" s="292"/>
      <c r="W137" s="292" t="b">
        <f>IFERROR(__xludf.DUMMYFUNCTION("""COMPUTED_VALUE"""),TRUE)</f>
        <v>1</v>
      </c>
      <c r="X137" s="345">
        <f>IFERROR(__xludf.DUMMYFUNCTION("""COMPUTED_VALUE"""),368.0)</f>
        <v>368</v>
      </c>
      <c r="Y137" s="344">
        <f>IFERROR(__xludf.DUMMYFUNCTION("""COMPUTED_VALUE"""),711.0)</f>
        <v>711</v>
      </c>
      <c r="Z137" s="343">
        <f>IFERROR(__xludf.DUMMYFUNCTION("""COMPUTED_VALUE"""),55.1)</f>
        <v>55.1</v>
      </c>
      <c r="AA137" s="344">
        <f>IFERROR(__xludf.DUMMYFUNCTION("""COMPUTED_VALUE"""),17.9)</f>
        <v>17.9</v>
      </c>
      <c r="AB137" s="344">
        <f>IFERROR(__xludf.DUMMYFUNCTION("""COMPUTED_VALUE"""),8.8)</f>
        <v>8.8</v>
      </c>
      <c r="AC137" s="344">
        <f>IFERROR(__xludf.DUMMYFUNCTION("""COMPUTED_VALUE"""),5.6)</f>
        <v>5.6</v>
      </c>
      <c r="AD137" s="344">
        <f>IFERROR(__xludf.DUMMYFUNCTION("""COMPUTED_VALUE"""),7.4)</f>
        <v>7.4</v>
      </c>
      <c r="AE137" s="343">
        <f>IFERROR(__xludf.DUMMYFUNCTION("""COMPUTED_VALUE"""),42.1)</f>
        <v>42.1</v>
      </c>
      <c r="AF137" s="343">
        <f>IFERROR(__xludf.DUMMYFUNCTION("""COMPUTED_VALUE"""),2.06)</f>
        <v>2.06</v>
      </c>
      <c r="AG137" s="292" t="b">
        <f>IFERROR(__xludf.DUMMYFUNCTION("""COMPUTED_VALUE"""),FALSE)</f>
        <v>0</v>
      </c>
      <c r="AH137" s="292" t="b">
        <f>IFERROR(__xludf.DUMMYFUNCTION("""COMPUTED_VALUE"""),TRUE)</f>
        <v>1</v>
      </c>
      <c r="AI137" s="292" t="b">
        <f>IFERROR(__xludf.DUMMYFUNCTION("""COMPUTED_VALUE"""),FALSE)</f>
        <v>0</v>
      </c>
      <c r="AJ137" s="292" t="b">
        <f>IFERROR(__xludf.DUMMYFUNCTION("""COMPUTED_VALUE"""),FALSE)</f>
        <v>0</v>
      </c>
      <c r="AK137" s="292" t="b">
        <f>IFERROR(__xludf.DUMMYFUNCTION("""COMPUTED_VALUE"""),FALSE)</f>
        <v>0</v>
      </c>
      <c r="AL137" s="292" t="b">
        <f>IFERROR(__xludf.DUMMYFUNCTION("""COMPUTED_VALUE"""),FALSE)</f>
        <v>0</v>
      </c>
      <c r="AM137" s="292" t="b">
        <f>IFERROR(__xludf.DUMMYFUNCTION("""COMPUTED_VALUE"""),FALSE)</f>
        <v>0</v>
      </c>
      <c r="AN137" s="292" t="b">
        <f>IFERROR(__xludf.DUMMYFUNCTION("""COMPUTED_VALUE"""),FALSE)</f>
        <v>0</v>
      </c>
      <c r="AO137" s="292" t="str">
        <f>IFERROR(__xludf.DUMMYFUNCTION("""COMPUTED_VALUE"""),"FALSE")</f>
        <v>FALSE</v>
      </c>
      <c r="AP137" s="292" t="str">
        <f>IFERROR(__xludf.DUMMYFUNCTION("""COMPUTED_VALUE"""),"Salmon")</f>
        <v>Salmon</v>
      </c>
      <c r="AQ137" s="292" t="str">
        <f>IFERROR(__xludf.DUMMYFUNCTION("""COMPUTED_VALUE"""),"Salmon")</f>
        <v>Salmon</v>
      </c>
      <c r="AR137" s="292" t="str">
        <f>IFERROR(__xludf.DUMMYFUNCTION("""COMPUTED_VALUE"""),"Filet")</f>
        <v>Filet</v>
      </c>
      <c r="AS137" s="292" t="str">
        <f>IFERROR(__xludf.DUMMYFUNCTION("""COMPUTED_VALUE"""),"Green Beans")</f>
        <v>Green Beans</v>
      </c>
      <c r="AT137" s="292" t="str">
        <f>IFERROR(__xludf.DUMMYFUNCTION("""COMPUTED_VALUE"""),"Spinach")</f>
        <v>Spinach</v>
      </c>
      <c r="AU137" s="292" t="str">
        <f>IFERROR(__xludf.DUMMYFUNCTION("""COMPUTED_VALUE"""),"Creamy Sauce Base")</f>
        <v>Creamy Sauce Base</v>
      </c>
      <c r="AV137" s="292" t="str">
        <f>IFERROR(__xludf.DUMMYFUNCTION("""COMPUTED_VALUE"""),"Compound Butter")</f>
        <v>Compound Butter</v>
      </c>
      <c r="AW137" s="292" t="str">
        <f>IFERROR(__xludf.DUMMYFUNCTION("""COMPUTED_VALUE"""),"Year Round")</f>
        <v>Year Round</v>
      </c>
      <c r="AX137" s="292" t="str">
        <f>IFERROR(__xludf.DUMMYFUNCTION("""COMPUTED_VALUE"""),"Italian")</f>
        <v>Italian</v>
      </c>
      <c r="AY137" s="292"/>
      <c r="AZ137" s="292" t="str">
        <f>IFERROR(__xludf.DUMMYFUNCTION("""COMPUTED_VALUE"""),"2 CT")</f>
        <v>2 CT</v>
      </c>
      <c r="BA137" s="292" t="b">
        <f>IFERROR(__xludf.DUMMYFUNCTION("""COMPUTED_VALUE"""),FALSE)</f>
        <v>0</v>
      </c>
      <c r="BB137" s="342">
        <f>IFERROR(__xludf.DUMMYFUNCTION("""COMPUTED_VALUE"""),5.21)</f>
        <v>5.21</v>
      </c>
      <c r="BC137" s="342">
        <f>IFERROR(__xludf.DUMMYFUNCTION("""COMPUTED_VALUE"""),1.31)</f>
        <v>1.31</v>
      </c>
      <c r="BD137" s="342">
        <f>IFERROR(__xludf.DUMMYFUNCTION("""COMPUTED_VALUE"""),0.4)</f>
        <v>0.4</v>
      </c>
      <c r="BE137" s="342">
        <f>IFERROR(__xludf.DUMMYFUNCTION("""COMPUTED_VALUE"""),0.89)</f>
        <v>0.89</v>
      </c>
      <c r="BF137" s="296">
        <f>IFERROR(__xludf.DUMMYFUNCTION("""COMPUTED_VALUE"""),3.47)</f>
        <v>3.47</v>
      </c>
      <c r="BG137" s="296">
        <f>IFERROR(__xludf.DUMMYFUNCTION("""COMPUTED_VALUE"""),3.376666666666667)</f>
        <v>3.376666667</v>
      </c>
      <c r="BH137" s="296">
        <f>IFERROR(__xludf.DUMMYFUNCTION("""COMPUTED_VALUE"""),3.53)</f>
        <v>3.53</v>
      </c>
      <c r="BI137" s="295">
        <f>IFERROR(__xludf.DUMMYFUNCTION("""COMPUTED_VALUE"""),165.0)</f>
        <v>165</v>
      </c>
      <c r="BJ137" s="292"/>
      <c r="BK137" s="346">
        <f>IFERROR(__xludf.DUMMYFUNCTION("""COMPUTED_VALUE"""),2960.0)</f>
        <v>2960</v>
      </c>
      <c r="BL137" s="292"/>
      <c r="BM137" s="292"/>
      <c r="BN137" s="292"/>
      <c r="BO137" s="292"/>
      <c r="BP137" s="292"/>
      <c r="BQ137" s="292"/>
      <c r="BR137" s="292" t="b">
        <f>IFERROR(__xludf.DUMMYFUNCTION("""COMPUTED_VALUE"""),FALSE)</f>
        <v>0</v>
      </c>
      <c r="BS137" s="292" t="b">
        <f>IFERROR(__xludf.DUMMYFUNCTION("""COMPUTED_VALUE"""),FALSE)</f>
        <v>0</v>
      </c>
      <c r="BT137" s="292"/>
      <c r="BU137" s="292"/>
      <c r="BV137" s="292"/>
      <c r="BW137" s="292"/>
    </row>
    <row r="138">
      <c r="A138" s="292" t="str">
        <f>IFERROR(__xludf.DUMMYFUNCTION("""COMPUTED_VALUE"""),"FE4044B")</f>
        <v>FE4044B</v>
      </c>
      <c r="B138" s="292" t="str">
        <f>IFERROR(__xludf.DUMMYFUNCTION("""COMPUTED_VALUE"""),"CON-40-143756-4")</f>
        <v>CON-40-143756-4</v>
      </c>
      <c r="C138" s="292" t="str">
        <f>IFERROR(__xludf.DUMMYFUNCTION("""COMPUTED_VALUE"""),"CON-00-147898-2")</f>
        <v>CON-00-147898-2</v>
      </c>
      <c r="D138" s="292" t="str">
        <f>IFERROR(__xludf.DUMMYFUNCTION("""COMPUTED_VALUE"""),"CON-00-136719-3")</f>
        <v>CON-00-136719-3</v>
      </c>
      <c r="E138" s="292" t="str">
        <f>IFERROR(__xludf.DUMMYFUNCTION("""COMPUTED_VALUE"""),"Salmon on tomato risotto")</f>
        <v>Salmon on tomato risotto</v>
      </c>
      <c r="F138" s="292" t="str">
        <f>IFERROR(__xludf.DUMMYFUNCTION("""COMPUTED_VALUE"""),"with green beans, pesto and ricotta ")</f>
        <v>with green beans, pesto and ricotta </v>
      </c>
      <c r="G138" s="292" t="str">
        <f>IFERROR(__xludf.DUMMYFUNCTION("""COMPUTED_VALUE"""),"Zalm op tomatenrisotto ")</f>
        <v>Zalm op tomatenrisotto </v>
      </c>
      <c r="H138" s="292" t="str">
        <f>IFERROR(__xludf.DUMMYFUNCTION("""COMPUTED_VALUE"""),"met sperziebonen, pesto en ricotta ")</f>
        <v>met sperziebonen, pesto en ricotta </v>
      </c>
      <c r="I138" s="292" t="str">
        <f>IFERROR(__xludf.DUMMYFUNCTION("""COMPUTED_VALUE"""),"Laks på tomatrisotto")</f>
        <v>Laks på tomatrisotto</v>
      </c>
      <c r="J138" s="292" t="str">
        <f>IFERROR(__xludf.DUMMYFUNCTION("""COMPUTED_VALUE"""),"Lachs auf Tomatenrisotto")</f>
        <v>Lachs auf Tomatenrisotto</v>
      </c>
      <c r="K138" s="292">
        <f>IFERROR(__xludf.DUMMYFUNCTION("""COMPUTED_VALUE"""),565104.0)</f>
        <v>565104</v>
      </c>
      <c r="L138" s="292"/>
      <c r="M138" s="292" t="str">
        <f>IFERROR(__xludf.DUMMYFUNCTION("""COMPUTED_VALUE"""),"FA-NL Zalm op tomatenrisotto (FE4044)")</f>
        <v>FA-NL Zalm op tomatenrisotto (FE4044)</v>
      </c>
      <c r="N138" s="292" t="str">
        <f>IFERROR(__xludf.DUMMYFUNCTION("""COMPUTED_VALUE"""),"FA-NO Laks på tomatrisotto (FE4044)")</f>
        <v>FA-NO Laks på tomatrisotto (FE4044)</v>
      </c>
      <c r="O138" s="292" t="str">
        <f>IFERROR(__xludf.DUMMYFUNCTION("""COMPUTED_VALUE"""),"FA-DE Lachs auf Tomatenrisotto (FE4044)")</f>
        <v>FA-DE Lachs auf Tomatenrisotto (FE4044)</v>
      </c>
      <c r="P138" s="292" t="str">
        <f>IFERROR(__xludf.DUMMYFUNCTION("""COMPUTED_VALUE"""),"Graveyard")</f>
        <v>Graveyard</v>
      </c>
      <c r="Q138" s="292" t="str">
        <f>IFERROR(__xludf.DUMMYFUNCTION("""COMPUTED_VALUE"""),"produced at Bonfait, without LAB")</f>
        <v>produced at Bonfait, without LAB</v>
      </c>
      <c r="R138" s="342">
        <f>IFERROR(__xludf.DUMMYFUNCTION("""COMPUTED_VALUE"""),6.68)</f>
        <v>6.68</v>
      </c>
      <c r="S138" s="292"/>
      <c r="T138" s="292"/>
      <c r="U138" s="292"/>
      <c r="V138" s="292"/>
      <c r="W138" s="292" t="b">
        <f>IFERROR(__xludf.DUMMYFUNCTION("""COMPUTED_VALUE"""),FALSE)</f>
        <v>0</v>
      </c>
      <c r="X138" s="345">
        <f>IFERROR(__xludf.DUMMYFUNCTION("""COMPUTED_VALUE"""),449.0)</f>
        <v>449</v>
      </c>
      <c r="Y138" s="344">
        <f>IFERROR(__xludf.DUMMYFUNCTION("""COMPUTED_VALUE"""),698.0)</f>
        <v>698</v>
      </c>
      <c r="Z138" s="343">
        <f>IFERROR(__xludf.DUMMYFUNCTION("""COMPUTED_VALUE"""),43.1)</f>
        <v>43.1</v>
      </c>
      <c r="AA138" s="344">
        <f>IFERROR(__xludf.DUMMYFUNCTION("""COMPUTED_VALUE"""),8.7)</f>
        <v>8.7</v>
      </c>
      <c r="AB138" s="344">
        <f>IFERROR(__xludf.DUMMYFUNCTION("""COMPUTED_VALUE"""),35.9)</f>
        <v>35.9</v>
      </c>
      <c r="AC138" s="344">
        <f>IFERROR(__xludf.DUMMYFUNCTION("""COMPUTED_VALUE"""),6.1)</f>
        <v>6.1</v>
      </c>
      <c r="AD138" s="344">
        <f>IFERROR(__xludf.DUMMYFUNCTION("""COMPUTED_VALUE"""),7.2)</f>
        <v>7.2</v>
      </c>
      <c r="AE138" s="343">
        <f>IFERROR(__xludf.DUMMYFUNCTION("""COMPUTED_VALUE"""),37.6)</f>
        <v>37.6</v>
      </c>
      <c r="AF138" s="343">
        <f>IFERROR(__xludf.DUMMYFUNCTION("""COMPUTED_VALUE"""),1.97)</f>
        <v>1.97</v>
      </c>
      <c r="AG138" s="292" t="b">
        <f>IFERROR(__xludf.DUMMYFUNCTION("""COMPUTED_VALUE"""),FALSE)</f>
        <v>0</v>
      </c>
      <c r="AH138" s="292" t="b">
        <f>IFERROR(__xludf.DUMMYFUNCTION("""COMPUTED_VALUE"""),FALSE)</f>
        <v>0</v>
      </c>
      <c r="AI138" s="292" t="b">
        <f>IFERROR(__xludf.DUMMYFUNCTION("""COMPUTED_VALUE"""),FALSE)</f>
        <v>0</v>
      </c>
      <c r="AJ138" s="292" t="b">
        <f>IFERROR(__xludf.DUMMYFUNCTION("""COMPUTED_VALUE"""),FALSE)</f>
        <v>0</v>
      </c>
      <c r="AK138" s="292" t="b">
        <f>IFERROR(__xludf.DUMMYFUNCTION("""COMPUTED_VALUE"""),FALSE)</f>
        <v>0</v>
      </c>
      <c r="AL138" s="292" t="b">
        <f>IFERROR(__xludf.DUMMYFUNCTION("""COMPUTED_VALUE"""),FALSE)</f>
        <v>0</v>
      </c>
      <c r="AM138" s="292" t="b">
        <f>IFERROR(__xludf.DUMMYFUNCTION("""COMPUTED_VALUE"""),TRUE)</f>
        <v>1</v>
      </c>
      <c r="AN138" s="292" t="b">
        <f>IFERROR(__xludf.DUMMYFUNCTION("""COMPUTED_VALUE"""),FALSE)</f>
        <v>0</v>
      </c>
      <c r="AO138" s="292" t="str">
        <f>IFERROR(__xludf.DUMMYFUNCTION("""COMPUTED_VALUE"""),"FALSE")</f>
        <v>FALSE</v>
      </c>
      <c r="AP138" s="292" t="str">
        <f>IFERROR(__xludf.DUMMYFUNCTION("""COMPUTED_VALUE"""),"Salmon")</f>
        <v>Salmon</v>
      </c>
      <c r="AQ138" s="292" t="str">
        <f>IFERROR(__xludf.DUMMYFUNCTION("""COMPUTED_VALUE"""),"Salmon")</f>
        <v>Salmon</v>
      </c>
      <c r="AR138" s="292" t="str">
        <f>IFERROR(__xludf.DUMMYFUNCTION("""COMPUTED_VALUE"""),"Filet")</f>
        <v>Filet</v>
      </c>
      <c r="AS138" s="292" t="str">
        <f>IFERROR(__xludf.DUMMYFUNCTION("""COMPUTED_VALUE"""),"Risotto")</f>
        <v>Risotto</v>
      </c>
      <c r="AT138" s="292" t="str">
        <f>IFERROR(__xludf.DUMMYFUNCTION("""COMPUTED_VALUE"""),"Green Beans")</f>
        <v>Green Beans</v>
      </c>
      <c r="AU138" s="292" t="str">
        <f>IFERROR(__xludf.DUMMYFUNCTION("""COMPUTED_VALUE"""),"Cherry Tomatoes")</f>
        <v>Cherry Tomatoes</v>
      </c>
      <c r="AV138" s="292" t="str">
        <f>IFERROR(__xludf.DUMMYFUNCTION("""COMPUTED_VALUE"""),"Pesto")</f>
        <v>Pesto</v>
      </c>
      <c r="AW138" s="292" t="str">
        <f>IFERROR(__xludf.DUMMYFUNCTION("""COMPUTED_VALUE"""),"Year Round")</f>
        <v>Year Round</v>
      </c>
      <c r="AX138" s="292" t="str">
        <f>IFERROR(__xludf.DUMMYFUNCTION("""COMPUTED_VALUE"""),"Italian")</f>
        <v>Italian</v>
      </c>
      <c r="AY138" s="292"/>
      <c r="AZ138" s="292" t="str">
        <f>IFERROR(__xludf.DUMMYFUNCTION("""COMPUTED_VALUE"""),"2 CT")</f>
        <v>2 CT</v>
      </c>
      <c r="BA138" s="292" t="b">
        <f>IFERROR(__xludf.DUMMYFUNCTION("""COMPUTED_VALUE"""),FALSE)</f>
        <v>0</v>
      </c>
      <c r="BB138" s="342">
        <f>IFERROR(__xludf.DUMMYFUNCTION("""COMPUTED_VALUE"""),4.28)</f>
        <v>4.28</v>
      </c>
      <c r="BC138" s="342">
        <f>IFERROR(__xludf.DUMMYFUNCTION("""COMPUTED_VALUE"""),1.15)</f>
        <v>1.15</v>
      </c>
      <c r="BD138" s="342">
        <f>IFERROR(__xludf.DUMMYFUNCTION("""COMPUTED_VALUE"""),0.36)</f>
        <v>0.36</v>
      </c>
      <c r="BE138" s="342">
        <f>IFERROR(__xludf.DUMMYFUNCTION("""COMPUTED_VALUE"""),0.89)</f>
        <v>0.89</v>
      </c>
      <c r="BF138" s="296">
        <f>IFERROR(__xludf.DUMMYFUNCTION("""COMPUTED_VALUE"""),3.270117289073306)</f>
        <v>3.270117289</v>
      </c>
      <c r="BG138" s="296">
        <f>IFERROR(__xludf.DUMMYFUNCTION("""COMPUTED_VALUE"""),3.4761812921890063)</f>
        <v>3.476181292</v>
      </c>
      <c r="BH138" s="296">
        <f>IFERROR(__xludf.DUMMYFUNCTION("""COMPUTED_VALUE"""),3.3257142857142856)</f>
        <v>3.325714286</v>
      </c>
      <c r="BI138" s="295">
        <f>IFERROR(__xludf.DUMMYFUNCTION("""COMPUTED_VALUE"""),188.0)</f>
        <v>188</v>
      </c>
      <c r="BJ138" s="295" t="str">
        <f>IFERROR(__xludf.DUMMYFUNCTION("""COMPUTED_VALUE"""),"TRUE")</f>
        <v>TRUE</v>
      </c>
      <c r="BK138" s="346">
        <f>IFERROR(__xludf.DUMMYFUNCTION("""COMPUTED_VALUE"""),2911.0)</f>
        <v>2911</v>
      </c>
      <c r="BL138" s="292"/>
      <c r="BM138" s="292" t="str">
        <f>IFERROR(__xludf.DUMMYFUNCTION("""COMPUTED_VALUE"""),"Lax på tomatrisotto ")</f>
        <v>Lax på tomatrisotto </v>
      </c>
      <c r="BN138" s="343">
        <f>IFERROR(__xludf.DUMMYFUNCTION("""COMPUTED_VALUE"""),3.6341463414634148)</f>
        <v>3.634146341</v>
      </c>
      <c r="BO138" s="343">
        <f>IFERROR(__xludf.DUMMYFUNCTION("""COMPUTED_VALUE"""),3.142857142857143)</f>
        <v>3.142857143</v>
      </c>
      <c r="BP138" s="292"/>
      <c r="BQ138" s="292" t="str">
        <f>IFERROR(__xludf.DUMMYFUNCTION("""COMPUTED_VALUE"""),"Proven")</f>
        <v>Proven</v>
      </c>
      <c r="BR138" s="292" t="b">
        <f>IFERROR(__xludf.DUMMYFUNCTION("""COMPUTED_VALUE"""),FALSE)</f>
        <v>0</v>
      </c>
      <c r="BS138" s="292" t="b">
        <f>IFERROR(__xludf.DUMMYFUNCTION("""COMPUTED_VALUE"""),FALSE)</f>
        <v>0</v>
      </c>
      <c r="BT138" s="296" t="str">
        <f>IFERROR(__xludf.DUMMYFUNCTION("""COMPUTED_VALUE"""),"#REF!")</f>
        <v>#REF!</v>
      </c>
      <c r="BU138" s="296" t="str">
        <f>IFERROR(__xludf.DUMMYFUNCTION("""COMPUTED_VALUE"""),"#REF!")</f>
        <v>#REF!</v>
      </c>
      <c r="BV138" s="296" t="str">
        <f>IFERROR(__xludf.DUMMYFUNCTION("""COMPUTED_VALUE"""),"#REF!")</f>
        <v>#REF!</v>
      </c>
      <c r="BW138" s="296" t="b">
        <f>IFERROR(__xludf.DUMMYFUNCTION("""COMPUTED_VALUE"""),FALSE)</f>
        <v>0</v>
      </c>
    </row>
    <row r="139">
      <c r="A139" s="292" t="str">
        <f>IFERROR(__xludf.DUMMYFUNCTION("""COMPUTED_VALUE"""),"FE4011B")</f>
        <v>FE4011B</v>
      </c>
      <c r="B139" s="292" t="str">
        <f>IFERROR(__xludf.DUMMYFUNCTION("""COMPUTED_VALUE"""),"CON-40-143750-4")</f>
        <v>CON-40-143750-4</v>
      </c>
      <c r="C139" s="292" t="str">
        <f>IFERROR(__xludf.DUMMYFUNCTION("""COMPUTED_VALUE"""),"CON-00-147873-2")</f>
        <v>CON-00-147873-2</v>
      </c>
      <c r="D139" s="292" t="str">
        <f>IFERROR(__xludf.DUMMYFUNCTION("""COMPUTED_VALUE"""),"CON-00-136685-3")</f>
        <v>CON-00-136685-3</v>
      </c>
      <c r="E139" s="292" t="str">
        <f>IFERROR(__xludf.DUMMYFUNCTION("""COMPUTED_VALUE"""),"Spicy pulled chicken and beans")</f>
        <v>Spicy pulled chicken and beans</v>
      </c>
      <c r="F139" s="292" t="str">
        <f>IFERROR(__xludf.DUMMYFUNCTION("""COMPUTED_VALUE"""),"with corn cake, carrot and fresh yoghurt sauce")</f>
        <v>with corn cake, carrot and fresh yoghurt sauce</v>
      </c>
      <c r="G139" s="292" t="str">
        <f>IFERROR(__xludf.DUMMYFUNCTION("""COMPUTED_VALUE"""),"Pittige pulled chicken en bonen")</f>
        <v>Pittige pulled chicken en bonen</v>
      </c>
      <c r="H139" s="292" t="str">
        <f>IFERROR(__xludf.DUMMYFUNCTION("""COMPUTED_VALUE"""),"met maïscake, wortel en frisse yoghurtsaus")</f>
        <v>met maïscake, wortel en frisse yoghurtsaus</v>
      </c>
      <c r="I139" s="292" t="str">
        <f>IFERROR(__xludf.DUMMYFUNCTION("""COMPUTED_VALUE"""),"Spicy pulled chicken og bønner")</f>
        <v>Spicy pulled chicken og bønner</v>
      </c>
      <c r="J139" s="292" t="str">
        <f>IFERROR(__xludf.DUMMYFUNCTION("""COMPUTED_VALUE"""),"Würziges Pulled Chicken mit Bohnen")</f>
        <v>Würziges Pulled Chicken mit Bohnen</v>
      </c>
      <c r="K139" s="292">
        <f>IFERROR(__xludf.DUMMYFUNCTION("""COMPUTED_VALUE"""),565137.0)</f>
        <v>565137</v>
      </c>
      <c r="L139" s="292"/>
      <c r="M139" s="292" t="str">
        <f>IFERROR(__xludf.DUMMYFUNCTION("""COMPUTED_VALUE"""),"FA-NL Pittige Pulled Chicken En Bonen (FE4011)")</f>
        <v>FA-NL Pittige Pulled Chicken En Bonen (FE4011)</v>
      </c>
      <c r="N139" s="292" t="str">
        <f>IFERROR(__xludf.DUMMYFUNCTION("""COMPUTED_VALUE"""),"FA-NO Spicy pulled chicken og bønner (FE4011)")</f>
        <v>FA-NO Spicy pulled chicken og bønner (FE4011)</v>
      </c>
      <c r="O139" s="292" t="str">
        <f>IFERROR(__xludf.DUMMYFUNCTION("""COMPUTED_VALUE"""),"FA-DE Würziges Pulled Chicken mit Bohnen (FE4011)")</f>
        <v>FA-DE Würziges Pulled Chicken mit Bohnen (FE4011)</v>
      </c>
      <c r="P139" s="292" t="str">
        <f>IFERROR(__xludf.DUMMYFUNCTION("""COMPUTED_VALUE"""),"Graveyard")</f>
        <v>Graveyard</v>
      </c>
      <c r="Q139" s="292" t="str">
        <f>IFERROR(__xludf.DUMMYFUNCTION("""COMPUTED_VALUE"""),"decreased corn cake (-5g) to make the meal Calorie Smart")</f>
        <v>decreased corn cake (-5g) to make the meal Calorie Smart</v>
      </c>
      <c r="R139" s="342">
        <f>IFERROR(__xludf.DUMMYFUNCTION("""COMPUTED_VALUE"""),4.59)</f>
        <v>4.59</v>
      </c>
      <c r="S139" s="292"/>
      <c r="T139" s="292"/>
      <c r="U139" s="292"/>
      <c r="V139" s="292"/>
      <c r="W139" s="292" t="b">
        <f>IFERROR(__xludf.DUMMYFUNCTION("""COMPUTED_VALUE"""),TRUE)</f>
        <v>1</v>
      </c>
      <c r="X139" s="345">
        <f>IFERROR(__xludf.DUMMYFUNCTION("""COMPUTED_VALUE"""),399.0)</f>
        <v>399</v>
      </c>
      <c r="Y139" s="344">
        <f>IFERROR(__xludf.DUMMYFUNCTION("""COMPUTED_VALUE"""),537.0)</f>
        <v>537</v>
      </c>
      <c r="Z139" s="343">
        <f>IFERROR(__xludf.DUMMYFUNCTION("""COMPUTED_VALUE"""),27.9)</f>
        <v>27.9</v>
      </c>
      <c r="AA139" s="344">
        <f>IFERROR(__xludf.DUMMYFUNCTION("""COMPUTED_VALUE"""),9.6)</f>
        <v>9.6</v>
      </c>
      <c r="AB139" s="344">
        <f>IFERROR(__xludf.DUMMYFUNCTION("""COMPUTED_VALUE"""),39.8)</f>
        <v>39.8</v>
      </c>
      <c r="AC139" s="344">
        <f>IFERROR(__xludf.DUMMYFUNCTION("""COMPUTED_VALUE"""),17.2)</f>
        <v>17.2</v>
      </c>
      <c r="AD139" s="344">
        <f>IFERROR(__xludf.DUMMYFUNCTION("""COMPUTED_VALUE"""),11.3)</f>
        <v>11.3</v>
      </c>
      <c r="AE139" s="343">
        <f>IFERROR(__xludf.DUMMYFUNCTION("""COMPUTED_VALUE"""),25.3)</f>
        <v>25.3</v>
      </c>
      <c r="AF139" s="343">
        <f>IFERROR(__xludf.DUMMYFUNCTION("""COMPUTED_VALUE"""),1.99)</f>
        <v>1.99</v>
      </c>
      <c r="AG139" s="292" t="b">
        <f>IFERROR(__xludf.DUMMYFUNCTION("""COMPUTED_VALUE"""),TRUE)</f>
        <v>1</v>
      </c>
      <c r="AH139" s="292" t="b">
        <f>IFERROR(__xludf.DUMMYFUNCTION("""COMPUTED_VALUE"""),FALSE)</f>
        <v>0</v>
      </c>
      <c r="AI139" s="292" t="b">
        <f>IFERROR(__xludf.DUMMYFUNCTION("""COMPUTED_VALUE"""),TRUE)</f>
        <v>1</v>
      </c>
      <c r="AJ139" s="292" t="b">
        <f>IFERROR(__xludf.DUMMYFUNCTION("""COMPUTED_VALUE"""),FALSE)</f>
        <v>0</v>
      </c>
      <c r="AK139" s="292" t="b">
        <f>IFERROR(__xludf.DUMMYFUNCTION("""COMPUTED_VALUE"""),FALSE)</f>
        <v>0</v>
      </c>
      <c r="AL139" s="292" t="b">
        <f>IFERROR(__xludf.DUMMYFUNCTION("""COMPUTED_VALUE"""),FALSE)</f>
        <v>0</v>
      </c>
      <c r="AM139" s="292" t="b">
        <f>IFERROR(__xludf.DUMMYFUNCTION("""COMPUTED_VALUE"""),FALSE)</f>
        <v>0</v>
      </c>
      <c r="AN139" s="292" t="b">
        <f>IFERROR(__xludf.DUMMYFUNCTION("""COMPUTED_VALUE"""),FALSE)</f>
        <v>0</v>
      </c>
      <c r="AO139" s="292" t="str">
        <f>IFERROR(__xludf.DUMMYFUNCTION("""COMPUTED_VALUE"""),"TRUE")</f>
        <v>TRUE</v>
      </c>
      <c r="AP139" s="292" t="str">
        <f>IFERROR(__xludf.DUMMYFUNCTION("""COMPUTED_VALUE"""),"Shredded chicken")</f>
        <v>Shredded chicken</v>
      </c>
      <c r="AQ139" s="292" t="str">
        <f>IFERROR(__xludf.DUMMYFUNCTION("""COMPUTED_VALUE"""),"Chicken")</f>
        <v>Chicken</v>
      </c>
      <c r="AR139" s="292" t="str">
        <f>IFERROR(__xludf.DUMMYFUNCTION("""COMPUTED_VALUE"""),"Thigh")</f>
        <v>Thigh</v>
      </c>
      <c r="AS139" s="292" t="str">
        <f>IFERROR(__xludf.DUMMYFUNCTION("""COMPUTED_VALUE"""),"Veggie-based Cake")</f>
        <v>Veggie-based Cake</v>
      </c>
      <c r="AT139" s="292" t="str">
        <f>IFERROR(__xludf.DUMMYFUNCTION("""COMPUTED_VALUE"""),"Carrots")</f>
        <v>Carrots</v>
      </c>
      <c r="AU139" s="292" t="str">
        <f>IFERROR(__xludf.DUMMYFUNCTION("""COMPUTED_VALUE"""),"Pepper Mix")</f>
        <v>Pepper Mix</v>
      </c>
      <c r="AV139" s="292" t="str">
        <f>IFERROR(__xludf.DUMMYFUNCTION("""COMPUTED_VALUE"""),"Black Beans")</f>
        <v>Black Beans</v>
      </c>
      <c r="AW139" s="292" t="str">
        <f>IFERROR(__xludf.DUMMYFUNCTION("""COMPUTED_VALUE"""),"Year Round")</f>
        <v>Year Round</v>
      </c>
      <c r="AX139" s="292" t="str">
        <f>IFERROR(__xludf.DUMMYFUNCTION("""COMPUTED_VALUE"""),"Mexican")</f>
        <v>Mexican</v>
      </c>
      <c r="AY139" s="292"/>
      <c r="AZ139" s="292" t="str">
        <f>IFERROR(__xludf.DUMMYFUNCTION("""COMPUTED_VALUE"""),"2 CT")</f>
        <v>2 CT</v>
      </c>
      <c r="BA139" s="292" t="b">
        <f>IFERROR(__xludf.DUMMYFUNCTION("""COMPUTED_VALUE"""),TRUE)</f>
        <v>1</v>
      </c>
      <c r="BB139" s="342">
        <f>IFERROR(__xludf.DUMMYFUNCTION("""COMPUTED_VALUE"""),1.95)</f>
        <v>1.95</v>
      </c>
      <c r="BC139" s="342">
        <f>IFERROR(__xludf.DUMMYFUNCTION("""COMPUTED_VALUE"""),1.36)</f>
        <v>1.36</v>
      </c>
      <c r="BD139" s="342">
        <f>IFERROR(__xludf.DUMMYFUNCTION("""COMPUTED_VALUE"""),0.39)</f>
        <v>0.39</v>
      </c>
      <c r="BE139" s="342">
        <f>IFERROR(__xludf.DUMMYFUNCTION("""COMPUTED_VALUE"""),0.89)</f>
        <v>0.89</v>
      </c>
      <c r="BF139" s="296">
        <f>IFERROR(__xludf.DUMMYFUNCTION("""COMPUTED_VALUE"""),2.9509419507349093)</f>
        <v>2.950941951</v>
      </c>
      <c r="BG139" s="296">
        <f>IFERROR(__xludf.DUMMYFUNCTION("""COMPUTED_VALUE"""),3.5093905206553067)</f>
        <v>3.509390521</v>
      </c>
      <c r="BH139" s="296">
        <f>IFERROR(__xludf.DUMMYFUNCTION("""COMPUTED_VALUE"""),3.213784851921608)</f>
        <v>3.213784852</v>
      </c>
      <c r="BI139" s="295">
        <f>IFERROR(__xludf.DUMMYFUNCTION("""COMPUTED_VALUE"""),172.0)</f>
        <v>172</v>
      </c>
      <c r="BJ139" s="295" t="str">
        <f>IFERROR(__xludf.DUMMYFUNCTION("""COMPUTED_VALUE"""),"FALSE")</f>
        <v>FALSE</v>
      </c>
      <c r="BK139" s="346">
        <f>IFERROR(__xludf.DUMMYFUNCTION("""COMPUTED_VALUE"""),2243.0)</f>
        <v>2243</v>
      </c>
      <c r="BL139" s="292"/>
      <c r="BM139" s="292"/>
      <c r="BN139" s="343">
        <f>IFERROR(__xludf.DUMMYFUNCTION("""COMPUTED_VALUE"""),3.3660004298302173)</f>
        <v>3.36600043</v>
      </c>
      <c r="BO139" s="343">
        <f>IFERROR(__xludf.DUMMYFUNCTION("""COMPUTED_VALUE"""),3.224921277552857)</f>
        <v>3.224921278</v>
      </c>
      <c r="BP139" s="292"/>
      <c r="BQ139" s="292" t="str">
        <f>IFERROR(__xludf.DUMMYFUNCTION("""COMPUTED_VALUE"""),"Hospital")</f>
        <v>Hospital</v>
      </c>
      <c r="BR139" s="292" t="b">
        <f>IFERROR(__xludf.DUMMYFUNCTION("""COMPUTED_VALUE"""),FALSE)</f>
        <v>0</v>
      </c>
      <c r="BS139" s="292" t="b">
        <f>IFERROR(__xludf.DUMMYFUNCTION("""COMPUTED_VALUE"""),FALSE)</f>
        <v>0</v>
      </c>
      <c r="BT139" s="292"/>
      <c r="BU139" s="292"/>
      <c r="BV139" s="292"/>
      <c r="BW139" s="292"/>
    </row>
    <row r="140">
      <c r="A140" s="292" t="str">
        <f>IFERROR(__xludf.DUMMYFUNCTION("""COMPUTED_VALUE"""),"FE0430E")</f>
        <v>FE0430E</v>
      </c>
      <c r="B140" s="292" t="str">
        <f>IFERROR(__xludf.DUMMYFUNCTION("""COMPUTED_VALUE"""),"CON-40-143738-4")</f>
        <v>CON-40-143738-4</v>
      </c>
      <c r="C140" s="292" t="str">
        <f>IFERROR(__xludf.DUMMYFUNCTION("""COMPUTED_VALUE"""),"CON-00-147848-2")</f>
        <v>CON-00-147848-2</v>
      </c>
      <c r="D140" s="292" t="str">
        <f>IFERROR(__xludf.DUMMYFUNCTION("""COMPUTED_VALUE"""),"CON-00-136639-3")</f>
        <v>CON-00-136639-3</v>
      </c>
      <c r="E140" s="292" t="str">
        <f>IFERROR(__xludf.DUMMYFUNCTION("""COMPUTED_VALUE"""),"Pork tenderloin in red pepper sauce")</f>
        <v>Pork tenderloin in red pepper sauce</v>
      </c>
      <c r="F140" s="292" t="str">
        <f>IFERROR(__xludf.DUMMYFUNCTION("""COMPUTED_VALUE"""),"with mashed potatoes, grilled green beans and caramelized onions")</f>
        <v>with mashed potatoes, grilled green beans and caramelized onions</v>
      </c>
      <c r="G140" s="292" t="str">
        <f>IFERROR(__xludf.DUMMYFUNCTION("""COMPUTED_VALUE"""),"Varkenshaas in rode paprikasaus")</f>
        <v>Varkenshaas in rode paprikasaus</v>
      </c>
      <c r="H140" s="292" t="str">
        <f>IFERROR(__xludf.DUMMYFUNCTION("""COMPUTED_VALUE"""),"met aardappelpuree, sperziebonen en gekaramelliseerde uien")</f>
        <v>met aardappelpuree, sperziebonen en gekaramelliseerde uien</v>
      </c>
      <c r="I140" s="292" t="str">
        <f>IFERROR(__xludf.DUMMYFUNCTION("""COMPUTED_VALUE"""),"Svinemørbrad i rød peberfrugtsauce")</f>
        <v>Svinemørbrad i rød peberfrugtsauce</v>
      </c>
      <c r="J140" s="292" t="str">
        <f>IFERROR(__xludf.DUMMYFUNCTION("""COMPUTED_VALUE"""),"Schweinefilet in Paprikasauce")</f>
        <v>Schweinefilet in Paprikasauce</v>
      </c>
      <c r="K140" s="292">
        <f>IFERROR(__xludf.DUMMYFUNCTION("""COMPUTED_VALUE"""),565140.0)</f>
        <v>565140</v>
      </c>
      <c r="L140" s="292"/>
      <c r="M140" s="292" t="str">
        <f>IFERROR(__xludf.DUMMYFUNCTION("""COMPUTED_VALUE"""),"FA-NL Varkenshaas in rode paprikasaus (FE0430)")</f>
        <v>FA-NL Varkenshaas in rode paprikasaus (FE0430)</v>
      </c>
      <c r="N140" s="292" t="str">
        <f>IFERROR(__xludf.DUMMYFUNCTION("""COMPUTED_VALUE"""),"FA-NO Svinemørbrad i rød peberfrugtsauce (FE0430)")</f>
        <v>FA-NO Svinemørbrad i rød peberfrugtsauce (FE0430)</v>
      </c>
      <c r="O140" s="292" t="str">
        <f>IFERROR(__xludf.DUMMYFUNCTION("""COMPUTED_VALUE"""),"FA-DE Schweinefilet in Paprika-Sauce (FE0430)")</f>
        <v>FA-DE Schweinefilet in Paprika-Sauce (FE0430)</v>
      </c>
      <c r="P140" s="292" t="str">
        <f>IFERROR(__xludf.DUMMYFUNCTION("""COMPUTED_VALUE"""),"Active")</f>
        <v>Active</v>
      </c>
      <c r="Q140" s="292" t="str">
        <f>IFERROR(__xludf.DUMMYFUNCTION("""COMPUTED_VALUE"""),"Improved sauce recipe (xanthan &gt; corn starch)")</f>
        <v>Improved sauce recipe (xanthan &gt; corn starch)</v>
      </c>
      <c r="R140" s="342">
        <f>IFERROR(__xludf.DUMMYFUNCTION("""COMPUTED_VALUE"""),4.66)</f>
        <v>4.66</v>
      </c>
      <c r="S140" s="292"/>
      <c r="T140" s="292"/>
      <c r="U140" s="292"/>
      <c r="V140" s="292"/>
      <c r="W140" s="292" t="b">
        <f>IFERROR(__xludf.DUMMYFUNCTION("""COMPUTED_VALUE"""),TRUE)</f>
        <v>1</v>
      </c>
      <c r="X140" s="345">
        <f>IFERROR(__xludf.DUMMYFUNCTION("""COMPUTED_VALUE"""),411.0)</f>
        <v>411</v>
      </c>
      <c r="Y140" s="344">
        <f>IFERROR(__xludf.DUMMYFUNCTION("""COMPUTED_VALUE"""),513.0)</f>
        <v>513</v>
      </c>
      <c r="Z140" s="343">
        <f>IFERROR(__xludf.DUMMYFUNCTION("""COMPUTED_VALUE"""),24.9)</f>
        <v>24.9</v>
      </c>
      <c r="AA140" s="344">
        <f>IFERROR(__xludf.DUMMYFUNCTION("""COMPUTED_VALUE"""),9.5)</f>
        <v>9.5</v>
      </c>
      <c r="AB140" s="344">
        <f>IFERROR(__xludf.DUMMYFUNCTION("""COMPUTED_VALUE"""),35.3)</f>
        <v>35.3</v>
      </c>
      <c r="AC140" s="344">
        <f>IFERROR(__xludf.DUMMYFUNCTION("""COMPUTED_VALUE"""),9.9)</f>
        <v>9.9</v>
      </c>
      <c r="AD140" s="344">
        <f>IFERROR(__xludf.DUMMYFUNCTION("""COMPUTED_VALUE"""),11.0)</f>
        <v>11</v>
      </c>
      <c r="AE140" s="343">
        <f>IFERROR(__xludf.DUMMYFUNCTION("""COMPUTED_VALUE"""),30.1)</f>
        <v>30.1</v>
      </c>
      <c r="AF140" s="343">
        <f>IFERROR(__xludf.DUMMYFUNCTION("""COMPUTED_VALUE"""),1.96)</f>
        <v>1.96</v>
      </c>
      <c r="AG140" s="292" t="b">
        <f>IFERROR(__xludf.DUMMYFUNCTION("""COMPUTED_VALUE"""),FALSE)</f>
        <v>0</v>
      </c>
      <c r="AH140" s="292" t="b">
        <f>IFERROR(__xludf.DUMMYFUNCTION("""COMPUTED_VALUE"""),FALSE)</f>
        <v>0</v>
      </c>
      <c r="AI140" s="292" t="b">
        <f>IFERROR(__xludf.DUMMYFUNCTION("""COMPUTED_VALUE"""),TRUE)</f>
        <v>1</v>
      </c>
      <c r="AJ140" s="292" t="b">
        <f>IFERROR(__xludf.DUMMYFUNCTION("""COMPUTED_VALUE"""),FALSE)</f>
        <v>0</v>
      </c>
      <c r="AK140" s="292" t="b">
        <f>IFERROR(__xludf.DUMMYFUNCTION("""COMPUTED_VALUE"""),FALSE)</f>
        <v>0</v>
      </c>
      <c r="AL140" s="292" t="b">
        <f>IFERROR(__xludf.DUMMYFUNCTION("""COMPUTED_VALUE"""),FALSE)</f>
        <v>0</v>
      </c>
      <c r="AM140" s="292" t="b">
        <f>IFERROR(__xludf.DUMMYFUNCTION("""COMPUTED_VALUE"""),TRUE)</f>
        <v>1</v>
      </c>
      <c r="AN140" s="292" t="b">
        <f>IFERROR(__xludf.DUMMYFUNCTION("""COMPUTED_VALUE"""),FALSE)</f>
        <v>0</v>
      </c>
      <c r="AO140" s="292" t="str">
        <f>IFERROR(__xludf.DUMMYFUNCTION("""COMPUTED_VALUE"""),"TRUE")</f>
        <v>TRUE</v>
      </c>
      <c r="AP140" s="292" t="str">
        <f>IFERROR(__xludf.DUMMYFUNCTION("""COMPUTED_VALUE"""),"Pork tenderloin")</f>
        <v>Pork tenderloin</v>
      </c>
      <c r="AQ140" s="292" t="str">
        <f>IFERROR(__xludf.DUMMYFUNCTION("""COMPUTED_VALUE"""),"Pork")</f>
        <v>Pork</v>
      </c>
      <c r="AR140" s="292" t="str">
        <f>IFERROR(__xludf.DUMMYFUNCTION("""COMPUTED_VALUE"""),"Tenderloin")</f>
        <v>Tenderloin</v>
      </c>
      <c r="AS140" s="292" t="str">
        <f>IFERROR(__xludf.DUMMYFUNCTION("""COMPUTED_VALUE"""),"Potato Mash")</f>
        <v>Potato Mash</v>
      </c>
      <c r="AT140" s="292" t="str">
        <f>IFERROR(__xludf.DUMMYFUNCTION("""COMPUTED_VALUE"""),"Caramelized Onions")</f>
        <v>Caramelized Onions</v>
      </c>
      <c r="AU140" s="292" t="str">
        <f>IFERROR(__xludf.DUMMYFUNCTION("""COMPUTED_VALUE"""),"Green Beans")</f>
        <v>Green Beans</v>
      </c>
      <c r="AV140" s="292" t="str">
        <f>IFERROR(__xludf.DUMMYFUNCTION("""COMPUTED_VALUE"""),"Red bell pepper")</f>
        <v>Red bell pepper</v>
      </c>
      <c r="AW140" s="292" t="str">
        <f>IFERROR(__xludf.DUMMYFUNCTION("""COMPUTED_VALUE"""),"Year Round")</f>
        <v>Year Round</v>
      </c>
      <c r="AX140" s="292" t="str">
        <f>IFERROR(__xludf.DUMMYFUNCTION("""COMPUTED_VALUE"""),"American")</f>
        <v>American</v>
      </c>
      <c r="AY140" s="292"/>
      <c r="AZ140" s="292" t="str">
        <f>IFERROR(__xludf.DUMMYFUNCTION("""COMPUTED_VALUE"""),"2 CT")</f>
        <v>2 CT</v>
      </c>
      <c r="BA140" s="292" t="b">
        <f>IFERROR(__xludf.DUMMYFUNCTION("""COMPUTED_VALUE"""),FALSE)</f>
        <v>0</v>
      </c>
      <c r="BB140" s="342">
        <f>IFERROR(__xludf.DUMMYFUNCTION("""COMPUTED_VALUE"""),2.31)</f>
        <v>2.31</v>
      </c>
      <c r="BC140" s="342">
        <f>IFERROR(__xludf.DUMMYFUNCTION("""COMPUTED_VALUE"""),1.1)</f>
        <v>1.1</v>
      </c>
      <c r="BD140" s="342">
        <f>IFERROR(__xludf.DUMMYFUNCTION("""COMPUTED_VALUE"""),0.36)</f>
        <v>0.36</v>
      </c>
      <c r="BE140" s="342">
        <f>IFERROR(__xludf.DUMMYFUNCTION("""COMPUTED_VALUE"""),0.89)</f>
        <v>0.89</v>
      </c>
      <c r="BF140" s="296">
        <f>IFERROR(__xludf.DUMMYFUNCTION("""COMPUTED_VALUE"""),3.1566666666666663)</f>
        <v>3.156666667</v>
      </c>
      <c r="BG140" s="296">
        <f>IFERROR(__xludf.DUMMYFUNCTION("""COMPUTED_VALUE"""),3.073333333333333)</f>
        <v>3.073333333</v>
      </c>
      <c r="BH140" s="296">
        <f>IFERROR(__xludf.DUMMYFUNCTION("""COMPUTED_VALUE"""),3.16)</f>
        <v>3.16</v>
      </c>
      <c r="BI140" s="295">
        <f>IFERROR(__xludf.DUMMYFUNCTION("""COMPUTED_VALUE"""),156.0)</f>
        <v>156</v>
      </c>
      <c r="BJ140" s="295" t="str">
        <f>IFERROR(__xludf.DUMMYFUNCTION("""COMPUTED_VALUE"""),"FALSE")</f>
        <v>FALSE</v>
      </c>
      <c r="BK140" s="346">
        <f>IFERROR(__xludf.DUMMYFUNCTION("""COMPUTED_VALUE"""),2142.0)</f>
        <v>2142</v>
      </c>
      <c r="BL140" s="292"/>
      <c r="BM140" s="292"/>
      <c r="BN140" s="343">
        <f>IFERROR(__xludf.DUMMYFUNCTION("""COMPUTED_VALUE"""),3.263333333333333)</f>
        <v>3.263333333</v>
      </c>
      <c r="BO140" s="343">
        <f>IFERROR(__xludf.DUMMYFUNCTION("""COMPUTED_VALUE"""),3.0799999999999996)</f>
        <v>3.08</v>
      </c>
      <c r="BP140" s="292"/>
      <c r="BQ140" s="292" t="str">
        <f>IFERROR(__xludf.DUMMYFUNCTION("""COMPUTED_VALUE"""),"Active")</f>
        <v>Active</v>
      </c>
      <c r="BR140" s="292" t="b">
        <f>IFERROR(__xludf.DUMMYFUNCTION("""COMPUTED_VALUE"""),FALSE)</f>
        <v>0</v>
      </c>
      <c r="BS140" s="292" t="b">
        <f>IFERROR(__xludf.DUMMYFUNCTION("""COMPUTED_VALUE"""),FALSE)</f>
        <v>0</v>
      </c>
      <c r="BT140" s="292"/>
      <c r="BU140" s="292"/>
      <c r="BV140" s="292"/>
      <c r="BW140" s="292"/>
    </row>
    <row r="141">
      <c r="A141" s="292" t="str">
        <f>IFERROR(__xludf.DUMMYFUNCTION("""COMPUTED_VALUE"""),"FE4010B")</f>
        <v>FE4010B</v>
      </c>
      <c r="B141" s="292" t="str">
        <f>IFERROR(__xludf.DUMMYFUNCTION("""COMPUTED_VALUE"""),"CON-40-143698-4")</f>
        <v>CON-40-143698-4</v>
      </c>
      <c r="C141" s="292" t="str">
        <f>IFERROR(__xludf.DUMMYFUNCTION("""COMPUTED_VALUE"""),"CON-00-147874-2")</f>
        <v>CON-00-147874-2</v>
      </c>
      <c r="D141" s="292" t="str">
        <f>IFERROR(__xludf.DUMMYFUNCTION("""COMPUTED_VALUE"""),"CON-00-136670-3")</f>
        <v>CON-00-136670-3</v>
      </c>
      <c r="E141" s="292" t="str">
        <f>IFERROR(__xludf.DUMMYFUNCTION("""COMPUTED_VALUE"""),"Grilled pork tenderloin and tomato butter")</f>
        <v>Grilled pork tenderloin and tomato butter</v>
      </c>
      <c r="F141" s="292" t="str">
        <f>IFERROR(__xludf.DUMMYFUNCTION("""COMPUTED_VALUE"""),"with broccoli in roasted pepper sauce and cauliflower puree")</f>
        <v>with broccoli in roasted pepper sauce and cauliflower puree</v>
      </c>
      <c r="G141" s="292" t="str">
        <f>IFERROR(__xludf.DUMMYFUNCTION("""COMPUTED_VALUE"""),"Gegrilde varkenshaas en tomatenboter")</f>
        <v>Gegrilde varkenshaas en tomatenboter</v>
      </c>
      <c r="H141" s="292" t="str">
        <f>IFERROR(__xludf.DUMMYFUNCTION("""COMPUTED_VALUE"""),"met broccoli in geroosterde paprikasaus en bloemkoolpuree ")</f>
        <v>met broccoli in geroosterde paprikasaus en bloemkoolpuree </v>
      </c>
      <c r="I141" s="292" t="str">
        <f>IFERROR(__xludf.DUMMYFUNCTION("""COMPUTED_VALUE"""),"Grillet svinemørbrad og tomatsmør")</f>
        <v>Grillet svinemørbrad og tomatsmør</v>
      </c>
      <c r="J141" s="292" t="str">
        <f>IFERROR(__xludf.DUMMYFUNCTION("""COMPUTED_VALUE"""),"Gegrilltes Schweinefilet mit Tomatenbutter")</f>
        <v>Gegrilltes Schweinefilet mit Tomatenbutter</v>
      </c>
      <c r="K141" s="292">
        <f>IFERROR(__xludf.DUMMYFUNCTION("""COMPUTED_VALUE"""),565138.0)</f>
        <v>565138</v>
      </c>
      <c r="L141" s="292"/>
      <c r="M141" s="292" t="str">
        <f>IFERROR(__xludf.DUMMYFUNCTION("""COMPUTED_VALUE"""),"FA-NL Gegrilde varkenshaas en tomatenboter (FE4010)")</f>
        <v>FA-NL Gegrilde varkenshaas en tomatenboter (FE4010)</v>
      </c>
      <c r="N141" s="292" t="str">
        <f>IFERROR(__xludf.DUMMYFUNCTION("""COMPUTED_VALUE"""),"FA-NO Grillet svinemørbrad og tomatsmør (FE4010)")</f>
        <v>FA-NO Grillet svinemørbrad og tomatsmør (FE4010)</v>
      </c>
      <c r="O141" s="292" t="str">
        <f>IFERROR(__xludf.DUMMYFUNCTION("""COMPUTED_VALUE"""),"FA-DE Gegrilltes Schweinefilet mit Tomatenbutter (FE4010)")</f>
        <v>FA-DE Gegrilltes Schweinefilet mit Tomatenbutter (FE4010)</v>
      </c>
      <c r="P141" s="292" t="str">
        <f>IFERROR(__xludf.DUMMYFUNCTION("""COMPUTED_VALUE"""),"Hold")</f>
        <v>Hold</v>
      </c>
      <c r="Q141" s="292" t="str">
        <f>IFERROR(__xludf.DUMMYFUNCTION("""COMPUTED_VALUE"""),"Improved sauce recipe (xanthan &gt; corn starch)")</f>
        <v>Improved sauce recipe (xanthan &gt; corn starch)</v>
      </c>
      <c r="R141" s="342">
        <f>IFERROR(__xludf.DUMMYFUNCTION("""COMPUTED_VALUE"""),5.22)</f>
        <v>5.22</v>
      </c>
      <c r="S141" s="292"/>
      <c r="T141" s="292"/>
      <c r="U141" s="292"/>
      <c r="V141" s="292"/>
      <c r="W141" s="292" t="b">
        <f>IFERROR(__xludf.DUMMYFUNCTION("""COMPUTED_VALUE"""),TRUE)</f>
        <v>1</v>
      </c>
      <c r="X141" s="345">
        <f>IFERROR(__xludf.DUMMYFUNCTION("""COMPUTED_VALUE"""),373.0)</f>
        <v>373</v>
      </c>
      <c r="Y141" s="344">
        <f>IFERROR(__xludf.DUMMYFUNCTION("""COMPUTED_VALUE"""),588.0)</f>
        <v>588</v>
      </c>
      <c r="Z141" s="343">
        <f>IFERROR(__xludf.DUMMYFUNCTION("""COMPUTED_VALUE"""),44.1)</f>
        <v>44.1</v>
      </c>
      <c r="AA141" s="344">
        <f>IFERROR(__xludf.DUMMYFUNCTION("""COMPUTED_VALUE"""),25.3)</f>
        <v>25.3</v>
      </c>
      <c r="AB141" s="344">
        <f>IFERROR(__xludf.DUMMYFUNCTION("""COMPUTED_VALUE"""),11.3)</f>
        <v>11.3</v>
      </c>
      <c r="AC141" s="344">
        <f>IFERROR(__xludf.DUMMYFUNCTION("""COMPUTED_VALUE"""),7.4)</f>
        <v>7.4</v>
      </c>
      <c r="AD141" s="344">
        <f>IFERROR(__xludf.DUMMYFUNCTION("""COMPUTED_VALUE"""),7.7)</f>
        <v>7.7</v>
      </c>
      <c r="AE141" s="343">
        <f>IFERROR(__xludf.DUMMYFUNCTION("""COMPUTED_VALUE"""),31.4)</f>
        <v>31.4</v>
      </c>
      <c r="AF141" s="343">
        <f>IFERROR(__xludf.DUMMYFUNCTION("""COMPUTED_VALUE"""),1.76)</f>
        <v>1.76</v>
      </c>
      <c r="AG141" s="292" t="b">
        <f>IFERROR(__xludf.DUMMYFUNCTION("""COMPUTED_VALUE"""),FALSE)</f>
        <v>0</v>
      </c>
      <c r="AH141" s="292" t="b">
        <f>IFERROR(__xludf.DUMMYFUNCTION("""COMPUTED_VALUE"""),TRUE)</f>
        <v>1</v>
      </c>
      <c r="AI141" s="292" t="b">
        <f>IFERROR(__xludf.DUMMYFUNCTION("""COMPUTED_VALUE"""),FALSE)</f>
        <v>0</v>
      </c>
      <c r="AJ141" s="292" t="b">
        <f>IFERROR(__xludf.DUMMYFUNCTION("""COMPUTED_VALUE"""),FALSE)</f>
        <v>0</v>
      </c>
      <c r="AK141" s="292" t="b">
        <f>IFERROR(__xludf.DUMMYFUNCTION("""COMPUTED_VALUE"""),FALSE)</f>
        <v>0</v>
      </c>
      <c r="AL141" s="292" t="b">
        <f>IFERROR(__xludf.DUMMYFUNCTION("""COMPUTED_VALUE"""),FALSE)</f>
        <v>0</v>
      </c>
      <c r="AM141" s="292" t="b">
        <f>IFERROR(__xludf.DUMMYFUNCTION("""COMPUTED_VALUE"""),TRUE)</f>
        <v>1</v>
      </c>
      <c r="AN141" s="292" t="b">
        <f>IFERROR(__xludf.DUMMYFUNCTION("""COMPUTED_VALUE"""),FALSE)</f>
        <v>0</v>
      </c>
      <c r="AO141" s="292" t="str">
        <f>IFERROR(__xludf.DUMMYFUNCTION("""COMPUTED_VALUE"""),"FALSE")</f>
        <v>FALSE</v>
      </c>
      <c r="AP141" s="292" t="str">
        <f>IFERROR(__xludf.DUMMYFUNCTION("""COMPUTED_VALUE"""),"Pork tenderloin")</f>
        <v>Pork tenderloin</v>
      </c>
      <c r="AQ141" s="292" t="str">
        <f>IFERROR(__xludf.DUMMYFUNCTION("""COMPUTED_VALUE"""),"Pork")</f>
        <v>Pork</v>
      </c>
      <c r="AR141" s="292" t="str">
        <f>IFERROR(__xludf.DUMMYFUNCTION("""COMPUTED_VALUE"""),"Tenderloin")</f>
        <v>Tenderloin</v>
      </c>
      <c r="AS141" s="292" t="str">
        <f>IFERROR(__xludf.DUMMYFUNCTION("""COMPUTED_VALUE"""),"Cauliflower Mash")</f>
        <v>Cauliflower Mash</v>
      </c>
      <c r="AT141" s="292" t="str">
        <f>IFERROR(__xludf.DUMMYFUNCTION("""COMPUTED_VALUE"""),"Broccoli")</f>
        <v>Broccoli</v>
      </c>
      <c r="AU141" s="292" t="str">
        <f>IFERROR(__xludf.DUMMYFUNCTION("""COMPUTED_VALUE"""),"Creamy Sauce Base")</f>
        <v>Creamy Sauce Base</v>
      </c>
      <c r="AV141" s="292" t="str">
        <f>IFERROR(__xludf.DUMMYFUNCTION("""COMPUTED_VALUE"""),"Compound Butter")</f>
        <v>Compound Butter</v>
      </c>
      <c r="AW141" s="292" t="str">
        <f>IFERROR(__xludf.DUMMYFUNCTION("""COMPUTED_VALUE"""),"Year Round")</f>
        <v>Year Round</v>
      </c>
      <c r="AX141" s="292" t="str">
        <f>IFERROR(__xludf.DUMMYFUNCTION("""COMPUTED_VALUE"""),"American")</f>
        <v>American</v>
      </c>
      <c r="AY141" s="292"/>
      <c r="AZ141" s="292" t="str">
        <f>IFERROR(__xludf.DUMMYFUNCTION("""COMPUTED_VALUE"""),"2 CT")</f>
        <v>2 CT</v>
      </c>
      <c r="BA141" s="292" t="b">
        <f>IFERROR(__xludf.DUMMYFUNCTION("""COMPUTED_VALUE"""),FALSE)</f>
        <v>0</v>
      </c>
      <c r="BB141" s="342">
        <f>IFERROR(__xludf.DUMMYFUNCTION("""COMPUTED_VALUE"""),2.79)</f>
        <v>2.79</v>
      </c>
      <c r="BC141" s="342">
        <f>IFERROR(__xludf.DUMMYFUNCTION("""COMPUTED_VALUE"""),1.18)</f>
        <v>1.18</v>
      </c>
      <c r="BD141" s="342">
        <f>IFERROR(__xludf.DUMMYFUNCTION("""COMPUTED_VALUE"""),0.36)</f>
        <v>0.36</v>
      </c>
      <c r="BE141" s="342">
        <f>IFERROR(__xludf.DUMMYFUNCTION("""COMPUTED_VALUE"""),0.89)</f>
        <v>0.89</v>
      </c>
      <c r="BF141" s="296">
        <f>IFERROR(__xludf.DUMMYFUNCTION("""COMPUTED_VALUE"""),3.3699999999999997)</f>
        <v>3.37</v>
      </c>
      <c r="BG141" s="296">
        <f>IFERROR(__xludf.DUMMYFUNCTION("""COMPUTED_VALUE"""),3.3166666666666664)</f>
        <v>3.316666667</v>
      </c>
      <c r="BH141" s="296">
        <f>IFERROR(__xludf.DUMMYFUNCTION("""COMPUTED_VALUE"""),3.3466666666666662)</f>
        <v>3.346666667</v>
      </c>
      <c r="BI141" s="295">
        <f>IFERROR(__xludf.DUMMYFUNCTION("""COMPUTED_VALUE"""),203.0)</f>
        <v>203</v>
      </c>
      <c r="BJ141" s="295" t="str">
        <f>IFERROR(__xludf.DUMMYFUNCTION("""COMPUTED_VALUE"""),"FALSE")</f>
        <v>FALSE</v>
      </c>
      <c r="BK141" s="346">
        <f>IFERROR(__xludf.DUMMYFUNCTION("""COMPUTED_VALUE"""),2440.0)</f>
        <v>2440</v>
      </c>
      <c r="BL141" s="292"/>
      <c r="BM141" s="292"/>
      <c r="BN141" s="343">
        <f>IFERROR(__xludf.DUMMYFUNCTION("""COMPUTED_VALUE"""),3.4433333333333334)</f>
        <v>3.443333333</v>
      </c>
      <c r="BO141" s="343">
        <f>IFERROR(__xludf.DUMMYFUNCTION("""COMPUTED_VALUE"""),3.41)</f>
        <v>3.41</v>
      </c>
      <c r="BP141" s="292"/>
      <c r="BQ141" s="292" t="str">
        <f>IFERROR(__xludf.DUMMYFUNCTION("""COMPUTED_VALUE"""),"Active")</f>
        <v>Active</v>
      </c>
      <c r="BR141" s="292" t="b">
        <f>IFERROR(__xludf.DUMMYFUNCTION("""COMPUTED_VALUE"""),FALSE)</f>
        <v>0</v>
      </c>
      <c r="BS141" s="292" t="b">
        <f>IFERROR(__xludf.DUMMYFUNCTION("""COMPUTED_VALUE"""),FALSE)</f>
        <v>0</v>
      </c>
      <c r="BT141" s="292"/>
      <c r="BU141" s="292"/>
      <c r="BV141" s="292"/>
      <c r="BW141" s="292"/>
    </row>
    <row r="142">
      <c r="A142" s="292" t="str">
        <f>IFERROR(__xludf.DUMMYFUNCTION("""COMPUTED_VALUE"""),"FE0745B")</f>
        <v>FE0745B</v>
      </c>
      <c r="B142" s="292" t="str">
        <f>IFERROR(__xludf.DUMMYFUNCTION("""COMPUTED_VALUE"""),"CON-40-143726-4")</f>
        <v>CON-40-143726-4</v>
      </c>
      <c r="C142" s="292" t="str">
        <f>IFERROR(__xludf.DUMMYFUNCTION("""COMPUTED_VALUE"""),"CON-00-147855-2")</f>
        <v>CON-00-147855-2</v>
      </c>
      <c r="D142" s="292" t="str">
        <f>IFERROR(__xludf.DUMMYFUNCTION("""COMPUTED_VALUE"""),"CON-00-136718-3")</f>
        <v>CON-00-136718-3</v>
      </c>
      <c r="E142" s="292" t="str">
        <f>IFERROR(__xludf.DUMMYFUNCTION("""COMPUTED_VALUE"""),"Beef with cauliflower mash")</f>
        <v>Beef with cauliflower mash</v>
      </c>
      <c r="F142" s="292" t="str">
        <f>IFERROR(__xludf.DUMMYFUNCTION("""COMPUTED_VALUE"""),"with roasted red pepper sauce, pecorino and courgette")</f>
        <v>with roasted red pepper sauce, pecorino and courgette</v>
      </c>
      <c r="G142" s="292" t="str">
        <f>IFERROR(__xludf.DUMMYFUNCTION("""COMPUTED_VALUE"""),"Rundvlees met bloemkoolpuree")</f>
        <v>Rundvlees met bloemkoolpuree</v>
      </c>
      <c r="H142" s="292" t="str">
        <f>IFERROR(__xludf.DUMMYFUNCTION("""COMPUTED_VALUE"""),"met geroosterde paprikasaus, pecorino en courgette")</f>
        <v>met geroosterde paprikasaus, pecorino en courgette</v>
      </c>
      <c r="I142" s="292" t="str">
        <f>IFERROR(__xludf.DUMMYFUNCTION("""COMPUTED_VALUE"""),"Oksekød med blomkålsmos")</f>
        <v>Oksekød med blomkålsmos</v>
      </c>
      <c r="J142" s="292" t="str">
        <f>IFERROR(__xludf.DUMMYFUNCTION("""COMPUTED_VALUE"""),"Rindfleisch mit Blumenkohlpüree")</f>
        <v>Rindfleisch mit Blumenkohlpüree</v>
      </c>
      <c r="K142" s="292">
        <f>IFERROR(__xludf.DUMMYFUNCTION("""COMPUTED_VALUE"""),565139.0)</f>
        <v>565139</v>
      </c>
      <c r="L142" s="292" t="str">
        <f>IFERROR(__xludf.DUMMYFUNCTION("""COMPUTED_VALUE"""),"HF Pulled beef met peccorino")</f>
        <v>HF Pulled beef met peccorino</v>
      </c>
      <c r="M142" s="292" t="str">
        <f>IFERROR(__xludf.DUMMYFUNCTION("""COMPUTED_VALUE"""),"FA-NL Rundvlees in paprikasaus (FE0745)")</f>
        <v>FA-NL Rundvlees in paprikasaus (FE0745)</v>
      </c>
      <c r="N142" s="292" t="str">
        <f>IFERROR(__xludf.DUMMYFUNCTION("""COMPUTED_VALUE"""),"FA-NO Oksekød i paprikasauce (FE0745)")</f>
        <v>FA-NO Oksekød i paprikasauce (FE0745)</v>
      </c>
      <c r="O142" s="292" t="str">
        <f>IFERROR(__xludf.DUMMYFUNCTION("""COMPUTED_VALUE"""),"FA-DE Rindfleisch in Paprikasauce (FE0745)")</f>
        <v>FA-DE Rindfleisch in Paprikasauce (FE0745)</v>
      </c>
      <c r="P142" s="292" t="str">
        <f>IFERROR(__xludf.DUMMYFUNCTION("""COMPUTED_VALUE"""),"Active")</f>
        <v>Active</v>
      </c>
      <c r="Q142" s="292" t="str">
        <f>IFERROR(__xludf.DUMMYFUNCTION("""COMPUTED_VALUE"""),"Improved sauce recipe (xanthan &gt; corn starch)")</f>
        <v>Improved sauce recipe (xanthan &gt; corn starch)</v>
      </c>
      <c r="R142" s="342">
        <f>IFERROR(__xludf.DUMMYFUNCTION("""COMPUTED_VALUE"""),4.53)</f>
        <v>4.53</v>
      </c>
      <c r="S142" s="292"/>
      <c r="T142" s="292"/>
      <c r="U142" s="292"/>
      <c r="V142" s="292"/>
      <c r="W142" s="292" t="b">
        <f>IFERROR(__xludf.DUMMYFUNCTION("""COMPUTED_VALUE"""),TRUE)</f>
        <v>1</v>
      </c>
      <c r="X142" s="345">
        <f>IFERROR(__xludf.DUMMYFUNCTION("""COMPUTED_VALUE"""),422.0)</f>
        <v>422</v>
      </c>
      <c r="Y142" s="344">
        <f>IFERROR(__xludf.DUMMYFUNCTION("""COMPUTED_VALUE"""),561.0)</f>
        <v>561</v>
      </c>
      <c r="Z142" s="343">
        <f>IFERROR(__xludf.DUMMYFUNCTION("""COMPUTED_VALUE"""),36.9)</f>
        <v>36.9</v>
      </c>
      <c r="AA142" s="344">
        <f>IFERROR(__xludf.DUMMYFUNCTION("""COMPUTED_VALUE"""),20.9)</f>
        <v>20.9</v>
      </c>
      <c r="AB142" s="344">
        <f>IFERROR(__xludf.DUMMYFUNCTION("""COMPUTED_VALUE"""),12.9)</f>
        <v>12.9</v>
      </c>
      <c r="AC142" s="344">
        <f>IFERROR(__xludf.DUMMYFUNCTION("""COMPUTED_VALUE"""),10.5)</f>
        <v>10.5</v>
      </c>
      <c r="AD142" s="344">
        <f>IFERROR(__xludf.DUMMYFUNCTION("""COMPUTED_VALUE"""),4.9)</f>
        <v>4.9</v>
      </c>
      <c r="AE142" s="343">
        <f>IFERROR(__xludf.DUMMYFUNCTION("""COMPUTED_VALUE"""),40.7)</f>
        <v>40.7</v>
      </c>
      <c r="AF142" s="343">
        <f>IFERROR(__xludf.DUMMYFUNCTION("""COMPUTED_VALUE"""),2.01)</f>
        <v>2.01</v>
      </c>
      <c r="AG142" s="292" t="b">
        <f>IFERROR(__xludf.DUMMYFUNCTION("""COMPUTED_VALUE"""),FALSE)</f>
        <v>0</v>
      </c>
      <c r="AH142" s="292" t="b">
        <f>IFERROR(__xludf.DUMMYFUNCTION("""COMPUTED_VALUE"""),TRUE)</f>
        <v>1</v>
      </c>
      <c r="AI142" s="292" t="b">
        <f>IFERROR(__xludf.DUMMYFUNCTION("""COMPUTED_VALUE"""),FALSE)</f>
        <v>0</v>
      </c>
      <c r="AJ142" s="292" t="b">
        <f>IFERROR(__xludf.DUMMYFUNCTION("""COMPUTED_VALUE"""),FALSE)</f>
        <v>0</v>
      </c>
      <c r="AK142" s="292" t="b">
        <f>IFERROR(__xludf.DUMMYFUNCTION("""COMPUTED_VALUE"""),FALSE)</f>
        <v>0</v>
      </c>
      <c r="AL142" s="292" t="b">
        <f>IFERROR(__xludf.DUMMYFUNCTION("""COMPUTED_VALUE"""),FALSE)</f>
        <v>0</v>
      </c>
      <c r="AM142" s="292" t="b">
        <f>IFERROR(__xludf.DUMMYFUNCTION("""COMPUTED_VALUE"""),TRUE)</f>
        <v>1</v>
      </c>
      <c r="AN142" s="292" t="b">
        <f>IFERROR(__xludf.DUMMYFUNCTION("""COMPUTED_VALUE"""),FALSE)</f>
        <v>0</v>
      </c>
      <c r="AO142" s="292" t="str">
        <f>IFERROR(__xludf.DUMMYFUNCTION("""COMPUTED_VALUE"""),"FALSE")</f>
        <v>FALSE</v>
      </c>
      <c r="AP142" s="292" t="str">
        <f>IFERROR(__xludf.DUMMYFUNCTION("""COMPUTED_VALUE"""),"Shredded beef")</f>
        <v>Shredded beef</v>
      </c>
      <c r="AQ142" s="292" t="str">
        <f>IFERROR(__xludf.DUMMYFUNCTION("""COMPUTED_VALUE"""),"Beef")</f>
        <v>Beef</v>
      </c>
      <c r="AR142" s="292" t="str">
        <f>IFERROR(__xludf.DUMMYFUNCTION("""COMPUTED_VALUE"""),"Pulled")</f>
        <v>Pulled</v>
      </c>
      <c r="AS142" s="292" t="str">
        <f>IFERROR(__xludf.DUMMYFUNCTION("""COMPUTED_VALUE"""),"Cauliflower Mash")</f>
        <v>Cauliflower Mash</v>
      </c>
      <c r="AT142" s="292" t="str">
        <f>IFERROR(__xludf.DUMMYFUNCTION("""COMPUTED_VALUE"""),"Zucchini Diced")</f>
        <v>Zucchini Diced</v>
      </c>
      <c r="AU142" s="292" t="str">
        <f>IFERROR(__xludf.DUMMYFUNCTION("""COMPUTED_VALUE"""),"Red bell pepper")</f>
        <v>Red bell pepper</v>
      </c>
      <c r="AV142" s="292" t="str">
        <f>IFERROR(__xludf.DUMMYFUNCTION("""COMPUTED_VALUE"""),"Cheese")</f>
        <v>Cheese</v>
      </c>
      <c r="AW142" s="292" t="str">
        <f>IFERROR(__xludf.DUMMYFUNCTION("""COMPUTED_VALUE"""),"Year Round")</f>
        <v>Year Round</v>
      </c>
      <c r="AX142" s="292" t="str">
        <f>IFERROR(__xludf.DUMMYFUNCTION("""COMPUTED_VALUE"""),"American")</f>
        <v>American</v>
      </c>
      <c r="AY142" s="292"/>
      <c r="AZ142" s="292" t="str">
        <f>IFERROR(__xludf.DUMMYFUNCTION("""COMPUTED_VALUE"""),"2 CT")</f>
        <v>2 CT</v>
      </c>
      <c r="BA142" s="292" t="b">
        <f>IFERROR(__xludf.DUMMYFUNCTION("""COMPUTED_VALUE"""),FALSE)</f>
        <v>0</v>
      </c>
      <c r="BB142" s="342" t="str">
        <f>IFERROR(__xludf.DUMMYFUNCTION("""COMPUTED_VALUE"""),"#N/A")</f>
        <v>#N/A</v>
      </c>
      <c r="BC142" s="342" t="str">
        <f>IFERROR(__xludf.DUMMYFUNCTION("""COMPUTED_VALUE"""),"#N/A")</f>
        <v>#N/A</v>
      </c>
      <c r="BD142" s="342" t="str">
        <f>IFERROR(__xludf.DUMMYFUNCTION("""COMPUTED_VALUE"""),"#N/A")</f>
        <v>#N/A</v>
      </c>
      <c r="BE142" s="342">
        <f>IFERROR(__xludf.DUMMYFUNCTION("""COMPUTED_VALUE"""),0.89)</f>
        <v>0.89</v>
      </c>
      <c r="BF142" s="296">
        <f>IFERROR(__xludf.DUMMYFUNCTION("""COMPUTED_VALUE"""),3.143333333333333)</f>
        <v>3.143333333</v>
      </c>
      <c r="BG142" s="296">
        <f>IFERROR(__xludf.DUMMYFUNCTION("""COMPUTED_VALUE"""),3.103333333333333)</f>
        <v>3.103333333</v>
      </c>
      <c r="BH142" s="296">
        <f>IFERROR(__xludf.DUMMYFUNCTION("""COMPUTED_VALUE"""),2.9599999999999995)</f>
        <v>2.96</v>
      </c>
      <c r="BI142" s="295">
        <f>IFERROR(__xludf.DUMMYFUNCTION("""COMPUTED_VALUE"""),250.0)</f>
        <v>250</v>
      </c>
      <c r="BJ142" s="295" t="str">
        <f>IFERROR(__xludf.DUMMYFUNCTION("""COMPUTED_VALUE"""),"FALSE")</f>
        <v>FALSE</v>
      </c>
      <c r="BK142" s="346">
        <f>IFERROR(__xludf.DUMMYFUNCTION("""COMPUTED_VALUE"""),2337.0)</f>
        <v>2337</v>
      </c>
      <c r="BL142" s="292" t="str">
        <f>IFERROR(__xludf.DUMMYFUNCTION("""COMPUTED_VALUE"""),"Frankenstein")</f>
        <v>Frankenstein</v>
      </c>
      <c r="BM142" s="292" t="str">
        <f>IFERROR(__xludf.DUMMYFUNCTION("""COMPUTED_VALUE"""),"Nötkött med blomkålsmos")</f>
        <v>Nötkött med blomkålsmos</v>
      </c>
      <c r="BN142" s="343">
        <f>IFERROR(__xludf.DUMMYFUNCTION("""COMPUTED_VALUE"""),3.3633333333333333)</f>
        <v>3.363333333</v>
      </c>
      <c r="BO142" s="343">
        <f>IFERROR(__xludf.DUMMYFUNCTION("""COMPUTED_VALUE"""),2.9066666666666663)</f>
        <v>2.906666667</v>
      </c>
      <c r="BP142" s="292"/>
      <c r="BQ142" s="292" t="str">
        <f>IFERROR(__xludf.DUMMYFUNCTION("""COMPUTED_VALUE"""),"Active")</f>
        <v>Active</v>
      </c>
      <c r="BR142" s="292" t="b">
        <f>IFERROR(__xludf.DUMMYFUNCTION("""COMPUTED_VALUE"""),FALSE)</f>
        <v>0</v>
      </c>
      <c r="BS142" s="292" t="b">
        <f>IFERROR(__xludf.DUMMYFUNCTION("""COMPUTED_VALUE"""),FALSE)</f>
        <v>0</v>
      </c>
      <c r="BT142" s="292"/>
      <c r="BU142" s="292"/>
      <c r="BV142" s="292"/>
      <c r="BW142" s="292"/>
    </row>
    <row r="143">
      <c r="A143" s="292" t="str">
        <f>IFERROR(__xludf.DUMMYFUNCTION("""COMPUTED_VALUE"""),"FE4027B")</f>
        <v>FE4027B</v>
      </c>
      <c r="B143" s="292" t="str">
        <f>IFERROR(__xludf.DUMMYFUNCTION("""COMPUTED_VALUE"""),"CON-40-143725-4")</f>
        <v>CON-40-143725-4</v>
      </c>
      <c r="C143" s="292" t="str">
        <f>IFERROR(__xludf.DUMMYFUNCTION("""COMPUTED_VALUE"""),"CON-00-147888-2")</f>
        <v>CON-00-147888-2</v>
      </c>
      <c r="D143" s="292" t="str">
        <f>IFERROR(__xludf.DUMMYFUNCTION("""COMPUTED_VALUE"""),"CON-00-136693-3")</f>
        <v>CON-00-136693-3</v>
      </c>
      <c r="E143" s="292" t="str">
        <f>IFERROR(__xludf.DUMMYFUNCTION("""COMPUTED_VALUE"""),"Beef &amp; BBQ sauce")</f>
        <v>Beef &amp; BBQ sauce</v>
      </c>
      <c r="F143" s="292" t="str">
        <f>IFERROR(__xludf.DUMMYFUNCTION("""COMPUTED_VALUE"""),"with potato-leek mash, courgette and corn")</f>
        <v>with potato-leek mash, courgette and corn</v>
      </c>
      <c r="G143" s="292" t="str">
        <f>IFERROR(__xludf.DUMMYFUNCTION("""COMPUTED_VALUE"""),"Rundvlees &amp; BBQ saus")</f>
        <v>Rundvlees &amp; BBQ saus</v>
      </c>
      <c r="H143" s="292" t="str">
        <f>IFERROR(__xludf.DUMMYFUNCTION("""COMPUTED_VALUE"""),"met aardappel-preipuree, courgette en mais")</f>
        <v>met aardappel-preipuree, courgette en mais</v>
      </c>
      <c r="I143" s="292" t="str">
        <f>IFERROR(__xludf.DUMMYFUNCTION("""COMPUTED_VALUE"""),"Pulled beef med BBQ sauce")</f>
        <v>Pulled beef med BBQ sauce</v>
      </c>
      <c r="J143" s="292" t="str">
        <f>IFERROR(__xludf.DUMMYFUNCTION("""COMPUTED_VALUE"""),"Rindfleisch mit BBQ-Sauce")</f>
        <v>Rindfleisch mit BBQ-Sauce</v>
      </c>
      <c r="K143" s="292">
        <f>IFERROR(__xludf.DUMMYFUNCTION("""COMPUTED_VALUE"""),565142.0)</f>
        <v>565142</v>
      </c>
      <c r="L143" s="292" t="str">
        <f>IFERROR(__xludf.DUMMYFUNCTION("""COMPUTED_VALUE"""),"HF RW Rundvlees &amp; BBQ saus RW565085 / FE4027A / CS P+")</f>
        <v>HF RW Rundvlees &amp; BBQ saus RW565085 / FE4027A / CS P+</v>
      </c>
      <c r="M143" s="292" t="str">
        <f>IFERROR(__xludf.DUMMYFUNCTION("""COMPUTED_VALUE"""),"FA-NL Rundvlees &amp; BBQ saus (FE4027)")</f>
        <v>FA-NL Rundvlees &amp; BBQ saus (FE4027)</v>
      </c>
      <c r="N143" s="292" t="str">
        <f>IFERROR(__xludf.DUMMYFUNCTION("""COMPUTED_VALUE"""),"FA-NO Oksekød med BBQ sauce (FE4027)")</f>
        <v>FA-NO Oksekød med BBQ sauce (FE4027)</v>
      </c>
      <c r="O143" s="292" t="str">
        <f>IFERROR(__xludf.DUMMYFUNCTION("""COMPUTED_VALUE"""),"FA-DE Rindfleisch mit BBQ-Sauce (FE4027)")</f>
        <v>FA-DE Rindfleisch mit BBQ-Sauce (FE4027)</v>
      </c>
      <c r="P143" s="292" t="str">
        <f>IFERROR(__xludf.DUMMYFUNCTION("""COMPUTED_VALUE"""),"Active")</f>
        <v>Active</v>
      </c>
      <c r="Q143" s="292" t="str">
        <f>IFERROR(__xludf.DUMMYFUNCTION("""COMPUTED_VALUE"""),"Improved sauce recipe, improved nutrition (increased courgette)")</f>
        <v>Improved sauce recipe, improved nutrition (increased courgette)</v>
      </c>
      <c r="R143" s="342">
        <f>IFERROR(__xludf.DUMMYFUNCTION("""COMPUTED_VALUE"""),4.42)</f>
        <v>4.42</v>
      </c>
      <c r="S143" s="292"/>
      <c r="T143" s="292"/>
      <c r="U143" s="292"/>
      <c r="V143" s="292"/>
      <c r="W143" s="292" t="b">
        <f>IFERROR(__xludf.DUMMYFUNCTION("""COMPUTED_VALUE"""),TRUE)</f>
        <v>1</v>
      </c>
      <c r="X143" s="345">
        <f>IFERROR(__xludf.DUMMYFUNCTION("""COMPUTED_VALUE"""),419.0)</f>
        <v>419</v>
      </c>
      <c r="Y143" s="344">
        <f>IFERROR(__xludf.DUMMYFUNCTION("""COMPUTED_VALUE"""),533.0)</f>
        <v>533</v>
      </c>
      <c r="Z143" s="343">
        <f>IFERROR(__xludf.DUMMYFUNCTION("""COMPUTED_VALUE"""),23.2)</f>
        <v>23.2</v>
      </c>
      <c r="AA143" s="344">
        <f>IFERROR(__xludf.DUMMYFUNCTION("""COMPUTED_VALUE"""),8.3)</f>
        <v>8.3</v>
      </c>
      <c r="AB143" s="344">
        <f>IFERROR(__xludf.DUMMYFUNCTION("""COMPUTED_VALUE"""),43.3)</f>
        <v>43.3</v>
      </c>
      <c r="AC143" s="344">
        <f>IFERROR(__xludf.DUMMYFUNCTION("""COMPUTED_VALUE"""),16.5)</f>
        <v>16.5</v>
      </c>
      <c r="AD143" s="344">
        <f>IFERROR(__xludf.DUMMYFUNCTION("""COMPUTED_VALUE"""),7.8)</f>
        <v>7.8</v>
      </c>
      <c r="AE143" s="343">
        <f>IFERROR(__xludf.DUMMYFUNCTION("""COMPUTED_VALUE"""),33.0)</f>
        <v>33</v>
      </c>
      <c r="AF143" s="343">
        <f>IFERROR(__xludf.DUMMYFUNCTION("""COMPUTED_VALUE"""),1.99)</f>
        <v>1.99</v>
      </c>
      <c r="AG143" s="292" t="b">
        <f>IFERROR(__xludf.DUMMYFUNCTION("""COMPUTED_VALUE"""),FALSE)</f>
        <v>0</v>
      </c>
      <c r="AH143" s="292" t="b">
        <f>IFERROR(__xludf.DUMMYFUNCTION("""COMPUTED_VALUE"""),FALSE)</f>
        <v>0</v>
      </c>
      <c r="AI143" s="292" t="b">
        <f>IFERROR(__xludf.DUMMYFUNCTION("""COMPUTED_VALUE"""),TRUE)</f>
        <v>1</v>
      </c>
      <c r="AJ143" s="292" t="b">
        <f>IFERROR(__xludf.DUMMYFUNCTION("""COMPUTED_VALUE"""),FALSE)</f>
        <v>0</v>
      </c>
      <c r="AK143" s="292" t="b">
        <f>IFERROR(__xludf.DUMMYFUNCTION("""COMPUTED_VALUE"""),FALSE)</f>
        <v>0</v>
      </c>
      <c r="AL143" s="292" t="b">
        <f>IFERROR(__xludf.DUMMYFUNCTION("""COMPUTED_VALUE"""),FALSE)</f>
        <v>0</v>
      </c>
      <c r="AM143" s="292" t="b">
        <f>IFERROR(__xludf.DUMMYFUNCTION("""COMPUTED_VALUE"""),TRUE)</f>
        <v>1</v>
      </c>
      <c r="AN143" s="292" t="b">
        <f>IFERROR(__xludf.DUMMYFUNCTION("""COMPUTED_VALUE"""),FALSE)</f>
        <v>0</v>
      </c>
      <c r="AO143" s="292" t="str">
        <f>IFERROR(__xludf.DUMMYFUNCTION("""COMPUTED_VALUE"""),"FALSE")</f>
        <v>FALSE</v>
      </c>
      <c r="AP143" s="292" t="str">
        <f>IFERROR(__xludf.DUMMYFUNCTION("""COMPUTED_VALUE"""),"Shredded beef")</f>
        <v>Shredded beef</v>
      </c>
      <c r="AQ143" s="292" t="str">
        <f>IFERROR(__xludf.DUMMYFUNCTION("""COMPUTED_VALUE"""),"Beef")</f>
        <v>Beef</v>
      </c>
      <c r="AR143" s="292" t="str">
        <f>IFERROR(__xludf.DUMMYFUNCTION("""COMPUTED_VALUE"""),"Pulled")</f>
        <v>Pulled</v>
      </c>
      <c r="AS143" s="292" t="str">
        <f>IFERROR(__xludf.DUMMYFUNCTION("""COMPUTED_VALUE"""),"Potato Mash")</f>
        <v>Potato Mash</v>
      </c>
      <c r="AT143" s="292" t="str">
        <f>IFERROR(__xludf.DUMMYFUNCTION("""COMPUTED_VALUE"""),"Zucchini Diced")</f>
        <v>Zucchini Diced</v>
      </c>
      <c r="AU143" s="292" t="str">
        <f>IFERROR(__xludf.DUMMYFUNCTION("""COMPUTED_VALUE"""),"Corn Kernels")</f>
        <v>Corn Kernels</v>
      </c>
      <c r="AV143" s="292" t="str">
        <f>IFERROR(__xludf.DUMMYFUNCTION("""COMPUTED_VALUE"""),"Green onion")</f>
        <v>Green onion</v>
      </c>
      <c r="AW143" s="292" t="str">
        <f>IFERROR(__xludf.DUMMYFUNCTION("""COMPUTED_VALUE"""),"Year Round")</f>
        <v>Year Round</v>
      </c>
      <c r="AX143" s="292" t="str">
        <f>IFERROR(__xludf.DUMMYFUNCTION("""COMPUTED_VALUE"""),"American")</f>
        <v>American</v>
      </c>
      <c r="AY143" s="292"/>
      <c r="AZ143" s="292" t="str">
        <f>IFERROR(__xludf.DUMMYFUNCTION("""COMPUTED_VALUE"""),"2 CT")</f>
        <v>2 CT</v>
      </c>
      <c r="BA143" s="292" t="b">
        <f>IFERROR(__xludf.DUMMYFUNCTION("""COMPUTED_VALUE"""),FALSE)</f>
        <v>0</v>
      </c>
      <c r="BB143" s="342">
        <f>IFERROR(__xludf.DUMMYFUNCTION("""COMPUTED_VALUE"""),2.02)</f>
        <v>2.02</v>
      </c>
      <c r="BC143" s="342">
        <f>IFERROR(__xludf.DUMMYFUNCTION("""COMPUTED_VALUE"""),1.15)</f>
        <v>1.15</v>
      </c>
      <c r="BD143" s="342">
        <f>IFERROR(__xludf.DUMMYFUNCTION("""COMPUTED_VALUE"""),0.36)</f>
        <v>0.36</v>
      </c>
      <c r="BE143" s="342">
        <f>IFERROR(__xludf.DUMMYFUNCTION("""COMPUTED_VALUE"""),0.89)</f>
        <v>0.89</v>
      </c>
      <c r="BF143" s="296">
        <f>IFERROR(__xludf.DUMMYFUNCTION("""COMPUTED_VALUE"""),3.2266666666666666)</f>
        <v>3.226666667</v>
      </c>
      <c r="BG143" s="296">
        <f>IFERROR(__xludf.DUMMYFUNCTION("""COMPUTED_VALUE"""),3.233333333333333)</f>
        <v>3.233333333</v>
      </c>
      <c r="BH143" s="296">
        <f>IFERROR(__xludf.DUMMYFUNCTION("""COMPUTED_VALUE"""),3.1366666666666667)</f>
        <v>3.136666667</v>
      </c>
      <c r="BI143" s="295">
        <f>IFERROR(__xludf.DUMMYFUNCTION("""COMPUTED_VALUE"""),175.0)</f>
        <v>175</v>
      </c>
      <c r="BJ143" s="295" t="str">
        <f>IFERROR(__xludf.DUMMYFUNCTION("""COMPUTED_VALUE"""),"FALSE")</f>
        <v>FALSE</v>
      </c>
      <c r="BK143" s="346">
        <f>IFERROR(__xludf.DUMMYFUNCTION("""COMPUTED_VALUE"""),2233.0)</f>
        <v>2233</v>
      </c>
      <c r="BL143" s="292"/>
      <c r="BM143" s="292" t="str">
        <f>IFERROR(__xludf.DUMMYFUNCTION("""COMPUTED_VALUE"""),"Pulled beef i BBQ-sås")</f>
        <v>Pulled beef i BBQ-sås</v>
      </c>
      <c r="BN143" s="343">
        <f>IFERROR(__xludf.DUMMYFUNCTION("""COMPUTED_VALUE"""),3.34)</f>
        <v>3.34</v>
      </c>
      <c r="BO143" s="343">
        <f>IFERROR(__xludf.DUMMYFUNCTION("""COMPUTED_VALUE"""),3.0366666666666666)</f>
        <v>3.036666667</v>
      </c>
      <c r="BP143" s="292"/>
      <c r="BQ143" s="292" t="str">
        <f>IFERROR(__xludf.DUMMYFUNCTION("""COMPUTED_VALUE"""),"Active")</f>
        <v>Active</v>
      </c>
      <c r="BR143" s="292" t="b">
        <f>IFERROR(__xludf.DUMMYFUNCTION("""COMPUTED_VALUE"""),FALSE)</f>
        <v>0</v>
      </c>
      <c r="BS143" s="292" t="b">
        <f>IFERROR(__xludf.DUMMYFUNCTION("""COMPUTED_VALUE"""),FALSE)</f>
        <v>0</v>
      </c>
      <c r="BT143" s="292"/>
      <c r="BU143" s="292"/>
      <c r="BV143" s="292"/>
      <c r="BW143" s="292"/>
    </row>
    <row r="144">
      <c r="A144" s="292" t="str">
        <f>IFERROR(__xludf.DUMMYFUNCTION("""COMPUTED_VALUE"""),"FE4022B")</f>
        <v>FE4022B</v>
      </c>
      <c r="B144" s="292" t="str">
        <f>IFERROR(__xludf.DUMMYFUNCTION("""COMPUTED_VALUE"""),"CON-40-143746-4")</f>
        <v>CON-40-143746-4</v>
      </c>
      <c r="C144" s="292" t="str">
        <f>IFERROR(__xludf.DUMMYFUNCTION("""COMPUTED_VALUE"""),"CON-00-147883-2")</f>
        <v>CON-00-147883-2</v>
      </c>
      <c r="D144" s="292" t="str">
        <f>IFERROR(__xludf.DUMMYFUNCTION("""COMPUTED_VALUE"""),"CON-00-136684-3")</f>
        <v>CON-00-136684-3</v>
      </c>
      <c r="E144" s="292" t="str">
        <f>IFERROR(__xludf.DUMMYFUNCTION("""COMPUTED_VALUE"""),"Pork tenderloin with black pepper and sage")</f>
        <v>Pork tenderloin with black pepper and sage</v>
      </c>
      <c r="F144" s="292" t="str">
        <f>IFERROR(__xludf.DUMMYFUNCTION("""COMPUTED_VALUE"""),"with green cabbage and creamy broccoli")</f>
        <v>with green cabbage and creamy broccoli</v>
      </c>
      <c r="G144" s="292" t="str">
        <f>IFERROR(__xludf.DUMMYFUNCTION("""COMPUTED_VALUE"""),"Varkenshaas met zwarte peper &amp; salie")</f>
        <v>Varkenshaas met zwarte peper &amp; salie</v>
      </c>
      <c r="H144" s="292" t="str">
        <f>IFERROR(__xludf.DUMMYFUNCTION("""COMPUTED_VALUE"""),"met groene kool en romige broccoli")</f>
        <v>met groene kool en romige broccoli</v>
      </c>
      <c r="I144" s="292" t="str">
        <f>IFERROR(__xludf.DUMMYFUNCTION("""COMPUTED_VALUE"""),"Svinemørbrad med sort peber og salvie")</f>
        <v>Svinemørbrad med sort peber og salvie</v>
      </c>
      <c r="J144" s="292" t="str">
        <f>IFERROR(__xludf.DUMMYFUNCTION("""COMPUTED_VALUE"""),"Schweinefilet mit schwarzem Pfeffer und Salbei")</f>
        <v>Schweinefilet mit schwarzem Pfeffer und Salbei</v>
      </c>
      <c r="K144" s="292">
        <f>IFERROR(__xludf.DUMMYFUNCTION("""COMPUTED_VALUE"""),565146.0)</f>
        <v>565146</v>
      </c>
      <c r="L144" s="292" t="str">
        <f>IFERROR(__xludf.DUMMYFUNCTION("""COMPUTED_VALUE"""),"HF RW Varkenshaas zwpeper sali")</f>
        <v>HF RW Varkenshaas zwpeper sali</v>
      </c>
      <c r="M144" s="292" t="str">
        <f>IFERROR(__xludf.DUMMYFUNCTION("""COMPUTED_VALUE"""),"FA-NL Varkenshaas met zwarte peper &amp; salie (FE4022)")</f>
        <v>FA-NL Varkenshaas met zwarte peper &amp; salie (FE4022)</v>
      </c>
      <c r="N144" s="292" t="str">
        <f>IFERROR(__xludf.DUMMYFUNCTION("""COMPUTED_VALUE"""),"FA-NO Svinemørbrad med sort peber og salvie (FE4022)")</f>
        <v>FA-NO Svinemørbrad med sort peber og salvie (FE4022)</v>
      </c>
      <c r="O144" s="292" t="str">
        <f>IFERROR(__xludf.DUMMYFUNCTION("""COMPUTED_VALUE"""),"FA-DE Schweinefilet mit schwarzem Pfeffer und Salbei (FE4022)")</f>
        <v>FA-DE Schweinefilet mit schwarzem Pfeffer und Salbei (FE4022)</v>
      </c>
      <c r="P144" s="292" t="str">
        <f>IFERROR(__xludf.DUMMYFUNCTION("""COMPUTED_VALUE"""),"Active")</f>
        <v>Active</v>
      </c>
      <c r="Q144" s="292" t="str">
        <f>IFERROR(__xludf.DUMMYFUNCTION("""COMPUTED_VALUE"""),"Improved sauce recipe")</f>
        <v>Improved sauce recipe</v>
      </c>
      <c r="R144" s="342">
        <f>IFERROR(__xludf.DUMMYFUNCTION("""COMPUTED_VALUE"""),5.36)</f>
        <v>5.36</v>
      </c>
      <c r="S144" s="292"/>
      <c r="T144" s="292"/>
      <c r="U144" s="292"/>
      <c r="V144" s="292"/>
      <c r="W144" s="292" t="b">
        <f>IFERROR(__xludf.DUMMYFUNCTION("""COMPUTED_VALUE"""),FALSE)</f>
        <v>0</v>
      </c>
      <c r="X144" s="345">
        <f>IFERROR(__xludf.DUMMYFUNCTION("""COMPUTED_VALUE"""),354.0)</f>
        <v>354</v>
      </c>
      <c r="Y144" s="344">
        <f>IFERROR(__xludf.DUMMYFUNCTION("""COMPUTED_VALUE"""),511.0)</f>
        <v>511</v>
      </c>
      <c r="Z144" s="343">
        <f>IFERROR(__xludf.DUMMYFUNCTION("""COMPUTED_VALUE"""),35.5)</f>
        <v>35.5</v>
      </c>
      <c r="AA144" s="344">
        <f>IFERROR(__xludf.DUMMYFUNCTION("""COMPUTED_VALUE"""),15.8)</f>
        <v>15.8</v>
      </c>
      <c r="AB144" s="344">
        <f>IFERROR(__xludf.DUMMYFUNCTION("""COMPUTED_VALUE"""),9.8)</f>
        <v>9.8</v>
      </c>
      <c r="AC144" s="344">
        <f>IFERROR(__xludf.DUMMYFUNCTION("""COMPUTED_VALUE"""),7.5)</f>
        <v>7.5</v>
      </c>
      <c r="AD144" s="344">
        <f>IFERROR(__xludf.DUMMYFUNCTION("""COMPUTED_VALUE"""),8.1)</f>
        <v>8.1</v>
      </c>
      <c r="AE144" s="343">
        <f>IFERROR(__xludf.DUMMYFUNCTION("""COMPUTED_VALUE"""),33.5)</f>
        <v>33.5</v>
      </c>
      <c r="AF144" s="343">
        <f>IFERROR(__xludf.DUMMYFUNCTION("""COMPUTED_VALUE"""),1.81)</f>
        <v>1.81</v>
      </c>
      <c r="AG144" s="292" t="b">
        <f>IFERROR(__xludf.DUMMYFUNCTION("""COMPUTED_VALUE"""),FALSE)</f>
        <v>0</v>
      </c>
      <c r="AH144" s="292" t="b">
        <f>IFERROR(__xludf.DUMMYFUNCTION("""COMPUTED_VALUE"""),TRUE)</f>
        <v>1</v>
      </c>
      <c r="AI144" s="292" t="b">
        <f>IFERROR(__xludf.DUMMYFUNCTION("""COMPUTED_VALUE"""),FALSE)</f>
        <v>0</v>
      </c>
      <c r="AJ144" s="292" t="b">
        <f>IFERROR(__xludf.DUMMYFUNCTION("""COMPUTED_VALUE"""),FALSE)</f>
        <v>0</v>
      </c>
      <c r="AK144" s="292" t="b">
        <f>IFERROR(__xludf.DUMMYFUNCTION("""COMPUTED_VALUE"""),FALSE)</f>
        <v>0</v>
      </c>
      <c r="AL144" s="292" t="b">
        <f>IFERROR(__xludf.DUMMYFUNCTION("""COMPUTED_VALUE"""),FALSE)</f>
        <v>0</v>
      </c>
      <c r="AM144" s="292" t="b">
        <f>IFERROR(__xludf.DUMMYFUNCTION("""COMPUTED_VALUE"""),TRUE)</f>
        <v>1</v>
      </c>
      <c r="AN144" s="292" t="b">
        <f>IFERROR(__xludf.DUMMYFUNCTION("""COMPUTED_VALUE"""),FALSE)</f>
        <v>0</v>
      </c>
      <c r="AO144" s="292" t="str">
        <f>IFERROR(__xludf.DUMMYFUNCTION("""COMPUTED_VALUE"""),"FALSE")</f>
        <v>FALSE</v>
      </c>
      <c r="AP144" s="292" t="str">
        <f>IFERROR(__xludf.DUMMYFUNCTION("""COMPUTED_VALUE"""),"Pork tenderloin")</f>
        <v>Pork tenderloin</v>
      </c>
      <c r="AQ144" s="292" t="str">
        <f>IFERROR(__xludf.DUMMYFUNCTION("""COMPUTED_VALUE"""),"Pork")</f>
        <v>Pork</v>
      </c>
      <c r="AR144" s="292" t="str">
        <f>IFERROR(__xludf.DUMMYFUNCTION("""COMPUTED_VALUE"""),"Tenderloin")</f>
        <v>Tenderloin</v>
      </c>
      <c r="AS144" s="292" t="str">
        <f>IFERROR(__xludf.DUMMYFUNCTION("""COMPUTED_VALUE"""),"Cabbage")</f>
        <v>Cabbage</v>
      </c>
      <c r="AT144" s="292" t="str">
        <f>IFERROR(__xludf.DUMMYFUNCTION("""COMPUTED_VALUE"""),"Broccoli")</f>
        <v>Broccoli</v>
      </c>
      <c r="AU144" s="292" t="str">
        <f>IFERROR(__xludf.DUMMYFUNCTION("""COMPUTED_VALUE"""),"Cheese")</f>
        <v>Cheese</v>
      </c>
      <c r="AV144" s="292"/>
      <c r="AW144" s="292" t="str">
        <f>IFERROR(__xludf.DUMMYFUNCTION("""COMPUTED_VALUE"""),"Year Round")</f>
        <v>Year Round</v>
      </c>
      <c r="AX144" s="292" t="str">
        <f>IFERROR(__xludf.DUMMYFUNCTION("""COMPUTED_VALUE"""),"American")</f>
        <v>American</v>
      </c>
      <c r="AY144" s="292"/>
      <c r="AZ144" s="292" t="str">
        <f>IFERROR(__xludf.DUMMYFUNCTION("""COMPUTED_VALUE"""),"2 CT")</f>
        <v>2 CT</v>
      </c>
      <c r="BA144" s="292" t="b">
        <f>IFERROR(__xludf.DUMMYFUNCTION("""COMPUTED_VALUE"""),FALSE)</f>
        <v>0</v>
      </c>
      <c r="BB144" s="342">
        <f>IFERROR(__xludf.DUMMYFUNCTION("""COMPUTED_VALUE"""),2.89)</f>
        <v>2.89</v>
      </c>
      <c r="BC144" s="342">
        <f>IFERROR(__xludf.DUMMYFUNCTION("""COMPUTED_VALUE"""),1.22)</f>
        <v>1.22</v>
      </c>
      <c r="BD144" s="342">
        <f>IFERROR(__xludf.DUMMYFUNCTION("""COMPUTED_VALUE"""),0.36)</f>
        <v>0.36</v>
      </c>
      <c r="BE144" s="342">
        <f>IFERROR(__xludf.DUMMYFUNCTION("""COMPUTED_VALUE"""),0.89)</f>
        <v>0.89</v>
      </c>
      <c r="BF144" s="296">
        <f>IFERROR(__xludf.DUMMYFUNCTION("""COMPUTED_VALUE"""),3.3699999999999997)</f>
        <v>3.37</v>
      </c>
      <c r="BG144" s="296">
        <f>IFERROR(__xludf.DUMMYFUNCTION("""COMPUTED_VALUE"""),3.34)</f>
        <v>3.34</v>
      </c>
      <c r="BH144" s="296">
        <f>IFERROR(__xludf.DUMMYFUNCTION("""COMPUTED_VALUE"""),3.2600000000000002)</f>
        <v>3.26</v>
      </c>
      <c r="BI144" s="295">
        <f>IFERROR(__xludf.DUMMYFUNCTION("""COMPUTED_VALUE"""),154.0)</f>
        <v>154</v>
      </c>
      <c r="BJ144" s="295" t="str">
        <f>IFERROR(__xludf.DUMMYFUNCTION("""COMPUTED_VALUE"""),"FALSE")</f>
        <v>FALSE</v>
      </c>
      <c r="BK144" s="346">
        <f>IFERROR(__xludf.DUMMYFUNCTION("""COMPUTED_VALUE"""),2125.0)</f>
        <v>2125</v>
      </c>
      <c r="BL144" s="292" t="str">
        <f>IFERROR(__xludf.DUMMYFUNCTION("""COMPUTED_VALUE"""),"US")</f>
        <v>US</v>
      </c>
      <c r="BM144" s="292" t="str">
        <f>IFERROR(__xludf.DUMMYFUNCTION("""COMPUTED_VALUE"""),"Fläskfilé med svartpeppar och salvia")</f>
        <v>Fläskfilé med svartpeppar och salvia</v>
      </c>
      <c r="BN144" s="343">
        <f>IFERROR(__xludf.DUMMYFUNCTION("""COMPUTED_VALUE"""),3.4933333333333336)</f>
        <v>3.493333333</v>
      </c>
      <c r="BO144" s="343">
        <f>IFERROR(__xludf.DUMMYFUNCTION("""COMPUTED_VALUE"""),3.456666666666667)</f>
        <v>3.456666667</v>
      </c>
      <c r="BP144" s="292"/>
      <c r="BQ144" s="292" t="str">
        <f>IFERROR(__xludf.DUMMYFUNCTION("""COMPUTED_VALUE"""),"Proven")</f>
        <v>Proven</v>
      </c>
      <c r="BR144" s="292" t="b">
        <f>IFERROR(__xludf.DUMMYFUNCTION("""COMPUTED_VALUE"""),FALSE)</f>
        <v>0</v>
      </c>
      <c r="BS144" s="292" t="b">
        <f>IFERROR(__xludf.DUMMYFUNCTION("""COMPUTED_VALUE"""),FALSE)</f>
        <v>0</v>
      </c>
      <c r="BT144" s="292"/>
      <c r="BU144" s="292"/>
      <c r="BV144" s="292"/>
      <c r="BW144" s="292"/>
    </row>
    <row r="145">
      <c r="A145" s="292" t="str">
        <f>IFERROR(__xludf.DUMMYFUNCTION("""COMPUTED_VALUE"""),"FE0169H")</f>
        <v>FE0169H</v>
      </c>
      <c r="B145" s="292" t="str">
        <f>IFERROR(__xludf.DUMMYFUNCTION("""COMPUTED_VALUE"""),"CON-40-143739-4")</f>
        <v>CON-40-143739-4</v>
      </c>
      <c r="C145" s="292" t="str">
        <f>IFERROR(__xludf.DUMMYFUNCTION("""COMPUTED_VALUE"""),"CON-00-147824-2")</f>
        <v>CON-00-147824-2</v>
      </c>
      <c r="D145" s="292" t="str">
        <f>IFERROR(__xludf.DUMMYFUNCTION("""COMPUTED_VALUE"""),"CON-00-136637-3")</f>
        <v>CON-00-136637-3</v>
      </c>
      <c r="E145" s="292" t="str">
        <f>IFERROR(__xludf.DUMMYFUNCTION("""COMPUTED_VALUE"""),"Pork tenderloin in creamy garlic-mustard sauce")</f>
        <v>Pork tenderloin in creamy garlic-mustard sauce</v>
      </c>
      <c r="F145" s="292" t="str">
        <f>IFERROR(__xludf.DUMMYFUNCTION("""COMPUTED_VALUE"""),"with broccoli, and puree of celeriac and cauliflower")</f>
        <v>with broccoli, and puree of celeriac and cauliflower</v>
      </c>
      <c r="G145" s="292" t="str">
        <f>IFERROR(__xludf.DUMMYFUNCTION("""COMPUTED_VALUE"""),"Varkenshaas in romige knoflook-mosterdsaus")</f>
        <v>Varkenshaas in romige knoflook-mosterdsaus</v>
      </c>
      <c r="H145" s="292" t="str">
        <f>IFERROR(__xludf.DUMMYFUNCTION("""COMPUTED_VALUE"""),"met broccoli, en puree van knolselderij en bloemkool")</f>
        <v>met broccoli, en puree van knolselderij en bloemkool</v>
      </c>
      <c r="I145" s="292" t="str">
        <f>IFERROR(__xludf.DUMMYFUNCTION("""COMPUTED_VALUE"""),"Svinemørbrad i cremet hvidløg-sennepssauce")</f>
        <v>Svinemørbrad i cremet hvidløg-sennepssauce</v>
      </c>
      <c r="J145" s="292" t="str">
        <f>IFERROR(__xludf.DUMMYFUNCTION("""COMPUTED_VALUE"""),"Schweinefilet in cremiger Knoblauch-Senf-Sauce")</f>
        <v>Schweinefilet in cremiger Knoblauch-Senf-Sauce</v>
      </c>
      <c r="K145" s="292">
        <f>IFERROR(__xludf.DUMMYFUNCTION("""COMPUTED_VALUE"""),565143.0)</f>
        <v>565143</v>
      </c>
      <c r="L145" s="292" t="str">
        <f>IFERROR(__xludf.DUMMYFUNCTION("""COMPUTED_VALUE"""),"Varkenshaas in romige knoflook-mosterdsaus")</f>
        <v>Varkenshaas in romige knoflook-mosterdsaus</v>
      </c>
      <c r="M145" s="292" t="str">
        <f>IFERROR(__xludf.DUMMYFUNCTION("""COMPUTED_VALUE"""),"FA-NL Varkenshaas in romige knoflook-mosterdsaus (FE0169)")</f>
        <v>FA-NL Varkenshaas in romige knoflook-mosterdsaus (FE0169)</v>
      </c>
      <c r="N145" s="292" t="str">
        <f>IFERROR(__xludf.DUMMYFUNCTION("""COMPUTED_VALUE"""),"FA-NO Svinemørbrad i cremet hvidløg-sennepssauce (FE0169)")</f>
        <v>FA-NO Svinemørbrad i cremet hvidløg-sennepssauce (FE0169)</v>
      </c>
      <c r="O145" s="292" t="str">
        <f>IFERROR(__xludf.DUMMYFUNCTION("""COMPUTED_VALUE"""),"FA-DE Schweinefilet in cremiger Knoblauch-Senf-Sauce (FE0169)")</f>
        <v>FA-DE Schweinefilet in cremiger Knoblauch-Senf-Sauce (FE0169)</v>
      </c>
      <c r="P145" s="292" t="str">
        <f>IFERROR(__xludf.DUMMYFUNCTION("""COMPUTED_VALUE"""),"Active")</f>
        <v>Active</v>
      </c>
      <c r="Q145" s="292" t="str">
        <f>IFERROR(__xludf.DUMMYFUNCTION("""COMPUTED_VALUE"""),"Sauce rework")</f>
        <v>Sauce rework</v>
      </c>
      <c r="R145" s="342">
        <f>IFERROR(__xludf.DUMMYFUNCTION("""COMPUTED_VALUE"""),4.88)</f>
        <v>4.88</v>
      </c>
      <c r="S145" s="292"/>
      <c r="T145" s="292"/>
      <c r="U145" s="292"/>
      <c r="V145" s="292"/>
      <c r="W145" s="292" t="b">
        <f>IFERROR(__xludf.DUMMYFUNCTION("""COMPUTED_VALUE"""),FALSE)</f>
        <v>0</v>
      </c>
      <c r="X145" s="345">
        <f>IFERROR(__xludf.DUMMYFUNCTION("""COMPUTED_VALUE"""),389.0)</f>
        <v>389</v>
      </c>
      <c r="Y145" s="344">
        <f>IFERROR(__xludf.DUMMYFUNCTION("""COMPUTED_VALUE"""),603.0)</f>
        <v>603</v>
      </c>
      <c r="Z145" s="343">
        <f>IFERROR(__xludf.DUMMYFUNCTION("""COMPUTED_VALUE"""),46.7)</f>
        <v>46.7</v>
      </c>
      <c r="AA145" s="344">
        <f>IFERROR(__xludf.DUMMYFUNCTION("""COMPUTED_VALUE"""),17.4)</f>
        <v>17.4</v>
      </c>
      <c r="AB145" s="344">
        <f>IFERROR(__xludf.DUMMYFUNCTION("""COMPUTED_VALUE"""),8.2)</f>
        <v>8.2</v>
      </c>
      <c r="AC145" s="344">
        <f>IFERROR(__xludf.DUMMYFUNCTION("""COMPUTED_VALUE"""),6.2)</f>
        <v>6.2</v>
      </c>
      <c r="AD145" s="344">
        <f>IFERROR(__xludf.DUMMYFUNCTION("""COMPUTED_VALUE"""),8.6)</f>
        <v>8.6</v>
      </c>
      <c r="AE145" s="343">
        <f>IFERROR(__xludf.DUMMYFUNCTION("""COMPUTED_VALUE"""),32.4)</f>
        <v>32.4</v>
      </c>
      <c r="AF145" s="343">
        <f>IFERROR(__xludf.DUMMYFUNCTION("""COMPUTED_VALUE"""),2.04)</f>
        <v>2.04</v>
      </c>
      <c r="AG145" s="292" t="b">
        <f>IFERROR(__xludf.DUMMYFUNCTION("""COMPUTED_VALUE"""),FALSE)</f>
        <v>0</v>
      </c>
      <c r="AH145" s="292" t="b">
        <f>IFERROR(__xludf.DUMMYFUNCTION("""COMPUTED_VALUE"""),TRUE)</f>
        <v>1</v>
      </c>
      <c r="AI145" s="292" t="b">
        <f>IFERROR(__xludf.DUMMYFUNCTION("""COMPUTED_VALUE"""),FALSE)</f>
        <v>0</v>
      </c>
      <c r="AJ145" s="292" t="b">
        <f>IFERROR(__xludf.DUMMYFUNCTION("""COMPUTED_VALUE"""),FALSE)</f>
        <v>0</v>
      </c>
      <c r="AK145" s="292" t="b">
        <f>IFERROR(__xludf.DUMMYFUNCTION("""COMPUTED_VALUE"""),FALSE)</f>
        <v>0</v>
      </c>
      <c r="AL145" s="292" t="b">
        <f>IFERROR(__xludf.DUMMYFUNCTION("""COMPUTED_VALUE"""),FALSE)</f>
        <v>0</v>
      </c>
      <c r="AM145" s="292" t="b">
        <f>IFERROR(__xludf.DUMMYFUNCTION("""COMPUTED_VALUE"""),TRUE)</f>
        <v>1</v>
      </c>
      <c r="AN145" s="292" t="b">
        <f>IFERROR(__xludf.DUMMYFUNCTION("""COMPUTED_VALUE"""),FALSE)</f>
        <v>0</v>
      </c>
      <c r="AO145" s="292" t="str">
        <f>IFERROR(__xludf.DUMMYFUNCTION("""COMPUTED_VALUE"""),"FALSE")</f>
        <v>FALSE</v>
      </c>
      <c r="AP145" s="292" t="str">
        <f>IFERROR(__xludf.DUMMYFUNCTION("""COMPUTED_VALUE"""),"Pork tenderloin")</f>
        <v>Pork tenderloin</v>
      </c>
      <c r="AQ145" s="292" t="str">
        <f>IFERROR(__xludf.DUMMYFUNCTION("""COMPUTED_VALUE"""),"Pork")</f>
        <v>Pork</v>
      </c>
      <c r="AR145" s="292" t="str">
        <f>IFERROR(__xludf.DUMMYFUNCTION("""COMPUTED_VALUE"""),"Tenderloin")</f>
        <v>Tenderloin</v>
      </c>
      <c r="AS145" s="292" t="str">
        <f>IFERROR(__xludf.DUMMYFUNCTION("""COMPUTED_VALUE"""),"Cauliflower Mash")</f>
        <v>Cauliflower Mash</v>
      </c>
      <c r="AT145" s="292" t="str">
        <f>IFERROR(__xludf.DUMMYFUNCTION("""COMPUTED_VALUE"""),"Celeriac")</f>
        <v>Celeriac</v>
      </c>
      <c r="AU145" s="292" t="str">
        <f>IFERROR(__xludf.DUMMYFUNCTION("""COMPUTED_VALUE"""),"Broccoli")</f>
        <v>Broccoli</v>
      </c>
      <c r="AV145" s="292" t="str">
        <f>IFERROR(__xludf.DUMMYFUNCTION("""COMPUTED_VALUE"""),"Creamy Sauce Base")</f>
        <v>Creamy Sauce Base</v>
      </c>
      <c r="AW145" s="292" t="str">
        <f>IFERROR(__xludf.DUMMYFUNCTION("""COMPUTED_VALUE"""),"Year Round")</f>
        <v>Year Round</v>
      </c>
      <c r="AX145" s="292" t="str">
        <f>IFERROR(__xludf.DUMMYFUNCTION("""COMPUTED_VALUE"""),"French")</f>
        <v>French</v>
      </c>
      <c r="AY145" s="292"/>
      <c r="AZ145" s="292" t="str">
        <f>IFERROR(__xludf.DUMMYFUNCTION("""COMPUTED_VALUE"""),"2 CT")</f>
        <v>2 CT</v>
      </c>
      <c r="BA145" s="292" t="b">
        <f>IFERROR(__xludf.DUMMYFUNCTION("""COMPUTED_VALUE"""),FALSE)</f>
        <v>0</v>
      </c>
      <c r="BB145" s="342">
        <f>IFERROR(__xludf.DUMMYFUNCTION("""COMPUTED_VALUE"""),2.44)</f>
        <v>2.44</v>
      </c>
      <c r="BC145" s="342">
        <f>IFERROR(__xludf.DUMMYFUNCTION("""COMPUTED_VALUE"""),1.19)</f>
        <v>1.19</v>
      </c>
      <c r="BD145" s="342">
        <f>IFERROR(__xludf.DUMMYFUNCTION("""COMPUTED_VALUE"""),0.36)</f>
        <v>0.36</v>
      </c>
      <c r="BE145" s="342">
        <f>IFERROR(__xludf.DUMMYFUNCTION("""COMPUTED_VALUE"""),0.89)</f>
        <v>0.89</v>
      </c>
      <c r="BF145" s="296">
        <f>IFERROR(__xludf.DUMMYFUNCTION("""COMPUTED_VALUE"""),3.1933333333333334)</f>
        <v>3.193333333</v>
      </c>
      <c r="BG145" s="296">
        <f>IFERROR(__xludf.DUMMYFUNCTION("""COMPUTED_VALUE"""),3.126666666666667)</f>
        <v>3.126666667</v>
      </c>
      <c r="BH145" s="296">
        <f>IFERROR(__xludf.DUMMYFUNCTION("""COMPUTED_VALUE"""),3.2466666666666666)</f>
        <v>3.246666667</v>
      </c>
      <c r="BI145" s="295">
        <f>IFERROR(__xludf.DUMMYFUNCTION("""COMPUTED_VALUE"""),215.0)</f>
        <v>215</v>
      </c>
      <c r="BJ145" s="295" t="str">
        <f>IFERROR(__xludf.DUMMYFUNCTION("""COMPUTED_VALUE"""),"FALSE")</f>
        <v>FALSE</v>
      </c>
      <c r="BK145" s="346">
        <f>IFERROR(__xludf.DUMMYFUNCTION("""COMPUTED_VALUE"""),2499.0)</f>
        <v>2499</v>
      </c>
      <c r="BL145" s="292" t="str">
        <f>IFERROR(__xludf.DUMMYFUNCTION("""COMPUTED_VALUE"""),"US")</f>
        <v>US</v>
      </c>
      <c r="BM145" s="292" t="str">
        <f>IFERROR(__xludf.DUMMYFUNCTION("""COMPUTED_VALUE"""),"Fläskfilé i krämig vitlöks- och senapssås")</f>
        <v>Fläskfilé i krämig vitlöks- och senapssås</v>
      </c>
      <c r="BN145" s="343">
        <f>IFERROR(__xludf.DUMMYFUNCTION("""COMPUTED_VALUE"""),3.34)</f>
        <v>3.34</v>
      </c>
      <c r="BO145" s="343">
        <f>IFERROR(__xludf.DUMMYFUNCTION("""COMPUTED_VALUE"""),3.106666666666667)</f>
        <v>3.106666667</v>
      </c>
      <c r="BP145" s="292"/>
      <c r="BQ145" s="292" t="str">
        <f>IFERROR(__xludf.DUMMYFUNCTION("""COMPUTED_VALUE"""),"Proven")</f>
        <v>Proven</v>
      </c>
      <c r="BR145" s="292" t="b">
        <f>IFERROR(__xludf.DUMMYFUNCTION("""COMPUTED_VALUE"""),FALSE)</f>
        <v>0</v>
      </c>
      <c r="BS145" s="292" t="b">
        <f>IFERROR(__xludf.DUMMYFUNCTION("""COMPUTED_VALUE"""),FALSE)</f>
        <v>0</v>
      </c>
      <c r="BT145" s="345">
        <f>IFERROR(__xludf.DUMMYFUNCTION("""COMPUTED_VALUE"""),642.42)</f>
        <v>642.42</v>
      </c>
      <c r="BU145" s="345">
        <f>IFERROR(__xludf.DUMMYFUNCTION("""COMPUTED_VALUE"""),154.93)</f>
        <v>154.93</v>
      </c>
      <c r="BV145" s="344">
        <f>IFERROR(__xludf.DUMMYFUNCTION("""COMPUTED_VALUE"""),11.99)</f>
        <v>11.99</v>
      </c>
      <c r="BW145" s="344">
        <f>IFERROR(__xludf.DUMMYFUNCTION("""COMPUTED_VALUE"""),4.47)</f>
        <v>4.47</v>
      </c>
    </row>
    <row r="146">
      <c r="A146" s="292" t="str">
        <f>IFERROR(__xludf.DUMMYFUNCTION("""COMPUTED_VALUE"""),"FE4004C")</f>
        <v>FE4004C</v>
      </c>
      <c r="B146" s="292" t="str">
        <f>IFERROR(__xludf.DUMMYFUNCTION("""COMPUTED_VALUE"""),"CON-40-143683-4")</f>
        <v>CON-40-143683-4</v>
      </c>
      <c r="C146" s="292" t="str">
        <f>IFERROR(__xludf.DUMMYFUNCTION("""COMPUTED_VALUE"""),"CON-00-147868-2")</f>
        <v>CON-00-147868-2</v>
      </c>
      <c r="D146" s="292" t="str">
        <f>IFERROR(__xludf.DUMMYFUNCTION("""COMPUTED_VALUE"""),"CON-00-136661-3")</f>
        <v>CON-00-136661-3</v>
      </c>
      <c r="E146" s="292" t="str">
        <f>IFERROR(__xludf.DUMMYFUNCTION("""COMPUTED_VALUE"""),"Chicken in basil-pepper sauce")</f>
        <v>Chicken in basil-pepper sauce</v>
      </c>
      <c r="F146" s="292" t="str">
        <f>IFERROR(__xludf.DUMMYFUNCTION("""COMPUTED_VALUE"""),"with mascarpone rice, fennel and cherry tomatoes")</f>
        <v>with mascarpone rice, fennel and cherry tomatoes</v>
      </c>
      <c r="G146" s="292" t="str">
        <f>IFERROR(__xludf.DUMMYFUNCTION("""COMPUTED_VALUE"""),"Kipfilet in basilicum-paprikasaus")</f>
        <v>Kipfilet in basilicum-paprikasaus</v>
      </c>
      <c r="H146" s="292" t="str">
        <f>IFERROR(__xludf.DUMMYFUNCTION("""COMPUTED_VALUE"""),"met mascarpone-rijst, venkel en cherrytomaatjes")</f>
        <v>met mascarpone-rijst, venkel en cherrytomaatjes</v>
      </c>
      <c r="I146" s="292" t="str">
        <f>IFERROR(__xludf.DUMMYFUNCTION("""COMPUTED_VALUE"""),"Kylling i peberfrugt- og basilikumssauce")</f>
        <v>Kylling i peberfrugt- og basilikumssauce</v>
      </c>
      <c r="J146" s="292" t="str">
        <f>IFERROR(__xludf.DUMMYFUNCTION("""COMPUTED_VALUE"""),"Hähnchen in Basilikum-Paprika-Sauce")</f>
        <v>Hähnchen in Basilikum-Paprika-Sauce</v>
      </c>
      <c r="K146" s="292">
        <f>IFERROR(__xludf.DUMMYFUNCTION("""COMPUTED_VALUE"""),565144.0)</f>
        <v>565144</v>
      </c>
      <c r="L146" s="292" t="str">
        <f>IFERROR(__xludf.DUMMYFUNCTION("""COMPUTED_VALUE"""),"HF RW Kipf basil-paprikasaus")</f>
        <v>HF RW Kipf basil-paprikasaus</v>
      </c>
      <c r="M146" s="292" t="str">
        <f>IFERROR(__xludf.DUMMYFUNCTION("""COMPUTED_VALUE"""),"FA-NL Kipfilet in basilicum-paprikasaus (FE4004)")</f>
        <v>FA-NL Kipfilet in basilicum-paprikasaus (FE4004)</v>
      </c>
      <c r="N146" s="292" t="str">
        <f>IFERROR(__xludf.DUMMYFUNCTION("""COMPUTED_VALUE"""),"FA-NO Kylling i peberfrugt- og basilikumauce (FE4004)")</f>
        <v>FA-NO Kylling i peberfrugt- og basilikumauce (FE4004)</v>
      </c>
      <c r="O146" s="292" t="str">
        <f>IFERROR(__xludf.DUMMYFUNCTION("""COMPUTED_VALUE"""),"FA-DE Hähnchen in Basilikum-Paprika-Sauce (FE4004)")</f>
        <v>FA-DE Hähnchen in Basilikum-Paprika-Sauce (FE4004)</v>
      </c>
      <c r="P146" s="292" t="str">
        <f>IFERROR(__xludf.DUMMYFUNCTION("""COMPUTED_VALUE"""),"Graveyard")</f>
        <v>Graveyard</v>
      </c>
      <c r="Q146" s="292" t="str">
        <f>IFERROR(__xludf.DUMMYFUNCTION("""COMPUTED_VALUE"""),"Sauce rework")</f>
        <v>Sauce rework</v>
      </c>
      <c r="R146" s="342">
        <f>IFERROR(__xludf.DUMMYFUNCTION("""COMPUTED_VALUE"""),5.4)</f>
        <v>5.4</v>
      </c>
      <c r="S146" s="292"/>
      <c r="T146" s="292"/>
      <c r="U146" s="292"/>
      <c r="V146" s="292"/>
      <c r="W146" s="292" t="b">
        <f>IFERROR(__xludf.DUMMYFUNCTION("""COMPUTED_VALUE"""),TRUE)</f>
        <v>1</v>
      </c>
      <c r="X146" s="345">
        <f>IFERROR(__xludf.DUMMYFUNCTION("""COMPUTED_VALUE"""),407.0)</f>
        <v>407</v>
      </c>
      <c r="Y146" s="344">
        <f>IFERROR(__xludf.DUMMYFUNCTION("""COMPUTED_VALUE"""),540.0)</f>
        <v>540</v>
      </c>
      <c r="Z146" s="343">
        <f>IFERROR(__xludf.DUMMYFUNCTION("""COMPUTED_VALUE"""),21.6)</f>
        <v>21.6</v>
      </c>
      <c r="AA146" s="344">
        <f>IFERROR(__xludf.DUMMYFUNCTION("""COMPUTED_VALUE"""),7.5)</f>
        <v>7.5</v>
      </c>
      <c r="AB146" s="344">
        <f>IFERROR(__xludf.DUMMYFUNCTION("""COMPUTED_VALUE"""),52.5)</f>
        <v>52.5</v>
      </c>
      <c r="AC146" s="344">
        <f>IFERROR(__xludf.DUMMYFUNCTION("""COMPUTED_VALUE"""),8.9)</f>
        <v>8.9</v>
      </c>
      <c r="AD146" s="344">
        <f>IFERROR(__xludf.DUMMYFUNCTION("""COMPUTED_VALUE"""),5.8)</f>
        <v>5.8</v>
      </c>
      <c r="AE146" s="343">
        <f>IFERROR(__xludf.DUMMYFUNCTION("""COMPUTED_VALUE"""),30.3)</f>
        <v>30.3</v>
      </c>
      <c r="AF146" s="343">
        <f>IFERROR(__xludf.DUMMYFUNCTION("""COMPUTED_VALUE"""),1.96)</f>
        <v>1.96</v>
      </c>
      <c r="AG146" s="292" t="b">
        <f>IFERROR(__xludf.DUMMYFUNCTION("""COMPUTED_VALUE"""),FALSE)</f>
        <v>0</v>
      </c>
      <c r="AH146" s="292" t="b">
        <f>IFERROR(__xludf.DUMMYFUNCTION("""COMPUTED_VALUE"""),FALSE)</f>
        <v>0</v>
      </c>
      <c r="AI146" s="292" t="b">
        <f>IFERROR(__xludf.DUMMYFUNCTION("""COMPUTED_VALUE"""),TRUE)</f>
        <v>1</v>
      </c>
      <c r="AJ146" s="292" t="b">
        <f>IFERROR(__xludf.DUMMYFUNCTION("""COMPUTED_VALUE"""),FALSE)</f>
        <v>0</v>
      </c>
      <c r="AK146" s="292" t="b">
        <f>IFERROR(__xludf.DUMMYFUNCTION("""COMPUTED_VALUE"""),FALSE)</f>
        <v>0</v>
      </c>
      <c r="AL146" s="292" t="b">
        <f>IFERROR(__xludf.DUMMYFUNCTION("""COMPUTED_VALUE"""),FALSE)</f>
        <v>0</v>
      </c>
      <c r="AM146" s="292" t="b">
        <f>IFERROR(__xludf.DUMMYFUNCTION("""COMPUTED_VALUE"""),TRUE)</f>
        <v>1</v>
      </c>
      <c r="AN146" s="292" t="b">
        <f>IFERROR(__xludf.DUMMYFUNCTION("""COMPUTED_VALUE"""),FALSE)</f>
        <v>0</v>
      </c>
      <c r="AO146" s="292" t="str">
        <f>IFERROR(__xludf.DUMMYFUNCTION("""COMPUTED_VALUE"""),"FALSE")</f>
        <v>FALSE</v>
      </c>
      <c r="AP146" s="292" t="str">
        <f>IFERROR(__xludf.DUMMYFUNCTION("""COMPUTED_VALUE"""),"Chicken breast")</f>
        <v>Chicken breast</v>
      </c>
      <c r="AQ146" s="292" t="str">
        <f>IFERROR(__xludf.DUMMYFUNCTION("""COMPUTED_VALUE"""),"Chicken")</f>
        <v>Chicken</v>
      </c>
      <c r="AR146" s="292" t="str">
        <f>IFERROR(__xludf.DUMMYFUNCTION("""COMPUTED_VALUE"""),"Breast")</f>
        <v>Breast</v>
      </c>
      <c r="AS146" s="292" t="str">
        <f>IFERROR(__xludf.DUMMYFUNCTION("""COMPUTED_VALUE"""),"Cherry Tomatoes")</f>
        <v>Cherry Tomatoes</v>
      </c>
      <c r="AT146" s="292" t="str">
        <f>IFERROR(__xludf.DUMMYFUNCTION("""COMPUTED_VALUE"""),"Pepper Mix")</f>
        <v>Pepper Mix</v>
      </c>
      <c r="AU146" s="292" t="str">
        <f>IFERROR(__xludf.DUMMYFUNCTION("""COMPUTED_VALUE"""),"Rice")</f>
        <v>Rice</v>
      </c>
      <c r="AV146" s="292"/>
      <c r="AW146" s="292" t="str">
        <f>IFERROR(__xludf.DUMMYFUNCTION("""COMPUTED_VALUE"""),"Year Round")</f>
        <v>Year Round</v>
      </c>
      <c r="AX146" s="292" t="str">
        <f>IFERROR(__xludf.DUMMYFUNCTION("""COMPUTED_VALUE"""),"Italian")</f>
        <v>Italian</v>
      </c>
      <c r="AY146" s="292"/>
      <c r="AZ146" s="292" t="str">
        <f>IFERROR(__xludf.DUMMYFUNCTION("""COMPUTED_VALUE"""),"2 CT")</f>
        <v>2 CT</v>
      </c>
      <c r="BA146" s="292" t="b">
        <f>IFERROR(__xludf.DUMMYFUNCTION("""COMPUTED_VALUE"""),FALSE)</f>
        <v>0</v>
      </c>
      <c r="BB146" s="342">
        <f>IFERROR(__xludf.DUMMYFUNCTION("""COMPUTED_VALUE"""),2.91)</f>
        <v>2.91</v>
      </c>
      <c r="BC146" s="342">
        <f>IFERROR(__xludf.DUMMYFUNCTION("""COMPUTED_VALUE"""),1.24)</f>
        <v>1.24</v>
      </c>
      <c r="BD146" s="342">
        <f>IFERROR(__xludf.DUMMYFUNCTION("""COMPUTED_VALUE"""),0.36)</f>
        <v>0.36</v>
      </c>
      <c r="BE146" s="342">
        <f>IFERROR(__xludf.DUMMYFUNCTION("""COMPUTED_VALUE"""),0.89)</f>
        <v>0.89</v>
      </c>
      <c r="BF146" s="296" t="str">
        <f>IFERROR(__xludf.DUMMYFUNCTION("""COMPUTED_VALUE"""),"#REF!")</f>
        <v>#REF!</v>
      </c>
      <c r="BG146" s="296" t="str">
        <f>IFERROR(__xludf.DUMMYFUNCTION("""COMPUTED_VALUE"""),"#REF!")</f>
        <v>#REF!</v>
      </c>
      <c r="BH146" s="296" t="str">
        <f>IFERROR(__xludf.DUMMYFUNCTION("""COMPUTED_VALUE"""),"#REF!")</f>
        <v>#REF!</v>
      </c>
      <c r="BI146" s="295">
        <f>IFERROR(__xludf.DUMMYFUNCTION("""COMPUTED_VALUE"""),152.0)</f>
        <v>152</v>
      </c>
      <c r="BJ146" s="295" t="str">
        <f>IFERROR(__xludf.DUMMYFUNCTION("""COMPUTED_VALUE"""),"FALSE")</f>
        <v>FALSE</v>
      </c>
      <c r="BK146" s="346">
        <f>IFERROR(__xludf.DUMMYFUNCTION("""COMPUTED_VALUE"""),2264.0)</f>
        <v>2264</v>
      </c>
      <c r="BL146" s="292" t="str">
        <f>IFERROR(__xludf.DUMMYFUNCTION("""COMPUTED_VALUE"""),"Frankenstein")</f>
        <v>Frankenstein</v>
      </c>
      <c r="BM146" s="292"/>
      <c r="BN146" s="292"/>
      <c r="BO146" s="292"/>
      <c r="BP146" s="292"/>
      <c r="BQ146" s="292" t="str">
        <f>IFERROR(__xludf.DUMMYFUNCTION("""COMPUTED_VALUE"""),"Hospital")</f>
        <v>Hospital</v>
      </c>
      <c r="BR146" s="292" t="b">
        <f>IFERROR(__xludf.DUMMYFUNCTION("""COMPUTED_VALUE"""),FALSE)</f>
        <v>0</v>
      </c>
      <c r="BS146" s="292" t="b">
        <f>IFERROR(__xludf.DUMMYFUNCTION("""COMPUTED_VALUE"""),FALSE)</f>
        <v>0</v>
      </c>
      <c r="BT146" s="292"/>
      <c r="BU146" s="292"/>
      <c r="BV146" s="292"/>
      <c r="BW146" s="292"/>
    </row>
    <row r="147">
      <c r="A147" s="292" t="str">
        <f>IFERROR(__xludf.DUMMYFUNCTION("""COMPUTED_VALUE"""),"FE4009C")</f>
        <v>FE4009C</v>
      </c>
      <c r="B147" s="292" t="str">
        <f>IFERROR(__xludf.DUMMYFUNCTION("""COMPUTED_VALUE"""),"CON-40-143765-4")</f>
        <v>CON-40-143765-4</v>
      </c>
      <c r="C147" s="292" t="str">
        <f>IFERROR(__xludf.DUMMYFUNCTION("""COMPUTED_VALUE"""),"CON-00-147871-2")</f>
        <v>CON-00-147871-2</v>
      </c>
      <c r="D147" s="292" t="str">
        <f>IFERROR(__xludf.DUMMYFUNCTION("""COMPUTED_VALUE"""),"CON-00-137745-2")</f>
        <v>CON-00-137745-2</v>
      </c>
      <c r="E147" s="292" t="str">
        <f>IFERROR(__xludf.DUMMYFUNCTION("""COMPUTED_VALUE"""),"Salmon in mustard-dill sauce")</f>
        <v>Salmon in mustard-dill sauce</v>
      </c>
      <c r="F147" s="292" t="str">
        <f>IFERROR(__xludf.DUMMYFUNCTION("""COMPUTED_VALUE"""),"with potato spinach puree, carrots and green beans")</f>
        <v>with potato spinach puree, carrots and green beans</v>
      </c>
      <c r="G147" s="292" t="str">
        <f>IFERROR(__xludf.DUMMYFUNCTION("""COMPUTED_VALUE"""),"Zalm in mosterd-dillesaus")</f>
        <v>Zalm in mosterd-dillesaus</v>
      </c>
      <c r="H147" s="292" t="str">
        <f>IFERROR(__xludf.DUMMYFUNCTION("""COMPUTED_VALUE"""),"met aardappel-spinaziepuree, wortels en sperziebonen")</f>
        <v>met aardappel-spinaziepuree, wortels en sperziebonen</v>
      </c>
      <c r="I147" s="292" t="str">
        <f>IFERROR(__xludf.DUMMYFUNCTION("""COMPUTED_VALUE"""),"Laks i dild- og sennepssauce")</f>
        <v>Laks i dild- og sennepssauce</v>
      </c>
      <c r="J147" s="292" t="str">
        <f>IFERROR(__xludf.DUMMYFUNCTION("""COMPUTED_VALUE"""),"Lachs in Senf-Dill-Sauce")</f>
        <v>Lachs in Senf-Dill-Sauce</v>
      </c>
      <c r="K147" s="292">
        <f>IFERROR(__xludf.DUMMYFUNCTION("""COMPUTED_VALUE"""),565064.0)</f>
        <v>565064</v>
      </c>
      <c r="L147" s="292"/>
      <c r="M147" s="292" t="str">
        <f>IFERROR(__xludf.DUMMYFUNCTION("""COMPUTED_VALUE"""),"FA-NL Zalm in mosterd-dillesaus (FE4009)")</f>
        <v>FA-NL Zalm in mosterd-dillesaus (FE4009)</v>
      </c>
      <c r="N147" s="292" t="str">
        <f>IFERROR(__xludf.DUMMYFUNCTION("""COMPUTED_VALUE"""),"FA-NO Laks i dild- og sennepssauce (FE4009)")</f>
        <v>FA-NO Laks i dild- og sennepssauce (FE4009)</v>
      </c>
      <c r="O147" s="292" t="str">
        <f>IFERROR(__xludf.DUMMYFUNCTION("""COMPUTED_VALUE"""),"FA-DE Lachs in Senf-Dill-Sauce (FE4009)")</f>
        <v>FA-DE Lachs in Senf-Dill-Sauce (FE4009)</v>
      </c>
      <c r="P147" s="292" t="str">
        <f>IFERROR(__xludf.DUMMYFUNCTION("""COMPUTED_VALUE"""),"Graveyard")</f>
        <v>Graveyard</v>
      </c>
      <c r="Q147" s="292" t="str">
        <f>IFERROR(__xludf.DUMMYFUNCTION("""COMPUTED_VALUE"""),"Banned ingredients used, rework to remove them")</f>
        <v>Banned ingredients used, rework to remove them</v>
      </c>
      <c r="R147" s="342">
        <f>IFERROR(__xludf.DUMMYFUNCTION("""COMPUTED_VALUE"""),6.12)</f>
        <v>6.12</v>
      </c>
      <c r="S147" s="292"/>
      <c r="T147" s="292"/>
      <c r="U147" s="292"/>
      <c r="V147" s="292"/>
      <c r="W147" s="292" t="b">
        <f>IFERROR(__xludf.DUMMYFUNCTION("""COMPUTED_VALUE"""),TRUE)</f>
        <v>1</v>
      </c>
      <c r="X147" s="345">
        <f>IFERROR(__xludf.DUMMYFUNCTION("""COMPUTED_VALUE"""),414.0)</f>
        <v>414</v>
      </c>
      <c r="Y147" s="344">
        <f>IFERROR(__xludf.DUMMYFUNCTION("""COMPUTED_VALUE"""),645.0)</f>
        <v>645</v>
      </c>
      <c r="Z147" s="343">
        <f>IFERROR(__xludf.DUMMYFUNCTION("""COMPUTED_VALUE"""),41.9)</f>
        <v>41.9</v>
      </c>
      <c r="AA147" s="344">
        <f>IFERROR(__xludf.DUMMYFUNCTION("""COMPUTED_VALUE"""),11.7)</f>
        <v>11.7</v>
      </c>
      <c r="AB147" s="344">
        <f>IFERROR(__xludf.DUMMYFUNCTION("""COMPUTED_VALUE"""),28.8)</f>
        <v>28.8</v>
      </c>
      <c r="AC147" s="344">
        <f>IFERROR(__xludf.DUMMYFUNCTION("""COMPUTED_VALUE"""),10.4)</f>
        <v>10.4</v>
      </c>
      <c r="AD147" s="344">
        <f>IFERROR(__xludf.DUMMYFUNCTION("""COMPUTED_VALUE"""),8.4)</f>
        <v>8.4</v>
      </c>
      <c r="AE147" s="343">
        <f>IFERROR(__xludf.DUMMYFUNCTION("""COMPUTED_VALUE"""),33.1)</f>
        <v>33.1</v>
      </c>
      <c r="AF147" s="343">
        <f>IFERROR(__xludf.DUMMYFUNCTION("""COMPUTED_VALUE"""),2.0)</f>
        <v>2</v>
      </c>
      <c r="AG147" s="292" t="b">
        <f>IFERROR(__xludf.DUMMYFUNCTION("""COMPUTED_VALUE"""),FALSE)</f>
        <v>0</v>
      </c>
      <c r="AH147" s="292" t="b">
        <f>IFERROR(__xludf.DUMMYFUNCTION("""COMPUTED_VALUE"""),FALSE)</f>
        <v>0</v>
      </c>
      <c r="AI147" s="292" t="b">
        <f>IFERROR(__xludf.DUMMYFUNCTION("""COMPUTED_VALUE"""),FALSE)</f>
        <v>0</v>
      </c>
      <c r="AJ147" s="292" t="b">
        <f>IFERROR(__xludf.DUMMYFUNCTION("""COMPUTED_VALUE"""),FALSE)</f>
        <v>0</v>
      </c>
      <c r="AK147" s="292" t="b">
        <f>IFERROR(__xludf.DUMMYFUNCTION("""COMPUTED_VALUE"""),FALSE)</f>
        <v>0</v>
      </c>
      <c r="AL147" s="292" t="b">
        <f>IFERROR(__xludf.DUMMYFUNCTION("""COMPUTED_VALUE"""),FALSE)</f>
        <v>0</v>
      </c>
      <c r="AM147" s="292" t="b">
        <f>IFERROR(__xludf.DUMMYFUNCTION("""COMPUTED_VALUE"""),TRUE)</f>
        <v>1</v>
      </c>
      <c r="AN147" s="292" t="b">
        <f>IFERROR(__xludf.DUMMYFUNCTION("""COMPUTED_VALUE"""),FALSE)</f>
        <v>0</v>
      </c>
      <c r="AO147" s="292" t="str">
        <f>IFERROR(__xludf.DUMMYFUNCTION("""COMPUTED_VALUE"""),"FALSE")</f>
        <v>FALSE</v>
      </c>
      <c r="AP147" s="292" t="str">
        <f>IFERROR(__xludf.DUMMYFUNCTION("""COMPUTED_VALUE"""),"Salmon")</f>
        <v>Salmon</v>
      </c>
      <c r="AQ147" s="292" t="str">
        <f>IFERROR(__xludf.DUMMYFUNCTION("""COMPUTED_VALUE"""),"Salmon")</f>
        <v>Salmon</v>
      </c>
      <c r="AR147" s="292" t="str">
        <f>IFERROR(__xludf.DUMMYFUNCTION("""COMPUTED_VALUE"""),"Filet")</f>
        <v>Filet</v>
      </c>
      <c r="AS147" s="292" t="str">
        <f>IFERROR(__xludf.DUMMYFUNCTION("""COMPUTED_VALUE"""),"Potato Mash")</f>
        <v>Potato Mash</v>
      </c>
      <c r="AT147" s="292" t="str">
        <f>IFERROR(__xludf.DUMMYFUNCTION("""COMPUTED_VALUE"""),"Spinach")</f>
        <v>Spinach</v>
      </c>
      <c r="AU147" s="292" t="str">
        <f>IFERROR(__xludf.DUMMYFUNCTION("""COMPUTED_VALUE"""),"Green Beans")</f>
        <v>Green Beans</v>
      </c>
      <c r="AV147" s="292" t="str">
        <f>IFERROR(__xludf.DUMMYFUNCTION("""COMPUTED_VALUE"""),"Carrots")</f>
        <v>Carrots</v>
      </c>
      <c r="AW147" s="292" t="str">
        <f>IFERROR(__xludf.DUMMYFUNCTION("""COMPUTED_VALUE"""),"Year Round")</f>
        <v>Year Round</v>
      </c>
      <c r="AX147" s="292" t="str">
        <f>IFERROR(__xludf.DUMMYFUNCTION("""COMPUTED_VALUE"""),"European")</f>
        <v>European</v>
      </c>
      <c r="AY147" s="292"/>
      <c r="AZ147" s="292" t="str">
        <f>IFERROR(__xludf.DUMMYFUNCTION("""COMPUTED_VALUE"""),"2 CT")</f>
        <v>2 CT</v>
      </c>
      <c r="BA147" s="292" t="b">
        <f>IFERROR(__xludf.DUMMYFUNCTION("""COMPUTED_VALUE"""),FALSE)</f>
        <v>0</v>
      </c>
      <c r="BB147" s="342">
        <f>IFERROR(__xludf.DUMMYFUNCTION("""COMPUTED_VALUE"""),3.65)</f>
        <v>3.65</v>
      </c>
      <c r="BC147" s="342">
        <f>IFERROR(__xludf.DUMMYFUNCTION("""COMPUTED_VALUE"""),1.22)</f>
        <v>1.22</v>
      </c>
      <c r="BD147" s="342">
        <f>IFERROR(__xludf.DUMMYFUNCTION("""COMPUTED_VALUE"""),0.36)</f>
        <v>0.36</v>
      </c>
      <c r="BE147" s="342">
        <f>IFERROR(__xludf.DUMMYFUNCTION("""COMPUTED_VALUE"""),0.89)</f>
        <v>0.89</v>
      </c>
      <c r="BF147" s="296">
        <f>IFERROR(__xludf.DUMMYFUNCTION("""COMPUTED_VALUE"""),3.2825026214718904)</f>
        <v>3.282502621</v>
      </c>
      <c r="BG147" s="296">
        <f>IFERROR(__xludf.DUMMYFUNCTION("""COMPUTED_VALUE"""),3.4761812921890063)</f>
        <v>3.476181292</v>
      </c>
      <c r="BH147" s="296">
        <f>IFERROR(__xludf.DUMMYFUNCTION("""COMPUTED_VALUE"""),3.3257142857142856)</f>
        <v>3.325714286</v>
      </c>
      <c r="BI147" s="295">
        <f>IFERROR(__xludf.DUMMYFUNCTION("""COMPUTED_VALUE"""),152.0)</f>
        <v>152</v>
      </c>
      <c r="BJ147" s="295" t="str">
        <f>IFERROR(__xludf.DUMMYFUNCTION("""COMPUTED_VALUE"""),"TRUE")</f>
        <v>TRUE</v>
      </c>
      <c r="BK147" s="346">
        <f>IFERROR(__xludf.DUMMYFUNCTION("""COMPUTED_VALUE"""),2684.0)</f>
        <v>2684</v>
      </c>
      <c r="BL147" s="292"/>
      <c r="BM147" s="292" t="str">
        <f>IFERROR(__xludf.DUMMYFUNCTION("""COMPUTED_VALUE"""),"Lax i dill- och senapssås")</f>
        <v>Lax i dill- och senapssås</v>
      </c>
      <c r="BN147" s="343">
        <f>IFERROR(__xludf.DUMMYFUNCTION("""COMPUTED_VALUE"""),3.6341463414634148)</f>
        <v>3.634146341</v>
      </c>
      <c r="BO147" s="343">
        <f>IFERROR(__xludf.DUMMYFUNCTION("""COMPUTED_VALUE"""),3.142857142857143)</f>
        <v>3.142857143</v>
      </c>
      <c r="BP147" s="292"/>
      <c r="BQ147" s="292" t="str">
        <f>IFERROR(__xludf.DUMMYFUNCTION("""COMPUTED_VALUE"""),"Proven")</f>
        <v>Proven</v>
      </c>
      <c r="BR147" s="292" t="b">
        <f>IFERROR(__xludf.DUMMYFUNCTION("""COMPUTED_VALUE"""),FALSE)</f>
        <v>0</v>
      </c>
      <c r="BS147" s="292" t="b">
        <f>IFERROR(__xludf.DUMMYFUNCTION("""COMPUTED_VALUE"""),FALSE)</f>
        <v>0</v>
      </c>
      <c r="BT147" s="292"/>
      <c r="BU147" s="292"/>
      <c r="BV147" s="292"/>
      <c r="BW147" s="292"/>
    </row>
    <row r="148">
      <c r="A148" s="292" t="str">
        <f>IFERROR(__xludf.DUMMYFUNCTION("""COMPUTED_VALUE"""),"FE0472B")</f>
        <v>FE0472B</v>
      </c>
      <c r="B148" s="292" t="str">
        <f>IFERROR(__xludf.DUMMYFUNCTION("""COMPUTED_VALUE"""),"CON-40-143711-4")</f>
        <v>CON-40-143711-4</v>
      </c>
      <c r="C148" s="292" t="str">
        <f>IFERROR(__xludf.DUMMYFUNCTION("""COMPUTED_VALUE"""),"CON-00-147844-2")</f>
        <v>CON-00-147844-2</v>
      </c>
      <c r="D148" s="292" t="str">
        <f>IFERROR(__xludf.DUMMYFUNCTION("""COMPUTED_VALUE"""),"CON-00-136623-3")</f>
        <v>CON-00-136623-3</v>
      </c>
      <c r="E148" s="292" t="str">
        <f>IFERROR(__xludf.DUMMYFUNCTION("""COMPUTED_VALUE"""),"Indian style butter chicken")</f>
        <v>Indian style butter chicken</v>
      </c>
      <c r="F148" s="292" t="str">
        <f>IFERROR(__xludf.DUMMYFUNCTION("""COMPUTED_VALUE"""),"with cauliflower rice, coriander and lime")</f>
        <v>with cauliflower rice, coriander and lime</v>
      </c>
      <c r="G148" s="292" t="str">
        <f>IFERROR(__xludf.DUMMYFUNCTION("""COMPUTED_VALUE"""),"Indiase stijl butter chicken")</f>
        <v>Indiase stijl butter chicken</v>
      </c>
      <c r="H148" s="292" t="str">
        <f>IFERROR(__xludf.DUMMYFUNCTION("""COMPUTED_VALUE"""),"met bloemkoolrijst, koriander en limoen")</f>
        <v>met bloemkoolrijst, koriander en limoen</v>
      </c>
      <c r="I148" s="292" t="str">
        <f>IFERROR(__xludf.DUMMYFUNCTION("""COMPUTED_VALUE"""),"Indisk-inspireret butter chicken")</f>
        <v>Indisk-inspireret butter chicken</v>
      </c>
      <c r="J148" s="292" t="str">
        <f>IFERROR(__xludf.DUMMYFUNCTION("""COMPUTED_VALUE"""),"Indisches Butterhuhn")</f>
        <v>Indisches Butterhuhn</v>
      </c>
      <c r="K148" s="292">
        <f>IFERROR(__xludf.DUMMYFUNCTION("""COMPUTED_VALUE"""),565145.0)</f>
        <v>565145</v>
      </c>
      <c r="L148" s="292" t="str">
        <f>IFERROR(__xludf.DUMMYFUNCTION("""COMPUTED_VALUE"""),"HF RW Butter Chicken")</f>
        <v>HF RW Butter Chicken</v>
      </c>
      <c r="M148" s="292" t="str">
        <f>IFERROR(__xludf.DUMMYFUNCTION("""COMPUTED_VALUE"""),"FA-NL Indiase stijl butter chicken (FE0472)")</f>
        <v>FA-NL Indiase stijl butter chicken (FE0472)</v>
      </c>
      <c r="N148" s="292" t="str">
        <f>IFERROR(__xludf.DUMMYFUNCTION("""COMPUTED_VALUE"""),"FA-NO Indisk-inspireret butter chicken (FE0472)")</f>
        <v>FA-NO Indisk-inspireret butter chicken (FE0472)</v>
      </c>
      <c r="O148" s="292" t="str">
        <f>IFERROR(__xludf.DUMMYFUNCTION("""COMPUTED_VALUE"""),"FA-DE Indisches Butterhuhn (FE0472)")</f>
        <v>FA-DE Indisches Butterhuhn (FE0472)</v>
      </c>
      <c r="P148" s="292" t="str">
        <f>IFERROR(__xludf.DUMMYFUNCTION("""COMPUTED_VALUE"""),"Active")</f>
        <v>Active</v>
      </c>
      <c r="Q148" s="292" t="str">
        <f>IFERROR(__xludf.DUMMYFUNCTION("""COMPUTED_VALUE"""),"Sauce rework - version is closer to the US version, no sweetener")</f>
        <v>Sauce rework - version is closer to the US version, no sweetener</v>
      </c>
      <c r="R148" s="342">
        <f>IFERROR(__xludf.DUMMYFUNCTION("""COMPUTED_VALUE"""),5.33)</f>
        <v>5.33</v>
      </c>
      <c r="S148" s="292"/>
      <c r="T148" s="292"/>
      <c r="U148" s="292"/>
      <c r="V148" s="292"/>
      <c r="W148" s="292" t="b">
        <f>IFERROR(__xludf.DUMMYFUNCTION("""COMPUTED_VALUE"""),TRUE)</f>
        <v>1</v>
      </c>
      <c r="X148" s="345">
        <f>IFERROR(__xludf.DUMMYFUNCTION("""COMPUTED_VALUE"""),360.0)</f>
        <v>360</v>
      </c>
      <c r="Y148" s="344">
        <f>IFERROR(__xludf.DUMMYFUNCTION("""COMPUTED_VALUE"""),614.0)</f>
        <v>614</v>
      </c>
      <c r="Z148" s="343">
        <f>IFERROR(__xludf.DUMMYFUNCTION("""COMPUTED_VALUE"""),46.9)</f>
        <v>46.9</v>
      </c>
      <c r="AA148" s="344">
        <f>IFERROR(__xludf.DUMMYFUNCTION("""COMPUTED_VALUE"""),22.7)</f>
        <v>22.7</v>
      </c>
      <c r="AB148" s="344">
        <f>IFERROR(__xludf.DUMMYFUNCTION("""COMPUTED_VALUE"""),12.5)</f>
        <v>12.5</v>
      </c>
      <c r="AC148" s="344">
        <f>IFERROR(__xludf.DUMMYFUNCTION("""COMPUTED_VALUE"""),7.8)</f>
        <v>7.8</v>
      </c>
      <c r="AD148" s="344">
        <f>IFERROR(__xludf.DUMMYFUNCTION("""COMPUTED_VALUE"""),6.0)</f>
        <v>6</v>
      </c>
      <c r="AE148" s="343">
        <f>IFERROR(__xludf.DUMMYFUNCTION("""COMPUTED_VALUE"""),32.0)</f>
        <v>32</v>
      </c>
      <c r="AF148" s="343">
        <f>IFERROR(__xludf.DUMMYFUNCTION("""COMPUTED_VALUE"""),1.99)</f>
        <v>1.99</v>
      </c>
      <c r="AG148" s="292" t="b">
        <f>IFERROR(__xludf.DUMMYFUNCTION("""COMPUTED_VALUE"""),FALSE)</f>
        <v>0</v>
      </c>
      <c r="AH148" s="292" t="b">
        <f>IFERROR(__xludf.DUMMYFUNCTION("""COMPUTED_VALUE"""),TRUE)</f>
        <v>1</v>
      </c>
      <c r="AI148" s="292" t="b">
        <f>IFERROR(__xludf.DUMMYFUNCTION("""COMPUTED_VALUE"""),FALSE)</f>
        <v>0</v>
      </c>
      <c r="AJ148" s="292" t="b">
        <f>IFERROR(__xludf.DUMMYFUNCTION("""COMPUTED_VALUE"""),FALSE)</f>
        <v>0</v>
      </c>
      <c r="AK148" s="292" t="b">
        <f>IFERROR(__xludf.DUMMYFUNCTION("""COMPUTED_VALUE"""),FALSE)</f>
        <v>0</v>
      </c>
      <c r="AL148" s="292" t="b">
        <f>IFERROR(__xludf.DUMMYFUNCTION("""COMPUTED_VALUE"""),FALSE)</f>
        <v>0</v>
      </c>
      <c r="AM148" s="292" t="b">
        <f>IFERROR(__xludf.DUMMYFUNCTION("""COMPUTED_VALUE"""),TRUE)</f>
        <v>1</v>
      </c>
      <c r="AN148" s="292" t="b">
        <f>IFERROR(__xludf.DUMMYFUNCTION("""COMPUTED_VALUE"""),FALSE)</f>
        <v>0</v>
      </c>
      <c r="AO148" s="292" t="str">
        <f>IFERROR(__xludf.DUMMYFUNCTION("""COMPUTED_VALUE"""),"FALSE")</f>
        <v>FALSE</v>
      </c>
      <c r="AP148" s="292" t="str">
        <f>IFERROR(__xludf.DUMMYFUNCTION("""COMPUTED_VALUE"""),"Diced chicken")</f>
        <v>Diced chicken</v>
      </c>
      <c r="AQ148" s="292" t="str">
        <f>IFERROR(__xludf.DUMMYFUNCTION("""COMPUTED_VALUE"""),"Chicken")</f>
        <v>Chicken</v>
      </c>
      <c r="AR148" s="292" t="str">
        <f>IFERROR(__xludf.DUMMYFUNCTION("""COMPUTED_VALUE"""),"Pieces")</f>
        <v>Pieces</v>
      </c>
      <c r="AS148" s="292" t="str">
        <f>IFERROR(__xludf.DUMMYFUNCTION("""COMPUTED_VALUE"""),"Cauliflower Rice")</f>
        <v>Cauliflower Rice</v>
      </c>
      <c r="AT148" s="292" t="str">
        <f>IFERROR(__xludf.DUMMYFUNCTION("""COMPUTED_VALUE"""),"Tomato Based Sauce")</f>
        <v>Tomato Based Sauce</v>
      </c>
      <c r="AU148" s="292" t="str">
        <f>IFERROR(__xludf.DUMMYFUNCTION("""COMPUTED_VALUE"""),"Green onion")</f>
        <v>Green onion</v>
      </c>
      <c r="AV148" s="292"/>
      <c r="AW148" s="292" t="str">
        <f>IFERROR(__xludf.DUMMYFUNCTION("""COMPUTED_VALUE"""),"Year Round")</f>
        <v>Year Round</v>
      </c>
      <c r="AX148" s="292" t="str">
        <f>IFERROR(__xludf.DUMMYFUNCTION("""COMPUTED_VALUE"""),"Indian")</f>
        <v>Indian</v>
      </c>
      <c r="AY148" s="292"/>
      <c r="AZ148" s="292" t="str">
        <f>IFERROR(__xludf.DUMMYFUNCTION("""COMPUTED_VALUE"""),"2 CT")</f>
        <v>2 CT</v>
      </c>
      <c r="BA148" s="292" t="b">
        <f>IFERROR(__xludf.DUMMYFUNCTION("""COMPUTED_VALUE"""),FALSE)</f>
        <v>0</v>
      </c>
      <c r="BB148" s="342">
        <f>IFERROR(__xludf.DUMMYFUNCTION("""COMPUTED_VALUE"""),3.13)</f>
        <v>3.13</v>
      </c>
      <c r="BC148" s="342">
        <f>IFERROR(__xludf.DUMMYFUNCTION("""COMPUTED_VALUE"""),0.95)</f>
        <v>0.95</v>
      </c>
      <c r="BD148" s="342">
        <f>IFERROR(__xludf.DUMMYFUNCTION("""COMPUTED_VALUE"""),0.36)</f>
        <v>0.36</v>
      </c>
      <c r="BE148" s="342">
        <f>IFERROR(__xludf.DUMMYFUNCTION("""COMPUTED_VALUE"""),0.89)</f>
        <v>0.89</v>
      </c>
      <c r="BF148" s="296">
        <f>IFERROR(__xludf.DUMMYFUNCTION("""COMPUTED_VALUE"""),3.426666666666667)</f>
        <v>3.426666667</v>
      </c>
      <c r="BG148" s="296">
        <f>IFERROR(__xludf.DUMMYFUNCTION("""COMPUTED_VALUE"""),3.4333333333333336)</f>
        <v>3.433333333</v>
      </c>
      <c r="BH148" s="296">
        <f>IFERROR(__xludf.DUMMYFUNCTION("""COMPUTED_VALUE"""),3.4)</f>
        <v>3.4</v>
      </c>
      <c r="BI148" s="295">
        <f>IFERROR(__xludf.DUMMYFUNCTION("""COMPUTED_VALUE"""),156.0)</f>
        <v>156</v>
      </c>
      <c r="BJ148" s="295" t="str">
        <f>IFERROR(__xludf.DUMMYFUNCTION("""COMPUTED_VALUE"""),"FALSE")</f>
        <v>FALSE</v>
      </c>
      <c r="BK148" s="346">
        <f>IFERROR(__xludf.DUMMYFUNCTION("""COMPUTED_VALUE"""),2548.0)</f>
        <v>2548</v>
      </c>
      <c r="BL148" s="292" t="str">
        <f>IFERROR(__xludf.DUMMYFUNCTION("""COMPUTED_VALUE"""),"US")</f>
        <v>US</v>
      </c>
      <c r="BM148" s="292" t="str">
        <f>IFERROR(__xludf.DUMMYFUNCTION("""COMPUTED_VALUE"""),"Indisk-inspirerad butter chicken")</f>
        <v>Indisk-inspirerad butter chicken</v>
      </c>
      <c r="BN148" s="343">
        <f>IFERROR(__xludf.DUMMYFUNCTION("""COMPUTED_VALUE"""),3.4566666666666666)</f>
        <v>3.456666667</v>
      </c>
      <c r="BO148" s="343">
        <f>IFERROR(__xludf.DUMMYFUNCTION("""COMPUTED_VALUE"""),3.3966666666666665)</f>
        <v>3.396666667</v>
      </c>
      <c r="BP148" s="292"/>
      <c r="BQ148" s="292" t="str">
        <f>IFERROR(__xludf.DUMMYFUNCTION("""COMPUTED_VALUE"""),"Proven")</f>
        <v>Proven</v>
      </c>
      <c r="BR148" s="292" t="b">
        <f>IFERROR(__xludf.DUMMYFUNCTION("""COMPUTED_VALUE"""),FALSE)</f>
        <v>0</v>
      </c>
      <c r="BS148" s="292" t="b">
        <f>IFERROR(__xludf.DUMMYFUNCTION("""COMPUTED_VALUE"""),FALSE)</f>
        <v>0</v>
      </c>
      <c r="BT148" s="292"/>
      <c r="BU148" s="292"/>
      <c r="BV148" s="292"/>
      <c r="BW148" s="292"/>
    </row>
    <row r="149">
      <c r="A149" s="292" t="str">
        <f>IFERROR(__xludf.DUMMYFUNCTION("""COMPUTED_VALUE"""),"FE0207I")</f>
        <v>FE0207I</v>
      </c>
      <c r="B149" s="292" t="str">
        <f>IFERROR(__xludf.DUMMYFUNCTION("""COMPUTED_VALUE"""),"CON-40-143689-4")</f>
        <v>CON-40-143689-4</v>
      </c>
      <c r="C149" s="292" t="str">
        <f>IFERROR(__xludf.DUMMYFUNCTION("""COMPUTED_VALUE"""),"CON-00-147825-2")</f>
        <v>CON-00-147825-2</v>
      </c>
      <c r="D149" s="292" t="str">
        <f>IFERROR(__xludf.DUMMYFUNCTION("""COMPUTED_VALUE"""),"CON-00-136619-3")</f>
        <v>CON-00-136619-3</v>
      </c>
      <c r="E149" s="292" t="str">
        <f>IFERROR(__xludf.DUMMYFUNCTION("""COMPUTED_VALUE"""),"Chicken in creamy spinach")</f>
        <v>Chicken in creamy spinach</v>
      </c>
      <c r="F149" s="292" t="str">
        <f>IFERROR(__xludf.DUMMYFUNCTION("""COMPUTED_VALUE"""),"with artichoke, courgette and pepper in tomato butter")</f>
        <v>with artichoke, courgette and pepper in tomato butter</v>
      </c>
      <c r="G149" s="292" t="str">
        <f>IFERROR(__xludf.DUMMYFUNCTION("""COMPUTED_VALUE"""),"Kipfilet in romige spinazie")</f>
        <v>Kipfilet in romige spinazie</v>
      </c>
      <c r="H149" s="292" t="str">
        <f>IFERROR(__xludf.DUMMYFUNCTION("""COMPUTED_VALUE"""),"met artisjok, courgette en paprika in tomatenboter")</f>
        <v>met artisjok, courgette en paprika in tomatenboter</v>
      </c>
      <c r="I149" s="292" t="str">
        <f>IFERROR(__xludf.DUMMYFUNCTION("""COMPUTED_VALUE"""),"Kylling i cremet spinat")</f>
        <v>Kylling i cremet spinat</v>
      </c>
      <c r="J149" s="292" t="str">
        <f>IFERROR(__xludf.DUMMYFUNCTION("""COMPUTED_VALUE"""),"Hähnchen in Spinat-Creme")</f>
        <v>Hähnchen in Spinat-Creme</v>
      </c>
      <c r="K149" s="292">
        <f>IFERROR(__xludf.DUMMYFUNCTION("""COMPUTED_VALUE"""),565148.0)</f>
        <v>565148</v>
      </c>
      <c r="L149" s="292" t="str">
        <f>IFERROR(__xludf.DUMMYFUNCTION("""COMPUTED_VALUE"""),"HF RW Kipfilet in rom spinazie")</f>
        <v>HF RW Kipfilet in rom spinazie</v>
      </c>
      <c r="M149" s="292" t="str">
        <f>IFERROR(__xludf.DUMMYFUNCTION("""COMPUTED_VALUE"""),"FA-NL Kipfilet in romige spinazie (FE0207)")</f>
        <v>FA-NL Kipfilet in romige spinazie (FE0207)</v>
      </c>
      <c r="N149" s="292" t="str">
        <f>IFERROR(__xludf.DUMMYFUNCTION("""COMPUTED_VALUE"""),"FA-NO Kylling i cremet spinat (FE0207)")</f>
        <v>FA-NO Kylling i cremet spinat (FE0207)</v>
      </c>
      <c r="O149" s="292" t="str">
        <f>IFERROR(__xludf.DUMMYFUNCTION("""COMPUTED_VALUE"""),"FA-DE Hähnchen in Spinat-Creme (FE0207)")</f>
        <v>FA-DE Hähnchen in Spinat-Creme (FE0207)</v>
      </c>
      <c r="P149" s="292" t="str">
        <f>IFERROR(__xludf.DUMMYFUNCTION("""COMPUTED_VALUE"""),"Active")</f>
        <v>Active</v>
      </c>
      <c r="Q149" s="292" t="str">
        <f>IFERROR(__xludf.DUMMYFUNCTION("""COMPUTED_VALUE"""),"Removed smoke aroma, increased salt in side vegetables")</f>
        <v>Removed smoke aroma, increased salt in side vegetables</v>
      </c>
      <c r="R149" s="342">
        <f>IFERROR(__xludf.DUMMYFUNCTION("""COMPUTED_VALUE"""),5.640000000000001)</f>
        <v>5.64</v>
      </c>
      <c r="S149" s="292"/>
      <c r="T149" s="292"/>
      <c r="U149" s="292"/>
      <c r="V149" s="292"/>
      <c r="W149" s="292" t="b">
        <f>IFERROR(__xludf.DUMMYFUNCTION("""COMPUTED_VALUE"""),TRUE)</f>
        <v>1</v>
      </c>
      <c r="X149" s="345">
        <f>IFERROR(__xludf.DUMMYFUNCTION("""COMPUTED_VALUE"""),423.0)</f>
        <v>423</v>
      </c>
      <c r="Y149" s="344">
        <f>IFERROR(__xludf.DUMMYFUNCTION("""COMPUTED_VALUE"""),507.0)</f>
        <v>507</v>
      </c>
      <c r="Z149" s="343">
        <f>IFERROR(__xludf.DUMMYFUNCTION("""COMPUTED_VALUE"""),35.1)</f>
        <v>35.1</v>
      </c>
      <c r="AA149" s="344">
        <f>IFERROR(__xludf.DUMMYFUNCTION("""COMPUTED_VALUE"""),18.8)</f>
        <v>18.8</v>
      </c>
      <c r="AB149" s="344">
        <f>IFERROR(__xludf.DUMMYFUNCTION("""COMPUTED_VALUE"""),12.2)</f>
        <v>12.2</v>
      </c>
      <c r="AC149" s="344">
        <f>IFERROR(__xludf.DUMMYFUNCTION("""COMPUTED_VALUE"""),9.7)</f>
        <v>9.7</v>
      </c>
      <c r="AD149" s="344">
        <f>IFERROR(__xludf.DUMMYFUNCTION("""COMPUTED_VALUE"""),4.3)</f>
        <v>4.3</v>
      </c>
      <c r="AE149" s="343">
        <f>IFERROR(__xludf.DUMMYFUNCTION("""COMPUTED_VALUE"""),32.4)</f>
        <v>32.4</v>
      </c>
      <c r="AF149" s="343">
        <f>IFERROR(__xludf.DUMMYFUNCTION("""COMPUTED_VALUE"""),1.99)</f>
        <v>1.99</v>
      </c>
      <c r="AG149" s="292" t="b">
        <f>IFERROR(__xludf.DUMMYFUNCTION("""COMPUTED_VALUE"""),FALSE)</f>
        <v>0</v>
      </c>
      <c r="AH149" s="292" t="b">
        <f>IFERROR(__xludf.DUMMYFUNCTION("""COMPUTED_VALUE"""),TRUE)</f>
        <v>1</v>
      </c>
      <c r="AI149" s="292" t="b">
        <f>IFERROR(__xludf.DUMMYFUNCTION("""COMPUTED_VALUE"""),FALSE)</f>
        <v>0</v>
      </c>
      <c r="AJ149" s="292" t="b">
        <f>IFERROR(__xludf.DUMMYFUNCTION("""COMPUTED_VALUE"""),FALSE)</f>
        <v>0</v>
      </c>
      <c r="AK149" s="292" t="b">
        <f>IFERROR(__xludf.DUMMYFUNCTION("""COMPUTED_VALUE"""),FALSE)</f>
        <v>0</v>
      </c>
      <c r="AL149" s="292" t="b">
        <f>IFERROR(__xludf.DUMMYFUNCTION("""COMPUTED_VALUE"""),FALSE)</f>
        <v>0</v>
      </c>
      <c r="AM149" s="292" t="b">
        <f>IFERROR(__xludf.DUMMYFUNCTION("""COMPUTED_VALUE"""),TRUE)</f>
        <v>1</v>
      </c>
      <c r="AN149" s="292" t="b">
        <f>IFERROR(__xludf.DUMMYFUNCTION("""COMPUTED_VALUE"""),FALSE)</f>
        <v>0</v>
      </c>
      <c r="AO149" s="292" t="str">
        <f>IFERROR(__xludf.DUMMYFUNCTION("""COMPUTED_VALUE"""),"FALSE")</f>
        <v>FALSE</v>
      </c>
      <c r="AP149" s="292" t="str">
        <f>IFERROR(__xludf.DUMMYFUNCTION("""COMPUTED_VALUE"""),"Chicken breast")</f>
        <v>Chicken breast</v>
      </c>
      <c r="AQ149" s="292" t="str">
        <f>IFERROR(__xludf.DUMMYFUNCTION("""COMPUTED_VALUE"""),"Chicken")</f>
        <v>Chicken</v>
      </c>
      <c r="AR149" s="292" t="str">
        <f>IFERROR(__xludf.DUMMYFUNCTION("""COMPUTED_VALUE"""),"Breast")</f>
        <v>Breast</v>
      </c>
      <c r="AS149" s="292" t="str">
        <f>IFERROR(__xludf.DUMMYFUNCTION("""COMPUTED_VALUE"""),"vegetable dip")</f>
        <v>vegetable dip</v>
      </c>
      <c r="AT149" s="292" t="str">
        <f>IFERROR(__xludf.DUMMYFUNCTION("""COMPUTED_VALUE"""),"Zucchini Diced")</f>
        <v>Zucchini Diced</v>
      </c>
      <c r="AU149" s="292" t="str">
        <f>IFERROR(__xludf.DUMMYFUNCTION("""COMPUTED_VALUE"""),"Compound Butter")</f>
        <v>Compound Butter</v>
      </c>
      <c r="AV149" s="292" t="str">
        <f>IFERROR(__xludf.DUMMYFUNCTION("""COMPUTED_VALUE"""),"Cherry Tomatoes")</f>
        <v>Cherry Tomatoes</v>
      </c>
      <c r="AW149" s="292" t="str">
        <f>IFERROR(__xludf.DUMMYFUNCTION("""COMPUTED_VALUE"""),"Year Round")</f>
        <v>Year Round</v>
      </c>
      <c r="AX149" s="292" t="str">
        <f>IFERROR(__xludf.DUMMYFUNCTION("""COMPUTED_VALUE"""),"American")</f>
        <v>American</v>
      </c>
      <c r="AY149" s="292"/>
      <c r="AZ149" s="292" t="str">
        <f>IFERROR(__xludf.DUMMYFUNCTION("""COMPUTED_VALUE"""),"3 CT")</f>
        <v>3 CT</v>
      </c>
      <c r="BA149" s="292" t="b">
        <f>IFERROR(__xludf.DUMMYFUNCTION("""COMPUTED_VALUE"""),FALSE)</f>
        <v>0</v>
      </c>
      <c r="BB149" s="342">
        <f>IFERROR(__xludf.DUMMYFUNCTION("""COMPUTED_VALUE"""),3.12)</f>
        <v>3.12</v>
      </c>
      <c r="BC149" s="342">
        <f>IFERROR(__xludf.DUMMYFUNCTION("""COMPUTED_VALUE"""),1.27)</f>
        <v>1.27</v>
      </c>
      <c r="BD149" s="342">
        <f>IFERROR(__xludf.DUMMYFUNCTION("""COMPUTED_VALUE"""),0.36)</f>
        <v>0.36</v>
      </c>
      <c r="BE149" s="342">
        <f>IFERROR(__xludf.DUMMYFUNCTION("""COMPUTED_VALUE"""),0.89)</f>
        <v>0.89</v>
      </c>
      <c r="BF149" s="296">
        <f>IFERROR(__xludf.DUMMYFUNCTION("""COMPUTED_VALUE"""),3.456666666666667)</f>
        <v>3.456666667</v>
      </c>
      <c r="BG149" s="296">
        <f>IFERROR(__xludf.DUMMYFUNCTION("""COMPUTED_VALUE"""),3.4)</f>
        <v>3.4</v>
      </c>
      <c r="BH149" s="296">
        <f>IFERROR(__xludf.DUMMYFUNCTION("""COMPUTED_VALUE"""),3.436666666666667)</f>
        <v>3.436666667</v>
      </c>
      <c r="BI149" s="295">
        <f>IFERROR(__xludf.DUMMYFUNCTION("""COMPUTED_VALUE"""),210.0)</f>
        <v>210</v>
      </c>
      <c r="BJ149" s="295" t="str">
        <f>IFERROR(__xludf.DUMMYFUNCTION("""COMPUTED_VALUE"""),"FALSE")</f>
        <v>FALSE</v>
      </c>
      <c r="BK149" s="346">
        <f>IFERROR(__xludf.DUMMYFUNCTION("""COMPUTED_VALUE"""),2107.0)</f>
        <v>2107</v>
      </c>
      <c r="BL149" s="292" t="str">
        <f>IFERROR(__xludf.DUMMYFUNCTION("""COMPUTED_VALUE"""),"US")</f>
        <v>US</v>
      </c>
      <c r="BM149" s="292" t="str">
        <f>IFERROR(__xludf.DUMMYFUNCTION("""COMPUTED_VALUE"""),"Kyckling i krämig spenat")</f>
        <v>Kyckling i krämig spenat</v>
      </c>
      <c r="BN149" s="343">
        <f>IFERROR(__xludf.DUMMYFUNCTION("""COMPUTED_VALUE"""),3.5533333333333332)</f>
        <v>3.553333333</v>
      </c>
      <c r="BO149" s="343">
        <f>IFERROR(__xludf.DUMMYFUNCTION("""COMPUTED_VALUE"""),3.4333333333333336)</f>
        <v>3.433333333</v>
      </c>
      <c r="BP149" s="292"/>
      <c r="BQ149" s="292" t="str">
        <f>IFERROR(__xludf.DUMMYFUNCTION("""COMPUTED_VALUE"""),"Proven")</f>
        <v>Proven</v>
      </c>
      <c r="BR149" s="292" t="b">
        <f>IFERROR(__xludf.DUMMYFUNCTION("""COMPUTED_VALUE"""),FALSE)</f>
        <v>0</v>
      </c>
      <c r="BS149" s="292" t="b">
        <f>IFERROR(__xludf.DUMMYFUNCTION("""COMPUTED_VALUE"""),FALSE)</f>
        <v>0</v>
      </c>
      <c r="BT149" s="292"/>
      <c r="BU149" s="292"/>
      <c r="BV149" s="292"/>
      <c r="BW149" s="292"/>
    </row>
    <row r="150">
      <c r="A150" s="292" t="str">
        <f>IFERROR(__xludf.DUMMYFUNCTION("""COMPUTED_VALUE"""),"FE0565D")</f>
        <v>FE0565D</v>
      </c>
      <c r="B150" s="292" t="str">
        <f>IFERROR(__xludf.DUMMYFUNCTION("""COMPUTED_VALUE"""),"CON-40-143745-4")</f>
        <v>CON-40-143745-4</v>
      </c>
      <c r="C150" s="292" t="str">
        <f>IFERROR(__xludf.DUMMYFUNCTION("""COMPUTED_VALUE"""),"CON-00-147849-2")</f>
        <v>CON-00-147849-2</v>
      </c>
      <c r="D150" s="292" t="str">
        <f>IFERROR(__xludf.DUMMYFUNCTION("""COMPUTED_VALUE"""),"CON-00-136655-3")</f>
        <v>CON-00-136655-3</v>
      </c>
      <c r="E150" s="292" t="str">
        <f>IFERROR(__xludf.DUMMYFUNCTION("""COMPUTED_VALUE"""),"Pork tenderloin with caramelized onion")</f>
        <v>Pork tenderloin with caramelized onion</v>
      </c>
      <c r="F150" s="292" t="str">
        <f>IFERROR(__xludf.DUMMYFUNCTION("""COMPUTED_VALUE"""),"with bacon, cauliflower puree and green beans in mushroom cream")</f>
        <v>with bacon, cauliflower puree and green beans in mushroom cream</v>
      </c>
      <c r="G150" s="341" t="str">
        <f>IFERROR(__xludf.DUMMYFUNCTION("""COMPUTED_VALUE"""),"Varkenshaas met gekaramelliseerde ui")</f>
        <v>Varkenshaas met gekaramelliseerde ui</v>
      </c>
      <c r="H150" s="292" t="str">
        <f>IFERROR(__xludf.DUMMYFUNCTION("""COMPUTED_VALUE"""),"met bacon, bloemkoolpuree en sperziebonen in champignoncrème")</f>
        <v>met bacon, bloemkoolpuree en sperziebonen in champignoncrème</v>
      </c>
      <c r="I150" s="292" t="str">
        <f>IFERROR(__xludf.DUMMYFUNCTION("""COMPUTED_VALUE"""),"Svinemørbrad med karameliseret løg")</f>
        <v>Svinemørbrad med karameliseret løg</v>
      </c>
      <c r="J150" s="292" t="str">
        <f>IFERROR(__xludf.DUMMYFUNCTION("""COMPUTED_VALUE"""),"Schweinefilet mit karamellisierten Zwiebeln")</f>
        <v>Schweinefilet mit karamellisierten Zwiebeln</v>
      </c>
      <c r="K150" s="292">
        <f>IFERROR(__xludf.DUMMYFUNCTION("""COMPUTED_VALUE"""),565147.0)</f>
        <v>565147</v>
      </c>
      <c r="L150" s="292" t="str">
        <f>IFERROR(__xludf.DUMMYFUNCTION("""COMPUTED_VALUE"""),"HF RW Varkenshaas gekaram. ui")</f>
        <v>HF RW Varkenshaas gekaram. ui</v>
      </c>
      <c r="M150" s="292" t="str">
        <f>IFERROR(__xludf.DUMMYFUNCTION("""COMPUTED_VALUE"""),"FA-NL Varkenshaas Met Gekaramelliseerde Ui (FE0565)")</f>
        <v>FA-NL Varkenshaas Met Gekaramelliseerde Ui (FE0565)</v>
      </c>
      <c r="N150" s="292" t="str">
        <f>IFERROR(__xludf.DUMMYFUNCTION("""COMPUTED_VALUE"""),"FA-NO Svinemørbrad med karamelliseret løg (FE0565)")</f>
        <v>FA-NO Svinemørbrad med karamelliseret løg (FE0565)</v>
      </c>
      <c r="O150" s="292" t="str">
        <f>IFERROR(__xludf.DUMMYFUNCTION("""COMPUTED_VALUE"""),"FA-DE Schweinefilet mit karamellisierten Zwiebeln (FE0565)")</f>
        <v>FA-DE Schweinefilet mit karamellisierten Zwiebeln (FE0565)</v>
      </c>
      <c r="P150" s="292" t="str">
        <f>IFERROR(__xludf.DUMMYFUNCTION("""COMPUTED_VALUE"""),"Hold")</f>
        <v>Hold</v>
      </c>
      <c r="Q150" s="292" t="str">
        <f>IFERROR(__xludf.DUMMYFUNCTION("""COMPUTED_VALUE"""),"Removed smoke aroma, removed balsamic (due to additive) and replaced bacon to more flavourful RM")</f>
        <v>Removed smoke aroma, removed balsamic (due to additive) and replaced bacon to more flavourful RM</v>
      </c>
      <c r="R150" s="342">
        <f>IFERROR(__xludf.DUMMYFUNCTION("""COMPUTED_VALUE"""),5.2)</f>
        <v>5.2</v>
      </c>
      <c r="S150" s="292"/>
      <c r="T150" s="292"/>
      <c r="U150" s="292"/>
      <c r="V150" s="292"/>
      <c r="W150" s="292" t="b">
        <f>IFERROR(__xludf.DUMMYFUNCTION("""COMPUTED_VALUE"""),FALSE)</f>
        <v>0</v>
      </c>
      <c r="X150" s="345">
        <f>IFERROR(__xludf.DUMMYFUNCTION("""COMPUTED_VALUE"""),389.0)</f>
        <v>389</v>
      </c>
      <c r="Y150" s="344">
        <f>IFERROR(__xludf.DUMMYFUNCTION("""COMPUTED_VALUE"""),536.0)</f>
        <v>536</v>
      </c>
      <c r="Z150" s="343">
        <f>IFERROR(__xludf.DUMMYFUNCTION("""COMPUTED_VALUE"""),36.6)</f>
        <v>36.6</v>
      </c>
      <c r="AA150" s="344">
        <f>IFERROR(__xludf.DUMMYFUNCTION("""COMPUTED_VALUE"""),15.1)</f>
        <v>15.1</v>
      </c>
      <c r="AB150" s="344">
        <f>IFERROR(__xludf.DUMMYFUNCTION("""COMPUTED_VALUE"""),11.6)</f>
        <v>11.6</v>
      </c>
      <c r="AC150" s="344">
        <f>IFERROR(__xludf.DUMMYFUNCTION("""COMPUTED_VALUE"""),8.2)</f>
        <v>8.2</v>
      </c>
      <c r="AD150" s="344">
        <f>IFERROR(__xludf.DUMMYFUNCTION("""COMPUTED_VALUE"""),9.1)</f>
        <v>9.1</v>
      </c>
      <c r="AE150" s="343">
        <f>IFERROR(__xludf.DUMMYFUNCTION("""COMPUTED_VALUE"""),32.1)</f>
        <v>32.1</v>
      </c>
      <c r="AF150" s="343">
        <f>IFERROR(__xludf.DUMMYFUNCTION("""COMPUTED_VALUE"""),1.99)</f>
        <v>1.99</v>
      </c>
      <c r="AG150" s="292" t="b">
        <f>IFERROR(__xludf.DUMMYFUNCTION("""COMPUTED_VALUE"""),FALSE)</f>
        <v>0</v>
      </c>
      <c r="AH150" s="292" t="b">
        <f>IFERROR(__xludf.DUMMYFUNCTION("""COMPUTED_VALUE"""),TRUE)</f>
        <v>1</v>
      </c>
      <c r="AI150" s="292" t="b">
        <f>IFERROR(__xludf.DUMMYFUNCTION("""COMPUTED_VALUE"""),FALSE)</f>
        <v>0</v>
      </c>
      <c r="AJ150" s="292" t="b">
        <f>IFERROR(__xludf.DUMMYFUNCTION("""COMPUTED_VALUE"""),FALSE)</f>
        <v>0</v>
      </c>
      <c r="AK150" s="292" t="b">
        <f>IFERROR(__xludf.DUMMYFUNCTION("""COMPUTED_VALUE"""),FALSE)</f>
        <v>0</v>
      </c>
      <c r="AL150" s="292" t="b">
        <f>IFERROR(__xludf.DUMMYFUNCTION("""COMPUTED_VALUE"""),FALSE)</f>
        <v>0</v>
      </c>
      <c r="AM150" s="292" t="b">
        <f>IFERROR(__xludf.DUMMYFUNCTION("""COMPUTED_VALUE"""),TRUE)</f>
        <v>1</v>
      </c>
      <c r="AN150" s="292" t="b">
        <f>IFERROR(__xludf.DUMMYFUNCTION("""COMPUTED_VALUE"""),FALSE)</f>
        <v>0</v>
      </c>
      <c r="AO150" s="292" t="str">
        <f>IFERROR(__xludf.DUMMYFUNCTION("""COMPUTED_VALUE"""),"TRUE")</f>
        <v>TRUE</v>
      </c>
      <c r="AP150" s="292" t="str">
        <f>IFERROR(__xludf.DUMMYFUNCTION("""COMPUTED_VALUE"""),"Pork tenderloin")</f>
        <v>Pork tenderloin</v>
      </c>
      <c r="AQ150" s="292" t="str">
        <f>IFERROR(__xludf.DUMMYFUNCTION("""COMPUTED_VALUE"""),"Pork")</f>
        <v>Pork</v>
      </c>
      <c r="AR150" s="292" t="str">
        <f>IFERROR(__xludf.DUMMYFUNCTION("""COMPUTED_VALUE"""),"Tenderloin")</f>
        <v>Tenderloin</v>
      </c>
      <c r="AS150" s="292" t="str">
        <f>IFERROR(__xludf.DUMMYFUNCTION("""COMPUTED_VALUE"""),"Cauliflower Mash")</f>
        <v>Cauliflower Mash</v>
      </c>
      <c r="AT150" s="292" t="str">
        <f>IFERROR(__xludf.DUMMYFUNCTION("""COMPUTED_VALUE"""),"Green Beans")</f>
        <v>Green Beans</v>
      </c>
      <c r="AU150" s="292" t="str">
        <f>IFERROR(__xludf.DUMMYFUNCTION("""COMPUTED_VALUE"""),"Mushrooms")</f>
        <v>Mushrooms</v>
      </c>
      <c r="AV150" s="292" t="str">
        <f>IFERROR(__xludf.DUMMYFUNCTION("""COMPUTED_VALUE"""),"Caramelized Onions")</f>
        <v>Caramelized Onions</v>
      </c>
      <c r="AW150" s="292" t="str">
        <f>IFERROR(__xludf.DUMMYFUNCTION("""COMPUTED_VALUE"""),"Year Round")</f>
        <v>Year Round</v>
      </c>
      <c r="AX150" s="292" t="str">
        <f>IFERROR(__xludf.DUMMYFUNCTION("""COMPUTED_VALUE"""),"American")</f>
        <v>American</v>
      </c>
      <c r="AY150" s="292"/>
      <c r="AZ150" s="292" t="str">
        <f>IFERROR(__xludf.DUMMYFUNCTION("""COMPUTED_VALUE"""),"2 CT")</f>
        <v>2 CT</v>
      </c>
      <c r="BA150" s="292" t="b">
        <f>IFERROR(__xludf.DUMMYFUNCTION("""COMPUTED_VALUE"""),FALSE)</f>
        <v>0</v>
      </c>
      <c r="BB150" s="342">
        <f>IFERROR(__xludf.DUMMYFUNCTION("""COMPUTED_VALUE"""),2.84)</f>
        <v>2.84</v>
      </c>
      <c r="BC150" s="342">
        <f>IFERROR(__xludf.DUMMYFUNCTION("""COMPUTED_VALUE"""),1.11)</f>
        <v>1.11</v>
      </c>
      <c r="BD150" s="342">
        <f>IFERROR(__xludf.DUMMYFUNCTION("""COMPUTED_VALUE"""),0.36)</f>
        <v>0.36</v>
      </c>
      <c r="BE150" s="342">
        <f>IFERROR(__xludf.DUMMYFUNCTION("""COMPUTED_VALUE"""),0.89)</f>
        <v>0.89</v>
      </c>
      <c r="BF150" s="296">
        <f>IFERROR(__xludf.DUMMYFUNCTION("""COMPUTED_VALUE"""),3.3333333333333335)</f>
        <v>3.333333333</v>
      </c>
      <c r="BG150" s="296">
        <f>IFERROR(__xludf.DUMMYFUNCTION("""COMPUTED_VALUE"""),3.2899999999999996)</f>
        <v>3.29</v>
      </c>
      <c r="BH150" s="296">
        <f>IFERROR(__xludf.DUMMYFUNCTION("""COMPUTED_VALUE"""),3.2566666666666664)</f>
        <v>3.256666667</v>
      </c>
      <c r="BI150" s="295">
        <f>IFERROR(__xludf.DUMMYFUNCTION("""COMPUTED_VALUE"""),214.0)</f>
        <v>214</v>
      </c>
      <c r="BJ150" s="295" t="str">
        <f>IFERROR(__xludf.DUMMYFUNCTION("""COMPUTED_VALUE"""),"FALSE")</f>
        <v>FALSE</v>
      </c>
      <c r="BK150" s="346">
        <f>IFERROR(__xludf.DUMMYFUNCTION("""COMPUTED_VALUE"""),2226.0)</f>
        <v>2226</v>
      </c>
      <c r="BL150" s="292"/>
      <c r="BM150" s="292"/>
      <c r="BN150" s="292"/>
      <c r="BO150" s="292"/>
      <c r="BP150" s="292"/>
      <c r="BQ150" s="292" t="str">
        <f>IFERROR(__xludf.DUMMYFUNCTION("""COMPUTED_VALUE"""),"Proven")</f>
        <v>Proven</v>
      </c>
      <c r="BR150" s="292" t="b">
        <f>IFERROR(__xludf.DUMMYFUNCTION("""COMPUTED_VALUE"""),FALSE)</f>
        <v>0</v>
      </c>
      <c r="BS150" s="292" t="b">
        <f>IFERROR(__xludf.DUMMYFUNCTION("""COMPUTED_VALUE"""),FALSE)</f>
        <v>0</v>
      </c>
      <c r="BT150" s="292"/>
      <c r="BU150" s="292"/>
      <c r="BV150" s="292"/>
      <c r="BW150" s="292"/>
    </row>
    <row r="151">
      <c r="A151" s="292" t="str">
        <f>IFERROR(__xludf.DUMMYFUNCTION("""COMPUTED_VALUE"""),"FE0025M")</f>
        <v>FE0025M</v>
      </c>
      <c r="B151" s="292" t="str">
        <f>IFERROR(__xludf.DUMMYFUNCTION("""COMPUTED_VALUE"""),"CON-40-143676-4")</f>
        <v>CON-40-143676-4</v>
      </c>
      <c r="C151" s="292" t="str">
        <f>IFERROR(__xludf.DUMMYFUNCTION("""COMPUTED_VALUE"""),"CON-00-147811-2")</f>
        <v>CON-00-147811-2</v>
      </c>
      <c r="D151" s="292" t="str">
        <f>IFERROR(__xludf.DUMMYFUNCTION("""COMPUTED_VALUE"""),"CON-00-136695-3")</f>
        <v>CON-00-136695-3</v>
      </c>
      <c r="E151" s="292" t="str">
        <f>IFERROR(__xludf.DUMMYFUNCTION("""COMPUTED_VALUE"""),"Chicken in lemon-capers sauce")</f>
        <v>Chicken in lemon-capers sauce</v>
      </c>
      <c r="F151" s="292" t="str">
        <f>IFERROR(__xludf.DUMMYFUNCTION("""COMPUTED_VALUE"""),"with tarragon-cauliflower mash and broccoli")</f>
        <v>with tarragon-cauliflower mash and broccoli</v>
      </c>
      <c r="G151" s="292" t="str">
        <f>IFERROR(__xludf.DUMMYFUNCTION("""COMPUTED_VALUE"""),"Kip in citroen-kappertjessaus")</f>
        <v>Kip in citroen-kappertjessaus</v>
      </c>
      <c r="H151" s="292" t="str">
        <f>IFERROR(__xludf.DUMMYFUNCTION("""COMPUTED_VALUE"""),"met dragon-bloemkoolpuree en broccoli")</f>
        <v>met dragon-bloemkoolpuree en broccoli</v>
      </c>
      <c r="I151" s="292" t="str">
        <f>IFERROR(__xludf.DUMMYFUNCTION("""COMPUTED_VALUE"""),"Kylling i citron- og kaperssauce")</f>
        <v>Kylling i citron- og kaperssauce</v>
      </c>
      <c r="J151" s="292" t="str">
        <f>IFERROR(__xludf.DUMMYFUNCTION("""COMPUTED_VALUE"""),"Hähnchen in Zitronen-Kapern-Sauce")</f>
        <v>Hähnchen in Zitronen-Kapern-Sauce</v>
      </c>
      <c r="K151" s="292">
        <f>IFERROR(__xludf.DUMMYFUNCTION("""COMPUTED_VALUE"""),565149.0)</f>
        <v>565149</v>
      </c>
      <c r="L151" s="292" t="str">
        <f>IFERROR(__xludf.DUMMYFUNCTION("""COMPUTED_VALUE"""),"HF Kip Piccata met broccoli")</f>
        <v>HF Kip Piccata met broccoli</v>
      </c>
      <c r="M151" s="292" t="str">
        <f>IFERROR(__xludf.DUMMYFUNCTION("""COMPUTED_VALUE"""),"FA-NL Kip in citroen-kappertjessaus (FE0025)")</f>
        <v>FA-NL Kip in citroen-kappertjessaus (FE0025)</v>
      </c>
      <c r="N151" s="292" t="str">
        <f>IFERROR(__xludf.DUMMYFUNCTION("""COMPUTED_VALUE"""),"FA-NO Kylling i citron-kapers sauce (FE0025)")</f>
        <v>FA-NO Kylling i citron-kapers sauce (FE0025)</v>
      </c>
      <c r="O151" s="292" t="str">
        <f>IFERROR(__xludf.DUMMYFUNCTION("""COMPUTED_VALUE"""),"FA-DE Hähnchen in Zitronen-Kapern-Sauce (FE0025)")</f>
        <v>FA-DE Hähnchen in Zitronen-Kapern-Sauce (FE0025)</v>
      </c>
      <c r="P151" s="292" t="str">
        <f>IFERROR(__xludf.DUMMYFUNCTION("""COMPUTED_VALUE"""),"Active")</f>
        <v>Active</v>
      </c>
      <c r="Q151" s="292" t="str">
        <f>IFERROR(__xludf.DUMMYFUNCTION("""COMPUTED_VALUE"""),"Reworked sauce")</f>
        <v>Reworked sauce</v>
      </c>
      <c r="R151" s="342">
        <f>IFERROR(__xludf.DUMMYFUNCTION("""COMPUTED_VALUE"""),5.01)</f>
        <v>5.01</v>
      </c>
      <c r="S151" s="292"/>
      <c r="T151" s="292"/>
      <c r="U151" s="292"/>
      <c r="V151" s="292"/>
      <c r="W151" s="292" t="b">
        <f>IFERROR(__xludf.DUMMYFUNCTION("""COMPUTED_VALUE"""),TRUE)</f>
        <v>1</v>
      </c>
      <c r="X151" s="345">
        <f>IFERROR(__xludf.DUMMYFUNCTION("""COMPUTED_VALUE"""),370.0)</f>
        <v>370</v>
      </c>
      <c r="Y151" s="344">
        <f>IFERROR(__xludf.DUMMYFUNCTION("""COMPUTED_VALUE"""),695.0)</f>
        <v>695</v>
      </c>
      <c r="Z151" s="343">
        <f>IFERROR(__xludf.DUMMYFUNCTION("""COMPUTED_VALUE"""),55.7)</f>
        <v>55.7</v>
      </c>
      <c r="AA151" s="344">
        <f>IFERROR(__xludf.DUMMYFUNCTION("""COMPUTED_VALUE"""),30.6)</f>
        <v>30.6</v>
      </c>
      <c r="AB151" s="344">
        <f>IFERROR(__xludf.DUMMYFUNCTION("""COMPUTED_VALUE"""),10.4)</f>
        <v>10.4</v>
      </c>
      <c r="AC151" s="344">
        <f>IFERROR(__xludf.DUMMYFUNCTION("""COMPUTED_VALUE"""),7.4)</f>
        <v>7.4</v>
      </c>
      <c r="AD151" s="344">
        <f>IFERROR(__xludf.DUMMYFUNCTION("""COMPUTED_VALUE"""),7.4)</f>
        <v>7.4</v>
      </c>
      <c r="AE151" s="343">
        <f>IFERROR(__xludf.DUMMYFUNCTION("""COMPUTED_VALUE"""),33.3)</f>
        <v>33.3</v>
      </c>
      <c r="AF151" s="343">
        <f>IFERROR(__xludf.DUMMYFUNCTION("""COMPUTED_VALUE"""),1.99)</f>
        <v>1.99</v>
      </c>
      <c r="AG151" s="292" t="b">
        <f>IFERROR(__xludf.DUMMYFUNCTION("""COMPUTED_VALUE"""),FALSE)</f>
        <v>0</v>
      </c>
      <c r="AH151" s="292" t="b">
        <f>IFERROR(__xludf.DUMMYFUNCTION("""COMPUTED_VALUE"""),TRUE)</f>
        <v>1</v>
      </c>
      <c r="AI151" s="292" t="b">
        <f>IFERROR(__xludf.DUMMYFUNCTION("""COMPUTED_VALUE"""),FALSE)</f>
        <v>0</v>
      </c>
      <c r="AJ151" s="292" t="b">
        <f>IFERROR(__xludf.DUMMYFUNCTION("""COMPUTED_VALUE"""),FALSE)</f>
        <v>0</v>
      </c>
      <c r="AK151" s="292" t="b">
        <f>IFERROR(__xludf.DUMMYFUNCTION("""COMPUTED_VALUE"""),FALSE)</f>
        <v>0</v>
      </c>
      <c r="AL151" s="292" t="b">
        <f>IFERROR(__xludf.DUMMYFUNCTION("""COMPUTED_VALUE"""),FALSE)</f>
        <v>0</v>
      </c>
      <c r="AM151" s="292" t="b">
        <f>IFERROR(__xludf.DUMMYFUNCTION("""COMPUTED_VALUE"""),FALSE)</f>
        <v>0</v>
      </c>
      <c r="AN151" s="292" t="b">
        <f>IFERROR(__xludf.DUMMYFUNCTION("""COMPUTED_VALUE"""),FALSE)</f>
        <v>0</v>
      </c>
      <c r="AO151" s="292" t="str">
        <f>IFERROR(__xludf.DUMMYFUNCTION("""COMPUTED_VALUE"""),"FALSE")</f>
        <v>FALSE</v>
      </c>
      <c r="AP151" s="292" t="str">
        <f>IFERROR(__xludf.DUMMYFUNCTION("""COMPUTED_VALUE"""),"Chicken breast")</f>
        <v>Chicken breast</v>
      </c>
      <c r="AQ151" s="292" t="str">
        <f>IFERROR(__xludf.DUMMYFUNCTION("""COMPUTED_VALUE"""),"Chicken")</f>
        <v>Chicken</v>
      </c>
      <c r="AR151" s="292" t="str">
        <f>IFERROR(__xludf.DUMMYFUNCTION("""COMPUTED_VALUE"""),"Breast")</f>
        <v>Breast</v>
      </c>
      <c r="AS151" s="292" t="str">
        <f>IFERROR(__xludf.DUMMYFUNCTION("""COMPUTED_VALUE"""),"Cauliflower Mash")</f>
        <v>Cauliflower Mash</v>
      </c>
      <c r="AT151" s="292" t="str">
        <f>IFERROR(__xludf.DUMMYFUNCTION("""COMPUTED_VALUE"""),"Broccoli")</f>
        <v>Broccoli</v>
      </c>
      <c r="AU151" s="292" t="str">
        <f>IFERROR(__xludf.DUMMYFUNCTION("""COMPUTED_VALUE"""),"Creamy Sauce Base")</f>
        <v>Creamy Sauce Base</v>
      </c>
      <c r="AV151" s="292" t="str">
        <f>IFERROR(__xludf.DUMMYFUNCTION("""COMPUTED_VALUE"""),"Compound Butter")</f>
        <v>Compound Butter</v>
      </c>
      <c r="AW151" s="292" t="str">
        <f>IFERROR(__xludf.DUMMYFUNCTION("""COMPUTED_VALUE"""),"Year Round")</f>
        <v>Year Round</v>
      </c>
      <c r="AX151" s="292" t="str">
        <f>IFERROR(__xludf.DUMMYFUNCTION("""COMPUTED_VALUE"""),"Italian")</f>
        <v>Italian</v>
      </c>
      <c r="AY151" s="292"/>
      <c r="AZ151" s="292" t="str">
        <f>IFERROR(__xludf.DUMMYFUNCTION("""COMPUTED_VALUE"""),"2 CT")</f>
        <v>2 CT</v>
      </c>
      <c r="BA151" s="292" t="b">
        <f>IFERROR(__xludf.DUMMYFUNCTION("""COMPUTED_VALUE"""),FALSE)</f>
        <v>0</v>
      </c>
      <c r="BB151" s="342">
        <f>IFERROR(__xludf.DUMMYFUNCTION("""COMPUTED_VALUE"""),2.58)</f>
        <v>2.58</v>
      </c>
      <c r="BC151" s="342">
        <f>IFERROR(__xludf.DUMMYFUNCTION("""COMPUTED_VALUE"""),1.18)</f>
        <v>1.18</v>
      </c>
      <c r="BD151" s="342">
        <f>IFERROR(__xludf.DUMMYFUNCTION("""COMPUTED_VALUE"""),0.36)</f>
        <v>0.36</v>
      </c>
      <c r="BE151" s="342">
        <f>IFERROR(__xludf.DUMMYFUNCTION("""COMPUTED_VALUE"""),0.89)</f>
        <v>0.89</v>
      </c>
      <c r="BF151" s="296">
        <f>IFERROR(__xludf.DUMMYFUNCTION("""COMPUTED_VALUE"""),3.4511169661648053)</f>
        <v>3.451116966</v>
      </c>
      <c r="BG151" s="296">
        <f>IFERROR(__xludf.DUMMYFUNCTION("""COMPUTED_VALUE"""),3.3968602825745684)</f>
        <v>3.396860283</v>
      </c>
      <c r="BH151" s="296">
        <f>IFERROR(__xludf.DUMMYFUNCTION("""COMPUTED_VALUE"""),3.591731266149871)</f>
        <v>3.591731266</v>
      </c>
      <c r="BI151" s="295">
        <f>IFERROR(__xludf.DUMMYFUNCTION("""COMPUTED_VALUE"""),160.0)</f>
        <v>160</v>
      </c>
      <c r="BJ151" s="295" t="str">
        <f>IFERROR(__xludf.DUMMYFUNCTION("""COMPUTED_VALUE"""),"FALSE")</f>
        <v>FALSE</v>
      </c>
      <c r="BK151" s="346">
        <f>IFERROR(__xludf.DUMMYFUNCTION("""COMPUTED_VALUE"""),2880.0)</f>
        <v>2880</v>
      </c>
      <c r="BL151" s="292" t="str">
        <f>IFERROR(__xludf.DUMMYFUNCTION("""COMPUTED_VALUE"""),"US")</f>
        <v>US</v>
      </c>
      <c r="BM151" s="292" t="str">
        <f>IFERROR(__xludf.DUMMYFUNCTION("""COMPUTED_VALUE"""),"Kyckling i citron- och kaprissås")</f>
        <v>Kyckling i citron- och kaprissås</v>
      </c>
      <c r="BN151" s="343">
        <f>IFERROR(__xludf.DUMMYFUNCTION("""COMPUTED_VALUE"""),3.6329113924050627)</f>
        <v>3.632911392</v>
      </c>
      <c r="BO151" s="343">
        <f>IFERROR(__xludf.DUMMYFUNCTION("""COMPUTED_VALUE"""),3.7083333333333335)</f>
        <v>3.708333333</v>
      </c>
      <c r="BP151" s="292"/>
      <c r="BQ151" s="292" t="str">
        <f>IFERROR(__xludf.DUMMYFUNCTION("""COMPUTED_VALUE"""),"Proven")</f>
        <v>Proven</v>
      </c>
      <c r="BR151" s="292" t="b">
        <f>IFERROR(__xludf.DUMMYFUNCTION("""COMPUTED_VALUE"""),FALSE)</f>
        <v>0</v>
      </c>
      <c r="BS151" s="292" t="b">
        <f>IFERROR(__xludf.DUMMYFUNCTION("""COMPUTED_VALUE"""),FALSE)</f>
        <v>0</v>
      </c>
      <c r="BT151" s="292"/>
      <c r="BU151" s="292"/>
      <c r="BV151" s="292"/>
      <c r="BW151" s="292"/>
    </row>
    <row r="152">
      <c r="A152" s="292" t="str">
        <f>IFERROR(__xludf.DUMMYFUNCTION("""COMPUTED_VALUE"""),"FE0024E")</f>
        <v>FE0024E</v>
      </c>
      <c r="B152" s="292" t="str">
        <f>IFERROR(__xludf.DUMMYFUNCTION("""COMPUTED_VALUE"""),"CON-40-143690-4")</f>
        <v>CON-40-143690-4</v>
      </c>
      <c r="C152" s="292" t="str">
        <f>IFERROR(__xludf.DUMMYFUNCTION("""COMPUTED_VALUE"""),"CON-00-147812-2")</f>
        <v>CON-00-147812-2</v>
      </c>
      <c r="D152" s="292" t="str">
        <f>IFERROR(__xludf.DUMMYFUNCTION("""COMPUTED_VALUE"""),"CON-00-136673-3")</f>
        <v>CON-00-136673-3</v>
      </c>
      <c r="E152" s="292" t="str">
        <f>IFERROR(__xludf.DUMMYFUNCTION("""COMPUTED_VALUE"""),"Chicken in tomato cream sauce")</f>
        <v>Chicken in tomato cream sauce</v>
      </c>
      <c r="F152" s="292" t="str">
        <f>IFERROR(__xludf.DUMMYFUNCTION("""COMPUTED_VALUE"""),"with sun-dried tomatoes and courgette spaghetti")</f>
        <v>with sun-dried tomatoes and courgette spaghetti</v>
      </c>
      <c r="G152" s="292" t="str">
        <f>IFERROR(__xludf.DUMMYFUNCTION("""COMPUTED_VALUE"""),"Kipfilet in tomaten-roomsaus")</f>
        <v>Kipfilet in tomaten-roomsaus</v>
      </c>
      <c r="H152" s="292" t="str">
        <f>IFERROR(__xludf.DUMMYFUNCTION("""COMPUTED_VALUE"""),"met zongedroogde tomaatjes en courgette-spaghetti")</f>
        <v>met zongedroogde tomaatjes en courgette-spaghetti</v>
      </c>
      <c r="I152" s="292" t="str">
        <f>IFERROR(__xludf.DUMMYFUNCTION("""COMPUTED_VALUE"""),"Kylling i cremet tomatsauce")</f>
        <v>Kylling i cremet tomatsauce</v>
      </c>
      <c r="J152" s="292" t="str">
        <f>IFERROR(__xludf.DUMMYFUNCTION("""COMPUTED_VALUE"""),"Hähnchen in Tomatencreme")</f>
        <v>Hähnchen in Tomatencreme</v>
      </c>
      <c r="K152" s="292">
        <f>IFERROR(__xludf.DUMMYFUNCTION("""COMPUTED_VALUE"""),565150.0)</f>
        <v>565150</v>
      </c>
      <c r="L152" s="292" t="str">
        <f>IFERROR(__xludf.DUMMYFUNCTION("""COMPUTED_VALUE"""),"HF RW Kipfilet in tom-roomsaus")</f>
        <v>HF RW Kipfilet in tom-roomsaus</v>
      </c>
      <c r="M152" s="292" t="str">
        <f>IFERROR(__xludf.DUMMYFUNCTION("""COMPUTED_VALUE"""),"FA-NL Kipfilet in tomaten-roomsaus [FE0024]")</f>
        <v>FA-NL Kipfilet in tomaten-roomsaus [FE0024]</v>
      </c>
      <c r="N152" s="292" t="str">
        <f>IFERROR(__xludf.DUMMYFUNCTION("""COMPUTED_VALUE"""),"FA-NO Kylling i cremet tomatsauce (FE0024)")</f>
        <v>FA-NO Kylling i cremet tomatsauce (FE0024)</v>
      </c>
      <c r="O152" s="292" t="str">
        <f>IFERROR(__xludf.DUMMYFUNCTION("""COMPUTED_VALUE"""),"FA-DE Hähnchen in Tomatencreme (FE0024)")</f>
        <v>FA-DE Hähnchen in Tomatencreme (FE0024)</v>
      </c>
      <c r="P152" s="292" t="str">
        <f>IFERROR(__xludf.DUMMYFUNCTION("""COMPUTED_VALUE"""),"Active")</f>
        <v>Active</v>
      </c>
      <c r="Q152" s="292" t="str">
        <f>IFERROR(__xludf.DUMMYFUNCTION("""COMPUTED_VALUE"""),"Increased veg volume")</f>
        <v>Increased veg volume</v>
      </c>
      <c r="R152" s="342">
        <f>IFERROR(__xludf.DUMMYFUNCTION("""COMPUTED_VALUE"""),4.949999999999999)</f>
        <v>4.95</v>
      </c>
      <c r="S152" s="292"/>
      <c r="T152" s="292"/>
      <c r="U152" s="292"/>
      <c r="V152" s="292"/>
      <c r="W152" s="292" t="b">
        <f>IFERROR(__xludf.DUMMYFUNCTION("""COMPUTED_VALUE"""),TRUE)</f>
        <v>1</v>
      </c>
      <c r="X152" s="345">
        <f>IFERROR(__xludf.DUMMYFUNCTION("""COMPUTED_VALUE"""),374.0)</f>
        <v>374</v>
      </c>
      <c r="Y152" s="344">
        <f>IFERROR(__xludf.DUMMYFUNCTION("""COMPUTED_VALUE"""),675.0)</f>
        <v>675</v>
      </c>
      <c r="Z152" s="343">
        <f>IFERROR(__xludf.DUMMYFUNCTION("""COMPUTED_VALUE"""),55.8)</f>
        <v>55.8</v>
      </c>
      <c r="AA152" s="344">
        <f>IFERROR(__xludf.DUMMYFUNCTION("""COMPUTED_VALUE"""),26.2)</f>
        <v>26.2</v>
      </c>
      <c r="AB152" s="344">
        <f>IFERROR(__xludf.DUMMYFUNCTION("""COMPUTED_VALUE"""),12.7)</f>
        <v>12.7</v>
      </c>
      <c r="AC152" s="344">
        <f>IFERROR(__xludf.DUMMYFUNCTION("""COMPUTED_VALUE"""),9.1)</f>
        <v>9.1</v>
      </c>
      <c r="AD152" s="344">
        <f>IFERROR(__xludf.DUMMYFUNCTION("""COMPUTED_VALUE"""),3.2)</f>
        <v>3.2</v>
      </c>
      <c r="AE152" s="343">
        <f>IFERROR(__xludf.DUMMYFUNCTION("""COMPUTED_VALUE"""),28.4)</f>
        <v>28.4</v>
      </c>
      <c r="AF152" s="343">
        <f>IFERROR(__xludf.DUMMYFUNCTION("""COMPUTED_VALUE"""),1.52)</f>
        <v>1.52</v>
      </c>
      <c r="AG152" s="292" t="b">
        <f>IFERROR(__xludf.DUMMYFUNCTION("""COMPUTED_VALUE"""),FALSE)</f>
        <v>0</v>
      </c>
      <c r="AH152" s="292" t="b">
        <f>IFERROR(__xludf.DUMMYFUNCTION("""COMPUTED_VALUE"""),TRUE)</f>
        <v>1</v>
      </c>
      <c r="AI152" s="292" t="b">
        <f>IFERROR(__xludf.DUMMYFUNCTION("""COMPUTED_VALUE"""),FALSE)</f>
        <v>0</v>
      </c>
      <c r="AJ152" s="292" t="b">
        <f>IFERROR(__xludf.DUMMYFUNCTION("""COMPUTED_VALUE"""),FALSE)</f>
        <v>0</v>
      </c>
      <c r="AK152" s="292" t="b">
        <f>IFERROR(__xludf.DUMMYFUNCTION("""COMPUTED_VALUE"""),FALSE)</f>
        <v>0</v>
      </c>
      <c r="AL152" s="292" t="b">
        <f>IFERROR(__xludf.DUMMYFUNCTION("""COMPUTED_VALUE"""),FALSE)</f>
        <v>0</v>
      </c>
      <c r="AM152" s="292" t="b">
        <f>IFERROR(__xludf.DUMMYFUNCTION("""COMPUTED_VALUE"""),FALSE)</f>
        <v>0</v>
      </c>
      <c r="AN152" s="292" t="b">
        <f>IFERROR(__xludf.DUMMYFUNCTION("""COMPUTED_VALUE"""),FALSE)</f>
        <v>0</v>
      </c>
      <c r="AO152" s="292" t="str">
        <f>IFERROR(__xludf.DUMMYFUNCTION("""COMPUTED_VALUE"""),"FALSE")</f>
        <v>FALSE</v>
      </c>
      <c r="AP152" s="292" t="str">
        <f>IFERROR(__xludf.DUMMYFUNCTION("""COMPUTED_VALUE"""),"Chicken breast")</f>
        <v>Chicken breast</v>
      </c>
      <c r="AQ152" s="292" t="str">
        <f>IFERROR(__xludf.DUMMYFUNCTION("""COMPUTED_VALUE"""),"Chicken")</f>
        <v>Chicken</v>
      </c>
      <c r="AR152" s="292" t="str">
        <f>IFERROR(__xludf.DUMMYFUNCTION("""COMPUTED_VALUE"""),"Breast")</f>
        <v>Breast</v>
      </c>
      <c r="AS152" s="292" t="str">
        <f>IFERROR(__xludf.DUMMYFUNCTION("""COMPUTED_VALUE"""),"Tomato Based Sauce")</f>
        <v>Tomato Based Sauce</v>
      </c>
      <c r="AT152" s="292" t="str">
        <f>IFERROR(__xludf.DUMMYFUNCTION("""COMPUTED_VALUE"""),"Zucchini Noodles")</f>
        <v>Zucchini Noodles</v>
      </c>
      <c r="AU152" s="292" t="str">
        <f>IFERROR(__xludf.DUMMYFUNCTION("""COMPUTED_VALUE"""),"Spinach")</f>
        <v>Spinach</v>
      </c>
      <c r="AV152" s="292"/>
      <c r="AW152" s="292" t="str">
        <f>IFERROR(__xludf.DUMMYFUNCTION("""COMPUTED_VALUE"""),"Year Round")</f>
        <v>Year Round</v>
      </c>
      <c r="AX152" s="292" t="str">
        <f>IFERROR(__xludf.DUMMYFUNCTION("""COMPUTED_VALUE"""),"Italian")</f>
        <v>Italian</v>
      </c>
      <c r="AY152" s="292"/>
      <c r="AZ152" s="292" t="str">
        <f>IFERROR(__xludf.DUMMYFUNCTION("""COMPUTED_VALUE"""),"2 CT")</f>
        <v>2 CT</v>
      </c>
      <c r="BA152" s="292" t="b">
        <f>IFERROR(__xludf.DUMMYFUNCTION("""COMPUTED_VALUE"""),FALSE)</f>
        <v>0</v>
      </c>
      <c r="BB152" s="342">
        <f>IFERROR(__xludf.DUMMYFUNCTION("""COMPUTED_VALUE"""),2.84)</f>
        <v>2.84</v>
      </c>
      <c r="BC152" s="342">
        <f>IFERROR(__xludf.DUMMYFUNCTION("""COMPUTED_VALUE"""),0.86)</f>
        <v>0.86</v>
      </c>
      <c r="BD152" s="342">
        <f>IFERROR(__xludf.DUMMYFUNCTION("""COMPUTED_VALUE"""),0.36)</f>
        <v>0.36</v>
      </c>
      <c r="BE152" s="342">
        <f>IFERROR(__xludf.DUMMYFUNCTION("""COMPUTED_VALUE"""),0.89)</f>
        <v>0.89</v>
      </c>
      <c r="BF152" s="296">
        <f>IFERROR(__xludf.DUMMYFUNCTION("""COMPUTED_VALUE"""),3.48)</f>
        <v>3.48</v>
      </c>
      <c r="BG152" s="296">
        <f>IFERROR(__xludf.DUMMYFUNCTION("""COMPUTED_VALUE"""),3.4499999999999997)</f>
        <v>3.45</v>
      </c>
      <c r="BH152" s="296">
        <f>IFERROR(__xludf.DUMMYFUNCTION("""COMPUTED_VALUE"""),3.44)</f>
        <v>3.44</v>
      </c>
      <c r="BI152" s="292"/>
      <c r="BJ152" s="295" t="str">
        <f>IFERROR(__xludf.DUMMYFUNCTION("""COMPUTED_VALUE"""),"FALSE")</f>
        <v>FALSE</v>
      </c>
      <c r="BK152" s="346">
        <f>IFERROR(__xludf.DUMMYFUNCTION("""COMPUTED_VALUE"""),2797.0)</f>
        <v>2797</v>
      </c>
      <c r="BL152" s="292" t="str">
        <f>IFERROR(__xludf.DUMMYFUNCTION("""COMPUTED_VALUE"""),"US")</f>
        <v>US</v>
      </c>
      <c r="BM152" s="292"/>
      <c r="BN152" s="292"/>
      <c r="BO152" s="292"/>
      <c r="BP152" s="292"/>
      <c r="BQ152" s="292" t="str">
        <f>IFERROR(__xludf.DUMMYFUNCTION("""COMPUTED_VALUE"""),"Proven")</f>
        <v>Proven</v>
      </c>
      <c r="BR152" s="292" t="b">
        <f>IFERROR(__xludf.DUMMYFUNCTION("""COMPUTED_VALUE"""),FALSE)</f>
        <v>0</v>
      </c>
      <c r="BS152" s="292" t="b">
        <f>IFERROR(__xludf.DUMMYFUNCTION("""COMPUTED_VALUE"""),FALSE)</f>
        <v>0</v>
      </c>
      <c r="BT152" s="292"/>
      <c r="BU152" s="292"/>
      <c r="BV152" s="292"/>
      <c r="BW152" s="292"/>
    </row>
    <row r="153">
      <c r="A153" s="292" t="str">
        <f>IFERROR(__xludf.DUMMYFUNCTION("""COMPUTED_VALUE"""),"FE0401E")</f>
        <v>FE0401E</v>
      </c>
      <c r="B153" s="292" t="str">
        <f>IFERROR(__xludf.DUMMYFUNCTION("""COMPUTED_VALUE"""),"CON-40-143715-4")</f>
        <v>CON-40-143715-4</v>
      </c>
      <c r="C153" s="292" t="str">
        <f>IFERROR(__xludf.DUMMYFUNCTION("""COMPUTED_VALUE"""),"CON-00-147836-2")</f>
        <v>CON-00-147836-2</v>
      </c>
      <c r="D153" s="292" t="str">
        <f>IFERROR(__xludf.DUMMYFUNCTION("""COMPUTED_VALUE"""),"CON-00-136648-3")</f>
        <v>CON-00-136648-3</v>
      </c>
      <c r="E153" s="292" t="str">
        <f>IFERROR(__xludf.DUMMYFUNCTION("""COMPUTED_VALUE"""),"Pulled chicken with cheddar and bacon")</f>
        <v>Pulled chicken with cheddar and bacon</v>
      </c>
      <c r="F153" s="292" t="str">
        <f>IFERROR(__xludf.DUMMYFUNCTION("""COMPUTED_VALUE"""),"with cheese sauce, roasted portobello and broccoli")</f>
        <v>with cheese sauce, roasted portobello and broccoli</v>
      </c>
      <c r="G153" s="292" t="str">
        <f>IFERROR(__xludf.DUMMYFUNCTION("""COMPUTED_VALUE"""),"Pulled chicken met cheddar en bacon")</f>
        <v>Pulled chicken met cheddar en bacon</v>
      </c>
      <c r="H153" s="292" t="str">
        <f>IFERROR(__xludf.DUMMYFUNCTION("""COMPUTED_VALUE"""),"met kaassaus, geroosterde portobello en broccoli")</f>
        <v>met kaassaus, geroosterde portobello en broccoli</v>
      </c>
      <c r="I153" s="292" t="str">
        <f>IFERROR(__xludf.DUMMYFUNCTION("""COMPUTED_VALUE"""),"Pulled chicken med cheddar og bacon")</f>
        <v>Pulled chicken med cheddar og bacon</v>
      </c>
      <c r="J153" s="292" t="str">
        <f>IFERROR(__xludf.DUMMYFUNCTION("""COMPUTED_VALUE"""),"Pulled Chicken mit Cheddar und Speck")</f>
        <v>Pulled Chicken mit Cheddar und Speck</v>
      </c>
      <c r="K153" s="292">
        <f>IFERROR(__xludf.DUMMYFUNCTION("""COMPUTED_VALUE"""),565151.0)</f>
        <v>565151</v>
      </c>
      <c r="L153" s="292" t="str">
        <f>IFERROR(__xludf.DUMMYFUNCTION("""COMPUTED_VALUE"""),"HF RW Pulled chicken ched/baco")</f>
        <v>HF RW Pulled chicken ched/baco</v>
      </c>
      <c r="M153" s="292" t="str">
        <f>IFERROR(__xludf.DUMMYFUNCTION("""COMPUTED_VALUE"""),"FA-NL Pulled chicken met cheddar en bacon (FE0401)")</f>
        <v>FA-NL Pulled chicken met cheddar en bacon (FE0401)</v>
      </c>
      <c r="N153" s="292" t="str">
        <f>IFERROR(__xludf.DUMMYFUNCTION("""COMPUTED_VALUE"""),"FA-NO Pulled chicken med cheddar og bacon (FE0401)")</f>
        <v>FA-NO Pulled chicken med cheddar og bacon (FE0401)</v>
      </c>
      <c r="O153" s="292" t="str">
        <f>IFERROR(__xludf.DUMMYFUNCTION("""COMPUTED_VALUE"""),"FA-DE Pulled Chicken mit Cheddar und Speck (FE0401)")</f>
        <v>FA-DE Pulled Chicken mit Cheddar und Speck (FE0401)</v>
      </c>
      <c r="P153" s="292" t="str">
        <f>IFERROR(__xludf.DUMMYFUNCTION("""COMPUTED_VALUE"""),"Graveyard")</f>
        <v>Graveyard</v>
      </c>
      <c r="Q153" s="292" t="str">
        <f>IFERROR(__xludf.DUMMYFUNCTION("""COMPUTED_VALUE"""),"New bacon RM")</f>
        <v>New bacon RM</v>
      </c>
      <c r="R153" s="342">
        <f>IFERROR(__xludf.DUMMYFUNCTION("""COMPUTED_VALUE"""),5.3100000000000005)</f>
        <v>5.31</v>
      </c>
      <c r="S153" s="292"/>
      <c r="T153" s="292"/>
      <c r="U153" s="292"/>
      <c r="V153" s="292"/>
      <c r="W153" s="292" t="b">
        <f>IFERROR(__xludf.DUMMYFUNCTION("""COMPUTED_VALUE"""),FALSE)</f>
        <v>0</v>
      </c>
      <c r="X153" s="345">
        <f>IFERROR(__xludf.DUMMYFUNCTION("""COMPUTED_VALUE"""),380.0)</f>
        <v>380</v>
      </c>
      <c r="Y153" s="344">
        <f>IFERROR(__xludf.DUMMYFUNCTION("""COMPUTED_VALUE"""),765.0)</f>
        <v>765</v>
      </c>
      <c r="Z153" s="343">
        <f>IFERROR(__xludf.DUMMYFUNCTION("""COMPUTED_VALUE"""),60.2)</f>
        <v>60.2</v>
      </c>
      <c r="AA153" s="344">
        <f>IFERROR(__xludf.DUMMYFUNCTION("""COMPUTED_VALUE"""),18.0)</f>
        <v>18</v>
      </c>
      <c r="AB153" s="344">
        <f>IFERROR(__xludf.DUMMYFUNCTION("""COMPUTED_VALUE"""),7.4)</f>
        <v>7.4</v>
      </c>
      <c r="AC153" s="344">
        <f>IFERROR(__xludf.DUMMYFUNCTION("""COMPUTED_VALUE"""),4.6)</f>
        <v>4.6</v>
      </c>
      <c r="AD153" s="344">
        <f>IFERROR(__xludf.DUMMYFUNCTION("""COMPUTED_VALUE"""),7.2)</f>
        <v>7.2</v>
      </c>
      <c r="AE153" s="343">
        <f>IFERROR(__xludf.DUMMYFUNCTION("""COMPUTED_VALUE"""),44.4)</f>
        <v>44.4</v>
      </c>
      <c r="AF153" s="343">
        <f>IFERROR(__xludf.DUMMYFUNCTION("""COMPUTED_VALUE"""),1.93)</f>
        <v>1.93</v>
      </c>
      <c r="AG153" s="292" t="b">
        <f>IFERROR(__xludf.DUMMYFUNCTION("""COMPUTED_VALUE"""),FALSE)</f>
        <v>0</v>
      </c>
      <c r="AH153" s="292" t="b">
        <f>IFERROR(__xludf.DUMMYFUNCTION("""COMPUTED_VALUE"""),TRUE)</f>
        <v>1</v>
      </c>
      <c r="AI153" s="292" t="b">
        <f>IFERROR(__xludf.DUMMYFUNCTION("""COMPUTED_VALUE"""),FALSE)</f>
        <v>0</v>
      </c>
      <c r="AJ153" s="292" t="b">
        <f>IFERROR(__xludf.DUMMYFUNCTION("""COMPUTED_VALUE"""),FALSE)</f>
        <v>0</v>
      </c>
      <c r="AK153" s="292" t="b">
        <f>IFERROR(__xludf.DUMMYFUNCTION("""COMPUTED_VALUE"""),FALSE)</f>
        <v>0</v>
      </c>
      <c r="AL153" s="292" t="b">
        <f>IFERROR(__xludf.DUMMYFUNCTION("""COMPUTED_VALUE"""),FALSE)</f>
        <v>0</v>
      </c>
      <c r="AM153" s="292" t="b">
        <f>IFERROR(__xludf.DUMMYFUNCTION("""COMPUTED_VALUE"""),TRUE)</f>
        <v>1</v>
      </c>
      <c r="AN153" s="292" t="b">
        <f>IFERROR(__xludf.DUMMYFUNCTION("""COMPUTED_VALUE"""),FALSE)</f>
        <v>0</v>
      </c>
      <c r="AO153" s="292" t="str">
        <f>IFERROR(__xludf.DUMMYFUNCTION("""COMPUTED_VALUE"""),"FALSE")</f>
        <v>FALSE</v>
      </c>
      <c r="AP153" s="292" t="str">
        <f>IFERROR(__xludf.DUMMYFUNCTION("""COMPUTED_VALUE"""),"Shredded chicken")</f>
        <v>Shredded chicken</v>
      </c>
      <c r="AQ153" s="292" t="str">
        <f>IFERROR(__xludf.DUMMYFUNCTION("""COMPUTED_VALUE"""),"Chicken")</f>
        <v>Chicken</v>
      </c>
      <c r="AR153" s="292" t="str">
        <f>IFERROR(__xludf.DUMMYFUNCTION("""COMPUTED_VALUE"""),"Pulled")</f>
        <v>Pulled</v>
      </c>
      <c r="AS153" s="292" t="str">
        <f>IFERROR(__xludf.DUMMYFUNCTION("""COMPUTED_VALUE"""),"Mushrooms")</f>
        <v>Mushrooms</v>
      </c>
      <c r="AT153" s="292" t="str">
        <f>IFERROR(__xludf.DUMMYFUNCTION("""COMPUTED_VALUE"""),"Broccoli")</f>
        <v>Broccoli</v>
      </c>
      <c r="AU153" s="292" t="str">
        <f>IFERROR(__xludf.DUMMYFUNCTION("""COMPUTED_VALUE"""),"Creamy Sauce Base")</f>
        <v>Creamy Sauce Base</v>
      </c>
      <c r="AV153" s="292" t="str">
        <f>IFERROR(__xludf.DUMMYFUNCTION("""COMPUTED_VALUE"""),"Cheese")</f>
        <v>Cheese</v>
      </c>
      <c r="AW153" s="292" t="str">
        <f>IFERROR(__xludf.DUMMYFUNCTION("""COMPUTED_VALUE"""),"Year Round")</f>
        <v>Year Round</v>
      </c>
      <c r="AX153" s="292" t="str">
        <f>IFERROR(__xludf.DUMMYFUNCTION("""COMPUTED_VALUE"""),"American")</f>
        <v>American</v>
      </c>
      <c r="AY153" s="292"/>
      <c r="AZ153" s="292" t="str">
        <f>IFERROR(__xludf.DUMMYFUNCTION("""COMPUTED_VALUE"""),"2 CT")</f>
        <v>2 CT</v>
      </c>
      <c r="BA153" s="292" t="b">
        <f>IFERROR(__xludf.DUMMYFUNCTION("""COMPUTED_VALUE"""),FALSE)</f>
        <v>0</v>
      </c>
      <c r="BB153" s="342">
        <f>IFERROR(__xludf.DUMMYFUNCTION("""COMPUTED_VALUE"""),3.0)</f>
        <v>3</v>
      </c>
      <c r="BC153" s="342">
        <f>IFERROR(__xludf.DUMMYFUNCTION("""COMPUTED_VALUE"""),1.06)</f>
        <v>1.06</v>
      </c>
      <c r="BD153" s="342">
        <f>IFERROR(__xludf.DUMMYFUNCTION("""COMPUTED_VALUE"""),0.36)</f>
        <v>0.36</v>
      </c>
      <c r="BE153" s="342">
        <f>IFERROR(__xludf.DUMMYFUNCTION("""COMPUTED_VALUE"""),0.89)</f>
        <v>0.89</v>
      </c>
      <c r="BF153" s="296">
        <f>IFERROR(__xludf.DUMMYFUNCTION("""COMPUTED_VALUE"""),3.0238356575048884)</f>
        <v>3.023835658</v>
      </c>
      <c r="BG153" s="296">
        <f>IFERROR(__xludf.DUMMYFUNCTION("""COMPUTED_VALUE"""),3.4005625667295543)</f>
        <v>3.400562567</v>
      </c>
      <c r="BH153" s="296">
        <f>IFERROR(__xludf.DUMMYFUNCTION("""COMPUTED_VALUE"""),3.439423866775332)</f>
        <v>3.439423867</v>
      </c>
      <c r="BI153" s="295">
        <f>IFERROR(__xludf.DUMMYFUNCTION("""COMPUTED_VALUE"""),161.0)</f>
        <v>161</v>
      </c>
      <c r="BJ153" s="295" t="str">
        <f>IFERROR(__xludf.DUMMYFUNCTION("""COMPUTED_VALUE"""),"FALSE")</f>
        <v>FALSE</v>
      </c>
      <c r="BK153" s="346">
        <f>IFERROR(__xludf.DUMMYFUNCTION("""COMPUTED_VALUE"""),3172.0)</f>
        <v>3172</v>
      </c>
      <c r="BL153" s="292"/>
      <c r="BM153" s="292"/>
      <c r="BN153" s="292"/>
      <c r="BO153" s="292"/>
      <c r="BP153" s="292"/>
      <c r="BQ153" s="292" t="str">
        <f>IFERROR(__xludf.DUMMYFUNCTION("""COMPUTED_VALUE"""),"Hospital")</f>
        <v>Hospital</v>
      </c>
      <c r="BR153" s="292" t="b">
        <f>IFERROR(__xludf.DUMMYFUNCTION("""COMPUTED_VALUE"""),FALSE)</f>
        <v>0</v>
      </c>
      <c r="BS153" s="292" t="b">
        <f>IFERROR(__xludf.DUMMYFUNCTION("""COMPUTED_VALUE"""),FALSE)</f>
        <v>0</v>
      </c>
      <c r="BT153" s="292"/>
      <c r="BU153" s="292"/>
      <c r="BV153" s="292"/>
      <c r="BW153" s="292"/>
    </row>
    <row r="154">
      <c r="A154" s="292" t="str">
        <f>IFERROR(__xludf.DUMMYFUNCTION("""COMPUTED_VALUE"""),"FE0517B")</f>
        <v>FE0517B</v>
      </c>
      <c r="B154" s="292" t="str">
        <f>IFERROR(__xludf.DUMMYFUNCTION("""COMPUTED_VALUE"""),"CON-40-143672-4")</f>
        <v>CON-40-143672-4</v>
      </c>
      <c r="C154" s="292" t="str">
        <f>IFERROR(__xludf.DUMMYFUNCTION("""COMPUTED_VALUE"""),"CON-00-147847-2")</f>
        <v>CON-00-147847-2</v>
      </c>
      <c r="D154" s="292" t="str">
        <f>IFERROR(__xludf.DUMMYFUNCTION("""COMPUTED_VALUE"""),"CON-00-136682-3")</f>
        <v>CON-00-136682-3</v>
      </c>
      <c r="E154" s="292" t="str">
        <f>IFERROR(__xludf.DUMMYFUNCTION("""COMPUTED_VALUE"""),"Apricot-mustard chicken ")</f>
        <v>Apricot-mustard chicken </v>
      </c>
      <c r="F154" s="292" t="str">
        <f>IFERROR(__xludf.DUMMYFUNCTION("""COMPUTED_VALUE"""),"with celeriac mash and green beans")</f>
        <v>with celeriac mash and green beans</v>
      </c>
      <c r="G154" s="292" t="str">
        <f>IFERROR(__xludf.DUMMYFUNCTION("""COMPUTED_VALUE"""),"Abrikoos-mosterd kip ")</f>
        <v>Abrikoos-mosterd kip </v>
      </c>
      <c r="H154" s="292" t="str">
        <f>IFERROR(__xludf.DUMMYFUNCTION("""COMPUTED_VALUE"""),"met knolselderpuree en sperziebonen")</f>
        <v>met knolselderpuree en sperziebonen</v>
      </c>
      <c r="I154" s="292" t="str">
        <f>IFERROR(__xludf.DUMMYFUNCTION("""COMPUTED_VALUE"""),"Abrikos-sennep kylling")</f>
        <v>Abrikos-sennep kylling</v>
      </c>
      <c r="J154" s="292" t="str">
        <f>IFERROR(__xludf.DUMMYFUNCTION("""COMPUTED_VALUE"""),"Aprikosen-Senf-Hähnchen")</f>
        <v>Aprikosen-Senf-Hähnchen</v>
      </c>
      <c r="K154" s="292">
        <f>IFERROR(__xludf.DUMMYFUNCTION("""COMPUTED_VALUE"""),565152.0)</f>
        <v>565152</v>
      </c>
      <c r="L154" s="292" t="str">
        <f>IFERROR(__xludf.DUMMYFUNCTION("""COMPUTED_VALUE"""),"HF RW Abrikoos-mosterd kip")</f>
        <v>HF RW Abrikoos-mosterd kip</v>
      </c>
      <c r="M154" s="292" t="str">
        <f>IFERROR(__xludf.DUMMYFUNCTION("""COMPUTED_VALUE"""),"FA-NL Abrikoos-mosterd kip (FE0517)")</f>
        <v>FA-NL Abrikoos-mosterd kip (FE0517)</v>
      </c>
      <c r="N154" s="292" t="str">
        <f>IFERROR(__xludf.DUMMYFUNCTION("""COMPUTED_VALUE"""),"FA-NO Abrikos-sennep kylling (FE0517)")</f>
        <v>FA-NO Abrikos-sennep kylling (FE0517)</v>
      </c>
      <c r="O154" s="292" t="str">
        <f>IFERROR(__xludf.DUMMYFUNCTION("""COMPUTED_VALUE"""),"FA-DE Aprikosen-Senf-Hähnchen (FE0517)")</f>
        <v>FA-DE Aprikosen-Senf-Hähnchen (FE0517)</v>
      </c>
      <c r="P154" s="292" t="str">
        <f>IFERROR(__xludf.DUMMYFUNCTION("""COMPUTED_VALUE"""),"Active")</f>
        <v>Active</v>
      </c>
      <c r="Q154" s="292" t="str">
        <f>IFERROR(__xludf.DUMMYFUNCTION("""COMPUTED_VALUE"""),"Removed smoke aroma, improved apricot mostarda")</f>
        <v>Removed smoke aroma, improved apricot mostarda</v>
      </c>
      <c r="R154" s="342">
        <f>IFERROR(__xludf.DUMMYFUNCTION("""COMPUTED_VALUE"""),3.96)</f>
        <v>3.96</v>
      </c>
      <c r="S154" s="292"/>
      <c r="T154" s="292"/>
      <c r="U154" s="292"/>
      <c r="V154" s="292"/>
      <c r="W154" s="292" t="b">
        <f>IFERROR(__xludf.DUMMYFUNCTION("""COMPUTED_VALUE"""),FALSE)</f>
        <v>0</v>
      </c>
      <c r="X154" s="345">
        <f>IFERROR(__xludf.DUMMYFUNCTION("""COMPUTED_VALUE"""),414.0)</f>
        <v>414</v>
      </c>
      <c r="Y154" s="344">
        <f>IFERROR(__xludf.DUMMYFUNCTION("""COMPUTED_VALUE"""),492.0)</f>
        <v>492</v>
      </c>
      <c r="Z154" s="343">
        <f>IFERROR(__xludf.DUMMYFUNCTION("""COMPUTED_VALUE"""),23.2)</f>
        <v>23.2</v>
      </c>
      <c r="AA154" s="344">
        <f>IFERROR(__xludf.DUMMYFUNCTION("""COMPUTED_VALUE"""),5.9)</f>
        <v>5.9</v>
      </c>
      <c r="AB154" s="344">
        <f>IFERROR(__xludf.DUMMYFUNCTION("""COMPUTED_VALUE"""),35.8)</f>
        <v>35.8</v>
      </c>
      <c r="AC154" s="344">
        <f>IFERROR(__xludf.DUMMYFUNCTION("""COMPUTED_VALUE"""),14.5)</f>
        <v>14.5</v>
      </c>
      <c r="AD154" s="344">
        <f>IFERROR(__xludf.DUMMYFUNCTION("""COMPUTED_VALUE"""),9.7)</f>
        <v>9.7</v>
      </c>
      <c r="AE154" s="343">
        <f>IFERROR(__xludf.DUMMYFUNCTION("""COMPUTED_VALUE"""),30.1)</f>
        <v>30.1</v>
      </c>
      <c r="AF154" s="343">
        <f>IFERROR(__xludf.DUMMYFUNCTION("""COMPUTED_VALUE"""),1.93)</f>
        <v>1.93</v>
      </c>
      <c r="AG154" s="292" t="b">
        <f>IFERROR(__xludf.DUMMYFUNCTION("""COMPUTED_VALUE"""),FALSE)</f>
        <v>0</v>
      </c>
      <c r="AH154" s="292" t="b">
        <f>IFERROR(__xludf.DUMMYFUNCTION("""COMPUTED_VALUE"""),FALSE)</f>
        <v>0</v>
      </c>
      <c r="AI154" s="292" t="b">
        <f>IFERROR(__xludf.DUMMYFUNCTION("""COMPUTED_VALUE"""),TRUE)</f>
        <v>1</v>
      </c>
      <c r="AJ154" s="292" t="b">
        <f>IFERROR(__xludf.DUMMYFUNCTION("""COMPUTED_VALUE"""),FALSE)</f>
        <v>0</v>
      </c>
      <c r="AK154" s="292" t="b">
        <f>IFERROR(__xludf.DUMMYFUNCTION("""COMPUTED_VALUE"""),FALSE)</f>
        <v>0</v>
      </c>
      <c r="AL154" s="292" t="b">
        <f>IFERROR(__xludf.DUMMYFUNCTION("""COMPUTED_VALUE"""),FALSE)</f>
        <v>0</v>
      </c>
      <c r="AM154" s="292" t="b">
        <f>IFERROR(__xludf.DUMMYFUNCTION("""COMPUTED_VALUE"""),TRUE)</f>
        <v>1</v>
      </c>
      <c r="AN154" s="292" t="b">
        <f>IFERROR(__xludf.DUMMYFUNCTION("""COMPUTED_VALUE"""),FALSE)</f>
        <v>0</v>
      </c>
      <c r="AO154" s="292" t="str">
        <f>IFERROR(__xludf.DUMMYFUNCTION("""COMPUTED_VALUE"""),"TRUE")</f>
        <v>TRUE</v>
      </c>
      <c r="AP154" s="292" t="str">
        <f>IFERROR(__xludf.DUMMYFUNCTION("""COMPUTED_VALUE"""),"Shredded chicken")</f>
        <v>Shredded chicken</v>
      </c>
      <c r="AQ154" s="292" t="str">
        <f>IFERROR(__xludf.DUMMYFUNCTION("""COMPUTED_VALUE"""),"Chicken")</f>
        <v>Chicken</v>
      </c>
      <c r="AR154" s="292" t="str">
        <f>IFERROR(__xludf.DUMMYFUNCTION("""COMPUTED_VALUE"""),"Pulled")</f>
        <v>Pulled</v>
      </c>
      <c r="AS154" s="292" t="str">
        <f>IFERROR(__xludf.DUMMYFUNCTION("""COMPUTED_VALUE"""),"Potato Mash")</f>
        <v>Potato Mash</v>
      </c>
      <c r="AT154" s="292" t="str">
        <f>IFERROR(__xludf.DUMMYFUNCTION("""COMPUTED_VALUE"""),"Green Beans")</f>
        <v>Green Beans</v>
      </c>
      <c r="AU154" s="292" t="str">
        <f>IFERROR(__xludf.DUMMYFUNCTION("""COMPUTED_VALUE"""),"Other sauce")</f>
        <v>Other sauce</v>
      </c>
      <c r="AV154" s="292"/>
      <c r="AW154" s="292" t="str">
        <f>IFERROR(__xludf.DUMMYFUNCTION("""COMPUTED_VALUE"""),"Year Round")</f>
        <v>Year Round</v>
      </c>
      <c r="AX154" s="292" t="str">
        <f>IFERROR(__xludf.DUMMYFUNCTION("""COMPUTED_VALUE"""),"American")</f>
        <v>American</v>
      </c>
      <c r="AY154" s="292"/>
      <c r="AZ154" s="292" t="str">
        <f>IFERROR(__xludf.DUMMYFUNCTION("""COMPUTED_VALUE"""),"3 CT")</f>
        <v>3 CT</v>
      </c>
      <c r="BA154" s="292" t="b">
        <f>IFERROR(__xludf.DUMMYFUNCTION("""COMPUTED_VALUE"""),FALSE)</f>
        <v>0</v>
      </c>
      <c r="BB154" s="342">
        <f>IFERROR(__xludf.DUMMYFUNCTION("""COMPUTED_VALUE"""),1.58)</f>
        <v>1.58</v>
      </c>
      <c r="BC154" s="342">
        <f>IFERROR(__xludf.DUMMYFUNCTION("""COMPUTED_VALUE"""),1.13)</f>
        <v>1.13</v>
      </c>
      <c r="BD154" s="342">
        <f>IFERROR(__xludf.DUMMYFUNCTION("""COMPUTED_VALUE"""),0.36)</f>
        <v>0.36</v>
      </c>
      <c r="BE154" s="342">
        <f>IFERROR(__xludf.DUMMYFUNCTION("""COMPUTED_VALUE"""),0.89)</f>
        <v>0.89</v>
      </c>
      <c r="BF154" s="296">
        <f>IFERROR(__xludf.DUMMYFUNCTION("""COMPUTED_VALUE"""),2.698357142857143)</f>
        <v>2.698357143</v>
      </c>
      <c r="BG154" s="296">
        <f>IFERROR(__xludf.DUMMYFUNCTION("""COMPUTED_VALUE"""),3.173521347434391)</f>
        <v>3.173521347</v>
      </c>
      <c r="BH154" s="296">
        <f>IFERROR(__xludf.DUMMYFUNCTION("""COMPUTED_VALUE"""),3.307692307692308)</f>
        <v>3.307692308</v>
      </c>
      <c r="BI154" s="295">
        <f>IFERROR(__xludf.DUMMYFUNCTION("""COMPUTED_VALUE"""),165.0)</f>
        <v>165</v>
      </c>
      <c r="BJ154" s="295" t="str">
        <f>IFERROR(__xludf.DUMMYFUNCTION("""COMPUTED_VALUE"""),"FALSE")</f>
        <v>FALSE</v>
      </c>
      <c r="BK154" s="346">
        <f>IFERROR(__xludf.DUMMYFUNCTION("""COMPUTED_VALUE"""),2048.0)</f>
        <v>2048</v>
      </c>
      <c r="BL154" s="292" t="str">
        <f>IFERROR(__xludf.DUMMYFUNCTION("""COMPUTED_VALUE"""),"US")</f>
        <v>US</v>
      </c>
      <c r="BM154" s="292"/>
      <c r="BN154" s="292"/>
      <c r="BO154" s="292"/>
      <c r="BP154" s="292"/>
      <c r="BQ154" s="292" t="str">
        <f>IFERROR(__xludf.DUMMYFUNCTION("""COMPUTED_VALUE"""),"Hold")</f>
        <v>Hold</v>
      </c>
      <c r="BR154" s="292" t="b">
        <f>IFERROR(__xludf.DUMMYFUNCTION("""COMPUTED_VALUE"""),FALSE)</f>
        <v>0</v>
      </c>
      <c r="BS154" s="292" t="b">
        <f>IFERROR(__xludf.DUMMYFUNCTION("""COMPUTED_VALUE"""),FALSE)</f>
        <v>0</v>
      </c>
      <c r="BT154" s="292"/>
      <c r="BU154" s="292"/>
      <c r="BV154" s="292"/>
      <c r="BW154" s="292"/>
    </row>
    <row r="155">
      <c r="A155" s="292" t="str">
        <f>IFERROR(__xludf.DUMMYFUNCTION("""COMPUTED_VALUE"""),"FE4038B")</f>
        <v>FE4038B</v>
      </c>
      <c r="B155" s="292" t="str">
        <f>IFERROR(__xludf.DUMMYFUNCTION("""COMPUTED_VALUE"""),"CON-40-143724-4")</f>
        <v>CON-40-143724-4</v>
      </c>
      <c r="C155" s="292" t="str">
        <f>IFERROR(__xludf.DUMMYFUNCTION("""COMPUTED_VALUE"""),"CON-00-147894-2")</f>
        <v>CON-00-147894-2</v>
      </c>
      <c r="D155" s="292" t="str">
        <f>IFERROR(__xludf.DUMMYFUNCTION("""COMPUTED_VALUE"""),"CON-00-136711-3")</f>
        <v>CON-00-136711-3</v>
      </c>
      <c r="E155" s="292" t="str">
        <f>IFERROR(__xludf.DUMMYFUNCTION("""COMPUTED_VALUE"""),"Chicken in mushroom sauce")</f>
        <v>Chicken in mushroom sauce</v>
      </c>
      <c r="F155" s="292" t="str">
        <f>IFERROR(__xludf.DUMMYFUNCTION("""COMPUTED_VALUE"""),"with garlic-green beans and broccoli")</f>
        <v>with garlic-green beans and broccoli</v>
      </c>
      <c r="G155" s="292" t="str">
        <f>IFERROR(__xludf.DUMMYFUNCTION("""COMPUTED_VALUE"""),"Kipfilet in champignonsaus ")</f>
        <v>Kipfilet in champignonsaus </v>
      </c>
      <c r="H155" s="292" t="str">
        <f>IFERROR(__xludf.DUMMYFUNCTION("""COMPUTED_VALUE"""),"met knoflook-sperziebonen en broccoli ")</f>
        <v>met knoflook-sperziebonen en broccoli </v>
      </c>
      <c r="I155" s="292" t="str">
        <f>IFERROR(__xludf.DUMMYFUNCTION("""COMPUTED_VALUE"""),"Kylling i svampesauce     ")</f>
        <v>Kylling i svampesauce     </v>
      </c>
      <c r="J155" s="292" t="str">
        <f>IFERROR(__xludf.DUMMYFUNCTION("""COMPUTED_VALUE"""),"Hähnchen in Pilzsauce")</f>
        <v>Hähnchen in Pilzsauce</v>
      </c>
      <c r="K155" s="292">
        <f>IFERROR(__xludf.DUMMYFUNCTION("""COMPUTED_VALUE"""),565160.0)</f>
        <v>565160</v>
      </c>
      <c r="L155" s="292"/>
      <c r="M155" s="292" t="str">
        <f>IFERROR(__xludf.DUMMYFUNCTION("""COMPUTED_VALUE"""),"FA-NL Kipfilet in champignonsaus (FE4038)")</f>
        <v>FA-NL Kipfilet in champignonsaus (FE4038)</v>
      </c>
      <c r="N155" s="292" t="str">
        <f>IFERROR(__xludf.DUMMYFUNCTION("""COMPUTED_VALUE"""),"FA-NO Kylling i svampesauce (FE4038)")</f>
        <v>FA-NO Kylling i svampesauce (FE4038)</v>
      </c>
      <c r="O155" s="292" t="str">
        <f>IFERROR(__xludf.DUMMYFUNCTION("""COMPUTED_VALUE"""),"FA-DE Hähnchen in Pilzsauce (FE4038)")</f>
        <v>FA-DE Hähnchen in Pilzsauce (FE4038)</v>
      </c>
      <c r="P155" s="292" t="str">
        <f>IFERROR(__xludf.DUMMYFUNCTION("""COMPUTED_VALUE"""),"Active")</f>
        <v>Active</v>
      </c>
      <c r="Q155" s="292" t="str">
        <f>IFERROR(__xludf.DUMMYFUNCTION("""COMPUTED_VALUE"""),"Increased salt")</f>
        <v>Increased salt</v>
      </c>
      <c r="R155" s="342">
        <f>IFERROR(__xludf.DUMMYFUNCTION("""COMPUTED_VALUE"""),5.17)</f>
        <v>5.17</v>
      </c>
      <c r="S155" s="292"/>
      <c r="T155" s="292"/>
      <c r="U155" s="292"/>
      <c r="V155" s="292"/>
      <c r="W155" s="292" t="b">
        <f>IFERROR(__xludf.DUMMYFUNCTION("""COMPUTED_VALUE"""),TRUE)</f>
        <v>1</v>
      </c>
      <c r="X155" s="345">
        <f>IFERROR(__xludf.DUMMYFUNCTION("""COMPUTED_VALUE"""),404.0)</f>
        <v>404</v>
      </c>
      <c r="Y155" s="344">
        <f>IFERROR(__xludf.DUMMYFUNCTION("""COMPUTED_VALUE"""),533.0)</f>
        <v>533</v>
      </c>
      <c r="Z155" s="343">
        <f>IFERROR(__xludf.DUMMYFUNCTION("""COMPUTED_VALUE"""),36.8)</f>
        <v>36.8</v>
      </c>
      <c r="AA155" s="344">
        <f>IFERROR(__xludf.DUMMYFUNCTION("""COMPUTED_VALUE"""),19.1)</f>
        <v>19.1</v>
      </c>
      <c r="AB155" s="344">
        <f>IFERROR(__xludf.DUMMYFUNCTION("""COMPUTED_VALUE"""),13.0)</f>
        <v>13</v>
      </c>
      <c r="AC155" s="344">
        <f>IFERROR(__xludf.DUMMYFUNCTION("""COMPUTED_VALUE"""),7.6)</f>
        <v>7.6</v>
      </c>
      <c r="AD155" s="344">
        <f>IFERROR(__xludf.DUMMYFUNCTION("""COMPUTED_VALUE"""),6.7)</f>
        <v>6.7</v>
      </c>
      <c r="AE155" s="343">
        <f>IFERROR(__xludf.DUMMYFUNCTION("""COMPUTED_VALUE"""),34.8)</f>
        <v>34.8</v>
      </c>
      <c r="AF155" s="343">
        <f>IFERROR(__xludf.DUMMYFUNCTION("""COMPUTED_VALUE"""),1.98)</f>
        <v>1.98</v>
      </c>
      <c r="AG155" s="292" t="b">
        <f>IFERROR(__xludf.DUMMYFUNCTION("""COMPUTED_VALUE"""),FALSE)</f>
        <v>0</v>
      </c>
      <c r="AH155" s="292" t="b">
        <f>IFERROR(__xludf.DUMMYFUNCTION("""COMPUTED_VALUE"""),TRUE)</f>
        <v>1</v>
      </c>
      <c r="AI155" s="292" t="b">
        <f>IFERROR(__xludf.DUMMYFUNCTION("""COMPUTED_VALUE"""),FALSE)</f>
        <v>0</v>
      </c>
      <c r="AJ155" s="292" t="b">
        <f>IFERROR(__xludf.DUMMYFUNCTION("""COMPUTED_VALUE"""),FALSE)</f>
        <v>0</v>
      </c>
      <c r="AK155" s="292" t="b">
        <f>IFERROR(__xludf.DUMMYFUNCTION("""COMPUTED_VALUE"""),FALSE)</f>
        <v>0</v>
      </c>
      <c r="AL155" s="292" t="b">
        <f>IFERROR(__xludf.DUMMYFUNCTION("""COMPUTED_VALUE"""),FALSE)</f>
        <v>0</v>
      </c>
      <c r="AM155" s="292" t="b">
        <f>IFERROR(__xludf.DUMMYFUNCTION("""COMPUTED_VALUE"""),TRUE)</f>
        <v>1</v>
      </c>
      <c r="AN155" s="292" t="b">
        <f>IFERROR(__xludf.DUMMYFUNCTION("""COMPUTED_VALUE"""),FALSE)</f>
        <v>0</v>
      </c>
      <c r="AO155" s="292" t="str">
        <f>IFERROR(__xludf.DUMMYFUNCTION("""COMPUTED_VALUE"""),"FALSE")</f>
        <v>FALSE</v>
      </c>
      <c r="AP155" s="292" t="str">
        <f>IFERROR(__xludf.DUMMYFUNCTION("""COMPUTED_VALUE"""),"Chicken breast")</f>
        <v>Chicken breast</v>
      </c>
      <c r="AQ155" s="292" t="str">
        <f>IFERROR(__xludf.DUMMYFUNCTION("""COMPUTED_VALUE"""),"Chicken")</f>
        <v>Chicken</v>
      </c>
      <c r="AR155" s="292" t="str">
        <f>IFERROR(__xludf.DUMMYFUNCTION("""COMPUTED_VALUE"""),"Breast")</f>
        <v>Breast</v>
      </c>
      <c r="AS155" s="292" t="str">
        <f>IFERROR(__xludf.DUMMYFUNCTION("""COMPUTED_VALUE"""),"Mushrooms")</f>
        <v>Mushrooms</v>
      </c>
      <c r="AT155" s="292" t="str">
        <f>IFERROR(__xludf.DUMMYFUNCTION("""COMPUTED_VALUE"""),"Green Beans")</f>
        <v>Green Beans</v>
      </c>
      <c r="AU155" s="292" t="str">
        <f>IFERROR(__xludf.DUMMYFUNCTION("""COMPUTED_VALUE"""),"Broccoli")</f>
        <v>Broccoli</v>
      </c>
      <c r="AV155" s="292" t="str">
        <f>IFERROR(__xludf.DUMMYFUNCTION("""COMPUTED_VALUE"""),"Creamy Sauce Base")</f>
        <v>Creamy Sauce Base</v>
      </c>
      <c r="AW155" s="292" t="str">
        <f>IFERROR(__xludf.DUMMYFUNCTION("""COMPUTED_VALUE"""),"Year Round")</f>
        <v>Year Round</v>
      </c>
      <c r="AX155" s="292" t="str">
        <f>IFERROR(__xludf.DUMMYFUNCTION("""COMPUTED_VALUE"""),"American")</f>
        <v>American</v>
      </c>
      <c r="AY155" s="292"/>
      <c r="AZ155" s="292" t="str">
        <f>IFERROR(__xludf.DUMMYFUNCTION("""COMPUTED_VALUE"""),"2 CT")</f>
        <v>2 CT</v>
      </c>
      <c r="BA155" s="292" t="b">
        <f>IFERROR(__xludf.DUMMYFUNCTION("""COMPUTED_VALUE"""),FALSE)</f>
        <v>0</v>
      </c>
      <c r="BB155" s="342">
        <f>IFERROR(__xludf.DUMMYFUNCTION("""COMPUTED_VALUE"""),2.8)</f>
        <v>2.8</v>
      </c>
      <c r="BC155" s="342">
        <f>IFERROR(__xludf.DUMMYFUNCTION("""COMPUTED_VALUE"""),1.12)</f>
        <v>1.12</v>
      </c>
      <c r="BD155" s="342">
        <f>IFERROR(__xludf.DUMMYFUNCTION("""COMPUTED_VALUE"""),0.36)</f>
        <v>0.36</v>
      </c>
      <c r="BE155" s="342">
        <f>IFERROR(__xludf.DUMMYFUNCTION("""COMPUTED_VALUE"""),0.89)</f>
        <v>0.89</v>
      </c>
      <c r="BF155" s="296">
        <f>IFERROR(__xludf.DUMMYFUNCTION("""COMPUTED_VALUE"""),3.5366666666666666)</f>
        <v>3.536666667</v>
      </c>
      <c r="BG155" s="296">
        <f>IFERROR(__xludf.DUMMYFUNCTION("""COMPUTED_VALUE"""),3.563333333333333)</f>
        <v>3.563333333</v>
      </c>
      <c r="BH155" s="296">
        <f>IFERROR(__xludf.DUMMYFUNCTION("""COMPUTED_VALUE"""),3.4466666666666668)</f>
        <v>3.446666667</v>
      </c>
      <c r="BI155" s="295">
        <f>IFERROR(__xludf.DUMMYFUNCTION("""COMPUTED_VALUE"""),193.0)</f>
        <v>193</v>
      </c>
      <c r="BJ155" s="295" t="str">
        <f>IFERROR(__xludf.DUMMYFUNCTION("""COMPUTED_VALUE"""),"FALSE")</f>
        <v>FALSE</v>
      </c>
      <c r="BK155" s="346">
        <f>IFERROR(__xludf.DUMMYFUNCTION("""COMPUTED_VALUE"""),2228.0)</f>
        <v>2228</v>
      </c>
      <c r="BL155" s="292" t="str">
        <f>IFERROR(__xludf.DUMMYFUNCTION("""COMPUTED_VALUE"""),"Local Development")</f>
        <v>Local Development</v>
      </c>
      <c r="BM155" s="292" t="str">
        <f>IFERROR(__xludf.DUMMYFUNCTION("""COMPUTED_VALUE"""),"Kyckling i svampsås")</f>
        <v>Kyckling i svampsås</v>
      </c>
      <c r="BN155" s="343">
        <f>IFERROR(__xludf.DUMMYFUNCTION("""COMPUTED_VALUE"""),3.6)</f>
        <v>3.6</v>
      </c>
      <c r="BO155" s="343">
        <f>IFERROR(__xludf.DUMMYFUNCTION("""COMPUTED_VALUE"""),3.313333333333333)</f>
        <v>3.313333333</v>
      </c>
      <c r="BP155" s="292"/>
      <c r="BQ155" s="292" t="str">
        <f>IFERROR(__xludf.DUMMYFUNCTION("""COMPUTED_VALUE"""),"Proven")</f>
        <v>Proven</v>
      </c>
      <c r="BR155" s="292" t="b">
        <f>IFERROR(__xludf.DUMMYFUNCTION("""COMPUTED_VALUE"""),FALSE)</f>
        <v>0</v>
      </c>
      <c r="BS155" s="292" t="b">
        <f>IFERROR(__xludf.DUMMYFUNCTION("""COMPUTED_VALUE"""),FALSE)</f>
        <v>0</v>
      </c>
      <c r="BT155" s="345">
        <f>IFERROR(__xludf.DUMMYFUNCTION("""COMPUTED_VALUE"""),551.0)</f>
        <v>551</v>
      </c>
      <c r="BU155" s="345">
        <f>IFERROR(__xludf.DUMMYFUNCTION("""COMPUTED_VALUE"""),131.9)</f>
        <v>131.9</v>
      </c>
      <c r="BV155" s="344">
        <f>IFERROR(__xludf.DUMMYFUNCTION("""COMPUTED_VALUE"""),9.1)</f>
        <v>9.1</v>
      </c>
      <c r="BW155" s="344">
        <f>IFERROR(__xludf.DUMMYFUNCTION("""COMPUTED_VALUE"""),4.7)</f>
        <v>4.7</v>
      </c>
    </row>
    <row r="156">
      <c r="A156" s="292" t="str">
        <f>IFERROR(__xludf.DUMMYFUNCTION("""COMPUTED_VALUE"""),"FE0123H")</f>
        <v>FE0123H</v>
      </c>
      <c r="B156" s="292" t="str">
        <f>IFERROR(__xludf.DUMMYFUNCTION("""COMPUTED_VALUE"""),"CON-40-143675-4")</f>
        <v>CON-40-143675-4</v>
      </c>
      <c r="C156" s="292" t="str">
        <f>IFERROR(__xludf.DUMMYFUNCTION("""COMPUTED_VALUE"""),"CON-00-147821-2")</f>
        <v>CON-00-147821-2</v>
      </c>
      <c r="D156" s="292" t="str">
        <f>IFERROR(__xludf.DUMMYFUNCTION("""COMPUTED_VALUE"""),"CON-00-136725-3")</f>
        <v>CON-00-136725-3</v>
      </c>
      <c r="E156" s="292" t="str">
        <f>IFERROR(__xludf.DUMMYFUNCTION("""COMPUTED_VALUE"""),"Chicken Alfredo")</f>
        <v>Chicken Alfredo</v>
      </c>
      <c r="F156" s="292" t="str">
        <f>IFERROR(__xludf.DUMMYFUNCTION("""COMPUTED_VALUE"""),"with cherry tomatoes, broccoli and sun-dried tomato butter")</f>
        <v>with cherry tomatoes, broccoli and sun-dried tomato butter</v>
      </c>
      <c r="G156" s="292" t="str">
        <f>IFERROR(__xludf.DUMMYFUNCTION("""COMPUTED_VALUE"""),"Kip Alfredo")</f>
        <v>Kip Alfredo</v>
      </c>
      <c r="H156" s="292" t="str">
        <f>IFERROR(__xludf.DUMMYFUNCTION("""COMPUTED_VALUE"""),"met cherrytomaatjes, broccoli en zongedroogde tomaten boter")</f>
        <v>met cherrytomaatjes, broccoli en zongedroogde tomaten boter</v>
      </c>
      <c r="I156" s="292" t="str">
        <f>IFERROR(__xludf.DUMMYFUNCTION("""COMPUTED_VALUE"""),"Chicken Alfredo ")</f>
        <v>Chicken Alfredo </v>
      </c>
      <c r="J156" s="292" t="str">
        <f>IFERROR(__xludf.DUMMYFUNCTION("""COMPUTED_VALUE"""),"Hähnchen „Alfredo""")</f>
        <v>Hähnchen „Alfredo"</v>
      </c>
      <c r="K156" s="292">
        <f>IFERROR(__xludf.DUMMYFUNCTION("""COMPUTED_VALUE"""),565155.0)</f>
        <v>565155</v>
      </c>
      <c r="L156" s="292"/>
      <c r="M156" s="292" t="str">
        <f>IFERROR(__xludf.DUMMYFUNCTION("""COMPUTED_VALUE"""),"FA-NL Kip Alfredo (FE0123)")</f>
        <v>FA-NL Kip Alfredo (FE0123)</v>
      </c>
      <c r="N156" s="292" t="str">
        <f>IFERROR(__xludf.DUMMYFUNCTION("""COMPUTED_VALUE"""),"FA-NO Chicken Alfredo (FE0123)")</f>
        <v>FA-NO Chicken Alfredo (FE0123)</v>
      </c>
      <c r="O156" s="292" t="str">
        <f>IFERROR(__xludf.DUMMYFUNCTION("""COMPUTED_VALUE"""),"FA-DE Hähnchen Alfredo (FE0123)")</f>
        <v>FA-DE Hähnchen Alfredo (FE0123)</v>
      </c>
      <c r="P156" s="292" t="str">
        <f>IFERROR(__xludf.DUMMYFUNCTION("""COMPUTED_VALUE"""),"Active")</f>
        <v>Active</v>
      </c>
      <c r="Q156" s="292" t="str">
        <f>IFERROR(__xludf.DUMMYFUNCTION("""COMPUTED_VALUE"""),"Improved sauce recipe")</f>
        <v>Improved sauce recipe</v>
      </c>
      <c r="R156" s="342">
        <f>IFERROR(__xludf.DUMMYFUNCTION("""COMPUTED_VALUE"""),5.24)</f>
        <v>5.24</v>
      </c>
      <c r="S156" s="292"/>
      <c r="T156" s="292"/>
      <c r="U156" s="292"/>
      <c r="V156" s="292"/>
      <c r="W156" s="292" t="b">
        <f>IFERROR(__xludf.DUMMYFUNCTION("""COMPUTED_VALUE"""),TRUE)</f>
        <v>1</v>
      </c>
      <c r="X156" s="345">
        <f>IFERROR(__xludf.DUMMYFUNCTION("""COMPUTED_VALUE"""),368.0)</f>
        <v>368</v>
      </c>
      <c r="Y156" s="344">
        <f>IFERROR(__xludf.DUMMYFUNCTION("""COMPUTED_VALUE"""),699.0)</f>
        <v>699</v>
      </c>
      <c r="Z156" s="343">
        <f>IFERROR(__xludf.DUMMYFUNCTION("""COMPUTED_VALUE"""),56.6)</f>
        <v>56.6</v>
      </c>
      <c r="AA156" s="344">
        <f>IFERROR(__xludf.DUMMYFUNCTION("""COMPUTED_VALUE"""),24.4)</f>
        <v>24.4</v>
      </c>
      <c r="AB156" s="344">
        <f>IFERROR(__xludf.DUMMYFUNCTION("""COMPUTED_VALUE"""),11.4)</f>
        <v>11.4</v>
      </c>
      <c r="AC156" s="344">
        <f>IFERROR(__xludf.DUMMYFUNCTION("""COMPUTED_VALUE"""),9.6)</f>
        <v>9.6</v>
      </c>
      <c r="AD156" s="344">
        <f>IFERROR(__xludf.DUMMYFUNCTION("""COMPUTED_VALUE"""),4.4)</f>
        <v>4.4</v>
      </c>
      <c r="AE156" s="343">
        <f>IFERROR(__xludf.DUMMYFUNCTION("""COMPUTED_VALUE"""),35.7)</f>
        <v>35.7</v>
      </c>
      <c r="AF156" s="343">
        <f>IFERROR(__xludf.DUMMYFUNCTION("""COMPUTED_VALUE"""),2.02)</f>
        <v>2.02</v>
      </c>
      <c r="AG156" s="292" t="b">
        <f>IFERROR(__xludf.DUMMYFUNCTION("""COMPUTED_VALUE"""),FALSE)</f>
        <v>0</v>
      </c>
      <c r="AH156" s="292" t="b">
        <f>IFERROR(__xludf.DUMMYFUNCTION("""COMPUTED_VALUE"""),TRUE)</f>
        <v>1</v>
      </c>
      <c r="AI156" s="292" t="b">
        <f>IFERROR(__xludf.DUMMYFUNCTION("""COMPUTED_VALUE"""),FALSE)</f>
        <v>0</v>
      </c>
      <c r="AJ156" s="292" t="b">
        <f>IFERROR(__xludf.DUMMYFUNCTION("""COMPUTED_VALUE"""),FALSE)</f>
        <v>0</v>
      </c>
      <c r="AK156" s="292" t="b">
        <f>IFERROR(__xludf.DUMMYFUNCTION("""COMPUTED_VALUE"""),FALSE)</f>
        <v>0</v>
      </c>
      <c r="AL156" s="292" t="b">
        <f>IFERROR(__xludf.DUMMYFUNCTION("""COMPUTED_VALUE"""),FALSE)</f>
        <v>0</v>
      </c>
      <c r="AM156" s="292" t="b">
        <f>IFERROR(__xludf.DUMMYFUNCTION("""COMPUTED_VALUE"""),TRUE)</f>
        <v>1</v>
      </c>
      <c r="AN156" s="292" t="b">
        <f>IFERROR(__xludf.DUMMYFUNCTION("""COMPUTED_VALUE"""),FALSE)</f>
        <v>0</v>
      </c>
      <c r="AO156" s="292" t="str">
        <f>IFERROR(__xludf.DUMMYFUNCTION("""COMPUTED_VALUE"""),"FALSE")</f>
        <v>FALSE</v>
      </c>
      <c r="AP156" s="292" t="str">
        <f>IFERROR(__xludf.DUMMYFUNCTION("""COMPUTED_VALUE"""),"Chicken breast")</f>
        <v>Chicken breast</v>
      </c>
      <c r="AQ156" s="292" t="str">
        <f>IFERROR(__xludf.DUMMYFUNCTION("""COMPUTED_VALUE"""),"Chicken")</f>
        <v>Chicken</v>
      </c>
      <c r="AR156" s="292" t="str">
        <f>IFERROR(__xludf.DUMMYFUNCTION("""COMPUTED_VALUE"""),"Breast")</f>
        <v>Breast</v>
      </c>
      <c r="AS156" s="292" t="str">
        <f>IFERROR(__xludf.DUMMYFUNCTION("""COMPUTED_VALUE"""),"Creamy Sauce Base")</f>
        <v>Creamy Sauce Base</v>
      </c>
      <c r="AT156" s="292" t="str">
        <f>IFERROR(__xludf.DUMMYFUNCTION("""COMPUTED_VALUE"""),"Cherry Tomatoes")</f>
        <v>Cherry Tomatoes</v>
      </c>
      <c r="AU156" s="292" t="str">
        <f>IFERROR(__xludf.DUMMYFUNCTION("""COMPUTED_VALUE"""),"Broccoli")</f>
        <v>Broccoli</v>
      </c>
      <c r="AV156" s="292" t="str">
        <f>IFERROR(__xludf.DUMMYFUNCTION("""COMPUTED_VALUE"""),"Compound Butter")</f>
        <v>Compound Butter</v>
      </c>
      <c r="AW156" s="292" t="str">
        <f>IFERROR(__xludf.DUMMYFUNCTION("""COMPUTED_VALUE"""),"Year Round")</f>
        <v>Year Round</v>
      </c>
      <c r="AX156" s="292" t="str">
        <f>IFERROR(__xludf.DUMMYFUNCTION("""COMPUTED_VALUE"""),"Italian")</f>
        <v>Italian</v>
      </c>
      <c r="AY156" s="292"/>
      <c r="AZ156" s="292" t="str">
        <f>IFERROR(__xludf.DUMMYFUNCTION("""COMPUTED_VALUE"""),"2 CT")</f>
        <v>2 CT</v>
      </c>
      <c r="BA156" s="292" t="b">
        <f>IFERROR(__xludf.DUMMYFUNCTION("""COMPUTED_VALUE"""),FALSE)</f>
        <v>0</v>
      </c>
      <c r="BB156" s="342">
        <f>IFERROR(__xludf.DUMMYFUNCTION("""COMPUTED_VALUE"""),2.81)</f>
        <v>2.81</v>
      </c>
      <c r="BC156" s="342">
        <f>IFERROR(__xludf.DUMMYFUNCTION("""COMPUTED_VALUE"""),1.18)</f>
        <v>1.18</v>
      </c>
      <c r="BD156" s="342">
        <f>IFERROR(__xludf.DUMMYFUNCTION("""COMPUTED_VALUE"""),0.36)</f>
        <v>0.36</v>
      </c>
      <c r="BE156" s="342">
        <f>IFERROR(__xludf.DUMMYFUNCTION("""COMPUTED_VALUE"""),0.89)</f>
        <v>0.89</v>
      </c>
      <c r="BF156" s="296">
        <f>IFERROR(__xludf.DUMMYFUNCTION("""COMPUTED_VALUE"""),3.215695067264574)</f>
        <v>3.215695067</v>
      </c>
      <c r="BG156" s="296">
        <f>IFERROR(__xludf.DUMMYFUNCTION("""COMPUTED_VALUE"""),3.4312161866341437)</f>
        <v>3.431216187</v>
      </c>
      <c r="BH156" s="296">
        <f>IFERROR(__xludf.DUMMYFUNCTION("""COMPUTED_VALUE"""),3.477207977207977)</f>
        <v>3.477207977</v>
      </c>
      <c r="BI156" s="295">
        <f>IFERROR(__xludf.DUMMYFUNCTION("""COMPUTED_VALUE"""),155.0)</f>
        <v>155</v>
      </c>
      <c r="BJ156" s="295" t="str">
        <f>IFERROR(__xludf.DUMMYFUNCTION("""COMPUTED_VALUE"""),"FALSE")</f>
        <v>FALSE</v>
      </c>
      <c r="BK156" s="346">
        <f>IFERROR(__xludf.DUMMYFUNCTION("""COMPUTED_VALUE"""),2917.0)</f>
        <v>2917</v>
      </c>
      <c r="BL156" s="292"/>
      <c r="BM156" s="292"/>
      <c r="BN156" s="292"/>
      <c r="BO156" s="292"/>
      <c r="BP156" s="292"/>
      <c r="BQ156" s="292" t="str">
        <f>IFERROR(__xludf.DUMMYFUNCTION("""COMPUTED_VALUE"""),"New")</f>
        <v>New</v>
      </c>
      <c r="BR156" s="292" t="b">
        <f>IFERROR(__xludf.DUMMYFUNCTION("""COMPUTED_VALUE"""),FALSE)</f>
        <v>0</v>
      </c>
      <c r="BS156" s="292" t="b">
        <f>IFERROR(__xludf.DUMMYFUNCTION("""COMPUTED_VALUE"""),FALSE)</f>
        <v>0</v>
      </c>
      <c r="BT156" s="292"/>
      <c r="BU156" s="292"/>
      <c r="BV156" s="292"/>
      <c r="BW156" s="292"/>
    </row>
    <row r="157">
      <c r="A157" s="292" t="str">
        <f>IFERROR(__xludf.DUMMYFUNCTION("""COMPUTED_VALUE"""),"FE0090C")</f>
        <v>FE0090C</v>
      </c>
      <c r="B157" s="292" t="str">
        <f>IFERROR(__xludf.DUMMYFUNCTION("""COMPUTED_VALUE"""),"CON-40-143718-4")</f>
        <v>CON-40-143718-4</v>
      </c>
      <c r="C157" s="292" t="str">
        <f>IFERROR(__xludf.DUMMYFUNCTION("""COMPUTED_VALUE"""),"CON-00-147817-2")</f>
        <v>CON-00-147817-2</v>
      </c>
      <c r="D157" s="292" t="str">
        <f>IFERROR(__xludf.DUMMYFUNCTION("""COMPUTED_VALUE"""),"CON-00-136634-3")</f>
        <v>CON-00-136634-3</v>
      </c>
      <c r="E157" s="292" t="str">
        <f>IFERROR(__xludf.DUMMYFUNCTION("""COMPUTED_VALUE"""),"Ratatouille of zucchini and pepper")</f>
        <v>Ratatouille of zucchini and pepper</v>
      </c>
      <c r="F157" s="292" t="str">
        <f>IFERROR(__xludf.DUMMYFUNCTION("""COMPUTED_VALUE"""),"with creamy mascarpone polenta")</f>
        <v>with creamy mascarpone polenta</v>
      </c>
      <c r="G157" s="292" t="str">
        <f>IFERROR(__xludf.DUMMYFUNCTION("""COMPUTED_VALUE"""),"Ratatouille van courgette en paprika")</f>
        <v>Ratatouille van courgette en paprika</v>
      </c>
      <c r="H157" s="292" t="str">
        <f>IFERROR(__xludf.DUMMYFUNCTION("""COMPUTED_VALUE"""),"met romige mascapone-polenta")</f>
        <v>met romige mascapone-polenta</v>
      </c>
      <c r="I157" s="292" t="str">
        <f>IFERROR(__xludf.DUMMYFUNCTION("""COMPUTED_VALUE"""),"Squash- og peberfrugtsratatouille")</f>
        <v>Squash- og peberfrugtsratatouille</v>
      </c>
      <c r="J157" s="292" t="str">
        <f>IFERROR(__xludf.DUMMYFUNCTION("""COMPUTED_VALUE"""),"Zucchini-Paprika-Ratatouille")</f>
        <v>Zucchini-Paprika-Ratatouille</v>
      </c>
      <c r="K157" s="292">
        <f>IFERROR(__xludf.DUMMYFUNCTION("""COMPUTED_VALUE"""),565141.0)</f>
        <v>565141</v>
      </c>
      <c r="L157" s="292"/>
      <c r="M157" s="292" t="str">
        <f>IFERROR(__xludf.DUMMYFUNCTION("""COMPUTED_VALUE"""),"FA-NL Ratatouille van courgette en paprika (FE0090)")</f>
        <v>FA-NL Ratatouille van courgette en paprika (FE0090)</v>
      </c>
      <c r="N157" s="292" t="str">
        <f>IFERROR(__xludf.DUMMYFUNCTION("""COMPUTED_VALUE"""),"FA-NO Squash- og peberfrugtsratatouille (FE0090)")</f>
        <v>FA-NO Squash- og peberfrugtsratatouille (FE0090)</v>
      </c>
      <c r="O157" s="292" t="str">
        <f>IFERROR(__xludf.DUMMYFUNCTION("""COMPUTED_VALUE"""),"FA-DE Zucchini-Paprika-Ratatouille (FE0090)")</f>
        <v>FA-DE Zucchini-Paprika-Ratatouille (FE0090)</v>
      </c>
      <c r="P157" s="292" t="str">
        <f>IFERROR(__xludf.DUMMYFUNCTION("""COMPUTED_VALUE"""),"Active")</f>
        <v>Active</v>
      </c>
      <c r="Q157" s="292" t="str">
        <f>IFERROR(__xludf.DUMMYFUNCTION("""COMPUTED_VALUE"""),"Removed smoke aroma, replaced parmesan with vegetarian cheese")</f>
        <v>Removed smoke aroma, replaced parmesan with vegetarian cheese</v>
      </c>
      <c r="R157" s="342">
        <f>IFERROR(__xludf.DUMMYFUNCTION("""COMPUTED_VALUE"""),3.63)</f>
        <v>3.63</v>
      </c>
      <c r="S157" s="292"/>
      <c r="T157" s="292"/>
      <c r="U157" s="292"/>
      <c r="V157" s="292"/>
      <c r="W157" s="292" t="b">
        <f>IFERROR(__xludf.DUMMYFUNCTION("""COMPUTED_VALUE"""),TRUE)</f>
        <v>1</v>
      </c>
      <c r="X157" s="345">
        <f>IFERROR(__xludf.DUMMYFUNCTION("""COMPUTED_VALUE"""),424.0)</f>
        <v>424</v>
      </c>
      <c r="Y157" s="344">
        <f>IFERROR(__xludf.DUMMYFUNCTION("""COMPUTED_VALUE"""),504.0)</f>
        <v>504</v>
      </c>
      <c r="Z157" s="343">
        <f>IFERROR(__xludf.DUMMYFUNCTION("""COMPUTED_VALUE"""),26.1)</f>
        <v>26.1</v>
      </c>
      <c r="AA157" s="344">
        <f>IFERROR(__xludf.DUMMYFUNCTION("""COMPUTED_VALUE"""),8.6)</f>
        <v>8.6</v>
      </c>
      <c r="AB157" s="344">
        <f>IFERROR(__xludf.DUMMYFUNCTION("""COMPUTED_VALUE"""),46.2)</f>
        <v>46.2</v>
      </c>
      <c r="AC157" s="344">
        <f>IFERROR(__xludf.DUMMYFUNCTION("""COMPUTED_VALUE"""),23.0)</f>
        <v>23</v>
      </c>
      <c r="AD157" s="344">
        <f>IFERROR(__xludf.DUMMYFUNCTION("""COMPUTED_VALUE"""),9.1)</f>
        <v>9.1</v>
      </c>
      <c r="AE157" s="343">
        <f>IFERROR(__xludf.DUMMYFUNCTION("""COMPUTED_VALUE"""),15.8)</f>
        <v>15.8</v>
      </c>
      <c r="AF157" s="343">
        <f>IFERROR(__xludf.DUMMYFUNCTION("""COMPUTED_VALUE"""),2.01)</f>
        <v>2.01</v>
      </c>
      <c r="AG157" s="292" t="b">
        <f>IFERROR(__xludf.DUMMYFUNCTION("""COMPUTED_VALUE"""),FALSE)</f>
        <v>0</v>
      </c>
      <c r="AH157" s="292" t="b">
        <f>IFERROR(__xludf.DUMMYFUNCTION("""COMPUTED_VALUE"""),FALSE)</f>
        <v>0</v>
      </c>
      <c r="AI157" s="292" t="b">
        <f>IFERROR(__xludf.DUMMYFUNCTION("""COMPUTED_VALUE"""),FALSE)</f>
        <v>0</v>
      </c>
      <c r="AJ157" s="292" t="b">
        <f>IFERROR(__xludf.DUMMYFUNCTION("""COMPUTED_VALUE"""),FALSE)</f>
        <v>0</v>
      </c>
      <c r="AK157" s="292" t="b">
        <f>IFERROR(__xludf.DUMMYFUNCTION("""COMPUTED_VALUE"""),TRUE)</f>
        <v>1</v>
      </c>
      <c r="AL157" s="292" t="b">
        <f>IFERROR(__xludf.DUMMYFUNCTION("""COMPUTED_VALUE"""),FALSE)</f>
        <v>0</v>
      </c>
      <c r="AM157" s="292" t="b">
        <f>IFERROR(__xludf.DUMMYFUNCTION("""COMPUTED_VALUE"""),FALSE)</f>
        <v>0</v>
      </c>
      <c r="AN157" s="292" t="b">
        <f>IFERROR(__xludf.DUMMYFUNCTION("""COMPUTED_VALUE"""),FALSE)</f>
        <v>0</v>
      </c>
      <c r="AO157" s="292" t="str">
        <f>IFERROR(__xludf.DUMMYFUNCTION("""COMPUTED_VALUE"""),"TRUE")</f>
        <v>TRUE</v>
      </c>
      <c r="AP157" s="292" t="str">
        <f>IFERROR(__xludf.DUMMYFUNCTION("""COMPUTED_VALUE"""),"Vegetarian")</f>
        <v>Vegetarian</v>
      </c>
      <c r="AQ157" s="292" t="str">
        <f>IFERROR(__xludf.DUMMYFUNCTION("""COMPUTED_VALUE"""),"Vegetarian")</f>
        <v>Vegetarian</v>
      </c>
      <c r="AR157" s="292" t="str">
        <f>IFERROR(__xludf.DUMMYFUNCTION("""COMPUTED_VALUE"""),"Vegetarian")</f>
        <v>Vegetarian</v>
      </c>
      <c r="AS157" s="292" t="str">
        <f>IFERROR(__xludf.DUMMYFUNCTION("""COMPUTED_VALUE"""),"Zucchini Diced")</f>
        <v>Zucchini Diced</v>
      </c>
      <c r="AT157" s="292" t="str">
        <f>IFERROR(__xludf.DUMMYFUNCTION("""COMPUTED_VALUE"""),"Polenta/Grits")</f>
        <v>Polenta/Grits</v>
      </c>
      <c r="AU157" s="292" t="str">
        <f>IFERROR(__xludf.DUMMYFUNCTION("""COMPUTED_VALUE"""),"Pepper Mix")</f>
        <v>Pepper Mix</v>
      </c>
      <c r="AV157" s="292" t="str">
        <f>IFERROR(__xludf.DUMMYFUNCTION("""COMPUTED_VALUE"""),"Seeds")</f>
        <v>Seeds</v>
      </c>
      <c r="AW157" s="292" t="str">
        <f>IFERROR(__xludf.DUMMYFUNCTION("""COMPUTED_VALUE"""),"Year Round")</f>
        <v>Year Round</v>
      </c>
      <c r="AX157" s="292" t="str">
        <f>IFERROR(__xludf.DUMMYFUNCTION("""COMPUTED_VALUE"""),"American")</f>
        <v>American</v>
      </c>
      <c r="AY157" s="292"/>
      <c r="AZ157" s="292" t="str">
        <f>IFERROR(__xludf.DUMMYFUNCTION("""COMPUTED_VALUE"""),"2 CT")</f>
        <v>2 CT</v>
      </c>
      <c r="BA157" s="292" t="b">
        <f>IFERROR(__xludf.DUMMYFUNCTION("""COMPUTED_VALUE"""),FALSE)</f>
        <v>0</v>
      </c>
      <c r="BB157" s="342">
        <f>IFERROR(__xludf.DUMMYFUNCTION("""COMPUTED_VALUE"""),1.41)</f>
        <v>1.41</v>
      </c>
      <c r="BC157" s="342">
        <f>IFERROR(__xludf.DUMMYFUNCTION("""COMPUTED_VALUE"""),0.97)</f>
        <v>0.97</v>
      </c>
      <c r="BD157" s="342">
        <f>IFERROR(__xludf.DUMMYFUNCTION("""COMPUTED_VALUE"""),0.36)</f>
        <v>0.36</v>
      </c>
      <c r="BE157" s="342">
        <f>IFERROR(__xludf.DUMMYFUNCTION("""COMPUTED_VALUE"""),0.89)</f>
        <v>0.89</v>
      </c>
      <c r="BF157" s="296">
        <f>IFERROR(__xludf.DUMMYFUNCTION("""COMPUTED_VALUE"""),3.1533333333333338)</f>
        <v>3.153333333</v>
      </c>
      <c r="BG157" s="296">
        <f>IFERROR(__xludf.DUMMYFUNCTION("""COMPUTED_VALUE"""),3.1133333333333333)</f>
        <v>3.113333333</v>
      </c>
      <c r="BH157" s="296">
        <f>IFERROR(__xludf.DUMMYFUNCTION("""COMPUTED_VALUE"""),3.2999999999999994)</f>
        <v>3.3</v>
      </c>
      <c r="BI157" s="295">
        <f>IFERROR(__xludf.DUMMYFUNCTION("""COMPUTED_VALUE"""),234.0)</f>
        <v>234</v>
      </c>
      <c r="BJ157" s="295" t="str">
        <f>IFERROR(__xludf.DUMMYFUNCTION("""COMPUTED_VALUE"""),"FALSE")</f>
        <v>FALSE</v>
      </c>
      <c r="BK157" s="346">
        <f>IFERROR(__xludf.DUMMYFUNCTION("""COMPUTED_VALUE"""),2106.0)</f>
        <v>2106</v>
      </c>
      <c r="BL157" s="292"/>
      <c r="BM157" s="292"/>
      <c r="BN157" s="292"/>
      <c r="BO157" s="292"/>
      <c r="BP157" s="292"/>
      <c r="BQ157" s="292" t="str">
        <f>IFERROR(__xludf.DUMMYFUNCTION("""COMPUTED_VALUE"""),"Proven")</f>
        <v>Proven</v>
      </c>
      <c r="BR157" s="292" t="b">
        <f>IFERROR(__xludf.DUMMYFUNCTION("""COMPUTED_VALUE"""),FALSE)</f>
        <v>0</v>
      </c>
      <c r="BS157" s="292" t="b">
        <f>IFERROR(__xludf.DUMMYFUNCTION("""COMPUTED_VALUE"""),FALSE)</f>
        <v>0</v>
      </c>
      <c r="BT157" s="292"/>
      <c r="BU157" s="292"/>
      <c r="BV157" s="292"/>
      <c r="BW157" s="292"/>
    </row>
    <row r="158">
      <c r="A158" s="292" t="str">
        <f>IFERROR(__xludf.DUMMYFUNCTION("""COMPUTED_VALUE"""),"FE4023B")</f>
        <v>FE4023B</v>
      </c>
      <c r="B158" s="292" t="str">
        <f>IFERROR(__xludf.DUMMYFUNCTION("""COMPUTED_VALUE"""),"CON-40-143684-4")</f>
        <v>CON-40-143684-4</v>
      </c>
      <c r="C158" s="292" t="str">
        <f>IFERROR(__xludf.DUMMYFUNCTION("""COMPUTED_VALUE"""),"CON-00-147884-2")</f>
        <v>CON-00-147884-2</v>
      </c>
      <c r="D158" s="292" t="str">
        <f>IFERROR(__xludf.DUMMYFUNCTION("""COMPUTED_VALUE"""),"CON-00-136687-3")</f>
        <v>CON-00-136687-3</v>
      </c>
      <c r="E158" s="292" t="str">
        <f>IFERROR(__xludf.DUMMYFUNCTION("""COMPUTED_VALUE"""),"Chicken in chive cream sauce")</f>
        <v>Chicken in chive cream sauce</v>
      </c>
      <c r="F158" s="292" t="str">
        <f>IFERROR(__xludf.DUMMYFUNCTION("""COMPUTED_VALUE"""),"with green beans and garlic-lemon butter")</f>
        <v>with green beans and garlic-lemon butter</v>
      </c>
      <c r="G158" s="292" t="str">
        <f>IFERROR(__xludf.DUMMYFUNCTION("""COMPUTED_VALUE"""),"Kipfilet in bieslookroomsaus")</f>
        <v>Kipfilet in bieslookroomsaus</v>
      </c>
      <c r="H158" s="292" t="str">
        <f>IFERROR(__xludf.DUMMYFUNCTION("""COMPUTED_VALUE"""),"met sperziebonen en knoflook-citroenboter")</f>
        <v>met sperziebonen en knoflook-citroenboter</v>
      </c>
      <c r="I158" s="292" t="str">
        <f>IFERROR(__xludf.DUMMYFUNCTION("""COMPUTED_VALUE"""),"Kylling i purløg-flødesauce")</f>
        <v>Kylling i purløg-flødesauce</v>
      </c>
      <c r="J158" s="292" t="str">
        <f>IFERROR(__xludf.DUMMYFUNCTION("""COMPUTED_VALUE"""),"Hähnchen in Schnittlauchcreme")</f>
        <v>Hähnchen in Schnittlauchcreme</v>
      </c>
      <c r="K158" s="292">
        <f>IFERROR(__xludf.DUMMYFUNCTION("""COMPUTED_VALUE"""),565161.0)</f>
        <v>565161</v>
      </c>
      <c r="L158" s="292" t="str">
        <f>IFERROR(__xludf.DUMMYFUNCTION("""COMPUTED_VALUE"""),"HF RW Kipf in bieslookroomsaus")</f>
        <v>HF RW Kipf in bieslookroomsaus</v>
      </c>
      <c r="M158" s="292" t="str">
        <f>IFERROR(__xludf.DUMMYFUNCTION("""COMPUTED_VALUE"""),"FA-NL Kipfilet in bieslookroomsaus (FE4023)")</f>
        <v>FA-NL Kipfilet in bieslookroomsaus (FE4023)</v>
      </c>
      <c r="N158" s="292" t="str">
        <f>IFERROR(__xludf.DUMMYFUNCTION("""COMPUTED_VALUE"""),"FA-NO Kylling i purløg-flødesauce (FE4023)")</f>
        <v>FA-NO Kylling i purløg-flødesauce (FE4023)</v>
      </c>
      <c r="O158" s="292" t="str">
        <f>IFERROR(__xludf.DUMMYFUNCTION("""COMPUTED_VALUE"""),"FA-DE Hähnchen in Schnittlauchcreme (FE4023)")</f>
        <v>FA-DE Hähnchen in Schnittlauchcreme (FE4023)</v>
      </c>
      <c r="P158" s="292" t="str">
        <f>IFERROR(__xludf.DUMMYFUNCTION("""COMPUTED_VALUE"""),"Active")</f>
        <v>Active</v>
      </c>
      <c r="Q158" s="292" t="str">
        <f>IFERROR(__xludf.DUMMYFUNCTION("""COMPUTED_VALUE"""),"Increased salt")</f>
        <v>Increased salt</v>
      </c>
      <c r="R158" s="342">
        <f>IFERROR(__xludf.DUMMYFUNCTION("""COMPUTED_VALUE"""),4.85)</f>
        <v>4.85</v>
      </c>
      <c r="S158" s="292"/>
      <c r="T158" s="292"/>
      <c r="U158" s="292"/>
      <c r="V158" s="292"/>
      <c r="W158" s="292" t="b">
        <f>IFERROR(__xludf.DUMMYFUNCTION("""COMPUTED_VALUE"""),TRUE)</f>
        <v>1</v>
      </c>
      <c r="X158" s="345">
        <f>IFERROR(__xludf.DUMMYFUNCTION("""COMPUTED_VALUE"""),381.0)</f>
        <v>381</v>
      </c>
      <c r="Y158" s="344">
        <f>IFERROR(__xludf.DUMMYFUNCTION("""COMPUTED_VALUE"""),616.0)</f>
        <v>616</v>
      </c>
      <c r="Z158" s="343">
        <f>IFERROR(__xludf.DUMMYFUNCTION("""COMPUTED_VALUE"""),47.1)</f>
        <v>47.1</v>
      </c>
      <c r="AA158" s="344">
        <f>IFERROR(__xludf.DUMMYFUNCTION("""COMPUTED_VALUE"""),25.0)</f>
        <v>25</v>
      </c>
      <c r="AB158" s="344">
        <f>IFERROR(__xludf.DUMMYFUNCTION("""COMPUTED_VALUE"""),12.5)</f>
        <v>12.5</v>
      </c>
      <c r="AC158" s="344">
        <f>IFERROR(__xludf.DUMMYFUNCTION("""COMPUTED_VALUE"""),7.5)</f>
        <v>7.5</v>
      </c>
      <c r="AD158" s="344">
        <f>IFERROR(__xludf.DUMMYFUNCTION("""COMPUTED_VALUE"""),7.5)</f>
        <v>7.5</v>
      </c>
      <c r="AE158" s="343">
        <f>IFERROR(__xludf.DUMMYFUNCTION("""COMPUTED_VALUE"""),31.9)</f>
        <v>31.9</v>
      </c>
      <c r="AF158" s="343">
        <f>IFERROR(__xludf.DUMMYFUNCTION("""COMPUTED_VALUE"""),1.99)</f>
        <v>1.99</v>
      </c>
      <c r="AG158" s="292" t="b">
        <f>IFERROR(__xludf.DUMMYFUNCTION("""COMPUTED_VALUE"""),FALSE)</f>
        <v>0</v>
      </c>
      <c r="AH158" s="292" t="b">
        <f>IFERROR(__xludf.DUMMYFUNCTION("""COMPUTED_VALUE"""),TRUE)</f>
        <v>1</v>
      </c>
      <c r="AI158" s="292" t="b">
        <f>IFERROR(__xludf.DUMMYFUNCTION("""COMPUTED_VALUE"""),FALSE)</f>
        <v>0</v>
      </c>
      <c r="AJ158" s="292" t="b">
        <f>IFERROR(__xludf.DUMMYFUNCTION("""COMPUTED_VALUE"""),FALSE)</f>
        <v>0</v>
      </c>
      <c r="AK158" s="292" t="b">
        <f>IFERROR(__xludf.DUMMYFUNCTION("""COMPUTED_VALUE"""),FALSE)</f>
        <v>0</v>
      </c>
      <c r="AL158" s="292" t="b">
        <f>IFERROR(__xludf.DUMMYFUNCTION("""COMPUTED_VALUE"""),FALSE)</f>
        <v>0</v>
      </c>
      <c r="AM158" s="292" t="b">
        <f>IFERROR(__xludf.DUMMYFUNCTION("""COMPUTED_VALUE"""),TRUE)</f>
        <v>1</v>
      </c>
      <c r="AN158" s="292" t="b">
        <f>IFERROR(__xludf.DUMMYFUNCTION("""COMPUTED_VALUE"""),FALSE)</f>
        <v>0</v>
      </c>
      <c r="AO158" s="292" t="str">
        <f>IFERROR(__xludf.DUMMYFUNCTION("""COMPUTED_VALUE"""),"FALSE")</f>
        <v>FALSE</v>
      </c>
      <c r="AP158" s="292" t="str">
        <f>IFERROR(__xludf.DUMMYFUNCTION("""COMPUTED_VALUE"""),"Chicken breast")</f>
        <v>Chicken breast</v>
      </c>
      <c r="AQ158" s="292" t="str">
        <f>IFERROR(__xludf.DUMMYFUNCTION("""COMPUTED_VALUE"""),"Chicken")</f>
        <v>Chicken</v>
      </c>
      <c r="AR158" s="292" t="str">
        <f>IFERROR(__xludf.DUMMYFUNCTION("""COMPUTED_VALUE"""),"Breast")</f>
        <v>Breast</v>
      </c>
      <c r="AS158" s="292" t="str">
        <f>IFERROR(__xludf.DUMMYFUNCTION("""COMPUTED_VALUE"""),"Green Beans")</f>
        <v>Green Beans</v>
      </c>
      <c r="AT158" s="292" t="str">
        <f>IFERROR(__xludf.DUMMYFUNCTION("""COMPUTED_VALUE"""),"Creamy Sauce Base")</f>
        <v>Creamy Sauce Base</v>
      </c>
      <c r="AU158" s="292" t="str">
        <f>IFERROR(__xludf.DUMMYFUNCTION("""COMPUTED_VALUE"""),"Compound Butter")</f>
        <v>Compound Butter</v>
      </c>
      <c r="AV158" s="292"/>
      <c r="AW158" s="292" t="str">
        <f>IFERROR(__xludf.DUMMYFUNCTION("""COMPUTED_VALUE"""),"Year Round")</f>
        <v>Year Round</v>
      </c>
      <c r="AX158" s="292" t="str">
        <f>IFERROR(__xludf.DUMMYFUNCTION("""COMPUTED_VALUE"""),"American")</f>
        <v>American</v>
      </c>
      <c r="AY158" s="292"/>
      <c r="AZ158" s="292" t="str">
        <f>IFERROR(__xludf.DUMMYFUNCTION("""COMPUTED_VALUE"""),"2 CT")</f>
        <v>2 CT</v>
      </c>
      <c r="BA158" s="292" t="b">
        <f>IFERROR(__xludf.DUMMYFUNCTION("""COMPUTED_VALUE"""),FALSE)</f>
        <v>0</v>
      </c>
      <c r="BB158" s="342">
        <f>IFERROR(__xludf.DUMMYFUNCTION("""COMPUTED_VALUE"""),2.42)</f>
        <v>2.42</v>
      </c>
      <c r="BC158" s="342">
        <f>IFERROR(__xludf.DUMMYFUNCTION("""COMPUTED_VALUE"""),1.18)</f>
        <v>1.18</v>
      </c>
      <c r="BD158" s="342">
        <f>IFERROR(__xludf.DUMMYFUNCTION("""COMPUTED_VALUE"""),0.36)</f>
        <v>0.36</v>
      </c>
      <c r="BE158" s="342">
        <f>IFERROR(__xludf.DUMMYFUNCTION("""COMPUTED_VALUE"""),0.89)</f>
        <v>0.89</v>
      </c>
      <c r="BF158" s="296">
        <f>IFERROR(__xludf.DUMMYFUNCTION("""COMPUTED_VALUE"""),3.4033333333333338)</f>
        <v>3.403333333</v>
      </c>
      <c r="BG158" s="296">
        <f>IFERROR(__xludf.DUMMYFUNCTION("""COMPUTED_VALUE"""),3.36)</f>
        <v>3.36</v>
      </c>
      <c r="BH158" s="296">
        <f>IFERROR(__xludf.DUMMYFUNCTION("""COMPUTED_VALUE"""),3.426666666666667)</f>
        <v>3.426666667</v>
      </c>
      <c r="BI158" s="295">
        <f>IFERROR(__xludf.DUMMYFUNCTION("""COMPUTED_VALUE"""),162.0)</f>
        <v>162</v>
      </c>
      <c r="BJ158" s="295" t="str">
        <f>IFERROR(__xludf.DUMMYFUNCTION("""COMPUTED_VALUE"""),"FALSE")</f>
        <v>FALSE</v>
      </c>
      <c r="BK158" s="346">
        <f>IFERROR(__xludf.DUMMYFUNCTION("""COMPUTED_VALUE"""),2570.0)</f>
        <v>2570</v>
      </c>
      <c r="BL158" s="292"/>
      <c r="BM158" s="292"/>
      <c r="BN158" s="292"/>
      <c r="BO158" s="292"/>
      <c r="BP158" s="292"/>
      <c r="BQ158" s="292" t="str">
        <f>IFERROR(__xludf.DUMMYFUNCTION("""COMPUTED_VALUE"""),"Proven")</f>
        <v>Proven</v>
      </c>
      <c r="BR158" s="292" t="b">
        <f>IFERROR(__xludf.DUMMYFUNCTION("""COMPUTED_VALUE"""),FALSE)</f>
        <v>0</v>
      </c>
      <c r="BS158" s="292" t="b">
        <f>IFERROR(__xludf.DUMMYFUNCTION("""COMPUTED_VALUE"""),FALSE)</f>
        <v>0</v>
      </c>
      <c r="BT158" s="292"/>
      <c r="BU158" s="292"/>
      <c r="BV158" s="292"/>
      <c r="BW158" s="292"/>
    </row>
    <row r="159">
      <c r="A159" s="292" t="str">
        <f>IFERROR(__xludf.DUMMYFUNCTION("""COMPUTED_VALUE"""),"FE0899A")</f>
        <v>FE0899A</v>
      </c>
      <c r="B159" s="292" t="str">
        <f>IFERROR(__xludf.DUMMYFUNCTION("""COMPUTED_VALUE"""),"CON-40-148198-4")</f>
        <v>CON-40-148198-4</v>
      </c>
      <c r="C159" s="292" t="str">
        <f>IFERROR(__xludf.DUMMYFUNCTION("""COMPUTED_VALUE"""),"CON-00-148195-2")</f>
        <v>CON-00-148195-2</v>
      </c>
      <c r="D159" s="292" t="str">
        <f>IFERROR(__xludf.DUMMYFUNCTION("""COMPUTED_VALUE"""),"CON-00-148194-2")</f>
        <v>CON-00-148194-2</v>
      </c>
      <c r="E159" s="347" t="str">
        <f>IFERROR(__xludf.DUMMYFUNCTION("""COMPUTED_VALUE"""),"Santa Fe pulled chicken &amp; queso")</f>
        <v>Santa Fe pulled chicken &amp; queso</v>
      </c>
      <c r="F159" s="292" t="str">
        <f>IFERROR(__xludf.DUMMYFUNCTION("""COMPUTED_VALUE"""),"with roasted cabbage, courgette and enchilada sauce")</f>
        <v>with roasted cabbage, courgette and enchilada sauce</v>
      </c>
      <c r="G159" s="292" t="str">
        <f>IFERROR(__xludf.DUMMYFUNCTION("""COMPUTED_VALUE"""),"Santa Fe pulled chicken &amp; queso")</f>
        <v>Santa Fe pulled chicken &amp; queso</v>
      </c>
      <c r="H159" s="292" t="str">
        <f>IFERROR(__xludf.DUMMYFUNCTION("""COMPUTED_VALUE"""),"met geroosterde kool, courgette en enchiladasaus ")</f>
        <v>met geroosterde kool, courgette en enchiladasaus </v>
      </c>
      <c r="I159" s="292" t="str">
        <f>IFERROR(__xludf.DUMMYFUNCTION("""COMPUTED_VALUE"""),"Santa Fe-inspireret pulled kylling med queso-os")</f>
        <v>Santa Fe-inspireret pulled kylling med queso-os</v>
      </c>
      <c r="J159" s="292" t="str">
        <f>IFERROR(__xludf.DUMMYFUNCTION("""COMPUTED_VALUE"""),"Santa Fe Pulled Chicken mit Queso")</f>
        <v>Santa Fe Pulled Chicken mit Queso</v>
      </c>
      <c r="K159" s="292">
        <f>IFERROR(__xludf.DUMMYFUNCTION("""COMPUTED_VALUE"""),565159.0)</f>
        <v>565159</v>
      </c>
      <c r="L159" s="292" t="str">
        <f>IFERROR(__xludf.DUMMYFUNCTION("""COMPUTED_VALUE"""),"HF Santa Fe chicken queso")</f>
        <v>HF Santa Fe chicken queso</v>
      </c>
      <c r="M159" s="292" t="str">
        <f>IFERROR(__xludf.DUMMYFUNCTION("""COMPUTED_VALUE"""),"FA-NL Santa Fe pulled chicken &amp; queso (FE0899)")</f>
        <v>FA-NL Santa Fe pulled chicken &amp; queso (FE0899)</v>
      </c>
      <c r="N159" s="292" t="str">
        <f>IFERROR(__xludf.DUMMYFUNCTION("""COMPUTED_VALUE"""),"FA-NO Santa Fe-inspireret pulled kylling med queso-os (FE0899)")</f>
        <v>FA-NO Santa Fe-inspireret pulled kylling med queso-os (FE0899)</v>
      </c>
      <c r="O159" s="292" t="str">
        <f>IFERROR(__xludf.DUMMYFUNCTION("""COMPUTED_VALUE"""),"FA-DE Santa Fe Pulled Chicken mit Queso (FE0899)")</f>
        <v>FA-DE Santa Fe Pulled Chicken mit Queso (FE0899)</v>
      </c>
      <c r="P159" s="292" t="str">
        <f>IFERROR(__xludf.DUMMYFUNCTION("""COMPUTED_VALUE"""),"Active")</f>
        <v>Active</v>
      </c>
      <c r="Q159" s="292"/>
      <c r="R159" s="342">
        <f>IFERROR(__xludf.DUMMYFUNCTION("""COMPUTED_VALUE"""),4.96)</f>
        <v>4.96</v>
      </c>
      <c r="S159" s="292"/>
      <c r="T159" s="292"/>
      <c r="U159" s="292"/>
      <c r="V159" s="292"/>
      <c r="W159" s="292" t="b">
        <f>IFERROR(__xludf.DUMMYFUNCTION("""COMPUTED_VALUE"""),TRUE)</f>
        <v>1</v>
      </c>
      <c r="X159" s="345">
        <f>IFERROR(__xludf.DUMMYFUNCTION("""COMPUTED_VALUE"""),389.0)</f>
        <v>389</v>
      </c>
      <c r="Y159" s="344">
        <f>IFERROR(__xludf.DUMMYFUNCTION("""COMPUTED_VALUE"""),678.0)</f>
        <v>678</v>
      </c>
      <c r="Z159" s="343">
        <f>IFERROR(__xludf.DUMMYFUNCTION("""COMPUTED_VALUE"""),50.7)</f>
        <v>50.7</v>
      </c>
      <c r="AA159" s="344">
        <f>IFERROR(__xludf.DUMMYFUNCTION("""COMPUTED_VALUE"""),19.4)</f>
        <v>19.4</v>
      </c>
      <c r="AB159" s="344">
        <f>IFERROR(__xludf.DUMMYFUNCTION("""COMPUTED_VALUE"""),14.4)</f>
        <v>14.4</v>
      </c>
      <c r="AC159" s="344">
        <f>IFERROR(__xludf.DUMMYFUNCTION("""COMPUTED_VALUE"""),9.7)</f>
        <v>9.7</v>
      </c>
      <c r="AD159" s="344">
        <f>IFERROR(__xludf.DUMMYFUNCTION("""COMPUTED_VALUE"""),7.3)</f>
        <v>7.3</v>
      </c>
      <c r="AE159" s="343">
        <f>IFERROR(__xludf.DUMMYFUNCTION("""COMPUTED_VALUE"""),37.8)</f>
        <v>37.8</v>
      </c>
      <c r="AF159" s="343">
        <f>IFERROR(__xludf.DUMMYFUNCTION("""COMPUTED_VALUE"""),2.04)</f>
        <v>2.04</v>
      </c>
      <c r="AG159" s="292" t="b">
        <f>IFERROR(__xludf.DUMMYFUNCTION("""COMPUTED_VALUE"""),TRUE)</f>
        <v>1</v>
      </c>
      <c r="AH159" s="292" t="b">
        <f>IFERROR(__xludf.DUMMYFUNCTION("""COMPUTED_VALUE"""),TRUE)</f>
        <v>1</v>
      </c>
      <c r="AI159" s="292" t="b">
        <f>IFERROR(__xludf.DUMMYFUNCTION("""COMPUTED_VALUE"""),FALSE)</f>
        <v>0</v>
      </c>
      <c r="AJ159" s="292" t="b">
        <f>IFERROR(__xludf.DUMMYFUNCTION("""COMPUTED_VALUE"""),FALSE)</f>
        <v>0</v>
      </c>
      <c r="AK159" s="292" t="b">
        <f>IFERROR(__xludf.DUMMYFUNCTION("""COMPUTED_VALUE"""),FALSE)</f>
        <v>0</v>
      </c>
      <c r="AL159" s="292" t="b">
        <f>IFERROR(__xludf.DUMMYFUNCTION("""COMPUTED_VALUE"""),FALSE)</f>
        <v>0</v>
      </c>
      <c r="AM159" s="292" t="b">
        <f>IFERROR(__xludf.DUMMYFUNCTION("""COMPUTED_VALUE"""),TRUE)</f>
        <v>1</v>
      </c>
      <c r="AN159" s="292" t="b">
        <f>IFERROR(__xludf.DUMMYFUNCTION("""COMPUTED_VALUE"""),FALSE)</f>
        <v>0</v>
      </c>
      <c r="AO159" s="292" t="str">
        <f>IFERROR(__xludf.DUMMYFUNCTION("""COMPUTED_VALUE"""),"FALSE")</f>
        <v>FALSE</v>
      </c>
      <c r="AP159" s="292" t="str">
        <f>IFERROR(__xludf.DUMMYFUNCTION("""COMPUTED_VALUE"""),"Shredded chicken")</f>
        <v>Shredded chicken</v>
      </c>
      <c r="AQ159" s="292" t="str">
        <f>IFERROR(__xludf.DUMMYFUNCTION("""COMPUTED_VALUE"""),"Chicken")</f>
        <v>Chicken</v>
      </c>
      <c r="AR159" s="292" t="str">
        <f>IFERROR(__xludf.DUMMYFUNCTION("""COMPUTED_VALUE"""),"Thigh")</f>
        <v>Thigh</v>
      </c>
      <c r="AS159" s="292" t="str">
        <f>IFERROR(__xludf.DUMMYFUNCTION("""COMPUTED_VALUE"""),"Cabbage")</f>
        <v>Cabbage</v>
      </c>
      <c r="AT159" s="292" t="str">
        <f>IFERROR(__xludf.DUMMYFUNCTION("""COMPUTED_VALUE"""),"Creamy Sauce Base")</f>
        <v>Creamy Sauce Base</v>
      </c>
      <c r="AU159" s="292" t="str">
        <f>IFERROR(__xludf.DUMMYFUNCTION("""COMPUTED_VALUE"""),"Zucchini Diced")</f>
        <v>Zucchini Diced</v>
      </c>
      <c r="AV159" s="292" t="str">
        <f>IFERROR(__xludf.DUMMYFUNCTION("""COMPUTED_VALUE"""),"Other sauce")</f>
        <v>Other sauce</v>
      </c>
      <c r="AW159" s="292" t="str">
        <f>IFERROR(__xludf.DUMMYFUNCTION("""COMPUTED_VALUE"""),"Year Round")</f>
        <v>Year Round</v>
      </c>
      <c r="AX159" s="292" t="str">
        <f>IFERROR(__xludf.DUMMYFUNCTION("""COMPUTED_VALUE"""),"Mexican")</f>
        <v>Mexican</v>
      </c>
      <c r="AY159" s="292"/>
      <c r="AZ159" s="292" t="str">
        <f>IFERROR(__xludf.DUMMYFUNCTION("""COMPUTED_VALUE"""),"2 CT")</f>
        <v>2 CT</v>
      </c>
      <c r="BA159" s="292" t="b">
        <f>IFERROR(__xludf.DUMMYFUNCTION("""COMPUTED_VALUE"""),TRUE)</f>
        <v>1</v>
      </c>
      <c r="BB159" s="292"/>
      <c r="BC159" s="292"/>
      <c r="BD159" s="292"/>
      <c r="BE159" s="342">
        <f>IFERROR(__xludf.DUMMYFUNCTION("""COMPUTED_VALUE"""),0.89)</f>
        <v>0.89</v>
      </c>
      <c r="BF159" s="296">
        <f>IFERROR(__xludf.DUMMYFUNCTION("""COMPUTED_VALUE"""),2.92147345408215)</f>
        <v>2.921473454</v>
      </c>
      <c r="BG159" s="296">
        <f>IFERROR(__xludf.DUMMYFUNCTION("""COMPUTED_VALUE"""),2.876301330248699)</f>
        <v>2.87630133</v>
      </c>
      <c r="BH159" s="296">
        <f>IFERROR(__xludf.DUMMYFUNCTION("""COMPUTED_VALUE"""),2.688278667683702)</f>
        <v>2.688278668</v>
      </c>
      <c r="BI159" s="295">
        <f>IFERROR(__xludf.DUMMYFUNCTION("""COMPUTED_VALUE"""),167.0)</f>
        <v>167</v>
      </c>
      <c r="BJ159" s="295" t="str">
        <f>IFERROR(__xludf.DUMMYFUNCTION("""COMPUTED_VALUE"""),"FALSE")</f>
        <v>FALSE</v>
      </c>
      <c r="BK159" s="346">
        <f>IFERROR(__xludf.DUMMYFUNCTION("""COMPUTED_VALUE"""),2827.0)</f>
        <v>2827</v>
      </c>
      <c r="BL159" s="292"/>
      <c r="BM159" s="292"/>
      <c r="BN159" s="292"/>
      <c r="BO159" s="292"/>
      <c r="BP159" s="292"/>
      <c r="BQ159" s="292" t="str">
        <f>IFERROR(__xludf.DUMMYFUNCTION("""COMPUTED_VALUE"""),"Hospital")</f>
        <v>Hospital</v>
      </c>
      <c r="BR159" s="292" t="b">
        <f>IFERROR(__xludf.DUMMYFUNCTION("""COMPUTED_VALUE"""),FALSE)</f>
        <v>0</v>
      </c>
      <c r="BS159" s="292" t="b">
        <f>IFERROR(__xludf.DUMMYFUNCTION("""COMPUTED_VALUE"""),FALSE)</f>
        <v>0</v>
      </c>
      <c r="BT159" s="292"/>
      <c r="BU159" s="292"/>
      <c r="BV159" s="292"/>
      <c r="BW159" s="292"/>
    </row>
    <row r="160">
      <c r="A160" s="292" t="str">
        <f>IFERROR(__xludf.DUMMYFUNCTION("""COMPUTED_VALUE"""),"FE0794D")</f>
        <v>FE0794D</v>
      </c>
      <c r="B160" s="292" t="str">
        <f>IFERROR(__xludf.DUMMYFUNCTION("""COMPUTED_VALUE"""),"CON-40-147981-4")</f>
        <v>CON-40-147981-4</v>
      </c>
      <c r="C160" s="292" t="str">
        <f>IFERROR(__xludf.DUMMYFUNCTION("""COMPUTED_VALUE"""),"CON-00-150821-2")</f>
        <v>CON-00-150821-2</v>
      </c>
      <c r="D160" s="292" t="str">
        <f>IFERROR(__xludf.DUMMYFUNCTION("""COMPUTED_VALUE"""),"CON-00-147983-2")</f>
        <v>CON-00-147983-2</v>
      </c>
      <c r="E160" s="292" t="str">
        <f>IFERROR(__xludf.DUMMYFUNCTION("""COMPUTED_VALUE"""),"Loaded Bacon Shredded Chicken")</f>
        <v>Loaded Bacon Shredded Chicken</v>
      </c>
      <c r="F160" s="292" t="str">
        <f>IFERROR(__xludf.DUMMYFUNCTION("""COMPUTED_VALUE"""),"with spinach, green beans and ranchdressing")</f>
        <v>with spinach, green beans and ranchdressing</v>
      </c>
      <c r="G160" s="292" t="str">
        <f>IFERROR(__xludf.DUMMYFUNCTION("""COMPUTED_VALUE"""),"Loaded pulled chicken &amp; spek")</f>
        <v>Loaded pulled chicken &amp; spek</v>
      </c>
      <c r="H160" s="292" t="str">
        <f>IFERROR(__xludf.DUMMYFUNCTION("""COMPUTED_VALUE"""),"met spinazie, sperziebonen en ranchdressing ")</f>
        <v>met spinazie, sperziebonen en ranchdressing </v>
      </c>
      <c r="I160" s="292" t="str">
        <f>IFERROR(__xludf.DUMMYFUNCTION("""COMPUTED_VALUE"""),"Pulled chicken med bacon")</f>
        <v>Pulled chicken med bacon</v>
      </c>
      <c r="J160" s="292" t="str">
        <f>IFERROR(__xludf.DUMMYFUNCTION("""COMPUTED_VALUE"""),"Pulled Chicken mit Bacon")</f>
        <v>Pulled Chicken mit Bacon</v>
      </c>
      <c r="K160" s="292">
        <f>IFERROR(__xludf.DUMMYFUNCTION("""COMPUTED_VALUE"""),565156.0)</f>
        <v>565156</v>
      </c>
      <c r="L160" s="292" t="str">
        <f>IFERROR(__xludf.DUMMYFUNCTION("""COMPUTED_VALUE"""),"HF Loaded Bacon Chicken")</f>
        <v>HF Loaded Bacon Chicken</v>
      </c>
      <c r="M160" s="292" t="str">
        <f>IFERROR(__xludf.DUMMYFUNCTION("""COMPUTED_VALUE"""),"FA-NL Loaded pulled chicken &amp; spek (FE0794)")</f>
        <v>FA-NL Loaded pulled chicken &amp; spek (FE0794)</v>
      </c>
      <c r="N160" s="292" t="str">
        <f>IFERROR(__xludf.DUMMYFUNCTION("""COMPUTED_VALUE"""),"FA-NO Pulled chicken med bacon (FE0794)")</f>
        <v>FA-NO Pulled chicken med bacon (FE0794)</v>
      </c>
      <c r="O160" s="292" t="str">
        <f>IFERROR(__xludf.DUMMYFUNCTION("""COMPUTED_VALUE"""),"FA-DE Pulled Chicken mit Bacon (FE0794)")</f>
        <v>FA-DE Pulled Chicken mit Bacon (FE0794)</v>
      </c>
      <c r="P160" s="292" t="str">
        <f>IFERROR(__xludf.DUMMYFUNCTION("""COMPUTED_VALUE"""),"Active")</f>
        <v>Active</v>
      </c>
      <c r="Q160" s="292"/>
      <c r="R160" s="342">
        <f>IFERROR(__xludf.DUMMYFUNCTION("""COMPUTED_VALUE"""),4.15)</f>
        <v>4.15</v>
      </c>
      <c r="S160" s="292"/>
      <c r="T160" s="292"/>
      <c r="U160" s="292"/>
      <c r="V160" s="292"/>
      <c r="W160" s="292" t="b">
        <f>IFERROR(__xludf.DUMMYFUNCTION("""COMPUTED_VALUE"""),TRUE)</f>
        <v>1</v>
      </c>
      <c r="X160" s="345">
        <f>IFERROR(__xludf.DUMMYFUNCTION("""COMPUTED_VALUE"""),361.0)</f>
        <v>361</v>
      </c>
      <c r="Y160" s="344">
        <f>IFERROR(__xludf.DUMMYFUNCTION("""COMPUTED_VALUE"""),573.0)</f>
        <v>573</v>
      </c>
      <c r="Z160" s="343">
        <f>IFERROR(__xludf.DUMMYFUNCTION("""COMPUTED_VALUE"""),42.4)</f>
        <v>42.4</v>
      </c>
      <c r="AA160" s="344">
        <f>IFERROR(__xludf.DUMMYFUNCTION("""COMPUTED_VALUE"""),17.2)</f>
        <v>17.2</v>
      </c>
      <c r="AB160" s="344">
        <f>IFERROR(__xludf.DUMMYFUNCTION("""COMPUTED_VALUE"""),10.1)</f>
        <v>10.1</v>
      </c>
      <c r="AC160" s="344">
        <f>IFERROR(__xludf.DUMMYFUNCTION("""COMPUTED_VALUE"""),6.8)</f>
        <v>6.8</v>
      </c>
      <c r="AD160" s="344">
        <f>IFERROR(__xludf.DUMMYFUNCTION("""COMPUTED_VALUE"""),6.9)</f>
        <v>6.9</v>
      </c>
      <c r="AE160" s="343">
        <f>IFERROR(__xludf.DUMMYFUNCTION("""COMPUTED_VALUE"""),35.1)</f>
        <v>35.1</v>
      </c>
      <c r="AF160" s="343">
        <f>IFERROR(__xludf.DUMMYFUNCTION("""COMPUTED_VALUE"""),2.0)</f>
        <v>2</v>
      </c>
      <c r="AG160" s="292" t="b">
        <f>IFERROR(__xludf.DUMMYFUNCTION("""COMPUTED_VALUE"""),FALSE)</f>
        <v>0</v>
      </c>
      <c r="AH160" s="292" t="b">
        <f>IFERROR(__xludf.DUMMYFUNCTION("""COMPUTED_VALUE"""),TRUE)</f>
        <v>1</v>
      </c>
      <c r="AI160" s="292" t="b">
        <f>IFERROR(__xludf.DUMMYFUNCTION("""COMPUTED_VALUE"""),FALSE)</f>
        <v>0</v>
      </c>
      <c r="AJ160" s="292" t="b">
        <f>IFERROR(__xludf.DUMMYFUNCTION("""COMPUTED_VALUE"""),FALSE)</f>
        <v>0</v>
      </c>
      <c r="AK160" s="292" t="b">
        <f>IFERROR(__xludf.DUMMYFUNCTION("""COMPUTED_VALUE"""),FALSE)</f>
        <v>0</v>
      </c>
      <c r="AL160" s="292" t="b">
        <f>IFERROR(__xludf.DUMMYFUNCTION("""COMPUTED_VALUE"""),FALSE)</f>
        <v>0</v>
      </c>
      <c r="AM160" s="292" t="b">
        <f>IFERROR(__xludf.DUMMYFUNCTION("""COMPUTED_VALUE"""),TRUE)</f>
        <v>1</v>
      </c>
      <c r="AN160" s="292" t="b">
        <f>IFERROR(__xludf.DUMMYFUNCTION("""COMPUTED_VALUE"""),FALSE)</f>
        <v>0</v>
      </c>
      <c r="AO160" s="292" t="str">
        <f>IFERROR(__xludf.DUMMYFUNCTION("""COMPUTED_VALUE"""),"FALSE")</f>
        <v>FALSE</v>
      </c>
      <c r="AP160" s="292" t="str">
        <f>IFERROR(__xludf.DUMMYFUNCTION("""COMPUTED_VALUE"""),"Shredded chicken")</f>
        <v>Shredded chicken</v>
      </c>
      <c r="AQ160" s="292" t="str">
        <f>IFERROR(__xludf.DUMMYFUNCTION("""COMPUTED_VALUE"""),"Chicken")</f>
        <v>Chicken</v>
      </c>
      <c r="AR160" s="292" t="str">
        <f>IFERROR(__xludf.DUMMYFUNCTION("""COMPUTED_VALUE"""),"Thigh")</f>
        <v>Thigh</v>
      </c>
      <c r="AS160" s="292" t="str">
        <f>IFERROR(__xludf.DUMMYFUNCTION("""COMPUTED_VALUE"""),"Green Beans")</f>
        <v>Green Beans</v>
      </c>
      <c r="AT160" s="292" t="str">
        <f>IFERROR(__xludf.DUMMYFUNCTION("""COMPUTED_VALUE"""),"Bacon")</f>
        <v>Bacon</v>
      </c>
      <c r="AU160" s="292"/>
      <c r="AV160" s="292"/>
      <c r="AW160" s="292" t="str">
        <f>IFERROR(__xludf.DUMMYFUNCTION("""COMPUTED_VALUE"""),"Year Round")</f>
        <v>Year Round</v>
      </c>
      <c r="AX160" s="292" t="str">
        <f>IFERROR(__xludf.DUMMYFUNCTION("""COMPUTED_VALUE"""),"American")</f>
        <v>American</v>
      </c>
      <c r="AY160" s="292"/>
      <c r="AZ160" s="292" t="str">
        <f>IFERROR(__xludf.DUMMYFUNCTION("""COMPUTED_VALUE"""),"2 CT")</f>
        <v>2 CT</v>
      </c>
      <c r="BA160" s="292" t="b">
        <f>IFERROR(__xludf.DUMMYFUNCTION("""COMPUTED_VALUE"""),TRUE)</f>
        <v>1</v>
      </c>
      <c r="BB160" s="292"/>
      <c r="BC160" s="292"/>
      <c r="BD160" s="292"/>
      <c r="BE160" s="342">
        <f>IFERROR(__xludf.DUMMYFUNCTION("""COMPUTED_VALUE"""),0.89)</f>
        <v>0.89</v>
      </c>
      <c r="BF160" s="296">
        <f>IFERROR(__xludf.DUMMYFUNCTION("""COMPUTED_VALUE"""),3.0366666666666666)</f>
        <v>3.036666667</v>
      </c>
      <c r="BG160" s="296">
        <f>IFERROR(__xludf.DUMMYFUNCTION("""COMPUTED_VALUE"""),2.91)</f>
        <v>2.91</v>
      </c>
      <c r="BH160" s="296">
        <f>IFERROR(__xludf.DUMMYFUNCTION("""COMPUTED_VALUE"""),3.016666666666667)</f>
        <v>3.016666667</v>
      </c>
      <c r="BI160" s="295">
        <f>IFERROR(__xludf.DUMMYFUNCTION("""COMPUTED_VALUE"""),151.0)</f>
        <v>151</v>
      </c>
      <c r="BJ160" s="295" t="str">
        <f>IFERROR(__xludf.DUMMYFUNCTION("""COMPUTED_VALUE"""),"FALSE")</f>
        <v>FALSE</v>
      </c>
      <c r="BK160" s="346">
        <f>IFERROR(__xludf.DUMMYFUNCTION("""COMPUTED_VALUE"""),2383.0)</f>
        <v>2383</v>
      </c>
      <c r="BL160" s="292"/>
      <c r="BM160" s="292"/>
      <c r="BN160" s="292"/>
      <c r="BO160" s="292"/>
      <c r="BP160" s="292"/>
      <c r="BQ160" s="292" t="str">
        <f>IFERROR(__xludf.DUMMYFUNCTION("""COMPUTED_VALUE"""),"Hospital")</f>
        <v>Hospital</v>
      </c>
      <c r="BR160" s="292" t="b">
        <f>IFERROR(__xludf.DUMMYFUNCTION("""COMPUTED_VALUE"""),FALSE)</f>
        <v>0</v>
      </c>
      <c r="BS160" s="292" t="b">
        <f>IFERROR(__xludf.DUMMYFUNCTION("""COMPUTED_VALUE"""),FALSE)</f>
        <v>0</v>
      </c>
      <c r="BT160" s="292"/>
      <c r="BU160" s="292"/>
      <c r="BV160" s="292"/>
      <c r="BW160" s="292"/>
    </row>
    <row r="161">
      <c r="A161" s="292" t="str">
        <f>IFERROR(__xludf.DUMMYFUNCTION("""COMPUTED_VALUE"""),"FE0970B")</f>
        <v>FE0970B</v>
      </c>
      <c r="B161" s="292" t="str">
        <f>IFERROR(__xludf.DUMMYFUNCTION("""COMPUTED_VALUE"""),"CON-40-148197-4")</f>
        <v>CON-40-148197-4</v>
      </c>
      <c r="C161" s="292" t="str">
        <f>IFERROR(__xludf.DUMMYFUNCTION("""COMPUTED_VALUE"""),"CON-00-148196-2")</f>
        <v>CON-00-148196-2</v>
      </c>
      <c r="D161" s="292" t="str">
        <f>IFERROR(__xludf.DUMMYFUNCTION("""COMPUTED_VALUE"""),"CON-00-148220-2")</f>
        <v>CON-00-148220-2</v>
      </c>
      <c r="E161" s="292" t="str">
        <f>IFERROR(__xludf.DUMMYFUNCTION("""COMPUTED_VALUE"""),"Caramelized Onion &amp; Emmental Fondue Chicken")</f>
        <v>Caramelized Onion &amp; Emmental Fondue Chicken</v>
      </c>
      <c r="F161" s="292" t="str">
        <f>IFERROR(__xludf.DUMMYFUNCTION("""COMPUTED_VALUE"""),"with roastes mushrooms, green beans, Parmesan-chives butter")</f>
        <v>with roastes mushrooms, green beans, Parmesan-chives butter</v>
      </c>
      <c r="G161" s="292" t="str">
        <f>IFERROR(__xludf.DUMMYFUNCTION("""COMPUTED_VALUE"""),"Kipfilet in Emmentalerfondue &amp; gekaramelliseerde ui")</f>
        <v>Kipfilet in Emmentalerfondue &amp; gekaramelliseerde ui</v>
      </c>
      <c r="H161" s="292" t="str">
        <f>IFERROR(__xludf.DUMMYFUNCTION("""COMPUTED_VALUE"""),"met geroosterde champignons, sperziebonen en parmezaan-bieslookboter")</f>
        <v>met geroosterde champignons, sperziebonen en parmezaan-bieslookboter</v>
      </c>
      <c r="I161" s="292" t="str">
        <f>IFERROR(__xludf.DUMMYFUNCTION("""COMPUTED_VALUE"""),"Kylling i Emmental-fondue med karamelliseret løg")</f>
        <v>Kylling i Emmental-fondue med karamelliseret løg</v>
      </c>
      <c r="J161" s="292" t="str">
        <f>IFERROR(__xludf.DUMMYFUNCTION("""COMPUTED_VALUE"""),"Hähnchen mit karamellisierten Zwiebeln &amp; Emmentaler-Fondue")</f>
        <v>Hähnchen mit karamellisierten Zwiebeln &amp; Emmentaler-Fondue</v>
      </c>
      <c r="K161" s="292">
        <f>IFERROR(__xludf.DUMMYFUNCTION("""COMPUTED_VALUE"""),565164.0)</f>
        <v>565164</v>
      </c>
      <c r="L161" s="292"/>
      <c r="M161" s="292" t="str">
        <f>IFERROR(__xludf.DUMMYFUNCTION("""COMPUTED_VALUE"""),"FA-NL Kipfilet in Emmentalerfondue &amp; gekaramelliseerde ui (FE0970)")</f>
        <v>FA-NL Kipfilet in Emmentalerfondue &amp; gekaramelliseerde ui (FE0970)</v>
      </c>
      <c r="N161" s="292" t="str">
        <f>IFERROR(__xludf.DUMMYFUNCTION("""COMPUTED_VALUE"""),"FA-NO Kylling i emmental-fondue med karamelliseret løg (FE0970)")</f>
        <v>FA-NO Kylling i emmental-fondue med karamelliseret løg (FE0970)</v>
      </c>
      <c r="O161" s="292" t="str">
        <f>IFERROR(__xludf.DUMMYFUNCTION("""COMPUTED_VALUE"""),"FA-DE Hähnchen mit karamellisierten Zwiebeln &amp; Emmentaler-Fondue (FE0970)")</f>
        <v>FA-DE Hähnchen mit karamellisierten Zwiebeln &amp; Emmentaler-Fondue (FE0970)</v>
      </c>
      <c r="P161" s="292" t="str">
        <f>IFERROR(__xludf.DUMMYFUNCTION("""COMPUTED_VALUE"""),"Active")</f>
        <v>Active</v>
      </c>
      <c r="Q161" s="292"/>
      <c r="R161" s="342">
        <f>IFERROR(__xludf.DUMMYFUNCTION("""COMPUTED_VALUE"""),4.34)</f>
        <v>4.34</v>
      </c>
      <c r="S161" s="292"/>
      <c r="T161" s="292"/>
      <c r="U161" s="292"/>
      <c r="V161" s="292"/>
      <c r="W161" s="292" t="b">
        <f>IFERROR(__xludf.DUMMYFUNCTION("""COMPUTED_VALUE"""),TRUE)</f>
        <v>1</v>
      </c>
      <c r="X161" s="345">
        <f>IFERROR(__xludf.DUMMYFUNCTION("""COMPUTED_VALUE"""),351.0)</f>
        <v>351</v>
      </c>
      <c r="Y161" s="344">
        <f>IFERROR(__xludf.DUMMYFUNCTION("""COMPUTED_VALUE"""),503.0)</f>
        <v>503</v>
      </c>
      <c r="Z161" s="343">
        <f>IFERROR(__xludf.DUMMYFUNCTION("""COMPUTED_VALUE"""),35.0)</f>
        <v>35</v>
      </c>
      <c r="AA161" s="344">
        <f>IFERROR(__xludf.DUMMYFUNCTION("""COMPUTED_VALUE"""),17.8)</f>
        <v>17.8</v>
      </c>
      <c r="AB161" s="344">
        <f>IFERROR(__xludf.DUMMYFUNCTION("""COMPUTED_VALUE"""),9.7)</f>
        <v>9.7</v>
      </c>
      <c r="AC161" s="344">
        <f>IFERROR(__xludf.DUMMYFUNCTION("""COMPUTED_VALUE"""),8.4)</f>
        <v>8.4</v>
      </c>
      <c r="AD161" s="344">
        <f>IFERROR(__xludf.DUMMYFUNCTION("""COMPUTED_VALUE"""),5.3)</f>
        <v>5.3</v>
      </c>
      <c r="AE161" s="343">
        <f>IFERROR(__xludf.DUMMYFUNCTION("""COMPUTED_VALUE"""),34.6)</f>
        <v>34.6</v>
      </c>
      <c r="AF161" s="343">
        <f>IFERROR(__xludf.DUMMYFUNCTION("""COMPUTED_VALUE"""),2.03)</f>
        <v>2.03</v>
      </c>
      <c r="AG161" s="292" t="b">
        <f>IFERROR(__xludf.DUMMYFUNCTION("""COMPUTED_VALUE"""),FALSE)</f>
        <v>0</v>
      </c>
      <c r="AH161" s="292" t="b">
        <f>IFERROR(__xludf.DUMMYFUNCTION("""COMPUTED_VALUE"""),TRUE)</f>
        <v>1</v>
      </c>
      <c r="AI161" s="292" t="b">
        <f>IFERROR(__xludf.DUMMYFUNCTION("""COMPUTED_VALUE"""),FALSE)</f>
        <v>0</v>
      </c>
      <c r="AJ161" s="292" t="b">
        <f>IFERROR(__xludf.DUMMYFUNCTION("""COMPUTED_VALUE"""),FALSE)</f>
        <v>0</v>
      </c>
      <c r="AK161" s="292" t="b">
        <f>IFERROR(__xludf.DUMMYFUNCTION("""COMPUTED_VALUE"""),FALSE)</f>
        <v>0</v>
      </c>
      <c r="AL161" s="292" t="b">
        <f>IFERROR(__xludf.DUMMYFUNCTION("""COMPUTED_VALUE"""),FALSE)</f>
        <v>0</v>
      </c>
      <c r="AM161" s="292" t="b">
        <f>IFERROR(__xludf.DUMMYFUNCTION("""COMPUTED_VALUE"""),TRUE)</f>
        <v>1</v>
      </c>
      <c r="AN161" s="292" t="b">
        <f>IFERROR(__xludf.DUMMYFUNCTION("""COMPUTED_VALUE"""),FALSE)</f>
        <v>0</v>
      </c>
      <c r="AO161" s="292" t="str">
        <f>IFERROR(__xludf.DUMMYFUNCTION("""COMPUTED_VALUE"""),"FALSE")</f>
        <v>FALSE</v>
      </c>
      <c r="AP161" s="292" t="str">
        <f>IFERROR(__xludf.DUMMYFUNCTION("""COMPUTED_VALUE"""),"Chicken breast")</f>
        <v>Chicken breast</v>
      </c>
      <c r="AQ161" s="292" t="str">
        <f>IFERROR(__xludf.DUMMYFUNCTION("""COMPUTED_VALUE"""),"Chicken")</f>
        <v>Chicken</v>
      </c>
      <c r="AR161" s="292" t="str">
        <f>IFERROR(__xludf.DUMMYFUNCTION("""COMPUTED_VALUE"""),"Breast")</f>
        <v>Breast</v>
      </c>
      <c r="AS161" s="292" t="str">
        <f>IFERROR(__xludf.DUMMYFUNCTION("""COMPUTED_VALUE"""),"Green Beans")</f>
        <v>Green Beans</v>
      </c>
      <c r="AT161" s="292" t="str">
        <f>IFERROR(__xludf.DUMMYFUNCTION("""COMPUTED_VALUE"""),"Caramelized Onions")</f>
        <v>Caramelized Onions</v>
      </c>
      <c r="AU161" s="292" t="str">
        <f>IFERROR(__xludf.DUMMYFUNCTION("""COMPUTED_VALUE"""),"Creamy Sauce Base")</f>
        <v>Creamy Sauce Base</v>
      </c>
      <c r="AV161" s="292" t="str">
        <f>IFERROR(__xludf.DUMMYFUNCTION("""COMPUTED_VALUE"""),"Mushrooms")</f>
        <v>Mushrooms</v>
      </c>
      <c r="AW161" s="292" t="str">
        <f>IFERROR(__xludf.DUMMYFUNCTION("""COMPUTED_VALUE"""),"Year Round")</f>
        <v>Year Round</v>
      </c>
      <c r="AX161" s="292" t="str">
        <f>IFERROR(__xludf.DUMMYFUNCTION("""COMPUTED_VALUE"""),"French")</f>
        <v>French</v>
      </c>
      <c r="AY161" s="292"/>
      <c r="AZ161" s="292" t="str">
        <f>IFERROR(__xludf.DUMMYFUNCTION("""COMPUTED_VALUE"""),"2 CT")</f>
        <v>2 CT</v>
      </c>
      <c r="BA161" s="292" t="b">
        <f>IFERROR(__xludf.DUMMYFUNCTION("""COMPUTED_VALUE"""),FALSE)</f>
        <v>0</v>
      </c>
      <c r="BB161" s="342">
        <f>IFERROR(__xludf.DUMMYFUNCTION("""COMPUTED_VALUE"""),3.11)</f>
        <v>3.11</v>
      </c>
      <c r="BC161" s="342">
        <f>IFERROR(__xludf.DUMMYFUNCTION("""COMPUTED_VALUE"""),1.35)</f>
        <v>1.35</v>
      </c>
      <c r="BD161" s="342">
        <f>IFERROR(__xludf.DUMMYFUNCTION("""COMPUTED_VALUE"""),0.41)</f>
        <v>0.41</v>
      </c>
      <c r="BE161" s="342">
        <f>IFERROR(__xludf.DUMMYFUNCTION("""COMPUTED_VALUE"""),0.89)</f>
        <v>0.89</v>
      </c>
      <c r="BF161" s="296">
        <f>IFERROR(__xludf.DUMMYFUNCTION("""COMPUTED_VALUE"""),3.4666666666666663)</f>
        <v>3.466666667</v>
      </c>
      <c r="BG161" s="296">
        <f>IFERROR(__xludf.DUMMYFUNCTION("""COMPUTED_VALUE"""),3.4633333333333334)</f>
        <v>3.463333333</v>
      </c>
      <c r="BH161" s="296">
        <f>IFERROR(__xludf.DUMMYFUNCTION("""COMPUTED_VALUE"""),3.366666666666667)</f>
        <v>3.366666667</v>
      </c>
      <c r="BI161" s="295">
        <f>IFERROR(__xludf.DUMMYFUNCTION("""COMPUTED_VALUE"""),167.0)</f>
        <v>167</v>
      </c>
      <c r="BJ161" s="295" t="str">
        <f>IFERROR(__xludf.DUMMYFUNCTION("""COMPUTED_VALUE"""),"FALSE")</f>
        <v>FALSE</v>
      </c>
      <c r="BK161" s="346">
        <f>IFERROR(__xludf.DUMMYFUNCTION("""COMPUTED_VALUE"""),2102.0)</f>
        <v>2102</v>
      </c>
      <c r="BL161" s="292"/>
      <c r="BM161" s="292"/>
      <c r="BN161" s="292"/>
      <c r="BO161" s="292"/>
      <c r="BP161" s="292"/>
      <c r="BQ161" s="292" t="str">
        <f>IFERROR(__xludf.DUMMYFUNCTION("""COMPUTED_VALUE"""),"Proven")</f>
        <v>Proven</v>
      </c>
      <c r="BR161" s="292" t="b">
        <f>IFERROR(__xludf.DUMMYFUNCTION("""COMPUTED_VALUE"""),FALSE)</f>
        <v>0</v>
      </c>
      <c r="BS161" s="292" t="b">
        <f>IFERROR(__xludf.DUMMYFUNCTION("""COMPUTED_VALUE"""),FALSE)</f>
        <v>0</v>
      </c>
      <c r="BT161" s="292"/>
      <c r="BU161" s="292"/>
      <c r="BV161" s="292"/>
      <c r="BW161" s="292"/>
    </row>
    <row r="162">
      <c r="A162" s="292" t="str">
        <f>IFERROR(__xludf.DUMMYFUNCTION("""COMPUTED_VALUE"""),"FE1345A")</f>
        <v>FE1345A</v>
      </c>
      <c r="B162" s="292" t="str">
        <f>IFERROR(__xludf.DUMMYFUNCTION("""COMPUTED_VALUE"""),"CON-40-148337-4")</f>
        <v>CON-40-148337-4</v>
      </c>
      <c r="C162" s="292" t="str">
        <f>IFERROR(__xludf.DUMMYFUNCTION("""COMPUTED_VALUE"""),"CON-00-148371-2")</f>
        <v>CON-00-148371-2</v>
      </c>
      <c r="D162" s="292" t="str">
        <f>IFERROR(__xludf.DUMMYFUNCTION("""COMPUTED_VALUE"""),"CON-00-148373-2")</f>
        <v>CON-00-148373-2</v>
      </c>
      <c r="E162" s="292" t="str">
        <f>IFERROR(__xludf.DUMMYFUNCTION("""COMPUTED_VALUE"""),"Pulled beef &amp; pasta in cheese sauce")</f>
        <v>Pulled beef &amp; pasta in cheese sauce</v>
      </c>
      <c r="F162" s="292" t="str">
        <f>IFERROR(__xludf.DUMMYFUNCTION("""COMPUTED_VALUE"""),"with pumpkin and green beans")</f>
        <v>with pumpkin and green beans</v>
      </c>
      <c r="G162" s="292" t="str">
        <f>IFERROR(__xludf.DUMMYFUNCTION("""COMPUTED_VALUE"""),"Pulled beef &amp; pasta in kaassaus")</f>
        <v>Pulled beef &amp; pasta in kaassaus</v>
      </c>
      <c r="H162" s="292" t="str">
        <f>IFERROR(__xludf.DUMMYFUNCTION("""COMPUTED_VALUE"""),"met pompoen en sperziebonen")</f>
        <v>met pompoen en sperziebonen</v>
      </c>
      <c r="I162" s="292" t="str">
        <f>IFERROR(__xludf.DUMMYFUNCTION("""COMPUTED_VALUE"""),"Pulled beef &amp; pasta i ostesauce")</f>
        <v>Pulled beef &amp; pasta i ostesauce</v>
      </c>
      <c r="J162" s="292" t="str">
        <f>IFERROR(__xludf.DUMMYFUNCTION("""COMPUTED_VALUE"""),"Pulled Beef und Pasta in Käsesauce")</f>
        <v>Pulled Beef und Pasta in Käsesauce</v>
      </c>
      <c r="K162" s="292">
        <f>IFERROR(__xludf.DUMMYFUNCTION("""COMPUTED_VALUE"""),565158.0)</f>
        <v>565158</v>
      </c>
      <c r="L162" s="292"/>
      <c r="M162" s="292" t="str">
        <f>IFERROR(__xludf.DUMMYFUNCTION("""COMPUTED_VALUE"""),"FA-NL Pulled beef &amp; pasta in kaassaus (FE1345)")</f>
        <v>FA-NL Pulled beef &amp; pasta in kaassaus (FE1345)</v>
      </c>
      <c r="N162" s="292" t="str">
        <f>IFERROR(__xludf.DUMMYFUNCTION("""COMPUTED_VALUE"""),"FA-NO Pulled beef &amp; pasta i ostesauce (FE1345)")</f>
        <v>FA-NO Pulled beef &amp; pasta i ostesauce (FE1345)</v>
      </c>
      <c r="O162" s="292" t="str">
        <f>IFERROR(__xludf.DUMMYFUNCTION("""COMPUTED_VALUE"""),"FA-DE Pulled Beef und Pasta in Käsesauce (FE1345)")</f>
        <v>FA-DE Pulled Beef und Pasta in Käsesauce (FE1345)</v>
      </c>
      <c r="P162" s="292" t="str">
        <f>IFERROR(__xludf.DUMMYFUNCTION("""COMPUTED_VALUE"""),"Active")</f>
        <v>Active</v>
      </c>
      <c r="Q162" s="292"/>
      <c r="R162" s="342">
        <f>IFERROR(__xludf.DUMMYFUNCTION("""COMPUTED_VALUE"""),4.79)</f>
        <v>4.79</v>
      </c>
      <c r="S162" s="292"/>
      <c r="T162" s="292"/>
      <c r="U162" s="292"/>
      <c r="V162" s="292"/>
      <c r="W162" s="292" t="b">
        <f>IFERROR(__xludf.DUMMYFUNCTION("""COMPUTED_VALUE"""),TRUE)</f>
        <v>1</v>
      </c>
      <c r="X162" s="345">
        <f>IFERROR(__xludf.DUMMYFUNCTION("""COMPUTED_VALUE"""),404.0)</f>
        <v>404</v>
      </c>
      <c r="Y162" s="344">
        <f>IFERROR(__xludf.DUMMYFUNCTION("""COMPUTED_VALUE"""),578.0)</f>
        <v>578</v>
      </c>
      <c r="Z162" s="343">
        <f>IFERROR(__xludf.DUMMYFUNCTION("""COMPUTED_VALUE"""),28.9)</f>
        <v>28.9</v>
      </c>
      <c r="AA162" s="344">
        <f>IFERROR(__xludf.DUMMYFUNCTION("""COMPUTED_VALUE"""),14.8)</f>
        <v>14.8</v>
      </c>
      <c r="AB162" s="344">
        <f>IFERROR(__xludf.DUMMYFUNCTION("""COMPUTED_VALUE"""),30.2)</f>
        <v>30.2</v>
      </c>
      <c r="AC162" s="344">
        <f>IFERROR(__xludf.DUMMYFUNCTION("""COMPUTED_VALUE"""),6.0)</f>
        <v>6</v>
      </c>
      <c r="AD162" s="344">
        <f>IFERROR(__xludf.DUMMYFUNCTION("""COMPUTED_VALUE"""),8.4)</f>
        <v>8.4</v>
      </c>
      <c r="AE162" s="343">
        <f>IFERROR(__xludf.DUMMYFUNCTION("""COMPUTED_VALUE"""),45.8)</f>
        <v>45.8</v>
      </c>
      <c r="AF162" s="343">
        <f>IFERROR(__xludf.DUMMYFUNCTION("""COMPUTED_VALUE"""),1.97)</f>
        <v>1.97</v>
      </c>
      <c r="AG162" s="292" t="b">
        <f>IFERROR(__xludf.DUMMYFUNCTION("""COMPUTED_VALUE"""),FALSE)</f>
        <v>0</v>
      </c>
      <c r="AH162" s="292" t="b">
        <f>IFERROR(__xludf.DUMMYFUNCTION("""COMPUTED_VALUE"""),FALSE)</f>
        <v>0</v>
      </c>
      <c r="AI162" s="292" t="b">
        <f>IFERROR(__xludf.DUMMYFUNCTION("""COMPUTED_VALUE"""),FALSE)</f>
        <v>0</v>
      </c>
      <c r="AJ162" s="292" t="b">
        <f>IFERROR(__xludf.DUMMYFUNCTION("""COMPUTED_VALUE"""),FALSE)</f>
        <v>0</v>
      </c>
      <c r="AK162" s="292" t="b">
        <f>IFERROR(__xludf.DUMMYFUNCTION("""COMPUTED_VALUE"""),FALSE)</f>
        <v>0</v>
      </c>
      <c r="AL162" s="292" t="b">
        <f>IFERROR(__xludf.DUMMYFUNCTION("""COMPUTED_VALUE"""),FALSE)</f>
        <v>0</v>
      </c>
      <c r="AM162" s="292" t="b">
        <f>IFERROR(__xludf.DUMMYFUNCTION("""COMPUTED_VALUE"""),TRUE)</f>
        <v>1</v>
      </c>
      <c r="AN162" s="292" t="b">
        <f>IFERROR(__xludf.DUMMYFUNCTION("""COMPUTED_VALUE"""),FALSE)</f>
        <v>0</v>
      </c>
      <c r="AO162" s="292" t="str">
        <f>IFERROR(__xludf.DUMMYFUNCTION("""COMPUTED_VALUE"""),"FALSE")</f>
        <v>FALSE</v>
      </c>
      <c r="AP162" s="292" t="str">
        <f>IFERROR(__xludf.DUMMYFUNCTION("""COMPUTED_VALUE"""),"Shredded beef")</f>
        <v>Shredded beef</v>
      </c>
      <c r="AQ162" s="292" t="str">
        <f>IFERROR(__xludf.DUMMYFUNCTION("""COMPUTED_VALUE"""),"Beef")</f>
        <v>Beef</v>
      </c>
      <c r="AR162" s="292" t="str">
        <f>IFERROR(__xludf.DUMMYFUNCTION("""COMPUTED_VALUE"""),"Pulled")</f>
        <v>Pulled</v>
      </c>
      <c r="AS162" s="292" t="str">
        <f>IFERROR(__xludf.DUMMYFUNCTION("""COMPUTED_VALUE"""),"Pasta")</f>
        <v>Pasta</v>
      </c>
      <c r="AT162" s="292" t="str">
        <f>IFERROR(__xludf.DUMMYFUNCTION("""COMPUTED_VALUE"""),"Creamy Sauce Base")</f>
        <v>Creamy Sauce Base</v>
      </c>
      <c r="AU162" s="292" t="str">
        <f>IFERROR(__xludf.DUMMYFUNCTION("""COMPUTED_VALUE"""),"Green Beans")</f>
        <v>Green Beans</v>
      </c>
      <c r="AV162" s="292" t="str">
        <f>IFERROR(__xludf.DUMMYFUNCTION("""COMPUTED_VALUE"""),"Pumpkin ")</f>
        <v>Pumpkin </v>
      </c>
      <c r="AW162" s="292" t="str">
        <f>IFERROR(__xludf.DUMMYFUNCTION("""COMPUTED_VALUE"""),"Year Round")</f>
        <v>Year Round</v>
      </c>
      <c r="AX162" s="292" t="str">
        <f>IFERROR(__xludf.DUMMYFUNCTION("""COMPUTED_VALUE"""),"American")</f>
        <v>American</v>
      </c>
      <c r="AY162" s="292"/>
      <c r="AZ162" s="292" t="str">
        <f>IFERROR(__xludf.DUMMYFUNCTION("""COMPUTED_VALUE"""),"2 CT")</f>
        <v>2 CT</v>
      </c>
      <c r="BA162" s="292" t="b">
        <f>IFERROR(__xludf.DUMMYFUNCTION("""COMPUTED_VALUE"""),FALSE)</f>
        <v>0</v>
      </c>
      <c r="BB162" s="342">
        <f>IFERROR(__xludf.DUMMYFUNCTION("""COMPUTED_VALUE"""),2.72)</f>
        <v>2.72</v>
      </c>
      <c r="BC162" s="342">
        <f>IFERROR(__xludf.DUMMYFUNCTION("""COMPUTED_VALUE"""),1.24)</f>
        <v>1.24</v>
      </c>
      <c r="BD162" s="342">
        <f>IFERROR(__xludf.DUMMYFUNCTION("""COMPUTED_VALUE"""),0.41)</f>
        <v>0.41</v>
      </c>
      <c r="BE162" s="342">
        <f>IFERROR(__xludf.DUMMYFUNCTION("""COMPUTED_VALUE"""),0.89)</f>
        <v>0.89</v>
      </c>
      <c r="BF162" s="296">
        <f>IFERROR(__xludf.DUMMYFUNCTION("""COMPUTED_VALUE"""),3.4933333333333336)</f>
        <v>3.493333333</v>
      </c>
      <c r="BG162" s="296">
        <f>IFERROR(__xludf.DUMMYFUNCTION("""COMPUTED_VALUE"""),3.4899999999999998)</f>
        <v>3.49</v>
      </c>
      <c r="BH162" s="296">
        <f>IFERROR(__xludf.DUMMYFUNCTION("""COMPUTED_VALUE"""),3.4066666666666663)</f>
        <v>3.406666667</v>
      </c>
      <c r="BI162" s="295">
        <f>IFERROR(__xludf.DUMMYFUNCTION("""COMPUTED_VALUE"""),166.0)</f>
        <v>166</v>
      </c>
      <c r="BJ162" s="292"/>
      <c r="BK162" s="346">
        <f>IFERROR(__xludf.DUMMYFUNCTION("""COMPUTED_VALUE"""),2415.0)</f>
        <v>2415</v>
      </c>
      <c r="BL162" s="292"/>
      <c r="BM162" s="292"/>
      <c r="BN162" s="292"/>
      <c r="BO162" s="292"/>
      <c r="BP162" s="292"/>
      <c r="BQ162" s="292" t="str">
        <f>IFERROR(__xludf.DUMMYFUNCTION("""COMPUTED_VALUE"""),"Proven")</f>
        <v>Proven</v>
      </c>
      <c r="BR162" s="292" t="b">
        <f>IFERROR(__xludf.DUMMYFUNCTION("""COMPUTED_VALUE"""),FALSE)</f>
        <v>0</v>
      </c>
      <c r="BS162" s="292" t="b">
        <f>IFERROR(__xludf.DUMMYFUNCTION("""COMPUTED_VALUE"""),FALSE)</f>
        <v>0</v>
      </c>
      <c r="BT162" s="292"/>
      <c r="BU162" s="292"/>
      <c r="BV162" s="292"/>
      <c r="BW162" s="292"/>
    </row>
    <row r="163">
      <c r="A163" s="292" t="str">
        <f>IFERROR(__xludf.DUMMYFUNCTION("""COMPUTED_VALUE"""),"FE1077A")</f>
        <v>FE1077A</v>
      </c>
      <c r="B163" s="292" t="str">
        <f>IFERROR(__xludf.DUMMYFUNCTION("""COMPUTED_VALUE"""),"CON-40-148523-4")</f>
        <v>CON-40-148523-4</v>
      </c>
      <c r="C163" s="292" t="str">
        <f>IFERROR(__xludf.DUMMYFUNCTION("""COMPUTED_VALUE"""),"CON-00-148524-2")</f>
        <v>CON-00-148524-2</v>
      </c>
      <c r="D163" s="292" t="str">
        <f>IFERROR(__xludf.DUMMYFUNCTION("""COMPUTED_VALUE"""),"CON-00-148525-2")</f>
        <v>CON-00-148525-2</v>
      </c>
      <c r="E163" s="292" t="str">
        <f>IFERROR(__xludf.DUMMYFUNCTION("""COMPUTED_VALUE"""),"Pulled chicken cacciatore")</f>
        <v>Pulled chicken cacciatore</v>
      </c>
      <c r="F163" s="292" t="str">
        <f>IFERROR(__xludf.DUMMYFUNCTION("""COMPUTED_VALUE"""),"with mushrooms, roasted green beans and polenta")</f>
        <v>with mushrooms, roasted green beans and polenta</v>
      </c>
      <c r="G163" s="292" t="str">
        <f>IFERROR(__xludf.DUMMYFUNCTION("""COMPUTED_VALUE"""),"Pulled chicken cacciatore")</f>
        <v>Pulled chicken cacciatore</v>
      </c>
      <c r="H163" s="292" t="str">
        <f>IFERROR(__xludf.DUMMYFUNCTION("""COMPUTED_VALUE"""),"met champigons, geroosterde sperziebonen en polenta")</f>
        <v>met champigons, geroosterde sperziebonen en polenta</v>
      </c>
      <c r="I163" s="292" t="str">
        <f>IFERROR(__xludf.DUMMYFUNCTION("""COMPUTED_VALUE"""),"Pulled Chicken Cacciatore")</f>
        <v>Pulled Chicken Cacciatore</v>
      </c>
      <c r="J163" s="292" t="str">
        <f>IFERROR(__xludf.DUMMYFUNCTION("""COMPUTED_VALUE"""),"Pulled Chicken Cacciatore ")</f>
        <v>Pulled Chicken Cacciatore </v>
      </c>
      <c r="K163" s="292">
        <f>IFERROR(__xludf.DUMMYFUNCTION("""COMPUTED_VALUE"""),565162.0)</f>
        <v>565162</v>
      </c>
      <c r="L163" s="292"/>
      <c r="M163" s="292" t="str">
        <f>IFERROR(__xludf.DUMMYFUNCTION("""COMPUTED_VALUE"""),"FA-NL Pulled chicken cacciatore (FE1077)")</f>
        <v>FA-NL Pulled chicken cacciatore (FE1077)</v>
      </c>
      <c r="N163" s="292" t="str">
        <f>IFERROR(__xludf.DUMMYFUNCTION("""COMPUTED_VALUE"""),"FA-NO Pulled chicken cacciatore (FE1077)")</f>
        <v>FA-NO Pulled chicken cacciatore (FE1077)</v>
      </c>
      <c r="O163" s="292" t="str">
        <f>IFERROR(__xludf.DUMMYFUNCTION("""COMPUTED_VALUE"""),"FA-DE Pulled chicken cacciatore (FE1077)")</f>
        <v>FA-DE Pulled chicken cacciatore (FE1077)</v>
      </c>
      <c r="P163" s="292" t="str">
        <f>IFERROR(__xludf.DUMMYFUNCTION("""COMPUTED_VALUE"""),"Active")</f>
        <v>Active</v>
      </c>
      <c r="Q163" s="292"/>
      <c r="R163" s="342">
        <f>IFERROR(__xludf.DUMMYFUNCTION("""COMPUTED_VALUE"""),4.2)</f>
        <v>4.2</v>
      </c>
      <c r="S163" s="292"/>
      <c r="T163" s="292"/>
      <c r="U163" s="292"/>
      <c r="V163" s="292"/>
      <c r="W163" s="292" t="b">
        <f>IFERROR(__xludf.DUMMYFUNCTION("""COMPUTED_VALUE"""),TRUE)</f>
        <v>1</v>
      </c>
      <c r="X163" s="345">
        <f>IFERROR(__xludf.DUMMYFUNCTION("""COMPUTED_VALUE"""),424.0)</f>
        <v>424</v>
      </c>
      <c r="Y163" s="344">
        <f>IFERROR(__xludf.DUMMYFUNCTION("""COMPUTED_VALUE"""),543.0)</f>
        <v>543</v>
      </c>
      <c r="Z163" s="343">
        <f>IFERROR(__xludf.DUMMYFUNCTION("""COMPUTED_VALUE"""),30.3)</f>
        <v>30.3</v>
      </c>
      <c r="AA163" s="344">
        <f>IFERROR(__xludf.DUMMYFUNCTION("""COMPUTED_VALUE"""),11.6)</f>
        <v>11.6</v>
      </c>
      <c r="AB163" s="344">
        <f>IFERROR(__xludf.DUMMYFUNCTION("""COMPUTED_VALUE"""),29.0)</f>
        <v>29</v>
      </c>
      <c r="AC163" s="344">
        <f>IFERROR(__xludf.DUMMYFUNCTION("""COMPUTED_VALUE"""),17.5)</f>
        <v>17.5</v>
      </c>
      <c r="AD163" s="344">
        <f>IFERROR(__xludf.DUMMYFUNCTION("""COMPUTED_VALUE"""),8.0)</f>
        <v>8</v>
      </c>
      <c r="AE163" s="343">
        <f>IFERROR(__xludf.DUMMYFUNCTION("""COMPUTED_VALUE"""),34.3)</f>
        <v>34.3</v>
      </c>
      <c r="AF163" s="343">
        <f>IFERROR(__xludf.DUMMYFUNCTION("""COMPUTED_VALUE"""),1.99)</f>
        <v>1.99</v>
      </c>
      <c r="AG163" s="292" t="b">
        <f>IFERROR(__xludf.DUMMYFUNCTION("""COMPUTED_VALUE"""),FALSE)</f>
        <v>0</v>
      </c>
      <c r="AH163" s="292" t="b">
        <f>IFERROR(__xludf.DUMMYFUNCTION("""COMPUTED_VALUE"""),FALSE)</f>
        <v>0</v>
      </c>
      <c r="AI163" s="292" t="b">
        <f>IFERROR(__xludf.DUMMYFUNCTION("""COMPUTED_VALUE"""),TRUE)</f>
        <v>1</v>
      </c>
      <c r="AJ163" s="292" t="b">
        <f>IFERROR(__xludf.DUMMYFUNCTION("""COMPUTED_VALUE"""),FALSE)</f>
        <v>0</v>
      </c>
      <c r="AK163" s="292" t="b">
        <f>IFERROR(__xludf.DUMMYFUNCTION("""COMPUTED_VALUE"""),FALSE)</f>
        <v>0</v>
      </c>
      <c r="AL163" s="292" t="b">
        <f>IFERROR(__xludf.DUMMYFUNCTION("""COMPUTED_VALUE"""),FALSE)</f>
        <v>0</v>
      </c>
      <c r="AM163" s="292" t="b">
        <f>IFERROR(__xludf.DUMMYFUNCTION("""COMPUTED_VALUE"""),TRUE)</f>
        <v>1</v>
      </c>
      <c r="AN163" s="292" t="b">
        <f>IFERROR(__xludf.DUMMYFUNCTION("""COMPUTED_VALUE"""),FALSE)</f>
        <v>0</v>
      </c>
      <c r="AO163" s="292" t="str">
        <f>IFERROR(__xludf.DUMMYFUNCTION("""COMPUTED_VALUE"""),"FALSE")</f>
        <v>FALSE</v>
      </c>
      <c r="AP163" s="292" t="str">
        <f>IFERROR(__xludf.DUMMYFUNCTION("""COMPUTED_VALUE"""),"Shredded chicken")</f>
        <v>Shredded chicken</v>
      </c>
      <c r="AQ163" s="292" t="str">
        <f>IFERROR(__xludf.DUMMYFUNCTION("""COMPUTED_VALUE"""),"Chicken")</f>
        <v>Chicken</v>
      </c>
      <c r="AR163" s="292" t="str">
        <f>IFERROR(__xludf.DUMMYFUNCTION("""COMPUTED_VALUE"""),"Thigh")</f>
        <v>Thigh</v>
      </c>
      <c r="AS163" s="292" t="str">
        <f>IFERROR(__xludf.DUMMYFUNCTION("""COMPUTED_VALUE"""),"Polenta/Grits")</f>
        <v>Polenta/Grits</v>
      </c>
      <c r="AT163" s="292" t="str">
        <f>IFERROR(__xludf.DUMMYFUNCTION("""COMPUTED_VALUE"""),"Green Beans")</f>
        <v>Green Beans</v>
      </c>
      <c r="AU163" s="292" t="str">
        <f>IFERROR(__xludf.DUMMYFUNCTION("""COMPUTED_VALUE"""),"Tomato Based Sauce")</f>
        <v>Tomato Based Sauce</v>
      </c>
      <c r="AV163" s="292"/>
      <c r="AW163" s="292" t="str">
        <f>IFERROR(__xludf.DUMMYFUNCTION("""COMPUTED_VALUE"""),"Year Round")</f>
        <v>Year Round</v>
      </c>
      <c r="AX163" s="292" t="str">
        <f>IFERROR(__xludf.DUMMYFUNCTION("""COMPUTED_VALUE"""),"Italian")</f>
        <v>Italian</v>
      </c>
      <c r="AY163" s="292"/>
      <c r="AZ163" s="292" t="str">
        <f>IFERROR(__xludf.DUMMYFUNCTION("""COMPUTED_VALUE"""),"2 CT")</f>
        <v>2 CT</v>
      </c>
      <c r="BA163" s="292" t="b">
        <f>IFERROR(__xludf.DUMMYFUNCTION("""COMPUTED_VALUE"""),FALSE)</f>
        <v>0</v>
      </c>
      <c r="BB163" s="292"/>
      <c r="BC163" s="292"/>
      <c r="BD163" s="292"/>
      <c r="BE163" s="342">
        <f>IFERROR(__xludf.DUMMYFUNCTION("""COMPUTED_VALUE"""),0.89)</f>
        <v>0.89</v>
      </c>
      <c r="BF163" s="296">
        <f>IFERROR(__xludf.DUMMYFUNCTION("""COMPUTED_VALUE"""),3.06422880963409)</f>
        <v>3.06422881</v>
      </c>
      <c r="BG163" s="296">
        <f>IFERROR(__xludf.DUMMYFUNCTION("""COMPUTED_VALUE"""),3.3529411764705883)</f>
        <v>3.352941176</v>
      </c>
      <c r="BH163" s="296">
        <f>IFERROR(__xludf.DUMMYFUNCTION("""COMPUTED_VALUE"""),2.7857142857142856)</f>
        <v>2.785714286</v>
      </c>
      <c r="BI163" s="295">
        <f>IFERROR(__xludf.DUMMYFUNCTION("""COMPUTED_VALUE"""),210.0)</f>
        <v>210</v>
      </c>
      <c r="BJ163" s="292"/>
      <c r="BK163" s="346">
        <f>IFERROR(__xludf.DUMMYFUNCTION("""COMPUTED_VALUE"""),2259.0)</f>
        <v>2259</v>
      </c>
      <c r="BL163" s="292"/>
      <c r="BM163" s="292"/>
      <c r="BN163" s="292"/>
      <c r="BO163" s="292"/>
      <c r="BP163" s="292"/>
      <c r="BQ163" s="292" t="str">
        <f>IFERROR(__xludf.DUMMYFUNCTION("""COMPUTED_VALUE"""),"Hospital")</f>
        <v>Hospital</v>
      </c>
      <c r="BR163" s="292" t="b">
        <f>IFERROR(__xludf.DUMMYFUNCTION("""COMPUTED_VALUE"""),FALSE)</f>
        <v>0</v>
      </c>
      <c r="BS163" s="292" t="b">
        <f>IFERROR(__xludf.DUMMYFUNCTION("""COMPUTED_VALUE"""),FALSE)</f>
        <v>0</v>
      </c>
      <c r="BT163" s="292"/>
      <c r="BU163" s="292"/>
      <c r="BV163" s="292"/>
      <c r="BW163" s="292"/>
    </row>
    <row r="164">
      <c r="A164" s="292" t="str">
        <f>IFERROR(__xludf.DUMMYFUNCTION("""COMPUTED_VALUE"""),"FE4040B")</f>
        <v>FE4040B</v>
      </c>
      <c r="B164" s="292" t="str">
        <f>IFERROR(__xludf.DUMMYFUNCTION("""COMPUTED_VALUE"""),"CON-40-143688-4")</f>
        <v>CON-40-143688-4</v>
      </c>
      <c r="C164" s="292" t="str">
        <f>IFERROR(__xludf.DUMMYFUNCTION("""COMPUTED_VALUE"""),"CON-00-147896-2")</f>
        <v>CON-00-147896-2</v>
      </c>
      <c r="D164" s="292" t="str">
        <f>IFERROR(__xludf.DUMMYFUNCTION("""COMPUTED_VALUE"""),"CON-00-136714-3")</f>
        <v>CON-00-136714-3</v>
      </c>
      <c r="E164" s="292" t="str">
        <f>IFERROR(__xludf.DUMMYFUNCTION("""COMPUTED_VALUE"""),"Chicken in creamy basil sauce")</f>
        <v>Chicken in creamy basil sauce</v>
      </c>
      <c r="F164" s="292" t="str">
        <f>IFERROR(__xludf.DUMMYFUNCTION("""COMPUTED_VALUE"""),"with mozzarella en chili-cauliflower")</f>
        <v>with mozzarella en chili-cauliflower</v>
      </c>
      <c r="G164" s="292" t="str">
        <f>IFERROR(__xludf.DUMMYFUNCTION("""COMPUTED_VALUE"""),"Kipfilet in romige basilicumsaus ")</f>
        <v>Kipfilet in romige basilicumsaus </v>
      </c>
      <c r="H164" s="292" t="str">
        <f>IFERROR(__xludf.DUMMYFUNCTION("""COMPUTED_VALUE"""),"met mozzarella en chili-bloemkool")</f>
        <v>met mozzarella en chili-bloemkool</v>
      </c>
      <c r="I164" s="292" t="str">
        <f>IFERROR(__xludf.DUMMYFUNCTION("""COMPUTED_VALUE"""),"Kylling i cremet basilikumssauce")</f>
        <v>Kylling i cremet basilikumssauce</v>
      </c>
      <c r="J164" s="292" t="str">
        <f>IFERROR(__xludf.DUMMYFUNCTION("""COMPUTED_VALUE"""),"Hähnchen in cremiger Basilikumsauce")</f>
        <v>Hähnchen in cremiger Basilikumsauce</v>
      </c>
      <c r="K164" s="292">
        <f>IFERROR(__xludf.DUMMYFUNCTION("""COMPUTED_VALUE"""),565172.0)</f>
        <v>565172</v>
      </c>
      <c r="L164" s="292"/>
      <c r="M164" s="292" t="str">
        <f>IFERROR(__xludf.DUMMYFUNCTION("""COMPUTED_VALUE"""),"FA-NL Kipfilet in romige basilicumsaus (FE4040)")</f>
        <v>FA-NL Kipfilet in romige basilicumsaus (FE4040)</v>
      </c>
      <c r="N164" s="292" t="str">
        <f>IFERROR(__xludf.DUMMYFUNCTION("""COMPUTED_VALUE"""),"FA-NO Kyllingebryst i cremet basilikumsauce (FE4040)")</f>
        <v>FA-NO Kyllingebryst i cremet basilikumsauce (FE4040)</v>
      </c>
      <c r="O164" s="292" t="str">
        <f>IFERROR(__xludf.DUMMYFUNCTION("""COMPUTED_VALUE"""),"FA-DE Hähnchenbrust in cremiger Basilikumsauce (FE4040)")</f>
        <v>FA-DE Hähnchenbrust in cremiger Basilikumsauce (FE4040)</v>
      </c>
      <c r="P164" s="292" t="str">
        <f>IFERROR(__xludf.DUMMYFUNCTION("""COMPUTED_VALUE"""),"Active")</f>
        <v>Active</v>
      </c>
      <c r="Q164" s="292"/>
      <c r="R164" s="342">
        <f>IFERROR(__xludf.DUMMYFUNCTION("""COMPUTED_VALUE"""),5.19)</f>
        <v>5.19</v>
      </c>
      <c r="S164" s="292"/>
      <c r="T164" s="292"/>
      <c r="U164" s="292"/>
      <c r="V164" s="292"/>
      <c r="W164" s="292" t="b">
        <f>IFERROR(__xludf.DUMMYFUNCTION("""COMPUTED_VALUE"""),TRUE)</f>
        <v>1</v>
      </c>
      <c r="X164" s="345">
        <f>IFERROR(__xludf.DUMMYFUNCTION("""COMPUTED_VALUE"""),394.0)</f>
        <v>394</v>
      </c>
      <c r="Y164" s="344">
        <f>IFERROR(__xludf.DUMMYFUNCTION("""COMPUTED_VALUE"""),688.0)</f>
        <v>688</v>
      </c>
      <c r="Z164" s="343">
        <f>IFERROR(__xludf.DUMMYFUNCTION("""COMPUTED_VALUE"""),53.3)</f>
        <v>53.3</v>
      </c>
      <c r="AA164" s="344">
        <f>IFERROR(__xludf.DUMMYFUNCTION("""COMPUTED_VALUE"""),26.8)</f>
        <v>26.8</v>
      </c>
      <c r="AB164" s="344">
        <f>IFERROR(__xludf.DUMMYFUNCTION("""COMPUTED_VALUE"""),11.5)</f>
        <v>11.5</v>
      </c>
      <c r="AC164" s="344">
        <f>IFERROR(__xludf.DUMMYFUNCTION("""COMPUTED_VALUE"""),8.7)</f>
        <v>8.7</v>
      </c>
      <c r="AD164" s="344">
        <f>IFERROR(__xludf.DUMMYFUNCTION("""COMPUTED_VALUE"""),4.0)</f>
        <v>4</v>
      </c>
      <c r="AE164" s="343">
        <f>IFERROR(__xludf.DUMMYFUNCTION("""COMPUTED_VALUE"""),38.7)</f>
        <v>38.7</v>
      </c>
      <c r="AF164" s="343">
        <f>IFERROR(__xludf.DUMMYFUNCTION("""COMPUTED_VALUE"""),2.01)</f>
        <v>2.01</v>
      </c>
      <c r="AG164" s="292" t="b">
        <f>IFERROR(__xludf.DUMMYFUNCTION("""COMPUTED_VALUE"""),FALSE)</f>
        <v>0</v>
      </c>
      <c r="AH164" s="292" t="b">
        <f>IFERROR(__xludf.DUMMYFUNCTION("""COMPUTED_VALUE"""),TRUE)</f>
        <v>1</v>
      </c>
      <c r="AI164" s="292" t="b">
        <f>IFERROR(__xludf.DUMMYFUNCTION("""COMPUTED_VALUE"""),FALSE)</f>
        <v>0</v>
      </c>
      <c r="AJ164" s="292" t="b">
        <f>IFERROR(__xludf.DUMMYFUNCTION("""COMPUTED_VALUE"""),FALSE)</f>
        <v>0</v>
      </c>
      <c r="AK164" s="292" t="b">
        <f>IFERROR(__xludf.DUMMYFUNCTION("""COMPUTED_VALUE"""),FALSE)</f>
        <v>0</v>
      </c>
      <c r="AL164" s="292" t="b">
        <f>IFERROR(__xludf.DUMMYFUNCTION("""COMPUTED_VALUE"""),FALSE)</f>
        <v>0</v>
      </c>
      <c r="AM164" s="292" t="b">
        <f>IFERROR(__xludf.DUMMYFUNCTION("""COMPUTED_VALUE"""),TRUE)</f>
        <v>1</v>
      </c>
      <c r="AN164" s="292" t="b">
        <f>IFERROR(__xludf.DUMMYFUNCTION("""COMPUTED_VALUE"""),FALSE)</f>
        <v>0</v>
      </c>
      <c r="AO164" s="292" t="str">
        <f>IFERROR(__xludf.DUMMYFUNCTION("""COMPUTED_VALUE"""),"FALSE")</f>
        <v>FALSE</v>
      </c>
      <c r="AP164" s="292" t="str">
        <f>IFERROR(__xludf.DUMMYFUNCTION("""COMPUTED_VALUE"""),"Chicken breast")</f>
        <v>Chicken breast</v>
      </c>
      <c r="AQ164" s="292" t="str">
        <f>IFERROR(__xludf.DUMMYFUNCTION("""COMPUTED_VALUE"""),"Chicken")</f>
        <v>Chicken</v>
      </c>
      <c r="AR164" s="292" t="str">
        <f>IFERROR(__xludf.DUMMYFUNCTION("""COMPUTED_VALUE"""),"Breast")</f>
        <v>Breast</v>
      </c>
      <c r="AS164" s="292" t="str">
        <f>IFERROR(__xludf.DUMMYFUNCTION("""COMPUTED_VALUE"""),"Creamy Sauce Base")</f>
        <v>Creamy Sauce Base</v>
      </c>
      <c r="AT164" s="292" t="str">
        <f>IFERROR(__xludf.DUMMYFUNCTION("""COMPUTED_VALUE"""),"Cauliflower Florets")</f>
        <v>Cauliflower Florets</v>
      </c>
      <c r="AU164" s="292" t="str">
        <f>IFERROR(__xludf.DUMMYFUNCTION("""COMPUTED_VALUE"""),"Cheese")</f>
        <v>Cheese</v>
      </c>
      <c r="AV164" s="292"/>
      <c r="AW164" s="292" t="str">
        <f>IFERROR(__xludf.DUMMYFUNCTION("""COMPUTED_VALUE"""),"Year Round")</f>
        <v>Year Round</v>
      </c>
      <c r="AX164" s="292" t="str">
        <f>IFERROR(__xludf.DUMMYFUNCTION("""COMPUTED_VALUE"""),"American")</f>
        <v>American</v>
      </c>
      <c r="AY164" s="292"/>
      <c r="AZ164" s="292" t="str">
        <f>IFERROR(__xludf.DUMMYFUNCTION("""COMPUTED_VALUE"""),"2 CT")</f>
        <v>2 CT</v>
      </c>
      <c r="BA164" s="292" t="b">
        <f>IFERROR(__xludf.DUMMYFUNCTION("""COMPUTED_VALUE"""),FALSE)</f>
        <v>0</v>
      </c>
      <c r="BB164" s="292"/>
      <c r="BC164" s="292"/>
      <c r="BD164" s="292"/>
      <c r="BE164" s="342">
        <f>IFERROR(__xludf.DUMMYFUNCTION("""COMPUTED_VALUE"""),0.89)</f>
        <v>0.89</v>
      </c>
      <c r="BF164" s="296">
        <f>IFERROR(__xludf.DUMMYFUNCTION("""COMPUTED_VALUE"""),3.5066666666666673)</f>
        <v>3.506666667</v>
      </c>
      <c r="BG164" s="296">
        <f>IFERROR(__xludf.DUMMYFUNCTION("""COMPUTED_VALUE"""),3.4933333333333336)</f>
        <v>3.493333333</v>
      </c>
      <c r="BH164" s="296">
        <f>IFERROR(__xludf.DUMMYFUNCTION("""COMPUTED_VALUE"""),3.436666666666667)</f>
        <v>3.436666667</v>
      </c>
      <c r="BI164" s="295">
        <f>IFERROR(__xludf.DUMMYFUNCTION("""COMPUTED_VALUE"""),164.0)</f>
        <v>164</v>
      </c>
      <c r="BJ164" s="292"/>
      <c r="BK164" s="346">
        <f>IFERROR(__xludf.DUMMYFUNCTION("""COMPUTED_VALUE"""),2874.0)</f>
        <v>2874</v>
      </c>
      <c r="BL164" s="292"/>
      <c r="BM164" s="292"/>
      <c r="BN164" s="292"/>
      <c r="BO164" s="292"/>
      <c r="BP164" s="292"/>
      <c r="BQ164" s="292" t="str">
        <f>IFERROR(__xludf.DUMMYFUNCTION("""COMPUTED_VALUE"""),"Proven")</f>
        <v>Proven</v>
      </c>
      <c r="BR164" s="292" t="b">
        <f>IFERROR(__xludf.DUMMYFUNCTION("""COMPUTED_VALUE"""),FALSE)</f>
        <v>0</v>
      </c>
      <c r="BS164" s="292" t="b">
        <f>IFERROR(__xludf.DUMMYFUNCTION("""COMPUTED_VALUE"""),FALSE)</f>
        <v>0</v>
      </c>
      <c r="BT164" s="292"/>
      <c r="BU164" s="292"/>
      <c r="BV164" s="292"/>
      <c r="BW164" s="292"/>
    </row>
    <row r="165">
      <c r="A165" s="292" t="str">
        <f>IFERROR(__xludf.DUMMYFUNCTION("""COMPUTED_VALUE"""),"FE0943C")</f>
        <v>FE0943C</v>
      </c>
      <c r="B165" s="292" t="str">
        <f>IFERROR(__xludf.DUMMYFUNCTION("""COMPUTED_VALUE"""),"CON-40-148783-4")</f>
        <v>CON-40-148783-4</v>
      </c>
      <c r="C165" s="292" t="str">
        <f>IFERROR(__xludf.DUMMYFUNCTION("""COMPUTED_VALUE"""),"CON-00-148784-2")</f>
        <v>CON-00-148784-2</v>
      </c>
      <c r="D165" s="292" t="str">
        <f>IFERROR(__xludf.DUMMYFUNCTION("""COMPUTED_VALUE"""),"CON-00-148785-2")</f>
        <v>CON-00-148785-2</v>
      </c>
      <c r="E165" s="292" t="str">
        <f>IFERROR(__xludf.DUMMYFUNCTION("""COMPUTED_VALUE"""),"Creamy kale pork tenderloin")</f>
        <v>Creamy kale pork tenderloin</v>
      </c>
      <c r="F165" s="292" t="str">
        <f>IFERROR(__xludf.DUMMYFUNCTION("""COMPUTED_VALUE"""),"with courgette, bell pepper and onion in Italian seasoning")</f>
        <v>with courgette, bell pepper and onion in Italian seasoning</v>
      </c>
      <c r="G165" s="292" t="str">
        <f>IFERROR(__xludf.DUMMYFUNCTION("""COMPUTED_VALUE"""),"Romige boerenkool varkenshaas")</f>
        <v>Romige boerenkool varkenshaas</v>
      </c>
      <c r="H165" s="292" t="str">
        <f>IFERROR(__xludf.DUMMYFUNCTION("""COMPUTED_VALUE"""),"met courgette, paprika en ui in Italiaanse kruiden")</f>
        <v>met courgette, paprika en ui in Italiaanse kruiden</v>
      </c>
      <c r="I165" s="292" t="str">
        <f>IFERROR(__xludf.DUMMYFUNCTION("""COMPUTED_VALUE"""),"Cremet grønkål og svinemørbrad")</f>
        <v>Cremet grønkål og svinemørbrad</v>
      </c>
      <c r="J165" s="292" t="str">
        <f>IFERROR(__xludf.DUMMYFUNCTION("""COMPUTED_VALUE"""),"Schweinefilet mit cremigem Grünkohl")</f>
        <v>Schweinefilet mit cremigem Grünkohl</v>
      </c>
      <c r="K165" s="292">
        <f>IFERROR(__xludf.DUMMYFUNCTION("""COMPUTED_VALUE"""),565167.0)</f>
        <v>565167</v>
      </c>
      <c r="L165" s="292"/>
      <c r="M165" s="292" t="str">
        <f>IFERROR(__xludf.DUMMYFUNCTION("""COMPUTED_VALUE"""),"FA-NL Romige boerenkool varkenshaas (FE0943)")</f>
        <v>FA-NL Romige boerenkool varkenshaas (FE0943)</v>
      </c>
      <c r="N165" s="292" t="str">
        <f>IFERROR(__xludf.DUMMYFUNCTION("""COMPUTED_VALUE"""),"FA-NO Cremet grønkål og svinemørbrad (FE0943)")</f>
        <v>FA-NO Cremet grønkål og svinemørbrad (FE0943)</v>
      </c>
      <c r="O165" s="292" t="str">
        <f>IFERROR(__xludf.DUMMYFUNCTION("""COMPUTED_VALUE"""),"FA-DE Schweinefilet mit cremigem Grünkohl (FE0943)")</f>
        <v>FA-DE Schweinefilet mit cremigem Grünkohl (FE0943)</v>
      </c>
      <c r="P165" s="292" t="str">
        <f>IFERROR(__xludf.DUMMYFUNCTION("""COMPUTED_VALUE"""),"Active")</f>
        <v>Active</v>
      </c>
      <c r="Q165" s="292"/>
      <c r="R165" s="342">
        <f>IFERROR(__xludf.DUMMYFUNCTION("""COMPUTED_VALUE"""),3.75)</f>
        <v>3.75</v>
      </c>
      <c r="S165" s="292"/>
      <c r="T165" s="292"/>
      <c r="U165" s="292"/>
      <c r="V165" s="292"/>
      <c r="W165" s="292" t="b">
        <f>IFERROR(__xludf.DUMMYFUNCTION("""COMPUTED_VALUE"""),TRUE)</f>
        <v>1</v>
      </c>
      <c r="X165" s="345">
        <f>IFERROR(__xludf.DUMMYFUNCTION("""COMPUTED_VALUE"""),354.0)</f>
        <v>354</v>
      </c>
      <c r="Y165" s="344">
        <f>IFERROR(__xludf.DUMMYFUNCTION("""COMPUTED_VALUE"""),539.0)</f>
        <v>539</v>
      </c>
      <c r="Z165" s="343">
        <f>IFERROR(__xludf.DUMMYFUNCTION("""COMPUTED_VALUE"""),41.7)</f>
        <v>41.7</v>
      </c>
      <c r="AA165" s="344">
        <f>IFERROR(__xludf.DUMMYFUNCTION("""COMPUTED_VALUE"""),21.2)</f>
        <v>21.2</v>
      </c>
      <c r="AB165" s="344">
        <f>IFERROR(__xludf.DUMMYFUNCTION("""COMPUTED_VALUE"""),9.5)</f>
        <v>9.5</v>
      </c>
      <c r="AC165" s="344">
        <f>IFERROR(__xludf.DUMMYFUNCTION("""COMPUTED_VALUE"""),8.8)</f>
        <v>8.8</v>
      </c>
      <c r="AD165" s="344">
        <f>IFERROR(__xludf.DUMMYFUNCTION("""COMPUTED_VALUE"""),3.6)</f>
        <v>3.6</v>
      </c>
      <c r="AE165" s="343">
        <f>IFERROR(__xludf.DUMMYFUNCTION("""COMPUTED_VALUE"""),29.6)</f>
        <v>29.6</v>
      </c>
      <c r="AF165" s="343">
        <f>IFERROR(__xludf.DUMMYFUNCTION("""COMPUTED_VALUE"""),2.01)</f>
        <v>2.01</v>
      </c>
      <c r="AG165" s="292" t="b">
        <f>IFERROR(__xludf.DUMMYFUNCTION("""COMPUTED_VALUE"""),FALSE)</f>
        <v>0</v>
      </c>
      <c r="AH165" s="292" t="b">
        <f>IFERROR(__xludf.DUMMYFUNCTION("""COMPUTED_VALUE"""),TRUE)</f>
        <v>1</v>
      </c>
      <c r="AI165" s="292" t="b">
        <f>IFERROR(__xludf.DUMMYFUNCTION("""COMPUTED_VALUE"""),FALSE)</f>
        <v>0</v>
      </c>
      <c r="AJ165" s="292" t="b">
        <f>IFERROR(__xludf.DUMMYFUNCTION("""COMPUTED_VALUE"""),FALSE)</f>
        <v>0</v>
      </c>
      <c r="AK165" s="292" t="b">
        <f>IFERROR(__xludf.DUMMYFUNCTION("""COMPUTED_VALUE"""),FALSE)</f>
        <v>0</v>
      </c>
      <c r="AL165" s="292" t="b">
        <f>IFERROR(__xludf.DUMMYFUNCTION("""COMPUTED_VALUE"""),FALSE)</f>
        <v>0</v>
      </c>
      <c r="AM165" s="292" t="b">
        <f>IFERROR(__xludf.DUMMYFUNCTION("""COMPUTED_VALUE"""),FALSE)</f>
        <v>0</v>
      </c>
      <c r="AN165" s="292" t="b">
        <f>IFERROR(__xludf.DUMMYFUNCTION("""COMPUTED_VALUE"""),FALSE)</f>
        <v>0</v>
      </c>
      <c r="AO165" s="292" t="str">
        <f>IFERROR(__xludf.DUMMYFUNCTION("""COMPUTED_VALUE"""),"FALSE")</f>
        <v>FALSE</v>
      </c>
      <c r="AP165" s="292" t="str">
        <f>IFERROR(__xludf.DUMMYFUNCTION("""COMPUTED_VALUE"""),"Pork tenderloin")</f>
        <v>Pork tenderloin</v>
      </c>
      <c r="AQ165" s="292" t="str">
        <f>IFERROR(__xludf.DUMMYFUNCTION("""COMPUTED_VALUE"""),"Pork")</f>
        <v>Pork</v>
      </c>
      <c r="AR165" s="292" t="str">
        <f>IFERROR(__xludf.DUMMYFUNCTION("""COMPUTED_VALUE"""),"Tenderloin")</f>
        <v>Tenderloin</v>
      </c>
      <c r="AS165" s="292" t="str">
        <f>IFERROR(__xludf.DUMMYFUNCTION("""COMPUTED_VALUE"""),"Kale")</f>
        <v>Kale</v>
      </c>
      <c r="AT165" s="292" t="str">
        <f>IFERROR(__xludf.DUMMYFUNCTION("""COMPUTED_VALUE"""),"Pepper Mix")</f>
        <v>Pepper Mix</v>
      </c>
      <c r="AU165" s="292" t="str">
        <f>IFERROR(__xludf.DUMMYFUNCTION("""COMPUTED_VALUE"""),"Zucchini Diced")</f>
        <v>Zucchini Diced</v>
      </c>
      <c r="AV165" s="292" t="str">
        <f>IFERROR(__xludf.DUMMYFUNCTION("""COMPUTED_VALUE"""),"Other sauce")</f>
        <v>Other sauce</v>
      </c>
      <c r="AW165" s="292" t="str">
        <f>IFERROR(__xludf.DUMMYFUNCTION("""COMPUTED_VALUE"""),"Year Round")</f>
        <v>Year Round</v>
      </c>
      <c r="AX165" s="292" t="str">
        <f>IFERROR(__xludf.DUMMYFUNCTION("""COMPUTED_VALUE"""),"Italian")</f>
        <v>Italian</v>
      </c>
      <c r="AY165" s="292"/>
      <c r="AZ165" s="292" t="str">
        <f>IFERROR(__xludf.DUMMYFUNCTION("""COMPUTED_VALUE"""),"2 CT")</f>
        <v>2 CT</v>
      </c>
      <c r="BA165" s="292" t="b">
        <f>IFERROR(__xludf.DUMMYFUNCTION("""COMPUTED_VALUE"""),FALSE)</f>
        <v>0</v>
      </c>
      <c r="BB165" s="292"/>
      <c r="BC165" s="292"/>
      <c r="BD165" s="292"/>
      <c r="BE165" s="342">
        <f>IFERROR(__xludf.DUMMYFUNCTION("""COMPUTED_VALUE"""),0.89)</f>
        <v>0.89</v>
      </c>
      <c r="BF165" s="296">
        <f>IFERROR(__xludf.DUMMYFUNCTION("""COMPUTED_VALUE"""),3.3815108267716534)</f>
        <v>3.381510827</v>
      </c>
      <c r="BG165" s="296">
        <f>IFERROR(__xludf.DUMMYFUNCTION("""COMPUTED_VALUE"""),3.2363636363636368)</f>
        <v>3.236363636</v>
      </c>
      <c r="BH165" s="296">
        <f>IFERROR(__xludf.DUMMYFUNCTION("""COMPUTED_VALUE"""),3.497076023391813)</f>
        <v>3.497076023</v>
      </c>
      <c r="BI165" s="295">
        <f>IFERROR(__xludf.DUMMYFUNCTION("""COMPUTED_VALUE"""),156.0)</f>
        <v>156</v>
      </c>
      <c r="BJ165" s="292"/>
      <c r="BK165" s="346">
        <f>IFERROR(__xludf.DUMMYFUNCTION("""COMPUTED_VALUE"""),2245.0)</f>
        <v>2245</v>
      </c>
      <c r="BL165" s="292"/>
      <c r="BM165" s="292"/>
      <c r="BN165" s="292"/>
      <c r="BO165" s="292"/>
      <c r="BP165" s="292"/>
      <c r="BQ165" s="292"/>
      <c r="BR165" s="292" t="b">
        <f>IFERROR(__xludf.DUMMYFUNCTION("""COMPUTED_VALUE"""),FALSE)</f>
        <v>0</v>
      </c>
      <c r="BS165" s="292" t="b">
        <f>IFERROR(__xludf.DUMMYFUNCTION("""COMPUTED_VALUE"""),FALSE)</f>
        <v>0</v>
      </c>
      <c r="BT165" s="292"/>
      <c r="BU165" s="292"/>
      <c r="BV165" s="292"/>
      <c r="BW165" s="292"/>
    </row>
    <row r="166">
      <c r="A166" s="292" t="str">
        <f>IFERROR(__xludf.DUMMYFUNCTION("""COMPUTED_VALUE"""),"FE0580G")</f>
        <v>FE0580G</v>
      </c>
      <c r="B166" s="292" t="str">
        <f>IFERROR(__xludf.DUMMYFUNCTION("""COMPUTED_VALUE"""),"CON-40-148856-4")</f>
        <v>CON-40-148856-4</v>
      </c>
      <c r="C166" s="292" t="str">
        <f>IFERROR(__xludf.DUMMYFUNCTION("""COMPUTED_VALUE"""),"CON-00-148857-2")</f>
        <v>CON-00-148857-2</v>
      </c>
      <c r="D166" s="292" t="str">
        <f>IFERROR(__xludf.DUMMYFUNCTION("""COMPUTED_VALUE"""),"CON-00-148858-2")</f>
        <v>CON-00-148858-2</v>
      </c>
      <c r="E166" s="292" t="str">
        <f>IFERROR(__xludf.DUMMYFUNCTION("""COMPUTED_VALUE"""),"Chicken &amp; Creamy Broccoli Grits")</f>
        <v>Chicken &amp; Creamy Broccoli Grits</v>
      </c>
      <c r="F166" s="292" t="str">
        <f>IFERROR(__xludf.DUMMYFUNCTION("""COMPUTED_VALUE"""),"with roasted green beans and almonds")</f>
        <v>with roasted green beans and almonds</v>
      </c>
      <c r="G166" s="292" t="str">
        <f>IFERROR(__xludf.DUMMYFUNCTION("""COMPUTED_VALUE"""),"Kipfilet met romige broccolirijst")</f>
        <v>Kipfilet met romige broccolirijst</v>
      </c>
      <c r="H166" s="292" t="str">
        <f>IFERROR(__xludf.DUMMYFUNCTION("""COMPUTED_VALUE"""),"met geroosterde sperziebonen en amandelen")</f>
        <v>met geroosterde sperziebonen en amandelen</v>
      </c>
      <c r="I166" s="292" t="str">
        <f>IFERROR(__xludf.DUMMYFUNCTION("""COMPUTED_VALUE"""),"Kylling &amp; cremet broccoli grits")</f>
        <v>Kylling &amp; cremet broccoli grits</v>
      </c>
      <c r="J166" s="292" t="str">
        <f>IFERROR(__xludf.DUMMYFUNCTION("""COMPUTED_VALUE"""),"Hähnchen mit cremigem Brokkoli-Grieß")</f>
        <v>Hähnchen mit cremigem Brokkoli-Grieß</v>
      </c>
      <c r="K166" s="292">
        <f>IFERROR(__xludf.DUMMYFUNCTION("""COMPUTED_VALUE"""),565170.0)</f>
        <v>565170</v>
      </c>
      <c r="L166" s="292" t="str">
        <f>IFERROR(__xludf.DUMMYFUNCTION("""COMPUTED_VALUE"""),"HF Kip met cheddar broc rijst")</f>
        <v>HF Kip met cheddar broc rijst</v>
      </c>
      <c r="M166" s="292" t="str">
        <f>IFERROR(__xludf.DUMMYFUNCTION("""COMPUTED_VALUE"""),"FA-NL Kipfilet met romige broccolirijst (FE0580)")</f>
        <v>FA-NL Kipfilet met romige broccolirijst (FE0580)</v>
      </c>
      <c r="N166" s="292" t="str">
        <f>IFERROR(__xludf.DUMMYFUNCTION("""COMPUTED_VALUE"""),"FA-NO Kylling &amp; cremet broccoli grits (FE0580)")</f>
        <v>FA-NO Kylling &amp; cremet broccoli grits (FE0580)</v>
      </c>
      <c r="O166" s="292" t="str">
        <f>IFERROR(__xludf.DUMMYFUNCTION("""COMPUTED_VALUE"""),"FA-DE Hähnchen mit cremigem Brokkoli-Grieß (FE0580)")</f>
        <v>FA-DE Hähnchen mit cremigem Brokkoli-Grieß (FE0580)</v>
      </c>
      <c r="P166" s="292" t="str">
        <f>IFERROR(__xludf.DUMMYFUNCTION("""COMPUTED_VALUE"""),"Active")</f>
        <v>Active</v>
      </c>
      <c r="Q166" s="292"/>
      <c r="R166" s="342">
        <f>IFERROR(__xludf.DUMMYFUNCTION("""COMPUTED_VALUE"""),4.77)</f>
        <v>4.77</v>
      </c>
      <c r="S166" s="292"/>
      <c r="T166" s="292"/>
      <c r="U166" s="292"/>
      <c r="V166" s="292"/>
      <c r="W166" s="292" t="b">
        <f>IFERROR(__xludf.DUMMYFUNCTION("""COMPUTED_VALUE"""),TRUE)</f>
        <v>1</v>
      </c>
      <c r="X166" s="345">
        <f>IFERROR(__xludf.DUMMYFUNCTION("""COMPUTED_VALUE"""),351.0)</f>
        <v>351</v>
      </c>
      <c r="Y166" s="344">
        <f>IFERROR(__xludf.DUMMYFUNCTION("""COMPUTED_VALUE"""),586.0)</f>
        <v>586</v>
      </c>
      <c r="Z166" s="343">
        <f>IFERROR(__xludf.DUMMYFUNCTION("""COMPUTED_VALUE"""),46.1)</f>
        <v>46.1</v>
      </c>
      <c r="AA166" s="344">
        <f>IFERROR(__xludf.DUMMYFUNCTION("""COMPUTED_VALUE"""),21.5)</f>
        <v>21.5</v>
      </c>
      <c r="AB166" s="344">
        <f>IFERROR(__xludf.DUMMYFUNCTION("""COMPUTED_VALUE"""),8.5)</f>
        <v>8.5</v>
      </c>
      <c r="AC166" s="344">
        <f>IFERROR(__xludf.DUMMYFUNCTION("""COMPUTED_VALUE"""),4.9)</f>
        <v>4.9</v>
      </c>
      <c r="AD166" s="344">
        <f>IFERROR(__xludf.DUMMYFUNCTION("""COMPUTED_VALUE"""),7.2)</f>
        <v>7.2</v>
      </c>
      <c r="AE166" s="343">
        <f>IFERROR(__xludf.DUMMYFUNCTION("""COMPUTED_VALUE"""),31.8)</f>
        <v>31.8</v>
      </c>
      <c r="AF166" s="343">
        <f>IFERROR(__xludf.DUMMYFUNCTION("""COMPUTED_VALUE"""),1.99)</f>
        <v>1.99</v>
      </c>
      <c r="AG166" s="292" t="b">
        <f>IFERROR(__xludf.DUMMYFUNCTION("""COMPUTED_VALUE"""),FALSE)</f>
        <v>0</v>
      </c>
      <c r="AH166" s="292" t="b">
        <f>IFERROR(__xludf.DUMMYFUNCTION("""COMPUTED_VALUE"""),TRUE)</f>
        <v>1</v>
      </c>
      <c r="AI166" s="292" t="b">
        <f>IFERROR(__xludf.DUMMYFUNCTION("""COMPUTED_VALUE"""),FALSE)</f>
        <v>0</v>
      </c>
      <c r="AJ166" s="292" t="b">
        <f>IFERROR(__xludf.DUMMYFUNCTION("""COMPUTED_VALUE"""),FALSE)</f>
        <v>0</v>
      </c>
      <c r="AK166" s="292" t="b">
        <f>IFERROR(__xludf.DUMMYFUNCTION("""COMPUTED_VALUE"""),FALSE)</f>
        <v>0</v>
      </c>
      <c r="AL166" s="292" t="b">
        <f>IFERROR(__xludf.DUMMYFUNCTION("""COMPUTED_VALUE"""),FALSE)</f>
        <v>0</v>
      </c>
      <c r="AM166" s="292" t="b">
        <f>IFERROR(__xludf.DUMMYFUNCTION("""COMPUTED_VALUE"""),TRUE)</f>
        <v>1</v>
      </c>
      <c r="AN166" s="292" t="b">
        <f>IFERROR(__xludf.DUMMYFUNCTION("""COMPUTED_VALUE"""),FALSE)</f>
        <v>0</v>
      </c>
      <c r="AO166" s="292" t="str">
        <f>IFERROR(__xludf.DUMMYFUNCTION("""COMPUTED_VALUE"""),"FALSE")</f>
        <v>FALSE</v>
      </c>
      <c r="AP166" s="292" t="str">
        <f>IFERROR(__xludf.DUMMYFUNCTION("""COMPUTED_VALUE"""),"Chicken breast")</f>
        <v>Chicken breast</v>
      </c>
      <c r="AQ166" s="292" t="str">
        <f>IFERROR(__xludf.DUMMYFUNCTION("""COMPUTED_VALUE"""),"Chicken")</f>
        <v>Chicken</v>
      </c>
      <c r="AR166" s="292" t="str">
        <f>IFERROR(__xludf.DUMMYFUNCTION("""COMPUTED_VALUE"""),"Breast")</f>
        <v>Breast</v>
      </c>
      <c r="AS166" s="292" t="str">
        <f>IFERROR(__xludf.DUMMYFUNCTION("""COMPUTED_VALUE"""),"Green Beans")</f>
        <v>Green Beans</v>
      </c>
      <c r="AT166" s="292" t="str">
        <f>IFERROR(__xludf.DUMMYFUNCTION("""COMPUTED_VALUE"""),"Broccoli rice")</f>
        <v>Broccoli rice</v>
      </c>
      <c r="AU166" s="292" t="str">
        <f>IFERROR(__xludf.DUMMYFUNCTION("""COMPUTED_VALUE"""),"Compound Butter")</f>
        <v>Compound Butter</v>
      </c>
      <c r="AV166" s="292" t="str">
        <f>IFERROR(__xludf.DUMMYFUNCTION("""COMPUTED_VALUE"""),"Nuts")</f>
        <v>Nuts</v>
      </c>
      <c r="AW166" s="292" t="str">
        <f>IFERROR(__xludf.DUMMYFUNCTION("""COMPUTED_VALUE"""),"Year Round")</f>
        <v>Year Round</v>
      </c>
      <c r="AX166" s="292" t="str">
        <f>IFERROR(__xludf.DUMMYFUNCTION("""COMPUTED_VALUE"""),"American")</f>
        <v>American</v>
      </c>
      <c r="AY166" s="292"/>
      <c r="AZ166" s="292" t="str">
        <f>IFERROR(__xludf.DUMMYFUNCTION("""COMPUTED_VALUE"""),"2 CT")</f>
        <v>2 CT</v>
      </c>
      <c r="BA166" s="292" t="b">
        <f>IFERROR(__xludf.DUMMYFUNCTION("""COMPUTED_VALUE"""),FALSE)</f>
        <v>0</v>
      </c>
      <c r="BB166" s="292"/>
      <c r="BC166" s="292"/>
      <c r="BD166" s="292"/>
      <c r="BE166" s="342">
        <f>IFERROR(__xludf.DUMMYFUNCTION("""COMPUTED_VALUE"""),0.89)</f>
        <v>0.89</v>
      </c>
      <c r="BF166" s="296">
        <f>IFERROR(__xludf.DUMMYFUNCTION("""COMPUTED_VALUE"""),3.172594537815126)</f>
        <v>3.172594538</v>
      </c>
      <c r="BG166" s="296">
        <f>IFERROR(__xludf.DUMMYFUNCTION("""COMPUTED_VALUE"""),3.1319444444444446)</f>
        <v>3.131944444</v>
      </c>
      <c r="BH166" s="296">
        <f>IFERROR(__xludf.DUMMYFUNCTION("""COMPUTED_VALUE"""),3.1185185185185187)</f>
        <v>3.118518519</v>
      </c>
      <c r="BI166" s="295">
        <f>IFERROR(__xludf.DUMMYFUNCTION("""COMPUTED_VALUE"""),163.0)</f>
        <v>163</v>
      </c>
      <c r="BJ166" s="292"/>
      <c r="BK166" s="346">
        <f>IFERROR(__xludf.DUMMYFUNCTION("""COMPUTED_VALUE"""),2449.0)</f>
        <v>2449</v>
      </c>
      <c r="BL166" s="292"/>
      <c r="BM166" s="292"/>
      <c r="BN166" s="292"/>
      <c r="BO166" s="292"/>
      <c r="BP166" s="292"/>
      <c r="BQ166" s="292"/>
      <c r="BR166" s="292" t="b">
        <f>IFERROR(__xludf.DUMMYFUNCTION("""COMPUTED_VALUE"""),FALSE)</f>
        <v>0</v>
      </c>
      <c r="BS166" s="292" t="b">
        <f>IFERROR(__xludf.DUMMYFUNCTION("""COMPUTED_VALUE"""),FALSE)</f>
        <v>0</v>
      </c>
      <c r="BT166" s="292"/>
      <c r="BU166" s="292"/>
      <c r="BV166" s="292"/>
      <c r="BW166" s="292"/>
    </row>
    <row r="167">
      <c r="A167" s="292" t="str">
        <f>IFERROR(__xludf.DUMMYFUNCTION("""COMPUTED_VALUE"""),"FE1506A")</f>
        <v>FE1506A</v>
      </c>
      <c r="B167" s="292" t="str">
        <f>IFERROR(__xludf.DUMMYFUNCTION("""COMPUTED_VALUE"""),"CON-40-150603-4")</f>
        <v>CON-40-150603-4</v>
      </c>
      <c r="C167" s="292" t="str">
        <f>IFERROR(__xludf.DUMMYFUNCTION("""COMPUTED_VALUE"""),"CON-00-150602-2")</f>
        <v>CON-00-150602-2</v>
      </c>
      <c r="D167" s="292" t="str">
        <f>IFERROR(__xludf.DUMMYFUNCTION("""COMPUTED_VALUE"""),"CON-00-150601-2")</f>
        <v>CON-00-150601-2</v>
      </c>
      <c r="E167" s="292" t="str">
        <f>IFERROR(__xludf.DUMMYFUNCTION("""COMPUTED_VALUE"""),"Fajita-Style Shredded Beef &amp; Queso")</f>
        <v>Fajita-Style Shredded Beef &amp; Queso</v>
      </c>
      <c r="F167" s="292" t="str">
        <f>IFERROR(__xludf.DUMMYFUNCTION("""COMPUTED_VALUE"""),"with pinto beans, roasted bell pepper and carrots")</f>
        <v>with pinto beans, roasted bell pepper and carrots</v>
      </c>
      <c r="G167" s="292" t="str">
        <f>IFERROR(__xludf.DUMMYFUNCTION("""COMPUTED_VALUE"""),"Fajita-stijl rundvlees &amp; queso")</f>
        <v>Fajita-stijl rundvlees &amp; queso</v>
      </c>
      <c r="H167" s="292" t="str">
        <f>IFERROR(__xludf.DUMMYFUNCTION("""COMPUTED_VALUE"""),"met pintobonen, geroosterde paprika en wortels")</f>
        <v>met pintobonen, geroosterde paprika en wortels</v>
      </c>
      <c r="I167" s="292" t="str">
        <f>IFERROR(__xludf.DUMMYFUNCTION("""COMPUTED_VALUE"""),"Fajita-inspireret pulled beef &amp; queso")</f>
        <v>Fajita-inspireret pulled beef &amp; queso</v>
      </c>
      <c r="J167" s="292" t="str">
        <f>IFERROR(__xludf.DUMMYFUNCTION("""COMPUTED_VALUE"""),"Fajita-Rindfleischstreifen mit Käse-Sauce")</f>
        <v>Fajita-Rindfleischstreifen mit Käse-Sauce</v>
      </c>
      <c r="K167" s="292">
        <f>IFERROR(__xludf.DUMMYFUNCTION("""COMPUTED_VALUE"""),565176.0)</f>
        <v>565176</v>
      </c>
      <c r="L167" s="292" t="str">
        <f>IFERROR(__xludf.DUMMYFUNCTION("""COMPUTED_VALUE"""),"HF Fajita style pulled beef")</f>
        <v>HF Fajita style pulled beef</v>
      </c>
      <c r="M167" s="292" t="str">
        <f>IFERROR(__xludf.DUMMYFUNCTION("""COMPUTED_VALUE"""),"FA-NL Fajita-stijl rundvlees &amp; queso (FE1506)")</f>
        <v>FA-NL Fajita-stijl rundvlees &amp; queso (FE1506)</v>
      </c>
      <c r="N167" s="292" t="str">
        <f>IFERROR(__xludf.DUMMYFUNCTION("""COMPUTED_VALUE"""),"FA-NO Fajita-inspireret pulled beef &amp; queso (FE1506)")</f>
        <v>FA-NO Fajita-inspireret pulled beef &amp; queso (FE1506)</v>
      </c>
      <c r="O167" s="292" t="str">
        <f>IFERROR(__xludf.DUMMYFUNCTION("""COMPUTED_VALUE"""),"FA-DE Fajita-Rindfleischstreifen mit Käse-Sauce (FE1506)")</f>
        <v>FA-DE Fajita-Rindfleischstreifen mit Käse-Sauce (FE1506)</v>
      </c>
      <c r="P167" s="292" t="str">
        <f>IFERROR(__xludf.DUMMYFUNCTION("""COMPUTED_VALUE"""),"Active")</f>
        <v>Active</v>
      </c>
      <c r="Q167" s="292"/>
      <c r="R167" s="342">
        <f>IFERROR(__xludf.DUMMYFUNCTION("""COMPUTED_VALUE"""),4.46)</f>
        <v>4.46</v>
      </c>
      <c r="S167" s="292"/>
      <c r="T167" s="292"/>
      <c r="U167" s="292"/>
      <c r="V167" s="292"/>
      <c r="W167" s="292" t="b">
        <f>IFERROR(__xludf.DUMMYFUNCTION("""COMPUTED_VALUE"""),TRUE)</f>
        <v>1</v>
      </c>
      <c r="X167" s="345">
        <f>IFERROR(__xludf.DUMMYFUNCTION("""COMPUTED_VALUE"""),409.0)</f>
        <v>409</v>
      </c>
      <c r="Y167" s="344">
        <f>IFERROR(__xludf.DUMMYFUNCTION("""COMPUTED_VALUE"""),522.0)</f>
        <v>522</v>
      </c>
      <c r="Z167" s="343">
        <f>IFERROR(__xludf.DUMMYFUNCTION("""COMPUTED_VALUE"""),24.3)</f>
        <v>24.3</v>
      </c>
      <c r="AA167" s="344">
        <f>IFERROR(__xludf.DUMMYFUNCTION("""COMPUTED_VALUE"""),10.2)</f>
        <v>10.2</v>
      </c>
      <c r="AB167" s="344">
        <f>IFERROR(__xludf.DUMMYFUNCTION("""COMPUTED_VALUE"""),28.2)</f>
        <v>28.2</v>
      </c>
      <c r="AC167" s="344">
        <f>IFERROR(__xludf.DUMMYFUNCTION("""COMPUTED_VALUE"""),14.7)</f>
        <v>14.7</v>
      </c>
      <c r="AD167" s="344">
        <f>IFERROR(__xludf.DUMMYFUNCTION("""COMPUTED_VALUE"""),10.7)</f>
        <v>10.7</v>
      </c>
      <c r="AE167" s="343">
        <f>IFERROR(__xludf.DUMMYFUNCTION("""COMPUTED_VALUE"""),42.9)</f>
        <v>42.9</v>
      </c>
      <c r="AF167" s="343">
        <f>IFERROR(__xludf.DUMMYFUNCTION("""COMPUTED_VALUE"""),1.9)</f>
        <v>1.9</v>
      </c>
      <c r="AG167" s="292" t="b">
        <f>IFERROR(__xludf.DUMMYFUNCTION("""COMPUTED_VALUE"""),TRUE)</f>
        <v>1</v>
      </c>
      <c r="AH167" s="292" t="b">
        <f>IFERROR(__xludf.DUMMYFUNCTION("""COMPUTED_VALUE"""),FALSE)</f>
        <v>0</v>
      </c>
      <c r="AI167" s="292" t="b">
        <f>IFERROR(__xludf.DUMMYFUNCTION("""COMPUTED_VALUE"""),TRUE)</f>
        <v>1</v>
      </c>
      <c r="AJ167" s="292" t="b">
        <f>IFERROR(__xludf.DUMMYFUNCTION("""COMPUTED_VALUE"""),FALSE)</f>
        <v>0</v>
      </c>
      <c r="AK167" s="292" t="b">
        <f>IFERROR(__xludf.DUMMYFUNCTION("""COMPUTED_VALUE"""),FALSE)</f>
        <v>0</v>
      </c>
      <c r="AL167" s="292" t="b">
        <f>IFERROR(__xludf.DUMMYFUNCTION("""COMPUTED_VALUE"""),FALSE)</f>
        <v>0</v>
      </c>
      <c r="AM167" s="292" t="b">
        <f>IFERROR(__xludf.DUMMYFUNCTION("""COMPUTED_VALUE"""),FALSE)</f>
        <v>0</v>
      </c>
      <c r="AN167" s="292" t="b">
        <f>IFERROR(__xludf.DUMMYFUNCTION("""COMPUTED_VALUE"""),FALSE)</f>
        <v>0</v>
      </c>
      <c r="AO167" s="292" t="str">
        <f>IFERROR(__xludf.DUMMYFUNCTION("""COMPUTED_VALUE"""),"TRUE")</f>
        <v>TRUE</v>
      </c>
      <c r="AP167" s="292" t="str">
        <f>IFERROR(__xludf.DUMMYFUNCTION("""COMPUTED_VALUE"""),"Shredded beef")</f>
        <v>Shredded beef</v>
      </c>
      <c r="AQ167" s="292" t="str">
        <f>IFERROR(__xludf.DUMMYFUNCTION("""COMPUTED_VALUE"""),"Beef")</f>
        <v>Beef</v>
      </c>
      <c r="AR167" s="292" t="str">
        <f>IFERROR(__xludf.DUMMYFUNCTION("""COMPUTED_VALUE"""),"Pulled")</f>
        <v>Pulled</v>
      </c>
      <c r="AS167" s="292" t="str">
        <f>IFERROR(__xludf.DUMMYFUNCTION("""COMPUTED_VALUE"""),"Pepper Mix")</f>
        <v>Pepper Mix</v>
      </c>
      <c r="AT167" s="292" t="str">
        <f>IFERROR(__xludf.DUMMYFUNCTION("""COMPUTED_VALUE"""),"Carrots")</f>
        <v>Carrots</v>
      </c>
      <c r="AU167" s="292" t="str">
        <f>IFERROR(__xludf.DUMMYFUNCTION("""COMPUTED_VALUE"""),"Mixed Beans")</f>
        <v>Mixed Beans</v>
      </c>
      <c r="AV167" s="292" t="str">
        <f>IFERROR(__xludf.DUMMYFUNCTION("""COMPUTED_VALUE"""),"Cherry Tomatoes")</f>
        <v>Cherry Tomatoes</v>
      </c>
      <c r="AW167" s="292" t="str">
        <f>IFERROR(__xludf.DUMMYFUNCTION("""COMPUTED_VALUE"""),"Year Round")</f>
        <v>Year Round</v>
      </c>
      <c r="AX167" s="292" t="str">
        <f>IFERROR(__xludf.DUMMYFUNCTION("""COMPUTED_VALUE"""),"Mexican")</f>
        <v>Mexican</v>
      </c>
      <c r="AY167" s="292"/>
      <c r="AZ167" s="292" t="str">
        <f>IFERROR(__xludf.DUMMYFUNCTION("""COMPUTED_VALUE"""),"2 CT")</f>
        <v>2 CT</v>
      </c>
      <c r="BA167" s="292" t="b">
        <f>IFERROR(__xludf.DUMMYFUNCTION("""COMPUTED_VALUE"""),FALSE)</f>
        <v>0</v>
      </c>
      <c r="BB167" s="292"/>
      <c r="BC167" s="292"/>
      <c r="BD167" s="292"/>
      <c r="BE167" s="342">
        <f>IFERROR(__xludf.DUMMYFUNCTION("""COMPUTED_VALUE"""),0.89)</f>
        <v>0.89</v>
      </c>
      <c r="BF167" s="296">
        <f>IFERROR(__xludf.DUMMYFUNCTION("""COMPUTED_VALUE"""),3.2631668658857276)</f>
        <v>3.263166866</v>
      </c>
      <c r="BG167" s="296">
        <f>IFERROR(__xludf.DUMMYFUNCTION("""COMPUTED_VALUE"""),3.6060606060606064)</f>
        <v>3.606060606</v>
      </c>
      <c r="BH167" s="296">
        <f>IFERROR(__xludf.DUMMYFUNCTION("""COMPUTED_VALUE"""),3.45625)</f>
        <v>3.45625</v>
      </c>
      <c r="BI167" s="295">
        <f>IFERROR(__xludf.DUMMYFUNCTION("""COMPUTED_VALUE"""),218.0)</f>
        <v>218</v>
      </c>
      <c r="BJ167" s="292"/>
      <c r="BK167" s="346">
        <f>IFERROR(__xludf.DUMMYFUNCTION("""COMPUTED_VALUE"""),2183.0)</f>
        <v>2183</v>
      </c>
      <c r="BL167" s="292"/>
      <c r="BM167" s="292"/>
      <c r="BN167" s="292"/>
      <c r="BO167" s="292"/>
      <c r="BP167" s="292"/>
      <c r="BQ167" s="292" t="str">
        <f>IFERROR(__xludf.DUMMYFUNCTION("""COMPUTED_VALUE"""),"New")</f>
        <v>New</v>
      </c>
      <c r="BR167" s="292" t="b">
        <f>IFERROR(__xludf.DUMMYFUNCTION("""COMPUTED_VALUE"""),FALSE)</f>
        <v>0</v>
      </c>
      <c r="BS167" s="292" t="b">
        <f>IFERROR(__xludf.DUMMYFUNCTION("""COMPUTED_VALUE"""),FALSE)</f>
        <v>0</v>
      </c>
      <c r="BT167" s="292"/>
      <c r="BU167" s="292"/>
      <c r="BV167" s="292"/>
      <c r="BW167" s="292"/>
    </row>
    <row r="168">
      <c r="A168" s="292" t="str">
        <f>IFERROR(__xludf.DUMMYFUNCTION("""COMPUTED_VALUE"""),"FE1398A")</f>
        <v>FE1398A</v>
      </c>
      <c r="B168" s="292" t="str">
        <f>IFERROR(__xludf.DUMMYFUNCTION("""COMPUTED_VALUE"""),"CON-40-149082-4")</f>
        <v>CON-40-149082-4</v>
      </c>
      <c r="C168" s="292" t="str">
        <f>IFERROR(__xludf.DUMMYFUNCTION("""COMPUTED_VALUE"""),"CON-00-149083-2")</f>
        <v>CON-00-149083-2</v>
      </c>
      <c r="D168" s="292" t="str">
        <f>IFERROR(__xludf.DUMMYFUNCTION("""COMPUTED_VALUE"""),"CON-00-149084-2")</f>
        <v>CON-00-149084-2</v>
      </c>
      <c r="E168" s="292" t="str">
        <f>IFERROR(__xludf.DUMMYFUNCTION("""COMPUTED_VALUE"""),"Indian-Style Chicken Curry")</f>
        <v>Indian-Style Chicken Curry</v>
      </c>
      <c r="F168" s="292" t="str">
        <f>IFERROR(__xludf.DUMMYFUNCTION("""COMPUTED_VALUE"""),"with rice, cauliflower and courgette")</f>
        <v>with rice, cauliflower and courgette</v>
      </c>
      <c r="G168" s="292" t="str">
        <f>IFERROR(__xludf.DUMMYFUNCTION("""COMPUTED_VALUE"""),"Indiase-stijl curry met kip")</f>
        <v>Indiase-stijl curry met kip</v>
      </c>
      <c r="H168" s="292" t="str">
        <f>IFERROR(__xludf.DUMMYFUNCTION("""COMPUTED_VALUE"""),"met rijst, bloemkool en courgette")</f>
        <v>met rijst, bloemkool en courgette</v>
      </c>
      <c r="I168" s="292" t="str">
        <f>IFERROR(__xludf.DUMMYFUNCTION("""COMPUTED_VALUE"""),"Indisk-inspireret kyllingecurry")</f>
        <v>Indisk-inspireret kyllingecurry</v>
      </c>
      <c r="J168" s="292" t="str">
        <f>IFERROR(__xludf.DUMMYFUNCTION("""COMPUTED_VALUE"""),"Indisches Hähnchen-Curry")</f>
        <v>Indisches Hähnchen-Curry</v>
      </c>
      <c r="K168" s="292">
        <f>IFERROR(__xludf.DUMMYFUNCTION("""COMPUTED_VALUE"""),565174.0)</f>
        <v>565174</v>
      </c>
      <c r="L168" s="292"/>
      <c r="M168" s="292" t="str">
        <f>IFERROR(__xludf.DUMMYFUNCTION("""COMPUTED_VALUE"""),"FA-NL Indiase-stijl curry met kip (FE1398)")</f>
        <v>FA-NL Indiase-stijl curry met kip (FE1398)</v>
      </c>
      <c r="N168" s="292" t="str">
        <f>IFERROR(__xludf.DUMMYFUNCTION("""COMPUTED_VALUE"""),"FA-NO Indisk-inspireret kyllingecurry (FE1398)")</f>
        <v>FA-NO Indisk-inspireret kyllingecurry (FE1398)</v>
      </c>
      <c r="O168" s="292" t="str">
        <f>IFERROR(__xludf.DUMMYFUNCTION("""COMPUTED_VALUE"""),"FA-DE Indisches Hähnchen-Curry (FE1398)")</f>
        <v>FA-DE Indisches Hähnchen-Curry (FE1398)</v>
      </c>
      <c r="P168" s="292" t="str">
        <f>IFERROR(__xludf.DUMMYFUNCTION("""COMPUTED_VALUE"""),"Active")</f>
        <v>Active</v>
      </c>
      <c r="Q168" s="292"/>
      <c r="R168" s="342">
        <f>IFERROR(__xludf.DUMMYFUNCTION("""COMPUTED_VALUE"""),4.7)</f>
        <v>4.7</v>
      </c>
      <c r="S168" s="292"/>
      <c r="T168" s="292"/>
      <c r="U168" s="292"/>
      <c r="V168" s="292"/>
      <c r="W168" s="292" t="b">
        <f>IFERROR(__xludf.DUMMYFUNCTION("""COMPUTED_VALUE"""),TRUE)</f>
        <v>1</v>
      </c>
      <c r="X168" s="345">
        <f>IFERROR(__xludf.DUMMYFUNCTION("""COMPUTED_VALUE"""),394.0)</f>
        <v>394</v>
      </c>
      <c r="Y168" s="344">
        <f>IFERROR(__xludf.DUMMYFUNCTION("""COMPUTED_VALUE"""),405.0)</f>
        <v>405</v>
      </c>
      <c r="Z168" s="343">
        <f>IFERROR(__xludf.DUMMYFUNCTION("""COMPUTED_VALUE"""),19.3)</f>
        <v>19.3</v>
      </c>
      <c r="AA168" s="344">
        <f>IFERROR(__xludf.DUMMYFUNCTION("""COMPUTED_VALUE"""),6.9)</f>
        <v>6.9</v>
      </c>
      <c r="AB168" s="344">
        <f>IFERROR(__xludf.DUMMYFUNCTION("""COMPUTED_VALUE"""),27.3)</f>
        <v>27.3</v>
      </c>
      <c r="AC168" s="344">
        <f>IFERROR(__xludf.DUMMYFUNCTION("""COMPUTED_VALUE"""),8.0)</f>
        <v>8</v>
      </c>
      <c r="AD168" s="344">
        <f>IFERROR(__xludf.DUMMYFUNCTION("""COMPUTED_VALUE"""),5.2)</f>
        <v>5.2</v>
      </c>
      <c r="AE168" s="343">
        <f>IFERROR(__xludf.DUMMYFUNCTION("""COMPUTED_VALUE"""),28.2)</f>
        <v>28.2</v>
      </c>
      <c r="AF168" s="343">
        <f>IFERROR(__xludf.DUMMYFUNCTION("""COMPUTED_VALUE"""),1.97)</f>
        <v>1.97</v>
      </c>
      <c r="AG168" s="292" t="b">
        <f>IFERROR(__xludf.DUMMYFUNCTION("""COMPUTED_VALUE"""),FALSE)</f>
        <v>0</v>
      </c>
      <c r="AH168" s="292" t="b">
        <f>IFERROR(__xludf.DUMMYFUNCTION("""COMPUTED_VALUE"""),FALSE)</f>
        <v>0</v>
      </c>
      <c r="AI168" s="292" t="b">
        <f>IFERROR(__xludf.DUMMYFUNCTION("""COMPUTED_VALUE"""),TRUE)</f>
        <v>1</v>
      </c>
      <c r="AJ168" s="292" t="b">
        <f>IFERROR(__xludf.DUMMYFUNCTION("""COMPUTED_VALUE"""),FALSE)</f>
        <v>0</v>
      </c>
      <c r="AK168" s="292" t="b">
        <f>IFERROR(__xludf.DUMMYFUNCTION("""COMPUTED_VALUE"""),FALSE)</f>
        <v>0</v>
      </c>
      <c r="AL168" s="292" t="b">
        <f>IFERROR(__xludf.DUMMYFUNCTION("""COMPUTED_VALUE"""),FALSE)</f>
        <v>0</v>
      </c>
      <c r="AM168" s="292" t="b">
        <f>IFERROR(__xludf.DUMMYFUNCTION("""COMPUTED_VALUE"""),FALSE)</f>
        <v>0</v>
      </c>
      <c r="AN168" s="292" t="b">
        <f>IFERROR(__xludf.DUMMYFUNCTION("""COMPUTED_VALUE"""),FALSE)</f>
        <v>0</v>
      </c>
      <c r="AO168" s="292" t="str">
        <f>IFERROR(__xludf.DUMMYFUNCTION("""COMPUTED_VALUE"""),"FALSE")</f>
        <v>FALSE</v>
      </c>
      <c r="AP168" s="292" t="str">
        <f>IFERROR(__xludf.DUMMYFUNCTION("""COMPUTED_VALUE"""),"Diced chicken")</f>
        <v>Diced chicken</v>
      </c>
      <c r="AQ168" s="292" t="str">
        <f>IFERROR(__xludf.DUMMYFUNCTION("""COMPUTED_VALUE"""),"Chicken")</f>
        <v>Chicken</v>
      </c>
      <c r="AR168" s="292" t="str">
        <f>IFERROR(__xludf.DUMMYFUNCTION("""COMPUTED_VALUE"""),"Pieces")</f>
        <v>Pieces</v>
      </c>
      <c r="AS168" s="292" t="str">
        <f>IFERROR(__xludf.DUMMYFUNCTION("""COMPUTED_VALUE"""),"Zucchini Half Moon")</f>
        <v>Zucchini Half Moon</v>
      </c>
      <c r="AT168" s="292" t="str">
        <f>IFERROR(__xludf.DUMMYFUNCTION("""COMPUTED_VALUE"""),"Cauliflower Florets")</f>
        <v>Cauliflower Florets</v>
      </c>
      <c r="AU168" s="292" t="str">
        <f>IFERROR(__xludf.DUMMYFUNCTION("""COMPUTED_VALUE"""),"Rice")</f>
        <v>Rice</v>
      </c>
      <c r="AV168" s="292" t="str">
        <f>IFERROR(__xludf.DUMMYFUNCTION("""COMPUTED_VALUE"""),"Tomato Based Sauce")</f>
        <v>Tomato Based Sauce</v>
      </c>
      <c r="AW168" s="292" t="str">
        <f>IFERROR(__xludf.DUMMYFUNCTION("""COMPUTED_VALUE"""),"Year Round")</f>
        <v>Year Round</v>
      </c>
      <c r="AX168" s="292" t="str">
        <f>IFERROR(__xludf.DUMMYFUNCTION("""COMPUTED_VALUE"""),"Indian")</f>
        <v>Indian</v>
      </c>
      <c r="AY168" s="292"/>
      <c r="AZ168" s="292" t="str">
        <f>IFERROR(__xludf.DUMMYFUNCTION("""COMPUTED_VALUE"""),"2 CT")</f>
        <v>2 CT</v>
      </c>
      <c r="BA168" s="292" t="b">
        <f>IFERROR(__xludf.DUMMYFUNCTION("""COMPUTED_VALUE"""),FALSE)</f>
        <v>0</v>
      </c>
      <c r="BB168" s="342">
        <f>IFERROR(__xludf.DUMMYFUNCTION("""COMPUTED_VALUE"""),2.19)</f>
        <v>2.19</v>
      </c>
      <c r="BC168" s="342">
        <f>IFERROR(__xludf.DUMMYFUNCTION("""COMPUTED_VALUE"""),1.34)</f>
        <v>1.34</v>
      </c>
      <c r="BD168" s="342">
        <f>IFERROR(__xludf.DUMMYFUNCTION("""COMPUTED_VALUE"""),0.41)</f>
        <v>0.41</v>
      </c>
      <c r="BE168" s="342">
        <f>IFERROR(__xludf.DUMMYFUNCTION("""COMPUTED_VALUE"""),0.89)</f>
        <v>0.89</v>
      </c>
      <c r="BF168" s="296">
        <f>IFERROR(__xludf.DUMMYFUNCTION("""COMPUTED_VALUE"""),2.9601883501918382)</f>
        <v>2.96018835</v>
      </c>
      <c r="BG168" s="296">
        <f>IFERROR(__xludf.DUMMYFUNCTION("""COMPUTED_VALUE"""),3.2363636363636368)</f>
        <v>3.236363636</v>
      </c>
      <c r="BH168" s="296">
        <f>IFERROR(__xludf.DUMMYFUNCTION("""COMPUTED_VALUE"""),3.497076023391813)</f>
        <v>3.497076023</v>
      </c>
      <c r="BI168" s="295">
        <f>IFERROR(__xludf.DUMMYFUNCTION("""COMPUTED_VALUE"""),204.0)</f>
        <v>204</v>
      </c>
      <c r="BJ168" s="292"/>
      <c r="BK168" s="346">
        <f>IFERROR(__xludf.DUMMYFUNCTION("""COMPUTED_VALUE"""),1697.0)</f>
        <v>1697</v>
      </c>
      <c r="BL168" s="292"/>
      <c r="BM168" s="292"/>
      <c r="BN168" s="292"/>
      <c r="BO168" s="292"/>
      <c r="BP168" s="292"/>
      <c r="BQ168" s="292" t="str">
        <f>IFERROR(__xludf.DUMMYFUNCTION("""COMPUTED_VALUE"""),"Hospital")</f>
        <v>Hospital</v>
      </c>
      <c r="BR168" s="292" t="b">
        <f>IFERROR(__xludf.DUMMYFUNCTION("""COMPUTED_VALUE"""),FALSE)</f>
        <v>0</v>
      </c>
      <c r="BS168" s="292" t="b">
        <f>IFERROR(__xludf.DUMMYFUNCTION("""COMPUTED_VALUE"""),FALSE)</f>
        <v>0</v>
      </c>
      <c r="BT168" s="292"/>
      <c r="BU168" s="292"/>
      <c r="BV168" s="292"/>
      <c r="BW168" s="292"/>
    </row>
    <row r="169">
      <c r="A169" s="292" t="str">
        <f>IFERROR(__xludf.DUMMYFUNCTION("""COMPUTED_VALUE"""),"FE0183E")</f>
        <v>FE0183E</v>
      </c>
      <c r="B169" s="292" t="str">
        <f>IFERROR(__xludf.DUMMYFUNCTION("""COMPUTED_VALUE"""),"CON-40-149002-4")</f>
        <v>CON-40-149002-4</v>
      </c>
      <c r="C169" s="292" t="str">
        <f>IFERROR(__xludf.DUMMYFUNCTION("""COMPUTED_VALUE"""),"CON-00-149001-2")</f>
        <v>CON-00-149001-2</v>
      </c>
      <c r="D169" s="292" t="str">
        <f>IFERROR(__xludf.DUMMYFUNCTION("""COMPUTED_VALUE"""),"CON-00-149000-2")</f>
        <v>CON-00-149000-2</v>
      </c>
      <c r="E169" s="292" t="str">
        <f>IFERROR(__xludf.DUMMYFUNCTION("""COMPUTED_VALUE"""),"Garlic &amp; Herb Chicken Breast")</f>
        <v>Garlic &amp; Herb Chicken Breast</v>
      </c>
      <c r="F169" s="292" t="str">
        <f>IFERROR(__xludf.DUMMYFUNCTION("""COMPUTED_VALUE"""),"with roasted broccoli and cheesy cauliflower rice")</f>
        <v>with roasted broccoli and cheesy cauliflower rice</v>
      </c>
      <c r="G169" s="292" t="str">
        <f>IFERROR(__xludf.DUMMYFUNCTION("""COMPUTED_VALUE"""),"Kipfilet met knoflook en kruiden")</f>
        <v>Kipfilet met knoflook en kruiden</v>
      </c>
      <c r="H169" s="292" t="str">
        <f>IFERROR(__xludf.DUMMYFUNCTION("""COMPUTED_VALUE"""),"met geroosterde broccoli en kazige bloemkoolrijst")</f>
        <v>met geroosterde broccoli en kazige bloemkoolrijst</v>
      </c>
      <c r="I169" s="292" t="str">
        <f>IFERROR(__xludf.DUMMYFUNCTION("""COMPUTED_VALUE"""),"Hvidløgs- &amp; krydderurtekyllingebryst")</f>
        <v>Hvidløgs- &amp; krydderurtekyllingebryst</v>
      </c>
      <c r="J169" s="292" t="str">
        <f>IFERROR(__xludf.DUMMYFUNCTION("""COMPUTED_VALUE"""),"Hähnchenbrustfilet mit Knoblauch und Kräutern")</f>
        <v>Hähnchenbrustfilet mit Knoblauch und Kräutern</v>
      </c>
      <c r="K169" s="292">
        <f>IFERROR(__xludf.DUMMYFUNCTION("""COMPUTED_VALUE"""),565171.0)</f>
        <v>565171</v>
      </c>
      <c r="L169" s="292" t="str">
        <f>IFERROR(__xludf.DUMMYFUNCTION("""COMPUTED_VALUE"""),"HF Kip bloemkoolrijst cheddar")</f>
        <v>HF Kip bloemkoolrijst cheddar</v>
      </c>
      <c r="M169" s="292" t="str">
        <f>IFERROR(__xludf.DUMMYFUNCTION("""COMPUTED_VALUE"""),"FA-NL Kipfilet met knoflook en kruiden (FE0183)")</f>
        <v>FA-NL Kipfilet met knoflook en kruiden (FE0183)</v>
      </c>
      <c r="N169" s="292" t="str">
        <f>IFERROR(__xludf.DUMMYFUNCTION("""COMPUTED_VALUE"""),"FA-NO Hvidløgs- &amp; krydderurtekyllingebryst (FE0183)")</f>
        <v>FA-NO Hvidløgs- &amp; krydderurtekyllingebryst (FE0183)</v>
      </c>
      <c r="O169" s="292" t="str">
        <f>IFERROR(__xludf.DUMMYFUNCTION("""COMPUTED_VALUE"""),"FA-DE Hähnchenbrustfilet mit Knoblauch und Kräutern (FE0183)")</f>
        <v>FA-DE Hähnchenbrustfilet mit Knoblauch und Kräutern (FE0183)</v>
      </c>
      <c r="P169" s="292" t="str">
        <f>IFERROR(__xludf.DUMMYFUNCTION("""COMPUTED_VALUE"""),"Active")</f>
        <v>Active</v>
      </c>
      <c r="Q169" s="292"/>
      <c r="R169" s="342">
        <f>IFERROR(__xludf.DUMMYFUNCTION("""COMPUTED_VALUE"""),4.89)</f>
        <v>4.89</v>
      </c>
      <c r="S169" s="292"/>
      <c r="T169" s="292"/>
      <c r="U169" s="292"/>
      <c r="V169" s="292"/>
      <c r="W169" s="292" t="b">
        <f>IFERROR(__xludf.DUMMYFUNCTION("""COMPUTED_VALUE"""),TRUE)</f>
        <v>1</v>
      </c>
      <c r="X169" s="345">
        <f>IFERROR(__xludf.DUMMYFUNCTION("""COMPUTED_VALUE"""),341.0)</f>
        <v>341</v>
      </c>
      <c r="Y169" s="344">
        <f>IFERROR(__xludf.DUMMYFUNCTION("""COMPUTED_VALUE"""),607.0)</f>
        <v>607</v>
      </c>
      <c r="Z169" s="343">
        <f>IFERROR(__xludf.DUMMYFUNCTION("""COMPUTED_VALUE"""),48.7)</f>
        <v>48.7</v>
      </c>
      <c r="AA169" s="344">
        <f>IFERROR(__xludf.DUMMYFUNCTION("""COMPUTED_VALUE"""),21.0)</f>
        <v>21</v>
      </c>
      <c r="AB169" s="344">
        <f>IFERROR(__xludf.DUMMYFUNCTION("""COMPUTED_VALUE"""),6.4)</f>
        <v>6.4</v>
      </c>
      <c r="AC169" s="344">
        <f>IFERROR(__xludf.DUMMYFUNCTION("""COMPUTED_VALUE"""),3.6)</f>
        <v>3.6</v>
      </c>
      <c r="AD169" s="344">
        <f>IFERROR(__xludf.DUMMYFUNCTION("""COMPUTED_VALUE"""),5.7)</f>
        <v>5.7</v>
      </c>
      <c r="AE169" s="343">
        <f>IFERROR(__xludf.DUMMYFUNCTION("""COMPUTED_VALUE"""),33.9)</f>
        <v>33.9</v>
      </c>
      <c r="AF169" s="343">
        <f>IFERROR(__xludf.DUMMYFUNCTION("""COMPUTED_VALUE"""),1.99)</f>
        <v>1.99</v>
      </c>
      <c r="AG169" s="292" t="b">
        <f>IFERROR(__xludf.DUMMYFUNCTION("""COMPUTED_VALUE"""),FALSE)</f>
        <v>0</v>
      </c>
      <c r="AH169" s="292" t="b">
        <f>IFERROR(__xludf.DUMMYFUNCTION("""COMPUTED_VALUE"""),TRUE)</f>
        <v>1</v>
      </c>
      <c r="AI169" s="292" t="b">
        <f>IFERROR(__xludf.DUMMYFUNCTION("""COMPUTED_VALUE"""),FALSE)</f>
        <v>0</v>
      </c>
      <c r="AJ169" s="292" t="b">
        <f>IFERROR(__xludf.DUMMYFUNCTION("""COMPUTED_VALUE"""),FALSE)</f>
        <v>0</v>
      </c>
      <c r="AK169" s="292" t="b">
        <f>IFERROR(__xludf.DUMMYFUNCTION("""COMPUTED_VALUE"""),FALSE)</f>
        <v>0</v>
      </c>
      <c r="AL169" s="292" t="b">
        <f>IFERROR(__xludf.DUMMYFUNCTION("""COMPUTED_VALUE"""),FALSE)</f>
        <v>0</v>
      </c>
      <c r="AM169" s="292" t="b">
        <f>IFERROR(__xludf.DUMMYFUNCTION("""COMPUTED_VALUE"""),TRUE)</f>
        <v>1</v>
      </c>
      <c r="AN169" s="292" t="b">
        <f>IFERROR(__xludf.DUMMYFUNCTION("""COMPUTED_VALUE"""),FALSE)</f>
        <v>0</v>
      </c>
      <c r="AO169" s="292" t="str">
        <f>IFERROR(__xludf.DUMMYFUNCTION("""COMPUTED_VALUE"""),"FALSE")</f>
        <v>FALSE</v>
      </c>
      <c r="AP169" s="292" t="str">
        <f>IFERROR(__xludf.DUMMYFUNCTION("""COMPUTED_VALUE"""),"Chicken breast")</f>
        <v>Chicken breast</v>
      </c>
      <c r="AQ169" s="292" t="str">
        <f>IFERROR(__xludf.DUMMYFUNCTION("""COMPUTED_VALUE"""),"Chicken")</f>
        <v>Chicken</v>
      </c>
      <c r="AR169" s="292" t="str">
        <f>IFERROR(__xludf.DUMMYFUNCTION("""COMPUTED_VALUE"""),"Breast")</f>
        <v>Breast</v>
      </c>
      <c r="AS169" s="292" t="str">
        <f>IFERROR(__xludf.DUMMYFUNCTION("""COMPUTED_VALUE"""),"Broccoli")</f>
        <v>Broccoli</v>
      </c>
      <c r="AT169" s="292" t="str">
        <f>IFERROR(__xludf.DUMMYFUNCTION("""COMPUTED_VALUE"""),"Cauliflower Rice")</f>
        <v>Cauliflower Rice</v>
      </c>
      <c r="AU169" s="292"/>
      <c r="AV169" s="292"/>
      <c r="AW169" s="292" t="str">
        <f>IFERROR(__xludf.DUMMYFUNCTION("""COMPUTED_VALUE"""),"Year Round")</f>
        <v>Year Round</v>
      </c>
      <c r="AX169" s="292" t="str">
        <f>IFERROR(__xludf.DUMMYFUNCTION("""COMPUTED_VALUE"""),"American")</f>
        <v>American</v>
      </c>
      <c r="AY169" s="292"/>
      <c r="AZ169" s="292" t="str">
        <f>IFERROR(__xludf.DUMMYFUNCTION("""COMPUTED_VALUE"""),"2 CT")</f>
        <v>2 CT</v>
      </c>
      <c r="BA169" s="292" t="b">
        <f>IFERROR(__xludf.DUMMYFUNCTION("""COMPUTED_VALUE"""),FALSE)</f>
        <v>0</v>
      </c>
      <c r="BB169" s="342">
        <f>IFERROR(__xludf.DUMMYFUNCTION("""COMPUTED_VALUE"""),2.65)</f>
        <v>2.65</v>
      </c>
      <c r="BC169" s="342">
        <f>IFERROR(__xludf.DUMMYFUNCTION("""COMPUTED_VALUE"""),1.08)</f>
        <v>1.08</v>
      </c>
      <c r="BD169" s="342">
        <f>IFERROR(__xludf.DUMMYFUNCTION("""COMPUTED_VALUE"""),0.41)</f>
        <v>0.41</v>
      </c>
      <c r="BE169" s="342">
        <f>IFERROR(__xludf.DUMMYFUNCTION("""COMPUTED_VALUE"""),0.89)</f>
        <v>0.89</v>
      </c>
      <c r="BF169" s="296">
        <f>IFERROR(__xludf.DUMMYFUNCTION("""COMPUTED_VALUE"""),3.365)</f>
        <v>3.365</v>
      </c>
      <c r="BG169" s="296">
        <f>IFERROR(__xludf.DUMMYFUNCTION("""COMPUTED_VALUE"""),3.125)</f>
        <v>3.125</v>
      </c>
      <c r="BH169" s="296">
        <f>IFERROR(__xludf.DUMMYFUNCTION("""COMPUTED_VALUE"""),3.505)</f>
        <v>3.505</v>
      </c>
      <c r="BI169" s="295">
        <f>IFERROR(__xludf.DUMMYFUNCTION("""COMPUTED_VALUE"""),154.0)</f>
        <v>154</v>
      </c>
      <c r="BJ169" s="292"/>
      <c r="BK169" s="346">
        <f>IFERROR(__xludf.DUMMYFUNCTION("""COMPUTED_VALUE"""),2531.0)</f>
        <v>2531</v>
      </c>
      <c r="BL169" s="292"/>
      <c r="BM169" s="292"/>
      <c r="BN169" s="292"/>
      <c r="BO169" s="292"/>
      <c r="BP169" s="292"/>
      <c r="BQ169" s="292" t="str">
        <f>IFERROR(__xludf.DUMMYFUNCTION("""COMPUTED_VALUE"""),"New")</f>
        <v>New</v>
      </c>
      <c r="BR169" s="292" t="b">
        <f>IFERROR(__xludf.DUMMYFUNCTION("""COMPUTED_VALUE"""),FALSE)</f>
        <v>0</v>
      </c>
      <c r="BS169" s="292" t="b">
        <f>IFERROR(__xludf.DUMMYFUNCTION("""COMPUTED_VALUE"""),FALSE)</f>
        <v>0</v>
      </c>
      <c r="BT169" s="292"/>
      <c r="BU169" s="292"/>
      <c r="BV169" s="292"/>
      <c r="BW169" s="292"/>
    </row>
    <row r="170">
      <c r="A170" s="292" t="str">
        <f>IFERROR(__xludf.DUMMYFUNCTION("""COMPUTED_VALUE"""),"FE0322O")</f>
        <v>FE0322O</v>
      </c>
      <c r="B170" s="292" t="str">
        <f>IFERROR(__xludf.DUMMYFUNCTION("""COMPUTED_VALUE"""),"CON-40-149479-4")</f>
        <v>CON-40-149479-4</v>
      </c>
      <c r="C170" s="292" t="str">
        <f>IFERROR(__xludf.DUMMYFUNCTION("""COMPUTED_VALUE"""),"CON-00-149481-2")</f>
        <v>CON-00-149481-2</v>
      </c>
      <c r="D170" s="292" t="str">
        <f>IFERROR(__xludf.DUMMYFUNCTION("""COMPUTED_VALUE"""),"CON-00-149480-2")</f>
        <v>CON-00-149480-2</v>
      </c>
      <c r="E170" s="292" t="str">
        <f>IFERROR(__xludf.DUMMYFUNCTION("""COMPUTED_VALUE"""),"Sour Cream &amp; Chive Chicken")</f>
        <v>Sour Cream &amp; Chive Chicken</v>
      </c>
      <c r="F170" s="292" t="str">
        <f>IFERROR(__xludf.DUMMYFUNCTION("""COMPUTED_VALUE"""),"with roasted broccoli and green beans")</f>
        <v>with roasted broccoli and green beans</v>
      </c>
      <c r="G170" s="292" t="str">
        <f>IFERROR(__xludf.DUMMYFUNCTION("""COMPUTED_VALUE"""),"Kip met zure room en bieslook")</f>
        <v>Kip met zure room en bieslook</v>
      </c>
      <c r="H170" s="292" t="str">
        <f>IFERROR(__xludf.DUMMYFUNCTION("""COMPUTED_VALUE"""),"Met geroosterde broccoli en sperziebonen")</f>
        <v>Met geroosterde broccoli en sperziebonen</v>
      </c>
      <c r="I170" s="292" t="str">
        <f>IFERROR(__xludf.DUMMYFUNCTION("""COMPUTED_VALUE"""),"Kylling med syrnet fløde og purløg")</f>
        <v>Kylling med syrnet fløde og purløg</v>
      </c>
      <c r="J170" s="292" t="str">
        <f>IFERROR(__xludf.DUMMYFUNCTION("""COMPUTED_VALUE"""),"Hähnchen mit Sauerrahm und Schnittlauch")</f>
        <v>Hähnchen mit Sauerrahm und Schnittlauch</v>
      </c>
      <c r="K170" s="292">
        <f>IFERROR(__xludf.DUMMYFUNCTION("""COMPUTED_VALUE"""),565163.0)</f>
        <v>565163</v>
      </c>
      <c r="L170" s="292" t="str">
        <f>IFERROR(__xludf.DUMMYFUNCTION("""COMPUTED_VALUE"""),"HF Kip bieslook aardappel pure")</f>
        <v>HF Kip bieslook aardappel pure</v>
      </c>
      <c r="M170" s="292" t="str">
        <f>IFERROR(__xludf.DUMMYFUNCTION("""COMPUTED_VALUE"""),"FA-NL Kip met zure room en bieslook (FE0322)")</f>
        <v>FA-NL Kip met zure room en bieslook (FE0322)</v>
      </c>
      <c r="N170" s="292" t="str">
        <f>IFERROR(__xludf.DUMMYFUNCTION("""COMPUTED_VALUE"""),"FA-NO Kylling med cremefraiche og purløg (FE0322)")</f>
        <v>FA-NO Kylling med cremefraiche og purløg (FE0322)</v>
      </c>
      <c r="O170" s="292" t="str">
        <f>IFERROR(__xludf.DUMMYFUNCTION("""COMPUTED_VALUE"""),"FA-DE Hähnchen mit Sauerrahm und Schnittlauch (FE0322)")</f>
        <v>FA-DE Hähnchen mit Sauerrahm und Schnittlauch (FE0322)</v>
      </c>
      <c r="P170" s="292" t="str">
        <f>IFERROR(__xludf.DUMMYFUNCTION("""COMPUTED_VALUE"""),"Active")</f>
        <v>Active</v>
      </c>
      <c r="Q170" s="292"/>
      <c r="R170" s="342">
        <f>IFERROR(__xludf.DUMMYFUNCTION("""COMPUTED_VALUE"""),4.7)</f>
        <v>4.7</v>
      </c>
      <c r="S170" s="292"/>
      <c r="T170" s="292"/>
      <c r="U170" s="292"/>
      <c r="V170" s="292"/>
      <c r="W170" s="292" t="b">
        <f>IFERROR(__xludf.DUMMYFUNCTION("""COMPUTED_VALUE"""),TRUE)</f>
        <v>1</v>
      </c>
      <c r="X170" s="345">
        <f>IFERROR(__xludf.DUMMYFUNCTION("""COMPUTED_VALUE"""),396.0)</f>
        <v>396</v>
      </c>
      <c r="Y170" s="344">
        <f>IFERROR(__xludf.DUMMYFUNCTION("""COMPUTED_VALUE"""),459.0)</f>
        <v>459</v>
      </c>
      <c r="Z170" s="343">
        <f>IFERROR(__xludf.DUMMYFUNCTION("""COMPUTED_VALUE"""),26.0)</f>
        <v>26</v>
      </c>
      <c r="AA170" s="344">
        <f>IFERROR(__xludf.DUMMYFUNCTION("""COMPUTED_VALUE"""),11.6)</f>
        <v>11.6</v>
      </c>
      <c r="AB170" s="344">
        <f>IFERROR(__xludf.DUMMYFUNCTION("""COMPUTED_VALUE"""),21.4)</f>
        <v>21.4</v>
      </c>
      <c r="AC170" s="344">
        <f>IFERROR(__xludf.DUMMYFUNCTION("""COMPUTED_VALUE"""),4.4)</f>
        <v>4.4</v>
      </c>
      <c r="AD170" s="344">
        <f>IFERROR(__xludf.DUMMYFUNCTION("""COMPUTED_VALUE"""),9.5)</f>
        <v>9.5</v>
      </c>
      <c r="AE170" s="343">
        <f>IFERROR(__xludf.DUMMYFUNCTION("""COMPUTED_VALUE"""),30.8)</f>
        <v>30.8</v>
      </c>
      <c r="AF170" s="343">
        <f>IFERROR(__xludf.DUMMYFUNCTION("""COMPUTED_VALUE"""),2.03)</f>
        <v>2.03</v>
      </c>
      <c r="AG170" s="292" t="b">
        <f>IFERROR(__xludf.DUMMYFUNCTION("""COMPUTED_VALUE"""),FALSE)</f>
        <v>0</v>
      </c>
      <c r="AH170" s="292" t="b">
        <f>IFERROR(__xludf.DUMMYFUNCTION("""COMPUTED_VALUE"""),FALSE)</f>
        <v>0</v>
      </c>
      <c r="AI170" s="292" t="b">
        <f>IFERROR(__xludf.DUMMYFUNCTION("""COMPUTED_VALUE"""),TRUE)</f>
        <v>1</v>
      </c>
      <c r="AJ170" s="292" t="b">
        <f>IFERROR(__xludf.DUMMYFUNCTION("""COMPUTED_VALUE"""),FALSE)</f>
        <v>0</v>
      </c>
      <c r="AK170" s="292" t="b">
        <f>IFERROR(__xludf.DUMMYFUNCTION("""COMPUTED_VALUE"""),FALSE)</f>
        <v>0</v>
      </c>
      <c r="AL170" s="292" t="b">
        <f>IFERROR(__xludf.DUMMYFUNCTION("""COMPUTED_VALUE"""),FALSE)</f>
        <v>0</v>
      </c>
      <c r="AM170" s="292" t="b">
        <f>IFERROR(__xludf.DUMMYFUNCTION("""COMPUTED_VALUE"""),TRUE)</f>
        <v>1</v>
      </c>
      <c r="AN170" s="292" t="b">
        <f>IFERROR(__xludf.DUMMYFUNCTION("""COMPUTED_VALUE"""),FALSE)</f>
        <v>0</v>
      </c>
      <c r="AO170" s="292" t="str">
        <f>IFERROR(__xludf.DUMMYFUNCTION("""COMPUTED_VALUE"""),"TRUE")</f>
        <v>TRUE</v>
      </c>
      <c r="AP170" s="292" t="str">
        <f>IFERROR(__xludf.DUMMYFUNCTION("""COMPUTED_VALUE"""),"Chicken breast")</f>
        <v>Chicken breast</v>
      </c>
      <c r="AQ170" s="292" t="str">
        <f>IFERROR(__xludf.DUMMYFUNCTION("""COMPUTED_VALUE"""),"Chicken")</f>
        <v>Chicken</v>
      </c>
      <c r="AR170" s="292" t="str">
        <f>IFERROR(__xludf.DUMMYFUNCTION("""COMPUTED_VALUE"""),"Breast")</f>
        <v>Breast</v>
      </c>
      <c r="AS170" s="292" t="str">
        <f>IFERROR(__xludf.DUMMYFUNCTION("""COMPUTED_VALUE"""),"Potato Mash")</f>
        <v>Potato Mash</v>
      </c>
      <c r="AT170" s="292" t="str">
        <f>IFERROR(__xludf.DUMMYFUNCTION("""COMPUTED_VALUE"""),"Broccoli")</f>
        <v>Broccoli</v>
      </c>
      <c r="AU170" s="292" t="str">
        <f>IFERROR(__xludf.DUMMYFUNCTION("""COMPUTED_VALUE"""),"Green Beans")</f>
        <v>Green Beans</v>
      </c>
      <c r="AV170" s="292" t="str">
        <f>IFERROR(__xludf.DUMMYFUNCTION("""COMPUTED_VALUE"""),"Compound Butter")</f>
        <v>Compound Butter</v>
      </c>
      <c r="AW170" s="292" t="str">
        <f>IFERROR(__xludf.DUMMYFUNCTION("""COMPUTED_VALUE"""),"Year Round")</f>
        <v>Year Round</v>
      </c>
      <c r="AX170" s="292" t="str">
        <f>IFERROR(__xludf.DUMMYFUNCTION("""COMPUTED_VALUE"""),"American")</f>
        <v>American</v>
      </c>
      <c r="AY170" s="292"/>
      <c r="AZ170" s="292" t="str">
        <f>IFERROR(__xludf.DUMMYFUNCTION("""COMPUTED_VALUE"""),"2 CT")</f>
        <v>2 CT</v>
      </c>
      <c r="BA170" s="292" t="b">
        <f>IFERROR(__xludf.DUMMYFUNCTION("""COMPUTED_VALUE"""),FALSE)</f>
        <v>0</v>
      </c>
      <c r="BB170" s="342">
        <f>IFERROR(__xludf.DUMMYFUNCTION("""COMPUTED_VALUE"""),2.42)</f>
        <v>2.42</v>
      </c>
      <c r="BC170" s="342">
        <f>IFERROR(__xludf.DUMMYFUNCTION("""COMPUTED_VALUE"""),1.24)</f>
        <v>1.24</v>
      </c>
      <c r="BD170" s="342">
        <f>IFERROR(__xludf.DUMMYFUNCTION("""COMPUTED_VALUE"""),0.41)</f>
        <v>0.41</v>
      </c>
      <c r="BE170" s="342">
        <f>IFERROR(__xludf.DUMMYFUNCTION("""COMPUTED_VALUE"""),0.89)</f>
        <v>0.89</v>
      </c>
      <c r="BF170" s="296">
        <f>IFERROR(__xludf.DUMMYFUNCTION("""COMPUTED_VALUE"""),3.33)</f>
        <v>3.33</v>
      </c>
      <c r="BG170" s="296">
        <f>IFERROR(__xludf.DUMMYFUNCTION("""COMPUTED_VALUE"""),3.2266666666666666)</f>
        <v>3.226666667</v>
      </c>
      <c r="BH170" s="296">
        <f>IFERROR(__xludf.DUMMYFUNCTION("""COMPUTED_VALUE"""),3.3666666666666667)</f>
        <v>3.366666667</v>
      </c>
      <c r="BI170" s="295">
        <f>IFERROR(__xludf.DUMMYFUNCTION("""COMPUTED_VALUE"""),195.0)</f>
        <v>195</v>
      </c>
      <c r="BJ170" s="292"/>
      <c r="BK170" s="346">
        <f>IFERROR(__xludf.DUMMYFUNCTION("""COMPUTED_VALUE"""),1924.0)</f>
        <v>1924</v>
      </c>
      <c r="BL170" s="292"/>
      <c r="BM170" s="292"/>
      <c r="BN170" s="292"/>
      <c r="BO170" s="292"/>
      <c r="BP170" s="292"/>
      <c r="BQ170" s="292" t="str">
        <f>IFERROR(__xludf.DUMMYFUNCTION("""COMPUTED_VALUE"""),"Proven")</f>
        <v>Proven</v>
      </c>
      <c r="BR170" s="292" t="b">
        <f>IFERROR(__xludf.DUMMYFUNCTION("""COMPUTED_VALUE"""),FALSE)</f>
        <v>0</v>
      </c>
      <c r="BS170" s="292" t="b">
        <f>IFERROR(__xludf.DUMMYFUNCTION("""COMPUTED_VALUE"""),FALSE)</f>
        <v>0</v>
      </c>
      <c r="BT170" s="292"/>
      <c r="BU170" s="292"/>
      <c r="BV170" s="292"/>
      <c r="BW170" s="292"/>
    </row>
    <row r="171">
      <c r="A171" s="292" t="str">
        <f>IFERROR(__xludf.DUMMYFUNCTION("""COMPUTED_VALUE"""),"FE1346B")</f>
        <v>FE1346B</v>
      </c>
      <c r="B171" s="292" t="str">
        <f>IFERROR(__xludf.DUMMYFUNCTION("""COMPUTED_VALUE"""),"CON-40-150387-4")</f>
        <v>CON-40-150387-4</v>
      </c>
      <c r="C171" s="292" t="str">
        <f>IFERROR(__xludf.DUMMYFUNCTION("""COMPUTED_VALUE"""),"CON-00-150389-2")</f>
        <v>CON-00-150389-2</v>
      </c>
      <c r="D171" s="292" t="str">
        <f>IFERROR(__xludf.DUMMYFUNCTION("""COMPUTED_VALUE"""),"CON-00-150388-2")</f>
        <v>CON-00-150388-2</v>
      </c>
      <c r="E171" s="292" t="str">
        <f>IFERROR(__xludf.DUMMYFUNCTION("""COMPUTED_VALUE"""),"Parmesan &amp; Garlic Cream Pulled Beef")</f>
        <v>Parmesan &amp; Garlic Cream Pulled Beef</v>
      </c>
      <c r="F171" s="292" t="str">
        <f>IFERROR(__xludf.DUMMYFUNCTION("""COMPUTED_VALUE"""),"with herb roasted potatoes, broccoli, and bell peppers")</f>
        <v>with herb roasted potatoes, broccoli, and bell peppers</v>
      </c>
      <c r="G171" s="292" t="str">
        <f>IFERROR(__xludf.DUMMYFUNCTION("""COMPUTED_VALUE"""),"Romige parmezaan-knoflook pulled beef")</f>
        <v>Romige parmezaan-knoflook pulled beef</v>
      </c>
      <c r="H171" s="292" t="str">
        <f>IFERROR(__xludf.DUMMYFUNCTION("""COMPUTED_VALUE"""),"met broccoli en aardappelpartjes met paprika")</f>
        <v>met broccoli en aardappelpartjes met paprika</v>
      </c>
      <c r="I171" s="292" t="str">
        <f>IFERROR(__xludf.DUMMYFUNCTION("""COMPUTED_VALUE"""),"Pulled beef med cremet parmesan og hvidløg")</f>
        <v>Pulled beef med cremet parmesan og hvidløg</v>
      </c>
      <c r="J171" s="292" t="str">
        <f>IFERROR(__xludf.DUMMYFUNCTION("""COMPUTED_VALUE"""),"Pulled Beef in Parmesan-Knoblauch-Creme")</f>
        <v>Pulled Beef in Parmesan-Knoblauch-Creme</v>
      </c>
      <c r="K171" s="292">
        <f>IFERROR(__xludf.DUMMYFUNCTION("""COMPUTED_VALUE"""),565184.0)</f>
        <v>565184</v>
      </c>
      <c r="L171" s="292" t="str">
        <f>IFERROR(__xludf.DUMMYFUNCTION("""COMPUTED_VALUE"""),"HF Pulled beef &amp; knoflook room")</f>
        <v>HF Pulled beef &amp; knoflook room</v>
      </c>
      <c r="M171" s="292" t="str">
        <f>IFERROR(__xludf.DUMMYFUNCTION("""COMPUTED_VALUE"""),"FA-NL Romige parmezaan-knoflook pulled beef (FE1346)")</f>
        <v>FA-NL Romige parmezaan-knoflook pulled beef (FE1346)</v>
      </c>
      <c r="N171" s="292" t="str">
        <f>IFERROR(__xludf.DUMMYFUNCTION("""COMPUTED_VALUE"""),"FA-NO Pulled beef med cremet parmesan og hvidløg (FE1346)")</f>
        <v>FA-NO Pulled beef med cremet parmesan og hvidløg (FE1346)</v>
      </c>
      <c r="O171" s="292" t="str">
        <f>IFERROR(__xludf.DUMMYFUNCTION("""COMPUTED_VALUE"""),"FA-DE Pulled Beef in Parmesan-Knoblauch-Creme (FE1346)")</f>
        <v>FA-DE Pulled Beef in Parmesan-Knoblauch-Creme (FE1346)</v>
      </c>
      <c r="P171" s="292" t="str">
        <f>IFERROR(__xludf.DUMMYFUNCTION("""COMPUTED_VALUE"""),"Active")</f>
        <v>Active</v>
      </c>
      <c r="Q171" s="292"/>
      <c r="R171" s="342">
        <f>IFERROR(__xludf.DUMMYFUNCTION("""COMPUTED_VALUE"""),4.13)</f>
        <v>4.13</v>
      </c>
      <c r="S171" s="292"/>
      <c r="T171" s="292"/>
      <c r="U171" s="292"/>
      <c r="V171" s="292"/>
      <c r="W171" s="292" t="b">
        <f>IFERROR(__xludf.DUMMYFUNCTION("""COMPUTED_VALUE"""),TRUE)</f>
        <v>1</v>
      </c>
      <c r="X171" s="345">
        <f>IFERROR(__xludf.DUMMYFUNCTION("""COMPUTED_VALUE"""),375.0)</f>
        <v>375</v>
      </c>
      <c r="Y171" s="344">
        <f>IFERROR(__xludf.DUMMYFUNCTION("""COMPUTED_VALUE"""),558.0)</f>
        <v>558</v>
      </c>
      <c r="Z171" s="343">
        <f>IFERROR(__xludf.DUMMYFUNCTION("""COMPUTED_VALUE"""),33.5)</f>
        <v>33.5</v>
      </c>
      <c r="AA171" s="344">
        <f>IFERROR(__xludf.DUMMYFUNCTION("""COMPUTED_VALUE"""),14.9)</f>
        <v>14.9</v>
      </c>
      <c r="AB171" s="344">
        <f>IFERROR(__xludf.DUMMYFUNCTION("""COMPUTED_VALUE"""),21.3)</f>
        <v>21.3</v>
      </c>
      <c r="AC171" s="344">
        <f>IFERROR(__xludf.DUMMYFUNCTION("""COMPUTED_VALUE"""),8.4)</f>
        <v>8.4</v>
      </c>
      <c r="AD171" s="344">
        <f>IFERROR(__xludf.DUMMYFUNCTION("""COMPUTED_VALUE"""),7.5)</f>
        <v>7.5</v>
      </c>
      <c r="AE171" s="343">
        <f>IFERROR(__xludf.DUMMYFUNCTION("""COMPUTED_VALUE"""),39.2)</f>
        <v>39.2</v>
      </c>
      <c r="AF171" s="343">
        <f>IFERROR(__xludf.DUMMYFUNCTION("""COMPUTED_VALUE"""),2.0)</f>
        <v>2</v>
      </c>
      <c r="AG171" s="292" t="b">
        <f>IFERROR(__xludf.DUMMYFUNCTION("""COMPUTED_VALUE"""),FALSE)</f>
        <v>0</v>
      </c>
      <c r="AH171" s="292" t="b">
        <f>IFERROR(__xludf.DUMMYFUNCTION("""COMPUTED_VALUE"""),FALSE)</f>
        <v>0</v>
      </c>
      <c r="AI171" s="292" t="b">
        <f>IFERROR(__xludf.DUMMYFUNCTION("""COMPUTED_VALUE"""),FALSE)</f>
        <v>0</v>
      </c>
      <c r="AJ171" s="292" t="b">
        <f>IFERROR(__xludf.DUMMYFUNCTION("""COMPUTED_VALUE"""),FALSE)</f>
        <v>0</v>
      </c>
      <c r="AK171" s="292" t="b">
        <f>IFERROR(__xludf.DUMMYFUNCTION("""COMPUTED_VALUE"""),FALSE)</f>
        <v>0</v>
      </c>
      <c r="AL171" s="292" t="b">
        <f>IFERROR(__xludf.DUMMYFUNCTION("""COMPUTED_VALUE"""),FALSE)</f>
        <v>0</v>
      </c>
      <c r="AM171" s="292" t="b">
        <f>IFERROR(__xludf.DUMMYFUNCTION("""COMPUTED_VALUE"""),TRUE)</f>
        <v>1</v>
      </c>
      <c r="AN171" s="292" t="b">
        <f>IFERROR(__xludf.DUMMYFUNCTION("""COMPUTED_VALUE"""),FALSE)</f>
        <v>0</v>
      </c>
      <c r="AO171" s="292" t="str">
        <f>IFERROR(__xludf.DUMMYFUNCTION("""COMPUTED_VALUE"""),"FALSE")</f>
        <v>FALSE</v>
      </c>
      <c r="AP171" s="292" t="str">
        <f>IFERROR(__xludf.DUMMYFUNCTION("""COMPUTED_VALUE"""),"Shredded beef")</f>
        <v>Shredded beef</v>
      </c>
      <c r="AQ171" s="292" t="str">
        <f>IFERROR(__xludf.DUMMYFUNCTION("""COMPUTED_VALUE"""),"Beef")</f>
        <v>Beef</v>
      </c>
      <c r="AR171" s="292" t="str">
        <f>IFERROR(__xludf.DUMMYFUNCTION("""COMPUTED_VALUE"""),"Pulled")</f>
        <v>Pulled</v>
      </c>
      <c r="AS171" s="292" t="str">
        <f>IFERROR(__xludf.DUMMYFUNCTION("""COMPUTED_VALUE"""),"Potato Non-Mash")</f>
        <v>Potato Non-Mash</v>
      </c>
      <c r="AT171" s="292" t="str">
        <f>IFERROR(__xludf.DUMMYFUNCTION("""COMPUTED_VALUE"""),"Broccoli")</f>
        <v>Broccoli</v>
      </c>
      <c r="AU171" s="292" t="str">
        <f>IFERROR(__xludf.DUMMYFUNCTION("""COMPUTED_VALUE"""),"Creamy Sauce Base")</f>
        <v>Creamy Sauce Base</v>
      </c>
      <c r="AV171" s="292" t="str">
        <f>IFERROR(__xludf.DUMMYFUNCTION("""COMPUTED_VALUE"""),"Compound Butter")</f>
        <v>Compound Butter</v>
      </c>
      <c r="AW171" s="292" t="str">
        <f>IFERROR(__xludf.DUMMYFUNCTION("""COMPUTED_VALUE"""),"Year Round")</f>
        <v>Year Round</v>
      </c>
      <c r="AX171" s="292" t="str">
        <f>IFERROR(__xludf.DUMMYFUNCTION("""COMPUTED_VALUE"""),"American")</f>
        <v>American</v>
      </c>
      <c r="AY171" s="292"/>
      <c r="AZ171" s="292" t="str">
        <f>IFERROR(__xludf.DUMMYFUNCTION("""COMPUTED_VALUE"""),"2 CT")</f>
        <v>2 CT</v>
      </c>
      <c r="BA171" s="292" t="b">
        <f>IFERROR(__xludf.DUMMYFUNCTION("""COMPUTED_VALUE"""),TRUE)</f>
        <v>1</v>
      </c>
      <c r="BB171" s="342">
        <f>IFERROR(__xludf.DUMMYFUNCTION("""COMPUTED_VALUE"""),2.2)</f>
        <v>2.2</v>
      </c>
      <c r="BC171" s="342">
        <f>IFERROR(__xludf.DUMMYFUNCTION("""COMPUTED_VALUE"""),1.35)</f>
        <v>1.35</v>
      </c>
      <c r="BD171" s="342">
        <f>IFERROR(__xludf.DUMMYFUNCTION("""COMPUTED_VALUE"""),0.41)</f>
        <v>0.41</v>
      </c>
      <c r="BE171" s="342">
        <f>IFERROR(__xludf.DUMMYFUNCTION("""COMPUTED_VALUE"""),0.89)</f>
        <v>0.89</v>
      </c>
      <c r="BF171" s="296">
        <f>IFERROR(__xludf.DUMMYFUNCTION("""COMPUTED_VALUE"""),3.393333333333333)</f>
        <v>3.393333333</v>
      </c>
      <c r="BG171" s="296">
        <f>IFERROR(__xludf.DUMMYFUNCTION("""COMPUTED_VALUE"""),3.4133333333333336)</f>
        <v>3.413333333</v>
      </c>
      <c r="BH171" s="296">
        <f>IFERROR(__xludf.DUMMYFUNCTION("""COMPUTED_VALUE"""),3.283333333333333)</f>
        <v>3.283333333</v>
      </c>
      <c r="BI171" s="295">
        <f>IFERROR(__xludf.DUMMYFUNCTION("""COMPUTED_VALUE"""),152.0)</f>
        <v>152</v>
      </c>
      <c r="BJ171" s="292"/>
      <c r="BK171" s="346">
        <f>IFERROR(__xludf.DUMMYFUNCTION("""COMPUTED_VALUE"""),2329.0)</f>
        <v>2329</v>
      </c>
      <c r="BL171" s="292"/>
      <c r="BM171" s="292"/>
      <c r="BN171" s="292"/>
      <c r="BO171" s="292"/>
      <c r="BP171" s="292"/>
      <c r="BQ171" s="292" t="str">
        <f>IFERROR(__xludf.DUMMYFUNCTION("""COMPUTED_VALUE"""),"Proven")</f>
        <v>Proven</v>
      </c>
      <c r="BR171" s="292" t="b">
        <f>IFERROR(__xludf.DUMMYFUNCTION("""COMPUTED_VALUE"""),FALSE)</f>
        <v>0</v>
      </c>
      <c r="BS171" s="292" t="b">
        <f>IFERROR(__xludf.DUMMYFUNCTION("""COMPUTED_VALUE"""),FALSE)</f>
        <v>0</v>
      </c>
      <c r="BT171" s="292"/>
      <c r="BU171" s="292"/>
      <c r="BV171" s="292"/>
      <c r="BW171" s="292"/>
    </row>
    <row r="172">
      <c r="A172" s="292" t="str">
        <f>IFERROR(__xludf.DUMMYFUNCTION("""COMPUTED_VALUE"""),"FE1131D")</f>
        <v>FE1131D</v>
      </c>
      <c r="B172" s="292" t="str">
        <f>IFERROR(__xludf.DUMMYFUNCTION("""COMPUTED_VALUE"""),"CON-40-149988-4")</f>
        <v>CON-40-149988-4</v>
      </c>
      <c r="C172" s="292" t="str">
        <f>IFERROR(__xludf.DUMMYFUNCTION("""COMPUTED_VALUE"""),"CON-00-149990-2")</f>
        <v>CON-00-149990-2</v>
      </c>
      <c r="D172" s="292" t="str">
        <f>IFERROR(__xludf.DUMMYFUNCTION("""COMPUTED_VALUE"""),"CON-00-149989-2")</f>
        <v>CON-00-149989-2</v>
      </c>
      <c r="E172" s="292" t="str">
        <f>IFERROR(__xludf.DUMMYFUNCTION("""COMPUTED_VALUE"""),"Tex-Mex Style Chicken Thigh Tinga")</f>
        <v>Tex-Mex Style Chicken Thigh Tinga</v>
      </c>
      <c r="F172" s="292" t="str">
        <f>IFERROR(__xludf.DUMMYFUNCTION("""COMPUTED_VALUE"""),"with a mix of basmati rice, cauliflower rice and black beans, courgette-paprika mix
and coriander cream")</f>
        <v>with a mix of basmati rice, cauliflower rice and black beans, courgette-paprika mix
and coriander cream</v>
      </c>
      <c r="G172" s="292" t="str">
        <f>IFERROR(__xludf.DUMMYFUNCTION("""COMPUTED_VALUE"""),"Tex-Mex stijl pulled chicken")</f>
        <v>Tex-Mex stijl pulled chicken</v>
      </c>
      <c r="H172" s="292" t="str">
        <f>IFERROR(__xludf.DUMMYFUNCTION("""COMPUTED_VALUE"""),"met een mix van basmatirijst, bloemkoolrijst en zwarte bonen, courgette-paprika mix
en koriandercrème")</f>
        <v>met een mix van basmatirijst, bloemkoolrijst en zwarte bonen, courgette-paprika mix
en koriandercrème</v>
      </c>
      <c r="I172" s="292" t="str">
        <f>IFERROR(__xludf.DUMMYFUNCTION("""COMPUTED_VALUE"""),"Tinga-style Tex-Mex-kyllingelår")</f>
        <v>Tinga-style Tex-Mex-kyllingelår</v>
      </c>
      <c r="J172" s="292" t="str">
        <f>IFERROR(__xludf.DUMMYFUNCTION("""COMPUTED_VALUE"""),"Tex-Mex Hähnchen-Tinga")</f>
        <v>Tex-Mex Hähnchen-Tinga</v>
      </c>
      <c r="K172" s="292">
        <f>IFERROR(__xludf.DUMMYFUNCTION("""COMPUTED_VALUE"""),565166.0)</f>
        <v>565166</v>
      </c>
      <c r="L172" s="292" t="str">
        <f>IFERROR(__xludf.DUMMYFUNCTION("""COMPUTED_VALUE"""),"HF Tex Mex style pulled chicke")</f>
        <v>HF Tex Mex style pulled chicke</v>
      </c>
      <c r="M172" s="292" t="str">
        <f>IFERROR(__xludf.DUMMYFUNCTION("""COMPUTED_VALUE"""),"FA-NL Tex-Mex stijl pulled chicken (FE1131)")</f>
        <v>FA-NL Tex-Mex stijl pulled chicken (FE1131)</v>
      </c>
      <c r="N172" s="292" t="str">
        <f>IFERROR(__xludf.DUMMYFUNCTION("""COMPUTED_VALUE"""),"FA-NO Tinga-style Tex-Mex-kyllingelår (FE1131)")</f>
        <v>FA-NO Tinga-style Tex-Mex-kyllingelår (FE1131)</v>
      </c>
      <c r="O172" s="292" t="str">
        <f>IFERROR(__xludf.DUMMYFUNCTION("""COMPUTED_VALUE"""),"FA-DE Tex-Mex Hähnchen-Tinga (FE1131)")</f>
        <v>FA-DE Tex-Mex Hähnchen-Tinga (FE1131)</v>
      </c>
      <c r="P172" s="292" t="str">
        <f>IFERROR(__xludf.DUMMYFUNCTION("""COMPUTED_VALUE"""),"Active")</f>
        <v>Active</v>
      </c>
      <c r="Q172" s="292"/>
      <c r="R172" s="342">
        <f>IFERROR(__xludf.DUMMYFUNCTION("""COMPUTED_VALUE"""),4.9399999999999995)</f>
        <v>4.94</v>
      </c>
      <c r="S172" s="292"/>
      <c r="T172" s="292"/>
      <c r="U172" s="292"/>
      <c r="V172" s="292"/>
      <c r="W172" s="292" t="b">
        <f>IFERROR(__xludf.DUMMYFUNCTION("""COMPUTED_VALUE"""),TRUE)</f>
        <v>1</v>
      </c>
      <c r="X172" s="345">
        <f>IFERROR(__xludf.DUMMYFUNCTION("""COMPUTED_VALUE"""),404.0)</f>
        <v>404</v>
      </c>
      <c r="Y172" s="344">
        <f>IFERROR(__xludf.DUMMYFUNCTION("""COMPUTED_VALUE"""),493.0)</f>
        <v>493</v>
      </c>
      <c r="Z172" s="343">
        <f>IFERROR(__xludf.DUMMYFUNCTION("""COMPUTED_VALUE"""),25.7)</f>
        <v>25.7</v>
      </c>
      <c r="AA172" s="344">
        <f>IFERROR(__xludf.DUMMYFUNCTION("""COMPUTED_VALUE"""),7.4)</f>
        <v>7.4</v>
      </c>
      <c r="AB172" s="344">
        <f>IFERROR(__xludf.DUMMYFUNCTION("""COMPUTED_VALUE"""),33.3)</f>
        <v>33.3</v>
      </c>
      <c r="AC172" s="344">
        <f>IFERROR(__xludf.DUMMYFUNCTION("""COMPUTED_VALUE"""),9.8)</f>
        <v>9.8</v>
      </c>
      <c r="AD172" s="344">
        <f>IFERROR(__xludf.DUMMYFUNCTION("""COMPUTED_VALUE"""),9.7)</f>
        <v>9.7</v>
      </c>
      <c r="AE172" s="343">
        <f>IFERROR(__xludf.DUMMYFUNCTION("""COMPUTED_VALUE"""),30.3)</f>
        <v>30.3</v>
      </c>
      <c r="AF172" s="343">
        <f>IFERROR(__xludf.DUMMYFUNCTION("""COMPUTED_VALUE"""),2.03)</f>
        <v>2.03</v>
      </c>
      <c r="AG172" s="292" t="b">
        <f>IFERROR(__xludf.DUMMYFUNCTION("""COMPUTED_VALUE"""),TRUE)</f>
        <v>1</v>
      </c>
      <c r="AH172" s="292" t="b">
        <f>IFERROR(__xludf.DUMMYFUNCTION("""COMPUTED_VALUE"""),FALSE)</f>
        <v>0</v>
      </c>
      <c r="AI172" s="292" t="b">
        <f>IFERROR(__xludf.DUMMYFUNCTION("""COMPUTED_VALUE"""),TRUE)</f>
        <v>1</v>
      </c>
      <c r="AJ172" s="292" t="b">
        <f>IFERROR(__xludf.DUMMYFUNCTION("""COMPUTED_VALUE"""),FALSE)</f>
        <v>0</v>
      </c>
      <c r="AK172" s="292" t="b">
        <f>IFERROR(__xludf.DUMMYFUNCTION("""COMPUTED_VALUE"""),FALSE)</f>
        <v>0</v>
      </c>
      <c r="AL172" s="292" t="b">
        <f>IFERROR(__xludf.DUMMYFUNCTION("""COMPUTED_VALUE"""),FALSE)</f>
        <v>0</v>
      </c>
      <c r="AM172" s="292" t="b">
        <f>IFERROR(__xludf.DUMMYFUNCTION("""COMPUTED_VALUE"""),TRUE)</f>
        <v>1</v>
      </c>
      <c r="AN172" s="292" t="b">
        <f>IFERROR(__xludf.DUMMYFUNCTION("""COMPUTED_VALUE"""),FALSE)</f>
        <v>0</v>
      </c>
      <c r="AO172" s="292" t="str">
        <f>IFERROR(__xludf.DUMMYFUNCTION("""COMPUTED_VALUE"""),"TRUE")</f>
        <v>TRUE</v>
      </c>
      <c r="AP172" s="292" t="str">
        <f>IFERROR(__xludf.DUMMYFUNCTION("""COMPUTED_VALUE"""),"Shredded chicken")</f>
        <v>Shredded chicken</v>
      </c>
      <c r="AQ172" s="292" t="str">
        <f>IFERROR(__xludf.DUMMYFUNCTION("""COMPUTED_VALUE"""),"Chicken")</f>
        <v>Chicken</v>
      </c>
      <c r="AR172" s="292" t="str">
        <f>IFERROR(__xludf.DUMMYFUNCTION("""COMPUTED_VALUE"""),"Thigh")</f>
        <v>Thigh</v>
      </c>
      <c r="AS172" s="292" t="str">
        <f>IFERROR(__xludf.DUMMYFUNCTION("""COMPUTED_VALUE"""),"Rice")</f>
        <v>Rice</v>
      </c>
      <c r="AT172" s="292" t="str">
        <f>IFERROR(__xludf.DUMMYFUNCTION("""COMPUTED_VALUE"""),"Pepper Mix")</f>
        <v>Pepper Mix</v>
      </c>
      <c r="AU172" s="292" t="str">
        <f>IFERROR(__xludf.DUMMYFUNCTION("""COMPUTED_VALUE"""),"Cupped Sauce")</f>
        <v>Cupped Sauce</v>
      </c>
      <c r="AV172" s="292"/>
      <c r="AW172" s="292" t="str">
        <f>IFERROR(__xludf.DUMMYFUNCTION("""COMPUTED_VALUE"""),"Year Round")</f>
        <v>Year Round</v>
      </c>
      <c r="AX172" s="292" t="str">
        <f>IFERROR(__xludf.DUMMYFUNCTION("""COMPUTED_VALUE"""),"Mexican")</f>
        <v>Mexican</v>
      </c>
      <c r="AY172" s="292"/>
      <c r="AZ172" s="292" t="str">
        <f>IFERROR(__xludf.DUMMYFUNCTION("""COMPUTED_VALUE"""),"2 CT")</f>
        <v>2 CT</v>
      </c>
      <c r="BA172" s="292" t="b">
        <f>IFERROR(__xludf.DUMMYFUNCTION("""COMPUTED_VALUE"""),TRUE)</f>
        <v>1</v>
      </c>
      <c r="BB172" s="342">
        <f>IFERROR(__xludf.DUMMYFUNCTION("""COMPUTED_VALUE"""),1.68)</f>
        <v>1.68</v>
      </c>
      <c r="BC172" s="342">
        <f>IFERROR(__xludf.DUMMYFUNCTION("""COMPUTED_VALUE"""),1.58)</f>
        <v>1.58</v>
      </c>
      <c r="BD172" s="342">
        <f>IFERROR(__xludf.DUMMYFUNCTION("""COMPUTED_VALUE"""),0.44)</f>
        <v>0.44</v>
      </c>
      <c r="BE172" s="342">
        <f>IFERROR(__xludf.DUMMYFUNCTION("""COMPUTED_VALUE"""),0.89)</f>
        <v>0.89</v>
      </c>
      <c r="BF172" s="296">
        <f>IFERROR(__xludf.DUMMYFUNCTION("""COMPUTED_VALUE"""),3.1734932607568687)</f>
        <v>3.173493261</v>
      </c>
      <c r="BG172" s="296">
        <f>IFERROR(__xludf.DUMMYFUNCTION("""COMPUTED_VALUE"""),3.3023687670342676)</f>
        <v>3.302368767</v>
      </c>
      <c r="BH172" s="296">
        <f>IFERROR(__xludf.DUMMYFUNCTION("""COMPUTED_VALUE"""),3.3924501424501425)</f>
        <v>3.392450142</v>
      </c>
      <c r="BI172" s="295">
        <f>IFERROR(__xludf.DUMMYFUNCTION("""COMPUTED_VALUE"""),165.0)</f>
        <v>165</v>
      </c>
      <c r="BJ172" s="292"/>
      <c r="BK172" s="346">
        <f>IFERROR(__xludf.DUMMYFUNCTION("""COMPUTED_VALUE"""),2055.0)</f>
        <v>2055</v>
      </c>
      <c r="BL172" s="292"/>
      <c r="BM172" s="292"/>
      <c r="BN172" s="292"/>
      <c r="BO172" s="292"/>
      <c r="BP172" s="292"/>
      <c r="BQ172" s="292" t="str">
        <f>IFERROR(__xludf.DUMMYFUNCTION("""COMPUTED_VALUE"""),"Hospital")</f>
        <v>Hospital</v>
      </c>
      <c r="BR172" s="292" t="b">
        <f>IFERROR(__xludf.DUMMYFUNCTION("""COMPUTED_VALUE"""),FALSE)</f>
        <v>0</v>
      </c>
      <c r="BS172" s="292" t="b">
        <f>IFERROR(__xludf.DUMMYFUNCTION("""COMPUTED_VALUE"""),FALSE)</f>
        <v>0</v>
      </c>
      <c r="BT172" s="292"/>
      <c r="BU172" s="292"/>
      <c r="BV172" s="292"/>
      <c r="BW172" s="292"/>
    </row>
    <row r="173">
      <c r="A173" s="292" t="str">
        <f>IFERROR(__xludf.DUMMYFUNCTION("""COMPUTED_VALUE"""),"FE0036E")</f>
        <v>FE0036E</v>
      </c>
      <c r="B173" s="292" t="str">
        <f>IFERROR(__xludf.DUMMYFUNCTION("""COMPUTED_VALUE"""),"CON-40-143755-4")</f>
        <v>CON-40-143755-4</v>
      </c>
      <c r="C173" s="292" t="str">
        <f>IFERROR(__xludf.DUMMYFUNCTION("""COMPUTED_VALUE"""),"CON-00-147814-2")</f>
        <v>CON-00-147814-2</v>
      </c>
      <c r="D173" s="292" t="str">
        <f>IFERROR(__xludf.DUMMYFUNCTION("""COMPUTED_VALUE"""),"CON-00-136617-3")</f>
        <v>CON-00-136617-3</v>
      </c>
      <c r="E173" s="292" t="str">
        <f>IFERROR(__xludf.DUMMYFUNCTION("""COMPUTED_VALUE"""),"Salmon on cheesy cauliflower rice")</f>
        <v>Salmon on cheesy cauliflower rice</v>
      </c>
      <c r="F173" s="292" t="str">
        <f>IFERROR(__xludf.DUMMYFUNCTION("""COMPUTED_VALUE"""),"with spicy broccoli")</f>
        <v>with spicy broccoli</v>
      </c>
      <c r="G173" s="292" t="str">
        <f>IFERROR(__xludf.DUMMYFUNCTION("""COMPUTED_VALUE"""),"Zalm op cheesy bloemkoolrijst")</f>
        <v>Zalm op cheesy bloemkoolrijst</v>
      </c>
      <c r="H173" s="292" t="str">
        <f>IFERROR(__xludf.DUMMYFUNCTION("""COMPUTED_VALUE"""),"met pittige broccoli")</f>
        <v>met pittige broccoli</v>
      </c>
      <c r="I173" s="292" t="str">
        <f>IFERROR(__xludf.DUMMYFUNCTION("""COMPUTED_VALUE"""),"Laks og ostegratineret blomkålsris")</f>
        <v>Laks og ostegratineret blomkålsris</v>
      </c>
      <c r="J173" s="292" t="str">
        <f>IFERROR(__xludf.DUMMYFUNCTION("""COMPUTED_VALUE"""),"Lachs auf Blumenkohlreis in Käsecreme")</f>
        <v>Lachs auf Blumenkohlreis in Käsecreme</v>
      </c>
      <c r="K173" s="292">
        <f>IFERROR(__xludf.DUMMYFUNCTION("""COMPUTED_VALUE"""),565042.0)</f>
        <v>565042</v>
      </c>
      <c r="L173" s="292" t="str">
        <f>IFERROR(__xludf.DUMMYFUNCTION("""COMPUTED_VALUE"""),"HF Zalm+cheesy bloemk rijst")</f>
        <v>HF Zalm+cheesy bloemk rijst</v>
      </c>
      <c r="M173" s="292" t="str">
        <f>IFERROR(__xludf.DUMMYFUNCTION("""COMPUTED_VALUE"""),"FA-NL Zalm Op Cheesy Bloemkoolrijst (FE0036)")</f>
        <v>FA-NL Zalm Op Cheesy Bloemkoolrijst (FE0036)</v>
      </c>
      <c r="N173" s="292" t="str">
        <f>IFERROR(__xludf.DUMMYFUNCTION("""COMPUTED_VALUE"""),"FA-NO Laks og ostegratineret blomkålsris (FE0036)")</f>
        <v>FA-NO Laks og ostegratineret blomkålsris (FE0036)</v>
      </c>
      <c r="O173" s="292" t="str">
        <f>IFERROR(__xludf.DUMMYFUNCTION("""COMPUTED_VALUE"""),"FA-DE Lachs auf Blumenkohlreis in Käsecreme (FE0036)")</f>
        <v>FA-DE Lachs auf Blumenkohlreis in Käsecreme (FE0036)</v>
      </c>
      <c r="P173" s="292" t="str">
        <f>IFERROR(__xludf.DUMMYFUNCTION("""COMPUTED_VALUE"""),"Active")</f>
        <v>Active</v>
      </c>
      <c r="Q173" s="292" t="str">
        <f>IFERROR(__xludf.DUMMYFUNCTION("""COMPUTED_VALUE"""),"Shifted to Maitre production")</f>
        <v>Shifted to Maitre production</v>
      </c>
      <c r="R173" s="342">
        <f>IFERROR(__xludf.DUMMYFUNCTION("""COMPUTED_VALUE"""),6.12)</f>
        <v>6.12</v>
      </c>
      <c r="S173" s="292"/>
      <c r="T173" s="292"/>
      <c r="U173" s="292"/>
      <c r="V173" s="292"/>
      <c r="W173" s="292" t="b">
        <f>IFERROR(__xludf.DUMMYFUNCTION("""COMPUTED_VALUE"""),TRUE)</f>
        <v>1</v>
      </c>
      <c r="X173" s="345">
        <f>IFERROR(__xludf.DUMMYFUNCTION("""COMPUTED_VALUE"""),369.0)</f>
        <v>369</v>
      </c>
      <c r="Y173" s="344">
        <f>IFERROR(__xludf.DUMMYFUNCTION("""COMPUTED_VALUE"""),681.0)</f>
        <v>681</v>
      </c>
      <c r="Z173" s="343">
        <f>IFERROR(__xludf.DUMMYFUNCTION("""COMPUTED_VALUE"""),51.9)</f>
        <v>51.9</v>
      </c>
      <c r="AA173" s="344">
        <f>IFERROR(__xludf.DUMMYFUNCTION("""COMPUTED_VALUE"""),17.2)</f>
        <v>17.2</v>
      </c>
      <c r="AB173" s="344">
        <f>IFERROR(__xludf.DUMMYFUNCTION("""COMPUTED_VALUE"""),9.7)</f>
        <v>9.7</v>
      </c>
      <c r="AC173" s="344">
        <f>IFERROR(__xludf.DUMMYFUNCTION("""COMPUTED_VALUE"""),5.8)</f>
        <v>5.8</v>
      </c>
      <c r="AD173" s="344">
        <f>IFERROR(__xludf.DUMMYFUNCTION("""COMPUTED_VALUE"""),7.3)</f>
        <v>7.3</v>
      </c>
      <c r="AE173" s="343">
        <f>IFERROR(__xludf.DUMMYFUNCTION("""COMPUTED_VALUE"""),37.3)</f>
        <v>37.3</v>
      </c>
      <c r="AF173" s="343">
        <f>IFERROR(__xludf.DUMMYFUNCTION("""COMPUTED_VALUE"""),2.02)</f>
        <v>2.02</v>
      </c>
      <c r="AG173" s="292" t="b">
        <f>IFERROR(__xludf.DUMMYFUNCTION("""COMPUTED_VALUE"""),TRUE)</f>
        <v>1</v>
      </c>
      <c r="AH173" s="292" t="b">
        <f>IFERROR(__xludf.DUMMYFUNCTION("""COMPUTED_VALUE"""),TRUE)</f>
        <v>1</v>
      </c>
      <c r="AI173" s="292" t="b">
        <f>IFERROR(__xludf.DUMMYFUNCTION("""COMPUTED_VALUE"""),FALSE)</f>
        <v>0</v>
      </c>
      <c r="AJ173" s="292" t="b">
        <f>IFERROR(__xludf.DUMMYFUNCTION("""COMPUTED_VALUE"""),FALSE)</f>
        <v>0</v>
      </c>
      <c r="AK173" s="292" t="b">
        <f>IFERROR(__xludf.DUMMYFUNCTION("""COMPUTED_VALUE"""),FALSE)</f>
        <v>0</v>
      </c>
      <c r="AL173" s="292" t="b">
        <f>IFERROR(__xludf.DUMMYFUNCTION("""COMPUTED_VALUE"""),FALSE)</f>
        <v>0</v>
      </c>
      <c r="AM173" s="292" t="b">
        <f>IFERROR(__xludf.DUMMYFUNCTION("""COMPUTED_VALUE"""),FALSE)</f>
        <v>0</v>
      </c>
      <c r="AN173" s="292" t="b">
        <f>IFERROR(__xludf.DUMMYFUNCTION("""COMPUTED_VALUE"""),FALSE)</f>
        <v>0</v>
      </c>
      <c r="AO173" s="292" t="str">
        <f>IFERROR(__xludf.DUMMYFUNCTION("""COMPUTED_VALUE"""),"FALSE")</f>
        <v>FALSE</v>
      </c>
      <c r="AP173" s="292" t="str">
        <f>IFERROR(__xludf.DUMMYFUNCTION("""COMPUTED_VALUE"""),"Salmon")</f>
        <v>Salmon</v>
      </c>
      <c r="AQ173" s="292" t="str">
        <f>IFERROR(__xludf.DUMMYFUNCTION("""COMPUTED_VALUE"""),"Salmon")</f>
        <v>Salmon</v>
      </c>
      <c r="AR173" s="292" t="str">
        <f>IFERROR(__xludf.DUMMYFUNCTION("""COMPUTED_VALUE"""),"Filet")</f>
        <v>Filet</v>
      </c>
      <c r="AS173" s="292" t="str">
        <f>IFERROR(__xludf.DUMMYFUNCTION("""COMPUTED_VALUE"""),"Cauliflower Rice")</f>
        <v>Cauliflower Rice</v>
      </c>
      <c r="AT173" s="292" t="str">
        <f>IFERROR(__xludf.DUMMYFUNCTION("""COMPUTED_VALUE"""),"Tomato Based Sauce")</f>
        <v>Tomato Based Sauce</v>
      </c>
      <c r="AU173" s="292" t="str">
        <f>IFERROR(__xludf.DUMMYFUNCTION("""COMPUTED_VALUE"""),"Broccoli")</f>
        <v>Broccoli</v>
      </c>
      <c r="AV173" s="292"/>
      <c r="AW173" s="292" t="str">
        <f>IFERROR(__xludf.DUMMYFUNCTION("""COMPUTED_VALUE"""),"Year Round")</f>
        <v>Year Round</v>
      </c>
      <c r="AX173" s="292" t="str">
        <f>IFERROR(__xludf.DUMMYFUNCTION("""COMPUTED_VALUE"""),"American")</f>
        <v>American</v>
      </c>
      <c r="AY173" s="292"/>
      <c r="AZ173" s="292" t="str">
        <f>IFERROR(__xludf.DUMMYFUNCTION("""COMPUTED_VALUE"""),"2 CT")</f>
        <v>2 CT</v>
      </c>
      <c r="BA173" s="292" t="b">
        <f>IFERROR(__xludf.DUMMYFUNCTION("""COMPUTED_VALUE"""),FALSE)</f>
        <v>0</v>
      </c>
      <c r="BB173" s="292"/>
      <c r="BC173" s="292"/>
      <c r="BD173" s="292"/>
      <c r="BE173" s="342">
        <f>IFERROR(__xludf.DUMMYFUNCTION("""COMPUTED_VALUE"""),0.89)</f>
        <v>0.89</v>
      </c>
      <c r="BF173" s="296">
        <f>IFERROR(__xludf.DUMMYFUNCTION("""COMPUTED_VALUE"""),3.34)</f>
        <v>3.34</v>
      </c>
      <c r="BG173" s="296">
        <f>IFERROR(__xludf.DUMMYFUNCTION("""COMPUTED_VALUE"""),3.3366666666666664)</f>
        <v>3.336666667</v>
      </c>
      <c r="BH173" s="296">
        <f>IFERROR(__xludf.DUMMYFUNCTION("""COMPUTED_VALUE"""),3.276666666666667)</f>
        <v>3.276666667</v>
      </c>
      <c r="BI173" s="295">
        <f>IFERROR(__xludf.DUMMYFUNCTION("""COMPUTED_VALUE"""),182.0)</f>
        <v>182</v>
      </c>
      <c r="BJ173" s="292"/>
      <c r="BK173" s="346">
        <f>IFERROR(__xludf.DUMMYFUNCTION("""COMPUTED_VALUE"""),2836.0)</f>
        <v>2836</v>
      </c>
      <c r="BL173" s="292"/>
      <c r="BM173" s="292"/>
      <c r="BN173" s="292"/>
      <c r="BO173" s="292"/>
      <c r="BP173" s="292"/>
      <c r="BQ173" s="292" t="str">
        <f>IFERROR(__xludf.DUMMYFUNCTION("""COMPUTED_VALUE"""),"Proven")</f>
        <v>Proven</v>
      </c>
      <c r="BR173" s="292" t="b">
        <f>IFERROR(__xludf.DUMMYFUNCTION("""COMPUTED_VALUE"""),FALSE)</f>
        <v>0</v>
      </c>
      <c r="BS173" s="292" t="b">
        <f>IFERROR(__xludf.DUMMYFUNCTION("""COMPUTED_VALUE"""),FALSE)</f>
        <v>0</v>
      </c>
      <c r="BT173" s="292"/>
      <c r="BU173" s="292"/>
      <c r="BV173" s="292"/>
      <c r="BW173" s="292"/>
    </row>
    <row r="174">
      <c r="A174" s="292" t="str">
        <f>IFERROR(__xludf.DUMMYFUNCTION("""COMPUTED_VALUE"""),"FE1512B")</f>
        <v>FE1512B</v>
      </c>
      <c r="B174" s="292" t="str">
        <f>IFERROR(__xludf.DUMMYFUNCTION("""COMPUTED_VALUE"""),"CON-40-149873-4")</f>
        <v>CON-40-149873-4</v>
      </c>
      <c r="C174" s="292" t="str">
        <f>IFERROR(__xludf.DUMMYFUNCTION("""COMPUTED_VALUE"""),"CON-00-149875-2")</f>
        <v>CON-00-149875-2</v>
      </c>
      <c r="D174" s="292" t="str">
        <f>IFERROR(__xludf.DUMMYFUNCTION("""COMPUTED_VALUE"""),"CON-00-149874-2")</f>
        <v>CON-00-149874-2</v>
      </c>
      <c r="E174" s="292" t="str">
        <f>IFERROR(__xludf.DUMMYFUNCTION("""COMPUTED_VALUE"""),"Chicken and honey mustard sauce")</f>
        <v>Chicken and honey mustard sauce</v>
      </c>
      <c r="F174" s="292" t="str">
        <f>IFERROR(__xludf.DUMMYFUNCTION("""COMPUTED_VALUE"""),"with mashed potatoes, pearl onions, and roasted green beans")</f>
        <v>with mashed potatoes, pearl onions, and roasted green beans</v>
      </c>
      <c r="G174" s="292" t="str">
        <f>IFERROR(__xludf.DUMMYFUNCTION("""COMPUTED_VALUE"""),"Kipfilet in honing-mosterd")</f>
        <v>Kipfilet in honing-mosterd</v>
      </c>
      <c r="H174" s="292" t="str">
        <f>IFERROR(__xludf.DUMMYFUNCTION("""COMPUTED_VALUE"""),"met aardappelpuree, zilveruitjes en geroosterde sperziebonen")</f>
        <v>met aardappelpuree, zilveruitjes en geroosterde sperziebonen</v>
      </c>
      <c r="I174" s="292" t="str">
        <f>IFERROR(__xludf.DUMMYFUNCTION("""COMPUTED_VALUE"""),"Kylling med honning-sennepssauce")</f>
        <v>Kylling med honning-sennepssauce</v>
      </c>
      <c r="J174" s="292" t="str">
        <f>IFERROR(__xludf.DUMMYFUNCTION("""COMPUTED_VALUE"""),"Hähnchen mit Honig-Senf-Sauce")</f>
        <v>Hähnchen mit Honig-Senf-Sauce</v>
      </c>
      <c r="K174" s="292">
        <f>IFERROR(__xludf.DUMMYFUNCTION("""COMPUTED_VALUE"""),565175.0)</f>
        <v>565175</v>
      </c>
      <c r="L174" s="292"/>
      <c r="M174" s="292" t="str">
        <f>IFERROR(__xludf.DUMMYFUNCTION("""COMPUTED_VALUE"""),"FA-NL kipfilet in honing-mosterd (FE1512)")</f>
        <v>FA-NL kipfilet in honing-mosterd (FE1512)</v>
      </c>
      <c r="N174" s="292" t="str">
        <f>IFERROR(__xludf.DUMMYFUNCTION("""COMPUTED_VALUE"""),"FA-NO Kylling med honning-sennepssauce (FE1512)")</f>
        <v>FA-NO Kylling med honning-sennepssauce (FE1512)</v>
      </c>
      <c r="O174" s="292" t="str">
        <f>IFERROR(__xludf.DUMMYFUNCTION("""COMPUTED_VALUE"""),"FA-DE Hähnchen mit Honig-Senf-Sauce (FE1512)")</f>
        <v>FA-DE Hähnchen mit Honig-Senf-Sauce (FE1512)</v>
      </c>
      <c r="P174" s="292" t="str">
        <f>IFERROR(__xludf.DUMMYFUNCTION("""COMPUTED_VALUE"""),"Active")</f>
        <v>Active</v>
      </c>
      <c r="Q174" s="292"/>
      <c r="R174" s="342">
        <f>IFERROR(__xludf.DUMMYFUNCTION("""COMPUTED_VALUE"""),4.79)</f>
        <v>4.79</v>
      </c>
      <c r="S174" s="292"/>
      <c r="T174" s="292"/>
      <c r="U174" s="292"/>
      <c r="V174" s="292"/>
      <c r="W174" s="292" t="b">
        <f>IFERROR(__xludf.DUMMYFUNCTION("""COMPUTED_VALUE"""),TRUE)</f>
        <v>1</v>
      </c>
      <c r="X174" s="345">
        <f>IFERROR(__xludf.DUMMYFUNCTION("""COMPUTED_VALUE"""),414.0)</f>
        <v>414</v>
      </c>
      <c r="Y174" s="344">
        <f>IFERROR(__xludf.DUMMYFUNCTION("""COMPUTED_VALUE"""),412.0)</f>
        <v>412</v>
      </c>
      <c r="Z174" s="343">
        <f>IFERROR(__xludf.DUMMYFUNCTION("""COMPUTED_VALUE"""),16.8)</f>
        <v>16.8</v>
      </c>
      <c r="AA174" s="344">
        <f>IFERROR(__xludf.DUMMYFUNCTION("""COMPUTED_VALUE"""),6.4)</f>
        <v>6.4</v>
      </c>
      <c r="AB174" s="344">
        <f>IFERROR(__xludf.DUMMYFUNCTION("""COMPUTED_VALUE"""),31.3)</f>
        <v>31.3</v>
      </c>
      <c r="AC174" s="344">
        <f>IFERROR(__xludf.DUMMYFUNCTION("""COMPUTED_VALUE"""),13.0)</f>
        <v>13</v>
      </c>
      <c r="AD174" s="344">
        <f>IFERROR(__xludf.DUMMYFUNCTION("""COMPUTED_VALUE"""),9.2)</f>
        <v>9.2</v>
      </c>
      <c r="AE174" s="343">
        <f>IFERROR(__xludf.DUMMYFUNCTION("""COMPUTED_VALUE"""),29.7)</f>
        <v>29.7</v>
      </c>
      <c r="AF174" s="343">
        <f>IFERROR(__xludf.DUMMYFUNCTION("""COMPUTED_VALUE"""),2.03)</f>
        <v>2.03</v>
      </c>
      <c r="AG174" s="292" t="b">
        <f>IFERROR(__xludf.DUMMYFUNCTION("""COMPUTED_VALUE"""),FALSE)</f>
        <v>0</v>
      </c>
      <c r="AH174" s="292" t="b">
        <f>IFERROR(__xludf.DUMMYFUNCTION("""COMPUTED_VALUE"""),FALSE)</f>
        <v>0</v>
      </c>
      <c r="AI174" s="292" t="b">
        <f>IFERROR(__xludf.DUMMYFUNCTION("""COMPUTED_VALUE"""),TRUE)</f>
        <v>1</v>
      </c>
      <c r="AJ174" s="292" t="b">
        <f>IFERROR(__xludf.DUMMYFUNCTION("""COMPUTED_VALUE"""),FALSE)</f>
        <v>0</v>
      </c>
      <c r="AK174" s="292" t="b">
        <f>IFERROR(__xludf.DUMMYFUNCTION("""COMPUTED_VALUE"""),FALSE)</f>
        <v>0</v>
      </c>
      <c r="AL174" s="292" t="b">
        <f>IFERROR(__xludf.DUMMYFUNCTION("""COMPUTED_VALUE"""),FALSE)</f>
        <v>0</v>
      </c>
      <c r="AM174" s="292" t="b">
        <f>IFERROR(__xludf.DUMMYFUNCTION("""COMPUTED_VALUE"""),TRUE)</f>
        <v>1</v>
      </c>
      <c r="AN174" s="292" t="b">
        <f>IFERROR(__xludf.DUMMYFUNCTION("""COMPUTED_VALUE"""),FALSE)</f>
        <v>0</v>
      </c>
      <c r="AO174" s="292" t="str">
        <f>IFERROR(__xludf.DUMMYFUNCTION("""COMPUTED_VALUE"""),"TRUE")</f>
        <v>TRUE</v>
      </c>
      <c r="AP174" s="292" t="str">
        <f>IFERROR(__xludf.DUMMYFUNCTION("""COMPUTED_VALUE"""),"Chicken breast")</f>
        <v>Chicken breast</v>
      </c>
      <c r="AQ174" s="292" t="str">
        <f>IFERROR(__xludf.DUMMYFUNCTION("""COMPUTED_VALUE"""),"Chicken")</f>
        <v>Chicken</v>
      </c>
      <c r="AR174" s="292" t="str">
        <f>IFERROR(__xludf.DUMMYFUNCTION("""COMPUTED_VALUE"""),"Breast")</f>
        <v>Breast</v>
      </c>
      <c r="AS174" s="292" t="str">
        <f>IFERROR(__xludf.DUMMYFUNCTION("""COMPUTED_VALUE"""),"Green Beans")</f>
        <v>Green Beans</v>
      </c>
      <c r="AT174" s="292" t="str">
        <f>IFERROR(__xludf.DUMMYFUNCTION("""COMPUTED_VALUE"""),"Pearl onion")</f>
        <v>Pearl onion</v>
      </c>
      <c r="AU174" s="292" t="str">
        <f>IFERROR(__xludf.DUMMYFUNCTION("""COMPUTED_VALUE"""),"Potato Mash")</f>
        <v>Potato Mash</v>
      </c>
      <c r="AV174" s="292" t="str">
        <f>IFERROR(__xludf.DUMMYFUNCTION("""COMPUTED_VALUE"""),"Other sauce")</f>
        <v>Other sauce</v>
      </c>
      <c r="AW174" s="292" t="str">
        <f>IFERROR(__xludf.DUMMYFUNCTION("""COMPUTED_VALUE"""),"Year Round")</f>
        <v>Year Round</v>
      </c>
      <c r="AX174" s="292" t="str">
        <f>IFERROR(__xludf.DUMMYFUNCTION("""COMPUTED_VALUE"""),"American")</f>
        <v>American</v>
      </c>
      <c r="AY174" s="292"/>
      <c r="AZ174" s="292" t="str">
        <f>IFERROR(__xludf.DUMMYFUNCTION("""COMPUTED_VALUE"""),"2 CT")</f>
        <v>2 CT</v>
      </c>
      <c r="BA174" s="292" t="b">
        <f>IFERROR(__xludf.DUMMYFUNCTION("""COMPUTED_VALUE"""),FALSE)</f>
        <v>0</v>
      </c>
      <c r="BB174" s="342">
        <f>IFERROR(__xludf.DUMMYFUNCTION("""COMPUTED_VALUE"""),2.12)</f>
        <v>2.12</v>
      </c>
      <c r="BC174" s="342">
        <f>IFERROR(__xludf.DUMMYFUNCTION("""COMPUTED_VALUE"""),1.24)</f>
        <v>1.24</v>
      </c>
      <c r="BD174" s="342">
        <f>IFERROR(__xludf.DUMMYFUNCTION("""COMPUTED_VALUE"""),0.41)</f>
        <v>0.41</v>
      </c>
      <c r="BE174" s="342">
        <f>IFERROR(__xludf.DUMMYFUNCTION("""COMPUTED_VALUE"""),0.89)</f>
        <v>0.89</v>
      </c>
      <c r="BF174" s="296">
        <f>IFERROR(__xludf.DUMMYFUNCTION("""COMPUTED_VALUE"""),2.9709051201164764)</f>
        <v>2.97090512</v>
      </c>
      <c r="BG174" s="296">
        <f>IFERROR(__xludf.DUMMYFUNCTION("""COMPUTED_VALUE"""),3.173521347434391)</f>
        <v>3.173521347</v>
      </c>
      <c r="BH174" s="296">
        <f>IFERROR(__xludf.DUMMYFUNCTION("""COMPUTED_VALUE"""),3.307692307692308)</f>
        <v>3.307692308</v>
      </c>
      <c r="BI174" s="295">
        <f>IFERROR(__xludf.DUMMYFUNCTION("""COMPUTED_VALUE"""),157.0)</f>
        <v>157</v>
      </c>
      <c r="BJ174" s="292"/>
      <c r="BK174" s="346">
        <f>IFERROR(__xludf.DUMMYFUNCTION("""COMPUTED_VALUE"""),1732.0)</f>
        <v>1732</v>
      </c>
      <c r="BL174" s="292"/>
      <c r="BM174" s="292"/>
      <c r="BN174" s="292"/>
      <c r="BO174" s="292"/>
      <c r="BP174" s="292"/>
      <c r="BQ174" s="292" t="str">
        <f>IFERROR(__xludf.DUMMYFUNCTION("""COMPUTED_VALUE"""),"Hospital")</f>
        <v>Hospital</v>
      </c>
      <c r="BR174" s="292" t="b">
        <f>IFERROR(__xludf.DUMMYFUNCTION("""COMPUTED_VALUE"""),FALSE)</f>
        <v>0</v>
      </c>
      <c r="BS174" s="292" t="b">
        <f>IFERROR(__xludf.DUMMYFUNCTION("""COMPUTED_VALUE"""),FALSE)</f>
        <v>0</v>
      </c>
      <c r="BT174" s="292"/>
      <c r="BU174" s="292"/>
      <c r="BV174" s="292"/>
      <c r="BW174" s="292"/>
    </row>
    <row r="175">
      <c r="A175" s="292" t="str">
        <f>IFERROR(__xludf.DUMMYFUNCTION("""COMPUTED_VALUE"""),"FE1348B")</f>
        <v>FE1348B</v>
      </c>
      <c r="B175" s="292" t="str">
        <f>IFERROR(__xludf.DUMMYFUNCTION("""COMPUTED_VALUE"""),"CON-40-151113-4")</f>
        <v>CON-40-151113-4</v>
      </c>
      <c r="C175" s="292" t="str">
        <f>IFERROR(__xludf.DUMMYFUNCTION("""COMPUTED_VALUE"""),"CON-00-151115-2")</f>
        <v>CON-00-151115-2</v>
      </c>
      <c r="D175" s="292" t="str">
        <f>IFERROR(__xludf.DUMMYFUNCTION("""COMPUTED_VALUE"""),"CON-00-151114-2")</f>
        <v>CON-00-151114-2</v>
      </c>
      <c r="E175" s="292" t="str">
        <f>IFERROR(__xludf.DUMMYFUNCTION("""COMPUTED_VALUE"""),"Cheddar &amp; Bell Pepper Pulled Beef Bowl")</f>
        <v>Cheddar &amp; Bell Pepper Pulled Beef Bowl</v>
      </c>
      <c r="F175" s="292" t="str">
        <f>IFERROR(__xludf.DUMMYFUNCTION("""COMPUTED_VALUE"""),"with basmati rice, roasted corn, and coriander sauce")</f>
        <v>with basmati rice, roasted corn, and coriander sauce</v>
      </c>
      <c r="G175" s="292" t="str">
        <f>IFERROR(__xludf.DUMMYFUNCTION("""COMPUTED_VALUE"""),"Cheddar &amp; paprika pulled beef bowl")</f>
        <v>Cheddar &amp; paprika pulled beef bowl</v>
      </c>
      <c r="H175" s="292" t="str">
        <f>IFERROR(__xludf.DUMMYFUNCTION("""COMPUTED_VALUE"""),"met basmatirijst, geroosterde maïs en koriandersaus")</f>
        <v>met basmatirijst, geroosterde maïs en koriandersaus</v>
      </c>
      <c r="I175" s="292" t="str">
        <f>IFERROR(__xludf.DUMMYFUNCTION("""COMPUTED_VALUE"""),"Pulled beef bowl med cheddar og peberfrugt")</f>
        <v>Pulled beef bowl med cheddar og peberfrugt</v>
      </c>
      <c r="J175" s="292" t="str">
        <f>IFERROR(__xludf.DUMMYFUNCTION("""COMPUTED_VALUE"""),"Pulled-Beef-Bowl mit Cheddar und Paprika")</f>
        <v>Pulled-Beef-Bowl mit Cheddar und Paprika</v>
      </c>
      <c r="K175" s="292">
        <f>IFERROR(__xludf.DUMMYFUNCTION("""COMPUTED_VALUE"""),565186.0)</f>
        <v>565186</v>
      </c>
      <c r="L175" s="292" t="str">
        <f>IFERROR(__xludf.DUMMYFUNCTION("""COMPUTED_VALUE"""),"HF Pulled beef salsa bowl")</f>
        <v>HF Pulled beef salsa bowl</v>
      </c>
      <c r="M175" s="292" t="str">
        <f>IFERROR(__xludf.DUMMYFUNCTION("""COMPUTED_VALUE"""),"FA-NL Cheddar &amp; paprika pulled beef bowl (FE1348)")</f>
        <v>FA-NL Cheddar &amp; paprika pulled beef bowl (FE1348)</v>
      </c>
      <c r="N175" s="292" t="str">
        <f>IFERROR(__xludf.DUMMYFUNCTION("""COMPUTED_VALUE"""),"FA-NO Pulled beef bowl med cheddar og peberfrugt (FE1348)")</f>
        <v>FA-NO Pulled beef bowl med cheddar og peberfrugt (FE1348)</v>
      </c>
      <c r="O175" s="292" t="str">
        <f>IFERROR(__xludf.DUMMYFUNCTION("""COMPUTED_VALUE"""),"FA-DE Pulled-Beef-Bowl mit Cheddar und Paprika (FE1348)")</f>
        <v>FA-DE Pulled-Beef-Bowl mit Cheddar und Paprika (FE1348)</v>
      </c>
      <c r="P175" s="292" t="str">
        <f>IFERROR(__xludf.DUMMYFUNCTION("""COMPUTED_VALUE"""),"Active")</f>
        <v>Active</v>
      </c>
      <c r="Q175" s="292"/>
      <c r="R175" s="342">
        <f>IFERROR(__xludf.DUMMYFUNCTION("""COMPUTED_VALUE"""),4.47)</f>
        <v>4.47</v>
      </c>
      <c r="S175" s="292"/>
      <c r="T175" s="292"/>
      <c r="U175" s="292"/>
      <c r="V175" s="292"/>
      <c r="W175" s="292" t="b">
        <f>IFERROR(__xludf.DUMMYFUNCTION("""COMPUTED_VALUE"""),TRUE)</f>
        <v>1</v>
      </c>
      <c r="X175" s="345">
        <f>IFERROR(__xludf.DUMMYFUNCTION("""COMPUTED_VALUE"""),384.0)</f>
        <v>384</v>
      </c>
      <c r="Y175" s="344">
        <f>IFERROR(__xludf.DUMMYFUNCTION("""COMPUTED_VALUE"""),506.0)</f>
        <v>506</v>
      </c>
      <c r="Z175" s="343">
        <f>IFERROR(__xludf.DUMMYFUNCTION("""COMPUTED_VALUE"""),20.2)</f>
        <v>20.2</v>
      </c>
      <c r="AA175" s="344">
        <f>IFERROR(__xludf.DUMMYFUNCTION("""COMPUTED_VALUE"""),9.6)</f>
        <v>9.6</v>
      </c>
      <c r="AB175" s="344">
        <f>IFERROR(__xludf.DUMMYFUNCTION("""COMPUTED_VALUE"""),37.4)</f>
        <v>37.4</v>
      </c>
      <c r="AC175" s="344">
        <f>IFERROR(__xludf.DUMMYFUNCTION("""COMPUTED_VALUE"""),8.8)</f>
        <v>8.8</v>
      </c>
      <c r="AD175" s="344">
        <f>IFERROR(__xludf.DUMMYFUNCTION("""COMPUTED_VALUE"""),8.0)</f>
        <v>8</v>
      </c>
      <c r="AE175" s="343">
        <f>IFERROR(__xludf.DUMMYFUNCTION("""COMPUTED_VALUE"""),40.2)</f>
        <v>40.2</v>
      </c>
      <c r="AF175" s="343">
        <f>IFERROR(__xludf.DUMMYFUNCTION("""COMPUTED_VALUE"""),2.01)</f>
        <v>2.01</v>
      </c>
      <c r="AG175" s="292" t="b">
        <f>IFERROR(__xludf.DUMMYFUNCTION("""COMPUTED_VALUE"""),FALSE)</f>
        <v>0</v>
      </c>
      <c r="AH175" s="292" t="b">
        <f>IFERROR(__xludf.DUMMYFUNCTION("""COMPUTED_VALUE"""),FALSE)</f>
        <v>0</v>
      </c>
      <c r="AI175" s="292" t="b">
        <f>IFERROR(__xludf.DUMMYFUNCTION("""COMPUTED_VALUE"""),TRUE)</f>
        <v>1</v>
      </c>
      <c r="AJ175" s="292" t="b">
        <f>IFERROR(__xludf.DUMMYFUNCTION("""COMPUTED_VALUE"""),FALSE)</f>
        <v>0</v>
      </c>
      <c r="AK175" s="292" t="b">
        <f>IFERROR(__xludf.DUMMYFUNCTION("""COMPUTED_VALUE"""),FALSE)</f>
        <v>0</v>
      </c>
      <c r="AL175" s="292" t="b">
        <f>IFERROR(__xludf.DUMMYFUNCTION("""COMPUTED_VALUE"""),FALSE)</f>
        <v>0</v>
      </c>
      <c r="AM175" s="292" t="b">
        <f>IFERROR(__xludf.DUMMYFUNCTION("""COMPUTED_VALUE"""),TRUE)</f>
        <v>1</v>
      </c>
      <c r="AN175" s="292" t="b">
        <f>IFERROR(__xludf.DUMMYFUNCTION("""COMPUTED_VALUE"""),FALSE)</f>
        <v>0</v>
      </c>
      <c r="AO175" s="292" t="str">
        <f>IFERROR(__xludf.DUMMYFUNCTION("""COMPUTED_VALUE"""),"FALSE")</f>
        <v>FALSE</v>
      </c>
      <c r="AP175" s="292" t="str">
        <f>IFERROR(__xludf.DUMMYFUNCTION("""COMPUTED_VALUE"""),"Shredded beef")</f>
        <v>Shredded beef</v>
      </c>
      <c r="AQ175" s="292" t="str">
        <f>IFERROR(__xludf.DUMMYFUNCTION("""COMPUTED_VALUE"""),"Beef")</f>
        <v>Beef</v>
      </c>
      <c r="AR175" s="292" t="str">
        <f>IFERROR(__xludf.DUMMYFUNCTION("""COMPUTED_VALUE"""),"Pulled")</f>
        <v>Pulled</v>
      </c>
      <c r="AS175" s="292" t="str">
        <f>IFERROR(__xludf.DUMMYFUNCTION("""COMPUTED_VALUE"""),"Rice")</f>
        <v>Rice</v>
      </c>
      <c r="AT175" s="292" t="str">
        <f>IFERROR(__xludf.DUMMYFUNCTION("""COMPUTED_VALUE"""),"Pepper Mix")</f>
        <v>Pepper Mix</v>
      </c>
      <c r="AU175" s="292" t="str">
        <f>IFERROR(__xludf.DUMMYFUNCTION("""COMPUTED_VALUE"""),"Corn Kernels")</f>
        <v>Corn Kernels</v>
      </c>
      <c r="AV175" s="292" t="str">
        <f>IFERROR(__xludf.DUMMYFUNCTION("""COMPUTED_VALUE"""),"Creamy Sauce Base")</f>
        <v>Creamy Sauce Base</v>
      </c>
      <c r="AW175" s="292" t="str">
        <f>IFERROR(__xludf.DUMMYFUNCTION("""COMPUTED_VALUE"""),"Year Round")</f>
        <v>Year Round</v>
      </c>
      <c r="AX175" s="292" t="str">
        <f>IFERROR(__xludf.DUMMYFUNCTION("""COMPUTED_VALUE"""),"American")</f>
        <v>American</v>
      </c>
      <c r="AY175" s="292"/>
      <c r="AZ175" s="292" t="str">
        <f>IFERROR(__xludf.DUMMYFUNCTION("""COMPUTED_VALUE"""),"2 CT")</f>
        <v>2 CT</v>
      </c>
      <c r="BA175" s="292" t="b">
        <f>IFERROR(__xludf.DUMMYFUNCTION("""COMPUTED_VALUE"""),TRUE)</f>
        <v>1</v>
      </c>
      <c r="BB175" s="342">
        <f>IFERROR(__xludf.DUMMYFUNCTION("""COMPUTED_VALUE"""),2.41)</f>
        <v>2.41</v>
      </c>
      <c r="BC175" s="342">
        <f>IFERROR(__xludf.DUMMYFUNCTION("""COMPUTED_VALUE"""),1.63)</f>
        <v>1.63</v>
      </c>
      <c r="BD175" s="342">
        <f>IFERROR(__xludf.DUMMYFUNCTION("""COMPUTED_VALUE"""),0.44)</f>
        <v>0.44</v>
      </c>
      <c r="BE175" s="342">
        <f>IFERROR(__xludf.DUMMYFUNCTION("""COMPUTED_VALUE"""),0.89)</f>
        <v>0.89</v>
      </c>
      <c r="BF175" s="296">
        <f>IFERROR(__xludf.DUMMYFUNCTION("""COMPUTED_VALUE"""),3.276666666666667)</f>
        <v>3.276666667</v>
      </c>
      <c r="BG175" s="296">
        <f>IFERROR(__xludf.DUMMYFUNCTION("""COMPUTED_VALUE"""),3.34)</f>
        <v>3.34</v>
      </c>
      <c r="BH175" s="296">
        <f>IFERROR(__xludf.DUMMYFUNCTION("""COMPUTED_VALUE"""),3.1366666666666667)</f>
        <v>3.136666667</v>
      </c>
      <c r="BI175" s="295">
        <f>IFERROR(__xludf.DUMMYFUNCTION("""COMPUTED_VALUE"""),167.0)</f>
        <v>167</v>
      </c>
      <c r="BJ175" s="292"/>
      <c r="BK175" s="346">
        <f>IFERROR(__xludf.DUMMYFUNCTION("""COMPUTED_VALUE"""),2123.0)</f>
        <v>2123</v>
      </c>
      <c r="BL175" s="292"/>
      <c r="BM175" s="292"/>
      <c r="BN175" s="292"/>
      <c r="BO175" s="292"/>
      <c r="BP175" s="292"/>
      <c r="BQ175" s="292" t="str">
        <f>IFERROR(__xludf.DUMMYFUNCTION("""COMPUTED_VALUE"""),"Proven")</f>
        <v>Proven</v>
      </c>
      <c r="BR175" s="292" t="b">
        <f>IFERROR(__xludf.DUMMYFUNCTION("""COMPUTED_VALUE"""),FALSE)</f>
        <v>0</v>
      </c>
      <c r="BS175" s="292" t="b">
        <f>IFERROR(__xludf.DUMMYFUNCTION("""COMPUTED_VALUE"""),FALSE)</f>
        <v>0</v>
      </c>
      <c r="BT175" s="292"/>
      <c r="BU175" s="292"/>
      <c r="BV175" s="292"/>
      <c r="BW175" s="292"/>
    </row>
    <row r="176">
      <c r="A176" s="292" t="str">
        <f>IFERROR(__xludf.DUMMYFUNCTION("""COMPUTED_VALUE"""),"FE0833F")</f>
        <v>FE0833F</v>
      </c>
      <c r="B176" s="292" t="str">
        <f>IFERROR(__xludf.DUMMYFUNCTION("""COMPUTED_VALUE"""),"CON-40-150542-4")</f>
        <v>CON-40-150542-4</v>
      </c>
      <c r="C176" s="292" t="str">
        <f>IFERROR(__xludf.DUMMYFUNCTION("""COMPUTED_VALUE"""),"CON-00-150541-2")</f>
        <v>CON-00-150541-2</v>
      </c>
      <c r="D176" s="292" t="str">
        <f>IFERROR(__xludf.DUMMYFUNCTION("""COMPUTED_VALUE"""),"CON-00-150540-2")</f>
        <v>CON-00-150540-2</v>
      </c>
      <c r="E176" s="292" t="str">
        <f>IFERROR(__xludf.DUMMYFUNCTION("""COMPUTED_VALUE"""),"Tabbouleh Rice &amp; Grilled Chicken")</f>
        <v>Tabbouleh Rice &amp; Grilled Chicken</v>
      </c>
      <c r="F176" s="292" t="str">
        <f>IFERROR(__xludf.DUMMYFUNCTION("""COMPUTED_VALUE"""),"with roasted veggie medley &amp; garlic dill yoghurt")</f>
        <v>with roasted veggie medley &amp; garlic dill yoghurt</v>
      </c>
      <c r="G176" s="292" t="str">
        <f>IFERROR(__xludf.DUMMYFUNCTION("""COMPUTED_VALUE"""),"Tabouleh rijst &amp; gegrilde kipfilet")</f>
        <v>Tabouleh rijst &amp; gegrilde kipfilet</v>
      </c>
      <c r="H176" s="292" t="str">
        <f>IFERROR(__xludf.DUMMYFUNCTION("""COMPUTED_VALUE"""),"met geroosterde groentemix en knoflook-dille-yoghurt")</f>
        <v>met geroosterde groentemix en knoflook-dille-yoghurt</v>
      </c>
      <c r="I176" s="292" t="str">
        <f>IFERROR(__xludf.DUMMYFUNCTION("""COMPUTED_VALUE"""),"Tabbouleh-ris &amp; grillet kylling")</f>
        <v>Tabbouleh-ris &amp; grillet kylling</v>
      </c>
      <c r="J176" s="292" t="str">
        <f>IFERROR(__xludf.DUMMYFUNCTION("""COMPUTED_VALUE"""),"Tabbouleh-Reis &amp; Gegrilltes Hähnchen")</f>
        <v>Tabbouleh-Reis &amp; Gegrilltes Hähnchen</v>
      </c>
      <c r="K176" s="292">
        <f>IFERROR(__xludf.DUMMYFUNCTION("""COMPUTED_VALUE"""),565169.0)</f>
        <v>565169</v>
      </c>
      <c r="L176" s="292" t="str">
        <f>IFERROR(__xludf.DUMMYFUNCTION("""COMPUTED_VALUE"""),"HF Kip tabouleh met tzatziki")</f>
        <v>HF Kip tabouleh met tzatziki</v>
      </c>
      <c r="M176" s="292" t="str">
        <f>IFERROR(__xludf.DUMMYFUNCTION("""COMPUTED_VALUE"""),"FA-NL Tabouleh rjst &amp; gegrilde kipfilet (FE0833)")</f>
        <v>FA-NL Tabouleh rjst &amp; gegrilde kipfilet (FE0833)</v>
      </c>
      <c r="N176" s="292" t="str">
        <f>IFERROR(__xludf.DUMMYFUNCTION("""COMPUTED_VALUE"""),"FA-NO Tabbouleh-ris &amp; grillet kylling (FE0833)")</f>
        <v>FA-NO Tabbouleh-ris &amp; grillet kylling (FE0833)</v>
      </c>
      <c r="O176" s="292" t="str">
        <f>IFERROR(__xludf.DUMMYFUNCTION("""COMPUTED_VALUE"""),"FA-DE Tabbouleh-Reis &amp; Gegrilltes Hähnchen (FE0833)")</f>
        <v>FA-DE Tabbouleh-Reis &amp; Gegrilltes Hähnchen (FE0833)</v>
      </c>
      <c r="P176" s="292" t="str">
        <f>IFERROR(__xludf.DUMMYFUNCTION("""COMPUTED_VALUE"""),"Active")</f>
        <v>Active</v>
      </c>
      <c r="Q176" s="292"/>
      <c r="R176" s="342">
        <f>IFERROR(__xludf.DUMMYFUNCTION("""COMPUTED_VALUE"""),5.03)</f>
        <v>5.03</v>
      </c>
      <c r="S176" s="292"/>
      <c r="T176" s="292"/>
      <c r="U176" s="292"/>
      <c r="V176" s="292"/>
      <c r="W176" s="292" t="b">
        <f>IFERROR(__xludf.DUMMYFUNCTION("""COMPUTED_VALUE"""),TRUE)</f>
        <v>1</v>
      </c>
      <c r="X176" s="345">
        <f>IFERROR(__xludf.DUMMYFUNCTION("""COMPUTED_VALUE"""),369.0)</f>
        <v>369</v>
      </c>
      <c r="Y176" s="344">
        <f>IFERROR(__xludf.DUMMYFUNCTION("""COMPUTED_VALUE"""),453.0)</f>
        <v>453</v>
      </c>
      <c r="Z176" s="343">
        <f>IFERROR(__xludf.DUMMYFUNCTION("""COMPUTED_VALUE"""),20.2)</f>
        <v>20.2</v>
      </c>
      <c r="AA176" s="344">
        <f>IFERROR(__xludf.DUMMYFUNCTION("""COMPUTED_VALUE"""),5.0)</f>
        <v>5</v>
      </c>
      <c r="AB176" s="344">
        <f>IFERROR(__xludf.DUMMYFUNCTION("""COMPUTED_VALUE"""),36.0)</f>
        <v>36</v>
      </c>
      <c r="AC176" s="344">
        <f>IFERROR(__xludf.DUMMYFUNCTION("""COMPUTED_VALUE"""),8.5)</f>
        <v>8.5</v>
      </c>
      <c r="AD176" s="344">
        <f>IFERROR(__xludf.DUMMYFUNCTION("""COMPUTED_VALUE"""),8.3)</f>
        <v>8.3</v>
      </c>
      <c r="AE176" s="343">
        <f>IFERROR(__xludf.DUMMYFUNCTION("""COMPUTED_VALUE"""),27.8)</f>
        <v>27.8</v>
      </c>
      <c r="AF176" s="343">
        <f>IFERROR(__xludf.DUMMYFUNCTION("""COMPUTED_VALUE"""),1.97)</f>
        <v>1.97</v>
      </c>
      <c r="AG176" s="292" t="b">
        <f>IFERROR(__xludf.DUMMYFUNCTION("""COMPUTED_VALUE"""),FALSE)</f>
        <v>0</v>
      </c>
      <c r="AH176" s="292" t="b">
        <f>IFERROR(__xludf.DUMMYFUNCTION("""COMPUTED_VALUE"""),FALSE)</f>
        <v>0</v>
      </c>
      <c r="AI176" s="292" t="b">
        <f>IFERROR(__xludf.DUMMYFUNCTION("""COMPUTED_VALUE"""),TRUE)</f>
        <v>1</v>
      </c>
      <c r="AJ176" s="292" t="b">
        <f>IFERROR(__xludf.DUMMYFUNCTION("""COMPUTED_VALUE"""),FALSE)</f>
        <v>0</v>
      </c>
      <c r="AK176" s="292" t="b">
        <f>IFERROR(__xludf.DUMMYFUNCTION("""COMPUTED_VALUE"""),FALSE)</f>
        <v>0</v>
      </c>
      <c r="AL176" s="292" t="b">
        <f>IFERROR(__xludf.DUMMYFUNCTION("""COMPUTED_VALUE"""),FALSE)</f>
        <v>0</v>
      </c>
      <c r="AM176" s="292" t="b">
        <f>IFERROR(__xludf.DUMMYFUNCTION("""COMPUTED_VALUE"""),FALSE)</f>
        <v>0</v>
      </c>
      <c r="AN176" s="292" t="b">
        <f>IFERROR(__xludf.DUMMYFUNCTION("""COMPUTED_VALUE"""),FALSE)</f>
        <v>0</v>
      </c>
      <c r="AO176" s="292" t="str">
        <f>IFERROR(__xludf.DUMMYFUNCTION("""COMPUTED_VALUE"""),"FALSE")</f>
        <v>FALSE</v>
      </c>
      <c r="AP176" s="292" t="str">
        <f>IFERROR(__xludf.DUMMYFUNCTION("""COMPUTED_VALUE"""),"Chicken breast")</f>
        <v>Chicken breast</v>
      </c>
      <c r="AQ176" s="292" t="str">
        <f>IFERROR(__xludf.DUMMYFUNCTION("""COMPUTED_VALUE"""),"Chicken")</f>
        <v>Chicken</v>
      </c>
      <c r="AR176" s="292" t="str">
        <f>IFERROR(__xludf.DUMMYFUNCTION("""COMPUTED_VALUE"""),"Breast")</f>
        <v>Breast</v>
      </c>
      <c r="AS176" s="292" t="str">
        <f>IFERROR(__xludf.DUMMYFUNCTION("""COMPUTED_VALUE"""),"Rice")</f>
        <v>Rice</v>
      </c>
      <c r="AT176" s="292" t="str">
        <f>IFERROR(__xludf.DUMMYFUNCTION("""COMPUTED_VALUE"""),"Pepper Mix")</f>
        <v>Pepper Mix</v>
      </c>
      <c r="AU176" s="292" t="str">
        <f>IFERROR(__xludf.DUMMYFUNCTION("""COMPUTED_VALUE"""),"Creamy Sauce Base")</f>
        <v>Creamy Sauce Base</v>
      </c>
      <c r="AV176" s="292"/>
      <c r="AW176" s="292" t="str">
        <f>IFERROR(__xludf.DUMMYFUNCTION("""COMPUTED_VALUE"""),"Year Round")</f>
        <v>Year Round</v>
      </c>
      <c r="AX176" s="292" t="str">
        <f>IFERROR(__xludf.DUMMYFUNCTION("""COMPUTED_VALUE"""),"Mediterranean")</f>
        <v>Mediterranean</v>
      </c>
      <c r="AY176" s="292"/>
      <c r="AZ176" s="292" t="str">
        <f>IFERROR(__xludf.DUMMYFUNCTION("""COMPUTED_VALUE"""),"2 CT")</f>
        <v>2 CT</v>
      </c>
      <c r="BA176" s="292" t="b">
        <f>IFERROR(__xludf.DUMMYFUNCTION("""COMPUTED_VALUE"""),TRUE)</f>
        <v>1</v>
      </c>
      <c r="BB176" s="342">
        <f>IFERROR(__xludf.DUMMYFUNCTION("""COMPUTED_VALUE"""),2.57)</f>
        <v>2.57</v>
      </c>
      <c r="BC176" s="342">
        <f>IFERROR(__xludf.DUMMYFUNCTION("""COMPUTED_VALUE"""),1.32)</f>
        <v>1.32</v>
      </c>
      <c r="BD176" s="342">
        <f>IFERROR(__xludf.DUMMYFUNCTION("""COMPUTED_VALUE"""),0.44)</f>
        <v>0.44</v>
      </c>
      <c r="BE176" s="342">
        <f>IFERROR(__xludf.DUMMYFUNCTION("""COMPUTED_VALUE"""),0.89)</f>
        <v>0.89</v>
      </c>
      <c r="BF176" s="296">
        <f>IFERROR(__xludf.DUMMYFUNCTION("""COMPUTED_VALUE"""),3.0983442250648867)</f>
        <v>3.098344225</v>
      </c>
      <c r="BG176" s="296">
        <f>IFERROR(__xludf.DUMMYFUNCTION("""COMPUTED_VALUE"""),3.173521347434391)</f>
        <v>3.173521347</v>
      </c>
      <c r="BH176" s="296">
        <f>IFERROR(__xludf.DUMMYFUNCTION("""COMPUTED_VALUE"""),3.307692307692308)</f>
        <v>3.307692308</v>
      </c>
      <c r="BI176" s="295">
        <f>IFERROR(__xludf.DUMMYFUNCTION("""COMPUTED_VALUE"""),150.0)</f>
        <v>150</v>
      </c>
      <c r="BJ176" s="292"/>
      <c r="BK176" s="346">
        <f>IFERROR(__xludf.DUMMYFUNCTION("""COMPUTED_VALUE"""),1896.0)</f>
        <v>1896</v>
      </c>
      <c r="BL176" s="292"/>
      <c r="BM176" s="292"/>
      <c r="BN176" s="292"/>
      <c r="BO176" s="292"/>
      <c r="BP176" s="292"/>
      <c r="BQ176" s="292" t="str">
        <f>IFERROR(__xludf.DUMMYFUNCTION("""COMPUTED_VALUE"""),"New")</f>
        <v>New</v>
      </c>
      <c r="BR176" s="292" t="b">
        <f>IFERROR(__xludf.DUMMYFUNCTION("""COMPUTED_VALUE"""),FALSE)</f>
        <v>0</v>
      </c>
      <c r="BS176" s="292" t="b">
        <f>IFERROR(__xludf.DUMMYFUNCTION("""COMPUTED_VALUE"""),TRUE)</f>
        <v>1</v>
      </c>
      <c r="BT176" s="292"/>
      <c r="BU176" s="292"/>
      <c r="BV176" s="292"/>
      <c r="BW176" s="292"/>
    </row>
    <row r="177">
      <c r="A177" s="292" t="str">
        <f>IFERROR(__xludf.DUMMYFUNCTION("""COMPUTED_VALUE"""),"FE0281E")</f>
        <v>FE0281E</v>
      </c>
      <c r="B177" s="292" t="str">
        <f>IFERROR(__xludf.DUMMYFUNCTION("""COMPUTED_VALUE"""),"CON-40-143708-4")</f>
        <v>CON-40-143708-4</v>
      </c>
      <c r="C177" s="292" t="str">
        <f>IFERROR(__xludf.DUMMYFUNCTION("""COMPUTED_VALUE"""),"CON-00-147833-2")</f>
        <v>CON-00-147833-2</v>
      </c>
      <c r="D177" s="292" t="str">
        <f>IFERROR(__xludf.DUMMYFUNCTION("""COMPUTED_VALUE"""),"CON-00-136683-3")</f>
        <v>CON-00-136683-3</v>
      </c>
      <c r="E177" s="292" t="str">
        <f>IFERROR(__xludf.DUMMYFUNCTION("""COMPUTED_VALUE"""),"Spicy citrus salmon")</f>
        <v>Spicy citrus salmon</v>
      </c>
      <c r="F177" s="292" t="str">
        <f>IFERROR(__xludf.DUMMYFUNCTION("""COMPUTED_VALUE"""),"with cauliflower rice, broccoli and jalapeños")</f>
        <v>with cauliflower rice, broccoli and jalapeños</v>
      </c>
      <c r="G177" s="292" t="str">
        <f>IFERROR(__xludf.DUMMYFUNCTION("""COMPUTED_VALUE"""),"Pittige citrus-zalm")</f>
        <v>Pittige citrus-zalm</v>
      </c>
      <c r="H177" s="292" t="str">
        <f>IFERROR(__xludf.DUMMYFUNCTION("""COMPUTED_VALUE"""),"met romige bloemkoolrijst, broccoli en jalapeño's")</f>
        <v>met romige bloemkoolrijst, broccoli en jalapeño's</v>
      </c>
      <c r="I177" s="292" t="str">
        <f>IFERROR(__xludf.DUMMYFUNCTION("""COMPUTED_VALUE"""),"Krydret citruslaks ")</f>
        <v>Krydret citruslaks </v>
      </c>
      <c r="J177" s="292" t="str">
        <f>IFERROR(__xludf.DUMMYFUNCTION("""COMPUTED_VALUE"""),"Würziger Zitronenlachs")</f>
        <v>Würziger Zitronenlachs</v>
      </c>
      <c r="K177" s="292">
        <f>IFERROR(__xludf.DUMMYFUNCTION("""COMPUTED_VALUE"""),565087.0)</f>
        <v>565087</v>
      </c>
      <c r="L177" s="292"/>
      <c r="M177" s="292" t="str">
        <f>IFERROR(__xludf.DUMMYFUNCTION("""COMPUTED_VALUE"""),"FA-NL Pittige citrus-zalm (FE0281)")</f>
        <v>FA-NL Pittige citrus-zalm (FE0281)</v>
      </c>
      <c r="N177" s="292" t="str">
        <f>IFERROR(__xludf.DUMMYFUNCTION("""COMPUTED_VALUE"""),"FA-NO Krydret citruslaks (FE0281)")</f>
        <v>FA-NO Krydret citruslaks (FE0281)</v>
      </c>
      <c r="O177" s="292" t="str">
        <f>IFERROR(__xludf.DUMMYFUNCTION("""COMPUTED_VALUE"""),"FA-DE Würziger Zitronenlachs (FE0281)")</f>
        <v>FA-DE Würziger Zitronenlachs (FE0281)</v>
      </c>
      <c r="P177" s="292" t="str">
        <f>IFERROR(__xludf.DUMMYFUNCTION("""COMPUTED_VALUE"""),"Active")</f>
        <v>Active</v>
      </c>
      <c r="Q177" s="292"/>
      <c r="R177" s="342">
        <f>IFERROR(__xludf.DUMMYFUNCTION("""COMPUTED_VALUE"""),6.3999999999999995)</f>
        <v>6.4</v>
      </c>
      <c r="S177" s="292"/>
      <c r="T177" s="292"/>
      <c r="U177" s="292"/>
      <c r="V177" s="292"/>
      <c r="W177" s="292" t="b">
        <f>IFERROR(__xludf.DUMMYFUNCTION("""COMPUTED_VALUE"""),FALSE)</f>
        <v>0</v>
      </c>
      <c r="X177" s="345">
        <f>IFERROR(__xludf.DUMMYFUNCTION("""COMPUTED_VALUE"""),400.0)</f>
        <v>400</v>
      </c>
      <c r="Y177" s="344">
        <f>IFERROR(__xludf.DUMMYFUNCTION("""COMPUTED_VALUE"""),614.0)</f>
        <v>614</v>
      </c>
      <c r="Z177" s="343">
        <f>IFERROR(__xludf.DUMMYFUNCTION("""COMPUTED_VALUE"""),44.5)</f>
        <v>44.5</v>
      </c>
      <c r="AA177" s="344">
        <f>IFERROR(__xludf.DUMMYFUNCTION("""COMPUTED_VALUE"""),10.1)</f>
        <v>10.1</v>
      </c>
      <c r="AB177" s="344">
        <f>IFERROR(__xludf.DUMMYFUNCTION("""COMPUTED_VALUE"""),15.9)</f>
        <v>15.9</v>
      </c>
      <c r="AC177" s="344">
        <f>IFERROR(__xludf.DUMMYFUNCTION("""COMPUTED_VALUE"""),9.9)</f>
        <v>9.9</v>
      </c>
      <c r="AD177" s="344">
        <f>IFERROR(__xludf.DUMMYFUNCTION("""COMPUTED_VALUE"""),6.9)</f>
        <v>6.9</v>
      </c>
      <c r="AE177" s="343">
        <f>IFERROR(__xludf.DUMMYFUNCTION("""COMPUTED_VALUE"""),33.1)</f>
        <v>33.1</v>
      </c>
      <c r="AF177" s="343">
        <f>IFERROR(__xludf.DUMMYFUNCTION("""COMPUTED_VALUE"""),1.94)</f>
        <v>1.94</v>
      </c>
      <c r="AG177" s="292" t="b">
        <f>IFERROR(__xludf.DUMMYFUNCTION("""COMPUTED_VALUE"""),TRUE)</f>
        <v>1</v>
      </c>
      <c r="AH177" s="292" t="b">
        <f>IFERROR(__xludf.DUMMYFUNCTION("""COMPUTED_VALUE"""),FALSE)</f>
        <v>0</v>
      </c>
      <c r="AI177" s="292" t="b">
        <f>IFERROR(__xludf.DUMMYFUNCTION("""COMPUTED_VALUE"""),FALSE)</f>
        <v>0</v>
      </c>
      <c r="AJ177" s="292" t="b">
        <f>IFERROR(__xludf.DUMMYFUNCTION("""COMPUTED_VALUE"""),FALSE)</f>
        <v>0</v>
      </c>
      <c r="AK177" s="292" t="b">
        <f>IFERROR(__xludf.DUMMYFUNCTION("""COMPUTED_VALUE"""),FALSE)</f>
        <v>0</v>
      </c>
      <c r="AL177" s="292" t="b">
        <f>IFERROR(__xludf.DUMMYFUNCTION("""COMPUTED_VALUE"""),FALSE)</f>
        <v>0</v>
      </c>
      <c r="AM177" s="292" t="b">
        <f>IFERROR(__xludf.DUMMYFUNCTION("""COMPUTED_VALUE"""),TRUE)</f>
        <v>1</v>
      </c>
      <c r="AN177" s="292" t="b">
        <f>IFERROR(__xludf.DUMMYFUNCTION("""COMPUTED_VALUE"""),FALSE)</f>
        <v>0</v>
      </c>
      <c r="AO177" s="292" t="str">
        <f>IFERROR(__xludf.DUMMYFUNCTION("""COMPUTED_VALUE"""),"FALSE")</f>
        <v>FALSE</v>
      </c>
      <c r="AP177" s="292" t="str">
        <f>IFERROR(__xludf.DUMMYFUNCTION("""COMPUTED_VALUE"""),"Salmon")</f>
        <v>Salmon</v>
      </c>
      <c r="AQ177" s="292" t="str">
        <f>IFERROR(__xludf.DUMMYFUNCTION("""COMPUTED_VALUE"""),"Salmon")</f>
        <v>Salmon</v>
      </c>
      <c r="AR177" s="292" t="str">
        <f>IFERROR(__xludf.DUMMYFUNCTION("""COMPUTED_VALUE"""),"Filet")</f>
        <v>Filet</v>
      </c>
      <c r="AS177" s="292" t="str">
        <f>IFERROR(__xludf.DUMMYFUNCTION("""COMPUTED_VALUE"""),"Cauliflower Rice")</f>
        <v>Cauliflower Rice</v>
      </c>
      <c r="AT177" s="292" t="str">
        <f>IFERROR(__xludf.DUMMYFUNCTION("""COMPUTED_VALUE"""),"Broccoli")</f>
        <v>Broccoli</v>
      </c>
      <c r="AU177" s="292"/>
      <c r="AV177" s="292" t="str">
        <f>IFERROR(__xludf.DUMMYFUNCTION("""COMPUTED_VALUE"""),"Jalapeno slices")</f>
        <v>Jalapeno slices</v>
      </c>
      <c r="AW177" s="292" t="str">
        <f>IFERROR(__xludf.DUMMYFUNCTION("""COMPUTED_VALUE"""),"Year Round")</f>
        <v>Year Round</v>
      </c>
      <c r="AX177" s="292" t="str">
        <f>IFERROR(__xludf.DUMMYFUNCTION("""COMPUTED_VALUE"""),"Mexican")</f>
        <v>Mexican</v>
      </c>
      <c r="AY177" s="292"/>
      <c r="AZ177" s="292" t="str">
        <f>IFERROR(__xludf.DUMMYFUNCTION("""COMPUTED_VALUE"""),"2 CT")</f>
        <v>2 CT</v>
      </c>
      <c r="BA177" s="292" t="b">
        <f>IFERROR(__xludf.DUMMYFUNCTION("""COMPUTED_VALUE"""),TRUE)</f>
        <v>1</v>
      </c>
      <c r="BB177" s="342">
        <f>IFERROR(__xludf.DUMMYFUNCTION("""COMPUTED_VALUE"""),3.97)</f>
        <v>3.97</v>
      </c>
      <c r="BC177" s="342">
        <f>IFERROR(__xludf.DUMMYFUNCTION("""COMPUTED_VALUE"""),1.15)</f>
        <v>1.15</v>
      </c>
      <c r="BD177" s="342">
        <f>IFERROR(__xludf.DUMMYFUNCTION("""COMPUTED_VALUE"""),0.39)</f>
        <v>0.39</v>
      </c>
      <c r="BE177" s="342">
        <f>IFERROR(__xludf.DUMMYFUNCTION("""COMPUTED_VALUE"""),0.89)</f>
        <v>0.89</v>
      </c>
      <c r="BF177" s="296" t="str">
        <f>IFERROR(__xludf.DUMMYFUNCTION("""COMPUTED_VALUE"""),"#REF!")</f>
        <v>#REF!</v>
      </c>
      <c r="BG177" s="296" t="str">
        <f>IFERROR(__xludf.DUMMYFUNCTION("""COMPUTED_VALUE"""),"#REF!")</f>
        <v>#REF!</v>
      </c>
      <c r="BH177" s="296" t="str">
        <f>IFERROR(__xludf.DUMMYFUNCTION("""COMPUTED_VALUE"""),"#REF!")</f>
        <v>#REF!</v>
      </c>
      <c r="BI177" s="295">
        <f>IFERROR(__xludf.DUMMYFUNCTION("""COMPUTED_VALUE"""),197.0)</f>
        <v>197</v>
      </c>
      <c r="BJ177" s="295" t="str">
        <f>IFERROR(__xludf.DUMMYFUNCTION("""COMPUTED_VALUE"""),"TRUE")</f>
        <v>TRUE</v>
      </c>
      <c r="BK177" s="346">
        <f>IFERROR(__xludf.DUMMYFUNCTION("""COMPUTED_VALUE"""),2549.0)</f>
        <v>2549</v>
      </c>
      <c r="BL177" s="292"/>
      <c r="BM177" s="292" t="str">
        <f>IFERROR(__xludf.DUMMYFUNCTION("""COMPUTED_VALUE"""),"Het citronlax ")</f>
        <v>Het citronlax </v>
      </c>
      <c r="BN177" s="292"/>
      <c r="BO177" s="292"/>
      <c r="BP177" s="292"/>
      <c r="BQ177" s="292" t="str">
        <f>IFERROR(__xludf.DUMMYFUNCTION("""COMPUTED_VALUE"""),"Active")</f>
        <v>Active</v>
      </c>
      <c r="BR177" s="292" t="b">
        <f>IFERROR(__xludf.DUMMYFUNCTION("""COMPUTED_VALUE"""),FALSE)</f>
        <v>0</v>
      </c>
      <c r="BS177" s="292" t="b">
        <f>IFERROR(__xludf.DUMMYFUNCTION("""COMPUTED_VALUE"""),FALSE)</f>
        <v>0</v>
      </c>
      <c r="BT177" s="296" t="str">
        <f>IFERROR(__xludf.DUMMYFUNCTION("""COMPUTED_VALUE"""),"#REF!")</f>
        <v>#REF!</v>
      </c>
      <c r="BU177" s="296" t="str">
        <f>IFERROR(__xludf.DUMMYFUNCTION("""COMPUTED_VALUE"""),"#REF!")</f>
        <v>#REF!</v>
      </c>
      <c r="BV177" s="296" t="str">
        <f>IFERROR(__xludf.DUMMYFUNCTION("""COMPUTED_VALUE"""),"#REF!")</f>
        <v>#REF!</v>
      </c>
      <c r="BW177" s="296" t="b">
        <f>IFERROR(__xludf.DUMMYFUNCTION("""COMPUTED_VALUE"""),FALSE)</f>
        <v>0</v>
      </c>
    </row>
    <row r="178">
      <c r="A178" s="292" t="str">
        <f>IFERROR(__xludf.DUMMYFUNCTION("""COMPUTED_VALUE"""),"FE0972B")</f>
        <v>FE0972B</v>
      </c>
      <c r="B178" s="292" t="str">
        <f>IFERROR(__xludf.DUMMYFUNCTION("""COMPUTED_VALUE"""),"CON-40-152011-4")</f>
        <v>CON-40-152011-4</v>
      </c>
      <c r="C178" s="292" t="str">
        <f>IFERROR(__xludf.DUMMYFUNCTION("""COMPUTED_VALUE"""),"CON-00-152023-2")</f>
        <v>CON-00-152023-2</v>
      </c>
      <c r="D178" s="292" t="str">
        <f>IFERROR(__xludf.DUMMYFUNCTION("""COMPUTED_VALUE"""),"CON-00-152025-2")</f>
        <v>CON-00-152025-2</v>
      </c>
      <c r="E178" s="292" t="str">
        <f>IFERROR(__xludf.DUMMYFUNCTION("""COMPUTED_VALUE"""),"Salmon Piccata")</f>
        <v>Salmon Piccata</v>
      </c>
      <c r="F178" s="292" t="str">
        <f>IFERROR(__xludf.DUMMYFUNCTION("""COMPUTED_VALUE"""),"with Creamy Cauliflower Mash &amp; Garlic Broccoli")</f>
        <v>with Creamy Cauliflower Mash &amp; Garlic Broccoli</v>
      </c>
      <c r="G178" s="292" t="str">
        <f>IFERROR(__xludf.DUMMYFUNCTION("""COMPUTED_VALUE"""),"Zalm in piccata-saus")</f>
        <v>Zalm in piccata-saus</v>
      </c>
      <c r="H178" s="292" t="str">
        <f>IFERROR(__xludf.DUMMYFUNCTION("""COMPUTED_VALUE"""),"met romige bloemkoolpuree &amp; knoflook-broccoli")</f>
        <v>met romige bloemkoolpuree &amp; knoflook-broccoli</v>
      </c>
      <c r="I178" s="292" t="str">
        <f>IFERROR(__xludf.DUMMYFUNCTION("""COMPUTED_VALUE"""),"Laks Piccata ")</f>
        <v>Laks Piccata </v>
      </c>
      <c r="J178" s="292" t="str">
        <f>IFERROR(__xludf.DUMMYFUNCTION("""COMPUTED_VALUE"""),"Lachs Piccata")</f>
        <v>Lachs Piccata</v>
      </c>
      <c r="K178" s="292">
        <f>IFERROR(__xludf.DUMMYFUNCTION("""COMPUTED_VALUE"""),565189.0)</f>
        <v>565189</v>
      </c>
      <c r="L178" s="292" t="str">
        <f>IFERROR(__xludf.DUMMYFUNCTION("""COMPUTED_VALUE"""),"HF Zalm met piccata saus")</f>
        <v>HF Zalm met piccata saus</v>
      </c>
      <c r="M178" s="292" t="str">
        <f>IFERROR(__xludf.DUMMYFUNCTION("""COMPUTED_VALUE"""),"FA-NL Zalm in piccata-saus (FE0972)")</f>
        <v>FA-NL Zalm in piccata-saus (FE0972)</v>
      </c>
      <c r="N178" s="292" t="str">
        <f>IFERROR(__xludf.DUMMYFUNCTION("""COMPUTED_VALUE"""),"FA-NO Laks Piccata (FE0972)")</f>
        <v>FA-NO Laks Piccata (FE0972)</v>
      </c>
      <c r="O178" s="292" t="str">
        <f>IFERROR(__xludf.DUMMYFUNCTION("""COMPUTED_VALUE"""),"FA-DE Lachs Piccata (FE0972)")</f>
        <v>FA-DE Lachs Piccata (FE0972)</v>
      </c>
      <c r="P178" s="292" t="str">
        <f>IFERROR(__xludf.DUMMYFUNCTION("""COMPUTED_VALUE"""),"Active")</f>
        <v>Active</v>
      </c>
      <c r="Q178" s="292" t="str">
        <f>IFERROR(__xludf.DUMMYFUNCTION("""COMPUTED_VALUE"""),"New meal ")</f>
        <v>New meal </v>
      </c>
      <c r="R178" s="342">
        <f>IFERROR(__xludf.DUMMYFUNCTION("""COMPUTED_VALUE"""),6.23)</f>
        <v>6.23</v>
      </c>
      <c r="S178" s="292"/>
      <c r="T178" s="292"/>
      <c r="U178" s="292"/>
      <c r="V178" s="292"/>
      <c r="W178" s="292" t="b">
        <f>IFERROR(__xludf.DUMMYFUNCTION("""COMPUTED_VALUE"""),TRUE)</f>
        <v>1</v>
      </c>
      <c r="X178" s="345">
        <f>IFERROR(__xludf.DUMMYFUNCTION("""COMPUTED_VALUE"""),379.0)</f>
        <v>379</v>
      </c>
      <c r="Y178" s="344">
        <f>IFERROR(__xludf.DUMMYFUNCTION("""COMPUTED_VALUE"""),783.0)</f>
        <v>783</v>
      </c>
      <c r="Z178" s="343">
        <f>IFERROR(__xludf.DUMMYFUNCTION("""COMPUTED_VALUE"""),65.5)</f>
        <v>65.5</v>
      </c>
      <c r="AA178" s="344">
        <f>IFERROR(__xludf.DUMMYFUNCTION("""COMPUTED_VALUE"""),25.3)</f>
        <v>25.3</v>
      </c>
      <c r="AB178" s="344">
        <f>IFERROR(__xludf.DUMMYFUNCTION("""COMPUTED_VALUE"""),6.9)</f>
        <v>6.9</v>
      </c>
      <c r="AC178" s="344">
        <f>IFERROR(__xludf.DUMMYFUNCTION("""COMPUTED_VALUE"""),5.7)</f>
        <v>5.7</v>
      </c>
      <c r="AD178" s="344">
        <f>IFERROR(__xludf.DUMMYFUNCTION("""COMPUTED_VALUE"""),5.6)</f>
        <v>5.6</v>
      </c>
      <c r="AE178" s="343">
        <f>IFERROR(__xludf.DUMMYFUNCTION("""COMPUTED_VALUE"""),36.5)</f>
        <v>36.5</v>
      </c>
      <c r="AF178" s="343">
        <f>IFERROR(__xludf.DUMMYFUNCTION("""COMPUTED_VALUE"""),2.0)</f>
        <v>2</v>
      </c>
      <c r="AG178" s="292" t="b">
        <f>IFERROR(__xludf.DUMMYFUNCTION("""COMPUTED_VALUE"""),FALSE)</f>
        <v>0</v>
      </c>
      <c r="AH178" s="292" t="b">
        <f>IFERROR(__xludf.DUMMYFUNCTION("""COMPUTED_VALUE"""),TRUE)</f>
        <v>1</v>
      </c>
      <c r="AI178" s="292" t="b">
        <f>IFERROR(__xludf.DUMMYFUNCTION("""COMPUTED_VALUE"""),FALSE)</f>
        <v>0</v>
      </c>
      <c r="AJ178" s="292" t="b">
        <f>IFERROR(__xludf.DUMMYFUNCTION("""COMPUTED_VALUE"""),FALSE)</f>
        <v>0</v>
      </c>
      <c r="AK178" s="292" t="b">
        <f>IFERROR(__xludf.DUMMYFUNCTION("""COMPUTED_VALUE"""),FALSE)</f>
        <v>0</v>
      </c>
      <c r="AL178" s="292" t="b">
        <f>IFERROR(__xludf.DUMMYFUNCTION("""COMPUTED_VALUE"""),FALSE)</f>
        <v>0</v>
      </c>
      <c r="AM178" s="292" t="b">
        <f>IFERROR(__xludf.DUMMYFUNCTION("""COMPUTED_VALUE"""),FALSE)</f>
        <v>0</v>
      </c>
      <c r="AN178" s="292" t="b">
        <f>IFERROR(__xludf.DUMMYFUNCTION("""COMPUTED_VALUE"""),FALSE)</f>
        <v>0</v>
      </c>
      <c r="AO178" s="292" t="str">
        <f>IFERROR(__xludf.DUMMYFUNCTION("""COMPUTED_VALUE"""),"FALSE")</f>
        <v>FALSE</v>
      </c>
      <c r="AP178" s="292" t="str">
        <f>IFERROR(__xludf.DUMMYFUNCTION("""COMPUTED_VALUE"""),"Salmon")</f>
        <v>Salmon</v>
      </c>
      <c r="AQ178" s="292" t="str">
        <f>IFERROR(__xludf.DUMMYFUNCTION("""COMPUTED_VALUE"""),"Salmon")</f>
        <v>Salmon</v>
      </c>
      <c r="AR178" s="292" t="str">
        <f>IFERROR(__xludf.DUMMYFUNCTION("""COMPUTED_VALUE"""),"Filet")</f>
        <v>Filet</v>
      </c>
      <c r="AS178" s="292" t="str">
        <f>IFERROR(__xludf.DUMMYFUNCTION("""COMPUTED_VALUE"""),"Cauliflower Mash")</f>
        <v>Cauliflower Mash</v>
      </c>
      <c r="AT178" s="292" t="str">
        <f>IFERROR(__xludf.DUMMYFUNCTION("""COMPUTED_VALUE"""),"Broccoli")</f>
        <v>Broccoli</v>
      </c>
      <c r="AU178" s="292" t="str">
        <f>IFERROR(__xludf.DUMMYFUNCTION("""COMPUTED_VALUE"""),"Creamy Sauce Base")</f>
        <v>Creamy Sauce Base</v>
      </c>
      <c r="AV178" s="292"/>
      <c r="AW178" s="292" t="str">
        <f>IFERROR(__xludf.DUMMYFUNCTION("""COMPUTED_VALUE"""),"Year Round")</f>
        <v>Year Round</v>
      </c>
      <c r="AX178" s="292" t="str">
        <f>IFERROR(__xludf.DUMMYFUNCTION("""COMPUTED_VALUE"""),"Italian")</f>
        <v>Italian</v>
      </c>
      <c r="AY178" s="292"/>
      <c r="AZ178" s="292" t="str">
        <f>IFERROR(__xludf.DUMMYFUNCTION("""COMPUTED_VALUE"""),"2 CT")</f>
        <v>2 CT</v>
      </c>
      <c r="BA178" s="292" t="b">
        <f>IFERROR(__xludf.DUMMYFUNCTION("""COMPUTED_VALUE"""),FALSE)</f>
        <v>0</v>
      </c>
      <c r="BB178" s="342">
        <f>IFERROR(__xludf.DUMMYFUNCTION("""COMPUTED_VALUE"""),4.64)</f>
        <v>4.64</v>
      </c>
      <c r="BC178" s="348">
        <f>IFERROR(__xludf.DUMMYFUNCTION("""COMPUTED_VALUE"""),1.18)</f>
        <v>1.18</v>
      </c>
      <c r="BD178" s="348">
        <f>IFERROR(__xludf.DUMMYFUNCTION("""COMPUTED_VALUE"""),0.41)</f>
        <v>0.41</v>
      </c>
      <c r="BE178" s="348">
        <f>IFERROR(__xludf.DUMMYFUNCTION("""COMPUTED_VALUE"""),0.89)</f>
        <v>0.89</v>
      </c>
      <c r="BF178" s="296">
        <f>IFERROR(__xludf.DUMMYFUNCTION("""COMPUTED_VALUE"""),3.4133333333333336)</f>
        <v>3.413333333</v>
      </c>
      <c r="BG178" s="296">
        <f>IFERROR(__xludf.DUMMYFUNCTION("""COMPUTED_VALUE"""),3.4233333333333333)</f>
        <v>3.423333333</v>
      </c>
      <c r="BH178" s="296">
        <f>IFERROR(__xludf.DUMMYFUNCTION("""COMPUTED_VALUE"""),3.42)</f>
        <v>3.42</v>
      </c>
      <c r="BI178" s="295">
        <f>IFERROR(__xludf.DUMMYFUNCTION("""COMPUTED_VALUE"""),169.0)</f>
        <v>169</v>
      </c>
      <c r="BJ178" s="292"/>
      <c r="BK178" s="346">
        <f>IFERROR(__xludf.DUMMYFUNCTION("""COMPUTED_VALUE"""),3262.0)</f>
        <v>3262</v>
      </c>
      <c r="BL178" s="292"/>
      <c r="BM178" s="292"/>
      <c r="BN178" s="292"/>
      <c r="BO178" s="292"/>
      <c r="BP178" s="292"/>
      <c r="BQ178" s="292" t="str">
        <f>IFERROR(__xludf.DUMMYFUNCTION("""COMPUTED_VALUE"""),"Proven")</f>
        <v>Proven</v>
      </c>
      <c r="BR178" s="292" t="b">
        <f>IFERROR(__xludf.DUMMYFUNCTION("""COMPUTED_VALUE"""),FALSE)</f>
        <v>0</v>
      </c>
      <c r="BS178" s="292" t="b">
        <f>IFERROR(__xludf.DUMMYFUNCTION("""COMPUTED_VALUE"""),FALSE)</f>
        <v>0</v>
      </c>
      <c r="BT178" s="292"/>
      <c r="BU178" s="292"/>
      <c r="BV178" s="292"/>
      <c r="BW178" s="292"/>
    </row>
    <row r="179">
      <c r="A179" s="292" t="str">
        <f>IFERROR(__xludf.DUMMYFUNCTION("""COMPUTED_VALUE"""),"FE0035E")</f>
        <v>FE0035E</v>
      </c>
      <c r="B179" s="292" t="str">
        <f>IFERROR(__xludf.DUMMYFUNCTION("""COMPUTED_VALUE"""),"CON-40-143754-4")</f>
        <v>CON-40-143754-4</v>
      </c>
      <c r="C179" s="292" t="str">
        <f>IFERROR(__xludf.DUMMYFUNCTION("""COMPUTED_VALUE"""),"CON-00-147813-2")</f>
        <v>CON-00-147813-2</v>
      </c>
      <c r="D179" s="292" t="str">
        <f>IFERROR(__xludf.DUMMYFUNCTION("""COMPUTED_VALUE"""),"CON-00-136630-3")</f>
        <v>CON-00-136630-3</v>
      </c>
      <c r="E179" s="292" t="str">
        <f>IFERROR(__xludf.DUMMYFUNCTION("""COMPUTED_VALUE"""),"Salmon with pesto")</f>
        <v>Salmon with pesto</v>
      </c>
      <c r="F179" s="292" t="str">
        <f>IFERROR(__xludf.DUMMYFUNCTION("""COMPUTED_VALUE"""),"with green beans, spinach, cream cheese and butter with sun-dried tomatoes")</f>
        <v>with green beans, spinach, cream cheese and butter with sun-dried tomatoes</v>
      </c>
      <c r="G179" s="292" t="str">
        <f>IFERROR(__xludf.DUMMYFUNCTION("""COMPUTED_VALUE"""),"Zalm met pesto")</f>
        <v>Zalm met pesto</v>
      </c>
      <c r="H179" s="292" t="str">
        <f>IFERROR(__xludf.DUMMYFUNCTION("""COMPUTED_VALUE"""),"met sperziebonen, spinazie, roomkaas en boter met zongedroogde tomaat")</f>
        <v>met sperziebonen, spinazie, roomkaas en boter met zongedroogde tomaat</v>
      </c>
      <c r="I179" s="292" t="str">
        <f>IFERROR(__xludf.DUMMYFUNCTION("""COMPUTED_VALUE"""),"Laks med pesto")</f>
        <v>Laks med pesto</v>
      </c>
      <c r="J179" s="292" t="str">
        <f>IFERROR(__xludf.DUMMYFUNCTION("""COMPUTED_VALUE"""),"Lachs mit grünem Pesto")</f>
        <v>Lachs mit grünem Pesto</v>
      </c>
      <c r="K179" s="292">
        <f>IFERROR(__xludf.DUMMYFUNCTION("""COMPUTED_VALUE"""),565022.0)</f>
        <v>565022</v>
      </c>
      <c r="L179" s="292" t="str">
        <f>IFERROR(__xludf.DUMMYFUNCTION("""COMPUTED_VALUE"""),"HF Zalm met pesto")</f>
        <v>HF Zalm met pesto</v>
      </c>
      <c r="M179" s="292" t="str">
        <f>IFERROR(__xludf.DUMMYFUNCTION("""COMPUTED_VALUE"""),"FA-NL Zalm met pesto [FE0035]")</f>
        <v>FA-NL Zalm met pesto [FE0035]</v>
      </c>
      <c r="N179" s="292" t="str">
        <f>IFERROR(__xludf.DUMMYFUNCTION("""COMPUTED_VALUE"""),"FA-NO Laks med pesto (FE0035)")</f>
        <v>FA-NO Laks med pesto (FE0035)</v>
      </c>
      <c r="O179" s="292" t="str">
        <f>IFERROR(__xludf.DUMMYFUNCTION("""COMPUTED_VALUE"""),"FA-DE Lachs mit grünem Pesto (FE0035)")</f>
        <v>FA-DE Lachs mit grünem Pesto (FE0035)</v>
      </c>
      <c r="P179" s="292" t="str">
        <f>IFERROR(__xludf.DUMMYFUNCTION("""COMPUTED_VALUE"""),"Graveyard")</f>
        <v>Graveyard</v>
      </c>
      <c r="Q179" s="292" t="str">
        <f>IFERROR(__xludf.DUMMYFUNCTION("""COMPUTED_VALUE"""),"Shifted to Maitre production")</f>
        <v>Shifted to Maitre production</v>
      </c>
      <c r="R179" s="342">
        <f>IFERROR(__xludf.DUMMYFUNCTION("""COMPUTED_VALUE"""),6.53)</f>
        <v>6.53</v>
      </c>
      <c r="S179" s="292"/>
      <c r="T179" s="292"/>
      <c r="U179" s="292"/>
      <c r="V179" s="292"/>
      <c r="W179" s="292" t="b">
        <f>IFERROR(__xludf.DUMMYFUNCTION("""COMPUTED_VALUE"""),TRUE)</f>
        <v>1</v>
      </c>
      <c r="X179" s="345">
        <f>IFERROR(__xludf.DUMMYFUNCTION("""COMPUTED_VALUE"""),368.0)</f>
        <v>368</v>
      </c>
      <c r="Y179" s="344">
        <f>IFERROR(__xludf.DUMMYFUNCTION("""COMPUTED_VALUE"""),800.0)</f>
        <v>800</v>
      </c>
      <c r="Z179" s="343">
        <f>IFERROR(__xludf.DUMMYFUNCTION("""COMPUTED_VALUE"""),65.2)</f>
        <v>65.2</v>
      </c>
      <c r="AA179" s="344">
        <f>IFERROR(__xludf.DUMMYFUNCTION("""COMPUTED_VALUE"""),19.3)</f>
        <v>19.3</v>
      </c>
      <c r="AB179" s="344">
        <f>IFERROR(__xludf.DUMMYFUNCTION("""COMPUTED_VALUE"""),8.5)</f>
        <v>8.5</v>
      </c>
      <c r="AC179" s="344">
        <f>IFERROR(__xludf.DUMMYFUNCTION("""COMPUTED_VALUE"""),5.6)</f>
        <v>5.6</v>
      </c>
      <c r="AD179" s="344">
        <f>IFERROR(__xludf.DUMMYFUNCTION("""COMPUTED_VALUE"""),7.1)</f>
        <v>7.1</v>
      </c>
      <c r="AE179" s="343">
        <f>IFERROR(__xludf.DUMMYFUNCTION("""COMPUTED_VALUE"""),39.2)</f>
        <v>39.2</v>
      </c>
      <c r="AF179" s="343">
        <f>IFERROR(__xludf.DUMMYFUNCTION("""COMPUTED_VALUE"""),1.97)</f>
        <v>1.97</v>
      </c>
      <c r="AG179" s="292" t="b">
        <f>IFERROR(__xludf.DUMMYFUNCTION("""COMPUTED_VALUE"""),FALSE)</f>
        <v>0</v>
      </c>
      <c r="AH179" s="292" t="b">
        <f>IFERROR(__xludf.DUMMYFUNCTION("""COMPUTED_VALUE"""),TRUE)</f>
        <v>1</v>
      </c>
      <c r="AI179" s="292" t="b">
        <f>IFERROR(__xludf.DUMMYFUNCTION("""COMPUTED_VALUE"""),FALSE)</f>
        <v>0</v>
      </c>
      <c r="AJ179" s="292" t="b">
        <f>IFERROR(__xludf.DUMMYFUNCTION("""COMPUTED_VALUE"""),FALSE)</f>
        <v>0</v>
      </c>
      <c r="AK179" s="292" t="b">
        <f>IFERROR(__xludf.DUMMYFUNCTION("""COMPUTED_VALUE"""),FALSE)</f>
        <v>0</v>
      </c>
      <c r="AL179" s="292" t="b">
        <f>IFERROR(__xludf.DUMMYFUNCTION("""COMPUTED_VALUE"""),FALSE)</f>
        <v>0</v>
      </c>
      <c r="AM179" s="292" t="b">
        <f>IFERROR(__xludf.DUMMYFUNCTION("""COMPUTED_VALUE"""),FALSE)</f>
        <v>0</v>
      </c>
      <c r="AN179" s="292" t="b">
        <f>IFERROR(__xludf.DUMMYFUNCTION("""COMPUTED_VALUE"""),FALSE)</f>
        <v>0</v>
      </c>
      <c r="AO179" s="292" t="str">
        <f>IFERROR(__xludf.DUMMYFUNCTION("""COMPUTED_VALUE"""),"FALSE")</f>
        <v>FALSE</v>
      </c>
      <c r="AP179" s="292" t="str">
        <f>IFERROR(__xludf.DUMMYFUNCTION("""COMPUTED_VALUE"""),"Salmon")</f>
        <v>Salmon</v>
      </c>
      <c r="AQ179" s="292" t="str">
        <f>IFERROR(__xludf.DUMMYFUNCTION("""COMPUTED_VALUE"""),"Salmon")</f>
        <v>Salmon</v>
      </c>
      <c r="AR179" s="292" t="str">
        <f>IFERROR(__xludf.DUMMYFUNCTION("""COMPUTED_VALUE"""),"Filet")</f>
        <v>Filet</v>
      </c>
      <c r="AS179" s="292" t="str">
        <f>IFERROR(__xludf.DUMMYFUNCTION("""COMPUTED_VALUE"""),"Green Beans")</f>
        <v>Green Beans</v>
      </c>
      <c r="AT179" s="292" t="str">
        <f>IFERROR(__xludf.DUMMYFUNCTION("""COMPUTED_VALUE"""),"Spinach")</f>
        <v>Spinach</v>
      </c>
      <c r="AU179" s="292" t="str">
        <f>IFERROR(__xludf.DUMMYFUNCTION("""COMPUTED_VALUE"""),"Creamy Sauce Base")</f>
        <v>Creamy Sauce Base</v>
      </c>
      <c r="AV179" s="292" t="str">
        <f>IFERROR(__xludf.DUMMYFUNCTION("""COMPUTED_VALUE"""),"Compound Butter")</f>
        <v>Compound Butter</v>
      </c>
      <c r="AW179" s="292" t="str">
        <f>IFERROR(__xludf.DUMMYFUNCTION("""COMPUTED_VALUE"""),"Year Round")</f>
        <v>Year Round</v>
      </c>
      <c r="AX179" s="292" t="str">
        <f>IFERROR(__xludf.DUMMYFUNCTION("""COMPUTED_VALUE"""),"Italian")</f>
        <v>Italian</v>
      </c>
      <c r="AY179" s="292"/>
      <c r="AZ179" s="292" t="str">
        <f>IFERROR(__xludf.DUMMYFUNCTION("""COMPUTED_VALUE"""),"2 CT")</f>
        <v>2 CT</v>
      </c>
      <c r="BA179" s="292" t="b">
        <f>IFERROR(__xludf.DUMMYFUNCTION("""COMPUTED_VALUE"""),FALSE)</f>
        <v>0</v>
      </c>
      <c r="BB179" s="292"/>
      <c r="BC179" s="292"/>
      <c r="BD179" s="292"/>
      <c r="BE179" s="342">
        <f>IFERROR(__xludf.DUMMYFUNCTION("""COMPUTED_VALUE"""),0.89)</f>
        <v>0.89</v>
      </c>
      <c r="BF179" s="296">
        <f>IFERROR(__xludf.DUMMYFUNCTION("""COMPUTED_VALUE"""),3.5020497602211926)</f>
        <v>3.50204976</v>
      </c>
      <c r="BG179" s="296">
        <f>IFERROR(__xludf.DUMMYFUNCTION("""COMPUTED_VALUE"""),3.5945701357466064)</f>
        <v>3.594570136</v>
      </c>
      <c r="BH179" s="296">
        <f>IFERROR(__xludf.DUMMYFUNCTION("""COMPUTED_VALUE"""),3.5901960784313727)</f>
        <v>3.590196078</v>
      </c>
      <c r="BI179" s="295">
        <f>IFERROR(__xludf.DUMMYFUNCTION("""COMPUTED_VALUE"""),165.0)</f>
        <v>165</v>
      </c>
      <c r="BJ179" s="292"/>
      <c r="BK179" s="346">
        <f>IFERROR(__xludf.DUMMYFUNCTION("""COMPUTED_VALUE"""),3323.0)</f>
        <v>3323</v>
      </c>
      <c r="BL179" s="292"/>
      <c r="BM179" s="292"/>
      <c r="BN179" s="292"/>
      <c r="BO179" s="292"/>
      <c r="BP179" s="292"/>
      <c r="BQ179" s="292" t="str">
        <f>IFERROR(__xludf.DUMMYFUNCTION("""COMPUTED_VALUE"""),"Proven")</f>
        <v>Proven</v>
      </c>
      <c r="BR179" s="292" t="b">
        <f>IFERROR(__xludf.DUMMYFUNCTION("""COMPUTED_VALUE"""),FALSE)</f>
        <v>0</v>
      </c>
      <c r="BS179" s="292" t="b">
        <f>IFERROR(__xludf.DUMMYFUNCTION("""COMPUTED_VALUE"""),FALSE)</f>
        <v>0</v>
      </c>
      <c r="BT179" s="292"/>
      <c r="BU179" s="292"/>
      <c r="BV179" s="292"/>
      <c r="BW179" s="292"/>
    </row>
    <row r="180">
      <c r="A180" s="292" t="str">
        <f>IFERROR(__xludf.DUMMYFUNCTION("""COMPUTED_VALUE"""),"FE0129G")</f>
        <v>FE0129G</v>
      </c>
      <c r="B180" s="292" t="str">
        <f>IFERROR(__xludf.DUMMYFUNCTION("""COMPUTED_VALUE"""),"CON-40-143705-4")</f>
        <v>CON-40-143705-4</v>
      </c>
      <c r="C180" s="292" t="str">
        <f>IFERROR(__xludf.DUMMYFUNCTION("""COMPUTED_VALUE"""),"CON-00-147819-2")</f>
        <v>CON-00-147819-2</v>
      </c>
      <c r="D180" s="292" t="str">
        <f>IFERROR(__xludf.DUMMYFUNCTION("""COMPUTED_VALUE"""),"CON-00-136727-3")</f>
        <v>CON-00-136727-3</v>
      </c>
      <c r="E180" s="292" t="str">
        <f>IFERROR(__xludf.DUMMYFUNCTION("""COMPUTED_VALUE"""),"Peruvian style chicken breast")</f>
        <v>Peruvian style chicken breast</v>
      </c>
      <c r="F180" s="292" t="str">
        <f>IFERROR(__xludf.DUMMYFUNCTION("""COMPUTED_VALUE"""),"with cauliflower rice, broccoli, garlic-chili butter and sauce with jalapeño peppers and parsley")</f>
        <v>with cauliflower rice, broccoli, garlic-chili butter and sauce with jalapeño peppers and parsley</v>
      </c>
      <c r="G180" s="292" t="str">
        <f>IFERROR(__xludf.DUMMYFUNCTION("""COMPUTED_VALUE"""),"Peruaanse stijl kipfilet")</f>
        <v>Peruaanse stijl kipfilet</v>
      </c>
      <c r="H180" s="292" t="str">
        <f>IFERROR(__xludf.DUMMYFUNCTION("""COMPUTED_VALUE"""),"met bloemkoolrijst, broccoli, knoflook-chiliboter en saus met jalapeñopepers en peterselie")</f>
        <v>met bloemkoolrijst, broccoli, knoflook-chiliboter en saus met jalapeñopepers en peterselie</v>
      </c>
      <c r="I180" s="292" t="str">
        <f>IFERROR(__xludf.DUMMYFUNCTION("""COMPUTED_VALUE"""),"Peruviansk inspireret kyllingebryst")</f>
        <v>Peruviansk inspireret kyllingebryst</v>
      </c>
      <c r="J180" s="292" t="str">
        <f>IFERROR(__xludf.DUMMYFUNCTION("""COMPUTED_VALUE"""),"Hähnchenbrust nach peruanischer Art")</f>
        <v>Hähnchenbrust nach peruanischer Art</v>
      </c>
      <c r="K180" s="292">
        <f>IFERROR(__xludf.DUMMYFUNCTION("""COMPUTED_VALUE"""),565193.0)</f>
        <v>565193</v>
      </c>
      <c r="L180" s="292" t="str">
        <f>IFERROR(__xludf.DUMMYFUNCTION("""COMPUTED_VALUE"""),"HF RW Peruaanse stijl kipfilet")</f>
        <v>HF RW Peruaanse stijl kipfilet</v>
      </c>
      <c r="M180" s="292" t="str">
        <f>IFERROR(__xludf.DUMMYFUNCTION("""COMPUTED_VALUE"""),"FA-NL Peruaanse stijl kipfilet (FE0129)")</f>
        <v>FA-NL Peruaanse stijl kipfilet (FE0129)</v>
      </c>
      <c r="N180" s="292" t="str">
        <f>IFERROR(__xludf.DUMMYFUNCTION("""COMPUTED_VALUE"""),"FA-NO Peruansk kyllingebryst (FE0129)")</f>
        <v>FA-NO Peruansk kyllingebryst (FE0129)</v>
      </c>
      <c r="O180" s="292" t="str">
        <f>IFERROR(__xludf.DUMMYFUNCTION("""COMPUTED_VALUE"""),"FA-DE Peruanische Hähnchenbrust (FE0129)")</f>
        <v>FA-DE Peruanische Hähnchenbrust (FE0129)</v>
      </c>
      <c r="P180" s="292" t="str">
        <f>IFERROR(__xludf.DUMMYFUNCTION("""COMPUTED_VALUE"""),"Active")</f>
        <v>Active</v>
      </c>
      <c r="Q180" s="292" t="str">
        <f>IFERROR(__xludf.DUMMYFUNCTION("""COMPUTED_VALUE"""),"Put on hold - Waiting for customer feedback to see if it needs rework")</f>
        <v>Put on hold - Waiting for customer feedback to see if it needs rework</v>
      </c>
      <c r="R180" s="342">
        <f>IFERROR(__xludf.DUMMYFUNCTION("""COMPUTED_VALUE"""),4.53)</f>
        <v>4.53</v>
      </c>
      <c r="S180" s="292"/>
      <c r="T180" s="292"/>
      <c r="U180" s="292"/>
      <c r="V180" s="292"/>
      <c r="W180" s="292" t="b">
        <f>IFERROR(__xludf.DUMMYFUNCTION("""COMPUTED_VALUE"""),TRUE)</f>
        <v>1</v>
      </c>
      <c r="X180" s="345">
        <f>IFERROR(__xludf.DUMMYFUNCTION("""COMPUTED_VALUE"""),376.0)</f>
        <v>376</v>
      </c>
      <c r="Y180" s="344">
        <f>IFERROR(__xludf.DUMMYFUNCTION("""COMPUTED_VALUE"""),548.0)</f>
        <v>548</v>
      </c>
      <c r="Z180" s="343">
        <f>IFERROR(__xludf.DUMMYFUNCTION("""COMPUTED_VALUE"""),40.7)</f>
        <v>40.7</v>
      </c>
      <c r="AA180" s="344">
        <f>IFERROR(__xludf.DUMMYFUNCTION("""COMPUTED_VALUE"""),19.6)</f>
        <v>19.6</v>
      </c>
      <c r="AB180" s="344">
        <f>IFERROR(__xludf.DUMMYFUNCTION("""COMPUTED_VALUE"""),9.6)</f>
        <v>9.6</v>
      </c>
      <c r="AC180" s="344">
        <f>IFERROR(__xludf.DUMMYFUNCTION("""COMPUTED_VALUE"""),5.2)</f>
        <v>5.2</v>
      </c>
      <c r="AD180" s="344">
        <f>IFERROR(__xludf.DUMMYFUNCTION("""COMPUTED_VALUE"""),5.5)</f>
        <v>5.5</v>
      </c>
      <c r="AE180" s="343">
        <f>IFERROR(__xludf.DUMMYFUNCTION("""COMPUTED_VALUE"""),33.3)</f>
        <v>33.3</v>
      </c>
      <c r="AF180" s="343">
        <f>IFERROR(__xludf.DUMMYFUNCTION("""COMPUTED_VALUE"""),2.02)</f>
        <v>2.02</v>
      </c>
      <c r="AG180" s="292" t="b">
        <f>IFERROR(__xludf.DUMMYFUNCTION("""COMPUTED_VALUE"""),TRUE)</f>
        <v>1</v>
      </c>
      <c r="AH180" s="292" t="b">
        <f>IFERROR(__xludf.DUMMYFUNCTION("""COMPUTED_VALUE"""),TRUE)</f>
        <v>1</v>
      </c>
      <c r="AI180" s="292" t="b">
        <f>IFERROR(__xludf.DUMMYFUNCTION("""COMPUTED_VALUE"""),FALSE)</f>
        <v>0</v>
      </c>
      <c r="AJ180" s="292" t="b">
        <f>IFERROR(__xludf.DUMMYFUNCTION("""COMPUTED_VALUE"""),FALSE)</f>
        <v>0</v>
      </c>
      <c r="AK180" s="292" t="b">
        <f>IFERROR(__xludf.DUMMYFUNCTION("""COMPUTED_VALUE"""),FALSE)</f>
        <v>0</v>
      </c>
      <c r="AL180" s="292" t="b">
        <f>IFERROR(__xludf.DUMMYFUNCTION("""COMPUTED_VALUE"""),FALSE)</f>
        <v>0</v>
      </c>
      <c r="AM180" s="292" t="b">
        <f>IFERROR(__xludf.DUMMYFUNCTION("""COMPUTED_VALUE"""),FALSE)</f>
        <v>0</v>
      </c>
      <c r="AN180" s="292" t="b">
        <f>IFERROR(__xludf.DUMMYFUNCTION("""COMPUTED_VALUE"""),FALSE)</f>
        <v>0</v>
      </c>
      <c r="AO180" s="292" t="str">
        <f>IFERROR(__xludf.DUMMYFUNCTION("""COMPUTED_VALUE"""),"FALSE")</f>
        <v>FALSE</v>
      </c>
      <c r="AP180" s="292" t="str">
        <f>IFERROR(__xludf.DUMMYFUNCTION("""COMPUTED_VALUE"""),"Chicken breast")</f>
        <v>Chicken breast</v>
      </c>
      <c r="AQ180" s="292" t="str">
        <f>IFERROR(__xludf.DUMMYFUNCTION("""COMPUTED_VALUE"""),"Chicken")</f>
        <v>Chicken</v>
      </c>
      <c r="AR180" s="292" t="str">
        <f>IFERROR(__xludf.DUMMYFUNCTION("""COMPUTED_VALUE"""),"Breast")</f>
        <v>Breast</v>
      </c>
      <c r="AS180" s="292" t="str">
        <f>IFERROR(__xludf.DUMMYFUNCTION("""COMPUTED_VALUE"""),"Cauliflower Rice")</f>
        <v>Cauliflower Rice</v>
      </c>
      <c r="AT180" s="292" t="str">
        <f>IFERROR(__xludf.DUMMYFUNCTION("""COMPUTED_VALUE"""),"Broccoli")</f>
        <v>Broccoli</v>
      </c>
      <c r="AU180" s="292" t="str">
        <f>IFERROR(__xludf.DUMMYFUNCTION("""COMPUTED_VALUE"""),"Compound Butter")</f>
        <v>Compound Butter</v>
      </c>
      <c r="AV180" s="292" t="str">
        <f>IFERROR(__xludf.DUMMYFUNCTION("""COMPUTED_VALUE"""),"Cupped Sauce")</f>
        <v>Cupped Sauce</v>
      </c>
      <c r="AW180" s="292" t="str">
        <f>IFERROR(__xludf.DUMMYFUNCTION("""COMPUTED_VALUE"""),"Year Round")</f>
        <v>Year Round</v>
      </c>
      <c r="AX180" s="292" t="str">
        <f>IFERROR(__xludf.DUMMYFUNCTION("""COMPUTED_VALUE"""),"Peruvian")</f>
        <v>Peruvian</v>
      </c>
      <c r="AY180" s="292"/>
      <c r="AZ180" s="292" t="str">
        <f>IFERROR(__xludf.DUMMYFUNCTION("""COMPUTED_VALUE"""),"2 CT")</f>
        <v>2 CT</v>
      </c>
      <c r="BA180" s="292" t="b">
        <f>IFERROR(__xludf.DUMMYFUNCTION("""COMPUTED_VALUE"""),TRUE)</f>
        <v>1</v>
      </c>
      <c r="BB180" s="292"/>
      <c r="BC180" s="292"/>
      <c r="BD180" s="292"/>
      <c r="BE180" s="342">
        <f>IFERROR(__xludf.DUMMYFUNCTION("""COMPUTED_VALUE"""),0.89)</f>
        <v>0.89</v>
      </c>
      <c r="BF180" s="296">
        <f>IFERROR(__xludf.DUMMYFUNCTION("""COMPUTED_VALUE"""),3.33)</f>
        <v>3.33</v>
      </c>
      <c r="BG180" s="296">
        <f>IFERROR(__xludf.DUMMYFUNCTION("""COMPUTED_VALUE"""),3.1633333333333327)</f>
        <v>3.163333333</v>
      </c>
      <c r="BH180" s="296">
        <f>IFERROR(__xludf.DUMMYFUNCTION("""COMPUTED_VALUE"""),3.36)</f>
        <v>3.36</v>
      </c>
      <c r="BI180" s="295">
        <f>IFERROR(__xludf.DUMMYFUNCTION("""COMPUTED_VALUE"""),152.0)</f>
        <v>152</v>
      </c>
      <c r="BJ180" s="292"/>
      <c r="BK180" s="346">
        <f>IFERROR(__xludf.DUMMYFUNCTION("""COMPUTED_VALUE"""),2285.0)</f>
        <v>2285</v>
      </c>
      <c r="BL180" s="292"/>
      <c r="BM180" s="292"/>
      <c r="BN180" s="292"/>
      <c r="BO180" s="292"/>
      <c r="BP180" s="292"/>
      <c r="BQ180" s="292" t="str">
        <f>IFERROR(__xludf.DUMMYFUNCTION("""COMPUTED_VALUE"""),"Proven")</f>
        <v>Proven</v>
      </c>
      <c r="BR180" s="292" t="b">
        <f>IFERROR(__xludf.DUMMYFUNCTION("""COMPUTED_VALUE"""),FALSE)</f>
        <v>0</v>
      </c>
      <c r="BS180" s="292" t="b">
        <f>IFERROR(__xludf.DUMMYFUNCTION("""COMPUTED_VALUE"""),FALSE)</f>
        <v>0</v>
      </c>
      <c r="BT180" s="292"/>
      <c r="BU180" s="292"/>
      <c r="BV180" s="292"/>
      <c r="BW180" s="292"/>
    </row>
    <row r="181">
      <c r="A181" s="292" t="str">
        <f>IFERROR(__xludf.DUMMYFUNCTION("""COMPUTED_VALUE"""),"FE1404A")</f>
        <v>FE1404A</v>
      </c>
      <c r="B181" s="292" t="str">
        <f>IFERROR(__xludf.DUMMYFUNCTION("""COMPUTED_VALUE"""),"CON-40-150962-4")</f>
        <v>CON-40-150962-4</v>
      </c>
      <c r="C181" s="292" t="str">
        <f>IFERROR(__xludf.DUMMYFUNCTION("""COMPUTED_VALUE"""),"CON-00-150964-2")</f>
        <v>CON-00-150964-2</v>
      </c>
      <c r="D181" s="292" t="str">
        <f>IFERROR(__xludf.DUMMYFUNCTION("""COMPUTED_VALUE"""),"CON-00-150963-2")</f>
        <v>CON-00-150963-2</v>
      </c>
      <c r="E181" s="292" t="str">
        <f>IFERROR(__xludf.DUMMYFUNCTION("""COMPUTED_VALUE"""),"Bulgogi Shredded Beef Bowl")</f>
        <v>Bulgogi Shredded Beef Bowl</v>
      </c>
      <c r="F181" s="292" t="str">
        <f>IFERROR(__xludf.DUMMYFUNCTION("""COMPUTED_VALUE"""),"with basmati rice-cauliflower rice mix, zucchini, bell pepper, sesame, and Korean-style sauce based on soy sauce")</f>
        <v>with basmati rice-cauliflower rice mix, zucchini, bell pepper, sesame, and Korean-style sauce based on soy sauce</v>
      </c>
      <c r="G181" s="292" t="str">
        <f>IFERROR(__xludf.DUMMYFUNCTION("""COMPUTED_VALUE"""),"Pulled beef in Koreaanse stijl Bulgogi saus")</f>
        <v>Pulled beef in Koreaanse stijl Bulgogi saus</v>
      </c>
      <c r="H181" s="292" t="str">
        <f>IFERROR(__xludf.DUMMYFUNCTION("""COMPUTED_VALUE"""),"met basmatirijst-bloemkoolrijstmix, courgette, paprika, sesam en Koreaanse stijl saus op basis van sojasaus")</f>
        <v>met basmatirijst-bloemkoolrijstmix, courgette, paprika, sesam en Koreaanse stijl saus op basis van sojasaus</v>
      </c>
      <c r="I181" s="292" t="str">
        <f>IFERROR(__xludf.DUMMYFUNCTION("""COMPUTED_VALUE"""),"Bulgogi bowl med strimlet oksekød")</f>
        <v>Bulgogi bowl med strimlet oksekød</v>
      </c>
      <c r="J181" s="292" t="str">
        <f>IFERROR(__xludf.DUMMYFUNCTION("""COMPUTED_VALUE"""),"Bulgogi-Bowl mit geschmortem Rindfleisch")</f>
        <v>Bulgogi-Bowl mit geschmortem Rindfleisch</v>
      </c>
      <c r="K181" s="292">
        <f>IFERROR(__xludf.DUMMYFUNCTION("""COMPUTED_VALUE"""),565190.0)</f>
        <v>565190</v>
      </c>
      <c r="L181" s="292" t="str">
        <f>IFERROR(__xludf.DUMMYFUNCTION("""COMPUTED_VALUE"""),"HF Bulgogi pulled beef")</f>
        <v>HF Bulgogi pulled beef</v>
      </c>
      <c r="M181" s="292" t="str">
        <f>IFERROR(__xludf.DUMMYFUNCTION("""COMPUTED_VALUE"""),"FA-NL Pulled beef in Koreaanse stijl Bulgogi saus (FE1404)")</f>
        <v>FA-NL Pulled beef in Koreaanse stijl Bulgogi saus (FE1404)</v>
      </c>
      <c r="N181" s="292" t="str">
        <f>IFERROR(__xludf.DUMMYFUNCTION("""COMPUTED_VALUE"""),"FA-NO Bulgogi Bowl med strimlet oksekød (FE1404)")</f>
        <v>FA-NO Bulgogi Bowl med strimlet oksekød (FE1404)</v>
      </c>
      <c r="O181" s="292" t="str">
        <f>IFERROR(__xludf.DUMMYFUNCTION("""COMPUTED_VALUE"""),"FA-DE Bulgogi-Bowl mit geschmortem Rindfleisch (FE1404)")</f>
        <v>FA-DE Bulgogi-Bowl mit geschmortem Rindfleisch (FE1404)</v>
      </c>
      <c r="P181" s="292" t="str">
        <f>IFERROR(__xludf.DUMMYFUNCTION("""COMPUTED_VALUE"""),"Hold")</f>
        <v>Hold</v>
      </c>
      <c r="Q181" s="292" t="str">
        <f>IFERROR(__xludf.DUMMYFUNCTION("""COMPUTED_VALUE"""),"New meal")</f>
        <v>New meal</v>
      </c>
      <c r="R181" s="342">
        <f>IFERROR(__xludf.DUMMYFUNCTION("""COMPUTED_VALUE"""),2.9)</f>
        <v>2.9</v>
      </c>
      <c r="S181" s="292"/>
      <c r="T181" s="292"/>
      <c r="U181" s="292"/>
      <c r="V181" s="292"/>
      <c r="W181" s="292" t="b">
        <f>IFERROR(__xludf.DUMMYFUNCTION("""COMPUTED_VALUE"""),TRUE)</f>
        <v>1</v>
      </c>
      <c r="X181" s="345">
        <f>IFERROR(__xludf.DUMMYFUNCTION("""COMPUTED_VALUE"""),374.0)</f>
        <v>374</v>
      </c>
      <c r="Y181" s="344">
        <f>IFERROR(__xludf.DUMMYFUNCTION("""COMPUTED_VALUE"""),450.0)</f>
        <v>450</v>
      </c>
      <c r="Z181" s="343">
        <f>IFERROR(__xludf.DUMMYFUNCTION("""COMPUTED_VALUE"""),21.4)</f>
        <v>21.4</v>
      </c>
      <c r="AA181" s="344">
        <f>IFERROR(__xludf.DUMMYFUNCTION("""COMPUTED_VALUE"""),6.2)</f>
        <v>6.2</v>
      </c>
      <c r="AB181" s="344">
        <f>IFERROR(__xludf.DUMMYFUNCTION("""COMPUTED_VALUE"""),29.1)</f>
        <v>29.1</v>
      </c>
      <c r="AC181" s="344">
        <f>IFERROR(__xludf.DUMMYFUNCTION("""COMPUTED_VALUE"""),11.5)</f>
        <v>11.5</v>
      </c>
      <c r="AD181" s="344">
        <f>IFERROR(__xludf.DUMMYFUNCTION("""COMPUTED_VALUE"""),5.3)</f>
        <v>5.3</v>
      </c>
      <c r="AE181" s="343">
        <f>IFERROR(__xludf.DUMMYFUNCTION("""COMPUTED_VALUE"""),31.8)</f>
        <v>31.8</v>
      </c>
      <c r="AF181" s="343">
        <f>IFERROR(__xludf.DUMMYFUNCTION("""COMPUTED_VALUE"""),1.97)</f>
        <v>1.97</v>
      </c>
      <c r="AG181" s="292" t="b">
        <f>IFERROR(__xludf.DUMMYFUNCTION("""COMPUTED_VALUE"""),FALSE)</f>
        <v>0</v>
      </c>
      <c r="AH181" s="292" t="b">
        <f>IFERROR(__xludf.DUMMYFUNCTION("""COMPUTED_VALUE"""),FALSE)</f>
        <v>0</v>
      </c>
      <c r="AI181" s="292" t="b">
        <f>IFERROR(__xludf.DUMMYFUNCTION("""COMPUTED_VALUE"""),TRUE)</f>
        <v>1</v>
      </c>
      <c r="AJ181" s="292" t="b">
        <f>IFERROR(__xludf.DUMMYFUNCTION("""COMPUTED_VALUE"""),FALSE)</f>
        <v>0</v>
      </c>
      <c r="AK181" s="292" t="b">
        <f>IFERROR(__xludf.DUMMYFUNCTION("""COMPUTED_VALUE"""),FALSE)</f>
        <v>0</v>
      </c>
      <c r="AL181" s="292" t="b">
        <f>IFERROR(__xludf.DUMMYFUNCTION("""COMPUTED_VALUE"""),FALSE)</f>
        <v>0</v>
      </c>
      <c r="AM181" s="292" t="b">
        <f>IFERROR(__xludf.DUMMYFUNCTION("""COMPUTED_VALUE"""),TRUE)</f>
        <v>1</v>
      </c>
      <c r="AN181" s="292" t="b">
        <f>IFERROR(__xludf.DUMMYFUNCTION("""COMPUTED_VALUE"""),TRUE)</f>
        <v>1</v>
      </c>
      <c r="AO181" s="292" t="str">
        <f>IFERROR(__xludf.DUMMYFUNCTION("""COMPUTED_VALUE"""),"FALSE")</f>
        <v>FALSE</v>
      </c>
      <c r="AP181" s="292" t="str">
        <f>IFERROR(__xludf.DUMMYFUNCTION("""COMPUTED_VALUE"""),"Shredded beef")</f>
        <v>Shredded beef</v>
      </c>
      <c r="AQ181" s="292" t="str">
        <f>IFERROR(__xludf.DUMMYFUNCTION("""COMPUTED_VALUE"""),"Beef")</f>
        <v>Beef</v>
      </c>
      <c r="AR181" s="292" t="str">
        <f>IFERROR(__xludf.DUMMYFUNCTION("""COMPUTED_VALUE"""),"Pulled")</f>
        <v>Pulled</v>
      </c>
      <c r="AS181" s="292" t="str">
        <f>IFERROR(__xludf.DUMMYFUNCTION("""COMPUTED_VALUE"""),"Rice")</f>
        <v>Rice</v>
      </c>
      <c r="AT181" s="292" t="str">
        <f>IFERROR(__xludf.DUMMYFUNCTION("""COMPUTED_VALUE"""),"Zucchini Half Moon")</f>
        <v>Zucchini Half Moon</v>
      </c>
      <c r="AU181" s="292" t="str">
        <f>IFERROR(__xludf.DUMMYFUNCTION("""COMPUTED_VALUE"""),"Pepper Mix")</f>
        <v>Pepper Mix</v>
      </c>
      <c r="AV181" s="292" t="str">
        <f>IFERROR(__xludf.DUMMYFUNCTION("""COMPUTED_VALUE"""),"Other sauce")</f>
        <v>Other sauce</v>
      </c>
      <c r="AW181" s="292" t="str">
        <f>IFERROR(__xludf.DUMMYFUNCTION("""COMPUTED_VALUE"""),"Year Round")</f>
        <v>Year Round</v>
      </c>
      <c r="AX181" s="292" t="str">
        <f>IFERROR(__xludf.DUMMYFUNCTION("""COMPUTED_VALUE"""),"Korean")</f>
        <v>Korean</v>
      </c>
      <c r="AY181" s="292"/>
      <c r="AZ181" s="292" t="str">
        <f>IFERROR(__xludf.DUMMYFUNCTION("""COMPUTED_VALUE"""),"2 CT")</f>
        <v>2 CT</v>
      </c>
      <c r="BA181" s="292" t="b">
        <f>IFERROR(__xludf.DUMMYFUNCTION("""COMPUTED_VALUE"""),FALSE)</f>
        <v>0</v>
      </c>
      <c r="BB181" s="342">
        <f>IFERROR(__xludf.DUMMYFUNCTION("""COMPUTED_VALUE"""),2.49)</f>
        <v>2.49</v>
      </c>
      <c r="BC181" s="342">
        <f>IFERROR(__xludf.DUMMYFUNCTION("""COMPUTED_VALUE"""),1.44)</f>
        <v>1.44</v>
      </c>
      <c r="BD181" s="342">
        <f>IFERROR(__xludf.DUMMYFUNCTION("""COMPUTED_VALUE"""),0.41)</f>
        <v>0.41</v>
      </c>
      <c r="BE181" s="342">
        <f>IFERROR(__xludf.DUMMYFUNCTION("""COMPUTED_VALUE"""),0.89)</f>
        <v>0.89</v>
      </c>
      <c r="BF181" s="296">
        <f>IFERROR(__xludf.DUMMYFUNCTION("""COMPUTED_VALUE"""),3.2600000000000002)</f>
        <v>3.26</v>
      </c>
      <c r="BG181" s="296">
        <f>IFERROR(__xludf.DUMMYFUNCTION("""COMPUTED_VALUE"""),3.263333333333333)</f>
        <v>3.263333333</v>
      </c>
      <c r="BH181" s="296">
        <f>IFERROR(__xludf.DUMMYFUNCTION("""COMPUTED_VALUE"""),3.16)</f>
        <v>3.16</v>
      </c>
      <c r="BI181" s="295">
        <f>IFERROR(__xludf.DUMMYFUNCTION("""COMPUTED_VALUE"""),184.0)</f>
        <v>184</v>
      </c>
      <c r="BJ181" s="292"/>
      <c r="BK181" s="346">
        <f>IFERROR(__xludf.DUMMYFUNCTION("""COMPUTED_VALUE"""),1880.0)</f>
        <v>1880</v>
      </c>
      <c r="BL181" s="292"/>
      <c r="BM181" s="292"/>
      <c r="BN181" s="292"/>
      <c r="BO181" s="292"/>
      <c r="BP181" s="292"/>
      <c r="BQ181" s="292" t="str">
        <f>IFERROR(__xludf.DUMMYFUNCTION("""COMPUTED_VALUE"""),"New")</f>
        <v>New</v>
      </c>
      <c r="BR181" s="292" t="b">
        <f>IFERROR(__xludf.DUMMYFUNCTION("""COMPUTED_VALUE"""),FALSE)</f>
        <v>0</v>
      </c>
      <c r="BS181" s="292" t="b">
        <f>IFERROR(__xludf.DUMMYFUNCTION("""COMPUTED_VALUE"""),FALSE)</f>
        <v>0</v>
      </c>
      <c r="BT181" s="292"/>
      <c r="BU181" s="292"/>
      <c r="BV181" s="292"/>
      <c r="BW181" s="292"/>
    </row>
    <row r="182">
      <c r="A182" s="292" t="str">
        <f>IFERROR(__xludf.DUMMYFUNCTION("""COMPUTED_VALUE"""),"FE1367B")</f>
        <v>FE1367B</v>
      </c>
      <c r="B182" s="292" t="str">
        <f>IFERROR(__xludf.DUMMYFUNCTION("""COMPUTED_VALUE"""),"CON-40-150844-4")</f>
        <v>CON-40-150844-4</v>
      </c>
      <c r="C182" s="292" t="str">
        <f>IFERROR(__xludf.DUMMYFUNCTION("""COMPUTED_VALUE"""),"CON-00-150846-2")</f>
        <v>CON-00-150846-2</v>
      </c>
      <c r="D182" s="292" t="str">
        <f>IFERROR(__xludf.DUMMYFUNCTION("""COMPUTED_VALUE"""),"CON-00-150845-2")</f>
        <v>CON-00-150845-2</v>
      </c>
      <c r="E182" s="292" t="str">
        <f>IFERROR(__xludf.DUMMYFUNCTION("""COMPUTED_VALUE"""),"Thai-Style Grilled Chicken Bowl")</f>
        <v>Thai-Style Grilled Chicken Bowl</v>
      </c>
      <c r="F182" s="292" t="str">
        <f>IFERROR(__xludf.DUMMYFUNCTION("""COMPUTED_VALUE"""),"with a vegetable mix, sesame, paprika-garlic-basmati rice and peanut sauce")</f>
        <v>with a vegetable mix, sesame, paprika-garlic-basmati rice and peanut sauce</v>
      </c>
      <c r="G182" s="292" t="str">
        <f>IFERROR(__xludf.DUMMYFUNCTION("""COMPUTED_VALUE"""),"Kip met pindasaus in Thaise stijl")</f>
        <v>Kip met pindasaus in Thaise stijl</v>
      </c>
      <c r="H182" s="292" t="str">
        <f>IFERROR(__xludf.DUMMYFUNCTION("""COMPUTED_VALUE"""),"met een groentemix, sesam, paprika-knoflook-basmatirijst en pindasaus")</f>
        <v>met een groentemix, sesam, paprika-knoflook-basmatirijst en pindasaus</v>
      </c>
      <c r="I182" s="292" t="str">
        <f>IFERROR(__xludf.DUMMYFUNCTION("""COMPUTED_VALUE"""),"Kylling med thai-inspireret peanutsauce")</f>
        <v>Kylling med thai-inspireret peanutsauce</v>
      </c>
      <c r="J182" s="292" t="str">
        <f>IFERROR(__xludf.DUMMYFUNCTION("""COMPUTED_VALUE""")," Hähnchen mit Thai-Style-Erdnusssauce")</f>
        <v> Hähnchen mit Thai-Style-Erdnusssauce</v>
      </c>
      <c r="K182" s="292">
        <f>IFERROR(__xludf.DUMMYFUNCTION("""COMPUTED_VALUE"""),565188.0)</f>
        <v>565188</v>
      </c>
      <c r="L182" s="292" t="str">
        <f>IFERROR(__xludf.DUMMYFUNCTION("""COMPUTED_VALUE"""),"HF Thaise rijst bow")</f>
        <v>HF Thaise rijst bow</v>
      </c>
      <c r="M182" s="292" t="str">
        <f>IFERROR(__xludf.DUMMYFUNCTION("""COMPUTED_VALUE"""),"FA-NL Kip met pindasaus in Thaise stijl (FE1367)")</f>
        <v>FA-NL Kip met pindasaus in Thaise stijl (FE1367)</v>
      </c>
      <c r="N182" s="292" t="str">
        <f>IFERROR(__xludf.DUMMYFUNCTION("""COMPUTED_VALUE"""),"FA-NO Kylling med thai-inspireret peanutsauce (FE1367)")</f>
        <v>FA-NO Kylling med thai-inspireret peanutsauce (FE1367)</v>
      </c>
      <c r="O182" s="292" t="str">
        <f>IFERROR(__xludf.DUMMYFUNCTION("""COMPUTED_VALUE"""),"FA-DE Hähnchen mit Thai-Style-Erdnusssauce (FE1367)")</f>
        <v>FA-DE Hähnchen mit Thai-Style-Erdnusssauce (FE1367)</v>
      </c>
      <c r="P182" s="292" t="str">
        <f>IFERROR(__xludf.DUMMYFUNCTION("""COMPUTED_VALUE"""),"Active")</f>
        <v>Active</v>
      </c>
      <c r="Q182" s="292" t="str">
        <f>IFERROR(__xludf.DUMMYFUNCTION("""COMPUTED_VALUE"""),"New meal")</f>
        <v>New meal</v>
      </c>
      <c r="R182" s="342">
        <f>IFERROR(__xludf.DUMMYFUNCTION("""COMPUTED_VALUE"""),4.94)</f>
        <v>4.94</v>
      </c>
      <c r="S182" s="292"/>
      <c r="T182" s="292"/>
      <c r="U182" s="292"/>
      <c r="V182" s="292"/>
      <c r="W182" s="292" t="b">
        <f>IFERROR(__xludf.DUMMYFUNCTION("""COMPUTED_VALUE"""),TRUE)</f>
        <v>1</v>
      </c>
      <c r="X182" s="345">
        <f>IFERROR(__xludf.DUMMYFUNCTION("""COMPUTED_VALUE"""),357.0)</f>
        <v>357</v>
      </c>
      <c r="Y182" s="344">
        <f>IFERROR(__xludf.DUMMYFUNCTION("""COMPUTED_VALUE"""),480.0)</f>
        <v>480</v>
      </c>
      <c r="Z182" s="343">
        <f>IFERROR(__xludf.DUMMYFUNCTION("""COMPUTED_VALUE"""),21.3)</f>
        <v>21.3</v>
      </c>
      <c r="AA182" s="344">
        <f>IFERROR(__xludf.DUMMYFUNCTION("""COMPUTED_VALUE"""),3.4)</f>
        <v>3.4</v>
      </c>
      <c r="AB182" s="344">
        <f>IFERROR(__xludf.DUMMYFUNCTION("""COMPUTED_VALUE"""),32.4)</f>
        <v>32.4</v>
      </c>
      <c r="AC182" s="344">
        <f>IFERROR(__xludf.DUMMYFUNCTION("""COMPUTED_VALUE"""),14.0)</f>
        <v>14</v>
      </c>
      <c r="AD182" s="344">
        <f>IFERROR(__xludf.DUMMYFUNCTION("""COMPUTED_VALUE"""),9.1)</f>
        <v>9.1</v>
      </c>
      <c r="AE182" s="343">
        <f>IFERROR(__xludf.DUMMYFUNCTION("""COMPUTED_VALUE"""),35.1)</f>
        <v>35.1</v>
      </c>
      <c r="AF182" s="343">
        <f>IFERROR(__xludf.DUMMYFUNCTION("""COMPUTED_VALUE"""),1.99)</f>
        <v>1.99</v>
      </c>
      <c r="AG182" s="292" t="b">
        <f>IFERROR(__xludf.DUMMYFUNCTION("""COMPUTED_VALUE"""),TRUE)</f>
        <v>1</v>
      </c>
      <c r="AH182" s="292" t="b">
        <f>IFERROR(__xludf.DUMMYFUNCTION("""COMPUTED_VALUE"""),FALSE)</f>
        <v>0</v>
      </c>
      <c r="AI182" s="292" t="b">
        <f>IFERROR(__xludf.DUMMYFUNCTION("""COMPUTED_VALUE"""),TRUE)</f>
        <v>1</v>
      </c>
      <c r="AJ182" s="292" t="b">
        <f>IFERROR(__xludf.DUMMYFUNCTION("""COMPUTED_VALUE"""),FALSE)</f>
        <v>0</v>
      </c>
      <c r="AK182" s="292" t="b">
        <f>IFERROR(__xludf.DUMMYFUNCTION("""COMPUTED_VALUE"""),FALSE)</f>
        <v>0</v>
      </c>
      <c r="AL182" s="292" t="b">
        <f>IFERROR(__xludf.DUMMYFUNCTION("""COMPUTED_VALUE"""),FALSE)</f>
        <v>0</v>
      </c>
      <c r="AM182" s="292" t="b">
        <f>IFERROR(__xludf.DUMMYFUNCTION("""COMPUTED_VALUE"""),TRUE)</f>
        <v>1</v>
      </c>
      <c r="AN182" s="292" t="b">
        <f>IFERROR(__xludf.DUMMYFUNCTION("""COMPUTED_VALUE"""),TRUE)</f>
        <v>1</v>
      </c>
      <c r="AO182" s="292" t="str">
        <f>IFERROR(__xludf.DUMMYFUNCTION("""COMPUTED_VALUE"""),"TRUE")</f>
        <v>TRUE</v>
      </c>
      <c r="AP182" s="292" t="str">
        <f>IFERROR(__xludf.DUMMYFUNCTION("""COMPUTED_VALUE"""),"Chicken breast")</f>
        <v>Chicken breast</v>
      </c>
      <c r="AQ182" s="292" t="str">
        <f>IFERROR(__xludf.DUMMYFUNCTION("""COMPUTED_VALUE"""),"Chicken")</f>
        <v>Chicken</v>
      </c>
      <c r="AR182" s="292" t="str">
        <f>IFERROR(__xludf.DUMMYFUNCTION("""COMPUTED_VALUE"""),"Breast")</f>
        <v>Breast</v>
      </c>
      <c r="AS182" s="292" t="str">
        <f>IFERROR(__xludf.DUMMYFUNCTION("""COMPUTED_VALUE"""),"Rice")</f>
        <v>Rice</v>
      </c>
      <c r="AT182" s="292" t="str">
        <f>IFERROR(__xludf.DUMMYFUNCTION("""COMPUTED_VALUE"""),"Pepper Mix")</f>
        <v>Pepper Mix</v>
      </c>
      <c r="AU182" s="292" t="str">
        <f>IFERROR(__xludf.DUMMYFUNCTION("""COMPUTED_VALUE"""),"Cupped Sauce")</f>
        <v>Cupped Sauce</v>
      </c>
      <c r="AV182" s="292" t="str">
        <f>IFERROR(__xludf.DUMMYFUNCTION("""COMPUTED_VALUE"""),"Seeds")</f>
        <v>Seeds</v>
      </c>
      <c r="AW182" s="292" t="str">
        <f>IFERROR(__xludf.DUMMYFUNCTION("""COMPUTED_VALUE"""),"Year Round")</f>
        <v>Year Round</v>
      </c>
      <c r="AX182" s="292" t="str">
        <f>IFERROR(__xludf.DUMMYFUNCTION("""COMPUTED_VALUE"""),"Thai")</f>
        <v>Thai</v>
      </c>
      <c r="AY182" s="292"/>
      <c r="AZ182" s="292" t="str">
        <f>IFERROR(__xludf.DUMMYFUNCTION("""COMPUTED_VALUE"""),"2 CT")</f>
        <v>2 CT</v>
      </c>
      <c r="BA182" s="292" t="b">
        <f>IFERROR(__xludf.DUMMYFUNCTION("""COMPUTED_VALUE"""),TRUE)</f>
        <v>1</v>
      </c>
      <c r="BB182" s="342">
        <f>IFERROR(__xludf.DUMMYFUNCTION("""COMPUTED_VALUE"""),2.61)</f>
        <v>2.61</v>
      </c>
      <c r="BC182" s="342">
        <f>IFERROR(__xludf.DUMMYFUNCTION("""COMPUTED_VALUE"""),1.47)</f>
        <v>1.47</v>
      </c>
      <c r="BD182" s="342">
        <f>IFERROR(__xludf.DUMMYFUNCTION("""COMPUTED_VALUE"""),0.44)</f>
        <v>0.44</v>
      </c>
      <c r="BE182" s="342">
        <f>IFERROR(__xludf.DUMMYFUNCTION("""COMPUTED_VALUE"""),0.89)</f>
        <v>0.89</v>
      </c>
      <c r="BF182" s="296">
        <f>IFERROR(__xludf.DUMMYFUNCTION("""COMPUTED_VALUE"""),3.066270718232044)</f>
        <v>3.066270718</v>
      </c>
      <c r="BG182" s="296">
        <f>IFERROR(__xludf.DUMMYFUNCTION("""COMPUTED_VALUE"""),3.4312161866341437)</f>
        <v>3.431216187</v>
      </c>
      <c r="BH182" s="296">
        <f>IFERROR(__xludf.DUMMYFUNCTION("""COMPUTED_VALUE"""),3.477207977207977)</f>
        <v>3.477207977</v>
      </c>
      <c r="BI182" s="295">
        <f>IFERROR(__xludf.DUMMYFUNCTION("""COMPUTED_VALUE"""),130.0)</f>
        <v>130</v>
      </c>
      <c r="BJ182" s="292"/>
      <c r="BK182" s="346">
        <f>IFERROR(__xludf.DUMMYFUNCTION("""COMPUTED_VALUE"""),2007.0)</f>
        <v>2007</v>
      </c>
      <c r="BL182" s="292"/>
      <c r="BM182" s="292"/>
      <c r="BN182" s="292"/>
      <c r="BO182" s="292"/>
      <c r="BP182" s="292"/>
      <c r="BQ182" s="292" t="str">
        <f>IFERROR(__xludf.DUMMYFUNCTION("""COMPUTED_VALUE"""),"Hospital")</f>
        <v>Hospital</v>
      </c>
      <c r="BR182" s="292" t="b">
        <f>IFERROR(__xludf.DUMMYFUNCTION("""COMPUTED_VALUE"""),FALSE)</f>
        <v>0</v>
      </c>
      <c r="BS182" s="292" t="b">
        <f>IFERROR(__xludf.DUMMYFUNCTION("""COMPUTED_VALUE"""),FALSE)</f>
        <v>0</v>
      </c>
      <c r="BT182" s="292"/>
      <c r="BU182" s="292"/>
      <c r="BV182" s="292"/>
      <c r="BW182" s="292"/>
    </row>
    <row r="183">
      <c r="A183" s="292" t="str">
        <f>IFERROR(__xludf.DUMMYFUNCTION("""COMPUTED_VALUE"""),"FE1451A")</f>
        <v>FE1451A</v>
      </c>
      <c r="B183" s="292" t="str">
        <f>IFERROR(__xludf.DUMMYFUNCTION("""COMPUTED_VALUE"""),"CON-40-150747-4")</f>
        <v>CON-40-150747-4</v>
      </c>
      <c r="C183" s="292" t="str">
        <f>IFERROR(__xludf.DUMMYFUNCTION("""COMPUTED_VALUE"""),"CON-00-150749-2")</f>
        <v>CON-00-150749-2</v>
      </c>
      <c r="D183" s="292" t="str">
        <f>IFERROR(__xludf.DUMMYFUNCTION("""COMPUTED_VALUE"""),"CON-00-150748-2")</f>
        <v>CON-00-150748-2</v>
      </c>
      <c r="E183" s="292" t="str">
        <f>IFERROR(__xludf.DUMMYFUNCTION("""COMPUTED_VALUE"""),"West African Style Chicken Peanut Curry")</f>
        <v>West African Style Chicken Peanut Curry</v>
      </c>
      <c r="F183" s="292" t="str">
        <f>IFERROR(__xludf.DUMMYFUNCTION("""COMPUTED_VALUE"""),"with basmati rice, broccoli, bell pepper and pumpkin")</f>
        <v>with basmati rice, broccoli, bell pepper and pumpkin</v>
      </c>
      <c r="G183" s="292" t="str">
        <f>IFERROR(__xludf.DUMMYFUNCTION("""COMPUTED_VALUE"""),"West-Afrikaanse stijl kip-pindacurry")</f>
        <v>West-Afrikaanse stijl kip-pindacurry</v>
      </c>
      <c r="H183" s="292" t="str">
        <f>IFERROR(__xludf.DUMMYFUNCTION("""COMPUTED_VALUE"""),"met basmatirijst, broccoli, paprika en pompoen")</f>
        <v>met basmatirijst, broccoli, paprika en pompoen</v>
      </c>
      <c r="I183" s="292" t="str">
        <f>IFERROR(__xludf.DUMMYFUNCTION("""COMPUTED_VALUE"""),"Vestfrikansk-inspireret peanut-kyllingecurry")</f>
        <v>Vestfrikansk-inspireret peanut-kyllingecurry</v>
      </c>
      <c r="J183" s="292" t="str">
        <f>IFERROR(__xludf.DUMMYFUNCTION("""COMPUTED_VALUE"""),"Westafrikanisches Hähnchen-Erdnuss-Curry")</f>
        <v>Westafrikanisches Hähnchen-Erdnuss-Curry</v>
      </c>
      <c r="K183" s="292">
        <f>IFERROR(__xludf.DUMMYFUNCTION("""COMPUTED_VALUE"""),565178.0)</f>
        <v>565178</v>
      </c>
      <c r="L183" s="292" t="str">
        <f>IFERROR(__xludf.DUMMYFUNCTION("""COMPUTED_VALUE"""),"HF Kruidige pinda curry")</f>
        <v>HF Kruidige pinda curry</v>
      </c>
      <c r="M183" s="292" t="str">
        <f>IFERROR(__xludf.DUMMYFUNCTION("""COMPUTED_VALUE"""),"FA-NL West-Afrikaanse stijl kip-pindacurry (FE1451)")</f>
        <v>FA-NL West-Afrikaanse stijl kip-pindacurry (FE1451)</v>
      </c>
      <c r="N183" s="292" t="str">
        <f>IFERROR(__xludf.DUMMYFUNCTION("""COMPUTED_VALUE"""),"FA-NO Vestfrikansk-inspireret peanut-kyllingecurry (FE1451)")</f>
        <v>FA-NO Vestfrikansk-inspireret peanut-kyllingecurry (FE1451)</v>
      </c>
      <c r="O183" s="292" t="str">
        <f>IFERROR(__xludf.DUMMYFUNCTION("""COMPUTED_VALUE"""),"FA-DE Westafrikanisches Hähnchen-Erdnuss-Curry (FE1451)")</f>
        <v>FA-DE Westafrikanisches Hähnchen-Erdnuss-Curry (FE1451)</v>
      </c>
      <c r="P183" s="292" t="str">
        <f>IFERROR(__xludf.DUMMYFUNCTION("""COMPUTED_VALUE"""),"Active")</f>
        <v>Active</v>
      </c>
      <c r="Q183" s="292" t="str">
        <f>IFERROR(__xludf.DUMMYFUNCTION("""COMPUTED_VALUE"""),"New meal")</f>
        <v>New meal</v>
      </c>
      <c r="R183" s="342">
        <f>IFERROR(__xludf.DUMMYFUNCTION("""COMPUTED_VALUE"""),4.43)</f>
        <v>4.43</v>
      </c>
      <c r="S183" s="292"/>
      <c r="T183" s="292"/>
      <c r="U183" s="292"/>
      <c r="V183" s="292"/>
      <c r="W183" s="292" t="b">
        <f>IFERROR(__xludf.DUMMYFUNCTION("""COMPUTED_VALUE"""),TRUE)</f>
        <v>1</v>
      </c>
      <c r="X183" s="345">
        <f>IFERROR(__xludf.DUMMYFUNCTION("""COMPUTED_VALUE"""),384.0)</f>
        <v>384</v>
      </c>
      <c r="Y183" s="344">
        <f>IFERROR(__xludf.DUMMYFUNCTION("""COMPUTED_VALUE"""),454.0)</f>
        <v>454</v>
      </c>
      <c r="Z183" s="343">
        <f>IFERROR(__xludf.DUMMYFUNCTION("""COMPUTED_VALUE"""),23.2)</f>
        <v>23.2</v>
      </c>
      <c r="AA183" s="344">
        <f>IFERROR(__xludf.DUMMYFUNCTION("""COMPUTED_VALUE"""),6.3)</f>
        <v>6.3</v>
      </c>
      <c r="AB183" s="344">
        <f>IFERROR(__xludf.DUMMYFUNCTION("""COMPUTED_VALUE"""),27.3)</f>
        <v>27.3</v>
      </c>
      <c r="AC183" s="344">
        <f>IFERROR(__xludf.DUMMYFUNCTION("""COMPUTED_VALUE"""),10.5)</f>
        <v>10.5</v>
      </c>
      <c r="AD183" s="344">
        <f>IFERROR(__xludf.DUMMYFUNCTION("""COMPUTED_VALUE"""),6.8)</f>
        <v>6.8</v>
      </c>
      <c r="AE183" s="343">
        <f>IFERROR(__xludf.DUMMYFUNCTION("""COMPUTED_VALUE"""),30.8)</f>
        <v>30.8</v>
      </c>
      <c r="AF183" s="343">
        <f>IFERROR(__xludf.DUMMYFUNCTION("""COMPUTED_VALUE"""),1.96)</f>
        <v>1.96</v>
      </c>
      <c r="AG183" s="292" t="b">
        <f>IFERROR(__xludf.DUMMYFUNCTION("""COMPUTED_VALUE"""),FALSE)</f>
        <v>0</v>
      </c>
      <c r="AH183" s="292" t="b">
        <f>IFERROR(__xludf.DUMMYFUNCTION("""COMPUTED_VALUE"""),FALSE)</f>
        <v>0</v>
      </c>
      <c r="AI183" s="292" t="b">
        <f>IFERROR(__xludf.DUMMYFUNCTION("""COMPUTED_VALUE"""),TRUE)</f>
        <v>1</v>
      </c>
      <c r="AJ183" s="292" t="b">
        <f>IFERROR(__xludf.DUMMYFUNCTION("""COMPUTED_VALUE"""),FALSE)</f>
        <v>0</v>
      </c>
      <c r="AK183" s="292" t="b">
        <f>IFERROR(__xludf.DUMMYFUNCTION("""COMPUTED_VALUE"""),FALSE)</f>
        <v>0</v>
      </c>
      <c r="AL183" s="292" t="b">
        <f>IFERROR(__xludf.DUMMYFUNCTION("""COMPUTED_VALUE"""),FALSE)</f>
        <v>0</v>
      </c>
      <c r="AM183" s="292" t="b">
        <f>IFERROR(__xludf.DUMMYFUNCTION("""COMPUTED_VALUE"""),TRUE)</f>
        <v>1</v>
      </c>
      <c r="AN183" s="292" t="b">
        <f>IFERROR(__xludf.DUMMYFUNCTION("""COMPUTED_VALUE"""),TRUE)</f>
        <v>1</v>
      </c>
      <c r="AO183" s="292" t="str">
        <f>IFERROR(__xludf.DUMMYFUNCTION("""COMPUTED_VALUE"""),"FALSE")</f>
        <v>FALSE</v>
      </c>
      <c r="AP183" s="292" t="str">
        <f>IFERROR(__xludf.DUMMYFUNCTION("""COMPUTED_VALUE"""),"Diced chicken")</f>
        <v>Diced chicken</v>
      </c>
      <c r="AQ183" s="292" t="str">
        <f>IFERROR(__xludf.DUMMYFUNCTION("""COMPUTED_VALUE"""),"Chicken")</f>
        <v>Chicken</v>
      </c>
      <c r="AR183" s="292" t="str">
        <f>IFERROR(__xludf.DUMMYFUNCTION("""COMPUTED_VALUE"""),"Pieces")</f>
        <v>Pieces</v>
      </c>
      <c r="AS183" s="292" t="str">
        <f>IFERROR(__xludf.DUMMYFUNCTION("""COMPUTED_VALUE"""),"Rice")</f>
        <v>Rice</v>
      </c>
      <c r="AT183" s="292" t="str">
        <f>IFERROR(__xludf.DUMMYFUNCTION("""COMPUTED_VALUE"""),"Broccoli")</f>
        <v>Broccoli</v>
      </c>
      <c r="AU183" s="292" t="str">
        <f>IFERROR(__xludf.DUMMYFUNCTION("""COMPUTED_VALUE"""),"Pumpkin ")</f>
        <v>Pumpkin </v>
      </c>
      <c r="AV183" s="292" t="str">
        <f>IFERROR(__xludf.DUMMYFUNCTION("""COMPUTED_VALUE"""),"Other sauce")</f>
        <v>Other sauce</v>
      </c>
      <c r="AW183" s="292" t="str">
        <f>IFERROR(__xludf.DUMMYFUNCTION("""COMPUTED_VALUE"""),"Year Round")</f>
        <v>Year Round</v>
      </c>
      <c r="AX183" s="292" t="str">
        <f>IFERROR(__xludf.DUMMYFUNCTION("""COMPUTED_VALUE"""),"West African")</f>
        <v>West African</v>
      </c>
      <c r="AY183" s="292"/>
      <c r="AZ183" s="292" t="str">
        <f>IFERROR(__xludf.DUMMYFUNCTION("""COMPUTED_VALUE"""),"2 CT")</f>
        <v>2 CT</v>
      </c>
      <c r="BA183" s="292" t="b">
        <f>IFERROR(__xludf.DUMMYFUNCTION("""COMPUTED_VALUE"""),FALSE)</f>
        <v>0</v>
      </c>
      <c r="BB183" s="342">
        <f>IFERROR(__xludf.DUMMYFUNCTION("""COMPUTED_VALUE"""),2.47)</f>
        <v>2.47</v>
      </c>
      <c r="BC183" s="342">
        <f>IFERROR(__xludf.DUMMYFUNCTION("""COMPUTED_VALUE"""),1.55)</f>
        <v>1.55</v>
      </c>
      <c r="BD183" s="342">
        <f>IFERROR(__xludf.DUMMYFUNCTION("""COMPUTED_VALUE"""),0.41)</f>
        <v>0.41</v>
      </c>
      <c r="BE183" s="342">
        <f>IFERROR(__xludf.DUMMYFUNCTION("""COMPUTED_VALUE"""),0.89)</f>
        <v>0.89</v>
      </c>
      <c r="BF183" s="296">
        <f>IFERROR(__xludf.DUMMYFUNCTION("""COMPUTED_VALUE"""),3.31)</f>
        <v>3.31</v>
      </c>
      <c r="BG183" s="296">
        <f>IFERROR(__xludf.DUMMYFUNCTION("""COMPUTED_VALUE"""),3.2633333333333336)</f>
        <v>3.263333333</v>
      </c>
      <c r="BH183" s="296">
        <f>IFERROR(__xludf.DUMMYFUNCTION("""COMPUTED_VALUE"""),3.2133333333333334)</f>
        <v>3.213333333</v>
      </c>
      <c r="BI183" s="295">
        <f>IFERROR(__xludf.DUMMYFUNCTION("""COMPUTED_VALUE"""),155.0)</f>
        <v>155</v>
      </c>
      <c r="BJ183" s="292"/>
      <c r="BK183" s="346">
        <f>IFERROR(__xludf.DUMMYFUNCTION("""COMPUTED_VALUE"""),1900.0)</f>
        <v>1900</v>
      </c>
      <c r="BL183" s="292"/>
      <c r="BM183" s="292"/>
      <c r="BN183" s="292"/>
      <c r="BO183" s="292"/>
      <c r="BP183" s="292"/>
      <c r="BQ183" s="292" t="str">
        <f>IFERROR(__xludf.DUMMYFUNCTION("""COMPUTED_VALUE"""),"New")</f>
        <v>New</v>
      </c>
      <c r="BR183" s="292" t="b">
        <f>IFERROR(__xludf.DUMMYFUNCTION("""COMPUTED_VALUE"""),FALSE)</f>
        <v>0</v>
      </c>
      <c r="BS183" s="292" t="b">
        <f>IFERROR(__xludf.DUMMYFUNCTION("""COMPUTED_VALUE"""),FALSE)</f>
        <v>0</v>
      </c>
      <c r="BT183" s="292"/>
      <c r="BU183" s="292"/>
      <c r="BV183" s="292"/>
      <c r="BW183" s="292"/>
    </row>
    <row r="184">
      <c r="A184" s="292" t="str">
        <f>IFERROR(__xludf.DUMMYFUNCTION("""COMPUTED_VALUE"""),"FE0673B")</f>
        <v>FE0673B</v>
      </c>
      <c r="B184" s="292" t="str">
        <f>IFERROR(__xludf.DUMMYFUNCTION("""COMPUTED_VALUE"""),"CON-40-143730-4")</f>
        <v>CON-40-143730-4</v>
      </c>
      <c r="C184" s="292" t="str">
        <f>IFERROR(__xludf.DUMMYFUNCTION("""COMPUTED_VALUE"""),"CON-00-151055-2")</f>
        <v>CON-00-151055-2</v>
      </c>
      <c r="D184" s="292" t="str">
        <f>IFERROR(__xludf.DUMMYFUNCTION("""COMPUTED_VALUE"""),"CON-00-136656-3")</f>
        <v>CON-00-136656-3</v>
      </c>
      <c r="E184" s="292" t="str">
        <f>IFERROR(__xludf.DUMMYFUNCTION("""COMPUTED_VALUE"""),"Thai style chicken and peanut sauce")</f>
        <v>Thai style chicken and peanut sauce</v>
      </c>
      <c r="F184" s="292" t="str">
        <f>IFERROR(__xludf.DUMMYFUNCTION("""COMPUTED_VALUE"""),"with basmati rice, bell pepper, soybeans, bok choy, carrot, sesame and peanut sauce")</f>
        <v>with basmati rice, bell pepper, soybeans, bok choy, carrot, sesame and peanut sauce</v>
      </c>
      <c r="G184" s="292" t="str">
        <f>IFERROR(__xludf.DUMMYFUNCTION("""COMPUTED_VALUE"""),"Thaise stijl kip en pindasaus")</f>
        <v>Thaise stijl kip en pindasaus</v>
      </c>
      <c r="H184" s="292" t="str">
        <f>IFERROR(__xludf.DUMMYFUNCTION("""COMPUTED_VALUE"""),"met basmatirijst, paprika, sojabonen, paksoi, wortel, sesam en pindasaus")</f>
        <v>met basmatirijst, paprika, sojabonen, paksoi, wortel, sesam en pindasaus</v>
      </c>
      <c r="I184" s="292" t="str">
        <f>IFERROR(__xludf.DUMMYFUNCTION("""COMPUTED_VALUE"""),"Thai-inspireret kylling med peanutsauce")</f>
        <v>Thai-inspireret kylling med peanutsauce</v>
      </c>
      <c r="J184" s="292" t="str">
        <f>IFERROR(__xludf.DUMMYFUNCTION("""COMPUTED_VALUE"""),"Thai-Style Hähnchen in Erdnusssauce")</f>
        <v>Thai-Style Hähnchen in Erdnusssauce</v>
      </c>
      <c r="K184" s="292">
        <f>IFERROR(__xludf.DUMMYFUNCTION("""COMPUTED_VALUE"""),565058.0)</f>
        <v>565058</v>
      </c>
      <c r="L184" s="292" t="str">
        <f>IFERROR(__xludf.DUMMYFUNCTION("""COMPUTED_VALUE"""),"HF Kip Kokosrijst Pindasaus")</f>
        <v>HF Kip Kokosrijst Pindasaus</v>
      </c>
      <c r="M184" s="292" t="str">
        <f>IFERROR(__xludf.DUMMYFUNCTION("""COMPUTED_VALUE"""),"FA-NL Thaise stijl kip en pindasaus (FE0673)")</f>
        <v>FA-NL Thaise stijl kip en pindasaus (FE0673)</v>
      </c>
      <c r="N184" s="292" t="str">
        <f>IFERROR(__xludf.DUMMYFUNCTION("""COMPUTED_VALUE"""),"FA-NO Thai-inspireret kylling med peanutsauce (FE0673)")</f>
        <v>FA-NO Thai-inspireret kylling med peanutsauce (FE0673)</v>
      </c>
      <c r="O184" s="292" t="str">
        <f>IFERROR(__xludf.DUMMYFUNCTION("""COMPUTED_VALUE"""),"FA-DE Hähnchen mit Erdnusssauce „Thai-Style"" (FE0673)")</f>
        <v>FA-DE Hähnchen mit Erdnusssauce „Thai-Style" (FE0673)</v>
      </c>
      <c r="P184" s="292" t="str">
        <f>IFERROR(__xludf.DUMMYFUNCTION("""COMPUTED_VALUE"""),"Active")</f>
        <v>Active</v>
      </c>
      <c r="Q184" s="292" t="str">
        <f>IFERROR(__xludf.DUMMYFUNCTION("""COMPUTED_VALUE"""),"New meal")</f>
        <v>New meal</v>
      </c>
      <c r="R184" s="342">
        <f>IFERROR(__xludf.DUMMYFUNCTION("""COMPUTED_VALUE"""),4.94)</f>
        <v>4.94</v>
      </c>
      <c r="S184" s="292"/>
      <c r="T184" s="292"/>
      <c r="U184" s="292"/>
      <c r="V184" s="292"/>
      <c r="W184" s="292" t="b">
        <f>IFERROR(__xludf.DUMMYFUNCTION("""COMPUTED_VALUE"""),TRUE)</f>
        <v>1</v>
      </c>
      <c r="X184" s="345">
        <f>IFERROR(__xludf.DUMMYFUNCTION("""COMPUTED_VALUE"""),409.0)</f>
        <v>409</v>
      </c>
      <c r="Y184" s="344">
        <f>IFERROR(__xludf.DUMMYFUNCTION("""COMPUTED_VALUE"""),569.0)</f>
        <v>569</v>
      </c>
      <c r="Z184" s="343">
        <f>IFERROR(__xludf.DUMMYFUNCTION("""COMPUTED_VALUE"""),24.1)</f>
        <v>24.1</v>
      </c>
      <c r="AA184" s="344">
        <f>IFERROR(__xludf.DUMMYFUNCTION("""COMPUTED_VALUE"""),6.8)</f>
        <v>6.8</v>
      </c>
      <c r="AB184" s="344">
        <f>IFERROR(__xludf.DUMMYFUNCTION("""COMPUTED_VALUE"""),50.2)</f>
        <v>50.2</v>
      </c>
      <c r="AC184" s="344">
        <f>IFERROR(__xludf.DUMMYFUNCTION("""COMPUTED_VALUE"""),16.7)</f>
        <v>16.7</v>
      </c>
      <c r="AD184" s="344">
        <f>IFERROR(__xludf.DUMMYFUNCTION("""COMPUTED_VALUE"""),8.5)</f>
        <v>8.5</v>
      </c>
      <c r="AE184" s="343">
        <f>IFERROR(__xludf.DUMMYFUNCTION("""COMPUTED_VALUE"""),33.6)</f>
        <v>33.6</v>
      </c>
      <c r="AF184" s="343">
        <f>IFERROR(__xludf.DUMMYFUNCTION("""COMPUTED_VALUE"""),1.97)</f>
        <v>1.97</v>
      </c>
      <c r="AG184" s="292" t="b">
        <f>IFERROR(__xludf.DUMMYFUNCTION("""COMPUTED_VALUE"""),TRUE)</f>
        <v>1</v>
      </c>
      <c r="AH184" s="292" t="b">
        <f>IFERROR(__xludf.DUMMYFUNCTION("""COMPUTED_VALUE"""),FALSE)</f>
        <v>0</v>
      </c>
      <c r="AI184" s="292" t="b">
        <f>IFERROR(__xludf.DUMMYFUNCTION("""COMPUTED_VALUE"""),FALSE)</f>
        <v>0</v>
      </c>
      <c r="AJ184" s="292" t="b">
        <f>IFERROR(__xludf.DUMMYFUNCTION("""COMPUTED_VALUE"""),FALSE)</f>
        <v>0</v>
      </c>
      <c r="AK184" s="292" t="b">
        <f>IFERROR(__xludf.DUMMYFUNCTION("""COMPUTED_VALUE"""),FALSE)</f>
        <v>0</v>
      </c>
      <c r="AL184" s="292" t="b">
        <f>IFERROR(__xludf.DUMMYFUNCTION("""COMPUTED_VALUE"""),FALSE)</f>
        <v>0</v>
      </c>
      <c r="AM184" s="292" t="b">
        <f>IFERROR(__xludf.DUMMYFUNCTION("""COMPUTED_VALUE"""),TRUE)</f>
        <v>1</v>
      </c>
      <c r="AN184" s="292" t="b">
        <f>IFERROR(__xludf.DUMMYFUNCTION("""COMPUTED_VALUE"""),TRUE)</f>
        <v>1</v>
      </c>
      <c r="AO184" s="292" t="str">
        <f>IFERROR(__xludf.DUMMYFUNCTION("""COMPUTED_VALUE"""),"FALSE")</f>
        <v>FALSE</v>
      </c>
      <c r="AP184" s="292" t="str">
        <f>IFERROR(__xludf.DUMMYFUNCTION("""COMPUTED_VALUE"""),"Chicken breast")</f>
        <v>Chicken breast</v>
      </c>
      <c r="AQ184" s="292" t="str">
        <f>IFERROR(__xludf.DUMMYFUNCTION("""COMPUTED_VALUE"""),"Chicken")</f>
        <v>Chicken</v>
      </c>
      <c r="AR184" s="292" t="str">
        <f>IFERROR(__xludf.DUMMYFUNCTION("""COMPUTED_VALUE"""),"Breast")</f>
        <v>Breast</v>
      </c>
      <c r="AS184" s="292" t="str">
        <f>IFERROR(__xludf.DUMMYFUNCTION("""COMPUTED_VALUE"""),"Rice")</f>
        <v>Rice</v>
      </c>
      <c r="AT184" s="292" t="str">
        <f>IFERROR(__xludf.DUMMYFUNCTION("""COMPUTED_VALUE"""),"Pepper Mix")</f>
        <v>Pepper Mix</v>
      </c>
      <c r="AU184" s="292" t="str">
        <f>IFERROR(__xludf.DUMMYFUNCTION("""COMPUTED_VALUE"""),"Cupped Sauce")</f>
        <v>Cupped Sauce</v>
      </c>
      <c r="AV184" s="292" t="str">
        <f>IFERROR(__xludf.DUMMYFUNCTION("""COMPUTED_VALUE"""),"Seeds")</f>
        <v>Seeds</v>
      </c>
      <c r="AW184" s="292" t="str">
        <f>IFERROR(__xludf.DUMMYFUNCTION("""COMPUTED_VALUE"""),"Year Round")</f>
        <v>Year Round</v>
      </c>
      <c r="AX184" s="292" t="str">
        <f>IFERROR(__xludf.DUMMYFUNCTION("""COMPUTED_VALUE"""),"Thai")</f>
        <v>Thai</v>
      </c>
      <c r="AY184" s="292"/>
      <c r="AZ184" s="292" t="str">
        <f>IFERROR(__xludf.DUMMYFUNCTION("""COMPUTED_VALUE"""),"2 CT")</f>
        <v>2 CT</v>
      </c>
      <c r="BA184" s="292" t="b">
        <f>IFERROR(__xludf.DUMMYFUNCTION("""COMPUTED_VALUE"""),TRUE)</f>
        <v>1</v>
      </c>
      <c r="BB184" s="342">
        <f>IFERROR(__xludf.DUMMYFUNCTION("""COMPUTED_VALUE"""),2.62)</f>
        <v>2.62</v>
      </c>
      <c r="BC184" s="342">
        <f>IFERROR(__xludf.DUMMYFUNCTION("""COMPUTED_VALUE"""),1.42)</f>
        <v>1.42</v>
      </c>
      <c r="BD184" s="342">
        <f>IFERROR(__xludf.DUMMYFUNCTION("""COMPUTED_VALUE"""),0.44)</f>
        <v>0.44</v>
      </c>
      <c r="BE184" s="342">
        <f>IFERROR(__xludf.DUMMYFUNCTION("""COMPUTED_VALUE"""),0.89)</f>
        <v>0.89</v>
      </c>
      <c r="BF184" s="296">
        <f>IFERROR(__xludf.DUMMYFUNCTION("""COMPUTED_VALUE"""),3.253611472351012)</f>
        <v>3.253611472</v>
      </c>
      <c r="BG184" s="296">
        <f>IFERROR(__xludf.DUMMYFUNCTION("""COMPUTED_VALUE"""),3.4312161866341437)</f>
        <v>3.431216187</v>
      </c>
      <c r="BH184" s="296">
        <f>IFERROR(__xludf.DUMMYFUNCTION("""COMPUTED_VALUE"""),3.477207977207977)</f>
        <v>3.477207977</v>
      </c>
      <c r="BI184" s="295">
        <f>IFERROR(__xludf.DUMMYFUNCTION("""COMPUTED_VALUE"""),134.0)</f>
        <v>134</v>
      </c>
      <c r="BJ184" s="292"/>
      <c r="BK184" s="346">
        <f>IFERROR(__xludf.DUMMYFUNCTION("""COMPUTED_VALUE"""),2383.0)</f>
        <v>2383</v>
      </c>
      <c r="BL184" s="292"/>
      <c r="BM184" s="292"/>
      <c r="BN184" s="292"/>
      <c r="BO184" s="292"/>
      <c r="BP184" s="292"/>
      <c r="BQ184" s="292" t="str">
        <f>IFERROR(__xludf.DUMMYFUNCTION("""COMPUTED_VALUE"""),"Hospital")</f>
        <v>Hospital</v>
      </c>
      <c r="BR184" s="292" t="b">
        <f>IFERROR(__xludf.DUMMYFUNCTION("""COMPUTED_VALUE"""),FALSE)</f>
        <v>0</v>
      </c>
      <c r="BS184" s="292" t="b">
        <f>IFERROR(__xludf.DUMMYFUNCTION("""COMPUTED_VALUE"""),FALSE)</f>
        <v>0</v>
      </c>
      <c r="BT184" s="292"/>
      <c r="BU184" s="292"/>
      <c r="BV184" s="292"/>
      <c r="BW184" s="292"/>
    </row>
    <row r="185">
      <c r="A185" s="292" t="str">
        <f>IFERROR(__xludf.DUMMYFUNCTION("""COMPUTED_VALUE"""),"FE1031A")</f>
        <v>FE1031A</v>
      </c>
      <c r="B185" s="292" t="str">
        <f>IFERROR(__xludf.DUMMYFUNCTION("""COMPUTED_VALUE"""),"CON-40-152015-4")</f>
        <v>CON-40-152015-4</v>
      </c>
      <c r="C185" s="292" t="str">
        <f>IFERROR(__xludf.DUMMYFUNCTION("""COMPUTED_VALUE"""),"CON-00-152030-2")</f>
        <v>CON-00-152030-2</v>
      </c>
      <c r="D185" s="292" t="str">
        <f>IFERROR(__xludf.DUMMYFUNCTION("""COMPUTED_VALUE"""),"CON-00-152029-2")</f>
        <v>CON-00-152029-2</v>
      </c>
      <c r="E185" s="292" t="str">
        <f>IFERROR(__xludf.DUMMYFUNCTION("""COMPUTED_VALUE"""),"Salmon Dijonnaise")</f>
        <v>Salmon Dijonnaise</v>
      </c>
      <c r="F185" s="292" t="str">
        <f>IFERROR(__xludf.DUMMYFUNCTION("""COMPUTED_VALUE"""),"with Cauliflower Gratin, Roasted Cabbage &amp; Green Beans")</f>
        <v>with Cauliflower Gratin, Roasted Cabbage &amp; Green Beans</v>
      </c>
      <c r="G185" s="292" t="str">
        <f>IFERROR(__xludf.DUMMYFUNCTION("""COMPUTED_VALUE"""),"Zalm Dijonnaise")</f>
        <v>Zalm Dijonnaise</v>
      </c>
      <c r="H185" s="292" t="str">
        <f>IFERROR(__xludf.DUMMYFUNCTION("""COMPUTED_VALUE"""),"met bloemkoolgratin, geroosterde kool &amp; sperziebonen")</f>
        <v>met bloemkoolgratin, geroosterde kool &amp; sperziebonen</v>
      </c>
      <c r="I185" s="292" t="str">
        <f>IFERROR(__xludf.DUMMYFUNCTION("""COMPUTED_VALUE"""),"Laks med dijonnaise")</f>
        <v>Laks med dijonnaise</v>
      </c>
      <c r="J185" s="292" t="str">
        <f>IFERROR(__xludf.DUMMYFUNCTION("""COMPUTED_VALUE"""),"Lachs Dijonnaise")</f>
        <v>Lachs Dijonnaise</v>
      </c>
      <c r="K185" s="292">
        <f>IFERROR(__xludf.DUMMYFUNCTION("""COMPUTED_VALUE"""),565207.0)</f>
        <v>565207</v>
      </c>
      <c r="L185" s="292" t="str">
        <f>IFERROR(__xludf.DUMMYFUNCTION("""COMPUTED_VALUE"""),"HF Zalm dijonnaise")</f>
        <v>HF Zalm dijonnaise</v>
      </c>
      <c r="M185" s="292" t="str">
        <f>IFERROR(__xludf.DUMMYFUNCTION("""COMPUTED_VALUE"""),"FA-NL Zalm Dijonnaise (FE1031)")</f>
        <v>FA-NL Zalm Dijonnaise (FE1031)</v>
      </c>
      <c r="N185" s="292" t="str">
        <f>IFERROR(__xludf.DUMMYFUNCTION("""COMPUTED_VALUE"""),"FA-NO Laks med dijonnaise (FE1031)")</f>
        <v>FA-NO Laks med dijonnaise (FE1031)</v>
      </c>
      <c r="O185" s="292" t="str">
        <f>IFERROR(__xludf.DUMMYFUNCTION("""COMPUTED_VALUE"""),"FA-DE Lachs Dijonnaise (FE1031)")</f>
        <v>FA-DE Lachs Dijonnaise (FE1031)</v>
      </c>
      <c r="P185" s="292" t="str">
        <f>IFERROR(__xludf.DUMMYFUNCTION("""COMPUTED_VALUE"""),"Active")</f>
        <v>Active</v>
      </c>
      <c r="Q185" s="292"/>
      <c r="R185" s="342">
        <f>IFERROR(__xludf.DUMMYFUNCTION("""COMPUTED_VALUE"""),6.11)</f>
        <v>6.11</v>
      </c>
      <c r="S185" s="292"/>
      <c r="T185" s="292"/>
      <c r="U185" s="292"/>
      <c r="V185" s="292"/>
      <c r="W185" s="292" t="b">
        <f>IFERROR(__xludf.DUMMYFUNCTION("""COMPUTED_VALUE"""),TRUE)</f>
        <v>1</v>
      </c>
      <c r="X185" s="345">
        <f>IFERROR(__xludf.DUMMYFUNCTION("""COMPUTED_VALUE"""),355.0)</f>
        <v>355</v>
      </c>
      <c r="Y185" s="344">
        <f>IFERROR(__xludf.DUMMYFUNCTION("""COMPUTED_VALUE"""),709.0)</f>
        <v>709</v>
      </c>
      <c r="Z185" s="343">
        <f>IFERROR(__xludf.DUMMYFUNCTION("""COMPUTED_VALUE"""),56.2)</f>
        <v>56.2</v>
      </c>
      <c r="AA185" s="344">
        <f>IFERROR(__xludf.DUMMYFUNCTION("""COMPUTED_VALUE"""),21.3)</f>
        <v>21.3</v>
      </c>
      <c r="AB185" s="344">
        <f>IFERROR(__xludf.DUMMYFUNCTION("""COMPUTED_VALUE"""),9.7)</f>
        <v>9.7</v>
      </c>
      <c r="AC185" s="344">
        <f>IFERROR(__xludf.DUMMYFUNCTION("""COMPUTED_VALUE"""),6.2)</f>
        <v>6.2</v>
      </c>
      <c r="AD185" s="344">
        <f>IFERROR(__xludf.DUMMYFUNCTION("""COMPUTED_VALUE"""),5.6)</f>
        <v>5.6</v>
      </c>
      <c r="AE185" s="343">
        <f>IFERROR(__xludf.DUMMYFUNCTION("""COMPUTED_VALUE"""),35.9)</f>
        <v>35.9</v>
      </c>
      <c r="AF185" s="343">
        <f>IFERROR(__xludf.DUMMYFUNCTION("""COMPUTED_VALUE"""),2.04)</f>
        <v>2.04</v>
      </c>
      <c r="AG185" s="292" t="b">
        <f>IFERROR(__xludf.DUMMYFUNCTION("""COMPUTED_VALUE"""),FALSE)</f>
        <v>0</v>
      </c>
      <c r="AH185" s="292" t="b">
        <f>IFERROR(__xludf.DUMMYFUNCTION("""COMPUTED_VALUE"""),TRUE)</f>
        <v>1</v>
      </c>
      <c r="AI185" s="292" t="b">
        <f>IFERROR(__xludf.DUMMYFUNCTION("""COMPUTED_VALUE"""),FALSE)</f>
        <v>0</v>
      </c>
      <c r="AJ185" s="292" t="b">
        <f>IFERROR(__xludf.DUMMYFUNCTION("""COMPUTED_VALUE"""),FALSE)</f>
        <v>0</v>
      </c>
      <c r="AK185" s="292" t="b">
        <f>IFERROR(__xludf.DUMMYFUNCTION("""COMPUTED_VALUE"""),FALSE)</f>
        <v>0</v>
      </c>
      <c r="AL185" s="292" t="b">
        <f>IFERROR(__xludf.DUMMYFUNCTION("""COMPUTED_VALUE"""),FALSE)</f>
        <v>0</v>
      </c>
      <c r="AM185" s="292" t="b">
        <f>IFERROR(__xludf.DUMMYFUNCTION("""COMPUTED_VALUE"""),TRUE)</f>
        <v>1</v>
      </c>
      <c r="AN185" s="292" t="b">
        <f>IFERROR(__xludf.DUMMYFUNCTION("""COMPUTED_VALUE"""),FALSE)</f>
        <v>0</v>
      </c>
      <c r="AO185" s="292" t="str">
        <f>IFERROR(__xludf.DUMMYFUNCTION("""COMPUTED_VALUE"""),"FALSE")</f>
        <v>FALSE</v>
      </c>
      <c r="AP185" s="292" t="str">
        <f>IFERROR(__xludf.DUMMYFUNCTION("""COMPUTED_VALUE"""),"Salmon")</f>
        <v>Salmon</v>
      </c>
      <c r="AQ185" s="292" t="str">
        <f>IFERROR(__xludf.DUMMYFUNCTION("""COMPUTED_VALUE"""),"Salmon")</f>
        <v>Salmon</v>
      </c>
      <c r="AR185" s="292" t="str">
        <f>IFERROR(__xludf.DUMMYFUNCTION("""COMPUTED_VALUE"""),"Fillet")</f>
        <v>Fillet</v>
      </c>
      <c r="AS185" s="292" t="str">
        <f>IFERROR(__xludf.DUMMYFUNCTION("""COMPUTED_VALUE"""),"Cauliflower Rice")</f>
        <v>Cauliflower Rice</v>
      </c>
      <c r="AT185" s="292" t="str">
        <f>IFERROR(__xludf.DUMMYFUNCTION("""COMPUTED_VALUE"""),"Green Beans")</f>
        <v>Green Beans</v>
      </c>
      <c r="AU185" s="292" t="str">
        <f>IFERROR(__xludf.DUMMYFUNCTION("""COMPUTED_VALUE"""),"Cabbage")</f>
        <v>Cabbage</v>
      </c>
      <c r="AV185" s="292" t="str">
        <f>IFERROR(__xludf.DUMMYFUNCTION("""COMPUTED_VALUE"""),"Compound Butter")</f>
        <v>Compound Butter</v>
      </c>
      <c r="AW185" s="292" t="str">
        <f>IFERROR(__xludf.DUMMYFUNCTION("""COMPUTED_VALUE"""),"Year Round")</f>
        <v>Year Round</v>
      </c>
      <c r="AX185" s="292" t="str">
        <f>IFERROR(__xludf.DUMMYFUNCTION("""COMPUTED_VALUE"""),"French")</f>
        <v>French</v>
      </c>
      <c r="AY185" s="292"/>
      <c r="AZ185" s="292" t="str">
        <f>IFERROR(__xludf.DUMMYFUNCTION("""COMPUTED_VALUE"""),"2 CT")</f>
        <v>2 CT</v>
      </c>
      <c r="BA185" s="292" t="b">
        <f>IFERROR(__xludf.DUMMYFUNCTION("""COMPUTED_VALUE"""),TRUE)</f>
        <v>1</v>
      </c>
      <c r="BB185" s="342">
        <f>IFERROR(__xludf.DUMMYFUNCTION("""COMPUTED_VALUE"""),4.2)</f>
        <v>4.2</v>
      </c>
      <c r="BC185" s="348">
        <f>IFERROR(__xludf.DUMMYFUNCTION("""COMPUTED_VALUE"""),1.47)</f>
        <v>1.47</v>
      </c>
      <c r="BD185" s="348">
        <f>IFERROR(__xludf.DUMMYFUNCTION("""COMPUTED_VALUE"""),0.44)</f>
        <v>0.44</v>
      </c>
      <c r="BE185" s="342">
        <f>IFERROR(__xludf.DUMMYFUNCTION("""COMPUTED_VALUE"""),0.89)</f>
        <v>0.89</v>
      </c>
      <c r="BF185" s="296">
        <f>IFERROR(__xludf.DUMMYFUNCTION("""COMPUTED_VALUE"""),3.3333333333333335)</f>
        <v>3.333333333</v>
      </c>
      <c r="BG185" s="296">
        <f>IFERROR(__xludf.DUMMYFUNCTION("""COMPUTED_VALUE"""),3.356666666666667)</f>
        <v>3.356666667</v>
      </c>
      <c r="BH185" s="296">
        <f>IFERROR(__xludf.DUMMYFUNCTION("""COMPUTED_VALUE"""),3.293333333333333)</f>
        <v>3.293333333</v>
      </c>
      <c r="BI185" s="295">
        <f>IFERROR(__xludf.DUMMYFUNCTION("""COMPUTED_VALUE"""),139.0)</f>
        <v>139</v>
      </c>
      <c r="BJ185" s="292"/>
      <c r="BK185" s="346">
        <f>IFERROR(__xludf.DUMMYFUNCTION("""COMPUTED_VALUE"""),2955.0)</f>
        <v>2955</v>
      </c>
      <c r="BL185" s="292"/>
      <c r="BM185" s="292"/>
      <c r="BN185" s="292"/>
      <c r="BO185" s="292"/>
      <c r="BP185" s="292"/>
      <c r="BQ185" s="292" t="str">
        <f>IFERROR(__xludf.DUMMYFUNCTION("""COMPUTED_VALUE"""),"New")</f>
        <v>New</v>
      </c>
      <c r="BR185" s="292" t="b">
        <f>IFERROR(__xludf.DUMMYFUNCTION("""COMPUTED_VALUE"""),FALSE)</f>
        <v>0</v>
      </c>
      <c r="BS185" s="292" t="b">
        <f>IFERROR(__xludf.DUMMYFUNCTION("""COMPUTED_VALUE"""),FALSE)</f>
        <v>0</v>
      </c>
      <c r="BT185" s="292"/>
      <c r="BU185" s="292"/>
      <c r="BV185" s="292"/>
      <c r="BW185" s="292"/>
    </row>
    <row r="186">
      <c r="A186" s="292" t="str">
        <f>IFERROR(__xludf.DUMMYFUNCTION("""COMPUTED_VALUE"""),"FE0130E")</f>
        <v>FE0130E</v>
      </c>
      <c r="B186" s="292" t="str">
        <f>IFERROR(__xludf.DUMMYFUNCTION("""COMPUTED_VALUE"""),"CON-40-143737-4")</f>
        <v>CON-40-143737-4</v>
      </c>
      <c r="C186" s="292" t="str">
        <f>IFERROR(__xludf.DUMMYFUNCTION("""COMPUTED_VALUE"""),"CON-00-147820-2")</f>
        <v>CON-00-147820-2</v>
      </c>
      <c r="D186" s="292" t="str">
        <f>IFERROR(__xludf.DUMMYFUNCTION("""COMPUTED_VALUE"""),"CON-00-136635-3")</f>
        <v>CON-00-136635-3</v>
      </c>
      <c r="E186" s="292" t="str">
        <f>IFERROR(__xludf.DUMMYFUNCTION("""COMPUTED_VALUE"""),"Rice bowl with pulled chicken and taco spices")</f>
        <v>Rice bowl with pulled chicken and taco spices</v>
      </c>
      <c r="F186" s="292" t="str">
        <f>IFERROR(__xludf.DUMMYFUNCTION("""COMPUTED_VALUE"""),"with black beans, corn salsa, and sour cream with coriander")</f>
        <v>with black beans, corn salsa, and sour cream with coriander</v>
      </c>
      <c r="G186" s="292" t="str">
        <f>IFERROR(__xludf.DUMMYFUNCTION("""COMPUTED_VALUE"""),"Rijstbowl met pulled chicken en tacokruiden")</f>
        <v>Rijstbowl met pulled chicken en tacokruiden</v>
      </c>
      <c r="H186" s="292" t="str">
        <f>IFERROR(__xludf.DUMMYFUNCTION("""COMPUTED_VALUE"""),"met zwarte bonen, maïssalsa en zure room met koriander")</f>
        <v>met zwarte bonen, maïssalsa en zure room met koriander</v>
      </c>
      <c r="I186" s="292" t="str">
        <f>IFERROR(__xludf.DUMMYFUNCTION("""COMPUTED_VALUE"""),"Ris bowl med pulled chicken og tacokrydderier")</f>
        <v>Ris bowl med pulled chicken og tacokrydderier</v>
      </c>
      <c r="J186" s="292" t="str">
        <f>IFERROR(__xludf.DUMMYFUNCTION("""COMPUTED_VALUE"""),"Reis-Bowl mit Pulled Chicken im Taco-Stil")</f>
        <v>Reis-Bowl mit Pulled Chicken im Taco-Stil</v>
      </c>
      <c r="K186" s="292">
        <f>IFERROR(__xludf.DUMMYFUNCTION("""COMPUTED_VALUE"""),565197.0)</f>
        <v>565197</v>
      </c>
      <c r="L186" s="292" t="str">
        <f>IFERROR(__xludf.DUMMYFUNCTION("""COMPUTED_VALUE"""),"HF Pulled chick rijst en bonen")</f>
        <v>HF Pulled chick rijst en bonen</v>
      </c>
      <c r="M186" s="292" t="str">
        <f>IFERROR(__xludf.DUMMYFUNCTION("""COMPUTED_VALUE"""),"FA-NL Mexicaanse stijl rijstbowl (FE0130)")</f>
        <v>FA-NL Mexicaanse stijl rijstbowl (FE0130)</v>
      </c>
      <c r="N186" s="292" t="str">
        <f>IFERROR(__xludf.DUMMYFUNCTION("""COMPUTED_VALUE"""),"FA-NO Ris-bowl med pulled chicken og tacokrydderier (FE0130)")</f>
        <v>FA-NO Ris-bowl med pulled chicken og tacokrydderier (FE0130)</v>
      </c>
      <c r="O186" s="292" t="str">
        <f>IFERROR(__xludf.DUMMYFUNCTION("""COMPUTED_VALUE"""),"FA-DE Mexikanische Reis-Bowl mit Hähnchen (FE0130)")</f>
        <v>FA-DE Mexikanische Reis-Bowl mit Hähnchen (FE0130)</v>
      </c>
      <c r="P186" s="292" t="str">
        <f>IFERROR(__xludf.DUMMYFUNCTION("""COMPUTED_VALUE"""),"Active")</f>
        <v>Active</v>
      </c>
      <c r="Q186" s="292" t="str">
        <f>IFERROR(__xludf.DUMMYFUNCTION("""COMPUTED_VALUE"""),"New meal")</f>
        <v>New meal</v>
      </c>
      <c r="R186" s="342">
        <f>IFERROR(__xludf.DUMMYFUNCTION("""COMPUTED_VALUE"""),4.16)</f>
        <v>4.16</v>
      </c>
      <c r="S186" s="292"/>
      <c r="T186" s="292"/>
      <c r="U186" s="292"/>
      <c r="V186" s="292"/>
      <c r="W186" s="292" t="b">
        <f>IFERROR(__xludf.DUMMYFUNCTION("""COMPUTED_VALUE"""),TRUE)</f>
        <v>1</v>
      </c>
      <c r="X186" s="345">
        <f>IFERROR(__xludf.DUMMYFUNCTION("""COMPUTED_VALUE"""),373.0)</f>
        <v>373</v>
      </c>
      <c r="Y186" s="344">
        <f>IFERROR(__xludf.DUMMYFUNCTION("""COMPUTED_VALUE"""),457.0)</f>
        <v>457</v>
      </c>
      <c r="Z186" s="343">
        <f>IFERROR(__xludf.DUMMYFUNCTION("""COMPUTED_VALUE"""),17.1)</f>
        <v>17.1</v>
      </c>
      <c r="AA186" s="344">
        <f>IFERROR(__xludf.DUMMYFUNCTION("""COMPUTED_VALUE"""),7.8)</f>
        <v>7.8</v>
      </c>
      <c r="AB186" s="344">
        <f>IFERROR(__xludf.DUMMYFUNCTION("""COMPUTED_VALUE"""),41.2)</f>
        <v>41.2</v>
      </c>
      <c r="AC186" s="344">
        <f>IFERROR(__xludf.DUMMYFUNCTION("""COMPUTED_VALUE"""),7.2)</f>
        <v>7.2</v>
      </c>
      <c r="AD186" s="344">
        <f>IFERROR(__xludf.DUMMYFUNCTION("""COMPUTED_VALUE"""),9.6)</f>
        <v>9.6</v>
      </c>
      <c r="AE186" s="343">
        <f>IFERROR(__xludf.DUMMYFUNCTION("""COMPUTED_VALUE"""),31.2)</f>
        <v>31.2</v>
      </c>
      <c r="AF186" s="343">
        <f>IFERROR(__xludf.DUMMYFUNCTION("""COMPUTED_VALUE"""),2.0)</f>
        <v>2</v>
      </c>
      <c r="AG186" s="292" t="b">
        <f>IFERROR(__xludf.DUMMYFUNCTION("""COMPUTED_VALUE"""),FALSE)</f>
        <v>0</v>
      </c>
      <c r="AH186" s="292" t="b">
        <f>IFERROR(__xludf.DUMMYFUNCTION("""COMPUTED_VALUE"""),FALSE)</f>
        <v>0</v>
      </c>
      <c r="AI186" s="292" t="b">
        <f>IFERROR(__xludf.DUMMYFUNCTION("""COMPUTED_VALUE"""),TRUE)</f>
        <v>1</v>
      </c>
      <c r="AJ186" s="292" t="b">
        <f>IFERROR(__xludf.DUMMYFUNCTION("""COMPUTED_VALUE"""),FALSE)</f>
        <v>0</v>
      </c>
      <c r="AK186" s="292" t="b">
        <f>IFERROR(__xludf.DUMMYFUNCTION("""COMPUTED_VALUE"""),FALSE)</f>
        <v>0</v>
      </c>
      <c r="AL186" s="292" t="b">
        <f>IFERROR(__xludf.DUMMYFUNCTION("""COMPUTED_VALUE"""),FALSE)</f>
        <v>0</v>
      </c>
      <c r="AM186" s="292" t="b">
        <f>IFERROR(__xludf.DUMMYFUNCTION("""COMPUTED_VALUE"""),TRUE)</f>
        <v>1</v>
      </c>
      <c r="AN186" s="292" t="b">
        <f>IFERROR(__xludf.DUMMYFUNCTION("""COMPUTED_VALUE"""),FALSE)</f>
        <v>0</v>
      </c>
      <c r="AO186" s="292" t="str">
        <f>IFERROR(__xludf.DUMMYFUNCTION("""COMPUTED_VALUE"""),"TRUE")</f>
        <v>TRUE</v>
      </c>
      <c r="AP186" s="292" t="str">
        <f>IFERROR(__xludf.DUMMYFUNCTION("""COMPUTED_VALUE"""),"Shredded chicken")</f>
        <v>Shredded chicken</v>
      </c>
      <c r="AQ186" s="292" t="str">
        <f>IFERROR(__xludf.DUMMYFUNCTION("""COMPUTED_VALUE"""),"Chicken")</f>
        <v>Chicken</v>
      </c>
      <c r="AR186" s="292" t="str">
        <f>IFERROR(__xludf.DUMMYFUNCTION("""COMPUTED_VALUE"""),"Pulled")</f>
        <v>Pulled</v>
      </c>
      <c r="AS186" s="292" t="str">
        <f>IFERROR(__xludf.DUMMYFUNCTION("""COMPUTED_VALUE"""),"Rice")</f>
        <v>Rice</v>
      </c>
      <c r="AT186" s="292" t="str">
        <f>IFERROR(__xludf.DUMMYFUNCTION("""COMPUTED_VALUE"""),"Black Beans")</f>
        <v>Black Beans</v>
      </c>
      <c r="AU186" s="292" t="str">
        <f>IFERROR(__xludf.DUMMYFUNCTION("""COMPUTED_VALUE"""),"Pepper Mix")</f>
        <v>Pepper Mix</v>
      </c>
      <c r="AV186" s="292" t="str">
        <f>IFERROR(__xludf.DUMMYFUNCTION("""COMPUTED_VALUE"""),"Cupped Sauce")</f>
        <v>Cupped Sauce</v>
      </c>
      <c r="AW186" s="292" t="str">
        <f>IFERROR(__xludf.DUMMYFUNCTION("""COMPUTED_VALUE"""),"Year Round")</f>
        <v>Year Round</v>
      </c>
      <c r="AX186" s="292" t="str">
        <f>IFERROR(__xludf.DUMMYFUNCTION("""COMPUTED_VALUE"""),"Mexican")</f>
        <v>Mexican</v>
      </c>
      <c r="AY186" s="292"/>
      <c r="AZ186" s="292" t="str">
        <f>IFERROR(__xludf.DUMMYFUNCTION("""COMPUTED_VALUE"""),"2 CT")</f>
        <v>2 CT</v>
      </c>
      <c r="BA186" s="292" t="b">
        <f>IFERROR(__xludf.DUMMYFUNCTION("""COMPUTED_VALUE"""),TRUE)</f>
        <v>1</v>
      </c>
      <c r="BB186" s="342">
        <f>IFERROR(__xludf.DUMMYFUNCTION("""COMPUTED_VALUE"""),2.01)</f>
        <v>2.01</v>
      </c>
      <c r="BC186" s="342">
        <f>IFERROR(__xludf.DUMMYFUNCTION("""COMPUTED_VALUE"""),1.72)</f>
        <v>1.72</v>
      </c>
      <c r="BD186" s="342">
        <f>IFERROR(__xludf.DUMMYFUNCTION("""COMPUTED_VALUE"""),0.44)</f>
        <v>0.44</v>
      </c>
      <c r="BE186" s="342">
        <f>IFERROR(__xludf.DUMMYFUNCTION("""COMPUTED_VALUE"""),0.89)</f>
        <v>0.89</v>
      </c>
      <c r="BF186" s="296">
        <f>IFERROR(__xludf.DUMMYFUNCTION("""COMPUTED_VALUE"""),3.0008)</f>
        <v>3.0008</v>
      </c>
      <c r="BG186" s="296">
        <f>IFERROR(__xludf.DUMMYFUNCTION("""COMPUTED_VALUE"""),3.4312161866341437)</f>
        <v>3.431216187</v>
      </c>
      <c r="BH186" s="296">
        <f>IFERROR(__xludf.DUMMYFUNCTION("""COMPUTED_VALUE"""),3.477207977207977)</f>
        <v>3.477207977</v>
      </c>
      <c r="BI186" s="295">
        <f>IFERROR(__xludf.DUMMYFUNCTION("""COMPUTED_VALUE"""),133.0)</f>
        <v>133</v>
      </c>
      <c r="BJ186" s="292"/>
      <c r="BK186" s="346">
        <f>IFERROR(__xludf.DUMMYFUNCTION("""COMPUTED_VALUE"""),1915.0)</f>
        <v>1915</v>
      </c>
      <c r="BL186" s="292"/>
      <c r="BM186" s="292"/>
      <c r="BN186" s="292"/>
      <c r="BO186" s="292"/>
      <c r="BP186" s="292"/>
      <c r="BQ186" s="292" t="str">
        <f>IFERROR(__xludf.DUMMYFUNCTION("""COMPUTED_VALUE"""),"Hospital")</f>
        <v>Hospital</v>
      </c>
      <c r="BR186" s="292" t="b">
        <f>IFERROR(__xludf.DUMMYFUNCTION("""COMPUTED_VALUE"""),FALSE)</f>
        <v>0</v>
      </c>
      <c r="BS186" s="292" t="b">
        <f>IFERROR(__xludf.DUMMYFUNCTION("""COMPUTED_VALUE"""),FALSE)</f>
        <v>0</v>
      </c>
      <c r="BT186" s="292"/>
      <c r="BU186" s="292"/>
      <c r="BV186" s="292"/>
      <c r="BW186" s="292"/>
    </row>
    <row r="187">
      <c r="A187" s="292" t="str">
        <f>IFERROR(__xludf.DUMMYFUNCTION("""COMPUTED_VALUE"""),"FE1145B")</f>
        <v>FE1145B</v>
      </c>
      <c r="B187" s="292" t="str">
        <f>IFERROR(__xludf.DUMMYFUNCTION("""COMPUTED_VALUE"""),"CON-40-151095-4")</f>
        <v>CON-40-151095-4</v>
      </c>
      <c r="C187" s="292" t="str">
        <f>IFERROR(__xludf.DUMMYFUNCTION("""COMPUTED_VALUE"""),"CON-00-151098-2")</f>
        <v>CON-00-151098-2</v>
      </c>
      <c r="D187" s="292" t="str">
        <f>IFERROR(__xludf.DUMMYFUNCTION("""COMPUTED_VALUE"""),"CON-00-151097-2")</f>
        <v>CON-00-151097-2</v>
      </c>
      <c r="E187" s="292" t="str">
        <f>IFERROR(__xludf.DUMMYFUNCTION("""COMPUTED_VALUE"""),"Roasted Salmon &amp; Dill Yogurt")</f>
        <v>Roasted Salmon &amp; Dill Yogurt</v>
      </c>
      <c r="F187" s="292" t="str">
        <f>IFERROR(__xludf.DUMMYFUNCTION("""COMPUTED_VALUE"""),"with red peppers and onions, Italian-spiced potatoes &amp; green beans")</f>
        <v>with red peppers and onions, Italian-spiced potatoes &amp; green beans</v>
      </c>
      <c r="G187" s="292" t="str">
        <f>IFERROR(__xludf.DUMMYFUNCTION("""COMPUTED_VALUE"""),"Gegrilde zalm met dille-yoghurtsaus")</f>
        <v>Gegrilde zalm met dille-yoghurtsaus</v>
      </c>
      <c r="H187" s="292" t="str">
        <f>IFERROR(__xludf.DUMMYFUNCTION("""COMPUTED_VALUE"""),"met paprika en ui, Italiaans gekruide aardappelen &amp; sperziebonen")</f>
        <v>met paprika en ui, Italiaans gekruide aardappelen &amp; sperziebonen</v>
      </c>
      <c r="I187" s="292" t="str">
        <f>IFERROR(__xludf.DUMMYFUNCTION("""COMPUTED_VALUE"""),"Ovnbagt laks med dild-yoghurtsauce")</f>
        <v>Ovnbagt laks med dild-yoghurtsauce</v>
      </c>
      <c r="J187" s="292" t="str">
        <f>IFERROR(__xludf.DUMMYFUNCTION("""COMPUTED_VALUE"""),"Ofengerösteter Lachs &amp; Dill-Joghurt")</f>
        <v>Ofengerösteter Lachs &amp; Dill-Joghurt</v>
      </c>
      <c r="K187" s="292">
        <f>IFERROR(__xludf.DUMMYFUNCTION("""COMPUTED_VALUE"""),565206.0)</f>
        <v>565206</v>
      </c>
      <c r="L187" s="292" t="str">
        <f>IFERROR(__xludf.DUMMYFUNCTION("""COMPUTED_VALUE"""),"HF Zalm citroen dille yoghurt")</f>
        <v>HF Zalm citroen dille yoghurt</v>
      </c>
      <c r="M187" s="292" t="str">
        <f>IFERROR(__xludf.DUMMYFUNCTION("""COMPUTED_VALUE"""),"FA-NL Gegrilde zalm met dille-yoghurtsaus (FE1145)")</f>
        <v>FA-NL Gegrilde zalm met dille-yoghurtsaus (FE1145)</v>
      </c>
      <c r="N187" s="292" t="str">
        <f>IFERROR(__xludf.DUMMYFUNCTION("""COMPUTED_VALUE"""),"FA-NO Ovnbagt laks med dild-yoghurt (FE1145)")</f>
        <v>FA-NO Ovnbagt laks med dild-yoghurt (FE1145)</v>
      </c>
      <c r="O187" s="292" t="str">
        <f>IFERROR(__xludf.DUMMYFUNCTION("""COMPUTED_VALUE"""),"FA-DE Ofengerösteter Lachs &amp; Dill-Joghurt (FE1145)")</f>
        <v>FA-DE Ofengerösteter Lachs &amp; Dill-Joghurt (FE1145)</v>
      </c>
      <c r="P187" s="292" t="str">
        <f>IFERROR(__xludf.DUMMYFUNCTION("""COMPUTED_VALUE"""),"Active")</f>
        <v>Active</v>
      </c>
      <c r="Q187" s="292" t="str">
        <f>IFERROR(__xludf.DUMMYFUNCTION("""COMPUTED_VALUE"""),"New meal")</f>
        <v>New meal</v>
      </c>
      <c r="R187" s="342">
        <f>IFERROR(__xludf.DUMMYFUNCTION("""COMPUTED_VALUE"""),5.73)</f>
        <v>5.73</v>
      </c>
      <c r="S187" s="292"/>
      <c r="T187" s="292"/>
      <c r="U187" s="292"/>
      <c r="V187" s="292"/>
      <c r="W187" s="292" t="b">
        <f>IFERROR(__xludf.DUMMYFUNCTION("""COMPUTED_VALUE"""),TRUE)</f>
        <v>1</v>
      </c>
      <c r="X187" s="345">
        <f>IFERROR(__xludf.DUMMYFUNCTION("""COMPUTED_VALUE"""),384.0)</f>
        <v>384</v>
      </c>
      <c r="Y187" s="344">
        <f>IFERROR(__xludf.DUMMYFUNCTION("""COMPUTED_VALUE"""),602.0)</f>
        <v>602</v>
      </c>
      <c r="Z187" s="343">
        <f>IFERROR(__xludf.DUMMYFUNCTION("""COMPUTED_VALUE"""),35.8)</f>
        <v>35.8</v>
      </c>
      <c r="AA187" s="344">
        <f>IFERROR(__xludf.DUMMYFUNCTION("""COMPUTED_VALUE"""),7.1)</f>
        <v>7.1</v>
      </c>
      <c r="AB187" s="344">
        <f>IFERROR(__xludf.DUMMYFUNCTION("""COMPUTED_VALUE"""),30.2)</f>
        <v>30.2</v>
      </c>
      <c r="AC187" s="344">
        <f>IFERROR(__xludf.DUMMYFUNCTION("""COMPUTED_VALUE"""),8.6)</f>
        <v>8.6</v>
      </c>
      <c r="AD187" s="344">
        <f>IFERROR(__xludf.DUMMYFUNCTION("""COMPUTED_VALUE"""),9.4)</f>
        <v>9.4</v>
      </c>
      <c r="AE187" s="343">
        <f>IFERROR(__xludf.DUMMYFUNCTION("""COMPUTED_VALUE"""),32.4)</f>
        <v>32.4</v>
      </c>
      <c r="AF187" s="343">
        <f>IFERROR(__xludf.DUMMYFUNCTION("""COMPUTED_VALUE"""),2.02)</f>
        <v>2.02</v>
      </c>
      <c r="AG187" s="292" t="b">
        <f>IFERROR(__xludf.DUMMYFUNCTION("""COMPUTED_VALUE"""),TRUE)</f>
        <v>1</v>
      </c>
      <c r="AH187" s="292" t="b">
        <f>IFERROR(__xludf.DUMMYFUNCTION("""COMPUTED_VALUE"""),FALSE)</f>
        <v>0</v>
      </c>
      <c r="AI187" s="292" t="b">
        <f>IFERROR(__xludf.DUMMYFUNCTION("""COMPUTED_VALUE"""),FALSE)</f>
        <v>0</v>
      </c>
      <c r="AJ187" s="292" t="b">
        <f>IFERROR(__xludf.DUMMYFUNCTION("""COMPUTED_VALUE"""),FALSE)</f>
        <v>0</v>
      </c>
      <c r="AK187" s="292" t="b">
        <f>IFERROR(__xludf.DUMMYFUNCTION("""COMPUTED_VALUE"""),FALSE)</f>
        <v>0</v>
      </c>
      <c r="AL187" s="292" t="b">
        <f>IFERROR(__xludf.DUMMYFUNCTION("""COMPUTED_VALUE"""),FALSE)</f>
        <v>0</v>
      </c>
      <c r="AM187" s="292" t="b">
        <f>IFERROR(__xludf.DUMMYFUNCTION("""COMPUTED_VALUE"""),TRUE)</f>
        <v>1</v>
      </c>
      <c r="AN187" s="292" t="b">
        <f>IFERROR(__xludf.DUMMYFUNCTION("""COMPUTED_VALUE"""),FALSE)</f>
        <v>0</v>
      </c>
      <c r="AO187" s="292" t="str">
        <f>IFERROR(__xludf.DUMMYFUNCTION("""COMPUTED_VALUE"""),"TRUE")</f>
        <v>TRUE</v>
      </c>
      <c r="AP187" s="292" t="str">
        <f>IFERROR(__xludf.DUMMYFUNCTION("""COMPUTED_VALUE"""),"Salmon")</f>
        <v>Salmon</v>
      </c>
      <c r="AQ187" s="292" t="str">
        <f>IFERROR(__xludf.DUMMYFUNCTION("""COMPUTED_VALUE"""),"Salmon")</f>
        <v>Salmon</v>
      </c>
      <c r="AR187" s="292" t="str">
        <f>IFERROR(__xludf.DUMMYFUNCTION("""COMPUTED_VALUE"""),"Filet")</f>
        <v>Filet</v>
      </c>
      <c r="AS187" s="292" t="str">
        <f>IFERROR(__xludf.DUMMYFUNCTION("""COMPUTED_VALUE"""),"Pepper Mix")</f>
        <v>Pepper Mix</v>
      </c>
      <c r="AT187" s="292" t="str">
        <f>IFERROR(__xludf.DUMMYFUNCTION("""COMPUTED_VALUE"""),"Potato Non-Mash")</f>
        <v>Potato Non-Mash</v>
      </c>
      <c r="AU187" s="292" t="str">
        <f>IFERROR(__xludf.DUMMYFUNCTION("""COMPUTED_VALUE"""),"Green Beans")</f>
        <v>Green Beans</v>
      </c>
      <c r="AV187" s="292" t="str">
        <f>IFERROR(__xludf.DUMMYFUNCTION("""COMPUTED_VALUE"""),"Cupped Sauce")</f>
        <v>Cupped Sauce</v>
      </c>
      <c r="AW187" s="292" t="str">
        <f>IFERROR(__xludf.DUMMYFUNCTION("""COMPUTED_VALUE"""),"Year Round")</f>
        <v>Year Round</v>
      </c>
      <c r="AX187" s="292" t="str">
        <f>IFERROR(__xludf.DUMMYFUNCTION("""COMPUTED_VALUE"""),"Middle Eastern")</f>
        <v>Middle Eastern</v>
      </c>
      <c r="AY187" s="292"/>
      <c r="AZ187" s="292" t="str">
        <f>IFERROR(__xludf.DUMMYFUNCTION("""COMPUTED_VALUE"""),"2 CT")</f>
        <v>2 CT</v>
      </c>
      <c r="BA187" s="292" t="b">
        <f>IFERROR(__xludf.DUMMYFUNCTION("""COMPUTED_VALUE"""),TRUE)</f>
        <v>1</v>
      </c>
      <c r="BB187" s="342">
        <f>IFERROR(__xludf.DUMMYFUNCTION("""COMPUTED_VALUE"""),3.97)</f>
        <v>3.97</v>
      </c>
      <c r="BC187" s="342">
        <f>IFERROR(__xludf.DUMMYFUNCTION("""COMPUTED_VALUE"""),1.32)</f>
        <v>1.32</v>
      </c>
      <c r="BD187" s="342">
        <f>IFERROR(__xludf.DUMMYFUNCTION("""COMPUTED_VALUE"""),0.44)</f>
        <v>0.44</v>
      </c>
      <c r="BE187" s="342">
        <f>IFERROR(__xludf.DUMMYFUNCTION("""COMPUTED_VALUE"""),0.89)</f>
        <v>0.89</v>
      </c>
      <c r="BF187" s="296">
        <f>IFERROR(__xludf.DUMMYFUNCTION("""COMPUTED_VALUE"""),3.3033333333333332)</f>
        <v>3.303333333</v>
      </c>
      <c r="BG187" s="296">
        <f>IFERROR(__xludf.DUMMYFUNCTION("""COMPUTED_VALUE"""),3.3333333333333335)</f>
        <v>3.333333333</v>
      </c>
      <c r="BH187" s="296">
        <f>IFERROR(__xludf.DUMMYFUNCTION("""COMPUTED_VALUE"""),3.2600000000000002)</f>
        <v>3.26</v>
      </c>
      <c r="BI187" s="295">
        <f>IFERROR(__xludf.DUMMYFUNCTION("""COMPUTED_VALUE"""),125.0)</f>
        <v>125</v>
      </c>
      <c r="BJ187" s="292"/>
      <c r="BK187" s="346">
        <f>IFERROR(__xludf.DUMMYFUNCTION("""COMPUTED_VALUE"""),2512.0)</f>
        <v>2512</v>
      </c>
      <c r="BL187" s="292"/>
      <c r="BM187" s="292"/>
      <c r="BN187" s="292"/>
      <c r="BO187" s="292"/>
      <c r="BP187" s="292"/>
      <c r="BQ187" s="292" t="str">
        <f>IFERROR(__xludf.DUMMYFUNCTION("""COMPUTED_VALUE"""),"Proven")</f>
        <v>Proven</v>
      </c>
      <c r="BR187" s="292" t="b">
        <f>IFERROR(__xludf.DUMMYFUNCTION("""COMPUTED_VALUE"""),FALSE)</f>
        <v>0</v>
      </c>
      <c r="BS187" s="292" t="b">
        <f>IFERROR(__xludf.DUMMYFUNCTION("""COMPUTED_VALUE"""),FALSE)</f>
        <v>0</v>
      </c>
      <c r="BT187" s="292"/>
      <c r="BU187" s="292"/>
      <c r="BV187" s="292"/>
      <c r="BW187" s="292"/>
    </row>
    <row r="188">
      <c r="A188" s="292" t="str">
        <f>IFERROR(__xludf.DUMMYFUNCTION("""COMPUTED_VALUE"""),"FE4001B")</f>
        <v>FE4001B</v>
      </c>
      <c r="B188" s="292" t="str">
        <f>IFERROR(__xludf.DUMMYFUNCTION("""COMPUTED_VALUE"""),"CON-40-143660-4")</f>
        <v>CON-40-143660-4</v>
      </c>
      <c r="C188" s="292" t="str">
        <f>IFERROR(__xludf.DUMMYFUNCTION("""COMPUTED_VALUE"""),"CON-00-147866-2")</f>
        <v>CON-00-147866-2</v>
      </c>
      <c r="D188" s="292" t="str">
        <f>IFERROR(__xludf.DUMMYFUNCTION("""COMPUTED_VALUE"""),"CON-00-136659-3")</f>
        <v>CON-00-136659-3</v>
      </c>
      <c r="E188" s="292" t="str">
        <f>IFERROR(__xludf.DUMMYFUNCTION("""COMPUTED_VALUE"""),"Grilled chicken fillet and pesto")</f>
        <v>Grilled chicken fillet and pesto</v>
      </c>
      <c r="F188" s="292" t="str">
        <f>IFERROR(__xludf.DUMMYFUNCTION("""COMPUTED_VALUE"""),"with green beans, cherry tomatoes, and potato and leek puree")</f>
        <v>with green beans, cherry tomatoes, and potato and leek puree</v>
      </c>
      <c r="G188" s="292" t="str">
        <f>IFERROR(__xludf.DUMMYFUNCTION("""COMPUTED_VALUE"""),"Gegrilde kipfilet en pesto")</f>
        <v>Gegrilde kipfilet en pesto</v>
      </c>
      <c r="H188" s="292" t="str">
        <f>IFERROR(__xludf.DUMMYFUNCTION("""COMPUTED_VALUE"""),"met sperziebonen, cherrytomaatjes, en puree van aardappel en prei")</f>
        <v>met sperziebonen, cherrytomaatjes, en puree van aardappel en prei</v>
      </c>
      <c r="I188" s="292" t="str">
        <f>IFERROR(__xludf.DUMMYFUNCTION("""COMPUTED_VALUE"""),"Grillet kyllingefilet med pesto")</f>
        <v>Grillet kyllingefilet med pesto</v>
      </c>
      <c r="J188" s="292" t="str">
        <f>IFERROR(__xludf.DUMMYFUNCTION("""COMPUTED_VALUE"""),"Gegrilltes Hähnchenfilet mit Pesto")</f>
        <v>Gegrilltes Hähnchenfilet mit Pesto</v>
      </c>
      <c r="K188" s="292">
        <f>IFERROR(__xludf.DUMMYFUNCTION("""COMPUTED_VALUE"""),565055.0)</f>
        <v>565055</v>
      </c>
      <c r="L188" s="292" t="str">
        <f>IFERROR(__xludf.DUMMYFUNCTION("""COMPUTED_VALUE"""),"HF Gegrilde kipfilet met pesto")</f>
        <v>HF Gegrilde kipfilet met pesto</v>
      </c>
      <c r="M188" s="292" t="str">
        <f>IFERROR(__xludf.DUMMYFUNCTION("""COMPUTED_VALUE"""),"FA-NL Gegrilde kipfilet en pesto (FE4001)")</f>
        <v>FA-NL Gegrilde kipfilet en pesto (FE4001)</v>
      </c>
      <c r="N188" s="292" t="str">
        <f>IFERROR(__xludf.DUMMYFUNCTION("""COMPUTED_VALUE"""),"FA-NO Grillet kyllingefilet og pesto (FE4001)")</f>
        <v>FA-NO Grillet kyllingefilet og pesto (FE4001)</v>
      </c>
      <c r="O188" s="292" t="str">
        <f>IFERROR(__xludf.DUMMYFUNCTION("""COMPUTED_VALUE"""),"FA-DE Gegrilltes Hähnchenfilet mit Pesto (FE4001)")</f>
        <v>FA-DE Gegrilltes Hähnchenfilet mit Pesto (FE4001)</v>
      </c>
      <c r="P188" s="292" t="str">
        <f>IFERROR(__xludf.DUMMYFUNCTION("""COMPUTED_VALUE"""),"Graveyard")</f>
        <v>Graveyard</v>
      </c>
      <c r="Q188" s="292" t="str">
        <f>IFERROR(__xludf.DUMMYFUNCTION("""COMPUTED_VALUE"""),"Updated recipe")</f>
        <v>Updated recipe</v>
      </c>
      <c r="R188" s="342">
        <f>IFERROR(__xludf.DUMMYFUNCTION("""COMPUTED_VALUE"""),5.06)</f>
        <v>5.06</v>
      </c>
      <c r="S188" s="292"/>
      <c r="T188" s="292"/>
      <c r="U188" s="292"/>
      <c r="V188" s="292"/>
      <c r="W188" s="292" t="b">
        <f>IFERROR(__xludf.DUMMYFUNCTION("""COMPUTED_VALUE"""),TRUE)</f>
        <v>1</v>
      </c>
      <c r="X188" s="345">
        <f>IFERROR(__xludf.DUMMYFUNCTION("""COMPUTED_VALUE"""),409.0)</f>
        <v>409</v>
      </c>
      <c r="Y188" s="344">
        <f>IFERROR(__xludf.DUMMYFUNCTION("""COMPUTED_VALUE"""),479.0)</f>
        <v>479</v>
      </c>
      <c r="Z188" s="343">
        <f>IFERROR(__xludf.DUMMYFUNCTION("""COMPUTED_VALUE"""),28.0)</f>
        <v>28</v>
      </c>
      <c r="AA188" s="344">
        <f>IFERROR(__xludf.DUMMYFUNCTION("""COMPUTED_VALUE"""),6.9)</f>
        <v>6.9</v>
      </c>
      <c r="AB188" s="344">
        <f>IFERROR(__xludf.DUMMYFUNCTION("""COMPUTED_VALUE"""),22.2)</f>
        <v>22.2</v>
      </c>
      <c r="AC188" s="344">
        <f>IFERROR(__xludf.DUMMYFUNCTION("""COMPUTED_VALUE"""),6.6)</f>
        <v>6.6</v>
      </c>
      <c r="AD188" s="344">
        <f>IFERROR(__xludf.DUMMYFUNCTION("""COMPUTED_VALUE"""),7.6)</f>
        <v>7.6</v>
      </c>
      <c r="AE188" s="343">
        <f>IFERROR(__xludf.DUMMYFUNCTION("""COMPUTED_VALUE"""),30.9)</f>
        <v>30.9</v>
      </c>
      <c r="AF188" s="343">
        <f>IFERROR(__xludf.DUMMYFUNCTION("""COMPUTED_VALUE"""),1.62)</f>
        <v>1.62</v>
      </c>
      <c r="AG188" s="292" t="b">
        <f>IFERROR(__xludf.DUMMYFUNCTION("""COMPUTED_VALUE"""),FALSE)</f>
        <v>0</v>
      </c>
      <c r="AH188" s="292" t="b">
        <f>IFERROR(__xludf.DUMMYFUNCTION("""COMPUTED_VALUE"""),FALSE)</f>
        <v>0</v>
      </c>
      <c r="AI188" s="292" t="b">
        <f>IFERROR(__xludf.DUMMYFUNCTION("""COMPUTED_VALUE"""),TRUE)</f>
        <v>1</v>
      </c>
      <c r="AJ188" s="292" t="b">
        <f>IFERROR(__xludf.DUMMYFUNCTION("""COMPUTED_VALUE"""),FALSE)</f>
        <v>0</v>
      </c>
      <c r="AK188" s="292" t="b">
        <f>IFERROR(__xludf.DUMMYFUNCTION("""COMPUTED_VALUE"""),FALSE)</f>
        <v>0</v>
      </c>
      <c r="AL188" s="292" t="b">
        <f>IFERROR(__xludf.DUMMYFUNCTION("""COMPUTED_VALUE"""),FALSE)</f>
        <v>0</v>
      </c>
      <c r="AM188" s="292" t="b">
        <f>IFERROR(__xludf.DUMMYFUNCTION("""COMPUTED_VALUE"""),TRUE)</f>
        <v>1</v>
      </c>
      <c r="AN188" s="292" t="b">
        <f>IFERROR(__xludf.DUMMYFUNCTION("""COMPUTED_VALUE"""),FALSE)</f>
        <v>0</v>
      </c>
      <c r="AO188" s="292" t="str">
        <f>IFERROR(__xludf.DUMMYFUNCTION("""COMPUTED_VALUE"""),"FALSE")</f>
        <v>FALSE</v>
      </c>
      <c r="AP188" s="292" t="str">
        <f>IFERROR(__xludf.DUMMYFUNCTION("""COMPUTED_VALUE"""),"Chicken breast")</f>
        <v>Chicken breast</v>
      </c>
      <c r="AQ188" s="292" t="str">
        <f>IFERROR(__xludf.DUMMYFUNCTION("""COMPUTED_VALUE"""),"Chicken")</f>
        <v>Chicken</v>
      </c>
      <c r="AR188" s="292" t="str">
        <f>IFERROR(__xludf.DUMMYFUNCTION("""COMPUTED_VALUE"""),"Breast")</f>
        <v>Breast</v>
      </c>
      <c r="AS188" s="292" t="str">
        <f>IFERROR(__xludf.DUMMYFUNCTION("""COMPUTED_VALUE"""),"Potato Mash")</f>
        <v>Potato Mash</v>
      </c>
      <c r="AT188" s="292" t="str">
        <f>IFERROR(__xludf.DUMMYFUNCTION("""COMPUTED_VALUE"""),"Pesto")</f>
        <v>Pesto</v>
      </c>
      <c r="AU188" s="292" t="str">
        <f>IFERROR(__xludf.DUMMYFUNCTION("""COMPUTED_VALUE"""),"Green Beans")</f>
        <v>Green Beans</v>
      </c>
      <c r="AV188" s="292" t="str">
        <f>IFERROR(__xludf.DUMMYFUNCTION("""COMPUTED_VALUE"""),"Cherry Tomatoes")</f>
        <v>Cherry Tomatoes</v>
      </c>
      <c r="AW188" s="292" t="str">
        <f>IFERROR(__xludf.DUMMYFUNCTION("""COMPUTED_VALUE"""),"Year Round")</f>
        <v>Year Round</v>
      </c>
      <c r="AX188" s="292" t="str">
        <f>IFERROR(__xludf.DUMMYFUNCTION("""COMPUTED_VALUE"""),"Italian")</f>
        <v>Italian</v>
      </c>
      <c r="AY188" s="292"/>
      <c r="AZ188" s="292" t="str">
        <f>IFERROR(__xludf.DUMMYFUNCTION("""COMPUTED_VALUE"""),"2 CT")</f>
        <v>2 CT</v>
      </c>
      <c r="BA188" s="292" t="b">
        <f>IFERROR(__xludf.DUMMYFUNCTION("""COMPUTED_VALUE"""),FALSE)</f>
        <v>0</v>
      </c>
      <c r="BB188" s="342">
        <f>IFERROR(__xludf.DUMMYFUNCTION("""COMPUTED_VALUE"""),2.57)</f>
        <v>2.57</v>
      </c>
      <c r="BC188" s="342">
        <f>IFERROR(__xludf.DUMMYFUNCTION("""COMPUTED_VALUE"""),1.24)</f>
        <v>1.24</v>
      </c>
      <c r="BD188" s="342">
        <f>IFERROR(__xludf.DUMMYFUNCTION("""COMPUTED_VALUE"""),0.36)</f>
        <v>0.36</v>
      </c>
      <c r="BE188" s="342">
        <f>IFERROR(__xludf.DUMMYFUNCTION("""COMPUTED_VALUE"""),0.89)</f>
        <v>0.89</v>
      </c>
      <c r="BF188" s="296">
        <f>IFERROR(__xludf.DUMMYFUNCTION("""COMPUTED_VALUE"""),3.42)</f>
        <v>3.42</v>
      </c>
      <c r="BG188" s="296">
        <f>IFERROR(__xludf.DUMMYFUNCTION("""COMPUTED_VALUE"""),3.47)</f>
        <v>3.47</v>
      </c>
      <c r="BH188" s="296">
        <f>IFERROR(__xludf.DUMMYFUNCTION("""COMPUTED_VALUE"""),3.3266666666666667)</f>
        <v>3.326666667</v>
      </c>
      <c r="BI188" s="295">
        <f>IFERROR(__xludf.DUMMYFUNCTION("""COMPUTED_VALUE"""),160.0)</f>
        <v>160</v>
      </c>
      <c r="BJ188" s="292"/>
      <c r="BK188" s="346">
        <f>IFERROR(__xludf.DUMMYFUNCTION("""COMPUTED_VALUE"""),1998.0)</f>
        <v>1998</v>
      </c>
      <c r="BL188" s="292"/>
      <c r="BM188" s="292"/>
      <c r="BN188" s="292"/>
      <c r="BO188" s="292"/>
      <c r="BP188" s="292"/>
      <c r="BQ188" s="292" t="str">
        <f>IFERROR(__xludf.DUMMYFUNCTION("""COMPUTED_VALUE"""),"New")</f>
        <v>New</v>
      </c>
      <c r="BR188" s="292" t="b">
        <f>IFERROR(__xludf.DUMMYFUNCTION("""COMPUTED_VALUE"""),FALSE)</f>
        <v>0</v>
      </c>
      <c r="BS188" s="292" t="b">
        <f>IFERROR(__xludf.DUMMYFUNCTION("""COMPUTED_VALUE"""),FALSE)</f>
        <v>0</v>
      </c>
      <c r="BT188" s="292"/>
      <c r="BU188" s="292"/>
      <c r="BV188" s="292"/>
      <c r="BW188" s="292"/>
    </row>
    <row r="189">
      <c r="A189" s="292" t="str">
        <f>IFERROR(__xludf.DUMMYFUNCTION("""COMPUTED_VALUE"""),"FE0160C")</f>
        <v>FE0160C</v>
      </c>
      <c r="B189" s="292" t="str">
        <f>IFERROR(__xludf.DUMMYFUNCTION("""COMPUTED_VALUE"""),"CON-40-143670-4")</f>
        <v>CON-40-143670-4</v>
      </c>
      <c r="C189" s="292" t="str">
        <f>IFERROR(__xludf.DUMMYFUNCTION("""COMPUTED_VALUE"""),"CON-00-147823-2")</f>
        <v>CON-00-147823-2</v>
      </c>
      <c r="D189" s="292" t="str">
        <f>IFERROR(__xludf.DUMMYFUNCTION("""COMPUTED_VALUE"""),"CON-00-137164-3")</f>
        <v>CON-00-137164-3</v>
      </c>
      <c r="E189" s="292" t="str">
        <f>IFERROR(__xludf.DUMMYFUNCTION("""COMPUTED_VALUE"""),"Beef Shepherd's Pie")</f>
        <v>Beef Shepherd's Pie</v>
      </c>
      <c r="F189" s="292" t="str">
        <f>IFERROR(__xludf.DUMMYFUNCTION("""COMPUTED_VALUE"""),"with Cheddar Mashed Potatoes &amp; Roasted Green Beans")</f>
        <v>with Cheddar Mashed Potatoes &amp; Roasted Green Beans</v>
      </c>
      <c r="G189" s="292" t="str">
        <f>IFERROR(__xludf.DUMMYFUNCTION("""COMPUTED_VALUE"""),"Shepherd's Pie met rundvlees")</f>
        <v>Shepherd's Pie met rundvlees</v>
      </c>
      <c r="H189" s="292" t="str">
        <f>IFERROR(__xludf.DUMMYFUNCTION("""COMPUTED_VALUE"""),"met aardappelpuree, sperziebonen en cheddarkaas")</f>
        <v>met aardappelpuree, sperziebonen en cheddarkaas</v>
      </c>
      <c r="I189" s="292" t="str">
        <f>IFERROR(__xludf.DUMMYFUNCTION("""COMPUTED_VALUE"""),"Shepherd's Pie med oksekød ")</f>
        <v>Shepherd's Pie med oksekød </v>
      </c>
      <c r="J189" s="292" t="str">
        <f>IFERROR(__xludf.DUMMYFUNCTION("""COMPUTED_VALUE"""),"Shepherd’s Pie mit Rindfleisch")</f>
        <v>Shepherd’s Pie mit Rindfleisch</v>
      </c>
      <c r="K189" s="292">
        <f>IFERROR(__xludf.DUMMYFUNCTION("""COMPUTED_VALUE"""),565153.0)</f>
        <v>565153</v>
      </c>
      <c r="L189" s="292" t="str">
        <f>IFERROR(__xludf.DUMMYFUNCTION("""COMPUTED_VALUE"""),"HF Beef Shephards Pie")</f>
        <v>HF Beef Shephards Pie</v>
      </c>
      <c r="M189" s="292" t="str">
        <f>IFERROR(__xludf.DUMMYFUNCTION("""COMPUTED_VALUE"""),"FA-NL Hartige ovenschotel van puree en rundergehakt (FE0160)")</f>
        <v>FA-NL Hartige ovenschotel van puree en rundergehakt (FE0160)</v>
      </c>
      <c r="N189" s="292" t="str">
        <f>IFERROR(__xludf.DUMMYFUNCTION("""COMPUTED_VALUE"""),"FA-NO Kartoffelmos og oksekødsgryde (FE0160)")</f>
        <v>FA-NO Kartoffelmos og oksekødsgryde (FE0160)</v>
      </c>
      <c r="O189" s="292" t="str">
        <f>IFERROR(__xludf.DUMMYFUNCTION("""COMPUTED_VALUE"""),"FA-DE Herzhafter Kartoffel-Rindfleischauflauf (FE0160)")</f>
        <v>FA-DE Herzhafter Kartoffel-Rindfleischauflauf (FE0160)</v>
      </c>
      <c r="P189" s="292" t="str">
        <f>IFERROR(__xludf.DUMMYFUNCTION("""COMPUTED_VALUE"""),"Active")</f>
        <v>Active</v>
      </c>
      <c r="Q189" s="292" t="str">
        <f>IFERROR(__xludf.DUMMYFUNCTION("""COMPUTED_VALUE"""),"New meal")</f>
        <v>New meal</v>
      </c>
      <c r="R189" s="342">
        <f>IFERROR(__xludf.DUMMYFUNCTION("""COMPUTED_VALUE"""),3.41)</f>
        <v>3.41</v>
      </c>
      <c r="S189" s="292"/>
      <c r="T189" s="292"/>
      <c r="U189" s="292"/>
      <c r="V189" s="292"/>
      <c r="W189" s="292" t="b">
        <f>IFERROR(__xludf.DUMMYFUNCTION("""COMPUTED_VALUE"""),TRUE)</f>
        <v>1</v>
      </c>
      <c r="X189" s="345">
        <f>IFERROR(__xludf.DUMMYFUNCTION("""COMPUTED_VALUE"""),379.0)</f>
        <v>379</v>
      </c>
      <c r="Y189" s="344">
        <f>IFERROR(__xludf.DUMMYFUNCTION("""COMPUTED_VALUE"""),505.0)</f>
        <v>505</v>
      </c>
      <c r="Z189" s="343">
        <f>IFERROR(__xludf.DUMMYFUNCTION("""COMPUTED_VALUE"""),32.2)</f>
        <v>32.2</v>
      </c>
      <c r="AA189" s="344">
        <f>IFERROR(__xludf.DUMMYFUNCTION("""COMPUTED_VALUE"""),13.1)</f>
        <v>13.1</v>
      </c>
      <c r="AB189" s="344">
        <f>IFERROR(__xludf.DUMMYFUNCTION("""COMPUTED_VALUE"""),22.7)</f>
        <v>22.7</v>
      </c>
      <c r="AC189" s="344">
        <f>IFERROR(__xludf.DUMMYFUNCTION("""COMPUTED_VALUE"""),4.6)</f>
        <v>4.6</v>
      </c>
      <c r="AD189" s="344">
        <f>IFERROR(__xludf.DUMMYFUNCTION("""COMPUTED_VALUE"""),7.5)</f>
        <v>7.5</v>
      </c>
      <c r="AE189" s="343">
        <f>IFERROR(__xludf.DUMMYFUNCTION("""COMPUTED_VALUE"""),26.5)</f>
        <v>26.5</v>
      </c>
      <c r="AF189" s="343">
        <f>IFERROR(__xludf.DUMMYFUNCTION("""COMPUTED_VALUE"""),2.01)</f>
        <v>2.01</v>
      </c>
      <c r="AG189" s="292" t="b">
        <f>IFERROR(__xludf.DUMMYFUNCTION("""COMPUTED_VALUE"""),TRUE)</f>
        <v>1</v>
      </c>
      <c r="AH189" s="292" t="b">
        <f>IFERROR(__xludf.DUMMYFUNCTION("""COMPUTED_VALUE"""),FALSE)</f>
        <v>0</v>
      </c>
      <c r="AI189" s="292" t="b">
        <f>IFERROR(__xludf.DUMMYFUNCTION("""COMPUTED_VALUE"""),TRUE)</f>
        <v>1</v>
      </c>
      <c r="AJ189" s="292" t="b">
        <f>IFERROR(__xludf.DUMMYFUNCTION("""COMPUTED_VALUE"""),FALSE)</f>
        <v>0</v>
      </c>
      <c r="AK189" s="292" t="b">
        <f>IFERROR(__xludf.DUMMYFUNCTION("""COMPUTED_VALUE"""),FALSE)</f>
        <v>0</v>
      </c>
      <c r="AL189" s="292" t="b">
        <f>IFERROR(__xludf.DUMMYFUNCTION("""COMPUTED_VALUE"""),FALSE)</f>
        <v>0</v>
      </c>
      <c r="AM189" s="292" t="b">
        <f>IFERROR(__xludf.DUMMYFUNCTION("""COMPUTED_VALUE"""),FALSE)</f>
        <v>0</v>
      </c>
      <c r="AN189" s="292" t="b">
        <f>IFERROR(__xludf.DUMMYFUNCTION("""COMPUTED_VALUE"""),FALSE)</f>
        <v>0</v>
      </c>
      <c r="AO189" s="292" t="str">
        <f>IFERROR(__xludf.DUMMYFUNCTION("""COMPUTED_VALUE"""),"FALSE")</f>
        <v>FALSE</v>
      </c>
      <c r="AP189" s="292" t="str">
        <f>IFERROR(__xludf.DUMMYFUNCTION("""COMPUTED_VALUE"""),"Ground beef")</f>
        <v>Ground beef</v>
      </c>
      <c r="AQ189" s="292" t="str">
        <f>IFERROR(__xludf.DUMMYFUNCTION("""COMPUTED_VALUE"""),"Beef")</f>
        <v>Beef</v>
      </c>
      <c r="AR189" s="292" t="str">
        <f>IFERROR(__xludf.DUMMYFUNCTION("""COMPUTED_VALUE"""),"Ground")</f>
        <v>Ground</v>
      </c>
      <c r="AS189" s="292" t="str">
        <f>IFERROR(__xludf.DUMMYFUNCTION("""COMPUTED_VALUE"""),"Potato Mash")</f>
        <v>Potato Mash</v>
      </c>
      <c r="AT189" s="292" t="str">
        <f>IFERROR(__xludf.DUMMYFUNCTION("""COMPUTED_VALUE"""),"Green Beans")</f>
        <v>Green Beans</v>
      </c>
      <c r="AU189" s="292" t="str">
        <f>IFERROR(__xludf.DUMMYFUNCTION("""COMPUTED_VALUE"""),"Tomato Based Sauce")</f>
        <v>Tomato Based Sauce</v>
      </c>
      <c r="AV189" s="292" t="str">
        <f>IFERROR(__xludf.DUMMYFUNCTION("""COMPUTED_VALUE"""),"Cheese")</f>
        <v>Cheese</v>
      </c>
      <c r="AW189" s="292" t="str">
        <f>IFERROR(__xludf.DUMMYFUNCTION("""COMPUTED_VALUE"""),"Year Round")</f>
        <v>Year Round</v>
      </c>
      <c r="AX189" s="292" t="str">
        <f>IFERROR(__xludf.DUMMYFUNCTION("""COMPUTED_VALUE"""),"British")</f>
        <v>British</v>
      </c>
      <c r="AY189" s="292"/>
      <c r="AZ189" s="292" t="str">
        <f>IFERROR(__xludf.DUMMYFUNCTION("""COMPUTED_VALUE"""),"2 CT")</f>
        <v>2 CT</v>
      </c>
      <c r="BA189" s="292" t="b">
        <f>IFERROR(__xludf.DUMMYFUNCTION("""COMPUTED_VALUE"""),FALSE)</f>
        <v>0</v>
      </c>
      <c r="BB189" s="342">
        <f>IFERROR(__xludf.DUMMYFUNCTION("""COMPUTED_VALUE"""),1.83)</f>
        <v>1.83</v>
      </c>
      <c r="BC189" s="342">
        <f>IFERROR(__xludf.DUMMYFUNCTION("""COMPUTED_VALUE"""),1.18)</f>
        <v>1.18</v>
      </c>
      <c r="BD189" s="342">
        <f>IFERROR(__xludf.DUMMYFUNCTION("""COMPUTED_VALUE"""),0.41)</f>
        <v>0.41</v>
      </c>
      <c r="BE189" s="342">
        <f>IFERROR(__xludf.DUMMYFUNCTION("""COMPUTED_VALUE"""),0.89)</f>
        <v>0.89</v>
      </c>
      <c r="BF189" s="296">
        <f>IFERROR(__xludf.DUMMYFUNCTION("""COMPUTED_VALUE"""),3.5399999999999996)</f>
        <v>3.54</v>
      </c>
      <c r="BG189" s="296">
        <f>IFERROR(__xludf.DUMMYFUNCTION("""COMPUTED_VALUE"""),3.5366666666666666)</f>
        <v>3.536666667</v>
      </c>
      <c r="BH189" s="296">
        <f>IFERROR(__xludf.DUMMYFUNCTION("""COMPUTED_VALUE"""),3.4466666666666668)</f>
        <v>3.446666667</v>
      </c>
      <c r="BI189" s="295">
        <f>IFERROR(__xludf.DUMMYFUNCTION("""COMPUTED_VALUE"""),131.0)</f>
        <v>131</v>
      </c>
      <c r="BJ189" s="292"/>
      <c r="BK189" s="346">
        <f>IFERROR(__xludf.DUMMYFUNCTION("""COMPUTED_VALUE"""),2115.0)</f>
        <v>2115</v>
      </c>
      <c r="BL189" s="292"/>
      <c r="BM189" s="292"/>
      <c r="BN189" s="292"/>
      <c r="BO189" s="292"/>
      <c r="BP189" s="292"/>
      <c r="BQ189" s="292" t="str">
        <f>IFERROR(__xludf.DUMMYFUNCTION("""COMPUTED_VALUE"""),"Proven")</f>
        <v>Proven</v>
      </c>
      <c r="BR189" s="292" t="b">
        <f>IFERROR(__xludf.DUMMYFUNCTION("""COMPUTED_VALUE"""),FALSE)</f>
        <v>0</v>
      </c>
      <c r="BS189" s="292" t="b">
        <f>IFERROR(__xludf.DUMMYFUNCTION("""COMPUTED_VALUE"""),FALSE)</f>
        <v>0</v>
      </c>
      <c r="BT189" s="292"/>
      <c r="BU189" s="292"/>
      <c r="BV189" s="292"/>
      <c r="BW189" s="292"/>
    </row>
    <row r="190">
      <c r="A190" s="292" t="str">
        <f>IFERROR(__xludf.DUMMYFUNCTION("""COMPUTED_VALUE"""),"FE0131D")</f>
        <v>FE0131D</v>
      </c>
      <c r="B190" s="292" t="str">
        <f>IFERROR(__xludf.DUMMYFUNCTION("""COMPUTED_VALUE"""),"CON-40-143757-4")</f>
        <v>CON-40-143757-4</v>
      </c>
      <c r="C190" s="292" t="str">
        <f>IFERROR(__xludf.DUMMYFUNCTION("""COMPUTED_VALUE"""),"CON-00-147822-2")</f>
        <v>CON-00-147822-2</v>
      </c>
      <c r="D190" s="292" t="str">
        <f>IFERROR(__xludf.DUMMYFUNCTION("""COMPUTED_VALUE"""),"CON-00-136625-3")</f>
        <v>CON-00-136625-3</v>
      </c>
      <c r="E190" s="292" t="str">
        <f>IFERROR(__xludf.DUMMYFUNCTION("""COMPUTED_VALUE"""),"Black bean bowl and enchilada sauce")</f>
        <v>Black bean bowl and enchilada sauce</v>
      </c>
      <c r="F190" s="292" t="str">
        <f>IFERROR(__xludf.DUMMYFUNCTION("""COMPUTED_VALUE"""),"with rice, grilled zucchini, corn and salsa verde")</f>
        <v>with rice, grilled zucchini, corn and salsa verde</v>
      </c>
      <c r="G190" s="292" t="str">
        <f>IFERROR(__xludf.DUMMYFUNCTION("""COMPUTED_VALUE"""),"Zwarte bonenbowl en enchiladasaus")</f>
        <v>Zwarte bonenbowl en enchiladasaus</v>
      </c>
      <c r="H190" s="292" t="str">
        <f>IFERROR(__xludf.DUMMYFUNCTION("""COMPUTED_VALUE"""),"met rijst, gegrilde courgette, maïs en salsa verde")</f>
        <v>met rijst, gegrilde courgette, maïs en salsa verde</v>
      </c>
      <c r="I190" s="292" t="str">
        <f>IFERROR(__xludf.DUMMYFUNCTION("""COMPUTED_VALUE"""),"Bowl med sorte bønner og enchiladasauce")</f>
        <v>Bowl med sorte bønner og enchiladasauce</v>
      </c>
      <c r="J190" s="292" t="str">
        <f>IFERROR(__xludf.DUMMYFUNCTION("""COMPUTED_VALUE"""),"Black-Bean-Bowl mit Enchilada-Soße")</f>
        <v>Black-Bean-Bowl mit Enchilada-Soße</v>
      </c>
      <c r="K190" s="292">
        <f>IFERROR(__xludf.DUMMYFUNCTION("""COMPUTED_VALUE"""),565044.0)</f>
        <v>565044</v>
      </c>
      <c r="L190" s="292" t="str">
        <f>IFERROR(__xludf.DUMMYFUNCTION("""COMPUTED_VALUE"""),"HF Zwarte bonenbowl+ench.s")</f>
        <v>HF Zwarte bonenbowl+ench.s</v>
      </c>
      <c r="M190" s="292" t="str">
        <f>IFERROR(__xludf.DUMMYFUNCTION("""COMPUTED_VALUE"""),"FA-NL Zwarte bonenbowl en enchiladasaus (FE0131)")</f>
        <v>FA-NL Zwarte bonenbowl en enchiladasaus (FE0131)</v>
      </c>
      <c r="N190" s="292" t="str">
        <f>IFERROR(__xludf.DUMMYFUNCTION("""COMPUTED_VALUE"""),"FA-NO Mexikansk-inspireret bønnebowl (FE0131)")</f>
        <v>FA-NO Mexikansk-inspireret bønnebowl (FE0131)</v>
      </c>
      <c r="O190" s="292" t="str">
        <f>IFERROR(__xludf.DUMMYFUNCTION("""COMPUTED_VALUE"""),"FA-DE Black Bean Bowl – mit Enchiladasauce (FE0131)")</f>
        <v>FA-DE Black Bean Bowl – mit Enchiladasauce (FE0131)</v>
      </c>
      <c r="P190" s="292" t="str">
        <f>IFERROR(__xludf.DUMMYFUNCTION("""COMPUTED_VALUE"""),"Active")</f>
        <v>Active</v>
      </c>
      <c r="Q190" s="292" t="str">
        <f>IFERROR(__xludf.DUMMYFUNCTION("""COMPUTED_VALUE"""),"Updated spec, the old version is still active for a week and must be graveyarded from w45")</f>
        <v>Updated spec, the old version is still active for a week and must be graveyarded from w45</v>
      </c>
      <c r="R190" s="342">
        <f>IFERROR(__xludf.DUMMYFUNCTION("""COMPUTED_VALUE"""),4.17)</f>
        <v>4.17</v>
      </c>
      <c r="S190" s="292"/>
      <c r="T190" s="292"/>
      <c r="U190" s="292"/>
      <c r="V190" s="292"/>
      <c r="W190" s="292" t="b">
        <f>IFERROR(__xludf.DUMMYFUNCTION("""COMPUTED_VALUE"""),TRUE)</f>
        <v>1</v>
      </c>
      <c r="X190" s="345">
        <f>IFERROR(__xludf.DUMMYFUNCTION("""COMPUTED_VALUE"""),400.0)</f>
        <v>400</v>
      </c>
      <c r="Y190" s="344">
        <f>IFERROR(__xludf.DUMMYFUNCTION("""COMPUTED_VALUE"""),510.0)</f>
        <v>510</v>
      </c>
      <c r="Z190" s="343">
        <f>IFERROR(__xludf.DUMMYFUNCTION("""COMPUTED_VALUE"""),20.4)</f>
        <v>20.4</v>
      </c>
      <c r="AA190" s="344">
        <f>IFERROR(__xludf.DUMMYFUNCTION("""COMPUTED_VALUE"""),6.5)</f>
        <v>6.5</v>
      </c>
      <c r="AB190" s="344">
        <f>IFERROR(__xludf.DUMMYFUNCTION("""COMPUTED_VALUE"""),60.4)</f>
        <v>60.4</v>
      </c>
      <c r="AC190" s="344">
        <f>IFERROR(__xludf.DUMMYFUNCTION("""COMPUTED_VALUE"""),14.9)</f>
        <v>14.9</v>
      </c>
      <c r="AD190" s="344">
        <f>IFERROR(__xludf.DUMMYFUNCTION("""COMPUTED_VALUE"""),13.8)</f>
        <v>13.8</v>
      </c>
      <c r="AE190" s="343">
        <f>IFERROR(__xludf.DUMMYFUNCTION("""COMPUTED_VALUE"""),18.3)</f>
        <v>18.3</v>
      </c>
      <c r="AF190" s="343">
        <f>IFERROR(__xludf.DUMMYFUNCTION("""COMPUTED_VALUE"""),1.99)</f>
        <v>1.99</v>
      </c>
      <c r="AG190" s="292" t="b">
        <f>IFERROR(__xludf.DUMMYFUNCTION("""COMPUTED_VALUE"""),TRUE)</f>
        <v>1</v>
      </c>
      <c r="AH190" s="292" t="b">
        <f>IFERROR(__xludf.DUMMYFUNCTION("""COMPUTED_VALUE"""),FALSE)</f>
        <v>0</v>
      </c>
      <c r="AI190" s="292" t="b">
        <f>IFERROR(__xludf.DUMMYFUNCTION("""COMPUTED_VALUE"""),FALSE)</f>
        <v>0</v>
      </c>
      <c r="AJ190" s="292" t="b">
        <f>IFERROR(__xludf.DUMMYFUNCTION("""COMPUTED_VALUE"""),FALSE)</f>
        <v>0</v>
      </c>
      <c r="AK190" s="292" t="b">
        <f>IFERROR(__xludf.DUMMYFUNCTION("""COMPUTED_VALUE"""),TRUE)</f>
        <v>1</v>
      </c>
      <c r="AL190" s="292" t="b">
        <f>IFERROR(__xludf.DUMMYFUNCTION("""COMPUTED_VALUE"""),FALSE)</f>
        <v>0</v>
      </c>
      <c r="AM190" s="292" t="b">
        <f>IFERROR(__xludf.DUMMYFUNCTION("""COMPUTED_VALUE"""),FALSE)</f>
        <v>0</v>
      </c>
      <c r="AN190" s="292" t="b">
        <f>IFERROR(__xludf.DUMMYFUNCTION("""COMPUTED_VALUE"""),FALSE)</f>
        <v>0</v>
      </c>
      <c r="AO190" s="292" t="str">
        <f>IFERROR(__xludf.DUMMYFUNCTION("""COMPUTED_VALUE"""),"TRUE")</f>
        <v>TRUE</v>
      </c>
      <c r="AP190" s="292" t="str">
        <f>IFERROR(__xludf.DUMMYFUNCTION("""COMPUTED_VALUE"""),"Vegetarian")</f>
        <v>Vegetarian</v>
      </c>
      <c r="AQ190" s="292" t="str">
        <f>IFERROR(__xludf.DUMMYFUNCTION("""COMPUTED_VALUE"""),"Vegetarian")</f>
        <v>Vegetarian</v>
      </c>
      <c r="AR190" s="292" t="str">
        <f>IFERROR(__xludf.DUMMYFUNCTION("""COMPUTED_VALUE"""),"Legumes")</f>
        <v>Legumes</v>
      </c>
      <c r="AS190" s="292" t="str">
        <f>IFERROR(__xludf.DUMMYFUNCTION("""COMPUTED_VALUE"""),"Rice")</f>
        <v>Rice</v>
      </c>
      <c r="AT190" s="292" t="str">
        <f>IFERROR(__xludf.DUMMYFUNCTION("""COMPUTED_VALUE"""),"Black Beans")</f>
        <v>Black Beans</v>
      </c>
      <c r="AU190" s="292" t="str">
        <f>IFERROR(__xludf.DUMMYFUNCTION("""COMPUTED_VALUE"""),"Corn Kernels")</f>
        <v>Corn Kernels</v>
      </c>
      <c r="AV190" s="292" t="str">
        <f>IFERROR(__xludf.DUMMYFUNCTION("""COMPUTED_VALUE"""),"Zucchini Diced")</f>
        <v>Zucchini Diced</v>
      </c>
      <c r="AW190" s="292" t="str">
        <f>IFERROR(__xludf.DUMMYFUNCTION("""COMPUTED_VALUE"""),"Year Round")</f>
        <v>Year Round</v>
      </c>
      <c r="AX190" s="292" t="str">
        <f>IFERROR(__xludf.DUMMYFUNCTION("""COMPUTED_VALUE"""),"Mexican")</f>
        <v>Mexican</v>
      </c>
      <c r="AY190" s="292"/>
      <c r="AZ190" s="292" t="str">
        <f>IFERROR(__xludf.DUMMYFUNCTION("""COMPUTED_VALUE"""),"2 CT")</f>
        <v>2 CT</v>
      </c>
      <c r="BA190" s="292" t="b">
        <f>IFERROR(__xludf.DUMMYFUNCTION("""COMPUTED_VALUE"""),TRUE)</f>
        <v>1</v>
      </c>
      <c r="BB190" s="342">
        <f>IFERROR(__xludf.DUMMYFUNCTION("""COMPUTED_VALUE"""),1.88)</f>
        <v>1.88</v>
      </c>
      <c r="BC190" s="342">
        <f>IFERROR(__xludf.DUMMYFUNCTION("""COMPUTED_VALUE"""),1.01)</f>
        <v>1.01</v>
      </c>
      <c r="BD190" s="342">
        <f>IFERROR(__xludf.DUMMYFUNCTION("""COMPUTED_VALUE"""),0.39)</f>
        <v>0.39</v>
      </c>
      <c r="BE190" s="342">
        <f>IFERROR(__xludf.DUMMYFUNCTION("""COMPUTED_VALUE"""),0.89)</f>
        <v>0.89</v>
      </c>
      <c r="BF190" s="296" t="str">
        <f>IFERROR(__xludf.DUMMYFUNCTION("""COMPUTED_VALUE"""),"#REF!")</f>
        <v>#REF!</v>
      </c>
      <c r="BG190" s="296" t="str">
        <f>IFERROR(__xludf.DUMMYFUNCTION("""COMPUTED_VALUE"""),"#REF!")</f>
        <v>#REF!</v>
      </c>
      <c r="BH190" s="296" t="str">
        <f>IFERROR(__xludf.DUMMYFUNCTION("""COMPUTED_VALUE"""),"#REF!")</f>
        <v>#REF!</v>
      </c>
      <c r="BI190" s="295">
        <f>IFERROR(__xludf.DUMMYFUNCTION("""COMPUTED_VALUE"""),182.0)</f>
        <v>182</v>
      </c>
      <c r="BJ190" s="292"/>
      <c r="BK190" s="346">
        <f>IFERROR(__xludf.DUMMYFUNCTION("""COMPUTED_VALUE"""),2136.0)</f>
        <v>2136</v>
      </c>
      <c r="BL190" s="292"/>
      <c r="BM190" s="292"/>
      <c r="BN190" s="292"/>
      <c r="BO190" s="292"/>
      <c r="BP190" s="292"/>
      <c r="BQ190" s="292" t="str">
        <f>IFERROR(__xludf.DUMMYFUNCTION("""COMPUTED_VALUE"""),"Hospital")</f>
        <v>Hospital</v>
      </c>
      <c r="BR190" s="292" t="b">
        <f>IFERROR(__xludf.DUMMYFUNCTION("""COMPUTED_VALUE"""),FALSE)</f>
        <v>0</v>
      </c>
      <c r="BS190" s="292" t="b">
        <f>IFERROR(__xludf.DUMMYFUNCTION("""COMPUTED_VALUE"""),FALSE)</f>
        <v>0</v>
      </c>
      <c r="BT190" s="292"/>
      <c r="BU190" s="292"/>
      <c r="BV190" s="292"/>
      <c r="BW190" s="292"/>
    </row>
    <row r="191">
      <c r="A191" s="292" t="str">
        <f>IFERROR(__xludf.DUMMYFUNCTION("""COMPUTED_VALUE"""),"FE1320C")</f>
        <v>FE1320C</v>
      </c>
      <c r="B191" s="292" t="str">
        <f>IFERROR(__xludf.DUMMYFUNCTION("""COMPUTED_VALUE"""),"CON-40-151277-4")</f>
        <v>CON-40-151277-4</v>
      </c>
      <c r="C191" s="292" t="str">
        <f>IFERROR(__xludf.DUMMYFUNCTION("""COMPUTED_VALUE"""),"CON-00-151279-2")</f>
        <v>CON-00-151279-2</v>
      </c>
      <c r="D191" s="292" t="str">
        <f>IFERROR(__xludf.DUMMYFUNCTION("""COMPUTED_VALUE"""),"CON-00-151278-2")</f>
        <v>CON-00-151278-2</v>
      </c>
      <c r="E191" s="292" t="str">
        <f>IFERROR(__xludf.DUMMYFUNCTION("""COMPUTED_VALUE"""),"Ají Verde Salmon")</f>
        <v>Ají Verde Salmon</v>
      </c>
      <c r="F191" s="292" t="str">
        <f>IFERROR(__xludf.DUMMYFUNCTION("""COMPUTED_VALUE"""),"with bell pepper quinoa, zucchini &amp; corn")</f>
        <v>with bell pepper quinoa, zucchini &amp; corn</v>
      </c>
      <c r="G191" s="292" t="str">
        <f>IFERROR(__xludf.DUMMYFUNCTION("""COMPUTED_VALUE"""),"Zalm met Aji Verde-saus")</f>
        <v>Zalm met Aji Verde-saus</v>
      </c>
      <c r="H191" s="292" t="str">
        <f>IFERROR(__xludf.DUMMYFUNCTION("""COMPUTED_VALUE"""),"met quinoa, rode paprika, courgette &amp; mais")</f>
        <v>met quinoa, rode paprika, courgette &amp; mais</v>
      </c>
      <c r="I191" s="292" t="str">
        <f>IFERROR(__xludf.DUMMYFUNCTION("""COMPUTED_VALUE"""),"Laks med aji verde")</f>
        <v>Laks med aji verde</v>
      </c>
      <c r="J191" s="292" t="str">
        <f>IFERROR(__xludf.DUMMYFUNCTION("""COMPUTED_VALUE"""),"Ají Verde Lachs")</f>
        <v>Ají Verde Lachs</v>
      </c>
      <c r="K191" s="292">
        <f>IFERROR(__xludf.DUMMYFUNCTION("""COMPUTED_VALUE"""),565196.0)</f>
        <v>565196</v>
      </c>
      <c r="L191" s="292" t="str">
        <f>IFERROR(__xludf.DUMMYFUNCTION("""COMPUTED_VALUE"""),"HF Aji verde zalm")</f>
        <v>HF Aji verde zalm</v>
      </c>
      <c r="M191" s="292" t="str">
        <f>IFERROR(__xludf.DUMMYFUNCTION("""COMPUTED_VALUE"""),"FA-NL Zam met Aji Verde-saus (FE1320)")</f>
        <v>FA-NL Zam met Aji Verde-saus (FE1320)</v>
      </c>
      <c r="N191" s="292" t="str">
        <f>IFERROR(__xludf.DUMMYFUNCTION("""COMPUTED_VALUE"""),"FA-NO Laks med aji verde (FE1320)")</f>
        <v>FA-NO Laks med aji verde (FE1320)</v>
      </c>
      <c r="O191" s="292" t="str">
        <f>IFERROR(__xludf.DUMMYFUNCTION("""COMPUTED_VALUE"""),"FA-DE Ají Verde Lachs (FE1320)")</f>
        <v>FA-DE Ají Verde Lachs (FE1320)</v>
      </c>
      <c r="P191" s="292" t="str">
        <f>IFERROR(__xludf.DUMMYFUNCTION("""COMPUTED_VALUE"""),"Active")</f>
        <v>Active</v>
      </c>
      <c r="Q191" s="292" t="str">
        <f>IFERROR(__xludf.DUMMYFUNCTION("""COMPUTED_VALUE"""),"New meal")</f>
        <v>New meal</v>
      </c>
      <c r="R191" s="342">
        <f>IFERROR(__xludf.DUMMYFUNCTION("""COMPUTED_VALUE"""),6.4)</f>
        <v>6.4</v>
      </c>
      <c r="S191" s="292"/>
      <c r="T191" s="292"/>
      <c r="U191" s="292"/>
      <c r="V191" s="292"/>
      <c r="W191" s="292" t="b">
        <f>IFERROR(__xludf.DUMMYFUNCTION("""COMPUTED_VALUE"""),TRUE)</f>
        <v>1</v>
      </c>
      <c r="X191" s="345">
        <f>IFERROR(__xludf.DUMMYFUNCTION("""COMPUTED_VALUE"""),394.0)</f>
        <v>394</v>
      </c>
      <c r="Y191" s="344">
        <f>IFERROR(__xludf.DUMMYFUNCTION("""COMPUTED_VALUE"""),586.0)</f>
        <v>586</v>
      </c>
      <c r="Z191" s="343">
        <f>IFERROR(__xludf.DUMMYFUNCTION("""COMPUTED_VALUE"""),35.4)</f>
        <v>35.4</v>
      </c>
      <c r="AA191" s="344">
        <f>IFERROR(__xludf.DUMMYFUNCTION("""COMPUTED_VALUE"""),6.9)</f>
        <v>6.9</v>
      </c>
      <c r="AB191" s="344">
        <f>IFERROR(__xludf.DUMMYFUNCTION("""COMPUTED_VALUE"""),27.5)</f>
        <v>27.5</v>
      </c>
      <c r="AC191" s="344">
        <f>IFERROR(__xludf.DUMMYFUNCTION("""COMPUTED_VALUE"""),10.1)</f>
        <v>10.1</v>
      </c>
      <c r="AD191" s="344">
        <f>IFERROR(__xludf.DUMMYFUNCTION("""COMPUTED_VALUE"""),7.1)</f>
        <v>7.1</v>
      </c>
      <c r="AE191" s="343">
        <f>IFERROR(__xludf.DUMMYFUNCTION("""COMPUTED_VALUE"""),33.6)</f>
        <v>33.6</v>
      </c>
      <c r="AF191" s="343">
        <f>IFERROR(__xludf.DUMMYFUNCTION("""COMPUTED_VALUE"""),2.01)</f>
        <v>2.01</v>
      </c>
      <c r="AG191" s="292" t="b">
        <f>IFERROR(__xludf.DUMMYFUNCTION("""COMPUTED_VALUE"""),TRUE)</f>
        <v>1</v>
      </c>
      <c r="AH191" s="292" t="b">
        <f>IFERROR(__xludf.DUMMYFUNCTION("""COMPUTED_VALUE"""),FALSE)</f>
        <v>0</v>
      </c>
      <c r="AI191" s="292" t="b">
        <f>IFERROR(__xludf.DUMMYFUNCTION("""COMPUTED_VALUE"""),FALSE)</f>
        <v>0</v>
      </c>
      <c r="AJ191" s="292" t="b">
        <f>IFERROR(__xludf.DUMMYFUNCTION("""COMPUTED_VALUE"""),FALSE)</f>
        <v>0</v>
      </c>
      <c r="AK191" s="292" t="b">
        <f>IFERROR(__xludf.DUMMYFUNCTION("""COMPUTED_VALUE"""),FALSE)</f>
        <v>0</v>
      </c>
      <c r="AL191" s="292" t="b">
        <f>IFERROR(__xludf.DUMMYFUNCTION("""COMPUTED_VALUE"""),FALSE)</f>
        <v>0</v>
      </c>
      <c r="AM191" s="292" t="b">
        <f>IFERROR(__xludf.DUMMYFUNCTION("""COMPUTED_VALUE"""),TRUE)</f>
        <v>1</v>
      </c>
      <c r="AN191" s="292" t="b">
        <f>IFERROR(__xludf.DUMMYFUNCTION("""COMPUTED_VALUE"""),FALSE)</f>
        <v>0</v>
      </c>
      <c r="AO191" s="292" t="str">
        <f>IFERROR(__xludf.DUMMYFUNCTION("""COMPUTED_VALUE"""),"FALSE")</f>
        <v>FALSE</v>
      </c>
      <c r="AP191" s="292" t="str">
        <f>IFERROR(__xludf.DUMMYFUNCTION("""COMPUTED_VALUE"""),"Salmon")</f>
        <v>Salmon</v>
      </c>
      <c r="AQ191" s="292" t="str">
        <f>IFERROR(__xludf.DUMMYFUNCTION("""COMPUTED_VALUE"""),"Salmon")</f>
        <v>Salmon</v>
      </c>
      <c r="AR191" s="292" t="str">
        <f>IFERROR(__xludf.DUMMYFUNCTION("""COMPUTED_VALUE"""),"Filet")</f>
        <v>Filet</v>
      </c>
      <c r="AS191" s="292" t="str">
        <f>IFERROR(__xludf.DUMMYFUNCTION("""COMPUTED_VALUE"""),"Quinoa")</f>
        <v>Quinoa</v>
      </c>
      <c r="AT191" s="292" t="str">
        <f>IFERROR(__xludf.DUMMYFUNCTION("""COMPUTED_VALUE"""),"Pepper Mix")</f>
        <v>Pepper Mix</v>
      </c>
      <c r="AU191" s="292" t="str">
        <f>IFERROR(__xludf.DUMMYFUNCTION("""COMPUTED_VALUE"""),"Zucchini Diced")</f>
        <v>Zucchini Diced</v>
      </c>
      <c r="AV191" s="292" t="str">
        <f>IFERROR(__xludf.DUMMYFUNCTION("""COMPUTED_VALUE"""),"Corn Kernels")</f>
        <v>Corn Kernels</v>
      </c>
      <c r="AW191" s="292" t="str">
        <f>IFERROR(__xludf.DUMMYFUNCTION("""COMPUTED_VALUE"""),"Year Round")</f>
        <v>Year Round</v>
      </c>
      <c r="AX191" s="292" t="str">
        <f>IFERROR(__xludf.DUMMYFUNCTION("""COMPUTED_VALUE"""),"Peruvian")</f>
        <v>Peruvian</v>
      </c>
      <c r="AY191" s="292"/>
      <c r="AZ191" s="292" t="str">
        <f>IFERROR(__xludf.DUMMYFUNCTION("""COMPUTED_VALUE"""),"2 CT")</f>
        <v>2 CT</v>
      </c>
      <c r="BA191" s="292" t="b">
        <f>IFERROR(__xludf.DUMMYFUNCTION("""COMPUTED_VALUE"""),TRUE)</f>
        <v>1</v>
      </c>
      <c r="BB191" s="342">
        <f>IFERROR(__xludf.DUMMYFUNCTION("""COMPUTED_VALUE"""),4.5)</f>
        <v>4.5</v>
      </c>
      <c r="BC191" s="348">
        <f>IFERROR(__xludf.DUMMYFUNCTION("""COMPUTED_VALUE"""),1.47)</f>
        <v>1.47</v>
      </c>
      <c r="BD191" s="348">
        <f>IFERROR(__xludf.DUMMYFUNCTION("""COMPUTED_VALUE"""),0.44)</f>
        <v>0.44</v>
      </c>
      <c r="BE191" s="348">
        <f>IFERROR(__xludf.DUMMYFUNCTION("""COMPUTED_VALUE"""),0.89)</f>
        <v>0.89</v>
      </c>
      <c r="BF191" s="296">
        <f>IFERROR(__xludf.DUMMYFUNCTION("""COMPUTED_VALUE"""),3.1336)</f>
        <v>3.1336</v>
      </c>
      <c r="BG191" s="296">
        <f>IFERROR(__xludf.DUMMYFUNCTION("""COMPUTED_VALUE"""),3.4761812921890067)</f>
        <v>3.476181292</v>
      </c>
      <c r="BH191" s="296">
        <f>IFERROR(__xludf.DUMMYFUNCTION("""COMPUTED_VALUE"""),3.3257142857142856)</f>
        <v>3.325714286</v>
      </c>
      <c r="BI191" s="295">
        <f>IFERROR(__xludf.DUMMYFUNCTION("""COMPUTED_VALUE"""),183.0)</f>
        <v>183</v>
      </c>
      <c r="BJ191" s="292"/>
      <c r="BK191" s="346">
        <f>IFERROR(__xludf.DUMMYFUNCTION("""COMPUTED_VALUE"""),2445.0)</f>
        <v>2445</v>
      </c>
      <c r="BL191" s="292"/>
      <c r="BM191" s="292"/>
      <c r="BN191" s="292"/>
      <c r="BO191" s="292"/>
      <c r="BP191" s="292"/>
      <c r="BQ191" s="292" t="str">
        <f>IFERROR(__xludf.DUMMYFUNCTION("""COMPUTED_VALUE"""),"New")</f>
        <v>New</v>
      </c>
      <c r="BR191" s="292" t="b">
        <f>IFERROR(__xludf.DUMMYFUNCTION("""COMPUTED_VALUE"""),FALSE)</f>
        <v>0</v>
      </c>
      <c r="BS191" s="292" t="b">
        <f>IFERROR(__xludf.DUMMYFUNCTION("""COMPUTED_VALUE"""),FALSE)</f>
        <v>0</v>
      </c>
      <c r="BT191" s="292"/>
      <c r="BU191" s="292"/>
      <c r="BV191" s="292"/>
      <c r="BW191" s="292"/>
    </row>
    <row r="192">
      <c r="A192" s="292" t="str">
        <f>IFERROR(__xludf.DUMMYFUNCTION("""COMPUTED_VALUE"""),"FE1351C")</f>
        <v>FE1351C</v>
      </c>
      <c r="B192" s="292" t="str">
        <f>IFERROR(__xludf.DUMMYFUNCTION("""COMPUTED_VALUE"""),"CON-40-151282-4")</f>
        <v>CON-40-151282-4</v>
      </c>
      <c r="C192" s="292" t="str">
        <f>IFERROR(__xludf.DUMMYFUNCTION("""COMPUTED_VALUE"""),"CON-00-151280-2")</f>
        <v>CON-00-151280-2</v>
      </c>
      <c r="D192" s="292" t="str">
        <f>IFERROR(__xludf.DUMMYFUNCTION("""COMPUTED_VALUE"""),"CON-00-151281-2")</f>
        <v>CON-00-151281-2</v>
      </c>
      <c r="E192" s="292" t="str">
        <f>IFERROR(__xludf.DUMMYFUNCTION("""COMPUTED_VALUE"""),"Cheddar &amp; Red Pepper Chicken Thigh Pasta")</f>
        <v>Cheddar &amp; Red Pepper Chicken Thigh Pasta</v>
      </c>
      <c r="F192" s="292" t="str">
        <f>IFERROR(__xludf.DUMMYFUNCTION("""COMPUTED_VALUE"""),"with onions &amp; mexican-style zucchini")</f>
        <v>with onions &amp; mexican-style zucchini</v>
      </c>
      <c r="G192" s="292" t="str">
        <f>IFERROR(__xludf.DUMMYFUNCTION("""COMPUTED_VALUE"""),"Pasta met kippendij, cheddar &amp; rode paprika")</f>
        <v>Pasta met kippendij, cheddar &amp; rode paprika</v>
      </c>
      <c r="H192" s="292" t="str">
        <f>IFERROR(__xludf.DUMMYFUNCTION("""COMPUTED_VALUE"""),"met ui &amp; courgette in Mexicaanse stijl")</f>
        <v>met ui &amp; courgette in Mexicaanse stijl</v>
      </c>
      <c r="I192" s="292" t="str">
        <f>IFERROR(__xludf.DUMMYFUNCTION("""COMPUTED_VALUE"""),"Pulled chicken med pasta, cheddar og rød peberfrugt")</f>
        <v>Pulled chicken med pasta, cheddar og rød peberfrugt</v>
      </c>
      <c r="J192" s="292" t="str">
        <f>IFERROR(__xludf.DUMMYFUNCTION("""COMPUTED_VALUE"""),"Pasta mit Hähnchen, Cheddar und roter Paprika")</f>
        <v>Pasta mit Hähnchen, Cheddar und roter Paprika</v>
      </c>
      <c r="K192" s="292">
        <f>IFERROR(__xludf.DUMMYFUNCTION("""COMPUTED_VALUE"""),565185.0)</f>
        <v>565185</v>
      </c>
      <c r="L192" s="292" t="str">
        <f>IFERROR(__xludf.DUMMYFUNCTION("""COMPUTED_VALUE"""),"HF Pasta paprika cheddar saus")</f>
        <v>HF Pasta paprika cheddar saus</v>
      </c>
      <c r="M192" s="292" t="str">
        <f>IFERROR(__xludf.DUMMYFUNCTION("""COMPUTED_VALUE"""),"FA-NL Pasta met kippendij, cheddar &amp; rode paprika (FE1351)")</f>
        <v>FA-NL Pasta met kippendij, cheddar &amp; rode paprika (FE1351)</v>
      </c>
      <c r="N192" s="292" t="str">
        <f>IFERROR(__xludf.DUMMYFUNCTION("""COMPUTED_VALUE"""),"FA-NO Pulled chicken med pasta, cheddar og rød peberfrugt (FE1351)")</f>
        <v>FA-NO Pulled chicken med pasta, cheddar og rød peberfrugt (FE1351)</v>
      </c>
      <c r="O192" s="292" t="str">
        <f>IFERROR(__xludf.DUMMYFUNCTION("""COMPUTED_VALUE"""),"FA-DE Pasta mit Hähnchen, Cheddar und roter Paprika (FE1351)")</f>
        <v>FA-DE Pasta mit Hähnchen, Cheddar und roter Paprika (FE1351)</v>
      </c>
      <c r="P192" s="292" t="str">
        <f>IFERROR(__xludf.DUMMYFUNCTION("""COMPUTED_VALUE"""),"Active")</f>
        <v>Active</v>
      </c>
      <c r="Q192" s="292" t="str">
        <f>IFERROR(__xludf.DUMMYFUNCTION("""COMPUTED_VALUE"""),"New meal")</f>
        <v>New meal</v>
      </c>
      <c r="R192" s="342">
        <f>IFERROR(__xludf.DUMMYFUNCTION("""COMPUTED_VALUE"""),3.68)</f>
        <v>3.68</v>
      </c>
      <c r="S192" s="292"/>
      <c r="T192" s="292"/>
      <c r="U192" s="292"/>
      <c r="V192" s="292"/>
      <c r="W192" s="292" t="b">
        <f>IFERROR(__xludf.DUMMYFUNCTION("""COMPUTED_VALUE"""),TRUE)</f>
        <v>1</v>
      </c>
      <c r="X192" s="345">
        <f>IFERROR(__xludf.DUMMYFUNCTION("""COMPUTED_VALUE"""),369.0)</f>
        <v>369</v>
      </c>
      <c r="Y192" s="344">
        <f>IFERROR(__xludf.DUMMYFUNCTION("""COMPUTED_VALUE"""),482.0)</f>
        <v>482</v>
      </c>
      <c r="Z192" s="343">
        <f>IFERROR(__xludf.DUMMYFUNCTION("""COMPUTED_VALUE"""),25.9)</f>
        <v>25.9</v>
      </c>
      <c r="AA192" s="344">
        <f>IFERROR(__xludf.DUMMYFUNCTION("""COMPUTED_VALUE"""),12.6)</f>
        <v>12.6</v>
      </c>
      <c r="AB192" s="344">
        <f>IFERROR(__xludf.DUMMYFUNCTION("""COMPUTED_VALUE"""),28.0)</f>
        <v>28</v>
      </c>
      <c r="AC192" s="344">
        <f>IFERROR(__xludf.DUMMYFUNCTION("""COMPUTED_VALUE"""),9.1)</f>
        <v>9.1</v>
      </c>
      <c r="AD192" s="344">
        <f>IFERROR(__xludf.DUMMYFUNCTION("""COMPUTED_VALUE"""),5.4)</f>
        <v>5.4</v>
      </c>
      <c r="AE192" s="343">
        <f>IFERROR(__xludf.DUMMYFUNCTION("""COMPUTED_VALUE"""),32.0)</f>
        <v>32</v>
      </c>
      <c r="AF192" s="343">
        <f>IFERROR(__xludf.DUMMYFUNCTION("""COMPUTED_VALUE"""),2.01)</f>
        <v>2.01</v>
      </c>
      <c r="AG192" s="292" t="b">
        <f>IFERROR(__xludf.DUMMYFUNCTION("""COMPUTED_VALUE"""),FALSE)</f>
        <v>0</v>
      </c>
      <c r="AH192" s="292" t="b">
        <f>IFERROR(__xludf.DUMMYFUNCTION("""COMPUTED_VALUE"""),FALSE)</f>
        <v>0</v>
      </c>
      <c r="AI192" s="292" t="b">
        <f>IFERROR(__xludf.DUMMYFUNCTION("""COMPUTED_VALUE"""),TRUE)</f>
        <v>1</v>
      </c>
      <c r="AJ192" s="292" t="b">
        <f>IFERROR(__xludf.DUMMYFUNCTION("""COMPUTED_VALUE"""),FALSE)</f>
        <v>0</v>
      </c>
      <c r="AK192" s="292" t="b">
        <f>IFERROR(__xludf.DUMMYFUNCTION("""COMPUTED_VALUE"""),FALSE)</f>
        <v>0</v>
      </c>
      <c r="AL192" s="292" t="b">
        <f>IFERROR(__xludf.DUMMYFUNCTION("""COMPUTED_VALUE"""),FALSE)</f>
        <v>0</v>
      </c>
      <c r="AM192" s="292" t="b">
        <f>IFERROR(__xludf.DUMMYFUNCTION("""COMPUTED_VALUE"""),TRUE)</f>
        <v>1</v>
      </c>
      <c r="AN192" s="292" t="b">
        <f>IFERROR(__xludf.DUMMYFUNCTION("""COMPUTED_VALUE"""),FALSE)</f>
        <v>0</v>
      </c>
      <c r="AO192" s="292" t="str">
        <f>IFERROR(__xludf.DUMMYFUNCTION("""COMPUTED_VALUE"""),"FALSE")</f>
        <v>FALSE</v>
      </c>
      <c r="AP192" s="292" t="str">
        <f>IFERROR(__xludf.DUMMYFUNCTION("""COMPUTED_VALUE"""),"Shredded chicken")</f>
        <v>Shredded chicken</v>
      </c>
      <c r="AQ192" s="292" t="str">
        <f>IFERROR(__xludf.DUMMYFUNCTION("""COMPUTED_VALUE"""),"Chicken")</f>
        <v>Chicken</v>
      </c>
      <c r="AR192" s="292" t="str">
        <f>IFERROR(__xludf.DUMMYFUNCTION("""COMPUTED_VALUE"""),"Pulled")</f>
        <v>Pulled</v>
      </c>
      <c r="AS192" s="292" t="str">
        <f>IFERROR(__xludf.DUMMYFUNCTION("""COMPUTED_VALUE"""),"Zucchini Diced")</f>
        <v>Zucchini Diced</v>
      </c>
      <c r="AT192" s="292" t="str">
        <f>IFERROR(__xludf.DUMMYFUNCTION("""COMPUTED_VALUE"""),"Pepper Mix")</f>
        <v>Pepper Mix</v>
      </c>
      <c r="AU192" s="292" t="str">
        <f>IFERROR(__xludf.DUMMYFUNCTION("""COMPUTED_VALUE"""),"Pasta")</f>
        <v>Pasta</v>
      </c>
      <c r="AV192" s="292" t="str">
        <f>IFERROR(__xludf.DUMMYFUNCTION("""COMPUTED_VALUE"""),"Creamy Sauce Base")</f>
        <v>Creamy Sauce Base</v>
      </c>
      <c r="AW192" s="292" t="str">
        <f>IFERROR(__xludf.DUMMYFUNCTION("""COMPUTED_VALUE"""),"Year Round")</f>
        <v>Year Round</v>
      </c>
      <c r="AX192" s="292" t="str">
        <f>IFERROR(__xludf.DUMMYFUNCTION("""COMPUTED_VALUE"""),"American")</f>
        <v>American</v>
      </c>
      <c r="AY192" s="292"/>
      <c r="AZ192" s="292" t="str">
        <f>IFERROR(__xludf.DUMMYFUNCTION("""COMPUTED_VALUE"""),"2 CT")</f>
        <v>2 CT</v>
      </c>
      <c r="BA192" s="292" t="b">
        <f>IFERROR(__xludf.DUMMYFUNCTION("""COMPUTED_VALUE"""),FALSE)</f>
        <v>0</v>
      </c>
      <c r="BB192" s="342">
        <f>IFERROR(__xludf.DUMMYFUNCTION("""COMPUTED_VALUE"""),2.0)</f>
        <v>2</v>
      </c>
      <c r="BC192" s="348">
        <f>IFERROR(__xludf.DUMMYFUNCTION("""COMPUTED_VALUE"""),1.28)</f>
        <v>1.28</v>
      </c>
      <c r="BD192" s="348">
        <f>IFERROR(__xludf.DUMMYFUNCTION("""COMPUTED_VALUE"""),0.41)</f>
        <v>0.41</v>
      </c>
      <c r="BE192" s="348">
        <f>IFERROR(__xludf.DUMMYFUNCTION("""COMPUTED_VALUE"""),0.89)</f>
        <v>0.89</v>
      </c>
      <c r="BF192" s="296">
        <f>IFERROR(__xludf.DUMMYFUNCTION("""COMPUTED_VALUE"""),3.180898203592814)</f>
        <v>3.180898204</v>
      </c>
      <c r="BG192" s="296">
        <f>IFERROR(__xludf.DUMMYFUNCTION("""COMPUTED_VALUE"""),3.173521347434391)</f>
        <v>3.173521347</v>
      </c>
      <c r="BH192" s="296">
        <f>IFERROR(__xludf.DUMMYFUNCTION("""COMPUTED_VALUE"""),3.307692307692308)</f>
        <v>3.307692308</v>
      </c>
      <c r="BI192" s="295">
        <f>IFERROR(__xludf.DUMMYFUNCTION("""COMPUTED_VALUE"""),155.0)</f>
        <v>155</v>
      </c>
      <c r="BJ192" s="292"/>
      <c r="BK192" s="346">
        <f>IFERROR(__xludf.DUMMYFUNCTION("""COMPUTED_VALUE"""),2020.0)</f>
        <v>2020</v>
      </c>
      <c r="BL192" s="292"/>
      <c r="BM192" s="292"/>
      <c r="BN192" s="292"/>
      <c r="BO192" s="292"/>
      <c r="BP192" s="292"/>
      <c r="BQ192" s="292" t="str">
        <f>IFERROR(__xludf.DUMMYFUNCTION("""COMPUTED_VALUE"""),"New")</f>
        <v>New</v>
      </c>
      <c r="BR192" s="292" t="b">
        <f>IFERROR(__xludf.DUMMYFUNCTION("""COMPUTED_VALUE"""),FALSE)</f>
        <v>0</v>
      </c>
      <c r="BS192" s="292" t="b">
        <f>IFERROR(__xludf.DUMMYFUNCTION("""COMPUTED_VALUE"""),FALSE)</f>
        <v>0</v>
      </c>
      <c r="BT192" s="292"/>
      <c r="BU192" s="292"/>
      <c r="BV192" s="292"/>
      <c r="BW192" s="292"/>
    </row>
    <row r="193">
      <c r="A193" s="292" t="str">
        <f>IFERROR(__xludf.DUMMYFUNCTION("""COMPUTED_VALUE"""),"FE4064A")</f>
        <v>FE4064A</v>
      </c>
      <c r="B193" s="292" t="str">
        <f>IFERROR(__xludf.DUMMYFUNCTION("""COMPUTED_VALUE"""),"CON-40-152009-4")</f>
        <v>CON-40-152009-4</v>
      </c>
      <c r="C193" s="292" t="str">
        <f>IFERROR(__xludf.DUMMYFUNCTION("""COMPUTED_VALUE"""),"CON-00-152026-2")</f>
        <v>CON-00-152026-2</v>
      </c>
      <c r="D193" s="292" t="str">
        <f>IFERROR(__xludf.DUMMYFUNCTION("""COMPUTED_VALUE"""),"CON-00-152024-2")</f>
        <v>CON-00-152024-2</v>
      </c>
      <c r="E193" s="292" t="str">
        <f>IFERROR(__xludf.DUMMYFUNCTION("""COMPUTED_VALUE"""),"Ginger Garlic Grilled Chicken")</f>
        <v>Ginger Garlic Grilled Chicken</v>
      </c>
      <c r="F193" s="292" t="str">
        <f>IFERROR(__xludf.DUMMYFUNCTION("""COMPUTED_VALUE"""),"with Sesame Broccoli")</f>
        <v>with Sesame Broccoli</v>
      </c>
      <c r="G193" s="292" t="str">
        <f>IFERROR(__xludf.DUMMYFUNCTION("""COMPUTED_VALUE"""),"Gember knoflook gegrilde kip")</f>
        <v>Gember knoflook gegrilde kip</v>
      </c>
      <c r="H193" s="292" t="str">
        <f>IFERROR(__xludf.DUMMYFUNCTION("""COMPUTED_VALUE"""),"met sesam-broccoli")</f>
        <v>met sesam-broccoli</v>
      </c>
      <c r="I193" s="292" t="str">
        <f>IFERROR(__xludf.DUMMYFUNCTION("""COMPUTED_VALUE"""),"Grillet kylling med ingefær og hvidløg")</f>
        <v>Grillet kylling med ingefær og hvidløg</v>
      </c>
      <c r="J193" s="292" t="str">
        <f>IFERROR(__xludf.DUMMYFUNCTION("""COMPUTED_VALUE"""),"Gegrilltes Hähnchen in Ingwer-Knoblauch-Marinade")</f>
        <v>Gegrilltes Hähnchen in Ingwer-Knoblauch-Marinade</v>
      </c>
      <c r="K193" s="292">
        <f>IFERROR(__xludf.DUMMYFUNCTION("""COMPUTED_VALUE"""),565211.0)</f>
        <v>565211</v>
      </c>
      <c r="L193" s="292" t="str">
        <f>IFERROR(__xludf.DUMMYFUNCTION("""COMPUTED_VALUE"""),"HF Gember knoflook kip")</f>
        <v>HF Gember knoflook kip</v>
      </c>
      <c r="M193" s="292" t="str">
        <f>IFERROR(__xludf.DUMMYFUNCTION("""COMPUTED_VALUE"""),"FA-NL Gember knoflook gegrilde kip (FE4064)")</f>
        <v>FA-NL Gember knoflook gegrilde kip (FE4064)</v>
      </c>
      <c r="N193" s="292" t="str">
        <f>IFERROR(__xludf.DUMMYFUNCTION("""COMPUTED_VALUE"""),"FA-NO Grillet kylling med ingefær og hvidløg (FE4064)")</f>
        <v>FA-NO Grillet kylling med ingefær og hvidløg (FE4064)</v>
      </c>
      <c r="O193" s="292" t="str">
        <f>IFERROR(__xludf.DUMMYFUNCTION("""COMPUTED_VALUE"""),"FA-DE Gegrilltes Hähnchen in Ingwer-Knoblauch-Marinade (FE4064)")</f>
        <v>FA-DE Gegrilltes Hähnchen in Ingwer-Knoblauch-Marinade (FE4064)</v>
      </c>
      <c r="P193" s="292" t="str">
        <f>IFERROR(__xludf.DUMMYFUNCTION("""COMPUTED_VALUE"""),"Active")</f>
        <v>Active</v>
      </c>
      <c r="Q193" s="292" t="str">
        <f>IFERROR(__xludf.DUMMYFUNCTION("""COMPUTED_VALUE"""),"Fat is quite high, 47% of total calories.The guideline is =&lt;40%. Therefore, a rework is required
Additionlly, F_ was updated and must be updated in the next spec as well")</f>
        <v>Fat is quite high, 47% of total calories.The guideline is =&lt;40%. Therefore, a rework is required
Additionlly, F_ was updated and must be updated in the next spec as well</v>
      </c>
      <c r="R193" s="342">
        <f>IFERROR(__xludf.DUMMYFUNCTION("""COMPUTED_VALUE"""),4.53)</f>
        <v>4.53</v>
      </c>
      <c r="S193" s="292"/>
      <c r="T193" s="292"/>
      <c r="U193" s="292"/>
      <c r="V193" s="292"/>
      <c r="W193" s="292" t="b">
        <f>IFERROR(__xludf.DUMMYFUNCTION("""COMPUTED_VALUE"""),TRUE)</f>
        <v>1</v>
      </c>
      <c r="X193" s="345">
        <f>IFERROR(__xludf.DUMMYFUNCTION("""COMPUTED_VALUE"""),407.0)</f>
        <v>407</v>
      </c>
      <c r="Y193" s="344">
        <f>IFERROR(__xludf.DUMMYFUNCTION("""COMPUTED_VALUE"""),632.0)</f>
        <v>632</v>
      </c>
      <c r="Z193" s="343">
        <f>IFERROR(__xludf.DUMMYFUNCTION("""COMPUTED_VALUE"""),33.3)</f>
        <v>33.3</v>
      </c>
      <c r="AA193" s="344">
        <f>IFERROR(__xludf.DUMMYFUNCTION("""COMPUTED_VALUE"""),5.2)</f>
        <v>5.2</v>
      </c>
      <c r="AB193" s="344">
        <f>IFERROR(__xludf.DUMMYFUNCTION("""COMPUTED_VALUE"""),41.1)</f>
        <v>41.1</v>
      </c>
      <c r="AC193" s="344">
        <f>IFERROR(__xludf.DUMMYFUNCTION("""COMPUTED_VALUE"""),12.7)</f>
        <v>12.7</v>
      </c>
      <c r="AD193" s="344">
        <f>IFERROR(__xludf.DUMMYFUNCTION("""COMPUTED_VALUE"""),10.4)</f>
        <v>10.4</v>
      </c>
      <c r="AE193" s="343">
        <f>IFERROR(__xludf.DUMMYFUNCTION("""COMPUTED_VALUE"""),36.7)</f>
        <v>36.7</v>
      </c>
      <c r="AF193" s="343">
        <f>IFERROR(__xludf.DUMMYFUNCTION("""COMPUTED_VALUE"""),2.0)</f>
        <v>2</v>
      </c>
      <c r="AG193" s="292" t="b">
        <f>IFERROR(__xludf.DUMMYFUNCTION("""COMPUTED_VALUE"""),FALSE)</f>
        <v>0</v>
      </c>
      <c r="AH193" s="292" t="b">
        <f>IFERROR(__xludf.DUMMYFUNCTION("""COMPUTED_VALUE"""),FALSE)</f>
        <v>0</v>
      </c>
      <c r="AI193" s="292" t="b">
        <f>IFERROR(__xludf.DUMMYFUNCTION("""COMPUTED_VALUE"""),FALSE)</f>
        <v>0</v>
      </c>
      <c r="AJ193" s="292" t="b">
        <f>IFERROR(__xludf.DUMMYFUNCTION("""COMPUTED_VALUE"""),FALSE)</f>
        <v>0</v>
      </c>
      <c r="AK193" s="292" t="b">
        <f>IFERROR(__xludf.DUMMYFUNCTION("""COMPUTED_VALUE"""),FALSE)</f>
        <v>0</v>
      </c>
      <c r="AL193" s="292" t="b">
        <f>IFERROR(__xludf.DUMMYFUNCTION("""COMPUTED_VALUE"""),FALSE)</f>
        <v>0</v>
      </c>
      <c r="AM193" s="292" t="b">
        <f>IFERROR(__xludf.DUMMYFUNCTION("""COMPUTED_VALUE"""),TRUE)</f>
        <v>1</v>
      </c>
      <c r="AN193" s="292" t="b">
        <f>IFERROR(__xludf.DUMMYFUNCTION("""COMPUTED_VALUE"""),TRUE)</f>
        <v>1</v>
      </c>
      <c r="AO193" s="292" t="str">
        <f>IFERROR(__xludf.DUMMYFUNCTION("""COMPUTED_VALUE"""),"TRUE")</f>
        <v>TRUE</v>
      </c>
      <c r="AP193" s="292" t="str">
        <f>IFERROR(__xludf.DUMMYFUNCTION("""COMPUTED_VALUE"""),"Chicken breast")</f>
        <v>Chicken breast</v>
      </c>
      <c r="AQ193" s="292" t="str">
        <f>IFERROR(__xludf.DUMMYFUNCTION("""COMPUTED_VALUE"""),"Chicken")</f>
        <v>Chicken</v>
      </c>
      <c r="AR193" s="292" t="str">
        <f>IFERROR(__xludf.DUMMYFUNCTION("""COMPUTED_VALUE"""),"Breast")</f>
        <v>Breast</v>
      </c>
      <c r="AS193" s="292" t="str">
        <f>IFERROR(__xludf.DUMMYFUNCTION("""COMPUTED_VALUE"""),"Broccoli")</f>
        <v>Broccoli</v>
      </c>
      <c r="AT193" s="292" t="str">
        <f>IFERROR(__xludf.DUMMYFUNCTION("""COMPUTED_VALUE"""),"Rice")</f>
        <v>Rice</v>
      </c>
      <c r="AU193" s="292" t="str">
        <f>IFERROR(__xludf.DUMMYFUNCTION("""COMPUTED_VALUE"""),"Edamame")</f>
        <v>Edamame</v>
      </c>
      <c r="AV193" s="292" t="str">
        <f>IFERROR(__xludf.DUMMYFUNCTION("""COMPUTED_VALUE"""),"Other sauce")</f>
        <v>Other sauce</v>
      </c>
      <c r="AW193" s="292" t="str">
        <f>IFERROR(__xludf.DUMMYFUNCTION("""COMPUTED_VALUE"""),"Year Round")</f>
        <v>Year Round</v>
      </c>
      <c r="AX193" s="292" t="str">
        <f>IFERROR(__xludf.DUMMYFUNCTION("""COMPUTED_VALUE"""),"Japanese")</f>
        <v>Japanese</v>
      </c>
      <c r="AY193" s="292"/>
      <c r="AZ193" s="292" t="str">
        <f>IFERROR(__xludf.DUMMYFUNCTION("""COMPUTED_VALUE"""),"2 CT")</f>
        <v>2 CT</v>
      </c>
      <c r="BA193" s="292" t="b">
        <f>IFERROR(__xludf.DUMMYFUNCTION("""COMPUTED_VALUE"""),FALSE)</f>
        <v>0</v>
      </c>
      <c r="BB193" s="342">
        <f>IFERROR(__xludf.DUMMYFUNCTION("""COMPUTED_VALUE"""),2.64)</f>
        <v>2.64</v>
      </c>
      <c r="BC193" s="348">
        <f>IFERROR(__xludf.DUMMYFUNCTION("""COMPUTED_VALUE"""),1.49)</f>
        <v>1.49</v>
      </c>
      <c r="BD193" s="348">
        <f>IFERROR(__xludf.DUMMYFUNCTION("""COMPUTED_VALUE"""),0.41)</f>
        <v>0.41</v>
      </c>
      <c r="BE193" s="348">
        <f>IFERROR(__xludf.DUMMYFUNCTION("""COMPUTED_VALUE"""),0.89)</f>
        <v>0.89</v>
      </c>
      <c r="BF193" s="296">
        <f>IFERROR(__xludf.DUMMYFUNCTION("""COMPUTED_VALUE"""),3.236666666666667)</f>
        <v>3.236666667</v>
      </c>
      <c r="BG193" s="296">
        <f>IFERROR(__xludf.DUMMYFUNCTION("""COMPUTED_VALUE"""),3.2533333333333334)</f>
        <v>3.253333333</v>
      </c>
      <c r="BH193" s="296">
        <f>IFERROR(__xludf.DUMMYFUNCTION("""COMPUTED_VALUE"""),3.1933333333333334)</f>
        <v>3.193333333</v>
      </c>
      <c r="BI193" s="295">
        <f>IFERROR(__xludf.DUMMYFUNCTION("""COMPUTED_VALUE"""),118.0)</f>
        <v>118</v>
      </c>
      <c r="BJ193" s="292"/>
      <c r="BK193" s="346">
        <f>IFERROR(__xludf.DUMMYFUNCTION("""COMPUTED_VALUE"""),2633.0)</f>
        <v>2633</v>
      </c>
      <c r="BL193" s="292"/>
      <c r="BM193" s="292"/>
      <c r="BN193" s="292"/>
      <c r="BO193" s="292"/>
      <c r="BP193" s="292"/>
      <c r="BQ193" s="292" t="str">
        <f>IFERROR(__xludf.DUMMYFUNCTION("""COMPUTED_VALUE"""),"New")</f>
        <v>New</v>
      </c>
      <c r="BR193" s="292" t="b">
        <f>IFERROR(__xludf.DUMMYFUNCTION("""COMPUTED_VALUE"""),TRUE)</f>
        <v>1</v>
      </c>
      <c r="BS193" s="292" t="b">
        <f>IFERROR(__xludf.DUMMYFUNCTION("""COMPUTED_VALUE"""),FALSE)</f>
        <v>0</v>
      </c>
      <c r="BT193" s="292"/>
      <c r="BU193" s="292"/>
      <c r="BV193" s="292"/>
      <c r="BW193" s="292"/>
    </row>
    <row r="194">
      <c r="A194" s="292" t="str">
        <f>IFERROR(__xludf.DUMMYFUNCTION("""COMPUTED_VALUE"""),"FE0384K")</f>
        <v>FE0384K</v>
      </c>
      <c r="B194" s="292" t="str">
        <f>IFERROR(__xludf.DUMMYFUNCTION("""COMPUTED_VALUE"""),"CON-40-152010-4")</f>
        <v>CON-40-152010-4</v>
      </c>
      <c r="C194" s="292" t="str">
        <f>IFERROR(__xludf.DUMMYFUNCTION("""COMPUTED_VALUE"""),"CON-00-152027-2")</f>
        <v>CON-00-152027-2</v>
      </c>
      <c r="D194" s="292" t="str">
        <f>IFERROR(__xludf.DUMMYFUNCTION("""COMPUTED_VALUE"""),"CON-00-152028-2")</f>
        <v>CON-00-152028-2</v>
      </c>
      <c r="E194" s="292" t="str">
        <f>IFERROR(__xludf.DUMMYFUNCTION("""COMPUTED_VALUE"""),"Chive &amp; Garlic Chicken")</f>
        <v>Chive &amp; Garlic Chicken</v>
      </c>
      <c r="F194" s="292" t="str">
        <f>IFERROR(__xludf.DUMMYFUNCTION("""COMPUTED_VALUE"""),"with Creamy Cheddar Mash, Green beans &amp; Mushrooms")</f>
        <v>with Creamy Cheddar Mash, Green beans &amp; Mushrooms</v>
      </c>
      <c r="G194" s="292" t="str">
        <f>IFERROR(__xludf.DUMMYFUNCTION("""COMPUTED_VALUE"""),"Kip met bieslook en knoflook")</f>
        <v>Kip met bieslook en knoflook</v>
      </c>
      <c r="H194" s="292" t="str">
        <f>IFERROR(__xludf.DUMMYFUNCTION("""COMPUTED_VALUE"""),"met romige cheddar-aardappelpuree, sperziebonen en champignons")</f>
        <v>met romige cheddar-aardappelpuree, sperziebonen en champignons</v>
      </c>
      <c r="I194" s="292" t="str">
        <f>IFERROR(__xludf.DUMMYFUNCTION("""COMPUTED_VALUE"""),"Kylling med purløg og hvidløg")</f>
        <v>Kylling med purløg og hvidløg</v>
      </c>
      <c r="J194" s="292" t="str">
        <f>IFERROR(__xludf.DUMMYFUNCTION("""COMPUTED_VALUE"""),"Hähnchenbrust mit Schnittlauch und Knoblauch")</f>
        <v>Hähnchenbrust mit Schnittlauch und Knoblauch</v>
      </c>
      <c r="K194" s="292">
        <f>IFERROR(__xludf.DUMMYFUNCTION("""COMPUTED_VALUE"""),565203.0)</f>
        <v>565203</v>
      </c>
      <c r="L194" s="292" t="str">
        <f>IFERROR(__xludf.DUMMYFUNCTION("""COMPUTED_VALUE"""),"HF Kip cheddar-aardappelpuree")</f>
        <v>HF Kip cheddar-aardappelpuree</v>
      </c>
      <c r="M194" s="292" t="str">
        <f>IFERROR(__xludf.DUMMYFUNCTION("""COMPUTED_VALUE"""),"FA-NL Kip met bieslook en knoflook (FE0384)")</f>
        <v>FA-NL Kip met bieslook en knoflook (FE0384)</v>
      </c>
      <c r="N194" s="292" t="str">
        <f>IFERROR(__xludf.DUMMYFUNCTION("""COMPUTED_VALUE"""),"FA-NO Kylling med purløg og hvidløg (FE0384)")</f>
        <v>FA-NO Kylling med purløg og hvidløg (FE0384)</v>
      </c>
      <c r="O194" s="292" t="str">
        <f>IFERROR(__xludf.DUMMYFUNCTION("""COMPUTED_VALUE"""),"FA-DE Hähnchenbrust mit Schnittlauch und Knoblauch (FE0384)")</f>
        <v>FA-DE Hähnchenbrust mit Schnittlauch und Knoblauch (FE0384)</v>
      </c>
      <c r="P194" s="292" t="str">
        <f>IFERROR(__xludf.DUMMYFUNCTION("""COMPUTED_VALUE"""),"Active")</f>
        <v>Active</v>
      </c>
      <c r="Q194" s="292" t="str">
        <f>IFERROR(__xludf.DUMMYFUNCTION("""COMPUTED_VALUE"""),"Meal needs more vegetables for next run, and to get a CS tag, a lower sat fat content (=&lt;12g)")</f>
        <v>Meal needs more vegetables for next run, and to get a CS tag, a lower sat fat content (=&lt;12g)</v>
      </c>
      <c r="R194" s="342">
        <f>IFERROR(__xludf.DUMMYFUNCTION("""COMPUTED_VALUE"""),4.04)</f>
        <v>4.04</v>
      </c>
      <c r="S194" s="292"/>
      <c r="T194" s="292"/>
      <c r="U194" s="292"/>
      <c r="V194" s="292"/>
      <c r="W194" s="292" t="b">
        <f>IFERROR(__xludf.DUMMYFUNCTION("""COMPUTED_VALUE"""),TRUE)</f>
        <v>1</v>
      </c>
      <c r="X194" s="345">
        <f>IFERROR(__xludf.DUMMYFUNCTION("""COMPUTED_VALUE"""),371.0)</f>
        <v>371</v>
      </c>
      <c r="Y194" s="344">
        <f>IFERROR(__xludf.DUMMYFUNCTION("""COMPUTED_VALUE"""),519.0)</f>
        <v>519</v>
      </c>
      <c r="Z194" s="343">
        <f>IFERROR(__xludf.DUMMYFUNCTION("""COMPUTED_VALUE"""),32.6)</f>
        <v>32.6</v>
      </c>
      <c r="AA194" s="344">
        <f>IFERROR(__xludf.DUMMYFUNCTION("""COMPUTED_VALUE"""),14.0)</f>
        <v>14</v>
      </c>
      <c r="AB194" s="344">
        <f>IFERROR(__xludf.DUMMYFUNCTION("""COMPUTED_VALUE"""),21.8)</f>
        <v>21.8</v>
      </c>
      <c r="AC194" s="344">
        <f>IFERROR(__xludf.DUMMYFUNCTION("""COMPUTED_VALUE"""),5.6)</f>
        <v>5.6</v>
      </c>
      <c r="AD194" s="344">
        <f>IFERROR(__xludf.DUMMYFUNCTION("""COMPUTED_VALUE"""),7.1)</f>
        <v>7.1</v>
      </c>
      <c r="AE194" s="343">
        <f>IFERROR(__xludf.DUMMYFUNCTION("""COMPUTED_VALUE"""),31.5)</f>
        <v>31.5</v>
      </c>
      <c r="AF194" s="343">
        <f>IFERROR(__xludf.DUMMYFUNCTION("""COMPUTED_VALUE"""),2.02)</f>
        <v>2.02</v>
      </c>
      <c r="AG194" s="292" t="b">
        <f>IFERROR(__xludf.DUMMYFUNCTION("""COMPUTED_VALUE"""),FALSE)</f>
        <v>0</v>
      </c>
      <c r="AH194" s="292" t="b">
        <f>IFERROR(__xludf.DUMMYFUNCTION("""COMPUTED_VALUE"""),FALSE)</f>
        <v>0</v>
      </c>
      <c r="AI194" s="292" t="b">
        <f>IFERROR(__xludf.DUMMYFUNCTION("""COMPUTED_VALUE"""),FALSE)</f>
        <v>0</v>
      </c>
      <c r="AJ194" s="292" t="b">
        <f>IFERROR(__xludf.DUMMYFUNCTION("""COMPUTED_VALUE"""),FALSE)</f>
        <v>0</v>
      </c>
      <c r="AK194" s="292" t="b">
        <f>IFERROR(__xludf.DUMMYFUNCTION("""COMPUTED_VALUE"""),FALSE)</f>
        <v>0</v>
      </c>
      <c r="AL194" s="292" t="b">
        <f>IFERROR(__xludf.DUMMYFUNCTION("""COMPUTED_VALUE"""),FALSE)</f>
        <v>0</v>
      </c>
      <c r="AM194" s="292" t="b">
        <f>IFERROR(__xludf.DUMMYFUNCTION("""COMPUTED_VALUE"""),TRUE)</f>
        <v>1</v>
      </c>
      <c r="AN194" s="292" t="b">
        <f>IFERROR(__xludf.DUMMYFUNCTION("""COMPUTED_VALUE"""),FALSE)</f>
        <v>0</v>
      </c>
      <c r="AO194" s="292" t="str">
        <f>IFERROR(__xludf.DUMMYFUNCTION("""COMPUTED_VALUE"""),"FALSE")</f>
        <v>FALSE</v>
      </c>
      <c r="AP194" s="292" t="str">
        <f>IFERROR(__xludf.DUMMYFUNCTION("""COMPUTED_VALUE"""),"Chicken breast")</f>
        <v>Chicken breast</v>
      </c>
      <c r="AQ194" s="292" t="str">
        <f>IFERROR(__xludf.DUMMYFUNCTION("""COMPUTED_VALUE"""),"Chicken")</f>
        <v>Chicken</v>
      </c>
      <c r="AR194" s="292" t="str">
        <f>IFERROR(__xludf.DUMMYFUNCTION("""COMPUTED_VALUE"""),"Breast")</f>
        <v>Breast</v>
      </c>
      <c r="AS194" s="292" t="str">
        <f>IFERROR(__xludf.DUMMYFUNCTION("""COMPUTED_VALUE"""),"Potato Mash")</f>
        <v>Potato Mash</v>
      </c>
      <c r="AT194" s="292" t="str">
        <f>IFERROR(__xludf.DUMMYFUNCTION("""COMPUTED_VALUE"""),"Green Beans")</f>
        <v>Green Beans</v>
      </c>
      <c r="AU194" s="292" t="str">
        <f>IFERROR(__xludf.DUMMYFUNCTION("""COMPUTED_VALUE"""),"Mushrooms")</f>
        <v>Mushrooms</v>
      </c>
      <c r="AV194" s="292" t="str">
        <f>IFERROR(__xludf.DUMMYFUNCTION("""COMPUTED_VALUE"""),"Compound Butter")</f>
        <v>Compound Butter</v>
      </c>
      <c r="AW194" s="292" t="str">
        <f>IFERROR(__xludf.DUMMYFUNCTION("""COMPUTED_VALUE"""),"Year Round")</f>
        <v>Year Round</v>
      </c>
      <c r="AX194" s="292" t="str">
        <f>IFERROR(__xludf.DUMMYFUNCTION("""COMPUTED_VALUE"""),"American")</f>
        <v>American</v>
      </c>
      <c r="AY194" s="292"/>
      <c r="AZ194" s="292" t="str">
        <f>IFERROR(__xludf.DUMMYFUNCTION("""COMPUTED_VALUE"""),"2 CT")</f>
        <v>2 CT</v>
      </c>
      <c r="BA194" s="292" t="b">
        <f>IFERROR(__xludf.DUMMYFUNCTION("""COMPUTED_VALUE"""),FALSE)</f>
        <v>0</v>
      </c>
      <c r="BB194" s="342">
        <f>IFERROR(__xludf.DUMMYFUNCTION("""COMPUTED_VALUE"""),2.35)</f>
        <v>2.35</v>
      </c>
      <c r="BC194" s="348">
        <f>IFERROR(__xludf.DUMMYFUNCTION("""COMPUTED_VALUE"""),1.29)</f>
        <v>1.29</v>
      </c>
      <c r="BD194" s="348">
        <f>IFERROR(__xludf.DUMMYFUNCTION("""COMPUTED_VALUE"""),0.41)</f>
        <v>0.41</v>
      </c>
      <c r="BE194" s="348">
        <f>IFERROR(__xludf.DUMMYFUNCTION("""COMPUTED_VALUE"""),0.89)</f>
        <v>0.89</v>
      </c>
      <c r="BF194" s="296">
        <f>IFERROR(__xludf.DUMMYFUNCTION("""COMPUTED_VALUE"""),3.4033333333333338)</f>
        <v>3.403333333</v>
      </c>
      <c r="BG194" s="296">
        <f>IFERROR(__xludf.DUMMYFUNCTION("""COMPUTED_VALUE"""),3.36)</f>
        <v>3.36</v>
      </c>
      <c r="BH194" s="296">
        <f>IFERROR(__xludf.DUMMYFUNCTION("""COMPUTED_VALUE"""),3.41)</f>
        <v>3.41</v>
      </c>
      <c r="BI194" s="295">
        <f>IFERROR(__xludf.DUMMYFUNCTION("""COMPUTED_VALUE"""),111.0)</f>
        <v>111</v>
      </c>
      <c r="BJ194" s="292"/>
      <c r="BK194" s="346">
        <f>IFERROR(__xludf.DUMMYFUNCTION("""COMPUTED_VALUE"""),2173.0)</f>
        <v>2173</v>
      </c>
      <c r="BL194" s="292"/>
      <c r="BM194" s="292"/>
      <c r="BN194" s="292"/>
      <c r="BO194" s="292"/>
      <c r="BP194" s="292"/>
      <c r="BQ194" s="292" t="str">
        <f>IFERROR(__xludf.DUMMYFUNCTION("""COMPUTED_VALUE"""),"New")</f>
        <v>New</v>
      </c>
      <c r="BR194" s="292" t="b">
        <f>IFERROR(__xludf.DUMMYFUNCTION("""COMPUTED_VALUE"""),FALSE)</f>
        <v>0</v>
      </c>
      <c r="BS194" s="292" t="b">
        <f>IFERROR(__xludf.DUMMYFUNCTION("""COMPUTED_VALUE"""),FALSE)</f>
        <v>0</v>
      </c>
      <c r="BT194" s="292"/>
      <c r="BU194" s="292"/>
      <c r="BV194" s="292"/>
      <c r="BW194" s="292"/>
    </row>
    <row r="195">
      <c r="A195" s="292" t="str">
        <f>IFERROR(__xludf.DUMMYFUNCTION("""COMPUTED_VALUE"""),"FE1439A")</f>
        <v>FE1439A</v>
      </c>
      <c r="B195" s="292" t="str">
        <f>IFERROR(__xludf.DUMMYFUNCTION("""COMPUTED_VALUE"""),"CON-40-154571-4")</f>
        <v>CON-40-154571-4</v>
      </c>
      <c r="C195" s="292" t="str">
        <f>IFERROR(__xludf.DUMMYFUNCTION("""COMPUTED_VALUE"""),"CON-00-155004-2")</f>
        <v>CON-00-155004-2</v>
      </c>
      <c r="D195" s="292" t="str">
        <f>IFERROR(__xludf.DUMMYFUNCTION("""COMPUTED_VALUE"""),"CON-00-154552-2")</f>
        <v>CON-00-154552-2</v>
      </c>
      <c r="E195" s="292" t="str">
        <f>IFERROR(__xludf.DUMMYFUNCTION("""COMPUTED_VALUE"""),"Tzatziki Salmon &amp; Lemon Rice")</f>
        <v>Tzatziki Salmon &amp; Lemon Rice</v>
      </c>
      <c r="F195" s="292" t="str">
        <f>IFERROR(__xludf.DUMMYFUNCTION("""COMPUTED_VALUE"""),"with Balsamic Onions, Garlic Zucchini &amp; Cauliflower")</f>
        <v>with Balsamic Onions, Garlic Zucchini &amp; Cauliflower</v>
      </c>
      <c r="G195" s="292" t="str">
        <f>IFERROR(__xludf.DUMMYFUNCTION("""COMPUTED_VALUE"""),"Zalm met tzatziki en citroenrijst")</f>
        <v>Zalm met tzatziki en citroenrijst</v>
      </c>
      <c r="H195" s="292" t="str">
        <f>IFERROR(__xludf.DUMMYFUNCTION("""COMPUTED_VALUE"""),"met balsamico-uien, courgette met knoflook en bloemkool")</f>
        <v>met balsamico-uien, courgette met knoflook en bloemkool</v>
      </c>
      <c r="I195" s="292" t="str">
        <f>IFERROR(__xludf.DUMMYFUNCTION("""COMPUTED_VALUE"""),"Laks med tzatziki og citronris")</f>
        <v>Laks med tzatziki og citronris</v>
      </c>
      <c r="J195" s="292" t="str">
        <f>IFERROR(__xludf.DUMMYFUNCTION("""COMPUTED_VALUE"""),"Tzatziki-Lachs &amp; Zitronenreis")</f>
        <v>Tzatziki-Lachs &amp; Zitronenreis</v>
      </c>
      <c r="K195" s="292">
        <f>IFERROR(__xludf.DUMMYFUNCTION("""COMPUTED_VALUE"""),565236.0)</f>
        <v>565236</v>
      </c>
      <c r="L195" s="292" t="str">
        <f>IFERROR(__xludf.DUMMYFUNCTION("""COMPUTED_VALUE"""),"HF Zalm met citroen rijst")</f>
        <v>HF Zalm met citroen rijst</v>
      </c>
      <c r="M195" s="292" t="str">
        <f>IFERROR(__xludf.DUMMYFUNCTION("""COMPUTED_VALUE"""),"FA-NL Zalm met tzatziki en citroenrijst (FE1439)")</f>
        <v>FA-NL Zalm met tzatziki en citroenrijst (FE1439)</v>
      </c>
      <c r="N195" s="292" t="str">
        <f>IFERROR(__xludf.DUMMYFUNCTION("""COMPUTED_VALUE"""),"FA-NO Laks med tzatziki og citronris (FE1439)")</f>
        <v>FA-NO Laks med tzatziki og citronris (FE1439)</v>
      </c>
      <c r="O195" s="292" t="str">
        <f>IFERROR(__xludf.DUMMYFUNCTION("""COMPUTED_VALUE"""),"FA-DE Tzatziki-Lachs &amp; Zitronenreis (FE1439)")</f>
        <v>FA-DE Tzatziki-Lachs &amp; Zitronenreis (FE1439)</v>
      </c>
      <c r="P195" s="292" t="str">
        <f>IFERROR(__xludf.DUMMYFUNCTION("""COMPUTED_VALUE"""),"Active")</f>
        <v>Active</v>
      </c>
      <c r="Q195" s="292"/>
      <c r="R195" s="342">
        <f>IFERROR(__xludf.DUMMYFUNCTION("""COMPUTED_VALUE"""),6.15)</f>
        <v>6.15</v>
      </c>
      <c r="S195" s="292"/>
      <c r="T195" s="292"/>
      <c r="U195" s="292"/>
      <c r="V195" s="292"/>
      <c r="W195" s="292" t="b">
        <f>IFERROR(__xludf.DUMMYFUNCTION("""COMPUTED_VALUE"""),TRUE)</f>
        <v>1</v>
      </c>
      <c r="X195" s="345">
        <f>IFERROR(__xludf.DUMMYFUNCTION("""COMPUTED_VALUE"""),389.0)</f>
        <v>389</v>
      </c>
      <c r="Y195" s="344">
        <f>IFERROR(__xludf.DUMMYFUNCTION("""COMPUTED_VALUE"""),571.0)</f>
        <v>571</v>
      </c>
      <c r="Z195" s="343">
        <f>IFERROR(__xludf.DUMMYFUNCTION("""COMPUTED_VALUE"""),35.1)</f>
        <v>35.1</v>
      </c>
      <c r="AA195" s="344">
        <f>IFERROR(__xludf.DUMMYFUNCTION("""COMPUTED_VALUE"""),7.4)</f>
        <v>7.4</v>
      </c>
      <c r="AB195" s="344">
        <f>IFERROR(__xludf.DUMMYFUNCTION("""COMPUTED_VALUE"""),25.6)</f>
        <v>25.6</v>
      </c>
      <c r="AC195" s="344">
        <f>IFERROR(__xludf.DUMMYFUNCTION("""COMPUTED_VALUE"""),10.6)</f>
        <v>10.6</v>
      </c>
      <c r="AD195" s="344">
        <f>IFERROR(__xludf.DUMMYFUNCTION("""COMPUTED_VALUE"""),5.1)</f>
        <v>5.1</v>
      </c>
      <c r="AE195" s="343">
        <f>IFERROR(__xludf.DUMMYFUNCTION("""COMPUTED_VALUE"""),32.8)</f>
        <v>32.8</v>
      </c>
      <c r="AF195" s="343">
        <f>IFERROR(__xludf.DUMMYFUNCTION("""COMPUTED_VALUE"""),1.9)</f>
        <v>1.9</v>
      </c>
      <c r="AG195" s="292" t="b">
        <f>IFERROR(__xludf.DUMMYFUNCTION("""COMPUTED_VALUE"""),FALSE)</f>
        <v>0</v>
      </c>
      <c r="AH195" s="292" t="b">
        <f>IFERROR(__xludf.DUMMYFUNCTION("""COMPUTED_VALUE"""),FALSE)</f>
        <v>0</v>
      </c>
      <c r="AI195" s="292" t="b">
        <f>IFERROR(__xludf.DUMMYFUNCTION("""COMPUTED_VALUE"""),FALSE)</f>
        <v>0</v>
      </c>
      <c r="AJ195" s="292" t="b">
        <f>IFERROR(__xludf.DUMMYFUNCTION("""COMPUTED_VALUE"""),FALSE)</f>
        <v>0</v>
      </c>
      <c r="AK195" s="292" t="b">
        <f>IFERROR(__xludf.DUMMYFUNCTION("""COMPUTED_VALUE"""),FALSE)</f>
        <v>0</v>
      </c>
      <c r="AL195" s="292" t="b">
        <f>IFERROR(__xludf.DUMMYFUNCTION("""COMPUTED_VALUE"""),FALSE)</f>
        <v>0</v>
      </c>
      <c r="AM195" s="292" t="b">
        <f>IFERROR(__xludf.DUMMYFUNCTION("""COMPUTED_VALUE"""),TRUE)</f>
        <v>1</v>
      </c>
      <c r="AN195" s="292" t="b">
        <f>IFERROR(__xludf.DUMMYFUNCTION("""COMPUTED_VALUE"""),FALSE)</f>
        <v>0</v>
      </c>
      <c r="AO195" s="292" t="str">
        <f>IFERROR(__xludf.DUMMYFUNCTION("""COMPUTED_VALUE"""),"FALSE")</f>
        <v>FALSE</v>
      </c>
      <c r="AP195" s="292" t="str">
        <f>IFERROR(__xludf.DUMMYFUNCTION("""COMPUTED_VALUE"""),"Salmon")</f>
        <v>Salmon</v>
      </c>
      <c r="AQ195" s="292" t="str">
        <f>IFERROR(__xludf.DUMMYFUNCTION("""COMPUTED_VALUE"""),"Salmon")</f>
        <v>Salmon</v>
      </c>
      <c r="AR195" s="292" t="str">
        <f>IFERROR(__xludf.DUMMYFUNCTION("""COMPUTED_VALUE"""),"Filet")</f>
        <v>Filet</v>
      </c>
      <c r="AS195" s="292" t="str">
        <f>IFERROR(__xludf.DUMMYFUNCTION("""COMPUTED_VALUE"""),"Rice")</f>
        <v>Rice</v>
      </c>
      <c r="AT195" s="292" t="str">
        <f>IFERROR(__xludf.DUMMYFUNCTION("""COMPUTED_VALUE"""),"Zucchini Half Moon")</f>
        <v>Zucchini Half Moon</v>
      </c>
      <c r="AU195" s="292" t="str">
        <f>IFERROR(__xludf.DUMMYFUNCTION("""COMPUTED_VALUE"""),"Cauliflower Florets")</f>
        <v>Cauliflower Florets</v>
      </c>
      <c r="AV195" s="292" t="str">
        <f>IFERROR(__xludf.DUMMYFUNCTION("""COMPUTED_VALUE"""),"Cupped Sauce")</f>
        <v>Cupped Sauce</v>
      </c>
      <c r="AW195" s="292" t="str">
        <f>IFERROR(__xludf.DUMMYFUNCTION("""COMPUTED_VALUE"""),"Year Round")</f>
        <v>Year Round</v>
      </c>
      <c r="AX195" s="292" t="str">
        <f>IFERROR(__xludf.DUMMYFUNCTION("""COMPUTED_VALUE"""),"Greek")</f>
        <v>Greek</v>
      </c>
      <c r="AY195" s="292"/>
      <c r="AZ195" s="292" t="str">
        <f>IFERROR(__xludf.DUMMYFUNCTION("""COMPUTED_VALUE"""),"2 CT")</f>
        <v>2 CT</v>
      </c>
      <c r="BA195" s="292" t="b">
        <f>IFERROR(__xludf.DUMMYFUNCTION("""COMPUTED_VALUE"""),TRUE)</f>
        <v>1</v>
      </c>
      <c r="BB195" s="342">
        <f>IFERROR(__xludf.DUMMYFUNCTION("""COMPUTED_VALUE"""),3.94)</f>
        <v>3.94</v>
      </c>
      <c r="BC195" s="342">
        <f>IFERROR(__xludf.DUMMYFUNCTION("""COMPUTED_VALUE"""),1.78)</f>
        <v>1.78</v>
      </c>
      <c r="BD195" s="342">
        <f>IFERROR(__xludf.DUMMYFUNCTION("""COMPUTED_VALUE"""),0.44)</f>
        <v>0.44</v>
      </c>
      <c r="BE195" s="342">
        <f>IFERROR(__xludf.DUMMYFUNCTION("""COMPUTED_VALUE"""),0.89)</f>
        <v>0.89</v>
      </c>
      <c r="BF195" s="296">
        <f>IFERROR(__xludf.DUMMYFUNCTION("""COMPUTED_VALUE"""),3.1133333333333333)</f>
        <v>3.113333333</v>
      </c>
      <c r="BG195" s="296">
        <f>IFERROR(__xludf.DUMMYFUNCTION("""COMPUTED_VALUE"""),3.203333333333333)</f>
        <v>3.203333333</v>
      </c>
      <c r="BH195" s="296">
        <f>IFERROR(__xludf.DUMMYFUNCTION("""COMPUTED_VALUE"""),3.0199999999999996)</f>
        <v>3.02</v>
      </c>
      <c r="BI195" s="295">
        <f>IFERROR(__xludf.DUMMYFUNCTION("""COMPUTED_VALUE"""),167.0)</f>
        <v>167</v>
      </c>
      <c r="BJ195" s="292"/>
      <c r="BK195" s="346">
        <f>IFERROR(__xludf.DUMMYFUNCTION("""COMPUTED_VALUE"""),2383.0)</f>
        <v>2383</v>
      </c>
      <c r="BL195" s="292"/>
      <c r="BM195" s="292"/>
      <c r="BN195" s="292"/>
      <c r="BO195" s="292"/>
      <c r="BP195" s="292"/>
      <c r="BQ195" s="292" t="str">
        <f>IFERROR(__xludf.DUMMYFUNCTION("""COMPUTED_VALUE"""),"New")</f>
        <v>New</v>
      </c>
      <c r="BR195" s="292" t="b">
        <f>IFERROR(__xludf.DUMMYFUNCTION("""COMPUTED_VALUE"""),FALSE)</f>
        <v>0</v>
      </c>
      <c r="BS195" s="292" t="b">
        <f>IFERROR(__xludf.DUMMYFUNCTION("""COMPUTED_VALUE"""),FALSE)</f>
        <v>0</v>
      </c>
      <c r="BT195" s="292"/>
      <c r="BU195" s="292"/>
      <c r="BV195" s="292"/>
      <c r="BW195" s="292"/>
    </row>
    <row r="196">
      <c r="A196" s="292" t="str">
        <f>IFERROR(__xludf.DUMMYFUNCTION("""COMPUTED_VALUE"""),"FE0198D")</f>
        <v>FE0198D</v>
      </c>
      <c r="B196" s="292" t="str">
        <f>IFERROR(__xludf.DUMMYFUNCTION("""COMPUTED_VALUE"""),"CON-40-143710-4")</f>
        <v>CON-40-143710-4</v>
      </c>
      <c r="C196" s="292" t="str">
        <f>IFERROR(__xludf.DUMMYFUNCTION("""COMPUTED_VALUE"""),"CON-00-147826-2")</f>
        <v>CON-00-147826-2</v>
      </c>
      <c r="D196" s="292" t="str">
        <f>IFERROR(__xludf.DUMMYFUNCTION("""COMPUTED_VALUE"""),"CON-00-136638-3")</f>
        <v>CON-00-136638-3</v>
      </c>
      <c r="E196" s="292" t="str">
        <f>IFERROR(__xludf.DUMMYFUNCTION("""COMPUTED_VALUE"""),"Spicy chicken with jalapeño, lime and cheddar")</f>
        <v>Spicy chicken with jalapeño, lime and cheddar</v>
      </c>
      <c r="F196" s="292" t="str">
        <f>IFERROR(__xludf.DUMMYFUNCTION("""COMPUTED_VALUE"""),"with creamy cauliflower rice and coriander-cumin sauce")</f>
        <v>with creamy cauliflower rice and coriander-cumin sauce</v>
      </c>
      <c r="G196" s="292" t="str">
        <f>IFERROR(__xludf.DUMMYFUNCTION("""COMPUTED_VALUE"""),"Pittige kipfilet met jalapeño, limoen en cheddar")</f>
        <v>Pittige kipfilet met jalapeño, limoen en cheddar</v>
      </c>
      <c r="H196" s="292" t="str">
        <f>IFERROR(__xludf.DUMMYFUNCTION("""COMPUTED_VALUE"""),"met romige bloemkoolrijst en koriander-komijnsaus")</f>
        <v>met romige bloemkoolrijst en koriander-komijnsaus</v>
      </c>
      <c r="I196" s="292" t="str">
        <f>IFERROR(__xludf.DUMMYFUNCTION("""COMPUTED_VALUE"""),"Spicy kylling med jalapeño, lime og cheddar")</f>
        <v>Spicy kylling med jalapeño, lime og cheddar</v>
      </c>
      <c r="J196" s="292" t="str">
        <f>IFERROR(__xludf.DUMMYFUNCTION("""COMPUTED_VALUE"""),"Würziges Hähnchen mit Jalapeño, Limette und Cheddar")</f>
        <v>Würziges Hähnchen mit Jalapeño, Limette und Cheddar</v>
      </c>
      <c r="K196" s="292">
        <f>IFERROR(__xludf.DUMMYFUNCTION("""COMPUTED_VALUE"""),565043.0)</f>
        <v>565043</v>
      </c>
      <c r="L196" s="292" t="str">
        <f>IFERROR(__xludf.DUMMYFUNCTION("""COMPUTED_VALUE"""),"HF Pitt. kipf+jalap,lim,chedda")</f>
        <v>HF Pitt. kipf+jalap,lim,chedda</v>
      </c>
      <c r="M196" s="292" t="str">
        <f>IFERROR(__xludf.DUMMYFUNCTION("""COMPUTED_VALUE"""),"FA-NL Pittige kipfilet met jalapeño, limoen en cheddar (FE0198)")</f>
        <v>FA-NL Pittige kipfilet met jalapeño, limoen en cheddar (FE0198)</v>
      </c>
      <c r="N196" s="292" t="str">
        <f>IFERROR(__xludf.DUMMYFUNCTION("""COMPUTED_VALUE"""),"FA-NO Spicy kylling med jalapeño, lime og cheddar (FE0198)")</f>
        <v>FA-NO Spicy kylling med jalapeño, lime og cheddar (FE0198)</v>
      </c>
      <c r="O196" s="292" t="str">
        <f>IFERROR(__xludf.DUMMYFUNCTION("""COMPUTED_VALUE"""),"FA-DE Scharfes Hähnchen mit Jalapeño, Limette und Cheddar (FE0198)")</f>
        <v>FA-DE Scharfes Hähnchen mit Jalapeño, Limette und Cheddar (FE0198)</v>
      </c>
      <c r="P196" s="292" t="str">
        <f>IFERROR(__xludf.DUMMYFUNCTION("""COMPUTED_VALUE"""),"Hold")</f>
        <v>Hold</v>
      </c>
      <c r="Q196" s="292" t="str">
        <f>IFERROR(__xludf.DUMMYFUNCTION("""COMPUTED_VALUE"""),"Updated spec, the old version is still active and must be graveyarded from w49")</f>
        <v>Updated spec, the old version is still active and must be graveyarded from w49</v>
      </c>
      <c r="R196" s="342">
        <f>IFERROR(__xludf.DUMMYFUNCTION("""COMPUTED_VALUE"""),4.91)</f>
        <v>4.91</v>
      </c>
      <c r="S196" s="292"/>
      <c r="T196" s="292"/>
      <c r="U196" s="292"/>
      <c r="V196" s="292"/>
      <c r="W196" s="292" t="b">
        <f>IFERROR(__xludf.DUMMYFUNCTION("""COMPUTED_VALUE"""),TRUE)</f>
        <v>1</v>
      </c>
      <c r="X196" s="345">
        <f>IFERROR(__xludf.DUMMYFUNCTION("""COMPUTED_VALUE"""),353.0)</f>
        <v>353</v>
      </c>
      <c r="Y196" s="344">
        <f>IFERROR(__xludf.DUMMYFUNCTION("""COMPUTED_VALUE"""),507.0)</f>
        <v>507</v>
      </c>
      <c r="Z196" s="343">
        <f>IFERROR(__xludf.DUMMYFUNCTION("""COMPUTED_VALUE"""),36.2)</f>
        <v>36.2</v>
      </c>
      <c r="AA196" s="344">
        <f>IFERROR(__xludf.DUMMYFUNCTION("""COMPUTED_VALUE"""),19.8)</f>
        <v>19.8</v>
      </c>
      <c r="AB196" s="344">
        <f>IFERROR(__xludf.DUMMYFUNCTION("""COMPUTED_VALUE"""),12.3)</f>
        <v>12.3</v>
      </c>
      <c r="AC196" s="344">
        <f>IFERROR(__xludf.DUMMYFUNCTION("""COMPUTED_VALUE"""),8.5)</f>
        <v>8.5</v>
      </c>
      <c r="AD196" s="344">
        <f>IFERROR(__xludf.DUMMYFUNCTION("""COMPUTED_VALUE"""),4.9)</f>
        <v>4.9</v>
      </c>
      <c r="AE196" s="343">
        <f>IFERROR(__xludf.DUMMYFUNCTION("""COMPUTED_VALUE"""),31.3)</f>
        <v>31.3</v>
      </c>
      <c r="AF196" s="343">
        <f>IFERROR(__xludf.DUMMYFUNCTION("""COMPUTED_VALUE"""),1.65)</f>
        <v>1.65</v>
      </c>
      <c r="AG196" s="292" t="b">
        <f>IFERROR(__xludf.DUMMYFUNCTION("""COMPUTED_VALUE"""),TRUE)</f>
        <v>1</v>
      </c>
      <c r="AH196" s="292" t="b">
        <f>IFERROR(__xludf.DUMMYFUNCTION("""COMPUTED_VALUE"""),TRUE)</f>
        <v>1</v>
      </c>
      <c r="AI196" s="292" t="b">
        <f>IFERROR(__xludf.DUMMYFUNCTION("""COMPUTED_VALUE"""),FALSE)</f>
        <v>0</v>
      </c>
      <c r="AJ196" s="292" t="b">
        <f>IFERROR(__xludf.DUMMYFUNCTION("""COMPUTED_VALUE"""),FALSE)</f>
        <v>0</v>
      </c>
      <c r="AK196" s="292" t="b">
        <f>IFERROR(__xludf.DUMMYFUNCTION("""COMPUTED_VALUE"""),FALSE)</f>
        <v>0</v>
      </c>
      <c r="AL196" s="292" t="b">
        <f>IFERROR(__xludf.DUMMYFUNCTION("""COMPUTED_VALUE"""),FALSE)</f>
        <v>0</v>
      </c>
      <c r="AM196" s="292" t="b">
        <f>IFERROR(__xludf.DUMMYFUNCTION("""COMPUTED_VALUE"""),TRUE)</f>
        <v>1</v>
      </c>
      <c r="AN196" s="292" t="b">
        <f>IFERROR(__xludf.DUMMYFUNCTION("""COMPUTED_VALUE"""),FALSE)</f>
        <v>0</v>
      </c>
      <c r="AO196" s="292" t="str">
        <f>IFERROR(__xludf.DUMMYFUNCTION("""COMPUTED_VALUE"""),"FALSE")</f>
        <v>FALSE</v>
      </c>
      <c r="AP196" s="292" t="str">
        <f>IFERROR(__xludf.DUMMYFUNCTION("""COMPUTED_VALUE"""),"Chicken breast")</f>
        <v>Chicken breast</v>
      </c>
      <c r="AQ196" s="292" t="str">
        <f>IFERROR(__xludf.DUMMYFUNCTION("""COMPUTED_VALUE"""),"Chicken")</f>
        <v>Chicken</v>
      </c>
      <c r="AR196" s="292" t="str">
        <f>IFERROR(__xludf.DUMMYFUNCTION("""COMPUTED_VALUE"""),"Breast")</f>
        <v>Breast</v>
      </c>
      <c r="AS196" s="292" t="str">
        <f>IFERROR(__xludf.DUMMYFUNCTION("""COMPUTED_VALUE"""),"Creamy Sauce Base")</f>
        <v>Creamy Sauce Base</v>
      </c>
      <c r="AT196" s="292" t="str">
        <f>IFERROR(__xludf.DUMMYFUNCTION("""COMPUTED_VALUE"""),"Pepper Mix")</f>
        <v>Pepper Mix</v>
      </c>
      <c r="AU196" s="292" t="str">
        <f>IFERROR(__xludf.DUMMYFUNCTION("""COMPUTED_VALUE"""),"Cauliflower Rice")</f>
        <v>Cauliflower Rice</v>
      </c>
      <c r="AV196" s="292" t="str">
        <f>IFERROR(__xludf.DUMMYFUNCTION("""COMPUTED_VALUE"""),"Jalapeno slices")</f>
        <v>Jalapeno slices</v>
      </c>
      <c r="AW196" s="292" t="str">
        <f>IFERROR(__xludf.DUMMYFUNCTION("""COMPUTED_VALUE"""),"Year Round")</f>
        <v>Year Round</v>
      </c>
      <c r="AX196" s="292" t="str">
        <f>IFERROR(__xludf.DUMMYFUNCTION("""COMPUTED_VALUE"""),"Mexican")</f>
        <v>Mexican</v>
      </c>
      <c r="AY196" s="292"/>
      <c r="AZ196" s="292" t="str">
        <f>IFERROR(__xludf.DUMMYFUNCTION("""COMPUTED_VALUE"""),"2 CT")</f>
        <v>2 CT</v>
      </c>
      <c r="BA196" s="292" t="b">
        <f>IFERROR(__xludf.DUMMYFUNCTION("""COMPUTED_VALUE"""),FALSE)</f>
        <v>0</v>
      </c>
      <c r="BB196" s="342">
        <f>IFERROR(__xludf.DUMMYFUNCTION("""COMPUTED_VALUE"""),2.69)</f>
        <v>2.69</v>
      </c>
      <c r="BC196" s="342">
        <f>IFERROR(__xludf.DUMMYFUNCTION("""COMPUTED_VALUE"""),0.97)</f>
        <v>0.97</v>
      </c>
      <c r="BD196" s="342">
        <f>IFERROR(__xludf.DUMMYFUNCTION("""COMPUTED_VALUE"""),0.36)</f>
        <v>0.36</v>
      </c>
      <c r="BE196" s="342">
        <f>IFERROR(__xludf.DUMMYFUNCTION("""COMPUTED_VALUE"""),0.89)</f>
        <v>0.89</v>
      </c>
      <c r="BF196" s="296">
        <f>IFERROR(__xludf.DUMMYFUNCTION("""COMPUTED_VALUE"""),3.4033333333333338)</f>
        <v>3.403333333</v>
      </c>
      <c r="BG196" s="296">
        <f>IFERROR(__xludf.DUMMYFUNCTION("""COMPUTED_VALUE"""),3.36)</f>
        <v>3.36</v>
      </c>
      <c r="BH196" s="296">
        <f>IFERROR(__xludf.DUMMYFUNCTION("""COMPUTED_VALUE"""),3.433333333333333)</f>
        <v>3.433333333</v>
      </c>
      <c r="BI196" s="295">
        <f>IFERROR(__xludf.DUMMYFUNCTION("""COMPUTED_VALUE"""),151.0)</f>
        <v>151</v>
      </c>
      <c r="BJ196" s="292"/>
      <c r="BK196" s="346">
        <f>IFERROR(__xludf.DUMMYFUNCTION("""COMPUTED_VALUE"""),2121.0)</f>
        <v>2121</v>
      </c>
      <c r="BL196" s="292"/>
      <c r="BM196" s="292"/>
      <c r="BN196" s="292"/>
      <c r="BO196" s="292"/>
      <c r="BP196" s="292"/>
      <c r="BQ196" s="292" t="str">
        <f>IFERROR(__xludf.DUMMYFUNCTION("""COMPUTED_VALUE"""),"Proven")</f>
        <v>Proven</v>
      </c>
      <c r="BR196" s="292" t="b">
        <f>IFERROR(__xludf.DUMMYFUNCTION("""COMPUTED_VALUE"""),FALSE)</f>
        <v>0</v>
      </c>
      <c r="BS196" s="292" t="b">
        <f>IFERROR(__xludf.DUMMYFUNCTION("""COMPUTED_VALUE"""),FALSE)</f>
        <v>0</v>
      </c>
      <c r="BT196" s="292"/>
      <c r="BU196" s="292"/>
      <c r="BV196" s="292"/>
      <c r="BW196" s="292"/>
    </row>
    <row r="197">
      <c r="A197" s="292" t="str">
        <f>IFERROR(__xludf.DUMMYFUNCTION("""COMPUTED_VALUE"""),"FE1465A")</f>
        <v>FE1465A</v>
      </c>
      <c r="B197" s="292" t="str">
        <f>IFERROR(__xludf.DUMMYFUNCTION("""COMPUTED_VALUE"""),"CON-40-152016-4")</f>
        <v>CON-40-152016-4</v>
      </c>
      <c r="C197" s="292" t="str">
        <f>IFERROR(__xludf.DUMMYFUNCTION("""COMPUTED_VALUE"""),"CON-00-152037-2")</f>
        <v>CON-00-152037-2</v>
      </c>
      <c r="D197" s="292" t="str">
        <f>IFERROR(__xludf.DUMMYFUNCTION("""COMPUTED_VALUE"""),"CON-00-152036-2")</f>
        <v>CON-00-152036-2</v>
      </c>
      <c r="E197" s="292" t="str">
        <f>IFERROR(__xludf.DUMMYFUNCTION("""COMPUTED_VALUE"""),"Caribbean Mango Salsa Salmon")</f>
        <v>Caribbean Mango Salsa Salmon</v>
      </c>
      <c r="F197" s="292" t="str">
        <f>IFERROR(__xludf.DUMMYFUNCTION("""COMPUTED_VALUE"""),"with Pineapple Rice and Beans &amp; Zucchini")</f>
        <v>with Pineapple Rice and Beans &amp; Zucchini</v>
      </c>
      <c r="G197" s="292" t="str">
        <f>IFERROR(__xludf.DUMMYFUNCTION("""COMPUTED_VALUE"""),"Caribische stijl zalm met mangosalsa")</f>
        <v>Caribische stijl zalm met mangosalsa</v>
      </c>
      <c r="H197" s="292" t="str">
        <f>IFERROR(__xludf.DUMMYFUNCTION("""COMPUTED_VALUE"""),"met ananasrijst, bonen &amp; courgette")</f>
        <v>met ananasrijst, bonen &amp; courgette</v>
      </c>
      <c r="I197" s="292" t="str">
        <f>IFERROR(__xludf.DUMMYFUNCTION("""COMPUTED_VALUE"""),"Laks med mangosalsa i caribisk stil")</f>
        <v>Laks med mangosalsa i caribisk stil</v>
      </c>
      <c r="J197" s="292" t="str">
        <f>IFERROR(__xludf.DUMMYFUNCTION("""COMPUTED_VALUE"""),"Karibischer Lachs mit Mangosalsa")</f>
        <v>Karibischer Lachs mit Mangosalsa</v>
      </c>
      <c r="K197" s="292">
        <f>IFERROR(__xludf.DUMMYFUNCTION("""COMPUTED_VALUE"""),565198.0)</f>
        <v>565198</v>
      </c>
      <c r="L197" s="292" t="str">
        <f>IFERROR(__xludf.DUMMYFUNCTION("""COMPUTED_VALUE"""),"HF Mango salsa zalm")</f>
        <v>HF Mango salsa zalm</v>
      </c>
      <c r="M197" s="292" t="str">
        <f>IFERROR(__xludf.DUMMYFUNCTION("""COMPUTED_VALUE"""),"FA-NL Caribische stijl zalm met mangosalsa (FE1465)")</f>
        <v>FA-NL Caribische stijl zalm met mangosalsa (FE1465)</v>
      </c>
      <c r="N197" s="292" t="str">
        <f>IFERROR(__xludf.DUMMYFUNCTION("""COMPUTED_VALUE"""),"FA-NO Laks med mangosalsa i caribisk stil (FE1465)")</f>
        <v>FA-NO Laks med mangosalsa i caribisk stil (FE1465)</v>
      </c>
      <c r="O197" s="292" t="str">
        <f>IFERROR(__xludf.DUMMYFUNCTION("""COMPUTED_VALUE"""),"FA-DE Karibischer Lachs mit Mangosalsa (FE1465)")</f>
        <v>FA-DE Karibischer Lachs mit Mangosalsa (FE1465)</v>
      </c>
      <c r="P197" s="292" t="str">
        <f>IFERROR(__xludf.DUMMYFUNCTION("""COMPUTED_VALUE"""),"Active")</f>
        <v>Active</v>
      </c>
      <c r="Q197" s="292"/>
      <c r="R197" s="342">
        <f>IFERROR(__xludf.DUMMYFUNCTION("""COMPUTED_VALUE"""),6.2)</f>
        <v>6.2</v>
      </c>
      <c r="S197" s="292"/>
      <c r="T197" s="292"/>
      <c r="U197" s="292"/>
      <c r="V197" s="292"/>
      <c r="W197" s="292" t="b">
        <f>IFERROR(__xludf.DUMMYFUNCTION("""COMPUTED_VALUE"""),TRUE)</f>
        <v>1</v>
      </c>
      <c r="X197" s="345">
        <f>IFERROR(__xludf.DUMMYFUNCTION("""COMPUTED_VALUE"""),404.0)</f>
        <v>404</v>
      </c>
      <c r="Y197" s="344">
        <f>IFERROR(__xludf.DUMMYFUNCTION("""COMPUTED_VALUE"""),606.0)</f>
        <v>606</v>
      </c>
      <c r="Z197" s="343">
        <f>IFERROR(__xludf.DUMMYFUNCTION("""COMPUTED_VALUE"""),34.1)</f>
        <v>34.1</v>
      </c>
      <c r="AA197" s="344">
        <f>IFERROR(__xludf.DUMMYFUNCTION("""COMPUTED_VALUE"""),6.4)</f>
        <v>6.4</v>
      </c>
      <c r="AB197" s="344">
        <f>IFERROR(__xludf.DUMMYFUNCTION("""COMPUTED_VALUE"""),36.1)</f>
        <v>36.1</v>
      </c>
      <c r="AC197" s="344">
        <f>IFERROR(__xludf.DUMMYFUNCTION("""COMPUTED_VALUE"""),14.4)</f>
        <v>14.4</v>
      </c>
      <c r="AD197" s="344">
        <f>IFERROR(__xludf.DUMMYFUNCTION("""COMPUTED_VALUE"""),8.4)</f>
        <v>8.4</v>
      </c>
      <c r="AE197" s="343">
        <f>IFERROR(__xludf.DUMMYFUNCTION("""COMPUTED_VALUE"""),33.2)</f>
        <v>33.2</v>
      </c>
      <c r="AF197" s="343">
        <f>IFERROR(__xludf.DUMMYFUNCTION("""COMPUTED_VALUE"""),2.01)</f>
        <v>2.01</v>
      </c>
      <c r="AG197" s="292" t="b">
        <f>IFERROR(__xludf.DUMMYFUNCTION("""COMPUTED_VALUE"""),FALSE)</f>
        <v>0</v>
      </c>
      <c r="AH197" s="292" t="b">
        <f>IFERROR(__xludf.DUMMYFUNCTION("""COMPUTED_VALUE"""),FALSE)</f>
        <v>0</v>
      </c>
      <c r="AI197" s="292" t="b">
        <f>IFERROR(__xludf.DUMMYFUNCTION("""COMPUTED_VALUE"""),FALSE)</f>
        <v>0</v>
      </c>
      <c r="AJ197" s="292" t="b">
        <f>IFERROR(__xludf.DUMMYFUNCTION("""COMPUTED_VALUE"""),FALSE)</f>
        <v>0</v>
      </c>
      <c r="AK197" s="292" t="b">
        <f>IFERROR(__xludf.DUMMYFUNCTION("""COMPUTED_VALUE"""),FALSE)</f>
        <v>0</v>
      </c>
      <c r="AL197" s="292" t="b">
        <f>IFERROR(__xludf.DUMMYFUNCTION("""COMPUTED_VALUE"""),FALSE)</f>
        <v>0</v>
      </c>
      <c r="AM197" s="292" t="b">
        <f>IFERROR(__xludf.DUMMYFUNCTION("""COMPUTED_VALUE"""),TRUE)</f>
        <v>1</v>
      </c>
      <c r="AN197" s="292" t="b">
        <f>IFERROR(__xludf.DUMMYFUNCTION("""COMPUTED_VALUE"""),TRUE)</f>
        <v>1</v>
      </c>
      <c r="AO197" s="292" t="str">
        <f>IFERROR(__xludf.DUMMYFUNCTION("""COMPUTED_VALUE"""),"FALSE")</f>
        <v>FALSE</v>
      </c>
      <c r="AP197" s="292" t="str">
        <f>IFERROR(__xludf.DUMMYFUNCTION("""COMPUTED_VALUE"""),"Salmon")</f>
        <v>Salmon</v>
      </c>
      <c r="AQ197" s="292" t="str">
        <f>IFERROR(__xludf.DUMMYFUNCTION("""COMPUTED_VALUE"""),"Salmon")</f>
        <v>Salmon</v>
      </c>
      <c r="AR197" s="292" t="str">
        <f>IFERROR(__xludf.DUMMYFUNCTION("""COMPUTED_VALUE"""),"Fillet")</f>
        <v>Fillet</v>
      </c>
      <c r="AS197" s="292" t="str">
        <f>IFERROR(__xludf.DUMMYFUNCTION("""COMPUTED_VALUE"""),"Rice")</f>
        <v>Rice</v>
      </c>
      <c r="AT197" s="292" t="str">
        <f>IFERROR(__xludf.DUMMYFUNCTION("""COMPUTED_VALUE"""),"Zucchini Diced")</f>
        <v>Zucchini Diced</v>
      </c>
      <c r="AU197" s="292" t="str">
        <f>IFERROR(__xludf.DUMMYFUNCTION("""COMPUTED_VALUE"""),"Black Beans")</f>
        <v>Black Beans</v>
      </c>
      <c r="AV197" s="292" t="str">
        <f>IFERROR(__xludf.DUMMYFUNCTION("""COMPUTED_VALUE"""),"Other sauce")</f>
        <v>Other sauce</v>
      </c>
      <c r="AW197" s="292" t="str">
        <f>IFERROR(__xludf.DUMMYFUNCTION("""COMPUTED_VALUE"""),"Year Round")</f>
        <v>Year Round</v>
      </c>
      <c r="AX197" s="292" t="str">
        <f>IFERROR(__xludf.DUMMYFUNCTION("""COMPUTED_VALUE"""),"Caribbean")</f>
        <v>Caribbean</v>
      </c>
      <c r="AY197" s="292"/>
      <c r="AZ197" s="292" t="str">
        <f>IFERROR(__xludf.DUMMYFUNCTION("""COMPUTED_VALUE"""),"2 CT")</f>
        <v>2 CT</v>
      </c>
      <c r="BA197" s="292" t="b">
        <f>IFERROR(__xludf.DUMMYFUNCTION("""COMPUTED_VALUE"""),FALSE)</f>
        <v>0</v>
      </c>
      <c r="BB197" s="342">
        <f>IFERROR(__xludf.DUMMYFUNCTION("""COMPUTED_VALUE"""),4.51)</f>
        <v>4.51</v>
      </c>
      <c r="BC197" s="348">
        <f>IFERROR(__xludf.DUMMYFUNCTION("""COMPUTED_VALUE"""),1.28)</f>
        <v>1.28</v>
      </c>
      <c r="BD197" s="348">
        <f>IFERROR(__xludf.DUMMYFUNCTION("""COMPUTED_VALUE"""),0.41)</f>
        <v>0.41</v>
      </c>
      <c r="BE197" s="342">
        <f>IFERROR(__xludf.DUMMYFUNCTION("""COMPUTED_VALUE"""),0.89)</f>
        <v>0.89</v>
      </c>
      <c r="BF197" s="296">
        <f>IFERROR(__xludf.DUMMYFUNCTION("""COMPUTED_VALUE"""),3.1087495291902068)</f>
        <v>3.108749529</v>
      </c>
      <c r="BG197" s="296" t="str">
        <f>IFERROR(__xludf.DUMMYFUNCTION("""COMPUTED_VALUE"""),"#REF!")</f>
        <v>#REF!</v>
      </c>
      <c r="BH197" s="296" t="str">
        <f>IFERROR(__xludf.DUMMYFUNCTION("""COMPUTED_VALUE"""),"#REF!")</f>
        <v>#REF!</v>
      </c>
      <c r="BI197" s="295">
        <f>IFERROR(__xludf.DUMMYFUNCTION("""COMPUTED_VALUE"""),141.0)</f>
        <v>141</v>
      </c>
      <c r="BJ197" s="292"/>
      <c r="BK197" s="346">
        <f>IFERROR(__xludf.DUMMYFUNCTION("""COMPUTED_VALUE"""),2530.0)</f>
        <v>2530</v>
      </c>
      <c r="BL197" s="292"/>
      <c r="BM197" s="292"/>
      <c r="BN197" s="292"/>
      <c r="BO197" s="292"/>
      <c r="BP197" s="292"/>
      <c r="BQ197" s="292" t="str">
        <f>IFERROR(__xludf.DUMMYFUNCTION("""COMPUTED_VALUE"""),"New")</f>
        <v>New</v>
      </c>
      <c r="BR197" s="292" t="b">
        <f>IFERROR(__xludf.DUMMYFUNCTION("""COMPUTED_VALUE"""),FALSE)</f>
        <v>0</v>
      </c>
      <c r="BS197" s="292" t="b">
        <f>IFERROR(__xludf.DUMMYFUNCTION("""COMPUTED_VALUE"""),FALSE)</f>
        <v>0</v>
      </c>
      <c r="BT197" s="292"/>
      <c r="BU197" s="292"/>
      <c r="BV197" s="292"/>
      <c r="BW197" s="292"/>
    </row>
    <row r="198">
      <c r="A198" s="292" t="str">
        <f>IFERROR(__xludf.DUMMYFUNCTION("""COMPUTED_VALUE"""),"FE4065A")</f>
        <v>FE4065A</v>
      </c>
      <c r="B198" s="292" t="str">
        <f>IFERROR(__xludf.DUMMYFUNCTION("""COMPUTED_VALUE"""),"CON-40-152012-4")</f>
        <v>CON-40-152012-4</v>
      </c>
      <c r="C198" s="292" t="str">
        <f>IFERROR(__xludf.DUMMYFUNCTION("""COMPUTED_VALUE"""),"CON-00-152032-2")</f>
        <v>CON-00-152032-2</v>
      </c>
      <c r="D198" s="292" t="str">
        <f>IFERROR(__xludf.DUMMYFUNCTION("""COMPUTED_VALUE"""),"CON-00-152031-2")</f>
        <v>CON-00-152031-2</v>
      </c>
      <c r="E198" s="292" t="str">
        <f>IFERROR(__xludf.DUMMYFUNCTION("""COMPUTED_VALUE"""),"Spicy Beef &amp; Black Bean Chili")</f>
        <v>Spicy Beef &amp; Black Bean Chili</v>
      </c>
      <c r="F198" s="292" t="str">
        <f>IFERROR(__xludf.DUMMYFUNCTION("""COMPUTED_VALUE"""),"with Cilantro Sweet Potatoes &amp; Corn Salsa")</f>
        <v>with Cilantro Sweet Potatoes &amp; Corn Salsa</v>
      </c>
      <c r="G198" s="292" t="str">
        <f>IFERROR(__xludf.DUMMYFUNCTION("""COMPUTED_VALUE"""),"Pittige chili met rundvlees en zwarte bonen")</f>
        <v>Pittige chili met rundvlees en zwarte bonen</v>
      </c>
      <c r="H198" s="292" t="str">
        <f>IFERROR(__xludf.DUMMYFUNCTION("""COMPUTED_VALUE"""),"met koriander, zoete aardappel &amp; maïs-salsa")</f>
        <v>met koriander, zoete aardappel &amp; maïs-salsa</v>
      </c>
      <c r="I198" s="292" t="str">
        <f>IFERROR(__xludf.DUMMYFUNCTION("""COMPUTED_VALUE"""),"Chili med oksekød og sorte bønner")</f>
        <v>Chili med oksekød og sorte bønner</v>
      </c>
      <c r="J198" s="292" t="str">
        <f>IFERROR(__xludf.DUMMYFUNCTION("""COMPUTED_VALUE"""),"Würziges Rindfleisch-Bohnen-Chili")</f>
        <v>Würziges Rindfleisch-Bohnen-Chili</v>
      </c>
      <c r="K198" s="292">
        <f>IFERROR(__xludf.DUMMYFUNCTION("""COMPUTED_VALUE"""),565214.0)</f>
        <v>565214</v>
      </c>
      <c r="L198" s="292" t="str">
        <f>IFERROR(__xludf.DUMMYFUNCTION("""COMPUTED_VALUE"""),"HF Pittige runder chili")</f>
        <v>HF Pittige runder chili</v>
      </c>
      <c r="M198" s="292" t="str">
        <f>IFERROR(__xludf.DUMMYFUNCTION("""COMPUTED_VALUE"""),"FA-NL Pittige chili met rundvlees en zwarte bonen (FE4065)")</f>
        <v>FA-NL Pittige chili met rundvlees en zwarte bonen (FE4065)</v>
      </c>
      <c r="N198" s="292" t="str">
        <f>IFERROR(__xludf.DUMMYFUNCTION("""COMPUTED_VALUE"""),"FA-NO Chili med oksekød og sorte bønner (FE4065)")</f>
        <v>FA-NO Chili med oksekød og sorte bønner (FE4065)</v>
      </c>
      <c r="O198" s="292" t="str">
        <f>IFERROR(__xludf.DUMMYFUNCTION("""COMPUTED_VALUE"""),"FA-DE Würziges Rindfleisch-Bohnen-Chili (FE4065)")</f>
        <v>FA-DE Würziges Rindfleisch-Bohnen-Chili (FE4065)</v>
      </c>
      <c r="P198" s="292" t="str">
        <f>IFERROR(__xludf.DUMMYFUNCTION("""COMPUTED_VALUE"""),"Active")</f>
        <v>Active</v>
      </c>
      <c r="Q198" s="292"/>
      <c r="R198" s="342">
        <f>IFERROR(__xludf.DUMMYFUNCTION("""COMPUTED_VALUE"""),4.5)</f>
        <v>4.5</v>
      </c>
      <c r="S198" s="292"/>
      <c r="T198" s="292"/>
      <c r="U198" s="292"/>
      <c r="V198" s="292"/>
      <c r="W198" s="292" t="b">
        <f>IFERROR(__xludf.DUMMYFUNCTION("""COMPUTED_VALUE"""),TRUE)</f>
        <v>1</v>
      </c>
      <c r="X198" s="345">
        <f>IFERROR(__xludf.DUMMYFUNCTION("""COMPUTED_VALUE"""),424.0)</f>
        <v>424</v>
      </c>
      <c r="Y198" s="344">
        <f>IFERROR(__xludf.DUMMYFUNCTION("""COMPUTED_VALUE"""),664.0)</f>
        <v>664</v>
      </c>
      <c r="Z198" s="343">
        <f>IFERROR(__xludf.DUMMYFUNCTION("""COMPUTED_VALUE"""),36.3)</f>
        <v>36.3</v>
      </c>
      <c r="AA198" s="344">
        <f>IFERROR(__xludf.DUMMYFUNCTION("""COMPUTED_VALUE"""),10.8)</f>
        <v>10.8</v>
      </c>
      <c r="AB198" s="344">
        <f>IFERROR(__xludf.DUMMYFUNCTION("""COMPUTED_VALUE"""),48.0)</f>
        <v>48</v>
      </c>
      <c r="AC198" s="344">
        <f>IFERROR(__xludf.DUMMYFUNCTION("""COMPUTED_VALUE"""),15.6)</f>
        <v>15.6</v>
      </c>
      <c r="AD198" s="344">
        <f>IFERROR(__xludf.DUMMYFUNCTION("""COMPUTED_VALUE"""),12.1)</f>
        <v>12.1</v>
      </c>
      <c r="AE198" s="343">
        <f>IFERROR(__xludf.DUMMYFUNCTION("""COMPUTED_VALUE"""),30.7)</f>
        <v>30.7</v>
      </c>
      <c r="AF198" s="343">
        <f>IFERROR(__xludf.DUMMYFUNCTION("""COMPUTED_VALUE"""),2.04)</f>
        <v>2.04</v>
      </c>
      <c r="AG198" s="292" t="b">
        <f>IFERROR(__xludf.DUMMYFUNCTION("""COMPUTED_VALUE"""),TRUE)</f>
        <v>1</v>
      </c>
      <c r="AH198" s="292" t="b">
        <f>IFERROR(__xludf.DUMMYFUNCTION("""COMPUTED_VALUE"""),FALSE)</f>
        <v>0</v>
      </c>
      <c r="AI198" s="292" t="b">
        <f>IFERROR(__xludf.DUMMYFUNCTION("""COMPUTED_VALUE"""),FALSE)</f>
        <v>0</v>
      </c>
      <c r="AJ198" s="292" t="b">
        <f>IFERROR(__xludf.DUMMYFUNCTION("""COMPUTED_VALUE"""),FALSE)</f>
        <v>0</v>
      </c>
      <c r="AK198" s="292" t="b">
        <f>IFERROR(__xludf.DUMMYFUNCTION("""COMPUTED_VALUE"""),FALSE)</f>
        <v>0</v>
      </c>
      <c r="AL198" s="292" t="b">
        <f>IFERROR(__xludf.DUMMYFUNCTION("""COMPUTED_VALUE"""),FALSE)</f>
        <v>0</v>
      </c>
      <c r="AM198" s="292" t="b">
        <f>IFERROR(__xludf.DUMMYFUNCTION("""COMPUTED_VALUE"""),FALSE)</f>
        <v>0</v>
      </c>
      <c r="AN198" s="292" t="b">
        <f>IFERROR(__xludf.DUMMYFUNCTION("""COMPUTED_VALUE"""),TRUE)</f>
        <v>1</v>
      </c>
      <c r="AO198" s="292" t="str">
        <f>IFERROR(__xludf.DUMMYFUNCTION("""COMPUTED_VALUE"""),"TRUE")</f>
        <v>TRUE</v>
      </c>
      <c r="AP198" s="292" t="str">
        <f>IFERROR(__xludf.DUMMYFUNCTION("""COMPUTED_VALUE"""),"Ground beef")</f>
        <v>Ground beef</v>
      </c>
      <c r="AQ198" s="292" t="str">
        <f>IFERROR(__xludf.DUMMYFUNCTION("""COMPUTED_VALUE"""),"Beef")</f>
        <v>Beef</v>
      </c>
      <c r="AR198" s="292" t="str">
        <f>IFERROR(__xludf.DUMMYFUNCTION("""COMPUTED_VALUE"""),"Ground")</f>
        <v>Ground</v>
      </c>
      <c r="AS198" s="292" t="str">
        <f>IFERROR(__xludf.DUMMYFUNCTION("""COMPUTED_VALUE"""),"Sweet Potato")</f>
        <v>Sweet Potato</v>
      </c>
      <c r="AT198" s="292" t="str">
        <f>IFERROR(__xludf.DUMMYFUNCTION("""COMPUTED_VALUE"""),"Corn Kernels")</f>
        <v>Corn Kernels</v>
      </c>
      <c r="AU198" s="292" t="str">
        <f>IFERROR(__xludf.DUMMYFUNCTION("""COMPUTED_VALUE"""),"Black Beans")</f>
        <v>Black Beans</v>
      </c>
      <c r="AV198" s="292" t="str">
        <f>IFERROR(__xludf.DUMMYFUNCTION("""COMPUTED_VALUE"""),"Tomato Based Sauce")</f>
        <v>Tomato Based Sauce</v>
      </c>
      <c r="AW198" s="292" t="str">
        <f>IFERROR(__xludf.DUMMYFUNCTION("""COMPUTED_VALUE"""),"Year Round")</f>
        <v>Year Round</v>
      </c>
      <c r="AX198" s="292" t="str">
        <f>IFERROR(__xludf.DUMMYFUNCTION("""COMPUTED_VALUE"""),"American - Tex-Mex")</f>
        <v>American - Tex-Mex</v>
      </c>
      <c r="AY198" s="292"/>
      <c r="AZ198" s="292" t="str">
        <f>IFERROR(__xludf.DUMMYFUNCTION("""COMPUTED_VALUE"""),"2 CT")</f>
        <v>2 CT</v>
      </c>
      <c r="BA198" s="292" t="b">
        <f>IFERROR(__xludf.DUMMYFUNCTION("""COMPUTED_VALUE"""),FALSE)</f>
        <v>0</v>
      </c>
      <c r="BB198" s="342">
        <f>IFERROR(__xludf.DUMMYFUNCTION("""COMPUTED_VALUE"""),2.61)</f>
        <v>2.61</v>
      </c>
      <c r="BC198" s="348">
        <f>IFERROR(__xludf.DUMMYFUNCTION("""COMPUTED_VALUE"""),1.49)</f>
        <v>1.49</v>
      </c>
      <c r="BD198" s="348">
        <f>IFERROR(__xludf.DUMMYFUNCTION("""COMPUTED_VALUE"""),0.41)</f>
        <v>0.41</v>
      </c>
      <c r="BE198" s="342">
        <f>IFERROR(__xludf.DUMMYFUNCTION("""COMPUTED_VALUE"""),0.89)</f>
        <v>0.89</v>
      </c>
      <c r="BF198" s="296">
        <f>IFERROR(__xludf.DUMMYFUNCTION("""COMPUTED_VALUE"""),3.4559106349621116)</f>
        <v>3.455910635</v>
      </c>
      <c r="BG198" s="296" t="str">
        <f>IFERROR(__xludf.DUMMYFUNCTION("""COMPUTED_VALUE"""),"#REF!")</f>
        <v>#REF!</v>
      </c>
      <c r="BH198" s="296" t="str">
        <f>IFERROR(__xludf.DUMMYFUNCTION("""COMPUTED_VALUE"""),"#REF!")</f>
        <v>#REF!</v>
      </c>
      <c r="BI198" s="295">
        <f>IFERROR(__xludf.DUMMYFUNCTION("""COMPUTED_VALUE"""),192.0)</f>
        <v>192</v>
      </c>
      <c r="BJ198" s="292"/>
      <c r="BK198" s="346">
        <f>IFERROR(__xludf.DUMMYFUNCTION("""COMPUTED_VALUE"""),2772.0)</f>
        <v>2772</v>
      </c>
      <c r="BL198" s="292"/>
      <c r="BM198" s="292"/>
      <c r="BN198" s="292"/>
      <c r="BO198" s="292"/>
      <c r="BP198" s="292"/>
      <c r="BQ198" s="292" t="str">
        <f>IFERROR(__xludf.DUMMYFUNCTION("""COMPUTED_VALUE"""),"New")</f>
        <v>New</v>
      </c>
      <c r="BR198" s="292" t="b">
        <f>IFERROR(__xludf.DUMMYFUNCTION("""COMPUTED_VALUE"""),TRUE)</f>
        <v>1</v>
      </c>
      <c r="BS198" s="292" t="b">
        <f>IFERROR(__xludf.DUMMYFUNCTION("""COMPUTED_VALUE"""),FALSE)</f>
        <v>0</v>
      </c>
      <c r="BT198" s="292"/>
      <c r="BU198" s="292"/>
      <c r="BV198" s="292"/>
      <c r="BW198" s="292"/>
    </row>
    <row r="199">
      <c r="A199" s="292" t="str">
        <f>IFERROR(__xludf.DUMMYFUNCTION("""COMPUTED_VALUE"""),"FE1068A")</f>
        <v>FE1068A</v>
      </c>
      <c r="B199" s="292" t="str">
        <f>IFERROR(__xludf.DUMMYFUNCTION("""COMPUTED_VALUE"""),"CON-40-152013-4")</f>
        <v>CON-40-152013-4</v>
      </c>
      <c r="C199" s="292" t="str">
        <f>IFERROR(__xludf.DUMMYFUNCTION("""COMPUTED_VALUE"""),"CON-00-152034-2")</f>
        <v>CON-00-152034-2</v>
      </c>
      <c r="D199" s="292" t="str">
        <f>IFERROR(__xludf.DUMMYFUNCTION("""COMPUTED_VALUE"""),"CON-00-152033-2")</f>
        <v>CON-00-152033-2</v>
      </c>
      <c r="E199" s="292" t="str">
        <f>IFERROR(__xludf.DUMMYFUNCTION("""COMPUTED_VALUE"""),"Moroccan-style chicken thighs &amp; tomato sauce")</f>
        <v>Moroccan-style chicken thighs &amp; tomato sauce</v>
      </c>
      <c r="F199" s="292" t="str">
        <f>IFERROR(__xludf.DUMMYFUNCTION("""COMPUTED_VALUE"""),"with herbed potatoes, green beans &amp; tahini sauce")</f>
        <v>with herbed potatoes, green beans &amp; tahini sauce</v>
      </c>
      <c r="G199" s="292" t="str">
        <f>IFERROR(__xludf.DUMMYFUNCTION("""COMPUTED_VALUE"""),"Marokkaanse stijl kippendij &amp; tomatensaus")</f>
        <v>Marokkaanse stijl kippendij &amp; tomatensaus</v>
      </c>
      <c r="H199" s="292" t="str">
        <f>IFERROR(__xludf.DUMMYFUNCTION("""COMPUTED_VALUE"""),"met kruidige aardappelen, sperziebonen &amp; tahinisaus")</f>
        <v>met kruidige aardappelen, sperziebonen &amp; tahinisaus</v>
      </c>
      <c r="I199" s="292" t="str">
        <f>IFERROR(__xludf.DUMMYFUNCTION("""COMPUTED_VALUE"""),"Marokkansk-inspirerede kyllingeoverlår i tomatsauce")</f>
        <v>Marokkansk-inspirerede kyllingeoverlår i tomatsauce</v>
      </c>
      <c r="J199" s="292" t="str">
        <f>IFERROR(__xludf.DUMMYFUNCTION("""COMPUTED_VALUE"""),"Marokkanisches Hähnchen in Tomatensauce")</f>
        <v>Marokkanisches Hähnchen in Tomatensauce</v>
      </c>
      <c r="K199" s="292">
        <f>IFERROR(__xludf.DUMMYFUNCTION("""COMPUTED_VALUE"""),565192.0)</f>
        <v>565192</v>
      </c>
      <c r="L199" s="292" t="str">
        <f>IFERROR(__xludf.DUMMYFUNCTION("""COMPUTED_VALUE"""),"HF Kip met kruidige aardappels")</f>
        <v>HF Kip met kruidige aardappels</v>
      </c>
      <c r="M199" s="292" t="str">
        <f>IFERROR(__xludf.DUMMYFUNCTION("""COMPUTED_VALUE"""),"FA-NL Marokkaanse stijl kippendij &amp; tomatensaus (FE1068)")</f>
        <v>FA-NL Marokkaanse stijl kippendij &amp; tomatensaus (FE1068)</v>
      </c>
      <c r="N199" s="292" t="str">
        <f>IFERROR(__xludf.DUMMYFUNCTION("""COMPUTED_VALUE"""),"FA-NO Marokkansk-inspirerede kyllingeoverlår i tomatsauce (FE1068)")</f>
        <v>FA-NO Marokkansk-inspirerede kyllingeoverlår i tomatsauce (FE1068)</v>
      </c>
      <c r="O199" s="292" t="str">
        <f>IFERROR(__xludf.DUMMYFUNCTION("""COMPUTED_VALUE"""),"FA-DE Marokkanisches Hähnchen in Tomatensauce (FE1068)")</f>
        <v>FA-DE Marokkanisches Hähnchen in Tomatensauce (FE1068)</v>
      </c>
      <c r="P199" s="292" t="str">
        <f>IFERROR(__xludf.DUMMYFUNCTION("""COMPUTED_VALUE"""),"Active")</f>
        <v>Active</v>
      </c>
      <c r="Q199" s="292"/>
      <c r="R199" s="342">
        <f>IFERROR(__xludf.DUMMYFUNCTION("""COMPUTED_VALUE"""),3.67)</f>
        <v>3.67</v>
      </c>
      <c r="S199" s="292"/>
      <c r="T199" s="292"/>
      <c r="U199" s="292"/>
      <c r="V199" s="292"/>
      <c r="W199" s="292" t="b">
        <f>IFERROR(__xludf.DUMMYFUNCTION("""COMPUTED_VALUE"""),TRUE)</f>
        <v>1</v>
      </c>
      <c r="X199" s="345">
        <f>IFERROR(__xludf.DUMMYFUNCTION("""COMPUTED_VALUE"""),409.0)</f>
        <v>409</v>
      </c>
      <c r="Y199" s="344">
        <f>IFERROR(__xludf.DUMMYFUNCTION("""COMPUTED_VALUE"""),482.0)</f>
        <v>482</v>
      </c>
      <c r="Z199" s="343">
        <f>IFERROR(__xludf.DUMMYFUNCTION("""COMPUTED_VALUE"""),25.5)</f>
        <v>25.5</v>
      </c>
      <c r="AA199" s="344">
        <f>IFERROR(__xludf.DUMMYFUNCTION("""COMPUTED_VALUE"""),6.9)</f>
        <v>6.9</v>
      </c>
      <c r="AB199" s="344">
        <f>IFERROR(__xludf.DUMMYFUNCTION("""COMPUTED_VALUE"""),28.3)</f>
        <v>28.3</v>
      </c>
      <c r="AC199" s="344">
        <f>IFERROR(__xludf.DUMMYFUNCTION("""COMPUTED_VALUE"""),11.0)</f>
        <v>11</v>
      </c>
      <c r="AD199" s="344">
        <f>IFERROR(__xludf.DUMMYFUNCTION("""COMPUTED_VALUE"""),9.1)</f>
        <v>9.1</v>
      </c>
      <c r="AE199" s="343">
        <f>IFERROR(__xludf.DUMMYFUNCTION("""COMPUTED_VALUE"""),30.5)</f>
        <v>30.5</v>
      </c>
      <c r="AF199" s="343">
        <f>IFERROR(__xludf.DUMMYFUNCTION("""COMPUTED_VALUE"""),2.01)</f>
        <v>2.01</v>
      </c>
      <c r="AG199" s="292" t="b">
        <f>IFERROR(__xludf.DUMMYFUNCTION("""COMPUTED_VALUE"""),FALSE)</f>
        <v>0</v>
      </c>
      <c r="AH199" s="292" t="b">
        <f>IFERROR(__xludf.DUMMYFUNCTION("""COMPUTED_VALUE"""),FALSE)</f>
        <v>0</v>
      </c>
      <c r="AI199" s="292" t="b">
        <f>IFERROR(__xludf.DUMMYFUNCTION("""COMPUTED_VALUE"""),TRUE)</f>
        <v>1</v>
      </c>
      <c r="AJ199" s="292" t="b">
        <f>IFERROR(__xludf.DUMMYFUNCTION("""COMPUTED_VALUE"""),FALSE)</f>
        <v>0</v>
      </c>
      <c r="AK199" s="292" t="b">
        <f>IFERROR(__xludf.DUMMYFUNCTION("""COMPUTED_VALUE"""),FALSE)</f>
        <v>0</v>
      </c>
      <c r="AL199" s="292" t="b">
        <f>IFERROR(__xludf.DUMMYFUNCTION("""COMPUTED_VALUE"""),FALSE)</f>
        <v>0</v>
      </c>
      <c r="AM199" s="292" t="b">
        <f>IFERROR(__xludf.DUMMYFUNCTION("""COMPUTED_VALUE"""),TRUE)</f>
        <v>1</v>
      </c>
      <c r="AN199" s="292" t="b">
        <f>IFERROR(__xludf.DUMMYFUNCTION("""COMPUTED_VALUE"""),FALSE)</f>
        <v>0</v>
      </c>
      <c r="AO199" s="292" t="str">
        <f>IFERROR(__xludf.DUMMYFUNCTION("""COMPUTED_VALUE"""),"TRUE")</f>
        <v>TRUE</v>
      </c>
      <c r="AP199" s="292" t="str">
        <f>IFERROR(__xludf.DUMMYFUNCTION("""COMPUTED_VALUE"""),"Shredded chicken")</f>
        <v>Shredded chicken</v>
      </c>
      <c r="AQ199" s="292" t="str">
        <f>IFERROR(__xludf.DUMMYFUNCTION("""COMPUTED_VALUE"""),"Chicken")</f>
        <v>Chicken</v>
      </c>
      <c r="AR199" s="292" t="str">
        <f>IFERROR(__xludf.DUMMYFUNCTION("""COMPUTED_VALUE"""),"Pulled")</f>
        <v>Pulled</v>
      </c>
      <c r="AS199" s="292" t="str">
        <f>IFERROR(__xludf.DUMMYFUNCTION("""COMPUTED_VALUE"""),"Sweet Potato")</f>
        <v>Sweet Potato</v>
      </c>
      <c r="AT199" s="292" t="str">
        <f>IFERROR(__xludf.DUMMYFUNCTION("""COMPUTED_VALUE"""),"Green Beans")</f>
        <v>Green Beans</v>
      </c>
      <c r="AU199" s="292" t="str">
        <f>IFERROR(__xludf.DUMMYFUNCTION("""COMPUTED_VALUE"""),"Tomato Based Sauce")</f>
        <v>Tomato Based Sauce</v>
      </c>
      <c r="AV199" s="292" t="str">
        <f>IFERROR(__xludf.DUMMYFUNCTION("""COMPUTED_VALUE"""),"Cupped Sauce")</f>
        <v>Cupped Sauce</v>
      </c>
      <c r="AW199" s="292" t="str">
        <f>IFERROR(__xludf.DUMMYFUNCTION("""COMPUTED_VALUE"""),"Year Round")</f>
        <v>Year Round</v>
      </c>
      <c r="AX199" s="292" t="str">
        <f>IFERROR(__xludf.DUMMYFUNCTION("""COMPUTED_VALUE"""),"Moroccan")</f>
        <v>Moroccan</v>
      </c>
      <c r="AY199" s="292"/>
      <c r="AZ199" s="292" t="str">
        <f>IFERROR(__xludf.DUMMYFUNCTION("""COMPUTED_VALUE"""),"2 CT")</f>
        <v>2 CT</v>
      </c>
      <c r="BA199" s="292" t="b">
        <f>IFERROR(__xludf.DUMMYFUNCTION("""COMPUTED_VALUE"""),TRUE)</f>
        <v>1</v>
      </c>
      <c r="BB199" s="342">
        <f>IFERROR(__xludf.DUMMYFUNCTION("""COMPUTED_VALUE"""),1.81)</f>
        <v>1.81</v>
      </c>
      <c r="BC199" s="348">
        <f>IFERROR(__xludf.DUMMYFUNCTION("""COMPUTED_VALUE"""),1.42)</f>
        <v>1.42</v>
      </c>
      <c r="BD199" s="348">
        <f>IFERROR(__xludf.DUMMYFUNCTION("""COMPUTED_VALUE"""),0.44)</f>
        <v>0.44</v>
      </c>
      <c r="BE199" s="342">
        <f>IFERROR(__xludf.DUMMYFUNCTION("""COMPUTED_VALUE"""),0.89)</f>
        <v>0.89</v>
      </c>
      <c r="BF199" s="296">
        <f>IFERROR(__xludf.DUMMYFUNCTION("""COMPUTED_VALUE"""),2.819591836734694)</f>
        <v>2.819591837</v>
      </c>
      <c r="BG199" s="296" t="str">
        <f>IFERROR(__xludf.DUMMYFUNCTION("""COMPUTED_VALUE"""),"#REF!")</f>
        <v>#REF!</v>
      </c>
      <c r="BH199" s="296" t="str">
        <f>IFERROR(__xludf.DUMMYFUNCTION("""COMPUTED_VALUE"""),"#REF!")</f>
        <v>#REF!</v>
      </c>
      <c r="BI199" s="295">
        <f>IFERROR(__xludf.DUMMYFUNCTION("""COMPUTED_VALUE"""),141.0)</f>
        <v>141</v>
      </c>
      <c r="BJ199" s="292"/>
      <c r="BK199" s="346">
        <f>IFERROR(__xludf.DUMMYFUNCTION("""COMPUTED_VALUE"""),2013.0)</f>
        <v>2013</v>
      </c>
      <c r="BL199" s="292"/>
      <c r="BM199" s="292"/>
      <c r="BN199" s="292"/>
      <c r="BO199" s="292"/>
      <c r="BP199" s="292"/>
      <c r="BQ199" s="292" t="str">
        <f>IFERROR(__xludf.DUMMYFUNCTION("""COMPUTED_VALUE"""),"New")</f>
        <v>New</v>
      </c>
      <c r="BR199" s="292" t="b">
        <f>IFERROR(__xludf.DUMMYFUNCTION("""COMPUTED_VALUE"""),FALSE)</f>
        <v>0</v>
      </c>
      <c r="BS199" s="292" t="b">
        <f>IFERROR(__xludf.DUMMYFUNCTION("""COMPUTED_VALUE"""),FALSE)</f>
        <v>0</v>
      </c>
      <c r="BT199" s="292"/>
      <c r="BU199" s="292"/>
      <c r="BV199" s="292"/>
      <c r="BW199" s="292"/>
    </row>
    <row r="200">
      <c r="A200" s="292" t="str">
        <f>IFERROR(__xludf.DUMMYFUNCTION("""COMPUTED_VALUE"""),"FE0262C")</f>
        <v>FE0262C</v>
      </c>
      <c r="B200" s="292" t="str">
        <f>IFERROR(__xludf.DUMMYFUNCTION("""COMPUTED_VALUE"""),"CON-40-152014-4")</f>
        <v>CON-40-152014-4</v>
      </c>
      <c r="C200" s="292" t="str">
        <f>IFERROR(__xludf.DUMMYFUNCTION("""COMPUTED_VALUE"""),"CON-00-152040-2")</f>
        <v>CON-00-152040-2</v>
      </c>
      <c r="D200" s="292" t="str">
        <f>IFERROR(__xludf.DUMMYFUNCTION("""COMPUTED_VALUE"""),"CON-00-152035-2")</f>
        <v>CON-00-152035-2</v>
      </c>
      <c r="E200" s="292" t="str">
        <f>IFERROR(__xludf.DUMMYFUNCTION("""COMPUTED_VALUE"""),"Braised Beef Pasta &amp; Roasted Red Pepper")</f>
        <v>Braised Beef Pasta &amp; Roasted Red Pepper</v>
      </c>
      <c r="F200" s="292" t="str">
        <f>IFERROR(__xludf.DUMMYFUNCTION("""COMPUTED_VALUE"""),"with Roasted Green Beans")</f>
        <v>with Roasted Green Beans</v>
      </c>
      <c r="G200" s="292" t="str">
        <f>IFERROR(__xludf.DUMMYFUNCTION("""COMPUTED_VALUE"""),"Macaroni met gestoofd rundvlees en rode paprika")</f>
        <v>Macaroni met gestoofd rundvlees en rode paprika</v>
      </c>
      <c r="H200" s="292" t="str">
        <f>IFERROR(__xludf.DUMMYFUNCTION("""COMPUTED_VALUE"""),"met geroosterde sperziebonen met knoflook")</f>
        <v>met geroosterde sperziebonen met knoflook</v>
      </c>
      <c r="I200" s="292" t="str">
        <f>IFERROR(__xludf.DUMMYFUNCTION("""COMPUTED_VALUE"""),"Mac and Cheese med langtidsstegt oksekød og peberfrugt")</f>
        <v>Mac and Cheese med langtidsstegt oksekød og peberfrugt</v>
      </c>
      <c r="J200" s="292" t="str">
        <f>IFERROR(__xludf.DUMMYFUNCTION("""COMPUTED_VALUE"""),"Geschmorte Rindfleisch-Pasta &amp; geröstete rote Paprika")</f>
        <v>Geschmorte Rindfleisch-Pasta &amp; geröstete rote Paprika</v>
      </c>
      <c r="K200" s="292">
        <f>IFERROR(__xludf.DUMMYFUNCTION("""COMPUTED_VALUE"""),565215.0)</f>
        <v>565215</v>
      </c>
      <c r="L200" s="292" t="str">
        <f>IFERROR(__xludf.DUMMYFUNCTION("""COMPUTED_VALUE"""),"HF Pulled beef pasta kaasaus")</f>
        <v>HF Pulled beef pasta kaasaus</v>
      </c>
      <c r="M200" s="292" t="str">
        <f>IFERROR(__xludf.DUMMYFUNCTION("""COMPUTED_VALUE"""),"FA-NL Macaroni met gestoofd rundvlees en rode paprika (FE0262)")</f>
        <v>FA-NL Macaroni met gestoofd rundvlees en rode paprika (FE0262)</v>
      </c>
      <c r="N200" s="292" t="str">
        <f>IFERROR(__xludf.DUMMYFUNCTION("""COMPUTED_VALUE"""),"FA-NO Mac and Cheese med langtidsstegt oksekød og peberfrugt (FE0262)")</f>
        <v>FA-NO Mac and Cheese med langtidsstegt oksekød og peberfrugt (FE0262)</v>
      </c>
      <c r="O200" s="292" t="str">
        <f>IFERROR(__xludf.DUMMYFUNCTION("""COMPUTED_VALUE"""),"FA-DE Geschmortes Rind &amp; Pasta mit gerösteter roter Paprika (FE0262)")</f>
        <v>FA-DE Geschmortes Rind &amp; Pasta mit gerösteter roter Paprika (FE0262)</v>
      </c>
      <c r="P200" s="292" t="str">
        <f>IFERROR(__xludf.DUMMYFUNCTION("""COMPUTED_VALUE"""),"Active")</f>
        <v>Active</v>
      </c>
      <c r="Q200" s="292"/>
      <c r="R200" s="342">
        <f>IFERROR(__xludf.DUMMYFUNCTION("""COMPUTED_VALUE"""),4.18)</f>
        <v>4.18</v>
      </c>
      <c r="S200" s="292"/>
      <c r="T200" s="292"/>
      <c r="U200" s="292"/>
      <c r="V200" s="292"/>
      <c r="W200" s="292" t="b">
        <f>IFERROR(__xludf.DUMMYFUNCTION("""COMPUTED_VALUE"""),TRUE)</f>
        <v>1</v>
      </c>
      <c r="X200" s="345">
        <f>IFERROR(__xludf.DUMMYFUNCTION("""COMPUTED_VALUE"""),394.0)</f>
        <v>394</v>
      </c>
      <c r="Y200" s="344">
        <f>IFERROR(__xludf.DUMMYFUNCTION("""COMPUTED_VALUE"""),640.0)</f>
        <v>640</v>
      </c>
      <c r="Z200" s="343">
        <f>IFERROR(__xludf.DUMMYFUNCTION("""COMPUTED_VALUE"""),31.9)</f>
        <v>31.9</v>
      </c>
      <c r="AA200" s="344">
        <f>IFERROR(__xludf.DUMMYFUNCTION("""COMPUTED_VALUE"""),15.5)</f>
        <v>15.5</v>
      </c>
      <c r="AB200" s="344">
        <f>IFERROR(__xludf.DUMMYFUNCTION("""COMPUTED_VALUE"""),40.4)</f>
        <v>40.4</v>
      </c>
      <c r="AC200" s="344">
        <f>IFERROR(__xludf.DUMMYFUNCTION("""COMPUTED_VALUE"""),11.6)</f>
        <v>11.6</v>
      </c>
      <c r="AD200" s="344">
        <f>IFERROR(__xludf.DUMMYFUNCTION("""COMPUTED_VALUE"""),9.4)</f>
        <v>9.4</v>
      </c>
      <c r="AE200" s="343">
        <f>IFERROR(__xludf.DUMMYFUNCTION("""COMPUTED_VALUE"""),43.3)</f>
        <v>43.3</v>
      </c>
      <c r="AF200" s="343">
        <f>IFERROR(__xludf.DUMMYFUNCTION("""COMPUTED_VALUE"""),2.03)</f>
        <v>2.03</v>
      </c>
      <c r="AG200" s="292" t="b">
        <f>IFERROR(__xludf.DUMMYFUNCTION("""COMPUTED_VALUE"""),FALSE)</f>
        <v>0</v>
      </c>
      <c r="AH200" s="292" t="b">
        <f>IFERROR(__xludf.DUMMYFUNCTION("""COMPUTED_VALUE"""),FALSE)</f>
        <v>0</v>
      </c>
      <c r="AI200" s="292" t="b">
        <f>IFERROR(__xludf.DUMMYFUNCTION("""COMPUTED_VALUE"""),FALSE)</f>
        <v>0</v>
      </c>
      <c r="AJ200" s="292" t="b">
        <f>IFERROR(__xludf.DUMMYFUNCTION("""COMPUTED_VALUE"""),FALSE)</f>
        <v>0</v>
      </c>
      <c r="AK200" s="292" t="b">
        <f>IFERROR(__xludf.DUMMYFUNCTION("""COMPUTED_VALUE"""),FALSE)</f>
        <v>0</v>
      </c>
      <c r="AL200" s="292" t="b">
        <f>IFERROR(__xludf.DUMMYFUNCTION("""COMPUTED_VALUE"""),FALSE)</f>
        <v>0</v>
      </c>
      <c r="AM200" s="292" t="b">
        <f>IFERROR(__xludf.DUMMYFUNCTION("""COMPUTED_VALUE"""),TRUE)</f>
        <v>1</v>
      </c>
      <c r="AN200" s="292" t="b">
        <f>IFERROR(__xludf.DUMMYFUNCTION("""COMPUTED_VALUE"""),FALSE)</f>
        <v>0</v>
      </c>
      <c r="AO200" s="292" t="str">
        <f>IFERROR(__xludf.DUMMYFUNCTION("""COMPUTED_VALUE"""),"FALSE")</f>
        <v>FALSE</v>
      </c>
      <c r="AP200" s="292" t="str">
        <f>IFERROR(__xludf.DUMMYFUNCTION("""COMPUTED_VALUE"""),"Shredded beef")</f>
        <v>Shredded beef</v>
      </c>
      <c r="AQ200" s="292" t="str">
        <f>IFERROR(__xludf.DUMMYFUNCTION("""COMPUTED_VALUE"""),"Beef")</f>
        <v>Beef</v>
      </c>
      <c r="AR200" s="292" t="str">
        <f>IFERROR(__xludf.DUMMYFUNCTION("""COMPUTED_VALUE"""),"Pulled")</f>
        <v>Pulled</v>
      </c>
      <c r="AS200" s="292" t="str">
        <f>IFERROR(__xludf.DUMMYFUNCTION("""COMPUTED_VALUE"""),"Pasta")</f>
        <v>Pasta</v>
      </c>
      <c r="AT200" s="292" t="str">
        <f>IFERROR(__xludf.DUMMYFUNCTION("""COMPUTED_VALUE"""),"Green Beans")</f>
        <v>Green Beans</v>
      </c>
      <c r="AU200" s="292" t="str">
        <f>IFERROR(__xludf.DUMMYFUNCTION("""COMPUTED_VALUE"""),"Pepper Mix")</f>
        <v>Pepper Mix</v>
      </c>
      <c r="AV200" s="292" t="str">
        <f>IFERROR(__xludf.DUMMYFUNCTION("""COMPUTED_VALUE"""),"Creamy Sauce Base")</f>
        <v>Creamy Sauce Base</v>
      </c>
      <c r="AW200" s="292" t="str">
        <f>IFERROR(__xludf.DUMMYFUNCTION("""COMPUTED_VALUE"""),"Year Round")</f>
        <v>Year Round</v>
      </c>
      <c r="AX200" s="292"/>
      <c r="AY200" s="292"/>
      <c r="AZ200" s="292" t="str">
        <f>IFERROR(__xludf.DUMMYFUNCTION("""COMPUTED_VALUE"""),"2 CT")</f>
        <v>2 CT</v>
      </c>
      <c r="BA200" s="292" t="b">
        <f>IFERROR(__xludf.DUMMYFUNCTION("""COMPUTED_VALUE"""),FALSE)</f>
        <v>0</v>
      </c>
      <c r="BB200" s="342">
        <f>IFERROR(__xludf.DUMMYFUNCTION("""COMPUTED_VALUE"""),2.48)</f>
        <v>2.48</v>
      </c>
      <c r="BC200" s="348">
        <f>IFERROR(__xludf.DUMMYFUNCTION("""COMPUTED_VALUE"""),1.29)</f>
        <v>1.29</v>
      </c>
      <c r="BD200" s="348">
        <f>IFERROR(__xludf.DUMMYFUNCTION("""COMPUTED_VALUE"""),0.41)</f>
        <v>0.41</v>
      </c>
      <c r="BE200" s="342">
        <f>IFERROR(__xludf.DUMMYFUNCTION("""COMPUTED_VALUE"""),0.89)</f>
        <v>0.89</v>
      </c>
      <c r="BF200" s="296">
        <f>IFERROR(__xludf.DUMMYFUNCTION("""COMPUTED_VALUE"""),3.3)</f>
        <v>3.3</v>
      </c>
      <c r="BG200" s="296">
        <f>IFERROR(__xludf.DUMMYFUNCTION("""COMPUTED_VALUE"""),3.4)</f>
        <v>3.4</v>
      </c>
      <c r="BH200" s="296">
        <f>IFERROR(__xludf.DUMMYFUNCTION("""COMPUTED_VALUE"""),3.06)</f>
        <v>3.06</v>
      </c>
      <c r="BI200" s="295">
        <f>IFERROR(__xludf.DUMMYFUNCTION("""COMPUTED_VALUE"""),136.0)</f>
        <v>136</v>
      </c>
      <c r="BJ200" s="292"/>
      <c r="BK200" s="346">
        <f>IFERROR(__xludf.DUMMYFUNCTION("""COMPUTED_VALUE"""),2678.0)</f>
        <v>2678</v>
      </c>
      <c r="BL200" s="292"/>
      <c r="BM200" s="292"/>
      <c r="BN200" s="292"/>
      <c r="BO200" s="292"/>
      <c r="BP200" s="292"/>
      <c r="BQ200" s="292" t="str">
        <f>IFERROR(__xludf.DUMMYFUNCTION("""COMPUTED_VALUE"""),"New")</f>
        <v>New</v>
      </c>
      <c r="BR200" s="292" t="b">
        <f>IFERROR(__xludf.DUMMYFUNCTION("""COMPUTED_VALUE"""),FALSE)</f>
        <v>0</v>
      </c>
      <c r="BS200" s="292" t="b">
        <f>IFERROR(__xludf.DUMMYFUNCTION("""COMPUTED_VALUE"""),FALSE)</f>
        <v>0</v>
      </c>
      <c r="BT200" s="292"/>
      <c r="BU200" s="292"/>
      <c r="BV200" s="292"/>
      <c r="BW200" s="292"/>
    </row>
    <row r="201">
      <c r="A201" s="292" t="str">
        <f>IFERROR(__xludf.DUMMYFUNCTION("""COMPUTED_VALUE"""),"FE1731A")</f>
        <v>FE1731A</v>
      </c>
      <c r="B201" s="292" t="str">
        <f>IFERROR(__xludf.DUMMYFUNCTION("""COMPUTED_VALUE"""),"CON-40-154565-4")</f>
        <v>CON-40-154565-4</v>
      </c>
      <c r="C201" s="292" t="str">
        <f>IFERROR(__xludf.DUMMYFUNCTION("""COMPUTED_VALUE"""),"CON-00-154556-2")</f>
        <v>CON-00-154556-2</v>
      </c>
      <c r="D201" s="292" t="str">
        <f>IFERROR(__xludf.DUMMYFUNCTION("""COMPUTED_VALUE"""),"CON-00-154547-2")</f>
        <v>CON-00-154547-2</v>
      </c>
      <c r="E201" s="292" t="str">
        <f>IFERROR(__xludf.DUMMYFUNCTION("""COMPUTED_VALUE"""),"Citrus–Miso Salmon Bowl")</f>
        <v>Citrus–Miso Salmon Bowl</v>
      </c>
      <c r="F201" s="292" t="str">
        <f>IFERROR(__xludf.DUMMYFUNCTION("""COMPUTED_VALUE"""),"with Sesame Green Beans &amp; Ginger Rice")</f>
        <v>with Sesame Green Beans &amp; Ginger Rice</v>
      </c>
      <c r="G201" s="292" t="str">
        <f>IFERROR(__xludf.DUMMYFUNCTION("""COMPUTED_VALUE"""),"Citrus–miso zalm bowl")</f>
        <v>Citrus–miso zalm bowl</v>
      </c>
      <c r="H201" s="292" t="str">
        <f>IFERROR(__xludf.DUMMYFUNCTION("""COMPUTED_VALUE"""),"met sperziebonen met sesam &amp; gemberrijst")</f>
        <v>met sperziebonen met sesam &amp; gemberrijst</v>
      </c>
      <c r="I201" s="292" t="str">
        <f>IFERROR(__xludf.DUMMYFUNCTION("""COMPUTED_VALUE"""),"Laksebowl med citrus-miso")</f>
        <v>Laksebowl med citrus-miso</v>
      </c>
      <c r="J201" s="292" t="str">
        <f>IFERROR(__xludf.DUMMYFUNCTION("""COMPUTED_VALUE"""),"Lachs-Bowl mit Zitrus-Miso")</f>
        <v>Lachs-Bowl mit Zitrus-Miso</v>
      </c>
      <c r="K201" s="292">
        <f>IFERROR(__xludf.DUMMYFUNCTION("""COMPUTED_VALUE"""),565221.0)</f>
        <v>565221</v>
      </c>
      <c r="L201" s="292" t="str">
        <f>IFERROR(__xludf.DUMMYFUNCTION("""COMPUTED_VALUE"""),"HF Citrus-miso zalm bowl")</f>
        <v>HF Citrus-miso zalm bowl</v>
      </c>
      <c r="M201" s="292" t="str">
        <f>IFERROR(__xludf.DUMMYFUNCTION("""COMPUTED_VALUE"""),"FA-NL Citrus–miso zalm bowl (FE1731)")</f>
        <v>FA-NL Citrus–miso zalm bowl (FE1731)</v>
      </c>
      <c r="N201" s="292" t="str">
        <f>IFERROR(__xludf.DUMMYFUNCTION("""COMPUTED_VALUE"""),"FA-NO Laksebowl med citrus-miso (FE1731)")</f>
        <v>FA-NO Laksebowl med citrus-miso (FE1731)</v>
      </c>
      <c r="O201" s="292" t="str">
        <f>IFERROR(__xludf.DUMMYFUNCTION("""COMPUTED_VALUE"""),"FA-DE Lachs-Bowl mit Zitrus-Miso (FE1731)")</f>
        <v>FA-DE Lachs-Bowl mit Zitrus-Miso (FE1731)</v>
      </c>
      <c r="P201" s="292" t="str">
        <f>IFERROR(__xludf.DUMMYFUNCTION("""COMPUTED_VALUE"""),"Active")</f>
        <v>Active</v>
      </c>
      <c r="Q201" s="292" t="str">
        <f>IFERROR(__xludf.DUMMYFUNCTION("""COMPUTED_VALUE"""),"For rework, we need to look into the salt content, as well as the fat content")</f>
        <v>For rework, we need to look into the salt content, as well as the fat content</v>
      </c>
      <c r="R201" s="342">
        <f>IFERROR(__xludf.DUMMYFUNCTION("""COMPUTED_VALUE"""),6.35)</f>
        <v>6.35</v>
      </c>
      <c r="S201" s="292"/>
      <c r="T201" s="292"/>
      <c r="U201" s="292"/>
      <c r="V201" s="292"/>
      <c r="W201" s="292" t="b">
        <f>IFERROR(__xludf.DUMMYFUNCTION("""COMPUTED_VALUE"""),TRUE)</f>
        <v>1</v>
      </c>
      <c r="X201" s="345">
        <f>IFERROR(__xludf.DUMMYFUNCTION("""COMPUTED_VALUE"""),406.0)</f>
        <v>406</v>
      </c>
      <c r="Y201" s="344">
        <f>IFERROR(__xludf.DUMMYFUNCTION("""COMPUTED_VALUE"""),662.0)</f>
        <v>662</v>
      </c>
      <c r="Z201" s="343">
        <f>IFERROR(__xludf.DUMMYFUNCTION("""COMPUTED_VALUE"""),34.5)</f>
        <v>34.5</v>
      </c>
      <c r="AA201" s="344">
        <f>IFERROR(__xludf.DUMMYFUNCTION("""COMPUTED_VALUE"""),5.7)</f>
        <v>5.7</v>
      </c>
      <c r="AB201" s="344">
        <f>IFERROR(__xludf.DUMMYFUNCTION("""COMPUTED_VALUE"""),44.0)</f>
        <v>44</v>
      </c>
      <c r="AC201" s="344">
        <f>IFERROR(__xludf.DUMMYFUNCTION("""COMPUTED_VALUE"""),13.3)</f>
        <v>13.3</v>
      </c>
      <c r="AD201" s="344">
        <f>IFERROR(__xludf.DUMMYFUNCTION("""COMPUTED_VALUE"""),9.3)</f>
        <v>9.3</v>
      </c>
      <c r="AE201" s="343">
        <f>IFERROR(__xludf.DUMMYFUNCTION("""COMPUTED_VALUE"""),36.7)</f>
        <v>36.7</v>
      </c>
      <c r="AF201" s="343">
        <f>IFERROR(__xludf.DUMMYFUNCTION("""COMPUTED_VALUE"""),2.24)</f>
        <v>2.24</v>
      </c>
      <c r="AG201" s="292" t="b">
        <f>IFERROR(__xludf.DUMMYFUNCTION("""COMPUTED_VALUE"""),FALSE)</f>
        <v>0</v>
      </c>
      <c r="AH201" s="292" t="b">
        <f>IFERROR(__xludf.DUMMYFUNCTION("""COMPUTED_VALUE"""),FALSE)</f>
        <v>0</v>
      </c>
      <c r="AI201" s="292" t="b">
        <f>IFERROR(__xludf.DUMMYFUNCTION("""COMPUTED_VALUE"""),FALSE)</f>
        <v>0</v>
      </c>
      <c r="AJ201" s="292" t="b">
        <f>IFERROR(__xludf.DUMMYFUNCTION("""COMPUTED_VALUE"""),FALSE)</f>
        <v>0</v>
      </c>
      <c r="AK201" s="292" t="b">
        <f>IFERROR(__xludf.DUMMYFUNCTION("""COMPUTED_VALUE"""),FALSE)</f>
        <v>0</v>
      </c>
      <c r="AL201" s="292" t="b">
        <f>IFERROR(__xludf.DUMMYFUNCTION("""COMPUTED_VALUE"""),FALSE)</f>
        <v>0</v>
      </c>
      <c r="AM201" s="292" t="b">
        <f>IFERROR(__xludf.DUMMYFUNCTION("""COMPUTED_VALUE"""),TRUE)</f>
        <v>1</v>
      </c>
      <c r="AN201" s="292" t="b">
        <f>IFERROR(__xludf.DUMMYFUNCTION("""COMPUTED_VALUE"""),TRUE)</f>
        <v>1</v>
      </c>
      <c r="AO201" s="292" t="str">
        <f>IFERROR(__xludf.DUMMYFUNCTION("""COMPUTED_VALUE"""),"FALSE")</f>
        <v>FALSE</v>
      </c>
      <c r="AP201" s="292" t="str">
        <f>IFERROR(__xludf.DUMMYFUNCTION("""COMPUTED_VALUE"""),"Salmon")</f>
        <v>Salmon</v>
      </c>
      <c r="AQ201" s="292" t="str">
        <f>IFERROR(__xludf.DUMMYFUNCTION("""COMPUTED_VALUE"""),"Salmon")</f>
        <v>Salmon</v>
      </c>
      <c r="AR201" s="292" t="str">
        <f>IFERROR(__xludf.DUMMYFUNCTION("""COMPUTED_VALUE"""),"Filet")</f>
        <v>Filet</v>
      </c>
      <c r="AS201" s="292" t="str">
        <f>IFERROR(__xludf.DUMMYFUNCTION("""COMPUTED_VALUE"""),"Rice")</f>
        <v>Rice</v>
      </c>
      <c r="AT201" s="292" t="str">
        <f>IFERROR(__xludf.DUMMYFUNCTION("""COMPUTED_VALUE"""),"Green Beans")</f>
        <v>Green Beans</v>
      </c>
      <c r="AU201" s="292" t="str">
        <f>IFERROR(__xludf.DUMMYFUNCTION("""COMPUTED_VALUE"""),"Edamame")</f>
        <v>Edamame</v>
      </c>
      <c r="AV201" s="292" t="str">
        <f>IFERROR(__xludf.DUMMYFUNCTION("""COMPUTED_VALUE"""),"Other sauce")</f>
        <v>Other sauce</v>
      </c>
      <c r="AW201" s="292" t="str">
        <f>IFERROR(__xludf.DUMMYFUNCTION("""COMPUTED_VALUE"""),"Year Round")</f>
        <v>Year Round</v>
      </c>
      <c r="AX201" s="292" t="str">
        <f>IFERROR(__xludf.DUMMYFUNCTION("""COMPUTED_VALUE"""),"Japanese")</f>
        <v>Japanese</v>
      </c>
      <c r="AY201" s="292"/>
      <c r="AZ201" s="292" t="str">
        <f>IFERROR(__xludf.DUMMYFUNCTION("""COMPUTED_VALUE"""),"2 CT")</f>
        <v>2 CT</v>
      </c>
      <c r="BA201" s="292" t="b">
        <f>IFERROR(__xludf.DUMMYFUNCTION("""COMPUTED_VALUE"""),FALSE)</f>
        <v>0</v>
      </c>
      <c r="BB201" s="342">
        <f>IFERROR(__xludf.DUMMYFUNCTION("""COMPUTED_VALUE"""),4.66)</f>
        <v>4.66</v>
      </c>
      <c r="BC201" s="342">
        <f>IFERROR(__xludf.DUMMYFUNCTION("""COMPUTED_VALUE"""),1.28)</f>
        <v>1.28</v>
      </c>
      <c r="BD201" s="342">
        <f>IFERROR(__xludf.DUMMYFUNCTION("""COMPUTED_VALUE"""),0.41)</f>
        <v>0.41</v>
      </c>
      <c r="BE201" s="342">
        <f>IFERROR(__xludf.DUMMYFUNCTION("""COMPUTED_VALUE"""),0.89)</f>
        <v>0.89</v>
      </c>
      <c r="BF201" s="296">
        <f>IFERROR(__xludf.DUMMYFUNCTION("""COMPUTED_VALUE"""),3.2066666666666666)</f>
        <v>3.206666667</v>
      </c>
      <c r="BG201" s="296">
        <f>IFERROR(__xludf.DUMMYFUNCTION("""COMPUTED_VALUE"""),3.23)</f>
        <v>3.23</v>
      </c>
      <c r="BH201" s="296">
        <f>IFERROR(__xludf.DUMMYFUNCTION("""COMPUTED_VALUE"""),3.106666666666667)</f>
        <v>3.106666667</v>
      </c>
      <c r="BI201" s="295">
        <f>IFERROR(__xludf.DUMMYFUNCTION("""COMPUTED_VALUE"""),121.0)</f>
        <v>121</v>
      </c>
      <c r="BJ201" s="292"/>
      <c r="BK201" s="346">
        <f>IFERROR(__xludf.DUMMYFUNCTION("""COMPUTED_VALUE"""),2765.0)</f>
        <v>2765</v>
      </c>
      <c r="BL201" s="292"/>
      <c r="BM201" s="292"/>
      <c r="BN201" s="292"/>
      <c r="BO201" s="292"/>
      <c r="BP201" s="292"/>
      <c r="BQ201" s="292" t="str">
        <f>IFERROR(__xludf.DUMMYFUNCTION("""COMPUTED_VALUE"""),"New")</f>
        <v>New</v>
      </c>
      <c r="BR201" s="292" t="b">
        <f>IFERROR(__xludf.DUMMYFUNCTION("""COMPUTED_VALUE"""),TRUE)</f>
        <v>1</v>
      </c>
      <c r="BS201" s="292" t="b">
        <f>IFERROR(__xludf.DUMMYFUNCTION("""COMPUTED_VALUE"""),FALSE)</f>
        <v>0</v>
      </c>
      <c r="BT201" s="292"/>
      <c r="BU201" s="292"/>
      <c r="BV201" s="292"/>
      <c r="BW201" s="292"/>
    </row>
    <row r="202">
      <c r="A202" s="292" t="str">
        <f>IFERROR(__xludf.DUMMYFUNCTION("""COMPUTED_VALUE"""),"FE4009D")</f>
        <v>FE4009D</v>
      </c>
      <c r="B202" s="292" t="str">
        <f>IFERROR(__xludf.DUMMYFUNCTION("""COMPUTED_VALUE"""),"CON-40-143765-4")</f>
        <v>CON-40-143765-4</v>
      </c>
      <c r="C202" s="292" t="str">
        <f>IFERROR(__xludf.DUMMYFUNCTION("""COMPUTED_VALUE"""),"CON-00-147871-2")</f>
        <v>CON-00-147871-2</v>
      </c>
      <c r="D202" s="292" t="str">
        <f>IFERROR(__xludf.DUMMYFUNCTION("""COMPUTED_VALUE"""),"CON-00-137745-2")</f>
        <v>CON-00-137745-2</v>
      </c>
      <c r="E202" s="292" t="str">
        <f>IFERROR(__xludf.DUMMYFUNCTION("""COMPUTED_VALUE"""),"Salmon in mustard-dill sauce")</f>
        <v>Salmon in mustard-dill sauce</v>
      </c>
      <c r="F202" s="292" t="str">
        <f>IFERROR(__xludf.DUMMYFUNCTION("""COMPUTED_VALUE"""),"with potato and spinach puree, carrot and green beans")</f>
        <v>with potato and spinach puree, carrot and green beans</v>
      </c>
      <c r="G202" s="292" t="str">
        <f>IFERROR(__xludf.DUMMYFUNCTION("""COMPUTED_VALUE"""),"Zalm in mosterd-dillesaus")</f>
        <v>Zalm in mosterd-dillesaus</v>
      </c>
      <c r="H202" s="292" t="str">
        <f>IFERROR(__xludf.DUMMYFUNCTION("""COMPUTED_VALUE"""),"met aardappel-spinaziepuree, wortel en sperziebonen")</f>
        <v>met aardappel-spinaziepuree, wortel en sperziebonen</v>
      </c>
      <c r="I202" s="292" t="str">
        <f>IFERROR(__xludf.DUMMYFUNCTION("""COMPUTED_VALUE"""),"Laks i senneps-dild sauce")</f>
        <v>Laks i senneps-dild sauce</v>
      </c>
      <c r="J202" s="292" t="str">
        <f>IFERROR(__xludf.DUMMYFUNCTION("""COMPUTED_VALUE"""),"Lachs in Senf-Dill-Sauce")</f>
        <v>Lachs in Senf-Dill-Sauce</v>
      </c>
      <c r="K202" s="292">
        <f>IFERROR(__xludf.DUMMYFUNCTION("""COMPUTED_VALUE"""),565064.0)</f>
        <v>565064</v>
      </c>
      <c r="L202" s="292" t="str">
        <f>IFERROR(__xludf.DUMMYFUNCTION("""COMPUTED_VALUE"""),"HF Zalm in mosterd dillesaus")</f>
        <v>HF Zalm in mosterd dillesaus</v>
      </c>
      <c r="M202" s="292" t="str">
        <f>IFERROR(__xludf.DUMMYFUNCTION("""COMPUTED_VALUE"""),"FA-NL Zalm in mosterd-dillesaus (FE4009)")</f>
        <v>FA-NL Zalm in mosterd-dillesaus (FE4009)</v>
      </c>
      <c r="N202" s="292" t="str">
        <f>IFERROR(__xludf.DUMMYFUNCTION("""COMPUTED_VALUE"""),"FA-NO Laks i dild- og sennepssauce (FE4009)")</f>
        <v>FA-NO Laks i dild- og sennepssauce (FE4009)</v>
      </c>
      <c r="O202" s="292" t="str">
        <f>IFERROR(__xludf.DUMMYFUNCTION("""COMPUTED_VALUE"""),"FA-DE Lachs in Senf-Dill-Sauce (FE4009)")</f>
        <v>FA-DE Lachs in Senf-Dill-Sauce (FE4009)</v>
      </c>
      <c r="P202" s="292" t="str">
        <f>IFERROR(__xludf.DUMMYFUNCTION("""COMPUTED_VALUE"""),"Active")</f>
        <v>Active</v>
      </c>
      <c r="Q202" s="292"/>
      <c r="R202" s="342">
        <f>IFERROR(__xludf.DUMMYFUNCTION("""COMPUTED_VALUE"""),5.4)</f>
        <v>5.4</v>
      </c>
      <c r="S202" s="292"/>
      <c r="T202" s="292"/>
      <c r="U202" s="292"/>
      <c r="V202" s="292"/>
      <c r="W202" s="292" t="b">
        <f>IFERROR(__xludf.DUMMYFUNCTION("""COMPUTED_VALUE"""),TRUE)</f>
        <v>1</v>
      </c>
      <c r="X202" s="345">
        <f>IFERROR(__xludf.DUMMYFUNCTION("""COMPUTED_VALUE"""),399.0)</f>
        <v>399</v>
      </c>
      <c r="Y202" s="344">
        <f>IFERROR(__xludf.DUMMYFUNCTION("""COMPUTED_VALUE"""),581.0)</f>
        <v>581</v>
      </c>
      <c r="Z202" s="343">
        <f>IFERROR(__xludf.DUMMYFUNCTION("""COMPUTED_VALUE"""),34.3)</f>
        <v>34.3</v>
      </c>
      <c r="AA202" s="344">
        <f>IFERROR(__xludf.DUMMYFUNCTION("""COMPUTED_VALUE"""),8.6)</f>
        <v>8.6</v>
      </c>
      <c r="AB202" s="344">
        <f>IFERROR(__xludf.DUMMYFUNCTION("""COMPUTED_VALUE"""),29.7)</f>
        <v>29.7</v>
      </c>
      <c r="AC202" s="344">
        <f>IFERROR(__xludf.DUMMYFUNCTION("""COMPUTED_VALUE"""),8.9)</f>
        <v>8.9</v>
      </c>
      <c r="AD202" s="344">
        <f>IFERROR(__xludf.DUMMYFUNCTION("""COMPUTED_VALUE"""),8.1)</f>
        <v>8.1</v>
      </c>
      <c r="AE202" s="343">
        <f>IFERROR(__xludf.DUMMYFUNCTION("""COMPUTED_VALUE"""),31.2)</f>
        <v>31.2</v>
      </c>
      <c r="AF202" s="343">
        <f>IFERROR(__xludf.DUMMYFUNCTION("""COMPUTED_VALUE"""),2.0)</f>
        <v>2</v>
      </c>
      <c r="AG202" s="292" t="b">
        <f>IFERROR(__xludf.DUMMYFUNCTION("""COMPUTED_VALUE"""),FALSE)</f>
        <v>0</v>
      </c>
      <c r="AH202" s="292" t="b">
        <f>IFERROR(__xludf.DUMMYFUNCTION("""COMPUTED_VALUE"""),FALSE)</f>
        <v>0</v>
      </c>
      <c r="AI202" s="292" t="b">
        <f>IFERROR(__xludf.DUMMYFUNCTION("""COMPUTED_VALUE"""),FALSE)</f>
        <v>0</v>
      </c>
      <c r="AJ202" s="292" t="b">
        <f>IFERROR(__xludf.DUMMYFUNCTION("""COMPUTED_VALUE"""),FALSE)</f>
        <v>0</v>
      </c>
      <c r="AK202" s="292" t="b">
        <f>IFERROR(__xludf.DUMMYFUNCTION("""COMPUTED_VALUE"""),FALSE)</f>
        <v>0</v>
      </c>
      <c r="AL202" s="292" t="b">
        <f>IFERROR(__xludf.DUMMYFUNCTION("""COMPUTED_VALUE"""),FALSE)</f>
        <v>0</v>
      </c>
      <c r="AM202" s="292" t="b">
        <f>IFERROR(__xludf.DUMMYFUNCTION("""COMPUTED_VALUE"""),TRUE)</f>
        <v>1</v>
      </c>
      <c r="AN202" s="292" t="b">
        <f>IFERROR(__xludf.DUMMYFUNCTION("""COMPUTED_VALUE"""),FALSE)</f>
        <v>0</v>
      </c>
      <c r="AO202" s="292" t="str">
        <f>IFERROR(__xludf.DUMMYFUNCTION("""COMPUTED_VALUE"""),"FALSE")</f>
        <v>FALSE</v>
      </c>
      <c r="AP202" s="292" t="str">
        <f>IFERROR(__xludf.DUMMYFUNCTION("""COMPUTED_VALUE"""),"Salmon")</f>
        <v>Salmon</v>
      </c>
      <c r="AQ202" s="292" t="str">
        <f>IFERROR(__xludf.DUMMYFUNCTION("""COMPUTED_VALUE"""),"Salmon")</f>
        <v>Salmon</v>
      </c>
      <c r="AR202" s="292" t="str">
        <f>IFERROR(__xludf.DUMMYFUNCTION("""COMPUTED_VALUE"""),"Filet")</f>
        <v>Filet</v>
      </c>
      <c r="AS202" s="292" t="str">
        <f>IFERROR(__xludf.DUMMYFUNCTION("""COMPUTED_VALUE"""),"Potato Non-Mash")</f>
        <v>Potato Non-Mash</v>
      </c>
      <c r="AT202" s="292" t="str">
        <f>IFERROR(__xludf.DUMMYFUNCTION("""COMPUTED_VALUE"""),"Green Beans")</f>
        <v>Green Beans</v>
      </c>
      <c r="AU202" s="292" t="str">
        <f>IFERROR(__xludf.DUMMYFUNCTION("""COMPUTED_VALUE"""),"Carrots")</f>
        <v>Carrots</v>
      </c>
      <c r="AV202" s="292" t="str">
        <f>IFERROR(__xludf.DUMMYFUNCTION("""COMPUTED_VALUE"""),"Creamy Sauce Base")</f>
        <v>Creamy Sauce Base</v>
      </c>
      <c r="AW202" s="292" t="str">
        <f>IFERROR(__xludf.DUMMYFUNCTION("""COMPUTED_VALUE"""),"Year Round")</f>
        <v>Year Round</v>
      </c>
      <c r="AX202" s="292" t="str">
        <f>IFERROR(__xludf.DUMMYFUNCTION("""COMPUTED_VALUE"""),"European")</f>
        <v>European</v>
      </c>
      <c r="AY202" s="292"/>
      <c r="AZ202" s="292" t="str">
        <f>IFERROR(__xludf.DUMMYFUNCTION("""COMPUTED_VALUE"""),"2 CT")</f>
        <v>2 CT</v>
      </c>
      <c r="BA202" s="292" t="b">
        <f>IFERROR(__xludf.DUMMYFUNCTION("""COMPUTED_VALUE"""),FALSE)</f>
        <v>0</v>
      </c>
      <c r="BB202" s="342">
        <f>IFERROR(__xludf.DUMMYFUNCTION("""COMPUTED_VALUE"""),3.65)</f>
        <v>3.65</v>
      </c>
      <c r="BC202" s="342">
        <f>IFERROR(__xludf.DUMMYFUNCTION("""COMPUTED_VALUE"""),1.22)</f>
        <v>1.22</v>
      </c>
      <c r="BD202" s="342">
        <f>IFERROR(__xludf.DUMMYFUNCTION("""COMPUTED_VALUE"""),0.41)</f>
        <v>0.41</v>
      </c>
      <c r="BE202" s="342">
        <f>IFERROR(__xludf.DUMMYFUNCTION("""COMPUTED_VALUE"""),0.89)</f>
        <v>0.89</v>
      </c>
      <c r="BF202" s="296">
        <f>IFERROR(__xludf.DUMMYFUNCTION("""COMPUTED_VALUE"""),3.3499999999999996)</f>
        <v>3.35</v>
      </c>
      <c r="BG202" s="296">
        <f>IFERROR(__xludf.DUMMYFUNCTION("""COMPUTED_VALUE"""),3.346666666666667)</f>
        <v>3.346666667</v>
      </c>
      <c r="BH202" s="296">
        <f>IFERROR(__xludf.DUMMYFUNCTION("""COMPUTED_VALUE"""),3.3200000000000003)</f>
        <v>3.32</v>
      </c>
      <c r="BI202" s="295">
        <f>IFERROR(__xludf.DUMMYFUNCTION("""COMPUTED_VALUE"""),133.0)</f>
        <v>133</v>
      </c>
      <c r="BJ202" s="292"/>
      <c r="BK202" s="346">
        <f>IFERROR(__xludf.DUMMYFUNCTION("""COMPUTED_VALUE"""),2426.0)</f>
        <v>2426</v>
      </c>
      <c r="BL202" s="292"/>
      <c r="BM202" s="292"/>
      <c r="BN202" s="292"/>
      <c r="BO202" s="292"/>
      <c r="BP202" s="292"/>
      <c r="BQ202" s="292" t="str">
        <f>IFERROR(__xludf.DUMMYFUNCTION("""COMPUTED_VALUE"""),"Active")</f>
        <v>Active</v>
      </c>
      <c r="BR202" s="292" t="b">
        <f>IFERROR(__xludf.DUMMYFUNCTION("""COMPUTED_VALUE"""),FALSE)</f>
        <v>0</v>
      </c>
      <c r="BS202" s="292" t="b">
        <f>IFERROR(__xludf.DUMMYFUNCTION("""COMPUTED_VALUE"""),FALSE)</f>
        <v>0</v>
      </c>
      <c r="BT202" s="292"/>
      <c r="BU202" s="292"/>
      <c r="BV202" s="292"/>
      <c r="BW202" s="292"/>
    </row>
    <row r="203">
      <c r="A203" s="292" t="str">
        <f>IFERROR(__xludf.DUMMYFUNCTION("""COMPUTED_VALUE"""),"FE4067A")</f>
        <v>FE4067A</v>
      </c>
      <c r="B203" s="292" t="str">
        <f>IFERROR(__xludf.DUMMYFUNCTION("""COMPUTED_VALUE"""),"CON-40-152017-4")</f>
        <v>CON-40-152017-4</v>
      </c>
      <c r="C203" s="292" t="str">
        <f>IFERROR(__xludf.DUMMYFUNCTION("""COMPUTED_VALUE"""),"CON-00-152045-2")</f>
        <v>CON-00-152045-2</v>
      </c>
      <c r="D203" s="292" t="str">
        <f>IFERROR(__xludf.DUMMYFUNCTION("""COMPUTED_VALUE"""),"CON-00-152041-2")</f>
        <v>CON-00-152041-2</v>
      </c>
      <c r="E203" s="292" t="str">
        <f>IFERROR(__xludf.DUMMYFUNCTION("""COMPUTED_VALUE"""),"Honey Miso Chicken &amp; Scallion Rice")</f>
        <v>Honey Miso Chicken &amp; Scallion Rice</v>
      </c>
      <c r="F203" s="292" t="str">
        <f>IFERROR(__xludf.DUMMYFUNCTION("""COMPUTED_VALUE"""),"with Roasted Carrots &amp; Edamame")</f>
        <v>with Roasted Carrots &amp; Edamame</v>
      </c>
      <c r="G203" s="292" t="str">
        <f>IFERROR(__xludf.DUMMYFUNCTION("""COMPUTED_VALUE"""),"Honing-misokip")</f>
        <v>Honing-misokip</v>
      </c>
      <c r="H203" s="292" t="str">
        <f>IFERROR(__xludf.DUMMYFUNCTION("""COMPUTED_VALUE"""),"met rijst, geroosterde wortels &amp; edamamebonen")</f>
        <v>met rijst, geroosterde wortels &amp; edamamebonen</v>
      </c>
      <c r="I203" s="292" t="str">
        <f>IFERROR(__xludf.DUMMYFUNCTION("""COMPUTED_VALUE"""),"Honning-miso kylling med ris og forårsløg")</f>
        <v>Honning-miso kylling med ris og forårsløg</v>
      </c>
      <c r="J203" s="292" t="str">
        <f>IFERROR(__xludf.DUMMYFUNCTION("""COMPUTED_VALUE"""),"Honig-Miso-Hähnchen mit Frühlingszwiebelreis")</f>
        <v>Honig-Miso-Hähnchen mit Frühlingszwiebelreis</v>
      </c>
      <c r="K203" s="292">
        <f>IFERROR(__xludf.DUMMYFUNCTION("""COMPUTED_VALUE"""),565210.0)</f>
        <v>565210</v>
      </c>
      <c r="L203" s="292" t="str">
        <f>IFERROR(__xludf.DUMMYFUNCTION("""COMPUTED_VALUE"""),"HF Honing miso kip")</f>
        <v>HF Honing miso kip</v>
      </c>
      <c r="M203" s="292" t="str">
        <f>IFERROR(__xludf.DUMMYFUNCTION("""COMPUTED_VALUE"""),"FA-NL Honing-misokip (FE4067)")</f>
        <v>FA-NL Honing-misokip (FE4067)</v>
      </c>
      <c r="N203" s="292" t="str">
        <f>IFERROR(__xludf.DUMMYFUNCTION("""COMPUTED_VALUE"""),"FA-NO Honning-miso kylling med ris og forårsløg (FE4067)")</f>
        <v>FA-NO Honning-miso kylling med ris og forårsløg (FE4067)</v>
      </c>
      <c r="O203" s="292" t="str">
        <f>IFERROR(__xludf.DUMMYFUNCTION("""COMPUTED_VALUE"""),"FA-DE Honig-Miso-Hähnchen mit Frühlingszwiebelreis (FE4067)")</f>
        <v>FA-DE Honig-Miso-Hähnchen mit Frühlingszwiebelreis (FE4067)</v>
      </c>
      <c r="P203" s="292" t="str">
        <f>IFERROR(__xludf.DUMMYFUNCTION("""COMPUTED_VALUE"""),"Hold - Rework")</f>
        <v>Hold - Rework</v>
      </c>
      <c r="Q203" s="292" t="str">
        <f>IFERROR(__xludf.DUMMYFUNCTION("""COMPUTED_VALUE"""),"Meal performance is low it must be completely reworked or graveyarded")</f>
        <v>Meal performance is low it must be completely reworked or graveyarded</v>
      </c>
      <c r="R203" s="342">
        <f>IFERROR(__xludf.DUMMYFUNCTION("""COMPUTED_VALUE"""),4.55)</f>
        <v>4.55</v>
      </c>
      <c r="S203" s="292"/>
      <c r="T203" s="292"/>
      <c r="U203" s="292"/>
      <c r="V203" s="292"/>
      <c r="W203" s="292" t="b">
        <f>IFERROR(__xludf.DUMMYFUNCTION("""COMPUTED_VALUE"""),TRUE)</f>
        <v>1</v>
      </c>
      <c r="X203" s="345">
        <f>IFERROR(__xludf.DUMMYFUNCTION("""COMPUTED_VALUE"""),399.0)</f>
        <v>399</v>
      </c>
      <c r="Y203" s="344">
        <f>IFERROR(__xludf.DUMMYFUNCTION("""COMPUTED_VALUE"""),531.0)</f>
        <v>531</v>
      </c>
      <c r="Z203" s="343">
        <f>IFERROR(__xludf.DUMMYFUNCTION("""COMPUTED_VALUE"""),18.3)</f>
        <v>18.3</v>
      </c>
      <c r="AA203" s="344">
        <f>IFERROR(__xludf.DUMMYFUNCTION("""COMPUTED_VALUE"""),3.1)</f>
        <v>3.1</v>
      </c>
      <c r="AB203" s="344">
        <f>IFERROR(__xludf.DUMMYFUNCTION("""COMPUTED_VALUE"""),50.9)</f>
        <v>50.9</v>
      </c>
      <c r="AC203" s="344">
        <f>IFERROR(__xludf.DUMMYFUNCTION("""COMPUTED_VALUE"""),18.7)</f>
        <v>18.7</v>
      </c>
      <c r="AD203" s="344">
        <f>IFERROR(__xludf.DUMMYFUNCTION("""COMPUTED_VALUE"""),10.1)</f>
        <v>10.1</v>
      </c>
      <c r="AE203" s="343">
        <f>IFERROR(__xludf.DUMMYFUNCTION("""COMPUTED_VALUE"""),36.0)</f>
        <v>36</v>
      </c>
      <c r="AF203" s="343">
        <f>IFERROR(__xludf.DUMMYFUNCTION("""COMPUTED_VALUE"""),2.04)</f>
        <v>2.04</v>
      </c>
      <c r="AG203" s="292" t="b">
        <f>IFERROR(__xludf.DUMMYFUNCTION("""COMPUTED_VALUE"""),FALSE)</f>
        <v>0</v>
      </c>
      <c r="AH203" s="292" t="b">
        <f>IFERROR(__xludf.DUMMYFUNCTION("""COMPUTED_VALUE"""),FALSE)</f>
        <v>0</v>
      </c>
      <c r="AI203" s="292" t="b">
        <f>IFERROR(__xludf.DUMMYFUNCTION("""COMPUTED_VALUE"""),TRUE)</f>
        <v>1</v>
      </c>
      <c r="AJ203" s="292" t="b">
        <f>IFERROR(__xludf.DUMMYFUNCTION("""COMPUTED_VALUE"""),FALSE)</f>
        <v>0</v>
      </c>
      <c r="AK203" s="292" t="b">
        <f>IFERROR(__xludf.DUMMYFUNCTION("""COMPUTED_VALUE"""),FALSE)</f>
        <v>0</v>
      </c>
      <c r="AL203" s="292" t="b">
        <f>IFERROR(__xludf.DUMMYFUNCTION("""COMPUTED_VALUE"""),FALSE)</f>
        <v>0</v>
      </c>
      <c r="AM203" s="292" t="b">
        <f>IFERROR(__xludf.DUMMYFUNCTION("""COMPUTED_VALUE"""),TRUE)</f>
        <v>1</v>
      </c>
      <c r="AN203" s="292" t="b">
        <f>IFERROR(__xludf.DUMMYFUNCTION("""COMPUTED_VALUE"""),TRUE)</f>
        <v>1</v>
      </c>
      <c r="AO203" s="292" t="str">
        <f>IFERROR(__xludf.DUMMYFUNCTION("""COMPUTED_VALUE"""),"TRUE")</f>
        <v>TRUE</v>
      </c>
      <c r="AP203" s="292" t="str">
        <f>IFERROR(__xludf.DUMMYFUNCTION("""COMPUTED_VALUE"""),"Diced chicken")</f>
        <v>Diced chicken</v>
      </c>
      <c r="AQ203" s="292" t="str">
        <f>IFERROR(__xludf.DUMMYFUNCTION("""COMPUTED_VALUE"""),"Chicken")</f>
        <v>Chicken</v>
      </c>
      <c r="AR203" s="292" t="str">
        <f>IFERROR(__xludf.DUMMYFUNCTION("""COMPUTED_VALUE"""),"Pieces")</f>
        <v>Pieces</v>
      </c>
      <c r="AS203" s="292" t="str">
        <f>IFERROR(__xludf.DUMMYFUNCTION("""COMPUTED_VALUE"""),"Rice")</f>
        <v>Rice</v>
      </c>
      <c r="AT203" s="292" t="str">
        <f>IFERROR(__xludf.DUMMYFUNCTION("""COMPUTED_VALUE"""),"Carrots")</f>
        <v>Carrots</v>
      </c>
      <c r="AU203" s="292" t="str">
        <f>IFERROR(__xludf.DUMMYFUNCTION("""COMPUTED_VALUE"""),"Edamame")</f>
        <v>Edamame</v>
      </c>
      <c r="AV203" s="292" t="str">
        <f>IFERROR(__xludf.DUMMYFUNCTION("""COMPUTED_VALUE"""),"Other sauce")</f>
        <v>Other sauce</v>
      </c>
      <c r="AW203" s="292" t="str">
        <f>IFERROR(__xludf.DUMMYFUNCTION("""COMPUTED_VALUE"""),"Year Round")</f>
        <v>Year Round</v>
      </c>
      <c r="AX203" s="292" t="str">
        <f>IFERROR(__xludf.DUMMYFUNCTION("""COMPUTED_VALUE"""),"Japanese")</f>
        <v>Japanese</v>
      </c>
      <c r="AY203" s="292"/>
      <c r="AZ203" s="292" t="str">
        <f>IFERROR(__xludf.DUMMYFUNCTION("""COMPUTED_VALUE"""),"1 CT")</f>
        <v>1 CT</v>
      </c>
      <c r="BA203" s="292" t="b">
        <f>IFERROR(__xludf.DUMMYFUNCTION("""COMPUTED_VALUE"""),FALSE)</f>
        <v>0</v>
      </c>
      <c r="BB203" s="342">
        <f>IFERROR(__xludf.DUMMYFUNCTION("""COMPUTED_VALUE"""),2.77)</f>
        <v>2.77</v>
      </c>
      <c r="BC203" s="348">
        <f>IFERROR(__xludf.DUMMYFUNCTION("""COMPUTED_VALUE"""),1.38)</f>
        <v>1.38</v>
      </c>
      <c r="BD203" s="348">
        <f>IFERROR(__xludf.DUMMYFUNCTION("""COMPUTED_VALUE"""),0.41)</f>
        <v>0.41</v>
      </c>
      <c r="BE203" s="342">
        <f>IFERROR(__xludf.DUMMYFUNCTION("""COMPUTED_VALUE"""),0.89)</f>
        <v>0.89</v>
      </c>
      <c r="BF203" s="296">
        <f>IFERROR(__xludf.DUMMYFUNCTION("""COMPUTED_VALUE"""),2.94)</f>
        <v>2.94</v>
      </c>
      <c r="BG203" s="296">
        <f>IFERROR(__xludf.DUMMYFUNCTION("""COMPUTED_VALUE"""),2.98)</f>
        <v>2.98</v>
      </c>
      <c r="BH203" s="296">
        <f>IFERROR(__xludf.DUMMYFUNCTION("""COMPUTED_VALUE"""),2.835)</f>
        <v>2.835</v>
      </c>
      <c r="BI203" s="295">
        <f>IFERROR(__xludf.DUMMYFUNCTION("""COMPUTED_VALUE"""),98.0)</f>
        <v>98</v>
      </c>
      <c r="BJ203" s="292"/>
      <c r="BK203" s="346">
        <f>IFERROR(__xludf.DUMMYFUNCTION("""COMPUTED_VALUE"""),2224.0)</f>
        <v>2224</v>
      </c>
      <c r="BL203" s="292"/>
      <c r="BM203" s="292"/>
      <c r="BN203" s="292"/>
      <c r="BO203" s="292"/>
      <c r="BP203" s="292"/>
      <c r="BQ203" s="292" t="str">
        <f>IFERROR(__xludf.DUMMYFUNCTION("""COMPUTED_VALUE"""),"New")</f>
        <v>New</v>
      </c>
      <c r="BR203" s="292" t="b">
        <f>IFERROR(__xludf.DUMMYFUNCTION("""COMPUTED_VALUE"""),TRUE)</f>
        <v>1</v>
      </c>
      <c r="BS203" s="292" t="b">
        <f>IFERROR(__xludf.DUMMYFUNCTION("""COMPUTED_VALUE"""),FALSE)</f>
        <v>0</v>
      </c>
      <c r="BT203" s="292"/>
      <c r="BU203" s="292"/>
      <c r="BV203" s="292"/>
      <c r="BW203" s="292"/>
    </row>
    <row r="204">
      <c r="A204" s="292" t="str">
        <f>IFERROR(__xludf.DUMMYFUNCTION("""COMPUTED_VALUE"""),"FE1422A")</f>
        <v>FE1422A</v>
      </c>
      <c r="B204" s="292" t="str">
        <f>IFERROR(__xludf.DUMMYFUNCTION("""COMPUTED_VALUE"""),"CON-40-152019-4")</f>
        <v>CON-40-152019-4</v>
      </c>
      <c r="C204" s="292" t="str">
        <f>IFERROR(__xludf.DUMMYFUNCTION("""COMPUTED_VALUE"""),"CON-00-152043-2")</f>
        <v>CON-00-152043-2</v>
      </c>
      <c r="D204" s="292" t="str">
        <f>IFERROR(__xludf.DUMMYFUNCTION("""COMPUTED_VALUE"""),"CON-00-152042-2")</f>
        <v>CON-00-152042-2</v>
      </c>
      <c r="E204" s="292" t="str">
        <f>IFERROR(__xludf.DUMMYFUNCTION("""COMPUTED_VALUE"""),"Thai Style Yellow Curry Chicken &amp; Ginger Rice")</f>
        <v>Thai Style Yellow Curry Chicken &amp; Ginger Rice</v>
      </c>
      <c r="F204" s="292" t="str">
        <f>IFERROR(__xludf.DUMMYFUNCTION("""COMPUTED_VALUE"""),"with Broccoli, Carrots &amp; Chili-Lime Peanuts")</f>
        <v>with Broccoli, Carrots &amp; Chili-Lime Peanuts</v>
      </c>
      <c r="G204" s="292" t="str">
        <f>IFERROR(__xludf.DUMMYFUNCTION("""COMPUTED_VALUE"""),"Kip in Thaise stijl gele curry met gemberrijst")</f>
        <v>Kip in Thaise stijl gele curry met gemberrijst</v>
      </c>
      <c r="H204" s="292" t="str">
        <f>IFERROR(__xludf.DUMMYFUNCTION("""COMPUTED_VALUE"""),"met broccoli, wortel &amp; pinda’s met chili en limoen")</f>
        <v>met broccoli, wortel &amp; pinda’s met chili en limoen</v>
      </c>
      <c r="I204" s="292" t="str">
        <f>IFERROR(__xludf.DUMMYFUNCTION("""COMPUTED_VALUE"""),"Thai-inspireret gul karry med kylling og ingefærris")</f>
        <v>Thai-inspireret gul karry med kylling og ingefærris</v>
      </c>
      <c r="J204" s="292" t="str">
        <f>IFERROR(__xludf.DUMMYFUNCTION("""COMPUTED_VALUE"""),"Thai-Style Curry Hähnchen mit Ingwerreis")</f>
        <v>Thai-Style Curry Hähnchen mit Ingwerreis</v>
      </c>
      <c r="K204" s="292">
        <f>IFERROR(__xludf.DUMMYFUNCTION("""COMPUTED_VALUE"""),565217.0)</f>
        <v>565217</v>
      </c>
      <c r="L204" s="292" t="str">
        <f>IFERROR(__xludf.DUMMYFUNCTION("""COMPUTED_VALUE"""),"HF Gele curry kip en gember")</f>
        <v>HF Gele curry kip en gember</v>
      </c>
      <c r="M204" s="292" t="str">
        <f>IFERROR(__xludf.DUMMYFUNCTION("""COMPUTED_VALUE"""),"FA-NL Kip in Thaise gele curry met gemberrijst (FE1422)")</f>
        <v>FA-NL Kip in Thaise gele curry met gemberrijst (FE1422)</v>
      </c>
      <c r="N204" s="292" t="str">
        <f>IFERROR(__xludf.DUMMYFUNCTION("""COMPUTED_VALUE"""),"FA-NO Kylling i gul thai-curry med ingefærris (FE1422)")</f>
        <v>FA-NO Kylling i gul thai-curry med ingefærris (FE1422)</v>
      </c>
      <c r="O204" s="292" t="str">
        <f>IFERROR(__xludf.DUMMYFUNCTION("""COMPUTED_VALUE"""),"FA-DE Thai Curry Hähnchen mit Ingwerreis (FE1422)")</f>
        <v>FA-DE Thai Curry Hähnchen mit Ingwerreis (FE1422)</v>
      </c>
      <c r="P204" s="292" t="str">
        <f>IFERROR(__xludf.DUMMYFUNCTION("""COMPUTED_VALUE"""),"Active")</f>
        <v>Active</v>
      </c>
      <c r="Q204" s="292" t="str">
        <f>IFERROR(__xludf.DUMMYFUNCTION("""COMPUTED_VALUE"""),"The vegetable content is now 119.23g. We can accept this for now, but it needs to be included in the rework. ")</f>
        <v>The vegetable content is now 119.23g. We can accept this for now, but it needs to be included in the rework. </v>
      </c>
      <c r="R204" s="342">
        <f>IFERROR(__xludf.DUMMYFUNCTION("""COMPUTED_VALUE"""),5.06)</f>
        <v>5.06</v>
      </c>
      <c r="S204" s="292"/>
      <c r="T204" s="292"/>
      <c r="U204" s="292"/>
      <c r="V204" s="292"/>
      <c r="W204" s="292" t="b">
        <f>IFERROR(__xludf.DUMMYFUNCTION("""COMPUTED_VALUE"""),TRUE)</f>
        <v>1</v>
      </c>
      <c r="X204" s="292">
        <f>IFERROR(__xludf.DUMMYFUNCTION("""COMPUTED_VALUE"""),439.0)</f>
        <v>439</v>
      </c>
      <c r="Y204" s="344">
        <f>IFERROR(__xludf.DUMMYFUNCTION("""COMPUTED_VALUE"""),692.0)</f>
        <v>692</v>
      </c>
      <c r="Z204" s="343">
        <f>IFERROR(__xludf.DUMMYFUNCTION("""COMPUTED_VALUE"""),37.5)</f>
        <v>37.5</v>
      </c>
      <c r="AA204" s="344">
        <f>IFERROR(__xludf.DUMMYFUNCTION("""COMPUTED_VALUE"""),13.0)</f>
        <v>13</v>
      </c>
      <c r="AB204" s="344">
        <f>IFERROR(__xludf.DUMMYFUNCTION("""COMPUTED_VALUE"""),46.1)</f>
        <v>46.1</v>
      </c>
      <c r="AC204" s="344">
        <f>IFERROR(__xludf.DUMMYFUNCTION("""COMPUTED_VALUE"""),11.5)</f>
        <v>11.5</v>
      </c>
      <c r="AD204" s="344">
        <f>IFERROR(__xludf.DUMMYFUNCTION("""COMPUTED_VALUE"""),9.5)</f>
        <v>9.5</v>
      </c>
      <c r="AE204" s="343">
        <f>IFERROR(__xludf.DUMMYFUNCTION("""COMPUTED_VALUE"""),37.8)</f>
        <v>37.8</v>
      </c>
      <c r="AF204" s="292">
        <f>IFERROR(__xludf.DUMMYFUNCTION("""COMPUTED_VALUE"""),2.09)</f>
        <v>2.09</v>
      </c>
      <c r="AG204" s="292" t="b">
        <f>IFERROR(__xludf.DUMMYFUNCTION("""COMPUTED_VALUE"""),FALSE)</f>
        <v>0</v>
      </c>
      <c r="AH204" s="292" t="b">
        <f>IFERROR(__xludf.DUMMYFUNCTION("""COMPUTED_VALUE"""),FALSE)</f>
        <v>0</v>
      </c>
      <c r="AI204" s="292" t="b">
        <f>IFERROR(__xludf.DUMMYFUNCTION("""COMPUTED_VALUE"""),FALSE)</f>
        <v>0</v>
      </c>
      <c r="AJ204" s="292" t="b">
        <f>IFERROR(__xludf.DUMMYFUNCTION("""COMPUTED_VALUE"""),FALSE)</f>
        <v>0</v>
      </c>
      <c r="AK204" s="292" t="b">
        <f>IFERROR(__xludf.DUMMYFUNCTION("""COMPUTED_VALUE"""),FALSE)</f>
        <v>0</v>
      </c>
      <c r="AL204" s="292" t="b">
        <f>IFERROR(__xludf.DUMMYFUNCTION("""COMPUTED_VALUE"""),FALSE)</f>
        <v>0</v>
      </c>
      <c r="AM204" s="292" t="b">
        <f>IFERROR(__xludf.DUMMYFUNCTION("""COMPUTED_VALUE"""),TRUE)</f>
        <v>1</v>
      </c>
      <c r="AN204" s="292" t="b">
        <f>IFERROR(__xludf.DUMMYFUNCTION("""COMPUTED_VALUE"""),FALSE)</f>
        <v>0</v>
      </c>
      <c r="AO204" s="292" t="str">
        <f>IFERROR(__xludf.DUMMYFUNCTION("""COMPUTED_VALUE"""),"FALSE")</f>
        <v>FALSE</v>
      </c>
      <c r="AP204" s="292" t="str">
        <f>IFERROR(__xludf.DUMMYFUNCTION("""COMPUTED_VALUE"""),"Diced chicken")</f>
        <v>Diced chicken</v>
      </c>
      <c r="AQ204" s="292" t="str">
        <f>IFERROR(__xludf.DUMMYFUNCTION("""COMPUTED_VALUE"""),"Chicken")</f>
        <v>Chicken</v>
      </c>
      <c r="AR204" s="292" t="str">
        <f>IFERROR(__xludf.DUMMYFUNCTION("""COMPUTED_VALUE"""),"Pieces")</f>
        <v>Pieces</v>
      </c>
      <c r="AS204" s="292" t="str">
        <f>IFERROR(__xludf.DUMMYFUNCTION("""COMPUTED_VALUE"""),"Rice")</f>
        <v>Rice</v>
      </c>
      <c r="AT204" s="292" t="str">
        <f>IFERROR(__xludf.DUMMYFUNCTION("""COMPUTED_VALUE"""),"Broccoli")</f>
        <v>Broccoli</v>
      </c>
      <c r="AU204" s="292" t="str">
        <f>IFERROR(__xludf.DUMMYFUNCTION("""COMPUTED_VALUE"""),"Other sauce")</f>
        <v>Other sauce</v>
      </c>
      <c r="AV204" s="292" t="str">
        <f>IFERROR(__xludf.DUMMYFUNCTION("""COMPUTED_VALUE"""),"Nuts")</f>
        <v>Nuts</v>
      </c>
      <c r="AW204" s="292" t="str">
        <f>IFERROR(__xludf.DUMMYFUNCTION("""COMPUTED_VALUE"""),"Year Round")</f>
        <v>Year Round</v>
      </c>
      <c r="AX204" s="292" t="str">
        <f>IFERROR(__xludf.DUMMYFUNCTION("""COMPUTED_VALUE"""),"Thai")</f>
        <v>Thai</v>
      </c>
      <c r="AY204" s="292"/>
      <c r="AZ204" s="292" t="str">
        <f>IFERROR(__xludf.DUMMYFUNCTION("""COMPUTED_VALUE"""),"2 CT")</f>
        <v>2 CT</v>
      </c>
      <c r="BA204" s="292" t="b">
        <f>IFERROR(__xludf.DUMMYFUNCTION("""COMPUTED_VALUE"""),FALSE)</f>
        <v>0</v>
      </c>
      <c r="BB204" s="342">
        <f>IFERROR(__xludf.DUMMYFUNCTION("""COMPUTED_VALUE"""),3.1)</f>
        <v>3.1</v>
      </c>
      <c r="BC204" s="348">
        <f>IFERROR(__xludf.DUMMYFUNCTION("""COMPUTED_VALUE"""),1.55)</f>
        <v>1.55</v>
      </c>
      <c r="BD204" s="348">
        <f>IFERROR(__xludf.DUMMYFUNCTION("""COMPUTED_VALUE"""),0.41)</f>
        <v>0.41</v>
      </c>
      <c r="BE204" s="342">
        <f>IFERROR(__xludf.DUMMYFUNCTION("""COMPUTED_VALUE"""),0.89)</f>
        <v>0.89</v>
      </c>
      <c r="BF204" s="296">
        <f>IFERROR(__xludf.DUMMYFUNCTION("""COMPUTED_VALUE"""),3.510111111111111)</f>
        <v>3.510111111</v>
      </c>
      <c r="BG204" s="296" t="str">
        <f>IFERROR(__xludf.DUMMYFUNCTION("""COMPUTED_VALUE"""),"#REF!")</f>
        <v>#REF!</v>
      </c>
      <c r="BH204" s="296" t="str">
        <f>IFERROR(__xludf.DUMMYFUNCTION("""COMPUTED_VALUE"""),"#REF!")</f>
        <v>#REF!</v>
      </c>
      <c r="BI204" s="295">
        <f>IFERROR(__xludf.DUMMYFUNCTION("""COMPUTED_VALUE"""),119.0)</f>
        <v>119</v>
      </c>
      <c r="BJ204" s="292"/>
      <c r="BK204" s="346">
        <f>IFERROR(__xludf.DUMMYFUNCTION("""COMPUTED_VALUE"""),2893.0)</f>
        <v>2893</v>
      </c>
      <c r="BL204" s="292"/>
      <c r="BM204" s="292"/>
      <c r="BN204" s="292"/>
      <c r="BO204" s="292"/>
      <c r="BP204" s="292"/>
      <c r="BQ204" s="292" t="str">
        <f>IFERROR(__xludf.DUMMYFUNCTION("""COMPUTED_VALUE"""),"New")</f>
        <v>New</v>
      </c>
      <c r="BR204" s="292" t="b">
        <f>IFERROR(__xludf.DUMMYFUNCTION("""COMPUTED_VALUE"""),TRUE)</f>
        <v>1</v>
      </c>
      <c r="BS204" s="292" t="b">
        <f>IFERROR(__xludf.DUMMYFUNCTION("""COMPUTED_VALUE"""),FALSE)</f>
        <v>0</v>
      </c>
      <c r="BT204" s="292"/>
      <c r="BU204" s="292"/>
      <c r="BV204" s="292"/>
      <c r="BW204" s="292"/>
    </row>
    <row r="205">
      <c r="A205" s="292" t="str">
        <f>IFERROR(__xludf.DUMMYFUNCTION("""COMPUTED_VALUE"""),"FE4068A")</f>
        <v>FE4068A</v>
      </c>
      <c r="B205" s="292" t="str">
        <f>IFERROR(__xludf.DUMMYFUNCTION("""COMPUTED_VALUE"""),"CON-40-155745-4")</f>
        <v>CON-40-155745-4</v>
      </c>
      <c r="C205" s="292" t="str">
        <f>IFERROR(__xludf.DUMMYFUNCTION("""COMPUTED_VALUE"""),"CON-00-155740-2")</f>
        <v>CON-00-155740-2</v>
      </c>
      <c r="D205" s="292" t="str">
        <f>IFERROR(__xludf.DUMMYFUNCTION("""COMPUTED_VALUE"""),"CON-00-155739-2")</f>
        <v>CON-00-155739-2</v>
      </c>
      <c r="E205" s="292" t="str">
        <f>IFERROR(__xludf.DUMMYFUNCTION("""COMPUTED_VALUE"""),"Balsamic-Glazed Chicken")</f>
        <v>Balsamic-Glazed Chicken</v>
      </c>
      <c r="F205" s="292" t="str">
        <f>IFERROR(__xludf.DUMMYFUNCTION("""COMPUTED_VALUE"""),"with Squash Risotto &amp; Brussels Sprouts")</f>
        <v>with Squash Risotto &amp; Brussels Sprouts</v>
      </c>
      <c r="G205" s="292" t="str">
        <f>IFERROR(__xludf.DUMMYFUNCTION("""COMPUTED_VALUE"""),"Kip met balsamico glazuur")</f>
        <v>Kip met balsamico glazuur</v>
      </c>
      <c r="H205" s="292" t="str">
        <f>IFERROR(__xludf.DUMMYFUNCTION("""COMPUTED_VALUE"""),"met pompoenrisotto en spruitjes")</f>
        <v>met pompoenrisotto en spruitjes</v>
      </c>
      <c r="I205" s="292" t="str">
        <f>IFERROR(__xludf.DUMMYFUNCTION("""COMPUTED_VALUE"""),"Kylling med balsamico­sauce")</f>
        <v>Kylling med balsamico­sauce</v>
      </c>
      <c r="J205" s="292" t="str">
        <f>IFERROR(__xludf.DUMMYFUNCTION("""COMPUTED_VALUE"""),"Balsamico-Glasur Hähnchen")</f>
        <v>Balsamico-Glasur Hähnchen</v>
      </c>
      <c r="K205" s="292">
        <f>IFERROR(__xludf.DUMMYFUNCTION("""COMPUTED_VALUE"""),565243.0)</f>
        <v>565243</v>
      </c>
      <c r="L205" s="292" t="str">
        <f>IFERROR(__xludf.DUMMYFUNCTION("""COMPUTED_VALUE"""),"HF Kipfilet balsamico glace")</f>
        <v>HF Kipfilet balsamico glace</v>
      </c>
      <c r="M205" s="292" t="str">
        <f>IFERROR(__xludf.DUMMYFUNCTION("""COMPUTED_VALUE"""),"FA-NL Kip met balsamico glazuur (FE4068)")</f>
        <v>FA-NL Kip met balsamico glazuur (FE4068)</v>
      </c>
      <c r="N205" s="292" t="str">
        <f>IFERROR(__xludf.DUMMYFUNCTION("""COMPUTED_VALUE"""),"FA-NO Kylling med balsamico­sauce (FE4068)")</f>
        <v>FA-NO Kylling med balsamico­sauce (FE4068)</v>
      </c>
      <c r="O205" s="292" t="str">
        <f>IFERROR(__xludf.DUMMYFUNCTION("""COMPUTED_VALUE"""),"FA-DE Balsamico-Glasur Hähnchen (FE4068)")</f>
        <v>FA-DE Balsamico-Glasur Hähnchen (FE4068)</v>
      </c>
      <c r="P205" s="292" t="str">
        <f>IFERROR(__xludf.DUMMYFUNCTION("""COMPUTED_VALUE"""),"Hold - Rework")</f>
        <v>Hold - Rework</v>
      </c>
      <c r="Q205" s="292" t="str">
        <f>IFERROR(__xludf.DUMMYFUNCTION("""COMPUTED_VALUE"""),"Theres some room to increase salt content (1.82g)")</f>
        <v>Theres some room to increase salt content (1.82g)</v>
      </c>
      <c r="R205" s="342">
        <f>IFERROR(__xludf.DUMMYFUNCTION("""COMPUTED_VALUE"""),4.54)</f>
        <v>4.54</v>
      </c>
      <c r="S205" s="292"/>
      <c r="T205" s="292"/>
      <c r="U205" s="292"/>
      <c r="V205" s="292"/>
      <c r="W205" s="292" t="b">
        <f>IFERROR(__xludf.DUMMYFUNCTION("""COMPUTED_VALUE"""),TRUE)</f>
        <v>1</v>
      </c>
      <c r="X205" s="345">
        <f>IFERROR(__xludf.DUMMYFUNCTION("""COMPUTED_VALUE"""),419.0)</f>
        <v>419</v>
      </c>
      <c r="Y205" s="344">
        <f>IFERROR(__xludf.DUMMYFUNCTION("""COMPUTED_VALUE"""),525.0)</f>
        <v>525</v>
      </c>
      <c r="Z205" s="343">
        <f>IFERROR(__xludf.DUMMYFUNCTION("""COMPUTED_VALUE"""),19.9)</f>
        <v>19.9</v>
      </c>
      <c r="AA205" s="344">
        <f>IFERROR(__xludf.DUMMYFUNCTION("""COMPUTED_VALUE"""),6.5)</f>
        <v>6.5</v>
      </c>
      <c r="AB205" s="344">
        <f>IFERROR(__xludf.DUMMYFUNCTION("""COMPUTED_VALUE"""),52.1)</f>
        <v>52.1</v>
      </c>
      <c r="AC205" s="344">
        <f>IFERROR(__xludf.DUMMYFUNCTION("""COMPUTED_VALUE"""),16.1)</f>
        <v>16.1</v>
      </c>
      <c r="AD205" s="344">
        <f>IFERROR(__xludf.DUMMYFUNCTION("""COMPUTED_VALUE"""),4.6)</f>
        <v>4.6</v>
      </c>
      <c r="AE205" s="343">
        <f>IFERROR(__xludf.DUMMYFUNCTION("""COMPUTED_VALUE"""),30.6)</f>
        <v>30.6</v>
      </c>
      <c r="AF205" s="343">
        <f>IFERROR(__xludf.DUMMYFUNCTION("""COMPUTED_VALUE"""),1.82)</f>
        <v>1.82</v>
      </c>
      <c r="AG205" s="292" t="b">
        <f>IFERROR(__xludf.DUMMYFUNCTION("""COMPUTED_VALUE"""),FALSE)</f>
        <v>0</v>
      </c>
      <c r="AH205" s="292" t="b">
        <f>IFERROR(__xludf.DUMMYFUNCTION("""COMPUTED_VALUE"""),FALSE)</f>
        <v>0</v>
      </c>
      <c r="AI205" s="292" t="b">
        <f>IFERROR(__xludf.DUMMYFUNCTION("""COMPUTED_VALUE"""),TRUE)</f>
        <v>1</v>
      </c>
      <c r="AJ205" s="292" t="b">
        <f>IFERROR(__xludf.DUMMYFUNCTION("""COMPUTED_VALUE"""),FALSE)</f>
        <v>0</v>
      </c>
      <c r="AK205" s="292" t="b">
        <f>IFERROR(__xludf.DUMMYFUNCTION("""COMPUTED_VALUE"""),FALSE)</f>
        <v>0</v>
      </c>
      <c r="AL205" s="292" t="b">
        <f>IFERROR(__xludf.DUMMYFUNCTION("""COMPUTED_VALUE"""),FALSE)</f>
        <v>0</v>
      </c>
      <c r="AM205" s="292" t="b">
        <f>IFERROR(__xludf.DUMMYFUNCTION("""COMPUTED_VALUE"""),TRUE)</f>
        <v>1</v>
      </c>
      <c r="AN205" s="292" t="b">
        <f>IFERROR(__xludf.DUMMYFUNCTION("""COMPUTED_VALUE"""),FALSE)</f>
        <v>0</v>
      </c>
      <c r="AO205" s="292" t="str">
        <f>IFERROR(__xludf.DUMMYFUNCTION("""COMPUTED_VALUE"""),"FALSE")</f>
        <v>FALSE</v>
      </c>
      <c r="AP205" s="292" t="str">
        <f>IFERROR(__xludf.DUMMYFUNCTION("""COMPUTED_VALUE"""),"Chicken breast")</f>
        <v>Chicken breast</v>
      </c>
      <c r="AQ205" s="292" t="str">
        <f>IFERROR(__xludf.DUMMYFUNCTION("""COMPUTED_VALUE"""),"Chicken")</f>
        <v>Chicken</v>
      </c>
      <c r="AR205" s="292" t="str">
        <f>IFERROR(__xludf.DUMMYFUNCTION("""COMPUTED_VALUE"""),"Breast")</f>
        <v>Breast</v>
      </c>
      <c r="AS205" s="292" t="str">
        <f>IFERROR(__xludf.DUMMYFUNCTION("""COMPUTED_VALUE"""),"Risotto")</f>
        <v>Risotto</v>
      </c>
      <c r="AT205" s="292" t="str">
        <f>IFERROR(__xludf.DUMMYFUNCTION("""COMPUTED_VALUE"""),"Brussels Sprouts")</f>
        <v>Brussels Sprouts</v>
      </c>
      <c r="AU205" s="292" t="str">
        <f>IFERROR(__xludf.DUMMYFUNCTION("""COMPUTED_VALUE"""),"Pumpkin ")</f>
        <v>Pumpkin </v>
      </c>
      <c r="AV205" s="292" t="str">
        <f>IFERROR(__xludf.DUMMYFUNCTION("""COMPUTED_VALUE"""),"Cupped Sauce")</f>
        <v>Cupped Sauce</v>
      </c>
      <c r="AW205" s="292" t="str">
        <f>IFERROR(__xludf.DUMMYFUNCTION("""COMPUTED_VALUE"""),"Year Round")</f>
        <v>Year Round</v>
      </c>
      <c r="AX205" s="292" t="str">
        <f>IFERROR(__xludf.DUMMYFUNCTION("""COMPUTED_VALUE"""),"Italian")</f>
        <v>Italian</v>
      </c>
      <c r="AY205" s="292"/>
      <c r="AZ205" s="292" t="str">
        <f>IFERROR(__xludf.DUMMYFUNCTION("""COMPUTED_VALUE"""),"2 CT")</f>
        <v>2 CT</v>
      </c>
      <c r="BA205" s="292" t="b">
        <f>IFERROR(__xludf.DUMMYFUNCTION("""COMPUTED_VALUE"""),TRUE)</f>
        <v>1</v>
      </c>
      <c r="BB205" s="342">
        <f>IFERROR(__xludf.DUMMYFUNCTION("""COMPUTED_VALUE"""),2.77)</f>
        <v>2.77</v>
      </c>
      <c r="BC205" s="342">
        <f>IFERROR(__xludf.DUMMYFUNCTION("""COMPUTED_VALUE"""),1.31)</f>
        <v>1.31</v>
      </c>
      <c r="BD205" s="342">
        <f>IFERROR(__xludf.DUMMYFUNCTION("""COMPUTED_VALUE"""),0.46)</f>
        <v>0.46</v>
      </c>
      <c r="BE205" s="342">
        <f>IFERROR(__xludf.DUMMYFUNCTION("""COMPUTED_VALUE"""),0.89)</f>
        <v>0.89</v>
      </c>
      <c r="BF205" s="296">
        <f>IFERROR(__xludf.DUMMYFUNCTION("""COMPUTED_VALUE"""),2.92)</f>
        <v>2.92</v>
      </c>
      <c r="BG205" s="296">
        <f>IFERROR(__xludf.DUMMYFUNCTION("""COMPUTED_VALUE"""),3.11)</f>
        <v>3.11</v>
      </c>
      <c r="BH205" s="296">
        <f>IFERROR(__xludf.DUMMYFUNCTION("""COMPUTED_VALUE"""),3.04)</f>
        <v>3.04</v>
      </c>
      <c r="BI205" s="295">
        <f>IFERROR(__xludf.DUMMYFUNCTION("""COMPUTED_VALUE"""),126.0)</f>
        <v>126</v>
      </c>
      <c r="BJ205" s="292"/>
      <c r="BK205" s="346">
        <f>IFERROR(__xludf.DUMMYFUNCTION("""COMPUTED_VALUE"""),2211.0)</f>
        <v>2211</v>
      </c>
      <c r="BL205" s="292"/>
      <c r="BM205" s="292"/>
      <c r="BN205" s="292"/>
      <c r="BO205" s="292"/>
      <c r="BP205" s="292"/>
      <c r="BQ205" s="292" t="str">
        <f>IFERROR(__xludf.DUMMYFUNCTION("""COMPUTED_VALUE"""),"New")</f>
        <v>New</v>
      </c>
      <c r="BR205" s="292" t="b">
        <f>IFERROR(__xludf.DUMMYFUNCTION("""COMPUTED_VALUE"""),TRUE)</f>
        <v>1</v>
      </c>
      <c r="BS205" s="292" t="b">
        <f>IFERROR(__xludf.DUMMYFUNCTION("""COMPUTED_VALUE"""),FALSE)</f>
        <v>0</v>
      </c>
      <c r="BT205" s="292"/>
      <c r="BU205" s="292"/>
      <c r="BV205" s="292"/>
      <c r="BW205" s="292"/>
    </row>
    <row r="206">
      <c r="A206" s="292" t="str">
        <f>IFERROR(__xludf.DUMMYFUNCTION("""COMPUTED_VALUE"""),"FE4069A")</f>
        <v>FE4069A</v>
      </c>
      <c r="B206" s="292" t="str">
        <f>IFERROR(__xludf.DUMMYFUNCTION("""COMPUTED_VALUE"""),"CON-40-155744-4")</f>
        <v>CON-40-155744-4</v>
      </c>
      <c r="C206" s="292" t="str">
        <f>IFERROR(__xludf.DUMMYFUNCTION("""COMPUTED_VALUE"""),"CON-00-155741-2")</f>
        <v>CON-00-155741-2</v>
      </c>
      <c r="D206" s="292" t="str">
        <f>IFERROR(__xludf.DUMMYFUNCTION("""COMPUTED_VALUE"""),"CON-00-155742-2")</f>
        <v>CON-00-155742-2</v>
      </c>
      <c r="E206" s="292" t="str">
        <f>IFERROR(__xludf.DUMMYFUNCTION("""COMPUTED_VALUE"""),"Apple Cider &amp; Dijon Chicken")</f>
        <v>Apple Cider &amp; Dijon Chicken</v>
      </c>
      <c r="F206" s="292" t="str">
        <f>IFERROR(__xludf.DUMMYFUNCTION("""COMPUTED_VALUE"""),"with Baby Potatoes, Brussels Sprouts &amp; Squash")</f>
        <v>with Baby Potatoes, Brussels Sprouts &amp; Squash</v>
      </c>
      <c r="G206" s="292" t="str">
        <f>IFERROR(__xludf.DUMMYFUNCTION("""COMPUTED_VALUE"""),"Kip met appelazijn &amp; dijonmosterd")</f>
        <v>Kip met appelazijn &amp; dijonmosterd</v>
      </c>
      <c r="H206" s="292" t="str">
        <f>IFERROR(__xludf.DUMMYFUNCTION("""COMPUTED_VALUE"""),"met geroosterde aardappelen, spruitjes &amp; pompoen")</f>
        <v>met geroosterde aardappelen, spruitjes &amp; pompoen</v>
      </c>
      <c r="I206" s="292" t="str">
        <f>IFERROR(__xludf.DUMMYFUNCTION("""COMPUTED_VALUE"""),"Kylling i æblecider-dijonsauce")</f>
        <v>Kylling i æblecider-dijonsauce</v>
      </c>
      <c r="J206" s="292" t="str">
        <f>IFERROR(__xludf.DUMMYFUNCTION("""COMPUTED_VALUE"""),"Apfelwein- &amp; Dijon-Senf-Hähnchen")</f>
        <v>Apfelwein- &amp; Dijon-Senf-Hähnchen</v>
      </c>
      <c r="K206" s="292">
        <f>IFERROR(__xludf.DUMMYFUNCTION("""COMPUTED_VALUE"""),565241.0)</f>
        <v>565241</v>
      </c>
      <c r="L206" s="292" t="str">
        <f>IFERROR(__xludf.DUMMYFUNCTION("""COMPUTED_VALUE"""),"HF Kipfilet appel cider saus")</f>
        <v>HF Kipfilet appel cider saus</v>
      </c>
      <c r="M206" s="292" t="str">
        <f>IFERROR(__xludf.DUMMYFUNCTION("""COMPUTED_VALUE"""),"FA-NL Kip met appelazijn &amp; dijonmosterd (FE4069)")</f>
        <v>FA-NL Kip met appelazijn &amp; dijonmosterd (FE4069)</v>
      </c>
      <c r="N206" s="292" t="str">
        <f>IFERROR(__xludf.DUMMYFUNCTION("""COMPUTED_VALUE"""),"FA-NO Kylling i æblecider-dijonsauce (FE4069)")</f>
        <v>FA-NO Kylling i æblecider-dijonsauce (FE4069)</v>
      </c>
      <c r="O206" s="292" t="str">
        <f>IFERROR(__xludf.DUMMYFUNCTION("""COMPUTED_VALUE"""),"FA-DE Apfelwein- &amp; Dijon-Senf-Hähnchen (FE4069)")</f>
        <v>FA-DE Apfelwein- &amp; Dijon-Senf-Hähnchen (FE4069)</v>
      </c>
      <c r="P206" s="292" t="str">
        <f>IFERROR(__xludf.DUMMYFUNCTION("""COMPUTED_VALUE"""),"Hold - Rework")</f>
        <v>Hold - Rework</v>
      </c>
      <c r="Q206" s="292"/>
      <c r="R206" s="342">
        <f>IFERROR(__xludf.DUMMYFUNCTION("""COMPUTED_VALUE"""),4.62)</f>
        <v>4.62</v>
      </c>
      <c r="S206" s="292"/>
      <c r="T206" s="292"/>
      <c r="U206" s="292"/>
      <c r="V206" s="292"/>
      <c r="W206" s="292" t="b">
        <f>IFERROR(__xludf.DUMMYFUNCTION("""COMPUTED_VALUE"""),TRUE)</f>
        <v>1</v>
      </c>
      <c r="X206" s="345">
        <f>IFERROR(__xludf.DUMMYFUNCTION("""COMPUTED_VALUE"""),384.0)</f>
        <v>384</v>
      </c>
      <c r="Y206" s="344">
        <f>IFERROR(__xludf.DUMMYFUNCTION("""COMPUTED_VALUE"""),455.0)</f>
        <v>455</v>
      </c>
      <c r="Z206" s="343">
        <f>IFERROR(__xludf.DUMMYFUNCTION("""COMPUTED_VALUE"""),17.1)</f>
        <v>17.1</v>
      </c>
      <c r="AA206" s="344">
        <f>IFERROR(__xludf.DUMMYFUNCTION("""COMPUTED_VALUE"""),4.2)</f>
        <v>4.2</v>
      </c>
      <c r="AB206" s="344">
        <f>IFERROR(__xludf.DUMMYFUNCTION("""COMPUTED_VALUE"""),42.9)</f>
        <v>42.9</v>
      </c>
      <c r="AC206" s="344">
        <f>IFERROR(__xludf.DUMMYFUNCTION("""COMPUTED_VALUE"""),12.3)</f>
        <v>12.3</v>
      </c>
      <c r="AD206" s="344">
        <f>IFERROR(__xludf.DUMMYFUNCTION("""COMPUTED_VALUE"""),7.7)</f>
        <v>7.7</v>
      </c>
      <c r="AE206" s="343">
        <f>IFERROR(__xludf.DUMMYFUNCTION("""COMPUTED_VALUE"""),28.1)</f>
        <v>28.1</v>
      </c>
      <c r="AF206" s="343">
        <f>IFERROR(__xludf.DUMMYFUNCTION("""COMPUTED_VALUE"""),1.94)</f>
        <v>1.94</v>
      </c>
      <c r="AG206" s="292" t="b">
        <f>IFERROR(__xludf.DUMMYFUNCTION("""COMPUTED_VALUE"""),FALSE)</f>
        <v>0</v>
      </c>
      <c r="AH206" s="292" t="b">
        <f>IFERROR(__xludf.DUMMYFUNCTION("""COMPUTED_VALUE"""),FALSE)</f>
        <v>0</v>
      </c>
      <c r="AI206" s="292" t="b">
        <f>IFERROR(__xludf.DUMMYFUNCTION("""COMPUTED_VALUE"""),TRUE)</f>
        <v>1</v>
      </c>
      <c r="AJ206" s="292" t="b">
        <f>IFERROR(__xludf.DUMMYFUNCTION("""COMPUTED_VALUE"""),FALSE)</f>
        <v>0</v>
      </c>
      <c r="AK206" s="292" t="b">
        <f>IFERROR(__xludf.DUMMYFUNCTION("""COMPUTED_VALUE"""),FALSE)</f>
        <v>0</v>
      </c>
      <c r="AL206" s="292" t="b">
        <f>IFERROR(__xludf.DUMMYFUNCTION("""COMPUTED_VALUE"""),FALSE)</f>
        <v>0</v>
      </c>
      <c r="AM206" s="292" t="b">
        <f>IFERROR(__xludf.DUMMYFUNCTION("""COMPUTED_VALUE"""),FALSE)</f>
        <v>0</v>
      </c>
      <c r="AN206" s="292" t="b">
        <f>IFERROR(__xludf.DUMMYFUNCTION("""COMPUTED_VALUE"""),FALSE)</f>
        <v>0</v>
      </c>
      <c r="AO206" s="292" t="str">
        <f>IFERROR(__xludf.DUMMYFUNCTION("""COMPUTED_VALUE"""),"FALSE")</f>
        <v>FALSE</v>
      </c>
      <c r="AP206" s="292" t="str">
        <f>IFERROR(__xludf.DUMMYFUNCTION("""COMPUTED_VALUE"""),"Chicken breast")</f>
        <v>Chicken breast</v>
      </c>
      <c r="AQ206" s="292" t="str">
        <f>IFERROR(__xludf.DUMMYFUNCTION("""COMPUTED_VALUE"""),"Chicken")</f>
        <v>Chicken</v>
      </c>
      <c r="AR206" s="292" t="str">
        <f>IFERROR(__xludf.DUMMYFUNCTION("""COMPUTED_VALUE"""),"Breast")</f>
        <v>Breast</v>
      </c>
      <c r="AS206" s="292" t="str">
        <f>IFERROR(__xludf.DUMMYFUNCTION("""COMPUTED_VALUE"""),"Potato Non-Mash")</f>
        <v>Potato Non-Mash</v>
      </c>
      <c r="AT206" s="292" t="str">
        <f>IFERROR(__xludf.DUMMYFUNCTION("""COMPUTED_VALUE"""),"Brussels Sprouts")</f>
        <v>Brussels Sprouts</v>
      </c>
      <c r="AU206" s="292" t="str">
        <f>IFERROR(__xludf.DUMMYFUNCTION("""COMPUTED_VALUE"""),"Pumpkin ")</f>
        <v>Pumpkin </v>
      </c>
      <c r="AV206" s="292" t="str">
        <f>IFERROR(__xludf.DUMMYFUNCTION("""COMPUTED_VALUE"""),"Other sauce")</f>
        <v>Other sauce</v>
      </c>
      <c r="AW206" s="292" t="str">
        <f>IFERROR(__xludf.DUMMYFUNCTION("""COMPUTED_VALUE"""),"Year Round")</f>
        <v>Year Round</v>
      </c>
      <c r="AX206" s="292" t="str">
        <f>IFERROR(__xludf.DUMMYFUNCTION("""COMPUTED_VALUE"""),"Canadian")</f>
        <v>Canadian</v>
      </c>
      <c r="AY206" s="292"/>
      <c r="AZ206" s="292" t="str">
        <f>IFERROR(__xludf.DUMMYFUNCTION("""COMPUTED_VALUE"""),"2 CT")</f>
        <v>2 CT</v>
      </c>
      <c r="BA206" s="292" t="b">
        <f>IFERROR(__xludf.DUMMYFUNCTION("""COMPUTED_VALUE"""),FALSE)</f>
        <v>0</v>
      </c>
      <c r="BB206" s="342">
        <f>IFERROR(__xludf.DUMMYFUNCTION("""COMPUTED_VALUE"""),2.96)</f>
        <v>2.96</v>
      </c>
      <c r="BC206" s="342">
        <f>IFERROR(__xludf.DUMMYFUNCTION("""COMPUTED_VALUE"""),1.24)</f>
        <v>1.24</v>
      </c>
      <c r="BD206" s="342">
        <f>IFERROR(__xludf.DUMMYFUNCTION("""COMPUTED_VALUE"""),0.42)</f>
        <v>0.42</v>
      </c>
      <c r="BE206" s="342">
        <f>IFERROR(__xludf.DUMMYFUNCTION("""COMPUTED_VALUE"""),0.89)</f>
        <v>0.89</v>
      </c>
      <c r="BF206" s="296">
        <f>IFERROR(__xludf.DUMMYFUNCTION("""COMPUTED_VALUE"""),3.1)</f>
        <v>3.1</v>
      </c>
      <c r="BG206" s="296">
        <f>IFERROR(__xludf.DUMMYFUNCTION("""COMPUTED_VALUE"""),3.14)</f>
        <v>3.14</v>
      </c>
      <c r="BH206" s="296">
        <f>IFERROR(__xludf.DUMMYFUNCTION("""COMPUTED_VALUE"""),2.95)</f>
        <v>2.95</v>
      </c>
      <c r="BI206" s="295">
        <f>IFERROR(__xludf.DUMMYFUNCTION("""COMPUTED_VALUE"""),123.0)</f>
        <v>123</v>
      </c>
      <c r="BJ206" s="292"/>
      <c r="BK206" s="346">
        <f>IFERROR(__xludf.DUMMYFUNCTION("""COMPUTED_VALUE"""),1908.0)</f>
        <v>1908</v>
      </c>
      <c r="BL206" s="292"/>
      <c r="BM206" s="292"/>
      <c r="BN206" s="292"/>
      <c r="BO206" s="292"/>
      <c r="BP206" s="292"/>
      <c r="BQ206" s="292" t="str">
        <f>IFERROR(__xludf.DUMMYFUNCTION("""COMPUTED_VALUE"""),"New")</f>
        <v>New</v>
      </c>
      <c r="BR206" s="292" t="b">
        <f>IFERROR(__xludf.DUMMYFUNCTION("""COMPUTED_VALUE"""),FALSE)</f>
        <v>0</v>
      </c>
      <c r="BS206" s="292" t="b">
        <f>IFERROR(__xludf.DUMMYFUNCTION("""COMPUTED_VALUE"""),FALSE)</f>
        <v>0</v>
      </c>
      <c r="BT206" s="292"/>
      <c r="BU206" s="292"/>
      <c r="BV206" s="292"/>
      <c r="BW206" s="292"/>
    </row>
    <row r="207">
      <c r="A207" s="292" t="str">
        <f>IFERROR(__xludf.DUMMYFUNCTION("""COMPUTED_VALUE"""),"FE4070A")</f>
        <v>FE4070A</v>
      </c>
      <c r="B207" s="292" t="str">
        <f>IFERROR(__xludf.DUMMYFUNCTION("""COMPUTED_VALUE"""),"CON-40-155021-4")</f>
        <v>CON-40-155021-4</v>
      </c>
      <c r="C207" s="292" t="str">
        <f>IFERROR(__xludf.DUMMYFUNCTION("""COMPUTED_VALUE"""),"CON-00-155018-2")</f>
        <v>CON-00-155018-2</v>
      </c>
      <c r="D207" s="292" t="str">
        <f>IFERROR(__xludf.DUMMYFUNCTION("""COMPUTED_VALUE"""),"CON-00-155022-2")</f>
        <v>CON-00-155022-2</v>
      </c>
      <c r="E207" s="292" t="str">
        <f>IFERROR(__xludf.DUMMYFUNCTION("""COMPUTED_VALUE"""),"Herb-Grilled Chicken")</f>
        <v>Herb-Grilled Chicken</v>
      </c>
      <c r="F207" s="292" t="str">
        <f>IFERROR(__xludf.DUMMYFUNCTION("""COMPUTED_VALUE"""),"with Goat Cheese Risotto &amp; Roasted Butternut Squash")</f>
        <v>with Goat Cheese Risotto &amp; Roasted Butternut Squash</v>
      </c>
      <c r="G207" s="292" t="str">
        <f>IFERROR(__xludf.DUMMYFUNCTION("""COMPUTED_VALUE"""),"Gegrilde kip met kruiden")</f>
        <v>Gegrilde kip met kruiden</v>
      </c>
      <c r="H207" s="292" t="str">
        <f>IFERROR(__xludf.DUMMYFUNCTION("""COMPUTED_VALUE"""),"met geitenkaasrisotto en geroosterde pompoen")</f>
        <v>met geitenkaasrisotto en geroosterde pompoen</v>
      </c>
      <c r="I207" s="292" t="str">
        <f>IFERROR(__xludf.DUMMYFUNCTION("""COMPUTED_VALUE"""),"Grillkylling med urter")</f>
        <v>Grillkylling med urter</v>
      </c>
      <c r="J207" s="292" t="str">
        <f>IFERROR(__xludf.DUMMYFUNCTION("""COMPUTED_VALUE"""),"Gegrilltes Hähnchen mit Kräutern")</f>
        <v>Gegrilltes Hähnchen mit Kräutern</v>
      </c>
      <c r="K207" s="292">
        <f>IFERROR(__xludf.DUMMYFUNCTION("""COMPUTED_VALUE"""),565242.0)</f>
        <v>565242</v>
      </c>
      <c r="L207" s="292" t="str">
        <f>IFERROR(__xludf.DUMMYFUNCTION("""COMPUTED_VALUE"""),"HF Kip met risotto geitenkaas")</f>
        <v>HF Kip met risotto geitenkaas</v>
      </c>
      <c r="M207" s="292" t="str">
        <f>IFERROR(__xludf.DUMMYFUNCTION("""COMPUTED_VALUE"""),"FA-NL Gegrilde kip met kruiden (FE4070)")</f>
        <v>FA-NL Gegrilde kip met kruiden (FE4070)</v>
      </c>
      <c r="N207" s="292" t="str">
        <f>IFERROR(__xludf.DUMMYFUNCTION("""COMPUTED_VALUE"""),"FA-NO Grillkylling med urter (FE4070)")</f>
        <v>FA-NO Grillkylling med urter (FE4070)</v>
      </c>
      <c r="O207" s="292" t="str">
        <f>IFERROR(__xludf.DUMMYFUNCTION("""COMPUTED_VALUE"""),"FA-DE Gegrilltes Hähnchen mit Kräutern (FE4070)")</f>
        <v>FA-DE Gegrilltes Hähnchen mit Kräutern (FE4070)</v>
      </c>
      <c r="P207" s="292" t="str">
        <f>IFERROR(__xludf.DUMMYFUNCTION("""COMPUTED_VALUE"""),"Active")</f>
        <v>Active</v>
      </c>
      <c r="Q207" s="292"/>
      <c r="R207" s="342">
        <f>IFERROR(__xludf.DUMMYFUNCTION("""COMPUTED_VALUE"""),4.01)</f>
        <v>4.01</v>
      </c>
      <c r="S207" s="292"/>
      <c r="T207" s="292"/>
      <c r="U207" s="292"/>
      <c r="V207" s="292"/>
      <c r="W207" s="292" t="b">
        <f>IFERROR(__xludf.DUMMYFUNCTION("""COMPUTED_VALUE"""),TRUE)</f>
        <v>1</v>
      </c>
      <c r="X207" s="345">
        <f>IFERROR(__xludf.DUMMYFUNCTION("""COMPUTED_VALUE"""),444.0)</f>
        <v>444</v>
      </c>
      <c r="Y207" s="344">
        <f>IFERROR(__xludf.DUMMYFUNCTION("""COMPUTED_VALUE"""),546.0)</f>
        <v>546</v>
      </c>
      <c r="Z207" s="343">
        <f>IFERROR(__xludf.DUMMYFUNCTION("""COMPUTED_VALUE"""),23.3)</f>
        <v>23.3</v>
      </c>
      <c r="AA207" s="344">
        <f>IFERROR(__xludf.DUMMYFUNCTION("""COMPUTED_VALUE"""),9.0)</f>
        <v>9</v>
      </c>
      <c r="AB207" s="344">
        <f>IFERROR(__xludf.DUMMYFUNCTION("""COMPUTED_VALUE"""),49.5)</f>
        <v>49.5</v>
      </c>
      <c r="AC207" s="344">
        <f>IFERROR(__xludf.DUMMYFUNCTION("""COMPUTED_VALUE"""),5.2)</f>
        <v>5.2</v>
      </c>
      <c r="AD207" s="344">
        <f>IFERROR(__xludf.DUMMYFUNCTION("""COMPUTED_VALUE"""),3.3)</f>
        <v>3.3</v>
      </c>
      <c r="AE207" s="343">
        <f>IFERROR(__xludf.DUMMYFUNCTION("""COMPUTED_VALUE"""),31.8)</f>
        <v>31.8</v>
      </c>
      <c r="AF207" s="343">
        <f>IFERROR(__xludf.DUMMYFUNCTION("""COMPUTED_VALUE"""),1.99)</f>
        <v>1.99</v>
      </c>
      <c r="AG207" s="292" t="b">
        <f>IFERROR(__xludf.DUMMYFUNCTION("""COMPUTED_VALUE"""),FALSE)</f>
        <v>0</v>
      </c>
      <c r="AH207" s="292" t="b">
        <f>IFERROR(__xludf.DUMMYFUNCTION("""COMPUTED_VALUE"""),FALSE)</f>
        <v>0</v>
      </c>
      <c r="AI207" s="292" t="b">
        <f>IFERROR(__xludf.DUMMYFUNCTION("""COMPUTED_VALUE"""),TRUE)</f>
        <v>1</v>
      </c>
      <c r="AJ207" s="292" t="b">
        <f>IFERROR(__xludf.DUMMYFUNCTION("""COMPUTED_VALUE"""),FALSE)</f>
        <v>0</v>
      </c>
      <c r="AK207" s="292" t="b">
        <f>IFERROR(__xludf.DUMMYFUNCTION("""COMPUTED_VALUE"""),FALSE)</f>
        <v>0</v>
      </c>
      <c r="AL207" s="292" t="b">
        <f>IFERROR(__xludf.DUMMYFUNCTION("""COMPUTED_VALUE"""),FALSE)</f>
        <v>0</v>
      </c>
      <c r="AM207" s="292" t="b">
        <f>IFERROR(__xludf.DUMMYFUNCTION("""COMPUTED_VALUE"""),TRUE)</f>
        <v>1</v>
      </c>
      <c r="AN207" s="292" t="b">
        <f>IFERROR(__xludf.DUMMYFUNCTION("""COMPUTED_VALUE"""),FALSE)</f>
        <v>0</v>
      </c>
      <c r="AO207" s="292" t="str">
        <f>IFERROR(__xludf.DUMMYFUNCTION("""COMPUTED_VALUE"""),"FALSE")</f>
        <v>FALSE</v>
      </c>
      <c r="AP207" s="292" t="str">
        <f>IFERROR(__xludf.DUMMYFUNCTION("""COMPUTED_VALUE"""),"Chicken breast")</f>
        <v>Chicken breast</v>
      </c>
      <c r="AQ207" s="292" t="str">
        <f>IFERROR(__xludf.DUMMYFUNCTION("""COMPUTED_VALUE"""),"Chicken")</f>
        <v>Chicken</v>
      </c>
      <c r="AR207" s="292" t="str">
        <f>IFERROR(__xludf.DUMMYFUNCTION("""COMPUTED_VALUE"""),"Breast")</f>
        <v>Breast</v>
      </c>
      <c r="AS207" s="292" t="str">
        <f>IFERROR(__xludf.DUMMYFUNCTION("""COMPUTED_VALUE"""),"Risotto")</f>
        <v>Risotto</v>
      </c>
      <c r="AT207" s="292" t="str">
        <f>IFERROR(__xludf.DUMMYFUNCTION("""COMPUTED_VALUE"""),"Pumpkin ")</f>
        <v>Pumpkin </v>
      </c>
      <c r="AU207" s="292" t="str">
        <f>IFERROR(__xludf.DUMMYFUNCTION("""COMPUTED_VALUE"""),"Peas")</f>
        <v>Peas</v>
      </c>
      <c r="AV207" s="292"/>
      <c r="AW207" s="292" t="str">
        <f>IFERROR(__xludf.DUMMYFUNCTION("""COMPUTED_VALUE"""),"Year Round")</f>
        <v>Year Round</v>
      </c>
      <c r="AX207" s="292" t="str">
        <f>IFERROR(__xludf.DUMMYFUNCTION("""COMPUTED_VALUE"""),"American")</f>
        <v>American</v>
      </c>
      <c r="AY207" s="292"/>
      <c r="AZ207" s="292" t="str">
        <f>IFERROR(__xludf.DUMMYFUNCTION("""COMPUTED_VALUE"""),"2 CT")</f>
        <v>2 CT</v>
      </c>
      <c r="BA207" s="292" t="b">
        <f>IFERROR(__xludf.DUMMYFUNCTION("""COMPUTED_VALUE"""),FALSE)</f>
        <v>0</v>
      </c>
      <c r="BB207" s="342">
        <f>IFERROR(__xludf.DUMMYFUNCTION("""COMPUTED_VALUE"""),2.57)</f>
        <v>2.57</v>
      </c>
      <c r="BC207" s="342">
        <f>IFERROR(__xludf.DUMMYFUNCTION("""COMPUTED_VALUE"""),1.02)</f>
        <v>1.02</v>
      </c>
      <c r="BD207" s="342">
        <f>IFERROR(__xludf.DUMMYFUNCTION("""COMPUTED_VALUE"""),0.42)</f>
        <v>0.42</v>
      </c>
      <c r="BE207" s="342">
        <f>IFERROR(__xludf.DUMMYFUNCTION("""COMPUTED_VALUE"""),0.89)</f>
        <v>0.89</v>
      </c>
      <c r="BF207" s="296">
        <f>IFERROR(__xludf.DUMMYFUNCTION("""COMPUTED_VALUE"""),3.1799999999999997)</f>
        <v>3.18</v>
      </c>
      <c r="BG207" s="296">
        <f>IFERROR(__xludf.DUMMYFUNCTION("""COMPUTED_VALUE"""),3.2750000000000004)</f>
        <v>3.275</v>
      </c>
      <c r="BH207" s="296">
        <f>IFERROR(__xludf.DUMMYFUNCTION("""COMPUTED_VALUE"""),3.175)</f>
        <v>3.175</v>
      </c>
      <c r="BI207" s="295">
        <f>IFERROR(__xludf.DUMMYFUNCTION("""COMPUTED_VALUE"""),129.0)</f>
        <v>129</v>
      </c>
      <c r="BJ207" s="292"/>
      <c r="BK207" s="346">
        <f>IFERROR(__xludf.DUMMYFUNCTION("""COMPUTED_VALUE"""),2296.0)</f>
        <v>2296</v>
      </c>
      <c r="BL207" s="292"/>
      <c r="BM207" s="292"/>
      <c r="BN207" s="292"/>
      <c r="BO207" s="292"/>
      <c r="BP207" s="292"/>
      <c r="BQ207" s="292" t="str">
        <f>IFERROR(__xludf.DUMMYFUNCTION("""COMPUTED_VALUE"""),"New")</f>
        <v>New</v>
      </c>
      <c r="BR207" s="292" t="b">
        <f>IFERROR(__xludf.DUMMYFUNCTION("""COMPUTED_VALUE"""),TRUE)</f>
        <v>1</v>
      </c>
      <c r="BS207" s="292" t="b">
        <f>IFERROR(__xludf.DUMMYFUNCTION("""COMPUTED_VALUE"""),FALSE)</f>
        <v>0</v>
      </c>
      <c r="BT207" s="292"/>
      <c r="BU207" s="292"/>
      <c r="BV207" s="292"/>
      <c r="BW207" s="292"/>
    </row>
    <row r="208">
      <c r="A208" s="292" t="str">
        <f>IFERROR(__xludf.DUMMYFUNCTION("""COMPUTED_VALUE"""),"FE1698A")</f>
        <v>FE1698A</v>
      </c>
      <c r="B208" s="292" t="str">
        <f>IFERROR(__xludf.DUMMYFUNCTION("""COMPUTED_VALUE"""),"CON-40-154561-4")</f>
        <v>CON-40-154561-4</v>
      </c>
      <c r="C208" s="292" t="str">
        <f>IFERROR(__xludf.DUMMYFUNCTION("""COMPUTED_VALUE"""),"CON-00-154553-2")</f>
        <v>CON-00-154553-2</v>
      </c>
      <c r="D208" s="292" t="str">
        <f>IFERROR(__xludf.DUMMYFUNCTION("""COMPUTED_VALUE"""),"CON-00-154546-2")</f>
        <v>CON-00-154546-2</v>
      </c>
      <c r="E208" s="292" t="str">
        <f>IFERROR(__xludf.DUMMYFUNCTION("""COMPUTED_VALUE"""),"Chermoula Chicken &amp; Lentils")</f>
        <v>Chermoula Chicken &amp; Lentils</v>
      </c>
      <c r="F208" s="292" t="str">
        <f>IFERROR(__xludf.DUMMYFUNCTION("""COMPUTED_VALUE"""),"with Sweet Potatoes &amp; Zucchini")</f>
        <v>with Sweet Potatoes &amp; Zucchini</v>
      </c>
      <c r="G208" s="292" t="str">
        <f>IFERROR(__xludf.DUMMYFUNCTION("""COMPUTED_VALUE"""),"Kip met chermoula en linzen")</f>
        <v>Kip met chermoula en linzen</v>
      </c>
      <c r="H208" s="292" t="str">
        <f>IFERROR(__xludf.DUMMYFUNCTION("""COMPUTED_VALUE"""),"met zoete aardappel &amp; courgette")</f>
        <v>met zoete aardappel &amp; courgette</v>
      </c>
      <c r="I208" s="292" t="str">
        <f>IFERROR(__xludf.DUMMYFUNCTION("""COMPUTED_VALUE"""),"Kylling i chermoula-sauce med linser ")</f>
        <v>Kylling i chermoula-sauce med linser </v>
      </c>
      <c r="J208" s="292" t="str">
        <f>IFERROR(__xludf.DUMMYFUNCTION("""COMPUTED_VALUE"""),"Chermoula-Hähnchen mit Linsen")</f>
        <v>Chermoula-Hähnchen mit Linsen</v>
      </c>
      <c r="K208" s="292">
        <f>IFERROR(__xludf.DUMMYFUNCTION("""COMPUTED_VALUE"""),565213.0)</f>
        <v>565213</v>
      </c>
      <c r="L208" s="292" t="str">
        <f>IFERROR(__xludf.DUMMYFUNCTION("""COMPUTED_VALUE"""),"HF Kip chermoula en linzen")</f>
        <v>HF Kip chermoula en linzen</v>
      </c>
      <c r="M208" s="292" t="str">
        <f>IFERROR(__xludf.DUMMYFUNCTION("""COMPUTED_VALUE"""),"FA-NL Kip met chermoula en linzen (FE1698)")</f>
        <v>FA-NL Kip met chermoula en linzen (FE1698)</v>
      </c>
      <c r="N208" s="292" t="str">
        <f>IFERROR(__xludf.DUMMYFUNCTION("""COMPUTED_VALUE"""),"FA-NO Kylling i chermoula-sauce med linser (FE1698)")</f>
        <v>FA-NO Kylling i chermoula-sauce med linser (FE1698)</v>
      </c>
      <c r="O208" s="292" t="str">
        <f>IFERROR(__xludf.DUMMYFUNCTION("""COMPUTED_VALUE"""),"FA-DE Chermoula-Hähnchen mit Linsen (FE1698)")</f>
        <v>FA-DE Chermoula-Hähnchen mit Linsen (FE1698)</v>
      </c>
      <c r="P208" s="292" t="str">
        <f>IFERROR(__xludf.DUMMYFUNCTION("""COMPUTED_VALUE"""),"Active")</f>
        <v>Active</v>
      </c>
      <c r="Q208" s="292" t="str">
        <f>IFERROR(__xludf.DUMMYFUNCTION("""COMPUTED_VALUE"""),"Fat slightly on the higher end (30.5g = 45%) for athlete, but acceptable for this run! ")</f>
        <v>Fat slightly on the higher end (30.5g = 45%) for athlete, but acceptable for this run! </v>
      </c>
      <c r="R208" s="342">
        <f>IFERROR(__xludf.DUMMYFUNCTION("""COMPUTED_VALUE"""),4.76)</f>
        <v>4.76</v>
      </c>
      <c r="S208" s="292"/>
      <c r="T208" s="292"/>
      <c r="U208" s="292"/>
      <c r="V208" s="292"/>
      <c r="W208" s="292" t="b">
        <f>IFERROR(__xludf.DUMMYFUNCTION("""COMPUTED_VALUE"""),TRUE)</f>
        <v>1</v>
      </c>
      <c r="X208" s="292">
        <f>IFERROR(__xludf.DUMMYFUNCTION("""COMPUTED_VALUE"""),399.0)</f>
        <v>399</v>
      </c>
      <c r="Y208" s="344">
        <f>IFERROR(__xludf.DUMMYFUNCTION("""COMPUTED_VALUE"""),611.0)</f>
        <v>611</v>
      </c>
      <c r="Z208" s="343">
        <f>IFERROR(__xludf.DUMMYFUNCTION("""COMPUTED_VALUE"""),30.6)</f>
        <v>30.6</v>
      </c>
      <c r="AA208" s="344">
        <f>IFERROR(__xludf.DUMMYFUNCTION("""COMPUTED_VALUE"""),4.9)</f>
        <v>4.9</v>
      </c>
      <c r="AB208" s="344">
        <f>IFERROR(__xludf.DUMMYFUNCTION("""COMPUTED_VALUE"""),47.4)</f>
        <v>47.4</v>
      </c>
      <c r="AC208" s="344">
        <f>IFERROR(__xludf.DUMMYFUNCTION("""COMPUTED_VALUE"""),15.3)</f>
        <v>15.3</v>
      </c>
      <c r="AD208" s="344">
        <f>IFERROR(__xludf.DUMMYFUNCTION("""COMPUTED_VALUE"""),10.7)</f>
        <v>10.7</v>
      </c>
      <c r="AE208" s="343">
        <f>IFERROR(__xludf.DUMMYFUNCTION("""COMPUTED_VALUE"""),30.7)</f>
        <v>30.7</v>
      </c>
      <c r="AF208" s="292">
        <f>IFERROR(__xludf.DUMMYFUNCTION("""COMPUTED_VALUE"""),2.03)</f>
        <v>2.03</v>
      </c>
      <c r="AG208" s="292" t="b">
        <f>IFERROR(__xludf.DUMMYFUNCTION("""COMPUTED_VALUE"""),FALSE)</f>
        <v>0</v>
      </c>
      <c r="AH208" s="292" t="b">
        <f>IFERROR(__xludf.DUMMYFUNCTION("""COMPUTED_VALUE"""),FALSE)</f>
        <v>0</v>
      </c>
      <c r="AI208" s="292" t="b">
        <f>IFERROR(__xludf.DUMMYFUNCTION("""COMPUTED_VALUE"""),FALSE)</f>
        <v>0</v>
      </c>
      <c r="AJ208" s="292" t="b">
        <f>IFERROR(__xludf.DUMMYFUNCTION("""COMPUTED_VALUE"""),FALSE)</f>
        <v>0</v>
      </c>
      <c r="AK208" s="292" t="b">
        <f>IFERROR(__xludf.DUMMYFUNCTION("""COMPUTED_VALUE"""),FALSE)</f>
        <v>0</v>
      </c>
      <c r="AL208" s="292" t="b">
        <f>IFERROR(__xludf.DUMMYFUNCTION("""COMPUTED_VALUE"""),FALSE)</f>
        <v>0</v>
      </c>
      <c r="AM208" s="292" t="b">
        <f>IFERROR(__xludf.DUMMYFUNCTION("""COMPUTED_VALUE"""),TRUE)</f>
        <v>1</v>
      </c>
      <c r="AN208" s="292" t="b">
        <f>IFERROR(__xludf.DUMMYFUNCTION("""COMPUTED_VALUE"""),TRUE)</f>
        <v>1</v>
      </c>
      <c r="AO208" s="292" t="str">
        <f>IFERROR(__xludf.DUMMYFUNCTION("""COMPUTED_VALUE"""),"TRUE")</f>
        <v>TRUE</v>
      </c>
      <c r="AP208" s="292" t="str">
        <f>IFERROR(__xludf.DUMMYFUNCTION("""COMPUTED_VALUE"""),"Chicken breast")</f>
        <v>Chicken breast</v>
      </c>
      <c r="AQ208" s="292" t="str">
        <f>IFERROR(__xludf.DUMMYFUNCTION("""COMPUTED_VALUE"""),"Chicken")</f>
        <v>Chicken</v>
      </c>
      <c r="AR208" s="292" t="str">
        <f>IFERROR(__xludf.DUMMYFUNCTION("""COMPUTED_VALUE"""),"Breast")</f>
        <v>Breast</v>
      </c>
      <c r="AS208" s="292" t="str">
        <f>IFERROR(__xludf.DUMMYFUNCTION("""COMPUTED_VALUE"""),"Lentils")</f>
        <v>Lentils</v>
      </c>
      <c r="AT208" s="292" t="str">
        <f>IFERROR(__xludf.DUMMYFUNCTION("""COMPUTED_VALUE"""),"Zucchini Diced")</f>
        <v>Zucchini Diced</v>
      </c>
      <c r="AU208" s="292" t="str">
        <f>IFERROR(__xludf.DUMMYFUNCTION("""COMPUTED_VALUE"""),"Sweet Potato")</f>
        <v>Sweet Potato</v>
      </c>
      <c r="AV208" s="292" t="str">
        <f>IFERROR(__xludf.DUMMYFUNCTION("""COMPUTED_VALUE"""),"Cupped Sauce")</f>
        <v>Cupped Sauce</v>
      </c>
      <c r="AW208" s="292" t="str">
        <f>IFERROR(__xludf.DUMMYFUNCTION("""COMPUTED_VALUE"""),"Year Round")</f>
        <v>Year Round</v>
      </c>
      <c r="AX208" s="292" t="str">
        <f>IFERROR(__xludf.DUMMYFUNCTION("""COMPUTED_VALUE"""),"Middle Eastern")</f>
        <v>Middle Eastern</v>
      </c>
      <c r="AY208" s="292"/>
      <c r="AZ208" s="292" t="str">
        <f>IFERROR(__xludf.DUMMYFUNCTION("""COMPUTED_VALUE"""),"2 CT")</f>
        <v>2 CT</v>
      </c>
      <c r="BA208" s="292" t="b">
        <f>IFERROR(__xludf.DUMMYFUNCTION("""COMPUTED_VALUE"""),TRUE)</f>
        <v>1</v>
      </c>
      <c r="BB208" s="342">
        <f>IFERROR(__xludf.DUMMYFUNCTION("""COMPUTED_VALUE"""),2.91)</f>
        <v>2.91</v>
      </c>
      <c r="BC208" s="342">
        <f>IFERROR(__xludf.DUMMYFUNCTION("""COMPUTED_VALUE"""),1.41)</f>
        <v>1.41</v>
      </c>
      <c r="BD208" s="342">
        <f>IFERROR(__xludf.DUMMYFUNCTION("""COMPUTED_VALUE"""),0.44)</f>
        <v>0.44</v>
      </c>
      <c r="BE208" s="342">
        <f>IFERROR(__xludf.DUMMYFUNCTION("""COMPUTED_VALUE"""),0.89)</f>
        <v>0.89</v>
      </c>
      <c r="BF208" s="296">
        <f>IFERROR(__xludf.DUMMYFUNCTION("""COMPUTED_VALUE"""),3.06)</f>
        <v>3.06</v>
      </c>
      <c r="BG208" s="296">
        <f>IFERROR(__xludf.DUMMYFUNCTION("""COMPUTED_VALUE"""),3.05)</f>
        <v>3.05</v>
      </c>
      <c r="BH208" s="296">
        <f>IFERROR(__xludf.DUMMYFUNCTION("""COMPUTED_VALUE"""),3.19)</f>
        <v>3.19</v>
      </c>
      <c r="BI208" s="295">
        <f>IFERROR(__xludf.DUMMYFUNCTION("""COMPUTED_VALUE"""),120.0)</f>
        <v>120</v>
      </c>
      <c r="BJ208" s="292"/>
      <c r="BK208" s="346">
        <f>IFERROR(__xludf.DUMMYFUNCTION("""COMPUTED_VALUE"""),2551.0)</f>
        <v>2551</v>
      </c>
      <c r="BL208" s="292"/>
      <c r="BM208" s="292"/>
      <c r="BN208" s="292"/>
      <c r="BO208" s="292"/>
      <c r="BP208" s="292"/>
      <c r="BQ208" s="292" t="str">
        <f>IFERROR(__xludf.DUMMYFUNCTION("""COMPUTED_VALUE"""),"New")</f>
        <v>New</v>
      </c>
      <c r="BR208" s="292" t="b">
        <f>IFERROR(__xludf.DUMMYFUNCTION("""COMPUTED_VALUE"""),TRUE)</f>
        <v>1</v>
      </c>
      <c r="BS208" s="292" t="b">
        <f>IFERROR(__xludf.DUMMYFUNCTION("""COMPUTED_VALUE"""),FALSE)</f>
        <v>0</v>
      </c>
      <c r="BT208" s="292"/>
      <c r="BU208" s="292"/>
      <c r="BV208" s="292"/>
      <c r="BW208" s="292"/>
    </row>
    <row r="209">
      <c r="A209" s="292" t="str">
        <f>IFERROR(__xludf.DUMMYFUNCTION("""COMPUTED_VALUE"""),"FE1636A")</f>
        <v>FE1636A</v>
      </c>
      <c r="B209" s="292" t="str">
        <f>IFERROR(__xludf.DUMMYFUNCTION("""COMPUTED_VALUE"""),"CON-40-152209-4")</f>
        <v>CON-40-152209-4</v>
      </c>
      <c r="C209" s="292" t="str">
        <f>IFERROR(__xludf.DUMMYFUNCTION("""COMPUTED_VALUE"""),"CON-00-152208-2")</f>
        <v>CON-00-152208-2</v>
      </c>
      <c r="D209" s="292" t="str">
        <f>IFERROR(__xludf.DUMMYFUNCTION("""COMPUTED_VALUE"""),"CON-00-152205-2")</f>
        <v>CON-00-152205-2</v>
      </c>
      <c r="E209" s="292" t="str">
        <f>IFERROR(__xludf.DUMMYFUNCTION("""COMPUTED_VALUE"""),"Green Chile Chicken &amp; Salsa Quinoa")</f>
        <v>Green Chile Chicken &amp; Salsa Quinoa</v>
      </c>
      <c r="F209" s="292" t="str">
        <f>IFERROR(__xludf.DUMMYFUNCTION("""COMPUTED_VALUE"""),"with Zucchini, Fire-Roasted Tomatoes &amp; Corn")</f>
        <v>with Zucchini, Fire-Roasted Tomatoes &amp; Corn</v>
      </c>
      <c r="G209" s="292" t="str">
        <f>IFERROR(__xludf.DUMMYFUNCTION("""COMPUTED_VALUE"""),"Kip met groene chili en quinoa met salsa")</f>
        <v>Kip met groene chili en quinoa met salsa</v>
      </c>
      <c r="H209" s="292" t="str">
        <f>IFERROR(__xludf.DUMMYFUNCTION("""COMPUTED_VALUE"""),"met courgette, geroosterde tomaten &amp; maïs")</f>
        <v>met courgette, geroosterde tomaten &amp; maïs</v>
      </c>
      <c r="I209" s="292" t="str">
        <f>IFERROR(__xludf.DUMMYFUNCTION("""COMPUTED_VALUE"""),"Chilensk inspireret kylling med salsa-quinoa")</f>
        <v>Chilensk inspireret kylling med salsa-quinoa</v>
      </c>
      <c r="J209" s="292" t="str">
        <f>IFERROR(__xludf.DUMMYFUNCTION("""COMPUTED_VALUE"""),"Grünes Chili-Hähnchen mit Quinoa-Salsa")</f>
        <v>Grünes Chili-Hähnchen mit Quinoa-Salsa</v>
      </c>
      <c r="K209" s="292">
        <f>IFERROR(__xludf.DUMMYFUNCTION("""COMPUTED_VALUE"""),565209.0)</f>
        <v>565209</v>
      </c>
      <c r="L209" s="292" t="str">
        <f>IFERROR(__xludf.DUMMYFUNCTION("""COMPUTED_VALUE"""),"HF Quinoa witte bonen salsa")</f>
        <v>HF Quinoa witte bonen salsa</v>
      </c>
      <c r="M209" s="292" t="str">
        <f>IFERROR(__xludf.DUMMYFUNCTION("""COMPUTED_VALUE"""),"FA-NL Kip met groene chili en quinoa met salsa (FE1636)")</f>
        <v>FA-NL Kip met groene chili en quinoa met salsa (FE1636)</v>
      </c>
      <c r="N209" s="292" t="str">
        <f>IFERROR(__xludf.DUMMYFUNCTION("""COMPUTED_VALUE"""),"FA-NO Chilensk inspireret kylling med salsa-quinoa (FE1636)")</f>
        <v>FA-NO Chilensk inspireret kylling med salsa-quinoa (FE1636)</v>
      </c>
      <c r="O209" s="292" t="str">
        <f>IFERROR(__xludf.DUMMYFUNCTION("""COMPUTED_VALUE"""),"FA-DE Grünes Chili-Hähnchen mit Quinoa-Salsa (FE1636)")</f>
        <v>FA-DE Grünes Chili-Hähnchen mit Quinoa-Salsa (FE1636)</v>
      </c>
      <c r="P209" s="292" t="str">
        <f>IFERROR(__xludf.DUMMYFUNCTION("""COMPUTED_VALUE"""),"Active")</f>
        <v>Active</v>
      </c>
      <c r="Q209" s="292"/>
      <c r="R209" s="342">
        <f>IFERROR(__xludf.DUMMYFUNCTION("""COMPUTED_VALUE"""),4.39)</f>
        <v>4.39</v>
      </c>
      <c r="S209" s="292"/>
      <c r="T209" s="292"/>
      <c r="U209" s="292"/>
      <c r="V209" s="292"/>
      <c r="W209" s="292" t="b">
        <f>IFERROR(__xludf.DUMMYFUNCTION("""COMPUTED_VALUE"""),TRUE)</f>
        <v>1</v>
      </c>
      <c r="X209" s="345">
        <f>IFERROR(__xludf.DUMMYFUNCTION("""COMPUTED_VALUE"""),424.0)</f>
        <v>424</v>
      </c>
      <c r="Y209" s="344">
        <f>IFERROR(__xludf.DUMMYFUNCTION("""COMPUTED_VALUE"""),463.0)</f>
        <v>463</v>
      </c>
      <c r="Z209" s="343">
        <f>IFERROR(__xludf.DUMMYFUNCTION("""COMPUTED_VALUE"""),17.5)</f>
        <v>17.5</v>
      </c>
      <c r="AA209" s="344">
        <f>IFERROR(__xludf.DUMMYFUNCTION("""COMPUTED_VALUE"""),5.8)</f>
        <v>5.8</v>
      </c>
      <c r="AB209" s="344">
        <f>IFERROR(__xludf.DUMMYFUNCTION("""COMPUTED_VALUE"""),38.0)</f>
        <v>38</v>
      </c>
      <c r="AC209" s="344">
        <f>IFERROR(__xludf.DUMMYFUNCTION("""COMPUTED_VALUE"""),11.8)</f>
        <v>11.8</v>
      </c>
      <c r="AD209" s="344">
        <f>IFERROR(__xludf.DUMMYFUNCTION("""COMPUTED_VALUE"""),7.4)</f>
        <v>7.4</v>
      </c>
      <c r="AE209" s="343">
        <f>IFERROR(__xludf.DUMMYFUNCTION("""COMPUTED_VALUE"""),34.9)</f>
        <v>34.9</v>
      </c>
      <c r="AF209" s="343">
        <f>IFERROR(__xludf.DUMMYFUNCTION("""COMPUTED_VALUE"""),2.05)</f>
        <v>2.05</v>
      </c>
      <c r="AG209" s="292" t="b">
        <f>IFERROR(__xludf.DUMMYFUNCTION("""COMPUTED_VALUE"""),TRUE)</f>
        <v>1</v>
      </c>
      <c r="AH209" s="292" t="b">
        <f>IFERROR(__xludf.DUMMYFUNCTION("""COMPUTED_VALUE"""),FALSE)</f>
        <v>0</v>
      </c>
      <c r="AI209" s="292" t="b">
        <f>IFERROR(__xludf.DUMMYFUNCTION("""COMPUTED_VALUE"""),TRUE)</f>
        <v>1</v>
      </c>
      <c r="AJ209" s="292" t="b">
        <f>IFERROR(__xludf.DUMMYFUNCTION("""COMPUTED_VALUE"""),FALSE)</f>
        <v>0</v>
      </c>
      <c r="AK209" s="292" t="b">
        <f>IFERROR(__xludf.DUMMYFUNCTION("""COMPUTED_VALUE"""),FALSE)</f>
        <v>0</v>
      </c>
      <c r="AL209" s="292" t="b">
        <f>IFERROR(__xludf.DUMMYFUNCTION("""COMPUTED_VALUE"""),FALSE)</f>
        <v>0</v>
      </c>
      <c r="AM209" s="292" t="b">
        <f>IFERROR(__xludf.DUMMYFUNCTION("""COMPUTED_VALUE"""),TRUE)</f>
        <v>1</v>
      </c>
      <c r="AN209" s="292" t="b">
        <f>IFERROR(__xludf.DUMMYFUNCTION("""COMPUTED_VALUE"""),FALSE)</f>
        <v>0</v>
      </c>
      <c r="AO209" s="292" t="str">
        <f>IFERROR(__xludf.DUMMYFUNCTION("""COMPUTED_VALUE"""),"FALSE")</f>
        <v>FALSE</v>
      </c>
      <c r="AP209" s="292" t="str">
        <f>IFERROR(__xludf.DUMMYFUNCTION("""COMPUTED_VALUE"""),"Chicken breast")</f>
        <v>Chicken breast</v>
      </c>
      <c r="AQ209" s="292" t="str">
        <f>IFERROR(__xludf.DUMMYFUNCTION("""COMPUTED_VALUE"""),"Chicken")</f>
        <v>Chicken</v>
      </c>
      <c r="AR209" s="292" t="str">
        <f>IFERROR(__xludf.DUMMYFUNCTION("""COMPUTED_VALUE"""),"Breast")</f>
        <v>Breast</v>
      </c>
      <c r="AS209" s="292" t="str">
        <f>IFERROR(__xludf.DUMMYFUNCTION("""COMPUTED_VALUE"""),"Quinoa")</f>
        <v>Quinoa</v>
      </c>
      <c r="AT209" s="292" t="str">
        <f>IFERROR(__xludf.DUMMYFUNCTION("""COMPUTED_VALUE"""),"Zucchini Diced")</f>
        <v>Zucchini Diced</v>
      </c>
      <c r="AU209" s="292" t="str">
        <f>IFERROR(__xludf.DUMMYFUNCTION("""COMPUTED_VALUE"""),"Corn Kernels")</f>
        <v>Corn Kernels</v>
      </c>
      <c r="AV209" s="292" t="str">
        <f>IFERROR(__xludf.DUMMYFUNCTION("""COMPUTED_VALUE"""),"Other sauce")</f>
        <v>Other sauce</v>
      </c>
      <c r="AW209" s="292" t="str">
        <f>IFERROR(__xludf.DUMMYFUNCTION("""COMPUTED_VALUE"""),"Year Round")</f>
        <v>Year Round</v>
      </c>
      <c r="AX209" s="292" t="str">
        <f>IFERROR(__xludf.DUMMYFUNCTION("""COMPUTED_VALUE"""),"American - Tex Mex")</f>
        <v>American - Tex Mex</v>
      </c>
      <c r="AY209" s="292"/>
      <c r="AZ209" s="292" t="str">
        <f>IFERROR(__xludf.DUMMYFUNCTION("""COMPUTED_VALUE"""),"2 CT")</f>
        <v>2 CT</v>
      </c>
      <c r="BA209" s="292" t="b">
        <f>IFERROR(__xludf.DUMMYFUNCTION("""COMPUTED_VALUE"""),FALSE)</f>
        <v>0</v>
      </c>
      <c r="BB209" s="342">
        <f>IFERROR(__xludf.DUMMYFUNCTION("""COMPUTED_VALUE"""),2.4)</f>
        <v>2.4</v>
      </c>
      <c r="BC209" s="342">
        <f>IFERROR(__xludf.DUMMYFUNCTION("""COMPUTED_VALUE"""),1.59)</f>
        <v>1.59</v>
      </c>
      <c r="BD209" s="342">
        <f>IFERROR(__xludf.DUMMYFUNCTION("""COMPUTED_VALUE"""),0.41)</f>
        <v>0.41</v>
      </c>
      <c r="BE209" s="342">
        <f>IFERROR(__xludf.DUMMYFUNCTION("""COMPUTED_VALUE"""),0.89)</f>
        <v>0.89</v>
      </c>
      <c r="BF209" s="296">
        <f>IFERROR(__xludf.DUMMYFUNCTION("""COMPUTED_VALUE"""),3.39)</f>
        <v>3.39</v>
      </c>
      <c r="BG209" s="296">
        <f>IFERROR(__xludf.DUMMYFUNCTION("""COMPUTED_VALUE"""),3.466666666666667)</f>
        <v>3.466666667</v>
      </c>
      <c r="BH209" s="296">
        <f>IFERROR(__xludf.DUMMYFUNCTION("""COMPUTED_VALUE"""),3.2566666666666664)</f>
        <v>3.256666667</v>
      </c>
      <c r="BI209" s="295">
        <f>IFERROR(__xludf.DUMMYFUNCTION("""COMPUTED_VALUE"""),172.0)</f>
        <v>172</v>
      </c>
      <c r="BJ209" s="292"/>
      <c r="BK209" s="346">
        <f>IFERROR(__xludf.DUMMYFUNCTION("""COMPUTED_VALUE"""),1943.0)</f>
        <v>1943</v>
      </c>
      <c r="BL209" s="292"/>
      <c r="BM209" s="292"/>
      <c r="BN209" s="292"/>
      <c r="BO209" s="292"/>
      <c r="BP209" s="292"/>
      <c r="BQ209" s="292" t="str">
        <f>IFERROR(__xludf.DUMMYFUNCTION("""COMPUTED_VALUE"""),"New")</f>
        <v>New</v>
      </c>
      <c r="BR209" s="344" t="b">
        <f>IFERROR(__xludf.DUMMYFUNCTION("""COMPUTED_VALUE"""),FALSE)</f>
        <v>0</v>
      </c>
      <c r="BS209" s="292" t="b">
        <f>IFERROR(__xludf.DUMMYFUNCTION("""COMPUTED_VALUE"""),FALSE)</f>
        <v>0</v>
      </c>
      <c r="BT209" s="292"/>
      <c r="BU209" s="292"/>
      <c r="BV209" s="292"/>
      <c r="BW209" s="292"/>
    </row>
    <row r="210">
      <c r="A210" s="292" t="str">
        <f>IFERROR(__xludf.DUMMYFUNCTION("""COMPUTED_VALUE"""),"FE4071A")</f>
        <v>FE4071A</v>
      </c>
      <c r="B210" s="292" t="str">
        <f>IFERROR(__xludf.DUMMYFUNCTION("""COMPUTED_VALUE"""),"CON-40-154560-4")</f>
        <v>CON-40-154560-4</v>
      </c>
      <c r="C210" s="292" t="str">
        <f>IFERROR(__xludf.DUMMYFUNCTION("""COMPUTED_VALUE"""),"CON-00-154554-2")</f>
        <v>CON-00-154554-2</v>
      </c>
      <c r="D210" s="292" t="str">
        <f>IFERROR(__xludf.DUMMYFUNCTION("""COMPUTED_VALUE"""),"CON-00-154545-2")</f>
        <v>CON-00-154545-2</v>
      </c>
      <c r="E210" s="292" t="str">
        <f>IFERROR(__xludf.DUMMYFUNCTION("""COMPUTED_VALUE"""),"Pulled Jerk Chicken &amp; Rice")</f>
        <v>Pulled Jerk Chicken &amp; Rice</v>
      </c>
      <c r="F210" s="292" t="str">
        <f>IFERROR(__xludf.DUMMYFUNCTION("""COMPUTED_VALUE"""),"with Roasted Carrots &amp; Mango Chutney")</f>
        <v>with Roasted Carrots &amp; Mango Chutney</v>
      </c>
      <c r="G210" s="292" t="str">
        <f>IFERROR(__xludf.DUMMYFUNCTION("""COMPUTED_VALUE"""),"Pulled kip met jerk-kruiden en rijst")</f>
        <v>Pulled kip met jerk-kruiden en rijst</v>
      </c>
      <c r="H210" s="292" t="str">
        <f>IFERROR(__xludf.DUMMYFUNCTION("""COMPUTED_VALUE"""),"met geroosterde wortels &amp; mango chutney")</f>
        <v>met geroosterde wortels &amp; mango chutney</v>
      </c>
      <c r="I210" s="292" t="str">
        <f>IFERROR(__xludf.DUMMYFUNCTION("""COMPUTED_VALUE"""),"Pulled jerk chicken med ris")</f>
        <v>Pulled jerk chicken med ris</v>
      </c>
      <c r="J210" s="292" t="str">
        <f>IFERROR(__xludf.DUMMYFUNCTION("""COMPUTED_VALUE"""),"Pulled Jerk Chicken mit Reis")</f>
        <v>Pulled Jerk Chicken mit Reis</v>
      </c>
      <c r="K210" s="292">
        <f>IFERROR(__xludf.DUMMYFUNCTION("""COMPUTED_VALUE"""),565219.0)</f>
        <v>565219</v>
      </c>
      <c r="L210" s="292" t="str">
        <f>IFERROR(__xludf.DUMMYFUNCTION("""COMPUTED_VALUE"""),"HF Jerk chicken en rijst")</f>
        <v>HF Jerk chicken en rijst</v>
      </c>
      <c r="M210" s="292" t="str">
        <f>IFERROR(__xludf.DUMMYFUNCTION("""COMPUTED_VALUE"""),"FA-NL Pulled kip met jerk-kruiden en rijst (FE4071)")</f>
        <v>FA-NL Pulled kip met jerk-kruiden en rijst (FE4071)</v>
      </c>
      <c r="N210" s="292" t="str">
        <f>IFERROR(__xludf.DUMMYFUNCTION("""COMPUTED_VALUE"""),"FA-NO Pulled jerk chicken med ris (FE4071)")</f>
        <v>FA-NO Pulled jerk chicken med ris (FE4071)</v>
      </c>
      <c r="O210" s="292" t="str">
        <f>IFERROR(__xludf.DUMMYFUNCTION("""COMPUTED_VALUE"""),"FA-DE Pulled Jerk Chicken mit Reis (FE4071)")</f>
        <v>FA-DE Pulled Jerk Chicken mit Reis (FE4071)</v>
      </c>
      <c r="P210" s="292" t="str">
        <f>IFERROR(__xludf.DUMMYFUNCTION("""COMPUTED_VALUE"""),"Active")</f>
        <v>Active</v>
      </c>
      <c r="Q210" s="292" t="str">
        <f>IFERROR(__xludf.DUMMYFUNCTION("""COMPUTED_VALUE"""),"Fat now 44%, acceptable for this run, ideally lower for next one")</f>
        <v>Fat now 44%, acceptable for this run, ideally lower for next one</v>
      </c>
      <c r="R210" s="342">
        <f>IFERROR(__xludf.DUMMYFUNCTION("""COMPUTED_VALUE"""),4.08)</f>
        <v>4.08</v>
      </c>
      <c r="S210" s="292"/>
      <c r="T210" s="292"/>
      <c r="U210" s="292"/>
      <c r="V210" s="292"/>
      <c r="W210" s="292" t="b">
        <f>IFERROR(__xludf.DUMMYFUNCTION("""COMPUTED_VALUE"""),TRUE)</f>
        <v>1</v>
      </c>
      <c r="X210" s="345">
        <f>IFERROR(__xludf.DUMMYFUNCTION("""COMPUTED_VALUE"""),399.0)</f>
        <v>399</v>
      </c>
      <c r="Y210" s="344">
        <f>IFERROR(__xludf.DUMMYFUNCTION("""COMPUTED_VALUE"""),565.0)</f>
        <v>565</v>
      </c>
      <c r="Z210" s="343">
        <f>IFERROR(__xludf.DUMMYFUNCTION("""COMPUTED_VALUE"""),27.6)</f>
        <v>27.6</v>
      </c>
      <c r="AA210" s="344">
        <f>IFERROR(__xludf.DUMMYFUNCTION("""COMPUTED_VALUE"""),11.7)</f>
        <v>11.7</v>
      </c>
      <c r="AB210" s="344">
        <f>IFERROR(__xludf.DUMMYFUNCTION("""COMPUTED_VALUE"""),46.1)</f>
        <v>46.1</v>
      </c>
      <c r="AC210" s="344">
        <f>IFERROR(__xludf.DUMMYFUNCTION("""COMPUTED_VALUE"""),16.5)</f>
        <v>16.5</v>
      </c>
      <c r="AD210" s="344">
        <f>IFERROR(__xludf.DUMMYFUNCTION("""COMPUTED_VALUE"""),10.4)</f>
        <v>10.4</v>
      </c>
      <c r="AE210" s="343">
        <f>IFERROR(__xludf.DUMMYFUNCTION("""COMPUTED_VALUE"""),30.2)</f>
        <v>30.2</v>
      </c>
      <c r="AF210" s="343">
        <f>IFERROR(__xludf.DUMMYFUNCTION("""COMPUTED_VALUE"""),2.04)</f>
        <v>2.04</v>
      </c>
      <c r="AG210" s="292" t="b">
        <f>IFERROR(__xludf.DUMMYFUNCTION("""COMPUTED_VALUE"""),FALSE)</f>
        <v>0</v>
      </c>
      <c r="AH210" s="292" t="b">
        <f>IFERROR(__xludf.DUMMYFUNCTION("""COMPUTED_VALUE"""),FALSE)</f>
        <v>0</v>
      </c>
      <c r="AI210" s="292" t="b">
        <f>IFERROR(__xludf.DUMMYFUNCTION("""COMPUTED_VALUE"""),FALSE)</f>
        <v>0</v>
      </c>
      <c r="AJ210" s="292" t="b">
        <f>IFERROR(__xludf.DUMMYFUNCTION("""COMPUTED_VALUE"""),FALSE)</f>
        <v>0</v>
      </c>
      <c r="AK210" s="292" t="b">
        <f>IFERROR(__xludf.DUMMYFUNCTION("""COMPUTED_VALUE"""),FALSE)</f>
        <v>0</v>
      </c>
      <c r="AL210" s="292" t="b">
        <f>IFERROR(__xludf.DUMMYFUNCTION("""COMPUTED_VALUE"""),FALSE)</f>
        <v>0</v>
      </c>
      <c r="AM210" s="292" t="b">
        <f>IFERROR(__xludf.DUMMYFUNCTION("""COMPUTED_VALUE"""),TRUE)</f>
        <v>1</v>
      </c>
      <c r="AN210" s="292" t="b">
        <f>IFERROR(__xludf.DUMMYFUNCTION("""COMPUTED_VALUE"""),TRUE)</f>
        <v>1</v>
      </c>
      <c r="AO210" s="292" t="str">
        <f>IFERROR(__xludf.DUMMYFUNCTION("""COMPUTED_VALUE"""),"TRUE")</f>
        <v>TRUE</v>
      </c>
      <c r="AP210" s="292" t="str">
        <f>IFERROR(__xludf.DUMMYFUNCTION("""COMPUTED_VALUE"""),"Shredded chicken")</f>
        <v>Shredded chicken</v>
      </c>
      <c r="AQ210" s="292" t="str">
        <f>IFERROR(__xludf.DUMMYFUNCTION("""COMPUTED_VALUE"""),"Chicken")</f>
        <v>Chicken</v>
      </c>
      <c r="AR210" s="292" t="str">
        <f>IFERROR(__xludf.DUMMYFUNCTION("""COMPUTED_VALUE"""),"Pulled")</f>
        <v>Pulled</v>
      </c>
      <c r="AS210" s="292" t="str">
        <f>IFERROR(__xludf.DUMMYFUNCTION("""COMPUTED_VALUE"""),"Rice")</f>
        <v>Rice</v>
      </c>
      <c r="AT210" s="292" t="str">
        <f>IFERROR(__xludf.DUMMYFUNCTION("""COMPUTED_VALUE"""),"Sweet Potato")</f>
        <v>Sweet Potato</v>
      </c>
      <c r="AU210" s="292" t="str">
        <f>IFERROR(__xludf.DUMMYFUNCTION("""COMPUTED_VALUE"""),"Cupped Sauce")</f>
        <v>Cupped Sauce</v>
      </c>
      <c r="AV210" s="292" t="str">
        <f>IFERROR(__xludf.DUMMYFUNCTION("""COMPUTED_VALUE"""),"Green onion")</f>
        <v>Green onion</v>
      </c>
      <c r="AW210" s="292" t="str">
        <f>IFERROR(__xludf.DUMMYFUNCTION("""COMPUTED_VALUE"""),"Year Round")</f>
        <v>Year Round</v>
      </c>
      <c r="AX210" s="292" t="str">
        <f>IFERROR(__xludf.DUMMYFUNCTION("""COMPUTED_VALUE"""),"Caribbean")</f>
        <v>Caribbean</v>
      </c>
      <c r="AY210" s="292"/>
      <c r="AZ210" s="292" t="str">
        <f>IFERROR(__xludf.DUMMYFUNCTION("""COMPUTED_VALUE"""),"2 CT")</f>
        <v>2 CT</v>
      </c>
      <c r="BA210" s="292" t="b">
        <f>IFERROR(__xludf.DUMMYFUNCTION("""COMPUTED_VALUE"""),TRUE)</f>
        <v>1</v>
      </c>
      <c r="BB210" s="342">
        <f>IFERROR(__xludf.DUMMYFUNCTION("""COMPUTED_VALUE"""),1.82)</f>
        <v>1.82</v>
      </c>
      <c r="BC210" s="342">
        <f>IFERROR(__xludf.DUMMYFUNCTION("""COMPUTED_VALUE"""),1.72)</f>
        <v>1.72</v>
      </c>
      <c r="BD210" s="342">
        <f>IFERROR(__xludf.DUMMYFUNCTION("""COMPUTED_VALUE"""),0.44)</f>
        <v>0.44</v>
      </c>
      <c r="BE210" s="342">
        <f>IFERROR(__xludf.DUMMYFUNCTION("""COMPUTED_VALUE"""),0.89)</f>
        <v>0.89</v>
      </c>
      <c r="BF210" s="296">
        <f>IFERROR(__xludf.DUMMYFUNCTION("""COMPUTED_VALUE"""),3.19)</f>
        <v>3.19</v>
      </c>
      <c r="BG210" s="296">
        <f>IFERROR(__xludf.DUMMYFUNCTION("""COMPUTED_VALUE"""),3.16)</f>
        <v>3.16</v>
      </c>
      <c r="BH210" s="296">
        <f>IFERROR(__xludf.DUMMYFUNCTION("""COMPUTED_VALUE"""),3.24)</f>
        <v>3.24</v>
      </c>
      <c r="BI210" s="295">
        <f>IFERROR(__xludf.DUMMYFUNCTION("""COMPUTED_VALUE"""),104.0)</f>
        <v>104</v>
      </c>
      <c r="BJ210" s="292"/>
      <c r="BK210" s="346">
        <f>IFERROR(__xludf.DUMMYFUNCTION("""COMPUTED_VALUE"""),2360.0)</f>
        <v>2360</v>
      </c>
      <c r="BL210" s="292"/>
      <c r="BM210" s="292"/>
      <c r="BN210" s="292"/>
      <c r="BO210" s="292"/>
      <c r="BP210" s="292"/>
      <c r="BQ210" s="292" t="str">
        <f>IFERROR(__xludf.DUMMYFUNCTION("""COMPUTED_VALUE"""),"New")</f>
        <v>New</v>
      </c>
      <c r="BR210" s="292" t="b">
        <f>IFERROR(__xludf.DUMMYFUNCTION("""COMPUTED_VALUE"""),TRUE)</f>
        <v>1</v>
      </c>
      <c r="BS210" s="292" t="b">
        <f>IFERROR(__xludf.DUMMYFUNCTION("""COMPUTED_VALUE"""),FALSE)</f>
        <v>0</v>
      </c>
      <c r="BT210" s="292"/>
      <c r="BU210" s="292"/>
      <c r="BV210" s="292"/>
      <c r="BW210" s="292"/>
    </row>
    <row r="211">
      <c r="A211" s="292" t="str">
        <f>IFERROR(__xludf.DUMMYFUNCTION("""COMPUTED_VALUE"""),"FE1399A")</f>
        <v>FE1399A</v>
      </c>
      <c r="B211" s="292" t="str">
        <f>IFERROR(__xludf.DUMMYFUNCTION("""COMPUTED_VALUE"""),"CON-40-152020-4")</f>
        <v>CON-40-152020-4</v>
      </c>
      <c r="C211" s="292" t="str">
        <f>IFERROR(__xludf.DUMMYFUNCTION("""COMPUTED_VALUE"""),"CON-00-152046-2")</f>
        <v>CON-00-152046-2</v>
      </c>
      <c r="D211" s="292" t="str">
        <f>IFERROR(__xludf.DUMMYFUNCTION("""COMPUTED_VALUE"""),"CON-00-152044-2")</f>
        <v>CON-00-152044-2</v>
      </c>
      <c r="E211" s="292" t="str">
        <f>IFERROR(__xludf.DUMMYFUNCTION("""COMPUTED_VALUE"""),"Massaman Curry Chicken Breast")</f>
        <v>Massaman Curry Chicken Breast</v>
      </c>
      <c r="F211" s="292" t="str">
        <f>IFERROR(__xludf.DUMMYFUNCTION("""COMPUTED_VALUE"""),"with Peanuts, Coriander Brown Rice &amp; Mixed Veggies")</f>
        <v>with Peanuts, Coriander Brown Rice &amp; Mixed Veggies</v>
      </c>
      <c r="G211" s="292" t="str">
        <f>IFERROR(__xludf.DUMMYFUNCTION("""COMPUTED_VALUE"""),"Massaman-curry met kipfilet")</f>
        <v>Massaman-curry met kipfilet</v>
      </c>
      <c r="H211" s="292" t="str">
        <f>IFERROR(__xludf.DUMMYFUNCTION("""COMPUTED_VALUE"""),"met pinda’s, koriander-basmatirijst &amp; gemengde groenten")</f>
        <v>met pinda’s, koriander-basmatirijst &amp; gemengde groenten</v>
      </c>
      <c r="I211" s="292" t="str">
        <f>IFERROR(__xludf.DUMMYFUNCTION("""COMPUTED_VALUE"""),"Massaman-karry med kylling")</f>
        <v>Massaman-karry med kylling</v>
      </c>
      <c r="J211" s="292" t="str">
        <f>IFERROR(__xludf.DUMMYFUNCTION("""COMPUTED_VALUE"""),"Massaman-Curry-Hähnchenbrust")</f>
        <v>Massaman-Curry-Hähnchenbrust</v>
      </c>
      <c r="K211" s="292">
        <f>IFERROR(__xludf.DUMMYFUNCTION("""COMPUTED_VALUE"""),565216.0)</f>
        <v>565216</v>
      </c>
      <c r="L211" s="292" t="str">
        <f>IFERROR(__xludf.DUMMYFUNCTION("""COMPUTED_VALUE"""),"HF Massaman curry kipfilet")</f>
        <v>HF Massaman curry kipfilet</v>
      </c>
      <c r="M211" s="292" t="str">
        <f>IFERROR(__xludf.DUMMYFUNCTION("""COMPUTED_VALUE"""),"FA-NL Massaman-curry met kipfilet (FE1399)")</f>
        <v>FA-NL Massaman-curry met kipfilet (FE1399)</v>
      </c>
      <c r="N211" s="292" t="str">
        <f>IFERROR(__xludf.DUMMYFUNCTION("""COMPUTED_VALUE"""),"FA-NO Massaman-karry med kylling (FE1399)")</f>
        <v>FA-NO Massaman-karry med kylling (FE1399)</v>
      </c>
      <c r="O211" s="292" t="str">
        <f>IFERROR(__xludf.DUMMYFUNCTION("""COMPUTED_VALUE"""),"FA-DE Massaman-Curry-Hähnchenbrust (FE1399)")</f>
        <v>FA-DE Massaman-Curry-Hähnchenbrust (FE1399)</v>
      </c>
      <c r="P211" s="292" t="str">
        <f>IFERROR(__xludf.DUMMYFUNCTION("""COMPUTED_VALUE"""),"Active")</f>
        <v>Active</v>
      </c>
      <c r="Q211" s="292" t="str">
        <f>IFERROR(__xludf.DUMMYFUNCTION("""COMPUTED_VALUE"""),"Ideally the salt content would be slightly lower for next run, now 2,06g")</f>
        <v>Ideally the salt content would be slightly lower for next run, now 2,06g</v>
      </c>
      <c r="R211" s="342">
        <f>IFERROR(__xludf.DUMMYFUNCTION("""COMPUTED_VALUE"""),4.6)</f>
        <v>4.6</v>
      </c>
      <c r="S211" s="292"/>
      <c r="T211" s="292"/>
      <c r="U211" s="292"/>
      <c r="V211" s="292"/>
      <c r="W211" s="292" t="b">
        <f>IFERROR(__xludf.DUMMYFUNCTION("""COMPUTED_VALUE"""),TRUE)</f>
        <v>1</v>
      </c>
      <c r="X211" s="345">
        <f>IFERROR(__xludf.DUMMYFUNCTION("""COMPUTED_VALUE"""),449.0)</f>
        <v>449</v>
      </c>
      <c r="Y211" s="344">
        <f>IFERROR(__xludf.DUMMYFUNCTION("""COMPUTED_VALUE"""),629.0)</f>
        <v>629</v>
      </c>
      <c r="Z211" s="343">
        <f>IFERROR(__xludf.DUMMYFUNCTION("""COMPUTED_VALUE"""),32.8)</f>
        <v>32.8</v>
      </c>
      <c r="AA211" s="344">
        <f>IFERROR(__xludf.DUMMYFUNCTION("""COMPUTED_VALUE"""),12.3)</f>
        <v>12.3</v>
      </c>
      <c r="AB211" s="344">
        <f>IFERROR(__xludf.DUMMYFUNCTION("""COMPUTED_VALUE"""),44.3)</f>
        <v>44.3</v>
      </c>
      <c r="AC211" s="344">
        <f>IFERROR(__xludf.DUMMYFUNCTION("""COMPUTED_VALUE"""),8.9)</f>
        <v>8.9</v>
      </c>
      <c r="AD211" s="344">
        <f>IFERROR(__xludf.DUMMYFUNCTION("""COMPUTED_VALUE"""),9.3)</f>
        <v>9.3</v>
      </c>
      <c r="AE211" s="343">
        <f>IFERROR(__xludf.DUMMYFUNCTION("""COMPUTED_VALUE"""),34.4)</f>
        <v>34.4</v>
      </c>
      <c r="AF211" s="343">
        <f>IFERROR(__xludf.DUMMYFUNCTION("""COMPUTED_VALUE"""),2.06)</f>
        <v>2.06</v>
      </c>
      <c r="AG211" s="292" t="b">
        <f>IFERROR(__xludf.DUMMYFUNCTION("""COMPUTED_VALUE"""),FALSE)</f>
        <v>0</v>
      </c>
      <c r="AH211" s="292" t="b">
        <f>IFERROR(__xludf.DUMMYFUNCTION("""COMPUTED_VALUE"""),FALSE)</f>
        <v>0</v>
      </c>
      <c r="AI211" s="292" t="b">
        <f>IFERROR(__xludf.DUMMYFUNCTION("""COMPUTED_VALUE"""),FALSE)</f>
        <v>0</v>
      </c>
      <c r="AJ211" s="292" t="b">
        <f>IFERROR(__xludf.DUMMYFUNCTION("""COMPUTED_VALUE"""),FALSE)</f>
        <v>0</v>
      </c>
      <c r="AK211" s="292" t="b">
        <f>IFERROR(__xludf.DUMMYFUNCTION("""COMPUTED_VALUE"""),FALSE)</f>
        <v>0</v>
      </c>
      <c r="AL211" s="292" t="b">
        <f>IFERROR(__xludf.DUMMYFUNCTION("""COMPUTED_VALUE"""),FALSE)</f>
        <v>0</v>
      </c>
      <c r="AM211" s="292" t="b">
        <f>IFERROR(__xludf.DUMMYFUNCTION("""COMPUTED_VALUE"""),TRUE)</f>
        <v>1</v>
      </c>
      <c r="AN211" s="292" t="b">
        <f>IFERROR(__xludf.DUMMYFUNCTION("""COMPUTED_VALUE"""),TRUE)</f>
        <v>1</v>
      </c>
      <c r="AO211" s="292" t="str">
        <f>IFERROR(__xludf.DUMMYFUNCTION("""COMPUTED_VALUE"""),"FALSE")</f>
        <v>FALSE</v>
      </c>
      <c r="AP211" s="292" t="str">
        <f>IFERROR(__xludf.DUMMYFUNCTION("""COMPUTED_VALUE"""),"Chicken breast")</f>
        <v>Chicken breast</v>
      </c>
      <c r="AQ211" s="292" t="str">
        <f>IFERROR(__xludf.DUMMYFUNCTION("""COMPUTED_VALUE"""),"Chicken")</f>
        <v>Chicken</v>
      </c>
      <c r="AR211" s="292" t="str">
        <f>IFERROR(__xludf.DUMMYFUNCTION("""COMPUTED_VALUE"""),"Breast")</f>
        <v>Breast</v>
      </c>
      <c r="AS211" s="292" t="str">
        <f>IFERROR(__xludf.DUMMYFUNCTION("""COMPUTED_VALUE"""),"Rice")</f>
        <v>Rice</v>
      </c>
      <c r="AT211" s="292" t="str">
        <f>IFERROR(__xludf.DUMMYFUNCTION("""COMPUTED_VALUE"""),"Carrots")</f>
        <v>Carrots</v>
      </c>
      <c r="AU211" s="292" t="str">
        <f>IFERROR(__xludf.DUMMYFUNCTION("""COMPUTED_VALUE"""),"Broccoli")</f>
        <v>Broccoli</v>
      </c>
      <c r="AV211" s="292" t="str">
        <f>IFERROR(__xludf.DUMMYFUNCTION("""COMPUTED_VALUE"""),"Nuts")</f>
        <v>Nuts</v>
      </c>
      <c r="AW211" s="292" t="str">
        <f>IFERROR(__xludf.DUMMYFUNCTION("""COMPUTED_VALUE"""),"Year Round")</f>
        <v>Year Round</v>
      </c>
      <c r="AX211" s="292" t="str">
        <f>IFERROR(__xludf.DUMMYFUNCTION("""COMPUTED_VALUE"""),"Thai")</f>
        <v>Thai</v>
      </c>
      <c r="AY211" s="292"/>
      <c r="AZ211" s="292" t="str">
        <f>IFERROR(__xludf.DUMMYFUNCTION("""COMPUTED_VALUE"""),"2 CT")</f>
        <v>2 CT</v>
      </c>
      <c r="BA211" s="292" t="b">
        <f>IFERROR(__xludf.DUMMYFUNCTION("""COMPUTED_VALUE"""),FALSE)</f>
        <v>0</v>
      </c>
      <c r="BB211" s="342">
        <f>IFERROR(__xludf.DUMMYFUNCTION("""COMPUTED_VALUE"""),2.4)</f>
        <v>2.4</v>
      </c>
      <c r="BC211" s="342">
        <f>IFERROR(__xludf.DUMMYFUNCTION("""COMPUTED_VALUE"""),1.8)</f>
        <v>1.8</v>
      </c>
      <c r="BD211" s="342">
        <f>IFERROR(__xludf.DUMMYFUNCTION("""COMPUTED_VALUE"""),0.41)</f>
        <v>0.41</v>
      </c>
      <c r="BE211" s="342">
        <f>IFERROR(__xludf.DUMMYFUNCTION("""COMPUTED_VALUE"""),0.89)</f>
        <v>0.89</v>
      </c>
      <c r="BF211" s="296">
        <f>IFERROR(__xludf.DUMMYFUNCTION("""COMPUTED_VALUE"""),3.053766233766234)</f>
        <v>3.053766234</v>
      </c>
      <c r="BG211" s="296" t="str">
        <f>IFERROR(__xludf.DUMMYFUNCTION("""COMPUTED_VALUE"""),"#REF!")</f>
        <v>#REF!</v>
      </c>
      <c r="BH211" s="296" t="str">
        <f>IFERROR(__xludf.DUMMYFUNCTION("""COMPUTED_VALUE"""),"#REF!")</f>
        <v>#REF!</v>
      </c>
      <c r="BI211" s="295">
        <f>IFERROR(__xludf.DUMMYFUNCTION("""COMPUTED_VALUE"""),123.0)</f>
        <v>123</v>
      </c>
      <c r="BJ211" s="292"/>
      <c r="BK211" s="346">
        <f>IFERROR(__xludf.DUMMYFUNCTION("""COMPUTED_VALUE"""),2634.0)</f>
        <v>2634</v>
      </c>
      <c r="BL211" s="292"/>
      <c r="BM211" s="292"/>
      <c r="BN211" s="292"/>
      <c r="BO211" s="292"/>
      <c r="BP211" s="292"/>
      <c r="BQ211" s="292" t="str">
        <f>IFERROR(__xludf.DUMMYFUNCTION("""COMPUTED_VALUE"""),"New")</f>
        <v>New</v>
      </c>
      <c r="BR211" s="344" t="b">
        <f>IFERROR(__xludf.DUMMYFUNCTION("""COMPUTED_VALUE"""),FALSE)</f>
        <v>0</v>
      </c>
      <c r="BS211" s="292" t="b">
        <f>IFERROR(__xludf.DUMMYFUNCTION("""COMPUTED_VALUE"""),FALSE)</f>
        <v>0</v>
      </c>
      <c r="BT211" s="292"/>
      <c r="BU211" s="292"/>
      <c r="BV211" s="292"/>
      <c r="BW211" s="292"/>
    </row>
    <row r="212">
      <c r="A212" s="292" t="str">
        <f>IFERROR(__xludf.DUMMYFUNCTION("""COMPUTED_VALUE"""),"FE1408A")</f>
        <v>FE1408A</v>
      </c>
      <c r="B212" s="292" t="str">
        <f>IFERROR(__xludf.DUMMYFUNCTION("""COMPUTED_VALUE"""),"CON-40-154562-4")</f>
        <v>CON-40-154562-4</v>
      </c>
      <c r="C212" s="292" t="str">
        <f>IFERROR(__xludf.DUMMYFUNCTION("""COMPUTED_VALUE"""),"CON-00-154555-2")</f>
        <v>CON-00-154555-2</v>
      </c>
      <c r="D212" s="292" t="str">
        <f>IFERROR(__xludf.DUMMYFUNCTION("""COMPUTED_VALUE"""),"CON-00-154549-2")</f>
        <v>CON-00-154549-2</v>
      </c>
      <c r="E212" s="292" t="str">
        <f>IFERROR(__xludf.DUMMYFUNCTION("""COMPUTED_VALUE"""),"Chicken Vindaloo &amp; Cumin Potatoes")</f>
        <v>Chicken Vindaloo &amp; Cumin Potatoes</v>
      </c>
      <c r="F212" s="292" t="str">
        <f>IFERROR(__xludf.DUMMYFUNCTION("""COMPUTED_VALUE"""),"with Cardamom Veggies, Raita &amp; Green Beans")</f>
        <v>with Cardamom Veggies, Raita &amp; Green Beans</v>
      </c>
      <c r="G212" s="292" t="str">
        <f>IFERROR(__xludf.DUMMYFUNCTION("""COMPUTED_VALUE"""),"Kip Vindaloo met aardappelen met komijn")</f>
        <v>Kip Vindaloo met aardappelen met komijn</v>
      </c>
      <c r="H212" s="292" t="str">
        <f>IFERROR(__xludf.DUMMYFUNCTION("""COMPUTED_VALUE"""),"met groenten met kardemom, raita &amp; sperziebonen")</f>
        <v>met groenten met kardemom, raita &amp; sperziebonen</v>
      </c>
      <c r="I212" s="292" t="str">
        <f>IFERROR(__xludf.DUMMYFUNCTION("""COMPUTED_VALUE"""),"Kyllingevindaloo med spidskommenkrydrede kartofler")</f>
        <v>Kyllingevindaloo med spidskommenkrydrede kartofler</v>
      </c>
      <c r="J212" s="292" t="str">
        <f>IFERROR(__xludf.DUMMYFUNCTION("""COMPUTED_VALUE"""),"Hähnchen Vindaloo &amp; Kreuzkümmel-Kartoffeln")</f>
        <v>Hähnchen Vindaloo &amp; Kreuzkümmel-Kartoffeln</v>
      </c>
      <c r="K212" s="292">
        <f>IFERROR(__xludf.DUMMYFUNCTION("""COMPUTED_VALUE"""),565212.0)</f>
        <v>565212</v>
      </c>
      <c r="L212" s="292" t="str">
        <f>IFERROR(__xludf.DUMMYFUNCTION("""COMPUTED_VALUE"""),"HF Kip vindaloo")</f>
        <v>HF Kip vindaloo</v>
      </c>
      <c r="M212" s="292" t="str">
        <f>IFERROR(__xludf.DUMMYFUNCTION("""COMPUTED_VALUE"""),"FA-NL Kip Vindaloo met aardappelen met komijn (FE1408)")</f>
        <v>FA-NL Kip Vindaloo met aardappelen met komijn (FE1408)</v>
      </c>
      <c r="N212" s="292" t="str">
        <f>IFERROR(__xludf.DUMMYFUNCTION("""COMPUTED_VALUE"""),"FA-NO Kyllingevindaloo med spidskommenkrydrede kartofler (FE1408)")</f>
        <v>FA-NO Kyllingevindaloo med spidskommenkrydrede kartofler (FE1408)</v>
      </c>
      <c r="O212" s="292" t="str">
        <f>IFERROR(__xludf.DUMMYFUNCTION("""COMPUTED_VALUE"""),"FA-DE Hähnchen Vindaloo &amp; Kreuzkümmel-Kartoffeln (FE1408)")</f>
        <v>FA-DE Hähnchen Vindaloo &amp; Kreuzkümmel-Kartoffeln (FE1408)</v>
      </c>
      <c r="P212" s="292" t="str">
        <f>IFERROR(__xludf.DUMMYFUNCTION("""COMPUTED_VALUE"""),"Graveyard")</f>
        <v>Graveyard</v>
      </c>
      <c r="Q212" s="292"/>
      <c r="R212" s="342">
        <f>IFERROR(__xludf.DUMMYFUNCTION("""COMPUTED_VALUE"""),4.7)</f>
        <v>4.7</v>
      </c>
      <c r="S212" s="292"/>
      <c r="T212" s="292"/>
      <c r="U212" s="292"/>
      <c r="V212" s="292"/>
      <c r="W212" s="292" t="b">
        <f>IFERROR(__xludf.DUMMYFUNCTION("""COMPUTED_VALUE"""),TRUE)</f>
        <v>1</v>
      </c>
      <c r="X212" s="345">
        <f>IFERROR(__xludf.DUMMYFUNCTION("""COMPUTED_VALUE"""),399.0)</f>
        <v>399</v>
      </c>
      <c r="Y212" s="344">
        <f>IFERROR(__xludf.DUMMYFUNCTION("""COMPUTED_VALUE"""),447.0)</f>
        <v>447</v>
      </c>
      <c r="Z212" s="343">
        <f>IFERROR(__xludf.DUMMYFUNCTION("""COMPUTED_VALUE"""),24.3)</f>
        <v>24.3</v>
      </c>
      <c r="AA212" s="344">
        <f>IFERROR(__xludf.DUMMYFUNCTION("""COMPUTED_VALUE"""),7.0)</f>
        <v>7</v>
      </c>
      <c r="AB212" s="344">
        <f>IFERROR(__xludf.DUMMYFUNCTION("""COMPUTED_VALUE"""),22.2)</f>
        <v>22.2</v>
      </c>
      <c r="AC212" s="344">
        <f>IFERROR(__xludf.DUMMYFUNCTION("""COMPUTED_VALUE"""),8.7)</f>
        <v>8.7</v>
      </c>
      <c r="AD212" s="344">
        <f>IFERROR(__xludf.DUMMYFUNCTION("""COMPUTED_VALUE"""),7.5)</f>
        <v>7.5</v>
      </c>
      <c r="AE212" s="343">
        <f>IFERROR(__xludf.DUMMYFUNCTION("""COMPUTED_VALUE"""),30.6)</f>
        <v>30.6</v>
      </c>
      <c r="AF212" s="343">
        <f>IFERROR(__xludf.DUMMYFUNCTION("""COMPUTED_VALUE"""),2.04)</f>
        <v>2.04</v>
      </c>
      <c r="AG212" s="292" t="b">
        <f>IFERROR(__xludf.DUMMYFUNCTION("""COMPUTED_VALUE"""),TRUE)</f>
        <v>1</v>
      </c>
      <c r="AH212" s="292" t="b">
        <f>IFERROR(__xludf.DUMMYFUNCTION("""COMPUTED_VALUE"""),FALSE)</f>
        <v>0</v>
      </c>
      <c r="AI212" s="292" t="b">
        <f>IFERROR(__xludf.DUMMYFUNCTION("""COMPUTED_VALUE"""),TRUE)</f>
        <v>1</v>
      </c>
      <c r="AJ212" s="292" t="b">
        <f>IFERROR(__xludf.DUMMYFUNCTION("""COMPUTED_VALUE"""),FALSE)</f>
        <v>0</v>
      </c>
      <c r="AK212" s="292" t="b">
        <f>IFERROR(__xludf.DUMMYFUNCTION("""COMPUTED_VALUE"""),FALSE)</f>
        <v>0</v>
      </c>
      <c r="AL212" s="292" t="b">
        <f>IFERROR(__xludf.DUMMYFUNCTION("""COMPUTED_VALUE"""),FALSE)</f>
        <v>0</v>
      </c>
      <c r="AM212" s="292" t="b">
        <f>IFERROR(__xludf.DUMMYFUNCTION("""COMPUTED_VALUE"""),TRUE)</f>
        <v>1</v>
      </c>
      <c r="AN212" s="292" t="b">
        <f>IFERROR(__xludf.DUMMYFUNCTION("""COMPUTED_VALUE"""),FALSE)</f>
        <v>0</v>
      </c>
      <c r="AO212" s="292" t="str">
        <f>IFERROR(__xludf.DUMMYFUNCTION("""COMPUTED_VALUE"""),"FALSE")</f>
        <v>FALSE</v>
      </c>
      <c r="AP212" s="292" t="str">
        <f>IFERROR(__xludf.DUMMYFUNCTION("""COMPUTED_VALUE"""),"Diced chicken")</f>
        <v>Diced chicken</v>
      </c>
      <c r="AQ212" s="292" t="str">
        <f>IFERROR(__xludf.DUMMYFUNCTION("""COMPUTED_VALUE"""),"Chicken")</f>
        <v>Chicken</v>
      </c>
      <c r="AR212" s="292" t="str">
        <f>IFERROR(__xludf.DUMMYFUNCTION("""COMPUTED_VALUE"""),"Pieces")</f>
        <v>Pieces</v>
      </c>
      <c r="AS212" s="292" t="str">
        <f>IFERROR(__xludf.DUMMYFUNCTION("""COMPUTED_VALUE"""),"Potato Non-Mash")</f>
        <v>Potato Non-Mash</v>
      </c>
      <c r="AT212" s="292" t="str">
        <f>IFERROR(__xludf.DUMMYFUNCTION("""COMPUTED_VALUE"""),"Green Beans")</f>
        <v>Green Beans</v>
      </c>
      <c r="AU212" s="292" t="str">
        <f>IFERROR(__xludf.DUMMYFUNCTION("""COMPUTED_VALUE"""),"Pepper Mix")</f>
        <v>Pepper Mix</v>
      </c>
      <c r="AV212" s="292" t="str">
        <f>IFERROR(__xludf.DUMMYFUNCTION("""COMPUTED_VALUE"""),"Cupped Sauce")</f>
        <v>Cupped Sauce</v>
      </c>
      <c r="AW212" s="292" t="str">
        <f>IFERROR(__xludf.DUMMYFUNCTION("""COMPUTED_VALUE"""),"Year Round")</f>
        <v>Year Round</v>
      </c>
      <c r="AX212" s="292" t="str">
        <f>IFERROR(__xludf.DUMMYFUNCTION("""COMPUTED_VALUE"""),"Indian")</f>
        <v>Indian</v>
      </c>
      <c r="AY212" s="292"/>
      <c r="AZ212" s="292" t="str">
        <f>IFERROR(__xludf.DUMMYFUNCTION("""COMPUTED_VALUE"""),"2 CT")</f>
        <v>2 CT</v>
      </c>
      <c r="BA212" s="292" t="b">
        <f>IFERROR(__xludf.DUMMYFUNCTION("""COMPUTED_VALUE"""),TRUE)</f>
        <v>1</v>
      </c>
      <c r="BB212" s="342">
        <f>IFERROR(__xludf.DUMMYFUNCTION("""COMPUTED_VALUE"""),2.63)</f>
        <v>2.63</v>
      </c>
      <c r="BC212" s="342">
        <f>IFERROR(__xludf.DUMMYFUNCTION("""COMPUTED_VALUE"""),1.63)</f>
        <v>1.63</v>
      </c>
      <c r="BD212" s="342">
        <f>IFERROR(__xludf.DUMMYFUNCTION("""COMPUTED_VALUE"""),0.44)</f>
        <v>0.44</v>
      </c>
      <c r="BE212" s="342">
        <f>IFERROR(__xludf.DUMMYFUNCTION("""COMPUTED_VALUE"""),0.89)</f>
        <v>0.89</v>
      </c>
      <c r="BF212" s="296">
        <f>IFERROR(__xludf.DUMMYFUNCTION("""COMPUTED_VALUE"""),2.94)</f>
        <v>2.94</v>
      </c>
      <c r="BG212" s="296">
        <f>IFERROR(__xludf.DUMMYFUNCTION("""COMPUTED_VALUE"""),2.9)</f>
        <v>2.9</v>
      </c>
      <c r="BH212" s="296">
        <f>IFERROR(__xludf.DUMMYFUNCTION("""COMPUTED_VALUE"""),2.46)</f>
        <v>2.46</v>
      </c>
      <c r="BI212" s="295">
        <f>IFERROR(__xludf.DUMMYFUNCTION("""COMPUTED_VALUE"""),128.0)</f>
        <v>128</v>
      </c>
      <c r="BJ212" s="292"/>
      <c r="BK212" s="346">
        <f>IFERROR(__xludf.DUMMYFUNCTION("""COMPUTED_VALUE"""),1866.0)</f>
        <v>1866</v>
      </c>
      <c r="BL212" s="292"/>
      <c r="BM212" s="292"/>
      <c r="BN212" s="292"/>
      <c r="BO212" s="292"/>
      <c r="BP212" s="292"/>
      <c r="BQ212" s="292" t="str">
        <f>IFERROR(__xludf.DUMMYFUNCTION("""COMPUTED_VALUE"""),"New")</f>
        <v>New</v>
      </c>
      <c r="BR212" s="344" t="b">
        <f>IFERROR(__xludf.DUMMYFUNCTION("""COMPUTED_VALUE"""),FALSE)</f>
        <v>0</v>
      </c>
      <c r="BS212" s="292" t="b">
        <f>IFERROR(__xludf.DUMMYFUNCTION("""COMPUTED_VALUE"""),FALSE)</f>
        <v>0</v>
      </c>
      <c r="BT212" s="292"/>
      <c r="BU212" s="292"/>
      <c r="BV212" s="292"/>
      <c r="BW212" s="292"/>
    </row>
    <row r="213">
      <c r="A213" s="292" t="str">
        <f>IFERROR(__xludf.DUMMYFUNCTION("""COMPUTED_VALUE"""),"FE4073A")</f>
        <v>FE4073A</v>
      </c>
      <c r="B213" s="292" t="str">
        <f>IFERROR(__xludf.DUMMYFUNCTION("""COMPUTED_VALUE"""),"")</f>
        <v/>
      </c>
      <c r="C213" s="292"/>
      <c r="D213" s="292"/>
      <c r="E213" s="292" t="str">
        <f>IFERROR(__xludf.DUMMYFUNCTION("""COMPUTED_VALUE"""),"Caprese Chicken Penne")</f>
        <v>Caprese Chicken Penne</v>
      </c>
      <c r="F213" s="292" t="str">
        <f>IFERROR(__xludf.DUMMYFUNCTION("""COMPUTED_VALUE"""),"with Pesto Cream &amp; Spinach")</f>
        <v>with Pesto Cream &amp; Spinach</v>
      </c>
      <c r="G213" s="292"/>
      <c r="H213" s="292"/>
      <c r="I213" s="292" t="str">
        <f>IFERROR(__xludf.DUMMYFUNCTION("""COMPUTED_VALUE"""),"#N/A")</f>
        <v>#N/A</v>
      </c>
      <c r="J213" s="292"/>
      <c r="K213" s="292"/>
      <c r="L213" s="292"/>
      <c r="M213" s="292" t="str">
        <f>IFERROR(__xludf.DUMMYFUNCTION("""COMPUTED_VALUE"""),"#N/A")</f>
        <v>#N/A</v>
      </c>
      <c r="N213" s="292" t="str">
        <f>IFERROR(__xludf.DUMMYFUNCTION("""COMPUTED_VALUE"""),"#N/A")</f>
        <v>#N/A</v>
      </c>
      <c r="O213" s="292" t="str">
        <f>IFERROR(__xludf.DUMMYFUNCTION("""COMPUTED_VALUE"""),"#N/A")</f>
        <v>#N/A</v>
      </c>
      <c r="P213" s="292"/>
      <c r="Q213" s="292"/>
      <c r="R213" s="292"/>
      <c r="S213" s="292"/>
      <c r="T213" s="292"/>
      <c r="U213" s="292"/>
      <c r="V213" s="292"/>
      <c r="W213" s="292" t="b">
        <f>IFERROR(__xludf.DUMMYFUNCTION("""COMPUTED_VALUE"""),TRUE)</f>
        <v>1</v>
      </c>
      <c r="X213" s="292" t="str">
        <f>IFERROR(__xludf.DUMMYFUNCTION("""COMPUTED_VALUE"""),"#N/A")</f>
        <v>#N/A</v>
      </c>
      <c r="Y213" s="344" t="str">
        <f>IFERROR(__xludf.DUMMYFUNCTION("""COMPUTED_VALUE"""),"#N/A")</f>
        <v>#N/A</v>
      </c>
      <c r="Z213" s="343" t="str">
        <f>IFERROR(__xludf.DUMMYFUNCTION("""COMPUTED_VALUE"""),"#N/A")</f>
        <v>#N/A</v>
      </c>
      <c r="AA213" s="292" t="str">
        <f>IFERROR(__xludf.DUMMYFUNCTION("""COMPUTED_VALUE"""),"#N/A")</f>
        <v>#N/A</v>
      </c>
      <c r="AB213" s="292" t="str">
        <f>IFERROR(__xludf.DUMMYFUNCTION("""COMPUTED_VALUE"""),"#N/A")</f>
        <v>#N/A</v>
      </c>
      <c r="AC213" s="292" t="str">
        <f>IFERROR(__xludf.DUMMYFUNCTION("""COMPUTED_VALUE"""),"#N/A")</f>
        <v>#N/A</v>
      </c>
      <c r="AD213" s="292" t="str">
        <f>IFERROR(__xludf.DUMMYFUNCTION("""COMPUTED_VALUE"""),"#N/A")</f>
        <v>#N/A</v>
      </c>
      <c r="AE213" s="343" t="str">
        <f>IFERROR(__xludf.DUMMYFUNCTION("""COMPUTED_VALUE"""),"#N/A")</f>
        <v>#N/A</v>
      </c>
      <c r="AF213" s="292" t="str">
        <f>IFERROR(__xludf.DUMMYFUNCTION("""COMPUTED_VALUE"""),"#N/A")</f>
        <v>#N/A</v>
      </c>
      <c r="AG213" s="292"/>
      <c r="AH213" s="292" t="str">
        <f>IFERROR(__xludf.DUMMYFUNCTION("""COMPUTED_VALUE"""),"#N/A")</f>
        <v>#N/A</v>
      </c>
      <c r="AI213" s="292" t="str">
        <f>IFERROR(__xludf.DUMMYFUNCTION("""COMPUTED_VALUE"""),"#N/A")</f>
        <v>#N/A</v>
      </c>
      <c r="AJ213" s="292" t="str">
        <f>IFERROR(__xludf.DUMMYFUNCTION("""COMPUTED_VALUE"""),"#N/A")</f>
        <v>#N/A</v>
      </c>
      <c r="AK213" s="292" t="str">
        <f>IFERROR(__xludf.DUMMYFUNCTION("""COMPUTED_VALUE"""),"#N/A")</f>
        <v>#N/A</v>
      </c>
      <c r="AL213" s="292" t="str">
        <f>IFERROR(__xludf.DUMMYFUNCTION("""COMPUTED_VALUE"""),"#N/A")</f>
        <v>#N/A</v>
      </c>
      <c r="AM213" s="292" t="str">
        <f>IFERROR(__xludf.DUMMYFUNCTION("""COMPUTED_VALUE"""),"#N/A")</f>
        <v>#N/A</v>
      </c>
      <c r="AN213" s="292" t="str">
        <f>IFERROR(__xludf.DUMMYFUNCTION("""COMPUTED_VALUE"""),"#N/A")</f>
        <v>#N/A</v>
      </c>
      <c r="AO213" s="292" t="str">
        <f>IFERROR(__xludf.DUMMYFUNCTION("""COMPUTED_VALUE"""),"#N/A")</f>
        <v>#N/A</v>
      </c>
      <c r="AP213" s="292"/>
      <c r="AQ213" s="292"/>
      <c r="AR213" s="292"/>
      <c r="AS213" s="292"/>
      <c r="AT213" s="292"/>
      <c r="AU213" s="292"/>
      <c r="AV213" s="292"/>
      <c r="AW213" s="292"/>
      <c r="AX213" s="292"/>
      <c r="AY213" s="292"/>
      <c r="AZ213" s="292" t="str">
        <f>IFERROR(__xludf.DUMMYFUNCTION("""COMPUTED_VALUE"""),"1 CT")</f>
        <v>1 CT</v>
      </c>
      <c r="BA213" s="292"/>
      <c r="BB213" s="292"/>
      <c r="BC213" s="292"/>
      <c r="BD213" s="292"/>
      <c r="BE213" s="292"/>
      <c r="BF213" s="296" t="str">
        <f>IFERROR(__xludf.DUMMYFUNCTION("""COMPUTED_VALUE"""),"#REF!")</f>
        <v>#REF!</v>
      </c>
      <c r="BG213" s="296" t="str">
        <f>IFERROR(__xludf.DUMMYFUNCTION("""COMPUTED_VALUE"""),"#REF!")</f>
        <v>#REF!</v>
      </c>
      <c r="BH213" s="296" t="str">
        <f>IFERROR(__xludf.DUMMYFUNCTION("""COMPUTED_VALUE"""),"#REF!")</f>
        <v>#REF!</v>
      </c>
      <c r="BI213" s="295" t="str">
        <f>IFERROR(__xludf.DUMMYFUNCTION("""COMPUTED_VALUE"""),"#N/A")</f>
        <v>#N/A</v>
      </c>
      <c r="BJ213" s="292"/>
      <c r="BK213" s="346" t="str">
        <f>IFERROR(__xludf.DUMMYFUNCTION("""COMPUTED_VALUE"""),"#N/A")</f>
        <v>#N/A</v>
      </c>
      <c r="BL213" s="292"/>
      <c r="BM213" s="292"/>
      <c r="BN213" s="292"/>
      <c r="BO213" s="292"/>
      <c r="BP213" s="292"/>
      <c r="BQ213" s="292" t="str">
        <f>IFERROR(__xludf.DUMMYFUNCTION("""COMPUTED_VALUE"""),"New")</f>
        <v>New</v>
      </c>
      <c r="BR213" s="292" t="str">
        <f>IFERROR(__xludf.DUMMYFUNCTION("""COMPUTED_VALUE"""),"#N/A")</f>
        <v>#N/A</v>
      </c>
      <c r="BS213" s="292" t="str">
        <f>IFERROR(__xludf.DUMMYFUNCTION("""COMPUTED_VALUE"""),"#N/A")</f>
        <v>#N/A</v>
      </c>
      <c r="BT213" s="292"/>
      <c r="BU213" s="292"/>
      <c r="BV213" s="292"/>
      <c r="BW213" s="292"/>
    </row>
    <row r="214">
      <c r="A214" s="292" t="str">
        <f>IFERROR(__xludf.DUMMYFUNCTION("""COMPUTED_VALUE"""),"FE4074A")</f>
        <v>FE4074A</v>
      </c>
      <c r="B214" s="292" t="str">
        <f>IFERROR(__xludf.DUMMYFUNCTION("""COMPUTED_VALUE"""),"")</f>
        <v/>
      </c>
      <c r="C214" s="292"/>
      <c r="D214" s="292"/>
      <c r="E214" s="292" t="str">
        <f>IFERROR(__xludf.DUMMYFUNCTION("""COMPUTED_VALUE"""),"Hot Honey Salmon")</f>
        <v>Hot Honey Salmon</v>
      </c>
      <c r="F214" s="292" t="str">
        <f>IFERROR(__xludf.DUMMYFUNCTION("""COMPUTED_VALUE"""),"with Roasted Broccoli")</f>
        <v>with Roasted Broccoli</v>
      </c>
      <c r="G214" s="292"/>
      <c r="H214" s="292"/>
      <c r="I214" s="292" t="str">
        <f>IFERROR(__xludf.DUMMYFUNCTION("""COMPUTED_VALUE"""),"#N/A")</f>
        <v>#N/A</v>
      </c>
      <c r="J214" s="292"/>
      <c r="K214" s="292"/>
      <c r="L214" s="292"/>
      <c r="M214" s="292" t="str">
        <f>IFERROR(__xludf.DUMMYFUNCTION("""COMPUTED_VALUE"""),"#N/A")</f>
        <v>#N/A</v>
      </c>
      <c r="N214" s="292" t="str">
        <f>IFERROR(__xludf.DUMMYFUNCTION("""COMPUTED_VALUE"""),"#N/A")</f>
        <v>#N/A</v>
      </c>
      <c r="O214" s="292" t="str">
        <f>IFERROR(__xludf.DUMMYFUNCTION("""COMPUTED_VALUE"""),"#N/A")</f>
        <v>#N/A</v>
      </c>
      <c r="P214" s="292"/>
      <c r="Q214" s="292"/>
      <c r="R214" s="292"/>
      <c r="S214" s="292"/>
      <c r="T214" s="292"/>
      <c r="U214" s="292"/>
      <c r="V214" s="292"/>
      <c r="W214" s="292" t="b">
        <f>IFERROR(__xludf.DUMMYFUNCTION("""COMPUTED_VALUE"""),TRUE)</f>
        <v>1</v>
      </c>
      <c r="X214" s="292" t="str">
        <f>IFERROR(__xludf.DUMMYFUNCTION("""COMPUTED_VALUE"""),"#N/A")</f>
        <v>#N/A</v>
      </c>
      <c r="Y214" s="344" t="str">
        <f>IFERROR(__xludf.DUMMYFUNCTION("""COMPUTED_VALUE"""),"#N/A")</f>
        <v>#N/A</v>
      </c>
      <c r="Z214" s="343" t="str">
        <f>IFERROR(__xludf.DUMMYFUNCTION("""COMPUTED_VALUE"""),"#N/A")</f>
        <v>#N/A</v>
      </c>
      <c r="AA214" s="292" t="str">
        <f>IFERROR(__xludf.DUMMYFUNCTION("""COMPUTED_VALUE"""),"#N/A")</f>
        <v>#N/A</v>
      </c>
      <c r="AB214" s="292" t="str">
        <f>IFERROR(__xludf.DUMMYFUNCTION("""COMPUTED_VALUE"""),"#N/A")</f>
        <v>#N/A</v>
      </c>
      <c r="AC214" s="292" t="str">
        <f>IFERROR(__xludf.DUMMYFUNCTION("""COMPUTED_VALUE"""),"#N/A")</f>
        <v>#N/A</v>
      </c>
      <c r="AD214" s="292" t="str">
        <f>IFERROR(__xludf.DUMMYFUNCTION("""COMPUTED_VALUE"""),"#N/A")</f>
        <v>#N/A</v>
      </c>
      <c r="AE214" s="343" t="str">
        <f>IFERROR(__xludf.DUMMYFUNCTION("""COMPUTED_VALUE"""),"#N/A")</f>
        <v>#N/A</v>
      </c>
      <c r="AF214" s="292" t="str">
        <f>IFERROR(__xludf.DUMMYFUNCTION("""COMPUTED_VALUE"""),"#N/A")</f>
        <v>#N/A</v>
      </c>
      <c r="AG214" s="292"/>
      <c r="AH214" s="292" t="str">
        <f>IFERROR(__xludf.DUMMYFUNCTION("""COMPUTED_VALUE"""),"#N/A")</f>
        <v>#N/A</v>
      </c>
      <c r="AI214" s="292" t="str">
        <f>IFERROR(__xludf.DUMMYFUNCTION("""COMPUTED_VALUE"""),"#N/A")</f>
        <v>#N/A</v>
      </c>
      <c r="AJ214" s="292" t="str">
        <f>IFERROR(__xludf.DUMMYFUNCTION("""COMPUTED_VALUE"""),"#N/A")</f>
        <v>#N/A</v>
      </c>
      <c r="AK214" s="292" t="str">
        <f>IFERROR(__xludf.DUMMYFUNCTION("""COMPUTED_VALUE"""),"#N/A")</f>
        <v>#N/A</v>
      </c>
      <c r="AL214" s="292" t="str">
        <f>IFERROR(__xludf.DUMMYFUNCTION("""COMPUTED_VALUE"""),"#N/A")</f>
        <v>#N/A</v>
      </c>
      <c r="AM214" s="292" t="str">
        <f>IFERROR(__xludf.DUMMYFUNCTION("""COMPUTED_VALUE"""),"#N/A")</f>
        <v>#N/A</v>
      </c>
      <c r="AN214" s="292" t="str">
        <f>IFERROR(__xludf.DUMMYFUNCTION("""COMPUTED_VALUE"""),"#N/A")</f>
        <v>#N/A</v>
      </c>
      <c r="AO214" s="292" t="str">
        <f>IFERROR(__xludf.DUMMYFUNCTION("""COMPUTED_VALUE"""),"#N/A")</f>
        <v>#N/A</v>
      </c>
      <c r="AP214" s="292"/>
      <c r="AQ214" s="292"/>
      <c r="AR214" s="292"/>
      <c r="AS214" s="292"/>
      <c r="AT214" s="292"/>
      <c r="AU214" s="292"/>
      <c r="AV214" s="292"/>
      <c r="AW214" s="292"/>
      <c r="AX214" s="292"/>
      <c r="AY214" s="292"/>
      <c r="AZ214" s="292"/>
      <c r="BA214" s="292"/>
      <c r="BB214" s="292"/>
      <c r="BC214" s="292"/>
      <c r="BD214" s="292"/>
      <c r="BE214" s="292"/>
      <c r="BF214" s="296" t="str">
        <f>IFERROR(__xludf.DUMMYFUNCTION("""COMPUTED_VALUE"""),"#REF!")</f>
        <v>#REF!</v>
      </c>
      <c r="BG214" s="296" t="str">
        <f>IFERROR(__xludf.DUMMYFUNCTION("""COMPUTED_VALUE"""),"#REF!")</f>
        <v>#REF!</v>
      </c>
      <c r="BH214" s="296" t="str">
        <f>IFERROR(__xludf.DUMMYFUNCTION("""COMPUTED_VALUE"""),"#REF!")</f>
        <v>#REF!</v>
      </c>
      <c r="BI214" s="295" t="str">
        <f>IFERROR(__xludf.DUMMYFUNCTION("""COMPUTED_VALUE"""),"#N/A")</f>
        <v>#N/A</v>
      </c>
      <c r="BJ214" s="292"/>
      <c r="BK214" s="346" t="str">
        <f>IFERROR(__xludf.DUMMYFUNCTION("""COMPUTED_VALUE"""),"#N/A")</f>
        <v>#N/A</v>
      </c>
      <c r="BL214" s="292"/>
      <c r="BM214" s="292"/>
      <c r="BN214" s="292"/>
      <c r="BO214" s="292"/>
      <c r="BP214" s="292"/>
      <c r="BQ214" s="292"/>
      <c r="BR214" s="292" t="str">
        <f>IFERROR(__xludf.DUMMYFUNCTION("""COMPUTED_VALUE"""),"#N/A")</f>
        <v>#N/A</v>
      </c>
      <c r="BS214" s="292" t="str">
        <f>IFERROR(__xludf.DUMMYFUNCTION("""COMPUTED_VALUE"""),"#N/A")</f>
        <v>#N/A</v>
      </c>
      <c r="BT214" s="292"/>
      <c r="BU214" s="292"/>
      <c r="BV214" s="292"/>
      <c r="BW214" s="292"/>
    </row>
    <row r="215">
      <c r="A215" s="292" t="str">
        <f>IFERROR(__xludf.DUMMYFUNCTION("""COMPUTED_VALUE"""),"FE4075A")</f>
        <v>FE4075A</v>
      </c>
      <c r="B215" s="292" t="str">
        <f>IFERROR(__xludf.DUMMYFUNCTION("""COMPUTED_VALUE"""),"CON-40-155189-4")</f>
        <v>CON-40-155189-4</v>
      </c>
      <c r="C215" s="292" t="str">
        <f>IFERROR(__xludf.DUMMYFUNCTION("""COMPUTED_VALUE"""),"CON-00-155188-2")</f>
        <v>CON-00-155188-2</v>
      </c>
      <c r="D215" s="292" t="str">
        <f>IFERROR(__xludf.DUMMYFUNCTION("""COMPUTED_VALUE"""),"CON-00-155185-3")</f>
        <v>CON-00-155185-3</v>
      </c>
      <c r="E215" s="292" t="str">
        <f>IFERROR(__xludf.DUMMYFUNCTION("""COMPUTED_VALUE"""),"Sun-Dried Tomato Beef Ragu &amp; Pasta")</f>
        <v>Sun-Dried Tomato Beef Ragu &amp; Pasta</v>
      </c>
      <c r="F215" s="292" t="str">
        <f>IFERROR(__xludf.DUMMYFUNCTION("""COMPUTED_VALUE"""),"with Balsamic Green Beans &amp; Peppers")</f>
        <v>with Balsamic Green Beans &amp; Peppers</v>
      </c>
      <c r="G215" s="292" t="str">
        <f>IFERROR(__xludf.DUMMYFUNCTION("""COMPUTED_VALUE"""),"Runder-ragù met zongedroogde tomaat en pasta")</f>
        <v>Runder-ragù met zongedroogde tomaat en pasta</v>
      </c>
      <c r="H215" s="292" t="str">
        <f>IFERROR(__xludf.DUMMYFUNCTION("""COMPUTED_VALUE"""),"met balsamico-sperziebonen en paprika")</f>
        <v>met balsamico-sperziebonen en paprika</v>
      </c>
      <c r="I215" s="292" t="str">
        <f>IFERROR(__xludf.DUMMYFUNCTION("""COMPUTED_VALUE"""),"Pasta med oksekødsragù og soltørrede tomater")</f>
        <v>Pasta med oksekødsragù og soltørrede tomater</v>
      </c>
      <c r="J215" s="292" t="str">
        <f>IFERROR(__xludf.DUMMYFUNCTION("""COMPUTED_VALUE"""),"Rinderragù mit sonnengetrockneten Tomaten und Pasta")</f>
        <v>Rinderragù mit sonnengetrockneten Tomaten und Pasta</v>
      </c>
      <c r="K215" s="292">
        <f>IFERROR(__xludf.DUMMYFUNCTION("""COMPUTED_VALUE"""),565252.0)</f>
        <v>565252</v>
      </c>
      <c r="L215" s="292" t="str">
        <f>IFERROR(__xludf.DUMMYFUNCTION("""COMPUTED_VALUE"""),"HF Tomato Beef Ragu &amp; Pasta")</f>
        <v>HF Tomato Beef Ragu &amp; Pasta</v>
      </c>
      <c r="M215" s="292" t="str">
        <f>IFERROR(__xludf.DUMMYFUNCTION("""COMPUTED_VALUE"""),"FA-NL Runder-ragù met zongedroogde tomaat en pasta (FE4075)")</f>
        <v>FA-NL Runder-ragù met zongedroogde tomaat en pasta (FE4075)</v>
      </c>
      <c r="N215" s="292" t="str">
        <f>IFERROR(__xludf.DUMMYFUNCTION("""COMPUTED_VALUE"""),"FA-NO Pasta med oksekødsragù og soltørrede tomater (FE4075)")</f>
        <v>FA-NO Pasta med oksekødsragù og soltørrede tomater (FE4075)</v>
      </c>
      <c r="O215" s="292" t="str">
        <f>IFERROR(__xludf.DUMMYFUNCTION("""COMPUTED_VALUE"""),"FA-DE Rinderragù mit sonnengetrockneten Tomaten und Pasta (FE4075)")</f>
        <v>FA-DE Rinderragù mit sonnengetrockneten Tomaten und Pasta (FE4075)</v>
      </c>
      <c r="P215" s="292" t="str">
        <f>IFERROR(__xludf.DUMMYFUNCTION("""COMPUTED_VALUE"""),"Active")</f>
        <v>Active</v>
      </c>
      <c r="Q215" s="292"/>
      <c r="R215" s="342">
        <f>IFERROR(__xludf.DUMMYFUNCTION("""COMPUTED_VALUE"""),4.19)</f>
        <v>4.19</v>
      </c>
      <c r="S215" s="292"/>
      <c r="T215" s="292"/>
      <c r="U215" s="292"/>
      <c r="V215" s="292"/>
      <c r="W215" s="292" t="b">
        <f>IFERROR(__xludf.DUMMYFUNCTION("""COMPUTED_VALUE"""),TRUE)</f>
        <v>1</v>
      </c>
      <c r="X215" s="345">
        <f>IFERROR(__xludf.DUMMYFUNCTION("""COMPUTED_VALUE"""),384.0)</f>
        <v>384</v>
      </c>
      <c r="Y215" s="344">
        <f>IFERROR(__xludf.DUMMYFUNCTION("""COMPUTED_VALUE"""),607.0)</f>
        <v>607</v>
      </c>
      <c r="Z215" s="343">
        <f>IFERROR(__xludf.DUMMYFUNCTION("""COMPUTED_VALUE"""),29.3)</f>
        <v>29.3</v>
      </c>
      <c r="AA215" s="344">
        <f>IFERROR(__xludf.DUMMYFUNCTION("""COMPUTED_VALUE"""),12.5)</f>
        <v>12.5</v>
      </c>
      <c r="AB215" s="344">
        <f>IFERROR(__xludf.DUMMYFUNCTION("""COMPUTED_VALUE"""),51.1)</f>
        <v>51.1</v>
      </c>
      <c r="AC215" s="344">
        <f>IFERROR(__xludf.DUMMYFUNCTION("""COMPUTED_VALUE"""),8.7)</f>
        <v>8.7</v>
      </c>
      <c r="AD215" s="344">
        <f>IFERROR(__xludf.DUMMYFUNCTION("""COMPUTED_VALUE"""),9.2)</f>
        <v>9.2</v>
      </c>
      <c r="AE215" s="343">
        <f>IFERROR(__xludf.DUMMYFUNCTION("""COMPUTED_VALUE"""),30.7)</f>
        <v>30.7</v>
      </c>
      <c r="AF215" s="343">
        <f>IFERROR(__xludf.DUMMYFUNCTION("""COMPUTED_VALUE"""),1.99)</f>
        <v>1.99</v>
      </c>
      <c r="AG215" s="292" t="b">
        <f>IFERROR(__xludf.DUMMYFUNCTION("""COMPUTED_VALUE"""),FALSE)</f>
        <v>0</v>
      </c>
      <c r="AH215" s="292" t="b">
        <f>IFERROR(__xludf.DUMMYFUNCTION("""COMPUTED_VALUE"""),FALSE)</f>
        <v>0</v>
      </c>
      <c r="AI215" s="292" t="b">
        <f>IFERROR(__xludf.DUMMYFUNCTION("""COMPUTED_VALUE"""),FALSE)</f>
        <v>0</v>
      </c>
      <c r="AJ215" s="292" t="b">
        <f>IFERROR(__xludf.DUMMYFUNCTION("""COMPUTED_VALUE"""),FALSE)</f>
        <v>0</v>
      </c>
      <c r="AK215" s="292" t="b">
        <f>IFERROR(__xludf.DUMMYFUNCTION("""COMPUTED_VALUE"""),FALSE)</f>
        <v>0</v>
      </c>
      <c r="AL215" s="292" t="b">
        <f>IFERROR(__xludf.DUMMYFUNCTION("""COMPUTED_VALUE"""),FALSE)</f>
        <v>0</v>
      </c>
      <c r="AM215" s="292" t="b">
        <f>IFERROR(__xludf.DUMMYFUNCTION("""COMPUTED_VALUE"""),TRUE)</f>
        <v>1</v>
      </c>
      <c r="AN215" s="292" t="b">
        <f>IFERROR(__xludf.DUMMYFUNCTION("""COMPUTED_VALUE"""),FALSE)</f>
        <v>0</v>
      </c>
      <c r="AO215" s="292" t="str">
        <f>IFERROR(__xludf.DUMMYFUNCTION("""COMPUTED_VALUE"""),"TRUE")</f>
        <v>TRUE</v>
      </c>
      <c r="AP215" s="292" t="str">
        <f>IFERROR(__xludf.DUMMYFUNCTION("""COMPUTED_VALUE"""),"Ground beef")</f>
        <v>Ground beef</v>
      </c>
      <c r="AQ215" s="292" t="str">
        <f>IFERROR(__xludf.DUMMYFUNCTION("""COMPUTED_VALUE"""),"Beef")</f>
        <v>Beef</v>
      </c>
      <c r="AR215" s="292" t="str">
        <f>IFERROR(__xludf.DUMMYFUNCTION("""COMPUTED_VALUE"""),"Ground")</f>
        <v>Ground</v>
      </c>
      <c r="AS215" s="292" t="str">
        <f>IFERROR(__xludf.DUMMYFUNCTION("""COMPUTED_VALUE"""),"Pasta")</f>
        <v>Pasta</v>
      </c>
      <c r="AT215" s="292" t="str">
        <f>IFERROR(__xludf.DUMMYFUNCTION("""COMPUTED_VALUE"""),"Green Beans")</f>
        <v>Green Beans</v>
      </c>
      <c r="AU215" s="292" t="str">
        <f>IFERROR(__xludf.DUMMYFUNCTION("""COMPUTED_VALUE"""),"Pepper Mix")</f>
        <v>Pepper Mix</v>
      </c>
      <c r="AV215" s="292" t="str">
        <f>IFERROR(__xludf.DUMMYFUNCTION("""COMPUTED_VALUE"""),"Tomato Based Sauce")</f>
        <v>Tomato Based Sauce</v>
      </c>
      <c r="AW215" s="292" t="str">
        <f>IFERROR(__xludf.DUMMYFUNCTION("""COMPUTED_VALUE"""),"Year Round")</f>
        <v>Year Round</v>
      </c>
      <c r="AX215" s="292" t="str">
        <f>IFERROR(__xludf.DUMMYFUNCTION("""COMPUTED_VALUE"""),"Italian")</f>
        <v>Italian</v>
      </c>
      <c r="AY215" s="292"/>
      <c r="AZ215" s="292" t="str">
        <f>IFERROR(__xludf.DUMMYFUNCTION("""COMPUTED_VALUE"""),"2 CT")</f>
        <v>2 CT</v>
      </c>
      <c r="BA215" s="292" t="b">
        <f>IFERROR(__xludf.DUMMYFUNCTION("""COMPUTED_VALUE"""),FALSE)</f>
        <v>0</v>
      </c>
      <c r="BB215" s="342">
        <f>IFERROR(__xludf.DUMMYFUNCTION("""COMPUTED_VALUE"""),2.42)</f>
        <v>2.42</v>
      </c>
      <c r="BC215" s="342">
        <f>IFERROR(__xludf.DUMMYFUNCTION("""COMPUTED_VALUE"""),1.35)</f>
        <v>1.35</v>
      </c>
      <c r="BD215" s="342">
        <f>IFERROR(__xludf.DUMMYFUNCTION("""COMPUTED_VALUE"""),0.41)</f>
        <v>0.41</v>
      </c>
      <c r="BE215" s="342">
        <f>IFERROR(__xludf.DUMMYFUNCTION("""COMPUTED_VALUE"""),0.89)</f>
        <v>0.89</v>
      </c>
      <c r="BF215" s="296">
        <f>IFERROR(__xludf.DUMMYFUNCTION("""COMPUTED_VALUE"""),3.473333333333333)</f>
        <v>3.473333333</v>
      </c>
      <c r="BG215" s="296">
        <f>IFERROR(__xludf.DUMMYFUNCTION("""COMPUTED_VALUE"""),3.4333333333333336)</f>
        <v>3.433333333</v>
      </c>
      <c r="BH215" s="296">
        <f>IFERROR(__xludf.DUMMYFUNCTION("""COMPUTED_VALUE"""),3.47)</f>
        <v>3.47</v>
      </c>
      <c r="BI215" s="295">
        <f>IFERROR(__xludf.DUMMYFUNCTION("""COMPUTED_VALUE"""),128.0)</f>
        <v>128</v>
      </c>
      <c r="BJ215" s="292"/>
      <c r="BK215" s="346">
        <f>IFERROR(__xludf.DUMMYFUNCTION("""COMPUTED_VALUE"""),2538.0)</f>
        <v>2538</v>
      </c>
      <c r="BL215" s="292"/>
      <c r="BM215" s="292"/>
      <c r="BN215" s="292"/>
      <c r="BO215" s="292"/>
      <c r="BP215" s="292"/>
      <c r="BQ215" s="292" t="str">
        <f>IFERROR(__xludf.DUMMYFUNCTION("""COMPUTED_VALUE"""),"New")</f>
        <v>New</v>
      </c>
      <c r="BR215" s="292" t="b">
        <f>IFERROR(__xludf.DUMMYFUNCTION("""COMPUTED_VALUE"""),TRUE)</f>
        <v>1</v>
      </c>
      <c r="BS215" s="292" t="b">
        <f>IFERROR(__xludf.DUMMYFUNCTION("""COMPUTED_VALUE"""),FALSE)</f>
        <v>0</v>
      </c>
      <c r="BT215" s="292"/>
      <c r="BU215" s="292"/>
      <c r="BV215" s="292"/>
      <c r="BW215" s="292"/>
    </row>
    <row r="216">
      <c r="A216" s="292" t="str">
        <f>IFERROR(__xludf.DUMMYFUNCTION("""COMPUTED_VALUE"""),"FE4076A")</f>
        <v>FE4076A</v>
      </c>
      <c r="B216" s="292" t="str">
        <f>IFERROR(__xludf.DUMMYFUNCTION("""COMPUTED_VALUE"""),"")</f>
        <v/>
      </c>
      <c r="C216" s="292"/>
      <c r="D216" s="292"/>
      <c r="E216" s="292" t="str">
        <f>IFERROR(__xludf.DUMMYFUNCTION("""COMPUTED_VALUE"""),"Holy Trinity Beef Bowl")</f>
        <v>Holy Trinity Beef Bowl</v>
      </c>
      <c r="F216" s="292" t="str">
        <f>IFERROR(__xludf.DUMMYFUNCTION("""COMPUTED_VALUE"""),"with Scallion Rice &amp; Creole Butter")</f>
        <v>with Scallion Rice &amp; Creole Butter</v>
      </c>
      <c r="G216" s="292"/>
      <c r="H216" s="292"/>
      <c r="I216" s="292" t="str">
        <f>IFERROR(__xludf.DUMMYFUNCTION("""COMPUTED_VALUE"""),"#N/A")</f>
        <v>#N/A</v>
      </c>
      <c r="J216" s="292"/>
      <c r="K216" s="292"/>
      <c r="L216" s="292"/>
      <c r="M216" s="292" t="str">
        <f>IFERROR(__xludf.DUMMYFUNCTION("""COMPUTED_VALUE"""),"#N/A")</f>
        <v>#N/A</v>
      </c>
      <c r="N216" s="292" t="str">
        <f>IFERROR(__xludf.DUMMYFUNCTION("""COMPUTED_VALUE"""),"#N/A")</f>
        <v>#N/A</v>
      </c>
      <c r="O216" s="292" t="str">
        <f>IFERROR(__xludf.DUMMYFUNCTION("""COMPUTED_VALUE"""),"#N/A")</f>
        <v>#N/A</v>
      </c>
      <c r="P216" s="292"/>
      <c r="Q216" s="292"/>
      <c r="R216" s="292"/>
      <c r="S216" s="292"/>
      <c r="T216" s="292"/>
      <c r="U216" s="292"/>
      <c r="V216" s="292"/>
      <c r="W216" s="292" t="b">
        <f>IFERROR(__xludf.DUMMYFUNCTION("""COMPUTED_VALUE"""),TRUE)</f>
        <v>1</v>
      </c>
      <c r="X216" s="292" t="str">
        <f>IFERROR(__xludf.DUMMYFUNCTION("""COMPUTED_VALUE"""),"#N/A")</f>
        <v>#N/A</v>
      </c>
      <c r="Y216" s="344" t="str">
        <f>IFERROR(__xludf.DUMMYFUNCTION("""COMPUTED_VALUE"""),"#N/A")</f>
        <v>#N/A</v>
      </c>
      <c r="Z216" s="343" t="str">
        <f>IFERROR(__xludf.DUMMYFUNCTION("""COMPUTED_VALUE"""),"#N/A")</f>
        <v>#N/A</v>
      </c>
      <c r="AA216" s="292" t="str">
        <f>IFERROR(__xludf.DUMMYFUNCTION("""COMPUTED_VALUE"""),"#N/A")</f>
        <v>#N/A</v>
      </c>
      <c r="AB216" s="292" t="str">
        <f>IFERROR(__xludf.DUMMYFUNCTION("""COMPUTED_VALUE"""),"#N/A")</f>
        <v>#N/A</v>
      </c>
      <c r="AC216" s="292" t="str">
        <f>IFERROR(__xludf.DUMMYFUNCTION("""COMPUTED_VALUE"""),"#N/A")</f>
        <v>#N/A</v>
      </c>
      <c r="AD216" s="292" t="str">
        <f>IFERROR(__xludf.DUMMYFUNCTION("""COMPUTED_VALUE"""),"#N/A")</f>
        <v>#N/A</v>
      </c>
      <c r="AE216" s="343" t="str">
        <f>IFERROR(__xludf.DUMMYFUNCTION("""COMPUTED_VALUE"""),"#N/A")</f>
        <v>#N/A</v>
      </c>
      <c r="AF216" s="292" t="str">
        <f>IFERROR(__xludf.DUMMYFUNCTION("""COMPUTED_VALUE"""),"#N/A")</f>
        <v>#N/A</v>
      </c>
      <c r="AG216" s="292"/>
      <c r="AH216" s="292" t="str">
        <f>IFERROR(__xludf.DUMMYFUNCTION("""COMPUTED_VALUE"""),"#N/A")</f>
        <v>#N/A</v>
      </c>
      <c r="AI216" s="292" t="str">
        <f>IFERROR(__xludf.DUMMYFUNCTION("""COMPUTED_VALUE"""),"#N/A")</f>
        <v>#N/A</v>
      </c>
      <c r="AJ216" s="292" t="str">
        <f>IFERROR(__xludf.DUMMYFUNCTION("""COMPUTED_VALUE"""),"#N/A")</f>
        <v>#N/A</v>
      </c>
      <c r="AK216" s="292" t="str">
        <f>IFERROR(__xludf.DUMMYFUNCTION("""COMPUTED_VALUE"""),"#N/A")</f>
        <v>#N/A</v>
      </c>
      <c r="AL216" s="292" t="str">
        <f>IFERROR(__xludf.DUMMYFUNCTION("""COMPUTED_VALUE"""),"#N/A")</f>
        <v>#N/A</v>
      </c>
      <c r="AM216" s="292" t="str">
        <f>IFERROR(__xludf.DUMMYFUNCTION("""COMPUTED_VALUE"""),"#N/A")</f>
        <v>#N/A</v>
      </c>
      <c r="AN216" s="292" t="str">
        <f>IFERROR(__xludf.DUMMYFUNCTION("""COMPUTED_VALUE"""),"#N/A")</f>
        <v>#N/A</v>
      </c>
      <c r="AO216" s="292" t="str">
        <f>IFERROR(__xludf.DUMMYFUNCTION("""COMPUTED_VALUE"""),"#N/A")</f>
        <v>#N/A</v>
      </c>
      <c r="AP216" s="292"/>
      <c r="AQ216" s="292"/>
      <c r="AR216" s="292"/>
      <c r="AS216" s="292"/>
      <c r="AT216" s="292"/>
      <c r="AU216" s="292"/>
      <c r="AV216" s="292"/>
      <c r="AW216" s="292"/>
      <c r="AX216" s="292"/>
      <c r="AY216" s="292"/>
      <c r="AZ216" s="292"/>
      <c r="BA216" s="292"/>
      <c r="BB216" s="292"/>
      <c r="BC216" s="292"/>
      <c r="BD216" s="292"/>
      <c r="BE216" s="292"/>
      <c r="BF216" s="296" t="str">
        <f>IFERROR(__xludf.DUMMYFUNCTION("""COMPUTED_VALUE"""),"#REF!")</f>
        <v>#REF!</v>
      </c>
      <c r="BG216" s="296" t="str">
        <f>IFERROR(__xludf.DUMMYFUNCTION("""COMPUTED_VALUE"""),"#REF!")</f>
        <v>#REF!</v>
      </c>
      <c r="BH216" s="296" t="str">
        <f>IFERROR(__xludf.DUMMYFUNCTION("""COMPUTED_VALUE"""),"#REF!")</f>
        <v>#REF!</v>
      </c>
      <c r="BI216" s="295" t="str">
        <f>IFERROR(__xludf.DUMMYFUNCTION("""COMPUTED_VALUE"""),"#N/A")</f>
        <v>#N/A</v>
      </c>
      <c r="BJ216" s="292"/>
      <c r="BK216" s="346" t="str">
        <f>IFERROR(__xludf.DUMMYFUNCTION("""COMPUTED_VALUE"""),"#N/A")</f>
        <v>#N/A</v>
      </c>
      <c r="BL216" s="292"/>
      <c r="BM216" s="292"/>
      <c r="BN216" s="292"/>
      <c r="BO216" s="292"/>
      <c r="BP216" s="292"/>
      <c r="BQ216" s="292"/>
      <c r="BR216" s="292" t="str">
        <f>IFERROR(__xludf.DUMMYFUNCTION("""COMPUTED_VALUE"""),"#N/A")</f>
        <v>#N/A</v>
      </c>
      <c r="BS216" s="292" t="str">
        <f>IFERROR(__xludf.DUMMYFUNCTION("""COMPUTED_VALUE"""),"#N/A")</f>
        <v>#N/A</v>
      </c>
      <c r="BT216" s="292"/>
      <c r="BU216" s="292"/>
      <c r="BV216" s="292"/>
      <c r="BW216" s="292"/>
    </row>
    <row r="217">
      <c r="A217" s="292" t="str">
        <f>IFERROR(__xludf.DUMMYFUNCTION("""COMPUTED_VALUE"""),"FE4039C")</f>
        <v>FE4039C</v>
      </c>
      <c r="B217" s="292" t="str">
        <f>IFERROR(__xludf.DUMMYFUNCTION("""COMPUTED_VALUE"""),"CON-40-143752-4")</f>
        <v>CON-40-143752-4</v>
      </c>
      <c r="C217" s="292" t="str">
        <f>IFERROR(__xludf.DUMMYFUNCTION("""COMPUTED_VALUE"""),"CON-00-147893-2")</f>
        <v>CON-00-147893-2</v>
      </c>
      <c r="D217" s="292" t="str">
        <f>IFERROR(__xludf.DUMMYFUNCTION("""COMPUTED_VALUE"""),"CON-00-137744-2")</f>
        <v>CON-00-137744-2</v>
      </c>
      <c r="E217" s="292" t="str">
        <f>IFERROR(__xludf.DUMMYFUNCTION("""COMPUTED_VALUE"""),"Salmon in creamy gochugaru sauce")</f>
        <v>Salmon in creamy gochugaru sauce</v>
      </c>
      <c r="F217" s="292" t="str">
        <f>IFERROR(__xludf.DUMMYFUNCTION("""COMPUTED_VALUE"""),"with sesame-courgetti ")</f>
        <v>with sesame-courgetti </v>
      </c>
      <c r="G217" s="292" t="str">
        <f>IFERROR(__xludf.DUMMYFUNCTION("""COMPUTED_VALUE"""),"Zalm in romige gochugaru saus")</f>
        <v>Zalm in romige gochugaru saus</v>
      </c>
      <c r="H217" s="292" t="str">
        <f>IFERROR(__xludf.DUMMYFUNCTION("""COMPUTED_VALUE"""),"met sesam-courgetti")</f>
        <v>met sesam-courgetti</v>
      </c>
      <c r="I217" s="292" t="str">
        <f>IFERROR(__xludf.DUMMYFUNCTION("""COMPUTED_VALUE"""),"Laks i cremet gochugaru sauce")</f>
        <v>Laks i cremet gochugaru sauce</v>
      </c>
      <c r="J217" s="292" t="str">
        <f>IFERROR(__xludf.DUMMYFUNCTION("""COMPUTED_VALUE"""),"Lachs in cremiger Gochugaru-Sauce")</f>
        <v>Lachs in cremiger Gochugaru-Sauce</v>
      </c>
      <c r="K217" s="292">
        <f>IFERROR(__xludf.DUMMYFUNCTION("""COMPUTED_VALUE"""),565102.0)</f>
        <v>565102</v>
      </c>
      <c r="L217" s="292" t="str">
        <f>IFERROR(__xludf.DUMMYFUNCTION("""COMPUTED_VALUE"""),"HF Zalm romige gochugaru sa")</f>
        <v>HF Zalm romige gochugaru sa</v>
      </c>
      <c r="M217" s="292" t="str">
        <f>IFERROR(__xludf.DUMMYFUNCTION("""COMPUTED_VALUE"""),"FA-NL Zalm in romige gochugaru saus (FE4039)")</f>
        <v>FA-NL Zalm in romige gochugaru saus (FE4039)</v>
      </c>
      <c r="N217" s="292" t="str">
        <f>IFERROR(__xludf.DUMMYFUNCTION("""COMPUTED_VALUE"""),"FA-NO Laks i cremet gochugaru sauce (FE4039)")</f>
        <v>FA-NO Laks i cremet gochugaru sauce (FE4039)</v>
      </c>
      <c r="O217" s="292" t="str">
        <f>IFERROR(__xludf.DUMMYFUNCTION("""COMPUTED_VALUE"""),"FA-DE Lachs in cremiger Gochugaru-Sauce (FE4039)")</f>
        <v>FA-DE Lachs in cremiger Gochugaru-Sauce (FE4039)</v>
      </c>
      <c r="P217" s="292" t="str">
        <f>IFERROR(__xludf.DUMMYFUNCTION("""COMPUTED_VALUE"""),"Active")</f>
        <v>Active</v>
      </c>
      <c r="Q217" s="292" t="str">
        <f>IFERROR(__xludf.DUMMYFUNCTION("""COMPUTED_VALUE"""),"Shifted to Maitre production")</f>
        <v>Shifted to Maitre production</v>
      </c>
      <c r="R217" s="342">
        <f>IFERROR(__xludf.DUMMYFUNCTION("""COMPUTED_VALUE"""),7.17)</f>
        <v>7.17</v>
      </c>
      <c r="S217" s="292"/>
      <c r="T217" s="292"/>
      <c r="U217" s="292"/>
      <c r="V217" s="292"/>
      <c r="W217" s="292" t="b">
        <f>IFERROR(__xludf.DUMMYFUNCTION("""COMPUTED_VALUE"""),TRUE)</f>
        <v>1</v>
      </c>
      <c r="X217" s="345">
        <f>IFERROR(__xludf.DUMMYFUNCTION("""COMPUTED_VALUE"""),419.0)</f>
        <v>419</v>
      </c>
      <c r="Y217" s="344">
        <f>IFERROR(__xludf.DUMMYFUNCTION("""COMPUTED_VALUE"""),796.0)</f>
        <v>796</v>
      </c>
      <c r="Z217" s="343">
        <f>IFERROR(__xludf.DUMMYFUNCTION("""COMPUTED_VALUE"""),64.2)</f>
        <v>64.2</v>
      </c>
      <c r="AA217" s="344">
        <f>IFERROR(__xludf.DUMMYFUNCTION("""COMPUTED_VALUE"""),22.8)</f>
        <v>22.8</v>
      </c>
      <c r="AB217" s="344">
        <f>IFERROR(__xludf.DUMMYFUNCTION("""COMPUTED_VALUE"""),12.5)</f>
        <v>12.5</v>
      </c>
      <c r="AC217" s="344">
        <f>IFERROR(__xludf.DUMMYFUNCTION("""COMPUTED_VALUE"""),10.6)</f>
        <v>10.6</v>
      </c>
      <c r="AD217" s="344">
        <f>IFERROR(__xludf.DUMMYFUNCTION("""COMPUTED_VALUE"""),3.8)</f>
        <v>3.8</v>
      </c>
      <c r="AE217" s="343">
        <f>IFERROR(__xludf.DUMMYFUNCTION("""COMPUTED_VALUE"""),37.6)</f>
        <v>37.6</v>
      </c>
      <c r="AF217" s="343">
        <f>IFERROR(__xludf.DUMMYFUNCTION("""COMPUTED_VALUE"""),1.97)</f>
        <v>1.97</v>
      </c>
      <c r="AG217" s="292" t="b">
        <f>IFERROR(__xludf.DUMMYFUNCTION("""COMPUTED_VALUE"""),TRUE)</f>
        <v>1</v>
      </c>
      <c r="AH217" s="292" t="b">
        <f>IFERROR(__xludf.DUMMYFUNCTION("""COMPUTED_VALUE"""),TRUE)</f>
        <v>1</v>
      </c>
      <c r="AI217" s="292" t="b">
        <f>IFERROR(__xludf.DUMMYFUNCTION("""COMPUTED_VALUE"""),FALSE)</f>
        <v>0</v>
      </c>
      <c r="AJ217" s="292" t="b">
        <f>IFERROR(__xludf.DUMMYFUNCTION("""COMPUTED_VALUE"""),FALSE)</f>
        <v>0</v>
      </c>
      <c r="AK217" s="292" t="b">
        <f>IFERROR(__xludf.DUMMYFUNCTION("""COMPUTED_VALUE"""),FALSE)</f>
        <v>0</v>
      </c>
      <c r="AL217" s="292" t="b">
        <f>IFERROR(__xludf.DUMMYFUNCTION("""COMPUTED_VALUE"""),FALSE)</f>
        <v>0</v>
      </c>
      <c r="AM217" s="292" t="b">
        <f>IFERROR(__xludf.DUMMYFUNCTION("""COMPUTED_VALUE"""),FALSE)</f>
        <v>0</v>
      </c>
      <c r="AN217" s="292" t="b">
        <f>IFERROR(__xludf.DUMMYFUNCTION("""COMPUTED_VALUE"""),FALSE)</f>
        <v>0</v>
      </c>
      <c r="AO217" s="292" t="str">
        <f>IFERROR(__xludf.DUMMYFUNCTION("""COMPUTED_VALUE"""),"FALSE")</f>
        <v>FALSE</v>
      </c>
      <c r="AP217" s="292" t="str">
        <f>IFERROR(__xludf.DUMMYFUNCTION("""COMPUTED_VALUE"""),"Salmon")</f>
        <v>Salmon</v>
      </c>
      <c r="AQ217" s="292" t="str">
        <f>IFERROR(__xludf.DUMMYFUNCTION("""COMPUTED_VALUE"""),"Salmon")</f>
        <v>Salmon</v>
      </c>
      <c r="AR217" s="292" t="str">
        <f>IFERROR(__xludf.DUMMYFUNCTION("""COMPUTED_VALUE"""),"Filet")</f>
        <v>Filet</v>
      </c>
      <c r="AS217" s="292" t="str">
        <f>IFERROR(__xludf.DUMMYFUNCTION("""COMPUTED_VALUE"""),"Zucchini Noodles")</f>
        <v>Zucchini Noodles</v>
      </c>
      <c r="AT217" s="292" t="str">
        <f>IFERROR(__xludf.DUMMYFUNCTION("""COMPUTED_VALUE"""),"Cherry Tomatoes")</f>
        <v>Cherry Tomatoes</v>
      </c>
      <c r="AU217" s="292" t="str">
        <f>IFERROR(__xludf.DUMMYFUNCTION("""COMPUTED_VALUE"""),"Green onion")</f>
        <v>Green onion</v>
      </c>
      <c r="AV217" s="292" t="str">
        <f>IFERROR(__xludf.DUMMYFUNCTION("""COMPUTED_VALUE"""),"Creamy Sauce Base")</f>
        <v>Creamy Sauce Base</v>
      </c>
      <c r="AW217" s="292" t="str">
        <f>IFERROR(__xludf.DUMMYFUNCTION("""COMPUTED_VALUE"""),"Year Round")</f>
        <v>Year Round</v>
      </c>
      <c r="AX217" s="292" t="str">
        <f>IFERROR(__xludf.DUMMYFUNCTION("""COMPUTED_VALUE"""),"Korean")</f>
        <v>Korean</v>
      </c>
      <c r="AY217" s="292"/>
      <c r="AZ217" s="292" t="str">
        <f>IFERROR(__xludf.DUMMYFUNCTION("""COMPUTED_VALUE"""),"2 CT")</f>
        <v>2 CT</v>
      </c>
      <c r="BA217" s="292" t="b">
        <f>IFERROR(__xludf.DUMMYFUNCTION("""COMPUTED_VALUE"""),FALSE)</f>
        <v>0</v>
      </c>
      <c r="BB217" s="292"/>
      <c r="BC217" s="292"/>
      <c r="BD217" s="292"/>
      <c r="BE217" s="342">
        <f>IFERROR(__xludf.DUMMYFUNCTION("""COMPUTED_VALUE"""),0.89)</f>
        <v>0.89</v>
      </c>
      <c r="BF217" s="296">
        <f>IFERROR(__xludf.DUMMYFUNCTION("""COMPUTED_VALUE"""),3.516666666666667)</f>
        <v>3.516666667</v>
      </c>
      <c r="BG217" s="296">
        <f>IFERROR(__xludf.DUMMYFUNCTION("""COMPUTED_VALUE"""),3.486666666666667)</f>
        <v>3.486666667</v>
      </c>
      <c r="BH217" s="296">
        <f>IFERROR(__xludf.DUMMYFUNCTION("""COMPUTED_VALUE"""),3.5333333333333337)</f>
        <v>3.533333333</v>
      </c>
      <c r="BI217" s="295">
        <f>IFERROR(__xludf.DUMMYFUNCTION("""COMPUTED_VALUE"""),178.0)</f>
        <v>178</v>
      </c>
      <c r="BJ217" s="292"/>
      <c r="BK217" s="346">
        <f>IFERROR(__xludf.DUMMYFUNCTION("""COMPUTED_VALUE"""),3310.0)</f>
        <v>3310</v>
      </c>
      <c r="BL217" s="292"/>
      <c r="BM217" s="292"/>
      <c r="BN217" s="292"/>
      <c r="BO217" s="292"/>
      <c r="BP217" s="292"/>
      <c r="BQ217" s="292" t="str">
        <f>IFERROR(__xludf.DUMMYFUNCTION("""COMPUTED_VALUE"""),"Proven")</f>
        <v>Proven</v>
      </c>
      <c r="BR217" s="292" t="b">
        <f>IFERROR(__xludf.DUMMYFUNCTION("""COMPUTED_VALUE"""),FALSE)</f>
        <v>0</v>
      </c>
      <c r="BS217" s="292" t="b">
        <f>IFERROR(__xludf.DUMMYFUNCTION("""COMPUTED_VALUE"""),FALSE)</f>
        <v>0</v>
      </c>
      <c r="BT217" s="292"/>
      <c r="BU217" s="292"/>
      <c r="BV217" s="292"/>
      <c r="BW217" s="292"/>
    </row>
    <row r="218">
      <c r="A218" s="292" t="str">
        <f>IFERROR(__xludf.DUMMYFUNCTION("""COMPUTED_VALUE"""),"FE4078A")</f>
        <v>FE4078A</v>
      </c>
      <c r="B218" s="292" t="str">
        <f>IFERROR(__xludf.DUMMYFUNCTION("""COMPUTED_VALUE"""),"CON-40-155466-4")</f>
        <v>CON-40-155466-4</v>
      </c>
      <c r="C218" s="292" t="str">
        <f>IFERROR(__xludf.DUMMYFUNCTION("""COMPUTED_VALUE"""),"CON-00-155386-2")</f>
        <v>CON-00-155386-2</v>
      </c>
      <c r="D218" s="292" t="str">
        <f>IFERROR(__xludf.DUMMYFUNCTION("""COMPUTED_VALUE"""),"CON-00-155385-2")</f>
        <v>CON-00-155385-2</v>
      </c>
      <c r="E218" s="292" t="str">
        <f>IFERROR(__xludf.DUMMYFUNCTION("""COMPUTED_VALUE"""),"Moussaka-Style Ground Beef, Eggplant &amp; Bechamel")</f>
        <v>Moussaka-Style Ground Beef, Eggplant &amp; Bechamel</v>
      </c>
      <c r="F218" s="292" t="str">
        <f>IFERROR(__xludf.DUMMYFUNCTION("""COMPUTED_VALUE"""),"with Roasted Greek Vegetables &amp; Chickpeas")</f>
        <v>with Roasted Greek Vegetables &amp; Chickpeas</v>
      </c>
      <c r="G218" s="292" t="str">
        <f>IFERROR(__xludf.DUMMYFUNCTION("""COMPUTED_VALUE"""),"Moussaka-stijl gehakt met aubergine &amp; bechamelsaus")</f>
        <v>Moussaka-stijl gehakt met aubergine &amp; bechamelsaus</v>
      </c>
      <c r="H218" s="292" t="str">
        <f>IFERROR(__xludf.DUMMYFUNCTION("""COMPUTED_VALUE"""),"met geroosterde Griekse groenten &amp; kikkererwten")</f>
        <v>met geroosterde Griekse groenten &amp; kikkererwten</v>
      </c>
      <c r="I218" s="292" t="str">
        <f>IFERROR(__xludf.DUMMYFUNCTION("""COMPUTED_VALUE"""),"Moussaka-style oksekød med aubergine &amp; béchamel")</f>
        <v>Moussaka-style oksekød med aubergine &amp; béchamel</v>
      </c>
      <c r="J218" s="292" t="str">
        <f>IFERROR(__xludf.DUMMYFUNCTION("""COMPUTED_VALUE"""),"Moussaka-Style Rinderhack mit Aubergine &amp; Béchamel sauce")</f>
        <v>Moussaka-Style Rinderhack mit Aubergine &amp; Béchamel sauce</v>
      </c>
      <c r="K218" s="292">
        <f>IFERROR(__xludf.DUMMYFUNCTION("""COMPUTED_VALUE"""),565247.0)</f>
        <v>565247</v>
      </c>
      <c r="L218" s="292" t="str">
        <f>IFERROR(__xludf.DUMMYFUNCTION("""COMPUTED_VALUE"""),"HF Moussaka gehakt schotel")</f>
        <v>HF Moussaka gehakt schotel</v>
      </c>
      <c r="M218" s="292" t="str">
        <f>IFERROR(__xludf.DUMMYFUNCTION("""COMPUTED_VALUE"""),"FA-NL Moussaka-stijl gehakt met aubergine &amp; bechamelsaus (FE4078)")</f>
        <v>FA-NL Moussaka-stijl gehakt met aubergine &amp; bechamelsaus (FE4078)</v>
      </c>
      <c r="N218" s="292" t="str">
        <f>IFERROR(__xludf.DUMMYFUNCTION("""COMPUTED_VALUE"""),"FA-NO Moussaka-inspireret oksekød med aubergine og béchamelsauce (FE4078)")</f>
        <v>FA-NO Moussaka-inspireret oksekød med aubergine og béchamelsauce (FE4078)</v>
      </c>
      <c r="O218" s="292" t="str">
        <f>IFERROR(__xludf.DUMMYFUNCTION("""COMPUTED_VALUE"""),"FA-DE Moussaka-Style Rinderhack mit Aubergine &amp; Béchamel sauce (FE4078)")</f>
        <v>FA-DE Moussaka-Style Rinderhack mit Aubergine &amp; Béchamel sauce (FE4078)</v>
      </c>
      <c r="P218" s="292" t="str">
        <f>IFERROR(__xludf.DUMMYFUNCTION("""COMPUTED_VALUE"""),"Active")</f>
        <v>Active</v>
      </c>
      <c r="Q218" s="292"/>
      <c r="R218" s="342">
        <f>IFERROR(__xludf.DUMMYFUNCTION("""COMPUTED_VALUE"""),4.06)</f>
        <v>4.06</v>
      </c>
      <c r="S218" s="292"/>
      <c r="T218" s="292"/>
      <c r="U218" s="292"/>
      <c r="V218" s="292"/>
      <c r="W218" s="292" t="b">
        <f>IFERROR(__xludf.DUMMYFUNCTION("""COMPUTED_VALUE"""),TRUE)</f>
        <v>1</v>
      </c>
      <c r="X218" s="345">
        <f>IFERROR(__xludf.DUMMYFUNCTION("""COMPUTED_VALUE"""),414.0)</f>
        <v>414</v>
      </c>
      <c r="Y218" s="344">
        <f>IFERROR(__xludf.DUMMYFUNCTION("""COMPUTED_VALUE"""),565.0)</f>
        <v>565</v>
      </c>
      <c r="Z218" s="343">
        <f>IFERROR(__xludf.DUMMYFUNCTION("""COMPUTED_VALUE"""),29.5)</f>
        <v>29.5</v>
      </c>
      <c r="AA218" s="344">
        <f>IFERROR(__xludf.DUMMYFUNCTION("""COMPUTED_VALUE"""),12.9)</f>
        <v>12.9</v>
      </c>
      <c r="AB218" s="344">
        <f>IFERROR(__xludf.DUMMYFUNCTION("""COMPUTED_VALUE"""),38.8)</f>
        <v>38.8</v>
      </c>
      <c r="AC218" s="344">
        <f>IFERROR(__xludf.DUMMYFUNCTION("""COMPUTED_VALUE"""),17.7)</f>
        <v>17.7</v>
      </c>
      <c r="AD218" s="344">
        <f>IFERROR(__xludf.DUMMYFUNCTION("""COMPUTED_VALUE"""),9.1)</f>
        <v>9.1</v>
      </c>
      <c r="AE218" s="343">
        <f>IFERROR(__xludf.DUMMYFUNCTION("""COMPUTED_VALUE"""),30.3)</f>
        <v>30.3</v>
      </c>
      <c r="AF218" s="343">
        <f>IFERROR(__xludf.DUMMYFUNCTION("""COMPUTED_VALUE"""),2.25)</f>
        <v>2.25</v>
      </c>
      <c r="AG218" s="292" t="b">
        <f>IFERROR(__xludf.DUMMYFUNCTION("""COMPUTED_VALUE"""),FALSE)</f>
        <v>0</v>
      </c>
      <c r="AH218" s="292" t="b">
        <f>IFERROR(__xludf.DUMMYFUNCTION("""COMPUTED_VALUE"""),FALSE)</f>
        <v>0</v>
      </c>
      <c r="AI218" s="292" t="b">
        <f>IFERROR(__xludf.DUMMYFUNCTION("""COMPUTED_VALUE"""),FALSE)</f>
        <v>0</v>
      </c>
      <c r="AJ218" s="292" t="b">
        <f>IFERROR(__xludf.DUMMYFUNCTION("""COMPUTED_VALUE"""),FALSE)</f>
        <v>0</v>
      </c>
      <c r="AK218" s="292" t="b">
        <f>IFERROR(__xludf.DUMMYFUNCTION("""COMPUTED_VALUE"""),FALSE)</f>
        <v>0</v>
      </c>
      <c r="AL218" s="292" t="b">
        <f>IFERROR(__xludf.DUMMYFUNCTION("""COMPUTED_VALUE"""),FALSE)</f>
        <v>0</v>
      </c>
      <c r="AM218" s="292" t="b">
        <f>IFERROR(__xludf.DUMMYFUNCTION("""COMPUTED_VALUE"""),TRUE)</f>
        <v>1</v>
      </c>
      <c r="AN218" s="292" t="b">
        <f>IFERROR(__xludf.DUMMYFUNCTION("""COMPUTED_VALUE"""),FALSE)</f>
        <v>0</v>
      </c>
      <c r="AO218" s="292" t="str">
        <f>IFERROR(__xludf.DUMMYFUNCTION("""COMPUTED_VALUE"""),"TRUE")</f>
        <v>TRUE</v>
      </c>
      <c r="AP218" s="292" t="str">
        <f>IFERROR(__xludf.DUMMYFUNCTION("""COMPUTED_VALUE"""),"Ground beef")</f>
        <v>Ground beef</v>
      </c>
      <c r="AQ218" s="292" t="str">
        <f>IFERROR(__xludf.DUMMYFUNCTION("""COMPUTED_VALUE"""),"Beef")</f>
        <v>Beef</v>
      </c>
      <c r="AR218" s="292" t="str">
        <f>IFERROR(__xludf.DUMMYFUNCTION("""COMPUTED_VALUE"""),"Ground")</f>
        <v>Ground</v>
      </c>
      <c r="AS218" s="292" t="str">
        <f>IFERROR(__xludf.DUMMYFUNCTION("""COMPUTED_VALUE"""),"Aubergine")</f>
        <v>Aubergine</v>
      </c>
      <c r="AT218" s="292" t="str">
        <f>IFERROR(__xludf.DUMMYFUNCTION("""COMPUTED_VALUE"""),"Potato Non-Mash")</f>
        <v>Potato Non-Mash</v>
      </c>
      <c r="AU218" s="292" t="str">
        <f>IFERROR(__xludf.DUMMYFUNCTION("""COMPUTED_VALUE"""),"Chickpeas")</f>
        <v>Chickpeas</v>
      </c>
      <c r="AV218" s="292" t="str">
        <f>IFERROR(__xludf.DUMMYFUNCTION("""COMPUTED_VALUE"""),"Creamy Sauce Base")</f>
        <v>Creamy Sauce Base</v>
      </c>
      <c r="AW218" s="292" t="str">
        <f>IFERROR(__xludf.DUMMYFUNCTION("""COMPUTED_VALUE"""),"Year Round")</f>
        <v>Year Round</v>
      </c>
      <c r="AX218" s="292" t="str">
        <f>IFERROR(__xludf.DUMMYFUNCTION("""COMPUTED_VALUE"""),"Greek")</f>
        <v>Greek</v>
      </c>
      <c r="AY218" s="292"/>
      <c r="AZ218" s="292" t="str">
        <f>IFERROR(__xludf.DUMMYFUNCTION("""COMPUTED_VALUE"""),"2 CT")</f>
        <v>2 CT</v>
      </c>
      <c r="BA218" s="292" t="b">
        <f>IFERROR(__xludf.DUMMYFUNCTION("""COMPUTED_VALUE"""),FALSE)</f>
        <v>0</v>
      </c>
      <c r="BB218" s="342">
        <f>IFERROR(__xludf.DUMMYFUNCTION("""COMPUTED_VALUE"""),2.36)</f>
        <v>2.36</v>
      </c>
      <c r="BC218" s="342">
        <f>IFERROR(__xludf.DUMMYFUNCTION("""COMPUTED_VALUE"""),1.28)</f>
        <v>1.28</v>
      </c>
      <c r="BD218" s="342">
        <f>IFERROR(__xludf.DUMMYFUNCTION("""COMPUTED_VALUE"""),0.42)</f>
        <v>0.42</v>
      </c>
      <c r="BE218" s="342">
        <f>IFERROR(__xludf.DUMMYFUNCTION("""COMPUTED_VALUE"""),0.89)</f>
        <v>0.89</v>
      </c>
      <c r="BF218" s="296">
        <f>IFERROR(__xludf.DUMMYFUNCTION("""COMPUTED_VALUE"""),3.25)</f>
        <v>3.25</v>
      </c>
      <c r="BG218" s="296">
        <f>IFERROR(__xludf.DUMMYFUNCTION("""COMPUTED_VALUE"""),3.24)</f>
        <v>3.24</v>
      </c>
      <c r="BH218" s="296">
        <f>IFERROR(__xludf.DUMMYFUNCTION("""COMPUTED_VALUE"""),3.19)</f>
        <v>3.19</v>
      </c>
      <c r="BI218" s="295">
        <f>IFERROR(__xludf.DUMMYFUNCTION("""COMPUTED_VALUE"""),139.0)</f>
        <v>139</v>
      </c>
      <c r="BJ218" s="292"/>
      <c r="BK218" s="346">
        <f>IFERROR(__xludf.DUMMYFUNCTION("""COMPUTED_VALUE"""),2366.0)</f>
        <v>2366</v>
      </c>
      <c r="BL218" s="292"/>
      <c r="BM218" s="292"/>
      <c r="BN218" s="292"/>
      <c r="BO218" s="292"/>
      <c r="BP218" s="292"/>
      <c r="BQ218" s="292" t="str">
        <f>IFERROR(__xludf.DUMMYFUNCTION("""COMPUTED_VALUE"""),"New")</f>
        <v>New</v>
      </c>
      <c r="BR218" s="292" t="b">
        <f>IFERROR(__xludf.DUMMYFUNCTION("""COMPUTED_VALUE"""),FALSE)</f>
        <v>0</v>
      </c>
      <c r="BS218" s="292" t="b">
        <f>IFERROR(__xludf.DUMMYFUNCTION("""COMPUTED_VALUE"""),FALSE)</f>
        <v>0</v>
      </c>
      <c r="BT218" s="292"/>
      <c r="BU218" s="292"/>
      <c r="BV218" s="292"/>
      <c r="BW218" s="292"/>
    </row>
    <row r="219">
      <c r="A219" s="292" t="str">
        <f>IFERROR(__xludf.DUMMYFUNCTION("""COMPUTED_VALUE"""),"FE4044C")</f>
        <v>FE4044C</v>
      </c>
      <c r="B219" s="292" t="str">
        <f>IFERROR(__xludf.DUMMYFUNCTION("""COMPUTED_VALUE"""),"CON-40-143756-4")</f>
        <v>CON-40-143756-4</v>
      </c>
      <c r="C219" s="292" t="str">
        <f>IFERROR(__xludf.DUMMYFUNCTION("""COMPUTED_VALUE"""),"CON-00-147898-2")</f>
        <v>CON-00-147898-2</v>
      </c>
      <c r="D219" s="292" t="str">
        <f>IFERROR(__xludf.DUMMYFUNCTION("""COMPUTED_VALUE"""),"CON-00-136719-3")</f>
        <v>CON-00-136719-3</v>
      </c>
      <c r="E219" s="292" t="str">
        <f>IFERROR(__xludf.DUMMYFUNCTION("""COMPUTED_VALUE"""),"Salmon on tomato risotto")</f>
        <v>Salmon on tomato risotto</v>
      </c>
      <c r="F219" s="292" t="str">
        <f>IFERROR(__xludf.DUMMYFUNCTION("""COMPUTED_VALUE"""),"with green beans, pesto and ricotta ")</f>
        <v>with green beans, pesto and ricotta </v>
      </c>
      <c r="G219" s="292" t="str">
        <f>IFERROR(__xludf.DUMMYFUNCTION("""COMPUTED_VALUE"""),"Zalm op tomatenrisotto ")</f>
        <v>Zalm op tomatenrisotto </v>
      </c>
      <c r="H219" s="292" t="str">
        <f>IFERROR(__xludf.DUMMYFUNCTION("""COMPUTED_VALUE"""),"met sperziebonen, pesto en ricotta ")</f>
        <v>met sperziebonen, pesto en ricotta </v>
      </c>
      <c r="I219" s="292" t="str">
        <f>IFERROR(__xludf.DUMMYFUNCTION("""COMPUTED_VALUE"""),"Laks på tomatrisotto")</f>
        <v>Laks på tomatrisotto</v>
      </c>
      <c r="J219" s="292" t="str">
        <f>IFERROR(__xludf.DUMMYFUNCTION("""COMPUTED_VALUE"""),"Lachs auf Tomatenrisotto")</f>
        <v>Lachs auf Tomatenrisotto</v>
      </c>
      <c r="K219" s="292">
        <f>IFERROR(__xludf.DUMMYFUNCTION("""COMPUTED_VALUE"""),565104.0)</f>
        <v>565104</v>
      </c>
      <c r="L219" s="292" t="str">
        <f>IFERROR(__xludf.DUMMYFUNCTION("""COMPUTED_VALUE"""),"HF Zalm op tomatenrisotto")</f>
        <v>HF Zalm op tomatenrisotto</v>
      </c>
      <c r="M219" s="292" t="str">
        <f>IFERROR(__xludf.DUMMYFUNCTION("""COMPUTED_VALUE"""),"FA-NL Zalm op tomatenrisotto (FE4044)")</f>
        <v>FA-NL Zalm op tomatenrisotto (FE4044)</v>
      </c>
      <c r="N219" s="292" t="str">
        <f>IFERROR(__xludf.DUMMYFUNCTION("""COMPUTED_VALUE"""),"FA-NO Laks på tomatrisotto (FE4044)")</f>
        <v>FA-NO Laks på tomatrisotto (FE4044)</v>
      </c>
      <c r="O219" s="292" t="str">
        <f>IFERROR(__xludf.DUMMYFUNCTION("""COMPUTED_VALUE"""),"FA-DE Lachs auf Tomatenrisotto (FE4044)")</f>
        <v>FA-DE Lachs auf Tomatenrisotto (FE4044)</v>
      </c>
      <c r="P219" s="292" t="str">
        <f>IFERROR(__xludf.DUMMYFUNCTION("""COMPUTED_VALUE"""),"Active")</f>
        <v>Active</v>
      </c>
      <c r="Q219" s="292" t="str">
        <f>IFERROR(__xludf.DUMMYFUNCTION("""COMPUTED_VALUE"""),"Shifted to Maitre production")</f>
        <v>Shifted to Maitre production</v>
      </c>
      <c r="R219" s="342">
        <f>IFERROR(__xludf.DUMMYFUNCTION("""COMPUTED_VALUE"""),6.38)</f>
        <v>6.38</v>
      </c>
      <c r="S219" s="292"/>
      <c r="T219" s="292"/>
      <c r="U219" s="292"/>
      <c r="V219" s="292"/>
      <c r="W219" s="292" t="b">
        <f>IFERROR(__xludf.DUMMYFUNCTION("""COMPUTED_VALUE"""),TRUE)</f>
        <v>1</v>
      </c>
      <c r="X219" s="345">
        <f>IFERROR(__xludf.DUMMYFUNCTION("""COMPUTED_VALUE"""),409.0)</f>
        <v>409</v>
      </c>
      <c r="Y219" s="344">
        <f>IFERROR(__xludf.DUMMYFUNCTION("""COMPUTED_VALUE"""),695.0)</f>
        <v>695</v>
      </c>
      <c r="Z219" s="343">
        <f>IFERROR(__xludf.DUMMYFUNCTION("""COMPUTED_VALUE"""),46.3)</f>
        <v>46.3</v>
      </c>
      <c r="AA219" s="344">
        <f>IFERROR(__xludf.DUMMYFUNCTION("""COMPUTED_VALUE"""),9.2)</f>
        <v>9.2</v>
      </c>
      <c r="AB219" s="344">
        <f>IFERROR(__xludf.DUMMYFUNCTION("""COMPUTED_VALUE"""),28.0)</f>
        <v>28</v>
      </c>
      <c r="AC219" s="344">
        <f>IFERROR(__xludf.DUMMYFUNCTION("""COMPUTED_VALUE"""),5.1)</f>
        <v>5.1</v>
      </c>
      <c r="AD219" s="344">
        <f>IFERROR(__xludf.DUMMYFUNCTION("""COMPUTED_VALUE"""),6.7)</f>
        <v>6.7</v>
      </c>
      <c r="AE219" s="343">
        <f>IFERROR(__xludf.DUMMYFUNCTION("""COMPUTED_VALUE"""),36.1)</f>
        <v>36.1</v>
      </c>
      <c r="AF219" s="343">
        <f>IFERROR(__xludf.DUMMYFUNCTION("""COMPUTED_VALUE"""),1.91)</f>
        <v>1.91</v>
      </c>
      <c r="AG219" s="292" t="b">
        <f>IFERROR(__xludf.DUMMYFUNCTION("""COMPUTED_VALUE"""),FALSE)</f>
        <v>0</v>
      </c>
      <c r="AH219" s="292" t="b">
        <f>IFERROR(__xludf.DUMMYFUNCTION("""COMPUTED_VALUE"""),FALSE)</f>
        <v>0</v>
      </c>
      <c r="AI219" s="292" t="b">
        <f>IFERROR(__xludf.DUMMYFUNCTION("""COMPUTED_VALUE"""),FALSE)</f>
        <v>0</v>
      </c>
      <c r="AJ219" s="292" t="b">
        <f>IFERROR(__xludf.DUMMYFUNCTION("""COMPUTED_VALUE"""),FALSE)</f>
        <v>0</v>
      </c>
      <c r="AK219" s="292" t="b">
        <f>IFERROR(__xludf.DUMMYFUNCTION("""COMPUTED_VALUE"""),FALSE)</f>
        <v>0</v>
      </c>
      <c r="AL219" s="292" t="b">
        <f>IFERROR(__xludf.DUMMYFUNCTION("""COMPUTED_VALUE"""),FALSE)</f>
        <v>0</v>
      </c>
      <c r="AM219" s="292" t="b">
        <f>IFERROR(__xludf.DUMMYFUNCTION("""COMPUTED_VALUE"""),TRUE)</f>
        <v>1</v>
      </c>
      <c r="AN219" s="292" t="b">
        <f>IFERROR(__xludf.DUMMYFUNCTION("""COMPUTED_VALUE"""),FALSE)</f>
        <v>0</v>
      </c>
      <c r="AO219" s="292" t="str">
        <f>IFERROR(__xludf.DUMMYFUNCTION("""COMPUTED_VALUE"""),"FALSE")</f>
        <v>FALSE</v>
      </c>
      <c r="AP219" s="292" t="str">
        <f>IFERROR(__xludf.DUMMYFUNCTION("""COMPUTED_VALUE"""),"Salmon")</f>
        <v>Salmon</v>
      </c>
      <c r="AQ219" s="292" t="str">
        <f>IFERROR(__xludf.DUMMYFUNCTION("""COMPUTED_VALUE"""),"Salmon")</f>
        <v>Salmon</v>
      </c>
      <c r="AR219" s="292" t="str">
        <f>IFERROR(__xludf.DUMMYFUNCTION("""COMPUTED_VALUE"""),"Filet")</f>
        <v>Filet</v>
      </c>
      <c r="AS219" s="292" t="str">
        <f>IFERROR(__xludf.DUMMYFUNCTION("""COMPUTED_VALUE"""),"Risotto")</f>
        <v>Risotto</v>
      </c>
      <c r="AT219" s="292" t="str">
        <f>IFERROR(__xludf.DUMMYFUNCTION("""COMPUTED_VALUE"""),"Green Beans")</f>
        <v>Green Beans</v>
      </c>
      <c r="AU219" s="292" t="str">
        <f>IFERROR(__xludf.DUMMYFUNCTION("""COMPUTED_VALUE"""),"Pesto")</f>
        <v>Pesto</v>
      </c>
      <c r="AV219" s="292" t="str">
        <f>IFERROR(__xludf.DUMMYFUNCTION("""COMPUTED_VALUE"""),"Cherry Tomatoes")</f>
        <v>Cherry Tomatoes</v>
      </c>
      <c r="AW219" s="292" t="str">
        <f>IFERROR(__xludf.DUMMYFUNCTION("""COMPUTED_VALUE"""),"Year Round")</f>
        <v>Year Round</v>
      </c>
      <c r="AX219" s="292" t="str">
        <f>IFERROR(__xludf.DUMMYFUNCTION("""COMPUTED_VALUE"""),"Italian")</f>
        <v>Italian</v>
      </c>
      <c r="AY219" s="292"/>
      <c r="AZ219" s="292" t="str">
        <f>IFERROR(__xludf.DUMMYFUNCTION("""COMPUTED_VALUE"""),"2 CT")</f>
        <v>2 CT</v>
      </c>
      <c r="BA219" s="292" t="b">
        <f>IFERROR(__xludf.DUMMYFUNCTION("""COMPUTED_VALUE"""),FALSE)</f>
        <v>0</v>
      </c>
      <c r="BB219" s="292"/>
      <c r="BC219" s="292"/>
      <c r="BD219" s="292"/>
      <c r="BE219" s="342">
        <f>IFERROR(__xludf.DUMMYFUNCTION("""COMPUTED_VALUE"""),0.89)</f>
        <v>0.89</v>
      </c>
      <c r="BF219" s="296">
        <f>IFERROR(__xludf.DUMMYFUNCTION("""COMPUTED_VALUE"""),3.22)</f>
        <v>3.22</v>
      </c>
      <c r="BG219" s="296">
        <f>IFERROR(__xludf.DUMMYFUNCTION("""COMPUTED_VALUE"""),3.1966666666666668)</f>
        <v>3.196666667</v>
      </c>
      <c r="BH219" s="296">
        <f>IFERROR(__xludf.DUMMYFUNCTION("""COMPUTED_VALUE"""),3.16)</f>
        <v>3.16</v>
      </c>
      <c r="BI219" s="295">
        <f>IFERROR(__xludf.DUMMYFUNCTION("""COMPUTED_VALUE"""),171.0)</f>
        <v>171</v>
      </c>
      <c r="BJ219" s="292"/>
      <c r="BK219" s="346">
        <f>IFERROR(__xludf.DUMMYFUNCTION("""COMPUTED_VALUE"""),2897.0)</f>
        <v>2897</v>
      </c>
      <c r="BL219" s="292"/>
      <c r="BM219" s="292"/>
      <c r="BN219" s="292"/>
      <c r="BO219" s="292"/>
      <c r="BP219" s="292"/>
      <c r="BQ219" s="292" t="str">
        <f>IFERROR(__xludf.DUMMYFUNCTION("""COMPUTED_VALUE"""),"Proven")</f>
        <v>Proven</v>
      </c>
      <c r="BR219" s="292" t="b">
        <f>IFERROR(__xludf.DUMMYFUNCTION("""COMPUTED_VALUE"""),FALSE)</f>
        <v>0</v>
      </c>
      <c r="BS219" s="292" t="b">
        <f>IFERROR(__xludf.DUMMYFUNCTION("""COMPUTED_VALUE"""),FALSE)</f>
        <v>0</v>
      </c>
      <c r="BT219" s="292"/>
      <c r="BU219" s="292"/>
      <c r="BV219" s="292"/>
      <c r="BW219" s="292"/>
    </row>
    <row r="220">
      <c r="A220" s="292" t="str">
        <f>IFERROR(__xludf.DUMMYFUNCTION("""COMPUTED_VALUE"""),"FE4079A")</f>
        <v>FE4079A</v>
      </c>
      <c r="B220" s="292" t="str">
        <f>IFERROR(__xludf.DUMMYFUNCTION("""COMPUTED_VALUE"""),"CON-40-154563-4")</f>
        <v>CON-40-154563-4</v>
      </c>
      <c r="C220" s="292" t="str">
        <f>IFERROR(__xludf.DUMMYFUNCTION("""COMPUTED_VALUE"""),"CON-00-156138-2")</f>
        <v>CON-00-156138-2</v>
      </c>
      <c r="D220" s="292" t="str">
        <f>IFERROR(__xludf.DUMMYFUNCTION("""COMPUTED_VALUE"""),"CON-00-154548-2")</f>
        <v>CON-00-154548-2</v>
      </c>
      <c r="E220" s="292" t="str">
        <f>IFERROR(__xludf.DUMMYFUNCTION("""COMPUTED_VALUE"""),"Pulled Beef &amp; Mushroom Cream Pasta")</f>
        <v>Pulled Beef &amp; Mushroom Cream Pasta</v>
      </c>
      <c r="F220" s="292" t="str">
        <f>IFERROR(__xludf.DUMMYFUNCTION("""COMPUTED_VALUE"""),"with Honey Roasted Carrots &amp; Broccoli")</f>
        <v>with Honey Roasted Carrots &amp; Broccoli</v>
      </c>
      <c r="G220" s="292" t="str">
        <f>IFERROR(__xludf.DUMMYFUNCTION("""COMPUTED_VALUE"""),"Pulled beef met romige paddenstoelenpasta")</f>
        <v>Pulled beef met romige paddenstoelenpasta</v>
      </c>
      <c r="H220" s="292" t="str">
        <f>IFERROR(__xludf.DUMMYFUNCTION("""COMPUTED_VALUE"""),"met in honing geroosterde wortels en broccoli")</f>
        <v>met in honing geroosterde wortels en broccoli</v>
      </c>
      <c r="I220" s="292" t="str">
        <f>IFERROR(__xludf.DUMMYFUNCTION("""COMPUTED_VALUE"""),"Pulled beef med cremet svampepasta")</f>
        <v>Pulled beef med cremet svampepasta</v>
      </c>
      <c r="J220" s="292" t="str">
        <f>IFERROR(__xludf.DUMMYFUNCTION("""COMPUTED_VALUE"""),"Pulled Beef mit Pilzrahm-Pasta")</f>
        <v>Pulled Beef mit Pilzrahm-Pasta</v>
      </c>
      <c r="K220" s="292">
        <f>IFERROR(__xludf.DUMMYFUNCTION("""COMPUTED_VALUE"""),565254.0)</f>
        <v>565254</v>
      </c>
      <c r="L220" s="292" t="str">
        <f>IFERROR(__xludf.DUMMYFUNCTION("""COMPUTED_VALUE"""),"HF Pulled beef mushroom pasta")</f>
        <v>HF Pulled beef mushroom pasta</v>
      </c>
      <c r="M220" s="292" t="str">
        <f>IFERROR(__xludf.DUMMYFUNCTION("""COMPUTED_VALUE"""),"FA-NL Pulled beef met romige paddenstoelenpasta (FE4079)")</f>
        <v>FA-NL Pulled beef met romige paddenstoelenpasta (FE4079)</v>
      </c>
      <c r="N220" s="292" t="str">
        <f>IFERROR(__xludf.DUMMYFUNCTION("""COMPUTED_VALUE"""),"FA-NO Pulled beef med cremet svampepasta (FE4079)")</f>
        <v>FA-NO Pulled beef med cremet svampepasta (FE4079)</v>
      </c>
      <c r="O220" s="292" t="str">
        <f>IFERROR(__xludf.DUMMYFUNCTION("""COMPUTED_VALUE"""),"FA-DE Pulled Beef mit Pilzrahm-Pasta (FE4079)")</f>
        <v>FA-DE Pulled Beef mit Pilzrahm-Pasta (FE4079)</v>
      </c>
      <c r="P220" s="292" t="str">
        <f>IFERROR(__xludf.DUMMYFUNCTION("""COMPUTED_VALUE"""),"Active")</f>
        <v>Active</v>
      </c>
      <c r="Q220" s="292"/>
      <c r="R220" s="342">
        <f>IFERROR(__xludf.DUMMYFUNCTION("""COMPUTED_VALUE"""),4.35)</f>
        <v>4.35</v>
      </c>
      <c r="S220" s="292"/>
      <c r="T220" s="292"/>
      <c r="U220" s="292"/>
      <c r="V220" s="292"/>
      <c r="W220" s="292" t="b">
        <f>IFERROR(__xludf.DUMMYFUNCTION("""COMPUTED_VALUE"""),TRUE)</f>
        <v>1</v>
      </c>
      <c r="X220" s="345">
        <f>IFERROR(__xludf.DUMMYFUNCTION("""COMPUTED_VALUE"""),404.0)</f>
        <v>404</v>
      </c>
      <c r="Y220" s="344">
        <f>IFERROR(__xludf.DUMMYFUNCTION("""COMPUTED_VALUE"""),554.0)</f>
        <v>554</v>
      </c>
      <c r="Z220" s="343">
        <f>IFERROR(__xludf.DUMMYFUNCTION("""COMPUTED_VALUE"""),23.5)</f>
        <v>23.5</v>
      </c>
      <c r="AA220" s="344">
        <f>IFERROR(__xludf.DUMMYFUNCTION("""COMPUTED_VALUE"""),9.5)</f>
        <v>9.5</v>
      </c>
      <c r="AB220" s="344">
        <f>IFERROR(__xludf.DUMMYFUNCTION("""COMPUTED_VALUE"""),45.3)</f>
        <v>45.3</v>
      </c>
      <c r="AC220" s="344">
        <f>IFERROR(__xludf.DUMMYFUNCTION("""COMPUTED_VALUE"""),10.5)</f>
        <v>10.5</v>
      </c>
      <c r="AD220" s="344">
        <f>IFERROR(__xludf.DUMMYFUNCTION("""COMPUTED_VALUE"""),9.0)</f>
        <v>9</v>
      </c>
      <c r="AE220" s="343">
        <f>IFERROR(__xludf.DUMMYFUNCTION("""COMPUTED_VALUE"""),35.3)</f>
        <v>35.3</v>
      </c>
      <c r="AF220" s="343">
        <f>IFERROR(__xludf.DUMMYFUNCTION("""COMPUTED_VALUE"""),2.0)</f>
        <v>2</v>
      </c>
      <c r="AG220" s="292" t="b">
        <f>IFERROR(__xludf.DUMMYFUNCTION("""COMPUTED_VALUE"""),FALSE)</f>
        <v>0</v>
      </c>
      <c r="AH220" s="292" t="b">
        <f>IFERROR(__xludf.DUMMYFUNCTION("""COMPUTED_VALUE"""),FALSE)</f>
        <v>0</v>
      </c>
      <c r="AI220" s="292" t="b">
        <f>IFERROR(__xludf.DUMMYFUNCTION("""COMPUTED_VALUE"""),FALSE)</f>
        <v>0</v>
      </c>
      <c r="AJ220" s="292" t="b">
        <f>IFERROR(__xludf.DUMMYFUNCTION("""COMPUTED_VALUE"""),FALSE)</f>
        <v>0</v>
      </c>
      <c r="AK220" s="292" t="b">
        <f>IFERROR(__xludf.DUMMYFUNCTION("""COMPUTED_VALUE"""),FALSE)</f>
        <v>0</v>
      </c>
      <c r="AL220" s="292" t="b">
        <f>IFERROR(__xludf.DUMMYFUNCTION("""COMPUTED_VALUE"""),FALSE)</f>
        <v>0</v>
      </c>
      <c r="AM220" s="292" t="b">
        <f>IFERROR(__xludf.DUMMYFUNCTION("""COMPUTED_VALUE"""),TRUE)</f>
        <v>1</v>
      </c>
      <c r="AN220" s="292" t="b">
        <f>IFERROR(__xludf.DUMMYFUNCTION("""COMPUTED_VALUE"""),FALSE)</f>
        <v>0</v>
      </c>
      <c r="AO220" s="292" t="str">
        <f>IFERROR(__xludf.DUMMYFUNCTION("""COMPUTED_VALUE"""),"TRUE")</f>
        <v>TRUE</v>
      </c>
      <c r="AP220" s="292" t="str">
        <f>IFERROR(__xludf.DUMMYFUNCTION("""COMPUTED_VALUE"""),"Shredded beef")</f>
        <v>Shredded beef</v>
      </c>
      <c r="AQ220" s="292" t="str">
        <f>IFERROR(__xludf.DUMMYFUNCTION("""COMPUTED_VALUE"""),"Beef")</f>
        <v>Beef</v>
      </c>
      <c r="AR220" s="292" t="str">
        <f>IFERROR(__xludf.DUMMYFUNCTION("""COMPUTED_VALUE"""),"Pulled")</f>
        <v>Pulled</v>
      </c>
      <c r="AS220" s="292" t="str">
        <f>IFERROR(__xludf.DUMMYFUNCTION("""COMPUTED_VALUE"""),"Pasta")</f>
        <v>Pasta</v>
      </c>
      <c r="AT220" s="292" t="str">
        <f>IFERROR(__xludf.DUMMYFUNCTION("""COMPUTED_VALUE"""),"Green Beans")</f>
        <v>Green Beans</v>
      </c>
      <c r="AU220" s="292" t="str">
        <f>IFERROR(__xludf.DUMMYFUNCTION("""COMPUTED_VALUE"""),"Mushrooms")</f>
        <v>Mushrooms</v>
      </c>
      <c r="AV220" s="292" t="str">
        <f>IFERROR(__xludf.DUMMYFUNCTION("""COMPUTED_VALUE"""),"Creamy Sauce Base")</f>
        <v>Creamy Sauce Base</v>
      </c>
      <c r="AW220" s="292" t="str">
        <f>IFERROR(__xludf.DUMMYFUNCTION("""COMPUTED_VALUE"""),"Year Round")</f>
        <v>Year Round</v>
      </c>
      <c r="AX220" s="292" t="str">
        <f>IFERROR(__xludf.DUMMYFUNCTION("""COMPUTED_VALUE"""),"American")</f>
        <v>American</v>
      </c>
      <c r="AY220" s="292"/>
      <c r="AZ220" s="292" t="str">
        <f>IFERROR(__xludf.DUMMYFUNCTION("""COMPUTED_VALUE"""),"2 CT")</f>
        <v>2 CT</v>
      </c>
      <c r="BA220" s="292" t="b">
        <f>IFERROR(__xludf.DUMMYFUNCTION("""COMPUTED_VALUE"""),FALSE)</f>
        <v>0</v>
      </c>
      <c r="BB220" s="342">
        <f>IFERROR(__xludf.DUMMYFUNCTION("""COMPUTED_VALUE"""),2.48)</f>
        <v>2.48</v>
      </c>
      <c r="BC220" s="342">
        <f>IFERROR(__xludf.DUMMYFUNCTION("""COMPUTED_VALUE"""),1.45)</f>
        <v>1.45</v>
      </c>
      <c r="BD220" s="342">
        <f>IFERROR(__xludf.DUMMYFUNCTION("""COMPUTED_VALUE"""),0.41)</f>
        <v>0.41</v>
      </c>
      <c r="BE220" s="342">
        <f>IFERROR(__xludf.DUMMYFUNCTION("""COMPUTED_VALUE"""),0.89)</f>
        <v>0.89</v>
      </c>
      <c r="BF220" s="296">
        <f>IFERROR(__xludf.DUMMYFUNCTION("""COMPUTED_VALUE"""),3.26)</f>
        <v>3.26</v>
      </c>
      <c r="BG220" s="296">
        <f>IFERROR(__xludf.DUMMYFUNCTION("""COMPUTED_VALUE"""),3.17)</f>
        <v>3.17</v>
      </c>
      <c r="BH220" s="296">
        <f>IFERROR(__xludf.DUMMYFUNCTION("""COMPUTED_VALUE"""),3.23)</f>
        <v>3.23</v>
      </c>
      <c r="BI220" s="295">
        <f>IFERROR(__xludf.DUMMYFUNCTION("""COMPUTED_VALUE"""),136.0)</f>
        <v>136</v>
      </c>
      <c r="BJ220" s="292"/>
      <c r="BK220" s="346">
        <f>IFERROR(__xludf.DUMMYFUNCTION("""COMPUTED_VALUE"""),2323.0)</f>
        <v>2323</v>
      </c>
      <c r="BL220" s="292"/>
      <c r="BM220" s="292"/>
      <c r="BN220" s="292"/>
      <c r="BO220" s="292"/>
      <c r="BP220" s="292"/>
      <c r="BQ220" s="292" t="str">
        <f>IFERROR(__xludf.DUMMYFUNCTION("""COMPUTED_VALUE"""),"New")</f>
        <v>New</v>
      </c>
      <c r="BR220" s="292" t="b">
        <f>IFERROR(__xludf.DUMMYFUNCTION("""COMPUTED_VALUE"""),TRUE)</f>
        <v>1</v>
      </c>
      <c r="BS220" s="292" t="b">
        <f>IFERROR(__xludf.DUMMYFUNCTION("""COMPUTED_VALUE"""),FALSE)</f>
        <v>0</v>
      </c>
      <c r="BT220" s="292"/>
      <c r="BU220" s="292"/>
      <c r="BV220" s="292"/>
      <c r="BW220" s="292"/>
    </row>
    <row r="221">
      <c r="A221" s="292" t="str">
        <f>IFERROR(__xludf.DUMMYFUNCTION("""COMPUTED_VALUE"""),"FE4080A")</f>
        <v>FE4080A</v>
      </c>
      <c r="B221" s="292" t="str">
        <f>IFERROR(__xludf.DUMMYFUNCTION("""COMPUTED_VALUE"""),"")</f>
        <v/>
      </c>
      <c r="C221" s="292"/>
      <c r="D221" s="292"/>
      <c r="E221" s="292" t="str">
        <f>IFERROR(__xludf.DUMMYFUNCTION("""COMPUTED_VALUE"""),"Maple BBQ Chicken Breast")</f>
        <v>Maple BBQ Chicken Breast</v>
      </c>
      <c r="F221" s="292" t="str">
        <f>IFERROR(__xludf.DUMMYFUNCTION("""COMPUTED_VALUE"""),"with Mashed Potatoes, Creamed Corn &amp; Green Bean Casserole")</f>
        <v>with Mashed Potatoes, Creamed Corn &amp; Green Bean Casserole</v>
      </c>
      <c r="G221" s="292" t="str">
        <f>IFERROR(__xludf.DUMMYFUNCTION("""COMPUTED_VALUE"""),"Maple BBQ kipfilet")</f>
        <v>Maple BBQ kipfilet</v>
      </c>
      <c r="H221" s="292" t="str">
        <f>IFERROR(__xludf.DUMMYFUNCTION("""COMPUTED_VALUE"""),"met aardappelpuree, romige maïs en sperziebonen")</f>
        <v>met aardappelpuree, romige maïs en sperziebonen</v>
      </c>
      <c r="I221" s="292" t="str">
        <f>IFERROR(__xludf.DUMMYFUNCTION("""COMPUTED_VALUE"""),"BBQ-kylling med ahornsirup")</f>
        <v>BBQ-kylling med ahornsirup</v>
      </c>
      <c r="J221" s="292" t="str">
        <f>IFERROR(__xludf.DUMMYFUNCTION("""COMPUTED_VALUE"""),"Hähnchenbrust in Ahorn-Barbecue-Glasur")</f>
        <v>Hähnchenbrust in Ahorn-Barbecue-Glasur</v>
      </c>
      <c r="K221" s="292">
        <f>IFERROR(__xludf.DUMMYFUNCTION("""COMPUTED_VALUE"""),565257.0)</f>
        <v>565257</v>
      </c>
      <c r="L221" s="292" t="str">
        <f>IFERROR(__xludf.DUMMYFUNCTION("""COMPUTED_VALUE"""),"HF Kipfilet met maple BBQ saus")</f>
        <v>HF Kipfilet met maple BBQ saus</v>
      </c>
      <c r="M221" s="292" t="str">
        <f>IFERROR(__xludf.DUMMYFUNCTION("""COMPUTED_VALUE"""),"#N/A")</f>
        <v>#N/A</v>
      </c>
      <c r="N221" s="292" t="str">
        <f>IFERROR(__xludf.DUMMYFUNCTION("""COMPUTED_VALUE"""),"#N/A")</f>
        <v>#N/A</v>
      </c>
      <c r="O221" s="292" t="str">
        <f>IFERROR(__xludf.DUMMYFUNCTION("""COMPUTED_VALUE"""),"#N/A")</f>
        <v>#N/A</v>
      </c>
      <c r="P221" s="292" t="str">
        <f>IFERROR(__xludf.DUMMYFUNCTION("""COMPUTED_VALUE"""),"Active")</f>
        <v>Active</v>
      </c>
      <c r="Q221" s="292" t="str">
        <f>IFERROR(__xludf.DUMMYFUNCTION("""COMPUTED_VALUE"""),"Salt content too high (2.14 g)")</f>
        <v>Salt content too high (2.14 g)</v>
      </c>
      <c r="R221" s="342">
        <f>IFERROR(__xludf.DUMMYFUNCTION("""COMPUTED_VALUE"""),4.25)</f>
        <v>4.25</v>
      </c>
      <c r="S221" s="292"/>
      <c r="T221" s="292"/>
      <c r="U221" s="292"/>
      <c r="V221" s="292"/>
      <c r="W221" s="292" t="b">
        <f>IFERROR(__xludf.DUMMYFUNCTION("""COMPUTED_VALUE"""),TRUE)</f>
        <v>1</v>
      </c>
      <c r="X221" s="345">
        <f>IFERROR(__xludf.DUMMYFUNCTION("""COMPUTED_VALUE"""),442.0)</f>
        <v>442</v>
      </c>
      <c r="Y221" s="344">
        <f>IFERROR(__xludf.DUMMYFUNCTION("""COMPUTED_VALUE"""),541.0)</f>
        <v>541</v>
      </c>
      <c r="Z221" s="343">
        <f>IFERROR(__xludf.DUMMYFUNCTION("""COMPUTED_VALUE"""),22.7)</f>
        <v>22.7</v>
      </c>
      <c r="AA221" s="344">
        <f>IFERROR(__xludf.DUMMYFUNCTION("""COMPUTED_VALUE"""),10.6)</f>
        <v>10.6</v>
      </c>
      <c r="AB221" s="344">
        <f>IFERROR(__xludf.DUMMYFUNCTION("""COMPUTED_VALUE"""),45.3)</f>
        <v>45.3</v>
      </c>
      <c r="AC221" s="344">
        <f>IFERROR(__xludf.DUMMYFUNCTION("""COMPUTED_VALUE"""),16.3)</f>
        <v>16.3</v>
      </c>
      <c r="AD221" s="344">
        <f>IFERROR(__xludf.DUMMYFUNCTION("""COMPUTED_VALUE"""),8.8)</f>
        <v>8.8</v>
      </c>
      <c r="AE221" s="343">
        <f>IFERROR(__xludf.DUMMYFUNCTION("""COMPUTED_VALUE"""),33.9)</f>
        <v>33.9</v>
      </c>
      <c r="AF221" s="343">
        <f>IFERROR(__xludf.DUMMYFUNCTION("""COMPUTED_VALUE"""),2.14)</f>
        <v>2.14</v>
      </c>
      <c r="AG221" s="292" t="b">
        <f>IFERROR(__xludf.DUMMYFUNCTION("""COMPUTED_VALUE"""),FALSE)</f>
        <v>0</v>
      </c>
      <c r="AH221" s="292" t="b">
        <f>IFERROR(__xludf.DUMMYFUNCTION("""COMPUTED_VALUE"""),FALSE)</f>
        <v>0</v>
      </c>
      <c r="AI221" s="292" t="b">
        <f>IFERROR(__xludf.DUMMYFUNCTION("""COMPUTED_VALUE"""),FALSE)</f>
        <v>0</v>
      </c>
      <c r="AJ221" s="292" t="b">
        <f>IFERROR(__xludf.DUMMYFUNCTION("""COMPUTED_VALUE"""),FALSE)</f>
        <v>0</v>
      </c>
      <c r="AK221" s="292" t="b">
        <f>IFERROR(__xludf.DUMMYFUNCTION("""COMPUTED_VALUE"""),FALSE)</f>
        <v>0</v>
      </c>
      <c r="AL221" s="292" t="b">
        <f>IFERROR(__xludf.DUMMYFUNCTION("""COMPUTED_VALUE"""),FALSE)</f>
        <v>0</v>
      </c>
      <c r="AM221" s="292" t="b">
        <f>IFERROR(__xludf.DUMMYFUNCTION("""COMPUTED_VALUE"""),TRUE)</f>
        <v>1</v>
      </c>
      <c r="AN221" s="292" t="b">
        <f>IFERROR(__xludf.DUMMYFUNCTION("""COMPUTED_VALUE"""),FALSE)</f>
        <v>0</v>
      </c>
      <c r="AO221" s="292" t="str">
        <f>IFERROR(__xludf.DUMMYFUNCTION("""COMPUTED_VALUE"""),"FALSE")</f>
        <v>FALSE</v>
      </c>
      <c r="AP221" s="292" t="str">
        <f>IFERROR(__xludf.DUMMYFUNCTION("""COMPUTED_VALUE"""),"Chicken breast")</f>
        <v>Chicken breast</v>
      </c>
      <c r="AQ221" s="292" t="str">
        <f>IFERROR(__xludf.DUMMYFUNCTION("""COMPUTED_VALUE"""),"Chicken")</f>
        <v>Chicken</v>
      </c>
      <c r="AR221" s="292" t="str">
        <f>IFERROR(__xludf.DUMMYFUNCTION("""COMPUTED_VALUE"""),"Breast")</f>
        <v>Breast</v>
      </c>
      <c r="AS221" s="292" t="str">
        <f>IFERROR(__xludf.DUMMYFUNCTION("""COMPUTED_VALUE"""),"Potato Mash")</f>
        <v>Potato Mash</v>
      </c>
      <c r="AT221" s="292" t="str">
        <f>IFERROR(__xludf.DUMMYFUNCTION("""COMPUTED_VALUE"""),"Green Beans")</f>
        <v>Green Beans</v>
      </c>
      <c r="AU221" s="292" t="str">
        <f>IFERROR(__xludf.DUMMYFUNCTION("""COMPUTED_VALUE"""),"Corn Kernels")</f>
        <v>Corn Kernels</v>
      </c>
      <c r="AV221" s="292" t="str">
        <f>IFERROR(__xludf.DUMMYFUNCTION("""COMPUTED_VALUE"""),"Other sauce")</f>
        <v>Other sauce</v>
      </c>
      <c r="AW221" s="292" t="str">
        <f>IFERROR(__xludf.DUMMYFUNCTION("""COMPUTED_VALUE"""),"Year Round")</f>
        <v>Year Round</v>
      </c>
      <c r="AX221" s="292" t="str">
        <f>IFERROR(__xludf.DUMMYFUNCTION("""COMPUTED_VALUE"""),"American")</f>
        <v>American</v>
      </c>
      <c r="AY221" s="292"/>
      <c r="AZ221" s="292" t="str">
        <f>IFERROR(__xludf.DUMMYFUNCTION("""COMPUTED_VALUE"""),"2 CT")</f>
        <v>2 CT</v>
      </c>
      <c r="BA221" s="292" t="b">
        <f>IFERROR(__xludf.DUMMYFUNCTION("""COMPUTED_VALUE"""),FALSE)</f>
        <v>0</v>
      </c>
      <c r="BB221" s="342">
        <f>IFERROR(__xludf.DUMMYFUNCTION("""COMPUTED_VALUE"""),2.28)</f>
        <v>2.28</v>
      </c>
      <c r="BC221" s="342">
        <f>IFERROR(__xludf.DUMMYFUNCTION("""COMPUTED_VALUE"""),1.55)</f>
        <v>1.55</v>
      </c>
      <c r="BD221" s="342">
        <f>IFERROR(__xludf.DUMMYFUNCTION("""COMPUTED_VALUE"""),0.42)</f>
        <v>0.42</v>
      </c>
      <c r="BE221" s="342">
        <f>IFERROR(__xludf.DUMMYFUNCTION("""COMPUTED_VALUE"""),0.89)</f>
        <v>0.89</v>
      </c>
      <c r="BF221" s="296" t="str">
        <f>IFERROR(__xludf.DUMMYFUNCTION("""COMPUTED_VALUE"""),"#REF!")</f>
        <v>#REF!</v>
      </c>
      <c r="BG221" s="296" t="str">
        <f>IFERROR(__xludf.DUMMYFUNCTION("""COMPUTED_VALUE"""),"#REF!")</f>
        <v>#REF!</v>
      </c>
      <c r="BH221" s="296" t="str">
        <f>IFERROR(__xludf.DUMMYFUNCTION("""COMPUTED_VALUE"""),"#REF!")</f>
        <v>#REF!</v>
      </c>
      <c r="BI221" s="295">
        <f>IFERROR(__xludf.DUMMYFUNCTION("""COMPUTED_VALUE"""),135.0)</f>
        <v>135</v>
      </c>
      <c r="BJ221" s="292"/>
      <c r="BK221" s="346">
        <f>IFERROR(__xludf.DUMMYFUNCTION("""COMPUTED_VALUE"""),2266.0)</f>
        <v>2266</v>
      </c>
      <c r="BL221" s="292"/>
      <c r="BM221" s="292"/>
      <c r="BN221" s="292"/>
      <c r="BO221" s="292"/>
      <c r="BP221" s="292"/>
      <c r="BQ221" s="292"/>
      <c r="BR221" s="292" t="b">
        <f>IFERROR(__xludf.DUMMYFUNCTION("""COMPUTED_VALUE"""),TRUE)</f>
        <v>1</v>
      </c>
      <c r="BS221" s="292" t="b">
        <f>IFERROR(__xludf.DUMMYFUNCTION("""COMPUTED_VALUE"""),FALSE)</f>
        <v>0</v>
      </c>
      <c r="BT221" s="292"/>
      <c r="BU221" s="292"/>
      <c r="BV221" s="292"/>
      <c r="BW221" s="292"/>
    </row>
    <row r="222">
      <c r="A222" s="292" t="str">
        <f>IFERROR(__xludf.DUMMYFUNCTION("""COMPUTED_VALUE"""),"FE1776A")</f>
        <v>FE1776A</v>
      </c>
      <c r="B222" s="292" t="str">
        <f>IFERROR(__xludf.DUMMYFUNCTION("""COMPUTED_VALUE"""),"CON-40-154564-4")</f>
        <v>CON-40-154564-4</v>
      </c>
      <c r="C222" s="292" t="str">
        <f>IFERROR(__xludf.DUMMYFUNCTION("""COMPUTED_VALUE"""),"CON-00-154557-2")</f>
        <v>CON-00-154557-2</v>
      </c>
      <c r="D222" s="292" t="str">
        <f>IFERROR(__xludf.DUMMYFUNCTION("""COMPUTED_VALUE"""),"CON-00-154550-2")</f>
        <v>CON-00-154550-2</v>
      </c>
      <c r="E222" s="292" t="str">
        <f>IFERROR(__xludf.DUMMYFUNCTION("""COMPUTED_VALUE"""),"Fire-Roasted Tomato &amp; Feta Shrimp")</f>
        <v>Fire-Roasted Tomato &amp; Feta Shrimp</v>
      </c>
      <c r="F222" s="292" t="str">
        <f>IFERROR(__xludf.DUMMYFUNCTION("""COMPUTED_VALUE"""),"with Lemon Dill Rice &amp; Zucchini")</f>
        <v>with Lemon Dill Rice &amp; Zucchini</v>
      </c>
      <c r="G222" s="292" t="str">
        <f>IFERROR(__xludf.DUMMYFUNCTION("""COMPUTED_VALUE"""),"Garnalen met geroosterde tomaat &amp; feta")</f>
        <v>Garnalen met geroosterde tomaat &amp; feta</v>
      </c>
      <c r="H222" s="292" t="str">
        <f>IFERROR(__xludf.DUMMYFUNCTION("""COMPUTED_VALUE"""),"met citroen-dille-rijst en courgette")</f>
        <v>met citroen-dille-rijst en courgette</v>
      </c>
      <c r="I222" s="292" t="str">
        <f>IFERROR(__xludf.DUMMYFUNCTION("""COMPUTED_VALUE"""),"Rejer med grillede tomater og feta")</f>
        <v>Rejer med grillede tomater og feta</v>
      </c>
      <c r="J222" s="292" t="str">
        <f>IFERROR(__xludf.DUMMYFUNCTION("""COMPUTED_VALUE"""),"Feuergeröstete Tomaten- und Feta-Garnelen")</f>
        <v>Feuergeröstete Tomaten- und Feta-Garnelen</v>
      </c>
      <c r="K222" s="292">
        <f>IFERROR(__xludf.DUMMYFUNCTION("""COMPUTED_VALUE"""),565229.0)</f>
        <v>565229</v>
      </c>
      <c r="L222" s="292" t="str">
        <f>IFERROR(__xludf.DUMMYFUNCTION("""COMPUTED_VALUE"""),"HF Garnaal tomaat feta saus")</f>
        <v>HF Garnaal tomaat feta saus</v>
      </c>
      <c r="M222" s="292" t="str">
        <f>IFERROR(__xludf.DUMMYFUNCTION("""COMPUTED_VALUE"""),"FA-NL Garnalen met geroosterde tomaat &amp; feta (FE1776)")</f>
        <v>FA-NL Garnalen met geroosterde tomaat &amp; feta (FE1776)</v>
      </c>
      <c r="N222" s="292" t="str">
        <f>IFERROR(__xludf.DUMMYFUNCTION("""COMPUTED_VALUE"""),"FA-NO Rejer med grillede tomater og feta (FE1776)")</f>
        <v>FA-NO Rejer med grillede tomater og feta (FE1776)</v>
      </c>
      <c r="O222" s="292" t="str">
        <f>IFERROR(__xludf.DUMMYFUNCTION("""COMPUTED_VALUE"""),"FA-DE Feuergeröstete Tomaten- und Feta-Garnelen (FE1776)")</f>
        <v>FA-DE Feuergeröstete Tomaten- und Feta-Garnelen (FE1776)</v>
      </c>
      <c r="P222" s="292" t="str">
        <f>IFERROR(__xludf.DUMMYFUNCTION("""COMPUTED_VALUE"""),"Active")</f>
        <v>Active</v>
      </c>
      <c r="Q222" s="292" t="str">
        <f>IFERROR(__xludf.DUMMYFUNCTION("""COMPUTED_VALUE"""),"Very high salt content")</f>
        <v>Very high salt content</v>
      </c>
      <c r="R222" s="342">
        <f>IFERROR(__xludf.DUMMYFUNCTION("""COMPUTED_VALUE"""),4.79)</f>
        <v>4.79</v>
      </c>
      <c r="S222" s="292"/>
      <c r="T222" s="292"/>
      <c r="U222" s="292"/>
      <c r="V222" s="292"/>
      <c r="W222" s="292" t="b">
        <f>IFERROR(__xludf.DUMMYFUNCTION("""COMPUTED_VALUE"""),TRUE)</f>
        <v>1</v>
      </c>
      <c r="X222" s="345">
        <f>IFERROR(__xludf.DUMMYFUNCTION("""COMPUTED_VALUE"""),429.0)</f>
        <v>429</v>
      </c>
      <c r="Y222" s="344">
        <f>IFERROR(__xludf.DUMMYFUNCTION("""COMPUTED_VALUE"""),400.0)</f>
        <v>400</v>
      </c>
      <c r="Z222" s="343">
        <f>IFERROR(__xludf.DUMMYFUNCTION("""COMPUTED_VALUE"""),14.1)</f>
        <v>14.1</v>
      </c>
      <c r="AA222" s="344">
        <f>IFERROR(__xludf.DUMMYFUNCTION("""COMPUTED_VALUE"""),4.0)</f>
        <v>4</v>
      </c>
      <c r="AB222" s="344">
        <f>IFERROR(__xludf.DUMMYFUNCTION("""COMPUTED_VALUE"""),38.4)</f>
        <v>38.4</v>
      </c>
      <c r="AC222" s="344">
        <f>IFERROR(__xludf.DUMMYFUNCTION("""COMPUTED_VALUE"""),10.2)</f>
        <v>10.2</v>
      </c>
      <c r="AD222" s="344">
        <f>IFERROR(__xludf.DUMMYFUNCTION("""COMPUTED_VALUE"""),6.6)</f>
        <v>6.6</v>
      </c>
      <c r="AE222" s="343">
        <f>IFERROR(__xludf.DUMMYFUNCTION("""COMPUTED_VALUE"""),27.1)</f>
        <v>27.1</v>
      </c>
      <c r="AF222" s="343">
        <f>IFERROR(__xludf.DUMMYFUNCTION("""COMPUTED_VALUE"""),2.23)</f>
        <v>2.23</v>
      </c>
      <c r="AG222" s="292" t="b">
        <f>IFERROR(__xludf.DUMMYFUNCTION("""COMPUTED_VALUE"""),FALSE)</f>
        <v>0</v>
      </c>
      <c r="AH222" s="292" t="b">
        <f>IFERROR(__xludf.DUMMYFUNCTION("""COMPUTED_VALUE"""),FALSE)</f>
        <v>0</v>
      </c>
      <c r="AI222" s="292" t="b">
        <f>IFERROR(__xludf.DUMMYFUNCTION("""COMPUTED_VALUE"""),TRUE)</f>
        <v>1</v>
      </c>
      <c r="AJ222" s="292" t="b">
        <f>IFERROR(__xludf.DUMMYFUNCTION("""COMPUTED_VALUE"""),FALSE)</f>
        <v>0</v>
      </c>
      <c r="AK222" s="292" t="b">
        <f>IFERROR(__xludf.DUMMYFUNCTION("""COMPUTED_VALUE"""),FALSE)</f>
        <v>0</v>
      </c>
      <c r="AL222" s="292" t="b">
        <f>IFERROR(__xludf.DUMMYFUNCTION("""COMPUTED_VALUE"""),FALSE)</f>
        <v>0</v>
      </c>
      <c r="AM222" s="292" t="b">
        <f>IFERROR(__xludf.DUMMYFUNCTION("""COMPUTED_VALUE"""),FALSE)</f>
        <v>0</v>
      </c>
      <c r="AN222" s="292" t="b">
        <f>IFERROR(__xludf.DUMMYFUNCTION("""COMPUTED_VALUE"""),FALSE)</f>
        <v>0</v>
      </c>
      <c r="AO222" s="292" t="str">
        <f>IFERROR(__xludf.DUMMYFUNCTION("""COMPUTED_VALUE"""),"FALSE")</f>
        <v>FALSE</v>
      </c>
      <c r="AP222" s="292" t="str">
        <f>IFERROR(__xludf.DUMMYFUNCTION("""COMPUTED_VALUE"""),"Shrimp")</f>
        <v>Shrimp</v>
      </c>
      <c r="AQ222" s="292" t="str">
        <f>IFERROR(__xludf.DUMMYFUNCTION("""COMPUTED_VALUE"""),"Shrimp")</f>
        <v>Shrimp</v>
      </c>
      <c r="AR222" s="292"/>
      <c r="AS222" s="292" t="str">
        <f>IFERROR(__xludf.DUMMYFUNCTION("""COMPUTED_VALUE"""),"Rice")</f>
        <v>Rice</v>
      </c>
      <c r="AT222" s="292" t="str">
        <f>IFERROR(__xludf.DUMMYFUNCTION("""COMPUTED_VALUE"""),"Zucchini Half Moon")</f>
        <v>Zucchini Half Moon</v>
      </c>
      <c r="AU222" s="292" t="str">
        <f>IFERROR(__xludf.DUMMYFUNCTION("""COMPUTED_VALUE"""),"Cherry Tomatoes")</f>
        <v>Cherry Tomatoes</v>
      </c>
      <c r="AV222" s="292" t="str">
        <f>IFERROR(__xludf.DUMMYFUNCTION("""COMPUTED_VALUE"""),"Tomato Based Sauce")</f>
        <v>Tomato Based Sauce</v>
      </c>
      <c r="AW222" s="292" t="str">
        <f>IFERROR(__xludf.DUMMYFUNCTION("""COMPUTED_VALUE"""),"Year Round")</f>
        <v>Year Round</v>
      </c>
      <c r="AX222" s="292" t="str">
        <f>IFERROR(__xludf.DUMMYFUNCTION("""COMPUTED_VALUE"""),"Greek")</f>
        <v>Greek</v>
      </c>
      <c r="AY222" s="292"/>
      <c r="AZ222" s="292" t="str">
        <f>IFERROR(__xludf.DUMMYFUNCTION("""COMPUTED_VALUE"""),"2 CT")</f>
        <v>2 CT</v>
      </c>
      <c r="BA222" s="292" t="b">
        <f>IFERROR(__xludf.DUMMYFUNCTION("""COMPUTED_VALUE"""),FALSE)</f>
        <v>0</v>
      </c>
      <c r="BB222" s="342">
        <f>IFERROR(__xludf.DUMMYFUNCTION("""COMPUTED_VALUE"""),2.99)</f>
        <v>2.99</v>
      </c>
      <c r="BC222" s="342">
        <f>IFERROR(__xludf.DUMMYFUNCTION("""COMPUTED_VALUE"""),1.39)</f>
        <v>1.39</v>
      </c>
      <c r="BD222" s="342">
        <f>IFERROR(__xludf.DUMMYFUNCTION("""COMPUTED_VALUE"""),0.41)</f>
        <v>0.41</v>
      </c>
      <c r="BE222" s="342">
        <f>IFERROR(__xludf.DUMMYFUNCTION("""COMPUTED_VALUE"""),0.89)</f>
        <v>0.89</v>
      </c>
      <c r="BF222" s="296">
        <f>IFERROR(__xludf.DUMMYFUNCTION("""COMPUTED_VALUE"""),2.83)</f>
        <v>2.83</v>
      </c>
      <c r="BG222" s="296">
        <f>IFERROR(__xludf.DUMMYFUNCTION("""COMPUTED_VALUE"""),2.7800000000000002)</f>
        <v>2.78</v>
      </c>
      <c r="BH222" s="296">
        <f>IFERROR(__xludf.DUMMYFUNCTION("""COMPUTED_VALUE"""),2.875)</f>
        <v>2.875</v>
      </c>
      <c r="BI222" s="295">
        <f>IFERROR(__xludf.DUMMYFUNCTION("""COMPUTED_VALUE"""),192.0)</f>
        <v>192</v>
      </c>
      <c r="BJ222" s="292"/>
      <c r="BK222" s="346">
        <f>IFERROR(__xludf.DUMMYFUNCTION("""COMPUTED_VALUE"""),1679.0)</f>
        <v>1679</v>
      </c>
      <c r="BL222" s="292"/>
      <c r="BM222" s="292"/>
      <c r="BN222" s="292"/>
      <c r="BO222" s="292"/>
      <c r="BP222" s="292"/>
      <c r="BQ222" s="292" t="str">
        <f>IFERROR(__xludf.DUMMYFUNCTION("""COMPUTED_VALUE"""),"New")</f>
        <v>New</v>
      </c>
      <c r="BR222" s="344" t="b">
        <f>IFERROR(__xludf.DUMMYFUNCTION("""COMPUTED_VALUE"""),FALSE)</f>
        <v>0</v>
      </c>
      <c r="BS222" s="292" t="b">
        <f>IFERROR(__xludf.DUMMYFUNCTION("""COMPUTED_VALUE"""),TRUE)</f>
        <v>1</v>
      </c>
      <c r="BT222" s="292"/>
      <c r="BU222" s="292"/>
      <c r="BV222" s="292"/>
      <c r="BW222" s="292"/>
    </row>
    <row r="223">
      <c r="A223" s="292" t="str">
        <f>IFERROR(__xludf.DUMMYFUNCTION("""COMPUTED_VALUE"""),"FE1429A")</f>
        <v>FE1429A</v>
      </c>
      <c r="B223" s="292" t="str">
        <f>IFERROR(__xludf.DUMMYFUNCTION("""COMPUTED_VALUE"""),"CON-40-154566-4")</f>
        <v>CON-40-154566-4</v>
      </c>
      <c r="C223" s="292" t="str">
        <f>IFERROR(__xludf.DUMMYFUNCTION("""COMPUTED_VALUE"""),"CON-00-154558-2")</f>
        <v>CON-00-154558-2</v>
      </c>
      <c r="D223" s="292" t="str">
        <f>IFERROR(__xludf.DUMMYFUNCTION("""COMPUTED_VALUE"""),"CON-00-154559-2")</f>
        <v>CON-00-154559-2</v>
      </c>
      <c r="E223" s="292" t="str">
        <f>IFERROR(__xludf.DUMMYFUNCTION("""COMPUTED_VALUE"""),"Athenian-Style Feta Chicken")</f>
        <v>Athenian-Style Feta Chicken</v>
      </c>
      <c r="F223" s="292" t="str">
        <f>IFERROR(__xludf.DUMMYFUNCTION("""COMPUTED_VALUE"""),"with Polenta, Zucchini &amp; Grape Tomatoes")</f>
        <v>with Polenta, Zucchini &amp; Grape Tomatoes</v>
      </c>
      <c r="G223" s="292" t="str">
        <f>IFERROR(__xludf.DUMMYFUNCTION("""COMPUTED_VALUE"""),"Kip met feta in Atheense stijl")</f>
        <v>Kip met feta in Atheense stijl</v>
      </c>
      <c r="H223" s="292" t="str">
        <f>IFERROR(__xludf.DUMMYFUNCTION("""COMPUTED_VALUE"""),"met polenta, courgette &amp; cherrytomaatjes")</f>
        <v>met polenta, courgette &amp; cherrytomaatjes</v>
      </c>
      <c r="I223" s="292" t="str">
        <f>IFERROR(__xludf.DUMMYFUNCTION("""COMPUTED_VALUE"""),"Græsk-inspireret kylling med feta")</f>
        <v>Græsk-inspireret kylling med feta</v>
      </c>
      <c r="J223" s="292" t="str">
        <f>IFERROR(__xludf.DUMMYFUNCTION("""COMPUTED_VALUE"""),"Hähnchen nach Athener Art mit Feta")</f>
        <v>Hähnchen nach Athener Art mit Feta</v>
      </c>
      <c r="K223" s="292">
        <f>IFERROR(__xludf.DUMMYFUNCTION("""COMPUTED_VALUE"""),565230.0)</f>
        <v>565230</v>
      </c>
      <c r="L223" s="292" t="str">
        <f>IFERROR(__xludf.DUMMYFUNCTION("""COMPUTED_VALUE"""),"HF Atheense kip met feta saus")</f>
        <v>HF Atheense kip met feta saus</v>
      </c>
      <c r="M223" s="292" t="str">
        <f>IFERROR(__xludf.DUMMYFUNCTION("""COMPUTED_VALUE"""),"FA-NL Kip met feta in Atheense stijl (FE1429)")</f>
        <v>FA-NL Kip met feta in Atheense stijl (FE1429)</v>
      </c>
      <c r="N223" s="292" t="str">
        <f>IFERROR(__xludf.DUMMYFUNCTION("""COMPUTED_VALUE"""),"FA-NO Græsk-inspireret kylling med feta (FE1429)")</f>
        <v>FA-NO Græsk-inspireret kylling med feta (FE1429)</v>
      </c>
      <c r="O223" s="292" t="str">
        <f>IFERROR(__xludf.DUMMYFUNCTION("""COMPUTED_VALUE"""),"FA-DE Hähnchen nach Athener Art mit Feta (FE1429)")</f>
        <v>FA-DE Hähnchen nach Athener Art mit Feta (FE1429)</v>
      </c>
      <c r="P223" s="292" t="str">
        <f>IFERROR(__xludf.DUMMYFUNCTION("""COMPUTED_VALUE"""),"Active")</f>
        <v>Active</v>
      </c>
      <c r="Q223" s="292"/>
      <c r="R223" s="342">
        <f>IFERROR(__xludf.DUMMYFUNCTION("""COMPUTED_VALUE"""),4.85)</f>
        <v>4.85</v>
      </c>
      <c r="S223" s="292"/>
      <c r="T223" s="292"/>
      <c r="U223" s="292"/>
      <c r="V223" s="292"/>
      <c r="W223" s="292" t="b">
        <f>IFERROR(__xludf.DUMMYFUNCTION("""COMPUTED_VALUE"""),TRUE)</f>
        <v>1</v>
      </c>
      <c r="X223" s="345">
        <f>IFERROR(__xludf.DUMMYFUNCTION("""COMPUTED_VALUE"""),389.0)</f>
        <v>389</v>
      </c>
      <c r="Y223" s="344">
        <f>IFERROR(__xludf.DUMMYFUNCTION("""COMPUTED_VALUE"""),472.0)</f>
        <v>472</v>
      </c>
      <c r="Z223" s="343">
        <f>IFERROR(__xludf.DUMMYFUNCTION("""COMPUTED_VALUE"""),23.1)</f>
        <v>23.1</v>
      </c>
      <c r="AA223" s="344">
        <f>IFERROR(__xludf.DUMMYFUNCTION("""COMPUTED_VALUE"""),11.3)</f>
        <v>11.3</v>
      </c>
      <c r="AB223" s="344">
        <f>IFERROR(__xludf.DUMMYFUNCTION("""COMPUTED_VALUE"""),26.9)</f>
        <v>26.9</v>
      </c>
      <c r="AC223" s="344">
        <f>IFERROR(__xludf.DUMMYFUNCTION("""COMPUTED_VALUE"""),17.9)</f>
        <v>17.9</v>
      </c>
      <c r="AD223" s="344">
        <f>IFERROR(__xludf.DUMMYFUNCTION("""COMPUTED_VALUE"""),3.7)</f>
        <v>3.7</v>
      </c>
      <c r="AE223" s="343">
        <f>IFERROR(__xludf.DUMMYFUNCTION("""COMPUTED_VALUE"""),37.4)</f>
        <v>37.4</v>
      </c>
      <c r="AF223" s="343">
        <f>IFERROR(__xludf.DUMMYFUNCTION("""COMPUTED_VALUE"""),2.02)</f>
        <v>2.02</v>
      </c>
      <c r="AG223" s="292" t="b">
        <f>IFERROR(__xludf.DUMMYFUNCTION("""COMPUTED_VALUE"""),FALSE)</f>
        <v>0</v>
      </c>
      <c r="AH223" s="292" t="b">
        <f>IFERROR(__xludf.DUMMYFUNCTION("""COMPUTED_VALUE"""),FALSE)</f>
        <v>0</v>
      </c>
      <c r="AI223" s="292" t="b">
        <f>IFERROR(__xludf.DUMMYFUNCTION("""COMPUTED_VALUE"""),TRUE)</f>
        <v>1</v>
      </c>
      <c r="AJ223" s="292" t="b">
        <f>IFERROR(__xludf.DUMMYFUNCTION("""COMPUTED_VALUE"""),FALSE)</f>
        <v>0</v>
      </c>
      <c r="AK223" s="292" t="b">
        <f>IFERROR(__xludf.DUMMYFUNCTION("""COMPUTED_VALUE"""),FALSE)</f>
        <v>0</v>
      </c>
      <c r="AL223" s="292" t="b">
        <f>IFERROR(__xludf.DUMMYFUNCTION("""COMPUTED_VALUE"""),FALSE)</f>
        <v>0</v>
      </c>
      <c r="AM223" s="292" t="b">
        <f>IFERROR(__xludf.DUMMYFUNCTION("""COMPUTED_VALUE"""),TRUE)</f>
        <v>1</v>
      </c>
      <c r="AN223" s="292" t="b">
        <f>IFERROR(__xludf.DUMMYFUNCTION("""COMPUTED_VALUE"""),FALSE)</f>
        <v>0</v>
      </c>
      <c r="AO223" s="292" t="str">
        <f>IFERROR(__xludf.DUMMYFUNCTION("""COMPUTED_VALUE"""),"FALSE")</f>
        <v>FALSE</v>
      </c>
      <c r="AP223" s="292" t="str">
        <f>IFERROR(__xludf.DUMMYFUNCTION("""COMPUTED_VALUE"""),"Chicken breast")</f>
        <v>Chicken breast</v>
      </c>
      <c r="AQ223" s="292" t="str">
        <f>IFERROR(__xludf.DUMMYFUNCTION("""COMPUTED_VALUE"""),"Chicken")</f>
        <v>Chicken</v>
      </c>
      <c r="AR223" s="292" t="str">
        <f>IFERROR(__xludf.DUMMYFUNCTION("""COMPUTED_VALUE"""),"Breast")</f>
        <v>Breast</v>
      </c>
      <c r="AS223" s="292" t="str">
        <f>IFERROR(__xludf.DUMMYFUNCTION("""COMPUTED_VALUE"""),"Polenta/Grits")</f>
        <v>Polenta/Grits</v>
      </c>
      <c r="AT223" s="292" t="str">
        <f>IFERROR(__xludf.DUMMYFUNCTION("""COMPUTED_VALUE"""),"Zucchini Half Moon")</f>
        <v>Zucchini Half Moon</v>
      </c>
      <c r="AU223" s="292" t="str">
        <f>IFERROR(__xludf.DUMMYFUNCTION("""COMPUTED_VALUE"""),"Cherry Tomatoes")</f>
        <v>Cherry Tomatoes</v>
      </c>
      <c r="AV223" s="292" t="str">
        <f>IFERROR(__xludf.DUMMYFUNCTION("""COMPUTED_VALUE"""),"Creamy Sauce Base")</f>
        <v>Creamy Sauce Base</v>
      </c>
      <c r="AW223" s="292" t="str">
        <f>IFERROR(__xludf.DUMMYFUNCTION("""COMPUTED_VALUE"""),"Year Round")</f>
        <v>Year Round</v>
      </c>
      <c r="AX223" s="292" t="str">
        <f>IFERROR(__xludf.DUMMYFUNCTION("""COMPUTED_VALUE"""),"Greek")</f>
        <v>Greek</v>
      </c>
      <c r="AY223" s="292"/>
      <c r="AZ223" s="292" t="str">
        <f>IFERROR(__xludf.DUMMYFUNCTION("""COMPUTED_VALUE"""),"2 CT")</f>
        <v>2 CT</v>
      </c>
      <c r="BA223" s="292" t="b">
        <f>IFERROR(__xludf.DUMMYFUNCTION("""COMPUTED_VALUE"""),FALSE)</f>
        <v>0</v>
      </c>
      <c r="BB223" s="342">
        <f>IFERROR(__xludf.DUMMYFUNCTION("""COMPUTED_VALUE"""),3.0)</f>
        <v>3</v>
      </c>
      <c r="BC223" s="342">
        <f>IFERROR(__xludf.DUMMYFUNCTION("""COMPUTED_VALUE"""),1.45)</f>
        <v>1.45</v>
      </c>
      <c r="BD223" s="342">
        <f>IFERROR(__xludf.DUMMYFUNCTION("""COMPUTED_VALUE"""),0.41)</f>
        <v>0.41</v>
      </c>
      <c r="BE223" s="342">
        <f>IFERROR(__xludf.DUMMYFUNCTION("""COMPUTED_VALUE"""),0.89)</f>
        <v>0.89</v>
      </c>
      <c r="BF223" s="296">
        <f>IFERROR(__xludf.DUMMYFUNCTION("""COMPUTED_VALUE"""),3.23)</f>
        <v>3.23</v>
      </c>
      <c r="BG223" s="296">
        <f>IFERROR(__xludf.DUMMYFUNCTION("""COMPUTED_VALUE"""),3.19)</f>
        <v>3.19</v>
      </c>
      <c r="BH223" s="296">
        <f>IFERROR(__xludf.DUMMYFUNCTION("""COMPUTED_VALUE"""),3.175)</f>
        <v>3.175</v>
      </c>
      <c r="BI223" s="295">
        <f>IFERROR(__xludf.DUMMYFUNCTION("""COMPUTED_VALUE"""),154.0)</f>
        <v>154</v>
      </c>
      <c r="BJ223" s="292"/>
      <c r="BK223" s="346">
        <f>IFERROR(__xludf.DUMMYFUNCTION("""COMPUTED_VALUE"""),1978.0)</f>
        <v>1978</v>
      </c>
      <c r="BL223" s="292"/>
      <c r="BM223" s="292"/>
      <c r="BN223" s="292"/>
      <c r="BO223" s="292"/>
      <c r="BP223" s="292"/>
      <c r="BQ223" s="292" t="str">
        <f>IFERROR(__xludf.DUMMYFUNCTION("""COMPUTED_VALUE"""),"New")</f>
        <v>New</v>
      </c>
      <c r="BR223" s="344" t="b">
        <f>IFERROR(__xludf.DUMMYFUNCTION("""COMPUTED_VALUE"""),FALSE)</f>
        <v>0</v>
      </c>
      <c r="BS223" s="292" t="b">
        <f>IFERROR(__xludf.DUMMYFUNCTION("""COMPUTED_VALUE"""),FALSE)</f>
        <v>0</v>
      </c>
      <c r="BT223" s="292"/>
      <c r="BU223" s="292"/>
      <c r="BV223" s="292"/>
      <c r="BW223" s="292"/>
    </row>
    <row r="224">
      <c r="A224" s="292" t="str">
        <f>IFERROR(__xludf.DUMMYFUNCTION("""COMPUTED_VALUE"""),"FE1829A")</f>
        <v>FE1829A</v>
      </c>
      <c r="B224" s="292" t="str">
        <f>IFERROR(__xludf.DUMMYFUNCTION("""COMPUTED_VALUE"""),"CON-40-154572-4")</f>
        <v>CON-40-154572-4</v>
      </c>
      <c r="C224" s="292" t="str">
        <f>IFERROR(__xludf.DUMMYFUNCTION("""COMPUTED_VALUE"""),"CON-00-155001-2")</f>
        <v>CON-00-155001-2</v>
      </c>
      <c r="D224" s="292" t="str">
        <f>IFERROR(__xludf.DUMMYFUNCTION("""COMPUTED_VALUE"""),"CON-00-155000-2")</f>
        <v>CON-00-155000-2</v>
      </c>
      <c r="E224" s="292" t="str">
        <f>IFERROR(__xludf.DUMMYFUNCTION("""COMPUTED_VALUE"""),"Shakshuka-Style Chicken")</f>
        <v>Shakshuka-Style Chicken</v>
      </c>
      <c r="F224" s="292" t="str">
        <f>IFERROR(__xludf.DUMMYFUNCTION("""COMPUTED_VALUE"""),"with Apricot Quinoa &amp; Chermoula Veggies")</f>
        <v>with Apricot Quinoa &amp; Chermoula Veggies</v>
      </c>
      <c r="G224" s="292" t="str">
        <f>IFERROR(__xludf.DUMMYFUNCTION("""COMPUTED_VALUE"""),"Kip in shakshuka-stijl")</f>
        <v>Kip in shakshuka-stijl</v>
      </c>
      <c r="H224" s="292" t="str">
        <f>IFERROR(__xludf.DUMMYFUNCTION("""COMPUTED_VALUE"""),"met quinoa met abrikoos &amp; chermoula-groenten")</f>
        <v>met quinoa met abrikoos &amp; chermoula-groenten</v>
      </c>
      <c r="I224" s="292" t="str">
        <f>IFERROR(__xludf.DUMMYFUNCTION("""COMPUTED_VALUE"""),"Shakshuka-inspireret kylling")</f>
        <v>Shakshuka-inspireret kylling</v>
      </c>
      <c r="J224" s="292" t="str">
        <f>IFERROR(__xludf.DUMMYFUNCTION("""COMPUTED_VALUE"""),"Shakshuka-Style Hähnchen")</f>
        <v>Shakshuka-Style Hähnchen</v>
      </c>
      <c r="K224" s="292">
        <f>IFERROR(__xludf.DUMMYFUNCTION("""COMPUTED_VALUE"""),565227.0)</f>
        <v>565227</v>
      </c>
      <c r="L224" s="292" t="str">
        <f>IFERROR(__xludf.DUMMYFUNCTION("""COMPUTED_VALUE"""),"HF Shakshuka-Style Chicken")</f>
        <v>HF Shakshuka-Style Chicken</v>
      </c>
      <c r="M224" s="292" t="str">
        <f>IFERROR(__xludf.DUMMYFUNCTION("""COMPUTED_VALUE"""),"FA-NL Kip in shakshuka-stijl (FE1829)")</f>
        <v>FA-NL Kip in shakshuka-stijl (FE1829)</v>
      </c>
      <c r="N224" s="292" t="str">
        <f>IFERROR(__xludf.DUMMYFUNCTION("""COMPUTED_VALUE"""),"FA-NO Shakshuka-inspireret kylling (FE1829)")</f>
        <v>FA-NO Shakshuka-inspireret kylling (FE1829)</v>
      </c>
      <c r="O224" s="292" t="str">
        <f>IFERROR(__xludf.DUMMYFUNCTION("""COMPUTED_VALUE"""),"FA-DE Shakshuka-Style Hähnchen (FE1829)")</f>
        <v>FA-DE Shakshuka-Style Hähnchen (FE1829)</v>
      </c>
      <c r="P224" s="292" t="str">
        <f>IFERROR(__xludf.DUMMYFUNCTION("""COMPUTED_VALUE"""),"Hold")</f>
        <v>Hold</v>
      </c>
      <c r="Q224" s="292"/>
      <c r="R224" s="342">
        <f>IFERROR(__xludf.DUMMYFUNCTION("""COMPUTED_VALUE"""),4.27)</f>
        <v>4.27</v>
      </c>
      <c r="S224" s="292"/>
      <c r="T224" s="292"/>
      <c r="U224" s="292"/>
      <c r="V224" s="292"/>
      <c r="W224" s="292" t="b">
        <f>IFERROR(__xludf.DUMMYFUNCTION("""COMPUTED_VALUE"""),TRUE)</f>
        <v>1</v>
      </c>
      <c r="X224" s="345">
        <f>IFERROR(__xludf.DUMMYFUNCTION("""COMPUTED_VALUE"""),419.0)</f>
        <v>419</v>
      </c>
      <c r="Y224" s="344">
        <f>IFERROR(__xludf.DUMMYFUNCTION("""COMPUTED_VALUE"""),463.0)</f>
        <v>463</v>
      </c>
      <c r="Z224" s="343">
        <f>IFERROR(__xludf.DUMMYFUNCTION("""COMPUTED_VALUE"""),18.5)</f>
        <v>18.5</v>
      </c>
      <c r="AA224" s="344">
        <f>IFERROR(__xludf.DUMMYFUNCTION("""COMPUTED_VALUE"""),3.0)</f>
        <v>3</v>
      </c>
      <c r="AB224" s="344">
        <f>IFERROR(__xludf.DUMMYFUNCTION("""COMPUTED_VALUE"""),40.5)</f>
        <v>40.5</v>
      </c>
      <c r="AC224" s="344">
        <f>IFERROR(__xludf.DUMMYFUNCTION("""COMPUTED_VALUE"""),12.3)</f>
        <v>12.3</v>
      </c>
      <c r="AD224" s="344">
        <f>IFERROR(__xludf.DUMMYFUNCTION("""COMPUTED_VALUE"""),8.5)</f>
        <v>8.5</v>
      </c>
      <c r="AE224" s="343">
        <f>IFERROR(__xludf.DUMMYFUNCTION("""COMPUTED_VALUE"""),29.9)</f>
        <v>29.9</v>
      </c>
      <c r="AF224" s="343">
        <f>IFERROR(__xludf.DUMMYFUNCTION("""COMPUTED_VALUE"""),1.98)</f>
        <v>1.98</v>
      </c>
      <c r="AG224" s="292" t="b">
        <f>IFERROR(__xludf.DUMMYFUNCTION("""COMPUTED_VALUE"""),FALSE)</f>
        <v>0</v>
      </c>
      <c r="AH224" s="292" t="b">
        <f>IFERROR(__xludf.DUMMYFUNCTION("""COMPUTED_VALUE"""),FALSE)</f>
        <v>0</v>
      </c>
      <c r="AI224" s="292" t="b">
        <f>IFERROR(__xludf.DUMMYFUNCTION("""COMPUTED_VALUE"""),FALSE)</f>
        <v>0</v>
      </c>
      <c r="AJ224" s="292" t="b">
        <f>IFERROR(__xludf.DUMMYFUNCTION("""COMPUTED_VALUE"""),FALSE)</f>
        <v>0</v>
      </c>
      <c r="AK224" s="292" t="b">
        <f>IFERROR(__xludf.DUMMYFUNCTION("""COMPUTED_VALUE"""),FALSE)</f>
        <v>0</v>
      </c>
      <c r="AL224" s="292" t="b">
        <f>IFERROR(__xludf.DUMMYFUNCTION("""COMPUTED_VALUE"""),FALSE)</f>
        <v>0</v>
      </c>
      <c r="AM224" s="292" t="b">
        <f>IFERROR(__xludf.DUMMYFUNCTION("""COMPUTED_VALUE"""),FALSE)</f>
        <v>0</v>
      </c>
      <c r="AN224" s="292" t="b">
        <f>IFERROR(__xludf.DUMMYFUNCTION("""COMPUTED_VALUE"""),TRUE)</f>
        <v>1</v>
      </c>
      <c r="AO224" s="292" t="str">
        <f>IFERROR(__xludf.DUMMYFUNCTION("""COMPUTED_VALUE"""),"FALSE")</f>
        <v>FALSE</v>
      </c>
      <c r="AP224" s="292" t="str">
        <f>IFERROR(__xludf.DUMMYFUNCTION("""COMPUTED_VALUE"""),"Chicken breast")</f>
        <v>Chicken breast</v>
      </c>
      <c r="AQ224" s="292" t="str">
        <f>IFERROR(__xludf.DUMMYFUNCTION("""COMPUTED_VALUE"""),"Chicken")</f>
        <v>Chicken</v>
      </c>
      <c r="AR224" s="292" t="str">
        <f>IFERROR(__xludf.DUMMYFUNCTION("""COMPUTED_VALUE"""),"Breast")</f>
        <v>Breast</v>
      </c>
      <c r="AS224" s="292" t="str">
        <f>IFERROR(__xludf.DUMMYFUNCTION("""COMPUTED_VALUE"""),"Quinoa")</f>
        <v>Quinoa</v>
      </c>
      <c r="AT224" s="292" t="str">
        <f>IFERROR(__xludf.DUMMYFUNCTION("""COMPUTED_VALUE"""),"Pepper Mix")</f>
        <v>Pepper Mix</v>
      </c>
      <c r="AU224" s="292" t="str">
        <f>IFERROR(__xludf.DUMMYFUNCTION("""COMPUTED_VALUE"""),"Tomato Based Sauce")</f>
        <v>Tomato Based Sauce</v>
      </c>
      <c r="AV224" s="292"/>
      <c r="AW224" s="292" t="str">
        <f>IFERROR(__xludf.DUMMYFUNCTION("""COMPUTED_VALUE"""),"Year Round")</f>
        <v>Year Round</v>
      </c>
      <c r="AX224" s="292" t="str">
        <f>IFERROR(__xludf.DUMMYFUNCTION("""COMPUTED_VALUE"""),"Middle Eastern - North African")</f>
        <v>Middle Eastern - North African</v>
      </c>
      <c r="AY224" s="292"/>
      <c r="AZ224" s="292" t="str">
        <f>IFERROR(__xludf.DUMMYFUNCTION("""COMPUTED_VALUE"""),"2 CT")</f>
        <v>2 CT</v>
      </c>
      <c r="BA224" s="292" t="b">
        <f>IFERROR(__xludf.DUMMYFUNCTION("""COMPUTED_VALUE"""),FALSE)</f>
        <v>0</v>
      </c>
      <c r="BB224" s="342">
        <f>IFERROR(__xludf.DUMMYFUNCTION("""COMPUTED_VALUE"""),2.82)</f>
        <v>2.82</v>
      </c>
      <c r="BC224" s="342">
        <f>IFERROR(__xludf.DUMMYFUNCTION("""COMPUTED_VALUE"""),1.49)</f>
        <v>1.49</v>
      </c>
      <c r="BD224" s="342">
        <f>IFERROR(__xludf.DUMMYFUNCTION("""COMPUTED_VALUE"""),0.41)</f>
        <v>0.41</v>
      </c>
      <c r="BE224" s="342">
        <f>IFERROR(__xludf.DUMMYFUNCTION("""COMPUTED_VALUE"""),0.89)</f>
        <v>0.89</v>
      </c>
      <c r="BF224" s="296">
        <f>IFERROR(__xludf.DUMMYFUNCTION("""COMPUTED_VALUE"""),2.95)</f>
        <v>2.95</v>
      </c>
      <c r="BG224" s="296">
        <f>IFERROR(__xludf.DUMMYFUNCTION("""COMPUTED_VALUE"""),3.02)</f>
        <v>3.02</v>
      </c>
      <c r="BH224" s="296">
        <f>IFERROR(__xludf.DUMMYFUNCTION("""COMPUTED_VALUE"""),3.08)</f>
        <v>3.08</v>
      </c>
      <c r="BI224" s="295">
        <f>IFERROR(__xludf.DUMMYFUNCTION("""COMPUTED_VALUE"""),153.0)</f>
        <v>153</v>
      </c>
      <c r="BJ224" s="292"/>
      <c r="BK224" s="346">
        <f>IFERROR(__xludf.DUMMYFUNCTION("""COMPUTED_VALUE"""),1938.0)</f>
        <v>1938</v>
      </c>
      <c r="BL224" s="292"/>
      <c r="BM224" s="292"/>
      <c r="BN224" s="292"/>
      <c r="BO224" s="292"/>
      <c r="BP224" s="292"/>
      <c r="BQ224" s="292" t="str">
        <f>IFERROR(__xludf.DUMMYFUNCTION("""COMPUTED_VALUE"""),"Hold")</f>
        <v>Hold</v>
      </c>
      <c r="BR224" s="344" t="b">
        <f>IFERROR(__xludf.DUMMYFUNCTION("""COMPUTED_VALUE"""),FALSE)</f>
        <v>0</v>
      </c>
      <c r="BS224" s="292" t="b">
        <f>IFERROR(__xludf.DUMMYFUNCTION("""COMPUTED_VALUE"""),TRUE)</f>
        <v>1</v>
      </c>
      <c r="BT224" s="292"/>
      <c r="BU224" s="292"/>
      <c r="BV224" s="292"/>
      <c r="BW224" s="292"/>
    </row>
    <row r="225">
      <c r="A225" s="292" t="str">
        <f>IFERROR(__xludf.DUMMYFUNCTION("""COMPUTED_VALUE"""),"FE1646A")</f>
        <v>FE1646A</v>
      </c>
      <c r="B225" s="292" t="str">
        <f>IFERROR(__xludf.DUMMYFUNCTION("""COMPUTED_VALUE"""),"CON-40-154567-4")</f>
        <v>CON-40-154567-4</v>
      </c>
      <c r="C225" s="292"/>
      <c r="D225" s="292"/>
      <c r="E225" s="292" t="str">
        <f>IFERROR(__xludf.DUMMYFUNCTION("""COMPUTED_VALUE"""),"Shrimp with Lemon Garlic Sauce &amp; Spanakopita Style Rice")</f>
        <v>Shrimp with Lemon Garlic Sauce &amp; Spanakopita Style Rice</v>
      </c>
      <c r="F225" s="292" t="str">
        <f>IFERROR(__xludf.DUMMYFUNCTION("""COMPUTED_VALUE"""),"with Cauli, Zucchini &amp; Balsamic Tomatoes")</f>
        <v>with Cauli, Zucchini &amp; Balsamic Tomatoes</v>
      </c>
      <c r="G225" s="292" t="str">
        <f>IFERROR(__xludf.DUMMYFUNCTION("""COMPUTED_VALUE"""),"Garnalen met citroen-knoflooksaus &amp; spanakopitarijst")</f>
        <v>Garnalen met citroen-knoflooksaus &amp; spanakopitarijst</v>
      </c>
      <c r="H225" s="292" t="str">
        <f>IFERROR(__xludf.DUMMYFUNCTION("""COMPUTED_VALUE"""),"met bloemkool, courgette &amp; balsamico-tomaten")</f>
        <v>met bloemkool, courgette &amp; balsamico-tomaten</v>
      </c>
      <c r="I225" s="292" t="str">
        <f>IFERROR(__xludf.DUMMYFUNCTION("""COMPUTED_VALUE"""),"Rejer med citron- og hvidløgssauce og spanakopita-inspirerede ris")</f>
        <v>Rejer med citron- og hvidløgssauce og spanakopita-inspirerede ris</v>
      </c>
      <c r="J225" s="292" t="str">
        <f>IFERROR(__xludf.DUMMYFUNCTION("""COMPUTED_VALUE"""),"Garnelen mit Zitronen-Knoblauch-Sauce &amp; Spanakopita-Reis")</f>
        <v>Garnelen mit Zitronen-Knoblauch-Sauce &amp; Spanakopita-Reis</v>
      </c>
      <c r="K225" s="292">
        <f>IFERROR(__xludf.DUMMYFUNCTION("""COMPUTED_VALUE"""),565235.0)</f>
        <v>565235</v>
      </c>
      <c r="L225" s="292" t="str">
        <f>IFERROR(__xludf.DUMMYFUNCTION("""COMPUTED_VALUE"""),"HF Spanakopita garnaal rijst")</f>
        <v>HF Spanakopita garnaal rijst</v>
      </c>
      <c r="M225" s="292" t="str">
        <f>IFERROR(__xludf.DUMMYFUNCTION("""COMPUTED_VALUE"""),"FA-NL Garnalen met citroen-knoflooksaus &amp; spanakopitarijst (FE1646)")</f>
        <v>FA-NL Garnalen met citroen-knoflooksaus &amp; spanakopitarijst (FE1646)</v>
      </c>
      <c r="N225" s="292" t="str">
        <f>IFERROR(__xludf.DUMMYFUNCTION("""COMPUTED_VALUE"""),"#N/A")</f>
        <v>#N/A</v>
      </c>
      <c r="O225" s="292" t="str">
        <f>IFERROR(__xludf.DUMMYFUNCTION("""COMPUTED_VALUE"""),"#N/A")</f>
        <v>#N/A</v>
      </c>
      <c r="P225" s="292" t="str">
        <f>IFERROR(__xludf.DUMMYFUNCTION("""COMPUTED_VALUE"""),"Active")</f>
        <v>Active</v>
      </c>
      <c r="Q225" s="292"/>
      <c r="R225" s="342">
        <f>IFERROR(__xludf.DUMMYFUNCTION("""COMPUTED_VALUE"""),5.18)</f>
        <v>5.18</v>
      </c>
      <c r="S225" s="292"/>
      <c r="T225" s="292"/>
      <c r="U225" s="292"/>
      <c r="V225" s="292"/>
      <c r="W225" s="292" t="b">
        <f>IFERROR(__xludf.DUMMYFUNCTION("""COMPUTED_VALUE"""),TRUE)</f>
        <v>1</v>
      </c>
      <c r="X225" s="345">
        <f>IFERROR(__xludf.DUMMYFUNCTION("""COMPUTED_VALUE"""),384.0)</f>
        <v>384</v>
      </c>
      <c r="Y225" s="344">
        <f>IFERROR(__xludf.DUMMYFUNCTION("""COMPUTED_VALUE"""),416.0)</f>
        <v>416</v>
      </c>
      <c r="Z225" s="343">
        <f>IFERROR(__xludf.DUMMYFUNCTION("""COMPUTED_VALUE"""),21.5)</f>
        <v>21.5</v>
      </c>
      <c r="AA225" s="344">
        <f>IFERROR(__xludf.DUMMYFUNCTION("""COMPUTED_VALUE"""),8.5)</f>
        <v>8.5</v>
      </c>
      <c r="AB225" s="344">
        <f>IFERROR(__xludf.DUMMYFUNCTION("""COMPUTED_VALUE"""),25.4)</f>
        <v>25.4</v>
      </c>
      <c r="AC225" s="344">
        <f>IFERROR(__xludf.DUMMYFUNCTION("""COMPUTED_VALUE"""),7.9)</f>
        <v>7.9</v>
      </c>
      <c r="AD225" s="344">
        <f>IFERROR(__xludf.DUMMYFUNCTION("""COMPUTED_VALUE"""),4.4)</f>
        <v>4.4</v>
      </c>
      <c r="AE225" s="343">
        <f>IFERROR(__xludf.DUMMYFUNCTION("""COMPUTED_VALUE"""),28.4)</f>
        <v>28.4</v>
      </c>
      <c r="AF225" s="343">
        <f>IFERROR(__xludf.DUMMYFUNCTION("""COMPUTED_VALUE"""),1.92)</f>
        <v>1.92</v>
      </c>
      <c r="AG225" s="292" t="b">
        <f>IFERROR(__xludf.DUMMYFUNCTION("""COMPUTED_VALUE"""),FALSE)</f>
        <v>0</v>
      </c>
      <c r="AH225" s="292" t="b">
        <f>IFERROR(__xludf.DUMMYFUNCTION("""COMPUTED_VALUE"""),FALSE)</f>
        <v>0</v>
      </c>
      <c r="AI225" s="292" t="b">
        <f>IFERROR(__xludf.DUMMYFUNCTION("""COMPUTED_VALUE"""),TRUE)</f>
        <v>1</v>
      </c>
      <c r="AJ225" s="292" t="b">
        <f>IFERROR(__xludf.DUMMYFUNCTION("""COMPUTED_VALUE"""),FALSE)</f>
        <v>0</v>
      </c>
      <c r="AK225" s="292" t="b">
        <f>IFERROR(__xludf.DUMMYFUNCTION("""COMPUTED_VALUE"""),FALSE)</f>
        <v>0</v>
      </c>
      <c r="AL225" s="292" t="b">
        <f>IFERROR(__xludf.DUMMYFUNCTION("""COMPUTED_VALUE"""),FALSE)</f>
        <v>0</v>
      </c>
      <c r="AM225" s="292" t="b">
        <f>IFERROR(__xludf.DUMMYFUNCTION("""COMPUTED_VALUE"""),FALSE)</f>
        <v>0</v>
      </c>
      <c r="AN225" s="292" t="b">
        <f>IFERROR(__xludf.DUMMYFUNCTION("""COMPUTED_VALUE"""),FALSE)</f>
        <v>0</v>
      </c>
      <c r="AO225" s="292" t="str">
        <f>IFERROR(__xludf.DUMMYFUNCTION("""COMPUTED_VALUE"""),"FALSE")</f>
        <v>FALSE</v>
      </c>
      <c r="AP225" s="292" t="str">
        <f>IFERROR(__xludf.DUMMYFUNCTION("""COMPUTED_VALUE"""),"Shrimp")</f>
        <v>Shrimp</v>
      </c>
      <c r="AQ225" s="292" t="str">
        <f>IFERROR(__xludf.DUMMYFUNCTION("""COMPUTED_VALUE"""),"Shrimp")</f>
        <v>Shrimp</v>
      </c>
      <c r="AR225" s="292"/>
      <c r="AS225" s="292" t="str">
        <f>IFERROR(__xludf.DUMMYFUNCTION("""COMPUTED_VALUE"""),"Rice")</f>
        <v>Rice</v>
      </c>
      <c r="AT225" s="292" t="str">
        <f>IFERROR(__xludf.DUMMYFUNCTION("""COMPUTED_VALUE"""),"Zucchini Half Moon")</f>
        <v>Zucchini Half Moon</v>
      </c>
      <c r="AU225" s="292" t="str">
        <f>IFERROR(__xludf.DUMMYFUNCTION("""COMPUTED_VALUE"""),"Cauliflower Florets")</f>
        <v>Cauliflower Florets</v>
      </c>
      <c r="AV225" s="292" t="str">
        <f>IFERROR(__xludf.DUMMYFUNCTION("""COMPUTED_VALUE"""),"Creamy Sauce Base")</f>
        <v>Creamy Sauce Base</v>
      </c>
      <c r="AW225" s="292" t="str">
        <f>IFERROR(__xludf.DUMMYFUNCTION("""COMPUTED_VALUE"""),"Year Round")</f>
        <v>Year Round</v>
      </c>
      <c r="AX225" s="292" t="str">
        <f>IFERROR(__xludf.DUMMYFUNCTION("""COMPUTED_VALUE"""),"Greek")</f>
        <v>Greek</v>
      </c>
      <c r="AY225" s="292"/>
      <c r="AZ225" s="292" t="str">
        <f>IFERROR(__xludf.DUMMYFUNCTION("""COMPUTED_VALUE"""),"2 CT")</f>
        <v>2 CT</v>
      </c>
      <c r="BA225" s="292" t="b">
        <f>IFERROR(__xludf.DUMMYFUNCTION("""COMPUTED_VALUE"""),FALSE)</f>
        <v>0</v>
      </c>
      <c r="BB225" s="342">
        <f>IFERROR(__xludf.DUMMYFUNCTION("""COMPUTED_VALUE"""),3.08)</f>
        <v>3.08</v>
      </c>
      <c r="BC225" s="342">
        <f>IFERROR(__xludf.DUMMYFUNCTION("""COMPUTED_VALUE"""),1.7)</f>
        <v>1.7</v>
      </c>
      <c r="BD225" s="342">
        <f>IFERROR(__xludf.DUMMYFUNCTION("""COMPUTED_VALUE"""),0.41)</f>
        <v>0.41</v>
      </c>
      <c r="BE225" s="342">
        <f>IFERROR(__xludf.DUMMYFUNCTION("""COMPUTED_VALUE"""),0.89)</f>
        <v>0.89</v>
      </c>
      <c r="BF225" s="296" t="str">
        <f>IFERROR(__xludf.DUMMYFUNCTION("""COMPUTED_VALUE"""),"#REF!")</f>
        <v>#REF!</v>
      </c>
      <c r="BG225" s="296" t="str">
        <f>IFERROR(__xludf.DUMMYFUNCTION("""COMPUTED_VALUE"""),"#REF!")</f>
        <v>#REF!</v>
      </c>
      <c r="BH225" s="296" t="str">
        <f>IFERROR(__xludf.DUMMYFUNCTION("""COMPUTED_VALUE"""),"#REF!")</f>
        <v>#REF!</v>
      </c>
      <c r="BI225" s="295">
        <f>IFERROR(__xludf.DUMMYFUNCTION("""COMPUTED_VALUE"""),159.0)</f>
        <v>159</v>
      </c>
      <c r="BJ225" s="292"/>
      <c r="BK225" s="346">
        <f>IFERROR(__xludf.DUMMYFUNCTION("""COMPUTED_VALUE"""),1744.0)</f>
        <v>1744</v>
      </c>
      <c r="BL225" s="292"/>
      <c r="BM225" s="292"/>
      <c r="BN225" s="292"/>
      <c r="BO225" s="292"/>
      <c r="BP225" s="292"/>
      <c r="BQ225" s="292" t="str">
        <f>IFERROR(__xludf.DUMMYFUNCTION("""COMPUTED_VALUE"""),"New")</f>
        <v>New</v>
      </c>
      <c r="BR225" s="344" t="b">
        <f>IFERROR(__xludf.DUMMYFUNCTION("""COMPUTED_VALUE"""),FALSE)</f>
        <v>0</v>
      </c>
      <c r="BS225" s="292" t="b">
        <f>IFERROR(__xludf.DUMMYFUNCTION("""COMPUTED_VALUE"""),FALSE)</f>
        <v>0</v>
      </c>
      <c r="BT225" s="292"/>
      <c r="BU225" s="292"/>
      <c r="BV225" s="292"/>
      <c r="BW225" s="292"/>
    </row>
    <row r="226">
      <c r="A226" s="292" t="str">
        <f>IFERROR(__xludf.DUMMYFUNCTION("""COMPUTED_VALUE"""),"FE1633A")</f>
        <v>FE1633A</v>
      </c>
      <c r="B226" s="292" t="str">
        <f>IFERROR(__xludf.DUMMYFUNCTION("""COMPUTED_VALUE"""),"CON-40-154568-4")</f>
        <v>CON-40-154568-4</v>
      </c>
      <c r="C226" s="292"/>
      <c r="D226" s="292"/>
      <c r="E226" s="292" t="str">
        <f>IFERROR(__xludf.DUMMYFUNCTION("""COMPUTED_VALUE"""),"Lemon Herb Grilled Chicken")</f>
        <v>Lemon Herb Grilled Chicken</v>
      </c>
      <c r="F226" s="292" t="str">
        <f>IFERROR(__xludf.DUMMYFUNCTION("""COMPUTED_VALUE"""),"with Grape Tomatoes, Quinoa-Rice Blend &amp; Broccoli")</f>
        <v>with Grape Tomatoes, Quinoa-Rice Blend &amp; Broccoli</v>
      </c>
      <c r="G226" s="292" t="str">
        <f>IFERROR(__xludf.DUMMYFUNCTION("""COMPUTED_VALUE"""),"Gegrilde kip met citrus en kruiden")</f>
        <v>Gegrilde kip met citrus en kruiden</v>
      </c>
      <c r="H226" s="292" t="str">
        <f>IFERROR(__xludf.DUMMYFUNCTION("""COMPUTED_VALUE"""),"met kerstomaten, quinoa-rijstmix &amp; broccoli")</f>
        <v>met kerstomaten, quinoa-rijstmix &amp; broccoli</v>
      </c>
      <c r="I226" s="292" t="str">
        <f>IFERROR(__xludf.DUMMYFUNCTION("""COMPUTED_VALUE"""),"Citron- og urtegrillet kylling")</f>
        <v>Citron- og urtegrillet kylling</v>
      </c>
      <c r="J226" s="292" t="str">
        <f>IFERROR(__xludf.DUMMYFUNCTION("""COMPUTED_VALUE"""),"Zitronen-Kräuter-Hähnchen")</f>
        <v>Zitronen-Kräuter-Hähnchen</v>
      </c>
      <c r="K226" s="292">
        <f>IFERROR(__xludf.DUMMYFUNCTION("""COMPUTED_VALUE"""),565232.0)</f>
        <v>565232</v>
      </c>
      <c r="L226" s="292" t="str">
        <f>IFERROR(__xludf.DUMMYFUNCTION("""COMPUTED_VALUE"""),"HF Lemon herb grilled chicken")</f>
        <v>HF Lemon herb grilled chicken</v>
      </c>
      <c r="M226" s="292" t="str">
        <f>IFERROR(__xludf.DUMMYFUNCTION("""COMPUTED_VALUE"""),"FA-NL Gegrilde kip met citrus en kruiden (FE1633)")</f>
        <v>FA-NL Gegrilde kip met citrus en kruiden (FE1633)</v>
      </c>
      <c r="N226" s="292" t="str">
        <f>IFERROR(__xludf.DUMMYFUNCTION("""COMPUTED_VALUE"""),"#N/A")</f>
        <v>#N/A</v>
      </c>
      <c r="O226" s="292" t="str">
        <f>IFERROR(__xludf.DUMMYFUNCTION("""COMPUTED_VALUE"""),"#N/A")</f>
        <v>#N/A</v>
      </c>
      <c r="P226" s="292" t="str">
        <f>IFERROR(__xludf.DUMMYFUNCTION("""COMPUTED_VALUE"""),"Active")</f>
        <v>Active</v>
      </c>
      <c r="Q226" s="292"/>
      <c r="R226" s="342">
        <f>IFERROR(__xludf.DUMMYFUNCTION("""COMPUTED_VALUE"""),4.82)</f>
        <v>4.82</v>
      </c>
      <c r="S226" s="292"/>
      <c r="T226" s="292"/>
      <c r="U226" s="292"/>
      <c r="V226" s="292"/>
      <c r="W226" s="292" t="b">
        <f>IFERROR(__xludf.DUMMYFUNCTION("""COMPUTED_VALUE"""),TRUE)</f>
        <v>1</v>
      </c>
      <c r="X226" s="345">
        <f>IFERROR(__xludf.DUMMYFUNCTION("""COMPUTED_VALUE"""),389.0)</f>
        <v>389</v>
      </c>
      <c r="Y226" s="344">
        <f>IFERROR(__xludf.DUMMYFUNCTION("""COMPUTED_VALUE"""),446.0)</f>
        <v>446</v>
      </c>
      <c r="Z226" s="343">
        <f>IFERROR(__xludf.DUMMYFUNCTION("""COMPUTED_VALUE"""),20.4)</f>
        <v>20.4</v>
      </c>
      <c r="AA226" s="344">
        <f>IFERROR(__xludf.DUMMYFUNCTION("""COMPUTED_VALUE"""),3.7)</f>
        <v>3.7</v>
      </c>
      <c r="AB226" s="344">
        <f>IFERROR(__xludf.DUMMYFUNCTION("""COMPUTED_VALUE"""),29.8)</f>
        <v>29.8</v>
      </c>
      <c r="AC226" s="344">
        <f>IFERROR(__xludf.DUMMYFUNCTION("""COMPUTED_VALUE"""),5.8)</f>
        <v>5.8</v>
      </c>
      <c r="AD226" s="344">
        <f>IFERROR(__xludf.DUMMYFUNCTION("""COMPUTED_VALUE"""),8.1)</f>
        <v>8.1</v>
      </c>
      <c r="AE226" s="343">
        <f>IFERROR(__xludf.DUMMYFUNCTION("""COMPUTED_VALUE"""),31.6)</f>
        <v>31.6</v>
      </c>
      <c r="AF226" s="343">
        <f>IFERROR(__xludf.DUMMYFUNCTION("""COMPUTED_VALUE"""),1.96)</f>
        <v>1.96</v>
      </c>
      <c r="AG226" s="292" t="b">
        <f>IFERROR(__xludf.DUMMYFUNCTION("""COMPUTED_VALUE"""),FALSE)</f>
        <v>0</v>
      </c>
      <c r="AH226" s="292" t="b">
        <f>IFERROR(__xludf.DUMMYFUNCTION("""COMPUTED_VALUE"""),FALSE)</f>
        <v>0</v>
      </c>
      <c r="AI226" s="292" t="b">
        <f>IFERROR(__xludf.DUMMYFUNCTION("""COMPUTED_VALUE"""),TRUE)</f>
        <v>1</v>
      </c>
      <c r="AJ226" s="292" t="b">
        <f>IFERROR(__xludf.DUMMYFUNCTION("""COMPUTED_VALUE"""),FALSE)</f>
        <v>0</v>
      </c>
      <c r="AK226" s="292" t="b">
        <f>IFERROR(__xludf.DUMMYFUNCTION("""COMPUTED_VALUE"""),FALSE)</f>
        <v>0</v>
      </c>
      <c r="AL226" s="292" t="b">
        <f>IFERROR(__xludf.DUMMYFUNCTION("""COMPUTED_VALUE"""),FALSE)</f>
        <v>0</v>
      </c>
      <c r="AM226" s="292" t="b">
        <f>IFERROR(__xludf.DUMMYFUNCTION("""COMPUTED_VALUE"""),FALSE)</f>
        <v>0</v>
      </c>
      <c r="AN226" s="292" t="b">
        <f>IFERROR(__xludf.DUMMYFUNCTION("""COMPUTED_VALUE"""),FALSE)</f>
        <v>0</v>
      </c>
      <c r="AO226" s="292" t="str">
        <f>IFERROR(__xludf.DUMMYFUNCTION("""COMPUTED_VALUE"""),"FALSE")</f>
        <v>FALSE</v>
      </c>
      <c r="AP226" s="292" t="str">
        <f>IFERROR(__xludf.DUMMYFUNCTION("""COMPUTED_VALUE"""),"Chicken breast")</f>
        <v>Chicken breast</v>
      </c>
      <c r="AQ226" s="292" t="str">
        <f>IFERROR(__xludf.DUMMYFUNCTION("""COMPUTED_VALUE"""),"Chicken")</f>
        <v>Chicken</v>
      </c>
      <c r="AR226" s="292" t="str">
        <f>IFERROR(__xludf.DUMMYFUNCTION("""COMPUTED_VALUE"""),"Breast")</f>
        <v>Breast</v>
      </c>
      <c r="AS226" s="292" t="str">
        <f>IFERROR(__xludf.DUMMYFUNCTION("""COMPUTED_VALUE"""),"Quinoa")</f>
        <v>Quinoa</v>
      </c>
      <c r="AT226" s="292" t="str">
        <f>IFERROR(__xludf.DUMMYFUNCTION("""COMPUTED_VALUE"""),"Broccoli")</f>
        <v>Broccoli</v>
      </c>
      <c r="AU226" s="292" t="str">
        <f>IFERROR(__xludf.DUMMYFUNCTION("""COMPUTED_VALUE"""),"Cherry Tomatoes")</f>
        <v>Cherry Tomatoes</v>
      </c>
      <c r="AV226" s="292" t="str">
        <f>IFERROR(__xludf.DUMMYFUNCTION("""COMPUTED_VALUE"""),"Cupped Sauce")</f>
        <v>Cupped Sauce</v>
      </c>
      <c r="AW226" s="292" t="str">
        <f>IFERROR(__xludf.DUMMYFUNCTION("""COMPUTED_VALUE"""),"Year Round")</f>
        <v>Year Round</v>
      </c>
      <c r="AX226" s="292" t="str">
        <f>IFERROR(__xludf.DUMMYFUNCTION("""COMPUTED_VALUE"""),"Greek")</f>
        <v>Greek</v>
      </c>
      <c r="AY226" s="292"/>
      <c r="AZ226" s="292" t="str">
        <f>IFERROR(__xludf.DUMMYFUNCTION("""COMPUTED_VALUE"""),"2 CT")</f>
        <v>2 CT</v>
      </c>
      <c r="BA226" s="292" t="b">
        <f>IFERROR(__xludf.DUMMYFUNCTION("""COMPUTED_VALUE"""),TRUE)</f>
        <v>1</v>
      </c>
      <c r="BB226" s="342">
        <f>IFERROR(__xludf.DUMMYFUNCTION("""COMPUTED_VALUE"""),2.7)</f>
        <v>2.7</v>
      </c>
      <c r="BC226" s="342">
        <f>IFERROR(__xludf.DUMMYFUNCTION("""COMPUTED_VALUE"""),1.68)</f>
        <v>1.68</v>
      </c>
      <c r="BD226" s="342">
        <f>IFERROR(__xludf.DUMMYFUNCTION("""COMPUTED_VALUE"""),0.44)</f>
        <v>0.44</v>
      </c>
      <c r="BE226" s="342">
        <f>IFERROR(__xludf.DUMMYFUNCTION("""COMPUTED_VALUE"""),0.89)</f>
        <v>0.89</v>
      </c>
      <c r="BF226" s="296" t="str">
        <f>IFERROR(__xludf.DUMMYFUNCTION("""COMPUTED_VALUE"""),"#REF!")</f>
        <v>#REF!</v>
      </c>
      <c r="BG226" s="296" t="str">
        <f>IFERROR(__xludf.DUMMYFUNCTION("""COMPUTED_VALUE"""),"#REF!")</f>
        <v>#REF!</v>
      </c>
      <c r="BH226" s="296" t="str">
        <f>IFERROR(__xludf.DUMMYFUNCTION("""COMPUTED_VALUE"""),"#REF!")</f>
        <v>#REF!</v>
      </c>
      <c r="BI226" s="295">
        <f>IFERROR(__xludf.DUMMYFUNCTION("""COMPUTED_VALUE"""),159.0)</f>
        <v>159</v>
      </c>
      <c r="BJ226" s="292"/>
      <c r="BK226" s="346">
        <f>IFERROR(__xludf.DUMMYFUNCTION("""COMPUTED_VALUE"""),1864.0)</f>
        <v>1864</v>
      </c>
      <c r="BL226" s="292"/>
      <c r="BM226" s="292"/>
      <c r="BN226" s="292"/>
      <c r="BO226" s="292"/>
      <c r="BP226" s="292"/>
      <c r="BQ226" s="292" t="str">
        <f>IFERROR(__xludf.DUMMYFUNCTION("""COMPUTED_VALUE"""),"New")</f>
        <v>New</v>
      </c>
      <c r="BR226" s="344" t="b">
        <f>IFERROR(__xludf.DUMMYFUNCTION("""COMPUTED_VALUE"""),FALSE)</f>
        <v>0</v>
      </c>
      <c r="BS226" s="292" t="b">
        <f>IFERROR(__xludf.DUMMYFUNCTION("""COMPUTED_VALUE"""),TRUE)</f>
        <v>1</v>
      </c>
      <c r="BT226" s="292"/>
      <c r="BU226" s="292"/>
      <c r="BV226" s="292"/>
      <c r="BW226" s="292"/>
    </row>
    <row r="227">
      <c r="A227" s="292" t="str">
        <f>IFERROR(__xludf.DUMMYFUNCTION("""COMPUTED_VALUE"""),"FE0121C")</f>
        <v>FE0121C</v>
      </c>
      <c r="B227" s="292" t="str">
        <f>IFERROR(__xludf.DUMMYFUNCTION("""COMPUTED_VALUE"""),"CON-40-143697-4")</f>
        <v>CON-40-143697-4</v>
      </c>
      <c r="C227" s="292" t="str">
        <f>IFERROR(__xludf.DUMMYFUNCTION("""COMPUTED_VALUE"""),"CON-00-147818-2")</f>
        <v>CON-00-147818-2</v>
      </c>
      <c r="D227" s="292" t="str">
        <f>IFERROR(__xludf.DUMMYFUNCTION("""COMPUTED_VALUE"""),"CON-00-136641-3")</f>
        <v>CON-00-136641-3</v>
      </c>
      <c r="E227" s="292" t="str">
        <f>IFERROR(__xludf.DUMMYFUNCTION("""COMPUTED_VALUE"""),"Mexican style corn cake")</f>
        <v>Mexican style corn cake</v>
      </c>
      <c r="F227" s="292" t="str">
        <f>IFERROR(__xludf.DUMMYFUNCTION("""COMPUTED_VALUE"""),"with vegetarian chili, sweet potato and jalapeño cream")</f>
        <v>with vegetarian chili, sweet potato and jalapeño cream</v>
      </c>
      <c r="G227" s="292" t="str">
        <f>IFERROR(__xludf.DUMMYFUNCTION("""COMPUTED_VALUE"""),"Mexicaanse stijl maïscake")</f>
        <v>Mexicaanse stijl maïscake</v>
      </c>
      <c r="H227" s="292" t="str">
        <f>IFERROR(__xludf.DUMMYFUNCTION("""COMPUTED_VALUE"""),"met vegetarische chili, zoete aardappel en jalapeño-crème")</f>
        <v>met vegetarische chili, zoete aardappel en jalapeño-crème</v>
      </c>
      <c r="I227" s="292" t="str">
        <f>IFERROR(__xludf.DUMMYFUNCTION("""COMPUTED_VALUE"""),"Mexicansk-inspireret majskage")</f>
        <v>Mexicansk-inspireret majskage</v>
      </c>
      <c r="J227" s="292" t="str">
        <f>IFERROR(__xludf.DUMMYFUNCTION("""COMPUTED_VALUE"""),"Mexikanischer Maiskuchen")</f>
        <v>Mexikanischer Maiskuchen</v>
      </c>
      <c r="K227" s="292">
        <f>IFERROR(__xludf.DUMMYFUNCTION("""COMPUTED_VALUE"""),565023.0)</f>
        <v>565023</v>
      </c>
      <c r="L227" s="292" t="str">
        <f>IFERROR(__xludf.DUMMYFUNCTION("""COMPUTED_VALUE"""),"HF Mex.stijl maiscake")</f>
        <v>HF Mex.stijl maiscake</v>
      </c>
      <c r="M227" s="292" t="str">
        <f>IFERROR(__xludf.DUMMYFUNCTION("""COMPUTED_VALUE"""),"FA-NL Mexicaanse stijl maïscake [FE0121]")</f>
        <v>FA-NL Mexicaanse stijl maïscake [FE0121]</v>
      </c>
      <c r="N227" s="292" t="str">
        <f>IFERROR(__xludf.DUMMYFUNCTION("""COMPUTED_VALUE"""),"FA-NO Mexicansk majskage (FE0121)")</f>
        <v>FA-NO Mexicansk majskage (FE0121)</v>
      </c>
      <c r="O227" s="292" t="str">
        <f>IFERROR(__xludf.DUMMYFUNCTION("""COMPUTED_VALUE"""),"FA-DE Mexikanische Mais-Bowl (FE0121)")</f>
        <v>FA-DE Mexikanische Mais-Bowl (FE0121)</v>
      </c>
      <c r="P227" s="292" t="str">
        <f>IFERROR(__xludf.DUMMYFUNCTION("""COMPUTED_VALUE"""),"Active")</f>
        <v>Active</v>
      </c>
      <c r="Q227" s="292"/>
      <c r="R227" s="342">
        <f>IFERROR(__xludf.DUMMYFUNCTION("""COMPUTED_VALUE"""),4.0)</f>
        <v>4</v>
      </c>
      <c r="S227" s="292"/>
      <c r="T227" s="292"/>
      <c r="U227" s="292"/>
      <c r="V227" s="292"/>
      <c r="W227" s="292" t="b">
        <f>IFERROR(__xludf.DUMMYFUNCTION("""COMPUTED_VALUE"""),TRUE)</f>
        <v>1</v>
      </c>
      <c r="X227" s="345">
        <f>IFERROR(__xludf.DUMMYFUNCTION("""COMPUTED_VALUE"""),390.0)</f>
        <v>390</v>
      </c>
      <c r="Y227" s="344">
        <f>IFERROR(__xludf.DUMMYFUNCTION("""COMPUTED_VALUE"""),586.0)</f>
        <v>586</v>
      </c>
      <c r="Z227" s="343">
        <f>IFERROR(__xludf.DUMMYFUNCTION("""COMPUTED_VALUE"""),27.4)</f>
        <v>27.4</v>
      </c>
      <c r="AA227" s="344">
        <f>IFERROR(__xludf.DUMMYFUNCTION("""COMPUTED_VALUE"""),9.8)</f>
        <v>9.8</v>
      </c>
      <c r="AB227" s="344">
        <f>IFERROR(__xludf.DUMMYFUNCTION("""COMPUTED_VALUE"""),63.7)</f>
        <v>63.7</v>
      </c>
      <c r="AC227" s="344">
        <f>IFERROR(__xludf.DUMMYFUNCTION("""COMPUTED_VALUE"""),21.8)</f>
        <v>21.8</v>
      </c>
      <c r="AD227" s="344">
        <f>IFERROR(__xludf.DUMMYFUNCTION("""COMPUTED_VALUE"""),15.5)</f>
        <v>15.5</v>
      </c>
      <c r="AE227" s="343">
        <f>IFERROR(__xludf.DUMMYFUNCTION("""COMPUTED_VALUE"""),16.7)</f>
        <v>16.7</v>
      </c>
      <c r="AF227" s="343">
        <f>IFERROR(__xludf.DUMMYFUNCTION("""COMPUTED_VALUE"""),1.99)</f>
        <v>1.99</v>
      </c>
      <c r="AG227" s="292" t="b">
        <f>IFERROR(__xludf.DUMMYFUNCTION("""COMPUTED_VALUE"""),TRUE)</f>
        <v>1</v>
      </c>
      <c r="AH227" s="292" t="b">
        <f>IFERROR(__xludf.DUMMYFUNCTION("""COMPUTED_VALUE"""),FALSE)</f>
        <v>0</v>
      </c>
      <c r="AI227" s="292" t="b">
        <f>IFERROR(__xludf.DUMMYFUNCTION("""COMPUTED_VALUE"""),FALSE)</f>
        <v>0</v>
      </c>
      <c r="AJ227" s="292" t="b">
        <f>IFERROR(__xludf.DUMMYFUNCTION("""COMPUTED_VALUE"""),FALSE)</f>
        <v>0</v>
      </c>
      <c r="AK227" s="292" t="b">
        <f>IFERROR(__xludf.DUMMYFUNCTION("""COMPUTED_VALUE"""),TRUE)</f>
        <v>1</v>
      </c>
      <c r="AL227" s="292" t="b">
        <f>IFERROR(__xludf.DUMMYFUNCTION("""COMPUTED_VALUE"""),FALSE)</f>
        <v>0</v>
      </c>
      <c r="AM227" s="292" t="b">
        <f>IFERROR(__xludf.DUMMYFUNCTION("""COMPUTED_VALUE"""),FALSE)</f>
        <v>0</v>
      </c>
      <c r="AN227" s="292" t="b">
        <f>IFERROR(__xludf.DUMMYFUNCTION("""COMPUTED_VALUE"""),FALSE)</f>
        <v>0</v>
      </c>
      <c r="AO227" s="292" t="str">
        <f>IFERROR(__xludf.DUMMYFUNCTION("""COMPUTED_VALUE"""),"TRUE")</f>
        <v>TRUE</v>
      </c>
      <c r="AP227" s="292" t="str">
        <f>IFERROR(__xludf.DUMMYFUNCTION("""COMPUTED_VALUE"""),"Vegetarian")</f>
        <v>Vegetarian</v>
      </c>
      <c r="AQ227" s="292" t="str">
        <f>IFERROR(__xludf.DUMMYFUNCTION("""COMPUTED_VALUE"""),"Vegetarian")</f>
        <v>Vegetarian</v>
      </c>
      <c r="AR227" s="292" t="str">
        <f>IFERROR(__xludf.DUMMYFUNCTION("""COMPUTED_VALUE"""),"Legumes")</f>
        <v>Legumes</v>
      </c>
      <c r="AS227" s="292" t="str">
        <f>IFERROR(__xludf.DUMMYFUNCTION("""COMPUTED_VALUE"""),"Veggie-based Cake")</f>
        <v>Veggie-based Cake</v>
      </c>
      <c r="AT227" s="292" t="str">
        <f>IFERROR(__xludf.DUMMYFUNCTION("""COMPUTED_VALUE"""),"Mixed Beans")</f>
        <v>Mixed Beans</v>
      </c>
      <c r="AU227" s="292" t="str">
        <f>IFERROR(__xludf.DUMMYFUNCTION("""COMPUTED_VALUE"""),"Sweet Potato")</f>
        <v>Sweet Potato</v>
      </c>
      <c r="AV227" s="292" t="str">
        <f>IFERROR(__xludf.DUMMYFUNCTION("""COMPUTED_VALUE"""),"Pepper Mix")</f>
        <v>Pepper Mix</v>
      </c>
      <c r="AW227" s="292" t="str">
        <f>IFERROR(__xludf.DUMMYFUNCTION("""COMPUTED_VALUE"""),"Year Round")</f>
        <v>Year Round</v>
      </c>
      <c r="AX227" s="292" t="str">
        <f>IFERROR(__xludf.DUMMYFUNCTION("""COMPUTED_VALUE"""),"Mexican")</f>
        <v>Mexican</v>
      </c>
      <c r="AY227" s="292"/>
      <c r="AZ227" s="292" t="str">
        <f>IFERROR(__xludf.DUMMYFUNCTION("""COMPUTED_VALUE"""),"2 CT")</f>
        <v>2 CT</v>
      </c>
      <c r="BA227" s="292" t="b">
        <f>IFERROR(__xludf.DUMMYFUNCTION("""COMPUTED_VALUE"""),TRUE)</f>
        <v>1</v>
      </c>
      <c r="BB227" s="342">
        <f>IFERROR(__xludf.DUMMYFUNCTION("""COMPUTED_VALUE"""),1.58)</f>
        <v>1.58</v>
      </c>
      <c r="BC227" s="342">
        <f>IFERROR(__xludf.DUMMYFUNCTION("""COMPUTED_VALUE"""),1.14)</f>
        <v>1.14</v>
      </c>
      <c r="BD227" s="342">
        <f>IFERROR(__xludf.DUMMYFUNCTION("""COMPUTED_VALUE"""),0.39)</f>
        <v>0.39</v>
      </c>
      <c r="BE227" s="342">
        <f>IFERROR(__xludf.DUMMYFUNCTION("""COMPUTED_VALUE"""),0.89)</f>
        <v>0.89</v>
      </c>
      <c r="BF227" s="296">
        <f>IFERROR(__xludf.DUMMYFUNCTION("""COMPUTED_VALUE"""),3.0766666666666667)</f>
        <v>3.076666667</v>
      </c>
      <c r="BG227" s="296">
        <f>IFERROR(__xludf.DUMMYFUNCTION("""COMPUTED_VALUE"""),3.1566666666666663)</f>
        <v>3.156666667</v>
      </c>
      <c r="BH227" s="296">
        <f>IFERROR(__xludf.DUMMYFUNCTION("""COMPUTED_VALUE"""),2.7533333333333334)</f>
        <v>2.753333333</v>
      </c>
      <c r="BI227" s="295">
        <f>IFERROR(__xludf.DUMMYFUNCTION("""COMPUTED_VALUE"""),132.0)</f>
        <v>132</v>
      </c>
      <c r="BJ227" s="292"/>
      <c r="BK227" s="346">
        <f>IFERROR(__xludf.DUMMYFUNCTION("""COMPUTED_VALUE"""),2448.0)</f>
        <v>2448</v>
      </c>
      <c r="BL227" s="292"/>
      <c r="BM227" s="292"/>
      <c r="BN227" s="292"/>
      <c r="BO227" s="292"/>
      <c r="BP227" s="292"/>
      <c r="BQ227" s="292"/>
      <c r="BR227" s="344" t="b">
        <f>IFERROR(__xludf.DUMMYFUNCTION("""COMPUTED_VALUE"""),FALSE)</f>
        <v>0</v>
      </c>
      <c r="BS227" s="292" t="b">
        <f>IFERROR(__xludf.DUMMYFUNCTION("""COMPUTED_VALUE"""),FALSE)</f>
        <v>0</v>
      </c>
      <c r="BT227" s="292"/>
      <c r="BU227" s="292"/>
      <c r="BV227" s="292"/>
      <c r="BW227" s="292"/>
    </row>
    <row r="228">
      <c r="A228" s="292" t="str">
        <f>IFERROR(__xludf.DUMMYFUNCTION("""COMPUTED_VALUE"""),"FE0713B")</f>
        <v>FE0713B</v>
      </c>
      <c r="B228" s="292" t="str">
        <f>IFERROR(__xludf.DUMMYFUNCTION("""COMPUTED_VALUE"""),"CON-40-143695-4")</f>
        <v>CON-40-143695-4</v>
      </c>
      <c r="C228" s="292" t="str">
        <f>IFERROR(__xludf.DUMMYFUNCTION("""COMPUTED_VALUE"""),"CON-00-147854-2")</f>
        <v>CON-00-147854-2</v>
      </c>
      <c r="D228" s="292" t="str">
        <f>IFERROR(__xludf.DUMMYFUNCTION("""COMPUTED_VALUE"""),"CON-00-136671-3")</f>
        <v>CON-00-136671-3</v>
      </c>
      <c r="E228" s="292" t="str">
        <f>IFERROR(__xludf.DUMMYFUNCTION("""COMPUTED_VALUE"""),"Cabbage in cheese sauce with minced beef")</f>
        <v>Cabbage in cheese sauce with minced beef</v>
      </c>
      <c r="F228" s="292" t="str">
        <f>IFERROR(__xludf.DUMMYFUNCTION("""COMPUTED_VALUE"""),"with spicy garlic green beans and red peppers")</f>
        <v>with spicy garlic green beans and red peppers</v>
      </c>
      <c r="G228" s="292" t="str">
        <f>IFERROR(__xludf.DUMMYFUNCTION("""COMPUTED_VALUE"""),"Rundvlees met gesmolten kaas en kool")</f>
        <v>Rundvlees met gesmolten kaas en kool</v>
      </c>
      <c r="H228" s="292" t="str">
        <f>IFERROR(__xludf.DUMMYFUNCTION("""COMPUTED_VALUE"""),"met pittige knoflook-sperziebonen en rode paprika")</f>
        <v>met pittige knoflook-sperziebonen en rode paprika</v>
      </c>
      <c r="I228" s="292" t="str">
        <f>IFERROR(__xludf.DUMMYFUNCTION("""COMPUTED_VALUE"""),"Kål i ostesauce med hakket oksekød")</f>
        <v>Kål i ostesauce med hakket oksekød</v>
      </c>
      <c r="J228" s="292" t="str">
        <f>IFERROR(__xludf.DUMMYFUNCTION("""COMPUTED_VALUE"""),"Wirsing in Käsesauce mit Hackfleisch")</f>
        <v>Wirsing in Käsesauce mit Hackfleisch</v>
      </c>
      <c r="K228" s="292">
        <f>IFERROR(__xludf.DUMMYFUNCTION("""COMPUTED_VALUE"""),565240.0)</f>
        <v>565240</v>
      </c>
      <c r="L228" s="292" t="str">
        <f>IFERROR(__xludf.DUMMYFUNCTION("""COMPUTED_VALUE"""),"HF RW Kool in kaassaus")</f>
        <v>HF RW Kool in kaassaus</v>
      </c>
      <c r="M228" s="292" t="str">
        <f>IFERROR(__xludf.DUMMYFUNCTION("""COMPUTED_VALUE"""),"FA-NL Kool in kaassaus met rundergehakt (FE0713)")</f>
        <v>FA-NL Kool in kaassaus met rundergehakt (FE0713)</v>
      </c>
      <c r="N228" s="292" t="str">
        <f>IFERROR(__xludf.DUMMYFUNCTION("""COMPUTED_VALUE"""),"FA-NO Savoykål i ostesauce med hakket oksekød (FE0713)")</f>
        <v>FA-NO Savoykål i ostesauce med hakket oksekød (FE0713)</v>
      </c>
      <c r="O228" s="292" t="str">
        <f>IFERROR(__xludf.DUMMYFUNCTION("""COMPUTED_VALUE"""),"FA-DE Kohl in Hackfleisch-Käsesauce (FE0713)")</f>
        <v>FA-DE Kohl in Hackfleisch-Käsesauce (FE0713)</v>
      </c>
      <c r="P228" s="292" t="str">
        <f>IFERROR(__xludf.DUMMYFUNCTION("""COMPUTED_VALUE"""),"Active")</f>
        <v>Active</v>
      </c>
      <c r="Q228" s="292"/>
      <c r="R228" s="342">
        <f>IFERROR(__xludf.DUMMYFUNCTION("""COMPUTED_VALUE"""),4.71)</f>
        <v>4.71</v>
      </c>
      <c r="S228" s="292"/>
      <c r="T228" s="292"/>
      <c r="U228" s="292"/>
      <c r="V228" s="292"/>
      <c r="W228" s="292" t="b">
        <f>IFERROR(__xludf.DUMMYFUNCTION("""COMPUTED_VALUE"""),TRUE)</f>
        <v>1</v>
      </c>
      <c r="X228" s="345">
        <f>IFERROR(__xludf.DUMMYFUNCTION("""COMPUTED_VALUE"""),351.0)</f>
        <v>351</v>
      </c>
      <c r="Y228" s="344">
        <f>IFERROR(__xludf.DUMMYFUNCTION("""COMPUTED_VALUE"""),555.0)</f>
        <v>555</v>
      </c>
      <c r="Z228" s="343">
        <f>IFERROR(__xludf.DUMMYFUNCTION("""COMPUTED_VALUE"""),42.3)</f>
        <v>42.3</v>
      </c>
      <c r="AA228" s="344">
        <f>IFERROR(__xludf.DUMMYFUNCTION("""COMPUTED_VALUE"""),18.0)</f>
        <v>18</v>
      </c>
      <c r="AB228" s="344">
        <f>IFERROR(__xludf.DUMMYFUNCTION("""COMPUTED_VALUE"""),13.4)</f>
        <v>13.4</v>
      </c>
      <c r="AC228" s="344">
        <f>IFERROR(__xludf.DUMMYFUNCTION("""COMPUTED_VALUE"""),9.3)</f>
        <v>9.3</v>
      </c>
      <c r="AD228" s="344">
        <f>IFERROR(__xludf.DUMMYFUNCTION("""COMPUTED_VALUE"""),7.4)</f>
        <v>7.4</v>
      </c>
      <c r="AE228" s="343">
        <f>IFERROR(__xludf.DUMMYFUNCTION("""COMPUTED_VALUE"""),26.6)</f>
        <v>26.6</v>
      </c>
      <c r="AF228" s="343">
        <f>IFERROR(__xludf.DUMMYFUNCTION("""COMPUTED_VALUE"""),2.04)</f>
        <v>2.04</v>
      </c>
      <c r="AG228" s="292" t="b">
        <f>IFERROR(__xludf.DUMMYFUNCTION("""COMPUTED_VALUE"""),FALSE)</f>
        <v>0</v>
      </c>
      <c r="AH228" s="292" t="b">
        <f>IFERROR(__xludf.DUMMYFUNCTION("""COMPUTED_VALUE"""),TRUE)</f>
        <v>1</v>
      </c>
      <c r="AI228" s="292" t="b">
        <f>IFERROR(__xludf.DUMMYFUNCTION("""COMPUTED_VALUE"""),FALSE)</f>
        <v>0</v>
      </c>
      <c r="AJ228" s="292" t="b">
        <f>IFERROR(__xludf.DUMMYFUNCTION("""COMPUTED_VALUE"""),FALSE)</f>
        <v>0</v>
      </c>
      <c r="AK228" s="292" t="b">
        <f>IFERROR(__xludf.DUMMYFUNCTION("""COMPUTED_VALUE"""),FALSE)</f>
        <v>0</v>
      </c>
      <c r="AL228" s="292" t="b">
        <f>IFERROR(__xludf.DUMMYFUNCTION("""COMPUTED_VALUE"""),FALSE)</f>
        <v>0</v>
      </c>
      <c r="AM228" s="292" t="b">
        <f>IFERROR(__xludf.DUMMYFUNCTION("""COMPUTED_VALUE"""),FALSE)</f>
        <v>0</v>
      </c>
      <c r="AN228" s="292" t="b">
        <f>IFERROR(__xludf.DUMMYFUNCTION("""COMPUTED_VALUE"""),FALSE)</f>
        <v>0</v>
      </c>
      <c r="AO228" s="292" t="str">
        <f>IFERROR(__xludf.DUMMYFUNCTION("""COMPUTED_VALUE"""),"FALSE")</f>
        <v>FALSE</v>
      </c>
      <c r="AP228" s="292" t="str">
        <f>IFERROR(__xludf.DUMMYFUNCTION("""COMPUTED_VALUE"""),"Ground beef")</f>
        <v>Ground beef</v>
      </c>
      <c r="AQ228" s="292" t="str">
        <f>IFERROR(__xludf.DUMMYFUNCTION("""COMPUTED_VALUE"""),"Beef")</f>
        <v>Beef</v>
      </c>
      <c r="AR228" s="292" t="str">
        <f>IFERROR(__xludf.DUMMYFUNCTION("""COMPUTED_VALUE"""),"Ground")</f>
        <v>Ground</v>
      </c>
      <c r="AS228" s="292" t="str">
        <f>IFERROR(__xludf.DUMMYFUNCTION("""COMPUTED_VALUE"""),"Cabbage")</f>
        <v>Cabbage</v>
      </c>
      <c r="AT228" s="292" t="str">
        <f>IFERROR(__xludf.DUMMYFUNCTION("""COMPUTED_VALUE"""),"Green Beans")</f>
        <v>Green Beans</v>
      </c>
      <c r="AU228" s="292" t="str">
        <f>IFERROR(__xludf.DUMMYFUNCTION("""COMPUTED_VALUE"""),"Pepper Mix")</f>
        <v>Pepper Mix</v>
      </c>
      <c r="AV228" s="292" t="str">
        <f>IFERROR(__xludf.DUMMYFUNCTION("""COMPUTED_VALUE"""),"Cheese")</f>
        <v>Cheese</v>
      </c>
      <c r="AW228" s="292" t="str">
        <f>IFERROR(__xludf.DUMMYFUNCTION("""COMPUTED_VALUE"""),"Year Round")</f>
        <v>Year Round</v>
      </c>
      <c r="AX228" s="292" t="str">
        <f>IFERROR(__xludf.DUMMYFUNCTION("""COMPUTED_VALUE"""),"American")</f>
        <v>American</v>
      </c>
      <c r="AY228" s="292"/>
      <c r="AZ228" s="292" t="str">
        <f>IFERROR(__xludf.DUMMYFUNCTION("""COMPUTED_VALUE"""),"2 CT")</f>
        <v>2 CT</v>
      </c>
      <c r="BA228" s="292" t="b">
        <f>IFERROR(__xludf.DUMMYFUNCTION("""COMPUTED_VALUE"""),FALSE)</f>
        <v>0</v>
      </c>
      <c r="BB228" s="342">
        <f>IFERROR(__xludf.DUMMYFUNCTION("""COMPUTED_VALUE"""),2.48)</f>
        <v>2.48</v>
      </c>
      <c r="BC228" s="342">
        <f>IFERROR(__xludf.DUMMYFUNCTION("""COMPUTED_VALUE"""),0.98)</f>
        <v>0.98</v>
      </c>
      <c r="BD228" s="342">
        <f>IFERROR(__xludf.DUMMYFUNCTION("""COMPUTED_VALUE"""),0.36)</f>
        <v>0.36</v>
      </c>
      <c r="BE228" s="342">
        <f>IFERROR(__xludf.DUMMYFUNCTION("""COMPUTED_VALUE"""),0.89)</f>
        <v>0.89</v>
      </c>
      <c r="BF228" s="296">
        <f>IFERROR(__xludf.DUMMYFUNCTION("""COMPUTED_VALUE"""),3.3733333333333335)</f>
        <v>3.373333333</v>
      </c>
      <c r="BG228" s="296">
        <f>IFERROR(__xludf.DUMMYFUNCTION("""COMPUTED_VALUE"""),3.3866666666666667)</f>
        <v>3.386666667</v>
      </c>
      <c r="BH228" s="296">
        <f>IFERROR(__xludf.DUMMYFUNCTION("""COMPUTED_VALUE"""),3.2966666666666664)</f>
        <v>3.296666667</v>
      </c>
      <c r="BI228" s="295">
        <f>IFERROR(__xludf.DUMMYFUNCTION("""COMPUTED_VALUE"""),198.0)</f>
        <v>198</v>
      </c>
      <c r="BJ228" s="292"/>
      <c r="BK228" s="346">
        <f>IFERROR(__xludf.DUMMYFUNCTION("""COMPUTED_VALUE"""),2316.0)</f>
        <v>2316</v>
      </c>
      <c r="BL228" s="292"/>
      <c r="BM228" s="292"/>
      <c r="BN228" s="292"/>
      <c r="BO228" s="292"/>
      <c r="BP228" s="292"/>
      <c r="BQ228" s="292" t="str">
        <f>IFERROR(__xludf.DUMMYFUNCTION("""COMPUTED_VALUE"""),"Proven")</f>
        <v>Proven</v>
      </c>
      <c r="BR228" s="344" t="b">
        <f>IFERROR(__xludf.DUMMYFUNCTION("""COMPUTED_VALUE"""),FALSE)</f>
        <v>0</v>
      </c>
      <c r="BS228" s="292" t="b">
        <f>IFERROR(__xludf.DUMMYFUNCTION("""COMPUTED_VALUE"""),FALSE)</f>
        <v>0</v>
      </c>
      <c r="BT228" s="292"/>
      <c r="BU228" s="292"/>
      <c r="BV228" s="292"/>
      <c r="BW228" s="292"/>
    </row>
    <row r="229">
      <c r="A229" s="292" t="str">
        <f>IFERROR(__xludf.DUMMYFUNCTION("""COMPUTED_VALUE"""),"FE1072B")</f>
        <v>FE1072B</v>
      </c>
      <c r="B229" s="292" t="str">
        <f>IFERROR(__xludf.DUMMYFUNCTION("""COMPUTED_VALUE"""),"CON-40-143777-4")</f>
        <v>CON-40-143777-4</v>
      </c>
      <c r="C229" s="292" t="str">
        <f>IFERROR(__xludf.DUMMYFUNCTION("""COMPUTED_VALUE"""),"CON-00-147864-2")</f>
        <v>CON-00-147864-2</v>
      </c>
      <c r="D229" s="292" t="str">
        <f>IFERROR(__xludf.DUMMYFUNCTION("""COMPUTED_VALUE"""),"CON-00-136696-3")</f>
        <v>CON-00-136696-3</v>
      </c>
      <c r="E229" s="292" t="str">
        <f>IFERROR(__xludf.DUMMYFUNCTION("""COMPUTED_VALUE"""),"Pork tenderloin in spicy ancho chili sauce")</f>
        <v>Pork tenderloin in spicy ancho chili sauce</v>
      </c>
      <c r="F229" s="292" t="str">
        <f>IFERROR(__xludf.DUMMYFUNCTION("""COMPUTED_VALUE"""),"with tomato rice, zucchini and corn")</f>
        <v>with tomato rice, zucchini and corn</v>
      </c>
      <c r="G229" s="292" t="str">
        <f>IFERROR(__xludf.DUMMYFUNCTION("""COMPUTED_VALUE"""),"Varkenshaas in pittige ancho chili-saus")</f>
        <v>Varkenshaas in pittige ancho chili-saus</v>
      </c>
      <c r="H229" s="292" t="str">
        <f>IFERROR(__xludf.DUMMYFUNCTION("""COMPUTED_VALUE"""),"met tomaten-rijst, courgette en maïs")</f>
        <v>met tomaten-rijst, courgette en maïs</v>
      </c>
      <c r="I229" s="292" t="str">
        <f>IFERROR(__xludf.DUMMYFUNCTION("""COMPUTED_VALUE"""),"Svinemørbrad i ancho- og chilisauce")</f>
        <v>Svinemørbrad i ancho- og chilisauce</v>
      </c>
      <c r="J229" s="292" t="str">
        <f>IFERROR(__xludf.DUMMYFUNCTION("""COMPUTED_VALUE"""),"Schweinefilet in würziger Ancho-Chili-Sauce")</f>
        <v>Schweinefilet in würziger Ancho-Chili-Sauce</v>
      </c>
      <c r="K229" s="292">
        <f>IFERROR(__xludf.DUMMYFUNCTION("""COMPUTED_VALUE"""),565095.0)</f>
        <v>565095</v>
      </c>
      <c r="L229" s="292" t="str">
        <f>IFERROR(__xludf.DUMMYFUNCTION("""COMPUTED_VALUE"""),"HF V.haas pittige ancho chili")</f>
        <v>HF V.haas pittige ancho chili</v>
      </c>
      <c r="M229" s="292" t="str">
        <f>IFERROR(__xludf.DUMMYFUNCTION("""COMPUTED_VALUE"""),"FA-NL Varkenshaas in pittige ancho chili-saus (FE1072)")</f>
        <v>FA-NL Varkenshaas in pittige ancho chili-saus (FE1072)</v>
      </c>
      <c r="N229" s="292" t="str">
        <f>IFERROR(__xludf.DUMMYFUNCTION("""COMPUTED_VALUE"""),"FA-NO Svinemørbrad i spicy ancho chili sauce (FE1072)")</f>
        <v>FA-NO Svinemørbrad i spicy ancho chili sauce (FE1072)</v>
      </c>
      <c r="O229" s="292" t="str">
        <f>IFERROR(__xludf.DUMMYFUNCTION("""COMPUTED_VALUE"""),"FA-DE Schweinefilet in scharfer Ancho-Chili-Sauce (FE1072)")</f>
        <v>FA-DE Schweinefilet in scharfer Ancho-Chili-Sauce (FE1072)</v>
      </c>
      <c r="P229" s="292" t="str">
        <f>IFERROR(__xludf.DUMMYFUNCTION("""COMPUTED_VALUE"""),"Active")</f>
        <v>Active</v>
      </c>
      <c r="Q229" s="292"/>
      <c r="R229" s="342">
        <f>IFERROR(__xludf.DUMMYFUNCTION("""COMPUTED_VALUE"""),5.01)</f>
        <v>5.01</v>
      </c>
      <c r="S229" s="292"/>
      <c r="T229" s="292"/>
      <c r="U229" s="292"/>
      <c r="V229" s="292"/>
      <c r="W229" s="292" t="b">
        <f>IFERROR(__xludf.DUMMYFUNCTION("""COMPUTED_VALUE"""),TRUE)</f>
        <v>1</v>
      </c>
      <c r="X229" s="345">
        <f>IFERROR(__xludf.DUMMYFUNCTION("""COMPUTED_VALUE"""),399.0)</f>
        <v>399</v>
      </c>
      <c r="Y229" s="344">
        <f>IFERROR(__xludf.DUMMYFUNCTION("""COMPUTED_VALUE"""),413.0)</f>
        <v>413</v>
      </c>
      <c r="Z229" s="343">
        <f>IFERROR(__xludf.DUMMYFUNCTION("""COMPUTED_VALUE"""),15.3)</f>
        <v>15.3</v>
      </c>
      <c r="AA229" s="344">
        <f>IFERROR(__xludf.DUMMYFUNCTION("""COMPUTED_VALUE"""),2.9)</f>
        <v>2.9</v>
      </c>
      <c r="AB229" s="344">
        <f>IFERROR(__xludf.DUMMYFUNCTION("""COMPUTED_VALUE"""),37.4)</f>
        <v>37.4</v>
      </c>
      <c r="AC229" s="344">
        <f>IFERROR(__xludf.DUMMYFUNCTION("""COMPUTED_VALUE"""),11.2)</f>
        <v>11.2</v>
      </c>
      <c r="AD229" s="344">
        <f>IFERROR(__xludf.DUMMYFUNCTION("""COMPUTED_VALUE"""),6.0)</f>
        <v>6</v>
      </c>
      <c r="AE229" s="343">
        <f>IFERROR(__xludf.DUMMYFUNCTION("""COMPUTED_VALUE"""),28.4)</f>
        <v>28.4</v>
      </c>
      <c r="AF229" s="343">
        <f>IFERROR(__xludf.DUMMYFUNCTION("""COMPUTED_VALUE"""),2.02)</f>
        <v>2.02</v>
      </c>
      <c r="AG229" s="292" t="b">
        <f>IFERROR(__xludf.DUMMYFUNCTION("""COMPUTED_VALUE"""),TRUE)</f>
        <v>1</v>
      </c>
      <c r="AH229" s="292" t="b">
        <f>IFERROR(__xludf.DUMMYFUNCTION("""COMPUTED_VALUE"""),FALSE)</f>
        <v>0</v>
      </c>
      <c r="AI229" s="292" t="b">
        <f>IFERROR(__xludf.DUMMYFUNCTION("""COMPUTED_VALUE"""),TRUE)</f>
        <v>1</v>
      </c>
      <c r="AJ229" s="292" t="b">
        <f>IFERROR(__xludf.DUMMYFUNCTION("""COMPUTED_VALUE"""),FALSE)</f>
        <v>0</v>
      </c>
      <c r="AK229" s="292" t="b">
        <f>IFERROR(__xludf.DUMMYFUNCTION("""COMPUTED_VALUE"""),FALSE)</f>
        <v>0</v>
      </c>
      <c r="AL229" s="292" t="b">
        <f>IFERROR(__xludf.DUMMYFUNCTION("""COMPUTED_VALUE"""),FALSE)</f>
        <v>0</v>
      </c>
      <c r="AM229" s="292" t="b">
        <f>IFERROR(__xludf.DUMMYFUNCTION("""COMPUTED_VALUE"""),FALSE)</f>
        <v>0</v>
      </c>
      <c r="AN229" s="292" t="b">
        <f>IFERROR(__xludf.DUMMYFUNCTION("""COMPUTED_VALUE"""),TRUE)</f>
        <v>1</v>
      </c>
      <c r="AO229" s="292" t="str">
        <f>IFERROR(__xludf.DUMMYFUNCTION("""COMPUTED_VALUE"""),"FALSE")</f>
        <v>FALSE</v>
      </c>
      <c r="AP229" s="292" t="str">
        <f>IFERROR(__xludf.DUMMYFUNCTION("""COMPUTED_VALUE"""),"Pork tenderloin")</f>
        <v>Pork tenderloin</v>
      </c>
      <c r="AQ229" s="292" t="str">
        <f>IFERROR(__xludf.DUMMYFUNCTION("""COMPUTED_VALUE"""),"Pork")</f>
        <v>Pork</v>
      </c>
      <c r="AR229" s="292" t="str">
        <f>IFERROR(__xludf.DUMMYFUNCTION("""COMPUTED_VALUE"""),"Tenderloin")</f>
        <v>Tenderloin</v>
      </c>
      <c r="AS229" s="292" t="str">
        <f>IFERROR(__xludf.DUMMYFUNCTION("""COMPUTED_VALUE"""),"Rice")</f>
        <v>Rice</v>
      </c>
      <c r="AT229" s="292" t="str">
        <f>IFERROR(__xludf.DUMMYFUNCTION("""COMPUTED_VALUE"""),"Zucchini Diced")</f>
        <v>Zucchini Diced</v>
      </c>
      <c r="AU229" s="292" t="str">
        <f>IFERROR(__xludf.DUMMYFUNCTION("""COMPUTED_VALUE"""),"Corn Kernels")</f>
        <v>Corn Kernels</v>
      </c>
      <c r="AV229" s="292"/>
      <c r="AW229" s="292" t="str">
        <f>IFERROR(__xludf.DUMMYFUNCTION("""COMPUTED_VALUE"""),"Year Round")</f>
        <v>Year Round</v>
      </c>
      <c r="AX229" s="292" t="str">
        <f>IFERROR(__xludf.DUMMYFUNCTION("""COMPUTED_VALUE"""),"Mexican")</f>
        <v>Mexican</v>
      </c>
      <c r="AY229" s="292"/>
      <c r="AZ229" s="292" t="str">
        <f>IFERROR(__xludf.DUMMYFUNCTION("""COMPUTED_VALUE"""),"2 CT")</f>
        <v>2 CT</v>
      </c>
      <c r="BA229" s="292" t="b">
        <f>IFERROR(__xludf.DUMMYFUNCTION("""COMPUTED_VALUE"""),FALSE)</f>
        <v>0</v>
      </c>
      <c r="BB229" s="342">
        <f>IFERROR(__xludf.DUMMYFUNCTION("""COMPUTED_VALUE"""),2.54)</f>
        <v>2.54</v>
      </c>
      <c r="BC229" s="342">
        <f>IFERROR(__xludf.DUMMYFUNCTION("""COMPUTED_VALUE"""),1.22)</f>
        <v>1.22</v>
      </c>
      <c r="BD229" s="342">
        <f>IFERROR(__xludf.DUMMYFUNCTION("""COMPUTED_VALUE"""),0.36)</f>
        <v>0.36</v>
      </c>
      <c r="BE229" s="342">
        <f>IFERROR(__xludf.DUMMYFUNCTION("""COMPUTED_VALUE"""),0.89)</f>
        <v>0.89</v>
      </c>
      <c r="BF229" s="296">
        <f>IFERROR(__xludf.DUMMYFUNCTION("""COMPUTED_VALUE"""),3.28)</f>
        <v>3.28</v>
      </c>
      <c r="BG229" s="296">
        <f>IFERROR(__xludf.DUMMYFUNCTION("""COMPUTED_VALUE"""),3.34)</f>
        <v>3.34</v>
      </c>
      <c r="BH229" s="296">
        <f>IFERROR(__xludf.DUMMYFUNCTION("""COMPUTED_VALUE"""),3.2099999999999995)</f>
        <v>3.21</v>
      </c>
      <c r="BI229" s="295">
        <f>IFERROR(__xludf.DUMMYFUNCTION("""COMPUTED_VALUE"""),179.0)</f>
        <v>179</v>
      </c>
      <c r="BJ229" s="292"/>
      <c r="BK229" s="346">
        <f>IFERROR(__xludf.DUMMYFUNCTION("""COMPUTED_VALUE"""),1722.0)</f>
        <v>1722</v>
      </c>
      <c r="BL229" s="292"/>
      <c r="BM229" s="292"/>
      <c r="BN229" s="292"/>
      <c r="BO229" s="292"/>
      <c r="BP229" s="292"/>
      <c r="BQ229" s="292" t="str">
        <f>IFERROR(__xludf.DUMMYFUNCTION("""COMPUTED_VALUE"""),"New")</f>
        <v>New</v>
      </c>
      <c r="BR229" s="344" t="b">
        <f>IFERROR(__xludf.DUMMYFUNCTION("""COMPUTED_VALUE"""),FALSE)</f>
        <v>0</v>
      </c>
      <c r="BS229" s="292" t="b">
        <f>IFERROR(__xludf.DUMMYFUNCTION("""COMPUTED_VALUE"""),FALSE)</f>
        <v>0</v>
      </c>
      <c r="BT229" s="292"/>
      <c r="BU229" s="292"/>
      <c r="BV229" s="292"/>
      <c r="BW229" s="292"/>
    </row>
    <row r="230">
      <c r="A230" s="292" t="str">
        <f>IFERROR(__xludf.DUMMYFUNCTION("""COMPUTED_VALUE"""),"FE0962A")</f>
        <v>FE0962A</v>
      </c>
      <c r="B230" s="292" t="str">
        <f>IFERROR(__xludf.DUMMYFUNCTION("""COMPUTED_VALUE"""),"CON-40-154569-4")</f>
        <v>CON-40-154569-4</v>
      </c>
      <c r="C230" s="292" t="str">
        <f>IFERROR(__xludf.DUMMYFUNCTION("""COMPUTED_VALUE"""),"CON-00-155002-2")</f>
        <v>CON-00-155002-2</v>
      </c>
      <c r="D230" s="292" t="str">
        <f>IFERROR(__xludf.DUMMYFUNCTION("""COMPUTED_VALUE"""),"CON-00-155003-2")</f>
        <v>CON-00-155003-2</v>
      </c>
      <c r="E230" s="292" t="str">
        <f>IFERROR(__xludf.DUMMYFUNCTION("""COMPUTED_VALUE"""),"Apricot Smothered Pork Tenderloin")</f>
        <v>Apricot Smothered Pork Tenderloin</v>
      </c>
      <c r="F230" s="292" t="str">
        <f>IFERROR(__xludf.DUMMYFUNCTION("""COMPUTED_VALUE"""),"with Roasted Green Beans &amp; Parmesan Potatoes")</f>
        <v>with Roasted Green Beans &amp; Parmesan Potatoes</v>
      </c>
      <c r="G230" s="292" t="str">
        <f>IFERROR(__xludf.DUMMYFUNCTION("""COMPUTED_VALUE"""),"Varkenshaas in abrikozenjus")</f>
        <v>Varkenshaas in abrikozenjus</v>
      </c>
      <c r="H230" s="292" t="str">
        <f>IFERROR(__xludf.DUMMYFUNCTION("""COMPUTED_VALUE"""),"met geroosterde sperziebonen en aardappelen met Parmezaan")</f>
        <v>met geroosterde sperziebonen en aardappelen met Parmezaan</v>
      </c>
      <c r="I230" s="292" t="str">
        <f>IFERROR(__xludf.DUMMYFUNCTION("""COMPUTED_VALUE"""),"Abrikosglaseret svinemørbrad")</f>
        <v>Abrikosglaseret svinemørbrad</v>
      </c>
      <c r="J230" s="292" t="str">
        <f>IFERROR(__xludf.DUMMYFUNCTION("""COMPUTED_VALUE"""),"Schweinefilet mit Aprikosen-Glasur")</f>
        <v>Schweinefilet mit Aprikosen-Glasur</v>
      </c>
      <c r="K230" s="292">
        <f>IFERROR(__xludf.DUMMYFUNCTION("""COMPUTED_VALUE"""),565220.0)</f>
        <v>565220</v>
      </c>
      <c r="L230" s="292" t="str">
        <f>IFERROR(__xludf.DUMMYFUNCTION("""COMPUTED_VALUE"""),"HF Varkenshaas abrikozensaus")</f>
        <v>HF Varkenshaas abrikozensaus</v>
      </c>
      <c r="M230" s="292" t="str">
        <f>IFERROR(__xludf.DUMMYFUNCTION("""COMPUTED_VALUE"""),"FA-NL Varkenshaas in abrikozenjus (FE0962)")</f>
        <v>FA-NL Varkenshaas in abrikozenjus (FE0962)</v>
      </c>
      <c r="N230" s="292" t="str">
        <f>IFERROR(__xludf.DUMMYFUNCTION("""COMPUTED_VALUE"""),"FA-NO Abrikosglaseret svinemørbrad (FE0962)")</f>
        <v>FA-NO Abrikosglaseret svinemørbrad (FE0962)</v>
      </c>
      <c r="O230" s="292" t="str">
        <f>IFERROR(__xludf.DUMMYFUNCTION("""COMPUTED_VALUE"""),"FA-DE Schweinefilet mit Aprikosen-Glasur (FE0962)")</f>
        <v>FA-DE Schweinefilet mit Aprikosen-Glasur (FE0962)</v>
      </c>
      <c r="P230" s="292" t="str">
        <f>IFERROR(__xludf.DUMMYFUNCTION("""COMPUTED_VALUE"""),"Graveyard")</f>
        <v>Graveyard</v>
      </c>
      <c r="Q230" s="292"/>
      <c r="R230" s="342">
        <f>IFERROR(__xludf.DUMMYFUNCTION("""COMPUTED_VALUE"""),4.58)</f>
        <v>4.58</v>
      </c>
      <c r="S230" s="292"/>
      <c r="T230" s="292"/>
      <c r="U230" s="292"/>
      <c r="V230" s="292"/>
      <c r="W230" s="292" t="b">
        <f>IFERROR(__xludf.DUMMYFUNCTION("""COMPUTED_VALUE"""),TRUE)</f>
        <v>1</v>
      </c>
      <c r="X230" s="345">
        <f>IFERROR(__xludf.DUMMYFUNCTION("""COMPUTED_VALUE"""),424.0)</f>
        <v>424</v>
      </c>
      <c r="Y230" s="344">
        <f>IFERROR(__xludf.DUMMYFUNCTION("""COMPUTED_VALUE"""),640.0)</f>
        <v>640</v>
      </c>
      <c r="Z230" s="343">
        <f>IFERROR(__xludf.DUMMYFUNCTION("""COMPUTED_VALUE"""),34.4)</f>
        <v>34.4</v>
      </c>
      <c r="AA230" s="344">
        <f>IFERROR(__xludf.DUMMYFUNCTION("""COMPUTED_VALUE"""),7.4)</f>
        <v>7.4</v>
      </c>
      <c r="AB230" s="344">
        <f>IFERROR(__xludf.DUMMYFUNCTION("""COMPUTED_VALUE"""),45.9)</f>
        <v>45.9</v>
      </c>
      <c r="AC230" s="344">
        <f>IFERROR(__xludf.DUMMYFUNCTION("""COMPUTED_VALUE"""),14.5)</f>
        <v>14.5</v>
      </c>
      <c r="AD230" s="344">
        <f>IFERROR(__xludf.DUMMYFUNCTION("""COMPUTED_VALUE"""),9.5)</f>
        <v>9.5</v>
      </c>
      <c r="AE230" s="343">
        <f>IFERROR(__xludf.DUMMYFUNCTION("""COMPUTED_VALUE"""),32.4)</f>
        <v>32.4</v>
      </c>
      <c r="AF230" s="343">
        <f>IFERROR(__xludf.DUMMYFUNCTION("""COMPUTED_VALUE"""),2.05)</f>
        <v>2.05</v>
      </c>
      <c r="AG230" s="292" t="b">
        <f>IFERROR(__xludf.DUMMYFUNCTION("""COMPUTED_VALUE"""),FALSE)</f>
        <v>0</v>
      </c>
      <c r="AH230" s="292" t="b">
        <f>IFERROR(__xludf.DUMMYFUNCTION("""COMPUTED_VALUE"""),FALSE)</f>
        <v>0</v>
      </c>
      <c r="AI230" s="292" t="b">
        <f>IFERROR(__xludf.DUMMYFUNCTION("""COMPUTED_VALUE"""),FALSE)</f>
        <v>0</v>
      </c>
      <c r="AJ230" s="292" t="b">
        <f>IFERROR(__xludf.DUMMYFUNCTION("""COMPUTED_VALUE"""),FALSE)</f>
        <v>0</v>
      </c>
      <c r="AK230" s="292" t="b">
        <f>IFERROR(__xludf.DUMMYFUNCTION("""COMPUTED_VALUE"""),FALSE)</f>
        <v>0</v>
      </c>
      <c r="AL230" s="292" t="b">
        <f>IFERROR(__xludf.DUMMYFUNCTION("""COMPUTED_VALUE"""),FALSE)</f>
        <v>0</v>
      </c>
      <c r="AM230" s="292" t="b">
        <f>IFERROR(__xludf.DUMMYFUNCTION("""COMPUTED_VALUE"""),TRUE)</f>
        <v>1</v>
      </c>
      <c r="AN230" s="292" t="b">
        <f>IFERROR(__xludf.DUMMYFUNCTION("""COMPUTED_VALUE"""),FALSE)</f>
        <v>0</v>
      </c>
      <c r="AO230" s="292" t="str">
        <f>IFERROR(__xludf.DUMMYFUNCTION("""COMPUTED_VALUE"""),"FALSE")</f>
        <v>FALSE</v>
      </c>
      <c r="AP230" s="292" t="str">
        <f>IFERROR(__xludf.DUMMYFUNCTION("""COMPUTED_VALUE"""),"Pork tenderloin")</f>
        <v>Pork tenderloin</v>
      </c>
      <c r="AQ230" s="292" t="str">
        <f>IFERROR(__xludf.DUMMYFUNCTION("""COMPUTED_VALUE"""),"Pork")</f>
        <v>Pork</v>
      </c>
      <c r="AR230" s="292" t="str">
        <f>IFERROR(__xludf.DUMMYFUNCTION("""COMPUTED_VALUE"""),"Tenderloin")</f>
        <v>Tenderloin</v>
      </c>
      <c r="AS230" s="292" t="str">
        <f>IFERROR(__xludf.DUMMYFUNCTION("""COMPUTED_VALUE"""),"Green Beans")</f>
        <v>Green Beans</v>
      </c>
      <c r="AT230" s="292" t="str">
        <f>IFERROR(__xludf.DUMMYFUNCTION("""COMPUTED_VALUE"""),"Potato Non-Mash")</f>
        <v>Potato Non-Mash</v>
      </c>
      <c r="AU230" s="292" t="str">
        <f>IFERROR(__xludf.DUMMYFUNCTION("""COMPUTED_VALUE"""),"Other sauce")</f>
        <v>Other sauce</v>
      </c>
      <c r="AV230" s="292"/>
      <c r="AW230" s="292" t="str">
        <f>IFERROR(__xludf.DUMMYFUNCTION("""COMPUTED_VALUE"""),"Year Round")</f>
        <v>Year Round</v>
      </c>
      <c r="AX230" s="292" t="str">
        <f>IFERROR(__xludf.DUMMYFUNCTION("""COMPUTED_VALUE"""),"American")</f>
        <v>American</v>
      </c>
      <c r="AY230" s="292"/>
      <c r="AZ230" s="292" t="str">
        <f>IFERROR(__xludf.DUMMYFUNCTION("""COMPUTED_VALUE"""),"2 CT")</f>
        <v>2 CT</v>
      </c>
      <c r="BA230" s="292" t="b">
        <f>IFERROR(__xludf.DUMMYFUNCTION("""COMPUTED_VALUE"""),FALSE)</f>
        <v>0</v>
      </c>
      <c r="BB230" s="342">
        <f>IFERROR(__xludf.DUMMYFUNCTION("""COMPUTED_VALUE"""),2.99)</f>
        <v>2.99</v>
      </c>
      <c r="BC230" s="342">
        <f>IFERROR(__xludf.DUMMYFUNCTION("""COMPUTED_VALUE"""),1.19)</f>
        <v>1.19</v>
      </c>
      <c r="BD230" s="342">
        <f>IFERROR(__xludf.DUMMYFUNCTION("""COMPUTED_VALUE"""),0.41)</f>
        <v>0.41</v>
      </c>
      <c r="BE230" s="342">
        <f>IFERROR(__xludf.DUMMYFUNCTION("""COMPUTED_VALUE"""),0.89)</f>
        <v>0.89</v>
      </c>
      <c r="BF230" s="296">
        <f>IFERROR(__xludf.DUMMYFUNCTION("""COMPUTED_VALUE"""),3.25)</f>
        <v>3.25</v>
      </c>
      <c r="BG230" s="296">
        <f>IFERROR(__xludf.DUMMYFUNCTION("""COMPUTED_VALUE"""),3.2249999999999996)</f>
        <v>3.225</v>
      </c>
      <c r="BH230" s="296">
        <f>IFERROR(__xludf.DUMMYFUNCTION("""COMPUTED_VALUE"""),3.135)</f>
        <v>3.135</v>
      </c>
      <c r="BI230" s="295">
        <f>IFERROR(__xludf.DUMMYFUNCTION("""COMPUTED_VALUE"""),157.0)</f>
        <v>157</v>
      </c>
      <c r="BJ230" s="292"/>
      <c r="BK230" s="346">
        <f>IFERROR(__xludf.DUMMYFUNCTION("""COMPUTED_VALUE"""),2665.0)</f>
        <v>2665</v>
      </c>
      <c r="BL230" s="292"/>
      <c r="BM230" s="292"/>
      <c r="BN230" s="292"/>
      <c r="BO230" s="292"/>
      <c r="BP230" s="292"/>
      <c r="BQ230" s="292" t="str">
        <f>IFERROR(__xludf.DUMMYFUNCTION("""COMPUTED_VALUE"""),"New")</f>
        <v>New</v>
      </c>
      <c r="BR230" s="292" t="b">
        <f>IFERROR(__xludf.DUMMYFUNCTION("""COMPUTED_VALUE"""),TRUE)</f>
        <v>1</v>
      </c>
      <c r="BS230" s="292" t="b">
        <f>IFERROR(__xludf.DUMMYFUNCTION("""COMPUTED_VALUE"""),FALSE)</f>
        <v>0</v>
      </c>
      <c r="BT230" s="292"/>
      <c r="BU230" s="292"/>
      <c r="BV230" s="292"/>
      <c r="BW230" s="292"/>
    </row>
    <row r="231">
      <c r="A231" s="292" t="str">
        <f>IFERROR(__xludf.DUMMYFUNCTION("""COMPUTED_VALUE"""),"FE0689A")</f>
        <v>FE0689A</v>
      </c>
      <c r="B231" s="292" t="str">
        <f>IFERROR(__xludf.DUMMYFUNCTION("""COMPUTED_VALUE"""),"CON-40-154570-4")</f>
        <v>CON-40-154570-4</v>
      </c>
      <c r="C231" s="292" t="str">
        <f>IFERROR(__xludf.DUMMYFUNCTION("""COMPUTED_VALUE"""),"CON-00-154998-2")</f>
        <v>CON-00-154998-2</v>
      </c>
      <c r="D231" s="292" t="str">
        <f>IFERROR(__xludf.DUMMYFUNCTION("""COMPUTED_VALUE"""),"CON-00-154999-2")</f>
        <v>CON-00-154999-2</v>
      </c>
      <c r="E231" s="292" t="str">
        <f>IFERROR(__xludf.DUMMYFUNCTION("""COMPUTED_VALUE"""),"Keema-inspired Beef Curry")</f>
        <v>Keema-inspired Beef Curry</v>
      </c>
      <c r="F231" s="292" t="str">
        <f>IFERROR(__xludf.DUMMYFUNCTION("""COMPUTED_VALUE"""),"with Brown Basmati Rice &amp; Cilantro-Cumin Cauliflower")</f>
        <v>with Brown Basmati Rice &amp; Cilantro-Cumin Cauliflower</v>
      </c>
      <c r="G231" s="292" t="str">
        <f>IFERROR(__xludf.DUMMYFUNCTION("""COMPUTED_VALUE"""),"Keema-stijl rundercurry")</f>
        <v>Keema-stijl rundercurry</v>
      </c>
      <c r="H231" s="292" t="str">
        <f>IFERROR(__xludf.DUMMYFUNCTION("""COMPUTED_VALUE"""),"met bruine basmatirijst &amp; koriander-komijnbloemkool")</f>
        <v>met bruine basmatirijst &amp; koriander-komijnbloemkool</v>
      </c>
      <c r="I231" s="292" t="str">
        <f>IFERROR(__xludf.DUMMYFUNCTION("""COMPUTED_VALUE"""),"Keema-inspireret oksecurry")</f>
        <v>Keema-inspireret oksecurry</v>
      </c>
      <c r="J231" s="292" t="str">
        <f>IFERROR(__xludf.DUMMYFUNCTION("""COMPUTED_VALUE"""),"Keema-inspiriertes Rindercurry")</f>
        <v>Keema-inspiriertes Rindercurry</v>
      </c>
      <c r="K231" s="292">
        <f>IFERROR(__xludf.DUMMYFUNCTION("""COMPUTED_VALUE"""),565204.0)</f>
        <v>565204</v>
      </c>
      <c r="L231" s="292" t="str">
        <f>IFERROR(__xludf.DUMMYFUNCTION("""COMPUTED_VALUE"""),"HF Kruidig rundergehakt")</f>
        <v>HF Kruidig rundergehakt</v>
      </c>
      <c r="M231" s="292" t="str">
        <f>IFERROR(__xludf.DUMMYFUNCTION("""COMPUTED_VALUE"""),"FA-NL Keema-stijl rundercurry (FE0689)")</f>
        <v>FA-NL Keema-stijl rundercurry (FE0689)</v>
      </c>
      <c r="N231" s="292" t="str">
        <f>IFERROR(__xludf.DUMMYFUNCTION("""COMPUTED_VALUE"""),"FA-NO Keema-inspireret oksecurry (FE0689)")</f>
        <v>FA-NO Keema-inspireret oksecurry (FE0689)</v>
      </c>
      <c r="O231" s="292" t="str">
        <f>IFERROR(__xludf.DUMMYFUNCTION("""COMPUTED_VALUE"""),"FA-DE Keema-inspiriertes Rindercurry (FE0689)")</f>
        <v>FA-DE Keema-inspiriertes Rindercurry (FE0689)</v>
      </c>
      <c r="P231" s="292" t="str">
        <f>IFERROR(__xludf.DUMMYFUNCTION("""COMPUTED_VALUE"""),"Active")</f>
        <v>Active</v>
      </c>
      <c r="Q231" s="292"/>
      <c r="R231" s="342">
        <f>IFERROR(__xludf.DUMMYFUNCTION("""COMPUTED_VALUE"""),3.73)</f>
        <v>3.73</v>
      </c>
      <c r="S231" s="292"/>
      <c r="T231" s="292"/>
      <c r="U231" s="292"/>
      <c r="V231" s="292"/>
      <c r="W231" s="292" t="b">
        <f>IFERROR(__xludf.DUMMYFUNCTION("""COMPUTED_VALUE"""),TRUE)</f>
        <v>1</v>
      </c>
      <c r="X231" s="345">
        <f>IFERROR(__xludf.DUMMYFUNCTION("""COMPUTED_VALUE"""),399.0)</f>
        <v>399</v>
      </c>
      <c r="Y231" s="344">
        <f>IFERROR(__xludf.DUMMYFUNCTION("""COMPUTED_VALUE"""),410.0)</f>
        <v>410</v>
      </c>
      <c r="Z231" s="343">
        <f>IFERROR(__xludf.DUMMYFUNCTION("""COMPUTED_VALUE"""),20.2)</f>
        <v>20.2</v>
      </c>
      <c r="AA231" s="344">
        <f>IFERROR(__xludf.DUMMYFUNCTION("""COMPUTED_VALUE"""),8.8)</f>
        <v>8.8</v>
      </c>
      <c r="AB231" s="344">
        <f>IFERROR(__xludf.DUMMYFUNCTION("""COMPUTED_VALUE"""),34.2)</f>
        <v>34.2</v>
      </c>
      <c r="AC231" s="344">
        <f>IFERROR(__xludf.DUMMYFUNCTION("""COMPUTED_VALUE"""),3.7)</f>
        <v>3.7</v>
      </c>
      <c r="AD231" s="344">
        <f>IFERROR(__xludf.DUMMYFUNCTION("""COMPUTED_VALUE"""),6.5)</f>
        <v>6.5</v>
      </c>
      <c r="AE231" s="343">
        <f>IFERROR(__xludf.DUMMYFUNCTION("""COMPUTED_VALUE"""),19.2)</f>
        <v>19.2</v>
      </c>
      <c r="AF231" s="343">
        <f>IFERROR(__xludf.DUMMYFUNCTION("""COMPUTED_VALUE"""),2.03)</f>
        <v>2.03</v>
      </c>
      <c r="AG231" s="292" t="b">
        <f>IFERROR(__xludf.DUMMYFUNCTION("""COMPUTED_VALUE"""),TRUE)</f>
        <v>1</v>
      </c>
      <c r="AH231" s="292" t="b">
        <f>IFERROR(__xludf.DUMMYFUNCTION("""COMPUTED_VALUE"""),FALSE)</f>
        <v>0</v>
      </c>
      <c r="AI231" s="292" t="b">
        <f>IFERROR(__xludf.DUMMYFUNCTION("""COMPUTED_VALUE"""),TRUE)</f>
        <v>1</v>
      </c>
      <c r="AJ231" s="292" t="b">
        <f>IFERROR(__xludf.DUMMYFUNCTION("""COMPUTED_VALUE"""),FALSE)</f>
        <v>0</v>
      </c>
      <c r="AK231" s="292" t="b">
        <f>IFERROR(__xludf.DUMMYFUNCTION("""COMPUTED_VALUE"""),FALSE)</f>
        <v>0</v>
      </c>
      <c r="AL231" s="292" t="b">
        <f>IFERROR(__xludf.DUMMYFUNCTION("""COMPUTED_VALUE"""),FALSE)</f>
        <v>0</v>
      </c>
      <c r="AM231" s="292" t="b">
        <f>IFERROR(__xludf.DUMMYFUNCTION("""COMPUTED_VALUE"""),FALSE)</f>
        <v>0</v>
      </c>
      <c r="AN231" s="292" t="b">
        <f>IFERROR(__xludf.DUMMYFUNCTION("""COMPUTED_VALUE"""),TRUE)</f>
        <v>1</v>
      </c>
      <c r="AO231" s="292" t="str">
        <f>IFERROR(__xludf.DUMMYFUNCTION("""COMPUTED_VALUE"""),"FALSE")</f>
        <v>FALSE</v>
      </c>
      <c r="AP231" s="292" t="str">
        <f>IFERROR(__xludf.DUMMYFUNCTION("""COMPUTED_VALUE"""),"Ground beef")</f>
        <v>Ground beef</v>
      </c>
      <c r="AQ231" s="292" t="str">
        <f>IFERROR(__xludf.DUMMYFUNCTION("""COMPUTED_VALUE"""),"Beef")</f>
        <v>Beef</v>
      </c>
      <c r="AR231" s="292" t="str">
        <f>IFERROR(__xludf.DUMMYFUNCTION("""COMPUTED_VALUE"""),"Ground")</f>
        <v>Ground</v>
      </c>
      <c r="AS231" s="292" t="str">
        <f>IFERROR(__xludf.DUMMYFUNCTION("""COMPUTED_VALUE"""),"Rice")</f>
        <v>Rice</v>
      </c>
      <c r="AT231" s="292" t="str">
        <f>IFERROR(__xludf.DUMMYFUNCTION("""COMPUTED_VALUE"""),"Cauliflower Florets")</f>
        <v>Cauliflower Florets</v>
      </c>
      <c r="AU231" s="292" t="str">
        <f>IFERROR(__xludf.DUMMYFUNCTION("""COMPUTED_VALUE"""),"Potato Non-Mash")</f>
        <v>Potato Non-Mash</v>
      </c>
      <c r="AV231" s="292" t="str">
        <f>IFERROR(__xludf.DUMMYFUNCTION("""COMPUTED_VALUE"""),"Peas")</f>
        <v>Peas</v>
      </c>
      <c r="AW231" s="292" t="str">
        <f>IFERROR(__xludf.DUMMYFUNCTION("""COMPUTED_VALUE"""),"Year Round")</f>
        <v>Year Round</v>
      </c>
      <c r="AX231" s="292" t="str">
        <f>IFERROR(__xludf.DUMMYFUNCTION("""COMPUTED_VALUE"""),"Indian")</f>
        <v>Indian</v>
      </c>
      <c r="AY231" s="292"/>
      <c r="AZ231" s="292" t="str">
        <f>IFERROR(__xludf.DUMMYFUNCTION("""COMPUTED_VALUE"""),"2 CT")</f>
        <v>2 CT</v>
      </c>
      <c r="BA231" s="292" t="b">
        <f>IFERROR(__xludf.DUMMYFUNCTION("""COMPUTED_VALUE"""),FALSE)</f>
        <v>0</v>
      </c>
      <c r="BB231" s="342">
        <f>IFERROR(__xludf.DUMMYFUNCTION("""COMPUTED_VALUE"""),2.0)</f>
        <v>2</v>
      </c>
      <c r="BC231" s="342">
        <f>IFERROR(__xludf.DUMMYFUNCTION("""COMPUTED_VALUE"""),1.33)</f>
        <v>1.33</v>
      </c>
      <c r="BD231" s="342">
        <f>IFERROR(__xludf.DUMMYFUNCTION("""COMPUTED_VALUE"""),0.41)</f>
        <v>0.41</v>
      </c>
      <c r="BE231" s="342">
        <f>IFERROR(__xludf.DUMMYFUNCTION("""COMPUTED_VALUE"""),0.89)</f>
        <v>0.89</v>
      </c>
      <c r="BF231" s="296">
        <f>IFERROR(__xludf.DUMMYFUNCTION("""COMPUTED_VALUE"""),2.77)</f>
        <v>2.77</v>
      </c>
      <c r="BG231" s="296">
        <f>IFERROR(__xludf.DUMMYFUNCTION("""COMPUTED_VALUE"""),2.91)</f>
        <v>2.91</v>
      </c>
      <c r="BH231" s="296">
        <f>IFERROR(__xludf.DUMMYFUNCTION("""COMPUTED_VALUE"""),2.38)</f>
        <v>2.38</v>
      </c>
      <c r="BI231" s="295">
        <f>IFERROR(__xludf.DUMMYFUNCTION("""COMPUTED_VALUE"""),146.0)</f>
        <v>146</v>
      </c>
      <c r="BJ231" s="292"/>
      <c r="BK231" s="346">
        <f>IFERROR(__xludf.DUMMYFUNCTION("""COMPUTED_VALUE"""),1716.0)</f>
        <v>1716</v>
      </c>
      <c r="BL231" s="292"/>
      <c r="BM231" s="292"/>
      <c r="BN231" s="292"/>
      <c r="BO231" s="292"/>
      <c r="BP231" s="292"/>
      <c r="BQ231" s="292" t="str">
        <f>IFERROR(__xludf.DUMMYFUNCTION("""COMPUTED_VALUE"""),"New")</f>
        <v>New</v>
      </c>
      <c r="BR231" s="344" t="b">
        <f>IFERROR(__xludf.DUMMYFUNCTION("""COMPUTED_VALUE"""),FALSE)</f>
        <v>0</v>
      </c>
      <c r="BS231" s="292" t="b">
        <f>IFERROR(__xludf.DUMMYFUNCTION("""COMPUTED_VALUE"""),FALSE)</f>
        <v>0</v>
      </c>
      <c r="BT231" s="292"/>
      <c r="BU231" s="292"/>
      <c r="BV231" s="292"/>
      <c r="BW231" s="292"/>
    </row>
    <row r="232">
      <c r="A232" s="292" t="str">
        <f>IFERROR(__xludf.DUMMYFUNCTION("""COMPUTED_VALUE"""),"FE4066A")</f>
        <v>FE4066A</v>
      </c>
      <c r="B232" s="292" t="str">
        <f>IFERROR(__xludf.DUMMYFUNCTION("""COMPUTED_VALUE"""),"CON-40-152018-4")</f>
        <v>CON-40-152018-4</v>
      </c>
      <c r="C232" s="292" t="str">
        <f>IFERROR(__xludf.DUMMYFUNCTION("""COMPUTED_VALUE"""),"CON-00-152039-2")</f>
        <v>CON-00-152039-2</v>
      </c>
      <c r="D232" s="292" t="str">
        <f>IFERROR(__xludf.DUMMYFUNCTION("""COMPUTED_VALUE"""),"CON-00-152038-2")</f>
        <v>CON-00-152038-2</v>
      </c>
      <c r="E232" s="292" t="str">
        <f>IFERROR(__xludf.DUMMYFUNCTION("""COMPUTED_VALUE"""),"Thai Style Green Curry Salmon")</f>
        <v>Thai Style Green Curry Salmon</v>
      </c>
      <c r="F232" s="292" t="str">
        <f>IFERROR(__xludf.DUMMYFUNCTION("""COMPUTED_VALUE"""),"with Brown Rice, Carrots, and Green Beans")</f>
        <v>with Brown Rice, Carrots, and Green Beans</v>
      </c>
      <c r="G232" s="292" t="str">
        <f>IFERROR(__xludf.DUMMYFUNCTION("""COMPUTED_VALUE"""),"Zalm in curry in Thaise stijl")</f>
        <v>Zalm in curry in Thaise stijl</v>
      </c>
      <c r="H232" s="292" t="str">
        <f>IFERROR(__xludf.DUMMYFUNCTION("""COMPUTED_VALUE"""),"met basmatirijst, wortel &amp; sperziebonen")</f>
        <v>met basmatirijst, wortel &amp; sperziebonen</v>
      </c>
      <c r="I232" s="292" t="str">
        <f>IFERROR(__xludf.DUMMYFUNCTION("""COMPUTED_VALUE"""),"Laks i grøn thai-curry")</f>
        <v>Laks i grøn thai-curry</v>
      </c>
      <c r="J232" s="292" t="str">
        <f>IFERROR(__xludf.DUMMYFUNCTION("""COMPUTED_VALUE"""),"Lachs in grünem Thai Style Curry")</f>
        <v>Lachs in grünem Thai Style Curry</v>
      </c>
      <c r="K232" s="292">
        <f>IFERROR(__xludf.DUMMYFUNCTION("""COMPUTED_VALUE"""),565218.0)</f>
        <v>565218</v>
      </c>
      <c r="L232" s="292" t="str">
        <f>IFERROR(__xludf.DUMMYFUNCTION("""COMPUTED_VALUE"""),"HF Thaise curry Zalm")</f>
        <v>HF Thaise curry Zalm</v>
      </c>
      <c r="M232" s="292" t="str">
        <f>IFERROR(__xludf.DUMMYFUNCTION("""COMPUTED_VALUE"""),"FA-NL Zalm in curry in Thaise stijl (FE4066)")</f>
        <v>FA-NL Zalm in curry in Thaise stijl (FE4066)</v>
      </c>
      <c r="N232" s="292" t="str">
        <f>IFERROR(__xludf.DUMMYFUNCTION("""COMPUTED_VALUE"""),"FA-NO Laks i grøn thai-curry (FE4066)")</f>
        <v>FA-NO Laks i grøn thai-curry (FE4066)</v>
      </c>
      <c r="O232" s="292" t="str">
        <f>IFERROR(__xludf.DUMMYFUNCTION("""COMPUTED_VALUE"""),"FA-DE Lachs in grünem Thai Style Curry (FE4066)")</f>
        <v>FA-DE Lachs in grünem Thai Style Curry (FE4066)</v>
      </c>
      <c r="P232" s="292" t="str">
        <f>IFERROR(__xludf.DUMMYFUNCTION("""COMPUTED_VALUE"""),"Active")</f>
        <v>Active</v>
      </c>
      <c r="Q232" s="292"/>
      <c r="R232" s="342">
        <f>IFERROR(__xludf.DUMMYFUNCTION("""COMPUTED_VALUE"""),6.29)</f>
        <v>6.29</v>
      </c>
      <c r="S232" s="292"/>
      <c r="T232" s="292"/>
      <c r="U232" s="292"/>
      <c r="V232" s="292"/>
      <c r="W232" s="292" t="b">
        <f>IFERROR(__xludf.DUMMYFUNCTION("""COMPUTED_VALUE"""),TRUE)</f>
        <v>1</v>
      </c>
      <c r="X232" s="345">
        <f>IFERROR(__xludf.DUMMYFUNCTION("""COMPUTED_VALUE"""),429.0)</f>
        <v>429</v>
      </c>
      <c r="Y232" s="344">
        <f>IFERROR(__xludf.DUMMYFUNCTION("""COMPUTED_VALUE"""),667.0)</f>
        <v>667</v>
      </c>
      <c r="Z232" s="343">
        <f>IFERROR(__xludf.DUMMYFUNCTION("""COMPUTED_VALUE"""),38.7)</f>
        <v>38.7</v>
      </c>
      <c r="AA232" s="344">
        <f>IFERROR(__xludf.DUMMYFUNCTION("""COMPUTED_VALUE"""),13.9)</f>
        <v>13.9</v>
      </c>
      <c r="AB232" s="344">
        <f>IFERROR(__xludf.DUMMYFUNCTION("""COMPUTED_VALUE"""),39.3)</f>
        <v>39.3</v>
      </c>
      <c r="AC232" s="344">
        <f>IFERROR(__xludf.DUMMYFUNCTION("""COMPUTED_VALUE"""),9.8)</f>
        <v>9.8</v>
      </c>
      <c r="AD232" s="344">
        <f>IFERROR(__xludf.DUMMYFUNCTION("""COMPUTED_VALUE"""),8.7)</f>
        <v>8.7</v>
      </c>
      <c r="AE232" s="343">
        <f>IFERROR(__xludf.DUMMYFUNCTION("""COMPUTED_VALUE"""),33.4)</f>
        <v>33.4</v>
      </c>
      <c r="AF232" s="343">
        <f>IFERROR(__xludf.DUMMYFUNCTION("""COMPUTED_VALUE"""),1.99)</f>
        <v>1.99</v>
      </c>
      <c r="AG232" s="292" t="b">
        <f>IFERROR(__xludf.DUMMYFUNCTION("""COMPUTED_VALUE"""),FALSE)</f>
        <v>0</v>
      </c>
      <c r="AH232" s="292" t="b">
        <f>IFERROR(__xludf.DUMMYFUNCTION("""COMPUTED_VALUE"""),FALSE)</f>
        <v>0</v>
      </c>
      <c r="AI232" s="292" t="b">
        <f>IFERROR(__xludf.DUMMYFUNCTION("""COMPUTED_VALUE"""),FALSE)</f>
        <v>0</v>
      </c>
      <c r="AJ232" s="292" t="b">
        <f>IFERROR(__xludf.DUMMYFUNCTION("""COMPUTED_VALUE"""),FALSE)</f>
        <v>0</v>
      </c>
      <c r="AK232" s="292" t="b">
        <f>IFERROR(__xludf.DUMMYFUNCTION("""COMPUTED_VALUE"""),FALSE)</f>
        <v>0</v>
      </c>
      <c r="AL232" s="292" t="b">
        <f>IFERROR(__xludf.DUMMYFUNCTION("""COMPUTED_VALUE"""),FALSE)</f>
        <v>0</v>
      </c>
      <c r="AM232" s="292" t="b">
        <f>IFERROR(__xludf.DUMMYFUNCTION("""COMPUTED_VALUE"""),TRUE)</f>
        <v>1</v>
      </c>
      <c r="AN232" s="292" t="b">
        <f>IFERROR(__xludf.DUMMYFUNCTION("""COMPUTED_VALUE"""),TRUE)</f>
        <v>1</v>
      </c>
      <c r="AO232" s="292" t="str">
        <f>IFERROR(__xludf.DUMMYFUNCTION("""COMPUTED_VALUE"""),"FALSE")</f>
        <v>FALSE</v>
      </c>
      <c r="AP232" s="292" t="str">
        <f>IFERROR(__xludf.DUMMYFUNCTION("""COMPUTED_VALUE"""),"Salmon")</f>
        <v>Salmon</v>
      </c>
      <c r="AQ232" s="292" t="str">
        <f>IFERROR(__xludf.DUMMYFUNCTION("""COMPUTED_VALUE"""),"Salmon")</f>
        <v>Salmon</v>
      </c>
      <c r="AR232" s="292" t="str">
        <f>IFERROR(__xludf.DUMMYFUNCTION("""COMPUTED_VALUE"""),"Fillet")</f>
        <v>Fillet</v>
      </c>
      <c r="AS232" s="292" t="str">
        <f>IFERROR(__xludf.DUMMYFUNCTION("""COMPUTED_VALUE"""),"Rice")</f>
        <v>Rice</v>
      </c>
      <c r="AT232" s="292" t="str">
        <f>IFERROR(__xludf.DUMMYFUNCTION("""COMPUTED_VALUE"""),"Green Beans")</f>
        <v>Green Beans</v>
      </c>
      <c r="AU232" s="292" t="str">
        <f>IFERROR(__xludf.DUMMYFUNCTION("""COMPUTED_VALUE"""),"Carrots")</f>
        <v>Carrots</v>
      </c>
      <c r="AV232" s="292" t="str">
        <f>IFERROR(__xludf.DUMMYFUNCTION("""COMPUTED_VALUE"""),"Other sauce")</f>
        <v>Other sauce</v>
      </c>
      <c r="AW232" s="292" t="str">
        <f>IFERROR(__xludf.DUMMYFUNCTION("""COMPUTED_VALUE"""),"Year Round")</f>
        <v>Year Round</v>
      </c>
      <c r="AX232" s="292" t="str">
        <f>IFERROR(__xludf.DUMMYFUNCTION("""COMPUTED_VALUE"""),"Thai")</f>
        <v>Thai</v>
      </c>
      <c r="AY232" s="292"/>
      <c r="AZ232" s="292" t="str">
        <f>IFERROR(__xludf.DUMMYFUNCTION("""COMPUTED_VALUE"""),"2 CT")</f>
        <v>2 CT</v>
      </c>
      <c r="BA232" s="292" t="b">
        <f>IFERROR(__xludf.DUMMYFUNCTION("""COMPUTED_VALUE"""),FALSE)</f>
        <v>0</v>
      </c>
      <c r="BB232" s="342">
        <f>IFERROR(__xludf.DUMMYFUNCTION("""COMPUTED_VALUE"""),4.02)</f>
        <v>4.02</v>
      </c>
      <c r="BC232" s="348">
        <f>IFERROR(__xludf.DUMMYFUNCTION("""COMPUTED_VALUE"""),1.44)</f>
        <v>1.44</v>
      </c>
      <c r="BD232" s="348">
        <f>IFERROR(__xludf.DUMMYFUNCTION("""COMPUTED_VALUE"""),0.41)</f>
        <v>0.41</v>
      </c>
      <c r="BE232" s="342">
        <f>IFERROR(__xludf.DUMMYFUNCTION("""COMPUTED_VALUE"""),0.89)</f>
        <v>0.89</v>
      </c>
      <c r="BF232" s="296">
        <f>IFERROR(__xludf.DUMMYFUNCTION("""COMPUTED_VALUE"""),3.22)</f>
        <v>3.22</v>
      </c>
      <c r="BG232" s="296">
        <f>IFERROR(__xludf.DUMMYFUNCTION("""COMPUTED_VALUE"""),3.2300000000000004)</f>
        <v>3.23</v>
      </c>
      <c r="BH232" s="296">
        <f>IFERROR(__xludf.DUMMYFUNCTION("""COMPUTED_VALUE"""),2.9933333333333336)</f>
        <v>2.993333333</v>
      </c>
      <c r="BI232" s="295">
        <f>IFERROR(__xludf.DUMMYFUNCTION("""COMPUTED_VALUE"""),142.0)</f>
        <v>142</v>
      </c>
      <c r="BJ232" s="292"/>
      <c r="BK232" s="346">
        <f>IFERROR(__xludf.DUMMYFUNCTION("""COMPUTED_VALUE"""),2787.0)</f>
        <v>2787</v>
      </c>
      <c r="BL232" s="292"/>
      <c r="BM232" s="292"/>
      <c r="BN232" s="292"/>
      <c r="BO232" s="292"/>
      <c r="BP232" s="292"/>
      <c r="BQ232" s="292" t="str">
        <f>IFERROR(__xludf.DUMMYFUNCTION("""COMPUTED_VALUE"""),"New")</f>
        <v>New</v>
      </c>
      <c r="BR232" s="344" t="b">
        <f>IFERROR(__xludf.DUMMYFUNCTION("""COMPUTED_VALUE"""),FALSE)</f>
        <v>0</v>
      </c>
      <c r="BS232" s="292" t="b">
        <f>IFERROR(__xludf.DUMMYFUNCTION("""COMPUTED_VALUE"""),FALSE)</f>
        <v>0</v>
      </c>
      <c r="BT232" s="292"/>
      <c r="BU232" s="292"/>
      <c r="BV232" s="292"/>
      <c r="BW232" s="292"/>
    </row>
    <row r="233">
      <c r="A233" s="292" t="str">
        <f>IFERROR(__xludf.DUMMYFUNCTION("""COMPUTED_VALUE"""),"FE1801A")</f>
        <v>FE1801A</v>
      </c>
      <c r="B233" s="292" t="str">
        <f>IFERROR(__xludf.DUMMYFUNCTION("""COMPUTED_VALUE"""),"")</f>
        <v/>
      </c>
      <c r="C233" s="292"/>
      <c r="D233" s="292"/>
      <c r="E233" s="292" t="str">
        <f>IFERROR(__xludf.DUMMYFUNCTION("""COMPUTED_VALUE"""),"Red Pepper &amp; Artichoke Shrimp Bowl")</f>
        <v>Red Pepper &amp; Artichoke Shrimp Bowl</v>
      </c>
      <c r="F233" s="292" t="str">
        <f>IFERROR(__xludf.DUMMYFUNCTION("""COMPUTED_VALUE"""),"with Zucchini &amp; Basil Vinaigrette")</f>
        <v>with Zucchini &amp; Basil Vinaigrette</v>
      </c>
      <c r="G233" s="292" t="str">
        <f>IFERROR(__xludf.DUMMYFUNCTION("""COMPUTED_VALUE"""),"Garnalenbowl met rode paprika &amp; artisjok")</f>
        <v>Garnalenbowl met rode paprika &amp; artisjok</v>
      </c>
      <c r="H233" s="292" t="str">
        <f>IFERROR(__xludf.DUMMYFUNCTION("""COMPUTED_VALUE"""),"met courgette &amp; basilicumvinaigrette")</f>
        <v>met courgette &amp; basilicumvinaigrette</v>
      </c>
      <c r="I233" s="292" t="str">
        <f>IFERROR(__xludf.DUMMYFUNCTION("""COMPUTED_VALUE"""),"Bowl med rejer, peberfrugt og artiskok")</f>
        <v>Bowl med rejer, peberfrugt og artiskok</v>
      </c>
      <c r="J233" s="292" t="str">
        <f>IFERROR(__xludf.DUMMYFUNCTION("""COMPUTED_VALUE"""),"Bowl mit Garnelen, roter Paprika &amp; Artischocken")</f>
        <v>Bowl mit Garnelen, roter Paprika &amp; Artischocken</v>
      </c>
      <c r="K233" s="292">
        <f>IFERROR(__xludf.DUMMYFUNCTION("""COMPUTED_VALUE"""),565239.0)</f>
        <v>565239</v>
      </c>
      <c r="L233" s="292" t="str">
        <f>IFERROR(__xludf.DUMMYFUNCTION("""COMPUTED_VALUE"""),"HF Garnaal paprika artisj bowl")</f>
        <v>HF Garnaal paprika artisj bowl</v>
      </c>
      <c r="M233" s="292" t="str">
        <f>IFERROR(__xludf.DUMMYFUNCTION("""COMPUTED_VALUE"""),"#N/A")</f>
        <v>#N/A</v>
      </c>
      <c r="N233" s="292" t="str">
        <f>IFERROR(__xludf.DUMMYFUNCTION("""COMPUTED_VALUE"""),"#N/A")</f>
        <v>#N/A</v>
      </c>
      <c r="O233" s="292" t="str">
        <f>IFERROR(__xludf.DUMMYFUNCTION("""COMPUTED_VALUE"""),"#N/A")</f>
        <v>#N/A</v>
      </c>
      <c r="P233" s="292" t="str">
        <f>IFERROR(__xludf.DUMMYFUNCTION("""COMPUTED_VALUE"""),"Active")</f>
        <v>Active</v>
      </c>
      <c r="Q233" s="292"/>
      <c r="R233" s="342">
        <f>IFERROR(__xludf.DUMMYFUNCTION("""COMPUTED_VALUE"""),5.76)</f>
        <v>5.76</v>
      </c>
      <c r="S233" s="292"/>
      <c r="T233" s="292"/>
      <c r="U233" s="292"/>
      <c r="V233" s="292"/>
      <c r="W233" s="292" t="b">
        <f>IFERROR(__xludf.DUMMYFUNCTION("""COMPUTED_VALUE"""),TRUE)</f>
        <v>1</v>
      </c>
      <c r="X233" s="345">
        <f>IFERROR(__xludf.DUMMYFUNCTION("""COMPUTED_VALUE"""),429.0)</f>
        <v>429</v>
      </c>
      <c r="Y233" s="344">
        <f>IFERROR(__xludf.DUMMYFUNCTION("""COMPUTED_VALUE"""),408.0)</f>
        <v>408</v>
      </c>
      <c r="Z233" s="343">
        <f>IFERROR(__xludf.DUMMYFUNCTION("""COMPUTED_VALUE"""),17.0)</f>
        <v>17</v>
      </c>
      <c r="AA233" s="344">
        <f>IFERROR(__xludf.DUMMYFUNCTION("""COMPUTED_VALUE"""),3.1)</f>
        <v>3.1</v>
      </c>
      <c r="AB233" s="344">
        <f>IFERROR(__xludf.DUMMYFUNCTION("""COMPUTED_VALUE"""),33.0)</f>
        <v>33</v>
      </c>
      <c r="AC233" s="344">
        <f>IFERROR(__xludf.DUMMYFUNCTION("""COMPUTED_VALUE"""),8.9)</f>
        <v>8.9</v>
      </c>
      <c r="AD233" s="344">
        <f>IFERROR(__xludf.DUMMYFUNCTION("""COMPUTED_VALUE"""),6.9)</f>
        <v>6.9</v>
      </c>
      <c r="AE233" s="343">
        <f>IFERROR(__xludf.DUMMYFUNCTION("""COMPUTED_VALUE"""),28.2)</f>
        <v>28.2</v>
      </c>
      <c r="AF233" s="343">
        <f>IFERROR(__xludf.DUMMYFUNCTION("""COMPUTED_VALUE"""),2.02)</f>
        <v>2.02</v>
      </c>
      <c r="AG233" s="292" t="b">
        <f>IFERROR(__xludf.DUMMYFUNCTION("""COMPUTED_VALUE"""),FALSE)</f>
        <v>0</v>
      </c>
      <c r="AH233" s="292" t="b">
        <f>IFERROR(__xludf.DUMMYFUNCTION("""COMPUTED_VALUE"""),FALSE)</f>
        <v>0</v>
      </c>
      <c r="AI233" s="292" t="b">
        <f>IFERROR(__xludf.DUMMYFUNCTION("""COMPUTED_VALUE"""),TRUE)</f>
        <v>1</v>
      </c>
      <c r="AJ233" s="292" t="b">
        <f>IFERROR(__xludf.DUMMYFUNCTION("""COMPUTED_VALUE"""),FALSE)</f>
        <v>0</v>
      </c>
      <c r="AK233" s="292" t="b">
        <f>IFERROR(__xludf.DUMMYFUNCTION("""COMPUTED_VALUE"""),FALSE)</f>
        <v>0</v>
      </c>
      <c r="AL233" s="292" t="b">
        <f>IFERROR(__xludf.DUMMYFUNCTION("""COMPUTED_VALUE"""),FALSE)</f>
        <v>0</v>
      </c>
      <c r="AM233" s="292" t="b">
        <f>IFERROR(__xludf.DUMMYFUNCTION("""COMPUTED_VALUE"""),FALSE)</f>
        <v>0</v>
      </c>
      <c r="AN233" s="292" t="b">
        <f>IFERROR(__xludf.DUMMYFUNCTION("""COMPUTED_VALUE"""),FALSE)</f>
        <v>0</v>
      </c>
      <c r="AO233" s="292" t="str">
        <f>IFERROR(__xludf.DUMMYFUNCTION("""COMPUTED_VALUE"""),"FALSE")</f>
        <v>FALSE</v>
      </c>
      <c r="AP233" s="292" t="str">
        <f>IFERROR(__xludf.DUMMYFUNCTION("""COMPUTED_VALUE"""),"Shrimp")</f>
        <v>Shrimp</v>
      </c>
      <c r="AQ233" s="292" t="str">
        <f>IFERROR(__xludf.DUMMYFUNCTION("""COMPUTED_VALUE"""),"Shrimp")</f>
        <v>Shrimp</v>
      </c>
      <c r="AR233" s="292"/>
      <c r="AS233" s="292" t="str">
        <f>IFERROR(__xludf.DUMMYFUNCTION("""COMPUTED_VALUE"""),"Rice")</f>
        <v>Rice</v>
      </c>
      <c r="AT233" s="292" t="str">
        <f>IFERROR(__xludf.DUMMYFUNCTION("""COMPUTED_VALUE"""),"Zucchini Diced")</f>
        <v>Zucchini Diced</v>
      </c>
      <c r="AU233" s="292" t="str">
        <f>IFERROR(__xludf.DUMMYFUNCTION("""COMPUTED_VALUE"""),"Pepper Mix")</f>
        <v>Pepper Mix</v>
      </c>
      <c r="AV233" s="292" t="str">
        <f>IFERROR(__xludf.DUMMYFUNCTION("""COMPUTED_VALUE"""),"Cupped Sauce")</f>
        <v>Cupped Sauce</v>
      </c>
      <c r="AW233" s="292" t="str">
        <f>IFERROR(__xludf.DUMMYFUNCTION("""COMPUTED_VALUE"""),"Year Round")</f>
        <v>Year Round</v>
      </c>
      <c r="AX233" s="292" t="str">
        <f>IFERROR(__xludf.DUMMYFUNCTION("""COMPUTED_VALUE"""),"Greek")</f>
        <v>Greek</v>
      </c>
      <c r="AY233" s="292"/>
      <c r="AZ233" s="292" t="str">
        <f>IFERROR(__xludf.DUMMYFUNCTION("""COMPUTED_VALUE"""),"2 CT")</f>
        <v>2 CT</v>
      </c>
      <c r="BA233" s="292" t="b">
        <f>IFERROR(__xludf.DUMMYFUNCTION("""COMPUTED_VALUE"""),TRUE)</f>
        <v>1</v>
      </c>
      <c r="BB233" s="342">
        <f>IFERROR(__xludf.DUMMYFUNCTION("""COMPUTED_VALUE"""),3.4)</f>
        <v>3.4</v>
      </c>
      <c r="BC233" s="342">
        <f>IFERROR(__xludf.DUMMYFUNCTION("""COMPUTED_VALUE"""),1.93)</f>
        <v>1.93</v>
      </c>
      <c r="BD233" s="342">
        <f>IFERROR(__xludf.DUMMYFUNCTION("""COMPUTED_VALUE"""),0.44)</f>
        <v>0.44</v>
      </c>
      <c r="BE233" s="342">
        <f>IFERROR(__xludf.DUMMYFUNCTION("""COMPUTED_VALUE"""),0.89)</f>
        <v>0.89</v>
      </c>
      <c r="BF233" s="296" t="str">
        <f>IFERROR(__xludf.DUMMYFUNCTION("""COMPUTED_VALUE"""),"#REF!")</f>
        <v>#REF!</v>
      </c>
      <c r="BG233" s="296" t="str">
        <f>IFERROR(__xludf.DUMMYFUNCTION("""COMPUTED_VALUE"""),"#REF!")</f>
        <v>#REF!</v>
      </c>
      <c r="BH233" s="296" t="str">
        <f>IFERROR(__xludf.DUMMYFUNCTION("""COMPUTED_VALUE"""),"#REF!")</f>
        <v>#REF!</v>
      </c>
      <c r="BI233" s="295">
        <f>IFERROR(__xludf.DUMMYFUNCTION("""COMPUTED_VALUE"""),183.0)</f>
        <v>183</v>
      </c>
      <c r="BJ233" s="292"/>
      <c r="BK233" s="346">
        <f>IFERROR(__xludf.DUMMYFUNCTION("""COMPUTED_VALUE"""),1710.0)</f>
        <v>1710</v>
      </c>
      <c r="BL233" s="292"/>
      <c r="BM233" s="292"/>
      <c r="BN233" s="292"/>
      <c r="BO233" s="292"/>
      <c r="BP233" s="292"/>
      <c r="BQ233" s="292" t="str">
        <f>IFERROR(__xludf.DUMMYFUNCTION("""COMPUTED_VALUE"""),"New")</f>
        <v>New</v>
      </c>
      <c r="BR233" s="292" t="b">
        <f>IFERROR(__xludf.DUMMYFUNCTION("""COMPUTED_VALUE"""),FALSE)</f>
        <v>0</v>
      </c>
      <c r="BS233" s="292" t="b">
        <f>IFERROR(__xludf.DUMMYFUNCTION("""COMPUTED_VALUE"""),TRUE)</f>
        <v>1</v>
      </c>
      <c r="BT233" s="292"/>
      <c r="BU233" s="292"/>
      <c r="BV233" s="292"/>
      <c r="BW233" s="292"/>
    </row>
    <row r="234">
      <c r="A234" s="292" t="str">
        <f>IFERROR(__xludf.DUMMYFUNCTION("""COMPUTED_VALUE"""),"FE4001C")</f>
        <v>FE4001C</v>
      </c>
      <c r="B234" s="292" t="str">
        <f>IFERROR(__xludf.DUMMYFUNCTION("""COMPUTED_VALUE"""),"CON-40-143660-4")</f>
        <v>CON-40-143660-4</v>
      </c>
      <c r="C234" s="292" t="str">
        <f>IFERROR(__xludf.DUMMYFUNCTION("""COMPUTED_VALUE"""),"CON-00-147866-2")</f>
        <v>CON-00-147866-2</v>
      </c>
      <c r="D234" s="292" t="str">
        <f>IFERROR(__xludf.DUMMYFUNCTION("""COMPUTED_VALUE"""),"CON-00-136659-3")</f>
        <v>CON-00-136659-3</v>
      </c>
      <c r="E234" s="292" t="str">
        <f>IFERROR(__xludf.DUMMYFUNCTION("""COMPUTED_VALUE"""),"Grilled chicken fillet and pesto")</f>
        <v>Grilled chicken fillet and pesto</v>
      </c>
      <c r="F234" s="292" t="str">
        <f>IFERROR(__xludf.DUMMYFUNCTION("""COMPUTED_VALUE"""),"with green beans, cherry tomatoes, and potato and leek puree")</f>
        <v>with green beans, cherry tomatoes, and potato and leek puree</v>
      </c>
      <c r="G234" s="292" t="str">
        <f>IFERROR(__xludf.DUMMYFUNCTION("""COMPUTED_VALUE"""),"Gegrilde kipfilet en pesto")</f>
        <v>Gegrilde kipfilet en pesto</v>
      </c>
      <c r="H234" s="292" t="str">
        <f>IFERROR(__xludf.DUMMYFUNCTION("""COMPUTED_VALUE"""),"met sperziebonen, cherrytomaatjes, en puree van aardappel en prei")</f>
        <v>met sperziebonen, cherrytomaatjes, en puree van aardappel en prei</v>
      </c>
      <c r="I234" s="292" t="str">
        <f>IFERROR(__xludf.DUMMYFUNCTION("""COMPUTED_VALUE"""),"Grillet kyllingefilet med pesto")</f>
        <v>Grillet kyllingefilet med pesto</v>
      </c>
      <c r="J234" s="292" t="str">
        <f>IFERROR(__xludf.DUMMYFUNCTION("""COMPUTED_VALUE"""),"Gegrilltes Hähnchenfilet mit Pesto")</f>
        <v>Gegrilltes Hähnchenfilet mit Pesto</v>
      </c>
      <c r="K234" s="292">
        <f>IFERROR(__xludf.DUMMYFUNCTION("""COMPUTED_VALUE"""),565055.0)</f>
        <v>565055</v>
      </c>
      <c r="L234" s="292" t="str">
        <f>IFERROR(__xludf.DUMMYFUNCTION("""COMPUTED_VALUE"""),"HF Gegrilde kipfilet met pesto")</f>
        <v>HF Gegrilde kipfilet met pesto</v>
      </c>
      <c r="M234" s="292" t="str">
        <f>IFERROR(__xludf.DUMMYFUNCTION("""COMPUTED_VALUE"""),"FA-NL Gegrilde kipfilet en pesto (FE4001)")</f>
        <v>FA-NL Gegrilde kipfilet en pesto (FE4001)</v>
      </c>
      <c r="N234" s="292" t="str">
        <f>IFERROR(__xludf.DUMMYFUNCTION("""COMPUTED_VALUE"""),"FA-NO Grillet kyllingefilet og pesto (FE4001)")</f>
        <v>FA-NO Grillet kyllingefilet og pesto (FE4001)</v>
      </c>
      <c r="O234" s="292" t="str">
        <f>IFERROR(__xludf.DUMMYFUNCTION("""COMPUTED_VALUE"""),"FA-DE Gegrilltes Hähnchenfilet mit Pesto (FE4001)")</f>
        <v>FA-DE Gegrilltes Hähnchenfilet mit Pesto (FE4001)</v>
      </c>
      <c r="P234" s="292" t="str">
        <f>IFERROR(__xludf.DUMMYFUNCTION("""COMPUTED_VALUE"""),"Graveyard")</f>
        <v>Graveyard</v>
      </c>
      <c r="Q234" s="292"/>
      <c r="R234" s="342">
        <f>IFERROR(__xludf.DUMMYFUNCTION("""COMPUTED_VALUE"""),5.06)</f>
        <v>5.06</v>
      </c>
      <c r="S234" s="292"/>
      <c r="T234" s="292"/>
      <c r="U234" s="292"/>
      <c r="V234" s="292"/>
      <c r="W234" s="292" t="b">
        <f>IFERROR(__xludf.DUMMYFUNCTION("""COMPUTED_VALUE"""),TRUE)</f>
        <v>1</v>
      </c>
      <c r="X234" s="345">
        <f>IFERROR(__xludf.DUMMYFUNCTION("""COMPUTED_VALUE"""),409.0)</f>
        <v>409</v>
      </c>
      <c r="Y234" s="344">
        <f>IFERROR(__xludf.DUMMYFUNCTION("""COMPUTED_VALUE"""),466.0)</f>
        <v>466</v>
      </c>
      <c r="Z234" s="343">
        <f>IFERROR(__xludf.DUMMYFUNCTION("""COMPUTED_VALUE"""),26.9)</f>
        <v>26.9</v>
      </c>
      <c r="AA234" s="344">
        <f>IFERROR(__xludf.DUMMYFUNCTION("""COMPUTED_VALUE"""),6.9)</f>
        <v>6.9</v>
      </c>
      <c r="AB234" s="344">
        <f>IFERROR(__xludf.DUMMYFUNCTION("""COMPUTED_VALUE"""),22.1)</f>
        <v>22.1</v>
      </c>
      <c r="AC234" s="344">
        <f>IFERROR(__xludf.DUMMYFUNCTION("""COMPUTED_VALUE"""),6.3)</f>
        <v>6.3</v>
      </c>
      <c r="AD234" s="344">
        <f>IFERROR(__xludf.DUMMYFUNCTION("""COMPUTED_VALUE"""),7.4)</f>
        <v>7.4</v>
      </c>
      <c r="AE234" s="343">
        <f>IFERROR(__xludf.DUMMYFUNCTION("""COMPUTED_VALUE"""),30.5)</f>
        <v>30.5</v>
      </c>
      <c r="AF234" s="343">
        <f>IFERROR(__xludf.DUMMYFUNCTION("""COMPUTED_VALUE"""),1.61)</f>
        <v>1.61</v>
      </c>
      <c r="AG234" s="292" t="b">
        <f>IFERROR(__xludf.DUMMYFUNCTION("""COMPUTED_VALUE"""),FALSE)</f>
        <v>0</v>
      </c>
      <c r="AH234" s="292" t="b">
        <f>IFERROR(__xludf.DUMMYFUNCTION("""COMPUTED_VALUE"""),FALSE)</f>
        <v>0</v>
      </c>
      <c r="AI234" s="292" t="b">
        <f>IFERROR(__xludf.DUMMYFUNCTION("""COMPUTED_VALUE"""),TRUE)</f>
        <v>1</v>
      </c>
      <c r="AJ234" s="292" t="b">
        <f>IFERROR(__xludf.DUMMYFUNCTION("""COMPUTED_VALUE"""),FALSE)</f>
        <v>0</v>
      </c>
      <c r="AK234" s="292" t="b">
        <f>IFERROR(__xludf.DUMMYFUNCTION("""COMPUTED_VALUE"""),FALSE)</f>
        <v>0</v>
      </c>
      <c r="AL234" s="292" t="b">
        <f>IFERROR(__xludf.DUMMYFUNCTION("""COMPUTED_VALUE"""),FALSE)</f>
        <v>0</v>
      </c>
      <c r="AM234" s="292" t="b">
        <f>IFERROR(__xludf.DUMMYFUNCTION("""COMPUTED_VALUE"""),FALSE)</f>
        <v>0</v>
      </c>
      <c r="AN234" s="292" t="b">
        <f>IFERROR(__xludf.DUMMYFUNCTION("""COMPUTED_VALUE"""),FALSE)</f>
        <v>0</v>
      </c>
      <c r="AO234" s="292" t="str">
        <f>IFERROR(__xludf.DUMMYFUNCTION("""COMPUTED_VALUE"""),"FALSE")</f>
        <v>FALSE</v>
      </c>
      <c r="AP234" s="292" t="str">
        <f>IFERROR(__xludf.DUMMYFUNCTION("""COMPUTED_VALUE"""),"Chicken breast")</f>
        <v>Chicken breast</v>
      </c>
      <c r="AQ234" s="292" t="str">
        <f>IFERROR(__xludf.DUMMYFUNCTION("""COMPUTED_VALUE"""),"Chicken")</f>
        <v>Chicken</v>
      </c>
      <c r="AR234" s="292" t="str">
        <f>IFERROR(__xludf.DUMMYFUNCTION("""COMPUTED_VALUE"""),"Breast")</f>
        <v>Breast</v>
      </c>
      <c r="AS234" s="292" t="str">
        <f>IFERROR(__xludf.DUMMYFUNCTION("""COMPUTED_VALUE"""),"Potato Mash")</f>
        <v>Potato Mash</v>
      </c>
      <c r="AT234" s="292" t="str">
        <f>IFERROR(__xludf.DUMMYFUNCTION("""COMPUTED_VALUE"""),"Pesto")</f>
        <v>Pesto</v>
      </c>
      <c r="AU234" s="292" t="str">
        <f>IFERROR(__xludf.DUMMYFUNCTION("""COMPUTED_VALUE"""),"Green Beans")</f>
        <v>Green Beans</v>
      </c>
      <c r="AV234" s="292" t="str">
        <f>IFERROR(__xludf.DUMMYFUNCTION("""COMPUTED_VALUE"""),"Cherry Tomatoes")</f>
        <v>Cherry Tomatoes</v>
      </c>
      <c r="AW234" s="292" t="str">
        <f>IFERROR(__xludf.DUMMYFUNCTION("""COMPUTED_VALUE"""),"Year Round")</f>
        <v>Year Round</v>
      </c>
      <c r="AX234" s="292" t="str">
        <f>IFERROR(__xludf.DUMMYFUNCTION("""COMPUTED_VALUE"""),"Italian")</f>
        <v>Italian</v>
      </c>
      <c r="AY234" s="292"/>
      <c r="AZ234" s="292" t="str">
        <f>IFERROR(__xludf.DUMMYFUNCTION("""COMPUTED_VALUE"""),"2 CT")</f>
        <v>2 CT</v>
      </c>
      <c r="BA234" s="292" t="b">
        <f>IFERROR(__xludf.DUMMYFUNCTION("""COMPUTED_VALUE"""),FALSE)</f>
        <v>0</v>
      </c>
      <c r="BB234" s="342">
        <f>IFERROR(__xludf.DUMMYFUNCTION("""COMPUTED_VALUE"""),2.57)</f>
        <v>2.57</v>
      </c>
      <c r="BC234" s="342">
        <f>IFERROR(__xludf.DUMMYFUNCTION("""COMPUTED_VALUE"""),1.24)</f>
        <v>1.24</v>
      </c>
      <c r="BD234" s="342">
        <f>IFERROR(__xludf.DUMMYFUNCTION("""COMPUTED_VALUE"""),0.36)</f>
        <v>0.36</v>
      </c>
      <c r="BE234" s="342">
        <f>IFERROR(__xludf.DUMMYFUNCTION("""COMPUTED_VALUE"""),0.89)</f>
        <v>0.89</v>
      </c>
      <c r="BF234" s="296">
        <f>IFERROR(__xludf.DUMMYFUNCTION("""COMPUTED_VALUE"""),3.42)</f>
        <v>3.42</v>
      </c>
      <c r="BG234" s="296">
        <f>IFERROR(__xludf.DUMMYFUNCTION("""COMPUTED_VALUE"""),3.47)</f>
        <v>3.47</v>
      </c>
      <c r="BH234" s="296">
        <f>IFERROR(__xludf.DUMMYFUNCTION("""COMPUTED_VALUE"""),3.3266666666666667)</f>
        <v>3.326666667</v>
      </c>
      <c r="BI234" s="295">
        <f>IFERROR(__xludf.DUMMYFUNCTION("""COMPUTED_VALUE"""),159.0)</f>
        <v>159</v>
      </c>
      <c r="BJ234" s="292"/>
      <c r="BK234" s="346">
        <f>IFERROR(__xludf.DUMMYFUNCTION("""COMPUTED_VALUE"""),1946.0)</f>
        <v>1946</v>
      </c>
      <c r="BL234" s="292"/>
      <c r="BM234" s="292"/>
      <c r="BN234" s="292"/>
      <c r="BO234" s="292"/>
      <c r="BP234" s="292"/>
      <c r="BQ234" s="292" t="str">
        <f>IFERROR(__xludf.DUMMYFUNCTION("""COMPUTED_VALUE"""),"Active - Rework")</f>
        <v>Active - Rework</v>
      </c>
      <c r="BR234" s="292" t="b">
        <f>IFERROR(__xludf.DUMMYFUNCTION("""COMPUTED_VALUE"""),FALSE)</f>
        <v>0</v>
      </c>
      <c r="BS234" s="292" t="b">
        <f>IFERROR(__xludf.DUMMYFUNCTION("""COMPUTED_VALUE"""),FALSE)</f>
        <v>0</v>
      </c>
      <c r="BT234" s="292"/>
      <c r="BU234" s="292"/>
      <c r="BV234" s="292"/>
      <c r="BW234" s="292"/>
    </row>
    <row r="235">
      <c r="A235" s="292" t="str">
        <f>IFERROR(__xludf.DUMMYFUNCTION("""COMPUTED_VALUE"""),"FE0031C")</f>
        <v>FE0031C</v>
      </c>
      <c r="B235" s="292" t="str">
        <f>IFERROR(__xludf.DUMMYFUNCTION("""COMPUTED_VALUE"""),"CON-40-143722-4")</f>
        <v>CON-40-143722-4</v>
      </c>
      <c r="C235" s="292" t="str">
        <f>IFERROR(__xludf.DUMMYFUNCTION("""COMPUTED_VALUE"""),"CON-00-147816-2")</f>
        <v>CON-00-147816-2</v>
      </c>
      <c r="D235" s="292" t="str">
        <f>IFERROR(__xludf.DUMMYFUNCTION("""COMPUTED_VALUE"""),"CON-00-136629-3")</f>
        <v>CON-00-136629-3</v>
      </c>
      <c r="E235" s="292" t="str">
        <f>IFERROR(__xludf.DUMMYFUNCTION("""COMPUTED_VALUE"""),"Creamy tomato risotto")</f>
        <v>Creamy tomato risotto</v>
      </c>
      <c r="F235" s="292" t="str">
        <f>IFERROR(__xludf.DUMMYFUNCTION("""COMPUTED_VALUE"""),"with grilled courgette and peppers, fresh basil and pine nuts")</f>
        <v>with grilled courgette and peppers, fresh basil and pine nuts</v>
      </c>
      <c r="G235" s="292" t="str">
        <f>IFERROR(__xludf.DUMMYFUNCTION("""COMPUTED_VALUE"""),"Romige tomatenrisotto")</f>
        <v>Romige tomatenrisotto</v>
      </c>
      <c r="H235" s="292" t="str">
        <f>IFERROR(__xludf.DUMMYFUNCTION("""COMPUTED_VALUE"""),"met gegrilde courgette en paprika, verse basilicum en pijnboompitten")</f>
        <v>met gegrilde courgette en paprika, verse basilicum en pijnboompitten</v>
      </c>
      <c r="I235" s="292" t="str">
        <f>IFERROR(__xludf.DUMMYFUNCTION("""COMPUTED_VALUE"""),"Cremet tomatrisotto")</f>
        <v>Cremet tomatrisotto</v>
      </c>
      <c r="J235" s="292" t="str">
        <f>IFERROR(__xludf.DUMMYFUNCTION("""COMPUTED_VALUE"""),"Cremiges Tomaten-Risotto")</f>
        <v>Cremiges Tomaten-Risotto</v>
      </c>
      <c r="K235" s="292">
        <f>IFERROR(__xludf.DUMMYFUNCTION("""COMPUTED_VALUE"""),565244.0)</f>
        <v>565244</v>
      </c>
      <c r="L235" s="292" t="str">
        <f>IFERROR(__xludf.DUMMYFUNCTION("""COMPUTED_VALUE"""),"IO HF Romige tomatenrisotto V2")</f>
        <v>IO HF Romige tomatenrisotto V2</v>
      </c>
      <c r="M235" s="292" t="str">
        <f>IFERROR(__xludf.DUMMYFUNCTION("""COMPUTED_VALUE"""),"FA-NL Romige Tomatenrisotto (FE0031)")</f>
        <v>FA-NL Romige Tomatenrisotto (FE0031)</v>
      </c>
      <c r="N235" s="292" t="str">
        <f>IFERROR(__xludf.DUMMYFUNCTION("""COMPUTED_VALUE"""),"FA-NO Cremet tomatrisotto (FE0031)")</f>
        <v>FA-NO Cremet tomatrisotto (FE0031)</v>
      </c>
      <c r="O235" s="292" t="str">
        <f>IFERROR(__xludf.DUMMYFUNCTION("""COMPUTED_VALUE"""),"FA-DE Cremiges Tomaten-Risotto (FE0031)")</f>
        <v>FA-DE Cremiges Tomaten-Risotto (FE0031)</v>
      </c>
      <c r="P235" s="292" t="str">
        <f>IFERROR(__xludf.DUMMYFUNCTION("""COMPUTED_VALUE"""),"Active")</f>
        <v>Active</v>
      </c>
      <c r="Q235" s="292"/>
      <c r="R235" s="342">
        <f>IFERROR(__xludf.DUMMYFUNCTION("""COMPUTED_VALUE"""),3.9400000000000004)</f>
        <v>3.94</v>
      </c>
      <c r="S235" s="292"/>
      <c r="T235" s="292"/>
      <c r="U235" s="292"/>
      <c r="V235" s="292"/>
      <c r="W235" s="292" t="b">
        <f>IFERROR(__xludf.DUMMYFUNCTION("""COMPUTED_VALUE"""),TRUE)</f>
        <v>1</v>
      </c>
      <c r="X235" s="345">
        <f>IFERROR(__xludf.DUMMYFUNCTION("""COMPUTED_VALUE"""),401.0)</f>
        <v>401</v>
      </c>
      <c r="Y235" s="344">
        <f>IFERROR(__xludf.DUMMYFUNCTION("""COMPUTED_VALUE"""),558.0)</f>
        <v>558</v>
      </c>
      <c r="Z235" s="343">
        <f>IFERROR(__xludf.DUMMYFUNCTION("""COMPUTED_VALUE"""),28.1)</f>
        <v>28.1</v>
      </c>
      <c r="AA235" s="344">
        <f>IFERROR(__xludf.DUMMYFUNCTION("""COMPUTED_VALUE"""),6.4)</f>
        <v>6.4</v>
      </c>
      <c r="AB235" s="344">
        <f>IFERROR(__xludf.DUMMYFUNCTION("""COMPUTED_VALUE"""),59.0)</f>
        <v>59</v>
      </c>
      <c r="AC235" s="344">
        <f>IFERROR(__xludf.DUMMYFUNCTION("""COMPUTED_VALUE"""),9.1)</f>
        <v>9.1</v>
      </c>
      <c r="AD235" s="344">
        <f>IFERROR(__xludf.DUMMYFUNCTION("""COMPUTED_VALUE"""),4.8)</f>
        <v>4.8</v>
      </c>
      <c r="AE235" s="343">
        <f>IFERROR(__xludf.DUMMYFUNCTION("""COMPUTED_VALUE"""),15.2)</f>
        <v>15.2</v>
      </c>
      <c r="AF235" s="343">
        <f>IFERROR(__xludf.DUMMYFUNCTION("""COMPUTED_VALUE"""),1.95)</f>
        <v>1.95</v>
      </c>
      <c r="AG235" s="292" t="b">
        <f>IFERROR(__xludf.DUMMYFUNCTION("""COMPUTED_VALUE"""),FALSE)</f>
        <v>0</v>
      </c>
      <c r="AH235" s="292" t="b">
        <f>IFERROR(__xludf.DUMMYFUNCTION("""COMPUTED_VALUE"""),FALSE)</f>
        <v>0</v>
      </c>
      <c r="AI235" s="292" t="b">
        <f>IFERROR(__xludf.DUMMYFUNCTION("""COMPUTED_VALUE"""),FALSE)</f>
        <v>0</v>
      </c>
      <c r="AJ235" s="292" t="b">
        <f>IFERROR(__xludf.DUMMYFUNCTION("""COMPUTED_VALUE"""),FALSE)</f>
        <v>0</v>
      </c>
      <c r="AK235" s="292" t="b">
        <f>IFERROR(__xludf.DUMMYFUNCTION("""COMPUTED_VALUE"""),TRUE)</f>
        <v>1</v>
      </c>
      <c r="AL235" s="292" t="b">
        <f>IFERROR(__xludf.DUMMYFUNCTION("""COMPUTED_VALUE"""),FALSE)</f>
        <v>0</v>
      </c>
      <c r="AM235" s="292" t="b">
        <f>IFERROR(__xludf.DUMMYFUNCTION("""COMPUTED_VALUE"""),FALSE)</f>
        <v>0</v>
      </c>
      <c r="AN235" s="292" t="b">
        <f>IFERROR(__xludf.DUMMYFUNCTION("""COMPUTED_VALUE"""),FALSE)</f>
        <v>0</v>
      </c>
      <c r="AO235" s="292" t="str">
        <f>IFERROR(__xludf.DUMMYFUNCTION("""COMPUTED_VALUE"""),"FALSE")</f>
        <v>FALSE</v>
      </c>
      <c r="AP235" s="292" t="str">
        <f>IFERROR(__xludf.DUMMYFUNCTION("""COMPUTED_VALUE"""),"Vegetarian")</f>
        <v>Vegetarian</v>
      </c>
      <c r="AQ235" s="292" t="str">
        <f>IFERROR(__xludf.DUMMYFUNCTION("""COMPUTED_VALUE"""),"Vegetarian")</f>
        <v>Vegetarian</v>
      </c>
      <c r="AR235" s="292" t="str">
        <f>IFERROR(__xludf.DUMMYFUNCTION("""COMPUTED_VALUE"""),"Risotto")</f>
        <v>Risotto</v>
      </c>
      <c r="AS235" s="292" t="str">
        <f>IFERROR(__xludf.DUMMYFUNCTION("""COMPUTED_VALUE"""),"Risotto")</f>
        <v>Risotto</v>
      </c>
      <c r="AT235" s="292" t="str">
        <f>IFERROR(__xludf.DUMMYFUNCTION("""COMPUTED_VALUE"""),"Cherry Tomatoes")</f>
        <v>Cherry Tomatoes</v>
      </c>
      <c r="AU235" s="292" t="str">
        <f>IFERROR(__xludf.DUMMYFUNCTION("""COMPUTED_VALUE"""),"Zucchini Diced")</f>
        <v>Zucchini Diced</v>
      </c>
      <c r="AV235" s="292" t="str">
        <f>IFERROR(__xludf.DUMMYFUNCTION("""COMPUTED_VALUE"""),"Pine nuts")</f>
        <v>Pine nuts</v>
      </c>
      <c r="AW235" s="292" t="str">
        <f>IFERROR(__xludf.DUMMYFUNCTION("""COMPUTED_VALUE"""),"Year Round")</f>
        <v>Year Round</v>
      </c>
      <c r="AX235" s="292" t="str">
        <f>IFERROR(__xludf.DUMMYFUNCTION("""COMPUTED_VALUE"""),"Italian")</f>
        <v>Italian</v>
      </c>
      <c r="AY235" s="292"/>
      <c r="AZ235" s="292" t="str">
        <f>IFERROR(__xludf.DUMMYFUNCTION("""COMPUTED_VALUE"""),"2 CT")</f>
        <v>2 CT</v>
      </c>
      <c r="BA235" s="292" t="b">
        <f>IFERROR(__xludf.DUMMYFUNCTION("""COMPUTED_VALUE"""),TRUE)</f>
        <v>1</v>
      </c>
      <c r="BB235" s="342">
        <f>IFERROR(__xludf.DUMMYFUNCTION("""COMPUTED_VALUE"""),1.74)</f>
        <v>1.74</v>
      </c>
      <c r="BC235" s="342">
        <f>IFERROR(__xludf.DUMMYFUNCTION("""COMPUTED_VALUE"""),0.92)</f>
        <v>0.92</v>
      </c>
      <c r="BD235" s="342">
        <f>IFERROR(__xludf.DUMMYFUNCTION("""COMPUTED_VALUE"""),0.39)</f>
        <v>0.39</v>
      </c>
      <c r="BE235" s="342">
        <f>IFERROR(__xludf.DUMMYFUNCTION("""COMPUTED_VALUE"""),0.89)</f>
        <v>0.89</v>
      </c>
      <c r="BF235" s="296">
        <f>IFERROR(__xludf.DUMMYFUNCTION("""COMPUTED_VALUE"""),3.24)</f>
        <v>3.24</v>
      </c>
      <c r="BG235" s="296">
        <f>IFERROR(__xludf.DUMMYFUNCTION("""COMPUTED_VALUE"""),3.223333333333333)</f>
        <v>3.223333333</v>
      </c>
      <c r="BH235" s="296">
        <f>IFERROR(__xludf.DUMMYFUNCTION("""COMPUTED_VALUE"""),3.2699999999999996)</f>
        <v>3.27</v>
      </c>
      <c r="BI235" s="295">
        <f>IFERROR(__xludf.DUMMYFUNCTION("""COMPUTED_VALUE"""),166.0)</f>
        <v>166</v>
      </c>
      <c r="BJ235" s="292"/>
      <c r="BK235" s="346">
        <f>IFERROR(__xludf.DUMMYFUNCTION("""COMPUTED_VALUE"""),2336.0)</f>
        <v>2336</v>
      </c>
      <c r="BL235" s="292"/>
      <c r="BM235" s="292"/>
      <c r="BN235" s="292"/>
      <c r="BO235" s="292"/>
      <c r="BP235" s="292"/>
      <c r="BQ235" s="292" t="str">
        <f>IFERROR(__xludf.DUMMYFUNCTION("""COMPUTED_VALUE"""),"Active - Rework")</f>
        <v>Active - Rework</v>
      </c>
      <c r="BR235" s="292" t="b">
        <f>IFERROR(__xludf.DUMMYFUNCTION("""COMPUTED_VALUE"""),FALSE)</f>
        <v>0</v>
      </c>
      <c r="BS235" s="292" t="b">
        <f>IFERROR(__xludf.DUMMYFUNCTION("""COMPUTED_VALUE"""),FALSE)</f>
        <v>0</v>
      </c>
      <c r="BT235" s="292"/>
      <c r="BU235" s="292"/>
      <c r="BV235" s="292"/>
      <c r="BW235" s="292"/>
    </row>
    <row r="236">
      <c r="A236" s="292" t="str">
        <f>IFERROR(__xludf.DUMMYFUNCTION("""COMPUTED_VALUE"""),"FE1712A")</f>
        <v>FE1712A</v>
      </c>
      <c r="B236" s="292" t="str">
        <f>IFERROR(__xludf.DUMMYFUNCTION("""COMPUTED_VALUE"""),"CON-40-155190-4")</f>
        <v>CON-40-155190-4</v>
      </c>
      <c r="C236" s="292" t="str">
        <f>IFERROR(__xludf.DUMMYFUNCTION("""COMPUTED_VALUE"""),"CON-00-155187-2")</f>
        <v>CON-00-155187-2</v>
      </c>
      <c r="D236" s="292" t="str">
        <f>IFERROR(__xludf.DUMMYFUNCTION("""COMPUTED_VALUE"""),"CON-00-155186-2")</f>
        <v>CON-00-155186-2</v>
      </c>
      <c r="E236" s="292" t="str">
        <f>IFERROR(__xludf.DUMMYFUNCTION("""COMPUTED_VALUE"""),"Fiery Kung Pao Peanut Chicken")</f>
        <v>Fiery Kung Pao Peanut Chicken</v>
      </c>
      <c r="F236" s="292" t="str">
        <f>IFERROR(__xludf.DUMMYFUNCTION("""COMPUTED_VALUE"""),"with Brown Rice &amp; Green Beans")</f>
        <v>with Brown Rice &amp; Green Beans</v>
      </c>
      <c r="G236" s="292" t="str">
        <f>IFERROR(__xludf.DUMMYFUNCTION("""COMPUTED_VALUE"""),"Pittige Kung Pao-kip met pinda")</f>
        <v>Pittige Kung Pao-kip met pinda</v>
      </c>
      <c r="H236" s="292" t="str">
        <f>IFERROR(__xludf.DUMMYFUNCTION("""COMPUTED_VALUE"""),"met basmatirijst en sperziebonen")</f>
        <v>met basmatirijst en sperziebonen</v>
      </c>
      <c r="I236" s="292" t="str">
        <f>IFERROR(__xludf.DUMMYFUNCTION("""COMPUTED_VALUE"""),"Kung pao-kylling med peanuts")</f>
        <v>Kung pao-kylling med peanuts</v>
      </c>
      <c r="J236" s="292" t="str">
        <f>IFERROR(__xludf.DUMMYFUNCTION("""COMPUTED_VALUE"""),"Feuriges Kung-Pao-Hähnchen mit Erdnüssen")</f>
        <v>Feuriges Kung-Pao-Hähnchen mit Erdnüssen</v>
      </c>
      <c r="K236" s="292">
        <f>IFERROR(__xludf.DUMMYFUNCTION("""COMPUTED_VALUE"""),565250.0)</f>
        <v>565250</v>
      </c>
      <c r="L236" s="292" t="str">
        <f>IFERROR(__xludf.DUMMYFUNCTION("""COMPUTED_VALUE"""),"HF Kung pao peanut chicken")</f>
        <v>HF Kung pao peanut chicken</v>
      </c>
      <c r="M236" s="292" t="str">
        <f>IFERROR(__xludf.DUMMYFUNCTION("""COMPUTED_VALUE"""),"FA-NL Pittige Kung Pao-kip met pinda (FE1712)")</f>
        <v>FA-NL Pittige Kung Pao-kip met pinda (FE1712)</v>
      </c>
      <c r="N236" s="292" t="str">
        <f>IFERROR(__xludf.DUMMYFUNCTION("""COMPUTED_VALUE"""),"FA-NO Kung pao-kylling med peanuts (FE1712)")</f>
        <v>FA-NO Kung pao-kylling med peanuts (FE1712)</v>
      </c>
      <c r="O236" s="292" t="str">
        <f>IFERROR(__xludf.DUMMYFUNCTION("""COMPUTED_VALUE"""),"FA-DE Feuriges Kung-Pao-Hähnchen mit Erdnüssen (FE1712)")</f>
        <v>FA-DE Feuriges Kung-Pao-Hähnchen mit Erdnüssen (FE1712)</v>
      </c>
      <c r="P236" s="292" t="str">
        <f>IFERROR(__xludf.DUMMYFUNCTION("""COMPUTED_VALUE"""),"Hold - Rework")</f>
        <v>Hold - Rework</v>
      </c>
      <c r="Q236" s="292"/>
      <c r="R236" s="342">
        <f>IFERROR(__xludf.DUMMYFUNCTION("""COMPUTED_VALUE"""),4.87)</f>
        <v>4.87</v>
      </c>
      <c r="S236" s="292"/>
      <c r="T236" s="292"/>
      <c r="U236" s="292"/>
      <c r="V236" s="292"/>
      <c r="W236" s="292" t="b">
        <f>IFERROR(__xludf.DUMMYFUNCTION("""COMPUTED_VALUE"""),TRUE)</f>
        <v>1</v>
      </c>
      <c r="X236" s="345">
        <f>IFERROR(__xludf.DUMMYFUNCTION("""COMPUTED_VALUE"""),436.0)</f>
        <v>436</v>
      </c>
      <c r="Y236" s="344">
        <f>IFERROR(__xludf.DUMMYFUNCTION("""COMPUTED_VALUE"""),579.0)</f>
        <v>579</v>
      </c>
      <c r="Z236" s="343">
        <f>IFERROR(__xludf.DUMMYFUNCTION("""COMPUTED_VALUE"""),25.5)</f>
        <v>25.5</v>
      </c>
      <c r="AA236" s="344">
        <f>IFERROR(__xludf.DUMMYFUNCTION("""COMPUTED_VALUE"""),4.2)</f>
        <v>4.2</v>
      </c>
      <c r="AB236" s="344">
        <f>IFERROR(__xludf.DUMMYFUNCTION("""COMPUTED_VALUE"""),46.2)</f>
        <v>46.2</v>
      </c>
      <c r="AC236" s="344">
        <f>IFERROR(__xludf.DUMMYFUNCTION("""COMPUTED_VALUE"""),10.6)</f>
        <v>10.6</v>
      </c>
      <c r="AD236" s="344">
        <f>IFERROR(__xludf.DUMMYFUNCTION("""COMPUTED_VALUE"""),9.7)</f>
        <v>9.7</v>
      </c>
      <c r="AE236" s="343">
        <f>IFERROR(__xludf.DUMMYFUNCTION("""COMPUTED_VALUE"""),36.8)</f>
        <v>36.8</v>
      </c>
      <c r="AF236" s="343">
        <f>IFERROR(__xludf.DUMMYFUNCTION("""COMPUTED_VALUE"""),1.96)</f>
        <v>1.96</v>
      </c>
      <c r="AG236" s="292" t="b">
        <f>IFERROR(__xludf.DUMMYFUNCTION("""COMPUTED_VALUE"""),TRUE)</f>
        <v>1</v>
      </c>
      <c r="AH236" s="292" t="b">
        <f>IFERROR(__xludf.DUMMYFUNCTION("""COMPUTED_VALUE"""),FALSE)</f>
        <v>0</v>
      </c>
      <c r="AI236" s="292" t="b">
        <f>IFERROR(__xludf.DUMMYFUNCTION("""COMPUTED_VALUE"""),FALSE)</f>
        <v>0</v>
      </c>
      <c r="AJ236" s="292" t="b">
        <f>IFERROR(__xludf.DUMMYFUNCTION("""COMPUTED_VALUE"""),FALSE)</f>
        <v>0</v>
      </c>
      <c r="AK236" s="292" t="b">
        <f>IFERROR(__xludf.DUMMYFUNCTION("""COMPUTED_VALUE"""),FALSE)</f>
        <v>0</v>
      </c>
      <c r="AL236" s="292" t="b">
        <f>IFERROR(__xludf.DUMMYFUNCTION("""COMPUTED_VALUE"""),FALSE)</f>
        <v>0</v>
      </c>
      <c r="AM236" s="292" t="b">
        <f>IFERROR(__xludf.DUMMYFUNCTION("""COMPUTED_VALUE"""),TRUE)</f>
        <v>1</v>
      </c>
      <c r="AN236" s="292" t="b">
        <f>IFERROR(__xludf.DUMMYFUNCTION("""COMPUTED_VALUE"""),TRUE)</f>
        <v>1</v>
      </c>
      <c r="AO236" s="292" t="str">
        <f>IFERROR(__xludf.DUMMYFUNCTION("""COMPUTED_VALUE"""),"TRUE")</f>
        <v>TRUE</v>
      </c>
      <c r="AP236" s="292" t="str">
        <f>IFERROR(__xludf.DUMMYFUNCTION("""COMPUTED_VALUE"""),"Diced chicken")</f>
        <v>Diced chicken</v>
      </c>
      <c r="AQ236" s="292" t="str">
        <f>IFERROR(__xludf.DUMMYFUNCTION("""COMPUTED_VALUE"""),"Chicken")</f>
        <v>Chicken</v>
      </c>
      <c r="AR236" s="292" t="str">
        <f>IFERROR(__xludf.DUMMYFUNCTION("""COMPUTED_VALUE"""),"Pieces")</f>
        <v>Pieces</v>
      </c>
      <c r="AS236" s="292" t="str">
        <f>IFERROR(__xludf.DUMMYFUNCTION("""COMPUTED_VALUE"""),"Rice")</f>
        <v>Rice</v>
      </c>
      <c r="AT236" s="292" t="str">
        <f>IFERROR(__xludf.DUMMYFUNCTION("""COMPUTED_VALUE"""),"Green Beans")</f>
        <v>Green Beans</v>
      </c>
      <c r="AU236" s="292" t="str">
        <f>IFERROR(__xludf.DUMMYFUNCTION("""COMPUTED_VALUE"""),"Zucchini Diced")</f>
        <v>Zucchini Diced</v>
      </c>
      <c r="AV236" s="292" t="str">
        <f>IFERROR(__xludf.DUMMYFUNCTION("""COMPUTED_VALUE"""),"Other sauce")</f>
        <v>Other sauce</v>
      </c>
      <c r="AW236" s="292" t="str">
        <f>IFERROR(__xludf.DUMMYFUNCTION("""COMPUTED_VALUE"""),"Year Round")</f>
        <v>Year Round</v>
      </c>
      <c r="AX236" s="292" t="str">
        <f>IFERROR(__xludf.DUMMYFUNCTION("""COMPUTED_VALUE"""),"Chinese")</f>
        <v>Chinese</v>
      </c>
      <c r="AY236" s="292"/>
      <c r="AZ236" s="292" t="str">
        <f>IFERROR(__xludf.DUMMYFUNCTION("""COMPUTED_VALUE"""),"2 CT")</f>
        <v>2 CT</v>
      </c>
      <c r="BA236" s="292" t="b">
        <f>IFERROR(__xludf.DUMMYFUNCTION("""COMPUTED_VALUE"""),FALSE)</f>
        <v>0</v>
      </c>
      <c r="BB236" s="342">
        <f>IFERROR(__xludf.DUMMYFUNCTION("""COMPUTED_VALUE"""),2.89)</f>
        <v>2.89</v>
      </c>
      <c r="BC236" s="342">
        <f>IFERROR(__xludf.DUMMYFUNCTION("""COMPUTED_VALUE"""),1.55)</f>
        <v>1.55</v>
      </c>
      <c r="BD236" s="342">
        <f>IFERROR(__xludf.DUMMYFUNCTION("""COMPUTED_VALUE"""),0.42)</f>
        <v>0.42</v>
      </c>
      <c r="BE236" s="342">
        <f>IFERROR(__xludf.DUMMYFUNCTION("""COMPUTED_VALUE"""),0.89)</f>
        <v>0.89</v>
      </c>
      <c r="BF236" s="296">
        <f>IFERROR(__xludf.DUMMYFUNCTION("""COMPUTED_VALUE"""),3.09)</f>
        <v>3.09</v>
      </c>
      <c r="BG236" s="296">
        <f>IFERROR(__xludf.DUMMYFUNCTION("""COMPUTED_VALUE"""),3.11)</f>
        <v>3.11</v>
      </c>
      <c r="BH236" s="296">
        <f>IFERROR(__xludf.DUMMYFUNCTION("""COMPUTED_VALUE"""),2.98)</f>
        <v>2.98</v>
      </c>
      <c r="BI236" s="295">
        <f>IFERROR(__xludf.DUMMYFUNCTION("""COMPUTED_VALUE"""),135.0)</f>
        <v>135</v>
      </c>
      <c r="BJ236" s="292"/>
      <c r="BK236" s="346">
        <f>IFERROR(__xludf.DUMMYFUNCTION("""COMPUTED_VALUE"""),2425.0)</f>
        <v>2425</v>
      </c>
      <c r="BL236" s="292"/>
      <c r="BM236" s="292"/>
      <c r="BN236" s="292"/>
      <c r="BO236" s="292"/>
      <c r="BP236" s="292"/>
      <c r="BQ236" s="292" t="str">
        <f>IFERROR(__xludf.DUMMYFUNCTION("""COMPUTED_VALUE"""),"New")</f>
        <v>New</v>
      </c>
      <c r="BR236" s="292" t="b">
        <f>IFERROR(__xludf.DUMMYFUNCTION("""COMPUTED_VALUE"""),TRUE)</f>
        <v>1</v>
      </c>
      <c r="BS236" s="292" t="b">
        <f>IFERROR(__xludf.DUMMYFUNCTION("""COMPUTED_VALUE"""),FALSE)</f>
        <v>0</v>
      </c>
      <c r="BT236" s="292"/>
      <c r="BU236" s="292"/>
      <c r="BV236" s="292"/>
      <c r="BW236" s="292"/>
    </row>
    <row r="237">
      <c r="A237" s="292" t="str">
        <f>IFERROR(__xludf.DUMMYFUNCTION("""COMPUTED_VALUE"""),"FE0092B")</f>
        <v>FE0092B</v>
      </c>
      <c r="B237" s="292" t="str">
        <f>IFERROR(__xludf.DUMMYFUNCTION("""COMPUTED_VALUE"""),"CON-40-155023-4")</f>
        <v>CON-40-155023-4</v>
      </c>
      <c r="C237" s="292" t="str">
        <f>IFERROR(__xludf.DUMMYFUNCTION("""COMPUTED_VALUE"""),"CON-00-155019-2")</f>
        <v>CON-00-155019-2</v>
      </c>
      <c r="D237" s="292" t="str">
        <f>IFERROR(__xludf.DUMMYFUNCTION("""COMPUTED_VALUE"""),"CON-00-155020-2")</f>
        <v>CON-00-155020-2</v>
      </c>
      <c r="E237" s="292" t="str">
        <f>IFERROR(__xludf.DUMMYFUNCTION("""COMPUTED_VALUE"""),"Tunisian-Style Beef &amp; Tomato Stew")</f>
        <v>Tunisian-Style Beef &amp; Tomato Stew</v>
      </c>
      <c r="F237" s="292" t="str">
        <f>IFERROR(__xludf.DUMMYFUNCTION("""COMPUTED_VALUE"""),"with Roasted Yellow Beets")</f>
        <v>with Roasted Yellow Beets</v>
      </c>
      <c r="G237" s="292" t="str">
        <f>IFERROR(__xludf.DUMMYFUNCTION("""COMPUTED_VALUE"""),"Tunesische stijl runder- en tomatenstoof")</f>
        <v>Tunesische stijl runder- en tomatenstoof</v>
      </c>
      <c r="H237" s="292" t="str">
        <f>IFERROR(__xludf.DUMMYFUNCTION("""COMPUTED_VALUE"""),"met geroosterde gele biet")</f>
        <v>met geroosterde gele biet</v>
      </c>
      <c r="I237" s="292" t="str">
        <f>IFERROR(__xludf.DUMMYFUNCTION("""COMPUTED_VALUE"""),"Tunisisk-inspireret okse- og tomatgryde")</f>
        <v>Tunisisk-inspireret okse- og tomatgryde</v>
      </c>
      <c r="J237" s="292" t="str">
        <f>IFERROR(__xludf.DUMMYFUNCTION("""COMPUTED_VALUE"""),"Rind-Tomaten-Eintopf nach tunesischer Art")</f>
        <v>Rind-Tomaten-Eintopf nach tunesischer Art</v>
      </c>
      <c r="K237" s="292">
        <f>IFERROR(__xludf.DUMMYFUNCTION("""COMPUTED_VALUE"""),565180.0)</f>
        <v>565180</v>
      </c>
      <c r="L237" s="292" t="str">
        <f>IFERROR(__xludf.DUMMYFUNCTION("""COMPUTED_VALUE"""),"HF Tunesian-style Beef Stew")</f>
        <v>HF Tunesian-style Beef Stew</v>
      </c>
      <c r="M237" s="292" t="str">
        <f>IFERROR(__xludf.DUMMYFUNCTION("""COMPUTED_VALUE"""),"FA-NL Tunesische stijl runder- en tomatenstoof (FE0092)")</f>
        <v>FA-NL Tunesische stijl runder- en tomatenstoof (FE0092)</v>
      </c>
      <c r="N237" s="292" t="str">
        <f>IFERROR(__xludf.DUMMYFUNCTION("""COMPUTED_VALUE"""),"FA-NO Tunisisk-inspireret okse- og tomatgryde (FE0092)")</f>
        <v>FA-NO Tunisisk-inspireret okse- og tomatgryde (FE0092)</v>
      </c>
      <c r="O237" s="292" t="str">
        <f>IFERROR(__xludf.DUMMYFUNCTION("""COMPUTED_VALUE"""),"FA-DE Rind-Tomaten-Eintopf nach tunesischer Art (FE0092)")</f>
        <v>FA-DE Rind-Tomaten-Eintopf nach tunesischer Art (FE0092)</v>
      </c>
      <c r="P237" s="292" t="str">
        <f>IFERROR(__xludf.DUMMYFUNCTION("""COMPUTED_VALUE"""),"Active")</f>
        <v>Active</v>
      </c>
      <c r="Q237" s="292"/>
      <c r="R237" s="342">
        <f>IFERROR(__xludf.DUMMYFUNCTION("""COMPUTED_VALUE"""),3.62)</f>
        <v>3.62</v>
      </c>
      <c r="S237" s="292"/>
      <c r="T237" s="292"/>
      <c r="U237" s="292"/>
      <c r="V237" s="292"/>
      <c r="W237" s="292" t="b">
        <f>IFERROR(__xludf.DUMMYFUNCTION("""COMPUTED_VALUE"""),TRUE)</f>
        <v>1</v>
      </c>
      <c r="X237" s="345">
        <f>IFERROR(__xludf.DUMMYFUNCTION("""COMPUTED_VALUE"""),404.0)</f>
        <v>404</v>
      </c>
      <c r="Y237" s="344">
        <f>IFERROR(__xludf.DUMMYFUNCTION("""COMPUTED_VALUE"""),485.0)</f>
        <v>485</v>
      </c>
      <c r="Z237" s="343">
        <f>IFERROR(__xludf.DUMMYFUNCTION("""COMPUTED_VALUE"""),16.3)</f>
        <v>16.3</v>
      </c>
      <c r="AA237" s="344">
        <f>IFERROR(__xludf.DUMMYFUNCTION("""COMPUTED_VALUE"""),5.2)</f>
        <v>5.2</v>
      </c>
      <c r="AB237" s="344">
        <f>IFERROR(__xludf.DUMMYFUNCTION("""COMPUTED_VALUE"""),59.0)</f>
        <v>59</v>
      </c>
      <c r="AC237" s="344">
        <f>IFERROR(__xludf.DUMMYFUNCTION("""COMPUTED_VALUE"""),17.3)</f>
        <v>17.3</v>
      </c>
      <c r="AD237" s="344">
        <f>IFERROR(__xludf.DUMMYFUNCTION("""COMPUTED_VALUE"""),11.2)</f>
        <v>11.2</v>
      </c>
      <c r="AE237" s="343">
        <f>IFERROR(__xludf.DUMMYFUNCTION("""COMPUTED_VALUE"""),19.1)</f>
        <v>19.1</v>
      </c>
      <c r="AF237" s="343">
        <f>IFERROR(__xludf.DUMMYFUNCTION("""COMPUTED_VALUE"""),1.99)</f>
        <v>1.99</v>
      </c>
      <c r="AG237" s="292" t="b">
        <f>IFERROR(__xludf.DUMMYFUNCTION("""COMPUTED_VALUE"""),FALSE)</f>
        <v>0</v>
      </c>
      <c r="AH237" s="292" t="b">
        <f>IFERROR(__xludf.DUMMYFUNCTION("""COMPUTED_VALUE"""),FALSE)</f>
        <v>0</v>
      </c>
      <c r="AI237" s="292" t="b">
        <f>IFERROR(__xludf.DUMMYFUNCTION("""COMPUTED_VALUE"""),TRUE)</f>
        <v>1</v>
      </c>
      <c r="AJ237" s="292" t="b">
        <f>IFERROR(__xludf.DUMMYFUNCTION("""COMPUTED_VALUE"""),FALSE)</f>
        <v>0</v>
      </c>
      <c r="AK237" s="292" t="b">
        <f>IFERROR(__xludf.DUMMYFUNCTION("""COMPUTED_VALUE"""),FALSE)</f>
        <v>0</v>
      </c>
      <c r="AL237" s="292" t="b">
        <f>IFERROR(__xludf.DUMMYFUNCTION("""COMPUTED_VALUE"""),FALSE)</f>
        <v>0</v>
      </c>
      <c r="AM237" s="292" t="b">
        <f>IFERROR(__xludf.DUMMYFUNCTION("""COMPUTED_VALUE"""),FALSE)</f>
        <v>0</v>
      </c>
      <c r="AN237" s="292" t="b">
        <f>IFERROR(__xludf.DUMMYFUNCTION("""COMPUTED_VALUE"""),TRUE)</f>
        <v>1</v>
      </c>
      <c r="AO237" s="292" t="str">
        <f>IFERROR(__xludf.DUMMYFUNCTION("""COMPUTED_VALUE"""),"TRUE")</f>
        <v>TRUE</v>
      </c>
      <c r="AP237" s="292" t="str">
        <f>IFERROR(__xludf.DUMMYFUNCTION("""COMPUTED_VALUE"""),"Ground beef")</f>
        <v>Ground beef</v>
      </c>
      <c r="AQ237" s="292" t="str">
        <f>IFERROR(__xludf.DUMMYFUNCTION("""COMPUTED_VALUE"""),"Beef")</f>
        <v>Beef</v>
      </c>
      <c r="AR237" s="292" t="str">
        <f>IFERROR(__xludf.DUMMYFUNCTION("""COMPUTED_VALUE"""),"Ground")</f>
        <v>Ground</v>
      </c>
      <c r="AS237" s="292" t="str">
        <f>IFERROR(__xludf.DUMMYFUNCTION("""COMPUTED_VALUE"""),"Rice")</f>
        <v>Rice</v>
      </c>
      <c r="AT237" s="292" t="str">
        <f>IFERROR(__xludf.DUMMYFUNCTION("""COMPUTED_VALUE"""),"Beets")</f>
        <v>Beets</v>
      </c>
      <c r="AU237" s="292" t="str">
        <f>IFERROR(__xludf.DUMMYFUNCTION("""COMPUTED_VALUE"""),"Sweet Potato")</f>
        <v>Sweet Potato</v>
      </c>
      <c r="AV237" s="292" t="str">
        <f>IFERROR(__xludf.DUMMYFUNCTION("""COMPUTED_VALUE"""),"Tomato Based Sauce")</f>
        <v>Tomato Based Sauce</v>
      </c>
      <c r="AW237" s="292" t="str">
        <f>IFERROR(__xludf.DUMMYFUNCTION("""COMPUTED_VALUE"""),"Year Round")</f>
        <v>Year Round</v>
      </c>
      <c r="AX237" s="292" t="str">
        <f>IFERROR(__xludf.DUMMYFUNCTION("""COMPUTED_VALUE"""),"Tunisian")</f>
        <v>Tunisian</v>
      </c>
      <c r="AY237" s="292"/>
      <c r="AZ237" s="292" t="str">
        <f>IFERROR(__xludf.DUMMYFUNCTION("""COMPUTED_VALUE"""),"2 CT")</f>
        <v>2 CT</v>
      </c>
      <c r="BA237" s="292" t="b">
        <f>IFERROR(__xludf.DUMMYFUNCTION("""COMPUTED_VALUE"""),FALSE)</f>
        <v>0</v>
      </c>
      <c r="BB237" s="342">
        <f>IFERROR(__xludf.DUMMYFUNCTION("""COMPUTED_VALUE"""),1.93)</f>
        <v>1.93</v>
      </c>
      <c r="BC237" s="342">
        <f>IFERROR(__xludf.DUMMYFUNCTION("""COMPUTED_VALUE"""),1.28)</f>
        <v>1.28</v>
      </c>
      <c r="BD237" s="342">
        <f>IFERROR(__xludf.DUMMYFUNCTION("""COMPUTED_VALUE"""),0.41)</f>
        <v>0.41</v>
      </c>
      <c r="BE237" s="342">
        <f>IFERROR(__xludf.DUMMYFUNCTION("""COMPUTED_VALUE"""),0.89)</f>
        <v>0.89</v>
      </c>
      <c r="BF237" s="296">
        <f>IFERROR(__xludf.DUMMYFUNCTION("""COMPUTED_VALUE"""),3.05)</f>
        <v>3.05</v>
      </c>
      <c r="BG237" s="296">
        <f>IFERROR(__xludf.DUMMYFUNCTION("""COMPUTED_VALUE"""),3.13)</f>
        <v>3.13</v>
      </c>
      <c r="BH237" s="296">
        <f>IFERROR(__xludf.DUMMYFUNCTION("""COMPUTED_VALUE"""),3.2)</f>
        <v>3.2</v>
      </c>
      <c r="BI237" s="295">
        <f>IFERROR(__xludf.DUMMYFUNCTION("""COMPUTED_VALUE"""),174.0)</f>
        <v>174</v>
      </c>
      <c r="BJ237" s="292"/>
      <c r="BK237" s="346">
        <f>IFERROR(__xludf.DUMMYFUNCTION("""COMPUTED_VALUE"""),2032.0)</f>
        <v>2032</v>
      </c>
      <c r="BL237" s="292"/>
      <c r="BM237" s="292"/>
      <c r="BN237" s="292"/>
      <c r="BO237" s="292"/>
      <c r="BP237" s="292"/>
      <c r="BQ237" s="292" t="str">
        <f>IFERROR(__xludf.DUMMYFUNCTION("""COMPUTED_VALUE"""),"New")</f>
        <v>New</v>
      </c>
      <c r="BR237" s="292" t="b">
        <f>IFERROR(__xludf.DUMMYFUNCTION("""COMPUTED_VALUE"""),FALSE)</f>
        <v>0</v>
      </c>
      <c r="BS237" s="292" t="b">
        <f>IFERROR(__xludf.DUMMYFUNCTION("""COMPUTED_VALUE"""),FALSE)</f>
        <v>0</v>
      </c>
      <c r="BT237" s="292"/>
      <c r="BU237" s="292"/>
      <c r="BV237" s="292"/>
      <c r="BW237" s="292"/>
    </row>
    <row r="238">
      <c r="A238" s="292" t="str">
        <f>IFERROR(__xludf.DUMMYFUNCTION("""COMPUTED_VALUE"""),"FE0336B")</f>
        <v>FE0336B</v>
      </c>
      <c r="B238" s="292" t="str">
        <f>IFERROR(__xludf.DUMMYFUNCTION("""COMPUTED_VALUE"""),"")</f>
        <v/>
      </c>
      <c r="C238" s="292"/>
      <c r="D238" s="292"/>
      <c r="E238" s="292" t="str">
        <f>IFERROR(__xludf.DUMMYFUNCTION("""COMPUTED_VALUE"""),"Chicken and Basil Pasta")</f>
        <v>Chicken and Basil Pasta</v>
      </c>
      <c r="F238" s="292" t="str">
        <f>IFERROR(__xludf.DUMMYFUNCTION("""COMPUTED_VALUE"""),"with Balsamic Roasted Green Beans &amp; Grape Tomatoes")</f>
        <v>with Balsamic Roasted Green Beans &amp; Grape Tomatoes</v>
      </c>
      <c r="G238" s="292" t="str">
        <f>IFERROR(__xludf.DUMMYFUNCTION("""COMPUTED_VALUE"""),"Pasta met kip en basilicum")</f>
        <v>Pasta met kip en basilicum</v>
      </c>
      <c r="H238" s="292" t="str">
        <f>IFERROR(__xludf.DUMMYFUNCTION("""COMPUTED_VALUE"""),"met balsamico-geroosterde sperziebonen en cherrytomaten")</f>
        <v>met balsamico-geroosterde sperziebonen en cherrytomaten</v>
      </c>
      <c r="I238" s="292" t="str">
        <f>IFERROR(__xludf.DUMMYFUNCTION("""COMPUTED_VALUE"""),"Pasta med kylling og basilikum")</f>
        <v>Pasta med kylling og basilikum</v>
      </c>
      <c r="J238" s="292" t="str">
        <f>IFERROR(__xludf.DUMMYFUNCTION("""COMPUTED_VALUE"""),"Hähnchen-Basilikum-Pasta")</f>
        <v>Hähnchen-Basilikum-Pasta</v>
      </c>
      <c r="K238" s="292">
        <f>IFERROR(__xludf.DUMMYFUNCTION("""COMPUTED_VALUE"""),565248.0)</f>
        <v>565248</v>
      </c>
      <c r="L238" s="292" t="str">
        <f>IFERROR(__xludf.DUMMYFUNCTION("""COMPUTED_VALUE"""),"HF Pulled chicken pasta pesto")</f>
        <v>HF Pulled chicken pasta pesto</v>
      </c>
      <c r="M238" s="292" t="str">
        <f>IFERROR(__xludf.DUMMYFUNCTION("""COMPUTED_VALUE"""),"#N/A")</f>
        <v>#N/A</v>
      </c>
      <c r="N238" s="292" t="str">
        <f>IFERROR(__xludf.DUMMYFUNCTION("""COMPUTED_VALUE"""),"#N/A")</f>
        <v>#N/A</v>
      </c>
      <c r="O238" s="292" t="str">
        <f>IFERROR(__xludf.DUMMYFUNCTION("""COMPUTED_VALUE"""),"#N/A")</f>
        <v>#N/A</v>
      </c>
      <c r="P238" s="292" t="str">
        <f>IFERROR(__xludf.DUMMYFUNCTION("""COMPUTED_VALUE"""),"Active")</f>
        <v>Active</v>
      </c>
      <c r="Q238" s="292"/>
      <c r="R238" s="342">
        <f>IFERROR(__xludf.DUMMYFUNCTION("""COMPUTED_VALUE"""),4.3)</f>
        <v>4.3</v>
      </c>
      <c r="S238" s="292"/>
      <c r="T238" s="292"/>
      <c r="U238" s="292"/>
      <c r="V238" s="292"/>
      <c r="W238" s="292" t="b">
        <f>IFERROR(__xludf.DUMMYFUNCTION("""COMPUTED_VALUE"""),TRUE)</f>
        <v>1</v>
      </c>
      <c r="X238" s="345">
        <f>IFERROR(__xludf.DUMMYFUNCTION("""COMPUTED_VALUE"""),427.0)</f>
        <v>427</v>
      </c>
      <c r="Y238" s="344">
        <f>IFERROR(__xludf.DUMMYFUNCTION("""COMPUTED_VALUE"""),669.0)</f>
        <v>669</v>
      </c>
      <c r="Z238" s="343">
        <f>IFERROR(__xludf.DUMMYFUNCTION("""COMPUTED_VALUE"""),35.7)</f>
        <v>35.7</v>
      </c>
      <c r="AA238" s="344">
        <f>IFERROR(__xludf.DUMMYFUNCTION("""COMPUTED_VALUE"""),11.5)</f>
        <v>11.5</v>
      </c>
      <c r="AB238" s="344">
        <f>IFERROR(__xludf.DUMMYFUNCTION("""COMPUTED_VALUE"""),45.8)</f>
        <v>45.8</v>
      </c>
      <c r="AC238" s="344">
        <f>IFERROR(__xludf.DUMMYFUNCTION("""COMPUTED_VALUE"""),15.7)</f>
        <v>15.7</v>
      </c>
      <c r="AD238" s="344">
        <f>IFERROR(__xludf.DUMMYFUNCTION("""COMPUTED_VALUE"""),9.3)</f>
        <v>9.3</v>
      </c>
      <c r="AE238" s="343">
        <f>IFERROR(__xludf.DUMMYFUNCTION("""COMPUTED_VALUE"""),37.7)</f>
        <v>37.7</v>
      </c>
      <c r="AF238" s="343">
        <f>IFERROR(__xludf.DUMMYFUNCTION("""COMPUTED_VALUE"""),2.02)</f>
        <v>2.02</v>
      </c>
      <c r="AG238" s="292" t="b">
        <f>IFERROR(__xludf.DUMMYFUNCTION("""COMPUTED_VALUE"""),FALSE)</f>
        <v>0</v>
      </c>
      <c r="AH238" s="292" t="b">
        <f>IFERROR(__xludf.DUMMYFUNCTION("""COMPUTED_VALUE"""),FALSE)</f>
        <v>0</v>
      </c>
      <c r="AI238" s="292" t="b">
        <f>IFERROR(__xludf.DUMMYFUNCTION("""COMPUTED_VALUE"""),FALSE)</f>
        <v>0</v>
      </c>
      <c r="AJ238" s="292" t="b">
        <f>IFERROR(__xludf.DUMMYFUNCTION("""COMPUTED_VALUE"""),FALSE)</f>
        <v>0</v>
      </c>
      <c r="AK238" s="292" t="b">
        <f>IFERROR(__xludf.DUMMYFUNCTION("""COMPUTED_VALUE"""),FALSE)</f>
        <v>0</v>
      </c>
      <c r="AL238" s="292" t="b">
        <f>IFERROR(__xludf.DUMMYFUNCTION("""COMPUTED_VALUE"""),FALSE)</f>
        <v>0</v>
      </c>
      <c r="AM238" s="292" t="b">
        <f>IFERROR(__xludf.DUMMYFUNCTION("""COMPUTED_VALUE"""),TRUE)</f>
        <v>1</v>
      </c>
      <c r="AN238" s="292" t="b">
        <f>IFERROR(__xludf.DUMMYFUNCTION("""COMPUTED_VALUE"""),FALSE)</f>
        <v>0</v>
      </c>
      <c r="AO238" s="292" t="str">
        <f>IFERROR(__xludf.DUMMYFUNCTION("""COMPUTED_VALUE"""),"FALSE")</f>
        <v>FALSE</v>
      </c>
      <c r="AP238" s="292" t="str">
        <f>IFERROR(__xludf.DUMMYFUNCTION("""COMPUTED_VALUE"""),"Shredded chicken")</f>
        <v>Shredded chicken</v>
      </c>
      <c r="AQ238" s="292" t="str">
        <f>IFERROR(__xludf.DUMMYFUNCTION("""COMPUTED_VALUE"""),"Chicken")</f>
        <v>Chicken</v>
      </c>
      <c r="AR238" s="292" t="str">
        <f>IFERROR(__xludf.DUMMYFUNCTION("""COMPUTED_VALUE"""),"Pulled")</f>
        <v>Pulled</v>
      </c>
      <c r="AS238" s="292" t="str">
        <f>IFERROR(__xludf.DUMMYFUNCTION("""COMPUTED_VALUE"""),"Pasta")</f>
        <v>Pasta</v>
      </c>
      <c r="AT238" s="292" t="str">
        <f>IFERROR(__xludf.DUMMYFUNCTION("""COMPUTED_VALUE"""),"Green Beans")</f>
        <v>Green Beans</v>
      </c>
      <c r="AU238" s="292" t="str">
        <f>IFERROR(__xludf.DUMMYFUNCTION("""COMPUTED_VALUE"""),"Cherry Tomatoes")</f>
        <v>Cherry Tomatoes</v>
      </c>
      <c r="AV238" s="292" t="str">
        <f>IFERROR(__xludf.DUMMYFUNCTION("""COMPUTED_VALUE"""),"Creamy Sauce Base")</f>
        <v>Creamy Sauce Base</v>
      </c>
      <c r="AW238" s="292" t="str">
        <f>IFERROR(__xludf.DUMMYFUNCTION("""COMPUTED_VALUE"""),"Year Round")</f>
        <v>Year Round</v>
      </c>
      <c r="AX238" s="292" t="str">
        <f>IFERROR(__xludf.DUMMYFUNCTION("""COMPUTED_VALUE"""),"Italian")</f>
        <v>Italian</v>
      </c>
      <c r="AY238" s="292"/>
      <c r="AZ238" s="292" t="str">
        <f>IFERROR(__xludf.DUMMYFUNCTION("""COMPUTED_VALUE"""),"2 CT")</f>
        <v>2 CT</v>
      </c>
      <c r="BA238" s="292" t="b">
        <f>IFERROR(__xludf.DUMMYFUNCTION("""COMPUTED_VALUE"""),FALSE)</f>
        <v>0</v>
      </c>
      <c r="BB238" s="342">
        <f>IFERROR(__xludf.DUMMYFUNCTION("""COMPUTED_VALUE"""),2.42)</f>
        <v>2.42</v>
      </c>
      <c r="BC238" s="342">
        <f>IFERROR(__xludf.DUMMYFUNCTION("""COMPUTED_VALUE"""),1.45)</f>
        <v>1.45</v>
      </c>
      <c r="BD238" s="342">
        <f>IFERROR(__xludf.DUMMYFUNCTION("""COMPUTED_VALUE"""),0.42)</f>
        <v>0.42</v>
      </c>
      <c r="BE238" s="342">
        <f>IFERROR(__xludf.DUMMYFUNCTION("""COMPUTED_VALUE"""),0.89)</f>
        <v>0.89</v>
      </c>
      <c r="BF238" s="296" t="str">
        <f>IFERROR(__xludf.DUMMYFUNCTION("""COMPUTED_VALUE"""),"#REF!")</f>
        <v>#REF!</v>
      </c>
      <c r="BG238" s="296" t="str">
        <f>IFERROR(__xludf.DUMMYFUNCTION("""COMPUTED_VALUE"""),"#REF!")</f>
        <v>#REF!</v>
      </c>
      <c r="BH238" s="296" t="str">
        <f>IFERROR(__xludf.DUMMYFUNCTION("""COMPUTED_VALUE"""),"#REF!")</f>
        <v>#REF!</v>
      </c>
      <c r="BI238" s="295">
        <f>IFERROR(__xludf.DUMMYFUNCTION("""COMPUTED_VALUE"""),121.0)</f>
        <v>121</v>
      </c>
      <c r="BJ238" s="292"/>
      <c r="BK238" s="346">
        <f>IFERROR(__xludf.DUMMYFUNCTION("""COMPUTED_VALUE"""),2792.0)</f>
        <v>2792</v>
      </c>
      <c r="BL238" s="292"/>
      <c r="BM238" s="292"/>
      <c r="BN238" s="292"/>
      <c r="BO238" s="292"/>
      <c r="BP238" s="292"/>
      <c r="BQ238" s="292" t="str">
        <f>IFERROR(__xludf.DUMMYFUNCTION("""COMPUTED_VALUE"""),"New")</f>
        <v>New</v>
      </c>
      <c r="BR238" s="292" t="b">
        <f>IFERROR(__xludf.DUMMYFUNCTION("""COMPUTED_VALUE"""),TRUE)</f>
        <v>1</v>
      </c>
      <c r="BS238" s="292" t="b">
        <f>IFERROR(__xludf.DUMMYFUNCTION("""COMPUTED_VALUE"""),FALSE)</f>
        <v>0</v>
      </c>
      <c r="BT238" s="292"/>
      <c r="BU238" s="292"/>
      <c r="BV238" s="292"/>
      <c r="BW238" s="292"/>
    </row>
    <row r="239">
      <c r="A239" s="292" t="str">
        <f>IFERROR(__xludf.DUMMYFUNCTION("""COMPUTED_VALUE"""),"FE4072A")</f>
        <v>FE4072A</v>
      </c>
      <c r="B239" s="292" t="str">
        <f>IFERROR(__xludf.DUMMYFUNCTION("""COMPUTED_VALUE"""),"CON-40-155236-4")</f>
        <v>CON-40-155236-4</v>
      </c>
      <c r="C239" s="292" t="str">
        <f>IFERROR(__xludf.DUMMYFUNCTION("""COMPUTED_VALUE"""),"CON-00-155261-2")</f>
        <v>CON-00-155261-2</v>
      </c>
      <c r="D239" s="292" t="str">
        <f>IFERROR(__xludf.DUMMYFUNCTION("""COMPUTED_VALUE"""),"CON-00-155262-2")</f>
        <v>CON-00-155262-2</v>
      </c>
      <c r="E239" s="292" t="str">
        <f>IFERROR(__xludf.DUMMYFUNCTION("""COMPUTED_VALUE"""),"Chicken &amp; Eggplant Mozzarella Pomodoro")</f>
        <v>Chicken &amp; Eggplant Mozzarella Pomodoro</v>
      </c>
      <c r="F239" s="292" t="str">
        <f>IFERROR(__xludf.DUMMYFUNCTION("""COMPUTED_VALUE"""),"with Roasted Broccoli &amp; Cauliflower")</f>
        <v>with Roasted Broccoli &amp; Cauliflower</v>
      </c>
      <c r="G239" s="292" t="str">
        <f>IFERROR(__xludf.DUMMYFUNCTION("""COMPUTED_VALUE"""),"Kip &amp; aubergine in mozzarella-pomodorosaus")</f>
        <v>Kip &amp; aubergine in mozzarella-pomodorosaus</v>
      </c>
      <c r="H239" s="292" t="str">
        <f>IFERROR(__xludf.DUMMYFUNCTION("""COMPUTED_VALUE"""),"met geroosterde broccoli &amp; bloemkool")</f>
        <v>met geroosterde broccoli &amp; bloemkool</v>
      </c>
      <c r="I239" s="292" t="str">
        <f>IFERROR(__xludf.DUMMYFUNCTION("""COMPUTED_VALUE"""),"Pomodoro med kylling, aubergine og mozzarella")</f>
        <v>Pomodoro med kylling, aubergine og mozzarella</v>
      </c>
      <c r="J239" s="292" t="str">
        <f>IFERROR(__xludf.DUMMYFUNCTION("""COMPUTED_VALUE"""),"Hähnchen-Auberginen-Pomodoro mit Mozzarella")</f>
        <v>Hähnchen-Auberginen-Pomodoro mit Mozzarella</v>
      </c>
      <c r="K239" s="292">
        <f>IFERROR(__xludf.DUMMYFUNCTION("""COMPUTED_VALUE"""),565249.0)</f>
        <v>565249</v>
      </c>
      <c r="L239" s="292" t="str">
        <f>IFERROR(__xludf.DUMMYFUNCTION("""COMPUTED_VALUE"""),"HF Kip Mozzarella Aubergine")</f>
        <v>HF Kip Mozzarella Aubergine</v>
      </c>
      <c r="M239" s="292" t="str">
        <f>IFERROR(__xludf.DUMMYFUNCTION("""COMPUTED_VALUE"""),"FA-NL Kip &amp; aubergine in mozzarella-pomodorosaus (FE4072)")</f>
        <v>FA-NL Kip &amp; aubergine in mozzarella-pomodorosaus (FE4072)</v>
      </c>
      <c r="N239" s="292" t="str">
        <f>IFERROR(__xludf.DUMMYFUNCTION("""COMPUTED_VALUE"""),"FA-NO Pomodoro med kylling, aubergine og mozzarella (FE4072)")</f>
        <v>FA-NO Pomodoro med kylling, aubergine og mozzarella (FE4072)</v>
      </c>
      <c r="O239" s="292" t="str">
        <f>IFERROR(__xludf.DUMMYFUNCTION("""COMPUTED_VALUE"""),"FA-DE Hähnchen-Auberginen-Pomodoro mit Mozzarella (FE4072)")</f>
        <v>FA-DE Hähnchen-Auberginen-Pomodoro mit Mozzarella (FE4072)</v>
      </c>
      <c r="P239" s="292" t="str">
        <f>IFERROR(__xludf.DUMMYFUNCTION("""COMPUTED_VALUE"""),"Hold - Rework")</f>
        <v>Hold - Rework</v>
      </c>
      <c r="Q239" s="292"/>
      <c r="R239" s="342">
        <f>IFERROR(__xludf.DUMMYFUNCTION("""COMPUTED_VALUE"""),4.74)</f>
        <v>4.74</v>
      </c>
      <c r="S239" s="292"/>
      <c r="T239" s="292"/>
      <c r="U239" s="292"/>
      <c r="V239" s="292"/>
      <c r="W239" s="292" t="b">
        <f>IFERROR(__xludf.DUMMYFUNCTION("""COMPUTED_VALUE"""),TRUE)</f>
        <v>1</v>
      </c>
      <c r="X239" s="345">
        <f>IFERROR(__xludf.DUMMYFUNCTION("""COMPUTED_VALUE"""),416.0)</f>
        <v>416</v>
      </c>
      <c r="Y239" s="344">
        <f>IFERROR(__xludf.DUMMYFUNCTION("""COMPUTED_VALUE"""),424.0)</f>
        <v>424</v>
      </c>
      <c r="Z239" s="343">
        <f>IFERROR(__xludf.DUMMYFUNCTION("""COMPUTED_VALUE"""),21.2)</f>
        <v>21.2</v>
      </c>
      <c r="AA239" s="344">
        <f>IFERROR(__xludf.DUMMYFUNCTION("""COMPUTED_VALUE"""),4.8)</f>
        <v>4.8</v>
      </c>
      <c r="AB239" s="344">
        <f>IFERROR(__xludf.DUMMYFUNCTION("""COMPUTED_VALUE"""),22.2)</f>
        <v>22.2</v>
      </c>
      <c r="AC239" s="344">
        <f>IFERROR(__xludf.DUMMYFUNCTION("""COMPUTED_VALUE"""),6.8)</f>
        <v>6.8</v>
      </c>
      <c r="AD239" s="344">
        <f>IFERROR(__xludf.DUMMYFUNCTION("""COMPUTED_VALUE"""),5.7)</f>
        <v>5.7</v>
      </c>
      <c r="AE239" s="343">
        <f>IFERROR(__xludf.DUMMYFUNCTION("""COMPUTED_VALUE"""),33.2)</f>
        <v>33.2</v>
      </c>
      <c r="AF239" s="343">
        <f>IFERROR(__xludf.DUMMYFUNCTION("""COMPUTED_VALUE"""),2.04)</f>
        <v>2.04</v>
      </c>
      <c r="AG239" s="292" t="b">
        <f>IFERROR(__xludf.DUMMYFUNCTION("""COMPUTED_VALUE"""),FALSE)</f>
        <v>0</v>
      </c>
      <c r="AH239" s="292" t="b">
        <f>IFERROR(__xludf.DUMMYFUNCTION("""COMPUTED_VALUE"""),FALSE)</f>
        <v>0</v>
      </c>
      <c r="AI239" s="292" t="b">
        <f>IFERROR(__xludf.DUMMYFUNCTION("""COMPUTED_VALUE"""),TRUE)</f>
        <v>1</v>
      </c>
      <c r="AJ239" s="292" t="b">
        <f>IFERROR(__xludf.DUMMYFUNCTION("""COMPUTED_VALUE"""),FALSE)</f>
        <v>0</v>
      </c>
      <c r="AK239" s="292" t="b">
        <f>IFERROR(__xludf.DUMMYFUNCTION("""COMPUTED_VALUE"""),FALSE)</f>
        <v>0</v>
      </c>
      <c r="AL239" s="292" t="b">
        <f>IFERROR(__xludf.DUMMYFUNCTION("""COMPUTED_VALUE"""),FALSE)</f>
        <v>0</v>
      </c>
      <c r="AM239" s="292" t="b">
        <f>IFERROR(__xludf.DUMMYFUNCTION("""COMPUTED_VALUE"""),TRUE)</f>
        <v>1</v>
      </c>
      <c r="AN239" s="292" t="b">
        <f>IFERROR(__xludf.DUMMYFUNCTION("""COMPUTED_VALUE"""),FALSE)</f>
        <v>0</v>
      </c>
      <c r="AO239" s="292" t="str">
        <f>IFERROR(__xludf.DUMMYFUNCTION("""COMPUTED_VALUE"""),"FALSE")</f>
        <v>FALSE</v>
      </c>
      <c r="AP239" s="292" t="str">
        <f>IFERROR(__xludf.DUMMYFUNCTION("""COMPUTED_VALUE"""),"Diced chicken")</f>
        <v>Diced chicken</v>
      </c>
      <c r="AQ239" s="292" t="str">
        <f>IFERROR(__xludf.DUMMYFUNCTION("""COMPUTED_VALUE"""),"Chicken")</f>
        <v>Chicken</v>
      </c>
      <c r="AR239" s="292" t="str">
        <f>IFERROR(__xludf.DUMMYFUNCTION("""COMPUTED_VALUE"""),"Pieces")</f>
        <v>Pieces</v>
      </c>
      <c r="AS239" s="292" t="str">
        <f>IFERROR(__xludf.DUMMYFUNCTION("""COMPUTED_VALUE"""),"Aubergine")</f>
        <v>Aubergine</v>
      </c>
      <c r="AT239" s="292" t="str">
        <f>IFERROR(__xludf.DUMMYFUNCTION("""COMPUTED_VALUE"""),"Potato Non-Mash")</f>
        <v>Potato Non-Mash</v>
      </c>
      <c r="AU239" s="292" t="str">
        <f>IFERROR(__xludf.DUMMYFUNCTION("""COMPUTED_VALUE"""),"Tomato Based Sauce")</f>
        <v>Tomato Based Sauce</v>
      </c>
      <c r="AV239" s="292" t="str">
        <f>IFERROR(__xludf.DUMMYFUNCTION("""COMPUTED_VALUE"""),"Cheese")</f>
        <v>Cheese</v>
      </c>
      <c r="AW239" s="292" t="str">
        <f>IFERROR(__xludf.DUMMYFUNCTION("""COMPUTED_VALUE"""),"Year Round")</f>
        <v>Year Round</v>
      </c>
      <c r="AX239" s="292" t="str">
        <f>IFERROR(__xludf.DUMMYFUNCTION("""COMPUTED_VALUE"""),"Italian")</f>
        <v>Italian</v>
      </c>
      <c r="AY239" s="292"/>
      <c r="AZ239" s="292" t="str">
        <f>IFERROR(__xludf.DUMMYFUNCTION("""COMPUTED_VALUE"""),"2 CT")</f>
        <v>2 CT</v>
      </c>
      <c r="BA239" s="292" t="b">
        <f>IFERROR(__xludf.DUMMYFUNCTION("""COMPUTED_VALUE"""),FALSE)</f>
        <v>0</v>
      </c>
      <c r="BB239" s="342">
        <f>IFERROR(__xludf.DUMMYFUNCTION("""COMPUTED_VALUE"""),2.98)</f>
        <v>2.98</v>
      </c>
      <c r="BC239" s="342">
        <f>IFERROR(__xludf.DUMMYFUNCTION("""COMPUTED_VALUE"""),1.34)</f>
        <v>1.34</v>
      </c>
      <c r="BD239" s="342">
        <f>IFERROR(__xludf.DUMMYFUNCTION("""COMPUTED_VALUE"""),0.42)</f>
        <v>0.42</v>
      </c>
      <c r="BE239" s="342">
        <f>IFERROR(__xludf.DUMMYFUNCTION("""COMPUTED_VALUE"""),0.89)</f>
        <v>0.89</v>
      </c>
      <c r="BF239" s="296">
        <f>IFERROR(__xludf.DUMMYFUNCTION("""COMPUTED_VALUE"""),2.93)</f>
        <v>2.93</v>
      </c>
      <c r="BG239" s="296">
        <f>IFERROR(__xludf.DUMMYFUNCTION("""COMPUTED_VALUE"""),2.97)</f>
        <v>2.97</v>
      </c>
      <c r="BH239" s="296">
        <f>IFERROR(__xludf.DUMMYFUNCTION("""COMPUTED_VALUE"""),2.96)</f>
        <v>2.96</v>
      </c>
      <c r="BI239" s="295">
        <f>IFERROR(__xludf.DUMMYFUNCTION("""COMPUTED_VALUE"""),201.0)</f>
        <v>201</v>
      </c>
      <c r="BJ239" s="292"/>
      <c r="BK239" s="346">
        <f>IFERROR(__xludf.DUMMYFUNCTION("""COMPUTED_VALUE"""),1770.0)</f>
        <v>1770</v>
      </c>
      <c r="BL239" s="292"/>
      <c r="BM239" s="292"/>
      <c r="BN239" s="292"/>
      <c r="BO239" s="292"/>
      <c r="BP239" s="292"/>
      <c r="BQ239" s="292" t="str">
        <f>IFERROR(__xludf.DUMMYFUNCTION("""COMPUTED_VALUE"""),"New")</f>
        <v>New</v>
      </c>
      <c r="BR239" s="292" t="b">
        <f>IFERROR(__xludf.DUMMYFUNCTION("""COMPUTED_VALUE"""),FALSE)</f>
        <v>0</v>
      </c>
      <c r="BS239" s="292" t="b">
        <f>IFERROR(__xludf.DUMMYFUNCTION("""COMPUTED_VALUE"""),FALSE)</f>
        <v>0</v>
      </c>
      <c r="BT239" s="292"/>
      <c r="BU239" s="292"/>
      <c r="BV239" s="292"/>
      <c r="BW239" s="292"/>
    </row>
    <row r="240">
      <c r="A240" s="292" t="str">
        <f>IFERROR(__xludf.DUMMYFUNCTION("""COMPUTED_VALUE"""),"FE0959A")</f>
        <v>FE0959A</v>
      </c>
      <c r="B240" s="292" t="str">
        <f>IFERROR(__xludf.DUMMYFUNCTION("""COMPUTED_VALUE"""),"CON-40-155463-4")</f>
        <v>CON-40-155463-4</v>
      </c>
      <c r="C240" s="292" t="str">
        <f>IFERROR(__xludf.DUMMYFUNCTION("""COMPUTED_VALUE"""),"CON-00-155388-2")</f>
        <v>CON-00-155388-2</v>
      </c>
      <c r="D240" s="292" t="str">
        <f>IFERROR(__xludf.DUMMYFUNCTION("""COMPUTED_VALUE"""),"CON-00-155387-2")</f>
        <v>CON-00-155387-2</v>
      </c>
      <c r="E240" s="292" t="str">
        <f>IFERROR(__xludf.DUMMYFUNCTION("""COMPUTED_VALUE"""),"Creamy Pistou Pork Tenderloin")</f>
        <v>Creamy Pistou Pork Tenderloin</v>
      </c>
      <c r="F240" s="292" t="str">
        <f>IFERROR(__xludf.DUMMYFUNCTION("""COMPUTED_VALUE"""),"with Herby Apricot Rice &amp; Carrots")</f>
        <v>with Herby Apricot Rice &amp; Carrots</v>
      </c>
      <c r="G240" s="292" t="str">
        <f>IFERROR(__xludf.DUMMYFUNCTION("""COMPUTED_VALUE"""),"Romige pistou varkenshaas")</f>
        <v>Romige pistou varkenshaas</v>
      </c>
      <c r="H240" s="292" t="str">
        <f>IFERROR(__xludf.DUMMYFUNCTION("""COMPUTED_VALUE"""),"met kruidige rijst met abrikoos &amp; wortelen")</f>
        <v>met kruidige rijst met abrikoos &amp; wortelen</v>
      </c>
      <c r="I240" s="292" t="str">
        <f>IFERROR(__xludf.DUMMYFUNCTION("""COMPUTED_VALUE"""),"Svinefilet i cremet pistou-sauce")</f>
        <v>Svinefilet i cremet pistou-sauce</v>
      </c>
      <c r="J240" s="292" t="str">
        <f>IFERROR(__xludf.DUMMYFUNCTION("""COMPUTED_VALUE"""),"Schweinefilet mit cremigem Pistou")</f>
        <v>Schweinefilet mit cremigem Pistou</v>
      </c>
      <c r="K240" s="292">
        <f>IFERROR(__xludf.DUMMYFUNCTION("""COMPUTED_VALUE"""),565256.0)</f>
        <v>565256</v>
      </c>
      <c r="L240" s="292" t="str">
        <f>IFERROR(__xludf.DUMMYFUNCTION("""COMPUTED_VALUE"""),"HF Varkenshaas romige pesto")</f>
        <v>HF Varkenshaas romige pesto</v>
      </c>
      <c r="M240" s="292" t="str">
        <f>IFERROR(__xludf.DUMMYFUNCTION("""COMPUTED_VALUE"""),"FA-NL Romige pistou varkenshaas (FE0959)")</f>
        <v>FA-NL Romige pistou varkenshaas (FE0959)</v>
      </c>
      <c r="N240" s="292" t="str">
        <f>IFERROR(__xludf.DUMMYFUNCTION("""COMPUTED_VALUE"""),"FA-NO Cremet pistou-svinefilet (FE0959)")</f>
        <v>FA-NO Cremet pistou-svinefilet (FE0959)</v>
      </c>
      <c r="O240" s="292" t="str">
        <f>IFERROR(__xludf.DUMMYFUNCTION("""COMPUTED_VALUE"""),"FA-DE Schweinefilet mit cremigem Pistou (FE0959)")</f>
        <v>FA-DE Schweinefilet mit cremigem Pistou (FE0959)</v>
      </c>
      <c r="P240" s="292" t="str">
        <f>IFERROR(__xludf.DUMMYFUNCTION("""COMPUTED_VALUE"""),"Active")</f>
        <v>Active</v>
      </c>
      <c r="Q240" s="292" t="str">
        <f>IFERROR(__xludf.DUMMYFUNCTION("""COMPUTED_VALUE"""),"On hold after W13")</f>
        <v>On hold after W13</v>
      </c>
      <c r="R240" s="342">
        <f>IFERROR(__xludf.DUMMYFUNCTION("""COMPUTED_VALUE"""),4.52)</f>
        <v>4.52</v>
      </c>
      <c r="S240" s="292"/>
      <c r="T240" s="292"/>
      <c r="U240" s="292"/>
      <c r="V240" s="292"/>
      <c r="W240" s="292" t="b">
        <f>IFERROR(__xludf.DUMMYFUNCTION("""COMPUTED_VALUE"""),TRUE)</f>
        <v>1</v>
      </c>
      <c r="X240" s="345">
        <f>IFERROR(__xludf.DUMMYFUNCTION("""COMPUTED_VALUE"""),393.0)</f>
        <v>393</v>
      </c>
      <c r="Y240" s="344">
        <f>IFERROR(__xludf.DUMMYFUNCTION("""COMPUTED_VALUE"""),587.0)</f>
        <v>587</v>
      </c>
      <c r="Z240" s="343">
        <f>IFERROR(__xludf.DUMMYFUNCTION("""COMPUTED_VALUE"""),29.1)</f>
        <v>29.1</v>
      </c>
      <c r="AA240" s="344">
        <f>IFERROR(__xludf.DUMMYFUNCTION("""COMPUTED_VALUE"""),8.2)</f>
        <v>8.2</v>
      </c>
      <c r="AB240" s="344">
        <f>IFERROR(__xludf.DUMMYFUNCTION("""COMPUTED_VALUE"""),47.1)</f>
        <v>47.1</v>
      </c>
      <c r="AC240" s="344">
        <f>IFERROR(__xludf.DUMMYFUNCTION("""COMPUTED_VALUE"""),12.1)</f>
        <v>12.1</v>
      </c>
      <c r="AD240" s="344">
        <f>IFERROR(__xludf.DUMMYFUNCTION("""COMPUTED_VALUE"""),7.9)</f>
        <v>7.9</v>
      </c>
      <c r="AE240" s="343">
        <f>IFERROR(__xludf.DUMMYFUNCTION("""COMPUTED_VALUE"""),30.6)</f>
        <v>30.6</v>
      </c>
      <c r="AF240" s="343">
        <f>IFERROR(__xludf.DUMMYFUNCTION("""COMPUTED_VALUE"""),1.98)</f>
        <v>1.98</v>
      </c>
      <c r="AG240" s="292" t="b">
        <f>IFERROR(__xludf.DUMMYFUNCTION("""COMPUTED_VALUE"""),FALSE)</f>
        <v>0</v>
      </c>
      <c r="AH240" s="292" t="b">
        <f>IFERROR(__xludf.DUMMYFUNCTION("""COMPUTED_VALUE"""),FALSE)</f>
        <v>0</v>
      </c>
      <c r="AI240" s="292" t="b">
        <f>IFERROR(__xludf.DUMMYFUNCTION("""COMPUTED_VALUE"""),FALSE)</f>
        <v>0</v>
      </c>
      <c r="AJ240" s="292" t="b">
        <f>IFERROR(__xludf.DUMMYFUNCTION("""COMPUTED_VALUE"""),FALSE)</f>
        <v>0</v>
      </c>
      <c r="AK240" s="292" t="b">
        <f>IFERROR(__xludf.DUMMYFUNCTION("""COMPUTED_VALUE"""),FALSE)</f>
        <v>0</v>
      </c>
      <c r="AL240" s="292" t="b">
        <f>IFERROR(__xludf.DUMMYFUNCTION("""COMPUTED_VALUE"""),FALSE)</f>
        <v>0</v>
      </c>
      <c r="AM240" s="292" t="b">
        <f>IFERROR(__xludf.DUMMYFUNCTION("""COMPUTED_VALUE"""),TRUE)</f>
        <v>1</v>
      </c>
      <c r="AN240" s="292" t="b">
        <f>IFERROR(__xludf.DUMMYFUNCTION("""COMPUTED_VALUE"""),FALSE)</f>
        <v>0</v>
      </c>
      <c r="AO240" s="292" t="str">
        <f>IFERROR(__xludf.DUMMYFUNCTION("""COMPUTED_VALUE"""),"FALSE")</f>
        <v>FALSE</v>
      </c>
      <c r="AP240" s="292" t="str">
        <f>IFERROR(__xludf.DUMMYFUNCTION("""COMPUTED_VALUE"""),"Pork tenderloin")</f>
        <v>Pork tenderloin</v>
      </c>
      <c r="AQ240" s="292" t="str">
        <f>IFERROR(__xludf.DUMMYFUNCTION("""COMPUTED_VALUE"""),"Pork")</f>
        <v>Pork</v>
      </c>
      <c r="AR240" s="292" t="str">
        <f>IFERROR(__xludf.DUMMYFUNCTION("""COMPUTED_VALUE"""),"Tenderloin")</f>
        <v>Tenderloin</v>
      </c>
      <c r="AS240" s="292" t="str">
        <f>IFERROR(__xludf.DUMMYFUNCTION("""COMPUTED_VALUE"""),"Rice")</f>
        <v>Rice</v>
      </c>
      <c r="AT240" s="292" t="str">
        <f>IFERROR(__xludf.DUMMYFUNCTION("""COMPUTED_VALUE"""),"Green Beans")</f>
        <v>Green Beans</v>
      </c>
      <c r="AU240" s="292" t="str">
        <f>IFERROR(__xludf.DUMMYFUNCTION("""COMPUTED_VALUE"""),"Carrots")</f>
        <v>Carrots</v>
      </c>
      <c r="AV240" s="292" t="str">
        <f>IFERROR(__xludf.DUMMYFUNCTION("""COMPUTED_VALUE"""),"Cupped Sauce")</f>
        <v>Cupped Sauce</v>
      </c>
      <c r="AW240" s="292" t="str">
        <f>IFERROR(__xludf.DUMMYFUNCTION("""COMPUTED_VALUE"""),"Year Round")</f>
        <v>Year Round</v>
      </c>
      <c r="AX240" s="292" t="str">
        <f>IFERROR(__xludf.DUMMYFUNCTION("""COMPUTED_VALUE"""),"French")</f>
        <v>French</v>
      </c>
      <c r="AY240" s="292"/>
      <c r="AZ240" s="292" t="str">
        <f>IFERROR(__xludf.DUMMYFUNCTION("""COMPUTED_VALUE"""),"2 CT")</f>
        <v>2 CT</v>
      </c>
      <c r="BA240" s="292" t="b">
        <f>IFERROR(__xludf.DUMMYFUNCTION("""COMPUTED_VALUE"""),TRUE)</f>
        <v>1</v>
      </c>
      <c r="BB240" s="342">
        <f>IFERROR(__xludf.DUMMYFUNCTION("""COMPUTED_VALUE"""),2.22)</f>
        <v>2.22</v>
      </c>
      <c r="BC240" s="342">
        <f>IFERROR(__xludf.DUMMYFUNCTION("""COMPUTED_VALUE"""),1.84)</f>
        <v>1.84</v>
      </c>
      <c r="BD240" s="342">
        <f>IFERROR(__xludf.DUMMYFUNCTION("""COMPUTED_VALUE"""),0.46)</f>
        <v>0.46</v>
      </c>
      <c r="BE240" s="342">
        <f>IFERROR(__xludf.DUMMYFUNCTION("""COMPUTED_VALUE"""),0.89)</f>
        <v>0.89</v>
      </c>
      <c r="BF240" s="296">
        <f>IFERROR(__xludf.DUMMYFUNCTION("""COMPUTED_VALUE"""),2.896666666666667)</f>
        <v>2.896666667</v>
      </c>
      <c r="BG240" s="296">
        <f>IFERROR(__xludf.DUMMYFUNCTION("""COMPUTED_VALUE"""),2.85)</f>
        <v>2.85</v>
      </c>
      <c r="BH240" s="296">
        <f>IFERROR(__xludf.DUMMYFUNCTION("""COMPUTED_VALUE"""),2.9333333333333336)</f>
        <v>2.933333333</v>
      </c>
      <c r="BI240" s="295">
        <f>IFERROR(__xludf.DUMMYFUNCTION("""COMPUTED_VALUE"""),128.0)</f>
        <v>128</v>
      </c>
      <c r="BJ240" s="292"/>
      <c r="BK240" s="346">
        <f>IFERROR(__xludf.DUMMYFUNCTION("""COMPUTED_VALUE"""),2450.0)</f>
        <v>2450</v>
      </c>
      <c r="BL240" s="292"/>
      <c r="BM240" s="292"/>
      <c r="BN240" s="292"/>
      <c r="BO240" s="292"/>
      <c r="BP240" s="292"/>
      <c r="BQ240" s="292" t="str">
        <f>IFERROR(__xludf.DUMMYFUNCTION("""COMPUTED_VALUE"""),"New")</f>
        <v>New</v>
      </c>
      <c r="BR240" s="292" t="b">
        <f>IFERROR(__xludf.DUMMYFUNCTION("""COMPUTED_VALUE"""),TRUE)</f>
        <v>1</v>
      </c>
      <c r="BS240" s="292" t="b">
        <f>IFERROR(__xludf.DUMMYFUNCTION("""COMPUTED_VALUE"""),FALSE)</f>
        <v>0</v>
      </c>
      <c r="BT240" s="292"/>
      <c r="BU240" s="292"/>
      <c r="BV240" s="292"/>
      <c r="BW240" s="292"/>
    </row>
    <row r="241">
      <c r="A241" s="292" t="str">
        <f>IFERROR(__xludf.DUMMYFUNCTION("""COMPUTED_VALUE"""),"FE0849B")</f>
        <v>FE0849B</v>
      </c>
      <c r="B241" s="292" t="str">
        <f>IFERROR(__xludf.DUMMYFUNCTION("""COMPUTED_VALUE"""),"CON-40-143654-4")</f>
        <v>CON-40-143654-4</v>
      </c>
      <c r="C241" s="292" t="str">
        <f>IFERROR(__xludf.DUMMYFUNCTION("""COMPUTED_VALUE"""),"CON-00-147860-2")</f>
        <v>CON-00-147860-2</v>
      </c>
      <c r="D241" s="292" t="str">
        <f>IFERROR(__xludf.DUMMYFUNCTION("""COMPUTED_VALUE"""),"CON-00-136657-3")</f>
        <v>CON-00-136657-3</v>
      </c>
      <c r="E241" s="292" t="str">
        <f>IFERROR(__xludf.DUMMYFUNCTION("""COMPUTED_VALUE"""),"Courgette-spaghetti bolognese")</f>
        <v>Courgette-spaghetti bolognese</v>
      </c>
      <c r="F241" s="292" t="str">
        <f>IFERROR(__xludf.DUMMYFUNCTION("""COMPUTED_VALUE"""),"with minced beef, mushrooms and mozzarella")</f>
        <v>with minced beef, mushrooms and mozzarella</v>
      </c>
      <c r="G241" s="292" t="str">
        <f>IFERROR(__xludf.DUMMYFUNCTION("""COMPUTED_VALUE"""),"Courgette-spaghetti bolognese")</f>
        <v>Courgette-spaghetti bolognese</v>
      </c>
      <c r="H241" s="292" t="str">
        <f>IFERROR(__xludf.DUMMYFUNCTION("""COMPUTED_VALUE"""),"met rundergehakt, champignons en mozzarella")</f>
        <v>met rundergehakt, champignons en mozzarella</v>
      </c>
      <c r="I241" s="292" t="str">
        <f>IFERROR(__xludf.DUMMYFUNCTION("""COMPUTED_VALUE"""),"Zucchini-spaghetti bolognese")</f>
        <v>Zucchini-spaghetti bolognese</v>
      </c>
      <c r="J241" s="292" t="str">
        <f>IFERROR(__xludf.DUMMYFUNCTION("""COMPUTED_VALUE"""),"Zucchini-Spaghetti Bolognese")</f>
        <v>Zucchini-Spaghetti Bolognese</v>
      </c>
      <c r="K241" s="292">
        <f>IFERROR(__xludf.DUMMYFUNCTION("""COMPUTED_VALUE"""),565260.0)</f>
        <v>565260</v>
      </c>
      <c r="L241" s="292" t="str">
        <f>IFERROR(__xludf.DUMMYFUNCTION("""COMPUTED_VALUE"""),"HF RW Courgette-spagh bolognes")</f>
        <v>HF RW Courgette-spagh bolognes</v>
      </c>
      <c r="M241" s="292" t="str">
        <f>IFERROR(__xludf.DUMMYFUNCTION("""COMPUTED_VALUE"""),"FA-NL Courgette-spaghetti bolognese (FE0849)")</f>
        <v>FA-NL Courgette-spaghetti bolognese (FE0849)</v>
      </c>
      <c r="N241" s="292" t="str">
        <f>IFERROR(__xludf.DUMMYFUNCTION("""COMPUTED_VALUE"""),"FA-NO Squash-spaghetti bolognese (FE0849)")</f>
        <v>FA-NO Squash-spaghetti bolognese (FE0849)</v>
      </c>
      <c r="O241" s="292" t="str">
        <f>IFERROR(__xludf.DUMMYFUNCTION("""COMPUTED_VALUE"""),"FA-DE Zucchini-Spaghetti Bolognese (FE0849)")</f>
        <v>FA-DE Zucchini-Spaghetti Bolognese (FE0849)</v>
      </c>
      <c r="P241" s="292" t="str">
        <f>IFERROR(__xludf.DUMMYFUNCTION("""COMPUTED_VALUE"""),"Active")</f>
        <v>Active</v>
      </c>
      <c r="Q241" s="292"/>
      <c r="R241" s="342">
        <f>IFERROR(__xludf.DUMMYFUNCTION("""COMPUTED_VALUE"""),4.63)</f>
        <v>4.63</v>
      </c>
      <c r="S241" s="292"/>
      <c r="T241" s="292"/>
      <c r="U241" s="292"/>
      <c r="V241" s="292"/>
      <c r="W241" s="292" t="b">
        <f>IFERROR(__xludf.DUMMYFUNCTION("""COMPUTED_VALUE"""),TRUE)</f>
        <v>1</v>
      </c>
      <c r="X241" s="345">
        <f>IFERROR(__xludf.DUMMYFUNCTION("""COMPUTED_VALUE"""),353.0)</f>
        <v>353</v>
      </c>
      <c r="Y241" s="344">
        <f>IFERROR(__xludf.DUMMYFUNCTION("""COMPUTED_VALUE"""),622.0)</f>
        <v>622</v>
      </c>
      <c r="Z241" s="343">
        <f>IFERROR(__xludf.DUMMYFUNCTION("""COMPUTED_VALUE"""),50.7)</f>
        <v>50.7</v>
      </c>
      <c r="AA241" s="344">
        <f>IFERROR(__xludf.DUMMYFUNCTION("""COMPUTED_VALUE"""),17.6)</f>
        <v>17.6</v>
      </c>
      <c r="AB241" s="344">
        <f>IFERROR(__xludf.DUMMYFUNCTION("""COMPUTED_VALUE"""),14.2)</f>
        <v>14.2</v>
      </c>
      <c r="AC241" s="344">
        <f>IFERROR(__xludf.DUMMYFUNCTION("""COMPUTED_VALUE"""),11.9)</f>
        <v>11.9</v>
      </c>
      <c r="AD241" s="344">
        <f>IFERROR(__xludf.DUMMYFUNCTION("""COMPUTED_VALUE"""),5.2)</f>
        <v>5.2</v>
      </c>
      <c r="AE241" s="343">
        <f>IFERROR(__xludf.DUMMYFUNCTION("""COMPUTED_VALUE"""),24.5)</f>
        <v>24.5</v>
      </c>
      <c r="AF241" s="343">
        <f>IFERROR(__xludf.DUMMYFUNCTION("""COMPUTED_VALUE"""),2.25)</f>
        <v>2.25</v>
      </c>
      <c r="AG241" s="292" t="b">
        <f>IFERROR(__xludf.DUMMYFUNCTION("""COMPUTED_VALUE"""),FALSE)</f>
        <v>0</v>
      </c>
      <c r="AH241" s="292" t="b">
        <f>IFERROR(__xludf.DUMMYFUNCTION("""COMPUTED_VALUE"""),TRUE)</f>
        <v>1</v>
      </c>
      <c r="AI241" s="292" t="b">
        <f>IFERROR(__xludf.DUMMYFUNCTION("""COMPUTED_VALUE"""),FALSE)</f>
        <v>0</v>
      </c>
      <c r="AJ241" s="292" t="b">
        <f>IFERROR(__xludf.DUMMYFUNCTION("""COMPUTED_VALUE"""),FALSE)</f>
        <v>0</v>
      </c>
      <c r="AK241" s="292" t="b">
        <f>IFERROR(__xludf.DUMMYFUNCTION("""COMPUTED_VALUE"""),FALSE)</f>
        <v>0</v>
      </c>
      <c r="AL241" s="292" t="b">
        <f>IFERROR(__xludf.DUMMYFUNCTION("""COMPUTED_VALUE"""),FALSE)</f>
        <v>0</v>
      </c>
      <c r="AM241" s="292" t="b">
        <f>IFERROR(__xludf.DUMMYFUNCTION("""COMPUTED_VALUE"""),FALSE)</f>
        <v>0</v>
      </c>
      <c r="AN241" s="292" t="b">
        <f>IFERROR(__xludf.DUMMYFUNCTION("""COMPUTED_VALUE"""),FALSE)</f>
        <v>0</v>
      </c>
      <c r="AO241" s="292" t="str">
        <f>IFERROR(__xludf.DUMMYFUNCTION("""COMPUTED_VALUE"""),"FALSE")</f>
        <v>FALSE</v>
      </c>
      <c r="AP241" s="292" t="str">
        <f>IFERROR(__xludf.DUMMYFUNCTION("""COMPUTED_VALUE"""),"Ground beef")</f>
        <v>Ground beef</v>
      </c>
      <c r="AQ241" s="292" t="str">
        <f>IFERROR(__xludf.DUMMYFUNCTION("""COMPUTED_VALUE"""),"Beef")</f>
        <v>Beef</v>
      </c>
      <c r="AR241" s="292" t="str">
        <f>IFERROR(__xludf.DUMMYFUNCTION("""COMPUTED_VALUE"""),"Ground")</f>
        <v>Ground</v>
      </c>
      <c r="AS241" s="292" t="str">
        <f>IFERROR(__xludf.DUMMYFUNCTION("""COMPUTED_VALUE"""),"Zucchini Noodles")</f>
        <v>Zucchini Noodles</v>
      </c>
      <c r="AT241" s="292" t="str">
        <f>IFERROR(__xludf.DUMMYFUNCTION("""COMPUTED_VALUE"""),"Mushrooms")</f>
        <v>Mushrooms</v>
      </c>
      <c r="AU241" s="292" t="str">
        <f>IFERROR(__xludf.DUMMYFUNCTION("""COMPUTED_VALUE"""),"Tomato Based Sauce")</f>
        <v>Tomato Based Sauce</v>
      </c>
      <c r="AV241" s="292" t="str">
        <f>IFERROR(__xludf.DUMMYFUNCTION("""COMPUTED_VALUE"""),"Cheese")</f>
        <v>Cheese</v>
      </c>
      <c r="AW241" s="292" t="str">
        <f>IFERROR(__xludf.DUMMYFUNCTION("""COMPUTED_VALUE"""),"Year Round")</f>
        <v>Year Round</v>
      </c>
      <c r="AX241" s="292" t="str">
        <f>IFERROR(__xludf.DUMMYFUNCTION("""COMPUTED_VALUE"""),"Italian")</f>
        <v>Italian</v>
      </c>
      <c r="AY241" s="292"/>
      <c r="AZ241" s="292" t="str">
        <f>IFERROR(__xludf.DUMMYFUNCTION("""COMPUTED_VALUE"""),"2 CT")</f>
        <v>2 CT</v>
      </c>
      <c r="BA241" s="292" t="b">
        <f>IFERROR(__xludf.DUMMYFUNCTION("""COMPUTED_VALUE"""),FALSE)</f>
        <v>0</v>
      </c>
      <c r="BB241" s="342">
        <f>IFERROR(__xludf.DUMMYFUNCTION("""COMPUTED_VALUE"""),2.8)</f>
        <v>2.8</v>
      </c>
      <c r="BC241" s="342">
        <f>IFERROR(__xludf.DUMMYFUNCTION("""COMPUTED_VALUE"""),1.4)</f>
        <v>1.4</v>
      </c>
      <c r="BD241" s="342">
        <f>IFERROR(__xludf.DUMMYFUNCTION("""COMPUTED_VALUE"""),0.42)</f>
        <v>0.42</v>
      </c>
      <c r="BE241" s="342">
        <f>IFERROR(__xludf.DUMMYFUNCTION("""COMPUTED_VALUE"""),0.89)</f>
        <v>0.89</v>
      </c>
      <c r="BF241" s="296">
        <f>IFERROR(__xludf.DUMMYFUNCTION("""COMPUTED_VALUE"""),3.313333333333334)</f>
        <v>3.313333333</v>
      </c>
      <c r="BG241" s="296">
        <f>IFERROR(__xludf.DUMMYFUNCTION("""COMPUTED_VALUE"""),3.3333333333333335)</f>
        <v>3.333333333</v>
      </c>
      <c r="BH241" s="296">
        <f>IFERROR(__xludf.DUMMYFUNCTION("""COMPUTED_VALUE"""),3.2733333333333334)</f>
        <v>3.273333333</v>
      </c>
      <c r="BI241" s="295">
        <f>IFERROR(__xludf.DUMMYFUNCTION("""COMPUTED_VALUE"""),199.0)</f>
        <v>199</v>
      </c>
      <c r="BJ241" s="292"/>
      <c r="BK241" s="346">
        <f>IFERROR(__xludf.DUMMYFUNCTION("""COMPUTED_VALUE"""),2586.0)</f>
        <v>2586</v>
      </c>
      <c r="BL241" s="292"/>
      <c r="BM241" s="292"/>
      <c r="BN241" s="292"/>
      <c r="BO241" s="292"/>
      <c r="BP241" s="292"/>
      <c r="BQ241" s="292" t="str">
        <f>IFERROR(__xludf.DUMMYFUNCTION("""COMPUTED_VALUE"""),"Active - Rework")</f>
        <v>Active - Rework</v>
      </c>
      <c r="BR241" s="292" t="b">
        <f>IFERROR(__xludf.DUMMYFUNCTION("""COMPUTED_VALUE"""),FALSE)</f>
        <v>0</v>
      </c>
      <c r="BS241" s="292" t="b">
        <f>IFERROR(__xludf.DUMMYFUNCTION("""COMPUTED_VALUE"""),FALSE)</f>
        <v>0</v>
      </c>
      <c r="BT241" s="292"/>
      <c r="BU241" s="292"/>
      <c r="BV241" s="292"/>
      <c r="BW241" s="292"/>
    </row>
    <row r="242">
      <c r="A242" s="292" t="str">
        <f>IFERROR(__xludf.DUMMYFUNCTION("""COMPUTED_VALUE"""),"FE4081A")</f>
        <v>FE4081A</v>
      </c>
      <c r="B242" s="292" t="str">
        <f>IFERROR(__xludf.DUMMYFUNCTION("""COMPUTED_VALUE"""),"CON-40-155635-4")</f>
        <v>CON-40-155635-4</v>
      </c>
      <c r="C242" s="292" t="str">
        <f>IFERROR(__xludf.DUMMYFUNCTION("""COMPUTED_VALUE"""),"CON-00-155634-2")</f>
        <v>CON-00-155634-2</v>
      </c>
      <c r="D242" s="292" t="str">
        <f>IFERROR(__xludf.DUMMYFUNCTION("""COMPUTED_VALUE"""),"CON-00-155633-2")</f>
        <v>CON-00-155633-2</v>
      </c>
      <c r="E242" s="292" t="str">
        <f>IFERROR(__xludf.DUMMYFUNCTION("""COMPUTED_VALUE"""),"Cajun Chicken, Tomato Gravy &amp; Mashed Potatoes")</f>
        <v>Cajun Chicken, Tomato Gravy &amp; Mashed Potatoes</v>
      </c>
      <c r="F242" s="292" t="str">
        <f>IFERROR(__xludf.DUMMYFUNCTION("""COMPUTED_VALUE"""),"with Garlic Green Beans &amp; Honey Carrots")</f>
        <v>with Garlic Green Beans &amp; Honey Carrots</v>
      </c>
      <c r="G242" s="292" t="str">
        <f>IFERROR(__xludf.DUMMYFUNCTION("""COMPUTED_VALUE"""),"Cajun kip, tomatenjus en aardappelpuree")</f>
        <v>Cajun kip, tomatenjus en aardappelpuree</v>
      </c>
      <c r="H242" s="292" t="str">
        <f>IFERROR(__xludf.DUMMYFUNCTION("""COMPUTED_VALUE"""),"met knoflook sperziebonen en honingworteltjes")</f>
        <v>met knoflook sperziebonen en honingworteltjes</v>
      </c>
      <c r="I242" s="292" t="str">
        <f>IFERROR(__xludf.DUMMYFUNCTION("""COMPUTED_VALUE"""),"Cajun-krydret kylling med tomatsauce og kartoffelmos")</f>
        <v>Cajun-krydret kylling med tomatsauce og kartoffelmos</v>
      </c>
      <c r="J242" s="292" t="str">
        <f>IFERROR(__xludf.DUMMYFUNCTION("""COMPUTED_VALUE"""),"Cajun-Hähnchen mit Tomatensauce &amp; Kartoffelpüree")</f>
        <v>Cajun-Hähnchen mit Tomatensauce &amp; Kartoffelpüree</v>
      </c>
      <c r="K242" s="292">
        <f>IFERROR(__xludf.DUMMYFUNCTION("""COMPUTED_VALUE"""),565255.0)</f>
        <v>565255</v>
      </c>
      <c r="L242" s="292" t="str">
        <f>IFERROR(__xludf.DUMMYFUNCTION("""COMPUTED_VALUE"""),"HF Cajun chicken tomato gravy")</f>
        <v>HF Cajun chicken tomato gravy</v>
      </c>
      <c r="M242" s="292" t="str">
        <f>IFERROR(__xludf.DUMMYFUNCTION("""COMPUTED_VALUE"""),"FA-NL Cajun kip, tomatenjus en aardappelpuree (FE4081)")</f>
        <v>FA-NL Cajun kip, tomatenjus en aardappelpuree (FE4081)</v>
      </c>
      <c r="N242" s="292" t="str">
        <f>IFERROR(__xludf.DUMMYFUNCTION("""COMPUTED_VALUE"""),"FA-NO Cajun-krydret kylling med tomatsauce og kartoffelmos (FE4081)")</f>
        <v>FA-NO Cajun-krydret kylling med tomatsauce og kartoffelmos (FE4081)</v>
      </c>
      <c r="O242" s="292" t="str">
        <f>IFERROR(__xludf.DUMMYFUNCTION("""COMPUTED_VALUE"""),"FA-DE Cajun-Hähnchen mit Tomatensauce &amp; Kartoffelpüree (FE4081)")</f>
        <v>FA-DE Cajun-Hähnchen mit Tomatensauce &amp; Kartoffelpüree (FE4081)</v>
      </c>
      <c r="P242" s="292" t="str">
        <f>IFERROR(__xludf.DUMMYFUNCTION("""COMPUTED_VALUE"""),"Active")</f>
        <v>Active</v>
      </c>
      <c r="Q242" s="292" t="str">
        <f>IFERROR(__xludf.DUMMYFUNCTION("""COMPUTED_VALUE"""),"Salt content is too high")</f>
        <v>Salt content is too high</v>
      </c>
      <c r="R242" s="342">
        <f>IFERROR(__xludf.DUMMYFUNCTION("""COMPUTED_VALUE"""),4.32)</f>
        <v>4.32</v>
      </c>
      <c r="S242" s="292"/>
      <c r="T242" s="292"/>
      <c r="U242" s="292"/>
      <c r="V242" s="292"/>
      <c r="W242" s="292" t="b">
        <f>IFERROR(__xludf.DUMMYFUNCTION("""COMPUTED_VALUE"""),TRUE)</f>
        <v>1</v>
      </c>
      <c r="X242" s="345">
        <f>IFERROR(__xludf.DUMMYFUNCTION("""COMPUTED_VALUE"""),434.0)</f>
        <v>434</v>
      </c>
      <c r="Y242" s="344">
        <f>IFERROR(__xludf.DUMMYFUNCTION("""COMPUTED_VALUE"""),484.0)</f>
        <v>484</v>
      </c>
      <c r="Z242" s="343">
        <f>IFERROR(__xludf.DUMMYFUNCTION("""COMPUTED_VALUE"""),25.7)</f>
        <v>25.7</v>
      </c>
      <c r="AA242" s="344">
        <f>IFERROR(__xludf.DUMMYFUNCTION("""COMPUTED_VALUE"""),12.9)</f>
        <v>12.9</v>
      </c>
      <c r="AB242" s="344">
        <f>IFERROR(__xludf.DUMMYFUNCTION("""COMPUTED_VALUE"""),29.0)</f>
        <v>29</v>
      </c>
      <c r="AC242" s="344">
        <f>IFERROR(__xludf.DUMMYFUNCTION("""COMPUTED_VALUE"""),11.9)</f>
        <v>11.9</v>
      </c>
      <c r="AD242" s="344">
        <f>IFERROR(__xludf.DUMMYFUNCTION("""COMPUTED_VALUE"""),8.9)</f>
        <v>8.9</v>
      </c>
      <c r="AE242" s="343">
        <f>IFERROR(__xludf.DUMMYFUNCTION("""COMPUTED_VALUE"""),30.5)</f>
        <v>30.5</v>
      </c>
      <c r="AF242" s="343">
        <f>IFERROR(__xludf.DUMMYFUNCTION("""COMPUTED_VALUE"""),2.24)</f>
        <v>2.24</v>
      </c>
      <c r="AG242" s="292" t="b">
        <f>IFERROR(__xludf.DUMMYFUNCTION("""COMPUTED_VALUE"""),TRUE)</f>
        <v>1</v>
      </c>
      <c r="AH242" s="292" t="b">
        <f>IFERROR(__xludf.DUMMYFUNCTION("""COMPUTED_VALUE"""),FALSE)</f>
        <v>0</v>
      </c>
      <c r="AI242" s="292" t="b">
        <f>IFERROR(__xludf.DUMMYFUNCTION("""COMPUTED_VALUE"""),TRUE)</f>
        <v>1</v>
      </c>
      <c r="AJ242" s="292" t="b">
        <f>IFERROR(__xludf.DUMMYFUNCTION("""COMPUTED_VALUE"""),FALSE)</f>
        <v>0</v>
      </c>
      <c r="AK242" s="292" t="b">
        <f>IFERROR(__xludf.DUMMYFUNCTION("""COMPUTED_VALUE"""),FALSE)</f>
        <v>0</v>
      </c>
      <c r="AL242" s="292" t="b">
        <f>IFERROR(__xludf.DUMMYFUNCTION("""COMPUTED_VALUE"""),FALSE)</f>
        <v>0</v>
      </c>
      <c r="AM242" s="292" t="b">
        <f>IFERROR(__xludf.DUMMYFUNCTION("""COMPUTED_VALUE"""),TRUE)</f>
        <v>1</v>
      </c>
      <c r="AN242" s="292" t="b">
        <f>IFERROR(__xludf.DUMMYFUNCTION("""COMPUTED_VALUE"""),FALSE)</f>
        <v>0</v>
      </c>
      <c r="AO242" s="292" t="str">
        <f>IFERROR(__xludf.DUMMYFUNCTION("""COMPUTED_VALUE"""),"FALSE")</f>
        <v>FALSE</v>
      </c>
      <c r="AP242" s="292" t="str">
        <f>IFERROR(__xludf.DUMMYFUNCTION("""COMPUTED_VALUE"""),"Chicken breast")</f>
        <v>Chicken breast</v>
      </c>
      <c r="AQ242" s="292" t="str">
        <f>IFERROR(__xludf.DUMMYFUNCTION("""COMPUTED_VALUE"""),"Chicken")</f>
        <v>Chicken</v>
      </c>
      <c r="AR242" s="292" t="str">
        <f>IFERROR(__xludf.DUMMYFUNCTION("""COMPUTED_VALUE"""),"Breast")</f>
        <v>Breast</v>
      </c>
      <c r="AS242" s="292" t="str">
        <f>IFERROR(__xludf.DUMMYFUNCTION("""COMPUTED_VALUE"""),"Potato Mash")</f>
        <v>Potato Mash</v>
      </c>
      <c r="AT242" s="292" t="str">
        <f>IFERROR(__xludf.DUMMYFUNCTION("""COMPUTED_VALUE"""),"Green Beans")</f>
        <v>Green Beans</v>
      </c>
      <c r="AU242" s="292" t="str">
        <f>IFERROR(__xludf.DUMMYFUNCTION("""COMPUTED_VALUE"""),"Carrots")</f>
        <v>Carrots</v>
      </c>
      <c r="AV242" s="292" t="str">
        <f>IFERROR(__xludf.DUMMYFUNCTION("""COMPUTED_VALUE"""),"Tomato Based Sauce")</f>
        <v>Tomato Based Sauce</v>
      </c>
      <c r="AW242" s="292" t="str">
        <f>IFERROR(__xludf.DUMMYFUNCTION("""COMPUTED_VALUE"""),"Year Round")</f>
        <v>Year Round</v>
      </c>
      <c r="AX242" s="292" t="str">
        <f>IFERROR(__xludf.DUMMYFUNCTION("""COMPUTED_VALUE"""),"American - Cajun")</f>
        <v>American - Cajun</v>
      </c>
      <c r="AY242" s="292"/>
      <c r="AZ242" s="292" t="str">
        <f>IFERROR(__xludf.DUMMYFUNCTION("""COMPUTED_VALUE"""),"2 CT")</f>
        <v>2 CT</v>
      </c>
      <c r="BA242" s="292" t="b">
        <f>IFERROR(__xludf.DUMMYFUNCTION("""COMPUTED_VALUE"""),FALSE)</f>
        <v>0</v>
      </c>
      <c r="BB242" s="342">
        <f>IFERROR(__xludf.DUMMYFUNCTION("""COMPUTED_VALUE"""),2.56)</f>
        <v>2.56</v>
      </c>
      <c r="BC242" s="342">
        <f>IFERROR(__xludf.DUMMYFUNCTION("""COMPUTED_VALUE"""),1.34)</f>
        <v>1.34</v>
      </c>
      <c r="BD242" s="342">
        <f>IFERROR(__xludf.DUMMYFUNCTION("""COMPUTED_VALUE"""),0.42)</f>
        <v>0.42</v>
      </c>
      <c r="BE242" s="342">
        <f>IFERROR(__xludf.DUMMYFUNCTION("""COMPUTED_VALUE"""),0.89)</f>
        <v>0.89</v>
      </c>
      <c r="BF242" s="296">
        <f>IFERROR(__xludf.DUMMYFUNCTION("""COMPUTED_VALUE"""),3.33)</f>
        <v>3.33</v>
      </c>
      <c r="BG242" s="296">
        <f>IFERROR(__xludf.DUMMYFUNCTION("""COMPUTED_VALUE"""),3.3200000000000003)</f>
        <v>3.32</v>
      </c>
      <c r="BH242" s="296">
        <f>IFERROR(__xludf.DUMMYFUNCTION("""COMPUTED_VALUE"""),3.3466666666666662)</f>
        <v>3.346666667</v>
      </c>
      <c r="BI242" s="295">
        <f>IFERROR(__xludf.DUMMYFUNCTION("""COMPUTED_VALUE"""),154.0)</f>
        <v>154</v>
      </c>
      <c r="BJ242" s="292"/>
      <c r="BK242" s="346">
        <f>IFERROR(__xludf.DUMMYFUNCTION("""COMPUTED_VALUE"""),2028.0)</f>
        <v>2028</v>
      </c>
      <c r="BL242" s="292"/>
      <c r="BM242" s="292"/>
      <c r="BN242" s="292"/>
      <c r="BO242" s="292"/>
      <c r="BP242" s="292"/>
      <c r="BQ242" s="292" t="str">
        <f>IFERROR(__xludf.DUMMYFUNCTION("""COMPUTED_VALUE"""),"New")</f>
        <v>New</v>
      </c>
      <c r="BR242" s="292" t="b">
        <f>IFERROR(__xludf.DUMMYFUNCTION("""COMPUTED_VALUE"""),FALSE)</f>
        <v>0</v>
      </c>
      <c r="BS242" s="292" t="b">
        <f>IFERROR(__xludf.DUMMYFUNCTION("""COMPUTED_VALUE"""),FALSE)</f>
        <v>0</v>
      </c>
      <c r="BT242" s="292"/>
      <c r="BU242" s="292"/>
      <c r="BV242" s="292"/>
      <c r="BW242" s="292"/>
    </row>
    <row r="243">
      <c r="A243" s="292" t="str">
        <f>IFERROR(__xludf.DUMMYFUNCTION("""COMPUTED_VALUE"""),"FE4049B")</f>
        <v>FE4049B</v>
      </c>
      <c r="B243" s="292" t="str">
        <f>IFERROR(__xludf.DUMMYFUNCTION("""COMPUTED_VALUE"""),"CON-40-143719-4")</f>
        <v>CON-40-143719-4</v>
      </c>
      <c r="C243" s="292" t="str">
        <f>IFERROR(__xludf.DUMMYFUNCTION("""COMPUTED_VALUE"""),"CON-00-147901-2")</f>
        <v>CON-00-147901-2</v>
      </c>
      <c r="D243" s="292" t="str">
        <f>IFERROR(__xludf.DUMMYFUNCTION("""COMPUTED_VALUE"""),"CON-00-138152-2")</f>
        <v>CON-00-138152-2</v>
      </c>
      <c r="E243" s="292" t="str">
        <f>IFERROR(__xludf.DUMMYFUNCTION("""COMPUTED_VALUE"""),"Red chile pulled pork")</f>
        <v>Red chile pulled pork</v>
      </c>
      <c r="F243" s="292" t="str">
        <f>IFERROR(__xludf.DUMMYFUNCTION("""COMPUTED_VALUE"""),"with corncake, bell pepper and courgette")</f>
        <v>with corncake, bell pepper and courgette</v>
      </c>
      <c r="G243" s="292" t="str">
        <f>IFERROR(__xludf.DUMMYFUNCTION("""COMPUTED_VALUE"""),"Rode chili &amp; pulled pork ")</f>
        <v>Rode chili &amp; pulled pork </v>
      </c>
      <c r="H243" s="292" t="str">
        <f>IFERROR(__xludf.DUMMYFUNCTION("""COMPUTED_VALUE"""),"met maiscake, paprika en courgette")</f>
        <v>met maiscake, paprika en courgette</v>
      </c>
      <c r="I243" s="292" t="str">
        <f>IFERROR(__xludf.DUMMYFUNCTION("""COMPUTED_VALUE"""),"Chilikryddet pulled pork")</f>
        <v>Chilikryddet pulled pork</v>
      </c>
      <c r="J243" s="292" t="str">
        <f>IFERROR(__xludf.DUMMYFUNCTION("""COMPUTED_VALUE"""),"Pulled Pork mit roter Chilisauce")</f>
        <v>Pulled Pork mit roter Chilisauce</v>
      </c>
      <c r="K243" s="292">
        <f>IFERROR(__xludf.DUMMYFUNCTION("""COMPUTED_VALUE"""),565130.0)</f>
        <v>565130</v>
      </c>
      <c r="L243" s="292" t="str">
        <f>IFERROR(__xludf.DUMMYFUNCTION("""COMPUTED_VALUE"""),"HF Rode Chili &amp; Pulled Pork")</f>
        <v>HF Rode Chili &amp; Pulled Pork</v>
      </c>
      <c r="M243" s="292" t="str">
        <f>IFERROR(__xludf.DUMMYFUNCTION("""COMPUTED_VALUE"""),"FA-NL Rode chili &amp; pulled pork (FE40490")</f>
        <v>FA-NL Rode chili &amp; pulled pork (FE40490</v>
      </c>
      <c r="N243" s="292" t="str">
        <f>IFERROR(__xludf.DUMMYFUNCTION("""COMPUTED_VALUE"""),"FA-NO Pulled pork i rød chilisauce (FE4049)")</f>
        <v>FA-NO Pulled pork i rød chilisauce (FE4049)</v>
      </c>
      <c r="O243" s="292" t="str">
        <f>IFERROR(__xludf.DUMMYFUNCTION("""COMPUTED_VALUE"""),"FA-DE Pulled Pork-Chilli-Bow (FE4049)")</f>
        <v>FA-DE Pulled Pork-Chilli-Bow (FE4049)</v>
      </c>
      <c r="P243" s="292" t="str">
        <f>IFERROR(__xludf.DUMMYFUNCTION("""COMPUTED_VALUE"""),"Active")</f>
        <v>Active</v>
      </c>
      <c r="Q243" s="292"/>
      <c r="R243" s="342">
        <f>IFERROR(__xludf.DUMMYFUNCTION("""COMPUTED_VALUE"""),4.05)</f>
        <v>4.05</v>
      </c>
      <c r="S243" s="292"/>
      <c r="T243" s="292"/>
      <c r="U243" s="292"/>
      <c r="V243" s="292"/>
      <c r="W243" s="292" t="b">
        <f>IFERROR(__xludf.DUMMYFUNCTION("""COMPUTED_VALUE"""),TRUE)</f>
        <v>1</v>
      </c>
      <c r="X243" s="345">
        <f>IFERROR(__xludf.DUMMYFUNCTION("""COMPUTED_VALUE"""),409.0)</f>
        <v>409</v>
      </c>
      <c r="Y243" s="344">
        <f>IFERROR(__xludf.DUMMYFUNCTION("""COMPUTED_VALUE"""),526.0)</f>
        <v>526</v>
      </c>
      <c r="Z243" s="343">
        <f>IFERROR(__xludf.DUMMYFUNCTION("""COMPUTED_VALUE"""),26.2)</f>
        <v>26.2</v>
      </c>
      <c r="AA243" s="344">
        <f>IFERROR(__xludf.DUMMYFUNCTION("""COMPUTED_VALUE"""),11.4)</f>
        <v>11.4</v>
      </c>
      <c r="AB243" s="344">
        <f>IFERROR(__xludf.DUMMYFUNCTION("""COMPUTED_VALUE"""),37.8)</f>
        <v>37.8</v>
      </c>
      <c r="AC243" s="344">
        <f>IFERROR(__xludf.DUMMYFUNCTION("""COMPUTED_VALUE"""),16.8)</f>
        <v>16.8</v>
      </c>
      <c r="AD243" s="344">
        <f>IFERROR(__xludf.DUMMYFUNCTION("""COMPUTED_VALUE"""),9.8)</f>
        <v>9.8</v>
      </c>
      <c r="AE243" s="343">
        <f>IFERROR(__xludf.DUMMYFUNCTION("""COMPUTED_VALUE"""),31.5)</f>
        <v>31.5</v>
      </c>
      <c r="AF243" s="343">
        <f>IFERROR(__xludf.DUMMYFUNCTION("""COMPUTED_VALUE"""),1.92)</f>
        <v>1.92</v>
      </c>
      <c r="AG243" s="292" t="b">
        <f>IFERROR(__xludf.DUMMYFUNCTION("""COMPUTED_VALUE"""),TRUE)</f>
        <v>1</v>
      </c>
      <c r="AH243" s="292" t="b">
        <f>IFERROR(__xludf.DUMMYFUNCTION("""COMPUTED_VALUE"""),FALSE)</f>
        <v>0</v>
      </c>
      <c r="AI243" s="292" t="b">
        <f>IFERROR(__xludf.DUMMYFUNCTION("""COMPUTED_VALUE"""),TRUE)</f>
        <v>1</v>
      </c>
      <c r="AJ243" s="292" t="b">
        <f>IFERROR(__xludf.DUMMYFUNCTION("""COMPUTED_VALUE"""),FALSE)</f>
        <v>0</v>
      </c>
      <c r="AK243" s="292" t="b">
        <f>IFERROR(__xludf.DUMMYFUNCTION("""COMPUTED_VALUE"""),FALSE)</f>
        <v>0</v>
      </c>
      <c r="AL243" s="292" t="b">
        <f>IFERROR(__xludf.DUMMYFUNCTION("""COMPUTED_VALUE"""),FALSE)</f>
        <v>0</v>
      </c>
      <c r="AM243" s="292" t="b">
        <f>IFERROR(__xludf.DUMMYFUNCTION("""COMPUTED_VALUE"""),TRUE)</f>
        <v>1</v>
      </c>
      <c r="AN243" s="292" t="b">
        <f>IFERROR(__xludf.DUMMYFUNCTION("""COMPUTED_VALUE"""),FALSE)</f>
        <v>0</v>
      </c>
      <c r="AO243" s="292" t="str">
        <f>IFERROR(__xludf.DUMMYFUNCTION("""COMPUTED_VALUE"""),"TRUE")</f>
        <v>TRUE</v>
      </c>
      <c r="AP243" s="292" t="str">
        <f>IFERROR(__xludf.DUMMYFUNCTION("""COMPUTED_VALUE"""),"Shredded pork")</f>
        <v>Shredded pork</v>
      </c>
      <c r="AQ243" s="292" t="str">
        <f>IFERROR(__xludf.DUMMYFUNCTION("""COMPUTED_VALUE"""),"Pork")</f>
        <v>Pork</v>
      </c>
      <c r="AR243" s="292" t="str">
        <f>IFERROR(__xludf.DUMMYFUNCTION("""COMPUTED_VALUE"""),"Shredded")</f>
        <v>Shredded</v>
      </c>
      <c r="AS243" s="292" t="str">
        <f>IFERROR(__xludf.DUMMYFUNCTION("""COMPUTED_VALUE"""),"Veggie-based Cake")</f>
        <v>Veggie-based Cake</v>
      </c>
      <c r="AT243" s="292" t="str">
        <f>IFERROR(__xludf.DUMMYFUNCTION("""COMPUTED_VALUE"""),"Mixed Beans")</f>
        <v>Mixed Beans</v>
      </c>
      <c r="AU243" s="292" t="str">
        <f>IFERROR(__xludf.DUMMYFUNCTION("""COMPUTED_VALUE"""),"Corn Kernels")</f>
        <v>Corn Kernels</v>
      </c>
      <c r="AV243" s="292" t="str">
        <f>IFERROR(__xludf.DUMMYFUNCTION("""COMPUTED_VALUE"""),"Zucchini Diced")</f>
        <v>Zucchini Diced</v>
      </c>
      <c r="AW243" s="292" t="str">
        <f>IFERROR(__xludf.DUMMYFUNCTION("""COMPUTED_VALUE"""),"Year Round")</f>
        <v>Year Round</v>
      </c>
      <c r="AX243" s="292" t="str">
        <f>IFERROR(__xludf.DUMMYFUNCTION("""COMPUTED_VALUE"""),"Mexican")</f>
        <v>Mexican</v>
      </c>
      <c r="AY243" s="292"/>
      <c r="AZ243" s="292" t="str">
        <f>IFERROR(__xludf.DUMMYFUNCTION("""COMPUTED_VALUE"""),"2 CT")</f>
        <v>2 CT</v>
      </c>
      <c r="BA243" s="292" t="b">
        <f>IFERROR(__xludf.DUMMYFUNCTION("""COMPUTED_VALUE"""),FALSE)</f>
        <v>0</v>
      </c>
      <c r="BB243" s="342">
        <f>IFERROR(__xludf.DUMMYFUNCTION("""COMPUTED_VALUE"""),2.08)</f>
        <v>2.08</v>
      </c>
      <c r="BC243" s="342">
        <f>IFERROR(__xludf.DUMMYFUNCTION("""COMPUTED_VALUE"""),1.55)</f>
        <v>1.55</v>
      </c>
      <c r="BD243" s="342">
        <f>IFERROR(__xludf.DUMMYFUNCTION("""COMPUTED_VALUE"""),0.42)</f>
        <v>0.42</v>
      </c>
      <c r="BE243" s="342">
        <f>IFERROR(__xludf.DUMMYFUNCTION("""COMPUTED_VALUE"""),0.89)</f>
        <v>0.89</v>
      </c>
      <c r="BF243" s="296">
        <f>IFERROR(__xludf.DUMMYFUNCTION("""COMPUTED_VALUE"""),3.3)</f>
        <v>3.3</v>
      </c>
      <c r="BG243" s="296">
        <f>IFERROR(__xludf.DUMMYFUNCTION("""COMPUTED_VALUE"""),3.305)</f>
        <v>3.305</v>
      </c>
      <c r="BH243" s="296">
        <f>IFERROR(__xludf.DUMMYFUNCTION("""COMPUTED_VALUE"""),3.285)</f>
        <v>3.285</v>
      </c>
      <c r="BI243" s="295">
        <f>IFERROR(__xludf.DUMMYFUNCTION("""COMPUTED_VALUE"""),206.0)</f>
        <v>206</v>
      </c>
      <c r="BJ243" s="292"/>
      <c r="BK243" s="346">
        <f>IFERROR(__xludf.DUMMYFUNCTION("""COMPUTED_VALUE"""),2202.0)</f>
        <v>2202</v>
      </c>
      <c r="BL243" s="292"/>
      <c r="BM243" s="292"/>
      <c r="BN243" s="292"/>
      <c r="BO243" s="292"/>
      <c r="BP243" s="292"/>
      <c r="BQ243" s="292" t="str">
        <f>IFERROR(__xludf.DUMMYFUNCTION("""COMPUTED_VALUE"""),"Active - Rework")</f>
        <v>Active - Rework</v>
      </c>
      <c r="BR243" s="292" t="b">
        <f>IFERROR(__xludf.DUMMYFUNCTION("""COMPUTED_VALUE"""),FALSE)</f>
        <v>0</v>
      </c>
      <c r="BS243" s="292" t="b">
        <f>IFERROR(__xludf.DUMMYFUNCTION("""COMPUTED_VALUE"""),FALSE)</f>
        <v>0</v>
      </c>
      <c r="BT243" s="292"/>
      <c r="BU243" s="292"/>
      <c r="BV243" s="292"/>
      <c r="BW243" s="292"/>
    </row>
    <row r="244">
      <c r="A244" s="292" t="str">
        <f>IFERROR(__xludf.DUMMYFUNCTION("""COMPUTED_VALUE"""),"FE4015B")</f>
        <v>FE4015B</v>
      </c>
      <c r="B244" s="292" t="str">
        <f>IFERROR(__xludf.DUMMYFUNCTION("""COMPUTED_VALUE"""),"CON-40-143658-4")</f>
        <v>CON-40-143658-4</v>
      </c>
      <c r="C244" s="292" t="str">
        <f>IFERROR(__xludf.DUMMYFUNCTION("""COMPUTED_VALUE"""),"CON-00-147878-2")</f>
        <v>CON-00-147878-2</v>
      </c>
      <c r="D244" s="292" t="str">
        <f>IFERROR(__xludf.DUMMYFUNCTION("""COMPUTED_VALUE"""),"CON-00-136674-3")</f>
        <v>CON-00-136674-3</v>
      </c>
      <c r="E244" s="292" t="str">
        <f>IFERROR(__xludf.DUMMYFUNCTION("""COMPUTED_VALUE"""),"Grilled chicken and ratatouille")</f>
        <v>Grilled chicken and ratatouille</v>
      </c>
      <c r="F244" s="292" t="str">
        <f>IFERROR(__xludf.DUMMYFUNCTION("""COMPUTED_VALUE"""),"with mozzarella, potato wedges and garlic sauce")</f>
        <v>with mozzarella, potato wedges and garlic sauce</v>
      </c>
      <c r="G244" s="292" t="str">
        <f>IFERROR(__xludf.DUMMYFUNCTION("""COMPUTED_VALUE"""),"Gegrilde kipfilet en ratatouille")</f>
        <v>Gegrilde kipfilet en ratatouille</v>
      </c>
      <c r="H244" s="292" t="str">
        <f>IFERROR(__xludf.DUMMYFUNCTION("""COMPUTED_VALUE"""),"met mozzarella, aardappelpartjes en knoflooksaus")</f>
        <v>met mozzarella, aardappelpartjes en knoflooksaus</v>
      </c>
      <c r="I244" s="292" t="str">
        <f>IFERROR(__xludf.DUMMYFUNCTION("""COMPUTED_VALUE"""),"Grillet kylling med ratatouille")</f>
        <v>Grillet kylling med ratatouille</v>
      </c>
      <c r="J244" s="292" t="str">
        <f>IFERROR(__xludf.DUMMYFUNCTION("""COMPUTED_VALUE"""),"Gegrilltes Hähnchen mit Ratatouille")</f>
        <v>Gegrilltes Hähnchen mit Ratatouille</v>
      </c>
      <c r="K244" s="292">
        <f>IFERROR(__xludf.DUMMYFUNCTION("""COMPUTED_VALUE"""),565072.0)</f>
        <v>565072</v>
      </c>
      <c r="L244" s="292" t="str">
        <f>IFERROR(__xludf.DUMMYFUNCTION("""COMPUTED_VALUE"""),"HF Kipfilet met Ratatouille")</f>
        <v>HF Kipfilet met Ratatouille</v>
      </c>
      <c r="M244" s="292" t="str">
        <f>IFERROR(__xludf.DUMMYFUNCTION("""COMPUTED_VALUE"""),"FA-NL Gegrilde kipfilet &amp; ratatouille (FE4015)")</f>
        <v>FA-NL Gegrilde kipfilet &amp; ratatouille (FE4015)</v>
      </c>
      <c r="N244" s="292" t="str">
        <f>IFERROR(__xludf.DUMMYFUNCTION("""COMPUTED_VALUE"""),"FA-NO Grillet kylling og ratatouille (FE4015)")</f>
        <v>FA-NO Grillet kylling og ratatouille (FE4015)</v>
      </c>
      <c r="O244" s="292" t="str">
        <f>IFERROR(__xludf.DUMMYFUNCTION("""COMPUTED_VALUE"""),"FA-DE Grillhähnchen und Ratatouille (FE4015)")</f>
        <v>FA-DE Grillhähnchen und Ratatouille (FE4015)</v>
      </c>
      <c r="P244" s="292" t="str">
        <f>IFERROR(__xludf.DUMMYFUNCTION("""COMPUTED_VALUE"""),"Active")</f>
        <v>Active</v>
      </c>
      <c r="Q244" s="292"/>
      <c r="R244" s="342">
        <f>IFERROR(__xludf.DUMMYFUNCTION("""COMPUTED_VALUE"""),4.56)</f>
        <v>4.56</v>
      </c>
      <c r="S244" s="292"/>
      <c r="T244" s="292"/>
      <c r="U244" s="292"/>
      <c r="V244" s="292"/>
      <c r="W244" s="292" t="b">
        <f>IFERROR(__xludf.DUMMYFUNCTION("""COMPUTED_VALUE"""),TRUE)</f>
        <v>1</v>
      </c>
      <c r="X244" s="345">
        <f>IFERROR(__xludf.DUMMYFUNCTION("""COMPUTED_VALUE"""),429.0)</f>
        <v>429</v>
      </c>
      <c r="Y244" s="344">
        <f>IFERROR(__xludf.DUMMYFUNCTION("""COMPUTED_VALUE"""),439.0)</f>
        <v>439</v>
      </c>
      <c r="Z244" s="343">
        <f>IFERROR(__xludf.DUMMYFUNCTION("""COMPUTED_VALUE"""),19.0)</f>
        <v>19</v>
      </c>
      <c r="AA244" s="344">
        <f>IFERROR(__xludf.DUMMYFUNCTION("""COMPUTED_VALUE"""),5.9)</f>
        <v>5.9</v>
      </c>
      <c r="AB244" s="344">
        <f>IFERROR(__xludf.DUMMYFUNCTION("""COMPUTED_VALUE"""),33.5)</f>
        <v>33.5</v>
      </c>
      <c r="AC244" s="344">
        <f>IFERROR(__xludf.DUMMYFUNCTION("""COMPUTED_VALUE"""),12.5)</f>
        <v>12.5</v>
      </c>
      <c r="AD244" s="344">
        <f>IFERROR(__xludf.DUMMYFUNCTION("""COMPUTED_VALUE"""),6.1)</f>
        <v>6.1</v>
      </c>
      <c r="AE244" s="343">
        <f>IFERROR(__xludf.DUMMYFUNCTION("""COMPUTED_VALUE"""),31.0)</f>
        <v>31</v>
      </c>
      <c r="AF244" s="343">
        <f>IFERROR(__xludf.DUMMYFUNCTION("""COMPUTED_VALUE"""),2.01)</f>
        <v>2.01</v>
      </c>
      <c r="AG244" s="292" t="b">
        <f>IFERROR(__xludf.DUMMYFUNCTION("""COMPUTED_VALUE"""),FALSE)</f>
        <v>0</v>
      </c>
      <c r="AH244" s="292" t="b">
        <f>IFERROR(__xludf.DUMMYFUNCTION("""COMPUTED_VALUE"""),FALSE)</f>
        <v>0</v>
      </c>
      <c r="AI244" s="292" t="b">
        <f>IFERROR(__xludf.DUMMYFUNCTION("""COMPUTED_VALUE"""),TRUE)</f>
        <v>1</v>
      </c>
      <c r="AJ244" s="292" t="b">
        <f>IFERROR(__xludf.DUMMYFUNCTION("""COMPUTED_VALUE"""),FALSE)</f>
        <v>0</v>
      </c>
      <c r="AK244" s="292" t="b">
        <f>IFERROR(__xludf.DUMMYFUNCTION("""COMPUTED_VALUE"""),FALSE)</f>
        <v>0</v>
      </c>
      <c r="AL244" s="292" t="b">
        <f>IFERROR(__xludf.DUMMYFUNCTION("""COMPUTED_VALUE"""),FALSE)</f>
        <v>0</v>
      </c>
      <c r="AM244" s="292" t="b">
        <f>IFERROR(__xludf.DUMMYFUNCTION("""COMPUTED_VALUE"""),TRUE)</f>
        <v>1</v>
      </c>
      <c r="AN244" s="292" t="b">
        <f>IFERROR(__xludf.DUMMYFUNCTION("""COMPUTED_VALUE"""),FALSE)</f>
        <v>0</v>
      </c>
      <c r="AO244" s="292" t="str">
        <f>IFERROR(__xludf.DUMMYFUNCTION("""COMPUTED_VALUE"""),"FALSE")</f>
        <v>FALSE</v>
      </c>
      <c r="AP244" s="292" t="str">
        <f>IFERROR(__xludf.DUMMYFUNCTION("""COMPUTED_VALUE"""),"Chicken breast")</f>
        <v>Chicken breast</v>
      </c>
      <c r="AQ244" s="292" t="str">
        <f>IFERROR(__xludf.DUMMYFUNCTION("""COMPUTED_VALUE"""),"Chicken")</f>
        <v>Chicken</v>
      </c>
      <c r="AR244" s="292" t="str">
        <f>IFERROR(__xludf.DUMMYFUNCTION("""COMPUTED_VALUE"""),"Breast")</f>
        <v>Breast</v>
      </c>
      <c r="AS244" s="292" t="str">
        <f>IFERROR(__xludf.DUMMYFUNCTION("""COMPUTED_VALUE"""),"Zucchini Diced")</f>
        <v>Zucchini Diced</v>
      </c>
      <c r="AT244" s="292" t="str">
        <f>IFERROR(__xludf.DUMMYFUNCTION("""COMPUTED_VALUE"""),"Tomato Based Sauce")</f>
        <v>Tomato Based Sauce</v>
      </c>
      <c r="AU244" s="292" t="str">
        <f>IFERROR(__xludf.DUMMYFUNCTION("""COMPUTED_VALUE"""),"Pepper Mix")</f>
        <v>Pepper Mix</v>
      </c>
      <c r="AV244" s="292" t="str">
        <f>IFERROR(__xludf.DUMMYFUNCTION("""COMPUTED_VALUE"""),"Potato Non-Mash")</f>
        <v>Potato Non-Mash</v>
      </c>
      <c r="AW244" s="292" t="str">
        <f>IFERROR(__xludf.DUMMYFUNCTION("""COMPUTED_VALUE"""),"Year Round")</f>
        <v>Year Round</v>
      </c>
      <c r="AX244" s="292" t="str">
        <f>IFERROR(__xludf.DUMMYFUNCTION("""COMPUTED_VALUE"""),"French")</f>
        <v>French</v>
      </c>
      <c r="AY244" s="292"/>
      <c r="AZ244" s="292" t="str">
        <f>IFERROR(__xludf.DUMMYFUNCTION("""COMPUTED_VALUE"""),"2 CT")</f>
        <v>2 CT</v>
      </c>
      <c r="BA244" s="292" t="b">
        <f>IFERROR(__xludf.DUMMYFUNCTION("""COMPUTED_VALUE"""),TRUE)</f>
        <v>1</v>
      </c>
      <c r="BB244" s="342">
        <f>IFERROR(__xludf.DUMMYFUNCTION("""COMPUTED_VALUE"""),2.73)</f>
        <v>2.73</v>
      </c>
      <c r="BC244" s="342">
        <f>IFERROR(__xludf.DUMMYFUNCTION("""COMPUTED_VALUE"""),1.37)</f>
        <v>1.37</v>
      </c>
      <c r="BD244" s="342">
        <f>IFERROR(__xludf.DUMMYFUNCTION("""COMPUTED_VALUE"""),0.46)</f>
        <v>0.46</v>
      </c>
      <c r="BE244" s="342">
        <f>IFERROR(__xludf.DUMMYFUNCTION("""COMPUTED_VALUE"""),0.89)</f>
        <v>0.89</v>
      </c>
      <c r="BF244" s="296">
        <f>IFERROR(__xludf.DUMMYFUNCTION("""COMPUTED_VALUE"""),3.3333333333333335)</f>
        <v>3.333333333</v>
      </c>
      <c r="BG244" s="296">
        <f>IFERROR(__xludf.DUMMYFUNCTION("""COMPUTED_VALUE"""),3.373333333333333)</f>
        <v>3.373333333</v>
      </c>
      <c r="BH244" s="296">
        <f>IFERROR(__xludf.DUMMYFUNCTION("""COMPUTED_VALUE"""),3.19)</f>
        <v>3.19</v>
      </c>
      <c r="BI244" s="295">
        <f>IFERROR(__xludf.DUMMYFUNCTION("""COMPUTED_VALUE"""),167.0)</f>
        <v>167</v>
      </c>
      <c r="BJ244" s="292"/>
      <c r="BK244" s="346">
        <f>IFERROR(__xludf.DUMMYFUNCTION("""COMPUTED_VALUE"""),1838.0)</f>
        <v>1838</v>
      </c>
      <c r="BL244" s="292"/>
      <c r="BM244" s="292"/>
      <c r="BN244" s="292"/>
      <c r="BO244" s="292"/>
      <c r="BP244" s="292"/>
      <c r="BQ244" s="292" t="str">
        <f>IFERROR(__xludf.DUMMYFUNCTION("""COMPUTED_VALUE"""),"Active - Rework")</f>
        <v>Active - Rework</v>
      </c>
      <c r="BR244" s="292" t="b">
        <f>IFERROR(__xludf.DUMMYFUNCTION("""COMPUTED_VALUE"""),FALSE)</f>
        <v>0</v>
      </c>
      <c r="BS244" s="292" t="b">
        <f>IFERROR(__xludf.DUMMYFUNCTION("""COMPUTED_VALUE"""),FALSE)</f>
        <v>0</v>
      </c>
      <c r="BT244" s="292"/>
      <c r="BU244" s="292"/>
      <c r="BV244" s="292"/>
      <c r="BW244" s="292"/>
    </row>
    <row r="245">
      <c r="A245" s="292" t="str">
        <f>IFERROR(__xludf.DUMMYFUNCTION("""COMPUTED_VALUE"""),"FE1403A")</f>
        <v>FE1403A</v>
      </c>
      <c r="B245" s="292" t="str">
        <f>IFERROR(__xludf.DUMMYFUNCTION("""COMPUTED_VALUE"""),"CON-40-155919-4")</f>
        <v>CON-40-155919-4</v>
      </c>
      <c r="C245" s="292" t="str">
        <f>IFERROR(__xludf.DUMMYFUNCTION("""COMPUTED_VALUE"""),"CON-00-155918-2")</f>
        <v>CON-00-155918-2</v>
      </c>
      <c r="D245" s="292" t="str">
        <f>IFERROR(__xludf.DUMMYFUNCTION("""COMPUTED_VALUE"""),"CON-00-155917-2")</f>
        <v>CON-00-155917-2</v>
      </c>
      <c r="E245" s="292" t="str">
        <f>IFERROR(__xludf.DUMMYFUNCTION("""COMPUTED_VALUE"""),"Chicken Biryani")</f>
        <v>Chicken Biryani</v>
      </c>
      <c r="F245" s="292" t="str">
        <f>IFERROR(__xludf.DUMMYFUNCTION("""COMPUTED_VALUE"""),"with Cumin Cauliflower, Green Beans &amp; Curried Yogurt Sauce")</f>
        <v>with Cumin Cauliflower, Green Beans &amp; Curried Yogurt Sauce</v>
      </c>
      <c r="G245" s="292" t="str">
        <f>IFERROR(__xludf.DUMMYFUNCTION("""COMPUTED_VALUE"""),"Kip biryani")</f>
        <v>Kip biryani</v>
      </c>
      <c r="H245" s="292" t="str">
        <f>IFERROR(__xludf.DUMMYFUNCTION("""COMPUTED_VALUE"""),"met bloemkool met komijn, sperziebonen &amp; yoghurtsaus met kerrie")</f>
        <v>met bloemkool met komijn, sperziebonen &amp; yoghurtsaus met kerrie</v>
      </c>
      <c r="I245" s="292" t="str">
        <f>IFERROR(__xludf.DUMMYFUNCTION("""COMPUTED_VALUE"""),"Chicken Biryani")</f>
        <v>Chicken Biryani</v>
      </c>
      <c r="J245" s="292" t="str">
        <f>IFERROR(__xludf.DUMMYFUNCTION("""COMPUTED_VALUE"""),"Hähnchen Biryani")</f>
        <v>Hähnchen Biryani</v>
      </c>
      <c r="K245" s="292">
        <f>IFERROR(__xludf.DUMMYFUNCTION("""COMPUTED_VALUE"""),565270.0)</f>
        <v>565270</v>
      </c>
      <c r="L245" s="292" t="str">
        <f>IFERROR(__xludf.DUMMYFUNCTION("""COMPUTED_VALUE"""),"HF Chicken biryani")</f>
        <v>HF Chicken biryani</v>
      </c>
      <c r="M245" s="292" t="str">
        <f>IFERROR(__xludf.DUMMYFUNCTION("""COMPUTED_VALUE"""),"FA-NL Kip biryani (FE1403)")</f>
        <v>FA-NL Kip biryani (FE1403)</v>
      </c>
      <c r="N245" s="292" t="str">
        <f>IFERROR(__xludf.DUMMYFUNCTION("""COMPUTED_VALUE"""),"FA-NO Chicken Biryani (FE1403)")</f>
        <v>FA-NO Chicken Biryani (FE1403)</v>
      </c>
      <c r="O245" s="292" t="str">
        <f>IFERROR(__xludf.DUMMYFUNCTION("""COMPUTED_VALUE"""),"FA-DE Hähnchen Biryani (FE1403)")</f>
        <v>FA-DE Hähnchen Biryani (FE1403)</v>
      </c>
      <c r="P245" s="292" t="str">
        <f>IFERROR(__xludf.DUMMYFUNCTION("""COMPUTED_VALUE"""),"Hold")</f>
        <v>Hold</v>
      </c>
      <c r="Q245" s="292" t="str">
        <f>IFERROR(__xludf.DUMMYFUNCTION("""COMPUTED_VALUE""")," rework it to reduce total fat% to 50% so it can fit in CS")</f>
        <v> rework it to reduce total fat% to 50% so it can fit in CS</v>
      </c>
      <c r="R245" s="342">
        <f>IFERROR(__xludf.DUMMYFUNCTION("""COMPUTED_VALUE"""),3.44)</f>
        <v>3.44</v>
      </c>
      <c r="S245" s="292"/>
      <c r="T245" s="292"/>
      <c r="U245" s="292"/>
      <c r="V245" s="292"/>
      <c r="W245" s="292" t="b">
        <f>IFERROR(__xludf.DUMMYFUNCTION("""COMPUTED_VALUE"""),TRUE)</f>
        <v>1</v>
      </c>
      <c r="X245" s="345">
        <f>IFERROR(__xludf.DUMMYFUNCTION("""COMPUTED_VALUE"""),359.0)</f>
        <v>359</v>
      </c>
      <c r="Y245" s="344">
        <f>IFERROR(__xludf.DUMMYFUNCTION("""COMPUTED_VALUE"""),424.0)</f>
        <v>424</v>
      </c>
      <c r="Z245" s="343">
        <f>IFERROR(__xludf.DUMMYFUNCTION("""COMPUTED_VALUE"""),24.4)</f>
        <v>24.4</v>
      </c>
      <c r="AA245" s="344">
        <f>IFERROR(__xludf.DUMMYFUNCTION("""COMPUTED_VALUE"""),6.5)</f>
        <v>6.5</v>
      </c>
      <c r="AB245" s="344">
        <f>IFERROR(__xludf.DUMMYFUNCTION("""COMPUTED_VALUE"""),23.5)</f>
        <v>23.5</v>
      </c>
      <c r="AC245" s="344">
        <f>IFERROR(__xludf.DUMMYFUNCTION("""COMPUTED_VALUE"""),7.6)</f>
        <v>7.6</v>
      </c>
      <c r="AD245" s="344">
        <f>IFERROR(__xludf.DUMMYFUNCTION("""COMPUTED_VALUE"""),7.1)</f>
        <v>7.1</v>
      </c>
      <c r="AE245" s="343">
        <f>IFERROR(__xludf.DUMMYFUNCTION("""COMPUTED_VALUE"""),24.3)</f>
        <v>24.3</v>
      </c>
      <c r="AF245" s="343">
        <f>IFERROR(__xludf.DUMMYFUNCTION("""COMPUTED_VALUE"""),2.01)</f>
        <v>2.01</v>
      </c>
      <c r="AG245" s="292" t="b">
        <f>IFERROR(__xludf.DUMMYFUNCTION("""COMPUTED_VALUE"""),FALSE)</f>
        <v>0</v>
      </c>
      <c r="AH245" s="292" t="b">
        <f>IFERROR(__xludf.DUMMYFUNCTION("""COMPUTED_VALUE"""),FALSE)</f>
        <v>0</v>
      </c>
      <c r="AI245" s="292" t="b">
        <f>IFERROR(__xludf.DUMMYFUNCTION("""COMPUTED_VALUE"""),TRUE)</f>
        <v>1</v>
      </c>
      <c r="AJ245" s="292" t="b">
        <f>IFERROR(__xludf.DUMMYFUNCTION("""COMPUTED_VALUE"""),FALSE)</f>
        <v>0</v>
      </c>
      <c r="AK245" s="292" t="b">
        <f>IFERROR(__xludf.DUMMYFUNCTION("""COMPUTED_VALUE"""),FALSE)</f>
        <v>0</v>
      </c>
      <c r="AL245" s="292" t="b">
        <f>IFERROR(__xludf.DUMMYFUNCTION("""COMPUTED_VALUE"""),FALSE)</f>
        <v>0</v>
      </c>
      <c r="AM245" s="292" t="b">
        <f>IFERROR(__xludf.DUMMYFUNCTION("""COMPUTED_VALUE"""),FALSE)</f>
        <v>0</v>
      </c>
      <c r="AN245" s="292" t="b">
        <f>IFERROR(__xludf.DUMMYFUNCTION("""COMPUTED_VALUE"""),FALSE)</f>
        <v>0</v>
      </c>
      <c r="AO245" s="292" t="str">
        <f>IFERROR(__xludf.DUMMYFUNCTION("""COMPUTED_VALUE"""),"FALSE")</f>
        <v>FALSE</v>
      </c>
      <c r="AP245" s="292" t="str">
        <f>IFERROR(__xludf.DUMMYFUNCTION("""COMPUTED_VALUE"""),"Shredded chicken")</f>
        <v>Shredded chicken</v>
      </c>
      <c r="AQ245" s="292" t="str">
        <f>IFERROR(__xludf.DUMMYFUNCTION("""COMPUTED_VALUE"""),"Chicken")</f>
        <v>Chicken</v>
      </c>
      <c r="AR245" s="292" t="str">
        <f>IFERROR(__xludf.DUMMYFUNCTION("""COMPUTED_VALUE"""),"Pulled")</f>
        <v>Pulled</v>
      </c>
      <c r="AS245" s="292" t="str">
        <f>IFERROR(__xludf.DUMMYFUNCTION("""COMPUTED_VALUE"""),"Green Beans")</f>
        <v>Green Beans</v>
      </c>
      <c r="AT245" s="292" t="str">
        <f>IFERROR(__xludf.DUMMYFUNCTION("""COMPUTED_VALUE"""),"Carrots")</f>
        <v>Carrots</v>
      </c>
      <c r="AU245" s="292" t="str">
        <f>IFERROR(__xludf.DUMMYFUNCTION("""COMPUTED_VALUE"""),"Cauliflower Florets")</f>
        <v>Cauliflower Florets</v>
      </c>
      <c r="AV245" s="292" t="str">
        <f>IFERROR(__xludf.DUMMYFUNCTION("""COMPUTED_VALUE"""),"Cupped Sauce")</f>
        <v>Cupped Sauce</v>
      </c>
      <c r="AW245" s="292" t="str">
        <f>IFERROR(__xludf.DUMMYFUNCTION("""COMPUTED_VALUE"""),"Year Round")</f>
        <v>Year Round</v>
      </c>
      <c r="AX245" s="292" t="str">
        <f>IFERROR(__xludf.DUMMYFUNCTION("""COMPUTED_VALUE"""),"Indian")</f>
        <v>Indian</v>
      </c>
      <c r="AY245" s="292"/>
      <c r="AZ245" s="292" t="str">
        <f>IFERROR(__xludf.DUMMYFUNCTION("""COMPUTED_VALUE"""),"2 CT")</f>
        <v>2 CT</v>
      </c>
      <c r="BA245" s="292" t="b">
        <f>IFERROR(__xludf.DUMMYFUNCTION("""COMPUTED_VALUE"""),TRUE)</f>
        <v>1</v>
      </c>
      <c r="BB245" s="342">
        <f>IFERROR(__xludf.DUMMYFUNCTION("""COMPUTED_VALUE"""),1.31)</f>
        <v>1.31</v>
      </c>
      <c r="BC245" s="342">
        <f>IFERROR(__xludf.DUMMYFUNCTION("""COMPUTED_VALUE"""),1.7)</f>
        <v>1.7</v>
      </c>
      <c r="BD245" s="342">
        <f>IFERROR(__xludf.DUMMYFUNCTION("""COMPUTED_VALUE"""),0.43)</f>
        <v>0.43</v>
      </c>
      <c r="BE245" s="342">
        <f>IFERROR(__xludf.DUMMYFUNCTION("""COMPUTED_VALUE"""),0.89)</f>
        <v>0.89</v>
      </c>
      <c r="BF245" s="296">
        <f>IFERROR(__xludf.DUMMYFUNCTION("""COMPUTED_VALUE"""),3.0949999999999998)</f>
        <v>3.095</v>
      </c>
      <c r="BG245" s="296">
        <f>IFERROR(__xludf.DUMMYFUNCTION("""COMPUTED_VALUE"""),3.1950000000000003)</f>
        <v>3.195</v>
      </c>
      <c r="BH245" s="296">
        <f>IFERROR(__xludf.DUMMYFUNCTION("""COMPUTED_VALUE"""),2.605)</f>
        <v>2.605</v>
      </c>
      <c r="BI245" s="295">
        <f>IFERROR(__xludf.DUMMYFUNCTION("""COMPUTED_VALUE"""),170.0)</f>
        <v>170</v>
      </c>
      <c r="BJ245" s="292"/>
      <c r="BK245" s="346">
        <f>IFERROR(__xludf.DUMMYFUNCTION("""COMPUTED_VALUE"""),1768.0)</f>
        <v>1768</v>
      </c>
      <c r="BL245" s="292"/>
      <c r="BM245" s="292"/>
      <c r="BN245" s="292"/>
      <c r="BO245" s="292"/>
      <c r="BP245" s="292"/>
      <c r="BQ245" s="292" t="str">
        <f>IFERROR(__xludf.DUMMYFUNCTION("""COMPUTED_VALUE"""),"New")</f>
        <v>New</v>
      </c>
      <c r="BR245" s="292" t="b">
        <f>IFERROR(__xludf.DUMMYFUNCTION("""COMPUTED_VALUE"""),FALSE)</f>
        <v>0</v>
      </c>
      <c r="BS245" s="292" t="b">
        <f>IFERROR(__xludf.DUMMYFUNCTION("""COMPUTED_VALUE"""),FALSE)</f>
        <v>0</v>
      </c>
      <c r="BT245" s="292"/>
      <c r="BU245" s="292"/>
      <c r="BV245" s="292"/>
      <c r="BW245" s="292"/>
    </row>
    <row r="246">
      <c r="A246" s="292" t="str">
        <f>IFERROR(__xludf.DUMMYFUNCTION("""COMPUTED_VALUE"""),"FE1458A")</f>
        <v>FE1458A</v>
      </c>
      <c r="B246" s="292" t="str">
        <f>IFERROR(__xludf.DUMMYFUNCTION("""COMPUTED_VALUE"""),"CON-40-156131-4")</f>
        <v>CON-40-156131-4</v>
      </c>
      <c r="C246" s="292" t="str">
        <f>IFERROR(__xludf.DUMMYFUNCTION("""COMPUTED_VALUE"""),"CON-00-156130-2")</f>
        <v>CON-00-156130-2</v>
      </c>
      <c r="D246" s="292" t="str">
        <f>IFERROR(__xludf.DUMMYFUNCTION("""COMPUTED_VALUE"""),"CON-00-156129-2")</f>
        <v>CON-00-156129-2</v>
      </c>
      <c r="E246" s="292" t="str">
        <f>IFERROR(__xludf.DUMMYFUNCTION("""COMPUTED_VALUE"""),"Japanese-Style BBQ Chicken &amp; Cabbage")</f>
        <v>Japanese-Style BBQ Chicken &amp; Cabbage</v>
      </c>
      <c r="F246" s="292" t="str">
        <f>IFERROR(__xludf.DUMMYFUNCTION("""COMPUTED_VALUE"""),"with Cauli-Basmati Rice, Edamame &amp; Peppers")</f>
        <v>with Cauli-Basmati Rice, Edamame &amp; Peppers</v>
      </c>
      <c r="G246" s="292" t="str">
        <f>IFERROR(__xludf.DUMMYFUNCTION("""COMPUTED_VALUE"""),"Japanse stijl BBQ-kip &amp; kool")</f>
        <v>Japanse stijl BBQ-kip &amp; kool</v>
      </c>
      <c r="H246" s="292" t="str">
        <f>IFERROR(__xludf.DUMMYFUNCTION("""COMPUTED_VALUE"""),"met basmati-bloemkoolrijst, edamame &amp; paprika")</f>
        <v>met basmati-bloemkoolrijst, edamame &amp; paprika</v>
      </c>
      <c r="I246" s="292" t="str">
        <f>IFERROR(__xludf.DUMMYFUNCTION("""COMPUTED_VALUE"""),"Japansk-inspireret BBQ-kylling med kål")</f>
        <v>Japansk-inspireret BBQ-kylling med kål</v>
      </c>
      <c r="J246" s="292" t="str">
        <f>IFERROR(__xludf.DUMMYFUNCTION("""COMPUTED_VALUE"""),"Japanisches BBQ-Hähnchen &amp; Kohl")</f>
        <v>Japanisches BBQ-Hähnchen &amp; Kohl</v>
      </c>
      <c r="K246" s="292">
        <f>IFERROR(__xludf.DUMMYFUNCTION("""COMPUTED_VALUE"""),565258.0)</f>
        <v>565258</v>
      </c>
      <c r="L246" s="292" t="str">
        <f>IFERROR(__xludf.DUMMYFUNCTION("""COMPUTED_VALUE"""),"HF Japanse style kip en kool")</f>
        <v>HF Japanse style kip en kool</v>
      </c>
      <c r="M246" s="292" t="str">
        <f>IFERROR(__xludf.DUMMYFUNCTION("""COMPUTED_VALUE"""),"FA-NL Japanse stijl BBQ-kip &amp; kool (FE1458)")</f>
        <v>FA-NL Japanse stijl BBQ-kip &amp; kool (FE1458)</v>
      </c>
      <c r="N246" s="292" t="str">
        <f>IFERROR(__xludf.DUMMYFUNCTION("""COMPUTED_VALUE"""),"FA-NO Japansk-inspireret BBQ-kylling med kål (FE1458)")</f>
        <v>FA-NO Japansk-inspireret BBQ-kylling med kål (FE1458)</v>
      </c>
      <c r="O246" s="292" t="str">
        <f>IFERROR(__xludf.DUMMYFUNCTION("""COMPUTED_VALUE"""),"FA-DE Japanisches BBQ-Hähnchen &amp; Kohl (FE1458)")</f>
        <v>FA-DE Japanisches BBQ-Hähnchen &amp; Kohl (FE1458)</v>
      </c>
      <c r="P246" s="292" t="str">
        <f>IFERROR(__xludf.DUMMYFUNCTION("""COMPUTED_VALUE"""),"Active")</f>
        <v>Active</v>
      </c>
      <c r="Q246" s="292" t="str">
        <f>IFERROR(__xludf.DUMMYFUNCTION("""COMPUTED_VALUE"""),"Rename to remove cabbage")</f>
        <v>Rename to remove cabbage</v>
      </c>
      <c r="R246" s="342">
        <f>IFERROR(__xludf.DUMMYFUNCTION("""COMPUTED_VALUE"""),4.33)</f>
        <v>4.33</v>
      </c>
      <c r="S246" s="292"/>
      <c r="T246" s="292"/>
      <c r="U246" s="292"/>
      <c r="V246" s="292"/>
      <c r="W246" s="292" t="b">
        <f>IFERROR(__xludf.DUMMYFUNCTION("""COMPUTED_VALUE"""),TRUE)</f>
        <v>1</v>
      </c>
      <c r="X246" s="345">
        <f>IFERROR(__xludf.DUMMYFUNCTION("""COMPUTED_VALUE"""),340.0)</f>
        <v>340</v>
      </c>
      <c r="Y246" s="344">
        <f>IFERROR(__xludf.DUMMYFUNCTION("""COMPUTED_VALUE"""),417.0)</f>
        <v>417</v>
      </c>
      <c r="Z246" s="343">
        <f>IFERROR(__xludf.DUMMYFUNCTION("""COMPUTED_VALUE"""),14.8)</f>
        <v>14.8</v>
      </c>
      <c r="AA246" s="344">
        <f>IFERROR(__xludf.DUMMYFUNCTION("""COMPUTED_VALUE"""),2.5)</f>
        <v>2.5</v>
      </c>
      <c r="AB246" s="344">
        <f>IFERROR(__xludf.DUMMYFUNCTION("""COMPUTED_VALUE"""),34.4)</f>
        <v>34.4</v>
      </c>
      <c r="AC246" s="344">
        <f>IFERROR(__xludf.DUMMYFUNCTION("""COMPUTED_VALUE"""),13.0)</f>
        <v>13</v>
      </c>
      <c r="AD246" s="344">
        <f>IFERROR(__xludf.DUMMYFUNCTION("""COMPUTED_VALUE"""),7.5)</f>
        <v>7.5</v>
      </c>
      <c r="AE246" s="343">
        <f>IFERROR(__xludf.DUMMYFUNCTION("""COMPUTED_VALUE"""),32.7)</f>
        <v>32.7</v>
      </c>
      <c r="AF246" s="343">
        <f>IFERROR(__xludf.DUMMYFUNCTION("""COMPUTED_VALUE"""),2.06)</f>
        <v>2.06</v>
      </c>
      <c r="AG246" s="292" t="b">
        <f>IFERROR(__xludf.DUMMYFUNCTION("""COMPUTED_VALUE"""),FALSE)</f>
        <v>0</v>
      </c>
      <c r="AH246" s="292" t="b">
        <f>IFERROR(__xludf.DUMMYFUNCTION("""COMPUTED_VALUE"""),FALSE)</f>
        <v>0</v>
      </c>
      <c r="AI246" s="292" t="b">
        <f>IFERROR(__xludf.DUMMYFUNCTION("""COMPUTED_VALUE"""),TRUE)</f>
        <v>1</v>
      </c>
      <c r="AJ246" s="292" t="b">
        <f>IFERROR(__xludf.DUMMYFUNCTION("""COMPUTED_VALUE"""),FALSE)</f>
        <v>0</v>
      </c>
      <c r="AK246" s="292" t="b">
        <f>IFERROR(__xludf.DUMMYFUNCTION("""COMPUTED_VALUE"""),FALSE)</f>
        <v>0</v>
      </c>
      <c r="AL246" s="292" t="b">
        <f>IFERROR(__xludf.DUMMYFUNCTION("""COMPUTED_VALUE"""),FALSE)</f>
        <v>0</v>
      </c>
      <c r="AM246" s="292" t="b">
        <f>IFERROR(__xludf.DUMMYFUNCTION("""COMPUTED_VALUE"""),TRUE)</f>
        <v>1</v>
      </c>
      <c r="AN246" s="292" t="b">
        <f>IFERROR(__xludf.DUMMYFUNCTION("""COMPUTED_VALUE"""),TRUE)</f>
        <v>1</v>
      </c>
      <c r="AO246" s="292" t="str">
        <f>IFERROR(__xludf.DUMMYFUNCTION("""COMPUTED_VALUE"""),"FALSE")</f>
        <v>FALSE</v>
      </c>
      <c r="AP246" s="292" t="str">
        <f>IFERROR(__xludf.DUMMYFUNCTION("""COMPUTED_VALUE"""),"Chicken breast")</f>
        <v>Chicken breast</v>
      </c>
      <c r="AQ246" s="292" t="str">
        <f>IFERROR(__xludf.DUMMYFUNCTION("""COMPUTED_VALUE"""),"Chicken")</f>
        <v>Chicken</v>
      </c>
      <c r="AR246" s="292" t="str">
        <f>IFERROR(__xludf.DUMMYFUNCTION("""COMPUTED_VALUE"""),"Breast")</f>
        <v>Breast</v>
      </c>
      <c r="AS246" s="292" t="str">
        <f>IFERROR(__xludf.DUMMYFUNCTION("""COMPUTED_VALUE"""),"Cauliflower Rice")</f>
        <v>Cauliflower Rice</v>
      </c>
      <c r="AT246" s="292" t="str">
        <f>IFERROR(__xludf.DUMMYFUNCTION("""COMPUTED_VALUE"""),"Edamame")</f>
        <v>Edamame</v>
      </c>
      <c r="AU246" s="292" t="str">
        <f>IFERROR(__xludf.DUMMYFUNCTION("""COMPUTED_VALUE"""),"Red bell pepper")</f>
        <v>Red bell pepper</v>
      </c>
      <c r="AV246" s="292" t="str">
        <f>IFERROR(__xludf.DUMMYFUNCTION("""COMPUTED_VALUE"""),"Cupped Sauce")</f>
        <v>Cupped Sauce</v>
      </c>
      <c r="AW246" s="292" t="str">
        <f>IFERROR(__xludf.DUMMYFUNCTION("""COMPUTED_VALUE"""),"Year Round")</f>
        <v>Year Round</v>
      </c>
      <c r="AX246" s="292" t="str">
        <f>IFERROR(__xludf.DUMMYFUNCTION("""COMPUTED_VALUE"""),"Japanese")</f>
        <v>Japanese</v>
      </c>
      <c r="AY246" s="292"/>
      <c r="AZ246" s="292" t="str">
        <f>IFERROR(__xludf.DUMMYFUNCTION("""COMPUTED_VALUE"""),"2 CT")</f>
        <v>2 CT</v>
      </c>
      <c r="BA246" s="292" t="b">
        <f>IFERROR(__xludf.DUMMYFUNCTION("""COMPUTED_VALUE"""),TRUE)</f>
        <v>1</v>
      </c>
      <c r="BB246" s="342">
        <f>IFERROR(__xludf.DUMMYFUNCTION("""COMPUTED_VALUE"""),2.35)</f>
        <v>2.35</v>
      </c>
      <c r="BC246" s="342">
        <f>IFERROR(__xludf.DUMMYFUNCTION("""COMPUTED_VALUE"""),1.54)</f>
        <v>1.54</v>
      </c>
      <c r="BD246" s="342">
        <f>IFERROR(__xludf.DUMMYFUNCTION("""COMPUTED_VALUE"""),0.43)</f>
        <v>0.43</v>
      </c>
      <c r="BE246" s="342">
        <f>IFERROR(__xludf.DUMMYFUNCTION("""COMPUTED_VALUE"""),0.89)</f>
        <v>0.89</v>
      </c>
      <c r="BF246" s="296">
        <f>IFERROR(__xludf.DUMMYFUNCTION("""COMPUTED_VALUE"""),3.32)</f>
        <v>3.32</v>
      </c>
      <c r="BG246" s="296">
        <f>IFERROR(__xludf.DUMMYFUNCTION("""COMPUTED_VALUE"""),3.45)</f>
        <v>3.45</v>
      </c>
      <c r="BH246" s="296">
        <f>IFERROR(__xludf.DUMMYFUNCTION("""COMPUTED_VALUE"""),3.06)</f>
        <v>3.06</v>
      </c>
      <c r="BI246" s="295">
        <f>IFERROR(__xludf.DUMMYFUNCTION("""COMPUTED_VALUE"""),94.0)</f>
        <v>94</v>
      </c>
      <c r="BJ246" s="292"/>
      <c r="BK246" s="346">
        <f>IFERROR(__xludf.DUMMYFUNCTION("""COMPUTED_VALUE"""),1745.0)</f>
        <v>1745</v>
      </c>
      <c r="BL246" s="292"/>
      <c r="BM246" s="292"/>
      <c r="BN246" s="292"/>
      <c r="BO246" s="292"/>
      <c r="BP246" s="292"/>
      <c r="BQ246" s="292" t="str">
        <f>IFERROR(__xludf.DUMMYFUNCTION("""COMPUTED_VALUE"""),"New")</f>
        <v>New</v>
      </c>
      <c r="BR246" s="292" t="b">
        <f>IFERROR(__xludf.DUMMYFUNCTION("""COMPUTED_VALUE"""),FALSE)</f>
        <v>0</v>
      </c>
      <c r="BS246" s="292" t="b">
        <f>IFERROR(__xludf.DUMMYFUNCTION("""COMPUTED_VALUE"""),FALSE)</f>
        <v>0</v>
      </c>
      <c r="BT246" s="292"/>
      <c r="BU246" s="292"/>
      <c r="BV246" s="292"/>
      <c r="BW246" s="292"/>
    </row>
    <row r="247">
      <c r="A247" s="292" t="str">
        <f>IFERROR(__xludf.DUMMYFUNCTION("""COMPUTED_VALUE"""),"FE0224D")</f>
        <v>FE0224D</v>
      </c>
      <c r="B247" s="292" t="str">
        <f>IFERROR(__xludf.DUMMYFUNCTION("""COMPUTED_VALUE"""),"CON-40-143681-4")</f>
        <v>CON-40-143681-4</v>
      </c>
      <c r="C247" s="292" t="str">
        <f>IFERROR(__xludf.DUMMYFUNCTION("""COMPUTED_VALUE"""),"CON-00-147827-2")</f>
        <v>CON-00-147827-2</v>
      </c>
      <c r="D247" s="292" t="str">
        <f>IFERROR(__xludf.DUMMYFUNCTION("""COMPUTED_VALUE"""),"CON-00-136620-3")</f>
        <v>CON-00-136620-3</v>
      </c>
      <c r="E247" s="292" t="str">
        <f>IFERROR(__xludf.DUMMYFUNCTION("""COMPUTED_VALUE"""),"Chicken à la Florentine")</f>
        <v>Chicken à la Florentine</v>
      </c>
      <c r="F247" s="292" t="str">
        <f>IFERROR(__xludf.DUMMYFUNCTION("""COMPUTED_VALUE"""),"with creamy polenta, garlic spinach and cauliflower")</f>
        <v>with creamy polenta, garlic spinach and cauliflower</v>
      </c>
      <c r="G247" s="292" t="str">
        <f>IFERROR(__xludf.DUMMYFUNCTION("""COMPUTED_VALUE"""),"Kipfilet à la Florentine ")</f>
        <v>Kipfilet à la Florentine </v>
      </c>
      <c r="H247" s="292" t="str">
        <f>IFERROR(__xludf.DUMMYFUNCTION("""COMPUTED_VALUE"""),"met romige polenta, knoflookspinazie en bloemkool")</f>
        <v>met romige polenta, knoflookspinazie en bloemkool</v>
      </c>
      <c r="I247" s="292" t="str">
        <f>IFERROR(__xludf.DUMMYFUNCTION("""COMPUTED_VALUE"""),"Kylling à la Florentine")</f>
        <v>Kylling à la Florentine</v>
      </c>
      <c r="J247" s="292" t="str">
        <f>IFERROR(__xludf.DUMMYFUNCTION("""COMPUTED_VALUE"""),"Hähnchen à la Florentine")</f>
        <v>Hähnchen à la Florentine</v>
      </c>
      <c r="K247" s="292">
        <f>IFERROR(__xludf.DUMMYFUNCTION("""COMPUTED_VALUE"""),565047.0)</f>
        <v>565047</v>
      </c>
      <c r="L247" s="292" t="str">
        <f>IFERROR(__xludf.DUMMYFUNCTION("""COMPUTED_VALUE"""),"HF Kip á la Florentine")</f>
        <v>HF Kip á la Florentine</v>
      </c>
      <c r="M247" s="292" t="str">
        <f>IFERROR(__xludf.DUMMYFUNCTION("""COMPUTED_VALUE"""),"FA-NL Kipfilet à la Florentine (FE0224)")</f>
        <v>FA-NL Kipfilet à la Florentine (FE0224)</v>
      </c>
      <c r="N247" s="292" t="str">
        <f>IFERROR(__xludf.DUMMYFUNCTION("""COMPUTED_VALUE"""),"FA-NO Kylling à la Florentine (FE0224)")</f>
        <v>FA-NO Kylling à la Florentine (FE0224)</v>
      </c>
      <c r="O247" s="292" t="str">
        <f>IFERROR(__xludf.DUMMYFUNCTION("""COMPUTED_VALUE"""),"FA-DE Hähnchen à la Florentine (FE0224)")</f>
        <v>FA-DE Hähnchen à la Florentine (FE0224)</v>
      </c>
      <c r="P247" s="292" t="str">
        <f>IFERROR(__xludf.DUMMYFUNCTION("""COMPUTED_VALUE"""),"Active")</f>
        <v>Active</v>
      </c>
      <c r="Q247" s="292"/>
      <c r="R247" s="342">
        <f>IFERROR(__xludf.DUMMYFUNCTION("""COMPUTED_VALUE"""),4.33)</f>
        <v>4.33</v>
      </c>
      <c r="S247" s="292"/>
      <c r="T247" s="292"/>
      <c r="U247" s="292"/>
      <c r="V247" s="292"/>
      <c r="W247" s="292" t="b">
        <f>IFERROR(__xludf.DUMMYFUNCTION("""COMPUTED_VALUE"""),TRUE)</f>
        <v>1</v>
      </c>
      <c r="X247" s="345">
        <f>IFERROR(__xludf.DUMMYFUNCTION("""COMPUTED_VALUE"""),404.0)</f>
        <v>404</v>
      </c>
      <c r="Y247" s="344">
        <f>IFERROR(__xludf.DUMMYFUNCTION("""COMPUTED_VALUE"""),442.0)</f>
        <v>442</v>
      </c>
      <c r="Z247" s="343">
        <f>IFERROR(__xludf.DUMMYFUNCTION("""COMPUTED_VALUE"""),21.7)</f>
        <v>21.7</v>
      </c>
      <c r="AA247" s="344">
        <f>IFERROR(__xludf.DUMMYFUNCTION("""COMPUTED_VALUE"""),9.9)</f>
        <v>9.9</v>
      </c>
      <c r="AB247" s="344">
        <f>IFERROR(__xludf.DUMMYFUNCTION("""COMPUTED_VALUE"""),24.6)</f>
        <v>24.6</v>
      </c>
      <c r="AC247" s="344">
        <f>IFERROR(__xludf.DUMMYFUNCTION("""COMPUTED_VALUE"""),8.2)</f>
        <v>8.2</v>
      </c>
      <c r="AD247" s="344">
        <f>IFERROR(__xludf.DUMMYFUNCTION("""COMPUTED_VALUE"""),3.2)</f>
        <v>3.2</v>
      </c>
      <c r="AE247" s="343">
        <f>IFERROR(__xludf.DUMMYFUNCTION("""COMPUTED_VALUE"""),35.5)</f>
        <v>35.5</v>
      </c>
      <c r="AF247" s="343">
        <f>IFERROR(__xludf.DUMMYFUNCTION("""COMPUTED_VALUE"""),2.03)</f>
        <v>2.03</v>
      </c>
      <c r="AG247" s="292" t="b">
        <f>IFERROR(__xludf.DUMMYFUNCTION("""COMPUTED_VALUE"""),FALSE)</f>
        <v>0</v>
      </c>
      <c r="AH247" s="292" t="b">
        <f>IFERROR(__xludf.DUMMYFUNCTION("""COMPUTED_VALUE"""),FALSE)</f>
        <v>0</v>
      </c>
      <c r="AI247" s="292" t="b">
        <f>IFERROR(__xludf.DUMMYFUNCTION("""COMPUTED_VALUE"""),TRUE)</f>
        <v>1</v>
      </c>
      <c r="AJ247" s="292" t="b">
        <f>IFERROR(__xludf.DUMMYFUNCTION("""COMPUTED_VALUE"""),FALSE)</f>
        <v>0</v>
      </c>
      <c r="AK247" s="292" t="b">
        <f>IFERROR(__xludf.DUMMYFUNCTION("""COMPUTED_VALUE"""),FALSE)</f>
        <v>0</v>
      </c>
      <c r="AL247" s="292" t="b">
        <f>IFERROR(__xludf.DUMMYFUNCTION("""COMPUTED_VALUE"""),FALSE)</f>
        <v>0</v>
      </c>
      <c r="AM247" s="292" t="b">
        <f>IFERROR(__xludf.DUMMYFUNCTION("""COMPUTED_VALUE"""),TRUE)</f>
        <v>1</v>
      </c>
      <c r="AN247" s="292" t="b">
        <f>IFERROR(__xludf.DUMMYFUNCTION("""COMPUTED_VALUE"""),FALSE)</f>
        <v>0</v>
      </c>
      <c r="AO247" s="292" t="str">
        <f>IFERROR(__xludf.DUMMYFUNCTION("""COMPUTED_VALUE"""),"FALSE")</f>
        <v>FALSE</v>
      </c>
      <c r="AP247" s="292" t="str">
        <f>IFERROR(__xludf.DUMMYFUNCTION("""COMPUTED_VALUE"""),"Chicken breast")</f>
        <v>Chicken breast</v>
      </c>
      <c r="AQ247" s="292" t="str">
        <f>IFERROR(__xludf.DUMMYFUNCTION("""COMPUTED_VALUE"""),"Chicken")</f>
        <v>Chicken</v>
      </c>
      <c r="AR247" s="292" t="str">
        <f>IFERROR(__xludf.DUMMYFUNCTION("""COMPUTED_VALUE"""),"Breast")</f>
        <v>Breast</v>
      </c>
      <c r="AS247" s="292" t="str">
        <f>IFERROR(__xludf.DUMMYFUNCTION("""COMPUTED_VALUE"""),"Polenta/Grits")</f>
        <v>Polenta/Grits</v>
      </c>
      <c r="AT247" s="292" t="str">
        <f>IFERROR(__xludf.DUMMYFUNCTION("""COMPUTED_VALUE"""),"Spinach")</f>
        <v>Spinach</v>
      </c>
      <c r="AU247" s="292" t="str">
        <f>IFERROR(__xludf.DUMMYFUNCTION("""COMPUTED_VALUE"""),"Cauliflower Florets")</f>
        <v>Cauliflower Florets</v>
      </c>
      <c r="AV247" s="292" t="str">
        <f>IFERROR(__xludf.DUMMYFUNCTION("""COMPUTED_VALUE"""),"Cheese")</f>
        <v>Cheese</v>
      </c>
      <c r="AW247" s="292" t="str">
        <f>IFERROR(__xludf.DUMMYFUNCTION("""COMPUTED_VALUE"""),"Year Round")</f>
        <v>Year Round</v>
      </c>
      <c r="AX247" s="292" t="str">
        <f>IFERROR(__xludf.DUMMYFUNCTION("""COMPUTED_VALUE"""),"Italian")</f>
        <v>Italian</v>
      </c>
      <c r="AY247" s="292"/>
      <c r="AZ247" s="292" t="str">
        <f>IFERROR(__xludf.DUMMYFUNCTION("""COMPUTED_VALUE"""),"2 CT")</f>
        <v>2 CT</v>
      </c>
      <c r="BA247" s="292" t="b">
        <f>IFERROR(__xludf.DUMMYFUNCTION("""COMPUTED_VALUE"""),FALSE)</f>
        <v>0</v>
      </c>
      <c r="BB247" s="342">
        <f>IFERROR(__xludf.DUMMYFUNCTION("""COMPUTED_VALUE"""),2.51)</f>
        <v>2.51</v>
      </c>
      <c r="BC247" s="342">
        <f>IFERROR(__xludf.DUMMYFUNCTION("""COMPUTED_VALUE"""),1.42)</f>
        <v>1.42</v>
      </c>
      <c r="BD247" s="342">
        <f>IFERROR(__xludf.DUMMYFUNCTION("""COMPUTED_VALUE"""),0.4)</f>
        <v>0.4</v>
      </c>
      <c r="BE247" s="342">
        <f>IFERROR(__xludf.DUMMYFUNCTION("""COMPUTED_VALUE"""),0.89)</f>
        <v>0.89</v>
      </c>
      <c r="BF247" s="296">
        <f>IFERROR(__xludf.DUMMYFUNCTION("""COMPUTED_VALUE"""),3.3166666666666664)</f>
        <v>3.316666667</v>
      </c>
      <c r="BG247" s="296">
        <f>IFERROR(__xludf.DUMMYFUNCTION("""COMPUTED_VALUE"""),3.34)</f>
        <v>3.34</v>
      </c>
      <c r="BH247" s="296">
        <f>IFERROR(__xludf.DUMMYFUNCTION("""COMPUTED_VALUE"""),3.246666666666666)</f>
        <v>3.246666667</v>
      </c>
      <c r="BI247" s="295">
        <f>IFERROR(__xludf.DUMMYFUNCTION("""COMPUTED_VALUE"""),173.0)</f>
        <v>173</v>
      </c>
      <c r="BJ247" s="292"/>
      <c r="BK247" s="346">
        <f>IFERROR(__xludf.DUMMYFUNCTION("""COMPUTED_VALUE"""),1850.0)</f>
        <v>1850</v>
      </c>
      <c r="BL247" s="292"/>
      <c r="BM247" s="292"/>
      <c r="BN247" s="292"/>
      <c r="BO247" s="292"/>
      <c r="BP247" s="292"/>
      <c r="BQ247" s="292" t="str">
        <f>IFERROR(__xludf.DUMMYFUNCTION("""COMPUTED_VALUE"""),"Proven")</f>
        <v>Proven</v>
      </c>
      <c r="BR247" s="292" t="b">
        <f>IFERROR(__xludf.DUMMYFUNCTION("""COMPUTED_VALUE"""),FALSE)</f>
        <v>0</v>
      </c>
      <c r="BS247" s="292" t="b">
        <f>IFERROR(__xludf.DUMMYFUNCTION("""COMPUTED_VALUE"""),FALSE)</f>
        <v>0</v>
      </c>
      <c r="BT247" s="292"/>
      <c r="BU247" s="292"/>
      <c r="BV247" s="292"/>
      <c r="BW247" s="292"/>
    </row>
    <row r="248">
      <c r="A248" s="292" t="str">
        <f>IFERROR(__xludf.DUMMYFUNCTION("""COMPUTED_VALUE"""),"FE0962B")</f>
        <v>FE0962B</v>
      </c>
      <c r="B248" s="292" t="str">
        <f>IFERROR(__xludf.DUMMYFUNCTION("""COMPUTED_VALUE"""),"CON-40-154569-4")</f>
        <v>CON-40-154569-4</v>
      </c>
      <c r="C248" s="292" t="str">
        <f>IFERROR(__xludf.DUMMYFUNCTION("""COMPUTED_VALUE"""),"CON-00-155002-2")</f>
        <v>CON-00-155002-2</v>
      </c>
      <c r="D248" s="292" t="str">
        <f>IFERROR(__xludf.DUMMYFUNCTION("""COMPUTED_VALUE"""),"CON-00-155003-2")</f>
        <v>CON-00-155003-2</v>
      </c>
      <c r="E248" s="292" t="str">
        <f>IFERROR(__xludf.DUMMYFUNCTION("""COMPUTED_VALUE"""),"Apricot Smothered Pork Tenderloin")</f>
        <v>Apricot Smothered Pork Tenderloin</v>
      </c>
      <c r="F248" s="292" t="str">
        <f>IFERROR(__xludf.DUMMYFUNCTION("""COMPUTED_VALUE"""),"with Roasted Green Beans &amp; Parmesan Potatoes")</f>
        <v>with Roasted Green Beans &amp; Parmesan Potatoes</v>
      </c>
      <c r="G248" s="292" t="str">
        <f>IFERROR(__xludf.DUMMYFUNCTION("""COMPUTED_VALUE"""),"Varkenshaas in abrikozenjus")</f>
        <v>Varkenshaas in abrikozenjus</v>
      </c>
      <c r="H248" s="292" t="str">
        <f>IFERROR(__xludf.DUMMYFUNCTION("""COMPUTED_VALUE"""),"met geroosterde sperziebonen en aardappelen met Parmezaan")</f>
        <v>met geroosterde sperziebonen en aardappelen met Parmezaan</v>
      </c>
      <c r="I248" s="292" t="str">
        <f>IFERROR(__xludf.DUMMYFUNCTION("""COMPUTED_VALUE"""),"Svinefilet i abrikossauce")</f>
        <v>Svinefilet i abrikossauce</v>
      </c>
      <c r="J248" s="292" t="str">
        <f>IFERROR(__xludf.DUMMYFUNCTION("""COMPUTED_VALUE"""),"Schweinefilet mit Aprikosenglasur")</f>
        <v>Schweinefilet mit Aprikosenglasur</v>
      </c>
      <c r="K248" s="292">
        <f>IFERROR(__xludf.DUMMYFUNCTION("""COMPUTED_VALUE"""),565220.0)</f>
        <v>565220</v>
      </c>
      <c r="L248" s="292" t="str">
        <f>IFERROR(__xludf.DUMMYFUNCTION("""COMPUTED_VALUE"""),"HF Varkenshaas abrikozensaus")</f>
        <v>HF Varkenshaas abrikozensaus</v>
      </c>
      <c r="M248" s="292" t="str">
        <f>IFERROR(__xludf.DUMMYFUNCTION("""COMPUTED_VALUE"""),"FA-NL Varkenshaas in abrikozenjus (FE0962)")</f>
        <v>FA-NL Varkenshaas in abrikozenjus (FE0962)</v>
      </c>
      <c r="N248" s="292" t="str">
        <f>IFERROR(__xludf.DUMMYFUNCTION("""COMPUTED_VALUE"""),"FA-NO Abrikosglaseret svinemørbrad (FE0962)")</f>
        <v>FA-NO Abrikosglaseret svinemørbrad (FE0962)</v>
      </c>
      <c r="O248" s="292" t="str">
        <f>IFERROR(__xludf.DUMMYFUNCTION("""COMPUTED_VALUE"""),"FA-DE Schweinefilet mit Aprikosen-Glasur (FE0962)")</f>
        <v>FA-DE Schweinefilet mit Aprikosen-Glasur (FE0962)</v>
      </c>
      <c r="P248" s="292" t="str">
        <f>IFERROR(__xludf.DUMMYFUNCTION("""COMPUTED_VALUE"""),"Active")</f>
        <v>Active</v>
      </c>
      <c r="Q248" s="292"/>
      <c r="R248" s="342">
        <f>IFERROR(__xludf.DUMMYFUNCTION("""COMPUTED_VALUE"""),4.64)</f>
        <v>4.64</v>
      </c>
      <c r="S248" s="292"/>
      <c r="T248" s="292"/>
      <c r="U248" s="292"/>
      <c r="V248" s="292"/>
      <c r="W248" s="292" t="b">
        <f>IFERROR(__xludf.DUMMYFUNCTION("""COMPUTED_VALUE"""),TRUE)</f>
        <v>1</v>
      </c>
      <c r="X248" s="345">
        <f>IFERROR(__xludf.DUMMYFUNCTION("""COMPUTED_VALUE"""),424.0)</f>
        <v>424</v>
      </c>
      <c r="Y248" s="344">
        <f>IFERROR(__xludf.DUMMYFUNCTION("""COMPUTED_VALUE"""),615.0)</f>
        <v>615</v>
      </c>
      <c r="Z248" s="343">
        <f>IFERROR(__xludf.DUMMYFUNCTION("""COMPUTED_VALUE"""),32.1)</f>
        <v>32.1</v>
      </c>
      <c r="AA248" s="344">
        <f>IFERROR(__xludf.DUMMYFUNCTION("""COMPUTED_VALUE"""),6.2)</f>
        <v>6.2</v>
      </c>
      <c r="AB248" s="344">
        <f>IFERROR(__xludf.DUMMYFUNCTION("""COMPUTED_VALUE"""),46.7)</f>
        <v>46.7</v>
      </c>
      <c r="AC248" s="344">
        <f>IFERROR(__xludf.DUMMYFUNCTION("""COMPUTED_VALUE"""),14.5)</f>
        <v>14.5</v>
      </c>
      <c r="AD248" s="344">
        <f>IFERROR(__xludf.DUMMYFUNCTION("""COMPUTED_VALUE"""),9.6)</f>
        <v>9.6</v>
      </c>
      <c r="AE248" s="343">
        <f>IFERROR(__xludf.DUMMYFUNCTION("""COMPUTED_VALUE"""),30.5)</f>
        <v>30.5</v>
      </c>
      <c r="AF248" s="343">
        <f>IFERROR(__xludf.DUMMYFUNCTION("""COMPUTED_VALUE"""),1.69)</f>
        <v>1.69</v>
      </c>
      <c r="AG248" s="292" t="b">
        <f>IFERROR(__xludf.DUMMYFUNCTION("""COMPUTED_VALUE"""),FALSE)</f>
        <v>0</v>
      </c>
      <c r="AH248" s="292" t="b">
        <f>IFERROR(__xludf.DUMMYFUNCTION("""COMPUTED_VALUE"""),FALSE)</f>
        <v>0</v>
      </c>
      <c r="AI248" s="292" t="b">
        <f>IFERROR(__xludf.DUMMYFUNCTION("""COMPUTED_VALUE"""),FALSE)</f>
        <v>0</v>
      </c>
      <c r="AJ248" s="292" t="b">
        <f>IFERROR(__xludf.DUMMYFUNCTION("""COMPUTED_VALUE"""),FALSE)</f>
        <v>0</v>
      </c>
      <c r="AK248" s="292" t="b">
        <f>IFERROR(__xludf.DUMMYFUNCTION("""COMPUTED_VALUE"""),FALSE)</f>
        <v>0</v>
      </c>
      <c r="AL248" s="292" t="b">
        <f>IFERROR(__xludf.DUMMYFUNCTION("""COMPUTED_VALUE"""),FALSE)</f>
        <v>0</v>
      </c>
      <c r="AM248" s="292" t="b">
        <f>IFERROR(__xludf.DUMMYFUNCTION("""COMPUTED_VALUE"""),TRUE)</f>
        <v>1</v>
      </c>
      <c r="AN248" s="292" t="b">
        <f>IFERROR(__xludf.DUMMYFUNCTION("""COMPUTED_VALUE"""),FALSE)</f>
        <v>0</v>
      </c>
      <c r="AO248" s="292" t="str">
        <f>IFERROR(__xludf.DUMMYFUNCTION("""COMPUTED_VALUE"""),"TRUE")</f>
        <v>TRUE</v>
      </c>
      <c r="AP248" s="292" t="str">
        <f>IFERROR(__xludf.DUMMYFUNCTION("""COMPUTED_VALUE"""),"Pork tenderloin")</f>
        <v>Pork tenderloin</v>
      </c>
      <c r="AQ248" s="292" t="str">
        <f>IFERROR(__xludf.DUMMYFUNCTION("""COMPUTED_VALUE"""),"Pork")</f>
        <v>Pork</v>
      </c>
      <c r="AR248" s="292" t="str">
        <f>IFERROR(__xludf.DUMMYFUNCTION("""COMPUTED_VALUE"""),"Tenderloin")</f>
        <v>Tenderloin</v>
      </c>
      <c r="AS248" s="292" t="str">
        <f>IFERROR(__xludf.DUMMYFUNCTION("""COMPUTED_VALUE"""),"Green Beans")</f>
        <v>Green Beans</v>
      </c>
      <c r="AT248" s="292" t="str">
        <f>IFERROR(__xludf.DUMMYFUNCTION("""COMPUTED_VALUE"""),"Potato Non-Mash")</f>
        <v>Potato Non-Mash</v>
      </c>
      <c r="AU248" s="292" t="str">
        <f>IFERROR(__xludf.DUMMYFUNCTION("""COMPUTED_VALUE"""),"Other sauce")</f>
        <v>Other sauce</v>
      </c>
      <c r="AV248" s="292"/>
      <c r="AW248" s="292" t="str">
        <f>IFERROR(__xludf.DUMMYFUNCTION("""COMPUTED_VALUE"""),"Year Round")</f>
        <v>Year Round</v>
      </c>
      <c r="AX248" s="292" t="str">
        <f>IFERROR(__xludf.DUMMYFUNCTION("""COMPUTED_VALUE"""),"American")</f>
        <v>American</v>
      </c>
      <c r="AY248" s="292"/>
      <c r="AZ248" s="292" t="str">
        <f>IFERROR(__xludf.DUMMYFUNCTION("""COMPUTED_VALUE"""),"2 CT")</f>
        <v>2 CT</v>
      </c>
      <c r="BA248" s="292" t="b">
        <f>IFERROR(__xludf.DUMMYFUNCTION("""COMPUTED_VALUE"""),FALSE)</f>
        <v>0</v>
      </c>
      <c r="BB248" s="342">
        <f>IFERROR(__xludf.DUMMYFUNCTION("""COMPUTED_VALUE"""),2.93)</f>
        <v>2.93</v>
      </c>
      <c r="BC248" s="342">
        <f>IFERROR(__xludf.DUMMYFUNCTION("""COMPUTED_VALUE"""),1.3)</f>
        <v>1.3</v>
      </c>
      <c r="BD248" s="342">
        <f>IFERROR(__xludf.DUMMYFUNCTION("""COMPUTED_VALUE"""),0.41)</f>
        <v>0.41</v>
      </c>
      <c r="BE248" s="342">
        <f>IFERROR(__xludf.DUMMYFUNCTION("""COMPUTED_VALUE"""),0.89)</f>
        <v>0.89</v>
      </c>
      <c r="BF248" s="296">
        <f>IFERROR(__xludf.DUMMYFUNCTION("""COMPUTED_VALUE"""),3.25)</f>
        <v>3.25</v>
      </c>
      <c r="BG248" s="296">
        <f>IFERROR(__xludf.DUMMYFUNCTION("""COMPUTED_VALUE"""),3.2249999999999996)</f>
        <v>3.225</v>
      </c>
      <c r="BH248" s="296">
        <f>IFERROR(__xludf.DUMMYFUNCTION("""COMPUTED_VALUE"""),3.135)</f>
        <v>3.135</v>
      </c>
      <c r="BI248" s="295">
        <f>IFERROR(__xludf.DUMMYFUNCTION("""COMPUTED_VALUE"""),157.0)</f>
        <v>157</v>
      </c>
      <c r="BJ248" s="292"/>
      <c r="BK248" s="346">
        <f>IFERROR(__xludf.DUMMYFUNCTION("""COMPUTED_VALUE"""),2562.0)</f>
        <v>2562</v>
      </c>
      <c r="BL248" s="292"/>
      <c r="BM248" s="292"/>
      <c r="BN248" s="292"/>
      <c r="BO248" s="292"/>
      <c r="BP248" s="292"/>
      <c r="BQ248" s="292"/>
      <c r="BR248" s="292" t="b">
        <f>IFERROR(__xludf.DUMMYFUNCTION("""COMPUTED_VALUE"""),TRUE)</f>
        <v>1</v>
      </c>
      <c r="BS248" s="292" t="b">
        <f>IFERROR(__xludf.DUMMYFUNCTION("""COMPUTED_VALUE"""),FALSE)</f>
        <v>0</v>
      </c>
      <c r="BT248" s="292"/>
      <c r="BU248" s="292"/>
      <c r="BV248" s="292"/>
      <c r="BW248" s="292"/>
    </row>
    <row r="249">
      <c r="A249" s="292" t="str">
        <f>IFERROR(__xludf.DUMMYFUNCTION("""COMPUTED_VALUE"""),"FE4001D")</f>
        <v>FE4001D</v>
      </c>
      <c r="B249" s="292" t="str">
        <f>IFERROR(__xludf.DUMMYFUNCTION("""COMPUTED_VALUE"""),"CON-40-143660-4")</f>
        <v>CON-40-143660-4</v>
      </c>
      <c r="C249" s="292" t="str">
        <f>IFERROR(__xludf.DUMMYFUNCTION("""COMPUTED_VALUE"""),"CON-00-147866-2")</f>
        <v>CON-00-147866-2</v>
      </c>
      <c r="D249" s="292" t="str">
        <f>IFERROR(__xludf.DUMMYFUNCTION("""COMPUTED_VALUE"""),"CON-00-136659-3")</f>
        <v>CON-00-136659-3</v>
      </c>
      <c r="E249" s="292" t="str">
        <f>IFERROR(__xludf.DUMMYFUNCTION("""COMPUTED_VALUE"""),"Grilled chicken fillet and pesto")</f>
        <v>Grilled chicken fillet and pesto</v>
      </c>
      <c r="F249" s="292" t="str">
        <f>IFERROR(__xludf.DUMMYFUNCTION("""COMPUTED_VALUE"""),"with green beans, cherry tomatoes, and potato and leek puree")</f>
        <v>with green beans, cherry tomatoes, and potato and leek puree</v>
      </c>
      <c r="G249" s="292" t="str">
        <f>IFERROR(__xludf.DUMMYFUNCTION("""COMPUTED_VALUE"""),"Gegrilde kipfilet en pesto")</f>
        <v>Gegrilde kipfilet en pesto</v>
      </c>
      <c r="H249" s="292" t="str">
        <f>IFERROR(__xludf.DUMMYFUNCTION("""COMPUTED_VALUE"""),"met sperziebonen, cherrytomaatjes, en puree van aardappel en prei")</f>
        <v>met sperziebonen, cherrytomaatjes, en puree van aardappel en prei</v>
      </c>
      <c r="I249" s="292" t="str">
        <f>IFERROR(__xludf.DUMMYFUNCTION("""COMPUTED_VALUE"""),"Grillet kyllingefilet med pesto")</f>
        <v>Grillet kyllingefilet med pesto</v>
      </c>
      <c r="J249" s="292" t="str">
        <f>IFERROR(__xludf.DUMMYFUNCTION("""COMPUTED_VALUE"""),"Gegrilltes Hähnchenfilet mit Pesto")</f>
        <v>Gegrilltes Hähnchenfilet mit Pesto</v>
      </c>
      <c r="K249" s="292">
        <f>IFERROR(__xludf.DUMMYFUNCTION("""COMPUTED_VALUE"""),565055.0)</f>
        <v>565055</v>
      </c>
      <c r="L249" s="292" t="str">
        <f>IFERROR(__xludf.DUMMYFUNCTION("""COMPUTED_VALUE"""),"HF Gegrilde kipfilet met pesto")</f>
        <v>HF Gegrilde kipfilet met pesto</v>
      </c>
      <c r="M249" s="292" t="str">
        <f>IFERROR(__xludf.DUMMYFUNCTION("""COMPUTED_VALUE"""),"FA-NL Gegrilde kipfilet en pesto (FE4001)")</f>
        <v>FA-NL Gegrilde kipfilet en pesto (FE4001)</v>
      </c>
      <c r="N249" s="292" t="str">
        <f>IFERROR(__xludf.DUMMYFUNCTION("""COMPUTED_VALUE"""),"FA-NO Grillet kyllingefilet og pesto (FE4001)")</f>
        <v>FA-NO Grillet kyllingefilet og pesto (FE4001)</v>
      </c>
      <c r="O249" s="292" t="str">
        <f>IFERROR(__xludf.DUMMYFUNCTION("""COMPUTED_VALUE"""),"FA-DE Gegrilltes Hähnchenfilet mit Pesto (FE4001)")</f>
        <v>FA-DE Gegrilltes Hähnchenfilet mit Pesto (FE4001)</v>
      </c>
      <c r="P249" s="292" t="str">
        <f>IFERROR(__xludf.DUMMYFUNCTION("""COMPUTED_VALUE"""),"Graveyard")</f>
        <v>Graveyard</v>
      </c>
      <c r="Q249" s="292" t="str">
        <f>IFERROR(__xludf.DUMMYFUNCTION("""COMPUTED_VALUE"""),"Extra room for salt (Only 1.3g)")</f>
        <v>Extra room for salt (Only 1.3g)</v>
      </c>
      <c r="R249" s="342">
        <f>IFERROR(__xludf.DUMMYFUNCTION("""COMPUTED_VALUE"""),4.46)</f>
        <v>4.46</v>
      </c>
      <c r="S249" s="292"/>
      <c r="T249" s="292"/>
      <c r="U249" s="292"/>
      <c r="V249" s="292"/>
      <c r="W249" s="292" t="b">
        <f>IFERROR(__xludf.DUMMYFUNCTION("""COMPUTED_VALUE"""),TRUE)</f>
        <v>1</v>
      </c>
      <c r="X249" s="345">
        <f>IFERROR(__xludf.DUMMYFUNCTION("""COMPUTED_VALUE"""),409.0)</f>
        <v>409</v>
      </c>
      <c r="Y249" s="344">
        <f>IFERROR(__xludf.DUMMYFUNCTION("""COMPUTED_VALUE"""),461.0)</f>
        <v>461</v>
      </c>
      <c r="Z249" s="343">
        <f>IFERROR(__xludf.DUMMYFUNCTION("""COMPUTED_VALUE"""),26.6)</f>
        <v>26.6</v>
      </c>
      <c r="AA249" s="344">
        <f>IFERROR(__xludf.DUMMYFUNCTION("""COMPUTED_VALUE"""),7.0)</f>
        <v>7</v>
      </c>
      <c r="AB249" s="344">
        <f>IFERROR(__xludf.DUMMYFUNCTION("""COMPUTED_VALUE"""),21.8)</f>
        <v>21.8</v>
      </c>
      <c r="AC249" s="344">
        <f>IFERROR(__xludf.DUMMYFUNCTION("""COMPUTED_VALUE"""),6.2)</f>
        <v>6.2</v>
      </c>
      <c r="AD249" s="344">
        <f>IFERROR(__xludf.DUMMYFUNCTION("""COMPUTED_VALUE"""),7.5)</f>
        <v>7.5</v>
      </c>
      <c r="AE249" s="343">
        <f>IFERROR(__xludf.DUMMYFUNCTION("""COMPUTED_VALUE"""),30.4)</f>
        <v>30.4</v>
      </c>
      <c r="AF249" s="343">
        <f>IFERROR(__xludf.DUMMYFUNCTION("""COMPUTED_VALUE"""),1.3)</f>
        <v>1.3</v>
      </c>
      <c r="AG249" s="292" t="b">
        <f>IFERROR(__xludf.DUMMYFUNCTION("""COMPUTED_VALUE"""),FALSE)</f>
        <v>0</v>
      </c>
      <c r="AH249" s="292" t="b">
        <f>IFERROR(__xludf.DUMMYFUNCTION("""COMPUTED_VALUE"""),FALSE)</f>
        <v>0</v>
      </c>
      <c r="AI249" s="292" t="b">
        <f>IFERROR(__xludf.DUMMYFUNCTION("""COMPUTED_VALUE"""),TRUE)</f>
        <v>1</v>
      </c>
      <c r="AJ249" s="292" t="b">
        <f>IFERROR(__xludf.DUMMYFUNCTION("""COMPUTED_VALUE"""),FALSE)</f>
        <v>0</v>
      </c>
      <c r="AK249" s="292" t="b">
        <f>IFERROR(__xludf.DUMMYFUNCTION("""COMPUTED_VALUE"""),FALSE)</f>
        <v>0</v>
      </c>
      <c r="AL249" s="292" t="b">
        <f>IFERROR(__xludf.DUMMYFUNCTION("""COMPUTED_VALUE"""),FALSE)</f>
        <v>0</v>
      </c>
      <c r="AM249" s="292" t="b">
        <f>IFERROR(__xludf.DUMMYFUNCTION("""COMPUTED_VALUE"""),FALSE)</f>
        <v>0</v>
      </c>
      <c r="AN249" s="292" t="b">
        <f>IFERROR(__xludf.DUMMYFUNCTION("""COMPUTED_VALUE"""),FALSE)</f>
        <v>0</v>
      </c>
      <c r="AO249" s="292" t="str">
        <f>IFERROR(__xludf.DUMMYFUNCTION("""COMPUTED_VALUE"""),"FALSE")</f>
        <v>FALSE</v>
      </c>
      <c r="AP249" s="292" t="str">
        <f>IFERROR(__xludf.DUMMYFUNCTION("""COMPUTED_VALUE"""),"Chicken breast")</f>
        <v>Chicken breast</v>
      </c>
      <c r="AQ249" s="292" t="str">
        <f>IFERROR(__xludf.DUMMYFUNCTION("""COMPUTED_VALUE"""),"Chicken")</f>
        <v>Chicken</v>
      </c>
      <c r="AR249" s="292" t="str">
        <f>IFERROR(__xludf.DUMMYFUNCTION("""COMPUTED_VALUE"""),"Breast")</f>
        <v>Breast</v>
      </c>
      <c r="AS249" s="292" t="str">
        <f>IFERROR(__xludf.DUMMYFUNCTION("""COMPUTED_VALUE"""),"Potato Mash")</f>
        <v>Potato Mash</v>
      </c>
      <c r="AT249" s="292" t="str">
        <f>IFERROR(__xludf.DUMMYFUNCTION("""COMPUTED_VALUE"""),"Pesto")</f>
        <v>Pesto</v>
      </c>
      <c r="AU249" s="292" t="str">
        <f>IFERROR(__xludf.DUMMYFUNCTION("""COMPUTED_VALUE"""),"Green Beans")</f>
        <v>Green Beans</v>
      </c>
      <c r="AV249" s="292" t="str">
        <f>IFERROR(__xludf.DUMMYFUNCTION("""COMPUTED_VALUE"""),"Cherry Tomatoes")</f>
        <v>Cherry Tomatoes</v>
      </c>
      <c r="AW249" s="292" t="str">
        <f>IFERROR(__xludf.DUMMYFUNCTION("""COMPUTED_VALUE"""),"Year Round")</f>
        <v>Year Round</v>
      </c>
      <c r="AX249" s="292" t="str">
        <f>IFERROR(__xludf.DUMMYFUNCTION("""COMPUTED_VALUE"""),"Italian")</f>
        <v>Italian</v>
      </c>
      <c r="AY249" s="292"/>
      <c r="AZ249" s="292" t="str">
        <f>IFERROR(__xludf.DUMMYFUNCTION("""COMPUTED_VALUE"""),"2 CT")</f>
        <v>2 CT</v>
      </c>
      <c r="BA249" s="292" t="b">
        <f>IFERROR(__xludf.DUMMYFUNCTION("""COMPUTED_VALUE"""),FALSE)</f>
        <v>0</v>
      </c>
      <c r="BB249" s="342">
        <f>IFERROR(__xludf.DUMMYFUNCTION("""COMPUTED_VALUE"""),2.64)</f>
        <v>2.64</v>
      </c>
      <c r="BC249" s="342">
        <f>IFERROR(__xludf.DUMMYFUNCTION("""COMPUTED_VALUE"""),1.41)</f>
        <v>1.41</v>
      </c>
      <c r="BD249" s="342">
        <f>IFERROR(__xludf.DUMMYFUNCTION("""COMPUTED_VALUE"""),0.4)</f>
        <v>0.4</v>
      </c>
      <c r="BE249" s="342">
        <f>IFERROR(__xludf.DUMMYFUNCTION("""COMPUTED_VALUE"""),0.89)</f>
        <v>0.89</v>
      </c>
      <c r="BF249" s="296">
        <f>IFERROR(__xludf.DUMMYFUNCTION("""COMPUTED_VALUE"""),3.42)</f>
        <v>3.42</v>
      </c>
      <c r="BG249" s="296">
        <f>IFERROR(__xludf.DUMMYFUNCTION("""COMPUTED_VALUE"""),3.47)</f>
        <v>3.47</v>
      </c>
      <c r="BH249" s="296">
        <f>IFERROR(__xludf.DUMMYFUNCTION("""COMPUTED_VALUE"""),3.3266666666666667)</f>
        <v>3.326666667</v>
      </c>
      <c r="BI249" s="295">
        <f>IFERROR(__xludf.DUMMYFUNCTION("""COMPUTED_VALUE"""),159.0)</f>
        <v>159</v>
      </c>
      <c r="BJ249" s="292"/>
      <c r="BK249" s="346">
        <f>IFERROR(__xludf.DUMMYFUNCTION("""COMPUTED_VALUE"""),1922.0)</f>
        <v>1922</v>
      </c>
      <c r="BL249" s="292"/>
      <c r="BM249" s="292"/>
      <c r="BN249" s="292"/>
      <c r="BO249" s="292"/>
      <c r="BP249" s="292"/>
      <c r="BQ249" s="292"/>
      <c r="BR249" s="292" t="b">
        <f>IFERROR(__xludf.DUMMYFUNCTION("""COMPUTED_VALUE"""),FALSE)</f>
        <v>0</v>
      </c>
      <c r="BS249" s="292" t="b">
        <f>IFERROR(__xludf.DUMMYFUNCTION("""COMPUTED_VALUE"""),FALSE)</f>
        <v>0</v>
      </c>
      <c r="BT249" s="292"/>
      <c r="BU249" s="292"/>
      <c r="BV249" s="292"/>
      <c r="BW249" s="292"/>
    </row>
    <row r="250">
      <c r="A250" s="292" t="str">
        <f>IFERROR(__xludf.DUMMYFUNCTION("""COMPUTED_VALUE"""),"FE4082A")</f>
        <v>FE4082A</v>
      </c>
      <c r="B250" s="292" t="str">
        <f>IFERROR(__xludf.DUMMYFUNCTION("""COMPUTED_VALUE"""),"")</f>
        <v/>
      </c>
      <c r="C250" s="292"/>
      <c r="D250" s="292"/>
      <c r="E250" s="292" t="str">
        <f>IFERROR(__xludf.DUMMYFUNCTION("""COMPUTED_VALUE"""),"Broccoli Cheddar Grilled Chicken")</f>
        <v>Broccoli Cheddar Grilled Chicken</v>
      </c>
      <c r="F250" s="292" t="str">
        <f>IFERROR(__xludf.DUMMYFUNCTION("""COMPUTED_VALUE"""),"with Potato Wedges")</f>
        <v>with Potato Wedges</v>
      </c>
      <c r="G250" s="292" t="str">
        <f>IFERROR(__xludf.DUMMYFUNCTION("""COMPUTED_VALUE"""),"Gegrilde kip met broccoli en cheddar")</f>
        <v>Gegrilde kip met broccoli en cheddar</v>
      </c>
      <c r="H250" s="292" t="str">
        <f>IFERROR(__xludf.DUMMYFUNCTION("""COMPUTED_VALUE"""),"met aardappelwedges")</f>
        <v>met aardappelwedges</v>
      </c>
      <c r="I250" s="292" t="str">
        <f>IFERROR(__xludf.DUMMYFUNCTION("""COMPUTED_VALUE"""),"Grillet kylling med broccoli og cheddar")</f>
        <v>Grillet kylling med broccoli og cheddar</v>
      </c>
      <c r="J250" s="292" t="str">
        <f>IFERROR(__xludf.DUMMYFUNCTION("""COMPUTED_VALUE"""),"Gegrilltes Hähnchen mit Brokkoli und Cheddar")</f>
        <v>Gegrilltes Hähnchen mit Brokkoli und Cheddar</v>
      </c>
      <c r="K250" s="292">
        <f>IFERROR(__xludf.DUMMYFUNCTION("""COMPUTED_VALUE"""),565272.0)</f>
        <v>565272</v>
      </c>
      <c r="L250" s="292" t="str">
        <f>IFERROR(__xludf.DUMMYFUNCTION("""COMPUTED_VALUE"""),"HF Broccoli Cheddar Chicken")</f>
        <v>HF Broccoli Cheddar Chicken</v>
      </c>
      <c r="M250" s="292" t="str">
        <f>IFERROR(__xludf.DUMMYFUNCTION("""COMPUTED_VALUE"""),"#N/A")</f>
        <v>#N/A</v>
      </c>
      <c r="N250" s="292" t="str">
        <f>IFERROR(__xludf.DUMMYFUNCTION("""COMPUTED_VALUE"""),"#N/A")</f>
        <v>#N/A</v>
      </c>
      <c r="O250" s="292" t="str">
        <f>IFERROR(__xludf.DUMMYFUNCTION("""COMPUTED_VALUE"""),"#N/A")</f>
        <v>#N/A</v>
      </c>
      <c r="P250" s="292" t="str">
        <f>IFERROR(__xludf.DUMMYFUNCTION("""COMPUTED_VALUE"""),"Active")</f>
        <v>Active</v>
      </c>
      <c r="Q250" s="292"/>
      <c r="R250" s="342">
        <f>IFERROR(__xludf.DUMMYFUNCTION("""COMPUTED_VALUE"""),4.48)</f>
        <v>4.48</v>
      </c>
      <c r="S250" s="292"/>
      <c r="T250" s="292"/>
      <c r="U250" s="292"/>
      <c r="V250" s="292"/>
      <c r="W250" s="292" t="b">
        <f>IFERROR(__xludf.DUMMYFUNCTION("""COMPUTED_VALUE"""),TRUE)</f>
        <v>1</v>
      </c>
      <c r="X250" s="345">
        <f>IFERROR(__xludf.DUMMYFUNCTION("""COMPUTED_VALUE"""),404.0)</f>
        <v>404</v>
      </c>
      <c r="Y250" s="344">
        <f>IFERROR(__xludf.DUMMYFUNCTION("""COMPUTED_VALUE"""),561.0)</f>
        <v>561</v>
      </c>
      <c r="Z250" s="343">
        <f>IFERROR(__xludf.DUMMYFUNCTION("""COMPUTED_VALUE"""),29.8)</f>
        <v>29.8</v>
      </c>
      <c r="AA250" s="344">
        <f>IFERROR(__xludf.DUMMYFUNCTION("""COMPUTED_VALUE"""),14.6)</f>
        <v>14.6</v>
      </c>
      <c r="AB250" s="344">
        <f>IFERROR(__xludf.DUMMYFUNCTION("""COMPUTED_VALUE"""),31.9)</f>
        <v>31.9</v>
      </c>
      <c r="AC250" s="344">
        <f>IFERROR(__xludf.DUMMYFUNCTION("""COMPUTED_VALUE"""),3.7)</f>
        <v>3.7</v>
      </c>
      <c r="AD250" s="344">
        <f>IFERROR(__xludf.DUMMYFUNCTION("""COMPUTED_VALUE"""),7.9)</f>
        <v>7.9</v>
      </c>
      <c r="AE250" s="343">
        <f>IFERROR(__xludf.DUMMYFUNCTION("""COMPUTED_VALUE"""),37.7)</f>
        <v>37.7</v>
      </c>
      <c r="AF250" s="343">
        <f>IFERROR(__xludf.DUMMYFUNCTION("""COMPUTED_VALUE"""),2.15)</f>
        <v>2.15</v>
      </c>
      <c r="AG250" s="292" t="b">
        <f>IFERROR(__xludf.DUMMYFUNCTION("""COMPUTED_VALUE"""),FALSE)</f>
        <v>0</v>
      </c>
      <c r="AH250" s="292" t="b">
        <f>IFERROR(__xludf.DUMMYFUNCTION("""COMPUTED_VALUE"""),FALSE)</f>
        <v>0</v>
      </c>
      <c r="AI250" s="292" t="b">
        <f>IFERROR(__xludf.DUMMYFUNCTION("""COMPUTED_VALUE"""),FALSE)</f>
        <v>0</v>
      </c>
      <c r="AJ250" s="292" t="b">
        <f>IFERROR(__xludf.DUMMYFUNCTION("""COMPUTED_VALUE"""),FALSE)</f>
        <v>0</v>
      </c>
      <c r="AK250" s="292" t="b">
        <f>IFERROR(__xludf.DUMMYFUNCTION("""COMPUTED_VALUE"""),FALSE)</f>
        <v>0</v>
      </c>
      <c r="AL250" s="292" t="b">
        <f>IFERROR(__xludf.DUMMYFUNCTION("""COMPUTED_VALUE"""),FALSE)</f>
        <v>0</v>
      </c>
      <c r="AM250" s="292" t="b">
        <f>IFERROR(__xludf.DUMMYFUNCTION("""COMPUTED_VALUE"""),TRUE)</f>
        <v>1</v>
      </c>
      <c r="AN250" s="292" t="b">
        <f>IFERROR(__xludf.DUMMYFUNCTION("""COMPUTED_VALUE"""),FALSE)</f>
        <v>0</v>
      </c>
      <c r="AO250" s="292" t="str">
        <f>IFERROR(__xludf.DUMMYFUNCTION("""COMPUTED_VALUE"""),"FALSE")</f>
        <v>FALSE</v>
      </c>
      <c r="AP250" s="292" t="str">
        <f>IFERROR(__xludf.DUMMYFUNCTION("""COMPUTED_VALUE"""),"Chicken breast")</f>
        <v>Chicken breast</v>
      </c>
      <c r="AQ250" s="292" t="str">
        <f>IFERROR(__xludf.DUMMYFUNCTION("""COMPUTED_VALUE"""),"Chicken")</f>
        <v>Chicken</v>
      </c>
      <c r="AR250" s="292" t="str">
        <f>IFERROR(__xludf.DUMMYFUNCTION("""COMPUTED_VALUE"""),"Breast")</f>
        <v>Breast</v>
      </c>
      <c r="AS250" s="292" t="str">
        <f>IFERROR(__xludf.DUMMYFUNCTION("""COMPUTED_VALUE"""),"Broccoli")</f>
        <v>Broccoli</v>
      </c>
      <c r="AT250" s="292" t="str">
        <f>IFERROR(__xludf.DUMMYFUNCTION("""COMPUTED_VALUE"""),"Potato Non-Mash")</f>
        <v>Potato Non-Mash</v>
      </c>
      <c r="AU250" s="292" t="str">
        <f>IFERROR(__xludf.DUMMYFUNCTION("""COMPUTED_VALUE"""),"Cheese")</f>
        <v>Cheese</v>
      </c>
      <c r="AV250" s="292" t="str">
        <f>IFERROR(__xludf.DUMMYFUNCTION("""COMPUTED_VALUE"""),"Creamy Sauce Base")</f>
        <v>Creamy Sauce Base</v>
      </c>
      <c r="AW250" s="292" t="str">
        <f>IFERROR(__xludf.DUMMYFUNCTION("""COMPUTED_VALUE"""),"Year Round")</f>
        <v>Year Round</v>
      </c>
      <c r="AX250" s="292" t="str">
        <f>IFERROR(__xludf.DUMMYFUNCTION("""COMPUTED_VALUE"""),"American")</f>
        <v>American</v>
      </c>
      <c r="AY250" s="292"/>
      <c r="AZ250" s="292" t="str">
        <f>IFERROR(__xludf.DUMMYFUNCTION("""COMPUTED_VALUE"""),"2 CT")</f>
        <v>2 CT</v>
      </c>
      <c r="BA250" s="292" t="b">
        <f>IFERROR(__xludf.DUMMYFUNCTION("""COMPUTED_VALUE"""),FALSE)</f>
        <v>0</v>
      </c>
      <c r="BB250" s="342">
        <f>IFERROR(__xludf.DUMMYFUNCTION("""COMPUTED_VALUE"""),2.82)</f>
        <v>2.82</v>
      </c>
      <c r="BC250" s="342">
        <f>IFERROR(__xludf.DUMMYFUNCTION("""COMPUTED_VALUE"""),1.26)</f>
        <v>1.26</v>
      </c>
      <c r="BD250" s="342">
        <f>IFERROR(__xludf.DUMMYFUNCTION("""COMPUTED_VALUE"""),0.4)</f>
        <v>0.4</v>
      </c>
      <c r="BE250" s="342">
        <f>IFERROR(__xludf.DUMMYFUNCTION("""COMPUTED_VALUE"""),0.89)</f>
        <v>0.89</v>
      </c>
      <c r="BF250" s="296" t="str">
        <f>IFERROR(__xludf.DUMMYFUNCTION("""COMPUTED_VALUE"""),"#REF!")</f>
        <v>#REF!</v>
      </c>
      <c r="BG250" s="296" t="str">
        <f>IFERROR(__xludf.DUMMYFUNCTION("""COMPUTED_VALUE"""),"#REF!")</f>
        <v>#REF!</v>
      </c>
      <c r="BH250" s="296" t="str">
        <f>IFERROR(__xludf.DUMMYFUNCTION("""COMPUTED_VALUE"""),"#REF!")</f>
        <v>#REF!</v>
      </c>
      <c r="BI250" s="295">
        <f>IFERROR(__xludf.DUMMYFUNCTION("""COMPUTED_VALUE"""),98.0)</f>
        <v>98</v>
      </c>
      <c r="BJ250" s="292"/>
      <c r="BK250" s="346">
        <f>IFERROR(__xludf.DUMMYFUNCTION("""COMPUTED_VALUE"""),2348.0)</f>
        <v>2348</v>
      </c>
      <c r="BL250" s="292"/>
      <c r="BM250" s="292"/>
      <c r="BN250" s="292"/>
      <c r="BO250" s="292"/>
      <c r="BP250" s="292"/>
      <c r="BQ250" s="292"/>
      <c r="BR250" s="292" t="b">
        <f>IFERROR(__xludf.DUMMYFUNCTION("""COMPUTED_VALUE"""),FALSE)</f>
        <v>0</v>
      </c>
      <c r="BS250" s="292" t="b">
        <f>IFERROR(__xludf.DUMMYFUNCTION("""COMPUTED_VALUE"""),FALSE)</f>
        <v>0</v>
      </c>
      <c r="BT250" s="292"/>
      <c r="BU250" s="292"/>
      <c r="BV250" s="292"/>
      <c r="BW250" s="292"/>
    </row>
    <row r="251">
      <c r="A251" s="292" t="str">
        <f>IFERROR(__xludf.DUMMYFUNCTION("""COMPUTED_VALUE"""),"FE4077A")</f>
        <v>FE4077A</v>
      </c>
      <c r="B251" s="292" t="str">
        <f>IFERROR(__xludf.DUMMYFUNCTION("""COMPUTED_VALUE"""),"CON-40-155237-4")</f>
        <v>CON-40-155237-4</v>
      </c>
      <c r="C251" s="292" t="str">
        <f>IFERROR(__xludf.DUMMYFUNCTION("""COMPUTED_VALUE"""),"CON-00-155260-2")</f>
        <v>CON-00-155260-2</v>
      </c>
      <c r="D251" s="292" t="str">
        <f>IFERROR(__xludf.DUMMYFUNCTION("""COMPUTED_VALUE"""),"CON-00-155224-2")</f>
        <v>CON-00-155224-2</v>
      </c>
      <c r="E251" s="292" t="str">
        <f>IFERROR(__xludf.DUMMYFUNCTION("""COMPUTED_VALUE"""),"Honey Mustard Salmon")</f>
        <v>Honey Mustard Salmon</v>
      </c>
      <c r="F251" s="292" t="str">
        <f>IFERROR(__xludf.DUMMYFUNCTION("""COMPUTED_VALUE"""),"with Roasted Red Potatoes &amp; Golden Beets")</f>
        <v>with Roasted Red Potatoes &amp; Golden Beets</v>
      </c>
      <c r="G251" s="292" t="str">
        <f>IFERROR(__xludf.DUMMYFUNCTION("""COMPUTED_VALUE"""),"Zalm in honing-mosterdsaus")</f>
        <v>Zalm in honing-mosterdsaus</v>
      </c>
      <c r="H251" s="292" t="str">
        <f>IFERROR(__xludf.DUMMYFUNCTION("""COMPUTED_VALUE"""),"met geroosterde aardappeltjes en gele bieten")</f>
        <v>met geroosterde aardappeltjes en gele bieten</v>
      </c>
      <c r="I251" s="292" t="str">
        <f>IFERROR(__xludf.DUMMYFUNCTION("""COMPUTED_VALUE"""),"Laks med honning og sennep")</f>
        <v>Laks med honning og sennep</v>
      </c>
      <c r="J251" s="292" t="str">
        <f>IFERROR(__xludf.DUMMYFUNCTION("""COMPUTED_VALUE"""),"Honig-Senf-Lachs")</f>
        <v>Honig-Senf-Lachs</v>
      </c>
      <c r="K251" s="292">
        <f>IFERROR(__xludf.DUMMYFUNCTION("""COMPUTED_VALUE"""),565253.0)</f>
        <v>565253</v>
      </c>
      <c r="L251" s="292" t="str">
        <f>IFERROR(__xludf.DUMMYFUNCTION("""COMPUTED_VALUE"""),"HF Honing mosterd zalm")</f>
        <v>HF Honing mosterd zalm</v>
      </c>
      <c r="M251" s="292" t="str">
        <f>IFERROR(__xludf.DUMMYFUNCTION("""COMPUTED_VALUE"""),"FA-NL Zalm in honing-mosterdsaus (FE4077)")</f>
        <v>FA-NL Zalm in honing-mosterdsaus (FE4077)</v>
      </c>
      <c r="N251" s="292" t="str">
        <f>IFERROR(__xludf.DUMMYFUNCTION("""COMPUTED_VALUE"""),"FA-NO Laks med honning og sennep (FE4077)")</f>
        <v>FA-NO Laks med honning og sennep (FE4077)</v>
      </c>
      <c r="O251" s="292" t="str">
        <f>IFERROR(__xludf.DUMMYFUNCTION("""COMPUTED_VALUE"""),"FA-DE Honig-Senf-Lachs (FE4077)")</f>
        <v>FA-DE Honig-Senf-Lachs (FE4077)</v>
      </c>
      <c r="P251" s="292" t="str">
        <f>IFERROR(__xludf.DUMMYFUNCTION("""COMPUTED_VALUE"""),"Active")</f>
        <v>Active</v>
      </c>
      <c r="Q251" s="292"/>
      <c r="R251" s="342">
        <f>IFERROR(__xludf.DUMMYFUNCTION("""COMPUTED_VALUE"""),6.61)</f>
        <v>6.61</v>
      </c>
      <c r="S251" s="292"/>
      <c r="T251" s="292"/>
      <c r="U251" s="292"/>
      <c r="V251" s="292"/>
      <c r="W251" s="292" t="b">
        <f>IFERROR(__xludf.DUMMYFUNCTION("""COMPUTED_VALUE"""),TRUE)</f>
        <v>1</v>
      </c>
      <c r="X251" s="345">
        <f>IFERROR(__xludf.DUMMYFUNCTION("""COMPUTED_VALUE"""),374.0)</f>
        <v>374</v>
      </c>
      <c r="Y251" s="344">
        <f>IFERROR(__xludf.DUMMYFUNCTION("""COMPUTED_VALUE"""),492.0)</f>
        <v>492</v>
      </c>
      <c r="Z251" s="343">
        <f>IFERROR(__xludf.DUMMYFUNCTION("""COMPUTED_VALUE"""),24.3)</f>
        <v>24.3</v>
      </c>
      <c r="AA251" s="344">
        <f>IFERROR(__xludf.DUMMYFUNCTION("""COMPUTED_VALUE"""),5.4)</f>
        <v>5.4</v>
      </c>
      <c r="AB251" s="344">
        <f>IFERROR(__xludf.DUMMYFUNCTION("""COMPUTED_VALUE"""),28.9)</f>
        <v>28.9</v>
      </c>
      <c r="AC251" s="344">
        <f>IFERROR(__xludf.DUMMYFUNCTION("""COMPUTED_VALUE"""),12.4)</f>
        <v>12.4</v>
      </c>
      <c r="AD251" s="344">
        <f>IFERROR(__xludf.DUMMYFUNCTION("""COMPUTED_VALUE"""),7.9)</f>
        <v>7.9</v>
      </c>
      <c r="AE251" s="343">
        <f>IFERROR(__xludf.DUMMYFUNCTION("""COMPUTED_VALUE"""),35.4)</f>
        <v>35.4</v>
      </c>
      <c r="AF251" s="343">
        <f>IFERROR(__xludf.DUMMYFUNCTION("""COMPUTED_VALUE"""),1.86)</f>
        <v>1.86</v>
      </c>
      <c r="AG251" s="292" t="b">
        <f>IFERROR(__xludf.DUMMYFUNCTION("""COMPUTED_VALUE"""),FALSE)</f>
        <v>0</v>
      </c>
      <c r="AH251" s="292" t="b">
        <f>IFERROR(__xludf.DUMMYFUNCTION("""COMPUTED_VALUE"""),FALSE)</f>
        <v>0</v>
      </c>
      <c r="AI251" s="292" t="b">
        <f>IFERROR(__xludf.DUMMYFUNCTION("""COMPUTED_VALUE"""),TRUE)</f>
        <v>1</v>
      </c>
      <c r="AJ251" s="292" t="b">
        <f>IFERROR(__xludf.DUMMYFUNCTION("""COMPUTED_VALUE"""),FALSE)</f>
        <v>0</v>
      </c>
      <c r="AK251" s="292" t="b">
        <f>IFERROR(__xludf.DUMMYFUNCTION("""COMPUTED_VALUE"""),FALSE)</f>
        <v>0</v>
      </c>
      <c r="AL251" s="292" t="b">
        <f>IFERROR(__xludf.DUMMYFUNCTION("""COMPUTED_VALUE"""),FALSE)</f>
        <v>0</v>
      </c>
      <c r="AM251" s="292" t="b">
        <f>IFERROR(__xludf.DUMMYFUNCTION("""COMPUTED_VALUE"""),TRUE)</f>
        <v>1</v>
      </c>
      <c r="AN251" s="292" t="b">
        <f>IFERROR(__xludf.DUMMYFUNCTION("""COMPUTED_VALUE"""),FALSE)</f>
        <v>0</v>
      </c>
      <c r="AO251" s="292" t="str">
        <f>IFERROR(__xludf.DUMMYFUNCTION("""COMPUTED_VALUE"""),"FALSE")</f>
        <v>FALSE</v>
      </c>
      <c r="AP251" s="292" t="str">
        <f>IFERROR(__xludf.DUMMYFUNCTION("""COMPUTED_VALUE"""),"Salmon")</f>
        <v>Salmon</v>
      </c>
      <c r="AQ251" s="292" t="str">
        <f>IFERROR(__xludf.DUMMYFUNCTION("""COMPUTED_VALUE"""),"Salmon")</f>
        <v>Salmon</v>
      </c>
      <c r="AR251" s="292" t="str">
        <f>IFERROR(__xludf.DUMMYFUNCTION("""COMPUTED_VALUE"""),"Filet")</f>
        <v>Filet</v>
      </c>
      <c r="AS251" s="292" t="str">
        <f>IFERROR(__xludf.DUMMYFUNCTION("""COMPUTED_VALUE"""),"Green Beans")</f>
        <v>Green Beans</v>
      </c>
      <c r="AT251" s="292" t="str">
        <f>IFERROR(__xludf.DUMMYFUNCTION("""COMPUTED_VALUE"""),"Beets")</f>
        <v>Beets</v>
      </c>
      <c r="AU251" s="292" t="str">
        <f>IFERROR(__xludf.DUMMYFUNCTION("""COMPUTED_VALUE"""),"Potato Non-Mash")</f>
        <v>Potato Non-Mash</v>
      </c>
      <c r="AV251" s="292" t="str">
        <f>IFERROR(__xludf.DUMMYFUNCTION("""COMPUTED_VALUE"""),"Cupped Sauce")</f>
        <v>Cupped Sauce</v>
      </c>
      <c r="AW251" s="292" t="str">
        <f>IFERROR(__xludf.DUMMYFUNCTION("""COMPUTED_VALUE"""),"Year Round")</f>
        <v>Year Round</v>
      </c>
      <c r="AX251" s="292" t="str">
        <f>IFERROR(__xludf.DUMMYFUNCTION("""COMPUTED_VALUE"""),"American")</f>
        <v>American</v>
      </c>
      <c r="AY251" s="292"/>
      <c r="AZ251" s="292" t="str">
        <f>IFERROR(__xludf.DUMMYFUNCTION("""COMPUTED_VALUE"""),"2 CT")</f>
        <v>2 CT</v>
      </c>
      <c r="BA251" s="292" t="b">
        <f>IFERROR(__xludf.DUMMYFUNCTION("""COMPUTED_VALUE"""),TRUE)</f>
        <v>1</v>
      </c>
      <c r="BB251" s="342">
        <f>IFERROR(__xludf.DUMMYFUNCTION("""COMPUTED_VALUE"""),4.78)</f>
        <v>4.78</v>
      </c>
      <c r="BC251" s="342">
        <f>IFERROR(__xludf.DUMMYFUNCTION("""COMPUTED_VALUE"""),1.37)</f>
        <v>1.37</v>
      </c>
      <c r="BD251" s="342">
        <f>IFERROR(__xludf.DUMMYFUNCTION("""COMPUTED_VALUE"""),0.46)</f>
        <v>0.46</v>
      </c>
      <c r="BE251" s="342">
        <f>IFERROR(__xludf.DUMMYFUNCTION("""COMPUTED_VALUE"""),0.89)</f>
        <v>0.89</v>
      </c>
      <c r="BF251" s="296">
        <f>IFERROR(__xludf.DUMMYFUNCTION("""COMPUTED_VALUE"""),3.07)</f>
        <v>3.07</v>
      </c>
      <c r="BG251" s="296">
        <f>IFERROR(__xludf.DUMMYFUNCTION("""COMPUTED_VALUE"""),3.04)</f>
        <v>3.04</v>
      </c>
      <c r="BH251" s="296">
        <f>IFERROR(__xludf.DUMMYFUNCTION("""COMPUTED_VALUE"""),2.98)</f>
        <v>2.98</v>
      </c>
      <c r="BI251" s="295">
        <f>IFERROR(__xludf.DUMMYFUNCTION("""COMPUTED_VALUE"""),136.0)</f>
        <v>136</v>
      </c>
      <c r="BJ251" s="292"/>
      <c r="BK251" s="346">
        <f>IFERROR(__xludf.DUMMYFUNCTION("""COMPUTED_VALUE"""),2058.0)</f>
        <v>2058</v>
      </c>
      <c r="BL251" s="292"/>
      <c r="BM251" s="292"/>
      <c r="BN251" s="292"/>
      <c r="BO251" s="292"/>
      <c r="BP251" s="292"/>
      <c r="BQ251" s="292" t="str">
        <f>IFERROR(__xludf.DUMMYFUNCTION("""COMPUTED_VALUE"""),"New")</f>
        <v>New</v>
      </c>
      <c r="BR251" s="292" t="b">
        <f>IFERROR(__xludf.DUMMYFUNCTION("""COMPUTED_VALUE"""),FALSE)</f>
        <v>0</v>
      </c>
      <c r="BS251" s="292" t="b">
        <f>IFERROR(__xludf.DUMMYFUNCTION("""COMPUTED_VALUE"""),FALSE)</f>
        <v>0</v>
      </c>
      <c r="BT251" s="292"/>
      <c r="BU251" s="292"/>
      <c r="BV251" s="292"/>
      <c r="BW251" s="292"/>
    </row>
    <row r="252">
      <c r="A252" s="292" t="str">
        <f>IFERROR(__xludf.DUMMYFUNCTION("""COMPUTED_VALUE"""),"FE4083A")</f>
        <v>FE4083A</v>
      </c>
      <c r="B252" s="292" t="str">
        <f>IFERROR(__xludf.DUMMYFUNCTION("""COMPUTED_VALUE"""),"")</f>
        <v/>
      </c>
      <c r="C252" s="292"/>
      <c r="D252" s="292"/>
      <c r="E252" s="292" t="str">
        <f>IFERROR(__xludf.DUMMYFUNCTION("""COMPUTED_VALUE"""),"Apricot Mustard Grilled Chicken")</f>
        <v>Apricot Mustard Grilled Chicken</v>
      </c>
      <c r="F252" s="292" t="str">
        <f>IFERROR(__xludf.DUMMYFUNCTION("""COMPUTED_VALUE"""),"with Mashed Potatoes &amp; Broccoli")</f>
        <v>with Mashed Potatoes &amp; Broccoli</v>
      </c>
      <c r="G252" s="292" t="str">
        <f>IFERROR(__xludf.DUMMYFUNCTION("""COMPUTED_VALUE"""),"Gegrilde kip met abrikoos-mosterdsaus")</f>
        <v>Gegrilde kip met abrikoos-mosterdsaus</v>
      </c>
      <c r="H252" s="292" t="str">
        <f>IFERROR(__xludf.DUMMYFUNCTION("""COMPUTED_VALUE"""),"met aardappelpuree en broccoli")</f>
        <v>met aardappelpuree en broccoli</v>
      </c>
      <c r="I252" s="292" t="str">
        <f>IFERROR(__xludf.DUMMYFUNCTION("""COMPUTED_VALUE"""),"Kylling med abrikos- og sennepssauce")</f>
        <v>Kylling med abrikos- og sennepssauce</v>
      </c>
      <c r="J252" s="292" t="str">
        <f>IFERROR(__xludf.DUMMYFUNCTION("""COMPUTED_VALUE"""),"Gegrilltes Hähnchen mit Aprikosen-Senf-Glasur")</f>
        <v>Gegrilltes Hähnchen mit Aprikosen-Senf-Glasur</v>
      </c>
      <c r="K252" s="292">
        <f>IFERROR(__xludf.DUMMYFUNCTION("""COMPUTED_VALUE"""),565276.0)</f>
        <v>565276</v>
      </c>
      <c r="L252" s="292" t="str">
        <f>IFERROR(__xludf.DUMMYFUNCTION("""COMPUTED_VALUE"""),"HF Abrikoos mosterd kipfilet")</f>
        <v>HF Abrikoos mosterd kipfilet</v>
      </c>
      <c r="M252" s="292" t="str">
        <f>IFERROR(__xludf.DUMMYFUNCTION("""COMPUTED_VALUE"""),"#N/A")</f>
        <v>#N/A</v>
      </c>
      <c r="N252" s="292" t="str">
        <f>IFERROR(__xludf.DUMMYFUNCTION("""COMPUTED_VALUE"""),"#N/A")</f>
        <v>#N/A</v>
      </c>
      <c r="O252" s="292" t="str">
        <f>IFERROR(__xludf.DUMMYFUNCTION("""COMPUTED_VALUE"""),"#N/A")</f>
        <v>#N/A</v>
      </c>
      <c r="P252" s="292" t="str">
        <f>IFERROR(__xludf.DUMMYFUNCTION("""COMPUTED_VALUE"""),"Active")</f>
        <v>Active</v>
      </c>
      <c r="Q252" s="292"/>
      <c r="R252" s="292"/>
      <c r="S252" s="292"/>
      <c r="T252" s="292"/>
      <c r="U252" s="292"/>
      <c r="V252" s="292"/>
      <c r="W252" s="292" t="b">
        <f>IFERROR(__xludf.DUMMYFUNCTION("""COMPUTED_VALUE"""),TRUE)</f>
        <v>1</v>
      </c>
      <c r="X252" s="345">
        <f>IFERROR(__xludf.DUMMYFUNCTION("""COMPUTED_VALUE"""),379.0)</f>
        <v>379</v>
      </c>
      <c r="Y252" s="344">
        <f>IFERROR(__xludf.DUMMYFUNCTION("""COMPUTED_VALUE"""),512.0)</f>
        <v>512</v>
      </c>
      <c r="Z252" s="343">
        <f>IFERROR(__xludf.DUMMYFUNCTION("""COMPUTED_VALUE"""),27.0)</f>
        <v>27</v>
      </c>
      <c r="AA252" s="344">
        <f>IFERROR(__xludf.DUMMYFUNCTION("""COMPUTED_VALUE"""),11.8)</f>
        <v>11.8</v>
      </c>
      <c r="AB252" s="344">
        <f>IFERROR(__xludf.DUMMYFUNCTION("""COMPUTED_VALUE"""),33.4)</f>
        <v>33.4</v>
      </c>
      <c r="AC252" s="344">
        <f>IFERROR(__xludf.DUMMYFUNCTION("""COMPUTED_VALUE"""),13.7)</f>
        <v>13.7</v>
      </c>
      <c r="AD252" s="344">
        <f>IFERROR(__xludf.DUMMYFUNCTION("""COMPUTED_VALUE"""),6.7)</f>
        <v>6.7</v>
      </c>
      <c r="AE252" s="343">
        <f>IFERROR(__xludf.DUMMYFUNCTION("""COMPUTED_VALUE"""),30.8)</f>
        <v>30.8</v>
      </c>
      <c r="AF252" s="343">
        <f>IFERROR(__xludf.DUMMYFUNCTION("""COMPUTED_VALUE"""),2.24)</f>
        <v>2.24</v>
      </c>
      <c r="AG252" s="292" t="b">
        <f>IFERROR(__xludf.DUMMYFUNCTION("""COMPUTED_VALUE"""),FALSE)</f>
        <v>0</v>
      </c>
      <c r="AH252" s="292" t="b">
        <f>IFERROR(__xludf.DUMMYFUNCTION("""COMPUTED_VALUE"""),FALSE)</f>
        <v>0</v>
      </c>
      <c r="AI252" s="292" t="b">
        <f>IFERROR(__xludf.DUMMYFUNCTION("""COMPUTED_VALUE"""),TRUE)</f>
        <v>1</v>
      </c>
      <c r="AJ252" s="292" t="b">
        <f>IFERROR(__xludf.DUMMYFUNCTION("""COMPUTED_VALUE"""),FALSE)</f>
        <v>0</v>
      </c>
      <c r="AK252" s="292" t="b">
        <f>IFERROR(__xludf.DUMMYFUNCTION("""COMPUTED_VALUE"""),FALSE)</f>
        <v>0</v>
      </c>
      <c r="AL252" s="292" t="b">
        <f>IFERROR(__xludf.DUMMYFUNCTION("""COMPUTED_VALUE"""),FALSE)</f>
        <v>0</v>
      </c>
      <c r="AM252" s="292" t="b">
        <f>IFERROR(__xludf.DUMMYFUNCTION("""COMPUTED_VALUE"""),TRUE)</f>
        <v>1</v>
      </c>
      <c r="AN252" s="292" t="b">
        <f>IFERROR(__xludf.DUMMYFUNCTION("""COMPUTED_VALUE"""),FALSE)</f>
        <v>0</v>
      </c>
      <c r="AO252" s="292" t="str">
        <f>IFERROR(__xludf.DUMMYFUNCTION("""COMPUTED_VALUE"""),"FALSE")</f>
        <v>FALSE</v>
      </c>
      <c r="AP252" s="292" t="str">
        <f>IFERROR(__xludf.DUMMYFUNCTION("""COMPUTED_VALUE"""),"Chicken breast")</f>
        <v>Chicken breast</v>
      </c>
      <c r="AQ252" s="292" t="str">
        <f>IFERROR(__xludf.DUMMYFUNCTION("""COMPUTED_VALUE"""),"Chicken")</f>
        <v>Chicken</v>
      </c>
      <c r="AR252" s="292" t="str">
        <f>IFERROR(__xludf.DUMMYFUNCTION("""COMPUTED_VALUE"""),"Breast")</f>
        <v>Breast</v>
      </c>
      <c r="AS252" s="292" t="str">
        <f>IFERROR(__xludf.DUMMYFUNCTION("""COMPUTED_VALUE"""),"Potato Mash")</f>
        <v>Potato Mash</v>
      </c>
      <c r="AT252" s="292" t="str">
        <f>IFERROR(__xludf.DUMMYFUNCTION("""COMPUTED_VALUE"""),"Broccoli")</f>
        <v>Broccoli</v>
      </c>
      <c r="AU252" s="292" t="str">
        <f>IFERROR(__xludf.DUMMYFUNCTION("""COMPUTED_VALUE"""),"Other sauce")</f>
        <v>Other sauce</v>
      </c>
      <c r="AV252" s="292" t="str">
        <f>IFERROR(__xludf.DUMMYFUNCTION("""COMPUTED_VALUE"""),"Creamy Sauce Base")</f>
        <v>Creamy Sauce Base</v>
      </c>
      <c r="AW252" s="292" t="str">
        <f>IFERROR(__xludf.DUMMYFUNCTION("""COMPUTED_VALUE"""),"Year Round")</f>
        <v>Year Round</v>
      </c>
      <c r="AX252" s="292" t="str">
        <f>IFERROR(__xludf.DUMMYFUNCTION("""COMPUTED_VALUE"""),"American")</f>
        <v>American</v>
      </c>
      <c r="AY252" s="292"/>
      <c r="AZ252" s="292" t="str">
        <f>IFERROR(__xludf.DUMMYFUNCTION("""COMPUTED_VALUE"""),"2 CT")</f>
        <v>2 CT</v>
      </c>
      <c r="BA252" s="292" t="b">
        <f>IFERROR(__xludf.DUMMYFUNCTION("""COMPUTED_VALUE"""),FALSE)</f>
        <v>0</v>
      </c>
      <c r="BB252" s="292"/>
      <c r="BC252" s="292"/>
      <c r="BD252" s="292"/>
      <c r="BE252" s="292"/>
      <c r="BF252" s="296" t="str">
        <f>IFERROR(__xludf.DUMMYFUNCTION("""COMPUTED_VALUE"""),"#REF!")</f>
        <v>#REF!</v>
      </c>
      <c r="BG252" s="296" t="str">
        <f>IFERROR(__xludf.DUMMYFUNCTION("""COMPUTED_VALUE"""),"#REF!")</f>
        <v>#REF!</v>
      </c>
      <c r="BH252" s="296" t="str">
        <f>IFERROR(__xludf.DUMMYFUNCTION("""COMPUTED_VALUE"""),"#REF!")</f>
        <v>#REF!</v>
      </c>
      <c r="BI252" s="295">
        <f>IFERROR(__xludf.DUMMYFUNCTION("""COMPUTED_VALUE"""),105.0)</f>
        <v>105</v>
      </c>
      <c r="BJ252" s="292"/>
      <c r="BK252" s="346">
        <f>IFERROR(__xludf.DUMMYFUNCTION("""COMPUTED_VALUE"""),2140.0)</f>
        <v>2140</v>
      </c>
      <c r="BL252" s="292"/>
      <c r="BM252" s="292"/>
      <c r="BN252" s="292"/>
      <c r="BO252" s="292"/>
      <c r="BP252" s="292"/>
      <c r="BQ252" s="292"/>
      <c r="BR252" s="292" t="b">
        <f>IFERROR(__xludf.DUMMYFUNCTION("""COMPUTED_VALUE"""),FALSE)</f>
        <v>0</v>
      </c>
      <c r="BS252" s="292" t="b">
        <f>IFERROR(__xludf.DUMMYFUNCTION("""COMPUTED_VALUE"""),FALSE)</f>
        <v>0</v>
      </c>
      <c r="BT252" s="292"/>
      <c r="BU252" s="292"/>
      <c r="BV252" s="292"/>
      <c r="BW252" s="292"/>
    </row>
    <row r="253">
      <c r="A253" s="292" t="str">
        <f>IFERROR(__xludf.DUMMYFUNCTION("""COMPUTED_VALUE"""),"FE1445A")</f>
        <v>FE1445A</v>
      </c>
      <c r="B253" s="292" t="str">
        <f>IFERROR(__xludf.DUMMYFUNCTION("""COMPUTED_VALUE"""),"")</f>
        <v/>
      </c>
      <c r="C253" s="292"/>
      <c r="D253" s="292"/>
      <c r="E253" s="292" t="str">
        <f>IFERROR(__xludf.DUMMYFUNCTION("""COMPUTED_VALUE"""),"Ginger Szechuan Chicken &amp; Sesame Cabbage")</f>
        <v>Ginger Szechuan Chicken &amp; Sesame Cabbage</v>
      </c>
      <c r="F253" s="292" t="str">
        <f>IFERROR(__xludf.DUMMYFUNCTION("""COMPUTED_VALUE"""),"with Ginger Cauli-Rice, Bok Choy, Mushrooms &amp; Carrots")</f>
        <v>with Ginger Cauli-Rice, Bok Choy, Mushrooms &amp; Carrots</v>
      </c>
      <c r="G253" s="292" t="str">
        <f>IFERROR(__xludf.DUMMYFUNCTION("""COMPUTED_VALUE"""),"Szechuan-stijl kip met gember en sesamkool")</f>
        <v>Szechuan-stijl kip met gember en sesamkool</v>
      </c>
      <c r="H253" s="292" t="str">
        <f>IFERROR(__xludf.DUMMYFUNCTION("""COMPUTED_VALUE"""),"met gember-bloemkoolrijst, paksoi, champignons en wortel")</f>
        <v>met gember-bloemkoolrijst, paksoi, champignons en wortel</v>
      </c>
      <c r="I253" s="292" t="str">
        <f>IFERROR(__xludf.DUMMYFUNCTION("""COMPUTED_VALUE"""),"Sichuan-kylling med ingefær og kål")</f>
        <v>Sichuan-kylling med ingefær og kål</v>
      </c>
      <c r="J253" s="292" t="str">
        <f>IFERROR(__xludf.DUMMYFUNCTION("""COMPUTED_VALUE"""),"Ingwer-Szechuan-Hähnchen mit Sesamkohl")</f>
        <v>Ingwer-Szechuan-Hähnchen mit Sesamkohl</v>
      </c>
      <c r="K253" s="292">
        <f>IFERROR(__xludf.DUMMYFUNCTION("""COMPUTED_VALUE"""),565261.0)</f>
        <v>565261</v>
      </c>
      <c r="L253" s="292" t="str">
        <f>IFERROR(__xludf.DUMMYFUNCTION("""COMPUTED_VALUE"""),"HF Szechuan style rijst bowl")</f>
        <v>HF Szechuan style rijst bowl</v>
      </c>
      <c r="M253" s="292" t="str">
        <f>IFERROR(__xludf.DUMMYFUNCTION("""COMPUTED_VALUE"""),"#N/A")</f>
        <v>#N/A</v>
      </c>
      <c r="N253" s="292" t="str">
        <f>IFERROR(__xludf.DUMMYFUNCTION("""COMPUTED_VALUE"""),"#N/A")</f>
        <v>#N/A</v>
      </c>
      <c r="O253" s="292" t="str">
        <f>IFERROR(__xludf.DUMMYFUNCTION("""COMPUTED_VALUE"""),"#N/A")</f>
        <v>#N/A</v>
      </c>
      <c r="P253" s="292" t="str">
        <f>IFERROR(__xludf.DUMMYFUNCTION("""COMPUTED_VALUE"""),"Active")</f>
        <v>Active</v>
      </c>
      <c r="Q253" s="292"/>
      <c r="R253" s="342">
        <f>IFERROR(__xludf.DUMMYFUNCTION("""COMPUTED_VALUE"""),4.6)</f>
        <v>4.6</v>
      </c>
      <c r="S253" s="292"/>
      <c r="T253" s="292"/>
      <c r="U253" s="292"/>
      <c r="V253" s="292"/>
      <c r="W253" s="292" t="b">
        <f>IFERROR(__xludf.DUMMYFUNCTION("""COMPUTED_VALUE"""),TRUE)</f>
        <v>1</v>
      </c>
      <c r="X253" s="345">
        <f>IFERROR(__xludf.DUMMYFUNCTION("""COMPUTED_VALUE"""),394.0)</f>
        <v>394</v>
      </c>
      <c r="Y253" s="344">
        <f>IFERROR(__xludf.DUMMYFUNCTION("""COMPUTED_VALUE"""),404.0)</f>
        <v>404</v>
      </c>
      <c r="Z253" s="343">
        <f>IFERROR(__xludf.DUMMYFUNCTION("""COMPUTED_VALUE"""),15.4)</f>
        <v>15.4</v>
      </c>
      <c r="AA253" s="344">
        <f>IFERROR(__xludf.DUMMYFUNCTION("""COMPUTED_VALUE"""),2.7)</f>
        <v>2.7</v>
      </c>
      <c r="AB253" s="344">
        <f>IFERROR(__xludf.DUMMYFUNCTION("""COMPUTED_VALUE"""),33.5)</f>
        <v>33.5</v>
      </c>
      <c r="AC253" s="344">
        <f>IFERROR(__xludf.DUMMYFUNCTION("""COMPUTED_VALUE"""),8.3)</f>
        <v>8.3</v>
      </c>
      <c r="AD253" s="344">
        <f>IFERROR(__xludf.DUMMYFUNCTION("""COMPUTED_VALUE"""),7.1)</f>
        <v>7.1</v>
      </c>
      <c r="AE253" s="343">
        <f>IFERROR(__xludf.DUMMYFUNCTION("""COMPUTED_VALUE"""),29.4)</f>
        <v>29.4</v>
      </c>
      <c r="AF253" s="343">
        <f>IFERROR(__xludf.DUMMYFUNCTION("""COMPUTED_VALUE"""),2.24)</f>
        <v>2.24</v>
      </c>
      <c r="AG253" s="292" t="b">
        <f>IFERROR(__xludf.DUMMYFUNCTION("""COMPUTED_VALUE"""),TRUE)</f>
        <v>1</v>
      </c>
      <c r="AH253" s="292" t="b">
        <f>IFERROR(__xludf.DUMMYFUNCTION("""COMPUTED_VALUE"""),FALSE)</f>
        <v>0</v>
      </c>
      <c r="AI253" s="292" t="b">
        <f>IFERROR(__xludf.DUMMYFUNCTION("""COMPUTED_VALUE"""),TRUE)</f>
        <v>1</v>
      </c>
      <c r="AJ253" s="292" t="b">
        <f>IFERROR(__xludf.DUMMYFUNCTION("""COMPUTED_VALUE"""),FALSE)</f>
        <v>0</v>
      </c>
      <c r="AK253" s="292" t="b">
        <f>IFERROR(__xludf.DUMMYFUNCTION("""COMPUTED_VALUE"""),FALSE)</f>
        <v>0</v>
      </c>
      <c r="AL253" s="292" t="b">
        <f>IFERROR(__xludf.DUMMYFUNCTION("""COMPUTED_VALUE"""),FALSE)</f>
        <v>0</v>
      </c>
      <c r="AM253" s="292" t="b">
        <f>IFERROR(__xludf.DUMMYFUNCTION("""COMPUTED_VALUE"""),FALSE)</f>
        <v>0</v>
      </c>
      <c r="AN253" s="292" t="b">
        <f>IFERROR(__xludf.DUMMYFUNCTION("""COMPUTED_VALUE"""),TRUE)</f>
        <v>1</v>
      </c>
      <c r="AO253" s="292" t="str">
        <f>IFERROR(__xludf.DUMMYFUNCTION("""COMPUTED_VALUE"""),"FALSE")</f>
        <v>FALSE</v>
      </c>
      <c r="AP253" s="292" t="str">
        <f>IFERROR(__xludf.DUMMYFUNCTION("""COMPUTED_VALUE"""),"Chicken breast")</f>
        <v>Chicken breast</v>
      </c>
      <c r="AQ253" s="292" t="str">
        <f>IFERROR(__xludf.DUMMYFUNCTION("""COMPUTED_VALUE"""),"Chicken")</f>
        <v>Chicken</v>
      </c>
      <c r="AR253" s="292" t="str">
        <f>IFERROR(__xludf.DUMMYFUNCTION("""COMPUTED_VALUE"""),"Breast")</f>
        <v>Breast</v>
      </c>
      <c r="AS253" s="292" t="str">
        <f>IFERROR(__xludf.DUMMYFUNCTION("""COMPUTED_VALUE"""),"Rice")</f>
        <v>Rice</v>
      </c>
      <c r="AT253" s="292" t="str">
        <f>IFERROR(__xludf.DUMMYFUNCTION("""COMPUTED_VALUE"""),"Carrots")</f>
        <v>Carrots</v>
      </c>
      <c r="AU253" s="292" t="str">
        <f>IFERROR(__xludf.DUMMYFUNCTION("""COMPUTED_VALUE"""),"Mushrooms")</f>
        <v>Mushrooms</v>
      </c>
      <c r="AV253" s="292" t="str">
        <f>IFERROR(__xludf.DUMMYFUNCTION("""COMPUTED_VALUE"""),"Other sauce")</f>
        <v>Other sauce</v>
      </c>
      <c r="AW253" s="292" t="str">
        <f>IFERROR(__xludf.DUMMYFUNCTION("""COMPUTED_VALUE"""),"Year Round")</f>
        <v>Year Round</v>
      </c>
      <c r="AX253" s="292" t="str">
        <f>IFERROR(__xludf.DUMMYFUNCTION("""COMPUTED_VALUE"""),"Chinese")</f>
        <v>Chinese</v>
      </c>
      <c r="AY253" s="292"/>
      <c r="AZ253" s="292" t="str">
        <f>IFERROR(__xludf.DUMMYFUNCTION("""COMPUTED_VALUE"""),"2 CT")</f>
        <v>2 CT</v>
      </c>
      <c r="BA253" s="292" t="b">
        <f>IFERROR(__xludf.DUMMYFUNCTION("""COMPUTED_VALUE"""),FALSE)</f>
        <v>0</v>
      </c>
      <c r="BB253" s="342">
        <f>IFERROR(__xludf.DUMMYFUNCTION("""COMPUTED_VALUE"""),2.53)</f>
        <v>2.53</v>
      </c>
      <c r="BC253" s="342">
        <f>IFERROR(__xludf.DUMMYFUNCTION("""COMPUTED_VALUE"""),1.65)</f>
        <v>1.65</v>
      </c>
      <c r="BD253" s="342">
        <f>IFERROR(__xludf.DUMMYFUNCTION("""COMPUTED_VALUE"""),0.42)</f>
        <v>0.42</v>
      </c>
      <c r="BE253" s="342">
        <f>IFERROR(__xludf.DUMMYFUNCTION("""COMPUTED_VALUE"""),0.89)</f>
        <v>0.89</v>
      </c>
      <c r="BF253" s="296" t="str">
        <f>IFERROR(__xludf.DUMMYFUNCTION("""COMPUTED_VALUE"""),"#REF!")</f>
        <v>#REF!</v>
      </c>
      <c r="BG253" s="296" t="str">
        <f>IFERROR(__xludf.DUMMYFUNCTION("""COMPUTED_VALUE"""),"#REF!")</f>
        <v>#REF!</v>
      </c>
      <c r="BH253" s="296" t="str">
        <f>IFERROR(__xludf.DUMMYFUNCTION("""COMPUTED_VALUE"""),"#REF!")</f>
        <v>#REF!</v>
      </c>
      <c r="BI253" s="295">
        <f>IFERROR(__xludf.DUMMYFUNCTION("""COMPUTED_VALUE"""),149.0)</f>
        <v>149</v>
      </c>
      <c r="BJ253" s="292"/>
      <c r="BK253" s="346">
        <f>IFERROR(__xludf.DUMMYFUNCTION("""COMPUTED_VALUE"""),1689.0)</f>
        <v>1689</v>
      </c>
      <c r="BL253" s="292"/>
      <c r="BM253" s="292"/>
      <c r="BN253" s="292"/>
      <c r="BO253" s="292"/>
      <c r="BP253" s="292"/>
      <c r="BQ253" s="292"/>
      <c r="BR253" s="292" t="b">
        <f>IFERROR(__xludf.DUMMYFUNCTION("""COMPUTED_VALUE"""),FALSE)</f>
        <v>0</v>
      </c>
      <c r="BS253" s="292" t="b">
        <f>IFERROR(__xludf.DUMMYFUNCTION("""COMPUTED_VALUE"""),FALSE)</f>
        <v>0</v>
      </c>
      <c r="BT253" s="292"/>
      <c r="BU253" s="292"/>
      <c r="BV253" s="292"/>
      <c r="BW253" s="292"/>
    </row>
    <row r="254">
      <c r="A254" s="292" t="str">
        <f>IFERROR(__xludf.DUMMYFUNCTION("""COMPUTED_VALUE"""),"FE4084A")</f>
        <v>FE4084A</v>
      </c>
      <c r="B254" s="292" t="str">
        <f>IFERROR(__xludf.DUMMYFUNCTION("""COMPUTED_VALUE"""),"")</f>
        <v/>
      </c>
      <c r="C254" s="292"/>
      <c r="D254" s="292"/>
      <c r="E254" s="292" t="str">
        <f>IFERROR(__xludf.DUMMYFUNCTION("""COMPUTED_VALUE""")," Bruschetta Chicken")</f>
        <v> Bruschetta Chicken</v>
      </c>
      <c r="F254" s="292" t="str">
        <f>IFERROR(__xludf.DUMMYFUNCTION("""COMPUTED_VALUE"""),"with Spinach-Pesto Cavatappi &amp; Zucchini")</f>
        <v>with Spinach-Pesto Cavatappi &amp; Zucchini</v>
      </c>
      <c r="G254" s="292"/>
      <c r="H254" s="292"/>
      <c r="I254" s="292" t="str">
        <f>IFERROR(__xludf.DUMMYFUNCTION("""COMPUTED_VALUE"""),"#N/A")</f>
        <v>#N/A</v>
      </c>
      <c r="J254" s="292"/>
      <c r="K254" s="292"/>
      <c r="L254" s="292"/>
      <c r="M254" s="292" t="str">
        <f>IFERROR(__xludf.DUMMYFUNCTION("""COMPUTED_VALUE"""),"#N/A")</f>
        <v>#N/A</v>
      </c>
      <c r="N254" s="292" t="str">
        <f>IFERROR(__xludf.DUMMYFUNCTION("""COMPUTED_VALUE"""),"#N/A")</f>
        <v>#N/A</v>
      </c>
      <c r="O254" s="292" t="str">
        <f>IFERROR(__xludf.DUMMYFUNCTION("""COMPUTED_VALUE"""),"#N/A")</f>
        <v>#N/A</v>
      </c>
      <c r="P254" s="292"/>
      <c r="Q254" s="292"/>
      <c r="R254" s="292"/>
      <c r="S254" s="292"/>
      <c r="T254" s="292"/>
      <c r="U254" s="292"/>
      <c r="V254" s="292"/>
      <c r="W254" s="292" t="b">
        <f>IFERROR(__xludf.DUMMYFUNCTION("""COMPUTED_VALUE"""),TRUE)</f>
        <v>1</v>
      </c>
      <c r="X254" s="292" t="str">
        <f>IFERROR(__xludf.DUMMYFUNCTION("""COMPUTED_VALUE"""),"#N/A")</f>
        <v>#N/A</v>
      </c>
      <c r="Y254" s="344" t="str">
        <f>IFERROR(__xludf.DUMMYFUNCTION("""COMPUTED_VALUE"""),"#N/A")</f>
        <v>#N/A</v>
      </c>
      <c r="Z254" s="343" t="str">
        <f>IFERROR(__xludf.DUMMYFUNCTION("""COMPUTED_VALUE"""),"#N/A")</f>
        <v>#N/A</v>
      </c>
      <c r="AA254" s="292" t="str">
        <f>IFERROR(__xludf.DUMMYFUNCTION("""COMPUTED_VALUE"""),"#N/A")</f>
        <v>#N/A</v>
      </c>
      <c r="AB254" s="292" t="str">
        <f>IFERROR(__xludf.DUMMYFUNCTION("""COMPUTED_VALUE"""),"#N/A")</f>
        <v>#N/A</v>
      </c>
      <c r="AC254" s="292" t="str">
        <f>IFERROR(__xludf.DUMMYFUNCTION("""COMPUTED_VALUE"""),"#N/A")</f>
        <v>#N/A</v>
      </c>
      <c r="AD254" s="292" t="str">
        <f>IFERROR(__xludf.DUMMYFUNCTION("""COMPUTED_VALUE"""),"#N/A")</f>
        <v>#N/A</v>
      </c>
      <c r="AE254" s="343" t="str">
        <f>IFERROR(__xludf.DUMMYFUNCTION("""COMPUTED_VALUE"""),"#N/A")</f>
        <v>#N/A</v>
      </c>
      <c r="AF254" s="292" t="str">
        <f>IFERROR(__xludf.DUMMYFUNCTION("""COMPUTED_VALUE"""),"#N/A")</f>
        <v>#N/A</v>
      </c>
      <c r="AG254" s="292"/>
      <c r="AH254" s="292" t="str">
        <f>IFERROR(__xludf.DUMMYFUNCTION("""COMPUTED_VALUE"""),"#N/A")</f>
        <v>#N/A</v>
      </c>
      <c r="AI254" s="292" t="str">
        <f>IFERROR(__xludf.DUMMYFUNCTION("""COMPUTED_VALUE"""),"#N/A")</f>
        <v>#N/A</v>
      </c>
      <c r="AJ254" s="292" t="str">
        <f>IFERROR(__xludf.DUMMYFUNCTION("""COMPUTED_VALUE"""),"#N/A")</f>
        <v>#N/A</v>
      </c>
      <c r="AK254" s="292" t="str">
        <f>IFERROR(__xludf.DUMMYFUNCTION("""COMPUTED_VALUE"""),"#N/A")</f>
        <v>#N/A</v>
      </c>
      <c r="AL254" s="292" t="str">
        <f>IFERROR(__xludf.DUMMYFUNCTION("""COMPUTED_VALUE"""),"#N/A")</f>
        <v>#N/A</v>
      </c>
      <c r="AM254" s="292" t="str">
        <f>IFERROR(__xludf.DUMMYFUNCTION("""COMPUTED_VALUE"""),"#N/A")</f>
        <v>#N/A</v>
      </c>
      <c r="AN254" s="292" t="str">
        <f>IFERROR(__xludf.DUMMYFUNCTION("""COMPUTED_VALUE"""),"#N/A")</f>
        <v>#N/A</v>
      </c>
      <c r="AO254" s="292" t="str">
        <f>IFERROR(__xludf.DUMMYFUNCTION("""COMPUTED_VALUE"""),"#N/A")</f>
        <v>#N/A</v>
      </c>
      <c r="AP254" s="292"/>
      <c r="AQ254" s="292"/>
      <c r="AR254" s="292"/>
      <c r="AS254" s="292"/>
      <c r="AT254" s="292"/>
      <c r="AU254" s="292"/>
      <c r="AV254" s="292"/>
      <c r="AW254" s="292"/>
      <c r="AX254" s="292"/>
      <c r="AY254" s="292"/>
      <c r="AZ254" s="292"/>
      <c r="BA254" s="292"/>
      <c r="BB254" s="292"/>
      <c r="BC254" s="292"/>
      <c r="BD254" s="292"/>
      <c r="BE254" s="292"/>
      <c r="BF254" s="296" t="str">
        <f>IFERROR(__xludf.DUMMYFUNCTION("""COMPUTED_VALUE"""),"#REF!")</f>
        <v>#REF!</v>
      </c>
      <c r="BG254" s="296" t="str">
        <f>IFERROR(__xludf.DUMMYFUNCTION("""COMPUTED_VALUE"""),"#REF!")</f>
        <v>#REF!</v>
      </c>
      <c r="BH254" s="296" t="str">
        <f>IFERROR(__xludf.DUMMYFUNCTION("""COMPUTED_VALUE"""),"#REF!")</f>
        <v>#REF!</v>
      </c>
      <c r="BI254" s="295" t="str">
        <f>IFERROR(__xludf.DUMMYFUNCTION("""COMPUTED_VALUE"""),"#N/A")</f>
        <v>#N/A</v>
      </c>
      <c r="BJ254" s="292"/>
      <c r="BK254" s="346" t="str">
        <f>IFERROR(__xludf.DUMMYFUNCTION("""COMPUTED_VALUE"""),"#N/A")</f>
        <v>#N/A</v>
      </c>
      <c r="BL254" s="292"/>
      <c r="BM254" s="292"/>
      <c r="BN254" s="292"/>
      <c r="BO254" s="292"/>
      <c r="BP254" s="292"/>
      <c r="BQ254" s="292"/>
      <c r="BR254" s="292" t="str">
        <f>IFERROR(__xludf.DUMMYFUNCTION("""COMPUTED_VALUE"""),"#N/A")</f>
        <v>#N/A</v>
      </c>
      <c r="BS254" s="292" t="str">
        <f>IFERROR(__xludf.DUMMYFUNCTION("""COMPUTED_VALUE"""),"#N/A")</f>
        <v>#N/A</v>
      </c>
      <c r="BT254" s="292"/>
      <c r="BU254" s="292"/>
      <c r="BV254" s="292"/>
      <c r="BW254" s="292"/>
    </row>
    <row r="255">
      <c r="A255" s="292" t="str">
        <f>IFERROR(__xludf.DUMMYFUNCTION("""COMPUTED_VALUE"""),"FE4085A")</f>
        <v>FE4085A</v>
      </c>
      <c r="B255" s="292" t="str">
        <f>IFERROR(__xludf.DUMMYFUNCTION("""COMPUTED_VALUE"""),"")</f>
        <v/>
      </c>
      <c r="C255" s="292"/>
      <c r="D255" s="292"/>
      <c r="E255" s="292" t="str">
        <f>IFERROR(__xludf.DUMMYFUNCTION("""COMPUTED_VALUE"""),"Grilled Chicken Parmesan &amp; Trottole")</f>
        <v>Grilled Chicken Parmesan &amp; Trottole</v>
      </c>
      <c r="F255" s="292" t="str">
        <f>IFERROR(__xludf.DUMMYFUNCTION("""COMPUTED_VALUE"""),"with Herb Roasted Broccoli &amp; Cauliflower")</f>
        <v>with Herb Roasted Broccoli &amp; Cauliflower</v>
      </c>
      <c r="G255" s="292" t="str">
        <f>IFERROR(__xludf.DUMMYFUNCTION("""COMPUTED_VALUE"""),"Gegrilde kip Parmezaan met trottole")</f>
        <v>Gegrilde kip Parmezaan met trottole</v>
      </c>
      <c r="H255" s="292" t="str">
        <f>IFERROR(__xludf.DUMMYFUNCTION("""COMPUTED_VALUE"""),"met kruidig geroosterde broccoli en bloemkool")</f>
        <v>met kruidig geroosterde broccoli en bloemkool</v>
      </c>
      <c r="I255" s="292" t="str">
        <f>IFERROR(__xludf.DUMMYFUNCTION("""COMPUTED_VALUE"""),"Grillet kylling med parmesan og trottole")</f>
        <v>Grillet kylling med parmesan og trottole</v>
      </c>
      <c r="J255" s="292" t="str">
        <f>IFERROR(__xludf.DUMMYFUNCTION("""COMPUTED_VALUE"""),"Gegrilltes Hähnchen-Parmesan mit Trottole")</f>
        <v>Gegrilltes Hähnchen-Parmesan mit Trottole</v>
      </c>
      <c r="K255" s="292">
        <f>IFERROR(__xludf.DUMMYFUNCTION("""COMPUTED_VALUE"""),565277.0)</f>
        <v>565277</v>
      </c>
      <c r="L255" s="292" t="str">
        <f>IFERROR(__xludf.DUMMYFUNCTION("""COMPUTED_VALUE"""),"HF Kip pasta marinara")</f>
        <v>HF Kip pasta marinara</v>
      </c>
      <c r="M255" s="292" t="str">
        <f>IFERROR(__xludf.DUMMYFUNCTION("""COMPUTED_VALUE"""),"#N/A")</f>
        <v>#N/A</v>
      </c>
      <c r="N255" s="292" t="str">
        <f>IFERROR(__xludf.DUMMYFUNCTION("""COMPUTED_VALUE"""),"#N/A")</f>
        <v>#N/A</v>
      </c>
      <c r="O255" s="292" t="str">
        <f>IFERROR(__xludf.DUMMYFUNCTION("""COMPUTED_VALUE"""),"#N/A")</f>
        <v>#N/A</v>
      </c>
      <c r="P255" s="292" t="str">
        <f>IFERROR(__xludf.DUMMYFUNCTION("""COMPUTED_VALUE"""),"Active")</f>
        <v>Active</v>
      </c>
      <c r="Q255" s="292"/>
      <c r="R255" s="342">
        <f>IFERROR(__xludf.DUMMYFUNCTION("""COMPUTED_VALUE"""),4.48)</f>
        <v>4.48</v>
      </c>
      <c r="S255" s="292"/>
      <c r="T255" s="292"/>
      <c r="U255" s="292"/>
      <c r="V255" s="292"/>
      <c r="W255" s="292" t="b">
        <f>IFERROR(__xludf.DUMMYFUNCTION("""COMPUTED_VALUE"""),TRUE)</f>
        <v>1</v>
      </c>
      <c r="X255" s="345">
        <f>IFERROR(__xludf.DUMMYFUNCTION("""COMPUTED_VALUE"""),398.0)</f>
        <v>398</v>
      </c>
      <c r="Y255" s="344">
        <f>IFERROR(__xludf.DUMMYFUNCTION("""COMPUTED_VALUE"""),440.0)</f>
        <v>440</v>
      </c>
      <c r="Z255" s="343">
        <f>IFERROR(__xludf.DUMMYFUNCTION("""COMPUTED_VALUE"""),16.7)</f>
        <v>16.7</v>
      </c>
      <c r="AA255" s="344">
        <f>IFERROR(__xludf.DUMMYFUNCTION("""COMPUTED_VALUE"""),4.7)</f>
        <v>4.7</v>
      </c>
      <c r="AB255" s="344">
        <f>IFERROR(__xludf.DUMMYFUNCTION("""COMPUTED_VALUE"""),34.2)</f>
        <v>34.2</v>
      </c>
      <c r="AC255" s="344">
        <f>IFERROR(__xludf.DUMMYFUNCTION("""COMPUTED_VALUE"""),7.0)</f>
        <v>7</v>
      </c>
      <c r="AD255" s="344">
        <f>IFERROR(__xludf.DUMMYFUNCTION("""COMPUTED_VALUE"""),6.5)</f>
        <v>6.5</v>
      </c>
      <c r="AE255" s="343">
        <f>IFERROR(__xludf.DUMMYFUNCTION("""COMPUTED_VALUE"""),35.7)</f>
        <v>35.7</v>
      </c>
      <c r="AF255" s="343">
        <f>IFERROR(__xludf.DUMMYFUNCTION("""COMPUTED_VALUE"""),2.24)</f>
        <v>2.24</v>
      </c>
      <c r="AG255" s="292" t="b">
        <f>IFERROR(__xludf.DUMMYFUNCTION("""COMPUTED_VALUE"""),FALSE)</f>
        <v>0</v>
      </c>
      <c r="AH255" s="292" t="b">
        <f>IFERROR(__xludf.DUMMYFUNCTION("""COMPUTED_VALUE"""),FALSE)</f>
        <v>0</v>
      </c>
      <c r="AI255" s="292" t="b">
        <f>IFERROR(__xludf.DUMMYFUNCTION("""COMPUTED_VALUE"""),TRUE)</f>
        <v>1</v>
      </c>
      <c r="AJ255" s="292" t="b">
        <f>IFERROR(__xludf.DUMMYFUNCTION("""COMPUTED_VALUE"""),FALSE)</f>
        <v>0</v>
      </c>
      <c r="AK255" s="292" t="b">
        <f>IFERROR(__xludf.DUMMYFUNCTION("""COMPUTED_VALUE"""),FALSE)</f>
        <v>0</v>
      </c>
      <c r="AL255" s="292" t="b">
        <f>IFERROR(__xludf.DUMMYFUNCTION("""COMPUTED_VALUE"""),FALSE)</f>
        <v>0</v>
      </c>
      <c r="AM255" s="292" t="b">
        <f>IFERROR(__xludf.DUMMYFUNCTION("""COMPUTED_VALUE"""),TRUE)</f>
        <v>1</v>
      </c>
      <c r="AN255" s="292" t="b">
        <f>IFERROR(__xludf.DUMMYFUNCTION("""COMPUTED_VALUE"""),FALSE)</f>
        <v>0</v>
      </c>
      <c r="AO255" s="292" t="str">
        <f>IFERROR(__xludf.DUMMYFUNCTION("""COMPUTED_VALUE"""),"FALSE")</f>
        <v>FALSE</v>
      </c>
      <c r="AP255" s="292" t="str">
        <f>IFERROR(__xludf.DUMMYFUNCTION("""COMPUTED_VALUE"""),"Chicken breast")</f>
        <v>Chicken breast</v>
      </c>
      <c r="AQ255" s="292" t="str">
        <f>IFERROR(__xludf.DUMMYFUNCTION("""COMPUTED_VALUE"""),"Chicken")</f>
        <v>Chicken</v>
      </c>
      <c r="AR255" s="292" t="str">
        <f>IFERROR(__xludf.DUMMYFUNCTION("""COMPUTED_VALUE"""),"Breast")</f>
        <v>Breast</v>
      </c>
      <c r="AS255" s="292" t="str">
        <f>IFERROR(__xludf.DUMMYFUNCTION("""COMPUTED_VALUE"""),"Pasta")</f>
        <v>Pasta</v>
      </c>
      <c r="AT255" s="292" t="str">
        <f>IFERROR(__xludf.DUMMYFUNCTION("""COMPUTED_VALUE"""),"Broccoli")</f>
        <v>Broccoli</v>
      </c>
      <c r="AU255" s="292" t="str">
        <f>IFERROR(__xludf.DUMMYFUNCTION("""COMPUTED_VALUE"""),"Cauliflower Florets")</f>
        <v>Cauliflower Florets</v>
      </c>
      <c r="AV255" s="292" t="str">
        <f>IFERROR(__xludf.DUMMYFUNCTION("""COMPUTED_VALUE"""),"Tomato Based Sauce")</f>
        <v>Tomato Based Sauce</v>
      </c>
      <c r="AW255" s="292" t="str">
        <f>IFERROR(__xludf.DUMMYFUNCTION("""COMPUTED_VALUE"""),"Year Round")</f>
        <v>Year Round</v>
      </c>
      <c r="AX255" s="292" t="str">
        <f>IFERROR(__xludf.DUMMYFUNCTION("""COMPUTED_VALUE"""),"Italian")</f>
        <v>Italian</v>
      </c>
      <c r="AY255" s="292"/>
      <c r="AZ255" s="292" t="str">
        <f>IFERROR(__xludf.DUMMYFUNCTION("""COMPUTED_VALUE"""),"2 CT")</f>
        <v>2 CT</v>
      </c>
      <c r="BA255" s="292" t="b">
        <f>IFERROR(__xludf.DUMMYFUNCTION("""COMPUTED_VALUE"""),FALSE)</f>
        <v>0</v>
      </c>
      <c r="BB255" s="342">
        <f>IFERROR(__xludf.DUMMYFUNCTION("""COMPUTED_VALUE"""),2.66)</f>
        <v>2.66</v>
      </c>
      <c r="BC255" s="342">
        <f>IFERROR(__xludf.DUMMYFUNCTION("""COMPUTED_VALUE"""),1.42)</f>
        <v>1.42</v>
      </c>
      <c r="BD255" s="342">
        <f>IFERROR(__xludf.DUMMYFUNCTION("""COMPUTED_VALUE"""),0.4)</f>
        <v>0.4</v>
      </c>
      <c r="BE255" s="342">
        <f>IFERROR(__xludf.DUMMYFUNCTION("""COMPUTED_VALUE"""),0.89)</f>
        <v>0.89</v>
      </c>
      <c r="BF255" s="296" t="str">
        <f>IFERROR(__xludf.DUMMYFUNCTION("""COMPUTED_VALUE"""),"#REF!")</f>
        <v>#REF!</v>
      </c>
      <c r="BG255" s="296" t="str">
        <f>IFERROR(__xludf.DUMMYFUNCTION("""COMPUTED_VALUE"""),"#REF!")</f>
        <v>#REF!</v>
      </c>
      <c r="BH255" s="296" t="str">
        <f>IFERROR(__xludf.DUMMYFUNCTION("""COMPUTED_VALUE"""),"#REF!")</f>
        <v>#REF!</v>
      </c>
      <c r="BI255" s="295">
        <f>IFERROR(__xludf.DUMMYFUNCTION("""COMPUTED_VALUE"""),171.0)</f>
        <v>171</v>
      </c>
      <c r="BJ255" s="292"/>
      <c r="BK255" s="346">
        <f>IFERROR(__xludf.DUMMYFUNCTION("""COMPUTED_VALUE"""),1832.0)</f>
        <v>1832</v>
      </c>
      <c r="BL255" s="292"/>
      <c r="BM255" s="292"/>
      <c r="BN255" s="292"/>
      <c r="BO255" s="292"/>
      <c r="BP255" s="292"/>
      <c r="BQ255" s="292"/>
      <c r="BR255" s="292" t="b">
        <f>IFERROR(__xludf.DUMMYFUNCTION("""COMPUTED_VALUE"""),FALSE)</f>
        <v>0</v>
      </c>
      <c r="BS255" s="292" t="b">
        <f>IFERROR(__xludf.DUMMYFUNCTION("""COMPUTED_VALUE"""),FALSE)</f>
        <v>0</v>
      </c>
      <c r="BT255" s="292"/>
      <c r="BU255" s="292"/>
      <c r="BV255" s="292"/>
      <c r="BW255" s="292"/>
    </row>
    <row r="256">
      <c r="A256" s="292" t="str">
        <f>IFERROR(__xludf.DUMMYFUNCTION("""COMPUTED_VALUE"""),"FE1828A")</f>
        <v>FE1828A</v>
      </c>
      <c r="B256" s="292" t="str">
        <f>IFERROR(__xludf.DUMMYFUNCTION("""COMPUTED_VALUE"""),"")</f>
        <v/>
      </c>
      <c r="C256" s="292"/>
      <c r="D256" s="292"/>
      <c r="E256" s="292" t="str">
        <f>IFERROR(__xludf.DUMMYFUNCTION("""COMPUTED_VALUE"""),"Chicken, Mushroom &amp; White Bean Cassoulet")</f>
        <v>Chicken, Mushroom &amp; White Bean Cassoulet</v>
      </c>
      <c r="F256" s="292" t="str">
        <f>IFERROR(__xludf.DUMMYFUNCTION("""COMPUTED_VALUE"""),"with Broccoli &amp; Mustard Vinaigrette")</f>
        <v>with Broccoli &amp; Mustard Vinaigrette</v>
      </c>
      <c r="G256" s="292" t="str">
        <f>IFERROR(__xludf.DUMMYFUNCTION("""COMPUTED_VALUE"""),"Cassoulet met kip, champignons en witte bonen")</f>
        <v>Cassoulet met kip, champignons en witte bonen</v>
      </c>
      <c r="H256" s="292" t="str">
        <f>IFERROR(__xludf.DUMMYFUNCTION("""COMPUTED_VALUE"""),"met broccoli en mosterdvinaigrette")</f>
        <v>met broccoli en mosterdvinaigrette</v>
      </c>
      <c r="I256" s="292" t="str">
        <f>IFERROR(__xludf.DUMMYFUNCTION("""COMPUTED_VALUE"""),"Cassoulet med kylling, svampe og hvide bønner")</f>
        <v>Cassoulet med kylling, svampe og hvide bønner</v>
      </c>
      <c r="J256" s="292" t="str">
        <f>IFERROR(__xludf.DUMMYFUNCTION("""COMPUTED_VALUE"""),"Cassoulet mit Hähnchen, Pilzen und weißen Bohnen")</f>
        <v>Cassoulet mit Hähnchen, Pilzen und weißen Bohnen</v>
      </c>
      <c r="K256" s="292">
        <f>IFERROR(__xludf.DUMMYFUNCTION("""COMPUTED_VALUE"""),565269.0)</f>
        <v>565269</v>
      </c>
      <c r="L256" s="292" t="str">
        <f>IFERROR(__xludf.DUMMYFUNCTION("""COMPUTED_VALUE"""),"HF Kip witte bonen cassoulet")</f>
        <v>HF Kip witte bonen cassoulet</v>
      </c>
      <c r="M256" s="292" t="str">
        <f>IFERROR(__xludf.DUMMYFUNCTION("""COMPUTED_VALUE"""),"#N/A")</f>
        <v>#N/A</v>
      </c>
      <c r="N256" s="292" t="str">
        <f>IFERROR(__xludf.DUMMYFUNCTION("""COMPUTED_VALUE"""),"#N/A")</f>
        <v>#N/A</v>
      </c>
      <c r="O256" s="292" t="str">
        <f>IFERROR(__xludf.DUMMYFUNCTION("""COMPUTED_VALUE"""),"#N/A")</f>
        <v>#N/A</v>
      </c>
      <c r="P256" s="292" t="str">
        <f>IFERROR(__xludf.DUMMYFUNCTION("""COMPUTED_VALUE"""),"Active")</f>
        <v>Active</v>
      </c>
      <c r="Q256" s="292"/>
      <c r="R256" s="342">
        <f>IFERROR(__xludf.DUMMYFUNCTION("""COMPUTED_VALUE"""),4.86)</f>
        <v>4.86</v>
      </c>
      <c r="S256" s="292"/>
      <c r="T256" s="292"/>
      <c r="U256" s="292"/>
      <c r="V256" s="292"/>
      <c r="W256" s="292" t="b">
        <f>IFERROR(__xludf.DUMMYFUNCTION("""COMPUTED_VALUE"""),TRUE)</f>
        <v>1</v>
      </c>
      <c r="X256" s="345">
        <f>IFERROR(__xludf.DUMMYFUNCTION("""COMPUTED_VALUE"""),374.0)</f>
        <v>374</v>
      </c>
      <c r="Y256" s="344">
        <f>IFERROR(__xludf.DUMMYFUNCTION("""COMPUTED_VALUE"""),416.0)</f>
        <v>416</v>
      </c>
      <c r="Z256" s="343">
        <f>IFERROR(__xludf.DUMMYFUNCTION("""COMPUTED_VALUE"""),20.8)</f>
        <v>20.8</v>
      </c>
      <c r="AA256" s="344">
        <f>IFERROR(__xludf.DUMMYFUNCTION("""COMPUTED_VALUE"""),3.8)</f>
        <v>3.8</v>
      </c>
      <c r="AB256" s="344">
        <f>IFERROR(__xludf.DUMMYFUNCTION("""COMPUTED_VALUE"""),16.7)</f>
        <v>16.7</v>
      </c>
      <c r="AC256" s="344">
        <f>IFERROR(__xludf.DUMMYFUNCTION("""COMPUTED_VALUE"""),5.3)</f>
        <v>5.3</v>
      </c>
      <c r="AD256" s="344">
        <f>IFERROR(__xludf.DUMMYFUNCTION("""COMPUTED_VALUE"""),13.7)</f>
        <v>13.7</v>
      </c>
      <c r="AE256" s="343">
        <f>IFERROR(__xludf.DUMMYFUNCTION("""COMPUTED_VALUE"""),34.5)</f>
        <v>34.5</v>
      </c>
      <c r="AF256" s="343">
        <f>IFERROR(__xludf.DUMMYFUNCTION("""COMPUTED_VALUE"""),2.22)</f>
        <v>2.22</v>
      </c>
      <c r="AG256" s="292" t="b">
        <f>IFERROR(__xludf.DUMMYFUNCTION("""COMPUTED_VALUE"""),FALSE)</f>
        <v>0</v>
      </c>
      <c r="AH256" s="292" t="b">
        <f>IFERROR(__xludf.DUMMYFUNCTION("""COMPUTED_VALUE"""),FALSE)</f>
        <v>0</v>
      </c>
      <c r="AI256" s="292" t="b">
        <f>IFERROR(__xludf.DUMMYFUNCTION("""COMPUTED_VALUE"""),TRUE)</f>
        <v>1</v>
      </c>
      <c r="AJ256" s="292" t="b">
        <f>IFERROR(__xludf.DUMMYFUNCTION("""COMPUTED_VALUE"""),FALSE)</f>
        <v>0</v>
      </c>
      <c r="AK256" s="292" t="b">
        <f>IFERROR(__xludf.DUMMYFUNCTION("""COMPUTED_VALUE"""),FALSE)</f>
        <v>0</v>
      </c>
      <c r="AL256" s="292" t="b">
        <f>IFERROR(__xludf.DUMMYFUNCTION("""COMPUTED_VALUE"""),FALSE)</f>
        <v>0</v>
      </c>
      <c r="AM256" s="292" t="b">
        <f>IFERROR(__xludf.DUMMYFUNCTION("""COMPUTED_VALUE"""),TRUE)</f>
        <v>1</v>
      </c>
      <c r="AN256" s="292" t="b">
        <f>IFERROR(__xludf.DUMMYFUNCTION("""COMPUTED_VALUE"""),FALSE)</f>
        <v>0</v>
      </c>
      <c r="AO256" s="292" t="str">
        <f>IFERROR(__xludf.DUMMYFUNCTION("""COMPUTED_VALUE"""),"TRUE")</f>
        <v>TRUE</v>
      </c>
      <c r="AP256" s="292" t="str">
        <f>IFERROR(__xludf.DUMMYFUNCTION("""COMPUTED_VALUE"""),"Chicken breast")</f>
        <v>Chicken breast</v>
      </c>
      <c r="AQ256" s="292" t="str">
        <f>IFERROR(__xludf.DUMMYFUNCTION("""COMPUTED_VALUE"""),"Chicken")</f>
        <v>Chicken</v>
      </c>
      <c r="AR256" s="292" t="str">
        <f>IFERROR(__xludf.DUMMYFUNCTION("""COMPUTED_VALUE"""),"Breast")</f>
        <v>Breast</v>
      </c>
      <c r="AS256" s="292" t="str">
        <f>IFERROR(__xludf.DUMMYFUNCTION("""COMPUTED_VALUE"""),"Broccoli")</f>
        <v>Broccoli</v>
      </c>
      <c r="AT256" s="292" t="str">
        <f>IFERROR(__xludf.DUMMYFUNCTION("""COMPUTED_VALUE"""),"White Beans")</f>
        <v>White Beans</v>
      </c>
      <c r="AU256" s="292" t="str">
        <f>IFERROR(__xludf.DUMMYFUNCTION("""COMPUTED_VALUE"""),"Mushrooms")</f>
        <v>Mushrooms</v>
      </c>
      <c r="AV256" s="292" t="str">
        <f>IFERROR(__xludf.DUMMYFUNCTION("""COMPUTED_VALUE"""),"Cupped Sauce")</f>
        <v>Cupped Sauce</v>
      </c>
      <c r="AW256" s="292" t="str">
        <f>IFERROR(__xludf.DUMMYFUNCTION("""COMPUTED_VALUE"""),"Year Round")</f>
        <v>Year Round</v>
      </c>
      <c r="AX256" s="292" t="str">
        <f>IFERROR(__xludf.DUMMYFUNCTION("""COMPUTED_VALUE"""),"French")</f>
        <v>French</v>
      </c>
      <c r="AY256" s="292"/>
      <c r="AZ256" s="292" t="str">
        <f>IFERROR(__xludf.DUMMYFUNCTION("""COMPUTED_VALUE"""),"2 CT")</f>
        <v>2 CT</v>
      </c>
      <c r="BA256" s="292" t="b">
        <f>IFERROR(__xludf.DUMMYFUNCTION("""COMPUTED_VALUE"""),TRUE)</f>
        <v>1</v>
      </c>
      <c r="BB256" s="342">
        <f>IFERROR(__xludf.DUMMYFUNCTION("""COMPUTED_VALUE"""),2.77)</f>
        <v>2.77</v>
      </c>
      <c r="BC256" s="342">
        <f>IFERROR(__xludf.DUMMYFUNCTION("""COMPUTED_VALUE"""),1.65)</f>
        <v>1.65</v>
      </c>
      <c r="BD256" s="342">
        <f>IFERROR(__xludf.DUMMYFUNCTION("""COMPUTED_VALUE"""),0.43)</f>
        <v>0.43</v>
      </c>
      <c r="BE256" s="342">
        <f>IFERROR(__xludf.DUMMYFUNCTION("""COMPUTED_VALUE"""),0.89)</f>
        <v>0.89</v>
      </c>
      <c r="BF256" s="296" t="str">
        <f>IFERROR(__xludf.DUMMYFUNCTION("""COMPUTED_VALUE"""),"#REF!")</f>
        <v>#REF!</v>
      </c>
      <c r="BG256" s="296" t="str">
        <f>IFERROR(__xludf.DUMMYFUNCTION("""COMPUTED_VALUE"""),"#REF!")</f>
        <v>#REF!</v>
      </c>
      <c r="BH256" s="296" t="str">
        <f>IFERROR(__xludf.DUMMYFUNCTION("""COMPUTED_VALUE"""),"#REF!")</f>
        <v>#REF!</v>
      </c>
      <c r="BI256" s="295">
        <f>IFERROR(__xludf.DUMMYFUNCTION("""COMPUTED_VALUE"""),146.0)</f>
        <v>146</v>
      </c>
      <c r="BJ256" s="292"/>
      <c r="BK256" s="346">
        <f>IFERROR(__xludf.DUMMYFUNCTION("""COMPUTED_VALUE"""),1728.0)</f>
        <v>1728</v>
      </c>
      <c r="BL256" s="292"/>
      <c r="BM256" s="292"/>
      <c r="BN256" s="292"/>
      <c r="BO256" s="292"/>
      <c r="BP256" s="292"/>
      <c r="BQ256" s="292"/>
      <c r="BR256" s="292" t="b">
        <f>IFERROR(__xludf.DUMMYFUNCTION("""COMPUTED_VALUE"""),FALSE)</f>
        <v>0</v>
      </c>
      <c r="BS256" s="292" t="b">
        <f>IFERROR(__xludf.DUMMYFUNCTION("""COMPUTED_VALUE"""),FALSE)</f>
        <v>0</v>
      </c>
      <c r="BT256" s="292"/>
      <c r="BU256" s="292"/>
      <c r="BV256" s="292"/>
      <c r="BW256" s="292"/>
    </row>
    <row r="257">
      <c r="A257" s="292" t="str">
        <f>IFERROR(__xludf.DUMMYFUNCTION("""COMPUTED_VALUE"""),"FE4086A")</f>
        <v>FE4086A</v>
      </c>
      <c r="B257" s="292" t="str">
        <f>IFERROR(__xludf.DUMMYFUNCTION("""COMPUTED_VALUE"""),"")</f>
        <v/>
      </c>
      <c r="C257" s="292"/>
      <c r="D257" s="292"/>
      <c r="E257" s="292" t="str">
        <f>IFERROR(__xludf.DUMMYFUNCTION("""COMPUTED_VALUE"""),"Herb-Grilled Mozzarella Chicken &amp; Artichoke Risotto")</f>
        <v>Herb-Grilled Mozzarella Chicken &amp; Artichoke Risotto</v>
      </c>
      <c r="F257" s="292" t="str">
        <f>IFERROR(__xludf.DUMMYFUNCTION("""COMPUTED_VALUE"""),"with Honey Rosemary Carrot &amp; Brussels Sprouts")</f>
        <v>with Honey Rosemary Carrot &amp; Brussels Sprouts</v>
      </c>
      <c r="G257" s="292"/>
      <c r="H257" s="292"/>
      <c r="I257" s="292" t="str">
        <f>IFERROR(__xludf.DUMMYFUNCTION("""COMPUTED_VALUE"""),"#N/A")</f>
        <v>#N/A</v>
      </c>
      <c r="J257" s="292"/>
      <c r="K257" s="292"/>
      <c r="L257" s="292"/>
      <c r="M257" s="292" t="str">
        <f>IFERROR(__xludf.DUMMYFUNCTION("""COMPUTED_VALUE"""),"#N/A")</f>
        <v>#N/A</v>
      </c>
      <c r="N257" s="292" t="str">
        <f>IFERROR(__xludf.DUMMYFUNCTION("""COMPUTED_VALUE"""),"#N/A")</f>
        <v>#N/A</v>
      </c>
      <c r="O257" s="292" t="str">
        <f>IFERROR(__xludf.DUMMYFUNCTION("""COMPUTED_VALUE"""),"#N/A")</f>
        <v>#N/A</v>
      </c>
      <c r="P257" s="292"/>
      <c r="Q257" s="292"/>
      <c r="R257" s="292"/>
      <c r="S257" s="292"/>
      <c r="T257" s="292"/>
      <c r="U257" s="292"/>
      <c r="V257" s="292"/>
      <c r="W257" s="292" t="b">
        <f>IFERROR(__xludf.DUMMYFUNCTION("""COMPUTED_VALUE"""),TRUE)</f>
        <v>1</v>
      </c>
      <c r="X257" s="292" t="str">
        <f>IFERROR(__xludf.DUMMYFUNCTION("""COMPUTED_VALUE"""),"#N/A")</f>
        <v>#N/A</v>
      </c>
      <c r="Y257" s="344" t="str">
        <f>IFERROR(__xludf.DUMMYFUNCTION("""COMPUTED_VALUE"""),"#N/A")</f>
        <v>#N/A</v>
      </c>
      <c r="Z257" s="343" t="str">
        <f>IFERROR(__xludf.DUMMYFUNCTION("""COMPUTED_VALUE"""),"#N/A")</f>
        <v>#N/A</v>
      </c>
      <c r="AA257" s="292" t="str">
        <f>IFERROR(__xludf.DUMMYFUNCTION("""COMPUTED_VALUE"""),"#N/A")</f>
        <v>#N/A</v>
      </c>
      <c r="AB257" s="292" t="str">
        <f>IFERROR(__xludf.DUMMYFUNCTION("""COMPUTED_VALUE"""),"#N/A")</f>
        <v>#N/A</v>
      </c>
      <c r="AC257" s="292" t="str">
        <f>IFERROR(__xludf.DUMMYFUNCTION("""COMPUTED_VALUE"""),"#N/A")</f>
        <v>#N/A</v>
      </c>
      <c r="AD257" s="292" t="str">
        <f>IFERROR(__xludf.DUMMYFUNCTION("""COMPUTED_VALUE"""),"#N/A")</f>
        <v>#N/A</v>
      </c>
      <c r="AE257" s="343" t="str">
        <f>IFERROR(__xludf.DUMMYFUNCTION("""COMPUTED_VALUE"""),"#N/A")</f>
        <v>#N/A</v>
      </c>
      <c r="AF257" s="292" t="str">
        <f>IFERROR(__xludf.DUMMYFUNCTION("""COMPUTED_VALUE"""),"#N/A")</f>
        <v>#N/A</v>
      </c>
      <c r="AG257" s="292"/>
      <c r="AH257" s="292" t="str">
        <f>IFERROR(__xludf.DUMMYFUNCTION("""COMPUTED_VALUE"""),"#N/A")</f>
        <v>#N/A</v>
      </c>
      <c r="AI257" s="292" t="str">
        <f>IFERROR(__xludf.DUMMYFUNCTION("""COMPUTED_VALUE"""),"#N/A")</f>
        <v>#N/A</v>
      </c>
      <c r="AJ257" s="292" t="str">
        <f>IFERROR(__xludf.DUMMYFUNCTION("""COMPUTED_VALUE"""),"#N/A")</f>
        <v>#N/A</v>
      </c>
      <c r="AK257" s="292" t="str">
        <f>IFERROR(__xludf.DUMMYFUNCTION("""COMPUTED_VALUE"""),"#N/A")</f>
        <v>#N/A</v>
      </c>
      <c r="AL257" s="292" t="str">
        <f>IFERROR(__xludf.DUMMYFUNCTION("""COMPUTED_VALUE"""),"#N/A")</f>
        <v>#N/A</v>
      </c>
      <c r="AM257" s="292" t="str">
        <f>IFERROR(__xludf.DUMMYFUNCTION("""COMPUTED_VALUE"""),"#N/A")</f>
        <v>#N/A</v>
      </c>
      <c r="AN257" s="292" t="str">
        <f>IFERROR(__xludf.DUMMYFUNCTION("""COMPUTED_VALUE"""),"#N/A")</f>
        <v>#N/A</v>
      </c>
      <c r="AO257" s="292" t="str">
        <f>IFERROR(__xludf.DUMMYFUNCTION("""COMPUTED_VALUE"""),"#N/A")</f>
        <v>#N/A</v>
      </c>
      <c r="AP257" s="292"/>
      <c r="AQ257" s="292"/>
      <c r="AR257" s="292"/>
      <c r="AS257" s="292"/>
      <c r="AT257" s="292"/>
      <c r="AU257" s="292"/>
      <c r="AV257" s="292"/>
      <c r="AW257" s="292"/>
      <c r="AX257" s="292"/>
      <c r="AY257" s="292"/>
      <c r="AZ257" s="292"/>
      <c r="BA257" s="292"/>
      <c r="BB257" s="292"/>
      <c r="BC257" s="292"/>
      <c r="BD257" s="292"/>
      <c r="BE257" s="292"/>
      <c r="BF257" s="296" t="str">
        <f>IFERROR(__xludf.DUMMYFUNCTION("""COMPUTED_VALUE"""),"#REF!")</f>
        <v>#REF!</v>
      </c>
      <c r="BG257" s="296" t="str">
        <f>IFERROR(__xludf.DUMMYFUNCTION("""COMPUTED_VALUE"""),"#REF!")</f>
        <v>#REF!</v>
      </c>
      <c r="BH257" s="296" t="str">
        <f>IFERROR(__xludf.DUMMYFUNCTION("""COMPUTED_VALUE"""),"#REF!")</f>
        <v>#REF!</v>
      </c>
      <c r="BI257" s="295" t="str">
        <f>IFERROR(__xludf.DUMMYFUNCTION("""COMPUTED_VALUE"""),"#N/A")</f>
        <v>#N/A</v>
      </c>
      <c r="BJ257" s="292"/>
      <c r="BK257" s="346" t="str">
        <f>IFERROR(__xludf.DUMMYFUNCTION("""COMPUTED_VALUE"""),"#N/A")</f>
        <v>#N/A</v>
      </c>
      <c r="BL257" s="292"/>
      <c r="BM257" s="292"/>
      <c r="BN257" s="292"/>
      <c r="BO257" s="292"/>
      <c r="BP257" s="292"/>
      <c r="BQ257" s="292"/>
      <c r="BR257" s="292" t="str">
        <f>IFERROR(__xludf.DUMMYFUNCTION("""COMPUTED_VALUE"""),"#N/A")</f>
        <v>#N/A</v>
      </c>
      <c r="BS257" s="292" t="str">
        <f>IFERROR(__xludf.DUMMYFUNCTION("""COMPUTED_VALUE"""),"#N/A")</f>
        <v>#N/A</v>
      </c>
      <c r="BT257" s="292"/>
      <c r="BU257" s="292"/>
      <c r="BV257" s="292"/>
      <c r="BW257" s="292"/>
    </row>
    <row r="258">
      <c r="A258" s="292" t="str">
        <f>IFERROR(__xludf.DUMMYFUNCTION("""COMPUTED_VALUE"""),"FE1804A")</f>
        <v>FE1804A</v>
      </c>
      <c r="B258" s="292" t="str">
        <f>IFERROR(__xludf.DUMMYFUNCTION("""COMPUTED_VALUE"""),"")</f>
        <v/>
      </c>
      <c r="C258" s="292"/>
      <c r="D258" s="292"/>
      <c r="E258" s="292" t="str">
        <f>IFERROR(__xludf.DUMMYFUNCTION("""COMPUTED_VALUE"""),"Sumac Chicken &amp; Tabbouleh Quinoa")</f>
        <v>Sumac Chicken &amp; Tabbouleh Quinoa</v>
      </c>
      <c r="F258" s="292" t="str">
        <f>IFERROR(__xludf.DUMMYFUNCTION("""COMPUTED_VALUE"""),"with Chickpeas, Peppers &amp; Herb Tahini")</f>
        <v>with Chickpeas, Peppers &amp; Herb Tahini</v>
      </c>
      <c r="G258" s="292"/>
      <c r="H258" s="292"/>
      <c r="I258" s="292" t="str">
        <f>IFERROR(__xludf.DUMMYFUNCTION("""COMPUTED_VALUE"""),"#N/A")</f>
        <v>#N/A</v>
      </c>
      <c r="J258" s="292"/>
      <c r="K258" s="292"/>
      <c r="L258" s="292"/>
      <c r="M258" s="292" t="str">
        <f>IFERROR(__xludf.DUMMYFUNCTION("""COMPUTED_VALUE"""),"#N/A")</f>
        <v>#N/A</v>
      </c>
      <c r="N258" s="292" t="str">
        <f>IFERROR(__xludf.DUMMYFUNCTION("""COMPUTED_VALUE"""),"#N/A")</f>
        <v>#N/A</v>
      </c>
      <c r="O258" s="292" t="str">
        <f>IFERROR(__xludf.DUMMYFUNCTION("""COMPUTED_VALUE"""),"#N/A")</f>
        <v>#N/A</v>
      </c>
      <c r="P258" s="292"/>
      <c r="Q258" s="292"/>
      <c r="R258" s="292"/>
      <c r="S258" s="292"/>
      <c r="T258" s="292"/>
      <c r="U258" s="292"/>
      <c r="V258" s="292"/>
      <c r="W258" s="292" t="b">
        <f>IFERROR(__xludf.DUMMYFUNCTION("""COMPUTED_VALUE"""),TRUE)</f>
        <v>1</v>
      </c>
      <c r="X258" s="292" t="str">
        <f>IFERROR(__xludf.DUMMYFUNCTION("""COMPUTED_VALUE"""),"#N/A")</f>
        <v>#N/A</v>
      </c>
      <c r="Y258" s="344" t="str">
        <f>IFERROR(__xludf.DUMMYFUNCTION("""COMPUTED_VALUE"""),"#N/A")</f>
        <v>#N/A</v>
      </c>
      <c r="Z258" s="343" t="str">
        <f>IFERROR(__xludf.DUMMYFUNCTION("""COMPUTED_VALUE"""),"#N/A")</f>
        <v>#N/A</v>
      </c>
      <c r="AA258" s="292" t="str">
        <f>IFERROR(__xludf.DUMMYFUNCTION("""COMPUTED_VALUE"""),"#N/A")</f>
        <v>#N/A</v>
      </c>
      <c r="AB258" s="292" t="str">
        <f>IFERROR(__xludf.DUMMYFUNCTION("""COMPUTED_VALUE"""),"#N/A")</f>
        <v>#N/A</v>
      </c>
      <c r="AC258" s="292" t="str">
        <f>IFERROR(__xludf.DUMMYFUNCTION("""COMPUTED_VALUE"""),"#N/A")</f>
        <v>#N/A</v>
      </c>
      <c r="AD258" s="292" t="str">
        <f>IFERROR(__xludf.DUMMYFUNCTION("""COMPUTED_VALUE"""),"#N/A")</f>
        <v>#N/A</v>
      </c>
      <c r="AE258" s="343" t="str">
        <f>IFERROR(__xludf.DUMMYFUNCTION("""COMPUTED_VALUE"""),"#N/A")</f>
        <v>#N/A</v>
      </c>
      <c r="AF258" s="292" t="str">
        <f>IFERROR(__xludf.DUMMYFUNCTION("""COMPUTED_VALUE"""),"#N/A")</f>
        <v>#N/A</v>
      </c>
      <c r="AG258" s="292"/>
      <c r="AH258" s="292" t="str">
        <f>IFERROR(__xludf.DUMMYFUNCTION("""COMPUTED_VALUE"""),"#N/A")</f>
        <v>#N/A</v>
      </c>
      <c r="AI258" s="292" t="str">
        <f>IFERROR(__xludf.DUMMYFUNCTION("""COMPUTED_VALUE"""),"#N/A")</f>
        <v>#N/A</v>
      </c>
      <c r="AJ258" s="292" t="str">
        <f>IFERROR(__xludf.DUMMYFUNCTION("""COMPUTED_VALUE"""),"#N/A")</f>
        <v>#N/A</v>
      </c>
      <c r="AK258" s="292" t="str">
        <f>IFERROR(__xludf.DUMMYFUNCTION("""COMPUTED_VALUE"""),"#N/A")</f>
        <v>#N/A</v>
      </c>
      <c r="AL258" s="292" t="str">
        <f>IFERROR(__xludf.DUMMYFUNCTION("""COMPUTED_VALUE"""),"#N/A")</f>
        <v>#N/A</v>
      </c>
      <c r="AM258" s="292" t="str">
        <f>IFERROR(__xludf.DUMMYFUNCTION("""COMPUTED_VALUE"""),"#N/A")</f>
        <v>#N/A</v>
      </c>
      <c r="AN258" s="292" t="str">
        <f>IFERROR(__xludf.DUMMYFUNCTION("""COMPUTED_VALUE"""),"#N/A")</f>
        <v>#N/A</v>
      </c>
      <c r="AO258" s="292" t="str">
        <f>IFERROR(__xludf.DUMMYFUNCTION("""COMPUTED_VALUE"""),"#N/A")</f>
        <v>#N/A</v>
      </c>
      <c r="AP258" s="292"/>
      <c r="AQ258" s="292"/>
      <c r="AR258" s="292"/>
      <c r="AS258" s="292"/>
      <c r="AT258" s="292"/>
      <c r="AU258" s="292"/>
      <c r="AV258" s="292"/>
      <c r="AW258" s="292"/>
      <c r="AX258" s="292"/>
      <c r="AY258" s="292"/>
      <c r="AZ258" s="292"/>
      <c r="BA258" s="292"/>
      <c r="BB258" s="292"/>
      <c r="BC258" s="292"/>
      <c r="BD258" s="292"/>
      <c r="BE258" s="292"/>
      <c r="BF258" s="296" t="str">
        <f>IFERROR(__xludf.DUMMYFUNCTION("""COMPUTED_VALUE"""),"#REF!")</f>
        <v>#REF!</v>
      </c>
      <c r="BG258" s="296" t="str">
        <f>IFERROR(__xludf.DUMMYFUNCTION("""COMPUTED_VALUE"""),"#REF!")</f>
        <v>#REF!</v>
      </c>
      <c r="BH258" s="296" t="str">
        <f>IFERROR(__xludf.DUMMYFUNCTION("""COMPUTED_VALUE"""),"#REF!")</f>
        <v>#REF!</v>
      </c>
      <c r="BI258" s="295" t="str">
        <f>IFERROR(__xludf.DUMMYFUNCTION("""COMPUTED_VALUE"""),"#N/A")</f>
        <v>#N/A</v>
      </c>
      <c r="BJ258" s="292"/>
      <c r="BK258" s="346" t="str">
        <f>IFERROR(__xludf.DUMMYFUNCTION("""COMPUTED_VALUE"""),"#N/A")</f>
        <v>#N/A</v>
      </c>
      <c r="BL258" s="292"/>
      <c r="BM258" s="292"/>
      <c r="BN258" s="292"/>
      <c r="BO258" s="292"/>
      <c r="BP258" s="292"/>
      <c r="BQ258" s="292"/>
      <c r="BR258" s="292" t="str">
        <f>IFERROR(__xludf.DUMMYFUNCTION("""COMPUTED_VALUE"""),"#N/A")</f>
        <v>#N/A</v>
      </c>
      <c r="BS258" s="292" t="str">
        <f>IFERROR(__xludf.DUMMYFUNCTION("""COMPUTED_VALUE"""),"#N/A")</f>
        <v>#N/A</v>
      </c>
      <c r="BT258" s="292"/>
      <c r="BU258" s="292"/>
      <c r="BV258" s="292"/>
      <c r="BW258" s="292"/>
    </row>
    <row r="259">
      <c r="A259" s="292" t="str">
        <f>IFERROR(__xludf.DUMMYFUNCTION("""COMPUTED_VALUE"""),"FE4087A")</f>
        <v>FE4087A</v>
      </c>
      <c r="B259" s="292" t="str">
        <f>IFERROR(__xludf.DUMMYFUNCTION("""COMPUTED_VALUE"""),"")</f>
        <v/>
      </c>
      <c r="C259" s="292"/>
      <c r="D259" s="292"/>
      <c r="E259" s="292" t="str">
        <f>IFERROR(__xludf.DUMMYFUNCTION("""COMPUTED_VALUE"""),"Green Curry Chicken &amp; Coconut Wild Rice")</f>
        <v>Green Curry Chicken &amp; Coconut Wild Rice</v>
      </c>
      <c r="F259" s="292" t="str">
        <f>IFERROR(__xludf.DUMMYFUNCTION("""COMPUTED_VALUE"""),"with Roasted Broccoli and Carrots")</f>
        <v>with Roasted Broccoli and Carrots</v>
      </c>
      <c r="G259" s="292"/>
      <c r="H259" s="292"/>
      <c r="I259" s="292" t="str">
        <f>IFERROR(__xludf.DUMMYFUNCTION("""COMPUTED_VALUE"""),"#N/A")</f>
        <v>#N/A</v>
      </c>
      <c r="J259" s="292"/>
      <c r="K259" s="292"/>
      <c r="L259" s="292"/>
      <c r="M259" s="292" t="str">
        <f>IFERROR(__xludf.DUMMYFUNCTION("""COMPUTED_VALUE"""),"#N/A")</f>
        <v>#N/A</v>
      </c>
      <c r="N259" s="292" t="str">
        <f>IFERROR(__xludf.DUMMYFUNCTION("""COMPUTED_VALUE"""),"#N/A")</f>
        <v>#N/A</v>
      </c>
      <c r="O259" s="292" t="str">
        <f>IFERROR(__xludf.DUMMYFUNCTION("""COMPUTED_VALUE"""),"#N/A")</f>
        <v>#N/A</v>
      </c>
      <c r="P259" s="292"/>
      <c r="Q259" s="292"/>
      <c r="R259" s="292"/>
      <c r="S259" s="292"/>
      <c r="T259" s="292"/>
      <c r="U259" s="292"/>
      <c r="V259" s="292"/>
      <c r="W259" s="292" t="b">
        <f>IFERROR(__xludf.DUMMYFUNCTION("""COMPUTED_VALUE"""),TRUE)</f>
        <v>1</v>
      </c>
      <c r="X259" s="292" t="str">
        <f>IFERROR(__xludf.DUMMYFUNCTION("""COMPUTED_VALUE"""),"#N/A")</f>
        <v>#N/A</v>
      </c>
      <c r="Y259" s="344" t="str">
        <f>IFERROR(__xludf.DUMMYFUNCTION("""COMPUTED_VALUE"""),"#N/A")</f>
        <v>#N/A</v>
      </c>
      <c r="Z259" s="343" t="str">
        <f>IFERROR(__xludf.DUMMYFUNCTION("""COMPUTED_VALUE"""),"#N/A")</f>
        <v>#N/A</v>
      </c>
      <c r="AA259" s="292" t="str">
        <f>IFERROR(__xludf.DUMMYFUNCTION("""COMPUTED_VALUE"""),"#N/A")</f>
        <v>#N/A</v>
      </c>
      <c r="AB259" s="292" t="str">
        <f>IFERROR(__xludf.DUMMYFUNCTION("""COMPUTED_VALUE"""),"#N/A")</f>
        <v>#N/A</v>
      </c>
      <c r="AC259" s="292" t="str">
        <f>IFERROR(__xludf.DUMMYFUNCTION("""COMPUTED_VALUE"""),"#N/A")</f>
        <v>#N/A</v>
      </c>
      <c r="AD259" s="292" t="str">
        <f>IFERROR(__xludf.DUMMYFUNCTION("""COMPUTED_VALUE"""),"#N/A")</f>
        <v>#N/A</v>
      </c>
      <c r="AE259" s="343" t="str">
        <f>IFERROR(__xludf.DUMMYFUNCTION("""COMPUTED_VALUE"""),"#N/A")</f>
        <v>#N/A</v>
      </c>
      <c r="AF259" s="292" t="str">
        <f>IFERROR(__xludf.DUMMYFUNCTION("""COMPUTED_VALUE"""),"#N/A")</f>
        <v>#N/A</v>
      </c>
      <c r="AG259" s="292"/>
      <c r="AH259" s="292" t="str">
        <f>IFERROR(__xludf.DUMMYFUNCTION("""COMPUTED_VALUE"""),"#N/A")</f>
        <v>#N/A</v>
      </c>
      <c r="AI259" s="292" t="str">
        <f>IFERROR(__xludf.DUMMYFUNCTION("""COMPUTED_VALUE"""),"#N/A")</f>
        <v>#N/A</v>
      </c>
      <c r="AJ259" s="292" t="str">
        <f>IFERROR(__xludf.DUMMYFUNCTION("""COMPUTED_VALUE"""),"#N/A")</f>
        <v>#N/A</v>
      </c>
      <c r="AK259" s="292" t="str">
        <f>IFERROR(__xludf.DUMMYFUNCTION("""COMPUTED_VALUE"""),"#N/A")</f>
        <v>#N/A</v>
      </c>
      <c r="AL259" s="292" t="str">
        <f>IFERROR(__xludf.DUMMYFUNCTION("""COMPUTED_VALUE"""),"#N/A")</f>
        <v>#N/A</v>
      </c>
      <c r="AM259" s="292" t="str">
        <f>IFERROR(__xludf.DUMMYFUNCTION("""COMPUTED_VALUE"""),"#N/A")</f>
        <v>#N/A</v>
      </c>
      <c r="AN259" s="292" t="str">
        <f>IFERROR(__xludf.DUMMYFUNCTION("""COMPUTED_VALUE"""),"#N/A")</f>
        <v>#N/A</v>
      </c>
      <c r="AO259" s="292" t="str">
        <f>IFERROR(__xludf.DUMMYFUNCTION("""COMPUTED_VALUE"""),"#N/A")</f>
        <v>#N/A</v>
      </c>
      <c r="AP259" s="292"/>
      <c r="AQ259" s="292"/>
      <c r="AR259" s="292"/>
      <c r="AS259" s="292"/>
      <c r="AT259" s="292"/>
      <c r="AU259" s="292"/>
      <c r="AV259" s="292"/>
      <c r="AW259" s="292"/>
      <c r="AX259" s="292"/>
      <c r="AY259" s="292"/>
      <c r="AZ259" s="292"/>
      <c r="BA259" s="292"/>
      <c r="BB259" s="292"/>
      <c r="BC259" s="292"/>
      <c r="BD259" s="292"/>
      <c r="BE259" s="292"/>
      <c r="BF259" s="296" t="str">
        <f>IFERROR(__xludf.DUMMYFUNCTION("""COMPUTED_VALUE"""),"#REF!")</f>
        <v>#REF!</v>
      </c>
      <c r="BG259" s="296" t="str">
        <f>IFERROR(__xludf.DUMMYFUNCTION("""COMPUTED_VALUE"""),"#REF!")</f>
        <v>#REF!</v>
      </c>
      <c r="BH259" s="296" t="str">
        <f>IFERROR(__xludf.DUMMYFUNCTION("""COMPUTED_VALUE"""),"#REF!")</f>
        <v>#REF!</v>
      </c>
      <c r="BI259" s="295" t="str">
        <f>IFERROR(__xludf.DUMMYFUNCTION("""COMPUTED_VALUE"""),"#N/A")</f>
        <v>#N/A</v>
      </c>
      <c r="BJ259" s="292"/>
      <c r="BK259" s="346" t="str">
        <f>IFERROR(__xludf.DUMMYFUNCTION("""COMPUTED_VALUE"""),"#N/A")</f>
        <v>#N/A</v>
      </c>
      <c r="BL259" s="292"/>
      <c r="BM259" s="292"/>
      <c r="BN259" s="292"/>
      <c r="BO259" s="292"/>
      <c r="BP259" s="292"/>
      <c r="BQ259" s="292"/>
      <c r="BR259" s="292" t="str">
        <f>IFERROR(__xludf.DUMMYFUNCTION("""COMPUTED_VALUE"""),"#N/A")</f>
        <v>#N/A</v>
      </c>
      <c r="BS259" s="292" t="str">
        <f>IFERROR(__xludf.DUMMYFUNCTION("""COMPUTED_VALUE"""),"#N/A")</f>
        <v>#N/A</v>
      </c>
      <c r="BT259" s="292"/>
      <c r="BU259" s="292"/>
      <c r="BV259" s="292"/>
      <c r="BW259" s="292"/>
    </row>
    <row r="260">
      <c r="A260" s="292" t="str">
        <f>IFERROR(__xludf.DUMMYFUNCTION("""COMPUTED_VALUE"""),"FE4088A")</f>
        <v>FE4088A</v>
      </c>
      <c r="B260" s="292" t="str">
        <f>IFERROR(__xludf.DUMMYFUNCTION("""COMPUTED_VALUE"""),"CON-40-168125-4")</f>
        <v>CON-40-168125-4</v>
      </c>
      <c r="C260" s="292" t="str">
        <f>IFERROR(__xludf.DUMMYFUNCTION("""COMPUTED_VALUE"""),"CON-00-168124-2")</f>
        <v>CON-00-168124-2</v>
      </c>
      <c r="D260" s="292" t="str">
        <f>IFERROR(__xludf.DUMMYFUNCTION("""COMPUTED_VALUE"""),"CON-00-168123-2")</f>
        <v>CON-00-168123-2</v>
      </c>
      <c r="E260" s="292" t="str">
        <f>IFERROR(__xludf.DUMMYFUNCTION("""COMPUTED_VALUE"""),"Chicken &amp; Mushroom Gravy")</f>
        <v>Chicken &amp; Mushroom Gravy</v>
      </c>
      <c r="F260" s="292" t="str">
        <f>IFERROR(__xludf.DUMMYFUNCTION("""COMPUTED_VALUE"""),"with Potato Mash &amp; Honey-Rosemary Root Vegetables")</f>
        <v>with Potato Mash &amp; Honey-Rosemary Root Vegetables</v>
      </c>
      <c r="G260" s="292" t="str">
        <f>IFERROR(__xludf.DUMMYFUNCTION("""COMPUTED_VALUE"""),"Kip met champignonjus")</f>
        <v>Kip met champignonjus</v>
      </c>
      <c r="H260" s="292" t="str">
        <f>IFERROR(__xludf.DUMMYFUNCTION("""COMPUTED_VALUE"""),"met aardappelpuree en geroosterde groenten met honing en rozemarijn")</f>
        <v>met aardappelpuree en geroosterde groenten met honing en rozemarijn</v>
      </c>
      <c r="I260" s="292" t="str">
        <f>IFERROR(__xludf.DUMMYFUNCTION("""COMPUTED_VALUE"""),"Kylling i svampesauce")</f>
        <v>Kylling i svampesauce</v>
      </c>
      <c r="J260" s="292" t="str">
        <f>IFERROR(__xludf.DUMMYFUNCTION("""COMPUTED_VALUE"""),"Hähnchen &amp; Pilzrahmsoße")</f>
        <v>Hähnchen &amp; Pilzrahmsoße</v>
      </c>
      <c r="K260" s="292">
        <f>IFERROR(__xludf.DUMMYFUNCTION("""COMPUTED_VALUE"""),565275.0)</f>
        <v>565275</v>
      </c>
      <c r="L260" s="292" t="str">
        <f>IFERROR(__xludf.DUMMYFUNCTION("""COMPUTED_VALUE"""),"HF Salie kip en mushroom gravy")</f>
        <v>HF Salie kip en mushroom gravy</v>
      </c>
      <c r="M260" s="292" t="str">
        <f>IFERROR(__xludf.DUMMYFUNCTION("""COMPUTED_VALUE"""),"FA-NL Kip met champignonjus (FE4088)")</f>
        <v>FA-NL Kip met champignonjus (FE4088)</v>
      </c>
      <c r="N260" s="292" t="str">
        <f>IFERROR(__xludf.DUMMYFUNCTION("""COMPUTED_VALUE"""),"FA-NO Kylling i svampesauce (FE4088)")</f>
        <v>FA-NO Kylling i svampesauce (FE4088)</v>
      </c>
      <c r="O260" s="292" t="str">
        <f>IFERROR(__xludf.DUMMYFUNCTION("""COMPUTED_VALUE"""),"FA-DE Hähnchen &amp; Pilzrahmsoße (FE4088)")</f>
        <v>FA-DE Hähnchen &amp; Pilzrahmsoße (FE4088)</v>
      </c>
      <c r="P260" s="292" t="str">
        <f>IFERROR(__xludf.DUMMYFUNCTION("""COMPUTED_VALUE"""),"Active")</f>
        <v>Active</v>
      </c>
      <c r="Q260" s="292"/>
      <c r="R260" s="342">
        <f>IFERROR(__xludf.DUMMYFUNCTION("""COMPUTED_VALUE"""),4.65)</f>
        <v>4.65</v>
      </c>
      <c r="S260" s="292"/>
      <c r="T260" s="292"/>
      <c r="U260" s="292"/>
      <c r="V260" s="292"/>
      <c r="W260" s="292" t="b">
        <f>IFERROR(__xludf.DUMMYFUNCTION("""COMPUTED_VALUE"""),TRUE)</f>
        <v>1</v>
      </c>
      <c r="X260" s="345">
        <f>IFERROR(__xludf.DUMMYFUNCTION("""COMPUTED_VALUE"""),439.0)</f>
        <v>439</v>
      </c>
      <c r="Y260" s="344">
        <f>IFERROR(__xludf.DUMMYFUNCTION("""COMPUTED_VALUE"""),509.0)</f>
        <v>509</v>
      </c>
      <c r="Z260" s="343">
        <f>IFERROR(__xludf.DUMMYFUNCTION("""COMPUTED_VALUE"""),27.8)</f>
        <v>27.8</v>
      </c>
      <c r="AA260" s="344">
        <f>IFERROR(__xludf.DUMMYFUNCTION("""COMPUTED_VALUE"""),11.8)</f>
        <v>11.8</v>
      </c>
      <c r="AB260" s="344">
        <f>IFERROR(__xludf.DUMMYFUNCTION("""COMPUTED_VALUE"""),31.3)</f>
        <v>31.3</v>
      </c>
      <c r="AC260" s="344">
        <f>IFERROR(__xludf.DUMMYFUNCTION("""COMPUTED_VALUE"""),16.2)</f>
        <v>16.2</v>
      </c>
      <c r="AD260" s="344">
        <f>IFERROR(__xludf.DUMMYFUNCTION("""COMPUTED_VALUE"""),7.3)</f>
        <v>7.3</v>
      </c>
      <c r="AE260" s="343">
        <f>IFERROR(__xludf.DUMMYFUNCTION("""COMPUTED_VALUE"""),30.3)</f>
        <v>30.3</v>
      </c>
      <c r="AF260" s="343">
        <f>IFERROR(__xludf.DUMMYFUNCTION("""COMPUTED_VALUE"""),2.2)</f>
        <v>2.2</v>
      </c>
      <c r="AG260" s="292" t="b">
        <f>IFERROR(__xludf.DUMMYFUNCTION("""COMPUTED_VALUE"""),FALSE)</f>
        <v>0</v>
      </c>
      <c r="AH260" s="292" t="b">
        <f>IFERROR(__xludf.DUMMYFUNCTION("""COMPUTED_VALUE"""),FALSE)</f>
        <v>0</v>
      </c>
      <c r="AI260" s="292" t="b">
        <f>IFERROR(__xludf.DUMMYFUNCTION("""COMPUTED_VALUE"""),TRUE)</f>
        <v>1</v>
      </c>
      <c r="AJ260" s="292" t="b">
        <f>IFERROR(__xludf.DUMMYFUNCTION("""COMPUTED_VALUE"""),FALSE)</f>
        <v>0</v>
      </c>
      <c r="AK260" s="292" t="b">
        <f>IFERROR(__xludf.DUMMYFUNCTION("""COMPUTED_VALUE"""),FALSE)</f>
        <v>0</v>
      </c>
      <c r="AL260" s="292" t="b">
        <f>IFERROR(__xludf.DUMMYFUNCTION("""COMPUTED_VALUE"""),FALSE)</f>
        <v>0</v>
      </c>
      <c r="AM260" s="292" t="b">
        <f>IFERROR(__xludf.DUMMYFUNCTION("""COMPUTED_VALUE"""),TRUE)</f>
        <v>1</v>
      </c>
      <c r="AN260" s="292" t="b">
        <f>IFERROR(__xludf.DUMMYFUNCTION("""COMPUTED_VALUE"""),FALSE)</f>
        <v>0</v>
      </c>
      <c r="AO260" s="292" t="str">
        <f>IFERROR(__xludf.DUMMYFUNCTION("""COMPUTED_VALUE"""),"FALSE")</f>
        <v>FALSE</v>
      </c>
      <c r="AP260" s="292" t="str">
        <f>IFERROR(__xludf.DUMMYFUNCTION("""COMPUTED_VALUE"""),"Chicken breast")</f>
        <v>Chicken breast</v>
      </c>
      <c r="AQ260" s="292" t="str">
        <f>IFERROR(__xludf.DUMMYFUNCTION("""COMPUTED_VALUE"""),"Chicken")</f>
        <v>Chicken</v>
      </c>
      <c r="AR260" s="292" t="str">
        <f>IFERROR(__xludf.DUMMYFUNCTION("""COMPUTED_VALUE"""),"Breast")</f>
        <v>Breast</v>
      </c>
      <c r="AS260" s="292" t="str">
        <f>IFERROR(__xludf.DUMMYFUNCTION("""COMPUTED_VALUE"""),"Potato Mash")</f>
        <v>Potato Mash</v>
      </c>
      <c r="AT260" s="292" t="str">
        <f>IFERROR(__xludf.DUMMYFUNCTION("""COMPUTED_VALUE"""),"Mushrooms")</f>
        <v>Mushrooms</v>
      </c>
      <c r="AU260" s="292" t="str">
        <f>IFERROR(__xludf.DUMMYFUNCTION("""COMPUTED_VALUE"""),"Beets")</f>
        <v>Beets</v>
      </c>
      <c r="AV260" s="292" t="str">
        <f>IFERROR(__xludf.DUMMYFUNCTION("""COMPUTED_VALUE"""),"Creamy Sauce Base")</f>
        <v>Creamy Sauce Base</v>
      </c>
      <c r="AW260" s="292" t="str">
        <f>IFERROR(__xludf.DUMMYFUNCTION("""COMPUTED_VALUE"""),"Year Round")</f>
        <v>Year Round</v>
      </c>
      <c r="AX260" s="292" t="str">
        <f>IFERROR(__xludf.DUMMYFUNCTION("""COMPUTED_VALUE"""),"American")</f>
        <v>American</v>
      </c>
      <c r="AY260" s="292"/>
      <c r="AZ260" s="292" t="str">
        <f>IFERROR(__xludf.DUMMYFUNCTION("""COMPUTED_VALUE"""),"2 CT")</f>
        <v>2 CT</v>
      </c>
      <c r="BA260" s="292" t="b">
        <f>IFERROR(__xludf.DUMMYFUNCTION("""COMPUTED_VALUE"""),FALSE)</f>
        <v>0</v>
      </c>
      <c r="BB260" s="342">
        <f>IFERROR(__xludf.DUMMYFUNCTION("""COMPUTED_VALUE"""),2.89)</f>
        <v>2.89</v>
      </c>
      <c r="BC260" s="342">
        <f>IFERROR(__xludf.DUMMYFUNCTION("""COMPUTED_VALUE"""),1.36)</f>
        <v>1.36</v>
      </c>
      <c r="BD260" s="342">
        <f>IFERROR(__xludf.DUMMYFUNCTION("""COMPUTED_VALUE"""),0.4)</f>
        <v>0.4</v>
      </c>
      <c r="BE260" s="342">
        <f>IFERROR(__xludf.DUMMYFUNCTION("""COMPUTED_VALUE"""),0.89)</f>
        <v>0.89</v>
      </c>
      <c r="BF260" s="296">
        <f>IFERROR(__xludf.DUMMYFUNCTION("""COMPUTED_VALUE"""),3.46)</f>
        <v>3.46</v>
      </c>
      <c r="BG260" s="296">
        <f>IFERROR(__xludf.DUMMYFUNCTION("""COMPUTED_VALUE"""),3.41)</f>
        <v>3.41</v>
      </c>
      <c r="BH260" s="296">
        <f>IFERROR(__xludf.DUMMYFUNCTION("""COMPUTED_VALUE"""),3.53)</f>
        <v>3.53</v>
      </c>
      <c r="BI260" s="295">
        <f>IFERROR(__xludf.DUMMYFUNCTION("""COMPUTED_VALUE"""),170.0)</f>
        <v>170</v>
      </c>
      <c r="BJ260" s="292"/>
      <c r="BK260" s="346">
        <f>IFERROR(__xludf.DUMMYFUNCTION("""COMPUTED_VALUE"""),2123.0)</f>
        <v>2123</v>
      </c>
      <c r="BL260" s="292"/>
      <c r="BM260" s="292"/>
      <c r="BN260" s="292"/>
      <c r="BO260" s="292"/>
      <c r="BP260" s="292"/>
      <c r="BQ260" s="292"/>
      <c r="BR260" s="292" t="b">
        <f>IFERROR(__xludf.DUMMYFUNCTION("""COMPUTED_VALUE"""),FALSE)</f>
        <v>0</v>
      </c>
      <c r="BS260" s="292" t="b">
        <f>IFERROR(__xludf.DUMMYFUNCTION("""COMPUTED_VALUE"""),FALSE)</f>
        <v>0</v>
      </c>
      <c r="BT260" s="292"/>
      <c r="BU260" s="292"/>
      <c r="BV260" s="292"/>
      <c r="BW260" s="292"/>
    </row>
    <row r="261">
      <c r="A261" s="292" t="str">
        <f>IFERROR(__xludf.DUMMYFUNCTION("""COMPUTED_VALUE"""),"FE4089A")</f>
        <v>FE4089A</v>
      </c>
      <c r="B261" s="292" t="str">
        <f>IFERROR(__xludf.DUMMYFUNCTION("""COMPUTED_VALUE"""),"")</f>
        <v/>
      </c>
      <c r="C261" s="292"/>
      <c r="D261" s="292"/>
      <c r="E261" s="292" t="str">
        <f>IFERROR(__xludf.DUMMYFUNCTION("""COMPUTED_VALUE"""),"Aji Amarillo Chicken")</f>
        <v>Aji Amarillo Chicken</v>
      </c>
      <c r="F261" s="292" t="str">
        <f>IFERROR(__xludf.DUMMYFUNCTION("""COMPUTED_VALUE"""),"with Quinoa, Roasted Veggies &amp; Aji Verde Sauce")</f>
        <v>with Quinoa, Roasted Veggies &amp; Aji Verde Sauce</v>
      </c>
      <c r="G261" s="292" t="str">
        <f>IFERROR(__xludf.DUMMYFUNCTION("""COMPUTED_VALUE"""),"Kip in ají amarillo-stijl")</f>
        <v>Kip in ají amarillo-stijl</v>
      </c>
      <c r="H261" s="292" t="str">
        <f>IFERROR(__xludf.DUMMYFUNCTION("""COMPUTED_VALUE"""),"met quinoa, geroosterde groenten en ají verde-saus")</f>
        <v>met quinoa, geroosterde groenten en ají verde-saus</v>
      </c>
      <c r="I261" s="292"/>
      <c r="J261" s="292" t="str">
        <f>IFERROR(__xludf.DUMMYFUNCTION("""COMPUTED_VALUE"""),"Aji Amarillo Hähnchen")</f>
        <v>Aji Amarillo Hähnchen</v>
      </c>
      <c r="K261" s="292">
        <f>IFERROR(__xludf.DUMMYFUNCTION("""COMPUTED_VALUE"""),565282.0)</f>
        <v>565282</v>
      </c>
      <c r="L261" s="292" t="str">
        <f>IFERROR(__xludf.DUMMYFUNCTION("""COMPUTED_VALUE"""),"HF Kip quinoa en aji amarillo")</f>
        <v>HF Kip quinoa en aji amarillo</v>
      </c>
      <c r="M261" s="292" t="str">
        <f>IFERROR(__xludf.DUMMYFUNCTION("""COMPUTED_VALUE"""),"#N/A")</f>
        <v>#N/A</v>
      </c>
      <c r="N261" s="292" t="str">
        <f>IFERROR(__xludf.DUMMYFUNCTION("""COMPUTED_VALUE"""),"#N/A")</f>
        <v>#N/A</v>
      </c>
      <c r="O261" s="292" t="str">
        <f>IFERROR(__xludf.DUMMYFUNCTION("""COMPUTED_VALUE"""),"#N/A")</f>
        <v>#N/A</v>
      </c>
      <c r="P261" s="292" t="str">
        <f>IFERROR(__xludf.DUMMYFUNCTION("""COMPUTED_VALUE"""),"Active")</f>
        <v>Active</v>
      </c>
      <c r="Q261" s="292"/>
      <c r="R261" s="342">
        <f>IFERROR(__xludf.DUMMYFUNCTION("""COMPUTED_VALUE"""),4.84)</f>
        <v>4.84</v>
      </c>
      <c r="S261" s="292"/>
      <c r="T261" s="292"/>
      <c r="U261" s="292"/>
      <c r="V261" s="292"/>
      <c r="W261" s="292" t="b">
        <f>IFERROR(__xludf.DUMMYFUNCTION("""COMPUTED_VALUE"""),TRUE)</f>
        <v>1</v>
      </c>
      <c r="X261" s="345">
        <f>IFERROR(__xludf.DUMMYFUNCTION("""COMPUTED_VALUE"""),404.0)</f>
        <v>404</v>
      </c>
      <c r="Y261" s="344">
        <f>IFERROR(__xludf.DUMMYFUNCTION("""COMPUTED_VALUE"""),417.0)</f>
        <v>417</v>
      </c>
      <c r="Z261" s="343">
        <f>IFERROR(__xludf.DUMMYFUNCTION("""COMPUTED_VALUE"""),14.3)</f>
        <v>14.3</v>
      </c>
      <c r="AA261" s="344">
        <f>IFERROR(__xludf.DUMMYFUNCTION("""COMPUTED_VALUE"""),3.4)</f>
        <v>3.4</v>
      </c>
      <c r="AB261" s="344">
        <f>IFERROR(__xludf.DUMMYFUNCTION("""COMPUTED_VALUE"""),34.6)</f>
        <v>34.6</v>
      </c>
      <c r="AC261" s="344">
        <f>IFERROR(__xludf.DUMMYFUNCTION("""COMPUTED_VALUE"""),8.6)</f>
        <v>8.6</v>
      </c>
      <c r="AD261" s="344">
        <f>IFERROR(__xludf.DUMMYFUNCTION("""COMPUTED_VALUE"""),8.5)</f>
        <v>8.5</v>
      </c>
      <c r="AE261" s="343">
        <f>IFERROR(__xludf.DUMMYFUNCTION("""COMPUTED_VALUE"""),33.7)</f>
        <v>33.7</v>
      </c>
      <c r="AF261" s="343">
        <f>IFERROR(__xludf.DUMMYFUNCTION("""COMPUTED_VALUE"""),2.2)</f>
        <v>2.2</v>
      </c>
      <c r="AG261" s="292" t="b">
        <f>IFERROR(__xludf.DUMMYFUNCTION("""COMPUTED_VALUE"""),TRUE)</f>
        <v>1</v>
      </c>
      <c r="AH261" s="292" t="b">
        <f>IFERROR(__xludf.DUMMYFUNCTION("""COMPUTED_VALUE"""),FALSE)</f>
        <v>0</v>
      </c>
      <c r="AI261" s="292" t="b">
        <f>IFERROR(__xludf.DUMMYFUNCTION("""COMPUTED_VALUE"""),TRUE)</f>
        <v>1</v>
      </c>
      <c r="AJ261" s="292" t="b">
        <f>IFERROR(__xludf.DUMMYFUNCTION("""COMPUTED_VALUE"""),FALSE)</f>
        <v>0</v>
      </c>
      <c r="AK261" s="292" t="b">
        <f>IFERROR(__xludf.DUMMYFUNCTION("""COMPUTED_VALUE"""),FALSE)</f>
        <v>0</v>
      </c>
      <c r="AL261" s="292" t="b">
        <f>IFERROR(__xludf.DUMMYFUNCTION("""COMPUTED_VALUE"""),FALSE)</f>
        <v>0</v>
      </c>
      <c r="AM261" s="292" t="b">
        <f>IFERROR(__xludf.DUMMYFUNCTION("""COMPUTED_VALUE"""),TRUE)</f>
        <v>1</v>
      </c>
      <c r="AN261" s="292" t="b">
        <f>IFERROR(__xludf.DUMMYFUNCTION("""COMPUTED_VALUE"""),FALSE)</f>
        <v>0</v>
      </c>
      <c r="AO261" s="292" t="str">
        <f>IFERROR(__xludf.DUMMYFUNCTION("""COMPUTED_VALUE"""),"FALSE")</f>
        <v>FALSE</v>
      </c>
      <c r="AP261" s="292" t="str">
        <f>IFERROR(__xludf.DUMMYFUNCTION("""COMPUTED_VALUE"""),"Chicken breast")</f>
        <v>Chicken breast</v>
      </c>
      <c r="AQ261" s="292" t="str">
        <f>IFERROR(__xludf.DUMMYFUNCTION("""COMPUTED_VALUE"""),"Chicken")</f>
        <v>Chicken</v>
      </c>
      <c r="AR261" s="292" t="str">
        <f>IFERROR(__xludf.DUMMYFUNCTION("""COMPUTED_VALUE"""),"Breast")</f>
        <v>Breast</v>
      </c>
      <c r="AS261" s="292" t="str">
        <f>IFERROR(__xludf.DUMMYFUNCTION("""COMPUTED_VALUE"""),"Quinoa")</f>
        <v>Quinoa</v>
      </c>
      <c r="AT261" s="292" t="str">
        <f>IFERROR(__xludf.DUMMYFUNCTION("""COMPUTED_VALUE"""),"Mushrooms")</f>
        <v>Mushrooms</v>
      </c>
      <c r="AU261" s="292" t="str">
        <f>IFERROR(__xludf.DUMMYFUNCTION("""COMPUTED_VALUE"""),"Cherry Tomatoes")</f>
        <v>Cherry Tomatoes</v>
      </c>
      <c r="AV261" s="292" t="str">
        <f>IFERROR(__xludf.DUMMYFUNCTION("""COMPUTED_VALUE"""),"Cupped Sauce")</f>
        <v>Cupped Sauce</v>
      </c>
      <c r="AW261" s="292" t="str">
        <f>IFERROR(__xludf.DUMMYFUNCTION("""COMPUTED_VALUE"""),"Year Round")</f>
        <v>Year Round</v>
      </c>
      <c r="AX261" s="292" t="str">
        <f>IFERROR(__xludf.DUMMYFUNCTION("""COMPUTED_VALUE"""),"Peruvian")</f>
        <v>Peruvian</v>
      </c>
      <c r="AY261" s="292"/>
      <c r="AZ261" s="292" t="str">
        <f>IFERROR(__xludf.DUMMYFUNCTION("""COMPUTED_VALUE"""),"2 CT")</f>
        <v>2 CT</v>
      </c>
      <c r="BA261" s="292" t="b">
        <f>IFERROR(__xludf.DUMMYFUNCTION("""COMPUTED_VALUE"""),TRUE)</f>
        <v>1</v>
      </c>
      <c r="BB261" s="342">
        <f>IFERROR(__xludf.DUMMYFUNCTION("""COMPUTED_VALUE"""),2.82)</f>
        <v>2.82</v>
      </c>
      <c r="BC261" s="342">
        <f>IFERROR(__xludf.DUMMYFUNCTION("""COMPUTED_VALUE"""),1.59)</f>
        <v>1.59</v>
      </c>
      <c r="BD261" s="342">
        <f>IFERROR(__xludf.DUMMYFUNCTION("""COMPUTED_VALUE"""),0.43)</f>
        <v>0.43</v>
      </c>
      <c r="BE261" s="342">
        <f>IFERROR(__xludf.DUMMYFUNCTION("""COMPUTED_VALUE"""),0.89)</f>
        <v>0.89</v>
      </c>
      <c r="BF261" s="296" t="str">
        <f>IFERROR(__xludf.DUMMYFUNCTION("""COMPUTED_VALUE"""),"#REF!")</f>
        <v>#REF!</v>
      </c>
      <c r="BG261" s="296" t="str">
        <f>IFERROR(__xludf.DUMMYFUNCTION("""COMPUTED_VALUE"""),"#REF!")</f>
        <v>#REF!</v>
      </c>
      <c r="BH261" s="296" t="str">
        <f>IFERROR(__xludf.DUMMYFUNCTION("""COMPUTED_VALUE"""),"#REF!")</f>
        <v>#REF!</v>
      </c>
      <c r="BI261" s="295">
        <f>IFERROR(__xludf.DUMMYFUNCTION("""COMPUTED_VALUE"""),134.0)</f>
        <v>134</v>
      </c>
      <c r="BJ261" s="292"/>
      <c r="BK261" s="346">
        <f>IFERROR(__xludf.DUMMYFUNCTION("""COMPUTED_VALUE"""),1743.0)</f>
        <v>1743</v>
      </c>
      <c r="BL261" s="292"/>
      <c r="BM261" s="292"/>
      <c r="BN261" s="292"/>
      <c r="BO261" s="292"/>
      <c r="BP261" s="292"/>
      <c r="BQ261" s="292"/>
      <c r="BR261" s="292" t="b">
        <f>IFERROR(__xludf.DUMMYFUNCTION("""COMPUTED_VALUE"""),FALSE)</f>
        <v>0</v>
      </c>
      <c r="BS261" s="292" t="b">
        <f>IFERROR(__xludf.DUMMYFUNCTION("""COMPUTED_VALUE"""),FALSE)</f>
        <v>0</v>
      </c>
      <c r="BT261" s="292"/>
      <c r="BU261" s="292"/>
      <c r="BV261" s="292"/>
      <c r="BW261" s="292"/>
    </row>
    <row r="262">
      <c r="A262" s="292" t="str">
        <f>IFERROR(__xludf.DUMMYFUNCTION("""COMPUTED_VALUE"""),"FE0468A")</f>
        <v>FE0468A</v>
      </c>
      <c r="B262" s="292" t="str">
        <f>IFERROR(__xludf.DUMMYFUNCTION("""COMPUTED_VALUE"""),"")</f>
        <v/>
      </c>
      <c r="C262" s="292"/>
      <c r="D262" s="292"/>
      <c r="E262" s="292" t="str">
        <f>IFERROR(__xludf.DUMMYFUNCTION("""COMPUTED_VALUE"""),"Chicken Tikka Masala")</f>
        <v>Chicken Tikka Masala</v>
      </c>
      <c r="F262" s="292" t="str">
        <f>IFERROR(__xludf.DUMMYFUNCTION("""COMPUTED_VALUE"""),"with Basmati Rice, Chickpeas &amp; Curry Cauliflower")</f>
        <v>with Basmati Rice, Chickpeas &amp; Curry Cauliflower</v>
      </c>
      <c r="G262" s="292" t="str">
        <f>IFERROR(__xludf.DUMMYFUNCTION("""COMPUTED_VALUE"""),"Kip Tikka Masala")</f>
        <v>Kip Tikka Masala</v>
      </c>
      <c r="H262" s="292" t="str">
        <f>IFERROR(__xludf.DUMMYFUNCTION("""COMPUTED_VALUE"""),"met basmatirijst, kikkererwten en bloemkoolcurry")</f>
        <v>met basmatirijst, kikkererwten en bloemkoolcurry</v>
      </c>
      <c r="I262" s="292"/>
      <c r="J262" s="292" t="str">
        <f>IFERROR(__xludf.DUMMYFUNCTION("""COMPUTED_VALUE"""),"Hähnchen Tikka Masala")</f>
        <v>Hähnchen Tikka Masala</v>
      </c>
      <c r="K262" s="292">
        <f>IFERROR(__xludf.DUMMYFUNCTION("""COMPUTED_VALUE"""),565263.0)</f>
        <v>565263</v>
      </c>
      <c r="L262" s="292" t="str">
        <f>IFERROR(__xludf.DUMMYFUNCTION("""COMPUTED_VALUE"""),"HF Chicken Tikka Massala")</f>
        <v>HF Chicken Tikka Massala</v>
      </c>
      <c r="M262" s="292" t="str">
        <f>IFERROR(__xludf.DUMMYFUNCTION("""COMPUTED_VALUE"""),"#N/A")</f>
        <v>#N/A</v>
      </c>
      <c r="N262" s="292" t="str">
        <f>IFERROR(__xludf.DUMMYFUNCTION("""COMPUTED_VALUE"""),"#N/A")</f>
        <v>#N/A</v>
      </c>
      <c r="O262" s="292" t="str">
        <f>IFERROR(__xludf.DUMMYFUNCTION("""COMPUTED_VALUE"""),"#N/A")</f>
        <v>#N/A</v>
      </c>
      <c r="P262" s="292" t="str">
        <f>IFERROR(__xludf.DUMMYFUNCTION("""COMPUTED_VALUE"""),"Active")</f>
        <v>Active</v>
      </c>
      <c r="Q262" s="292"/>
      <c r="R262" s="292"/>
      <c r="S262" s="292"/>
      <c r="T262" s="292"/>
      <c r="U262" s="292"/>
      <c r="V262" s="292"/>
      <c r="W262" s="292" t="b">
        <f>IFERROR(__xludf.DUMMYFUNCTION("""COMPUTED_VALUE"""),TRUE)</f>
        <v>1</v>
      </c>
      <c r="X262" s="345">
        <f>IFERROR(__xludf.DUMMYFUNCTION("""COMPUTED_VALUE"""),384.0)</f>
        <v>384</v>
      </c>
      <c r="Y262" s="344">
        <f>IFERROR(__xludf.DUMMYFUNCTION("""COMPUTED_VALUE"""),488.0)</f>
        <v>488</v>
      </c>
      <c r="Z262" s="343">
        <f>IFERROR(__xludf.DUMMYFUNCTION("""COMPUTED_VALUE"""),20.9)</f>
        <v>20.9</v>
      </c>
      <c r="AA262" s="344">
        <f>IFERROR(__xludf.DUMMYFUNCTION("""COMPUTED_VALUE"""),9.8)</f>
        <v>9.8</v>
      </c>
      <c r="AB262" s="344">
        <f>IFERROR(__xludf.DUMMYFUNCTION("""COMPUTED_VALUE"""),28.9)</f>
        <v>28.9</v>
      </c>
      <c r="AC262" s="344">
        <f>IFERROR(__xludf.DUMMYFUNCTION("""COMPUTED_VALUE"""),8.5)</f>
        <v>8.5</v>
      </c>
      <c r="AD262" s="344">
        <f>IFERROR(__xludf.DUMMYFUNCTION("""COMPUTED_VALUE"""),6.7)</f>
        <v>6.7</v>
      </c>
      <c r="AE262" s="343">
        <f>IFERROR(__xludf.DUMMYFUNCTION("""COMPUTED_VALUE"""),37.2)</f>
        <v>37.2</v>
      </c>
      <c r="AF262" s="343">
        <f>IFERROR(__xludf.DUMMYFUNCTION("""COMPUTED_VALUE"""),2.23)</f>
        <v>2.23</v>
      </c>
      <c r="AG262" s="292" t="b">
        <f>IFERROR(__xludf.DUMMYFUNCTION("""COMPUTED_VALUE"""),FALSE)</f>
        <v>0</v>
      </c>
      <c r="AH262" s="292" t="b">
        <f>IFERROR(__xludf.DUMMYFUNCTION("""COMPUTED_VALUE"""),FALSE)</f>
        <v>0</v>
      </c>
      <c r="AI262" s="292" t="b">
        <f>IFERROR(__xludf.DUMMYFUNCTION("""COMPUTED_VALUE"""),TRUE)</f>
        <v>1</v>
      </c>
      <c r="AJ262" s="292" t="b">
        <f>IFERROR(__xludf.DUMMYFUNCTION("""COMPUTED_VALUE"""),FALSE)</f>
        <v>0</v>
      </c>
      <c r="AK262" s="292" t="b">
        <f>IFERROR(__xludf.DUMMYFUNCTION("""COMPUTED_VALUE"""),FALSE)</f>
        <v>0</v>
      </c>
      <c r="AL262" s="292" t="b">
        <f>IFERROR(__xludf.DUMMYFUNCTION("""COMPUTED_VALUE"""),FALSE)</f>
        <v>0</v>
      </c>
      <c r="AM262" s="292" t="b">
        <f>IFERROR(__xludf.DUMMYFUNCTION("""COMPUTED_VALUE"""),TRUE)</f>
        <v>1</v>
      </c>
      <c r="AN262" s="292" t="b">
        <f>IFERROR(__xludf.DUMMYFUNCTION("""COMPUTED_VALUE"""),FALSE)</f>
        <v>0</v>
      </c>
      <c r="AO262" s="292" t="str">
        <f>IFERROR(__xludf.DUMMYFUNCTION("""COMPUTED_VALUE"""),"FALSE")</f>
        <v>FALSE</v>
      </c>
      <c r="AP262" s="292" t="str">
        <f>IFERROR(__xludf.DUMMYFUNCTION("""COMPUTED_VALUE"""),"Diced chicken")</f>
        <v>Diced chicken</v>
      </c>
      <c r="AQ262" s="292" t="str">
        <f>IFERROR(__xludf.DUMMYFUNCTION("""COMPUTED_VALUE"""),"Chicken")</f>
        <v>Chicken</v>
      </c>
      <c r="AR262" s="292" t="str">
        <f>IFERROR(__xludf.DUMMYFUNCTION("""COMPUTED_VALUE"""),"Pieces")</f>
        <v>Pieces</v>
      </c>
      <c r="AS262" s="292" t="str">
        <f>IFERROR(__xludf.DUMMYFUNCTION("""COMPUTED_VALUE"""),"Rice")</f>
        <v>Rice</v>
      </c>
      <c r="AT262" s="292" t="str">
        <f>IFERROR(__xludf.DUMMYFUNCTION("""COMPUTED_VALUE"""),"Cauliflower Florets")</f>
        <v>Cauliflower Florets</v>
      </c>
      <c r="AU262" s="292" t="str">
        <f>IFERROR(__xludf.DUMMYFUNCTION("""COMPUTED_VALUE"""),"Chickpeas")</f>
        <v>Chickpeas</v>
      </c>
      <c r="AV262" s="292" t="str">
        <f>IFERROR(__xludf.DUMMYFUNCTION("""COMPUTED_VALUE"""),"Other sauce")</f>
        <v>Other sauce</v>
      </c>
      <c r="AW262" s="292" t="str">
        <f>IFERROR(__xludf.DUMMYFUNCTION("""COMPUTED_VALUE"""),"Year Round")</f>
        <v>Year Round</v>
      </c>
      <c r="AX262" s="292" t="str">
        <f>IFERROR(__xludf.DUMMYFUNCTION("""COMPUTED_VALUE"""),"Indian")</f>
        <v>Indian</v>
      </c>
      <c r="AY262" s="292"/>
      <c r="AZ262" s="292" t="str">
        <f>IFERROR(__xludf.DUMMYFUNCTION("""COMPUTED_VALUE"""),"2 CT")</f>
        <v>2 CT</v>
      </c>
      <c r="BA262" s="292" t="b">
        <f>IFERROR(__xludf.DUMMYFUNCTION("""COMPUTED_VALUE"""),FALSE)</f>
        <v>0</v>
      </c>
      <c r="BB262" s="292"/>
      <c r="BC262" s="292"/>
      <c r="BD262" s="292"/>
      <c r="BE262" s="292"/>
      <c r="BF262" s="296" t="str">
        <f>IFERROR(__xludf.DUMMYFUNCTION("""COMPUTED_VALUE"""),"#REF!")</f>
        <v>#REF!</v>
      </c>
      <c r="BG262" s="296" t="str">
        <f>IFERROR(__xludf.DUMMYFUNCTION("""COMPUTED_VALUE"""),"#REF!")</f>
        <v>#REF!</v>
      </c>
      <c r="BH262" s="296" t="str">
        <f>IFERROR(__xludf.DUMMYFUNCTION("""COMPUTED_VALUE"""),"#REF!")</f>
        <v>#REF!</v>
      </c>
      <c r="BI262" s="295">
        <f>IFERROR(__xludf.DUMMYFUNCTION("""COMPUTED_VALUE"""),118.0)</f>
        <v>118</v>
      </c>
      <c r="BJ262" s="292"/>
      <c r="BK262" s="346">
        <f>IFERROR(__xludf.DUMMYFUNCTION("""COMPUTED_VALUE"""),2044.0)</f>
        <v>2044</v>
      </c>
      <c r="BL262" s="292"/>
      <c r="BM262" s="292"/>
      <c r="BN262" s="292"/>
      <c r="BO262" s="292"/>
      <c r="BP262" s="292"/>
      <c r="BQ262" s="292"/>
      <c r="BR262" s="292" t="b">
        <f>IFERROR(__xludf.DUMMYFUNCTION("""COMPUTED_VALUE"""),FALSE)</f>
        <v>0</v>
      </c>
      <c r="BS262" s="292" t="b">
        <f>IFERROR(__xludf.DUMMYFUNCTION("""COMPUTED_VALUE"""),FALSE)</f>
        <v>0</v>
      </c>
      <c r="BT262" s="292"/>
      <c r="BU262" s="292"/>
      <c r="BV262" s="292"/>
      <c r="BW262" s="292"/>
    </row>
    <row r="263">
      <c r="A263" s="292" t="str">
        <f>IFERROR(__xludf.DUMMYFUNCTION("""COMPUTED_VALUE"""),"FE1790A")</f>
        <v>FE1790A</v>
      </c>
      <c r="B263" s="292" t="str">
        <f>IFERROR(__xludf.DUMMYFUNCTION("""COMPUTED_VALUE"""),"CON-40-168321-4")</f>
        <v>CON-40-168321-4</v>
      </c>
      <c r="C263" s="292" t="str">
        <f>IFERROR(__xludf.DUMMYFUNCTION("""COMPUTED_VALUE"""),"CON-00-168316-2")</f>
        <v>CON-00-168316-2</v>
      </c>
      <c r="D263" s="292" t="str">
        <f>IFERROR(__xludf.DUMMYFUNCTION("""COMPUTED_VALUE"""),"CON-00-168317-2")</f>
        <v>CON-00-168317-2</v>
      </c>
      <c r="E263" s="292" t="str">
        <f>IFERROR(__xludf.DUMMYFUNCTION("""COMPUTED_VALUE"""),"Tangy Miso Chicken Bowl")</f>
        <v>Tangy Miso Chicken Bowl</v>
      </c>
      <c r="F263" s="292" t="str">
        <f>IFERROR(__xludf.DUMMYFUNCTION("""COMPUTED_VALUE"""),"with Sesame Carrots &amp; Ginger Cabbage")</f>
        <v>with Sesame Carrots &amp; Ginger Cabbage</v>
      </c>
      <c r="G263" s="292" t="str">
        <f>IFERROR(__xludf.DUMMYFUNCTION("""COMPUTED_VALUE"""),"Kipbowl met friszure misosaus")</f>
        <v>Kipbowl met friszure misosaus</v>
      </c>
      <c r="H263" s="292" t="str">
        <f>IFERROR(__xludf.DUMMYFUNCTION("""COMPUTED_VALUE"""),"met sesamwortels en kool met gember")</f>
        <v>met sesamwortels en kool met gember</v>
      </c>
      <c r="I263" s="292" t="str">
        <f>IFERROR(__xludf.DUMMYFUNCTION("""COMPUTED_VALUE"""),"Miso-kyllingebowl")</f>
        <v>Miso-kyllingebowl</v>
      </c>
      <c r="J263" s="292" t="str">
        <f>IFERROR(__xludf.DUMMYFUNCTION("""COMPUTED_VALUE"""),"Würzige Miso-Hähnchen-Bowl")</f>
        <v>Würzige Miso-Hähnchen-Bowl</v>
      </c>
      <c r="K263" s="292">
        <f>IFERROR(__xludf.DUMMYFUNCTION("""COMPUTED_VALUE"""),565267.0)</f>
        <v>565267</v>
      </c>
      <c r="L263" s="292" t="str">
        <f>IFERROR(__xludf.DUMMYFUNCTION("""COMPUTED_VALUE"""),"HF Tangy chicken miso bowl")</f>
        <v>HF Tangy chicken miso bowl</v>
      </c>
      <c r="M263" s="292" t="str">
        <f>IFERROR(__xludf.DUMMYFUNCTION("""COMPUTED_VALUE"""),"FA-NL Kipbowl met friszure misosaus (FE1790)")</f>
        <v>FA-NL Kipbowl met friszure misosaus (FE1790)</v>
      </c>
      <c r="N263" s="292" t="str">
        <f>IFERROR(__xludf.DUMMYFUNCTION("""COMPUTED_VALUE"""),"FA-NO Miso-kyllingebowl (FE1790)")</f>
        <v>FA-NO Miso-kyllingebowl (FE1790)</v>
      </c>
      <c r="O263" s="292" t="str">
        <f>IFERROR(__xludf.DUMMYFUNCTION("""COMPUTED_VALUE"""),"FA-DE Würzige Miso-Hähnchen-Bowl (FE1790)")</f>
        <v>FA-DE Würzige Miso-Hähnchen-Bowl (FE1790)</v>
      </c>
      <c r="P263" s="292" t="str">
        <f>IFERROR(__xludf.DUMMYFUNCTION("""COMPUTED_VALUE"""),"Active")</f>
        <v>Active</v>
      </c>
      <c r="Q263" s="292"/>
      <c r="R263" s="342">
        <f>IFERROR(__xludf.DUMMYFUNCTION("""COMPUTED_VALUE"""),4.63)</f>
        <v>4.63</v>
      </c>
      <c r="S263" s="292"/>
      <c r="T263" s="292"/>
      <c r="U263" s="292"/>
      <c r="V263" s="292"/>
      <c r="W263" s="292" t="b">
        <f>IFERROR(__xludf.DUMMYFUNCTION("""COMPUTED_VALUE"""),TRUE)</f>
        <v>1</v>
      </c>
      <c r="X263" s="345">
        <f>IFERROR(__xludf.DUMMYFUNCTION("""COMPUTED_VALUE"""),372.0)</f>
        <v>372</v>
      </c>
      <c r="Y263" s="344">
        <f>IFERROR(__xludf.DUMMYFUNCTION("""COMPUTED_VALUE"""),519.0)</f>
        <v>519</v>
      </c>
      <c r="Z263" s="343">
        <f>IFERROR(__xludf.DUMMYFUNCTION("""COMPUTED_VALUE"""),25.8)</f>
        <v>25.8</v>
      </c>
      <c r="AA263" s="344">
        <f>IFERROR(__xludf.DUMMYFUNCTION("""COMPUTED_VALUE"""),4.1)</f>
        <v>4.1</v>
      </c>
      <c r="AB263" s="344">
        <f>IFERROR(__xludf.DUMMYFUNCTION("""COMPUTED_VALUE"""),36.3)</f>
        <v>36.3</v>
      </c>
      <c r="AC263" s="344">
        <f>IFERROR(__xludf.DUMMYFUNCTION("""COMPUTED_VALUE"""),11.3)</f>
        <v>11.3</v>
      </c>
      <c r="AD263" s="344">
        <f>IFERROR(__xludf.DUMMYFUNCTION("""COMPUTED_VALUE"""),9.6)</f>
        <v>9.6</v>
      </c>
      <c r="AE263" s="343">
        <f>IFERROR(__xludf.DUMMYFUNCTION("""COMPUTED_VALUE"""),31.0)</f>
        <v>31</v>
      </c>
      <c r="AF263" s="343">
        <f>IFERROR(__xludf.DUMMYFUNCTION("""COMPUTED_VALUE"""),2.25)</f>
        <v>2.25</v>
      </c>
      <c r="AG263" s="292" t="b">
        <f>IFERROR(__xludf.DUMMYFUNCTION("""COMPUTED_VALUE"""),FALSE)</f>
        <v>0</v>
      </c>
      <c r="AH263" s="292" t="b">
        <f>IFERROR(__xludf.DUMMYFUNCTION("""COMPUTED_VALUE"""),FALSE)</f>
        <v>0</v>
      </c>
      <c r="AI263" s="292" t="b">
        <f>IFERROR(__xludf.DUMMYFUNCTION("""COMPUTED_VALUE"""),TRUE)</f>
        <v>1</v>
      </c>
      <c r="AJ263" s="292" t="b">
        <f>IFERROR(__xludf.DUMMYFUNCTION("""COMPUTED_VALUE"""),FALSE)</f>
        <v>0</v>
      </c>
      <c r="AK263" s="292" t="b">
        <f>IFERROR(__xludf.DUMMYFUNCTION("""COMPUTED_VALUE"""),FALSE)</f>
        <v>0</v>
      </c>
      <c r="AL263" s="292" t="b">
        <f>IFERROR(__xludf.DUMMYFUNCTION("""COMPUTED_VALUE"""),FALSE)</f>
        <v>0</v>
      </c>
      <c r="AM263" s="292" t="b">
        <f>IFERROR(__xludf.DUMMYFUNCTION("""COMPUTED_VALUE"""),TRUE)</f>
        <v>1</v>
      </c>
      <c r="AN263" s="292" t="b">
        <f>IFERROR(__xludf.DUMMYFUNCTION("""COMPUTED_VALUE"""),TRUE)</f>
        <v>1</v>
      </c>
      <c r="AO263" s="292" t="str">
        <f>IFERROR(__xludf.DUMMYFUNCTION("""COMPUTED_VALUE"""),"TRUE")</f>
        <v>TRUE</v>
      </c>
      <c r="AP263" s="292" t="str">
        <f>IFERROR(__xludf.DUMMYFUNCTION("""COMPUTED_VALUE"""),"Chicken breast")</f>
        <v>Chicken breast</v>
      </c>
      <c r="AQ263" s="292" t="str">
        <f>IFERROR(__xludf.DUMMYFUNCTION("""COMPUTED_VALUE"""),"Chicken")</f>
        <v>Chicken</v>
      </c>
      <c r="AR263" s="292" t="str">
        <f>IFERROR(__xludf.DUMMYFUNCTION("""COMPUTED_VALUE"""),"Breast")</f>
        <v>Breast</v>
      </c>
      <c r="AS263" s="292" t="str">
        <f>IFERROR(__xludf.DUMMYFUNCTION("""COMPUTED_VALUE"""),"Rice")</f>
        <v>Rice</v>
      </c>
      <c r="AT263" s="292" t="str">
        <f>IFERROR(__xludf.DUMMYFUNCTION("""COMPUTED_VALUE"""),"Carrots")</f>
        <v>Carrots</v>
      </c>
      <c r="AU263" s="292" t="str">
        <f>IFERROR(__xludf.DUMMYFUNCTION("""COMPUTED_VALUE"""),"Cabbage")</f>
        <v>Cabbage</v>
      </c>
      <c r="AV263" s="292" t="str">
        <f>IFERROR(__xludf.DUMMYFUNCTION("""COMPUTED_VALUE"""),"Cupped Sauce")</f>
        <v>Cupped Sauce</v>
      </c>
      <c r="AW263" s="292" t="str">
        <f>IFERROR(__xludf.DUMMYFUNCTION("""COMPUTED_VALUE"""),"Year Round")</f>
        <v>Year Round</v>
      </c>
      <c r="AX263" s="292" t="str">
        <f>IFERROR(__xludf.DUMMYFUNCTION("""COMPUTED_VALUE"""),"Japanese")</f>
        <v>Japanese</v>
      </c>
      <c r="AY263" s="292"/>
      <c r="AZ263" s="292" t="str">
        <f>IFERROR(__xludf.DUMMYFUNCTION("""COMPUTED_VALUE"""),"2 CT")</f>
        <v>2 CT</v>
      </c>
      <c r="BA263" s="292" t="b">
        <f>IFERROR(__xludf.DUMMYFUNCTION("""COMPUTED_VALUE"""),TRUE)</f>
        <v>1</v>
      </c>
      <c r="BB263" s="342">
        <f>IFERROR(__xludf.DUMMYFUNCTION("""COMPUTED_VALUE"""),2.49)</f>
        <v>2.49</v>
      </c>
      <c r="BC263" s="342">
        <f>IFERROR(__xludf.DUMMYFUNCTION("""COMPUTED_VALUE"""),1.7)</f>
        <v>1.7</v>
      </c>
      <c r="BD263" s="342">
        <f>IFERROR(__xludf.DUMMYFUNCTION("""COMPUTED_VALUE"""),0.43)</f>
        <v>0.43</v>
      </c>
      <c r="BE263" s="342">
        <f>IFERROR(__xludf.DUMMYFUNCTION("""COMPUTED_VALUE"""),0.89)</f>
        <v>0.89</v>
      </c>
      <c r="BF263" s="296">
        <f>IFERROR(__xludf.DUMMYFUNCTION("""COMPUTED_VALUE"""),3.24)</f>
        <v>3.24</v>
      </c>
      <c r="BG263" s="296">
        <f>IFERROR(__xludf.DUMMYFUNCTION("""COMPUTED_VALUE"""),3.18)</f>
        <v>3.18</v>
      </c>
      <c r="BH263" s="296">
        <f>IFERROR(__xludf.DUMMYFUNCTION("""COMPUTED_VALUE"""),3.25)</f>
        <v>3.25</v>
      </c>
      <c r="BI263" s="295">
        <f>IFERROR(__xludf.DUMMYFUNCTION("""COMPUTED_VALUE"""),143.0)</f>
        <v>143</v>
      </c>
      <c r="BJ263" s="292"/>
      <c r="BK263" s="346">
        <f>IFERROR(__xludf.DUMMYFUNCTION("""COMPUTED_VALUE"""),2161.0)</f>
        <v>2161</v>
      </c>
      <c r="BL263" s="292"/>
      <c r="BM263" s="292"/>
      <c r="BN263" s="292"/>
      <c r="BO263" s="292"/>
      <c r="BP263" s="292"/>
      <c r="BQ263" s="292"/>
      <c r="BR263" s="292" t="b">
        <f>IFERROR(__xludf.DUMMYFUNCTION("""COMPUTED_VALUE"""),FALSE)</f>
        <v>0</v>
      </c>
      <c r="BS263" s="292" t="b">
        <f>IFERROR(__xludf.DUMMYFUNCTION("""COMPUTED_VALUE"""),FALSE)</f>
        <v>0</v>
      </c>
      <c r="BT263" s="292"/>
      <c r="BU263" s="292"/>
      <c r="BV263" s="292"/>
      <c r="BW263" s="292"/>
    </row>
    <row r="264">
      <c r="A264" s="292" t="str">
        <f>IFERROR(__xludf.DUMMYFUNCTION("""COMPUTED_VALUE"""),"FE0386A")</f>
        <v>FE0386A</v>
      </c>
      <c r="B264" s="292" t="str">
        <f>IFERROR(__xludf.DUMMYFUNCTION("""COMPUTED_VALUE"""),"CON-40-168678-4")</f>
        <v>CON-40-168678-4</v>
      </c>
      <c r="C264" s="292" t="str">
        <f>IFERROR(__xludf.DUMMYFUNCTION("""COMPUTED_VALUE"""),"CON-00-168677-2")</f>
        <v>CON-00-168677-2</v>
      </c>
      <c r="D264" s="292" t="str">
        <f>IFERROR(__xludf.DUMMYFUNCTION("""COMPUTED_VALUE"""),"CON-00-168676-2")</f>
        <v>CON-00-168676-2</v>
      </c>
      <c r="E264" s="292" t="str">
        <f>IFERROR(__xludf.DUMMYFUNCTION("""COMPUTED_VALUE"""),"Chicken &amp; Mushroom Tetrazzini")</f>
        <v>Chicken &amp; Mushroom Tetrazzini</v>
      </c>
      <c r="F264" s="292" t="str">
        <f>IFERROR(__xludf.DUMMYFUNCTION("""COMPUTED_VALUE"""),"with Trottole &amp; Garlicky Green Beans")</f>
        <v>with Trottole &amp; Garlicky Green Beans</v>
      </c>
      <c r="G264" s="292" t="str">
        <f>IFERROR(__xludf.DUMMYFUNCTION("""COMPUTED_VALUE"""),"Kip-tetrazzini met champignons")</f>
        <v>Kip-tetrazzini met champignons</v>
      </c>
      <c r="H264" s="292" t="str">
        <f>IFERROR(__xludf.DUMMYFUNCTION("""COMPUTED_VALUE"""),"met trottole en knoflook-sperziebonen")</f>
        <v>met trottole en knoflook-sperziebonen</v>
      </c>
      <c r="I264" s="292" t="str">
        <f>IFERROR(__xludf.DUMMYFUNCTION("""COMPUTED_VALUE"""),"Tetrazzini med kylling og svampe")</f>
        <v>Tetrazzini med kylling og svampe</v>
      </c>
      <c r="J264" s="292" t="str">
        <f>IFERROR(__xludf.DUMMYFUNCTION("""COMPUTED_VALUE"""),"Hähnchen-Pilz-Tetrazzini")</f>
        <v>Hähnchen-Pilz-Tetrazzini</v>
      </c>
      <c r="K264" s="292">
        <f>IFERROR(__xludf.DUMMYFUNCTION("""COMPUTED_VALUE"""),565278.0)</f>
        <v>565278</v>
      </c>
      <c r="L264" s="292" t="str">
        <f>IFERROR(__xludf.DUMMYFUNCTION("""COMPUTED_VALUE"""),"HF Pulled chicken tetrazzini")</f>
        <v>HF Pulled chicken tetrazzini</v>
      </c>
      <c r="M264" s="292" t="str">
        <f>IFERROR(__xludf.DUMMYFUNCTION("""COMPUTED_VALUE"""),"FA-NL Kip-tetrazzini met champignons (FE0386)")</f>
        <v>FA-NL Kip-tetrazzini met champignons (FE0386)</v>
      </c>
      <c r="N264" s="292" t="str">
        <f>IFERROR(__xludf.DUMMYFUNCTION("""COMPUTED_VALUE"""),"FA-NO Tetrazzini med kylling og svampe (FE0386)")</f>
        <v>FA-NO Tetrazzini med kylling og svampe (FE0386)</v>
      </c>
      <c r="O264" s="292" t="str">
        <f>IFERROR(__xludf.DUMMYFUNCTION("""COMPUTED_VALUE"""),"FA-DE Hähnchen-Pilz-Tetrazzini (FE0386)")</f>
        <v>FA-DE Hähnchen-Pilz-Tetrazzini (FE0386)</v>
      </c>
      <c r="P264" s="292" t="str">
        <f>IFERROR(__xludf.DUMMYFUNCTION("""COMPUTED_VALUE"""),"Active")</f>
        <v>Active</v>
      </c>
      <c r="Q264" s="292"/>
      <c r="R264" s="342">
        <f>IFERROR(__xludf.DUMMYFUNCTION("""COMPUTED_VALUE"""),4.05)</f>
        <v>4.05</v>
      </c>
      <c r="S264" s="292"/>
      <c r="T264" s="292"/>
      <c r="U264" s="292"/>
      <c r="V264" s="292"/>
      <c r="W264" s="292" t="b">
        <f>IFERROR(__xludf.DUMMYFUNCTION("""COMPUTED_VALUE"""),TRUE)</f>
        <v>1</v>
      </c>
      <c r="X264" s="345">
        <f>IFERROR(__xludf.DUMMYFUNCTION("""COMPUTED_VALUE"""),394.0)</f>
        <v>394</v>
      </c>
      <c r="Y264" s="344">
        <f>IFERROR(__xludf.DUMMYFUNCTION("""COMPUTED_VALUE"""),521.0)</f>
        <v>521</v>
      </c>
      <c r="Z264" s="343">
        <f>IFERROR(__xludf.DUMMYFUNCTION("""COMPUTED_VALUE"""),28.8)</f>
        <v>28.8</v>
      </c>
      <c r="AA264" s="344">
        <f>IFERROR(__xludf.DUMMYFUNCTION("""COMPUTED_VALUE"""),10.2)</f>
        <v>10.2</v>
      </c>
      <c r="AB264" s="344">
        <f>IFERROR(__xludf.DUMMYFUNCTION("""COMPUTED_VALUE"""),30.0)</f>
        <v>30</v>
      </c>
      <c r="AC264" s="344">
        <f>IFERROR(__xludf.DUMMYFUNCTION("""COMPUTED_VALUE"""),6.6)</f>
        <v>6.6</v>
      </c>
      <c r="AD264" s="344">
        <f>IFERROR(__xludf.DUMMYFUNCTION("""COMPUTED_VALUE"""),8.8)</f>
        <v>8.8</v>
      </c>
      <c r="AE264" s="343">
        <f>IFERROR(__xludf.DUMMYFUNCTION("""COMPUTED_VALUE"""),31.6)</f>
        <v>31.6</v>
      </c>
      <c r="AF264" s="343">
        <f>IFERROR(__xludf.DUMMYFUNCTION("""COMPUTED_VALUE"""),2.13)</f>
        <v>2.13</v>
      </c>
      <c r="AG264" s="292" t="b">
        <f>IFERROR(__xludf.DUMMYFUNCTION("""COMPUTED_VALUE"""),FALSE)</f>
        <v>0</v>
      </c>
      <c r="AH264" s="292" t="b">
        <f>IFERROR(__xludf.DUMMYFUNCTION("""COMPUTED_VALUE"""),FALSE)</f>
        <v>0</v>
      </c>
      <c r="AI264" s="292" t="b">
        <f>IFERROR(__xludf.DUMMYFUNCTION("""COMPUTED_VALUE"""),TRUE)</f>
        <v>1</v>
      </c>
      <c r="AJ264" s="292" t="b">
        <f>IFERROR(__xludf.DUMMYFUNCTION("""COMPUTED_VALUE"""),FALSE)</f>
        <v>0</v>
      </c>
      <c r="AK264" s="292" t="b">
        <f>IFERROR(__xludf.DUMMYFUNCTION("""COMPUTED_VALUE"""),FALSE)</f>
        <v>0</v>
      </c>
      <c r="AL264" s="292" t="b">
        <f>IFERROR(__xludf.DUMMYFUNCTION("""COMPUTED_VALUE"""),FALSE)</f>
        <v>0</v>
      </c>
      <c r="AM264" s="292" t="b">
        <f>IFERROR(__xludf.DUMMYFUNCTION("""COMPUTED_VALUE"""),TRUE)</f>
        <v>1</v>
      </c>
      <c r="AN264" s="292" t="b">
        <f>IFERROR(__xludf.DUMMYFUNCTION("""COMPUTED_VALUE"""),FALSE)</f>
        <v>0</v>
      </c>
      <c r="AO264" s="292" t="str">
        <f>IFERROR(__xludf.DUMMYFUNCTION("""COMPUTED_VALUE"""),"FALSE")</f>
        <v>FALSE</v>
      </c>
      <c r="AP264" s="292" t="str">
        <f>IFERROR(__xludf.DUMMYFUNCTION("""COMPUTED_VALUE"""),"Shredded chicken")</f>
        <v>Shredded chicken</v>
      </c>
      <c r="AQ264" s="292" t="str">
        <f>IFERROR(__xludf.DUMMYFUNCTION("""COMPUTED_VALUE"""),"Chicken")</f>
        <v>Chicken</v>
      </c>
      <c r="AR264" s="292" t="str">
        <f>IFERROR(__xludf.DUMMYFUNCTION("""COMPUTED_VALUE"""),"Pulled")</f>
        <v>Pulled</v>
      </c>
      <c r="AS264" s="292" t="str">
        <f>IFERROR(__xludf.DUMMYFUNCTION("""COMPUTED_VALUE"""),"Pasta")</f>
        <v>Pasta</v>
      </c>
      <c r="AT264" s="292" t="str">
        <f>IFERROR(__xludf.DUMMYFUNCTION("""COMPUTED_VALUE"""),"Green Beans")</f>
        <v>Green Beans</v>
      </c>
      <c r="AU264" s="292" t="str">
        <f>IFERROR(__xludf.DUMMYFUNCTION("""COMPUTED_VALUE"""),"Mushrooms")</f>
        <v>Mushrooms</v>
      </c>
      <c r="AV264" s="292" t="str">
        <f>IFERROR(__xludf.DUMMYFUNCTION("""COMPUTED_VALUE"""),"Creamy Sauce Base")</f>
        <v>Creamy Sauce Base</v>
      </c>
      <c r="AW264" s="292" t="str">
        <f>IFERROR(__xludf.DUMMYFUNCTION("""COMPUTED_VALUE"""),"Year Round")</f>
        <v>Year Round</v>
      </c>
      <c r="AX264" s="292" t="str">
        <f>IFERROR(__xludf.DUMMYFUNCTION("""COMPUTED_VALUE"""),"American")</f>
        <v>American</v>
      </c>
      <c r="AY264" s="292"/>
      <c r="AZ264" s="292" t="str">
        <f>IFERROR(__xludf.DUMMYFUNCTION("""COMPUTED_VALUE"""),"2 CT")</f>
        <v>2 CT</v>
      </c>
      <c r="BA264" s="292" t="b">
        <f>IFERROR(__xludf.DUMMYFUNCTION("""COMPUTED_VALUE"""),FALSE)</f>
        <v>0</v>
      </c>
      <c r="BB264" s="342">
        <f>IFERROR(__xludf.DUMMYFUNCTION("""COMPUTED_VALUE"""),2.35)</f>
        <v>2.35</v>
      </c>
      <c r="BC264" s="342">
        <f>IFERROR(__xludf.DUMMYFUNCTION("""COMPUTED_VALUE"""),1.3)</f>
        <v>1.3</v>
      </c>
      <c r="BD264" s="342">
        <f>IFERROR(__xludf.DUMMYFUNCTION("""COMPUTED_VALUE"""),0.4)</f>
        <v>0.4</v>
      </c>
      <c r="BE264" s="342">
        <f>IFERROR(__xludf.DUMMYFUNCTION("""COMPUTED_VALUE"""),0.89)</f>
        <v>0.89</v>
      </c>
      <c r="BF264" s="296" t="str">
        <f>IFERROR(__xludf.DUMMYFUNCTION("""COMPUTED_VALUE"""),"#REF!")</f>
        <v>#REF!</v>
      </c>
      <c r="BG264" s="296" t="str">
        <f>IFERROR(__xludf.DUMMYFUNCTION("""COMPUTED_VALUE"""),"#REF!")</f>
        <v>#REF!</v>
      </c>
      <c r="BH264" s="296" t="str">
        <f>IFERROR(__xludf.DUMMYFUNCTION("""COMPUTED_VALUE"""),"#REF!")</f>
        <v>#REF!</v>
      </c>
      <c r="BI264" s="295">
        <f>IFERROR(__xludf.DUMMYFUNCTION("""COMPUTED_VALUE"""),164.0)</f>
        <v>164</v>
      </c>
      <c r="BJ264" s="292"/>
      <c r="BK264" s="346">
        <f>IFERROR(__xludf.DUMMYFUNCTION("""COMPUTED_VALUE"""),2174.0)</f>
        <v>2174</v>
      </c>
      <c r="BL264" s="292"/>
      <c r="BM264" s="292"/>
      <c r="BN264" s="292"/>
      <c r="BO264" s="292"/>
      <c r="BP264" s="292"/>
      <c r="BQ264" s="292"/>
      <c r="BR264" s="292" t="b">
        <f>IFERROR(__xludf.DUMMYFUNCTION("""COMPUTED_VALUE"""),FALSE)</f>
        <v>0</v>
      </c>
      <c r="BS264" s="292" t="b">
        <f>IFERROR(__xludf.DUMMYFUNCTION("""COMPUTED_VALUE"""),FALSE)</f>
        <v>0</v>
      </c>
      <c r="BT264" s="292"/>
      <c r="BU264" s="292"/>
      <c r="BV264" s="292"/>
      <c r="BW264" s="292"/>
    </row>
    <row r="265">
      <c r="A265" s="292" t="str">
        <f>IFERROR(__xludf.DUMMYFUNCTION("""COMPUTED_VALUE"""),"FE1292A")</f>
        <v>FE1292A</v>
      </c>
      <c r="B265" s="292" t="str">
        <f>IFERROR(__xludf.DUMMYFUNCTION("""COMPUTED_VALUE"""),"")</f>
        <v/>
      </c>
      <c r="C265" s="292"/>
      <c r="D265" s="292"/>
      <c r="E265" s="292" t="str">
        <f>IFERROR(__xludf.DUMMYFUNCTION("""COMPUTED_VALUE"""),"Loaded Mashed Potato Pork Chop")</f>
        <v>Loaded Mashed Potato Pork Chop</v>
      </c>
      <c r="F265" s="292" t="str">
        <f>IFERROR(__xludf.DUMMYFUNCTION("""COMPUTED_VALUE"""),"with Scallion Mushrooms &amp; Broccoli")</f>
        <v>with Scallion Mushrooms &amp; Broccoli</v>
      </c>
      <c r="G265" s="292"/>
      <c r="H265" s="292"/>
      <c r="I265" s="292" t="str">
        <f>IFERROR(__xludf.DUMMYFUNCTION("""COMPUTED_VALUE"""),"#N/A")</f>
        <v>#N/A</v>
      </c>
      <c r="J265" s="292"/>
      <c r="K265" s="292"/>
      <c r="L265" s="292"/>
      <c r="M265" s="292" t="str">
        <f>IFERROR(__xludf.DUMMYFUNCTION("""COMPUTED_VALUE"""),"#N/A")</f>
        <v>#N/A</v>
      </c>
      <c r="N265" s="292" t="str">
        <f>IFERROR(__xludf.DUMMYFUNCTION("""COMPUTED_VALUE"""),"#N/A")</f>
        <v>#N/A</v>
      </c>
      <c r="O265" s="292" t="str">
        <f>IFERROR(__xludf.DUMMYFUNCTION("""COMPUTED_VALUE"""),"#N/A")</f>
        <v>#N/A</v>
      </c>
      <c r="P265" s="292"/>
      <c r="Q265" s="292"/>
      <c r="R265" s="292"/>
      <c r="S265" s="292"/>
      <c r="T265" s="292"/>
      <c r="U265" s="292"/>
      <c r="V265" s="292"/>
      <c r="W265" s="292" t="b">
        <f>IFERROR(__xludf.DUMMYFUNCTION("""COMPUTED_VALUE"""),TRUE)</f>
        <v>1</v>
      </c>
      <c r="X265" s="292" t="str">
        <f>IFERROR(__xludf.DUMMYFUNCTION("""COMPUTED_VALUE"""),"#N/A")</f>
        <v>#N/A</v>
      </c>
      <c r="Y265" s="344" t="str">
        <f>IFERROR(__xludf.DUMMYFUNCTION("""COMPUTED_VALUE"""),"#N/A")</f>
        <v>#N/A</v>
      </c>
      <c r="Z265" s="343" t="str">
        <f>IFERROR(__xludf.DUMMYFUNCTION("""COMPUTED_VALUE"""),"#N/A")</f>
        <v>#N/A</v>
      </c>
      <c r="AA265" s="292" t="str">
        <f>IFERROR(__xludf.DUMMYFUNCTION("""COMPUTED_VALUE"""),"#N/A")</f>
        <v>#N/A</v>
      </c>
      <c r="AB265" s="292" t="str">
        <f>IFERROR(__xludf.DUMMYFUNCTION("""COMPUTED_VALUE"""),"#N/A")</f>
        <v>#N/A</v>
      </c>
      <c r="AC265" s="292" t="str">
        <f>IFERROR(__xludf.DUMMYFUNCTION("""COMPUTED_VALUE"""),"#N/A")</f>
        <v>#N/A</v>
      </c>
      <c r="AD265" s="292" t="str">
        <f>IFERROR(__xludf.DUMMYFUNCTION("""COMPUTED_VALUE"""),"#N/A")</f>
        <v>#N/A</v>
      </c>
      <c r="AE265" s="343" t="str">
        <f>IFERROR(__xludf.DUMMYFUNCTION("""COMPUTED_VALUE"""),"#N/A")</f>
        <v>#N/A</v>
      </c>
      <c r="AF265" s="292" t="str">
        <f>IFERROR(__xludf.DUMMYFUNCTION("""COMPUTED_VALUE"""),"#N/A")</f>
        <v>#N/A</v>
      </c>
      <c r="AG265" s="292"/>
      <c r="AH265" s="292" t="str">
        <f>IFERROR(__xludf.DUMMYFUNCTION("""COMPUTED_VALUE"""),"#N/A")</f>
        <v>#N/A</v>
      </c>
      <c r="AI265" s="292" t="str">
        <f>IFERROR(__xludf.DUMMYFUNCTION("""COMPUTED_VALUE"""),"#N/A")</f>
        <v>#N/A</v>
      </c>
      <c r="AJ265" s="292" t="str">
        <f>IFERROR(__xludf.DUMMYFUNCTION("""COMPUTED_VALUE"""),"#N/A")</f>
        <v>#N/A</v>
      </c>
      <c r="AK265" s="292" t="str">
        <f>IFERROR(__xludf.DUMMYFUNCTION("""COMPUTED_VALUE"""),"#N/A")</f>
        <v>#N/A</v>
      </c>
      <c r="AL265" s="292" t="str">
        <f>IFERROR(__xludf.DUMMYFUNCTION("""COMPUTED_VALUE"""),"#N/A")</f>
        <v>#N/A</v>
      </c>
      <c r="AM265" s="292" t="str">
        <f>IFERROR(__xludf.DUMMYFUNCTION("""COMPUTED_VALUE"""),"#N/A")</f>
        <v>#N/A</v>
      </c>
      <c r="AN265" s="292" t="str">
        <f>IFERROR(__xludf.DUMMYFUNCTION("""COMPUTED_VALUE"""),"#N/A")</f>
        <v>#N/A</v>
      </c>
      <c r="AO265" s="292" t="str">
        <f>IFERROR(__xludf.DUMMYFUNCTION("""COMPUTED_VALUE"""),"#N/A")</f>
        <v>#N/A</v>
      </c>
      <c r="AP265" s="292"/>
      <c r="AQ265" s="292"/>
      <c r="AR265" s="292"/>
      <c r="AS265" s="292"/>
      <c r="AT265" s="292"/>
      <c r="AU265" s="292"/>
      <c r="AV265" s="292"/>
      <c r="AW265" s="292"/>
      <c r="AX265" s="292"/>
      <c r="AY265" s="292"/>
      <c r="AZ265" s="292"/>
      <c r="BA265" s="292"/>
      <c r="BB265" s="292"/>
      <c r="BC265" s="292"/>
      <c r="BD265" s="292"/>
      <c r="BE265" s="292"/>
      <c r="BF265" s="296" t="str">
        <f>IFERROR(__xludf.DUMMYFUNCTION("""COMPUTED_VALUE"""),"#REF!")</f>
        <v>#REF!</v>
      </c>
      <c r="BG265" s="296" t="str">
        <f>IFERROR(__xludf.DUMMYFUNCTION("""COMPUTED_VALUE"""),"#REF!")</f>
        <v>#REF!</v>
      </c>
      <c r="BH265" s="296" t="str">
        <f>IFERROR(__xludf.DUMMYFUNCTION("""COMPUTED_VALUE"""),"#REF!")</f>
        <v>#REF!</v>
      </c>
      <c r="BI265" s="295" t="str">
        <f>IFERROR(__xludf.DUMMYFUNCTION("""COMPUTED_VALUE"""),"#N/A")</f>
        <v>#N/A</v>
      </c>
      <c r="BJ265" s="292"/>
      <c r="BK265" s="346" t="str">
        <f>IFERROR(__xludf.DUMMYFUNCTION("""COMPUTED_VALUE"""),"#N/A")</f>
        <v>#N/A</v>
      </c>
      <c r="BL265" s="292"/>
      <c r="BM265" s="292"/>
      <c r="BN265" s="292"/>
      <c r="BO265" s="292"/>
      <c r="BP265" s="292"/>
      <c r="BQ265" s="292"/>
      <c r="BR265" s="292" t="str">
        <f>IFERROR(__xludf.DUMMYFUNCTION("""COMPUTED_VALUE"""),"#N/A")</f>
        <v>#N/A</v>
      </c>
      <c r="BS265" s="292" t="str">
        <f>IFERROR(__xludf.DUMMYFUNCTION("""COMPUTED_VALUE"""),"#N/A")</f>
        <v>#N/A</v>
      </c>
      <c r="BT265" s="292"/>
      <c r="BU265" s="292"/>
      <c r="BV265" s="292"/>
      <c r="BW265" s="292"/>
    </row>
    <row r="266">
      <c r="A266" s="292" t="str">
        <f>IFERROR(__xludf.DUMMYFUNCTION("""COMPUTED_VALUE"""),"FE4090A")</f>
        <v>FE4090A</v>
      </c>
      <c r="B266" s="292" t="str">
        <f>IFERROR(__xludf.DUMMYFUNCTION("""COMPUTED_VALUE"""),"")</f>
        <v/>
      </c>
      <c r="C266" s="292"/>
      <c r="D266" s="292"/>
      <c r="E266" s="292" t="str">
        <f>IFERROR(__xludf.DUMMYFUNCTION("""COMPUTED_VALUE"""),"Creamy Tomato Shredded Chicken")</f>
        <v>Creamy Tomato Shredded Chicken</v>
      </c>
      <c r="F266" s="292" t="str">
        <f>IFERROR(__xludf.DUMMYFUNCTION("""COMPUTED_VALUE"""),"with Trottole &amp; Garlic Broccoli")</f>
        <v>with Trottole &amp; Garlic Broccoli</v>
      </c>
      <c r="G266" s="292" t="str">
        <f>IFERROR(__xludf.DUMMYFUNCTION("""COMPUTED_VALUE"""),"Pulled chicken in romige tomatensaus")</f>
        <v>Pulled chicken in romige tomatensaus</v>
      </c>
      <c r="H266" s="292" t="str">
        <f>IFERROR(__xludf.DUMMYFUNCTION("""COMPUTED_VALUE"""),"met trottole en broccoli met knoflook")</f>
        <v>met trottole en broccoli met knoflook</v>
      </c>
      <c r="I266" s="292" t="str">
        <f>IFERROR(__xludf.DUMMYFUNCTION("""COMPUTED_VALUE"""),"Pulled chicken med cremet tomatsauce")</f>
        <v>Pulled chicken med cremet tomatsauce</v>
      </c>
      <c r="J266" s="292" t="str">
        <f>IFERROR(__xludf.DUMMYFUNCTION("""COMPUTED_VALUE"""),"Hähnchen in cremiger Tomatensauce")</f>
        <v>Hähnchen in cremiger Tomatensauce</v>
      </c>
      <c r="K266" s="292">
        <f>IFERROR(__xludf.DUMMYFUNCTION("""COMPUTED_VALUE"""),565290.0)</f>
        <v>565290</v>
      </c>
      <c r="L266" s="292" t="str">
        <f>IFERROR(__xludf.DUMMYFUNCTION("""COMPUTED_VALUE"""),"HF Pulled chicken rosé")</f>
        <v>HF Pulled chicken rosé</v>
      </c>
      <c r="M266" s="292" t="str">
        <f>IFERROR(__xludf.DUMMYFUNCTION("""COMPUTED_VALUE"""),"#N/A")</f>
        <v>#N/A</v>
      </c>
      <c r="N266" s="292" t="str">
        <f>IFERROR(__xludf.DUMMYFUNCTION("""COMPUTED_VALUE"""),"#N/A")</f>
        <v>#N/A</v>
      </c>
      <c r="O266" s="292" t="str">
        <f>IFERROR(__xludf.DUMMYFUNCTION("""COMPUTED_VALUE"""),"#N/A")</f>
        <v>#N/A</v>
      </c>
      <c r="P266" s="292" t="str">
        <f>IFERROR(__xludf.DUMMYFUNCTION("""COMPUTED_VALUE"""),"Active")</f>
        <v>Active</v>
      </c>
      <c r="Q266" s="292"/>
      <c r="R266" s="342">
        <f>IFERROR(__xludf.DUMMYFUNCTION("""COMPUTED_VALUE"""),3.78)</f>
        <v>3.78</v>
      </c>
      <c r="S266" s="292"/>
      <c r="T266" s="292"/>
      <c r="U266" s="292"/>
      <c r="V266" s="292"/>
      <c r="W266" s="292" t="b">
        <f>IFERROR(__xludf.DUMMYFUNCTION("""COMPUTED_VALUE"""),TRUE)</f>
        <v>1</v>
      </c>
      <c r="X266" s="345">
        <f>IFERROR(__xludf.DUMMYFUNCTION("""COMPUTED_VALUE"""),384.0)</f>
        <v>384</v>
      </c>
      <c r="Y266" s="344">
        <f>IFERROR(__xludf.DUMMYFUNCTION("""COMPUTED_VALUE"""),512.0)</f>
        <v>512</v>
      </c>
      <c r="Z266" s="343">
        <f>IFERROR(__xludf.DUMMYFUNCTION("""COMPUTED_VALUE"""),25.0)</f>
        <v>25</v>
      </c>
      <c r="AA266" s="344">
        <f>IFERROR(__xludf.DUMMYFUNCTION("""COMPUTED_VALUE"""),8.9)</f>
        <v>8.9</v>
      </c>
      <c r="AB266" s="344">
        <f>IFERROR(__xludf.DUMMYFUNCTION("""COMPUTED_VALUE"""),33.1)</f>
        <v>33.1</v>
      </c>
      <c r="AC266" s="344">
        <f>IFERROR(__xludf.DUMMYFUNCTION("""COMPUTED_VALUE"""),9.1)</f>
        <v>9.1</v>
      </c>
      <c r="AD266" s="344">
        <f>IFERROR(__xludf.DUMMYFUNCTION("""COMPUTED_VALUE"""),7.7)</f>
        <v>7.7</v>
      </c>
      <c r="AE266" s="343">
        <f>IFERROR(__xludf.DUMMYFUNCTION("""COMPUTED_VALUE"""),33.8)</f>
        <v>33.8</v>
      </c>
      <c r="AF266" s="343">
        <f>IFERROR(__xludf.DUMMYFUNCTION("""COMPUTED_VALUE"""),2.13)</f>
        <v>2.13</v>
      </c>
      <c r="AG266" s="292" t="b">
        <f>IFERROR(__xludf.DUMMYFUNCTION("""COMPUTED_VALUE"""),FALSE)</f>
        <v>0</v>
      </c>
      <c r="AH266" s="292" t="b">
        <f>IFERROR(__xludf.DUMMYFUNCTION("""COMPUTED_VALUE"""),FALSE)</f>
        <v>0</v>
      </c>
      <c r="AI266" s="292" t="b">
        <f>IFERROR(__xludf.DUMMYFUNCTION("""COMPUTED_VALUE"""),TRUE)</f>
        <v>1</v>
      </c>
      <c r="AJ266" s="292" t="b">
        <f>IFERROR(__xludf.DUMMYFUNCTION("""COMPUTED_VALUE"""),FALSE)</f>
        <v>0</v>
      </c>
      <c r="AK266" s="292" t="b">
        <f>IFERROR(__xludf.DUMMYFUNCTION("""COMPUTED_VALUE"""),FALSE)</f>
        <v>0</v>
      </c>
      <c r="AL266" s="292" t="b">
        <f>IFERROR(__xludf.DUMMYFUNCTION("""COMPUTED_VALUE"""),FALSE)</f>
        <v>0</v>
      </c>
      <c r="AM266" s="292" t="b">
        <f>IFERROR(__xludf.DUMMYFUNCTION("""COMPUTED_VALUE"""),TRUE)</f>
        <v>1</v>
      </c>
      <c r="AN266" s="292" t="b">
        <f>IFERROR(__xludf.DUMMYFUNCTION("""COMPUTED_VALUE"""),FALSE)</f>
        <v>0</v>
      </c>
      <c r="AO266" s="292" t="str">
        <f>IFERROR(__xludf.DUMMYFUNCTION("""COMPUTED_VALUE"""),"FALSE")</f>
        <v>FALSE</v>
      </c>
      <c r="AP266" s="292" t="str">
        <f>IFERROR(__xludf.DUMMYFUNCTION("""COMPUTED_VALUE"""),"Shredded chicken")</f>
        <v>Shredded chicken</v>
      </c>
      <c r="AQ266" s="292" t="str">
        <f>IFERROR(__xludf.DUMMYFUNCTION("""COMPUTED_VALUE"""),"Chicken")</f>
        <v>Chicken</v>
      </c>
      <c r="AR266" s="292" t="str">
        <f>IFERROR(__xludf.DUMMYFUNCTION("""COMPUTED_VALUE"""),"Pulled")</f>
        <v>Pulled</v>
      </c>
      <c r="AS266" s="292" t="str">
        <f>IFERROR(__xludf.DUMMYFUNCTION("""COMPUTED_VALUE"""),"Pasta")</f>
        <v>Pasta</v>
      </c>
      <c r="AT266" s="292" t="str">
        <f>IFERROR(__xludf.DUMMYFUNCTION("""COMPUTED_VALUE"""),"Broccoli")</f>
        <v>Broccoli</v>
      </c>
      <c r="AU266" s="292" t="str">
        <f>IFERROR(__xludf.DUMMYFUNCTION("""COMPUTED_VALUE"""),"Cheese")</f>
        <v>Cheese</v>
      </c>
      <c r="AV266" s="292" t="str">
        <f>IFERROR(__xludf.DUMMYFUNCTION("""COMPUTED_VALUE"""),"Tomato Based Sauce")</f>
        <v>Tomato Based Sauce</v>
      </c>
      <c r="AW266" s="292" t="str">
        <f>IFERROR(__xludf.DUMMYFUNCTION("""COMPUTED_VALUE"""),"Year Round")</f>
        <v>Year Round</v>
      </c>
      <c r="AX266" s="292" t="str">
        <f>IFERROR(__xludf.DUMMYFUNCTION("""COMPUTED_VALUE"""),"Italian")</f>
        <v>Italian</v>
      </c>
      <c r="AY266" s="292"/>
      <c r="AZ266" s="292" t="str">
        <f>IFERROR(__xludf.DUMMYFUNCTION("""COMPUTED_VALUE"""),"2 CT")</f>
        <v>2 CT</v>
      </c>
      <c r="BA266" s="292" t="b">
        <f>IFERROR(__xludf.DUMMYFUNCTION("""COMPUTED_VALUE"""),FALSE)</f>
        <v>0</v>
      </c>
      <c r="BB266" s="342">
        <f>IFERROR(__xludf.DUMMYFUNCTION("""COMPUTED_VALUE"""),2.12)</f>
        <v>2.12</v>
      </c>
      <c r="BC266" s="342">
        <f>IFERROR(__xludf.DUMMYFUNCTION("""COMPUTED_VALUE"""),1.26)</f>
        <v>1.26</v>
      </c>
      <c r="BD266" s="342">
        <f>IFERROR(__xludf.DUMMYFUNCTION("""COMPUTED_VALUE"""),0.4)</f>
        <v>0.4</v>
      </c>
      <c r="BE266" s="342">
        <f>IFERROR(__xludf.DUMMYFUNCTION("""COMPUTED_VALUE"""),0.89)</f>
        <v>0.89</v>
      </c>
      <c r="BF266" s="296" t="str">
        <f>IFERROR(__xludf.DUMMYFUNCTION("""COMPUTED_VALUE"""),"#REF!")</f>
        <v>#REF!</v>
      </c>
      <c r="BG266" s="296" t="str">
        <f>IFERROR(__xludf.DUMMYFUNCTION("""COMPUTED_VALUE"""),"#REF!")</f>
        <v>#REF!</v>
      </c>
      <c r="BH266" s="296" t="str">
        <f>IFERROR(__xludf.DUMMYFUNCTION("""COMPUTED_VALUE"""),"#REF!")</f>
        <v>#REF!</v>
      </c>
      <c r="BI266" s="295">
        <f>IFERROR(__xludf.DUMMYFUNCTION("""COMPUTED_VALUE"""),146.0)</f>
        <v>146</v>
      </c>
      <c r="BJ266" s="292"/>
      <c r="BK266" s="346">
        <f>IFERROR(__xludf.DUMMYFUNCTION("""COMPUTED_VALUE"""),2133.0)</f>
        <v>2133</v>
      </c>
      <c r="BL266" s="292"/>
      <c r="BM266" s="292"/>
      <c r="BN266" s="292"/>
      <c r="BO266" s="292"/>
      <c r="BP266" s="292"/>
      <c r="BQ266" s="292"/>
      <c r="BR266" s="292" t="b">
        <f>IFERROR(__xludf.DUMMYFUNCTION("""COMPUTED_VALUE"""),FALSE)</f>
        <v>0</v>
      </c>
      <c r="BS266" s="292" t="b">
        <f>IFERROR(__xludf.DUMMYFUNCTION("""COMPUTED_VALUE"""),FALSE)</f>
        <v>0</v>
      </c>
      <c r="BT266" s="292"/>
      <c r="BU266" s="292"/>
      <c r="BV266" s="292"/>
      <c r="BW266" s="292"/>
    </row>
    <row r="267">
      <c r="A267" s="292" t="str">
        <f>IFERROR(__xludf.DUMMYFUNCTION("""COMPUTED_VALUE"""),"FE4091A")</f>
        <v>FE4091A</v>
      </c>
      <c r="B267" s="292" t="str">
        <f>IFERROR(__xludf.DUMMYFUNCTION("""COMPUTED_VALUE"""),"")</f>
        <v/>
      </c>
      <c r="C267" s="292"/>
      <c r="D267" s="292"/>
      <c r="E267" s="292" t="str">
        <f>IFERROR(__xludf.DUMMYFUNCTION("""COMPUTED_VALUE"""),"Dijon &amp; Honey Pork Tenderloin")</f>
        <v>Dijon &amp; Honey Pork Tenderloin</v>
      </c>
      <c r="F267" s="292" t="str">
        <f>IFERROR(__xludf.DUMMYFUNCTION("""COMPUTED_VALUE"""),"with Mashed Potatoes, Green Beans &amp; Caramelized Onions")</f>
        <v>with Mashed Potatoes, Green Beans &amp; Caramelized Onions</v>
      </c>
      <c r="G267" s="292" t="str">
        <f>IFERROR(__xludf.DUMMYFUNCTION("""COMPUTED_VALUE"""),"Varkenshaas met honing-dijonsaus")</f>
        <v>Varkenshaas met honing-dijonsaus</v>
      </c>
      <c r="H267" s="292" t="str">
        <f>IFERROR(__xludf.DUMMYFUNCTION("""COMPUTED_VALUE"""),"met aardappelpuree, sperziebonen en gekaramelliseerde ui")</f>
        <v>met aardappelpuree, sperziebonen en gekaramelliseerde ui</v>
      </c>
      <c r="I267" s="292"/>
      <c r="J267" s="292" t="str">
        <f>IFERROR(__xludf.DUMMYFUNCTION("""COMPUTED_VALUE"""),"Dijon- &amp; Honig-Schweinefilet")</f>
        <v>Dijon- &amp; Honig-Schweinefilet</v>
      </c>
      <c r="K267" s="292">
        <f>IFERROR(__xludf.DUMMYFUNCTION("""COMPUTED_VALUE"""),565295.0)</f>
        <v>565295</v>
      </c>
      <c r="L267" s="292" t="str">
        <f>IFERROR(__xludf.DUMMYFUNCTION("""COMPUTED_VALUE"""),"HF Dijon varkenshaas en puree")</f>
        <v>HF Dijon varkenshaas en puree</v>
      </c>
      <c r="M267" s="292" t="str">
        <f>IFERROR(__xludf.DUMMYFUNCTION("""COMPUTED_VALUE"""),"#N/A")</f>
        <v>#N/A</v>
      </c>
      <c r="N267" s="292" t="str">
        <f>IFERROR(__xludf.DUMMYFUNCTION("""COMPUTED_VALUE"""),"#N/A")</f>
        <v>#N/A</v>
      </c>
      <c r="O267" s="292" t="str">
        <f>IFERROR(__xludf.DUMMYFUNCTION("""COMPUTED_VALUE"""),"#N/A")</f>
        <v>#N/A</v>
      </c>
      <c r="P267" s="292" t="str">
        <f>IFERROR(__xludf.DUMMYFUNCTION("""COMPUTED_VALUE"""),"Active")</f>
        <v>Active</v>
      </c>
      <c r="Q267" s="292"/>
      <c r="R267" s="342">
        <f>IFERROR(__xludf.DUMMYFUNCTION("""COMPUTED_VALUE"""),4.73)</f>
        <v>4.73</v>
      </c>
      <c r="S267" s="292"/>
      <c r="T267" s="292"/>
      <c r="U267" s="292"/>
      <c r="V267" s="292"/>
      <c r="W267" s="292" t="b">
        <f>IFERROR(__xludf.DUMMYFUNCTION("""COMPUTED_VALUE"""),TRUE)</f>
        <v>1</v>
      </c>
      <c r="X267" s="345">
        <f>IFERROR(__xludf.DUMMYFUNCTION("""COMPUTED_VALUE"""),409.0)</f>
        <v>409</v>
      </c>
      <c r="Y267" s="344">
        <f>IFERROR(__xludf.DUMMYFUNCTION("""COMPUTED_VALUE"""),471.0)</f>
        <v>471</v>
      </c>
      <c r="Z267" s="343">
        <f>IFERROR(__xludf.DUMMYFUNCTION("""COMPUTED_VALUE"""),23.7)</f>
        <v>23.7</v>
      </c>
      <c r="AA267" s="344">
        <f>IFERROR(__xludf.DUMMYFUNCTION("""COMPUTED_VALUE"""),12.1)</f>
        <v>12.1</v>
      </c>
      <c r="AB267" s="344">
        <f>IFERROR(__xludf.DUMMYFUNCTION("""COMPUTED_VALUE"""),28.9)</f>
        <v>28.9</v>
      </c>
      <c r="AC267" s="344">
        <f>IFERROR(__xludf.DUMMYFUNCTION("""COMPUTED_VALUE"""),11.9)</f>
        <v>11.9</v>
      </c>
      <c r="AD267" s="344">
        <f>IFERROR(__xludf.DUMMYFUNCTION("""COMPUTED_VALUE"""),9.2)</f>
        <v>9.2</v>
      </c>
      <c r="AE267" s="343">
        <f>IFERROR(__xludf.DUMMYFUNCTION("""COMPUTED_VALUE"""),30.4)</f>
        <v>30.4</v>
      </c>
      <c r="AF267" s="343">
        <f>IFERROR(__xludf.DUMMYFUNCTION("""COMPUTED_VALUE"""),2.12)</f>
        <v>2.12</v>
      </c>
      <c r="AG267" s="292" t="b">
        <f>IFERROR(__xludf.DUMMYFUNCTION("""COMPUTED_VALUE"""),FALSE)</f>
        <v>0</v>
      </c>
      <c r="AH267" s="292" t="b">
        <f>IFERROR(__xludf.DUMMYFUNCTION("""COMPUTED_VALUE"""),FALSE)</f>
        <v>0</v>
      </c>
      <c r="AI267" s="292" t="b">
        <f>IFERROR(__xludf.DUMMYFUNCTION("""COMPUTED_VALUE"""),TRUE)</f>
        <v>1</v>
      </c>
      <c r="AJ267" s="292" t="b">
        <f>IFERROR(__xludf.DUMMYFUNCTION("""COMPUTED_VALUE"""),FALSE)</f>
        <v>0</v>
      </c>
      <c r="AK267" s="292" t="b">
        <f>IFERROR(__xludf.DUMMYFUNCTION("""COMPUTED_VALUE"""),FALSE)</f>
        <v>0</v>
      </c>
      <c r="AL267" s="292" t="b">
        <f>IFERROR(__xludf.DUMMYFUNCTION("""COMPUTED_VALUE"""),FALSE)</f>
        <v>0</v>
      </c>
      <c r="AM267" s="292" t="b">
        <f>IFERROR(__xludf.DUMMYFUNCTION("""COMPUTED_VALUE"""),FALSE)</f>
        <v>0</v>
      </c>
      <c r="AN267" s="292" t="b">
        <f>IFERROR(__xludf.DUMMYFUNCTION("""COMPUTED_VALUE"""),FALSE)</f>
        <v>0</v>
      </c>
      <c r="AO267" s="292" t="str">
        <f>IFERROR(__xludf.DUMMYFUNCTION("""COMPUTED_VALUE"""),"TRUE")</f>
        <v>TRUE</v>
      </c>
      <c r="AP267" s="292" t="str">
        <f>IFERROR(__xludf.DUMMYFUNCTION("""COMPUTED_VALUE"""),"Pork tenderloin")</f>
        <v>Pork tenderloin</v>
      </c>
      <c r="AQ267" s="292" t="str">
        <f>IFERROR(__xludf.DUMMYFUNCTION("""COMPUTED_VALUE"""),"Pork")</f>
        <v>Pork</v>
      </c>
      <c r="AR267" s="292" t="str">
        <f>IFERROR(__xludf.DUMMYFUNCTION("""COMPUTED_VALUE"""),"Tenderloin")</f>
        <v>Tenderloin</v>
      </c>
      <c r="AS267" s="292" t="str">
        <f>IFERROR(__xludf.DUMMYFUNCTION("""COMPUTED_VALUE"""),"Potato Mash")</f>
        <v>Potato Mash</v>
      </c>
      <c r="AT267" s="292" t="str">
        <f>IFERROR(__xludf.DUMMYFUNCTION("""COMPUTED_VALUE"""),"Green Beans")</f>
        <v>Green Beans</v>
      </c>
      <c r="AU267" s="292" t="str">
        <f>IFERROR(__xludf.DUMMYFUNCTION("""COMPUTED_VALUE"""),"Caramelized Onions")</f>
        <v>Caramelized Onions</v>
      </c>
      <c r="AV267" s="292" t="str">
        <f>IFERROR(__xludf.DUMMYFUNCTION("""COMPUTED_VALUE"""),"Other sauce")</f>
        <v>Other sauce</v>
      </c>
      <c r="AW267" s="292" t="str">
        <f>IFERROR(__xludf.DUMMYFUNCTION("""COMPUTED_VALUE"""),"Year Round")</f>
        <v>Year Round</v>
      </c>
      <c r="AX267" s="292" t="str">
        <f>IFERROR(__xludf.DUMMYFUNCTION("""COMPUTED_VALUE"""),"American")</f>
        <v>American</v>
      </c>
      <c r="AY267" s="292"/>
      <c r="AZ267" s="292" t="str">
        <f>IFERROR(__xludf.DUMMYFUNCTION("""COMPUTED_VALUE"""),"2 CT")</f>
        <v>2 CT</v>
      </c>
      <c r="BA267" s="292" t="b">
        <f>IFERROR(__xludf.DUMMYFUNCTION("""COMPUTED_VALUE"""),FALSE)</f>
        <v>0</v>
      </c>
      <c r="BB267" s="342">
        <f>IFERROR(__xludf.DUMMYFUNCTION("""COMPUTED_VALUE"""),2.8)</f>
        <v>2.8</v>
      </c>
      <c r="BC267" s="342">
        <f>IFERROR(__xludf.DUMMYFUNCTION("""COMPUTED_VALUE"""),1.52)</f>
        <v>1.52</v>
      </c>
      <c r="BD267" s="342">
        <f>IFERROR(__xludf.DUMMYFUNCTION("""COMPUTED_VALUE"""),0.4)</f>
        <v>0.4</v>
      </c>
      <c r="BE267" s="342">
        <f>IFERROR(__xludf.DUMMYFUNCTION("""COMPUTED_VALUE"""),0.89)</f>
        <v>0.89</v>
      </c>
      <c r="BF267" s="296" t="str">
        <f>IFERROR(__xludf.DUMMYFUNCTION("""COMPUTED_VALUE"""),"#REF!")</f>
        <v>#REF!</v>
      </c>
      <c r="BG267" s="296" t="str">
        <f>IFERROR(__xludf.DUMMYFUNCTION("""COMPUTED_VALUE"""),"#REF!")</f>
        <v>#REF!</v>
      </c>
      <c r="BH267" s="296" t="str">
        <f>IFERROR(__xludf.DUMMYFUNCTION("""COMPUTED_VALUE"""),"#REF!")</f>
        <v>#REF!</v>
      </c>
      <c r="BI267" s="295">
        <f>IFERROR(__xludf.DUMMYFUNCTION("""COMPUTED_VALUE"""),132.0)</f>
        <v>132</v>
      </c>
      <c r="BJ267" s="292"/>
      <c r="BK267" s="346">
        <f>IFERROR(__xludf.DUMMYFUNCTION("""COMPUTED_VALUE"""),1972.0)</f>
        <v>1972</v>
      </c>
      <c r="BL267" s="292"/>
      <c r="BM267" s="292"/>
      <c r="BN267" s="292"/>
      <c r="BO267" s="292"/>
      <c r="BP267" s="292"/>
      <c r="BQ267" s="292"/>
      <c r="BR267" s="292" t="b">
        <f>IFERROR(__xludf.DUMMYFUNCTION("""COMPUTED_VALUE"""),FALSE)</f>
        <v>0</v>
      </c>
      <c r="BS267" s="292" t="b">
        <f>IFERROR(__xludf.DUMMYFUNCTION("""COMPUTED_VALUE"""),FALSE)</f>
        <v>0</v>
      </c>
      <c r="BT267" s="292"/>
      <c r="BU267" s="292"/>
      <c r="BV267" s="292"/>
      <c r="BW267" s="292"/>
    </row>
    <row r="268">
      <c r="A268" s="292" t="str">
        <f>IFERROR(__xludf.DUMMYFUNCTION("""COMPUTED_VALUE"""),"FE4092A")</f>
        <v>FE4092A</v>
      </c>
      <c r="B268" s="292" t="str">
        <f>IFERROR(__xludf.DUMMYFUNCTION("""COMPUTED_VALUE"""),"")</f>
        <v/>
      </c>
      <c r="C268" s="292"/>
      <c r="D268" s="292"/>
      <c r="E268" s="292" t="str">
        <f>IFERROR(__xludf.DUMMYFUNCTION("""COMPUTED_VALUE"""),"Cashew Chicken Curry")</f>
        <v>Cashew Chicken Curry</v>
      </c>
      <c r="F268" s="292" t="str">
        <f>IFERROR(__xludf.DUMMYFUNCTION("""COMPUTED_VALUE"""),"with Brown Rice &amp; Toasted Cashews")</f>
        <v>with Brown Rice &amp; Toasted Cashews</v>
      </c>
      <c r="G268" s="292"/>
      <c r="H268" s="292"/>
      <c r="I268" s="292" t="str">
        <f>IFERROR(__xludf.DUMMYFUNCTION("""COMPUTED_VALUE"""),"#N/A")</f>
        <v>#N/A</v>
      </c>
      <c r="J268" s="292"/>
      <c r="K268" s="292"/>
      <c r="L268" s="292"/>
      <c r="M268" s="292" t="str">
        <f>IFERROR(__xludf.DUMMYFUNCTION("""COMPUTED_VALUE"""),"#N/A")</f>
        <v>#N/A</v>
      </c>
      <c r="N268" s="292" t="str">
        <f>IFERROR(__xludf.DUMMYFUNCTION("""COMPUTED_VALUE"""),"#N/A")</f>
        <v>#N/A</v>
      </c>
      <c r="O268" s="292" t="str">
        <f>IFERROR(__xludf.DUMMYFUNCTION("""COMPUTED_VALUE"""),"#N/A")</f>
        <v>#N/A</v>
      </c>
      <c r="P268" s="292"/>
      <c r="Q268" s="292"/>
      <c r="R268" s="292"/>
      <c r="S268" s="292"/>
      <c r="T268" s="292"/>
      <c r="U268" s="292"/>
      <c r="V268" s="292"/>
      <c r="W268" s="292" t="b">
        <f>IFERROR(__xludf.DUMMYFUNCTION("""COMPUTED_VALUE"""),TRUE)</f>
        <v>1</v>
      </c>
      <c r="X268" s="292" t="str">
        <f>IFERROR(__xludf.DUMMYFUNCTION("""COMPUTED_VALUE"""),"#N/A")</f>
        <v>#N/A</v>
      </c>
      <c r="Y268" s="344" t="str">
        <f>IFERROR(__xludf.DUMMYFUNCTION("""COMPUTED_VALUE"""),"#N/A")</f>
        <v>#N/A</v>
      </c>
      <c r="Z268" s="343" t="str">
        <f>IFERROR(__xludf.DUMMYFUNCTION("""COMPUTED_VALUE"""),"#N/A")</f>
        <v>#N/A</v>
      </c>
      <c r="AA268" s="292" t="str">
        <f>IFERROR(__xludf.DUMMYFUNCTION("""COMPUTED_VALUE"""),"#N/A")</f>
        <v>#N/A</v>
      </c>
      <c r="AB268" s="292" t="str">
        <f>IFERROR(__xludf.DUMMYFUNCTION("""COMPUTED_VALUE"""),"#N/A")</f>
        <v>#N/A</v>
      </c>
      <c r="AC268" s="292" t="str">
        <f>IFERROR(__xludf.DUMMYFUNCTION("""COMPUTED_VALUE"""),"#N/A")</f>
        <v>#N/A</v>
      </c>
      <c r="AD268" s="292" t="str">
        <f>IFERROR(__xludf.DUMMYFUNCTION("""COMPUTED_VALUE"""),"#N/A")</f>
        <v>#N/A</v>
      </c>
      <c r="AE268" s="343" t="str">
        <f>IFERROR(__xludf.DUMMYFUNCTION("""COMPUTED_VALUE"""),"#N/A")</f>
        <v>#N/A</v>
      </c>
      <c r="AF268" s="292" t="str">
        <f>IFERROR(__xludf.DUMMYFUNCTION("""COMPUTED_VALUE"""),"#N/A")</f>
        <v>#N/A</v>
      </c>
      <c r="AG268" s="292"/>
      <c r="AH268" s="292" t="str">
        <f>IFERROR(__xludf.DUMMYFUNCTION("""COMPUTED_VALUE"""),"#N/A")</f>
        <v>#N/A</v>
      </c>
      <c r="AI268" s="292" t="str">
        <f>IFERROR(__xludf.DUMMYFUNCTION("""COMPUTED_VALUE"""),"#N/A")</f>
        <v>#N/A</v>
      </c>
      <c r="AJ268" s="292" t="str">
        <f>IFERROR(__xludf.DUMMYFUNCTION("""COMPUTED_VALUE"""),"#N/A")</f>
        <v>#N/A</v>
      </c>
      <c r="AK268" s="292" t="str">
        <f>IFERROR(__xludf.DUMMYFUNCTION("""COMPUTED_VALUE"""),"#N/A")</f>
        <v>#N/A</v>
      </c>
      <c r="AL268" s="292" t="str">
        <f>IFERROR(__xludf.DUMMYFUNCTION("""COMPUTED_VALUE"""),"#N/A")</f>
        <v>#N/A</v>
      </c>
      <c r="AM268" s="292" t="str">
        <f>IFERROR(__xludf.DUMMYFUNCTION("""COMPUTED_VALUE"""),"#N/A")</f>
        <v>#N/A</v>
      </c>
      <c r="AN268" s="292" t="str">
        <f>IFERROR(__xludf.DUMMYFUNCTION("""COMPUTED_VALUE"""),"#N/A")</f>
        <v>#N/A</v>
      </c>
      <c r="AO268" s="292" t="str">
        <f>IFERROR(__xludf.DUMMYFUNCTION("""COMPUTED_VALUE"""),"#N/A")</f>
        <v>#N/A</v>
      </c>
      <c r="AP268" s="292"/>
      <c r="AQ268" s="292"/>
      <c r="AR268" s="292"/>
      <c r="AS268" s="292"/>
      <c r="AT268" s="292"/>
      <c r="AU268" s="292"/>
      <c r="AV268" s="292"/>
      <c r="AW268" s="292"/>
      <c r="AX268" s="292"/>
      <c r="AY268" s="292"/>
      <c r="AZ268" s="292"/>
      <c r="BA268" s="292"/>
      <c r="BB268" s="292"/>
      <c r="BC268" s="292"/>
      <c r="BD268" s="292"/>
      <c r="BE268" s="292"/>
      <c r="BF268" s="296" t="str">
        <f>IFERROR(__xludf.DUMMYFUNCTION("""COMPUTED_VALUE"""),"#REF!")</f>
        <v>#REF!</v>
      </c>
      <c r="BG268" s="296" t="str">
        <f>IFERROR(__xludf.DUMMYFUNCTION("""COMPUTED_VALUE"""),"#REF!")</f>
        <v>#REF!</v>
      </c>
      <c r="BH268" s="296" t="str">
        <f>IFERROR(__xludf.DUMMYFUNCTION("""COMPUTED_VALUE"""),"#REF!")</f>
        <v>#REF!</v>
      </c>
      <c r="BI268" s="295" t="str">
        <f>IFERROR(__xludf.DUMMYFUNCTION("""COMPUTED_VALUE"""),"#N/A")</f>
        <v>#N/A</v>
      </c>
      <c r="BJ268" s="292"/>
      <c r="BK268" s="346" t="str">
        <f>IFERROR(__xludf.DUMMYFUNCTION("""COMPUTED_VALUE"""),"#N/A")</f>
        <v>#N/A</v>
      </c>
      <c r="BL268" s="292"/>
      <c r="BM268" s="292"/>
      <c r="BN268" s="292"/>
      <c r="BO268" s="292"/>
      <c r="BP268" s="292"/>
      <c r="BQ268" s="292"/>
      <c r="BR268" s="292" t="str">
        <f>IFERROR(__xludf.DUMMYFUNCTION("""COMPUTED_VALUE"""),"#N/A")</f>
        <v>#N/A</v>
      </c>
      <c r="BS268" s="292" t="str">
        <f>IFERROR(__xludf.DUMMYFUNCTION("""COMPUTED_VALUE"""),"#N/A")</f>
        <v>#N/A</v>
      </c>
      <c r="BT268" s="292"/>
      <c r="BU268" s="292"/>
      <c r="BV268" s="292"/>
      <c r="BW268" s="292"/>
    </row>
    <row r="269">
      <c r="A269" s="292" t="str">
        <f>IFERROR(__xludf.DUMMYFUNCTION("""COMPUTED_VALUE"""),"FE1203A")</f>
        <v>FE1203A</v>
      </c>
      <c r="B269" s="292" t="str">
        <f>IFERROR(__xludf.DUMMYFUNCTION("""COMPUTED_VALUE"""),"CON-40-158245-4")</f>
        <v>CON-40-158245-4</v>
      </c>
      <c r="C269" s="292" t="str">
        <f>IFERROR(__xludf.DUMMYFUNCTION("""COMPUTED_VALUE"""),"CON-00-158244-2")</f>
        <v>CON-00-158244-2</v>
      </c>
      <c r="D269" s="292" t="str">
        <f>IFERROR(__xludf.DUMMYFUNCTION("""COMPUTED_VALUE"""),"CON-00-158243-2")</f>
        <v>CON-00-158243-2</v>
      </c>
      <c r="E269" s="292" t="str">
        <f>IFERROR(__xludf.DUMMYFUNCTION("""COMPUTED_VALUE"""),"Citrus Mojo Chicken Breast")</f>
        <v>Citrus Mojo Chicken Breast</v>
      </c>
      <c r="F269" s="292" t="str">
        <f>IFERROR(__xludf.DUMMYFUNCTION("""COMPUTED_VALUE"""),"with Roasted Pepper Rice, Stewed Black Beans &amp; Ancho Chile Sweet Potatoes")</f>
        <v>with Roasted Pepper Rice, Stewed Black Beans &amp; Ancho Chile Sweet Potatoes</v>
      </c>
      <c r="G269" s="292" t="str">
        <f>IFERROR(__xludf.DUMMYFUNCTION("""COMPUTED_VALUE"""),"Kipfilet met citrus-mojosaus")</f>
        <v>Kipfilet met citrus-mojosaus</v>
      </c>
      <c r="H269" s="292" t="str">
        <f>IFERROR(__xludf.DUMMYFUNCTION("""COMPUTED_VALUE"""),"met geroosterde paprika-rijst, gestoofde zwarte bonen en zoete aardappel met anchochili")</f>
        <v>met geroosterde paprika-rijst, gestoofde zwarte bonen en zoete aardappel met anchochili</v>
      </c>
      <c r="I269" s="292" t="str">
        <f>IFERROR(__xludf.DUMMYFUNCTION("""COMPUTED_VALUE"""),"Citrus-mojo kyllingebryst")</f>
        <v>Citrus-mojo kyllingebryst</v>
      </c>
      <c r="J269" s="292" t="str">
        <f>IFERROR(__xludf.DUMMYFUNCTION("""COMPUTED_VALUE"""),"Hähnchenbrust mit Citrus-Mojo-Sauce")</f>
        <v>Hähnchenbrust mit Citrus-Mojo-Sauce</v>
      </c>
      <c r="K269" s="292">
        <f>IFERROR(__xludf.DUMMYFUNCTION("""COMPUTED_VALUE"""),565264.0)</f>
        <v>565264</v>
      </c>
      <c r="L269" s="292" t="str">
        <f>IFERROR(__xludf.DUMMYFUNCTION("""COMPUTED_VALUE"""),"HF Citrus Mojo Chicken")</f>
        <v>HF Citrus Mojo Chicken</v>
      </c>
      <c r="M269" s="292" t="str">
        <f>IFERROR(__xludf.DUMMYFUNCTION("""COMPUTED_VALUE"""),"FA-NL Kipfilet met citrus-mojosaus (FE1203)")</f>
        <v>FA-NL Kipfilet met citrus-mojosaus (FE1203)</v>
      </c>
      <c r="N269" s="292" t="str">
        <f>IFERROR(__xludf.DUMMYFUNCTION("""COMPUTED_VALUE"""),"FA-NO Citrus-mojo kyllingebryst (FE1203)")</f>
        <v>FA-NO Citrus-mojo kyllingebryst (FE1203)</v>
      </c>
      <c r="O269" s="292" t="str">
        <f>IFERROR(__xludf.DUMMYFUNCTION("""COMPUTED_VALUE"""),"FA-DE Hähnchenbrust mit Citrus-Mojo-Sauce (FE1203)")</f>
        <v>FA-DE Hähnchenbrust mit Citrus-Mojo-Sauce (FE1203)</v>
      </c>
      <c r="P269" s="292" t="str">
        <f>IFERROR(__xludf.DUMMYFUNCTION("""COMPUTED_VALUE"""),"Active")</f>
        <v>Active</v>
      </c>
      <c r="Q269" s="292"/>
      <c r="R269" s="342">
        <f>IFERROR(__xludf.DUMMYFUNCTION("""COMPUTED_VALUE"""),4.45)</f>
        <v>4.45</v>
      </c>
      <c r="S269" s="292"/>
      <c r="T269" s="292"/>
      <c r="U269" s="292"/>
      <c r="V269" s="292"/>
      <c r="W269" s="292" t="b">
        <f>IFERROR(__xludf.DUMMYFUNCTION("""COMPUTED_VALUE"""),TRUE)</f>
        <v>1</v>
      </c>
      <c r="X269" s="345">
        <f>IFERROR(__xludf.DUMMYFUNCTION("""COMPUTED_VALUE"""),379.0)</f>
        <v>379</v>
      </c>
      <c r="Y269" s="344">
        <f>IFERROR(__xludf.DUMMYFUNCTION("""COMPUTED_VALUE"""),533.0)</f>
        <v>533</v>
      </c>
      <c r="Z269" s="343">
        <f>IFERROR(__xludf.DUMMYFUNCTION("""COMPUTED_VALUE"""),23.5)</f>
        <v>23.5</v>
      </c>
      <c r="AA269" s="344">
        <f>IFERROR(__xludf.DUMMYFUNCTION("""COMPUTED_VALUE"""),6.4)</f>
        <v>6.4</v>
      </c>
      <c r="AB269" s="344">
        <f>IFERROR(__xludf.DUMMYFUNCTION("""COMPUTED_VALUE"""),45.8)</f>
        <v>45.8</v>
      </c>
      <c r="AC269" s="344">
        <f>IFERROR(__xludf.DUMMYFUNCTION("""COMPUTED_VALUE"""),11.2)</f>
        <v>11.2</v>
      </c>
      <c r="AD269" s="344">
        <f>IFERROR(__xludf.DUMMYFUNCTION("""COMPUTED_VALUE"""),9.0)</f>
        <v>9</v>
      </c>
      <c r="AE269" s="343">
        <f>IFERROR(__xludf.DUMMYFUNCTION("""COMPUTED_VALUE"""),32.0)</f>
        <v>32</v>
      </c>
      <c r="AF269" s="343">
        <f>IFERROR(__xludf.DUMMYFUNCTION("""COMPUTED_VALUE"""),2.03)</f>
        <v>2.03</v>
      </c>
      <c r="AG269" s="292" t="b">
        <f>IFERROR(__xludf.DUMMYFUNCTION("""COMPUTED_VALUE"""),FALSE)</f>
        <v>0</v>
      </c>
      <c r="AH269" s="292" t="b">
        <f>IFERROR(__xludf.DUMMYFUNCTION("""COMPUTED_VALUE"""),FALSE)</f>
        <v>0</v>
      </c>
      <c r="AI269" s="292" t="b">
        <f>IFERROR(__xludf.DUMMYFUNCTION("""COMPUTED_VALUE"""),TRUE)</f>
        <v>1</v>
      </c>
      <c r="AJ269" s="292" t="b">
        <f>IFERROR(__xludf.DUMMYFUNCTION("""COMPUTED_VALUE"""),FALSE)</f>
        <v>0</v>
      </c>
      <c r="AK269" s="292" t="b">
        <f>IFERROR(__xludf.DUMMYFUNCTION("""COMPUTED_VALUE"""),FALSE)</f>
        <v>0</v>
      </c>
      <c r="AL269" s="292" t="b">
        <f>IFERROR(__xludf.DUMMYFUNCTION("""COMPUTED_VALUE"""),FALSE)</f>
        <v>0</v>
      </c>
      <c r="AM269" s="292" t="b">
        <f>IFERROR(__xludf.DUMMYFUNCTION("""COMPUTED_VALUE"""),TRUE)</f>
        <v>1</v>
      </c>
      <c r="AN269" s="292" t="b">
        <f>IFERROR(__xludf.DUMMYFUNCTION("""COMPUTED_VALUE"""),FALSE)</f>
        <v>0</v>
      </c>
      <c r="AO269" s="292" t="str">
        <f>IFERROR(__xludf.DUMMYFUNCTION("""COMPUTED_VALUE"""),"TRUE")</f>
        <v>TRUE</v>
      </c>
      <c r="AP269" s="292" t="str">
        <f>IFERROR(__xludf.DUMMYFUNCTION("""COMPUTED_VALUE"""),"Chicken breast")</f>
        <v>Chicken breast</v>
      </c>
      <c r="AQ269" s="292" t="str">
        <f>IFERROR(__xludf.DUMMYFUNCTION("""COMPUTED_VALUE"""),"Chicken")</f>
        <v>Chicken</v>
      </c>
      <c r="AR269" s="292" t="str">
        <f>IFERROR(__xludf.DUMMYFUNCTION("""COMPUTED_VALUE"""),"Breast")</f>
        <v>Breast</v>
      </c>
      <c r="AS269" s="292" t="str">
        <f>IFERROR(__xludf.DUMMYFUNCTION("""COMPUTED_VALUE"""),"Rice")</f>
        <v>Rice</v>
      </c>
      <c r="AT269" s="292" t="str">
        <f>IFERROR(__xludf.DUMMYFUNCTION("""COMPUTED_VALUE"""),"Black Beans")</f>
        <v>Black Beans</v>
      </c>
      <c r="AU269" s="292" t="str">
        <f>IFERROR(__xludf.DUMMYFUNCTION("""COMPUTED_VALUE"""),"Sweet Potato")</f>
        <v>Sweet Potato</v>
      </c>
      <c r="AV269" s="292" t="str">
        <f>IFERROR(__xludf.DUMMYFUNCTION("""COMPUTED_VALUE"""),"Other sauce")</f>
        <v>Other sauce</v>
      </c>
      <c r="AW269" s="292" t="str">
        <f>IFERROR(__xludf.DUMMYFUNCTION("""COMPUTED_VALUE"""),"Year Round")</f>
        <v>Year Round</v>
      </c>
      <c r="AX269" s="292" t="str">
        <f>IFERROR(__xludf.DUMMYFUNCTION("""COMPUTED_VALUE"""),"Cuban")</f>
        <v>Cuban</v>
      </c>
      <c r="AY269" s="292"/>
      <c r="AZ269" s="292" t="str">
        <f>IFERROR(__xludf.DUMMYFUNCTION("""COMPUTED_VALUE"""),"2 CT")</f>
        <v>2 CT</v>
      </c>
      <c r="BA269" s="292" t="b">
        <f>IFERROR(__xludf.DUMMYFUNCTION("""COMPUTED_VALUE"""),FALSE)</f>
        <v>0</v>
      </c>
      <c r="BB269" s="342">
        <f>IFERROR(__xludf.DUMMYFUNCTION("""COMPUTED_VALUE"""),2.37)</f>
        <v>2.37</v>
      </c>
      <c r="BC269" s="342">
        <f>IFERROR(__xludf.DUMMYFUNCTION("""COMPUTED_VALUE"""),1.67)</f>
        <v>1.67</v>
      </c>
      <c r="BD269" s="342">
        <f>IFERROR(__xludf.DUMMYFUNCTION("""COMPUTED_VALUE"""),0.4)</f>
        <v>0.4</v>
      </c>
      <c r="BE269" s="342">
        <f>IFERROR(__xludf.DUMMYFUNCTION("""COMPUTED_VALUE"""),0.89)</f>
        <v>0.89</v>
      </c>
      <c r="BF269" s="296">
        <f>IFERROR(__xludf.DUMMYFUNCTION("""COMPUTED_VALUE"""),3.44)</f>
        <v>3.44</v>
      </c>
      <c r="BG269" s="296">
        <f>IFERROR(__xludf.DUMMYFUNCTION("""COMPUTED_VALUE"""),3.37)</f>
        <v>3.37</v>
      </c>
      <c r="BH269" s="296">
        <f>IFERROR(__xludf.DUMMYFUNCTION("""COMPUTED_VALUE"""),3.46)</f>
        <v>3.46</v>
      </c>
      <c r="BI269" s="295">
        <f>IFERROR(__xludf.DUMMYFUNCTION("""COMPUTED_VALUE"""),50.4)</f>
        <v>50.4</v>
      </c>
      <c r="BJ269" s="292"/>
      <c r="BK269" s="346">
        <f>IFERROR(__xludf.DUMMYFUNCTION("""COMPUTED_VALUE"""),2225.0)</f>
        <v>2225</v>
      </c>
      <c r="BL269" s="292"/>
      <c r="BM269" s="292"/>
      <c r="BN269" s="292"/>
      <c r="BO269" s="292"/>
      <c r="BP269" s="292"/>
      <c r="BQ269" s="292"/>
      <c r="BR269" s="292" t="b">
        <f>IFERROR(__xludf.DUMMYFUNCTION("""COMPUTED_VALUE"""),FALSE)</f>
        <v>0</v>
      </c>
      <c r="BS269" s="292" t="b">
        <f>IFERROR(__xludf.DUMMYFUNCTION("""COMPUTED_VALUE"""),FALSE)</f>
        <v>0</v>
      </c>
      <c r="BT269" s="292"/>
      <c r="BU269" s="292"/>
      <c r="BV269" s="292"/>
      <c r="BW269" s="292"/>
    </row>
    <row r="270">
      <c r="A270" s="292" t="str">
        <f>IFERROR(__xludf.DUMMYFUNCTION("""COMPUTED_VALUE"""),"FE1787A")</f>
        <v>FE1787A</v>
      </c>
      <c r="B270" s="292" t="str">
        <f>IFERROR(__xludf.DUMMYFUNCTION("""COMPUTED_VALUE"""),"CON-40-168126-4")</f>
        <v>CON-40-168126-4</v>
      </c>
      <c r="C270" s="292" t="str">
        <f>IFERROR(__xludf.DUMMYFUNCTION("""COMPUTED_VALUE"""),"CON-00-168128-2")</f>
        <v>CON-00-168128-2</v>
      </c>
      <c r="D270" s="292" t="str">
        <f>IFERROR(__xludf.DUMMYFUNCTION("""COMPUTED_VALUE"""),"CON-00-168127-2")</f>
        <v>CON-00-168127-2</v>
      </c>
      <c r="E270" s="292" t="str">
        <f>IFERROR(__xludf.DUMMYFUNCTION("""COMPUTED_VALUE"""),"Tomato Escabeche Grilled Chicken")</f>
        <v>Tomato Escabeche Grilled Chicken</v>
      </c>
      <c r="F270" s="292" t="str">
        <f>IFERROR(__xludf.DUMMYFUNCTION("""COMPUTED_VALUE"""),"with Spanish Yellow Rice &amp; Zucchini")</f>
        <v>with Spanish Yellow Rice &amp; Zucchini</v>
      </c>
      <c r="G270" s="292" t="str">
        <f>IFERROR(__xludf.DUMMYFUNCTION("""COMPUTED_VALUE"""),"Gegrilde kip met tomaten-escabeche")</f>
        <v>Gegrilde kip met tomaten-escabeche</v>
      </c>
      <c r="H270" s="292" t="str">
        <f>IFERROR(__xludf.DUMMYFUNCTION("""COMPUTED_VALUE"""),"met Spaanse gele rijst en courgette")</f>
        <v>met Spaanse gele rijst en courgette</v>
      </c>
      <c r="I270" s="292" t="str">
        <f>IFERROR(__xludf.DUMMYFUNCTION("""COMPUTED_VALUE"""),"Grilled kylling med tomat-eecabeche ")</f>
        <v>Grilled kylling med tomat-eecabeche </v>
      </c>
      <c r="J270" s="292" t="str">
        <f>IFERROR(__xludf.DUMMYFUNCTION("""COMPUTED_VALUE"""),"Gegrilltes Hähnchen mit Tomaten-Escabeche")</f>
        <v>Gegrilltes Hähnchen mit Tomaten-Escabeche</v>
      </c>
      <c r="K270" s="292">
        <f>IFERROR(__xludf.DUMMYFUNCTION("""COMPUTED_VALUE"""),565266.0)</f>
        <v>565266</v>
      </c>
      <c r="L270" s="292" t="str">
        <f>IFERROR(__xludf.DUMMYFUNCTION("""COMPUTED_VALUE"""),"HF Kipfilet tomaat escabeche")</f>
        <v>HF Kipfilet tomaat escabeche</v>
      </c>
      <c r="M270" s="292" t="str">
        <f>IFERROR(__xludf.DUMMYFUNCTION("""COMPUTED_VALUE"""),"FA-NL Gegrilde kip met tomaten-escabeche (FE1787)")</f>
        <v>FA-NL Gegrilde kip met tomaten-escabeche (FE1787)</v>
      </c>
      <c r="N270" s="292" t="str">
        <f>IFERROR(__xludf.DUMMYFUNCTION("""COMPUTED_VALUE"""),"FA-NO Grilled kylling med tomat-eecabeche (FE1787)")</f>
        <v>FA-NO Grilled kylling med tomat-eecabeche (FE1787)</v>
      </c>
      <c r="O270" s="292" t="str">
        <f>IFERROR(__xludf.DUMMYFUNCTION("""COMPUTED_VALUE"""),"FA_DE Gegrilltes Hähnchen mit Tomaten-Escabeche (FE1787)")</f>
        <v>FA_DE Gegrilltes Hähnchen mit Tomaten-Escabeche (FE1787)</v>
      </c>
      <c r="P270" s="292" t="str">
        <f>IFERROR(__xludf.DUMMYFUNCTION("""COMPUTED_VALUE"""),"Active")</f>
        <v>Active</v>
      </c>
      <c r="Q270" s="292"/>
      <c r="R270" s="342">
        <f>IFERROR(__xludf.DUMMYFUNCTION("""COMPUTED_VALUE"""),4.48)</f>
        <v>4.48</v>
      </c>
      <c r="S270" s="292"/>
      <c r="T270" s="292"/>
      <c r="U270" s="292"/>
      <c r="V270" s="292"/>
      <c r="W270" s="292" t="b">
        <f>IFERROR(__xludf.DUMMYFUNCTION("""COMPUTED_VALUE"""),TRUE)</f>
        <v>1</v>
      </c>
      <c r="X270" s="345">
        <f>IFERROR(__xludf.DUMMYFUNCTION("""COMPUTED_VALUE"""),397.0)</f>
        <v>397</v>
      </c>
      <c r="Y270" s="344">
        <f>IFERROR(__xludf.DUMMYFUNCTION("""COMPUTED_VALUE"""),444.0)</f>
        <v>444</v>
      </c>
      <c r="Z270" s="343">
        <f>IFERROR(__xludf.DUMMYFUNCTION("""COMPUTED_VALUE"""),22.3)</f>
        <v>22.3</v>
      </c>
      <c r="AA270" s="344">
        <f>IFERROR(__xludf.DUMMYFUNCTION("""COMPUTED_VALUE"""),7.3)</f>
        <v>7.3</v>
      </c>
      <c r="AB270" s="344">
        <f>IFERROR(__xludf.DUMMYFUNCTION("""COMPUTED_VALUE"""),30.2)</f>
        <v>30.2</v>
      </c>
      <c r="AC270" s="344">
        <f>IFERROR(__xludf.DUMMYFUNCTION("""COMPUTED_VALUE"""),9.7)</f>
        <v>9.7</v>
      </c>
      <c r="AD270" s="344">
        <f>IFERROR(__xludf.DUMMYFUNCTION("""COMPUTED_VALUE"""),5.8)</f>
        <v>5.8</v>
      </c>
      <c r="AE270" s="343">
        <f>IFERROR(__xludf.DUMMYFUNCTION("""COMPUTED_VALUE"""),28.3)</f>
        <v>28.3</v>
      </c>
      <c r="AF270" s="343">
        <f>IFERROR(__xludf.DUMMYFUNCTION("""COMPUTED_VALUE"""),2.24)</f>
        <v>2.24</v>
      </c>
      <c r="AG270" s="292" t="b">
        <f>IFERROR(__xludf.DUMMYFUNCTION("""COMPUTED_VALUE"""),FALSE)</f>
        <v>0</v>
      </c>
      <c r="AH270" s="292" t="b">
        <f>IFERROR(__xludf.DUMMYFUNCTION("""COMPUTED_VALUE"""),FALSE)</f>
        <v>0</v>
      </c>
      <c r="AI270" s="292" t="b">
        <f>IFERROR(__xludf.DUMMYFUNCTION("""COMPUTED_VALUE"""),TRUE)</f>
        <v>1</v>
      </c>
      <c r="AJ270" s="292" t="b">
        <f>IFERROR(__xludf.DUMMYFUNCTION("""COMPUTED_VALUE"""),FALSE)</f>
        <v>0</v>
      </c>
      <c r="AK270" s="292" t="b">
        <f>IFERROR(__xludf.DUMMYFUNCTION("""COMPUTED_VALUE"""),FALSE)</f>
        <v>0</v>
      </c>
      <c r="AL270" s="292" t="b">
        <f>IFERROR(__xludf.DUMMYFUNCTION("""COMPUTED_VALUE"""),FALSE)</f>
        <v>0</v>
      </c>
      <c r="AM270" s="292" t="b">
        <f>IFERROR(__xludf.DUMMYFUNCTION("""COMPUTED_VALUE"""),FALSE)</f>
        <v>0</v>
      </c>
      <c r="AN270" s="292" t="b">
        <f>IFERROR(__xludf.DUMMYFUNCTION("""COMPUTED_VALUE"""),FALSE)</f>
        <v>0</v>
      </c>
      <c r="AO270" s="292" t="str">
        <f>IFERROR(__xludf.DUMMYFUNCTION("""COMPUTED_VALUE"""),"FALSE")</f>
        <v>FALSE</v>
      </c>
      <c r="AP270" s="292" t="str">
        <f>IFERROR(__xludf.DUMMYFUNCTION("""COMPUTED_VALUE"""),"Chicken breast")</f>
        <v>Chicken breast</v>
      </c>
      <c r="AQ270" s="292" t="str">
        <f>IFERROR(__xludf.DUMMYFUNCTION("""COMPUTED_VALUE"""),"Chicken")</f>
        <v>Chicken</v>
      </c>
      <c r="AR270" s="292" t="str">
        <f>IFERROR(__xludf.DUMMYFUNCTION("""COMPUTED_VALUE"""),"Breast")</f>
        <v>Breast</v>
      </c>
      <c r="AS270" s="292" t="str">
        <f>IFERROR(__xludf.DUMMYFUNCTION("""COMPUTED_VALUE"""),"Rice")</f>
        <v>Rice</v>
      </c>
      <c r="AT270" s="292" t="str">
        <f>IFERROR(__xludf.DUMMYFUNCTION("""COMPUTED_VALUE"""),"Zucchini Diced")</f>
        <v>Zucchini Diced</v>
      </c>
      <c r="AU270" s="292" t="str">
        <f>IFERROR(__xludf.DUMMYFUNCTION("""COMPUTED_VALUE"""),"Tomato Based Sauce")</f>
        <v>Tomato Based Sauce</v>
      </c>
      <c r="AV270" s="292" t="str">
        <f>IFERROR(__xludf.DUMMYFUNCTION("""COMPUTED_VALUE"""),"Compound Butter")</f>
        <v>Compound Butter</v>
      </c>
      <c r="AW270" s="292" t="str">
        <f>IFERROR(__xludf.DUMMYFUNCTION("""COMPUTED_VALUE"""),"Year Round")</f>
        <v>Year Round</v>
      </c>
      <c r="AX270" s="292" t="str">
        <f>IFERROR(__xludf.DUMMYFUNCTION("""COMPUTED_VALUE"""),"Spanish")</f>
        <v>Spanish</v>
      </c>
      <c r="AY270" s="292"/>
      <c r="AZ270" s="292" t="str">
        <f>IFERROR(__xludf.DUMMYFUNCTION("""COMPUTED_VALUE"""),"2 CT")</f>
        <v>2 CT</v>
      </c>
      <c r="BA270" s="292" t="b">
        <f>IFERROR(__xludf.DUMMYFUNCTION("""COMPUTED_VALUE"""),FALSE)</f>
        <v>0</v>
      </c>
      <c r="BB270" s="342">
        <f>IFERROR(__xludf.DUMMYFUNCTION("""COMPUTED_VALUE"""),2.56)</f>
        <v>2.56</v>
      </c>
      <c r="BC270" s="342">
        <f>IFERROR(__xludf.DUMMYFUNCTION("""COMPUTED_VALUE"""),1.52)</f>
        <v>1.52</v>
      </c>
      <c r="BD270" s="342">
        <f>IFERROR(__xludf.DUMMYFUNCTION("""COMPUTED_VALUE"""),0.4)</f>
        <v>0.4</v>
      </c>
      <c r="BE270" s="342">
        <f>IFERROR(__xludf.DUMMYFUNCTION("""COMPUTED_VALUE"""),0.89)</f>
        <v>0.89</v>
      </c>
      <c r="BF270" s="296">
        <f>IFERROR(__xludf.DUMMYFUNCTION("""COMPUTED_VALUE"""),3.28)</f>
        <v>3.28</v>
      </c>
      <c r="BG270" s="296">
        <f>IFERROR(__xludf.DUMMYFUNCTION("""COMPUTED_VALUE"""),3.27)</f>
        <v>3.27</v>
      </c>
      <c r="BH270" s="296">
        <f>IFERROR(__xludf.DUMMYFUNCTION("""COMPUTED_VALUE"""),3.23)</f>
        <v>3.23</v>
      </c>
      <c r="BI270" s="295">
        <f>IFERROR(__xludf.DUMMYFUNCTION("""COMPUTED_VALUE"""),203.0)</f>
        <v>203</v>
      </c>
      <c r="BJ270" s="292"/>
      <c r="BK270" s="346">
        <f>IFERROR(__xludf.DUMMYFUNCTION("""COMPUTED_VALUE"""),1854.0)</f>
        <v>1854</v>
      </c>
      <c r="BL270" s="292"/>
      <c r="BM270" s="292"/>
      <c r="BN270" s="292"/>
      <c r="BO270" s="292"/>
      <c r="BP270" s="292"/>
      <c r="BQ270" s="292"/>
      <c r="BR270" s="292" t="b">
        <f>IFERROR(__xludf.DUMMYFUNCTION("""COMPUTED_VALUE"""),FALSE)</f>
        <v>0</v>
      </c>
      <c r="BS270" s="292" t="b">
        <f>IFERROR(__xludf.DUMMYFUNCTION("""COMPUTED_VALUE"""),FALSE)</f>
        <v>0</v>
      </c>
      <c r="BT270" s="292"/>
      <c r="BU270" s="292"/>
      <c r="BV270" s="292"/>
      <c r="BW270" s="292"/>
    </row>
    <row r="271">
      <c r="A271" s="292" t="str">
        <f>IFERROR(__xludf.DUMMYFUNCTION("""COMPUTED_VALUE"""),"FE4093A")</f>
        <v>FE4093A</v>
      </c>
      <c r="B271" s="292" t="str">
        <f>IFERROR(__xludf.DUMMYFUNCTION("""COMPUTED_VALUE"""),"")</f>
        <v/>
      </c>
      <c r="C271" s="292"/>
      <c r="D271" s="292"/>
      <c r="E271" s="292" t="str">
        <f>IFERROR(__xludf.DUMMYFUNCTION("""COMPUTED_VALUE"""),"Sweet &amp; Sour Beef")</f>
        <v>Sweet &amp; Sour Beef</v>
      </c>
      <c r="F271" s="292" t="str">
        <f>IFERROR(__xludf.DUMMYFUNCTION("""COMPUTED_VALUE"""),"with Bell Peppers, Pineapple &amp; Scallion Rice")</f>
        <v>with Bell Peppers, Pineapple &amp; Scallion Rice</v>
      </c>
      <c r="G271" s="292"/>
      <c r="H271" s="292"/>
      <c r="I271" s="292" t="str">
        <f>IFERROR(__xludf.DUMMYFUNCTION("""COMPUTED_VALUE"""),"#N/A")</f>
        <v>#N/A</v>
      </c>
      <c r="J271" s="292"/>
      <c r="K271" s="292"/>
      <c r="L271" s="292"/>
      <c r="M271" s="292" t="str">
        <f>IFERROR(__xludf.DUMMYFUNCTION("""COMPUTED_VALUE"""),"#N/A")</f>
        <v>#N/A</v>
      </c>
      <c r="N271" s="292" t="str">
        <f>IFERROR(__xludf.DUMMYFUNCTION("""COMPUTED_VALUE"""),"#N/A")</f>
        <v>#N/A</v>
      </c>
      <c r="O271" s="292" t="str">
        <f>IFERROR(__xludf.DUMMYFUNCTION("""COMPUTED_VALUE"""),"#N/A")</f>
        <v>#N/A</v>
      </c>
      <c r="P271" s="292"/>
      <c r="Q271" s="292"/>
      <c r="R271" s="292"/>
      <c r="S271" s="292"/>
      <c r="T271" s="292"/>
      <c r="U271" s="292"/>
      <c r="V271" s="292"/>
      <c r="W271" s="292" t="b">
        <f>IFERROR(__xludf.DUMMYFUNCTION("""COMPUTED_VALUE"""),TRUE)</f>
        <v>1</v>
      </c>
      <c r="X271" s="292" t="str">
        <f>IFERROR(__xludf.DUMMYFUNCTION("""COMPUTED_VALUE"""),"#N/A")</f>
        <v>#N/A</v>
      </c>
      <c r="Y271" s="344" t="str">
        <f>IFERROR(__xludf.DUMMYFUNCTION("""COMPUTED_VALUE"""),"#N/A")</f>
        <v>#N/A</v>
      </c>
      <c r="Z271" s="343" t="str">
        <f>IFERROR(__xludf.DUMMYFUNCTION("""COMPUTED_VALUE"""),"#N/A")</f>
        <v>#N/A</v>
      </c>
      <c r="AA271" s="292" t="str">
        <f>IFERROR(__xludf.DUMMYFUNCTION("""COMPUTED_VALUE"""),"#N/A")</f>
        <v>#N/A</v>
      </c>
      <c r="AB271" s="292" t="str">
        <f>IFERROR(__xludf.DUMMYFUNCTION("""COMPUTED_VALUE"""),"#N/A")</f>
        <v>#N/A</v>
      </c>
      <c r="AC271" s="292" t="str">
        <f>IFERROR(__xludf.DUMMYFUNCTION("""COMPUTED_VALUE"""),"#N/A")</f>
        <v>#N/A</v>
      </c>
      <c r="AD271" s="292" t="str">
        <f>IFERROR(__xludf.DUMMYFUNCTION("""COMPUTED_VALUE"""),"#N/A")</f>
        <v>#N/A</v>
      </c>
      <c r="AE271" s="343" t="str">
        <f>IFERROR(__xludf.DUMMYFUNCTION("""COMPUTED_VALUE"""),"#N/A")</f>
        <v>#N/A</v>
      </c>
      <c r="AF271" s="292" t="str">
        <f>IFERROR(__xludf.DUMMYFUNCTION("""COMPUTED_VALUE"""),"#N/A")</f>
        <v>#N/A</v>
      </c>
      <c r="AG271" s="292"/>
      <c r="AH271" s="292" t="str">
        <f>IFERROR(__xludf.DUMMYFUNCTION("""COMPUTED_VALUE"""),"#N/A")</f>
        <v>#N/A</v>
      </c>
      <c r="AI271" s="292" t="str">
        <f>IFERROR(__xludf.DUMMYFUNCTION("""COMPUTED_VALUE"""),"#N/A")</f>
        <v>#N/A</v>
      </c>
      <c r="AJ271" s="292" t="str">
        <f>IFERROR(__xludf.DUMMYFUNCTION("""COMPUTED_VALUE"""),"#N/A")</f>
        <v>#N/A</v>
      </c>
      <c r="AK271" s="292" t="str">
        <f>IFERROR(__xludf.DUMMYFUNCTION("""COMPUTED_VALUE"""),"#N/A")</f>
        <v>#N/A</v>
      </c>
      <c r="AL271" s="292" t="str">
        <f>IFERROR(__xludf.DUMMYFUNCTION("""COMPUTED_VALUE"""),"#N/A")</f>
        <v>#N/A</v>
      </c>
      <c r="AM271" s="292" t="str">
        <f>IFERROR(__xludf.DUMMYFUNCTION("""COMPUTED_VALUE"""),"#N/A")</f>
        <v>#N/A</v>
      </c>
      <c r="AN271" s="292" t="str">
        <f>IFERROR(__xludf.DUMMYFUNCTION("""COMPUTED_VALUE"""),"#N/A")</f>
        <v>#N/A</v>
      </c>
      <c r="AO271" s="292" t="str">
        <f>IFERROR(__xludf.DUMMYFUNCTION("""COMPUTED_VALUE"""),"#N/A")</f>
        <v>#N/A</v>
      </c>
      <c r="AP271" s="292"/>
      <c r="AQ271" s="292"/>
      <c r="AR271" s="292"/>
      <c r="AS271" s="292"/>
      <c r="AT271" s="292"/>
      <c r="AU271" s="292"/>
      <c r="AV271" s="292"/>
      <c r="AW271" s="292"/>
      <c r="AX271" s="292"/>
      <c r="AY271" s="292"/>
      <c r="AZ271" s="292"/>
      <c r="BA271" s="292"/>
      <c r="BB271" s="292"/>
      <c r="BC271" s="292"/>
      <c r="BD271" s="292"/>
      <c r="BE271" s="292"/>
      <c r="BF271" s="296" t="str">
        <f>IFERROR(__xludf.DUMMYFUNCTION("""COMPUTED_VALUE"""),"#REF!")</f>
        <v>#REF!</v>
      </c>
      <c r="BG271" s="296" t="str">
        <f>IFERROR(__xludf.DUMMYFUNCTION("""COMPUTED_VALUE"""),"#REF!")</f>
        <v>#REF!</v>
      </c>
      <c r="BH271" s="296" t="str">
        <f>IFERROR(__xludf.DUMMYFUNCTION("""COMPUTED_VALUE"""),"#REF!")</f>
        <v>#REF!</v>
      </c>
      <c r="BI271" s="295" t="str">
        <f>IFERROR(__xludf.DUMMYFUNCTION("""COMPUTED_VALUE"""),"#N/A")</f>
        <v>#N/A</v>
      </c>
      <c r="BJ271" s="292"/>
      <c r="BK271" s="346" t="str">
        <f>IFERROR(__xludf.DUMMYFUNCTION("""COMPUTED_VALUE"""),"#N/A")</f>
        <v>#N/A</v>
      </c>
      <c r="BL271" s="292"/>
      <c r="BM271" s="292"/>
      <c r="BN271" s="292"/>
      <c r="BO271" s="292"/>
      <c r="BP271" s="292"/>
      <c r="BQ271" s="292"/>
      <c r="BR271" s="292" t="str">
        <f>IFERROR(__xludf.DUMMYFUNCTION("""COMPUTED_VALUE"""),"#N/A")</f>
        <v>#N/A</v>
      </c>
      <c r="BS271" s="292" t="str">
        <f>IFERROR(__xludf.DUMMYFUNCTION("""COMPUTED_VALUE"""),"#N/A")</f>
        <v>#N/A</v>
      </c>
      <c r="BT271" s="292"/>
      <c r="BU271" s="292"/>
      <c r="BV271" s="292"/>
      <c r="BW271" s="292"/>
    </row>
    <row r="272">
      <c r="A272" s="292" t="str">
        <f>IFERROR(__xludf.DUMMYFUNCTION("""COMPUTED_VALUE"""),"FE1487A")</f>
        <v>FE1487A</v>
      </c>
      <c r="B272" s="292" t="str">
        <f>IFERROR(__xludf.DUMMYFUNCTION("""COMPUTED_VALUE"""),"CON-40-168322-4")</f>
        <v>CON-40-168322-4</v>
      </c>
      <c r="C272" s="292" t="str">
        <f>IFERROR(__xludf.DUMMYFUNCTION("""COMPUTED_VALUE"""),"CON-00-168315-2")</f>
        <v>CON-00-168315-2</v>
      </c>
      <c r="D272" s="292" t="str">
        <f>IFERROR(__xludf.DUMMYFUNCTION("""COMPUTED_VALUE"""),"CON-00-168314-2")</f>
        <v>CON-00-168314-2</v>
      </c>
      <c r="E272" s="292" t="str">
        <f>IFERROR(__xludf.DUMMYFUNCTION("""COMPUTED_VALUE"""),"Grilled Pork Tenderloin &amp; Butternut Mash")</f>
        <v>Grilled Pork Tenderloin &amp; Butternut Mash</v>
      </c>
      <c r="F272" s="292" t="str">
        <f>IFERROR(__xludf.DUMMYFUNCTION("""COMPUTED_VALUE"""),"with Caramelized Onions &amp; Brussels Sprouts")</f>
        <v>with Caramelized Onions &amp; Brussels Sprouts</v>
      </c>
      <c r="G272" s="292" t="str">
        <f>IFERROR(__xludf.DUMMYFUNCTION("""COMPUTED_VALUE"""),"Gegrilde varkenshaas met pompoenpuree")</f>
        <v>Gegrilde varkenshaas met pompoenpuree</v>
      </c>
      <c r="H272" s="292" t="str">
        <f>IFERROR(__xludf.DUMMYFUNCTION("""COMPUTED_VALUE"""),"met gekaramelliseerde ui en spruitjes")</f>
        <v>met gekaramelliseerde ui en spruitjes</v>
      </c>
      <c r="I272" s="292" t="str">
        <f>IFERROR(__xludf.DUMMYFUNCTION("""COMPUTED_VALUE"""),"Grillet svinemørbrad med butternutmos")</f>
        <v>Grillet svinemørbrad med butternutmos</v>
      </c>
      <c r="J272" s="292" t="str">
        <f>IFERROR(__xludf.DUMMYFUNCTION("""COMPUTED_VALUE"""),"Gegrilltes Schweinefilet mit Butternusskürbispüree")</f>
        <v>Gegrilltes Schweinefilet mit Butternusskürbispüree</v>
      </c>
      <c r="K272" s="292">
        <f>IFERROR(__xludf.DUMMYFUNCTION("""COMPUTED_VALUE"""),565285.0)</f>
        <v>565285</v>
      </c>
      <c r="L272" s="292" t="str">
        <f>IFERROR(__xludf.DUMMYFUNCTION("""COMPUTED_VALUE"""),"HF Varkenshaas pompoen puree")</f>
        <v>HF Varkenshaas pompoen puree</v>
      </c>
      <c r="M272" s="292" t="str">
        <f>IFERROR(__xludf.DUMMYFUNCTION("""COMPUTED_VALUE"""),"FA-NL Gegrilde varkenshaas met pompoenpuree (FE1487)")</f>
        <v>FA-NL Gegrilde varkenshaas met pompoenpuree (FE1487)</v>
      </c>
      <c r="N272" s="292" t="str">
        <f>IFERROR(__xludf.DUMMYFUNCTION("""COMPUTED_VALUE"""),"FA-NO Grillet svinemørbrad med butternutmos (FE1487)")</f>
        <v>FA-NO Grillet svinemørbrad med butternutmos (FE1487)</v>
      </c>
      <c r="O272" s="292" t="str">
        <f>IFERROR(__xludf.DUMMYFUNCTION("""COMPUTED_VALUE"""),"FA-DE Gegrilltes Schweinefilet mit Butternusskürbispüree (FE1487)")</f>
        <v>FA-DE Gegrilltes Schweinefilet mit Butternusskürbispüree (FE1487)</v>
      </c>
      <c r="P272" s="292" t="str">
        <f>IFERROR(__xludf.DUMMYFUNCTION("""COMPUTED_VALUE"""),"Active")</f>
        <v>Active</v>
      </c>
      <c r="Q272" s="292"/>
      <c r="R272" s="342">
        <f>IFERROR(__xludf.DUMMYFUNCTION("""COMPUTED_VALUE"""),4.64)</f>
        <v>4.64</v>
      </c>
      <c r="S272" s="292"/>
      <c r="T272" s="292"/>
      <c r="U272" s="292"/>
      <c r="V272" s="292"/>
      <c r="W272" s="292" t="b">
        <f>IFERROR(__xludf.DUMMYFUNCTION("""COMPUTED_VALUE"""),TRUE)</f>
        <v>1</v>
      </c>
      <c r="X272" s="345">
        <f>IFERROR(__xludf.DUMMYFUNCTION("""COMPUTED_VALUE"""),399.0)</f>
        <v>399</v>
      </c>
      <c r="Y272" s="344">
        <f>IFERROR(__xludf.DUMMYFUNCTION("""COMPUTED_VALUE"""),416.0)</f>
        <v>416</v>
      </c>
      <c r="Z272" s="343">
        <f>IFERROR(__xludf.DUMMYFUNCTION("""COMPUTED_VALUE"""),20.6)</f>
        <v>20.6</v>
      </c>
      <c r="AA272" s="344">
        <f>IFERROR(__xludf.DUMMYFUNCTION("""COMPUTED_VALUE"""),9.5)</f>
        <v>9.5</v>
      </c>
      <c r="AB272" s="344">
        <f>IFERROR(__xludf.DUMMYFUNCTION("""COMPUTED_VALUE"""),27.3)</f>
        <v>27.3</v>
      </c>
      <c r="AC272" s="344">
        <f>IFERROR(__xludf.DUMMYFUNCTION("""COMPUTED_VALUE"""),16.3)</f>
        <v>16.3</v>
      </c>
      <c r="AD272" s="344">
        <f>IFERROR(__xludf.DUMMYFUNCTION("""COMPUTED_VALUE"""),9.6)</f>
        <v>9.6</v>
      </c>
      <c r="AE272" s="343">
        <f>IFERROR(__xludf.DUMMYFUNCTION("""COMPUTED_VALUE"""),27.0)</f>
        <v>27</v>
      </c>
      <c r="AF272" s="343">
        <f>IFERROR(__xludf.DUMMYFUNCTION("""COMPUTED_VALUE"""),2.22)</f>
        <v>2.22</v>
      </c>
      <c r="AG272" s="292" t="b">
        <f>IFERROR(__xludf.DUMMYFUNCTION("""COMPUTED_VALUE"""),FALSE)</f>
        <v>0</v>
      </c>
      <c r="AH272" s="292" t="b">
        <f>IFERROR(__xludf.DUMMYFUNCTION("""COMPUTED_VALUE"""),FALSE)</f>
        <v>0</v>
      </c>
      <c r="AI272" s="292" t="b">
        <f>IFERROR(__xludf.DUMMYFUNCTION("""COMPUTED_VALUE"""),TRUE)</f>
        <v>1</v>
      </c>
      <c r="AJ272" s="292" t="b">
        <f>IFERROR(__xludf.DUMMYFUNCTION("""COMPUTED_VALUE"""),FALSE)</f>
        <v>0</v>
      </c>
      <c r="AK272" s="292" t="b">
        <f>IFERROR(__xludf.DUMMYFUNCTION("""COMPUTED_VALUE"""),FALSE)</f>
        <v>0</v>
      </c>
      <c r="AL272" s="292" t="b">
        <f>IFERROR(__xludf.DUMMYFUNCTION("""COMPUTED_VALUE"""),FALSE)</f>
        <v>0</v>
      </c>
      <c r="AM272" s="292" t="b">
        <f>IFERROR(__xludf.DUMMYFUNCTION("""COMPUTED_VALUE"""),FALSE)</f>
        <v>0</v>
      </c>
      <c r="AN272" s="292" t="b">
        <f>IFERROR(__xludf.DUMMYFUNCTION("""COMPUTED_VALUE"""),FALSE)</f>
        <v>0</v>
      </c>
      <c r="AO272" s="292" t="str">
        <f>IFERROR(__xludf.DUMMYFUNCTION("""COMPUTED_VALUE"""),"TRUE")</f>
        <v>TRUE</v>
      </c>
      <c r="AP272" s="292" t="str">
        <f>IFERROR(__xludf.DUMMYFUNCTION("""COMPUTED_VALUE"""),"Pork tenderloin")</f>
        <v>Pork tenderloin</v>
      </c>
      <c r="AQ272" s="292" t="str">
        <f>IFERROR(__xludf.DUMMYFUNCTION("""COMPUTED_VALUE"""),"Pork")</f>
        <v>Pork</v>
      </c>
      <c r="AR272" s="292" t="str">
        <f>IFERROR(__xludf.DUMMYFUNCTION("""COMPUTED_VALUE"""),"Tenderloin")</f>
        <v>Tenderloin</v>
      </c>
      <c r="AS272" s="292" t="str">
        <f>IFERROR(__xludf.DUMMYFUNCTION("""COMPUTED_VALUE"""),"Pumpkin ")</f>
        <v>Pumpkin </v>
      </c>
      <c r="AT272" s="292" t="str">
        <f>IFERROR(__xludf.DUMMYFUNCTION("""COMPUTED_VALUE"""),"Brussels Sprouts")</f>
        <v>Brussels Sprouts</v>
      </c>
      <c r="AU272" s="292" t="str">
        <f>IFERROR(__xludf.DUMMYFUNCTION("""COMPUTED_VALUE"""),"Caramelized Onions")</f>
        <v>Caramelized Onions</v>
      </c>
      <c r="AV272" s="292"/>
      <c r="AW272" s="292" t="str">
        <f>IFERROR(__xludf.DUMMYFUNCTION("""COMPUTED_VALUE"""),"Year Round")</f>
        <v>Year Round</v>
      </c>
      <c r="AX272" s="292" t="str">
        <f>IFERROR(__xludf.DUMMYFUNCTION("""COMPUTED_VALUE"""),"American")</f>
        <v>American</v>
      </c>
      <c r="AY272" s="292"/>
      <c r="AZ272" s="292" t="str">
        <f>IFERROR(__xludf.DUMMYFUNCTION("""COMPUTED_VALUE"""),"2 CT")</f>
        <v>2 CT</v>
      </c>
      <c r="BA272" s="292" t="b">
        <f>IFERROR(__xludf.DUMMYFUNCTION("""COMPUTED_VALUE"""),FALSE)</f>
        <v>0</v>
      </c>
      <c r="BB272" s="342">
        <f>IFERROR(__xludf.DUMMYFUNCTION("""COMPUTED_VALUE"""),2.98)</f>
        <v>2.98</v>
      </c>
      <c r="BC272" s="342">
        <f>IFERROR(__xludf.DUMMYFUNCTION("""COMPUTED_VALUE"""),1.26)</f>
        <v>1.26</v>
      </c>
      <c r="BD272" s="342">
        <f>IFERROR(__xludf.DUMMYFUNCTION("""COMPUTED_VALUE"""),0.4)</f>
        <v>0.4</v>
      </c>
      <c r="BE272" s="342">
        <f>IFERROR(__xludf.DUMMYFUNCTION("""COMPUTED_VALUE"""),0.89)</f>
        <v>0.89</v>
      </c>
      <c r="BF272" s="296">
        <f>IFERROR(__xludf.DUMMYFUNCTION("""COMPUTED_VALUE"""),3.21)</f>
        <v>3.21</v>
      </c>
      <c r="BG272" s="296">
        <f>IFERROR(__xludf.DUMMYFUNCTION("""COMPUTED_VALUE"""),3.14)</f>
        <v>3.14</v>
      </c>
      <c r="BH272" s="296">
        <f>IFERROR(__xludf.DUMMYFUNCTION("""COMPUTED_VALUE"""),3.35)</f>
        <v>3.35</v>
      </c>
      <c r="BI272" s="295">
        <f>IFERROR(__xludf.DUMMYFUNCTION("""COMPUTED_VALUE"""),262.0)</f>
        <v>262</v>
      </c>
      <c r="BJ272" s="292"/>
      <c r="BK272" s="346">
        <f>IFERROR(__xludf.DUMMYFUNCTION("""COMPUTED_VALUE"""),1741.0)</f>
        <v>1741</v>
      </c>
      <c r="BL272" s="292"/>
      <c r="BM272" s="292"/>
      <c r="BN272" s="292"/>
      <c r="BO272" s="292"/>
      <c r="BP272" s="292"/>
      <c r="BQ272" s="292"/>
      <c r="BR272" s="292" t="b">
        <f>IFERROR(__xludf.DUMMYFUNCTION("""COMPUTED_VALUE"""),FALSE)</f>
        <v>0</v>
      </c>
      <c r="BS272" s="292" t="b">
        <f>IFERROR(__xludf.DUMMYFUNCTION("""COMPUTED_VALUE"""),FALSE)</f>
        <v>0</v>
      </c>
      <c r="BT272" s="292"/>
      <c r="BU272" s="292"/>
      <c r="BV272" s="292"/>
      <c r="BW272" s="292"/>
    </row>
    <row r="273">
      <c r="A273" s="292" t="str">
        <f>IFERROR(__xludf.DUMMYFUNCTION("""COMPUTED_VALUE"""),"FE1777A")</f>
        <v>FE1777A</v>
      </c>
      <c r="B273" s="292" t="str">
        <f>IFERROR(__xludf.DUMMYFUNCTION("""COMPUTED_VALUE"""),"CON-40-168320-4")</f>
        <v>CON-40-168320-4</v>
      </c>
      <c r="C273" s="292" t="str">
        <f>IFERROR(__xludf.DUMMYFUNCTION("""COMPUTED_VALUE"""),"CON-00-168319-2")</f>
        <v>CON-00-168319-2</v>
      </c>
      <c r="D273" s="292" t="str">
        <f>IFERROR(__xludf.DUMMYFUNCTION("""COMPUTED_VALUE"""),"CON-00-168318-2")</f>
        <v>CON-00-168318-2</v>
      </c>
      <c r="E273" s="292" t="str">
        <f>IFERROR(__xludf.DUMMYFUNCTION("""COMPUTED_VALUE"""),"Chicken with Puttanesca-style sauce")</f>
        <v>Chicken with Puttanesca-style sauce</v>
      </c>
      <c r="F273" s="292" t="str">
        <f>IFERROR(__xludf.DUMMYFUNCTION("""COMPUTED_VALUE"""),"with Polenta &amp; Zucchini")</f>
        <v>with Polenta &amp; Zucchini</v>
      </c>
      <c r="G273" s="292" t="str">
        <f>IFERROR(__xludf.DUMMYFUNCTION("""COMPUTED_VALUE"""),"Kip met saus in Puttanesca-stijl")</f>
        <v>Kip met saus in Puttanesca-stijl</v>
      </c>
      <c r="H273" s="292" t="str">
        <f>IFERROR(__xludf.DUMMYFUNCTION("""COMPUTED_VALUE"""),"met polenta en courgette")</f>
        <v>met polenta en courgette</v>
      </c>
      <c r="I273" s="292" t="str">
        <f>IFERROR(__xludf.DUMMYFUNCTION("""COMPUTED_VALUE"""),"Kylling med Puttanesca-inspireret sauce")</f>
        <v>Kylling med Puttanesca-inspireret sauce</v>
      </c>
      <c r="J273" s="292" t="str">
        <f>IFERROR(__xludf.DUMMYFUNCTION("""COMPUTED_VALUE"""),"Hähnchen mit Puttanesca-Sauce")</f>
        <v>Hähnchen mit Puttanesca-Sauce</v>
      </c>
      <c r="K273" s="292">
        <f>IFERROR(__xludf.DUMMYFUNCTION("""COMPUTED_VALUE"""),565265.0)</f>
        <v>565265</v>
      </c>
      <c r="L273" s="292" t="str">
        <f>IFERROR(__xludf.DUMMYFUNCTION("""COMPUTED_VALUE"""),"HF Kipfilet puttanesca")</f>
        <v>HF Kipfilet puttanesca</v>
      </c>
      <c r="M273" s="292" t="str">
        <f>IFERROR(__xludf.DUMMYFUNCTION("""COMPUTED_VALUE"""),"FA-NL Kip alla Puttanesca (FE1777)")</f>
        <v>FA-NL Kip alla Puttanesca (FE1777)</v>
      </c>
      <c r="N273" s="292" t="str">
        <f>IFERROR(__xludf.DUMMYFUNCTION("""COMPUTED_VALUE"""),"FA-NO Kylling alla Puttanesca (FE1777)")</f>
        <v>FA-NO Kylling alla Puttanesca (FE1777)</v>
      </c>
      <c r="O273" s="292" t="str">
        <f>IFERROR(__xludf.DUMMYFUNCTION("""COMPUTED_VALUE"""),"FA-DE Hühnchen alla Puttanesca (FE1777)")</f>
        <v>FA-DE Hühnchen alla Puttanesca (FE1777)</v>
      </c>
      <c r="P273" s="292" t="str">
        <f>IFERROR(__xludf.DUMMYFUNCTION("""COMPUTED_VALUE"""),"Active")</f>
        <v>Active</v>
      </c>
      <c r="Q273" s="292"/>
      <c r="R273" s="342">
        <f>IFERROR(__xludf.DUMMYFUNCTION("""COMPUTED_VALUE"""),4.06)</f>
        <v>4.06</v>
      </c>
      <c r="S273" s="292"/>
      <c r="T273" s="292"/>
      <c r="U273" s="292"/>
      <c r="V273" s="292"/>
      <c r="W273" s="292" t="b">
        <f>IFERROR(__xludf.DUMMYFUNCTION("""COMPUTED_VALUE"""),TRUE)</f>
        <v>1</v>
      </c>
      <c r="X273" s="345">
        <f>IFERROR(__xludf.DUMMYFUNCTION("""COMPUTED_VALUE"""),379.0)</f>
        <v>379</v>
      </c>
      <c r="Y273" s="344">
        <f>IFERROR(__xludf.DUMMYFUNCTION("""COMPUTED_VALUE"""),401.0)</f>
        <v>401</v>
      </c>
      <c r="Z273" s="343">
        <f>IFERROR(__xludf.DUMMYFUNCTION("""COMPUTED_VALUE"""),18.8)</f>
        <v>18.8</v>
      </c>
      <c r="AA273" s="344">
        <f>IFERROR(__xludf.DUMMYFUNCTION("""COMPUTED_VALUE"""),7.0)</f>
        <v>7</v>
      </c>
      <c r="AB273" s="344">
        <f>IFERROR(__xludf.DUMMYFUNCTION("""COMPUTED_VALUE"""),25.9)</f>
        <v>25.9</v>
      </c>
      <c r="AC273" s="344">
        <f>IFERROR(__xludf.DUMMYFUNCTION("""COMPUTED_VALUE"""),12.4)</f>
        <v>12.4</v>
      </c>
      <c r="AD273" s="344">
        <f>IFERROR(__xludf.DUMMYFUNCTION("""COMPUTED_VALUE"""),3.0)</f>
        <v>3</v>
      </c>
      <c r="AE273" s="343">
        <f>IFERROR(__xludf.DUMMYFUNCTION("""COMPUTED_VALUE"""),30.8)</f>
        <v>30.8</v>
      </c>
      <c r="AF273" s="343">
        <f>IFERROR(__xludf.DUMMYFUNCTION("""COMPUTED_VALUE"""),2.25)</f>
        <v>2.25</v>
      </c>
      <c r="AG273" s="292" t="b">
        <f>IFERROR(__xludf.DUMMYFUNCTION("""COMPUTED_VALUE"""),FALSE)</f>
        <v>0</v>
      </c>
      <c r="AH273" s="292" t="b">
        <f>IFERROR(__xludf.DUMMYFUNCTION("""COMPUTED_VALUE"""),FALSE)</f>
        <v>0</v>
      </c>
      <c r="AI273" s="292" t="b">
        <f>IFERROR(__xludf.DUMMYFUNCTION("""COMPUTED_VALUE"""),TRUE)</f>
        <v>1</v>
      </c>
      <c r="AJ273" s="292" t="b">
        <f>IFERROR(__xludf.DUMMYFUNCTION("""COMPUTED_VALUE"""),FALSE)</f>
        <v>0</v>
      </c>
      <c r="AK273" s="292" t="b">
        <f>IFERROR(__xludf.DUMMYFUNCTION("""COMPUTED_VALUE"""),FALSE)</f>
        <v>0</v>
      </c>
      <c r="AL273" s="292" t="b">
        <f>IFERROR(__xludf.DUMMYFUNCTION("""COMPUTED_VALUE"""),FALSE)</f>
        <v>0</v>
      </c>
      <c r="AM273" s="292" t="b">
        <f>IFERROR(__xludf.DUMMYFUNCTION("""COMPUTED_VALUE"""),TRUE)</f>
        <v>1</v>
      </c>
      <c r="AN273" s="292" t="b">
        <f>IFERROR(__xludf.DUMMYFUNCTION("""COMPUTED_VALUE"""),FALSE)</f>
        <v>0</v>
      </c>
      <c r="AO273" s="292" t="str">
        <f>IFERROR(__xludf.DUMMYFUNCTION("""COMPUTED_VALUE"""),"FALSE")</f>
        <v>FALSE</v>
      </c>
      <c r="AP273" s="292" t="str">
        <f>IFERROR(__xludf.DUMMYFUNCTION("""COMPUTED_VALUE"""),"Chicken breast")</f>
        <v>Chicken breast</v>
      </c>
      <c r="AQ273" s="292" t="str">
        <f>IFERROR(__xludf.DUMMYFUNCTION("""COMPUTED_VALUE"""),"Chicken")</f>
        <v>Chicken</v>
      </c>
      <c r="AR273" s="292" t="str">
        <f>IFERROR(__xludf.DUMMYFUNCTION("""COMPUTED_VALUE"""),"Breast")</f>
        <v>Breast</v>
      </c>
      <c r="AS273" s="292" t="str">
        <f>IFERROR(__xludf.DUMMYFUNCTION("""COMPUTED_VALUE"""),"Polenta/Grits")</f>
        <v>Polenta/Grits</v>
      </c>
      <c r="AT273" s="292" t="str">
        <f>IFERROR(__xludf.DUMMYFUNCTION("""COMPUTED_VALUE"""),"Zucchini Diced")</f>
        <v>Zucchini Diced</v>
      </c>
      <c r="AU273" s="292" t="str">
        <f>IFERROR(__xludf.DUMMYFUNCTION("""COMPUTED_VALUE"""),"Tomato Based Sauce")</f>
        <v>Tomato Based Sauce</v>
      </c>
      <c r="AV273" s="292"/>
      <c r="AW273" s="292" t="str">
        <f>IFERROR(__xludf.DUMMYFUNCTION("""COMPUTED_VALUE"""),"Year Round")</f>
        <v>Year Round</v>
      </c>
      <c r="AX273" s="292" t="str">
        <f>IFERROR(__xludf.DUMMYFUNCTION("""COMPUTED_VALUE"""),"Italian")</f>
        <v>Italian</v>
      </c>
      <c r="AY273" s="292"/>
      <c r="AZ273" s="292" t="str">
        <f>IFERROR(__xludf.DUMMYFUNCTION("""COMPUTED_VALUE"""),"2 CT")</f>
        <v>2 CT</v>
      </c>
      <c r="BA273" s="292" t="b">
        <f>IFERROR(__xludf.DUMMYFUNCTION("""COMPUTED_VALUE"""),FALSE)</f>
        <v>0</v>
      </c>
      <c r="BB273" s="342">
        <f>IFERROR(__xludf.DUMMYFUNCTION("""COMPUTED_VALUE"""),2.41)</f>
        <v>2.41</v>
      </c>
      <c r="BC273" s="342">
        <f>IFERROR(__xludf.DUMMYFUNCTION("""COMPUTED_VALUE"""),1.25)</f>
        <v>1.25</v>
      </c>
      <c r="BD273" s="342">
        <f>IFERROR(__xludf.DUMMYFUNCTION("""COMPUTED_VALUE"""),0.4)</f>
        <v>0.4</v>
      </c>
      <c r="BE273" s="342">
        <f>IFERROR(__xludf.DUMMYFUNCTION("""COMPUTED_VALUE"""),0.89)</f>
        <v>0.89</v>
      </c>
      <c r="BF273" s="296" t="str">
        <f>IFERROR(__xludf.DUMMYFUNCTION("""COMPUTED_VALUE"""),"#REF!")</f>
        <v>#REF!</v>
      </c>
      <c r="BG273" s="296" t="str">
        <f>IFERROR(__xludf.DUMMYFUNCTION("""COMPUTED_VALUE"""),"#REF!")</f>
        <v>#REF!</v>
      </c>
      <c r="BH273" s="296" t="str">
        <f>IFERROR(__xludf.DUMMYFUNCTION("""COMPUTED_VALUE"""),"#REF!")</f>
        <v>#REF!</v>
      </c>
      <c r="BI273" s="295">
        <f>IFERROR(__xludf.DUMMYFUNCTION("""COMPUTED_VALUE"""),148.0)</f>
        <v>148</v>
      </c>
      <c r="BJ273" s="292"/>
      <c r="BK273" s="346">
        <f>IFERROR(__xludf.DUMMYFUNCTION("""COMPUTED_VALUE"""),1675.0)</f>
        <v>1675</v>
      </c>
      <c r="BL273" s="292"/>
      <c r="BM273" s="292"/>
      <c r="BN273" s="292"/>
      <c r="BO273" s="292"/>
      <c r="BP273" s="292"/>
      <c r="BQ273" s="292"/>
      <c r="BR273" s="292" t="b">
        <f>IFERROR(__xludf.DUMMYFUNCTION("""COMPUTED_VALUE"""),FALSE)</f>
        <v>0</v>
      </c>
      <c r="BS273" s="292" t="b">
        <f>IFERROR(__xludf.DUMMYFUNCTION("""COMPUTED_VALUE"""),FALSE)</f>
        <v>0</v>
      </c>
      <c r="BT273" s="292"/>
      <c r="BU273" s="292"/>
      <c r="BV273" s="292"/>
      <c r="BW273" s="292"/>
    </row>
    <row r="274">
      <c r="A274" s="292" t="str">
        <f>IFERROR(__xludf.DUMMYFUNCTION("""COMPUTED_VALUE"""),"FE1556A")</f>
        <v>FE1556A</v>
      </c>
      <c r="B274" s="292" t="str">
        <f>IFERROR(__xludf.DUMMYFUNCTION("""COMPUTED_VALUE"""),"")</f>
        <v/>
      </c>
      <c r="C274" s="292"/>
      <c r="D274" s="292"/>
      <c r="E274" s="292" t="str">
        <f>IFERROR(__xludf.DUMMYFUNCTION("""COMPUTED_VALUE"""),"Santa Fe-Style Potato, Chicken &amp; Pepper Bowl")</f>
        <v>Santa Fe-Style Potato, Chicken &amp; Pepper Bowl</v>
      </c>
      <c r="F274" s="292" t="str">
        <f>IFERROR(__xludf.DUMMYFUNCTION("""COMPUTED_VALUE"""),"with Black Beans &amp; Zucchini")</f>
        <v>with Black Beans &amp; Zucchini</v>
      </c>
      <c r="G274" s="292" t="str">
        <f>IFERROR(__xludf.DUMMYFUNCTION("""COMPUTED_VALUE"""),"Santa Fe-stijl aardappel, kip en paprika bowl")</f>
        <v>Santa Fe-stijl aardappel, kip en paprika bowl</v>
      </c>
      <c r="H274" s="292" t="str">
        <f>IFERROR(__xludf.DUMMYFUNCTION("""COMPUTED_VALUE"""),"met zwarte bonen en courgette")</f>
        <v>met zwarte bonen en courgette</v>
      </c>
      <c r="I274" s="292" t="str">
        <f>IFERROR(__xludf.DUMMYFUNCTION("""COMPUTED_VALUE"""),"Kyllingebowl med Santa Fe-inspirerede kartofler, og peberfrugt")</f>
        <v>Kyllingebowl med Santa Fe-inspirerede kartofler, og peberfrugt</v>
      </c>
      <c r="J274" s="292" t="str">
        <f>IFERROR(__xludf.DUMMYFUNCTION("""COMPUTED_VALUE"""),"Santa-Fe-Style Bowl mit Kartoffeln, Hähnchen und Paprika")</f>
        <v>Santa-Fe-Style Bowl mit Kartoffeln, Hähnchen und Paprika</v>
      </c>
      <c r="K274" s="292">
        <f>IFERROR(__xludf.DUMMYFUNCTION("""COMPUTED_VALUE"""),565284.0)</f>
        <v>565284</v>
      </c>
      <c r="L274" s="292" t="str">
        <f>IFERROR(__xludf.DUMMYFUNCTION("""COMPUTED_VALUE"""),"HF Santa Fe kip paprika bowl")</f>
        <v>HF Santa Fe kip paprika bowl</v>
      </c>
      <c r="M274" s="292" t="str">
        <f>IFERROR(__xludf.DUMMYFUNCTION("""COMPUTED_VALUE"""),"#N/A")</f>
        <v>#N/A</v>
      </c>
      <c r="N274" s="292" t="str">
        <f>IFERROR(__xludf.DUMMYFUNCTION("""COMPUTED_VALUE"""),"#N/A")</f>
        <v>#N/A</v>
      </c>
      <c r="O274" s="292" t="str">
        <f>IFERROR(__xludf.DUMMYFUNCTION("""COMPUTED_VALUE"""),"#N/A")</f>
        <v>#N/A</v>
      </c>
      <c r="P274" s="292" t="str">
        <f>IFERROR(__xludf.DUMMYFUNCTION("""COMPUTED_VALUE"""),"Active")</f>
        <v>Active</v>
      </c>
      <c r="Q274" s="292"/>
      <c r="R274" s="342">
        <f>IFERROR(__xludf.DUMMYFUNCTION("""COMPUTED_VALUE"""),4.5)</f>
        <v>4.5</v>
      </c>
      <c r="S274" s="292"/>
      <c r="T274" s="292"/>
      <c r="U274" s="292"/>
      <c r="V274" s="292"/>
      <c r="W274" s="292" t="b">
        <f>IFERROR(__xludf.DUMMYFUNCTION("""COMPUTED_VALUE"""),TRUE)</f>
        <v>1</v>
      </c>
      <c r="X274" s="345">
        <f>IFERROR(__xludf.DUMMYFUNCTION("""COMPUTED_VALUE"""),399.0)</f>
        <v>399</v>
      </c>
      <c r="Y274" s="344">
        <f>IFERROR(__xludf.DUMMYFUNCTION("""COMPUTED_VALUE"""),547.0)</f>
        <v>547</v>
      </c>
      <c r="Z274" s="343">
        <f>IFERROR(__xludf.DUMMYFUNCTION("""COMPUTED_VALUE"""),29.1)</f>
        <v>29.1</v>
      </c>
      <c r="AA274" s="344">
        <f>IFERROR(__xludf.DUMMYFUNCTION("""COMPUTED_VALUE"""),12.6)</f>
        <v>12.6</v>
      </c>
      <c r="AB274" s="344">
        <f>IFERROR(__xludf.DUMMYFUNCTION("""COMPUTED_VALUE"""),32.8)</f>
        <v>32.8</v>
      </c>
      <c r="AC274" s="344">
        <f>IFERROR(__xludf.DUMMYFUNCTION("""COMPUTED_VALUE"""),7.7)</f>
        <v>7.7</v>
      </c>
      <c r="AD274" s="344">
        <f>IFERROR(__xludf.DUMMYFUNCTION("""COMPUTED_VALUE"""),8.1)</f>
        <v>8.1</v>
      </c>
      <c r="AE274" s="343">
        <f>IFERROR(__xludf.DUMMYFUNCTION("""COMPUTED_VALUE"""),37.0)</f>
        <v>37</v>
      </c>
      <c r="AF274" s="343">
        <f>IFERROR(__xludf.DUMMYFUNCTION("""COMPUTED_VALUE"""),2.23)</f>
        <v>2.23</v>
      </c>
      <c r="AG274" s="292" t="b">
        <f>IFERROR(__xludf.DUMMYFUNCTION("""COMPUTED_VALUE"""),TRUE)</f>
        <v>1</v>
      </c>
      <c r="AH274" s="292" t="b">
        <f>IFERROR(__xludf.DUMMYFUNCTION("""COMPUTED_VALUE"""),FALSE)</f>
        <v>0</v>
      </c>
      <c r="AI274" s="292" t="b">
        <f>IFERROR(__xludf.DUMMYFUNCTION("""COMPUTED_VALUE"""),TRUE)</f>
        <v>1</v>
      </c>
      <c r="AJ274" s="292" t="b">
        <f>IFERROR(__xludf.DUMMYFUNCTION("""COMPUTED_VALUE"""),FALSE)</f>
        <v>0</v>
      </c>
      <c r="AK274" s="292" t="b">
        <f>IFERROR(__xludf.DUMMYFUNCTION("""COMPUTED_VALUE"""),FALSE)</f>
        <v>0</v>
      </c>
      <c r="AL274" s="292" t="b">
        <f>IFERROR(__xludf.DUMMYFUNCTION("""COMPUTED_VALUE"""),FALSE)</f>
        <v>0</v>
      </c>
      <c r="AM274" s="292" t="b">
        <f>IFERROR(__xludf.DUMMYFUNCTION("""COMPUTED_VALUE"""),TRUE)</f>
        <v>1</v>
      </c>
      <c r="AN274" s="292" t="b">
        <f>IFERROR(__xludf.DUMMYFUNCTION("""COMPUTED_VALUE"""),FALSE)</f>
        <v>0</v>
      </c>
      <c r="AO274" s="292" t="str">
        <f>IFERROR(__xludf.DUMMYFUNCTION("""COMPUTED_VALUE"""),"FALSE")</f>
        <v>FALSE</v>
      </c>
      <c r="AP274" s="292" t="str">
        <f>IFERROR(__xludf.DUMMYFUNCTION("""COMPUTED_VALUE"""),"Chicken breast")</f>
        <v>Chicken breast</v>
      </c>
      <c r="AQ274" s="292" t="str">
        <f>IFERROR(__xludf.DUMMYFUNCTION("""COMPUTED_VALUE"""),"Chicken")</f>
        <v>Chicken</v>
      </c>
      <c r="AR274" s="292" t="str">
        <f>IFERROR(__xludf.DUMMYFUNCTION("""COMPUTED_VALUE"""),"Breast")</f>
        <v>Breast</v>
      </c>
      <c r="AS274" s="292" t="str">
        <f>IFERROR(__xludf.DUMMYFUNCTION("""COMPUTED_VALUE"""),"Potato Non-Mash")</f>
        <v>Potato Non-Mash</v>
      </c>
      <c r="AT274" s="292" t="str">
        <f>IFERROR(__xludf.DUMMYFUNCTION("""COMPUTED_VALUE"""),"Zucchini Diced")</f>
        <v>Zucchini Diced</v>
      </c>
      <c r="AU274" s="292" t="str">
        <f>IFERROR(__xludf.DUMMYFUNCTION("""COMPUTED_VALUE"""),"Green Beans")</f>
        <v>Green Beans</v>
      </c>
      <c r="AV274" s="292" t="str">
        <f>IFERROR(__xludf.DUMMYFUNCTION("""COMPUTED_VALUE"""),"Creamy Sauce Base")</f>
        <v>Creamy Sauce Base</v>
      </c>
      <c r="AW274" s="292" t="str">
        <f>IFERROR(__xludf.DUMMYFUNCTION("""COMPUTED_VALUE"""),"Year Round")</f>
        <v>Year Round</v>
      </c>
      <c r="AX274" s="292" t="str">
        <f>IFERROR(__xludf.DUMMYFUNCTION("""COMPUTED_VALUE"""),"American")</f>
        <v>American</v>
      </c>
      <c r="AY274" s="292"/>
      <c r="AZ274" s="292" t="str">
        <f>IFERROR(__xludf.DUMMYFUNCTION("""COMPUTED_VALUE"""),"2 CT")</f>
        <v>2 CT</v>
      </c>
      <c r="BA274" s="292" t="b">
        <f>IFERROR(__xludf.DUMMYFUNCTION("""COMPUTED_VALUE"""),FALSE)</f>
        <v>0</v>
      </c>
      <c r="BB274" s="342">
        <f>IFERROR(__xludf.DUMMYFUNCTION("""COMPUTED_VALUE"""),2.63)</f>
        <v>2.63</v>
      </c>
      <c r="BC274" s="342">
        <f>IFERROR(__xludf.DUMMYFUNCTION("""COMPUTED_VALUE"""),1.47)</f>
        <v>1.47</v>
      </c>
      <c r="BD274" s="342">
        <f>IFERROR(__xludf.DUMMYFUNCTION("""COMPUTED_VALUE"""),0.4)</f>
        <v>0.4</v>
      </c>
      <c r="BE274" s="342">
        <f>IFERROR(__xludf.DUMMYFUNCTION("""COMPUTED_VALUE"""),0.89)</f>
        <v>0.89</v>
      </c>
      <c r="BF274" s="296" t="str">
        <f>IFERROR(__xludf.DUMMYFUNCTION("""COMPUTED_VALUE"""),"#REF!")</f>
        <v>#REF!</v>
      </c>
      <c r="BG274" s="296" t="str">
        <f>IFERROR(__xludf.DUMMYFUNCTION("""COMPUTED_VALUE"""),"#REF!")</f>
        <v>#REF!</v>
      </c>
      <c r="BH274" s="296" t="str">
        <f>IFERROR(__xludf.DUMMYFUNCTION("""COMPUTED_VALUE"""),"#REF!")</f>
        <v>#REF!</v>
      </c>
      <c r="BI274" s="295">
        <f>IFERROR(__xludf.DUMMYFUNCTION("""COMPUTED_VALUE"""),83.0)</f>
        <v>83</v>
      </c>
      <c r="BJ274" s="292"/>
      <c r="BK274" s="346">
        <f>IFERROR(__xludf.DUMMYFUNCTION("""COMPUTED_VALUE"""),2286.0)</f>
        <v>2286</v>
      </c>
      <c r="BL274" s="292"/>
      <c r="BM274" s="292"/>
      <c r="BN274" s="292"/>
      <c r="BO274" s="292"/>
      <c r="BP274" s="292"/>
      <c r="BQ274" s="292"/>
      <c r="BR274" s="292" t="b">
        <f>IFERROR(__xludf.DUMMYFUNCTION("""COMPUTED_VALUE"""),FALSE)</f>
        <v>0</v>
      </c>
      <c r="BS274" s="292" t="b">
        <f>IFERROR(__xludf.DUMMYFUNCTION("""COMPUTED_VALUE"""),FALSE)</f>
        <v>0</v>
      </c>
      <c r="BT274" s="292"/>
      <c r="BU274" s="292"/>
      <c r="BV274" s="292"/>
      <c r="BW274" s="292"/>
    </row>
    <row r="275">
      <c r="A275" s="292" t="str">
        <f>IFERROR(__xludf.DUMMYFUNCTION("""COMPUTED_VALUE"""),"FE4053B")</f>
        <v>FE4053B</v>
      </c>
      <c r="B275" s="292" t="str">
        <f>IFERROR(__xludf.DUMMYFUNCTION("""COMPUTED_VALUE"""),"CON-40-143666-4")</f>
        <v>CON-40-143666-4</v>
      </c>
      <c r="C275" s="292" t="str">
        <f>IFERROR(__xludf.DUMMYFUNCTION("""COMPUTED_VALUE"""),"CON-00-147904-2")</f>
        <v>CON-00-147904-2</v>
      </c>
      <c r="D275" s="292" t="str">
        <f>IFERROR(__xludf.DUMMYFUNCTION("""COMPUTED_VALUE"""),"CON-00-137559-2")</f>
        <v>CON-00-137559-2</v>
      </c>
      <c r="E275" s="292" t="str">
        <f>IFERROR(__xludf.DUMMYFUNCTION("""COMPUTED_VALUE"""),"Gochugaru Chicken")</f>
        <v>Gochugaru Chicken</v>
      </c>
      <c r="F275" s="292" t="str">
        <f>IFERROR(__xludf.DUMMYFUNCTION("""COMPUTED_VALUE"""),"with chili-tomato cream sauce and spicy cauliflower")</f>
        <v>with chili-tomato cream sauce and spicy cauliflower</v>
      </c>
      <c r="G275" s="292" t="str">
        <f>IFERROR(__xludf.DUMMYFUNCTION("""COMPUTED_VALUE"""),"Gochugaru kipblokjes")</f>
        <v>Gochugaru kipblokjes</v>
      </c>
      <c r="H275" s="292" t="str">
        <f>IFERROR(__xludf.DUMMYFUNCTION("""COMPUTED_VALUE"""),"met een romige chili-tomatensaus en pittige bloemkool")</f>
        <v>met een romige chili-tomatensaus en pittige bloemkool</v>
      </c>
      <c r="I275" s="292" t="str">
        <f>IFERROR(__xludf.DUMMYFUNCTION("""COMPUTED_VALUE"""),"Gochugaru-kylling")</f>
        <v>Gochugaru-kylling</v>
      </c>
      <c r="J275" s="292" t="str">
        <f>IFERROR(__xludf.DUMMYFUNCTION("""COMPUTED_VALUE"""),"Gochugaru-Hähnchen")</f>
        <v>Gochugaru-Hähnchen</v>
      </c>
      <c r="K275" s="292">
        <f>IFERROR(__xludf.DUMMYFUNCTION("""COMPUTED_VALUE"""),565131.0)</f>
        <v>565131</v>
      </c>
      <c r="L275" s="292" t="str">
        <f>IFERROR(__xludf.DUMMYFUNCTION("""COMPUTED_VALUE"""),"HF Gochugaru kipblokjes")</f>
        <v>HF Gochugaru kipblokjes</v>
      </c>
      <c r="M275" s="292" t="str">
        <f>IFERROR(__xludf.DUMMYFUNCTION("""COMPUTED_VALUE"""),"FA-NL Gochugaru kipblokjes (FE4053)")</f>
        <v>FA-NL Gochugaru kipblokjes (FE4053)</v>
      </c>
      <c r="N275" s="292" t="str">
        <f>IFERROR(__xludf.DUMMYFUNCTION("""COMPUTED_VALUE"""),"FA-NO Gochugaru-kylling (FE4053)")</f>
        <v>FA-NO Gochugaru-kylling (FE4053)</v>
      </c>
      <c r="O275" s="292" t="str">
        <f>IFERROR(__xludf.DUMMYFUNCTION("""COMPUTED_VALUE"""),"FA-DE Gochugaru-Hähnchen (FE4053)")</f>
        <v>FA-DE Gochugaru-Hähnchen (FE4053)</v>
      </c>
      <c r="P275" s="292" t="str">
        <f>IFERROR(__xludf.DUMMYFUNCTION("""COMPUTED_VALUE"""),"Active")</f>
        <v>Active</v>
      </c>
      <c r="Q275" s="292"/>
      <c r="R275" s="342">
        <f>IFERROR(__xludf.DUMMYFUNCTION("""COMPUTED_VALUE"""),4.45)</f>
        <v>4.45</v>
      </c>
      <c r="S275" s="292"/>
      <c r="T275" s="292"/>
      <c r="U275" s="292"/>
      <c r="V275" s="292"/>
      <c r="W275" s="292" t="b">
        <f>IFERROR(__xludf.DUMMYFUNCTION("""COMPUTED_VALUE"""),TRUE)</f>
        <v>1</v>
      </c>
      <c r="X275" s="345">
        <f>IFERROR(__xludf.DUMMYFUNCTION("""COMPUTED_VALUE"""),384.0)</f>
        <v>384</v>
      </c>
      <c r="Y275" s="344">
        <f>IFERROR(__xludf.DUMMYFUNCTION("""COMPUTED_VALUE"""),516.0)</f>
        <v>516</v>
      </c>
      <c r="Z275" s="343">
        <f>IFERROR(__xludf.DUMMYFUNCTION("""COMPUTED_VALUE"""),33.7)</f>
        <v>33.7</v>
      </c>
      <c r="AA275" s="344">
        <f>IFERROR(__xludf.DUMMYFUNCTION("""COMPUTED_VALUE"""),18.3)</f>
        <v>18.3</v>
      </c>
      <c r="AB275" s="344">
        <f>IFERROR(__xludf.DUMMYFUNCTION("""COMPUTED_VALUE"""),12.3)</f>
        <v>12.3</v>
      </c>
      <c r="AC275" s="344">
        <f>IFERROR(__xludf.DUMMYFUNCTION("""COMPUTED_VALUE"""),8.7)</f>
        <v>8.7</v>
      </c>
      <c r="AD275" s="344">
        <f>IFERROR(__xludf.DUMMYFUNCTION("""COMPUTED_VALUE"""),3.9)</f>
        <v>3.9</v>
      </c>
      <c r="AE275" s="343">
        <f>IFERROR(__xludf.DUMMYFUNCTION("""COMPUTED_VALUE"""),38.8)</f>
        <v>38.8</v>
      </c>
      <c r="AF275" s="343">
        <f>IFERROR(__xludf.DUMMYFUNCTION("""COMPUTED_VALUE"""),1.6)</f>
        <v>1.6</v>
      </c>
      <c r="AG275" s="292" t="b">
        <f>IFERROR(__xludf.DUMMYFUNCTION("""COMPUTED_VALUE"""),TRUE)</f>
        <v>1</v>
      </c>
      <c r="AH275" s="292" t="b">
        <f>IFERROR(__xludf.DUMMYFUNCTION("""COMPUTED_VALUE"""),TRUE)</f>
        <v>1</v>
      </c>
      <c r="AI275" s="292" t="b">
        <f>IFERROR(__xludf.DUMMYFUNCTION("""COMPUTED_VALUE"""),FALSE)</f>
        <v>0</v>
      </c>
      <c r="AJ275" s="292" t="b">
        <f>IFERROR(__xludf.DUMMYFUNCTION("""COMPUTED_VALUE"""),FALSE)</f>
        <v>0</v>
      </c>
      <c r="AK275" s="292" t="b">
        <f>IFERROR(__xludf.DUMMYFUNCTION("""COMPUTED_VALUE"""),FALSE)</f>
        <v>0</v>
      </c>
      <c r="AL275" s="292" t="b">
        <f>IFERROR(__xludf.DUMMYFUNCTION("""COMPUTED_VALUE"""),FALSE)</f>
        <v>0</v>
      </c>
      <c r="AM275" s="292" t="b">
        <f>IFERROR(__xludf.DUMMYFUNCTION("""COMPUTED_VALUE"""),FALSE)</f>
        <v>0</v>
      </c>
      <c r="AN275" s="292" t="b">
        <f>IFERROR(__xludf.DUMMYFUNCTION("""COMPUTED_VALUE"""),FALSE)</f>
        <v>0</v>
      </c>
      <c r="AO275" s="292" t="str">
        <f>IFERROR(__xludf.DUMMYFUNCTION("""COMPUTED_VALUE"""),"FALSE")</f>
        <v>FALSE</v>
      </c>
      <c r="AP275" s="292" t="str">
        <f>IFERROR(__xludf.DUMMYFUNCTION("""COMPUTED_VALUE"""),"Diced chicken")</f>
        <v>Diced chicken</v>
      </c>
      <c r="AQ275" s="292" t="str">
        <f>IFERROR(__xludf.DUMMYFUNCTION("""COMPUTED_VALUE"""),"Chicken")</f>
        <v>Chicken</v>
      </c>
      <c r="AR275" s="292" t="str">
        <f>IFERROR(__xludf.DUMMYFUNCTION("""COMPUTED_VALUE"""),"Pieces")</f>
        <v>Pieces</v>
      </c>
      <c r="AS275" s="292" t="str">
        <f>IFERROR(__xludf.DUMMYFUNCTION("""COMPUTED_VALUE"""),"Creamy Sauce Base")</f>
        <v>Creamy Sauce Base</v>
      </c>
      <c r="AT275" s="292" t="str">
        <f>IFERROR(__xludf.DUMMYFUNCTION("""COMPUTED_VALUE"""),"Cauliflower Florets")</f>
        <v>Cauliflower Florets</v>
      </c>
      <c r="AU275" s="292" t="str">
        <f>IFERROR(__xludf.DUMMYFUNCTION("""COMPUTED_VALUE"""),"Green onion")</f>
        <v>Green onion</v>
      </c>
      <c r="AV275" s="292" t="str">
        <f>IFERROR(__xludf.DUMMYFUNCTION("""COMPUTED_VALUE"""),"Cheese")</f>
        <v>Cheese</v>
      </c>
      <c r="AW275" s="292" t="str">
        <f>IFERROR(__xludf.DUMMYFUNCTION("""COMPUTED_VALUE"""),"Year Round")</f>
        <v>Year Round</v>
      </c>
      <c r="AX275" s="292" t="str">
        <f>IFERROR(__xludf.DUMMYFUNCTION("""COMPUTED_VALUE"""),"Korean")</f>
        <v>Korean</v>
      </c>
      <c r="AY275" s="292"/>
      <c r="AZ275" s="292" t="str">
        <f>IFERROR(__xludf.DUMMYFUNCTION("""COMPUTED_VALUE"""),"2 CT")</f>
        <v>2 CT</v>
      </c>
      <c r="BA275" s="292" t="b">
        <f>IFERROR(__xludf.DUMMYFUNCTION("""COMPUTED_VALUE"""),FALSE)</f>
        <v>0</v>
      </c>
      <c r="BB275" s="342">
        <f>IFERROR(__xludf.DUMMYFUNCTION("""COMPUTED_VALUE"""),2.84)</f>
        <v>2.84</v>
      </c>
      <c r="BC275" s="342">
        <f>IFERROR(__xludf.DUMMYFUNCTION("""COMPUTED_VALUE"""),1.21)</f>
        <v>1.21</v>
      </c>
      <c r="BD275" s="342">
        <f>IFERROR(__xludf.DUMMYFUNCTION("""COMPUTED_VALUE"""),0.4)</f>
        <v>0.4</v>
      </c>
      <c r="BE275" s="342">
        <f>IFERROR(__xludf.DUMMYFUNCTION("""COMPUTED_VALUE"""),0.89)</f>
        <v>0.89</v>
      </c>
      <c r="BF275" s="296" t="str">
        <f>IFERROR(__xludf.DUMMYFUNCTION("""COMPUTED_VALUE"""),"#REF!")</f>
        <v>#REF!</v>
      </c>
      <c r="BG275" s="296" t="str">
        <f>IFERROR(__xludf.DUMMYFUNCTION("""COMPUTED_VALUE"""),"#REF!")</f>
        <v>#REF!</v>
      </c>
      <c r="BH275" s="296" t="str">
        <f>IFERROR(__xludf.DUMMYFUNCTION("""COMPUTED_VALUE"""),"#REF!")</f>
        <v>#REF!</v>
      </c>
      <c r="BI275" s="295">
        <f>IFERROR(__xludf.DUMMYFUNCTION("""COMPUTED_VALUE"""),154.0)</f>
        <v>154</v>
      </c>
      <c r="BJ275" s="292"/>
      <c r="BK275" s="346">
        <f>IFERROR(__xludf.DUMMYFUNCTION("""COMPUTED_VALUE"""),2158.0)</f>
        <v>2158</v>
      </c>
      <c r="BL275" s="292"/>
      <c r="BM275" s="292"/>
      <c r="BN275" s="292"/>
      <c r="BO275" s="292"/>
      <c r="BP275" s="292"/>
      <c r="BQ275" s="292"/>
      <c r="BR275" s="292" t="b">
        <f>IFERROR(__xludf.DUMMYFUNCTION("""COMPUTED_VALUE"""),FALSE)</f>
        <v>0</v>
      </c>
      <c r="BS275" s="292" t="b">
        <f>IFERROR(__xludf.DUMMYFUNCTION("""COMPUTED_VALUE"""),FALSE)</f>
        <v>0</v>
      </c>
      <c r="BT275" s="292"/>
      <c r="BU275" s="292"/>
      <c r="BV275" s="292"/>
      <c r="BW275" s="292"/>
    </row>
    <row r="276">
      <c r="A276" s="292" t="str">
        <f>IFERROR(__xludf.DUMMYFUNCTION("""COMPUTED_VALUE"""),"FE0257D")</f>
        <v>FE0257D</v>
      </c>
      <c r="B276" s="292" t="str">
        <f>IFERROR(__xludf.DUMMYFUNCTION("""COMPUTED_VALUE"""),"CON-40-143667-4")</f>
        <v>CON-40-143667-4</v>
      </c>
      <c r="C276" s="292" t="str">
        <f>IFERROR(__xludf.DUMMYFUNCTION("""COMPUTED_VALUE"""),"CON-00-147830-2")</f>
        <v>CON-00-147830-2</v>
      </c>
      <c r="D276" s="292" t="str">
        <f>IFERROR(__xludf.DUMMYFUNCTION("""COMPUTED_VALUE"""),"CON-00-136616-3")</f>
        <v>CON-00-136616-3</v>
      </c>
      <c r="E276" s="292" t="str">
        <f>IFERROR(__xludf.DUMMYFUNCTION("""COMPUTED_VALUE"""),"Greek style ground beef and feta")</f>
        <v>Greek style ground beef and feta</v>
      </c>
      <c r="F276" s="292" t="str">
        <f>IFERROR(__xludf.DUMMYFUNCTION("""COMPUTED_VALUE"""),"with garlic spinach, courgette in tomato butter and sour cream with lemon and coriander")</f>
        <v>with garlic spinach, courgette in tomato butter and sour cream with lemon and coriander</v>
      </c>
      <c r="G276" s="292"/>
      <c r="H276" s="292"/>
      <c r="I276" s="292" t="str">
        <f>IFERROR(__xludf.DUMMYFUNCTION("""COMPUTED_VALUE"""),"Græsk-inspireret oksekød med feta")</f>
        <v>Græsk-inspireret oksekød med feta</v>
      </c>
      <c r="J276" s="292" t="str">
        <f>IFERROR(__xludf.DUMMYFUNCTION("""COMPUTED_VALUE"""),"Hackfleisch nach griechischer Art mit Feta")</f>
        <v>Hackfleisch nach griechischer Art mit Feta</v>
      </c>
      <c r="K276" s="292">
        <f>IFERROR(__xludf.DUMMYFUNCTION("""COMPUTED_VALUE"""),565027.0)</f>
        <v>565027</v>
      </c>
      <c r="L276" s="292" t="str">
        <f>IFERROR(__xludf.DUMMYFUNCTION("""COMPUTED_VALUE"""),"HF Grieks gekr r.gehakt+feta")</f>
        <v>HF Grieks gekr r.gehakt+feta</v>
      </c>
      <c r="M276" s="292" t="str">
        <f>IFERROR(__xludf.DUMMYFUNCTION("""COMPUTED_VALUE"""),"FA-NL Griekse stijl rundergehakt en feta [FE0257]")</f>
        <v>FA-NL Griekse stijl rundergehakt en feta [FE0257]</v>
      </c>
      <c r="N276" s="292" t="str">
        <f>IFERROR(__xludf.DUMMYFUNCTION("""COMPUTED_VALUE"""),"FA-NO Græsk-inspireret hakket oksekød og feta (FE0257)")</f>
        <v>FA-NO Græsk-inspireret hakket oksekød og feta (FE0257)</v>
      </c>
      <c r="O276" s="292" t="str">
        <f>IFERROR(__xludf.DUMMYFUNCTION("""COMPUTED_VALUE"""),"FA-DE Hackfleisch ""Griechischer Art"" – mit Feta (FE0257)")</f>
        <v>FA-DE Hackfleisch "Griechischer Art" – mit Feta (FE0257)</v>
      </c>
      <c r="P276" s="292" t="str">
        <f>IFERROR(__xludf.DUMMYFUNCTION("""COMPUTED_VALUE"""),"Active")</f>
        <v>Active</v>
      </c>
      <c r="Q276" s="292"/>
      <c r="R276" s="342">
        <f>IFERROR(__xludf.DUMMYFUNCTION("""COMPUTED_VALUE"""),4.42)</f>
        <v>4.42</v>
      </c>
      <c r="S276" s="292"/>
      <c r="T276" s="292"/>
      <c r="U276" s="292"/>
      <c r="V276" s="292"/>
      <c r="W276" s="292" t="b">
        <f>IFERROR(__xludf.DUMMYFUNCTION("""COMPUTED_VALUE"""),TRUE)</f>
        <v>1</v>
      </c>
      <c r="X276" s="345">
        <f>IFERROR(__xludf.DUMMYFUNCTION("""COMPUTED_VALUE"""),375.0)</f>
        <v>375</v>
      </c>
      <c r="Y276" s="344">
        <f>IFERROR(__xludf.DUMMYFUNCTION("""COMPUTED_VALUE"""),501.0)</f>
        <v>501</v>
      </c>
      <c r="Z276" s="343">
        <f>IFERROR(__xludf.DUMMYFUNCTION("""COMPUTED_VALUE"""),38.1)</f>
        <v>38.1</v>
      </c>
      <c r="AA276" s="344">
        <f>IFERROR(__xludf.DUMMYFUNCTION("""COMPUTED_VALUE"""),16.1)</f>
        <v>16.1</v>
      </c>
      <c r="AB276" s="344">
        <f>IFERROR(__xludf.DUMMYFUNCTION("""COMPUTED_VALUE"""),15.0)</f>
        <v>15</v>
      </c>
      <c r="AC276" s="344">
        <f>IFERROR(__xludf.DUMMYFUNCTION("""COMPUTED_VALUE"""),10.9)</f>
        <v>10.9</v>
      </c>
      <c r="AD276" s="344">
        <f>IFERROR(__xludf.DUMMYFUNCTION("""COMPUTED_VALUE"""),5.2)</f>
        <v>5.2</v>
      </c>
      <c r="AE276" s="343">
        <f>IFERROR(__xludf.DUMMYFUNCTION("""COMPUTED_VALUE"""),20.8)</f>
        <v>20.8</v>
      </c>
      <c r="AF276" s="343">
        <f>IFERROR(__xludf.DUMMYFUNCTION("""COMPUTED_VALUE"""),2.03)</f>
        <v>2.03</v>
      </c>
      <c r="AG276" s="292" t="b">
        <f>IFERROR(__xludf.DUMMYFUNCTION("""COMPUTED_VALUE"""),FALSE)</f>
        <v>0</v>
      </c>
      <c r="AH276" s="292" t="b">
        <f>IFERROR(__xludf.DUMMYFUNCTION("""COMPUTED_VALUE"""),TRUE)</f>
        <v>1</v>
      </c>
      <c r="AI276" s="292" t="b">
        <f>IFERROR(__xludf.DUMMYFUNCTION("""COMPUTED_VALUE"""),FALSE)</f>
        <v>0</v>
      </c>
      <c r="AJ276" s="292" t="b">
        <f>IFERROR(__xludf.DUMMYFUNCTION("""COMPUTED_VALUE"""),FALSE)</f>
        <v>0</v>
      </c>
      <c r="AK276" s="292" t="b">
        <f>IFERROR(__xludf.DUMMYFUNCTION("""COMPUTED_VALUE"""),FALSE)</f>
        <v>0</v>
      </c>
      <c r="AL276" s="292" t="b">
        <f>IFERROR(__xludf.DUMMYFUNCTION("""COMPUTED_VALUE"""),FALSE)</f>
        <v>0</v>
      </c>
      <c r="AM276" s="292" t="b">
        <f>IFERROR(__xludf.DUMMYFUNCTION("""COMPUTED_VALUE"""),FALSE)</f>
        <v>0</v>
      </c>
      <c r="AN276" s="292" t="b">
        <f>IFERROR(__xludf.DUMMYFUNCTION("""COMPUTED_VALUE"""),FALSE)</f>
        <v>0</v>
      </c>
      <c r="AO276" s="292" t="str">
        <f>IFERROR(__xludf.DUMMYFUNCTION("""COMPUTED_VALUE"""),"FALSE")</f>
        <v>FALSE</v>
      </c>
      <c r="AP276" s="292" t="str">
        <f>IFERROR(__xludf.DUMMYFUNCTION("""COMPUTED_VALUE"""),"Ground beef")</f>
        <v>Ground beef</v>
      </c>
      <c r="AQ276" s="292" t="str">
        <f>IFERROR(__xludf.DUMMYFUNCTION("""COMPUTED_VALUE"""),"Beef")</f>
        <v>Beef</v>
      </c>
      <c r="AR276" s="292" t="str">
        <f>IFERROR(__xludf.DUMMYFUNCTION("""COMPUTED_VALUE"""),"Ground")</f>
        <v>Ground</v>
      </c>
      <c r="AS276" s="292" t="str">
        <f>IFERROR(__xludf.DUMMYFUNCTION("""COMPUTED_VALUE"""),"Spinach")</f>
        <v>Spinach</v>
      </c>
      <c r="AT276" s="292" t="str">
        <f>IFERROR(__xludf.DUMMYFUNCTION("""COMPUTED_VALUE"""),"Zucchini Diced")</f>
        <v>Zucchini Diced</v>
      </c>
      <c r="AU276" s="292" t="str">
        <f>IFERROR(__xludf.DUMMYFUNCTION("""COMPUTED_VALUE"""),"Compound Butter")</f>
        <v>Compound Butter</v>
      </c>
      <c r="AV276" s="292" t="str">
        <f>IFERROR(__xludf.DUMMYFUNCTION("""COMPUTED_VALUE"""),"Cupped Sauce")</f>
        <v>Cupped Sauce</v>
      </c>
      <c r="AW276" s="292" t="str">
        <f>IFERROR(__xludf.DUMMYFUNCTION("""COMPUTED_VALUE"""),"Year Round")</f>
        <v>Year Round</v>
      </c>
      <c r="AX276" s="292" t="str">
        <f>IFERROR(__xludf.DUMMYFUNCTION("""COMPUTED_VALUE"""),"Greek")</f>
        <v>Greek</v>
      </c>
      <c r="AY276" s="292"/>
      <c r="AZ276" s="292" t="str">
        <f>IFERROR(__xludf.DUMMYFUNCTION("""COMPUTED_VALUE"""),"2 CT")</f>
        <v>2 CT</v>
      </c>
      <c r="BA276" s="292" t="b">
        <f>IFERROR(__xludf.DUMMYFUNCTION("""COMPUTED_VALUE"""),TRUE)</f>
        <v>1</v>
      </c>
      <c r="BB276" s="342">
        <f>IFERROR(__xludf.DUMMYFUNCTION("""COMPUTED_VALUE"""),2.17)</f>
        <v>2.17</v>
      </c>
      <c r="BC276" s="342">
        <f>IFERROR(__xludf.DUMMYFUNCTION("""COMPUTED_VALUE"""),1.82)</f>
        <v>1.82</v>
      </c>
      <c r="BD276" s="342">
        <f>IFERROR(__xludf.DUMMYFUNCTION("""COMPUTED_VALUE"""),0.43)</f>
        <v>0.43</v>
      </c>
      <c r="BE276" s="342">
        <f>IFERROR(__xludf.DUMMYFUNCTION("""COMPUTED_VALUE"""),0.89)</f>
        <v>0.89</v>
      </c>
      <c r="BF276" s="296" t="str">
        <f>IFERROR(__xludf.DUMMYFUNCTION("""COMPUTED_VALUE"""),"#REF!")</f>
        <v>#REF!</v>
      </c>
      <c r="BG276" s="296" t="str">
        <f>IFERROR(__xludf.DUMMYFUNCTION("""COMPUTED_VALUE"""),"#REF!")</f>
        <v>#REF!</v>
      </c>
      <c r="BH276" s="296" t="str">
        <f>IFERROR(__xludf.DUMMYFUNCTION("""COMPUTED_VALUE"""),"#REF!")</f>
        <v>#REF!</v>
      </c>
      <c r="BI276" s="295">
        <f>IFERROR(__xludf.DUMMYFUNCTION("""COMPUTED_VALUE"""),221.0)</f>
        <v>221</v>
      </c>
      <c r="BJ276" s="292"/>
      <c r="BK276" s="346">
        <f>IFERROR(__xludf.DUMMYFUNCTION("""COMPUTED_VALUE"""),2085.0)</f>
        <v>2085</v>
      </c>
      <c r="BL276" s="292"/>
      <c r="BM276" s="292"/>
      <c r="BN276" s="292"/>
      <c r="BO276" s="292"/>
      <c r="BP276" s="292"/>
      <c r="BQ276" s="292"/>
      <c r="BR276" s="292" t="b">
        <f>IFERROR(__xludf.DUMMYFUNCTION("""COMPUTED_VALUE"""),FALSE)</f>
        <v>0</v>
      </c>
      <c r="BS276" s="292" t="b">
        <f>IFERROR(__xludf.DUMMYFUNCTION("""COMPUTED_VALUE"""),FALSE)</f>
        <v>0</v>
      </c>
      <c r="BT276" s="292"/>
      <c r="BU276" s="292"/>
      <c r="BV276" s="292"/>
      <c r="BW276" s="292"/>
    </row>
    <row r="277">
      <c r="A277" s="292" t="str">
        <f>IFERROR(__xludf.DUMMYFUNCTION("""COMPUTED_VALUE"""),"FE1408B")</f>
        <v>FE1408B</v>
      </c>
      <c r="B277" s="292" t="str">
        <f>IFERROR(__xludf.DUMMYFUNCTION("""COMPUTED_VALUE"""),"CON-40-154562-4")</f>
        <v>CON-40-154562-4</v>
      </c>
      <c r="C277" s="292" t="str">
        <f>IFERROR(__xludf.DUMMYFUNCTION("""COMPUTED_VALUE"""),"CON-00-154555-2")</f>
        <v>CON-00-154555-2</v>
      </c>
      <c r="D277" s="292" t="str">
        <f>IFERROR(__xludf.DUMMYFUNCTION("""COMPUTED_VALUE"""),"CON-00-154549-2")</f>
        <v>CON-00-154549-2</v>
      </c>
      <c r="E277" s="292" t="str">
        <f>IFERROR(__xludf.DUMMYFUNCTION("""COMPUTED_VALUE"""),"Chicken Vindaloo &amp; Cumin Potatoes")</f>
        <v>Chicken Vindaloo &amp; Cumin Potatoes</v>
      </c>
      <c r="F277" s="292" t="str">
        <f>IFERROR(__xludf.DUMMYFUNCTION("""COMPUTED_VALUE"""),"with Cardamom Veggies, Raita &amp; Green Beans")</f>
        <v>with Cardamom Veggies, Raita &amp; Green Beans</v>
      </c>
      <c r="G277" s="292" t="str">
        <f>IFERROR(__xludf.DUMMYFUNCTION("""COMPUTED_VALUE"""),"Kip Vindaloo met aardappelen met komijn")</f>
        <v>Kip Vindaloo met aardappelen met komijn</v>
      </c>
      <c r="H277" s="292" t="str">
        <f>IFERROR(__xludf.DUMMYFUNCTION("""COMPUTED_VALUE"""),"met groenten met kardemom, raita &amp; sperziebonen")</f>
        <v>met groenten met kardemom, raita &amp; sperziebonen</v>
      </c>
      <c r="I277" s="292" t="str">
        <f>IFERROR(__xludf.DUMMYFUNCTION("""COMPUTED_VALUE"""),"Kylling vindaloo med spidskommenkartofler")</f>
        <v>Kylling vindaloo med spidskommenkartofler</v>
      </c>
      <c r="J277" s="292"/>
      <c r="K277" s="292">
        <f>IFERROR(__xludf.DUMMYFUNCTION("""COMPUTED_VALUE"""),565212.0)</f>
        <v>565212</v>
      </c>
      <c r="L277" s="292" t="str">
        <f>IFERROR(__xludf.DUMMYFUNCTION("""COMPUTED_VALUE"""),"HF Kip vindaloo")</f>
        <v>HF Kip vindaloo</v>
      </c>
      <c r="M277" s="292" t="str">
        <f>IFERROR(__xludf.DUMMYFUNCTION("""COMPUTED_VALUE"""),"FA-NL Kip Vindaloo met aardappelen met komijn (FE1408)")</f>
        <v>FA-NL Kip Vindaloo met aardappelen met komijn (FE1408)</v>
      </c>
      <c r="N277" s="292" t="str">
        <f>IFERROR(__xludf.DUMMYFUNCTION("""COMPUTED_VALUE"""),"FA-NO Kyllingevindaloo med spidskommenkrydrede kartofler (FE1408)")</f>
        <v>FA-NO Kyllingevindaloo med spidskommenkrydrede kartofler (FE1408)</v>
      </c>
      <c r="O277" s="292" t="str">
        <f>IFERROR(__xludf.DUMMYFUNCTION("""COMPUTED_VALUE"""),"FA-DE Hähnchen Vindaloo &amp; Kreuzkümmel-Kartoffeln (FE1408)")</f>
        <v>FA-DE Hähnchen Vindaloo &amp; Kreuzkümmel-Kartoffeln (FE1408)</v>
      </c>
      <c r="P277" s="292" t="str">
        <f>IFERROR(__xludf.DUMMYFUNCTION("""COMPUTED_VALUE"""),"Active")</f>
        <v>Active</v>
      </c>
      <c r="Q277" s="292"/>
      <c r="R277" s="342">
        <f>IFERROR(__xludf.DUMMYFUNCTION("""COMPUTED_VALUE"""),4.64)</f>
        <v>4.64</v>
      </c>
      <c r="S277" s="292"/>
      <c r="T277" s="292"/>
      <c r="U277" s="292"/>
      <c r="V277" s="292"/>
      <c r="W277" s="292" t="b">
        <f>IFERROR(__xludf.DUMMYFUNCTION("""COMPUTED_VALUE"""),TRUE)</f>
        <v>1</v>
      </c>
      <c r="X277" s="345">
        <f>IFERROR(__xludf.DUMMYFUNCTION("""COMPUTED_VALUE"""),399.0)</f>
        <v>399</v>
      </c>
      <c r="Y277" s="344">
        <f>IFERROR(__xludf.DUMMYFUNCTION("""COMPUTED_VALUE"""),446.0)</f>
        <v>446</v>
      </c>
      <c r="Z277" s="343">
        <f>IFERROR(__xludf.DUMMYFUNCTION("""COMPUTED_VALUE"""),24.3)</f>
        <v>24.3</v>
      </c>
      <c r="AA277" s="344">
        <f>IFERROR(__xludf.DUMMYFUNCTION("""COMPUTED_VALUE"""),7.0)</f>
        <v>7</v>
      </c>
      <c r="AB277" s="344">
        <f>IFERROR(__xludf.DUMMYFUNCTION("""COMPUTED_VALUE"""),22.2)</f>
        <v>22.2</v>
      </c>
      <c r="AC277" s="344">
        <f>IFERROR(__xludf.DUMMYFUNCTION("""COMPUTED_VALUE"""),8.7)</f>
        <v>8.7</v>
      </c>
      <c r="AD277" s="344">
        <f>IFERROR(__xludf.DUMMYFUNCTION("""COMPUTED_VALUE"""),7.4)</f>
        <v>7.4</v>
      </c>
      <c r="AE277" s="343">
        <f>IFERROR(__xludf.DUMMYFUNCTION("""COMPUTED_VALUE"""),30.6)</f>
        <v>30.6</v>
      </c>
      <c r="AF277" s="343">
        <f>IFERROR(__xludf.DUMMYFUNCTION("""COMPUTED_VALUE"""),2.04)</f>
        <v>2.04</v>
      </c>
      <c r="AG277" s="292" t="b">
        <f>IFERROR(__xludf.DUMMYFUNCTION("""COMPUTED_VALUE"""),TRUE)</f>
        <v>1</v>
      </c>
      <c r="AH277" s="292" t="b">
        <f>IFERROR(__xludf.DUMMYFUNCTION("""COMPUTED_VALUE"""),FALSE)</f>
        <v>0</v>
      </c>
      <c r="AI277" s="292" t="b">
        <f>IFERROR(__xludf.DUMMYFUNCTION("""COMPUTED_VALUE"""),TRUE)</f>
        <v>1</v>
      </c>
      <c r="AJ277" s="292" t="b">
        <f>IFERROR(__xludf.DUMMYFUNCTION("""COMPUTED_VALUE"""),FALSE)</f>
        <v>0</v>
      </c>
      <c r="AK277" s="292" t="b">
        <f>IFERROR(__xludf.DUMMYFUNCTION("""COMPUTED_VALUE"""),FALSE)</f>
        <v>0</v>
      </c>
      <c r="AL277" s="292" t="b">
        <f>IFERROR(__xludf.DUMMYFUNCTION("""COMPUTED_VALUE"""),FALSE)</f>
        <v>0</v>
      </c>
      <c r="AM277" s="292" t="b">
        <f>IFERROR(__xludf.DUMMYFUNCTION("""COMPUTED_VALUE"""),TRUE)</f>
        <v>1</v>
      </c>
      <c r="AN277" s="292" t="b">
        <f>IFERROR(__xludf.DUMMYFUNCTION("""COMPUTED_VALUE"""),FALSE)</f>
        <v>0</v>
      </c>
      <c r="AO277" s="292" t="str">
        <f>IFERROR(__xludf.DUMMYFUNCTION("""COMPUTED_VALUE"""),"FALSE")</f>
        <v>FALSE</v>
      </c>
      <c r="AP277" s="292" t="str">
        <f>IFERROR(__xludf.DUMMYFUNCTION("""COMPUTED_VALUE"""),"Diced chicken")</f>
        <v>Diced chicken</v>
      </c>
      <c r="AQ277" s="292" t="str">
        <f>IFERROR(__xludf.DUMMYFUNCTION("""COMPUTED_VALUE"""),"Chicken")</f>
        <v>Chicken</v>
      </c>
      <c r="AR277" s="292" t="str">
        <f>IFERROR(__xludf.DUMMYFUNCTION("""COMPUTED_VALUE"""),"Pieces")</f>
        <v>Pieces</v>
      </c>
      <c r="AS277" s="292" t="str">
        <f>IFERROR(__xludf.DUMMYFUNCTION("""COMPUTED_VALUE"""),"Potato Non-Mash")</f>
        <v>Potato Non-Mash</v>
      </c>
      <c r="AT277" s="292" t="str">
        <f>IFERROR(__xludf.DUMMYFUNCTION("""COMPUTED_VALUE"""),"Green Beans")</f>
        <v>Green Beans</v>
      </c>
      <c r="AU277" s="292" t="str">
        <f>IFERROR(__xludf.DUMMYFUNCTION("""COMPUTED_VALUE"""),"Pepper Mix")</f>
        <v>Pepper Mix</v>
      </c>
      <c r="AV277" s="292" t="str">
        <f>IFERROR(__xludf.DUMMYFUNCTION("""COMPUTED_VALUE"""),"Cupped Sauce")</f>
        <v>Cupped Sauce</v>
      </c>
      <c r="AW277" s="292" t="str">
        <f>IFERROR(__xludf.DUMMYFUNCTION("""COMPUTED_VALUE"""),"Year Round")</f>
        <v>Year Round</v>
      </c>
      <c r="AX277" s="292" t="str">
        <f>IFERROR(__xludf.DUMMYFUNCTION("""COMPUTED_VALUE"""),"Indian")</f>
        <v>Indian</v>
      </c>
      <c r="AY277" s="292"/>
      <c r="AZ277" s="292" t="str">
        <f>IFERROR(__xludf.DUMMYFUNCTION("""COMPUTED_VALUE"""),"2 CT")</f>
        <v>2 CT</v>
      </c>
      <c r="BA277" s="292" t="b">
        <f>IFERROR(__xludf.DUMMYFUNCTION("""COMPUTED_VALUE"""),TRUE)</f>
        <v>1</v>
      </c>
      <c r="BB277" s="342">
        <f>IFERROR(__xludf.DUMMYFUNCTION("""COMPUTED_VALUE"""),2.56)</f>
        <v>2.56</v>
      </c>
      <c r="BC277" s="342">
        <f>IFERROR(__xludf.DUMMYFUNCTION("""COMPUTED_VALUE"""),1.65)</f>
        <v>1.65</v>
      </c>
      <c r="BD277" s="342">
        <f>IFERROR(__xludf.DUMMYFUNCTION("""COMPUTED_VALUE"""),0.43)</f>
        <v>0.43</v>
      </c>
      <c r="BE277" s="342">
        <f>IFERROR(__xludf.DUMMYFUNCTION("""COMPUTED_VALUE"""),0.89)</f>
        <v>0.89</v>
      </c>
      <c r="BF277" s="296" t="str">
        <f>IFERROR(__xludf.DUMMYFUNCTION("""COMPUTED_VALUE"""),"#REF!")</f>
        <v>#REF!</v>
      </c>
      <c r="BG277" s="296" t="str">
        <f>IFERROR(__xludf.DUMMYFUNCTION("""COMPUTED_VALUE"""),"#REF!")</f>
        <v>#REF!</v>
      </c>
      <c r="BH277" s="296" t="str">
        <f>IFERROR(__xludf.DUMMYFUNCTION("""COMPUTED_VALUE"""),"#REF!")</f>
        <v>#REF!</v>
      </c>
      <c r="BI277" s="295">
        <f>IFERROR(__xludf.DUMMYFUNCTION("""COMPUTED_VALUE"""),128.0)</f>
        <v>128</v>
      </c>
      <c r="BJ277" s="292"/>
      <c r="BK277" s="346">
        <f>IFERROR(__xludf.DUMMYFUNCTION("""COMPUTED_VALUE"""),1861.0)</f>
        <v>1861</v>
      </c>
      <c r="BL277" s="292"/>
      <c r="BM277" s="292"/>
      <c r="BN277" s="292"/>
      <c r="BO277" s="292"/>
      <c r="BP277" s="292"/>
      <c r="BQ277" s="292"/>
      <c r="BR277" s="292" t="b">
        <f>IFERROR(__xludf.DUMMYFUNCTION("""COMPUTED_VALUE"""),FALSE)</f>
        <v>0</v>
      </c>
      <c r="BS277" s="292" t="b">
        <f>IFERROR(__xludf.DUMMYFUNCTION("""COMPUTED_VALUE"""),FALSE)</f>
        <v>0</v>
      </c>
      <c r="BT277" s="292"/>
      <c r="BU277" s="292"/>
      <c r="BV277" s="292"/>
      <c r="BW277" s="292"/>
    </row>
    <row r="278">
      <c r="A278" s="292" t="str">
        <f>IFERROR(__xludf.DUMMYFUNCTION("""COMPUTED_VALUE"""),"FE4048B")</f>
        <v>FE4048B</v>
      </c>
      <c r="B278" s="292" t="str">
        <f>IFERROR(__xludf.DUMMYFUNCTION("""COMPUTED_VALUE"""),"CON-40-143735-4")</f>
        <v>CON-40-143735-4</v>
      </c>
      <c r="C278" s="292" t="str">
        <f>IFERROR(__xludf.DUMMYFUNCTION("""COMPUTED_VALUE"""),"CON-00-147902-2")</f>
        <v>CON-00-147902-2</v>
      </c>
      <c r="D278" s="292" t="str">
        <f>IFERROR(__xludf.DUMMYFUNCTION("""COMPUTED_VALUE"""),"CON-00-138006-2")</f>
        <v>CON-00-138006-2</v>
      </c>
      <c r="E278" s="292" t="str">
        <f>IFERROR(__xludf.DUMMYFUNCTION("""COMPUTED_VALUE"""),"Creamy leek pork tenderloin")</f>
        <v>Creamy leek pork tenderloin</v>
      </c>
      <c r="F278" s="292" t="str">
        <f>IFERROR(__xludf.DUMMYFUNCTION("""COMPUTED_VALUE"""),"with sweet potato puree and green beans ")</f>
        <v>with sweet potato puree and green beans </v>
      </c>
      <c r="G278" s="292" t="str">
        <f>IFERROR(__xludf.DUMMYFUNCTION("""COMPUTED_VALUE"""),"Varkenshaas &amp; romige prei ")</f>
        <v>Varkenshaas &amp; romige prei </v>
      </c>
      <c r="H278" s="292" t="str">
        <f>IFERROR(__xludf.DUMMYFUNCTION("""COMPUTED_VALUE"""),"met zoete aardappelpuree en sperziebonen ")</f>
        <v>met zoete aardappelpuree en sperziebonen </v>
      </c>
      <c r="I278" s="292" t="str">
        <f>IFERROR(__xludf.DUMMYFUNCTION("""COMPUTED_VALUE"""),"Svinemørbrad med cremet porresauce")</f>
        <v>Svinemørbrad med cremet porresauce</v>
      </c>
      <c r="J278" s="292" t="str">
        <f>IFERROR(__xludf.DUMMYFUNCTION("""COMPUTED_VALUE"""),"Schweinefilet in cremiger Lauchsauce")</f>
        <v>Schweinefilet in cremiger Lauchsauce</v>
      </c>
      <c r="K278" s="292">
        <f>IFERROR(__xludf.DUMMYFUNCTION("""COMPUTED_VALUE"""),565293.0)</f>
        <v>565293</v>
      </c>
      <c r="L278" s="292" t="str">
        <f>IFERROR(__xludf.DUMMYFUNCTION("""COMPUTED_VALUE"""),"HF RW Romige prei varkenshaas")</f>
        <v>HF RW Romige prei varkenshaas</v>
      </c>
      <c r="M278" s="292" t="str">
        <f>IFERROR(__xludf.DUMMYFUNCTION("""COMPUTED_VALUE"""),"FA-NL Varkenshaas &amp; romige prei (FE4048)")</f>
        <v>FA-NL Varkenshaas &amp; romige prei (FE4048)</v>
      </c>
      <c r="N278" s="292" t="str">
        <f>IFERROR(__xludf.DUMMYFUNCTION("""COMPUTED_VALUE"""),"FA-NO Svinemørbrad med cremet porre (FE4048)")</f>
        <v>FA-NO Svinemørbrad med cremet porre (FE4048)</v>
      </c>
      <c r="O278" s="292" t="str">
        <f>IFERROR(__xludf.DUMMYFUNCTION("""COMPUTED_VALUE"""),"FA-DE Schweinefilet in Lauchcreme (FE4048)")</f>
        <v>FA-DE Schweinefilet in Lauchcreme (FE4048)</v>
      </c>
      <c r="P278" s="292" t="str">
        <f>IFERROR(__xludf.DUMMYFUNCTION("""COMPUTED_VALUE"""),"Active")</f>
        <v>Active</v>
      </c>
      <c r="Q278" s="292"/>
      <c r="R278" s="342">
        <f>IFERROR(__xludf.DUMMYFUNCTION("""COMPUTED_VALUE"""),4.59)</f>
        <v>4.59</v>
      </c>
      <c r="S278" s="292"/>
      <c r="T278" s="292"/>
      <c r="U278" s="292"/>
      <c r="V278" s="292"/>
      <c r="W278" s="292" t="b">
        <f>IFERROR(__xludf.DUMMYFUNCTION("""COMPUTED_VALUE"""),TRUE)</f>
        <v>1</v>
      </c>
      <c r="X278" s="345">
        <f>IFERROR(__xludf.DUMMYFUNCTION("""COMPUTED_VALUE"""),419.0)</f>
        <v>419</v>
      </c>
      <c r="Y278" s="344">
        <f>IFERROR(__xludf.DUMMYFUNCTION("""COMPUTED_VALUE"""),463.0)</f>
        <v>463</v>
      </c>
      <c r="Z278" s="343">
        <f>IFERROR(__xludf.DUMMYFUNCTION("""COMPUTED_VALUE"""),24.7)</f>
        <v>24.7</v>
      </c>
      <c r="AA278" s="344">
        <f>IFERROR(__xludf.DUMMYFUNCTION("""COMPUTED_VALUE"""),8.9)</f>
        <v>8.9</v>
      </c>
      <c r="AB278" s="344">
        <f>IFERROR(__xludf.DUMMYFUNCTION("""COMPUTED_VALUE"""),26.3)</f>
        <v>26.3</v>
      </c>
      <c r="AC278" s="344">
        <f>IFERROR(__xludf.DUMMYFUNCTION("""COMPUTED_VALUE"""),14.8)</f>
        <v>14.8</v>
      </c>
      <c r="AD278" s="344">
        <f>IFERROR(__xludf.DUMMYFUNCTION("""COMPUTED_VALUE"""),11.4)</f>
        <v>11.4</v>
      </c>
      <c r="AE278" s="343">
        <f>IFERROR(__xludf.DUMMYFUNCTION("""COMPUTED_VALUE"""),28.9)</f>
        <v>28.9</v>
      </c>
      <c r="AF278" s="343">
        <f>IFERROR(__xludf.DUMMYFUNCTION("""COMPUTED_VALUE"""),2.04)</f>
        <v>2.04</v>
      </c>
      <c r="AG278" s="292" t="b">
        <f>IFERROR(__xludf.DUMMYFUNCTION("""COMPUTED_VALUE"""),FALSE)</f>
        <v>0</v>
      </c>
      <c r="AH278" s="292" t="b">
        <f>IFERROR(__xludf.DUMMYFUNCTION("""COMPUTED_VALUE"""),FALSE)</f>
        <v>0</v>
      </c>
      <c r="AI278" s="292" t="b">
        <f>IFERROR(__xludf.DUMMYFUNCTION("""COMPUTED_VALUE"""),TRUE)</f>
        <v>1</v>
      </c>
      <c r="AJ278" s="292" t="b">
        <f>IFERROR(__xludf.DUMMYFUNCTION("""COMPUTED_VALUE"""),FALSE)</f>
        <v>0</v>
      </c>
      <c r="AK278" s="292" t="b">
        <f>IFERROR(__xludf.DUMMYFUNCTION("""COMPUTED_VALUE"""),FALSE)</f>
        <v>0</v>
      </c>
      <c r="AL278" s="292" t="b">
        <f>IFERROR(__xludf.DUMMYFUNCTION("""COMPUTED_VALUE"""),FALSE)</f>
        <v>0</v>
      </c>
      <c r="AM278" s="292" t="b">
        <f>IFERROR(__xludf.DUMMYFUNCTION("""COMPUTED_VALUE"""),TRUE)</f>
        <v>1</v>
      </c>
      <c r="AN278" s="292" t="b">
        <f>IFERROR(__xludf.DUMMYFUNCTION("""COMPUTED_VALUE"""),FALSE)</f>
        <v>0</v>
      </c>
      <c r="AO278" s="292" t="str">
        <f>IFERROR(__xludf.DUMMYFUNCTION("""COMPUTED_VALUE"""),"TRUE")</f>
        <v>TRUE</v>
      </c>
      <c r="AP278" s="292" t="str">
        <f>IFERROR(__xludf.DUMMYFUNCTION("""COMPUTED_VALUE"""),"Pork tenderloin")</f>
        <v>Pork tenderloin</v>
      </c>
      <c r="AQ278" s="292" t="str">
        <f>IFERROR(__xludf.DUMMYFUNCTION("""COMPUTED_VALUE"""),"Pork")</f>
        <v>Pork</v>
      </c>
      <c r="AR278" s="292" t="str">
        <f>IFERROR(__xludf.DUMMYFUNCTION("""COMPUTED_VALUE"""),"Tenderloin")</f>
        <v>Tenderloin</v>
      </c>
      <c r="AS278" s="292" t="str">
        <f>IFERROR(__xludf.DUMMYFUNCTION("""COMPUTED_VALUE"""),"Sweet Potato Mash")</f>
        <v>Sweet Potato Mash</v>
      </c>
      <c r="AT278" s="292" t="str">
        <f>IFERROR(__xludf.DUMMYFUNCTION("""COMPUTED_VALUE"""),"Creamy Leeks")</f>
        <v>Creamy Leeks</v>
      </c>
      <c r="AU278" s="292" t="str">
        <f>IFERROR(__xludf.DUMMYFUNCTION("""COMPUTED_VALUE"""),"Green Beans")</f>
        <v>Green Beans</v>
      </c>
      <c r="AV278" s="292"/>
      <c r="AW278" s="292" t="str">
        <f>IFERROR(__xludf.DUMMYFUNCTION("""COMPUTED_VALUE"""),"Year Round")</f>
        <v>Year Round</v>
      </c>
      <c r="AX278" s="292" t="str">
        <f>IFERROR(__xludf.DUMMYFUNCTION("""COMPUTED_VALUE"""),"American")</f>
        <v>American</v>
      </c>
      <c r="AY278" s="292"/>
      <c r="AZ278" s="292" t="str">
        <f>IFERROR(__xludf.DUMMYFUNCTION("""COMPUTED_VALUE"""),"2 CT")</f>
        <v>2 CT</v>
      </c>
      <c r="BA278" s="292" t="b">
        <f>IFERROR(__xludf.DUMMYFUNCTION("""COMPUTED_VALUE"""),FALSE)</f>
        <v>0</v>
      </c>
      <c r="BB278" s="342">
        <f>IFERROR(__xludf.DUMMYFUNCTION("""COMPUTED_VALUE"""),2.88)</f>
        <v>2.88</v>
      </c>
      <c r="BC278" s="342">
        <f>IFERROR(__xludf.DUMMYFUNCTION("""COMPUTED_VALUE"""),1.31)</f>
        <v>1.31</v>
      </c>
      <c r="BD278" s="342">
        <f>IFERROR(__xludf.DUMMYFUNCTION("""COMPUTED_VALUE"""),0.4)</f>
        <v>0.4</v>
      </c>
      <c r="BE278" s="342">
        <f>IFERROR(__xludf.DUMMYFUNCTION("""COMPUTED_VALUE"""),0.89)</f>
        <v>0.89</v>
      </c>
      <c r="BF278" s="296" t="str">
        <f>IFERROR(__xludf.DUMMYFUNCTION("""COMPUTED_VALUE"""),"#REF!")</f>
        <v>#REF!</v>
      </c>
      <c r="BG278" s="296" t="str">
        <f>IFERROR(__xludf.DUMMYFUNCTION("""COMPUTED_VALUE"""),"#REF!")</f>
        <v>#REF!</v>
      </c>
      <c r="BH278" s="296" t="str">
        <f>IFERROR(__xludf.DUMMYFUNCTION("""COMPUTED_VALUE"""),"#REF!")</f>
        <v>#REF!</v>
      </c>
      <c r="BI278" s="295">
        <f>IFERROR(__xludf.DUMMYFUNCTION("""COMPUTED_VALUE"""),195.0)</f>
        <v>195</v>
      </c>
      <c r="BJ278" s="292"/>
      <c r="BK278" s="346">
        <f>IFERROR(__xludf.DUMMYFUNCTION("""COMPUTED_VALUE"""),1935.0)</f>
        <v>1935</v>
      </c>
      <c r="BL278" s="292"/>
      <c r="BM278" s="292"/>
      <c r="BN278" s="292"/>
      <c r="BO278" s="292"/>
      <c r="BP278" s="292"/>
      <c r="BQ278" s="292"/>
      <c r="BR278" s="292" t="b">
        <f>IFERROR(__xludf.DUMMYFUNCTION("""COMPUTED_VALUE"""),FALSE)</f>
        <v>0</v>
      </c>
      <c r="BS278" s="292" t="b">
        <f>IFERROR(__xludf.DUMMYFUNCTION("""COMPUTED_VALUE"""),FALSE)</f>
        <v>0</v>
      </c>
      <c r="BT278" s="292"/>
      <c r="BU278" s="292"/>
      <c r="BV278" s="292"/>
      <c r="BW278" s="292"/>
    </row>
    <row r="279">
      <c r="A279" s="292" t="str">
        <f>IFERROR(__xludf.DUMMYFUNCTION("""COMPUTED_VALUE"""),"FE4011C")</f>
        <v>FE4011C</v>
      </c>
      <c r="B279" s="292" t="str">
        <f>IFERROR(__xludf.DUMMYFUNCTION("""COMPUTED_VALUE"""),"CON-40-143750-4")</f>
        <v>CON-40-143750-4</v>
      </c>
      <c r="C279" s="292" t="str">
        <f>IFERROR(__xludf.DUMMYFUNCTION("""COMPUTED_VALUE"""),"CON-00-147873-2")</f>
        <v>CON-00-147873-2</v>
      </c>
      <c r="D279" s="292" t="str">
        <f>IFERROR(__xludf.DUMMYFUNCTION("""COMPUTED_VALUE"""),"CON-00-136685-3")</f>
        <v>CON-00-136685-3</v>
      </c>
      <c r="E279" s="292" t="str">
        <f>IFERROR(__xludf.DUMMYFUNCTION("""COMPUTED_VALUE"""),"Spicy pulled chicken and beans")</f>
        <v>Spicy pulled chicken and beans</v>
      </c>
      <c r="F279" s="292" t="str">
        <f>IFERROR(__xludf.DUMMYFUNCTION("""COMPUTED_VALUE"""),"with corn cake, carrot and fresh yoghurt sauce")</f>
        <v>with corn cake, carrot and fresh yoghurt sauce</v>
      </c>
      <c r="G279" s="292" t="str">
        <f>IFERROR(__xludf.DUMMYFUNCTION("""COMPUTED_VALUE"""),"Pittige pulled chicken en bonen")</f>
        <v>Pittige pulled chicken en bonen</v>
      </c>
      <c r="H279" s="292" t="str">
        <f>IFERROR(__xludf.DUMMYFUNCTION("""COMPUTED_VALUE"""),"met maïscake, wortel en frisse yoghurtsaus")</f>
        <v>met maïscake, wortel en frisse yoghurtsaus</v>
      </c>
      <c r="I279" s="292" t="str">
        <f>IFERROR(__xludf.DUMMYFUNCTION("""COMPUTED_VALUE"""),"Krydret pulled chicken med bønner")</f>
        <v>Krydret pulled chicken med bønner</v>
      </c>
      <c r="J279" s="292"/>
      <c r="K279" s="292">
        <f>IFERROR(__xludf.DUMMYFUNCTION("""COMPUTED_VALUE"""),565137.0)</f>
        <v>565137</v>
      </c>
      <c r="L279" s="292" t="str">
        <f>IFERROR(__xludf.DUMMYFUNCTION("""COMPUTED_VALUE"""),"HF RW Pittige Pull chick bonen")</f>
        <v>HF RW Pittige Pull chick bonen</v>
      </c>
      <c r="M279" s="292" t="str">
        <f>IFERROR(__xludf.DUMMYFUNCTION("""COMPUTED_VALUE"""),"FA-NL Pittige Pulled Chicken En Bonen (FE4011)")</f>
        <v>FA-NL Pittige Pulled Chicken En Bonen (FE4011)</v>
      </c>
      <c r="N279" s="292" t="str">
        <f>IFERROR(__xludf.DUMMYFUNCTION("""COMPUTED_VALUE"""),"FA-NO Spicy pulled chicken og bønner (FE4011)")</f>
        <v>FA-NO Spicy pulled chicken og bønner (FE4011)</v>
      </c>
      <c r="O279" s="292" t="str">
        <f>IFERROR(__xludf.DUMMYFUNCTION("""COMPUTED_VALUE"""),"FA-DE Würziges Pulled Chicken mit Bohnen (FE4011)")</f>
        <v>FA-DE Würziges Pulled Chicken mit Bohnen (FE4011)</v>
      </c>
      <c r="P279" s="292" t="str">
        <f>IFERROR(__xludf.DUMMYFUNCTION("""COMPUTED_VALUE"""),"Active")</f>
        <v>Active</v>
      </c>
      <c r="Q279" s="292"/>
      <c r="R279" s="342">
        <f>IFERROR(__xludf.DUMMYFUNCTION("""COMPUTED_VALUE"""),4.0)</f>
        <v>4</v>
      </c>
      <c r="S279" s="292"/>
      <c r="T279" s="292"/>
      <c r="U279" s="292"/>
      <c r="V279" s="292"/>
      <c r="W279" s="292" t="b">
        <f>IFERROR(__xludf.DUMMYFUNCTION("""COMPUTED_VALUE"""),TRUE)</f>
        <v>1</v>
      </c>
      <c r="X279" s="345">
        <f>IFERROR(__xludf.DUMMYFUNCTION("""COMPUTED_VALUE"""),399.0)</f>
        <v>399</v>
      </c>
      <c r="Y279" s="344">
        <f>IFERROR(__xludf.DUMMYFUNCTION("""COMPUTED_VALUE"""),449.0)</f>
        <v>449</v>
      </c>
      <c r="Z279" s="343">
        <f>IFERROR(__xludf.DUMMYFUNCTION("""COMPUTED_VALUE"""),19.4)</f>
        <v>19.4</v>
      </c>
      <c r="AA279" s="344">
        <f>IFERROR(__xludf.DUMMYFUNCTION("""COMPUTED_VALUE"""),8.6)</f>
        <v>8.6</v>
      </c>
      <c r="AB279" s="344">
        <f>IFERROR(__xludf.DUMMYFUNCTION("""COMPUTED_VALUE"""),39.3)</f>
        <v>39.3</v>
      </c>
      <c r="AC279" s="344">
        <f>IFERROR(__xludf.DUMMYFUNCTION("""COMPUTED_VALUE"""),20.7)</f>
        <v>20.7</v>
      </c>
      <c r="AD279" s="344">
        <f>IFERROR(__xludf.DUMMYFUNCTION("""COMPUTED_VALUE"""),11.1)</f>
        <v>11.1</v>
      </c>
      <c r="AE279" s="343">
        <f>IFERROR(__xludf.DUMMYFUNCTION("""COMPUTED_VALUE"""),24.9)</f>
        <v>24.9</v>
      </c>
      <c r="AF279" s="343">
        <f>IFERROR(__xludf.DUMMYFUNCTION("""COMPUTED_VALUE"""),1.93)</f>
        <v>1.93</v>
      </c>
      <c r="AG279" s="292" t="b">
        <f>IFERROR(__xludf.DUMMYFUNCTION("""COMPUTED_VALUE"""),TRUE)</f>
        <v>1</v>
      </c>
      <c r="AH279" s="292" t="b">
        <f>IFERROR(__xludf.DUMMYFUNCTION("""COMPUTED_VALUE"""),FALSE)</f>
        <v>0</v>
      </c>
      <c r="AI279" s="292" t="b">
        <f>IFERROR(__xludf.DUMMYFUNCTION("""COMPUTED_VALUE"""),TRUE)</f>
        <v>1</v>
      </c>
      <c r="AJ279" s="292" t="b">
        <f>IFERROR(__xludf.DUMMYFUNCTION("""COMPUTED_VALUE"""),FALSE)</f>
        <v>0</v>
      </c>
      <c r="AK279" s="292" t="b">
        <f>IFERROR(__xludf.DUMMYFUNCTION("""COMPUTED_VALUE"""),FALSE)</f>
        <v>0</v>
      </c>
      <c r="AL279" s="292" t="b">
        <f>IFERROR(__xludf.DUMMYFUNCTION("""COMPUTED_VALUE"""),FALSE)</f>
        <v>0</v>
      </c>
      <c r="AM279" s="292" t="b">
        <f>IFERROR(__xludf.DUMMYFUNCTION("""COMPUTED_VALUE"""),FALSE)</f>
        <v>0</v>
      </c>
      <c r="AN279" s="292" t="b">
        <f>IFERROR(__xludf.DUMMYFUNCTION("""COMPUTED_VALUE"""),FALSE)</f>
        <v>0</v>
      </c>
      <c r="AO279" s="292" t="str">
        <f>IFERROR(__xludf.DUMMYFUNCTION("""COMPUTED_VALUE"""),"TRUE")</f>
        <v>TRUE</v>
      </c>
      <c r="AP279" s="292" t="str">
        <f>IFERROR(__xludf.DUMMYFUNCTION("""COMPUTED_VALUE"""),"Shredded chicken")</f>
        <v>Shredded chicken</v>
      </c>
      <c r="AQ279" s="292" t="str">
        <f>IFERROR(__xludf.DUMMYFUNCTION("""COMPUTED_VALUE"""),"Chicken")</f>
        <v>Chicken</v>
      </c>
      <c r="AR279" s="292" t="str">
        <f>IFERROR(__xludf.DUMMYFUNCTION("""COMPUTED_VALUE"""),"Thigh")</f>
        <v>Thigh</v>
      </c>
      <c r="AS279" s="292" t="str">
        <f>IFERROR(__xludf.DUMMYFUNCTION("""COMPUTED_VALUE"""),"Veggie-based Cake")</f>
        <v>Veggie-based Cake</v>
      </c>
      <c r="AT279" s="292" t="str">
        <f>IFERROR(__xludf.DUMMYFUNCTION("""COMPUTED_VALUE"""),"Carrots")</f>
        <v>Carrots</v>
      </c>
      <c r="AU279" s="292" t="str">
        <f>IFERROR(__xludf.DUMMYFUNCTION("""COMPUTED_VALUE"""),"Pepper Mix")</f>
        <v>Pepper Mix</v>
      </c>
      <c r="AV279" s="292" t="str">
        <f>IFERROR(__xludf.DUMMYFUNCTION("""COMPUTED_VALUE"""),"Black Beans")</f>
        <v>Black Beans</v>
      </c>
      <c r="AW279" s="292" t="str">
        <f>IFERROR(__xludf.DUMMYFUNCTION("""COMPUTED_VALUE"""),"Year Round")</f>
        <v>Year Round</v>
      </c>
      <c r="AX279" s="292" t="str">
        <f>IFERROR(__xludf.DUMMYFUNCTION("""COMPUTED_VALUE"""),"Mexican")</f>
        <v>Mexican</v>
      </c>
      <c r="AY279" s="292"/>
      <c r="AZ279" s="292" t="str">
        <f>IFERROR(__xludf.DUMMYFUNCTION("""COMPUTED_VALUE"""),"2 CT")</f>
        <v>2 CT</v>
      </c>
      <c r="BA279" s="292" t="b">
        <f>IFERROR(__xludf.DUMMYFUNCTION("""COMPUTED_VALUE"""),TRUE)</f>
        <v>1</v>
      </c>
      <c r="BB279" s="342">
        <f>IFERROR(__xludf.DUMMYFUNCTION("""COMPUTED_VALUE"""),1.86)</f>
        <v>1.86</v>
      </c>
      <c r="BC279" s="342">
        <f>IFERROR(__xludf.DUMMYFUNCTION("""COMPUTED_VALUE"""),1.7)</f>
        <v>1.7</v>
      </c>
      <c r="BD279" s="342">
        <f>IFERROR(__xludf.DUMMYFUNCTION("""COMPUTED_VALUE"""),0.43)</f>
        <v>0.43</v>
      </c>
      <c r="BE279" s="342">
        <f>IFERROR(__xludf.DUMMYFUNCTION("""COMPUTED_VALUE"""),0.89)</f>
        <v>0.89</v>
      </c>
      <c r="BF279" s="296" t="str">
        <f>IFERROR(__xludf.DUMMYFUNCTION("""COMPUTED_VALUE"""),"#REF!")</f>
        <v>#REF!</v>
      </c>
      <c r="BG279" s="296" t="str">
        <f>IFERROR(__xludf.DUMMYFUNCTION("""COMPUTED_VALUE"""),"#REF!")</f>
        <v>#REF!</v>
      </c>
      <c r="BH279" s="296" t="str">
        <f>IFERROR(__xludf.DUMMYFUNCTION("""COMPUTED_VALUE"""),"#REF!")</f>
        <v>#REF!</v>
      </c>
      <c r="BI279" s="295">
        <f>IFERROR(__xludf.DUMMYFUNCTION("""COMPUTED_VALUE"""),179.0)</f>
        <v>179</v>
      </c>
      <c r="BJ279" s="292"/>
      <c r="BK279" s="346">
        <f>IFERROR(__xludf.DUMMYFUNCTION("""COMPUTED_VALUE"""),1878.0)</f>
        <v>1878</v>
      </c>
      <c r="BL279" s="292"/>
      <c r="BM279" s="292"/>
      <c r="BN279" s="292"/>
      <c r="BO279" s="292"/>
      <c r="BP279" s="292"/>
      <c r="BQ279" s="292"/>
      <c r="BR279" s="292" t="b">
        <f>IFERROR(__xludf.DUMMYFUNCTION("""COMPUTED_VALUE"""),FALSE)</f>
        <v>0</v>
      </c>
      <c r="BS279" s="292" t="b">
        <f>IFERROR(__xludf.DUMMYFUNCTION("""COMPUTED_VALUE"""),TRUE)</f>
        <v>1</v>
      </c>
      <c r="BT279" s="292"/>
      <c r="BU279" s="292"/>
      <c r="BV279" s="292"/>
      <c r="BW279" s="292"/>
    </row>
    <row r="280">
      <c r="A280" s="292" t="str">
        <f>IFERROR(__xludf.DUMMYFUNCTION("""COMPUTED_VALUE"""),"FE0890C")</f>
        <v>FE0890C</v>
      </c>
      <c r="B280" s="292" t="str">
        <f>IFERROR(__xludf.DUMMYFUNCTION("""COMPUTED_VALUE"""),"CON-40-143741-4")</f>
        <v>CON-40-143741-4</v>
      </c>
      <c r="C280" s="292" t="str">
        <f>IFERROR(__xludf.DUMMYFUNCTION("""COMPUTED_VALUE"""),"CON-00-147861-2")</f>
        <v>CON-00-147861-2</v>
      </c>
      <c r="D280" s="292" t="str">
        <f>IFERROR(__xludf.DUMMYFUNCTION("""COMPUTED_VALUE"""),"CON-00-136726-3")</f>
        <v>CON-00-136726-3</v>
      </c>
      <c r="E280" s="292" t="str">
        <f>IFERROR(__xludf.DUMMYFUNCTION("""COMPUTED_VALUE"""),"Pork tenderloin with apple-mustard sauce")</f>
        <v>Pork tenderloin with apple-mustard sauce</v>
      </c>
      <c r="F280" s="292" t="str">
        <f>IFERROR(__xludf.DUMMYFUNCTION("""COMPUTED_VALUE"""),"with sweet potato puree and green beans ")</f>
        <v>with sweet potato puree and green beans </v>
      </c>
      <c r="G280" s="292" t="str">
        <f>IFERROR(__xludf.DUMMYFUNCTION("""COMPUTED_VALUE"""),"Varkenshaas met appel-mosterdsaus")</f>
        <v>Varkenshaas met appel-mosterdsaus</v>
      </c>
      <c r="H280" s="292" t="str">
        <f>IFERROR(__xludf.DUMMYFUNCTION("""COMPUTED_VALUE"""),"met zoete aardappelpuree en sperziebonen ")</f>
        <v>met zoete aardappelpuree en sperziebonen </v>
      </c>
      <c r="I280" s="292" t="str">
        <f>IFERROR(__xludf.DUMMYFUNCTION("""COMPUTED_VALUE"""),"Svinemørbrad med æble-sennepssauce ")</f>
        <v>Svinemørbrad med æble-sennepssauce </v>
      </c>
      <c r="J280" s="292" t="str">
        <f>IFERROR(__xludf.DUMMYFUNCTION("""COMPUTED_VALUE"""),"Schweinefilet mit Apfel-Senf-Soße")</f>
        <v>Schweinefilet mit Apfel-Senf-Soße</v>
      </c>
      <c r="K280" s="292">
        <f>IFERROR(__xludf.DUMMYFUNCTION("""COMPUTED_VALUE"""),565304.0)</f>
        <v>565304</v>
      </c>
      <c r="L280" s="292" t="str">
        <f>IFERROR(__xludf.DUMMYFUNCTION("""COMPUTED_VALUE"""),"HF RW Varkenshaas appel moster")</f>
        <v>HF RW Varkenshaas appel moster</v>
      </c>
      <c r="M280" s="292" t="str">
        <f>IFERROR(__xludf.DUMMYFUNCTION("""COMPUTED_VALUE"""),"FA-NL Varkenshaas met appel-mosterdsaus (FE0890)")</f>
        <v>FA-NL Varkenshaas met appel-mosterdsaus (FE0890)</v>
      </c>
      <c r="N280" s="292" t="str">
        <f>IFERROR(__xludf.DUMMYFUNCTION("""COMPUTED_VALUE"""),"FA-NO Svinemørbrad med æble-sennepssauce (FE0890)")</f>
        <v>FA-NO Svinemørbrad med æble-sennepssauce (FE0890)</v>
      </c>
      <c r="O280" s="292" t="str">
        <f>IFERROR(__xludf.DUMMYFUNCTION("""COMPUTED_VALUE"""),"FA-DE Schweinefilet mit Apfel-Senf-Soße (FE0890)")</f>
        <v>FA-DE Schweinefilet mit Apfel-Senf-Soße (FE0890)</v>
      </c>
      <c r="P280" s="292" t="str">
        <f>IFERROR(__xludf.DUMMYFUNCTION("""COMPUTED_VALUE"""),"Active")</f>
        <v>Active</v>
      </c>
      <c r="Q280" s="292"/>
      <c r="R280" s="342">
        <f>IFERROR(__xludf.DUMMYFUNCTION("""COMPUTED_VALUE"""),4.39)</f>
        <v>4.39</v>
      </c>
      <c r="S280" s="292"/>
      <c r="T280" s="292"/>
      <c r="U280" s="292"/>
      <c r="V280" s="292"/>
      <c r="W280" s="292" t="b">
        <f>IFERROR(__xludf.DUMMYFUNCTION("""COMPUTED_VALUE"""),TRUE)</f>
        <v>1</v>
      </c>
      <c r="X280" s="345">
        <f>IFERROR(__xludf.DUMMYFUNCTION("""COMPUTED_VALUE"""),439.0)</f>
        <v>439</v>
      </c>
      <c r="Y280" s="344">
        <f>IFERROR(__xludf.DUMMYFUNCTION("""COMPUTED_VALUE"""),418.0)</f>
        <v>418</v>
      </c>
      <c r="Z280" s="343">
        <f>IFERROR(__xludf.DUMMYFUNCTION("""COMPUTED_VALUE"""),13.7)</f>
        <v>13.7</v>
      </c>
      <c r="AA280" s="344">
        <f>IFERROR(__xludf.DUMMYFUNCTION("""COMPUTED_VALUE"""),4.4)</f>
        <v>4.4</v>
      </c>
      <c r="AB280" s="344">
        <f>IFERROR(__xludf.DUMMYFUNCTION("""COMPUTED_VALUE"""),37.1)</f>
        <v>37.1</v>
      </c>
      <c r="AC280" s="344">
        <f>IFERROR(__xludf.DUMMYFUNCTION("""COMPUTED_VALUE"""),18.8)</f>
        <v>18.8</v>
      </c>
      <c r="AD280" s="344">
        <f>IFERROR(__xludf.DUMMYFUNCTION("""COMPUTED_VALUE"""),11.8)</f>
        <v>11.8</v>
      </c>
      <c r="AE280" s="343">
        <f>IFERROR(__xludf.DUMMYFUNCTION("""COMPUTED_VALUE"""),30.5)</f>
        <v>30.5</v>
      </c>
      <c r="AF280" s="343">
        <f>IFERROR(__xludf.DUMMYFUNCTION("""COMPUTED_VALUE"""),2.13)</f>
        <v>2.13</v>
      </c>
      <c r="AG280" s="292" t="b">
        <f>IFERROR(__xludf.DUMMYFUNCTION("""COMPUTED_VALUE"""),FALSE)</f>
        <v>0</v>
      </c>
      <c r="AH280" s="292" t="b">
        <f>IFERROR(__xludf.DUMMYFUNCTION("""COMPUTED_VALUE"""),FALSE)</f>
        <v>0</v>
      </c>
      <c r="AI280" s="292" t="b">
        <f>IFERROR(__xludf.DUMMYFUNCTION("""COMPUTED_VALUE"""),TRUE)</f>
        <v>1</v>
      </c>
      <c r="AJ280" s="292" t="b">
        <f>IFERROR(__xludf.DUMMYFUNCTION("""COMPUTED_VALUE"""),FALSE)</f>
        <v>0</v>
      </c>
      <c r="AK280" s="292" t="b">
        <f>IFERROR(__xludf.DUMMYFUNCTION("""COMPUTED_VALUE"""),FALSE)</f>
        <v>0</v>
      </c>
      <c r="AL280" s="292" t="b">
        <f>IFERROR(__xludf.DUMMYFUNCTION("""COMPUTED_VALUE"""),FALSE)</f>
        <v>0</v>
      </c>
      <c r="AM280" s="292" t="b">
        <f>IFERROR(__xludf.DUMMYFUNCTION("""COMPUTED_VALUE"""),TRUE)</f>
        <v>1</v>
      </c>
      <c r="AN280" s="292" t="b">
        <f>IFERROR(__xludf.DUMMYFUNCTION("""COMPUTED_VALUE"""),FALSE)</f>
        <v>0</v>
      </c>
      <c r="AO280" s="292" t="str">
        <f>IFERROR(__xludf.DUMMYFUNCTION("""COMPUTED_VALUE"""),"TRUE")</f>
        <v>TRUE</v>
      </c>
      <c r="AP280" s="292" t="str">
        <f>IFERROR(__xludf.DUMMYFUNCTION("""COMPUTED_VALUE"""),"Pork tenderloin")</f>
        <v>Pork tenderloin</v>
      </c>
      <c r="AQ280" s="292" t="str">
        <f>IFERROR(__xludf.DUMMYFUNCTION("""COMPUTED_VALUE"""),"Pork")</f>
        <v>Pork</v>
      </c>
      <c r="AR280" s="292" t="str">
        <f>IFERROR(__xludf.DUMMYFUNCTION("""COMPUTED_VALUE"""),"Tenderloin")</f>
        <v>Tenderloin</v>
      </c>
      <c r="AS280" s="292" t="str">
        <f>IFERROR(__xludf.DUMMYFUNCTION("""COMPUTED_VALUE"""),"Sweet Potato Mash")</f>
        <v>Sweet Potato Mash</v>
      </c>
      <c r="AT280" s="292" t="str">
        <f>IFERROR(__xludf.DUMMYFUNCTION("""COMPUTED_VALUE"""),"Green Beans")</f>
        <v>Green Beans</v>
      </c>
      <c r="AU280" s="292" t="str">
        <f>IFERROR(__xludf.DUMMYFUNCTION("""COMPUTED_VALUE"""),"Spinach")</f>
        <v>Spinach</v>
      </c>
      <c r="AV280" s="292" t="str">
        <f>IFERROR(__xludf.DUMMYFUNCTION("""COMPUTED_VALUE"""),"Cupped Sauce")</f>
        <v>Cupped Sauce</v>
      </c>
      <c r="AW280" s="292" t="str">
        <f>IFERROR(__xludf.DUMMYFUNCTION("""COMPUTED_VALUE"""),"Fall/Winter")</f>
        <v>Fall/Winter</v>
      </c>
      <c r="AX280" s="292" t="str">
        <f>IFERROR(__xludf.DUMMYFUNCTION("""COMPUTED_VALUE"""),"American")</f>
        <v>American</v>
      </c>
      <c r="AY280" s="292"/>
      <c r="AZ280" s="292" t="str">
        <f>IFERROR(__xludf.DUMMYFUNCTION("""COMPUTED_VALUE"""),"2 CT")</f>
        <v>2 CT</v>
      </c>
      <c r="BA280" s="292" t="b">
        <f>IFERROR(__xludf.DUMMYFUNCTION("""COMPUTED_VALUE"""),TRUE)</f>
        <v>1</v>
      </c>
      <c r="BB280" s="342">
        <f>IFERROR(__xludf.DUMMYFUNCTION("""COMPUTED_VALUE"""),2.36)</f>
        <v>2.36</v>
      </c>
      <c r="BC280" s="342">
        <f>IFERROR(__xludf.DUMMYFUNCTION("""COMPUTED_VALUE"""),1.6)</f>
        <v>1.6</v>
      </c>
      <c r="BD280" s="342">
        <f>IFERROR(__xludf.DUMMYFUNCTION("""COMPUTED_VALUE"""),0.43)</f>
        <v>0.43</v>
      </c>
      <c r="BE280" s="342">
        <f>IFERROR(__xludf.DUMMYFUNCTION("""COMPUTED_VALUE"""),0.89)</f>
        <v>0.89</v>
      </c>
      <c r="BF280" s="296" t="str">
        <f>IFERROR(__xludf.DUMMYFUNCTION("""COMPUTED_VALUE"""),"#REF!")</f>
        <v>#REF!</v>
      </c>
      <c r="BG280" s="296" t="str">
        <f>IFERROR(__xludf.DUMMYFUNCTION("""COMPUTED_VALUE"""),"#REF!")</f>
        <v>#REF!</v>
      </c>
      <c r="BH280" s="296" t="str">
        <f>IFERROR(__xludf.DUMMYFUNCTION("""COMPUTED_VALUE"""),"#REF!")</f>
        <v>#REF!</v>
      </c>
      <c r="BI280" s="295">
        <f>IFERROR(__xludf.DUMMYFUNCTION("""COMPUTED_VALUE"""),165.0)</f>
        <v>165</v>
      </c>
      <c r="BJ280" s="292"/>
      <c r="BK280" s="346">
        <f>IFERROR(__xludf.DUMMYFUNCTION("""COMPUTED_VALUE"""),1747.0)</f>
        <v>1747</v>
      </c>
      <c r="BL280" s="292"/>
      <c r="BM280" s="292"/>
      <c r="BN280" s="292"/>
      <c r="BO280" s="292"/>
      <c r="BP280" s="292"/>
      <c r="BQ280" s="292"/>
      <c r="BR280" s="292" t="b">
        <f>IFERROR(__xludf.DUMMYFUNCTION("""COMPUTED_VALUE"""),FALSE)</f>
        <v>0</v>
      </c>
      <c r="BS280" s="292" t="b">
        <f>IFERROR(__xludf.DUMMYFUNCTION("""COMPUTED_VALUE"""),FALSE)</f>
        <v>0</v>
      </c>
      <c r="BT280" s="292"/>
      <c r="BU280" s="292"/>
      <c r="BV280" s="292"/>
      <c r="BW280" s="292"/>
    </row>
    <row r="281">
      <c r="A281" s="292" t="str">
        <f>IFERROR(__xludf.DUMMYFUNCTION("""COMPUTED_VALUE"""),"FE0121D")</f>
        <v>FE0121D</v>
      </c>
      <c r="B281" s="292" t="str">
        <f>IFERROR(__xludf.DUMMYFUNCTION("""COMPUTED_VALUE"""),"CON-40-143697-4")</f>
        <v>CON-40-143697-4</v>
      </c>
      <c r="C281" s="292" t="str">
        <f>IFERROR(__xludf.DUMMYFUNCTION("""COMPUTED_VALUE"""),"CON-00-147818-2")</f>
        <v>CON-00-147818-2</v>
      </c>
      <c r="D281" s="292" t="str">
        <f>IFERROR(__xludf.DUMMYFUNCTION("""COMPUTED_VALUE"""),"CON-00-136641-3")</f>
        <v>CON-00-136641-3</v>
      </c>
      <c r="E281" s="292" t="str">
        <f>IFERROR(__xludf.DUMMYFUNCTION("""COMPUTED_VALUE"""),"Mexican style corn cake")</f>
        <v>Mexican style corn cake</v>
      </c>
      <c r="F281" s="292" t="str">
        <f>IFERROR(__xludf.DUMMYFUNCTION("""COMPUTED_VALUE"""),"with vegetarian chili, sweet potato and jalapeño cream")</f>
        <v>with vegetarian chili, sweet potato and jalapeño cream</v>
      </c>
      <c r="G281" s="292" t="str">
        <f>IFERROR(__xludf.DUMMYFUNCTION("""COMPUTED_VALUE"""),"Mexicaanse stijl maïscake")</f>
        <v>Mexicaanse stijl maïscake</v>
      </c>
      <c r="H281" s="292" t="str">
        <f>IFERROR(__xludf.DUMMYFUNCTION("""COMPUTED_VALUE"""),"met vegetarische chili, zoete aardappel en jalapeño-crème")</f>
        <v>met vegetarische chili, zoete aardappel en jalapeño-crème</v>
      </c>
      <c r="I281" s="292" t="str">
        <f>IFERROR(__xludf.DUMMYFUNCTION("""COMPUTED_VALUE"""),"Mexicansk-inspireret majskage")</f>
        <v>Mexicansk-inspireret majskage</v>
      </c>
      <c r="J281" s="292" t="str">
        <f>IFERROR(__xludf.DUMMYFUNCTION("""COMPUTED_VALUE"""),"Mexikanischer Maiskuchen")</f>
        <v>Mexikanischer Maiskuchen</v>
      </c>
      <c r="K281" s="292">
        <f>IFERROR(__xludf.DUMMYFUNCTION("""COMPUTED_VALUE"""),565299.0)</f>
        <v>565299</v>
      </c>
      <c r="L281" s="292" t="str">
        <f>IFERROR(__xludf.DUMMYFUNCTION("""COMPUTED_VALUE"""),"HF RW Mexcaanse stijl maiscake")</f>
        <v>HF RW Mexcaanse stijl maiscake</v>
      </c>
      <c r="M281" s="292" t="str">
        <f>IFERROR(__xludf.DUMMYFUNCTION("""COMPUTED_VALUE"""),"FA-NL Mexicaanse stijl maïscake [FE0121]")</f>
        <v>FA-NL Mexicaanse stijl maïscake [FE0121]</v>
      </c>
      <c r="N281" s="292" t="str">
        <f>IFERROR(__xludf.DUMMYFUNCTION("""COMPUTED_VALUE"""),"FA-NO Mexicansk majskage (FE0121)")</f>
        <v>FA-NO Mexicansk majskage (FE0121)</v>
      </c>
      <c r="O281" s="292" t="str">
        <f>IFERROR(__xludf.DUMMYFUNCTION("""COMPUTED_VALUE"""),"FA-DE Mexikanische Mais-Bowl (FE0121)")</f>
        <v>FA-DE Mexikanische Mais-Bowl (FE0121)</v>
      </c>
      <c r="P281" s="292" t="str">
        <f>IFERROR(__xludf.DUMMYFUNCTION("""COMPUTED_VALUE"""),"Active")</f>
        <v>Active</v>
      </c>
      <c r="Q281" s="292"/>
      <c r="R281" s="342">
        <f>IFERROR(__xludf.DUMMYFUNCTION("""COMPUTED_VALUE"""),3.42)</f>
        <v>3.42</v>
      </c>
      <c r="S281" s="292"/>
      <c r="T281" s="292"/>
      <c r="U281" s="292"/>
      <c r="V281" s="292"/>
      <c r="W281" s="292" t="b">
        <f>IFERROR(__xludf.DUMMYFUNCTION("""COMPUTED_VALUE"""),TRUE)</f>
        <v>1</v>
      </c>
      <c r="X281" s="345">
        <f>IFERROR(__xludf.DUMMYFUNCTION("""COMPUTED_VALUE"""),390.0)</f>
        <v>390</v>
      </c>
      <c r="Y281" s="344">
        <f>IFERROR(__xludf.DUMMYFUNCTION("""COMPUTED_VALUE"""),572.0)</f>
        <v>572</v>
      </c>
      <c r="Z281" s="343">
        <f>IFERROR(__xludf.DUMMYFUNCTION("""COMPUTED_VALUE"""),27.5)</f>
        <v>27.5</v>
      </c>
      <c r="AA281" s="344">
        <f>IFERROR(__xludf.DUMMYFUNCTION("""COMPUTED_VALUE"""),9.9)</f>
        <v>9.9</v>
      </c>
      <c r="AB281" s="344">
        <f>IFERROR(__xludf.DUMMYFUNCTION("""COMPUTED_VALUE"""),61.1)</f>
        <v>61.1</v>
      </c>
      <c r="AC281" s="344">
        <f>IFERROR(__xludf.DUMMYFUNCTION("""COMPUTED_VALUE"""),21.6)</f>
        <v>21.6</v>
      </c>
      <c r="AD281" s="344">
        <f>IFERROR(__xludf.DUMMYFUNCTION("""COMPUTED_VALUE"""),14.2)</f>
        <v>14.2</v>
      </c>
      <c r="AE281" s="343">
        <f>IFERROR(__xludf.DUMMYFUNCTION("""COMPUTED_VALUE"""),15.7)</f>
        <v>15.7</v>
      </c>
      <c r="AF281" s="343">
        <f>IFERROR(__xludf.DUMMYFUNCTION("""COMPUTED_VALUE"""),2.24)</f>
        <v>2.24</v>
      </c>
      <c r="AG281" s="292" t="b">
        <f>IFERROR(__xludf.DUMMYFUNCTION("""COMPUTED_VALUE"""),TRUE)</f>
        <v>1</v>
      </c>
      <c r="AH281" s="292" t="b">
        <f>IFERROR(__xludf.DUMMYFUNCTION("""COMPUTED_VALUE"""),FALSE)</f>
        <v>0</v>
      </c>
      <c r="AI281" s="292" t="b">
        <f>IFERROR(__xludf.DUMMYFUNCTION("""COMPUTED_VALUE"""),FALSE)</f>
        <v>0</v>
      </c>
      <c r="AJ281" s="292" t="b">
        <f>IFERROR(__xludf.DUMMYFUNCTION("""COMPUTED_VALUE"""),FALSE)</f>
        <v>0</v>
      </c>
      <c r="AK281" s="292" t="b">
        <f>IFERROR(__xludf.DUMMYFUNCTION("""COMPUTED_VALUE"""),TRUE)</f>
        <v>1</v>
      </c>
      <c r="AL281" s="292" t="b">
        <f>IFERROR(__xludf.DUMMYFUNCTION("""COMPUTED_VALUE"""),FALSE)</f>
        <v>0</v>
      </c>
      <c r="AM281" s="292" t="b">
        <f>IFERROR(__xludf.DUMMYFUNCTION("""COMPUTED_VALUE"""),FALSE)</f>
        <v>0</v>
      </c>
      <c r="AN281" s="292" t="b">
        <f>IFERROR(__xludf.DUMMYFUNCTION("""COMPUTED_VALUE"""),FALSE)</f>
        <v>0</v>
      </c>
      <c r="AO281" s="292" t="str">
        <f>IFERROR(__xludf.DUMMYFUNCTION("""COMPUTED_VALUE"""),"TRUE")</f>
        <v>TRUE</v>
      </c>
      <c r="AP281" s="292" t="str">
        <f>IFERROR(__xludf.DUMMYFUNCTION("""COMPUTED_VALUE"""),"Vegetarian")</f>
        <v>Vegetarian</v>
      </c>
      <c r="AQ281" s="292" t="str">
        <f>IFERROR(__xludf.DUMMYFUNCTION("""COMPUTED_VALUE"""),"Vegetarian")</f>
        <v>Vegetarian</v>
      </c>
      <c r="AR281" s="292" t="str">
        <f>IFERROR(__xludf.DUMMYFUNCTION("""COMPUTED_VALUE"""),"Legumes")</f>
        <v>Legumes</v>
      </c>
      <c r="AS281" s="292" t="str">
        <f>IFERROR(__xludf.DUMMYFUNCTION("""COMPUTED_VALUE"""),"Veggie-based Cake")</f>
        <v>Veggie-based Cake</v>
      </c>
      <c r="AT281" s="292" t="str">
        <f>IFERROR(__xludf.DUMMYFUNCTION("""COMPUTED_VALUE"""),"Mixed Beans")</f>
        <v>Mixed Beans</v>
      </c>
      <c r="AU281" s="292" t="str">
        <f>IFERROR(__xludf.DUMMYFUNCTION("""COMPUTED_VALUE"""),"Sweet Potato")</f>
        <v>Sweet Potato</v>
      </c>
      <c r="AV281" s="292" t="str">
        <f>IFERROR(__xludf.DUMMYFUNCTION("""COMPUTED_VALUE"""),"Pepper Mix")</f>
        <v>Pepper Mix</v>
      </c>
      <c r="AW281" s="292" t="str">
        <f>IFERROR(__xludf.DUMMYFUNCTION("""COMPUTED_VALUE"""),"Year Round")</f>
        <v>Year Round</v>
      </c>
      <c r="AX281" s="292" t="str">
        <f>IFERROR(__xludf.DUMMYFUNCTION("""COMPUTED_VALUE"""),"Mexican")</f>
        <v>Mexican</v>
      </c>
      <c r="AY281" s="292"/>
      <c r="AZ281" s="292" t="str">
        <f>IFERROR(__xludf.DUMMYFUNCTION("""COMPUTED_VALUE"""),"2 CT")</f>
        <v>2 CT</v>
      </c>
      <c r="BA281" s="292" t="b">
        <f>IFERROR(__xludf.DUMMYFUNCTION("""COMPUTED_VALUE"""),TRUE)</f>
        <v>1</v>
      </c>
      <c r="BB281" s="342">
        <f>IFERROR(__xludf.DUMMYFUNCTION("""COMPUTED_VALUE"""),1.4)</f>
        <v>1.4</v>
      </c>
      <c r="BC281" s="342">
        <f>IFERROR(__xludf.DUMMYFUNCTION("""COMPUTED_VALUE"""),1.59)</f>
        <v>1.59</v>
      </c>
      <c r="BD281" s="342">
        <f>IFERROR(__xludf.DUMMYFUNCTION("""COMPUTED_VALUE"""),0.43)</f>
        <v>0.43</v>
      </c>
      <c r="BE281" s="342">
        <f>IFERROR(__xludf.DUMMYFUNCTION("""COMPUTED_VALUE"""),0.89)</f>
        <v>0.89</v>
      </c>
      <c r="BF281" s="296" t="str">
        <f>IFERROR(__xludf.DUMMYFUNCTION("""COMPUTED_VALUE"""),"#REF!")</f>
        <v>#REF!</v>
      </c>
      <c r="BG281" s="296" t="str">
        <f>IFERROR(__xludf.DUMMYFUNCTION("""COMPUTED_VALUE"""),"#REF!")</f>
        <v>#REF!</v>
      </c>
      <c r="BH281" s="296" t="str">
        <f>IFERROR(__xludf.DUMMYFUNCTION("""COMPUTED_VALUE"""),"#REF!")</f>
        <v>#REF!</v>
      </c>
      <c r="BI281" s="295">
        <f>IFERROR(__xludf.DUMMYFUNCTION("""COMPUTED_VALUE"""),140.0)</f>
        <v>140</v>
      </c>
      <c r="BJ281" s="292"/>
      <c r="BK281" s="346">
        <f>IFERROR(__xludf.DUMMYFUNCTION("""COMPUTED_VALUE"""),2391.0)</f>
        <v>2391</v>
      </c>
      <c r="BL281" s="292"/>
      <c r="BM281" s="292"/>
      <c r="BN281" s="292"/>
      <c r="BO281" s="292"/>
      <c r="BP281" s="292"/>
      <c r="BQ281" s="292"/>
      <c r="BR281" s="292" t="b">
        <f>IFERROR(__xludf.DUMMYFUNCTION("""COMPUTED_VALUE"""),FALSE)</f>
        <v>0</v>
      </c>
      <c r="BS281" s="292" t="b">
        <f>IFERROR(__xludf.DUMMYFUNCTION("""COMPUTED_VALUE"""),FALSE)</f>
        <v>0</v>
      </c>
      <c r="BT281" s="292"/>
      <c r="BU281" s="292"/>
      <c r="BV281" s="292"/>
      <c r="BW281" s="292"/>
    </row>
    <row r="282">
      <c r="A282" s="292" t="str">
        <f>IFERROR(__xludf.DUMMYFUNCTION("""COMPUTED_VALUE"""),"FE1696A")</f>
        <v>FE1696A</v>
      </c>
      <c r="B282" s="292" t="str">
        <f>IFERROR(__xludf.DUMMYFUNCTION("""COMPUTED_VALUE"""),"")</f>
        <v/>
      </c>
      <c r="C282" s="292"/>
      <c r="D282" s="292"/>
      <c r="E282" s="292" t="str">
        <f>IFERROR(__xludf.DUMMYFUNCTION("""COMPUTED_VALUE"""),"Tunisian-Spiced Tomato &amp; Chicken Bowl")</f>
        <v>Tunisian-Spiced Tomato &amp; Chicken Bowl</v>
      </c>
      <c r="F282" s="292" t="str">
        <f>IFERROR(__xludf.DUMMYFUNCTION("""COMPUTED_VALUE"""),"with Zucchini, Carrots &amp; Peppers")</f>
        <v>with Zucchini, Carrots &amp; Peppers</v>
      </c>
      <c r="G282" s="292"/>
      <c r="H282" s="292"/>
      <c r="I282" s="292" t="str">
        <f>IFERROR(__xludf.DUMMYFUNCTION("""COMPUTED_VALUE"""),"#N/A")</f>
        <v>#N/A</v>
      </c>
      <c r="J282" s="292"/>
      <c r="K282" s="292">
        <f>IFERROR(__xludf.DUMMYFUNCTION("""COMPUTED_VALUE"""),565279.0)</f>
        <v>565279</v>
      </c>
      <c r="L282" s="292" t="str">
        <f>IFERROR(__xludf.DUMMYFUNCTION("""COMPUTED_VALUE"""),"HF Tunesische rijst kip bowl")</f>
        <v>HF Tunesische rijst kip bowl</v>
      </c>
      <c r="M282" s="292" t="str">
        <f>IFERROR(__xludf.DUMMYFUNCTION("""COMPUTED_VALUE"""),"#N/A")</f>
        <v>#N/A</v>
      </c>
      <c r="N282" s="292" t="str">
        <f>IFERROR(__xludf.DUMMYFUNCTION("""COMPUTED_VALUE"""),"#N/A")</f>
        <v>#N/A</v>
      </c>
      <c r="O282" s="292" t="str">
        <f>IFERROR(__xludf.DUMMYFUNCTION("""COMPUTED_VALUE"""),"#N/A")</f>
        <v>#N/A</v>
      </c>
      <c r="P282" s="292" t="str">
        <f>IFERROR(__xludf.DUMMYFUNCTION("""COMPUTED_VALUE"""),"Active")</f>
        <v>Active</v>
      </c>
      <c r="Q282" s="292"/>
      <c r="R282" s="342">
        <f>IFERROR(__xludf.DUMMYFUNCTION("""COMPUTED_VALUE"""),5.06)</f>
        <v>5.06</v>
      </c>
      <c r="S282" s="292"/>
      <c r="T282" s="292"/>
      <c r="U282" s="292"/>
      <c r="V282" s="292"/>
      <c r="W282" s="292" t="b">
        <f>IFERROR(__xludf.DUMMYFUNCTION("""COMPUTED_VALUE"""),TRUE)</f>
        <v>1</v>
      </c>
      <c r="X282" s="345">
        <f>IFERROR(__xludf.DUMMYFUNCTION("""COMPUTED_VALUE"""),409.0)</f>
        <v>409</v>
      </c>
      <c r="Y282" s="344">
        <f>IFERROR(__xludf.DUMMYFUNCTION("""COMPUTED_VALUE"""),456.0)</f>
        <v>456</v>
      </c>
      <c r="Z282" s="343">
        <f>IFERROR(__xludf.DUMMYFUNCTION("""COMPUTED_VALUE"""),19.7)</f>
        <v>19.7</v>
      </c>
      <c r="AA282" s="344">
        <f>IFERROR(__xludf.DUMMYFUNCTION("""COMPUTED_VALUE"""),3.2)</f>
        <v>3.2</v>
      </c>
      <c r="AB282" s="344">
        <f>IFERROR(__xludf.DUMMYFUNCTION("""COMPUTED_VALUE"""),34.0)</f>
        <v>34</v>
      </c>
      <c r="AC282" s="344">
        <f>IFERROR(__xludf.DUMMYFUNCTION("""COMPUTED_VALUE"""),14.8)</f>
        <v>14.8</v>
      </c>
      <c r="AD282" s="344">
        <f>IFERROR(__xludf.DUMMYFUNCTION("""COMPUTED_VALUE"""),9.9)</f>
        <v>9.9</v>
      </c>
      <c r="AE282" s="343">
        <f>IFERROR(__xludf.DUMMYFUNCTION("""COMPUTED_VALUE"""),31.8)</f>
        <v>31.8</v>
      </c>
      <c r="AF282" s="343">
        <f>IFERROR(__xludf.DUMMYFUNCTION("""COMPUTED_VALUE"""),1.8)</f>
        <v>1.8</v>
      </c>
      <c r="AG282" s="292" t="b">
        <f>IFERROR(__xludf.DUMMYFUNCTION("""COMPUTED_VALUE"""),FALSE)</f>
        <v>0</v>
      </c>
      <c r="AH282" s="292" t="b">
        <f>IFERROR(__xludf.DUMMYFUNCTION("""COMPUTED_VALUE"""),FALSE)</f>
        <v>0</v>
      </c>
      <c r="AI282" s="292" t="b">
        <f>IFERROR(__xludf.DUMMYFUNCTION("""COMPUTED_VALUE"""),TRUE)</f>
        <v>1</v>
      </c>
      <c r="AJ282" s="292" t="b">
        <f>IFERROR(__xludf.DUMMYFUNCTION("""COMPUTED_VALUE"""),FALSE)</f>
        <v>0</v>
      </c>
      <c r="AK282" s="292" t="b">
        <f>IFERROR(__xludf.DUMMYFUNCTION("""COMPUTED_VALUE"""),FALSE)</f>
        <v>0</v>
      </c>
      <c r="AL282" s="292" t="b">
        <f>IFERROR(__xludf.DUMMYFUNCTION("""COMPUTED_VALUE"""),FALSE)</f>
        <v>0</v>
      </c>
      <c r="AM282" s="292" t="b">
        <f>IFERROR(__xludf.DUMMYFUNCTION("""COMPUTED_VALUE"""),TRUE)</f>
        <v>1</v>
      </c>
      <c r="AN282" s="292" t="b">
        <f>IFERROR(__xludf.DUMMYFUNCTION("""COMPUTED_VALUE"""),TRUE)</f>
        <v>1</v>
      </c>
      <c r="AO282" s="292" t="str">
        <f>IFERROR(__xludf.DUMMYFUNCTION("""COMPUTED_VALUE"""),"TRUE")</f>
        <v>TRUE</v>
      </c>
      <c r="AP282" s="292" t="str">
        <f>IFERROR(__xludf.DUMMYFUNCTION("""COMPUTED_VALUE"""),"Diced chicken")</f>
        <v>Diced chicken</v>
      </c>
      <c r="AQ282" s="292" t="str">
        <f>IFERROR(__xludf.DUMMYFUNCTION("""COMPUTED_VALUE"""),"Chicken")</f>
        <v>Chicken</v>
      </c>
      <c r="AR282" s="292" t="str">
        <f>IFERROR(__xludf.DUMMYFUNCTION("""COMPUTED_VALUE"""),"Pieces")</f>
        <v>Pieces</v>
      </c>
      <c r="AS282" s="292" t="str">
        <f>IFERROR(__xludf.DUMMYFUNCTION("""COMPUTED_VALUE"""),"Rice")</f>
        <v>Rice</v>
      </c>
      <c r="AT282" s="292" t="str">
        <f>IFERROR(__xludf.DUMMYFUNCTION("""COMPUTED_VALUE"""),"Carrots")</f>
        <v>Carrots</v>
      </c>
      <c r="AU282" s="292" t="str">
        <f>IFERROR(__xludf.DUMMYFUNCTION("""COMPUTED_VALUE"""),"Zucchini Diced")</f>
        <v>Zucchini Diced</v>
      </c>
      <c r="AV282" s="292" t="str">
        <f>IFERROR(__xludf.DUMMYFUNCTION("""COMPUTED_VALUE"""),"Tomato Based Sauce")</f>
        <v>Tomato Based Sauce</v>
      </c>
      <c r="AW282" s="292" t="str">
        <f>IFERROR(__xludf.DUMMYFUNCTION("""COMPUTED_VALUE"""),"Year Round")</f>
        <v>Year Round</v>
      </c>
      <c r="AX282" s="292" t="str">
        <f>IFERROR(__xludf.DUMMYFUNCTION("""COMPUTED_VALUE"""),"Tunisian")</f>
        <v>Tunisian</v>
      </c>
      <c r="AY282" s="292"/>
      <c r="AZ282" s="292" t="str">
        <f>IFERROR(__xludf.DUMMYFUNCTION("""COMPUTED_VALUE"""),"2 CT")</f>
        <v>2 CT</v>
      </c>
      <c r="BA282" s="292" t="b">
        <f>IFERROR(__xludf.DUMMYFUNCTION("""COMPUTED_VALUE"""),FALSE)</f>
        <v>0</v>
      </c>
      <c r="BB282" s="342">
        <f>IFERROR(__xludf.DUMMYFUNCTION("""COMPUTED_VALUE"""),2.88)</f>
        <v>2.88</v>
      </c>
      <c r="BC282" s="342">
        <f>IFERROR(__xludf.DUMMYFUNCTION("""COMPUTED_VALUE"""),1.77)</f>
        <v>1.77</v>
      </c>
      <c r="BD282" s="342">
        <f>IFERROR(__xludf.DUMMYFUNCTION("""COMPUTED_VALUE"""),0.4)</f>
        <v>0.4</v>
      </c>
      <c r="BE282" s="342">
        <f>IFERROR(__xludf.DUMMYFUNCTION("""COMPUTED_VALUE"""),0.89)</f>
        <v>0.89</v>
      </c>
      <c r="BF282" s="296" t="str">
        <f>IFERROR(__xludf.DUMMYFUNCTION("""COMPUTED_VALUE"""),"#REF!")</f>
        <v>#REF!</v>
      </c>
      <c r="BG282" s="296" t="str">
        <f>IFERROR(__xludf.DUMMYFUNCTION("""COMPUTED_VALUE"""),"#REF!")</f>
        <v>#REF!</v>
      </c>
      <c r="BH282" s="296" t="str">
        <f>IFERROR(__xludf.DUMMYFUNCTION("""COMPUTED_VALUE"""),"#REF!")</f>
        <v>#REF!</v>
      </c>
      <c r="BI282" s="295">
        <f>IFERROR(__xludf.DUMMYFUNCTION("""COMPUTED_VALUE"""),199.0)</f>
        <v>199</v>
      </c>
      <c r="BJ282" s="292"/>
      <c r="BK282" s="346">
        <f>IFERROR(__xludf.DUMMYFUNCTION("""COMPUTED_VALUE"""),1905.0)</f>
        <v>1905</v>
      </c>
      <c r="BL282" s="292"/>
      <c r="BM282" s="292"/>
      <c r="BN282" s="292"/>
      <c r="BO282" s="292"/>
      <c r="BP282" s="292"/>
      <c r="BQ282" s="292"/>
      <c r="BR282" s="292" t="b">
        <f>IFERROR(__xludf.DUMMYFUNCTION("""COMPUTED_VALUE"""),FALSE)</f>
        <v>0</v>
      </c>
      <c r="BS282" s="292" t="b">
        <f>IFERROR(__xludf.DUMMYFUNCTION("""COMPUTED_VALUE"""),TRUE)</f>
        <v>1</v>
      </c>
      <c r="BT282" s="292"/>
      <c r="BU282" s="292"/>
      <c r="BV282" s="292"/>
      <c r="BW282" s="292"/>
    </row>
    <row r="283">
      <c r="A283" s="292" t="str">
        <f>IFERROR(__xludf.DUMMYFUNCTION("""COMPUTED_VALUE"""),"FE0628C")</f>
        <v>FE0628C</v>
      </c>
      <c r="B283" s="292" t="str">
        <f>IFERROR(__xludf.DUMMYFUNCTION("""COMPUTED_VALUE"""),"CON-40-143677-4")</f>
        <v>CON-40-143677-4</v>
      </c>
      <c r="C283" s="292" t="str">
        <f>IFERROR(__xludf.DUMMYFUNCTION("""COMPUTED_VALUE"""),"CON-00-147853-2")</f>
        <v>CON-00-147853-2</v>
      </c>
      <c r="D283" s="292" t="str">
        <f>IFERROR(__xludf.DUMMYFUNCTION("""COMPUTED_VALUE"""),"CON-00-138294-2")</f>
        <v>CON-00-138294-2</v>
      </c>
      <c r="E283" s="292" t="str">
        <f>IFERROR(__xludf.DUMMYFUNCTION("""COMPUTED_VALUE"""),"Mushroom Chicken &amp; Rice")</f>
        <v>Mushroom Chicken &amp; Rice</v>
      </c>
      <c r="F283" s="292" t="str">
        <f>IFERROR(__xludf.DUMMYFUNCTION("""COMPUTED_VALUE"""),"with cheese and garlic green beans")</f>
        <v>with cheese and garlic green beans</v>
      </c>
      <c r="G283" s="292" t="str">
        <f>IFERROR(__xludf.DUMMYFUNCTION("""COMPUTED_VALUE"""),"Kip met champignons &amp; rijst")</f>
        <v>Kip met champignons &amp; rijst</v>
      </c>
      <c r="H283" s="292" t="str">
        <f>IFERROR(__xludf.DUMMYFUNCTION("""COMPUTED_VALUE"""),"met kaas en knoflook-sperziebonen")</f>
        <v>met kaas en knoflook-sperziebonen</v>
      </c>
      <c r="I283" s="292" t="str">
        <f>IFERROR(__xludf.DUMMYFUNCTION("""COMPUTED_VALUE"""),"Kylling med svampe og ris ")</f>
        <v>Kylling med svampe og ris </v>
      </c>
      <c r="J283" s="292" t="str">
        <f>IFERROR(__xludf.DUMMYFUNCTION("""COMPUTED_VALUE"""),"Hähnchen mit Pilzen &amp; Reis")</f>
        <v>Hähnchen mit Pilzen &amp; Reis</v>
      </c>
      <c r="K283" s="292">
        <f>IFERROR(__xludf.DUMMYFUNCTION("""COMPUTED_VALUE"""),565135.0)</f>
        <v>565135</v>
      </c>
      <c r="L283" s="292" t="str">
        <f>IFERROR(__xludf.DUMMYFUNCTION("""COMPUTED_VALUE"""),"HF Kip met champig wilde rijst")</f>
        <v>HF Kip met champig wilde rijst</v>
      </c>
      <c r="M283" s="292" t="str">
        <f>IFERROR(__xludf.DUMMYFUNCTION("""COMPUTED_VALUE"""),"FA-NL Kip met champignons &amp; rijst (FE0628)")</f>
        <v>FA-NL Kip met champignons &amp; rijst (FE0628)</v>
      </c>
      <c r="N283" s="292" t="str">
        <f>IFERROR(__xludf.DUMMYFUNCTION("""COMPUTED_VALUE"""),"FA-NO Kylling med svampe og ris (FE0628)")</f>
        <v>FA-NO Kylling med svampe og ris (FE0628)</v>
      </c>
      <c r="O283" s="292" t="str">
        <f>IFERROR(__xludf.DUMMYFUNCTION("""COMPUTED_VALUE"""),"FA-DE Hähnchen mit Champignons und Reis (FE0628)")</f>
        <v>FA-DE Hähnchen mit Champignons und Reis (FE0628)</v>
      </c>
      <c r="P283" s="292" t="str">
        <f>IFERROR(__xludf.DUMMYFUNCTION("""COMPUTED_VALUE"""),"Active")</f>
        <v>Active</v>
      </c>
      <c r="Q283" s="292"/>
      <c r="R283" s="342">
        <f>IFERROR(__xludf.DUMMYFUNCTION("""COMPUTED_VALUE"""),4.77)</f>
        <v>4.77</v>
      </c>
      <c r="S283" s="292"/>
      <c r="T283" s="292"/>
      <c r="U283" s="292"/>
      <c r="V283" s="292"/>
      <c r="W283" s="292" t="b">
        <f>IFERROR(__xludf.DUMMYFUNCTION("""COMPUTED_VALUE"""),TRUE)</f>
        <v>1</v>
      </c>
      <c r="X283" s="345">
        <f>IFERROR(__xludf.DUMMYFUNCTION("""COMPUTED_VALUE"""),419.0)</f>
        <v>419</v>
      </c>
      <c r="Y283" s="344">
        <f>IFERROR(__xludf.DUMMYFUNCTION("""COMPUTED_VALUE"""),483.0)</f>
        <v>483</v>
      </c>
      <c r="Z283" s="343">
        <f>IFERROR(__xludf.DUMMYFUNCTION("""COMPUTED_VALUE"""),21.2)</f>
        <v>21.2</v>
      </c>
      <c r="AA283" s="344">
        <f>IFERROR(__xludf.DUMMYFUNCTION("""COMPUTED_VALUE"""),7.4)</f>
        <v>7.4</v>
      </c>
      <c r="AB283" s="344">
        <f>IFERROR(__xludf.DUMMYFUNCTION("""COMPUTED_VALUE"""),34.4)</f>
        <v>34.4</v>
      </c>
      <c r="AC283" s="344">
        <f>IFERROR(__xludf.DUMMYFUNCTION("""COMPUTED_VALUE"""),5.0)</f>
        <v>5</v>
      </c>
      <c r="AD283" s="344">
        <f>IFERROR(__xludf.DUMMYFUNCTION("""COMPUTED_VALUE"""),9.1)</f>
        <v>9.1</v>
      </c>
      <c r="AE283" s="343">
        <f>IFERROR(__xludf.DUMMYFUNCTION("""COMPUTED_VALUE"""),34.6)</f>
        <v>34.6</v>
      </c>
      <c r="AF283" s="343">
        <f>IFERROR(__xludf.DUMMYFUNCTION("""COMPUTED_VALUE"""),2.21)</f>
        <v>2.21</v>
      </c>
      <c r="AG283" s="292" t="b">
        <f>IFERROR(__xludf.DUMMYFUNCTION("""COMPUTED_VALUE"""),FALSE)</f>
        <v>0</v>
      </c>
      <c r="AH283" s="292" t="b">
        <f>IFERROR(__xludf.DUMMYFUNCTION("""COMPUTED_VALUE"""),FALSE)</f>
        <v>0</v>
      </c>
      <c r="AI283" s="292" t="b">
        <f>IFERROR(__xludf.DUMMYFUNCTION("""COMPUTED_VALUE"""),TRUE)</f>
        <v>1</v>
      </c>
      <c r="AJ283" s="292" t="b">
        <f>IFERROR(__xludf.DUMMYFUNCTION("""COMPUTED_VALUE"""),FALSE)</f>
        <v>0</v>
      </c>
      <c r="AK283" s="292" t="b">
        <f>IFERROR(__xludf.DUMMYFUNCTION("""COMPUTED_VALUE"""),FALSE)</f>
        <v>0</v>
      </c>
      <c r="AL283" s="292" t="b">
        <f>IFERROR(__xludf.DUMMYFUNCTION("""COMPUTED_VALUE"""),FALSE)</f>
        <v>0</v>
      </c>
      <c r="AM283" s="292" t="b">
        <f>IFERROR(__xludf.DUMMYFUNCTION("""COMPUTED_VALUE"""),TRUE)</f>
        <v>1</v>
      </c>
      <c r="AN283" s="292" t="b">
        <f>IFERROR(__xludf.DUMMYFUNCTION("""COMPUTED_VALUE"""),FALSE)</f>
        <v>0</v>
      </c>
      <c r="AO283" s="292" t="str">
        <f>IFERROR(__xludf.DUMMYFUNCTION("""COMPUTED_VALUE"""),"TRUE")</f>
        <v>TRUE</v>
      </c>
      <c r="AP283" s="292" t="str">
        <f>IFERROR(__xludf.DUMMYFUNCTION("""COMPUTED_VALUE"""),"Chicken breast")</f>
        <v>Chicken breast</v>
      </c>
      <c r="AQ283" s="292" t="str">
        <f>IFERROR(__xludf.DUMMYFUNCTION("""COMPUTED_VALUE"""),"Chicken")</f>
        <v>Chicken</v>
      </c>
      <c r="AR283" s="292" t="str">
        <f>IFERROR(__xludf.DUMMYFUNCTION("""COMPUTED_VALUE"""),"Breast")</f>
        <v>Breast</v>
      </c>
      <c r="AS283" s="292" t="str">
        <f>IFERROR(__xludf.DUMMYFUNCTION("""COMPUTED_VALUE"""),"Rice")</f>
        <v>Rice</v>
      </c>
      <c r="AT283" s="292" t="str">
        <f>IFERROR(__xludf.DUMMYFUNCTION("""COMPUTED_VALUE"""),"Mushrooms")</f>
        <v>Mushrooms</v>
      </c>
      <c r="AU283" s="292" t="str">
        <f>IFERROR(__xludf.DUMMYFUNCTION("""COMPUTED_VALUE"""),"Green Beans")</f>
        <v>Green Beans</v>
      </c>
      <c r="AV283" s="292"/>
      <c r="AW283" s="292" t="str">
        <f>IFERROR(__xludf.DUMMYFUNCTION("""COMPUTED_VALUE"""),"Year Round")</f>
        <v>Year Round</v>
      </c>
      <c r="AX283" s="292" t="str">
        <f>IFERROR(__xludf.DUMMYFUNCTION("""COMPUTED_VALUE"""),"American")</f>
        <v>American</v>
      </c>
      <c r="AY283" s="292"/>
      <c r="AZ283" s="292" t="str">
        <f>IFERROR(__xludf.DUMMYFUNCTION("""COMPUTED_VALUE"""),"2 CT")</f>
        <v>2 CT</v>
      </c>
      <c r="BA283" s="292" t="b">
        <f>IFERROR(__xludf.DUMMYFUNCTION("""COMPUTED_VALUE"""),FALSE)</f>
        <v>0</v>
      </c>
      <c r="BB283" s="342">
        <f>IFERROR(__xludf.DUMMYFUNCTION("""COMPUTED_VALUE"""),2.96)</f>
        <v>2.96</v>
      </c>
      <c r="BC283" s="342">
        <f>IFERROR(__xludf.DUMMYFUNCTION("""COMPUTED_VALUE"""),1.4)</f>
        <v>1.4</v>
      </c>
      <c r="BD283" s="342">
        <f>IFERROR(__xludf.DUMMYFUNCTION("""COMPUTED_VALUE"""),0.4)</f>
        <v>0.4</v>
      </c>
      <c r="BE283" s="342">
        <f>IFERROR(__xludf.DUMMYFUNCTION("""COMPUTED_VALUE"""),0.89)</f>
        <v>0.89</v>
      </c>
      <c r="BF283" s="296" t="str">
        <f>IFERROR(__xludf.DUMMYFUNCTION("""COMPUTED_VALUE"""),"#REF!")</f>
        <v>#REF!</v>
      </c>
      <c r="BG283" s="296" t="str">
        <f>IFERROR(__xludf.DUMMYFUNCTION("""COMPUTED_VALUE"""),"#REF!")</f>
        <v>#REF!</v>
      </c>
      <c r="BH283" s="296" t="str">
        <f>IFERROR(__xludf.DUMMYFUNCTION("""COMPUTED_VALUE"""),"#REF!")</f>
        <v>#REF!</v>
      </c>
      <c r="BI283" s="295">
        <f>IFERROR(__xludf.DUMMYFUNCTION("""COMPUTED_VALUE"""),161.0)</f>
        <v>161</v>
      </c>
      <c r="BJ283" s="292"/>
      <c r="BK283" s="346">
        <f>IFERROR(__xludf.DUMMYFUNCTION("""COMPUTED_VALUE"""),2016.0)</f>
        <v>2016</v>
      </c>
      <c r="BL283" s="292"/>
      <c r="BM283" s="292"/>
      <c r="BN283" s="292"/>
      <c r="BO283" s="292"/>
      <c r="BP283" s="292"/>
      <c r="BQ283" s="292"/>
      <c r="BR283" s="292" t="b">
        <f>IFERROR(__xludf.DUMMYFUNCTION("""COMPUTED_VALUE"""),FALSE)</f>
        <v>0</v>
      </c>
      <c r="BS283" s="292" t="b">
        <f>IFERROR(__xludf.DUMMYFUNCTION("""COMPUTED_VALUE"""),FALSE)</f>
        <v>0</v>
      </c>
      <c r="BT283" s="292"/>
      <c r="BU283" s="292"/>
      <c r="BV283" s="292"/>
      <c r="BW283" s="292"/>
    </row>
    <row r="284">
      <c r="A284" s="292" t="str">
        <f>IFERROR(__xludf.DUMMYFUNCTION("""COMPUTED_VALUE"""),"FE0169I")</f>
        <v>FE0169I</v>
      </c>
      <c r="B284" s="292" t="str">
        <f>IFERROR(__xludf.DUMMYFUNCTION("""COMPUTED_VALUE"""),"CON-40-143739-4")</f>
        <v>CON-40-143739-4</v>
      </c>
      <c r="C284" s="292" t="str">
        <f>IFERROR(__xludf.DUMMYFUNCTION("""COMPUTED_VALUE"""),"CON-00-147824-2")</f>
        <v>CON-00-147824-2</v>
      </c>
      <c r="D284" s="292" t="str">
        <f>IFERROR(__xludf.DUMMYFUNCTION("""COMPUTED_VALUE"""),"CON-00-136637-3")</f>
        <v>CON-00-136637-3</v>
      </c>
      <c r="E284" s="292" t="str">
        <f>IFERROR(__xludf.DUMMYFUNCTION("""COMPUTED_VALUE"""),"Pork tenderloin in creamy garlic-mustard sauce")</f>
        <v>Pork tenderloin in creamy garlic-mustard sauce</v>
      </c>
      <c r="F284" s="292" t="str">
        <f>IFERROR(__xludf.DUMMYFUNCTION("""COMPUTED_VALUE"""),"with broccoli, and puree of celeriac and cauliflower")</f>
        <v>with broccoli, and puree of celeriac and cauliflower</v>
      </c>
      <c r="G284" s="292" t="str">
        <f>IFERROR(__xludf.DUMMYFUNCTION("""COMPUTED_VALUE"""),"Varkenshaas in romige knoflook-mosterdsaus")</f>
        <v>Varkenshaas in romige knoflook-mosterdsaus</v>
      </c>
      <c r="H284" s="292" t="str">
        <f>IFERROR(__xludf.DUMMYFUNCTION("""COMPUTED_VALUE"""),"met broccoli, en puree van knolselderij en bloemkool")</f>
        <v>met broccoli, en puree van knolselderij en bloemkool</v>
      </c>
      <c r="I284" s="292" t="str">
        <f>IFERROR(__xludf.DUMMYFUNCTION("""COMPUTED_VALUE"""),"Svinemørbrad i cremet hvidløgs- og sennepssauce")</f>
        <v>Svinemørbrad i cremet hvidløgs- og sennepssauce</v>
      </c>
      <c r="J284" s="292" t="str">
        <f>IFERROR(__xludf.DUMMYFUNCTION("""COMPUTED_VALUE"""),"Schweinefilet in cremiger Knoblauch-Senf-Sauce")</f>
        <v>Schweinefilet in cremiger Knoblauch-Senf-Sauce</v>
      </c>
      <c r="K284" s="292">
        <f>IFERROR(__xludf.DUMMYFUNCTION("""COMPUTED_VALUE"""),565143.0)</f>
        <v>565143</v>
      </c>
      <c r="L284" s="292" t="str">
        <f>IFERROR(__xludf.DUMMYFUNCTION("""COMPUTED_VALUE"""),"HF RW V.haas met mosterd saus")</f>
        <v>HF RW V.haas met mosterd saus</v>
      </c>
      <c r="M284" s="292" t="str">
        <f>IFERROR(__xludf.DUMMYFUNCTION("""COMPUTED_VALUE"""),"FA-NL Varkenshaas in romige knoflook-mosterdsaus (FE0169)")</f>
        <v>FA-NL Varkenshaas in romige knoflook-mosterdsaus (FE0169)</v>
      </c>
      <c r="N284" s="292" t="str">
        <f>IFERROR(__xludf.DUMMYFUNCTION("""COMPUTED_VALUE"""),"FA-NO Svinemørbrad i cremet hvidløg-sennepssauce (FE0169)")</f>
        <v>FA-NO Svinemørbrad i cremet hvidløg-sennepssauce (FE0169)</v>
      </c>
      <c r="O284" s="292" t="str">
        <f>IFERROR(__xludf.DUMMYFUNCTION("""COMPUTED_VALUE"""),"FA-DE Schweinefilet in cremiger Knoblauch-Senf-Sauce (FE0169)")</f>
        <v>FA-DE Schweinefilet in cremiger Knoblauch-Senf-Sauce (FE0169)</v>
      </c>
      <c r="P284" s="292" t="str">
        <f>IFERROR(__xludf.DUMMYFUNCTION("""COMPUTED_VALUE"""),"Active")</f>
        <v>Active</v>
      </c>
      <c r="Q284" s="292"/>
      <c r="R284" s="342">
        <f>IFERROR(__xludf.DUMMYFUNCTION("""COMPUTED_VALUE"""),4.57)</f>
        <v>4.57</v>
      </c>
      <c r="S284" s="292"/>
      <c r="T284" s="292"/>
      <c r="U284" s="292"/>
      <c r="V284" s="292"/>
      <c r="W284" s="292" t="b">
        <f>IFERROR(__xludf.DUMMYFUNCTION("""COMPUTED_VALUE"""),TRUE)</f>
        <v>1</v>
      </c>
      <c r="X284" s="345">
        <f>IFERROR(__xludf.DUMMYFUNCTION("""COMPUTED_VALUE"""),389.0)</f>
        <v>389</v>
      </c>
      <c r="Y284" s="344">
        <f>IFERROR(__xludf.DUMMYFUNCTION("""COMPUTED_VALUE"""),559.0)</f>
        <v>559</v>
      </c>
      <c r="Z284" s="343">
        <f>IFERROR(__xludf.DUMMYFUNCTION("""COMPUTED_VALUE"""),43.1)</f>
        <v>43.1</v>
      </c>
      <c r="AA284" s="344">
        <f>IFERROR(__xludf.DUMMYFUNCTION("""COMPUTED_VALUE"""),16.5)</f>
        <v>16.5</v>
      </c>
      <c r="AB284" s="344">
        <f>IFERROR(__xludf.DUMMYFUNCTION("""COMPUTED_VALUE"""),8.2)</f>
        <v>8.2</v>
      </c>
      <c r="AC284" s="344">
        <f>IFERROR(__xludf.DUMMYFUNCTION("""COMPUTED_VALUE"""),5.6)</f>
        <v>5.6</v>
      </c>
      <c r="AD284" s="344">
        <f>IFERROR(__xludf.DUMMYFUNCTION("""COMPUTED_VALUE"""),7.7)</f>
        <v>7.7</v>
      </c>
      <c r="AE284" s="343">
        <f>IFERROR(__xludf.DUMMYFUNCTION("""COMPUTED_VALUE"""),30.6)</f>
        <v>30.6</v>
      </c>
      <c r="AF284" s="343">
        <f>IFERROR(__xludf.DUMMYFUNCTION("""COMPUTED_VALUE"""),2.23)</f>
        <v>2.23</v>
      </c>
      <c r="AG284" s="292" t="b">
        <f>IFERROR(__xludf.DUMMYFUNCTION("""COMPUTED_VALUE"""),FALSE)</f>
        <v>0</v>
      </c>
      <c r="AH284" s="292" t="b">
        <f>IFERROR(__xludf.DUMMYFUNCTION("""COMPUTED_VALUE"""),TRUE)</f>
        <v>1</v>
      </c>
      <c r="AI284" s="292" t="b">
        <f>IFERROR(__xludf.DUMMYFUNCTION("""COMPUTED_VALUE"""),FALSE)</f>
        <v>0</v>
      </c>
      <c r="AJ284" s="292" t="b">
        <f>IFERROR(__xludf.DUMMYFUNCTION("""COMPUTED_VALUE"""),FALSE)</f>
        <v>0</v>
      </c>
      <c r="AK284" s="292" t="b">
        <f>IFERROR(__xludf.DUMMYFUNCTION("""COMPUTED_VALUE"""),FALSE)</f>
        <v>0</v>
      </c>
      <c r="AL284" s="292" t="b">
        <f>IFERROR(__xludf.DUMMYFUNCTION("""COMPUTED_VALUE"""),FALSE)</f>
        <v>0</v>
      </c>
      <c r="AM284" s="292" t="b">
        <f>IFERROR(__xludf.DUMMYFUNCTION("""COMPUTED_VALUE"""),TRUE)</f>
        <v>1</v>
      </c>
      <c r="AN284" s="292" t="b">
        <f>IFERROR(__xludf.DUMMYFUNCTION("""COMPUTED_VALUE"""),FALSE)</f>
        <v>0</v>
      </c>
      <c r="AO284" s="292" t="str">
        <f>IFERROR(__xludf.DUMMYFUNCTION("""COMPUTED_VALUE"""),"FALSE")</f>
        <v>FALSE</v>
      </c>
      <c r="AP284" s="292" t="str">
        <f>IFERROR(__xludf.DUMMYFUNCTION("""COMPUTED_VALUE"""),"Pork tenderloin")</f>
        <v>Pork tenderloin</v>
      </c>
      <c r="AQ284" s="292" t="str">
        <f>IFERROR(__xludf.DUMMYFUNCTION("""COMPUTED_VALUE"""),"Pork")</f>
        <v>Pork</v>
      </c>
      <c r="AR284" s="292" t="str">
        <f>IFERROR(__xludf.DUMMYFUNCTION("""COMPUTED_VALUE"""),"Tenderloin")</f>
        <v>Tenderloin</v>
      </c>
      <c r="AS284" s="292" t="str">
        <f>IFERROR(__xludf.DUMMYFUNCTION("""COMPUTED_VALUE"""),"Cauliflower Mash")</f>
        <v>Cauliflower Mash</v>
      </c>
      <c r="AT284" s="292" t="str">
        <f>IFERROR(__xludf.DUMMYFUNCTION("""COMPUTED_VALUE"""),"Celeriac")</f>
        <v>Celeriac</v>
      </c>
      <c r="AU284" s="292" t="str">
        <f>IFERROR(__xludf.DUMMYFUNCTION("""COMPUTED_VALUE"""),"Broccoli")</f>
        <v>Broccoli</v>
      </c>
      <c r="AV284" s="292" t="str">
        <f>IFERROR(__xludf.DUMMYFUNCTION("""COMPUTED_VALUE"""),"Creamy Sauce Base")</f>
        <v>Creamy Sauce Base</v>
      </c>
      <c r="AW284" s="292" t="str">
        <f>IFERROR(__xludf.DUMMYFUNCTION("""COMPUTED_VALUE"""),"Year Round")</f>
        <v>Year Round</v>
      </c>
      <c r="AX284" s="292" t="str">
        <f>IFERROR(__xludf.DUMMYFUNCTION("""COMPUTED_VALUE"""),"French")</f>
        <v>French</v>
      </c>
      <c r="AY284" s="292"/>
      <c r="AZ284" s="292" t="str">
        <f>IFERROR(__xludf.DUMMYFUNCTION("""COMPUTED_VALUE"""),"2 CT")</f>
        <v>2 CT</v>
      </c>
      <c r="BA284" s="292" t="b">
        <f>IFERROR(__xludf.DUMMYFUNCTION("""COMPUTED_VALUE"""),FALSE)</f>
        <v>0</v>
      </c>
      <c r="BB284" s="342">
        <f>IFERROR(__xludf.DUMMYFUNCTION("""COMPUTED_VALUE"""),2.81)</f>
        <v>2.81</v>
      </c>
      <c r="BC284" s="342">
        <f>IFERROR(__xludf.DUMMYFUNCTION("""COMPUTED_VALUE"""),1.36)</f>
        <v>1.36</v>
      </c>
      <c r="BD284" s="342">
        <f>IFERROR(__xludf.DUMMYFUNCTION("""COMPUTED_VALUE"""),0.4)</f>
        <v>0.4</v>
      </c>
      <c r="BE284" s="342">
        <f>IFERROR(__xludf.DUMMYFUNCTION("""COMPUTED_VALUE"""),0.89)</f>
        <v>0.89</v>
      </c>
      <c r="BF284" s="296" t="str">
        <f>IFERROR(__xludf.DUMMYFUNCTION("""COMPUTED_VALUE"""),"#REF!")</f>
        <v>#REF!</v>
      </c>
      <c r="BG284" s="296" t="str">
        <f>IFERROR(__xludf.DUMMYFUNCTION("""COMPUTED_VALUE"""),"#REF!")</f>
        <v>#REF!</v>
      </c>
      <c r="BH284" s="296" t="str">
        <f>IFERROR(__xludf.DUMMYFUNCTION("""COMPUTED_VALUE"""),"#REF!")</f>
        <v>#REF!</v>
      </c>
      <c r="BI284" s="295">
        <f>IFERROR(__xludf.DUMMYFUNCTION("""COMPUTED_VALUE"""),206.0)</f>
        <v>206</v>
      </c>
      <c r="BJ284" s="292"/>
      <c r="BK284" s="346">
        <f>IFERROR(__xludf.DUMMYFUNCTION("""COMPUTED_VALUE"""),2320.0)</f>
        <v>2320</v>
      </c>
      <c r="BL284" s="292"/>
      <c r="BM284" s="292"/>
      <c r="BN284" s="292"/>
      <c r="BO284" s="292"/>
      <c r="BP284" s="292"/>
      <c r="BQ284" s="292"/>
      <c r="BR284" s="292" t="b">
        <f>IFERROR(__xludf.DUMMYFUNCTION("""COMPUTED_VALUE"""),FALSE)</f>
        <v>0</v>
      </c>
      <c r="BS284" s="292" t="b">
        <f>IFERROR(__xludf.DUMMYFUNCTION("""COMPUTED_VALUE"""),FALSE)</f>
        <v>0</v>
      </c>
      <c r="BT284" s="292"/>
      <c r="BU284" s="292"/>
      <c r="BV284" s="292"/>
      <c r="BW284" s="292"/>
    </row>
    <row r="285">
      <c r="A285" s="292" t="str">
        <f>IFERROR(__xludf.DUMMYFUNCTION("""COMPUTED_VALUE"""),"FE0780E")</f>
        <v>FE0780E</v>
      </c>
      <c r="B285" s="292" t="str">
        <f>IFERROR(__xludf.DUMMYFUNCTION("""COMPUTED_VALUE"""),"CON-40-143732-4")</f>
        <v>CON-40-143732-4</v>
      </c>
      <c r="C285" s="292" t="str">
        <f>IFERROR(__xludf.DUMMYFUNCTION("""COMPUTED_VALUE"""),"CON-00-147858-2")</f>
        <v>CON-00-147858-2</v>
      </c>
      <c r="D285" s="292" t="str">
        <f>IFERROR(__xludf.DUMMYFUNCTION("""COMPUTED_VALUE"""),"CON-00-136722-3")</f>
        <v>CON-00-136722-3</v>
      </c>
      <c r="E285" s="292" t="str">
        <f>IFERROR(__xludf.DUMMYFUNCTION("""COMPUTED_VALUE"""),"Trottole bolognese")</f>
        <v>Trottole bolognese</v>
      </c>
      <c r="F285" s="292" t="str">
        <f>IFERROR(__xludf.DUMMYFUNCTION("""COMPUTED_VALUE"""),"with carrots and roasted courgette")</f>
        <v>with carrots and roasted courgette</v>
      </c>
      <c r="G285" s="292" t="str">
        <f>IFERROR(__xludf.DUMMYFUNCTION("""COMPUTED_VALUE"""),"Trottole bolognese")</f>
        <v>Trottole bolognese</v>
      </c>
      <c r="H285" s="292" t="str">
        <f>IFERROR(__xludf.DUMMYFUNCTION("""COMPUTED_VALUE"""),"met wortel en geroosterde courgette")</f>
        <v>met wortel en geroosterde courgette</v>
      </c>
      <c r="I285" s="292"/>
      <c r="J285" s="292" t="str">
        <f>IFERROR(__xludf.DUMMYFUNCTION("""COMPUTED_VALUE"""),"Trottole Bolognese")</f>
        <v>Trottole Bolognese</v>
      </c>
      <c r="K285" s="292">
        <f>IFERROR(__xludf.DUMMYFUNCTION("""COMPUTED_VALUE"""),565115.0)</f>
        <v>565115</v>
      </c>
      <c r="L285" s="292" t="str">
        <f>IFERROR(__xludf.DUMMYFUNCTION("""COMPUTED_VALUE"""),"HF Trotolle Bolognese")</f>
        <v>HF Trotolle Bolognese</v>
      </c>
      <c r="M285" s="292" t="str">
        <f>IFERROR(__xludf.DUMMYFUNCTION("""COMPUTED_VALUE"""),"FA-NL Trottole bolognese (FE0780)")</f>
        <v>FA-NL Trottole bolognese (FE0780)</v>
      </c>
      <c r="N285" s="292" t="str">
        <f>IFERROR(__xludf.DUMMYFUNCTION("""COMPUTED_VALUE"""),"FA-NO Trottole bolognese (FE0780)")</f>
        <v>FA-NO Trottole bolognese (FE0780)</v>
      </c>
      <c r="O285" s="292" t="str">
        <f>IFERROR(__xludf.DUMMYFUNCTION("""COMPUTED_VALUE"""),"FA-DE Trottole Bolognese (FE0780)")</f>
        <v>FA-DE Trottole Bolognese (FE0780)</v>
      </c>
      <c r="P285" s="292" t="str">
        <f>IFERROR(__xludf.DUMMYFUNCTION("""COMPUTED_VALUE"""),"Active")</f>
        <v>Active</v>
      </c>
      <c r="Q285" s="292"/>
      <c r="R285" s="342">
        <f>IFERROR(__xludf.DUMMYFUNCTION("""COMPUTED_VALUE"""),3.56)</f>
        <v>3.56</v>
      </c>
      <c r="S285" s="292"/>
      <c r="T285" s="292"/>
      <c r="U285" s="292"/>
      <c r="V285" s="292"/>
      <c r="W285" s="292" t="b">
        <f>IFERROR(__xludf.DUMMYFUNCTION("""COMPUTED_VALUE"""),TRUE)</f>
        <v>1</v>
      </c>
      <c r="X285" s="345">
        <f>IFERROR(__xludf.DUMMYFUNCTION("""COMPUTED_VALUE"""),429.0)</f>
        <v>429</v>
      </c>
      <c r="Y285" s="344">
        <f>IFERROR(__xludf.DUMMYFUNCTION("""COMPUTED_VALUE"""),477.0)</f>
        <v>477</v>
      </c>
      <c r="Z285" s="343">
        <f>IFERROR(__xludf.DUMMYFUNCTION("""COMPUTED_VALUE"""),20.2)</f>
        <v>20.2</v>
      </c>
      <c r="AA285" s="344">
        <f>IFERROR(__xludf.DUMMYFUNCTION("""COMPUTED_VALUE"""),8.3)</f>
        <v>8.3</v>
      </c>
      <c r="AB285" s="344">
        <f>IFERROR(__xludf.DUMMYFUNCTION("""COMPUTED_VALUE"""),50.8)</f>
        <v>50.8</v>
      </c>
      <c r="AC285" s="344">
        <f>IFERROR(__xludf.DUMMYFUNCTION("""COMPUTED_VALUE"""),15.4)</f>
        <v>15.4</v>
      </c>
      <c r="AD285" s="344">
        <f>IFERROR(__xludf.DUMMYFUNCTION("""COMPUTED_VALUE"""),7.7)</f>
        <v>7.7</v>
      </c>
      <c r="AE285" s="343">
        <f>IFERROR(__xludf.DUMMYFUNCTION("""COMPUTED_VALUE"""),20.1)</f>
        <v>20.1</v>
      </c>
      <c r="AF285" s="343">
        <f>IFERROR(__xludf.DUMMYFUNCTION("""COMPUTED_VALUE"""),2.23)</f>
        <v>2.23</v>
      </c>
      <c r="AG285" s="292" t="b">
        <f>IFERROR(__xludf.DUMMYFUNCTION("""COMPUTED_VALUE"""),FALSE)</f>
        <v>0</v>
      </c>
      <c r="AH285" s="292" t="b">
        <f>IFERROR(__xludf.DUMMYFUNCTION("""COMPUTED_VALUE"""),FALSE)</f>
        <v>0</v>
      </c>
      <c r="AI285" s="292" t="b">
        <f>IFERROR(__xludf.DUMMYFUNCTION("""COMPUTED_VALUE"""),TRUE)</f>
        <v>1</v>
      </c>
      <c r="AJ285" s="292" t="b">
        <f>IFERROR(__xludf.DUMMYFUNCTION("""COMPUTED_VALUE"""),FALSE)</f>
        <v>0</v>
      </c>
      <c r="AK285" s="292" t="b">
        <f>IFERROR(__xludf.DUMMYFUNCTION("""COMPUTED_VALUE"""),FALSE)</f>
        <v>0</v>
      </c>
      <c r="AL285" s="292" t="b">
        <f>IFERROR(__xludf.DUMMYFUNCTION("""COMPUTED_VALUE"""),FALSE)</f>
        <v>0</v>
      </c>
      <c r="AM285" s="292" t="b">
        <f>IFERROR(__xludf.DUMMYFUNCTION("""COMPUTED_VALUE"""),FALSE)</f>
        <v>0</v>
      </c>
      <c r="AN285" s="292" t="b">
        <f>IFERROR(__xludf.DUMMYFUNCTION("""COMPUTED_VALUE"""),FALSE)</f>
        <v>0</v>
      </c>
      <c r="AO285" s="292" t="str">
        <f>IFERROR(__xludf.DUMMYFUNCTION("""COMPUTED_VALUE"""),"FALSE")</f>
        <v>FALSE</v>
      </c>
      <c r="AP285" s="292" t="str">
        <f>IFERROR(__xludf.DUMMYFUNCTION("""COMPUTED_VALUE"""),"Ground beef")</f>
        <v>Ground beef</v>
      </c>
      <c r="AQ285" s="292" t="str">
        <f>IFERROR(__xludf.DUMMYFUNCTION("""COMPUTED_VALUE"""),"Beef")</f>
        <v>Beef</v>
      </c>
      <c r="AR285" s="292" t="str">
        <f>IFERROR(__xludf.DUMMYFUNCTION("""COMPUTED_VALUE"""),"Ground")</f>
        <v>Ground</v>
      </c>
      <c r="AS285" s="292" t="str">
        <f>IFERROR(__xludf.DUMMYFUNCTION("""COMPUTED_VALUE"""),"Pasta")</f>
        <v>Pasta</v>
      </c>
      <c r="AT285" s="292" t="str">
        <f>IFERROR(__xludf.DUMMYFUNCTION("""COMPUTED_VALUE"""),"Zucchini Diced")</f>
        <v>Zucchini Diced</v>
      </c>
      <c r="AU285" s="292" t="str">
        <f>IFERROR(__xludf.DUMMYFUNCTION("""COMPUTED_VALUE"""),"Cherry Tomatoes")</f>
        <v>Cherry Tomatoes</v>
      </c>
      <c r="AV285" s="292" t="str">
        <f>IFERROR(__xludf.DUMMYFUNCTION("""COMPUTED_VALUE"""),"Carrots")</f>
        <v>Carrots</v>
      </c>
      <c r="AW285" s="292" t="str">
        <f>IFERROR(__xludf.DUMMYFUNCTION("""COMPUTED_VALUE"""),"Year Round")</f>
        <v>Year Round</v>
      </c>
      <c r="AX285" s="292" t="str">
        <f>IFERROR(__xludf.DUMMYFUNCTION("""COMPUTED_VALUE"""),"Italian")</f>
        <v>Italian</v>
      </c>
      <c r="AY285" s="292"/>
      <c r="AZ285" s="292" t="str">
        <f>IFERROR(__xludf.DUMMYFUNCTION("""COMPUTED_VALUE"""),"2 CT")</f>
        <v>2 CT</v>
      </c>
      <c r="BA285" s="292" t="b">
        <f>IFERROR(__xludf.DUMMYFUNCTION("""COMPUTED_VALUE"""),FALSE)</f>
        <v>0</v>
      </c>
      <c r="BB285" s="342">
        <f>IFERROR(__xludf.DUMMYFUNCTION("""COMPUTED_VALUE"""),1.96)</f>
        <v>1.96</v>
      </c>
      <c r="BC285" s="342">
        <f>IFERROR(__xludf.DUMMYFUNCTION("""COMPUTED_VALUE"""),1.2)</f>
        <v>1.2</v>
      </c>
      <c r="BD285" s="342">
        <f>IFERROR(__xludf.DUMMYFUNCTION("""COMPUTED_VALUE"""),0.4)</f>
        <v>0.4</v>
      </c>
      <c r="BE285" s="342">
        <f>IFERROR(__xludf.DUMMYFUNCTION("""COMPUTED_VALUE"""),0.89)</f>
        <v>0.89</v>
      </c>
      <c r="BF285" s="296" t="str">
        <f>IFERROR(__xludf.DUMMYFUNCTION("""COMPUTED_VALUE"""),"#REF!")</f>
        <v>#REF!</v>
      </c>
      <c r="BG285" s="296" t="str">
        <f>IFERROR(__xludf.DUMMYFUNCTION("""COMPUTED_VALUE"""),"#REF!")</f>
        <v>#REF!</v>
      </c>
      <c r="BH285" s="296" t="str">
        <f>IFERROR(__xludf.DUMMYFUNCTION("""COMPUTED_VALUE"""),"#REF!")</f>
        <v>#REF!</v>
      </c>
      <c r="BI285" s="295">
        <f>IFERROR(__xludf.DUMMYFUNCTION("""COMPUTED_VALUE"""),233.0)</f>
        <v>233</v>
      </c>
      <c r="BJ285" s="292"/>
      <c r="BK285" s="346">
        <f>IFERROR(__xludf.DUMMYFUNCTION("""COMPUTED_VALUE"""),1996.0)</f>
        <v>1996</v>
      </c>
      <c r="BL285" s="292"/>
      <c r="BM285" s="292"/>
      <c r="BN285" s="292"/>
      <c r="BO285" s="292"/>
      <c r="BP285" s="292"/>
      <c r="BQ285" s="292"/>
      <c r="BR285" s="292" t="b">
        <f>IFERROR(__xludf.DUMMYFUNCTION("""COMPUTED_VALUE"""),FALSE)</f>
        <v>0</v>
      </c>
      <c r="BS285" s="292" t="b">
        <f>IFERROR(__xludf.DUMMYFUNCTION("""COMPUTED_VALUE"""),FALSE)</f>
        <v>0</v>
      </c>
      <c r="BT285" s="292"/>
      <c r="BU285" s="292"/>
      <c r="BV285" s="292"/>
      <c r="BW285" s="292"/>
    </row>
    <row r="286">
      <c r="A286" s="292" t="str">
        <f>IFERROR(__xludf.DUMMYFUNCTION("""COMPUTED_VALUE"""),"FE0413G")</f>
        <v>FE0413G</v>
      </c>
      <c r="B286" s="292" t="str">
        <f>IFERROR(__xludf.DUMMYFUNCTION("""COMPUTED_VALUE"""),"CON-40-143665-4")</f>
        <v>CON-40-143665-4</v>
      </c>
      <c r="C286" s="292" t="str">
        <f>IFERROR(__xludf.DUMMYFUNCTION("""COMPUTED_VALUE"""),"CON-00-147839-2")</f>
        <v>CON-00-147839-2</v>
      </c>
      <c r="D286" s="292" t="str">
        <f>IFERROR(__xludf.DUMMYFUNCTION("""COMPUTED_VALUE"""),"CON-00-136698-3")</f>
        <v>CON-00-136698-3</v>
      </c>
      <c r="E286" s="292" t="str">
        <f>IFERROR(__xludf.DUMMYFUNCTION("""COMPUTED_VALUE"""),"Braised beef in herby jus")</f>
        <v>Braised beef in herby jus</v>
      </c>
      <c r="F286" s="292" t="str">
        <f>IFERROR(__xludf.DUMMYFUNCTION("""COMPUTED_VALUE"""),"with cauliflower puree, broccoli and Emmentaler")</f>
        <v>with cauliflower puree, broccoli and Emmentaler</v>
      </c>
      <c r="G286" s="292" t="str">
        <f>IFERROR(__xludf.DUMMYFUNCTION("""COMPUTED_VALUE"""),"Gestoofd rundvlees in kruidige jus")</f>
        <v>Gestoofd rundvlees in kruidige jus</v>
      </c>
      <c r="H286" s="292" t="str">
        <f>IFERROR(__xludf.DUMMYFUNCTION("""COMPUTED_VALUE"""),"met bloemkoolpuree, broccoli en Emmentaler")</f>
        <v>met bloemkoolpuree, broccoli en Emmentaler</v>
      </c>
      <c r="I286" s="292" t="str">
        <f>IFERROR(__xludf.DUMMYFUNCTION("""COMPUTED_VALUE"""),"Braiseret oksekød i urtesky")</f>
        <v>Braiseret oksekød i urtesky</v>
      </c>
      <c r="J286" s="292" t="str">
        <f>IFERROR(__xludf.DUMMYFUNCTION("""COMPUTED_VALUE"""),"Geschmortes Rind in Kräuterjus")</f>
        <v>Geschmortes Rind in Kräuterjus</v>
      </c>
      <c r="K286" s="292">
        <f>IFERROR(__xludf.DUMMYFUNCTION("""COMPUTED_VALUE"""),565309.0)</f>
        <v>565309</v>
      </c>
      <c r="L286" s="292" t="str">
        <f>IFERROR(__xludf.DUMMYFUNCTION("""COMPUTED_VALUE"""),"HF RW French onion pulled beef")</f>
        <v>HF RW French onion pulled beef</v>
      </c>
      <c r="M286" s="292" t="str">
        <f>IFERROR(__xludf.DUMMYFUNCTION("""COMPUTED_VALUE"""),"FA-NL Gestoofd rundvlees in kruidige jus (FE0413)")</f>
        <v>FA-NL Gestoofd rundvlees in kruidige jus (FE0413)</v>
      </c>
      <c r="N286" s="292" t="str">
        <f>IFERROR(__xludf.DUMMYFUNCTION("""COMPUTED_VALUE"""),"FA-NO Braiseret oksekød i urtesauce (FE0413)")</f>
        <v>FA-NO Braiseret oksekød i urtesauce (FE0413)</v>
      </c>
      <c r="O286" s="292" t="str">
        <f>IFERROR(__xludf.DUMMYFUNCTION("""COMPUTED_VALUE"""),"FA-DE Geschmortes Rindfleisch in Kräuterjus (FE0413)")</f>
        <v>FA-DE Geschmortes Rindfleisch in Kräuterjus (FE0413)</v>
      </c>
      <c r="P286" s="292" t="str">
        <f>IFERROR(__xludf.DUMMYFUNCTION("""COMPUTED_VALUE"""),"Active")</f>
        <v>Active</v>
      </c>
      <c r="Q286" s="292"/>
      <c r="R286" s="342">
        <f>IFERROR(__xludf.DUMMYFUNCTION("""COMPUTED_VALUE"""),4.72)</f>
        <v>4.72</v>
      </c>
      <c r="S286" s="292"/>
      <c r="T286" s="292"/>
      <c r="U286" s="292"/>
      <c r="V286" s="292"/>
      <c r="W286" s="292" t="b">
        <f>IFERROR(__xludf.DUMMYFUNCTION("""COMPUTED_VALUE"""),TRUE)</f>
        <v>1</v>
      </c>
      <c r="X286" s="345">
        <f>IFERROR(__xludf.DUMMYFUNCTION("""COMPUTED_VALUE"""),391.0)</f>
        <v>391</v>
      </c>
      <c r="Y286" s="344">
        <f>IFERROR(__xludf.DUMMYFUNCTION("""COMPUTED_VALUE"""),572.0)</f>
        <v>572</v>
      </c>
      <c r="Z286" s="343">
        <f>IFERROR(__xludf.DUMMYFUNCTION("""COMPUTED_VALUE"""),39.0)</f>
        <v>39</v>
      </c>
      <c r="AA286" s="344">
        <f>IFERROR(__xludf.DUMMYFUNCTION("""COMPUTED_VALUE"""),19.2)</f>
        <v>19.2</v>
      </c>
      <c r="AB286" s="344">
        <f>IFERROR(__xludf.DUMMYFUNCTION("""COMPUTED_VALUE"""),11.1)</f>
        <v>11.1</v>
      </c>
      <c r="AC286" s="344">
        <f>IFERROR(__xludf.DUMMYFUNCTION("""COMPUTED_VALUE"""),7.9)</f>
        <v>7.9</v>
      </c>
      <c r="AD286" s="344">
        <f>IFERROR(__xludf.DUMMYFUNCTION("""COMPUTED_VALUE"""),8.2)</f>
        <v>8.2</v>
      </c>
      <c r="AE286" s="343">
        <f>IFERROR(__xludf.DUMMYFUNCTION("""COMPUTED_VALUE"""),41.1)</f>
        <v>41.1</v>
      </c>
      <c r="AF286" s="343">
        <f>IFERROR(__xludf.DUMMYFUNCTION("""COMPUTED_VALUE"""),2.22)</f>
        <v>2.22</v>
      </c>
      <c r="AG286" s="292" t="b">
        <f>IFERROR(__xludf.DUMMYFUNCTION("""COMPUTED_VALUE"""),FALSE)</f>
        <v>0</v>
      </c>
      <c r="AH286" s="292" t="b">
        <f>IFERROR(__xludf.DUMMYFUNCTION("""COMPUTED_VALUE"""),TRUE)</f>
        <v>1</v>
      </c>
      <c r="AI286" s="292" t="b">
        <f>IFERROR(__xludf.DUMMYFUNCTION("""COMPUTED_VALUE"""),FALSE)</f>
        <v>0</v>
      </c>
      <c r="AJ286" s="292" t="b">
        <f>IFERROR(__xludf.DUMMYFUNCTION("""COMPUTED_VALUE"""),FALSE)</f>
        <v>0</v>
      </c>
      <c r="AK286" s="292" t="b">
        <f>IFERROR(__xludf.DUMMYFUNCTION("""COMPUTED_VALUE"""),FALSE)</f>
        <v>0</v>
      </c>
      <c r="AL286" s="292" t="b">
        <f>IFERROR(__xludf.DUMMYFUNCTION("""COMPUTED_VALUE"""),FALSE)</f>
        <v>0</v>
      </c>
      <c r="AM286" s="292" t="b">
        <f>IFERROR(__xludf.DUMMYFUNCTION("""COMPUTED_VALUE"""),FALSE)</f>
        <v>0</v>
      </c>
      <c r="AN286" s="292" t="b">
        <f>IFERROR(__xludf.DUMMYFUNCTION("""COMPUTED_VALUE"""),FALSE)</f>
        <v>0</v>
      </c>
      <c r="AO286" s="292" t="str">
        <f>IFERROR(__xludf.DUMMYFUNCTION("""COMPUTED_VALUE"""),"FALSE")</f>
        <v>FALSE</v>
      </c>
      <c r="AP286" s="292" t="str">
        <f>IFERROR(__xludf.DUMMYFUNCTION("""COMPUTED_VALUE"""),"Shredded beef")</f>
        <v>Shredded beef</v>
      </c>
      <c r="AQ286" s="292" t="str">
        <f>IFERROR(__xludf.DUMMYFUNCTION("""COMPUTED_VALUE"""),"Beef")</f>
        <v>Beef</v>
      </c>
      <c r="AR286" s="292" t="str">
        <f>IFERROR(__xludf.DUMMYFUNCTION("""COMPUTED_VALUE"""),"Shredded")</f>
        <v>Shredded</v>
      </c>
      <c r="AS286" s="292" t="str">
        <f>IFERROR(__xludf.DUMMYFUNCTION("""COMPUTED_VALUE"""),"Cauliflower Mash")</f>
        <v>Cauliflower Mash</v>
      </c>
      <c r="AT286" s="292" t="str">
        <f>IFERROR(__xludf.DUMMYFUNCTION("""COMPUTED_VALUE"""),"Caramelized Onions")</f>
        <v>Caramelized Onions</v>
      </c>
      <c r="AU286" s="292" t="str">
        <f>IFERROR(__xludf.DUMMYFUNCTION("""COMPUTED_VALUE"""),"Broccoli")</f>
        <v>Broccoli</v>
      </c>
      <c r="AV286" s="292" t="str">
        <f>IFERROR(__xludf.DUMMYFUNCTION("""COMPUTED_VALUE"""),"Compound Butter")</f>
        <v>Compound Butter</v>
      </c>
      <c r="AW286" s="292" t="str">
        <f>IFERROR(__xludf.DUMMYFUNCTION("""COMPUTED_VALUE"""),"Year Round")</f>
        <v>Year Round</v>
      </c>
      <c r="AX286" s="292" t="str">
        <f>IFERROR(__xludf.DUMMYFUNCTION("""COMPUTED_VALUE"""),"French")</f>
        <v>French</v>
      </c>
      <c r="AY286" s="292"/>
      <c r="AZ286" s="292" t="str">
        <f>IFERROR(__xludf.DUMMYFUNCTION("""COMPUTED_VALUE"""),"2 CT")</f>
        <v>2 CT</v>
      </c>
      <c r="BA286" s="292" t="b">
        <f>IFERROR(__xludf.DUMMYFUNCTION("""COMPUTED_VALUE"""),FALSE)</f>
        <v>0</v>
      </c>
      <c r="BB286" s="342">
        <f>IFERROR(__xludf.DUMMYFUNCTION("""COMPUTED_VALUE"""),2.85)</f>
        <v>2.85</v>
      </c>
      <c r="BC286" s="342">
        <f>IFERROR(__xludf.DUMMYFUNCTION("""COMPUTED_VALUE"""),1.47)</f>
        <v>1.47</v>
      </c>
      <c r="BD286" s="342">
        <f>IFERROR(__xludf.DUMMYFUNCTION("""COMPUTED_VALUE"""),0.4)</f>
        <v>0.4</v>
      </c>
      <c r="BE286" s="342">
        <f>IFERROR(__xludf.DUMMYFUNCTION("""COMPUTED_VALUE"""),0.89)</f>
        <v>0.89</v>
      </c>
      <c r="BF286" s="296" t="str">
        <f>IFERROR(__xludf.DUMMYFUNCTION("""COMPUTED_VALUE"""),"#REF!")</f>
        <v>#REF!</v>
      </c>
      <c r="BG286" s="296" t="str">
        <f>IFERROR(__xludf.DUMMYFUNCTION("""COMPUTED_VALUE"""),"#REF!")</f>
        <v>#REF!</v>
      </c>
      <c r="BH286" s="296" t="str">
        <f>IFERROR(__xludf.DUMMYFUNCTION("""COMPUTED_VALUE"""),"#REF!")</f>
        <v>#REF!</v>
      </c>
      <c r="BI286" s="295">
        <f>IFERROR(__xludf.DUMMYFUNCTION("""COMPUTED_VALUE"""),221.0)</f>
        <v>221</v>
      </c>
      <c r="BJ286" s="292"/>
      <c r="BK286" s="346">
        <f>IFERROR(__xludf.DUMMYFUNCTION("""COMPUTED_VALUE"""),2384.0)</f>
        <v>2384</v>
      </c>
      <c r="BL286" s="292"/>
      <c r="BM286" s="292"/>
      <c r="BN286" s="292"/>
      <c r="BO286" s="292"/>
      <c r="BP286" s="292"/>
      <c r="BQ286" s="292"/>
      <c r="BR286" s="292" t="b">
        <f>IFERROR(__xludf.DUMMYFUNCTION("""COMPUTED_VALUE"""),FALSE)</f>
        <v>0</v>
      </c>
      <c r="BS286" s="292" t="b">
        <f>IFERROR(__xludf.DUMMYFUNCTION("""COMPUTED_VALUE"""),FALSE)</f>
        <v>0</v>
      </c>
      <c r="BT286" s="292"/>
      <c r="BU286" s="292"/>
      <c r="BV286" s="292"/>
      <c r="BW286" s="292"/>
    </row>
    <row r="287">
      <c r="A287" s="292" t="str">
        <f>IFERROR(__xludf.DUMMYFUNCTION("""COMPUTED_VALUE"""),"FE0426C")</f>
        <v>FE0426C</v>
      </c>
      <c r="B287" s="292" t="str">
        <f>IFERROR(__xludf.DUMMYFUNCTION("""COMPUTED_VALUE"""),"CON-40-143659-4")</f>
        <v>CON-40-143659-4</v>
      </c>
      <c r="C287" s="292" t="str">
        <f>IFERROR(__xludf.DUMMYFUNCTION("""COMPUTED_VALUE"""),"CON-00-147840-2")</f>
        <v>CON-00-147840-2</v>
      </c>
      <c r="D287" s="292" t="str">
        <f>IFERROR(__xludf.DUMMYFUNCTION("""COMPUTED_VALUE"""),"CON-00-136649-3")</f>
        <v>CON-00-136649-3</v>
      </c>
      <c r="E287" s="292" t="str">
        <f>IFERROR(__xludf.DUMMYFUNCTION("""COMPUTED_VALUE"""),"Grilled chicken fillet and potato leek mash")</f>
        <v>Grilled chicken fillet and potato leek mash</v>
      </c>
      <c r="F287" s="292" t="str">
        <f>IFERROR(__xludf.DUMMYFUNCTION("""COMPUTED_VALUE"""),"with roasted corn and zucchini in a butter of herbs and Parmesan cheese")</f>
        <v>with roasted corn and zucchini in a butter of herbs and Parmesan cheese</v>
      </c>
      <c r="G287" s="292" t="str">
        <f>IFERROR(__xludf.DUMMYFUNCTION("""COMPUTED_VALUE"""),"Gegrilde kipfilet en aardappel-preipuree")</f>
        <v>Gegrilde kipfilet en aardappel-preipuree</v>
      </c>
      <c r="H287" s="292" t="str">
        <f>IFERROR(__xludf.DUMMYFUNCTION("""COMPUTED_VALUE"""),"met geroosterde maïs en courgette in een boter van kruiden en Parmezaanse kaas")</f>
        <v>met geroosterde maïs en courgette in een boter van kruiden en Parmezaanse kaas</v>
      </c>
      <c r="I287" s="292" t="str">
        <f>IFERROR(__xludf.DUMMYFUNCTION("""COMPUTED_VALUE"""),"Grillet kyllingefilet og kartoffel-porremos")</f>
        <v>Grillet kyllingefilet og kartoffel-porremos</v>
      </c>
      <c r="J287" s="292" t="str">
        <f>IFERROR(__xludf.DUMMYFUNCTION("""COMPUTED_VALUE"""),"Gegrilltes Hähnchenfilet mit Kartoffel-Lauch-Püree")</f>
        <v>Gegrilltes Hähnchenfilet mit Kartoffel-Lauch-Püree</v>
      </c>
      <c r="K287" s="292">
        <f>IFERROR(__xludf.DUMMYFUNCTION("""COMPUTED_VALUE"""),565300.0)</f>
        <v>565300</v>
      </c>
      <c r="L287" s="292" t="str">
        <f>IFERROR(__xludf.DUMMYFUNCTION("""COMPUTED_VALUE"""),"HF RW Kip aardappel prei puree")</f>
        <v>HF RW Kip aardappel prei puree</v>
      </c>
      <c r="M287" s="292" t="str">
        <f>IFERROR(__xludf.DUMMYFUNCTION("""COMPUTED_VALUE"""),"FA-NL Gegrilde kipfilet en aardappel-preipuree (FE0426)")</f>
        <v>FA-NL Gegrilde kipfilet en aardappel-preipuree (FE0426)</v>
      </c>
      <c r="N287" s="292" t="str">
        <f>IFERROR(__xludf.DUMMYFUNCTION("""COMPUTED_VALUE"""),"FA-NO Grillet kyllingefilet og kartoffel-porremos (FE0426)")</f>
        <v>FA-NO Grillet kyllingefilet og kartoffel-porremos (FE0426)</v>
      </c>
      <c r="O287" s="292" t="str">
        <f>IFERROR(__xludf.DUMMYFUNCTION("""COMPUTED_VALUE"""),"FA-DE Gegrilltes Hähnchenfilet mit Kartoffel-Lauch-Püree (FE0426)")</f>
        <v>FA-DE Gegrilltes Hähnchenfilet mit Kartoffel-Lauch-Püree (FE0426)</v>
      </c>
      <c r="P287" s="292" t="str">
        <f>IFERROR(__xludf.DUMMYFUNCTION("""COMPUTED_VALUE"""),"Active")</f>
        <v>Active</v>
      </c>
      <c r="Q287" s="292"/>
      <c r="R287" s="342">
        <f>IFERROR(__xludf.DUMMYFUNCTION("""COMPUTED_VALUE"""),4.29)</f>
        <v>4.29</v>
      </c>
      <c r="S287" s="292"/>
      <c r="T287" s="292"/>
      <c r="U287" s="292"/>
      <c r="V287" s="292"/>
      <c r="W287" s="292" t="b">
        <f>IFERROR(__xludf.DUMMYFUNCTION("""COMPUTED_VALUE"""),TRUE)</f>
        <v>1</v>
      </c>
      <c r="X287" s="345">
        <f>IFERROR(__xludf.DUMMYFUNCTION("""COMPUTED_VALUE"""),416.0)</f>
        <v>416</v>
      </c>
      <c r="Y287" s="344">
        <f>IFERROR(__xludf.DUMMYFUNCTION("""COMPUTED_VALUE"""),496.0)</f>
        <v>496</v>
      </c>
      <c r="Z287" s="343">
        <f>IFERROR(__xludf.DUMMYFUNCTION("""COMPUTED_VALUE"""),26.8)</f>
        <v>26.8</v>
      </c>
      <c r="AA287" s="344">
        <f>IFERROR(__xludf.DUMMYFUNCTION("""COMPUTED_VALUE"""),14.0)</f>
        <v>14</v>
      </c>
      <c r="AB287" s="344">
        <f>IFERROR(__xludf.DUMMYFUNCTION("""COMPUTED_VALUE"""),29.9)</f>
        <v>29.9</v>
      </c>
      <c r="AC287" s="344">
        <f>IFERROR(__xludf.DUMMYFUNCTION("""COMPUTED_VALUE"""),8.7)</f>
        <v>8.7</v>
      </c>
      <c r="AD287" s="344">
        <f>IFERROR(__xludf.DUMMYFUNCTION("""COMPUTED_VALUE"""),5.9)</f>
        <v>5.9</v>
      </c>
      <c r="AE287" s="343">
        <f>IFERROR(__xludf.DUMMYFUNCTION("""COMPUTED_VALUE"""),30.6)</f>
        <v>30.6</v>
      </c>
      <c r="AF287" s="343">
        <f>IFERROR(__xludf.DUMMYFUNCTION("""COMPUTED_VALUE"""),2.23)</f>
        <v>2.23</v>
      </c>
      <c r="AG287" s="292" t="b">
        <f>IFERROR(__xludf.DUMMYFUNCTION("""COMPUTED_VALUE"""),FALSE)</f>
        <v>0</v>
      </c>
      <c r="AH287" s="292" t="b">
        <f>IFERROR(__xludf.DUMMYFUNCTION("""COMPUTED_VALUE"""),FALSE)</f>
        <v>0</v>
      </c>
      <c r="AI287" s="292" t="b">
        <f>IFERROR(__xludf.DUMMYFUNCTION("""COMPUTED_VALUE"""),TRUE)</f>
        <v>1</v>
      </c>
      <c r="AJ287" s="292" t="b">
        <f>IFERROR(__xludf.DUMMYFUNCTION("""COMPUTED_VALUE"""),FALSE)</f>
        <v>0</v>
      </c>
      <c r="AK287" s="292" t="b">
        <f>IFERROR(__xludf.DUMMYFUNCTION("""COMPUTED_VALUE"""),FALSE)</f>
        <v>0</v>
      </c>
      <c r="AL287" s="292" t="b">
        <f>IFERROR(__xludf.DUMMYFUNCTION("""COMPUTED_VALUE"""),FALSE)</f>
        <v>0</v>
      </c>
      <c r="AM287" s="292" t="b">
        <f>IFERROR(__xludf.DUMMYFUNCTION("""COMPUTED_VALUE"""),TRUE)</f>
        <v>1</v>
      </c>
      <c r="AN287" s="292" t="b">
        <f>IFERROR(__xludf.DUMMYFUNCTION("""COMPUTED_VALUE"""),FALSE)</f>
        <v>0</v>
      </c>
      <c r="AO287" s="292" t="str">
        <f>IFERROR(__xludf.DUMMYFUNCTION("""COMPUTED_VALUE"""),"FALSE")</f>
        <v>FALSE</v>
      </c>
      <c r="AP287" s="292" t="str">
        <f>IFERROR(__xludf.DUMMYFUNCTION("""COMPUTED_VALUE"""),"Chicken breast")</f>
        <v>Chicken breast</v>
      </c>
      <c r="AQ287" s="292" t="str">
        <f>IFERROR(__xludf.DUMMYFUNCTION("""COMPUTED_VALUE"""),"Chicken")</f>
        <v>Chicken</v>
      </c>
      <c r="AR287" s="292" t="str">
        <f>IFERROR(__xludf.DUMMYFUNCTION("""COMPUTED_VALUE"""),"Breast")</f>
        <v>Breast</v>
      </c>
      <c r="AS287" s="292" t="str">
        <f>IFERROR(__xludf.DUMMYFUNCTION("""COMPUTED_VALUE"""),"Potato Mash")</f>
        <v>Potato Mash</v>
      </c>
      <c r="AT287" s="292" t="str">
        <f>IFERROR(__xludf.DUMMYFUNCTION("""COMPUTED_VALUE"""),"Corn Kernels")</f>
        <v>Corn Kernels</v>
      </c>
      <c r="AU287" s="292" t="str">
        <f>IFERROR(__xludf.DUMMYFUNCTION("""COMPUTED_VALUE"""),"Zucchini Diced")</f>
        <v>Zucchini Diced</v>
      </c>
      <c r="AV287" s="292" t="str">
        <f>IFERROR(__xludf.DUMMYFUNCTION("""COMPUTED_VALUE"""),"Compound Butter")</f>
        <v>Compound Butter</v>
      </c>
      <c r="AW287" s="292" t="str">
        <f>IFERROR(__xludf.DUMMYFUNCTION("""COMPUTED_VALUE"""),"Year Round")</f>
        <v>Year Round</v>
      </c>
      <c r="AX287" s="292" t="str">
        <f>IFERROR(__xludf.DUMMYFUNCTION("""COMPUTED_VALUE"""),"French")</f>
        <v>French</v>
      </c>
      <c r="AY287" s="292"/>
      <c r="AZ287" s="292" t="str">
        <f>IFERROR(__xludf.DUMMYFUNCTION("""COMPUTED_VALUE"""),"2 CT")</f>
        <v>2 CT</v>
      </c>
      <c r="BA287" s="292" t="b">
        <f>IFERROR(__xludf.DUMMYFUNCTION("""COMPUTED_VALUE"""),FALSE)</f>
        <v>0</v>
      </c>
      <c r="BB287" s="342">
        <f>IFERROR(__xludf.DUMMYFUNCTION("""COMPUTED_VALUE"""),2.53)</f>
        <v>2.53</v>
      </c>
      <c r="BC287" s="342">
        <f>IFERROR(__xludf.DUMMYFUNCTION("""COMPUTED_VALUE"""),1.36)</f>
        <v>1.36</v>
      </c>
      <c r="BD287" s="342">
        <f>IFERROR(__xludf.DUMMYFUNCTION("""COMPUTED_VALUE"""),0.4)</f>
        <v>0.4</v>
      </c>
      <c r="BE287" s="342">
        <f>IFERROR(__xludf.DUMMYFUNCTION("""COMPUTED_VALUE"""),0.89)</f>
        <v>0.89</v>
      </c>
      <c r="BF287" s="296" t="str">
        <f>IFERROR(__xludf.DUMMYFUNCTION("""COMPUTED_VALUE"""),"#REF!")</f>
        <v>#REF!</v>
      </c>
      <c r="BG287" s="296" t="str">
        <f>IFERROR(__xludf.DUMMYFUNCTION("""COMPUTED_VALUE"""),"#REF!")</f>
        <v>#REF!</v>
      </c>
      <c r="BH287" s="296" t="str">
        <f>IFERROR(__xludf.DUMMYFUNCTION("""COMPUTED_VALUE"""),"#REF!")</f>
        <v>#REF!</v>
      </c>
      <c r="BI287" s="295">
        <f>IFERROR(__xludf.DUMMYFUNCTION("""COMPUTED_VALUE"""),158.0)</f>
        <v>158</v>
      </c>
      <c r="BJ287" s="292"/>
      <c r="BK287" s="346">
        <f>IFERROR(__xludf.DUMMYFUNCTION("""COMPUTED_VALUE"""),2076.0)</f>
        <v>2076</v>
      </c>
      <c r="BL287" s="292"/>
      <c r="BM287" s="292"/>
      <c r="BN287" s="292"/>
      <c r="BO287" s="292"/>
      <c r="BP287" s="292"/>
      <c r="BQ287" s="292"/>
      <c r="BR287" s="292" t="b">
        <f>IFERROR(__xludf.DUMMYFUNCTION("""COMPUTED_VALUE"""),FALSE)</f>
        <v>0</v>
      </c>
      <c r="BS287" s="292" t="b">
        <f>IFERROR(__xludf.DUMMYFUNCTION("""COMPUTED_VALUE"""),FALSE)</f>
        <v>0</v>
      </c>
      <c r="BT287" s="292"/>
      <c r="BU287" s="292"/>
      <c r="BV287" s="292"/>
      <c r="BW287" s="292"/>
    </row>
    <row r="288">
      <c r="A288" s="292" t="str">
        <f>IFERROR(__xludf.DUMMYFUNCTION("""COMPUTED_VALUE"""),"FE0746B")</f>
        <v>FE0746B</v>
      </c>
      <c r="B288" s="292" t="str">
        <f>IFERROR(__xludf.DUMMYFUNCTION("""COMPUTED_VALUE"""),"CON-40-143706-4")</f>
        <v>CON-40-143706-4</v>
      </c>
      <c r="C288" s="292" t="str">
        <f>IFERROR(__xludf.DUMMYFUNCTION("""COMPUTED_VALUE"""),"CON-00-147857-2")</f>
        <v>CON-00-147857-2</v>
      </c>
      <c r="D288" s="292" t="str">
        <f>IFERROR(__xludf.DUMMYFUNCTION("""COMPUTED_VALUE"""),"CON-00-136694-3")</f>
        <v>CON-00-136694-3</v>
      </c>
      <c r="E288" s="292" t="str">
        <f>IFERROR(__xludf.DUMMYFUNCTION("""COMPUTED_VALUE"""),"Spicy ground beef with jalapenos")</f>
        <v>Spicy ground beef with jalapenos</v>
      </c>
      <c r="F288" s="292" t="str">
        <f>IFERROR(__xludf.DUMMYFUNCTION("""COMPUTED_VALUE"""),"with cauliflower rice, courgette and coriander crema")</f>
        <v>with cauliflower rice, courgette and coriander crema</v>
      </c>
      <c r="G288" s="292" t="str">
        <f>IFERROR(__xludf.DUMMYFUNCTION("""COMPUTED_VALUE"""),"Pittig rundergehakt met jalapeno's")</f>
        <v>Pittig rundergehakt met jalapeno's</v>
      </c>
      <c r="H288" s="292" t="str">
        <f>IFERROR(__xludf.DUMMYFUNCTION("""COMPUTED_VALUE"""),"met bloemkoolrijst, courgette en koriander-crème")</f>
        <v>met bloemkoolrijst, courgette en koriander-crème</v>
      </c>
      <c r="I288" s="292" t="str">
        <f>IFERROR(__xludf.DUMMYFUNCTION("""COMPUTED_VALUE"""),"Spicy hakket oksekød med jalapeños")</f>
        <v>Spicy hakket oksekød med jalapeños</v>
      </c>
      <c r="J288" s="292" t="str">
        <f>IFERROR(__xludf.DUMMYFUNCTION("""COMPUTED_VALUE"""),"Pikantes Hackfleisch mit Jalapeño")</f>
        <v>Pikantes Hackfleisch mit Jalapeño</v>
      </c>
      <c r="K288" s="292">
        <f>IFERROR(__xludf.DUMMYFUNCTION("""COMPUTED_VALUE"""),565311.0)</f>
        <v>565311</v>
      </c>
      <c r="L288" s="292" t="str">
        <f>IFERROR(__xludf.DUMMYFUNCTION("""COMPUTED_VALUE"""),"HF RW Pittige gehakt jalapeño")</f>
        <v>HF RW Pittige gehakt jalapeño</v>
      </c>
      <c r="M288" s="292" t="str">
        <f>IFERROR(__xludf.DUMMYFUNCTION("""COMPUTED_VALUE"""),"FA-NL Pittig rundergehakt met jalapenos (FE0746)")</f>
        <v>FA-NL Pittig rundergehakt met jalapenos (FE0746)</v>
      </c>
      <c r="N288" s="292" t="str">
        <f>IFERROR(__xludf.DUMMYFUNCTION("""COMPUTED_VALUE"""),"FA-NO Krydret hakkebøf med jalapenos (FE0746)")</f>
        <v>FA-NO Krydret hakkebøf med jalapenos (FE0746)</v>
      </c>
      <c r="O288" s="292" t="str">
        <f>IFERROR(__xludf.DUMMYFUNCTION("""COMPUTED_VALUE"""),"FA-DE Scharfes Rinderhack mit Jalapeños (FE0746)")</f>
        <v>FA-DE Scharfes Rinderhack mit Jalapeños (FE0746)</v>
      </c>
      <c r="P288" s="292" t="str">
        <f>IFERROR(__xludf.DUMMYFUNCTION("""COMPUTED_VALUE"""),"Active")</f>
        <v>Active</v>
      </c>
      <c r="Q288" s="292"/>
      <c r="R288" s="342">
        <f>IFERROR(__xludf.DUMMYFUNCTION("""COMPUTED_VALUE"""),4.47)</f>
        <v>4.47</v>
      </c>
      <c r="S288" s="292"/>
      <c r="T288" s="292"/>
      <c r="U288" s="292"/>
      <c r="V288" s="292"/>
      <c r="W288" s="292" t="b">
        <f>IFERROR(__xludf.DUMMYFUNCTION("""COMPUTED_VALUE"""),TRUE)</f>
        <v>1</v>
      </c>
      <c r="X288" s="345">
        <f>IFERROR(__xludf.DUMMYFUNCTION("""COMPUTED_VALUE"""),417.0)</f>
        <v>417</v>
      </c>
      <c r="Y288" s="344">
        <f>IFERROR(__xludf.DUMMYFUNCTION("""COMPUTED_VALUE"""),513.0)</f>
        <v>513</v>
      </c>
      <c r="Z288" s="343">
        <f>IFERROR(__xludf.DUMMYFUNCTION("""COMPUTED_VALUE"""),38.1)</f>
        <v>38.1</v>
      </c>
      <c r="AA288" s="344">
        <f>IFERROR(__xludf.DUMMYFUNCTION("""COMPUTED_VALUE"""),19.0)</f>
        <v>19</v>
      </c>
      <c r="AB288" s="344">
        <f>IFERROR(__xludf.DUMMYFUNCTION("""COMPUTED_VALUE"""),13.6)</f>
        <v>13.6</v>
      </c>
      <c r="AC288" s="344">
        <f>IFERROR(__xludf.DUMMYFUNCTION("""COMPUTED_VALUE"""),8.7)</f>
        <v>8.7</v>
      </c>
      <c r="AD288" s="344">
        <f>IFERROR(__xludf.DUMMYFUNCTION("""COMPUTED_VALUE"""),5.0)</f>
        <v>5</v>
      </c>
      <c r="AE288" s="343">
        <f>IFERROR(__xludf.DUMMYFUNCTION("""COMPUTED_VALUE"""),25.8)</f>
        <v>25.8</v>
      </c>
      <c r="AF288" s="343">
        <f>IFERROR(__xludf.DUMMYFUNCTION("""COMPUTED_VALUE"""),2.24)</f>
        <v>2.24</v>
      </c>
      <c r="AG288" s="292" t="b">
        <f>IFERROR(__xludf.DUMMYFUNCTION("""COMPUTED_VALUE"""),TRUE)</f>
        <v>1</v>
      </c>
      <c r="AH288" s="292" t="b">
        <f>IFERROR(__xludf.DUMMYFUNCTION("""COMPUTED_VALUE"""),TRUE)</f>
        <v>1</v>
      </c>
      <c r="AI288" s="292" t="b">
        <f>IFERROR(__xludf.DUMMYFUNCTION("""COMPUTED_VALUE"""),FALSE)</f>
        <v>0</v>
      </c>
      <c r="AJ288" s="292" t="b">
        <f>IFERROR(__xludf.DUMMYFUNCTION("""COMPUTED_VALUE"""),FALSE)</f>
        <v>0</v>
      </c>
      <c r="AK288" s="292" t="b">
        <f>IFERROR(__xludf.DUMMYFUNCTION("""COMPUTED_VALUE"""),FALSE)</f>
        <v>0</v>
      </c>
      <c r="AL288" s="292" t="b">
        <f>IFERROR(__xludf.DUMMYFUNCTION("""COMPUTED_VALUE"""),FALSE)</f>
        <v>0</v>
      </c>
      <c r="AM288" s="292" t="b">
        <f>IFERROR(__xludf.DUMMYFUNCTION("""COMPUTED_VALUE"""),FALSE)</f>
        <v>0</v>
      </c>
      <c r="AN288" s="292" t="b">
        <f>IFERROR(__xludf.DUMMYFUNCTION("""COMPUTED_VALUE"""),FALSE)</f>
        <v>0</v>
      </c>
      <c r="AO288" s="292" t="str">
        <f>IFERROR(__xludf.DUMMYFUNCTION("""COMPUTED_VALUE"""),"FALSE")</f>
        <v>FALSE</v>
      </c>
      <c r="AP288" s="292" t="str">
        <f>IFERROR(__xludf.DUMMYFUNCTION("""COMPUTED_VALUE"""),"Ground beef")</f>
        <v>Ground beef</v>
      </c>
      <c r="AQ288" s="292" t="str">
        <f>IFERROR(__xludf.DUMMYFUNCTION("""COMPUTED_VALUE"""),"Beef")</f>
        <v>Beef</v>
      </c>
      <c r="AR288" s="292" t="str">
        <f>IFERROR(__xludf.DUMMYFUNCTION("""COMPUTED_VALUE"""),"Ground")</f>
        <v>Ground</v>
      </c>
      <c r="AS288" s="292" t="str">
        <f>IFERROR(__xludf.DUMMYFUNCTION("""COMPUTED_VALUE"""),"Cauliflower Rice")</f>
        <v>Cauliflower Rice</v>
      </c>
      <c r="AT288" s="292" t="str">
        <f>IFERROR(__xludf.DUMMYFUNCTION("""COMPUTED_VALUE"""),"Zucchini Diced")</f>
        <v>Zucchini Diced</v>
      </c>
      <c r="AU288" s="292" t="str">
        <f>IFERROR(__xludf.DUMMYFUNCTION("""COMPUTED_VALUE"""),"Cheese")</f>
        <v>Cheese</v>
      </c>
      <c r="AV288" s="292" t="str">
        <f>IFERROR(__xludf.DUMMYFUNCTION("""COMPUTED_VALUE"""),"Jalapeno slices")</f>
        <v>Jalapeno slices</v>
      </c>
      <c r="AW288" s="292" t="str">
        <f>IFERROR(__xludf.DUMMYFUNCTION("""COMPUTED_VALUE"""),"Year Round")</f>
        <v>Year Round</v>
      </c>
      <c r="AX288" s="292" t="str">
        <f>IFERROR(__xludf.DUMMYFUNCTION("""COMPUTED_VALUE"""),"Mexican")</f>
        <v>Mexican</v>
      </c>
      <c r="AY288" s="292"/>
      <c r="AZ288" s="292" t="str">
        <f>IFERROR(__xludf.DUMMYFUNCTION("""COMPUTED_VALUE"""),"2 CT")</f>
        <v>2 CT</v>
      </c>
      <c r="BA288" s="292" t="b">
        <f>IFERROR(__xludf.DUMMYFUNCTION("""COMPUTED_VALUE"""),TRUE)</f>
        <v>1</v>
      </c>
      <c r="BB288" s="342">
        <f>IFERROR(__xludf.DUMMYFUNCTION("""COMPUTED_VALUE"""),2.44)</f>
        <v>2.44</v>
      </c>
      <c r="BC288" s="342">
        <f>IFERROR(__xludf.DUMMYFUNCTION("""COMPUTED_VALUE"""),1.6)</f>
        <v>1.6</v>
      </c>
      <c r="BD288" s="342">
        <f>IFERROR(__xludf.DUMMYFUNCTION("""COMPUTED_VALUE"""),0.43)</f>
        <v>0.43</v>
      </c>
      <c r="BE288" s="342">
        <f>IFERROR(__xludf.DUMMYFUNCTION("""COMPUTED_VALUE"""),0.89)</f>
        <v>0.89</v>
      </c>
      <c r="BF288" s="296" t="str">
        <f>IFERROR(__xludf.DUMMYFUNCTION("""COMPUTED_VALUE"""),"#REF!")</f>
        <v>#REF!</v>
      </c>
      <c r="BG288" s="296" t="str">
        <f>IFERROR(__xludf.DUMMYFUNCTION("""COMPUTED_VALUE"""),"#REF!")</f>
        <v>#REF!</v>
      </c>
      <c r="BH288" s="296" t="str">
        <f>IFERROR(__xludf.DUMMYFUNCTION("""COMPUTED_VALUE"""),"#REF!")</f>
        <v>#REF!</v>
      </c>
      <c r="BI288" s="295">
        <f>IFERROR(__xludf.DUMMYFUNCTION("""COMPUTED_VALUE"""),207.0)</f>
        <v>207</v>
      </c>
      <c r="BJ288" s="292"/>
      <c r="BK288" s="346">
        <f>IFERROR(__xludf.DUMMYFUNCTION("""COMPUTED_VALUE"""),2137.0)</f>
        <v>2137</v>
      </c>
      <c r="BL288" s="292"/>
      <c r="BM288" s="292"/>
      <c r="BN288" s="292"/>
      <c r="BO288" s="292"/>
      <c r="BP288" s="292"/>
      <c r="BQ288" s="292"/>
      <c r="BR288" s="292" t="b">
        <f>IFERROR(__xludf.DUMMYFUNCTION("""COMPUTED_VALUE"""),FALSE)</f>
        <v>0</v>
      </c>
      <c r="BS288" s="292" t="b">
        <f>IFERROR(__xludf.DUMMYFUNCTION("""COMPUTED_VALUE"""),FALSE)</f>
        <v>0</v>
      </c>
      <c r="BT288" s="292"/>
      <c r="BU288" s="292"/>
      <c r="BV288" s="292"/>
      <c r="BW288" s="292"/>
    </row>
    <row r="289">
      <c r="A289" s="292" t="str">
        <f>IFERROR(__xludf.DUMMYFUNCTION("""COMPUTED_VALUE"""),"FE0401F")</f>
        <v>FE0401F</v>
      </c>
      <c r="B289" s="292" t="str">
        <f>IFERROR(__xludf.DUMMYFUNCTION("""COMPUTED_VALUE"""),"CON-40-143715-4")</f>
        <v>CON-40-143715-4</v>
      </c>
      <c r="C289" s="292" t="str">
        <f>IFERROR(__xludf.DUMMYFUNCTION("""COMPUTED_VALUE"""),"CON-00-147836-2")</f>
        <v>CON-00-147836-2</v>
      </c>
      <c r="D289" s="292" t="str">
        <f>IFERROR(__xludf.DUMMYFUNCTION("""COMPUTED_VALUE"""),"CON-00-136648-3")</f>
        <v>CON-00-136648-3</v>
      </c>
      <c r="E289" s="292" t="str">
        <f>IFERROR(__xludf.DUMMYFUNCTION("""COMPUTED_VALUE"""),"Pulled chicken with cheddar and bacon")</f>
        <v>Pulled chicken with cheddar and bacon</v>
      </c>
      <c r="F289" s="292" t="str">
        <f>IFERROR(__xludf.DUMMYFUNCTION("""COMPUTED_VALUE"""),"with cheese sauce, roasted portobello and broccoli")</f>
        <v>with cheese sauce, roasted portobello and broccoli</v>
      </c>
      <c r="G289" s="292" t="str">
        <f>IFERROR(__xludf.DUMMYFUNCTION("""COMPUTED_VALUE"""),"Pulled chicken met cheddar en spek")</f>
        <v>Pulled chicken met cheddar en spek</v>
      </c>
      <c r="H289" s="292" t="str">
        <f>IFERROR(__xludf.DUMMYFUNCTION("""COMPUTED_VALUE"""),"met kaassaus, geroosterde portobello en broccoli")</f>
        <v>met kaassaus, geroosterde portobello en broccoli</v>
      </c>
      <c r="I289" s="292" t="str">
        <f>IFERROR(__xludf.DUMMYFUNCTION("""COMPUTED_VALUE"""),"Pulled chicken med cheddar og bacon")</f>
        <v>Pulled chicken med cheddar og bacon</v>
      </c>
      <c r="J289" s="292" t="str">
        <f>IFERROR(__xludf.DUMMYFUNCTION("""COMPUTED_VALUE"""),"Pulled Chicken mit Cheddar und Speck")</f>
        <v>Pulled Chicken mit Cheddar und Speck</v>
      </c>
      <c r="K289" s="292">
        <f>IFERROR(__xludf.DUMMYFUNCTION("""COMPUTED_VALUE"""),565151.0)</f>
        <v>565151</v>
      </c>
      <c r="L289" s="292" t="str">
        <f>IFERROR(__xludf.DUMMYFUNCTION("""COMPUTED_VALUE"""),"HF RW Pulled chicken ched/baco")</f>
        <v>HF RW Pulled chicken ched/baco</v>
      </c>
      <c r="M289" s="292" t="str">
        <f>IFERROR(__xludf.DUMMYFUNCTION("""COMPUTED_VALUE"""),"FA-NL Pulled chicken met cheddar en bacon (FE0401)")</f>
        <v>FA-NL Pulled chicken met cheddar en bacon (FE0401)</v>
      </c>
      <c r="N289" s="292" t="str">
        <f>IFERROR(__xludf.DUMMYFUNCTION("""COMPUTED_VALUE"""),"FA-NO Pulled chicken med cheddar og bacon (FE0401)")</f>
        <v>FA-NO Pulled chicken med cheddar og bacon (FE0401)</v>
      </c>
      <c r="O289" s="292" t="str">
        <f>IFERROR(__xludf.DUMMYFUNCTION("""COMPUTED_VALUE"""),"FA-DE Pulled Chicken mit Cheddar und Speck (FE0401)")</f>
        <v>FA-DE Pulled Chicken mit Cheddar und Speck (FE0401)</v>
      </c>
      <c r="P289" s="292" t="str">
        <f>IFERROR(__xludf.DUMMYFUNCTION("""COMPUTED_VALUE"""),"Active")</f>
        <v>Active</v>
      </c>
      <c r="Q289" s="292"/>
      <c r="R289" s="342">
        <f>IFERROR(__xludf.DUMMYFUNCTION("""COMPUTED_VALUE"""),5.34)</f>
        <v>5.34</v>
      </c>
      <c r="S289" s="292"/>
      <c r="T289" s="292"/>
      <c r="U289" s="292"/>
      <c r="V289" s="292"/>
      <c r="W289" s="292" t="b">
        <f>IFERROR(__xludf.DUMMYFUNCTION("""COMPUTED_VALUE"""),TRUE)</f>
        <v>1</v>
      </c>
      <c r="X289" s="345">
        <f>IFERROR(__xludf.DUMMYFUNCTION("""COMPUTED_VALUE"""),380.0)</f>
        <v>380</v>
      </c>
      <c r="Y289" s="344">
        <f>IFERROR(__xludf.DUMMYFUNCTION("""COMPUTED_VALUE"""),743.0)</f>
        <v>743</v>
      </c>
      <c r="Z289" s="343">
        <f>IFERROR(__xludf.DUMMYFUNCTION("""COMPUTED_VALUE"""),59.3)</f>
        <v>59.3</v>
      </c>
      <c r="AA289" s="344">
        <f>IFERROR(__xludf.DUMMYFUNCTION("""COMPUTED_VALUE"""),18.4)</f>
        <v>18.4</v>
      </c>
      <c r="AB289" s="344">
        <f>IFERROR(__xludf.DUMMYFUNCTION("""COMPUTED_VALUE"""),7.3)</f>
        <v>7.3</v>
      </c>
      <c r="AC289" s="344">
        <f>IFERROR(__xludf.DUMMYFUNCTION("""COMPUTED_VALUE"""),4.8)</f>
        <v>4.8</v>
      </c>
      <c r="AD289" s="344">
        <f>IFERROR(__xludf.DUMMYFUNCTION("""COMPUTED_VALUE"""),6.2)</f>
        <v>6.2</v>
      </c>
      <c r="AE289" s="343">
        <f>IFERROR(__xludf.DUMMYFUNCTION("""COMPUTED_VALUE"""),43.2)</f>
        <v>43.2</v>
      </c>
      <c r="AF289" s="343">
        <f>IFERROR(__xludf.DUMMYFUNCTION("""COMPUTED_VALUE"""),2.23)</f>
        <v>2.23</v>
      </c>
      <c r="AG289" s="292" t="b">
        <f>IFERROR(__xludf.DUMMYFUNCTION("""COMPUTED_VALUE"""),FALSE)</f>
        <v>0</v>
      </c>
      <c r="AH289" s="292" t="b">
        <f>IFERROR(__xludf.DUMMYFUNCTION("""COMPUTED_VALUE"""),TRUE)</f>
        <v>1</v>
      </c>
      <c r="AI289" s="292" t="b">
        <f>IFERROR(__xludf.DUMMYFUNCTION("""COMPUTED_VALUE"""),FALSE)</f>
        <v>0</v>
      </c>
      <c r="AJ289" s="292" t="b">
        <f>IFERROR(__xludf.DUMMYFUNCTION("""COMPUTED_VALUE"""),FALSE)</f>
        <v>0</v>
      </c>
      <c r="AK289" s="292" t="b">
        <f>IFERROR(__xludf.DUMMYFUNCTION("""COMPUTED_VALUE"""),FALSE)</f>
        <v>0</v>
      </c>
      <c r="AL289" s="292" t="b">
        <f>IFERROR(__xludf.DUMMYFUNCTION("""COMPUTED_VALUE"""),FALSE)</f>
        <v>0</v>
      </c>
      <c r="AM289" s="292" t="b">
        <f>IFERROR(__xludf.DUMMYFUNCTION("""COMPUTED_VALUE"""),TRUE)</f>
        <v>1</v>
      </c>
      <c r="AN289" s="292" t="b">
        <f>IFERROR(__xludf.DUMMYFUNCTION("""COMPUTED_VALUE"""),FALSE)</f>
        <v>0</v>
      </c>
      <c r="AO289" s="292" t="str">
        <f>IFERROR(__xludf.DUMMYFUNCTION("""COMPUTED_VALUE"""),"FALSE")</f>
        <v>FALSE</v>
      </c>
      <c r="AP289" s="292" t="str">
        <f>IFERROR(__xludf.DUMMYFUNCTION("""COMPUTED_VALUE"""),"Shredded chicken")</f>
        <v>Shredded chicken</v>
      </c>
      <c r="AQ289" s="292" t="str">
        <f>IFERROR(__xludf.DUMMYFUNCTION("""COMPUTED_VALUE"""),"Chicken")</f>
        <v>Chicken</v>
      </c>
      <c r="AR289" s="292" t="str">
        <f>IFERROR(__xludf.DUMMYFUNCTION("""COMPUTED_VALUE"""),"Pulled")</f>
        <v>Pulled</v>
      </c>
      <c r="AS289" s="292" t="str">
        <f>IFERROR(__xludf.DUMMYFUNCTION("""COMPUTED_VALUE"""),"Mushrooms")</f>
        <v>Mushrooms</v>
      </c>
      <c r="AT289" s="292" t="str">
        <f>IFERROR(__xludf.DUMMYFUNCTION("""COMPUTED_VALUE"""),"Broccoli")</f>
        <v>Broccoli</v>
      </c>
      <c r="AU289" s="292" t="str">
        <f>IFERROR(__xludf.DUMMYFUNCTION("""COMPUTED_VALUE"""),"Creamy Sauce Base")</f>
        <v>Creamy Sauce Base</v>
      </c>
      <c r="AV289" s="292" t="str">
        <f>IFERROR(__xludf.DUMMYFUNCTION("""COMPUTED_VALUE"""),"Cheese")</f>
        <v>Cheese</v>
      </c>
      <c r="AW289" s="292" t="str">
        <f>IFERROR(__xludf.DUMMYFUNCTION("""COMPUTED_VALUE"""),"Year Round")</f>
        <v>Year Round</v>
      </c>
      <c r="AX289" s="292" t="str">
        <f>IFERROR(__xludf.DUMMYFUNCTION("""COMPUTED_VALUE"""),"American")</f>
        <v>American</v>
      </c>
      <c r="AY289" s="292"/>
      <c r="AZ289" s="292" t="str">
        <f>IFERROR(__xludf.DUMMYFUNCTION("""COMPUTED_VALUE"""),"2 CT")</f>
        <v>2 CT</v>
      </c>
      <c r="BA289" s="292" t="b">
        <f>IFERROR(__xludf.DUMMYFUNCTION("""COMPUTED_VALUE"""),FALSE)</f>
        <v>0</v>
      </c>
      <c r="BB289" s="342">
        <f>IFERROR(__xludf.DUMMYFUNCTION("""COMPUTED_VALUE"""),3.16)</f>
        <v>3.16</v>
      </c>
      <c r="BC289" s="342">
        <f>IFERROR(__xludf.DUMMYFUNCTION("""COMPUTED_VALUE"""),1.77)</f>
        <v>1.77</v>
      </c>
      <c r="BD289" s="342">
        <f>IFERROR(__xludf.DUMMYFUNCTION("""COMPUTED_VALUE"""),0.4)</f>
        <v>0.4</v>
      </c>
      <c r="BE289" s="342">
        <f>IFERROR(__xludf.DUMMYFUNCTION("""COMPUTED_VALUE"""),0.89)</f>
        <v>0.89</v>
      </c>
      <c r="BF289" s="296" t="str">
        <f>IFERROR(__xludf.DUMMYFUNCTION("""COMPUTED_VALUE"""),"#REF!")</f>
        <v>#REF!</v>
      </c>
      <c r="BG289" s="296" t="str">
        <f>IFERROR(__xludf.DUMMYFUNCTION("""COMPUTED_VALUE"""),"#REF!")</f>
        <v>#REF!</v>
      </c>
      <c r="BH289" s="296" t="str">
        <f>IFERROR(__xludf.DUMMYFUNCTION("""COMPUTED_VALUE"""),"#REF!")</f>
        <v>#REF!</v>
      </c>
      <c r="BI289" s="295">
        <f>IFERROR(__xludf.DUMMYFUNCTION("""COMPUTED_VALUE"""),152.0)</f>
        <v>152</v>
      </c>
      <c r="BJ289" s="292"/>
      <c r="BK289" s="346">
        <f>IFERROR(__xludf.DUMMYFUNCTION("""COMPUTED_VALUE"""),3087.0)</f>
        <v>3087</v>
      </c>
      <c r="BL289" s="292"/>
      <c r="BM289" s="292"/>
      <c r="BN289" s="292"/>
      <c r="BO289" s="292"/>
      <c r="BP289" s="292"/>
      <c r="BQ289" s="292"/>
      <c r="BR289" s="292" t="b">
        <f>IFERROR(__xludf.DUMMYFUNCTION("""COMPUTED_VALUE"""),FALSE)</f>
        <v>0</v>
      </c>
      <c r="BS289" s="292" t="b">
        <f>IFERROR(__xludf.DUMMYFUNCTION("""COMPUTED_VALUE"""),FALSE)</f>
        <v>0</v>
      </c>
      <c r="BT289" s="292"/>
      <c r="BU289" s="292"/>
      <c r="BV289" s="292"/>
      <c r="BW289" s="292"/>
    </row>
    <row r="290">
      <c r="A290" s="292" t="str">
        <f>IFERROR(__xludf.DUMMYFUNCTION("""COMPUTED_VALUE"""),"FE4014C")</f>
        <v>FE4014C</v>
      </c>
      <c r="B290" s="292" t="str">
        <f>IFERROR(__xludf.DUMMYFUNCTION("""COMPUTED_VALUE"""),"CON-40-143720-4")</f>
        <v>CON-40-143720-4</v>
      </c>
      <c r="C290" s="292" t="str">
        <f>IFERROR(__xludf.DUMMYFUNCTION("""COMPUTED_VALUE"""),"CON-00-147877-2")</f>
        <v>CON-00-147877-2</v>
      </c>
      <c r="D290" s="292" t="str">
        <f>IFERROR(__xludf.DUMMYFUNCTION("""COMPUTED_VALUE"""),"CON-00-136675-3")</f>
        <v>CON-00-136675-3</v>
      </c>
      <c r="E290" s="292" t="str">
        <f>IFERROR(__xludf.DUMMYFUNCTION("""COMPUTED_VALUE"""),"Creamy basil risotto with chicken")</f>
        <v>Creamy basil risotto with chicken</v>
      </c>
      <c r="F290" s="292" t="str">
        <f>IFERROR(__xludf.DUMMYFUNCTION("""COMPUTED_VALUE"""),"with courgette, peas, and parsley")</f>
        <v>with courgette, peas, and parsley</v>
      </c>
      <c r="G290" s="292" t="str">
        <f>IFERROR(__xludf.DUMMYFUNCTION("""COMPUTED_VALUE"""),"Romige basilicum-risotto met kipfilet")</f>
        <v>Romige basilicum-risotto met kipfilet</v>
      </c>
      <c r="H290" s="292" t="str">
        <f>IFERROR(__xludf.DUMMYFUNCTION("""COMPUTED_VALUE"""),"met courgette, doperwten en peterselie")</f>
        <v>met courgette, doperwten en peterselie</v>
      </c>
      <c r="I290" s="292" t="str">
        <f>IFERROR(__xludf.DUMMYFUNCTION("""COMPUTED_VALUE"""),"Cremet basilikumrisotto med kylling")</f>
        <v>Cremet basilikumrisotto med kylling</v>
      </c>
      <c r="J290" s="292" t="str">
        <f>IFERROR(__xludf.DUMMYFUNCTION("""COMPUTED_VALUE"""),"Cremiges Basilikum-Risotto mit Hähnchen")</f>
        <v>Cremiges Basilikum-Risotto mit Hähnchen</v>
      </c>
      <c r="K290" s="292">
        <f>IFERROR(__xludf.DUMMYFUNCTION("""COMPUTED_VALUE"""),565303.0)</f>
        <v>565303</v>
      </c>
      <c r="L290" s="292" t="str">
        <f>IFERROR(__xludf.DUMMYFUNCTION("""COMPUTED_VALUE"""),"HF RW Kip romige basil risotto")</f>
        <v>HF RW Kip romige basil risotto</v>
      </c>
      <c r="M290" s="292" t="str">
        <f>IFERROR(__xludf.DUMMYFUNCTION("""COMPUTED_VALUE"""),"FA-NL Romige basilicum-risotto met kipfilet (FE4014)")</f>
        <v>FA-NL Romige basilicum-risotto met kipfilet (FE4014)</v>
      </c>
      <c r="N290" s="292" t="str">
        <f>IFERROR(__xludf.DUMMYFUNCTION("""COMPUTED_VALUE"""),"FA-NO Cremet basilikumrisotto med kylling (FE4014)")</f>
        <v>FA-NO Cremet basilikumrisotto med kylling (FE4014)</v>
      </c>
      <c r="O290" s="292" t="str">
        <f>IFERROR(__xludf.DUMMYFUNCTION("""COMPUTED_VALUE"""),"FA-DE Cremiges Basilikum-Risotto (FE4014)")</f>
        <v>FA-DE Cremiges Basilikum-Risotto (FE4014)</v>
      </c>
      <c r="P290" s="292" t="str">
        <f>IFERROR(__xludf.DUMMYFUNCTION("""COMPUTED_VALUE"""),"Active")</f>
        <v>Active</v>
      </c>
      <c r="Q290" s="292"/>
      <c r="R290" s="342">
        <f>IFERROR(__xludf.DUMMYFUNCTION("""COMPUTED_VALUE"""),4.87)</f>
        <v>4.87</v>
      </c>
      <c r="S290" s="292"/>
      <c r="T290" s="292"/>
      <c r="U290" s="292"/>
      <c r="V290" s="292"/>
      <c r="W290" s="292" t="b">
        <f>IFERROR(__xludf.DUMMYFUNCTION("""COMPUTED_VALUE"""),TRUE)</f>
        <v>1</v>
      </c>
      <c r="X290" s="345">
        <f>IFERROR(__xludf.DUMMYFUNCTION("""COMPUTED_VALUE"""),429.0)</f>
        <v>429</v>
      </c>
      <c r="Y290" s="344">
        <f>IFERROR(__xludf.DUMMYFUNCTION("""COMPUTED_VALUE"""),530.0)</f>
        <v>530</v>
      </c>
      <c r="Z290" s="343">
        <f>IFERROR(__xludf.DUMMYFUNCTION("""COMPUTED_VALUE"""),24.3)</f>
        <v>24.3</v>
      </c>
      <c r="AA290" s="344">
        <f>IFERROR(__xludf.DUMMYFUNCTION("""COMPUTED_VALUE"""),12.7)</f>
        <v>12.7</v>
      </c>
      <c r="AB290" s="344">
        <f>IFERROR(__xludf.DUMMYFUNCTION("""COMPUTED_VALUE"""),43.5)</f>
        <v>43.5</v>
      </c>
      <c r="AC290" s="344">
        <f>IFERROR(__xludf.DUMMYFUNCTION("""COMPUTED_VALUE"""),8.7)</f>
        <v>8.7</v>
      </c>
      <c r="AD290" s="344">
        <f>IFERROR(__xludf.DUMMYFUNCTION("""COMPUTED_VALUE"""),4.6)</f>
        <v>4.6</v>
      </c>
      <c r="AE290" s="343">
        <f>IFERROR(__xludf.DUMMYFUNCTION("""COMPUTED_VALUE"""),32.7)</f>
        <v>32.7</v>
      </c>
      <c r="AF290" s="343">
        <f>IFERROR(__xludf.DUMMYFUNCTION("""COMPUTED_VALUE"""),2.22)</f>
        <v>2.22</v>
      </c>
      <c r="AG290" s="292" t="b">
        <f>IFERROR(__xludf.DUMMYFUNCTION("""COMPUTED_VALUE"""),FALSE)</f>
        <v>0</v>
      </c>
      <c r="AH290" s="292" t="b">
        <f>IFERROR(__xludf.DUMMYFUNCTION("""COMPUTED_VALUE"""),FALSE)</f>
        <v>0</v>
      </c>
      <c r="AI290" s="292" t="b">
        <f>IFERROR(__xludf.DUMMYFUNCTION("""COMPUTED_VALUE"""),TRUE)</f>
        <v>1</v>
      </c>
      <c r="AJ290" s="292" t="b">
        <f>IFERROR(__xludf.DUMMYFUNCTION("""COMPUTED_VALUE"""),FALSE)</f>
        <v>0</v>
      </c>
      <c r="AK290" s="292" t="b">
        <f>IFERROR(__xludf.DUMMYFUNCTION("""COMPUTED_VALUE"""),FALSE)</f>
        <v>0</v>
      </c>
      <c r="AL290" s="292" t="b">
        <f>IFERROR(__xludf.DUMMYFUNCTION("""COMPUTED_VALUE"""),FALSE)</f>
        <v>0</v>
      </c>
      <c r="AM290" s="292" t="b">
        <f>IFERROR(__xludf.DUMMYFUNCTION("""COMPUTED_VALUE"""),TRUE)</f>
        <v>1</v>
      </c>
      <c r="AN290" s="292" t="b">
        <f>IFERROR(__xludf.DUMMYFUNCTION("""COMPUTED_VALUE"""),FALSE)</f>
        <v>0</v>
      </c>
      <c r="AO290" s="292" t="str">
        <f>IFERROR(__xludf.DUMMYFUNCTION("""COMPUTED_VALUE"""),"FALSE")</f>
        <v>FALSE</v>
      </c>
      <c r="AP290" s="292" t="str">
        <f>IFERROR(__xludf.DUMMYFUNCTION("""COMPUTED_VALUE"""),"Chicken breast")</f>
        <v>Chicken breast</v>
      </c>
      <c r="AQ290" s="292" t="str">
        <f>IFERROR(__xludf.DUMMYFUNCTION("""COMPUTED_VALUE"""),"Chicken")</f>
        <v>Chicken</v>
      </c>
      <c r="AR290" s="292" t="str">
        <f>IFERROR(__xludf.DUMMYFUNCTION("""COMPUTED_VALUE"""),"Breast")</f>
        <v>Breast</v>
      </c>
      <c r="AS290" s="292" t="str">
        <f>IFERROR(__xludf.DUMMYFUNCTION("""COMPUTED_VALUE"""),"Risotto")</f>
        <v>Risotto</v>
      </c>
      <c r="AT290" s="292" t="str">
        <f>IFERROR(__xludf.DUMMYFUNCTION("""COMPUTED_VALUE"""),"Zucchini Half Moon")</f>
        <v>Zucchini Half Moon</v>
      </c>
      <c r="AU290" s="292" t="str">
        <f>IFERROR(__xludf.DUMMYFUNCTION("""COMPUTED_VALUE"""),"Peas")</f>
        <v>Peas</v>
      </c>
      <c r="AV290" s="292" t="str">
        <f>IFERROR(__xludf.DUMMYFUNCTION("""COMPUTED_VALUE"""),"Red bell pepper")</f>
        <v>Red bell pepper</v>
      </c>
      <c r="AW290" s="292" t="str">
        <f>IFERROR(__xludf.DUMMYFUNCTION("""COMPUTED_VALUE"""),"Year Round")</f>
        <v>Year Round</v>
      </c>
      <c r="AX290" s="292" t="str">
        <f>IFERROR(__xludf.DUMMYFUNCTION("""COMPUTED_VALUE"""),"Italian")</f>
        <v>Italian</v>
      </c>
      <c r="AY290" s="292"/>
      <c r="AZ290" s="292" t="str">
        <f>IFERROR(__xludf.DUMMYFUNCTION("""COMPUTED_VALUE"""),"2 CT")</f>
        <v>2 CT</v>
      </c>
      <c r="BA290" s="292" t="b">
        <f>IFERROR(__xludf.DUMMYFUNCTION("""COMPUTED_VALUE"""),FALSE)</f>
        <v>0</v>
      </c>
      <c r="BB290" s="342">
        <f>IFERROR(__xludf.DUMMYFUNCTION("""COMPUTED_VALUE"""),3.06)</f>
        <v>3.06</v>
      </c>
      <c r="BC290" s="342">
        <f>IFERROR(__xludf.DUMMYFUNCTION("""COMPUTED_VALUE"""),1.41)</f>
        <v>1.41</v>
      </c>
      <c r="BD290" s="342">
        <f>IFERROR(__xludf.DUMMYFUNCTION("""COMPUTED_VALUE"""),0.4)</f>
        <v>0.4</v>
      </c>
      <c r="BE290" s="342">
        <f>IFERROR(__xludf.DUMMYFUNCTION("""COMPUTED_VALUE"""),0.89)</f>
        <v>0.89</v>
      </c>
      <c r="BF290" s="296" t="str">
        <f>IFERROR(__xludf.DUMMYFUNCTION("""COMPUTED_VALUE"""),"#REF!")</f>
        <v>#REF!</v>
      </c>
      <c r="BG290" s="296" t="str">
        <f>IFERROR(__xludf.DUMMYFUNCTION("""COMPUTED_VALUE"""),"#REF!")</f>
        <v>#REF!</v>
      </c>
      <c r="BH290" s="296" t="str">
        <f>IFERROR(__xludf.DUMMYFUNCTION("""COMPUTED_VALUE"""),"#REF!")</f>
        <v>#REF!</v>
      </c>
      <c r="BI290" s="295">
        <f>IFERROR(__xludf.DUMMYFUNCTION("""COMPUTED_VALUE"""),172.0)</f>
        <v>172</v>
      </c>
      <c r="BJ290" s="292"/>
      <c r="BK290" s="346">
        <f>IFERROR(__xludf.DUMMYFUNCTION("""COMPUTED_VALUE"""),2223.0)</f>
        <v>2223</v>
      </c>
      <c r="BL290" s="292"/>
      <c r="BM290" s="292"/>
      <c r="BN290" s="292"/>
      <c r="BO290" s="292"/>
      <c r="BP290" s="292"/>
      <c r="BQ290" s="292"/>
      <c r="BR290" s="292" t="b">
        <f>IFERROR(__xludf.DUMMYFUNCTION("""COMPUTED_VALUE"""),FALSE)</f>
        <v>0</v>
      </c>
      <c r="BS290" s="292" t="b">
        <f>IFERROR(__xludf.DUMMYFUNCTION("""COMPUTED_VALUE"""),FALSE)</f>
        <v>0</v>
      </c>
      <c r="BT290" s="292"/>
      <c r="BU290" s="292"/>
      <c r="BV290" s="292"/>
      <c r="BW290" s="292"/>
    </row>
    <row r="291">
      <c r="A291" s="292" t="str">
        <f>IFERROR(__xludf.DUMMYFUNCTION("""COMPUTED_VALUE"""),"FE0198E")</f>
        <v>FE0198E</v>
      </c>
      <c r="B291" s="292" t="str">
        <f>IFERROR(__xludf.DUMMYFUNCTION("""COMPUTED_VALUE"""),"CON-40-143710-4")</f>
        <v>CON-40-143710-4</v>
      </c>
      <c r="C291" s="292" t="str">
        <f>IFERROR(__xludf.DUMMYFUNCTION("""COMPUTED_VALUE"""),"CON-00-147826-2")</f>
        <v>CON-00-147826-2</v>
      </c>
      <c r="D291" s="292" t="str">
        <f>IFERROR(__xludf.DUMMYFUNCTION("""COMPUTED_VALUE"""),"CON-00-136638-3")</f>
        <v>CON-00-136638-3</v>
      </c>
      <c r="E291" s="292" t="str">
        <f>IFERROR(__xludf.DUMMYFUNCTION("""COMPUTED_VALUE"""),"Spicy chicken with jalapeño, lime and cheddar")</f>
        <v>Spicy chicken with jalapeño, lime and cheddar</v>
      </c>
      <c r="F291" s="292" t="str">
        <f>IFERROR(__xludf.DUMMYFUNCTION("""COMPUTED_VALUE"""),"with creamy cauliflower rice and coriander-cumin sauce")</f>
        <v>with creamy cauliflower rice and coriander-cumin sauce</v>
      </c>
      <c r="G291" s="292" t="str">
        <f>IFERROR(__xludf.DUMMYFUNCTION("""COMPUTED_VALUE"""),"Pittige kipfilet met jalapeño, limoen en cheddar")</f>
        <v>Pittige kipfilet met jalapeño, limoen en cheddar</v>
      </c>
      <c r="H291" s="292" t="str">
        <f>IFERROR(__xludf.DUMMYFUNCTION("""COMPUTED_VALUE"""),"met romige bloemkoolrijst en koriander-komijnsaus")</f>
        <v>met romige bloemkoolrijst en koriander-komijnsaus</v>
      </c>
      <c r="I291" s="292"/>
      <c r="J291" s="292" t="str">
        <f>IFERROR(__xludf.DUMMYFUNCTION("""COMPUTED_VALUE"""),"Pikantes Hähnchen mit Jalapeño, Limette und Cheddar")</f>
        <v>Pikantes Hähnchen mit Jalapeño, Limette und Cheddar</v>
      </c>
      <c r="K291" s="292">
        <f>IFERROR(__xludf.DUMMYFUNCTION("""COMPUTED_VALUE"""),565307.0)</f>
        <v>565307</v>
      </c>
      <c r="L291" s="292" t="str">
        <f>IFERROR(__xludf.DUMMYFUNCTION("""COMPUTED_VALUE"""),"HF RW Pittige kip jalapeño")</f>
        <v>HF RW Pittige kip jalapeño</v>
      </c>
      <c r="M291" s="292" t="str">
        <f>IFERROR(__xludf.DUMMYFUNCTION("""COMPUTED_VALUE"""),"FA-NL Pittige kipfilet met jalapeño, limoen en cheddar (FE0198)")</f>
        <v>FA-NL Pittige kipfilet met jalapeño, limoen en cheddar (FE0198)</v>
      </c>
      <c r="N291" s="292" t="str">
        <f>IFERROR(__xludf.DUMMYFUNCTION("""COMPUTED_VALUE"""),"FA-NO Spicy kylling med jalapeño, lime og cheddar (FE0198)")</f>
        <v>FA-NO Spicy kylling med jalapeño, lime og cheddar (FE0198)</v>
      </c>
      <c r="O291" s="292" t="str">
        <f>IFERROR(__xludf.DUMMYFUNCTION("""COMPUTED_VALUE"""),"FA-DE Scharfes Hähnchen mit Jalapeño, Limette und Cheddar (FE0198)")</f>
        <v>FA-DE Scharfes Hähnchen mit Jalapeño, Limette und Cheddar (FE0198)</v>
      </c>
      <c r="P291" s="292" t="str">
        <f>IFERROR(__xludf.DUMMYFUNCTION("""COMPUTED_VALUE"""),"Active")</f>
        <v>Active</v>
      </c>
      <c r="Q291" s="292"/>
      <c r="R291" s="342">
        <f>IFERROR(__xludf.DUMMYFUNCTION("""COMPUTED_VALUE"""),4.56)</f>
        <v>4.56</v>
      </c>
      <c r="S291" s="292"/>
      <c r="T291" s="292"/>
      <c r="U291" s="292"/>
      <c r="V291" s="292"/>
      <c r="W291" s="292" t="b">
        <f>IFERROR(__xludf.DUMMYFUNCTION("""COMPUTED_VALUE"""),TRUE)</f>
        <v>1</v>
      </c>
      <c r="X291" s="345">
        <f>IFERROR(__xludf.DUMMYFUNCTION("""COMPUTED_VALUE"""),351.0)</f>
        <v>351</v>
      </c>
      <c r="Y291" s="344">
        <f>IFERROR(__xludf.DUMMYFUNCTION("""COMPUTED_VALUE"""),491.0)</f>
        <v>491</v>
      </c>
      <c r="Z291" s="343">
        <f>IFERROR(__xludf.DUMMYFUNCTION("""COMPUTED_VALUE"""),35.3)</f>
        <v>35.3</v>
      </c>
      <c r="AA291" s="344">
        <f>IFERROR(__xludf.DUMMYFUNCTION("""COMPUTED_VALUE"""),17.8)</f>
        <v>17.8</v>
      </c>
      <c r="AB291" s="344">
        <f>IFERROR(__xludf.DUMMYFUNCTION("""COMPUTED_VALUE"""),10.6)</f>
        <v>10.6</v>
      </c>
      <c r="AC291" s="344">
        <f>IFERROR(__xludf.DUMMYFUNCTION("""COMPUTED_VALUE"""),7.2)</f>
        <v>7.2</v>
      </c>
      <c r="AD291" s="344">
        <f>IFERROR(__xludf.DUMMYFUNCTION("""COMPUTED_VALUE"""),4.6)</f>
        <v>4.6</v>
      </c>
      <c r="AE291" s="343">
        <f>IFERROR(__xludf.DUMMYFUNCTION("""COMPUTED_VALUE"""),31.0)</f>
        <v>31</v>
      </c>
      <c r="AF291" s="343">
        <f>IFERROR(__xludf.DUMMYFUNCTION("""COMPUTED_VALUE"""),2.23)</f>
        <v>2.23</v>
      </c>
      <c r="AG291" s="292" t="b">
        <f>IFERROR(__xludf.DUMMYFUNCTION("""COMPUTED_VALUE"""),TRUE)</f>
        <v>1</v>
      </c>
      <c r="AH291" s="292" t="b">
        <f>IFERROR(__xludf.DUMMYFUNCTION("""COMPUTED_VALUE"""),TRUE)</f>
        <v>1</v>
      </c>
      <c r="AI291" s="292" t="b">
        <f>IFERROR(__xludf.DUMMYFUNCTION("""COMPUTED_VALUE"""),FALSE)</f>
        <v>0</v>
      </c>
      <c r="AJ291" s="292" t="b">
        <f>IFERROR(__xludf.DUMMYFUNCTION("""COMPUTED_VALUE"""),FALSE)</f>
        <v>0</v>
      </c>
      <c r="AK291" s="292" t="b">
        <f>IFERROR(__xludf.DUMMYFUNCTION("""COMPUTED_VALUE"""),FALSE)</f>
        <v>0</v>
      </c>
      <c r="AL291" s="292" t="b">
        <f>IFERROR(__xludf.DUMMYFUNCTION("""COMPUTED_VALUE"""),FALSE)</f>
        <v>0</v>
      </c>
      <c r="AM291" s="292" t="b">
        <f>IFERROR(__xludf.DUMMYFUNCTION("""COMPUTED_VALUE"""),FALSE)</f>
        <v>0</v>
      </c>
      <c r="AN291" s="292" t="b">
        <f>IFERROR(__xludf.DUMMYFUNCTION("""COMPUTED_VALUE"""),FALSE)</f>
        <v>0</v>
      </c>
      <c r="AO291" s="292" t="str">
        <f>IFERROR(__xludf.DUMMYFUNCTION("""COMPUTED_VALUE"""),"FALSE")</f>
        <v>FALSE</v>
      </c>
      <c r="AP291" s="292" t="str">
        <f>IFERROR(__xludf.DUMMYFUNCTION("""COMPUTED_VALUE"""),"Chicken breast")</f>
        <v>Chicken breast</v>
      </c>
      <c r="AQ291" s="292" t="str">
        <f>IFERROR(__xludf.DUMMYFUNCTION("""COMPUTED_VALUE"""),"Chicken")</f>
        <v>Chicken</v>
      </c>
      <c r="AR291" s="292" t="str">
        <f>IFERROR(__xludf.DUMMYFUNCTION("""COMPUTED_VALUE"""),"Breast")</f>
        <v>Breast</v>
      </c>
      <c r="AS291" s="292" t="str">
        <f>IFERROR(__xludf.DUMMYFUNCTION("""COMPUTED_VALUE"""),"Creamy Sauce Base")</f>
        <v>Creamy Sauce Base</v>
      </c>
      <c r="AT291" s="292" t="str">
        <f>IFERROR(__xludf.DUMMYFUNCTION("""COMPUTED_VALUE"""),"Pepper Mix")</f>
        <v>Pepper Mix</v>
      </c>
      <c r="AU291" s="292" t="str">
        <f>IFERROR(__xludf.DUMMYFUNCTION("""COMPUTED_VALUE"""),"Cauliflower Rice")</f>
        <v>Cauliflower Rice</v>
      </c>
      <c r="AV291" s="292" t="str">
        <f>IFERROR(__xludf.DUMMYFUNCTION("""COMPUTED_VALUE"""),"Jalapeno slices")</f>
        <v>Jalapeno slices</v>
      </c>
      <c r="AW291" s="292" t="str">
        <f>IFERROR(__xludf.DUMMYFUNCTION("""COMPUTED_VALUE"""),"Year Round")</f>
        <v>Year Round</v>
      </c>
      <c r="AX291" s="292" t="str">
        <f>IFERROR(__xludf.DUMMYFUNCTION("""COMPUTED_VALUE"""),"Mexican")</f>
        <v>Mexican</v>
      </c>
      <c r="AY291" s="292"/>
      <c r="AZ291" s="292" t="str">
        <f>IFERROR(__xludf.DUMMYFUNCTION("""COMPUTED_VALUE"""),"2 CT")</f>
        <v>2 CT</v>
      </c>
      <c r="BA291" s="292" t="b">
        <f>IFERROR(__xludf.DUMMYFUNCTION("""COMPUTED_VALUE"""),FALSE)</f>
        <v>0</v>
      </c>
      <c r="BB291" s="342">
        <f>IFERROR(__xludf.DUMMYFUNCTION("""COMPUTED_VALUE"""),2.54)</f>
        <v>2.54</v>
      </c>
      <c r="BC291" s="342">
        <f>IFERROR(__xludf.DUMMYFUNCTION("""COMPUTED_VALUE"""),1.62)</f>
        <v>1.62</v>
      </c>
      <c r="BD291" s="342">
        <f>IFERROR(__xludf.DUMMYFUNCTION("""COMPUTED_VALUE"""),0.4)</f>
        <v>0.4</v>
      </c>
      <c r="BE291" s="342">
        <f>IFERROR(__xludf.DUMMYFUNCTION("""COMPUTED_VALUE"""),0.89)</f>
        <v>0.89</v>
      </c>
      <c r="BF291" s="296" t="str">
        <f>IFERROR(__xludf.DUMMYFUNCTION("""COMPUTED_VALUE"""),"#REF!")</f>
        <v>#REF!</v>
      </c>
      <c r="BG291" s="296" t="str">
        <f>IFERROR(__xludf.DUMMYFUNCTION("""COMPUTED_VALUE"""),"#REF!")</f>
        <v>#REF!</v>
      </c>
      <c r="BH291" s="296" t="str">
        <f>IFERROR(__xludf.DUMMYFUNCTION("""COMPUTED_VALUE"""),"#REF!")</f>
        <v>#REF!</v>
      </c>
      <c r="BI291" s="295">
        <f>IFERROR(__xludf.DUMMYFUNCTION("""COMPUTED_VALUE"""),142.0)</f>
        <v>142</v>
      </c>
      <c r="BJ291" s="292"/>
      <c r="BK291" s="346">
        <f>IFERROR(__xludf.DUMMYFUNCTION("""COMPUTED_VALUE"""),2046.0)</f>
        <v>2046</v>
      </c>
      <c r="BL291" s="292"/>
      <c r="BM291" s="292"/>
      <c r="BN291" s="292"/>
      <c r="BO291" s="292"/>
      <c r="BP291" s="292"/>
      <c r="BQ291" s="292"/>
      <c r="BR291" s="292" t="b">
        <f>IFERROR(__xludf.DUMMYFUNCTION("""COMPUTED_VALUE"""),FALSE)</f>
        <v>0</v>
      </c>
      <c r="BS291" s="292" t="b">
        <f>IFERROR(__xludf.DUMMYFUNCTION("""COMPUTED_VALUE"""),FALSE)</f>
        <v>0</v>
      </c>
      <c r="BT291" s="292"/>
      <c r="BU291" s="292"/>
      <c r="BV291" s="292"/>
      <c r="BW291" s="292"/>
    </row>
    <row r="292">
      <c r="A292" s="292" t="str">
        <f>IFERROR(__xludf.DUMMYFUNCTION("""COMPUTED_VALUE"""),"FE4001E")</f>
        <v>FE4001E</v>
      </c>
      <c r="B292" s="292" t="str">
        <f>IFERROR(__xludf.DUMMYFUNCTION("""COMPUTED_VALUE"""),"CON-40-143660-4")</f>
        <v>CON-40-143660-4</v>
      </c>
      <c r="C292" s="292" t="str">
        <f>IFERROR(__xludf.DUMMYFUNCTION("""COMPUTED_VALUE"""),"CON-00-147866-2")</f>
        <v>CON-00-147866-2</v>
      </c>
      <c r="D292" s="292" t="str">
        <f>IFERROR(__xludf.DUMMYFUNCTION("""COMPUTED_VALUE"""),"CON-00-136659-3")</f>
        <v>CON-00-136659-3</v>
      </c>
      <c r="E292" s="292" t="str">
        <f>IFERROR(__xludf.DUMMYFUNCTION("""COMPUTED_VALUE"""),"Grilled chicken fillet and pesto")</f>
        <v>Grilled chicken fillet and pesto</v>
      </c>
      <c r="F292" s="292" t="str">
        <f>IFERROR(__xludf.DUMMYFUNCTION("""COMPUTED_VALUE"""),"with green beans, cherry tomatoes, and potato and leek puree")</f>
        <v>with green beans, cherry tomatoes, and potato and leek puree</v>
      </c>
      <c r="G292" s="292" t="str">
        <f>IFERROR(__xludf.DUMMYFUNCTION("""COMPUTED_VALUE"""),"Gegrilde kipfilet en pesto")</f>
        <v>Gegrilde kipfilet en pesto</v>
      </c>
      <c r="H292" s="292" t="str">
        <f>IFERROR(__xludf.DUMMYFUNCTION("""COMPUTED_VALUE"""),"met sperziebonen, cherrytomaatjes, en puree van aardappel en prei")</f>
        <v>met sperziebonen, cherrytomaatjes, en puree van aardappel en prei</v>
      </c>
      <c r="I292" s="292"/>
      <c r="J292" s="292" t="str">
        <f>IFERROR(__xludf.DUMMYFUNCTION("""COMPUTED_VALUE"""),"Gegrilltes Hähnchenfilet mit Pesto")</f>
        <v>Gegrilltes Hähnchenfilet mit Pesto</v>
      </c>
      <c r="K292" s="292">
        <f>IFERROR(__xludf.DUMMYFUNCTION("""COMPUTED_VALUE"""),565301.0)</f>
        <v>565301</v>
      </c>
      <c r="L292" s="292" t="str">
        <f>IFERROR(__xludf.DUMMYFUNCTION("""COMPUTED_VALUE"""),"HF RW Gegrilde kip pesto")</f>
        <v>HF RW Gegrilde kip pesto</v>
      </c>
      <c r="M292" s="292" t="str">
        <f>IFERROR(__xludf.DUMMYFUNCTION("""COMPUTED_VALUE"""),"FA-NL Gegrilde kipfilet en pesto (FE4001)")</f>
        <v>FA-NL Gegrilde kipfilet en pesto (FE4001)</v>
      </c>
      <c r="N292" s="292" t="str">
        <f>IFERROR(__xludf.DUMMYFUNCTION("""COMPUTED_VALUE"""),"FA-NO Grillet kyllingefilet og pesto (FE4001)")</f>
        <v>FA-NO Grillet kyllingefilet og pesto (FE4001)</v>
      </c>
      <c r="O292" s="292" t="str">
        <f>IFERROR(__xludf.DUMMYFUNCTION("""COMPUTED_VALUE"""),"FA-DE Gegrilltes Hähnchenfilet mit Pesto (FE4001)")</f>
        <v>FA-DE Gegrilltes Hähnchenfilet mit Pesto (FE4001)</v>
      </c>
      <c r="P292" s="292" t="str">
        <f>IFERROR(__xludf.DUMMYFUNCTION("""COMPUTED_VALUE"""),"Active")</f>
        <v>Active</v>
      </c>
      <c r="Q292" s="292"/>
      <c r="R292" s="342">
        <f>IFERROR(__xludf.DUMMYFUNCTION("""COMPUTED_VALUE"""),4.54)</f>
        <v>4.54</v>
      </c>
      <c r="S292" s="292"/>
      <c r="T292" s="292"/>
      <c r="U292" s="292"/>
      <c r="V292" s="292"/>
      <c r="W292" s="292" t="b">
        <f>IFERROR(__xludf.DUMMYFUNCTION("""COMPUTED_VALUE"""),TRUE)</f>
        <v>1</v>
      </c>
      <c r="X292" s="345">
        <f>IFERROR(__xludf.DUMMYFUNCTION("""COMPUTED_VALUE"""),409.0)</f>
        <v>409</v>
      </c>
      <c r="Y292" s="344">
        <f>IFERROR(__xludf.DUMMYFUNCTION("""COMPUTED_VALUE"""),426.0)</f>
        <v>426</v>
      </c>
      <c r="Z292" s="343">
        <f>IFERROR(__xludf.DUMMYFUNCTION("""COMPUTED_VALUE"""),23.3)</f>
        <v>23.3</v>
      </c>
      <c r="AA292" s="344">
        <f>IFERROR(__xludf.DUMMYFUNCTION("""COMPUTED_VALUE"""),6.2)</f>
        <v>6.2</v>
      </c>
      <c r="AB292" s="344">
        <f>IFERROR(__xludf.DUMMYFUNCTION("""COMPUTED_VALUE"""),21.2)</f>
        <v>21.2</v>
      </c>
      <c r="AC292" s="344">
        <f>IFERROR(__xludf.DUMMYFUNCTION("""COMPUTED_VALUE"""),5.7)</f>
        <v>5.7</v>
      </c>
      <c r="AD292" s="344">
        <f>IFERROR(__xludf.DUMMYFUNCTION("""COMPUTED_VALUE"""),7.5)</f>
        <v>7.5</v>
      </c>
      <c r="AE292" s="343">
        <f>IFERROR(__xludf.DUMMYFUNCTION("""COMPUTED_VALUE"""),29.4)</f>
        <v>29.4</v>
      </c>
      <c r="AF292" s="343">
        <f>IFERROR(__xludf.DUMMYFUNCTION("""COMPUTED_VALUE"""),2.23)</f>
        <v>2.23</v>
      </c>
      <c r="AG292" s="292" t="b">
        <f>IFERROR(__xludf.DUMMYFUNCTION("""COMPUTED_VALUE"""),FALSE)</f>
        <v>0</v>
      </c>
      <c r="AH292" s="292" t="b">
        <f>IFERROR(__xludf.DUMMYFUNCTION("""COMPUTED_VALUE"""),FALSE)</f>
        <v>0</v>
      </c>
      <c r="AI292" s="292" t="b">
        <f>IFERROR(__xludf.DUMMYFUNCTION("""COMPUTED_VALUE"""),TRUE)</f>
        <v>1</v>
      </c>
      <c r="AJ292" s="292" t="b">
        <f>IFERROR(__xludf.DUMMYFUNCTION("""COMPUTED_VALUE"""),FALSE)</f>
        <v>0</v>
      </c>
      <c r="AK292" s="292" t="b">
        <f>IFERROR(__xludf.DUMMYFUNCTION("""COMPUTED_VALUE"""),FALSE)</f>
        <v>0</v>
      </c>
      <c r="AL292" s="292" t="b">
        <f>IFERROR(__xludf.DUMMYFUNCTION("""COMPUTED_VALUE"""),FALSE)</f>
        <v>0</v>
      </c>
      <c r="AM292" s="292" t="b">
        <f>IFERROR(__xludf.DUMMYFUNCTION("""COMPUTED_VALUE"""),FALSE)</f>
        <v>0</v>
      </c>
      <c r="AN292" s="292" t="b">
        <f>IFERROR(__xludf.DUMMYFUNCTION("""COMPUTED_VALUE"""),FALSE)</f>
        <v>0</v>
      </c>
      <c r="AO292" s="292" t="str">
        <f>IFERROR(__xludf.DUMMYFUNCTION("""COMPUTED_VALUE"""),"FALSE")</f>
        <v>FALSE</v>
      </c>
      <c r="AP292" s="292" t="str">
        <f>IFERROR(__xludf.DUMMYFUNCTION("""COMPUTED_VALUE"""),"Chicken breast")</f>
        <v>Chicken breast</v>
      </c>
      <c r="AQ292" s="292" t="str">
        <f>IFERROR(__xludf.DUMMYFUNCTION("""COMPUTED_VALUE"""),"Chicken")</f>
        <v>Chicken</v>
      </c>
      <c r="AR292" s="292" t="str">
        <f>IFERROR(__xludf.DUMMYFUNCTION("""COMPUTED_VALUE"""),"Breast")</f>
        <v>Breast</v>
      </c>
      <c r="AS292" s="292" t="str">
        <f>IFERROR(__xludf.DUMMYFUNCTION("""COMPUTED_VALUE"""),"Potato Mash")</f>
        <v>Potato Mash</v>
      </c>
      <c r="AT292" s="292" t="str">
        <f>IFERROR(__xludf.DUMMYFUNCTION("""COMPUTED_VALUE"""),"Pesto")</f>
        <v>Pesto</v>
      </c>
      <c r="AU292" s="292" t="str">
        <f>IFERROR(__xludf.DUMMYFUNCTION("""COMPUTED_VALUE"""),"Green Beans")</f>
        <v>Green Beans</v>
      </c>
      <c r="AV292" s="292" t="str">
        <f>IFERROR(__xludf.DUMMYFUNCTION("""COMPUTED_VALUE"""),"Cherry Tomatoes")</f>
        <v>Cherry Tomatoes</v>
      </c>
      <c r="AW292" s="292" t="str">
        <f>IFERROR(__xludf.DUMMYFUNCTION("""COMPUTED_VALUE"""),"Year Round")</f>
        <v>Year Round</v>
      </c>
      <c r="AX292" s="292" t="str">
        <f>IFERROR(__xludf.DUMMYFUNCTION("""COMPUTED_VALUE"""),"Italian")</f>
        <v>Italian</v>
      </c>
      <c r="AY292" s="292"/>
      <c r="AZ292" s="292" t="str">
        <f>IFERROR(__xludf.DUMMYFUNCTION("""COMPUTED_VALUE"""),"2 CT")</f>
        <v>2 CT</v>
      </c>
      <c r="BA292" s="292" t="b">
        <f>IFERROR(__xludf.DUMMYFUNCTION("""COMPUTED_VALUE"""),FALSE)</f>
        <v>0</v>
      </c>
      <c r="BB292" s="342">
        <f>IFERROR(__xludf.DUMMYFUNCTION("""COMPUTED_VALUE"""),2.68)</f>
        <v>2.68</v>
      </c>
      <c r="BC292" s="342">
        <f>IFERROR(__xludf.DUMMYFUNCTION("""COMPUTED_VALUE"""),1.46)</f>
        <v>1.46</v>
      </c>
      <c r="BD292" s="342">
        <f>IFERROR(__xludf.DUMMYFUNCTION("""COMPUTED_VALUE"""),0.4)</f>
        <v>0.4</v>
      </c>
      <c r="BE292" s="342">
        <f>IFERROR(__xludf.DUMMYFUNCTION("""COMPUTED_VALUE"""),0.89)</f>
        <v>0.89</v>
      </c>
      <c r="BF292" s="296" t="str">
        <f>IFERROR(__xludf.DUMMYFUNCTION("""COMPUTED_VALUE"""),"#REF!")</f>
        <v>#REF!</v>
      </c>
      <c r="BG292" s="296" t="str">
        <f>IFERROR(__xludf.DUMMYFUNCTION("""COMPUTED_VALUE"""),"#REF!")</f>
        <v>#REF!</v>
      </c>
      <c r="BH292" s="296" t="str">
        <f>IFERROR(__xludf.DUMMYFUNCTION("""COMPUTED_VALUE"""),"#REF!")</f>
        <v>#REF!</v>
      </c>
      <c r="BI292" s="295">
        <f>IFERROR(__xludf.DUMMYFUNCTION("""COMPUTED_VALUE"""),168.0)</f>
        <v>168</v>
      </c>
      <c r="BJ292" s="292"/>
      <c r="BK292" s="346">
        <f>IFERROR(__xludf.DUMMYFUNCTION("""COMPUTED_VALUE"""),1776.0)</f>
        <v>1776</v>
      </c>
      <c r="BL292" s="292"/>
      <c r="BM292" s="292"/>
      <c r="BN292" s="292"/>
      <c r="BO292" s="292"/>
      <c r="BP292" s="292"/>
      <c r="BQ292" s="292"/>
      <c r="BR292" s="292" t="b">
        <f>IFERROR(__xludf.DUMMYFUNCTION("""COMPUTED_VALUE"""),FALSE)</f>
        <v>0</v>
      </c>
      <c r="BS292" s="292" t="b">
        <f>IFERROR(__xludf.DUMMYFUNCTION("""COMPUTED_VALUE"""),FALSE)</f>
        <v>0</v>
      </c>
      <c r="BT292" s="292"/>
      <c r="BU292" s="292"/>
      <c r="BV292" s="292"/>
      <c r="BW292" s="292"/>
    </row>
    <row r="293">
      <c r="A293" s="292" t="str">
        <f>IFERROR(__xludf.DUMMYFUNCTION("""COMPUTED_VALUE"""),"FE0612D")</f>
        <v>FE0612D</v>
      </c>
      <c r="B293" s="292" t="str">
        <f>IFERROR(__xludf.DUMMYFUNCTION("""COMPUTED_VALUE"""),"CON-40-143751-4")</f>
        <v>CON-40-143751-4</v>
      </c>
      <c r="C293" s="292" t="str">
        <f>IFERROR(__xludf.DUMMYFUNCTION("""COMPUTED_VALUE"""),"CON-00-147851-2")</f>
        <v>CON-00-147851-2</v>
      </c>
      <c r="D293" s="292" t="str">
        <f>IFERROR(__xludf.DUMMYFUNCTION("""COMPUTED_VALUE"""),"CON-00-136713-3")</f>
        <v>CON-00-136713-3</v>
      </c>
      <c r="E293" s="292" t="str">
        <f>IFERROR(__xludf.DUMMYFUNCTION("""COMPUTED_VALUE"""),"Ground Beef &amp; Mushroom Skillet")</f>
        <v>Ground Beef &amp; Mushroom Skillet</v>
      </c>
      <c r="F293" s="292" t="str">
        <f>IFERROR(__xludf.DUMMYFUNCTION("""COMPUTED_VALUE"""),"with Potatoes &amp; Red Pepper Fondue")</f>
        <v>with Potatoes &amp; Red Pepper Fondue</v>
      </c>
      <c r="G293" s="292" t="str">
        <f>IFERROR(__xludf.DUMMYFUNCTION("""COMPUTED_VALUE"""),"Rundergehakt met champignons")</f>
        <v>Rundergehakt met champignons</v>
      </c>
      <c r="H293" s="292" t="str">
        <f>IFERROR(__xludf.DUMMYFUNCTION("""COMPUTED_VALUE"""),"met aardappelen en paprika-fondue")</f>
        <v>met aardappelen en paprika-fondue</v>
      </c>
      <c r="I293" s="292"/>
      <c r="J293" s="292" t="str">
        <f>IFERROR(__xludf.DUMMYFUNCTION("""COMPUTED_VALUE"""),"Rinderhack-Pfanne mit Pilzen")</f>
        <v>Rinderhack-Pfanne mit Pilzen</v>
      </c>
      <c r="K293" s="292">
        <f>IFERROR(__xludf.DUMMYFUNCTION("""COMPUTED_VALUE"""),565273.0)</f>
        <v>565273</v>
      </c>
      <c r="L293" s="292" t="str">
        <f>IFERROR(__xludf.DUMMYFUNCTION("""COMPUTED_VALUE"""),"HF Rundgehaktschotel kaassa")</f>
        <v>HF Rundgehaktschotel kaassa</v>
      </c>
      <c r="M293" s="292" t="str">
        <f>IFERROR(__xludf.DUMMYFUNCTION("""COMPUTED_VALUE"""),"FA-NL Rundergehaktschotel met kaassaus (FE0612)")</f>
        <v>FA-NL Rundergehaktschotel met kaassaus (FE0612)</v>
      </c>
      <c r="N293" s="292" t="str">
        <f>IFERROR(__xludf.DUMMYFUNCTION("""COMPUTED_VALUE"""),"FA-NO Hakket oksekødsret med ostesauce (FE0612)")</f>
        <v>FA-NO Hakket oksekødsret med ostesauce (FE0612)</v>
      </c>
      <c r="O293" s="292" t="str">
        <f>IFERROR(__xludf.DUMMYFUNCTION("""COMPUTED_VALUE"""),"FA-DE Rindhackfleisch mit Käsesauce (FE0612)")</f>
        <v>FA-DE Rindhackfleisch mit Käsesauce (FE0612)</v>
      </c>
      <c r="P293" s="292" t="str">
        <f>IFERROR(__xludf.DUMMYFUNCTION("""COMPUTED_VALUE"""),"Active")</f>
        <v>Active</v>
      </c>
      <c r="Q293" s="292"/>
      <c r="R293" s="342">
        <f>IFERROR(__xludf.DUMMYFUNCTION("""COMPUTED_VALUE"""),3.9)</f>
        <v>3.9</v>
      </c>
      <c r="S293" s="292"/>
      <c r="T293" s="292"/>
      <c r="U293" s="292"/>
      <c r="V293" s="292"/>
      <c r="W293" s="292" t="b">
        <f>IFERROR(__xludf.DUMMYFUNCTION("""COMPUTED_VALUE"""),TRUE)</f>
        <v>1</v>
      </c>
      <c r="X293" s="345">
        <f>IFERROR(__xludf.DUMMYFUNCTION("""COMPUTED_VALUE"""),389.0)</f>
        <v>389</v>
      </c>
      <c r="Y293" s="344">
        <f>IFERROR(__xludf.DUMMYFUNCTION("""COMPUTED_VALUE"""),480.0)</f>
        <v>480</v>
      </c>
      <c r="Z293" s="343">
        <f>IFERROR(__xludf.DUMMYFUNCTION("""COMPUTED_VALUE"""),26.6)</f>
        <v>26.6</v>
      </c>
      <c r="AA293" s="344">
        <f>IFERROR(__xludf.DUMMYFUNCTION("""COMPUTED_VALUE"""),10.8)</f>
        <v>10.8</v>
      </c>
      <c r="AB293" s="344">
        <f>IFERROR(__xludf.DUMMYFUNCTION("""COMPUTED_VALUE"""),30.9)</f>
        <v>30.9</v>
      </c>
      <c r="AC293" s="344">
        <f>IFERROR(__xludf.DUMMYFUNCTION("""COMPUTED_VALUE"""),9.4)</f>
        <v>9.4</v>
      </c>
      <c r="AD293" s="344">
        <f>IFERROR(__xludf.DUMMYFUNCTION("""COMPUTED_VALUE"""),6.4)</f>
        <v>6.4</v>
      </c>
      <c r="AE293" s="343">
        <f>IFERROR(__xludf.DUMMYFUNCTION("""COMPUTED_VALUE"""),25.7)</f>
        <v>25.7</v>
      </c>
      <c r="AF293" s="343">
        <f>IFERROR(__xludf.DUMMYFUNCTION("""COMPUTED_VALUE"""),2.24)</f>
        <v>2.24</v>
      </c>
      <c r="AG293" s="292" t="b">
        <f>IFERROR(__xludf.DUMMYFUNCTION("""COMPUTED_VALUE"""),FALSE)</f>
        <v>0</v>
      </c>
      <c r="AH293" s="292" t="b">
        <f>IFERROR(__xludf.DUMMYFUNCTION("""COMPUTED_VALUE"""),FALSE)</f>
        <v>0</v>
      </c>
      <c r="AI293" s="292" t="b">
        <f>IFERROR(__xludf.DUMMYFUNCTION("""COMPUTED_VALUE"""),TRUE)</f>
        <v>1</v>
      </c>
      <c r="AJ293" s="292" t="b">
        <f>IFERROR(__xludf.DUMMYFUNCTION("""COMPUTED_VALUE"""),FALSE)</f>
        <v>0</v>
      </c>
      <c r="AK293" s="292" t="b">
        <f>IFERROR(__xludf.DUMMYFUNCTION("""COMPUTED_VALUE"""),FALSE)</f>
        <v>0</v>
      </c>
      <c r="AL293" s="292" t="b">
        <f>IFERROR(__xludf.DUMMYFUNCTION("""COMPUTED_VALUE"""),FALSE)</f>
        <v>0</v>
      </c>
      <c r="AM293" s="292" t="b">
        <f>IFERROR(__xludf.DUMMYFUNCTION("""COMPUTED_VALUE"""),FALSE)</f>
        <v>0</v>
      </c>
      <c r="AN293" s="292" t="b">
        <f>IFERROR(__xludf.DUMMYFUNCTION("""COMPUTED_VALUE"""),FALSE)</f>
        <v>0</v>
      </c>
      <c r="AO293" s="292" t="str">
        <f>IFERROR(__xludf.DUMMYFUNCTION("""COMPUTED_VALUE"""),"FALSE")</f>
        <v>FALSE</v>
      </c>
      <c r="AP293" s="292" t="str">
        <f>IFERROR(__xludf.DUMMYFUNCTION("""COMPUTED_VALUE"""),"Ground beef")</f>
        <v>Ground beef</v>
      </c>
      <c r="AQ293" s="292" t="str">
        <f>IFERROR(__xludf.DUMMYFUNCTION("""COMPUTED_VALUE"""),"Beef")</f>
        <v>Beef</v>
      </c>
      <c r="AR293" s="292" t="str">
        <f>IFERROR(__xludf.DUMMYFUNCTION("""COMPUTED_VALUE"""),"Ground")</f>
        <v>Ground</v>
      </c>
      <c r="AS293" s="292" t="str">
        <f>IFERROR(__xludf.DUMMYFUNCTION("""COMPUTED_VALUE"""),"Potato Non-Mash")</f>
        <v>Potato Non-Mash</v>
      </c>
      <c r="AT293" s="292" t="str">
        <f>IFERROR(__xludf.DUMMYFUNCTION("""COMPUTED_VALUE"""),"Mushrooms")</f>
        <v>Mushrooms</v>
      </c>
      <c r="AU293" s="292" t="str">
        <f>IFERROR(__xludf.DUMMYFUNCTION("""COMPUTED_VALUE"""),"Creamy Sauce Base")</f>
        <v>Creamy Sauce Base</v>
      </c>
      <c r="AV293" s="292" t="str">
        <f>IFERROR(__xludf.DUMMYFUNCTION("""COMPUTED_VALUE"""),"Green onion")</f>
        <v>Green onion</v>
      </c>
      <c r="AW293" s="292" t="str">
        <f>IFERROR(__xludf.DUMMYFUNCTION("""COMPUTED_VALUE"""),"Year Round")</f>
        <v>Year Round</v>
      </c>
      <c r="AX293" s="292" t="str">
        <f>IFERROR(__xludf.DUMMYFUNCTION("""COMPUTED_VALUE"""),"French")</f>
        <v>French</v>
      </c>
      <c r="AY293" s="292"/>
      <c r="AZ293" s="292" t="str">
        <f>IFERROR(__xludf.DUMMYFUNCTION("""COMPUTED_VALUE"""),"1 CT")</f>
        <v>1 CT</v>
      </c>
      <c r="BA293" s="292" t="b">
        <f>IFERROR(__xludf.DUMMYFUNCTION("""COMPUTED_VALUE"""),FALSE)</f>
        <v>0</v>
      </c>
      <c r="BB293" s="342">
        <f>IFERROR(__xludf.DUMMYFUNCTION("""COMPUTED_VALUE"""),2.15)</f>
        <v>2.15</v>
      </c>
      <c r="BC293" s="342">
        <f>IFERROR(__xludf.DUMMYFUNCTION("""COMPUTED_VALUE"""),1.35)</f>
        <v>1.35</v>
      </c>
      <c r="BD293" s="342">
        <f>IFERROR(__xludf.DUMMYFUNCTION("""COMPUTED_VALUE"""),0.4)</f>
        <v>0.4</v>
      </c>
      <c r="BE293" s="342">
        <f>IFERROR(__xludf.DUMMYFUNCTION("""COMPUTED_VALUE"""),0.89)</f>
        <v>0.89</v>
      </c>
      <c r="BF293" s="296" t="str">
        <f>IFERROR(__xludf.DUMMYFUNCTION("""COMPUTED_VALUE"""),"#REF!")</f>
        <v>#REF!</v>
      </c>
      <c r="BG293" s="296" t="str">
        <f>IFERROR(__xludf.DUMMYFUNCTION("""COMPUTED_VALUE"""),"#REF!")</f>
        <v>#REF!</v>
      </c>
      <c r="BH293" s="296" t="str">
        <f>IFERROR(__xludf.DUMMYFUNCTION("""COMPUTED_VALUE"""),"#REF!")</f>
        <v>#REF!</v>
      </c>
      <c r="BI293" s="295">
        <f>IFERROR(__xludf.DUMMYFUNCTION("""COMPUTED_VALUE"""),136.0)</f>
        <v>136</v>
      </c>
      <c r="BJ293" s="292"/>
      <c r="BK293" s="346">
        <f>IFERROR(__xludf.DUMMYFUNCTION("""COMPUTED_VALUE"""),2005.0)</f>
        <v>2005</v>
      </c>
      <c r="BL293" s="292"/>
      <c r="BM293" s="292"/>
      <c r="BN293" s="292"/>
      <c r="BO293" s="292"/>
      <c r="BP293" s="292"/>
      <c r="BQ293" s="292"/>
      <c r="BR293" s="292" t="b">
        <f>IFERROR(__xludf.DUMMYFUNCTION("""COMPUTED_VALUE"""),FALSE)</f>
        <v>0</v>
      </c>
      <c r="BS293" s="292" t="b">
        <f>IFERROR(__xludf.DUMMYFUNCTION("""COMPUTED_VALUE"""),FALSE)</f>
        <v>0</v>
      </c>
      <c r="BT293" s="292"/>
      <c r="BU293" s="292"/>
      <c r="BV293" s="292"/>
      <c r="BW293" s="292"/>
    </row>
    <row r="294">
      <c r="A294" s="292" t="str">
        <f>IFERROR(__xludf.DUMMYFUNCTION("""COMPUTED_VALUE"""),"FE4010C")</f>
        <v>FE4010C</v>
      </c>
      <c r="B294" s="292" t="str">
        <f>IFERROR(__xludf.DUMMYFUNCTION("""COMPUTED_VALUE"""),"CON-40-143698-4")</f>
        <v>CON-40-143698-4</v>
      </c>
      <c r="C294" s="292" t="str">
        <f>IFERROR(__xludf.DUMMYFUNCTION("""COMPUTED_VALUE"""),"CON-00-147874-2")</f>
        <v>CON-00-147874-2</v>
      </c>
      <c r="D294" s="292" t="str">
        <f>IFERROR(__xludf.DUMMYFUNCTION("""COMPUTED_VALUE"""),"CON-00-136670-3")</f>
        <v>CON-00-136670-3</v>
      </c>
      <c r="E294" s="292" t="str">
        <f>IFERROR(__xludf.DUMMYFUNCTION("""COMPUTED_VALUE"""),"Grilled pork tenderloin and tomato butter")</f>
        <v>Grilled pork tenderloin and tomato butter</v>
      </c>
      <c r="F294" s="292" t="str">
        <f>IFERROR(__xludf.DUMMYFUNCTION("""COMPUTED_VALUE"""),"with broccoli in roasted pepper sauce and cauliflower puree")</f>
        <v>with broccoli in roasted pepper sauce and cauliflower puree</v>
      </c>
      <c r="G294" s="292" t="str">
        <f>IFERROR(__xludf.DUMMYFUNCTION("""COMPUTED_VALUE"""),"Gegrilde varkenshaas en tomatenboter")</f>
        <v>Gegrilde varkenshaas en tomatenboter</v>
      </c>
      <c r="H294" s="292" t="str">
        <f>IFERROR(__xludf.DUMMYFUNCTION("""COMPUTED_VALUE"""),"met broccoli in geroosterde paprikasaus en bloemkoolpuree ")</f>
        <v>met broccoli in geroosterde paprikasaus en bloemkoolpuree </v>
      </c>
      <c r="I294" s="292"/>
      <c r="J294" s="292" t="str">
        <f>IFERROR(__xludf.DUMMYFUNCTION("""COMPUTED_VALUE"""),"Gegrilltes Schweinefilet mit Tomatenbutter")</f>
        <v>Gegrilltes Schweinefilet mit Tomatenbutter</v>
      </c>
      <c r="K294" s="292">
        <f>IFERROR(__xludf.DUMMYFUNCTION("""COMPUTED_VALUE"""),565312.0)</f>
        <v>565312</v>
      </c>
      <c r="L294" s="292" t="str">
        <f>IFERROR(__xludf.DUMMYFUNCTION("""COMPUTED_VALUE"""),"HF RW Varkenshaas tomatenboter")</f>
        <v>HF RW Varkenshaas tomatenboter</v>
      </c>
      <c r="M294" s="292" t="str">
        <f>IFERROR(__xludf.DUMMYFUNCTION("""COMPUTED_VALUE"""),"FA-NL Gegrilde varkenshaas en tomatenboter (FE4010)")</f>
        <v>FA-NL Gegrilde varkenshaas en tomatenboter (FE4010)</v>
      </c>
      <c r="N294" s="292" t="str">
        <f>IFERROR(__xludf.DUMMYFUNCTION("""COMPUTED_VALUE"""),"FA-NO Grillet svinemørbrad og tomatsmør (FE4010)")</f>
        <v>FA-NO Grillet svinemørbrad og tomatsmør (FE4010)</v>
      </c>
      <c r="O294" s="292" t="str">
        <f>IFERROR(__xludf.DUMMYFUNCTION("""COMPUTED_VALUE"""),"FA-DE Gegrilltes Schweinefilet mit Tomatenbutter (FE4010)")</f>
        <v>FA-DE Gegrilltes Schweinefilet mit Tomatenbutter (FE4010)</v>
      </c>
      <c r="P294" s="292" t="str">
        <f>IFERROR(__xludf.DUMMYFUNCTION("""COMPUTED_VALUE"""),"Active")</f>
        <v>Active</v>
      </c>
      <c r="Q294" s="292"/>
      <c r="R294" s="342">
        <f>IFERROR(__xludf.DUMMYFUNCTION("""COMPUTED_VALUE"""),4.9)</f>
        <v>4.9</v>
      </c>
      <c r="S294" s="292"/>
      <c r="T294" s="292"/>
      <c r="U294" s="292"/>
      <c r="V294" s="292"/>
      <c r="W294" s="292" t="b">
        <f>IFERROR(__xludf.DUMMYFUNCTION("""COMPUTED_VALUE"""),TRUE)</f>
        <v>1</v>
      </c>
      <c r="X294" s="345">
        <f>IFERROR(__xludf.DUMMYFUNCTION("""COMPUTED_VALUE"""),373.0)</f>
        <v>373</v>
      </c>
      <c r="Y294" s="344">
        <f>IFERROR(__xludf.DUMMYFUNCTION("""COMPUTED_VALUE"""),492.0)</f>
        <v>492</v>
      </c>
      <c r="Z294" s="343">
        <f>IFERROR(__xludf.DUMMYFUNCTION("""COMPUTED_VALUE"""),35.6)</f>
        <v>35.6</v>
      </c>
      <c r="AA294" s="344">
        <f>IFERROR(__xludf.DUMMYFUNCTION("""COMPUTED_VALUE"""),19.6)</f>
        <v>19.6</v>
      </c>
      <c r="AB294" s="344">
        <f>IFERROR(__xludf.DUMMYFUNCTION("""COMPUTED_VALUE"""),10.2)</f>
        <v>10.2</v>
      </c>
      <c r="AC294" s="344">
        <f>IFERROR(__xludf.DUMMYFUNCTION("""COMPUTED_VALUE"""),7.7)</f>
        <v>7.7</v>
      </c>
      <c r="AD294" s="344">
        <f>IFERROR(__xludf.DUMMYFUNCTION("""COMPUTED_VALUE"""),7.2)</f>
        <v>7.2</v>
      </c>
      <c r="AE294" s="343">
        <f>IFERROR(__xludf.DUMMYFUNCTION("""COMPUTED_VALUE"""),30.1)</f>
        <v>30.1</v>
      </c>
      <c r="AF294" s="343">
        <f>IFERROR(__xludf.DUMMYFUNCTION("""COMPUTED_VALUE"""),2.24)</f>
        <v>2.24</v>
      </c>
      <c r="AG294" s="292" t="b">
        <f>IFERROR(__xludf.DUMMYFUNCTION("""COMPUTED_VALUE"""),FALSE)</f>
        <v>0</v>
      </c>
      <c r="AH294" s="292" t="b">
        <f>IFERROR(__xludf.DUMMYFUNCTION("""COMPUTED_VALUE"""),TRUE)</f>
        <v>1</v>
      </c>
      <c r="AI294" s="292" t="b">
        <f>IFERROR(__xludf.DUMMYFUNCTION("""COMPUTED_VALUE"""),FALSE)</f>
        <v>0</v>
      </c>
      <c r="AJ294" s="292" t="b">
        <f>IFERROR(__xludf.DUMMYFUNCTION("""COMPUTED_VALUE"""),FALSE)</f>
        <v>0</v>
      </c>
      <c r="AK294" s="292" t="b">
        <f>IFERROR(__xludf.DUMMYFUNCTION("""COMPUTED_VALUE"""),FALSE)</f>
        <v>0</v>
      </c>
      <c r="AL294" s="292" t="b">
        <f>IFERROR(__xludf.DUMMYFUNCTION("""COMPUTED_VALUE"""),FALSE)</f>
        <v>0</v>
      </c>
      <c r="AM294" s="292" t="b">
        <f>IFERROR(__xludf.DUMMYFUNCTION("""COMPUTED_VALUE"""),FALSE)</f>
        <v>0</v>
      </c>
      <c r="AN294" s="292" t="b">
        <f>IFERROR(__xludf.DUMMYFUNCTION("""COMPUTED_VALUE"""),FALSE)</f>
        <v>0</v>
      </c>
      <c r="AO294" s="292" t="str">
        <f>IFERROR(__xludf.DUMMYFUNCTION("""COMPUTED_VALUE"""),"FALSE")</f>
        <v>FALSE</v>
      </c>
      <c r="AP294" s="292" t="str">
        <f>IFERROR(__xludf.DUMMYFUNCTION("""COMPUTED_VALUE"""),"Pork tenderloin")</f>
        <v>Pork tenderloin</v>
      </c>
      <c r="AQ294" s="292" t="str">
        <f>IFERROR(__xludf.DUMMYFUNCTION("""COMPUTED_VALUE"""),"Pork")</f>
        <v>Pork</v>
      </c>
      <c r="AR294" s="292" t="str">
        <f>IFERROR(__xludf.DUMMYFUNCTION("""COMPUTED_VALUE"""),"Tenderloin")</f>
        <v>Tenderloin</v>
      </c>
      <c r="AS294" s="292" t="str">
        <f>IFERROR(__xludf.DUMMYFUNCTION("""COMPUTED_VALUE"""),"Cauliflower Mash")</f>
        <v>Cauliflower Mash</v>
      </c>
      <c r="AT294" s="292" t="str">
        <f>IFERROR(__xludf.DUMMYFUNCTION("""COMPUTED_VALUE"""),"Broccoli")</f>
        <v>Broccoli</v>
      </c>
      <c r="AU294" s="292" t="str">
        <f>IFERROR(__xludf.DUMMYFUNCTION("""COMPUTED_VALUE"""),"Creamy Sauce Base")</f>
        <v>Creamy Sauce Base</v>
      </c>
      <c r="AV294" s="292" t="str">
        <f>IFERROR(__xludf.DUMMYFUNCTION("""COMPUTED_VALUE"""),"Compound Butter")</f>
        <v>Compound Butter</v>
      </c>
      <c r="AW294" s="292" t="str">
        <f>IFERROR(__xludf.DUMMYFUNCTION("""COMPUTED_VALUE"""),"Year Round")</f>
        <v>Year Round</v>
      </c>
      <c r="AX294" s="292" t="str">
        <f>IFERROR(__xludf.DUMMYFUNCTION("""COMPUTED_VALUE"""),"American")</f>
        <v>American</v>
      </c>
      <c r="AY294" s="292"/>
      <c r="AZ294" s="292" t="str">
        <f>IFERROR(__xludf.DUMMYFUNCTION("""COMPUTED_VALUE"""),"2 CT")</f>
        <v>2 CT</v>
      </c>
      <c r="BA294" s="292" t="b">
        <f>IFERROR(__xludf.DUMMYFUNCTION("""COMPUTED_VALUE"""),FALSE)</f>
        <v>0</v>
      </c>
      <c r="BB294" s="342">
        <f>IFERROR(__xludf.DUMMYFUNCTION("""COMPUTED_VALUE"""),2.97)</f>
        <v>2.97</v>
      </c>
      <c r="BC294" s="342">
        <f>IFERROR(__xludf.DUMMYFUNCTION("""COMPUTED_VALUE"""),1.52)</f>
        <v>1.52</v>
      </c>
      <c r="BD294" s="342">
        <f>IFERROR(__xludf.DUMMYFUNCTION("""COMPUTED_VALUE"""),0.4)</f>
        <v>0.4</v>
      </c>
      <c r="BE294" s="342">
        <f>IFERROR(__xludf.DUMMYFUNCTION("""COMPUTED_VALUE"""),0.89)</f>
        <v>0.89</v>
      </c>
      <c r="BF294" s="296" t="str">
        <f>IFERROR(__xludf.DUMMYFUNCTION("""COMPUTED_VALUE"""),"#REF!")</f>
        <v>#REF!</v>
      </c>
      <c r="BG294" s="296" t="str">
        <f>IFERROR(__xludf.DUMMYFUNCTION("""COMPUTED_VALUE"""),"#REF!")</f>
        <v>#REF!</v>
      </c>
      <c r="BH294" s="296" t="str">
        <f>IFERROR(__xludf.DUMMYFUNCTION("""COMPUTED_VALUE"""),"#REF!")</f>
        <v>#REF!</v>
      </c>
      <c r="BI294" s="295">
        <f>IFERROR(__xludf.DUMMYFUNCTION("""COMPUTED_VALUE"""),202.0)</f>
        <v>202</v>
      </c>
      <c r="BJ294" s="292"/>
      <c r="BK294" s="346">
        <f>IFERROR(__xludf.DUMMYFUNCTION("""COMPUTED_VALUE"""),2054.0)</f>
        <v>2054</v>
      </c>
      <c r="BL294" s="292"/>
      <c r="BM294" s="292"/>
      <c r="BN294" s="292"/>
      <c r="BO294" s="292"/>
      <c r="BP294" s="292"/>
      <c r="BQ294" s="292"/>
      <c r="BR294" s="292" t="b">
        <f>IFERROR(__xludf.DUMMYFUNCTION("""COMPUTED_VALUE"""),FALSE)</f>
        <v>0</v>
      </c>
      <c r="BS294" s="292"/>
      <c r="BT294" s="292"/>
      <c r="BU294" s="292"/>
      <c r="BV294" s="292"/>
      <c r="BW294" s="292"/>
    </row>
    <row r="295">
      <c r="A295" s="292" t="str">
        <f>IFERROR(__xludf.DUMMYFUNCTION("""COMPUTED_VALUE"""),"FE0565E")</f>
        <v>FE0565E</v>
      </c>
      <c r="B295" s="292" t="str">
        <f>IFERROR(__xludf.DUMMYFUNCTION("""COMPUTED_VALUE"""),"CON-40-143745-4")</f>
        <v>CON-40-143745-4</v>
      </c>
      <c r="C295" s="292" t="str">
        <f>IFERROR(__xludf.DUMMYFUNCTION("""COMPUTED_VALUE"""),"CON-00-147849-2")</f>
        <v>CON-00-147849-2</v>
      </c>
      <c r="D295" s="292" t="str">
        <f>IFERROR(__xludf.DUMMYFUNCTION("""COMPUTED_VALUE"""),"CON-00-136655-3")</f>
        <v>CON-00-136655-3</v>
      </c>
      <c r="E295" s="292" t="str">
        <f>IFERROR(__xludf.DUMMYFUNCTION("""COMPUTED_VALUE"""),"Pork tenderloin with caramelized onion")</f>
        <v>Pork tenderloin with caramelized onion</v>
      </c>
      <c r="F295" s="292" t="str">
        <f>IFERROR(__xludf.DUMMYFUNCTION("""COMPUTED_VALUE"""),"with bacon, cauliflower puree and green beans in mushroom cream")</f>
        <v>with bacon, cauliflower puree and green beans in mushroom cream</v>
      </c>
      <c r="G295" s="341" t="str">
        <f>IFERROR(__xludf.DUMMYFUNCTION("""COMPUTED_VALUE"""),"Varkenshaas met gekaramelliseerde ui")</f>
        <v>Varkenshaas met gekaramelliseerde ui</v>
      </c>
      <c r="H295" s="292" t="str">
        <f>IFERROR(__xludf.DUMMYFUNCTION("""COMPUTED_VALUE"""),"met bacon, bloemkoolpuree en sperziebonen in champignoncrème")</f>
        <v>met bacon, bloemkoolpuree en sperziebonen in champignoncrème</v>
      </c>
      <c r="I295" s="292" t="str">
        <f>IFERROR(__xludf.DUMMYFUNCTION("""COMPUTED_VALUE"""),"Svinefilet med karamelliserede løg")</f>
        <v>Svinefilet med karamelliserede løg</v>
      </c>
      <c r="J295" s="292" t="str">
        <f>IFERROR(__xludf.DUMMYFUNCTION("""COMPUTED_VALUE"""),"Schweinefilet mit karamellisierten Zwiebeln")</f>
        <v>Schweinefilet mit karamellisierten Zwiebeln</v>
      </c>
      <c r="K295" s="292">
        <f>IFERROR(__xludf.DUMMYFUNCTION("""COMPUTED_VALUE"""),565313.0)</f>
        <v>565313</v>
      </c>
      <c r="L295" s="292" t="str">
        <f>IFERROR(__xludf.DUMMYFUNCTION("""COMPUTED_VALUE"""),"HF RW Varkenshaas gekaram ui")</f>
        <v>HF RW Varkenshaas gekaram ui</v>
      </c>
      <c r="M295" s="292" t="str">
        <f>IFERROR(__xludf.DUMMYFUNCTION("""COMPUTED_VALUE"""),"FA-NL Varkenshaas Met Gekaramelliseerde Ui (FE0565)")</f>
        <v>FA-NL Varkenshaas Met Gekaramelliseerde Ui (FE0565)</v>
      </c>
      <c r="N295" s="292" t="str">
        <f>IFERROR(__xludf.DUMMYFUNCTION("""COMPUTED_VALUE"""),"FA-NO Svinemørbrad med karamelliseret løg (FE0565)")</f>
        <v>FA-NO Svinemørbrad med karamelliseret løg (FE0565)</v>
      </c>
      <c r="O295" s="292" t="str">
        <f>IFERROR(__xludf.DUMMYFUNCTION("""COMPUTED_VALUE"""),"FA-DE Schweinefilet mit karamellisierten Zwiebeln (FE0565)")</f>
        <v>FA-DE Schweinefilet mit karamellisierten Zwiebeln (FE0565)</v>
      </c>
      <c r="P295" s="292" t="str">
        <f>IFERROR(__xludf.DUMMYFUNCTION("""COMPUTED_VALUE"""),"Active")</f>
        <v>Active</v>
      </c>
      <c r="Q295" s="292"/>
      <c r="R295" s="342">
        <f>IFERROR(__xludf.DUMMYFUNCTION("""COMPUTED_VALUE"""),5.07)</f>
        <v>5.07</v>
      </c>
      <c r="S295" s="292"/>
      <c r="T295" s="292"/>
      <c r="U295" s="292"/>
      <c r="V295" s="292"/>
      <c r="W295" s="292" t="b">
        <f>IFERROR(__xludf.DUMMYFUNCTION("""COMPUTED_VALUE"""),TRUE)</f>
        <v>1</v>
      </c>
      <c r="X295" s="345">
        <f>IFERROR(__xludf.DUMMYFUNCTION("""COMPUTED_VALUE"""),389.0)</f>
        <v>389</v>
      </c>
      <c r="Y295" s="344">
        <f>IFERROR(__xludf.DUMMYFUNCTION("""COMPUTED_VALUE"""),523.0)</f>
        <v>523</v>
      </c>
      <c r="Z295" s="343">
        <f>IFERROR(__xludf.DUMMYFUNCTION("""COMPUTED_VALUE"""),36.6)</f>
        <v>36.6</v>
      </c>
      <c r="AA295" s="344">
        <f>IFERROR(__xludf.DUMMYFUNCTION("""COMPUTED_VALUE"""),15.3)</f>
        <v>15.3</v>
      </c>
      <c r="AB295" s="344">
        <f>IFERROR(__xludf.DUMMYFUNCTION("""COMPUTED_VALUE"""),10.5)</f>
        <v>10.5</v>
      </c>
      <c r="AC295" s="344">
        <f>IFERROR(__xludf.DUMMYFUNCTION("""COMPUTED_VALUE"""),8.4)</f>
        <v>8.4</v>
      </c>
      <c r="AD295" s="344">
        <f>IFERROR(__xludf.DUMMYFUNCTION("""COMPUTED_VALUE"""),7.6)</f>
        <v>7.6</v>
      </c>
      <c r="AE295" s="343">
        <f>IFERROR(__xludf.DUMMYFUNCTION("""COMPUTED_VALUE"""),35.3)</f>
        <v>35.3</v>
      </c>
      <c r="AF295" s="343">
        <f>IFERROR(__xludf.DUMMYFUNCTION("""COMPUTED_VALUE"""),2.24)</f>
        <v>2.24</v>
      </c>
      <c r="AG295" s="292" t="b">
        <f>IFERROR(__xludf.DUMMYFUNCTION("""COMPUTED_VALUE"""),FALSE)</f>
        <v>0</v>
      </c>
      <c r="AH295" s="292" t="b">
        <f>IFERROR(__xludf.DUMMYFUNCTION("""COMPUTED_VALUE"""),TRUE)</f>
        <v>1</v>
      </c>
      <c r="AI295" s="292" t="b">
        <f>IFERROR(__xludf.DUMMYFUNCTION("""COMPUTED_VALUE"""),FALSE)</f>
        <v>0</v>
      </c>
      <c r="AJ295" s="292" t="b">
        <f>IFERROR(__xludf.DUMMYFUNCTION("""COMPUTED_VALUE"""),FALSE)</f>
        <v>0</v>
      </c>
      <c r="AK295" s="292" t="b">
        <f>IFERROR(__xludf.DUMMYFUNCTION("""COMPUTED_VALUE"""),FALSE)</f>
        <v>0</v>
      </c>
      <c r="AL295" s="292" t="b">
        <f>IFERROR(__xludf.DUMMYFUNCTION("""COMPUTED_VALUE"""),FALSE)</f>
        <v>0</v>
      </c>
      <c r="AM295" s="292" t="b">
        <f>IFERROR(__xludf.DUMMYFUNCTION("""COMPUTED_VALUE"""),TRUE)</f>
        <v>1</v>
      </c>
      <c r="AN295" s="292" t="b">
        <f>IFERROR(__xludf.DUMMYFUNCTION("""COMPUTED_VALUE"""),FALSE)</f>
        <v>0</v>
      </c>
      <c r="AO295" s="292" t="str">
        <f>IFERROR(__xludf.DUMMYFUNCTION("""COMPUTED_VALUE"""),"FALSE")</f>
        <v>FALSE</v>
      </c>
      <c r="AP295" s="292" t="str">
        <f>IFERROR(__xludf.DUMMYFUNCTION("""COMPUTED_VALUE"""),"Pork tenderloin")</f>
        <v>Pork tenderloin</v>
      </c>
      <c r="AQ295" s="292" t="str">
        <f>IFERROR(__xludf.DUMMYFUNCTION("""COMPUTED_VALUE"""),"Pork")</f>
        <v>Pork</v>
      </c>
      <c r="AR295" s="292" t="str">
        <f>IFERROR(__xludf.DUMMYFUNCTION("""COMPUTED_VALUE"""),"Tenderloin")</f>
        <v>Tenderloin</v>
      </c>
      <c r="AS295" s="292" t="str">
        <f>IFERROR(__xludf.DUMMYFUNCTION("""COMPUTED_VALUE"""),"Cauliflower Mash")</f>
        <v>Cauliflower Mash</v>
      </c>
      <c r="AT295" s="292" t="str">
        <f>IFERROR(__xludf.DUMMYFUNCTION("""COMPUTED_VALUE"""),"Green Beans")</f>
        <v>Green Beans</v>
      </c>
      <c r="AU295" s="292" t="str">
        <f>IFERROR(__xludf.DUMMYFUNCTION("""COMPUTED_VALUE"""),"Mushrooms")</f>
        <v>Mushrooms</v>
      </c>
      <c r="AV295" s="292" t="str">
        <f>IFERROR(__xludf.DUMMYFUNCTION("""COMPUTED_VALUE"""),"Caramelized Onions")</f>
        <v>Caramelized Onions</v>
      </c>
      <c r="AW295" s="292" t="str">
        <f>IFERROR(__xludf.DUMMYFUNCTION("""COMPUTED_VALUE"""),"Year Round")</f>
        <v>Year Round</v>
      </c>
      <c r="AX295" s="292" t="str">
        <f>IFERROR(__xludf.DUMMYFUNCTION("""COMPUTED_VALUE"""),"American")</f>
        <v>American</v>
      </c>
      <c r="AY295" s="292"/>
      <c r="AZ295" s="292" t="str">
        <f>IFERROR(__xludf.DUMMYFUNCTION("""COMPUTED_VALUE"""),"2 CT")</f>
        <v>2 CT</v>
      </c>
      <c r="BA295" s="292" t="b">
        <f>IFERROR(__xludf.DUMMYFUNCTION("""COMPUTED_VALUE"""),FALSE)</f>
        <v>0</v>
      </c>
      <c r="BB295" s="342">
        <f>IFERROR(__xludf.DUMMYFUNCTION("""COMPUTED_VALUE"""),3.05)</f>
        <v>3.05</v>
      </c>
      <c r="BC295" s="342">
        <f>IFERROR(__xludf.DUMMYFUNCTION("""COMPUTED_VALUE"""),1.62)</f>
        <v>1.62</v>
      </c>
      <c r="BD295" s="342">
        <f>IFERROR(__xludf.DUMMYFUNCTION("""COMPUTED_VALUE"""),0.4)</f>
        <v>0.4</v>
      </c>
      <c r="BE295" s="342">
        <f>IFERROR(__xludf.DUMMYFUNCTION("""COMPUTED_VALUE"""),0.89)</f>
        <v>0.89</v>
      </c>
      <c r="BF295" s="296" t="str">
        <f>IFERROR(__xludf.DUMMYFUNCTION("""COMPUTED_VALUE"""),"#REF!")</f>
        <v>#REF!</v>
      </c>
      <c r="BG295" s="296" t="str">
        <f>IFERROR(__xludf.DUMMYFUNCTION("""COMPUTED_VALUE"""),"#REF!")</f>
        <v>#REF!</v>
      </c>
      <c r="BH295" s="296" t="str">
        <f>IFERROR(__xludf.DUMMYFUNCTION("""COMPUTED_VALUE"""),"#REF!")</f>
        <v>#REF!</v>
      </c>
      <c r="BI295" s="295">
        <f>IFERROR(__xludf.DUMMYFUNCTION("""COMPUTED_VALUE"""),213.0)</f>
        <v>213</v>
      </c>
      <c r="BJ295" s="292"/>
      <c r="BK295" s="346">
        <f>IFERROR(__xludf.DUMMYFUNCTION("""COMPUTED_VALUE"""),2175.0)</f>
        <v>2175</v>
      </c>
      <c r="BL295" s="292"/>
      <c r="BM295" s="292"/>
      <c r="BN295" s="292"/>
      <c r="BO295" s="292"/>
      <c r="BP295" s="292"/>
      <c r="BQ295" s="292"/>
      <c r="BR295" s="292" t="b">
        <f>IFERROR(__xludf.DUMMYFUNCTION("""COMPUTED_VALUE"""),FALSE)</f>
        <v>0</v>
      </c>
      <c r="BS295" s="292"/>
      <c r="BT295" s="292"/>
      <c r="BU295" s="292"/>
      <c r="BV295" s="292"/>
      <c r="BW295" s="292"/>
    </row>
    <row r="296">
      <c r="A296" s="292" t="str">
        <f>IFERROR(__xludf.DUMMYFUNCTION("""COMPUTED_VALUE"""),"FE0815F")</f>
        <v>FE0815F</v>
      </c>
      <c r="B296" s="292" t="str">
        <f>IFERROR(__xludf.DUMMYFUNCTION("""COMPUTED_VALUE"""),"")</f>
        <v/>
      </c>
      <c r="C296" s="292"/>
      <c r="D296" s="292"/>
      <c r="E296" s="292" t="str">
        <f>IFERROR(__xludf.DUMMYFUNCTION("""COMPUTED_VALUE"""),"Charred Corn &amp; Pulled Chicken Trottole")</f>
        <v>Charred Corn &amp; Pulled Chicken Trottole</v>
      </c>
      <c r="F296" s="292" t="str">
        <f>IFERROR(__xludf.DUMMYFUNCTION("""COMPUTED_VALUE"""),"with Garlic Cream Sauce &amp; Broccoli")</f>
        <v>with Garlic Cream Sauce &amp; Broccoli</v>
      </c>
      <c r="G296" s="292" t="str">
        <f>IFERROR(__xludf.DUMMYFUNCTION("""COMPUTED_VALUE"""),"Trottole met geroosterde maïs en pulled chicken")</f>
        <v>Trottole met geroosterde maïs en pulled chicken</v>
      </c>
      <c r="H296" s="292" t="str">
        <f>IFERROR(__xludf.DUMMYFUNCTION("""COMPUTED_VALUE"""),"met knoflookroomsaus en broccoli")</f>
        <v>met knoflookroomsaus en broccoli</v>
      </c>
      <c r="I296" s="292" t="str">
        <f>IFERROR(__xludf.DUMMYFUNCTION("""COMPUTED_VALUE"""),"Trottole-pasta med pulled chicken og grillet majs")</f>
        <v>Trottole-pasta med pulled chicken og grillet majs</v>
      </c>
      <c r="J296" s="292" t="str">
        <f>IFERROR(__xludf.DUMMYFUNCTION("""COMPUTED_VALUE"""),"Trottole mit geröstetem Mais &amp; Pulled Chicken")</f>
        <v>Trottole mit geröstetem Mais &amp; Pulled Chicken</v>
      </c>
      <c r="K296" s="292">
        <f>IFERROR(__xludf.DUMMYFUNCTION("""COMPUTED_VALUE"""),565280.0)</f>
        <v>565280</v>
      </c>
      <c r="L296" s="292" t="str">
        <f>IFERROR(__xludf.DUMMYFUNCTION("""COMPUTED_VALUE"""),"HF Pulled chicken creamy pasta")</f>
        <v>HF Pulled chicken creamy pasta</v>
      </c>
      <c r="M296" s="292" t="str">
        <f>IFERROR(__xludf.DUMMYFUNCTION("""COMPUTED_VALUE"""),"#N/A")</f>
        <v>#N/A</v>
      </c>
      <c r="N296" s="292" t="str">
        <f>IFERROR(__xludf.DUMMYFUNCTION("""COMPUTED_VALUE"""),"#N/A")</f>
        <v>#N/A</v>
      </c>
      <c r="O296" s="292" t="str">
        <f>IFERROR(__xludf.DUMMYFUNCTION("""COMPUTED_VALUE"""),"#N/A")</f>
        <v>#N/A</v>
      </c>
      <c r="P296" s="292" t="str">
        <f>IFERROR(__xludf.DUMMYFUNCTION("""COMPUTED_VALUE"""),"Active")</f>
        <v>Active</v>
      </c>
      <c r="Q296" s="292"/>
      <c r="R296" s="342">
        <f>IFERROR(__xludf.DUMMYFUNCTION("""COMPUTED_VALUE"""),3.89)</f>
        <v>3.89</v>
      </c>
      <c r="S296" s="292"/>
      <c r="T296" s="292"/>
      <c r="U296" s="292"/>
      <c r="V296" s="292"/>
      <c r="W296" s="292" t="b">
        <f>IFERROR(__xludf.DUMMYFUNCTION("""COMPUTED_VALUE"""),TRUE)</f>
        <v>1</v>
      </c>
      <c r="X296" s="345">
        <f>IFERROR(__xludf.DUMMYFUNCTION("""COMPUTED_VALUE"""),364.0)</f>
        <v>364</v>
      </c>
      <c r="Y296" s="344">
        <f>IFERROR(__xludf.DUMMYFUNCTION("""COMPUTED_VALUE"""),559.0)</f>
        <v>559</v>
      </c>
      <c r="Z296" s="343">
        <f>IFERROR(__xludf.DUMMYFUNCTION("""COMPUTED_VALUE"""),29.7)</f>
        <v>29.7</v>
      </c>
      <c r="AA296" s="344">
        <f>IFERROR(__xludf.DUMMYFUNCTION("""COMPUTED_VALUE"""),14.0)</f>
        <v>14</v>
      </c>
      <c r="AB296" s="344">
        <f>IFERROR(__xludf.DUMMYFUNCTION("""COMPUTED_VALUE"""),38.6)</f>
        <v>38.6</v>
      </c>
      <c r="AC296" s="344">
        <f>IFERROR(__xludf.DUMMYFUNCTION("""COMPUTED_VALUE"""),7.9)</f>
        <v>7.9</v>
      </c>
      <c r="AD296" s="344">
        <f>IFERROR(__xludf.DUMMYFUNCTION("""COMPUTED_VALUE"""),8.9)</f>
        <v>8.9</v>
      </c>
      <c r="AE296" s="343">
        <f>IFERROR(__xludf.DUMMYFUNCTION("""COMPUTED_VALUE"""),30.7)</f>
        <v>30.7</v>
      </c>
      <c r="AF296" s="343">
        <f>IFERROR(__xludf.DUMMYFUNCTION("""COMPUTED_VALUE"""),2.22)</f>
        <v>2.22</v>
      </c>
      <c r="AG296" s="292" t="b">
        <f>IFERROR(__xludf.DUMMYFUNCTION("""COMPUTED_VALUE"""),FALSE)</f>
        <v>0</v>
      </c>
      <c r="AH296" s="292" t="b">
        <f>IFERROR(__xludf.DUMMYFUNCTION("""COMPUTED_VALUE"""),FALSE)</f>
        <v>0</v>
      </c>
      <c r="AI296" s="292" t="b">
        <f>IFERROR(__xludf.DUMMYFUNCTION("""COMPUTED_VALUE"""),FALSE)</f>
        <v>0</v>
      </c>
      <c r="AJ296" s="292" t="b">
        <f>IFERROR(__xludf.DUMMYFUNCTION("""COMPUTED_VALUE"""),FALSE)</f>
        <v>0</v>
      </c>
      <c r="AK296" s="292" t="b">
        <f>IFERROR(__xludf.DUMMYFUNCTION("""COMPUTED_VALUE"""),FALSE)</f>
        <v>0</v>
      </c>
      <c r="AL296" s="292" t="b">
        <f>IFERROR(__xludf.DUMMYFUNCTION("""COMPUTED_VALUE"""),FALSE)</f>
        <v>0</v>
      </c>
      <c r="AM296" s="292" t="b">
        <f>IFERROR(__xludf.DUMMYFUNCTION("""COMPUTED_VALUE"""),TRUE)</f>
        <v>1</v>
      </c>
      <c r="AN296" s="292" t="b">
        <f>IFERROR(__xludf.DUMMYFUNCTION("""COMPUTED_VALUE"""),FALSE)</f>
        <v>0</v>
      </c>
      <c r="AO296" s="292" t="str">
        <f>IFERROR(__xludf.DUMMYFUNCTION("""COMPUTED_VALUE"""),"FALSE")</f>
        <v>FALSE</v>
      </c>
      <c r="AP296" s="292" t="str">
        <f>IFERROR(__xludf.DUMMYFUNCTION("""COMPUTED_VALUE"""),"Shredded chicken")</f>
        <v>Shredded chicken</v>
      </c>
      <c r="AQ296" s="292" t="str">
        <f>IFERROR(__xludf.DUMMYFUNCTION("""COMPUTED_VALUE"""),"Chicken")</f>
        <v>Chicken</v>
      </c>
      <c r="AR296" s="292" t="str">
        <f>IFERROR(__xludf.DUMMYFUNCTION("""COMPUTED_VALUE"""),"Shredded")</f>
        <v>Shredded</v>
      </c>
      <c r="AS296" s="292" t="str">
        <f>IFERROR(__xludf.DUMMYFUNCTION("""COMPUTED_VALUE"""),"Pasta")</f>
        <v>Pasta</v>
      </c>
      <c r="AT296" s="292" t="str">
        <f>IFERROR(__xludf.DUMMYFUNCTION("""COMPUTED_VALUE"""),"Corn Kernels")</f>
        <v>Corn Kernels</v>
      </c>
      <c r="AU296" s="292" t="str">
        <f>IFERROR(__xludf.DUMMYFUNCTION("""COMPUTED_VALUE"""),"Broccoli")</f>
        <v>Broccoli</v>
      </c>
      <c r="AV296" s="292" t="str">
        <f>IFERROR(__xludf.DUMMYFUNCTION("""COMPUTED_VALUE"""),"Creamy Sauce Base")</f>
        <v>Creamy Sauce Base</v>
      </c>
      <c r="AW296" s="292" t="str">
        <f>IFERROR(__xludf.DUMMYFUNCTION("""COMPUTED_VALUE"""),"Year Round")</f>
        <v>Year Round</v>
      </c>
      <c r="AX296" s="292" t="str">
        <f>IFERROR(__xludf.DUMMYFUNCTION("""COMPUTED_VALUE"""),"American")</f>
        <v>American</v>
      </c>
      <c r="AY296" s="292"/>
      <c r="AZ296" s="292" t="str">
        <f>IFERROR(__xludf.DUMMYFUNCTION("""COMPUTED_VALUE"""),"2 CT")</f>
        <v>2 CT</v>
      </c>
      <c r="BA296" s="292" t="b">
        <f>IFERROR(__xludf.DUMMYFUNCTION("""COMPUTED_VALUE"""),FALSE)</f>
        <v>0</v>
      </c>
      <c r="BB296" s="342">
        <f>IFERROR(__xludf.DUMMYFUNCTION("""COMPUTED_VALUE"""),2.08)</f>
        <v>2.08</v>
      </c>
      <c r="BC296" s="342">
        <f>IFERROR(__xludf.DUMMYFUNCTION("""COMPUTED_VALUE"""),1.41)</f>
        <v>1.41</v>
      </c>
      <c r="BD296" s="342">
        <f>IFERROR(__xludf.DUMMYFUNCTION("""COMPUTED_VALUE"""),0.4)</f>
        <v>0.4</v>
      </c>
      <c r="BE296" s="342">
        <f>IFERROR(__xludf.DUMMYFUNCTION("""COMPUTED_VALUE"""),0.89)</f>
        <v>0.89</v>
      </c>
      <c r="BF296" s="296" t="str">
        <f>IFERROR(__xludf.DUMMYFUNCTION("""COMPUTED_VALUE"""),"#REF!")</f>
        <v>#REF!</v>
      </c>
      <c r="BG296" s="296" t="str">
        <f>IFERROR(__xludf.DUMMYFUNCTION("""COMPUTED_VALUE"""),"#REF!")</f>
        <v>#REF!</v>
      </c>
      <c r="BH296" s="296" t="str">
        <f>IFERROR(__xludf.DUMMYFUNCTION("""COMPUTED_VALUE"""),"#REF!")</f>
        <v>#REF!</v>
      </c>
      <c r="BI296" s="295">
        <f>IFERROR(__xludf.DUMMYFUNCTION("""COMPUTED_VALUE"""),127.0)</f>
        <v>127</v>
      </c>
      <c r="BJ296" s="292"/>
      <c r="BK296" s="346">
        <f>IFERROR(__xludf.DUMMYFUNCTION("""COMPUTED_VALUE"""),2334.0)</f>
        <v>2334</v>
      </c>
      <c r="BL296" s="292"/>
      <c r="BM296" s="292"/>
      <c r="BN296" s="292"/>
      <c r="BO296" s="292"/>
      <c r="BP296" s="292"/>
      <c r="BQ296" s="292"/>
      <c r="BR296" s="292" t="b">
        <f>IFERROR(__xludf.DUMMYFUNCTION("""COMPUTED_VALUE"""),FALSE)</f>
        <v>0</v>
      </c>
      <c r="BS296" s="292"/>
      <c r="BT296" s="292"/>
      <c r="BU296" s="292"/>
      <c r="BV296" s="292"/>
      <c r="BW296" s="292"/>
    </row>
    <row r="297">
      <c r="A297" s="292" t="str">
        <f>IFERROR(__xludf.DUMMYFUNCTION("""COMPUTED_VALUE"""),"FE1598A")</f>
        <v>FE1598A</v>
      </c>
      <c r="B297" s="292" t="str">
        <f>IFERROR(__xludf.DUMMYFUNCTION("""COMPUTED_VALUE"""),"")</f>
        <v/>
      </c>
      <c r="C297" s="292"/>
      <c r="D297" s="292"/>
      <c r="E297" s="292" t="str">
        <f>IFERROR(__xludf.DUMMYFUNCTION("""COMPUTED_VALUE"""),"Creamy Caper Chicken")</f>
        <v>Creamy Caper Chicken</v>
      </c>
      <c r="F297" s="292" t="str">
        <f>IFERROR(__xludf.DUMMYFUNCTION("""COMPUTED_VALUE"""),"with Mashed Potatoes &amp; Green Beans")</f>
        <v>with Mashed Potatoes &amp; Green Beans</v>
      </c>
      <c r="G297" s="292" t="str">
        <f>IFERROR(__xludf.DUMMYFUNCTION("""COMPUTED_VALUE"""),"Romige kip met kappertjes")</f>
        <v>Romige kip met kappertjes</v>
      </c>
      <c r="H297" s="292" t="str">
        <f>IFERROR(__xludf.DUMMYFUNCTION("""COMPUTED_VALUE"""),"met aardappelpuree en sperziebonen")</f>
        <v>met aardappelpuree en sperziebonen</v>
      </c>
      <c r="I297" s="292" t="str">
        <f>IFERROR(__xludf.DUMMYFUNCTION("""COMPUTED_VALUE"""),"Cremet kylling med kapers")</f>
        <v>Cremet kylling med kapers</v>
      </c>
      <c r="J297" s="292" t="str">
        <f>IFERROR(__xludf.DUMMYFUNCTION("""COMPUTED_VALUE"""),"Cremiges Kapern-Hähnchen")</f>
        <v>Cremiges Kapern-Hähnchen</v>
      </c>
      <c r="K297" s="292">
        <f>IFERROR(__xludf.DUMMYFUNCTION("""COMPUTED_VALUE"""),565287.0)</f>
        <v>565287</v>
      </c>
      <c r="L297" s="292" t="str">
        <f>IFERROR(__xludf.DUMMYFUNCTION("""COMPUTED_VALUE"""),"HF Kip citroen kappertjes saus")</f>
        <v>HF Kip citroen kappertjes saus</v>
      </c>
      <c r="M297" s="292" t="str">
        <f>IFERROR(__xludf.DUMMYFUNCTION("""COMPUTED_VALUE"""),"#N/A")</f>
        <v>#N/A</v>
      </c>
      <c r="N297" s="292" t="str">
        <f>IFERROR(__xludf.DUMMYFUNCTION("""COMPUTED_VALUE"""),"#N/A")</f>
        <v>#N/A</v>
      </c>
      <c r="O297" s="292" t="str">
        <f>IFERROR(__xludf.DUMMYFUNCTION("""COMPUTED_VALUE"""),"#N/A")</f>
        <v>#N/A</v>
      </c>
      <c r="P297" s="292" t="str">
        <f>IFERROR(__xludf.DUMMYFUNCTION("""COMPUTED_VALUE"""),"Active")</f>
        <v>Active</v>
      </c>
      <c r="Q297" s="292"/>
      <c r="R297" s="342">
        <f>IFERROR(__xludf.DUMMYFUNCTION("""COMPUTED_VALUE"""),4.38)</f>
        <v>4.38</v>
      </c>
      <c r="S297" s="292"/>
      <c r="T297" s="292"/>
      <c r="U297" s="292"/>
      <c r="V297" s="292"/>
      <c r="W297" s="292" t="b">
        <f>IFERROR(__xludf.DUMMYFUNCTION("""COMPUTED_VALUE"""),TRUE)</f>
        <v>1</v>
      </c>
      <c r="X297" s="345">
        <f>IFERROR(__xludf.DUMMYFUNCTION("""COMPUTED_VALUE"""),407.0)</f>
        <v>407</v>
      </c>
      <c r="Y297" s="344">
        <f>IFERROR(__xludf.DUMMYFUNCTION("""COMPUTED_VALUE"""),483.0)</f>
        <v>483</v>
      </c>
      <c r="Z297" s="343">
        <f>IFERROR(__xludf.DUMMYFUNCTION("""COMPUTED_VALUE"""),26.5)</f>
        <v>26.5</v>
      </c>
      <c r="AA297" s="344">
        <f>IFERROR(__xludf.DUMMYFUNCTION("""COMPUTED_VALUE"""),13.0)</f>
        <v>13</v>
      </c>
      <c r="AB297" s="344">
        <f>IFERROR(__xludf.DUMMYFUNCTION("""COMPUTED_VALUE"""),27.4)</f>
        <v>27.4</v>
      </c>
      <c r="AC297" s="344">
        <f>IFERROR(__xludf.DUMMYFUNCTION("""COMPUTED_VALUE"""),6.6)</f>
        <v>6.6</v>
      </c>
      <c r="AD297" s="344">
        <f>IFERROR(__xludf.DUMMYFUNCTION("""COMPUTED_VALUE"""),8.0)</f>
        <v>8</v>
      </c>
      <c r="AE297" s="343">
        <f>IFERROR(__xludf.DUMMYFUNCTION("""COMPUTED_VALUE"""),30.1)</f>
        <v>30.1</v>
      </c>
      <c r="AF297" s="343">
        <f>IFERROR(__xludf.DUMMYFUNCTION("""COMPUTED_VALUE"""),2.24)</f>
        <v>2.24</v>
      </c>
      <c r="AG297" s="292" t="b">
        <f>IFERROR(__xludf.DUMMYFUNCTION("""COMPUTED_VALUE"""),FALSE)</f>
        <v>0</v>
      </c>
      <c r="AH297" s="292" t="b">
        <f>IFERROR(__xludf.DUMMYFUNCTION("""COMPUTED_VALUE"""),FALSE)</f>
        <v>0</v>
      </c>
      <c r="AI297" s="292" t="b">
        <f>IFERROR(__xludf.DUMMYFUNCTION("""COMPUTED_VALUE"""),TRUE)</f>
        <v>1</v>
      </c>
      <c r="AJ297" s="292" t="b">
        <f>IFERROR(__xludf.DUMMYFUNCTION("""COMPUTED_VALUE"""),FALSE)</f>
        <v>0</v>
      </c>
      <c r="AK297" s="292" t="b">
        <f>IFERROR(__xludf.DUMMYFUNCTION("""COMPUTED_VALUE"""),FALSE)</f>
        <v>0</v>
      </c>
      <c r="AL297" s="292" t="b">
        <f>IFERROR(__xludf.DUMMYFUNCTION("""COMPUTED_VALUE"""),FALSE)</f>
        <v>0</v>
      </c>
      <c r="AM297" s="292" t="b">
        <f>IFERROR(__xludf.DUMMYFUNCTION("""COMPUTED_VALUE"""),TRUE)</f>
        <v>1</v>
      </c>
      <c r="AN297" s="292" t="b">
        <f>IFERROR(__xludf.DUMMYFUNCTION("""COMPUTED_VALUE"""),FALSE)</f>
        <v>0</v>
      </c>
      <c r="AO297" s="292" t="str">
        <f>IFERROR(__xludf.DUMMYFUNCTION("""COMPUTED_VALUE"""),"FALSE")</f>
        <v>FALSE</v>
      </c>
      <c r="AP297" s="292" t="str">
        <f>IFERROR(__xludf.DUMMYFUNCTION("""COMPUTED_VALUE"""),"Chicken breast")</f>
        <v>Chicken breast</v>
      </c>
      <c r="AQ297" s="292" t="str">
        <f>IFERROR(__xludf.DUMMYFUNCTION("""COMPUTED_VALUE"""),"Chicken")</f>
        <v>Chicken</v>
      </c>
      <c r="AR297" s="292" t="str">
        <f>IFERROR(__xludf.DUMMYFUNCTION("""COMPUTED_VALUE"""),"Breast")</f>
        <v>Breast</v>
      </c>
      <c r="AS297" s="292" t="str">
        <f>IFERROR(__xludf.DUMMYFUNCTION("""COMPUTED_VALUE"""),"Potato Mash")</f>
        <v>Potato Mash</v>
      </c>
      <c r="AT297" s="292" t="str">
        <f>IFERROR(__xludf.DUMMYFUNCTION("""COMPUTED_VALUE"""),"Green Beans")</f>
        <v>Green Beans</v>
      </c>
      <c r="AU297" s="292" t="str">
        <f>IFERROR(__xludf.DUMMYFUNCTION("""COMPUTED_VALUE"""),"Capers")</f>
        <v>Capers</v>
      </c>
      <c r="AV297" s="292" t="str">
        <f>IFERROR(__xludf.DUMMYFUNCTION("""COMPUTED_VALUE"""),"Creamy Sauce Base")</f>
        <v>Creamy Sauce Base</v>
      </c>
      <c r="AW297" s="292" t="str">
        <f>IFERROR(__xludf.DUMMYFUNCTION("""COMPUTED_VALUE"""),"Year Round")</f>
        <v>Year Round</v>
      </c>
      <c r="AX297" s="292" t="str">
        <f>IFERROR(__xludf.DUMMYFUNCTION("""COMPUTED_VALUE"""),"Italian")</f>
        <v>Italian</v>
      </c>
      <c r="AY297" s="292"/>
      <c r="AZ297" s="292" t="str">
        <f>IFERROR(__xludf.DUMMYFUNCTION("""COMPUTED_VALUE"""),"2 CT")</f>
        <v>2 CT</v>
      </c>
      <c r="BA297" s="292" t="b">
        <f>IFERROR(__xludf.DUMMYFUNCTION("""COMPUTED_VALUE"""),FALSE)</f>
        <v>0</v>
      </c>
      <c r="BB297" s="342">
        <f>IFERROR(__xludf.DUMMYFUNCTION("""COMPUTED_VALUE"""),2.52)</f>
        <v>2.52</v>
      </c>
      <c r="BC297" s="342">
        <f>IFERROR(__xludf.DUMMYFUNCTION("""COMPUTED_VALUE"""),1.46)</f>
        <v>1.46</v>
      </c>
      <c r="BD297" s="342">
        <f>IFERROR(__xludf.DUMMYFUNCTION("""COMPUTED_VALUE"""),0.4)</f>
        <v>0.4</v>
      </c>
      <c r="BE297" s="342">
        <f>IFERROR(__xludf.DUMMYFUNCTION("""COMPUTED_VALUE"""),0.89)</f>
        <v>0.89</v>
      </c>
      <c r="BF297" s="296" t="str">
        <f>IFERROR(__xludf.DUMMYFUNCTION("""COMPUTED_VALUE"""),"#REF!")</f>
        <v>#REF!</v>
      </c>
      <c r="BG297" s="296" t="str">
        <f>IFERROR(__xludf.DUMMYFUNCTION("""COMPUTED_VALUE"""),"#REF!")</f>
        <v>#REF!</v>
      </c>
      <c r="BH297" s="296" t="str">
        <f>IFERROR(__xludf.DUMMYFUNCTION("""COMPUTED_VALUE"""),"#REF!")</f>
        <v>#REF!</v>
      </c>
      <c r="BI297" s="295">
        <f>IFERROR(__xludf.DUMMYFUNCTION("""COMPUTED_VALUE"""),107.0)</f>
        <v>107</v>
      </c>
      <c r="BJ297" s="292"/>
      <c r="BK297" s="346">
        <f>IFERROR(__xludf.DUMMYFUNCTION("""COMPUTED_VALUE"""),2017.0)</f>
        <v>2017</v>
      </c>
      <c r="BL297" s="292"/>
      <c r="BM297" s="292"/>
      <c r="BN297" s="292"/>
      <c r="BO297" s="292"/>
      <c r="BP297" s="292"/>
      <c r="BQ297" s="292"/>
      <c r="BR297" s="292" t="b">
        <f>IFERROR(__xludf.DUMMYFUNCTION("""COMPUTED_VALUE"""),FALSE)</f>
        <v>0</v>
      </c>
      <c r="BS297" s="292"/>
      <c r="BT297" s="292"/>
      <c r="BU297" s="292"/>
      <c r="BV297" s="292"/>
      <c r="BW297" s="292"/>
    </row>
    <row r="298">
      <c r="A298" s="292" t="str">
        <f>IFERROR(__xludf.DUMMYFUNCTION("""COMPUTED_VALUE"""),"FE1404B")</f>
        <v>FE1404B</v>
      </c>
      <c r="B298" s="292" t="str">
        <f>IFERROR(__xludf.DUMMYFUNCTION("""COMPUTED_VALUE"""),"CON-40-150962-4")</f>
        <v>CON-40-150962-4</v>
      </c>
      <c r="C298" s="292" t="str">
        <f>IFERROR(__xludf.DUMMYFUNCTION("""COMPUTED_VALUE"""),"CON-00-150964-2")</f>
        <v>CON-00-150964-2</v>
      </c>
      <c r="D298" s="292" t="str">
        <f>IFERROR(__xludf.DUMMYFUNCTION("""COMPUTED_VALUE"""),"CON-00-150963-2")</f>
        <v>CON-00-150963-2</v>
      </c>
      <c r="E298" s="292" t="str">
        <f>IFERROR(__xludf.DUMMYFUNCTION("""COMPUTED_VALUE"""),"Bulgogi Pulled Beef Bowl")</f>
        <v>Bulgogi Pulled Beef Bowl</v>
      </c>
      <c r="F298" s="292" t="str">
        <f>IFERROR(__xludf.DUMMYFUNCTION("""COMPUTED_VALUE"""),"with Garlic-Ginger Rice &amp; Zucchini")</f>
        <v>with Garlic-Ginger Rice &amp; Zucchini</v>
      </c>
      <c r="G298" s="292" t="str">
        <f>IFERROR(__xludf.DUMMYFUNCTION("""COMPUTED_VALUE"""),"Bulgogi pulled beef bowl")</f>
        <v>Bulgogi pulled beef bowl</v>
      </c>
      <c r="H298" s="292" t="str">
        <f>IFERROR(__xludf.DUMMYFUNCTION("""COMPUTED_VALUE"""),"met knoflook-gemberrijst en courgette")</f>
        <v>met knoflook-gemberrijst en courgette</v>
      </c>
      <c r="I298" s="292" t="str">
        <f>IFERROR(__xludf.DUMMYFUNCTION("""COMPUTED_VALUE"""),"Bulgogi-bowl med pulled beef")</f>
        <v>Bulgogi-bowl med pulled beef</v>
      </c>
      <c r="J298" s="292" t="str">
        <f>IFERROR(__xludf.DUMMYFUNCTION("""COMPUTED_VALUE"""),"Bulgogi Bowl mit Pulled Beef")</f>
        <v>Bulgogi Bowl mit Pulled Beef</v>
      </c>
      <c r="K298" s="292">
        <f>IFERROR(__xludf.DUMMYFUNCTION("""COMPUTED_VALUE"""),565190.0)</f>
        <v>565190</v>
      </c>
      <c r="L298" s="292" t="str">
        <f>IFERROR(__xludf.DUMMYFUNCTION("""COMPUTED_VALUE"""),"HF Bulgogi pulled beef")</f>
        <v>HF Bulgogi pulled beef</v>
      </c>
      <c r="M298" s="292" t="str">
        <f>IFERROR(__xludf.DUMMYFUNCTION("""COMPUTED_VALUE"""),"FA-NL Pulled beef in Koreaanse stijl Bulgogi saus (FE1404)")</f>
        <v>FA-NL Pulled beef in Koreaanse stijl Bulgogi saus (FE1404)</v>
      </c>
      <c r="N298" s="292" t="str">
        <f>IFERROR(__xludf.DUMMYFUNCTION("""COMPUTED_VALUE"""),"FA-NO Bulgogi Bowl med strimlet oksekød (FE1404)")</f>
        <v>FA-NO Bulgogi Bowl med strimlet oksekød (FE1404)</v>
      </c>
      <c r="O298" s="292" t="str">
        <f>IFERROR(__xludf.DUMMYFUNCTION("""COMPUTED_VALUE"""),"FA-DE Bulgogi-Bowl mit geschmortem Rindfleisch (FE1404)")</f>
        <v>FA-DE Bulgogi-Bowl mit geschmortem Rindfleisch (FE1404)</v>
      </c>
      <c r="P298" s="292" t="str">
        <f>IFERROR(__xludf.DUMMYFUNCTION("""COMPUTED_VALUE"""),"Active")</f>
        <v>Active</v>
      </c>
      <c r="Q298" s="292"/>
      <c r="R298" s="342">
        <f>IFERROR(__xludf.DUMMYFUNCTION("""COMPUTED_VALUE"""),4.65)</f>
        <v>4.65</v>
      </c>
      <c r="S298" s="292"/>
      <c r="T298" s="292"/>
      <c r="U298" s="292"/>
      <c r="V298" s="292"/>
      <c r="W298" s="292" t="b">
        <f>IFERROR(__xludf.DUMMYFUNCTION("""COMPUTED_VALUE"""),TRUE)</f>
        <v>1</v>
      </c>
      <c r="X298" s="345">
        <f>IFERROR(__xludf.DUMMYFUNCTION("""COMPUTED_VALUE"""),374.0)</f>
        <v>374</v>
      </c>
      <c r="Y298" s="344">
        <f>IFERROR(__xludf.DUMMYFUNCTION("""COMPUTED_VALUE"""),414.0)</f>
        <v>414</v>
      </c>
      <c r="Z298" s="343">
        <f>IFERROR(__xludf.DUMMYFUNCTION("""COMPUTED_VALUE"""),17.8)</f>
        <v>17.8</v>
      </c>
      <c r="AA298" s="344">
        <f>IFERROR(__xludf.DUMMYFUNCTION("""COMPUTED_VALUE"""),5.7)</f>
        <v>5.7</v>
      </c>
      <c r="AB298" s="344">
        <f>IFERROR(__xludf.DUMMYFUNCTION("""COMPUTED_VALUE"""),28.4)</f>
        <v>28.4</v>
      </c>
      <c r="AC298" s="344">
        <f>IFERROR(__xludf.DUMMYFUNCTION("""COMPUTED_VALUE"""),11.4)</f>
        <v>11.4</v>
      </c>
      <c r="AD298" s="344">
        <f>IFERROR(__xludf.DUMMYFUNCTION("""COMPUTED_VALUE"""),6.4)</f>
        <v>6.4</v>
      </c>
      <c r="AE298" s="343">
        <f>IFERROR(__xludf.DUMMYFUNCTION("""COMPUTED_VALUE"""),31.8)</f>
        <v>31.8</v>
      </c>
      <c r="AF298" s="343">
        <f>IFERROR(__xludf.DUMMYFUNCTION("""COMPUTED_VALUE"""),2.18)</f>
        <v>2.18</v>
      </c>
      <c r="AG298" s="292" t="b">
        <f>IFERROR(__xludf.DUMMYFUNCTION("""COMPUTED_VALUE"""),FALSE)</f>
        <v>0</v>
      </c>
      <c r="AH298" s="292" t="b">
        <f>IFERROR(__xludf.DUMMYFUNCTION("""COMPUTED_VALUE"""),FALSE)</f>
        <v>0</v>
      </c>
      <c r="AI298" s="292" t="b">
        <f>IFERROR(__xludf.DUMMYFUNCTION("""COMPUTED_VALUE"""),TRUE)</f>
        <v>1</v>
      </c>
      <c r="AJ298" s="292" t="b">
        <f>IFERROR(__xludf.DUMMYFUNCTION("""COMPUTED_VALUE"""),FALSE)</f>
        <v>0</v>
      </c>
      <c r="AK298" s="292" t="b">
        <f>IFERROR(__xludf.DUMMYFUNCTION("""COMPUTED_VALUE"""),FALSE)</f>
        <v>0</v>
      </c>
      <c r="AL298" s="292" t="b">
        <f>IFERROR(__xludf.DUMMYFUNCTION("""COMPUTED_VALUE"""),FALSE)</f>
        <v>0</v>
      </c>
      <c r="AM298" s="292" t="b">
        <f>IFERROR(__xludf.DUMMYFUNCTION("""COMPUTED_VALUE"""),TRUE)</f>
        <v>1</v>
      </c>
      <c r="AN298" s="292" t="b">
        <f>IFERROR(__xludf.DUMMYFUNCTION("""COMPUTED_VALUE"""),TRUE)</f>
        <v>1</v>
      </c>
      <c r="AO298" s="292" t="str">
        <f>IFERROR(__xludf.DUMMYFUNCTION("""COMPUTED_VALUE"""),"FALSE")</f>
        <v>FALSE</v>
      </c>
      <c r="AP298" s="292" t="str">
        <f>IFERROR(__xludf.DUMMYFUNCTION("""COMPUTED_VALUE"""),"Shredded beef")</f>
        <v>Shredded beef</v>
      </c>
      <c r="AQ298" s="292" t="str">
        <f>IFERROR(__xludf.DUMMYFUNCTION("""COMPUTED_VALUE"""),"Beef")</f>
        <v>Beef</v>
      </c>
      <c r="AR298" s="292" t="str">
        <f>IFERROR(__xludf.DUMMYFUNCTION("""COMPUTED_VALUE"""),"Pulled")</f>
        <v>Pulled</v>
      </c>
      <c r="AS298" s="292" t="str">
        <f>IFERROR(__xludf.DUMMYFUNCTION("""COMPUTED_VALUE"""),"Rice")</f>
        <v>Rice</v>
      </c>
      <c r="AT298" s="292" t="str">
        <f>IFERROR(__xludf.DUMMYFUNCTION("""COMPUTED_VALUE"""),"Zucchini Half Moon")</f>
        <v>Zucchini Half Moon</v>
      </c>
      <c r="AU298" s="292" t="str">
        <f>IFERROR(__xludf.DUMMYFUNCTION("""COMPUTED_VALUE"""),"Pepper Mix")</f>
        <v>Pepper Mix</v>
      </c>
      <c r="AV298" s="292" t="str">
        <f>IFERROR(__xludf.DUMMYFUNCTION("""COMPUTED_VALUE"""),"Other sauce")</f>
        <v>Other sauce</v>
      </c>
      <c r="AW298" s="292" t="str">
        <f>IFERROR(__xludf.DUMMYFUNCTION("""COMPUTED_VALUE"""),"Year Round")</f>
        <v>Year Round</v>
      </c>
      <c r="AX298" s="292" t="str">
        <f>IFERROR(__xludf.DUMMYFUNCTION("""COMPUTED_VALUE"""),"Korean")</f>
        <v>Korean</v>
      </c>
      <c r="AY298" s="292"/>
      <c r="AZ298" s="292" t="str">
        <f>IFERROR(__xludf.DUMMYFUNCTION("""COMPUTED_VALUE"""),"2 CT")</f>
        <v>2 CT</v>
      </c>
      <c r="BA298" s="292" t="b">
        <f>IFERROR(__xludf.DUMMYFUNCTION("""COMPUTED_VALUE"""),FALSE)</f>
        <v>0</v>
      </c>
      <c r="BB298" s="342">
        <f>IFERROR(__xludf.DUMMYFUNCTION("""COMPUTED_VALUE"""),2.8)</f>
        <v>2.8</v>
      </c>
      <c r="BC298" s="342">
        <f>IFERROR(__xludf.DUMMYFUNCTION("""COMPUTED_VALUE"""),1.44)</f>
        <v>1.44</v>
      </c>
      <c r="BD298" s="342">
        <f>IFERROR(__xludf.DUMMYFUNCTION("""COMPUTED_VALUE"""),0.41)</f>
        <v>0.41</v>
      </c>
      <c r="BE298" s="342">
        <f>IFERROR(__xludf.DUMMYFUNCTION("""COMPUTED_VALUE"""),0.89)</f>
        <v>0.89</v>
      </c>
      <c r="BF298" s="296" t="str">
        <f>IFERROR(__xludf.DUMMYFUNCTION("""COMPUTED_VALUE"""),"#REF!")</f>
        <v>#REF!</v>
      </c>
      <c r="BG298" s="296" t="str">
        <f>IFERROR(__xludf.DUMMYFUNCTION("""COMPUTED_VALUE"""),"#REF!")</f>
        <v>#REF!</v>
      </c>
      <c r="BH298" s="296" t="str">
        <f>IFERROR(__xludf.DUMMYFUNCTION("""COMPUTED_VALUE"""),"#REF!")</f>
        <v>#REF!</v>
      </c>
      <c r="BI298" s="295">
        <f>IFERROR(__xludf.DUMMYFUNCTION("""COMPUTED_VALUE"""),188.0)</f>
        <v>188</v>
      </c>
      <c r="BJ298" s="292"/>
      <c r="BK298" s="346">
        <f>IFERROR(__xludf.DUMMYFUNCTION("""COMPUTED_VALUE"""),1734.0)</f>
        <v>1734</v>
      </c>
      <c r="BL298" s="292"/>
      <c r="BM298" s="292"/>
      <c r="BN298" s="292"/>
      <c r="BO298" s="292"/>
      <c r="BP298" s="292"/>
      <c r="BQ298" s="292"/>
      <c r="BR298" s="292" t="b">
        <f>IFERROR(__xludf.DUMMYFUNCTION("""COMPUTED_VALUE"""),FALSE)</f>
        <v>0</v>
      </c>
      <c r="BS298" s="292"/>
      <c r="BT298" s="292"/>
      <c r="BU298" s="292"/>
      <c r="BV298" s="292"/>
      <c r="BW298" s="292"/>
    </row>
    <row r="299">
      <c r="A299" s="292"/>
      <c r="B299" s="292" t="str">
        <f>IFERROR(__xludf.DUMMYFUNCTION("""COMPUTED_VALUE"""),"")</f>
        <v/>
      </c>
      <c r="C299" s="292" t="str">
        <f>IFERROR(__xludf.DUMMYFUNCTION("""COMPUTED_VALUE"""),"")</f>
        <v/>
      </c>
      <c r="D299" s="292" t="str">
        <f>IFERROR(__xludf.DUMMYFUNCTION("""COMPUTED_VALUE"""),"")</f>
        <v/>
      </c>
      <c r="E299" s="292" t="str">
        <f>IFERROR(__xludf.DUMMYFUNCTION("""COMPUTED_VALUE"""),"")</f>
        <v/>
      </c>
      <c r="F299" s="292" t="str">
        <f>IFERROR(__xludf.DUMMYFUNCTION("""COMPUTED_VALUE"""),"")</f>
        <v/>
      </c>
      <c r="G299" s="292" t="str">
        <f>IFERROR(__xludf.DUMMYFUNCTION("""COMPUTED_VALUE"""),"")</f>
        <v/>
      </c>
      <c r="H299" s="292" t="str">
        <f>IFERROR(__xludf.DUMMYFUNCTION("""COMPUTED_VALUE"""),"")</f>
        <v/>
      </c>
      <c r="I299" s="292" t="str">
        <f>IFERROR(__xludf.DUMMYFUNCTION("""COMPUTED_VALUE"""),"")</f>
        <v/>
      </c>
      <c r="J299" s="292" t="str">
        <f>IFERROR(__xludf.DUMMYFUNCTION("""COMPUTED_VALUE"""),"")</f>
        <v/>
      </c>
      <c r="K299" s="292"/>
      <c r="L299" s="292"/>
      <c r="M299" s="292" t="str">
        <f>IFERROR(__xludf.DUMMYFUNCTION("""COMPUTED_VALUE"""),"")</f>
        <v/>
      </c>
      <c r="N299" s="292" t="str">
        <f>IFERROR(__xludf.DUMMYFUNCTION("""COMPUTED_VALUE"""),"")</f>
        <v/>
      </c>
      <c r="O299" s="292" t="str">
        <f>IFERROR(__xludf.DUMMYFUNCTION("""COMPUTED_VALUE"""),"")</f>
        <v/>
      </c>
      <c r="P299" s="292"/>
      <c r="Q299" s="292"/>
      <c r="R299" s="292"/>
      <c r="S299" s="292"/>
      <c r="T299" s="292"/>
      <c r="U299" s="292"/>
      <c r="V299" s="292"/>
      <c r="W299" s="292" t="b">
        <f>IFERROR(__xludf.DUMMYFUNCTION("""COMPUTED_VALUE"""),TRUE)</f>
        <v>1</v>
      </c>
      <c r="X299" s="292" t="str">
        <f>IFERROR(__xludf.DUMMYFUNCTION("""COMPUTED_VALUE"""),"#N/A")</f>
        <v>#N/A</v>
      </c>
      <c r="Y299" s="344" t="str">
        <f>IFERROR(__xludf.DUMMYFUNCTION("""COMPUTED_VALUE"""),"#N/A")</f>
        <v>#N/A</v>
      </c>
      <c r="Z299" s="343" t="str">
        <f>IFERROR(__xludf.DUMMYFUNCTION("""COMPUTED_VALUE"""),"#N/A")</f>
        <v>#N/A</v>
      </c>
      <c r="AA299" s="292" t="str">
        <f>IFERROR(__xludf.DUMMYFUNCTION("""COMPUTED_VALUE"""),"#N/A")</f>
        <v>#N/A</v>
      </c>
      <c r="AB299" s="292" t="str">
        <f>IFERROR(__xludf.DUMMYFUNCTION("""COMPUTED_VALUE"""),"#N/A")</f>
        <v>#N/A</v>
      </c>
      <c r="AC299" s="292" t="str">
        <f>IFERROR(__xludf.DUMMYFUNCTION("""COMPUTED_VALUE"""),"#N/A")</f>
        <v>#N/A</v>
      </c>
      <c r="AD299" s="292" t="str">
        <f>IFERROR(__xludf.DUMMYFUNCTION("""COMPUTED_VALUE"""),"#N/A")</f>
        <v>#N/A</v>
      </c>
      <c r="AE299" s="343" t="str">
        <f>IFERROR(__xludf.DUMMYFUNCTION("""COMPUTED_VALUE"""),"#N/A")</f>
        <v>#N/A</v>
      </c>
      <c r="AF299" s="292" t="str">
        <f>IFERROR(__xludf.DUMMYFUNCTION("""COMPUTED_VALUE"""),"#N/A")</f>
        <v>#N/A</v>
      </c>
      <c r="AG299" s="292"/>
      <c r="AH299" s="292" t="str">
        <f>IFERROR(__xludf.DUMMYFUNCTION("""COMPUTED_VALUE"""),"#N/A")</f>
        <v>#N/A</v>
      </c>
      <c r="AI299" s="292" t="str">
        <f>IFERROR(__xludf.DUMMYFUNCTION("""COMPUTED_VALUE"""),"#N/A")</f>
        <v>#N/A</v>
      </c>
      <c r="AJ299" s="292" t="str">
        <f>IFERROR(__xludf.DUMMYFUNCTION("""COMPUTED_VALUE"""),"#N/A")</f>
        <v>#N/A</v>
      </c>
      <c r="AK299" s="292" t="str">
        <f>IFERROR(__xludf.DUMMYFUNCTION("""COMPUTED_VALUE"""),"#N/A")</f>
        <v>#N/A</v>
      </c>
      <c r="AL299" s="292" t="str">
        <f>IFERROR(__xludf.DUMMYFUNCTION("""COMPUTED_VALUE"""),"#N/A")</f>
        <v>#N/A</v>
      </c>
      <c r="AM299" s="292" t="str">
        <f>IFERROR(__xludf.DUMMYFUNCTION("""COMPUTED_VALUE"""),"#N/A")</f>
        <v>#N/A</v>
      </c>
      <c r="AN299" s="292" t="str">
        <f>IFERROR(__xludf.DUMMYFUNCTION("""COMPUTED_VALUE"""),"#N/A")</f>
        <v>#N/A</v>
      </c>
      <c r="AO299" s="292" t="str">
        <f>IFERROR(__xludf.DUMMYFUNCTION("""COMPUTED_VALUE"""),"#N/A")</f>
        <v>#N/A</v>
      </c>
      <c r="AP299" s="292"/>
      <c r="AQ299" s="292"/>
      <c r="AR299" s="292"/>
      <c r="AS299" s="292"/>
      <c r="AT299" s="292"/>
      <c r="AU299" s="292"/>
      <c r="AV299" s="292"/>
      <c r="AW299" s="292"/>
      <c r="AX299" s="292"/>
      <c r="AY299" s="292"/>
      <c r="AZ299" s="292"/>
      <c r="BA299" s="292"/>
      <c r="BB299" s="292"/>
      <c r="BC299" s="292"/>
      <c r="BD299" s="292"/>
      <c r="BE299" s="292"/>
      <c r="BF299" s="296" t="str">
        <f>IFERROR(__xludf.DUMMYFUNCTION("""COMPUTED_VALUE"""),"#REF!")</f>
        <v>#REF!</v>
      </c>
      <c r="BG299" s="296" t="str">
        <f>IFERROR(__xludf.DUMMYFUNCTION("""COMPUTED_VALUE"""),"#REF!")</f>
        <v>#REF!</v>
      </c>
      <c r="BH299" s="296" t="str">
        <f>IFERROR(__xludf.DUMMYFUNCTION("""COMPUTED_VALUE"""),"#REF!")</f>
        <v>#REF!</v>
      </c>
      <c r="BI299" s="295" t="str">
        <f>IFERROR(__xludf.DUMMYFUNCTION("""COMPUTED_VALUE"""),"#N/A")</f>
        <v>#N/A</v>
      </c>
      <c r="BJ299" s="292"/>
      <c r="BK299" s="346" t="str">
        <f>IFERROR(__xludf.DUMMYFUNCTION("""COMPUTED_VALUE"""),"#N/A")</f>
        <v>#N/A</v>
      </c>
      <c r="BL299" s="292"/>
      <c r="BM299" s="292"/>
      <c r="BN299" s="292"/>
      <c r="BO299" s="292"/>
      <c r="BP299" s="292"/>
      <c r="BQ299" s="292"/>
      <c r="BR299" s="292" t="str">
        <f>IFERROR(__xludf.DUMMYFUNCTION("""COMPUTED_VALUE"""),"#N/A")</f>
        <v>#N/A</v>
      </c>
      <c r="BS299" s="292"/>
      <c r="BT299" s="292"/>
      <c r="BU299" s="292"/>
      <c r="BV299" s="292"/>
      <c r="BW299" s="292"/>
    </row>
    <row r="300">
      <c r="A300" s="292"/>
      <c r="B300" s="292" t="str">
        <f>IFERROR(__xludf.DUMMYFUNCTION("""COMPUTED_VALUE"""),"")</f>
        <v/>
      </c>
      <c r="C300" s="292" t="str">
        <f>IFERROR(__xludf.DUMMYFUNCTION("""COMPUTED_VALUE"""),"")</f>
        <v/>
      </c>
      <c r="D300" s="292" t="str">
        <f>IFERROR(__xludf.DUMMYFUNCTION("""COMPUTED_VALUE"""),"")</f>
        <v/>
      </c>
      <c r="E300" s="292" t="str">
        <f>IFERROR(__xludf.DUMMYFUNCTION("""COMPUTED_VALUE"""),"")</f>
        <v/>
      </c>
      <c r="F300" s="292" t="str">
        <f>IFERROR(__xludf.DUMMYFUNCTION("""COMPUTED_VALUE"""),"")</f>
        <v/>
      </c>
      <c r="G300" s="292" t="str">
        <f>IFERROR(__xludf.DUMMYFUNCTION("""COMPUTED_VALUE"""),"")</f>
        <v/>
      </c>
      <c r="H300" s="292" t="str">
        <f>IFERROR(__xludf.DUMMYFUNCTION("""COMPUTED_VALUE"""),"")</f>
        <v/>
      </c>
      <c r="I300" s="292" t="str">
        <f>IFERROR(__xludf.DUMMYFUNCTION("""COMPUTED_VALUE"""),"")</f>
        <v/>
      </c>
      <c r="J300" s="292" t="str">
        <f>IFERROR(__xludf.DUMMYFUNCTION("""COMPUTED_VALUE"""),"")</f>
        <v/>
      </c>
      <c r="K300" s="292"/>
      <c r="L300" s="292"/>
      <c r="M300" s="292" t="str">
        <f>IFERROR(__xludf.DUMMYFUNCTION("""COMPUTED_VALUE"""),"")</f>
        <v/>
      </c>
      <c r="N300" s="292" t="str">
        <f>IFERROR(__xludf.DUMMYFUNCTION("""COMPUTED_VALUE"""),"")</f>
        <v/>
      </c>
      <c r="O300" s="292" t="str">
        <f>IFERROR(__xludf.DUMMYFUNCTION("""COMPUTED_VALUE"""),"")</f>
        <v/>
      </c>
      <c r="P300" s="292"/>
      <c r="Q300" s="292"/>
      <c r="R300" s="292"/>
      <c r="S300" s="292"/>
      <c r="T300" s="292"/>
      <c r="U300" s="292"/>
      <c r="V300" s="292"/>
      <c r="W300" s="292" t="b">
        <f>IFERROR(__xludf.DUMMYFUNCTION("""COMPUTED_VALUE"""),TRUE)</f>
        <v>1</v>
      </c>
      <c r="X300" s="292" t="str">
        <f>IFERROR(__xludf.DUMMYFUNCTION("""COMPUTED_VALUE"""),"#N/A")</f>
        <v>#N/A</v>
      </c>
      <c r="Y300" s="344" t="str">
        <f>IFERROR(__xludf.DUMMYFUNCTION("""COMPUTED_VALUE"""),"#N/A")</f>
        <v>#N/A</v>
      </c>
      <c r="Z300" s="343" t="str">
        <f>IFERROR(__xludf.DUMMYFUNCTION("""COMPUTED_VALUE"""),"#N/A")</f>
        <v>#N/A</v>
      </c>
      <c r="AA300" s="292" t="str">
        <f>IFERROR(__xludf.DUMMYFUNCTION("""COMPUTED_VALUE"""),"#N/A")</f>
        <v>#N/A</v>
      </c>
      <c r="AB300" s="292" t="str">
        <f>IFERROR(__xludf.DUMMYFUNCTION("""COMPUTED_VALUE"""),"#N/A")</f>
        <v>#N/A</v>
      </c>
      <c r="AC300" s="292" t="str">
        <f>IFERROR(__xludf.DUMMYFUNCTION("""COMPUTED_VALUE"""),"#N/A")</f>
        <v>#N/A</v>
      </c>
      <c r="AD300" s="292" t="str">
        <f>IFERROR(__xludf.DUMMYFUNCTION("""COMPUTED_VALUE"""),"#N/A")</f>
        <v>#N/A</v>
      </c>
      <c r="AE300" s="343" t="str">
        <f>IFERROR(__xludf.DUMMYFUNCTION("""COMPUTED_VALUE"""),"#N/A")</f>
        <v>#N/A</v>
      </c>
      <c r="AF300" s="292" t="str">
        <f>IFERROR(__xludf.DUMMYFUNCTION("""COMPUTED_VALUE"""),"#N/A")</f>
        <v>#N/A</v>
      </c>
      <c r="AG300" s="292"/>
      <c r="AH300" s="292" t="str">
        <f>IFERROR(__xludf.DUMMYFUNCTION("""COMPUTED_VALUE"""),"#N/A")</f>
        <v>#N/A</v>
      </c>
      <c r="AI300" s="292" t="str">
        <f>IFERROR(__xludf.DUMMYFUNCTION("""COMPUTED_VALUE"""),"#N/A")</f>
        <v>#N/A</v>
      </c>
      <c r="AJ300" s="292" t="str">
        <f>IFERROR(__xludf.DUMMYFUNCTION("""COMPUTED_VALUE"""),"#N/A")</f>
        <v>#N/A</v>
      </c>
      <c r="AK300" s="292" t="str">
        <f>IFERROR(__xludf.DUMMYFUNCTION("""COMPUTED_VALUE"""),"#N/A")</f>
        <v>#N/A</v>
      </c>
      <c r="AL300" s="292" t="str">
        <f>IFERROR(__xludf.DUMMYFUNCTION("""COMPUTED_VALUE"""),"#N/A")</f>
        <v>#N/A</v>
      </c>
      <c r="AM300" s="292" t="str">
        <f>IFERROR(__xludf.DUMMYFUNCTION("""COMPUTED_VALUE"""),"#N/A")</f>
        <v>#N/A</v>
      </c>
      <c r="AN300" s="292" t="str">
        <f>IFERROR(__xludf.DUMMYFUNCTION("""COMPUTED_VALUE"""),"#N/A")</f>
        <v>#N/A</v>
      </c>
      <c r="AO300" s="292" t="str">
        <f>IFERROR(__xludf.DUMMYFUNCTION("""COMPUTED_VALUE"""),"#N/A")</f>
        <v>#N/A</v>
      </c>
      <c r="AP300" s="292"/>
      <c r="AQ300" s="292"/>
      <c r="AR300" s="292"/>
      <c r="AS300" s="292"/>
      <c r="AT300" s="292"/>
      <c r="AU300" s="292"/>
      <c r="AV300" s="292"/>
      <c r="AW300" s="292"/>
      <c r="AX300" s="292"/>
      <c r="AY300" s="292"/>
      <c r="AZ300" s="292"/>
      <c r="BA300" s="292"/>
      <c r="BB300" s="292"/>
      <c r="BC300" s="292"/>
      <c r="BD300" s="292"/>
      <c r="BE300" s="292"/>
      <c r="BF300" s="296" t="str">
        <f>IFERROR(__xludf.DUMMYFUNCTION("""COMPUTED_VALUE"""),"#REF!")</f>
        <v>#REF!</v>
      </c>
      <c r="BG300" s="296" t="str">
        <f>IFERROR(__xludf.DUMMYFUNCTION("""COMPUTED_VALUE"""),"#REF!")</f>
        <v>#REF!</v>
      </c>
      <c r="BH300" s="296" t="str">
        <f>IFERROR(__xludf.DUMMYFUNCTION("""COMPUTED_VALUE"""),"#REF!")</f>
        <v>#REF!</v>
      </c>
      <c r="BI300" s="295" t="str">
        <f>IFERROR(__xludf.DUMMYFUNCTION("""COMPUTED_VALUE"""),"#N/A")</f>
        <v>#N/A</v>
      </c>
      <c r="BJ300" s="292"/>
      <c r="BK300" s="346" t="str">
        <f>IFERROR(__xludf.DUMMYFUNCTION("""COMPUTED_VALUE"""),"#N/A")</f>
        <v>#N/A</v>
      </c>
      <c r="BL300" s="292"/>
      <c r="BM300" s="292"/>
      <c r="BN300" s="292"/>
      <c r="BO300" s="292"/>
      <c r="BP300" s="292"/>
      <c r="BQ300" s="292"/>
      <c r="BR300" s="292" t="str">
        <f>IFERROR(__xludf.DUMMYFUNCTION("""COMPUTED_VALUE"""),"#N/A")</f>
        <v>#N/A</v>
      </c>
      <c r="BS300" s="292"/>
      <c r="BT300" s="292"/>
      <c r="BU300" s="292"/>
      <c r="BV300" s="292"/>
      <c r="BW300" s="292"/>
    </row>
    <row r="301">
      <c r="A301" s="292"/>
      <c r="B301" s="292" t="str">
        <f>IFERROR(__xludf.DUMMYFUNCTION("""COMPUTED_VALUE"""),"")</f>
        <v/>
      </c>
      <c r="C301" s="292" t="str">
        <f>IFERROR(__xludf.DUMMYFUNCTION("""COMPUTED_VALUE"""),"")</f>
        <v/>
      </c>
      <c r="D301" s="292" t="str">
        <f>IFERROR(__xludf.DUMMYFUNCTION("""COMPUTED_VALUE"""),"")</f>
        <v/>
      </c>
      <c r="E301" s="292" t="str">
        <f>IFERROR(__xludf.DUMMYFUNCTION("""COMPUTED_VALUE"""),"")</f>
        <v/>
      </c>
      <c r="F301" s="292" t="str">
        <f>IFERROR(__xludf.DUMMYFUNCTION("""COMPUTED_VALUE"""),"")</f>
        <v/>
      </c>
      <c r="G301" s="292" t="str">
        <f>IFERROR(__xludf.DUMMYFUNCTION("""COMPUTED_VALUE"""),"")</f>
        <v/>
      </c>
      <c r="H301" s="292" t="str">
        <f>IFERROR(__xludf.DUMMYFUNCTION("""COMPUTED_VALUE"""),"")</f>
        <v/>
      </c>
      <c r="I301" s="292" t="str">
        <f>IFERROR(__xludf.DUMMYFUNCTION("""COMPUTED_VALUE"""),"")</f>
        <v/>
      </c>
      <c r="J301" s="292" t="str">
        <f>IFERROR(__xludf.DUMMYFUNCTION("""COMPUTED_VALUE"""),"")</f>
        <v/>
      </c>
      <c r="K301" s="292"/>
      <c r="L301" s="292"/>
      <c r="M301" s="292" t="str">
        <f>IFERROR(__xludf.DUMMYFUNCTION("""COMPUTED_VALUE"""),"")</f>
        <v/>
      </c>
      <c r="N301" s="292" t="str">
        <f>IFERROR(__xludf.DUMMYFUNCTION("""COMPUTED_VALUE"""),"")</f>
        <v/>
      </c>
      <c r="O301" s="292" t="str">
        <f>IFERROR(__xludf.DUMMYFUNCTION("""COMPUTED_VALUE"""),"")</f>
        <v/>
      </c>
      <c r="P301" s="292"/>
      <c r="Q301" s="292"/>
      <c r="R301" s="292"/>
      <c r="S301" s="292"/>
      <c r="T301" s="292"/>
      <c r="U301" s="292"/>
      <c r="V301" s="292"/>
      <c r="W301" s="292" t="b">
        <f>IFERROR(__xludf.DUMMYFUNCTION("""COMPUTED_VALUE"""),TRUE)</f>
        <v>1</v>
      </c>
      <c r="X301" s="292" t="str">
        <f>IFERROR(__xludf.DUMMYFUNCTION("""COMPUTED_VALUE"""),"#N/A")</f>
        <v>#N/A</v>
      </c>
      <c r="Y301" s="344" t="str">
        <f>IFERROR(__xludf.DUMMYFUNCTION("""COMPUTED_VALUE"""),"#N/A")</f>
        <v>#N/A</v>
      </c>
      <c r="Z301" s="343" t="str">
        <f>IFERROR(__xludf.DUMMYFUNCTION("""COMPUTED_VALUE"""),"#N/A")</f>
        <v>#N/A</v>
      </c>
      <c r="AA301" s="292" t="str">
        <f>IFERROR(__xludf.DUMMYFUNCTION("""COMPUTED_VALUE"""),"#N/A")</f>
        <v>#N/A</v>
      </c>
      <c r="AB301" s="292" t="str">
        <f>IFERROR(__xludf.DUMMYFUNCTION("""COMPUTED_VALUE"""),"#N/A")</f>
        <v>#N/A</v>
      </c>
      <c r="AC301" s="292" t="str">
        <f>IFERROR(__xludf.DUMMYFUNCTION("""COMPUTED_VALUE"""),"#N/A")</f>
        <v>#N/A</v>
      </c>
      <c r="AD301" s="292" t="str">
        <f>IFERROR(__xludf.DUMMYFUNCTION("""COMPUTED_VALUE"""),"#N/A")</f>
        <v>#N/A</v>
      </c>
      <c r="AE301" s="343" t="str">
        <f>IFERROR(__xludf.DUMMYFUNCTION("""COMPUTED_VALUE"""),"#N/A")</f>
        <v>#N/A</v>
      </c>
      <c r="AF301" s="292" t="str">
        <f>IFERROR(__xludf.DUMMYFUNCTION("""COMPUTED_VALUE"""),"#N/A")</f>
        <v>#N/A</v>
      </c>
      <c r="AG301" s="292"/>
      <c r="AH301" s="292" t="str">
        <f>IFERROR(__xludf.DUMMYFUNCTION("""COMPUTED_VALUE"""),"#N/A")</f>
        <v>#N/A</v>
      </c>
      <c r="AI301" s="292" t="str">
        <f>IFERROR(__xludf.DUMMYFUNCTION("""COMPUTED_VALUE"""),"#N/A")</f>
        <v>#N/A</v>
      </c>
      <c r="AJ301" s="292" t="str">
        <f>IFERROR(__xludf.DUMMYFUNCTION("""COMPUTED_VALUE"""),"#N/A")</f>
        <v>#N/A</v>
      </c>
      <c r="AK301" s="292" t="str">
        <f>IFERROR(__xludf.DUMMYFUNCTION("""COMPUTED_VALUE"""),"#N/A")</f>
        <v>#N/A</v>
      </c>
      <c r="AL301" s="292" t="str">
        <f>IFERROR(__xludf.DUMMYFUNCTION("""COMPUTED_VALUE"""),"#N/A")</f>
        <v>#N/A</v>
      </c>
      <c r="AM301" s="292" t="str">
        <f>IFERROR(__xludf.DUMMYFUNCTION("""COMPUTED_VALUE"""),"#N/A")</f>
        <v>#N/A</v>
      </c>
      <c r="AN301" s="292" t="str">
        <f>IFERROR(__xludf.DUMMYFUNCTION("""COMPUTED_VALUE"""),"#N/A")</f>
        <v>#N/A</v>
      </c>
      <c r="AO301" s="292" t="str">
        <f>IFERROR(__xludf.DUMMYFUNCTION("""COMPUTED_VALUE"""),"#N/A")</f>
        <v>#N/A</v>
      </c>
      <c r="AP301" s="292"/>
      <c r="AQ301" s="292"/>
      <c r="AR301" s="292"/>
      <c r="AS301" s="292"/>
      <c r="AT301" s="292"/>
      <c r="AU301" s="292"/>
      <c r="AV301" s="292"/>
      <c r="AW301" s="292"/>
      <c r="AX301" s="292"/>
      <c r="AY301" s="292"/>
      <c r="AZ301" s="292"/>
      <c r="BA301" s="292"/>
      <c r="BB301" s="292"/>
      <c r="BC301" s="292"/>
      <c r="BD301" s="292"/>
      <c r="BE301" s="292"/>
      <c r="BF301" s="296" t="str">
        <f>IFERROR(__xludf.DUMMYFUNCTION("""COMPUTED_VALUE"""),"#REF!")</f>
        <v>#REF!</v>
      </c>
      <c r="BG301" s="296" t="str">
        <f>IFERROR(__xludf.DUMMYFUNCTION("""COMPUTED_VALUE"""),"#REF!")</f>
        <v>#REF!</v>
      </c>
      <c r="BH301" s="296" t="str">
        <f>IFERROR(__xludf.DUMMYFUNCTION("""COMPUTED_VALUE"""),"#REF!")</f>
        <v>#REF!</v>
      </c>
      <c r="BI301" s="295" t="str">
        <f>IFERROR(__xludf.DUMMYFUNCTION("""COMPUTED_VALUE"""),"#N/A")</f>
        <v>#N/A</v>
      </c>
      <c r="BJ301" s="292"/>
      <c r="BK301" s="346" t="str">
        <f>IFERROR(__xludf.DUMMYFUNCTION("""COMPUTED_VALUE"""),"#N/A")</f>
        <v>#N/A</v>
      </c>
      <c r="BL301" s="292"/>
      <c r="BM301" s="292"/>
      <c r="BN301" s="292"/>
      <c r="BO301" s="292"/>
      <c r="BP301" s="292"/>
      <c r="BQ301" s="292"/>
      <c r="BR301" s="292" t="str">
        <f>IFERROR(__xludf.DUMMYFUNCTION("""COMPUTED_VALUE"""),"#N/A")</f>
        <v>#N/A</v>
      </c>
      <c r="BS301" s="292"/>
      <c r="BT301" s="292"/>
      <c r="BU301" s="292"/>
      <c r="BV301" s="292"/>
      <c r="BW301" s="292"/>
    </row>
    <row r="302">
      <c r="A302" s="292"/>
      <c r="B302" s="292" t="str">
        <f>IFERROR(__xludf.DUMMYFUNCTION("""COMPUTED_VALUE"""),"")</f>
        <v/>
      </c>
      <c r="C302" s="292" t="str">
        <f>IFERROR(__xludf.DUMMYFUNCTION("""COMPUTED_VALUE"""),"")</f>
        <v/>
      </c>
      <c r="D302" s="292" t="str">
        <f>IFERROR(__xludf.DUMMYFUNCTION("""COMPUTED_VALUE"""),"")</f>
        <v/>
      </c>
      <c r="E302" s="292" t="str">
        <f>IFERROR(__xludf.DUMMYFUNCTION("""COMPUTED_VALUE"""),"")</f>
        <v/>
      </c>
      <c r="F302" s="292" t="str">
        <f>IFERROR(__xludf.DUMMYFUNCTION("""COMPUTED_VALUE"""),"")</f>
        <v/>
      </c>
      <c r="G302" s="292" t="str">
        <f>IFERROR(__xludf.DUMMYFUNCTION("""COMPUTED_VALUE"""),"")</f>
        <v/>
      </c>
      <c r="H302" s="292" t="str">
        <f>IFERROR(__xludf.DUMMYFUNCTION("""COMPUTED_VALUE"""),"")</f>
        <v/>
      </c>
      <c r="I302" s="292" t="str">
        <f>IFERROR(__xludf.DUMMYFUNCTION("""COMPUTED_VALUE"""),"")</f>
        <v/>
      </c>
      <c r="J302" s="292" t="str">
        <f>IFERROR(__xludf.DUMMYFUNCTION("""COMPUTED_VALUE"""),"")</f>
        <v/>
      </c>
      <c r="K302" s="292"/>
      <c r="L302" s="292"/>
      <c r="M302" s="292" t="str">
        <f>IFERROR(__xludf.DUMMYFUNCTION("""COMPUTED_VALUE"""),"")</f>
        <v/>
      </c>
      <c r="N302" s="292" t="str">
        <f>IFERROR(__xludf.DUMMYFUNCTION("""COMPUTED_VALUE"""),"")</f>
        <v/>
      </c>
      <c r="O302" s="292" t="str">
        <f>IFERROR(__xludf.DUMMYFUNCTION("""COMPUTED_VALUE"""),"")</f>
        <v/>
      </c>
      <c r="P302" s="292"/>
      <c r="Q302" s="292"/>
      <c r="R302" s="292"/>
      <c r="S302" s="292"/>
      <c r="T302" s="292"/>
      <c r="U302" s="292"/>
      <c r="V302" s="292"/>
      <c r="W302" s="292" t="b">
        <f>IFERROR(__xludf.DUMMYFUNCTION("""COMPUTED_VALUE"""),TRUE)</f>
        <v>1</v>
      </c>
      <c r="X302" s="292" t="str">
        <f>IFERROR(__xludf.DUMMYFUNCTION("""COMPUTED_VALUE"""),"#N/A")</f>
        <v>#N/A</v>
      </c>
      <c r="Y302" s="344" t="str">
        <f>IFERROR(__xludf.DUMMYFUNCTION("""COMPUTED_VALUE"""),"#N/A")</f>
        <v>#N/A</v>
      </c>
      <c r="Z302" s="343" t="str">
        <f>IFERROR(__xludf.DUMMYFUNCTION("""COMPUTED_VALUE"""),"#N/A")</f>
        <v>#N/A</v>
      </c>
      <c r="AA302" s="292" t="str">
        <f>IFERROR(__xludf.DUMMYFUNCTION("""COMPUTED_VALUE"""),"#N/A")</f>
        <v>#N/A</v>
      </c>
      <c r="AB302" s="292" t="str">
        <f>IFERROR(__xludf.DUMMYFUNCTION("""COMPUTED_VALUE"""),"#N/A")</f>
        <v>#N/A</v>
      </c>
      <c r="AC302" s="292" t="str">
        <f>IFERROR(__xludf.DUMMYFUNCTION("""COMPUTED_VALUE"""),"#N/A")</f>
        <v>#N/A</v>
      </c>
      <c r="AD302" s="292" t="str">
        <f>IFERROR(__xludf.DUMMYFUNCTION("""COMPUTED_VALUE"""),"#N/A")</f>
        <v>#N/A</v>
      </c>
      <c r="AE302" s="343" t="str">
        <f>IFERROR(__xludf.DUMMYFUNCTION("""COMPUTED_VALUE"""),"#N/A")</f>
        <v>#N/A</v>
      </c>
      <c r="AF302" s="292" t="str">
        <f>IFERROR(__xludf.DUMMYFUNCTION("""COMPUTED_VALUE"""),"#N/A")</f>
        <v>#N/A</v>
      </c>
      <c r="AG302" s="292"/>
      <c r="AH302" s="292" t="str">
        <f>IFERROR(__xludf.DUMMYFUNCTION("""COMPUTED_VALUE"""),"#N/A")</f>
        <v>#N/A</v>
      </c>
      <c r="AI302" s="292" t="str">
        <f>IFERROR(__xludf.DUMMYFUNCTION("""COMPUTED_VALUE"""),"#N/A")</f>
        <v>#N/A</v>
      </c>
      <c r="AJ302" s="292" t="str">
        <f>IFERROR(__xludf.DUMMYFUNCTION("""COMPUTED_VALUE"""),"#N/A")</f>
        <v>#N/A</v>
      </c>
      <c r="AK302" s="292" t="str">
        <f>IFERROR(__xludf.DUMMYFUNCTION("""COMPUTED_VALUE"""),"#N/A")</f>
        <v>#N/A</v>
      </c>
      <c r="AL302" s="292" t="str">
        <f>IFERROR(__xludf.DUMMYFUNCTION("""COMPUTED_VALUE"""),"#N/A")</f>
        <v>#N/A</v>
      </c>
      <c r="AM302" s="292" t="str">
        <f>IFERROR(__xludf.DUMMYFUNCTION("""COMPUTED_VALUE"""),"#N/A")</f>
        <v>#N/A</v>
      </c>
      <c r="AN302" s="292" t="str">
        <f>IFERROR(__xludf.DUMMYFUNCTION("""COMPUTED_VALUE"""),"#N/A")</f>
        <v>#N/A</v>
      </c>
      <c r="AO302" s="292" t="str">
        <f>IFERROR(__xludf.DUMMYFUNCTION("""COMPUTED_VALUE"""),"#N/A")</f>
        <v>#N/A</v>
      </c>
      <c r="AP302" s="292"/>
      <c r="AQ302" s="292"/>
      <c r="AR302" s="292"/>
      <c r="AS302" s="292"/>
      <c r="AT302" s="292"/>
      <c r="AU302" s="292"/>
      <c r="AV302" s="292"/>
      <c r="AW302" s="292"/>
      <c r="AX302" s="292"/>
      <c r="AY302" s="292"/>
      <c r="AZ302" s="292"/>
      <c r="BA302" s="292"/>
      <c r="BB302" s="292"/>
      <c r="BC302" s="292"/>
      <c r="BD302" s="292"/>
      <c r="BE302" s="292"/>
      <c r="BF302" s="296" t="str">
        <f>IFERROR(__xludf.DUMMYFUNCTION("""COMPUTED_VALUE"""),"#REF!")</f>
        <v>#REF!</v>
      </c>
      <c r="BG302" s="296" t="str">
        <f>IFERROR(__xludf.DUMMYFUNCTION("""COMPUTED_VALUE"""),"#REF!")</f>
        <v>#REF!</v>
      </c>
      <c r="BH302" s="296" t="str">
        <f>IFERROR(__xludf.DUMMYFUNCTION("""COMPUTED_VALUE"""),"#REF!")</f>
        <v>#REF!</v>
      </c>
      <c r="BI302" s="295" t="str">
        <f>IFERROR(__xludf.DUMMYFUNCTION("""COMPUTED_VALUE"""),"#N/A")</f>
        <v>#N/A</v>
      </c>
      <c r="BJ302" s="292"/>
      <c r="BK302" s="346" t="str">
        <f>IFERROR(__xludf.DUMMYFUNCTION("""COMPUTED_VALUE"""),"#N/A")</f>
        <v>#N/A</v>
      </c>
      <c r="BL302" s="292"/>
      <c r="BM302" s="292"/>
      <c r="BN302" s="292"/>
      <c r="BO302" s="292"/>
      <c r="BP302" s="292"/>
      <c r="BQ302" s="292"/>
      <c r="BR302" s="292" t="str">
        <f>IFERROR(__xludf.DUMMYFUNCTION("""COMPUTED_VALUE"""),"#N/A")</f>
        <v>#N/A</v>
      </c>
      <c r="BS302" s="292"/>
      <c r="BT302" s="292"/>
      <c r="BU302" s="292"/>
      <c r="BV302" s="292"/>
      <c r="BW302" s="292"/>
    </row>
    <row r="303">
      <c r="A303" s="292"/>
      <c r="B303" s="292" t="str">
        <f>IFERROR(__xludf.DUMMYFUNCTION("""COMPUTED_VALUE"""),"")</f>
        <v/>
      </c>
      <c r="C303" s="292"/>
      <c r="D303" s="292" t="str">
        <f>IFERROR(__xludf.DUMMYFUNCTION("""COMPUTED_VALUE"""),"")</f>
        <v/>
      </c>
      <c r="E303" s="292" t="str">
        <f>IFERROR(__xludf.DUMMYFUNCTION("""COMPUTED_VALUE"""),"")</f>
        <v/>
      </c>
      <c r="F303" s="292" t="str">
        <f>IFERROR(__xludf.DUMMYFUNCTION("""COMPUTED_VALUE"""),"")</f>
        <v/>
      </c>
      <c r="G303" s="292" t="str">
        <f>IFERROR(__xludf.DUMMYFUNCTION("""COMPUTED_VALUE"""),"")</f>
        <v/>
      </c>
      <c r="H303" s="292" t="str">
        <f>IFERROR(__xludf.DUMMYFUNCTION("""COMPUTED_VALUE"""),"")</f>
        <v/>
      </c>
      <c r="I303" s="292" t="str">
        <f>IFERROR(__xludf.DUMMYFUNCTION("""COMPUTED_VALUE"""),"")</f>
        <v/>
      </c>
      <c r="J303" s="292" t="str">
        <f>IFERROR(__xludf.DUMMYFUNCTION("""COMPUTED_VALUE"""),"")</f>
        <v/>
      </c>
      <c r="K303" s="292"/>
      <c r="L303" s="292"/>
      <c r="M303" s="292" t="str">
        <f>IFERROR(__xludf.DUMMYFUNCTION("""COMPUTED_VALUE"""),"")</f>
        <v/>
      </c>
      <c r="N303" s="292" t="str">
        <f>IFERROR(__xludf.DUMMYFUNCTION("""COMPUTED_VALUE"""),"")</f>
        <v/>
      </c>
      <c r="O303" s="292" t="str">
        <f>IFERROR(__xludf.DUMMYFUNCTION("""COMPUTED_VALUE"""),"")</f>
        <v/>
      </c>
      <c r="P303" s="292"/>
      <c r="Q303" s="292"/>
      <c r="R303" s="292"/>
      <c r="S303" s="292"/>
      <c r="T303" s="292"/>
      <c r="U303" s="292"/>
      <c r="V303" s="292"/>
      <c r="W303" s="292" t="b">
        <f>IFERROR(__xludf.DUMMYFUNCTION("""COMPUTED_VALUE"""),TRUE)</f>
        <v>1</v>
      </c>
      <c r="X303" s="292" t="str">
        <f>IFERROR(__xludf.DUMMYFUNCTION("""COMPUTED_VALUE"""),"#N/A")</f>
        <v>#N/A</v>
      </c>
      <c r="Y303" s="344" t="str">
        <f>IFERROR(__xludf.DUMMYFUNCTION("""COMPUTED_VALUE"""),"#N/A")</f>
        <v>#N/A</v>
      </c>
      <c r="Z303" s="343" t="str">
        <f>IFERROR(__xludf.DUMMYFUNCTION("""COMPUTED_VALUE"""),"#N/A")</f>
        <v>#N/A</v>
      </c>
      <c r="AA303" s="292" t="str">
        <f>IFERROR(__xludf.DUMMYFUNCTION("""COMPUTED_VALUE"""),"#N/A")</f>
        <v>#N/A</v>
      </c>
      <c r="AB303" s="292" t="str">
        <f>IFERROR(__xludf.DUMMYFUNCTION("""COMPUTED_VALUE"""),"#N/A")</f>
        <v>#N/A</v>
      </c>
      <c r="AC303" s="292" t="str">
        <f>IFERROR(__xludf.DUMMYFUNCTION("""COMPUTED_VALUE"""),"#N/A")</f>
        <v>#N/A</v>
      </c>
      <c r="AD303" s="292" t="str">
        <f>IFERROR(__xludf.DUMMYFUNCTION("""COMPUTED_VALUE"""),"#N/A")</f>
        <v>#N/A</v>
      </c>
      <c r="AE303" s="343" t="str">
        <f>IFERROR(__xludf.DUMMYFUNCTION("""COMPUTED_VALUE"""),"#N/A")</f>
        <v>#N/A</v>
      </c>
      <c r="AF303" s="292" t="str">
        <f>IFERROR(__xludf.DUMMYFUNCTION("""COMPUTED_VALUE"""),"#N/A")</f>
        <v>#N/A</v>
      </c>
      <c r="AG303" s="292"/>
      <c r="AH303" s="292" t="str">
        <f>IFERROR(__xludf.DUMMYFUNCTION("""COMPUTED_VALUE"""),"#N/A")</f>
        <v>#N/A</v>
      </c>
      <c r="AI303" s="292" t="str">
        <f>IFERROR(__xludf.DUMMYFUNCTION("""COMPUTED_VALUE"""),"#N/A")</f>
        <v>#N/A</v>
      </c>
      <c r="AJ303" s="292" t="str">
        <f>IFERROR(__xludf.DUMMYFUNCTION("""COMPUTED_VALUE"""),"#N/A")</f>
        <v>#N/A</v>
      </c>
      <c r="AK303" s="292" t="str">
        <f>IFERROR(__xludf.DUMMYFUNCTION("""COMPUTED_VALUE"""),"#N/A")</f>
        <v>#N/A</v>
      </c>
      <c r="AL303" s="292" t="str">
        <f>IFERROR(__xludf.DUMMYFUNCTION("""COMPUTED_VALUE"""),"#N/A")</f>
        <v>#N/A</v>
      </c>
      <c r="AM303" s="292" t="str">
        <f>IFERROR(__xludf.DUMMYFUNCTION("""COMPUTED_VALUE"""),"#N/A")</f>
        <v>#N/A</v>
      </c>
      <c r="AN303" s="292" t="str">
        <f>IFERROR(__xludf.DUMMYFUNCTION("""COMPUTED_VALUE"""),"#N/A")</f>
        <v>#N/A</v>
      </c>
      <c r="AO303" s="292" t="str">
        <f>IFERROR(__xludf.DUMMYFUNCTION("""COMPUTED_VALUE"""),"#N/A")</f>
        <v>#N/A</v>
      </c>
      <c r="AP303" s="292"/>
      <c r="AQ303" s="292"/>
      <c r="AR303" s="292"/>
      <c r="AS303" s="292"/>
      <c r="AT303" s="292"/>
      <c r="AU303" s="292"/>
      <c r="AV303" s="292"/>
      <c r="AW303" s="292"/>
      <c r="AX303" s="292"/>
      <c r="AY303" s="292"/>
      <c r="AZ303" s="292"/>
      <c r="BA303" s="292"/>
      <c r="BB303" s="292"/>
      <c r="BC303" s="292"/>
      <c r="BD303" s="292"/>
      <c r="BE303" s="292"/>
      <c r="BF303" s="296" t="str">
        <f>IFERROR(__xludf.DUMMYFUNCTION("""COMPUTED_VALUE"""),"#REF!")</f>
        <v>#REF!</v>
      </c>
      <c r="BG303" s="296" t="str">
        <f>IFERROR(__xludf.DUMMYFUNCTION("""COMPUTED_VALUE"""),"#REF!")</f>
        <v>#REF!</v>
      </c>
      <c r="BH303" s="296" t="str">
        <f>IFERROR(__xludf.DUMMYFUNCTION("""COMPUTED_VALUE"""),"#REF!")</f>
        <v>#REF!</v>
      </c>
      <c r="BI303" s="295" t="str">
        <f>IFERROR(__xludf.DUMMYFUNCTION("""COMPUTED_VALUE"""),"#N/A")</f>
        <v>#N/A</v>
      </c>
      <c r="BJ303" s="292"/>
      <c r="BK303" s="346" t="str">
        <f>IFERROR(__xludf.DUMMYFUNCTION("""COMPUTED_VALUE"""),"#N/A")</f>
        <v>#N/A</v>
      </c>
      <c r="BL303" s="292"/>
      <c r="BM303" s="292"/>
      <c r="BN303" s="292"/>
      <c r="BO303" s="292"/>
      <c r="BP303" s="292"/>
      <c r="BQ303" s="292"/>
      <c r="BR303" s="292" t="str">
        <f>IFERROR(__xludf.DUMMYFUNCTION("""COMPUTED_VALUE"""),"#N/A")</f>
        <v>#N/A</v>
      </c>
      <c r="BS303" s="292"/>
      <c r="BT303" s="292"/>
      <c r="BU303" s="292"/>
      <c r="BV303" s="292"/>
      <c r="BW303" s="292"/>
    </row>
    <row r="304">
      <c r="A304" s="292"/>
      <c r="B304" s="292" t="str">
        <f>IFERROR(__xludf.DUMMYFUNCTION("""COMPUTED_VALUE"""),"")</f>
        <v/>
      </c>
      <c r="C304" s="292"/>
      <c r="D304" s="292" t="str">
        <f>IFERROR(__xludf.DUMMYFUNCTION("""COMPUTED_VALUE"""),"")</f>
        <v/>
      </c>
      <c r="E304" s="292" t="str">
        <f>IFERROR(__xludf.DUMMYFUNCTION("""COMPUTED_VALUE"""),"")</f>
        <v/>
      </c>
      <c r="F304" s="292" t="str">
        <f>IFERROR(__xludf.DUMMYFUNCTION("""COMPUTED_VALUE"""),"")</f>
        <v/>
      </c>
      <c r="G304" s="292" t="str">
        <f>IFERROR(__xludf.DUMMYFUNCTION("""COMPUTED_VALUE"""),"")</f>
        <v/>
      </c>
      <c r="H304" s="292" t="str">
        <f>IFERROR(__xludf.DUMMYFUNCTION("""COMPUTED_VALUE"""),"")</f>
        <v/>
      </c>
      <c r="I304" s="292" t="str">
        <f>IFERROR(__xludf.DUMMYFUNCTION("""COMPUTED_VALUE"""),"")</f>
        <v/>
      </c>
      <c r="J304" s="292" t="str">
        <f>IFERROR(__xludf.DUMMYFUNCTION("""COMPUTED_VALUE"""),"")</f>
        <v/>
      </c>
      <c r="K304" s="292"/>
      <c r="L304" s="292"/>
      <c r="M304" s="292" t="str">
        <f>IFERROR(__xludf.DUMMYFUNCTION("""COMPUTED_VALUE"""),"")</f>
        <v/>
      </c>
      <c r="N304" s="292" t="str">
        <f>IFERROR(__xludf.DUMMYFUNCTION("""COMPUTED_VALUE"""),"")</f>
        <v/>
      </c>
      <c r="O304" s="292" t="str">
        <f>IFERROR(__xludf.DUMMYFUNCTION("""COMPUTED_VALUE"""),"")</f>
        <v/>
      </c>
      <c r="P304" s="292"/>
      <c r="Q304" s="292"/>
      <c r="R304" s="292"/>
      <c r="S304" s="292"/>
      <c r="T304" s="292"/>
      <c r="U304" s="292"/>
      <c r="V304" s="292"/>
      <c r="W304" s="292" t="b">
        <f>IFERROR(__xludf.DUMMYFUNCTION("""COMPUTED_VALUE"""),TRUE)</f>
        <v>1</v>
      </c>
      <c r="X304" s="292" t="str">
        <f>IFERROR(__xludf.DUMMYFUNCTION("""COMPUTED_VALUE"""),"#N/A")</f>
        <v>#N/A</v>
      </c>
      <c r="Y304" s="344" t="str">
        <f>IFERROR(__xludf.DUMMYFUNCTION("""COMPUTED_VALUE"""),"#N/A")</f>
        <v>#N/A</v>
      </c>
      <c r="Z304" s="343" t="str">
        <f>IFERROR(__xludf.DUMMYFUNCTION("""COMPUTED_VALUE"""),"#N/A")</f>
        <v>#N/A</v>
      </c>
      <c r="AA304" s="292" t="str">
        <f>IFERROR(__xludf.DUMMYFUNCTION("""COMPUTED_VALUE"""),"#N/A")</f>
        <v>#N/A</v>
      </c>
      <c r="AB304" s="292" t="str">
        <f>IFERROR(__xludf.DUMMYFUNCTION("""COMPUTED_VALUE"""),"#N/A")</f>
        <v>#N/A</v>
      </c>
      <c r="AC304" s="292" t="str">
        <f>IFERROR(__xludf.DUMMYFUNCTION("""COMPUTED_VALUE"""),"#N/A")</f>
        <v>#N/A</v>
      </c>
      <c r="AD304" s="292" t="str">
        <f>IFERROR(__xludf.DUMMYFUNCTION("""COMPUTED_VALUE"""),"#N/A")</f>
        <v>#N/A</v>
      </c>
      <c r="AE304" s="343" t="str">
        <f>IFERROR(__xludf.DUMMYFUNCTION("""COMPUTED_VALUE"""),"#N/A")</f>
        <v>#N/A</v>
      </c>
      <c r="AF304" s="292" t="str">
        <f>IFERROR(__xludf.DUMMYFUNCTION("""COMPUTED_VALUE"""),"#N/A")</f>
        <v>#N/A</v>
      </c>
      <c r="AG304" s="292"/>
      <c r="AH304" s="292" t="str">
        <f>IFERROR(__xludf.DUMMYFUNCTION("""COMPUTED_VALUE"""),"#N/A")</f>
        <v>#N/A</v>
      </c>
      <c r="AI304" s="292" t="str">
        <f>IFERROR(__xludf.DUMMYFUNCTION("""COMPUTED_VALUE"""),"#N/A")</f>
        <v>#N/A</v>
      </c>
      <c r="AJ304" s="292" t="str">
        <f>IFERROR(__xludf.DUMMYFUNCTION("""COMPUTED_VALUE"""),"#N/A")</f>
        <v>#N/A</v>
      </c>
      <c r="AK304" s="292" t="str">
        <f>IFERROR(__xludf.DUMMYFUNCTION("""COMPUTED_VALUE"""),"#N/A")</f>
        <v>#N/A</v>
      </c>
      <c r="AL304" s="292" t="str">
        <f>IFERROR(__xludf.DUMMYFUNCTION("""COMPUTED_VALUE"""),"#N/A")</f>
        <v>#N/A</v>
      </c>
      <c r="AM304" s="292" t="str">
        <f>IFERROR(__xludf.DUMMYFUNCTION("""COMPUTED_VALUE"""),"#N/A")</f>
        <v>#N/A</v>
      </c>
      <c r="AN304" s="292" t="str">
        <f>IFERROR(__xludf.DUMMYFUNCTION("""COMPUTED_VALUE"""),"#N/A")</f>
        <v>#N/A</v>
      </c>
      <c r="AO304" s="292" t="str">
        <f>IFERROR(__xludf.DUMMYFUNCTION("""COMPUTED_VALUE"""),"#N/A")</f>
        <v>#N/A</v>
      </c>
      <c r="AP304" s="292"/>
      <c r="AQ304" s="292"/>
      <c r="AR304" s="292"/>
      <c r="AS304" s="292"/>
      <c r="AT304" s="292"/>
      <c r="AU304" s="292"/>
      <c r="AV304" s="292"/>
      <c r="AW304" s="292"/>
      <c r="AX304" s="292"/>
      <c r="AY304" s="292"/>
      <c r="AZ304" s="292"/>
      <c r="BA304" s="292"/>
      <c r="BB304" s="292"/>
      <c r="BC304" s="292"/>
      <c r="BD304" s="292"/>
      <c r="BE304" s="292"/>
      <c r="BF304" s="296" t="str">
        <f>IFERROR(__xludf.DUMMYFUNCTION("""COMPUTED_VALUE"""),"#REF!")</f>
        <v>#REF!</v>
      </c>
      <c r="BG304" s="296" t="str">
        <f>IFERROR(__xludf.DUMMYFUNCTION("""COMPUTED_VALUE"""),"#REF!")</f>
        <v>#REF!</v>
      </c>
      <c r="BH304" s="296" t="str">
        <f>IFERROR(__xludf.DUMMYFUNCTION("""COMPUTED_VALUE"""),"#REF!")</f>
        <v>#REF!</v>
      </c>
      <c r="BI304" s="295" t="str">
        <f>IFERROR(__xludf.DUMMYFUNCTION("""COMPUTED_VALUE"""),"#N/A")</f>
        <v>#N/A</v>
      </c>
      <c r="BJ304" s="292"/>
      <c r="BK304" s="346" t="str">
        <f>IFERROR(__xludf.DUMMYFUNCTION("""COMPUTED_VALUE"""),"#N/A")</f>
        <v>#N/A</v>
      </c>
      <c r="BL304" s="292"/>
      <c r="BM304" s="292"/>
      <c r="BN304" s="292"/>
      <c r="BO304" s="292"/>
      <c r="BP304" s="292"/>
      <c r="BQ304" s="292"/>
      <c r="BR304" s="292" t="str">
        <f>IFERROR(__xludf.DUMMYFUNCTION("""COMPUTED_VALUE"""),"#N/A")</f>
        <v>#N/A</v>
      </c>
      <c r="BS304" s="292"/>
      <c r="BT304" s="292"/>
      <c r="BU304" s="292"/>
      <c r="BV304" s="292"/>
      <c r="BW304" s="292"/>
    </row>
    <row r="305">
      <c r="A305" s="292"/>
      <c r="B305" s="292" t="str">
        <f>IFERROR(__xludf.DUMMYFUNCTION("""COMPUTED_VALUE"""),"")</f>
        <v/>
      </c>
      <c r="C305" s="292"/>
      <c r="D305" s="292" t="str">
        <f>IFERROR(__xludf.DUMMYFUNCTION("""COMPUTED_VALUE"""),"")</f>
        <v/>
      </c>
      <c r="E305" s="292" t="str">
        <f>IFERROR(__xludf.DUMMYFUNCTION("""COMPUTED_VALUE"""),"")</f>
        <v/>
      </c>
      <c r="F305" s="292" t="str">
        <f>IFERROR(__xludf.DUMMYFUNCTION("""COMPUTED_VALUE"""),"")</f>
        <v/>
      </c>
      <c r="G305" s="292" t="str">
        <f>IFERROR(__xludf.DUMMYFUNCTION("""COMPUTED_VALUE"""),"")</f>
        <v/>
      </c>
      <c r="H305" s="292" t="str">
        <f>IFERROR(__xludf.DUMMYFUNCTION("""COMPUTED_VALUE"""),"")</f>
        <v/>
      </c>
      <c r="I305" s="292" t="str">
        <f>IFERROR(__xludf.DUMMYFUNCTION("""COMPUTED_VALUE"""),"")</f>
        <v/>
      </c>
      <c r="J305" s="292" t="str">
        <f>IFERROR(__xludf.DUMMYFUNCTION("""COMPUTED_VALUE"""),"")</f>
        <v/>
      </c>
      <c r="K305" s="292"/>
      <c r="L305" s="292"/>
      <c r="M305" s="292" t="str">
        <f>IFERROR(__xludf.DUMMYFUNCTION("""COMPUTED_VALUE"""),"")</f>
        <v/>
      </c>
      <c r="N305" s="292" t="str">
        <f>IFERROR(__xludf.DUMMYFUNCTION("""COMPUTED_VALUE"""),"")</f>
        <v/>
      </c>
      <c r="O305" s="292" t="str">
        <f>IFERROR(__xludf.DUMMYFUNCTION("""COMPUTED_VALUE"""),"")</f>
        <v/>
      </c>
      <c r="P305" s="292"/>
      <c r="Q305" s="292"/>
      <c r="R305" s="292"/>
      <c r="S305" s="292"/>
      <c r="T305" s="292"/>
      <c r="U305" s="292"/>
      <c r="V305" s="292"/>
      <c r="W305" s="292" t="b">
        <f>IFERROR(__xludf.DUMMYFUNCTION("""COMPUTED_VALUE"""),TRUE)</f>
        <v>1</v>
      </c>
      <c r="X305" s="292" t="str">
        <f>IFERROR(__xludf.DUMMYFUNCTION("""COMPUTED_VALUE"""),"#N/A")</f>
        <v>#N/A</v>
      </c>
      <c r="Y305" s="344" t="str">
        <f>IFERROR(__xludf.DUMMYFUNCTION("""COMPUTED_VALUE"""),"#N/A")</f>
        <v>#N/A</v>
      </c>
      <c r="Z305" s="343" t="str">
        <f>IFERROR(__xludf.DUMMYFUNCTION("""COMPUTED_VALUE"""),"#N/A")</f>
        <v>#N/A</v>
      </c>
      <c r="AA305" s="292" t="str">
        <f>IFERROR(__xludf.DUMMYFUNCTION("""COMPUTED_VALUE"""),"#N/A")</f>
        <v>#N/A</v>
      </c>
      <c r="AB305" s="292" t="str">
        <f>IFERROR(__xludf.DUMMYFUNCTION("""COMPUTED_VALUE"""),"#N/A")</f>
        <v>#N/A</v>
      </c>
      <c r="AC305" s="292" t="str">
        <f>IFERROR(__xludf.DUMMYFUNCTION("""COMPUTED_VALUE"""),"#N/A")</f>
        <v>#N/A</v>
      </c>
      <c r="AD305" s="292" t="str">
        <f>IFERROR(__xludf.DUMMYFUNCTION("""COMPUTED_VALUE"""),"#N/A")</f>
        <v>#N/A</v>
      </c>
      <c r="AE305" s="343" t="str">
        <f>IFERROR(__xludf.DUMMYFUNCTION("""COMPUTED_VALUE"""),"#N/A")</f>
        <v>#N/A</v>
      </c>
      <c r="AF305" s="292" t="str">
        <f>IFERROR(__xludf.DUMMYFUNCTION("""COMPUTED_VALUE"""),"#N/A")</f>
        <v>#N/A</v>
      </c>
      <c r="AG305" s="292"/>
      <c r="AH305" s="292" t="str">
        <f>IFERROR(__xludf.DUMMYFUNCTION("""COMPUTED_VALUE"""),"#N/A")</f>
        <v>#N/A</v>
      </c>
      <c r="AI305" s="292" t="str">
        <f>IFERROR(__xludf.DUMMYFUNCTION("""COMPUTED_VALUE"""),"#N/A")</f>
        <v>#N/A</v>
      </c>
      <c r="AJ305" s="292" t="str">
        <f>IFERROR(__xludf.DUMMYFUNCTION("""COMPUTED_VALUE"""),"#N/A")</f>
        <v>#N/A</v>
      </c>
      <c r="AK305" s="292" t="str">
        <f>IFERROR(__xludf.DUMMYFUNCTION("""COMPUTED_VALUE"""),"#N/A")</f>
        <v>#N/A</v>
      </c>
      <c r="AL305" s="292" t="str">
        <f>IFERROR(__xludf.DUMMYFUNCTION("""COMPUTED_VALUE"""),"#N/A")</f>
        <v>#N/A</v>
      </c>
      <c r="AM305" s="292" t="str">
        <f>IFERROR(__xludf.DUMMYFUNCTION("""COMPUTED_VALUE"""),"#N/A")</f>
        <v>#N/A</v>
      </c>
      <c r="AN305" s="292" t="str">
        <f>IFERROR(__xludf.DUMMYFUNCTION("""COMPUTED_VALUE"""),"#N/A")</f>
        <v>#N/A</v>
      </c>
      <c r="AO305" s="292" t="str">
        <f>IFERROR(__xludf.DUMMYFUNCTION("""COMPUTED_VALUE"""),"#N/A")</f>
        <v>#N/A</v>
      </c>
      <c r="AP305" s="292"/>
      <c r="AQ305" s="292"/>
      <c r="AR305" s="292"/>
      <c r="AS305" s="292"/>
      <c r="AT305" s="292"/>
      <c r="AU305" s="292"/>
      <c r="AV305" s="292"/>
      <c r="AW305" s="292"/>
      <c r="AX305" s="292"/>
      <c r="AY305" s="292"/>
      <c r="AZ305" s="292"/>
      <c r="BA305" s="292"/>
      <c r="BB305" s="292"/>
      <c r="BC305" s="292"/>
      <c r="BD305" s="292"/>
      <c r="BE305" s="292"/>
      <c r="BF305" s="296" t="str">
        <f>IFERROR(__xludf.DUMMYFUNCTION("""COMPUTED_VALUE"""),"#REF!")</f>
        <v>#REF!</v>
      </c>
      <c r="BG305" s="296" t="str">
        <f>IFERROR(__xludf.DUMMYFUNCTION("""COMPUTED_VALUE"""),"#REF!")</f>
        <v>#REF!</v>
      </c>
      <c r="BH305" s="296" t="str">
        <f>IFERROR(__xludf.DUMMYFUNCTION("""COMPUTED_VALUE"""),"#REF!")</f>
        <v>#REF!</v>
      </c>
      <c r="BI305" s="295" t="str">
        <f>IFERROR(__xludf.DUMMYFUNCTION("""COMPUTED_VALUE"""),"#N/A")</f>
        <v>#N/A</v>
      </c>
      <c r="BJ305" s="292"/>
      <c r="BK305" s="346" t="str">
        <f>IFERROR(__xludf.DUMMYFUNCTION("""COMPUTED_VALUE"""),"#N/A")</f>
        <v>#N/A</v>
      </c>
      <c r="BL305" s="292"/>
      <c r="BM305" s="292"/>
      <c r="BN305" s="292"/>
      <c r="BO305" s="292"/>
      <c r="BP305" s="292"/>
      <c r="BQ305" s="292"/>
      <c r="BR305" s="292"/>
      <c r="BS305" s="292"/>
      <c r="BT305" s="292"/>
      <c r="BU305" s="292"/>
      <c r="BV305" s="292"/>
      <c r="BW305" s="292"/>
    </row>
    <row r="306">
      <c r="A306" s="292"/>
      <c r="B306" s="292" t="str">
        <f>IFERROR(__xludf.DUMMYFUNCTION("""COMPUTED_VALUE"""),"")</f>
        <v/>
      </c>
      <c r="C306" s="292"/>
      <c r="D306" s="292" t="str">
        <f>IFERROR(__xludf.DUMMYFUNCTION("""COMPUTED_VALUE"""),"")</f>
        <v/>
      </c>
      <c r="E306" s="292" t="str">
        <f>IFERROR(__xludf.DUMMYFUNCTION("""COMPUTED_VALUE"""),"")</f>
        <v/>
      </c>
      <c r="F306" s="292" t="str">
        <f>IFERROR(__xludf.DUMMYFUNCTION("""COMPUTED_VALUE"""),"")</f>
        <v/>
      </c>
      <c r="G306" s="292" t="str">
        <f>IFERROR(__xludf.DUMMYFUNCTION("""COMPUTED_VALUE"""),"")</f>
        <v/>
      </c>
      <c r="H306" s="292" t="str">
        <f>IFERROR(__xludf.DUMMYFUNCTION("""COMPUTED_VALUE"""),"")</f>
        <v/>
      </c>
      <c r="I306" s="292" t="str">
        <f>IFERROR(__xludf.DUMMYFUNCTION("""COMPUTED_VALUE"""),"")</f>
        <v/>
      </c>
      <c r="J306" s="292" t="str">
        <f>IFERROR(__xludf.DUMMYFUNCTION("""COMPUTED_VALUE"""),"")</f>
        <v/>
      </c>
      <c r="K306" s="292"/>
      <c r="L306" s="292"/>
      <c r="M306" s="292" t="str">
        <f>IFERROR(__xludf.DUMMYFUNCTION("""COMPUTED_VALUE"""),"")</f>
        <v/>
      </c>
      <c r="N306" s="292" t="str">
        <f>IFERROR(__xludf.DUMMYFUNCTION("""COMPUTED_VALUE"""),"")</f>
        <v/>
      </c>
      <c r="O306" s="292" t="str">
        <f>IFERROR(__xludf.DUMMYFUNCTION("""COMPUTED_VALUE"""),"")</f>
        <v/>
      </c>
      <c r="P306" s="292"/>
      <c r="Q306" s="292"/>
      <c r="R306" s="292"/>
      <c r="S306" s="292"/>
      <c r="T306" s="292"/>
      <c r="U306" s="292"/>
      <c r="V306" s="292"/>
      <c r="W306" s="292" t="b">
        <f>IFERROR(__xludf.DUMMYFUNCTION("""COMPUTED_VALUE"""),TRUE)</f>
        <v>1</v>
      </c>
      <c r="X306" s="292" t="str">
        <f>IFERROR(__xludf.DUMMYFUNCTION("""COMPUTED_VALUE"""),"#N/A")</f>
        <v>#N/A</v>
      </c>
      <c r="Y306" s="344" t="str">
        <f>IFERROR(__xludf.DUMMYFUNCTION("""COMPUTED_VALUE"""),"#N/A")</f>
        <v>#N/A</v>
      </c>
      <c r="Z306" s="343" t="str">
        <f>IFERROR(__xludf.DUMMYFUNCTION("""COMPUTED_VALUE"""),"#N/A")</f>
        <v>#N/A</v>
      </c>
      <c r="AA306" s="292" t="str">
        <f>IFERROR(__xludf.DUMMYFUNCTION("""COMPUTED_VALUE"""),"#N/A")</f>
        <v>#N/A</v>
      </c>
      <c r="AB306" s="292" t="str">
        <f>IFERROR(__xludf.DUMMYFUNCTION("""COMPUTED_VALUE"""),"#N/A")</f>
        <v>#N/A</v>
      </c>
      <c r="AC306" s="292" t="str">
        <f>IFERROR(__xludf.DUMMYFUNCTION("""COMPUTED_VALUE"""),"#N/A")</f>
        <v>#N/A</v>
      </c>
      <c r="AD306" s="292" t="str">
        <f>IFERROR(__xludf.DUMMYFUNCTION("""COMPUTED_VALUE"""),"#N/A")</f>
        <v>#N/A</v>
      </c>
      <c r="AE306" s="343" t="str">
        <f>IFERROR(__xludf.DUMMYFUNCTION("""COMPUTED_VALUE"""),"#N/A")</f>
        <v>#N/A</v>
      </c>
      <c r="AF306" s="292" t="str">
        <f>IFERROR(__xludf.DUMMYFUNCTION("""COMPUTED_VALUE"""),"#N/A")</f>
        <v>#N/A</v>
      </c>
      <c r="AG306" s="292"/>
      <c r="AH306" s="292" t="str">
        <f>IFERROR(__xludf.DUMMYFUNCTION("""COMPUTED_VALUE"""),"#N/A")</f>
        <v>#N/A</v>
      </c>
      <c r="AI306" s="292" t="str">
        <f>IFERROR(__xludf.DUMMYFUNCTION("""COMPUTED_VALUE"""),"#N/A")</f>
        <v>#N/A</v>
      </c>
      <c r="AJ306" s="292" t="str">
        <f>IFERROR(__xludf.DUMMYFUNCTION("""COMPUTED_VALUE"""),"#N/A")</f>
        <v>#N/A</v>
      </c>
      <c r="AK306" s="292" t="str">
        <f>IFERROR(__xludf.DUMMYFUNCTION("""COMPUTED_VALUE"""),"#N/A")</f>
        <v>#N/A</v>
      </c>
      <c r="AL306" s="292" t="str">
        <f>IFERROR(__xludf.DUMMYFUNCTION("""COMPUTED_VALUE"""),"#N/A")</f>
        <v>#N/A</v>
      </c>
      <c r="AM306" s="292" t="str">
        <f>IFERROR(__xludf.DUMMYFUNCTION("""COMPUTED_VALUE"""),"#N/A")</f>
        <v>#N/A</v>
      </c>
      <c r="AN306" s="292" t="str">
        <f>IFERROR(__xludf.DUMMYFUNCTION("""COMPUTED_VALUE"""),"#N/A")</f>
        <v>#N/A</v>
      </c>
      <c r="AO306" s="292" t="str">
        <f>IFERROR(__xludf.DUMMYFUNCTION("""COMPUTED_VALUE"""),"#N/A")</f>
        <v>#N/A</v>
      </c>
      <c r="AP306" s="292"/>
      <c r="AQ306" s="292"/>
      <c r="AR306" s="292"/>
      <c r="AS306" s="292"/>
      <c r="AT306" s="292"/>
      <c r="AU306" s="292"/>
      <c r="AV306" s="292"/>
      <c r="AW306" s="292"/>
      <c r="AX306" s="292"/>
      <c r="AY306" s="292"/>
      <c r="AZ306" s="292"/>
      <c r="BA306" s="292"/>
      <c r="BB306" s="292"/>
      <c r="BC306" s="292"/>
      <c r="BD306" s="292"/>
      <c r="BE306" s="292"/>
      <c r="BF306" s="296" t="str">
        <f>IFERROR(__xludf.DUMMYFUNCTION("""COMPUTED_VALUE"""),"#REF!")</f>
        <v>#REF!</v>
      </c>
      <c r="BG306" s="296" t="str">
        <f>IFERROR(__xludf.DUMMYFUNCTION("""COMPUTED_VALUE"""),"#REF!")</f>
        <v>#REF!</v>
      </c>
      <c r="BH306" s="296" t="str">
        <f>IFERROR(__xludf.DUMMYFUNCTION("""COMPUTED_VALUE"""),"#REF!")</f>
        <v>#REF!</v>
      </c>
      <c r="BI306" s="295" t="str">
        <f>IFERROR(__xludf.DUMMYFUNCTION("""COMPUTED_VALUE"""),"#N/A")</f>
        <v>#N/A</v>
      </c>
      <c r="BJ306" s="292"/>
      <c r="BK306" s="346" t="str">
        <f>IFERROR(__xludf.DUMMYFUNCTION("""COMPUTED_VALUE"""),"#N/A")</f>
        <v>#N/A</v>
      </c>
      <c r="BL306" s="292"/>
      <c r="BM306" s="292"/>
      <c r="BN306" s="292"/>
      <c r="BO306" s="292"/>
      <c r="BP306" s="292"/>
      <c r="BQ306" s="292"/>
      <c r="BR306" s="292"/>
      <c r="BS306" s="292"/>
      <c r="BT306" s="292"/>
      <c r="BU306" s="292"/>
      <c r="BV306" s="292"/>
      <c r="BW306" s="292"/>
    </row>
    <row r="307">
      <c r="A307" s="292"/>
      <c r="B307" s="292" t="str">
        <f>IFERROR(__xludf.DUMMYFUNCTION("""COMPUTED_VALUE"""),"")</f>
        <v/>
      </c>
      <c r="C307" s="292"/>
      <c r="D307" s="292" t="str">
        <f>IFERROR(__xludf.DUMMYFUNCTION("""COMPUTED_VALUE"""),"")</f>
        <v/>
      </c>
      <c r="E307" s="292" t="str">
        <f>IFERROR(__xludf.DUMMYFUNCTION("""COMPUTED_VALUE"""),"")</f>
        <v/>
      </c>
      <c r="F307" s="292" t="str">
        <f>IFERROR(__xludf.DUMMYFUNCTION("""COMPUTED_VALUE"""),"")</f>
        <v/>
      </c>
      <c r="G307" s="292" t="str">
        <f>IFERROR(__xludf.DUMMYFUNCTION("""COMPUTED_VALUE"""),"")</f>
        <v/>
      </c>
      <c r="H307" s="292" t="str">
        <f>IFERROR(__xludf.DUMMYFUNCTION("""COMPUTED_VALUE"""),"")</f>
        <v/>
      </c>
      <c r="I307" s="292" t="str">
        <f>IFERROR(__xludf.DUMMYFUNCTION("""COMPUTED_VALUE"""),"")</f>
        <v/>
      </c>
      <c r="J307" s="292" t="str">
        <f>IFERROR(__xludf.DUMMYFUNCTION("""COMPUTED_VALUE"""),"")</f>
        <v/>
      </c>
      <c r="K307" s="292"/>
      <c r="L307" s="292"/>
      <c r="M307" s="292" t="str">
        <f>IFERROR(__xludf.DUMMYFUNCTION("""COMPUTED_VALUE"""),"")</f>
        <v/>
      </c>
      <c r="N307" s="292" t="str">
        <f>IFERROR(__xludf.DUMMYFUNCTION("""COMPUTED_VALUE"""),"")</f>
        <v/>
      </c>
      <c r="O307" s="292" t="str">
        <f>IFERROR(__xludf.DUMMYFUNCTION("""COMPUTED_VALUE"""),"")</f>
        <v/>
      </c>
      <c r="P307" s="292"/>
      <c r="Q307" s="292"/>
      <c r="R307" s="292"/>
      <c r="S307" s="292"/>
      <c r="T307" s="292"/>
      <c r="U307" s="292"/>
      <c r="V307" s="292"/>
      <c r="W307" s="292" t="b">
        <f>IFERROR(__xludf.DUMMYFUNCTION("""COMPUTED_VALUE"""),TRUE)</f>
        <v>1</v>
      </c>
      <c r="X307" s="292" t="str">
        <f>IFERROR(__xludf.DUMMYFUNCTION("""COMPUTED_VALUE"""),"#N/A")</f>
        <v>#N/A</v>
      </c>
      <c r="Y307" s="344" t="str">
        <f>IFERROR(__xludf.DUMMYFUNCTION("""COMPUTED_VALUE"""),"#N/A")</f>
        <v>#N/A</v>
      </c>
      <c r="Z307" s="343" t="str">
        <f>IFERROR(__xludf.DUMMYFUNCTION("""COMPUTED_VALUE"""),"#N/A")</f>
        <v>#N/A</v>
      </c>
      <c r="AA307" s="292" t="str">
        <f>IFERROR(__xludf.DUMMYFUNCTION("""COMPUTED_VALUE"""),"#N/A")</f>
        <v>#N/A</v>
      </c>
      <c r="AB307" s="292" t="str">
        <f>IFERROR(__xludf.DUMMYFUNCTION("""COMPUTED_VALUE"""),"#N/A")</f>
        <v>#N/A</v>
      </c>
      <c r="AC307" s="292" t="str">
        <f>IFERROR(__xludf.DUMMYFUNCTION("""COMPUTED_VALUE"""),"#N/A")</f>
        <v>#N/A</v>
      </c>
      <c r="AD307" s="292" t="str">
        <f>IFERROR(__xludf.DUMMYFUNCTION("""COMPUTED_VALUE"""),"#N/A")</f>
        <v>#N/A</v>
      </c>
      <c r="AE307" s="343" t="str">
        <f>IFERROR(__xludf.DUMMYFUNCTION("""COMPUTED_VALUE"""),"#N/A")</f>
        <v>#N/A</v>
      </c>
      <c r="AF307" s="292" t="str">
        <f>IFERROR(__xludf.DUMMYFUNCTION("""COMPUTED_VALUE"""),"#N/A")</f>
        <v>#N/A</v>
      </c>
      <c r="AG307" s="292"/>
      <c r="AH307" s="292" t="str">
        <f>IFERROR(__xludf.DUMMYFUNCTION("""COMPUTED_VALUE"""),"#N/A")</f>
        <v>#N/A</v>
      </c>
      <c r="AI307" s="292" t="str">
        <f>IFERROR(__xludf.DUMMYFUNCTION("""COMPUTED_VALUE"""),"#N/A")</f>
        <v>#N/A</v>
      </c>
      <c r="AJ307" s="292" t="str">
        <f>IFERROR(__xludf.DUMMYFUNCTION("""COMPUTED_VALUE"""),"#N/A")</f>
        <v>#N/A</v>
      </c>
      <c r="AK307" s="292" t="str">
        <f>IFERROR(__xludf.DUMMYFUNCTION("""COMPUTED_VALUE"""),"#N/A")</f>
        <v>#N/A</v>
      </c>
      <c r="AL307" s="292" t="str">
        <f>IFERROR(__xludf.DUMMYFUNCTION("""COMPUTED_VALUE"""),"#N/A")</f>
        <v>#N/A</v>
      </c>
      <c r="AM307" s="292" t="str">
        <f>IFERROR(__xludf.DUMMYFUNCTION("""COMPUTED_VALUE"""),"#N/A")</f>
        <v>#N/A</v>
      </c>
      <c r="AN307" s="292" t="str">
        <f>IFERROR(__xludf.DUMMYFUNCTION("""COMPUTED_VALUE"""),"#N/A")</f>
        <v>#N/A</v>
      </c>
      <c r="AO307" s="292" t="str">
        <f>IFERROR(__xludf.DUMMYFUNCTION("""COMPUTED_VALUE"""),"#N/A")</f>
        <v>#N/A</v>
      </c>
      <c r="AP307" s="292"/>
      <c r="AQ307" s="292"/>
      <c r="AR307" s="292"/>
      <c r="AS307" s="292"/>
      <c r="AT307" s="292"/>
      <c r="AU307" s="292"/>
      <c r="AV307" s="292"/>
      <c r="AW307" s="292"/>
      <c r="AX307" s="292"/>
      <c r="AY307" s="292"/>
      <c r="AZ307" s="292"/>
      <c r="BA307" s="292"/>
      <c r="BB307" s="292"/>
      <c r="BC307" s="292"/>
      <c r="BD307" s="292"/>
      <c r="BE307" s="292"/>
      <c r="BF307" s="296" t="str">
        <f>IFERROR(__xludf.DUMMYFUNCTION("""COMPUTED_VALUE"""),"#REF!")</f>
        <v>#REF!</v>
      </c>
      <c r="BG307" s="296" t="str">
        <f>IFERROR(__xludf.DUMMYFUNCTION("""COMPUTED_VALUE"""),"#REF!")</f>
        <v>#REF!</v>
      </c>
      <c r="BH307" s="296" t="str">
        <f>IFERROR(__xludf.DUMMYFUNCTION("""COMPUTED_VALUE"""),"#REF!")</f>
        <v>#REF!</v>
      </c>
      <c r="BI307" s="295" t="str">
        <f>IFERROR(__xludf.DUMMYFUNCTION("""COMPUTED_VALUE"""),"#N/A")</f>
        <v>#N/A</v>
      </c>
      <c r="BJ307" s="292"/>
      <c r="BK307" s="346" t="str">
        <f>IFERROR(__xludf.DUMMYFUNCTION("""COMPUTED_VALUE"""),"#N/A")</f>
        <v>#N/A</v>
      </c>
      <c r="BL307" s="292"/>
      <c r="BM307" s="292"/>
      <c r="BN307" s="292"/>
      <c r="BO307" s="292"/>
      <c r="BP307" s="292"/>
      <c r="BQ307" s="292"/>
      <c r="BR307" s="292"/>
      <c r="BS307" s="292"/>
      <c r="BT307" s="292"/>
      <c r="BU307" s="292"/>
      <c r="BV307" s="292"/>
      <c r="BW307" s="292"/>
    </row>
    <row r="308">
      <c r="A308" s="292"/>
      <c r="B308" s="292" t="str">
        <f>IFERROR(__xludf.DUMMYFUNCTION("""COMPUTED_VALUE"""),"")</f>
        <v/>
      </c>
      <c r="C308" s="292"/>
      <c r="D308" s="292" t="str">
        <f>IFERROR(__xludf.DUMMYFUNCTION("""COMPUTED_VALUE"""),"")</f>
        <v/>
      </c>
      <c r="E308" s="292" t="str">
        <f>IFERROR(__xludf.DUMMYFUNCTION("""COMPUTED_VALUE"""),"")</f>
        <v/>
      </c>
      <c r="F308" s="292" t="str">
        <f>IFERROR(__xludf.DUMMYFUNCTION("""COMPUTED_VALUE"""),"")</f>
        <v/>
      </c>
      <c r="G308" s="292" t="str">
        <f>IFERROR(__xludf.DUMMYFUNCTION("""COMPUTED_VALUE"""),"")</f>
        <v/>
      </c>
      <c r="H308" s="292" t="str">
        <f>IFERROR(__xludf.DUMMYFUNCTION("""COMPUTED_VALUE"""),"")</f>
        <v/>
      </c>
      <c r="I308" s="292" t="str">
        <f>IFERROR(__xludf.DUMMYFUNCTION("""COMPUTED_VALUE"""),"")</f>
        <v/>
      </c>
      <c r="J308" s="292" t="str">
        <f>IFERROR(__xludf.DUMMYFUNCTION("""COMPUTED_VALUE"""),"")</f>
        <v/>
      </c>
      <c r="K308" s="292"/>
      <c r="L308" s="292"/>
      <c r="M308" s="292" t="str">
        <f>IFERROR(__xludf.DUMMYFUNCTION("""COMPUTED_VALUE"""),"")</f>
        <v/>
      </c>
      <c r="N308" s="292" t="str">
        <f>IFERROR(__xludf.DUMMYFUNCTION("""COMPUTED_VALUE"""),"")</f>
        <v/>
      </c>
      <c r="O308" s="292" t="str">
        <f>IFERROR(__xludf.DUMMYFUNCTION("""COMPUTED_VALUE"""),"")</f>
        <v/>
      </c>
      <c r="P308" s="292"/>
      <c r="Q308" s="292"/>
      <c r="R308" s="292"/>
      <c r="S308" s="292"/>
      <c r="T308" s="292"/>
      <c r="U308" s="292"/>
      <c r="V308" s="292"/>
      <c r="W308" s="292" t="b">
        <f>IFERROR(__xludf.DUMMYFUNCTION("""COMPUTED_VALUE"""),TRUE)</f>
        <v>1</v>
      </c>
      <c r="X308" s="292" t="str">
        <f>IFERROR(__xludf.DUMMYFUNCTION("""COMPUTED_VALUE"""),"#N/A")</f>
        <v>#N/A</v>
      </c>
      <c r="Y308" s="344" t="str">
        <f>IFERROR(__xludf.DUMMYFUNCTION("""COMPUTED_VALUE"""),"#N/A")</f>
        <v>#N/A</v>
      </c>
      <c r="Z308" s="343" t="str">
        <f>IFERROR(__xludf.DUMMYFUNCTION("""COMPUTED_VALUE"""),"#N/A")</f>
        <v>#N/A</v>
      </c>
      <c r="AA308" s="292" t="str">
        <f>IFERROR(__xludf.DUMMYFUNCTION("""COMPUTED_VALUE"""),"#N/A")</f>
        <v>#N/A</v>
      </c>
      <c r="AB308" s="292" t="str">
        <f>IFERROR(__xludf.DUMMYFUNCTION("""COMPUTED_VALUE"""),"#N/A")</f>
        <v>#N/A</v>
      </c>
      <c r="AC308" s="292" t="str">
        <f>IFERROR(__xludf.DUMMYFUNCTION("""COMPUTED_VALUE"""),"#N/A")</f>
        <v>#N/A</v>
      </c>
      <c r="AD308" s="292" t="str">
        <f>IFERROR(__xludf.DUMMYFUNCTION("""COMPUTED_VALUE"""),"#N/A")</f>
        <v>#N/A</v>
      </c>
      <c r="AE308" s="343" t="str">
        <f>IFERROR(__xludf.DUMMYFUNCTION("""COMPUTED_VALUE"""),"#N/A")</f>
        <v>#N/A</v>
      </c>
      <c r="AF308" s="292" t="str">
        <f>IFERROR(__xludf.DUMMYFUNCTION("""COMPUTED_VALUE"""),"#N/A")</f>
        <v>#N/A</v>
      </c>
      <c r="AG308" s="292"/>
      <c r="AH308" s="292" t="str">
        <f>IFERROR(__xludf.DUMMYFUNCTION("""COMPUTED_VALUE"""),"#N/A")</f>
        <v>#N/A</v>
      </c>
      <c r="AI308" s="292" t="str">
        <f>IFERROR(__xludf.DUMMYFUNCTION("""COMPUTED_VALUE"""),"#N/A")</f>
        <v>#N/A</v>
      </c>
      <c r="AJ308" s="292" t="str">
        <f>IFERROR(__xludf.DUMMYFUNCTION("""COMPUTED_VALUE"""),"#N/A")</f>
        <v>#N/A</v>
      </c>
      <c r="AK308" s="292" t="str">
        <f>IFERROR(__xludf.DUMMYFUNCTION("""COMPUTED_VALUE"""),"#N/A")</f>
        <v>#N/A</v>
      </c>
      <c r="AL308" s="292" t="str">
        <f>IFERROR(__xludf.DUMMYFUNCTION("""COMPUTED_VALUE"""),"#N/A")</f>
        <v>#N/A</v>
      </c>
      <c r="AM308" s="292" t="str">
        <f>IFERROR(__xludf.DUMMYFUNCTION("""COMPUTED_VALUE"""),"#N/A")</f>
        <v>#N/A</v>
      </c>
      <c r="AN308" s="292" t="str">
        <f>IFERROR(__xludf.DUMMYFUNCTION("""COMPUTED_VALUE"""),"#N/A")</f>
        <v>#N/A</v>
      </c>
      <c r="AO308" s="292" t="str">
        <f>IFERROR(__xludf.DUMMYFUNCTION("""COMPUTED_VALUE"""),"#N/A")</f>
        <v>#N/A</v>
      </c>
      <c r="AP308" s="292"/>
      <c r="AQ308" s="292"/>
      <c r="AR308" s="292"/>
      <c r="AS308" s="292"/>
      <c r="AT308" s="292"/>
      <c r="AU308" s="292"/>
      <c r="AV308" s="292"/>
      <c r="AW308" s="292"/>
      <c r="AX308" s="292"/>
      <c r="AY308" s="292"/>
      <c r="AZ308" s="292"/>
      <c r="BA308" s="292"/>
      <c r="BB308" s="292"/>
      <c r="BC308" s="292"/>
      <c r="BD308" s="292"/>
      <c r="BE308" s="292"/>
      <c r="BF308" s="296" t="str">
        <f>IFERROR(__xludf.DUMMYFUNCTION("""COMPUTED_VALUE"""),"#REF!")</f>
        <v>#REF!</v>
      </c>
      <c r="BG308" s="296" t="str">
        <f>IFERROR(__xludf.DUMMYFUNCTION("""COMPUTED_VALUE"""),"#REF!")</f>
        <v>#REF!</v>
      </c>
      <c r="BH308" s="296" t="str">
        <f>IFERROR(__xludf.DUMMYFUNCTION("""COMPUTED_VALUE"""),"#REF!")</f>
        <v>#REF!</v>
      </c>
      <c r="BI308" s="295" t="str">
        <f>IFERROR(__xludf.DUMMYFUNCTION("""COMPUTED_VALUE"""),"#N/A")</f>
        <v>#N/A</v>
      </c>
      <c r="BJ308" s="292"/>
      <c r="BK308" s="346" t="str">
        <f>IFERROR(__xludf.DUMMYFUNCTION("""COMPUTED_VALUE"""),"#N/A")</f>
        <v>#N/A</v>
      </c>
      <c r="BL308" s="292"/>
      <c r="BM308" s="292"/>
      <c r="BN308" s="292"/>
      <c r="BO308" s="292"/>
      <c r="BP308" s="292"/>
      <c r="BQ308" s="292"/>
      <c r="BR308" s="292"/>
      <c r="BS308" s="292"/>
      <c r="BT308" s="292"/>
      <c r="BU308" s="292"/>
      <c r="BV308" s="292"/>
      <c r="BW308" s="292"/>
    </row>
    <row r="309">
      <c r="A309" s="292"/>
      <c r="B309" s="292" t="str">
        <f>IFERROR(__xludf.DUMMYFUNCTION("""COMPUTED_VALUE"""),"")</f>
        <v/>
      </c>
      <c r="C309" s="292"/>
      <c r="D309" s="292" t="str">
        <f>IFERROR(__xludf.DUMMYFUNCTION("""COMPUTED_VALUE"""),"")</f>
        <v/>
      </c>
      <c r="E309" s="292" t="str">
        <f>IFERROR(__xludf.DUMMYFUNCTION("""COMPUTED_VALUE"""),"")</f>
        <v/>
      </c>
      <c r="F309" s="292" t="str">
        <f>IFERROR(__xludf.DUMMYFUNCTION("""COMPUTED_VALUE"""),"")</f>
        <v/>
      </c>
      <c r="G309" s="292" t="str">
        <f>IFERROR(__xludf.DUMMYFUNCTION("""COMPUTED_VALUE"""),"")</f>
        <v/>
      </c>
      <c r="H309" s="292" t="str">
        <f>IFERROR(__xludf.DUMMYFUNCTION("""COMPUTED_VALUE"""),"")</f>
        <v/>
      </c>
      <c r="I309" s="292" t="str">
        <f>IFERROR(__xludf.DUMMYFUNCTION("""COMPUTED_VALUE"""),"")</f>
        <v/>
      </c>
      <c r="J309" s="292" t="str">
        <f>IFERROR(__xludf.DUMMYFUNCTION("""COMPUTED_VALUE"""),"")</f>
        <v/>
      </c>
      <c r="K309" s="292"/>
      <c r="L309" s="292"/>
      <c r="M309" s="292" t="str">
        <f>IFERROR(__xludf.DUMMYFUNCTION("""COMPUTED_VALUE"""),"")</f>
        <v/>
      </c>
      <c r="N309" s="292" t="str">
        <f>IFERROR(__xludf.DUMMYFUNCTION("""COMPUTED_VALUE"""),"")</f>
        <v/>
      </c>
      <c r="O309" s="292" t="str">
        <f>IFERROR(__xludf.DUMMYFUNCTION("""COMPUTED_VALUE"""),"")</f>
        <v/>
      </c>
      <c r="P309" s="292"/>
      <c r="Q309" s="292"/>
      <c r="R309" s="292"/>
      <c r="S309" s="292"/>
      <c r="T309" s="292"/>
      <c r="U309" s="292"/>
      <c r="V309" s="292"/>
      <c r="W309" s="292" t="b">
        <f>IFERROR(__xludf.DUMMYFUNCTION("""COMPUTED_VALUE"""),TRUE)</f>
        <v>1</v>
      </c>
      <c r="X309" s="292" t="str">
        <f>IFERROR(__xludf.DUMMYFUNCTION("""COMPUTED_VALUE"""),"#N/A")</f>
        <v>#N/A</v>
      </c>
      <c r="Y309" s="344" t="str">
        <f>IFERROR(__xludf.DUMMYFUNCTION("""COMPUTED_VALUE"""),"#N/A")</f>
        <v>#N/A</v>
      </c>
      <c r="Z309" s="343" t="str">
        <f>IFERROR(__xludf.DUMMYFUNCTION("""COMPUTED_VALUE"""),"#N/A")</f>
        <v>#N/A</v>
      </c>
      <c r="AA309" s="292" t="str">
        <f>IFERROR(__xludf.DUMMYFUNCTION("""COMPUTED_VALUE"""),"#N/A")</f>
        <v>#N/A</v>
      </c>
      <c r="AB309" s="292" t="str">
        <f>IFERROR(__xludf.DUMMYFUNCTION("""COMPUTED_VALUE"""),"#N/A")</f>
        <v>#N/A</v>
      </c>
      <c r="AC309" s="292" t="str">
        <f>IFERROR(__xludf.DUMMYFUNCTION("""COMPUTED_VALUE"""),"#N/A")</f>
        <v>#N/A</v>
      </c>
      <c r="AD309" s="292" t="str">
        <f>IFERROR(__xludf.DUMMYFUNCTION("""COMPUTED_VALUE"""),"#N/A")</f>
        <v>#N/A</v>
      </c>
      <c r="AE309" s="343" t="str">
        <f>IFERROR(__xludf.DUMMYFUNCTION("""COMPUTED_VALUE"""),"#N/A")</f>
        <v>#N/A</v>
      </c>
      <c r="AF309" s="292" t="str">
        <f>IFERROR(__xludf.DUMMYFUNCTION("""COMPUTED_VALUE"""),"#N/A")</f>
        <v>#N/A</v>
      </c>
      <c r="AG309" s="292"/>
      <c r="AH309" s="292" t="str">
        <f>IFERROR(__xludf.DUMMYFUNCTION("""COMPUTED_VALUE"""),"#N/A")</f>
        <v>#N/A</v>
      </c>
      <c r="AI309" s="292" t="str">
        <f>IFERROR(__xludf.DUMMYFUNCTION("""COMPUTED_VALUE"""),"#N/A")</f>
        <v>#N/A</v>
      </c>
      <c r="AJ309" s="292" t="str">
        <f>IFERROR(__xludf.DUMMYFUNCTION("""COMPUTED_VALUE"""),"#N/A")</f>
        <v>#N/A</v>
      </c>
      <c r="AK309" s="292" t="str">
        <f>IFERROR(__xludf.DUMMYFUNCTION("""COMPUTED_VALUE"""),"#N/A")</f>
        <v>#N/A</v>
      </c>
      <c r="AL309" s="292" t="str">
        <f>IFERROR(__xludf.DUMMYFUNCTION("""COMPUTED_VALUE"""),"#N/A")</f>
        <v>#N/A</v>
      </c>
      <c r="AM309" s="292" t="str">
        <f>IFERROR(__xludf.DUMMYFUNCTION("""COMPUTED_VALUE"""),"#N/A")</f>
        <v>#N/A</v>
      </c>
      <c r="AN309" s="292" t="str">
        <f>IFERROR(__xludf.DUMMYFUNCTION("""COMPUTED_VALUE"""),"#N/A")</f>
        <v>#N/A</v>
      </c>
      <c r="AO309" s="292" t="str">
        <f>IFERROR(__xludf.DUMMYFUNCTION("""COMPUTED_VALUE"""),"#N/A")</f>
        <v>#N/A</v>
      </c>
      <c r="AP309" s="292"/>
      <c r="AQ309" s="292"/>
      <c r="AR309" s="292"/>
      <c r="AS309" s="292"/>
      <c r="AT309" s="292"/>
      <c r="AU309" s="292"/>
      <c r="AV309" s="292"/>
      <c r="AW309" s="292"/>
      <c r="AX309" s="292"/>
      <c r="AY309" s="292"/>
      <c r="AZ309" s="292"/>
      <c r="BA309" s="292"/>
      <c r="BB309" s="292"/>
      <c r="BC309" s="292"/>
      <c r="BD309" s="292"/>
      <c r="BE309" s="292"/>
      <c r="BF309" s="296" t="str">
        <f>IFERROR(__xludf.DUMMYFUNCTION("""COMPUTED_VALUE"""),"#REF!")</f>
        <v>#REF!</v>
      </c>
      <c r="BG309" s="296" t="str">
        <f>IFERROR(__xludf.DUMMYFUNCTION("""COMPUTED_VALUE"""),"#REF!")</f>
        <v>#REF!</v>
      </c>
      <c r="BH309" s="296" t="str">
        <f>IFERROR(__xludf.DUMMYFUNCTION("""COMPUTED_VALUE"""),"#REF!")</f>
        <v>#REF!</v>
      </c>
      <c r="BI309" s="295" t="str">
        <f>IFERROR(__xludf.DUMMYFUNCTION("""COMPUTED_VALUE"""),"#N/A")</f>
        <v>#N/A</v>
      </c>
      <c r="BJ309" s="292"/>
      <c r="BK309" s="346" t="str">
        <f>IFERROR(__xludf.DUMMYFUNCTION("""COMPUTED_VALUE"""),"#N/A")</f>
        <v>#N/A</v>
      </c>
      <c r="BL309" s="292"/>
      <c r="BM309" s="292"/>
      <c r="BN309" s="292"/>
      <c r="BO309" s="292"/>
      <c r="BP309" s="292"/>
      <c r="BQ309" s="292"/>
      <c r="BR309" s="292"/>
      <c r="BS309" s="292"/>
      <c r="BT309" s="292"/>
      <c r="BU309" s="292"/>
      <c r="BV309" s="292"/>
      <c r="BW309" s="292"/>
    </row>
    <row r="310">
      <c r="A310" s="292"/>
      <c r="B310" s="292" t="str">
        <f>IFERROR(__xludf.DUMMYFUNCTION("""COMPUTED_VALUE"""),"")</f>
        <v/>
      </c>
      <c r="C310" s="292"/>
      <c r="D310" s="292" t="str">
        <f>IFERROR(__xludf.DUMMYFUNCTION("""COMPUTED_VALUE"""),"")</f>
        <v/>
      </c>
      <c r="E310" s="292" t="str">
        <f>IFERROR(__xludf.DUMMYFUNCTION("""COMPUTED_VALUE"""),"")</f>
        <v/>
      </c>
      <c r="F310" s="292" t="str">
        <f>IFERROR(__xludf.DUMMYFUNCTION("""COMPUTED_VALUE"""),"")</f>
        <v/>
      </c>
      <c r="G310" s="292" t="str">
        <f>IFERROR(__xludf.DUMMYFUNCTION("""COMPUTED_VALUE"""),"")</f>
        <v/>
      </c>
      <c r="H310" s="292" t="str">
        <f>IFERROR(__xludf.DUMMYFUNCTION("""COMPUTED_VALUE"""),"")</f>
        <v/>
      </c>
      <c r="I310" s="292" t="str">
        <f>IFERROR(__xludf.DUMMYFUNCTION("""COMPUTED_VALUE"""),"")</f>
        <v/>
      </c>
      <c r="J310" s="292" t="str">
        <f>IFERROR(__xludf.DUMMYFUNCTION("""COMPUTED_VALUE"""),"")</f>
        <v/>
      </c>
      <c r="K310" s="292"/>
      <c r="L310" s="292"/>
      <c r="M310" s="292" t="str">
        <f>IFERROR(__xludf.DUMMYFUNCTION("""COMPUTED_VALUE"""),"")</f>
        <v/>
      </c>
      <c r="N310" s="292" t="str">
        <f>IFERROR(__xludf.DUMMYFUNCTION("""COMPUTED_VALUE"""),"")</f>
        <v/>
      </c>
      <c r="O310" s="292" t="str">
        <f>IFERROR(__xludf.DUMMYFUNCTION("""COMPUTED_VALUE"""),"")</f>
        <v/>
      </c>
      <c r="P310" s="292"/>
      <c r="Q310" s="292"/>
      <c r="R310" s="292"/>
      <c r="S310" s="292"/>
      <c r="T310" s="292"/>
      <c r="U310" s="292"/>
      <c r="V310" s="292"/>
      <c r="W310" s="292" t="b">
        <f>IFERROR(__xludf.DUMMYFUNCTION("""COMPUTED_VALUE"""),TRUE)</f>
        <v>1</v>
      </c>
      <c r="X310" s="292" t="str">
        <f>IFERROR(__xludf.DUMMYFUNCTION("""COMPUTED_VALUE"""),"#N/A")</f>
        <v>#N/A</v>
      </c>
      <c r="Y310" s="344" t="str">
        <f>IFERROR(__xludf.DUMMYFUNCTION("""COMPUTED_VALUE"""),"#N/A")</f>
        <v>#N/A</v>
      </c>
      <c r="Z310" s="343" t="str">
        <f>IFERROR(__xludf.DUMMYFUNCTION("""COMPUTED_VALUE"""),"#N/A")</f>
        <v>#N/A</v>
      </c>
      <c r="AA310" s="292" t="str">
        <f>IFERROR(__xludf.DUMMYFUNCTION("""COMPUTED_VALUE"""),"#N/A")</f>
        <v>#N/A</v>
      </c>
      <c r="AB310" s="292" t="str">
        <f>IFERROR(__xludf.DUMMYFUNCTION("""COMPUTED_VALUE"""),"#N/A")</f>
        <v>#N/A</v>
      </c>
      <c r="AC310" s="292" t="str">
        <f>IFERROR(__xludf.DUMMYFUNCTION("""COMPUTED_VALUE"""),"#N/A")</f>
        <v>#N/A</v>
      </c>
      <c r="AD310" s="292" t="str">
        <f>IFERROR(__xludf.DUMMYFUNCTION("""COMPUTED_VALUE"""),"#N/A")</f>
        <v>#N/A</v>
      </c>
      <c r="AE310" s="343" t="str">
        <f>IFERROR(__xludf.DUMMYFUNCTION("""COMPUTED_VALUE"""),"#N/A")</f>
        <v>#N/A</v>
      </c>
      <c r="AF310" s="292" t="str">
        <f>IFERROR(__xludf.DUMMYFUNCTION("""COMPUTED_VALUE"""),"#N/A")</f>
        <v>#N/A</v>
      </c>
      <c r="AG310" s="292"/>
      <c r="AH310" s="292" t="str">
        <f>IFERROR(__xludf.DUMMYFUNCTION("""COMPUTED_VALUE"""),"#N/A")</f>
        <v>#N/A</v>
      </c>
      <c r="AI310" s="292" t="str">
        <f>IFERROR(__xludf.DUMMYFUNCTION("""COMPUTED_VALUE"""),"#N/A")</f>
        <v>#N/A</v>
      </c>
      <c r="AJ310" s="292" t="str">
        <f>IFERROR(__xludf.DUMMYFUNCTION("""COMPUTED_VALUE"""),"#N/A")</f>
        <v>#N/A</v>
      </c>
      <c r="AK310" s="292" t="str">
        <f>IFERROR(__xludf.DUMMYFUNCTION("""COMPUTED_VALUE"""),"#N/A")</f>
        <v>#N/A</v>
      </c>
      <c r="AL310" s="292" t="str">
        <f>IFERROR(__xludf.DUMMYFUNCTION("""COMPUTED_VALUE"""),"#N/A")</f>
        <v>#N/A</v>
      </c>
      <c r="AM310" s="292" t="str">
        <f>IFERROR(__xludf.DUMMYFUNCTION("""COMPUTED_VALUE"""),"#N/A")</f>
        <v>#N/A</v>
      </c>
      <c r="AN310" s="292" t="str">
        <f>IFERROR(__xludf.DUMMYFUNCTION("""COMPUTED_VALUE"""),"#N/A")</f>
        <v>#N/A</v>
      </c>
      <c r="AO310" s="292" t="str">
        <f>IFERROR(__xludf.DUMMYFUNCTION("""COMPUTED_VALUE"""),"#N/A")</f>
        <v>#N/A</v>
      </c>
      <c r="AP310" s="292"/>
      <c r="AQ310" s="292"/>
      <c r="AR310" s="292"/>
      <c r="AS310" s="292"/>
      <c r="AT310" s="292"/>
      <c r="AU310" s="292"/>
      <c r="AV310" s="292"/>
      <c r="AW310" s="292"/>
      <c r="AX310" s="292"/>
      <c r="AY310" s="292"/>
      <c r="AZ310" s="292"/>
      <c r="BA310" s="292"/>
      <c r="BB310" s="292"/>
      <c r="BC310" s="292"/>
      <c r="BD310" s="292"/>
      <c r="BE310" s="292"/>
      <c r="BF310" s="296" t="str">
        <f>IFERROR(__xludf.DUMMYFUNCTION("""COMPUTED_VALUE"""),"#REF!")</f>
        <v>#REF!</v>
      </c>
      <c r="BG310" s="296" t="str">
        <f>IFERROR(__xludf.DUMMYFUNCTION("""COMPUTED_VALUE"""),"#REF!")</f>
        <v>#REF!</v>
      </c>
      <c r="BH310" s="296" t="str">
        <f>IFERROR(__xludf.DUMMYFUNCTION("""COMPUTED_VALUE"""),"#REF!")</f>
        <v>#REF!</v>
      </c>
      <c r="BI310" s="295" t="str">
        <f>IFERROR(__xludf.DUMMYFUNCTION("""COMPUTED_VALUE"""),"#N/A")</f>
        <v>#N/A</v>
      </c>
      <c r="BJ310" s="292"/>
      <c r="BK310" s="346" t="str">
        <f>IFERROR(__xludf.DUMMYFUNCTION("""COMPUTED_VALUE"""),"#N/A")</f>
        <v>#N/A</v>
      </c>
      <c r="BL310" s="292"/>
      <c r="BM310" s="292"/>
      <c r="BN310" s="292"/>
      <c r="BO310" s="292"/>
      <c r="BP310" s="292"/>
      <c r="BQ310" s="292"/>
      <c r="BR310" s="292"/>
      <c r="BS310" s="292"/>
      <c r="BT310" s="292"/>
      <c r="BU310" s="292"/>
      <c r="BV310" s="292"/>
      <c r="BW310" s="292"/>
    </row>
    <row r="311">
      <c r="A311" s="292"/>
      <c r="B311" s="292" t="str">
        <f>IFERROR(__xludf.DUMMYFUNCTION("""COMPUTED_VALUE"""),"")</f>
        <v/>
      </c>
      <c r="C311" s="292"/>
      <c r="D311" s="292" t="str">
        <f>IFERROR(__xludf.DUMMYFUNCTION("""COMPUTED_VALUE"""),"")</f>
        <v/>
      </c>
      <c r="E311" s="292" t="str">
        <f>IFERROR(__xludf.DUMMYFUNCTION("""COMPUTED_VALUE"""),"")</f>
        <v/>
      </c>
      <c r="F311" s="292"/>
      <c r="G311" s="292" t="str">
        <f>IFERROR(__xludf.DUMMYFUNCTION("""COMPUTED_VALUE"""),"")</f>
        <v/>
      </c>
      <c r="H311" s="292" t="str">
        <f>IFERROR(__xludf.DUMMYFUNCTION("""COMPUTED_VALUE"""),"")</f>
        <v/>
      </c>
      <c r="I311" s="292" t="str">
        <f>IFERROR(__xludf.DUMMYFUNCTION("""COMPUTED_VALUE"""),"")</f>
        <v/>
      </c>
      <c r="J311" s="292" t="str">
        <f>IFERROR(__xludf.DUMMYFUNCTION("""COMPUTED_VALUE"""),"")</f>
        <v/>
      </c>
      <c r="K311" s="292"/>
      <c r="L311" s="292"/>
      <c r="M311" s="292" t="str">
        <f>IFERROR(__xludf.DUMMYFUNCTION("""COMPUTED_VALUE"""),"")</f>
        <v/>
      </c>
      <c r="N311" s="292"/>
      <c r="O311" s="292" t="str">
        <f>IFERROR(__xludf.DUMMYFUNCTION("""COMPUTED_VALUE"""),"")</f>
        <v/>
      </c>
      <c r="P311" s="292"/>
      <c r="Q311" s="292"/>
      <c r="R311" s="292"/>
      <c r="S311" s="292"/>
      <c r="T311" s="292"/>
      <c r="U311" s="292"/>
      <c r="V311" s="292"/>
      <c r="W311" s="292" t="b">
        <f>IFERROR(__xludf.DUMMYFUNCTION("""COMPUTED_VALUE"""),TRUE)</f>
        <v>1</v>
      </c>
      <c r="X311" s="292" t="str">
        <f>IFERROR(__xludf.DUMMYFUNCTION("""COMPUTED_VALUE"""),"#N/A")</f>
        <v>#N/A</v>
      </c>
      <c r="Y311" s="344" t="str">
        <f>IFERROR(__xludf.DUMMYFUNCTION("""COMPUTED_VALUE"""),"#N/A")</f>
        <v>#N/A</v>
      </c>
      <c r="Z311" s="343" t="str">
        <f>IFERROR(__xludf.DUMMYFUNCTION("""COMPUTED_VALUE"""),"#N/A")</f>
        <v>#N/A</v>
      </c>
      <c r="AA311" s="292" t="str">
        <f>IFERROR(__xludf.DUMMYFUNCTION("""COMPUTED_VALUE"""),"#N/A")</f>
        <v>#N/A</v>
      </c>
      <c r="AB311" s="292" t="str">
        <f>IFERROR(__xludf.DUMMYFUNCTION("""COMPUTED_VALUE"""),"#N/A")</f>
        <v>#N/A</v>
      </c>
      <c r="AC311" s="292" t="str">
        <f>IFERROR(__xludf.DUMMYFUNCTION("""COMPUTED_VALUE"""),"#N/A")</f>
        <v>#N/A</v>
      </c>
      <c r="AD311" s="292" t="str">
        <f>IFERROR(__xludf.DUMMYFUNCTION("""COMPUTED_VALUE"""),"#N/A")</f>
        <v>#N/A</v>
      </c>
      <c r="AE311" s="343" t="str">
        <f>IFERROR(__xludf.DUMMYFUNCTION("""COMPUTED_VALUE"""),"#N/A")</f>
        <v>#N/A</v>
      </c>
      <c r="AF311" s="292" t="str">
        <f>IFERROR(__xludf.DUMMYFUNCTION("""COMPUTED_VALUE"""),"#N/A")</f>
        <v>#N/A</v>
      </c>
      <c r="AG311" s="292"/>
      <c r="AH311" s="292" t="str">
        <f>IFERROR(__xludf.DUMMYFUNCTION("""COMPUTED_VALUE"""),"#N/A")</f>
        <v>#N/A</v>
      </c>
      <c r="AI311" s="292" t="str">
        <f>IFERROR(__xludf.DUMMYFUNCTION("""COMPUTED_VALUE"""),"#N/A")</f>
        <v>#N/A</v>
      </c>
      <c r="AJ311" s="292" t="str">
        <f>IFERROR(__xludf.DUMMYFUNCTION("""COMPUTED_VALUE"""),"#N/A")</f>
        <v>#N/A</v>
      </c>
      <c r="AK311" s="292" t="str">
        <f>IFERROR(__xludf.DUMMYFUNCTION("""COMPUTED_VALUE"""),"#N/A")</f>
        <v>#N/A</v>
      </c>
      <c r="AL311" s="292" t="str">
        <f>IFERROR(__xludf.DUMMYFUNCTION("""COMPUTED_VALUE"""),"#N/A")</f>
        <v>#N/A</v>
      </c>
      <c r="AM311" s="292" t="str">
        <f>IFERROR(__xludf.DUMMYFUNCTION("""COMPUTED_VALUE"""),"#N/A")</f>
        <v>#N/A</v>
      </c>
      <c r="AN311" s="292" t="str">
        <f>IFERROR(__xludf.DUMMYFUNCTION("""COMPUTED_VALUE"""),"#N/A")</f>
        <v>#N/A</v>
      </c>
      <c r="AO311" s="292" t="str">
        <f>IFERROR(__xludf.DUMMYFUNCTION("""COMPUTED_VALUE"""),"#N/A")</f>
        <v>#N/A</v>
      </c>
      <c r="AP311" s="292"/>
      <c r="AQ311" s="292"/>
      <c r="AR311" s="292"/>
      <c r="AS311" s="292"/>
      <c r="AT311" s="292"/>
      <c r="AU311" s="292"/>
      <c r="AV311" s="292"/>
      <c r="AW311" s="292"/>
      <c r="AX311" s="292"/>
      <c r="AY311" s="292"/>
      <c r="AZ311" s="292"/>
      <c r="BA311" s="292"/>
      <c r="BB311" s="292"/>
      <c r="BC311" s="292"/>
      <c r="BD311" s="292"/>
      <c r="BE311" s="292"/>
      <c r="BF311" s="296" t="str">
        <f>IFERROR(__xludf.DUMMYFUNCTION("""COMPUTED_VALUE"""),"#REF!")</f>
        <v>#REF!</v>
      </c>
      <c r="BG311" s="296" t="str">
        <f>IFERROR(__xludf.DUMMYFUNCTION("""COMPUTED_VALUE"""),"#REF!")</f>
        <v>#REF!</v>
      </c>
      <c r="BH311" s="296" t="str">
        <f>IFERROR(__xludf.DUMMYFUNCTION("""COMPUTED_VALUE"""),"#REF!")</f>
        <v>#REF!</v>
      </c>
      <c r="BI311" s="295" t="str">
        <f>IFERROR(__xludf.DUMMYFUNCTION("""COMPUTED_VALUE"""),"#N/A")</f>
        <v>#N/A</v>
      </c>
      <c r="BJ311" s="292"/>
      <c r="BK311" s="346" t="str">
        <f>IFERROR(__xludf.DUMMYFUNCTION("""COMPUTED_VALUE"""),"#N/A")</f>
        <v>#N/A</v>
      </c>
      <c r="BL311" s="292"/>
      <c r="BM311" s="292"/>
      <c r="BN311" s="292"/>
      <c r="BO311" s="292"/>
      <c r="BP311" s="292"/>
      <c r="BQ311" s="292"/>
      <c r="BR311" s="292"/>
      <c r="BS311" s="292"/>
      <c r="BT311" s="292"/>
      <c r="BU311" s="292"/>
      <c r="BV311" s="292"/>
      <c r="BW311" s="292"/>
    </row>
    <row r="312">
      <c r="A312" s="292"/>
      <c r="B312" s="292" t="str">
        <f>IFERROR(__xludf.DUMMYFUNCTION("""COMPUTED_VALUE"""),"")</f>
        <v/>
      </c>
      <c r="C312" s="292"/>
      <c r="D312" s="292" t="str">
        <f>IFERROR(__xludf.DUMMYFUNCTION("""COMPUTED_VALUE"""),"")</f>
        <v/>
      </c>
      <c r="E312" s="292" t="str">
        <f>IFERROR(__xludf.DUMMYFUNCTION("""COMPUTED_VALUE"""),"")</f>
        <v/>
      </c>
      <c r="F312" s="292"/>
      <c r="G312" s="292" t="str">
        <f>IFERROR(__xludf.DUMMYFUNCTION("""COMPUTED_VALUE"""),"")</f>
        <v/>
      </c>
      <c r="H312" s="292" t="str">
        <f>IFERROR(__xludf.DUMMYFUNCTION("""COMPUTED_VALUE"""),"")</f>
        <v/>
      </c>
      <c r="I312" s="292" t="str">
        <f>IFERROR(__xludf.DUMMYFUNCTION("""COMPUTED_VALUE"""),"")</f>
        <v/>
      </c>
      <c r="J312" s="292" t="str">
        <f>IFERROR(__xludf.DUMMYFUNCTION("""COMPUTED_VALUE"""),"")</f>
        <v/>
      </c>
      <c r="K312" s="292"/>
      <c r="L312" s="292"/>
      <c r="M312" s="292" t="str">
        <f>IFERROR(__xludf.DUMMYFUNCTION("""COMPUTED_VALUE"""),"")</f>
        <v/>
      </c>
      <c r="N312" s="292"/>
      <c r="O312" s="292" t="str">
        <f>IFERROR(__xludf.DUMMYFUNCTION("""COMPUTED_VALUE"""),"")</f>
        <v/>
      </c>
      <c r="P312" s="292"/>
      <c r="Q312" s="292"/>
      <c r="R312" s="292"/>
      <c r="S312" s="292"/>
      <c r="T312" s="292"/>
      <c r="U312" s="292"/>
      <c r="V312" s="292"/>
      <c r="W312" s="292" t="b">
        <f>IFERROR(__xludf.DUMMYFUNCTION("""COMPUTED_VALUE"""),TRUE)</f>
        <v>1</v>
      </c>
      <c r="X312" s="292" t="str">
        <f>IFERROR(__xludf.DUMMYFUNCTION("""COMPUTED_VALUE"""),"#N/A")</f>
        <v>#N/A</v>
      </c>
      <c r="Y312" s="344" t="str">
        <f>IFERROR(__xludf.DUMMYFUNCTION("""COMPUTED_VALUE"""),"#N/A")</f>
        <v>#N/A</v>
      </c>
      <c r="Z312" s="343" t="str">
        <f>IFERROR(__xludf.DUMMYFUNCTION("""COMPUTED_VALUE"""),"#N/A")</f>
        <v>#N/A</v>
      </c>
      <c r="AA312" s="292" t="str">
        <f>IFERROR(__xludf.DUMMYFUNCTION("""COMPUTED_VALUE"""),"#N/A")</f>
        <v>#N/A</v>
      </c>
      <c r="AB312" s="292" t="str">
        <f>IFERROR(__xludf.DUMMYFUNCTION("""COMPUTED_VALUE"""),"#N/A")</f>
        <v>#N/A</v>
      </c>
      <c r="AC312" s="292" t="str">
        <f>IFERROR(__xludf.DUMMYFUNCTION("""COMPUTED_VALUE"""),"#N/A")</f>
        <v>#N/A</v>
      </c>
      <c r="AD312" s="292" t="str">
        <f>IFERROR(__xludf.DUMMYFUNCTION("""COMPUTED_VALUE"""),"#N/A")</f>
        <v>#N/A</v>
      </c>
      <c r="AE312" s="343" t="str">
        <f>IFERROR(__xludf.DUMMYFUNCTION("""COMPUTED_VALUE"""),"#N/A")</f>
        <v>#N/A</v>
      </c>
      <c r="AF312" s="292" t="str">
        <f>IFERROR(__xludf.DUMMYFUNCTION("""COMPUTED_VALUE"""),"#N/A")</f>
        <v>#N/A</v>
      </c>
      <c r="AG312" s="292"/>
      <c r="AH312" s="292" t="str">
        <f>IFERROR(__xludf.DUMMYFUNCTION("""COMPUTED_VALUE"""),"#N/A")</f>
        <v>#N/A</v>
      </c>
      <c r="AI312" s="292" t="str">
        <f>IFERROR(__xludf.DUMMYFUNCTION("""COMPUTED_VALUE"""),"#N/A")</f>
        <v>#N/A</v>
      </c>
      <c r="AJ312" s="292" t="str">
        <f>IFERROR(__xludf.DUMMYFUNCTION("""COMPUTED_VALUE"""),"#N/A")</f>
        <v>#N/A</v>
      </c>
      <c r="AK312" s="292" t="str">
        <f>IFERROR(__xludf.DUMMYFUNCTION("""COMPUTED_VALUE"""),"#N/A")</f>
        <v>#N/A</v>
      </c>
      <c r="AL312" s="292" t="str">
        <f>IFERROR(__xludf.DUMMYFUNCTION("""COMPUTED_VALUE"""),"#N/A")</f>
        <v>#N/A</v>
      </c>
      <c r="AM312" s="292" t="str">
        <f>IFERROR(__xludf.DUMMYFUNCTION("""COMPUTED_VALUE"""),"#N/A")</f>
        <v>#N/A</v>
      </c>
      <c r="AN312" s="292" t="str">
        <f>IFERROR(__xludf.DUMMYFUNCTION("""COMPUTED_VALUE"""),"#N/A")</f>
        <v>#N/A</v>
      </c>
      <c r="AO312" s="292" t="str">
        <f>IFERROR(__xludf.DUMMYFUNCTION("""COMPUTED_VALUE"""),"#N/A")</f>
        <v>#N/A</v>
      </c>
      <c r="AP312" s="292"/>
      <c r="AQ312" s="292"/>
      <c r="AR312" s="292"/>
      <c r="AS312" s="292"/>
      <c r="AT312" s="292"/>
      <c r="AU312" s="292"/>
      <c r="AV312" s="292"/>
      <c r="AW312" s="292"/>
      <c r="AX312" s="292"/>
      <c r="AY312" s="292"/>
      <c r="AZ312" s="292"/>
      <c r="BA312" s="292"/>
      <c r="BB312" s="292"/>
      <c r="BC312" s="292"/>
      <c r="BD312" s="292"/>
      <c r="BE312" s="292"/>
      <c r="BF312" s="296" t="str">
        <f>IFERROR(__xludf.DUMMYFUNCTION("""COMPUTED_VALUE"""),"#REF!")</f>
        <v>#REF!</v>
      </c>
      <c r="BG312" s="296" t="str">
        <f>IFERROR(__xludf.DUMMYFUNCTION("""COMPUTED_VALUE"""),"#REF!")</f>
        <v>#REF!</v>
      </c>
      <c r="BH312" s="296" t="str">
        <f>IFERROR(__xludf.DUMMYFUNCTION("""COMPUTED_VALUE"""),"#REF!")</f>
        <v>#REF!</v>
      </c>
      <c r="BI312" s="295" t="str">
        <f>IFERROR(__xludf.DUMMYFUNCTION("""COMPUTED_VALUE"""),"#N/A")</f>
        <v>#N/A</v>
      </c>
      <c r="BJ312" s="292"/>
      <c r="BK312" s="346" t="str">
        <f>IFERROR(__xludf.DUMMYFUNCTION("""COMPUTED_VALUE"""),"#N/A")</f>
        <v>#N/A</v>
      </c>
      <c r="BL312" s="292"/>
      <c r="BM312" s="292"/>
      <c r="BN312" s="292"/>
      <c r="BO312" s="292"/>
      <c r="BP312" s="292"/>
      <c r="BQ312" s="292"/>
      <c r="BR312" s="292"/>
      <c r="BS312" s="292"/>
      <c r="BT312" s="292"/>
      <c r="BU312" s="292"/>
      <c r="BV312" s="292"/>
      <c r="BW312" s="292"/>
    </row>
    <row r="313">
      <c r="A313" s="292"/>
      <c r="B313" s="292" t="str">
        <f>IFERROR(__xludf.DUMMYFUNCTION("""COMPUTED_VALUE"""),"")</f>
        <v/>
      </c>
      <c r="C313" s="292"/>
      <c r="D313" s="292" t="str">
        <f>IFERROR(__xludf.DUMMYFUNCTION("""COMPUTED_VALUE"""),"")</f>
        <v/>
      </c>
      <c r="E313" s="292" t="str">
        <f>IFERROR(__xludf.DUMMYFUNCTION("""COMPUTED_VALUE"""),"")</f>
        <v/>
      </c>
      <c r="F313" s="292"/>
      <c r="G313" s="292" t="str">
        <f>IFERROR(__xludf.DUMMYFUNCTION("""COMPUTED_VALUE"""),"")</f>
        <v/>
      </c>
      <c r="H313" s="292" t="str">
        <f>IFERROR(__xludf.DUMMYFUNCTION("""COMPUTED_VALUE"""),"")</f>
        <v/>
      </c>
      <c r="I313" s="292" t="str">
        <f>IFERROR(__xludf.DUMMYFUNCTION("""COMPUTED_VALUE"""),"")</f>
        <v/>
      </c>
      <c r="J313" s="292" t="str">
        <f>IFERROR(__xludf.DUMMYFUNCTION("""COMPUTED_VALUE"""),"")</f>
        <v/>
      </c>
      <c r="K313" s="292"/>
      <c r="L313" s="292"/>
      <c r="M313" s="292" t="str">
        <f>IFERROR(__xludf.DUMMYFUNCTION("""COMPUTED_VALUE"""),"")</f>
        <v/>
      </c>
      <c r="N313" s="292"/>
      <c r="O313" s="292" t="str">
        <f>IFERROR(__xludf.DUMMYFUNCTION("""COMPUTED_VALUE"""),"")</f>
        <v/>
      </c>
      <c r="P313" s="292"/>
      <c r="Q313" s="292"/>
      <c r="R313" s="292"/>
      <c r="S313" s="292"/>
      <c r="T313" s="292"/>
      <c r="U313" s="292"/>
      <c r="V313" s="292"/>
      <c r="W313" s="292" t="b">
        <f>IFERROR(__xludf.DUMMYFUNCTION("""COMPUTED_VALUE"""),TRUE)</f>
        <v>1</v>
      </c>
      <c r="X313" s="292" t="str">
        <f>IFERROR(__xludf.DUMMYFUNCTION("""COMPUTED_VALUE"""),"#N/A")</f>
        <v>#N/A</v>
      </c>
      <c r="Y313" s="344" t="str">
        <f>IFERROR(__xludf.DUMMYFUNCTION("""COMPUTED_VALUE"""),"#N/A")</f>
        <v>#N/A</v>
      </c>
      <c r="Z313" s="343" t="str">
        <f>IFERROR(__xludf.DUMMYFUNCTION("""COMPUTED_VALUE"""),"#N/A")</f>
        <v>#N/A</v>
      </c>
      <c r="AA313" s="292" t="str">
        <f>IFERROR(__xludf.DUMMYFUNCTION("""COMPUTED_VALUE"""),"#N/A")</f>
        <v>#N/A</v>
      </c>
      <c r="AB313" s="292" t="str">
        <f>IFERROR(__xludf.DUMMYFUNCTION("""COMPUTED_VALUE"""),"#N/A")</f>
        <v>#N/A</v>
      </c>
      <c r="AC313" s="292" t="str">
        <f>IFERROR(__xludf.DUMMYFUNCTION("""COMPUTED_VALUE"""),"#N/A")</f>
        <v>#N/A</v>
      </c>
      <c r="AD313" s="292" t="str">
        <f>IFERROR(__xludf.DUMMYFUNCTION("""COMPUTED_VALUE"""),"#N/A")</f>
        <v>#N/A</v>
      </c>
      <c r="AE313" s="343" t="str">
        <f>IFERROR(__xludf.DUMMYFUNCTION("""COMPUTED_VALUE"""),"#N/A")</f>
        <v>#N/A</v>
      </c>
      <c r="AF313" s="292" t="str">
        <f>IFERROR(__xludf.DUMMYFUNCTION("""COMPUTED_VALUE"""),"#N/A")</f>
        <v>#N/A</v>
      </c>
      <c r="AG313" s="292"/>
      <c r="AH313" s="292" t="str">
        <f>IFERROR(__xludf.DUMMYFUNCTION("""COMPUTED_VALUE"""),"#N/A")</f>
        <v>#N/A</v>
      </c>
      <c r="AI313" s="292" t="str">
        <f>IFERROR(__xludf.DUMMYFUNCTION("""COMPUTED_VALUE"""),"#N/A")</f>
        <v>#N/A</v>
      </c>
      <c r="AJ313" s="292" t="str">
        <f>IFERROR(__xludf.DUMMYFUNCTION("""COMPUTED_VALUE"""),"#N/A")</f>
        <v>#N/A</v>
      </c>
      <c r="AK313" s="292" t="str">
        <f>IFERROR(__xludf.DUMMYFUNCTION("""COMPUTED_VALUE"""),"#N/A")</f>
        <v>#N/A</v>
      </c>
      <c r="AL313" s="292" t="str">
        <f>IFERROR(__xludf.DUMMYFUNCTION("""COMPUTED_VALUE"""),"#N/A")</f>
        <v>#N/A</v>
      </c>
      <c r="AM313" s="292" t="str">
        <f>IFERROR(__xludf.DUMMYFUNCTION("""COMPUTED_VALUE"""),"#N/A")</f>
        <v>#N/A</v>
      </c>
      <c r="AN313" s="292" t="str">
        <f>IFERROR(__xludf.DUMMYFUNCTION("""COMPUTED_VALUE"""),"#N/A")</f>
        <v>#N/A</v>
      </c>
      <c r="AO313" s="292" t="str">
        <f>IFERROR(__xludf.DUMMYFUNCTION("""COMPUTED_VALUE"""),"#N/A")</f>
        <v>#N/A</v>
      </c>
      <c r="AP313" s="292"/>
      <c r="AQ313" s="292"/>
      <c r="AR313" s="292"/>
      <c r="AS313" s="292"/>
      <c r="AT313" s="292"/>
      <c r="AU313" s="292"/>
      <c r="AV313" s="292"/>
      <c r="AW313" s="292"/>
      <c r="AX313" s="292"/>
      <c r="AY313" s="292"/>
      <c r="AZ313" s="292"/>
      <c r="BA313" s="292"/>
      <c r="BB313" s="292"/>
      <c r="BC313" s="292"/>
      <c r="BD313" s="292"/>
      <c r="BE313" s="292"/>
      <c r="BF313" s="296" t="str">
        <f>IFERROR(__xludf.DUMMYFUNCTION("""COMPUTED_VALUE"""),"#REF!")</f>
        <v>#REF!</v>
      </c>
      <c r="BG313" s="296" t="str">
        <f>IFERROR(__xludf.DUMMYFUNCTION("""COMPUTED_VALUE"""),"#REF!")</f>
        <v>#REF!</v>
      </c>
      <c r="BH313" s="296" t="str">
        <f>IFERROR(__xludf.DUMMYFUNCTION("""COMPUTED_VALUE"""),"#REF!")</f>
        <v>#REF!</v>
      </c>
      <c r="BI313" s="295" t="str">
        <f>IFERROR(__xludf.DUMMYFUNCTION("""COMPUTED_VALUE"""),"#N/A")</f>
        <v>#N/A</v>
      </c>
      <c r="BJ313" s="292"/>
      <c r="BK313" s="346" t="str">
        <f>IFERROR(__xludf.DUMMYFUNCTION("""COMPUTED_VALUE"""),"#N/A")</f>
        <v>#N/A</v>
      </c>
      <c r="BL313" s="292"/>
      <c r="BM313" s="292"/>
      <c r="BN313" s="292"/>
      <c r="BO313" s="292"/>
      <c r="BP313" s="292"/>
      <c r="BQ313" s="292"/>
      <c r="BR313" s="292"/>
      <c r="BS313" s="292"/>
      <c r="BT313" s="292"/>
      <c r="BU313" s="292"/>
      <c r="BV313" s="292"/>
      <c r="BW313" s="292"/>
    </row>
    <row r="314">
      <c r="A314" s="292"/>
      <c r="B314" s="292" t="str">
        <f>IFERROR(__xludf.DUMMYFUNCTION("""COMPUTED_VALUE"""),"")</f>
        <v/>
      </c>
      <c r="C314" s="292"/>
      <c r="D314" s="292" t="str">
        <f>IFERROR(__xludf.DUMMYFUNCTION("""COMPUTED_VALUE"""),"")</f>
        <v/>
      </c>
      <c r="E314" s="292" t="str">
        <f>IFERROR(__xludf.DUMMYFUNCTION("""COMPUTED_VALUE"""),"")</f>
        <v/>
      </c>
      <c r="F314" s="292"/>
      <c r="G314" s="292" t="str">
        <f>IFERROR(__xludf.DUMMYFUNCTION("""COMPUTED_VALUE"""),"")</f>
        <v/>
      </c>
      <c r="H314" s="292" t="str">
        <f>IFERROR(__xludf.DUMMYFUNCTION("""COMPUTED_VALUE"""),"")</f>
        <v/>
      </c>
      <c r="I314" s="292" t="str">
        <f>IFERROR(__xludf.DUMMYFUNCTION("""COMPUTED_VALUE"""),"")</f>
        <v/>
      </c>
      <c r="J314" s="292" t="str">
        <f>IFERROR(__xludf.DUMMYFUNCTION("""COMPUTED_VALUE"""),"")</f>
        <v/>
      </c>
      <c r="K314" s="292"/>
      <c r="L314" s="292"/>
      <c r="M314" s="292" t="str">
        <f>IFERROR(__xludf.DUMMYFUNCTION("""COMPUTED_VALUE"""),"")</f>
        <v/>
      </c>
      <c r="N314" s="292"/>
      <c r="O314" s="292" t="str">
        <f>IFERROR(__xludf.DUMMYFUNCTION("""COMPUTED_VALUE"""),"")</f>
        <v/>
      </c>
      <c r="P314" s="292"/>
      <c r="Q314" s="292"/>
      <c r="R314" s="292"/>
      <c r="S314" s="292"/>
      <c r="T314" s="292"/>
      <c r="U314" s="292"/>
      <c r="V314" s="292"/>
      <c r="W314" s="292" t="b">
        <f>IFERROR(__xludf.DUMMYFUNCTION("""COMPUTED_VALUE"""),TRUE)</f>
        <v>1</v>
      </c>
      <c r="X314" s="292" t="str">
        <f>IFERROR(__xludf.DUMMYFUNCTION("""COMPUTED_VALUE"""),"#N/A")</f>
        <v>#N/A</v>
      </c>
      <c r="Y314" s="344" t="str">
        <f>IFERROR(__xludf.DUMMYFUNCTION("""COMPUTED_VALUE"""),"#N/A")</f>
        <v>#N/A</v>
      </c>
      <c r="Z314" s="343" t="str">
        <f>IFERROR(__xludf.DUMMYFUNCTION("""COMPUTED_VALUE"""),"#N/A")</f>
        <v>#N/A</v>
      </c>
      <c r="AA314" s="292" t="str">
        <f>IFERROR(__xludf.DUMMYFUNCTION("""COMPUTED_VALUE"""),"#N/A")</f>
        <v>#N/A</v>
      </c>
      <c r="AB314" s="292" t="str">
        <f>IFERROR(__xludf.DUMMYFUNCTION("""COMPUTED_VALUE"""),"#N/A")</f>
        <v>#N/A</v>
      </c>
      <c r="AC314" s="292" t="str">
        <f>IFERROR(__xludf.DUMMYFUNCTION("""COMPUTED_VALUE"""),"#N/A")</f>
        <v>#N/A</v>
      </c>
      <c r="AD314" s="292" t="str">
        <f>IFERROR(__xludf.DUMMYFUNCTION("""COMPUTED_VALUE"""),"#N/A")</f>
        <v>#N/A</v>
      </c>
      <c r="AE314" s="343" t="str">
        <f>IFERROR(__xludf.DUMMYFUNCTION("""COMPUTED_VALUE"""),"#N/A")</f>
        <v>#N/A</v>
      </c>
      <c r="AF314" s="292" t="str">
        <f>IFERROR(__xludf.DUMMYFUNCTION("""COMPUTED_VALUE"""),"#N/A")</f>
        <v>#N/A</v>
      </c>
      <c r="AG314" s="292"/>
      <c r="AH314" s="292" t="str">
        <f>IFERROR(__xludf.DUMMYFUNCTION("""COMPUTED_VALUE"""),"#N/A")</f>
        <v>#N/A</v>
      </c>
      <c r="AI314" s="292" t="str">
        <f>IFERROR(__xludf.DUMMYFUNCTION("""COMPUTED_VALUE"""),"#N/A")</f>
        <v>#N/A</v>
      </c>
      <c r="AJ314" s="292" t="str">
        <f>IFERROR(__xludf.DUMMYFUNCTION("""COMPUTED_VALUE"""),"#N/A")</f>
        <v>#N/A</v>
      </c>
      <c r="AK314" s="292" t="str">
        <f>IFERROR(__xludf.DUMMYFUNCTION("""COMPUTED_VALUE"""),"#N/A")</f>
        <v>#N/A</v>
      </c>
      <c r="AL314" s="292" t="str">
        <f>IFERROR(__xludf.DUMMYFUNCTION("""COMPUTED_VALUE"""),"#N/A")</f>
        <v>#N/A</v>
      </c>
      <c r="AM314" s="292" t="str">
        <f>IFERROR(__xludf.DUMMYFUNCTION("""COMPUTED_VALUE"""),"#N/A")</f>
        <v>#N/A</v>
      </c>
      <c r="AN314" s="292" t="str">
        <f>IFERROR(__xludf.DUMMYFUNCTION("""COMPUTED_VALUE"""),"#N/A")</f>
        <v>#N/A</v>
      </c>
      <c r="AO314" s="292" t="str">
        <f>IFERROR(__xludf.DUMMYFUNCTION("""COMPUTED_VALUE"""),"#N/A")</f>
        <v>#N/A</v>
      </c>
      <c r="AP314" s="292"/>
      <c r="AQ314" s="292"/>
      <c r="AR314" s="292"/>
      <c r="AS314" s="292"/>
      <c r="AT314" s="292"/>
      <c r="AU314" s="292"/>
      <c r="AV314" s="292"/>
      <c r="AW314" s="292"/>
      <c r="AX314" s="292"/>
      <c r="AY314" s="292"/>
      <c r="AZ314" s="292"/>
      <c r="BA314" s="292"/>
      <c r="BB314" s="292"/>
      <c r="BC314" s="292"/>
      <c r="BD314" s="292"/>
      <c r="BE314" s="292"/>
      <c r="BF314" s="296" t="str">
        <f>IFERROR(__xludf.DUMMYFUNCTION("""COMPUTED_VALUE"""),"#REF!")</f>
        <v>#REF!</v>
      </c>
      <c r="BG314" s="296" t="str">
        <f>IFERROR(__xludf.DUMMYFUNCTION("""COMPUTED_VALUE"""),"#REF!")</f>
        <v>#REF!</v>
      </c>
      <c r="BH314" s="296" t="str">
        <f>IFERROR(__xludf.DUMMYFUNCTION("""COMPUTED_VALUE"""),"#REF!")</f>
        <v>#REF!</v>
      </c>
      <c r="BI314" s="295" t="str">
        <f>IFERROR(__xludf.DUMMYFUNCTION("""COMPUTED_VALUE"""),"#N/A")</f>
        <v>#N/A</v>
      </c>
      <c r="BJ314" s="292"/>
      <c r="BK314" s="346" t="str">
        <f>IFERROR(__xludf.DUMMYFUNCTION("""COMPUTED_VALUE"""),"#N/A")</f>
        <v>#N/A</v>
      </c>
      <c r="BL314" s="292"/>
      <c r="BM314" s="292"/>
      <c r="BN314" s="292"/>
      <c r="BO314" s="292"/>
      <c r="BP314" s="292"/>
      <c r="BQ314" s="292"/>
      <c r="BR314" s="292"/>
      <c r="BS314" s="292"/>
      <c r="BT314" s="292"/>
      <c r="BU314" s="292"/>
      <c r="BV314" s="292"/>
      <c r="BW314" s="292"/>
    </row>
    <row r="315">
      <c r="A315" s="292"/>
      <c r="B315" s="292" t="str">
        <f>IFERROR(__xludf.DUMMYFUNCTION("""COMPUTED_VALUE"""),"")</f>
        <v/>
      </c>
      <c r="C315" s="292"/>
      <c r="D315" s="292" t="str">
        <f>IFERROR(__xludf.DUMMYFUNCTION("""COMPUTED_VALUE"""),"")</f>
        <v/>
      </c>
      <c r="E315" s="292" t="str">
        <f>IFERROR(__xludf.DUMMYFUNCTION("""COMPUTED_VALUE"""),"")</f>
        <v/>
      </c>
      <c r="F315" s="292"/>
      <c r="G315" s="292" t="str">
        <f>IFERROR(__xludf.DUMMYFUNCTION("""COMPUTED_VALUE"""),"")</f>
        <v/>
      </c>
      <c r="H315" s="292" t="str">
        <f>IFERROR(__xludf.DUMMYFUNCTION("""COMPUTED_VALUE"""),"")</f>
        <v/>
      </c>
      <c r="I315" s="292" t="str">
        <f>IFERROR(__xludf.DUMMYFUNCTION("""COMPUTED_VALUE"""),"")</f>
        <v/>
      </c>
      <c r="J315" s="292" t="str">
        <f>IFERROR(__xludf.DUMMYFUNCTION("""COMPUTED_VALUE"""),"")</f>
        <v/>
      </c>
      <c r="K315" s="292"/>
      <c r="L315" s="292"/>
      <c r="M315" s="292" t="str">
        <f>IFERROR(__xludf.DUMMYFUNCTION("""COMPUTED_VALUE"""),"")</f>
        <v/>
      </c>
      <c r="N315" s="292"/>
      <c r="O315" s="292" t="str">
        <f>IFERROR(__xludf.DUMMYFUNCTION("""COMPUTED_VALUE"""),"")</f>
        <v/>
      </c>
      <c r="P315" s="292"/>
      <c r="Q315" s="292"/>
      <c r="R315" s="292"/>
      <c r="S315" s="292"/>
      <c r="T315" s="292"/>
      <c r="U315" s="292"/>
      <c r="V315" s="292"/>
      <c r="W315" s="292" t="b">
        <f>IFERROR(__xludf.DUMMYFUNCTION("""COMPUTED_VALUE"""),TRUE)</f>
        <v>1</v>
      </c>
      <c r="X315" s="292" t="str">
        <f>IFERROR(__xludf.DUMMYFUNCTION("""COMPUTED_VALUE"""),"#N/A")</f>
        <v>#N/A</v>
      </c>
      <c r="Y315" s="344" t="str">
        <f>IFERROR(__xludf.DUMMYFUNCTION("""COMPUTED_VALUE"""),"#N/A")</f>
        <v>#N/A</v>
      </c>
      <c r="Z315" s="343" t="str">
        <f>IFERROR(__xludf.DUMMYFUNCTION("""COMPUTED_VALUE"""),"#N/A")</f>
        <v>#N/A</v>
      </c>
      <c r="AA315" s="292" t="str">
        <f>IFERROR(__xludf.DUMMYFUNCTION("""COMPUTED_VALUE"""),"#N/A")</f>
        <v>#N/A</v>
      </c>
      <c r="AB315" s="292" t="str">
        <f>IFERROR(__xludf.DUMMYFUNCTION("""COMPUTED_VALUE"""),"#N/A")</f>
        <v>#N/A</v>
      </c>
      <c r="AC315" s="292" t="str">
        <f>IFERROR(__xludf.DUMMYFUNCTION("""COMPUTED_VALUE"""),"#N/A")</f>
        <v>#N/A</v>
      </c>
      <c r="AD315" s="292" t="str">
        <f>IFERROR(__xludf.DUMMYFUNCTION("""COMPUTED_VALUE"""),"#N/A")</f>
        <v>#N/A</v>
      </c>
      <c r="AE315" s="343" t="str">
        <f>IFERROR(__xludf.DUMMYFUNCTION("""COMPUTED_VALUE"""),"#N/A")</f>
        <v>#N/A</v>
      </c>
      <c r="AF315" s="292" t="str">
        <f>IFERROR(__xludf.DUMMYFUNCTION("""COMPUTED_VALUE"""),"#N/A")</f>
        <v>#N/A</v>
      </c>
      <c r="AG315" s="292"/>
      <c r="AH315" s="292" t="str">
        <f>IFERROR(__xludf.DUMMYFUNCTION("""COMPUTED_VALUE"""),"#N/A")</f>
        <v>#N/A</v>
      </c>
      <c r="AI315" s="292" t="str">
        <f>IFERROR(__xludf.DUMMYFUNCTION("""COMPUTED_VALUE"""),"#N/A")</f>
        <v>#N/A</v>
      </c>
      <c r="AJ315" s="292" t="str">
        <f>IFERROR(__xludf.DUMMYFUNCTION("""COMPUTED_VALUE"""),"#N/A")</f>
        <v>#N/A</v>
      </c>
      <c r="AK315" s="292" t="str">
        <f>IFERROR(__xludf.DUMMYFUNCTION("""COMPUTED_VALUE"""),"#N/A")</f>
        <v>#N/A</v>
      </c>
      <c r="AL315" s="292" t="str">
        <f>IFERROR(__xludf.DUMMYFUNCTION("""COMPUTED_VALUE"""),"#N/A")</f>
        <v>#N/A</v>
      </c>
      <c r="AM315" s="292" t="str">
        <f>IFERROR(__xludf.DUMMYFUNCTION("""COMPUTED_VALUE"""),"#N/A")</f>
        <v>#N/A</v>
      </c>
      <c r="AN315" s="292" t="str">
        <f>IFERROR(__xludf.DUMMYFUNCTION("""COMPUTED_VALUE"""),"#N/A")</f>
        <v>#N/A</v>
      </c>
      <c r="AO315" s="292" t="str">
        <f>IFERROR(__xludf.DUMMYFUNCTION("""COMPUTED_VALUE"""),"#N/A")</f>
        <v>#N/A</v>
      </c>
      <c r="AP315" s="292"/>
      <c r="AQ315" s="292"/>
      <c r="AR315" s="292"/>
      <c r="AS315" s="292"/>
      <c r="AT315" s="292"/>
      <c r="AU315" s="292"/>
      <c r="AV315" s="292"/>
      <c r="AW315" s="292"/>
      <c r="AX315" s="292"/>
      <c r="AY315" s="292"/>
      <c r="AZ315" s="292"/>
      <c r="BA315" s="292"/>
      <c r="BB315" s="292"/>
      <c r="BC315" s="292"/>
      <c r="BD315" s="292"/>
      <c r="BE315" s="292"/>
      <c r="BF315" s="296" t="str">
        <f>IFERROR(__xludf.DUMMYFUNCTION("""COMPUTED_VALUE"""),"#REF!")</f>
        <v>#REF!</v>
      </c>
      <c r="BG315" s="296" t="str">
        <f>IFERROR(__xludf.DUMMYFUNCTION("""COMPUTED_VALUE"""),"#REF!")</f>
        <v>#REF!</v>
      </c>
      <c r="BH315" s="296" t="str">
        <f>IFERROR(__xludf.DUMMYFUNCTION("""COMPUTED_VALUE"""),"#REF!")</f>
        <v>#REF!</v>
      </c>
      <c r="BI315" s="295" t="str">
        <f>IFERROR(__xludf.DUMMYFUNCTION("""COMPUTED_VALUE"""),"#N/A")</f>
        <v>#N/A</v>
      </c>
      <c r="BJ315" s="292"/>
      <c r="BK315" s="346" t="str">
        <f>IFERROR(__xludf.DUMMYFUNCTION("""COMPUTED_VALUE"""),"#N/A")</f>
        <v>#N/A</v>
      </c>
      <c r="BL315" s="292"/>
      <c r="BM315" s="292"/>
      <c r="BN315" s="292"/>
      <c r="BO315" s="292"/>
      <c r="BP315" s="292"/>
      <c r="BQ315" s="292"/>
      <c r="BR315" s="292"/>
      <c r="BS315" s="292"/>
      <c r="BT315" s="292"/>
      <c r="BU315" s="292"/>
      <c r="BV315" s="292"/>
      <c r="BW315" s="292"/>
    </row>
    <row r="316">
      <c r="A316" s="292"/>
      <c r="B316" s="292" t="str">
        <f>IFERROR(__xludf.DUMMYFUNCTION("""COMPUTED_VALUE"""),"")</f>
        <v/>
      </c>
      <c r="C316" s="292"/>
      <c r="D316" s="292" t="str">
        <f>IFERROR(__xludf.DUMMYFUNCTION("""COMPUTED_VALUE"""),"")</f>
        <v/>
      </c>
      <c r="E316" s="292" t="str">
        <f>IFERROR(__xludf.DUMMYFUNCTION("""COMPUTED_VALUE"""),"")</f>
        <v/>
      </c>
      <c r="F316" s="292"/>
      <c r="G316" s="292" t="str">
        <f>IFERROR(__xludf.DUMMYFUNCTION("""COMPUTED_VALUE"""),"")</f>
        <v/>
      </c>
      <c r="H316" s="292" t="str">
        <f>IFERROR(__xludf.DUMMYFUNCTION("""COMPUTED_VALUE"""),"")</f>
        <v/>
      </c>
      <c r="I316" s="292" t="str">
        <f>IFERROR(__xludf.DUMMYFUNCTION("""COMPUTED_VALUE"""),"")</f>
        <v/>
      </c>
      <c r="J316" s="292" t="str">
        <f>IFERROR(__xludf.DUMMYFUNCTION("""COMPUTED_VALUE"""),"")</f>
        <v/>
      </c>
      <c r="K316" s="292"/>
      <c r="L316" s="292"/>
      <c r="M316" s="292" t="str">
        <f>IFERROR(__xludf.DUMMYFUNCTION("""COMPUTED_VALUE"""),"")</f>
        <v/>
      </c>
      <c r="N316" s="292"/>
      <c r="O316" s="292" t="str">
        <f>IFERROR(__xludf.DUMMYFUNCTION("""COMPUTED_VALUE"""),"")</f>
        <v/>
      </c>
      <c r="P316" s="292"/>
      <c r="Q316" s="292"/>
      <c r="R316" s="292"/>
      <c r="S316" s="292"/>
      <c r="T316" s="292"/>
      <c r="U316" s="292"/>
      <c r="V316" s="292"/>
      <c r="W316" s="292" t="b">
        <f>IFERROR(__xludf.DUMMYFUNCTION("""COMPUTED_VALUE"""),TRUE)</f>
        <v>1</v>
      </c>
      <c r="X316" s="292" t="str">
        <f>IFERROR(__xludf.DUMMYFUNCTION("""COMPUTED_VALUE"""),"#N/A")</f>
        <v>#N/A</v>
      </c>
      <c r="Y316" s="344" t="str">
        <f>IFERROR(__xludf.DUMMYFUNCTION("""COMPUTED_VALUE"""),"#N/A")</f>
        <v>#N/A</v>
      </c>
      <c r="Z316" s="343" t="str">
        <f>IFERROR(__xludf.DUMMYFUNCTION("""COMPUTED_VALUE"""),"#N/A")</f>
        <v>#N/A</v>
      </c>
      <c r="AA316" s="292" t="str">
        <f>IFERROR(__xludf.DUMMYFUNCTION("""COMPUTED_VALUE"""),"#N/A")</f>
        <v>#N/A</v>
      </c>
      <c r="AB316" s="292" t="str">
        <f>IFERROR(__xludf.DUMMYFUNCTION("""COMPUTED_VALUE"""),"#N/A")</f>
        <v>#N/A</v>
      </c>
      <c r="AC316" s="292" t="str">
        <f>IFERROR(__xludf.DUMMYFUNCTION("""COMPUTED_VALUE"""),"#N/A")</f>
        <v>#N/A</v>
      </c>
      <c r="AD316" s="292" t="str">
        <f>IFERROR(__xludf.DUMMYFUNCTION("""COMPUTED_VALUE"""),"#N/A")</f>
        <v>#N/A</v>
      </c>
      <c r="AE316" s="343" t="str">
        <f>IFERROR(__xludf.DUMMYFUNCTION("""COMPUTED_VALUE"""),"#N/A")</f>
        <v>#N/A</v>
      </c>
      <c r="AF316" s="292" t="str">
        <f>IFERROR(__xludf.DUMMYFUNCTION("""COMPUTED_VALUE"""),"#N/A")</f>
        <v>#N/A</v>
      </c>
      <c r="AG316" s="292"/>
      <c r="AH316" s="292" t="str">
        <f>IFERROR(__xludf.DUMMYFUNCTION("""COMPUTED_VALUE"""),"#N/A")</f>
        <v>#N/A</v>
      </c>
      <c r="AI316" s="292" t="str">
        <f>IFERROR(__xludf.DUMMYFUNCTION("""COMPUTED_VALUE"""),"#N/A")</f>
        <v>#N/A</v>
      </c>
      <c r="AJ316" s="292" t="str">
        <f>IFERROR(__xludf.DUMMYFUNCTION("""COMPUTED_VALUE"""),"#N/A")</f>
        <v>#N/A</v>
      </c>
      <c r="AK316" s="292" t="str">
        <f>IFERROR(__xludf.DUMMYFUNCTION("""COMPUTED_VALUE"""),"#N/A")</f>
        <v>#N/A</v>
      </c>
      <c r="AL316" s="292" t="str">
        <f>IFERROR(__xludf.DUMMYFUNCTION("""COMPUTED_VALUE"""),"#N/A")</f>
        <v>#N/A</v>
      </c>
      <c r="AM316" s="292" t="str">
        <f>IFERROR(__xludf.DUMMYFUNCTION("""COMPUTED_VALUE"""),"#N/A")</f>
        <v>#N/A</v>
      </c>
      <c r="AN316" s="292" t="str">
        <f>IFERROR(__xludf.DUMMYFUNCTION("""COMPUTED_VALUE"""),"#N/A")</f>
        <v>#N/A</v>
      </c>
      <c r="AO316" s="292" t="str">
        <f>IFERROR(__xludf.DUMMYFUNCTION("""COMPUTED_VALUE"""),"#N/A")</f>
        <v>#N/A</v>
      </c>
      <c r="AP316" s="292"/>
      <c r="AQ316" s="292"/>
      <c r="AR316" s="292"/>
      <c r="AS316" s="292"/>
      <c r="AT316" s="292"/>
      <c r="AU316" s="292"/>
      <c r="AV316" s="292"/>
      <c r="AW316" s="292"/>
      <c r="AX316" s="292"/>
      <c r="AY316" s="292"/>
      <c r="AZ316" s="292"/>
      <c r="BA316" s="292"/>
      <c r="BB316" s="292"/>
      <c r="BC316" s="292"/>
      <c r="BD316" s="292"/>
      <c r="BE316" s="292"/>
      <c r="BF316" s="296" t="str">
        <f>IFERROR(__xludf.DUMMYFUNCTION("""COMPUTED_VALUE"""),"#REF!")</f>
        <v>#REF!</v>
      </c>
      <c r="BG316" s="296" t="str">
        <f>IFERROR(__xludf.DUMMYFUNCTION("""COMPUTED_VALUE"""),"#REF!")</f>
        <v>#REF!</v>
      </c>
      <c r="BH316" s="296" t="str">
        <f>IFERROR(__xludf.DUMMYFUNCTION("""COMPUTED_VALUE"""),"#REF!")</f>
        <v>#REF!</v>
      </c>
      <c r="BI316" s="295" t="str">
        <f>IFERROR(__xludf.DUMMYFUNCTION("""COMPUTED_VALUE"""),"#N/A")</f>
        <v>#N/A</v>
      </c>
      <c r="BJ316" s="292"/>
      <c r="BK316" s="346" t="str">
        <f>IFERROR(__xludf.DUMMYFUNCTION("""COMPUTED_VALUE"""),"#N/A")</f>
        <v>#N/A</v>
      </c>
      <c r="BL316" s="292"/>
      <c r="BM316" s="292"/>
      <c r="BN316" s="292"/>
      <c r="BO316" s="292"/>
      <c r="BP316" s="292"/>
      <c r="BQ316" s="292"/>
      <c r="BR316" s="292"/>
      <c r="BS316" s="292"/>
      <c r="BT316" s="292"/>
      <c r="BU316" s="292"/>
      <c r="BV316" s="292"/>
      <c r="BW316" s="292"/>
    </row>
    <row r="317">
      <c r="A317" s="292"/>
      <c r="B317" s="292" t="str">
        <f>IFERROR(__xludf.DUMMYFUNCTION("""COMPUTED_VALUE"""),"")</f>
        <v/>
      </c>
      <c r="C317" s="292"/>
      <c r="D317" s="292" t="str">
        <f>IFERROR(__xludf.DUMMYFUNCTION("""COMPUTED_VALUE"""),"")</f>
        <v/>
      </c>
      <c r="E317" s="292" t="str">
        <f>IFERROR(__xludf.DUMMYFUNCTION("""COMPUTED_VALUE"""),"")</f>
        <v/>
      </c>
      <c r="F317" s="292"/>
      <c r="G317" s="292" t="str">
        <f>IFERROR(__xludf.DUMMYFUNCTION("""COMPUTED_VALUE"""),"")</f>
        <v/>
      </c>
      <c r="H317" s="292" t="str">
        <f>IFERROR(__xludf.DUMMYFUNCTION("""COMPUTED_VALUE"""),"")</f>
        <v/>
      </c>
      <c r="I317" s="292"/>
      <c r="J317" s="292" t="str">
        <f>IFERROR(__xludf.DUMMYFUNCTION("""COMPUTED_VALUE"""),"")</f>
        <v/>
      </c>
      <c r="K317" s="292"/>
      <c r="L317" s="292"/>
      <c r="M317" s="292" t="str">
        <f>IFERROR(__xludf.DUMMYFUNCTION("""COMPUTED_VALUE"""),"")</f>
        <v/>
      </c>
      <c r="N317" s="292"/>
      <c r="O317" s="292"/>
      <c r="P317" s="292"/>
      <c r="Q317" s="292"/>
      <c r="R317" s="292"/>
      <c r="S317" s="292"/>
      <c r="T317" s="292"/>
      <c r="U317" s="292"/>
      <c r="V317" s="292"/>
      <c r="W317" s="292" t="b">
        <f>IFERROR(__xludf.DUMMYFUNCTION("""COMPUTED_VALUE"""),TRUE)</f>
        <v>1</v>
      </c>
      <c r="X317" s="292" t="str">
        <f>IFERROR(__xludf.DUMMYFUNCTION("""COMPUTED_VALUE"""),"#N/A")</f>
        <v>#N/A</v>
      </c>
      <c r="Y317" s="344" t="str">
        <f>IFERROR(__xludf.DUMMYFUNCTION("""COMPUTED_VALUE"""),"#N/A")</f>
        <v>#N/A</v>
      </c>
      <c r="Z317" s="343" t="str">
        <f>IFERROR(__xludf.DUMMYFUNCTION("""COMPUTED_VALUE"""),"#N/A")</f>
        <v>#N/A</v>
      </c>
      <c r="AA317" s="292" t="str">
        <f>IFERROR(__xludf.DUMMYFUNCTION("""COMPUTED_VALUE"""),"#N/A")</f>
        <v>#N/A</v>
      </c>
      <c r="AB317" s="292" t="str">
        <f>IFERROR(__xludf.DUMMYFUNCTION("""COMPUTED_VALUE"""),"#N/A")</f>
        <v>#N/A</v>
      </c>
      <c r="AC317" s="292" t="str">
        <f>IFERROR(__xludf.DUMMYFUNCTION("""COMPUTED_VALUE"""),"#N/A")</f>
        <v>#N/A</v>
      </c>
      <c r="AD317" s="292" t="str">
        <f>IFERROR(__xludf.DUMMYFUNCTION("""COMPUTED_VALUE"""),"#N/A")</f>
        <v>#N/A</v>
      </c>
      <c r="AE317" s="343" t="str">
        <f>IFERROR(__xludf.DUMMYFUNCTION("""COMPUTED_VALUE"""),"#N/A")</f>
        <v>#N/A</v>
      </c>
      <c r="AF317" s="292" t="str">
        <f>IFERROR(__xludf.DUMMYFUNCTION("""COMPUTED_VALUE"""),"#N/A")</f>
        <v>#N/A</v>
      </c>
      <c r="AG317" s="292"/>
      <c r="AH317" s="292" t="str">
        <f>IFERROR(__xludf.DUMMYFUNCTION("""COMPUTED_VALUE"""),"#N/A")</f>
        <v>#N/A</v>
      </c>
      <c r="AI317" s="292" t="str">
        <f>IFERROR(__xludf.DUMMYFUNCTION("""COMPUTED_VALUE"""),"#N/A")</f>
        <v>#N/A</v>
      </c>
      <c r="AJ317" s="292" t="str">
        <f>IFERROR(__xludf.DUMMYFUNCTION("""COMPUTED_VALUE"""),"#N/A")</f>
        <v>#N/A</v>
      </c>
      <c r="AK317" s="292" t="str">
        <f>IFERROR(__xludf.DUMMYFUNCTION("""COMPUTED_VALUE"""),"#N/A")</f>
        <v>#N/A</v>
      </c>
      <c r="AL317" s="292" t="str">
        <f>IFERROR(__xludf.DUMMYFUNCTION("""COMPUTED_VALUE"""),"#N/A")</f>
        <v>#N/A</v>
      </c>
      <c r="AM317" s="292" t="str">
        <f>IFERROR(__xludf.DUMMYFUNCTION("""COMPUTED_VALUE"""),"#N/A")</f>
        <v>#N/A</v>
      </c>
      <c r="AN317" s="292" t="str">
        <f>IFERROR(__xludf.DUMMYFUNCTION("""COMPUTED_VALUE"""),"#N/A")</f>
        <v>#N/A</v>
      </c>
      <c r="AO317" s="292" t="str">
        <f>IFERROR(__xludf.DUMMYFUNCTION("""COMPUTED_VALUE"""),"#N/A")</f>
        <v>#N/A</v>
      </c>
      <c r="AP317" s="292"/>
      <c r="AQ317" s="292"/>
      <c r="AR317" s="292"/>
      <c r="AS317" s="292"/>
      <c r="AT317" s="292"/>
      <c r="AU317" s="292"/>
      <c r="AV317" s="292"/>
      <c r="AW317" s="292"/>
      <c r="AX317" s="292"/>
      <c r="AY317" s="292"/>
      <c r="AZ317" s="292"/>
      <c r="BA317" s="292"/>
      <c r="BB317" s="292"/>
      <c r="BC317" s="292"/>
      <c r="BD317" s="292"/>
      <c r="BE317" s="292"/>
      <c r="BF317" s="296" t="str">
        <f>IFERROR(__xludf.DUMMYFUNCTION("""COMPUTED_VALUE"""),"#REF!")</f>
        <v>#REF!</v>
      </c>
      <c r="BG317" s="296" t="str">
        <f>IFERROR(__xludf.DUMMYFUNCTION("""COMPUTED_VALUE"""),"#REF!")</f>
        <v>#REF!</v>
      </c>
      <c r="BH317" s="296" t="str">
        <f>IFERROR(__xludf.DUMMYFUNCTION("""COMPUTED_VALUE"""),"#REF!")</f>
        <v>#REF!</v>
      </c>
      <c r="BI317" s="295" t="str">
        <f>IFERROR(__xludf.DUMMYFUNCTION("""COMPUTED_VALUE"""),"#N/A")</f>
        <v>#N/A</v>
      </c>
      <c r="BJ317" s="292"/>
      <c r="BK317" s="346" t="str">
        <f>IFERROR(__xludf.DUMMYFUNCTION("""COMPUTED_VALUE"""),"#N/A")</f>
        <v>#N/A</v>
      </c>
      <c r="BL317" s="292"/>
      <c r="BM317" s="292"/>
      <c r="BN317" s="292"/>
      <c r="BO317" s="292"/>
      <c r="BP317" s="292"/>
      <c r="BQ317" s="292"/>
      <c r="BR317" s="292"/>
      <c r="BS317" s="292"/>
      <c r="BT317" s="292"/>
      <c r="BU317" s="292"/>
      <c r="BV317" s="292"/>
      <c r="BW317" s="292"/>
    </row>
    <row r="318">
      <c r="A318" s="292"/>
      <c r="B318" s="292" t="str">
        <f>IFERROR(__xludf.DUMMYFUNCTION("""COMPUTED_VALUE"""),"")</f>
        <v/>
      </c>
      <c r="C318" s="292"/>
      <c r="D318" s="292" t="str">
        <f>IFERROR(__xludf.DUMMYFUNCTION("""COMPUTED_VALUE"""),"")</f>
        <v/>
      </c>
      <c r="E318" s="292" t="str">
        <f>IFERROR(__xludf.DUMMYFUNCTION("""COMPUTED_VALUE"""),"")</f>
        <v/>
      </c>
      <c r="F318" s="292"/>
      <c r="G318" s="292" t="str">
        <f>IFERROR(__xludf.DUMMYFUNCTION("""COMPUTED_VALUE"""),"")</f>
        <v/>
      </c>
      <c r="H318" s="292" t="str">
        <f>IFERROR(__xludf.DUMMYFUNCTION("""COMPUTED_VALUE"""),"")</f>
        <v/>
      </c>
      <c r="I318" s="292"/>
      <c r="J318" s="292" t="str">
        <f>IFERROR(__xludf.DUMMYFUNCTION("""COMPUTED_VALUE"""),"")</f>
        <v/>
      </c>
      <c r="K318" s="292"/>
      <c r="L318" s="292"/>
      <c r="M318" s="292" t="str">
        <f>IFERROR(__xludf.DUMMYFUNCTION("""COMPUTED_VALUE"""),"")</f>
        <v/>
      </c>
      <c r="N318" s="292"/>
      <c r="O318" s="292"/>
      <c r="P318" s="292"/>
      <c r="Q318" s="292"/>
      <c r="R318" s="292"/>
      <c r="S318" s="292"/>
      <c r="T318" s="292"/>
      <c r="U318" s="292"/>
      <c r="V318" s="292"/>
      <c r="W318" s="292" t="b">
        <f>IFERROR(__xludf.DUMMYFUNCTION("""COMPUTED_VALUE"""),TRUE)</f>
        <v>1</v>
      </c>
      <c r="X318" s="292" t="str">
        <f>IFERROR(__xludf.DUMMYFUNCTION("""COMPUTED_VALUE"""),"#N/A")</f>
        <v>#N/A</v>
      </c>
      <c r="Y318" s="344" t="str">
        <f>IFERROR(__xludf.DUMMYFUNCTION("""COMPUTED_VALUE"""),"#N/A")</f>
        <v>#N/A</v>
      </c>
      <c r="Z318" s="343" t="str">
        <f>IFERROR(__xludf.DUMMYFUNCTION("""COMPUTED_VALUE"""),"#N/A")</f>
        <v>#N/A</v>
      </c>
      <c r="AA318" s="292" t="str">
        <f>IFERROR(__xludf.DUMMYFUNCTION("""COMPUTED_VALUE"""),"#N/A")</f>
        <v>#N/A</v>
      </c>
      <c r="AB318" s="292" t="str">
        <f>IFERROR(__xludf.DUMMYFUNCTION("""COMPUTED_VALUE"""),"#N/A")</f>
        <v>#N/A</v>
      </c>
      <c r="AC318" s="292" t="str">
        <f>IFERROR(__xludf.DUMMYFUNCTION("""COMPUTED_VALUE"""),"#N/A")</f>
        <v>#N/A</v>
      </c>
      <c r="AD318" s="292" t="str">
        <f>IFERROR(__xludf.DUMMYFUNCTION("""COMPUTED_VALUE"""),"#N/A")</f>
        <v>#N/A</v>
      </c>
      <c r="AE318" s="343" t="str">
        <f>IFERROR(__xludf.DUMMYFUNCTION("""COMPUTED_VALUE"""),"#N/A")</f>
        <v>#N/A</v>
      </c>
      <c r="AF318" s="292" t="str">
        <f>IFERROR(__xludf.DUMMYFUNCTION("""COMPUTED_VALUE"""),"#N/A")</f>
        <v>#N/A</v>
      </c>
      <c r="AG318" s="292"/>
      <c r="AH318" s="292" t="str">
        <f>IFERROR(__xludf.DUMMYFUNCTION("""COMPUTED_VALUE"""),"#N/A")</f>
        <v>#N/A</v>
      </c>
      <c r="AI318" s="292" t="str">
        <f>IFERROR(__xludf.DUMMYFUNCTION("""COMPUTED_VALUE"""),"#N/A")</f>
        <v>#N/A</v>
      </c>
      <c r="AJ318" s="292" t="str">
        <f>IFERROR(__xludf.DUMMYFUNCTION("""COMPUTED_VALUE"""),"#N/A")</f>
        <v>#N/A</v>
      </c>
      <c r="AK318" s="292" t="str">
        <f>IFERROR(__xludf.DUMMYFUNCTION("""COMPUTED_VALUE"""),"#N/A")</f>
        <v>#N/A</v>
      </c>
      <c r="AL318" s="292" t="str">
        <f>IFERROR(__xludf.DUMMYFUNCTION("""COMPUTED_VALUE"""),"#N/A")</f>
        <v>#N/A</v>
      </c>
      <c r="AM318" s="292" t="str">
        <f>IFERROR(__xludf.DUMMYFUNCTION("""COMPUTED_VALUE"""),"#N/A")</f>
        <v>#N/A</v>
      </c>
      <c r="AN318" s="292" t="str">
        <f>IFERROR(__xludf.DUMMYFUNCTION("""COMPUTED_VALUE"""),"#N/A")</f>
        <v>#N/A</v>
      </c>
      <c r="AO318" s="292" t="str">
        <f>IFERROR(__xludf.DUMMYFUNCTION("""COMPUTED_VALUE"""),"#N/A")</f>
        <v>#N/A</v>
      </c>
      <c r="AP318" s="292"/>
      <c r="AQ318" s="292"/>
      <c r="AR318" s="292"/>
      <c r="AS318" s="292"/>
      <c r="AT318" s="292"/>
      <c r="AU318" s="292"/>
      <c r="AV318" s="292"/>
      <c r="AW318" s="292"/>
      <c r="AX318" s="292"/>
      <c r="AY318" s="292"/>
      <c r="AZ318" s="292"/>
      <c r="BA318" s="292"/>
      <c r="BB318" s="292"/>
      <c r="BC318" s="292"/>
      <c r="BD318" s="292"/>
      <c r="BE318" s="292"/>
      <c r="BF318" s="296" t="str">
        <f>IFERROR(__xludf.DUMMYFUNCTION("""COMPUTED_VALUE"""),"#REF!")</f>
        <v>#REF!</v>
      </c>
      <c r="BG318" s="296" t="str">
        <f>IFERROR(__xludf.DUMMYFUNCTION("""COMPUTED_VALUE"""),"#REF!")</f>
        <v>#REF!</v>
      </c>
      <c r="BH318" s="296" t="str">
        <f>IFERROR(__xludf.DUMMYFUNCTION("""COMPUTED_VALUE"""),"#REF!")</f>
        <v>#REF!</v>
      </c>
      <c r="BI318" s="295" t="str">
        <f>IFERROR(__xludf.DUMMYFUNCTION("""COMPUTED_VALUE"""),"#N/A")</f>
        <v>#N/A</v>
      </c>
      <c r="BJ318" s="292"/>
      <c r="BK318" s="346" t="str">
        <f>IFERROR(__xludf.DUMMYFUNCTION("""COMPUTED_VALUE"""),"#N/A")</f>
        <v>#N/A</v>
      </c>
      <c r="BL318" s="292"/>
      <c r="BM318" s="292"/>
      <c r="BN318" s="292"/>
      <c r="BO318" s="292"/>
      <c r="BP318" s="292"/>
      <c r="BQ318" s="292"/>
      <c r="BR318" s="292"/>
      <c r="BS318" s="292"/>
      <c r="BT318" s="292"/>
      <c r="BU318" s="292"/>
      <c r="BV318" s="292"/>
      <c r="BW318" s="292"/>
    </row>
    <row r="319">
      <c r="A319" s="292"/>
      <c r="B319" s="292" t="str">
        <f>IFERROR(__xludf.DUMMYFUNCTION("""COMPUTED_VALUE"""),"")</f>
        <v/>
      </c>
      <c r="C319" s="292"/>
      <c r="D319" s="292" t="str">
        <f>IFERROR(__xludf.DUMMYFUNCTION("""COMPUTED_VALUE"""),"")</f>
        <v/>
      </c>
      <c r="E319" s="292" t="str">
        <f>IFERROR(__xludf.DUMMYFUNCTION("""COMPUTED_VALUE"""),"")</f>
        <v/>
      </c>
      <c r="F319" s="292"/>
      <c r="G319" s="292" t="str">
        <f>IFERROR(__xludf.DUMMYFUNCTION("""COMPUTED_VALUE"""),"")</f>
        <v/>
      </c>
      <c r="H319" s="292" t="str">
        <f>IFERROR(__xludf.DUMMYFUNCTION("""COMPUTED_VALUE"""),"")</f>
        <v/>
      </c>
      <c r="I319" s="292"/>
      <c r="J319" s="292" t="str">
        <f>IFERROR(__xludf.DUMMYFUNCTION("""COMPUTED_VALUE"""),"")</f>
        <v/>
      </c>
      <c r="K319" s="292"/>
      <c r="L319" s="292"/>
      <c r="M319" s="292" t="str">
        <f>IFERROR(__xludf.DUMMYFUNCTION("""COMPUTED_VALUE"""),"")</f>
        <v/>
      </c>
      <c r="N319" s="292"/>
      <c r="O319" s="292"/>
      <c r="P319" s="292"/>
      <c r="Q319" s="292"/>
      <c r="R319" s="292"/>
      <c r="S319" s="292"/>
      <c r="T319" s="292"/>
      <c r="U319" s="292"/>
      <c r="V319" s="292"/>
      <c r="W319" s="292" t="b">
        <f>IFERROR(__xludf.DUMMYFUNCTION("""COMPUTED_VALUE"""),TRUE)</f>
        <v>1</v>
      </c>
      <c r="X319" s="292" t="str">
        <f>IFERROR(__xludf.DUMMYFUNCTION("""COMPUTED_VALUE"""),"#N/A")</f>
        <v>#N/A</v>
      </c>
      <c r="Y319" s="344" t="str">
        <f>IFERROR(__xludf.DUMMYFUNCTION("""COMPUTED_VALUE"""),"#N/A")</f>
        <v>#N/A</v>
      </c>
      <c r="Z319" s="343" t="str">
        <f>IFERROR(__xludf.DUMMYFUNCTION("""COMPUTED_VALUE"""),"#N/A")</f>
        <v>#N/A</v>
      </c>
      <c r="AA319" s="292" t="str">
        <f>IFERROR(__xludf.DUMMYFUNCTION("""COMPUTED_VALUE"""),"#N/A")</f>
        <v>#N/A</v>
      </c>
      <c r="AB319" s="292" t="str">
        <f>IFERROR(__xludf.DUMMYFUNCTION("""COMPUTED_VALUE"""),"#N/A")</f>
        <v>#N/A</v>
      </c>
      <c r="AC319" s="292" t="str">
        <f>IFERROR(__xludf.DUMMYFUNCTION("""COMPUTED_VALUE"""),"#N/A")</f>
        <v>#N/A</v>
      </c>
      <c r="AD319" s="292" t="str">
        <f>IFERROR(__xludf.DUMMYFUNCTION("""COMPUTED_VALUE"""),"#N/A")</f>
        <v>#N/A</v>
      </c>
      <c r="AE319" s="343" t="str">
        <f>IFERROR(__xludf.DUMMYFUNCTION("""COMPUTED_VALUE"""),"#N/A")</f>
        <v>#N/A</v>
      </c>
      <c r="AF319" s="292" t="str">
        <f>IFERROR(__xludf.DUMMYFUNCTION("""COMPUTED_VALUE"""),"#N/A")</f>
        <v>#N/A</v>
      </c>
      <c r="AG319" s="292"/>
      <c r="AH319" s="292" t="str">
        <f>IFERROR(__xludf.DUMMYFUNCTION("""COMPUTED_VALUE"""),"#N/A")</f>
        <v>#N/A</v>
      </c>
      <c r="AI319" s="292" t="str">
        <f>IFERROR(__xludf.DUMMYFUNCTION("""COMPUTED_VALUE"""),"#N/A")</f>
        <v>#N/A</v>
      </c>
      <c r="AJ319" s="292" t="str">
        <f>IFERROR(__xludf.DUMMYFUNCTION("""COMPUTED_VALUE"""),"#N/A")</f>
        <v>#N/A</v>
      </c>
      <c r="AK319" s="292" t="str">
        <f>IFERROR(__xludf.DUMMYFUNCTION("""COMPUTED_VALUE"""),"#N/A")</f>
        <v>#N/A</v>
      </c>
      <c r="AL319" s="292" t="str">
        <f>IFERROR(__xludf.DUMMYFUNCTION("""COMPUTED_VALUE"""),"#N/A")</f>
        <v>#N/A</v>
      </c>
      <c r="AM319" s="292" t="str">
        <f>IFERROR(__xludf.DUMMYFUNCTION("""COMPUTED_VALUE"""),"#N/A")</f>
        <v>#N/A</v>
      </c>
      <c r="AN319" s="292" t="str">
        <f>IFERROR(__xludf.DUMMYFUNCTION("""COMPUTED_VALUE"""),"#N/A")</f>
        <v>#N/A</v>
      </c>
      <c r="AO319" s="292" t="str">
        <f>IFERROR(__xludf.DUMMYFUNCTION("""COMPUTED_VALUE"""),"#N/A")</f>
        <v>#N/A</v>
      </c>
      <c r="AP319" s="292"/>
      <c r="AQ319" s="292"/>
      <c r="AR319" s="292"/>
      <c r="AS319" s="292"/>
      <c r="AT319" s="292"/>
      <c r="AU319" s="292"/>
      <c r="AV319" s="292"/>
      <c r="AW319" s="292"/>
      <c r="AX319" s="292"/>
      <c r="AY319" s="292"/>
      <c r="AZ319" s="292"/>
      <c r="BA319" s="292"/>
      <c r="BB319" s="292"/>
      <c r="BC319" s="292"/>
      <c r="BD319" s="292"/>
      <c r="BE319" s="292"/>
      <c r="BF319" s="296" t="str">
        <f>IFERROR(__xludf.DUMMYFUNCTION("""COMPUTED_VALUE"""),"#REF!")</f>
        <v>#REF!</v>
      </c>
      <c r="BG319" s="296" t="str">
        <f>IFERROR(__xludf.DUMMYFUNCTION("""COMPUTED_VALUE"""),"#REF!")</f>
        <v>#REF!</v>
      </c>
      <c r="BH319" s="296" t="str">
        <f>IFERROR(__xludf.DUMMYFUNCTION("""COMPUTED_VALUE"""),"#REF!")</f>
        <v>#REF!</v>
      </c>
      <c r="BI319" s="295" t="str">
        <f>IFERROR(__xludf.DUMMYFUNCTION("""COMPUTED_VALUE"""),"#N/A")</f>
        <v>#N/A</v>
      </c>
      <c r="BJ319" s="292"/>
      <c r="BK319" s="346" t="str">
        <f>IFERROR(__xludf.DUMMYFUNCTION("""COMPUTED_VALUE"""),"#N/A")</f>
        <v>#N/A</v>
      </c>
      <c r="BL319" s="292"/>
      <c r="BM319" s="292"/>
      <c r="BN319" s="292"/>
      <c r="BO319" s="292"/>
      <c r="BP319" s="292"/>
      <c r="BQ319" s="292"/>
      <c r="BR319" s="292"/>
      <c r="BS319" s="292"/>
      <c r="BT319" s="292"/>
      <c r="BU319" s="292"/>
      <c r="BV319" s="292"/>
      <c r="BW319" s="292"/>
    </row>
    <row r="320">
      <c r="A320" s="292"/>
      <c r="B320" s="292" t="str">
        <f>IFERROR(__xludf.DUMMYFUNCTION("""COMPUTED_VALUE"""),"")</f>
        <v/>
      </c>
      <c r="C320" s="292"/>
      <c r="D320" s="292" t="str">
        <f>IFERROR(__xludf.DUMMYFUNCTION("""COMPUTED_VALUE"""),"")</f>
        <v/>
      </c>
      <c r="E320" s="292" t="str">
        <f>IFERROR(__xludf.DUMMYFUNCTION("""COMPUTED_VALUE"""),"")</f>
        <v/>
      </c>
      <c r="F320" s="292"/>
      <c r="G320" s="292" t="str">
        <f>IFERROR(__xludf.DUMMYFUNCTION("""COMPUTED_VALUE"""),"")</f>
        <v/>
      </c>
      <c r="H320" s="292" t="str">
        <f>IFERROR(__xludf.DUMMYFUNCTION("""COMPUTED_VALUE"""),"")</f>
        <v/>
      </c>
      <c r="I320" s="292"/>
      <c r="J320" s="292" t="str">
        <f>IFERROR(__xludf.DUMMYFUNCTION("""COMPUTED_VALUE"""),"")</f>
        <v/>
      </c>
      <c r="K320" s="292"/>
      <c r="L320" s="292"/>
      <c r="M320" s="292" t="str">
        <f>IFERROR(__xludf.DUMMYFUNCTION("""COMPUTED_VALUE"""),"")</f>
        <v/>
      </c>
      <c r="N320" s="292"/>
      <c r="O320" s="292"/>
      <c r="P320" s="292"/>
      <c r="Q320" s="292"/>
      <c r="R320" s="292"/>
      <c r="S320" s="292"/>
      <c r="T320" s="292"/>
      <c r="U320" s="292"/>
      <c r="V320" s="292"/>
      <c r="W320" s="292" t="b">
        <f>IFERROR(__xludf.DUMMYFUNCTION("""COMPUTED_VALUE"""),TRUE)</f>
        <v>1</v>
      </c>
      <c r="X320" s="292" t="str">
        <f>IFERROR(__xludf.DUMMYFUNCTION("""COMPUTED_VALUE"""),"#N/A")</f>
        <v>#N/A</v>
      </c>
      <c r="Y320" s="344" t="str">
        <f>IFERROR(__xludf.DUMMYFUNCTION("""COMPUTED_VALUE"""),"#N/A")</f>
        <v>#N/A</v>
      </c>
      <c r="Z320" s="343" t="str">
        <f>IFERROR(__xludf.DUMMYFUNCTION("""COMPUTED_VALUE"""),"#N/A")</f>
        <v>#N/A</v>
      </c>
      <c r="AA320" s="292" t="str">
        <f>IFERROR(__xludf.DUMMYFUNCTION("""COMPUTED_VALUE"""),"#N/A")</f>
        <v>#N/A</v>
      </c>
      <c r="AB320" s="292" t="str">
        <f>IFERROR(__xludf.DUMMYFUNCTION("""COMPUTED_VALUE"""),"#N/A")</f>
        <v>#N/A</v>
      </c>
      <c r="AC320" s="292" t="str">
        <f>IFERROR(__xludf.DUMMYFUNCTION("""COMPUTED_VALUE"""),"#N/A")</f>
        <v>#N/A</v>
      </c>
      <c r="AD320" s="292" t="str">
        <f>IFERROR(__xludf.DUMMYFUNCTION("""COMPUTED_VALUE"""),"#N/A")</f>
        <v>#N/A</v>
      </c>
      <c r="AE320" s="343" t="str">
        <f>IFERROR(__xludf.DUMMYFUNCTION("""COMPUTED_VALUE"""),"#N/A")</f>
        <v>#N/A</v>
      </c>
      <c r="AF320" s="292" t="str">
        <f>IFERROR(__xludf.DUMMYFUNCTION("""COMPUTED_VALUE"""),"#N/A")</f>
        <v>#N/A</v>
      </c>
      <c r="AG320" s="292"/>
      <c r="AH320" s="292" t="str">
        <f>IFERROR(__xludf.DUMMYFUNCTION("""COMPUTED_VALUE"""),"#N/A")</f>
        <v>#N/A</v>
      </c>
      <c r="AI320" s="292" t="str">
        <f>IFERROR(__xludf.DUMMYFUNCTION("""COMPUTED_VALUE"""),"#N/A")</f>
        <v>#N/A</v>
      </c>
      <c r="AJ320" s="292" t="str">
        <f>IFERROR(__xludf.DUMMYFUNCTION("""COMPUTED_VALUE"""),"#N/A")</f>
        <v>#N/A</v>
      </c>
      <c r="AK320" s="292" t="str">
        <f>IFERROR(__xludf.DUMMYFUNCTION("""COMPUTED_VALUE"""),"#N/A")</f>
        <v>#N/A</v>
      </c>
      <c r="AL320" s="292" t="str">
        <f>IFERROR(__xludf.DUMMYFUNCTION("""COMPUTED_VALUE"""),"#N/A")</f>
        <v>#N/A</v>
      </c>
      <c r="AM320" s="292" t="str">
        <f>IFERROR(__xludf.DUMMYFUNCTION("""COMPUTED_VALUE"""),"#N/A")</f>
        <v>#N/A</v>
      </c>
      <c r="AN320" s="292" t="str">
        <f>IFERROR(__xludf.DUMMYFUNCTION("""COMPUTED_VALUE"""),"#N/A")</f>
        <v>#N/A</v>
      </c>
      <c r="AO320" s="292" t="str">
        <f>IFERROR(__xludf.DUMMYFUNCTION("""COMPUTED_VALUE"""),"#N/A")</f>
        <v>#N/A</v>
      </c>
      <c r="AP320" s="292"/>
      <c r="AQ320" s="292"/>
      <c r="AR320" s="292"/>
      <c r="AS320" s="292"/>
      <c r="AT320" s="292"/>
      <c r="AU320" s="292"/>
      <c r="AV320" s="292"/>
      <c r="AW320" s="292"/>
      <c r="AX320" s="292"/>
      <c r="AY320" s="292"/>
      <c r="AZ320" s="292"/>
      <c r="BA320" s="292"/>
      <c r="BB320" s="292"/>
      <c r="BC320" s="292"/>
      <c r="BD320" s="292"/>
      <c r="BE320" s="292"/>
      <c r="BF320" s="296" t="str">
        <f>IFERROR(__xludf.DUMMYFUNCTION("""COMPUTED_VALUE"""),"#REF!")</f>
        <v>#REF!</v>
      </c>
      <c r="BG320" s="296" t="str">
        <f>IFERROR(__xludf.DUMMYFUNCTION("""COMPUTED_VALUE"""),"#REF!")</f>
        <v>#REF!</v>
      </c>
      <c r="BH320" s="296" t="str">
        <f>IFERROR(__xludf.DUMMYFUNCTION("""COMPUTED_VALUE"""),"#REF!")</f>
        <v>#REF!</v>
      </c>
      <c r="BI320" s="295" t="str">
        <f>IFERROR(__xludf.DUMMYFUNCTION("""COMPUTED_VALUE"""),"#N/A")</f>
        <v>#N/A</v>
      </c>
      <c r="BJ320" s="292"/>
      <c r="BK320" s="346" t="str">
        <f>IFERROR(__xludf.DUMMYFUNCTION("""COMPUTED_VALUE"""),"#N/A")</f>
        <v>#N/A</v>
      </c>
      <c r="BL320" s="292"/>
      <c r="BM320" s="292"/>
      <c r="BN320" s="292"/>
      <c r="BO320" s="292"/>
      <c r="BP320" s="292"/>
      <c r="BQ320" s="292"/>
      <c r="BR320" s="292"/>
      <c r="BS320" s="292"/>
      <c r="BT320" s="292"/>
      <c r="BU320" s="292"/>
      <c r="BV320" s="292"/>
      <c r="BW320" s="292"/>
    </row>
    <row r="321">
      <c r="A321" s="292"/>
      <c r="B321" s="292" t="str">
        <f>IFERROR(__xludf.DUMMYFUNCTION("""COMPUTED_VALUE"""),"")</f>
        <v/>
      </c>
      <c r="C321" s="292"/>
      <c r="D321" s="292" t="str">
        <f>IFERROR(__xludf.DUMMYFUNCTION("""COMPUTED_VALUE"""),"")</f>
        <v/>
      </c>
      <c r="E321" s="292" t="str">
        <f>IFERROR(__xludf.DUMMYFUNCTION("""COMPUTED_VALUE"""),"")</f>
        <v/>
      </c>
      <c r="F321" s="292"/>
      <c r="G321" s="292" t="str">
        <f>IFERROR(__xludf.DUMMYFUNCTION("""COMPUTED_VALUE"""),"")</f>
        <v/>
      </c>
      <c r="H321" s="292" t="str">
        <f>IFERROR(__xludf.DUMMYFUNCTION("""COMPUTED_VALUE"""),"")</f>
        <v/>
      </c>
      <c r="I321" s="292"/>
      <c r="J321" s="292" t="str">
        <f>IFERROR(__xludf.DUMMYFUNCTION("""COMPUTED_VALUE"""),"")</f>
        <v/>
      </c>
      <c r="K321" s="292"/>
      <c r="L321" s="292"/>
      <c r="M321" s="292" t="str">
        <f>IFERROR(__xludf.DUMMYFUNCTION("""COMPUTED_VALUE"""),"")</f>
        <v/>
      </c>
      <c r="N321" s="292"/>
      <c r="O321" s="292"/>
      <c r="P321" s="292"/>
      <c r="Q321" s="292"/>
      <c r="R321" s="292"/>
      <c r="S321" s="292"/>
      <c r="T321" s="292"/>
      <c r="U321" s="292"/>
      <c r="V321" s="292"/>
      <c r="W321" s="292" t="b">
        <f>IFERROR(__xludf.DUMMYFUNCTION("""COMPUTED_VALUE"""),TRUE)</f>
        <v>1</v>
      </c>
      <c r="X321" s="292" t="str">
        <f>IFERROR(__xludf.DUMMYFUNCTION("""COMPUTED_VALUE"""),"#N/A")</f>
        <v>#N/A</v>
      </c>
      <c r="Y321" s="344" t="str">
        <f>IFERROR(__xludf.DUMMYFUNCTION("""COMPUTED_VALUE"""),"#N/A")</f>
        <v>#N/A</v>
      </c>
      <c r="Z321" s="343" t="str">
        <f>IFERROR(__xludf.DUMMYFUNCTION("""COMPUTED_VALUE"""),"#N/A")</f>
        <v>#N/A</v>
      </c>
      <c r="AA321" s="292" t="str">
        <f>IFERROR(__xludf.DUMMYFUNCTION("""COMPUTED_VALUE"""),"#N/A")</f>
        <v>#N/A</v>
      </c>
      <c r="AB321" s="292" t="str">
        <f>IFERROR(__xludf.DUMMYFUNCTION("""COMPUTED_VALUE"""),"#N/A")</f>
        <v>#N/A</v>
      </c>
      <c r="AC321" s="292" t="str">
        <f>IFERROR(__xludf.DUMMYFUNCTION("""COMPUTED_VALUE"""),"#N/A")</f>
        <v>#N/A</v>
      </c>
      <c r="AD321" s="292" t="str">
        <f>IFERROR(__xludf.DUMMYFUNCTION("""COMPUTED_VALUE"""),"#N/A")</f>
        <v>#N/A</v>
      </c>
      <c r="AE321" s="343" t="str">
        <f>IFERROR(__xludf.DUMMYFUNCTION("""COMPUTED_VALUE"""),"#N/A")</f>
        <v>#N/A</v>
      </c>
      <c r="AF321" s="292" t="str">
        <f>IFERROR(__xludf.DUMMYFUNCTION("""COMPUTED_VALUE"""),"#N/A")</f>
        <v>#N/A</v>
      </c>
      <c r="AG321" s="292"/>
      <c r="AH321" s="292" t="str">
        <f>IFERROR(__xludf.DUMMYFUNCTION("""COMPUTED_VALUE"""),"#N/A")</f>
        <v>#N/A</v>
      </c>
      <c r="AI321" s="292" t="str">
        <f>IFERROR(__xludf.DUMMYFUNCTION("""COMPUTED_VALUE"""),"#N/A")</f>
        <v>#N/A</v>
      </c>
      <c r="AJ321" s="292" t="str">
        <f>IFERROR(__xludf.DUMMYFUNCTION("""COMPUTED_VALUE"""),"#N/A")</f>
        <v>#N/A</v>
      </c>
      <c r="AK321" s="292" t="str">
        <f>IFERROR(__xludf.DUMMYFUNCTION("""COMPUTED_VALUE"""),"#N/A")</f>
        <v>#N/A</v>
      </c>
      <c r="AL321" s="292" t="str">
        <f>IFERROR(__xludf.DUMMYFUNCTION("""COMPUTED_VALUE"""),"#N/A")</f>
        <v>#N/A</v>
      </c>
      <c r="AM321" s="292" t="str">
        <f>IFERROR(__xludf.DUMMYFUNCTION("""COMPUTED_VALUE"""),"#N/A")</f>
        <v>#N/A</v>
      </c>
      <c r="AN321" s="292" t="str">
        <f>IFERROR(__xludf.DUMMYFUNCTION("""COMPUTED_VALUE"""),"#N/A")</f>
        <v>#N/A</v>
      </c>
      <c r="AO321" s="292" t="str">
        <f>IFERROR(__xludf.DUMMYFUNCTION("""COMPUTED_VALUE"""),"#N/A")</f>
        <v>#N/A</v>
      </c>
      <c r="AP321" s="292"/>
      <c r="AQ321" s="292"/>
      <c r="AR321" s="292"/>
      <c r="AS321" s="292"/>
      <c r="AT321" s="292"/>
      <c r="AU321" s="292"/>
      <c r="AV321" s="292"/>
      <c r="AW321" s="292"/>
      <c r="AX321" s="292"/>
      <c r="AY321" s="292"/>
      <c r="AZ321" s="292"/>
      <c r="BA321" s="292"/>
      <c r="BB321" s="292"/>
      <c r="BC321" s="292"/>
      <c r="BD321" s="292"/>
      <c r="BE321" s="292"/>
      <c r="BF321" s="296" t="str">
        <f>IFERROR(__xludf.DUMMYFUNCTION("""COMPUTED_VALUE"""),"#REF!")</f>
        <v>#REF!</v>
      </c>
      <c r="BG321" s="296" t="str">
        <f>IFERROR(__xludf.DUMMYFUNCTION("""COMPUTED_VALUE"""),"#REF!")</f>
        <v>#REF!</v>
      </c>
      <c r="BH321" s="296" t="str">
        <f>IFERROR(__xludf.DUMMYFUNCTION("""COMPUTED_VALUE"""),"#REF!")</f>
        <v>#REF!</v>
      </c>
      <c r="BI321" s="295" t="str">
        <f>IFERROR(__xludf.DUMMYFUNCTION("""COMPUTED_VALUE"""),"#N/A")</f>
        <v>#N/A</v>
      </c>
      <c r="BJ321" s="292"/>
      <c r="BK321" s="346" t="str">
        <f>IFERROR(__xludf.DUMMYFUNCTION("""COMPUTED_VALUE"""),"#N/A")</f>
        <v>#N/A</v>
      </c>
      <c r="BL321" s="292"/>
      <c r="BM321" s="292"/>
      <c r="BN321" s="292"/>
      <c r="BO321" s="292"/>
      <c r="BP321" s="292"/>
      <c r="BQ321" s="292"/>
      <c r="BR321" s="292"/>
      <c r="BS321" s="292"/>
      <c r="BT321" s="292"/>
      <c r="BU321" s="292"/>
      <c r="BV321" s="292"/>
      <c r="BW321" s="292"/>
    </row>
    <row r="322">
      <c r="A322" s="292"/>
      <c r="B322" s="292" t="str">
        <f>IFERROR(__xludf.DUMMYFUNCTION("""COMPUTED_VALUE"""),"")</f>
        <v/>
      </c>
      <c r="C322" s="292"/>
      <c r="D322" s="292" t="str">
        <f>IFERROR(__xludf.DUMMYFUNCTION("""COMPUTED_VALUE"""),"")</f>
        <v/>
      </c>
      <c r="E322" s="292" t="str">
        <f>IFERROR(__xludf.DUMMYFUNCTION("""COMPUTED_VALUE"""),"")</f>
        <v/>
      </c>
      <c r="F322" s="292"/>
      <c r="G322" s="292" t="str">
        <f>IFERROR(__xludf.DUMMYFUNCTION("""COMPUTED_VALUE"""),"")</f>
        <v/>
      </c>
      <c r="H322" s="292" t="str">
        <f>IFERROR(__xludf.DUMMYFUNCTION("""COMPUTED_VALUE"""),"")</f>
        <v/>
      </c>
      <c r="I322" s="292"/>
      <c r="J322" s="292" t="str">
        <f>IFERROR(__xludf.DUMMYFUNCTION("""COMPUTED_VALUE"""),"")</f>
        <v/>
      </c>
      <c r="K322" s="292"/>
      <c r="L322" s="292"/>
      <c r="M322" s="292" t="str">
        <f>IFERROR(__xludf.DUMMYFUNCTION("""COMPUTED_VALUE"""),"")</f>
        <v/>
      </c>
      <c r="N322" s="292"/>
      <c r="O322" s="292"/>
      <c r="P322" s="292"/>
      <c r="Q322" s="292"/>
      <c r="R322" s="292"/>
      <c r="S322" s="292"/>
      <c r="T322" s="292"/>
      <c r="U322" s="292"/>
      <c r="V322" s="292"/>
      <c r="W322" s="292" t="b">
        <f>IFERROR(__xludf.DUMMYFUNCTION("""COMPUTED_VALUE"""),TRUE)</f>
        <v>1</v>
      </c>
      <c r="X322" s="292" t="str">
        <f>IFERROR(__xludf.DUMMYFUNCTION("""COMPUTED_VALUE"""),"#N/A")</f>
        <v>#N/A</v>
      </c>
      <c r="Y322" s="344" t="str">
        <f>IFERROR(__xludf.DUMMYFUNCTION("""COMPUTED_VALUE"""),"#N/A")</f>
        <v>#N/A</v>
      </c>
      <c r="Z322" s="343" t="str">
        <f>IFERROR(__xludf.DUMMYFUNCTION("""COMPUTED_VALUE"""),"#N/A")</f>
        <v>#N/A</v>
      </c>
      <c r="AA322" s="292" t="str">
        <f>IFERROR(__xludf.DUMMYFUNCTION("""COMPUTED_VALUE"""),"#N/A")</f>
        <v>#N/A</v>
      </c>
      <c r="AB322" s="292" t="str">
        <f>IFERROR(__xludf.DUMMYFUNCTION("""COMPUTED_VALUE"""),"#N/A")</f>
        <v>#N/A</v>
      </c>
      <c r="AC322" s="292" t="str">
        <f>IFERROR(__xludf.DUMMYFUNCTION("""COMPUTED_VALUE"""),"#N/A")</f>
        <v>#N/A</v>
      </c>
      <c r="AD322" s="292" t="str">
        <f>IFERROR(__xludf.DUMMYFUNCTION("""COMPUTED_VALUE"""),"#N/A")</f>
        <v>#N/A</v>
      </c>
      <c r="AE322" s="343" t="str">
        <f>IFERROR(__xludf.DUMMYFUNCTION("""COMPUTED_VALUE"""),"#N/A")</f>
        <v>#N/A</v>
      </c>
      <c r="AF322" s="292" t="str">
        <f>IFERROR(__xludf.DUMMYFUNCTION("""COMPUTED_VALUE"""),"#N/A")</f>
        <v>#N/A</v>
      </c>
      <c r="AG322" s="292"/>
      <c r="AH322" s="292" t="str">
        <f>IFERROR(__xludf.DUMMYFUNCTION("""COMPUTED_VALUE"""),"#N/A")</f>
        <v>#N/A</v>
      </c>
      <c r="AI322" s="292" t="str">
        <f>IFERROR(__xludf.DUMMYFUNCTION("""COMPUTED_VALUE"""),"#N/A")</f>
        <v>#N/A</v>
      </c>
      <c r="AJ322" s="292" t="str">
        <f>IFERROR(__xludf.DUMMYFUNCTION("""COMPUTED_VALUE"""),"#N/A")</f>
        <v>#N/A</v>
      </c>
      <c r="AK322" s="292" t="str">
        <f>IFERROR(__xludf.DUMMYFUNCTION("""COMPUTED_VALUE"""),"#N/A")</f>
        <v>#N/A</v>
      </c>
      <c r="AL322" s="292" t="str">
        <f>IFERROR(__xludf.DUMMYFUNCTION("""COMPUTED_VALUE"""),"#N/A")</f>
        <v>#N/A</v>
      </c>
      <c r="AM322" s="292" t="str">
        <f>IFERROR(__xludf.DUMMYFUNCTION("""COMPUTED_VALUE"""),"#N/A")</f>
        <v>#N/A</v>
      </c>
      <c r="AN322" s="292" t="str">
        <f>IFERROR(__xludf.DUMMYFUNCTION("""COMPUTED_VALUE"""),"#N/A")</f>
        <v>#N/A</v>
      </c>
      <c r="AO322" s="292" t="str">
        <f>IFERROR(__xludf.DUMMYFUNCTION("""COMPUTED_VALUE"""),"#N/A")</f>
        <v>#N/A</v>
      </c>
      <c r="AP322" s="292"/>
      <c r="AQ322" s="292"/>
      <c r="AR322" s="292"/>
      <c r="AS322" s="292"/>
      <c r="AT322" s="292"/>
      <c r="AU322" s="292"/>
      <c r="AV322" s="292"/>
      <c r="AW322" s="292"/>
      <c r="AX322" s="292"/>
      <c r="AY322" s="292"/>
      <c r="AZ322" s="292"/>
      <c r="BA322" s="292"/>
      <c r="BB322" s="292"/>
      <c r="BC322" s="292"/>
      <c r="BD322" s="292"/>
      <c r="BE322" s="292"/>
      <c r="BF322" s="296" t="str">
        <f>IFERROR(__xludf.DUMMYFUNCTION("""COMPUTED_VALUE"""),"#REF!")</f>
        <v>#REF!</v>
      </c>
      <c r="BG322" s="296" t="str">
        <f>IFERROR(__xludf.DUMMYFUNCTION("""COMPUTED_VALUE"""),"#REF!")</f>
        <v>#REF!</v>
      </c>
      <c r="BH322" s="296" t="str">
        <f>IFERROR(__xludf.DUMMYFUNCTION("""COMPUTED_VALUE"""),"#REF!")</f>
        <v>#REF!</v>
      </c>
      <c r="BI322" s="295" t="str">
        <f>IFERROR(__xludf.DUMMYFUNCTION("""COMPUTED_VALUE"""),"#N/A")</f>
        <v>#N/A</v>
      </c>
      <c r="BJ322" s="292"/>
      <c r="BK322" s="346" t="str">
        <f>IFERROR(__xludf.DUMMYFUNCTION("""COMPUTED_VALUE"""),"#N/A")</f>
        <v>#N/A</v>
      </c>
      <c r="BL322" s="292"/>
      <c r="BM322" s="292"/>
      <c r="BN322" s="292"/>
      <c r="BO322" s="292"/>
      <c r="BP322" s="292"/>
      <c r="BQ322" s="292"/>
      <c r="BR322" s="292"/>
      <c r="BS322" s="292"/>
      <c r="BT322" s="292"/>
      <c r="BU322" s="292"/>
      <c r="BV322" s="292"/>
      <c r="BW322" s="292"/>
    </row>
    <row r="323">
      <c r="A323" s="292"/>
      <c r="B323" s="292" t="str">
        <f>IFERROR(__xludf.DUMMYFUNCTION("""COMPUTED_VALUE"""),"")</f>
        <v/>
      </c>
      <c r="C323" s="292"/>
      <c r="D323" s="292" t="str">
        <f>IFERROR(__xludf.DUMMYFUNCTION("""COMPUTED_VALUE"""),"")</f>
        <v/>
      </c>
      <c r="E323" s="292" t="str">
        <f>IFERROR(__xludf.DUMMYFUNCTION("""COMPUTED_VALUE"""),"")</f>
        <v/>
      </c>
      <c r="F323" s="292"/>
      <c r="G323" s="292" t="str">
        <f>IFERROR(__xludf.DUMMYFUNCTION("""COMPUTED_VALUE"""),"")</f>
        <v/>
      </c>
      <c r="H323" s="292" t="str">
        <f>IFERROR(__xludf.DUMMYFUNCTION("""COMPUTED_VALUE"""),"")</f>
        <v/>
      </c>
      <c r="I323" s="292"/>
      <c r="J323" s="292"/>
      <c r="K323" s="292"/>
      <c r="L323" s="292"/>
      <c r="M323" s="292" t="str">
        <f>IFERROR(__xludf.DUMMYFUNCTION("""COMPUTED_VALUE"""),"")</f>
        <v/>
      </c>
      <c r="N323" s="292"/>
      <c r="O323" s="292"/>
      <c r="P323" s="292"/>
      <c r="Q323" s="292"/>
      <c r="R323" s="292"/>
      <c r="S323" s="292"/>
      <c r="T323" s="292"/>
      <c r="U323" s="292"/>
      <c r="V323" s="292"/>
      <c r="W323" s="292" t="b">
        <f>IFERROR(__xludf.DUMMYFUNCTION("""COMPUTED_VALUE"""),TRUE)</f>
        <v>1</v>
      </c>
      <c r="X323" s="292" t="str">
        <f>IFERROR(__xludf.DUMMYFUNCTION("""COMPUTED_VALUE"""),"#N/A")</f>
        <v>#N/A</v>
      </c>
      <c r="Y323" s="344" t="str">
        <f>IFERROR(__xludf.DUMMYFUNCTION("""COMPUTED_VALUE"""),"#N/A")</f>
        <v>#N/A</v>
      </c>
      <c r="Z323" s="343" t="str">
        <f>IFERROR(__xludf.DUMMYFUNCTION("""COMPUTED_VALUE"""),"#N/A")</f>
        <v>#N/A</v>
      </c>
      <c r="AA323" s="292" t="str">
        <f>IFERROR(__xludf.DUMMYFUNCTION("""COMPUTED_VALUE"""),"#N/A")</f>
        <v>#N/A</v>
      </c>
      <c r="AB323" s="292" t="str">
        <f>IFERROR(__xludf.DUMMYFUNCTION("""COMPUTED_VALUE"""),"#N/A")</f>
        <v>#N/A</v>
      </c>
      <c r="AC323" s="292" t="str">
        <f>IFERROR(__xludf.DUMMYFUNCTION("""COMPUTED_VALUE"""),"#N/A")</f>
        <v>#N/A</v>
      </c>
      <c r="AD323" s="292" t="str">
        <f>IFERROR(__xludf.DUMMYFUNCTION("""COMPUTED_VALUE"""),"#N/A")</f>
        <v>#N/A</v>
      </c>
      <c r="AE323" s="343" t="str">
        <f>IFERROR(__xludf.DUMMYFUNCTION("""COMPUTED_VALUE"""),"#N/A")</f>
        <v>#N/A</v>
      </c>
      <c r="AF323" s="292" t="str">
        <f>IFERROR(__xludf.DUMMYFUNCTION("""COMPUTED_VALUE"""),"#N/A")</f>
        <v>#N/A</v>
      </c>
      <c r="AG323" s="292"/>
      <c r="AH323" s="292" t="str">
        <f>IFERROR(__xludf.DUMMYFUNCTION("""COMPUTED_VALUE"""),"#N/A")</f>
        <v>#N/A</v>
      </c>
      <c r="AI323" s="292" t="str">
        <f>IFERROR(__xludf.DUMMYFUNCTION("""COMPUTED_VALUE"""),"#N/A")</f>
        <v>#N/A</v>
      </c>
      <c r="AJ323" s="292" t="str">
        <f>IFERROR(__xludf.DUMMYFUNCTION("""COMPUTED_VALUE"""),"#N/A")</f>
        <v>#N/A</v>
      </c>
      <c r="AK323" s="292" t="str">
        <f>IFERROR(__xludf.DUMMYFUNCTION("""COMPUTED_VALUE"""),"#N/A")</f>
        <v>#N/A</v>
      </c>
      <c r="AL323" s="292" t="str">
        <f>IFERROR(__xludf.DUMMYFUNCTION("""COMPUTED_VALUE"""),"#N/A")</f>
        <v>#N/A</v>
      </c>
      <c r="AM323" s="292" t="str">
        <f>IFERROR(__xludf.DUMMYFUNCTION("""COMPUTED_VALUE"""),"#N/A")</f>
        <v>#N/A</v>
      </c>
      <c r="AN323" s="292" t="str">
        <f>IFERROR(__xludf.DUMMYFUNCTION("""COMPUTED_VALUE"""),"#N/A")</f>
        <v>#N/A</v>
      </c>
      <c r="AO323" s="292" t="str">
        <f>IFERROR(__xludf.DUMMYFUNCTION("""COMPUTED_VALUE"""),"#N/A")</f>
        <v>#N/A</v>
      </c>
      <c r="AP323" s="292"/>
      <c r="AQ323" s="292"/>
      <c r="AR323" s="292"/>
      <c r="AS323" s="292"/>
      <c r="AT323" s="292"/>
      <c r="AU323" s="292"/>
      <c r="AV323" s="292"/>
      <c r="AW323" s="292"/>
      <c r="AX323" s="292"/>
      <c r="AY323" s="292"/>
      <c r="AZ323" s="292"/>
      <c r="BA323" s="292"/>
      <c r="BB323" s="292"/>
      <c r="BC323" s="292"/>
      <c r="BD323" s="292"/>
      <c r="BE323" s="292"/>
      <c r="BF323" s="296" t="str">
        <f>IFERROR(__xludf.DUMMYFUNCTION("""COMPUTED_VALUE"""),"#REF!")</f>
        <v>#REF!</v>
      </c>
      <c r="BG323" s="296" t="str">
        <f>IFERROR(__xludf.DUMMYFUNCTION("""COMPUTED_VALUE"""),"#REF!")</f>
        <v>#REF!</v>
      </c>
      <c r="BH323" s="296" t="str">
        <f>IFERROR(__xludf.DUMMYFUNCTION("""COMPUTED_VALUE"""),"#REF!")</f>
        <v>#REF!</v>
      </c>
      <c r="BI323" s="295" t="str">
        <f>IFERROR(__xludf.DUMMYFUNCTION("""COMPUTED_VALUE"""),"#N/A")</f>
        <v>#N/A</v>
      </c>
      <c r="BJ323" s="292"/>
      <c r="BK323" s="346" t="str">
        <f>IFERROR(__xludf.DUMMYFUNCTION("""COMPUTED_VALUE"""),"#N/A")</f>
        <v>#N/A</v>
      </c>
      <c r="BL323" s="292"/>
      <c r="BM323" s="292"/>
      <c r="BN323" s="292"/>
      <c r="BO323" s="292"/>
      <c r="BP323" s="292"/>
      <c r="BQ323" s="292"/>
      <c r="BR323" s="292"/>
      <c r="BS323" s="292"/>
      <c r="BT323" s="292"/>
      <c r="BU323" s="292"/>
      <c r="BV323" s="292"/>
      <c r="BW323" s="292"/>
    </row>
    <row r="324">
      <c r="A324" s="292"/>
      <c r="B324" s="292" t="str">
        <f>IFERROR(__xludf.DUMMYFUNCTION("""COMPUTED_VALUE"""),"")</f>
        <v/>
      </c>
      <c r="C324" s="292"/>
      <c r="D324" s="292" t="str">
        <f>IFERROR(__xludf.DUMMYFUNCTION("""COMPUTED_VALUE"""),"")</f>
        <v/>
      </c>
      <c r="E324" s="292" t="str">
        <f>IFERROR(__xludf.DUMMYFUNCTION("""COMPUTED_VALUE"""),"")</f>
        <v/>
      </c>
      <c r="F324" s="292"/>
      <c r="G324" s="292" t="str">
        <f>IFERROR(__xludf.DUMMYFUNCTION("""COMPUTED_VALUE"""),"")</f>
        <v/>
      </c>
      <c r="H324" s="292" t="str">
        <f>IFERROR(__xludf.DUMMYFUNCTION("""COMPUTED_VALUE"""),"")</f>
        <v/>
      </c>
      <c r="I324" s="292"/>
      <c r="J324" s="292"/>
      <c r="K324" s="292"/>
      <c r="L324" s="292"/>
      <c r="M324" s="292" t="str">
        <f>IFERROR(__xludf.DUMMYFUNCTION("""COMPUTED_VALUE"""),"")</f>
        <v/>
      </c>
      <c r="N324" s="292"/>
      <c r="O324" s="292"/>
      <c r="P324" s="292"/>
      <c r="Q324" s="292"/>
      <c r="R324" s="292"/>
      <c r="S324" s="292"/>
      <c r="T324" s="292"/>
      <c r="U324" s="292"/>
      <c r="V324" s="292"/>
      <c r="W324" s="292" t="b">
        <f>IFERROR(__xludf.DUMMYFUNCTION("""COMPUTED_VALUE"""),TRUE)</f>
        <v>1</v>
      </c>
      <c r="X324" s="292" t="str">
        <f>IFERROR(__xludf.DUMMYFUNCTION("""COMPUTED_VALUE"""),"#N/A")</f>
        <v>#N/A</v>
      </c>
      <c r="Y324" s="344" t="str">
        <f>IFERROR(__xludf.DUMMYFUNCTION("""COMPUTED_VALUE"""),"#N/A")</f>
        <v>#N/A</v>
      </c>
      <c r="Z324" s="343" t="str">
        <f>IFERROR(__xludf.DUMMYFUNCTION("""COMPUTED_VALUE"""),"#N/A")</f>
        <v>#N/A</v>
      </c>
      <c r="AA324" s="292" t="str">
        <f>IFERROR(__xludf.DUMMYFUNCTION("""COMPUTED_VALUE"""),"#N/A")</f>
        <v>#N/A</v>
      </c>
      <c r="AB324" s="292" t="str">
        <f>IFERROR(__xludf.DUMMYFUNCTION("""COMPUTED_VALUE"""),"#N/A")</f>
        <v>#N/A</v>
      </c>
      <c r="AC324" s="292" t="str">
        <f>IFERROR(__xludf.DUMMYFUNCTION("""COMPUTED_VALUE"""),"#N/A")</f>
        <v>#N/A</v>
      </c>
      <c r="AD324" s="292" t="str">
        <f>IFERROR(__xludf.DUMMYFUNCTION("""COMPUTED_VALUE"""),"#N/A")</f>
        <v>#N/A</v>
      </c>
      <c r="AE324" s="343" t="str">
        <f>IFERROR(__xludf.DUMMYFUNCTION("""COMPUTED_VALUE"""),"#N/A")</f>
        <v>#N/A</v>
      </c>
      <c r="AF324" s="292" t="str">
        <f>IFERROR(__xludf.DUMMYFUNCTION("""COMPUTED_VALUE"""),"#N/A")</f>
        <v>#N/A</v>
      </c>
      <c r="AG324" s="292"/>
      <c r="AH324" s="292" t="str">
        <f>IFERROR(__xludf.DUMMYFUNCTION("""COMPUTED_VALUE"""),"#N/A")</f>
        <v>#N/A</v>
      </c>
      <c r="AI324" s="292" t="str">
        <f>IFERROR(__xludf.DUMMYFUNCTION("""COMPUTED_VALUE"""),"#N/A")</f>
        <v>#N/A</v>
      </c>
      <c r="AJ324" s="292" t="str">
        <f>IFERROR(__xludf.DUMMYFUNCTION("""COMPUTED_VALUE"""),"#N/A")</f>
        <v>#N/A</v>
      </c>
      <c r="AK324" s="292" t="str">
        <f>IFERROR(__xludf.DUMMYFUNCTION("""COMPUTED_VALUE"""),"#N/A")</f>
        <v>#N/A</v>
      </c>
      <c r="AL324" s="292" t="str">
        <f>IFERROR(__xludf.DUMMYFUNCTION("""COMPUTED_VALUE"""),"#N/A")</f>
        <v>#N/A</v>
      </c>
      <c r="AM324" s="292" t="str">
        <f>IFERROR(__xludf.DUMMYFUNCTION("""COMPUTED_VALUE"""),"#N/A")</f>
        <v>#N/A</v>
      </c>
      <c r="AN324" s="292" t="str">
        <f>IFERROR(__xludf.DUMMYFUNCTION("""COMPUTED_VALUE"""),"#N/A")</f>
        <v>#N/A</v>
      </c>
      <c r="AO324" s="292" t="str">
        <f>IFERROR(__xludf.DUMMYFUNCTION("""COMPUTED_VALUE"""),"#N/A")</f>
        <v>#N/A</v>
      </c>
      <c r="AP324" s="292"/>
      <c r="AQ324" s="292"/>
      <c r="AR324" s="292"/>
      <c r="AS324" s="292"/>
      <c r="AT324" s="292"/>
      <c r="AU324" s="292"/>
      <c r="AV324" s="292"/>
      <c r="AW324" s="292"/>
      <c r="AX324" s="292"/>
      <c r="AY324" s="292"/>
      <c r="AZ324" s="292"/>
      <c r="BA324" s="292"/>
      <c r="BB324" s="292"/>
      <c r="BC324" s="292"/>
      <c r="BD324" s="292"/>
      <c r="BE324" s="292"/>
      <c r="BF324" s="296" t="str">
        <f>IFERROR(__xludf.DUMMYFUNCTION("""COMPUTED_VALUE"""),"#REF!")</f>
        <v>#REF!</v>
      </c>
      <c r="BG324" s="296" t="str">
        <f>IFERROR(__xludf.DUMMYFUNCTION("""COMPUTED_VALUE"""),"#REF!")</f>
        <v>#REF!</v>
      </c>
      <c r="BH324" s="296" t="str">
        <f>IFERROR(__xludf.DUMMYFUNCTION("""COMPUTED_VALUE"""),"#REF!")</f>
        <v>#REF!</v>
      </c>
      <c r="BI324" s="295" t="str">
        <f>IFERROR(__xludf.DUMMYFUNCTION("""COMPUTED_VALUE"""),"#N/A")</f>
        <v>#N/A</v>
      </c>
      <c r="BJ324" s="292"/>
      <c r="BK324" s="346" t="str">
        <f>IFERROR(__xludf.DUMMYFUNCTION("""COMPUTED_VALUE"""),"#N/A")</f>
        <v>#N/A</v>
      </c>
      <c r="BL324" s="292"/>
      <c r="BM324" s="292"/>
      <c r="BN324" s="292"/>
      <c r="BO324" s="292"/>
      <c r="BP324" s="292"/>
      <c r="BQ324" s="292"/>
      <c r="BR324" s="292"/>
      <c r="BS324" s="292"/>
      <c r="BT324" s="292"/>
      <c r="BU324" s="292"/>
      <c r="BV324" s="292"/>
      <c r="BW324" s="292"/>
    </row>
    <row r="325">
      <c r="A325" s="292"/>
      <c r="B325" s="292" t="str">
        <f>IFERROR(__xludf.DUMMYFUNCTION("""COMPUTED_VALUE"""),"")</f>
        <v/>
      </c>
      <c r="C325" s="292"/>
      <c r="D325" s="292" t="str">
        <f>IFERROR(__xludf.DUMMYFUNCTION("""COMPUTED_VALUE"""),"")</f>
        <v/>
      </c>
      <c r="E325" s="292" t="str">
        <f>IFERROR(__xludf.DUMMYFUNCTION("""COMPUTED_VALUE"""),"")</f>
        <v/>
      </c>
      <c r="F325" s="292"/>
      <c r="G325" s="292" t="str">
        <f>IFERROR(__xludf.DUMMYFUNCTION("""COMPUTED_VALUE"""),"")</f>
        <v/>
      </c>
      <c r="H325" s="292" t="str">
        <f>IFERROR(__xludf.DUMMYFUNCTION("""COMPUTED_VALUE"""),"")</f>
        <v/>
      </c>
      <c r="I325" s="292"/>
      <c r="J325" s="292"/>
      <c r="K325" s="292"/>
      <c r="L325" s="292"/>
      <c r="M325" s="292" t="str">
        <f>IFERROR(__xludf.DUMMYFUNCTION("""COMPUTED_VALUE"""),"")</f>
        <v/>
      </c>
      <c r="N325" s="292"/>
      <c r="O325" s="292"/>
      <c r="P325" s="292"/>
      <c r="Q325" s="292"/>
      <c r="R325" s="292"/>
      <c r="S325" s="292"/>
      <c r="T325" s="292"/>
      <c r="U325" s="292"/>
      <c r="V325" s="292"/>
      <c r="W325" s="292" t="b">
        <f>IFERROR(__xludf.DUMMYFUNCTION("""COMPUTED_VALUE"""),TRUE)</f>
        <v>1</v>
      </c>
      <c r="X325" s="292" t="str">
        <f>IFERROR(__xludf.DUMMYFUNCTION("""COMPUTED_VALUE"""),"#N/A")</f>
        <v>#N/A</v>
      </c>
      <c r="Y325" s="344" t="str">
        <f>IFERROR(__xludf.DUMMYFUNCTION("""COMPUTED_VALUE"""),"#N/A")</f>
        <v>#N/A</v>
      </c>
      <c r="Z325" s="343" t="str">
        <f>IFERROR(__xludf.DUMMYFUNCTION("""COMPUTED_VALUE"""),"#N/A")</f>
        <v>#N/A</v>
      </c>
      <c r="AA325" s="292" t="str">
        <f>IFERROR(__xludf.DUMMYFUNCTION("""COMPUTED_VALUE"""),"#N/A")</f>
        <v>#N/A</v>
      </c>
      <c r="AB325" s="292" t="str">
        <f>IFERROR(__xludf.DUMMYFUNCTION("""COMPUTED_VALUE"""),"#N/A")</f>
        <v>#N/A</v>
      </c>
      <c r="AC325" s="292" t="str">
        <f>IFERROR(__xludf.DUMMYFUNCTION("""COMPUTED_VALUE"""),"#N/A")</f>
        <v>#N/A</v>
      </c>
      <c r="AD325" s="292" t="str">
        <f>IFERROR(__xludf.DUMMYFUNCTION("""COMPUTED_VALUE"""),"#N/A")</f>
        <v>#N/A</v>
      </c>
      <c r="AE325" s="343" t="str">
        <f>IFERROR(__xludf.DUMMYFUNCTION("""COMPUTED_VALUE"""),"#N/A")</f>
        <v>#N/A</v>
      </c>
      <c r="AF325" s="292" t="str">
        <f>IFERROR(__xludf.DUMMYFUNCTION("""COMPUTED_VALUE"""),"#N/A")</f>
        <v>#N/A</v>
      </c>
      <c r="AG325" s="292"/>
      <c r="AH325" s="292" t="str">
        <f>IFERROR(__xludf.DUMMYFUNCTION("""COMPUTED_VALUE"""),"#N/A")</f>
        <v>#N/A</v>
      </c>
      <c r="AI325" s="292" t="str">
        <f>IFERROR(__xludf.DUMMYFUNCTION("""COMPUTED_VALUE"""),"#N/A")</f>
        <v>#N/A</v>
      </c>
      <c r="AJ325" s="292" t="str">
        <f>IFERROR(__xludf.DUMMYFUNCTION("""COMPUTED_VALUE"""),"#N/A")</f>
        <v>#N/A</v>
      </c>
      <c r="AK325" s="292" t="str">
        <f>IFERROR(__xludf.DUMMYFUNCTION("""COMPUTED_VALUE"""),"#N/A")</f>
        <v>#N/A</v>
      </c>
      <c r="AL325" s="292" t="str">
        <f>IFERROR(__xludf.DUMMYFUNCTION("""COMPUTED_VALUE"""),"#N/A")</f>
        <v>#N/A</v>
      </c>
      <c r="AM325" s="292" t="str">
        <f>IFERROR(__xludf.DUMMYFUNCTION("""COMPUTED_VALUE"""),"#N/A")</f>
        <v>#N/A</v>
      </c>
      <c r="AN325" s="292" t="str">
        <f>IFERROR(__xludf.DUMMYFUNCTION("""COMPUTED_VALUE"""),"#N/A")</f>
        <v>#N/A</v>
      </c>
      <c r="AO325" s="292" t="str">
        <f>IFERROR(__xludf.DUMMYFUNCTION("""COMPUTED_VALUE"""),"#N/A")</f>
        <v>#N/A</v>
      </c>
      <c r="AP325" s="292"/>
      <c r="AQ325" s="292"/>
      <c r="AR325" s="292"/>
      <c r="AS325" s="292"/>
      <c r="AT325" s="292"/>
      <c r="AU325" s="292"/>
      <c r="AV325" s="292"/>
      <c r="AW325" s="292"/>
      <c r="AX325" s="292"/>
      <c r="AY325" s="292"/>
      <c r="AZ325" s="292"/>
      <c r="BA325" s="292"/>
      <c r="BB325" s="292"/>
      <c r="BC325" s="292"/>
      <c r="BD325" s="292"/>
      <c r="BE325" s="292"/>
      <c r="BF325" s="296" t="str">
        <f>IFERROR(__xludf.DUMMYFUNCTION("""COMPUTED_VALUE"""),"#REF!")</f>
        <v>#REF!</v>
      </c>
      <c r="BG325" s="296" t="str">
        <f>IFERROR(__xludf.DUMMYFUNCTION("""COMPUTED_VALUE"""),"#REF!")</f>
        <v>#REF!</v>
      </c>
      <c r="BH325" s="296" t="str">
        <f>IFERROR(__xludf.DUMMYFUNCTION("""COMPUTED_VALUE"""),"#REF!")</f>
        <v>#REF!</v>
      </c>
      <c r="BI325" s="295" t="str">
        <f>IFERROR(__xludf.DUMMYFUNCTION("""COMPUTED_VALUE"""),"#N/A")</f>
        <v>#N/A</v>
      </c>
      <c r="BJ325" s="292"/>
      <c r="BK325" s="346" t="str">
        <f>IFERROR(__xludf.DUMMYFUNCTION("""COMPUTED_VALUE"""),"#N/A")</f>
        <v>#N/A</v>
      </c>
      <c r="BL325" s="292"/>
      <c r="BM325" s="292"/>
      <c r="BN325" s="292"/>
      <c r="BO325" s="292"/>
      <c r="BP325" s="292"/>
      <c r="BQ325" s="292"/>
      <c r="BR325" s="292"/>
      <c r="BS325" s="292"/>
      <c r="BT325" s="292"/>
      <c r="BU325" s="292"/>
      <c r="BV325" s="292"/>
      <c r="BW325" s="292"/>
    </row>
    <row r="326">
      <c r="A326" s="292"/>
      <c r="B326" s="292" t="str">
        <f>IFERROR(__xludf.DUMMYFUNCTION("""COMPUTED_VALUE"""),"")</f>
        <v/>
      </c>
      <c r="C326" s="292"/>
      <c r="D326" s="292" t="str">
        <f>IFERROR(__xludf.DUMMYFUNCTION("""COMPUTED_VALUE"""),"")</f>
        <v/>
      </c>
      <c r="E326" s="292" t="str">
        <f>IFERROR(__xludf.DUMMYFUNCTION("""COMPUTED_VALUE"""),"")</f>
        <v/>
      </c>
      <c r="F326" s="292"/>
      <c r="G326" s="292" t="str">
        <f>IFERROR(__xludf.DUMMYFUNCTION("""COMPUTED_VALUE"""),"")</f>
        <v/>
      </c>
      <c r="H326" s="292" t="str">
        <f>IFERROR(__xludf.DUMMYFUNCTION("""COMPUTED_VALUE"""),"")</f>
        <v/>
      </c>
      <c r="I326" s="292"/>
      <c r="J326" s="292"/>
      <c r="K326" s="292"/>
      <c r="L326" s="292"/>
      <c r="M326" s="292" t="str">
        <f>IFERROR(__xludf.DUMMYFUNCTION("""COMPUTED_VALUE"""),"")</f>
        <v/>
      </c>
      <c r="N326" s="292"/>
      <c r="O326" s="292"/>
      <c r="P326" s="292"/>
      <c r="Q326" s="292"/>
      <c r="R326" s="292"/>
      <c r="S326" s="292"/>
      <c r="T326" s="292"/>
      <c r="U326" s="292"/>
      <c r="V326" s="292"/>
      <c r="W326" s="292" t="b">
        <f>IFERROR(__xludf.DUMMYFUNCTION("""COMPUTED_VALUE"""),TRUE)</f>
        <v>1</v>
      </c>
      <c r="X326" s="292" t="str">
        <f>IFERROR(__xludf.DUMMYFUNCTION("""COMPUTED_VALUE"""),"#N/A")</f>
        <v>#N/A</v>
      </c>
      <c r="Y326" s="344" t="str">
        <f>IFERROR(__xludf.DUMMYFUNCTION("""COMPUTED_VALUE"""),"#N/A")</f>
        <v>#N/A</v>
      </c>
      <c r="Z326" s="343" t="str">
        <f>IFERROR(__xludf.DUMMYFUNCTION("""COMPUTED_VALUE"""),"#N/A")</f>
        <v>#N/A</v>
      </c>
      <c r="AA326" s="292" t="str">
        <f>IFERROR(__xludf.DUMMYFUNCTION("""COMPUTED_VALUE"""),"#N/A")</f>
        <v>#N/A</v>
      </c>
      <c r="AB326" s="292" t="str">
        <f>IFERROR(__xludf.DUMMYFUNCTION("""COMPUTED_VALUE"""),"#N/A")</f>
        <v>#N/A</v>
      </c>
      <c r="AC326" s="292" t="str">
        <f>IFERROR(__xludf.DUMMYFUNCTION("""COMPUTED_VALUE"""),"#N/A")</f>
        <v>#N/A</v>
      </c>
      <c r="AD326" s="292" t="str">
        <f>IFERROR(__xludf.DUMMYFUNCTION("""COMPUTED_VALUE"""),"#N/A")</f>
        <v>#N/A</v>
      </c>
      <c r="AE326" s="343" t="str">
        <f>IFERROR(__xludf.DUMMYFUNCTION("""COMPUTED_VALUE"""),"#N/A")</f>
        <v>#N/A</v>
      </c>
      <c r="AF326" s="292" t="str">
        <f>IFERROR(__xludf.DUMMYFUNCTION("""COMPUTED_VALUE"""),"#N/A")</f>
        <v>#N/A</v>
      </c>
      <c r="AG326" s="292"/>
      <c r="AH326" s="292" t="str">
        <f>IFERROR(__xludf.DUMMYFUNCTION("""COMPUTED_VALUE"""),"#N/A")</f>
        <v>#N/A</v>
      </c>
      <c r="AI326" s="292" t="str">
        <f>IFERROR(__xludf.DUMMYFUNCTION("""COMPUTED_VALUE"""),"#N/A")</f>
        <v>#N/A</v>
      </c>
      <c r="AJ326" s="292" t="str">
        <f>IFERROR(__xludf.DUMMYFUNCTION("""COMPUTED_VALUE"""),"#N/A")</f>
        <v>#N/A</v>
      </c>
      <c r="AK326" s="292" t="str">
        <f>IFERROR(__xludf.DUMMYFUNCTION("""COMPUTED_VALUE"""),"#N/A")</f>
        <v>#N/A</v>
      </c>
      <c r="AL326" s="292" t="str">
        <f>IFERROR(__xludf.DUMMYFUNCTION("""COMPUTED_VALUE"""),"#N/A")</f>
        <v>#N/A</v>
      </c>
      <c r="AM326" s="292" t="str">
        <f>IFERROR(__xludf.DUMMYFUNCTION("""COMPUTED_VALUE"""),"#N/A")</f>
        <v>#N/A</v>
      </c>
      <c r="AN326" s="292" t="str">
        <f>IFERROR(__xludf.DUMMYFUNCTION("""COMPUTED_VALUE"""),"#N/A")</f>
        <v>#N/A</v>
      </c>
      <c r="AO326" s="292" t="str">
        <f>IFERROR(__xludf.DUMMYFUNCTION("""COMPUTED_VALUE"""),"#N/A")</f>
        <v>#N/A</v>
      </c>
      <c r="AP326" s="292"/>
      <c r="AQ326" s="292"/>
      <c r="AR326" s="292"/>
      <c r="AS326" s="292"/>
      <c r="AT326" s="292"/>
      <c r="AU326" s="292"/>
      <c r="AV326" s="292"/>
      <c r="AW326" s="292"/>
      <c r="AX326" s="292"/>
      <c r="AY326" s="292"/>
      <c r="AZ326" s="292"/>
      <c r="BA326" s="292"/>
      <c r="BB326" s="292"/>
      <c r="BC326" s="292"/>
      <c r="BD326" s="292"/>
      <c r="BE326" s="292"/>
      <c r="BF326" s="296" t="str">
        <f>IFERROR(__xludf.DUMMYFUNCTION("""COMPUTED_VALUE"""),"#REF!")</f>
        <v>#REF!</v>
      </c>
      <c r="BG326" s="296" t="str">
        <f>IFERROR(__xludf.DUMMYFUNCTION("""COMPUTED_VALUE"""),"#REF!")</f>
        <v>#REF!</v>
      </c>
      <c r="BH326" s="296" t="str">
        <f>IFERROR(__xludf.DUMMYFUNCTION("""COMPUTED_VALUE"""),"#REF!")</f>
        <v>#REF!</v>
      </c>
      <c r="BI326" s="295" t="str">
        <f>IFERROR(__xludf.DUMMYFUNCTION("""COMPUTED_VALUE"""),"#N/A")</f>
        <v>#N/A</v>
      </c>
      <c r="BJ326" s="292"/>
      <c r="BK326" s="346" t="str">
        <f>IFERROR(__xludf.DUMMYFUNCTION("""COMPUTED_VALUE"""),"#N/A")</f>
        <v>#N/A</v>
      </c>
      <c r="BL326" s="292"/>
      <c r="BM326" s="292"/>
      <c r="BN326" s="292"/>
      <c r="BO326" s="292"/>
      <c r="BP326" s="292"/>
      <c r="BQ326" s="292"/>
      <c r="BR326" s="292"/>
      <c r="BS326" s="292"/>
      <c r="BT326" s="292"/>
      <c r="BU326" s="292"/>
      <c r="BV326" s="292"/>
      <c r="BW326" s="292"/>
    </row>
    <row r="327">
      <c r="A327" s="292"/>
      <c r="B327" s="292" t="str">
        <f>IFERROR(__xludf.DUMMYFUNCTION("""COMPUTED_VALUE"""),"")</f>
        <v/>
      </c>
      <c r="C327" s="292"/>
      <c r="D327" s="292" t="str">
        <f>IFERROR(__xludf.DUMMYFUNCTION("""COMPUTED_VALUE"""),"")</f>
        <v/>
      </c>
      <c r="E327" s="292" t="str">
        <f>IFERROR(__xludf.DUMMYFUNCTION("""COMPUTED_VALUE"""),"")</f>
        <v/>
      </c>
      <c r="F327" s="292"/>
      <c r="G327" s="292" t="str">
        <f>IFERROR(__xludf.DUMMYFUNCTION("""COMPUTED_VALUE"""),"")</f>
        <v/>
      </c>
      <c r="H327" s="292" t="str">
        <f>IFERROR(__xludf.DUMMYFUNCTION("""COMPUTED_VALUE"""),"")</f>
        <v/>
      </c>
      <c r="I327" s="292"/>
      <c r="J327" s="292"/>
      <c r="K327" s="292"/>
      <c r="L327" s="292"/>
      <c r="M327" s="292" t="str">
        <f>IFERROR(__xludf.DUMMYFUNCTION("""COMPUTED_VALUE"""),"")</f>
        <v/>
      </c>
      <c r="N327" s="292"/>
      <c r="O327" s="292"/>
      <c r="P327" s="292"/>
      <c r="Q327" s="292"/>
      <c r="R327" s="292"/>
      <c r="S327" s="292"/>
      <c r="T327" s="292"/>
      <c r="U327" s="292"/>
      <c r="V327" s="292"/>
      <c r="W327" s="292" t="b">
        <f>IFERROR(__xludf.DUMMYFUNCTION("""COMPUTED_VALUE"""),TRUE)</f>
        <v>1</v>
      </c>
      <c r="X327" s="292" t="str">
        <f>IFERROR(__xludf.DUMMYFUNCTION("""COMPUTED_VALUE"""),"#N/A")</f>
        <v>#N/A</v>
      </c>
      <c r="Y327" s="344" t="str">
        <f>IFERROR(__xludf.DUMMYFUNCTION("""COMPUTED_VALUE"""),"#N/A")</f>
        <v>#N/A</v>
      </c>
      <c r="Z327" s="343" t="str">
        <f>IFERROR(__xludf.DUMMYFUNCTION("""COMPUTED_VALUE"""),"#N/A")</f>
        <v>#N/A</v>
      </c>
      <c r="AA327" s="292" t="str">
        <f>IFERROR(__xludf.DUMMYFUNCTION("""COMPUTED_VALUE"""),"#N/A")</f>
        <v>#N/A</v>
      </c>
      <c r="AB327" s="292" t="str">
        <f>IFERROR(__xludf.DUMMYFUNCTION("""COMPUTED_VALUE"""),"#N/A")</f>
        <v>#N/A</v>
      </c>
      <c r="AC327" s="292" t="str">
        <f>IFERROR(__xludf.DUMMYFUNCTION("""COMPUTED_VALUE"""),"#N/A")</f>
        <v>#N/A</v>
      </c>
      <c r="AD327" s="292" t="str">
        <f>IFERROR(__xludf.DUMMYFUNCTION("""COMPUTED_VALUE"""),"#N/A")</f>
        <v>#N/A</v>
      </c>
      <c r="AE327" s="343" t="str">
        <f>IFERROR(__xludf.DUMMYFUNCTION("""COMPUTED_VALUE"""),"#N/A")</f>
        <v>#N/A</v>
      </c>
      <c r="AF327" s="292" t="str">
        <f>IFERROR(__xludf.DUMMYFUNCTION("""COMPUTED_VALUE"""),"#N/A")</f>
        <v>#N/A</v>
      </c>
      <c r="AG327" s="292"/>
      <c r="AH327" s="292" t="str">
        <f>IFERROR(__xludf.DUMMYFUNCTION("""COMPUTED_VALUE"""),"#N/A")</f>
        <v>#N/A</v>
      </c>
      <c r="AI327" s="292" t="str">
        <f>IFERROR(__xludf.DUMMYFUNCTION("""COMPUTED_VALUE"""),"#N/A")</f>
        <v>#N/A</v>
      </c>
      <c r="AJ327" s="292" t="str">
        <f>IFERROR(__xludf.DUMMYFUNCTION("""COMPUTED_VALUE"""),"#N/A")</f>
        <v>#N/A</v>
      </c>
      <c r="AK327" s="292" t="str">
        <f>IFERROR(__xludf.DUMMYFUNCTION("""COMPUTED_VALUE"""),"#N/A")</f>
        <v>#N/A</v>
      </c>
      <c r="AL327" s="292" t="str">
        <f>IFERROR(__xludf.DUMMYFUNCTION("""COMPUTED_VALUE"""),"#N/A")</f>
        <v>#N/A</v>
      </c>
      <c r="AM327" s="292" t="str">
        <f>IFERROR(__xludf.DUMMYFUNCTION("""COMPUTED_VALUE"""),"#N/A")</f>
        <v>#N/A</v>
      </c>
      <c r="AN327" s="292" t="str">
        <f>IFERROR(__xludf.DUMMYFUNCTION("""COMPUTED_VALUE"""),"#N/A")</f>
        <v>#N/A</v>
      </c>
      <c r="AO327" s="292" t="str">
        <f>IFERROR(__xludf.DUMMYFUNCTION("""COMPUTED_VALUE"""),"#N/A")</f>
        <v>#N/A</v>
      </c>
      <c r="AP327" s="292"/>
      <c r="AQ327" s="292"/>
      <c r="AR327" s="292"/>
      <c r="AS327" s="292"/>
      <c r="AT327" s="292"/>
      <c r="AU327" s="292"/>
      <c r="AV327" s="292"/>
      <c r="AW327" s="292"/>
      <c r="AX327" s="292"/>
      <c r="AY327" s="292"/>
      <c r="AZ327" s="292"/>
      <c r="BA327" s="292"/>
      <c r="BB327" s="292"/>
      <c r="BC327" s="292"/>
      <c r="BD327" s="292"/>
      <c r="BE327" s="292"/>
      <c r="BF327" s="296" t="str">
        <f>IFERROR(__xludf.DUMMYFUNCTION("""COMPUTED_VALUE"""),"#REF!")</f>
        <v>#REF!</v>
      </c>
      <c r="BG327" s="296" t="str">
        <f>IFERROR(__xludf.DUMMYFUNCTION("""COMPUTED_VALUE"""),"#REF!")</f>
        <v>#REF!</v>
      </c>
      <c r="BH327" s="296" t="str">
        <f>IFERROR(__xludf.DUMMYFUNCTION("""COMPUTED_VALUE"""),"#REF!")</f>
        <v>#REF!</v>
      </c>
      <c r="BI327" s="295" t="str">
        <f>IFERROR(__xludf.DUMMYFUNCTION("""COMPUTED_VALUE"""),"#N/A")</f>
        <v>#N/A</v>
      </c>
      <c r="BJ327" s="292"/>
      <c r="BK327" s="346" t="str">
        <f>IFERROR(__xludf.DUMMYFUNCTION("""COMPUTED_VALUE"""),"#N/A")</f>
        <v>#N/A</v>
      </c>
      <c r="BL327" s="292"/>
      <c r="BM327" s="292"/>
      <c r="BN327" s="292"/>
      <c r="BO327" s="292"/>
      <c r="BP327" s="292"/>
      <c r="BQ327" s="292"/>
      <c r="BR327" s="292"/>
      <c r="BS327" s="292"/>
      <c r="BT327" s="292"/>
      <c r="BU327" s="292"/>
      <c r="BV327" s="292"/>
      <c r="BW327" s="292"/>
    </row>
    <row r="328">
      <c r="A328" s="292"/>
      <c r="B328" s="292" t="str">
        <f>IFERROR(__xludf.DUMMYFUNCTION("""COMPUTED_VALUE"""),"")</f>
        <v/>
      </c>
      <c r="C328" s="292"/>
      <c r="D328" s="292" t="str">
        <f>IFERROR(__xludf.DUMMYFUNCTION("""COMPUTED_VALUE"""),"")</f>
        <v/>
      </c>
      <c r="E328" s="292" t="str">
        <f>IFERROR(__xludf.DUMMYFUNCTION("""COMPUTED_VALUE"""),"")</f>
        <v/>
      </c>
      <c r="F328" s="292"/>
      <c r="G328" s="292" t="str">
        <f>IFERROR(__xludf.DUMMYFUNCTION("""COMPUTED_VALUE"""),"")</f>
        <v/>
      </c>
      <c r="H328" s="292" t="str">
        <f>IFERROR(__xludf.DUMMYFUNCTION("""COMPUTED_VALUE"""),"")</f>
        <v/>
      </c>
      <c r="I328" s="292"/>
      <c r="J328" s="292"/>
      <c r="K328" s="292"/>
      <c r="L328" s="292"/>
      <c r="M328" s="292" t="str">
        <f>IFERROR(__xludf.DUMMYFUNCTION("""COMPUTED_VALUE"""),"")</f>
        <v/>
      </c>
      <c r="N328" s="292"/>
      <c r="O328" s="292"/>
      <c r="P328" s="292"/>
      <c r="Q328" s="292"/>
      <c r="R328" s="292"/>
      <c r="S328" s="292"/>
      <c r="T328" s="292"/>
      <c r="U328" s="292"/>
      <c r="V328" s="292"/>
      <c r="W328" s="292" t="b">
        <f>IFERROR(__xludf.DUMMYFUNCTION("""COMPUTED_VALUE"""),TRUE)</f>
        <v>1</v>
      </c>
      <c r="X328" s="292" t="str">
        <f>IFERROR(__xludf.DUMMYFUNCTION("""COMPUTED_VALUE"""),"#N/A")</f>
        <v>#N/A</v>
      </c>
      <c r="Y328" s="344" t="str">
        <f>IFERROR(__xludf.DUMMYFUNCTION("""COMPUTED_VALUE"""),"#N/A")</f>
        <v>#N/A</v>
      </c>
      <c r="Z328" s="343" t="str">
        <f>IFERROR(__xludf.DUMMYFUNCTION("""COMPUTED_VALUE"""),"#N/A")</f>
        <v>#N/A</v>
      </c>
      <c r="AA328" s="292" t="str">
        <f>IFERROR(__xludf.DUMMYFUNCTION("""COMPUTED_VALUE"""),"#N/A")</f>
        <v>#N/A</v>
      </c>
      <c r="AB328" s="292" t="str">
        <f>IFERROR(__xludf.DUMMYFUNCTION("""COMPUTED_VALUE"""),"#N/A")</f>
        <v>#N/A</v>
      </c>
      <c r="AC328" s="292" t="str">
        <f>IFERROR(__xludf.DUMMYFUNCTION("""COMPUTED_VALUE"""),"#N/A")</f>
        <v>#N/A</v>
      </c>
      <c r="AD328" s="292" t="str">
        <f>IFERROR(__xludf.DUMMYFUNCTION("""COMPUTED_VALUE"""),"#N/A")</f>
        <v>#N/A</v>
      </c>
      <c r="AE328" s="343" t="str">
        <f>IFERROR(__xludf.DUMMYFUNCTION("""COMPUTED_VALUE"""),"#N/A")</f>
        <v>#N/A</v>
      </c>
      <c r="AF328" s="292" t="str">
        <f>IFERROR(__xludf.DUMMYFUNCTION("""COMPUTED_VALUE"""),"#N/A")</f>
        <v>#N/A</v>
      </c>
      <c r="AG328" s="292"/>
      <c r="AH328" s="292" t="str">
        <f>IFERROR(__xludf.DUMMYFUNCTION("""COMPUTED_VALUE"""),"#N/A")</f>
        <v>#N/A</v>
      </c>
      <c r="AI328" s="292" t="str">
        <f>IFERROR(__xludf.DUMMYFUNCTION("""COMPUTED_VALUE"""),"#N/A")</f>
        <v>#N/A</v>
      </c>
      <c r="AJ328" s="292" t="str">
        <f>IFERROR(__xludf.DUMMYFUNCTION("""COMPUTED_VALUE"""),"#N/A")</f>
        <v>#N/A</v>
      </c>
      <c r="AK328" s="292" t="str">
        <f>IFERROR(__xludf.DUMMYFUNCTION("""COMPUTED_VALUE"""),"#N/A")</f>
        <v>#N/A</v>
      </c>
      <c r="AL328" s="292" t="str">
        <f>IFERROR(__xludf.DUMMYFUNCTION("""COMPUTED_VALUE"""),"#N/A")</f>
        <v>#N/A</v>
      </c>
      <c r="AM328" s="292" t="str">
        <f>IFERROR(__xludf.DUMMYFUNCTION("""COMPUTED_VALUE"""),"#N/A")</f>
        <v>#N/A</v>
      </c>
      <c r="AN328" s="292" t="str">
        <f>IFERROR(__xludf.DUMMYFUNCTION("""COMPUTED_VALUE"""),"#N/A")</f>
        <v>#N/A</v>
      </c>
      <c r="AO328" s="292" t="str">
        <f>IFERROR(__xludf.DUMMYFUNCTION("""COMPUTED_VALUE"""),"#N/A")</f>
        <v>#N/A</v>
      </c>
      <c r="AP328" s="292"/>
      <c r="AQ328" s="292"/>
      <c r="AR328" s="292"/>
      <c r="AS328" s="292"/>
      <c r="AT328" s="292"/>
      <c r="AU328" s="292"/>
      <c r="AV328" s="292"/>
      <c r="AW328" s="292"/>
      <c r="AX328" s="292"/>
      <c r="AY328" s="292"/>
      <c r="AZ328" s="292"/>
      <c r="BA328" s="292"/>
      <c r="BB328" s="292"/>
      <c r="BC328" s="292"/>
      <c r="BD328" s="292"/>
      <c r="BE328" s="292"/>
      <c r="BF328" s="296" t="str">
        <f>IFERROR(__xludf.DUMMYFUNCTION("""COMPUTED_VALUE"""),"#REF!")</f>
        <v>#REF!</v>
      </c>
      <c r="BG328" s="296" t="str">
        <f>IFERROR(__xludf.DUMMYFUNCTION("""COMPUTED_VALUE"""),"#REF!")</f>
        <v>#REF!</v>
      </c>
      <c r="BH328" s="296" t="str">
        <f>IFERROR(__xludf.DUMMYFUNCTION("""COMPUTED_VALUE"""),"#REF!")</f>
        <v>#REF!</v>
      </c>
      <c r="BI328" s="295" t="str">
        <f>IFERROR(__xludf.DUMMYFUNCTION("""COMPUTED_VALUE"""),"#N/A")</f>
        <v>#N/A</v>
      </c>
      <c r="BJ328" s="292"/>
      <c r="BK328" s="346" t="str">
        <f>IFERROR(__xludf.DUMMYFUNCTION("""COMPUTED_VALUE"""),"#N/A")</f>
        <v>#N/A</v>
      </c>
      <c r="BL328" s="292"/>
      <c r="BM328" s="292"/>
      <c r="BN328" s="292"/>
      <c r="BO328" s="292"/>
      <c r="BP328" s="292"/>
      <c r="BQ328" s="292"/>
      <c r="BR328" s="292"/>
      <c r="BS328" s="292"/>
      <c r="BT328" s="292"/>
      <c r="BU328" s="292"/>
      <c r="BV328" s="292"/>
      <c r="BW328" s="292"/>
    </row>
    <row r="329">
      <c r="A329" s="292"/>
      <c r="B329" s="292" t="str">
        <f>IFERROR(__xludf.DUMMYFUNCTION("""COMPUTED_VALUE"""),"")</f>
        <v/>
      </c>
      <c r="C329" s="292"/>
      <c r="D329" s="292" t="str">
        <f>IFERROR(__xludf.DUMMYFUNCTION("""COMPUTED_VALUE"""),"")</f>
        <v/>
      </c>
      <c r="E329" s="292" t="str">
        <f>IFERROR(__xludf.DUMMYFUNCTION("""COMPUTED_VALUE"""),"")</f>
        <v/>
      </c>
      <c r="F329" s="292"/>
      <c r="G329" s="292" t="str">
        <f>IFERROR(__xludf.DUMMYFUNCTION("""COMPUTED_VALUE"""),"")</f>
        <v/>
      </c>
      <c r="H329" s="292" t="str">
        <f>IFERROR(__xludf.DUMMYFUNCTION("""COMPUTED_VALUE"""),"")</f>
        <v/>
      </c>
      <c r="I329" s="292"/>
      <c r="J329" s="292"/>
      <c r="K329" s="292"/>
      <c r="L329" s="292"/>
      <c r="M329" s="292" t="str">
        <f>IFERROR(__xludf.DUMMYFUNCTION("""COMPUTED_VALUE"""),"")</f>
        <v/>
      </c>
      <c r="N329" s="292"/>
      <c r="O329" s="292"/>
      <c r="P329" s="292"/>
      <c r="Q329" s="292"/>
      <c r="R329" s="292"/>
      <c r="S329" s="292"/>
      <c r="T329" s="292"/>
      <c r="U329" s="292"/>
      <c r="V329" s="292"/>
      <c r="W329" s="292" t="b">
        <f>IFERROR(__xludf.DUMMYFUNCTION("""COMPUTED_VALUE"""),TRUE)</f>
        <v>1</v>
      </c>
      <c r="X329" s="292" t="str">
        <f>IFERROR(__xludf.DUMMYFUNCTION("""COMPUTED_VALUE"""),"#N/A")</f>
        <v>#N/A</v>
      </c>
      <c r="Y329" s="344" t="str">
        <f>IFERROR(__xludf.DUMMYFUNCTION("""COMPUTED_VALUE"""),"#N/A")</f>
        <v>#N/A</v>
      </c>
      <c r="Z329" s="343" t="str">
        <f>IFERROR(__xludf.DUMMYFUNCTION("""COMPUTED_VALUE"""),"#N/A")</f>
        <v>#N/A</v>
      </c>
      <c r="AA329" s="292" t="str">
        <f>IFERROR(__xludf.DUMMYFUNCTION("""COMPUTED_VALUE"""),"#N/A")</f>
        <v>#N/A</v>
      </c>
      <c r="AB329" s="292" t="str">
        <f>IFERROR(__xludf.DUMMYFUNCTION("""COMPUTED_VALUE"""),"#N/A")</f>
        <v>#N/A</v>
      </c>
      <c r="AC329" s="292" t="str">
        <f>IFERROR(__xludf.DUMMYFUNCTION("""COMPUTED_VALUE"""),"#N/A")</f>
        <v>#N/A</v>
      </c>
      <c r="AD329" s="292" t="str">
        <f>IFERROR(__xludf.DUMMYFUNCTION("""COMPUTED_VALUE"""),"#N/A")</f>
        <v>#N/A</v>
      </c>
      <c r="AE329" s="343" t="str">
        <f>IFERROR(__xludf.DUMMYFUNCTION("""COMPUTED_VALUE"""),"#N/A")</f>
        <v>#N/A</v>
      </c>
      <c r="AF329" s="292" t="str">
        <f>IFERROR(__xludf.DUMMYFUNCTION("""COMPUTED_VALUE"""),"#N/A")</f>
        <v>#N/A</v>
      </c>
      <c r="AG329" s="292"/>
      <c r="AH329" s="292" t="str">
        <f>IFERROR(__xludf.DUMMYFUNCTION("""COMPUTED_VALUE"""),"#N/A")</f>
        <v>#N/A</v>
      </c>
      <c r="AI329" s="292" t="str">
        <f>IFERROR(__xludf.DUMMYFUNCTION("""COMPUTED_VALUE"""),"#N/A")</f>
        <v>#N/A</v>
      </c>
      <c r="AJ329" s="292" t="str">
        <f>IFERROR(__xludf.DUMMYFUNCTION("""COMPUTED_VALUE"""),"#N/A")</f>
        <v>#N/A</v>
      </c>
      <c r="AK329" s="292" t="str">
        <f>IFERROR(__xludf.DUMMYFUNCTION("""COMPUTED_VALUE"""),"#N/A")</f>
        <v>#N/A</v>
      </c>
      <c r="AL329" s="292" t="str">
        <f>IFERROR(__xludf.DUMMYFUNCTION("""COMPUTED_VALUE"""),"#N/A")</f>
        <v>#N/A</v>
      </c>
      <c r="AM329" s="292" t="str">
        <f>IFERROR(__xludf.DUMMYFUNCTION("""COMPUTED_VALUE"""),"#N/A")</f>
        <v>#N/A</v>
      </c>
      <c r="AN329" s="292" t="str">
        <f>IFERROR(__xludf.DUMMYFUNCTION("""COMPUTED_VALUE"""),"#N/A")</f>
        <v>#N/A</v>
      </c>
      <c r="AO329" s="292" t="str">
        <f>IFERROR(__xludf.DUMMYFUNCTION("""COMPUTED_VALUE"""),"#N/A")</f>
        <v>#N/A</v>
      </c>
      <c r="AP329" s="292"/>
      <c r="AQ329" s="292"/>
      <c r="AR329" s="292"/>
      <c r="AS329" s="292"/>
      <c r="AT329" s="292"/>
      <c r="AU329" s="292"/>
      <c r="AV329" s="292"/>
      <c r="AW329" s="292"/>
      <c r="AX329" s="292"/>
      <c r="AY329" s="292"/>
      <c r="AZ329" s="292"/>
      <c r="BA329" s="292"/>
      <c r="BB329" s="292"/>
      <c r="BC329" s="292"/>
      <c r="BD329" s="292"/>
      <c r="BE329" s="292"/>
      <c r="BF329" s="296" t="str">
        <f>IFERROR(__xludf.DUMMYFUNCTION("""COMPUTED_VALUE"""),"#REF!")</f>
        <v>#REF!</v>
      </c>
      <c r="BG329" s="296" t="str">
        <f>IFERROR(__xludf.DUMMYFUNCTION("""COMPUTED_VALUE"""),"#REF!")</f>
        <v>#REF!</v>
      </c>
      <c r="BH329" s="296" t="str">
        <f>IFERROR(__xludf.DUMMYFUNCTION("""COMPUTED_VALUE"""),"#REF!")</f>
        <v>#REF!</v>
      </c>
      <c r="BI329" s="295" t="str">
        <f>IFERROR(__xludf.DUMMYFUNCTION("""COMPUTED_VALUE"""),"#N/A")</f>
        <v>#N/A</v>
      </c>
      <c r="BJ329" s="292"/>
      <c r="BK329" s="346" t="str">
        <f>IFERROR(__xludf.DUMMYFUNCTION("""COMPUTED_VALUE"""),"#N/A")</f>
        <v>#N/A</v>
      </c>
      <c r="BL329" s="292"/>
      <c r="BM329" s="292"/>
      <c r="BN329" s="292"/>
      <c r="BO329" s="292"/>
      <c r="BP329" s="292"/>
      <c r="BQ329" s="292"/>
      <c r="BR329" s="292"/>
      <c r="BS329" s="292"/>
      <c r="BT329" s="292"/>
      <c r="BU329" s="292"/>
      <c r="BV329" s="292"/>
      <c r="BW329" s="292"/>
    </row>
    <row r="330">
      <c r="A330" s="292"/>
      <c r="B330" s="292" t="str">
        <f>IFERROR(__xludf.DUMMYFUNCTION("""COMPUTED_VALUE"""),"")</f>
        <v/>
      </c>
      <c r="C330" s="292"/>
      <c r="D330" s="292" t="str">
        <f>IFERROR(__xludf.DUMMYFUNCTION("""COMPUTED_VALUE"""),"")</f>
        <v/>
      </c>
      <c r="E330" s="292" t="str">
        <f>IFERROR(__xludf.DUMMYFUNCTION("""COMPUTED_VALUE"""),"")</f>
        <v/>
      </c>
      <c r="F330" s="292"/>
      <c r="G330" s="292" t="str">
        <f>IFERROR(__xludf.DUMMYFUNCTION("""COMPUTED_VALUE"""),"")</f>
        <v/>
      </c>
      <c r="H330" s="292" t="str">
        <f>IFERROR(__xludf.DUMMYFUNCTION("""COMPUTED_VALUE"""),"")</f>
        <v/>
      </c>
      <c r="I330" s="292"/>
      <c r="J330" s="292"/>
      <c r="K330" s="292"/>
      <c r="L330" s="292"/>
      <c r="M330" s="292" t="str">
        <f>IFERROR(__xludf.DUMMYFUNCTION("""COMPUTED_VALUE"""),"")</f>
        <v/>
      </c>
      <c r="N330" s="292"/>
      <c r="O330" s="292"/>
      <c r="P330" s="292"/>
      <c r="Q330" s="292"/>
      <c r="R330" s="292"/>
      <c r="S330" s="292"/>
      <c r="T330" s="292"/>
      <c r="U330" s="292"/>
      <c r="V330" s="292"/>
      <c r="W330" s="292" t="b">
        <f>IFERROR(__xludf.DUMMYFUNCTION("""COMPUTED_VALUE"""),TRUE)</f>
        <v>1</v>
      </c>
      <c r="X330" s="292" t="str">
        <f>IFERROR(__xludf.DUMMYFUNCTION("""COMPUTED_VALUE"""),"#N/A")</f>
        <v>#N/A</v>
      </c>
      <c r="Y330" s="344" t="str">
        <f>IFERROR(__xludf.DUMMYFUNCTION("""COMPUTED_VALUE"""),"#N/A")</f>
        <v>#N/A</v>
      </c>
      <c r="Z330" s="343" t="str">
        <f>IFERROR(__xludf.DUMMYFUNCTION("""COMPUTED_VALUE"""),"#N/A")</f>
        <v>#N/A</v>
      </c>
      <c r="AA330" s="292" t="str">
        <f>IFERROR(__xludf.DUMMYFUNCTION("""COMPUTED_VALUE"""),"#N/A")</f>
        <v>#N/A</v>
      </c>
      <c r="AB330" s="292" t="str">
        <f>IFERROR(__xludf.DUMMYFUNCTION("""COMPUTED_VALUE"""),"#N/A")</f>
        <v>#N/A</v>
      </c>
      <c r="AC330" s="292" t="str">
        <f>IFERROR(__xludf.DUMMYFUNCTION("""COMPUTED_VALUE"""),"#N/A")</f>
        <v>#N/A</v>
      </c>
      <c r="AD330" s="292" t="str">
        <f>IFERROR(__xludf.DUMMYFUNCTION("""COMPUTED_VALUE"""),"#N/A")</f>
        <v>#N/A</v>
      </c>
      <c r="AE330" s="343" t="str">
        <f>IFERROR(__xludf.DUMMYFUNCTION("""COMPUTED_VALUE"""),"#N/A")</f>
        <v>#N/A</v>
      </c>
      <c r="AF330" s="292" t="str">
        <f>IFERROR(__xludf.DUMMYFUNCTION("""COMPUTED_VALUE"""),"#N/A")</f>
        <v>#N/A</v>
      </c>
      <c r="AG330" s="292"/>
      <c r="AH330" s="292" t="str">
        <f>IFERROR(__xludf.DUMMYFUNCTION("""COMPUTED_VALUE"""),"#N/A")</f>
        <v>#N/A</v>
      </c>
      <c r="AI330" s="292" t="str">
        <f>IFERROR(__xludf.DUMMYFUNCTION("""COMPUTED_VALUE"""),"#N/A")</f>
        <v>#N/A</v>
      </c>
      <c r="AJ330" s="292" t="str">
        <f>IFERROR(__xludf.DUMMYFUNCTION("""COMPUTED_VALUE"""),"#N/A")</f>
        <v>#N/A</v>
      </c>
      <c r="AK330" s="292" t="str">
        <f>IFERROR(__xludf.DUMMYFUNCTION("""COMPUTED_VALUE"""),"#N/A")</f>
        <v>#N/A</v>
      </c>
      <c r="AL330" s="292" t="str">
        <f>IFERROR(__xludf.DUMMYFUNCTION("""COMPUTED_VALUE"""),"#N/A")</f>
        <v>#N/A</v>
      </c>
      <c r="AM330" s="292" t="str">
        <f>IFERROR(__xludf.DUMMYFUNCTION("""COMPUTED_VALUE"""),"#N/A")</f>
        <v>#N/A</v>
      </c>
      <c r="AN330" s="292" t="str">
        <f>IFERROR(__xludf.DUMMYFUNCTION("""COMPUTED_VALUE"""),"#N/A")</f>
        <v>#N/A</v>
      </c>
      <c r="AO330" s="292" t="str">
        <f>IFERROR(__xludf.DUMMYFUNCTION("""COMPUTED_VALUE"""),"#N/A")</f>
        <v>#N/A</v>
      </c>
      <c r="AP330" s="292"/>
      <c r="AQ330" s="292"/>
      <c r="AR330" s="292"/>
      <c r="AS330" s="292"/>
      <c r="AT330" s="292"/>
      <c r="AU330" s="292"/>
      <c r="AV330" s="292"/>
      <c r="AW330" s="292"/>
      <c r="AX330" s="292"/>
      <c r="AY330" s="292"/>
      <c r="AZ330" s="292"/>
      <c r="BA330" s="292"/>
      <c r="BB330" s="292"/>
      <c r="BC330" s="292"/>
      <c r="BD330" s="292"/>
      <c r="BE330" s="292"/>
      <c r="BF330" s="296" t="str">
        <f>IFERROR(__xludf.DUMMYFUNCTION("""COMPUTED_VALUE"""),"#REF!")</f>
        <v>#REF!</v>
      </c>
      <c r="BG330" s="296" t="str">
        <f>IFERROR(__xludf.DUMMYFUNCTION("""COMPUTED_VALUE"""),"#REF!")</f>
        <v>#REF!</v>
      </c>
      <c r="BH330" s="296" t="str">
        <f>IFERROR(__xludf.DUMMYFUNCTION("""COMPUTED_VALUE"""),"#REF!")</f>
        <v>#REF!</v>
      </c>
      <c r="BI330" s="295" t="str">
        <f>IFERROR(__xludf.DUMMYFUNCTION("""COMPUTED_VALUE"""),"#N/A")</f>
        <v>#N/A</v>
      </c>
      <c r="BJ330" s="292"/>
      <c r="BK330" s="346" t="str">
        <f>IFERROR(__xludf.DUMMYFUNCTION("""COMPUTED_VALUE"""),"#N/A")</f>
        <v>#N/A</v>
      </c>
      <c r="BL330" s="292"/>
      <c r="BM330" s="292"/>
      <c r="BN330" s="292"/>
      <c r="BO330" s="292"/>
      <c r="BP330" s="292"/>
      <c r="BQ330" s="292"/>
      <c r="BR330" s="292"/>
      <c r="BS330" s="292"/>
      <c r="BT330" s="292"/>
      <c r="BU330" s="292"/>
      <c r="BV330" s="292"/>
      <c r="BW330" s="292"/>
    </row>
    <row r="331">
      <c r="A331" s="292"/>
      <c r="B331" s="292" t="str">
        <f>IFERROR(__xludf.DUMMYFUNCTION("""COMPUTED_VALUE"""),"")</f>
        <v/>
      </c>
      <c r="C331" s="292"/>
      <c r="D331" s="292" t="str">
        <f>IFERROR(__xludf.DUMMYFUNCTION("""COMPUTED_VALUE"""),"")</f>
        <v/>
      </c>
      <c r="E331" s="292" t="str">
        <f>IFERROR(__xludf.DUMMYFUNCTION("""COMPUTED_VALUE"""),"")</f>
        <v/>
      </c>
      <c r="F331" s="292"/>
      <c r="G331" s="292" t="str">
        <f>IFERROR(__xludf.DUMMYFUNCTION("""COMPUTED_VALUE"""),"")</f>
        <v/>
      </c>
      <c r="H331" s="292" t="str">
        <f>IFERROR(__xludf.DUMMYFUNCTION("""COMPUTED_VALUE"""),"")</f>
        <v/>
      </c>
      <c r="I331" s="292"/>
      <c r="J331" s="292"/>
      <c r="K331" s="292"/>
      <c r="L331" s="292"/>
      <c r="M331" s="292" t="str">
        <f>IFERROR(__xludf.DUMMYFUNCTION("""COMPUTED_VALUE"""),"")</f>
        <v/>
      </c>
      <c r="N331" s="292"/>
      <c r="O331" s="292"/>
      <c r="P331" s="292"/>
      <c r="Q331" s="292"/>
      <c r="R331" s="292"/>
      <c r="S331" s="292"/>
      <c r="T331" s="292"/>
      <c r="U331" s="292"/>
      <c r="V331" s="292"/>
      <c r="W331" s="292" t="b">
        <f>IFERROR(__xludf.DUMMYFUNCTION("""COMPUTED_VALUE"""),TRUE)</f>
        <v>1</v>
      </c>
      <c r="X331" s="292" t="str">
        <f>IFERROR(__xludf.DUMMYFUNCTION("""COMPUTED_VALUE"""),"#N/A")</f>
        <v>#N/A</v>
      </c>
      <c r="Y331" s="344" t="str">
        <f>IFERROR(__xludf.DUMMYFUNCTION("""COMPUTED_VALUE"""),"#N/A")</f>
        <v>#N/A</v>
      </c>
      <c r="Z331" s="343" t="str">
        <f>IFERROR(__xludf.DUMMYFUNCTION("""COMPUTED_VALUE"""),"#N/A")</f>
        <v>#N/A</v>
      </c>
      <c r="AA331" s="292" t="str">
        <f>IFERROR(__xludf.DUMMYFUNCTION("""COMPUTED_VALUE"""),"#N/A")</f>
        <v>#N/A</v>
      </c>
      <c r="AB331" s="292" t="str">
        <f>IFERROR(__xludf.DUMMYFUNCTION("""COMPUTED_VALUE"""),"#N/A")</f>
        <v>#N/A</v>
      </c>
      <c r="AC331" s="292" t="str">
        <f>IFERROR(__xludf.DUMMYFUNCTION("""COMPUTED_VALUE"""),"#N/A")</f>
        <v>#N/A</v>
      </c>
      <c r="AD331" s="292" t="str">
        <f>IFERROR(__xludf.DUMMYFUNCTION("""COMPUTED_VALUE"""),"#N/A")</f>
        <v>#N/A</v>
      </c>
      <c r="AE331" s="343" t="str">
        <f>IFERROR(__xludf.DUMMYFUNCTION("""COMPUTED_VALUE"""),"#N/A")</f>
        <v>#N/A</v>
      </c>
      <c r="AF331" s="292" t="str">
        <f>IFERROR(__xludf.DUMMYFUNCTION("""COMPUTED_VALUE"""),"#N/A")</f>
        <v>#N/A</v>
      </c>
      <c r="AG331" s="292"/>
      <c r="AH331" s="292" t="str">
        <f>IFERROR(__xludf.DUMMYFUNCTION("""COMPUTED_VALUE"""),"#N/A")</f>
        <v>#N/A</v>
      </c>
      <c r="AI331" s="292" t="str">
        <f>IFERROR(__xludf.DUMMYFUNCTION("""COMPUTED_VALUE"""),"#N/A")</f>
        <v>#N/A</v>
      </c>
      <c r="AJ331" s="292" t="str">
        <f>IFERROR(__xludf.DUMMYFUNCTION("""COMPUTED_VALUE"""),"#N/A")</f>
        <v>#N/A</v>
      </c>
      <c r="AK331" s="292" t="str">
        <f>IFERROR(__xludf.DUMMYFUNCTION("""COMPUTED_VALUE"""),"#N/A")</f>
        <v>#N/A</v>
      </c>
      <c r="AL331" s="292" t="str">
        <f>IFERROR(__xludf.DUMMYFUNCTION("""COMPUTED_VALUE"""),"#N/A")</f>
        <v>#N/A</v>
      </c>
      <c r="AM331" s="292" t="str">
        <f>IFERROR(__xludf.DUMMYFUNCTION("""COMPUTED_VALUE"""),"#N/A")</f>
        <v>#N/A</v>
      </c>
      <c r="AN331" s="292" t="str">
        <f>IFERROR(__xludf.DUMMYFUNCTION("""COMPUTED_VALUE"""),"#N/A")</f>
        <v>#N/A</v>
      </c>
      <c r="AO331" s="292" t="str">
        <f>IFERROR(__xludf.DUMMYFUNCTION("""COMPUTED_VALUE"""),"#N/A")</f>
        <v>#N/A</v>
      </c>
      <c r="AP331" s="292"/>
      <c r="AQ331" s="292"/>
      <c r="AR331" s="292"/>
      <c r="AS331" s="292"/>
      <c r="AT331" s="292"/>
      <c r="AU331" s="292"/>
      <c r="AV331" s="292"/>
      <c r="AW331" s="292"/>
      <c r="AX331" s="292"/>
      <c r="AY331" s="292"/>
      <c r="AZ331" s="292"/>
      <c r="BA331" s="292"/>
      <c r="BB331" s="292"/>
      <c r="BC331" s="292"/>
      <c r="BD331" s="292"/>
      <c r="BE331" s="292"/>
      <c r="BF331" s="296" t="str">
        <f>IFERROR(__xludf.DUMMYFUNCTION("""COMPUTED_VALUE"""),"#REF!")</f>
        <v>#REF!</v>
      </c>
      <c r="BG331" s="296" t="str">
        <f>IFERROR(__xludf.DUMMYFUNCTION("""COMPUTED_VALUE"""),"#REF!")</f>
        <v>#REF!</v>
      </c>
      <c r="BH331" s="296" t="str">
        <f>IFERROR(__xludf.DUMMYFUNCTION("""COMPUTED_VALUE"""),"#REF!")</f>
        <v>#REF!</v>
      </c>
      <c r="BI331" s="295" t="str">
        <f>IFERROR(__xludf.DUMMYFUNCTION("""COMPUTED_VALUE"""),"#N/A")</f>
        <v>#N/A</v>
      </c>
      <c r="BJ331" s="292"/>
      <c r="BK331" s="346" t="str">
        <f>IFERROR(__xludf.DUMMYFUNCTION("""COMPUTED_VALUE"""),"#N/A")</f>
        <v>#N/A</v>
      </c>
      <c r="BL331" s="292"/>
      <c r="BM331" s="292"/>
      <c r="BN331" s="292"/>
      <c r="BO331" s="292"/>
      <c r="BP331" s="292"/>
      <c r="BQ331" s="292"/>
      <c r="BR331" s="292"/>
      <c r="BS331" s="292"/>
      <c r="BT331" s="292"/>
      <c r="BU331" s="292"/>
      <c r="BV331" s="292"/>
      <c r="BW331" s="292"/>
    </row>
    <row r="332">
      <c r="A332" s="292"/>
      <c r="B332" s="292" t="str">
        <f>IFERROR(__xludf.DUMMYFUNCTION("""COMPUTED_VALUE"""),"")</f>
        <v/>
      </c>
      <c r="C332" s="292"/>
      <c r="D332" s="292" t="str">
        <f>IFERROR(__xludf.DUMMYFUNCTION("""COMPUTED_VALUE"""),"")</f>
        <v/>
      </c>
      <c r="E332" s="292" t="str">
        <f>IFERROR(__xludf.DUMMYFUNCTION("""COMPUTED_VALUE"""),"")</f>
        <v/>
      </c>
      <c r="F332" s="292"/>
      <c r="G332" s="292" t="str">
        <f>IFERROR(__xludf.DUMMYFUNCTION("""COMPUTED_VALUE"""),"")</f>
        <v/>
      </c>
      <c r="H332" s="292" t="str">
        <f>IFERROR(__xludf.DUMMYFUNCTION("""COMPUTED_VALUE"""),"")</f>
        <v/>
      </c>
      <c r="I332" s="292"/>
      <c r="J332" s="292"/>
      <c r="K332" s="292"/>
      <c r="L332" s="292"/>
      <c r="M332" s="292" t="str">
        <f>IFERROR(__xludf.DUMMYFUNCTION("""COMPUTED_VALUE"""),"")</f>
        <v/>
      </c>
      <c r="N332" s="292"/>
      <c r="O332" s="292"/>
      <c r="P332" s="292"/>
      <c r="Q332" s="292"/>
      <c r="R332" s="292"/>
      <c r="S332" s="292"/>
      <c r="T332" s="292"/>
      <c r="U332" s="292"/>
      <c r="V332" s="292"/>
      <c r="W332" s="292" t="b">
        <f>IFERROR(__xludf.DUMMYFUNCTION("""COMPUTED_VALUE"""),TRUE)</f>
        <v>1</v>
      </c>
      <c r="X332" s="292" t="str">
        <f>IFERROR(__xludf.DUMMYFUNCTION("""COMPUTED_VALUE"""),"#N/A")</f>
        <v>#N/A</v>
      </c>
      <c r="Y332" s="344" t="str">
        <f>IFERROR(__xludf.DUMMYFUNCTION("""COMPUTED_VALUE"""),"#N/A")</f>
        <v>#N/A</v>
      </c>
      <c r="Z332" s="343" t="str">
        <f>IFERROR(__xludf.DUMMYFUNCTION("""COMPUTED_VALUE"""),"#N/A")</f>
        <v>#N/A</v>
      </c>
      <c r="AA332" s="292" t="str">
        <f>IFERROR(__xludf.DUMMYFUNCTION("""COMPUTED_VALUE"""),"#N/A")</f>
        <v>#N/A</v>
      </c>
      <c r="AB332" s="292" t="str">
        <f>IFERROR(__xludf.DUMMYFUNCTION("""COMPUTED_VALUE"""),"#N/A")</f>
        <v>#N/A</v>
      </c>
      <c r="AC332" s="292" t="str">
        <f>IFERROR(__xludf.DUMMYFUNCTION("""COMPUTED_VALUE"""),"#N/A")</f>
        <v>#N/A</v>
      </c>
      <c r="AD332" s="292" t="str">
        <f>IFERROR(__xludf.DUMMYFUNCTION("""COMPUTED_VALUE"""),"#N/A")</f>
        <v>#N/A</v>
      </c>
      <c r="AE332" s="343" t="str">
        <f>IFERROR(__xludf.DUMMYFUNCTION("""COMPUTED_VALUE"""),"#N/A")</f>
        <v>#N/A</v>
      </c>
      <c r="AF332" s="292" t="str">
        <f>IFERROR(__xludf.DUMMYFUNCTION("""COMPUTED_VALUE"""),"#N/A")</f>
        <v>#N/A</v>
      </c>
      <c r="AG332" s="292"/>
      <c r="AH332" s="292" t="str">
        <f>IFERROR(__xludf.DUMMYFUNCTION("""COMPUTED_VALUE"""),"#N/A")</f>
        <v>#N/A</v>
      </c>
      <c r="AI332" s="292" t="str">
        <f>IFERROR(__xludf.DUMMYFUNCTION("""COMPUTED_VALUE"""),"#N/A")</f>
        <v>#N/A</v>
      </c>
      <c r="AJ332" s="292" t="str">
        <f>IFERROR(__xludf.DUMMYFUNCTION("""COMPUTED_VALUE"""),"#N/A")</f>
        <v>#N/A</v>
      </c>
      <c r="AK332" s="292" t="str">
        <f>IFERROR(__xludf.DUMMYFUNCTION("""COMPUTED_VALUE"""),"#N/A")</f>
        <v>#N/A</v>
      </c>
      <c r="AL332" s="292" t="str">
        <f>IFERROR(__xludf.DUMMYFUNCTION("""COMPUTED_VALUE"""),"#N/A")</f>
        <v>#N/A</v>
      </c>
      <c r="AM332" s="292" t="str">
        <f>IFERROR(__xludf.DUMMYFUNCTION("""COMPUTED_VALUE"""),"#N/A")</f>
        <v>#N/A</v>
      </c>
      <c r="AN332" s="292" t="str">
        <f>IFERROR(__xludf.DUMMYFUNCTION("""COMPUTED_VALUE"""),"#N/A")</f>
        <v>#N/A</v>
      </c>
      <c r="AO332" s="292" t="str">
        <f>IFERROR(__xludf.DUMMYFUNCTION("""COMPUTED_VALUE"""),"#N/A")</f>
        <v>#N/A</v>
      </c>
      <c r="AP332" s="292"/>
      <c r="AQ332" s="292"/>
      <c r="AR332" s="292"/>
      <c r="AS332" s="292"/>
      <c r="AT332" s="292"/>
      <c r="AU332" s="292"/>
      <c r="AV332" s="292"/>
      <c r="AW332" s="292"/>
      <c r="AX332" s="292"/>
      <c r="AY332" s="292"/>
      <c r="AZ332" s="292"/>
      <c r="BA332" s="292"/>
      <c r="BB332" s="292"/>
      <c r="BC332" s="292"/>
      <c r="BD332" s="292"/>
      <c r="BE332" s="292"/>
      <c r="BF332" s="296" t="str">
        <f>IFERROR(__xludf.DUMMYFUNCTION("""COMPUTED_VALUE"""),"#REF!")</f>
        <v>#REF!</v>
      </c>
      <c r="BG332" s="296" t="str">
        <f>IFERROR(__xludf.DUMMYFUNCTION("""COMPUTED_VALUE"""),"#REF!")</f>
        <v>#REF!</v>
      </c>
      <c r="BH332" s="296" t="str">
        <f>IFERROR(__xludf.DUMMYFUNCTION("""COMPUTED_VALUE"""),"#REF!")</f>
        <v>#REF!</v>
      </c>
      <c r="BI332" s="295" t="str">
        <f>IFERROR(__xludf.DUMMYFUNCTION("""COMPUTED_VALUE"""),"#N/A")</f>
        <v>#N/A</v>
      </c>
      <c r="BJ332" s="292"/>
      <c r="BK332" s="346" t="str">
        <f>IFERROR(__xludf.DUMMYFUNCTION("""COMPUTED_VALUE"""),"#N/A")</f>
        <v>#N/A</v>
      </c>
      <c r="BL332" s="292"/>
      <c r="BM332" s="292"/>
      <c r="BN332" s="292"/>
      <c r="BO332" s="292"/>
      <c r="BP332" s="292"/>
      <c r="BQ332" s="292"/>
      <c r="BR332" s="292"/>
      <c r="BS332" s="292"/>
      <c r="BT332" s="292"/>
      <c r="BU332" s="292"/>
      <c r="BV332" s="292"/>
      <c r="BW332" s="292"/>
    </row>
    <row r="333">
      <c r="A333" s="292"/>
      <c r="B333" s="292" t="str">
        <f>IFERROR(__xludf.DUMMYFUNCTION("""COMPUTED_VALUE"""),"")</f>
        <v/>
      </c>
      <c r="C333" s="292"/>
      <c r="D333" s="292" t="str">
        <f>IFERROR(__xludf.DUMMYFUNCTION("""COMPUTED_VALUE"""),"")</f>
        <v/>
      </c>
      <c r="E333" s="292" t="str">
        <f>IFERROR(__xludf.DUMMYFUNCTION("""COMPUTED_VALUE"""),"")</f>
        <v/>
      </c>
      <c r="F333" s="292"/>
      <c r="G333" s="292" t="str">
        <f>IFERROR(__xludf.DUMMYFUNCTION("""COMPUTED_VALUE"""),"")</f>
        <v/>
      </c>
      <c r="H333" s="292" t="str">
        <f>IFERROR(__xludf.DUMMYFUNCTION("""COMPUTED_VALUE"""),"")</f>
        <v/>
      </c>
      <c r="I333" s="292"/>
      <c r="J333" s="292"/>
      <c r="K333" s="292"/>
      <c r="L333" s="292"/>
      <c r="M333" s="292" t="str">
        <f>IFERROR(__xludf.DUMMYFUNCTION("""COMPUTED_VALUE"""),"")</f>
        <v/>
      </c>
      <c r="N333" s="292"/>
      <c r="O333" s="292"/>
      <c r="P333" s="292"/>
      <c r="Q333" s="292"/>
      <c r="R333" s="292"/>
      <c r="S333" s="292"/>
      <c r="T333" s="292"/>
      <c r="U333" s="292"/>
      <c r="V333" s="292"/>
      <c r="W333" s="292" t="b">
        <f>IFERROR(__xludf.DUMMYFUNCTION("""COMPUTED_VALUE"""),TRUE)</f>
        <v>1</v>
      </c>
      <c r="X333" s="292" t="str">
        <f>IFERROR(__xludf.DUMMYFUNCTION("""COMPUTED_VALUE"""),"#N/A")</f>
        <v>#N/A</v>
      </c>
      <c r="Y333" s="344" t="str">
        <f>IFERROR(__xludf.DUMMYFUNCTION("""COMPUTED_VALUE"""),"#N/A")</f>
        <v>#N/A</v>
      </c>
      <c r="Z333" s="343" t="str">
        <f>IFERROR(__xludf.DUMMYFUNCTION("""COMPUTED_VALUE"""),"#N/A")</f>
        <v>#N/A</v>
      </c>
      <c r="AA333" s="292" t="str">
        <f>IFERROR(__xludf.DUMMYFUNCTION("""COMPUTED_VALUE"""),"#N/A")</f>
        <v>#N/A</v>
      </c>
      <c r="AB333" s="292" t="str">
        <f>IFERROR(__xludf.DUMMYFUNCTION("""COMPUTED_VALUE"""),"#N/A")</f>
        <v>#N/A</v>
      </c>
      <c r="AC333" s="292" t="str">
        <f>IFERROR(__xludf.DUMMYFUNCTION("""COMPUTED_VALUE"""),"#N/A")</f>
        <v>#N/A</v>
      </c>
      <c r="AD333" s="292" t="str">
        <f>IFERROR(__xludf.DUMMYFUNCTION("""COMPUTED_VALUE"""),"#N/A")</f>
        <v>#N/A</v>
      </c>
      <c r="AE333" s="343" t="str">
        <f>IFERROR(__xludf.DUMMYFUNCTION("""COMPUTED_VALUE"""),"#N/A")</f>
        <v>#N/A</v>
      </c>
      <c r="AF333" s="292" t="str">
        <f>IFERROR(__xludf.DUMMYFUNCTION("""COMPUTED_VALUE"""),"#N/A")</f>
        <v>#N/A</v>
      </c>
      <c r="AG333" s="292"/>
      <c r="AH333" s="292" t="str">
        <f>IFERROR(__xludf.DUMMYFUNCTION("""COMPUTED_VALUE"""),"#N/A")</f>
        <v>#N/A</v>
      </c>
      <c r="AI333" s="292" t="str">
        <f>IFERROR(__xludf.DUMMYFUNCTION("""COMPUTED_VALUE"""),"#N/A")</f>
        <v>#N/A</v>
      </c>
      <c r="AJ333" s="292" t="str">
        <f>IFERROR(__xludf.DUMMYFUNCTION("""COMPUTED_VALUE"""),"#N/A")</f>
        <v>#N/A</v>
      </c>
      <c r="AK333" s="292" t="str">
        <f>IFERROR(__xludf.DUMMYFUNCTION("""COMPUTED_VALUE"""),"#N/A")</f>
        <v>#N/A</v>
      </c>
      <c r="AL333" s="292" t="str">
        <f>IFERROR(__xludf.DUMMYFUNCTION("""COMPUTED_VALUE"""),"#N/A")</f>
        <v>#N/A</v>
      </c>
      <c r="AM333" s="292" t="str">
        <f>IFERROR(__xludf.DUMMYFUNCTION("""COMPUTED_VALUE"""),"#N/A")</f>
        <v>#N/A</v>
      </c>
      <c r="AN333" s="292" t="str">
        <f>IFERROR(__xludf.DUMMYFUNCTION("""COMPUTED_VALUE"""),"#N/A")</f>
        <v>#N/A</v>
      </c>
      <c r="AO333" s="292" t="str">
        <f>IFERROR(__xludf.DUMMYFUNCTION("""COMPUTED_VALUE"""),"#N/A")</f>
        <v>#N/A</v>
      </c>
      <c r="AP333" s="292"/>
      <c r="AQ333" s="292"/>
      <c r="AR333" s="292"/>
      <c r="AS333" s="292"/>
      <c r="AT333" s="292"/>
      <c r="AU333" s="292"/>
      <c r="AV333" s="292"/>
      <c r="AW333" s="292"/>
      <c r="AX333" s="292"/>
      <c r="AY333" s="292"/>
      <c r="AZ333" s="292"/>
      <c r="BA333" s="292"/>
      <c r="BB333" s="292"/>
      <c r="BC333" s="292"/>
      <c r="BD333" s="292"/>
      <c r="BE333" s="292"/>
      <c r="BF333" s="296" t="str">
        <f>IFERROR(__xludf.DUMMYFUNCTION("""COMPUTED_VALUE"""),"#REF!")</f>
        <v>#REF!</v>
      </c>
      <c r="BG333" s="296" t="str">
        <f>IFERROR(__xludf.DUMMYFUNCTION("""COMPUTED_VALUE"""),"#REF!")</f>
        <v>#REF!</v>
      </c>
      <c r="BH333" s="296" t="str">
        <f>IFERROR(__xludf.DUMMYFUNCTION("""COMPUTED_VALUE"""),"#REF!")</f>
        <v>#REF!</v>
      </c>
      <c r="BI333" s="295" t="str">
        <f>IFERROR(__xludf.DUMMYFUNCTION("""COMPUTED_VALUE"""),"#N/A")</f>
        <v>#N/A</v>
      </c>
      <c r="BJ333" s="292"/>
      <c r="BK333" s="346" t="str">
        <f>IFERROR(__xludf.DUMMYFUNCTION("""COMPUTED_VALUE"""),"#N/A")</f>
        <v>#N/A</v>
      </c>
      <c r="BL333" s="292"/>
      <c r="BM333" s="292"/>
      <c r="BN333" s="292"/>
      <c r="BO333" s="292"/>
      <c r="BP333" s="292"/>
      <c r="BQ333" s="292"/>
      <c r="BR333" s="292"/>
      <c r="BS333" s="292"/>
      <c r="BT333" s="292"/>
      <c r="BU333" s="292"/>
      <c r="BV333" s="292"/>
      <c r="BW333" s="292"/>
    </row>
    <row r="334">
      <c r="A334" s="292"/>
      <c r="B334" s="292" t="str">
        <f>IFERROR(__xludf.DUMMYFUNCTION("""COMPUTED_VALUE"""),"")</f>
        <v/>
      </c>
      <c r="C334" s="292"/>
      <c r="D334" s="292" t="str">
        <f>IFERROR(__xludf.DUMMYFUNCTION("""COMPUTED_VALUE"""),"")</f>
        <v/>
      </c>
      <c r="E334" s="292" t="str">
        <f>IFERROR(__xludf.DUMMYFUNCTION("""COMPUTED_VALUE"""),"")</f>
        <v/>
      </c>
      <c r="F334" s="292"/>
      <c r="G334" s="292" t="str">
        <f>IFERROR(__xludf.DUMMYFUNCTION("""COMPUTED_VALUE"""),"")</f>
        <v/>
      </c>
      <c r="H334" s="292" t="str">
        <f>IFERROR(__xludf.DUMMYFUNCTION("""COMPUTED_VALUE"""),"")</f>
        <v/>
      </c>
      <c r="I334" s="292"/>
      <c r="J334" s="292"/>
      <c r="K334" s="292"/>
      <c r="L334" s="292"/>
      <c r="M334" s="292" t="str">
        <f>IFERROR(__xludf.DUMMYFUNCTION("""COMPUTED_VALUE"""),"")</f>
        <v/>
      </c>
      <c r="N334" s="292"/>
      <c r="O334" s="292"/>
      <c r="P334" s="292"/>
      <c r="Q334" s="292"/>
      <c r="R334" s="292"/>
      <c r="S334" s="292"/>
      <c r="T334" s="292"/>
      <c r="U334" s="292"/>
      <c r="V334" s="292"/>
      <c r="W334" s="292" t="b">
        <f>IFERROR(__xludf.DUMMYFUNCTION("""COMPUTED_VALUE"""),TRUE)</f>
        <v>1</v>
      </c>
      <c r="X334" s="292" t="str">
        <f>IFERROR(__xludf.DUMMYFUNCTION("""COMPUTED_VALUE"""),"#N/A")</f>
        <v>#N/A</v>
      </c>
      <c r="Y334" s="344" t="str">
        <f>IFERROR(__xludf.DUMMYFUNCTION("""COMPUTED_VALUE"""),"#N/A")</f>
        <v>#N/A</v>
      </c>
      <c r="Z334" s="343" t="str">
        <f>IFERROR(__xludf.DUMMYFUNCTION("""COMPUTED_VALUE"""),"#N/A")</f>
        <v>#N/A</v>
      </c>
      <c r="AA334" s="292" t="str">
        <f>IFERROR(__xludf.DUMMYFUNCTION("""COMPUTED_VALUE"""),"#N/A")</f>
        <v>#N/A</v>
      </c>
      <c r="AB334" s="292" t="str">
        <f>IFERROR(__xludf.DUMMYFUNCTION("""COMPUTED_VALUE"""),"#N/A")</f>
        <v>#N/A</v>
      </c>
      <c r="AC334" s="292" t="str">
        <f>IFERROR(__xludf.DUMMYFUNCTION("""COMPUTED_VALUE"""),"#N/A")</f>
        <v>#N/A</v>
      </c>
      <c r="AD334" s="292" t="str">
        <f>IFERROR(__xludf.DUMMYFUNCTION("""COMPUTED_VALUE"""),"#N/A")</f>
        <v>#N/A</v>
      </c>
      <c r="AE334" s="343" t="str">
        <f>IFERROR(__xludf.DUMMYFUNCTION("""COMPUTED_VALUE"""),"#N/A")</f>
        <v>#N/A</v>
      </c>
      <c r="AF334" s="292" t="str">
        <f>IFERROR(__xludf.DUMMYFUNCTION("""COMPUTED_VALUE"""),"#N/A")</f>
        <v>#N/A</v>
      </c>
      <c r="AG334" s="292"/>
      <c r="AH334" s="292" t="str">
        <f>IFERROR(__xludf.DUMMYFUNCTION("""COMPUTED_VALUE"""),"#N/A")</f>
        <v>#N/A</v>
      </c>
      <c r="AI334" s="292" t="str">
        <f>IFERROR(__xludf.DUMMYFUNCTION("""COMPUTED_VALUE"""),"#N/A")</f>
        <v>#N/A</v>
      </c>
      <c r="AJ334" s="292" t="str">
        <f>IFERROR(__xludf.DUMMYFUNCTION("""COMPUTED_VALUE"""),"#N/A")</f>
        <v>#N/A</v>
      </c>
      <c r="AK334" s="292" t="str">
        <f>IFERROR(__xludf.DUMMYFUNCTION("""COMPUTED_VALUE"""),"#N/A")</f>
        <v>#N/A</v>
      </c>
      <c r="AL334" s="292" t="str">
        <f>IFERROR(__xludf.DUMMYFUNCTION("""COMPUTED_VALUE"""),"#N/A")</f>
        <v>#N/A</v>
      </c>
      <c r="AM334" s="292" t="str">
        <f>IFERROR(__xludf.DUMMYFUNCTION("""COMPUTED_VALUE"""),"#N/A")</f>
        <v>#N/A</v>
      </c>
      <c r="AN334" s="292" t="str">
        <f>IFERROR(__xludf.DUMMYFUNCTION("""COMPUTED_VALUE"""),"#N/A")</f>
        <v>#N/A</v>
      </c>
      <c r="AO334" s="292" t="str">
        <f>IFERROR(__xludf.DUMMYFUNCTION("""COMPUTED_VALUE"""),"#N/A")</f>
        <v>#N/A</v>
      </c>
      <c r="AP334" s="292"/>
      <c r="AQ334" s="292"/>
      <c r="AR334" s="292"/>
      <c r="AS334" s="292"/>
      <c r="AT334" s="292"/>
      <c r="AU334" s="292"/>
      <c r="AV334" s="292"/>
      <c r="AW334" s="292"/>
      <c r="AX334" s="292"/>
      <c r="AY334" s="292"/>
      <c r="AZ334" s="292"/>
      <c r="BA334" s="292"/>
      <c r="BB334" s="292"/>
      <c r="BC334" s="292"/>
      <c r="BD334" s="292"/>
      <c r="BE334" s="292"/>
      <c r="BF334" s="296" t="str">
        <f>IFERROR(__xludf.DUMMYFUNCTION("""COMPUTED_VALUE"""),"#REF!")</f>
        <v>#REF!</v>
      </c>
      <c r="BG334" s="296" t="str">
        <f>IFERROR(__xludf.DUMMYFUNCTION("""COMPUTED_VALUE"""),"#REF!")</f>
        <v>#REF!</v>
      </c>
      <c r="BH334" s="296" t="str">
        <f>IFERROR(__xludf.DUMMYFUNCTION("""COMPUTED_VALUE"""),"#REF!")</f>
        <v>#REF!</v>
      </c>
      <c r="BI334" s="295" t="str">
        <f>IFERROR(__xludf.DUMMYFUNCTION("""COMPUTED_VALUE"""),"#N/A")</f>
        <v>#N/A</v>
      </c>
      <c r="BJ334" s="292"/>
      <c r="BK334" s="346" t="str">
        <f>IFERROR(__xludf.DUMMYFUNCTION("""COMPUTED_VALUE"""),"#N/A")</f>
        <v>#N/A</v>
      </c>
      <c r="BL334" s="292"/>
      <c r="BM334" s="292"/>
      <c r="BN334" s="292"/>
      <c r="BO334" s="292"/>
      <c r="BP334" s="292"/>
      <c r="BQ334" s="292"/>
      <c r="BR334" s="292"/>
      <c r="BS334" s="292"/>
      <c r="BT334" s="292"/>
      <c r="BU334" s="292"/>
      <c r="BV334" s="292"/>
      <c r="BW334" s="292"/>
    </row>
    <row r="335">
      <c r="A335" s="292"/>
      <c r="B335" s="292" t="str">
        <f>IFERROR(__xludf.DUMMYFUNCTION("""COMPUTED_VALUE"""),"")</f>
        <v/>
      </c>
      <c r="C335" s="292"/>
      <c r="D335" s="292" t="str">
        <f>IFERROR(__xludf.DUMMYFUNCTION("""COMPUTED_VALUE"""),"")</f>
        <v/>
      </c>
      <c r="E335" s="292" t="str">
        <f>IFERROR(__xludf.DUMMYFUNCTION("""COMPUTED_VALUE"""),"")</f>
        <v/>
      </c>
      <c r="F335" s="292"/>
      <c r="G335" s="292" t="str">
        <f>IFERROR(__xludf.DUMMYFUNCTION("""COMPUTED_VALUE"""),"")</f>
        <v/>
      </c>
      <c r="H335" s="292" t="str">
        <f>IFERROR(__xludf.DUMMYFUNCTION("""COMPUTED_VALUE"""),"")</f>
        <v/>
      </c>
      <c r="I335" s="292"/>
      <c r="J335" s="292"/>
      <c r="K335" s="292"/>
      <c r="L335" s="292"/>
      <c r="M335" s="292" t="str">
        <f>IFERROR(__xludf.DUMMYFUNCTION("""COMPUTED_VALUE"""),"")</f>
        <v/>
      </c>
      <c r="N335" s="292"/>
      <c r="O335" s="292"/>
      <c r="P335" s="292"/>
      <c r="Q335" s="292"/>
      <c r="R335" s="292"/>
      <c r="S335" s="292"/>
      <c r="T335" s="292"/>
      <c r="U335" s="292"/>
      <c r="V335" s="292"/>
      <c r="W335" s="292" t="b">
        <f>IFERROR(__xludf.DUMMYFUNCTION("""COMPUTED_VALUE"""),TRUE)</f>
        <v>1</v>
      </c>
      <c r="X335" s="292" t="str">
        <f>IFERROR(__xludf.DUMMYFUNCTION("""COMPUTED_VALUE"""),"#N/A")</f>
        <v>#N/A</v>
      </c>
      <c r="Y335" s="344" t="str">
        <f>IFERROR(__xludf.DUMMYFUNCTION("""COMPUTED_VALUE"""),"#N/A")</f>
        <v>#N/A</v>
      </c>
      <c r="Z335" s="343" t="str">
        <f>IFERROR(__xludf.DUMMYFUNCTION("""COMPUTED_VALUE"""),"#N/A")</f>
        <v>#N/A</v>
      </c>
      <c r="AA335" s="292" t="str">
        <f>IFERROR(__xludf.DUMMYFUNCTION("""COMPUTED_VALUE"""),"#N/A")</f>
        <v>#N/A</v>
      </c>
      <c r="AB335" s="292" t="str">
        <f>IFERROR(__xludf.DUMMYFUNCTION("""COMPUTED_VALUE"""),"#N/A")</f>
        <v>#N/A</v>
      </c>
      <c r="AC335" s="292" t="str">
        <f>IFERROR(__xludf.DUMMYFUNCTION("""COMPUTED_VALUE"""),"#N/A")</f>
        <v>#N/A</v>
      </c>
      <c r="AD335" s="292" t="str">
        <f>IFERROR(__xludf.DUMMYFUNCTION("""COMPUTED_VALUE"""),"#N/A")</f>
        <v>#N/A</v>
      </c>
      <c r="AE335" s="343" t="str">
        <f>IFERROR(__xludf.DUMMYFUNCTION("""COMPUTED_VALUE"""),"#N/A")</f>
        <v>#N/A</v>
      </c>
      <c r="AF335" s="292" t="str">
        <f>IFERROR(__xludf.DUMMYFUNCTION("""COMPUTED_VALUE"""),"#N/A")</f>
        <v>#N/A</v>
      </c>
      <c r="AG335" s="292"/>
      <c r="AH335" s="292" t="str">
        <f>IFERROR(__xludf.DUMMYFUNCTION("""COMPUTED_VALUE"""),"#N/A")</f>
        <v>#N/A</v>
      </c>
      <c r="AI335" s="292" t="str">
        <f>IFERROR(__xludf.DUMMYFUNCTION("""COMPUTED_VALUE"""),"#N/A")</f>
        <v>#N/A</v>
      </c>
      <c r="AJ335" s="292" t="str">
        <f>IFERROR(__xludf.DUMMYFUNCTION("""COMPUTED_VALUE"""),"#N/A")</f>
        <v>#N/A</v>
      </c>
      <c r="AK335" s="292" t="str">
        <f>IFERROR(__xludf.DUMMYFUNCTION("""COMPUTED_VALUE"""),"#N/A")</f>
        <v>#N/A</v>
      </c>
      <c r="AL335" s="292" t="str">
        <f>IFERROR(__xludf.DUMMYFUNCTION("""COMPUTED_VALUE"""),"#N/A")</f>
        <v>#N/A</v>
      </c>
      <c r="AM335" s="292" t="str">
        <f>IFERROR(__xludf.DUMMYFUNCTION("""COMPUTED_VALUE"""),"#N/A")</f>
        <v>#N/A</v>
      </c>
      <c r="AN335" s="292" t="str">
        <f>IFERROR(__xludf.DUMMYFUNCTION("""COMPUTED_VALUE"""),"#N/A")</f>
        <v>#N/A</v>
      </c>
      <c r="AO335" s="292" t="str">
        <f>IFERROR(__xludf.DUMMYFUNCTION("""COMPUTED_VALUE"""),"#N/A")</f>
        <v>#N/A</v>
      </c>
      <c r="AP335" s="292"/>
      <c r="AQ335" s="292"/>
      <c r="AR335" s="292"/>
      <c r="AS335" s="292"/>
      <c r="AT335" s="292"/>
      <c r="AU335" s="292"/>
      <c r="AV335" s="292"/>
      <c r="AW335" s="292"/>
      <c r="AX335" s="292"/>
      <c r="AY335" s="292"/>
      <c r="AZ335" s="292"/>
      <c r="BA335" s="292"/>
      <c r="BB335" s="292"/>
      <c r="BC335" s="292"/>
      <c r="BD335" s="292"/>
      <c r="BE335" s="292"/>
      <c r="BF335" s="296" t="str">
        <f>IFERROR(__xludf.DUMMYFUNCTION("""COMPUTED_VALUE"""),"#REF!")</f>
        <v>#REF!</v>
      </c>
      <c r="BG335" s="296" t="str">
        <f>IFERROR(__xludf.DUMMYFUNCTION("""COMPUTED_VALUE"""),"#REF!")</f>
        <v>#REF!</v>
      </c>
      <c r="BH335" s="296" t="str">
        <f>IFERROR(__xludf.DUMMYFUNCTION("""COMPUTED_VALUE"""),"#REF!")</f>
        <v>#REF!</v>
      </c>
      <c r="BI335" s="295" t="str">
        <f>IFERROR(__xludf.DUMMYFUNCTION("""COMPUTED_VALUE"""),"#N/A")</f>
        <v>#N/A</v>
      </c>
      <c r="BJ335" s="292"/>
      <c r="BK335" s="346" t="str">
        <f>IFERROR(__xludf.DUMMYFUNCTION("""COMPUTED_VALUE"""),"#N/A")</f>
        <v>#N/A</v>
      </c>
      <c r="BL335" s="292"/>
      <c r="BM335" s="292"/>
      <c r="BN335" s="292"/>
      <c r="BO335" s="292"/>
      <c r="BP335" s="292"/>
      <c r="BQ335" s="292"/>
      <c r="BR335" s="292"/>
      <c r="BS335" s="292"/>
      <c r="BT335" s="292"/>
      <c r="BU335" s="292"/>
      <c r="BV335" s="292"/>
      <c r="BW335" s="292"/>
    </row>
    <row r="336">
      <c r="A336" s="292"/>
      <c r="B336" s="292" t="str">
        <f>IFERROR(__xludf.DUMMYFUNCTION("""COMPUTED_VALUE"""),"")</f>
        <v/>
      </c>
      <c r="C336" s="292"/>
      <c r="D336" s="292" t="str">
        <f>IFERROR(__xludf.DUMMYFUNCTION("""COMPUTED_VALUE"""),"")</f>
        <v/>
      </c>
      <c r="E336" s="292" t="str">
        <f>IFERROR(__xludf.DUMMYFUNCTION("""COMPUTED_VALUE"""),"")</f>
        <v/>
      </c>
      <c r="F336" s="292"/>
      <c r="G336" s="292" t="str">
        <f>IFERROR(__xludf.DUMMYFUNCTION("""COMPUTED_VALUE"""),"")</f>
        <v/>
      </c>
      <c r="H336" s="292" t="str">
        <f>IFERROR(__xludf.DUMMYFUNCTION("""COMPUTED_VALUE"""),"")</f>
        <v/>
      </c>
      <c r="I336" s="292"/>
      <c r="J336" s="292"/>
      <c r="K336" s="292"/>
      <c r="L336" s="292"/>
      <c r="M336" s="292" t="str">
        <f>IFERROR(__xludf.DUMMYFUNCTION("""COMPUTED_VALUE"""),"")</f>
        <v/>
      </c>
      <c r="N336" s="292"/>
      <c r="O336" s="292"/>
      <c r="P336" s="292"/>
      <c r="Q336" s="292"/>
      <c r="R336" s="292"/>
      <c r="S336" s="292"/>
      <c r="T336" s="292"/>
      <c r="U336" s="292"/>
      <c r="V336" s="292"/>
      <c r="W336" s="292" t="b">
        <f>IFERROR(__xludf.DUMMYFUNCTION("""COMPUTED_VALUE"""),TRUE)</f>
        <v>1</v>
      </c>
      <c r="X336" s="292" t="str">
        <f>IFERROR(__xludf.DUMMYFUNCTION("""COMPUTED_VALUE"""),"#N/A")</f>
        <v>#N/A</v>
      </c>
      <c r="Y336" s="344" t="str">
        <f>IFERROR(__xludf.DUMMYFUNCTION("""COMPUTED_VALUE"""),"#N/A")</f>
        <v>#N/A</v>
      </c>
      <c r="Z336" s="343" t="str">
        <f>IFERROR(__xludf.DUMMYFUNCTION("""COMPUTED_VALUE"""),"#N/A")</f>
        <v>#N/A</v>
      </c>
      <c r="AA336" s="292" t="str">
        <f>IFERROR(__xludf.DUMMYFUNCTION("""COMPUTED_VALUE"""),"#N/A")</f>
        <v>#N/A</v>
      </c>
      <c r="AB336" s="292" t="str">
        <f>IFERROR(__xludf.DUMMYFUNCTION("""COMPUTED_VALUE"""),"#N/A")</f>
        <v>#N/A</v>
      </c>
      <c r="AC336" s="292" t="str">
        <f>IFERROR(__xludf.DUMMYFUNCTION("""COMPUTED_VALUE"""),"#N/A")</f>
        <v>#N/A</v>
      </c>
      <c r="AD336" s="292" t="str">
        <f>IFERROR(__xludf.DUMMYFUNCTION("""COMPUTED_VALUE"""),"#N/A")</f>
        <v>#N/A</v>
      </c>
      <c r="AE336" s="343" t="str">
        <f>IFERROR(__xludf.DUMMYFUNCTION("""COMPUTED_VALUE"""),"#N/A")</f>
        <v>#N/A</v>
      </c>
      <c r="AF336" s="292" t="str">
        <f>IFERROR(__xludf.DUMMYFUNCTION("""COMPUTED_VALUE"""),"#N/A")</f>
        <v>#N/A</v>
      </c>
      <c r="AG336" s="292"/>
      <c r="AH336" s="292" t="str">
        <f>IFERROR(__xludf.DUMMYFUNCTION("""COMPUTED_VALUE"""),"#N/A")</f>
        <v>#N/A</v>
      </c>
      <c r="AI336" s="292" t="str">
        <f>IFERROR(__xludf.DUMMYFUNCTION("""COMPUTED_VALUE"""),"#N/A")</f>
        <v>#N/A</v>
      </c>
      <c r="AJ336" s="292" t="str">
        <f>IFERROR(__xludf.DUMMYFUNCTION("""COMPUTED_VALUE"""),"#N/A")</f>
        <v>#N/A</v>
      </c>
      <c r="AK336" s="292" t="str">
        <f>IFERROR(__xludf.DUMMYFUNCTION("""COMPUTED_VALUE"""),"#N/A")</f>
        <v>#N/A</v>
      </c>
      <c r="AL336" s="292" t="str">
        <f>IFERROR(__xludf.DUMMYFUNCTION("""COMPUTED_VALUE"""),"#N/A")</f>
        <v>#N/A</v>
      </c>
      <c r="AM336" s="292" t="str">
        <f>IFERROR(__xludf.DUMMYFUNCTION("""COMPUTED_VALUE"""),"#N/A")</f>
        <v>#N/A</v>
      </c>
      <c r="AN336" s="292" t="str">
        <f>IFERROR(__xludf.DUMMYFUNCTION("""COMPUTED_VALUE"""),"#N/A")</f>
        <v>#N/A</v>
      </c>
      <c r="AO336" s="292" t="str">
        <f>IFERROR(__xludf.DUMMYFUNCTION("""COMPUTED_VALUE"""),"#N/A")</f>
        <v>#N/A</v>
      </c>
      <c r="AP336" s="292"/>
      <c r="AQ336" s="292"/>
      <c r="AR336" s="292"/>
      <c r="AS336" s="292"/>
      <c r="AT336" s="292"/>
      <c r="AU336" s="292"/>
      <c r="AV336" s="292"/>
      <c r="AW336" s="292"/>
      <c r="AX336" s="292"/>
      <c r="AY336" s="292"/>
      <c r="AZ336" s="292"/>
      <c r="BA336" s="292"/>
      <c r="BB336" s="292"/>
      <c r="BC336" s="292"/>
      <c r="BD336" s="292"/>
      <c r="BE336" s="292"/>
      <c r="BF336" s="296" t="str">
        <f>IFERROR(__xludf.DUMMYFUNCTION("""COMPUTED_VALUE"""),"#REF!")</f>
        <v>#REF!</v>
      </c>
      <c r="BG336" s="296" t="str">
        <f>IFERROR(__xludf.DUMMYFUNCTION("""COMPUTED_VALUE"""),"#REF!")</f>
        <v>#REF!</v>
      </c>
      <c r="BH336" s="296" t="str">
        <f>IFERROR(__xludf.DUMMYFUNCTION("""COMPUTED_VALUE"""),"#REF!")</f>
        <v>#REF!</v>
      </c>
      <c r="BI336" s="295" t="str">
        <f>IFERROR(__xludf.DUMMYFUNCTION("""COMPUTED_VALUE"""),"#N/A")</f>
        <v>#N/A</v>
      </c>
      <c r="BJ336" s="292"/>
      <c r="BK336" s="346" t="str">
        <f>IFERROR(__xludf.DUMMYFUNCTION("""COMPUTED_VALUE"""),"#N/A")</f>
        <v>#N/A</v>
      </c>
      <c r="BL336" s="292"/>
      <c r="BM336" s="292"/>
      <c r="BN336" s="292"/>
      <c r="BO336" s="292"/>
      <c r="BP336" s="292"/>
      <c r="BQ336" s="292"/>
      <c r="BR336" s="292"/>
      <c r="BS336" s="292"/>
      <c r="BT336" s="292"/>
      <c r="BU336" s="292"/>
      <c r="BV336" s="292"/>
      <c r="BW336" s="292"/>
    </row>
    <row r="337">
      <c r="A337" s="292"/>
      <c r="B337" s="292" t="str">
        <f>IFERROR(__xludf.DUMMYFUNCTION("""COMPUTED_VALUE"""),"")</f>
        <v/>
      </c>
      <c r="C337" s="292"/>
      <c r="D337" s="292" t="str">
        <f>IFERROR(__xludf.DUMMYFUNCTION("""COMPUTED_VALUE"""),"")</f>
        <v/>
      </c>
      <c r="E337" s="292" t="str">
        <f>IFERROR(__xludf.DUMMYFUNCTION("""COMPUTED_VALUE"""),"")</f>
        <v/>
      </c>
      <c r="F337" s="292"/>
      <c r="G337" s="292" t="str">
        <f>IFERROR(__xludf.DUMMYFUNCTION("""COMPUTED_VALUE"""),"")</f>
        <v/>
      </c>
      <c r="H337" s="292" t="str">
        <f>IFERROR(__xludf.DUMMYFUNCTION("""COMPUTED_VALUE"""),"")</f>
        <v/>
      </c>
      <c r="I337" s="292"/>
      <c r="J337" s="292"/>
      <c r="K337" s="292"/>
      <c r="L337" s="292"/>
      <c r="M337" s="292" t="str">
        <f>IFERROR(__xludf.DUMMYFUNCTION("""COMPUTED_VALUE"""),"")</f>
        <v/>
      </c>
      <c r="N337" s="292"/>
      <c r="O337" s="292"/>
      <c r="P337" s="292"/>
      <c r="Q337" s="292"/>
      <c r="R337" s="292"/>
      <c r="S337" s="292"/>
      <c r="T337" s="292"/>
      <c r="U337" s="292"/>
      <c r="V337" s="292"/>
      <c r="W337" s="292" t="b">
        <f>IFERROR(__xludf.DUMMYFUNCTION("""COMPUTED_VALUE"""),TRUE)</f>
        <v>1</v>
      </c>
      <c r="X337" s="292" t="str">
        <f>IFERROR(__xludf.DUMMYFUNCTION("""COMPUTED_VALUE"""),"#N/A")</f>
        <v>#N/A</v>
      </c>
      <c r="Y337" s="344" t="str">
        <f>IFERROR(__xludf.DUMMYFUNCTION("""COMPUTED_VALUE"""),"#N/A")</f>
        <v>#N/A</v>
      </c>
      <c r="Z337" s="343" t="str">
        <f>IFERROR(__xludf.DUMMYFUNCTION("""COMPUTED_VALUE"""),"#N/A")</f>
        <v>#N/A</v>
      </c>
      <c r="AA337" s="292" t="str">
        <f>IFERROR(__xludf.DUMMYFUNCTION("""COMPUTED_VALUE"""),"#N/A")</f>
        <v>#N/A</v>
      </c>
      <c r="AB337" s="292" t="str">
        <f>IFERROR(__xludf.DUMMYFUNCTION("""COMPUTED_VALUE"""),"#N/A")</f>
        <v>#N/A</v>
      </c>
      <c r="AC337" s="292" t="str">
        <f>IFERROR(__xludf.DUMMYFUNCTION("""COMPUTED_VALUE"""),"#N/A")</f>
        <v>#N/A</v>
      </c>
      <c r="AD337" s="292" t="str">
        <f>IFERROR(__xludf.DUMMYFUNCTION("""COMPUTED_VALUE"""),"#N/A")</f>
        <v>#N/A</v>
      </c>
      <c r="AE337" s="343" t="str">
        <f>IFERROR(__xludf.DUMMYFUNCTION("""COMPUTED_VALUE"""),"#N/A")</f>
        <v>#N/A</v>
      </c>
      <c r="AF337" s="292" t="str">
        <f>IFERROR(__xludf.DUMMYFUNCTION("""COMPUTED_VALUE"""),"#N/A")</f>
        <v>#N/A</v>
      </c>
      <c r="AG337" s="292"/>
      <c r="AH337" s="292" t="str">
        <f>IFERROR(__xludf.DUMMYFUNCTION("""COMPUTED_VALUE"""),"#N/A")</f>
        <v>#N/A</v>
      </c>
      <c r="AI337" s="292" t="str">
        <f>IFERROR(__xludf.DUMMYFUNCTION("""COMPUTED_VALUE"""),"#N/A")</f>
        <v>#N/A</v>
      </c>
      <c r="AJ337" s="292" t="str">
        <f>IFERROR(__xludf.DUMMYFUNCTION("""COMPUTED_VALUE"""),"#N/A")</f>
        <v>#N/A</v>
      </c>
      <c r="AK337" s="292" t="str">
        <f>IFERROR(__xludf.DUMMYFUNCTION("""COMPUTED_VALUE"""),"#N/A")</f>
        <v>#N/A</v>
      </c>
      <c r="AL337" s="292" t="str">
        <f>IFERROR(__xludf.DUMMYFUNCTION("""COMPUTED_VALUE"""),"#N/A")</f>
        <v>#N/A</v>
      </c>
      <c r="AM337" s="292" t="str">
        <f>IFERROR(__xludf.DUMMYFUNCTION("""COMPUTED_VALUE"""),"#N/A")</f>
        <v>#N/A</v>
      </c>
      <c r="AN337" s="292" t="str">
        <f>IFERROR(__xludf.DUMMYFUNCTION("""COMPUTED_VALUE"""),"#N/A")</f>
        <v>#N/A</v>
      </c>
      <c r="AO337" s="292" t="str">
        <f>IFERROR(__xludf.DUMMYFUNCTION("""COMPUTED_VALUE"""),"#N/A")</f>
        <v>#N/A</v>
      </c>
      <c r="AP337" s="292"/>
      <c r="AQ337" s="292"/>
      <c r="AR337" s="292"/>
      <c r="AS337" s="292"/>
      <c r="AT337" s="292"/>
      <c r="AU337" s="292"/>
      <c r="AV337" s="292"/>
      <c r="AW337" s="292"/>
      <c r="AX337" s="292"/>
      <c r="AY337" s="292"/>
      <c r="AZ337" s="292"/>
      <c r="BA337" s="292"/>
      <c r="BB337" s="292"/>
      <c r="BC337" s="292"/>
      <c r="BD337" s="292"/>
      <c r="BE337" s="292"/>
      <c r="BF337" s="296" t="str">
        <f>IFERROR(__xludf.DUMMYFUNCTION("""COMPUTED_VALUE"""),"#REF!")</f>
        <v>#REF!</v>
      </c>
      <c r="BG337" s="296" t="str">
        <f>IFERROR(__xludf.DUMMYFUNCTION("""COMPUTED_VALUE"""),"#REF!")</f>
        <v>#REF!</v>
      </c>
      <c r="BH337" s="296" t="str">
        <f>IFERROR(__xludf.DUMMYFUNCTION("""COMPUTED_VALUE"""),"#REF!")</f>
        <v>#REF!</v>
      </c>
      <c r="BI337" s="295" t="str">
        <f>IFERROR(__xludf.DUMMYFUNCTION("""COMPUTED_VALUE"""),"#N/A")</f>
        <v>#N/A</v>
      </c>
      <c r="BJ337" s="292"/>
      <c r="BK337" s="346" t="str">
        <f>IFERROR(__xludf.DUMMYFUNCTION("""COMPUTED_VALUE"""),"#N/A")</f>
        <v>#N/A</v>
      </c>
      <c r="BL337" s="292"/>
      <c r="BM337" s="292"/>
      <c r="BN337" s="292"/>
      <c r="BO337" s="292"/>
      <c r="BP337" s="292"/>
      <c r="BQ337" s="292"/>
      <c r="BR337" s="292"/>
      <c r="BS337" s="292"/>
      <c r="BT337" s="292"/>
      <c r="BU337" s="292"/>
      <c r="BV337" s="292"/>
      <c r="BW337" s="292"/>
    </row>
    <row r="338">
      <c r="A338" s="292"/>
      <c r="B338" s="292" t="str">
        <f>IFERROR(__xludf.DUMMYFUNCTION("""COMPUTED_VALUE"""),"")</f>
        <v/>
      </c>
      <c r="C338" s="292"/>
      <c r="D338" s="292" t="str">
        <f>IFERROR(__xludf.DUMMYFUNCTION("""COMPUTED_VALUE"""),"")</f>
        <v/>
      </c>
      <c r="E338" s="292" t="str">
        <f>IFERROR(__xludf.DUMMYFUNCTION("""COMPUTED_VALUE"""),"")</f>
        <v/>
      </c>
      <c r="F338" s="292"/>
      <c r="G338" s="292" t="str">
        <f>IFERROR(__xludf.DUMMYFUNCTION("""COMPUTED_VALUE"""),"")</f>
        <v/>
      </c>
      <c r="H338" s="292" t="str">
        <f>IFERROR(__xludf.DUMMYFUNCTION("""COMPUTED_VALUE"""),"")</f>
        <v/>
      </c>
      <c r="I338" s="292"/>
      <c r="J338" s="292"/>
      <c r="K338" s="292"/>
      <c r="L338" s="292"/>
      <c r="M338" s="292" t="str">
        <f>IFERROR(__xludf.DUMMYFUNCTION("""COMPUTED_VALUE"""),"")</f>
        <v/>
      </c>
      <c r="N338" s="292"/>
      <c r="O338" s="292"/>
      <c r="P338" s="292"/>
      <c r="Q338" s="292"/>
      <c r="R338" s="292"/>
      <c r="S338" s="292"/>
      <c r="T338" s="292"/>
      <c r="U338" s="292"/>
      <c r="V338" s="292"/>
      <c r="W338" s="292" t="b">
        <f>IFERROR(__xludf.DUMMYFUNCTION("""COMPUTED_VALUE"""),TRUE)</f>
        <v>1</v>
      </c>
      <c r="X338" s="292" t="str">
        <f>IFERROR(__xludf.DUMMYFUNCTION("""COMPUTED_VALUE"""),"#N/A")</f>
        <v>#N/A</v>
      </c>
      <c r="Y338" s="344" t="str">
        <f>IFERROR(__xludf.DUMMYFUNCTION("""COMPUTED_VALUE"""),"#N/A")</f>
        <v>#N/A</v>
      </c>
      <c r="Z338" s="343" t="str">
        <f>IFERROR(__xludf.DUMMYFUNCTION("""COMPUTED_VALUE"""),"#N/A")</f>
        <v>#N/A</v>
      </c>
      <c r="AA338" s="292" t="str">
        <f>IFERROR(__xludf.DUMMYFUNCTION("""COMPUTED_VALUE"""),"#N/A")</f>
        <v>#N/A</v>
      </c>
      <c r="AB338" s="292" t="str">
        <f>IFERROR(__xludf.DUMMYFUNCTION("""COMPUTED_VALUE"""),"#N/A")</f>
        <v>#N/A</v>
      </c>
      <c r="AC338" s="292" t="str">
        <f>IFERROR(__xludf.DUMMYFUNCTION("""COMPUTED_VALUE"""),"#N/A")</f>
        <v>#N/A</v>
      </c>
      <c r="AD338" s="292" t="str">
        <f>IFERROR(__xludf.DUMMYFUNCTION("""COMPUTED_VALUE"""),"#N/A")</f>
        <v>#N/A</v>
      </c>
      <c r="AE338" s="343" t="str">
        <f>IFERROR(__xludf.DUMMYFUNCTION("""COMPUTED_VALUE"""),"#N/A")</f>
        <v>#N/A</v>
      </c>
      <c r="AF338" s="292" t="str">
        <f>IFERROR(__xludf.DUMMYFUNCTION("""COMPUTED_VALUE"""),"#N/A")</f>
        <v>#N/A</v>
      </c>
      <c r="AG338" s="292"/>
      <c r="AH338" s="292" t="str">
        <f>IFERROR(__xludf.DUMMYFUNCTION("""COMPUTED_VALUE"""),"#N/A")</f>
        <v>#N/A</v>
      </c>
      <c r="AI338" s="292" t="str">
        <f>IFERROR(__xludf.DUMMYFUNCTION("""COMPUTED_VALUE"""),"#N/A")</f>
        <v>#N/A</v>
      </c>
      <c r="AJ338" s="292" t="str">
        <f>IFERROR(__xludf.DUMMYFUNCTION("""COMPUTED_VALUE"""),"#N/A")</f>
        <v>#N/A</v>
      </c>
      <c r="AK338" s="292" t="str">
        <f>IFERROR(__xludf.DUMMYFUNCTION("""COMPUTED_VALUE"""),"#N/A")</f>
        <v>#N/A</v>
      </c>
      <c r="AL338" s="292" t="str">
        <f>IFERROR(__xludf.DUMMYFUNCTION("""COMPUTED_VALUE"""),"#N/A")</f>
        <v>#N/A</v>
      </c>
      <c r="AM338" s="292" t="str">
        <f>IFERROR(__xludf.DUMMYFUNCTION("""COMPUTED_VALUE"""),"#N/A")</f>
        <v>#N/A</v>
      </c>
      <c r="AN338" s="292" t="str">
        <f>IFERROR(__xludf.DUMMYFUNCTION("""COMPUTED_VALUE"""),"#N/A")</f>
        <v>#N/A</v>
      </c>
      <c r="AO338" s="292" t="str">
        <f>IFERROR(__xludf.DUMMYFUNCTION("""COMPUTED_VALUE"""),"#N/A")</f>
        <v>#N/A</v>
      </c>
      <c r="AP338" s="292"/>
      <c r="AQ338" s="292"/>
      <c r="AR338" s="292"/>
      <c r="AS338" s="292"/>
      <c r="AT338" s="292"/>
      <c r="AU338" s="292"/>
      <c r="AV338" s="292"/>
      <c r="AW338" s="292"/>
      <c r="AX338" s="292"/>
      <c r="AY338" s="292"/>
      <c r="AZ338" s="292"/>
      <c r="BA338" s="292"/>
      <c r="BB338" s="292"/>
      <c r="BC338" s="292"/>
      <c r="BD338" s="292"/>
      <c r="BE338" s="292"/>
      <c r="BF338" s="296" t="str">
        <f>IFERROR(__xludf.DUMMYFUNCTION("""COMPUTED_VALUE"""),"#REF!")</f>
        <v>#REF!</v>
      </c>
      <c r="BG338" s="296" t="str">
        <f>IFERROR(__xludf.DUMMYFUNCTION("""COMPUTED_VALUE"""),"#REF!")</f>
        <v>#REF!</v>
      </c>
      <c r="BH338" s="296" t="str">
        <f>IFERROR(__xludf.DUMMYFUNCTION("""COMPUTED_VALUE"""),"#REF!")</f>
        <v>#REF!</v>
      </c>
      <c r="BI338" s="295" t="str">
        <f>IFERROR(__xludf.DUMMYFUNCTION("""COMPUTED_VALUE"""),"#N/A")</f>
        <v>#N/A</v>
      </c>
      <c r="BJ338" s="292"/>
      <c r="BK338" s="346" t="str">
        <f>IFERROR(__xludf.DUMMYFUNCTION("""COMPUTED_VALUE"""),"#N/A")</f>
        <v>#N/A</v>
      </c>
      <c r="BL338" s="292"/>
      <c r="BM338" s="292"/>
      <c r="BN338" s="292"/>
      <c r="BO338" s="292"/>
      <c r="BP338" s="292"/>
      <c r="BQ338" s="292"/>
      <c r="BR338" s="292"/>
      <c r="BS338" s="292"/>
      <c r="BT338" s="292"/>
      <c r="BU338" s="292"/>
      <c r="BV338" s="292"/>
      <c r="BW338" s="292"/>
    </row>
    <row r="339">
      <c r="A339" s="292"/>
      <c r="B339" s="292" t="str">
        <f>IFERROR(__xludf.DUMMYFUNCTION("""COMPUTED_VALUE"""),"")</f>
        <v/>
      </c>
      <c r="C339" s="292"/>
      <c r="D339" s="292" t="str">
        <f>IFERROR(__xludf.DUMMYFUNCTION("""COMPUTED_VALUE"""),"")</f>
        <v/>
      </c>
      <c r="E339" s="292" t="str">
        <f>IFERROR(__xludf.DUMMYFUNCTION("""COMPUTED_VALUE"""),"")</f>
        <v/>
      </c>
      <c r="F339" s="292"/>
      <c r="G339" s="292" t="str">
        <f>IFERROR(__xludf.DUMMYFUNCTION("""COMPUTED_VALUE"""),"")</f>
        <v/>
      </c>
      <c r="H339" s="292" t="str">
        <f>IFERROR(__xludf.DUMMYFUNCTION("""COMPUTED_VALUE"""),"")</f>
        <v/>
      </c>
      <c r="I339" s="292"/>
      <c r="J339" s="292"/>
      <c r="K339" s="292"/>
      <c r="L339" s="292"/>
      <c r="M339" s="292" t="str">
        <f>IFERROR(__xludf.DUMMYFUNCTION("""COMPUTED_VALUE"""),"")</f>
        <v/>
      </c>
      <c r="N339" s="292"/>
      <c r="O339" s="292"/>
      <c r="P339" s="292"/>
      <c r="Q339" s="292"/>
      <c r="R339" s="292"/>
      <c r="S339" s="292"/>
      <c r="T339" s="292"/>
      <c r="U339" s="292"/>
      <c r="V339" s="292"/>
      <c r="W339" s="292" t="b">
        <f>IFERROR(__xludf.DUMMYFUNCTION("""COMPUTED_VALUE"""),TRUE)</f>
        <v>1</v>
      </c>
      <c r="X339" s="292" t="str">
        <f>IFERROR(__xludf.DUMMYFUNCTION("""COMPUTED_VALUE"""),"#N/A")</f>
        <v>#N/A</v>
      </c>
      <c r="Y339" s="344" t="str">
        <f>IFERROR(__xludf.DUMMYFUNCTION("""COMPUTED_VALUE"""),"#N/A")</f>
        <v>#N/A</v>
      </c>
      <c r="Z339" s="343" t="str">
        <f>IFERROR(__xludf.DUMMYFUNCTION("""COMPUTED_VALUE"""),"#N/A")</f>
        <v>#N/A</v>
      </c>
      <c r="AA339" s="292" t="str">
        <f>IFERROR(__xludf.DUMMYFUNCTION("""COMPUTED_VALUE"""),"#N/A")</f>
        <v>#N/A</v>
      </c>
      <c r="AB339" s="292" t="str">
        <f>IFERROR(__xludf.DUMMYFUNCTION("""COMPUTED_VALUE"""),"#N/A")</f>
        <v>#N/A</v>
      </c>
      <c r="AC339" s="292" t="str">
        <f>IFERROR(__xludf.DUMMYFUNCTION("""COMPUTED_VALUE"""),"#N/A")</f>
        <v>#N/A</v>
      </c>
      <c r="AD339" s="292" t="str">
        <f>IFERROR(__xludf.DUMMYFUNCTION("""COMPUTED_VALUE"""),"#N/A")</f>
        <v>#N/A</v>
      </c>
      <c r="AE339" s="343" t="str">
        <f>IFERROR(__xludf.DUMMYFUNCTION("""COMPUTED_VALUE"""),"#N/A")</f>
        <v>#N/A</v>
      </c>
      <c r="AF339" s="292" t="str">
        <f>IFERROR(__xludf.DUMMYFUNCTION("""COMPUTED_VALUE"""),"#N/A")</f>
        <v>#N/A</v>
      </c>
      <c r="AG339" s="292"/>
      <c r="AH339" s="292" t="str">
        <f>IFERROR(__xludf.DUMMYFUNCTION("""COMPUTED_VALUE"""),"#N/A")</f>
        <v>#N/A</v>
      </c>
      <c r="AI339" s="292" t="str">
        <f>IFERROR(__xludf.DUMMYFUNCTION("""COMPUTED_VALUE"""),"#N/A")</f>
        <v>#N/A</v>
      </c>
      <c r="AJ339" s="292" t="str">
        <f>IFERROR(__xludf.DUMMYFUNCTION("""COMPUTED_VALUE"""),"#N/A")</f>
        <v>#N/A</v>
      </c>
      <c r="AK339" s="292" t="str">
        <f>IFERROR(__xludf.DUMMYFUNCTION("""COMPUTED_VALUE"""),"#N/A")</f>
        <v>#N/A</v>
      </c>
      <c r="AL339" s="292" t="str">
        <f>IFERROR(__xludf.DUMMYFUNCTION("""COMPUTED_VALUE"""),"#N/A")</f>
        <v>#N/A</v>
      </c>
      <c r="AM339" s="292" t="str">
        <f>IFERROR(__xludf.DUMMYFUNCTION("""COMPUTED_VALUE"""),"#N/A")</f>
        <v>#N/A</v>
      </c>
      <c r="AN339" s="292" t="str">
        <f>IFERROR(__xludf.DUMMYFUNCTION("""COMPUTED_VALUE"""),"#N/A")</f>
        <v>#N/A</v>
      </c>
      <c r="AO339" s="292" t="str">
        <f>IFERROR(__xludf.DUMMYFUNCTION("""COMPUTED_VALUE"""),"#N/A")</f>
        <v>#N/A</v>
      </c>
      <c r="AP339" s="292"/>
      <c r="AQ339" s="292"/>
      <c r="AR339" s="292"/>
      <c r="AS339" s="292"/>
      <c r="AT339" s="292"/>
      <c r="AU339" s="292"/>
      <c r="AV339" s="292"/>
      <c r="AW339" s="292"/>
      <c r="AX339" s="292"/>
      <c r="AY339" s="292"/>
      <c r="AZ339" s="292"/>
      <c r="BA339" s="292"/>
      <c r="BB339" s="292"/>
      <c r="BC339" s="292"/>
      <c r="BD339" s="292"/>
      <c r="BE339" s="292"/>
      <c r="BF339" s="296" t="str">
        <f>IFERROR(__xludf.DUMMYFUNCTION("""COMPUTED_VALUE"""),"#REF!")</f>
        <v>#REF!</v>
      </c>
      <c r="BG339" s="296" t="str">
        <f>IFERROR(__xludf.DUMMYFUNCTION("""COMPUTED_VALUE"""),"#REF!")</f>
        <v>#REF!</v>
      </c>
      <c r="BH339" s="296" t="str">
        <f>IFERROR(__xludf.DUMMYFUNCTION("""COMPUTED_VALUE"""),"#REF!")</f>
        <v>#REF!</v>
      </c>
      <c r="BI339" s="295" t="str">
        <f>IFERROR(__xludf.DUMMYFUNCTION("""COMPUTED_VALUE"""),"#N/A")</f>
        <v>#N/A</v>
      </c>
      <c r="BJ339" s="292"/>
      <c r="BK339" s="346" t="str">
        <f>IFERROR(__xludf.DUMMYFUNCTION("""COMPUTED_VALUE"""),"#N/A")</f>
        <v>#N/A</v>
      </c>
      <c r="BL339" s="292"/>
      <c r="BM339" s="292"/>
      <c r="BN339" s="292"/>
      <c r="BO339" s="292"/>
      <c r="BP339" s="292"/>
      <c r="BQ339" s="292"/>
      <c r="BR339" s="292"/>
      <c r="BS339" s="292"/>
      <c r="BT339" s="292"/>
      <c r="BU339" s="292"/>
      <c r="BV339" s="292"/>
      <c r="BW339" s="292"/>
    </row>
    <row r="340">
      <c r="A340" s="292"/>
      <c r="B340" s="292" t="str">
        <f>IFERROR(__xludf.DUMMYFUNCTION("""COMPUTED_VALUE"""),"")</f>
        <v/>
      </c>
      <c r="C340" s="292"/>
      <c r="D340" s="292" t="str">
        <f>IFERROR(__xludf.DUMMYFUNCTION("""COMPUTED_VALUE"""),"")</f>
        <v/>
      </c>
      <c r="E340" s="292" t="str">
        <f>IFERROR(__xludf.DUMMYFUNCTION("""COMPUTED_VALUE"""),"")</f>
        <v/>
      </c>
      <c r="F340" s="292"/>
      <c r="G340" s="292" t="str">
        <f>IFERROR(__xludf.DUMMYFUNCTION("""COMPUTED_VALUE"""),"")</f>
        <v/>
      </c>
      <c r="H340" s="292" t="str">
        <f>IFERROR(__xludf.DUMMYFUNCTION("""COMPUTED_VALUE"""),"")</f>
        <v/>
      </c>
      <c r="I340" s="292"/>
      <c r="J340" s="292"/>
      <c r="K340" s="292"/>
      <c r="L340" s="292"/>
      <c r="M340" s="292" t="str">
        <f>IFERROR(__xludf.DUMMYFUNCTION("""COMPUTED_VALUE"""),"")</f>
        <v/>
      </c>
      <c r="N340" s="292"/>
      <c r="O340" s="292"/>
      <c r="P340" s="292"/>
      <c r="Q340" s="292"/>
      <c r="R340" s="292"/>
      <c r="S340" s="292"/>
      <c r="T340" s="292"/>
      <c r="U340" s="292"/>
      <c r="V340" s="292"/>
      <c r="W340" s="292" t="b">
        <f>IFERROR(__xludf.DUMMYFUNCTION("""COMPUTED_VALUE"""),TRUE)</f>
        <v>1</v>
      </c>
      <c r="X340" s="292" t="str">
        <f>IFERROR(__xludf.DUMMYFUNCTION("""COMPUTED_VALUE"""),"#N/A")</f>
        <v>#N/A</v>
      </c>
      <c r="Y340" s="344" t="str">
        <f>IFERROR(__xludf.DUMMYFUNCTION("""COMPUTED_VALUE"""),"#N/A")</f>
        <v>#N/A</v>
      </c>
      <c r="Z340" s="343" t="str">
        <f>IFERROR(__xludf.DUMMYFUNCTION("""COMPUTED_VALUE"""),"#N/A")</f>
        <v>#N/A</v>
      </c>
      <c r="AA340" s="292" t="str">
        <f>IFERROR(__xludf.DUMMYFUNCTION("""COMPUTED_VALUE"""),"#N/A")</f>
        <v>#N/A</v>
      </c>
      <c r="AB340" s="292" t="str">
        <f>IFERROR(__xludf.DUMMYFUNCTION("""COMPUTED_VALUE"""),"#N/A")</f>
        <v>#N/A</v>
      </c>
      <c r="AC340" s="292" t="str">
        <f>IFERROR(__xludf.DUMMYFUNCTION("""COMPUTED_VALUE"""),"#N/A")</f>
        <v>#N/A</v>
      </c>
      <c r="AD340" s="292" t="str">
        <f>IFERROR(__xludf.DUMMYFUNCTION("""COMPUTED_VALUE"""),"#N/A")</f>
        <v>#N/A</v>
      </c>
      <c r="AE340" s="343" t="str">
        <f>IFERROR(__xludf.DUMMYFUNCTION("""COMPUTED_VALUE"""),"#N/A")</f>
        <v>#N/A</v>
      </c>
      <c r="AF340" s="292" t="str">
        <f>IFERROR(__xludf.DUMMYFUNCTION("""COMPUTED_VALUE"""),"#N/A")</f>
        <v>#N/A</v>
      </c>
      <c r="AG340" s="292"/>
      <c r="AH340" s="292" t="str">
        <f>IFERROR(__xludf.DUMMYFUNCTION("""COMPUTED_VALUE"""),"#N/A")</f>
        <v>#N/A</v>
      </c>
      <c r="AI340" s="292" t="str">
        <f>IFERROR(__xludf.DUMMYFUNCTION("""COMPUTED_VALUE"""),"#N/A")</f>
        <v>#N/A</v>
      </c>
      <c r="AJ340" s="292" t="str">
        <f>IFERROR(__xludf.DUMMYFUNCTION("""COMPUTED_VALUE"""),"#N/A")</f>
        <v>#N/A</v>
      </c>
      <c r="AK340" s="292" t="str">
        <f>IFERROR(__xludf.DUMMYFUNCTION("""COMPUTED_VALUE"""),"#N/A")</f>
        <v>#N/A</v>
      </c>
      <c r="AL340" s="292" t="str">
        <f>IFERROR(__xludf.DUMMYFUNCTION("""COMPUTED_VALUE"""),"#N/A")</f>
        <v>#N/A</v>
      </c>
      <c r="AM340" s="292" t="str">
        <f>IFERROR(__xludf.DUMMYFUNCTION("""COMPUTED_VALUE"""),"#N/A")</f>
        <v>#N/A</v>
      </c>
      <c r="AN340" s="292" t="str">
        <f>IFERROR(__xludf.DUMMYFUNCTION("""COMPUTED_VALUE"""),"#N/A")</f>
        <v>#N/A</v>
      </c>
      <c r="AO340" s="292" t="str">
        <f>IFERROR(__xludf.DUMMYFUNCTION("""COMPUTED_VALUE"""),"#N/A")</f>
        <v>#N/A</v>
      </c>
      <c r="AP340" s="292"/>
      <c r="AQ340" s="292"/>
      <c r="AR340" s="292"/>
      <c r="AS340" s="292"/>
      <c r="AT340" s="292"/>
      <c r="AU340" s="292"/>
      <c r="AV340" s="292"/>
      <c r="AW340" s="292"/>
      <c r="AX340" s="292"/>
      <c r="AY340" s="292"/>
      <c r="AZ340" s="292"/>
      <c r="BA340" s="292"/>
      <c r="BB340" s="292"/>
      <c r="BC340" s="292"/>
      <c r="BD340" s="292"/>
      <c r="BE340" s="292"/>
      <c r="BF340" s="296" t="str">
        <f>IFERROR(__xludf.DUMMYFUNCTION("""COMPUTED_VALUE"""),"#REF!")</f>
        <v>#REF!</v>
      </c>
      <c r="BG340" s="296" t="str">
        <f>IFERROR(__xludf.DUMMYFUNCTION("""COMPUTED_VALUE"""),"#REF!")</f>
        <v>#REF!</v>
      </c>
      <c r="BH340" s="296" t="str">
        <f>IFERROR(__xludf.DUMMYFUNCTION("""COMPUTED_VALUE"""),"#REF!")</f>
        <v>#REF!</v>
      </c>
      <c r="BI340" s="295" t="str">
        <f>IFERROR(__xludf.DUMMYFUNCTION("""COMPUTED_VALUE"""),"#N/A")</f>
        <v>#N/A</v>
      </c>
      <c r="BJ340" s="292"/>
      <c r="BK340" s="346" t="str">
        <f>IFERROR(__xludf.DUMMYFUNCTION("""COMPUTED_VALUE"""),"#N/A")</f>
        <v>#N/A</v>
      </c>
      <c r="BL340" s="292"/>
      <c r="BM340" s="292"/>
      <c r="BN340" s="292"/>
      <c r="BO340" s="292"/>
      <c r="BP340" s="292"/>
      <c r="BQ340" s="292"/>
      <c r="BR340" s="292"/>
      <c r="BS340" s="292"/>
      <c r="BT340" s="292"/>
      <c r="BU340" s="292"/>
      <c r="BV340" s="292"/>
      <c r="BW340" s="292"/>
    </row>
    <row r="341">
      <c r="A341" s="292"/>
      <c r="B341" s="292" t="str">
        <f>IFERROR(__xludf.DUMMYFUNCTION("""COMPUTED_VALUE"""),"")</f>
        <v/>
      </c>
      <c r="C341" s="292"/>
      <c r="D341" s="292" t="str">
        <f>IFERROR(__xludf.DUMMYFUNCTION("""COMPUTED_VALUE"""),"")</f>
        <v/>
      </c>
      <c r="E341" s="292" t="str">
        <f>IFERROR(__xludf.DUMMYFUNCTION("""COMPUTED_VALUE"""),"")</f>
        <v/>
      </c>
      <c r="F341" s="292"/>
      <c r="G341" s="292" t="str">
        <f>IFERROR(__xludf.DUMMYFUNCTION("""COMPUTED_VALUE"""),"")</f>
        <v/>
      </c>
      <c r="H341" s="292" t="str">
        <f>IFERROR(__xludf.DUMMYFUNCTION("""COMPUTED_VALUE"""),"")</f>
        <v/>
      </c>
      <c r="I341" s="292"/>
      <c r="J341" s="292"/>
      <c r="K341" s="292"/>
      <c r="L341" s="292"/>
      <c r="M341" s="292" t="str">
        <f>IFERROR(__xludf.DUMMYFUNCTION("""COMPUTED_VALUE"""),"")</f>
        <v/>
      </c>
      <c r="N341" s="292"/>
      <c r="O341" s="292"/>
      <c r="P341" s="292"/>
      <c r="Q341" s="292"/>
      <c r="R341" s="292"/>
      <c r="S341" s="292"/>
      <c r="T341" s="292"/>
      <c r="U341" s="292"/>
      <c r="V341" s="292"/>
      <c r="W341" s="292" t="b">
        <f>IFERROR(__xludf.DUMMYFUNCTION("""COMPUTED_VALUE"""),TRUE)</f>
        <v>1</v>
      </c>
      <c r="X341" s="292" t="str">
        <f>IFERROR(__xludf.DUMMYFUNCTION("""COMPUTED_VALUE"""),"#N/A")</f>
        <v>#N/A</v>
      </c>
      <c r="Y341" s="344" t="str">
        <f>IFERROR(__xludf.DUMMYFUNCTION("""COMPUTED_VALUE"""),"#N/A")</f>
        <v>#N/A</v>
      </c>
      <c r="Z341" s="343" t="str">
        <f>IFERROR(__xludf.DUMMYFUNCTION("""COMPUTED_VALUE"""),"#N/A")</f>
        <v>#N/A</v>
      </c>
      <c r="AA341" s="292" t="str">
        <f>IFERROR(__xludf.DUMMYFUNCTION("""COMPUTED_VALUE"""),"#N/A")</f>
        <v>#N/A</v>
      </c>
      <c r="AB341" s="292" t="str">
        <f>IFERROR(__xludf.DUMMYFUNCTION("""COMPUTED_VALUE"""),"#N/A")</f>
        <v>#N/A</v>
      </c>
      <c r="AC341" s="292" t="str">
        <f>IFERROR(__xludf.DUMMYFUNCTION("""COMPUTED_VALUE"""),"#N/A")</f>
        <v>#N/A</v>
      </c>
      <c r="AD341" s="292" t="str">
        <f>IFERROR(__xludf.DUMMYFUNCTION("""COMPUTED_VALUE"""),"#N/A")</f>
        <v>#N/A</v>
      </c>
      <c r="AE341" s="343" t="str">
        <f>IFERROR(__xludf.DUMMYFUNCTION("""COMPUTED_VALUE"""),"#N/A")</f>
        <v>#N/A</v>
      </c>
      <c r="AF341" s="292" t="str">
        <f>IFERROR(__xludf.DUMMYFUNCTION("""COMPUTED_VALUE"""),"#N/A")</f>
        <v>#N/A</v>
      </c>
      <c r="AG341" s="292"/>
      <c r="AH341" s="292" t="str">
        <f>IFERROR(__xludf.DUMMYFUNCTION("""COMPUTED_VALUE"""),"#N/A")</f>
        <v>#N/A</v>
      </c>
      <c r="AI341" s="292" t="str">
        <f>IFERROR(__xludf.DUMMYFUNCTION("""COMPUTED_VALUE"""),"#N/A")</f>
        <v>#N/A</v>
      </c>
      <c r="AJ341" s="292" t="str">
        <f>IFERROR(__xludf.DUMMYFUNCTION("""COMPUTED_VALUE"""),"#N/A")</f>
        <v>#N/A</v>
      </c>
      <c r="AK341" s="292" t="str">
        <f>IFERROR(__xludf.DUMMYFUNCTION("""COMPUTED_VALUE"""),"#N/A")</f>
        <v>#N/A</v>
      </c>
      <c r="AL341" s="292" t="str">
        <f>IFERROR(__xludf.DUMMYFUNCTION("""COMPUTED_VALUE"""),"#N/A")</f>
        <v>#N/A</v>
      </c>
      <c r="AM341" s="292" t="str">
        <f>IFERROR(__xludf.DUMMYFUNCTION("""COMPUTED_VALUE"""),"#N/A")</f>
        <v>#N/A</v>
      </c>
      <c r="AN341" s="292" t="str">
        <f>IFERROR(__xludf.DUMMYFUNCTION("""COMPUTED_VALUE"""),"#N/A")</f>
        <v>#N/A</v>
      </c>
      <c r="AO341" s="292" t="str">
        <f>IFERROR(__xludf.DUMMYFUNCTION("""COMPUTED_VALUE"""),"#N/A")</f>
        <v>#N/A</v>
      </c>
      <c r="AP341" s="292"/>
      <c r="AQ341" s="292"/>
      <c r="AR341" s="292"/>
      <c r="AS341" s="292"/>
      <c r="AT341" s="292"/>
      <c r="AU341" s="292"/>
      <c r="AV341" s="292"/>
      <c r="AW341" s="292"/>
      <c r="AX341" s="292"/>
      <c r="AY341" s="292"/>
      <c r="AZ341" s="292"/>
      <c r="BA341" s="292"/>
      <c r="BB341" s="292"/>
      <c r="BC341" s="292"/>
      <c r="BD341" s="292"/>
      <c r="BE341" s="292"/>
      <c r="BF341" s="296" t="str">
        <f>IFERROR(__xludf.DUMMYFUNCTION("""COMPUTED_VALUE"""),"#REF!")</f>
        <v>#REF!</v>
      </c>
      <c r="BG341" s="296" t="str">
        <f>IFERROR(__xludf.DUMMYFUNCTION("""COMPUTED_VALUE"""),"#REF!")</f>
        <v>#REF!</v>
      </c>
      <c r="BH341" s="296" t="str">
        <f>IFERROR(__xludf.DUMMYFUNCTION("""COMPUTED_VALUE"""),"#REF!")</f>
        <v>#REF!</v>
      </c>
      <c r="BI341" s="295" t="str">
        <f>IFERROR(__xludf.DUMMYFUNCTION("""COMPUTED_VALUE"""),"#N/A")</f>
        <v>#N/A</v>
      </c>
      <c r="BJ341" s="292"/>
      <c r="BK341" s="346" t="str">
        <f>IFERROR(__xludf.DUMMYFUNCTION("""COMPUTED_VALUE"""),"#N/A")</f>
        <v>#N/A</v>
      </c>
      <c r="BL341" s="292"/>
      <c r="BM341" s="292"/>
      <c r="BN341" s="292"/>
      <c r="BO341" s="292"/>
      <c r="BP341" s="292"/>
      <c r="BQ341" s="292"/>
      <c r="BR341" s="292"/>
      <c r="BS341" s="292"/>
      <c r="BT341" s="292"/>
      <c r="BU341" s="292"/>
      <c r="BV341" s="292"/>
      <c r="BW341" s="292"/>
    </row>
    <row r="342">
      <c r="A342" s="292"/>
      <c r="B342" s="292" t="str">
        <f>IFERROR(__xludf.DUMMYFUNCTION("""COMPUTED_VALUE"""),"")</f>
        <v/>
      </c>
      <c r="C342" s="292"/>
      <c r="D342" s="292" t="str">
        <f>IFERROR(__xludf.DUMMYFUNCTION("""COMPUTED_VALUE"""),"")</f>
        <v/>
      </c>
      <c r="E342" s="292" t="str">
        <f>IFERROR(__xludf.DUMMYFUNCTION("""COMPUTED_VALUE"""),"")</f>
        <v/>
      </c>
      <c r="F342" s="292"/>
      <c r="G342" s="292" t="str">
        <f>IFERROR(__xludf.DUMMYFUNCTION("""COMPUTED_VALUE"""),"")</f>
        <v/>
      </c>
      <c r="H342" s="292" t="str">
        <f>IFERROR(__xludf.DUMMYFUNCTION("""COMPUTED_VALUE"""),"")</f>
        <v/>
      </c>
      <c r="I342" s="292"/>
      <c r="J342" s="292"/>
      <c r="K342" s="292"/>
      <c r="L342" s="292"/>
      <c r="M342" s="292" t="str">
        <f>IFERROR(__xludf.DUMMYFUNCTION("""COMPUTED_VALUE"""),"")</f>
        <v/>
      </c>
      <c r="N342" s="292"/>
      <c r="O342" s="292"/>
      <c r="P342" s="292"/>
      <c r="Q342" s="292"/>
      <c r="R342" s="292"/>
      <c r="S342" s="292"/>
      <c r="T342" s="292"/>
      <c r="U342" s="292"/>
      <c r="V342" s="292"/>
      <c r="W342" s="292" t="b">
        <f>IFERROR(__xludf.DUMMYFUNCTION("""COMPUTED_VALUE"""),TRUE)</f>
        <v>1</v>
      </c>
      <c r="X342" s="292" t="str">
        <f>IFERROR(__xludf.DUMMYFUNCTION("""COMPUTED_VALUE"""),"#N/A")</f>
        <v>#N/A</v>
      </c>
      <c r="Y342" s="344" t="str">
        <f>IFERROR(__xludf.DUMMYFUNCTION("""COMPUTED_VALUE"""),"#N/A")</f>
        <v>#N/A</v>
      </c>
      <c r="Z342" s="343" t="str">
        <f>IFERROR(__xludf.DUMMYFUNCTION("""COMPUTED_VALUE"""),"#N/A")</f>
        <v>#N/A</v>
      </c>
      <c r="AA342" s="292" t="str">
        <f>IFERROR(__xludf.DUMMYFUNCTION("""COMPUTED_VALUE"""),"#N/A")</f>
        <v>#N/A</v>
      </c>
      <c r="AB342" s="292" t="str">
        <f>IFERROR(__xludf.DUMMYFUNCTION("""COMPUTED_VALUE"""),"#N/A")</f>
        <v>#N/A</v>
      </c>
      <c r="AC342" s="292" t="str">
        <f>IFERROR(__xludf.DUMMYFUNCTION("""COMPUTED_VALUE"""),"#N/A")</f>
        <v>#N/A</v>
      </c>
      <c r="AD342" s="292" t="str">
        <f>IFERROR(__xludf.DUMMYFUNCTION("""COMPUTED_VALUE"""),"#N/A")</f>
        <v>#N/A</v>
      </c>
      <c r="AE342" s="343" t="str">
        <f>IFERROR(__xludf.DUMMYFUNCTION("""COMPUTED_VALUE"""),"#N/A")</f>
        <v>#N/A</v>
      </c>
      <c r="AF342" s="292" t="str">
        <f>IFERROR(__xludf.DUMMYFUNCTION("""COMPUTED_VALUE"""),"#N/A")</f>
        <v>#N/A</v>
      </c>
      <c r="AG342" s="292"/>
      <c r="AH342" s="292" t="str">
        <f>IFERROR(__xludf.DUMMYFUNCTION("""COMPUTED_VALUE"""),"#N/A")</f>
        <v>#N/A</v>
      </c>
      <c r="AI342" s="292" t="str">
        <f>IFERROR(__xludf.DUMMYFUNCTION("""COMPUTED_VALUE"""),"#N/A")</f>
        <v>#N/A</v>
      </c>
      <c r="AJ342" s="292" t="str">
        <f>IFERROR(__xludf.DUMMYFUNCTION("""COMPUTED_VALUE"""),"#N/A")</f>
        <v>#N/A</v>
      </c>
      <c r="AK342" s="292" t="str">
        <f>IFERROR(__xludf.DUMMYFUNCTION("""COMPUTED_VALUE"""),"#N/A")</f>
        <v>#N/A</v>
      </c>
      <c r="AL342" s="292" t="str">
        <f>IFERROR(__xludf.DUMMYFUNCTION("""COMPUTED_VALUE"""),"#N/A")</f>
        <v>#N/A</v>
      </c>
      <c r="AM342" s="292" t="str">
        <f>IFERROR(__xludf.DUMMYFUNCTION("""COMPUTED_VALUE"""),"#N/A")</f>
        <v>#N/A</v>
      </c>
      <c r="AN342" s="292" t="str">
        <f>IFERROR(__xludf.DUMMYFUNCTION("""COMPUTED_VALUE"""),"#N/A")</f>
        <v>#N/A</v>
      </c>
      <c r="AO342" s="292" t="str">
        <f>IFERROR(__xludf.DUMMYFUNCTION("""COMPUTED_VALUE"""),"#N/A")</f>
        <v>#N/A</v>
      </c>
      <c r="AP342" s="292"/>
      <c r="AQ342" s="292"/>
      <c r="AR342" s="292"/>
      <c r="AS342" s="292"/>
      <c r="AT342" s="292"/>
      <c r="AU342" s="292"/>
      <c r="AV342" s="292"/>
      <c r="AW342" s="292"/>
      <c r="AX342" s="292"/>
      <c r="AY342" s="292"/>
      <c r="AZ342" s="292"/>
      <c r="BA342" s="292"/>
      <c r="BB342" s="292"/>
      <c r="BC342" s="292"/>
      <c r="BD342" s="292"/>
      <c r="BE342" s="292"/>
      <c r="BF342" s="296" t="str">
        <f>IFERROR(__xludf.DUMMYFUNCTION("""COMPUTED_VALUE"""),"#REF!")</f>
        <v>#REF!</v>
      </c>
      <c r="BG342" s="296" t="str">
        <f>IFERROR(__xludf.DUMMYFUNCTION("""COMPUTED_VALUE"""),"#REF!")</f>
        <v>#REF!</v>
      </c>
      <c r="BH342" s="296" t="str">
        <f>IFERROR(__xludf.DUMMYFUNCTION("""COMPUTED_VALUE"""),"#REF!")</f>
        <v>#REF!</v>
      </c>
      <c r="BI342" s="295" t="str">
        <f>IFERROR(__xludf.DUMMYFUNCTION("""COMPUTED_VALUE"""),"#N/A")</f>
        <v>#N/A</v>
      </c>
      <c r="BJ342" s="292"/>
      <c r="BK342" s="346" t="str">
        <f>IFERROR(__xludf.DUMMYFUNCTION("""COMPUTED_VALUE"""),"#N/A")</f>
        <v>#N/A</v>
      </c>
      <c r="BL342" s="292"/>
      <c r="BM342" s="292"/>
      <c r="BN342" s="292"/>
      <c r="BO342" s="292"/>
      <c r="BP342" s="292"/>
      <c r="BQ342" s="292"/>
      <c r="BR342" s="292"/>
      <c r="BS342" s="292"/>
      <c r="BT342" s="292"/>
      <c r="BU342" s="292"/>
      <c r="BV342" s="292"/>
      <c r="BW342" s="292"/>
    </row>
    <row r="343">
      <c r="A343" s="292"/>
      <c r="B343" s="292" t="str">
        <f>IFERROR(__xludf.DUMMYFUNCTION("""COMPUTED_VALUE"""),"")</f>
        <v/>
      </c>
      <c r="C343" s="292"/>
      <c r="D343" s="292" t="str">
        <f>IFERROR(__xludf.DUMMYFUNCTION("""COMPUTED_VALUE"""),"")</f>
        <v/>
      </c>
      <c r="E343" s="292" t="str">
        <f>IFERROR(__xludf.DUMMYFUNCTION("""COMPUTED_VALUE"""),"")</f>
        <v/>
      </c>
      <c r="F343" s="292"/>
      <c r="G343" s="292" t="str">
        <f>IFERROR(__xludf.DUMMYFUNCTION("""COMPUTED_VALUE"""),"")</f>
        <v/>
      </c>
      <c r="H343" s="292" t="str">
        <f>IFERROR(__xludf.DUMMYFUNCTION("""COMPUTED_VALUE"""),"")</f>
        <v/>
      </c>
      <c r="I343" s="292"/>
      <c r="J343" s="292"/>
      <c r="K343" s="292"/>
      <c r="L343" s="292"/>
      <c r="M343" s="292" t="str">
        <f>IFERROR(__xludf.DUMMYFUNCTION("""COMPUTED_VALUE"""),"")</f>
        <v/>
      </c>
      <c r="N343" s="292"/>
      <c r="O343" s="292"/>
      <c r="P343" s="292"/>
      <c r="Q343" s="292"/>
      <c r="R343" s="292"/>
      <c r="S343" s="292"/>
      <c r="T343" s="292"/>
      <c r="U343" s="292"/>
      <c r="V343" s="292"/>
      <c r="W343" s="292" t="b">
        <f>IFERROR(__xludf.DUMMYFUNCTION("""COMPUTED_VALUE"""),TRUE)</f>
        <v>1</v>
      </c>
      <c r="X343" s="292" t="str">
        <f>IFERROR(__xludf.DUMMYFUNCTION("""COMPUTED_VALUE"""),"#N/A")</f>
        <v>#N/A</v>
      </c>
      <c r="Y343" s="344" t="str">
        <f>IFERROR(__xludf.DUMMYFUNCTION("""COMPUTED_VALUE"""),"#N/A")</f>
        <v>#N/A</v>
      </c>
      <c r="Z343" s="343" t="str">
        <f>IFERROR(__xludf.DUMMYFUNCTION("""COMPUTED_VALUE"""),"#N/A")</f>
        <v>#N/A</v>
      </c>
      <c r="AA343" s="292" t="str">
        <f>IFERROR(__xludf.DUMMYFUNCTION("""COMPUTED_VALUE"""),"#N/A")</f>
        <v>#N/A</v>
      </c>
      <c r="AB343" s="292" t="str">
        <f>IFERROR(__xludf.DUMMYFUNCTION("""COMPUTED_VALUE"""),"#N/A")</f>
        <v>#N/A</v>
      </c>
      <c r="AC343" s="292" t="str">
        <f>IFERROR(__xludf.DUMMYFUNCTION("""COMPUTED_VALUE"""),"#N/A")</f>
        <v>#N/A</v>
      </c>
      <c r="AD343" s="292" t="str">
        <f>IFERROR(__xludf.DUMMYFUNCTION("""COMPUTED_VALUE"""),"#N/A")</f>
        <v>#N/A</v>
      </c>
      <c r="AE343" s="343" t="str">
        <f>IFERROR(__xludf.DUMMYFUNCTION("""COMPUTED_VALUE"""),"#N/A")</f>
        <v>#N/A</v>
      </c>
      <c r="AF343" s="292" t="str">
        <f>IFERROR(__xludf.DUMMYFUNCTION("""COMPUTED_VALUE"""),"#N/A")</f>
        <v>#N/A</v>
      </c>
      <c r="AG343" s="292"/>
      <c r="AH343" s="292" t="str">
        <f>IFERROR(__xludf.DUMMYFUNCTION("""COMPUTED_VALUE"""),"#N/A")</f>
        <v>#N/A</v>
      </c>
      <c r="AI343" s="292" t="str">
        <f>IFERROR(__xludf.DUMMYFUNCTION("""COMPUTED_VALUE"""),"#N/A")</f>
        <v>#N/A</v>
      </c>
      <c r="AJ343" s="292" t="str">
        <f>IFERROR(__xludf.DUMMYFUNCTION("""COMPUTED_VALUE"""),"#N/A")</f>
        <v>#N/A</v>
      </c>
      <c r="AK343" s="292" t="str">
        <f>IFERROR(__xludf.DUMMYFUNCTION("""COMPUTED_VALUE"""),"#N/A")</f>
        <v>#N/A</v>
      </c>
      <c r="AL343" s="292" t="str">
        <f>IFERROR(__xludf.DUMMYFUNCTION("""COMPUTED_VALUE"""),"#N/A")</f>
        <v>#N/A</v>
      </c>
      <c r="AM343" s="292" t="str">
        <f>IFERROR(__xludf.DUMMYFUNCTION("""COMPUTED_VALUE"""),"#N/A")</f>
        <v>#N/A</v>
      </c>
      <c r="AN343" s="292" t="str">
        <f>IFERROR(__xludf.DUMMYFUNCTION("""COMPUTED_VALUE"""),"#N/A")</f>
        <v>#N/A</v>
      </c>
      <c r="AO343" s="292" t="str">
        <f>IFERROR(__xludf.DUMMYFUNCTION("""COMPUTED_VALUE"""),"#N/A")</f>
        <v>#N/A</v>
      </c>
      <c r="AP343" s="292"/>
      <c r="AQ343" s="292"/>
      <c r="AR343" s="292"/>
      <c r="AS343" s="292"/>
      <c r="AT343" s="292"/>
      <c r="AU343" s="292"/>
      <c r="AV343" s="292"/>
      <c r="AW343" s="292"/>
      <c r="AX343" s="292"/>
      <c r="AY343" s="292"/>
      <c r="AZ343" s="292"/>
      <c r="BA343" s="292"/>
      <c r="BB343" s="292"/>
      <c r="BC343" s="292"/>
      <c r="BD343" s="292"/>
      <c r="BE343" s="292"/>
      <c r="BF343" s="296" t="str">
        <f>IFERROR(__xludf.DUMMYFUNCTION("""COMPUTED_VALUE"""),"#REF!")</f>
        <v>#REF!</v>
      </c>
      <c r="BG343" s="296" t="str">
        <f>IFERROR(__xludf.DUMMYFUNCTION("""COMPUTED_VALUE"""),"#REF!")</f>
        <v>#REF!</v>
      </c>
      <c r="BH343" s="296" t="str">
        <f>IFERROR(__xludf.DUMMYFUNCTION("""COMPUTED_VALUE"""),"#REF!")</f>
        <v>#REF!</v>
      </c>
      <c r="BI343" s="295" t="str">
        <f>IFERROR(__xludf.DUMMYFUNCTION("""COMPUTED_VALUE"""),"#N/A")</f>
        <v>#N/A</v>
      </c>
      <c r="BJ343" s="292"/>
      <c r="BK343" s="346" t="str">
        <f>IFERROR(__xludf.DUMMYFUNCTION("""COMPUTED_VALUE"""),"#N/A")</f>
        <v>#N/A</v>
      </c>
      <c r="BL343" s="292"/>
      <c r="BM343" s="292"/>
      <c r="BN343" s="292"/>
      <c r="BO343" s="292"/>
      <c r="BP343" s="292"/>
      <c r="BQ343" s="292"/>
      <c r="BR343" s="292"/>
      <c r="BS343" s="292"/>
      <c r="BT343" s="292"/>
      <c r="BU343" s="292"/>
      <c r="BV343" s="292"/>
      <c r="BW343" s="292"/>
    </row>
    <row r="344">
      <c r="A344" s="292"/>
      <c r="B344" s="292" t="str">
        <f>IFERROR(__xludf.DUMMYFUNCTION("""COMPUTED_VALUE"""),"")</f>
        <v/>
      </c>
      <c r="C344" s="292"/>
      <c r="D344" s="292" t="str">
        <f>IFERROR(__xludf.DUMMYFUNCTION("""COMPUTED_VALUE"""),"")</f>
        <v/>
      </c>
      <c r="E344" s="292" t="str">
        <f>IFERROR(__xludf.DUMMYFUNCTION("""COMPUTED_VALUE"""),"")</f>
        <v/>
      </c>
      <c r="F344" s="292"/>
      <c r="G344" s="292" t="str">
        <f>IFERROR(__xludf.DUMMYFUNCTION("""COMPUTED_VALUE"""),"")</f>
        <v/>
      </c>
      <c r="H344" s="292" t="str">
        <f>IFERROR(__xludf.DUMMYFUNCTION("""COMPUTED_VALUE"""),"")</f>
        <v/>
      </c>
      <c r="I344" s="292"/>
      <c r="J344" s="292"/>
      <c r="K344" s="292"/>
      <c r="L344" s="292"/>
      <c r="M344" s="292" t="str">
        <f>IFERROR(__xludf.DUMMYFUNCTION("""COMPUTED_VALUE"""),"")</f>
        <v/>
      </c>
      <c r="N344" s="292"/>
      <c r="O344" s="292"/>
      <c r="P344" s="292"/>
      <c r="Q344" s="292"/>
      <c r="R344" s="292"/>
      <c r="S344" s="292"/>
      <c r="T344" s="292"/>
      <c r="U344" s="292"/>
      <c r="V344" s="292"/>
      <c r="W344" s="292" t="b">
        <f>IFERROR(__xludf.DUMMYFUNCTION("""COMPUTED_VALUE"""),TRUE)</f>
        <v>1</v>
      </c>
      <c r="X344" s="292" t="str">
        <f>IFERROR(__xludf.DUMMYFUNCTION("""COMPUTED_VALUE"""),"#N/A")</f>
        <v>#N/A</v>
      </c>
      <c r="Y344" s="344" t="str">
        <f>IFERROR(__xludf.DUMMYFUNCTION("""COMPUTED_VALUE"""),"#N/A")</f>
        <v>#N/A</v>
      </c>
      <c r="Z344" s="343" t="str">
        <f>IFERROR(__xludf.DUMMYFUNCTION("""COMPUTED_VALUE"""),"#N/A")</f>
        <v>#N/A</v>
      </c>
      <c r="AA344" s="292" t="str">
        <f>IFERROR(__xludf.DUMMYFUNCTION("""COMPUTED_VALUE"""),"#N/A")</f>
        <v>#N/A</v>
      </c>
      <c r="AB344" s="292" t="str">
        <f>IFERROR(__xludf.DUMMYFUNCTION("""COMPUTED_VALUE"""),"#N/A")</f>
        <v>#N/A</v>
      </c>
      <c r="AC344" s="292" t="str">
        <f>IFERROR(__xludf.DUMMYFUNCTION("""COMPUTED_VALUE"""),"#N/A")</f>
        <v>#N/A</v>
      </c>
      <c r="AD344" s="292" t="str">
        <f>IFERROR(__xludf.DUMMYFUNCTION("""COMPUTED_VALUE"""),"#N/A")</f>
        <v>#N/A</v>
      </c>
      <c r="AE344" s="343" t="str">
        <f>IFERROR(__xludf.DUMMYFUNCTION("""COMPUTED_VALUE"""),"#N/A")</f>
        <v>#N/A</v>
      </c>
      <c r="AF344" s="292" t="str">
        <f>IFERROR(__xludf.DUMMYFUNCTION("""COMPUTED_VALUE"""),"#N/A")</f>
        <v>#N/A</v>
      </c>
      <c r="AG344" s="292"/>
      <c r="AH344" s="292" t="str">
        <f>IFERROR(__xludf.DUMMYFUNCTION("""COMPUTED_VALUE"""),"#N/A")</f>
        <v>#N/A</v>
      </c>
      <c r="AI344" s="292" t="str">
        <f>IFERROR(__xludf.DUMMYFUNCTION("""COMPUTED_VALUE"""),"#N/A")</f>
        <v>#N/A</v>
      </c>
      <c r="AJ344" s="292" t="str">
        <f>IFERROR(__xludf.DUMMYFUNCTION("""COMPUTED_VALUE"""),"#N/A")</f>
        <v>#N/A</v>
      </c>
      <c r="AK344" s="292" t="str">
        <f>IFERROR(__xludf.DUMMYFUNCTION("""COMPUTED_VALUE"""),"#N/A")</f>
        <v>#N/A</v>
      </c>
      <c r="AL344" s="292" t="str">
        <f>IFERROR(__xludf.DUMMYFUNCTION("""COMPUTED_VALUE"""),"#N/A")</f>
        <v>#N/A</v>
      </c>
      <c r="AM344" s="292" t="str">
        <f>IFERROR(__xludf.DUMMYFUNCTION("""COMPUTED_VALUE"""),"#N/A")</f>
        <v>#N/A</v>
      </c>
      <c r="AN344" s="292" t="str">
        <f>IFERROR(__xludf.DUMMYFUNCTION("""COMPUTED_VALUE"""),"#N/A")</f>
        <v>#N/A</v>
      </c>
      <c r="AO344" s="292" t="str">
        <f>IFERROR(__xludf.DUMMYFUNCTION("""COMPUTED_VALUE"""),"#N/A")</f>
        <v>#N/A</v>
      </c>
      <c r="AP344" s="292"/>
      <c r="AQ344" s="292"/>
      <c r="AR344" s="292"/>
      <c r="AS344" s="292"/>
      <c r="AT344" s="292"/>
      <c r="AU344" s="292"/>
      <c r="AV344" s="292"/>
      <c r="AW344" s="292"/>
      <c r="AX344" s="292"/>
      <c r="AY344" s="292"/>
      <c r="AZ344" s="292"/>
      <c r="BA344" s="292"/>
      <c r="BB344" s="292"/>
      <c r="BC344" s="292"/>
      <c r="BD344" s="292"/>
      <c r="BE344" s="292"/>
      <c r="BF344" s="296" t="str">
        <f>IFERROR(__xludf.DUMMYFUNCTION("""COMPUTED_VALUE"""),"#REF!")</f>
        <v>#REF!</v>
      </c>
      <c r="BG344" s="296" t="str">
        <f>IFERROR(__xludf.DUMMYFUNCTION("""COMPUTED_VALUE"""),"#REF!")</f>
        <v>#REF!</v>
      </c>
      <c r="BH344" s="296" t="str">
        <f>IFERROR(__xludf.DUMMYFUNCTION("""COMPUTED_VALUE"""),"#REF!")</f>
        <v>#REF!</v>
      </c>
      <c r="BI344" s="295" t="str">
        <f>IFERROR(__xludf.DUMMYFUNCTION("""COMPUTED_VALUE"""),"#N/A")</f>
        <v>#N/A</v>
      </c>
      <c r="BJ344" s="292"/>
      <c r="BK344" s="346" t="str">
        <f>IFERROR(__xludf.DUMMYFUNCTION("""COMPUTED_VALUE"""),"#N/A")</f>
        <v>#N/A</v>
      </c>
      <c r="BL344" s="292"/>
      <c r="BM344" s="292"/>
      <c r="BN344" s="292"/>
      <c r="BO344" s="292"/>
      <c r="BP344" s="292"/>
      <c r="BQ344" s="292"/>
      <c r="BR344" s="292"/>
      <c r="BS344" s="292"/>
      <c r="BT344" s="292"/>
      <c r="BU344" s="292"/>
      <c r="BV344" s="292"/>
      <c r="BW344" s="292"/>
    </row>
    <row r="345">
      <c r="A345" s="292"/>
      <c r="B345" s="292" t="str">
        <f>IFERROR(__xludf.DUMMYFUNCTION("""COMPUTED_VALUE"""),"")</f>
        <v/>
      </c>
      <c r="C345" s="292"/>
      <c r="D345" s="292" t="str">
        <f>IFERROR(__xludf.DUMMYFUNCTION("""COMPUTED_VALUE"""),"")</f>
        <v/>
      </c>
      <c r="E345" s="292" t="str">
        <f>IFERROR(__xludf.DUMMYFUNCTION("""COMPUTED_VALUE"""),"")</f>
        <v/>
      </c>
      <c r="F345" s="292"/>
      <c r="G345" s="292" t="str">
        <f>IFERROR(__xludf.DUMMYFUNCTION("""COMPUTED_VALUE"""),"")</f>
        <v/>
      </c>
      <c r="H345" s="292" t="str">
        <f>IFERROR(__xludf.DUMMYFUNCTION("""COMPUTED_VALUE"""),"")</f>
        <v/>
      </c>
      <c r="I345" s="292"/>
      <c r="J345" s="292"/>
      <c r="K345" s="292"/>
      <c r="L345" s="292"/>
      <c r="M345" s="292" t="str">
        <f>IFERROR(__xludf.DUMMYFUNCTION("""COMPUTED_VALUE"""),"")</f>
        <v/>
      </c>
      <c r="N345" s="292"/>
      <c r="O345" s="292"/>
      <c r="P345" s="292"/>
      <c r="Q345" s="292"/>
      <c r="R345" s="292"/>
      <c r="S345" s="292"/>
      <c r="T345" s="292"/>
      <c r="U345" s="292"/>
      <c r="V345" s="292"/>
      <c r="W345" s="292" t="b">
        <f>IFERROR(__xludf.DUMMYFUNCTION("""COMPUTED_VALUE"""),TRUE)</f>
        <v>1</v>
      </c>
      <c r="X345" s="292" t="str">
        <f>IFERROR(__xludf.DUMMYFUNCTION("""COMPUTED_VALUE"""),"#N/A")</f>
        <v>#N/A</v>
      </c>
      <c r="Y345" s="344" t="str">
        <f>IFERROR(__xludf.DUMMYFUNCTION("""COMPUTED_VALUE"""),"#N/A")</f>
        <v>#N/A</v>
      </c>
      <c r="Z345" s="343" t="str">
        <f>IFERROR(__xludf.DUMMYFUNCTION("""COMPUTED_VALUE"""),"#N/A")</f>
        <v>#N/A</v>
      </c>
      <c r="AA345" s="292" t="str">
        <f>IFERROR(__xludf.DUMMYFUNCTION("""COMPUTED_VALUE"""),"#N/A")</f>
        <v>#N/A</v>
      </c>
      <c r="AB345" s="292" t="str">
        <f>IFERROR(__xludf.DUMMYFUNCTION("""COMPUTED_VALUE"""),"#N/A")</f>
        <v>#N/A</v>
      </c>
      <c r="AC345" s="292" t="str">
        <f>IFERROR(__xludf.DUMMYFUNCTION("""COMPUTED_VALUE"""),"#N/A")</f>
        <v>#N/A</v>
      </c>
      <c r="AD345" s="292" t="str">
        <f>IFERROR(__xludf.DUMMYFUNCTION("""COMPUTED_VALUE"""),"#N/A")</f>
        <v>#N/A</v>
      </c>
      <c r="AE345" s="343" t="str">
        <f>IFERROR(__xludf.DUMMYFUNCTION("""COMPUTED_VALUE"""),"#N/A")</f>
        <v>#N/A</v>
      </c>
      <c r="AF345" s="292" t="str">
        <f>IFERROR(__xludf.DUMMYFUNCTION("""COMPUTED_VALUE"""),"#N/A")</f>
        <v>#N/A</v>
      </c>
      <c r="AG345" s="292"/>
      <c r="AH345" s="292" t="str">
        <f>IFERROR(__xludf.DUMMYFUNCTION("""COMPUTED_VALUE"""),"#N/A")</f>
        <v>#N/A</v>
      </c>
      <c r="AI345" s="292" t="str">
        <f>IFERROR(__xludf.DUMMYFUNCTION("""COMPUTED_VALUE"""),"#N/A")</f>
        <v>#N/A</v>
      </c>
      <c r="AJ345" s="292" t="str">
        <f>IFERROR(__xludf.DUMMYFUNCTION("""COMPUTED_VALUE"""),"#N/A")</f>
        <v>#N/A</v>
      </c>
      <c r="AK345" s="292" t="str">
        <f>IFERROR(__xludf.DUMMYFUNCTION("""COMPUTED_VALUE"""),"#N/A")</f>
        <v>#N/A</v>
      </c>
      <c r="AL345" s="292" t="str">
        <f>IFERROR(__xludf.DUMMYFUNCTION("""COMPUTED_VALUE"""),"#N/A")</f>
        <v>#N/A</v>
      </c>
      <c r="AM345" s="292" t="str">
        <f>IFERROR(__xludf.DUMMYFUNCTION("""COMPUTED_VALUE"""),"#N/A")</f>
        <v>#N/A</v>
      </c>
      <c r="AN345" s="292" t="str">
        <f>IFERROR(__xludf.DUMMYFUNCTION("""COMPUTED_VALUE"""),"#N/A")</f>
        <v>#N/A</v>
      </c>
      <c r="AO345" s="292" t="str">
        <f>IFERROR(__xludf.DUMMYFUNCTION("""COMPUTED_VALUE"""),"#N/A")</f>
        <v>#N/A</v>
      </c>
      <c r="AP345" s="292"/>
      <c r="AQ345" s="292"/>
      <c r="AR345" s="292"/>
      <c r="AS345" s="292"/>
      <c r="AT345" s="292"/>
      <c r="AU345" s="292"/>
      <c r="AV345" s="292"/>
      <c r="AW345" s="292"/>
      <c r="AX345" s="292"/>
      <c r="AY345" s="292"/>
      <c r="AZ345" s="292"/>
      <c r="BA345" s="292"/>
      <c r="BB345" s="292"/>
      <c r="BC345" s="292"/>
      <c r="BD345" s="292"/>
      <c r="BE345" s="292"/>
      <c r="BF345" s="296" t="str">
        <f>IFERROR(__xludf.DUMMYFUNCTION("""COMPUTED_VALUE"""),"#REF!")</f>
        <v>#REF!</v>
      </c>
      <c r="BG345" s="296" t="str">
        <f>IFERROR(__xludf.DUMMYFUNCTION("""COMPUTED_VALUE"""),"#REF!")</f>
        <v>#REF!</v>
      </c>
      <c r="BH345" s="296" t="str">
        <f>IFERROR(__xludf.DUMMYFUNCTION("""COMPUTED_VALUE"""),"#REF!")</f>
        <v>#REF!</v>
      </c>
      <c r="BI345" s="295" t="str">
        <f>IFERROR(__xludf.DUMMYFUNCTION("""COMPUTED_VALUE"""),"#N/A")</f>
        <v>#N/A</v>
      </c>
      <c r="BJ345" s="292"/>
      <c r="BK345" s="346" t="str">
        <f>IFERROR(__xludf.DUMMYFUNCTION("""COMPUTED_VALUE"""),"#N/A")</f>
        <v>#N/A</v>
      </c>
      <c r="BL345" s="292"/>
      <c r="BM345" s="292"/>
      <c r="BN345" s="292"/>
      <c r="BO345" s="292"/>
      <c r="BP345" s="292"/>
      <c r="BQ345" s="292"/>
      <c r="BR345" s="292"/>
      <c r="BS345" s="292"/>
      <c r="BT345" s="292"/>
      <c r="BU345" s="292"/>
      <c r="BV345" s="292"/>
      <c r="BW345" s="292"/>
    </row>
    <row r="346">
      <c r="A346" s="292"/>
      <c r="B346" s="292" t="str">
        <f>IFERROR(__xludf.DUMMYFUNCTION("""COMPUTED_VALUE"""),"")</f>
        <v/>
      </c>
      <c r="C346" s="292"/>
      <c r="D346" s="292" t="str">
        <f>IFERROR(__xludf.DUMMYFUNCTION("""COMPUTED_VALUE"""),"")</f>
        <v/>
      </c>
      <c r="E346" s="292" t="str">
        <f>IFERROR(__xludf.DUMMYFUNCTION("""COMPUTED_VALUE"""),"")</f>
        <v/>
      </c>
      <c r="F346" s="292"/>
      <c r="G346" s="292" t="str">
        <f>IFERROR(__xludf.DUMMYFUNCTION("""COMPUTED_VALUE"""),"")</f>
        <v/>
      </c>
      <c r="H346" s="292" t="str">
        <f>IFERROR(__xludf.DUMMYFUNCTION("""COMPUTED_VALUE"""),"")</f>
        <v/>
      </c>
      <c r="I346" s="292"/>
      <c r="J346" s="292"/>
      <c r="K346" s="292"/>
      <c r="L346" s="292"/>
      <c r="M346" s="292" t="str">
        <f>IFERROR(__xludf.DUMMYFUNCTION("""COMPUTED_VALUE"""),"")</f>
        <v/>
      </c>
      <c r="N346" s="292"/>
      <c r="O346" s="292"/>
      <c r="P346" s="292"/>
      <c r="Q346" s="292"/>
      <c r="R346" s="292"/>
      <c r="S346" s="292"/>
      <c r="T346" s="292"/>
      <c r="U346" s="292"/>
      <c r="V346" s="292"/>
      <c r="W346" s="292" t="b">
        <f>IFERROR(__xludf.DUMMYFUNCTION("""COMPUTED_VALUE"""),TRUE)</f>
        <v>1</v>
      </c>
      <c r="X346" s="292" t="str">
        <f>IFERROR(__xludf.DUMMYFUNCTION("""COMPUTED_VALUE"""),"#N/A")</f>
        <v>#N/A</v>
      </c>
      <c r="Y346" s="344" t="str">
        <f>IFERROR(__xludf.DUMMYFUNCTION("""COMPUTED_VALUE"""),"#N/A")</f>
        <v>#N/A</v>
      </c>
      <c r="Z346" s="343" t="str">
        <f>IFERROR(__xludf.DUMMYFUNCTION("""COMPUTED_VALUE"""),"#N/A")</f>
        <v>#N/A</v>
      </c>
      <c r="AA346" s="292" t="str">
        <f>IFERROR(__xludf.DUMMYFUNCTION("""COMPUTED_VALUE"""),"#N/A")</f>
        <v>#N/A</v>
      </c>
      <c r="AB346" s="292" t="str">
        <f>IFERROR(__xludf.DUMMYFUNCTION("""COMPUTED_VALUE"""),"#N/A")</f>
        <v>#N/A</v>
      </c>
      <c r="AC346" s="292" t="str">
        <f>IFERROR(__xludf.DUMMYFUNCTION("""COMPUTED_VALUE"""),"#N/A")</f>
        <v>#N/A</v>
      </c>
      <c r="AD346" s="292" t="str">
        <f>IFERROR(__xludf.DUMMYFUNCTION("""COMPUTED_VALUE"""),"#N/A")</f>
        <v>#N/A</v>
      </c>
      <c r="AE346" s="343" t="str">
        <f>IFERROR(__xludf.DUMMYFUNCTION("""COMPUTED_VALUE"""),"#N/A")</f>
        <v>#N/A</v>
      </c>
      <c r="AF346" s="292" t="str">
        <f>IFERROR(__xludf.DUMMYFUNCTION("""COMPUTED_VALUE"""),"#N/A")</f>
        <v>#N/A</v>
      </c>
      <c r="AG346" s="292"/>
      <c r="AH346" s="292" t="str">
        <f>IFERROR(__xludf.DUMMYFUNCTION("""COMPUTED_VALUE"""),"#N/A")</f>
        <v>#N/A</v>
      </c>
      <c r="AI346" s="292" t="str">
        <f>IFERROR(__xludf.DUMMYFUNCTION("""COMPUTED_VALUE"""),"#N/A")</f>
        <v>#N/A</v>
      </c>
      <c r="AJ346" s="292" t="str">
        <f>IFERROR(__xludf.DUMMYFUNCTION("""COMPUTED_VALUE"""),"#N/A")</f>
        <v>#N/A</v>
      </c>
      <c r="AK346" s="292" t="str">
        <f>IFERROR(__xludf.DUMMYFUNCTION("""COMPUTED_VALUE"""),"#N/A")</f>
        <v>#N/A</v>
      </c>
      <c r="AL346" s="292" t="str">
        <f>IFERROR(__xludf.DUMMYFUNCTION("""COMPUTED_VALUE"""),"#N/A")</f>
        <v>#N/A</v>
      </c>
      <c r="AM346" s="292" t="str">
        <f>IFERROR(__xludf.DUMMYFUNCTION("""COMPUTED_VALUE"""),"#N/A")</f>
        <v>#N/A</v>
      </c>
      <c r="AN346" s="292" t="str">
        <f>IFERROR(__xludf.DUMMYFUNCTION("""COMPUTED_VALUE"""),"#N/A")</f>
        <v>#N/A</v>
      </c>
      <c r="AO346" s="292" t="str">
        <f>IFERROR(__xludf.DUMMYFUNCTION("""COMPUTED_VALUE"""),"#N/A")</f>
        <v>#N/A</v>
      </c>
      <c r="AP346" s="292"/>
      <c r="AQ346" s="292"/>
      <c r="AR346" s="292"/>
      <c r="AS346" s="292"/>
      <c r="AT346" s="292"/>
      <c r="AU346" s="292"/>
      <c r="AV346" s="292"/>
      <c r="AW346" s="292"/>
      <c r="AX346" s="292"/>
      <c r="AY346" s="292"/>
      <c r="AZ346" s="292"/>
      <c r="BA346" s="292"/>
      <c r="BB346" s="292"/>
      <c r="BC346" s="292"/>
      <c r="BD346" s="292"/>
      <c r="BE346" s="292"/>
      <c r="BF346" s="296" t="str">
        <f>IFERROR(__xludf.DUMMYFUNCTION("""COMPUTED_VALUE"""),"#REF!")</f>
        <v>#REF!</v>
      </c>
      <c r="BG346" s="296" t="str">
        <f>IFERROR(__xludf.DUMMYFUNCTION("""COMPUTED_VALUE"""),"#REF!")</f>
        <v>#REF!</v>
      </c>
      <c r="BH346" s="296" t="str">
        <f>IFERROR(__xludf.DUMMYFUNCTION("""COMPUTED_VALUE"""),"#REF!")</f>
        <v>#REF!</v>
      </c>
      <c r="BI346" s="295" t="str">
        <f>IFERROR(__xludf.DUMMYFUNCTION("""COMPUTED_VALUE"""),"#N/A")</f>
        <v>#N/A</v>
      </c>
      <c r="BJ346" s="292"/>
      <c r="BK346" s="346" t="str">
        <f>IFERROR(__xludf.DUMMYFUNCTION("""COMPUTED_VALUE"""),"#N/A")</f>
        <v>#N/A</v>
      </c>
      <c r="BL346" s="292"/>
      <c r="BM346" s="292"/>
      <c r="BN346" s="292"/>
      <c r="BO346" s="292"/>
      <c r="BP346" s="292"/>
      <c r="BQ346" s="292"/>
      <c r="BR346" s="292"/>
      <c r="BS346" s="292"/>
      <c r="BT346" s="292"/>
      <c r="BU346" s="292"/>
      <c r="BV346" s="292"/>
      <c r="BW346" s="292"/>
    </row>
    <row r="347">
      <c r="A347" s="292"/>
      <c r="B347" s="292" t="str">
        <f>IFERROR(__xludf.DUMMYFUNCTION("""COMPUTED_VALUE"""),"")</f>
        <v/>
      </c>
      <c r="C347" s="292"/>
      <c r="D347" s="292" t="str">
        <f>IFERROR(__xludf.DUMMYFUNCTION("""COMPUTED_VALUE"""),"")</f>
        <v/>
      </c>
      <c r="E347" s="292" t="str">
        <f>IFERROR(__xludf.DUMMYFUNCTION("""COMPUTED_VALUE"""),"")</f>
        <v/>
      </c>
      <c r="F347" s="292"/>
      <c r="G347" s="292" t="str">
        <f>IFERROR(__xludf.DUMMYFUNCTION("""COMPUTED_VALUE"""),"")</f>
        <v/>
      </c>
      <c r="H347" s="292" t="str">
        <f>IFERROR(__xludf.DUMMYFUNCTION("""COMPUTED_VALUE"""),"")</f>
        <v/>
      </c>
      <c r="I347" s="292"/>
      <c r="J347" s="292"/>
      <c r="K347" s="292"/>
      <c r="L347" s="292"/>
      <c r="M347" s="292" t="str">
        <f>IFERROR(__xludf.DUMMYFUNCTION("""COMPUTED_VALUE"""),"")</f>
        <v/>
      </c>
      <c r="N347" s="292"/>
      <c r="O347" s="292"/>
      <c r="P347" s="292"/>
      <c r="Q347" s="292"/>
      <c r="R347" s="292"/>
      <c r="S347" s="292"/>
      <c r="T347" s="292"/>
      <c r="U347" s="292"/>
      <c r="V347" s="292"/>
      <c r="W347" s="292" t="b">
        <f>IFERROR(__xludf.DUMMYFUNCTION("""COMPUTED_VALUE"""),TRUE)</f>
        <v>1</v>
      </c>
      <c r="X347" s="292" t="str">
        <f>IFERROR(__xludf.DUMMYFUNCTION("""COMPUTED_VALUE"""),"#N/A")</f>
        <v>#N/A</v>
      </c>
      <c r="Y347" s="344" t="str">
        <f>IFERROR(__xludf.DUMMYFUNCTION("""COMPUTED_VALUE"""),"#N/A")</f>
        <v>#N/A</v>
      </c>
      <c r="Z347" s="343" t="str">
        <f>IFERROR(__xludf.DUMMYFUNCTION("""COMPUTED_VALUE"""),"#N/A")</f>
        <v>#N/A</v>
      </c>
      <c r="AA347" s="292" t="str">
        <f>IFERROR(__xludf.DUMMYFUNCTION("""COMPUTED_VALUE"""),"#N/A")</f>
        <v>#N/A</v>
      </c>
      <c r="AB347" s="292" t="str">
        <f>IFERROR(__xludf.DUMMYFUNCTION("""COMPUTED_VALUE"""),"#N/A")</f>
        <v>#N/A</v>
      </c>
      <c r="AC347" s="292" t="str">
        <f>IFERROR(__xludf.DUMMYFUNCTION("""COMPUTED_VALUE"""),"#N/A")</f>
        <v>#N/A</v>
      </c>
      <c r="AD347" s="292" t="str">
        <f>IFERROR(__xludf.DUMMYFUNCTION("""COMPUTED_VALUE"""),"#N/A")</f>
        <v>#N/A</v>
      </c>
      <c r="AE347" s="343" t="str">
        <f>IFERROR(__xludf.DUMMYFUNCTION("""COMPUTED_VALUE"""),"#N/A")</f>
        <v>#N/A</v>
      </c>
      <c r="AF347" s="292" t="str">
        <f>IFERROR(__xludf.DUMMYFUNCTION("""COMPUTED_VALUE"""),"#N/A")</f>
        <v>#N/A</v>
      </c>
      <c r="AG347" s="292"/>
      <c r="AH347" s="292" t="str">
        <f>IFERROR(__xludf.DUMMYFUNCTION("""COMPUTED_VALUE"""),"#N/A")</f>
        <v>#N/A</v>
      </c>
      <c r="AI347" s="292" t="str">
        <f>IFERROR(__xludf.DUMMYFUNCTION("""COMPUTED_VALUE"""),"#N/A")</f>
        <v>#N/A</v>
      </c>
      <c r="AJ347" s="292" t="str">
        <f>IFERROR(__xludf.DUMMYFUNCTION("""COMPUTED_VALUE"""),"#N/A")</f>
        <v>#N/A</v>
      </c>
      <c r="AK347" s="292" t="str">
        <f>IFERROR(__xludf.DUMMYFUNCTION("""COMPUTED_VALUE"""),"#N/A")</f>
        <v>#N/A</v>
      </c>
      <c r="AL347" s="292" t="str">
        <f>IFERROR(__xludf.DUMMYFUNCTION("""COMPUTED_VALUE"""),"#N/A")</f>
        <v>#N/A</v>
      </c>
      <c r="AM347" s="292" t="str">
        <f>IFERROR(__xludf.DUMMYFUNCTION("""COMPUTED_VALUE"""),"#N/A")</f>
        <v>#N/A</v>
      </c>
      <c r="AN347" s="292" t="str">
        <f>IFERROR(__xludf.DUMMYFUNCTION("""COMPUTED_VALUE"""),"#N/A")</f>
        <v>#N/A</v>
      </c>
      <c r="AO347" s="292" t="str">
        <f>IFERROR(__xludf.DUMMYFUNCTION("""COMPUTED_VALUE"""),"#N/A")</f>
        <v>#N/A</v>
      </c>
      <c r="AP347" s="292"/>
      <c r="AQ347" s="292"/>
      <c r="AR347" s="292"/>
      <c r="AS347" s="292"/>
      <c r="AT347" s="292"/>
      <c r="AU347" s="292"/>
      <c r="AV347" s="292"/>
      <c r="AW347" s="292"/>
      <c r="AX347" s="292"/>
      <c r="AY347" s="292"/>
      <c r="AZ347" s="292"/>
      <c r="BA347" s="292"/>
      <c r="BB347" s="292"/>
      <c r="BC347" s="292"/>
      <c r="BD347" s="292"/>
      <c r="BE347" s="292"/>
      <c r="BF347" s="296" t="str">
        <f>IFERROR(__xludf.DUMMYFUNCTION("""COMPUTED_VALUE"""),"#REF!")</f>
        <v>#REF!</v>
      </c>
      <c r="BG347" s="296" t="str">
        <f>IFERROR(__xludf.DUMMYFUNCTION("""COMPUTED_VALUE"""),"#REF!")</f>
        <v>#REF!</v>
      </c>
      <c r="BH347" s="296" t="str">
        <f>IFERROR(__xludf.DUMMYFUNCTION("""COMPUTED_VALUE"""),"#REF!")</f>
        <v>#REF!</v>
      </c>
      <c r="BI347" s="295" t="str">
        <f>IFERROR(__xludf.DUMMYFUNCTION("""COMPUTED_VALUE"""),"#N/A")</f>
        <v>#N/A</v>
      </c>
      <c r="BJ347" s="292"/>
      <c r="BK347" s="346" t="str">
        <f>IFERROR(__xludf.DUMMYFUNCTION("""COMPUTED_VALUE"""),"#N/A")</f>
        <v>#N/A</v>
      </c>
      <c r="BL347" s="292"/>
      <c r="BM347" s="292"/>
      <c r="BN347" s="292"/>
      <c r="BO347" s="292"/>
      <c r="BP347" s="292"/>
      <c r="BQ347" s="292"/>
      <c r="BR347" s="292"/>
      <c r="BS347" s="292"/>
      <c r="BT347" s="292"/>
      <c r="BU347" s="292"/>
      <c r="BV347" s="292"/>
      <c r="BW347" s="292"/>
    </row>
    <row r="348">
      <c r="A348" s="292"/>
      <c r="B348" s="292" t="str">
        <f>IFERROR(__xludf.DUMMYFUNCTION("""COMPUTED_VALUE"""),"")</f>
        <v/>
      </c>
      <c r="C348" s="292"/>
      <c r="D348" s="292" t="str">
        <f>IFERROR(__xludf.DUMMYFUNCTION("""COMPUTED_VALUE"""),"")</f>
        <v/>
      </c>
      <c r="E348" s="292" t="str">
        <f>IFERROR(__xludf.DUMMYFUNCTION("""COMPUTED_VALUE"""),"")</f>
        <v/>
      </c>
      <c r="F348" s="292"/>
      <c r="G348" s="292" t="str">
        <f>IFERROR(__xludf.DUMMYFUNCTION("""COMPUTED_VALUE"""),"")</f>
        <v/>
      </c>
      <c r="H348" s="292" t="str">
        <f>IFERROR(__xludf.DUMMYFUNCTION("""COMPUTED_VALUE"""),"")</f>
        <v/>
      </c>
      <c r="I348" s="292"/>
      <c r="J348" s="292"/>
      <c r="K348" s="292"/>
      <c r="L348" s="292"/>
      <c r="M348" s="292" t="str">
        <f>IFERROR(__xludf.DUMMYFUNCTION("""COMPUTED_VALUE"""),"")</f>
        <v/>
      </c>
      <c r="N348" s="292"/>
      <c r="O348" s="292"/>
      <c r="P348" s="292"/>
      <c r="Q348" s="292"/>
      <c r="R348" s="292"/>
      <c r="S348" s="292"/>
      <c r="T348" s="292"/>
      <c r="U348" s="292"/>
      <c r="V348" s="292"/>
      <c r="W348" s="292" t="b">
        <f>IFERROR(__xludf.DUMMYFUNCTION("""COMPUTED_VALUE"""),TRUE)</f>
        <v>1</v>
      </c>
      <c r="X348" s="292" t="str">
        <f>IFERROR(__xludf.DUMMYFUNCTION("""COMPUTED_VALUE"""),"#N/A")</f>
        <v>#N/A</v>
      </c>
      <c r="Y348" s="344" t="str">
        <f>IFERROR(__xludf.DUMMYFUNCTION("""COMPUTED_VALUE"""),"#N/A")</f>
        <v>#N/A</v>
      </c>
      <c r="Z348" s="343" t="str">
        <f>IFERROR(__xludf.DUMMYFUNCTION("""COMPUTED_VALUE"""),"#N/A")</f>
        <v>#N/A</v>
      </c>
      <c r="AA348" s="292" t="str">
        <f>IFERROR(__xludf.DUMMYFUNCTION("""COMPUTED_VALUE"""),"#N/A")</f>
        <v>#N/A</v>
      </c>
      <c r="AB348" s="292" t="str">
        <f>IFERROR(__xludf.DUMMYFUNCTION("""COMPUTED_VALUE"""),"#N/A")</f>
        <v>#N/A</v>
      </c>
      <c r="AC348" s="292" t="str">
        <f>IFERROR(__xludf.DUMMYFUNCTION("""COMPUTED_VALUE"""),"#N/A")</f>
        <v>#N/A</v>
      </c>
      <c r="AD348" s="292" t="str">
        <f>IFERROR(__xludf.DUMMYFUNCTION("""COMPUTED_VALUE"""),"#N/A")</f>
        <v>#N/A</v>
      </c>
      <c r="AE348" s="343" t="str">
        <f>IFERROR(__xludf.DUMMYFUNCTION("""COMPUTED_VALUE"""),"#N/A")</f>
        <v>#N/A</v>
      </c>
      <c r="AF348" s="292" t="str">
        <f>IFERROR(__xludf.DUMMYFUNCTION("""COMPUTED_VALUE"""),"#N/A")</f>
        <v>#N/A</v>
      </c>
      <c r="AG348" s="292"/>
      <c r="AH348" s="292" t="str">
        <f>IFERROR(__xludf.DUMMYFUNCTION("""COMPUTED_VALUE"""),"#N/A")</f>
        <v>#N/A</v>
      </c>
      <c r="AI348" s="292" t="str">
        <f>IFERROR(__xludf.DUMMYFUNCTION("""COMPUTED_VALUE"""),"#N/A")</f>
        <v>#N/A</v>
      </c>
      <c r="AJ348" s="292" t="str">
        <f>IFERROR(__xludf.DUMMYFUNCTION("""COMPUTED_VALUE"""),"#N/A")</f>
        <v>#N/A</v>
      </c>
      <c r="AK348" s="292" t="str">
        <f>IFERROR(__xludf.DUMMYFUNCTION("""COMPUTED_VALUE"""),"#N/A")</f>
        <v>#N/A</v>
      </c>
      <c r="AL348" s="292" t="str">
        <f>IFERROR(__xludf.DUMMYFUNCTION("""COMPUTED_VALUE"""),"#N/A")</f>
        <v>#N/A</v>
      </c>
      <c r="AM348" s="292" t="str">
        <f>IFERROR(__xludf.DUMMYFUNCTION("""COMPUTED_VALUE"""),"#N/A")</f>
        <v>#N/A</v>
      </c>
      <c r="AN348" s="292" t="str">
        <f>IFERROR(__xludf.DUMMYFUNCTION("""COMPUTED_VALUE"""),"#N/A")</f>
        <v>#N/A</v>
      </c>
      <c r="AO348" s="292" t="str">
        <f>IFERROR(__xludf.DUMMYFUNCTION("""COMPUTED_VALUE"""),"#N/A")</f>
        <v>#N/A</v>
      </c>
      <c r="AP348" s="292"/>
      <c r="AQ348" s="292"/>
      <c r="AR348" s="292"/>
      <c r="AS348" s="292"/>
      <c r="AT348" s="292"/>
      <c r="AU348" s="292"/>
      <c r="AV348" s="292"/>
      <c r="AW348" s="292"/>
      <c r="AX348" s="292"/>
      <c r="AY348" s="292"/>
      <c r="AZ348" s="292"/>
      <c r="BA348" s="292"/>
      <c r="BB348" s="292"/>
      <c r="BC348" s="292"/>
      <c r="BD348" s="292"/>
      <c r="BE348" s="292"/>
      <c r="BF348" s="296" t="str">
        <f>IFERROR(__xludf.DUMMYFUNCTION("""COMPUTED_VALUE"""),"#REF!")</f>
        <v>#REF!</v>
      </c>
      <c r="BG348" s="296" t="str">
        <f>IFERROR(__xludf.DUMMYFUNCTION("""COMPUTED_VALUE"""),"#REF!")</f>
        <v>#REF!</v>
      </c>
      <c r="BH348" s="296" t="str">
        <f>IFERROR(__xludf.DUMMYFUNCTION("""COMPUTED_VALUE"""),"#REF!")</f>
        <v>#REF!</v>
      </c>
      <c r="BI348" s="295" t="str">
        <f>IFERROR(__xludf.DUMMYFUNCTION("""COMPUTED_VALUE"""),"#N/A")</f>
        <v>#N/A</v>
      </c>
      <c r="BJ348" s="292"/>
      <c r="BK348" s="346" t="str">
        <f>IFERROR(__xludf.DUMMYFUNCTION("""COMPUTED_VALUE"""),"#N/A")</f>
        <v>#N/A</v>
      </c>
      <c r="BL348" s="292"/>
      <c r="BM348" s="292"/>
      <c r="BN348" s="292"/>
      <c r="BO348" s="292"/>
      <c r="BP348" s="292"/>
      <c r="BQ348" s="292"/>
      <c r="BR348" s="292"/>
      <c r="BS348" s="292"/>
      <c r="BT348" s="292"/>
      <c r="BU348" s="292"/>
      <c r="BV348" s="292"/>
      <c r="BW348" s="292"/>
    </row>
    <row r="349">
      <c r="A349" s="292"/>
      <c r="B349" s="292" t="str">
        <f>IFERROR(__xludf.DUMMYFUNCTION("""COMPUTED_VALUE"""),"")</f>
        <v/>
      </c>
      <c r="C349" s="292"/>
      <c r="D349" s="292" t="str">
        <f>IFERROR(__xludf.DUMMYFUNCTION("""COMPUTED_VALUE"""),"")</f>
        <v/>
      </c>
      <c r="E349" s="292" t="str">
        <f>IFERROR(__xludf.DUMMYFUNCTION("""COMPUTED_VALUE"""),"")</f>
        <v/>
      </c>
      <c r="F349" s="292"/>
      <c r="G349" s="292" t="str">
        <f>IFERROR(__xludf.DUMMYFUNCTION("""COMPUTED_VALUE"""),"")</f>
        <v/>
      </c>
      <c r="H349" s="292" t="str">
        <f>IFERROR(__xludf.DUMMYFUNCTION("""COMPUTED_VALUE"""),"")</f>
        <v/>
      </c>
      <c r="I349" s="292"/>
      <c r="J349" s="292"/>
      <c r="K349" s="292"/>
      <c r="L349" s="292"/>
      <c r="M349" s="292" t="str">
        <f>IFERROR(__xludf.DUMMYFUNCTION("""COMPUTED_VALUE"""),"")</f>
        <v/>
      </c>
      <c r="N349" s="292"/>
      <c r="O349" s="292"/>
      <c r="P349" s="292"/>
      <c r="Q349" s="292"/>
      <c r="R349" s="292"/>
      <c r="S349" s="292"/>
      <c r="T349" s="292"/>
      <c r="U349" s="292"/>
      <c r="V349" s="292"/>
      <c r="W349" s="292" t="b">
        <f>IFERROR(__xludf.DUMMYFUNCTION("""COMPUTED_VALUE"""),TRUE)</f>
        <v>1</v>
      </c>
      <c r="X349" s="292" t="str">
        <f>IFERROR(__xludf.DUMMYFUNCTION("""COMPUTED_VALUE"""),"#N/A")</f>
        <v>#N/A</v>
      </c>
      <c r="Y349" s="344" t="str">
        <f>IFERROR(__xludf.DUMMYFUNCTION("""COMPUTED_VALUE"""),"#N/A")</f>
        <v>#N/A</v>
      </c>
      <c r="Z349" s="343" t="str">
        <f>IFERROR(__xludf.DUMMYFUNCTION("""COMPUTED_VALUE"""),"#N/A")</f>
        <v>#N/A</v>
      </c>
      <c r="AA349" s="292" t="str">
        <f>IFERROR(__xludf.DUMMYFUNCTION("""COMPUTED_VALUE"""),"#N/A")</f>
        <v>#N/A</v>
      </c>
      <c r="AB349" s="292" t="str">
        <f>IFERROR(__xludf.DUMMYFUNCTION("""COMPUTED_VALUE"""),"#N/A")</f>
        <v>#N/A</v>
      </c>
      <c r="AC349" s="292" t="str">
        <f>IFERROR(__xludf.DUMMYFUNCTION("""COMPUTED_VALUE"""),"#N/A")</f>
        <v>#N/A</v>
      </c>
      <c r="AD349" s="292" t="str">
        <f>IFERROR(__xludf.DUMMYFUNCTION("""COMPUTED_VALUE"""),"#N/A")</f>
        <v>#N/A</v>
      </c>
      <c r="AE349" s="343" t="str">
        <f>IFERROR(__xludf.DUMMYFUNCTION("""COMPUTED_VALUE"""),"#N/A")</f>
        <v>#N/A</v>
      </c>
      <c r="AF349" s="292" t="str">
        <f>IFERROR(__xludf.DUMMYFUNCTION("""COMPUTED_VALUE"""),"#N/A")</f>
        <v>#N/A</v>
      </c>
      <c r="AG349" s="292"/>
      <c r="AH349" s="292" t="str">
        <f>IFERROR(__xludf.DUMMYFUNCTION("""COMPUTED_VALUE"""),"#N/A")</f>
        <v>#N/A</v>
      </c>
      <c r="AI349" s="292" t="str">
        <f>IFERROR(__xludf.DUMMYFUNCTION("""COMPUTED_VALUE"""),"#N/A")</f>
        <v>#N/A</v>
      </c>
      <c r="AJ349" s="292" t="str">
        <f>IFERROR(__xludf.DUMMYFUNCTION("""COMPUTED_VALUE"""),"#N/A")</f>
        <v>#N/A</v>
      </c>
      <c r="AK349" s="292" t="str">
        <f>IFERROR(__xludf.DUMMYFUNCTION("""COMPUTED_VALUE"""),"#N/A")</f>
        <v>#N/A</v>
      </c>
      <c r="AL349" s="292" t="str">
        <f>IFERROR(__xludf.DUMMYFUNCTION("""COMPUTED_VALUE"""),"#N/A")</f>
        <v>#N/A</v>
      </c>
      <c r="AM349" s="292" t="str">
        <f>IFERROR(__xludf.DUMMYFUNCTION("""COMPUTED_VALUE"""),"#N/A")</f>
        <v>#N/A</v>
      </c>
      <c r="AN349" s="292" t="str">
        <f>IFERROR(__xludf.DUMMYFUNCTION("""COMPUTED_VALUE"""),"#N/A")</f>
        <v>#N/A</v>
      </c>
      <c r="AO349" s="292" t="str">
        <f>IFERROR(__xludf.DUMMYFUNCTION("""COMPUTED_VALUE"""),"#N/A")</f>
        <v>#N/A</v>
      </c>
      <c r="AP349" s="292"/>
      <c r="AQ349" s="292"/>
      <c r="AR349" s="292"/>
      <c r="AS349" s="292"/>
      <c r="AT349" s="292"/>
      <c r="AU349" s="292"/>
      <c r="AV349" s="292"/>
      <c r="AW349" s="292"/>
      <c r="AX349" s="292"/>
      <c r="AY349" s="292"/>
      <c r="AZ349" s="292"/>
      <c r="BA349" s="292"/>
      <c r="BB349" s="292"/>
      <c r="BC349" s="292"/>
      <c r="BD349" s="292"/>
      <c r="BE349" s="292"/>
      <c r="BF349" s="296" t="str">
        <f>IFERROR(__xludf.DUMMYFUNCTION("""COMPUTED_VALUE"""),"#REF!")</f>
        <v>#REF!</v>
      </c>
      <c r="BG349" s="296" t="str">
        <f>IFERROR(__xludf.DUMMYFUNCTION("""COMPUTED_VALUE"""),"#REF!")</f>
        <v>#REF!</v>
      </c>
      <c r="BH349" s="296" t="str">
        <f>IFERROR(__xludf.DUMMYFUNCTION("""COMPUTED_VALUE"""),"#REF!")</f>
        <v>#REF!</v>
      </c>
      <c r="BI349" s="295" t="str">
        <f>IFERROR(__xludf.DUMMYFUNCTION("""COMPUTED_VALUE"""),"#N/A")</f>
        <v>#N/A</v>
      </c>
      <c r="BJ349" s="292"/>
      <c r="BK349" s="346" t="str">
        <f>IFERROR(__xludf.DUMMYFUNCTION("""COMPUTED_VALUE"""),"#N/A")</f>
        <v>#N/A</v>
      </c>
      <c r="BL349" s="292"/>
      <c r="BM349" s="292"/>
      <c r="BN349" s="292"/>
      <c r="BO349" s="292"/>
      <c r="BP349" s="292"/>
      <c r="BQ349" s="292"/>
      <c r="BR349" s="292"/>
      <c r="BS349" s="292"/>
      <c r="BT349" s="292"/>
      <c r="BU349" s="292"/>
      <c r="BV349" s="292"/>
      <c r="BW349" s="292"/>
    </row>
    <row r="350">
      <c r="A350" s="292"/>
      <c r="B350" s="292" t="str">
        <f>IFERROR(__xludf.DUMMYFUNCTION("""COMPUTED_VALUE"""),"")</f>
        <v/>
      </c>
      <c r="C350" s="292"/>
      <c r="D350" s="292" t="str">
        <f>IFERROR(__xludf.DUMMYFUNCTION("""COMPUTED_VALUE"""),"")</f>
        <v/>
      </c>
      <c r="E350" s="292" t="str">
        <f>IFERROR(__xludf.DUMMYFUNCTION("""COMPUTED_VALUE"""),"")</f>
        <v/>
      </c>
      <c r="F350" s="292"/>
      <c r="G350" s="292" t="str">
        <f>IFERROR(__xludf.DUMMYFUNCTION("""COMPUTED_VALUE"""),"")</f>
        <v/>
      </c>
      <c r="H350" s="292" t="str">
        <f>IFERROR(__xludf.DUMMYFUNCTION("""COMPUTED_VALUE"""),"")</f>
        <v/>
      </c>
      <c r="I350" s="292"/>
      <c r="J350" s="292"/>
      <c r="K350" s="292"/>
      <c r="L350" s="292"/>
      <c r="M350" s="292" t="str">
        <f>IFERROR(__xludf.DUMMYFUNCTION("""COMPUTED_VALUE"""),"")</f>
        <v/>
      </c>
      <c r="N350" s="292"/>
      <c r="O350" s="292"/>
      <c r="P350" s="292"/>
      <c r="Q350" s="292"/>
      <c r="R350" s="292"/>
      <c r="S350" s="292"/>
      <c r="T350" s="292"/>
      <c r="U350" s="292"/>
      <c r="V350" s="292"/>
      <c r="W350" s="292" t="b">
        <f>IFERROR(__xludf.DUMMYFUNCTION("""COMPUTED_VALUE"""),TRUE)</f>
        <v>1</v>
      </c>
      <c r="X350" s="292" t="str">
        <f>IFERROR(__xludf.DUMMYFUNCTION("""COMPUTED_VALUE"""),"#N/A")</f>
        <v>#N/A</v>
      </c>
      <c r="Y350" s="344" t="str">
        <f>IFERROR(__xludf.DUMMYFUNCTION("""COMPUTED_VALUE"""),"#N/A")</f>
        <v>#N/A</v>
      </c>
      <c r="Z350" s="343" t="str">
        <f>IFERROR(__xludf.DUMMYFUNCTION("""COMPUTED_VALUE"""),"#N/A")</f>
        <v>#N/A</v>
      </c>
      <c r="AA350" s="292" t="str">
        <f>IFERROR(__xludf.DUMMYFUNCTION("""COMPUTED_VALUE"""),"#N/A")</f>
        <v>#N/A</v>
      </c>
      <c r="AB350" s="292" t="str">
        <f>IFERROR(__xludf.DUMMYFUNCTION("""COMPUTED_VALUE"""),"#N/A")</f>
        <v>#N/A</v>
      </c>
      <c r="AC350" s="292" t="str">
        <f>IFERROR(__xludf.DUMMYFUNCTION("""COMPUTED_VALUE"""),"#N/A")</f>
        <v>#N/A</v>
      </c>
      <c r="AD350" s="292" t="str">
        <f>IFERROR(__xludf.DUMMYFUNCTION("""COMPUTED_VALUE"""),"#N/A")</f>
        <v>#N/A</v>
      </c>
      <c r="AE350" s="343" t="str">
        <f>IFERROR(__xludf.DUMMYFUNCTION("""COMPUTED_VALUE"""),"#N/A")</f>
        <v>#N/A</v>
      </c>
      <c r="AF350" s="292" t="str">
        <f>IFERROR(__xludf.DUMMYFUNCTION("""COMPUTED_VALUE"""),"#N/A")</f>
        <v>#N/A</v>
      </c>
      <c r="AG350" s="292"/>
      <c r="AH350" s="292" t="str">
        <f>IFERROR(__xludf.DUMMYFUNCTION("""COMPUTED_VALUE"""),"#N/A")</f>
        <v>#N/A</v>
      </c>
      <c r="AI350" s="292" t="str">
        <f>IFERROR(__xludf.DUMMYFUNCTION("""COMPUTED_VALUE"""),"#N/A")</f>
        <v>#N/A</v>
      </c>
      <c r="AJ350" s="292" t="str">
        <f>IFERROR(__xludf.DUMMYFUNCTION("""COMPUTED_VALUE"""),"#N/A")</f>
        <v>#N/A</v>
      </c>
      <c r="AK350" s="292" t="str">
        <f>IFERROR(__xludf.DUMMYFUNCTION("""COMPUTED_VALUE"""),"#N/A")</f>
        <v>#N/A</v>
      </c>
      <c r="AL350" s="292" t="str">
        <f>IFERROR(__xludf.DUMMYFUNCTION("""COMPUTED_VALUE"""),"#N/A")</f>
        <v>#N/A</v>
      </c>
      <c r="AM350" s="292" t="str">
        <f>IFERROR(__xludf.DUMMYFUNCTION("""COMPUTED_VALUE"""),"#N/A")</f>
        <v>#N/A</v>
      </c>
      <c r="AN350" s="292" t="str">
        <f>IFERROR(__xludf.DUMMYFUNCTION("""COMPUTED_VALUE"""),"#N/A")</f>
        <v>#N/A</v>
      </c>
      <c r="AO350" s="292" t="str">
        <f>IFERROR(__xludf.DUMMYFUNCTION("""COMPUTED_VALUE"""),"#N/A")</f>
        <v>#N/A</v>
      </c>
      <c r="AP350" s="292"/>
      <c r="AQ350" s="292"/>
      <c r="AR350" s="292"/>
      <c r="AS350" s="292"/>
      <c r="AT350" s="292"/>
      <c r="AU350" s="292"/>
      <c r="AV350" s="292"/>
      <c r="AW350" s="292"/>
      <c r="AX350" s="292"/>
      <c r="AY350" s="292"/>
      <c r="AZ350" s="292"/>
      <c r="BA350" s="292"/>
      <c r="BB350" s="292"/>
      <c r="BC350" s="292"/>
      <c r="BD350" s="292"/>
      <c r="BE350" s="292"/>
      <c r="BF350" s="296" t="str">
        <f>IFERROR(__xludf.DUMMYFUNCTION("""COMPUTED_VALUE"""),"#REF!")</f>
        <v>#REF!</v>
      </c>
      <c r="BG350" s="296" t="str">
        <f>IFERROR(__xludf.DUMMYFUNCTION("""COMPUTED_VALUE"""),"#REF!")</f>
        <v>#REF!</v>
      </c>
      <c r="BH350" s="296" t="str">
        <f>IFERROR(__xludf.DUMMYFUNCTION("""COMPUTED_VALUE"""),"#REF!")</f>
        <v>#REF!</v>
      </c>
      <c r="BI350" s="295" t="str">
        <f>IFERROR(__xludf.DUMMYFUNCTION("""COMPUTED_VALUE"""),"#N/A")</f>
        <v>#N/A</v>
      </c>
      <c r="BJ350" s="292"/>
      <c r="BK350" s="346" t="str">
        <f>IFERROR(__xludf.DUMMYFUNCTION("""COMPUTED_VALUE"""),"#N/A")</f>
        <v>#N/A</v>
      </c>
      <c r="BL350" s="292"/>
      <c r="BM350" s="292"/>
      <c r="BN350" s="292"/>
      <c r="BO350" s="292"/>
      <c r="BP350" s="292"/>
      <c r="BQ350" s="292"/>
      <c r="BR350" s="292"/>
      <c r="BS350" s="292"/>
      <c r="BT350" s="292"/>
      <c r="BU350" s="292"/>
      <c r="BV350" s="292"/>
      <c r="BW350" s="292"/>
    </row>
    <row r="351">
      <c r="A351" s="292"/>
      <c r="B351" s="292" t="str">
        <f>IFERROR(__xludf.DUMMYFUNCTION("""COMPUTED_VALUE"""),"")</f>
        <v/>
      </c>
      <c r="C351" s="292"/>
      <c r="D351" s="292" t="str">
        <f>IFERROR(__xludf.DUMMYFUNCTION("""COMPUTED_VALUE"""),"")</f>
        <v/>
      </c>
      <c r="E351" s="292" t="str">
        <f>IFERROR(__xludf.DUMMYFUNCTION("""COMPUTED_VALUE"""),"")</f>
        <v/>
      </c>
      <c r="F351" s="292"/>
      <c r="G351" s="292" t="str">
        <f>IFERROR(__xludf.DUMMYFUNCTION("""COMPUTED_VALUE"""),"")</f>
        <v/>
      </c>
      <c r="H351" s="292" t="str">
        <f>IFERROR(__xludf.DUMMYFUNCTION("""COMPUTED_VALUE"""),"")</f>
        <v/>
      </c>
      <c r="I351" s="292"/>
      <c r="J351" s="292"/>
      <c r="K351" s="292"/>
      <c r="L351" s="292"/>
      <c r="M351" s="292" t="str">
        <f>IFERROR(__xludf.DUMMYFUNCTION("""COMPUTED_VALUE"""),"")</f>
        <v/>
      </c>
      <c r="N351" s="292"/>
      <c r="O351" s="292"/>
      <c r="P351" s="292"/>
      <c r="Q351" s="292"/>
      <c r="R351" s="292"/>
      <c r="S351" s="292"/>
      <c r="T351" s="292"/>
      <c r="U351" s="292"/>
      <c r="V351" s="292"/>
      <c r="W351" s="292" t="b">
        <f>IFERROR(__xludf.DUMMYFUNCTION("""COMPUTED_VALUE"""),TRUE)</f>
        <v>1</v>
      </c>
      <c r="X351" s="292" t="str">
        <f>IFERROR(__xludf.DUMMYFUNCTION("""COMPUTED_VALUE"""),"#N/A")</f>
        <v>#N/A</v>
      </c>
      <c r="Y351" s="344" t="str">
        <f>IFERROR(__xludf.DUMMYFUNCTION("""COMPUTED_VALUE"""),"#N/A")</f>
        <v>#N/A</v>
      </c>
      <c r="Z351" s="343" t="str">
        <f>IFERROR(__xludf.DUMMYFUNCTION("""COMPUTED_VALUE"""),"#N/A")</f>
        <v>#N/A</v>
      </c>
      <c r="AA351" s="292" t="str">
        <f>IFERROR(__xludf.DUMMYFUNCTION("""COMPUTED_VALUE"""),"#N/A")</f>
        <v>#N/A</v>
      </c>
      <c r="AB351" s="292" t="str">
        <f>IFERROR(__xludf.DUMMYFUNCTION("""COMPUTED_VALUE"""),"#N/A")</f>
        <v>#N/A</v>
      </c>
      <c r="AC351" s="292" t="str">
        <f>IFERROR(__xludf.DUMMYFUNCTION("""COMPUTED_VALUE"""),"#N/A")</f>
        <v>#N/A</v>
      </c>
      <c r="AD351" s="292" t="str">
        <f>IFERROR(__xludf.DUMMYFUNCTION("""COMPUTED_VALUE"""),"#N/A")</f>
        <v>#N/A</v>
      </c>
      <c r="AE351" s="343" t="str">
        <f>IFERROR(__xludf.DUMMYFUNCTION("""COMPUTED_VALUE"""),"#N/A")</f>
        <v>#N/A</v>
      </c>
      <c r="AF351" s="292" t="str">
        <f>IFERROR(__xludf.DUMMYFUNCTION("""COMPUTED_VALUE"""),"#N/A")</f>
        <v>#N/A</v>
      </c>
      <c r="AG351" s="292"/>
      <c r="AH351" s="292" t="str">
        <f>IFERROR(__xludf.DUMMYFUNCTION("""COMPUTED_VALUE"""),"#N/A")</f>
        <v>#N/A</v>
      </c>
      <c r="AI351" s="292" t="str">
        <f>IFERROR(__xludf.DUMMYFUNCTION("""COMPUTED_VALUE"""),"#N/A")</f>
        <v>#N/A</v>
      </c>
      <c r="AJ351" s="292" t="str">
        <f>IFERROR(__xludf.DUMMYFUNCTION("""COMPUTED_VALUE"""),"#N/A")</f>
        <v>#N/A</v>
      </c>
      <c r="AK351" s="292" t="str">
        <f>IFERROR(__xludf.DUMMYFUNCTION("""COMPUTED_VALUE"""),"#N/A")</f>
        <v>#N/A</v>
      </c>
      <c r="AL351" s="292" t="str">
        <f>IFERROR(__xludf.DUMMYFUNCTION("""COMPUTED_VALUE"""),"#N/A")</f>
        <v>#N/A</v>
      </c>
      <c r="AM351" s="292" t="str">
        <f>IFERROR(__xludf.DUMMYFUNCTION("""COMPUTED_VALUE"""),"#N/A")</f>
        <v>#N/A</v>
      </c>
      <c r="AN351" s="292" t="str">
        <f>IFERROR(__xludf.DUMMYFUNCTION("""COMPUTED_VALUE"""),"#N/A")</f>
        <v>#N/A</v>
      </c>
      <c r="AO351" s="292" t="str">
        <f>IFERROR(__xludf.DUMMYFUNCTION("""COMPUTED_VALUE"""),"#N/A")</f>
        <v>#N/A</v>
      </c>
      <c r="AP351" s="292"/>
      <c r="AQ351" s="292"/>
      <c r="AR351" s="292"/>
      <c r="AS351" s="292"/>
      <c r="AT351" s="292"/>
      <c r="AU351" s="292"/>
      <c r="AV351" s="292"/>
      <c r="AW351" s="292"/>
      <c r="AX351" s="292"/>
      <c r="AY351" s="292"/>
      <c r="AZ351" s="292"/>
      <c r="BA351" s="292"/>
      <c r="BB351" s="292"/>
      <c r="BC351" s="292"/>
      <c r="BD351" s="292"/>
      <c r="BE351" s="292"/>
      <c r="BF351" s="296" t="str">
        <f>IFERROR(__xludf.DUMMYFUNCTION("""COMPUTED_VALUE"""),"#REF!")</f>
        <v>#REF!</v>
      </c>
      <c r="BG351" s="296" t="str">
        <f>IFERROR(__xludf.DUMMYFUNCTION("""COMPUTED_VALUE"""),"#REF!")</f>
        <v>#REF!</v>
      </c>
      <c r="BH351" s="296" t="str">
        <f>IFERROR(__xludf.DUMMYFUNCTION("""COMPUTED_VALUE"""),"#REF!")</f>
        <v>#REF!</v>
      </c>
      <c r="BI351" s="295" t="str">
        <f>IFERROR(__xludf.DUMMYFUNCTION("""COMPUTED_VALUE"""),"#N/A")</f>
        <v>#N/A</v>
      </c>
      <c r="BJ351" s="292"/>
      <c r="BK351" s="346" t="str">
        <f>IFERROR(__xludf.DUMMYFUNCTION("""COMPUTED_VALUE"""),"#N/A")</f>
        <v>#N/A</v>
      </c>
      <c r="BL351" s="292"/>
      <c r="BM351" s="292"/>
      <c r="BN351" s="292"/>
      <c r="BO351" s="292"/>
      <c r="BP351" s="292"/>
      <c r="BQ351" s="292"/>
      <c r="BR351" s="292"/>
      <c r="BS351" s="292"/>
      <c r="BT351" s="292"/>
      <c r="BU351" s="292"/>
      <c r="BV351" s="292"/>
      <c r="BW351" s="292"/>
    </row>
    <row r="352">
      <c r="A352" s="292"/>
      <c r="B352" s="292" t="str">
        <f>IFERROR(__xludf.DUMMYFUNCTION("""COMPUTED_VALUE"""),"")</f>
        <v/>
      </c>
      <c r="C352" s="292"/>
      <c r="D352" s="292" t="str">
        <f>IFERROR(__xludf.DUMMYFUNCTION("""COMPUTED_VALUE"""),"")</f>
        <v/>
      </c>
      <c r="E352" s="292" t="str">
        <f>IFERROR(__xludf.DUMMYFUNCTION("""COMPUTED_VALUE"""),"")</f>
        <v/>
      </c>
      <c r="F352" s="292"/>
      <c r="G352" s="292" t="str">
        <f>IFERROR(__xludf.DUMMYFUNCTION("""COMPUTED_VALUE"""),"")</f>
        <v/>
      </c>
      <c r="H352" s="292" t="str">
        <f>IFERROR(__xludf.DUMMYFUNCTION("""COMPUTED_VALUE"""),"")</f>
        <v/>
      </c>
      <c r="I352" s="292"/>
      <c r="J352" s="292"/>
      <c r="K352" s="292"/>
      <c r="L352" s="292"/>
      <c r="M352" s="292" t="str">
        <f>IFERROR(__xludf.DUMMYFUNCTION("""COMPUTED_VALUE"""),"")</f>
        <v/>
      </c>
      <c r="N352" s="292"/>
      <c r="O352" s="292"/>
      <c r="P352" s="292"/>
      <c r="Q352" s="292"/>
      <c r="R352" s="292"/>
      <c r="S352" s="292"/>
      <c r="T352" s="292"/>
      <c r="U352" s="292"/>
      <c r="V352" s="292"/>
      <c r="W352" s="292" t="b">
        <f>IFERROR(__xludf.DUMMYFUNCTION("""COMPUTED_VALUE"""),TRUE)</f>
        <v>1</v>
      </c>
      <c r="X352" s="292" t="str">
        <f>IFERROR(__xludf.DUMMYFUNCTION("""COMPUTED_VALUE"""),"#N/A")</f>
        <v>#N/A</v>
      </c>
      <c r="Y352" s="344" t="str">
        <f>IFERROR(__xludf.DUMMYFUNCTION("""COMPUTED_VALUE"""),"#N/A")</f>
        <v>#N/A</v>
      </c>
      <c r="Z352" s="343" t="str">
        <f>IFERROR(__xludf.DUMMYFUNCTION("""COMPUTED_VALUE"""),"#N/A")</f>
        <v>#N/A</v>
      </c>
      <c r="AA352" s="292" t="str">
        <f>IFERROR(__xludf.DUMMYFUNCTION("""COMPUTED_VALUE"""),"#N/A")</f>
        <v>#N/A</v>
      </c>
      <c r="AB352" s="292" t="str">
        <f>IFERROR(__xludf.DUMMYFUNCTION("""COMPUTED_VALUE"""),"#N/A")</f>
        <v>#N/A</v>
      </c>
      <c r="AC352" s="292" t="str">
        <f>IFERROR(__xludf.DUMMYFUNCTION("""COMPUTED_VALUE"""),"#N/A")</f>
        <v>#N/A</v>
      </c>
      <c r="AD352" s="292" t="str">
        <f>IFERROR(__xludf.DUMMYFUNCTION("""COMPUTED_VALUE"""),"#N/A")</f>
        <v>#N/A</v>
      </c>
      <c r="AE352" s="343" t="str">
        <f>IFERROR(__xludf.DUMMYFUNCTION("""COMPUTED_VALUE"""),"#N/A")</f>
        <v>#N/A</v>
      </c>
      <c r="AF352" s="292" t="str">
        <f>IFERROR(__xludf.DUMMYFUNCTION("""COMPUTED_VALUE"""),"#N/A")</f>
        <v>#N/A</v>
      </c>
      <c r="AG352" s="292"/>
      <c r="AH352" s="292" t="str">
        <f>IFERROR(__xludf.DUMMYFUNCTION("""COMPUTED_VALUE"""),"#N/A")</f>
        <v>#N/A</v>
      </c>
      <c r="AI352" s="292" t="str">
        <f>IFERROR(__xludf.DUMMYFUNCTION("""COMPUTED_VALUE"""),"#N/A")</f>
        <v>#N/A</v>
      </c>
      <c r="AJ352" s="292" t="str">
        <f>IFERROR(__xludf.DUMMYFUNCTION("""COMPUTED_VALUE"""),"#N/A")</f>
        <v>#N/A</v>
      </c>
      <c r="AK352" s="292" t="str">
        <f>IFERROR(__xludf.DUMMYFUNCTION("""COMPUTED_VALUE"""),"#N/A")</f>
        <v>#N/A</v>
      </c>
      <c r="AL352" s="292" t="str">
        <f>IFERROR(__xludf.DUMMYFUNCTION("""COMPUTED_VALUE"""),"#N/A")</f>
        <v>#N/A</v>
      </c>
      <c r="AM352" s="292" t="str">
        <f>IFERROR(__xludf.DUMMYFUNCTION("""COMPUTED_VALUE"""),"#N/A")</f>
        <v>#N/A</v>
      </c>
      <c r="AN352" s="292" t="str">
        <f>IFERROR(__xludf.DUMMYFUNCTION("""COMPUTED_VALUE"""),"#N/A")</f>
        <v>#N/A</v>
      </c>
      <c r="AO352" s="292" t="str">
        <f>IFERROR(__xludf.DUMMYFUNCTION("""COMPUTED_VALUE"""),"#N/A")</f>
        <v>#N/A</v>
      </c>
      <c r="AP352" s="292"/>
      <c r="AQ352" s="292"/>
      <c r="AR352" s="292"/>
      <c r="AS352" s="292"/>
      <c r="AT352" s="292"/>
      <c r="AU352" s="292"/>
      <c r="AV352" s="292"/>
      <c r="AW352" s="292"/>
      <c r="AX352" s="292"/>
      <c r="AY352" s="292"/>
      <c r="AZ352" s="292"/>
      <c r="BA352" s="292"/>
      <c r="BB352" s="292"/>
      <c r="BC352" s="292"/>
      <c r="BD352" s="292"/>
      <c r="BE352" s="292"/>
      <c r="BF352" s="296" t="str">
        <f>IFERROR(__xludf.DUMMYFUNCTION("""COMPUTED_VALUE"""),"#REF!")</f>
        <v>#REF!</v>
      </c>
      <c r="BG352" s="296" t="str">
        <f>IFERROR(__xludf.DUMMYFUNCTION("""COMPUTED_VALUE"""),"#REF!")</f>
        <v>#REF!</v>
      </c>
      <c r="BH352" s="296" t="str">
        <f>IFERROR(__xludf.DUMMYFUNCTION("""COMPUTED_VALUE"""),"#REF!")</f>
        <v>#REF!</v>
      </c>
      <c r="BI352" s="295" t="str">
        <f>IFERROR(__xludf.DUMMYFUNCTION("""COMPUTED_VALUE"""),"#N/A")</f>
        <v>#N/A</v>
      </c>
      <c r="BJ352" s="292"/>
      <c r="BK352" s="346" t="str">
        <f>IFERROR(__xludf.DUMMYFUNCTION("""COMPUTED_VALUE"""),"#N/A")</f>
        <v>#N/A</v>
      </c>
      <c r="BL352" s="292"/>
      <c r="BM352" s="292"/>
      <c r="BN352" s="292"/>
      <c r="BO352" s="292"/>
      <c r="BP352" s="292"/>
      <c r="BQ352" s="292"/>
      <c r="BR352" s="292"/>
      <c r="BS352" s="292"/>
      <c r="BT352" s="292"/>
      <c r="BU352" s="292"/>
      <c r="BV352" s="292"/>
      <c r="BW352" s="292"/>
    </row>
    <row r="353">
      <c r="A353" s="292"/>
      <c r="B353" s="292" t="str">
        <f>IFERROR(__xludf.DUMMYFUNCTION("""COMPUTED_VALUE"""),"")</f>
        <v/>
      </c>
      <c r="C353" s="292"/>
      <c r="D353" s="292" t="str">
        <f>IFERROR(__xludf.DUMMYFUNCTION("""COMPUTED_VALUE"""),"")</f>
        <v/>
      </c>
      <c r="E353" s="292" t="str">
        <f>IFERROR(__xludf.DUMMYFUNCTION("""COMPUTED_VALUE"""),"")</f>
        <v/>
      </c>
      <c r="F353" s="292"/>
      <c r="G353" s="292" t="str">
        <f>IFERROR(__xludf.DUMMYFUNCTION("""COMPUTED_VALUE"""),"")</f>
        <v/>
      </c>
      <c r="H353" s="292" t="str">
        <f>IFERROR(__xludf.DUMMYFUNCTION("""COMPUTED_VALUE"""),"")</f>
        <v/>
      </c>
      <c r="I353" s="292"/>
      <c r="J353" s="292"/>
      <c r="K353" s="292"/>
      <c r="L353" s="292"/>
      <c r="M353" s="292" t="str">
        <f>IFERROR(__xludf.DUMMYFUNCTION("""COMPUTED_VALUE"""),"")</f>
        <v/>
      </c>
      <c r="N353" s="292"/>
      <c r="O353" s="292"/>
      <c r="P353" s="292"/>
      <c r="Q353" s="292"/>
      <c r="R353" s="292"/>
      <c r="S353" s="292"/>
      <c r="T353" s="292"/>
      <c r="U353" s="292"/>
      <c r="V353" s="292"/>
      <c r="W353" s="292" t="b">
        <f>IFERROR(__xludf.DUMMYFUNCTION("""COMPUTED_VALUE"""),TRUE)</f>
        <v>1</v>
      </c>
      <c r="X353" s="292" t="str">
        <f>IFERROR(__xludf.DUMMYFUNCTION("""COMPUTED_VALUE"""),"#N/A")</f>
        <v>#N/A</v>
      </c>
      <c r="Y353" s="344" t="str">
        <f>IFERROR(__xludf.DUMMYFUNCTION("""COMPUTED_VALUE"""),"#N/A")</f>
        <v>#N/A</v>
      </c>
      <c r="Z353" s="343" t="str">
        <f>IFERROR(__xludf.DUMMYFUNCTION("""COMPUTED_VALUE"""),"#N/A")</f>
        <v>#N/A</v>
      </c>
      <c r="AA353" s="292" t="str">
        <f>IFERROR(__xludf.DUMMYFUNCTION("""COMPUTED_VALUE"""),"#N/A")</f>
        <v>#N/A</v>
      </c>
      <c r="AB353" s="292" t="str">
        <f>IFERROR(__xludf.DUMMYFUNCTION("""COMPUTED_VALUE"""),"#N/A")</f>
        <v>#N/A</v>
      </c>
      <c r="AC353" s="292" t="str">
        <f>IFERROR(__xludf.DUMMYFUNCTION("""COMPUTED_VALUE"""),"#N/A")</f>
        <v>#N/A</v>
      </c>
      <c r="AD353" s="292" t="str">
        <f>IFERROR(__xludf.DUMMYFUNCTION("""COMPUTED_VALUE"""),"#N/A")</f>
        <v>#N/A</v>
      </c>
      <c r="AE353" s="343" t="str">
        <f>IFERROR(__xludf.DUMMYFUNCTION("""COMPUTED_VALUE"""),"#N/A")</f>
        <v>#N/A</v>
      </c>
      <c r="AF353" s="292" t="str">
        <f>IFERROR(__xludf.DUMMYFUNCTION("""COMPUTED_VALUE"""),"#N/A")</f>
        <v>#N/A</v>
      </c>
      <c r="AG353" s="292"/>
      <c r="AH353" s="292" t="str">
        <f>IFERROR(__xludf.DUMMYFUNCTION("""COMPUTED_VALUE"""),"#N/A")</f>
        <v>#N/A</v>
      </c>
      <c r="AI353" s="292" t="str">
        <f>IFERROR(__xludf.DUMMYFUNCTION("""COMPUTED_VALUE"""),"#N/A")</f>
        <v>#N/A</v>
      </c>
      <c r="AJ353" s="292" t="str">
        <f>IFERROR(__xludf.DUMMYFUNCTION("""COMPUTED_VALUE"""),"#N/A")</f>
        <v>#N/A</v>
      </c>
      <c r="AK353" s="292" t="str">
        <f>IFERROR(__xludf.DUMMYFUNCTION("""COMPUTED_VALUE"""),"#N/A")</f>
        <v>#N/A</v>
      </c>
      <c r="AL353" s="292" t="str">
        <f>IFERROR(__xludf.DUMMYFUNCTION("""COMPUTED_VALUE"""),"#N/A")</f>
        <v>#N/A</v>
      </c>
      <c r="AM353" s="292" t="str">
        <f>IFERROR(__xludf.DUMMYFUNCTION("""COMPUTED_VALUE"""),"#N/A")</f>
        <v>#N/A</v>
      </c>
      <c r="AN353" s="292" t="str">
        <f>IFERROR(__xludf.DUMMYFUNCTION("""COMPUTED_VALUE"""),"#N/A")</f>
        <v>#N/A</v>
      </c>
      <c r="AO353" s="292" t="str">
        <f>IFERROR(__xludf.DUMMYFUNCTION("""COMPUTED_VALUE"""),"#N/A")</f>
        <v>#N/A</v>
      </c>
      <c r="AP353" s="292"/>
      <c r="AQ353" s="292"/>
      <c r="AR353" s="292"/>
      <c r="AS353" s="292"/>
      <c r="AT353" s="292"/>
      <c r="AU353" s="292"/>
      <c r="AV353" s="292"/>
      <c r="AW353" s="292"/>
      <c r="AX353" s="292"/>
      <c r="AY353" s="292"/>
      <c r="AZ353" s="292"/>
      <c r="BA353" s="292"/>
      <c r="BB353" s="292"/>
      <c r="BC353" s="292"/>
      <c r="BD353" s="292"/>
      <c r="BE353" s="292"/>
      <c r="BF353" s="296" t="str">
        <f>IFERROR(__xludf.DUMMYFUNCTION("""COMPUTED_VALUE"""),"#REF!")</f>
        <v>#REF!</v>
      </c>
      <c r="BG353" s="296" t="str">
        <f>IFERROR(__xludf.DUMMYFUNCTION("""COMPUTED_VALUE"""),"#REF!")</f>
        <v>#REF!</v>
      </c>
      <c r="BH353" s="296" t="str">
        <f>IFERROR(__xludf.DUMMYFUNCTION("""COMPUTED_VALUE"""),"#REF!")</f>
        <v>#REF!</v>
      </c>
      <c r="BI353" s="295" t="str">
        <f>IFERROR(__xludf.DUMMYFUNCTION("""COMPUTED_VALUE"""),"#N/A")</f>
        <v>#N/A</v>
      </c>
      <c r="BJ353" s="292"/>
      <c r="BK353" s="346" t="str">
        <f>IFERROR(__xludf.DUMMYFUNCTION("""COMPUTED_VALUE"""),"#N/A")</f>
        <v>#N/A</v>
      </c>
      <c r="BL353" s="292"/>
      <c r="BM353" s="292"/>
      <c r="BN353" s="292"/>
      <c r="BO353" s="292"/>
      <c r="BP353" s="292"/>
      <c r="BQ353" s="292"/>
      <c r="BR353" s="292"/>
      <c r="BS353" s="292"/>
      <c r="BT353" s="292"/>
      <c r="BU353" s="292"/>
      <c r="BV353" s="292"/>
      <c r="BW353" s="292"/>
    </row>
    <row r="354">
      <c r="A354" s="292"/>
      <c r="B354" s="292" t="str">
        <f>IFERROR(__xludf.DUMMYFUNCTION("""COMPUTED_VALUE"""),"")</f>
        <v/>
      </c>
      <c r="C354" s="292"/>
      <c r="D354" s="292" t="str">
        <f>IFERROR(__xludf.DUMMYFUNCTION("""COMPUTED_VALUE"""),"")</f>
        <v/>
      </c>
      <c r="E354" s="292" t="str">
        <f>IFERROR(__xludf.DUMMYFUNCTION("""COMPUTED_VALUE"""),"")</f>
        <v/>
      </c>
      <c r="F354" s="292"/>
      <c r="G354" s="292" t="str">
        <f>IFERROR(__xludf.DUMMYFUNCTION("""COMPUTED_VALUE"""),"")</f>
        <v/>
      </c>
      <c r="H354" s="292" t="str">
        <f>IFERROR(__xludf.DUMMYFUNCTION("""COMPUTED_VALUE"""),"")</f>
        <v/>
      </c>
      <c r="I354" s="292"/>
      <c r="J354" s="292"/>
      <c r="K354" s="292"/>
      <c r="L354" s="292"/>
      <c r="M354" s="292" t="str">
        <f>IFERROR(__xludf.DUMMYFUNCTION("""COMPUTED_VALUE"""),"")</f>
        <v/>
      </c>
      <c r="N354" s="292"/>
      <c r="O354" s="292"/>
      <c r="P354" s="292"/>
      <c r="Q354" s="292"/>
      <c r="R354" s="292"/>
      <c r="S354" s="292"/>
      <c r="T354" s="292"/>
      <c r="U354" s="292"/>
      <c r="V354" s="292"/>
      <c r="W354" s="292" t="b">
        <f>IFERROR(__xludf.DUMMYFUNCTION("""COMPUTED_VALUE"""),TRUE)</f>
        <v>1</v>
      </c>
      <c r="X354" s="292" t="str">
        <f>IFERROR(__xludf.DUMMYFUNCTION("""COMPUTED_VALUE"""),"#N/A")</f>
        <v>#N/A</v>
      </c>
      <c r="Y354" s="344" t="str">
        <f>IFERROR(__xludf.DUMMYFUNCTION("""COMPUTED_VALUE"""),"#N/A")</f>
        <v>#N/A</v>
      </c>
      <c r="Z354" s="343" t="str">
        <f>IFERROR(__xludf.DUMMYFUNCTION("""COMPUTED_VALUE"""),"#N/A")</f>
        <v>#N/A</v>
      </c>
      <c r="AA354" s="292" t="str">
        <f>IFERROR(__xludf.DUMMYFUNCTION("""COMPUTED_VALUE"""),"#N/A")</f>
        <v>#N/A</v>
      </c>
      <c r="AB354" s="292" t="str">
        <f>IFERROR(__xludf.DUMMYFUNCTION("""COMPUTED_VALUE"""),"#N/A")</f>
        <v>#N/A</v>
      </c>
      <c r="AC354" s="292" t="str">
        <f>IFERROR(__xludf.DUMMYFUNCTION("""COMPUTED_VALUE"""),"#N/A")</f>
        <v>#N/A</v>
      </c>
      <c r="AD354" s="292" t="str">
        <f>IFERROR(__xludf.DUMMYFUNCTION("""COMPUTED_VALUE"""),"#N/A")</f>
        <v>#N/A</v>
      </c>
      <c r="AE354" s="343" t="str">
        <f>IFERROR(__xludf.DUMMYFUNCTION("""COMPUTED_VALUE"""),"#N/A")</f>
        <v>#N/A</v>
      </c>
      <c r="AF354" s="292" t="str">
        <f>IFERROR(__xludf.DUMMYFUNCTION("""COMPUTED_VALUE"""),"#N/A")</f>
        <v>#N/A</v>
      </c>
      <c r="AG354" s="292"/>
      <c r="AH354" s="292" t="str">
        <f>IFERROR(__xludf.DUMMYFUNCTION("""COMPUTED_VALUE"""),"#N/A")</f>
        <v>#N/A</v>
      </c>
      <c r="AI354" s="292" t="str">
        <f>IFERROR(__xludf.DUMMYFUNCTION("""COMPUTED_VALUE"""),"#N/A")</f>
        <v>#N/A</v>
      </c>
      <c r="AJ354" s="292" t="str">
        <f>IFERROR(__xludf.DUMMYFUNCTION("""COMPUTED_VALUE"""),"#N/A")</f>
        <v>#N/A</v>
      </c>
      <c r="AK354" s="292" t="str">
        <f>IFERROR(__xludf.DUMMYFUNCTION("""COMPUTED_VALUE"""),"#N/A")</f>
        <v>#N/A</v>
      </c>
      <c r="AL354" s="292" t="str">
        <f>IFERROR(__xludf.DUMMYFUNCTION("""COMPUTED_VALUE"""),"#N/A")</f>
        <v>#N/A</v>
      </c>
      <c r="AM354" s="292" t="str">
        <f>IFERROR(__xludf.DUMMYFUNCTION("""COMPUTED_VALUE"""),"#N/A")</f>
        <v>#N/A</v>
      </c>
      <c r="AN354" s="292" t="str">
        <f>IFERROR(__xludf.DUMMYFUNCTION("""COMPUTED_VALUE"""),"#N/A")</f>
        <v>#N/A</v>
      </c>
      <c r="AO354" s="292" t="str">
        <f>IFERROR(__xludf.DUMMYFUNCTION("""COMPUTED_VALUE"""),"#N/A")</f>
        <v>#N/A</v>
      </c>
      <c r="AP354" s="292"/>
      <c r="AQ354" s="292"/>
      <c r="AR354" s="292"/>
      <c r="AS354" s="292"/>
      <c r="AT354" s="292"/>
      <c r="AU354" s="292"/>
      <c r="AV354" s="292"/>
      <c r="AW354" s="292"/>
      <c r="AX354" s="292"/>
      <c r="AY354" s="292"/>
      <c r="AZ354" s="292"/>
      <c r="BA354" s="292"/>
      <c r="BB354" s="292"/>
      <c r="BC354" s="292"/>
      <c r="BD354" s="292"/>
      <c r="BE354" s="292"/>
      <c r="BF354" s="296" t="str">
        <f>IFERROR(__xludf.DUMMYFUNCTION("""COMPUTED_VALUE"""),"#REF!")</f>
        <v>#REF!</v>
      </c>
      <c r="BG354" s="296" t="str">
        <f>IFERROR(__xludf.DUMMYFUNCTION("""COMPUTED_VALUE"""),"#REF!")</f>
        <v>#REF!</v>
      </c>
      <c r="BH354" s="296" t="str">
        <f>IFERROR(__xludf.DUMMYFUNCTION("""COMPUTED_VALUE"""),"#REF!")</f>
        <v>#REF!</v>
      </c>
      <c r="BI354" s="295" t="str">
        <f>IFERROR(__xludf.DUMMYFUNCTION("""COMPUTED_VALUE"""),"#N/A")</f>
        <v>#N/A</v>
      </c>
      <c r="BJ354" s="292"/>
      <c r="BK354" s="346" t="str">
        <f>IFERROR(__xludf.DUMMYFUNCTION("""COMPUTED_VALUE"""),"#N/A")</f>
        <v>#N/A</v>
      </c>
      <c r="BL354" s="292"/>
      <c r="BM354" s="292"/>
      <c r="BN354" s="292"/>
      <c r="BO354" s="292"/>
      <c r="BP354" s="292"/>
      <c r="BQ354" s="292"/>
      <c r="BR354" s="292"/>
      <c r="BS354" s="292"/>
      <c r="BT354" s="292"/>
      <c r="BU354" s="292"/>
      <c r="BV354" s="292"/>
      <c r="BW354" s="292"/>
    </row>
    <row r="355">
      <c r="A355" s="292"/>
      <c r="B355" s="292" t="str">
        <f>IFERROR(__xludf.DUMMYFUNCTION("""COMPUTED_VALUE"""),"")</f>
        <v/>
      </c>
      <c r="C355" s="292"/>
      <c r="D355" s="292" t="str">
        <f>IFERROR(__xludf.DUMMYFUNCTION("""COMPUTED_VALUE"""),"")</f>
        <v/>
      </c>
      <c r="E355" s="292" t="str">
        <f>IFERROR(__xludf.DUMMYFUNCTION("""COMPUTED_VALUE"""),"")</f>
        <v/>
      </c>
      <c r="F355" s="292"/>
      <c r="G355" s="292" t="str">
        <f>IFERROR(__xludf.DUMMYFUNCTION("""COMPUTED_VALUE"""),"")</f>
        <v/>
      </c>
      <c r="H355" s="292" t="str">
        <f>IFERROR(__xludf.DUMMYFUNCTION("""COMPUTED_VALUE"""),"")</f>
        <v/>
      </c>
      <c r="I355" s="292"/>
      <c r="J355" s="292"/>
      <c r="K355" s="292"/>
      <c r="L355" s="292"/>
      <c r="M355" s="292" t="str">
        <f>IFERROR(__xludf.DUMMYFUNCTION("""COMPUTED_VALUE"""),"")</f>
        <v/>
      </c>
      <c r="N355" s="292"/>
      <c r="O355" s="292"/>
      <c r="P355" s="292"/>
      <c r="Q355" s="292"/>
      <c r="R355" s="292"/>
      <c r="S355" s="292"/>
      <c r="T355" s="292"/>
      <c r="U355" s="292"/>
      <c r="V355" s="292"/>
      <c r="W355" s="292"/>
      <c r="X355" s="292" t="str">
        <f>IFERROR(__xludf.DUMMYFUNCTION("""COMPUTED_VALUE"""),"#N/A")</f>
        <v>#N/A</v>
      </c>
      <c r="Y355" s="344" t="str">
        <f>IFERROR(__xludf.DUMMYFUNCTION("""COMPUTED_VALUE"""),"#N/A")</f>
        <v>#N/A</v>
      </c>
      <c r="Z355" s="343" t="str">
        <f>IFERROR(__xludf.DUMMYFUNCTION("""COMPUTED_VALUE"""),"#N/A")</f>
        <v>#N/A</v>
      </c>
      <c r="AA355" s="292" t="str">
        <f>IFERROR(__xludf.DUMMYFUNCTION("""COMPUTED_VALUE"""),"#N/A")</f>
        <v>#N/A</v>
      </c>
      <c r="AB355" s="292" t="str">
        <f>IFERROR(__xludf.DUMMYFUNCTION("""COMPUTED_VALUE"""),"#N/A")</f>
        <v>#N/A</v>
      </c>
      <c r="AC355" s="292" t="str">
        <f>IFERROR(__xludf.DUMMYFUNCTION("""COMPUTED_VALUE"""),"#N/A")</f>
        <v>#N/A</v>
      </c>
      <c r="AD355" s="292" t="str">
        <f>IFERROR(__xludf.DUMMYFUNCTION("""COMPUTED_VALUE"""),"#N/A")</f>
        <v>#N/A</v>
      </c>
      <c r="AE355" s="343" t="str">
        <f>IFERROR(__xludf.DUMMYFUNCTION("""COMPUTED_VALUE"""),"#N/A")</f>
        <v>#N/A</v>
      </c>
      <c r="AF355" s="292" t="str">
        <f>IFERROR(__xludf.DUMMYFUNCTION("""COMPUTED_VALUE"""),"#N/A")</f>
        <v>#N/A</v>
      </c>
      <c r="AG355" s="292"/>
      <c r="AH355" s="292"/>
      <c r="AI355" s="292"/>
      <c r="AJ355" s="292"/>
      <c r="AK355" s="292"/>
      <c r="AL355" s="292"/>
      <c r="AM355" s="292"/>
      <c r="AN355" s="292"/>
      <c r="AO355" s="292"/>
      <c r="AP355" s="292"/>
      <c r="AQ355" s="292"/>
      <c r="AR355" s="292"/>
      <c r="AS355" s="292"/>
      <c r="AT355" s="292"/>
      <c r="AU355" s="292"/>
      <c r="AV355" s="292"/>
      <c r="AW355" s="292"/>
      <c r="AX355" s="292"/>
      <c r="AY355" s="292"/>
      <c r="AZ355" s="292"/>
      <c r="BA355" s="292"/>
      <c r="BB355" s="292"/>
      <c r="BC355" s="292"/>
      <c r="BD355" s="292"/>
      <c r="BE355" s="292"/>
      <c r="BF355" s="292"/>
      <c r="BG355" s="292"/>
      <c r="BH355" s="292"/>
      <c r="BI355" s="292"/>
      <c r="BJ355" s="292"/>
      <c r="BK355" s="292"/>
      <c r="BL355" s="292"/>
      <c r="BM355" s="292"/>
      <c r="BN355" s="292"/>
      <c r="BO355" s="292"/>
      <c r="BP355" s="292"/>
      <c r="BQ355" s="292"/>
      <c r="BR355" s="292"/>
      <c r="BS355" s="292"/>
      <c r="BT355" s="292"/>
      <c r="BU355" s="292"/>
      <c r="BV355" s="292"/>
      <c r="BW355" s="292"/>
    </row>
    <row r="356">
      <c r="A356" s="292"/>
      <c r="B356" s="292" t="str">
        <f>IFERROR(__xludf.DUMMYFUNCTION("""COMPUTED_VALUE"""),"")</f>
        <v/>
      </c>
      <c r="C356" s="292"/>
      <c r="D356" s="292" t="str">
        <f>IFERROR(__xludf.DUMMYFUNCTION("""COMPUTED_VALUE"""),"")</f>
        <v/>
      </c>
      <c r="E356" s="292" t="str">
        <f>IFERROR(__xludf.DUMMYFUNCTION("""COMPUTED_VALUE"""),"")</f>
        <v/>
      </c>
      <c r="F356" s="292"/>
      <c r="G356" s="292" t="str">
        <f>IFERROR(__xludf.DUMMYFUNCTION("""COMPUTED_VALUE"""),"")</f>
        <v/>
      </c>
      <c r="H356" s="292" t="str">
        <f>IFERROR(__xludf.DUMMYFUNCTION("""COMPUTED_VALUE"""),"")</f>
        <v/>
      </c>
      <c r="I356" s="292"/>
      <c r="J356" s="292"/>
      <c r="K356" s="292"/>
      <c r="L356" s="292"/>
      <c r="M356" s="292" t="str">
        <f>IFERROR(__xludf.DUMMYFUNCTION("""COMPUTED_VALUE"""),"")</f>
        <v/>
      </c>
      <c r="N356" s="292"/>
      <c r="O356" s="292"/>
      <c r="P356" s="292"/>
      <c r="Q356" s="292"/>
      <c r="R356" s="292"/>
      <c r="S356" s="292"/>
      <c r="T356" s="292"/>
      <c r="U356" s="292"/>
      <c r="V356" s="292"/>
      <c r="W356" s="292"/>
      <c r="X356" s="292" t="str">
        <f>IFERROR(__xludf.DUMMYFUNCTION("""COMPUTED_VALUE"""),"#N/A")</f>
        <v>#N/A</v>
      </c>
      <c r="Y356" s="344" t="str">
        <f>IFERROR(__xludf.DUMMYFUNCTION("""COMPUTED_VALUE"""),"#N/A")</f>
        <v>#N/A</v>
      </c>
      <c r="Z356" s="343" t="str">
        <f>IFERROR(__xludf.DUMMYFUNCTION("""COMPUTED_VALUE"""),"#N/A")</f>
        <v>#N/A</v>
      </c>
      <c r="AA356" s="292" t="str">
        <f>IFERROR(__xludf.DUMMYFUNCTION("""COMPUTED_VALUE"""),"#N/A")</f>
        <v>#N/A</v>
      </c>
      <c r="AB356" s="292" t="str">
        <f>IFERROR(__xludf.DUMMYFUNCTION("""COMPUTED_VALUE"""),"#N/A")</f>
        <v>#N/A</v>
      </c>
      <c r="AC356" s="292" t="str">
        <f>IFERROR(__xludf.DUMMYFUNCTION("""COMPUTED_VALUE"""),"#N/A")</f>
        <v>#N/A</v>
      </c>
      <c r="AD356" s="292" t="str">
        <f>IFERROR(__xludf.DUMMYFUNCTION("""COMPUTED_VALUE"""),"#N/A")</f>
        <v>#N/A</v>
      </c>
      <c r="AE356" s="343" t="str">
        <f>IFERROR(__xludf.DUMMYFUNCTION("""COMPUTED_VALUE"""),"#N/A")</f>
        <v>#N/A</v>
      </c>
      <c r="AF356" s="292" t="str">
        <f>IFERROR(__xludf.DUMMYFUNCTION("""COMPUTED_VALUE"""),"#N/A")</f>
        <v>#N/A</v>
      </c>
      <c r="AG356" s="292"/>
      <c r="AH356" s="292"/>
      <c r="AI356" s="292"/>
      <c r="AJ356" s="292"/>
      <c r="AK356" s="292"/>
      <c r="AL356" s="292"/>
      <c r="AM356" s="292"/>
      <c r="AN356" s="292"/>
      <c r="AO356" s="292"/>
      <c r="AP356" s="292"/>
      <c r="AQ356" s="292"/>
      <c r="AR356" s="292"/>
      <c r="AS356" s="292"/>
      <c r="AT356" s="292"/>
      <c r="AU356" s="292"/>
      <c r="AV356" s="292"/>
      <c r="AW356" s="292"/>
      <c r="AX356" s="292"/>
      <c r="AY356" s="292"/>
      <c r="AZ356" s="292"/>
      <c r="BA356" s="292"/>
      <c r="BB356" s="292"/>
      <c r="BC356" s="292"/>
      <c r="BD356" s="292"/>
      <c r="BE356" s="292"/>
      <c r="BF356" s="292"/>
      <c r="BG356" s="292"/>
      <c r="BH356" s="292"/>
      <c r="BI356" s="292"/>
      <c r="BJ356" s="292"/>
      <c r="BK356" s="292"/>
      <c r="BL356" s="292"/>
      <c r="BM356" s="292"/>
      <c r="BN356" s="292"/>
      <c r="BO356" s="292"/>
      <c r="BP356" s="292"/>
      <c r="BQ356" s="292"/>
      <c r="BR356" s="292"/>
      <c r="BS356" s="292"/>
      <c r="BT356" s="292"/>
      <c r="BU356" s="292"/>
      <c r="BV356" s="292"/>
      <c r="BW356" s="292"/>
    </row>
    <row r="357">
      <c r="A357" s="292"/>
      <c r="B357" s="292" t="str">
        <f>IFERROR(__xludf.DUMMYFUNCTION("""COMPUTED_VALUE"""),"")</f>
        <v/>
      </c>
      <c r="C357" s="292"/>
      <c r="D357" s="292" t="str">
        <f>IFERROR(__xludf.DUMMYFUNCTION("""COMPUTED_VALUE"""),"")</f>
        <v/>
      </c>
      <c r="E357" s="292" t="str">
        <f>IFERROR(__xludf.DUMMYFUNCTION("""COMPUTED_VALUE"""),"")</f>
        <v/>
      </c>
      <c r="F357" s="292"/>
      <c r="G357" s="292" t="str">
        <f>IFERROR(__xludf.DUMMYFUNCTION("""COMPUTED_VALUE"""),"")</f>
        <v/>
      </c>
      <c r="H357" s="292" t="str">
        <f>IFERROR(__xludf.DUMMYFUNCTION("""COMPUTED_VALUE"""),"")</f>
        <v/>
      </c>
      <c r="I357" s="292"/>
      <c r="J357" s="292"/>
      <c r="K357" s="292"/>
      <c r="L357" s="292"/>
      <c r="M357" s="292" t="str">
        <f>IFERROR(__xludf.DUMMYFUNCTION("""COMPUTED_VALUE"""),"")</f>
        <v/>
      </c>
      <c r="N357" s="292"/>
      <c r="O357" s="292"/>
      <c r="P357" s="292"/>
      <c r="Q357" s="292"/>
      <c r="R357" s="292"/>
      <c r="S357" s="292"/>
      <c r="T357" s="292"/>
      <c r="U357" s="292"/>
      <c r="V357" s="292"/>
      <c r="W357" s="292"/>
      <c r="X357" s="292" t="str">
        <f>IFERROR(__xludf.DUMMYFUNCTION("""COMPUTED_VALUE"""),"#N/A")</f>
        <v>#N/A</v>
      </c>
      <c r="Y357" s="344" t="str">
        <f>IFERROR(__xludf.DUMMYFUNCTION("""COMPUTED_VALUE"""),"#N/A")</f>
        <v>#N/A</v>
      </c>
      <c r="Z357" s="343" t="str">
        <f>IFERROR(__xludf.DUMMYFUNCTION("""COMPUTED_VALUE"""),"#N/A")</f>
        <v>#N/A</v>
      </c>
      <c r="AA357" s="292" t="str">
        <f>IFERROR(__xludf.DUMMYFUNCTION("""COMPUTED_VALUE"""),"#N/A")</f>
        <v>#N/A</v>
      </c>
      <c r="AB357" s="292" t="str">
        <f>IFERROR(__xludf.DUMMYFUNCTION("""COMPUTED_VALUE"""),"#N/A")</f>
        <v>#N/A</v>
      </c>
      <c r="AC357" s="292" t="str">
        <f>IFERROR(__xludf.DUMMYFUNCTION("""COMPUTED_VALUE"""),"#N/A")</f>
        <v>#N/A</v>
      </c>
      <c r="AD357" s="292" t="str">
        <f>IFERROR(__xludf.DUMMYFUNCTION("""COMPUTED_VALUE"""),"#N/A")</f>
        <v>#N/A</v>
      </c>
      <c r="AE357" s="343" t="str">
        <f>IFERROR(__xludf.DUMMYFUNCTION("""COMPUTED_VALUE"""),"#N/A")</f>
        <v>#N/A</v>
      </c>
      <c r="AF357" s="292" t="str">
        <f>IFERROR(__xludf.DUMMYFUNCTION("""COMPUTED_VALUE"""),"#N/A")</f>
        <v>#N/A</v>
      </c>
      <c r="AG357" s="292"/>
      <c r="AH357" s="292"/>
      <c r="AI357" s="292"/>
      <c r="AJ357" s="292"/>
      <c r="AK357" s="292"/>
      <c r="AL357" s="292"/>
      <c r="AM357" s="292"/>
      <c r="AN357" s="292"/>
      <c r="AO357" s="292"/>
      <c r="AP357" s="292"/>
      <c r="AQ357" s="292"/>
      <c r="AR357" s="292"/>
      <c r="AS357" s="292"/>
      <c r="AT357" s="292"/>
      <c r="AU357" s="292"/>
      <c r="AV357" s="292"/>
      <c r="AW357" s="292"/>
      <c r="AX357" s="292"/>
      <c r="AY357" s="292"/>
      <c r="AZ357" s="292"/>
      <c r="BA357" s="292"/>
      <c r="BB357" s="292"/>
      <c r="BC357" s="292"/>
      <c r="BD357" s="292"/>
      <c r="BE357" s="292"/>
      <c r="BF357" s="292"/>
      <c r="BG357" s="292"/>
      <c r="BH357" s="292"/>
      <c r="BI357" s="292"/>
      <c r="BJ357" s="292"/>
      <c r="BK357" s="292"/>
      <c r="BL357" s="292"/>
      <c r="BM357" s="292"/>
      <c r="BN357" s="292"/>
      <c r="BO357" s="292"/>
      <c r="BP357" s="292"/>
      <c r="BQ357" s="292"/>
      <c r="BR357" s="292"/>
      <c r="BS357" s="292"/>
      <c r="BT357" s="292"/>
      <c r="BU357" s="292"/>
      <c r="BV357" s="292"/>
      <c r="BW357" s="292"/>
    </row>
    <row r="358">
      <c r="A358" s="292"/>
      <c r="B358" s="292" t="str">
        <f>IFERROR(__xludf.DUMMYFUNCTION("""COMPUTED_VALUE"""),"")</f>
        <v/>
      </c>
      <c r="C358" s="292"/>
      <c r="D358" s="292" t="str">
        <f>IFERROR(__xludf.DUMMYFUNCTION("""COMPUTED_VALUE"""),"")</f>
        <v/>
      </c>
      <c r="E358" s="292" t="str">
        <f>IFERROR(__xludf.DUMMYFUNCTION("""COMPUTED_VALUE"""),"")</f>
        <v/>
      </c>
      <c r="F358" s="292"/>
      <c r="G358" s="292" t="str">
        <f>IFERROR(__xludf.DUMMYFUNCTION("""COMPUTED_VALUE"""),"")</f>
        <v/>
      </c>
      <c r="H358" s="292" t="str">
        <f>IFERROR(__xludf.DUMMYFUNCTION("""COMPUTED_VALUE"""),"")</f>
        <v/>
      </c>
      <c r="I358" s="292"/>
      <c r="J358" s="292"/>
      <c r="K358" s="292"/>
      <c r="L358" s="292"/>
      <c r="M358" s="292" t="str">
        <f>IFERROR(__xludf.DUMMYFUNCTION("""COMPUTED_VALUE"""),"")</f>
        <v/>
      </c>
      <c r="N358" s="292"/>
      <c r="O358" s="292"/>
      <c r="P358" s="292"/>
      <c r="Q358" s="292"/>
      <c r="R358" s="292"/>
      <c r="S358" s="292"/>
      <c r="T358" s="292"/>
      <c r="U358" s="292"/>
      <c r="V358" s="292"/>
      <c r="W358" s="292"/>
      <c r="X358" s="292" t="str">
        <f>IFERROR(__xludf.DUMMYFUNCTION("""COMPUTED_VALUE"""),"#N/A")</f>
        <v>#N/A</v>
      </c>
      <c r="Y358" s="344" t="str">
        <f>IFERROR(__xludf.DUMMYFUNCTION("""COMPUTED_VALUE"""),"#N/A")</f>
        <v>#N/A</v>
      </c>
      <c r="Z358" s="343" t="str">
        <f>IFERROR(__xludf.DUMMYFUNCTION("""COMPUTED_VALUE"""),"#N/A")</f>
        <v>#N/A</v>
      </c>
      <c r="AA358" s="292" t="str">
        <f>IFERROR(__xludf.DUMMYFUNCTION("""COMPUTED_VALUE"""),"#N/A")</f>
        <v>#N/A</v>
      </c>
      <c r="AB358" s="292" t="str">
        <f>IFERROR(__xludf.DUMMYFUNCTION("""COMPUTED_VALUE"""),"#N/A")</f>
        <v>#N/A</v>
      </c>
      <c r="AC358" s="292" t="str">
        <f>IFERROR(__xludf.DUMMYFUNCTION("""COMPUTED_VALUE"""),"#N/A")</f>
        <v>#N/A</v>
      </c>
      <c r="AD358" s="292" t="str">
        <f>IFERROR(__xludf.DUMMYFUNCTION("""COMPUTED_VALUE"""),"#N/A")</f>
        <v>#N/A</v>
      </c>
      <c r="AE358" s="343" t="str">
        <f>IFERROR(__xludf.DUMMYFUNCTION("""COMPUTED_VALUE"""),"#N/A")</f>
        <v>#N/A</v>
      </c>
      <c r="AF358" s="292" t="str">
        <f>IFERROR(__xludf.DUMMYFUNCTION("""COMPUTED_VALUE"""),"#N/A")</f>
        <v>#N/A</v>
      </c>
      <c r="AG358" s="292"/>
      <c r="AH358" s="292"/>
      <c r="AI358" s="292"/>
      <c r="AJ358" s="292"/>
      <c r="AK358" s="292"/>
      <c r="AL358" s="292"/>
      <c r="AM358" s="292"/>
      <c r="AN358" s="292"/>
      <c r="AO358" s="292"/>
      <c r="AP358" s="292"/>
      <c r="AQ358" s="292"/>
      <c r="AR358" s="292"/>
      <c r="AS358" s="292"/>
      <c r="AT358" s="292"/>
      <c r="AU358" s="292"/>
      <c r="AV358" s="292"/>
      <c r="AW358" s="292"/>
      <c r="AX358" s="292"/>
      <c r="AY358" s="292"/>
      <c r="AZ358" s="292"/>
      <c r="BA358" s="292"/>
      <c r="BB358" s="292"/>
      <c r="BC358" s="292"/>
      <c r="BD358" s="292"/>
      <c r="BE358" s="292"/>
      <c r="BF358" s="292"/>
      <c r="BG358" s="292"/>
      <c r="BH358" s="292"/>
      <c r="BI358" s="292"/>
      <c r="BJ358" s="292"/>
      <c r="BK358" s="292"/>
      <c r="BL358" s="292"/>
      <c r="BM358" s="292"/>
      <c r="BN358" s="292"/>
      <c r="BO358" s="292"/>
      <c r="BP358" s="292"/>
      <c r="BQ358" s="292"/>
      <c r="BR358" s="292"/>
      <c r="BS358" s="292"/>
      <c r="BT358" s="292"/>
      <c r="BU358" s="292"/>
      <c r="BV358" s="292"/>
      <c r="BW358" s="292"/>
    </row>
    <row r="359">
      <c r="A359" s="292"/>
      <c r="B359" s="292" t="str">
        <f>IFERROR(__xludf.DUMMYFUNCTION("""COMPUTED_VALUE"""),"")</f>
        <v/>
      </c>
      <c r="C359" s="292"/>
      <c r="D359" s="292" t="str">
        <f>IFERROR(__xludf.DUMMYFUNCTION("""COMPUTED_VALUE"""),"")</f>
        <v/>
      </c>
      <c r="E359" s="292" t="str">
        <f>IFERROR(__xludf.DUMMYFUNCTION("""COMPUTED_VALUE"""),"")</f>
        <v/>
      </c>
      <c r="F359" s="292"/>
      <c r="G359" s="292" t="str">
        <f>IFERROR(__xludf.DUMMYFUNCTION("""COMPUTED_VALUE"""),"")</f>
        <v/>
      </c>
      <c r="H359" s="292" t="str">
        <f>IFERROR(__xludf.DUMMYFUNCTION("""COMPUTED_VALUE"""),"")</f>
        <v/>
      </c>
      <c r="I359" s="292"/>
      <c r="J359" s="292"/>
      <c r="K359" s="292"/>
      <c r="L359" s="292"/>
      <c r="M359" s="292" t="str">
        <f>IFERROR(__xludf.DUMMYFUNCTION("""COMPUTED_VALUE"""),"")</f>
        <v/>
      </c>
      <c r="N359" s="292"/>
      <c r="O359" s="292"/>
      <c r="P359" s="292"/>
      <c r="Q359" s="292"/>
      <c r="R359" s="292"/>
      <c r="S359" s="292"/>
      <c r="T359" s="292"/>
      <c r="U359" s="292"/>
      <c r="V359" s="292"/>
      <c r="W359" s="292"/>
      <c r="X359" s="292" t="str">
        <f>IFERROR(__xludf.DUMMYFUNCTION("""COMPUTED_VALUE"""),"#N/A")</f>
        <v>#N/A</v>
      </c>
      <c r="Y359" s="344" t="str">
        <f>IFERROR(__xludf.DUMMYFUNCTION("""COMPUTED_VALUE"""),"#N/A")</f>
        <v>#N/A</v>
      </c>
      <c r="Z359" s="343" t="str">
        <f>IFERROR(__xludf.DUMMYFUNCTION("""COMPUTED_VALUE"""),"#N/A")</f>
        <v>#N/A</v>
      </c>
      <c r="AA359" s="292" t="str">
        <f>IFERROR(__xludf.DUMMYFUNCTION("""COMPUTED_VALUE"""),"#N/A")</f>
        <v>#N/A</v>
      </c>
      <c r="AB359" s="292" t="str">
        <f>IFERROR(__xludf.DUMMYFUNCTION("""COMPUTED_VALUE"""),"#N/A")</f>
        <v>#N/A</v>
      </c>
      <c r="AC359" s="292" t="str">
        <f>IFERROR(__xludf.DUMMYFUNCTION("""COMPUTED_VALUE"""),"#N/A")</f>
        <v>#N/A</v>
      </c>
      <c r="AD359" s="292" t="str">
        <f>IFERROR(__xludf.DUMMYFUNCTION("""COMPUTED_VALUE"""),"#N/A")</f>
        <v>#N/A</v>
      </c>
      <c r="AE359" s="343" t="str">
        <f>IFERROR(__xludf.DUMMYFUNCTION("""COMPUTED_VALUE"""),"#N/A")</f>
        <v>#N/A</v>
      </c>
      <c r="AF359" s="292" t="str">
        <f>IFERROR(__xludf.DUMMYFUNCTION("""COMPUTED_VALUE"""),"#N/A")</f>
        <v>#N/A</v>
      </c>
      <c r="AG359" s="292"/>
      <c r="AH359" s="292"/>
      <c r="AI359" s="292"/>
      <c r="AJ359" s="292"/>
      <c r="AK359" s="292"/>
      <c r="AL359" s="292"/>
      <c r="AM359" s="292"/>
      <c r="AN359" s="292"/>
      <c r="AO359" s="292"/>
      <c r="AP359" s="292"/>
      <c r="AQ359" s="292"/>
      <c r="AR359" s="292"/>
      <c r="AS359" s="292"/>
      <c r="AT359" s="292"/>
      <c r="AU359" s="292"/>
      <c r="AV359" s="292"/>
      <c r="AW359" s="292"/>
      <c r="AX359" s="292"/>
      <c r="AY359" s="292"/>
      <c r="AZ359" s="292"/>
      <c r="BA359" s="292"/>
      <c r="BB359" s="292"/>
      <c r="BC359" s="292"/>
      <c r="BD359" s="292"/>
      <c r="BE359" s="292"/>
      <c r="BF359" s="292"/>
      <c r="BG359" s="292"/>
      <c r="BH359" s="292"/>
      <c r="BI359" s="292"/>
      <c r="BJ359" s="292"/>
      <c r="BK359" s="292"/>
      <c r="BL359" s="292"/>
      <c r="BM359" s="292"/>
      <c r="BN359" s="292"/>
      <c r="BO359" s="292"/>
      <c r="BP359" s="292"/>
      <c r="BQ359" s="292"/>
      <c r="BR359" s="292"/>
      <c r="BS359" s="292"/>
      <c r="BT359" s="292"/>
      <c r="BU359" s="292"/>
      <c r="BV359" s="292"/>
      <c r="BW359" s="292"/>
    </row>
    <row r="360">
      <c r="A360" s="292"/>
      <c r="B360" s="292" t="str">
        <f>IFERROR(__xludf.DUMMYFUNCTION("""COMPUTED_VALUE"""),"")</f>
        <v/>
      </c>
      <c r="C360" s="292"/>
      <c r="D360" s="292" t="str">
        <f>IFERROR(__xludf.DUMMYFUNCTION("""COMPUTED_VALUE"""),"")</f>
        <v/>
      </c>
      <c r="E360" s="292" t="str">
        <f>IFERROR(__xludf.DUMMYFUNCTION("""COMPUTED_VALUE"""),"")</f>
        <v/>
      </c>
      <c r="F360" s="292"/>
      <c r="G360" s="292" t="str">
        <f>IFERROR(__xludf.DUMMYFUNCTION("""COMPUTED_VALUE"""),"")</f>
        <v/>
      </c>
      <c r="H360" s="292" t="str">
        <f>IFERROR(__xludf.DUMMYFUNCTION("""COMPUTED_VALUE"""),"")</f>
        <v/>
      </c>
      <c r="I360" s="292"/>
      <c r="J360" s="292"/>
      <c r="K360" s="292"/>
      <c r="L360" s="292"/>
      <c r="M360" s="292" t="str">
        <f>IFERROR(__xludf.DUMMYFUNCTION("""COMPUTED_VALUE"""),"")</f>
        <v/>
      </c>
      <c r="N360" s="292"/>
      <c r="O360" s="292"/>
      <c r="P360" s="292"/>
      <c r="Q360" s="292"/>
      <c r="R360" s="292"/>
      <c r="S360" s="292"/>
      <c r="T360" s="292"/>
      <c r="U360" s="292"/>
      <c r="V360" s="292"/>
      <c r="W360" s="292"/>
      <c r="X360" s="292" t="str">
        <f>IFERROR(__xludf.DUMMYFUNCTION("""COMPUTED_VALUE"""),"#N/A")</f>
        <v>#N/A</v>
      </c>
      <c r="Y360" s="344" t="str">
        <f>IFERROR(__xludf.DUMMYFUNCTION("""COMPUTED_VALUE"""),"#N/A")</f>
        <v>#N/A</v>
      </c>
      <c r="Z360" s="343" t="str">
        <f>IFERROR(__xludf.DUMMYFUNCTION("""COMPUTED_VALUE"""),"#N/A")</f>
        <v>#N/A</v>
      </c>
      <c r="AA360" s="292" t="str">
        <f>IFERROR(__xludf.DUMMYFUNCTION("""COMPUTED_VALUE"""),"#N/A")</f>
        <v>#N/A</v>
      </c>
      <c r="AB360" s="292" t="str">
        <f>IFERROR(__xludf.DUMMYFUNCTION("""COMPUTED_VALUE"""),"#N/A")</f>
        <v>#N/A</v>
      </c>
      <c r="AC360" s="292" t="str">
        <f>IFERROR(__xludf.DUMMYFUNCTION("""COMPUTED_VALUE"""),"#N/A")</f>
        <v>#N/A</v>
      </c>
      <c r="AD360" s="292" t="str">
        <f>IFERROR(__xludf.DUMMYFUNCTION("""COMPUTED_VALUE"""),"#N/A")</f>
        <v>#N/A</v>
      </c>
      <c r="AE360" s="343" t="str">
        <f>IFERROR(__xludf.DUMMYFUNCTION("""COMPUTED_VALUE"""),"#N/A")</f>
        <v>#N/A</v>
      </c>
      <c r="AF360" s="292" t="str">
        <f>IFERROR(__xludf.DUMMYFUNCTION("""COMPUTED_VALUE"""),"#N/A")</f>
        <v>#N/A</v>
      </c>
      <c r="AG360" s="292"/>
      <c r="AH360" s="292"/>
      <c r="AI360" s="292"/>
      <c r="AJ360" s="292"/>
      <c r="AK360" s="292"/>
      <c r="AL360" s="292"/>
      <c r="AM360" s="292"/>
      <c r="AN360" s="292"/>
      <c r="AO360" s="292"/>
      <c r="AP360" s="292"/>
      <c r="AQ360" s="292"/>
      <c r="AR360" s="292"/>
      <c r="AS360" s="292"/>
      <c r="AT360" s="292"/>
      <c r="AU360" s="292"/>
      <c r="AV360" s="292"/>
      <c r="AW360" s="292"/>
      <c r="AX360" s="292"/>
      <c r="AY360" s="292"/>
      <c r="AZ360" s="292"/>
      <c r="BA360" s="292"/>
      <c r="BB360" s="292"/>
      <c r="BC360" s="292"/>
      <c r="BD360" s="292"/>
      <c r="BE360" s="292"/>
      <c r="BF360" s="292"/>
      <c r="BG360" s="292"/>
      <c r="BH360" s="292"/>
      <c r="BI360" s="292"/>
      <c r="BJ360" s="292"/>
      <c r="BK360" s="292"/>
      <c r="BL360" s="292"/>
      <c r="BM360" s="292"/>
      <c r="BN360" s="292"/>
      <c r="BO360" s="292"/>
      <c r="BP360" s="292"/>
      <c r="BQ360" s="292"/>
      <c r="BR360" s="292"/>
      <c r="BS360" s="292"/>
      <c r="BT360" s="292"/>
      <c r="BU360" s="292"/>
      <c r="BV360" s="292"/>
      <c r="BW360" s="292"/>
    </row>
    <row r="361">
      <c r="A361" s="292"/>
      <c r="B361" s="292" t="str">
        <f>IFERROR(__xludf.DUMMYFUNCTION("""COMPUTED_VALUE"""),"")</f>
        <v/>
      </c>
      <c r="C361" s="292"/>
      <c r="D361" s="292" t="str">
        <f>IFERROR(__xludf.DUMMYFUNCTION("""COMPUTED_VALUE"""),"")</f>
        <v/>
      </c>
      <c r="E361" s="292" t="str">
        <f>IFERROR(__xludf.DUMMYFUNCTION("""COMPUTED_VALUE"""),"")</f>
        <v/>
      </c>
      <c r="F361" s="292"/>
      <c r="G361" s="292" t="str">
        <f>IFERROR(__xludf.DUMMYFUNCTION("""COMPUTED_VALUE"""),"")</f>
        <v/>
      </c>
      <c r="H361" s="292" t="str">
        <f>IFERROR(__xludf.DUMMYFUNCTION("""COMPUTED_VALUE"""),"")</f>
        <v/>
      </c>
      <c r="I361" s="292"/>
      <c r="J361" s="292"/>
      <c r="K361" s="292"/>
      <c r="L361" s="292"/>
      <c r="M361" s="292" t="str">
        <f>IFERROR(__xludf.DUMMYFUNCTION("""COMPUTED_VALUE"""),"")</f>
        <v/>
      </c>
      <c r="N361" s="292"/>
      <c r="O361" s="292"/>
      <c r="P361" s="292"/>
      <c r="Q361" s="292"/>
      <c r="R361" s="292"/>
      <c r="S361" s="292"/>
      <c r="T361" s="292"/>
      <c r="U361" s="292"/>
      <c r="V361" s="292"/>
      <c r="W361" s="292"/>
      <c r="X361" s="292" t="str">
        <f>IFERROR(__xludf.DUMMYFUNCTION("""COMPUTED_VALUE"""),"#N/A")</f>
        <v>#N/A</v>
      </c>
      <c r="Y361" s="344" t="str">
        <f>IFERROR(__xludf.DUMMYFUNCTION("""COMPUTED_VALUE"""),"#N/A")</f>
        <v>#N/A</v>
      </c>
      <c r="Z361" s="343" t="str">
        <f>IFERROR(__xludf.DUMMYFUNCTION("""COMPUTED_VALUE"""),"#N/A")</f>
        <v>#N/A</v>
      </c>
      <c r="AA361" s="292" t="str">
        <f>IFERROR(__xludf.DUMMYFUNCTION("""COMPUTED_VALUE"""),"#N/A")</f>
        <v>#N/A</v>
      </c>
      <c r="AB361" s="292" t="str">
        <f>IFERROR(__xludf.DUMMYFUNCTION("""COMPUTED_VALUE"""),"#N/A")</f>
        <v>#N/A</v>
      </c>
      <c r="AC361" s="292" t="str">
        <f>IFERROR(__xludf.DUMMYFUNCTION("""COMPUTED_VALUE"""),"#N/A")</f>
        <v>#N/A</v>
      </c>
      <c r="AD361" s="292" t="str">
        <f>IFERROR(__xludf.DUMMYFUNCTION("""COMPUTED_VALUE"""),"#N/A")</f>
        <v>#N/A</v>
      </c>
      <c r="AE361" s="343" t="str">
        <f>IFERROR(__xludf.DUMMYFUNCTION("""COMPUTED_VALUE"""),"#N/A")</f>
        <v>#N/A</v>
      </c>
      <c r="AF361" s="292" t="str">
        <f>IFERROR(__xludf.DUMMYFUNCTION("""COMPUTED_VALUE"""),"#N/A")</f>
        <v>#N/A</v>
      </c>
      <c r="AG361" s="292"/>
      <c r="AH361" s="292"/>
      <c r="AI361" s="292"/>
      <c r="AJ361" s="292"/>
      <c r="AK361" s="292"/>
      <c r="AL361" s="292"/>
      <c r="AM361" s="292"/>
      <c r="AN361" s="292"/>
      <c r="AO361" s="292"/>
      <c r="AP361" s="292"/>
      <c r="AQ361" s="292"/>
      <c r="AR361" s="292"/>
      <c r="AS361" s="292"/>
      <c r="AT361" s="292"/>
      <c r="AU361" s="292"/>
      <c r="AV361" s="292"/>
      <c r="AW361" s="292"/>
      <c r="AX361" s="292"/>
      <c r="AY361" s="292"/>
      <c r="AZ361" s="292"/>
      <c r="BA361" s="292"/>
      <c r="BB361" s="292"/>
      <c r="BC361" s="292"/>
      <c r="BD361" s="292"/>
      <c r="BE361" s="292"/>
      <c r="BF361" s="292"/>
      <c r="BG361" s="292"/>
      <c r="BH361" s="292"/>
      <c r="BI361" s="292"/>
      <c r="BJ361" s="292"/>
      <c r="BK361" s="292"/>
      <c r="BL361" s="292"/>
      <c r="BM361" s="292"/>
      <c r="BN361" s="292"/>
      <c r="BO361" s="292"/>
      <c r="BP361" s="292"/>
      <c r="BQ361" s="292"/>
      <c r="BR361" s="292"/>
      <c r="BS361" s="292"/>
      <c r="BT361" s="292"/>
      <c r="BU361" s="292"/>
      <c r="BV361" s="292"/>
      <c r="BW361" s="292"/>
    </row>
    <row r="362">
      <c r="A362" s="292"/>
      <c r="B362" s="292" t="str">
        <f>IFERROR(__xludf.DUMMYFUNCTION("""COMPUTED_VALUE"""),"")</f>
        <v/>
      </c>
      <c r="C362" s="292"/>
      <c r="D362" s="292" t="str">
        <f>IFERROR(__xludf.DUMMYFUNCTION("""COMPUTED_VALUE"""),"")</f>
        <v/>
      </c>
      <c r="E362" s="292" t="str">
        <f>IFERROR(__xludf.DUMMYFUNCTION("""COMPUTED_VALUE"""),"")</f>
        <v/>
      </c>
      <c r="F362" s="292"/>
      <c r="G362" s="292" t="str">
        <f>IFERROR(__xludf.DUMMYFUNCTION("""COMPUTED_VALUE"""),"")</f>
        <v/>
      </c>
      <c r="H362" s="292" t="str">
        <f>IFERROR(__xludf.DUMMYFUNCTION("""COMPUTED_VALUE"""),"")</f>
        <v/>
      </c>
      <c r="I362" s="292"/>
      <c r="J362" s="292"/>
      <c r="K362" s="292"/>
      <c r="L362" s="292"/>
      <c r="M362" s="292" t="str">
        <f>IFERROR(__xludf.DUMMYFUNCTION("""COMPUTED_VALUE"""),"")</f>
        <v/>
      </c>
      <c r="N362" s="292"/>
      <c r="O362" s="292"/>
      <c r="P362" s="292"/>
      <c r="Q362" s="292"/>
      <c r="R362" s="292"/>
      <c r="S362" s="292"/>
      <c r="T362" s="292"/>
      <c r="U362" s="292"/>
      <c r="V362" s="292"/>
      <c r="W362" s="292"/>
      <c r="X362" s="292" t="str">
        <f>IFERROR(__xludf.DUMMYFUNCTION("""COMPUTED_VALUE"""),"#N/A")</f>
        <v>#N/A</v>
      </c>
      <c r="Y362" s="344" t="str">
        <f>IFERROR(__xludf.DUMMYFUNCTION("""COMPUTED_VALUE"""),"#N/A")</f>
        <v>#N/A</v>
      </c>
      <c r="Z362" s="343" t="str">
        <f>IFERROR(__xludf.DUMMYFUNCTION("""COMPUTED_VALUE"""),"#N/A")</f>
        <v>#N/A</v>
      </c>
      <c r="AA362" s="292" t="str">
        <f>IFERROR(__xludf.DUMMYFUNCTION("""COMPUTED_VALUE"""),"#N/A")</f>
        <v>#N/A</v>
      </c>
      <c r="AB362" s="292" t="str">
        <f>IFERROR(__xludf.DUMMYFUNCTION("""COMPUTED_VALUE"""),"#N/A")</f>
        <v>#N/A</v>
      </c>
      <c r="AC362" s="292" t="str">
        <f>IFERROR(__xludf.DUMMYFUNCTION("""COMPUTED_VALUE"""),"#N/A")</f>
        <v>#N/A</v>
      </c>
      <c r="AD362" s="292" t="str">
        <f>IFERROR(__xludf.DUMMYFUNCTION("""COMPUTED_VALUE"""),"#N/A")</f>
        <v>#N/A</v>
      </c>
      <c r="AE362" s="343" t="str">
        <f>IFERROR(__xludf.DUMMYFUNCTION("""COMPUTED_VALUE"""),"#N/A")</f>
        <v>#N/A</v>
      </c>
      <c r="AF362" s="292" t="str">
        <f>IFERROR(__xludf.DUMMYFUNCTION("""COMPUTED_VALUE"""),"#N/A")</f>
        <v>#N/A</v>
      </c>
      <c r="AG362" s="292"/>
      <c r="AH362" s="292"/>
      <c r="AI362" s="292"/>
      <c r="AJ362" s="292"/>
      <c r="AK362" s="292"/>
      <c r="AL362" s="292"/>
      <c r="AM362" s="292"/>
      <c r="AN362" s="292"/>
      <c r="AO362" s="292"/>
      <c r="AP362" s="292"/>
      <c r="AQ362" s="292"/>
      <c r="AR362" s="292"/>
      <c r="AS362" s="292"/>
      <c r="AT362" s="292"/>
      <c r="AU362" s="292"/>
      <c r="AV362" s="292"/>
      <c r="AW362" s="292"/>
      <c r="AX362" s="292"/>
      <c r="AY362" s="292"/>
      <c r="AZ362" s="292"/>
      <c r="BA362" s="292"/>
      <c r="BB362" s="292"/>
      <c r="BC362" s="292"/>
      <c r="BD362" s="292"/>
      <c r="BE362" s="292"/>
      <c r="BF362" s="292"/>
      <c r="BG362" s="292"/>
      <c r="BH362" s="292"/>
      <c r="BI362" s="292"/>
      <c r="BJ362" s="292"/>
      <c r="BK362" s="292"/>
      <c r="BL362" s="292"/>
      <c r="BM362" s="292"/>
      <c r="BN362" s="292"/>
      <c r="BO362" s="292"/>
      <c r="BP362" s="292"/>
      <c r="BQ362" s="292"/>
      <c r="BR362" s="292"/>
      <c r="BS362" s="292"/>
      <c r="BT362" s="292"/>
      <c r="BU362" s="292"/>
      <c r="BV362" s="292"/>
      <c r="BW362" s="292"/>
    </row>
    <row r="363">
      <c r="A363" s="292"/>
      <c r="B363" s="292" t="str">
        <f>IFERROR(__xludf.DUMMYFUNCTION("""COMPUTED_VALUE"""),"")</f>
        <v/>
      </c>
      <c r="C363" s="292"/>
      <c r="D363" s="292" t="str">
        <f>IFERROR(__xludf.DUMMYFUNCTION("""COMPUTED_VALUE"""),"")</f>
        <v/>
      </c>
      <c r="E363" s="292" t="str">
        <f>IFERROR(__xludf.DUMMYFUNCTION("""COMPUTED_VALUE"""),"")</f>
        <v/>
      </c>
      <c r="F363" s="292"/>
      <c r="G363" s="292" t="str">
        <f>IFERROR(__xludf.DUMMYFUNCTION("""COMPUTED_VALUE"""),"")</f>
        <v/>
      </c>
      <c r="H363" s="292" t="str">
        <f>IFERROR(__xludf.DUMMYFUNCTION("""COMPUTED_VALUE"""),"")</f>
        <v/>
      </c>
      <c r="I363" s="292"/>
      <c r="J363" s="292"/>
      <c r="K363" s="292"/>
      <c r="L363" s="292"/>
      <c r="M363" s="292" t="str">
        <f>IFERROR(__xludf.DUMMYFUNCTION("""COMPUTED_VALUE"""),"")</f>
        <v/>
      </c>
      <c r="N363" s="292"/>
      <c r="O363" s="292"/>
      <c r="P363" s="292"/>
      <c r="Q363" s="292"/>
      <c r="R363" s="292"/>
      <c r="S363" s="292"/>
      <c r="T363" s="292"/>
      <c r="U363" s="292"/>
      <c r="V363" s="292"/>
      <c r="W363" s="292"/>
      <c r="X363" s="292" t="str">
        <f>IFERROR(__xludf.DUMMYFUNCTION("""COMPUTED_VALUE"""),"#N/A")</f>
        <v>#N/A</v>
      </c>
      <c r="Y363" s="344" t="str">
        <f>IFERROR(__xludf.DUMMYFUNCTION("""COMPUTED_VALUE"""),"#N/A")</f>
        <v>#N/A</v>
      </c>
      <c r="Z363" s="343" t="str">
        <f>IFERROR(__xludf.DUMMYFUNCTION("""COMPUTED_VALUE"""),"#N/A")</f>
        <v>#N/A</v>
      </c>
      <c r="AA363" s="292" t="str">
        <f>IFERROR(__xludf.DUMMYFUNCTION("""COMPUTED_VALUE"""),"#N/A")</f>
        <v>#N/A</v>
      </c>
      <c r="AB363" s="292" t="str">
        <f>IFERROR(__xludf.DUMMYFUNCTION("""COMPUTED_VALUE"""),"#N/A")</f>
        <v>#N/A</v>
      </c>
      <c r="AC363" s="292" t="str">
        <f>IFERROR(__xludf.DUMMYFUNCTION("""COMPUTED_VALUE"""),"#N/A")</f>
        <v>#N/A</v>
      </c>
      <c r="AD363" s="292" t="str">
        <f>IFERROR(__xludf.DUMMYFUNCTION("""COMPUTED_VALUE"""),"#N/A")</f>
        <v>#N/A</v>
      </c>
      <c r="AE363" s="343" t="str">
        <f>IFERROR(__xludf.DUMMYFUNCTION("""COMPUTED_VALUE"""),"#N/A")</f>
        <v>#N/A</v>
      </c>
      <c r="AF363" s="292" t="str">
        <f>IFERROR(__xludf.DUMMYFUNCTION("""COMPUTED_VALUE"""),"#N/A")</f>
        <v>#N/A</v>
      </c>
      <c r="AG363" s="292"/>
      <c r="AH363" s="292"/>
      <c r="AI363" s="292"/>
      <c r="AJ363" s="292"/>
      <c r="AK363" s="292"/>
      <c r="AL363" s="292"/>
      <c r="AM363" s="292"/>
      <c r="AN363" s="292"/>
      <c r="AO363" s="292"/>
      <c r="AP363" s="292"/>
      <c r="AQ363" s="292"/>
      <c r="AR363" s="292"/>
      <c r="AS363" s="292"/>
      <c r="AT363" s="292"/>
      <c r="AU363" s="292"/>
      <c r="AV363" s="292"/>
      <c r="AW363" s="292"/>
      <c r="AX363" s="292"/>
      <c r="AY363" s="292"/>
      <c r="AZ363" s="292"/>
      <c r="BA363" s="292"/>
      <c r="BB363" s="292"/>
      <c r="BC363" s="292"/>
      <c r="BD363" s="292"/>
      <c r="BE363" s="292"/>
      <c r="BF363" s="292"/>
      <c r="BG363" s="292"/>
      <c r="BH363" s="292"/>
      <c r="BI363" s="292"/>
      <c r="BJ363" s="292"/>
      <c r="BK363" s="292"/>
      <c r="BL363" s="292"/>
      <c r="BM363" s="292"/>
      <c r="BN363" s="292"/>
      <c r="BO363" s="292"/>
      <c r="BP363" s="292"/>
      <c r="BQ363" s="292"/>
      <c r="BR363" s="292"/>
      <c r="BS363" s="292"/>
      <c r="BT363" s="292"/>
      <c r="BU363" s="292"/>
      <c r="BV363" s="292"/>
      <c r="BW363" s="292"/>
    </row>
    <row r="364">
      <c r="A364" s="292"/>
      <c r="B364" s="292" t="str">
        <f>IFERROR(__xludf.DUMMYFUNCTION("""COMPUTED_VALUE"""),"")</f>
        <v/>
      </c>
      <c r="C364" s="292"/>
      <c r="D364" s="292" t="str">
        <f>IFERROR(__xludf.DUMMYFUNCTION("""COMPUTED_VALUE"""),"")</f>
        <v/>
      </c>
      <c r="E364" s="292" t="str">
        <f>IFERROR(__xludf.DUMMYFUNCTION("""COMPUTED_VALUE"""),"")</f>
        <v/>
      </c>
      <c r="F364" s="292"/>
      <c r="G364" s="292" t="str">
        <f>IFERROR(__xludf.DUMMYFUNCTION("""COMPUTED_VALUE"""),"")</f>
        <v/>
      </c>
      <c r="H364" s="292" t="str">
        <f>IFERROR(__xludf.DUMMYFUNCTION("""COMPUTED_VALUE"""),"")</f>
        <v/>
      </c>
      <c r="I364" s="292"/>
      <c r="J364" s="292"/>
      <c r="K364" s="292"/>
      <c r="L364" s="292"/>
      <c r="M364" s="292" t="str">
        <f>IFERROR(__xludf.DUMMYFUNCTION("""COMPUTED_VALUE"""),"")</f>
        <v/>
      </c>
      <c r="N364" s="292"/>
      <c r="O364" s="292"/>
      <c r="P364" s="292"/>
      <c r="Q364" s="292"/>
      <c r="R364" s="292"/>
      <c r="S364" s="292"/>
      <c r="T364" s="292"/>
      <c r="U364" s="292"/>
      <c r="V364" s="292"/>
      <c r="W364" s="292"/>
      <c r="X364" s="292" t="str">
        <f>IFERROR(__xludf.DUMMYFUNCTION("""COMPUTED_VALUE"""),"#N/A")</f>
        <v>#N/A</v>
      </c>
      <c r="Y364" s="344" t="str">
        <f>IFERROR(__xludf.DUMMYFUNCTION("""COMPUTED_VALUE"""),"#N/A")</f>
        <v>#N/A</v>
      </c>
      <c r="Z364" s="343" t="str">
        <f>IFERROR(__xludf.DUMMYFUNCTION("""COMPUTED_VALUE"""),"#N/A")</f>
        <v>#N/A</v>
      </c>
      <c r="AA364" s="292" t="str">
        <f>IFERROR(__xludf.DUMMYFUNCTION("""COMPUTED_VALUE"""),"#N/A")</f>
        <v>#N/A</v>
      </c>
      <c r="AB364" s="292" t="str">
        <f>IFERROR(__xludf.DUMMYFUNCTION("""COMPUTED_VALUE"""),"#N/A")</f>
        <v>#N/A</v>
      </c>
      <c r="AC364" s="292" t="str">
        <f>IFERROR(__xludf.DUMMYFUNCTION("""COMPUTED_VALUE"""),"#N/A")</f>
        <v>#N/A</v>
      </c>
      <c r="AD364" s="292" t="str">
        <f>IFERROR(__xludf.DUMMYFUNCTION("""COMPUTED_VALUE"""),"#N/A")</f>
        <v>#N/A</v>
      </c>
      <c r="AE364" s="343" t="str">
        <f>IFERROR(__xludf.DUMMYFUNCTION("""COMPUTED_VALUE"""),"#N/A")</f>
        <v>#N/A</v>
      </c>
      <c r="AF364" s="292" t="str">
        <f>IFERROR(__xludf.DUMMYFUNCTION("""COMPUTED_VALUE"""),"#N/A")</f>
        <v>#N/A</v>
      </c>
      <c r="AG364" s="292"/>
      <c r="AH364" s="292"/>
      <c r="AI364" s="292"/>
      <c r="AJ364" s="292"/>
      <c r="AK364" s="292"/>
      <c r="AL364" s="292"/>
      <c r="AM364" s="292"/>
      <c r="AN364" s="292"/>
      <c r="AO364" s="292"/>
      <c r="AP364" s="292"/>
      <c r="AQ364" s="292"/>
      <c r="AR364" s="292"/>
      <c r="AS364" s="292"/>
      <c r="AT364" s="292"/>
      <c r="AU364" s="292"/>
      <c r="AV364" s="292"/>
      <c r="AW364" s="292"/>
      <c r="AX364" s="292"/>
      <c r="AY364" s="292"/>
      <c r="AZ364" s="292"/>
      <c r="BA364" s="292"/>
      <c r="BB364" s="292"/>
      <c r="BC364" s="292"/>
      <c r="BD364" s="292"/>
      <c r="BE364" s="292"/>
      <c r="BF364" s="292"/>
      <c r="BG364" s="292"/>
      <c r="BH364" s="292"/>
      <c r="BI364" s="292"/>
      <c r="BJ364" s="292"/>
      <c r="BK364" s="292"/>
      <c r="BL364" s="292"/>
      <c r="BM364" s="292"/>
      <c r="BN364" s="292"/>
      <c r="BO364" s="292"/>
      <c r="BP364" s="292"/>
      <c r="BQ364" s="292"/>
      <c r="BR364" s="292"/>
      <c r="BS364" s="292"/>
      <c r="BT364" s="292"/>
      <c r="BU364" s="292"/>
      <c r="BV364" s="292"/>
      <c r="BW364" s="292"/>
    </row>
    <row r="365">
      <c r="A365" s="292"/>
      <c r="B365" s="292" t="str">
        <f>IFERROR(__xludf.DUMMYFUNCTION("""COMPUTED_VALUE"""),"")</f>
        <v/>
      </c>
      <c r="C365" s="292"/>
      <c r="D365" s="292" t="str">
        <f>IFERROR(__xludf.DUMMYFUNCTION("""COMPUTED_VALUE"""),"")</f>
        <v/>
      </c>
      <c r="E365" s="292" t="str">
        <f>IFERROR(__xludf.DUMMYFUNCTION("""COMPUTED_VALUE"""),"")</f>
        <v/>
      </c>
      <c r="F365" s="292"/>
      <c r="G365" s="292" t="str">
        <f>IFERROR(__xludf.DUMMYFUNCTION("""COMPUTED_VALUE"""),"")</f>
        <v/>
      </c>
      <c r="H365" s="292" t="str">
        <f>IFERROR(__xludf.DUMMYFUNCTION("""COMPUTED_VALUE"""),"")</f>
        <v/>
      </c>
      <c r="I365" s="292"/>
      <c r="J365" s="292"/>
      <c r="K365" s="292"/>
      <c r="L365" s="292"/>
      <c r="M365" s="292" t="str">
        <f>IFERROR(__xludf.DUMMYFUNCTION("""COMPUTED_VALUE"""),"")</f>
        <v/>
      </c>
      <c r="N365" s="292"/>
      <c r="O365" s="292"/>
      <c r="P365" s="292"/>
      <c r="Q365" s="292"/>
      <c r="R365" s="292"/>
      <c r="S365" s="292"/>
      <c r="T365" s="292"/>
      <c r="U365" s="292"/>
      <c r="V365" s="292"/>
      <c r="W365" s="292"/>
      <c r="X365" s="292" t="str">
        <f>IFERROR(__xludf.DUMMYFUNCTION("""COMPUTED_VALUE"""),"#N/A")</f>
        <v>#N/A</v>
      </c>
      <c r="Y365" s="344" t="str">
        <f>IFERROR(__xludf.DUMMYFUNCTION("""COMPUTED_VALUE"""),"#N/A")</f>
        <v>#N/A</v>
      </c>
      <c r="Z365" s="343" t="str">
        <f>IFERROR(__xludf.DUMMYFUNCTION("""COMPUTED_VALUE"""),"#N/A")</f>
        <v>#N/A</v>
      </c>
      <c r="AA365" s="292" t="str">
        <f>IFERROR(__xludf.DUMMYFUNCTION("""COMPUTED_VALUE"""),"#N/A")</f>
        <v>#N/A</v>
      </c>
      <c r="AB365" s="292" t="str">
        <f>IFERROR(__xludf.DUMMYFUNCTION("""COMPUTED_VALUE"""),"#N/A")</f>
        <v>#N/A</v>
      </c>
      <c r="AC365" s="292" t="str">
        <f>IFERROR(__xludf.DUMMYFUNCTION("""COMPUTED_VALUE"""),"#N/A")</f>
        <v>#N/A</v>
      </c>
      <c r="AD365" s="292" t="str">
        <f>IFERROR(__xludf.DUMMYFUNCTION("""COMPUTED_VALUE"""),"#N/A")</f>
        <v>#N/A</v>
      </c>
      <c r="AE365" s="343" t="str">
        <f>IFERROR(__xludf.DUMMYFUNCTION("""COMPUTED_VALUE"""),"#N/A")</f>
        <v>#N/A</v>
      </c>
      <c r="AF365" s="292" t="str">
        <f>IFERROR(__xludf.DUMMYFUNCTION("""COMPUTED_VALUE"""),"#N/A")</f>
        <v>#N/A</v>
      </c>
      <c r="AG365" s="292"/>
      <c r="AH365" s="292"/>
      <c r="AI365" s="292"/>
      <c r="AJ365" s="292"/>
      <c r="AK365" s="292"/>
      <c r="AL365" s="292"/>
      <c r="AM365" s="292"/>
      <c r="AN365" s="292"/>
      <c r="AO365" s="292"/>
      <c r="AP365" s="292"/>
      <c r="AQ365" s="292"/>
      <c r="AR365" s="292"/>
      <c r="AS365" s="292"/>
      <c r="AT365" s="292"/>
      <c r="AU365" s="292"/>
      <c r="AV365" s="292"/>
      <c r="AW365" s="292"/>
      <c r="AX365" s="292"/>
      <c r="AY365" s="292"/>
      <c r="AZ365" s="292"/>
      <c r="BA365" s="292"/>
      <c r="BB365" s="292"/>
      <c r="BC365" s="292"/>
      <c r="BD365" s="292"/>
      <c r="BE365" s="292"/>
      <c r="BF365" s="292"/>
      <c r="BG365" s="292"/>
      <c r="BH365" s="292"/>
      <c r="BI365" s="292"/>
      <c r="BJ365" s="292"/>
      <c r="BK365" s="292"/>
      <c r="BL365" s="292"/>
      <c r="BM365" s="292"/>
      <c r="BN365" s="292"/>
      <c r="BO365" s="292"/>
      <c r="BP365" s="292"/>
      <c r="BQ365" s="292"/>
      <c r="BR365" s="292"/>
      <c r="BS365" s="292"/>
      <c r="BT365" s="292"/>
      <c r="BU365" s="292"/>
      <c r="BV365" s="292"/>
      <c r="BW365" s="292"/>
    </row>
    <row r="366">
      <c r="A366" s="292"/>
      <c r="B366" s="292" t="str">
        <f>IFERROR(__xludf.DUMMYFUNCTION("""COMPUTED_VALUE"""),"")</f>
        <v/>
      </c>
      <c r="C366" s="292"/>
      <c r="D366" s="292" t="str">
        <f>IFERROR(__xludf.DUMMYFUNCTION("""COMPUTED_VALUE"""),"")</f>
        <v/>
      </c>
      <c r="E366" s="292" t="str">
        <f>IFERROR(__xludf.DUMMYFUNCTION("""COMPUTED_VALUE"""),"")</f>
        <v/>
      </c>
      <c r="F366" s="292"/>
      <c r="G366" s="292" t="str">
        <f>IFERROR(__xludf.DUMMYFUNCTION("""COMPUTED_VALUE"""),"")</f>
        <v/>
      </c>
      <c r="H366" s="292" t="str">
        <f>IFERROR(__xludf.DUMMYFUNCTION("""COMPUTED_VALUE"""),"")</f>
        <v/>
      </c>
      <c r="I366" s="292"/>
      <c r="J366" s="292"/>
      <c r="K366" s="292"/>
      <c r="L366" s="292"/>
      <c r="M366" s="292" t="str">
        <f>IFERROR(__xludf.DUMMYFUNCTION("""COMPUTED_VALUE"""),"")</f>
        <v/>
      </c>
      <c r="N366" s="292"/>
      <c r="O366" s="292"/>
      <c r="P366" s="292"/>
      <c r="Q366" s="292"/>
      <c r="R366" s="292"/>
      <c r="S366" s="292"/>
      <c r="T366" s="292"/>
      <c r="U366" s="292"/>
      <c r="V366" s="292"/>
      <c r="W366" s="292"/>
      <c r="X366" s="292" t="str">
        <f>IFERROR(__xludf.DUMMYFUNCTION("""COMPUTED_VALUE"""),"#N/A")</f>
        <v>#N/A</v>
      </c>
      <c r="Y366" s="344" t="str">
        <f>IFERROR(__xludf.DUMMYFUNCTION("""COMPUTED_VALUE"""),"#N/A")</f>
        <v>#N/A</v>
      </c>
      <c r="Z366" s="343" t="str">
        <f>IFERROR(__xludf.DUMMYFUNCTION("""COMPUTED_VALUE"""),"#N/A")</f>
        <v>#N/A</v>
      </c>
      <c r="AA366" s="292" t="str">
        <f>IFERROR(__xludf.DUMMYFUNCTION("""COMPUTED_VALUE"""),"#N/A")</f>
        <v>#N/A</v>
      </c>
      <c r="AB366" s="292" t="str">
        <f>IFERROR(__xludf.DUMMYFUNCTION("""COMPUTED_VALUE"""),"#N/A")</f>
        <v>#N/A</v>
      </c>
      <c r="AC366" s="292" t="str">
        <f>IFERROR(__xludf.DUMMYFUNCTION("""COMPUTED_VALUE"""),"#N/A")</f>
        <v>#N/A</v>
      </c>
      <c r="AD366" s="292" t="str">
        <f>IFERROR(__xludf.DUMMYFUNCTION("""COMPUTED_VALUE"""),"#N/A")</f>
        <v>#N/A</v>
      </c>
      <c r="AE366" s="343" t="str">
        <f>IFERROR(__xludf.DUMMYFUNCTION("""COMPUTED_VALUE"""),"#N/A")</f>
        <v>#N/A</v>
      </c>
      <c r="AF366" s="292" t="str">
        <f>IFERROR(__xludf.DUMMYFUNCTION("""COMPUTED_VALUE"""),"#N/A")</f>
        <v>#N/A</v>
      </c>
      <c r="AG366" s="292"/>
      <c r="AH366" s="292"/>
      <c r="AI366" s="292"/>
      <c r="AJ366" s="292"/>
      <c r="AK366" s="292"/>
      <c r="AL366" s="292"/>
      <c r="AM366" s="292"/>
      <c r="AN366" s="292"/>
      <c r="AO366" s="292"/>
      <c r="AP366" s="292"/>
      <c r="AQ366" s="292"/>
      <c r="AR366" s="292"/>
      <c r="AS366" s="292"/>
      <c r="AT366" s="292"/>
      <c r="AU366" s="292"/>
      <c r="AV366" s="292"/>
      <c r="AW366" s="292"/>
      <c r="AX366" s="292"/>
      <c r="AY366" s="292"/>
      <c r="AZ366" s="292"/>
      <c r="BA366" s="292"/>
      <c r="BB366" s="292"/>
      <c r="BC366" s="292"/>
      <c r="BD366" s="292"/>
      <c r="BE366" s="292"/>
      <c r="BF366" s="292"/>
      <c r="BG366" s="292"/>
      <c r="BH366" s="292"/>
      <c r="BI366" s="292"/>
      <c r="BJ366" s="292"/>
      <c r="BK366" s="292"/>
      <c r="BL366" s="292"/>
      <c r="BM366" s="292"/>
      <c r="BN366" s="292"/>
      <c r="BO366" s="292"/>
      <c r="BP366" s="292"/>
      <c r="BQ366" s="292"/>
      <c r="BR366" s="292"/>
      <c r="BS366" s="292"/>
      <c r="BT366" s="292"/>
      <c r="BU366" s="292"/>
      <c r="BV366" s="292"/>
      <c r="BW366" s="292"/>
    </row>
    <row r="367">
      <c r="A367" s="292"/>
      <c r="B367" s="292" t="str">
        <f>IFERROR(__xludf.DUMMYFUNCTION("""COMPUTED_VALUE"""),"")</f>
        <v/>
      </c>
      <c r="C367" s="292"/>
      <c r="D367" s="292" t="str">
        <f>IFERROR(__xludf.DUMMYFUNCTION("""COMPUTED_VALUE"""),"")</f>
        <v/>
      </c>
      <c r="E367" s="292" t="str">
        <f>IFERROR(__xludf.DUMMYFUNCTION("""COMPUTED_VALUE"""),"")</f>
        <v/>
      </c>
      <c r="F367" s="292"/>
      <c r="G367" s="292" t="str">
        <f>IFERROR(__xludf.DUMMYFUNCTION("""COMPUTED_VALUE"""),"")</f>
        <v/>
      </c>
      <c r="H367" s="292" t="str">
        <f>IFERROR(__xludf.DUMMYFUNCTION("""COMPUTED_VALUE"""),"")</f>
        <v/>
      </c>
      <c r="I367" s="292"/>
      <c r="J367" s="292"/>
      <c r="K367" s="292"/>
      <c r="L367" s="292"/>
      <c r="M367" s="292" t="str">
        <f>IFERROR(__xludf.DUMMYFUNCTION("""COMPUTED_VALUE"""),"")</f>
        <v/>
      </c>
      <c r="N367" s="292"/>
      <c r="O367" s="292"/>
      <c r="P367" s="292"/>
      <c r="Q367" s="292"/>
      <c r="R367" s="292"/>
      <c r="S367" s="292"/>
      <c r="T367" s="292"/>
      <c r="U367" s="292"/>
      <c r="V367" s="292"/>
      <c r="W367" s="292"/>
      <c r="X367" s="292" t="str">
        <f>IFERROR(__xludf.DUMMYFUNCTION("""COMPUTED_VALUE"""),"#N/A")</f>
        <v>#N/A</v>
      </c>
      <c r="Y367" s="344" t="str">
        <f>IFERROR(__xludf.DUMMYFUNCTION("""COMPUTED_VALUE"""),"#N/A")</f>
        <v>#N/A</v>
      </c>
      <c r="Z367" s="343" t="str">
        <f>IFERROR(__xludf.DUMMYFUNCTION("""COMPUTED_VALUE"""),"#N/A")</f>
        <v>#N/A</v>
      </c>
      <c r="AA367" s="292" t="str">
        <f>IFERROR(__xludf.DUMMYFUNCTION("""COMPUTED_VALUE"""),"#N/A")</f>
        <v>#N/A</v>
      </c>
      <c r="AB367" s="292" t="str">
        <f>IFERROR(__xludf.DUMMYFUNCTION("""COMPUTED_VALUE"""),"#N/A")</f>
        <v>#N/A</v>
      </c>
      <c r="AC367" s="292" t="str">
        <f>IFERROR(__xludf.DUMMYFUNCTION("""COMPUTED_VALUE"""),"#N/A")</f>
        <v>#N/A</v>
      </c>
      <c r="AD367" s="292" t="str">
        <f>IFERROR(__xludf.DUMMYFUNCTION("""COMPUTED_VALUE"""),"#N/A")</f>
        <v>#N/A</v>
      </c>
      <c r="AE367" s="343" t="str">
        <f>IFERROR(__xludf.DUMMYFUNCTION("""COMPUTED_VALUE"""),"#N/A")</f>
        <v>#N/A</v>
      </c>
      <c r="AF367" s="292" t="str">
        <f>IFERROR(__xludf.DUMMYFUNCTION("""COMPUTED_VALUE"""),"#N/A")</f>
        <v>#N/A</v>
      </c>
      <c r="AG367" s="292"/>
      <c r="AH367" s="292"/>
      <c r="AI367" s="292"/>
      <c r="AJ367" s="292"/>
      <c r="AK367" s="292"/>
      <c r="AL367" s="292"/>
      <c r="AM367" s="292"/>
      <c r="AN367" s="292"/>
      <c r="AO367" s="292"/>
      <c r="AP367" s="292"/>
      <c r="AQ367" s="292"/>
      <c r="AR367" s="292"/>
      <c r="AS367" s="292"/>
      <c r="AT367" s="292"/>
      <c r="AU367" s="292"/>
      <c r="AV367" s="292"/>
      <c r="AW367" s="292"/>
      <c r="AX367" s="292"/>
      <c r="AY367" s="292"/>
      <c r="AZ367" s="292"/>
      <c r="BA367" s="292"/>
      <c r="BB367" s="292"/>
      <c r="BC367" s="292"/>
      <c r="BD367" s="292"/>
      <c r="BE367" s="292"/>
      <c r="BF367" s="292"/>
      <c r="BG367" s="292"/>
      <c r="BH367" s="292"/>
      <c r="BI367" s="292"/>
      <c r="BJ367" s="292"/>
      <c r="BK367" s="292"/>
      <c r="BL367" s="292"/>
      <c r="BM367" s="292"/>
      <c r="BN367" s="292"/>
      <c r="BO367" s="292"/>
      <c r="BP367" s="292"/>
      <c r="BQ367" s="292"/>
      <c r="BR367" s="292"/>
      <c r="BS367" s="292"/>
      <c r="BT367" s="292"/>
      <c r="BU367" s="292"/>
      <c r="BV367" s="292"/>
      <c r="BW367" s="292"/>
    </row>
    <row r="368">
      <c r="A368" s="292"/>
      <c r="B368" s="292" t="str">
        <f>IFERROR(__xludf.DUMMYFUNCTION("""COMPUTED_VALUE"""),"")</f>
        <v/>
      </c>
      <c r="C368" s="292"/>
      <c r="D368" s="292" t="str">
        <f>IFERROR(__xludf.DUMMYFUNCTION("""COMPUTED_VALUE"""),"")</f>
        <v/>
      </c>
      <c r="E368" s="292" t="str">
        <f>IFERROR(__xludf.DUMMYFUNCTION("""COMPUTED_VALUE"""),"")</f>
        <v/>
      </c>
      <c r="F368" s="292"/>
      <c r="G368" s="292" t="str">
        <f>IFERROR(__xludf.DUMMYFUNCTION("""COMPUTED_VALUE"""),"")</f>
        <v/>
      </c>
      <c r="H368" s="292" t="str">
        <f>IFERROR(__xludf.DUMMYFUNCTION("""COMPUTED_VALUE"""),"")</f>
        <v/>
      </c>
      <c r="I368" s="292"/>
      <c r="J368" s="292"/>
      <c r="K368" s="292"/>
      <c r="L368" s="292"/>
      <c r="M368" s="292" t="str">
        <f>IFERROR(__xludf.DUMMYFUNCTION("""COMPUTED_VALUE"""),"")</f>
        <v/>
      </c>
      <c r="N368" s="292"/>
      <c r="O368" s="292"/>
      <c r="P368" s="292"/>
      <c r="Q368" s="292"/>
      <c r="R368" s="292"/>
      <c r="S368" s="292"/>
      <c r="T368" s="292"/>
      <c r="U368" s="292"/>
      <c r="V368" s="292"/>
      <c r="W368" s="292"/>
      <c r="X368" s="292" t="str">
        <f>IFERROR(__xludf.DUMMYFUNCTION("""COMPUTED_VALUE"""),"#N/A")</f>
        <v>#N/A</v>
      </c>
      <c r="Y368" s="344" t="str">
        <f>IFERROR(__xludf.DUMMYFUNCTION("""COMPUTED_VALUE"""),"#N/A")</f>
        <v>#N/A</v>
      </c>
      <c r="Z368" s="343" t="str">
        <f>IFERROR(__xludf.DUMMYFUNCTION("""COMPUTED_VALUE"""),"#N/A")</f>
        <v>#N/A</v>
      </c>
      <c r="AA368" s="292" t="str">
        <f>IFERROR(__xludf.DUMMYFUNCTION("""COMPUTED_VALUE"""),"#N/A")</f>
        <v>#N/A</v>
      </c>
      <c r="AB368" s="292" t="str">
        <f>IFERROR(__xludf.DUMMYFUNCTION("""COMPUTED_VALUE"""),"#N/A")</f>
        <v>#N/A</v>
      </c>
      <c r="AC368" s="292" t="str">
        <f>IFERROR(__xludf.DUMMYFUNCTION("""COMPUTED_VALUE"""),"#N/A")</f>
        <v>#N/A</v>
      </c>
      <c r="AD368" s="292" t="str">
        <f>IFERROR(__xludf.DUMMYFUNCTION("""COMPUTED_VALUE"""),"#N/A")</f>
        <v>#N/A</v>
      </c>
      <c r="AE368" s="343" t="str">
        <f>IFERROR(__xludf.DUMMYFUNCTION("""COMPUTED_VALUE"""),"#N/A")</f>
        <v>#N/A</v>
      </c>
      <c r="AF368" s="292" t="str">
        <f>IFERROR(__xludf.DUMMYFUNCTION("""COMPUTED_VALUE"""),"#N/A")</f>
        <v>#N/A</v>
      </c>
      <c r="AG368" s="292"/>
      <c r="AH368" s="292"/>
      <c r="AI368" s="292"/>
      <c r="AJ368" s="292"/>
      <c r="AK368" s="292"/>
      <c r="AL368" s="292"/>
      <c r="AM368" s="292"/>
      <c r="AN368" s="292"/>
      <c r="AO368" s="292"/>
      <c r="AP368" s="292"/>
      <c r="AQ368" s="292"/>
      <c r="AR368" s="292"/>
      <c r="AS368" s="292"/>
      <c r="AT368" s="292"/>
      <c r="AU368" s="292"/>
      <c r="AV368" s="292"/>
      <c r="AW368" s="292"/>
      <c r="AX368" s="292"/>
      <c r="AY368" s="292"/>
      <c r="AZ368" s="292"/>
      <c r="BA368" s="292"/>
      <c r="BB368" s="292"/>
      <c r="BC368" s="292"/>
      <c r="BD368" s="292"/>
      <c r="BE368" s="292"/>
      <c r="BF368" s="292"/>
      <c r="BG368" s="292"/>
      <c r="BH368" s="292"/>
      <c r="BI368" s="292"/>
      <c r="BJ368" s="292"/>
      <c r="BK368" s="292"/>
      <c r="BL368" s="292"/>
      <c r="BM368" s="292"/>
      <c r="BN368" s="292"/>
      <c r="BO368" s="292"/>
      <c r="BP368" s="292"/>
      <c r="BQ368" s="292"/>
      <c r="BR368" s="292"/>
      <c r="BS368" s="292"/>
      <c r="BT368" s="292"/>
      <c r="BU368" s="292"/>
      <c r="BV368" s="292"/>
      <c r="BW368" s="292"/>
    </row>
    <row r="369">
      <c r="A369" s="292"/>
      <c r="B369" s="292" t="str">
        <f>IFERROR(__xludf.DUMMYFUNCTION("""COMPUTED_VALUE"""),"")</f>
        <v/>
      </c>
      <c r="C369" s="292"/>
      <c r="D369" s="292" t="str">
        <f>IFERROR(__xludf.DUMMYFUNCTION("""COMPUTED_VALUE"""),"")</f>
        <v/>
      </c>
      <c r="E369" s="292" t="str">
        <f>IFERROR(__xludf.DUMMYFUNCTION("""COMPUTED_VALUE"""),"")</f>
        <v/>
      </c>
      <c r="F369" s="292"/>
      <c r="G369" s="292" t="str">
        <f>IFERROR(__xludf.DUMMYFUNCTION("""COMPUTED_VALUE"""),"")</f>
        <v/>
      </c>
      <c r="H369" s="292" t="str">
        <f>IFERROR(__xludf.DUMMYFUNCTION("""COMPUTED_VALUE"""),"")</f>
        <v/>
      </c>
      <c r="I369" s="292"/>
      <c r="J369" s="292"/>
      <c r="K369" s="292"/>
      <c r="L369" s="292"/>
      <c r="M369" s="292" t="str">
        <f>IFERROR(__xludf.DUMMYFUNCTION("""COMPUTED_VALUE"""),"")</f>
        <v/>
      </c>
      <c r="N369" s="292"/>
      <c r="O369" s="292"/>
      <c r="P369" s="292"/>
      <c r="Q369" s="292"/>
      <c r="R369" s="292"/>
      <c r="S369" s="292"/>
      <c r="T369" s="292"/>
      <c r="U369" s="292"/>
      <c r="V369" s="292"/>
      <c r="W369" s="292"/>
      <c r="X369" s="292" t="str">
        <f>IFERROR(__xludf.DUMMYFUNCTION("""COMPUTED_VALUE"""),"#N/A")</f>
        <v>#N/A</v>
      </c>
      <c r="Y369" s="344" t="str">
        <f>IFERROR(__xludf.DUMMYFUNCTION("""COMPUTED_VALUE"""),"#N/A")</f>
        <v>#N/A</v>
      </c>
      <c r="Z369" s="343" t="str">
        <f>IFERROR(__xludf.DUMMYFUNCTION("""COMPUTED_VALUE"""),"#N/A")</f>
        <v>#N/A</v>
      </c>
      <c r="AA369" s="292" t="str">
        <f>IFERROR(__xludf.DUMMYFUNCTION("""COMPUTED_VALUE"""),"#N/A")</f>
        <v>#N/A</v>
      </c>
      <c r="AB369" s="292" t="str">
        <f>IFERROR(__xludf.DUMMYFUNCTION("""COMPUTED_VALUE"""),"#N/A")</f>
        <v>#N/A</v>
      </c>
      <c r="AC369" s="292" t="str">
        <f>IFERROR(__xludf.DUMMYFUNCTION("""COMPUTED_VALUE"""),"#N/A")</f>
        <v>#N/A</v>
      </c>
      <c r="AD369" s="292" t="str">
        <f>IFERROR(__xludf.DUMMYFUNCTION("""COMPUTED_VALUE"""),"#N/A")</f>
        <v>#N/A</v>
      </c>
      <c r="AE369" s="343" t="str">
        <f>IFERROR(__xludf.DUMMYFUNCTION("""COMPUTED_VALUE"""),"#N/A")</f>
        <v>#N/A</v>
      </c>
      <c r="AF369" s="292" t="str">
        <f>IFERROR(__xludf.DUMMYFUNCTION("""COMPUTED_VALUE"""),"#N/A")</f>
        <v>#N/A</v>
      </c>
      <c r="AG369" s="292"/>
      <c r="AH369" s="292"/>
      <c r="AI369" s="292"/>
      <c r="AJ369" s="292"/>
      <c r="AK369" s="292"/>
      <c r="AL369" s="292"/>
      <c r="AM369" s="292"/>
      <c r="AN369" s="292"/>
      <c r="AO369" s="292"/>
      <c r="AP369" s="292"/>
      <c r="AQ369" s="292"/>
      <c r="AR369" s="292"/>
      <c r="AS369" s="292"/>
      <c r="AT369" s="292"/>
      <c r="AU369" s="292"/>
      <c r="AV369" s="292"/>
      <c r="AW369" s="292"/>
      <c r="AX369" s="292"/>
      <c r="AY369" s="292"/>
      <c r="AZ369" s="292"/>
      <c r="BA369" s="292"/>
      <c r="BB369" s="292"/>
      <c r="BC369" s="292"/>
      <c r="BD369" s="292"/>
      <c r="BE369" s="292"/>
      <c r="BF369" s="292"/>
      <c r="BG369" s="292"/>
      <c r="BH369" s="292"/>
      <c r="BI369" s="292"/>
      <c r="BJ369" s="292"/>
      <c r="BK369" s="292"/>
      <c r="BL369" s="292"/>
      <c r="BM369" s="292"/>
      <c r="BN369" s="292"/>
      <c r="BO369" s="292"/>
      <c r="BP369" s="292"/>
      <c r="BQ369" s="292"/>
      <c r="BR369" s="292"/>
      <c r="BS369" s="292"/>
      <c r="BT369" s="292"/>
      <c r="BU369" s="292"/>
      <c r="BV369" s="292"/>
      <c r="BW369" s="292"/>
    </row>
    <row r="370">
      <c r="A370" s="292"/>
      <c r="B370" s="292" t="str">
        <f>IFERROR(__xludf.DUMMYFUNCTION("""COMPUTED_VALUE"""),"")</f>
        <v/>
      </c>
      <c r="C370" s="292"/>
      <c r="D370" s="292" t="str">
        <f>IFERROR(__xludf.DUMMYFUNCTION("""COMPUTED_VALUE"""),"")</f>
        <v/>
      </c>
      <c r="E370" s="292" t="str">
        <f>IFERROR(__xludf.DUMMYFUNCTION("""COMPUTED_VALUE"""),"")</f>
        <v/>
      </c>
      <c r="F370" s="292"/>
      <c r="G370" s="292" t="str">
        <f>IFERROR(__xludf.DUMMYFUNCTION("""COMPUTED_VALUE"""),"")</f>
        <v/>
      </c>
      <c r="H370" s="292" t="str">
        <f>IFERROR(__xludf.DUMMYFUNCTION("""COMPUTED_VALUE"""),"")</f>
        <v/>
      </c>
      <c r="I370" s="292"/>
      <c r="J370" s="292"/>
      <c r="K370" s="292"/>
      <c r="L370" s="292"/>
      <c r="M370" s="292" t="str">
        <f>IFERROR(__xludf.DUMMYFUNCTION("""COMPUTED_VALUE"""),"")</f>
        <v/>
      </c>
      <c r="N370" s="292"/>
      <c r="O370" s="292"/>
      <c r="P370" s="292"/>
      <c r="Q370" s="292"/>
      <c r="R370" s="292"/>
      <c r="S370" s="292"/>
      <c r="T370" s="292"/>
      <c r="U370" s="292"/>
      <c r="V370" s="292"/>
      <c r="W370" s="292"/>
      <c r="X370" s="292" t="str">
        <f>IFERROR(__xludf.DUMMYFUNCTION("""COMPUTED_VALUE"""),"#N/A")</f>
        <v>#N/A</v>
      </c>
      <c r="Y370" s="344" t="str">
        <f>IFERROR(__xludf.DUMMYFUNCTION("""COMPUTED_VALUE"""),"#N/A")</f>
        <v>#N/A</v>
      </c>
      <c r="Z370" s="343" t="str">
        <f>IFERROR(__xludf.DUMMYFUNCTION("""COMPUTED_VALUE"""),"#N/A")</f>
        <v>#N/A</v>
      </c>
      <c r="AA370" s="292" t="str">
        <f>IFERROR(__xludf.DUMMYFUNCTION("""COMPUTED_VALUE"""),"#N/A")</f>
        <v>#N/A</v>
      </c>
      <c r="AB370" s="292" t="str">
        <f>IFERROR(__xludf.DUMMYFUNCTION("""COMPUTED_VALUE"""),"#N/A")</f>
        <v>#N/A</v>
      </c>
      <c r="AC370" s="292" t="str">
        <f>IFERROR(__xludf.DUMMYFUNCTION("""COMPUTED_VALUE"""),"#N/A")</f>
        <v>#N/A</v>
      </c>
      <c r="AD370" s="292" t="str">
        <f>IFERROR(__xludf.DUMMYFUNCTION("""COMPUTED_VALUE"""),"#N/A")</f>
        <v>#N/A</v>
      </c>
      <c r="AE370" s="343" t="str">
        <f>IFERROR(__xludf.DUMMYFUNCTION("""COMPUTED_VALUE"""),"#N/A")</f>
        <v>#N/A</v>
      </c>
      <c r="AF370" s="292" t="str">
        <f>IFERROR(__xludf.DUMMYFUNCTION("""COMPUTED_VALUE"""),"#N/A")</f>
        <v>#N/A</v>
      </c>
      <c r="AG370" s="292"/>
      <c r="AH370" s="292"/>
      <c r="AI370" s="292"/>
      <c r="AJ370" s="292"/>
      <c r="AK370" s="292"/>
      <c r="AL370" s="292"/>
      <c r="AM370" s="292"/>
      <c r="AN370" s="292"/>
      <c r="AO370" s="292"/>
      <c r="AP370" s="292"/>
      <c r="AQ370" s="292"/>
      <c r="AR370" s="292"/>
      <c r="AS370" s="292"/>
      <c r="AT370" s="292"/>
      <c r="AU370" s="292"/>
      <c r="AV370" s="292"/>
      <c r="AW370" s="292"/>
      <c r="AX370" s="292"/>
      <c r="AY370" s="292"/>
      <c r="AZ370" s="292"/>
      <c r="BA370" s="292"/>
      <c r="BB370" s="292"/>
      <c r="BC370" s="292"/>
      <c r="BD370" s="292"/>
      <c r="BE370" s="292"/>
      <c r="BF370" s="292"/>
      <c r="BG370" s="292"/>
      <c r="BH370" s="292"/>
      <c r="BI370" s="292"/>
      <c r="BJ370" s="292"/>
      <c r="BK370" s="292"/>
      <c r="BL370" s="292"/>
      <c r="BM370" s="292"/>
      <c r="BN370" s="292"/>
      <c r="BO370" s="292"/>
      <c r="BP370" s="292"/>
      <c r="BQ370" s="292"/>
      <c r="BR370" s="292"/>
      <c r="BS370" s="292"/>
      <c r="BT370" s="292"/>
      <c r="BU370" s="292"/>
      <c r="BV370" s="292"/>
      <c r="BW370" s="292"/>
    </row>
    <row r="371">
      <c r="A371" s="292"/>
      <c r="B371" s="292" t="str">
        <f>IFERROR(__xludf.DUMMYFUNCTION("""COMPUTED_VALUE"""),"")</f>
        <v/>
      </c>
      <c r="C371" s="292"/>
      <c r="D371" s="292" t="str">
        <f>IFERROR(__xludf.DUMMYFUNCTION("""COMPUTED_VALUE"""),"")</f>
        <v/>
      </c>
      <c r="E371" s="292" t="str">
        <f>IFERROR(__xludf.DUMMYFUNCTION("""COMPUTED_VALUE"""),"")</f>
        <v/>
      </c>
      <c r="F371" s="292"/>
      <c r="G371" s="292" t="str">
        <f>IFERROR(__xludf.DUMMYFUNCTION("""COMPUTED_VALUE"""),"")</f>
        <v/>
      </c>
      <c r="H371" s="292" t="str">
        <f>IFERROR(__xludf.DUMMYFUNCTION("""COMPUTED_VALUE"""),"")</f>
        <v/>
      </c>
      <c r="I371" s="292"/>
      <c r="J371" s="292"/>
      <c r="K371" s="292"/>
      <c r="L371" s="292"/>
      <c r="M371" s="292" t="str">
        <f>IFERROR(__xludf.DUMMYFUNCTION("""COMPUTED_VALUE"""),"")</f>
        <v/>
      </c>
      <c r="N371" s="292"/>
      <c r="O371" s="292"/>
      <c r="P371" s="292"/>
      <c r="Q371" s="292"/>
      <c r="R371" s="292"/>
      <c r="S371" s="292"/>
      <c r="T371" s="292"/>
      <c r="U371" s="292"/>
      <c r="V371" s="292"/>
      <c r="W371" s="292"/>
      <c r="X371" s="292" t="str">
        <f>IFERROR(__xludf.DUMMYFUNCTION("""COMPUTED_VALUE"""),"#N/A")</f>
        <v>#N/A</v>
      </c>
      <c r="Y371" s="344" t="str">
        <f>IFERROR(__xludf.DUMMYFUNCTION("""COMPUTED_VALUE"""),"#N/A")</f>
        <v>#N/A</v>
      </c>
      <c r="Z371" s="343" t="str">
        <f>IFERROR(__xludf.DUMMYFUNCTION("""COMPUTED_VALUE"""),"#N/A")</f>
        <v>#N/A</v>
      </c>
      <c r="AA371" s="292" t="str">
        <f>IFERROR(__xludf.DUMMYFUNCTION("""COMPUTED_VALUE"""),"#N/A")</f>
        <v>#N/A</v>
      </c>
      <c r="AB371" s="292" t="str">
        <f>IFERROR(__xludf.DUMMYFUNCTION("""COMPUTED_VALUE"""),"#N/A")</f>
        <v>#N/A</v>
      </c>
      <c r="AC371" s="292" t="str">
        <f>IFERROR(__xludf.DUMMYFUNCTION("""COMPUTED_VALUE"""),"#N/A")</f>
        <v>#N/A</v>
      </c>
      <c r="AD371" s="292" t="str">
        <f>IFERROR(__xludf.DUMMYFUNCTION("""COMPUTED_VALUE"""),"#N/A")</f>
        <v>#N/A</v>
      </c>
      <c r="AE371" s="343" t="str">
        <f>IFERROR(__xludf.DUMMYFUNCTION("""COMPUTED_VALUE"""),"#N/A")</f>
        <v>#N/A</v>
      </c>
      <c r="AF371" s="292" t="str">
        <f>IFERROR(__xludf.DUMMYFUNCTION("""COMPUTED_VALUE"""),"#N/A")</f>
        <v>#N/A</v>
      </c>
      <c r="AG371" s="292"/>
      <c r="AH371" s="292"/>
      <c r="AI371" s="292"/>
      <c r="AJ371" s="292"/>
      <c r="AK371" s="292"/>
      <c r="AL371" s="292"/>
      <c r="AM371" s="292"/>
      <c r="AN371" s="292"/>
      <c r="AO371" s="292"/>
      <c r="AP371" s="292"/>
      <c r="AQ371" s="292"/>
      <c r="AR371" s="292"/>
      <c r="AS371" s="292"/>
      <c r="AT371" s="292"/>
      <c r="AU371" s="292"/>
      <c r="AV371" s="292"/>
      <c r="AW371" s="292"/>
      <c r="AX371" s="292"/>
      <c r="AY371" s="292"/>
      <c r="AZ371" s="292"/>
      <c r="BA371" s="292"/>
      <c r="BB371" s="292"/>
      <c r="BC371" s="292"/>
      <c r="BD371" s="292"/>
      <c r="BE371" s="292"/>
      <c r="BF371" s="292"/>
      <c r="BG371" s="292"/>
      <c r="BH371" s="292"/>
      <c r="BI371" s="292"/>
      <c r="BJ371" s="292"/>
      <c r="BK371" s="292"/>
      <c r="BL371" s="292"/>
      <c r="BM371" s="292"/>
      <c r="BN371" s="292"/>
      <c r="BO371" s="292"/>
      <c r="BP371" s="292"/>
      <c r="BQ371" s="292"/>
      <c r="BR371" s="292"/>
      <c r="BS371" s="292"/>
      <c r="BT371" s="292"/>
      <c r="BU371" s="292"/>
      <c r="BV371" s="292"/>
      <c r="BW371" s="292"/>
    </row>
    <row r="372">
      <c r="A372" s="292"/>
      <c r="B372" s="292" t="str">
        <f>IFERROR(__xludf.DUMMYFUNCTION("""COMPUTED_VALUE"""),"")</f>
        <v/>
      </c>
      <c r="C372" s="292"/>
      <c r="D372" s="292" t="str">
        <f>IFERROR(__xludf.DUMMYFUNCTION("""COMPUTED_VALUE"""),"")</f>
        <v/>
      </c>
      <c r="E372" s="292" t="str">
        <f>IFERROR(__xludf.DUMMYFUNCTION("""COMPUTED_VALUE"""),"")</f>
        <v/>
      </c>
      <c r="F372" s="292"/>
      <c r="G372" s="292" t="str">
        <f>IFERROR(__xludf.DUMMYFUNCTION("""COMPUTED_VALUE"""),"")</f>
        <v/>
      </c>
      <c r="H372" s="292" t="str">
        <f>IFERROR(__xludf.DUMMYFUNCTION("""COMPUTED_VALUE"""),"")</f>
        <v/>
      </c>
      <c r="I372" s="292"/>
      <c r="J372" s="292"/>
      <c r="K372" s="292"/>
      <c r="L372" s="292"/>
      <c r="M372" s="292" t="str">
        <f>IFERROR(__xludf.DUMMYFUNCTION("""COMPUTED_VALUE"""),"")</f>
        <v/>
      </c>
      <c r="N372" s="292"/>
      <c r="O372" s="292"/>
      <c r="P372" s="292"/>
      <c r="Q372" s="292"/>
      <c r="R372" s="292"/>
      <c r="S372" s="292"/>
      <c r="T372" s="292"/>
      <c r="U372" s="292"/>
      <c r="V372" s="292"/>
      <c r="W372" s="292"/>
      <c r="X372" s="292" t="str">
        <f>IFERROR(__xludf.DUMMYFUNCTION("""COMPUTED_VALUE"""),"#N/A")</f>
        <v>#N/A</v>
      </c>
      <c r="Y372" s="344" t="str">
        <f>IFERROR(__xludf.DUMMYFUNCTION("""COMPUTED_VALUE"""),"#N/A")</f>
        <v>#N/A</v>
      </c>
      <c r="Z372" s="343" t="str">
        <f>IFERROR(__xludf.DUMMYFUNCTION("""COMPUTED_VALUE"""),"#N/A")</f>
        <v>#N/A</v>
      </c>
      <c r="AA372" s="292" t="str">
        <f>IFERROR(__xludf.DUMMYFUNCTION("""COMPUTED_VALUE"""),"#N/A")</f>
        <v>#N/A</v>
      </c>
      <c r="AB372" s="292" t="str">
        <f>IFERROR(__xludf.DUMMYFUNCTION("""COMPUTED_VALUE"""),"#N/A")</f>
        <v>#N/A</v>
      </c>
      <c r="AC372" s="292" t="str">
        <f>IFERROR(__xludf.DUMMYFUNCTION("""COMPUTED_VALUE"""),"#N/A")</f>
        <v>#N/A</v>
      </c>
      <c r="AD372" s="292" t="str">
        <f>IFERROR(__xludf.DUMMYFUNCTION("""COMPUTED_VALUE"""),"#N/A")</f>
        <v>#N/A</v>
      </c>
      <c r="AE372" s="343" t="str">
        <f>IFERROR(__xludf.DUMMYFUNCTION("""COMPUTED_VALUE"""),"#N/A")</f>
        <v>#N/A</v>
      </c>
      <c r="AF372" s="292" t="str">
        <f>IFERROR(__xludf.DUMMYFUNCTION("""COMPUTED_VALUE"""),"#N/A")</f>
        <v>#N/A</v>
      </c>
      <c r="AG372" s="292"/>
      <c r="AH372" s="292"/>
      <c r="AI372" s="292"/>
      <c r="AJ372" s="292"/>
      <c r="AK372" s="292"/>
      <c r="AL372" s="292"/>
      <c r="AM372" s="292"/>
      <c r="AN372" s="292"/>
      <c r="AO372" s="292"/>
      <c r="AP372" s="292"/>
      <c r="AQ372" s="292"/>
      <c r="AR372" s="292"/>
      <c r="AS372" s="292"/>
      <c r="AT372" s="292"/>
      <c r="AU372" s="292"/>
      <c r="AV372" s="292"/>
      <c r="AW372" s="292"/>
      <c r="AX372" s="292"/>
      <c r="AY372" s="292"/>
      <c r="AZ372" s="292"/>
      <c r="BA372" s="292"/>
      <c r="BB372" s="292"/>
      <c r="BC372" s="292"/>
      <c r="BD372" s="292"/>
      <c r="BE372" s="292"/>
      <c r="BF372" s="292"/>
      <c r="BG372" s="292"/>
      <c r="BH372" s="292"/>
      <c r="BI372" s="292"/>
      <c r="BJ372" s="292"/>
      <c r="BK372" s="292"/>
      <c r="BL372" s="292"/>
      <c r="BM372" s="292"/>
      <c r="BN372" s="292"/>
      <c r="BO372" s="292"/>
      <c r="BP372" s="292"/>
      <c r="BQ372" s="292"/>
      <c r="BR372" s="292"/>
      <c r="BS372" s="292"/>
      <c r="BT372" s="292"/>
      <c r="BU372" s="292"/>
      <c r="BV372" s="292"/>
      <c r="BW372" s="292"/>
    </row>
    <row r="373">
      <c r="A373" s="292"/>
      <c r="B373" s="292" t="str">
        <f>IFERROR(__xludf.DUMMYFUNCTION("""COMPUTED_VALUE"""),"")</f>
        <v/>
      </c>
      <c r="C373" s="292"/>
      <c r="D373" s="292" t="str">
        <f>IFERROR(__xludf.DUMMYFUNCTION("""COMPUTED_VALUE"""),"")</f>
        <v/>
      </c>
      <c r="E373" s="292" t="str">
        <f>IFERROR(__xludf.DUMMYFUNCTION("""COMPUTED_VALUE"""),"")</f>
        <v/>
      </c>
      <c r="F373" s="292"/>
      <c r="G373" s="292" t="str">
        <f>IFERROR(__xludf.DUMMYFUNCTION("""COMPUTED_VALUE"""),"")</f>
        <v/>
      </c>
      <c r="H373" s="292" t="str">
        <f>IFERROR(__xludf.DUMMYFUNCTION("""COMPUTED_VALUE"""),"")</f>
        <v/>
      </c>
      <c r="I373" s="292"/>
      <c r="J373" s="292"/>
      <c r="K373" s="292"/>
      <c r="L373" s="292"/>
      <c r="M373" s="292" t="str">
        <f>IFERROR(__xludf.DUMMYFUNCTION("""COMPUTED_VALUE"""),"")</f>
        <v/>
      </c>
      <c r="N373" s="292"/>
      <c r="O373" s="292"/>
      <c r="P373" s="292"/>
      <c r="Q373" s="292"/>
      <c r="R373" s="292"/>
      <c r="S373" s="292"/>
      <c r="T373" s="292"/>
      <c r="U373" s="292"/>
      <c r="V373" s="292"/>
      <c r="W373" s="292"/>
      <c r="X373" s="292" t="str">
        <f>IFERROR(__xludf.DUMMYFUNCTION("""COMPUTED_VALUE"""),"#N/A")</f>
        <v>#N/A</v>
      </c>
      <c r="Y373" s="344" t="str">
        <f>IFERROR(__xludf.DUMMYFUNCTION("""COMPUTED_VALUE"""),"#N/A")</f>
        <v>#N/A</v>
      </c>
      <c r="Z373" s="343" t="str">
        <f>IFERROR(__xludf.DUMMYFUNCTION("""COMPUTED_VALUE"""),"#N/A")</f>
        <v>#N/A</v>
      </c>
      <c r="AA373" s="292" t="str">
        <f>IFERROR(__xludf.DUMMYFUNCTION("""COMPUTED_VALUE"""),"#N/A")</f>
        <v>#N/A</v>
      </c>
      <c r="AB373" s="292" t="str">
        <f>IFERROR(__xludf.DUMMYFUNCTION("""COMPUTED_VALUE"""),"#N/A")</f>
        <v>#N/A</v>
      </c>
      <c r="AC373" s="292" t="str">
        <f>IFERROR(__xludf.DUMMYFUNCTION("""COMPUTED_VALUE"""),"#N/A")</f>
        <v>#N/A</v>
      </c>
      <c r="AD373" s="292" t="str">
        <f>IFERROR(__xludf.DUMMYFUNCTION("""COMPUTED_VALUE"""),"#N/A")</f>
        <v>#N/A</v>
      </c>
      <c r="AE373" s="343" t="str">
        <f>IFERROR(__xludf.DUMMYFUNCTION("""COMPUTED_VALUE"""),"#N/A")</f>
        <v>#N/A</v>
      </c>
      <c r="AF373" s="292" t="str">
        <f>IFERROR(__xludf.DUMMYFUNCTION("""COMPUTED_VALUE"""),"#N/A")</f>
        <v>#N/A</v>
      </c>
      <c r="AG373" s="292"/>
      <c r="AH373" s="292"/>
      <c r="AI373" s="292"/>
      <c r="AJ373" s="292"/>
      <c r="AK373" s="292"/>
      <c r="AL373" s="292"/>
      <c r="AM373" s="292"/>
      <c r="AN373" s="292"/>
      <c r="AO373" s="292"/>
      <c r="AP373" s="292"/>
      <c r="AQ373" s="292"/>
      <c r="AR373" s="292"/>
      <c r="AS373" s="292"/>
      <c r="AT373" s="292"/>
      <c r="AU373" s="292"/>
      <c r="AV373" s="292"/>
      <c r="AW373" s="292"/>
      <c r="AX373" s="292"/>
      <c r="AY373" s="292"/>
      <c r="AZ373" s="292"/>
      <c r="BA373" s="292"/>
      <c r="BB373" s="292"/>
      <c r="BC373" s="292"/>
      <c r="BD373" s="292"/>
      <c r="BE373" s="292"/>
      <c r="BF373" s="292"/>
      <c r="BG373" s="292"/>
      <c r="BH373" s="292"/>
      <c r="BI373" s="292"/>
      <c r="BJ373" s="292"/>
      <c r="BK373" s="292"/>
      <c r="BL373" s="292"/>
      <c r="BM373" s="292"/>
      <c r="BN373" s="292"/>
      <c r="BO373" s="292"/>
      <c r="BP373" s="292"/>
      <c r="BQ373" s="292"/>
      <c r="BR373" s="292"/>
      <c r="BS373" s="292"/>
      <c r="BT373" s="292"/>
      <c r="BU373" s="292"/>
      <c r="BV373" s="292"/>
      <c r="BW373" s="292"/>
    </row>
    <row r="374">
      <c r="A374" s="292"/>
      <c r="B374" s="292" t="str">
        <f>IFERROR(__xludf.DUMMYFUNCTION("""COMPUTED_VALUE"""),"")</f>
        <v/>
      </c>
      <c r="C374" s="292"/>
      <c r="D374" s="292" t="str">
        <f>IFERROR(__xludf.DUMMYFUNCTION("""COMPUTED_VALUE"""),"")</f>
        <v/>
      </c>
      <c r="E374" s="292" t="str">
        <f>IFERROR(__xludf.DUMMYFUNCTION("""COMPUTED_VALUE"""),"")</f>
        <v/>
      </c>
      <c r="F374" s="292"/>
      <c r="G374" s="292" t="str">
        <f>IFERROR(__xludf.DUMMYFUNCTION("""COMPUTED_VALUE"""),"")</f>
        <v/>
      </c>
      <c r="H374" s="292" t="str">
        <f>IFERROR(__xludf.DUMMYFUNCTION("""COMPUTED_VALUE"""),"")</f>
        <v/>
      </c>
      <c r="I374" s="292"/>
      <c r="J374" s="292"/>
      <c r="K374" s="292"/>
      <c r="L374" s="292"/>
      <c r="M374" s="292" t="str">
        <f>IFERROR(__xludf.DUMMYFUNCTION("""COMPUTED_VALUE"""),"")</f>
        <v/>
      </c>
      <c r="N374" s="292"/>
      <c r="O374" s="292"/>
      <c r="P374" s="292"/>
      <c r="Q374" s="292"/>
      <c r="R374" s="292"/>
      <c r="S374" s="292"/>
      <c r="T374" s="292"/>
      <c r="U374" s="292"/>
      <c r="V374" s="292"/>
      <c r="W374" s="292"/>
      <c r="X374" s="292" t="str">
        <f>IFERROR(__xludf.DUMMYFUNCTION("""COMPUTED_VALUE"""),"#N/A")</f>
        <v>#N/A</v>
      </c>
      <c r="Y374" s="344" t="str">
        <f>IFERROR(__xludf.DUMMYFUNCTION("""COMPUTED_VALUE"""),"#N/A")</f>
        <v>#N/A</v>
      </c>
      <c r="Z374" s="343" t="str">
        <f>IFERROR(__xludf.DUMMYFUNCTION("""COMPUTED_VALUE"""),"#N/A")</f>
        <v>#N/A</v>
      </c>
      <c r="AA374" s="292" t="str">
        <f>IFERROR(__xludf.DUMMYFUNCTION("""COMPUTED_VALUE"""),"#N/A")</f>
        <v>#N/A</v>
      </c>
      <c r="AB374" s="292" t="str">
        <f>IFERROR(__xludf.DUMMYFUNCTION("""COMPUTED_VALUE"""),"#N/A")</f>
        <v>#N/A</v>
      </c>
      <c r="AC374" s="292" t="str">
        <f>IFERROR(__xludf.DUMMYFUNCTION("""COMPUTED_VALUE"""),"#N/A")</f>
        <v>#N/A</v>
      </c>
      <c r="AD374" s="292" t="str">
        <f>IFERROR(__xludf.DUMMYFUNCTION("""COMPUTED_VALUE"""),"#N/A")</f>
        <v>#N/A</v>
      </c>
      <c r="AE374" s="343" t="str">
        <f>IFERROR(__xludf.DUMMYFUNCTION("""COMPUTED_VALUE"""),"#N/A")</f>
        <v>#N/A</v>
      </c>
      <c r="AF374" s="292" t="str">
        <f>IFERROR(__xludf.DUMMYFUNCTION("""COMPUTED_VALUE"""),"#N/A")</f>
        <v>#N/A</v>
      </c>
      <c r="AG374" s="292"/>
      <c r="AH374" s="292"/>
      <c r="AI374" s="292"/>
      <c r="AJ374" s="292"/>
      <c r="AK374" s="292"/>
      <c r="AL374" s="292"/>
      <c r="AM374" s="292"/>
      <c r="AN374" s="292"/>
      <c r="AO374" s="292"/>
      <c r="AP374" s="292"/>
      <c r="AQ374" s="292"/>
      <c r="AR374" s="292"/>
      <c r="AS374" s="292"/>
      <c r="AT374" s="292"/>
      <c r="AU374" s="292"/>
      <c r="AV374" s="292"/>
      <c r="AW374" s="292"/>
      <c r="AX374" s="292"/>
      <c r="AY374" s="292"/>
      <c r="AZ374" s="292"/>
      <c r="BA374" s="292"/>
      <c r="BB374" s="292"/>
      <c r="BC374" s="292"/>
      <c r="BD374" s="292"/>
      <c r="BE374" s="292"/>
      <c r="BF374" s="292"/>
      <c r="BG374" s="292"/>
      <c r="BH374" s="292"/>
      <c r="BI374" s="292"/>
      <c r="BJ374" s="292"/>
      <c r="BK374" s="292"/>
      <c r="BL374" s="292"/>
      <c r="BM374" s="292"/>
      <c r="BN374" s="292"/>
      <c r="BO374" s="292"/>
      <c r="BP374" s="292"/>
      <c r="BQ374" s="292"/>
      <c r="BR374" s="292"/>
      <c r="BS374" s="292"/>
      <c r="BT374" s="292"/>
      <c r="BU374" s="292"/>
      <c r="BV374" s="292"/>
      <c r="BW374" s="292"/>
    </row>
    <row r="375">
      <c r="A375" s="292"/>
      <c r="B375" s="292" t="str">
        <f>IFERROR(__xludf.DUMMYFUNCTION("""COMPUTED_VALUE"""),"")</f>
        <v/>
      </c>
      <c r="C375" s="292"/>
      <c r="D375" s="292" t="str">
        <f>IFERROR(__xludf.DUMMYFUNCTION("""COMPUTED_VALUE"""),"")</f>
        <v/>
      </c>
      <c r="E375" s="292" t="str">
        <f>IFERROR(__xludf.DUMMYFUNCTION("""COMPUTED_VALUE"""),"")</f>
        <v/>
      </c>
      <c r="F375" s="292"/>
      <c r="G375" s="292" t="str">
        <f>IFERROR(__xludf.DUMMYFUNCTION("""COMPUTED_VALUE"""),"")</f>
        <v/>
      </c>
      <c r="H375" s="292" t="str">
        <f>IFERROR(__xludf.DUMMYFUNCTION("""COMPUTED_VALUE"""),"")</f>
        <v/>
      </c>
      <c r="I375" s="292"/>
      <c r="J375" s="292"/>
      <c r="K375" s="292"/>
      <c r="L375" s="292"/>
      <c r="M375" s="292" t="str">
        <f>IFERROR(__xludf.DUMMYFUNCTION("""COMPUTED_VALUE"""),"")</f>
        <v/>
      </c>
      <c r="N375" s="292"/>
      <c r="O375" s="292"/>
      <c r="P375" s="292"/>
      <c r="Q375" s="292"/>
      <c r="R375" s="292"/>
      <c r="S375" s="292"/>
      <c r="T375" s="292"/>
      <c r="U375" s="292"/>
      <c r="V375" s="292"/>
      <c r="W375" s="292"/>
      <c r="X375" s="292" t="str">
        <f>IFERROR(__xludf.DUMMYFUNCTION("""COMPUTED_VALUE"""),"#N/A")</f>
        <v>#N/A</v>
      </c>
      <c r="Y375" s="344" t="str">
        <f>IFERROR(__xludf.DUMMYFUNCTION("""COMPUTED_VALUE"""),"#N/A")</f>
        <v>#N/A</v>
      </c>
      <c r="Z375" s="343" t="str">
        <f>IFERROR(__xludf.DUMMYFUNCTION("""COMPUTED_VALUE"""),"#N/A")</f>
        <v>#N/A</v>
      </c>
      <c r="AA375" s="292" t="str">
        <f>IFERROR(__xludf.DUMMYFUNCTION("""COMPUTED_VALUE"""),"#N/A")</f>
        <v>#N/A</v>
      </c>
      <c r="AB375" s="292" t="str">
        <f>IFERROR(__xludf.DUMMYFUNCTION("""COMPUTED_VALUE"""),"#N/A")</f>
        <v>#N/A</v>
      </c>
      <c r="AC375" s="292" t="str">
        <f>IFERROR(__xludf.DUMMYFUNCTION("""COMPUTED_VALUE"""),"#N/A")</f>
        <v>#N/A</v>
      </c>
      <c r="AD375" s="292" t="str">
        <f>IFERROR(__xludf.DUMMYFUNCTION("""COMPUTED_VALUE"""),"#N/A")</f>
        <v>#N/A</v>
      </c>
      <c r="AE375" s="343" t="str">
        <f>IFERROR(__xludf.DUMMYFUNCTION("""COMPUTED_VALUE"""),"#N/A")</f>
        <v>#N/A</v>
      </c>
      <c r="AF375" s="292" t="str">
        <f>IFERROR(__xludf.DUMMYFUNCTION("""COMPUTED_VALUE"""),"#N/A")</f>
        <v>#N/A</v>
      </c>
      <c r="AG375" s="292"/>
      <c r="AH375" s="292"/>
      <c r="AI375" s="292"/>
      <c r="AJ375" s="292"/>
      <c r="AK375" s="292"/>
      <c r="AL375" s="292"/>
      <c r="AM375" s="292"/>
      <c r="AN375" s="292"/>
      <c r="AO375" s="292"/>
      <c r="AP375" s="292"/>
      <c r="AQ375" s="292"/>
      <c r="AR375" s="292"/>
      <c r="AS375" s="292"/>
      <c r="AT375" s="292"/>
      <c r="AU375" s="292"/>
      <c r="AV375" s="292"/>
      <c r="AW375" s="292"/>
      <c r="AX375" s="292"/>
      <c r="AY375" s="292"/>
      <c r="AZ375" s="292"/>
      <c r="BA375" s="292"/>
      <c r="BB375" s="292"/>
      <c r="BC375" s="292"/>
      <c r="BD375" s="292"/>
      <c r="BE375" s="292"/>
      <c r="BF375" s="292"/>
      <c r="BG375" s="292"/>
      <c r="BH375" s="292"/>
      <c r="BI375" s="292"/>
      <c r="BJ375" s="292"/>
      <c r="BK375" s="292"/>
      <c r="BL375" s="292"/>
      <c r="BM375" s="292"/>
      <c r="BN375" s="292"/>
      <c r="BO375" s="292"/>
      <c r="BP375" s="292"/>
      <c r="BQ375" s="292"/>
      <c r="BR375" s="292"/>
      <c r="BS375" s="292"/>
      <c r="BT375" s="292"/>
      <c r="BU375" s="292"/>
      <c r="BV375" s="292"/>
      <c r="BW375" s="292"/>
    </row>
    <row r="376">
      <c r="A376" s="292"/>
      <c r="B376" s="292" t="str">
        <f>IFERROR(__xludf.DUMMYFUNCTION("""COMPUTED_VALUE"""),"")</f>
        <v/>
      </c>
      <c r="C376" s="292"/>
      <c r="D376" s="292" t="str">
        <f>IFERROR(__xludf.DUMMYFUNCTION("""COMPUTED_VALUE"""),"")</f>
        <v/>
      </c>
      <c r="E376" s="292" t="str">
        <f>IFERROR(__xludf.DUMMYFUNCTION("""COMPUTED_VALUE"""),"")</f>
        <v/>
      </c>
      <c r="F376" s="292"/>
      <c r="G376" s="292" t="str">
        <f>IFERROR(__xludf.DUMMYFUNCTION("""COMPUTED_VALUE"""),"")</f>
        <v/>
      </c>
      <c r="H376" s="292" t="str">
        <f>IFERROR(__xludf.DUMMYFUNCTION("""COMPUTED_VALUE"""),"")</f>
        <v/>
      </c>
      <c r="I376" s="292"/>
      <c r="J376" s="292"/>
      <c r="K376" s="292"/>
      <c r="L376" s="292"/>
      <c r="M376" s="292" t="str">
        <f>IFERROR(__xludf.DUMMYFUNCTION("""COMPUTED_VALUE"""),"")</f>
        <v/>
      </c>
      <c r="N376" s="292"/>
      <c r="O376" s="292"/>
      <c r="P376" s="292"/>
      <c r="Q376" s="292"/>
      <c r="R376" s="292"/>
      <c r="S376" s="292"/>
      <c r="T376" s="292"/>
      <c r="U376" s="292"/>
      <c r="V376" s="292"/>
      <c r="W376" s="292"/>
      <c r="X376" s="292" t="str">
        <f>IFERROR(__xludf.DUMMYFUNCTION("""COMPUTED_VALUE"""),"#N/A")</f>
        <v>#N/A</v>
      </c>
      <c r="Y376" s="344" t="str">
        <f>IFERROR(__xludf.DUMMYFUNCTION("""COMPUTED_VALUE"""),"#N/A")</f>
        <v>#N/A</v>
      </c>
      <c r="Z376" s="343" t="str">
        <f>IFERROR(__xludf.DUMMYFUNCTION("""COMPUTED_VALUE"""),"#N/A")</f>
        <v>#N/A</v>
      </c>
      <c r="AA376" s="292" t="str">
        <f>IFERROR(__xludf.DUMMYFUNCTION("""COMPUTED_VALUE"""),"#N/A")</f>
        <v>#N/A</v>
      </c>
      <c r="AB376" s="292" t="str">
        <f>IFERROR(__xludf.DUMMYFUNCTION("""COMPUTED_VALUE"""),"#N/A")</f>
        <v>#N/A</v>
      </c>
      <c r="AC376" s="292" t="str">
        <f>IFERROR(__xludf.DUMMYFUNCTION("""COMPUTED_VALUE"""),"#N/A")</f>
        <v>#N/A</v>
      </c>
      <c r="AD376" s="292" t="str">
        <f>IFERROR(__xludf.DUMMYFUNCTION("""COMPUTED_VALUE"""),"#N/A")</f>
        <v>#N/A</v>
      </c>
      <c r="AE376" s="343" t="str">
        <f>IFERROR(__xludf.DUMMYFUNCTION("""COMPUTED_VALUE"""),"#N/A")</f>
        <v>#N/A</v>
      </c>
      <c r="AF376" s="292" t="str">
        <f>IFERROR(__xludf.DUMMYFUNCTION("""COMPUTED_VALUE"""),"#N/A")</f>
        <v>#N/A</v>
      </c>
      <c r="AG376" s="292"/>
      <c r="AH376" s="292"/>
      <c r="AI376" s="292"/>
      <c r="AJ376" s="292"/>
      <c r="AK376" s="292"/>
      <c r="AL376" s="292"/>
      <c r="AM376" s="292"/>
      <c r="AN376" s="292"/>
      <c r="AO376" s="292"/>
      <c r="AP376" s="292"/>
      <c r="AQ376" s="292"/>
      <c r="AR376" s="292"/>
      <c r="AS376" s="292"/>
      <c r="AT376" s="292"/>
      <c r="AU376" s="292"/>
      <c r="AV376" s="292"/>
      <c r="AW376" s="292"/>
      <c r="AX376" s="292"/>
      <c r="AY376" s="292"/>
      <c r="AZ376" s="292"/>
      <c r="BA376" s="292"/>
      <c r="BB376" s="292"/>
      <c r="BC376" s="292"/>
      <c r="BD376" s="292"/>
      <c r="BE376" s="292"/>
      <c r="BF376" s="292"/>
      <c r="BG376" s="292"/>
      <c r="BH376" s="292"/>
      <c r="BI376" s="292"/>
      <c r="BJ376" s="292"/>
      <c r="BK376" s="292"/>
      <c r="BL376" s="292"/>
      <c r="BM376" s="292"/>
      <c r="BN376" s="292"/>
      <c r="BO376" s="292"/>
      <c r="BP376" s="292"/>
      <c r="BQ376" s="292"/>
      <c r="BR376" s="292"/>
      <c r="BS376" s="292"/>
      <c r="BT376" s="292"/>
      <c r="BU376" s="292"/>
      <c r="BV376" s="292"/>
      <c r="BW376" s="292"/>
    </row>
    <row r="377">
      <c r="A377" s="292"/>
      <c r="B377" s="292" t="str">
        <f>IFERROR(__xludf.DUMMYFUNCTION("""COMPUTED_VALUE"""),"")</f>
        <v/>
      </c>
      <c r="C377" s="292"/>
      <c r="D377" s="292" t="str">
        <f>IFERROR(__xludf.DUMMYFUNCTION("""COMPUTED_VALUE"""),"")</f>
        <v/>
      </c>
      <c r="E377" s="292" t="str">
        <f>IFERROR(__xludf.DUMMYFUNCTION("""COMPUTED_VALUE"""),"")</f>
        <v/>
      </c>
      <c r="F377" s="292"/>
      <c r="G377" s="292" t="str">
        <f>IFERROR(__xludf.DUMMYFUNCTION("""COMPUTED_VALUE"""),"")</f>
        <v/>
      </c>
      <c r="H377" s="292" t="str">
        <f>IFERROR(__xludf.DUMMYFUNCTION("""COMPUTED_VALUE"""),"")</f>
        <v/>
      </c>
      <c r="I377" s="292"/>
      <c r="J377" s="292"/>
      <c r="K377" s="292"/>
      <c r="L377" s="292"/>
      <c r="M377" s="292" t="str">
        <f>IFERROR(__xludf.DUMMYFUNCTION("""COMPUTED_VALUE"""),"")</f>
        <v/>
      </c>
      <c r="N377" s="292"/>
      <c r="O377" s="292"/>
      <c r="P377" s="292"/>
      <c r="Q377" s="292"/>
      <c r="R377" s="292"/>
      <c r="S377" s="292"/>
      <c r="T377" s="292"/>
      <c r="U377" s="292"/>
      <c r="V377" s="292"/>
      <c r="W377" s="292"/>
      <c r="X377" s="292"/>
      <c r="Y377" s="344" t="str">
        <f>IFERROR(__xludf.DUMMYFUNCTION("""COMPUTED_VALUE"""),"#N/A")</f>
        <v>#N/A</v>
      </c>
      <c r="Z377" s="343" t="str">
        <f>IFERROR(__xludf.DUMMYFUNCTION("""COMPUTED_VALUE"""),"#N/A")</f>
        <v>#N/A</v>
      </c>
      <c r="AA377" s="292" t="str">
        <f>IFERROR(__xludf.DUMMYFUNCTION("""COMPUTED_VALUE"""),"#N/A")</f>
        <v>#N/A</v>
      </c>
      <c r="AB377" s="292" t="str">
        <f>IFERROR(__xludf.DUMMYFUNCTION("""COMPUTED_VALUE"""),"#N/A")</f>
        <v>#N/A</v>
      </c>
      <c r="AC377" s="292" t="str">
        <f>IFERROR(__xludf.DUMMYFUNCTION("""COMPUTED_VALUE"""),"#N/A")</f>
        <v>#N/A</v>
      </c>
      <c r="AD377" s="292" t="str">
        <f>IFERROR(__xludf.DUMMYFUNCTION("""COMPUTED_VALUE"""),"#N/A")</f>
        <v>#N/A</v>
      </c>
      <c r="AE377" s="343" t="str">
        <f>IFERROR(__xludf.DUMMYFUNCTION("""COMPUTED_VALUE"""),"#N/A")</f>
        <v>#N/A</v>
      </c>
      <c r="AF377" s="292"/>
      <c r="AG377" s="292"/>
      <c r="AH377" s="292"/>
      <c r="AI377" s="292"/>
      <c r="AJ377" s="292"/>
      <c r="AK377" s="292"/>
      <c r="AL377" s="292"/>
      <c r="AM377" s="292"/>
      <c r="AN377" s="292"/>
      <c r="AO377" s="292"/>
      <c r="AP377" s="292"/>
      <c r="AQ377" s="292"/>
      <c r="AR377" s="292"/>
      <c r="AS377" s="292"/>
      <c r="AT377" s="292"/>
      <c r="AU377" s="292"/>
      <c r="AV377" s="292"/>
      <c r="AW377" s="292"/>
      <c r="AX377" s="292"/>
      <c r="AY377" s="292"/>
      <c r="AZ377" s="292"/>
      <c r="BA377" s="292"/>
      <c r="BB377" s="292"/>
      <c r="BC377" s="292"/>
      <c r="BD377" s="292"/>
      <c r="BE377" s="292"/>
      <c r="BF377" s="292"/>
      <c r="BG377" s="292"/>
      <c r="BH377" s="292"/>
      <c r="BI377" s="292"/>
      <c r="BJ377" s="292"/>
      <c r="BK377" s="292"/>
      <c r="BL377" s="292"/>
      <c r="BM377" s="292"/>
      <c r="BN377" s="292"/>
      <c r="BO377" s="292"/>
      <c r="BP377" s="292"/>
      <c r="BQ377" s="292"/>
      <c r="BR377" s="292"/>
      <c r="BS377" s="292"/>
      <c r="BT377" s="292"/>
      <c r="BU377" s="292"/>
      <c r="BV377" s="292"/>
      <c r="BW377" s="292"/>
    </row>
    <row r="378">
      <c r="A378" s="292"/>
      <c r="B378" s="292" t="str">
        <f>IFERROR(__xludf.DUMMYFUNCTION("""COMPUTED_VALUE"""),"")</f>
        <v/>
      </c>
      <c r="C378" s="292"/>
      <c r="D378" s="292" t="str">
        <f>IFERROR(__xludf.DUMMYFUNCTION("""COMPUTED_VALUE"""),"")</f>
        <v/>
      </c>
      <c r="E378" s="292" t="str">
        <f>IFERROR(__xludf.DUMMYFUNCTION("""COMPUTED_VALUE"""),"")</f>
        <v/>
      </c>
      <c r="F378" s="292"/>
      <c r="G378" s="292" t="str">
        <f>IFERROR(__xludf.DUMMYFUNCTION("""COMPUTED_VALUE"""),"")</f>
        <v/>
      </c>
      <c r="H378" s="292" t="str">
        <f>IFERROR(__xludf.DUMMYFUNCTION("""COMPUTED_VALUE"""),"")</f>
        <v/>
      </c>
      <c r="I378" s="292"/>
      <c r="J378" s="292"/>
      <c r="K378" s="292"/>
      <c r="L378" s="292"/>
      <c r="M378" s="292" t="str">
        <f>IFERROR(__xludf.DUMMYFUNCTION("""COMPUTED_VALUE"""),"")</f>
        <v/>
      </c>
      <c r="N378" s="292"/>
      <c r="O378" s="292"/>
      <c r="P378" s="292"/>
      <c r="Q378" s="292"/>
      <c r="R378" s="292"/>
      <c r="S378" s="292"/>
      <c r="T378" s="292"/>
      <c r="U378" s="292"/>
      <c r="V378" s="292"/>
      <c r="W378" s="292"/>
      <c r="X378" s="292"/>
      <c r="Y378" s="344" t="str">
        <f>IFERROR(__xludf.DUMMYFUNCTION("""COMPUTED_VALUE"""),"#N/A")</f>
        <v>#N/A</v>
      </c>
      <c r="Z378" s="343" t="str">
        <f>IFERROR(__xludf.DUMMYFUNCTION("""COMPUTED_VALUE"""),"#N/A")</f>
        <v>#N/A</v>
      </c>
      <c r="AA378" s="292" t="str">
        <f>IFERROR(__xludf.DUMMYFUNCTION("""COMPUTED_VALUE"""),"#N/A")</f>
        <v>#N/A</v>
      </c>
      <c r="AB378" s="292" t="str">
        <f>IFERROR(__xludf.DUMMYFUNCTION("""COMPUTED_VALUE"""),"#N/A")</f>
        <v>#N/A</v>
      </c>
      <c r="AC378" s="292" t="str">
        <f>IFERROR(__xludf.DUMMYFUNCTION("""COMPUTED_VALUE"""),"#N/A")</f>
        <v>#N/A</v>
      </c>
      <c r="AD378" s="292" t="str">
        <f>IFERROR(__xludf.DUMMYFUNCTION("""COMPUTED_VALUE"""),"#N/A")</f>
        <v>#N/A</v>
      </c>
      <c r="AE378" s="343" t="str">
        <f>IFERROR(__xludf.DUMMYFUNCTION("""COMPUTED_VALUE"""),"#N/A")</f>
        <v>#N/A</v>
      </c>
      <c r="AF378" s="292"/>
      <c r="AG378" s="292"/>
      <c r="AH378" s="292"/>
      <c r="AI378" s="292"/>
      <c r="AJ378" s="292"/>
      <c r="AK378" s="292"/>
      <c r="AL378" s="292"/>
      <c r="AM378" s="292"/>
      <c r="AN378" s="292"/>
      <c r="AO378" s="292"/>
      <c r="AP378" s="292"/>
      <c r="AQ378" s="292"/>
      <c r="AR378" s="292"/>
      <c r="AS378" s="292"/>
      <c r="AT378" s="292"/>
      <c r="AU378" s="292"/>
      <c r="AV378" s="292"/>
      <c r="AW378" s="292"/>
      <c r="AX378" s="292"/>
      <c r="AY378" s="292"/>
      <c r="AZ378" s="292"/>
      <c r="BA378" s="292"/>
      <c r="BB378" s="292"/>
      <c r="BC378" s="292"/>
      <c r="BD378" s="292"/>
      <c r="BE378" s="292"/>
      <c r="BF378" s="292"/>
      <c r="BG378" s="292"/>
      <c r="BH378" s="292"/>
      <c r="BI378" s="292"/>
      <c r="BJ378" s="292"/>
      <c r="BK378" s="292"/>
      <c r="BL378" s="292"/>
      <c r="BM378" s="292"/>
      <c r="BN378" s="292"/>
      <c r="BO378" s="292"/>
      <c r="BP378" s="292"/>
      <c r="BQ378" s="292"/>
      <c r="BR378" s="292"/>
      <c r="BS378" s="292"/>
      <c r="BT378" s="292"/>
      <c r="BU378" s="292"/>
      <c r="BV378" s="292"/>
      <c r="BW378" s="292"/>
    </row>
    <row r="379">
      <c r="A379" s="292"/>
      <c r="B379" s="292" t="str">
        <f>IFERROR(__xludf.DUMMYFUNCTION("""COMPUTED_VALUE"""),"")</f>
        <v/>
      </c>
      <c r="C379" s="292"/>
      <c r="D379" s="292" t="str">
        <f>IFERROR(__xludf.DUMMYFUNCTION("""COMPUTED_VALUE"""),"")</f>
        <v/>
      </c>
      <c r="E379" s="292" t="str">
        <f>IFERROR(__xludf.DUMMYFUNCTION("""COMPUTED_VALUE"""),"")</f>
        <v/>
      </c>
      <c r="F379" s="292"/>
      <c r="G379" s="292" t="str">
        <f>IFERROR(__xludf.DUMMYFUNCTION("""COMPUTED_VALUE"""),"")</f>
        <v/>
      </c>
      <c r="H379" s="292" t="str">
        <f>IFERROR(__xludf.DUMMYFUNCTION("""COMPUTED_VALUE"""),"")</f>
        <v/>
      </c>
      <c r="I379" s="292"/>
      <c r="J379" s="292"/>
      <c r="K379" s="292"/>
      <c r="L379" s="292"/>
      <c r="M379" s="292" t="str">
        <f>IFERROR(__xludf.DUMMYFUNCTION("""COMPUTED_VALUE"""),"")</f>
        <v/>
      </c>
      <c r="N379" s="292"/>
      <c r="O379" s="292"/>
      <c r="P379" s="292"/>
      <c r="Q379" s="292"/>
      <c r="R379" s="292"/>
      <c r="S379" s="292"/>
      <c r="T379" s="292"/>
      <c r="U379" s="292"/>
      <c r="V379" s="292"/>
      <c r="W379" s="292"/>
      <c r="X379" s="292"/>
      <c r="Y379" s="344" t="str">
        <f>IFERROR(__xludf.DUMMYFUNCTION("""COMPUTED_VALUE"""),"#N/A")</f>
        <v>#N/A</v>
      </c>
      <c r="Z379" s="343" t="str">
        <f>IFERROR(__xludf.DUMMYFUNCTION("""COMPUTED_VALUE"""),"#N/A")</f>
        <v>#N/A</v>
      </c>
      <c r="AA379" s="292" t="str">
        <f>IFERROR(__xludf.DUMMYFUNCTION("""COMPUTED_VALUE"""),"#N/A")</f>
        <v>#N/A</v>
      </c>
      <c r="AB379" s="292" t="str">
        <f>IFERROR(__xludf.DUMMYFUNCTION("""COMPUTED_VALUE"""),"#N/A")</f>
        <v>#N/A</v>
      </c>
      <c r="AC379" s="292" t="str">
        <f>IFERROR(__xludf.DUMMYFUNCTION("""COMPUTED_VALUE"""),"#N/A")</f>
        <v>#N/A</v>
      </c>
      <c r="AD379" s="292" t="str">
        <f>IFERROR(__xludf.DUMMYFUNCTION("""COMPUTED_VALUE"""),"#N/A")</f>
        <v>#N/A</v>
      </c>
      <c r="AE379" s="343" t="str">
        <f>IFERROR(__xludf.DUMMYFUNCTION("""COMPUTED_VALUE"""),"#N/A")</f>
        <v>#N/A</v>
      </c>
      <c r="AF379" s="292"/>
      <c r="AG379" s="292"/>
      <c r="AH379" s="292"/>
      <c r="AI379" s="292"/>
      <c r="AJ379" s="292"/>
      <c r="AK379" s="292"/>
      <c r="AL379" s="292"/>
      <c r="AM379" s="292"/>
      <c r="AN379" s="292"/>
      <c r="AO379" s="292"/>
      <c r="AP379" s="292"/>
      <c r="AQ379" s="292"/>
      <c r="AR379" s="292"/>
      <c r="AS379" s="292"/>
      <c r="AT379" s="292"/>
      <c r="AU379" s="292"/>
      <c r="AV379" s="292"/>
      <c r="AW379" s="292"/>
      <c r="AX379" s="292"/>
      <c r="AY379" s="292"/>
      <c r="AZ379" s="292"/>
      <c r="BA379" s="292"/>
      <c r="BB379" s="292"/>
      <c r="BC379" s="292"/>
      <c r="BD379" s="292"/>
      <c r="BE379" s="292"/>
      <c r="BF379" s="292"/>
      <c r="BG379" s="292"/>
      <c r="BH379" s="292"/>
      <c r="BI379" s="292"/>
      <c r="BJ379" s="292"/>
      <c r="BK379" s="292"/>
      <c r="BL379" s="292"/>
      <c r="BM379" s="292"/>
      <c r="BN379" s="292"/>
      <c r="BO379" s="292"/>
      <c r="BP379" s="292"/>
      <c r="BQ379" s="292"/>
      <c r="BR379" s="292"/>
      <c r="BS379" s="292"/>
      <c r="BT379" s="292"/>
      <c r="BU379" s="292"/>
      <c r="BV379" s="292"/>
      <c r="BW379" s="292"/>
    </row>
    <row r="380">
      <c r="A380" s="292"/>
      <c r="B380" s="292" t="str">
        <f>IFERROR(__xludf.DUMMYFUNCTION("""COMPUTED_VALUE"""),"")</f>
        <v/>
      </c>
      <c r="C380" s="292"/>
      <c r="D380" s="292" t="str">
        <f>IFERROR(__xludf.DUMMYFUNCTION("""COMPUTED_VALUE"""),"")</f>
        <v/>
      </c>
      <c r="E380" s="292" t="str">
        <f>IFERROR(__xludf.DUMMYFUNCTION("""COMPUTED_VALUE"""),"")</f>
        <v/>
      </c>
      <c r="F380" s="292"/>
      <c r="G380" s="292" t="str">
        <f>IFERROR(__xludf.DUMMYFUNCTION("""COMPUTED_VALUE"""),"")</f>
        <v/>
      </c>
      <c r="H380" s="292" t="str">
        <f>IFERROR(__xludf.DUMMYFUNCTION("""COMPUTED_VALUE"""),"")</f>
        <v/>
      </c>
      <c r="I380" s="292"/>
      <c r="J380" s="292"/>
      <c r="K380" s="292"/>
      <c r="L380" s="292"/>
      <c r="M380" s="292" t="str">
        <f>IFERROR(__xludf.DUMMYFUNCTION("""COMPUTED_VALUE"""),"")</f>
        <v/>
      </c>
      <c r="N380" s="292"/>
      <c r="O380" s="292"/>
      <c r="P380" s="292"/>
      <c r="Q380" s="292"/>
      <c r="R380" s="292"/>
      <c r="S380" s="292"/>
      <c r="T380" s="292"/>
      <c r="U380" s="292"/>
      <c r="V380" s="292"/>
      <c r="W380" s="292"/>
      <c r="X380" s="292"/>
      <c r="Y380" s="344" t="str">
        <f>IFERROR(__xludf.DUMMYFUNCTION("""COMPUTED_VALUE"""),"#N/A")</f>
        <v>#N/A</v>
      </c>
      <c r="Z380" s="343" t="str">
        <f>IFERROR(__xludf.DUMMYFUNCTION("""COMPUTED_VALUE"""),"#N/A")</f>
        <v>#N/A</v>
      </c>
      <c r="AA380" s="292" t="str">
        <f>IFERROR(__xludf.DUMMYFUNCTION("""COMPUTED_VALUE"""),"#N/A")</f>
        <v>#N/A</v>
      </c>
      <c r="AB380" s="292" t="str">
        <f>IFERROR(__xludf.DUMMYFUNCTION("""COMPUTED_VALUE"""),"#N/A")</f>
        <v>#N/A</v>
      </c>
      <c r="AC380" s="292" t="str">
        <f>IFERROR(__xludf.DUMMYFUNCTION("""COMPUTED_VALUE"""),"#N/A")</f>
        <v>#N/A</v>
      </c>
      <c r="AD380" s="292" t="str">
        <f>IFERROR(__xludf.DUMMYFUNCTION("""COMPUTED_VALUE"""),"#N/A")</f>
        <v>#N/A</v>
      </c>
      <c r="AE380" s="343" t="str">
        <f>IFERROR(__xludf.DUMMYFUNCTION("""COMPUTED_VALUE"""),"#N/A")</f>
        <v>#N/A</v>
      </c>
      <c r="AF380" s="292"/>
      <c r="AG380" s="292"/>
      <c r="AH380" s="292"/>
      <c r="AI380" s="292"/>
      <c r="AJ380" s="292"/>
      <c r="AK380" s="292"/>
      <c r="AL380" s="292"/>
      <c r="AM380" s="292"/>
      <c r="AN380" s="292"/>
      <c r="AO380" s="292"/>
      <c r="AP380" s="292"/>
      <c r="AQ380" s="292"/>
      <c r="AR380" s="292"/>
      <c r="AS380" s="292"/>
      <c r="AT380" s="292"/>
      <c r="AU380" s="292"/>
      <c r="AV380" s="292"/>
      <c r="AW380" s="292"/>
      <c r="AX380" s="292"/>
      <c r="AY380" s="292"/>
      <c r="AZ380" s="292"/>
      <c r="BA380" s="292"/>
      <c r="BB380" s="292"/>
      <c r="BC380" s="292"/>
      <c r="BD380" s="292"/>
      <c r="BE380" s="292"/>
      <c r="BF380" s="292"/>
      <c r="BG380" s="292"/>
      <c r="BH380" s="292"/>
      <c r="BI380" s="292"/>
      <c r="BJ380" s="292"/>
      <c r="BK380" s="292"/>
      <c r="BL380" s="292"/>
      <c r="BM380" s="292"/>
      <c r="BN380" s="292"/>
      <c r="BO380" s="292"/>
      <c r="BP380" s="292"/>
      <c r="BQ380" s="292"/>
      <c r="BR380" s="292"/>
      <c r="BS380" s="292"/>
      <c r="BT380" s="292"/>
      <c r="BU380" s="292"/>
      <c r="BV380" s="292"/>
      <c r="BW380" s="292"/>
    </row>
    <row r="381">
      <c r="A381" s="292"/>
      <c r="B381" s="292" t="str">
        <f>IFERROR(__xludf.DUMMYFUNCTION("""COMPUTED_VALUE"""),"")</f>
        <v/>
      </c>
      <c r="C381" s="292"/>
      <c r="D381" s="292" t="str">
        <f>IFERROR(__xludf.DUMMYFUNCTION("""COMPUTED_VALUE"""),"")</f>
        <v/>
      </c>
      <c r="E381" s="292" t="str">
        <f>IFERROR(__xludf.DUMMYFUNCTION("""COMPUTED_VALUE"""),"")</f>
        <v/>
      </c>
      <c r="F381" s="292"/>
      <c r="G381" s="292" t="str">
        <f>IFERROR(__xludf.DUMMYFUNCTION("""COMPUTED_VALUE"""),"")</f>
        <v/>
      </c>
      <c r="H381" s="292" t="str">
        <f>IFERROR(__xludf.DUMMYFUNCTION("""COMPUTED_VALUE"""),"")</f>
        <v/>
      </c>
      <c r="I381" s="292"/>
      <c r="J381" s="292"/>
      <c r="K381" s="292"/>
      <c r="L381" s="292"/>
      <c r="M381" s="292" t="str">
        <f>IFERROR(__xludf.DUMMYFUNCTION("""COMPUTED_VALUE"""),"")</f>
        <v/>
      </c>
      <c r="N381" s="292"/>
      <c r="O381" s="292"/>
      <c r="P381" s="292"/>
      <c r="Q381" s="292"/>
      <c r="R381" s="292"/>
      <c r="S381" s="292"/>
      <c r="T381" s="292"/>
      <c r="U381" s="292"/>
      <c r="V381" s="292"/>
      <c r="W381" s="292"/>
      <c r="X381" s="292"/>
      <c r="Y381" s="344" t="str">
        <f>IFERROR(__xludf.DUMMYFUNCTION("""COMPUTED_VALUE"""),"#N/A")</f>
        <v>#N/A</v>
      </c>
      <c r="Z381" s="343" t="str">
        <f>IFERROR(__xludf.DUMMYFUNCTION("""COMPUTED_VALUE"""),"#N/A")</f>
        <v>#N/A</v>
      </c>
      <c r="AA381" s="292" t="str">
        <f>IFERROR(__xludf.DUMMYFUNCTION("""COMPUTED_VALUE"""),"#N/A")</f>
        <v>#N/A</v>
      </c>
      <c r="AB381" s="292" t="str">
        <f>IFERROR(__xludf.DUMMYFUNCTION("""COMPUTED_VALUE"""),"#N/A")</f>
        <v>#N/A</v>
      </c>
      <c r="AC381" s="292" t="str">
        <f>IFERROR(__xludf.DUMMYFUNCTION("""COMPUTED_VALUE"""),"#N/A")</f>
        <v>#N/A</v>
      </c>
      <c r="AD381" s="292" t="str">
        <f>IFERROR(__xludf.DUMMYFUNCTION("""COMPUTED_VALUE"""),"#N/A")</f>
        <v>#N/A</v>
      </c>
      <c r="AE381" s="343" t="str">
        <f>IFERROR(__xludf.DUMMYFUNCTION("""COMPUTED_VALUE"""),"#N/A")</f>
        <v>#N/A</v>
      </c>
      <c r="AF381" s="292"/>
      <c r="AG381" s="292"/>
      <c r="AH381" s="292"/>
      <c r="AI381" s="292"/>
      <c r="AJ381" s="292"/>
      <c r="AK381" s="292"/>
      <c r="AL381" s="292"/>
      <c r="AM381" s="292"/>
      <c r="AN381" s="292"/>
      <c r="AO381" s="292"/>
      <c r="AP381" s="292"/>
      <c r="AQ381" s="292"/>
      <c r="AR381" s="292"/>
      <c r="AS381" s="292"/>
      <c r="AT381" s="292"/>
      <c r="AU381" s="292"/>
      <c r="AV381" s="292"/>
      <c r="AW381" s="292"/>
      <c r="AX381" s="292"/>
      <c r="AY381" s="292"/>
      <c r="AZ381" s="292"/>
      <c r="BA381" s="292"/>
      <c r="BB381" s="292"/>
      <c r="BC381" s="292"/>
      <c r="BD381" s="292"/>
      <c r="BE381" s="292"/>
      <c r="BF381" s="292"/>
      <c r="BG381" s="292"/>
      <c r="BH381" s="292"/>
      <c r="BI381" s="292"/>
      <c r="BJ381" s="292"/>
      <c r="BK381" s="292"/>
      <c r="BL381" s="292"/>
      <c r="BM381" s="292"/>
      <c r="BN381" s="292"/>
      <c r="BO381" s="292"/>
      <c r="BP381" s="292"/>
      <c r="BQ381" s="292"/>
      <c r="BR381" s="292"/>
      <c r="BS381" s="292"/>
      <c r="BT381" s="292"/>
      <c r="BU381" s="292"/>
      <c r="BV381" s="292"/>
      <c r="BW381" s="292"/>
    </row>
    <row r="382">
      <c r="A382" s="292"/>
      <c r="B382" s="292" t="str">
        <f>IFERROR(__xludf.DUMMYFUNCTION("""COMPUTED_VALUE"""),"")</f>
        <v/>
      </c>
      <c r="C382" s="292"/>
      <c r="D382" s="292" t="str">
        <f>IFERROR(__xludf.DUMMYFUNCTION("""COMPUTED_VALUE"""),"")</f>
        <v/>
      </c>
      <c r="E382" s="292" t="str">
        <f>IFERROR(__xludf.DUMMYFUNCTION("""COMPUTED_VALUE"""),"")</f>
        <v/>
      </c>
      <c r="F382" s="292"/>
      <c r="G382" s="292" t="str">
        <f>IFERROR(__xludf.DUMMYFUNCTION("""COMPUTED_VALUE"""),"")</f>
        <v/>
      </c>
      <c r="H382" s="292" t="str">
        <f>IFERROR(__xludf.DUMMYFUNCTION("""COMPUTED_VALUE"""),"")</f>
        <v/>
      </c>
      <c r="I382" s="292"/>
      <c r="J382" s="292"/>
      <c r="K382" s="292"/>
      <c r="L382" s="292"/>
      <c r="M382" s="292" t="str">
        <f>IFERROR(__xludf.DUMMYFUNCTION("""COMPUTED_VALUE"""),"")</f>
        <v/>
      </c>
      <c r="N382" s="292"/>
      <c r="O382" s="292"/>
      <c r="P382" s="292"/>
      <c r="Q382" s="292"/>
      <c r="R382" s="292"/>
      <c r="S382" s="292"/>
      <c r="T382" s="292"/>
      <c r="U382" s="292"/>
      <c r="V382" s="292"/>
      <c r="W382" s="292"/>
      <c r="X382" s="292"/>
      <c r="Y382" s="344" t="str">
        <f>IFERROR(__xludf.DUMMYFUNCTION("""COMPUTED_VALUE"""),"#N/A")</f>
        <v>#N/A</v>
      </c>
      <c r="Z382" s="343" t="str">
        <f>IFERROR(__xludf.DUMMYFUNCTION("""COMPUTED_VALUE"""),"#N/A")</f>
        <v>#N/A</v>
      </c>
      <c r="AA382" s="292" t="str">
        <f>IFERROR(__xludf.DUMMYFUNCTION("""COMPUTED_VALUE"""),"#N/A")</f>
        <v>#N/A</v>
      </c>
      <c r="AB382" s="292" t="str">
        <f>IFERROR(__xludf.DUMMYFUNCTION("""COMPUTED_VALUE"""),"#N/A")</f>
        <v>#N/A</v>
      </c>
      <c r="AC382" s="292" t="str">
        <f>IFERROR(__xludf.DUMMYFUNCTION("""COMPUTED_VALUE"""),"#N/A")</f>
        <v>#N/A</v>
      </c>
      <c r="AD382" s="292" t="str">
        <f>IFERROR(__xludf.DUMMYFUNCTION("""COMPUTED_VALUE"""),"#N/A")</f>
        <v>#N/A</v>
      </c>
      <c r="AE382" s="343" t="str">
        <f>IFERROR(__xludf.DUMMYFUNCTION("""COMPUTED_VALUE"""),"#N/A")</f>
        <v>#N/A</v>
      </c>
      <c r="AF382" s="292"/>
      <c r="AG382" s="292"/>
      <c r="AH382" s="292"/>
      <c r="AI382" s="292"/>
      <c r="AJ382" s="292"/>
      <c r="AK382" s="292"/>
      <c r="AL382" s="292"/>
      <c r="AM382" s="292"/>
      <c r="AN382" s="292"/>
      <c r="AO382" s="292"/>
      <c r="AP382" s="292"/>
      <c r="AQ382" s="292"/>
      <c r="AR382" s="292"/>
      <c r="AS382" s="292"/>
      <c r="AT382" s="292"/>
      <c r="AU382" s="292"/>
      <c r="AV382" s="292"/>
      <c r="AW382" s="292"/>
      <c r="AX382" s="292"/>
      <c r="AY382" s="292"/>
      <c r="AZ382" s="292"/>
      <c r="BA382" s="292"/>
      <c r="BB382" s="292"/>
      <c r="BC382" s="292"/>
      <c r="BD382" s="292"/>
      <c r="BE382" s="292"/>
      <c r="BF382" s="292"/>
      <c r="BG382" s="292"/>
      <c r="BH382" s="292"/>
      <c r="BI382" s="292"/>
      <c r="BJ382" s="292"/>
      <c r="BK382" s="292"/>
      <c r="BL382" s="292"/>
      <c r="BM382" s="292"/>
      <c r="BN382" s="292"/>
      <c r="BO382" s="292"/>
      <c r="BP382" s="292"/>
      <c r="BQ382" s="292"/>
      <c r="BR382" s="292"/>
      <c r="BS382" s="292"/>
      <c r="BT382" s="292"/>
      <c r="BU382" s="292"/>
      <c r="BV382" s="292"/>
      <c r="BW382" s="292"/>
    </row>
    <row r="383">
      <c r="A383" s="292"/>
      <c r="B383" s="292" t="str">
        <f>IFERROR(__xludf.DUMMYFUNCTION("""COMPUTED_VALUE"""),"")</f>
        <v/>
      </c>
      <c r="C383" s="292"/>
      <c r="D383" s="292" t="str">
        <f>IFERROR(__xludf.DUMMYFUNCTION("""COMPUTED_VALUE"""),"")</f>
        <v/>
      </c>
      <c r="E383" s="292" t="str">
        <f>IFERROR(__xludf.DUMMYFUNCTION("""COMPUTED_VALUE"""),"")</f>
        <v/>
      </c>
      <c r="F383" s="292"/>
      <c r="G383" s="292" t="str">
        <f>IFERROR(__xludf.DUMMYFUNCTION("""COMPUTED_VALUE"""),"")</f>
        <v/>
      </c>
      <c r="H383" s="292" t="str">
        <f>IFERROR(__xludf.DUMMYFUNCTION("""COMPUTED_VALUE"""),"")</f>
        <v/>
      </c>
      <c r="I383" s="292"/>
      <c r="J383" s="292"/>
      <c r="K383" s="292"/>
      <c r="L383" s="292"/>
      <c r="M383" s="292" t="str">
        <f>IFERROR(__xludf.DUMMYFUNCTION("""COMPUTED_VALUE"""),"")</f>
        <v/>
      </c>
      <c r="N383" s="292"/>
      <c r="O383" s="292"/>
      <c r="P383" s="292"/>
      <c r="Q383" s="292"/>
      <c r="R383" s="292"/>
      <c r="S383" s="292"/>
      <c r="T383" s="292"/>
      <c r="U383" s="292"/>
      <c r="V383" s="292"/>
      <c r="W383" s="292"/>
      <c r="X383" s="292"/>
      <c r="Y383" s="344" t="str">
        <f>IFERROR(__xludf.DUMMYFUNCTION("""COMPUTED_VALUE"""),"#N/A")</f>
        <v>#N/A</v>
      </c>
      <c r="Z383" s="343" t="str">
        <f>IFERROR(__xludf.DUMMYFUNCTION("""COMPUTED_VALUE"""),"#N/A")</f>
        <v>#N/A</v>
      </c>
      <c r="AA383" s="292" t="str">
        <f>IFERROR(__xludf.DUMMYFUNCTION("""COMPUTED_VALUE"""),"#N/A")</f>
        <v>#N/A</v>
      </c>
      <c r="AB383" s="292" t="str">
        <f>IFERROR(__xludf.DUMMYFUNCTION("""COMPUTED_VALUE"""),"#N/A")</f>
        <v>#N/A</v>
      </c>
      <c r="AC383" s="292" t="str">
        <f>IFERROR(__xludf.DUMMYFUNCTION("""COMPUTED_VALUE"""),"#N/A")</f>
        <v>#N/A</v>
      </c>
      <c r="AD383" s="292" t="str">
        <f>IFERROR(__xludf.DUMMYFUNCTION("""COMPUTED_VALUE"""),"#N/A")</f>
        <v>#N/A</v>
      </c>
      <c r="AE383" s="343" t="str">
        <f>IFERROR(__xludf.DUMMYFUNCTION("""COMPUTED_VALUE"""),"#N/A")</f>
        <v>#N/A</v>
      </c>
      <c r="AF383" s="292"/>
      <c r="AG383" s="292"/>
      <c r="AH383" s="292"/>
      <c r="AI383" s="292"/>
      <c r="AJ383" s="292"/>
      <c r="AK383" s="292"/>
      <c r="AL383" s="292"/>
      <c r="AM383" s="292"/>
      <c r="AN383" s="292"/>
      <c r="AO383" s="292"/>
      <c r="AP383" s="292"/>
      <c r="AQ383" s="292"/>
      <c r="AR383" s="292"/>
      <c r="AS383" s="292"/>
      <c r="AT383" s="292"/>
      <c r="AU383" s="292"/>
      <c r="AV383" s="292"/>
      <c r="AW383" s="292"/>
      <c r="AX383" s="292"/>
      <c r="AY383" s="292"/>
      <c r="AZ383" s="292"/>
      <c r="BA383" s="292"/>
      <c r="BB383" s="292"/>
      <c r="BC383" s="292"/>
      <c r="BD383" s="292"/>
      <c r="BE383" s="292"/>
      <c r="BF383" s="292"/>
      <c r="BG383" s="292"/>
      <c r="BH383" s="292"/>
      <c r="BI383" s="292"/>
      <c r="BJ383" s="292"/>
      <c r="BK383" s="292"/>
      <c r="BL383" s="292"/>
      <c r="BM383" s="292"/>
      <c r="BN383" s="292"/>
      <c r="BO383" s="292"/>
      <c r="BP383" s="292"/>
      <c r="BQ383" s="292"/>
      <c r="BR383" s="292"/>
      <c r="BS383" s="292"/>
      <c r="BT383" s="292"/>
      <c r="BU383" s="292"/>
      <c r="BV383" s="292"/>
      <c r="BW383" s="292"/>
    </row>
    <row r="384">
      <c r="A384" s="292"/>
      <c r="B384" s="292" t="str">
        <f>IFERROR(__xludf.DUMMYFUNCTION("""COMPUTED_VALUE"""),"")</f>
        <v/>
      </c>
      <c r="C384" s="292"/>
      <c r="D384" s="292" t="str">
        <f>IFERROR(__xludf.DUMMYFUNCTION("""COMPUTED_VALUE"""),"")</f>
        <v/>
      </c>
      <c r="E384" s="292" t="str">
        <f>IFERROR(__xludf.DUMMYFUNCTION("""COMPUTED_VALUE"""),"")</f>
        <v/>
      </c>
      <c r="F384" s="292"/>
      <c r="G384" s="292" t="str">
        <f>IFERROR(__xludf.DUMMYFUNCTION("""COMPUTED_VALUE"""),"")</f>
        <v/>
      </c>
      <c r="H384" s="292" t="str">
        <f>IFERROR(__xludf.DUMMYFUNCTION("""COMPUTED_VALUE"""),"")</f>
        <v/>
      </c>
      <c r="I384" s="292"/>
      <c r="J384" s="292"/>
      <c r="K384" s="292"/>
      <c r="L384" s="292"/>
      <c r="M384" s="292" t="str">
        <f>IFERROR(__xludf.DUMMYFUNCTION("""COMPUTED_VALUE"""),"")</f>
        <v/>
      </c>
      <c r="N384" s="292"/>
      <c r="O384" s="292"/>
      <c r="P384" s="292"/>
      <c r="Q384" s="292"/>
      <c r="R384" s="292"/>
      <c r="S384" s="292"/>
      <c r="T384" s="292"/>
      <c r="U384" s="292"/>
      <c r="V384" s="292"/>
      <c r="W384" s="292"/>
      <c r="X384" s="292"/>
      <c r="Y384" s="344" t="str">
        <f>IFERROR(__xludf.DUMMYFUNCTION("""COMPUTED_VALUE"""),"#N/A")</f>
        <v>#N/A</v>
      </c>
      <c r="Z384" s="343" t="str">
        <f>IFERROR(__xludf.DUMMYFUNCTION("""COMPUTED_VALUE"""),"#N/A")</f>
        <v>#N/A</v>
      </c>
      <c r="AA384" s="292" t="str">
        <f>IFERROR(__xludf.DUMMYFUNCTION("""COMPUTED_VALUE"""),"#N/A")</f>
        <v>#N/A</v>
      </c>
      <c r="AB384" s="292" t="str">
        <f>IFERROR(__xludf.DUMMYFUNCTION("""COMPUTED_VALUE"""),"#N/A")</f>
        <v>#N/A</v>
      </c>
      <c r="AC384" s="292" t="str">
        <f>IFERROR(__xludf.DUMMYFUNCTION("""COMPUTED_VALUE"""),"#N/A")</f>
        <v>#N/A</v>
      </c>
      <c r="AD384" s="292" t="str">
        <f>IFERROR(__xludf.DUMMYFUNCTION("""COMPUTED_VALUE"""),"#N/A")</f>
        <v>#N/A</v>
      </c>
      <c r="AE384" s="343" t="str">
        <f>IFERROR(__xludf.DUMMYFUNCTION("""COMPUTED_VALUE"""),"#N/A")</f>
        <v>#N/A</v>
      </c>
      <c r="AF384" s="292"/>
      <c r="AG384" s="292"/>
      <c r="AH384" s="292"/>
      <c r="AI384" s="292"/>
      <c r="AJ384" s="292"/>
      <c r="AK384" s="292"/>
      <c r="AL384" s="292"/>
      <c r="AM384" s="292"/>
      <c r="AN384" s="292"/>
      <c r="AO384" s="292"/>
      <c r="AP384" s="292"/>
      <c r="AQ384" s="292"/>
      <c r="AR384" s="292"/>
      <c r="AS384" s="292"/>
      <c r="AT384" s="292"/>
      <c r="AU384" s="292"/>
      <c r="AV384" s="292"/>
      <c r="AW384" s="292"/>
      <c r="AX384" s="292"/>
      <c r="AY384" s="292"/>
      <c r="AZ384" s="292"/>
      <c r="BA384" s="292"/>
      <c r="BB384" s="292"/>
      <c r="BC384" s="292"/>
      <c r="BD384" s="292"/>
      <c r="BE384" s="292"/>
      <c r="BF384" s="292"/>
      <c r="BG384" s="292"/>
      <c r="BH384" s="292"/>
      <c r="BI384" s="292"/>
      <c r="BJ384" s="292"/>
      <c r="BK384" s="292"/>
      <c r="BL384" s="292"/>
      <c r="BM384" s="292"/>
      <c r="BN384" s="292"/>
      <c r="BO384" s="292"/>
      <c r="BP384" s="292"/>
      <c r="BQ384" s="292"/>
      <c r="BR384" s="292"/>
      <c r="BS384" s="292"/>
      <c r="BT384" s="292"/>
      <c r="BU384" s="292"/>
      <c r="BV384" s="292"/>
      <c r="BW384" s="292"/>
    </row>
    <row r="385">
      <c r="A385" s="292"/>
      <c r="B385" s="292" t="str">
        <f>IFERROR(__xludf.DUMMYFUNCTION("""COMPUTED_VALUE"""),"")</f>
        <v/>
      </c>
      <c r="C385" s="292"/>
      <c r="D385" s="292" t="str">
        <f>IFERROR(__xludf.DUMMYFUNCTION("""COMPUTED_VALUE"""),"")</f>
        <v/>
      </c>
      <c r="E385" s="292" t="str">
        <f>IFERROR(__xludf.DUMMYFUNCTION("""COMPUTED_VALUE"""),"")</f>
        <v/>
      </c>
      <c r="F385" s="292"/>
      <c r="G385" s="292" t="str">
        <f>IFERROR(__xludf.DUMMYFUNCTION("""COMPUTED_VALUE"""),"")</f>
        <v/>
      </c>
      <c r="H385" s="292" t="str">
        <f>IFERROR(__xludf.DUMMYFUNCTION("""COMPUTED_VALUE"""),"")</f>
        <v/>
      </c>
      <c r="I385" s="292"/>
      <c r="J385" s="292"/>
      <c r="K385" s="292"/>
      <c r="L385" s="292"/>
      <c r="M385" s="292" t="str">
        <f>IFERROR(__xludf.DUMMYFUNCTION("""COMPUTED_VALUE"""),"")</f>
        <v/>
      </c>
      <c r="N385" s="292"/>
      <c r="O385" s="292"/>
      <c r="P385" s="292"/>
      <c r="Q385" s="292"/>
      <c r="R385" s="292"/>
      <c r="S385" s="292"/>
      <c r="T385" s="292"/>
      <c r="U385" s="292"/>
      <c r="V385" s="292"/>
      <c r="W385" s="292"/>
      <c r="X385" s="292"/>
      <c r="Y385" s="344" t="str">
        <f>IFERROR(__xludf.DUMMYFUNCTION("""COMPUTED_VALUE"""),"#N/A")</f>
        <v>#N/A</v>
      </c>
      <c r="Z385" s="343" t="str">
        <f>IFERROR(__xludf.DUMMYFUNCTION("""COMPUTED_VALUE"""),"#N/A")</f>
        <v>#N/A</v>
      </c>
      <c r="AA385" s="292" t="str">
        <f>IFERROR(__xludf.DUMMYFUNCTION("""COMPUTED_VALUE"""),"#N/A")</f>
        <v>#N/A</v>
      </c>
      <c r="AB385" s="292" t="str">
        <f>IFERROR(__xludf.DUMMYFUNCTION("""COMPUTED_VALUE"""),"#N/A")</f>
        <v>#N/A</v>
      </c>
      <c r="AC385" s="292" t="str">
        <f>IFERROR(__xludf.DUMMYFUNCTION("""COMPUTED_VALUE"""),"#N/A")</f>
        <v>#N/A</v>
      </c>
      <c r="AD385" s="292" t="str">
        <f>IFERROR(__xludf.DUMMYFUNCTION("""COMPUTED_VALUE"""),"#N/A")</f>
        <v>#N/A</v>
      </c>
      <c r="AE385" s="343" t="str">
        <f>IFERROR(__xludf.DUMMYFUNCTION("""COMPUTED_VALUE"""),"#N/A")</f>
        <v>#N/A</v>
      </c>
      <c r="AF385" s="292"/>
      <c r="AG385" s="292"/>
      <c r="AH385" s="292"/>
      <c r="AI385" s="292"/>
      <c r="AJ385" s="292"/>
      <c r="AK385" s="292"/>
      <c r="AL385" s="292"/>
      <c r="AM385" s="292"/>
      <c r="AN385" s="292"/>
      <c r="AO385" s="292"/>
      <c r="AP385" s="292"/>
      <c r="AQ385" s="292"/>
      <c r="AR385" s="292"/>
      <c r="AS385" s="292"/>
      <c r="AT385" s="292"/>
      <c r="AU385" s="292"/>
      <c r="AV385" s="292"/>
      <c r="AW385" s="292"/>
      <c r="AX385" s="292"/>
      <c r="AY385" s="292"/>
      <c r="AZ385" s="292"/>
      <c r="BA385" s="292"/>
      <c r="BB385" s="292"/>
      <c r="BC385" s="292"/>
      <c r="BD385" s="292"/>
      <c r="BE385" s="292"/>
      <c r="BF385" s="292"/>
      <c r="BG385" s="292"/>
      <c r="BH385" s="292"/>
      <c r="BI385" s="292"/>
      <c r="BJ385" s="292"/>
      <c r="BK385" s="292"/>
      <c r="BL385" s="292"/>
      <c r="BM385" s="292"/>
      <c r="BN385" s="292"/>
      <c r="BO385" s="292"/>
      <c r="BP385" s="292"/>
      <c r="BQ385" s="292"/>
      <c r="BR385" s="292"/>
      <c r="BS385" s="292"/>
      <c r="BT385" s="292"/>
      <c r="BU385" s="292"/>
      <c r="BV385" s="292"/>
      <c r="BW385" s="292"/>
    </row>
    <row r="386">
      <c r="A386" s="292"/>
      <c r="B386" s="292" t="str">
        <f>IFERROR(__xludf.DUMMYFUNCTION("""COMPUTED_VALUE"""),"")</f>
        <v/>
      </c>
      <c r="C386" s="292"/>
      <c r="D386" s="292" t="str">
        <f>IFERROR(__xludf.DUMMYFUNCTION("""COMPUTED_VALUE"""),"")</f>
        <v/>
      </c>
      <c r="E386" s="292" t="str">
        <f>IFERROR(__xludf.DUMMYFUNCTION("""COMPUTED_VALUE"""),"")</f>
        <v/>
      </c>
      <c r="F386" s="292"/>
      <c r="G386" s="292" t="str">
        <f>IFERROR(__xludf.DUMMYFUNCTION("""COMPUTED_VALUE"""),"")</f>
        <v/>
      </c>
      <c r="H386" s="292" t="str">
        <f>IFERROR(__xludf.DUMMYFUNCTION("""COMPUTED_VALUE"""),"")</f>
        <v/>
      </c>
      <c r="I386" s="292"/>
      <c r="J386" s="292"/>
      <c r="K386" s="292"/>
      <c r="L386" s="292"/>
      <c r="M386" s="292" t="str">
        <f>IFERROR(__xludf.DUMMYFUNCTION("""COMPUTED_VALUE"""),"")</f>
        <v/>
      </c>
      <c r="N386" s="292"/>
      <c r="O386" s="292"/>
      <c r="P386" s="292"/>
      <c r="Q386" s="292"/>
      <c r="R386" s="292"/>
      <c r="S386" s="292"/>
      <c r="T386" s="292"/>
      <c r="U386" s="292"/>
      <c r="V386" s="292"/>
      <c r="W386" s="292"/>
      <c r="X386" s="292"/>
      <c r="Y386" s="344" t="str">
        <f>IFERROR(__xludf.DUMMYFUNCTION("""COMPUTED_VALUE"""),"#N/A")</f>
        <v>#N/A</v>
      </c>
      <c r="Z386" s="343" t="str">
        <f>IFERROR(__xludf.DUMMYFUNCTION("""COMPUTED_VALUE"""),"#N/A")</f>
        <v>#N/A</v>
      </c>
      <c r="AA386" s="292" t="str">
        <f>IFERROR(__xludf.DUMMYFUNCTION("""COMPUTED_VALUE"""),"#N/A")</f>
        <v>#N/A</v>
      </c>
      <c r="AB386" s="292" t="str">
        <f>IFERROR(__xludf.DUMMYFUNCTION("""COMPUTED_VALUE"""),"#N/A")</f>
        <v>#N/A</v>
      </c>
      <c r="AC386" s="292" t="str">
        <f>IFERROR(__xludf.DUMMYFUNCTION("""COMPUTED_VALUE"""),"#N/A")</f>
        <v>#N/A</v>
      </c>
      <c r="AD386" s="292" t="str">
        <f>IFERROR(__xludf.DUMMYFUNCTION("""COMPUTED_VALUE"""),"#N/A")</f>
        <v>#N/A</v>
      </c>
      <c r="AE386" s="343" t="str">
        <f>IFERROR(__xludf.DUMMYFUNCTION("""COMPUTED_VALUE"""),"#N/A")</f>
        <v>#N/A</v>
      </c>
      <c r="AF386" s="292"/>
      <c r="AG386" s="292"/>
      <c r="AH386" s="292"/>
      <c r="AI386" s="292"/>
      <c r="AJ386" s="292"/>
      <c r="AK386" s="292"/>
      <c r="AL386" s="292"/>
      <c r="AM386" s="292"/>
      <c r="AN386" s="292"/>
      <c r="AO386" s="292"/>
      <c r="AP386" s="292"/>
      <c r="AQ386" s="292"/>
      <c r="AR386" s="292"/>
      <c r="AS386" s="292"/>
      <c r="AT386" s="292"/>
      <c r="AU386" s="292"/>
      <c r="AV386" s="292"/>
      <c r="AW386" s="292"/>
      <c r="AX386" s="292"/>
      <c r="AY386" s="292"/>
      <c r="AZ386" s="292"/>
      <c r="BA386" s="292"/>
      <c r="BB386" s="292"/>
      <c r="BC386" s="292"/>
      <c r="BD386" s="292"/>
      <c r="BE386" s="292"/>
      <c r="BF386" s="292"/>
      <c r="BG386" s="292"/>
      <c r="BH386" s="292"/>
      <c r="BI386" s="292"/>
      <c r="BJ386" s="292"/>
      <c r="BK386" s="292"/>
      <c r="BL386" s="292"/>
      <c r="BM386" s="292"/>
      <c r="BN386" s="292"/>
      <c r="BO386" s="292"/>
      <c r="BP386" s="292"/>
      <c r="BQ386" s="292"/>
      <c r="BR386" s="292"/>
      <c r="BS386" s="292"/>
      <c r="BT386" s="292"/>
      <c r="BU386" s="292"/>
      <c r="BV386" s="292"/>
      <c r="BW386" s="292"/>
    </row>
    <row r="387">
      <c r="A387" s="292"/>
      <c r="B387" s="292" t="str">
        <f>IFERROR(__xludf.DUMMYFUNCTION("""COMPUTED_VALUE"""),"")</f>
        <v/>
      </c>
      <c r="C387" s="292"/>
      <c r="D387" s="292" t="str">
        <f>IFERROR(__xludf.DUMMYFUNCTION("""COMPUTED_VALUE"""),"")</f>
        <v/>
      </c>
      <c r="E387" s="292" t="str">
        <f>IFERROR(__xludf.DUMMYFUNCTION("""COMPUTED_VALUE"""),"")</f>
        <v/>
      </c>
      <c r="F387" s="292"/>
      <c r="G387" s="292" t="str">
        <f>IFERROR(__xludf.DUMMYFUNCTION("""COMPUTED_VALUE"""),"")</f>
        <v/>
      </c>
      <c r="H387" s="292" t="str">
        <f>IFERROR(__xludf.DUMMYFUNCTION("""COMPUTED_VALUE"""),"")</f>
        <v/>
      </c>
      <c r="I387" s="292"/>
      <c r="J387" s="292"/>
      <c r="K387" s="292"/>
      <c r="L387" s="292"/>
      <c r="M387" s="292" t="str">
        <f>IFERROR(__xludf.DUMMYFUNCTION("""COMPUTED_VALUE"""),"")</f>
        <v/>
      </c>
      <c r="N387" s="292"/>
      <c r="O387" s="292"/>
      <c r="P387" s="292"/>
      <c r="Q387" s="292"/>
      <c r="R387" s="292"/>
      <c r="S387" s="292"/>
      <c r="T387" s="292"/>
      <c r="U387" s="292"/>
      <c r="V387" s="292"/>
      <c r="W387" s="292"/>
      <c r="X387" s="292"/>
      <c r="Y387" s="344" t="str">
        <f>IFERROR(__xludf.DUMMYFUNCTION("""COMPUTED_VALUE"""),"#N/A")</f>
        <v>#N/A</v>
      </c>
      <c r="Z387" s="343" t="str">
        <f>IFERROR(__xludf.DUMMYFUNCTION("""COMPUTED_VALUE"""),"#N/A")</f>
        <v>#N/A</v>
      </c>
      <c r="AA387" s="292" t="str">
        <f>IFERROR(__xludf.DUMMYFUNCTION("""COMPUTED_VALUE"""),"#N/A")</f>
        <v>#N/A</v>
      </c>
      <c r="AB387" s="292" t="str">
        <f>IFERROR(__xludf.DUMMYFUNCTION("""COMPUTED_VALUE"""),"#N/A")</f>
        <v>#N/A</v>
      </c>
      <c r="AC387" s="292" t="str">
        <f>IFERROR(__xludf.DUMMYFUNCTION("""COMPUTED_VALUE"""),"#N/A")</f>
        <v>#N/A</v>
      </c>
      <c r="AD387" s="292" t="str">
        <f>IFERROR(__xludf.DUMMYFUNCTION("""COMPUTED_VALUE"""),"#N/A")</f>
        <v>#N/A</v>
      </c>
      <c r="AE387" s="343" t="str">
        <f>IFERROR(__xludf.DUMMYFUNCTION("""COMPUTED_VALUE"""),"#N/A")</f>
        <v>#N/A</v>
      </c>
      <c r="AF387" s="292"/>
      <c r="AG387" s="292"/>
      <c r="AH387" s="292"/>
      <c r="AI387" s="292"/>
      <c r="AJ387" s="292"/>
      <c r="AK387" s="292"/>
      <c r="AL387" s="292"/>
      <c r="AM387" s="292"/>
      <c r="AN387" s="292"/>
      <c r="AO387" s="292"/>
      <c r="AP387" s="292"/>
      <c r="AQ387" s="292"/>
      <c r="AR387" s="292"/>
      <c r="AS387" s="292"/>
      <c r="AT387" s="292"/>
      <c r="AU387" s="292"/>
      <c r="AV387" s="292"/>
      <c r="AW387" s="292"/>
      <c r="AX387" s="292"/>
      <c r="AY387" s="292"/>
      <c r="AZ387" s="292"/>
      <c r="BA387" s="292"/>
      <c r="BB387" s="292"/>
      <c r="BC387" s="292"/>
      <c r="BD387" s="292"/>
      <c r="BE387" s="292"/>
      <c r="BF387" s="292"/>
      <c r="BG387" s="292"/>
      <c r="BH387" s="292"/>
      <c r="BI387" s="292"/>
      <c r="BJ387" s="292"/>
      <c r="BK387" s="292"/>
      <c r="BL387" s="292"/>
      <c r="BM387" s="292"/>
      <c r="BN387" s="292"/>
      <c r="BO387" s="292"/>
      <c r="BP387" s="292"/>
      <c r="BQ387" s="292"/>
      <c r="BR387" s="292"/>
      <c r="BS387" s="292"/>
      <c r="BT387" s="292"/>
      <c r="BU387" s="292"/>
      <c r="BV387" s="292"/>
      <c r="BW387" s="292"/>
    </row>
    <row r="388">
      <c r="A388" s="292"/>
      <c r="B388" s="292" t="str">
        <f>IFERROR(__xludf.DUMMYFUNCTION("""COMPUTED_VALUE"""),"")</f>
        <v/>
      </c>
      <c r="C388" s="292"/>
      <c r="D388" s="292" t="str">
        <f>IFERROR(__xludf.DUMMYFUNCTION("""COMPUTED_VALUE"""),"")</f>
        <v/>
      </c>
      <c r="E388" s="292" t="str">
        <f>IFERROR(__xludf.DUMMYFUNCTION("""COMPUTED_VALUE"""),"")</f>
        <v/>
      </c>
      <c r="F388" s="292"/>
      <c r="G388" s="292" t="str">
        <f>IFERROR(__xludf.DUMMYFUNCTION("""COMPUTED_VALUE"""),"")</f>
        <v/>
      </c>
      <c r="H388" s="292" t="str">
        <f>IFERROR(__xludf.DUMMYFUNCTION("""COMPUTED_VALUE"""),"")</f>
        <v/>
      </c>
      <c r="I388" s="292"/>
      <c r="J388" s="292"/>
      <c r="K388" s="292"/>
      <c r="L388" s="292"/>
      <c r="M388" s="292" t="str">
        <f>IFERROR(__xludf.DUMMYFUNCTION("""COMPUTED_VALUE"""),"")</f>
        <v/>
      </c>
      <c r="N388" s="292"/>
      <c r="O388" s="292"/>
      <c r="P388" s="292"/>
      <c r="Q388" s="292"/>
      <c r="R388" s="292"/>
      <c r="S388" s="292"/>
      <c r="T388" s="292"/>
      <c r="U388" s="292"/>
      <c r="V388" s="292"/>
      <c r="W388" s="292"/>
      <c r="X388" s="292"/>
      <c r="Y388" s="344" t="str">
        <f>IFERROR(__xludf.DUMMYFUNCTION("""COMPUTED_VALUE"""),"#N/A")</f>
        <v>#N/A</v>
      </c>
      <c r="Z388" s="343" t="str">
        <f>IFERROR(__xludf.DUMMYFUNCTION("""COMPUTED_VALUE"""),"#N/A")</f>
        <v>#N/A</v>
      </c>
      <c r="AA388" s="292" t="str">
        <f>IFERROR(__xludf.DUMMYFUNCTION("""COMPUTED_VALUE"""),"#N/A")</f>
        <v>#N/A</v>
      </c>
      <c r="AB388" s="292" t="str">
        <f>IFERROR(__xludf.DUMMYFUNCTION("""COMPUTED_VALUE"""),"#N/A")</f>
        <v>#N/A</v>
      </c>
      <c r="AC388" s="292" t="str">
        <f>IFERROR(__xludf.DUMMYFUNCTION("""COMPUTED_VALUE"""),"#N/A")</f>
        <v>#N/A</v>
      </c>
      <c r="AD388" s="292" t="str">
        <f>IFERROR(__xludf.DUMMYFUNCTION("""COMPUTED_VALUE"""),"#N/A")</f>
        <v>#N/A</v>
      </c>
      <c r="AE388" s="343" t="str">
        <f>IFERROR(__xludf.DUMMYFUNCTION("""COMPUTED_VALUE"""),"#N/A")</f>
        <v>#N/A</v>
      </c>
      <c r="AF388" s="292"/>
      <c r="AG388" s="292"/>
      <c r="AH388" s="292"/>
      <c r="AI388" s="292"/>
      <c r="AJ388" s="292"/>
      <c r="AK388" s="292"/>
      <c r="AL388" s="292"/>
      <c r="AM388" s="292"/>
      <c r="AN388" s="292"/>
      <c r="AO388" s="292"/>
      <c r="AP388" s="292"/>
      <c r="AQ388" s="292"/>
      <c r="AR388" s="292"/>
      <c r="AS388" s="292"/>
      <c r="AT388" s="292"/>
      <c r="AU388" s="292"/>
      <c r="AV388" s="292"/>
      <c r="AW388" s="292"/>
      <c r="AX388" s="292"/>
      <c r="AY388" s="292"/>
      <c r="AZ388" s="292"/>
      <c r="BA388" s="292"/>
      <c r="BB388" s="292"/>
      <c r="BC388" s="292"/>
      <c r="BD388" s="292"/>
      <c r="BE388" s="292"/>
      <c r="BF388" s="292"/>
      <c r="BG388" s="292"/>
      <c r="BH388" s="292"/>
      <c r="BI388" s="292"/>
      <c r="BJ388" s="292"/>
      <c r="BK388" s="292"/>
      <c r="BL388" s="292"/>
      <c r="BM388" s="292"/>
      <c r="BN388" s="292"/>
      <c r="BO388" s="292"/>
      <c r="BP388" s="292"/>
      <c r="BQ388" s="292"/>
      <c r="BR388" s="292"/>
      <c r="BS388" s="292"/>
      <c r="BT388" s="292"/>
      <c r="BU388" s="292"/>
      <c r="BV388" s="292"/>
      <c r="BW388" s="292"/>
    </row>
    <row r="389">
      <c r="A389" s="292"/>
      <c r="B389" s="292" t="str">
        <f>IFERROR(__xludf.DUMMYFUNCTION("""COMPUTED_VALUE"""),"")</f>
        <v/>
      </c>
      <c r="C389" s="292"/>
      <c r="D389" s="292" t="str">
        <f>IFERROR(__xludf.DUMMYFUNCTION("""COMPUTED_VALUE"""),"")</f>
        <v/>
      </c>
      <c r="E389" s="292" t="str">
        <f>IFERROR(__xludf.DUMMYFUNCTION("""COMPUTED_VALUE"""),"")</f>
        <v/>
      </c>
      <c r="F389" s="292"/>
      <c r="G389" s="292" t="str">
        <f>IFERROR(__xludf.DUMMYFUNCTION("""COMPUTED_VALUE"""),"")</f>
        <v/>
      </c>
      <c r="H389" s="292" t="str">
        <f>IFERROR(__xludf.DUMMYFUNCTION("""COMPUTED_VALUE"""),"")</f>
        <v/>
      </c>
      <c r="I389" s="292"/>
      <c r="J389" s="292"/>
      <c r="K389" s="292"/>
      <c r="L389" s="292"/>
      <c r="M389" s="292" t="str">
        <f>IFERROR(__xludf.DUMMYFUNCTION("""COMPUTED_VALUE"""),"")</f>
        <v/>
      </c>
      <c r="N389" s="292"/>
      <c r="O389" s="292"/>
      <c r="P389" s="292"/>
      <c r="Q389" s="292"/>
      <c r="R389" s="292"/>
      <c r="S389" s="292"/>
      <c r="T389" s="292"/>
      <c r="U389" s="292"/>
      <c r="V389" s="292"/>
      <c r="W389" s="292"/>
      <c r="X389" s="292"/>
      <c r="Y389" s="344" t="str">
        <f>IFERROR(__xludf.DUMMYFUNCTION("""COMPUTED_VALUE"""),"#N/A")</f>
        <v>#N/A</v>
      </c>
      <c r="Z389" s="343" t="str">
        <f>IFERROR(__xludf.DUMMYFUNCTION("""COMPUTED_VALUE"""),"#N/A")</f>
        <v>#N/A</v>
      </c>
      <c r="AA389" s="292" t="str">
        <f>IFERROR(__xludf.DUMMYFUNCTION("""COMPUTED_VALUE"""),"#N/A")</f>
        <v>#N/A</v>
      </c>
      <c r="AB389" s="292" t="str">
        <f>IFERROR(__xludf.DUMMYFUNCTION("""COMPUTED_VALUE"""),"#N/A")</f>
        <v>#N/A</v>
      </c>
      <c r="AC389" s="292" t="str">
        <f>IFERROR(__xludf.DUMMYFUNCTION("""COMPUTED_VALUE"""),"#N/A")</f>
        <v>#N/A</v>
      </c>
      <c r="AD389" s="292" t="str">
        <f>IFERROR(__xludf.DUMMYFUNCTION("""COMPUTED_VALUE"""),"#N/A")</f>
        <v>#N/A</v>
      </c>
      <c r="AE389" s="343" t="str">
        <f>IFERROR(__xludf.DUMMYFUNCTION("""COMPUTED_VALUE"""),"#N/A")</f>
        <v>#N/A</v>
      </c>
      <c r="AF389" s="292"/>
      <c r="AG389" s="292"/>
      <c r="AH389" s="292"/>
      <c r="AI389" s="292"/>
      <c r="AJ389" s="292"/>
      <c r="AK389" s="292"/>
      <c r="AL389" s="292"/>
      <c r="AM389" s="292"/>
      <c r="AN389" s="292"/>
      <c r="AO389" s="292"/>
      <c r="AP389" s="292"/>
      <c r="AQ389" s="292"/>
      <c r="AR389" s="292"/>
      <c r="AS389" s="292"/>
      <c r="AT389" s="292"/>
      <c r="AU389" s="292"/>
      <c r="AV389" s="292"/>
      <c r="AW389" s="292"/>
      <c r="AX389" s="292"/>
      <c r="AY389" s="292"/>
      <c r="AZ389" s="292"/>
      <c r="BA389" s="292"/>
      <c r="BB389" s="292"/>
      <c r="BC389" s="292"/>
      <c r="BD389" s="292"/>
      <c r="BE389" s="292"/>
      <c r="BF389" s="292"/>
      <c r="BG389" s="292"/>
      <c r="BH389" s="292"/>
      <c r="BI389" s="292"/>
      <c r="BJ389" s="292"/>
      <c r="BK389" s="292"/>
      <c r="BL389" s="292"/>
      <c r="BM389" s="292"/>
      <c r="BN389" s="292"/>
      <c r="BO389" s="292"/>
      <c r="BP389" s="292"/>
      <c r="BQ389" s="292"/>
      <c r="BR389" s="292"/>
      <c r="BS389" s="292"/>
      <c r="BT389" s="292"/>
      <c r="BU389" s="292"/>
      <c r="BV389" s="292"/>
      <c r="BW389" s="292"/>
    </row>
    <row r="390">
      <c r="A390" s="292"/>
      <c r="B390" s="292" t="str">
        <f>IFERROR(__xludf.DUMMYFUNCTION("""COMPUTED_VALUE"""),"")</f>
        <v/>
      </c>
      <c r="C390" s="292"/>
      <c r="D390" s="292" t="str">
        <f>IFERROR(__xludf.DUMMYFUNCTION("""COMPUTED_VALUE"""),"")</f>
        <v/>
      </c>
      <c r="E390" s="292" t="str">
        <f>IFERROR(__xludf.DUMMYFUNCTION("""COMPUTED_VALUE"""),"")</f>
        <v/>
      </c>
      <c r="F390" s="292"/>
      <c r="G390" s="292" t="str">
        <f>IFERROR(__xludf.DUMMYFUNCTION("""COMPUTED_VALUE"""),"")</f>
        <v/>
      </c>
      <c r="H390" s="292" t="str">
        <f>IFERROR(__xludf.DUMMYFUNCTION("""COMPUTED_VALUE"""),"")</f>
        <v/>
      </c>
      <c r="I390" s="292"/>
      <c r="J390" s="292"/>
      <c r="K390" s="292"/>
      <c r="L390" s="292"/>
      <c r="M390" s="292" t="str">
        <f>IFERROR(__xludf.DUMMYFUNCTION("""COMPUTED_VALUE"""),"")</f>
        <v/>
      </c>
      <c r="N390" s="292"/>
      <c r="O390" s="292"/>
      <c r="P390" s="292"/>
      <c r="Q390" s="292"/>
      <c r="R390" s="292"/>
      <c r="S390" s="292"/>
      <c r="T390" s="292"/>
      <c r="U390" s="292"/>
      <c r="V390" s="292"/>
      <c r="W390" s="292"/>
      <c r="X390" s="292"/>
      <c r="Y390" s="344" t="str">
        <f>IFERROR(__xludf.DUMMYFUNCTION("""COMPUTED_VALUE"""),"#N/A")</f>
        <v>#N/A</v>
      </c>
      <c r="Z390" s="343" t="str">
        <f>IFERROR(__xludf.DUMMYFUNCTION("""COMPUTED_VALUE"""),"#N/A")</f>
        <v>#N/A</v>
      </c>
      <c r="AA390" s="292" t="str">
        <f>IFERROR(__xludf.DUMMYFUNCTION("""COMPUTED_VALUE"""),"#N/A")</f>
        <v>#N/A</v>
      </c>
      <c r="AB390" s="292" t="str">
        <f>IFERROR(__xludf.DUMMYFUNCTION("""COMPUTED_VALUE"""),"#N/A")</f>
        <v>#N/A</v>
      </c>
      <c r="AC390" s="292" t="str">
        <f>IFERROR(__xludf.DUMMYFUNCTION("""COMPUTED_VALUE"""),"#N/A")</f>
        <v>#N/A</v>
      </c>
      <c r="AD390" s="292" t="str">
        <f>IFERROR(__xludf.DUMMYFUNCTION("""COMPUTED_VALUE"""),"#N/A")</f>
        <v>#N/A</v>
      </c>
      <c r="AE390" s="343" t="str">
        <f>IFERROR(__xludf.DUMMYFUNCTION("""COMPUTED_VALUE"""),"#N/A")</f>
        <v>#N/A</v>
      </c>
      <c r="AF390" s="292"/>
      <c r="AG390" s="292"/>
      <c r="AH390" s="292"/>
      <c r="AI390" s="292"/>
      <c r="AJ390" s="292"/>
      <c r="AK390" s="292"/>
      <c r="AL390" s="292"/>
      <c r="AM390" s="292"/>
      <c r="AN390" s="292"/>
      <c r="AO390" s="292"/>
      <c r="AP390" s="292"/>
      <c r="AQ390" s="292"/>
      <c r="AR390" s="292"/>
      <c r="AS390" s="292"/>
      <c r="AT390" s="292"/>
      <c r="AU390" s="292"/>
      <c r="AV390" s="292"/>
      <c r="AW390" s="292"/>
      <c r="AX390" s="292"/>
      <c r="AY390" s="292"/>
      <c r="AZ390" s="292"/>
      <c r="BA390" s="292"/>
      <c r="BB390" s="292"/>
      <c r="BC390" s="292"/>
      <c r="BD390" s="292"/>
      <c r="BE390" s="292"/>
      <c r="BF390" s="292"/>
      <c r="BG390" s="292"/>
      <c r="BH390" s="292"/>
      <c r="BI390" s="292"/>
      <c r="BJ390" s="292"/>
      <c r="BK390" s="292"/>
      <c r="BL390" s="292"/>
      <c r="BM390" s="292"/>
      <c r="BN390" s="292"/>
      <c r="BO390" s="292"/>
      <c r="BP390" s="292"/>
      <c r="BQ390" s="292"/>
      <c r="BR390" s="292"/>
      <c r="BS390" s="292"/>
      <c r="BT390" s="292"/>
      <c r="BU390" s="292"/>
      <c r="BV390" s="292"/>
      <c r="BW390" s="292"/>
    </row>
    <row r="391">
      <c r="A391" s="292"/>
      <c r="B391" s="292" t="str">
        <f>IFERROR(__xludf.DUMMYFUNCTION("""COMPUTED_VALUE"""),"")</f>
        <v/>
      </c>
      <c r="C391" s="292"/>
      <c r="D391" s="292" t="str">
        <f>IFERROR(__xludf.DUMMYFUNCTION("""COMPUTED_VALUE"""),"")</f>
        <v/>
      </c>
      <c r="E391" s="292" t="str">
        <f>IFERROR(__xludf.DUMMYFUNCTION("""COMPUTED_VALUE"""),"")</f>
        <v/>
      </c>
      <c r="F391" s="292"/>
      <c r="G391" s="292" t="str">
        <f>IFERROR(__xludf.DUMMYFUNCTION("""COMPUTED_VALUE"""),"")</f>
        <v/>
      </c>
      <c r="H391" s="292" t="str">
        <f>IFERROR(__xludf.DUMMYFUNCTION("""COMPUTED_VALUE"""),"")</f>
        <v/>
      </c>
      <c r="I391" s="292"/>
      <c r="J391" s="292"/>
      <c r="K391" s="292"/>
      <c r="L391" s="292"/>
      <c r="M391" s="292" t="str">
        <f>IFERROR(__xludf.DUMMYFUNCTION("""COMPUTED_VALUE"""),"")</f>
        <v/>
      </c>
      <c r="N391" s="292"/>
      <c r="O391" s="292"/>
      <c r="P391" s="292"/>
      <c r="Q391" s="292"/>
      <c r="R391" s="292"/>
      <c r="S391" s="292"/>
      <c r="T391" s="292"/>
      <c r="U391" s="292"/>
      <c r="V391" s="292"/>
      <c r="W391" s="292"/>
      <c r="X391" s="292"/>
      <c r="Y391" s="344" t="str">
        <f>IFERROR(__xludf.DUMMYFUNCTION("""COMPUTED_VALUE"""),"#N/A")</f>
        <v>#N/A</v>
      </c>
      <c r="Z391" s="343" t="str">
        <f>IFERROR(__xludf.DUMMYFUNCTION("""COMPUTED_VALUE"""),"#N/A")</f>
        <v>#N/A</v>
      </c>
      <c r="AA391" s="292" t="str">
        <f>IFERROR(__xludf.DUMMYFUNCTION("""COMPUTED_VALUE"""),"#N/A")</f>
        <v>#N/A</v>
      </c>
      <c r="AB391" s="292" t="str">
        <f>IFERROR(__xludf.DUMMYFUNCTION("""COMPUTED_VALUE"""),"#N/A")</f>
        <v>#N/A</v>
      </c>
      <c r="AC391" s="292" t="str">
        <f>IFERROR(__xludf.DUMMYFUNCTION("""COMPUTED_VALUE"""),"#N/A")</f>
        <v>#N/A</v>
      </c>
      <c r="AD391" s="292" t="str">
        <f>IFERROR(__xludf.DUMMYFUNCTION("""COMPUTED_VALUE"""),"#N/A")</f>
        <v>#N/A</v>
      </c>
      <c r="AE391" s="343" t="str">
        <f>IFERROR(__xludf.DUMMYFUNCTION("""COMPUTED_VALUE"""),"#N/A")</f>
        <v>#N/A</v>
      </c>
      <c r="AF391" s="292"/>
      <c r="AG391" s="292"/>
      <c r="AH391" s="292"/>
      <c r="AI391" s="292"/>
      <c r="AJ391" s="292"/>
      <c r="AK391" s="292"/>
      <c r="AL391" s="292"/>
      <c r="AM391" s="292"/>
      <c r="AN391" s="292"/>
      <c r="AO391" s="292"/>
      <c r="AP391" s="292"/>
      <c r="AQ391" s="292"/>
      <c r="AR391" s="292"/>
      <c r="AS391" s="292"/>
      <c r="AT391" s="292"/>
      <c r="AU391" s="292"/>
      <c r="AV391" s="292"/>
      <c r="AW391" s="292"/>
      <c r="AX391" s="292"/>
      <c r="AY391" s="292"/>
      <c r="AZ391" s="292"/>
      <c r="BA391" s="292"/>
      <c r="BB391" s="292"/>
      <c r="BC391" s="292"/>
      <c r="BD391" s="292"/>
      <c r="BE391" s="292"/>
      <c r="BF391" s="292"/>
      <c r="BG391" s="292"/>
      <c r="BH391" s="292"/>
      <c r="BI391" s="292"/>
      <c r="BJ391" s="292"/>
      <c r="BK391" s="292"/>
      <c r="BL391" s="292"/>
      <c r="BM391" s="292"/>
      <c r="BN391" s="292"/>
      <c r="BO391" s="292"/>
      <c r="BP391" s="292"/>
      <c r="BQ391" s="292"/>
      <c r="BR391" s="292"/>
      <c r="BS391" s="292"/>
      <c r="BT391" s="292"/>
      <c r="BU391" s="292"/>
      <c r="BV391" s="292"/>
      <c r="BW391" s="292"/>
    </row>
    <row r="392">
      <c r="A392" s="292"/>
      <c r="B392" s="292" t="str">
        <f>IFERROR(__xludf.DUMMYFUNCTION("""COMPUTED_VALUE"""),"")</f>
        <v/>
      </c>
      <c r="C392" s="292"/>
      <c r="D392" s="292" t="str">
        <f>IFERROR(__xludf.DUMMYFUNCTION("""COMPUTED_VALUE"""),"")</f>
        <v/>
      </c>
      <c r="E392" s="292" t="str">
        <f>IFERROR(__xludf.DUMMYFUNCTION("""COMPUTED_VALUE"""),"")</f>
        <v/>
      </c>
      <c r="F392" s="292"/>
      <c r="G392" s="292" t="str">
        <f>IFERROR(__xludf.DUMMYFUNCTION("""COMPUTED_VALUE"""),"")</f>
        <v/>
      </c>
      <c r="H392" s="292" t="str">
        <f>IFERROR(__xludf.DUMMYFUNCTION("""COMPUTED_VALUE"""),"")</f>
        <v/>
      </c>
      <c r="I392" s="292"/>
      <c r="J392" s="292"/>
      <c r="K392" s="292"/>
      <c r="L392" s="292"/>
      <c r="M392" s="292" t="str">
        <f>IFERROR(__xludf.DUMMYFUNCTION("""COMPUTED_VALUE"""),"")</f>
        <v/>
      </c>
      <c r="N392" s="292"/>
      <c r="O392" s="292"/>
      <c r="P392" s="292"/>
      <c r="Q392" s="292"/>
      <c r="R392" s="292"/>
      <c r="S392" s="292"/>
      <c r="T392" s="292"/>
      <c r="U392" s="292"/>
      <c r="V392" s="292"/>
      <c r="W392" s="292"/>
      <c r="X392" s="292"/>
      <c r="Y392" s="344" t="str">
        <f>IFERROR(__xludf.DUMMYFUNCTION("""COMPUTED_VALUE"""),"#N/A")</f>
        <v>#N/A</v>
      </c>
      <c r="Z392" s="343" t="str">
        <f>IFERROR(__xludf.DUMMYFUNCTION("""COMPUTED_VALUE"""),"#N/A")</f>
        <v>#N/A</v>
      </c>
      <c r="AA392" s="292" t="str">
        <f>IFERROR(__xludf.DUMMYFUNCTION("""COMPUTED_VALUE"""),"#N/A")</f>
        <v>#N/A</v>
      </c>
      <c r="AB392" s="292" t="str">
        <f>IFERROR(__xludf.DUMMYFUNCTION("""COMPUTED_VALUE"""),"#N/A")</f>
        <v>#N/A</v>
      </c>
      <c r="AC392" s="292" t="str">
        <f>IFERROR(__xludf.DUMMYFUNCTION("""COMPUTED_VALUE"""),"#N/A")</f>
        <v>#N/A</v>
      </c>
      <c r="AD392" s="292" t="str">
        <f>IFERROR(__xludf.DUMMYFUNCTION("""COMPUTED_VALUE"""),"#N/A")</f>
        <v>#N/A</v>
      </c>
      <c r="AE392" s="343" t="str">
        <f>IFERROR(__xludf.DUMMYFUNCTION("""COMPUTED_VALUE"""),"#N/A")</f>
        <v>#N/A</v>
      </c>
      <c r="AF392" s="292"/>
      <c r="AG392" s="292"/>
      <c r="AH392" s="292"/>
      <c r="AI392" s="292"/>
      <c r="AJ392" s="292"/>
      <c r="AK392" s="292"/>
      <c r="AL392" s="292"/>
      <c r="AM392" s="292"/>
      <c r="AN392" s="292"/>
      <c r="AO392" s="292"/>
      <c r="AP392" s="292"/>
      <c r="AQ392" s="292"/>
      <c r="AR392" s="292"/>
      <c r="AS392" s="292"/>
      <c r="AT392" s="292"/>
      <c r="AU392" s="292"/>
      <c r="AV392" s="292"/>
      <c r="AW392" s="292"/>
      <c r="AX392" s="292"/>
      <c r="AY392" s="292"/>
      <c r="AZ392" s="292"/>
      <c r="BA392" s="292"/>
      <c r="BB392" s="292"/>
      <c r="BC392" s="292"/>
      <c r="BD392" s="292"/>
      <c r="BE392" s="292"/>
      <c r="BF392" s="292"/>
      <c r="BG392" s="292"/>
      <c r="BH392" s="292"/>
      <c r="BI392" s="292"/>
      <c r="BJ392" s="292"/>
      <c r="BK392" s="292"/>
      <c r="BL392" s="292"/>
      <c r="BM392" s="292"/>
      <c r="BN392" s="292"/>
      <c r="BO392" s="292"/>
      <c r="BP392" s="292"/>
      <c r="BQ392" s="292"/>
      <c r="BR392" s="292"/>
      <c r="BS392" s="292"/>
      <c r="BT392" s="292"/>
      <c r="BU392" s="292"/>
      <c r="BV392" s="292"/>
      <c r="BW392" s="292"/>
    </row>
    <row r="393">
      <c r="A393" s="292"/>
      <c r="B393" s="292" t="str">
        <f>IFERROR(__xludf.DUMMYFUNCTION("""COMPUTED_VALUE"""),"")</f>
        <v/>
      </c>
      <c r="C393" s="292"/>
      <c r="D393" s="292" t="str">
        <f>IFERROR(__xludf.DUMMYFUNCTION("""COMPUTED_VALUE"""),"")</f>
        <v/>
      </c>
      <c r="E393" s="292" t="str">
        <f>IFERROR(__xludf.DUMMYFUNCTION("""COMPUTED_VALUE"""),"")</f>
        <v/>
      </c>
      <c r="F393" s="292"/>
      <c r="G393" s="292" t="str">
        <f>IFERROR(__xludf.DUMMYFUNCTION("""COMPUTED_VALUE"""),"")</f>
        <v/>
      </c>
      <c r="H393" s="292" t="str">
        <f>IFERROR(__xludf.DUMMYFUNCTION("""COMPUTED_VALUE"""),"")</f>
        <v/>
      </c>
      <c r="I393" s="292"/>
      <c r="J393" s="292"/>
      <c r="K393" s="292"/>
      <c r="L393" s="292"/>
      <c r="M393" s="292" t="str">
        <f>IFERROR(__xludf.DUMMYFUNCTION("""COMPUTED_VALUE"""),"")</f>
        <v/>
      </c>
      <c r="N393" s="292"/>
      <c r="O393" s="292"/>
      <c r="P393" s="292"/>
      <c r="Q393" s="292"/>
      <c r="R393" s="292"/>
      <c r="S393" s="292"/>
      <c r="T393" s="292"/>
      <c r="U393" s="292"/>
      <c r="V393" s="292"/>
      <c r="W393" s="292"/>
      <c r="X393" s="292"/>
      <c r="Y393" s="344" t="str">
        <f>IFERROR(__xludf.DUMMYFUNCTION("""COMPUTED_VALUE"""),"#N/A")</f>
        <v>#N/A</v>
      </c>
      <c r="Z393" s="343" t="str">
        <f>IFERROR(__xludf.DUMMYFUNCTION("""COMPUTED_VALUE"""),"#N/A")</f>
        <v>#N/A</v>
      </c>
      <c r="AA393" s="292" t="str">
        <f>IFERROR(__xludf.DUMMYFUNCTION("""COMPUTED_VALUE"""),"#N/A")</f>
        <v>#N/A</v>
      </c>
      <c r="AB393" s="292" t="str">
        <f>IFERROR(__xludf.DUMMYFUNCTION("""COMPUTED_VALUE"""),"#N/A")</f>
        <v>#N/A</v>
      </c>
      <c r="AC393" s="292" t="str">
        <f>IFERROR(__xludf.DUMMYFUNCTION("""COMPUTED_VALUE"""),"#N/A")</f>
        <v>#N/A</v>
      </c>
      <c r="AD393" s="292" t="str">
        <f>IFERROR(__xludf.DUMMYFUNCTION("""COMPUTED_VALUE"""),"#N/A")</f>
        <v>#N/A</v>
      </c>
      <c r="AE393" s="343" t="str">
        <f>IFERROR(__xludf.DUMMYFUNCTION("""COMPUTED_VALUE"""),"#N/A")</f>
        <v>#N/A</v>
      </c>
      <c r="AF393" s="292"/>
      <c r="AG393" s="292"/>
      <c r="AH393" s="292"/>
      <c r="AI393" s="292"/>
      <c r="AJ393" s="292"/>
      <c r="AK393" s="292"/>
      <c r="AL393" s="292"/>
      <c r="AM393" s="292"/>
      <c r="AN393" s="292"/>
      <c r="AO393" s="292"/>
      <c r="AP393" s="292"/>
      <c r="AQ393" s="292"/>
      <c r="AR393" s="292"/>
      <c r="AS393" s="292"/>
      <c r="AT393" s="292"/>
      <c r="AU393" s="292"/>
      <c r="AV393" s="292"/>
      <c r="AW393" s="292"/>
      <c r="AX393" s="292"/>
      <c r="AY393" s="292"/>
      <c r="AZ393" s="292"/>
      <c r="BA393" s="292"/>
      <c r="BB393" s="292"/>
      <c r="BC393" s="292"/>
      <c r="BD393" s="292"/>
      <c r="BE393" s="292"/>
      <c r="BF393" s="292"/>
      <c r="BG393" s="292"/>
      <c r="BH393" s="292"/>
      <c r="BI393" s="292"/>
      <c r="BJ393" s="292"/>
      <c r="BK393" s="292"/>
      <c r="BL393" s="292"/>
      <c r="BM393" s="292"/>
      <c r="BN393" s="292"/>
      <c r="BO393" s="292"/>
      <c r="BP393" s="292"/>
      <c r="BQ393" s="292"/>
      <c r="BR393" s="292"/>
      <c r="BS393" s="292"/>
      <c r="BT393" s="292"/>
      <c r="BU393" s="292"/>
      <c r="BV393" s="292"/>
      <c r="BW393" s="292"/>
    </row>
    <row r="394">
      <c r="A394" s="292"/>
      <c r="B394" s="292" t="str">
        <f>IFERROR(__xludf.DUMMYFUNCTION("""COMPUTED_VALUE"""),"")</f>
        <v/>
      </c>
      <c r="C394" s="292"/>
      <c r="D394" s="292" t="str">
        <f>IFERROR(__xludf.DUMMYFUNCTION("""COMPUTED_VALUE"""),"")</f>
        <v/>
      </c>
      <c r="E394" s="292" t="str">
        <f>IFERROR(__xludf.DUMMYFUNCTION("""COMPUTED_VALUE"""),"")</f>
        <v/>
      </c>
      <c r="F394" s="292"/>
      <c r="G394" s="292" t="str">
        <f>IFERROR(__xludf.DUMMYFUNCTION("""COMPUTED_VALUE"""),"")</f>
        <v/>
      </c>
      <c r="H394" s="292" t="str">
        <f>IFERROR(__xludf.DUMMYFUNCTION("""COMPUTED_VALUE"""),"")</f>
        <v/>
      </c>
      <c r="I394" s="292"/>
      <c r="J394" s="292"/>
      <c r="K394" s="292"/>
      <c r="L394" s="292"/>
      <c r="M394" s="292" t="str">
        <f>IFERROR(__xludf.DUMMYFUNCTION("""COMPUTED_VALUE"""),"")</f>
        <v/>
      </c>
      <c r="N394" s="292"/>
      <c r="O394" s="292"/>
      <c r="P394" s="292"/>
      <c r="Q394" s="292"/>
      <c r="R394" s="292"/>
      <c r="S394" s="292"/>
      <c r="T394" s="292"/>
      <c r="U394" s="292"/>
      <c r="V394" s="292"/>
      <c r="W394" s="292"/>
      <c r="X394" s="292"/>
      <c r="Y394" s="344" t="str">
        <f>IFERROR(__xludf.DUMMYFUNCTION("""COMPUTED_VALUE"""),"#N/A")</f>
        <v>#N/A</v>
      </c>
      <c r="Z394" s="343" t="str">
        <f>IFERROR(__xludf.DUMMYFUNCTION("""COMPUTED_VALUE"""),"#N/A")</f>
        <v>#N/A</v>
      </c>
      <c r="AA394" s="292" t="str">
        <f>IFERROR(__xludf.DUMMYFUNCTION("""COMPUTED_VALUE"""),"#N/A")</f>
        <v>#N/A</v>
      </c>
      <c r="AB394" s="292" t="str">
        <f>IFERROR(__xludf.DUMMYFUNCTION("""COMPUTED_VALUE"""),"#N/A")</f>
        <v>#N/A</v>
      </c>
      <c r="AC394" s="292" t="str">
        <f>IFERROR(__xludf.DUMMYFUNCTION("""COMPUTED_VALUE"""),"#N/A")</f>
        <v>#N/A</v>
      </c>
      <c r="AD394" s="292" t="str">
        <f>IFERROR(__xludf.DUMMYFUNCTION("""COMPUTED_VALUE"""),"#N/A")</f>
        <v>#N/A</v>
      </c>
      <c r="AE394" s="343" t="str">
        <f>IFERROR(__xludf.DUMMYFUNCTION("""COMPUTED_VALUE"""),"#N/A")</f>
        <v>#N/A</v>
      </c>
      <c r="AF394" s="292"/>
      <c r="AG394" s="292"/>
      <c r="AH394" s="292"/>
      <c r="AI394" s="292"/>
      <c r="AJ394" s="292"/>
      <c r="AK394" s="292"/>
      <c r="AL394" s="292"/>
      <c r="AM394" s="292"/>
      <c r="AN394" s="292"/>
      <c r="AO394" s="292"/>
      <c r="AP394" s="292"/>
      <c r="AQ394" s="292"/>
      <c r="AR394" s="292"/>
      <c r="AS394" s="292"/>
      <c r="AT394" s="292"/>
      <c r="AU394" s="292"/>
      <c r="AV394" s="292"/>
      <c r="AW394" s="292"/>
      <c r="AX394" s="292"/>
      <c r="AY394" s="292"/>
      <c r="AZ394" s="292"/>
      <c r="BA394" s="292"/>
      <c r="BB394" s="292"/>
      <c r="BC394" s="292"/>
      <c r="BD394" s="292"/>
      <c r="BE394" s="292"/>
      <c r="BF394" s="292"/>
      <c r="BG394" s="292"/>
      <c r="BH394" s="292"/>
      <c r="BI394" s="292"/>
      <c r="BJ394" s="292"/>
      <c r="BK394" s="292"/>
      <c r="BL394" s="292"/>
      <c r="BM394" s="292"/>
      <c r="BN394" s="292"/>
      <c r="BO394" s="292"/>
      <c r="BP394" s="292"/>
      <c r="BQ394" s="292"/>
      <c r="BR394" s="292"/>
      <c r="BS394" s="292"/>
      <c r="BT394" s="292"/>
      <c r="BU394" s="292"/>
      <c r="BV394" s="292"/>
      <c r="BW394" s="292"/>
    </row>
    <row r="395">
      <c r="A395" s="292"/>
      <c r="B395" s="292" t="str">
        <f>IFERROR(__xludf.DUMMYFUNCTION("""COMPUTED_VALUE"""),"")</f>
        <v/>
      </c>
      <c r="C395" s="292"/>
      <c r="D395" s="292" t="str">
        <f>IFERROR(__xludf.DUMMYFUNCTION("""COMPUTED_VALUE"""),"")</f>
        <v/>
      </c>
      <c r="E395" s="292" t="str">
        <f>IFERROR(__xludf.DUMMYFUNCTION("""COMPUTED_VALUE"""),"")</f>
        <v/>
      </c>
      <c r="F395" s="292"/>
      <c r="G395" s="292" t="str">
        <f>IFERROR(__xludf.DUMMYFUNCTION("""COMPUTED_VALUE"""),"")</f>
        <v/>
      </c>
      <c r="H395" s="292" t="str">
        <f>IFERROR(__xludf.DUMMYFUNCTION("""COMPUTED_VALUE"""),"")</f>
        <v/>
      </c>
      <c r="I395" s="292"/>
      <c r="J395" s="292"/>
      <c r="K395" s="292"/>
      <c r="L395" s="292"/>
      <c r="M395" s="292" t="str">
        <f>IFERROR(__xludf.DUMMYFUNCTION("""COMPUTED_VALUE"""),"")</f>
        <v/>
      </c>
      <c r="N395" s="292"/>
      <c r="O395" s="292"/>
      <c r="P395" s="292"/>
      <c r="Q395" s="292"/>
      <c r="R395" s="292"/>
      <c r="S395" s="292"/>
      <c r="T395" s="292"/>
      <c r="U395" s="292"/>
      <c r="V395" s="292"/>
      <c r="W395" s="292"/>
      <c r="X395" s="292"/>
      <c r="Y395" s="344" t="str">
        <f>IFERROR(__xludf.DUMMYFUNCTION("""COMPUTED_VALUE"""),"#N/A")</f>
        <v>#N/A</v>
      </c>
      <c r="Z395" s="343" t="str">
        <f>IFERROR(__xludf.DUMMYFUNCTION("""COMPUTED_VALUE"""),"#N/A")</f>
        <v>#N/A</v>
      </c>
      <c r="AA395" s="292" t="str">
        <f>IFERROR(__xludf.DUMMYFUNCTION("""COMPUTED_VALUE"""),"#N/A")</f>
        <v>#N/A</v>
      </c>
      <c r="AB395" s="292" t="str">
        <f>IFERROR(__xludf.DUMMYFUNCTION("""COMPUTED_VALUE"""),"#N/A")</f>
        <v>#N/A</v>
      </c>
      <c r="AC395" s="292" t="str">
        <f>IFERROR(__xludf.DUMMYFUNCTION("""COMPUTED_VALUE"""),"#N/A")</f>
        <v>#N/A</v>
      </c>
      <c r="AD395" s="292" t="str">
        <f>IFERROR(__xludf.DUMMYFUNCTION("""COMPUTED_VALUE"""),"#N/A")</f>
        <v>#N/A</v>
      </c>
      <c r="AE395" s="343" t="str">
        <f>IFERROR(__xludf.DUMMYFUNCTION("""COMPUTED_VALUE"""),"#N/A")</f>
        <v>#N/A</v>
      </c>
      <c r="AF395" s="292"/>
      <c r="AG395" s="292"/>
      <c r="AH395" s="292"/>
      <c r="AI395" s="292"/>
      <c r="AJ395" s="292"/>
      <c r="AK395" s="292"/>
      <c r="AL395" s="292"/>
      <c r="AM395" s="292"/>
      <c r="AN395" s="292"/>
      <c r="AO395" s="292"/>
      <c r="AP395" s="292"/>
      <c r="AQ395" s="292"/>
      <c r="AR395" s="292"/>
      <c r="AS395" s="292"/>
      <c r="AT395" s="292"/>
      <c r="AU395" s="292"/>
      <c r="AV395" s="292"/>
      <c r="AW395" s="292"/>
      <c r="AX395" s="292"/>
      <c r="AY395" s="292"/>
      <c r="AZ395" s="292"/>
      <c r="BA395" s="292"/>
      <c r="BB395" s="292"/>
      <c r="BC395" s="292"/>
      <c r="BD395" s="292"/>
      <c r="BE395" s="292"/>
      <c r="BF395" s="292"/>
      <c r="BG395" s="292"/>
      <c r="BH395" s="292"/>
      <c r="BI395" s="292"/>
      <c r="BJ395" s="292"/>
      <c r="BK395" s="292"/>
      <c r="BL395" s="292"/>
      <c r="BM395" s="292"/>
      <c r="BN395" s="292"/>
      <c r="BO395" s="292"/>
      <c r="BP395" s="292"/>
      <c r="BQ395" s="292"/>
      <c r="BR395" s="292"/>
      <c r="BS395" s="292"/>
      <c r="BT395" s="292"/>
      <c r="BU395" s="292"/>
      <c r="BV395" s="292"/>
      <c r="BW395" s="292"/>
    </row>
    <row r="396">
      <c r="A396" s="292"/>
      <c r="B396" s="292" t="str">
        <f>IFERROR(__xludf.DUMMYFUNCTION("""COMPUTED_VALUE"""),"")</f>
        <v/>
      </c>
      <c r="C396" s="292"/>
      <c r="D396" s="292" t="str">
        <f>IFERROR(__xludf.DUMMYFUNCTION("""COMPUTED_VALUE"""),"")</f>
        <v/>
      </c>
      <c r="E396" s="292" t="str">
        <f>IFERROR(__xludf.DUMMYFUNCTION("""COMPUTED_VALUE"""),"")</f>
        <v/>
      </c>
      <c r="F396" s="292"/>
      <c r="G396" s="292" t="str">
        <f>IFERROR(__xludf.DUMMYFUNCTION("""COMPUTED_VALUE"""),"")</f>
        <v/>
      </c>
      <c r="H396" s="292" t="str">
        <f>IFERROR(__xludf.DUMMYFUNCTION("""COMPUTED_VALUE"""),"")</f>
        <v/>
      </c>
      <c r="I396" s="292"/>
      <c r="J396" s="292"/>
      <c r="K396" s="292"/>
      <c r="L396" s="292"/>
      <c r="M396" s="292" t="str">
        <f>IFERROR(__xludf.DUMMYFUNCTION("""COMPUTED_VALUE"""),"")</f>
        <v/>
      </c>
      <c r="N396" s="292"/>
      <c r="O396" s="292"/>
      <c r="P396" s="292"/>
      <c r="Q396" s="292"/>
      <c r="R396" s="292"/>
      <c r="S396" s="292"/>
      <c r="T396" s="292"/>
      <c r="U396" s="292"/>
      <c r="V396" s="292"/>
      <c r="W396" s="292"/>
      <c r="X396" s="292"/>
      <c r="Y396" s="344" t="str">
        <f>IFERROR(__xludf.DUMMYFUNCTION("""COMPUTED_VALUE"""),"#N/A")</f>
        <v>#N/A</v>
      </c>
      <c r="Z396" s="343" t="str">
        <f>IFERROR(__xludf.DUMMYFUNCTION("""COMPUTED_VALUE"""),"#N/A")</f>
        <v>#N/A</v>
      </c>
      <c r="AA396" s="292" t="str">
        <f>IFERROR(__xludf.DUMMYFUNCTION("""COMPUTED_VALUE"""),"#N/A")</f>
        <v>#N/A</v>
      </c>
      <c r="AB396" s="292" t="str">
        <f>IFERROR(__xludf.DUMMYFUNCTION("""COMPUTED_VALUE"""),"#N/A")</f>
        <v>#N/A</v>
      </c>
      <c r="AC396" s="292" t="str">
        <f>IFERROR(__xludf.DUMMYFUNCTION("""COMPUTED_VALUE"""),"#N/A")</f>
        <v>#N/A</v>
      </c>
      <c r="AD396" s="292" t="str">
        <f>IFERROR(__xludf.DUMMYFUNCTION("""COMPUTED_VALUE"""),"#N/A")</f>
        <v>#N/A</v>
      </c>
      <c r="AE396" s="343" t="str">
        <f>IFERROR(__xludf.DUMMYFUNCTION("""COMPUTED_VALUE"""),"#N/A")</f>
        <v>#N/A</v>
      </c>
      <c r="AF396" s="292"/>
      <c r="AG396" s="292"/>
      <c r="AH396" s="292"/>
      <c r="AI396" s="292"/>
      <c r="AJ396" s="292"/>
      <c r="AK396" s="292"/>
      <c r="AL396" s="292"/>
      <c r="AM396" s="292"/>
      <c r="AN396" s="292"/>
      <c r="AO396" s="292"/>
      <c r="AP396" s="292"/>
      <c r="AQ396" s="292"/>
      <c r="AR396" s="292"/>
      <c r="AS396" s="292"/>
      <c r="AT396" s="292"/>
      <c r="AU396" s="292"/>
      <c r="AV396" s="292"/>
      <c r="AW396" s="292"/>
      <c r="AX396" s="292"/>
      <c r="AY396" s="292"/>
      <c r="AZ396" s="292"/>
      <c r="BA396" s="292"/>
      <c r="BB396" s="292"/>
      <c r="BC396" s="292"/>
      <c r="BD396" s="292"/>
      <c r="BE396" s="292"/>
      <c r="BF396" s="292"/>
      <c r="BG396" s="292"/>
      <c r="BH396" s="292"/>
      <c r="BI396" s="292"/>
      <c r="BJ396" s="292"/>
      <c r="BK396" s="292"/>
      <c r="BL396" s="292"/>
      <c r="BM396" s="292"/>
      <c r="BN396" s="292"/>
      <c r="BO396" s="292"/>
      <c r="BP396" s="292"/>
      <c r="BQ396" s="292"/>
      <c r="BR396" s="292"/>
      <c r="BS396" s="292"/>
      <c r="BT396" s="292"/>
      <c r="BU396" s="292"/>
      <c r="BV396" s="292"/>
      <c r="BW396" s="292"/>
    </row>
    <row r="397">
      <c r="A397" s="292"/>
      <c r="B397" s="292" t="str">
        <f>IFERROR(__xludf.DUMMYFUNCTION("""COMPUTED_VALUE"""),"")</f>
        <v/>
      </c>
      <c r="C397" s="292"/>
      <c r="D397" s="292" t="str">
        <f>IFERROR(__xludf.DUMMYFUNCTION("""COMPUTED_VALUE"""),"")</f>
        <v/>
      </c>
      <c r="E397" s="292" t="str">
        <f>IFERROR(__xludf.DUMMYFUNCTION("""COMPUTED_VALUE"""),"")</f>
        <v/>
      </c>
      <c r="F397" s="292"/>
      <c r="G397" s="292" t="str">
        <f>IFERROR(__xludf.DUMMYFUNCTION("""COMPUTED_VALUE"""),"")</f>
        <v/>
      </c>
      <c r="H397" s="292" t="str">
        <f>IFERROR(__xludf.DUMMYFUNCTION("""COMPUTED_VALUE"""),"")</f>
        <v/>
      </c>
      <c r="I397" s="292"/>
      <c r="J397" s="292"/>
      <c r="K397" s="292"/>
      <c r="L397" s="292"/>
      <c r="M397" s="292" t="str">
        <f>IFERROR(__xludf.DUMMYFUNCTION("""COMPUTED_VALUE"""),"")</f>
        <v/>
      </c>
      <c r="N397" s="292"/>
      <c r="O397" s="292"/>
      <c r="P397" s="292"/>
      <c r="Q397" s="292"/>
      <c r="R397" s="292"/>
      <c r="S397" s="292"/>
      <c r="T397" s="292"/>
      <c r="U397" s="292"/>
      <c r="V397" s="292"/>
      <c r="W397" s="292"/>
      <c r="X397" s="292"/>
      <c r="Y397" s="344" t="str">
        <f>IFERROR(__xludf.DUMMYFUNCTION("""COMPUTED_VALUE"""),"#N/A")</f>
        <v>#N/A</v>
      </c>
      <c r="Z397" s="343" t="str">
        <f>IFERROR(__xludf.DUMMYFUNCTION("""COMPUTED_VALUE"""),"#N/A")</f>
        <v>#N/A</v>
      </c>
      <c r="AA397" s="292" t="str">
        <f>IFERROR(__xludf.DUMMYFUNCTION("""COMPUTED_VALUE"""),"#N/A")</f>
        <v>#N/A</v>
      </c>
      <c r="AB397" s="292" t="str">
        <f>IFERROR(__xludf.DUMMYFUNCTION("""COMPUTED_VALUE"""),"#N/A")</f>
        <v>#N/A</v>
      </c>
      <c r="AC397" s="292" t="str">
        <f>IFERROR(__xludf.DUMMYFUNCTION("""COMPUTED_VALUE"""),"#N/A")</f>
        <v>#N/A</v>
      </c>
      <c r="AD397" s="292" t="str">
        <f>IFERROR(__xludf.DUMMYFUNCTION("""COMPUTED_VALUE"""),"#N/A")</f>
        <v>#N/A</v>
      </c>
      <c r="AE397" s="343" t="str">
        <f>IFERROR(__xludf.DUMMYFUNCTION("""COMPUTED_VALUE"""),"#N/A")</f>
        <v>#N/A</v>
      </c>
      <c r="AF397" s="292"/>
      <c r="AG397" s="292"/>
      <c r="AH397" s="292"/>
      <c r="AI397" s="292"/>
      <c r="AJ397" s="292"/>
      <c r="AK397" s="292"/>
      <c r="AL397" s="292"/>
      <c r="AM397" s="292"/>
      <c r="AN397" s="292"/>
      <c r="AO397" s="292"/>
      <c r="AP397" s="292"/>
      <c r="AQ397" s="292"/>
      <c r="AR397" s="292"/>
      <c r="AS397" s="292"/>
      <c r="AT397" s="292"/>
      <c r="AU397" s="292"/>
      <c r="AV397" s="292"/>
      <c r="AW397" s="292"/>
      <c r="AX397" s="292"/>
      <c r="AY397" s="292"/>
      <c r="AZ397" s="292"/>
      <c r="BA397" s="292"/>
      <c r="BB397" s="292"/>
      <c r="BC397" s="292"/>
      <c r="BD397" s="292"/>
      <c r="BE397" s="292"/>
      <c r="BF397" s="292"/>
      <c r="BG397" s="292"/>
      <c r="BH397" s="292"/>
      <c r="BI397" s="292"/>
      <c r="BJ397" s="292"/>
      <c r="BK397" s="292"/>
      <c r="BL397" s="292"/>
      <c r="BM397" s="292"/>
      <c r="BN397" s="292"/>
      <c r="BO397" s="292"/>
      <c r="BP397" s="292"/>
      <c r="BQ397" s="292"/>
      <c r="BR397" s="292"/>
      <c r="BS397" s="292"/>
      <c r="BT397" s="292"/>
      <c r="BU397" s="292"/>
      <c r="BV397" s="292"/>
      <c r="BW397" s="292"/>
    </row>
    <row r="398">
      <c r="A398" s="292"/>
      <c r="B398" s="292" t="str">
        <f>IFERROR(__xludf.DUMMYFUNCTION("""COMPUTED_VALUE"""),"")</f>
        <v/>
      </c>
      <c r="C398" s="292"/>
      <c r="D398" s="292" t="str">
        <f>IFERROR(__xludf.DUMMYFUNCTION("""COMPUTED_VALUE"""),"")</f>
        <v/>
      </c>
      <c r="E398" s="292" t="str">
        <f>IFERROR(__xludf.DUMMYFUNCTION("""COMPUTED_VALUE"""),"")</f>
        <v/>
      </c>
      <c r="F398" s="292"/>
      <c r="G398" s="292" t="str">
        <f>IFERROR(__xludf.DUMMYFUNCTION("""COMPUTED_VALUE"""),"")</f>
        <v/>
      </c>
      <c r="H398" s="292" t="str">
        <f>IFERROR(__xludf.DUMMYFUNCTION("""COMPUTED_VALUE"""),"")</f>
        <v/>
      </c>
      <c r="I398" s="292"/>
      <c r="J398" s="292"/>
      <c r="K398" s="292"/>
      <c r="L398" s="292"/>
      <c r="M398" s="292" t="str">
        <f>IFERROR(__xludf.DUMMYFUNCTION("""COMPUTED_VALUE"""),"")</f>
        <v/>
      </c>
      <c r="N398" s="292"/>
      <c r="O398" s="292"/>
      <c r="P398" s="292"/>
      <c r="Q398" s="292"/>
      <c r="R398" s="292"/>
      <c r="S398" s="292"/>
      <c r="T398" s="292"/>
      <c r="U398" s="292"/>
      <c r="V398" s="292"/>
      <c r="W398" s="292"/>
      <c r="X398" s="292"/>
      <c r="Y398" s="344" t="str">
        <f>IFERROR(__xludf.DUMMYFUNCTION("""COMPUTED_VALUE"""),"#N/A")</f>
        <v>#N/A</v>
      </c>
      <c r="Z398" s="343" t="str">
        <f>IFERROR(__xludf.DUMMYFUNCTION("""COMPUTED_VALUE"""),"#N/A")</f>
        <v>#N/A</v>
      </c>
      <c r="AA398" s="292" t="str">
        <f>IFERROR(__xludf.DUMMYFUNCTION("""COMPUTED_VALUE"""),"#N/A")</f>
        <v>#N/A</v>
      </c>
      <c r="AB398" s="292" t="str">
        <f>IFERROR(__xludf.DUMMYFUNCTION("""COMPUTED_VALUE"""),"#N/A")</f>
        <v>#N/A</v>
      </c>
      <c r="AC398" s="292" t="str">
        <f>IFERROR(__xludf.DUMMYFUNCTION("""COMPUTED_VALUE"""),"#N/A")</f>
        <v>#N/A</v>
      </c>
      <c r="AD398" s="292" t="str">
        <f>IFERROR(__xludf.DUMMYFUNCTION("""COMPUTED_VALUE"""),"#N/A")</f>
        <v>#N/A</v>
      </c>
      <c r="AE398" s="343" t="str">
        <f>IFERROR(__xludf.DUMMYFUNCTION("""COMPUTED_VALUE"""),"#N/A")</f>
        <v>#N/A</v>
      </c>
      <c r="AF398" s="292"/>
      <c r="AG398" s="292"/>
      <c r="AH398" s="292"/>
      <c r="AI398" s="292"/>
      <c r="AJ398" s="292"/>
      <c r="AK398" s="292"/>
      <c r="AL398" s="292"/>
      <c r="AM398" s="292"/>
      <c r="AN398" s="292"/>
      <c r="AO398" s="292"/>
      <c r="AP398" s="292"/>
      <c r="AQ398" s="292"/>
      <c r="AR398" s="292"/>
      <c r="AS398" s="292"/>
      <c r="AT398" s="292"/>
      <c r="AU398" s="292"/>
      <c r="AV398" s="292"/>
      <c r="AW398" s="292"/>
      <c r="AX398" s="292"/>
      <c r="AY398" s="292"/>
      <c r="AZ398" s="292"/>
      <c r="BA398" s="292"/>
      <c r="BB398" s="292"/>
      <c r="BC398" s="292"/>
      <c r="BD398" s="292"/>
      <c r="BE398" s="292"/>
      <c r="BF398" s="292"/>
      <c r="BG398" s="292"/>
      <c r="BH398" s="292"/>
      <c r="BI398" s="292"/>
      <c r="BJ398" s="292"/>
      <c r="BK398" s="292"/>
      <c r="BL398" s="292"/>
      <c r="BM398" s="292"/>
      <c r="BN398" s="292"/>
      <c r="BO398" s="292"/>
      <c r="BP398" s="292"/>
      <c r="BQ398" s="292"/>
      <c r="BR398" s="292"/>
      <c r="BS398" s="292"/>
      <c r="BT398" s="292"/>
      <c r="BU398" s="292"/>
      <c r="BV398" s="292"/>
      <c r="BW398" s="292"/>
    </row>
    <row r="399">
      <c r="A399" s="292"/>
      <c r="B399" s="292" t="str">
        <f>IFERROR(__xludf.DUMMYFUNCTION("""COMPUTED_VALUE"""),"")</f>
        <v/>
      </c>
      <c r="C399" s="292"/>
      <c r="D399" s="292" t="str">
        <f>IFERROR(__xludf.DUMMYFUNCTION("""COMPUTED_VALUE"""),"")</f>
        <v/>
      </c>
      <c r="E399" s="292" t="str">
        <f>IFERROR(__xludf.DUMMYFUNCTION("""COMPUTED_VALUE"""),"")</f>
        <v/>
      </c>
      <c r="F399" s="292"/>
      <c r="G399" s="292" t="str">
        <f>IFERROR(__xludf.DUMMYFUNCTION("""COMPUTED_VALUE"""),"")</f>
        <v/>
      </c>
      <c r="H399" s="292" t="str">
        <f>IFERROR(__xludf.DUMMYFUNCTION("""COMPUTED_VALUE"""),"")</f>
        <v/>
      </c>
      <c r="I399" s="292"/>
      <c r="J399" s="292"/>
      <c r="K399" s="292"/>
      <c r="L399" s="292"/>
      <c r="M399" s="292" t="str">
        <f>IFERROR(__xludf.DUMMYFUNCTION("""COMPUTED_VALUE"""),"")</f>
        <v/>
      </c>
      <c r="N399" s="292"/>
      <c r="O399" s="292"/>
      <c r="P399" s="292"/>
      <c r="Q399" s="292"/>
      <c r="R399" s="292"/>
      <c r="S399" s="292"/>
      <c r="T399" s="292"/>
      <c r="U399" s="292"/>
      <c r="V399" s="292"/>
      <c r="W399" s="292"/>
      <c r="X399" s="292"/>
      <c r="Y399" s="344" t="str">
        <f>IFERROR(__xludf.DUMMYFUNCTION("""COMPUTED_VALUE"""),"#N/A")</f>
        <v>#N/A</v>
      </c>
      <c r="Z399" s="343" t="str">
        <f>IFERROR(__xludf.DUMMYFUNCTION("""COMPUTED_VALUE"""),"#N/A")</f>
        <v>#N/A</v>
      </c>
      <c r="AA399" s="292" t="str">
        <f>IFERROR(__xludf.DUMMYFUNCTION("""COMPUTED_VALUE"""),"#N/A")</f>
        <v>#N/A</v>
      </c>
      <c r="AB399" s="292" t="str">
        <f>IFERROR(__xludf.DUMMYFUNCTION("""COMPUTED_VALUE"""),"#N/A")</f>
        <v>#N/A</v>
      </c>
      <c r="AC399" s="292" t="str">
        <f>IFERROR(__xludf.DUMMYFUNCTION("""COMPUTED_VALUE"""),"#N/A")</f>
        <v>#N/A</v>
      </c>
      <c r="AD399" s="292" t="str">
        <f>IFERROR(__xludf.DUMMYFUNCTION("""COMPUTED_VALUE"""),"#N/A")</f>
        <v>#N/A</v>
      </c>
      <c r="AE399" s="343" t="str">
        <f>IFERROR(__xludf.DUMMYFUNCTION("""COMPUTED_VALUE"""),"#N/A")</f>
        <v>#N/A</v>
      </c>
      <c r="AF399" s="292"/>
      <c r="AG399" s="292"/>
      <c r="AH399" s="292"/>
      <c r="AI399" s="292"/>
      <c r="AJ399" s="292"/>
      <c r="AK399" s="292"/>
      <c r="AL399" s="292"/>
      <c r="AM399" s="292"/>
      <c r="AN399" s="292"/>
      <c r="AO399" s="292"/>
      <c r="AP399" s="292"/>
      <c r="AQ399" s="292"/>
      <c r="AR399" s="292"/>
      <c r="AS399" s="292"/>
      <c r="AT399" s="292"/>
      <c r="AU399" s="292"/>
      <c r="AV399" s="292"/>
      <c r="AW399" s="292"/>
      <c r="AX399" s="292"/>
      <c r="AY399" s="292"/>
      <c r="AZ399" s="292"/>
      <c r="BA399" s="292"/>
      <c r="BB399" s="292"/>
      <c r="BC399" s="292"/>
      <c r="BD399" s="292"/>
      <c r="BE399" s="292"/>
      <c r="BF399" s="292"/>
      <c r="BG399" s="292"/>
      <c r="BH399" s="292"/>
      <c r="BI399" s="292"/>
      <c r="BJ399" s="292"/>
      <c r="BK399" s="292"/>
      <c r="BL399" s="292"/>
      <c r="BM399" s="292"/>
      <c r="BN399" s="292"/>
      <c r="BO399" s="292"/>
      <c r="BP399" s="292"/>
      <c r="BQ399" s="292"/>
      <c r="BR399" s="292"/>
      <c r="BS399" s="292"/>
      <c r="BT399" s="292"/>
      <c r="BU399" s="292"/>
      <c r="BV399" s="292"/>
      <c r="BW399" s="292"/>
    </row>
    <row r="400">
      <c r="A400" s="292"/>
      <c r="B400" s="292" t="str">
        <f>IFERROR(__xludf.DUMMYFUNCTION("""COMPUTED_VALUE"""),"")</f>
        <v/>
      </c>
      <c r="C400" s="292"/>
      <c r="D400" s="292" t="str">
        <f>IFERROR(__xludf.DUMMYFUNCTION("""COMPUTED_VALUE"""),"")</f>
        <v/>
      </c>
      <c r="E400" s="292" t="str">
        <f>IFERROR(__xludf.DUMMYFUNCTION("""COMPUTED_VALUE"""),"")</f>
        <v/>
      </c>
      <c r="F400" s="292"/>
      <c r="G400" s="292" t="str">
        <f>IFERROR(__xludf.DUMMYFUNCTION("""COMPUTED_VALUE"""),"")</f>
        <v/>
      </c>
      <c r="H400" s="292" t="str">
        <f>IFERROR(__xludf.DUMMYFUNCTION("""COMPUTED_VALUE"""),"")</f>
        <v/>
      </c>
      <c r="I400" s="292"/>
      <c r="J400" s="292"/>
      <c r="K400" s="292"/>
      <c r="L400" s="292"/>
      <c r="M400" s="292" t="str">
        <f>IFERROR(__xludf.DUMMYFUNCTION("""COMPUTED_VALUE"""),"")</f>
        <v/>
      </c>
      <c r="N400" s="292"/>
      <c r="O400" s="292"/>
      <c r="P400" s="292"/>
      <c r="Q400" s="292"/>
      <c r="R400" s="292"/>
      <c r="S400" s="292"/>
      <c r="T400" s="292"/>
      <c r="U400" s="292"/>
      <c r="V400" s="292"/>
      <c r="W400" s="292"/>
      <c r="X400" s="292"/>
      <c r="Y400" s="344" t="str">
        <f>IFERROR(__xludf.DUMMYFUNCTION("""COMPUTED_VALUE"""),"#N/A")</f>
        <v>#N/A</v>
      </c>
      <c r="Z400" s="343" t="str">
        <f>IFERROR(__xludf.DUMMYFUNCTION("""COMPUTED_VALUE"""),"#N/A")</f>
        <v>#N/A</v>
      </c>
      <c r="AA400" s="292" t="str">
        <f>IFERROR(__xludf.DUMMYFUNCTION("""COMPUTED_VALUE"""),"#N/A")</f>
        <v>#N/A</v>
      </c>
      <c r="AB400" s="292" t="str">
        <f>IFERROR(__xludf.DUMMYFUNCTION("""COMPUTED_VALUE"""),"#N/A")</f>
        <v>#N/A</v>
      </c>
      <c r="AC400" s="292" t="str">
        <f>IFERROR(__xludf.DUMMYFUNCTION("""COMPUTED_VALUE"""),"#N/A")</f>
        <v>#N/A</v>
      </c>
      <c r="AD400" s="292" t="str">
        <f>IFERROR(__xludf.DUMMYFUNCTION("""COMPUTED_VALUE"""),"#N/A")</f>
        <v>#N/A</v>
      </c>
      <c r="AE400" s="343" t="str">
        <f>IFERROR(__xludf.DUMMYFUNCTION("""COMPUTED_VALUE"""),"#N/A")</f>
        <v>#N/A</v>
      </c>
      <c r="AF400" s="292"/>
      <c r="AG400" s="292"/>
      <c r="AH400" s="292"/>
      <c r="AI400" s="292"/>
      <c r="AJ400" s="292"/>
      <c r="AK400" s="292"/>
      <c r="AL400" s="292"/>
      <c r="AM400" s="292"/>
      <c r="AN400" s="292"/>
      <c r="AO400" s="292"/>
      <c r="AP400" s="292"/>
      <c r="AQ400" s="292"/>
      <c r="AR400" s="292"/>
      <c r="AS400" s="292"/>
      <c r="AT400" s="292"/>
      <c r="AU400" s="292"/>
      <c r="AV400" s="292"/>
      <c r="AW400" s="292"/>
      <c r="AX400" s="292"/>
      <c r="AY400" s="292"/>
      <c r="AZ400" s="292"/>
      <c r="BA400" s="292"/>
      <c r="BB400" s="292"/>
      <c r="BC400" s="292"/>
      <c r="BD400" s="292"/>
      <c r="BE400" s="292"/>
      <c r="BF400" s="292"/>
      <c r="BG400" s="292"/>
      <c r="BH400" s="292"/>
      <c r="BI400" s="292"/>
      <c r="BJ400" s="292"/>
      <c r="BK400" s="292"/>
      <c r="BL400" s="292"/>
      <c r="BM400" s="292"/>
      <c r="BN400" s="292"/>
      <c r="BO400" s="292"/>
      <c r="BP400" s="292"/>
      <c r="BQ400" s="292"/>
      <c r="BR400" s="292"/>
      <c r="BS400" s="292"/>
      <c r="BT400" s="292"/>
      <c r="BU400" s="292"/>
      <c r="BV400" s="292"/>
      <c r="BW400" s="292"/>
    </row>
    <row r="401">
      <c r="A401" s="292"/>
      <c r="B401" s="292" t="str">
        <f>IFERROR(__xludf.DUMMYFUNCTION("""COMPUTED_VALUE"""),"")</f>
        <v/>
      </c>
      <c r="C401" s="292"/>
      <c r="D401" s="292" t="str">
        <f>IFERROR(__xludf.DUMMYFUNCTION("""COMPUTED_VALUE"""),"")</f>
        <v/>
      </c>
      <c r="E401" s="292" t="str">
        <f>IFERROR(__xludf.DUMMYFUNCTION("""COMPUTED_VALUE"""),"")</f>
        <v/>
      </c>
      <c r="F401" s="292"/>
      <c r="G401" s="292" t="str">
        <f>IFERROR(__xludf.DUMMYFUNCTION("""COMPUTED_VALUE"""),"")</f>
        <v/>
      </c>
      <c r="H401" s="292" t="str">
        <f>IFERROR(__xludf.DUMMYFUNCTION("""COMPUTED_VALUE"""),"")</f>
        <v/>
      </c>
      <c r="I401" s="292"/>
      <c r="J401" s="292"/>
      <c r="K401" s="292"/>
      <c r="L401" s="292"/>
      <c r="M401" s="292" t="str">
        <f>IFERROR(__xludf.DUMMYFUNCTION("""COMPUTED_VALUE"""),"")</f>
        <v/>
      </c>
      <c r="N401" s="292"/>
      <c r="O401" s="292"/>
      <c r="P401" s="292"/>
      <c r="Q401" s="292"/>
      <c r="R401" s="292"/>
      <c r="S401" s="292"/>
      <c r="T401" s="292"/>
      <c r="U401" s="292"/>
      <c r="V401" s="292"/>
      <c r="W401" s="292"/>
      <c r="X401" s="292"/>
      <c r="Y401" s="344" t="str">
        <f>IFERROR(__xludf.DUMMYFUNCTION("""COMPUTED_VALUE"""),"#N/A")</f>
        <v>#N/A</v>
      </c>
      <c r="Z401" s="343" t="str">
        <f>IFERROR(__xludf.DUMMYFUNCTION("""COMPUTED_VALUE"""),"#N/A")</f>
        <v>#N/A</v>
      </c>
      <c r="AA401" s="292" t="str">
        <f>IFERROR(__xludf.DUMMYFUNCTION("""COMPUTED_VALUE"""),"#N/A")</f>
        <v>#N/A</v>
      </c>
      <c r="AB401" s="292" t="str">
        <f>IFERROR(__xludf.DUMMYFUNCTION("""COMPUTED_VALUE"""),"#N/A")</f>
        <v>#N/A</v>
      </c>
      <c r="AC401" s="292" t="str">
        <f>IFERROR(__xludf.DUMMYFUNCTION("""COMPUTED_VALUE"""),"#N/A")</f>
        <v>#N/A</v>
      </c>
      <c r="AD401" s="292" t="str">
        <f>IFERROR(__xludf.DUMMYFUNCTION("""COMPUTED_VALUE"""),"#N/A")</f>
        <v>#N/A</v>
      </c>
      <c r="AE401" s="343" t="str">
        <f>IFERROR(__xludf.DUMMYFUNCTION("""COMPUTED_VALUE"""),"#N/A")</f>
        <v>#N/A</v>
      </c>
      <c r="AF401" s="292"/>
      <c r="AG401" s="292"/>
      <c r="AH401" s="292"/>
      <c r="AI401" s="292"/>
      <c r="AJ401" s="292"/>
      <c r="AK401" s="292"/>
      <c r="AL401" s="292"/>
      <c r="AM401" s="292"/>
      <c r="AN401" s="292"/>
      <c r="AO401" s="292"/>
      <c r="AP401" s="292"/>
      <c r="AQ401" s="292"/>
      <c r="AR401" s="292"/>
      <c r="AS401" s="292"/>
      <c r="AT401" s="292"/>
      <c r="AU401" s="292"/>
      <c r="AV401" s="292"/>
      <c r="AW401" s="292"/>
      <c r="AX401" s="292"/>
      <c r="AY401" s="292"/>
      <c r="AZ401" s="292"/>
      <c r="BA401" s="292"/>
      <c r="BB401" s="292"/>
      <c r="BC401" s="292"/>
      <c r="BD401" s="292"/>
      <c r="BE401" s="292"/>
      <c r="BF401" s="292"/>
      <c r="BG401" s="292"/>
      <c r="BH401" s="292"/>
      <c r="BI401" s="292"/>
      <c r="BJ401" s="292"/>
      <c r="BK401" s="292"/>
      <c r="BL401" s="292"/>
      <c r="BM401" s="292"/>
      <c r="BN401" s="292"/>
      <c r="BO401" s="292"/>
      <c r="BP401" s="292"/>
      <c r="BQ401" s="292"/>
      <c r="BR401" s="292"/>
      <c r="BS401" s="292"/>
      <c r="BT401" s="292"/>
      <c r="BU401" s="292"/>
      <c r="BV401" s="292"/>
      <c r="BW401" s="292"/>
    </row>
    <row r="402">
      <c r="A402" s="292"/>
      <c r="B402" s="292" t="str">
        <f>IFERROR(__xludf.DUMMYFUNCTION("""COMPUTED_VALUE"""),"")</f>
        <v/>
      </c>
      <c r="C402" s="292"/>
      <c r="D402" s="292" t="str">
        <f>IFERROR(__xludf.DUMMYFUNCTION("""COMPUTED_VALUE"""),"")</f>
        <v/>
      </c>
      <c r="E402" s="292" t="str">
        <f>IFERROR(__xludf.DUMMYFUNCTION("""COMPUTED_VALUE"""),"")</f>
        <v/>
      </c>
      <c r="F402" s="292"/>
      <c r="G402" s="292" t="str">
        <f>IFERROR(__xludf.DUMMYFUNCTION("""COMPUTED_VALUE"""),"")</f>
        <v/>
      </c>
      <c r="H402" s="292" t="str">
        <f>IFERROR(__xludf.DUMMYFUNCTION("""COMPUTED_VALUE"""),"")</f>
        <v/>
      </c>
      <c r="I402" s="292"/>
      <c r="J402" s="292"/>
      <c r="K402" s="292"/>
      <c r="L402" s="292"/>
      <c r="M402" s="292" t="str">
        <f>IFERROR(__xludf.DUMMYFUNCTION("""COMPUTED_VALUE"""),"")</f>
        <v/>
      </c>
      <c r="N402" s="292"/>
      <c r="O402" s="292"/>
      <c r="P402" s="292"/>
      <c r="Q402" s="292"/>
      <c r="R402" s="292"/>
      <c r="S402" s="292"/>
      <c r="T402" s="292"/>
      <c r="U402" s="292"/>
      <c r="V402" s="292"/>
      <c r="W402" s="292"/>
      <c r="X402" s="292"/>
      <c r="Y402" s="344" t="str">
        <f>IFERROR(__xludf.DUMMYFUNCTION("""COMPUTED_VALUE"""),"#N/A")</f>
        <v>#N/A</v>
      </c>
      <c r="Z402" s="343" t="str">
        <f>IFERROR(__xludf.DUMMYFUNCTION("""COMPUTED_VALUE"""),"#N/A")</f>
        <v>#N/A</v>
      </c>
      <c r="AA402" s="292" t="str">
        <f>IFERROR(__xludf.DUMMYFUNCTION("""COMPUTED_VALUE"""),"#N/A")</f>
        <v>#N/A</v>
      </c>
      <c r="AB402" s="292" t="str">
        <f>IFERROR(__xludf.DUMMYFUNCTION("""COMPUTED_VALUE"""),"#N/A")</f>
        <v>#N/A</v>
      </c>
      <c r="AC402" s="292" t="str">
        <f>IFERROR(__xludf.DUMMYFUNCTION("""COMPUTED_VALUE"""),"#N/A")</f>
        <v>#N/A</v>
      </c>
      <c r="AD402" s="292" t="str">
        <f>IFERROR(__xludf.DUMMYFUNCTION("""COMPUTED_VALUE"""),"#N/A")</f>
        <v>#N/A</v>
      </c>
      <c r="AE402" s="343" t="str">
        <f>IFERROR(__xludf.DUMMYFUNCTION("""COMPUTED_VALUE"""),"#N/A")</f>
        <v>#N/A</v>
      </c>
      <c r="AF402" s="292"/>
      <c r="AG402" s="292"/>
      <c r="AH402" s="292"/>
      <c r="AI402" s="292"/>
      <c r="AJ402" s="292"/>
      <c r="AK402" s="292"/>
      <c r="AL402" s="292"/>
      <c r="AM402" s="292"/>
      <c r="AN402" s="292"/>
      <c r="AO402" s="292"/>
      <c r="AP402" s="292"/>
      <c r="AQ402" s="292"/>
      <c r="AR402" s="292"/>
      <c r="AS402" s="292"/>
      <c r="AT402" s="292"/>
      <c r="AU402" s="292"/>
      <c r="AV402" s="292"/>
      <c r="AW402" s="292"/>
      <c r="AX402" s="292"/>
      <c r="AY402" s="292"/>
      <c r="AZ402" s="292"/>
      <c r="BA402" s="292"/>
      <c r="BB402" s="292"/>
      <c r="BC402" s="292"/>
      <c r="BD402" s="292"/>
      <c r="BE402" s="292"/>
      <c r="BF402" s="292"/>
      <c r="BG402" s="292"/>
      <c r="BH402" s="292"/>
      <c r="BI402" s="292"/>
      <c r="BJ402" s="292"/>
      <c r="BK402" s="292"/>
      <c r="BL402" s="292"/>
      <c r="BM402" s="292"/>
      <c r="BN402" s="292"/>
      <c r="BO402" s="292"/>
      <c r="BP402" s="292"/>
      <c r="BQ402" s="292"/>
      <c r="BR402" s="292"/>
      <c r="BS402" s="292"/>
      <c r="BT402" s="292"/>
      <c r="BU402" s="292"/>
      <c r="BV402" s="292"/>
      <c r="BW402" s="292"/>
    </row>
    <row r="403">
      <c r="A403" s="292"/>
      <c r="B403" s="292" t="str">
        <f>IFERROR(__xludf.DUMMYFUNCTION("""COMPUTED_VALUE"""),"")</f>
        <v/>
      </c>
      <c r="C403" s="292"/>
      <c r="D403" s="292" t="str">
        <f>IFERROR(__xludf.DUMMYFUNCTION("""COMPUTED_VALUE"""),"")</f>
        <v/>
      </c>
      <c r="E403" s="292" t="str">
        <f>IFERROR(__xludf.DUMMYFUNCTION("""COMPUTED_VALUE"""),"")</f>
        <v/>
      </c>
      <c r="F403" s="292"/>
      <c r="G403" s="292" t="str">
        <f>IFERROR(__xludf.DUMMYFUNCTION("""COMPUTED_VALUE"""),"")</f>
        <v/>
      </c>
      <c r="H403" s="292" t="str">
        <f>IFERROR(__xludf.DUMMYFUNCTION("""COMPUTED_VALUE"""),"")</f>
        <v/>
      </c>
      <c r="I403" s="292"/>
      <c r="J403" s="292"/>
      <c r="K403" s="292"/>
      <c r="L403" s="292"/>
      <c r="M403" s="292" t="str">
        <f>IFERROR(__xludf.DUMMYFUNCTION("""COMPUTED_VALUE"""),"")</f>
        <v/>
      </c>
      <c r="N403" s="292"/>
      <c r="O403" s="292"/>
      <c r="P403" s="292"/>
      <c r="Q403" s="292"/>
      <c r="R403" s="292"/>
      <c r="S403" s="292"/>
      <c r="T403" s="292"/>
      <c r="U403" s="292"/>
      <c r="V403" s="292"/>
      <c r="W403" s="292"/>
      <c r="X403" s="292"/>
      <c r="Y403" s="344" t="str">
        <f>IFERROR(__xludf.DUMMYFUNCTION("""COMPUTED_VALUE"""),"#N/A")</f>
        <v>#N/A</v>
      </c>
      <c r="Z403" s="343" t="str">
        <f>IFERROR(__xludf.DUMMYFUNCTION("""COMPUTED_VALUE"""),"#N/A")</f>
        <v>#N/A</v>
      </c>
      <c r="AA403" s="292" t="str">
        <f>IFERROR(__xludf.DUMMYFUNCTION("""COMPUTED_VALUE"""),"#N/A")</f>
        <v>#N/A</v>
      </c>
      <c r="AB403" s="292" t="str">
        <f>IFERROR(__xludf.DUMMYFUNCTION("""COMPUTED_VALUE"""),"#N/A")</f>
        <v>#N/A</v>
      </c>
      <c r="AC403" s="292" t="str">
        <f>IFERROR(__xludf.DUMMYFUNCTION("""COMPUTED_VALUE"""),"#N/A")</f>
        <v>#N/A</v>
      </c>
      <c r="AD403" s="292" t="str">
        <f>IFERROR(__xludf.DUMMYFUNCTION("""COMPUTED_VALUE"""),"#N/A")</f>
        <v>#N/A</v>
      </c>
      <c r="AE403" s="343" t="str">
        <f>IFERROR(__xludf.DUMMYFUNCTION("""COMPUTED_VALUE"""),"#N/A")</f>
        <v>#N/A</v>
      </c>
      <c r="AF403" s="292"/>
      <c r="AG403" s="292"/>
      <c r="AH403" s="292"/>
      <c r="AI403" s="292"/>
      <c r="AJ403" s="292"/>
      <c r="AK403" s="292"/>
      <c r="AL403" s="292"/>
      <c r="AM403" s="292"/>
      <c r="AN403" s="292"/>
      <c r="AO403" s="292"/>
      <c r="AP403" s="292"/>
      <c r="AQ403" s="292"/>
      <c r="AR403" s="292"/>
      <c r="AS403" s="292"/>
      <c r="AT403" s="292"/>
      <c r="AU403" s="292"/>
      <c r="AV403" s="292"/>
      <c r="AW403" s="292"/>
      <c r="AX403" s="292"/>
      <c r="AY403" s="292"/>
      <c r="AZ403" s="292"/>
      <c r="BA403" s="292"/>
      <c r="BB403" s="292"/>
      <c r="BC403" s="292"/>
      <c r="BD403" s="292"/>
      <c r="BE403" s="292"/>
      <c r="BF403" s="292"/>
      <c r="BG403" s="292"/>
      <c r="BH403" s="292"/>
      <c r="BI403" s="292"/>
      <c r="BJ403" s="292"/>
      <c r="BK403" s="292"/>
      <c r="BL403" s="292"/>
      <c r="BM403" s="292"/>
      <c r="BN403" s="292"/>
      <c r="BO403" s="292"/>
      <c r="BP403" s="292"/>
      <c r="BQ403" s="292"/>
      <c r="BR403" s="292"/>
      <c r="BS403" s="292"/>
      <c r="BT403" s="292"/>
      <c r="BU403" s="292"/>
      <c r="BV403" s="292"/>
      <c r="BW403" s="292"/>
    </row>
    <row r="404">
      <c r="A404" s="292"/>
      <c r="B404" s="292" t="str">
        <f>IFERROR(__xludf.DUMMYFUNCTION("""COMPUTED_VALUE"""),"")</f>
        <v/>
      </c>
      <c r="C404" s="292"/>
      <c r="D404" s="292" t="str">
        <f>IFERROR(__xludf.DUMMYFUNCTION("""COMPUTED_VALUE"""),"")</f>
        <v/>
      </c>
      <c r="E404" s="292" t="str">
        <f>IFERROR(__xludf.DUMMYFUNCTION("""COMPUTED_VALUE"""),"")</f>
        <v/>
      </c>
      <c r="F404" s="292"/>
      <c r="G404" s="292" t="str">
        <f>IFERROR(__xludf.DUMMYFUNCTION("""COMPUTED_VALUE"""),"")</f>
        <v/>
      </c>
      <c r="H404" s="292" t="str">
        <f>IFERROR(__xludf.DUMMYFUNCTION("""COMPUTED_VALUE"""),"")</f>
        <v/>
      </c>
      <c r="I404" s="292"/>
      <c r="J404" s="292"/>
      <c r="K404" s="292"/>
      <c r="L404" s="292"/>
      <c r="M404" s="292" t="str">
        <f>IFERROR(__xludf.DUMMYFUNCTION("""COMPUTED_VALUE"""),"")</f>
        <v/>
      </c>
      <c r="N404" s="292"/>
      <c r="O404" s="292"/>
      <c r="P404" s="292"/>
      <c r="Q404" s="292"/>
      <c r="R404" s="292"/>
      <c r="S404" s="292"/>
      <c r="T404" s="292"/>
      <c r="U404" s="292"/>
      <c r="V404" s="292"/>
      <c r="W404" s="292"/>
      <c r="X404" s="292"/>
      <c r="Y404" s="344" t="str">
        <f>IFERROR(__xludf.DUMMYFUNCTION("""COMPUTED_VALUE"""),"#N/A")</f>
        <v>#N/A</v>
      </c>
      <c r="Z404" s="343" t="str">
        <f>IFERROR(__xludf.DUMMYFUNCTION("""COMPUTED_VALUE"""),"#N/A")</f>
        <v>#N/A</v>
      </c>
      <c r="AA404" s="292" t="str">
        <f>IFERROR(__xludf.DUMMYFUNCTION("""COMPUTED_VALUE"""),"#N/A")</f>
        <v>#N/A</v>
      </c>
      <c r="AB404" s="292" t="str">
        <f>IFERROR(__xludf.DUMMYFUNCTION("""COMPUTED_VALUE"""),"#N/A")</f>
        <v>#N/A</v>
      </c>
      <c r="AC404" s="292" t="str">
        <f>IFERROR(__xludf.DUMMYFUNCTION("""COMPUTED_VALUE"""),"#N/A")</f>
        <v>#N/A</v>
      </c>
      <c r="AD404" s="292" t="str">
        <f>IFERROR(__xludf.DUMMYFUNCTION("""COMPUTED_VALUE"""),"#N/A")</f>
        <v>#N/A</v>
      </c>
      <c r="AE404" s="343" t="str">
        <f>IFERROR(__xludf.DUMMYFUNCTION("""COMPUTED_VALUE"""),"#N/A")</f>
        <v>#N/A</v>
      </c>
      <c r="AF404" s="292"/>
      <c r="AG404" s="292"/>
      <c r="AH404" s="292"/>
      <c r="AI404" s="292"/>
      <c r="AJ404" s="292"/>
      <c r="AK404" s="292"/>
      <c r="AL404" s="292"/>
      <c r="AM404" s="292"/>
      <c r="AN404" s="292"/>
      <c r="AO404" s="292"/>
      <c r="AP404" s="292"/>
      <c r="AQ404" s="292"/>
      <c r="AR404" s="292"/>
      <c r="AS404" s="292"/>
      <c r="AT404" s="292"/>
      <c r="AU404" s="292"/>
      <c r="AV404" s="292"/>
      <c r="AW404" s="292"/>
      <c r="AX404" s="292"/>
      <c r="AY404" s="292"/>
      <c r="AZ404" s="292"/>
      <c r="BA404" s="292"/>
      <c r="BB404" s="292"/>
      <c r="BC404" s="292"/>
      <c r="BD404" s="292"/>
      <c r="BE404" s="292"/>
      <c r="BF404" s="292"/>
      <c r="BG404" s="292"/>
      <c r="BH404" s="292"/>
      <c r="BI404" s="292"/>
      <c r="BJ404" s="292"/>
      <c r="BK404" s="292"/>
      <c r="BL404" s="292"/>
      <c r="BM404" s="292"/>
      <c r="BN404" s="292"/>
      <c r="BO404" s="292"/>
      <c r="BP404" s="292"/>
      <c r="BQ404" s="292"/>
      <c r="BR404" s="292"/>
      <c r="BS404" s="292"/>
      <c r="BT404" s="292"/>
      <c r="BU404" s="292"/>
      <c r="BV404" s="292"/>
      <c r="BW404" s="292"/>
    </row>
    <row r="405">
      <c r="A405" s="292"/>
      <c r="B405" s="292" t="str">
        <f>IFERROR(__xludf.DUMMYFUNCTION("""COMPUTED_VALUE"""),"")</f>
        <v/>
      </c>
      <c r="C405" s="292"/>
      <c r="D405" s="292" t="str">
        <f>IFERROR(__xludf.DUMMYFUNCTION("""COMPUTED_VALUE"""),"")</f>
        <v/>
      </c>
      <c r="E405" s="292" t="str">
        <f>IFERROR(__xludf.DUMMYFUNCTION("""COMPUTED_VALUE"""),"")</f>
        <v/>
      </c>
      <c r="F405" s="292"/>
      <c r="G405" s="292" t="str">
        <f>IFERROR(__xludf.DUMMYFUNCTION("""COMPUTED_VALUE"""),"")</f>
        <v/>
      </c>
      <c r="H405" s="292" t="str">
        <f>IFERROR(__xludf.DUMMYFUNCTION("""COMPUTED_VALUE"""),"")</f>
        <v/>
      </c>
      <c r="I405" s="292"/>
      <c r="J405" s="292"/>
      <c r="K405" s="292"/>
      <c r="L405" s="292"/>
      <c r="M405" s="292" t="str">
        <f>IFERROR(__xludf.DUMMYFUNCTION("""COMPUTED_VALUE"""),"")</f>
        <v/>
      </c>
      <c r="N405" s="292"/>
      <c r="O405" s="292"/>
      <c r="P405" s="292"/>
      <c r="Q405" s="292"/>
      <c r="R405" s="292"/>
      <c r="S405" s="292"/>
      <c r="T405" s="292"/>
      <c r="U405" s="292"/>
      <c r="V405" s="292"/>
      <c r="W405" s="292"/>
      <c r="X405" s="292"/>
      <c r="Y405" s="344" t="str">
        <f>IFERROR(__xludf.DUMMYFUNCTION("""COMPUTED_VALUE"""),"#N/A")</f>
        <v>#N/A</v>
      </c>
      <c r="Z405" s="343" t="str">
        <f>IFERROR(__xludf.DUMMYFUNCTION("""COMPUTED_VALUE"""),"#N/A")</f>
        <v>#N/A</v>
      </c>
      <c r="AA405" s="292" t="str">
        <f>IFERROR(__xludf.DUMMYFUNCTION("""COMPUTED_VALUE"""),"#N/A")</f>
        <v>#N/A</v>
      </c>
      <c r="AB405" s="292" t="str">
        <f>IFERROR(__xludf.DUMMYFUNCTION("""COMPUTED_VALUE"""),"#N/A")</f>
        <v>#N/A</v>
      </c>
      <c r="AC405" s="292" t="str">
        <f>IFERROR(__xludf.DUMMYFUNCTION("""COMPUTED_VALUE"""),"#N/A")</f>
        <v>#N/A</v>
      </c>
      <c r="AD405" s="292" t="str">
        <f>IFERROR(__xludf.DUMMYFUNCTION("""COMPUTED_VALUE"""),"#N/A")</f>
        <v>#N/A</v>
      </c>
      <c r="AE405" s="343" t="str">
        <f>IFERROR(__xludf.DUMMYFUNCTION("""COMPUTED_VALUE"""),"#N/A")</f>
        <v>#N/A</v>
      </c>
      <c r="AF405" s="292"/>
      <c r="AG405" s="292"/>
      <c r="AH405" s="292"/>
      <c r="AI405" s="292"/>
      <c r="AJ405" s="292"/>
      <c r="AK405" s="292"/>
      <c r="AL405" s="292"/>
      <c r="AM405" s="292"/>
      <c r="AN405" s="292"/>
      <c r="AO405" s="292"/>
      <c r="AP405" s="292"/>
      <c r="AQ405" s="292"/>
      <c r="AR405" s="292"/>
      <c r="AS405" s="292"/>
      <c r="AT405" s="292"/>
      <c r="AU405" s="292"/>
      <c r="AV405" s="292"/>
      <c r="AW405" s="292"/>
      <c r="AX405" s="292"/>
      <c r="AY405" s="292"/>
      <c r="AZ405" s="292"/>
      <c r="BA405" s="292"/>
      <c r="BB405" s="292"/>
      <c r="BC405" s="292"/>
      <c r="BD405" s="292"/>
      <c r="BE405" s="292"/>
      <c r="BF405" s="292"/>
      <c r="BG405" s="292"/>
      <c r="BH405" s="292"/>
      <c r="BI405" s="292"/>
      <c r="BJ405" s="292"/>
      <c r="BK405" s="292"/>
      <c r="BL405" s="292"/>
      <c r="BM405" s="292"/>
      <c r="BN405" s="292"/>
      <c r="BO405" s="292"/>
      <c r="BP405" s="292"/>
      <c r="BQ405" s="292"/>
      <c r="BR405" s="292"/>
      <c r="BS405" s="292"/>
      <c r="BT405" s="292"/>
      <c r="BU405" s="292"/>
      <c r="BV405" s="292"/>
      <c r="BW405" s="292"/>
    </row>
    <row r="406">
      <c r="A406" s="292"/>
      <c r="B406" s="292" t="str">
        <f>IFERROR(__xludf.DUMMYFUNCTION("""COMPUTED_VALUE"""),"")</f>
        <v/>
      </c>
      <c r="C406" s="292"/>
      <c r="D406" s="292" t="str">
        <f>IFERROR(__xludf.DUMMYFUNCTION("""COMPUTED_VALUE"""),"")</f>
        <v/>
      </c>
      <c r="E406" s="292" t="str">
        <f>IFERROR(__xludf.DUMMYFUNCTION("""COMPUTED_VALUE"""),"")</f>
        <v/>
      </c>
      <c r="F406" s="292"/>
      <c r="G406" s="292" t="str">
        <f>IFERROR(__xludf.DUMMYFUNCTION("""COMPUTED_VALUE"""),"")</f>
        <v/>
      </c>
      <c r="H406" s="292" t="str">
        <f>IFERROR(__xludf.DUMMYFUNCTION("""COMPUTED_VALUE"""),"")</f>
        <v/>
      </c>
      <c r="I406" s="292"/>
      <c r="J406" s="292"/>
      <c r="K406" s="292"/>
      <c r="L406" s="292"/>
      <c r="M406" s="292" t="str">
        <f>IFERROR(__xludf.DUMMYFUNCTION("""COMPUTED_VALUE"""),"")</f>
        <v/>
      </c>
      <c r="N406" s="292"/>
      <c r="O406" s="292"/>
      <c r="P406" s="292"/>
      <c r="Q406" s="292"/>
      <c r="R406" s="292"/>
      <c r="S406" s="292"/>
      <c r="T406" s="292"/>
      <c r="U406" s="292"/>
      <c r="V406" s="292"/>
      <c r="W406" s="292"/>
      <c r="X406" s="292"/>
      <c r="Y406" s="344" t="str">
        <f>IFERROR(__xludf.DUMMYFUNCTION("""COMPUTED_VALUE"""),"#N/A")</f>
        <v>#N/A</v>
      </c>
      <c r="Z406" s="343" t="str">
        <f>IFERROR(__xludf.DUMMYFUNCTION("""COMPUTED_VALUE"""),"#N/A")</f>
        <v>#N/A</v>
      </c>
      <c r="AA406" s="292" t="str">
        <f>IFERROR(__xludf.DUMMYFUNCTION("""COMPUTED_VALUE"""),"#N/A")</f>
        <v>#N/A</v>
      </c>
      <c r="AB406" s="292" t="str">
        <f>IFERROR(__xludf.DUMMYFUNCTION("""COMPUTED_VALUE"""),"#N/A")</f>
        <v>#N/A</v>
      </c>
      <c r="AC406" s="292" t="str">
        <f>IFERROR(__xludf.DUMMYFUNCTION("""COMPUTED_VALUE"""),"#N/A")</f>
        <v>#N/A</v>
      </c>
      <c r="AD406" s="292" t="str">
        <f>IFERROR(__xludf.DUMMYFUNCTION("""COMPUTED_VALUE"""),"#N/A")</f>
        <v>#N/A</v>
      </c>
      <c r="AE406" s="343" t="str">
        <f>IFERROR(__xludf.DUMMYFUNCTION("""COMPUTED_VALUE"""),"#N/A")</f>
        <v>#N/A</v>
      </c>
      <c r="AF406" s="292"/>
      <c r="AG406" s="292"/>
      <c r="AH406" s="292"/>
      <c r="AI406" s="292"/>
      <c r="AJ406" s="292"/>
      <c r="AK406" s="292"/>
      <c r="AL406" s="292"/>
      <c r="AM406" s="292"/>
      <c r="AN406" s="292"/>
      <c r="AO406" s="292"/>
      <c r="AP406" s="292"/>
      <c r="AQ406" s="292"/>
      <c r="AR406" s="292"/>
      <c r="AS406" s="292"/>
      <c r="AT406" s="292"/>
      <c r="AU406" s="292"/>
      <c r="AV406" s="292"/>
      <c r="AW406" s="292"/>
      <c r="AX406" s="292"/>
      <c r="AY406" s="292"/>
      <c r="AZ406" s="292"/>
      <c r="BA406" s="292"/>
      <c r="BB406" s="292"/>
      <c r="BC406" s="292"/>
      <c r="BD406" s="292"/>
      <c r="BE406" s="292"/>
      <c r="BF406" s="292"/>
      <c r="BG406" s="292"/>
      <c r="BH406" s="292"/>
      <c r="BI406" s="292"/>
      <c r="BJ406" s="292"/>
      <c r="BK406" s="292"/>
      <c r="BL406" s="292"/>
      <c r="BM406" s="292"/>
      <c r="BN406" s="292"/>
      <c r="BO406" s="292"/>
      <c r="BP406" s="292"/>
      <c r="BQ406" s="292"/>
      <c r="BR406" s="292"/>
      <c r="BS406" s="292"/>
      <c r="BT406" s="292"/>
      <c r="BU406" s="292"/>
      <c r="BV406" s="292"/>
      <c r="BW406" s="292"/>
    </row>
    <row r="407">
      <c r="A407" s="292"/>
      <c r="B407" s="292" t="str">
        <f>IFERROR(__xludf.DUMMYFUNCTION("""COMPUTED_VALUE"""),"")</f>
        <v/>
      </c>
      <c r="C407" s="292"/>
      <c r="D407" s="292" t="str">
        <f>IFERROR(__xludf.DUMMYFUNCTION("""COMPUTED_VALUE"""),"")</f>
        <v/>
      </c>
      <c r="E407" s="292" t="str">
        <f>IFERROR(__xludf.DUMMYFUNCTION("""COMPUTED_VALUE"""),"")</f>
        <v/>
      </c>
      <c r="F407" s="292"/>
      <c r="G407" s="292" t="str">
        <f>IFERROR(__xludf.DUMMYFUNCTION("""COMPUTED_VALUE"""),"")</f>
        <v/>
      </c>
      <c r="H407" s="292" t="str">
        <f>IFERROR(__xludf.DUMMYFUNCTION("""COMPUTED_VALUE"""),"")</f>
        <v/>
      </c>
      <c r="I407" s="292"/>
      <c r="J407" s="292"/>
      <c r="K407" s="292"/>
      <c r="L407" s="292"/>
      <c r="M407" s="292" t="str">
        <f>IFERROR(__xludf.DUMMYFUNCTION("""COMPUTED_VALUE"""),"")</f>
        <v/>
      </c>
      <c r="N407" s="292"/>
      <c r="O407" s="292"/>
      <c r="P407" s="292"/>
      <c r="Q407" s="292"/>
      <c r="R407" s="292"/>
      <c r="S407" s="292"/>
      <c r="T407" s="292"/>
      <c r="U407" s="292"/>
      <c r="V407" s="292"/>
      <c r="W407" s="292"/>
      <c r="X407" s="292"/>
      <c r="Y407" s="344" t="str">
        <f>IFERROR(__xludf.DUMMYFUNCTION("""COMPUTED_VALUE"""),"#N/A")</f>
        <v>#N/A</v>
      </c>
      <c r="Z407" s="343" t="str">
        <f>IFERROR(__xludf.DUMMYFUNCTION("""COMPUTED_VALUE"""),"#N/A")</f>
        <v>#N/A</v>
      </c>
      <c r="AA407" s="292" t="str">
        <f>IFERROR(__xludf.DUMMYFUNCTION("""COMPUTED_VALUE"""),"#N/A")</f>
        <v>#N/A</v>
      </c>
      <c r="AB407" s="292" t="str">
        <f>IFERROR(__xludf.DUMMYFUNCTION("""COMPUTED_VALUE"""),"#N/A")</f>
        <v>#N/A</v>
      </c>
      <c r="AC407" s="292" t="str">
        <f>IFERROR(__xludf.DUMMYFUNCTION("""COMPUTED_VALUE"""),"#N/A")</f>
        <v>#N/A</v>
      </c>
      <c r="AD407" s="292" t="str">
        <f>IFERROR(__xludf.DUMMYFUNCTION("""COMPUTED_VALUE"""),"#N/A")</f>
        <v>#N/A</v>
      </c>
      <c r="AE407" s="343" t="str">
        <f>IFERROR(__xludf.DUMMYFUNCTION("""COMPUTED_VALUE"""),"#N/A")</f>
        <v>#N/A</v>
      </c>
      <c r="AF407" s="292"/>
      <c r="AG407" s="292"/>
      <c r="AH407" s="292"/>
      <c r="AI407" s="292"/>
      <c r="AJ407" s="292"/>
      <c r="AK407" s="292"/>
      <c r="AL407" s="292"/>
      <c r="AM407" s="292"/>
      <c r="AN407" s="292"/>
      <c r="AO407" s="292"/>
      <c r="AP407" s="292"/>
      <c r="AQ407" s="292"/>
      <c r="AR407" s="292"/>
      <c r="AS407" s="292"/>
      <c r="AT407" s="292"/>
      <c r="AU407" s="292"/>
      <c r="AV407" s="292"/>
      <c r="AW407" s="292"/>
      <c r="AX407" s="292"/>
      <c r="AY407" s="292"/>
      <c r="AZ407" s="292"/>
      <c r="BA407" s="292"/>
      <c r="BB407" s="292"/>
      <c r="BC407" s="292"/>
      <c r="BD407" s="292"/>
      <c r="BE407" s="292"/>
      <c r="BF407" s="292"/>
      <c r="BG407" s="292"/>
      <c r="BH407" s="292"/>
      <c r="BI407" s="292"/>
      <c r="BJ407" s="292"/>
      <c r="BK407" s="292"/>
      <c r="BL407" s="292"/>
      <c r="BM407" s="292"/>
      <c r="BN407" s="292"/>
      <c r="BO407" s="292"/>
      <c r="BP407" s="292"/>
      <c r="BQ407" s="292"/>
      <c r="BR407" s="292"/>
      <c r="BS407" s="292"/>
      <c r="BT407" s="292"/>
      <c r="BU407" s="292"/>
      <c r="BV407" s="292"/>
      <c r="BW407" s="292"/>
    </row>
    <row r="408">
      <c r="A408" s="292"/>
      <c r="B408" s="292" t="str">
        <f>IFERROR(__xludf.DUMMYFUNCTION("""COMPUTED_VALUE"""),"")</f>
        <v/>
      </c>
      <c r="C408" s="292"/>
      <c r="D408" s="292" t="str">
        <f>IFERROR(__xludf.DUMMYFUNCTION("""COMPUTED_VALUE"""),"")</f>
        <v/>
      </c>
      <c r="E408" s="292" t="str">
        <f>IFERROR(__xludf.DUMMYFUNCTION("""COMPUTED_VALUE"""),"")</f>
        <v/>
      </c>
      <c r="F408" s="292"/>
      <c r="G408" s="292" t="str">
        <f>IFERROR(__xludf.DUMMYFUNCTION("""COMPUTED_VALUE"""),"")</f>
        <v/>
      </c>
      <c r="H408" s="292" t="str">
        <f>IFERROR(__xludf.DUMMYFUNCTION("""COMPUTED_VALUE"""),"")</f>
        <v/>
      </c>
      <c r="I408" s="292"/>
      <c r="J408" s="292"/>
      <c r="K408" s="292"/>
      <c r="L408" s="292"/>
      <c r="M408" s="292" t="str">
        <f>IFERROR(__xludf.DUMMYFUNCTION("""COMPUTED_VALUE"""),"")</f>
        <v/>
      </c>
      <c r="N408" s="292"/>
      <c r="O408" s="292"/>
      <c r="P408" s="292"/>
      <c r="Q408" s="292"/>
      <c r="R408" s="292"/>
      <c r="S408" s="292"/>
      <c r="T408" s="292"/>
      <c r="U408" s="292"/>
      <c r="V408" s="292"/>
      <c r="W408" s="292"/>
      <c r="X408" s="292"/>
      <c r="Y408" s="344" t="str">
        <f>IFERROR(__xludf.DUMMYFUNCTION("""COMPUTED_VALUE"""),"#N/A")</f>
        <v>#N/A</v>
      </c>
      <c r="Z408" s="343" t="str">
        <f>IFERROR(__xludf.DUMMYFUNCTION("""COMPUTED_VALUE"""),"#N/A")</f>
        <v>#N/A</v>
      </c>
      <c r="AA408" s="292" t="str">
        <f>IFERROR(__xludf.DUMMYFUNCTION("""COMPUTED_VALUE"""),"#N/A")</f>
        <v>#N/A</v>
      </c>
      <c r="AB408" s="292" t="str">
        <f>IFERROR(__xludf.DUMMYFUNCTION("""COMPUTED_VALUE"""),"#N/A")</f>
        <v>#N/A</v>
      </c>
      <c r="AC408" s="292" t="str">
        <f>IFERROR(__xludf.DUMMYFUNCTION("""COMPUTED_VALUE"""),"#N/A")</f>
        <v>#N/A</v>
      </c>
      <c r="AD408" s="292" t="str">
        <f>IFERROR(__xludf.DUMMYFUNCTION("""COMPUTED_VALUE"""),"#N/A")</f>
        <v>#N/A</v>
      </c>
      <c r="AE408" s="343" t="str">
        <f>IFERROR(__xludf.DUMMYFUNCTION("""COMPUTED_VALUE"""),"#N/A")</f>
        <v>#N/A</v>
      </c>
      <c r="AF408" s="292"/>
      <c r="AG408" s="292"/>
      <c r="AH408" s="292"/>
      <c r="AI408" s="292"/>
      <c r="AJ408" s="292"/>
      <c r="AK408" s="292"/>
      <c r="AL408" s="292"/>
      <c r="AM408" s="292"/>
      <c r="AN408" s="292"/>
      <c r="AO408" s="292"/>
      <c r="AP408" s="292"/>
      <c r="AQ408" s="292"/>
      <c r="AR408" s="292"/>
      <c r="AS408" s="292"/>
      <c r="AT408" s="292"/>
      <c r="AU408" s="292"/>
      <c r="AV408" s="292"/>
      <c r="AW408" s="292"/>
      <c r="AX408" s="292"/>
      <c r="AY408" s="292"/>
      <c r="AZ408" s="292"/>
      <c r="BA408" s="292"/>
      <c r="BB408" s="292"/>
      <c r="BC408" s="292"/>
      <c r="BD408" s="292"/>
      <c r="BE408" s="292"/>
      <c r="BF408" s="292"/>
      <c r="BG408" s="292"/>
      <c r="BH408" s="292"/>
      <c r="BI408" s="292"/>
      <c r="BJ408" s="292"/>
      <c r="BK408" s="292"/>
      <c r="BL408" s="292"/>
      <c r="BM408" s="292"/>
      <c r="BN408" s="292"/>
      <c r="BO408" s="292"/>
      <c r="BP408" s="292"/>
      <c r="BQ408" s="292"/>
      <c r="BR408" s="292"/>
      <c r="BS408" s="292"/>
      <c r="BT408" s="292"/>
      <c r="BU408" s="292"/>
      <c r="BV408" s="292"/>
      <c r="BW408" s="292"/>
    </row>
    <row r="409">
      <c r="A409" s="292"/>
      <c r="B409" s="292" t="str">
        <f>IFERROR(__xludf.DUMMYFUNCTION("""COMPUTED_VALUE"""),"")</f>
        <v/>
      </c>
      <c r="C409" s="292"/>
      <c r="D409" s="292" t="str">
        <f>IFERROR(__xludf.DUMMYFUNCTION("""COMPUTED_VALUE"""),"")</f>
        <v/>
      </c>
      <c r="E409" s="292" t="str">
        <f>IFERROR(__xludf.DUMMYFUNCTION("""COMPUTED_VALUE"""),"")</f>
        <v/>
      </c>
      <c r="F409" s="292"/>
      <c r="G409" s="292" t="str">
        <f>IFERROR(__xludf.DUMMYFUNCTION("""COMPUTED_VALUE"""),"")</f>
        <v/>
      </c>
      <c r="H409" s="292" t="str">
        <f>IFERROR(__xludf.DUMMYFUNCTION("""COMPUTED_VALUE"""),"")</f>
        <v/>
      </c>
      <c r="I409" s="292"/>
      <c r="J409" s="292"/>
      <c r="K409" s="292"/>
      <c r="L409" s="292"/>
      <c r="M409" s="292" t="str">
        <f>IFERROR(__xludf.DUMMYFUNCTION("""COMPUTED_VALUE"""),"")</f>
        <v/>
      </c>
      <c r="N409" s="292"/>
      <c r="O409" s="292"/>
      <c r="P409" s="292"/>
      <c r="Q409" s="292"/>
      <c r="R409" s="292"/>
      <c r="S409" s="292"/>
      <c r="T409" s="292"/>
      <c r="U409" s="292"/>
      <c r="V409" s="292"/>
      <c r="W409" s="292"/>
      <c r="X409" s="292"/>
      <c r="Y409" s="344" t="str">
        <f>IFERROR(__xludf.DUMMYFUNCTION("""COMPUTED_VALUE"""),"#N/A")</f>
        <v>#N/A</v>
      </c>
      <c r="Z409" s="343" t="str">
        <f>IFERROR(__xludf.DUMMYFUNCTION("""COMPUTED_VALUE"""),"#N/A")</f>
        <v>#N/A</v>
      </c>
      <c r="AA409" s="292" t="str">
        <f>IFERROR(__xludf.DUMMYFUNCTION("""COMPUTED_VALUE"""),"#N/A")</f>
        <v>#N/A</v>
      </c>
      <c r="AB409" s="292" t="str">
        <f>IFERROR(__xludf.DUMMYFUNCTION("""COMPUTED_VALUE"""),"#N/A")</f>
        <v>#N/A</v>
      </c>
      <c r="AC409" s="292" t="str">
        <f>IFERROR(__xludf.DUMMYFUNCTION("""COMPUTED_VALUE"""),"#N/A")</f>
        <v>#N/A</v>
      </c>
      <c r="AD409" s="292" t="str">
        <f>IFERROR(__xludf.DUMMYFUNCTION("""COMPUTED_VALUE"""),"#N/A")</f>
        <v>#N/A</v>
      </c>
      <c r="AE409" s="343" t="str">
        <f>IFERROR(__xludf.DUMMYFUNCTION("""COMPUTED_VALUE"""),"#N/A")</f>
        <v>#N/A</v>
      </c>
      <c r="AF409" s="292"/>
      <c r="AG409" s="292"/>
      <c r="AH409" s="292"/>
      <c r="AI409" s="292"/>
      <c r="AJ409" s="292"/>
      <c r="AK409" s="292"/>
      <c r="AL409" s="292"/>
      <c r="AM409" s="292"/>
      <c r="AN409" s="292"/>
      <c r="AO409" s="292"/>
      <c r="AP409" s="292"/>
      <c r="AQ409" s="292"/>
      <c r="AR409" s="292"/>
      <c r="AS409" s="292"/>
      <c r="AT409" s="292"/>
      <c r="AU409" s="292"/>
      <c r="AV409" s="292"/>
      <c r="AW409" s="292"/>
      <c r="AX409" s="292"/>
      <c r="AY409" s="292"/>
      <c r="AZ409" s="292"/>
      <c r="BA409" s="292"/>
      <c r="BB409" s="292"/>
      <c r="BC409" s="292"/>
      <c r="BD409" s="292"/>
      <c r="BE409" s="292"/>
      <c r="BF409" s="292"/>
      <c r="BG409" s="292"/>
      <c r="BH409" s="292"/>
      <c r="BI409" s="292"/>
      <c r="BJ409" s="292"/>
      <c r="BK409" s="292"/>
      <c r="BL409" s="292"/>
      <c r="BM409" s="292"/>
      <c r="BN409" s="292"/>
      <c r="BO409" s="292"/>
      <c r="BP409" s="292"/>
      <c r="BQ409" s="292"/>
      <c r="BR409" s="292"/>
      <c r="BS409" s="292"/>
      <c r="BT409" s="292"/>
      <c r="BU409" s="292"/>
      <c r="BV409" s="292"/>
      <c r="BW409" s="292"/>
    </row>
    <row r="410">
      <c r="A410" s="292"/>
      <c r="B410" s="292" t="str">
        <f>IFERROR(__xludf.DUMMYFUNCTION("""COMPUTED_VALUE"""),"")</f>
        <v/>
      </c>
      <c r="C410" s="292"/>
      <c r="D410" s="292" t="str">
        <f>IFERROR(__xludf.DUMMYFUNCTION("""COMPUTED_VALUE"""),"")</f>
        <v/>
      </c>
      <c r="E410" s="292" t="str">
        <f>IFERROR(__xludf.DUMMYFUNCTION("""COMPUTED_VALUE"""),"")</f>
        <v/>
      </c>
      <c r="F410" s="292"/>
      <c r="G410" s="292" t="str">
        <f>IFERROR(__xludf.DUMMYFUNCTION("""COMPUTED_VALUE"""),"")</f>
        <v/>
      </c>
      <c r="H410" s="292" t="str">
        <f>IFERROR(__xludf.DUMMYFUNCTION("""COMPUTED_VALUE"""),"")</f>
        <v/>
      </c>
      <c r="I410" s="292"/>
      <c r="J410" s="292"/>
      <c r="K410" s="292"/>
      <c r="L410" s="292"/>
      <c r="M410" s="292" t="str">
        <f>IFERROR(__xludf.DUMMYFUNCTION("""COMPUTED_VALUE"""),"")</f>
        <v/>
      </c>
      <c r="N410" s="292"/>
      <c r="O410" s="292"/>
      <c r="P410" s="292"/>
      <c r="Q410" s="292"/>
      <c r="R410" s="292"/>
      <c r="S410" s="292"/>
      <c r="T410" s="292"/>
      <c r="U410" s="292"/>
      <c r="V410" s="292"/>
      <c r="W410" s="292"/>
      <c r="X410" s="292"/>
      <c r="Y410" s="344" t="str">
        <f>IFERROR(__xludf.DUMMYFUNCTION("""COMPUTED_VALUE"""),"#N/A")</f>
        <v>#N/A</v>
      </c>
      <c r="Z410" s="343" t="str">
        <f>IFERROR(__xludf.DUMMYFUNCTION("""COMPUTED_VALUE"""),"#N/A")</f>
        <v>#N/A</v>
      </c>
      <c r="AA410" s="292" t="str">
        <f>IFERROR(__xludf.DUMMYFUNCTION("""COMPUTED_VALUE"""),"#N/A")</f>
        <v>#N/A</v>
      </c>
      <c r="AB410" s="292" t="str">
        <f>IFERROR(__xludf.DUMMYFUNCTION("""COMPUTED_VALUE"""),"#N/A")</f>
        <v>#N/A</v>
      </c>
      <c r="AC410" s="292" t="str">
        <f>IFERROR(__xludf.DUMMYFUNCTION("""COMPUTED_VALUE"""),"#N/A")</f>
        <v>#N/A</v>
      </c>
      <c r="AD410" s="292" t="str">
        <f>IFERROR(__xludf.DUMMYFUNCTION("""COMPUTED_VALUE"""),"#N/A")</f>
        <v>#N/A</v>
      </c>
      <c r="AE410" s="343" t="str">
        <f>IFERROR(__xludf.DUMMYFUNCTION("""COMPUTED_VALUE"""),"#N/A")</f>
        <v>#N/A</v>
      </c>
      <c r="AF410" s="292"/>
      <c r="AG410" s="292"/>
      <c r="AH410" s="292"/>
      <c r="AI410" s="292"/>
      <c r="AJ410" s="292"/>
      <c r="AK410" s="292"/>
      <c r="AL410" s="292"/>
      <c r="AM410" s="292"/>
      <c r="AN410" s="292"/>
      <c r="AO410" s="292"/>
      <c r="AP410" s="292"/>
      <c r="AQ410" s="292"/>
      <c r="AR410" s="292"/>
      <c r="AS410" s="292"/>
      <c r="AT410" s="292"/>
      <c r="AU410" s="292"/>
      <c r="AV410" s="292"/>
      <c r="AW410" s="292"/>
      <c r="AX410" s="292"/>
      <c r="AY410" s="292"/>
      <c r="AZ410" s="292"/>
      <c r="BA410" s="292"/>
      <c r="BB410" s="292"/>
      <c r="BC410" s="292"/>
      <c r="BD410" s="292"/>
      <c r="BE410" s="292"/>
      <c r="BF410" s="292"/>
      <c r="BG410" s="292"/>
      <c r="BH410" s="292"/>
      <c r="BI410" s="292"/>
      <c r="BJ410" s="292"/>
      <c r="BK410" s="292"/>
      <c r="BL410" s="292"/>
      <c r="BM410" s="292"/>
      <c r="BN410" s="292"/>
      <c r="BO410" s="292"/>
      <c r="BP410" s="292"/>
      <c r="BQ410" s="292"/>
      <c r="BR410" s="292"/>
      <c r="BS410" s="292"/>
      <c r="BT410" s="292"/>
      <c r="BU410" s="292"/>
      <c r="BV410" s="292"/>
      <c r="BW410" s="292"/>
    </row>
    <row r="411">
      <c r="A411" s="292"/>
      <c r="B411" s="292" t="str">
        <f>IFERROR(__xludf.DUMMYFUNCTION("""COMPUTED_VALUE"""),"")</f>
        <v/>
      </c>
      <c r="C411" s="292"/>
      <c r="D411" s="292" t="str">
        <f>IFERROR(__xludf.DUMMYFUNCTION("""COMPUTED_VALUE"""),"")</f>
        <v/>
      </c>
      <c r="E411" s="292" t="str">
        <f>IFERROR(__xludf.DUMMYFUNCTION("""COMPUTED_VALUE"""),"")</f>
        <v/>
      </c>
      <c r="F411" s="292"/>
      <c r="G411" s="292" t="str">
        <f>IFERROR(__xludf.DUMMYFUNCTION("""COMPUTED_VALUE"""),"")</f>
        <v/>
      </c>
      <c r="H411" s="292" t="str">
        <f>IFERROR(__xludf.DUMMYFUNCTION("""COMPUTED_VALUE"""),"")</f>
        <v/>
      </c>
      <c r="I411" s="292"/>
      <c r="J411" s="292"/>
      <c r="K411" s="292"/>
      <c r="L411" s="292"/>
      <c r="M411" s="292" t="str">
        <f>IFERROR(__xludf.DUMMYFUNCTION("""COMPUTED_VALUE"""),"")</f>
        <v/>
      </c>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c r="AK411" s="292"/>
      <c r="AL411" s="292"/>
      <c r="AM411" s="292"/>
      <c r="AN411" s="292"/>
      <c r="AO411" s="292"/>
      <c r="AP411" s="292"/>
      <c r="AQ411" s="292"/>
      <c r="AR411" s="292"/>
      <c r="AS411" s="292"/>
      <c r="AT411" s="292"/>
      <c r="AU411" s="292"/>
      <c r="AV411" s="292"/>
      <c r="AW411" s="292"/>
      <c r="AX411" s="292"/>
      <c r="AY411" s="292"/>
      <c r="AZ411" s="292"/>
      <c r="BA411" s="292"/>
      <c r="BB411" s="292"/>
      <c r="BC411" s="292"/>
      <c r="BD411" s="292"/>
      <c r="BE411" s="292"/>
      <c r="BF411" s="292"/>
      <c r="BG411" s="292"/>
      <c r="BH411" s="292"/>
      <c r="BI411" s="292"/>
      <c r="BJ411" s="292"/>
      <c r="BK411" s="292"/>
      <c r="BL411" s="292"/>
      <c r="BM411" s="292"/>
      <c r="BN411" s="292"/>
      <c r="BO411" s="292"/>
      <c r="BP411" s="292"/>
      <c r="BQ411" s="292"/>
      <c r="BR411" s="292"/>
      <c r="BS411" s="292"/>
      <c r="BT411" s="292"/>
      <c r="BU411" s="292"/>
      <c r="BV411" s="292"/>
      <c r="BW411" s="292"/>
    </row>
    <row r="412">
      <c r="A412" s="292"/>
      <c r="B412" s="292" t="str">
        <f>IFERROR(__xludf.DUMMYFUNCTION("""COMPUTED_VALUE"""),"")</f>
        <v/>
      </c>
      <c r="C412" s="292"/>
      <c r="D412" s="292" t="str">
        <f>IFERROR(__xludf.DUMMYFUNCTION("""COMPUTED_VALUE"""),"")</f>
        <v/>
      </c>
      <c r="E412" s="292" t="str">
        <f>IFERROR(__xludf.DUMMYFUNCTION("""COMPUTED_VALUE"""),"")</f>
        <v/>
      </c>
      <c r="F412" s="292"/>
      <c r="G412" s="292" t="str">
        <f>IFERROR(__xludf.DUMMYFUNCTION("""COMPUTED_VALUE"""),"")</f>
        <v/>
      </c>
      <c r="H412" s="292" t="str">
        <f>IFERROR(__xludf.DUMMYFUNCTION("""COMPUTED_VALUE"""),"")</f>
        <v/>
      </c>
      <c r="I412" s="292"/>
      <c r="J412" s="292"/>
      <c r="K412" s="292"/>
      <c r="L412" s="292"/>
      <c r="M412" s="292" t="str">
        <f>IFERROR(__xludf.DUMMYFUNCTION("""COMPUTED_VALUE"""),"")</f>
        <v/>
      </c>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c r="AK412" s="292"/>
      <c r="AL412" s="292"/>
      <c r="AM412" s="292"/>
      <c r="AN412" s="292"/>
      <c r="AO412" s="292"/>
      <c r="AP412" s="292"/>
      <c r="AQ412" s="292"/>
      <c r="AR412" s="292"/>
      <c r="AS412" s="292"/>
      <c r="AT412" s="292"/>
      <c r="AU412" s="292"/>
      <c r="AV412" s="292"/>
      <c r="AW412" s="292"/>
      <c r="AX412" s="292"/>
      <c r="AY412" s="292"/>
      <c r="AZ412" s="292"/>
      <c r="BA412" s="292"/>
      <c r="BB412" s="292"/>
      <c r="BC412" s="292"/>
      <c r="BD412" s="292"/>
      <c r="BE412" s="292"/>
      <c r="BF412" s="292"/>
      <c r="BG412" s="292"/>
      <c r="BH412" s="292"/>
      <c r="BI412" s="292"/>
      <c r="BJ412" s="292"/>
      <c r="BK412" s="292"/>
      <c r="BL412" s="292"/>
      <c r="BM412" s="292"/>
      <c r="BN412" s="292"/>
      <c r="BO412" s="292"/>
      <c r="BP412" s="292"/>
      <c r="BQ412" s="292"/>
      <c r="BR412" s="292"/>
      <c r="BS412" s="292"/>
      <c r="BT412" s="292"/>
      <c r="BU412" s="292"/>
      <c r="BV412" s="292"/>
      <c r="BW412" s="292"/>
    </row>
    <row r="413">
      <c r="A413" s="292"/>
      <c r="B413" s="292" t="str">
        <f>IFERROR(__xludf.DUMMYFUNCTION("""COMPUTED_VALUE"""),"")</f>
        <v/>
      </c>
      <c r="C413" s="292"/>
      <c r="D413" s="292" t="str">
        <f>IFERROR(__xludf.DUMMYFUNCTION("""COMPUTED_VALUE"""),"")</f>
        <v/>
      </c>
      <c r="E413" s="292" t="str">
        <f>IFERROR(__xludf.DUMMYFUNCTION("""COMPUTED_VALUE"""),"")</f>
        <v/>
      </c>
      <c r="F413" s="292"/>
      <c r="G413" s="292" t="str">
        <f>IFERROR(__xludf.DUMMYFUNCTION("""COMPUTED_VALUE"""),"")</f>
        <v/>
      </c>
      <c r="H413" s="292" t="str">
        <f>IFERROR(__xludf.DUMMYFUNCTION("""COMPUTED_VALUE"""),"")</f>
        <v/>
      </c>
      <c r="I413" s="292"/>
      <c r="J413" s="292"/>
      <c r="K413" s="292"/>
      <c r="L413" s="292"/>
      <c r="M413" s="292" t="str">
        <f>IFERROR(__xludf.DUMMYFUNCTION("""COMPUTED_VALUE"""),"")</f>
        <v/>
      </c>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c r="AK413" s="292"/>
      <c r="AL413" s="292"/>
      <c r="AM413" s="292"/>
      <c r="AN413" s="292"/>
      <c r="AO413" s="292"/>
      <c r="AP413" s="292"/>
      <c r="AQ413" s="292"/>
      <c r="AR413" s="292"/>
      <c r="AS413" s="292"/>
      <c r="AT413" s="292"/>
      <c r="AU413" s="292"/>
      <c r="AV413" s="292"/>
      <c r="AW413" s="292"/>
      <c r="AX413" s="292"/>
      <c r="AY413" s="292"/>
      <c r="AZ413" s="292"/>
      <c r="BA413" s="292"/>
      <c r="BB413" s="292"/>
      <c r="BC413" s="292"/>
      <c r="BD413" s="292"/>
      <c r="BE413" s="292"/>
      <c r="BF413" s="292"/>
      <c r="BG413" s="292"/>
      <c r="BH413" s="292"/>
      <c r="BI413" s="292"/>
      <c r="BJ413" s="292"/>
      <c r="BK413" s="292"/>
      <c r="BL413" s="292"/>
      <c r="BM413" s="292"/>
      <c r="BN413" s="292"/>
      <c r="BO413" s="292"/>
      <c r="BP413" s="292"/>
      <c r="BQ413" s="292"/>
      <c r="BR413" s="292"/>
      <c r="BS413" s="292"/>
      <c r="BT413" s="292"/>
      <c r="BU413" s="292"/>
      <c r="BV413" s="292"/>
      <c r="BW413" s="292"/>
    </row>
    <row r="414">
      <c r="A414" s="292"/>
      <c r="B414" s="292" t="str">
        <f>IFERROR(__xludf.DUMMYFUNCTION("""COMPUTED_VALUE"""),"")</f>
        <v/>
      </c>
      <c r="C414" s="292"/>
      <c r="D414" s="292" t="str">
        <f>IFERROR(__xludf.DUMMYFUNCTION("""COMPUTED_VALUE"""),"")</f>
        <v/>
      </c>
      <c r="E414" s="292" t="str">
        <f>IFERROR(__xludf.DUMMYFUNCTION("""COMPUTED_VALUE"""),"")</f>
        <v/>
      </c>
      <c r="F414" s="292"/>
      <c r="G414" s="292" t="str">
        <f>IFERROR(__xludf.DUMMYFUNCTION("""COMPUTED_VALUE"""),"")</f>
        <v/>
      </c>
      <c r="H414" s="292" t="str">
        <f>IFERROR(__xludf.DUMMYFUNCTION("""COMPUTED_VALUE"""),"")</f>
        <v/>
      </c>
      <c r="I414" s="292"/>
      <c r="J414" s="292"/>
      <c r="K414" s="292"/>
      <c r="L414" s="292"/>
      <c r="M414" s="292" t="str">
        <f>IFERROR(__xludf.DUMMYFUNCTION("""COMPUTED_VALUE"""),"")</f>
        <v/>
      </c>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c r="AK414" s="292"/>
      <c r="AL414" s="292"/>
      <c r="AM414" s="292"/>
      <c r="AN414" s="292"/>
      <c r="AO414" s="292"/>
      <c r="AP414" s="292"/>
      <c r="AQ414" s="292"/>
      <c r="AR414" s="292"/>
      <c r="AS414" s="292"/>
      <c r="AT414" s="292"/>
      <c r="AU414" s="292"/>
      <c r="AV414" s="292"/>
      <c r="AW414" s="292"/>
      <c r="AX414" s="292"/>
      <c r="AY414" s="292"/>
      <c r="AZ414" s="292"/>
      <c r="BA414" s="292"/>
      <c r="BB414" s="292"/>
      <c r="BC414" s="292"/>
      <c r="BD414" s="292"/>
      <c r="BE414" s="292"/>
      <c r="BF414" s="292"/>
      <c r="BG414" s="292"/>
      <c r="BH414" s="292"/>
      <c r="BI414" s="292"/>
      <c r="BJ414" s="292"/>
      <c r="BK414" s="292"/>
      <c r="BL414" s="292"/>
      <c r="BM414" s="292"/>
      <c r="BN414" s="292"/>
      <c r="BO414" s="292"/>
      <c r="BP414" s="292"/>
      <c r="BQ414" s="292"/>
      <c r="BR414" s="292"/>
      <c r="BS414" s="292"/>
      <c r="BT414" s="292"/>
      <c r="BU414" s="292"/>
      <c r="BV414" s="292"/>
      <c r="BW414" s="292"/>
    </row>
    <row r="415">
      <c r="A415" s="292"/>
      <c r="B415" s="292" t="str">
        <f>IFERROR(__xludf.DUMMYFUNCTION("""COMPUTED_VALUE"""),"")</f>
        <v/>
      </c>
      <c r="C415" s="292"/>
      <c r="D415" s="292" t="str">
        <f>IFERROR(__xludf.DUMMYFUNCTION("""COMPUTED_VALUE"""),"")</f>
        <v/>
      </c>
      <c r="E415" s="292" t="str">
        <f>IFERROR(__xludf.DUMMYFUNCTION("""COMPUTED_VALUE"""),"")</f>
        <v/>
      </c>
      <c r="F415" s="292"/>
      <c r="G415" s="292" t="str">
        <f>IFERROR(__xludf.DUMMYFUNCTION("""COMPUTED_VALUE"""),"")</f>
        <v/>
      </c>
      <c r="H415" s="292" t="str">
        <f>IFERROR(__xludf.DUMMYFUNCTION("""COMPUTED_VALUE"""),"")</f>
        <v/>
      </c>
      <c r="I415" s="292"/>
      <c r="J415" s="292"/>
      <c r="K415" s="292"/>
      <c r="L415" s="292"/>
      <c r="M415" s="292" t="str">
        <f>IFERROR(__xludf.DUMMYFUNCTION("""COMPUTED_VALUE"""),"")</f>
        <v/>
      </c>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c r="AK415" s="292"/>
      <c r="AL415" s="292"/>
      <c r="AM415" s="292"/>
      <c r="AN415" s="292"/>
      <c r="AO415" s="292"/>
      <c r="AP415" s="292"/>
      <c r="AQ415" s="292"/>
      <c r="AR415" s="292"/>
      <c r="AS415" s="292"/>
      <c r="AT415" s="292"/>
      <c r="AU415" s="292"/>
      <c r="AV415" s="292"/>
      <c r="AW415" s="292"/>
      <c r="AX415" s="292"/>
      <c r="AY415" s="292"/>
      <c r="AZ415" s="292"/>
      <c r="BA415" s="292"/>
      <c r="BB415" s="292"/>
      <c r="BC415" s="292"/>
      <c r="BD415" s="292"/>
      <c r="BE415" s="292"/>
      <c r="BF415" s="292"/>
      <c r="BG415" s="292"/>
      <c r="BH415" s="292"/>
      <c r="BI415" s="292"/>
      <c r="BJ415" s="292"/>
      <c r="BK415" s="292"/>
      <c r="BL415" s="292"/>
      <c r="BM415" s="292"/>
      <c r="BN415" s="292"/>
      <c r="BO415" s="292"/>
      <c r="BP415" s="292"/>
      <c r="BQ415" s="292"/>
      <c r="BR415" s="292"/>
      <c r="BS415" s="292"/>
      <c r="BT415" s="292"/>
      <c r="BU415" s="292"/>
      <c r="BV415" s="292"/>
      <c r="BW415" s="292"/>
    </row>
    <row r="416">
      <c r="A416" s="292"/>
      <c r="B416" s="292" t="str">
        <f>IFERROR(__xludf.DUMMYFUNCTION("""COMPUTED_VALUE"""),"")</f>
        <v/>
      </c>
      <c r="C416" s="292"/>
      <c r="D416" s="292" t="str">
        <f>IFERROR(__xludf.DUMMYFUNCTION("""COMPUTED_VALUE"""),"")</f>
        <v/>
      </c>
      <c r="E416" s="292" t="str">
        <f>IFERROR(__xludf.DUMMYFUNCTION("""COMPUTED_VALUE"""),"")</f>
        <v/>
      </c>
      <c r="F416" s="292"/>
      <c r="G416" s="292" t="str">
        <f>IFERROR(__xludf.DUMMYFUNCTION("""COMPUTED_VALUE"""),"")</f>
        <v/>
      </c>
      <c r="H416" s="292" t="str">
        <f>IFERROR(__xludf.DUMMYFUNCTION("""COMPUTED_VALUE"""),"")</f>
        <v/>
      </c>
      <c r="I416" s="292"/>
      <c r="J416" s="292"/>
      <c r="K416" s="292"/>
      <c r="L416" s="292"/>
      <c r="M416" s="292" t="str">
        <f>IFERROR(__xludf.DUMMYFUNCTION("""COMPUTED_VALUE"""),"")</f>
        <v/>
      </c>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c r="AK416" s="292"/>
      <c r="AL416" s="292"/>
      <c r="AM416" s="292"/>
      <c r="AN416" s="292"/>
      <c r="AO416" s="292"/>
      <c r="AP416" s="292"/>
      <c r="AQ416" s="292"/>
      <c r="AR416" s="292"/>
      <c r="AS416" s="292"/>
      <c r="AT416" s="292"/>
      <c r="AU416" s="292"/>
      <c r="AV416" s="292"/>
      <c r="AW416" s="292"/>
      <c r="AX416" s="292"/>
      <c r="AY416" s="292"/>
      <c r="AZ416" s="292"/>
      <c r="BA416" s="292"/>
      <c r="BB416" s="292"/>
      <c r="BC416" s="292"/>
      <c r="BD416" s="292"/>
      <c r="BE416" s="292"/>
      <c r="BF416" s="292"/>
      <c r="BG416" s="292"/>
      <c r="BH416" s="292"/>
      <c r="BI416" s="292"/>
      <c r="BJ416" s="292"/>
      <c r="BK416" s="292"/>
      <c r="BL416" s="292"/>
      <c r="BM416" s="292"/>
      <c r="BN416" s="292"/>
      <c r="BO416" s="292"/>
      <c r="BP416" s="292"/>
      <c r="BQ416" s="292"/>
      <c r="BR416" s="292"/>
      <c r="BS416" s="292"/>
      <c r="BT416" s="292"/>
      <c r="BU416" s="292"/>
      <c r="BV416" s="292"/>
      <c r="BW416" s="292"/>
    </row>
    <row r="417">
      <c r="A417" s="292"/>
      <c r="B417" s="292" t="str">
        <f>IFERROR(__xludf.DUMMYFUNCTION("""COMPUTED_VALUE"""),"")</f>
        <v/>
      </c>
      <c r="C417" s="292"/>
      <c r="D417" s="292" t="str">
        <f>IFERROR(__xludf.DUMMYFUNCTION("""COMPUTED_VALUE"""),"")</f>
        <v/>
      </c>
      <c r="E417" s="292" t="str">
        <f>IFERROR(__xludf.DUMMYFUNCTION("""COMPUTED_VALUE"""),"")</f>
        <v/>
      </c>
      <c r="F417" s="292"/>
      <c r="G417" s="292" t="str">
        <f>IFERROR(__xludf.DUMMYFUNCTION("""COMPUTED_VALUE"""),"")</f>
        <v/>
      </c>
      <c r="H417" s="292" t="str">
        <f>IFERROR(__xludf.DUMMYFUNCTION("""COMPUTED_VALUE"""),"")</f>
        <v/>
      </c>
      <c r="I417" s="292"/>
      <c r="J417" s="292"/>
      <c r="K417" s="292"/>
      <c r="L417" s="292"/>
      <c r="M417" s="292" t="str">
        <f>IFERROR(__xludf.DUMMYFUNCTION("""COMPUTED_VALUE"""),"")</f>
        <v/>
      </c>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c r="AK417" s="292"/>
      <c r="AL417" s="292"/>
      <c r="AM417" s="292"/>
      <c r="AN417" s="292"/>
      <c r="AO417" s="292"/>
      <c r="AP417" s="292"/>
      <c r="AQ417" s="292"/>
      <c r="AR417" s="292"/>
      <c r="AS417" s="292"/>
      <c r="AT417" s="292"/>
      <c r="AU417" s="292"/>
      <c r="AV417" s="292"/>
      <c r="AW417" s="292"/>
      <c r="AX417" s="292"/>
      <c r="AY417" s="292"/>
      <c r="AZ417" s="292"/>
      <c r="BA417" s="292"/>
      <c r="BB417" s="292"/>
      <c r="BC417" s="292"/>
      <c r="BD417" s="292"/>
      <c r="BE417" s="292"/>
      <c r="BF417" s="292"/>
      <c r="BG417" s="292"/>
      <c r="BH417" s="292"/>
      <c r="BI417" s="292"/>
      <c r="BJ417" s="292"/>
      <c r="BK417" s="292"/>
      <c r="BL417" s="292"/>
      <c r="BM417" s="292"/>
      <c r="BN417" s="292"/>
      <c r="BO417" s="292"/>
      <c r="BP417" s="292"/>
      <c r="BQ417" s="292"/>
      <c r="BR417" s="292"/>
      <c r="BS417" s="292"/>
      <c r="BT417" s="292"/>
      <c r="BU417" s="292"/>
      <c r="BV417" s="292"/>
      <c r="BW417" s="292"/>
    </row>
    <row r="418">
      <c r="A418" s="292"/>
      <c r="B418" s="292" t="str">
        <f>IFERROR(__xludf.DUMMYFUNCTION("""COMPUTED_VALUE"""),"")</f>
        <v/>
      </c>
      <c r="C418" s="292"/>
      <c r="D418" s="292" t="str">
        <f>IFERROR(__xludf.DUMMYFUNCTION("""COMPUTED_VALUE"""),"")</f>
        <v/>
      </c>
      <c r="E418" s="292" t="str">
        <f>IFERROR(__xludf.DUMMYFUNCTION("""COMPUTED_VALUE"""),"")</f>
        <v/>
      </c>
      <c r="F418" s="292"/>
      <c r="G418" s="292" t="str">
        <f>IFERROR(__xludf.DUMMYFUNCTION("""COMPUTED_VALUE"""),"")</f>
        <v/>
      </c>
      <c r="H418" s="292" t="str">
        <f>IFERROR(__xludf.DUMMYFUNCTION("""COMPUTED_VALUE"""),"")</f>
        <v/>
      </c>
      <c r="I418" s="292"/>
      <c r="J418" s="292"/>
      <c r="K418" s="292"/>
      <c r="L418" s="292"/>
      <c r="M418" s="292" t="str">
        <f>IFERROR(__xludf.DUMMYFUNCTION("""COMPUTED_VALUE"""),"")</f>
        <v/>
      </c>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c r="AK418" s="292"/>
      <c r="AL418" s="292"/>
      <c r="AM418" s="292"/>
      <c r="AN418" s="292"/>
      <c r="AO418" s="292"/>
      <c r="AP418" s="292"/>
      <c r="AQ418" s="292"/>
      <c r="AR418" s="292"/>
      <c r="AS418" s="292"/>
      <c r="AT418" s="292"/>
      <c r="AU418" s="292"/>
      <c r="AV418" s="292"/>
      <c r="AW418" s="292"/>
      <c r="AX418" s="292"/>
      <c r="AY418" s="292"/>
      <c r="AZ418" s="292"/>
      <c r="BA418" s="292"/>
      <c r="BB418" s="292"/>
      <c r="BC418" s="292"/>
      <c r="BD418" s="292"/>
      <c r="BE418" s="292"/>
      <c r="BF418" s="292"/>
      <c r="BG418" s="292"/>
      <c r="BH418" s="292"/>
      <c r="BI418" s="292"/>
      <c r="BJ418" s="292"/>
      <c r="BK418" s="292"/>
      <c r="BL418" s="292"/>
      <c r="BM418" s="292"/>
      <c r="BN418" s="292"/>
      <c r="BO418" s="292"/>
      <c r="BP418" s="292"/>
      <c r="BQ418" s="292"/>
      <c r="BR418" s="292"/>
      <c r="BS418" s="292"/>
      <c r="BT418" s="292"/>
      <c r="BU418" s="292"/>
      <c r="BV418" s="292"/>
      <c r="BW418" s="292"/>
    </row>
    <row r="419">
      <c r="A419" s="292"/>
      <c r="B419" s="292" t="str">
        <f>IFERROR(__xludf.DUMMYFUNCTION("""COMPUTED_VALUE"""),"")</f>
        <v/>
      </c>
      <c r="C419" s="292"/>
      <c r="D419" s="292" t="str">
        <f>IFERROR(__xludf.DUMMYFUNCTION("""COMPUTED_VALUE"""),"")</f>
        <v/>
      </c>
      <c r="E419" s="292" t="str">
        <f>IFERROR(__xludf.DUMMYFUNCTION("""COMPUTED_VALUE"""),"")</f>
        <v/>
      </c>
      <c r="F419" s="292"/>
      <c r="G419" s="292" t="str">
        <f>IFERROR(__xludf.DUMMYFUNCTION("""COMPUTED_VALUE"""),"")</f>
        <v/>
      </c>
      <c r="H419" s="292" t="str">
        <f>IFERROR(__xludf.DUMMYFUNCTION("""COMPUTED_VALUE"""),"")</f>
        <v/>
      </c>
      <c r="I419" s="292"/>
      <c r="J419" s="292"/>
      <c r="K419" s="292"/>
      <c r="L419" s="292"/>
      <c r="M419" s="292" t="str">
        <f>IFERROR(__xludf.DUMMYFUNCTION("""COMPUTED_VALUE"""),"")</f>
        <v/>
      </c>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c r="AK419" s="292"/>
      <c r="AL419" s="292"/>
      <c r="AM419" s="292"/>
      <c r="AN419" s="292"/>
      <c r="AO419" s="292"/>
      <c r="AP419" s="292"/>
      <c r="AQ419" s="292"/>
      <c r="AR419" s="292"/>
      <c r="AS419" s="292"/>
      <c r="AT419" s="292"/>
      <c r="AU419" s="292"/>
      <c r="AV419" s="292"/>
      <c r="AW419" s="292"/>
      <c r="AX419" s="292"/>
      <c r="AY419" s="292"/>
      <c r="AZ419" s="292"/>
      <c r="BA419" s="292"/>
      <c r="BB419" s="292"/>
      <c r="BC419" s="292"/>
      <c r="BD419" s="292"/>
      <c r="BE419" s="292"/>
      <c r="BF419" s="292"/>
      <c r="BG419" s="292"/>
      <c r="BH419" s="292"/>
      <c r="BI419" s="292"/>
      <c r="BJ419" s="292"/>
      <c r="BK419" s="292"/>
      <c r="BL419" s="292"/>
      <c r="BM419" s="292"/>
      <c r="BN419" s="292"/>
      <c r="BO419" s="292"/>
      <c r="BP419" s="292"/>
      <c r="BQ419" s="292"/>
      <c r="BR419" s="292"/>
      <c r="BS419" s="292"/>
      <c r="BT419" s="292"/>
      <c r="BU419" s="292"/>
      <c r="BV419" s="292"/>
      <c r="BW419" s="292"/>
    </row>
    <row r="420">
      <c r="A420" s="292"/>
      <c r="B420" s="292" t="str">
        <f>IFERROR(__xludf.DUMMYFUNCTION("""COMPUTED_VALUE"""),"")</f>
        <v/>
      </c>
      <c r="C420" s="292"/>
      <c r="D420" s="292" t="str">
        <f>IFERROR(__xludf.DUMMYFUNCTION("""COMPUTED_VALUE"""),"")</f>
        <v/>
      </c>
      <c r="E420" s="292" t="str">
        <f>IFERROR(__xludf.DUMMYFUNCTION("""COMPUTED_VALUE"""),"")</f>
        <v/>
      </c>
      <c r="F420" s="292"/>
      <c r="G420" s="292" t="str">
        <f>IFERROR(__xludf.DUMMYFUNCTION("""COMPUTED_VALUE"""),"")</f>
        <v/>
      </c>
      <c r="H420" s="292" t="str">
        <f>IFERROR(__xludf.DUMMYFUNCTION("""COMPUTED_VALUE"""),"")</f>
        <v/>
      </c>
      <c r="I420" s="292"/>
      <c r="J420" s="292"/>
      <c r="K420" s="292"/>
      <c r="L420" s="292"/>
      <c r="M420" s="292" t="str">
        <f>IFERROR(__xludf.DUMMYFUNCTION("""COMPUTED_VALUE"""),"")</f>
        <v/>
      </c>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c r="AK420" s="292"/>
      <c r="AL420" s="292"/>
      <c r="AM420" s="292"/>
      <c r="AN420" s="292"/>
      <c r="AO420" s="292"/>
      <c r="AP420" s="292"/>
      <c r="AQ420" s="292"/>
      <c r="AR420" s="292"/>
      <c r="AS420" s="292"/>
      <c r="AT420" s="292"/>
      <c r="AU420" s="292"/>
      <c r="AV420" s="292"/>
      <c r="AW420" s="292"/>
      <c r="AX420" s="292"/>
      <c r="AY420" s="292"/>
      <c r="AZ420" s="292"/>
      <c r="BA420" s="292"/>
      <c r="BB420" s="292"/>
      <c r="BC420" s="292"/>
      <c r="BD420" s="292"/>
      <c r="BE420" s="292"/>
      <c r="BF420" s="292"/>
      <c r="BG420" s="292"/>
      <c r="BH420" s="292"/>
      <c r="BI420" s="292"/>
      <c r="BJ420" s="292"/>
      <c r="BK420" s="292"/>
      <c r="BL420" s="292"/>
      <c r="BM420" s="292"/>
      <c r="BN420" s="292"/>
      <c r="BO420" s="292"/>
      <c r="BP420" s="292"/>
      <c r="BQ420" s="292"/>
      <c r="BR420" s="292"/>
      <c r="BS420" s="292"/>
      <c r="BT420" s="292"/>
      <c r="BU420" s="292"/>
      <c r="BV420" s="292"/>
      <c r="BW420" s="292"/>
    </row>
    <row r="421">
      <c r="A421" s="292"/>
      <c r="B421" s="292" t="str">
        <f>IFERROR(__xludf.DUMMYFUNCTION("""COMPUTED_VALUE"""),"")</f>
        <v/>
      </c>
      <c r="C421" s="292"/>
      <c r="D421" s="292" t="str">
        <f>IFERROR(__xludf.DUMMYFUNCTION("""COMPUTED_VALUE"""),"")</f>
        <v/>
      </c>
      <c r="E421" s="292" t="str">
        <f>IFERROR(__xludf.DUMMYFUNCTION("""COMPUTED_VALUE"""),"")</f>
        <v/>
      </c>
      <c r="F421" s="292"/>
      <c r="G421" s="292" t="str">
        <f>IFERROR(__xludf.DUMMYFUNCTION("""COMPUTED_VALUE"""),"")</f>
        <v/>
      </c>
      <c r="H421" s="292" t="str">
        <f>IFERROR(__xludf.DUMMYFUNCTION("""COMPUTED_VALUE"""),"")</f>
        <v/>
      </c>
      <c r="I421" s="292"/>
      <c r="J421" s="292"/>
      <c r="K421" s="292"/>
      <c r="L421" s="292"/>
      <c r="M421" s="292" t="str">
        <f>IFERROR(__xludf.DUMMYFUNCTION("""COMPUTED_VALUE"""),"")</f>
        <v/>
      </c>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c r="AK421" s="292"/>
      <c r="AL421" s="292"/>
      <c r="AM421" s="292"/>
      <c r="AN421" s="292"/>
      <c r="AO421" s="292"/>
      <c r="AP421" s="292"/>
      <c r="AQ421" s="292"/>
      <c r="AR421" s="292"/>
      <c r="AS421" s="292"/>
      <c r="AT421" s="292"/>
      <c r="AU421" s="292"/>
      <c r="AV421" s="292"/>
      <c r="AW421" s="292"/>
      <c r="AX421" s="292"/>
      <c r="AY421" s="292"/>
      <c r="AZ421" s="292"/>
      <c r="BA421" s="292"/>
      <c r="BB421" s="292"/>
      <c r="BC421" s="292"/>
      <c r="BD421" s="292"/>
      <c r="BE421" s="292"/>
      <c r="BF421" s="292"/>
      <c r="BG421" s="292"/>
      <c r="BH421" s="292"/>
      <c r="BI421" s="292"/>
      <c r="BJ421" s="292"/>
      <c r="BK421" s="292"/>
      <c r="BL421" s="292"/>
      <c r="BM421" s="292"/>
      <c r="BN421" s="292"/>
      <c r="BO421" s="292"/>
      <c r="BP421" s="292"/>
      <c r="BQ421" s="292"/>
      <c r="BR421" s="292"/>
      <c r="BS421" s="292"/>
      <c r="BT421" s="292"/>
      <c r="BU421" s="292"/>
      <c r="BV421" s="292"/>
      <c r="BW421" s="292"/>
    </row>
    <row r="422">
      <c r="A422" s="292"/>
      <c r="B422" s="292" t="str">
        <f>IFERROR(__xludf.DUMMYFUNCTION("""COMPUTED_VALUE"""),"")</f>
        <v/>
      </c>
      <c r="C422" s="292"/>
      <c r="D422" s="292" t="str">
        <f>IFERROR(__xludf.DUMMYFUNCTION("""COMPUTED_VALUE"""),"")</f>
        <v/>
      </c>
      <c r="E422" s="292" t="str">
        <f>IFERROR(__xludf.DUMMYFUNCTION("""COMPUTED_VALUE"""),"")</f>
        <v/>
      </c>
      <c r="F422" s="292"/>
      <c r="G422" s="292" t="str">
        <f>IFERROR(__xludf.DUMMYFUNCTION("""COMPUTED_VALUE"""),"")</f>
        <v/>
      </c>
      <c r="H422" s="292" t="str">
        <f>IFERROR(__xludf.DUMMYFUNCTION("""COMPUTED_VALUE"""),"")</f>
        <v/>
      </c>
      <c r="I422" s="292"/>
      <c r="J422" s="292"/>
      <c r="K422" s="292"/>
      <c r="L422" s="292"/>
      <c r="M422" s="292" t="str">
        <f>IFERROR(__xludf.DUMMYFUNCTION("""COMPUTED_VALUE"""),"")</f>
        <v/>
      </c>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c r="AK422" s="292"/>
      <c r="AL422" s="292"/>
      <c r="AM422" s="292"/>
      <c r="AN422" s="292"/>
      <c r="AO422" s="292"/>
      <c r="AP422" s="292"/>
      <c r="AQ422" s="292"/>
      <c r="AR422" s="292"/>
      <c r="AS422" s="292"/>
      <c r="AT422" s="292"/>
      <c r="AU422" s="292"/>
      <c r="AV422" s="292"/>
      <c r="AW422" s="292"/>
      <c r="AX422" s="292"/>
      <c r="AY422" s="292"/>
      <c r="AZ422" s="292"/>
      <c r="BA422" s="292"/>
      <c r="BB422" s="292"/>
      <c r="BC422" s="292"/>
      <c r="BD422" s="292"/>
      <c r="BE422" s="292"/>
      <c r="BF422" s="292"/>
      <c r="BG422" s="292"/>
      <c r="BH422" s="292"/>
      <c r="BI422" s="292"/>
      <c r="BJ422" s="292"/>
      <c r="BK422" s="292"/>
      <c r="BL422" s="292"/>
      <c r="BM422" s="292"/>
      <c r="BN422" s="292"/>
      <c r="BO422" s="292"/>
      <c r="BP422" s="292"/>
      <c r="BQ422" s="292"/>
      <c r="BR422" s="292"/>
      <c r="BS422" s="292"/>
      <c r="BT422" s="292"/>
      <c r="BU422" s="292"/>
      <c r="BV422" s="292"/>
      <c r="BW422" s="292"/>
    </row>
    <row r="423">
      <c r="A423" s="292"/>
      <c r="B423" s="292" t="str">
        <f>IFERROR(__xludf.DUMMYFUNCTION("""COMPUTED_VALUE"""),"")</f>
        <v/>
      </c>
      <c r="C423" s="292"/>
      <c r="D423" s="292" t="str">
        <f>IFERROR(__xludf.DUMMYFUNCTION("""COMPUTED_VALUE"""),"")</f>
        <v/>
      </c>
      <c r="E423" s="292" t="str">
        <f>IFERROR(__xludf.DUMMYFUNCTION("""COMPUTED_VALUE"""),"")</f>
        <v/>
      </c>
      <c r="F423" s="292"/>
      <c r="G423" s="292" t="str">
        <f>IFERROR(__xludf.DUMMYFUNCTION("""COMPUTED_VALUE"""),"")</f>
        <v/>
      </c>
      <c r="H423" s="292" t="str">
        <f>IFERROR(__xludf.DUMMYFUNCTION("""COMPUTED_VALUE"""),"")</f>
        <v/>
      </c>
      <c r="I423" s="292"/>
      <c r="J423" s="292"/>
      <c r="K423" s="292"/>
      <c r="L423" s="292"/>
      <c r="M423" s="292" t="str">
        <f>IFERROR(__xludf.DUMMYFUNCTION("""COMPUTED_VALUE"""),"")</f>
        <v/>
      </c>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c r="AK423" s="292"/>
      <c r="AL423" s="292"/>
      <c r="AM423" s="292"/>
      <c r="AN423" s="292"/>
      <c r="AO423" s="292"/>
      <c r="AP423" s="292"/>
      <c r="AQ423" s="292"/>
      <c r="AR423" s="292"/>
      <c r="AS423" s="292"/>
      <c r="AT423" s="292"/>
      <c r="AU423" s="292"/>
      <c r="AV423" s="292"/>
      <c r="AW423" s="292"/>
      <c r="AX423" s="292"/>
      <c r="AY423" s="292"/>
      <c r="AZ423" s="292"/>
      <c r="BA423" s="292"/>
      <c r="BB423" s="292"/>
      <c r="BC423" s="292"/>
      <c r="BD423" s="292"/>
      <c r="BE423" s="292"/>
      <c r="BF423" s="292"/>
      <c r="BG423" s="292"/>
      <c r="BH423" s="292"/>
      <c r="BI423" s="292"/>
      <c r="BJ423" s="292"/>
      <c r="BK423" s="292"/>
      <c r="BL423" s="292"/>
      <c r="BM423" s="292"/>
      <c r="BN423" s="292"/>
      <c r="BO423" s="292"/>
      <c r="BP423" s="292"/>
      <c r="BQ423" s="292"/>
      <c r="BR423" s="292"/>
      <c r="BS423" s="292"/>
      <c r="BT423" s="292"/>
      <c r="BU423" s="292"/>
      <c r="BV423" s="292"/>
      <c r="BW423" s="292"/>
    </row>
    <row r="424">
      <c r="A424" s="292"/>
      <c r="B424" s="292" t="str">
        <f>IFERROR(__xludf.DUMMYFUNCTION("""COMPUTED_VALUE"""),"")</f>
        <v/>
      </c>
      <c r="C424" s="292"/>
      <c r="D424" s="292" t="str">
        <f>IFERROR(__xludf.DUMMYFUNCTION("""COMPUTED_VALUE"""),"")</f>
        <v/>
      </c>
      <c r="E424" s="292" t="str">
        <f>IFERROR(__xludf.DUMMYFUNCTION("""COMPUTED_VALUE"""),"")</f>
        <v/>
      </c>
      <c r="F424" s="292"/>
      <c r="G424" s="292" t="str">
        <f>IFERROR(__xludf.DUMMYFUNCTION("""COMPUTED_VALUE"""),"")</f>
        <v/>
      </c>
      <c r="H424" s="292" t="str">
        <f>IFERROR(__xludf.DUMMYFUNCTION("""COMPUTED_VALUE"""),"")</f>
        <v/>
      </c>
      <c r="I424" s="292"/>
      <c r="J424" s="292"/>
      <c r="K424" s="292"/>
      <c r="L424" s="292"/>
      <c r="M424" s="292" t="str">
        <f>IFERROR(__xludf.DUMMYFUNCTION("""COMPUTED_VALUE"""),"")</f>
        <v/>
      </c>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c r="AK424" s="292"/>
      <c r="AL424" s="292"/>
      <c r="AM424" s="292"/>
      <c r="AN424" s="292"/>
      <c r="AO424" s="292"/>
      <c r="AP424" s="292"/>
      <c r="AQ424" s="292"/>
      <c r="AR424" s="292"/>
      <c r="AS424" s="292"/>
      <c r="AT424" s="292"/>
      <c r="AU424" s="292"/>
      <c r="AV424" s="292"/>
      <c r="AW424" s="292"/>
      <c r="AX424" s="292"/>
      <c r="AY424" s="292"/>
      <c r="AZ424" s="292"/>
      <c r="BA424" s="292"/>
      <c r="BB424" s="292"/>
      <c r="BC424" s="292"/>
      <c r="BD424" s="292"/>
      <c r="BE424" s="292"/>
      <c r="BF424" s="292"/>
      <c r="BG424" s="292"/>
      <c r="BH424" s="292"/>
      <c r="BI424" s="292"/>
      <c r="BJ424" s="292"/>
      <c r="BK424" s="292"/>
      <c r="BL424" s="292"/>
      <c r="BM424" s="292"/>
      <c r="BN424" s="292"/>
      <c r="BO424" s="292"/>
      <c r="BP424" s="292"/>
      <c r="BQ424" s="292"/>
      <c r="BR424" s="292"/>
      <c r="BS424" s="292"/>
      <c r="BT424" s="292"/>
      <c r="BU424" s="292"/>
      <c r="BV424" s="292"/>
      <c r="BW424" s="292"/>
    </row>
    <row r="425">
      <c r="A425" s="292"/>
      <c r="B425" s="292" t="str">
        <f>IFERROR(__xludf.DUMMYFUNCTION("""COMPUTED_VALUE"""),"")</f>
        <v/>
      </c>
      <c r="C425" s="292"/>
      <c r="D425" s="292" t="str">
        <f>IFERROR(__xludf.DUMMYFUNCTION("""COMPUTED_VALUE"""),"")</f>
        <v/>
      </c>
      <c r="E425" s="292" t="str">
        <f>IFERROR(__xludf.DUMMYFUNCTION("""COMPUTED_VALUE"""),"")</f>
        <v/>
      </c>
      <c r="F425" s="292"/>
      <c r="G425" s="292" t="str">
        <f>IFERROR(__xludf.DUMMYFUNCTION("""COMPUTED_VALUE"""),"")</f>
        <v/>
      </c>
      <c r="H425" s="292" t="str">
        <f>IFERROR(__xludf.DUMMYFUNCTION("""COMPUTED_VALUE"""),"")</f>
        <v/>
      </c>
      <c r="I425" s="292"/>
      <c r="J425" s="292"/>
      <c r="K425" s="292"/>
      <c r="L425" s="292"/>
      <c r="M425" s="292" t="str">
        <f>IFERROR(__xludf.DUMMYFUNCTION("""COMPUTED_VALUE"""),"")</f>
        <v/>
      </c>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c r="AK425" s="292"/>
      <c r="AL425" s="292"/>
      <c r="AM425" s="292"/>
      <c r="AN425" s="292"/>
      <c r="AO425" s="292"/>
      <c r="AP425" s="292"/>
      <c r="AQ425" s="292"/>
      <c r="AR425" s="292"/>
      <c r="AS425" s="292"/>
      <c r="AT425" s="292"/>
      <c r="AU425" s="292"/>
      <c r="AV425" s="292"/>
      <c r="AW425" s="292"/>
      <c r="AX425" s="292"/>
      <c r="AY425" s="292"/>
      <c r="AZ425" s="292"/>
      <c r="BA425" s="292"/>
      <c r="BB425" s="292"/>
      <c r="BC425" s="292"/>
      <c r="BD425" s="292"/>
      <c r="BE425" s="292"/>
      <c r="BF425" s="292"/>
      <c r="BG425" s="292"/>
      <c r="BH425" s="292"/>
      <c r="BI425" s="292"/>
      <c r="BJ425" s="292"/>
      <c r="BK425" s="292"/>
      <c r="BL425" s="292"/>
      <c r="BM425" s="292"/>
      <c r="BN425" s="292"/>
      <c r="BO425" s="292"/>
      <c r="BP425" s="292"/>
      <c r="BQ425" s="292"/>
      <c r="BR425" s="292"/>
      <c r="BS425" s="292"/>
      <c r="BT425" s="292"/>
      <c r="BU425" s="292"/>
      <c r="BV425" s="292"/>
      <c r="BW425" s="292"/>
    </row>
    <row r="426">
      <c r="A426" s="292"/>
      <c r="B426" s="292" t="str">
        <f>IFERROR(__xludf.DUMMYFUNCTION("""COMPUTED_VALUE"""),"")</f>
        <v/>
      </c>
      <c r="C426" s="292"/>
      <c r="D426" s="292" t="str">
        <f>IFERROR(__xludf.DUMMYFUNCTION("""COMPUTED_VALUE"""),"")</f>
        <v/>
      </c>
      <c r="E426" s="292" t="str">
        <f>IFERROR(__xludf.DUMMYFUNCTION("""COMPUTED_VALUE"""),"")</f>
        <v/>
      </c>
      <c r="F426" s="292"/>
      <c r="G426" s="292" t="str">
        <f>IFERROR(__xludf.DUMMYFUNCTION("""COMPUTED_VALUE"""),"")</f>
        <v/>
      </c>
      <c r="H426" s="292" t="str">
        <f>IFERROR(__xludf.DUMMYFUNCTION("""COMPUTED_VALUE"""),"")</f>
        <v/>
      </c>
      <c r="I426" s="292"/>
      <c r="J426" s="292"/>
      <c r="K426" s="292"/>
      <c r="L426" s="292"/>
      <c r="M426" s="292" t="str">
        <f>IFERROR(__xludf.DUMMYFUNCTION("""COMPUTED_VALUE"""),"")</f>
        <v/>
      </c>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c r="AK426" s="292"/>
      <c r="AL426" s="292"/>
      <c r="AM426" s="292"/>
      <c r="AN426" s="292"/>
      <c r="AO426" s="292"/>
      <c r="AP426" s="292"/>
      <c r="AQ426" s="292"/>
      <c r="AR426" s="292"/>
      <c r="AS426" s="292"/>
      <c r="AT426" s="292"/>
      <c r="AU426" s="292"/>
      <c r="AV426" s="292"/>
      <c r="AW426" s="292"/>
      <c r="AX426" s="292"/>
      <c r="AY426" s="292"/>
      <c r="AZ426" s="292"/>
      <c r="BA426" s="292"/>
      <c r="BB426" s="292"/>
      <c r="BC426" s="292"/>
      <c r="BD426" s="292"/>
      <c r="BE426" s="292"/>
      <c r="BF426" s="292"/>
      <c r="BG426" s="292"/>
      <c r="BH426" s="292"/>
      <c r="BI426" s="292"/>
      <c r="BJ426" s="292"/>
      <c r="BK426" s="292"/>
      <c r="BL426" s="292"/>
      <c r="BM426" s="292"/>
      <c r="BN426" s="292"/>
      <c r="BO426" s="292"/>
      <c r="BP426" s="292"/>
      <c r="BQ426" s="292"/>
      <c r="BR426" s="292"/>
      <c r="BS426" s="292"/>
      <c r="BT426" s="292"/>
      <c r="BU426" s="292"/>
      <c r="BV426" s="292"/>
      <c r="BW426" s="292"/>
    </row>
    <row r="427">
      <c r="A427" s="292"/>
      <c r="B427" s="292" t="str">
        <f>IFERROR(__xludf.DUMMYFUNCTION("""COMPUTED_VALUE"""),"")</f>
        <v/>
      </c>
      <c r="C427" s="292"/>
      <c r="D427" s="292" t="str">
        <f>IFERROR(__xludf.DUMMYFUNCTION("""COMPUTED_VALUE"""),"")</f>
        <v/>
      </c>
      <c r="E427" s="292" t="str">
        <f>IFERROR(__xludf.DUMMYFUNCTION("""COMPUTED_VALUE"""),"")</f>
        <v/>
      </c>
      <c r="F427" s="292"/>
      <c r="G427" s="292" t="str">
        <f>IFERROR(__xludf.DUMMYFUNCTION("""COMPUTED_VALUE"""),"")</f>
        <v/>
      </c>
      <c r="H427" s="292" t="str">
        <f>IFERROR(__xludf.DUMMYFUNCTION("""COMPUTED_VALUE"""),"")</f>
        <v/>
      </c>
      <c r="I427" s="292"/>
      <c r="J427" s="292"/>
      <c r="K427" s="292"/>
      <c r="L427" s="292"/>
      <c r="M427" s="292" t="str">
        <f>IFERROR(__xludf.DUMMYFUNCTION("""COMPUTED_VALUE"""),"")</f>
        <v/>
      </c>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c r="AK427" s="292"/>
      <c r="AL427" s="292"/>
      <c r="AM427" s="292"/>
      <c r="AN427" s="292"/>
      <c r="AO427" s="292"/>
      <c r="AP427" s="292"/>
      <c r="AQ427" s="292"/>
      <c r="AR427" s="292"/>
      <c r="AS427" s="292"/>
      <c r="AT427" s="292"/>
      <c r="AU427" s="292"/>
      <c r="AV427" s="292"/>
      <c r="AW427" s="292"/>
      <c r="AX427" s="292"/>
      <c r="AY427" s="292"/>
      <c r="AZ427" s="292"/>
      <c r="BA427" s="292"/>
      <c r="BB427" s="292"/>
      <c r="BC427" s="292"/>
      <c r="BD427" s="292"/>
      <c r="BE427" s="292"/>
      <c r="BF427" s="292"/>
      <c r="BG427" s="292"/>
      <c r="BH427" s="292"/>
      <c r="BI427" s="292"/>
      <c r="BJ427" s="292"/>
      <c r="BK427" s="292"/>
      <c r="BL427" s="292"/>
      <c r="BM427" s="292"/>
      <c r="BN427" s="292"/>
      <c r="BO427" s="292"/>
      <c r="BP427" s="292"/>
      <c r="BQ427" s="292"/>
      <c r="BR427" s="292"/>
      <c r="BS427" s="292"/>
      <c r="BT427" s="292"/>
      <c r="BU427" s="292"/>
      <c r="BV427" s="292"/>
      <c r="BW427" s="292"/>
    </row>
    <row r="428">
      <c r="A428" s="292"/>
      <c r="B428" s="292" t="str">
        <f>IFERROR(__xludf.DUMMYFUNCTION("""COMPUTED_VALUE"""),"")</f>
        <v/>
      </c>
      <c r="C428" s="292"/>
      <c r="D428" s="292" t="str">
        <f>IFERROR(__xludf.DUMMYFUNCTION("""COMPUTED_VALUE"""),"")</f>
        <v/>
      </c>
      <c r="E428" s="292" t="str">
        <f>IFERROR(__xludf.DUMMYFUNCTION("""COMPUTED_VALUE"""),"")</f>
        <v/>
      </c>
      <c r="F428" s="292"/>
      <c r="G428" s="292" t="str">
        <f>IFERROR(__xludf.DUMMYFUNCTION("""COMPUTED_VALUE"""),"")</f>
        <v/>
      </c>
      <c r="H428" s="292" t="str">
        <f>IFERROR(__xludf.DUMMYFUNCTION("""COMPUTED_VALUE"""),"")</f>
        <v/>
      </c>
      <c r="I428" s="292"/>
      <c r="J428" s="292"/>
      <c r="K428" s="292"/>
      <c r="L428" s="292"/>
      <c r="M428" s="292" t="str">
        <f>IFERROR(__xludf.DUMMYFUNCTION("""COMPUTED_VALUE"""),"")</f>
        <v/>
      </c>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c r="AK428" s="292"/>
      <c r="AL428" s="292"/>
      <c r="AM428" s="292"/>
      <c r="AN428" s="292"/>
      <c r="AO428" s="292"/>
      <c r="AP428" s="292"/>
      <c r="AQ428" s="292"/>
      <c r="AR428" s="292"/>
      <c r="AS428" s="292"/>
      <c r="AT428" s="292"/>
      <c r="AU428" s="292"/>
      <c r="AV428" s="292"/>
      <c r="AW428" s="292"/>
      <c r="AX428" s="292"/>
      <c r="AY428" s="292"/>
      <c r="AZ428" s="292"/>
      <c r="BA428" s="292"/>
      <c r="BB428" s="292"/>
      <c r="BC428" s="292"/>
      <c r="BD428" s="292"/>
      <c r="BE428" s="292"/>
      <c r="BF428" s="292"/>
      <c r="BG428" s="292"/>
      <c r="BH428" s="292"/>
      <c r="BI428" s="292"/>
      <c r="BJ428" s="292"/>
      <c r="BK428" s="292"/>
      <c r="BL428" s="292"/>
      <c r="BM428" s="292"/>
      <c r="BN428" s="292"/>
      <c r="BO428" s="292"/>
      <c r="BP428" s="292"/>
      <c r="BQ428" s="292"/>
      <c r="BR428" s="292"/>
      <c r="BS428" s="292"/>
      <c r="BT428" s="292"/>
      <c r="BU428" s="292"/>
      <c r="BV428" s="292"/>
      <c r="BW428" s="292"/>
    </row>
    <row r="429">
      <c r="A429" s="292"/>
      <c r="B429" s="292" t="str">
        <f>IFERROR(__xludf.DUMMYFUNCTION("""COMPUTED_VALUE"""),"")</f>
        <v/>
      </c>
      <c r="C429" s="292"/>
      <c r="D429" s="292" t="str">
        <f>IFERROR(__xludf.DUMMYFUNCTION("""COMPUTED_VALUE"""),"")</f>
        <v/>
      </c>
      <c r="E429" s="292" t="str">
        <f>IFERROR(__xludf.DUMMYFUNCTION("""COMPUTED_VALUE"""),"")</f>
        <v/>
      </c>
      <c r="F429" s="292"/>
      <c r="G429" s="292" t="str">
        <f>IFERROR(__xludf.DUMMYFUNCTION("""COMPUTED_VALUE"""),"")</f>
        <v/>
      </c>
      <c r="H429" s="292" t="str">
        <f>IFERROR(__xludf.DUMMYFUNCTION("""COMPUTED_VALUE"""),"")</f>
        <v/>
      </c>
      <c r="I429" s="292"/>
      <c r="J429" s="292"/>
      <c r="K429" s="292"/>
      <c r="L429" s="292"/>
      <c r="M429" s="292" t="str">
        <f>IFERROR(__xludf.DUMMYFUNCTION("""COMPUTED_VALUE"""),"")</f>
        <v/>
      </c>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c r="AK429" s="292"/>
      <c r="AL429" s="292"/>
      <c r="AM429" s="292"/>
      <c r="AN429" s="292"/>
      <c r="AO429" s="292"/>
      <c r="AP429" s="292"/>
      <c r="AQ429" s="292"/>
      <c r="AR429" s="292"/>
      <c r="AS429" s="292"/>
      <c r="AT429" s="292"/>
      <c r="AU429" s="292"/>
      <c r="AV429" s="292"/>
      <c r="AW429" s="292"/>
      <c r="AX429" s="292"/>
      <c r="AY429" s="292"/>
      <c r="AZ429" s="292"/>
      <c r="BA429" s="292"/>
      <c r="BB429" s="292"/>
      <c r="BC429" s="292"/>
      <c r="BD429" s="292"/>
      <c r="BE429" s="292"/>
      <c r="BF429" s="292"/>
      <c r="BG429" s="292"/>
      <c r="BH429" s="292"/>
      <c r="BI429" s="292"/>
      <c r="BJ429" s="292"/>
      <c r="BK429" s="292"/>
      <c r="BL429" s="292"/>
      <c r="BM429" s="292"/>
      <c r="BN429" s="292"/>
      <c r="BO429" s="292"/>
      <c r="BP429" s="292"/>
      <c r="BQ429" s="292"/>
      <c r="BR429" s="292"/>
      <c r="BS429" s="292"/>
      <c r="BT429" s="292"/>
      <c r="BU429" s="292"/>
      <c r="BV429" s="292"/>
      <c r="BW429" s="292"/>
    </row>
    <row r="430">
      <c r="A430" s="292"/>
      <c r="B430" s="292" t="str">
        <f>IFERROR(__xludf.DUMMYFUNCTION("""COMPUTED_VALUE"""),"")</f>
        <v/>
      </c>
      <c r="C430" s="292"/>
      <c r="D430" s="292" t="str">
        <f>IFERROR(__xludf.DUMMYFUNCTION("""COMPUTED_VALUE"""),"")</f>
        <v/>
      </c>
      <c r="E430" s="292" t="str">
        <f>IFERROR(__xludf.DUMMYFUNCTION("""COMPUTED_VALUE"""),"")</f>
        <v/>
      </c>
      <c r="F430" s="292"/>
      <c r="G430" s="292" t="str">
        <f>IFERROR(__xludf.DUMMYFUNCTION("""COMPUTED_VALUE"""),"")</f>
        <v/>
      </c>
      <c r="H430" s="292" t="str">
        <f>IFERROR(__xludf.DUMMYFUNCTION("""COMPUTED_VALUE"""),"")</f>
        <v/>
      </c>
      <c r="I430" s="292"/>
      <c r="J430" s="292"/>
      <c r="K430" s="292"/>
      <c r="L430" s="292"/>
      <c r="M430" s="292" t="str">
        <f>IFERROR(__xludf.DUMMYFUNCTION("""COMPUTED_VALUE"""),"")</f>
        <v/>
      </c>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c r="AK430" s="292"/>
      <c r="AL430" s="292"/>
      <c r="AM430" s="292"/>
      <c r="AN430" s="292"/>
      <c r="AO430" s="292"/>
      <c r="AP430" s="292"/>
      <c r="AQ430" s="292"/>
      <c r="AR430" s="292"/>
      <c r="AS430" s="292"/>
      <c r="AT430" s="292"/>
      <c r="AU430" s="292"/>
      <c r="AV430" s="292"/>
      <c r="AW430" s="292"/>
      <c r="AX430" s="292"/>
      <c r="AY430" s="292"/>
      <c r="AZ430" s="292"/>
      <c r="BA430" s="292"/>
      <c r="BB430" s="292"/>
      <c r="BC430" s="292"/>
      <c r="BD430" s="292"/>
      <c r="BE430" s="292"/>
      <c r="BF430" s="292"/>
      <c r="BG430" s="292"/>
      <c r="BH430" s="292"/>
      <c r="BI430" s="292"/>
      <c r="BJ430" s="292"/>
      <c r="BK430" s="292"/>
      <c r="BL430" s="292"/>
      <c r="BM430" s="292"/>
      <c r="BN430" s="292"/>
      <c r="BO430" s="292"/>
      <c r="BP430" s="292"/>
      <c r="BQ430" s="292"/>
      <c r="BR430" s="292"/>
      <c r="BS430" s="292"/>
      <c r="BT430" s="292"/>
      <c r="BU430" s="292"/>
      <c r="BV430" s="292"/>
      <c r="BW430" s="292"/>
    </row>
    <row r="431">
      <c r="A431" s="292"/>
      <c r="B431" s="292" t="str">
        <f>IFERROR(__xludf.DUMMYFUNCTION("""COMPUTED_VALUE"""),"")</f>
        <v/>
      </c>
      <c r="C431" s="292"/>
      <c r="D431" s="292" t="str">
        <f>IFERROR(__xludf.DUMMYFUNCTION("""COMPUTED_VALUE"""),"")</f>
        <v/>
      </c>
      <c r="E431" s="292" t="str">
        <f>IFERROR(__xludf.DUMMYFUNCTION("""COMPUTED_VALUE"""),"")</f>
        <v/>
      </c>
      <c r="F431" s="292"/>
      <c r="G431" s="292" t="str">
        <f>IFERROR(__xludf.DUMMYFUNCTION("""COMPUTED_VALUE"""),"")</f>
        <v/>
      </c>
      <c r="H431" s="292" t="str">
        <f>IFERROR(__xludf.DUMMYFUNCTION("""COMPUTED_VALUE"""),"")</f>
        <v/>
      </c>
      <c r="I431" s="292"/>
      <c r="J431" s="292"/>
      <c r="K431" s="292"/>
      <c r="L431" s="292"/>
      <c r="M431" s="292" t="str">
        <f>IFERROR(__xludf.DUMMYFUNCTION("""COMPUTED_VALUE"""),"")</f>
        <v/>
      </c>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c r="AK431" s="292"/>
      <c r="AL431" s="292"/>
      <c r="AM431" s="292"/>
      <c r="AN431" s="292"/>
      <c r="AO431" s="292"/>
      <c r="AP431" s="292"/>
      <c r="AQ431" s="292"/>
      <c r="AR431" s="292"/>
      <c r="AS431" s="292"/>
      <c r="AT431" s="292"/>
      <c r="AU431" s="292"/>
      <c r="AV431" s="292"/>
      <c r="AW431" s="292"/>
      <c r="AX431" s="292"/>
      <c r="AY431" s="292"/>
      <c r="AZ431" s="292"/>
      <c r="BA431" s="292"/>
      <c r="BB431" s="292"/>
      <c r="BC431" s="292"/>
      <c r="BD431" s="292"/>
      <c r="BE431" s="292"/>
      <c r="BF431" s="292"/>
      <c r="BG431" s="292"/>
      <c r="BH431" s="292"/>
      <c r="BI431" s="292"/>
      <c r="BJ431" s="292"/>
      <c r="BK431" s="292"/>
      <c r="BL431" s="292"/>
      <c r="BM431" s="292"/>
      <c r="BN431" s="292"/>
      <c r="BO431" s="292"/>
      <c r="BP431" s="292"/>
      <c r="BQ431" s="292"/>
      <c r="BR431" s="292"/>
      <c r="BS431" s="292"/>
      <c r="BT431" s="292"/>
      <c r="BU431" s="292"/>
      <c r="BV431" s="292"/>
      <c r="BW431" s="292"/>
    </row>
    <row r="432">
      <c r="A432" s="292"/>
      <c r="B432" s="292" t="str">
        <f>IFERROR(__xludf.DUMMYFUNCTION("""COMPUTED_VALUE"""),"")</f>
        <v/>
      </c>
      <c r="C432" s="292"/>
      <c r="D432" s="292" t="str">
        <f>IFERROR(__xludf.DUMMYFUNCTION("""COMPUTED_VALUE"""),"")</f>
        <v/>
      </c>
      <c r="E432" s="292" t="str">
        <f>IFERROR(__xludf.DUMMYFUNCTION("""COMPUTED_VALUE"""),"")</f>
        <v/>
      </c>
      <c r="F432" s="292"/>
      <c r="G432" s="292" t="str">
        <f>IFERROR(__xludf.DUMMYFUNCTION("""COMPUTED_VALUE"""),"")</f>
        <v/>
      </c>
      <c r="H432" s="292" t="str">
        <f>IFERROR(__xludf.DUMMYFUNCTION("""COMPUTED_VALUE"""),"")</f>
        <v/>
      </c>
      <c r="I432" s="292"/>
      <c r="J432" s="292"/>
      <c r="K432" s="292"/>
      <c r="L432" s="292"/>
      <c r="M432" s="292" t="str">
        <f>IFERROR(__xludf.DUMMYFUNCTION("""COMPUTED_VALUE"""),"")</f>
        <v/>
      </c>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c r="AK432" s="292"/>
      <c r="AL432" s="292"/>
      <c r="AM432" s="292"/>
      <c r="AN432" s="292"/>
      <c r="AO432" s="292"/>
      <c r="AP432" s="292"/>
      <c r="AQ432" s="292"/>
      <c r="AR432" s="292"/>
      <c r="AS432" s="292"/>
      <c r="AT432" s="292"/>
      <c r="AU432" s="292"/>
      <c r="AV432" s="292"/>
      <c r="AW432" s="292"/>
      <c r="AX432" s="292"/>
      <c r="AY432" s="292"/>
      <c r="AZ432" s="292"/>
      <c r="BA432" s="292"/>
      <c r="BB432" s="292"/>
      <c r="BC432" s="292"/>
      <c r="BD432" s="292"/>
      <c r="BE432" s="292"/>
      <c r="BF432" s="292"/>
      <c r="BG432" s="292"/>
      <c r="BH432" s="292"/>
      <c r="BI432" s="292"/>
      <c r="BJ432" s="292"/>
      <c r="BK432" s="292"/>
      <c r="BL432" s="292"/>
      <c r="BM432" s="292"/>
      <c r="BN432" s="292"/>
      <c r="BO432" s="292"/>
      <c r="BP432" s="292"/>
      <c r="BQ432" s="292"/>
      <c r="BR432" s="292"/>
      <c r="BS432" s="292"/>
      <c r="BT432" s="292"/>
      <c r="BU432" s="292"/>
      <c r="BV432" s="292"/>
      <c r="BW432" s="292"/>
    </row>
    <row r="433">
      <c r="A433" s="292"/>
      <c r="B433" s="292" t="str">
        <f>IFERROR(__xludf.DUMMYFUNCTION("""COMPUTED_VALUE"""),"")</f>
        <v/>
      </c>
      <c r="C433" s="292"/>
      <c r="D433" s="292" t="str">
        <f>IFERROR(__xludf.DUMMYFUNCTION("""COMPUTED_VALUE"""),"")</f>
        <v/>
      </c>
      <c r="E433" s="292" t="str">
        <f>IFERROR(__xludf.DUMMYFUNCTION("""COMPUTED_VALUE"""),"")</f>
        <v/>
      </c>
      <c r="F433" s="292"/>
      <c r="G433" s="292" t="str">
        <f>IFERROR(__xludf.DUMMYFUNCTION("""COMPUTED_VALUE"""),"")</f>
        <v/>
      </c>
      <c r="H433" s="292" t="str">
        <f>IFERROR(__xludf.DUMMYFUNCTION("""COMPUTED_VALUE"""),"")</f>
        <v/>
      </c>
      <c r="I433" s="292"/>
      <c r="J433" s="292"/>
      <c r="K433" s="292"/>
      <c r="L433" s="292"/>
      <c r="M433" s="292" t="str">
        <f>IFERROR(__xludf.DUMMYFUNCTION("""COMPUTED_VALUE"""),"")</f>
        <v/>
      </c>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c r="AK433" s="292"/>
      <c r="AL433" s="292"/>
      <c r="AM433" s="292"/>
      <c r="AN433" s="292"/>
      <c r="AO433" s="292"/>
      <c r="AP433" s="292"/>
      <c r="AQ433" s="292"/>
      <c r="AR433" s="292"/>
      <c r="AS433" s="292"/>
      <c r="AT433" s="292"/>
      <c r="AU433" s="292"/>
      <c r="AV433" s="292"/>
      <c r="AW433" s="292"/>
      <c r="AX433" s="292"/>
      <c r="AY433" s="292"/>
      <c r="AZ433" s="292"/>
      <c r="BA433" s="292"/>
      <c r="BB433" s="292"/>
      <c r="BC433" s="292"/>
      <c r="BD433" s="292"/>
      <c r="BE433" s="292"/>
      <c r="BF433" s="292"/>
      <c r="BG433" s="292"/>
      <c r="BH433" s="292"/>
      <c r="BI433" s="292"/>
      <c r="BJ433" s="292"/>
      <c r="BK433" s="292"/>
      <c r="BL433" s="292"/>
      <c r="BM433" s="292"/>
      <c r="BN433" s="292"/>
      <c r="BO433" s="292"/>
      <c r="BP433" s="292"/>
      <c r="BQ433" s="292"/>
      <c r="BR433" s="292"/>
      <c r="BS433" s="292"/>
      <c r="BT433" s="292"/>
      <c r="BU433" s="292"/>
      <c r="BV433" s="292"/>
      <c r="BW433" s="292"/>
    </row>
    <row r="434">
      <c r="A434" s="292"/>
      <c r="B434" s="292" t="str">
        <f>IFERROR(__xludf.DUMMYFUNCTION("""COMPUTED_VALUE"""),"")</f>
        <v/>
      </c>
      <c r="C434" s="292"/>
      <c r="D434" s="292" t="str">
        <f>IFERROR(__xludf.DUMMYFUNCTION("""COMPUTED_VALUE"""),"")</f>
        <v/>
      </c>
      <c r="E434" s="292" t="str">
        <f>IFERROR(__xludf.DUMMYFUNCTION("""COMPUTED_VALUE"""),"")</f>
        <v/>
      </c>
      <c r="F434" s="292"/>
      <c r="G434" s="292" t="str">
        <f>IFERROR(__xludf.DUMMYFUNCTION("""COMPUTED_VALUE"""),"")</f>
        <v/>
      </c>
      <c r="H434" s="292" t="str">
        <f>IFERROR(__xludf.DUMMYFUNCTION("""COMPUTED_VALUE"""),"")</f>
        <v/>
      </c>
      <c r="I434" s="292"/>
      <c r="J434" s="292"/>
      <c r="K434" s="292"/>
      <c r="L434" s="292"/>
      <c r="M434" s="292" t="str">
        <f>IFERROR(__xludf.DUMMYFUNCTION("""COMPUTED_VALUE"""),"")</f>
        <v/>
      </c>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c r="AK434" s="292"/>
      <c r="AL434" s="292"/>
      <c r="AM434" s="292"/>
      <c r="AN434" s="292"/>
      <c r="AO434" s="292"/>
      <c r="AP434" s="292"/>
      <c r="AQ434" s="292"/>
      <c r="AR434" s="292"/>
      <c r="AS434" s="292"/>
      <c r="AT434" s="292"/>
      <c r="AU434" s="292"/>
      <c r="AV434" s="292"/>
      <c r="AW434" s="292"/>
      <c r="AX434" s="292"/>
      <c r="AY434" s="292"/>
      <c r="AZ434" s="292"/>
      <c r="BA434" s="292"/>
      <c r="BB434" s="292"/>
      <c r="BC434" s="292"/>
      <c r="BD434" s="292"/>
      <c r="BE434" s="292"/>
      <c r="BF434" s="292"/>
      <c r="BG434" s="292"/>
      <c r="BH434" s="292"/>
      <c r="BI434" s="292"/>
      <c r="BJ434" s="292"/>
      <c r="BK434" s="292"/>
      <c r="BL434" s="292"/>
      <c r="BM434" s="292"/>
      <c r="BN434" s="292"/>
      <c r="BO434" s="292"/>
      <c r="BP434" s="292"/>
      <c r="BQ434" s="292"/>
      <c r="BR434" s="292"/>
      <c r="BS434" s="292"/>
      <c r="BT434" s="292"/>
      <c r="BU434" s="292"/>
      <c r="BV434" s="292"/>
      <c r="BW434" s="292"/>
    </row>
    <row r="435">
      <c r="A435" s="292"/>
      <c r="B435" s="292" t="str">
        <f>IFERROR(__xludf.DUMMYFUNCTION("""COMPUTED_VALUE"""),"")</f>
        <v/>
      </c>
      <c r="C435" s="292"/>
      <c r="D435" s="292" t="str">
        <f>IFERROR(__xludf.DUMMYFUNCTION("""COMPUTED_VALUE"""),"")</f>
        <v/>
      </c>
      <c r="E435" s="292" t="str">
        <f>IFERROR(__xludf.DUMMYFUNCTION("""COMPUTED_VALUE"""),"")</f>
        <v/>
      </c>
      <c r="F435" s="292"/>
      <c r="G435" s="292" t="str">
        <f>IFERROR(__xludf.DUMMYFUNCTION("""COMPUTED_VALUE"""),"")</f>
        <v/>
      </c>
      <c r="H435" s="292" t="str">
        <f>IFERROR(__xludf.DUMMYFUNCTION("""COMPUTED_VALUE"""),"")</f>
        <v/>
      </c>
      <c r="I435" s="292"/>
      <c r="J435" s="292"/>
      <c r="K435" s="292"/>
      <c r="L435" s="292"/>
      <c r="M435" s="292" t="str">
        <f>IFERROR(__xludf.DUMMYFUNCTION("""COMPUTED_VALUE"""),"")</f>
        <v/>
      </c>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c r="AK435" s="292"/>
      <c r="AL435" s="292"/>
      <c r="AM435" s="292"/>
      <c r="AN435" s="292"/>
      <c r="AO435" s="292"/>
      <c r="AP435" s="292"/>
      <c r="AQ435" s="292"/>
      <c r="AR435" s="292"/>
      <c r="AS435" s="292"/>
      <c r="AT435" s="292"/>
      <c r="AU435" s="292"/>
      <c r="AV435" s="292"/>
      <c r="AW435" s="292"/>
      <c r="AX435" s="292"/>
      <c r="AY435" s="292"/>
      <c r="AZ435" s="292"/>
      <c r="BA435" s="292"/>
      <c r="BB435" s="292"/>
      <c r="BC435" s="292"/>
      <c r="BD435" s="292"/>
      <c r="BE435" s="292"/>
      <c r="BF435" s="292"/>
      <c r="BG435" s="292"/>
      <c r="BH435" s="292"/>
      <c r="BI435" s="292"/>
      <c r="BJ435" s="292"/>
      <c r="BK435" s="292"/>
      <c r="BL435" s="292"/>
      <c r="BM435" s="292"/>
      <c r="BN435" s="292"/>
      <c r="BO435" s="292"/>
      <c r="BP435" s="292"/>
      <c r="BQ435" s="292"/>
      <c r="BR435" s="292"/>
      <c r="BS435" s="292"/>
      <c r="BT435" s="292"/>
      <c r="BU435" s="292"/>
      <c r="BV435" s="292"/>
      <c r="BW435" s="292"/>
    </row>
    <row r="436">
      <c r="A436" s="292"/>
      <c r="B436" s="292" t="str">
        <f>IFERROR(__xludf.DUMMYFUNCTION("""COMPUTED_VALUE"""),"")</f>
        <v/>
      </c>
      <c r="C436" s="292"/>
      <c r="D436" s="292" t="str">
        <f>IFERROR(__xludf.DUMMYFUNCTION("""COMPUTED_VALUE"""),"")</f>
        <v/>
      </c>
      <c r="E436" s="292" t="str">
        <f>IFERROR(__xludf.DUMMYFUNCTION("""COMPUTED_VALUE"""),"")</f>
        <v/>
      </c>
      <c r="F436" s="292"/>
      <c r="G436" s="292" t="str">
        <f>IFERROR(__xludf.DUMMYFUNCTION("""COMPUTED_VALUE"""),"")</f>
        <v/>
      </c>
      <c r="H436" s="292" t="str">
        <f>IFERROR(__xludf.DUMMYFUNCTION("""COMPUTED_VALUE"""),"")</f>
        <v/>
      </c>
      <c r="I436" s="292"/>
      <c r="J436" s="292"/>
      <c r="K436" s="292"/>
      <c r="L436" s="292"/>
      <c r="M436" s="292" t="str">
        <f>IFERROR(__xludf.DUMMYFUNCTION("""COMPUTED_VALUE"""),"")</f>
        <v/>
      </c>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c r="AK436" s="292"/>
      <c r="AL436" s="292"/>
      <c r="AM436" s="292"/>
      <c r="AN436" s="292"/>
      <c r="AO436" s="292"/>
      <c r="AP436" s="292"/>
      <c r="AQ436" s="292"/>
      <c r="AR436" s="292"/>
      <c r="AS436" s="292"/>
      <c r="AT436" s="292"/>
      <c r="AU436" s="292"/>
      <c r="AV436" s="292"/>
      <c r="AW436" s="292"/>
      <c r="AX436" s="292"/>
      <c r="AY436" s="292"/>
      <c r="AZ436" s="292"/>
      <c r="BA436" s="292"/>
      <c r="BB436" s="292"/>
      <c r="BC436" s="292"/>
      <c r="BD436" s="292"/>
      <c r="BE436" s="292"/>
      <c r="BF436" s="292"/>
      <c r="BG436" s="292"/>
      <c r="BH436" s="292"/>
      <c r="BI436" s="292"/>
      <c r="BJ436" s="292"/>
      <c r="BK436" s="292"/>
      <c r="BL436" s="292"/>
      <c r="BM436" s="292"/>
      <c r="BN436" s="292"/>
      <c r="BO436" s="292"/>
      <c r="BP436" s="292"/>
      <c r="BQ436" s="292"/>
      <c r="BR436" s="292"/>
      <c r="BS436" s="292"/>
      <c r="BT436" s="292"/>
      <c r="BU436" s="292"/>
      <c r="BV436" s="292"/>
      <c r="BW436" s="292"/>
    </row>
    <row r="437">
      <c r="A437" s="292"/>
      <c r="B437" s="292" t="str">
        <f>IFERROR(__xludf.DUMMYFUNCTION("""COMPUTED_VALUE"""),"")</f>
        <v/>
      </c>
      <c r="C437" s="292"/>
      <c r="D437" s="292" t="str">
        <f>IFERROR(__xludf.DUMMYFUNCTION("""COMPUTED_VALUE"""),"")</f>
        <v/>
      </c>
      <c r="E437" s="292" t="str">
        <f>IFERROR(__xludf.DUMMYFUNCTION("""COMPUTED_VALUE"""),"")</f>
        <v/>
      </c>
      <c r="F437" s="292"/>
      <c r="G437" s="292" t="str">
        <f>IFERROR(__xludf.DUMMYFUNCTION("""COMPUTED_VALUE"""),"")</f>
        <v/>
      </c>
      <c r="H437" s="292" t="str">
        <f>IFERROR(__xludf.DUMMYFUNCTION("""COMPUTED_VALUE"""),"")</f>
        <v/>
      </c>
      <c r="I437" s="292"/>
      <c r="J437" s="292"/>
      <c r="K437" s="292"/>
      <c r="L437" s="292"/>
      <c r="M437" s="292" t="str">
        <f>IFERROR(__xludf.DUMMYFUNCTION("""COMPUTED_VALUE"""),"")</f>
        <v/>
      </c>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c r="AK437" s="292"/>
      <c r="AL437" s="292"/>
      <c r="AM437" s="292"/>
      <c r="AN437" s="292"/>
      <c r="AO437" s="292"/>
      <c r="AP437" s="292"/>
      <c r="AQ437" s="292"/>
      <c r="AR437" s="292"/>
      <c r="AS437" s="292"/>
      <c r="AT437" s="292"/>
      <c r="AU437" s="292"/>
      <c r="AV437" s="292"/>
      <c r="AW437" s="292"/>
      <c r="AX437" s="292"/>
      <c r="AY437" s="292"/>
      <c r="AZ437" s="292"/>
      <c r="BA437" s="292"/>
      <c r="BB437" s="292"/>
      <c r="BC437" s="292"/>
      <c r="BD437" s="292"/>
      <c r="BE437" s="292"/>
      <c r="BF437" s="292"/>
      <c r="BG437" s="292"/>
      <c r="BH437" s="292"/>
      <c r="BI437" s="292"/>
      <c r="BJ437" s="292"/>
      <c r="BK437" s="292"/>
      <c r="BL437" s="292"/>
      <c r="BM437" s="292"/>
      <c r="BN437" s="292"/>
      <c r="BO437" s="292"/>
      <c r="BP437" s="292"/>
      <c r="BQ437" s="292"/>
      <c r="BR437" s="292"/>
      <c r="BS437" s="292"/>
      <c r="BT437" s="292"/>
      <c r="BU437" s="292"/>
      <c r="BV437" s="292"/>
      <c r="BW437" s="292"/>
    </row>
    <row r="438">
      <c r="A438" s="292"/>
      <c r="B438" s="292" t="str">
        <f>IFERROR(__xludf.DUMMYFUNCTION("""COMPUTED_VALUE"""),"")</f>
        <v/>
      </c>
      <c r="C438" s="292"/>
      <c r="D438" s="292" t="str">
        <f>IFERROR(__xludf.DUMMYFUNCTION("""COMPUTED_VALUE"""),"")</f>
        <v/>
      </c>
      <c r="E438" s="292" t="str">
        <f>IFERROR(__xludf.DUMMYFUNCTION("""COMPUTED_VALUE"""),"")</f>
        <v/>
      </c>
      <c r="F438" s="292"/>
      <c r="G438" s="292" t="str">
        <f>IFERROR(__xludf.DUMMYFUNCTION("""COMPUTED_VALUE"""),"")</f>
        <v/>
      </c>
      <c r="H438" s="292" t="str">
        <f>IFERROR(__xludf.DUMMYFUNCTION("""COMPUTED_VALUE"""),"")</f>
        <v/>
      </c>
      <c r="I438" s="292"/>
      <c r="J438" s="292"/>
      <c r="K438" s="292"/>
      <c r="L438" s="292"/>
      <c r="M438" s="292" t="str">
        <f>IFERROR(__xludf.DUMMYFUNCTION("""COMPUTED_VALUE"""),"")</f>
        <v/>
      </c>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c r="AK438" s="292"/>
      <c r="AL438" s="292"/>
      <c r="AM438" s="292"/>
      <c r="AN438" s="292"/>
      <c r="AO438" s="292"/>
      <c r="AP438" s="292"/>
      <c r="AQ438" s="292"/>
      <c r="AR438" s="292"/>
      <c r="AS438" s="292"/>
      <c r="AT438" s="292"/>
      <c r="AU438" s="292"/>
      <c r="AV438" s="292"/>
      <c r="AW438" s="292"/>
      <c r="AX438" s="292"/>
      <c r="AY438" s="292"/>
      <c r="AZ438" s="292"/>
      <c r="BA438" s="292"/>
      <c r="BB438" s="292"/>
      <c r="BC438" s="292"/>
      <c r="BD438" s="292"/>
      <c r="BE438" s="292"/>
      <c r="BF438" s="292"/>
      <c r="BG438" s="292"/>
      <c r="BH438" s="292"/>
      <c r="BI438" s="292"/>
      <c r="BJ438" s="292"/>
      <c r="BK438" s="292"/>
      <c r="BL438" s="292"/>
      <c r="BM438" s="292"/>
      <c r="BN438" s="292"/>
      <c r="BO438" s="292"/>
      <c r="BP438" s="292"/>
      <c r="BQ438" s="292"/>
      <c r="BR438" s="292"/>
      <c r="BS438" s="292"/>
      <c r="BT438" s="292"/>
      <c r="BU438" s="292"/>
      <c r="BV438" s="292"/>
      <c r="BW438" s="292"/>
    </row>
    <row r="439">
      <c r="A439" s="292"/>
      <c r="B439" s="292" t="str">
        <f>IFERROR(__xludf.DUMMYFUNCTION("""COMPUTED_VALUE"""),"")</f>
        <v/>
      </c>
      <c r="C439" s="292"/>
      <c r="D439" s="292" t="str">
        <f>IFERROR(__xludf.DUMMYFUNCTION("""COMPUTED_VALUE"""),"")</f>
        <v/>
      </c>
      <c r="E439" s="292" t="str">
        <f>IFERROR(__xludf.DUMMYFUNCTION("""COMPUTED_VALUE"""),"")</f>
        <v/>
      </c>
      <c r="F439" s="292"/>
      <c r="G439" s="292" t="str">
        <f>IFERROR(__xludf.DUMMYFUNCTION("""COMPUTED_VALUE"""),"")</f>
        <v/>
      </c>
      <c r="H439" s="292" t="str">
        <f>IFERROR(__xludf.DUMMYFUNCTION("""COMPUTED_VALUE"""),"")</f>
        <v/>
      </c>
      <c r="I439" s="292"/>
      <c r="J439" s="292"/>
      <c r="K439" s="292"/>
      <c r="L439" s="292"/>
      <c r="M439" s="292" t="str">
        <f>IFERROR(__xludf.DUMMYFUNCTION("""COMPUTED_VALUE"""),"")</f>
        <v/>
      </c>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c r="AK439" s="292"/>
      <c r="AL439" s="292"/>
      <c r="AM439" s="292"/>
      <c r="AN439" s="292"/>
      <c r="AO439" s="292"/>
      <c r="AP439" s="292"/>
      <c r="AQ439" s="292"/>
      <c r="AR439" s="292"/>
      <c r="AS439" s="292"/>
      <c r="AT439" s="292"/>
      <c r="AU439" s="292"/>
      <c r="AV439" s="292"/>
      <c r="AW439" s="292"/>
      <c r="AX439" s="292"/>
      <c r="AY439" s="292"/>
      <c r="AZ439" s="292"/>
      <c r="BA439" s="292"/>
      <c r="BB439" s="292"/>
      <c r="BC439" s="292"/>
      <c r="BD439" s="292"/>
      <c r="BE439" s="292"/>
      <c r="BF439" s="292"/>
      <c r="BG439" s="292"/>
      <c r="BH439" s="292"/>
      <c r="BI439" s="292"/>
      <c r="BJ439" s="292"/>
      <c r="BK439" s="292"/>
      <c r="BL439" s="292"/>
      <c r="BM439" s="292"/>
      <c r="BN439" s="292"/>
      <c r="BO439" s="292"/>
      <c r="BP439" s="292"/>
      <c r="BQ439" s="292"/>
      <c r="BR439" s="292"/>
      <c r="BS439" s="292"/>
      <c r="BT439" s="292"/>
      <c r="BU439" s="292"/>
      <c r="BV439" s="292"/>
      <c r="BW439" s="292"/>
    </row>
    <row r="440">
      <c r="A440" s="292"/>
      <c r="B440" s="292" t="str">
        <f>IFERROR(__xludf.DUMMYFUNCTION("""COMPUTED_VALUE"""),"")</f>
        <v/>
      </c>
      <c r="C440" s="292"/>
      <c r="D440" s="292" t="str">
        <f>IFERROR(__xludf.DUMMYFUNCTION("""COMPUTED_VALUE"""),"")</f>
        <v/>
      </c>
      <c r="E440" s="292" t="str">
        <f>IFERROR(__xludf.DUMMYFUNCTION("""COMPUTED_VALUE"""),"")</f>
        <v/>
      </c>
      <c r="F440" s="292"/>
      <c r="G440" s="292" t="str">
        <f>IFERROR(__xludf.DUMMYFUNCTION("""COMPUTED_VALUE"""),"")</f>
        <v/>
      </c>
      <c r="H440" s="292" t="str">
        <f>IFERROR(__xludf.DUMMYFUNCTION("""COMPUTED_VALUE"""),"")</f>
        <v/>
      </c>
      <c r="I440" s="292"/>
      <c r="J440" s="292"/>
      <c r="K440" s="292"/>
      <c r="L440" s="292"/>
      <c r="M440" s="292" t="str">
        <f>IFERROR(__xludf.DUMMYFUNCTION("""COMPUTED_VALUE"""),"")</f>
        <v/>
      </c>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c r="AK440" s="292"/>
      <c r="AL440" s="292"/>
      <c r="AM440" s="292"/>
      <c r="AN440" s="292"/>
      <c r="AO440" s="292"/>
      <c r="AP440" s="292"/>
      <c r="AQ440" s="292"/>
      <c r="AR440" s="292"/>
      <c r="AS440" s="292"/>
      <c r="AT440" s="292"/>
      <c r="AU440" s="292"/>
      <c r="AV440" s="292"/>
      <c r="AW440" s="292"/>
      <c r="AX440" s="292"/>
      <c r="AY440" s="292"/>
      <c r="AZ440" s="292"/>
      <c r="BA440" s="292"/>
      <c r="BB440" s="292"/>
      <c r="BC440" s="292"/>
      <c r="BD440" s="292"/>
      <c r="BE440" s="292"/>
      <c r="BF440" s="292"/>
      <c r="BG440" s="292"/>
      <c r="BH440" s="292"/>
      <c r="BI440" s="292"/>
      <c r="BJ440" s="292"/>
      <c r="BK440" s="292"/>
      <c r="BL440" s="292"/>
      <c r="BM440" s="292"/>
      <c r="BN440" s="292"/>
      <c r="BO440" s="292"/>
      <c r="BP440" s="292"/>
      <c r="BQ440" s="292"/>
      <c r="BR440" s="292"/>
      <c r="BS440" s="292"/>
      <c r="BT440" s="292"/>
      <c r="BU440" s="292"/>
      <c r="BV440" s="292"/>
      <c r="BW440" s="292"/>
    </row>
    <row r="441">
      <c r="A441" s="292"/>
      <c r="B441" s="292" t="str">
        <f>IFERROR(__xludf.DUMMYFUNCTION("""COMPUTED_VALUE"""),"")</f>
        <v/>
      </c>
      <c r="C441" s="292"/>
      <c r="D441" s="292" t="str">
        <f>IFERROR(__xludf.DUMMYFUNCTION("""COMPUTED_VALUE"""),"")</f>
        <v/>
      </c>
      <c r="E441" s="292" t="str">
        <f>IFERROR(__xludf.DUMMYFUNCTION("""COMPUTED_VALUE"""),"")</f>
        <v/>
      </c>
      <c r="F441" s="292"/>
      <c r="G441" s="292" t="str">
        <f>IFERROR(__xludf.DUMMYFUNCTION("""COMPUTED_VALUE"""),"")</f>
        <v/>
      </c>
      <c r="H441" s="292" t="str">
        <f>IFERROR(__xludf.DUMMYFUNCTION("""COMPUTED_VALUE"""),"")</f>
        <v/>
      </c>
      <c r="I441" s="292"/>
      <c r="J441" s="292"/>
      <c r="K441" s="292"/>
      <c r="L441" s="292"/>
      <c r="M441" s="292" t="str">
        <f>IFERROR(__xludf.DUMMYFUNCTION("""COMPUTED_VALUE"""),"")</f>
        <v/>
      </c>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c r="AK441" s="292"/>
      <c r="AL441" s="292"/>
      <c r="AM441" s="292"/>
      <c r="AN441" s="292"/>
      <c r="AO441" s="292"/>
      <c r="AP441" s="292"/>
      <c r="AQ441" s="292"/>
      <c r="AR441" s="292"/>
      <c r="AS441" s="292"/>
      <c r="AT441" s="292"/>
      <c r="AU441" s="292"/>
      <c r="AV441" s="292"/>
      <c r="AW441" s="292"/>
      <c r="AX441" s="292"/>
      <c r="AY441" s="292"/>
      <c r="AZ441" s="292"/>
      <c r="BA441" s="292"/>
      <c r="BB441" s="292"/>
      <c r="BC441" s="292"/>
      <c r="BD441" s="292"/>
      <c r="BE441" s="292"/>
      <c r="BF441" s="292"/>
      <c r="BG441" s="292"/>
      <c r="BH441" s="292"/>
      <c r="BI441" s="292"/>
      <c r="BJ441" s="292"/>
      <c r="BK441" s="292"/>
      <c r="BL441" s="292"/>
      <c r="BM441" s="292"/>
      <c r="BN441" s="292"/>
      <c r="BO441" s="292"/>
      <c r="BP441" s="292"/>
      <c r="BQ441" s="292"/>
      <c r="BR441" s="292"/>
      <c r="BS441" s="292"/>
      <c r="BT441" s="292"/>
      <c r="BU441" s="292"/>
      <c r="BV441" s="292"/>
      <c r="BW441" s="292"/>
    </row>
    <row r="442">
      <c r="A442" s="292"/>
      <c r="B442" s="292" t="str">
        <f>IFERROR(__xludf.DUMMYFUNCTION("""COMPUTED_VALUE"""),"")</f>
        <v/>
      </c>
      <c r="C442" s="292"/>
      <c r="D442" s="292" t="str">
        <f>IFERROR(__xludf.DUMMYFUNCTION("""COMPUTED_VALUE"""),"")</f>
        <v/>
      </c>
      <c r="E442" s="292" t="str">
        <f>IFERROR(__xludf.DUMMYFUNCTION("""COMPUTED_VALUE"""),"")</f>
        <v/>
      </c>
      <c r="F442" s="292"/>
      <c r="G442" s="292" t="str">
        <f>IFERROR(__xludf.DUMMYFUNCTION("""COMPUTED_VALUE"""),"")</f>
        <v/>
      </c>
      <c r="H442" s="292" t="str">
        <f>IFERROR(__xludf.DUMMYFUNCTION("""COMPUTED_VALUE"""),"")</f>
        <v/>
      </c>
      <c r="I442" s="292"/>
      <c r="J442" s="292"/>
      <c r="K442" s="292"/>
      <c r="L442" s="292"/>
      <c r="M442" s="292" t="str">
        <f>IFERROR(__xludf.DUMMYFUNCTION("""COMPUTED_VALUE"""),"")</f>
        <v/>
      </c>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c r="AK442" s="292"/>
      <c r="AL442" s="292"/>
      <c r="AM442" s="292"/>
      <c r="AN442" s="292"/>
      <c r="AO442" s="292"/>
      <c r="AP442" s="292"/>
      <c r="AQ442" s="292"/>
      <c r="AR442" s="292"/>
      <c r="AS442" s="292"/>
      <c r="AT442" s="292"/>
      <c r="AU442" s="292"/>
      <c r="AV442" s="292"/>
      <c r="AW442" s="292"/>
      <c r="AX442" s="292"/>
      <c r="AY442" s="292"/>
      <c r="AZ442" s="292"/>
      <c r="BA442" s="292"/>
      <c r="BB442" s="292"/>
      <c r="BC442" s="292"/>
      <c r="BD442" s="292"/>
      <c r="BE442" s="292"/>
      <c r="BF442" s="292"/>
      <c r="BG442" s="292"/>
      <c r="BH442" s="292"/>
      <c r="BI442" s="292"/>
      <c r="BJ442" s="292"/>
      <c r="BK442" s="292"/>
      <c r="BL442" s="292"/>
      <c r="BM442" s="292"/>
      <c r="BN442" s="292"/>
      <c r="BO442" s="292"/>
      <c r="BP442" s="292"/>
      <c r="BQ442" s="292"/>
      <c r="BR442" s="292"/>
      <c r="BS442" s="292"/>
      <c r="BT442" s="292"/>
      <c r="BU442" s="292"/>
      <c r="BV442" s="292"/>
      <c r="BW442" s="292"/>
    </row>
    <row r="443">
      <c r="A443" s="292"/>
      <c r="B443" s="292" t="str">
        <f>IFERROR(__xludf.DUMMYFUNCTION("""COMPUTED_VALUE"""),"")</f>
        <v/>
      </c>
      <c r="C443" s="292"/>
      <c r="D443" s="292" t="str">
        <f>IFERROR(__xludf.DUMMYFUNCTION("""COMPUTED_VALUE"""),"")</f>
        <v/>
      </c>
      <c r="E443" s="292" t="str">
        <f>IFERROR(__xludf.DUMMYFUNCTION("""COMPUTED_VALUE"""),"")</f>
        <v/>
      </c>
      <c r="F443" s="292"/>
      <c r="G443" s="292" t="str">
        <f>IFERROR(__xludf.DUMMYFUNCTION("""COMPUTED_VALUE"""),"")</f>
        <v/>
      </c>
      <c r="H443" s="292" t="str">
        <f>IFERROR(__xludf.DUMMYFUNCTION("""COMPUTED_VALUE"""),"")</f>
        <v/>
      </c>
      <c r="I443" s="292"/>
      <c r="J443" s="292"/>
      <c r="K443" s="292"/>
      <c r="L443" s="292"/>
      <c r="M443" s="292" t="str">
        <f>IFERROR(__xludf.DUMMYFUNCTION("""COMPUTED_VALUE"""),"")</f>
        <v/>
      </c>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c r="AK443" s="292"/>
      <c r="AL443" s="292"/>
      <c r="AM443" s="292"/>
      <c r="AN443" s="292"/>
      <c r="AO443" s="292"/>
      <c r="AP443" s="292"/>
      <c r="AQ443" s="292"/>
      <c r="AR443" s="292"/>
      <c r="AS443" s="292"/>
      <c r="AT443" s="292"/>
      <c r="AU443" s="292"/>
      <c r="AV443" s="292"/>
      <c r="AW443" s="292"/>
      <c r="AX443" s="292"/>
      <c r="AY443" s="292"/>
      <c r="AZ443" s="292"/>
      <c r="BA443" s="292"/>
      <c r="BB443" s="292"/>
      <c r="BC443" s="292"/>
      <c r="BD443" s="292"/>
      <c r="BE443" s="292"/>
      <c r="BF443" s="292"/>
      <c r="BG443" s="292"/>
      <c r="BH443" s="292"/>
      <c r="BI443" s="292"/>
      <c r="BJ443" s="292"/>
      <c r="BK443" s="292"/>
      <c r="BL443" s="292"/>
      <c r="BM443" s="292"/>
      <c r="BN443" s="292"/>
      <c r="BO443" s="292"/>
      <c r="BP443" s="292"/>
      <c r="BQ443" s="292"/>
      <c r="BR443" s="292"/>
      <c r="BS443" s="292"/>
      <c r="BT443" s="292"/>
      <c r="BU443" s="292"/>
      <c r="BV443" s="292"/>
      <c r="BW443" s="292"/>
    </row>
    <row r="444">
      <c r="A444" s="292"/>
      <c r="B444" s="292" t="str">
        <f>IFERROR(__xludf.DUMMYFUNCTION("""COMPUTED_VALUE"""),"")</f>
        <v/>
      </c>
      <c r="C444" s="292"/>
      <c r="D444" s="292" t="str">
        <f>IFERROR(__xludf.DUMMYFUNCTION("""COMPUTED_VALUE"""),"")</f>
        <v/>
      </c>
      <c r="E444" s="292" t="str">
        <f>IFERROR(__xludf.DUMMYFUNCTION("""COMPUTED_VALUE"""),"")</f>
        <v/>
      </c>
      <c r="F444" s="292"/>
      <c r="G444" s="292" t="str">
        <f>IFERROR(__xludf.DUMMYFUNCTION("""COMPUTED_VALUE"""),"")</f>
        <v/>
      </c>
      <c r="H444" s="292" t="str">
        <f>IFERROR(__xludf.DUMMYFUNCTION("""COMPUTED_VALUE"""),"")</f>
        <v/>
      </c>
      <c r="I444" s="292"/>
      <c r="J444" s="292"/>
      <c r="K444" s="292"/>
      <c r="L444" s="292"/>
      <c r="M444" s="292" t="str">
        <f>IFERROR(__xludf.DUMMYFUNCTION("""COMPUTED_VALUE"""),"")</f>
        <v/>
      </c>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c r="AK444" s="292"/>
      <c r="AL444" s="292"/>
      <c r="AM444" s="292"/>
      <c r="AN444" s="292"/>
      <c r="AO444" s="292"/>
      <c r="AP444" s="292"/>
      <c r="AQ444" s="292"/>
      <c r="AR444" s="292"/>
      <c r="AS444" s="292"/>
      <c r="AT444" s="292"/>
      <c r="AU444" s="292"/>
      <c r="AV444" s="292"/>
      <c r="AW444" s="292"/>
      <c r="AX444" s="292"/>
      <c r="AY444" s="292"/>
      <c r="AZ444" s="292"/>
      <c r="BA444" s="292"/>
      <c r="BB444" s="292"/>
      <c r="BC444" s="292"/>
      <c r="BD444" s="292"/>
      <c r="BE444" s="292"/>
      <c r="BF444" s="292"/>
      <c r="BG444" s="292"/>
      <c r="BH444" s="292"/>
      <c r="BI444" s="292"/>
      <c r="BJ444" s="292"/>
      <c r="BK444" s="292"/>
      <c r="BL444" s="292"/>
      <c r="BM444" s="292"/>
      <c r="BN444" s="292"/>
      <c r="BO444" s="292"/>
      <c r="BP444" s="292"/>
      <c r="BQ444" s="292"/>
      <c r="BR444" s="292"/>
      <c r="BS444" s="292"/>
      <c r="BT444" s="292"/>
      <c r="BU444" s="292"/>
      <c r="BV444" s="292"/>
      <c r="BW444" s="292"/>
    </row>
    <row r="445">
      <c r="A445" s="292"/>
      <c r="B445" s="292" t="str">
        <f>IFERROR(__xludf.DUMMYFUNCTION("""COMPUTED_VALUE"""),"")</f>
        <v/>
      </c>
      <c r="C445" s="292"/>
      <c r="D445" s="292" t="str">
        <f>IFERROR(__xludf.DUMMYFUNCTION("""COMPUTED_VALUE"""),"")</f>
        <v/>
      </c>
      <c r="E445" s="292" t="str">
        <f>IFERROR(__xludf.DUMMYFUNCTION("""COMPUTED_VALUE"""),"")</f>
        <v/>
      </c>
      <c r="F445" s="292"/>
      <c r="G445" s="292" t="str">
        <f>IFERROR(__xludf.DUMMYFUNCTION("""COMPUTED_VALUE"""),"")</f>
        <v/>
      </c>
      <c r="H445" s="292" t="str">
        <f>IFERROR(__xludf.DUMMYFUNCTION("""COMPUTED_VALUE"""),"")</f>
        <v/>
      </c>
      <c r="I445" s="292"/>
      <c r="J445" s="292"/>
      <c r="K445" s="292"/>
      <c r="L445" s="292"/>
      <c r="M445" s="292" t="str">
        <f>IFERROR(__xludf.DUMMYFUNCTION("""COMPUTED_VALUE"""),"")</f>
        <v/>
      </c>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c r="AK445" s="292"/>
      <c r="AL445" s="292"/>
      <c r="AM445" s="292"/>
      <c r="AN445" s="292"/>
      <c r="AO445" s="292"/>
      <c r="AP445" s="292"/>
      <c r="AQ445" s="292"/>
      <c r="AR445" s="292"/>
      <c r="AS445" s="292"/>
      <c r="AT445" s="292"/>
      <c r="AU445" s="292"/>
      <c r="AV445" s="292"/>
      <c r="AW445" s="292"/>
      <c r="AX445" s="292"/>
      <c r="AY445" s="292"/>
      <c r="AZ445" s="292"/>
      <c r="BA445" s="292"/>
      <c r="BB445" s="292"/>
      <c r="BC445" s="292"/>
      <c r="BD445" s="292"/>
      <c r="BE445" s="292"/>
      <c r="BF445" s="292"/>
      <c r="BG445" s="292"/>
      <c r="BH445" s="292"/>
      <c r="BI445" s="292"/>
      <c r="BJ445" s="292"/>
      <c r="BK445" s="292"/>
      <c r="BL445" s="292"/>
      <c r="BM445" s="292"/>
      <c r="BN445" s="292"/>
      <c r="BO445" s="292"/>
      <c r="BP445" s="292"/>
      <c r="BQ445" s="292"/>
      <c r="BR445" s="292"/>
      <c r="BS445" s="292"/>
      <c r="BT445" s="292"/>
      <c r="BU445" s="292"/>
      <c r="BV445" s="292"/>
      <c r="BW445" s="292"/>
    </row>
    <row r="446">
      <c r="A446" s="292"/>
      <c r="B446" s="292" t="str">
        <f>IFERROR(__xludf.DUMMYFUNCTION("""COMPUTED_VALUE"""),"")</f>
        <v/>
      </c>
      <c r="C446" s="292"/>
      <c r="D446" s="292" t="str">
        <f>IFERROR(__xludf.DUMMYFUNCTION("""COMPUTED_VALUE"""),"")</f>
        <v/>
      </c>
      <c r="E446" s="292" t="str">
        <f>IFERROR(__xludf.DUMMYFUNCTION("""COMPUTED_VALUE"""),"")</f>
        <v/>
      </c>
      <c r="F446" s="292"/>
      <c r="G446" s="292" t="str">
        <f>IFERROR(__xludf.DUMMYFUNCTION("""COMPUTED_VALUE"""),"")</f>
        <v/>
      </c>
      <c r="H446" s="292" t="str">
        <f>IFERROR(__xludf.DUMMYFUNCTION("""COMPUTED_VALUE"""),"")</f>
        <v/>
      </c>
      <c r="I446" s="292"/>
      <c r="J446" s="292"/>
      <c r="K446" s="292"/>
      <c r="L446" s="292"/>
      <c r="M446" s="292" t="str">
        <f>IFERROR(__xludf.DUMMYFUNCTION("""COMPUTED_VALUE"""),"")</f>
        <v/>
      </c>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c r="AK446" s="292"/>
      <c r="AL446" s="292"/>
      <c r="AM446" s="292"/>
      <c r="AN446" s="292"/>
      <c r="AO446" s="292"/>
      <c r="AP446" s="292"/>
      <c r="AQ446" s="292"/>
      <c r="AR446" s="292"/>
      <c r="AS446" s="292"/>
      <c r="AT446" s="292"/>
      <c r="AU446" s="292"/>
      <c r="AV446" s="292"/>
      <c r="AW446" s="292"/>
      <c r="AX446" s="292"/>
      <c r="AY446" s="292"/>
      <c r="AZ446" s="292"/>
      <c r="BA446" s="292"/>
      <c r="BB446" s="292"/>
      <c r="BC446" s="292"/>
      <c r="BD446" s="292"/>
      <c r="BE446" s="292"/>
      <c r="BF446" s="292"/>
      <c r="BG446" s="292"/>
      <c r="BH446" s="292"/>
      <c r="BI446" s="292"/>
      <c r="BJ446" s="292"/>
      <c r="BK446" s="292"/>
      <c r="BL446" s="292"/>
      <c r="BM446" s="292"/>
      <c r="BN446" s="292"/>
      <c r="BO446" s="292"/>
      <c r="BP446" s="292"/>
      <c r="BQ446" s="292"/>
      <c r="BR446" s="292"/>
      <c r="BS446" s="292"/>
      <c r="BT446" s="292"/>
      <c r="BU446" s="292"/>
      <c r="BV446" s="292"/>
      <c r="BW446" s="292"/>
    </row>
    <row r="447">
      <c r="A447" s="292"/>
      <c r="B447" s="292" t="str">
        <f>IFERROR(__xludf.DUMMYFUNCTION("""COMPUTED_VALUE"""),"")</f>
        <v/>
      </c>
      <c r="C447" s="292"/>
      <c r="D447" s="292" t="str">
        <f>IFERROR(__xludf.DUMMYFUNCTION("""COMPUTED_VALUE"""),"")</f>
        <v/>
      </c>
      <c r="E447" s="292" t="str">
        <f>IFERROR(__xludf.DUMMYFUNCTION("""COMPUTED_VALUE"""),"")</f>
        <v/>
      </c>
      <c r="F447" s="292"/>
      <c r="G447" s="292" t="str">
        <f>IFERROR(__xludf.DUMMYFUNCTION("""COMPUTED_VALUE"""),"")</f>
        <v/>
      </c>
      <c r="H447" s="292" t="str">
        <f>IFERROR(__xludf.DUMMYFUNCTION("""COMPUTED_VALUE"""),"")</f>
        <v/>
      </c>
      <c r="I447" s="292"/>
      <c r="J447" s="292"/>
      <c r="K447" s="292"/>
      <c r="L447" s="292"/>
      <c r="M447" s="292" t="str">
        <f>IFERROR(__xludf.DUMMYFUNCTION("""COMPUTED_VALUE"""),"")</f>
        <v/>
      </c>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c r="AK447" s="292"/>
      <c r="AL447" s="292"/>
      <c r="AM447" s="292"/>
      <c r="AN447" s="292"/>
      <c r="AO447" s="292"/>
      <c r="AP447" s="292"/>
      <c r="AQ447" s="292"/>
      <c r="AR447" s="292"/>
      <c r="AS447" s="292"/>
      <c r="AT447" s="292"/>
      <c r="AU447" s="292"/>
      <c r="AV447" s="292"/>
      <c r="AW447" s="292"/>
      <c r="AX447" s="292"/>
      <c r="AY447" s="292"/>
      <c r="AZ447" s="292"/>
      <c r="BA447" s="292"/>
      <c r="BB447" s="292"/>
      <c r="BC447" s="292"/>
      <c r="BD447" s="292"/>
      <c r="BE447" s="292"/>
      <c r="BF447" s="292"/>
      <c r="BG447" s="292"/>
      <c r="BH447" s="292"/>
      <c r="BI447" s="292"/>
      <c r="BJ447" s="292"/>
      <c r="BK447" s="292"/>
      <c r="BL447" s="292"/>
      <c r="BM447" s="292"/>
      <c r="BN447" s="292"/>
      <c r="BO447" s="292"/>
      <c r="BP447" s="292"/>
      <c r="BQ447" s="292"/>
      <c r="BR447" s="292"/>
      <c r="BS447" s="292"/>
      <c r="BT447" s="292"/>
      <c r="BU447" s="292"/>
      <c r="BV447" s="292"/>
      <c r="BW447" s="292"/>
    </row>
    <row r="448">
      <c r="A448" s="292"/>
      <c r="B448" s="292" t="str">
        <f>IFERROR(__xludf.DUMMYFUNCTION("""COMPUTED_VALUE"""),"")</f>
        <v/>
      </c>
      <c r="C448" s="292"/>
      <c r="D448" s="292" t="str">
        <f>IFERROR(__xludf.DUMMYFUNCTION("""COMPUTED_VALUE"""),"")</f>
        <v/>
      </c>
      <c r="E448" s="292" t="str">
        <f>IFERROR(__xludf.DUMMYFUNCTION("""COMPUTED_VALUE"""),"")</f>
        <v/>
      </c>
      <c r="F448" s="292"/>
      <c r="G448" s="292" t="str">
        <f>IFERROR(__xludf.DUMMYFUNCTION("""COMPUTED_VALUE"""),"")</f>
        <v/>
      </c>
      <c r="H448" s="292" t="str">
        <f>IFERROR(__xludf.DUMMYFUNCTION("""COMPUTED_VALUE"""),"")</f>
        <v/>
      </c>
      <c r="I448" s="292"/>
      <c r="J448" s="292"/>
      <c r="K448" s="292"/>
      <c r="L448" s="292"/>
      <c r="M448" s="292" t="str">
        <f>IFERROR(__xludf.DUMMYFUNCTION("""COMPUTED_VALUE"""),"")</f>
        <v/>
      </c>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c r="AK448" s="292"/>
      <c r="AL448" s="292"/>
      <c r="AM448" s="292"/>
      <c r="AN448" s="292"/>
      <c r="AO448" s="292"/>
      <c r="AP448" s="292"/>
      <c r="AQ448" s="292"/>
      <c r="AR448" s="292"/>
      <c r="AS448" s="292"/>
      <c r="AT448" s="292"/>
      <c r="AU448" s="292"/>
      <c r="AV448" s="292"/>
      <c r="AW448" s="292"/>
      <c r="AX448" s="292"/>
      <c r="AY448" s="292"/>
      <c r="AZ448" s="292"/>
      <c r="BA448" s="292"/>
      <c r="BB448" s="292"/>
      <c r="BC448" s="292"/>
      <c r="BD448" s="292"/>
      <c r="BE448" s="292"/>
      <c r="BF448" s="292"/>
      <c r="BG448" s="292"/>
      <c r="BH448" s="292"/>
      <c r="BI448" s="292"/>
      <c r="BJ448" s="292"/>
      <c r="BK448" s="292"/>
      <c r="BL448" s="292"/>
      <c r="BM448" s="292"/>
      <c r="BN448" s="292"/>
      <c r="BO448" s="292"/>
      <c r="BP448" s="292"/>
      <c r="BQ448" s="292"/>
      <c r="BR448" s="292"/>
      <c r="BS448" s="292"/>
      <c r="BT448" s="292"/>
      <c r="BU448" s="292"/>
      <c r="BV448" s="292"/>
      <c r="BW448" s="292"/>
    </row>
    <row r="449">
      <c r="A449" s="292"/>
      <c r="B449" s="292" t="str">
        <f>IFERROR(__xludf.DUMMYFUNCTION("""COMPUTED_VALUE"""),"")</f>
        <v/>
      </c>
      <c r="C449" s="292"/>
      <c r="D449" s="292" t="str">
        <f>IFERROR(__xludf.DUMMYFUNCTION("""COMPUTED_VALUE"""),"")</f>
        <v/>
      </c>
      <c r="E449" s="292" t="str">
        <f>IFERROR(__xludf.DUMMYFUNCTION("""COMPUTED_VALUE"""),"")</f>
        <v/>
      </c>
      <c r="F449" s="292"/>
      <c r="G449" s="292" t="str">
        <f>IFERROR(__xludf.DUMMYFUNCTION("""COMPUTED_VALUE"""),"")</f>
        <v/>
      </c>
      <c r="H449" s="292" t="str">
        <f>IFERROR(__xludf.DUMMYFUNCTION("""COMPUTED_VALUE"""),"")</f>
        <v/>
      </c>
      <c r="I449" s="292"/>
      <c r="J449" s="292"/>
      <c r="K449" s="292"/>
      <c r="L449" s="292"/>
      <c r="M449" s="292" t="str">
        <f>IFERROR(__xludf.DUMMYFUNCTION("""COMPUTED_VALUE"""),"")</f>
        <v/>
      </c>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c r="AK449" s="292"/>
      <c r="AL449" s="292"/>
      <c r="AM449" s="292"/>
      <c r="AN449" s="292"/>
      <c r="AO449" s="292"/>
      <c r="AP449" s="292"/>
      <c r="AQ449" s="292"/>
      <c r="AR449" s="292"/>
      <c r="AS449" s="292"/>
      <c r="AT449" s="292"/>
      <c r="AU449" s="292"/>
      <c r="AV449" s="292"/>
      <c r="AW449" s="292"/>
      <c r="AX449" s="292"/>
      <c r="AY449" s="292"/>
      <c r="AZ449" s="292"/>
      <c r="BA449" s="292"/>
      <c r="BB449" s="292"/>
      <c r="BC449" s="292"/>
      <c r="BD449" s="292"/>
      <c r="BE449" s="292"/>
      <c r="BF449" s="292"/>
      <c r="BG449" s="292"/>
      <c r="BH449" s="292"/>
      <c r="BI449" s="292"/>
      <c r="BJ449" s="292"/>
      <c r="BK449" s="292"/>
      <c r="BL449" s="292"/>
      <c r="BM449" s="292"/>
      <c r="BN449" s="292"/>
      <c r="BO449" s="292"/>
      <c r="BP449" s="292"/>
      <c r="BQ449" s="292"/>
      <c r="BR449" s="292"/>
      <c r="BS449" s="292"/>
      <c r="BT449" s="292"/>
      <c r="BU449" s="292"/>
      <c r="BV449" s="292"/>
      <c r="BW449" s="292"/>
    </row>
    <row r="450">
      <c r="A450" s="292"/>
      <c r="B450" s="292" t="str">
        <f>IFERROR(__xludf.DUMMYFUNCTION("""COMPUTED_VALUE"""),"")</f>
        <v/>
      </c>
      <c r="C450" s="292"/>
      <c r="D450" s="292" t="str">
        <f>IFERROR(__xludf.DUMMYFUNCTION("""COMPUTED_VALUE"""),"")</f>
        <v/>
      </c>
      <c r="E450" s="292" t="str">
        <f>IFERROR(__xludf.DUMMYFUNCTION("""COMPUTED_VALUE"""),"")</f>
        <v/>
      </c>
      <c r="F450" s="292"/>
      <c r="G450" s="292" t="str">
        <f>IFERROR(__xludf.DUMMYFUNCTION("""COMPUTED_VALUE"""),"")</f>
        <v/>
      </c>
      <c r="H450" s="292" t="str">
        <f>IFERROR(__xludf.DUMMYFUNCTION("""COMPUTED_VALUE"""),"")</f>
        <v/>
      </c>
      <c r="I450" s="292"/>
      <c r="J450" s="292"/>
      <c r="K450" s="292"/>
      <c r="L450" s="292"/>
      <c r="M450" s="292" t="str">
        <f>IFERROR(__xludf.DUMMYFUNCTION("""COMPUTED_VALUE"""),"")</f>
        <v/>
      </c>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c r="AK450" s="292"/>
      <c r="AL450" s="292"/>
      <c r="AM450" s="292"/>
      <c r="AN450" s="292"/>
      <c r="AO450" s="292"/>
      <c r="AP450" s="292"/>
      <c r="AQ450" s="292"/>
      <c r="AR450" s="292"/>
      <c r="AS450" s="292"/>
      <c r="AT450" s="292"/>
      <c r="AU450" s="292"/>
      <c r="AV450" s="292"/>
      <c r="AW450" s="292"/>
      <c r="AX450" s="292"/>
      <c r="AY450" s="292"/>
      <c r="AZ450" s="292"/>
      <c r="BA450" s="292"/>
      <c r="BB450" s="292"/>
      <c r="BC450" s="292"/>
      <c r="BD450" s="292"/>
      <c r="BE450" s="292"/>
      <c r="BF450" s="292"/>
      <c r="BG450" s="292"/>
      <c r="BH450" s="292"/>
      <c r="BI450" s="292"/>
      <c r="BJ450" s="292"/>
      <c r="BK450" s="292"/>
      <c r="BL450" s="292"/>
      <c r="BM450" s="292"/>
      <c r="BN450" s="292"/>
      <c r="BO450" s="292"/>
      <c r="BP450" s="292"/>
      <c r="BQ450" s="292"/>
      <c r="BR450" s="292"/>
      <c r="BS450" s="292"/>
      <c r="BT450" s="292"/>
      <c r="BU450" s="292"/>
      <c r="BV450" s="292"/>
      <c r="BW450" s="292"/>
    </row>
    <row r="451">
      <c r="A451" s="292"/>
      <c r="B451" s="292" t="str">
        <f>IFERROR(__xludf.DUMMYFUNCTION("""COMPUTED_VALUE"""),"")</f>
        <v/>
      </c>
      <c r="C451" s="292"/>
      <c r="D451" s="292" t="str">
        <f>IFERROR(__xludf.DUMMYFUNCTION("""COMPUTED_VALUE"""),"")</f>
        <v/>
      </c>
      <c r="E451" s="292" t="str">
        <f>IFERROR(__xludf.DUMMYFUNCTION("""COMPUTED_VALUE"""),"")</f>
        <v/>
      </c>
      <c r="F451" s="292"/>
      <c r="G451" s="292" t="str">
        <f>IFERROR(__xludf.DUMMYFUNCTION("""COMPUTED_VALUE"""),"")</f>
        <v/>
      </c>
      <c r="H451" s="292" t="str">
        <f>IFERROR(__xludf.DUMMYFUNCTION("""COMPUTED_VALUE"""),"")</f>
        <v/>
      </c>
      <c r="I451" s="292"/>
      <c r="J451" s="292"/>
      <c r="K451" s="292"/>
      <c r="L451" s="292"/>
      <c r="M451" s="292" t="str">
        <f>IFERROR(__xludf.DUMMYFUNCTION("""COMPUTED_VALUE"""),"")</f>
        <v/>
      </c>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c r="AK451" s="292"/>
      <c r="AL451" s="292"/>
      <c r="AM451" s="292"/>
      <c r="AN451" s="292"/>
      <c r="AO451" s="292"/>
      <c r="AP451" s="292"/>
      <c r="AQ451" s="292"/>
      <c r="AR451" s="292"/>
      <c r="AS451" s="292"/>
      <c r="AT451" s="292"/>
      <c r="AU451" s="292"/>
      <c r="AV451" s="292"/>
      <c r="AW451" s="292"/>
      <c r="AX451" s="292"/>
      <c r="AY451" s="292"/>
      <c r="AZ451" s="292"/>
      <c r="BA451" s="292"/>
      <c r="BB451" s="292"/>
      <c r="BC451" s="292"/>
      <c r="BD451" s="292"/>
      <c r="BE451" s="292"/>
      <c r="BF451" s="292"/>
      <c r="BG451" s="292"/>
      <c r="BH451" s="292"/>
      <c r="BI451" s="292"/>
      <c r="BJ451" s="292"/>
      <c r="BK451" s="292"/>
      <c r="BL451" s="292"/>
      <c r="BM451" s="292"/>
      <c r="BN451" s="292"/>
      <c r="BO451" s="292"/>
      <c r="BP451" s="292"/>
      <c r="BQ451" s="292"/>
      <c r="BR451" s="292"/>
      <c r="BS451" s="292"/>
      <c r="BT451" s="292"/>
      <c r="BU451" s="292"/>
      <c r="BV451" s="292"/>
      <c r="BW451" s="292"/>
    </row>
    <row r="452">
      <c r="A452" s="292"/>
      <c r="B452" s="292" t="str">
        <f>IFERROR(__xludf.DUMMYFUNCTION("""COMPUTED_VALUE"""),"")</f>
        <v/>
      </c>
      <c r="C452" s="292"/>
      <c r="D452" s="292" t="str">
        <f>IFERROR(__xludf.DUMMYFUNCTION("""COMPUTED_VALUE"""),"")</f>
        <v/>
      </c>
      <c r="E452" s="292" t="str">
        <f>IFERROR(__xludf.DUMMYFUNCTION("""COMPUTED_VALUE"""),"")</f>
        <v/>
      </c>
      <c r="F452" s="292"/>
      <c r="G452" s="292" t="str">
        <f>IFERROR(__xludf.DUMMYFUNCTION("""COMPUTED_VALUE"""),"")</f>
        <v/>
      </c>
      <c r="H452" s="292" t="str">
        <f>IFERROR(__xludf.DUMMYFUNCTION("""COMPUTED_VALUE"""),"")</f>
        <v/>
      </c>
      <c r="I452" s="292"/>
      <c r="J452" s="292"/>
      <c r="K452" s="292"/>
      <c r="L452" s="292"/>
      <c r="M452" s="292" t="str">
        <f>IFERROR(__xludf.DUMMYFUNCTION("""COMPUTED_VALUE"""),"")</f>
        <v/>
      </c>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c r="AK452" s="292"/>
      <c r="AL452" s="292"/>
      <c r="AM452" s="292"/>
      <c r="AN452" s="292"/>
      <c r="AO452" s="292"/>
      <c r="AP452" s="292"/>
      <c r="AQ452" s="292"/>
      <c r="AR452" s="292"/>
      <c r="AS452" s="292"/>
      <c r="AT452" s="292"/>
      <c r="AU452" s="292"/>
      <c r="AV452" s="292"/>
      <c r="AW452" s="292"/>
      <c r="AX452" s="292"/>
      <c r="AY452" s="292"/>
      <c r="AZ452" s="292"/>
      <c r="BA452" s="292"/>
      <c r="BB452" s="292"/>
      <c r="BC452" s="292"/>
      <c r="BD452" s="292"/>
      <c r="BE452" s="292"/>
      <c r="BF452" s="292"/>
      <c r="BG452" s="292"/>
      <c r="BH452" s="292"/>
      <c r="BI452" s="292"/>
      <c r="BJ452" s="292"/>
      <c r="BK452" s="292"/>
      <c r="BL452" s="292"/>
      <c r="BM452" s="292"/>
      <c r="BN452" s="292"/>
      <c r="BO452" s="292"/>
      <c r="BP452" s="292"/>
      <c r="BQ452" s="292"/>
      <c r="BR452" s="292"/>
      <c r="BS452" s="292"/>
      <c r="BT452" s="292"/>
      <c r="BU452" s="292"/>
      <c r="BV452" s="292"/>
      <c r="BW452" s="292"/>
    </row>
    <row r="453">
      <c r="A453" s="292"/>
      <c r="B453" s="292" t="str">
        <f>IFERROR(__xludf.DUMMYFUNCTION("""COMPUTED_VALUE"""),"")</f>
        <v/>
      </c>
      <c r="C453" s="292"/>
      <c r="D453" s="292" t="str">
        <f>IFERROR(__xludf.DUMMYFUNCTION("""COMPUTED_VALUE"""),"")</f>
        <v/>
      </c>
      <c r="E453" s="292" t="str">
        <f>IFERROR(__xludf.DUMMYFUNCTION("""COMPUTED_VALUE"""),"")</f>
        <v/>
      </c>
      <c r="F453" s="292"/>
      <c r="G453" s="292" t="str">
        <f>IFERROR(__xludf.DUMMYFUNCTION("""COMPUTED_VALUE"""),"")</f>
        <v/>
      </c>
      <c r="H453" s="292" t="str">
        <f>IFERROR(__xludf.DUMMYFUNCTION("""COMPUTED_VALUE"""),"")</f>
        <v/>
      </c>
      <c r="I453" s="292"/>
      <c r="J453" s="292"/>
      <c r="K453" s="292"/>
      <c r="L453" s="292"/>
      <c r="M453" s="292" t="str">
        <f>IFERROR(__xludf.DUMMYFUNCTION("""COMPUTED_VALUE"""),"")</f>
        <v/>
      </c>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c r="AK453" s="292"/>
      <c r="AL453" s="292"/>
      <c r="AM453" s="292"/>
      <c r="AN453" s="292"/>
      <c r="AO453" s="292"/>
      <c r="AP453" s="292"/>
      <c r="AQ453" s="292"/>
      <c r="AR453" s="292"/>
      <c r="AS453" s="292"/>
      <c r="AT453" s="292"/>
      <c r="AU453" s="292"/>
      <c r="AV453" s="292"/>
      <c r="AW453" s="292"/>
      <c r="AX453" s="292"/>
      <c r="AY453" s="292"/>
      <c r="AZ453" s="292"/>
      <c r="BA453" s="292"/>
      <c r="BB453" s="292"/>
      <c r="BC453" s="292"/>
      <c r="BD453" s="292"/>
      <c r="BE453" s="292"/>
      <c r="BF453" s="292"/>
      <c r="BG453" s="292"/>
      <c r="BH453" s="292"/>
      <c r="BI453" s="292"/>
      <c r="BJ453" s="292"/>
      <c r="BK453" s="292"/>
      <c r="BL453" s="292"/>
      <c r="BM453" s="292"/>
      <c r="BN453" s="292"/>
      <c r="BO453" s="292"/>
      <c r="BP453" s="292"/>
      <c r="BQ453" s="292"/>
      <c r="BR453" s="292"/>
      <c r="BS453" s="292"/>
      <c r="BT453" s="292"/>
      <c r="BU453" s="292"/>
      <c r="BV453" s="292"/>
      <c r="BW453" s="292"/>
    </row>
    <row r="454">
      <c r="A454" s="292"/>
      <c r="B454" s="292" t="str">
        <f>IFERROR(__xludf.DUMMYFUNCTION("""COMPUTED_VALUE"""),"")</f>
        <v/>
      </c>
      <c r="C454" s="292"/>
      <c r="D454" s="292" t="str">
        <f>IFERROR(__xludf.DUMMYFUNCTION("""COMPUTED_VALUE"""),"")</f>
        <v/>
      </c>
      <c r="E454" s="292" t="str">
        <f>IFERROR(__xludf.DUMMYFUNCTION("""COMPUTED_VALUE"""),"")</f>
        <v/>
      </c>
      <c r="F454" s="292"/>
      <c r="G454" s="292" t="str">
        <f>IFERROR(__xludf.DUMMYFUNCTION("""COMPUTED_VALUE"""),"")</f>
        <v/>
      </c>
      <c r="H454" s="292" t="str">
        <f>IFERROR(__xludf.DUMMYFUNCTION("""COMPUTED_VALUE"""),"")</f>
        <v/>
      </c>
      <c r="I454" s="292"/>
      <c r="J454" s="292"/>
      <c r="K454" s="292"/>
      <c r="L454" s="292"/>
      <c r="M454" s="292" t="str">
        <f>IFERROR(__xludf.DUMMYFUNCTION("""COMPUTED_VALUE"""),"")</f>
        <v/>
      </c>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c r="AK454" s="292"/>
      <c r="AL454" s="292"/>
      <c r="AM454" s="292"/>
      <c r="AN454" s="292"/>
      <c r="AO454" s="292"/>
      <c r="AP454" s="292"/>
      <c r="AQ454" s="292"/>
      <c r="AR454" s="292"/>
      <c r="AS454" s="292"/>
      <c r="AT454" s="292"/>
      <c r="AU454" s="292"/>
      <c r="AV454" s="292"/>
      <c r="AW454" s="292"/>
      <c r="AX454" s="292"/>
      <c r="AY454" s="292"/>
      <c r="AZ454" s="292"/>
      <c r="BA454" s="292"/>
      <c r="BB454" s="292"/>
      <c r="BC454" s="292"/>
      <c r="BD454" s="292"/>
      <c r="BE454" s="292"/>
      <c r="BF454" s="292"/>
      <c r="BG454" s="292"/>
      <c r="BH454" s="292"/>
      <c r="BI454" s="292"/>
      <c r="BJ454" s="292"/>
      <c r="BK454" s="292"/>
      <c r="BL454" s="292"/>
      <c r="BM454" s="292"/>
      <c r="BN454" s="292"/>
      <c r="BO454" s="292"/>
      <c r="BP454" s="292"/>
      <c r="BQ454" s="292"/>
      <c r="BR454" s="292"/>
      <c r="BS454" s="292"/>
      <c r="BT454" s="292"/>
      <c r="BU454" s="292"/>
      <c r="BV454" s="292"/>
      <c r="BW454" s="292"/>
    </row>
    <row r="455">
      <c r="A455" s="292"/>
      <c r="B455" s="292" t="str">
        <f>IFERROR(__xludf.DUMMYFUNCTION("""COMPUTED_VALUE"""),"")</f>
        <v/>
      </c>
      <c r="C455" s="292"/>
      <c r="D455" s="292" t="str">
        <f>IFERROR(__xludf.DUMMYFUNCTION("""COMPUTED_VALUE"""),"")</f>
        <v/>
      </c>
      <c r="E455" s="292" t="str">
        <f>IFERROR(__xludf.DUMMYFUNCTION("""COMPUTED_VALUE"""),"")</f>
        <v/>
      </c>
      <c r="F455" s="292"/>
      <c r="G455" s="292" t="str">
        <f>IFERROR(__xludf.DUMMYFUNCTION("""COMPUTED_VALUE"""),"")</f>
        <v/>
      </c>
      <c r="H455" s="292" t="str">
        <f>IFERROR(__xludf.DUMMYFUNCTION("""COMPUTED_VALUE"""),"")</f>
        <v/>
      </c>
      <c r="I455" s="292"/>
      <c r="J455" s="292"/>
      <c r="K455" s="292"/>
      <c r="L455" s="292"/>
      <c r="M455" s="292" t="str">
        <f>IFERROR(__xludf.DUMMYFUNCTION("""COMPUTED_VALUE"""),"")</f>
        <v/>
      </c>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c r="AK455" s="292"/>
      <c r="AL455" s="292"/>
      <c r="AM455" s="292"/>
      <c r="AN455" s="292"/>
      <c r="AO455" s="292"/>
      <c r="AP455" s="292"/>
      <c r="AQ455" s="292"/>
      <c r="AR455" s="292"/>
      <c r="AS455" s="292"/>
      <c r="AT455" s="292"/>
      <c r="AU455" s="292"/>
      <c r="AV455" s="292"/>
      <c r="AW455" s="292"/>
      <c r="AX455" s="292"/>
      <c r="AY455" s="292"/>
      <c r="AZ455" s="292"/>
      <c r="BA455" s="292"/>
      <c r="BB455" s="292"/>
      <c r="BC455" s="292"/>
      <c r="BD455" s="292"/>
      <c r="BE455" s="292"/>
      <c r="BF455" s="292"/>
      <c r="BG455" s="292"/>
      <c r="BH455" s="292"/>
      <c r="BI455" s="292"/>
      <c r="BJ455" s="292"/>
      <c r="BK455" s="292"/>
      <c r="BL455" s="292"/>
      <c r="BM455" s="292"/>
      <c r="BN455" s="292"/>
      <c r="BO455" s="292"/>
      <c r="BP455" s="292"/>
      <c r="BQ455" s="292"/>
      <c r="BR455" s="292"/>
      <c r="BS455" s="292"/>
      <c r="BT455" s="292"/>
      <c r="BU455" s="292"/>
      <c r="BV455" s="292"/>
      <c r="BW455" s="292"/>
    </row>
    <row r="456">
      <c r="A456" s="292"/>
      <c r="B456" s="292" t="str">
        <f>IFERROR(__xludf.DUMMYFUNCTION("""COMPUTED_VALUE"""),"")</f>
        <v/>
      </c>
      <c r="C456" s="292"/>
      <c r="D456" s="292" t="str">
        <f>IFERROR(__xludf.DUMMYFUNCTION("""COMPUTED_VALUE"""),"")</f>
        <v/>
      </c>
      <c r="E456" s="292" t="str">
        <f>IFERROR(__xludf.DUMMYFUNCTION("""COMPUTED_VALUE"""),"")</f>
        <v/>
      </c>
      <c r="F456" s="292"/>
      <c r="G456" s="292" t="str">
        <f>IFERROR(__xludf.DUMMYFUNCTION("""COMPUTED_VALUE"""),"")</f>
        <v/>
      </c>
      <c r="H456" s="292" t="str">
        <f>IFERROR(__xludf.DUMMYFUNCTION("""COMPUTED_VALUE"""),"")</f>
        <v/>
      </c>
      <c r="I456" s="292"/>
      <c r="J456" s="292"/>
      <c r="K456" s="292"/>
      <c r="L456" s="292"/>
      <c r="M456" s="292" t="str">
        <f>IFERROR(__xludf.DUMMYFUNCTION("""COMPUTED_VALUE"""),"")</f>
        <v/>
      </c>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c r="AK456" s="292"/>
      <c r="AL456" s="292"/>
      <c r="AM456" s="292"/>
      <c r="AN456" s="292"/>
      <c r="AO456" s="292"/>
      <c r="AP456" s="292"/>
      <c r="AQ456" s="292"/>
      <c r="AR456" s="292"/>
      <c r="AS456" s="292"/>
      <c r="AT456" s="292"/>
      <c r="AU456" s="292"/>
      <c r="AV456" s="292"/>
      <c r="AW456" s="292"/>
      <c r="AX456" s="292"/>
      <c r="AY456" s="292"/>
      <c r="AZ456" s="292"/>
      <c r="BA456" s="292"/>
      <c r="BB456" s="292"/>
      <c r="BC456" s="292"/>
      <c r="BD456" s="292"/>
      <c r="BE456" s="292"/>
      <c r="BF456" s="292"/>
      <c r="BG456" s="292"/>
      <c r="BH456" s="292"/>
      <c r="BI456" s="292"/>
      <c r="BJ456" s="292"/>
      <c r="BK456" s="292"/>
      <c r="BL456" s="292"/>
      <c r="BM456" s="292"/>
      <c r="BN456" s="292"/>
      <c r="BO456" s="292"/>
      <c r="BP456" s="292"/>
      <c r="BQ456" s="292"/>
      <c r="BR456" s="292"/>
      <c r="BS456" s="292"/>
      <c r="BT456" s="292"/>
      <c r="BU456" s="292"/>
      <c r="BV456" s="292"/>
      <c r="BW456" s="292"/>
    </row>
    <row r="457">
      <c r="A457" s="292"/>
      <c r="B457" s="292" t="str">
        <f>IFERROR(__xludf.DUMMYFUNCTION("""COMPUTED_VALUE"""),"")</f>
        <v/>
      </c>
      <c r="C457" s="292"/>
      <c r="D457" s="292" t="str">
        <f>IFERROR(__xludf.DUMMYFUNCTION("""COMPUTED_VALUE"""),"")</f>
        <v/>
      </c>
      <c r="E457" s="292" t="str">
        <f>IFERROR(__xludf.DUMMYFUNCTION("""COMPUTED_VALUE"""),"")</f>
        <v/>
      </c>
      <c r="F457" s="292"/>
      <c r="G457" s="292" t="str">
        <f>IFERROR(__xludf.DUMMYFUNCTION("""COMPUTED_VALUE"""),"")</f>
        <v/>
      </c>
      <c r="H457" s="292" t="str">
        <f>IFERROR(__xludf.DUMMYFUNCTION("""COMPUTED_VALUE"""),"")</f>
        <v/>
      </c>
      <c r="I457" s="292"/>
      <c r="J457" s="292"/>
      <c r="K457" s="292"/>
      <c r="L457" s="292"/>
      <c r="M457" s="292" t="str">
        <f>IFERROR(__xludf.DUMMYFUNCTION("""COMPUTED_VALUE"""),"")</f>
        <v/>
      </c>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c r="AK457" s="292"/>
      <c r="AL457" s="292"/>
      <c r="AM457" s="292"/>
      <c r="AN457" s="292"/>
      <c r="AO457" s="292"/>
      <c r="AP457" s="292"/>
      <c r="AQ457" s="292"/>
      <c r="AR457" s="292"/>
      <c r="AS457" s="292"/>
      <c r="AT457" s="292"/>
      <c r="AU457" s="292"/>
      <c r="AV457" s="292"/>
      <c r="AW457" s="292"/>
      <c r="AX457" s="292"/>
      <c r="AY457" s="292"/>
      <c r="AZ457" s="292"/>
      <c r="BA457" s="292"/>
      <c r="BB457" s="292"/>
      <c r="BC457" s="292"/>
      <c r="BD457" s="292"/>
      <c r="BE457" s="292"/>
      <c r="BF457" s="292"/>
      <c r="BG457" s="292"/>
      <c r="BH457" s="292"/>
      <c r="BI457" s="292"/>
      <c r="BJ457" s="292"/>
      <c r="BK457" s="292"/>
      <c r="BL457" s="292"/>
      <c r="BM457" s="292"/>
      <c r="BN457" s="292"/>
      <c r="BO457" s="292"/>
      <c r="BP457" s="292"/>
      <c r="BQ457" s="292"/>
      <c r="BR457" s="292"/>
      <c r="BS457" s="292"/>
      <c r="BT457" s="292"/>
      <c r="BU457" s="292"/>
      <c r="BV457" s="292"/>
      <c r="BW457" s="292"/>
    </row>
    <row r="458">
      <c r="A458" s="292"/>
      <c r="B458" s="292" t="str">
        <f>IFERROR(__xludf.DUMMYFUNCTION("""COMPUTED_VALUE"""),"")</f>
        <v/>
      </c>
      <c r="C458" s="292"/>
      <c r="D458" s="292" t="str">
        <f>IFERROR(__xludf.DUMMYFUNCTION("""COMPUTED_VALUE"""),"")</f>
        <v/>
      </c>
      <c r="E458" s="292" t="str">
        <f>IFERROR(__xludf.DUMMYFUNCTION("""COMPUTED_VALUE"""),"")</f>
        <v/>
      </c>
      <c r="F458" s="292"/>
      <c r="G458" s="292" t="str">
        <f>IFERROR(__xludf.DUMMYFUNCTION("""COMPUTED_VALUE"""),"")</f>
        <v/>
      </c>
      <c r="H458" s="292" t="str">
        <f>IFERROR(__xludf.DUMMYFUNCTION("""COMPUTED_VALUE"""),"")</f>
        <v/>
      </c>
      <c r="I458" s="292"/>
      <c r="J458" s="292"/>
      <c r="K458" s="292"/>
      <c r="L458" s="292"/>
      <c r="M458" s="292" t="str">
        <f>IFERROR(__xludf.DUMMYFUNCTION("""COMPUTED_VALUE"""),"")</f>
        <v/>
      </c>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c r="AK458" s="292"/>
      <c r="AL458" s="292"/>
      <c r="AM458" s="292"/>
      <c r="AN458" s="292"/>
      <c r="AO458" s="292"/>
      <c r="AP458" s="292"/>
      <c r="AQ458" s="292"/>
      <c r="AR458" s="292"/>
      <c r="AS458" s="292"/>
      <c r="AT458" s="292"/>
      <c r="AU458" s="292"/>
      <c r="AV458" s="292"/>
      <c r="AW458" s="292"/>
      <c r="AX458" s="292"/>
      <c r="AY458" s="292"/>
      <c r="AZ458" s="292"/>
      <c r="BA458" s="292"/>
      <c r="BB458" s="292"/>
      <c r="BC458" s="292"/>
      <c r="BD458" s="292"/>
      <c r="BE458" s="292"/>
      <c r="BF458" s="292"/>
      <c r="BG458" s="292"/>
      <c r="BH458" s="292"/>
      <c r="BI458" s="292"/>
      <c r="BJ458" s="292"/>
      <c r="BK458" s="292"/>
      <c r="BL458" s="292"/>
      <c r="BM458" s="292"/>
      <c r="BN458" s="292"/>
      <c r="BO458" s="292"/>
      <c r="BP458" s="292"/>
      <c r="BQ458" s="292"/>
      <c r="BR458" s="292"/>
      <c r="BS458" s="292"/>
      <c r="BT458" s="292"/>
      <c r="BU458" s="292"/>
      <c r="BV458" s="292"/>
      <c r="BW458" s="292"/>
    </row>
    <row r="459">
      <c r="A459" s="292"/>
      <c r="B459" s="292" t="str">
        <f>IFERROR(__xludf.DUMMYFUNCTION("""COMPUTED_VALUE"""),"")</f>
        <v/>
      </c>
      <c r="C459" s="292"/>
      <c r="D459" s="292" t="str">
        <f>IFERROR(__xludf.DUMMYFUNCTION("""COMPUTED_VALUE"""),"")</f>
        <v/>
      </c>
      <c r="E459" s="292" t="str">
        <f>IFERROR(__xludf.DUMMYFUNCTION("""COMPUTED_VALUE"""),"")</f>
        <v/>
      </c>
      <c r="F459" s="292"/>
      <c r="G459" s="292" t="str">
        <f>IFERROR(__xludf.DUMMYFUNCTION("""COMPUTED_VALUE"""),"")</f>
        <v/>
      </c>
      <c r="H459" s="292" t="str">
        <f>IFERROR(__xludf.DUMMYFUNCTION("""COMPUTED_VALUE"""),"")</f>
        <v/>
      </c>
      <c r="I459" s="292"/>
      <c r="J459" s="292"/>
      <c r="K459" s="292"/>
      <c r="L459" s="292"/>
      <c r="M459" s="292" t="str">
        <f>IFERROR(__xludf.DUMMYFUNCTION("""COMPUTED_VALUE"""),"")</f>
        <v/>
      </c>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c r="AK459" s="292"/>
      <c r="AL459" s="292"/>
      <c r="AM459" s="292"/>
      <c r="AN459" s="292"/>
      <c r="AO459" s="292"/>
      <c r="AP459" s="292"/>
      <c r="AQ459" s="292"/>
      <c r="AR459" s="292"/>
      <c r="AS459" s="292"/>
      <c r="AT459" s="292"/>
      <c r="AU459" s="292"/>
      <c r="AV459" s="292"/>
      <c r="AW459" s="292"/>
      <c r="AX459" s="292"/>
      <c r="AY459" s="292"/>
      <c r="AZ459" s="292"/>
      <c r="BA459" s="292"/>
      <c r="BB459" s="292"/>
      <c r="BC459" s="292"/>
      <c r="BD459" s="292"/>
      <c r="BE459" s="292"/>
      <c r="BF459" s="292"/>
      <c r="BG459" s="292"/>
      <c r="BH459" s="292"/>
      <c r="BI459" s="292"/>
      <c r="BJ459" s="292"/>
      <c r="BK459" s="292"/>
      <c r="BL459" s="292"/>
      <c r="BM459" s="292"/>
      <c r="BN459" s="292"/>
      <c r="BO459" s="292"/>
      <c r="BP459" s="292"/>
      <c r="BQ459" s="292"/>
      <c r="BR459" s="292"/>
      <c r="BS459" s="292"/>
      <c r="BT459" s="292"/>
      <c r="BU459" s="292"/>
      <c r="BV459" s="292"/>
      <c r="BW459" s="292"/>
    </row>
    <row r="460">
      <c r="A460" s="292"/>
      <c r="B460" s="292" t="str">
        <f>IFERROR(__xludf.DUMMYFUNCTION("""COMPUTED_VALUE"""),"")</f>
        <v/>
      </c>
      <c r="C460" s="292"/>
      <c r="D460" s="292" t="str">
        <f>IFERROR(__xludf.DUMMYFUNCTION("""COMPUTED_VALUE"""),"")</f>
        <v/>
      </c>
      <c r="E460" s="292" t="str">
        <f>IFERROR(__xludf.DUMMYFUNCTION("""COMPUTED_VALUE"""),"")</f>
        <v/>
      </c>
      <c r="F460" s="292"/>
      <c r="G460" s="292" t="str">
        <f>IFERROR(__xludf.DUMMYFUNCTION("""COMPUTED_VALUE"""),"")</f>
        <v/>
      </c>
      <c r="H460" s="292" t="str">
        <f>IFERROR(__xludf.DUMMYFUNCTION("""COMPUTED_VALUE"""),"")</f>
        <v/>
      </c>
      <c r="I460" s="292"/>
      <c r="J460" s="292"/>
      <c r="K460" s="292"/>
      <c r="L460" s="292"/>
      <c r="M460" s="292" t="str">
        <f>IFERROR(__xludf.DUMMYFUNCTION("""COMPUTED_VALUE"""),"")</f>
        <v/>
      </c>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c r="AK460" s="292"/>
      <c r="AL460" s="292"/>
      <c r="AM460" s="292"/>
      <c r="AN460" s="292"/>
      <c r="AO460" s="292"/>
      <c r="AP460" s="292"/>
      <c r="AQ460" s="292"/>
      <c r="AR460" s="292"/>
      <c r="AS460" s="292"/>
      <c r="AT460" s="292"/>
      <c r="AU460" s="292"/>
      <c r="AV460" s="292"/>
      <c r="AW460" s="292"/>
      <c r="AX460" s="292"/>
      <c r="AY460" s="292"/>
      <c r="AZ460" s="292"/>
      <c r="BA460" s="292"/>
      <c r="BB460" s="292"/>
      <c r="BC460" s="292"/>
      <c r="BD460" s="292"/>
      <c r="BE460" s="292"/>
      <c r="BF460" s="292"/>
      <c r="BG460" s="292"/>
      <c r="BH460" s="292"/>
      <c r="BI460" s="292"/>
      <c r="BJ460" s="292"/>
      <c r="BK460" s="292"/>
      <c r="BL460" s="292"/>
      <c r="BM460" s="292"/>
      <c r="BN460" s="292"/>
      <c r="BO460" s="292"/>
      <c r="BP460" s="292"/>
      <c r="BQ460" s="292"/>
      <c r="BR460" s="292"/>
      <c r="BS460" s="292"/>
      <c r="BT460" s="292"/>
      <c r="BU460" s="292"/>
      <c r="BV460" s="292"/>
      <c r="BW460" s="292"/>
    </row>
    <row r="461">
      <c r="A461" s="292"/>
      <c r="B461" s="292" t="str">
        <f>IFERROR(__xludf.DUMMYFUNCTION("""COMPUTED_VALUE"""),"")</f>
        <v/>
      </c>
      <c r="C461" s="292"/>
      <c r="D461" s="292" t="str">
        <f>IFERROR(__xludf.DUMMYFUNCTION("""COMPUTED_VALUE"""),"")</f>
        <v/>
      </c>
      <c r="E461" s="292" t="str">
        <f>IFERROR(__xludf.DUMMYFUNCTION("""COMPUTED_VALUE"""),"")</f>
        <v/>
      </c>
      <c r="F461" s="292"/>
      <c r="G461" s="292" t="str">
        <f>IFERROR(__xludf.DUMMYFUNCTION("""COMPUTED_VALUE"""),"")</f>
        <v/>
      </c>
      <c r="H461" s="292" t="str">
        <f>IFERROR(__xludf.DUMMYFUNCTION("""COMPUTED_VALUE"""),"")</f>
        <v/>
      </c>
      <c r="I461" s="292"/>
      <c r="J461" s="292"/>
      <c r="K461" s="292"/>
      <c r="L461" s="292"/>
      <c r="M461" s="292" t="str">
        <f>IFERROR(__xludf.DUMMYFUNCTION("""COMPUTED_VALUE"""),"")</f>
        <v/>
      </c>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c r="AK461" s="292"/>
      <c r="AL461" s="292"/>
      <c r="AM461" s="292"/>
      <c r="AN461" s="292"/>
      <c r="AO461" s="292"/>
      <c r="AP461" s="292"/>
      <c r="AQ461" s="292"/>
      <c r="AR461" s="292"/>
      <c r="AS461" s="292"/>
      <c r="AT461" s="292"/>
      <c r="AU461" s="292"/>
      <c r="AV461" s="292"/>
      <c r="AW461" s="292"/>
      <c r="AX461" s="292"/>
      <c r="AY461" s="292"/>
      <c r="AZ461" s="292"/>
      <c r="BA461" s="292"/>
      <c r="BB461" s="292"/>
      <c r="BC461" s="292"/>
      <c r="BD461" s="292"/>
      <c r="BE461" s="292"/>
      <c r="BF461" s="292"/>
      <c r="BG461" s="292"/>
      <c r="BH461" s="292"/>
      <c r="BI461" s="292"/>
      <c r="BJ461" s="292"/>
      <c r="BK461" s="292"/>
      <c r="BL461" s="292"/>
      <c r="BM461" s="292"/>
      <c r="BN461" s="292"/>
      <c r="BO461" s="292"/>
      <c r="BP461" s="292"/>
      <c r="BQ461" s="292"/>
      <c r="BR461" s="292"/>
      <c r="BS461" s="292"/>
      <c r="BT461" s="292"/>
      <c r="BU461" s="292"/>
      <c r="BV461" s="292"/>
      <c r="BW461" s="292"/>
    </row>
    <row r="462">
      <c r="A462" s="292"/>
      <c r="B462" s="292" t="str">
        <f>IFERROR(__xludf.DUMMYFUNCTION("""COMPUTED_VALUE"""),"")</f>
        <v/>
      </c>
      <c r="C462" s="292"/>
      <c r="D462" s="292" t="str">
        <f>IFERROR(__xludf.DUMMYFUNCTION("""COMPUTED_VALUE"""),"")</f>
        <v/>
      </c>
      <c r="E462" s="292" t="str">
        <f>IFERROR(__xludf.DUMMYFUNCTION("""COMPUTED_VALUE"""),"")</f>
        <v/>
      </c>
      <c r="F462" s="292"/>
      <c r="G462" s="292" t="str">
        <f>IFERROR(__xludf.DUMMYFUNCTION("""COMPUTED_VALUE"""),"")</f>
        <v/>
      </c>
      <c r="H462" s="292" t="str">
        <f>IFERROR(__xludf.DUMMYFUNCTION("""COMPUTED_VALUE"""),"")</f>
        <v/>
      </c>
      <c r="I462" s="292"/>
      <c r="J462" s="292"/>
      <c r="K462" s="292"/>
      <c r="L462" s="292"/>
      <c r="M462" s="292" t="str">
        <f>IFERROR(__xludf.DUMMYFUNCTION("""COMPUTED_VALUE"""),"")</f>
        <v/>
      </c>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c r="AK462" s="292"/>
      <c r="AL462" s="292"/>
      <c r="AM462" s="292"/>
      <c r="AN462" s="292"/>
      <c r="AO462" s="292"/>
      <c r="AP462" s="292"/>
      <c r="AQ462" s="292"/>
      <c r="AR462" s="292"/>
      <c r="AS462" s="292"/>
      <c r="AT462" s="292"/>
      <c r="AU462" s="292"/>
      <c r="AV462" s="292"/>
      <c r="AW462" s="292"/>
      <c r="AX462" s="292"/>
      <c r="AY462" s="292"/>
      <c r="AZ462" s="292"/>
      <c r="BA462" s="292"/>
      <c r="BB462" s="292"/>
      <c r="BC462" s="292"/>
      <c r="BD462" s="292"/>
      <c r="BE462" s="292"/>
      <c r="BF462" s="292"/>
      <c r="BG462" s="292"/>
      <c r="BH462" s="292"/>
      <c r="BI462" s="292"/>
      <c r="BJ462" s="292"/>
      <c r="BK462" s="292"/>
      <c r="BL462" s="292"/>
      <c r="BM462" s="292"/>
      <c r="BN462" s="292"/>
      <c r="BO462" s="292"/>
      <c r="BP462" s="292"/>
      <c r="BQ462" s="292"/>
      <c r="BR462" s="292"/>
      <c r="BS462" s="292"/>
      <c r="BT462" s="292"/>
      <c r="BU462" s="292"/>
      <c r="BV462" s="292"/>
      <c r="BW462" s="292"/>
    </row>
    <row r="463">
      <c r="A463" s="292"/>
      <c r="B463" s="292" t="str">
        <f>IFERROR(__xludf.DUMMYFUNCTION("""COMPUTED_VALUE"""),"")</f>
        <v/>
      </c>
      <c r="C463" s="292"/>
      <c r="D463" s="292" t="str">
        <f>IFERROR(__xludf.DUMMYFUNCTION("""COMPUTED_VALUE"""),"")</f>
        <v/>
      </c>
      <c r="E463" s="292" t="str">
        <f>IFERROR(__xludf.DUMMYFUNCTION("""COMPUTED_VALUE"""),"")</f>
        <v/>
      </c>
      <c r="F463" s="292"/>
      <c r="G463" s="292" t="str">
        <f>IFERROR(__xludf.DUMMYFUNCTION("""COMPUTED_VALUE"""),"")</f>
        <v/>
      </c>
      <c r="H463" s="292" t="str">
        <f>IFERROR(__xludf.DUMMYFUNCTION("""COMPUTED_VALUE"""),"")</f>
        <v/>
      </c>
      <c r="I463" s="292"/>
      <c r="J463" s="292"/>
      <c r="K463" s="292"/>
      <c r="L463" s="292"/>
      <c r="M463" s="292" t="str">
        <f>IFERROR(__xludf.DUMMYFUNCTION("""COMPUTED_VALUE"""),"")</f>
        <v/>
      </c>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c r="AK463" s="292"/>
      <c r="AL463" s="292"/>
      <c r="AM463" s="292"/>
      <c r="AN463" s="292"/>
      <c r="AO463" s="292"/>
      <c r="AP463" s="292"/>
      <c r="AQ463" s="292"/>
      <c r="AR463" s="292"/>
      <c r="AS463" s="292"/>
      <c r="AT463" s="292"/>
      <c r="AU463" s="292"/>
      <c r="AV463" s="292"/>
      <c r="AW463" s="292"/>
      <c r="AX463" s="292"/>
      <c r="AY463" s="292"/>
      <c r="AZ463" s="292"/>
      <c r="BA463" s="292"/>
      <c r="BB463" s="292"/>
      <c r="BC463" s="292"/>
      <c r="BD463" s="292"/>
      <c r="BE463" s="292"/>
      <c r="BF463" s="292"/>
      <c r="BG463" s="292"/>
      <c r="BH463" s="292"/>
      <c r="BI463" s="292"/>
      <c r="BJ463" s="292"/>
      <c r="BK463" s="292"/>
      <c r="BL463" s="292"/>
      <c r="BM463" s="292"/>
      <c r="BN463" s="292"/>
      <c r="BO463" s="292"/>
      <c r="BP463" s="292"/>
      <c r="BQ463" s="292"/>
      <c r="BR463" s="292"/>
      <c r="BS463" s="292"/>
      <c r="BT463" s="292"/>
      <c r="BU463" s="292"/>
      <c r="BV463" s="292"/>
      <c r="BW463" s="292"/>
    </row>
    <row r="464">
      <c r="A464" s="292"/>
      <c r="B464" s="292" t="str">
        <f>IFERROR(__xludf.DUMMYFUNCTION("""COMPUTED_VALUE"""),"")</f>
        <v/>
      </c>
      <c r="C464" s="292"/>
      <c r="D464" s="292" t="str">
        <f>IFERROR(__xludf.DUMMYFUNCTION("""COMPUTED_VALUE"""),"")</f>
        <v/>
      </c>
      <c r="E464" s="292" t="str">
        <f>IFERROR(__xludf.DUMMYFUNCTION("""COMPUTED_VALUE"""),"")</f>
        <v/>
      </c>
      <c r="F464" s="292"/>
      <c r="G464" s="292" t="str">
        <f>IFERROR(__xludf.DUMMYFUNCTION("""COMPUTED_VALUE"""),"")</f>
        <v/>
      </c>
      <c r="H464" s="292" t="str">
        <f>IFERROR(__xludf.DUMMYFUNCTION("""COMPUTED_VALUE"""),"")</f>
        <v/>
      </c>
      <c r="I464" s="292"/>
      <c r="J464" s="292"/>
      <c r="K464" s="292"/>
      <c r="L464" s="292"/>
      <c r="M464" s="292" t="str">
        <f>IFERROR(__xludf.DUMMYFUNCTION("""COMPUTED_VALUE"""),"")</f>
        <v/>
      </c>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c r="AK464" s="292"/>
      <c r="AL464" s="292"/>
      <c r="AM464" s="292"/>
      <c r="AN464" s="292"/>
      <c r="AO464" s="292"/>
      <c r="AP464" s="292"/>
      <c r="AQ464" s="292"/>
      <c r="AR464" s="292"/>
      <c r="AS464" s="292"/>
      <c r="AT464" s="292"/>
      <c r="AU464" s="292"/>
      <c r="AV464" s="292"/>
      <c r="AW464" s="292"/>
      <c r="AX464" s="292"/>
      <c r="AY464" s="292"/>
      <c r="AZ464" s="292"/>
      <c r="BA464" s="292"/>
      <c r="BB464" s="292"/>
      <c r="BC464" s="292"/>
      <c r="BD464" s="292"/>
      <c r="BE464" s="292"/>
      <c r="BF464" s="292"/>
      <c r="BG464" s="292"/>
      <c r="BH464" s="292"/>
      <c r="BI464" s="292"/>
      <c r="BJ464" s="292"/>
      <c r="BK464" s="292"/>
      <c r="BL464" s="292"/>
      <c r="BM464" s="292"/>
      <c r="BN464" s="292"/>
      <c r="BO464" s="292"/>
      <c r="BP464" s="292"/>
      <c r="BQ464" s="292"/>
      <c r="BR464" s="292"/>
      <c r="BS464" s="292"/>
      <c r="BT464" s="292"/>
      <c r="BU464" s="292"/>
      <c r="BV464" s="292"/>
      <c r="BW464" s="292"/>
    </row>
    <row r="465">
      <c r="A465" s="292"/>
      <c r="B465" s="292" t="str">
        <f>IFERROR(__xludf.DUMMYFUNCTION("""COMPUTED_VALUE"""),"")</f>
        <v/>
      </c>
      <c r="C465" s="292"/>
      <c r="D465" s="292" t="str">
        <f>IFERROR(__xludf.DUMMYFUNCTION("""COMPUTED_VALUE"""),"")</f>
        <v/>
      </c>
      <c r="E465" s="292" t="str">
        <f>IFERROR(__xludf.DUMMYFUNCTION("""COMPUTED_VALUE"""),"")</f>
        <v/>
      </c>
      <c r="F465" s="292"/>
      <c r="G465" s="292" t="str">
        <f>IFERROR(__xludf.DUMMYFUNCTION("""COMPUTED_VALUE"""),"")</f>
        <v/>
      </c>
      <c r="H465" s="292" t="str">
        <f>IFERROR(__xludf.DUMMYFUNCTION("""COMPUTED_VALUE"""),"")</f>
        <v/>
      </c>
      <c r="I465" s="292"/>
      <c r="J465" s="292"/>
      <c r="K465" s="292"/>
      <c r="L465" s="292"/>
      <c r="M465" s="292" t="str">
        <f>IFERROR(__xludf.DUMMYFUNCTION("""COMPUTED_VALUE"""),"")</f>
        <v/>
      </c>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c r="AK465" s="292"/>
      <c r="AL465" s="292"/>
      <c r="AM465" s="292"/>
      <c r="AN465" s="292"/>
      <c r="AO465" s="292"/>
      <c r="AP465" s="292"/>
      <c r="AQ465" s="292"/>
      <c r="AR465" s="292"/>
      <c r="AS465" s="292"/>
      <c r="AT465" s="292"/>
      <c r="AU465" s="292"/>
      <c r="AV465" s="292"/>
      <c r="AW465" s="292"/>
      <c r="AX465" s="292"/>
      <c r="AY465" s="292"/>
      <c r="AZ465" s="292"/>
      <c r="BA465" s="292"/>
      <c r="BB465" s="292"/>
      <c r="BC465" s="292"/>
      <c r="BD465" s="292"/>
      <c r="BE465" s="292"/>
      <c r="BF465" s="292"/>
      <c r="BG465" s="292"/>
      <c r="BH465" s="292"/>
      <c r="BI465" s="292"/>
      <c r="BJ465" s="292"/>
      <c r="BK465" s="292"/>
      <c r="BL465" s="292"/>
      <c r="BM465" s="292"/>
      <c r="BN465" s="292"/>
      <c r="BO465" s="292"/>
      <c r="BP465" s="292"/>
      <c r="BQ465" s="292"/>
      <c r="BR465" s="292"/>
      <c r="BS465" s="292"/>
      <c r="BT465" s="292"/>
      <c r="BU465" s="292"/>
      <c r="BV465" s="292"/>
      <c r="BW465" s="292"/>
    </row>
    <row r="466">
      <c r="A466" s="292"/>
      <c r="B466" s="292" t="str">
        <f>IFERROR(__xludf.DUMMYFUNCTION("""COMPUTED_VALUE"""),"")</f>
        <v/>
      </c>
      <c r="C466" s="292"/>
      <c r="D466" s="292" t="str">
        <f>IFERROR(__xludf.DUMMYFUNCTION("""COMPUTED_VALUE"""),"")</f>
        <v/>
      </c>
      <c r="E466" s="292" t="str">
        <f>IFERROR(__xludf.DUMMYFUNCTION("""COMPUTED_VALUE"""),"")</f>
        <v/>
      </c>
      <c r="F466" s="292"/>
      <c r="G466" s="292" t="str">
        <f>IFERROR(__xludf.DUMMYFUNCTION("""COMPUTED_VALUE"""),"")</f>
        <v/>
      </c>
      <c r="H466" s="292" t="str">
        <f>IFERROR(__xludf.DUMMYFUNCTION("""COMPUTED_VALUE"""),"")</f>
        <v/>
      </c>
      <c r="I466" s="292"/>
      <c r="J466" s="292"/>
      <c r="K466" s="292"/>
      <c r="L466" s="292"/>
      <c r="M466" s="292" t="str">
        <f>IFERROR(__xludf.DUMMYFUNCTION("""COMPUTED_VALUE"""),"")</f>
        <v/>
      </c>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c r="AK466" s="292"/>
      <c r="AL466" s="292"/>
      <c r="AM466" s="292"/>
      <c r="AN466" s="292"/>
      <c r="AO466" s="292"/>
      <c r="AP466" s="292"/>
      <c r="AQ466" s="292"/>
      <c r="AR466" s="292"/>
      <c r="AS466" s="292"/>
      <c r="AT466" s="292"/>
      <c r="AU466" s="292"/>
      <c r="AV466" s="292"/>
      <c r="AW466" s="292"/>
      <c r="AX466" s="292"/>
      <c r="AY466" s="292"/>
      <c r="AZ466" s="292"/>
      <c r="BA466" s="292"/>
      <c r="BB466" s="292"/>
      <c r="BC466" s="292"/>
      <c r="BD466" s="292"/>
      <c r="BE466" s="292"/>
      <c r="BF466" s="292"/>
      <c r="BG466" s="292"/>
      <c r="BH466" s="292"/>
      <c r="BI466" s="292"/>
      <c r="BJ466" s="292"/>
      <c r="BK466" s="292"/>
      <c r="BL466" s="292"/>
      <c r="BM466" s="292"/>
      <c r="BN466" s="292"/>
      <c r="BO466" s="292"/>
      <c r="BP466" s="292"/>
      <c r="BQ466" s="292"/>
      <c r="BR466" s="292"/>
      <c r="BS466" s="292"/>
      <c r="BT466" s="292"/>
      <c r="BU466" s="292"/>
      <c r="BV466" s="292"/>
      <c r="BW466" s="292"/>
    </row>
    <row r="467">
      <c r="A467" s="292"/>
      <c r="B467" s="292" t="str">
        <f>IFERROR(__xludf.DUMMYFUNCTION("""COMPUTED_VALUE"""),"")</f>
        <v/>
      </c>
      <c r="C467" s="292"/>
      <c r="D467" s="292" t="str">
        <f>IFERROR(__xludf.DUMMYFUNCTION("""COMPUTED_VALUE"""),"")</f>
        <v/>
      </c>
      <c r="E467" s="292" t="str">
        <f>IFERROR(__xludf.DUMMYFUNCTION("""COMPUTED_VALUE"""),"")</f>
        <v/>
      </c>
      <c r="F467" s="292"/>
      <c r="G467" s="292" t="str">
        <f>IFERROR(__xludf.DUMMYFUNCTION("""COMPUTED_VALUE"""),"")</f>
        <v/>
      </c>
      <c r="H467" s="292" t="str">
        <f>IFERROR(__xludf.DUMMYFUNCTION("""COMPUTED_VALUE"""),"")</f>
        <v/>
      </c>
      <c r="I467" s="292"/>
      <c r="J467" s="292"/>
      <c r="K467" s="292"/>
      <c r="L467" s="292"/>
      <c r="M467" s="292" t="str">
        <f>IFERROR(__xludf.DUMMYFUNCTION("""COMPUTED_VALUE"""),"")</f>
        <v/>
      </c>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c r="AK467" s="292"/>
      <c r="AL467" s="292"/>
      <c r="AM467" s="292"/>
      <c r="AN467" s="292"/>
      <c r="AO467" s="292"/>
      <c r="AP467" s="292"/>
      <c r="AQ467" s="292"/>
      <c r="AR467" s="292"/>
      <c r="AS467" s="292"/>
      <c r="AT467" s="292"/>
      <c r="AU467" s="292"/>
      <c r="AV467" s="292"/>
      <c r="AW467" s="292"/>
      <c r="AX467" s="292"/>
      <c r="AY467" s="292"/>
      <c r="AZ467" s="292"/>
      <c r="BA467" s="292"/>
      <c r="BB467" s="292"/>
      <c r="BC467" s="292"/>
      <c r="BD467" s="292"/>
      <c r="BE467" s="292"/>
      <c r="BF467" s="292"/>
      <c r="BG467" s="292"/>
      <c r="BH467" s="292"/>
      <c r="BI467" s="292"/>
      <c r="BJ467" s="292"/>
      <c r="BK467" s="292"/>
      <c r="BL467" s="292"/>
      <c r="BM467" s="292"/>
      <c r="BN467" s="292"/>
      <c r="BO467" s="292"/>
      <c r="BP467" s="292"/>
      <c r="BQ467" s="292"/>
      <c r="BR467" s="292"/>
      <c r="BS467" s="292"/>
      <c r="BT467" s="292"/>
      <c r="BU467" s="292"/>
      <c r="BV467" s="292"/>
      <c r="BW467" s="292"/>
    </row>
    <row r="468">
      <c r="A468" s="292"/>
      <c r="B468" s="292" t="str">
        <f>IFERROR(__xludf.DUMMYFUNCTION("""COMPUTED_VALUE"""),"")</f>
        <v/>
      </c>
      <c r="C468" s="292"/>
      <c r="D468" s="292" t="str">
        <f>IFERROR(__xludf.DUMMYFUNCTION("""COMPUTED_VALUE"""),"")</f>
        <v/>
      </c>
      <c r="E468" s="292" t="str">
        <f>IFERROR(__xludf.DUMMYFUNCTION("""COMPUTED_VALUE"""),"")</f>
        <v/>
      </c>
      <c r="F468" s="292"/>
      <c r="G468" s="292" t="str">
        <f>IFERROR(__xludf.DUMMYFUNCTION("""COMPUTED_VALUE"""),"")</f>
        <v/>
      </c>
      <c r="H468" s="292" t="str">
        <f>IFERROR(__xludf.DUMMYFUNCTION("""COMPUTED_VALUE"""),"")</f>
        <v/>
      </c>
      <c r="I468" s="292"/>
      <c r="J468" s="292"/>
      <c r="K468" s="292"/>
      <c r="L468" s="292"/>
      <c r="M468" s="292" t="str">
        <f>IFERROR(__xludf.DUMMYFUNCTION("""COMPUTED_VALUE"""),"")</f>
        <v/>
      </c>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c r="AK468" s="292"/>
      <c r="AL468" s="292"/>
      <c r="AM468" s="292"/>
      <c r="AN468" s="292"/>
      <c r="AO468" s="292"/>
      <c r="AP468" s="292"/>
      <c r="AQ468" s="292"/>
      <c r="AR468" s="292"/>
      <c r="AS468" s="292"/>
      <c r="AT468" s="292"/>
      <c r="AU468" s="292"/>
      <c r="AV468" s="292"/>
      <c r="AW468" s="292"/>
      <c r="AX468" s="292"/>
      <c r="AY468" s="292"/>
      <c r="AZ468" s="292"/>
      <c r="BA468" s="292"/>
      <c r="BB468" s="292"/>
      <c r="BC468" s="292"/>
      <c r="BD468" s="292"/>
      <c r="BE468" s="292"/>
      <c r="BF468" s="292"/>
      <c r="BG468" s="292"/>
      <c r="BH468" s="292"/>
      <c r="BI468" s="292"/>
      <c r="BJ468" s="292"/>
      <c r="BK468" s="292"/>
      <c r="BL468" s="292"/>
      <c r="BM468" s="292"/>
      <c r="BN468" s="292"/>
      <c r="BO468" s="292"/>
      <c r="BP468" s="292"/>
      <c r="BQ468" s="292"/>
      <c r="BR468" s="292"/>
      <c r="BS468" s="292"/>
      <c r="BT468" s="292"/>
      <c r="BU468" s="292"/>
      <c r="BV468" s="292"/>
      <c r="BW468" s="292"/>
    </row>
    <row r="469">
      <c r="A469" s="292"/>
      <c r="B469" s="292" t="str">
        <f>IFERROR(__xludf.DUMMYFUNCTION("""COMPUTED_VALUE"""),"")</f>
        <v/>
      </c>
      <c r="C469" s="292"/>
      <c r="D469" s="292" t="str">
        <f>IFERROR(__xludf.DUMMYFUNCTION("""COMPUTED_VALUE"""),"")</f>
        <v/>
      </c>
      <c r="E469" s="292" t="str">
        <f>IFERROR(__xludf.DUMMYFUNCTION("""COMPUTED_VALUE"""),"")</f>
        <v/>
      </c>
      <c r="F469" s="292"/>
      <c r="G469" s="292" t="str">
        <f>IFERROR(__xludf.DUMMYFUNCTION("""COMPUTED_VALUE"""),"")</f>
        <v/>
      </c>
      <c r="H469" s="292" t="str">
        <f>IFERROR(__xludf.DUMMYFUNCTION("""COMPUTED_VALUE"""),"")</f>
        <v/>
      </c>
      <c r="I469" s="292"/>
      <c r="J469" s="292"/>
      <c r="K469" s="292"/>
      <c r="L469" s="292"/>
      <c r="M469" s="292" t="str">
        <f>IFERROR(__xludf.DUMMYFUNCTION("""COMPUTED_VALUE"""),"")</f>
        <v/>
      </c>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c r="AK469" s="292"/>
      <c r="AL469" s="292"/>
      <c r="AM469" s="292"/>
      <c r="AN469" s="292"/>
      <c r="AO469" s="292"/>
      <c r="AP469" s="292"/>
      <c r="AQ469" s="292"/>
      <c r="AR469" s="292"/>
      <c r="AS469" s="292"/>
      <c r="AT469" s="292"/>
      <c r="AU469" s="292"/>
      <c r="AV469" s="292"/>
      <c r="AW469" s="292"/>
      <c r="AX469" s="292"/>
      <c r="AY469" s="292"/>
      <c r="AZ469" s="292"/>
      <c r="BA469" s="292"/>
      <c r="BB469" s="292"/>
      <c r="BC469" s="292"/>
      <c r="BD469" s="292"/>
      <c r="BE469" s="292"/>
      <c r="BF469" s="292"/>
      <c r="BG469" s="292"/>
      <c r="BH469" s="292"/>
      <c r="BI469" s="292"/>
      <c r="BJ469" s="292"/>
      <c r="BK469" s="292"/>
      <c r="BL469" s="292"/>
      <c r="BM469" s="292"/>
      <c r="BN469" s="292"/>
      <c r="BO469" s="292"/>
      <c r="BP469" s="292"/>
      <c r="BQ469" s="292"/>
      <c r="BR469" s="292"/>
      <c r="BS469" s="292"/>
      <c r="BT469" s="292"/>
      <c r="BU469" s="292"/>
      <c r="BV469" s="292"/>
      <c r="BW469" s="292"/>
    </row>
    <row r="470">
      <c r="A470" s="292"/>
      <c r="B470" s="292" t="str">
        <f>IFERROR(__xludf.DUMMYFUNCTION("""COMPUTED_VALUE"""),"")</f>
        <v/>
      </c>
      <c r="C470" s="292"/>
      <c r="D470" s="292" t="str">
        <f>IFERROR(__xludf.DUMMYFUNCTION("""COMPUTED_VALUE"""),"")</f>
        <v/>
      </c>
      <c r="E470" s="292" t="str">
        <f>IFERROR(__xludf.DUMMYFUNCTION("""COMPUTED_VALUE"""),"")</f>
        <v/>
      </c>
      <c r="F470" s="292"/>
      <c r="G470" s="292" t="str">
        <f>IFERROR(__xludf.DUMMYFUNCTION("""COMPUTED_VALUE"""),"")</f>
        <v/>
      </c>
      <c r="H470" s="292" t="str">
        <f>IFERROR(__xludf.DUMMYFUNCTION("""COMPUTED_VALUE"""),"")</f>
        <v/>
      </c>
      <c r="I470" s="292"/>
      <c r="J470" s="292"/>
      <c r="K470" s="292"/>
      <c r="L470" s="292"/>
      <c r="M470" s="292" t="str">
        <f>IFERROR(__xludf.DUMMYFUNCTION("""COMPUTED_VALUE"""),"")</f>
        <v/>
      </c>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c r="AK470" s="292"/>
      <c r="AL470" s="292"/>
      <c r="AM470" s="292"/>
      <c r="AN470" s="292"/>
      <c r="AO470" s="292"/>
      <c r="AP470" s="292"/>
      <c r="AQ470" s="292"/>
      <c r="AR470" s="292"/>
      <c r="AS470" s="292"/>
      <c r="AT470" s="292"/>
      <c r="AU470" s="292"/>
      <c r="AV470" s="292"/>
      <c r="AW470" s="292"/>
      <c r="AX470" s="292"/>
      <c r="AY470" s="292"/>
      <c r="AZ470" s="292"/>
      <c r="BA470" s="292"/>
      <c r="BB470" s="292"/>
      <c r="BC470" s="292"/>
      <c r="BD470" s="292"/>
      <c r="BE470" s="292"/>
      <c r="BF470" s="292"/>
      <c r="BG470" s="292"/>
      <c r="BH470" s="292"/>
      <c r="BI470" s="292"/>
      <c r="BJ470" s="292"/>
      <c r="BK470" s="292"/>
      <c r="BL470" s="292"/>
      <c r="BM470" s="292"/>
      <c r="BN470" s="292"/>
      <c r="BO470" s="292"/>
      <c r="BP470" s="292"/>
      <c r="BQ470" s="292"/>
      <c r="BR470" s="292"/>
      <c r="BS470" s="292"/>
      <c r="BT470" s="292"/>
      <c r="BU470" s="292"/>
      <c r="BV470" s="292"/>
      <c r="BW470" s="292"/>
    </row>
    <row r="471">
      <c r="A471" s="292"/>
      <c r="B471" s="292" t="str">
        <f>IFERROR(__xludf.DUMMYFUNCTION("""COMPUTED_VALUE"""),"")</f>
        <v/>
      </c>
      <c r="C471" s="292"/>
      <c r="D471" s="292" t="str">
        <f>IFERROR(__xludf.DUMMYFUNCTION("""COMPUTED_VALUE"""),"")</f>
        <v/>
      </c>
      <c r="E471" s="292" t="str">
        <f>IFERROR(__xludf.DUMMYFUNCTION("""COMPUTED_VALUE"""),"")</f>
        <v/>
      </c>
      <c r="F471" s="292"/>
      <c r="G471" s="292" t="str">
        <f>IFERROR(__xludf.DUMMYFUNCTION("""COMPUTED_VALUE"""),"")</f>
        <v/>
      </c>
      <c r="H471" s="292" t="str">
        <f>IFERROR(__xludf.DUMMYFUNCTION("""COMPUTED_VALUE"""),"")</f>
        <v/>
      </c>
      <c r="I471" s="292"/>
      <c r="J471" s="292"/>
      <c r="K471" s="292"/>
      <c r="L471" s="292"/>
      <c r="M471" s="292" t="str">
        <f>IFERROR(__xludf.DUMMYFUNCTION("""COMPUTED_VALUE"""),"")</f>
        <v/>
      </c>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c r="AK471" s="292"/>
      <c r="AL471" s="292"/>
      <c r="AM471" s="292"/>
      <c r="AN471" s="292"/>
      <c r="AO471" s="292"/>
      <c r="AP471" s="292"/>
      <c r="AQ471" s="292"/>
      <c r="AR471" s="292"/>
      <c r="AS471" s="292"/>
      <c r="AT471" s="292"/>
      <c r="AU471" s="292"/>
      <c r="AV471" s="292"/>
      <c r="AW471" s="292"/>
      <c r="AX471" s="292"/>
      <c r="AY471" s="292"/>
      <c r="AZ471" s="292"/>
      <c r="BA471" s="292"/>
      <c r="BB471" s="292"/>
      <c r="BC471" s="292"/>
      <c r="BD471" s="292"/>
      <c r="BE471" s="292"/>
      <c r="BF471" s="292"/>
      <c r="BG471" s="292"/>
      <c r="BH471" s="292"/>
      <c r="BI471" s="292"/>
      <c r="BJ471" s="292"/>
      <c r="BK471" s="292"/>
      <c r="BL471" s="292"/>
      <c r="BM471" s="292"/>
      <c r="BN471" s="292"/>
      <c r="BO471" s="292"/>
      <c r="BP471" s="292"/>
      <c r="BQ471" s="292"/>
      <c r="BR471" s="292"/>
      <c r="BS471" s="292"/>
      <c r="BT471" s="292"/>
      <c r="BU471" s="292"/>
      <c r="BV471" s="292"/>
      <c r="BW471" s="292"/>
    </row>
    <row r="472">
      <c r="A472" s="292"/>
      <c r="B472" s="292" t="str">
        <f>IFERROR(__xludf.DUMMYFUNCTION("""COMPUTED_VALUE"""),"")</f>
        <v/>
      </c>
      <c r="C472" s="292"/>
      <c r="D472" s="292" t="str">
        <f>IFERROR(__xludf.DUMMYFUNCTION("""COMPUTED_VALUE"""),"")</f>
        <v/>
      </c>
      <c r="E472" s="292" t="str">
        <f>IFERROR(__xludf.DUMMYFUNCTION("""COMPUTED_VALUE"""),"")</f>
        <v/>
      </c>
      <c r="F472" s="292"/>
      <c r="G472" s="292" t="str">
        <f>IFERROR(__xludf.DUMMYFUNCTION("""COMPUTED_VALUE"""),"")</f>
        <v/>
      </c>
      <c r="H472" s="292" t="str">
        <f>IFERROR(__xludf.DUMMYFUNCTION("""COMPUTED_VALUE"""),"")</f>
        <v/>
      </c>
      <c r="I472" s="292"/>
      <c r="J472" s="292"/>
      <c r="K472" s="292"/>
      <c r="L472" s="292"/>
      <c r="M472" s="292" t="str">
        <f>IFERROR(__xludf.DUMMYFUNCTION("""COMPUTED_VALUE"""),"")</f>
        <v/>
      </c>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c r="AK472" s="292"/>
      <c r="AL472" s="292"/>
      <c r="AM472" s="292"/>
      <c r="AN472" s="292"/>
      <c r="AO472" s="292"/>
      <c r="AP472" s="292"/>
      <c r="AQ472" s="292"/>
      <c r="AR472" s="292"/>
      <c r="AS472" s="292"/>
      <c r="AT472" s="292"/>
      <c r="AU472" s="292"/>
      <c r="AV472" s="292"/>
      <c r="AW472" s="292"/>
      <c r="AX472" s="292"/>
      <c r="AY472" s="292"/>
      <c r="AZ472" s="292"/>
      <c r="BA472" s="292"/>
      <c r="BB472" s="292"/>
      <c r="BC472" s="292"/>
      <c r="BD472" s="292"/>
      <c r="BE472" s="292"/>
      <c r="BF472" s="292"/>
      <c r="BG472" s="292"/>
      <c r="BH472" s="292"/>
      <c r="BI472" s="292"/>
      <c r="BJ472" s="292"/>
      <c r="BK472" s="292"/>
      <c r="BL472" s="292"/>
      <c r="BM472" s="292"/>
      <c r="BN472" s="292"/>
      <c r="BO472" s="292"/>
      <c r="BP472" s="292"/>
      <c r="BQ472" s="292"/>
      <c r="BR472" s="292"/>
      <c r="BS472" s="292"/>
      <c r="BT472" s="292"/>
      <c r="BU472" s="292"/>
      <c r="BV472" s="292"/>
      <c r="BW472" s="292"/>
    </row>
    <row r="473">
      <c r="A473" s="292"/>
      <c r="B473" s="292" t="str">
        <f>IFERROR(__xludf.DUMMYFUNCTION("""COMPUTED_VALUE"""),"")</f>
        <v/>
      </c>
      <c r="C473" s="292"/>
      <c r="D473" s="292" t="str">
        <f>IFERROR(__xludf.DUMMYFUNCTION("""COMPUTED_VALUE"""),"")</f>
        <v/>
      </c>
      <c r="E473" s="292" t="str">
        <f>IFERROR(__xludf.DUMMYFUNCTION("""COMPUTED_VALUE"""),"")</f>
        <v/>
      </c>
      <c r="F473" s="292"/>
      <c r="G473" s="292" t="str">
        <f>IFERROR(__xludf.DUMMYFUNCTION("""COMPUTED_VALUE"""),"")</f>
        <v/>
      </c>
      <c r="H473" s="292" t="str">
        <f>IFERROR(__xludf.DUMMYFUNCTION("""COMPUTED_VALUE"""),"")</f>
        <v/>
      </c>
      <c r="I473" s="292"/>
      <c r="J473" s="292"/>
      <c r="K473" s="292"/>
      <c r="L473" s="292"/>
      <c r="M473" s="292" t="str">
        <f>IFERROR(__xludf.DUMMYFUNCTION("""COMPUTED_VALUE"""),"")</f>
        <v/>
      </c>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c r="AK473" s="292"/>
      <c r="AL473" s="292"/>
      <c r="AM473" s="292"/>
      <c r="AN473" s="292"/>
      <c r="AO473" s="292"/>
      <c r="AP473" s="292"/>
      <c r="AQ473" s="292"/>
      <c r="AR473" s="292"/>
      <c r="AS473" s="292"/>
      <c r="AT473" s="292"/>
      <c r="AU473" s="292"/>
      <c r="AV473" s="292"/>
      <c r="AW473" s="292"/>
      <c r="AX473" s="292"/>
      <c r="AY473" s="292"/>
      <c r="AZ473" s="292"/>
      <c r="BA473" s="292"/>
      <c r="BB473" s="292"/>
      <c r="BC473" s="292"/>
      <c r="BD473" s="292"/>
      <c r="BE473" s="292"/>
      <c r="BF473" s="292"/>
      <c r="BG473" s="292"/>
      <c r="BH473" s="292"/>
      <c r="BI473" s="292"/>
      <c r="BJ473" s="292"/>
      <c r="BK473" s="292"/>
      <c r="BL473" s="292"/>
      <c r="BM473" s="292"/>
      <c r="BN473" s="292"/>
      <c r="BO473" s="292"/>
      <c r="BP473" s="292"/>
      <c r="BQ473" s="292"/>
      <c r="BR473" s="292"/>
      <c r="BS473" s="292"/>
      <c r="BT473" s="292"/>
      <c r="BU473" s="292"/>
      <c r="BV473" s="292"/>
      <c r="BW473" s="292"/>
    </row>
    <row r="474">
      <c r="A474" s="292"/>
      <c r="B474" s="292" t="str">
        <f>IFERROR(__xludf.DUMMYFUNCTION("""COMPUTED_VALUE"""),"")</f>
        <v/>
      </c>
      <c r="C474" s="292"/>
      <c r="D474" s="292" t="str">
        <f>IFERROR(__xludf.DUMMYFUNCTION("""COMPUTED_VALUE"""),"")</f>
        <v/>
      </c>
      <c r="E474" s="292" t="str">
        <f>IFERROR(__xludf.DUMMYFUNCTION("""COMPUTED_VALUE"""),"")</f>
        <v/>
      </c>
      <c r="F474" s="292"/>
      <c r="G474" s="292" t="str">
        <f>IFERROR(__xludf.DUMMYFUNCTION("""COMPUTED_VALUE"""),"")</f>
        <v/>
      </c>
      <c r="H474" s="292" t="str">
        <f>IFERROR(__xludf.DUMMYFUNCTION("""COMPUTED_VALUE"""),"")</f>
        <v/>
      </c>
      <c r="I474" s="292"/>
      <c r="J474" s="292"/>
      <c r="K474" s="292"/>
      <c r="L474" s="292"/>
      <c r="M474" s="292" t="str">
        <f>IFERROR(__xludf.DUMMYFUNCTION("""COMPUTED_VALUE"""),"")</f>
        <v/>
      </c>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c r="AK474" s="292"/>
      <c r="AL474" s="292"/>
      <c r="AM474" s="292"/>
      <c r="AN474" s="292"/>
      <c r="AO474" s="292"/>
      <c r="AP474" s="292"/>
      <c r="AQ474" s="292"/>
      <c r="AR474" s="292"/>
      <c r="AS474" s="292"/>
      <c r="AT474" s="292"/>
      <c r="AU474" s="292"/>
      <c r="AV474" s="292"/>
      <c r="AW474" s="292"/>
      <c r="AX474" s="292"/>
      <c r="AY474" s="292"/>
      <c r="AZ474" s="292"/>
      <c r="BA474" s="292"/>
      <c r="BB474" s="292"/>
      <c r="BC474" s="292"/>
      <c r="BD474" s="292"/>
      <c r="BE474" s="292"/>
      <c r="BF474" s="292"/>
      <c r="BG474" s="292"/>
      <c r="BH474" s="292"/>
      <c r="BI474" s="292"/>
      <c r="BJ474" s="292"/>
      <c r="BK474" s="292"/>
      <c r="BL474" s="292"/>
      <c r="BM474" s="292"/>
      <c r="BN474" s="292"/>
      <c r="BO474" s="292"/>
      <c r="BP474" s="292"/>
      <c r="BQ474" s="292"/>
      <c r="BR474" s="292"/>
      <c r="BS474" s="292"/>
      <c r="BT474" s="292"/>
      <c r="BU474" s="292"/>
      <c r="BV474" s="292"/>
      <c r="BW474" s="292"/>
    </row>
    <row r="475">
      <c r="A475" s="292"/>
      <c r="B475" s="292" t="str">
        <f>IFERROR(__xludf.DUMMYFUNCTION("""COMPUTED_VALUE"""),"")</f>
        <v/>
      </c>
      <c r="C475" s="292"/>
      <c r="D475" s="292" t="str">
        <f>IFERROR(__xludf.DUMMYFUNCTION("""COMPUTED_VALUE"""),"")</f>
        <v/>
      </c>
      <c r="E475" s="292" t="str">
        <f>IFERROR(__xludf.DUMMYFUNCTION("""COMPUTED_VALUE"""),"")</f>
        <v/>
      </c>
      <c r="F475" s="292"/>
      <c r="G475" s="292" t="str">
        <f>IFERROR(__xludf.DUMMYFUNCTION("""COMPUTED_VALUE"""),"")</f>
        <v/>
      </c>
      <c r="H475" s="292" t="str">
        <f>IFERROR(__xludf.DUMMYFUNCTION("""COMPUTED_VALUE"""),"")</f>
        <v/>
      </c>
      <c r="I475" s="292"/>
      <c r="J475" s="292"/>
      <c r="K475" s="292"/>
      <c r="L475" s="292"/>
      <c r="M475" s="292" t="str">
        <f>IFERROR(__xludf.DUMMYFUNCTION("""COMPUTED_VALUE"""),"")</f>
        <v/>
      </c>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c r="AK475" s="292"/>
      <c r="AL475" s="292"/>
      <c r="AM475" s="292"/>
      <c r="AN475" s="292"/>
      <c r="AO475" s="292"/>
      <c r="AP475" s="292"/>
      <c r="AQ475" s="292"/>
      <c r="AR475" s="292"/>
      <c r="AS475" s="292"/>
      <c r="AT475" s="292"/>
      <c r="AU475" s="292"/>
      <c r="AV475" s="292"/>
      <c r="AW475" s="292"/>
      <c r="AX475" s="292"/>
      <c r="AY475" s="292"/>
      <c r="AZ475" s="292"/>
      <c r="BA475" s="292"/>
      <c r="BB475" s="292"/>
      <c r="BC475" s="292"/>
      <c r="BD475" s="292"/>
      <c r="BE475" s="292"/>
      <c r="BF475" s="292"/>
      <c r="BG475" s="292"/>
      <c r="BH475" s="292"/>
      <c r="BI475" s="292"/>
      <c r="BJ475" s="292"/>
      <c r="BK475" s="292"/>
      <c r="BL475" s="292"/>
      <c r="BM475" s="292"/>
      <c r="BN475" s="292"/>
      <c r="BO475" s="292"/>
      <c r="BP475" s="292"/>
      <c r="BQ475" s="292"/>
      <c r="BR475" s="292"/>
      <c r="BS475" s="292"/>
      <c r="BT475" s="292"/>
      <c r="BU475" s="292"/>
      <c r="BV475" s="292"/>
      <c r="BW475" s="292"/>
    </row>
    <row r="476">
      <c r="A476" s="292"/>
      <c r="B476" s="292" t="str">
        <f>IFERROR(__xludf.DUMMYFUNCTION("""COMPUTED_VALUE"""),"")</f>
        <v/>
      </c>
      <c r="C476" s="292"/>
      <c r="D476" s="292" t="str">
        <f>IFERROR(__xludf.DUMMYFUNCTION("""COMPUTED_VALUE"""),"")</f>
        <v/>
      </c>
      <c r="E476" s="292" t="str">
        <f>IFERROR(__xludf.DUMMYFUNCTION("""COMPUTED_VALUE"""),"")</f>
        <v/>
      </c>
      <c r="F476" s="292"/>
      <c r="G476" s="292" t="str">
        <f>IFERROR(__xludf.DUMMYFUNCTION("""COMPUTED_VALUE"""),"")</f>
        <v/>
      </c>
      <c r="H476" s="292" t="str">
        <f>IFERROR(__xludf.DUMMYFUNCTION("""COMPUTED_VALUE"""),"")</f>
        <v/>
      </c>
      <c r="I476" s="292"/>
      <c r="J476" s="292"/>
      <c r="K476" s="292"/>
      <c r="L476" s="292"/>
      <c r="M476" s="292" t="str">
        <f>IFERROR(__xludf.DUMMYFUNCTION("""COMPUTED_VALUE"""),"")</f>
        <v/>
      </c>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c r="AK476" s="292"/>
      <c r="AL476" s="292"/>
      <c r="AM476" s="292"/>
      <c r="AN476" s="292"/>
      <c r="AO476" s="292"/>
      <c r="AP476" s="292"/>
      <c r="AQ476" s="292"/>
      <c r="AR476" s="292"/>
      <c r="AS476" s="292"/>
      <c r="AT476" s="292"/>
      <c r="AU476" s="292"/>
      <c r="AV476" s="292"/>
      <c r="AW476" s="292"/>
      <c r="AX476" s="292"/>
      <c r="AY476" s="292"/>
      <c r="AZ476" s="292"/>
      <c r="BA476" s="292"/>
      <c r="BB476" s="292"/>
      <c r="BC476" s="292"/>
      <c r="BD476" s="292"/>
      <c r="BE476" s="292"/>
      <c r="BF476" s="292"/>
      <c r="BG476" s="292"/>
      <c r="BH476" s="292"/>
      <c r="BI476" s="292"/>
      <c r="BJ476" s="292"/>
      <c r="BK476" s="292"/>
      <c r="BL476" s="292"/>
      <c r="BM476" s="292"/>
      <c r="BN476" s="292"/>
      <c r="BO476" s="292"/>
      <c r="BP476" s="292"/>
      <c r="BQ476" s="292"/>
      <c r="BR476" s="292"/>
      <c r="BS476" s="292"/>
      <c r="BT476" s="292"/>
      <c r="BU476" s="292"/>
      <c r="BV476" s="292"/>
      <c r="BW476" s="292"/>
    </row>
    <row r="477">
      <c r="A477" s="292"/>
      <c r="B477" s="292" t="str">
        <f>IFERROR(__xludf.DUMMYFUNCTION("""COMPUTED_VALUE"""),"")</f>
        <v/>
      </c>
      <c r="C477" s="292"/>
      <c r="D477" s="292" t="str">
        <f>IFERROR(__xludf.DUMMYFUNCTION("""COMPUTED_VALUE"""),"")</f>
        <v/>
      </c>
      <c r="E477" s="292" t="str">
        <f>IFERROR(__xludf.DUMMYFUNCTION("""COMPUTED_VALUE"""),"")</f>
        <v/>
      </c>
      <c r="F477" s="292"/>
      <c r="G477" s="292" t="str">
        <f>IFERROR(__xludf.DUMMYFUNCTION("""COMPUTED_VALUE"""),"")</f>
        <v/>
      </c>
      <c r="H477" s="292" t="str">
        <f>IFERROR(__xludf.DUMMYFUNCTION("""COMPUTED_VALUE"""),"")</f>
        <v/>
      </c>
      <c r="I477" s="292"/>
      <c r="J477" s="292"/>
      <c r="K477" s="292"/>
      <c r="L477" s="292"/>
      <c r="M477" s="292" t="str">
        <f>IFERROR(__xludf.DUMMYFUNCTION("""COMPUTED_VALUE"""),"")</f>
        <v/>
      </c>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c r="AK477" s="292"/>
      <c r="AL477" s="292"/>
      <c r="AM477" s="292"/>
      <c r="AN477" s="292"/>
      <c r="AO477" s="292"/>
      <c r="AP477" s="292"/>
      <c r="AQ477" s="292"/>
      <c r="AR477" s="292"/>
      <c r="AS477" s="292"/>
      <c r="AT477" s="292"/>
      <c r="AU477" s="292"/>
      <c r="AV477" s="292"/>
      <c r="AW477" s="292"/>
      <c r="AX477" s="292"/>
      <c r="AY477" s="292"/>
      <c r="AZ477" s="292"/>
      <c r="BA477" s="292"/>
      <c r="BB477" s="292"/>
      <c r="BC477" s="292"/>
      <c r="BD477" s="292"/>
      <c r="BE477" s="292"/>
      <c r="BF477" s="292"/>
      <c r="BG477" s="292"/>
      <c r="BH477" s="292"/>
      <c r="BI477" s="292"/>
      <c r="BJ477" s="292"/>
      <c r="BK477" s="292"/>
      <c r="BL477" s="292"/>
      <c r="BM477" s="292"/>
      <c r="BN477" s="292"/>
      <c r="BO477" s="292"/>
      <c r="BP477" s="292"/>
      <c r="BQ477" s="292"/>
      <c r="BR477" s="292"/>
      <c r="BS477" s="292"/>
      <c r="BT477" s="292"/>
      <c r="BU477" s="292"/>
      <c r="BV477" s="292"/>
      <c r="BW477" s="292"/>
    </row>
    <row r="478">
      <c r="A478" s="292"/>
      <c r="B478" s="292" t="str">
        <f>IFERROR(__xludf.DUMMYFUNCTION("""COMPUTED_VALUE"""),"")</f>
        <v/>
      </c>
      <c r="C478" s="292"/>
      <c r="D478" s="292" t="str">
        <f>IFERROR(__xludf.DUMMYFUNCTION("""COMPUTED_VALUE"""),"")</f>
        <v/>
      </c>
      <c r="E478" s="292" t="str">
        <f>IFERROR(__xludf.DUMMYFUNCTION("""COMPUTED_VALUE"""),"")</f>
        <v/>
      </c>
      <c r="F478" s="292"/>
      <c r="G478" s="292" t="str">
        <f>IFERROR(__xludf.DUMMYFUNCTION("""COMPUTED_VALUE"""),"")</f>
        <v/>
      </c>
      <c r="H478" s="292" t="str">
        <f>IFERROR(__xludf.DUMMYFUNCTION("""COMPUTED_VALUE"""),"")</f>
        <v/>
      </c>
      <c r="I478" s="292"/>
      <c r="J478" s="292"/>
      <c r="K478" s="292"/>
      <c r="L478" s="292"/>
      <c r="M478" s="292" t="str">
        <f>IFERROR(__xludf.DUMMYFUNCTION("""COMPUTED_VALUE"""),"")</f>
        <v/>
      </c>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c r="AK478" s="292"/>
      <c r="AL478" s="292"/>
      <c r="AM478" s="292"/>
      <c r="AN478" s="292"/>
      <c r="AO478" s="292"/>
      <c r="AP478" s="292"/>
      <c r="AQ478" s="292"/>
      <c r="AR478" s="292"/>
      <c r="AS478" s="292"/>
      <c r="AT478" s="292"/>
      <c r="AU478" s="292"/>
      <c r="AV478" s="292"/>
      <c r="AW478" s="292"/>
      <c r="AX478" s="292"/>
      <c r="AY478" s="292"/>
      <c r="AZ478" s="292"/>
      <c r="BA478" s="292"/>
      <c r="BB478" s="292"/>
      <c r="BC478" s="292"/>
      <c r="BD478" s="292"/>
      <c r="BE478" s="292"/>
      <c r="BF478" s="292"/>
      <c r="BG478" s="292"/>
      <c r="BH478" s="292"/>
      <c r="BI478" s="292"/>
      <c r="BJ478" s="292"/>
      <c r="BK478" s="292"/>
      <c r="BL478" s="292"/>
      <c r="BM478" s="292"/>
      <c r="BN478" s="292"/>
      <c r="BO478" s="292"/>
      <c r="BP478" s="292"/>
      <c r="BQ478" s="292"/>
      <c r="BR478" s="292"/>
      <c r="BS478" s="292"/>
      <c r="BT478" s="292"/>
      <c r="BU478" s="292"/>
      <c r="BV478" s="292"/>
      <c r="BW478" s="292"/>
    </row>
    <row r="479">
      <c r="A479" s="292"/>
      <c r="B479" s="292" t="str">
        <f>IFERROR(__xludf.DUMMYFUNCTION("""COMPUTED_VALUE"""),"")</f>
        <v/>
      </c>
      <c r="C479" s="292"/>
      <c r="D479" s="292" t="str">
        <f>IFERROR(__xludf.DUMMYFUNCTION("""COMPUTED_VALUE"""),"")</f>
        <v/>
      </c>
      <c r="E479" s="292" t="str">
        <f>IFERROR(__xludf.DUMMYFUNCTION("""COMPUTED_VALUE"""),"")</f>
        <v/>
      </c>
      <c r="F479" s="292"/>
      <c r="G479" s="292" t="str">
        <f>IFERROR(__xludf.DUMMYFUNCTION("""COMPUTED_VALUE"""),"")</f>
        <v/>
      </c>
      <c r="H479" s="292" t="str">
        <f>IFERROR(__xludf.DUMMYFUNCTION("""COMPUTED_VALUE"""),"")</f>
        <v/>
      </c>
      <c r="I479" s="292"/>
      <c r="J479" s="292"/>
      <c r="K479" s="292"/>
      <c r="L479" s="292"/>
      <c r="M479" s="292" t="str">
        <f>IFERROR(__xludf.DUMMYFUNCTION("""COMPUTED_VALUE"""),"")</f>
        <v/>
      </c>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c r="AK479" s="292"/>
      <c r="AL479" s="292"/>
      <c r="AM479" s="292"/>
      <c r="AN479" s="292"/>
      <c r="AO479" s="292"/>
      <c r="AP479" s="292"/>
      <c r="AQ479" s="292"/>
      <c r="AR479" s="292"/>
      <c r="AS479" s="292"/>
      <c r="AT479" s="292"/>
      <c r="AU479" s="292"/>
      <c r="AV479" s="292"/>
      <c r="AW479" s="292"/>
      <c r="AX479" s="292"/>
      <c r="AY479" s="292"/>
      <c r="AZ479" s="292"/>
      <c r="BA479" s="292"/>
      <c r="BB479" s="292"/>
      <c r="BC479" s="292"/>
      <c r="BD479" s="292"/>
      <c r="BE479" s="292"/>
      <c r="BF479" s="292"/>
      <c r="BG479" s="292"/>
      <c r="BH479" s="292"/>
      <c r="BI479" s="292"/>
      <c r="BJ479" s="292"/>
      <c r="BK479" s="292"/>
      <c r="BL479" s="292"/>
      <c r="BM479" s="292"/>
      <c r="BN479" s="292"/>
      <c r="BO479" s="292"/>
      <c r="BP479" s="292"/>
      <c r="BQ479" s="292"/>
      <c r="BR479" s="292"/>
      <c r="BS479" s="292"/>
      <c r="BT479" s="292"/>
      <c r="BU479" s="292"/>
      <c r="BV479" s="292"/>
      <c r="BW479" s="292"/>
    </row>
    <row r="480">
      <c r="A480" s="292"/>
      <c r="B480" s="292" t="str">
        <f>IFERROR(__xludf.DUMMYFUNCTION("""COMPUTED_VALUE"""),"")</f>
        <v/>
      </c>
      <c r="C480" s="292"/>
      <c r="D480" s="292" t="str">
        <f>IFERROR(__xludf.DUMMYFUNCTION("""COMPUTED_VALUE"""),"")</f>
        <v/>
      </c>
      <c r="E480" s="292" t="str">
        <f>IFERROR(__xludf.DUMMYFUNCTION("""COMPUTED_VALUE"""),"")</f>
        <v/>
      </c>
      <c r="F480" s="292"/>
      <c r="G480" s="292" t="str">
        <f>IFERROR(__xludf.DUMMYFUNCTION("""COMPUTED_VALUE"""),"")</f>
        <v/>
      </c>
      <c r="H480" s="292" t="str">
        <f>IFERROR(__xludf.DUMMYFUNCTION("""COMPUTED_VALUE"""),"")</f>
        <v/>
      </c>
      <c r="I480" s="292"/>
      <c r="J480" s="292"/>
      <c r="K480" s="292"/>
      <c r="L480" s="292"/>
      <c r="M480" s="292" t="str">
        <f>IFERROR(__xludf.DUMMYFUNCTION("""COMPUTED_VALUE"""),"")</f>
        <v/>
      </c>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c r="AK480" s="292"/>
      <c r="AL480" s="292"/>
      <c r="AM480" s="292"/>
      <c r="AN480" s="292"/>
      <c r="AO480" s="292"/>
      <c r="AP480" s="292"/>
      <c r="AQ480" s="292"/>
      <c r="AR480" s="292"/>
      <c r="AS480" s="292"/>
      <c r="AT480" s="292"/>
      <c r="AU480" s="292"/>
      <c r="AV480" s="292"/>
      <c r="AW480" s="292"/>
      <c r="AX480" s="292"/>
      <c r="AY480" s="292"/>
      <c r="AZ480" s="292"/>
      <c r="BA480" s="292"/>
      <c r="BB480" s="292"/>
      <c r="BC480" s="292"/>
      <c r="BD480" s="292"/>
      <c r="BE480" s="292"/>
      <c r="BF480" s="292"/>
      <c r="BG480" s="292"/>
      <c r="BH480" s="292"/>
      <c r="BI480" s="292"/>
      <c r="BJ480" s="292"/>
      <c r="BK480" s="292"/>
      <c r="BL480" s="292"/>
      <c r="BM480" s="292"/>
      <c r="BN480" s="292"/>
      <c r="BO480" s="292"/>
      <c r="BP480" s="292"/>
      <c r="BQ480" s="292"/>
      <c r="BR480" s="292"/>
      <c r="BS480" s="292"/>
      <c r="BT480" s="292"/>
      <c r="BU480" s="292"/>
      <c r="BV480" s="292"/>
      <c r="BW480" s="292"/>
    </row>
    <row r="481">
      <c r="A481" s="292"/>
      <c r="B481" s="292" t="str">
        <f>IFERROR(__xludf.DUMMYFUNCTION("""COMPUTED_VALUE"""),"")</f>
        <v/>
      </c>
      <c r="C481" s="292"/>
      <c r="D481" s="292" t="str">
        <f>IFERROR(__xludf.DUMMYFUNCTION("""COMPUTED_VALUE"""),"")</f>
        <v/>
      </c>
      <c r="E481" s="292" t="str">
        <f>IFERROR(__xludf.DUMMYFUNCTION("""COMPUTED_VALUE"""),"")</f>
        <v/>
      </c>
      <c r="F481" s="292"/>
      <c r="G481" s="292" t="str">
        <f>IFERROR(__xludf.DUMMYFUNCTION("""COMPUTED_VALUE"""),"")</f>
        <v/>
      </c>
      <c r="H481" s="292" t="str">
        <f>IFERROR(__xludf.DUMMYFUNCTION("""COMPUTED_VALUE"""),"")</f>
        <v/>
      </c>
      <c r="I481" s="292"/>
      <c r="J481" s="292"/>
      <c r="K481" s="292"/>
      <c r="L481" s="292"/>
      <c r="M481" s="292" t="str">
        <f>IFERROR(__xludf.DUMMYFUNCTION("""COMPUTED_VALUE"""),"")</f>
        <v/>
      </c>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c r="AK481" s="292"/>
      <c r="AL481" s="292"/>
      <c r="AM481" s="292"/>
      <c r="AN481" s="292"/>
      <c r="AO481" s="292"/>
      <c r="AP481" s="292"/>
      <c r="AQ481" s="292"/>
      <c r="AR481" s="292"/>
      <c r="AS481" s="292"/>
      <c r="AT481" s="292"/>
      <c r="AU481" s="292"/>
      <c r="AV481" s="292"/>
      <c r="AW481" s="292"/>
      <c r="AX481" s="292"/>
      <c r="AY481" s="292"/>
      <c r="AZ481" s="292"/>
      <c r="BA481" s="292"/>
      <c r="BB481" s="292"/>
      <c r="BC481" s="292"/>
      <c r="BD481" s="292"/>
      <c r="BE481" s="292"/>
      <c r="BF481" s="292"/>
      <c r="BG481" s="292"/>
      <c r="BH481" s="292"/>
      <c r="BI481" s="292"/>
      <c r="BJ481" s="292"/>
      <c r="BK481" s="292"/>
      <c r="BL481" s="292"/>
      <c r="BM481" s="292"/>
      <c r="BN481" s="292"/>
      <c r="BO481" s="292"/>
      <c r="BP481" s="292"/>
      <c r="BQ481" s="292"/>
      <c r="BR481" s="292"/>
      <c r="BS481" s="292"/>
      <c r="BT481" s="292"/>
      <c r="BU481" s="292"/>
      <c r="BV481" s="292"/>
      <c r="BW481" s="292"/>
    </row>
    <row r="482">
      <c r="A482" s="292"/>
      <c r="B482" s="292" t="str">
        <f>IFERROR(__xludf.DUMMYFUNCTION("""COMPUTED_VALUE"""),"")</f>
        <v/>
      </c>
      <c r="C482" s="292"/>
      <c r="D482" s="292" t="str">
        <f>IFERROR(__xludf.DUMMYFUNCTION("""COMPUTED_VALUE"""),"")</f>
        <v/>
      </c>
      <c r="E482" s="292" t="str">
        <f>IFERROR(__xludf.DUMMYFUNCTION("""COMPUTED_VALUE"""),"")</f>
        <v/>
      </c>
      <c r="F482" s="292"/>
      <c r="G482" s="292" t="str">
        <f>IFERROR(__xludf.DUMMYFUNCTION("""COMPUTED_VALUE"""),"")</f>
        <v/>
      </c>
      <c r="H482" s="292" t="str">
        <f>IFERROR(__xludf.DUMMYFUNCTION("""COMPUTED_VALUE"""),"")</f>
        <v/>
      </c>
      <c r="I482" s="292"/>
      <c r="J482" s="292"/>
      <c r="K482" s="292"/>
      <c r="L482" s="292"/>
      <c r="M482" s="292" t="str">
        <f>IFERROR(__xludf.DUMMYFUNCTION("""COMPUTED_VALUE"""),"")</f>
        <v/>
      </c>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c r="AK482" s="292"/>
      <c r="AL482" s="292"/>
      <c r="AM482" s="292"/>
      <c r="AN482" s="292"/>
      <c r="AO482" s="292"/>
      <c r="AP482" s="292"/>
      <c r="AQ482" s="292"/>
      <c r="AR482" s="292"/>
      <c r="AS482" s="292"/>
      <c r="AT482" s="292"/>
      <c r="AU482" s="292"/>
      <c r="AV482" s="292"/>
      <c r="AW482" s="292"/>
      <c r="AX482" s="292"/>
      <c r="AY482" s="292"/>
      <c r="AZ482" s="292"/>
      <c r="BA482" s="292"/>
      <c r="BB482" s="292"/>
      <c r="BC482" s="292"/>
      <c r="BD482" s="292"/>
      <c r="BE482" s="292"/>
      <c r="BF482" s="292"/>
      <c r="BG482" s="292"/>
      <c r="BH482" s="292"/>
      <c r="BI482" s="292"/>
      <c r="BJ482" s="292"/>
      <c r="BK482" s="292"/>
      <c r="BL482" s="292"/>
      <c r="BM482" s="292"/>
      <c r="BN482" s="292"/>
      <c r="BO482" s="292"/>
      <c r="BP482" s="292"/>
      <c r="BQ482" s="292"/>
      <c r="BR482" s="292"/>
      <c r="BS482" s="292"/>
      <c r="BT482" s="292"/>
      <c r="BU482" s="292"/>
      <c r="BV482" s="292"/>
      <c r="BW482" s="292"/>
    </row>
    <row r="483">
      <c r="A483" s="292"/>
      <c r="B483" s="292" t="str">
        <f>IFERROR(__xludf.DUMMYFUNCTION("""COMPUTED_VALUE"""),"")</f>
        <v/>
      </c>
      <c r="C483" s="292"/>
      <c r="D483" s="292" t="str">
        <f>IFERROR(__xludf.DUMMYFUNCTION("""COMPUTED_VALUE"""),"")</f>
        <v/>
      </c>
      <c r="E483" s="292" t="str">
        <f>IFERROR(__xludf.DUMMYFUNCTION("""COMPUTED_VALUE"""),"")</f>
        <v/>
      </c>
      <c r="F483" s="292"/>
      <c r="G483" s="292" t="str">
        <f>IFERROR(__xludf.DUMMYFUNCTION("""COMPUTED_VALUE"""),"")</f>
        <v/>
      </c>
      <c r="H483" s="292" t="str">
        <f>IFERROR(__xludf.DUMMYFUNCTION("""COMPUTED_VALUE"""),"")</f>
        <v/>
      </c>
      <c r="I483" s="292"/>
      <c r="J483" s="292"/>
      <c r="K483" s="292"/>
      <c r="L483" s="292"/>
      <c r="M483" s="292" t="str">
        <f>IFERROR(__xludf.DUMMYFUNCTION("""COMPUTED_VALUE"""),"")</f>
        <v/>
      </c>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c r="AK483" s="292"/>
      <c r="AL483" s="292"/>
      <c r="AM483" s="292"/>
      <c r="AN483" s="292"/>
      <c r="AO483" s="292"/>
      <c r="AP483" s="292"/>
      <c r="AQ483" s="292"/>
      <c r="AR483" s="292"/>
      <c r="AS483" s="292"/>
      <c r="AT483" s="292"/>
      <c r="AU483" s="292"/>
      <c r="AV483" s="292"/>
      <c r="AW483" s="292"/>
      <c r="AX483" s="292"/>
      <c r="AY483" s="292"/>
      <c r="AZ483" s="292"/>
      <c r="BA483" s="292"/>
      <c r="BB483" s="292"/>
      <c r="BC483" s="292"/>
      <c r="BD483" s="292"/>
      <c r="BE483" s="292"/>
      <c r="BF483" s="292"/>
      <c r="BG483" s="292"/>
      <c r="BH483" s="292"/>
      <c r="BI483" s="292"/>
      <c r="BJ483" s="292"/>
      <c r="BK483" s="292"/>
      <c r="BL483" s="292"/>
      <c r="BM483" s="292"/>
      <c r="BN483" s="292"/>
      <c r="BO483" s="292"/>
      <c r="BP483" s="292"/>
      <c r="BQ483" s="292"/>
      <c r="BR483" s="292"/>
      <c r="BS483" s="292"/>
      <c r="BT483" s="292"/>
      <c r="BU483" s="292"/>
      <c r="BV483" s="292"/>
      <c r="BW483" s="292"/>
    </row>
    <row r="484">
      <c r="A484" s="292"/>
      <c r="B484" s="292" t="str">
        <f>IFERROR(__xludf.DUMMYFUNCTION("""COMPUTED_VALUE"""),"")</f>
        <v/>
      </c>
      <c r="C484" s="292"/>
      <c r="D484" s="292" t="str">
        <f>IFERROR(__xludf.DUMMYFUNCTION("""COMPUTED_VALUE"""),"")</f>
        <v/>
      </c>
      <c r="E484" s="292" t="str">
        <f>IFERROR(__xludf.DUMMYFUNCTION("""COMPUTED_VALUE"""),"")</f>
        <v/>
      </c>
      <c r="F484" s="292"/>
      <c r="G484" s="292" t="str">
        <f>IFERROR(__xludf.DUMMYFUNCTION("""COMPUTED_VALUE"""),"")</f>
        <v/>
      </c>
      <c r="H484" s="292" t="str">
        <f>IFERROR(__xludf.DUMMYFUNCTION("""COMPUTED_VALUE"""),"")</f>
        <v/>
      </c>
      <c r="I484" s="292"/>
      <c r="J484" s="292"/>
      <c r="K484" s="292"/>
      <c r="L484" s="292"/>
      <c r="M484" s="292" t="str">
        <f>IFERROR(__xludf.DUMMYFUNCTION("""COMPUTED_VALUE"""),"")</f>
        <v/>
      </c>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c r="AK484" s="292"/>
      <c r="AL484" s="292"/>
      <c r="AM484" s="292"/>
      <c r="AN484" s="292"/>
      <c r="AO484" s="292"/>
      <c r="AP484" s="292"/>
      <c r="AQ484" s="292"/>
      <c r="AR484" s="292"/>
      <c r="AS484" s="292"/>
      <c r="AT484" s="292"/>
      <c r="AU484" s="292"/>
      <c r="AV484" s="292"/>
      <c r="AW484" s="292"/>
      <c r="AX484" s="292"/>
      <c r="AY484" s="292"/>
      <c r="AZ484" s="292"/>
      <c r="BA484" s="292"/>
      <c r="BB484" s="292"/>
      <c r="BC484" s="292"/>
      <c r="BD484" s="292"/>
      <c r="BE484" s="292"/>
      <c r="BF484" s="292"/>
      <c r="BG484" s="292"/>
      <c r="BH484" s="292"/>
      <c r="BI484" s="292"/>
      <c r="BJ484" s="292"/>
      <c r="BK484" s="292"/>
      <c r="BL484" s="292"/>
      <c r="BM484" s="292"/>
      <c r="BN484" s="292"/>
      <c r="BO484" s="292"/>
      <c r="BP484" s="292"/>
      <c r="BQ484" s="292"/>
      <c r="BR484" s="292"/>
      <c r="BS484" s="292"/>
      <c r="BT484" s="292"/>
      <c r="BU484" s="292"/>
      <c r="BV484" s="292"/>
      <c r="BW484" s="292"/>
    </row>
    <row r="485">
      <c r="A485" s="292"/>
      <c r="B485" s="292" t="str">
        <f>IFERROR(__xludf.DUMMYFUNCTION("""COMPUTED_VALUE"""),"")</f>
        <v/>
      </c>
      <c r="C485" s="292"/>
      <c r="D485" s="292" t="str">
        <f>IFERROR(__xludf.DUMMYFUNCTION("""COMPUTED_VALUE"""),"")</f>
        <v/>
      </c>
      <c r="E485" s="292" t="str">
        <f>IFERROR(__xludf.DUMMYFUNCTION("""COMPUTED_VALUE"""),"")</f>
        <v/>
      </c>
      <c r="F485" s="292"/>
      <c r="G485" s="292" t="str">
        <f>IFERROR(__xludf.DUMMYFUNCTION("""COMPUTED_VALUE"""),"")</f>
        <v/>
      </c>
      <c r="H485" s="292" t="str">
        <f>IFERROR(__xludf.DUMMYFUNCTION("""COMPUTED_VALUE"""),"")</f>
        <v/>
      </c>
      <c r="I485" s="292"/>
      <c r="J485" s="292"/>
      <c r="K485" s="292"/>
      <c r="L485" s="292"/>
      <c r="M485" s="292" t="str">
        <f>IFERROR(__xludf.DUMMYFUNCTION("""COMPUTED_VALUE"""),"")</f>
        <v/>
      </c>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c r="AK485" s="292"/>
      <c r="AL485" s="292"/>
      <c r="AM485" s="292"/>
      <c r="AN485" s="292"/>
      <c r="AO485" s="292"/>
      <c r="AP485" s="292"/>
      <c r="AQ485" s="292"/>
      <c r="AR485" s="292"/>
      <c r="AS485" s="292"/>
      <c r="AT485" s="292"/>
      <c r="AU485" s="292"/>
      <c r="AV485" s="292"/>
      <c r="AW485" s="292"/>
      <c r="AX485" s="292"/>
      <c r="AY485" s="292"/>
      <c r="AZ485" s="292"/>
      <c r="BA485" s="292"/>
      <c r="BB485" s="292"/>
      <c r="BC485" s="292"/>
      <c r="BD485" s="292"/>
      <c r="BE485" s="292"/>
      <c r="BF485" s="292"/>
      <c r="BG485" s="292"/>
      <c r="BH485" s="292"/>
      <c r="BI485" s="292"/>
      <c r="BJ485" s="292"/>
      <c r="BK485" s="292"/>
      <c r="BL485" s="292"/>
      <c r="BM485" s="292"/>
      <c r="BN485" s="292"/>
      <c r="BO485" s="292"/>
      <c r="BP485" s="292"/>
      <c r="BQ485" s="292"/>
      <c r="BR485" s="292"/>
      <c r="BS485" s="292"/>
      <c r="BT485" s="292"/>
      <c r="BU485" s="292"/>
      <c r="BV485" s="292"/>
      <c r="BW485" s="292"/>
    </row>
    <row r="486">
      <c r="A486" s="292"/>
      <c r="B486" s="292" t="str">
        <f>IFERROR(__xludf.DUMMYFUNCTION("""COMPUTED_VALUE"""),"")</f>
        <v/>
      </c>
      <c r="C486" s="292"/>
      <c r="D486" s="292" t="str">
        <f>IFERROR(__xludf.DUMMYFUNCTION("""COMPUTED_VALUE"""),"")</f>
        <v/>
      </c>
      <c r="E486" s="292" t="str">
        <f>IFERROR(__xludf.DUMMYFUNCTION("""COMPUTED_VALUE"""),"")</f>
        <v/>
      </c>
      <c r="F486" s="292"/>
      <c r="G486" s="292" t="str">
        <f>IFERROR(__xludf.DUMMYFUNCTION("""COMPUTED_VALUE"""),"")</f>
        <v/>
      </c>
      <c r="H486" s="292" t="str">
        <f>IFERROR(__xludf.DUMMYFUNCTION("""COMPUTED_VALUE"""),"")</f>
        <v/>
      </c>
      <c r="I486" s="292"/>
      <c r="J486" s="292"/>
      <c r="K486" s="292"/>
      <c r="L486" s="292"/>
      <c r="M486" s="292" t="str">
        <f>IFERROR(__xludf.DUMMYFUNCTION("""COMPUTED_VALUE"""),"")</f>
        <v/>
      </c>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c r="AK486" s="292"/>
      <c r="AL486" s="292"/>
      <c r="AM486" s="292"/>
      <c r="AN486" s="292"/>
      <c r="AO486" s="292"/>
      <c r="AP486" s="292"/>
      <c r="AQ486" s="292"/>
      <c r="AR486" s="292"/>
      <c r="AS486" s="292"/>
      <c r="AT486" s="292"/>
      <c r="AU486" s="292"/>
      <c r="AV486" s="292"/>
      <c r="AW486" s="292"/>
      <c r="AX486" s="292"/>
      <c r="AY486" s="292"/>
      <c r="AZ486" s="292"/>
      <c r="BA486" s="292"/>
      <c r="BB486" s="292"/>
      <c r="BC486" s="292"/>
      <c r="BD486" s="292"/>
      <c r="BE486" s="292"/>
      <c r="BF486" s="292"/>
      <c r="BG486" s="292"/>
      <c r="BH486" s="292"/>
      <c r="BI486" s="292"/>
      <c r="BJ486" s="292"/>
      <c r="BK486" s="292"/>
      <c r="BL486" s="292"/>
      <c r="BM486" s="292"/>
      <c r="BN486" s="292"/>
      <c r="BO486" s="292"/>
      <c r="BP486" s="292"/>
      <c r="BQ486" s="292"/>
      <c r="BR486" s="292"/>
      <c r="BS486" s="292"/>
      <c r="BT486" s="292"/>
      <c r="BU486" s="292"/>
      <c r="BV486" s="292"/>
      <c r="BW486" s="292"/>
    </row>
    <row r="487">
      <c r="A487" s="292"/>
      <c r="B487" s="292" t="str">
        <f>IFERROR(__xludf.DUMMYFUNCTION("""COMPUTED_VALUE"""),"")</f>
        <v/>
      </c>
      <c r="C487" s="292"/>
      <c r="D487" s="292" t="str">
        <f>IFERROR(__xludf.DUMMYFUNCTION("""COMPUTED_VALUE"""),"")</f>
        <v/>
      </c>
      <c r="E487" s="292" t="str">
        <f>IFERROR(__xludf.DUMMYFUNCTION("""COMPUTED_VALUE"""),"")</f>
        <v/>
      </c>
      <c r="F487" s="292"/>
      <c r="G487" s="292" t="str">
        <f>IFERROR(__xludf.DUMMYFUNCTION("""COMPUTED_VALUE"""),"")</f>
        <v/>
      </c>
      <c r="H487" s="292" t="str">
        <f>IFERROR(__xludf.DUMMYFUNCTION("""COMPUTED_VALUE"""),"")</f>
        <v/>
      </c>
      <c r="I487" s="292"/>
      <c r="J487" s="292"/>
      <c r="K487" s="292"/>
      <c r="L487" s="292"/>
      <c r="M487" s="292" t="str">
        <f>IFERROR(__xludf.DUMMYFUNCTION("""COMPUTED_VALUE"""),"")</f>
        <v/>
      </c>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c r="AK487" s="292"/>
      <c r="AL487" s="292"/>
      <c r="AM487" s="292"/>
      <c r="AN487" s="292"/>
      <c r="AO487" s="292"/>
      <c r="AP487" s="292"/>
      <c r="AQ487" s="292"/>
      <c r="AR487" s="292"/>
      <c r="AS487" s="292"/>
      <c r="AT487" s="292"/>
      <c r="AU487" s="292"/>
      <c r="AV487" s="292"/>
      <c r="AW487" s="292"/>
      <c r="AX487" s="292"/>
      <c r="AY487" s="292"/>
      <c r="AZ487" s="292"/>
      <c r="BA487" s="292"/>
      <c r="BB487" s="292"/>
      <c r="BC487" s="292"/>
      <c r="BD487" s="292"/>
      <c r="BE487" s="292"/>
      <c r="BF487" s="292"/>
      <c r="BG487" s="292"/>
      <c r="BH487" s="292"/>
      <c r="BI487" s="292"/>
      <c r="BJ487" s="292"/>
      <c r="BK487" s="292"/>
      <c r="BL487" s="292"/>
      <c r="BM487" s="292"/>
      <c r="BN487" s="292"/>
      <c r="BO487" s="292"/>
      <c r="BP487" s="292"/>
      <c r="BQ487" s="292"/>
      <c r="BR487" s="292"/>
      <c r="BS487" s="292"/>
      <c r="BT487" s="292"/>
      <c r="BU487" s="292"/>
      <c r="BV487" s="292"/>
      <c r="BW487" s="292"/>
    </row>
    <row r="488">
      <c r="A488" s="292"/>
      <c r="B488" s="292" t="str">
        <f>IFERROR(__xludf.DUMMYFUNCTION("""COMPUTED_VALUE"""),"")</f>
        <v/>
      </c>
      <c r="C488" s="292"/>
      <c r="D488" s="292" t="str">
        <f>IFERROR(__xludf.DUMMYFUNCTION("""COMPUTED_VALUE"""),"")</f>
        <v/>
      </c>
      <c r="E488" s="292" t="str">
        <f>IFERROR(__xludf.DUMMYFUNCTION("""COMPUTED_VALUE"""),"")</f>
        <v/>
      </c>
      <c r="F488" s="292"/>
      <c r="G488" s="292" t="str">
        <f>IFERROR(__xludf.DUMMYFUNCTION("""COMPUTED_VALUE"""),"")</f>
        <v/>
      </c>
      <c r="H488" s="292" t="str">
        <f>IFERROR(__xludf.DUMMYFUNCTION("""COMPUTED_VALUE"""),"")</f>
        <v/>
      </c>
      <c r="I488" s="292"/>
      <c r="J488" s="292"/>
      <c r="K488" s="292"/>
      <c r="L488" s="292"/>
      <c r="M488" s="292" t="str">
        <f>IFERROR(__xludf.DUMMYFUNCTION("""COMPUTED_VALUE"""),"")</f>
        <v/>
      </c>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c r="AK488" s="292"/>
      <c r="AL488" s="292"/>
      <c r="AM488" s="292"/>
      <c r="AN488" s="292"/>
      <c r="AO488" s="292"/>
      <c r="AP488" s="292"/>
      <c r="AQ488" s="292"/>
      <c r="AR488" s="292"/>
      <c r="AS488" s="292"/>
      <c r="AT488" s="292"/>
      <c r="AU488" s="292"/>
      <c r="AV488" s="292"/>
      <c r="AW488" s="292"/>
      <c r="AX488" s="292"/>
      <c r="AY488" s="292"/>
      <c r="AZ488" s="292"/>
      <c r="BA488" s="292"/>
      <c r="BB488" s="292"/>
      <c r="BC488" s="292"/>
      <c r="BD488" s="292"/>
      <c r="BE488" s="292"/>
      <c r="BF488" s="292"/>
      <c r="BG488" s="292"/>
      <c r="BH488" s="292"/>
      <c r="BI488" s="292"/>
      <c r="BJ488" s="292"/>
      <c r="BK488" s="292"/>
      <c r="BL488" s="292"/>
      <c r="BM488" s="292"/>
      <c r="BN488" s="292"/>
      <c r="BO488" s="292"/>
      <c r="BP488" s="292"/>
      <c r="BQ488" s="292"/>
      <c r="BR488" s="292"/>
      <c r="BS488" s="292"/>
      <c r="BT488" s="292"/>
      <c r="BU488" s="292"/>
      <c r="BV488" s="292"/>
      <c r="BW488" s="292"/>
    </row>
    <row r="489">
      <c r="A489" s="292"/>
      <c r="B489" s="292" t="str">
        <f>IFERROR(__xludf.DUMMYFUNCTION("""COMPUTED_VALUE"""),"")</f>
        <v/>
      </c>
      <c r="C489" s="292"/>
      <c r="D489" s="292" t="str">
        <f>IFERROR(__xludf.DUMMYFUNCTION("""COMPUTED_VALUE"""),"")</f>
        <v/>
      </c>
      <c r="E489" s="292" t="str">
        <f>IFERROR(__xludf.DUMMYFUNCTION("""COMPUTED_VALUE"""),"")</f>
        <v/>
      </c>
      <c r="F489" s="292"/>
      <c r="G489" s="292" t="str">
        <f>IFERROR(__xludf.DUMMYFUNCTION("""COMPUTED_VALUE"""),"")</f>
        <v/>
      </c>
      <c r="H489" s="292" t="str">
        <f>IFERROR(__xludf.DUMMYFUNCTION("""COMPUTED_VALUE"""),"")</f>
        <v/>
      </c>
      <c r="I489" s="292"/>
      <c r="J489" s="292"/>
      <c r="K489" s="292"/>
      <c r="L489" s="292"/>
      <c r="M489" s="292" t="str">
        <f>IFERROR(__xludf.DUMMYFUNCTION("""COMPUTED_VALUE"""),"")</f>
        <v/>
      </c>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c r="AK489" s="292"/>
      <c r="AL489" s="292"/>
      <c r="AM489" s="292"/>
      <c r="AN489" s="292"/>
      <c r="AO489" s="292"/>
      <c r="AP489" s="292"/>
      <c r="AQ489" s="292"/>
      <c r="AR489" s="292"/>
      <c r="AS489" s="292"/>
      <c r="AT489" s="292"/>
      <c r="AU489" s="292"/>
      <c r="AV489" s="292"/>
      <c r="AW489" s="292"/>
      <c r="AX489" s="292"/>
      <c r="AY489" s="292"/>
      <c r="AZ489" s="292"/>
      <c r="BA489" s="292"/>
      <c r="BB489" s="292"/>
      <c r="BC489" s="292"/>
      <c r="BD489" s="292"/>
      <c r="BE489" s="292"/>
      <c r="BF489" s="292"/>
      <c r="BG489" s="292"/>
      <c r="BH489" s="292"/>
      <c r="BI489" s="292"/>
      <c r="BJ489" s="292"/>
      <c r="BK489" s="292"/>
      <c r="BL489" s="292"/>
      <c r="BM489" s="292"/>
      <c r="BN489" s="292"/>
      <c r="BO489" s="292"/>
      <c r="BP489" s="292"/>
      <c r="BQ489" s="292"/>
      <c r="BR489" s="292"/>
      <c r="BS489" s="292"/>
      <c r="BT489" s="292"/>
      <c r="BU489" s="292"/>
      <c r="BV489" s="292"/>
      <c r="BW489" s="292"/>
    </row>
    <row r="490">
      <c r="A490" s="292"/>
      <c r="B490" s="292" t="str">
        <f>IFERROR(__xludf.DUMMYFUNCTION("""COMPUTED_VALUE"""),"")</f>
        <v/>
      </c>
      <c r="C490" s="292"/>
      <c r="D490" s="292" t="str">
        <f>IFERROR(__xludf.DUMMYFUNCTION("""COMPUTED_VALUE"""),"")</f>
        <v/>
      </c>
      <c r="E490" s="292" t="str">
        <f>IFERROR(__xludf.DUMMYFUNCTION("""COMPUTED_VALUE"""),"")</f>
        <v/>
      </c>
      <c r="F490" s="292"/>
      <c r="G490" s="292" t="str">
        <f>IFERROR(__xludf.DUMMYFUNCTION("""COMPUTED_VALUE"""),"")</f>
        <v/>
      </c>
      <c r="H490" s="292" t="str">
        <f>IFERROR(__xludf.DUMMYFUNCTION("""COMPUTED_VALUE"""),"")</f>
        <v/>
      </c>
      <c r="I490" s="292"/>
      <c r="J490" s="292"/>
      <c r="K490" s="292"/>
      <c r="L490" s="292"/>
      <c r="M490" s="292" t="str">
        <f>IFERROR(__xludf.DUMMYFUNCTION("""COMPUTED_VALUE"""),"")</f>
        <v/>
      </c>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c r="AK490" s="292"/>
      <c r="AL490" s="292"/>
      <c r="AM490" s="292"/>
      <c r="AN490" s="292"/>
      <c r="AO490" s="292"/>
      <c r="AP490" s="292"/>
      <c r="AQ490" s="292"/>
      <c r="AR490" s="292"/>
      <c r="AS490" s="292"/>
      <c r="AT490" s="292"/>
      <c r="AU490" s="292"/>
      <c r="AV490" s="292"/>
      <c r="AW490" s="292"/>
      <c r="AX490" s="292"/>
      <c r="AY490" s="292"/>
      <c r="AZ490" s="292"/>
      <c r="BA490" s="292"/>
      <c r="BB490" s="292"/>
      <c r="BC490" s="292"/>
      <c r="BD490" s="292"/>
      <c r="BE490" s="292"/>
      <c r="BF490" s="292"/>
      <c r="BG490" s="292"/>
      <c r="BH490" s="292"/>
      <c r="BI490" s="292"/>
      <c r="BJ490" s="292"/>
      <c r="BK490" s="292"/>
      <c r="BL490" s="292"/>
      <c r="BM490" s="292"/>
      <c r="BN490" s="292"/>
      <c r="BO490" s="292"/>
      <c r="BP490" s="292"/>
      <c r="BQ490" s="292"/>
      <c r="BR490" s="292"/>
      <c r="BS490" s="292"/>
      <c r="BT490" s="292"/>
      <c r="BU490" s="292"/>
      <c r="BV490" s="292"/>
      <c r="BW490" s="292"/>
    </row>
    <row r="491">
      <c r="A491" s="292"/>
      <c r="B491" s="292" t="str">
        <f>IFERROR(__xludf.DUMMYFUNCTION("""COMPUTED_VALUE"""),"")</f>
        <v/>
      </c>
      <c r="C491" s="292"/>
      <c r="D491" s="292" t="str">
        <f>IFERROR(__xludf.DUMMYFUNCTION("""COMPUTED_VALUE"""),"")</f>
        <v/>
      </c>
      <c r="E491" s="292" t="str">
        <f>IFERROR(__xludf.DUMMYFUNCTION("""COMPUTED_VALUE"""),"")</f>
        <v/>
      </c>
      <c r="F491" s="292"/>
      <c r="G491" s="292" t="str">
        <f>IFERROR(__xludf.DUMMYFUNCTION("""COMPUTED_VALUE"""),"")</f>
        <v/>
      </c>
      <c r="H491" s="292" t="str">
        <f>IFERROR(__xludf.DUMMYFUNCTION("""COMPUTED_VALUE"""),"")</f>
        <v/>
      </c>
      <c r="I491" s="292"/>
      <c r="J491" s="292"/>
      <c r="K491" s="292"/>
      <c r="L491" s="292"/>
      <c r="M491" s="292" t="str">
        <f>IFERROR(__xludf.DUMMYFUNCTION("""COMPUTED_VALUE"""),"")</f>
        <v/>
      </c>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c r="AK491" s="292"/>
      <c r="AL491" s="292"/>
      <c r="AM491" s="292"/>
      <c r="AN491" s="292"/>
      <c r="AO491" s="292"/>
      <c r="AP491" s="292"/>
      <c r="AQ491" s="292"/>
      <c r="AR491" s="292"/>
      <c r="AS491" s="292"/>
      <c r="AT491" s="292"/>
      <c r="AU491" s="292"/>
      <c r="AV491" s="292"/>
      <c r="AW491" s="292"/>
      <c r="AX491" s="292"/>
      <c r="AY491" s="292"/>
      <c r="AZ491" s="292"/>
      <c r="BA491" s="292"/>
      <c r="BB491" s="292"/>
      <c r="BC491" s="292"/>
      <c r="BD491" s="292"/>
      <c r="BE491" s="292"/>
      <c r="BF491" s="292"/>
      <c r="BG491" s="292"/>
      <c r="BH491" s="292"/>
      <c r="BI491" s="292"/>
      <c r="BJ491" s="292"/>
      <c r="BK491" s="292"/>
      <c r="BL491" s="292"/>
      <c r="BM491" s="292"/>
      <c r="BN491" s="292"/>
      <c r="BO491" s="292"/>
      <c r="BP491" s="292"/>
      <c r="BQ491" s="292"/>
      <c r="BR491" s="292"/>
      <c r="BS491" s="292"/>
      <c r="BT491" s="292"/>
      <c r="BU491" s="292"/>
      <c r="BV491" s="292"/>
      <c r="BW491" s="292"/>
    </row>
    <row r="492">
      <c r="A492" s="292"/>
      <c r="B492" s="292" t="str">
        <f>IFERROR(__xludf.DUMMYFUNCTION("""COMPUTED_VALUE"""),"")</f>
        <v/>
      </c>
      <c r="C492" s="292"/>
      <c r="D492" s="292" t="str">
        <f>IFERROR(__xludf.DUMMYFUNCTION("""COMPUTED_VALUE"""),"")</f>
        <v/>
      </c>
      <c r="E492" s="292" t="str">
        <f>IFERROR(__xludf.DUMMYFUNCTION("""COMPUTED_VALUE"""),"")</f>
        <v/>
      </c>
      <c r="F492" s="292"/>
      <c r="G492" s="292" t="str">
        <f>IFERROR(__xludf.DUMMYFUNCTION("""COMPUTED_VALUE"""),"")</f>
        <v/>
      </c>
      <c r="H492" s="292" t="str">
        <f>IFERROR(__xludf.DUMMYFUNCTION("""COMPUTED_VALUE"""),"")</f>
        <v/>
      </c>
      <c r="I492" s="292"/>
      <c r="J492" s="292"/>
      <c r="K492" s="292"/>
      <c r="L492" s="292"/>
      <c r="M492" s="292" t="str">
        <f>IFERROR(__xludf.DUMMYFUNCTION("""COMPUTED_VALUE"""),"")</f>
        <v/>
      </c>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c r="AK492" s="292"/>
      <c r="AL492" s="292"/>
      <c r="AM492" s="292"/>
      <c r="AN492" s="292"/>
      <c r="AO492" s="292"/>
      <c r="AP492" s="292"/>
      <c r="AQ492" s="292"/>
      <c r="AR492" s="292"/>
      <c r="AS492" s="292"/>
      <c r="AT492" s="292"/>
      <c r="AU492" s="292"/>
      <c r="AV492" s="292"/>
      <c r="AW492" s="292"/>
      <c r="AX492" s="292"/>
      <c r="AY492" s="292"/>
      <c r="AZ492" s="292"/>
      <c r="BA492" s="292"/>
      <c r="BB492" s="292"/>
      <c r="BC492" s="292"/>
      <c r="BD492" s="292"/>
      <c r="BE492" s="292"/>
      <c r="BF492" s="292"/>
      <c r="BG492" s="292"/>
      <c r="BH492" s="292"/>
      <c r="BI492" s="292"/>
      <c r="BJ492" s="292"/>
      <c r="BK492" s="292"/>
      <c r="BL492" s="292"/>
      <c r="BM492" s="292"/>
      <c r="BN492" s="292"/>
      <c r="BO492" s="292"/>
      <c r="BP492" s="292"/>
      <c r="BQ492" s="292"/>
      <c r="BR492" s="292"/>
      <c r="BS492" s="292"/>
      <c r="BT492" s="292"/>
      <c r="BU492" s="292"/>
      <c r="BV492" s="292"/>
      <c r="BW492" s="292"/>
    </row>
    <row r="493">
      <c r="A493" s="292"/>
      <c r="B493" s="292" t="str">
        <f>IFERROR(__xludf.DUMMYFUNCTION("""COMPUTED_VALUE"""),"")</f>
        <v/>
      </c>
      <c r="C493" s="292"/>
      <c r="D493" s="292" t="str">
        <f>IFERROR(__xludf.DUMMYFUNCTION("""COMPUTED_VALUE"""),"")</f>
        <v/>
      </c>
      <c r="E493" s="292" t="str">
        <f>IFERROR(__xludf.DUMMYFUNCTION("""COMPUTED_VALUE"""),"")</f>
        <v/>
      </c>
      <c r="F493" s="292"/>
      <c r="G493" s="292" t="str">
        <f>IFERROR(__xludf.DUMMYFUNCTION("""COMPUTED_VALUE"""),"")</f>
        <v/>
      </c>
      <c r="H493" s="292" t="str">
        <f>IFERROR(__xludf.DUMMYFUNCTION("""COMPUTED_VALUE"""),"")</f>
        <v/>
      </c>
      <c r="I493" s="292"/>
      <c r="J493" s="292"/>
      <c r="K493" s="292"/>
      <c r="L493" s="292"/>
      <c r="M493" s="292" t="str">
        <f>IFERROR(__xludf.DUMMYFUNCTION("""COMPUTED_VALUE"""),"")</f>
        <v/>
      </c>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c r="AK493" s="292"/>
      <c r="AL493" s="292"/>
      <c r="AM493" s="292"/>
      <c r="AN493" s="292"/>
      <c r="AO493" s="292"/>
      <c r="AP493" s="292"/>
      <c r="AQ493" s="292"/>
      <c r="AR493" s="292"/>
      <c r="AS493" s="292"/>
      <c r="AT493" s="292"/>
      <c r="AU493" s="292"/>
      <c r="AV493" s="292"/>
      <c r="AW493" s="292"/>
      <c r="AX493" s="292"/>
      <c r="AY493" s="292"/>
      <c r="AZ493" s="292"/>
      <c r="BA493" s="292"/>
      <c r="BB493" s="292"/>
      <c r="BC493" s="292"/>
      <c r="BD493" s="292"/>
      <c r="BE493" s="292"/>
      <c r="BF493" s="292"/>
      <c r="BG493" s="292"/>
      <c r="BH493" s="292"/>
      <c r="BI493" s="292"/>
      <c r="BJ493" s="292"/>
      <c r="BK493" s="292"/>
      <c r="BL493" s="292"/>
      <c r="BM493" s="292"/>
      <c r="BN493" s="292"/>
      <c r="BO493" s="292"/>
      <c r="BP493" s="292"/>
      <c r="BQ493" s="292"/>
      <c r="BR493" s="292"/>
      <c r="BS493" s="292"/>
      <c r="BT493" s="292"/>
      <c r="BU493" s="292"/>
      <c r="BV493" s="292"/>
      <c r="BW493" s="292"/>
    </row>
    <row r="494">
      <c r="A494" s="292"/>
      <c r="B494" s="292" t="str">
        <f>IFERROR(__xludf.DUMMYFUNCTION("""COMPUTED_VALUE"""),"")</f>
        <v/>
      </c>
      <c r="C494" s="292"/>
      <c r="D494" s="292" t="str">
        <f>IFERROR(__xludf.DUMMYFUNCTION("""COMPUTED_VALUE"""),"")</f>
        <v/>
      </c>
      <c r="E494" s="292" t="str">
        <f>IFERROR(__xludf.DUMMYFUNCTION("""COMPUTED_VALUE"""),"")</f>
        <v/>
      </c>
      <c r="F494" s="292"/>
      <c r="G494" s="292" t="str">
        <f>IFERROR(__xludf.DUMMYFUNCTION("""COMPUTED_VALUE"""),"")</f>
        <v/>
      </c>
      <c r="H494" s="292" t="str">
        <f>IFERROR(__xludf.DUMMYFUNCTION("""COMPUTED_VALUE"""),"")</f>
        <v/>
      </c>
      <c r="I494" s="292"/>
      <c r="J494" s="292"/>
      <c r="K494" s="292"/>
      <c r="L494" s="292"/>
      <c r="M494" s="292" t="str">
        <f>IFERROR(__xludf.DUMMYFUNCTION("""COMPUTED_VALUE"""),"")</f>
        <v/>
      </c>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c r="AK494" s="292"/>
      <c r="AL494" s="292"/>
      <c r="AM494" s="292"/>
      <c r="AN494" s="292"/>
      <c r="AO494" s="292"/>
      <c r="AP494" s="292"/>
      <c r="AQ494" s="292"/>
      <c r="AR494" s="292"/>
      <c r="AS494" s="292"/>
      <c r="AT494" s="292"/>
      <c r="AU494" s="292"/>
      <c r="AV494" s="292"/>
      <c r="AW494" s="292"/>
      <c r="AX494" s="292"/>
      <c r="AY494" s="292"/>
      <c r="AZ494" s="292"/>
      <c r="BA494" s="292"/>
      <c r="BB494" s="292"/>
      <c r="BC494" s="292"/>
      <c r="BD494" s="292"/>
      <c r="BE494" s="292"/>
      <c r="BF494" s="292"/>
      <c r="BG494" s="292"/>
      <c r="BH494" s="292"/>
      <c r="BI494" s="292"/>
      <c r="BJ494" s="292"/>
      <c r="BK494" s="292"/>
      <c r="BL494" s="292"/>
      <c r="BM494" s="292"/>
      <c r="BN494" s="292"/>
      <c r="BO494" s="292"/>
      <c r="BP494" s="292"/>
      <c r="BQ494" s="292"/>
      <c r="BR494" s="292"/>
      <c r="BS494" s="292"/>
      <c r="BT494" s="292"/>
      <c r="BU494" s="292"/>
      <c r="BV494" s="292"/>
      <c r="BW494" s="292"/>
    </row>
    <row r="495">
      <c r="A495" s="292"/>
      <c r="B495" s="292" t="str">
        <f>IFERROR(__xludf.DUMMYFUNCTION("""COMPUTED_VALUE"""),"")</f>
        <v/>
      </c>
      <c r="C495" s="292"/>
      <c r="D495" s="292" t="str">
        <f>IFERROR(__xludf.DUMMYFUNCTION("""COMPUTED_VALUE"""),"")</f>
        <v/>
      </c>
      <c r="E495" s="292" t="str">
        <f>IFERROR(__xludf.DUMMYFUNCTION("""COMPUTED_VALUE"""),"")</f>
        <v/>
      </c>
      <c r="F495" s="292"/>
      <c r="G495" s="292" t="str">
        <f>IFERROR(__xludf.DUMMYFUNCTION("""COMPUTED_VALUE"""),"")</f>
        <v/>
      </c>
      <c r="H495" s="292" t="str">
        <f>IFERROR(__xludf.DUMMYFUNCTION("""COMPUTED_VALUE"""),"")</f>
        <v/>
      </c>
      <c r="I495" s="292"/>
      <c r="J495" s="292"/>
      <c r="K495" s="292"/>
      <c r="L495" s="292"/>
      <c r="M495" s="292" t="str">
        <f>IFERROR(__xludf.DUMMYFUNCTION("""COMPUTED_VALUE"""),"")</f>
        <v/>
      </c>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c r="AK495" s="292"/>
      <c r="AL495" s="292"/>
      <c r="AM495" s="292"/>
      <c r="AN495" s="292"/>
      <c r="AO495" s="292"/>
      <c r="AP495" s="292"/>
      <c r="AQ495" s="292"/>
      <c r="AR495" s="292"/>
      <c r="AS495" s="292"/>
      <c r="AT495" s="292"/>
      <c r="AU495" s="292"/>
      <c r="AV495" s="292"/>
      <c r="AW495" s="292"/>
      <c r="AX495" s="292"/>
      <c r="AY495" s="292"/>
      <c r="AZ495" s="292"/>
      <c r="BA495" s="292"/>
      <c r="BB495" s="292"/>
      <c r="BC495" s="292"/>
      <c r="BD495" s="292"/>
      <c r="BE495" s="292"/>
      <c r="BF495" s="292"/>
      <c r="BG495" s="292"/>
      <c r="BH495" s="292"/>
      <c r="BI495" s="292"/>
      <c r="BJ495" s="292"/>
      <c r="BK495" s="292"/>
      <c r="BL495" s="292"/>
      <c r="BM495" s="292"/>
      <c r="BN495" s="292"/>
      <c r="BO495" s="292"/>
      <c r="BP495" s="292"/>
      <c r="BQ495" s="292"/>
      <c r="BR495" s="292"/>
      <c r="BS495" s="292"/>
      <c r="BT495" s="292"/>
      <c r="BU495" s="292"/>
      <c r="BV495" s="292"/>
      <c r="BW495" s="292"/>
    </row>
    <row r="496">
      <c r="A496" s="292"/>
      <c r="B496" s="292" t="str">
        <f>IFERROR(__xludf.DUMMYFUNCTION("""COMPUTED_VALUE"""),"")</f>
        <v/>
      </c>
      <c r="C496" s="292"/>
      <c r="D496" s="292" t="str">
        <f>IFERROR(__xludf.DUMMYFUNCTION("""COMPUTED_VALUE"""),"")</f>
        <v/>
      </c>
      <c r="E496" s="292" t="str">
        <f>IFERROR(__xludf.DUMMYFUNCTION("""COMPUTED_VALUE"""),"")</f>
        <v/>
      </c>
      <c r="F496" s="292"/>
      <c r="G496" s="292" t="str">
        <f>IFERROR(__xludf.DUMMYFUNCTION("""COMPUTED_VALUE"""),"")</f>
        <v/>
      </c>
      <c r="H496" s="292" t="str">
        <f>IFERROR(__xludf.DUMMYFUNCTION("""COMPUTED_VALUE"""),"")</f>
        <v/>
      </c>
      <c r="I496" s="292"/>
      <c r="J496" s="292"/>
      <c r="K496" s="292"/>
      <c r="L496" s="292"/>
      <c r="M496" s="292" t="str">
        <f>IFERROR(__xludf.DUMMYFUNCTION("""COMPUTED_VALUE"""),"")</f>
        <v/>
      </c>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c r="AK496" s="292"/>
      <c r="AL496" s="292"/>
      <c r="AM496" s="292"/>
      <c r="AN496" s="292"/>
      <c r="AO496" s="292"/>
      <c r="AP496" s="292"/>
      <c r="AQ496" s="292"/>
      <c r="AR496" s="292"/>
      <c r="AS496" s="292"/>
      <c r="AT496" s="292"/>
      <c r="AU496" s="292"/>
      <c r="AV496" s="292"/>
      <c r="AW496" s="292"/>
      <c r="AX496" s="292"/>
      <c r="AY496" s="292"/>
      <c r="AZ496" s="292"/>
      <c r="BA496" s="292"/>
      <c r="BB496" s="292"/>
      <c r="BC496" s="292"/>
      <c r="BD496" s="292"/>
      <c r="BE496" s="292"/>
      <c r="BF496" s="292"/>
      <c r="BG496" s="292"/>
      <c r="BH496" s="292"/>
      <c r="BI496" s="292"/>
      <c r="BJ496" s="292"/>
      <c r="BK496" s="292"/>
      <c r="BL496" s="292"/>
      <c r="BM496" s="292"/>
      <c r="BN496" s="292"/>
      <c r="BO496" s="292"/>
      <c r="BP496" s="292"/>
      <c r="BQ496" s="292"/>
      <c r="BR496" s="292"/>
      <c r="BS496" s="292"/>
      <c r="BT496" s="292"/>
      <c r="BU496" s="292"/>
      <c r="BV496" s="292"/>
      <c r="BW496" s="292"/>
    </row>
    <row r="497">
      <c r="A497" s="292"/>
      <c r="B497" s="292" t="str">
        <f>IFERROR(__xludf.DUMMYFUNCTION("""COMPUTED_VALUE"""),"")</f>
        <v/>
      </c>
      <c r="C497" s="292"/>
      <c r="D497" s="292" t="str">
        <f>IFERROR(__xludf.DUMMYFUNCTION("""COMPUTED_VALUE"""),"")</f>
        <v/>
      </c>
      <c r="E497" s="292" t="str">
        <f>IFERROR(__xludf.DUMMYFUNCTION("""COMPUTED_VALUE"""),"")</f>
        <v/>
      </c>
      <c r="F497" s="292"/>
      <c r="G497" s="292" t="str">
        <f>IFERROR(__xludf.DUMMYFUNCTION("""COMPUTED_VALUE"""),"")</f>
        <v/>
      </c>
      <c r="H497" s="292" t="str">
        <f>IFERROR(__xludf.DUMMYFUNCTION("""COMPUTED_VALUE"""),"")</f>
        <v/>
      </c>
      <c r="I497" s="292"/>
      <c r="J497" s="292"/>
      <c r="K497" s="292"/>
      <c r="L497" s="292"/>
      <c r="M497" s="292" t="str">
        <f>IFERROR(__xludf.DUMMYFUNCTION("""COMPUTED_VALUE"""),"")</f>
        <v/>
      </c>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c r="AK497" s="292"/>
      <c r="AL497" s="292"/>
      <c r="AM497" s="292"/>
      <c r="AN497" s="292"/>
      <c r="AO497" s="292"/>
      <c r="AP497" s="292"/>
      <c r="AQ497" s="292"/>
      <c r="AR497" s="292"/>
      <c r="AS497" s="292"/>
      <c r="AT497" s="292"/>
      <c r="AU497" s="292"/>
      <c r="AV497" s="292"/>
      <c r="AW497" s="292"/>
      <c r="AX497" s="292"/>
      <c r="AY497" s="292"/>
      <c r="AZ497" s="292"/>
      <c r="BA497" s="292"/>
      <c r="BB497" s="292"/>
      <c r="BC497" s="292"/>
      <c r="BD497" s="292"/>
      <c r="BE497" s="292"/>
      <c r="BF497" s="292"/>
      <c r="BG497" s="292"/>
      <c r="BH497" s="292"/>
      <c r="BI497" s="292"/>
      <c r="BJ497" s="292"/>
      <c r="BK497" s="292"/>
      <c r="BL497" s="292"/>
      <c r="BM497" s="292"/>
      <c r="BN497" s="292"/>
      <c r="BO497" s="292"/>
      <c r="BP497" s="292"/>
      <c r="BQ497" s="292"/>
      <c r="BR497" s="292"/>
      <c r="BS497" s="292"/>
      <c r="BT497" s="292"/>
      <c r="BU497" s="292"/>
      <c r="BV497" s="292"/>
      <c r="BW497" s="292"/>
    </row>
    <row r="498">
      <c r="A498" s="292"/>
      <c r="B498" s="292" t="str">
        <f>IFERROR(__xludf.DUMMYFUNCTION("""COMPUTED_VALUE"""),"")</f>
        <v/>
      </c>
      <c r="C498" s="292"/>
      <c r="D498" s="292" t="str">
        <f>IFERROR(__xludf.DUMMYFUNCTION("""COMPUTED_VALUE"""),"")</f>
        <v/>
      </c>
      <c r="E498" s="292" t="str">
        <f>IFERROR(__xludf.DUMMYFUNCTION("""COMPUTED_VALUE"""),"")</f>
        <v/>
      </c>
      <c r="F498" s="292"/>
      <c r="G498" s="292" t="str">
        <f>IFERROR(__xludf.DUMMYFUNCTION("""COMPUTED_VALUE"""),"")</f>
        <v/>
      </c>
      <c r="H498" s="292" t="str">
        <f>IFERROR(__xludf.DUMMYFUNCTION("""COMPUTED_VALUE"""),"")</f>
        <v/>
      </c>
      <c r="I498" s="292"/>
      <c r="J498" s="292"/>
      <c r="K498" s="292"/>
      <c r="L498" s="292"/>
      <c r="M498" s="292" t="str">
        <f>IFERROR(__xludf.DUMMYFUNCTION("""COMPUTED_VALUE"""),"")</f>
        <v/>
      </c>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c r="AK498" s="292"/>
      <c r="AL498" s="292"/>
      <c r="AM498" s="292"/>
      <c r="AN498" s="292"/>
      <c r="AO498" s="292"/>
      <c r="AP498" s="292"/>
      <c r="AQ498" s="292"/>
      <c r="AR498" s="292"/>
      <c r="AS498" s="292"/>
      <c r="AT498" s="292"/>
      <c r="AU498" s="292"/>
      <c r="AV498" s="292"/>
      <c r="AW498" s="292"/>
      <c r="AX498" s="292"/>
      <c r="AY498" s="292"/>
      <c r="AZ498" s="292"/>
      <c r="BA498" s="292"/>
      <c r="BB498" s="292"/>
      <c r="BC498" s="292"/>
      <c r="BD498" s="292"/>
      <c r="BE498" s="292"/>
      <c r="BF498" s="292"/>
      <c r="BG498" s="292"/>
      <c r="BH498" s="292"/>
      <c r="BI498" s="292"/>
      <c r="BJ498" s="292"/>
      <c r="BK498" s="292"/>
      <c r="BL498" s="292"/>
      <c r="BM498" s="292"/>
      <c r="BN498" s="292"/>
      <c r="BO498" s="292"/>
      <c r="BP498" s="292"/>
      <c r="BQ498" s="292"/>
      <c r="BR498" s="292"/>
      <c r="BS498" s="292"/>
      <c r="BT498" s="292"/>
      <c r="BU498" s="292"/>
      <c r="BV498" s="292"/>
      <c r="BW498" s="292"/>
    </row>
    <row r="499">
      <c r="A499" s="292"/>
      <c r="B499" s="292" t="str">
        <f>IFERROR(__xludf.DUMMYFUNCTION("""COMPUTED_VALUE"""),"")</f>
        <v/>
      </c>
      <c r="C499" s="292"/>
      <c r="D499" s="292" t="str">
        <f>IFERROR(__xludf.DUMMYFUNCTION("""COMPUTED_VALUE"""),"")</f>
        <v/>
      </c>
      <c r="E499" s="292" t="str">
        <f>IFERROR(__xludf.DUMMYFUNCTION("""COMPUTED_VALUE"""),"")</f>
        <v/>
      </c>
      <c r="F499" s="292"/>
      <c r="G499" s="292" t="str">
        <f>IFERROR(__xludf.DUMMYFUNCTION("""COMPUTED_VALUE"""),"")</f>
        <v/>
      </c>
      <c r="H499" s="292" t="str">
        <f>IFERROR(__xludf.DUMMYFUNCTION("""COMPUTED_VALUE"""),"")</f>
        <v/>
      </c>
      <c r="I499" s="292"/>
      <c r="J499" s="292"/>
      <c r="K499" s="292"/>
      <c r="L499" s="292"/>
      <c r="M499" s="292" t="str">
        <f>IFERROR(__xludf.DUMMYFUNCTION("""COMPUTED_VALUE"""),"")</f>
        <v/>
      </c>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c r="AK499" s="292"/>
      <c r="AL499" s="292"/>
      <c r="AM499" s="292"/>
      <c r="AN499" s="292"/>
      <c r="AO499" s="292"/>
      <c r="AP499" s="292"/>
      <c r="AQ499" s="292"/>
      <c r="AR499" s="292"/>
      <c r="AS499" s="292"/>
      <c r="AT499" s="292"/>
      <c r="AU499" s="292"/>
      <c r="AV499" s="292"/>
      <c r="AW499" s="292"/>
      <c r="AX499" s="292"/>
      <c r="AY499" s="292"/>
      <c r="AZ499" s="292"/>
      <c r="BA499" s="292"/>
      <c r="BB499" s="292"/>
      <c r="BC499" s="292"/>
      <c r="BD499" s="292"/>
      <c r="BE499" s="292"/>
      <c r="BF499" s="292"/>
      <c r="BG499" s="292"/>
      <c r="BH499" s="292"/>
      <c r="BI499" s="292"/>
      <c r="BJ499" s="292"/>
      <c r="BK499" s="292"/>
      <c r="BL499" s="292"/>
      <c r="BM499" s="292"/>
      <c r="BN499" s="292"/>
      <c r="BO499" s="292"/>
      <c r="BP499" s="292"/>
      <c r="BQ499" s="292"/>
      <c r="BR499" s="292"/>
      <c r="BS499" s="292"/>
      <c r="BT499" s="292"/>
      <c r="BU499" s="292"/>
      <c r="BV499" s="292"/>
      <c r="BW499" s="292"/>
    </row>
    <row r="500">
      <c r="A500" s="292"/>
      <c r="B500" s="292" t="str">
        <f>IFERROR(__xludf.DUMMYFUNCTION("""COMPUTED_VALUE"""),"")</f>
        <v/>
      </c>
      <c r="C500" s="292"/>
      <c r="D500" s="292" t="str">
        <f>IFERROR(__xludf.DUMMYFUNCTION("""COMPUTED_VALUE"""),"")</f>
        <v/>
      </c>
      <c r="E500" s="292" t="str">
        <f>IFERROR(__xludf.DUMMYFUNCTION("""COMPUTED_VALUE"""),"")</f>
        <v/>
      </c>
      <c r="F500" s="292"/>
      <c r="G500" s="292" t="str">
        <f>IFERROR(__xludf.DUMMYFUNCTION("""COMPUTED_VALUE"""),"")</f>
        <v/>
      </c>
      <c r="H500" s="292" t="str">
        <f>IFERROR(__xludf.DUMMYFUNCTION("""COMPUTED_VALUE"""),"")</f>
        <v/>
      </c>
      <c r="I500" s="292"/>
      <c r="J500" s="292"/>
      <c r="K500" s="292"/>
      <c r="L500" s="292"/>
      <c r="M500" s="292" t="str">
        <f>IFERROR(__xludf.DUMMYFUNCTION("""COMPUTED_VALUE"""),"")</f>
        <v/>
      </c>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c r="AK500" s="292"/>
      <c r="AL500" s="292"/>
      <c r="AM500" s="292"/>
      <c r="AN500" s="292"/>
      <c r="AO500" s="292"/>
      <c r="AP500" s="292"/>
      <c r="AQ500" s="292"/>
      <c r="AR500" s="292"/>
      <c r="AS500" s="292"/>
      <c r="AT500" s="292"/>
      <c r="AU500" s="292"/>
      <c r="AV500" s="292"/>
      <c r="AW500" s="292"/>
      <c r="AX500" s="292"/>
      <c r="AY500" s="292"/>
      <c r="AZ500" s="292"/>
      <c r="BA500" s="292"/>
      <c r="BB500" s="292"/>
      <c r="BC500" s="292"/>
      <c r="BD500" s="292"/>
      <c r="BE500" s="292"/>
      <c r="BF500" s="292"/>
      <c r="BG500" s="292"/>
      <c r="BH500" s="292"/>
      <c r="BI500" s="292"/>
      <c r="BJ500" s="292"/>
      <c r="BK500" s="292"/>
      <c r="BL500" s="292"/>
      <c r="BM500" s="292"/>
      <c r="BN500" s="292"/>
      <c r="BO500" s="292"/>
      <c r="BP500" s="292"/>
      <c r="BQ500" s="292"/>
      <c r="BR500" s="292"/>
      <c r="BS500" s="292"/>
      <c r="BT500" s="292"/>
      <c r="BU500" s="292"/>
      <c r="BV500" s="292"/>
      <c r="BW500" s="292"/>
    </row>
    <row r="501">
      <c r="A501" s="292"/>
      <c r="B501" s="292" t="str">
        <f>IFERROR(__xludf.DUMMYFUNCTION("""COMPUTED_VALUE"""),"")</f>
        <v/>
      </c>
      <c r="C501" s="292"/>
      <c r="D501" s="292" t="str">
        <f>IFERROR(__xludf.DUMMYFUNCTION("""COMPUTED_VALUE"""),"")</f>
        <v/>
      </c>
      <c r="E501" s="292" t="str">
        <f>IFERROR(__xludf.DUMMYFUNCTION("""COMPUTED_VALUE"""),"")</f>
        <v/>
      </c>
      <c r="F501" s="292"/>
      <c r="G501" s="292" t="str">
        <f>IFERROR(__xludf.DUMMYFUNCTION("""COMPUTED_VALUE"""),"")</f>
        <v/>
      </c>
      <c r="H501" s="292" t="str">
        <f>IFERROR(__xludf.DUMMYFUNCTION("""COMPUTED_VALUE"""),"")</f>
        <v/>
      </c>
      <c r="I501" s="292"/>
      <c r="J501" s="292"/>
      <c r="K501" s="292"/>
      <c r="L501" s="292"/>
      <c r="M501" s="292" t="str">
        <f>IFERROR(__xludf.DUMMYFUNCTION("""COMPUTED_VALUE"""),"")</f>
        <v/>
      </c>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c r="AK501" s="292"/>
      <c r="AL501" s="292"/>
      <c r="AM501" s="292"/>
      <c r="AN501" s="292"/>
      <c r="AO501" s="292"/>
      <c r="AP501" s="292"/>
      <c r="AQ501" s="292"/>
      <c r="AR501" s="292"/>
      <c r="AS501" s="292"/>
      <c r="AT501" s="292"/>
      <c r="AU501" s="292"/>
      <c r="AV501" s="292"/>
      <c r="AW501" s="292"/>
      <c r="AX501" s="292"/>
      <c r="AY501" s="292"/>
      <c r="AZ501" s="292"/>
      <c r="BA501" s="292"/>
      <c r="BB501" s="292"/>
      <c r="BC501" s="292"/>
      <c r="BD501" s="292"/>
      <c r="BE501" s="292"/>
      <c r="BF501" s="292"/>
      <c r="BG501" s="292"/>
      <c r="BH501" s="292"/>
      <c r="BI501" s="292"/>
      <c r="BJ501" s="292"/>
      <c r="BK501" s="292"/>
      <c r="BL501" s="292"/>
      <c r="BM501" s="292"/>
      <c r="BN501" s="292"/>
      <c r="BO501" s="292"/>
      <c r="BP501" s="292"/>
      <c r="BQ501" s="292"/>
      <c r="BR501" s="292"/>
      <c r="BS501" s="292"/>
      <c r="BT501" s="292"/>
      <c r="BU501" s="292"/>
      <c r="BV501" s="292"/>
      <c r="BW501" s="292"/>
    </row>
    <row r="502">
      <c r="A502" s="292"/>
      <c r="B502" s="292" t="str">
        <f>IFERROR(__xludf.DUMMYFUNCTION("""COMPUTED_VALUE"""),"")</f>
        <v/>
      </c>
      <c r="C502" s="292"/>
      <c r="D502" s="292" t="str">
        <f>IFERROR(__xludf.DUMMYFUNCTION("""COMPUTED_VALUE"""),"")</f>
        <v/>
      </c>
      <c r="E502" s="292" t="str">
        <f>IFERROR(__xludf.DUMMYFUNCTION("""COMPUTED_VALUE"""),"")</f>
        <v/>
      </c>
      <c r="F502" s="292"/>
      <c r="G502" s="292" t="str">
        <f>IFERROR(__xludf.DUMMYFUNCTION("""COMPUTED_VALUE"""),"")</f>
        <v/>
      </c>
      <c r="H502" s="292" t="str">
        <f>IFERROR(__xludf.DUMMYFUNCTION("""COMPUTED_VALUE"""),"")</f>
        <v/>
      </c>
      <c r="I502" s="292"/>
      <c r="J502" s="292"/>
      <c r="K502" s="292"/>
      <c r="L502" s="292"/>
      <c r="M502" s="292" t="str">
        <f>IFERROR(__xludf.DUMMYFUNCTION("""COMPUTED_VALUE"""),"")</f>
        <v/>
      </c>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c r="AK502" s="292"/>
      <c r="AL502" s="292"/>
      <c r="AM502" s="292"/>
      <c r="AN502" s="292"/>
      <c r="AO502" s="292"/>
      <c r="AP502" s="292"/>
      <c r="AQ502" s="292"/>
      <c r="AR502" s="292"/>
      <c r="AS502" s="292"/>
      <c r="AT502" s="292"/>
      <c r="AU502" s="292"/>
      <c r="AV502" s="292"/>
      <c r="AW502" s="292"/>
      <c r="AX502" s="292"/>
      <c r="AY502" s="292"/>
      <c r="AZ502" s="292"/>
      <c r="BA502" s="292"/>
      <c r="BB502" s="292"/>
      <c r="BC502" s="292"/>
      <c r="BD502" s="292"/>
      <c r="BE502" s="292"/>
      <c r="BF502" s="292"/>
      <c r="BG502" s="292"/>
      <c r="BH502" s="292"/>
      <c r="BI502" s="292"/>
      <c r="BJ502" s="292"/>
      <c r="BK502" s="292"/>
      <c r="BL502" s="292"/>
      <c r="BM502" s="292"/>
      <c r="BN502" s="292"/>
      <c r="BO502" s="292"/>
      <c r="BP502" s="292"/>
      <c r="BQ502" s="292"/>
      <c r="BR502" s="292"/>
      <c r="BS502" s="292"/>
      <c r="BT502" s="292"/>
      <c r="BU502" s="292"/>
      <c r="BV502" s="292"/>
      <c r="BW502" s="292"/>
    </row>
    <row r="503">
      <c r="A503" s="292"/>
      <c r="B503" s="292" t="str">
        <f>IFERROR(__xludf.DUMMYFUNCTION("""COMPUTED_VALUE"""),"")</f>
        <v/>
      </c>
      <c r="C503" s="292"/>
      <c r="D503" s="292" t="str">
        <f>IFERROR(__xludf.DUMMYFUNCTION("""COMPUTED_VALUE"""),"")</f>
        <v/>
      </c>
      <c r="E503" s="292" t="str">
        <f>IFERROR(__xludf.DUMMYFUNCTION("""COMPUTED_VALUE"""),"")</f>
        <v/>
      </c>
      <c r="F503" s="292"/>
      <c r="G503" s="292" t="str">
        <f>IFERROR(__xludf.DUMMYFUNCTION("""COMPUTED_VALUE"""),"")</f>
        <v/>
      </c>
      <c r="H503" s="292" t="str">
        <f>IFERROR(__xludf.DUMMYFUNCTION("""COMPUTED_VALUE"""),"")</f>
        <v/>
      </c>
      <c r="I503" s="292"/>
      <c r="J503" s="292"/>
      <c r="K503" s="292"/>
      <c r="L503" s="292"/>
      <c r="M503" s="292" t="str">
        <f>IFERROR(__xludf.DUMMYFUNCTION("""COMPUTED_VALUE"""),"")</f>
        <v/>
      </c>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c r="AK503" s="292"/>
      <c r="AL503" s="292"/>
      <c r="AM503" s="292"/>
      <c r="AN503" s="292"/>
      <c r="AO503" s="292"/>
      <c r="AP503" s="292"/>
      <c r="AQ503" s="292"/>
      <c r="AR503" s="292"/>
      <c r="AS503" s="292"/>
      <c r="AT503" s="292"/>
      <c r="AU503" s="292"/>
      <c r="AV503" s="292"/>
      <c r="AW503" s="292"/>
      <c r="AX503" s="292"/>
      <c r="AY503" s="292"/>
      <c r="AZ503" s="292"/>
      <c r="BA503" s="292"/>
      <c r="BB503" s="292"/>
      <c r="BC503" s="292"/>
      <c r="BD503" s="292"/>
      <c r="BE503" s="292"/>
      <c r="BF503" s="292"/>
      <c r="BG503" s="292"/>
      <c r="BH503" s="292"/>
      <c r="BI503" s="292"/>
      <c r="BJ503" s="292"/>
      <c r="BK503" s="292"/>
      <c r="BL503" s="292"/>
      <c r="BM503" s="292"/>
      <c r="BN503" s="292"/>
      <c r="BO503" s="292"/>
      <c r="BP503" s="292"/>
      <c r="BQ503" s="292"/>
      <c r="BR503" s="292"/>
      <c r="BS503" s="292"/>
      <c r="BT503" s="292"/>
      <c r="BU503" s="292"/>
      <c r="BV503" s="292"/>
      <c r="BW503" s="292"/>
    </row>
    <row r="504">
      <c r="A504" s="292"/>
      <c r="B504" s="292" t="str">
        <f>IFERROR(__xludf.DUMMYFUNCTION("""COMPUTED_VALUE"""),"")</f>
        <v/>
      </c>
      <c r="C504" s="292"/>
      <c r="D504" s="292" t="str">
        <f>IFERROR(__xludf.DUMMYFUNCTION("""COMPUTED_VALUE"""),"")</f>
        <v/>
      </c>
      <c r="E504" s="292" t="str">
        <f>IFERROR(__xludf.DUMMYFUNCTION("""COMPUTED_VALUE"""),"")</f>
        <v/>
      </c>
      <c r="F504" s="292"/>
      <c r="G504" s="292" t="str">
        <f>IFERROR(__xludf.DUMMYFUNCTION("""COMPUTED_VALUE"""),"")</f>
        <v/>
      </c>
      <c r="H504" s="292" t="str">
        <f>IFERROR(__xludf.DUMMYFUNCTION("""COMPUTED_VALUE"""),"")</f>
        <v/>
      </c>
      <c r="I504" s="292"/>
      <c r="J504" s="292"/>
      <c r="K504" s="292"/>
      <c r="L504" s="292"/>
      <c r="M504" s="292" t="str">
        <f>IFERROR(__xludf.DUMMYFUNCTION("""COMPUTED_VALUE"""),"")</f>
        <v/>
      </c>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c r="AK504" s="292"/>
      <c r="AL504" s="292"/>
      <c r="AM504" s="292"/>
      <c r="AN504" s="292"/>
      <c r="AO504" s="292"/>
      <c r="AP504" s="292"/>
      <c r="AQ504" s="292"/>
      <c r="AR504" s="292"/>
      <c r="AS504" s="292"/>
      <c r="AT504" s="292"/>
      <c r="AU504" s="292"/>
      <c r="AV504" s="292"/>
      <c r="AW504" s="292"/>
      <c r="AX504" s="292"/>
      <c r="AY504" s="292"/>
      <c r="AZ504" s="292"/>
      <c r="BA504" s="292"/>
      <c r="BB504" s="292"/>
      <c r="BC504" s="292"/>
      <c r="BD504" s="292"/>
      <c r="BE504" s="292"/>
      <c r="BF504" s="292"/>
      <c r="BG504" s="292"/>
      <c r="BH504" s="292"/>
      <c r="BI504" s="292"/>
      <c r="BJ504" s="292"/>
      <c r="BK504" s="292"/>
      <c r="BL504" s="292"/>
      <c r="BM504" s="292"/>
      <c r="BN504" s="292"/>
      <c r="BO504" s="292"/>
      <c r="BP504" s="292"/>
      <c r="BQ504" s="292"/>
      <c r="BR504" s="292"/>
      <c r="BS504" s="292"/>
      <c r="BT504" s="292"/>
      <c r="BU504" s="292"/>
      <c r="BV504" s="292"/>
      <c r="BW504" s="292"/>
    </row>
    <row r="505">
      <c r="A505" s="292"/>
      <c r="B505" s="292" t="str">
        <f>IFERROR(__xludf.DUMMYFUNCTION("""COMPUTED_VALUE"""),"")</f>
        <v/>
      </c>
      <c r="C505" s="292"/>
      <c r="D505" s="292" t="str">
        <f>IFERROR(__xludf.DUMMYFUNCTION("""COMPUTED_VALUE"""),"")</f>
        <v/>
      </c>
      <c r="E505" s="292" t="str">
        <f>IFERROR(__xludf.DUMMYFUNCTION("""COMPUTED_VALUE"""),"")</f>
        <v/>
      </c>
      <c r="F505" s="292"/>
      <c r="G505" s="292" t="str">
        <f>IFERROR(__xludf.DUMMYFUNCTION("""COMPUTED_VALUE"""),"")</f>
        <v/>
      </c>
      <c r="H505" s="292" t="str">
        <f>IFERROR(__xludf.DUMMYFUNCTION("""COMPUTED_VALUE"""),"")</f>
        <v/>
      </c>
      <c r="I505" s="292"/>
      <c r="J505" s="292"/>
      <c r="K505" s="292"/>
      <c r="L505" s="292"/>
      <c r="M505" s="292" t="str">
        <f>IFERROR(__xludf.DUMMYFUNCTION("""COMPUTED_VALUE"""),"")</f>
        <v/>
      </c>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c r="AK505" s="292"/>
      <c r="AL505" s="292"/>
      <c r="AM505" s="292"/>
      <c r="AN505" s="292"/>
      <c r="AO505" s="292"/>
      <c r="AP505" s="292"/>
      <c r="AQ505" s="292"/>
      <c r="AR505" s="292"/>
      <c r="AS505" s="292"/>
      <c r="AT505" s="292"/>
      <c r="AU505" s="292"/>
      <c r="AV505" s="292"/>
      <c r="AW505" s="292"/>
      <c r="AX505" s="292"/>
      <c r="AY505" s="292"/>
      <c r="AZ505" s="292"/>
      <c r="BA505" s="292"/>
      <c r="BB505" s="292"/>
      <c r="BC505" s="292"/>
      <c r="BD505" s="292"/>
      <c r="BE505" s="292"/>
      <c r="BF505" s="292"/>
      <c r="BG505" s="292"/>
      <c r="BH505" s="292"/>
      <c r="BI505" s="292"/>
      <c r="BJ505" s="292"/>
      <c r="BK505" s="292"/>
      <c r="BL505" s="292"/>
      <c r="BM505" s="292"/>
      <c r="BN505" s="292"/>
      <c r="BO505" s="292"/>
      <c r="BP505" s="292"/>
      <c r="BQ505" s="292"/>
      <c r="BR505" s="292"/>
      <c r="BS505" s="292"/>
      <c r="BT505" s="292"/>
      <c r="BU505" s="292"/>
      <c r="BV505" s="292"/>
      <c r="BW505" s="292"/>
    </row>
    <row r="506">
      <c r="A506" s="292"/>
      <c r="B506" s="292" t="str">
        <f>IFERROR(__xludf.DUMMYFUNCTION("""COMPUTED_VALUE"""),"")</f>
        <v/>
      </c>
      <c r="C506" s="292"/>
      <c r="D506" s="292" t="str">
        <f>IFERROR(__xludf.DUMMYFUNCTION("""COMPUTED_VALUE"""),"")</f>
        <v/>
      </c>
      <c r="E506" s="292" t="str">
        <f>IFERROR(__xludf.DUMMYFUNCTION("""COMPUTED_VALUE"""),"")</f>
        <v/>
      </c>
      <c r="F506" s="292"/>
      <c r="G506" s="292" t="str">
        <f>IFERROR(__xludf.DUMMYFUNCTION("""COMPUTED_VALUE"""),"")</f>
        <v/>
      </c>
      <c r="H506" s="292" t="str">
        <f>IFERROR(__xludf.DUMMYFUNCTION("""COMPUTED_VALUE"""),"")</f>
        <v/>
      </c>
      <c r="I506" s="292"/>
      <c r="J506" s="292"/>
      <c r="K506" s="292"/>
      <c r="L506" s="292"/>
      <c r="M506" s="292" t="str">
        <f>IFERROR(__xludf.DUMMYFUNCTION("""COMPUTED_VALUE"""),"")</f>
        <v/>
      </c>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c r="AK506" s="292"/>
      <c r="AL506" s="292"/>
      <c r="AM506" s="292"/>
      <c r="AN506" s="292"/>
      <c r="AO506" s="292"/>
      <c r="AP506" s="292"/>
      <c r="AQ506" s="292"/>
      <c r="AR506" s="292"/>
      <c r="AS506" s="292"/>
      <c r="AT506" s="292"/>
      <c r="AU506" s="292"/>
      <c r="AV506" s="292"/>
      <c r="AW506" s="292"/>
      <c r="AX506" s="292"/>
      <c r="AY506" s="292"/>
      <c r="AZ506" s="292"/>
      <c r="BA506" s="292"/>
      <c r="BB506" s="292"/>
      <c r="BC506" s="292"/>
      <c r="BD506" s="292"/>
      <c r="BE506" s="292"/>
      <c r="BF506" s="292"/>
      <c r="BG506" s="292"/>
      <c r="BH506" s="292"/>
      <c r="BI506" s="292"/>
      <c r="BJ506" s="292"/>
      <c r="BK506" s="292"/>
      <c r="BL506" s="292"/>
      <c r="BM506" s="292"/>
      <c r="BN506" s="292"/>
      <c r="BO506" s="292"/>
      <c r="BP506" s="292"/>
      <c r="BQ506" s="292"/>
      <c r="BR506" s="292"/>
      <c r="BS506" s="292"/>
      <c r="BT506" s="292"/>
      <c r="BU506" s="292"/>
      <c r="BV506" s="292"/>
      <c r="BW506" s="292"/>
    </row>
    <row r="507">
      <c r="A507" s="292"/>
      <c r="B507" s="292" t="str">
        <f>IFERROR(__xludf.DUMMYFUNCTION("""COMPUTED_VALUE"""),"")</f>
        <v/>
      </c>
      <c r="C507" s="292"/>
      <c r="D507" s="292" t="str">
        <f>IFERROR(__xludf.DUMMYFUNCTION("""COMPUTED_VALUE"""),"")</f>
        <v/>
      </c>
      <c r="E507" s="292" t="str">
        <f>IFERROR(__xludf.DUMMYFUNCTION("""COMPUTED_VALUE"""),"")</f>
        <v/>
      </c>
      <c r="F507" s="292"/>
      <c r="G507" s="292" t="str">
        <f>IFERROR(__xludf.DUMMYFUNCTION("""COMPUTED_VALUE"""),"")</f>
        <v/>
      </c>
      <c r="H507" s="292" t="str">
        <f>IFERROR(__xludf.DUMMYFUNCTION("""COMPUTED_VALUE"""),"")</f>
        <v/>
      </c>
      <c r="I507" s="292"/>
      <c r="J507" s="292"/>
      <c r="K507" s="292"/>
      <c r="L507" s="292"/>
      <c r="M507" s="292" t="str">
        <f>IFERROR(__xludf.DUMMYFUNCTION("""COMPUTED_VALUE"""),"")</f>
        <v/>
      </c>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c r="AK507" s="292"/>
      <c r="AL507" s="292"/>
      <c r="AM507" s="292"/>
      <c r="AN507" s="292"/>
      <c r="AO507" s="292"/>
      <c r="AP507" s="292"/>
      <c r="AQ507" s="292"/>
      <c r="AR507" s="292"/>
      <c r="AS507" s="292"/>
      <c r="AT507" s="292"/>
      <c r="AU507" s="292"/>
      <c r="AV507" s="292"/>
      <c r="AW507" s="292"/>
      <c r="AX507" s="292"/>
      <c r="AY507" s="292"/>
      <c r="AZ507" s="292"/>
      <c r="BA507" s="292"/>
      <c r="BB507" s="292"/>
      <c r="BC507" s="292"/>
      <c r="BD507" s="292"/>
      <c r="BE507" s="292"/>
      <c r="BF507" s="292"/>
      <c r="BG507" s="292"/>
      <c r="BH507" s="292"/>
      <c r="BI507" s="292"/>
      <c r="BJ507" s="292"/>
      <c r="BK507" s="292"/>
      <c r="BL507" s="292"/>
      <c r="BM507" s="292"/>
      <c r="BN507" s="292"/>
      <c r="BO507" s="292"/>
      <c r="BP507" s="292"/>
      <c r="BQ507" s="292"/>
      <c r="BR507" s="292"/>
      <c r="BS507" s="292"/>
      <c r="BT507" s="292"/>
      <c r="BU507" s="292"/>
      <c r="BV507" s="292"/>
      <c r="BW507" s="292"/>
    </row>
    <row r="508">
      <c r="A508" s="292"/>
      <c r="B508" s="292" t="str">
        <f>IFERROR(__xludf.DUMMYFUNCTION("""COMPUTED_VALUE"""),"")</f>
        <v/>
      </c>
      <c r="C508" s="292"/>
      <c r="D508" s="292" t="str">
        <f>IFERROR(__xludf.DUMMYFUNCTION("""COMPUTED_VALUE"""),"")</f>
        <v/>
      </c>
      <c r="E508" s="292" t="str">
        <f>IFERROR(__xludf.DUMMYFUNCTION("""COMPUTED_VALUE"""),"")</f>
        <v/>
      </c>
      <c r="F508" s="292"/>
      <c r="G508" s="292" t="str">
        <f>IFERROR(__xludf.DUMMYFUNCTION("""COMPUTED_VALUE"""),"")</f>
        <v/>
      </c>
      <c r="H508" s="292" t="str">
        <f>IFERROR(__xludf.DUMMYFUNCTION("""COMPUTED_VALUE"""),"")</f>
        <v/>
      </c>
      <c r="I508" s="292"/>
      <c r="J508" s="292"/>
      <c r="K508" s="292"/>
      <c r="L508" s="292"/>
      <c r="M508" s="292" t="str">
        <f>IFERROR(__xludf.DUMMYFUNCTION("""COMPUTED_VALUE"""),"")</f>
        <v/>
      </c>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c r="AK508" s="292"/>
      <c r="AL508" s="292"/>
      <c r="AM508" s="292"/>
      <c r="AN508" s="292"/>
      <c r="AO508" s="292"/>
      <c r="AP508" s="292"/>
      <c r="AQ508" s="292"/>
      <c r="AR508" s="292"/>
      <c r="AS508" s="292"/>
      <c r="AT508" s="292"/>
      <c r="AU508" s="292"/>
      <c r="AV508" s="292"/>
      <c r="AW508" s="292"/>
      <c r="AX508" s="292"/>
      <c r="AY508" s="292"/>
      <c r="AZ508" s="292"/>
      <c r="BA508" s="292"/>
      <c r="BB508" s="292"/>
      <c r="BC508" s="292"/>
      <c r="BD508" s="292"/>
      <c r="BE508" s="292"/>
      <c r="BF508" s="292"/>
      <c r="BG508" s="292"/>
      <c r="BH508" s="292"/>
      <c r="BI508" s="292"/>
      <c r="BJ508" s="292"/>
      <c r="BK508" s="292"/>
      <c r="BL508" s="292"/>
      <c r="BM508" s="292"/>
      <c r="BN508" s="292"/>
      <c r="BO508" s="292"/>
      <c r="BP508" s="292"/>
      <c r="BQ508" s="292"/>
      <c r="BR508" s="292"/>
      <c r="BS508" s="292"/>
      <c r="BT508" s="292"/>
      <c r="BU508" s="292"/>
      <c r="BV508" s="292"/>
      <c r="BW508" s="292"/>
    </row>
    <row r="509">
      <c r="A509" s="292"/>
      <c r="B509" s="292" t="str">
        <f>IFERROR(__xludf.DUMMYFUNCTION("""COMPUTED_VALUE"""),"")</f>
        <v/>
      </c>
      <c r="C509" s="292"/>
      <c r="D509" s="292" t="str">
        <f>IFERROR(__xludf.DUMMYFUNCTION("""COMPUTED_VALUE"""),"")</f>
        <v/>
      </c>
      <c r="E509" s="292" t="str">
        <f>IFERROR(__xludf.DUMMYFUNCTION("""COMPUTED_VALUE"""),"")</f>
        <v/>
      </c>
      <c r="F509" s="292"/>
      <c r="G509" s="292" t="str">
        <f>IFERROR(__xludf.DUMMYFUNCTION("""COMPUTED_VALUE"""),"")</f>
        <v/>
      </c>
      <c r="H509" s="292" t="str">
        <f>IFERROR(__xludf.DUMMYFUNCTION("""COMPUTED_VALUE"""),"")</f>
        <v/>
      </c>
      <c r="I509" s="292"/>
      <c r="J509" s="292"/>
      <c r="K509" s="292"/>
      <c r="L509" s="292"/>
      <c r="M509" s="292" t="str">
        <f>IFERROR(__xludf.DUMMYFUNCTION("""COMPUTED_VALUE"""),"")</f>
        <v/>
      </c>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c r="AK509" s="292"/>
      <c r="AL509" s="292"/>
      <c r="AM509" s="292"/>
      <c r="AN509" s="292"/>
      <c r="AO509" s="292"/>
      <c r="AP509" s="292"/>
      <c r="AQ509" s="292"/>
      <c r="AR509" s="292"/>
      <c r="AS509" s="292"/>
      <c r="AT509" s="292"/>
      <c r="AU509" s="292"/>
      <c r="AV509" s="292"/>
      <c r="AW509" s="292"/>
      <c r="AX509" s="292"/>
      <c r="AY509" s="292"/>
      <c r="AZ509" s="292"/>
      <c r="BA509" s="292"/>
      <c r="BB509" s="292"/>
      <c r="BC509" s="292"/>
      <c r="BD509" s="292"/>
      <c r="BE509" s="292"/>
      <c r="BF509" s="292"/>
      <c r="BG509" s="292"/>
      <c r="BH509" s="292"/>
      <c r="BI509" s="292"/>
      <c r="BJ509" s="292"/>
      <c r="BK509" s="292"/>
      <c r="BL509" s="292"/>
      <c r="BM509" s="292"/>
      <c r="BN509" s="292"/>
      <c r="BO509" s="292"/>
      <c r="BP509" s="292"/>
      <c r="BQ509" s="292"/>
      <c r="BR509" s="292"/>
      <c r="BS509" s="292"/>
      <c r="BT509" s="292"/>
      <c r="BU509" s="292"/>
      <c r="BV509" s="292"/>
      <c r="BW509" s="292"/>
    </row>
    <row r="510">
      <c r="A510" s="292"/>
      <c r="B510" s="292" t="str">
        <f>IFERROR(__xludf.DUMMYFUNCTION("""COMPUTED_VALUE"""),"")</f>
        <v/>
      </c>
      <c r="C510" s="292"/>
      <c r="D510" s="292" t="str">
        <f>IFERROR(__xludf.DUMMYFUNCTION("""COMPUTED_VALUE"""),"")</f>
        <v/>
      </c>
      <c r="E510" s="292" t="str">
        <f>IFERROR(__xludf.DUMMYFUNCTION("""COMPUTED_VALUE"""),"")</f>
        <v/>
      </c>
      <c r="F510" s="292"/>
      <c r="G510" s="292" t="str">
        <f>IFERROR(__xludf.DUMMYFUNCTION("""COMPUTED_VALUE"""),"")</f>
        <v/>
      </c>
      <c r="H510" s="292" t="str">
        <f>IFERROR(__xludf.DUMMYFUNCTION("""COMPUTED_VALUE"""),"")</f>
        <v/>
      </c>
      <c r="I510" s="292"/>
      <c r="J510" s="292"/>
      <c r="K510" s="292"/>
      <c r="L510" s="292"/>
      <c r="M510" s="292" t="str">
        <f>IFERROR(__xludf.DUMMYFUNCTION("""COMPUTED_VALUE"""),"")</f>
        <v/>
      </c>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c r="AK510" s="292"/>
      <c r="AL510" s="292"/>
      <c r="AM510" s="292"/>
      <c r="AN510" s="292"/>
      <c r="AO510" s="292"/>
      <c r="AP510" s="292"/>
      <c r="AQ510" s="292"/>
      <c r="AR510" s="292"/>
      <c r="AS510" s="292"/>
      <c r="AT510" s="292"/>
      <c r="AU510" s="292"/>
      <c r="AV510" s="292"/>
      <c r="AW510" s="292"/>
      <c r="AX510" s="292"/>
      <c r="AY510" s="292"/>
      <c r="AZ510" s="292"/>
      <c r="BA510" s="292"/>
      <c r="BB510" s="292"/>
      <c r="BC510" s="292"/>
      <c r="BD510" s="292"/>
      <c r="BE510" s="292"/>
      <c r="BF510" s="292"/>
      <c r="BG510" s="292"/>
      <c r="BH510" s="292"/>
      <c r="BI510" s="292"/>
      <c r="BJ510" s="292"/>
      <c r="BK510" s="292"/>
      <c r="BL510" s="292"/>
      <c r="BM510" s="292"/>
      <c r="BN510" s="292"/>
      <c r="BO510" s="292"/>
      <c r="BP510" s="292"/>
      <c r="BQ510" s="292"/>
      <c r="BR510" s="292"/>
      <c r="BS510" s="292"/>
      <c r="BT510" s="292"/>
      <c r="BU510" s="292"/>
      <c r="BV510" s="292"/>
      <c r="BW510" s="292"/>
    </row>
    <row r="511">
      <c r="A511" s="292"/>
      <c r="B511" s="292" t="str">
        <f>IFERROR(__xludf.DUMMYFUNCTION("""COMPUTED_VALUE"""),"")</f>
        <v/>
      </c>
      <c r="C511" s="292"/>
      <c r="D511" s="292" t="str">
        <f>IFERROR(__xludf.DUMMYFUNCTION("""COMPUTED_VALUE"""),"")</f>
        <v/>
      </c>
      <c r="E511" s="292" t="str">
        <f>IFERROR(__xludf.DUMMYFUNCTION("""COMPUTED_VALUE"""),"")</f>
        <v/>
      </c>
      <c r="F511" s="292"/>
      <c r="G511" s="292" t="str">
        <f>IFERROR(__xludf.DUMMYFUNCTION("""COMPUTED_VALUE"""),"")</f>
        <v/>
      </c>
      <c r="H511" s="292" t="str">
        <f>IFERROR(__xludf.DUMMYFUNCTION("""COMPUTED_VALUE"""),"")</f>
        <v/>
      </c>
      <c r="I511" s="292"/>
      <c r="J511" s="292"/>
      <c r="K511" s="292"/>
      <c r="L511" s="292"/>
      <c r="M511" s="292" t="str">
        <f>IFERROR(__xludf.DUMMYFUNCTION("""COMPUTED_VALUE"""),"")</f>
        <v/>
      </c>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c r="AK511" s="292"/>
      <c r="AL511" s="292"/>
      <c r="AM511" s="292"/>
      <c r="AN511" s="292"/>
      <c r="AO511" s="292"/>
      <c r="AP511" s="292"/>
      <c r="AQ511" s="292"/>
      <c r="AR511" s="292"/>
      <c r="AS511" s="292"/>
      <c r="AT511" s="292"/>
      <c r="AU511" s="292"/>
      <c r="AV511" s="292"/>
      <c r="AW511" s="292"/>
      <c r="AX511" s="292"/>
      <c r="AY511" s="292"/>
      <c r="AZ511" s="292"/>
      <c r="BA511" s="292"/>
      <c r="BB511" s="292"/>
      <c r="BC511" s="292"/>
      <c r="BD511" s="292"/>
      <c r="BE511" s="292"/>
      <c r="BF511" s="292"/>
      <c r="BG511" s="292"/>
      <c r="BH511" s="292"/>
      <c r="BI511" s="292"/>
      <c r="BJ511" s="292"/>
      <c r="BK511" s="292"/>
      <c r="BL511" s="292"/>
      <c r="BM511" s="292"/>
      <c r="BN511" s="292"/>
      <c r="BO511" s="292"/>
      <c r="BP511" s="292"/>
      <c r="BQ511" s="292"/>
      <c r="BR511" s="292"/>
      <c r="BS511" s="292"/>
      <c r="BT511" s="292"/>
      <c r="BU511" s="292"/>
      <c r="BV511" s="292"/>
      <c r="BW511" s="292"/>
    </row>
    <row r="512">
      <c r="A512" s="292"/>
      <c r="B512" s="292" t="str">
        <f>IFERROR(__xludf.DUMMYFUNCTION("""COMPUTED_VALUE"""),"")</f>
        <v/>
      </c>
      <c r="C512" s="292"/>
      <c r="D512" s="292" t="str">
        <f>IFERROR(__xludf.DUMMYFUNCTION("""COMPUTED_VALUE"""),"")</f>
        <v/>
      </c>
      <c r="E512" s="292" t="str">
        <f>IFERROR(__xludf.DUMMYFUNCTION("""COMPUTED_VALUE"""),"")</f>
        <v/>
      </c>
      <c r="F512" s="292"/>
      <c r="G512" s="292" t="str">
        <f>IFERROR(__xludf.DUMMYFUNCTION("""COMPUTED_VALUE"""),"")</f>
        <v/>
      </c>
      <c r="H512" s="292" t="str">
        <f>IFERROR(__xludf.DUMMYFUNCTION("""COMPUTED_VALUE"""),"")</f>
        <v/>
      </c>
      <c r="I512" s="292"/>
      <c r="J512" s="292"/>
      <c r="K512" s="292"/>
      <c r="L512" s="292"/>
      <c r="M512" s="292" t="str">
        <f>IFERROR(__xludf.DUMMYFUNCTION("""COMPUTED_VALUE"""),"")</f>
        <v/>
      </c>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c r="AK512" s="292"/>
      <c r="AL512" s="292"/>
      <c r="AM512" s="292"/>
      <c r="AN512" s="292"/>
      <c r="AO512" s="292"/>
      <c r="AP512" s="292"/>
      <c r="AQ512" s="292"/>
      <c r="AR512" s="292"/>
      <c r="AS512" s="292"/>
      <c r="AT512" s="292"/>
      <c r="AU512" s="292"/>
      <c r="AV512" s="292"/>
      <c r="AW512" s="292"/>
      <c r="AX512" s="292"/>
      <c r="AY512" s="292"/>
      <c r="AZ512" s="292"/>
      <c r="BA512" s="292"/>
      <c r="BB512" s="292"/>
      <c r="BC512" s="292"/>
      <c r="BD512" s="292"/>
      <c r="BE512" s="292"/>
      <c r="BF512" s="292"/>
      <c r="BG512" s="292"/>
      <c r="BH512" s="292"/>
      <c r="BI512" s="292"/>
      <c r="BJ512" s="292"/>
      <c r="BK512" s="292"/>
      <c r="BL512" s="292"/>
      <c r="BM512" s="292"/>
      <c r="BN512" s="292"/>
      <c r="BO512" s="292"/>
      <c r="BP512" s="292"/>
      <c r="BQ512" s="292"/>
      <c r="BR512" s="292"/>
      <c r="BS512" s="292"/>
      <c r="BT512" s="292"/>
      <c r="BU512" s="292"/>
      <c r="BV512" s="292"/>
      <c r="BW512" s="292"/>
    </row>
    <row r="513">
      <c r="A513" s="292"/>
      <c r="B513" s="292" t="str">
        <f>IFERROR(__xludf.DUMMYFUNCTION("""COMPUTED_VALUE"""),"")</f>
        <v/>
      </c>
      <c r="C513" s="292"/>
      <c r="D513" s="292" t="str">
        <f>IFERROR(__xludf.DUMMYFUNCTION("""COMPUTED_VALUE"""),"")</f>
        <v/>
      </c>
      <c r="E513" s="292" t="str">
        <f>IFERROR(__xludf.DUMMYFUNCTION("""COMPUTED_VALUE"""),"")</f>
        <v/>
      </c>
      <c r="F513" s="292"/>
      <c r="G513" s="292" t="str">
        <f>IFERROR(__xludf.DUMMYFUNCTION("""COMPUTED_VALUE"""),"")</f>
        <v/>
      </c>
      <c r="H513" s="292" t="str">
        <f>IFERROR(__xludf.DUMMYFUNCTION("""COMPUTED_VALUE"""),"")</f>
        <v/>
      </c>
      <c r="I513" s="292"/>
      <c r="J513" s="292"/>
      <c r="K513" s="292"/>
      <c r="L513" s="292"/>
      <c r="M513" s="292" t="str">
        <f>IFERROR(__xludf.DUMMYFUNCTION("""COMPUTED_VALUE"""),"")</f>
        <v/>
      </c>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c r="AK513" s="292"/>
      <c r="AL513" s="292"/>
      <c r="AM513" s="292"/>
      <c r="AN513" s="292"/>
      <c r="AO513" s="292"/>
      <c r="AP513" s="292"/>
      <c r="AQ513" s="292"/>
      <c r="AR513" s="292"/>
      <c r="AS513" s="292"/>
      <c r="AT513" s="292"/>
      <c r="AU513" s="292"/>
      <c r="AV513" s="292"/>
      <c r="AW513" s="292"/>
      <c r="AX513" s="292"/>
      <c r="AY513" s="292"/>
      <c r="AZ513" s="292"/>
      <c r="BA513" s="292"/>
      <c r="BB513" s="292"/>
      <c r="BC513" s="292"/>
      <c r="BD513" s="292"/>
      <c r="BE513" s="292"/>
      <c r="BF513" s="292"/>
      <c r="BG513" s="292"/>
      <c r="BH513" s="292"/>
      <c r="BI513" s="292"/>
      <c r="BJ513" s="292"/>
      <c r="BK513" s="292"/>
      <c r="BL513" s="292"/>
      <c r="BM513" s="292"/>
      <c r="BN513" s="292"/>
      <c r="BO513" s="292"/>
      <c r="BP513" s="292"/>
      <c r="BQ513" s="292"/>
      <c r="BR513" s="292"/>
      <c r="BS513" s="292"/>
      <c r="BT513" s="292"/>
      <c r="BU513" s="292"/>
      <c r="BV513" s="292"/>
      <c r="BW513" s="292"/>
    </row>
    <row r="514">
      <c r="A514" s="292"/>
      <c r="B514" s="292" t="str">
        <f>IFERROR(__xludf.DUMMYFUNCTION("""COMPUTED_VALUE"""),"")</f>
        <v/>
      </c>
      <c r="C514" s="292"/>
      <c r="D514" s="292" t="str">
        <f>IFERROR(__xludf.DUMMYFUNCTION("""COMPUTED_VALUE"""),"")</f>
        <v/>
      </c>
      <c r="E514" s="292" t="str">
        <f>IFERROR(__xludf.DUMMYFUNCTION("""COMPUTED_VALUE"""),"")</f>
        <v/>
      </c>
      <c r="F514" s="292"/>
      <c r="G514" s="292" t="str">
        <f>IFERROR(__xludf.DUMMYFUNCTION("""COMPUTED_VALUE"""),"")</f>
        <v/>
      </c>
      <c r="H514" s="292" t="str">
        <f>IFERROR(__xludf.DUMMYFUNCTION("""COMPUTED_VALUE"""),"")</f>
        <v/>
      </c>
      <c r="I514" s="292"/>
      <c r="J514" s="292"/>
      <c r="K514" s="292"/>
      <c r="L514" s="292"/>
      <c r="M514" s="292" t="str">
        <f>IFERROR(__xludf.DUMMYFUNCTION("""COMPUTED_VALUE"""),"")</f>
        <v/>
      </c>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c r="AK514" s="292"/>
      <c r="AL514" s="292"/>
      <c r="AM514" s="292"/>
      <c r="AN514" s="292"/>
      <c r="AO514" s="292"/>
      <c r="AP514" s="292"/>
      <c r="AQ514" s="292"/>
      <c r="AR514" s="292"/>
      <c r="AS514" s="292"/>
      <c r="AT514" s="292"/>
      <c r="AU514" s="292"/>
      <c r="AV514" s="292"/>
      <c r="AW514" s="292"/>
      <c r="AX514" s="292"/>
      <c r="AY514" s="292"/>
      <c r="AZ514" s="292"/>
      <c r="BA514" s="292"/>
      <c r="BB514" s="292"/>
      <c r="BC514" s="292"/>
      <c r="BD514" s="292"/>
      <c r="BE514" s="292"/>
      <c r="BF514" s="292"/>
      <c r="BG514" s="292"/>
      <c r="BH514" s="292"/>
      <c r="BI514" s="292"/>
      <c r="BJ514" s="292"/>
      <c r="BK514" s="292"/>
      <c r="BL514" s="292"/>
      <c r="BM514" s="292"/>
      <c r="BN514" s="292"/>
      <c r="BO514" s="292"/>
      <c r="BP514" s="292"/>
      <c r="BQ514" s="292"/>
      <c r="BR514" s="292"/>
      <c r="BS514" s="292"/>
      <c r="BT514" s="292"/>
      <c r="BU514" s="292"/>
      <c r="BV514" s="292"/>
      <c r="BW514" s="292"/>
    </row>
    <row r="515">
      <c r="A515" s="292"/>
      <c r="B515" s="292" t="str">
        <f>IFERROR(__xludf.DUMMYFUNCTION("""COMPUTED_VALUE"""),"")</f>
        <v/>
      </c>
      <c r="C515" s="292"/>
      <c r="D515" s="292" t="str">
        <f>IFERROR(__xludf.DUMMYFUNCTION("""COMPUTED_VALUE"""),"")</f>
        <v/>
      </c>
      <c r="E515" s="292" t="str">
        <f>IFERROR(__xludf.DUMMYFUNCTION("""COMPUTED_VALUE"""),"")</f>
        <v/>
      </c>
      <c r="F515" s="292"/>
      <c r="G515" s="292" t="str">
        <f>IFERROR(__xludf.DUMMYFUNCTION("""COMPUTED_VALUE"""),"")</f>
        <v/>
      </c>
      <c r="H515" s="292" t="str">
        <f>IFERROR(__xludf.DUMMYFUNCTION("""COMPUTED_VALUE"""),"")</f>
        <v/>
      </c>
      <c r="I515" s="292"/>
      <c r="J515" s="292"/>
      <c r="K515" s="292"/>
      <c r="L515" s="292"/>
      <c r="M515" s="292" t="str">
        <f>IFERROR(__xludf.DUMMYFUNCTION("""COMPUTED_VALUE"""),"")</f>
        <v/>
      </c>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c r="AK515" s="292"/>
      <c r="AL515" s="292"/>
      <c r="AM515" s="292"/>
      <c r="AN515" s="292"/>
      <c r="AO515" s="292"/>
      <c r="AP515" s="292"/>
      <c r="AQ515" s="292"/>
      <c r="AR515" s="292"/>
      <c r="AS515" s="292"/>
      <c r="AT515" s="292"/>
      <c r="AU515" s="292"/>
      <c r="AV515" s="292"/>
      <c r="AW515" s="292"/>
      <c r="AX515" s="292"/>
      <c r="AY515" s="292"/>
      <c r="AZ515" s="292"/>
      <c r="BA515" s="292"/>
      <c r="BB515" s="292"/>
      <c r="BC515" s="292"/>
      <c r="BD515" s="292"/>
      <c r="BE515" s="292"/>
      <c r="BF515" s="292"/>
      <c r="BG515" s="292"/>
      <c r="BH515" s="292"/>
      <c r="BI515" s="292"/>
      <c r="BJ515" s="292"/>
      <c r="BK515" s="292"/>
      <c r="BL515" s="292"/>
      <c r="BM515" s="292"/>
      <c r="BN515" s="292"/>
      <c r="BO515" s="292"/>
      <c r="BP515" s="292"/>
      <c r="BQ515" s="292"/>
      <c r="BR515" s="292"/>
      <c r="BS515" s="292"/>
      <c r="BT515" s="292"/>
      <c r="BU515" s="292"/>
      <c r="BV515" s="292"/>
      <c r="BW515" s="292"/>
    </row>
    <row r="516">
      <c r="A516" s="292"/>
      <c r="B516" s="292" t="str">
        <f>IFERROR(__xludf.DUMMYFUNCTION("""COMPUTED_VALUE"""),"")</f>
        <v/>
      </c>
      <c r="C516" s="292"/>
      <c r="D516" s="292" t="str">
        <f>IFERROR(__xludf.DUMMYFUNCTION("""COMPUTED_VALUE"""),"")</f>
        <v/>
      </c>
      <c r="E516" s="292" t="str">
        <f>IFERROR(__xludf.DUMMYFUNCTION("""COMPUTED_VALUE"""),"")</f>
        <v/>
      </c>
      <c r="F516" s="292"/>
      <c r="G516" s="292" t="str">
        <f>IFERROR(__xludf.DUMMYFUNCTION("""COMPUTED_VALUE"""),"")</f>
        <v/>
      </c>
      <c r="H516" s="292" t="str">
        <f>IFERROR(__xludf.DUMMYFUNCTION("""COMPUTED_VALUE"""),"")</f>
        <v/>
      </c>
      <c r="I516" s="292"/>
      <c r="J516" s="292"/>
      <c r="K516" s="292"/>
      <c r="L516" s="292"/>
      <c r="M516" s="292" t="str">
        <f>IFERROR(__xludf.DUMMYFUNCTION("""COMPUTED_VALUE"""),"")</f>
        <v/>
      </c>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c r="AK516" s="292"/>
      <c r="AL516" s="292"/>
      <c r="AM516" s="292"/>
      <c r="AN516" s="292"/>
      <c r="AO516" s="292"/>
      <c r="AP516" s="292"/>
      <c r="AQ516" s="292"/>
      <c r="AR516" s="292"/>
      <c r="AS516" s="292"/>
      <c r="AT516" s="292"/>
      <c r="AU516" s="292"/>
      <c r="AV516" s="292"/>
      <c r="AW516" s="292"/>
      <c r="AX516" s="292"/>
      <c r="AY516" s="292"/>
      <c r="AZ516" s="292"/>
      <c r="BA516" s="292"/>
      <c r="BB516" s="292"/>
      <c r="BC516" s="292"/>
      <c r="BD516" s="292"/>
      <c r="BE516" s="292"/>
      <c r="BF516" s="292"/>
      <c r="BG516" s="292"/>
      <c r="BH516" s="292"/>
      <c r="BI516" s="292"/>
      <c r="BJ516" s="292"/>
      <c r="BK516" s="292"/>
      <c r="BL516" s="292"/>
      <c r="BM516" s="292"/>
      <c r="BN516" s="292"/>
      <c r="BO516" s="292"/>
      <c r="BP516" s="292"/>
      <c r="BQ516" s="292"/>
      <c r="BR516" s="292"/>
      <c r="BS516" s="292"/>
      <c r="BT516" s="292"/>
      <c r="BU516" s="292"/>
      <c r="BV516" s="292"/>
      <c r="BW516" s="292"/>
    </row>
    <row r="517">
      <c r="A517" s="292"/>
      <c r="B517" s="292" t="str">
        <f>IFERROR(__xludf.DUMMYFUNCTION("""COMPUTED_VALUE"""),"")</f>
        <v/>
      </c>
      <c r="C517" s="292"/>
      <c r="D517" s="292" t="str">
        <f>IFERROR(__xludf.DUMMYFUNCTION("""COMPUTED_VALUE"""),"")</f>
        <v/>
      </c>
      <c r="E517" s="292" t="str">
        <f>IFERROR(__xludf.DUMMYFUNCTION("""COMPUTED_VALUE"""),"")</f>
        <v/>
      </c>
      <c r="F517" s="292"/>
      <c r="G517" s="292" t="str">
        <f>IFERROR(__xludf.DUMMYFUNCTION("""COMPUTED_VALUE"""),"")</f>
        <v/>
      </c>
      <c r="H517" s="292" t="str">
        <f>IFERROR(__xludf.DUMMYFUNCTION("""COMPUTED_VALUE"""),"")</f>
        <v/>
      </c>
      <c r="I517" s="292"/>
      <c r="J517" s="292"/>
      <c r="K517" s="292"/>
      <c r="L517" s="292"/>
      <c r="M517" s="292" t="str">
        <f>IFERROR(__xludf.DUMMYFUNCTION("""COMPUTED_VALUE"""),"")</f>
        <v/>
      </c>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c r="AK517" s="292"/>
      <c r="AL517" s="292"/>
      <c r="AM517" s="292"/>
      <c r="AN517" s="292"/>
      <c r="AO517" s="292"/>
      <c r="AP517" s="292"/>
      <c r="AQ517" s="292"/>
      <c r="AR517" s="292"/>
      <c r="AS517" s="292"/>
      <c r="AT517" s="292"/>
      <c r="AU517" s="292"/>
      <c r="AV517" s="292"/>
      <c r="AW517" s="292"/>
      <c r="AX517" s="292"/>
      <c r="AY517" s="292"/>
      <c r="AZ517" s="292"/>
      <c r="BA517" s="292"/>
      <c r="BB517" s="292"/>
      <c r="BC517" s="292"/>
      <c r="BD517" s="292"/>
      <c r="BE517" s="292"/>
      <c r="BF517" s="292"/>
      <c r="BG517" s="292"/>
      <c r="BH517" s="292"/>
      <c r="BI517" s="292"/>
      <c r="BJ517" s="292"/>
      <c r="BK517" s="292"/>
      <c r="BL517" s="292"/>
      <c r="BM517" s="292"/>
      <c r="BN517" s="292"/>
      <c r="BO517" s="292"/>
      <c r="BP517" s="292"/>
      <c r="BQ517" s="292"/>
      <c r="BR517" s="292"/>
      <c r="BS517" s="292"/>
      <c r="BT517" s="292"/>
      <c r="BU517" s="292"/>
      <c r="BV517" s="292"/>
      <c r="BW517" s="292"/>
    </row>
    <row r="518">
      <c r="A518" s="292"/>
      <c r="B518" s="292" t="str">
        <f>IFERROR(__xludf.DUMMYFUNCTION("""COMPUTED_VALUE"""),"")</f>
        <v/>
      </c>
      <c r="C518" s="292"/>
      <c r="D518" s="292" t="str">
        <f>IFERROR(__xludf.DUMMYFUNCTION("""COMPUTED_VALUE"""),"")</f>
        <v/>
      </c>
      <c r="E518" s="292" t="str">
        <f>IFERROR(__xludf.DUMMYFUNCTION("""COMPUTED_VALUE"""),"")</f>
        <v/>
      </c>
      <c r="F518" s="292"/>
      <c r="G518" s="292" t="str">
        <f>IFERROR(__xludf.DUMMYFUNCTION("""COMPUTED_VALUE"""),"")</f>
        <v/>
      </c>
      <c r="H518" s="292" t="str">
        <f>IFERROR(__xludf.DUMMYFUNCTION("""COMPUTED_VALUE"""),"")</f>
        <v/>
      </c>
      <c r="I518" s="292"/>
      <c r="J518" s="292"/>
      <c r="K518" s="292"/>
      <c r="L518" s="292"/>
      <c r="M518" s="292" t="str">
        <f>IFERROR(__xludf.DUMMYFUNCTION("""COMPUTED_VALUE"""),"")</f>
        <v/>
      </c>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c r="AK518" s="292"/>
      <c r="AL518" s="292"/>
      <c r="AM518" s="292"/>
      <c r="AN518" s="292"/>
      <c r="AO518" s="292"/>
      <c r="AP518" s="292"/>
      <c r="AQ518" s="292"/>
      <c r="AR518" s="292"/>
      <c r="AS518" s="292"/>
      <c r="AT518" s="292"/>
      <c r="AU518" s="292"/>
      <c r="AV518" s="292"/>
      <c r="AW518" s="292"/>
      <c r="AX518" s="292"/>
      <c r="AY518" s="292"/>
      <c r="AZ518" s="292"/>
      <c r="BA518" s="292"/>
      <c r="BB518" s="292"/>
      <c r="BC518" s="292"/>
      <c r="BD518" s="292"/>
      <c r="BE518" s="292"/>
      <c r="BF518" s="292"/>
      <c r="BG518" s="292"/>
      <c r="BH518" s="292"/>
      <c r="BI518" s="292"/>
      <c r="BJ518" s="292"/>
      <c r="BK518" s="292"/>
      <c r="BL518" s="292"/>
      <c r="BM518" s="292"/>
      <c r="BN518" s="292"/>
      <c r="BO518" s="292"/>
      <c r="BP518" s="292"/>
      <c r="BQ518" s="292"/>
      <c r="BR518" s="292"/>
      <c r="BS518" s="292"/>
      <c r="BT518" s="292"/>
      <c r="BU518" s="292"/>
      <c r="BV518" s="292"/>
      <c r="BW518" s="292"/>
    </row>
    <row r="519">
      <c r="A519" s="292"/>
      <c r="B519" s="292" t="str">
        <f>IFERROR(__xludf.DUMMYFUNCTION("""COMPUTED_VALUE"""),"")</f>
        <v/>
      </c>
      <c r="C519" s="292"/>
      <c r="D519" s="292" t="str">
        <f>IFERROR(__xludf.DUMMYFUNCTION("""COMPUTED_VALUE"""),"")</f>
        <v/>
      </c>
      <c r="E519" s="292" t="str">
        <f>IFERROR(__xludf.DUMMYFUNCTION("""COMPUTED_VALUE"""),"")</f>
        <v/>
      </c>
      <c r="F519" s="292"/>
      <c r="G519" s="292" t="str">
        <f>IFERROR(__xludf.DUMMYFUNCTION("""COMPUTED_VALUE"""),"")</f>
        <v/>
      </c>
      <c r="H519" s="292" t="str">
        <f>IFERROR(__xludf.DUMMYFUNCTION("""COMPUTED_VALUE"""),"")</f>
        <v/>
      </c>
      <c r="I519" s="292"/>
      <c r="J519" s="292"/>
      <c r="K519" s="292"/>
      <c r="L519" s="292"/>
      <c r="M519" s="292" t="str">
        <f>IFERROR(__xludf.DUMMYFUNCTION("""COMPUTED_VALUE"""),"")</f>
        <v/>
      </c>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c r="AK519" s="292"/>
      <c r="AL519" s="292"/>
      <c r="AM519" s="292"/>
      <c r="AN519" s="292"/>
      <c r="AO519" s="292"/>
      <c r="AP519" s="292"/>
      <c r="AQ519" s="292"/>
      <c r="AR519" s="292"/>
      <c r="AS519" s="292"/>
      <c r="AT519" s="292"/>
      <c r="AU519" s="292"/>
      <c r="AV519" s="292"/>
      <c r="AW519" s="292"/>
      <c r="AX519" s="292"/>
      <c r="AY519" s="292"/>
      <c r="AZ519" s="292"/>
      <c r="BA519" s="292"/>
      <c r="BB519" s="292"/>
      <c r="BC519" s="292"/>
      <c r="BD519" s="292"/>
      <c r="BE519" s="292"/>
      <c r="BF519" s="292"/>
      <c r="BG519" s="292"/>
      <c r="BH519" s="292"/>
      <c r="BI519" s="292"/>
      <c r="BJ519" s="292"/>
      <c r="BK519" s="292"/>
      <c r="BL519" s="292"/>
      <c r="BM519" s="292"/>
      <c r="BN519" s="292"/>
      <c r="BO519" s="292"/>
      <c r="BP519" s="292"/>
      <c r="BQ519" s="292"/>
      <c r="BR519" s="292"/>
      <c r="BS519" s="292"/>
      <c r="BT519" s="292"/>
      <c r="BU519" s="292"/>
      <c r="BV519" s="292"/>
      <c r="BW519" s="292"/>
    </row>
    <row r="520">
      <c r="A520" s="292"/>
      <c r="B520" s="292" t="str">
        <f>IFERROR(__xludf.DUMMYFUNCTION("""COMPUTED_VALUE"""),"")</f>
        <v/>
      </c>
      <c r="C520" s="292"/>
      <c r="D520" s="292" t="str">
        <f>IFERROR(__xludf.DUMMYFUNCTION("""COMPUTED_VALUE"""),"")</f>
        <v/>
      </c>
      <c r="E520" s="292" t="str">
        <f>IFERROR(__xludf.DUMMYFUNCTION("""COMPUTED_VALUE"""),"")</f>
        <v/>
      </c>
      <c r="F520" s="292"/>
      <c r="G520" s="292" t="str">
        <f>IFERROR(__xludf.DUMMYFUNCTION("""COMPUTED_VALUE"""),"")</f>
        <v/>
      </c>
      <c r="H520" s="292" t="str">
        <f>IFERROR(__xludf.DUMMYFUNCTION("""COMPUTED_VALUE"""),"")</f>
        <v/>
      </c>
      <c r="I520" s="292"/>
      <c r="J520" s="292"/>
      <c r="K520" s="292"/>
      <c r="L520" s="292"/>
      <c r="M520" s="292" t="str">
        <f>IFERROR(__xludf.DUMMYFUNCTION("""COMPUTED_VALUE"""),"")</f>
        <v/>
      </c>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c r="AK520" s="292"/>
      <c r="AL520" s="292"/>
      <c r="AM520" s="292"/>
      <c r="AN520" s="292"/>
      <c r="AO520" s="292"/>
      <c r="AP520" s="292"/>
      <c r="AQ520" s="292"/>
      <c r="AR520" s="292"/>
      <c r="AS520" s="292"/>
      <c r="AT520" s="292"/>
      <c r="AU520" s="292"/>
      <c r="AV520" s="292"/>
      <c r="AW520" s="292"/>
      <c r="AX520" s="292"/>
      <c r="AY520" s="292"/>
      <c r="AZ520" s="292"/>
      <c r="BA520" s="292"/>
      <c r="BB520" s="292"/>
      <c r="BC520" s="292"/>
      <c r="BD520" s="292"/>
      <c r="BE520" s="292"/>
      <c r="BF520" s="292"/>
      <c r="BG520" s="292"/>
      <c r="BH520" s="292"/>
      <c r="BI520" s="292"/>
      <c r="BJ520" s="292"/>
      <c r="BK520" s="292"/>
      <c r="BL520" s="292"/>
      <c r="BM520" s="292"/>
      <c r="BN520" s="292"/>
      <c r="BO520" s="292"/>
      <c r="BP520" s="292"/>
      <c r="BQ520" s="292"/>
      <c r="BR520" s="292"/>
      <c r="BS520" s="292"/>
      <c r="BT520" s="292"/>
      <c r="BU520" s="292"/>
      <c r="BV520" s="292"/>
      <c r="BW520" s="292"/>
    </row>
    <row r="521">
      <c r="A521" s="292"/>
      <c r="B521" s="292" t="str">
        <f>IFERROR(__xludf.DUMMYFUNCTION("""COMPUTED_VALUE"""),"")</f>
        <v/>
      </c>
      <c r="C521" s="292"/>
      <c r="D521" s="292" t="str">
        <f>IFERROR(__xludf.DUMMYFUNCTION("""COMPUTED_VALUE"""),"")</f>
        <v/>
      </c>
      <c r="E521" s="292" t="str">
        <f>IFERROR(__xludf.DUMMYFUNCTION("""COMPUTED_VALUE"""),"")</f>
        <v/>
      </c>
      <c r="F521" s="292"/>
      <c r="G521" s="292" t="str">
        <f>IFERROR(__xludf.DUMMYFUNCTION("""COMPUTED_VALUE"""),"")</f>
        <v/>
      </c>
      <c r="H521" s="292" t="str">
        <f>IFERROR(__xludf.DUMMYFUNCTION("""COMPUTED_VALUE"""),"")</f>
        <v/>
      </c>
      <c r="I521" s="292"/>
      <c r="J521" s="292"/>
      <c r="K521" s="292"/>
      <c r="L521" s="292"/>
      <c r="M521" s="292" t="str">
        <f>IFERROR(__xludf.DUMMYFUNCTION("""COMPUTED_VALUE"""),"")</f>
        <v/>
      </c>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c r="AK521" s="292"/>
      <c r="AL521" s="292"/>
      <c r="AM521" s="292"/>
      <c r="AN521" s="292"/>
      <c r="AO521" s="292"/>
      <c r="AP521" s="292"/>
      <c r="AQ521" s="292"/>
      <c r="AR521" s="292"/>
      <c r="AS521" s="292"/>
      <c r="AT521" s="292"/>
      <c r="AU521" s="292"/>
      <c r="AV521" s="292"/>
      <c r="AW521" s="292"/>
      <c r="AX521" s="292"/>
      <c r="AY521" s="292"/>
      <c r="AZ521" s="292"/>
      <c r="BA521" s="292"/>
      <c r="BB521" s="292"/>
      <c r="BC521" s="292"/>
      <c r="BD521" s="292"/>
      <c r="BE521" s="292"/>
      <c r="BF521" s="292"/>
      <c r="BG521" s="292"/>
      <c r="BH521" s="292"/>
      <c r="BI521" s="292"/>
      <c r="BJ521" s="292"/>
      <c r="BK521" s="292"/>
      <c r="BL521" s="292"/>
      <c r="BM521" s="292"/>
      <c r="BN521" s="292"/>
      <c r="BO521" s="292"/>
      <c r="BP521" s="292"/>
      <c r="BQ521" s="292"/>
      <c r="BR521" s="292"/>
      <c r="BS521" s="292"/>
      <c r="BT521" s="292"/>
      <c r="BU521" s="292"/>
      <c r="BV521" s="292"/>
      <c r="BW521" s="292"/>
    </row>
    <row r="522">
      <c r="A522" s="292"/>
      <c r="B522" s="292" t="str">
        <f>IFERROR(__xludf.DUMMYFUNCTION("""COMPUTED_VALUE"""),"")</f>
        <v/>
      </c>
      <c r="C522" s="292"/>
      <c r="D522" s="292" t="str">
        <f>IFERROR(__xludf.DUMMYFUNCTION("""COMPUTED_VALUE"""),"")</f>
        <v/>
      </c>
      <c r="E522" s="292" t="str">
        <f>IFERROR(__xludf.DUMMYFUNCTION("""COMPUTED_VALUE"""),"")</f>
        <v/>
      </c>
      <c r="F522" s="292"/>
      <c r="G522" s="292" t="str">
        <f>IFERROR(__xludf.DUMMYFUNCTION("""COMPUTED_VALUE"""),"")</f>
        <v/>
      </c>
      <c r="H522" s="292" t="str">
        <f>IFERROR(__xludf.DUMMYFUNCTION("""COMPUTED_VALUE"""),"")</f>
        <v/>
      </c>
      <c r="I522" s="292"/>
      <c r="J522" s="292"/>
      <c r="K522" s="292"/>
      <c r="L522" s="292"/>
      <c r="M522" s="292" t="str">
        <f>IFERROR(__xludf.DUMMYFUNCTION("""COMPUTED_VALUE"""),"")</f>
        <v/>
      </c>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c r="AK522" s="292"/>
      <c r="AL522" s="292"/>
      <c r="AM522" s="292"/>
      <c r="AN522" s="292"/>
      <c r="AO522" s="292"/>
      <c r="AP522" s="292"/>
      <c r="AQ522" s="292"/>
      <c r="AR522" s="292"/>
      <c r="AS522" s="292"/>
      <c r="AT522" s="292"/>
      <c r="AU522" s="292"/>
      <c r="AV522" s="292"/>
      <c r="AW522" s="292"/>
      <c r="AX522" s="292"/>
      <c r="AY522" s="292"/>
      <c r="AZ522" s="292"/>
      <c r="BA522" s="292"/>
      <c r="BB522" s="292"/>
      <c r="BC522" s="292"/>
      <c r="BD522" s="292"/>
      <c r="BE522" s="292"/>
      <c r="BF522" s="292"/>
      <c r="BG522" s="292"/>
      <c r="BH522" s="292"/>
      <c r="BI522" s="292"/>
      <c r="BJ522" s="292"/>
      <c r="BK522" s="292"/>
      <c r="BL522" s="292"/>
      <c r="BM522" s="292"/>
      <c r="BN522" s="292"/>
      <c r="BO522" s="292"/>
      <c r="BP522" s="292"/>
      <c r="BQ522" s="292"/>
      <c r="BR522" s="292"/>
      <c r="BS522" s="292"/>
      <c r="BT522" s="292"/>
      <c r="BU522" s="292"/>
      <c r="BV522" s="292"/>
      <c r="BW522" s="292"/>
    </row>
    <row r="523">
      <c r="A523" s="292"/>
      <c r="B523" s="292" t="str">
        <f>IFERROR(__xludf.DUMMYFUNCTION("""COMPUTED_VALUE"""),"")</f>
        <v/>
      </c>
      <c r="C523" s="292"/>
      <c r="D523" s="292" t="str">
        <f>IFERROR(__xludf.DUMMYFUNCTION("""COMPUTED_VALUE"""),"")</f>
        <v/>
      </c>
      <c r="E523" s="292" t="str">
        <f>IFERROR(__xludf.DUMMYFUNCTION("""COMPUTED_VALUE"""),"")</f>
        <v/>
      </c>
      <c r="F523" s="292"/>
      <c r="G523" s="292" t="str">
        <f>IFERROR(__xludf.DUMMYFUNCTION("""COMPUTED_VALUE"""),"")</f>
        <v/>
      </c>
      <c r="H523" s="292" t="str">
        <f>IFERROR(__xludf.DUMMYFUNCTION("""COMPUTED_VALUE"""),"")</f>
        <v/>
      </c>
      <c r="I523" s="292"/>
      <c r="J523" s="292"/>
      <c r="K523" s="292"/>
      <c r="L523" s="292"/>
      <c r="M523" s="292" t="str">
        <f>IFERROR(__xludf.DUMMYFUNCTION("""COMPUTED_VALUE"""),"")</f>
        <v/>
      </c>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c r="AK523" s="292"/>
      <c r="AL523" s="292"/>
      <c r="AM523" s="292"/>
      <c r="AN523" s="292"/>
      <c r="AO523" s="292"/>
      <c r="AP523" s="292"/>
      <c r="AQ523" s="292"/>
      <c r="AR523" s="292"/>
      <c r="AS523" s="292"/>
      <c r="AT523" s="292"/>
      <c r="AU523" s="292"/>
      <c r="AV523" s="292"/>
      <c r="AW523" s="292"/>
      <c r="AX523" s="292"/>
      <c r="AY523" s="292"/>
      <c r="AZ523" s="292"/>
      <c r="BA523" s="292"/>
      <c r="BB523" s="292"/>
      <c r="BC523" s="292"/>
      <c r="BD523" s="292"/>
      <c r="BE523" s="292"/>
      <c r="BF523" s="292"/>
      <c r="BG523" s="292"/>
      <c r="BH523" s="292"/>
      <c r="BI523" s="292"/>
      <c r="BJ523" s="292"/>
      <c r="BK523" s="292"/>
      <c r="BL523" s="292"/>
      <c r="BM523" s="292"/>
      <c r="BN523" s="292"/>
      <c r="BO523" s="292"/>
      <c r="BP523" s="292"/>
      <c r="BQ523" s="292"/>
      <c r="BR523" s="292"/>
      <c r="BS523" s="292"/>
      <c r="BT523" s="292"/>
      <c r="BU523" s="292"/>
      <c r="BV523" s="292"/>
      <c r="BW523" s="292"/>
    </row>
    <row r="524">
      <c r="A524" s="292"/>
      <c r="B524" s="292" t="str">
        <f>IFERROR(__xludf.DUMMYFUNCTION("""COMPUTED_VALUE"""),"")</f>
        <v/>
      </c>
      <c r="C524" s="292"/>
      <c r="D524" s="292" t="str">
        <f>IFERROR(__xludf.DUMMYFUNCTION("""COMPUTED_VALUE"""),"")</f>
        <v/>
      </c>
      <c r="E524" s="292" t="str">
        <f>IFERROR(__xludf.DUMMYFUNCTION("""COMPUTED_VALUE"""),"")</f>
        <v/>
      </c>
      <c r="F524" s="292"/>
      <c r="G524" s="292" t="str">
        <f>IFERROR(__xludf.DUMMYFUNCTION("""COMPUTED_VALUE"""),"")</f>
        <v/>
      </c>
      <c r="H524" s="292" t="str">
        <f>IFERROR(__xludf.DUMMYFUNCTION("""COMPUTED_VALUE"""),"")</f>
        <v/>
      </c>
      <c r="I524" s="292"/>
      <c r="J524" s="292"/>
      <c r="K524" s="292"/>
      <c r="L524" s="292"/>
      <c r="M524" s="292" t="str">
        <f>IFERROR(__xludf.DUMMYFUNCTION("""COMPUTED_VALUE"""),"")</f>
        <v/>
      </c>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c r="AK524" s="292"/>
      <c r="AL524" s="292"/>
      <c r="AM524" s="292"/>
      <c r="AN524" s="292"/>
      <c r="AO524" s="292"/>
      <c r="AP524" s="292"/>
      <c r="AQ524" s="292"/>
      <c r="AR524" s="292"/>
      <c r="AS524" s="292"/>
      <c r="AT524" s="292"/>
      <c r="AU524" s="292"/>
      <c r="AV524" s="292"/>
      <c r="AW524" s="292"/>
      <c r="AX524" s="292"/>
      <c r="AY524" s="292"/>
      <c r="AZ524" s="292"/>
      <c r="BA524" s="292"/>
      <c r="BB524" s="292"/>
      <c r="BC524" s="292"/>
      <c r="BD524" s="292"/>
      <c r="BE524" s="292"/>
      <c r="BF524" s="292"/>
      <c r="BG524" s="292"/>
      <c r="BH524" s="292"/>
      <c r="BI524" s="292"/>
      <c r="BJ524" s="292"/>
      <c r="BK524" s="292"/>
      <c r="BL524" s="292"/>
      <c r="BM524" s="292"/>
      <c r="BN524" s="292"/>
      <c r="BO524" s="292"/>
      <c r="BP524" s="292"/>
      <c r="BQ524" s="292"/>
      <c r="BR524" s="292"/>
      <c r="BS524" s="292"/>
      <c r="BT524" s="292"/>
      <c r="BU524" s="292"/>
      <c r="BV524" s="292"/>
      <c r="BW524" s="292"/>
    </row>
    <row r="525">
      <c r="A525" s="292"/>
      <c r="B525" s="292" t="str">
        <f>IFERROR(__xludf.DUMMYFUNCTION("""COMPUTED_VALUE"""),"")</f>
        <v/>
      </c>
      <c r="C525" s="292"/>
      <c r="D525" s="292" t="str">
        <f>IFERROR(__xludf.DUMMYFUNCTION("""COMPUTED_VALUE"""),"")</f>
        <v/>
      </c>
      <c r="E525" s="292" t="str">
        <f>IFERROR(__xludf.DUMMYFUNCTION("""COMPUTED_VALUE"""),"")</f>
        <v/>
      </c>
      <c r="F525" s="292"/>
      <c r="G525" s="292" t="str">
        <f>IFERROR(__xludf.DUMMYFUNCTION("""COMPUTED_VALUE"""),"")</f>
        <v/>
      </c>
      <c r="H525" s="292" t="str">
        <f>IFERROR(__xludf.DUMMYFUNCTION("""COMPUTED_VALUE"""),"")</f>
        <v/>
      </c>
      <c r="I525" s="292"/>
      <c r="J525" s="292"/>
      <c r="K525" s="292"/>
      <c r="L525" s="292"/>
      <c r="M525" s="292" t="str">
        <f>IFERROR(__xludf.DUMMYFUNCTION("""COMPUTED_VALUE"""),"")</f>
        <v/>
      </c>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c r="AK525" s="292"/>
      <c r="AL525" s="292"/>
      <c r="AM525" s="292"/>
      <c r="AN525" s="292"/>
      <c r="AO525" s="292"/>
      <c r="AP525" s="292"/>
      <c r="AQ525" s="292"/>
      <c r="AR525" s="292"/>
      <c r="AS525" s="292"/>
      <c r="AT525" s="292"/>
      <c r="AU525" s="292"/>
      <c r="AV525" s="292"/>
      <c r="AW525" s="292"/>
      <c r="AX525" s="292"/>
      <c r="AY525" s="292"/>
      <c r="AZ525" s="292"/>
      <c r="BA525" s="292"/>
      <c r="BB525" s="292"/>
      <c r="BC525" s="292"/>
      <c r="BD525" s="292"/>
      <c r="BE525" s="292"/>
      <c r="BF525" s="292"/>
      <c r="BG525" s="292"/>
      <c r="BH525" s="292"/>
      <c r="BI525" s="292"/>
      <c r="BJ525" s="292"/>
      <c r="BK525" s="292"/>
      <c r="BL525" s="292"/>
      <c r="BM525" s="292"/>
      <c r="BN525" s="292"/>
      <c r="BO525" s="292"/>
      <c r="BP525" s="292"/>
      <c r="BQ525" s="292"/>
      <c r="BR525" s="292"/>
      <c r="BS525" s="292"/>
      <c r="BT525" s="292"/>
      <c r="BU525" s="292"/>
      <c r="BV525" s="292"/>
      <c r="BW525" s="292"/>
    </row>
    <row r="526">
      <c r="A526" s="292"/>
      <c r="B526" s="292" t="str">
        <f>IFERROR(__xludf.DUMMYFUNCTION("""COMPUTED_VALUE"""),"")</f>
        <v/>
      </c>
      <c r="C526" s="292"/>
      <c r="D526" s="292" t="str">
        <f>IFERROR(__xludf.DUMMYFUNCTION("""COMPUTED_VALUE"""),"")</f>
        <v/>
      </c>
      <c r="E526" s="292" t="str">
        <f>IFERROR(__xludf.DUMMYFUNCTION("""COMPUTED_VALUE"""),"")</f>
        <v/>
      </c>
      <c r="F526" s="292"/>
      <c r="G526" s="292" t="str">
        <f>IFERROR(__xludf.DUMMYFUNCTION("""COMPUTED_VALUE"""),"")</f>
        <v/>
      </c>
      <c r="H526" s="292" t="str">
        <f>IFERROR(__xludf.DUMMYFUNCTION("""COMPUTED_VALUE"""),"")</f>
        <v/>
      </c>
      <c r="I526" s="292"/>
      <c r="J526" s="292"/>
      <c r="K526" s="292"/>
      <c r="L526" s="292"/>
      <c r="M526" s="292" t="str">
        <f>IFERROR(__xludf.DUMMYFUNCTION("""COMPUTED_VALUE"""),"")</f>
        <v/>
      </c>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c r="AK526" s="292"/>
      <c r="AL526" s="292"/>
      <c r="AM526" s="292"/>
      <c r="AN526" s="292"/>
      <c r="AO526" s="292"/>
      <c r="AP526" s="292"/>
      <c r="AQ526" s="292"/>
      <c r="AR526" s="292"/>
      <c r="AS526" s="292"/>
      <c r="AT526" s="292"/>
      <c r="AU526" s="292"/>
      <c r="AV526" s="292"/>
      <c r="AW526" s="292"/>
      <c r="AX526" s="292"/>
      <c r="AY526" s="292"/>
      <c r="AZ526" s="292"/>
      <c r="BA526" s="292"/>
      <c r="BB526" s="292"/>
      <c r="BC526" s="292"/>
      <c r="BD526" s="292"/>
      <c r="BE526" s="292"/>
      <c r="BF526" s="292"/>
      <c r="BG526" s="292"/>
      <c r="BH526" s="292"/>
      <c r="BI526" s="292"/>
      <c r="BJ526" s="292"/>
      <c r="BK526" s="292"/>
      <c r="BL526" s="292"/>
      <c r="BM526" s="292"/>
      <c r="BN526" s="292"/>
      <c r="BO526" s="292"/>
      <c r="BP526" s="292"/>
      <c r="BQ526" s="292"/>
      <c r="BR526" s="292"/>
      <c r="BS526" s="292"/>
      <c r="BT526" s="292"/>
      <c r="BU526" s="292"/>
      <c r="BV526" s="292"/>
      <c r="BW526" s="292"/>
    </row>
    <row r="527">
      <c r="A527" s="292"/>
      <c r="B527" s="292" t="str">
        <f>IFERROR(__xludf.DUMMYFUNCTION("""COMPUTED_VALUE"""),"")</f>
        <v/>
      </c>
      <c r="C527" s="292"/>
      <c r="D527" s="292" t="str">
        <f>IFERROR(__xludf.DUMMYFUNCTION("""COMPUTED_VALUE"""),"")</f>
        <v/>
      </c>
      <c r="E527" s="292" t="str">
        <f>IFERROR(__xludf.DUMMYFUNCTION("""COMPUTED_VALUE"""),"")</f>
        <v/>
      </c>
      <c r="F527" s="292"/>
      <c r="G527" s="292" t="str">
        <f>IFERROR(__xludf.DUMMYFUNCTION("""COMPUTED_VALUE"""),"")</f>
        <v/>
      </c>
      <c r="H527" s="292" t="str">
        <f>IFERROR(__xludf.DUMMYFUNCTION("""COMPUTED_VALUE"""),"")</f>
        <v/>
      </c>
      <c r="I527" s="292"/>
      <c r="J527" s="292"/>
      <c r="K527" s="292"/>
      <c r="L527" s="292"/>
      <c r="M527" s="292" t="str">
        <f>IFERROR(__xludf.DUMMYFUNCTION("""COMPUTED_VALUE"""),"")</f>
        <v/>
      </c>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c r="AK527" s="292"/>
      <c r="AL527" s="292"/>
      <c r="AM527" s="292"/>
      <c r="AN527" s="292"/>
      <c r="AO527" s="292"/>
      <c r="AP527" s="292"/>
      <c r="AQ527" s="292"/>
      <c r="AR527" s="292"/>
      <c r="AS527" s="292"/>
      <c r="AT527" s="292"/>
      <c r="AU527" s="292"/>
      <c r="AV527" s="292"/>
      <c r="AW527" s="292"/>
      <c r="AX527" s="292"/>
      <c r="AY527" s="292"/>
      <c r="AZ527" s="292"/>
      <c r="BA527" s="292"/>
      <c r="BB527" s="292"/>
      <c r="BC527" s="292"/>
      <c r="BD527" s="292"/>
      <c r="BE527" s="292"/>
      <c r="BF527" s="292"/>
      <c r="BG527" s="292"/>
      <c r="BH527" s="292"/>
      <c r="BI527" s="292"/>
      <c r="BJ527" s="292"/>
      <c r="BK527" s="292"/>
      <c r="BL527" s="292"/>
      <c r="BM527" s="292"/>
      <c r="BN527" s="292"/>
      <c r="BO527" s="292"/>
      <c r="BP527" s="292"/>
      <c r="BQ527" s="292"/>
      <c r="BR527" s="292"/>
      <c r="BS527" s="292"/>
      <c r="BT527" s="292"/>
      <c r="BU527" s="292"/>
      <c r="BV527" s="292"/>
      <c r="BW527" s="292"/>
    </row>
    <row r="528">
      <c r="A528" s="292"/>
      <c r="B528" s="292" t="str">
        <f>IFERROR(__xludf.DUMMYFUNCTION("""COMPUTED_VALUE"""),"")</f>
        <v/>
      </c>
      <c r="C528" s="292"/>
      <c r="D528" s="292" t="str">
        <f>IFERROR(__xludf.DUMMYFUNCTION("""COMPUTED_VALUE"""),"")</f>
        <v/>
      </c>
      <c r="E528" s="292" t="str">
        <f>IFERROR(__xludf.DUMMYFUNCTION("""COMPUTED_VALUE"""),"")</f>
        <v/>
      </c>
      <c r="F528" s="292"/>
      <c r="G528" s="292" t="str">
        <f>IFERROR(__xludf.DUMMYFUNCTION("""COMPUTED_VALUE"""),"")</f>
        <v/>
      </c>
      <c r="H528" s="292" t="str">
        <f>IFERROR(__xludf.DUMMYFUNCTION("""COMPUTED_VALUE"""),"")</f>
        <v/>
      </c>
      <c r="I528" s="292"/>
      <c r="J528" s="292"/>
      <c r="K528" s="292"/>
      <c r="L528" s="292"/>
      <c r="M528" s="292" t="str">
        <f>IFERROR(__xludf.DUMMYFUNCTION("""COMPUTED_VALUE"""),"")</f>
        <v/>
      </c>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c r="AK528" s="292"/>
      <c r="AL528" s="292"/>
      <c r="AM528" s="292"/>
      <c r="AN528" s="292"/>
      <c r="AO528" s="292"/>
      <c r="AP528" s="292"/>
      <c r="AQ528" s="292"/>
      <c r="AR528" s="292"/>
      <c r="AS528" s="292"/>
      <c r="AT528" s="292"/>
      <c r="AU528" s="292"/>
      <c r="AV528" s="292"/>
      <c r="AW528" s="292"/>
      <c r="AX528" s="292"/>
      <c r="AY528" s="292"/>
      <c r="AZ528" s="292"/>
      <c r="BA528" s="292"/>
      <c r="BB528" s="292"/>
      <c r="BC528" s="292"/>
      <c r="BD528" s="292"/>
      <c r="BE528" s="292"/>
      <c r="BF528" s="292"/>
      <c r="BG528" s="292"/>
      <c r="BH528" s="292"/>
      <c r="BI528" s="292"/>
      <c r="BJ528" s="292"/>
      <c r="BK528" s="292"/>
      <c r="BL528" s="292"/>
      <c r="BM528" s="292"/>
      <c r="BN528" s="292"/>
      <c r="BO528" s="292"/>
      <c r="BP528" s="292"/>
      <c r="BQ528" s="292"/>
      <c r="BR528" s="292"/>
      <c r="BS528" s="292"/>
      <c r="BT528" s="292"/>
      <c r="BU528" s="292"/>
      <c r="BV528" s="292"/>
      <c r="BW528" s="292"/>
    </row>
    <row r="529">
      <c r="A529" s="292"/>
      <c r="B529" s="292" t="str">
        <f>IFERROR(__xludf.DUMMYFUNCTION("""COMPUTED_VALUE"""),"")</f>
        <v/>
      </c>
      <c r="C529" s="292"/>
      <c r="D529" s="292" t="str">
        <f>IFERROR(__xludf.DUMMYFUNCTION("""COMPUTED_VALUE"""),"")</f>
        <v/>
      </c>
      <c r="E529" s="292" t="str">
        <f>IFERROR(__xludf.DUMMYFUNCTION("""COMPUTED_VALUE"""),"")</f>
        <v/>
      </c>
      <c r="F529" s="292"/>
      <c r="G529" s="292" t="str">
        <f>IFERROR(__xludf.DUMMYFUNCTION("""COMPUTED_VALUE"""),"")</f>
        <v/>
      </c>
      <c r="H529" s="292" t="str">
        <f>IFERROR(__xludf.DUMMYFUNCTION("""COMPUTED_VALUE"""),"")</f>
        <v/>
      </c>
      <c r="I529" s="292"/>
      <c r="J529" s="292"/>
      <c r="K529" s="292"/>
      <c r="L529" s="292"/>
      <c r="M529" s="292" t="str">
        <f>IFERROR(__xludf.DUMMYFUNCTION("""COMPUTED_VALUE"""),"")</f>
        <v/>
      </c>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c r="AK529" s="292"/>
      <c r="AL529" s="292"/>
      <c r="AM529" s="292"/>
      <c r="AN529" s="292"/>
      <c r="AO529" s="292"/>
      <c r="AP529" s="292"/>
      <c r="AQ529" s="292"/>
      <c r="AR529" s="292"/>
      <c r="AS529" s="292"/>
      <c r="AT529" s="292"/>
      <c r="AU529" s="292"/>
      <c r="AV529" s="292"/>
      <c r="AW529" s="292"/>
      <c r="AX529" s="292"/>
      <c r="AY529" s="292"/>
      <c r="AZ529" s="292"/>
      <c r="BA529" s="292"/>
      <c r="BB529" s="292"/>
      <c r="BC529" s="292"/>
      <c r="BD529" s="292"/>
      <c r="BE529" s="292"/>
      <c r="BF529" s="292"/>
      <c r="BG529" s="292"/>
      <c r="BH529" s="292"/>
      <c r="BI529" s="292"/>
      <c r="BJ529" s="292"/>
      <c r="BK529" s="292"/>
      <c r="BL529" s="292"/>
      <c r="BM529" s="292"/>
      <c r="BN529" s="292"/>
      <c r="BO529" s="292"/>
      <c r="BP529" s="292"/>
      <c r="BQ529" s="292"/>
      <c r="BR529" s="292"/>
      <c r="BS529" s="292"/>
      <c r="BT529" s="292"/>
      <c r="BU529" s="292"/>
      <c r="BV529" s="292"/>
      <c r="BW529" s="292"/>
    </row>
    <row r="530">
      <c r="A530" s="292"/>
      <c r="B530" s="292" t="str">
        <f>IFERROR(__xludf.DUMMYFUNCTION("""COMPUTED_VALUE"""),"")</f>
        <v/>
      </c>
      <c r="C530" s="292"/>
      <c r="D530" s="292" t="str">
        <f>IFERROR(__xludf.DUMMYFUNCTION("""COMPUTED_VALUE"""),"")</f>
        <v/>
      </c>
      <c r="E530" s="292" t="str">
        <f>IFERROR(__xludf.DUMMYFUNCTION("""COMPUTED_VALUE"""),"")</f>
        <v/>
      </c>
      <c r="F530" s="292"/>
      <c r="G530" s="292" t="str">
        <f>IFERROR(__xludf.DUMMYFUNCTION("""COMPUTED_VALUE"""),"")</f>
        <v/>
      </c>
      <c r="H530" s="292" t="str">
        <f>IFERROR(__xludf.DUMMYFUNCTION("""COMPUTED_VALUE"""),"")</f>
        <v/>
      </c>
      <c r="I530" s="292"/>
      <c r="J530" s="292"/>
      <c r="K530" s="292"/>
      <c r="L530" s="292"/>
      <c r="M530" s="292" t="str">
        <f>IFERROR(__xludf.DUMMYFUNCTION("""COMPUTED_VALUE"""),"")</f>
        <v/>
      </c>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c r="AK530" s="292"/>
      <c r="AL530" s="292"/>
      <c r="AM530" s="292"/>
      <c r="AN530" s="292"/>
      <c r="AO530" s="292"/>
      <c r="AP530" s="292"/>
      <c r="AQ530" s="292"/>
      <c r="AR530" s="292"/>
      <c r="AS530" s="292"/>
      <c r="AT530" s="292"/>
      <c r="AU530" s="292"/>
      <c r="AV530" s="292"/>
      <c r="AW530" s="292"/>
      <c r="AX530" s="292"/>
      <c r="AY530" s="292"/>
      <c r="AZ530" s="292"/>
      <c r="BA530" s="292"/>
      <c r="BB530" s="292"/>
      <c r="BC530" s="292"/>
      <c r="BD530" s="292"/>
      <c r="BE530" s="292"/>
      <c r="BF530" s="292"/>
      <c r="BG530" s="292"/>
      <c r="BH530" s="292"/>
      <c r="BI530" s="292"/>
      <c r="BJ530" s="292"/>
      <c r="BK530" s="292"/>
      <c r="BL530" s="292"/>
      <c r="BM530" s="292"/>
      <c r="BN530" s="292"/>
      <c r="BO530" s="292"/>
      <c r="BP530" s="292"/>
      <c r="BQ530" s="292"/>
      <c r="BR530" s="292"/>
      <c r="BS530" s="292"/>
      <c r="BT530" s="292"/>
      <c r="BU530" s="292"/>
      <c r="BV530" s="292"/>
      <c r="BW530" s="292"/>
    </row>
    <row r="531">
      <c r="A531" s="292"/>
      <c r="B531" s="292" t="str">
        <f>IFERROR(__xludf.DUMMYFUNCTION("""COMPUTED_VALUE"""),"")</f>
        <v/>
      </c>
      <c r="C531" s="292"/>
      <c r="D531" s="292" t="str">
        <f>IFERROR(__xludf.DUMMYFUNCTION("""COMPUTED_VALUE"""),"")</f>
        <v/>
      </c>
      <c r="E531" s="292" t="str">
        <f>IFERROR(__xludf.DUMMYFUNCTION("""COMPUTED_VALUE"""),"")</f>
        <v/>
      </c>
      <c r="F531" s="292"/>
      <c r="G531" s="292" t="str">
        <f>IFERROR(__xludf.DUMMYFUNCTION("""COMPUTED_VALUE"""),"")</f>
        <v/>
      </c>
      <c r="H531" s="292" t="str">
        <f>IFERROR(__xludf.DUMMYFUNCTION("""COMPUTED_VALUE"""),"")</f>
        <v/>
      </c>
      <c r="I531" s="292"/>
      <c r="J531" s="292"/>
      <c r="K531" s="292"/>
      <c r="L531" s="292"/>
      <c r="M531" s="292" t="str">
        <f>IFERROR(__xludf.DUMMYFUNCTION("""COMPUTED_VALUE"""),"")</f>
        <v/>
      </c>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c r="AK531" s="292"/>
      <c r="AL531" s="292"/>
      <c r="AM531" s="292"/>
      <c r="AN531" s="292"/>
      <c r="AO531" s="292"/>
      <c r="AP531" s="292"/>
      <c r="AQ531" s="292"/>
      <c r="AR531" s="292"/>
      <c r="AS531" s="292"/>
      <c r="AT531" s="292"/>
      <c r="AU531" s="292"/>
      <c r="AV531" s="292"/>
      <c r="AW531" s="292"/>
      <c r="AX531" s="292"/>
      <c r="AY531" s="292"/>
      <c r="AZ531" s="292"/>
      <c r="BA531" s="292"/>
      <c r="BB531" s="292"/>
      <c r="BC531" s="292"/>
      <c r="BD531" s="292"/>
      <c r="BE531" s="292"/>
      <c r="BF531" s="292"/>
      <c r="BG531" s="292"/>
      <c r="BH531" s="292"/>
      <c r="BI531" s="292"/>
      <c r="BJ531" s="292"/>
      <c r="BK531" s="292"/>
      <c r="BL531" s="292"/>
      <c r="BM531" s="292"/>
      <c r="BN531" s="292"/>
      <c r="BO531" s="292"/>
      <c r="BP531" s="292"/>
      <c r="BQ531" s="292"/>
      <c r="BR531" s="292"/>
      <c r="BS531" s="292"/>
      <c r="BT531" s="292"/>
      <c r="BU531" s="292"/>
      <c r="BV531" s="292"/>
      <c r="BW531" s="292"/>
    </row>
    <row r="532">
      <c r="A532" s="292"/>
      <c r="B532" s="292" t="str">
        <f>IFERROR(__xludf.DUMMYFUNCTION("""COMPUTED_VALUE"""),"")</f>
        <v/>
      </c>
      <c r="C532" s="292"/>
      <c r="D532" s="292" t="str">
        <f>IFERROR(__xludf.DUMMYFUNCTION("""COMPUTED_VALUE"""),"")</f>
        <v/>
      </c>
      <c r="E532" s="292" t="str">
        <f>IFERROR(__xludf.DUMMYFUNCTION("""COMPUTED_VALUE"""),"")</f>
        <v/>
      </c>
      <c r="F532" s="292"/>
      <c r="G532" s="292" t="str">
        <f>IFERROR(__xludf.DUMMYFUNCTION("""COMPUTED_VALUE"""),"")</f>
        <v/>
      </c>
      <c r="H532" s="292" t="str">
        <f>IFERROR(__xludf.DUMMYFUNCTION("""COMPUTED_VALUE"""),"")</f>
        <v/>
      </c>
      <c r="I532" s="292"/>
      <c r="J532" s="292"/>
      <c r="K532" s="292"/>
      <c r="L532" s="292"/>
      <c r="M532" s="292" t="str">
        <f>IFERROR(__xludf.DUMMYFUNCTION("""COMPUTED_VALUE"""),"")</f>
        <v/>
      </c>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c r="AK532" s="292"/>
      <c r="AL532" s="292"/>
      <c r="AM532" s="292"/>
      <c r="AN532" s="292"/>
      <c r="AO532" s="292"/>
      <c r="AP532" s="292"/>
      <c r="AQ532" s="292"/>
      <c r="AR532" s="292"/>
      <c r="AS532" s="292"/>
      <c r="AT532" s="292"/>
      <c r="AU532" s="292"/>
      <c r="AV532" s="292"/>
      <c r="AW532" s="292"/>
      <c r="AX532" s="292"/>
      <c r="AY532" s="292"/>
      <c r="AZ532" s="292"/>
      <c r="BA532" s="292"/>
      <c r="BB532" s="292"/>
      <c r="BC532" s="292"/>
      <c r="BD532" s="292"/>
      <c r="BE532" s="292"/>
      <c r="BF532" s="292"/>
      <c r="BG532" s="292"/>
      <c r="BH532" s="292"/>
      <c r="BI532" s="292"/>
      <c r="BJ532" s="292"/>
      <c r="BK532" s="292"/>
      <c r="BL532" s="292"/>
      <c r="BM532" s="292"/>
      <c r="BN532" s="292"/>
      <c r="BO532" s="292"/>
      <c r="BP532" s="292"/>
      <c r="BQ532" s="292"/>
      <c r="BR532" s="292"/>
      <c r="BS532" s="292"/>
      <c r="BT532" s="292"/>
      <c r="BU532" s="292"/>
      <c r="BV532" s="292"/>
      <c r="BW532" s="292"/>
    </row>
    <row r="533">
      <c r="A533" s="292"/>
      <c r="B533" s="292" t="str">
        <f>IFERROR(__xludf.DUMMYFUNCTION("""COMPUTED_VALUE"""),"")</f>
        <v/>
      </c>
      <c r="C533" s="292"/>
      <c r="D533" s="292" t="str">
        <f>IFERROR(__xludf.DUMMYFUNCTION("""COMPUTED_VALUE"""),"")</f>
        <v/>
      </c>
      <c r="E533" s="292" t="str">
        <f>IFERROR(__xludf.DUMMYFUNCTION("""COMPUTED_VALUE"""),"")</f>
        <v/>
      </c>
      <c r="F533" s="292"/>
      <c r="G533" s="292" t="str">
        <f>IFERROR(__xludf.DUMMYFUNCTION("""COMPUTED_VALUE"""),"")</f>
        <v/>
      </c>
      <c r="H533" s="292" t="str">
        <f>IFERROR(__xludf.DUMMYFUNCTION("""COMPUTED_VALUE"""),"")</f>
        <v/>
      </c>
      <c r="I533" s="292"/>
      <c r="J533" s="292"/>
      <c r="K533" s="292"/>
      <c r="L533" s="292"/>
      <c r="M533" s="292" t="str">
        <f>IFERROR(__xludf.DUMMYFUNCTION("""COMPUTED_VALUE"""),"")</f>
        <v/>
      </c>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c r="AK533" s="292"/>
      <c r="AL533" s="292"/>
      <c r="AM533" s="292"/>
      <c r="AN533" s="292"/>
      <c r="AO533" s="292"/>
      <c r="AP533" s="292"/>
      <c r="AQ533" s="292"/>
      <c r="AR533" s="292"/>
      <c r="AS533" s="292"/>
      <c r="AT533" s="292"/>
      <c r="AU533" s="292"/>
      <c r="AV533" s="292"/>
      <c r="AW533" s="292"/>
      <c r="AX533" s="292"/>
      <c r="AY533" s="292"/>
      <c r="AZ533" s="292"/>
      <c r="BA533" s="292"/>
      <c r="BB533" s="292"/>
      <c r="BC533" s="292"/>
      <c r="BD533" s="292"/>
      <c r="BE533" s="292"/>
      <c r="BF533" s="292"/>
      <c r="BG533" s="292"/>
      <c r="BH533" s="292"/>
      <c r="BI533" s="292"/>
      <c r="BJ533" s="292"/>
      <c r="BK533" s="292"/>
      <c r="BL533" s="292"/>
      <c r="BM533" s="292"/>
      <c r="BN533" s="292"/>
      <c r="BO533" s="292"/>
      <c r="BP533" s="292"/>
      <c r="BQ533" s="292"/>
      <c r="BR533" s="292"/>
      <c r="BS533" s="292"/>
      <c r="BT533" s="292"/>
      <c r="BU533" s="292"/>
      <c r="BV533" s="292"/>
      <c r="BW533" s="292"/>
    </row>
    <row r="534">
      <c r="A534" s="292"/>
      <c r="B534" s="292" t="str">
        <f>IFERROR(__xludf.DUMMYFUNCTION("""COMPUTED_VALUE"""),"")</f>
        <v/>
      </c>
      <c r="C534" s="292"/>
      <c r="D534" s="292" t="str">
        <f>IFERROR(__xludf.DUMMYFUNCTION("""COMPUTED_VALUE"""),"")</f>
        <v/>
      </c>
      <c r="E534" s="292" t="str">
        <f>IFERROR(__xludf.DUMMYFUNCTION("""COMPUTED_VALUE"""),"")</f>
        <v/>
      </c>
      <c r="F534" s="292"/>
      <c r="G534" s="292" t="str">
        <f>IFERROR(__xludf.DUMMYFUNCTION("""COMPUTED_VALUE"""),"")</f>
        <v/>
      </c>
      <c r="H534" s="292" t="str">
        <f>IFERROR(__xludf.DUMMYFUNCTION("""COMPUTED_VALUE"""),"")</f>
        <v/>
      </c>
      <c r="I534" s="292"/>
      <c r="J534" s="292"/>
      <c r="K534" s="292"/>
      <c r="L534" s="292"/>
      <c r="M534" s="292" t="str">
        <f>IFERROR(__xludf.DUMMYFUNCTION("""COMPUTED_VALUE"""),"")</f>
        <v/>
      </c>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c r="AK534" s="292"/>
      <c r="AL534" s="292"/>
      <c r="AM534" s="292"/>
      <c r="AN534" s="292"/>
      <c r="AO534" s="292"/>
      <c r="AP534" s="292"/>
      <c r="AQ534" s="292"/>
      <c r="AR534" s="292"/>
      <c r="AS534" s="292"/>
      <c r="AT534" s="292"/>
      <c r="AU534" s="292"/>
      <c r="AV534" s="292"/>
      <c r="AW534" s="292"/>
      <c r="AX534" s="292"/>
      <c r="AY534" s="292"/>
      <c r="AZ534" s="292"/>
      <c r="BA534" s="292"/>
      <c r="BB534" s="292"/>
      <c r="BC534" s="292"/>
      <c r="BD534" s="292"/>
      <c r="BE534" s="292"/>
      <c r="BF534" s="292"/>
      <c r="BG534" s="292"/>
      <c r="BH534" s="292"/>
      <c r="BI534" s="292"/>
      <c r="BJ534" s="292"/>
      <c r="BK534" s="292"/>
      <c r="BL534" s="292"/>
      <c r="BM534" s="292"/>
      <c r="BN534" s="292"/>
      <c r="BO534" s="292"/>
      <c r="BP534" s="292"/>
      <c r="BQ534" s="292"/>
      <c r="BR534" s="292"/>
      <c r="BS534" s="292"/>
      <c r="BT534" s="292"/>
      <c r="BU534" s="292"/>
      <c r="BV534" s="292"/>
      <c r="BW534" s="292"/>
    </row>
    <row r="535">
      <c r="A535" s="292"/>
      <c r="B535" s="292" t="str">
        <f>IFERROR(__xludf.DUMMYFUNCTION("""COMPUTED_VALUE"""),"")</f>
        <v/>
      </c>
      <c r="C535" s="292"/>
      <c r="D535" s="292" t="str">
        <f>IFERROR(__xludf.DUMMYFUNCTION("""COMPUTED_VALUE"""),"")</f>
        <v/>
      </c>
      <c r="E535" s="292" t="str">
        <f>IFERROR(__xludf.DUMMYFUNCTION("""COMPUTED_VALUE"""),"")</f>
        <v/>
      </c>
      <c r="F535" s="292"/>
      <c r="G535" s="292" t="str">
        <f>IFERROR(__xludf.DUMMYFUNCTION("""COMPUTED_VALUE"""),"")</f>
        <v/>
      </c>
      <c r="H535" s="292" t="str">
        <f>IFERROR(__xludf.DUMMYFUNCTION("""COMPUTED_VALUE"""),"")</f>
        <v/>
      </c>
      <c r="I535" s="292"/>
      <c r="J535" s="292"/>
      <c r="K535" s="292"/>
      <c r="L535" s="292"/>
      <c r="M535" s="292" t="str">
        <f>IFERROR(__xludf.DUMMYFUNCTION("""COMPUTED_VALUE"""),"")</f>
        <v/>
      </c>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c r="AK535" s="292"/>
      <c r="AL535" s="292"/>
      <c r="AM535" s="292"/>
      <c r="AN535" s="292"/>
      <c r="AO535" s="292"/>
      <c r="AP535" s="292"/>
      <c r="AQ535" s="292"/>
      <c r="AR535" s="292"/>
      <c r="AS535" s="292"/>
      <c r="AT535" s="292"/>
      <c r="AU535" s="292"/>
      <c r="AV535" s="292"/>
      <c r="AW535" s="292"/>
      <c r="AX535" s="292"/>
      <c r="AY535" s="292"/>
      <c r="AZ535" s="292"/>
      <c r="BA535" s="292"/>
      <c r="BB535" s="292"/>
      <c r="BC535" s="292"/>
      <c r="BD535" s="292"/>
      <c r="BE535" s="292"/>
      <c r="BF535" s="292"/>
      <c r="BG535" s="292"/>
      <c r="BH535" s="292"/>
      <c r="BI535" s="292"/>
      <c r="BJ535" s="292"/>
      <c r="BK535" s="292"/>
      <c r="BL535" s="292"/>
      <c r="BM535" s="292"/>
      <c r="BN535" s="292"/>
      <c r="BO535" s="292"/>
      <c r="BP535" s="292"/>
      <c r="BQ535" s="292"/>
      <c r="BR535" s="292"/>
      <c r="BS535" s="292"/>
      <c r="BT535" s="292"/>
      <c r="BU535" s="292"/>
      <c r="BV535" s="292"/>
      <c r="BW535" s="292"/>
    </row>
    <row r="536">
      <c r="A536" s="292"/>
      <c r="B536" s="292" t="str">
        <f>IFERROR(__xludf.DUMMYFUNCTION("""COMPUTED_VALUE"""),"")</f>
        <v/>
      </c>
      <c r="C536" s="292"/>
      <c r="D536" s="292" t="str">
        <f>IFERROR(__xludf.DUMMYFUNCTION("""COMPUTED_VALUE"""),"")</f>
        <v/>
      </c>
      <c r="E536" s="292" t="str">
        <f>IFERROR(__xludf.DUMMYFUNCTION("""COMPUTED_VALUE"""),"")</f>
        <v/>
      </c>
      <c r="F536" s="292"/>
      <c r="G536" s="292" t="str">
        <f>IFERROR(__xludf.DUMMYFUNCTION("""COMPUTED_VALUE"""),"")</f>
        <v/>
      </c>
      <c r="H536" s="292" t="str">
        <f>IFERROR(__xludf.DUMMYFUNCTION("""COMPUTED_VALUE"""),"")</f>
        <v/>
      </c>
      <c r="I536" s="292"/>
      <c r="J536" s="292"/>
      <c r="K536" s="292"/>
      <c r="L536" s="292"/>
      <c r="M536" s="292" t="str">
        <f>IFERROR(__xludf.DUMMYFUNCTION("""COMPUTED_VALUE"""),"")</f>
        <v/>
      </c>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c r="AK536" s="292"/>
      <c r="AL536" s="292"/>
      <c r="AM536" s="292"/>
      <c r="AN536" s="292"/>
      <c r="AO536" s="292"/>
      <c r="AP536" s="292"/>
      <c r="AQ536" s="292"/>
      <c r="AR536" s="292"/>
      <c r="AS536" s="292"/>
      <c r="AT536" s="292"/>
      <c r="AU536" s="292"/>
      <c r="AV536" s="292"/>
      <c r="AW536" s="292"/>
      <c r="AX536" s="292"/>
      <c r="AY536" s="292"/>
      <c r="AZ536" s="292"/>
      <c r="BA536" s="292"/>
      <c r="BB536" s="292"/>
      <c r="BC536" s="292"/>
      <c r="BD536" s="292"/>
      <c r="BE536" s="292"/>
      <c r="BF536" s="292"/>
      <c r="BG536" s="292"/>
      <c r="BH536" s="292"/>
      <c r="BI536" s="292"/>
      <c r="BJ536" s="292"/>
      <c r="BK536" s="292"/>
      <c r="BL536" s="292"/>
      <c r="BM536" s="292"/>
      <c r="BN536" s="292"/>
      <c r="BO536" s="292"/>
      <c r="BP536" s="292"/>
      <c r="BQ536" s="292"/>
      <c r="BR536" s="292"/>
      <c r="BS536" s="292"/>
      <c r="BT536" s="292"/>
      <c r="BU536" s="292"/>
      <c r="BV536" s="292"/>
      <c r="BW536" s="292"/>
    </row>
    <row r="537">
      <c r="A537" s="292"/>
      <c r="B537" s="292" t="str">
        <f>IFERROR(__xludf.DUMMYFUNCTION("""COMPUTED_VALUE"""),"")</f>
        <v/>
      </c>
      <c r="C537" s="292"/>
      <c r="D537" s="292" t="str">
        <f>IFERROR(__xludf.DUMMYFUNCTION("""COMPUTED_VALUE"""),"")</f>
        <v/>
      </c>
      <c r="E537" s="292" t="str">
        <f>IFERROR(__xludf.DUMMYFUNCTION("""COMPUTED_VALUE"""),"")</f>
        <v/>
      </c>
      <c r="F537" s="292"/>
      <c r="G537" s="292" t="str">
        <f>IFERROR(__xludf.DUMMYFUNCTION("""COMPUTED_VALUE"""),"")</f>
        <v/>
      </c>
      <c r="H537" s="292" t="str">
        <f>IFERROR(__xludf.DUMMYFUNCTION("""COMPUTED_VALUE"""),"")</f>
        <v/>
      </c>
      <c r="I537" s="292"/>
      <c r="J537" s="292"/>
      <c r="K537" s="292"/>
      <c r="L537" s="292"/>
      <c r="M537" s="292" t="str">
        <f>IFERROR(__xludf.DUMMYFUNCTION("""COMPUTED_VALUE"""),"")</f>
        <v/>
      </c>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c r="AK537" s="292"/>
      <c r="AL537" s="292"/>
      <c r="AM537" s="292"/>
      <c r="AN537" s="292"/>
      <c r="AO537" s="292"/>
      <c r="AP537" s="292"/>
      <c r="AQ537" s="292"/>
      <c r="AR537" s="292"/>
      <c r="AS537" s="292"/>
      <c r="AT537" s="292"/>
      <c r="AU537" s="292"/>
      <c r="AV537" s="292"/>
      <c r="AW537" s="292"/>
      <c r="AX537" s="292"/>
      <c r="AY537" s="292"/>
      <c r="AZ537" s="292"/>
      <c r="BA537" s="292"/>
      <c r="BB537" s="292"/>
      <c r="BC537" s="292"/>
      <c r="BD537" s="292"/>
      <c r="BE537" s="292"/>
      <c r="BF537" s="292"/>
      <c r="BG537" s="292"/>
      <c r="BH537" s="292"/>
      <c r="BI537" s="292"/>
      <c r="BJ537" s="292"/>
      <c r="BK537" s="292"/>
      <c r="BL537" s="292"/>
      <c r="BM537" s="292"/>
      <c r="BN537" s="292"/>
      <c r="BO537" s="292"/>
      <c r="BP537" s="292"/>
      <c r="BQ537" s="292"/>
      <c r="BR537" s="292"/>
      <c r="BS537" s="292"/>
      <c r="BT537" s="292"/>
      <c r="BU537" s="292"/>
      <c r="BV537" s="292"/>
      <c r="BW537" s="292"/>
    </row>
    <row r="538">
      <c r="A538" s="292"/>
      <c r="B538" s="292" t="str">
        <f>IFERROR(__xludf.DUMMYFUNCTION("""COMPUTED_VALUE"""),"")</f>
        <v/>
      </c>
      <c r="C538" s="292"/>
      <c r="D538" s="292" t="str">
        <f>IFERROR(__xludf.DUMMYFUNCTION("""COMPUTED_VALUE"""),"")</f>
        <v/>
      </c>
      <c r="E538" s="292" t="str">
        <f>IFERROR(__xludf.DUMMYFUNCTION("""COMPUTED_VALUE"""),"")</f>
        <v/>
      </c>
      <c r="F538" s="292"/>
      <c r="G538" s="292" t="str">
        <f>IFERROR(__xludf.DUMMYFUNCTION("""COMPUTED_VALUE"""),"")</f>
        <v/>
      </c>
      <c r="H538" s="292" t="str">
        <f>IFERROR(__xludf.DUMMYFUNCTION("""COMPUTED_VALUE"""),"")</f>
        <v/>
      </c>
      <c r="I538" s="292"/>
      <c r="J538" s="292"/>
      <c r="K538" s="292"/>
      <c r="L538" s="292"/>
      <c r="M538" s="292" t="str">
        <f>IFERROR(__xludf.DUMMYFUNCTION("""COMPUTED_VALUE"""),"")</f>
        <v/>
      </c>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c r="AK538" s="292"/>
      <c r="AL538" s="292"/>
      <c r="AM538" s="292"/>
      <c r="AN538" s="292"/>
      <c r="AO538" s="292"/>
      <c r="AP538" s="292"/>
      <c r="AQ538" s="292"/>
      <c r="AR538" s="292"/>
      <c r="AS538" s="292"/>
      <c r="AT538" s="292"/>
      <c r="AU538" s="292"/>
      <c r="AV538" s="292"/>
      <c r="AW538" s="292"/>
      <c r="AX538" s="292"/>
      <c r="AY538" s="292"/>
      <c r="AZ538" s="292"/>
      <c r="BA538" s="292"/>
      <c r="BB538" s="292"/>
      <c r="BC538" s="292"/>
      <c r="BD538" s="292"/>
      <c r="BE538" s="292"/>
      <c r="BF538" s="292"/>
      <c r="BG538" s="292"/>
      <c r="BH538" s="292"/>
      <c r="BI538" s="292"/>
      <c r="BJ538" s="292"/>
      <c r="BK538" s="292"/>
      <c r="BL538" s="292"/>
      <c r="BM538" s="292"/>
      <c r="BN538" s="292"/>
      <c r="BO538" s="292"/>
      <c r="BP538" s="292"/>
      <c r="BQ538" s="292"/>
      <c r="BR538" s="292"/>
      <c r="BS538" s="292"/>
      <c r="BT538" s="292"/>
      <c r="BU538" s="292"/>
      <c r="BV538" s="292"/>
      <c r="BW538" s="292"/>
    </row>
    <row r="539">
      <c r="A539" s="292"/>
      <c r="B539" s="292" t="str">
        <f>IFERROR(__xludf.DUMMYFUNCTION("""COMPUTED_VALUE"""),"")</f>
        <v/>
      </c>
      <c r="C539" s="292"/>
      <c r="D539" s="292" t="str">
        <f>IFERROR(__xludf.DUMMYFUNCTION("""COMPUTED_VALUE"""),"")</f>
        <v/>
      </c>
      <c r="E539" s="292" t="str">
        <f>IFERROR(__xludf.DUMMYFUNCTION("""COMPUTED_VALUE"""),"")</f>
        <v/>
      </c>
      <c r="F539" s="292"/>
      <c r="G539" s="292" t="str">
        <f>IFERROR(__xludf.DUMMYFUNCTION("""COMPUTED_VALUE"""),"")</f>
        <v/>
      </c>
      <c r="H539" s="292" t="str">
        <f>IFERROR(__xludf.DUMMYFUNCTION("""COMPUTED_VALUE"""),"")</f>
        <v/>
      </c>
      <c r="I539" s="292"/>
      <c r="J539" s="292"/>
      <c r="K539" s="292"/>
      <c r="L539" s="292"/>
      <c r="M539" s="292" t="str">
        <f>IFERROR(__xludf.DUMMYFUNCTION("""COMPUTED_VALUE"""),"")</f>
        <v/>
      </c>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c r="AK539" s="292"/>
      <c r="AL539" s="292"/>
      <c r="AM539" s="292"/>
      <c r="AN539" s="292"/>
      <c r="AO539" s="292"/>
      <c r="AP539" s="292"/>
      <c r="AQ539" s="292"/>
      <c r="AR539" s="292"/>
      <c r="AS539" s="292"/>
      <c r="AT539" s="292"/>
      <c r="AU539" s="292"/>
      <c r="AV539" s="292"/>
      <c r="AW539" s="292"/>
      <c r="AX539" s="292"/>
      <c r="AY539" s="292"/>
      <c r="AZ539" s="292"/>
      <c r="BA539" s="292"/>
      <c r="BB539" s="292"/>
      <c r="BC539" s="292"/>
      <c r="BD539" s="292"/>
      <c r="BE539" s="292"/>
      <c r="BF539" s="292"/>
      <c r="BG539" s="292"/>
      <c r="BH539" s="292"/>
      <c r="BI539" s="292"/>
      <c r="BJ539" s="292"/>
      <c r="BK539" s="292"/>
      <c r="BL539" s="292"/>
      <c r="BM539" s="292"/>
      <c r="BN539" s="292"/>
      <c r="BO539" s="292"/>
      <c r="BP539" s="292"/>
      <c r="BQ539" s="292"/>
      <c r="BR539" s="292"/>
      <c r="BS539" s="292"/>
      <c r="BT539" s="292"/>
      <c r="BU539" s="292"/>
      <c r="BV539" s="292"/>
      <c r="BW539" s="292"/>
    </row>
    <row r="540">
      <c r="A540" s="292"/>
      <c r="B540" s="292" t="str">
        <f>IFERROR(__xludf.DUMMYFUNCTION("""COMPUTED_VALUE"""),"")</f>
        <v/>
      </c>
      <c r="C540" s="292"/>
      <c r="D540" s="292" t="str">
        <f>IFERROR(__xludf.DUMMYFUNCTION("""COMPUTED_VALUE"""),"")</f>
        <v/>
      </c>
      <c r="E540" s="292" t="str">
        <f>IFERROR(__xludf.DUMMYFUNCTION("""COMPUTED_VALUE"""),"")</f>
        <v/>
      </c>
      <c r="F540" s="292"/>
      <c r="G540" s="292" t="str">
        <f>IFERROR(__xludf.DUMMYFUNCTION("""COMPUTED_VALUE"""),"")</f>
        <v/>
      </c>
      <c r="H540" s="292" t="str">
        <f>IFERROR(__xludf.DUMMYFUNCTION("""COMPUTED_VALUE"""),"")</f>
        <v/>
      </c>
      <c r="I540" s="292"/>
      <c r="J540" s="292"/>
      <c r="K540" s="292"/>
      <c r="L540" s="292"/>
      <c r="M540" s="292" t="str">
        <f>IFERROR(__xludf.DUMMYFUNCTION("""COMPUTED_VALUE"""),"")</f>
        <v/>
      </c>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c r="AK540" s="292"/>
      <c r="AL540" s="292"/>
      <c r="AM540" s="292"/>
      <c r="AN540" s="292"/>
      <c r="AO540" s="292"/>
      <c r="AP540" s="292"/>
      <c r="AQ540" s="292"/>
      <c r="AR540" s="292"/>
      <c r="AS540" s="292"/>
      <c r="AT540" s="292"/>
      <c r="AU540" s="292"/>
      <c r="AV540" s="292"/>
      <c r="AW540" s="292"/>
      <c r="AX540" s="292"/>
      <c r="AY540" s="292"/>
      <c r="AZ540" s="292"/>
      <c r="BA540" s="292"/>
      <c r="BB540" s="292"/>
      <c r="BC540" s="292"/>
      <c r="BD540" s="292"/>
      <c r="BE540" s="292"/>
      <c r="BF540" s="292"/>
      <c r="BG540" s="292"/>
      <c r="BH540" s="292"/>
      <c r="BI540" s="292"/>
      <c r="BJ540" s="292"/>
      <c r="BK540" s="292"/>
      <c r="BL540" s="292"/>
      <c r="BM540" s="292"/>
      <c r="BN540" s="292"/>
      <c r="BO540" s="292"/>
      <c r="BP540" s="292"/>
      <c r="BQ540" s="292"/>
      <c r="BR540" s="292"/>
      <c r="BS540" s="292"/>
      <c r="BT540" s="292"/>
      <c r="BU540" s="292"/>
      <c r="BV540" s="292"/>
      <c r="BW540" s="292"/>
    </row>
    <row r="541">
      <c r="A541" s="292"/>
      <c r="B541" s="292" t="str">
        <f>IFERROR(__xludf.DUMMYFUNCTION("""COMPUTED_VALUE"""),"")</f>
        <v/>
      </c>
      <c r="C541" s="292"/>
      <c r="D541" s="292" t="str">
        <f>IFERROR(__xludf.DUMMYFUNCTION("""COMPUTED_VALUE"""),"")</f>
        <v/>
      </c>
      <c r="E541" s="292" t="str">
        <f>IFERROR(__xludf.DUMMYFUNCTION("""COMPUTED_VALUE"""),"")</f>
        <v/>
      </c>
      <c r="F541" s="292"/>
      <c r="G541" s="292" t="str">
        <f>IFERROR(__xludf.DUMMYFUNCTION("""COMPUTED_VALUE"""),"")</f>
        <v/>
      </c>
      <c r="H541" s="292" t="str">
        <f>IFERROR(__xludf.DUMMYFUNCTION("""COMPUTED_VALUE"""),"")</f>
        <v/>
      </c>
      <c r="I541" s="292"/>
      <c r="J541" s="292"/>
      <c r="K541" s="292"/>
      <c r="L541" s="292"/>
      <c r="M541" s="292" t="str">
        <f>IFERROR(__xludf.DUMMYFUNCTION("""COMPUTED_VALUE"""),"")</f>
        <v/>
      </c>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c r="AK541" s="292"/>
      <c r="AL541" s="292"/>
      <c r="AM541" s="292"/>
      <c r="AN541" s="292"/>
      <c r="AO541" s="292"/>
      <c r="AP541" s="292"/>
      <c r="AQ541" s="292"/>
      <c r="AR541" s="292"/>
      <c r="AS541" s="292"/>
      <c r="AT541" s="292"/>
      <c r="AU541" s="292"/>
      <c r="AV541" s="292"/>
      <c r="AW541" s="292"/>
      <c r="AX541" s="292"/>
      <c r="AY541" s="292"/>
      <c r="AZ541" s="292"/>
      <c r="BA541" s="292"/>
      <c r="BB541" s="292"/>
      <c r="BC541" s="292"/>
      <c r="BD541" s="292"/>
      <c r="BE541" s="292"/>
      <c r="BF541" s="292"/>
      <c r="BG541" s="292"/>
      <c r="BH541" s="292"/>
      <c r="BI541" s="292"/>
      <c r="BJ541" s="292"/>
      <c r="BK541" s="292"/>
      <c r="BL541" s="292"/>
      <c r="BM541" s="292"/>
      <c r="BN541" s="292"/>
      <c r="BO541" s="292"/>
      <c r="BP541" s="292"/>
      <c r="BQ541" s="292"/>
      <c r="BR541" s="292"/>
      <c r="BS541" s="292"/>
      <c r="BT541" s="292"/>
      <c r="BU541" s="292"/>
      <c r="BV541" s="292"/>
      <c r="BW541" s="292"/>
    </row>
    <row r="542">
      <c r="A542" s="292"/>
      <c r="B542" s="292" t="str">
        <f>IFERROR(__xludf.DUMMYFUNCTION("""COMPUTED_VALUE"""),"")</f>
        <v/>
      </c>
      <c r="C542" s="292"/>
      <c r="D542" s="292" t="str">
        <f>IFERROR(__xludf.DUMMYFUNCTION("""COMPUTED_VALUE"""),"")</f>
        <v/>
      </c>
      <c r="E542" s="292" t="str">
        <f>IFERROR(__xludf.DUMMYFUNCTION("""COMPUTED_VALUE"""),"")</f>
        <v/>
      </c>
      <c r="F542" s="292"/>
      <c r="G542" s="292" t="str">
        <f>IFERROR(__xludf.DUMMYFUNCTION("""COMPUTED_VALUE"""),"")</f>
        <v/>
      </c>
      <c r="H542" s="292" t="str">
        <f>IFERROR(__xludf.DUMMYFUNCTION("""COMPUTED_VALUE"""),"")</f>
        <v/>
      </c>
      <c r="I542" s="292"/>
      <c r="J542" s="292"/>
      <c r="K542" s="292"/>
      <c r="L542" s="292"/>
      <c r="M542" s="292" t="str">
        <f>IFERROR(__xludf.DUMMYFUNCTION("""COMPUTED_VALUE"""),"")</f>
        <v/>
      </c>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c r="AK542" s="292"/>
      <c r="AL542" s="292"/>
      <c r="AM542" s="292"/>
      <c r="AN542" s="292"/>
      <c r="AO542" s="292"/>
      <c r="AP542" s="292"/>
      <c r="AQ542" s="292"/>
      <c r="AR542" s="292"/>
      <c r="AS542" s="292"/>
      <c r="AT542" s="292"/>
      <c r="AU542" s="292"/>
      <c r="AV542" s="292"/>
      <c r="AW542" s="292"/>
      <c r="AX542" s="292"/>
      <c r="AY542" s="292"/>
      <c r="AZ542" s="292"/>
      <c r="BA542" s="292"/>
      <c r="BB542" s="292"/>
      <c r="BC542" s="292"/>
      <c r="BD542" s="292"/>
      <c r="BE542" s="292"/>
      <c r="BF542" s="292"/>
      <c r="BG542" s="292"/>
      <c r="BH542" s="292"/>
      <c r="BI542" s="292"/>
      <c r="BJ542" s="292"/>
      <c r="BK542" s="292"/>
      <c r="BL542" s="292"/>
      <c r="BM542" s="292"/>
      <c r="BN542" s="292"/>
      <c r="BO542" s="292"/>
      <c r="BP542" s="292"/>
      <c r="BQ542" s="292"/>
      <c r="BR542" s="292"/>
      <c r="BS542" s="292"/>
      <c r="BT542" s="292"/>
      <c r="BU542" s="292"/>
      <c r="BV542" s="292"/>
      <c r="BW542" s="292"/>
    </row>
    <row r="543">
      <c r="A543" s="292"/>
      <c r="B543" s="292" t="str">
        <f>IFERROR(__xludf.DUMMYFUNCTION("""COMPUTED_VALUE"""),"")</f>
        <v/>
      </c>
      <c r="C543" s="292"/>
      <c r="D543" s="292" t="str">
        <f>IFERROR(__xludf.DUMMYFUNCTION("""COMPUTED_VALUE"""),"")</f>
        <v/>
      </c>
      <c r="E543" s="292" t="str">
        <f>IFERROR(__xludf.DUMMYFUNCTION("""COMPUTED_VALUE"""),"")</f>
        <v/>
      </c>
      <c r="F543" s="292"/>
      <c r="G543" s="292" t="str">
        <f>IFERROR(__xludf.DUMMYFUNCTION("""COMPUTED_VALUE"""),"")</f>
        <v/>
      </c>
      <c r="H543" s="292" t="str">
        <f>IFERROR(__xludf.DUMMYFUNCTION("""COMPUTED_VALUE"""),"")</f>
        <v/>
      </c>
      <c r="I543" s="292"/>
      <c r="J543" s="292"/>
      <c r="K543" s="292"/>
      <c r="L543" s="292"/>
      <c r="M543" s="292" t="str">
        <f>IFERROR(__xludf.DUMMYFUNCTION("""COMPUTED_VALUE"""),"")</f>
        <v/>
      </c>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c r="AK543" s="292"/>
      <c r="AL543" s="292"/>
      <c r="AM543" s="292"/>
      <c r="AN543" s="292"/>
      <c r="AO543" s="292"/>
      <c r="AP543" s="292"/>
      <c r="AQ543" s="292"/>
      <c r="AR543" s="292"/>
      <c r="AS543" s="292"/>
      <c r="AT543" s="292"/>
      <c r="AU543" s="292"/>
      <c r="AV543" s="292"/>
      <c r="AW543" s="292"/>
      <c r="AX543" s="292"/>
      <c r="AY543" s="292"/>
      <c r="AZ543" s="292"/>
      <c r="BA543" s="292"/>
      <c r="BB543" s="292"/>
      <c r="BC543" s="292"/>
      <c r="BD543" s="292"/>
      <c r="BE543" s="292"/>
      <c r="BF543" s="292"/>
      <c r="BG543" s="292"/>
      <c r="BH543" s="292"/>
      <c r="BI543" s="292"/>
      <c r="BJ543" s="292"/>
      <c r="BK543" s="292"/>
      <c r="BL543" s="292"/>
      <c r="BM543" s="292"/>
      <c r="BN543" s="292"/>
      <c r="BO543" s="292"/>
      <c r="BP543" s="292"/>
      <c r="BQ543" s="292"/>
      <c r="BR543" s="292"/>
      <c r="BS543" s="292"/>
      <c r="BT543" s="292"/>
      <c r="BU543" s="292"/>
      <c r="BV543" s="292"/>
      <c r="BW543" s="292"/>
    </row>
    <row r="544">
      <c r="A544" s="292"/>
      <c r="B544" s="292" t="str">
        <f>IFERROR(__xludf.DUMMYFUNCTION("""COMPUTED_VALUE"""),"")</f>
        <v/>
      </c>
      <c r="C544" s="292"/>
      <c r="D544" s="292" t="str">
        <f>IFERROR(__xludf.DUMMYFUNCTION("""COMPUTED_VALUE"""),"")</f>
        <v/>
      </c>
      <c r="E544" s="292" t="str">
        <f>IFERROR(__xludf.DUMMYFUNCTION("""COMPUTED_VALUE"""),"")</f>
        <v/>
      </c>
      <c r="F544" s="292"/>
      <c r="G544" s="292" t="str">
        <f>IFERROR(__xludf.DUMMYFUNCTION("""COMPUTED_VALUE"""),"")</f>
        <v/>
      </c>
      <c r="H544" s="292" t="str">
        <f>IFERROR(__xludf.DUMMYFUNCTION("""COMPUTED_VALUE"""),"")</f>
        <v/>
      </c>
      <c r="I544" s="292"/>
      <c r="J544" s="292"/>
      <c r="K544" s="292"/>
      <c r="L544" s="292"/>
      <c r="M544" s="292" t="str">
        <f>IFERROR(__xludf.DUMMYFUNCTION("""COMPUTED_VALUE"""),"")</f>
        <v/>
      </c>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c r="AK544" s="292"/>
      <c r="AL544" s="292"/>
      <c r="AM544" s="292"/>
      <c r="AN544" s="292"/>
      <c r="AO544" s="292"/>
      <c r="AP544" s="292"/>
      <c r="AQ544" s="292"/>
      <c r="AR544" s="292"/>
      <c r="AS544" s="292"/>
      <c r="AT544" s="292"/>
      <c r="AU544" s="292"/>
      <c r="AV544" s="292"/>
      <c r="AW544" s="292"/>
      <c r="AX544" s="292"/>
      <c r="AY544" s="292"/>
      <c r="AZ544" s="292"/>
      <c r="BA544" s="292"/>
      <c r="BB544" s="292"/>
      <c r="BC544" s="292"/>
      <c r="BD544" s="292"/>
      <c r="BE544" s="292"/>
      <c r="BF544" s="292"/>
      <c r="BG544" s="292"/>
      <c r="BH544" s="292"/>
      <c r="BI544" s="292"/>
      <c r="BJ544" s="292"/>
      <c r="BK544" s="292"/>
      <c r="BL544" s="292"/>
      <c r="BM544" s="292"/>
      <c r="BN544" s="292"/>
      <c r="BO544" s="292"/>
      <c r="BP544" s="292"/>
      <c r="BQ544" s="292"/>
      <c r="BR544" s="292"/>
      <c r="BS544" s="292"/>
      <c r="BT544" s="292"/>
      <c r="BU544" s="292"/>
      <c r="BV544" s="292"/>
      <c r="BW544" s="292"/>
    </row>
    <row r="545">
      <c r="A545" s="292"/>
      <c r="B545" s="292" t="str">
        <f>IFERROR(__xludf.DUMMYFUNCTION("""COMPUTED_VALUE"""),"")</f>
        <v/>
      </c>
      <c r="C545" s="292"/>
      <c r="D545" s="292" t="str">
        <f>IFERROR(__xludf.DUMMYFUNCTION("""COMPUTED_VALUE"""),"")</f>
        <v/>
      </c>
      <c r="E545" s="292" t="str">
        <f>IFERROR(__xludf.DUMMYFUNCTION("""COMPUTED_VALUE"""),"")</f>
        <v/>
      </c>
      <c r="F545" s="292"/>
      <c r="G545" s="292" t="str">
        <f>IFERROR(__xludf.DUMMYFUNCTION("""COMPUTED_VALUE"""),"")</f>
        <v/>
      </c>
      <c r="H545" s="292" t="str">
        <f>IFERROR(__xludf.DUMMYFUNCTION("""COMPUTED_VALUE"""),"")</f>
        <v/>
      </c>
      <c r="I545" s="292"/>
      <c r="J545" s="292"/>
      <c r="K545" s="292"/>
      <c r="L545" s="292"/>
      <c r="M545" s="292" t="str">
        <f>IFERROR(__xludf.DUMMYFUNCTION("""COMPUTED_VALUE"""),"")</f>
        <v/>
      </c>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c r="AK545" s="292"/>
      <c r="AL545" s="292"/>
      <c r="AM545" s="292"/>
      <c r="AN545" s="292"/>
      <c r="AO545" s="292"/>
      <c r="AP545" s="292"/>
      <c r="AQ545" s="292"/>
      <c r="AR545" s="292"/>
      <c r="AS545" s="292"/>
      <c r="AT545" s="292"/>
      <c r="AU545" s="292"/>
      <c r="AV545" s="292"/>
      <c r="AW545" s="292"/>
      <c r="AX545" s="292"/>
      <c r="AY545" s="292"/>
      <c r="AZ545" s="292"/>
      <c r="BA545" s="292"/>
      <c r="BB545" s="292"/>
      <c r="BC545" s="292"/>
      <c r="BD545" s="292"/>
      <c r="BE545" s="292"/>
      <c r="BF545" s="292"/>
      <c r="BG545" s="292"/>
      <c r="BH545" s="292"/>
      <c r="BI545" s="292"/>
      <c r="BJ545" s="292"/>
      <c r="BK545" s="292"/>
      <c r="BL545" s="292"/>
      <c r="BM545" s="292"/>
      <c r="BN545" s="292"/>
      <c r="BO545" s="292"/>
      <c r="BP545" s="292"/>
      <c r="BQ545" s="292"/>
      <c r="BR545" s="292"/>
      <c r="BS545" s="292"/>
      <c r="BT545" s="292"/>
      <c r="BU545" s="292"/>
      <c r="BV545" s="292"/>
      <c r="BW545" s="292"/>
    </row>
    <row r="546">
      <c r="A546" s="292"/>
      <c r="B546" s="292" t="str">
        <f>IFERROR(__xludf.DUMMYFUNCTION("""COMPUTED_VALUE"""),"")</f>
        <v/>
      </c>
      <c r="C546" s="292"/>
      <c r="D546" s="292" t="str">
        <f>IFERROR(__xludf.DUMMYFUNCTION("""COMPUTED_VALUE"""),"")</f>
        <v/>
      </c>
      <c r="E546" s="292" t="str">
        <f>IFERROR(__xludf.DUMMYFUNCTION("""COMPUTED_VALUE"""),"")</f>
        <v/>
      </c>
      <c r="F546" s="292"/>
      <c r="G546" s="292" t="str">
        <f>IFERROR(__xludf.DUMMYFUNCTION("""COMPUTED_VALUE"""),"")</f>
        <v/>
      </c>
      <c r="H546" s="292" t="str">
        <f>IFERROR(__xludf.DUMMYFUNCTION("""COMPUTED_VALUE"""),"")</f>
        <v/>
      </c>
      <c r="I546" s="292"/>
      <c r="J546" s="292"/>
      <c r="K546" s="292"/>
      <c r="L546" s="292"/>
      <c r="M546" s="292" t="str">
        <f>IFERROR(__xludf.DUMMYFUNCTION("""COMPUTED_VALUE"""),"")</f>
        <v/>
      </c>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c r="AK546" s="292"/>
      <c r="AL546" s="292"/>
      <c r="AM546" s="292"/>
      <c r="AN546" s="292"/>
      <c r="AO546" s="292"/>
      <c r="AP546" s="292"/>
      <c r="AQ546" s="292"/>
      <c r="AR546" s="292"/>
      <c r="AS546" s="292"/>
      <c r="AT546" s="292"/>
      <c r="AU546" s="292"/>
      <c r="AV546" s="292"/>
      <c r="AW546" s="292"/>
      <c r="AX546" s="292"/>
      <c r="AY546" s="292"/>
      <c r="AZ546" s="292"/>
      <c r="BA546" s="292"/>
      <c r="BB546" s="292"/>
      <c r="BC546" s="292"/>
      <c r="BD546" s="292"/>
      <c r="BE546" s="292"/>
      <c r="BF546" s="292"/>
      <c r="BG546" s="292"/>
      <c r="BH546" s="292"/>
      <c r="BI546" s="292"/>
      <c r="BJ546" s="292"/>
      <c r="BK546" s="292"/>
      <c r="BL546" s="292"/>
      <c r="BM546" s="292"/>
      <c r="BN546" s="292"/>
      <c r="BO546" s="292"/>
      <c r="BP546" s="292"/>
      <c r="BQ546" s="292"/>
      <c r="BR546" s="292"/>
      <c r="BS546" s="292"/>
      <c r="BT546" s="292"/>
      <c r="BU546" s="292"/>
      <c r="BV546" s="292"/>
      <c r="BW546" s="292"/>
    </row>
    <row r="547">
      <c r="A547" s="292"/>
      <c r="B547" s="292" t="str">
        <f>IFERROR(__xludf.DUMMYFUNCTION("""COMPUTED_VALUE"""),"")</f>
        <v/>
      </c>
      <c r="C547" s="292"/>
      <c r="D547" s="292" t="str">
        <f>IFERROR(__xludf.DUMMYFUNCTION("""COMPUTED_VALUE"""),"")</f>
        <v/>
      </c>
      <c r="E547" s="292" t="str">
        <f>IFERROR(__xludf.DUMMYFUNCTION("""COMPUTED_VALUE"""),"")</f>
        <v/>
      </c>
      <c r="F547" s="292"/>
      <c r="G547" s="292" t="str">
        <f>IFERROR(__xludf.DUMMYFUNCTION("""COMPUTED_VALUE"""),"")</f>
        <v/>
      </c>
      <c r="H547" s="292" t="str">
        <f>IFERROR(__xludf.DUMMYFUNCTION("""COMPUTED_VALUE"""),"")</f>
        <v/>
      </c>
      <c r="I547" s="292"/>
      <c r="J547" s="292"/>
      <c r="K547" s="292"/>
      <c r="L547" s="292"/>
      <c r="M547" s="292" t="str">
        <f>IFERROR(__xludf.DUMMYFUNCTION("""COMPUTED_VALUE"""),"")</f>
        <v/>
      </c>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c r="AK547" s="292"/>
      <c r="AL547" s="292"/>
      <c r="AM547" s="292"/>
      <c r="AN547" s="292"/>
      <c r="AO547" s="292"/>
      <c r="AP547" s="292"/>
      <c r="AQ547" s="292"/>
      <c r="AR547" s="292"/>
      <c r="AS547" s="292"/>
      <c r="AT547" s="292"/>
      <c r="AU547" s="292"/>
      <c r="AV547" s="292"/>
      <c r="AW547" s="292"/>
      <c r="AX547" s="292"/>
      <c r="AY547" s="292"/>
      <c r="AZ547" s="292"/>
      <c r="BA547" s="292"/>
      <c r="BB547" s="292"/>
      <c r="BC547" s="292"/>
      <c r="BD547" s="292"/>
      <c r="BE547" s="292"/>
      <c r="BF547" s="292"/>
      <c r="BG547" s="292"/>
      <c r="BH547" s="292"/>
      <c r="BI547" s="292"/>
      <c r="BJ547" s="292"/>
      <c r="BK547" s="292"/>
      <c r="BL547" s="292"/>
      <c r="BM547" s="292"/>
      <c r="BN547" s="292"/>
      <c r="BO547" s="292"/>
      <c r="BP547" s="292"/>
      <c r="BQ547" s="292"/>
      <c r="BR547" s="292"/>
      <c r="BS547" s="292"/>
      <c r="BT547" s="292"/>
      <c r="BU547" s="292"/>
      <c r="BV547" s="292"/>
      <c r="BW547" s="292"/>
    </row>
    <row r="548">
      <c r="A548" s="292"/>
      <c r="B548" s="292" t="str">
        <f>IFERROR(__xludf.DUMMYFUNCTION("""COMPUTED_VALUE"""),"")</f>
        <v/>
      </c>
      <c r="C548" s="292"/>
      <c r="D548" s="292" t="str">
        <f>IFERROR(__xludf.DUMMYFUNCTION("""COMPUTED_VALUE"""),"")</f>
        <v/>
      </c>
      <c r="E548" s="292" t="str">
        <f>IFERROR(__xludf.DUMMYFUNCTION("""COMPUTED_VALUE"""),"")</f>
        <v/>
      </c>
      <c r="F548" s="292"/>
      <c r="G548" s="292" t="str">
        <f>IFERROR(__xludf.DUMMYFUNCTION("""COMPUTED_VALUE"""),"")</f>
        <v/>
      </c>
      <c r="H548" s="292" t="str">
        <f>IFERROR(__xludf.DUMMYFUNCTION("""COMPUTED_VALUE"""),"")</f>
        <v/>
      </c>
      <c r="I548" s="292"/>
      <c r="J548" s="292"/>
      <c r="K548" s="292"/>
      <c r="L548" s="292"/>
      <c r="M548" s="292" t="str">
        <f>IFERROR(__xludf.DUMMYFUNCTION("""COMPUTED_VALUE"""),"")</f>
        <v/>
      </c>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c r="AK548" s="292"/>
      <c r="AL548" s="292"/>
      <c r="AM548" s="292"/>
      <c r="AN548" s="292"/>
      <c r="AO548" s="292"/>
      <c r="AP548" s="292"/>
      <c r="AQ548" s="292"/>
      <c r="AR548" s="292"/>
      <c r="AS548" s="292"/>
      <c r="AT548" s="292"/>
      <c r="AU548" s="292"/>
      <c r="AV548" s="292"/>
      <c r="AW548" s="292"/>
      <c r="AX548" s="292"/>
      <c r="AY548" s="292"/>
      <c r="AZ548" s="292"/>
      <c r="BA548" s="292"/>
      <c r="BB548" s="292"/>
      <c r="BC548" s="292"/>
      <c r="BD548" s="292"/>
      <c r="BE548" s="292"/>
      <c r="BF548" s="292"/>
      <c r="BG548" s="292"/>
      <c r="BH548" s="292"/>
      <c r="BI548" s="292"/>
      <c r="BJ548" s="292"/>
      <c r="BK548" s="292"/>
      <c r="BL548" s="292"/>
      <c r="BM548" s="292"/>
      <c r="BN548" s="292"/>
      <c r="BO548" s="292"/>
      <c r="BP548" s="292"/>
      <c r="BQ548" s="292"/>
      <c r="BR548" s="292"/>
      <c r="BS548" s="292"/>
      <c r="BT548" s="292"/>
      <c r="BU548" s="292"/>
      <c r="BV548" s="292"/>
      <c r="BW548" s="292"/>
    </row>
    <row r="549">
      <c r="A549" s="292"/>
      <c r="B549" s="292" t="str">
        <f>IFERROR(__xludf.DUMMYFUNCTION("""COMPUTED_VALUE"""),"")</f>
        <v/>
      </c>
      <c r="C549" s="292"/>
      <c r="D549" s="292" t="str">
        <f>IFERROR(__xludf.DUMMYFUNCTION("""COMPUTED_VALUE"""),"")</f>
        <v/>
      </c>
      <c r="E549" s="292" t="str">
        <f>IFERROR(__xludf.DUMMYFUNCTION("""COMPUTED_VALUE"""),"")</f>
        <v/>
      </c>
      <c r="F549" s="292"/>
      <c r="G549" s="292" t="str">
        <f>IFERROR(__xludf.DUMMYFUNCTION("""COMPUTED_VALUE"""),"")</f>
        <v/>
      </c>
      <c r="H549" s="292" t="str">
        <f>IFERROR(__xludf.DUMMYFUNCTION("""COMPUTED_VALUE"""),"")</f>
        <v/>
      </c>
      <c r="I549" s="292"/>
      <c r="J549" s="292"/>
      <c r="K549" s="292"/>
      <c r="L549" s="292"/>
      <c r="M549" s="292" t="str">
        <f>IFERROR(__xludf.DUMMYFUNCTION("""COMPUTED_VALUE"""),"")</f>
        <v/>
      </c>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c r="AK549" s="292"/>
      <c r="AL549" s="292"/>
      <c r="AM549" s="292"/>
      <c r="AN549" s="292"/>
      <c r="AO549" s="292"/>
      <c r="AP549" s="292"/>
      <c r="AQ549" s="292"/>
      <c r="AR549" s="292"/>
      <c r="AS549" s="292"/>
      <c r="AT549" s="292"/>
      <c r="AU549" s="292"/>
      <c r="AV549" s="292"/>
      <c r="AW549" s="292"/>
      <c r="AX549" s="292"/>
      <c r="AY549" s="292"/>
      <c r="AZ549" s="292"/>
      <c r="BA549" s="292"/>
      <c r="BB549" s="292"/>
      <c r="BC549" s="292"/>
      <c r="BD549" s="292"/>
      <c r="BE549" s="292"/>
      <c r="BF549" s="292"/>
      <c r="BG549" s="292"/>
      <c r="BH549" s="292"/>
      <c r="BI549" s="292"/>
      <c r="BJ549" s="292"/>
      <c r="BK549" s="292"/>
      <c r="BL549" s="292"/>
      <c r="BM549" s="292"/>
      <c r="BN549" s="292"/>
      <c r="BO549" s="292"/>
      <c r="BP549" s="292"/>
      <c r="BQ549" s="292"/>
      <c r="BR549" s="292"/>
      <c r="BS549" s="292"/>
      <c r="BT549" s="292"/>
      <c r="BU549" s="292"/>
      <c r="BV549" s="292"/>
      <c r="BW549" s="292"/>
    </row>
    <row r="550">
      <c r="A550" s="292"/>
      <c r="B550" s="292" t="str">
        <f>IFERROR(__xludf.DUMMYFUNCTION("""COMPUTED_VALUE"""),"")</f>
        <v/>
      </c>
      <c r="C550" s="292"/>
      <c r="D550" s="292" t="str">
        <f>IFERROR(__xludf.DUMMYFUNCTION("""COMPUTED_VALUE"""),"")</f>
        <v/>
      </c>
      <c r="E550" s="292" t="str">
        <f>IFERROR(__xludf.DUMMYFUNCTION("""COMPUTED_VALUE"""),"")</f>
        <v/>
      </c>
      <c r="F550" s="292"/>
      <c r="G550" s="292" t="str">
        <f>IFERROR(__xludf.DUMMYFUNCTION("""COMPUTED_VALUE"""),"")</f>
        <v/>
      </c>
      <c r="H550" s="292" t="str">
        <f>IFERROR(__xludf.DUMMYFUNCTION("""COMPUTED_VALUE"""),"")</f>
        <v/>
      </c>
      <c r="I550" s="292"/>
      <c r="J550" s="292"/>
      <c r="K550" s="292"/>
      <c r="L550" s="292"/>
      <c r="M550" s="292" t="str">
        <f>IFERROR(__xludf.DUMMYFUNCTION("""COMPUTED_VALUE"""),"")</f>
        <v/>
      </c>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c r="AK550" s="292"/>
      <c r="AL550" s="292"/>
      <c r="AM550" s="292"/>
      <c r="AN550" s="292"/>
      <c r="AO550" s="292"/>
      <c r="AP550" s="292"/>
      <c r="AQ550" s="292"/>
      <c r="AR550" s="292"/>
      <c r="AS550" s="292"/>
      <c r="AT550" s="292"/>
      <c r="AU550" s="292"/>
      <c r="AV550" s="292"/>
      <c r="AW550" s="292"/>
      <c r="AX550" s="292"/>
      <c r="AY550" s="292"/>
      <c r="AZ550" s="292"/>
      <c r="BA550" s="292"/>
      <c r="BB550" s="292"/>
      <c r="BC550" s="292"/>
      <c r="BD550" s="292"/>
      <c r="BE550" s="292"/>
      <c r="BF550" s="292"/>
      <c r="BG550" s="292"/>
      <c r="BH550" s="292"/>
      <c r="BI550" s="292"/>
      <c r="BJ550" s="292"/>
      <c r="BK550" s="292"/>
      <c r="BL550" s="292"/>
      <c r="BM550" s="292"/>
      <c r="BN550" s="292"/>
      <c r="BO550" s="292"/>
      <c r="BP550" s="292"/>
      <c r="BQ550" s="292"/>
      <c r="BR550" s="292"/>
      <c r="BS550" s="292"/>
      <c r="BT550" s="292"/>
      <c r="BU550" s="292"/>
      <c r="BV550" s="292"/>
      <c r="BW550" s="292"/>
    </row>
    <row r="551">
      <c r="A551" s="292"/>
      <c r="B551" s="292" t="str">
        <f>IFERROR(__xludf.DUMMYFUNCTION("""COMPUTED_VALUE"""),"")</f>
        <v/>
      </c>
      <c r="C551" s="292"/>
      <c r="D551" s="292" t="str">
        <f>IFERROR(__xludf.DUMMYFUNCTION("""COMPUTED_VALUE"""),"")</f>
        <v/>
      </c>
      <c r="E551" s="292" t="str">
        <f>IFERROR(__xludf.DUMMYFUNCTION("""COMPUTED_VALUE"""),"")</f>
        <v/>
      </c>
      <c r="F551" s="292"/>
      <c r="G551" s="292" t="str">
        <f>IFERROR(__xludf.DUMMYFUNCTION("""COMPUTED_VALUE"""),"")</f>
        <v/>
      </c>
      <c r="H551" s="292" t="str">
        <f>IFERROR(__xludf.DUMMYFUNCTION("""COMPUTED_VALUE"""),"")</f>
        <v/>
      </c>
      <c r="I551" s="292"/>
      <c r="J551" s="292"/>
      <c r="K551" s="292"/>
      <c r="L551" s="292"/>
      <c r="M551" s="292" t="str">
        <f>IFERROR(__xludf.DUMMYFUNCTION("""COMPUTED_VALUE"""),"")</f>
        <v/>
      </c>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c r="AK551" s="292"/>
      <c r="AL551" s="292"/>
      <c r="AM551" s="292"/>
      <c r="AN551" s="292"/>
      <c r="AO551" s="292"/>
      <c r="AP551" s="292"/>
      <c r="AQ551" s="292"/>
      <c r="AR551" s="292"/>
      <c r="AS551" s="292"/>
      <c r="AT551" s="292"/>
      <c r="AU551" s="292"/>
      <c r="AV551" s="292"/>
      <c r="AW551" s="292"/>
      <c r="AX551" s="292"/>
      <c r="AY551" s="292"/>
      <c r="AZ551" s="292"/>
      <c r="BA551" s="292"/>
      <c r="BB551" s="292"/>
      <c r="BC551" s="292"/>
      <c r="BD551" s="292"/>
      <c r="BE551" s="292"/>
      <c r="BF551" s="292"/>
      <c r="BG551" s="292"/>
      <c r="BH551" s="292"/>
      <c r="BI551" s="292"/>
      <c r="BJ551" s="292"/>
      <c r="BK551" s="292"/>
      <c r="BL551" s="292"/>
      <c r="BM551" s="292"/>
      <c r="BN551" s="292"/>
      <c r="BO551" s="292"/>
      <c r="BP551" s="292"/>
      <c r="BQ551" s="292"/>
      <c r="BR551" s="292"/>
      <c r="BS551" s="292"/>
      <c r="BT551" s="292"/>
      <c r="BU551" s="292"/>
      <c r="BV551" s="292"/>
      <c r="BW551" s="292"/>
    </row>
    <row r="552">
      <c r="A552" s="292"/>
      <c r="B552" s="292" t="str">
        <f>IFERROR(__xludf.DUMMYFUNCTION("""COMPUTED_VALUE"""),"")</f>
        <v/>
      </c>
      <c r="C552" s="292"/>
      <c r="D552" s="292" t="str">
        <f>IFERROR(__xludf.DUMMYFUNCTION("""COMPUTED_VALUE"""),"")</f>
        <v/>
      </c>
      <c r="E552" s="292" t="str">
        <f>IFERROR(__xludf.DUMMYFUNCTION("""COMPUTED_VALUE"""),"")</f>
        <v/>
      </c>
      <c r="F552" s="292"/>
      <c r="G552" s="292" t="str">
        <f>IFERROR(__xludf.DUMMYFUNCTION("""COMPUTED_VALUE"""),"")</f>
        <v/>
      </c>
      <c r="H552" s="292" t="str">
        <f>IFERROR(__xludf.DUMMYFUNCTION("""COMPUTED_VALUE"""),"")</f>
        <v/>
      </c>
      <c r="I552" s="292"/>
      <c r="J552" s="292"/>
      <c r="K552" s="292"/>
      <c r="L552" s="292"/>
      <c r="M552" s="292" t="str">
        <f>IFERROR(__xludf.DUMMYFUNCTION("""COMPUTED_VALUE"""),"")</f>
        <v/>
      </c>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c r="AK552" s="292"/>
      <c r="AL552" s="292"/>
      <c r="AM552" s="292"/>
      <c r="AN552" s="292"/>
      <c r="AO552" s="292"/>
      <c r="AP552" s="292"/>
      <c r="AQ552" s="292"/>
      <c r="AR552" s="292"/>
      <c r="AS552" s="292"/>
      <c r="AT552" s="292"/>
      <c r="AU552" s="292"/>
      <c r="AV552" s="292"/>
      <c r="AW552" s="292"/>
      <c r="AX552" s="292"/>
      <c r="AY552" s="292"/>
      <c r="AZ552" s="292"/>
      <c r="BA552" s="292"/>
      <c r="BB552" s="292"/>
      <c r="BC552" s="292"/>
      <c r="BD552" s="292"/>
      <c r="BE552" s="292"/>
      <c r="BF552" s="292"/>
      <c r="BG552" s="292"/>
      <c r="BH552" s="292"/>
      <c r="BI552" s="292"/>
      <c r="BJ552" s="292"/>
      <c r="BK552" s="292"/>
      <c r="BL552" s="292"/>
      <c r="BM552" s="292"/>
      <c r="BN552" s="292"/>
      <c r="BO552" s="292"/>
      <c r="BP552" s="292"/>
      <c r="BQ552" s="292"/>
      <c r="BR552" s="292"/>
      <c r="BS552" s="292"/>
      <c r="BT552" s="292"/>
      <c r="BU552" s="292"/>
      <c r="BV552" s="292"/>
      <c r="BW552" s="292"/>
    </row>
    <row r="553">
      <c r="A553" s="292"/>
      <c r="B553" s="292" t="str">
        <f>IFERROR(__xludf.DUMMYFUNCTION("""COMPUTED_VALUE"""),"")</f>
        <v/>
      </c>
      <c r="C553" s="292"/>
      <c r="D553" s="292" t="str">
        <f>IFERROR(__xludf.DUMMYFUNCTION("""COMPUTED_VALUE"""),"")</f>
        <v/>
      </c>
      <c r="E553" s="292" t="str">
        <f>IFERROR(__xludf.DUMMYFUNCTION("""COMPUTED_VALUE"""),"")</f>
        <v/>
      </c>
      <c r="F553" s="292"/>
      <c r="G553" s="292" t="str">
        <f>IFERROR(__xludf.DUMMYFUNCTION("""COMPUTED_VALUE"""),"")</f>
        <v/>
      </c>
      <c r="H553" s="292" t="str">
        <f>IFERROR(__xludf.DUMMYFUNCTION("""COMPUTED_VALUE"""),"")</f>
        <v/>
      </c>
      <c r="I553" s="292"/>
      <c r="J553" s="292"/>
      <c r="K553" s="292"/>
      <c r="L553" s="292"/>
      <c r="M553" s="292" t="str">
        <f>IFERROR(__xludf.DUMMYFUNCTION("""COMPUTED_VALUE"""),"")</f>
        <v/>
      </c>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c r="AK553" s="292"/>
      <c r="AL553" s="292"/>
      <c r="AM553" s="292"/>
      <c r="AN553" s="292"/>
      <c r="AO553" s="292"/>
      <c r="AP553" s="292"/>
      <c r="AQ553" s="292"/>
      <c r="AR553" s="292"/>
      <c r="AS553" s="292"/>
      <c r="AT553" s="292"/>
      <c r="AU553" s="292"/>
      <c r="AV553" s="292"/>
      <c r="AW553" s="292"/>
      <c r="AX553" s="292"/>
      <c r="AY553" s="292"/>
      <c r="AZ553" s="292"/>
      <c r="BA553" s="292"/>
      <c r="BB553" s="292"/>
      <c r="BC553" s="292"/>
      <c r="BD553" s="292"/>
      <c r="BE553" s="292"/>
      <c r="BF553" s="292"/>
      <c r="BG553" s="292"/>
      <c r="BH553" s="292"/>
      <c r="BI553" s="292"/>
      <c r="BJ553" s="292"/>
      <c r="BK553" s="292"/>
      <c r="BL553" s="292"/>
      <c r="BM553" s="292"/>
      <c r="BN553" s="292"/>
      <c r="BO553" s="292"/>
      <c r="BP553" s="292"/>
      <c r="BQ553" s="292"/>
      <c r="BR553" s="292"/>
      <c r="BS553" s="292"/>
      <c r="BT553" s="292"/>
      <c r="BU553" s="292"/>
      <c r="BV553" s="292"/>
      <c r="BW553" s="292"/>
    </row>
    <row r="554">
      <c r="A554" s="292"/>
      <c r="B554" s="292" t="str">
        <f>IFERROR(__xludf.DUMMYFUNCTION("""COMPUTED_VALUE"""),"")</f>
        <v/>
      </c>
      <c r="C554" s="292"/>
      <c r="D554" s="292" t="str">
        <f>IFERROR(__xludf.DUMMYFUNCTION("""COMPUTED_VALUE"""),"")</f>
        <v/>
      </c>
      <c r="E554" s="292" t="str">
        <f>IFERROR(__xludf.DUMMYFUNCTION("""COMPUTED_VALUE"""),"")</f>
        <v/>
      </c>
      <c r="F554" s="292"/>
      <c r="G554" s="292" t="str">
        <f>IFERROR(__xludf.DUMMYFUNCTION("""COMPUTED_VALUE"""),"")</f>
        <v/>
      </c>
      <c r="H554" s="292" t="str">
        <f>IFERROR(__xludf.DUMMYFUNCTION("""COMPUTED_VALUE"""),"")</f>
        <v/>
      </c>
      <c r="I554" s="292"/>
      <c r="J554" s="292"/>
      <c r="K554" s="292"/>
      <c r="L554" s="292"/>
      <c r="M554" s="292" t="str">
        <f>IFERROR(__xludf.DUMMYFUNCTION("""COMPUTED_VALUE"""),"")</f>
        <v/>
      </c>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c r="AK554" s="292"/>
      <c r="AL554" s="292"/>
      <c r="AM554" s="292"/>
      <c r="AN554" s="292"/>
      <c r="AO554" s="292"/>
      <c r="AP554" s="292"/>
      <c r="AQ554" s="292"/>
      <c r="AR554" s="292"/>
      <c r="AS554" s="292"/>
      <c r="AT554" s="292"/>
      <c r="AU554" s="292"/>
      <c r="AV554" s="292"/>
      <c r="AW554" s="292"/>
      <c r="AX554" s="292"/>
      <c r="AY554" s="292"/>
      <c r="AZ554" s="292"/>
      <c r="BA554" s="292"/>
      <c r="BB554" s="292"/>
      <c r="BC554" s="292"/>
      <c r="BD554" s="292"/>
      <c r="BE554" s="292"/>
      <c r="BF554" s="292"/>
      <c r="BG554" s="292"/>
      <c r="BH554" s="292"/>
      <c r="BI554" s="292"/>
      <c r="BJ554" s="292"/>
      <c r="BK554" s="292"/>
      <c r="BL554" s="292"/>
      <c r="BM554" s="292"/>
      <c r="BN554" s="292"/>
      <c r="BO554" s="292"/>
      <c r="BP554" s="292"/>
      <c r="BQ554" s="292"/>
      <c r="BR554" s="292"/>
      <c r="BS554" s="292"/>
      <c r="BT554" s="292"/>
      <c r="BU554" s="292"/>
      <c r="BV554" s="292"/>
      <c r="BW554" s="292"/>
    </row>
    <row r="555">
      <c r="A555" s="292"/>
      <c r="B555" s="292" t="str">
        <f>IFERROR(__xludf.DUMMYFUNCTION("""COMPUTED_VALUE"""),"")</f>
        <v/>
      </c>
      <c r="C555" s="292"/>
      <c r="D555" s="292" t="str">
        <f>IFERROR(__xludf.DUMMYFUNCTION("""COMPUTED_VALUE"""),"")</f>
        <v/>
      </c>
      <c r="E555" s="292" t="str">
        <f>IFERROR(__xludf.DUMMYFUNCTION("""COMPUTED_VALUE"""),"")</f>
        <v/>
      </c>
      <c r="F555" s="292"/>
      <c r="G555" s="292" t="str">
        <f>IFERROR(__xludf.DUMMYFUNCTION("""COMPUTED_VALUE"""),"")</f>
        <v/>
      </c>
      <c r="H555" s="292" t="str">
        <f>IFERROR(__xludf.DUMMYFUNCTION("""COMPUTED_VALUE"""),"")</f>
        <v/>
      </c>
      <c r="I555" s="292"/>
      <c r="J555" s="292"/>
      <c r="K555" s="292"/>
      <c r="L555" s="292"/>
      <c r="M555" s="292" t="str">
        <f>IFERROR(__xludf.DUMMYFUNCTION("""COMPUTED_VALUE"""),"")</f>
        <v/>
      </c>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c r="AK555" s="292"/>
      <c r="AL555" s="292"/>
      <c r="AM555" s="292"/>
      <c r="AN555" s="292"/>
      <c r="AO555" s="292"/>
      <c r="AP555" s="292"/>
      <c r="AQ555" s="292"/>
      <c r="AR555" s="292"/>
      <c r="AS555" s="292"/>
      <c r="AT555" s="292"/>
      <c r="AU555" s="292"/>
      <c r="AV555" s="292"/>
      <c r="AW555" s="292"/>
      <c r="AX555" s="292"/>
      <c r="AY555" s="292"/>
      <c r="AZ555" s="292"/>
      <c r="BA555" s="292"/>
      <c r="BB555" s="292"/>
      <c r="BC555" s="292"/>
      <c r="BD555" s="292"/>
      <c r="BE555" s="292"/>
      <c r="BF555" s="292"/>
      <c r="BG555" s="292"/>
      <c r="BH555" s="292"/>
      <c r="BI555" s="292"/>
      <c r="BJ555" s="292"/>
      <c r="BK555" s="292"/>
      <c r="BL555" s="292"/>
      <c r="BM555" s="292"/>
      <c r="BN555" s="292"/>
      <c r="BO555" s="292"/>
      <c r="BP555" s="292"/>
      <c r="BQ555" s="292"/>
      <c r="BR555" s="292"/>
      <c r="BS555" s="292"/>
      <c r="BT555" s="292"/>
      <c r="BU555" s="292"/>
      <c r="BV555" s="292"/>
      <c r="BW555" s="292"/>
    </row>
    <row r="556">
      <c r="A556" s="292"/>
      <c r="B556" s="292" t="str">
        <f>IFERROR(__xludf.DUMMYFUNCTION("""COMPUTED_VALUE"""),"")</f>
        <v/>
      </c>
      <c r="C556" s="292"/>
      <c r="D556" s="292" t="str">
        <f>IFERROR(__xludf.DUMMYFUNCTION("""COMPUTED_VALUE"""),"")</f>
        <v/>
      </c>
      <c r="E556" s="292" t="str">
        <f>IFERROR(__xludf.DUMMYFUNCTION("""COMPUTED_VALUE"""),"")</f>
        <v/>
      </c>
      <c r="F556" s="292"/>
      <c r="G556" s="292" t="str">
        <f>IFERROR(__xludf.DUMMYFUNCTION("""COMPUTED_VALUE"""),"")</f>
        <v/>
      </c>
      <c r="H556" s="292" t="str">
        <f>IFERROR(__xludf.DUMMYFUNCTION("""COMPUTED_VALUE"""),"")</f>
        <v/>
      </c>
      <c r="I556" s="292"/>
      <c r="J556" s="292"/>
      <c r="K556" s="292"/>
      <c r="L556" s="292"/>
      <c r="M556" s="292" t="str">
        <f>IFERROR(__xludf.DUMMYFUNCTION("""COMPUTED_VALUE"""),"")</f>
        <v/>
      </c>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c r="AK556" s="292"/>
      <c r="AL556" s="292"/>
      <c r="AM556" s="292"/>
      <c r="AN556" s="292"/>
      <c r="AO556" s="292"/>
      <c r="AP556" s="292"/>
      <c r="AQ556" s="292"/>
      <c r="AR556" s="292"/>
      <c r="AS556" s="292"/>
      <c r="AT556" s="292"/>
      <c r="AU556" s="292"/>
      <c r="AV556" s="292"/>
      <c r="AW556" s="292"/>
      <c r="AX556" s="292"/>
      <c r="AY556" s="292"/>
      <c r="AZ556" s="292"/>
      <c r="BA556" s="292"/>
      <c r="BB556" s="292"/>
      <c r="BC556" s="292"/>
      <c r="BD556" s="292"/>
      <c r="BE556" s="292"/>
      <c r="BF556" s="292"/>
      <c r="BG556" s="292"/>
      <c r="BH556" s="292"/>
      <c r="BI556" s="292"/>
      <c r="BJ556" s="292"/>
      <c r="BK556" s="292"/>
      <c r="BL556" s="292"/>
      <c r="BM556" s="292"/>
      <c r="BN556" s="292"/>
      <c r="BO556" s="292"/>
      <c r="BP556" s="292"/>
      <c r="BQ556" s="292"/>
      <c r="BR556" s="292"/>
      <c r="BS556" s="292"/>
      <c r="BT556" s="292"/>
      <c r="BU556" s="292"/>
      <c r="BV556" s="292"/>
      <c r="BW556" s="292"/>
    </row>
    <row r="557">
      <c r="A557" s="292"/>
      <c r="B557" s="292" t="str">
        <f>IFERROR(__xludf.DUMMYFUNCTION("""COMPUTED_VALUE"""),"")</f>
        <v/>
      </c>
      <c r="C557" s="292"/>
      <c r="D557" s="292" t="str">
        <f>IFERROR(__xludf.DUMMYFUNCTION("""COMPUTED_VALUE"""),"")</f>
        <v/>
      </c>
      <c r="E557" s="292" t="str">
        <f>IFERROR(__xludf.DUMMYFUNCTION("""COMPUTED_VALUE"""),"")</f>
        <v/>
      </c>
      <c r="F557" s="292"/>
      <c r="G557" s="292" t="str">
        <f>IFERROR(__xludf.DUMMYFUNCTION("""COMPUTED_VALUE"""),"")</f>
        <v/>
      </c>
      <c r="H557" s="292" t="str">
        <f>IFERROR(__xludf.DUMMYFUNCTION("""COMPUTED_VALUE"""),"")</f>
        <v/>
      </c>
      <c r="I557" s="292"/>
      <c r="J557" s="292"/>
      <c r="K557" s="292"/>
      <c r="L557" s="292"/>
      <c r="M557" s="292" t="str">
        <f>IFERROR(__xludf.DUMMYFUNCTION("""COMPUTED_VALUE"""),"")</f>
        <v/>
      </c>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c r="AK557" s="292"/>
      <c r="AL557" s="292"/>
      <c r="AM557" s="292"/>
      <c r="AN557" s="292"/>
      <c r="AO557" s="292"/>
      <c r="AP557" s="292"/>
      <c r="AQ557" s="292"/>
      <c r="AR557" s="292"/>
      <c r="AS557" s="292"/>
      <c r="AT557" s="292"/>
      <c r="AU557" s="292"/>
      <c r="AV557" s="292"/>
      <c r="AW557" s="292"/>
      <c r="AX557" s="292"/>
      <c r="AY557" s="292"/>
      <c r="AZ557" s="292"/>
      <c r="BA557" s="292"/>
      <c r="BB557" s="292"/>
      <c r="BC557" s="292"/>
      <c r="BD557" s="292"/>
      <c r="BE557" s="292"/>
      <c r="BF557" s="292"/>
      <c r="BG557" s="292"/>
      <c r="BH557" s="292"/>
      <c r="BI557" s="292"/>
      <c r="BJ557" s="292"/>
      <c r="BK557" s="292"/>
      <c r="BL557" s="292"/>
      <c r="BM557" s="292"/>
      <c r="BN557" s="292"/>
      <c r="BO557" s="292"/>
      <c r="BP557" s="292"/>
      <c r="BQ557" s="292"/>
      <c r="BR557" s="292"/>
      <c r="BS557" s="292"/>
      <c r="BT557" s="292"/>
      <c r="BU557" s="292"/>
      <c r="BV557" s="292"/>
      <c r="BW557" s="292"/>
    </row>
    <row r="558">
      <c r="A558" s="292"/>
      <c r="B558" s="292" t="str">
        <f>IFERROR(__xludf.DUMMYFUNCTION("""COMPUTED_VALUE"""),"")</f>
        <v/>
      </c>
      <c r="C558" s="292"/>
      <c r="D558" s="292" t="str">
        <f>IFERROR(__xludf.DUMMYFUNCTION("""COMPUTED_VALUE"""),"")</f>
        <v/>
      </c>
      <c r="E558" s="292" t="str">
        <f>IFERROR(__xludf.DUMMYFUNCTION("""COMPUTED_VALUE"""),"")</f>
        <v/>
      </c>
      <c r="F558" s="292"/>
      <c r="G558" s="292" t="str">
        <f>IFERROR(__xludf.DUMMYFUNCTION("""COMPUTED_VALUE"""),"")</f>
        <v/>
      </c>
      <c r="H558" s="292" t="str">
        <f>IFERROR(__xludf.DUMMYFUNCTION("""COMPUTED_VALUE"""),"")</f>
        <v/>
      </c>
      <c r="I558" s="292"/>
      <c r="J558" s="292"/>
      <c r="K558" s="292"/>
      <c r="L558" s="292"/>
      <c r="M558" s="292" t="str">
        <f>IFERROR(__xludf.DUMMYFUNCTION("""COMPUTED_VALUE"""),"")</f>
        <v/>
      </c>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c r="AK558" s="292"/>
      <c r="AL558" s="292"/>
      <c r="AM558" s="292"/>
      <c r="AN558" s="292"/>
      <c r="AO558" s="292"/>
      <c r="AP558" s="292"/>
      <c r="AQ558" s="292"/>
      <c r="AR558" s="292"/>
      <c r="AS558" s="292"/>
      <c r="AT558" s="292"/>
      <c r="AU558" s="292"/>
      <c r="AV558" s="292"/>
      <c r="AW558" s="292"/>
      <c r="AX558" s="292"/>
      <c r="AY558" s="292"/>
      <c r="AZ558" s="292"/>
      <c r="BA558" s="292"/>
      <c r="BB558" s="292"/>
      <c r="BC558" s="292"/>
      <c r="BD558" s="292"/>
      <c r="BE558" s="292"/>
      <c r="BF558" s="292"/>
      <c r="BG558" s="292"/>
      <c r="BH558" s="292"/>
      <c r="BI558" s="292"/>
      <c r="BJ558" s="292"/>
      <c r="BK558" s="292"/>
      <c r="BL558" s="292"/>
      <c r="BM558" s="292"/>
      <c r="BN558" s="292"/>
      <c r="BO558" s="292"/>
      <c r="BP558" s="292"/>
      <c r="BQ558" s="292"/>
      <c r="BR558" s="292"/>
      <c r="BS558" s="292"/>
      <c r="BT558" s="292"/>
      <c r="BU558" s="292"/>
      <c r="BV558" s="292"/>
      <c r="BW558" s="292"/>
    </row>
    <row r="559">
      <c r="A559" s="292"/>
      <c r="B559" s="292" t="str">
        <f>IFERROR(__xludf.DUMMYFUNCTION("""COMPUTED_VALUE"""),"")</f>
        <v/>
      </c>
      <c r="C559" s="292"/>
      <c r="D559" s="292" t="str">
        <f>IFERROR(__xludf.DUMMYFUNCTION("""COMPUTED_VALUE"""),"")</f>
        <v/>
      </c>
      <c r="E559" s="292" t="str">
        <f>IFERROR(__xludf.DUMMYFUNCTION("""COMPUTED_VALUE"""),"")</f>
        <v/>
      </c>
      <c r="F559" s="292"/>
      <c r="G559" s="292" t="str">
        <f>IFERROR(__xludf.DUMMYFUNCTION("""COMPUTED_VALUE"""),"")</f>
        <v/>
      </c>
      <c r="H559" s="292" t="str">
        <f>IFERROR(__xludf.DUMMYFUNCTION("""COMPUTED_VALUE"""),"")</f>
        <v/>
      </c>
      <c r="I559" s="292"/>
      <c r="J559" s="292"/>
      <c r="K559" s="292"/>
      <c r="L559" s="292"/>
      <c r="M559" s="292" t="str">
        <f>IFERROR(__xludf.DUMMYFUNCTION("""COMPUTED_VALUE"""),"")</f>
        <v/>
      </c>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c r="AK559" s="292"/>
      <c r="AL559" s="292"/>
      <c r="AM559" s="292"/>
      <c r="AN559" s="292"/>
      <c r="AO559" s="292"/>
      <c r="AP559" s="292"/>
      <c r="AQ559" s="292"/>
      <c r="AR559" s="292"/>
      <c r="AS559" s="292"/>
      <c r="AT559" s="292"/>
      <c r="AU559" s="292"/>
      <c r="AV559" s="292"/>
      <c r="AW559" s="292"/>
      <c r="AX559" s="292"/>
      <c r="AY559" s="292"/>
      <c r="AZ559" s="292"/>
      <c r="BA559" s="292"/>
      <c r="BB559" s="292"/>
      <c r="BC559" s="292"/>
      <c r="BD559" s="292"/>
      <c r="BE559" s="292"/>
      <c r="BF559" s="292"/>
      <c r="BG559" s="292"/>
      <c r="BH559" s="292"/>
      <c r="BI559" s="292"/>
      <c r="BJ559" s="292"/>
      <c r="BK559" s="292"/>
      <c r="BL559" s="292"/>
      <c r="BM559" s="292"/>
      <c r="BN559" s="292"/>
      <c r="BO559" s="292"/>
      <c r="BP559" s="292"/>
      <c r="BQ559" s="292"/>
      <c r="BR559" s="292"/>
      <c r="BS559" s="292"/>
      <c r="BT559" s="292"/>
      <c r="BU559" s="292"/>
      <c r="BV559" s="292"/>
      <c r="BW559" s="292"/>
    </row>
    <row r="560">
      <c r="A560" s="292"/>
      <c r="B560" s="292" t="str">
        <f>IFERROR(__xludf.DUMMYFUNCTION("""COMPUTED_VALUE"""),"")</f>
        <v/>
      </c>
      <c r="C560" s="292"/>
      <c r="D560" s="292" t="str">
        <f>IFERROR(__xludf.DUMMYFUNCTION("""COMPUTED_VALUE"""),"")</f>
        <v/>
      </c>
      <c r="E560" s="292" t="str">
        <f>IFERROR(__xludf.DUMMYFUNCTION("""COMPUTED_VALUE"""),"")</f>
        <v/>
      </c>
      <c r="F560" s="292"/>
      <c r="G560" s="292" t="str">
        <f>IFERROR(__xludf.DUMMYFUNCTION("""COMPUTED_VALUE"""),"")</f>
        <v/>
      </c>
      <c r="H560" s="292" t="str">
        <f>IFERROR(__xludf.DUMMYFUNCTION("""COMPUTED_VALUE"""),"")</f>
        <v/>
      </c>
      <c r="I560" s="292"/>
      <c r="J560" s="292"/>
      <c r="K560" s="292"/>
      <c r="L560" s="292"/>
      <c r="M560" s="292" t="str">
        <f>IFERROR(__xludf.DUMMYFUNCTION("""COMPUTED_VALUE"""),"")</f>
        <v/>
      </c>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c r="AK560" s="292"/>
      <c r="AL560" s="292"/>
      <c r="AM560" s="292"/>
      <c r="AN560" s="292"/>
      <c r="AO560" s="292"/>
      <c r="AP560" s="292"/>
      <c r="AQ560" s="292"/>
      <c r="AR560" s="292"/>
      <c r="AS560" s="292"/>
      <c r="AT560" s="292"/>
      <c r="AU560" s="292"/>
      <c r="AV560" s="292"/>
      <c r="AW560" s="292"/>
      <c r="AX560" s="292"/>
      <c r="AY560" s="292"/>
      <c r="AZ560" s="292"/>
      <c r="BA560" s="292"/>
      <c r="BB560" s="292"/>
      <c r="BC560" s="292"/>
      <c r="BD560" s="292"/>
      <c r="BE560" s="292"/>
      <c r="BF560" s="292"/>
      <c r="BG560" s="292"/>
      <c r="BH560" s="292"/>
      <c r="BI560" s="292"/>
      <c r="BJ560" s="292"/>
      <c r="BK560" s="292"/>
      <c r="BL560" s="292"/>
      <c r="BM560" s="292"/>
      <c r="BN560" s="292"/>
      <c r="BO560" s="292"/>
      <c r="BP560" s="292"/>
      <c r="BQ560" s="292"/>
      <c r="BR560" s="292"/>
      <c r="BS560" s="292"/>
      <c r="BT560" s="292"/>
      <c r="BU560" s="292"/>
      <c r="BV560" s="292"/>
      <c r="BW560" s="292"/>
    </row>
    <row r="561">
      <c r="A561" s="292"/>
      <c r="B561" s="292" t="str">
        <f>IFERROR(__xludf.DUMMYFUNCTION("""COMPUTED_VALUE"""),"")</f>
        <v/>
      </c>
      <c r="C561" s="292"/>
      <c r="D561" s="292" t="str">
        <f>IFERROR(__xludf.DUMMYFUNCTION("""COMPUTED_VALUE"""),"")</f>
        <v/>
      </c>
      <c r="E561" s="292" t="str">
        <f>IFERROR(__xludf.DUMMYFUNCTION("""COMPUTED_VALUE"""),"")</f>
        <v/>
      </c>
      <c r="F561" s="292"/>
      <c r="G561" s="292" t="str">
        <f>IFERROR(__xludf.DUMMYFUNCTION("""COMPUTED_VALUE"""),"")</f>
        <v/>
      </c>
      <c r="H561" s="292" t="str">
        <f>IFERROR(__xludf.DUMMYFUNCTION("""COMPUTED_VALUE"""),"")</f>
        <v/>
      </c>
      <c r="I561" s="292"/>
      <c r="J561" s="292"/>
      <c r="K561" s="292"/>
      <c r="L561" s="292"/>
      <c r="M561" s="292" t="str">
        <f>IFERROR(__xludf.DUMMYFUNCTION("""COMPUTED_VALUE"""),"")</f>
        <v/>
      </c>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c r="AK561" s="292"/>
      <c r="AL561" s="292"/>
      <c r="AM561" s="292"/>
      <c r="AN561" s="292"/>
      <c r="AO561" s="292"/>
      <c r="AP561" s="292"/>
      <c r="AQ561" s="292"/>
      <c r="AR561" s="292"/>
      <c r="AS561" s="292"/>
      <c r="AT561" s="292"/>
      <c r="AU561" s="292"/>
      <c r="AV561" s="292"/>
      <c r="AW561" s="292"/>
      <c r="AX561" s="292"/>
      <c r="AY561" s="292"/>
      <c r="AZ561" s="292"/>
      <c r="BA561" s="292"/>
      <c r="BB561" s="292"/>
      <c r="BC561" s="292"/>
      <c r="BD561" s="292"/>
      <c r="BE561" s="292"/>
      <c r="BF561" s="292"/>
      <c r="BG561" s="292"/>
      <c r="BH561" s="292"/>
      <c r="BI561" s="292"/>
      <c r="BJ561" s="292"/>
      <c r="BK561" s="292"/>
      <c r="BL561" s="292"/>
      <c r="BM561" s="292"/>
      <c r="BN561" s="292"/>
      <c r="BO561" s="292"/>
      <c r="BP561" s="292"/>
      <c r="BQ561" s="292"/>
      <c r="BR561" s="292"/>
      <c r="BS561" s="292"/>
      <c r="BT561" s="292"/>
      <c r="BU561" s="292"/>
      <c r="BV561" s="292"/>
      <c r="BW561" s="292"/>
    </row>
    <row r="562">
      <c r="A562" s="292"/>
      <c r="B562" s="292" t="str">
        <f>IFERROR(__xludf.DUMMYFUNCTION("""COMPUTED_VALUE"""),"")</f>
        <v/>
      </c>
      <c r="C562" s="292"/>
      <c r="D562" s="292" t="str">
        <f>IFERROR(__xludf.DUMMYFUNCTION("""COMPUTED_VALUE"""),"")</f>
        <v/>
      </c>
      <c r="E562" s="292" t="str">
        <f>IFERROR(__xludf.DUMMYFUNCTION("""COMPUTED_VALUE"""),"")</f>
        <v/>
      </c>
      <c r="F562" s="292"/>
      <c r="G562" s="292" t="str">
        <f>IFERROR(__xludf.DUMMYFUNCTION("""COMPUTED_VALUE"""),"")</f>
        <v/>
      </c>
      <c r="H562" s="292" t="str">
        <f>IFERROR(__xludf.DUMMYFUNCTION("""COMPUTED_VALUE"""),"")</f>
        <v/>
      </c>
      <c r="I562" s="292"/>
      <c r="J562" s="292"/>
      <c r="K562" s="292"/>
      <c r="L562" s="292"/>
      <c r="M562" s="292" t="str">
        <f>IFERROR(__xludf.DUMMYFUNCTION("""COMPUTED_VALUE"""),"")</f>
        <v/>
      </c>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c r="AK562" s="292"/>
      <c r="AL562" s="292"/>
      <c r="AM562" s="292"/>
      <c r="AN562" s="292"/>
      <c r="AO562" s="292"/>
      <c r="AP562" s="292"/>
      <c r="AQ562" s="292"/>
      <c r="AR562" s="292"/>
      <c r="AS562" s="292"/>
      <c r="AT562" s="292"/>
      <c r="AU562" s="292"/>
      <c r="AV562" s="292"/>
      <c r="AW562" s="292"/>
      <c r="AX562" s="292"/>
      <c r="AY562" s="292"/>
      <c r="AZ562" s="292"/>
      <c r="BA562" s="292"/>
      <c r="BB562" s="292"/>
      <c r="BC562" s="292"/>
      <c r="BD562" s="292"/>
      <c r="BE562" s="292"/>
      <c r="BF562" s="292"/>
      <c r="BG562" s="292"/>
      <c r="BH562" s="292"/>
      <c r="BI562" s="292"/>
      <c r="BJ562" s="292"/>
      <c r="BK562" s="292"/>
      <c r="BL562" s="292"/>
      <c r="BM562" s="292"/>
      <c r="BN562" s="292"/>
      <c r="BO562" s="292"/>
      <c r="BP562" s="292"/>
      <c r="BQ562" s="292"/>
      <c r="BR562" s="292"/>
      <c r="BS562" s="292"/>
      <c r="BT562" s="292"/>
      <c r="BU562" s="292"/>
      <c r="BV562" s="292"/>
      <c r="BW562" s="292"/>
    </row>
    <row r="563">
      <c r="A563" s="292"/>
      <c r="B563" s="292" t="str">
        <f>IFERROR(__xludf.DUMMYFUNCTION("""COMPUTED_VALUE"""),"")</f>
        <v/>
      </c>
      <c r="C563" s="292"/>
      <c r="D563" s="292" t="str">
        <f>IFERROR(__xludf.DUMMYFUNCTION("""COMPUTED_VALUE"""),"")</f>
        <v/>
      </c>
      <c r="E563" s="292" t="str">
        <f>IFERROR(__xludf.DUMMYFUNCTION("""COMPUTED_VALUE"""),"")</f>
        <v/>
      </c>
      <c r="F563" s="292"/>
      <c r="G563" s="292" t="str">
        <f>IFERROR(__xludf.DUMMYFUNCTION("""COMPUTED_VALUE"""),"")</f>
        <v/>
      </c>
      <c r="H563" s="292" t="str">
        <f>IFERROR(__xludf.DUMMYFUNCTION("""COMPUTED_VALUE"""),"")</f>
        <v/>
      </c>
      <c r="I563" s="292"/>
      <c r="J563" s="292"/>
      <c r="K563" s="292"/>
      <c r="L563" s="292"/>
      <c r="M563" s="292" t="str">
        <f>IFERROR(__xludf.DUMMYFUNCTION("""COMPUTED_VALUE"""),"")</f>
        <v/>
      </c>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c r="AK563" s="292"/>
      <c r="AL563" s="292"/>
      <c r="AM563" s="292"/>
      <c r="AN563" s="292"/>
      <c r="AO563" s="292"/>
      <c r="AP563" s="292"/>
      <c r="AQ563" s="292"/>
      <c r="AR563" s="292"/>
      <c r="AS563" s="292"/>
      <c r="AT563" s="292"/>
      <c r="AU563" s="292"/>
      <c r="AV563" s="292"/>
      <c r="AW563" s="292"/>
      <c r="AX563" s="292"/>
      <c r="AY563" s="292"/>
      <c r="AZ563" s="292"/>
      <c r="BA563" s="292"/>
      <c r="BB563" s="292"/>
      <c r="BC563" s="292"/>
      <c r="BD563" s="292"/>
      <c r="BE563" s="292"/>
      <c r="BF563" s="292"/>
      <c r="BG563" s="292"/>
      <c r="BH563" s="292"/>
      <c r="BI563" s="292"/>
      <c r="BJ563" s="292"/>
      <c r="BK563" s="292"/>
      <c r="BL563" s="292"/>
      <c r="BM563" s="292"/>
      <c r="BN563" s="292"/>
      <c r="BO563" s="292"/>
      <c r="BP563" s="292"/>
      <c r="BQ563" s="292"/>
      <c r="BR563" s="292"/>
      <c r="BS563" s="292"/>
      <c r="BT563" s="292"/>
      <c r="BU563" s="292"/>
      <c r="BV563" s="292"/>
      <c r="BW563" s="292"/>
    </row>
    <row r="564">
      <c r="A564" s="292"/>
      <c r="B564" s="292" t="str">
        <f>IFERROR(__xludf.DUMMYFUNCTION("""COMPUTED_VALUE"""),"")</f>
        <v/>
      </c>
      <c r="C564" s="292"/>
      <c r="D564" s="292" t="str">
        <f>IFERROR(__xludf.DUMMYFUNCTION("""COMPUTED_VALUE"""),"")</f>
        <v/>
      </c>
      <c r="E564" s="292" t="str">
        <f>IFERROR(__xludf.DUMMYFUNCTION("""COMPUTED_VALUE"""),"")</f>
        <v/>
      </c>
      <c r="F564" s="292"/>
      <c r="G564" s="292" t="str">
        <f>IFERROR(__xludf.DUMMYFUNCTION("""COMPUTED_VALUE"""),"")</f>
        <v/>
      </c>
      <c r="H564" s="292" t="str">
        <f>IFERROR(__xludf.DUMMYFUNCTION("""COMPUTED_VALUE"""),"")</f>
        <v/>
      </c>
      <c r="I564" s="292"/>
      <c r="J564" s="292"/>
      <c r="K564" s="292"/>
      <c r="L564" s="292"/>
      <c r="M564" s="292" t="str">
        <f>IFERROR(__xludf.DUMMYFUNCTION("""COMPUTED_VALUE"""),"")</f>
        <v/>
      </c>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c r="AK564" s="292"/>
      <c r="AL564" s="292"/>
      <c r="AM564" s="292"/>
      <c r="AN564" s="292"/>
      <c r="AO564" s="292"/>
      <c r="AP564" s="292"/>
      <c r="AQ564" s="292"/>
      <c r="AR564" s="292"/>
      <c r="AS564" s="292"/>
      <c r="AT564" s="292"/>
      <c r="AU564" s="292"/>
      <c r="AV564" s="292"/>
      <c r="AW564" s="292"/>
      <c r="AX564" s="292"/>
      <c r="AY564" s="292"/>
      <c r="AZ564" s="292"/>
      <c r="BA564" s="292"/>
      <c r="BB564" s="292"/>
      <c r="BC564" s="292"/>
      <c r="BD564" s="292"/>
      <c r="BE564" s="292"/>
      <c r="BF564" s="292"/>
      <c r="BG564" s="292"/>
      <c r="BH564" s="292"/>
      <c r="BI564" s="292"/>
      <c r="BJ564" s="292"/>
      <c r="BK564" s="292"/>
      <c r="BL564" s="292"/>
      <c r="BM564" s="292"/>
      <c r="BN564" s="292"/>
      <c r="BO564" s="292"/>
      <c r="BP564" s="292"/>
      <c r="BQ564" s="292"/>
      <c r="BR564" s="292"/>
      <c r="BS564" s="292"/>
      <c r="BT564" s="292"/>
      <c r="BU564" s="292"/>
      <c r="BV564" s="292"/>
      <c r="BW564" s="292"/>
    </row>
    <row r="565">
      <c r="A565" s="292"/>
      <c r="B565" s="292" t="str">
        <f>IFERROR(__xludf.DUMMYFUNCTION("""COMPUTED_VALUE"""),"")</f>
        <v/>
      </c>
      <c r="C565" s="292"/>
      <c r="D565" s="292" t="str">
        <f>IFERROR(__xludf.DUMMYFUNCTION("""COMPUTED_VALUE"""),"")</f>
        <v/>
      </c>
      <c r="E565" s="292" t="str">
        <f>IFERROR(__xludf.DUMMYFUNCTION("""COMPUTED_VALUE"""),"")</f>
        <v/>
      </c>
      <c r="F565" s="292"/>
      <c r="G565" s="292" t="str">
        <f>IFERROR(__xludf.DUMMYFUNCTION("""COMPUTED_VALUE"""),"")</f>
        <v/>
      </c>
      <c r="H565" s="292" t="str">
        <f>IFERROR(__xludf.DUMMYFUNCTION("""COMPUTED_VALUE"""),"")</f>
        <v/>
      </c>
      <c r="I565" s="292"/>
      <c r="J565" s="292"/>
      <c r="K565" s="292"/>
      <c r="L565" s="292"/>
      <c r="M565" s="292" t="str">
        <f>IFERROR(__xludf.DUMMYFUNCTION("""COMPUTED_VALUE"""),"")</f>
        <v/>
      </c>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c r="AK565" s="292"/>
      <c r="AL565" s="292"/>
      <c r="AM565" s="292"/>
      <c r="AN565" s="292"/>
      <c r="AO565" s="292"/>
      <c r="AP565" s="292"/>
      <c r="AQ565" s="292"/>
      <c r="AR565" s="292"/>
      <c r="AS565" s="292"/>
      <c r="AT565" s="292"/>
      <c r="AU565" s="292"/>
      <c r="AV565" s="292"/>
      <c r="AW565" s="292"/>
      <c r="AX565" s="292"/>
      <c r="AY565" s="292"/>
      <c r="AZ565" s="292"/>
      <c r="BA565" s="292"/>
      <c r="BB565" s="292"/>
      <c r="BC565" s="292"/>
      <c r="BD565" s="292"/>
      <c r="BE565" s="292"/>
      <c r="BF565" s="292"/>
      <c r="BG565" s="292"/>
      <c r="BH565" s="292"/>
      <c r="BI565" s="292"/>
      <c r="BJ565" s="292"/>
      <c r="BK565" s="292"/>
      <c r="BL565" s="292"/>
      <c r="BM565" s="292"/>
      <c r="BN565" s="292"/>
      <c r="BO565" s="292"/>
      <c r="BP565" s="292"/>
      <c r="BQ565" s="292"/>
      <c r="BR565" s="292"/>
      <c r="BS565" s="292"/>
      <c r="BT565" s="292"/>
      <c r="BU565" s="292"/>
      <c r="BV565" s="292"/>
      <c r="BW565" s="292"/>
    </row>
    <row r="566">
      <c r="A566" s="292"/>
      <c r="B566" s="292" t="str">
        <f>IFERROR(__xludf.DUMMYFUNCTION("""COMPUTED_VALUE"""),"")</f>
        <v/>
      </c>
      <c r="C566" s="292"/>
      <c r="D566" s="292" t="str">
        <f>IFERROR(__xludf.DUMMYFUNCTION("""COMPUTED_VALUE"""),"")</f>
        <v/>
      </c>
      <c r="E566" s="292" t="str">
        <f>IFERROR(__xludf.DUMMYFUNCTION("""COMPUTED_VALUE"""),"")</f>
        <v/>
      </c>
      <c r="F566" s="292"/>
      <c r="G566" s="292" t="str">
        <f>IFERROR(__xludf.DUMMYFUNCTION("""COMPUTED_VALUE"""),"")</f>
        <v/>
      </c>
      <c r="H566" s="292" t="str">
        <f>IFERROR(__xludf.DUMMYFUNCTION("""COMPUTED_VALUE"""),"")</f>
        <v/>
      </c>
      <c r="I566" s="292"/>
      <c r="J566" s="292"/>
      <c r="K566" s="292"/>
      <c r="L566" s="292"/>
      <c r="M566" s="292" t="str">
        <f>IFERROR(__xludf.DUMMYFUNCTION("""COMPUTED_VALUE"""),"")</f>
        <v/>
      </c>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c r="AK566" s="292"/>
      <c r="AL566" s="292"/>
      <c r="AM566" s="292"/>
      <c r="AN566" s="292"/>
      <c r="AO566" s="292"/>
      <c r="AP566" s="292"/>
      <c r="AQ566" s="292"/>
      <c r="AR566" s="292"/>
      <c r="AS566" s="292"/>
      <c r="AT566" s="292"/>
      <c r="AU566" s="292"/>
      <c r="AV566" s="292"/>
      <c r="AW566" s="292"/>
      <c r="AX566" s="292"/>
      <c r="AY566" s="292"/>
      <c r="AZ566" s="292"/>
      <c r="BA566" s="292"/>
      <c r="BB566" s="292"/>
      <c r="BC566" s="292"/>
      <c r="BD566" s="292"/>
      <c r="BE566" s="292"/>
      <c r="BF566" s="292"/>
      <c r="BG566" s="292"/>
      <c r="BH566" s="292"/>
      <c r="BI566" s="292"/>
      <c r="BJ566" s="292"/>
      <c r="BK566" s="292"/>
      <c r="BL566" s="292"/>
      <c r="BM566" s="292"/>
      <c r="BN566" s="292"/>
      <c r="BO566" s="292"/>
      <c r="BP566" s="292"/>
      <c r="BQ566" s="292"/>
      <c r="BR566" s="292"/>
      <c r="BS566" s="292"/>
      <c r="BT566" s="292"/>
      <c r="BU566" s="292"/>
      <c r="BV566" s="292"/>
      <c r="BW566" s="292"/>
    </row>
    <row r="567">
      <c r="A567" s="292"/>
      <c r="B567" s="292" t="str">
        <f>IFERROR(__xludf.DUMMYFUNCTION("""COMPUTED_VALUE"""),"")</f>
        <v/>
      </c>
      <c r="C567" s="292"/>
      <c r="D567" s="292" t="str">
        <f>IFERROR(__xludf.DUMMYFUNCTION("""COMPUTED_VALUE"""),"")</f>
        <v/>
      </c>
      <c r="E567" s="292" t="str">
        <f>IFERROR(__xludf.DUMMYFUNCTION("""COMPUTED_VALUE"""),"")</f>
        <v/>
      </c>
      <c r="F567" s="292"/>
      <c r="G567" s="292" t="str">
        <f>IFERROR(__xludf.DUMMYFUNCTION("""COMPUTED_VALUE"""),"")</f>
        <v/>
      </c>
      <c r="H567" s="292" t="str">
        <f>IFERROR(__xludf.DUMMYFUNCTION("""COMPUTED_VALUE"""),"")</f>
        <v/>
      </c>
      <c r="I567" s="292"/>
      <c r="J567" s="292"/>
      <c r="K567" s="292"/>
      <c r="L567" s="292"/>
      <c r="M567" s="292" t="str">
        <f>IFERROR(__xludf.DUMMYFUNCTION("""COMPUTED_VALUE"""),"")</f>
        <v/>
      </c>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c r="AK567" s="292"/>
      <c r="AL567" s="292"/>
      <c r="AM567" s="292"/>
      <c r="AN567" s="292"/>
      <c r="AO567" s="292"/>
      <c r="AP567" s="292"/>
      <c r="AQ567" s="292"/>
      <c r="AR567" s="292"/>
      <c r="AS567" s="292"/>
      <c r="AT567" s="292"/>
      <c r="AU567" s="292"/>
      <c r="AV567" s="292"/>
      <c r="AW567" s="292"/>
      <c r="AX567" s="292"/>
      <c r="AY567" s="292"/>
      <c r="AZ567" s="292"/>
      <c r="BA567" s="292"/>
      <c r="BB567" s="292"/>
      <c r="BC567" s="292"/>
      <c r="BD567" s="292"/>
      <c r="BE567" s="292"/>
      <c r="BF567" s="292"/>
      <c r="BG567" s="292"/>
      <c r="BH567" s="292"/>
      <c r="BI567" s="292"/>
      <c r="BJ567" s="292"/>
      <c r="BK567" s="292"/>
      <c r="BL567" s="292"/>
      <c r="BM567" s="292"/>
      <c r="BN567" s="292"/>
      <c r="BO567" s="292"/>
      <c r="BP567" s="292"/>
      <c r="BQ567" s="292"/>
      <c r="BR567" s="292"/>
      <c r="BS567" s="292"/>
      <c r="BT567" s="292"/>
      <c r="BU567" s="292"/>
      <c r="BV567" s="292"/>
      <c r="BW567" s="292"/>
    </row>
    <row r="568">
      <c r="A568" s="292"/>
      <c r="B568" s="292" t="str">
        <f>IFERROR(__xludf.DUMMYFUNCTION("""COMPUTED_VALUE"""),"")</f>
        <v/>
      </c>
      <c r="C568" s="292"/>
      <c r="D568" s="292" t="str">
        <f>IFERROR(__xludf.DUMMYFUNCTION("""COMPUTED_VALUE"""),"")</f>
        <v/>
      </c>
      <c r="E568" s="292" t="str">
        <f>IFERROR(__xludf.DUMMYFUNCTION("""COMPUTED_VALUE"""),"")</f>
        <v/>
      </c>
      <c r="F568" s="292"/>
      <c r="G568" s="292" t="str">
        <f>IFERROR(__xludf.DUMMYFUNCTION("""COMPUTED_VALUE"""),"")</f>
        <v/>
      </c>
      <c r="H568" s="292" t="str">
        <f>IFERROR(__xludf.DUMMYFUNCTION("""COMPUTED_VALUE"""),"")</f>
        <v/>
      </c>
      <c r="I568" s="292"/>
      <c r="J568" s="292"/>
      <c r="K568" s="292"/>
      <c r="L568" s="292"/>
      <c r="M568" s="292" t="str">
        <f>IFERROR(__xludf.DUMMYFUNCTION("""COMPUTED_VALUE"""),"")</f>
        <v/>
      </c>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c r="AK568" s="292"/>
      <c r="AL568" s="292"/>
      <c r="AM568" s="292"/>
      <c r="AN568" s="292"/>
      <c r="AO568" s="292"/>
      <c r="AP568" s="292"/>
      <c r="AQ568" s="292"/>
      <c r="AR568" s="292"/>
      <c r="AS568" s="292"/>
      <c r="AT568" s="292"/>
      <c r="AU568" s="292"/>
      <c r="AV568" s="292"/>
      <c r="AW568" s="292"/>
      <c r="AX568" s="292"/>
      <c r="AY568" s="292"/>
      <c r="AZ568" s="292"/>
      <c r="BA568" s="292"/>
      <c r="BB568" s="292"/>
      <c r="BC568" s="292"/>
      <c r="BD568" s="292"/>
      <c r="BE568" s="292"/>
      <c r="BF568" s="292"/>
      <c r="BG568" s="292"/>
      <c r="BH568" s="292"/>
      <c r="BI568" s="292"/>
      <c r="BJ568" s="292"/>
      <c r="BK568" s="292"/>
      <c r="BL568" s="292"/>
      <c r="BM568" s="292"/>
      <c r="BN568" s="292"/>
      <c r="BO568" s="292"/>
      <c r="BP568" s="292"/>
      <c r="BQ568" s="292"/>
      <c r="BR568" s="292"/>
      <c r="BS568" s="292"/>
      <c r="BT568" s="292"/>
      <c r="BU568" s="292"/>
      <c r="BV568" s="292"/>
      <c r="BW568" s="292"/>
    </row>
    <row r="569">
      <c r="A569" s="292"/>
      <c r="B569" s="292" t="str">
        <f>IFERROR(__xludf.DUMMYFUNCTION("""COMPUTED_VALUE"""),"")</f>
        <v/>
      </c>
      <c r="C569" s="292"/>
      <c r="D569" s="292" t="str">
        <f>IFERROR(__xludf.DUMMYFUNCTION("""COMPUTED_VALUE"""),"")</f>
        <v/>
      </c>
      <c r="E569" s="292" t="str">
        <f>IFERROR(__xludf.DUMMYFUNCTION("""COMPUTED_VALUE"""),"")</f>
        <v/>
      </c>
      <c r="F569" s="292"/>
      <c r="G569" s="292" t="str">
        <f>IFERROR(__xludf.DUMMYFUNCTION("""COMPUTED_VALUE"""),"")</f>
        <v/>
      </c>
      <c r="H569" s="292" t="str">
        <f>IFERROR(__xludf.DUMMYFUNCTION("""COMPUTED_VALUE"""),"")</f>
        <v/>
      </c>
      <c r="I569" s="292"/>
      <c r="J569" s="292"/>
      <c r="K569" s="292"/>
      <c r="L569" s="292"/>
      <c r="M569" s="292" t="str">
        <f>IFERROR(__xludf.DUMMYFUNCTION("""COMPUTED_VALUE"""),"")</f>
        <v/>
      </c>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c r="AK569" s="292"/>
      <c r="AL569" s="292"/>
      <c r="AM569" s="292"/>
      <c r="AN569" s="292"/>
      <c r="AO569" s="292"/>
      <c r="AP569" s="292"/>
      <c r="AQ569" s="292"/>
      <c r="AR569" s="292"/>
      <c r="AS569" s="292"/>
      <c r="AT569" s="292"/>
      <c r="AU569" s="292"/>
      <c r="AV569" s="292"/>
      <c r="AW569" s="292"/>
      <c r="AX569" s="292"/>
      <c r="AY569" s="292"/>
      <c r="AZ569" s="292"/>
      <c r="BA569" s="292"/>
      <c r="BB569" s="292"/>
      <c r="BC569" s="292"/>
      <c r="BD569" s="292"/>
      <c r="BE569" s="292"/>
      <c r="BF569" s="292"/>
      <c r="BG569" s="292"/>
      <c r="BH569" s="292"/>
      <c r="BI569" s="292"/>
      <c r="BJ569" s="292"/>
      <c r="BK569" s="292"/>
      <c r="BL569" s="292"/>
      <c r="BM569" s="292"/>
      <c r="BN569" s="292"/>
      <c r="BO569" s="292"/>
      <c r="BP569" s="292"/>
      <c r="BQ569" s="292"/>
      <c r="BR569" s="292"/>
      <c r="BS569" s="292"/>
      <c r="BT569" s="292"/>
      <c r="BU569" s="292"/>
      <c r="BV569" s="292"/>
      <c r="BW569" s="292"/>
    </row>
    <row r="570">
      <c r="A570" s="292"/>
      <c r="B570" s="292" t="str">
        <f>IFERROR(__xludf.DUMMYFUNCTION("""COMPUTED_VALUE"""),"")</f>
        <v/>
      </c>
      <c r="C570" s="292"/>
      <c r="D570" s="292" t="str">
        <f>IFERROR(__xludf.DUMMYFUNCTION("""COMPUTED_VALUE"""),"")</f>
        <v/>
      </c>
      <c r="E570" s="292" t="str">
        <f>IFERROR(__xludf.DUMMYFUNCTION("""COMPUTED_VALUE"""),"")</f>
        <v/>
      </c>
      <c r="F570" s="292"/>
      <c r="G570" s="292" t="str">
        <f>IFERROR(__xludf.DUMMYFUNCTION("""COMPUTED_VALUE"""),"")</f>
        <v/>
      </c>
      <c r="H570" s="292" t="str">
        <f>IFERROR(__xludf.DUMMYFUNCTION("""COMPUTED_VALUE"""),"")</f>
        <v/>
      </c>
      <c r="I570" s="292"/>
      <c r="J570" s="292"/>
      <c r="K570" s="292"/>
      <c r="L570" s="292"/>
      <c r="M570" s="292" t="str">
        <f>IFERROR(__xludf.DUMMYFUNCTION("""COMPUTED_VALUE"""),"")</f>
        <v/>
      </c>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c r="AK570" s="292"/>
      <c r="AL570" s="292"/>
      <c r="AM570" s="292"/>
      <c r="AN570" s="292"/>
      <c r="AO570" s="292"/>
      <c r="AP570" s="292"/>
      <c r="AQ570" s="292"/>
      <c r="AR570" s="292"/>
      <c r="AS570" s="292"/>
      <c r="AT570" s="292"/>
      <c r="AU570" s="292"/>
      <c r="AV570" s="292"/>
      <c r="AW570" s="292"/>
      <c r="AX570" s="292"/>
      <c r="AY570" s="292"/>
      <c r="AZ570" s="292"/>
      <c r="BA570" s="292"/>
      <c r="BB570" s="292"/>
      <c r="BC570" s="292"/>
      <c r="BD570" s="292"/>
      <c r="BE570" s="292"/>
      <c r="BF570" s="292"/>
      <c r="BG570" s="292"/>
      <c r="BH570" s="292"/>
      <c r="BI570" s="292"/>
      <c r="BJ570" s="292"/>
      <c r="BK570" s="292"/>
      <c r="BL570" s="292"/>
      <c r="BM570" s="292"/>
      <c r="BN570" s="292"/>
      <c r="BO570" s="292"/>
      <c r="BP570" s="292"/>
      <c r="BQ570" s="292"/>
      <c r="BR570" s="292"/>
      <c r="BS570" s="292"/>
      <c r="BT570" s="292"/>
      <c r="BU570" s="292"/>
      <c r="BV570" s="292"/>
      <c r="BW570" s="292"/>
    </row>
    <row r="571">
      <c r="A571" s="292"/>
      <c r="B571" s="292" t="str">
        <f>IFERROR(__xludf.DUMMYFUNCTION("""COMPUTED_VALUE"""),"")</f>
        <v/>
      </c>
      <c r="C571" s="292"/>
      <c r="D571" s="292" t="str">
        <f>IFERROR(__xludf.DUMMYFUNCTION("""COMPUTED_VALUE"""),"")</f>
        <v/>
      </c>
      <c r="E571" s="292" t="str">
        <f>IFERROR(__xludf.DUMMYFUNCTION("""COMPUTED_VALUE"""),"")</f>
        <v/>
      </c>
      <c r="F571" s="292"/>
      <c r="G571" s="292" t="str">
        <f>IFERROR(__xludf.DUMMYFUNCTION("""COMPUTED_VALUE"""),"")</f>
        <v/>
      </c>
      <c r="H571" s="292" t="str">
        <f>IFERROR(__xludf.DUMMYFUNCTION("""COMPUTED_VALUE"""),"")</f>
        <v/>
      </c>
      <c r="I571" s="292"/>
      <c r="J571" s="292"/>
      <c r="K571" s="292"/>
      <c r="L571" s="292"/>
      <c r="M571" s="292" t="str">
        <f>IFERROR(__xludf.DUMMYFUNCTION("""COMPUTED_VALUE"""),"")</f>
        <v/>
      </c>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c r="AK571" s="292"/>
      <c r="AL571" s="292"/>
      <c r="AM571" s="292"/>
      <c r="AN571" s="292"/>
      <c r="AO571" s="292"/>
      <c r="AP571" s="292"/>
      <c r="AQ571" s="292"/>
      <c r="AR571" s="292"/>
      <c r="AS571" s="292"/>
      <c r="AT571" s="292"/>
      <c r="AU571" s="292"/>
      <c r="AV571" s="292"/>
      <c r="AW571" s="292"/>
      <c r="AX571" s="292"/>
      <c r="AY571" s="292"/>
      <c r="AZ571" s="292"/>
      <c r="BA571" s="292"/>
      <c r="BB571" s="292"/>
      <c r="BC571" s="292"/>
      <c r="BD571" s="292"/>
      <c r="BE571" s="292"/>
      <c r="BF571" s="292"/>
      <c r="BG571" s="292"/>
      <c r="BH571" s="292"/>
      <c r="BI571" s="292"/>
      <c r="BJ571" s="292"/>
      <c r="BK571" s="292"/>
      <c r="BL571" s="292"/>
      <c r="BM571" s="292"/>
      <c r="BN571" s="292"/>
      <c r="BO571" s="292"/>
      <c r="BP571" s="292"/>
      <c r="BQ571" s="292"/>
      <c r="BR571" s="292"/>
      <c r="BS571" s="292"/>
      <c r="BT571" s="292"/>
      <c r="BU571" s="292"/>
      <c r="BV571" s="292"/>
      <c r="BW571" s="292"/>
    </row>
    <row r="572">
      <c r="A572" s="292"/>
      <c r="B572" s="292" t="str">
        <f>IFERROR(__xludf.DUMMYFUNCTION("""COMPUTED_VALUE"""),"")</f>
        <v/>
      </c>
      <c r="C572" s="292"/>
      <c r="D572" s="292" t="str">
        <f>IFERROR(__xludf.DUMMYFUNCTION("""COMPUTED_VALUE"""),"")</f>
        <v/>
      </c>
      <c r="E572" s="292" t="str">
        <f>IFERROR(__xludf.DUMMYFUNCTION("""COMPUTED_VALUE"""),"")</f>
        <v/>
      </c>
      <c r="F572" s="292"/>
      <c r="G572" s="292" t="str">
        <f>IFERROR(__xludf.DUMMYFUNCTION("""COMPUTED_VALUE"""),"")</f>
        <v/>
      </c>
      <c r="H572" s="292" t="str">
        <f>IFERROR(__xludf.DUMMYFUNCTION("""COMPUTED_VALUE"""),"")</f>
        <v/>
      </c>
      <c r="I572" s="292"/>
      <c r="J572" s="292"/>
      <c r="K572" s="292"/>
      <c r="L572" s="292"/>
      <c r="M572" s="292" t="str">
        <f>IFERROR(__xludf.DUMMYFUNCTION("""COMPUTED_VALUE"""),"")</f>
        <v/>
      </c>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c r="AK572" s="292"/>
      <c r="AL572" s="292"/>
      <c r="AM572" s="292"/>
      <c r="AN572" s="292"/>
      <c r="AO572" s="292"/>
      <c r="AP572" s="292"/>
      <c r="AQ572" s="292"/>
      <c r="AR572" s="292"/>
      <c r="AS572" s="292"/>
      <c r="AT572" s="292"/>
      <c r="AU572" s="292"/>
      <c r="AV572" s="292"/>
      <c r="AW572" s="292"/>
      <c r="AX572" s="292"/>
      <c r="AY572" s="292"/>
      <c r="AZ572" s="292"/>
      <c r="BA572" s="292"/>
      <c r="BB572" s="292"/>
      <c r="BC572" s="292"/>
      <c r="BD572" s="292"/>
      <c r="BE572" s="292"/>
      <c r="BF572" s="292"/>
      <c r="BG572" s="292"/>
      <c r="BH572" s="292"/>
      <c r="BI572" s="292"/>
      <c r="BJ572" s="292"/>
      <c r="BK572" s="292"/>
      <c r="BL572" s="292"/>
      <c r="BM572" s="292"/>
      <c r="BN572" s="292"/>
      <c r="BO572" s="292"/>
      <c r="BP572" s="292"/>
      <c r="BQ572" s="292"/>
      <c r="BR572" s="292"/>
      <c r="BS572" s="292"/>
      <c r="BT572" s="292"/>
      <c r="BU572" s="292"/>
      <c r="BV572" s="292"/>
      <c r="BW572" s="292"/>
    </row>
    <row r="573">
      <c r="A573" s="292"/>
      <c r="B573" s="292" t="str">
        <f>IFERROR(__xludf.DUMMYFUNCTION("""COMPUTED_VALUE"""),"")</f>
        <v/>
      </c>
      <c r="C573" s="292"/>
      <c r="D573" s="292" t="str">
        <f>IFERROR(__xludf.DUMMYFUNCTION("""COMPUTED_VALUE"""),"")</f>
        <v/>
      </c>
      <c r="E573" s="292" t="str">
        <f>IFERROR(__xludf.DUMMYFUNCTION("""COMPUTED_VALUE"""),"")</f>
        <v/>
      </c>
      <c r="F573" s="292"/>
      <c r="G573" s="292" t="str">
        <f>IFERROR(__xludf.DUMMYFUNCTION("""COMPUTED_VALUE"""),"")</f>
        <v/>
      </c>
      <c r="H573" s="292" t="str">
        <f>IFERROR(__xludf.DUMMYFUNCTION("""COMPUTED_VALUE"""),"")</f>
        <v/>
      </c>
      <c r="I573" s="292"/>
      <c r="J573" s="292"/>
      <c r="K573" s="292"/>
      <c r="L573" s="292"/>
      <c r="M573" s="292" t="str">
        <f>IFERROR(__xludf.DUMMYFUNCTION("""COMPUTED_VALUE"""),"")</f>
        <v/>
      </c>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c r="AK573" s="292"/>
      <c r="AL573" s="292"/>
      <c r="AM573" s="292"/>
      <c r="AN573" s="292"/>
      <c r="AO573" s="292"/>
      <c r="AP573" s="292"/>
      <c r="AQ573" s="292"/>
      <c r="AR573" s="292"/>
      <c r="AS573" s="292"/>
      <c r="AT573" s="292"/>
      <c r="AU573" s="292"/>
      <c r="AV573" s="292"/>
      <c r="AW573" s="292"/>
      <c r="AX573" s="292"/>
      <c r="AY573" s="292"/>
      <c r="AZ573" s="292"/>
      <c r="BA573" s="292"/>
      <c r="BB573" s="292"/>
      <c r="BC573" s="292"/>
      <c r="BD573" s="292"/>
      <c r="BE573" s="292"/>
      <c r="BF573" s="292"/>
      <c r="BG573" s="292"/>
      <c r="BH573" s="292"/>
      <c r="BI573" s="292"/>
      <c r="BJ573" s="292"/>
      <c r="BK573" s="292"/>
      <c r="BL573" s="292"/>
      <c r="BM573" s="292"/>
      <c r="BN573" s="292"/>
      <c r="BO573" s="292"/>
      <c r="BP573" s="292"/>
      <c r="BQ573" s="292"/>
      <c r="BR573" s="292"/>
      <c r="BS573" s="292"/>
      <c r="BT573" s="292"/>
      <c r="BU573" s="292"/>
      <c r="BV573" s="292"/>
      <c r="BW573" s="292"/>
    </row>
    <row r="574">
      <c r="A574" s="292"/>
      <c r="B574" s="292" t="str">
        <f>IFERROR(__xludf.DUMMYFUNCTION("""COMPUTED_VALUE"""),"")</f>
        <v/>
      </c>
      <c r="C574" s="292"/>
      <c r="D574" s="292" t="str">
        <f>IFERROR(__xludf.DUMMYFUNCTION("""COMPUTED_VALUE"""),"")</f>
        <v/>
      </c>
      <c r="E574" s="292" t="str">
        <f>IFERROR(__xludf.DUMMYFUNCTION("""COMPUTED_VALUE"""),"")</f>
        <v/>
      </c>
      <c r="F574" s="292"/>
      <c r="G574" s="292" t="str">
        <f>IFERROR(__xludf.DUMMYFUNCTION("""COMPUTED_VALUE"""),"")</f>
        <v/>
      </c>
      <c r="H574" s="292" t="str">
        <f>IFERROR(__xludf.DUMMYFUNCTION("""COMPUTED_VALUE"""),"")</f>
        <v/>
      </c>
      <c r="I574" s="292"/>
      <c r="J574" s="292"/>
      <c r="K574" s="292"/>
      <c r="L574" s="292"/>
      <c r="M574" s="292" t="str">
        <f>IFERROR(__xludf.DUMMYFUNCTION("""COMPUTED_VALUE"""),"")</f>
        <v/>
      </c>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c r="AK574" s="292"/>
      <c r="AL574" s="292"/>
      <c r="AM574" s="292"/>
      <c r="AN574" s="292"/>
      <c r="AO574" s="292"/>
      <c r="AP574" s="292"/>
      <c r="AQ574" s="292"/>
      <c r="AR574" s="292"/>
      <c r="AS574" s="292"/>
      <c r="AT574" s="292"/>
      <c r="AU574" s="292"/>
      <c r="AV574" s="292"/>
      <c r="AW574" s="292"/>
      <c r="AX574" s="292"/>
      <c r="AY574" s="292"/>
      <c r="AZ574" s="292"/>
      <c r="BA574" s="292"/>
      <c r="BB574" s="292"/>
      <c r="BC574" s="292"/>
      <c r="BD574" s="292"/>
      <c r="BE574" s="292"/>
      <c r="BF574" s="292"/>
      <c r="BG574" s="292"/>
      <c r="BH574" s="292"/>
      <c r="BI574" s="292"/>
      <c r="BJ574" s="292"/>
      <c r="BK574" s="292"/>
      <c r="BL574" s="292"/>
      <c r="BM574" s="292"/>
      <c r="BN574" s="292"/>
      <c r="BO574" s="292"/>
      <c r="BP574" s="292"/>
      <c r="BQ574" s="292"/>
      <c r="BR574" s="292"/>
      <c r="BS574" s="292"/>
      <c r="BT574" s="292"/>
      <c r="BU574" s="292"/>
      <c r="BV574" s="292"/>
      <c r="BW574" s="292"/>
    </row>
    <row r="575">
      <c r="A575" s="292"/>
      <c r="B575" s="292" t="str">
        <f>IFERROR(__xludf.DUMMYFUNCTION("""COMPUTED_VALUE"""),"")</f>
        <v/>
      </c>
      <c r="C575" s="292"/>
      <c r="D575" s="292" t="str">
        <f>IFERROR(__xludf.DUMMYFUNCTION("""COMPUTED_VALUE"""),"")</f>
        <v/>
      </c>
      <c r="E575" s="292" t="str">
        <f>IFERROR(__xludf.DUMMYFUNCTION("""COMPUTED_VALUE"""),"")</f>
        <v/>
      </c>
      <c r="F575" s="292"/>
      <c r="G575" s="292" t="str">
        <f>IFERROR(__xludf.DUMMYFUNCTION("""COMPUTED_VALUE"""),"")</f>
        <v/>
      </c>
      <c r="H575" s="292" t="str">
        <f>IFERROR(__xludf.DUMMYFUNCTION("""COMPUTED_VALUE"""),"")</f>
        <v/>
      </c>
      <c r="I575" s="292"/>
      <c r="J575" s="292"/>
      <c r="K575" s="292"/>
      <c r="L575" s="292"/>
      <c r="M575" s="292" t="str">
        <f>IFERROR(__xludf.DUMMYFUNCTION("""COMPUTED_VALUE"""),"")</f>
        <v/>
      </c>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c r="AK575" s="292"/>
      <c r="AL575" s="292"/>
      <c r="AM575" s="292"/>
      <c r="AN575" s="292"/>
      <c r="AO575" s="292"/>
      <c r="AP575" s="292"/>
      <c r="AQ575" s="292"/>
      <c r="AR575" s="292"/>
      <c r="AS575" s="292"/>
      <c r="AT575" s="292"/>
      <c r="AU575" s="292"/>
      <c r="AV575" s="292"/>
      <c r="AW575" s="292"/>
      <c r="AX575" s="292"/>
      <c r="AY575" s="292"/>
      <c r="AZ575" s="292"/>
      <c r="BA575" s="292"/>
      <c r="BB575" s="292"/>
      <c r="BC575" s="292"/>
      <c r="BD575" s="292"/>
      <c r="BE575" s="292"/>
      <c r="BF575" s="292"/>
      <c r="BG575" s="292"/>
      <c r="BH575" s="292"/>
      <c r="BI575" s="292"/>
      <c r="BJ575" s="292"/>
      <c r="BK575" s="292"/>
      <c r="BL575" s="292"/>
      <c r="BM575" s="292"/>
      <c r="BN575" s="292"/>
      <c r="BO575" s="292"/>
      <c r="BP575" s="292"/>
      <c r="BQ575" s="292"/>
      <c r="BR575" s="292"/>
      <c r="BS575" s="292"/>
      <c r="BT575" s="292"/>
      <c r="BU575" s="292"/>
      <c r="BV575" s="292"/>
      <c r="BW575" s="292"/>
    </row>
    <row r="576">
      <c r="A576" s="292"/>
      <c r="B576" s="292" t="str">
        <f>IFERROR(__xludf.DUMMYFUNCTION("""COMPUTED_VALUE"""),"")</f>
        <v/>
      </c>
      <c r="C576" s="292"/>
      <c r="D576" s="292" t="str">
        <f>IFERROR(__xludf.DUMMYFUNCTION("""COMPUTED_VALUE"""),"")</f>
        <v/>
      </c>
      <c r="E576" s="292" t="str">
        <f>IFERROR(__xludf.DUMMYFUNCTION("""COMPUTED_VALUE"""),"")</f>
        <v/>
      </c>
      <c r="F576" s="292"/>
      <c r="G576" s="292" t="str">
        <f>IFERROR(__xludf.DUMMYFUNCTION("""COMPUTED_VALUE"""),"")</f>
        <v/>
      </c>
      <c r="H576" s="292" t="str">
        <f>IFERROR(__xludf.DUMMYFUNCTION("""COMPUTED_VALUE"""),"")</f>
        <v/>
      </c>
      <c r="I576" s="292"/>
      <c r="J576" s="292"/>
      <c r="K576" s="292"/>
      <c r="L576" s="292"/>
      <c r="M576" s="292" t="str">
        <f>IFERROR(__xludf.DUMMYFUNCTION("""COMPUTED_VALUE"""),"")</f>
        <v/>
      </c>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c r="AK576" s="292"/>
      <c r="AL576" s="292"/>
      <c r="AM576" s="292"/>
      <c r="AN576" s="292"/>
      <c r="AO576" s="292"/>
      <c r="AP576" s="292"/>
      <c r="AQ576" s="292"/>
      <c r="AR576" s="292"/>
      <c r="AS576" s="292"/>
      <c r="AT576" s="292"/>
      <c r="AU576" s="292"/>
      <c r="AV576" s="292"/>
      <c r="AW576" s="292"/>
      <c r="AX576" s="292"/>
      <c r="AY576" s="292"/>
      <c r="AZ576" s="292"/>
      <c r="BA576" s="292"/>
      <c r="BB576" s="292"/>
      <c r="BC576" s="292"/>
      <c r="BD576" s="292"/>
      <c r="BE576" s="292"/>
      <c r="BF576" s="292"/>
      <c r="BG576" s="292"/>
      <c r="BH576" s="292"/>
      <c r="BI576" s="292"/>
      <c r="BJ576" s="292"/>
      <c r="BK576" s="292"/>
      <c r="BL576" s="292"/>
      <c r="BM576" s="292"/>
      <c r="BN576" s="292"/>
      <c r="BO576" s="292"/>
      <c r="BP576" s="292"/>
      <c r="BQ576" s="292"/>
      <c r="BR576" s="292"/>
      <c r="BS576" s="292"/>
      <c r="BT576" s="292"/>
      <c r="BU576" s="292"/>
      <c r="BV576" s="292"/>
      <c r="BW576" s="292"/>
    </row>
    <row r="577">
      <c r="A577" s="292"/>
      <c r="B577" s="292" t="str">
        <f>IFERROR(__xludf.DUMMYFUNCTION("""COMPUTED_VALUE"""),"")</f>
        <v/>
      </c>
      <c r="C577" s="292"/>
      <c r="D577" s="292" t="str">
        <f>IFERROR(__xludf.DUMMYFUNCTION("""COMPUTED_VALUE"""),"")</f>
        <v/>
      </c>
      <c r="E577" s="292" t="str">
        <f>IFERROR(__xludf.DUMMYFUNCTION("""COMPUTED_VALUE"""),"")</f>
        <v/>
      </c>
      <c r="F577" s="292"/>
      <c r="G577" s="292" t="str">
        <f>IFERROR(__xludf.DUMMYFUNCTION("""COMPUTED_VALUE"""),"")</f>
        <v/>
      </c>
      <c r="H577" s="292" t="str">
        <f>IFERROR(__xludf.DUMMYFUNCTION("""COMPUTED_VALUE"""),"")</f>
        <v/>
      </c>
      <c r="I577" s="292"/>
      <c r="J577" s="292"/>
      <c r="K577" s="292"/>
      <c r="L577" s="292"/>
      <c r="M577" s="292" t="str">
        <f>IFERROR(__xludf.DUMMYFUNCTION("""COMPUTED_VALUE"""),"")</f>
        <v/>
      </c>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c r="AK577" s="292"/>
      <c r="AL577" s="292"/>
      <c r="AM577" s="292"/>
      <c r="AN577" s="292"/>
      <c r="AO577" s="292"/>
      <c r="AP577" s="292"/>
      <c r="AQ577" s="292"/>
      <c r="AR577" s="292"/>
      <c r="AS577" s="292"/>
      <c r="AT577" s="292"/>
      <c r="AU577" s="292"/>
      <c r="AV577" s="292"/>
      <c r="AW577" s="292"/>
      <c r="AX577" s="292"/>
      <c r="AY577" s="292"/>
      <c r="AZ577" s="292"/>
      <c r="BA577" s="292"/>
      <c r="BB577" s="292"/>
      <c r="BC577" s="292"/>
      <c r="BD577" s="292"/>
      <c r="BE577" s="292"/>
      <c r="BF577" s="292"/>
      <c r="BG577" s="292"/>
      <c r="BH577" s="292"/>
      <c r="BI577" s="292"/>
      <c r="BJ577" s="292"/>
      <c r="BK577" s="292"/>
      <c r="BL577" s="292"/>
      <c r="BM577" s="292"/>
      <c r="BN577" s="292"/>
      <c r="BO577" s="292"/>
      <c r="BP577" s="292"/>
      <c r="BQ577" s="292"/>
      <c r="BR577" s="292"/>
      <c r="BS577" s="292"/>
      <c r="BT577" s="292"/>
      <c r="BU577" s="292"/>
      <c r="BV577" s="292"/>
      <c r="BW577" s="292"/>
    </row>
    <row r="578">
      <c r="A578" s="292"/>
      <c r="B578" s="292" t="str">
        <f>IFERROR(__xludf.DUMMYFUNCTION("""COMPUTED_VALUE"""),"")</f>
        <v/>
      </c>
      <c r="C578" s="292"/>
      <c r="D578" s="292" t="str">
        <f>IFERROR(__xludf.DUMMYFUNCTION("""COMPUTED_VALUE"""),"")</f>
        <v/>
      </c>
      <c r="E578" s="292" t="str">
        <f>IFERROR(__xludf.DUMMYFUNCTION("""COMPUTED_VALUE"""),"")</f>
        <v/>
      </c>
      <c r="F578" s="292"/>
      <c r="G578" s="292" t="str">
        <f>IFERROR(__xludf.DUMMYFUNCTION("""COMPUTED_VALUE"""),"")</f>
        <v/>
      </c>
      <c r="H578" s="292" t="str">
        <f>IFERROR(__xludf.DUMMYFUNCTION("""COMPUTED_VALUE"""),"")</f>
        <v/>
      </c>
      <c r="I578" s="292"/>
      <c r="J578" s="292"/>
      <c r="K578" s="292"/>
      <c r="L578" s="292"/>
      <c r="M578" s="292" t="str">
        <f>IFERROR(__xludf.DUMMYFUNCTION("""COMPUTED_VALUE"""),"")</f>
        <v/>
      </c>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c r="AK578" s="292"/>
      <c r="AL578" s="292"/>
      <c r="AM578" s="292"/>
      <c r="AN578" s="292"/>
      <c r="AO578" s="292"/>
      <c r="AP578" s="292"/>
      <c r="AQ578" s="292"/>
      <c r="AR578" s="292"/>
      <c r="AS578" s="292"/>
      <c r="AT578" s="292"/>
      <c r="AU578" s="292"/>
      <c r="AV578" s="292"/>
      <c r="AW578" s="292"/>
      <c r="AX578" s="292"/>
      <c r="AY578" s="292"/>
      <c r="AZ578" s="292"/>
      <c r="BA578" s="292"/>
      <c r="BB578" s="292"/>
      <c r="BC578" s="292"/>
      <c r="BD578" s="292"/>
      <c r="BE578" s="292"/>
      <c r="BF578" s="292"/>
      <c r="BG578" s="292"/>
      <c r="BH578" s="292"/>
      <c r="BI578" s="292"/>
      <c r="BJ578" s="292"/>
      <c r="BK578" s="292"/>
      <c r="BL578" s="292"/>
      <c r="BM578" s="292"/>
      <c r="BN578" s="292"/>
      <c r="BO578" s="292"/>
      <c r="BP578" s="292"/>
      <c r="BQ578" s="292"/>
      <c r="BR578" s="292"/>
      <c r="BS578" s="292"/>
      <c r="BT578" s="292"/>
      <c r="BU578" s="292"/>
      <c r="BV578" s="292"/>
      <c r="BW578" s="292"/>
    </row>
    <row r="579">
      <c r="A579" s="292"/>
      <c r="B579" s="292" t="str">
        <f>IFERROR(__xludf.DUMMYFUNCTION("""COMPUTED_VALUE"""),"")</f>
        <v/>
      </c>
      <c r="C579" s="292"/>
      <c r="D579" s="292" t="str">
        <f>IFERROR(__xludf.DUMMYFUNCTION("""COMPUTED_VALUE"""),"")</f>
        <v/>
      </c>
      <c r="E579" s="292" t="str">
        <f>IFERROR(__xludf.DUMMYFUNCTION("""COMPUTED_VALUE"""),"")</f>
        <v/>
      </c>
      <c r="F579" s="292"/>
      <c r="G579" s="292" t="str">
        <f>IFERROR(__xludf.DUMMYFUNCTION("""COMPUTED_VALUE"""),"")</f>
        <v/>
      </c>
      <c r="H579" s="292" t="str">
        <f>IFERROR(__xludf.DUMMYFUNCTION("""COMPUTED_VALUE"""),"")</f>
        <v/>
      </c>
      <c r="I579" s="292"/>
      <c r="J579" s="292"/>
      <c r="K579" s="292"/>
      <c r="L579" s="292"/>
      <c r="M579" s="292" t="str">
        <f>IFERROR(__xludf.DUMMYFUNCTION("""COMPUTED_VALUE"""),"")</f>
        <v/>
      </c>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c r="AK579" s="292"/>
      <c r="AL579" s="292"/>
      <c r="AM579" s="292"/>
      <c r="AN579" s="292"/>
      <c r="AO579" s="292"/>
      <c r="AP579" s="292"/>
      <c r="AQ579" s="292"/>
      <c r="AR579" s="292"/>
      <c r="AS579" s="292"/>
      <c r="AT579" s="292"/>
      <c r="AU579" s="292"/>
      <c r="AV579" s="292"/>
      <c r="AW579" s="292"/>
      <c r="AX579" s="292"/>
      <c r="AY579" s="292"/>
      <c r="AZ579" s="292"/>
      <c r="BA579" s="292"/>
      <c r="BB579" s="292"/>
      <c r="BC579" s="292"/>
      <c r="BD579" s="292"/>
      <c r="BE579" s="292"/>
      <c r="BF579" s="292"/>
      <c r="BG579" s="292"/>
      <c r="BH579" s="292"/>
      <c r="BI579" s="292"/>
      <c r="BJ579" s="292"/>
      <c r="BK579" s="292"/>
      <c r="BL579" s="292"/>
      <c r="BM579" s="292"/>
      <c r="BN579" s="292"/>
      <c r="BO579" s="292"/>
      <c r="BP579" s="292"/>
      <c r="BQ579" s="292"/>
      <c r="BR579" s="292"/>
      <c r="BS579" s="292"/>
      <c r="BT579" s="292"/>
      <c r="BU579" s="292"/>
      <c r="BV579" s="292"/>
      <c r="BW579" s="292"/>
    </row>
    <row r="580">
      <c r="A580" s="292"/>
      <c r="B580" s="292" t="str">
        <f>IFERROR(__xludf.DUMMYFUNCTION("""COMPUTED_VALUE"""),"")</f>
        <v/>
      </c>
      <c r="C580" s="292"/>
      <c r="D580" s="292" t="str">
        <f>IFERROR(__xludf.DUMMYFUNCTION("""COMPUTED_VALUE"""),"")</f>
        <v/>
      </c>
      <c r="E580" s="292" t="str">
        <f>IFERROR(__xludf.DUMMYFUNCTION("""COMPUTED_VALUE"""),"")</f>
        <v/>
      </c>
      <c r="F580" s="292"/>
      <c r="G580" s="292" t="str">
        <f>IFERROR(__xludf.DUMMYFUNCTION("""COMPUTED_VALUE"""),"")</f>
        <v/>
      </c>
      <c r="H580" s="292" t="str">
        <f>IFERROR(__xludf.DUMMYFUNCTION("""COMPUTED_VALUE"""),"")</f>
        <v/>
      </c>
      <c r="I580" s="292"/>
      <c r="J580" s="292"/>
      <c r="K580" s="292"/>
      <c r="L580" s="292"/>
      <c r="M580" s="292" t="str">
        <f>IFERROR(__xludf.DUMMYFUNCTION("""COMPUTED_VALUE"""),"")</f>
        <v/>
      </c>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c r="AK580" s="292"/>
      <c r="AL580" s="292"/>
      <c r="AM580" s="292"/>
      <c r="AN580" s="292"/>
      <c r="AO580" s="292"/>
      <c r="AP580" s="292"/>
      <c r="AQ580" s="292"/>
      <c r="AR580" s="292"/>
      <c r="AS580" s="292"/>
      <c r="AT580" s="292"/>
      <c r="AU580" s="292"/>
      <c r="AV580" s="292"/>
      <c r="AW580" s="292"/>
      <c r="AX580" s="292"/>
      <c r="AY580" s="292"/>
      <c r="AZ580" s="292"/>
      <c r="BA580" s="292"/>
      <c r="BB580" s="292"/>
      <c r="BC580" s="292"/>
      <c r="BD580" s="292"/>
      <c r="BE580" s="292"/>
      <c r="BF580" s="292"/>
      <c r="BG580" s="292"/>
      <c r="BH580" s="292"/>
      <c r="BI580" s="292"/>
      <c r="BJ580" s="292"/>
      <c r="BK580" s="292"/>
      <c r="BL580" s="292"/>
      <c r="BM580" s="292"/>
      <c r="BN580" s="292"/>
      <c r="BO580" s="292"/>
      <c r="BP580" s="292"/>
      <c r="BQ580" s="292"/>
      <c r="BR580" s="292"/>
      <c r="BS580" s="292"/>
      <c r="BT580" s="292"/>
      <c r="BU580" s="292"/>
      <c r="BV580" s="292"/>
      <c r="BW580" s="292"/>
    </row>
    <row r="581">
      <c r="A581" s="292"/>
      <c r="B581" s="292" t="str">
        <f>IFERROR(__xludf.DUMMYFUNCTION("""COMPUTED_VALUE"""),"")</f>
        <v/>
      </c>
      <c r="C581" s="292"/>
      <c r="D581" s="292" t="str">
        <f>IFERROR(__xludf.DUMMYFUNCTION("""COMPUTED_VALUE"""),"")</f>
        <v/>
      </c>
      <c r="E581" s="292" t="str">
        <f>IFERROR(__xludf.DUMMYFUNCTION("""COMPUTED_VALUE"""),"")</f>
        <v/>
      </c>
      <c r="F581" s="292"/>
      <c r="G581" s="292" t="str">
        <f>IFERROR(__xludf.DUMMYFUNCTION("""COMPUTED_VALUE"""),"")</f>
        <v/>
      </c>
      <c r="H581" s="292" t="str">
        <f>IFERROR(__xludf.DUMMYFUNCTION("""COMPUTED_VALUE"""),"")</f>
        <v/>
      </c>
      <c r="I581" s="292"/>
      <c r="J581" s="292"/>
      <c r="K581" s="292"/>
      <c r="L581" s="292"/>
      <c r="M581" s="292" t="str">
        <f>IFERROR(__xludf.DUMMYFUNCTION("""COMPUTED_VALUE"""),"")</f>
        <v/>
      </c>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c r="AK581" s="292"/>
      <c r="AL581" s="292"/>
      <c r="AM581" s="292"/>
      <c r="AN581" s="292"/>
      <c r="AO581" s="292"/>
      <c r="AP581" s="292"/>
      <c r="AQ581" s="292"/>
      <c r="AR581" s="292"/>
      <c r="AS581" s="292"/>
      <c r="AT581" s="292"/>
      <c r="AU581" s="292"/>
      <c r="AV581" s="292"/>
      <c r="AW581" s="292"/>
      <c r="AX581" s="292"/>
      <c r="AY581" s="292"/>
      <c r="AZ581" s="292"/>
      <c r="BA581" s="292"/>
      <c r="BB581" s="292"/>
      <c r="BC581" s="292"/>
      <c r="BD581" s="292"/>
      <c r="BE581" s="292"/>
      <c r="BF581" s="292"/>
      <c r="BG581" s="292"/>
      <c r="BH581" s="292"/>
      <c r="BI581" s="292"/>
      <c r="BJ581" s="292"/>
      <c r="BK581" s="292"/>
      <c r="BL581" s="292"/>
      <c r="BM581" s="292"/>
      <c r="BN581" s="292"/>
      <c r="BO581" s="292"/>
      <c r="BP581" s="292"/>
      <c r="BQ581" s="292"/>
      <c r="BR581" s="292"/>
      <c r="BS581" s="292"/>
      <c r="BT581" s="292"/>
      <c r="BU581" s="292"/>
      <c r="BV581" s="292"/>
      <c r="BW581" s="292"/>
    </row>
    <row r="582">
      <c r="A582" s="292"/>
      <c r="B582" s="292" t="str">
        <f>IFERROR(__xludf.DUMMYFUNCTION("""COMPUTED_VALUE"""),"")</f>
        <v/>
      </c>
      <c r="C582" s="292"/>
      <c r="D582" s="292" t="str">
        <f>IFERROR(__xludf.DUMMYFUNCTION("""COMPUTED_VALUE"""),"")</f>
        <v/>
      </c>
      <c r="E582" s="292" t="str">
        <f>IFERROR(__xludf.DUMMYFUNCTION("""COMPUTED_VALUE"""),"")</f>
        <v/>
      </c>
      <c r="F582" s="292"/>
      <c r="G582" s="292" t="str">
        <f>IFERROR(__xludf.DUMMYFUNCTION("""COMPUTED_VALUE"""),"")</f>
        <v/>
      </c>
      <c r="H582" s="292" t="str">
        <f>IFERROR(__xludf.DUMMYFUNCTION("""COMPUTED_VALUE"""),"")</f>
        <v/>
      </c>
      <c r="I582" s="292"/>
      <c r="J582" s="292"/>
      <c r="K582" s="292"/>
      <c r="L582" s="292"/>
      <c r="M582" s="292" t="str">
        <f>IFERROR(__xludf.DUMMYFUNCTION("""COMPUTED_VALUE"""),"")</f>
        <v/>
      </c>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c r="AK582" s="292"/>
      <c r="AL582" s="292"/>
      <c r="AM582" s="292"/>
      <c r="AN582" s="292"/>
      <c r="AO582" s="292"/>
      <c r="AP582" s="292"/>
      <c r="AQ582" s="292"/>
      <c r="AR582" s="292"/>
      <c r="AS582" s="292"/>
      <c r="AT582" s="292"/>
      <c r="AU582" s="292"/>
      <c r="AV582" s="292"/>
      <c r="AW582" s="292"/>
      <c r="AX582" s="292"/>
      <c r="AY582" s="292"/>
      <c r="AZ582" s="292"/>
      <c r="BA582" s="292"/>
      <c r="BB582" s="292"/>
      <c r="BC582" s="292"/>
      <c r="BD582" s="292"/>
      <c r="BE582" s="292"/>
      <c r="BF582" s="292"/>
      <c r="BG582" s="292"/>
      <c r="BH582" s="292"/>
      <c r="BI582" s="292"/>
      <c r="BJ582" s="292"/>
      <c r="BK582" s="292"/>
      <c r="BL582" s="292"/>
      <c r="BM582" s="292"/>
      <c r="BN582" s="292"/>
      <c r="BO582" s="292"/>
      <c r="BP582" s="292"/>
      <c r="BQ582" s="292"/>
      <c r="BR582" s="292"/>
      <c r="BS582" s="292"/>
      <c r="BT582" s="292"/>
      <c r="BU582" s="292"/>
      <c r="BV582" s="292"/>
      <c r="BW582" s="292"/>
    </row>
    <row r="583">
      <c r="A583" s="292"/>
      <c r="B583" s="292" t="str">
        <f>IFERROR(__xludf.DUMMYFUNCTION("""COMPUTED_VALUE"""),"")</f>
        <v/>
      </c>
      <c r="C583" s="292"/>
      <c r="D583" s="292" t="str">
        <f>IFERROR(__xludf.DUMMYFUNCTION("""COMPUTED_VALUE"""),"")</f>
        <v/>
      </c>
      <c r="E583" s="292" t="str">
        <f>IFERROR(__xludf.DUMMYFUNCTION("""COMPUTED_VALUE"""),"")</f>
        <v/>
      </c>
      <c r="F583" s="292"/>
      <c r="G583" s="292" t="str">
        <f>IFERROR(__xludf.DUMMYFUNCTION("""COMPUTED_VALUE"""),"")</f>
        <v/>
      </c>
      <c r="H583" s="292" t="str">
        <f>IFERROR(__xludf.DUMMYFUNCTION("""COMPUTED_VALUE"""),"")</f>
        <v/>
      </c>
      <c r="I583" s="292"/>
      <c r="J583" s="292"/>
      <c r="K583" s="292"/>
      <c r="L583" s="292"/>
      <c r="M583" s="292" t="str">
        <f>IFERROR(__xludf.DUMMYFUNCTION("""COMPUTED_VALUE"""),"")</f>
        <v/>
      </c>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c r="AK583" s="292"/>
      <c r="AL583" s="292"/>
      <c r="AM583" s="292"/>
      <c r="AN583" s="292"/>
      <c r="AO583" s="292"/>
      <c r="AP583" s="292"/>
      <c r="AQ583" s="292"/>
      <c r="AR583" s="292"/>
      <c r="AS583" s="292"/>
      <c r="AT583" s="292"/>
      <c r="AU583" s="292"/>
      <c r="AV583" s="292"/>
      <c r="AW583" s="292"/>
      <c r="AX583" s="292"/>
      <c r="AY583" s="292"/>
      <c r="AZ583" s="292"/>
      <c r="BA583" s="292"/>
      <c r="BB583" s="292"/>
      <c r="BC583" s="292"/>
      <c r="BD583" s="292"/>
      <c r="BE583" s="292"/>
      <c r="BF583" s="292"/>
      <c r="BG583" s="292"/>
      <c r="BH583" s="292"/>
      <c r="BI583" s="292"/>
      <c r="BJ583" s="292"/>
      <c r="BK583" s="292"/>
      <c r="BL583" s="292"/>
      <c r="BM583" s="292"/>
      <c r="BN583" s="292"/>
      <c r="BO583" s="292"/>
      <c r="BP583" s="292"/>
      <c r="BQ583" s="292"/>
      <c r="BR583" s="292"/>
      <c r="BS583" s="292"/>
      <c r="BT583" s="292"/>
      <c r="BU583" s="292"/>
      <c r="BV583" s="292"/>
      <c r="BW583" s="292"/>
    </row>
    <row r="584">
      <c r="A584" s="292"/>
      <c r="B584" s="292" t="str">
        <f>IFERROR(__xludf.DUMMYFUNCTION("""COMPUTED_VALUE"""),"")</f>
        <v/>
      </c>
      <c r="C584" s="292"/>
      <c r="D584" s="292" t="str">
        <f>IFERROR(__xludf.DUMMYFUNCTION("""COMPUTED_VALUE"""),"")</f>
        <v/>
      </c>
      <c r="E584" s="292" t="str">
        <f>IFERROR(__xludf.DUMMYFUNCTION("""COMPUTED_VALUE"""),"")</f>
        <v/>
      </c>
      <c r="F584" s="292"/>
      <c r="G584" s="292" t="str">
        <f>IFERROR(__xludf.DUMMYFUNCTION("""COMPUTED_VALUE"""),"")</f>
        <v/>
      </c>
      <c r="H584" s="292" t="str">
        <f>IFERROR(__xludf.DUMMYFUNCTION("""COMPUTED_VALUE"""),"")</f>
        <v/>
      </c>
      <c r="I584" s="292"/>
      <c r="J584" s="292"/>
      <c r="K584" s="292"/>
      <c r="L584" s="292"/>
      <c r="M584" s="292" t="str">
        <f>IFERROR(__xludf.DUMMYFUNCTION("""COMPUTED_VALUE"""),"")</f>
        <v/>
      </c>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c r="AK584" s="292"/>
      <c r="AL584" s="292"/>
      <c r="AM584" s="292"/>
      <c r="AN584" s="292"/>
      <c r="AO584" s="292"/>
      <c r="AP584" s="292"/>
      <c r="AQ584" s="292"/>
      <c r="AR584" s="292"/>
      <c r="AS584" s="292"/>
      <c r="AT584" s="292"/>
      <c r="AU584" s="292"/>
      <c r="AV584" s="292"/>
      <c r="AW584" s="292"/>
      <c r="AX584" s="292"/>
      <c r="AY584" s="292"/>
      <c r="AZ584" s="292"/>
      <c r="BA584" s="292"/>
      <c r="BB584" s="292"/>
      <c r="BC584" s="292"/>
      <c r="BD584" s="292"/>
      <c r="BE584" s="292"/>
      <c r="BF584" s="292"/>
      <c r="BG584" s="292"/>
      <c r="BH584" s="292"/>
      <c r="BI584" s="292"/>
      <c r="BJ584" s="292"/>
      <c r="BK584" s="292"/>
      <c r="BL584" s="292"/>
      <c r="BM584" s="292"/>
      <c r="BN584" s="292"/>
      <c r="BO584" s="292"/>
      <c r="BP584" s="292"/>
      <c r="BQ584" s="292"/>
      <c r="BR584" s="292"/>
      <c r="BS584" s="292"/>
      <c r="BT584" s="292"/>
      <c r="BU584" s="292"/>
      <c r="BV584" s="292"/>
      <c r="BW584" s="292"/>
    </row>
    <row r="585">
      <c r="A585" s="292"/>
      <c r="B585" s="292" t="str">
        <f>IFERROR(__xludf.DUMMYFUNCTION("""COMPUTED_VALUE"""),"")</f>
        <v/>
      </c>
      <c r="C585" s="292"/>
      <c r="D585" s="292" t="str">
        <f>IFERROR(__xludf.DUMMYFUNCTION("""COMPUTED_VALUE"""),"")</f>
        <v/>
      </c>
      <c r="E585" s="292" t="str">
        <f>IFERROR(__xludf.DUMMYFUNCTION("""COMPUTED_VALUE"""),"")</f>
        <v/>
      </c>
      <c r="F585" s="292"/>
      <c r="G585" s="292" t="str">
        <f>IFERROR(__xludf.DUMMYFUNCTION("""COMPUTED_VALUE"""),"")</f>
        <v/>
      </c>
      <c r="H585" s="292" t="str">
        <f>IFERROR(__xludf.DUMMYFUNCTION("""COMPUTED_VALUE"""),"")</f>
        <v/>
      </c>
      <c r="I585" s="292"/>
      <c r="J585" s="292"/>
      <c r="K585" s="292"/>
      <c r="L585" s="292"/>
      <c r="M585" s="292" t="str">
        <f>IFERROR(__xludf.DUMMYFUNCTION("""COMPUTED_VALUE"""),"")</f>
        <v/>
      </c>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c r="AK585" s="292"/>
      <c r="AL585" s="292"/>
      <c r="AM585" s="292"/>
      <c r="AN585" s="292"/>
      <c r="AO585" s="292"/>
      <c r="AP585" s="292"/>
      <c r="AQ585" s="292"/>
      <c r="AR585" s="292"/>
      <c r="AS585" s="292"/>
      <c r="AT585" s="292"/>
      <c r="AU585" s="292"/>
      <c r="AV585" s="292"/>
      <c r="AW585" s="292"/>
      <c r="AX585" s="292"/>
      <c r="AY585" s="292"/>
      <c r="AZ585" s="292"/>
      <c r="BA585" s="292"/>
      <c r="BB585" s="292"/>
      <c r="BC585" s="292"/>
      <c r="BD585" s="292"/>
      <c r="BE585" s="292"/>
      <c r="BF585" s="292"/>
      <c r="BG585" s="292"/>
      <c r="BH585" s="292"/>
      <c r="BI585" s="292"/>
      <c r="BJ585" s="292"/>
      <c r="BK585" s="292"/>
      <c r="BL585" s="292"/>
      <c r="BM585" s="292"/>
      <c r="BN585" s="292"/>
      <c r="BO585" s="292"/>
      <c r="BP585" s="292"/>
      <c r="BQ585" s="292"/>
      <c r="BR585" s="292"/>
      <c r="BS585" s="292"/>
      <c r="BT585" s="292"/>
      <c r="BU585" s="292"/>
      <c r="BV585" s="292"/>
      <c r="BW585" s="292"/>
    </row>
    <row r="586">
      <c r="A586" s="292"/>
      <c r="B586" s="292" t="str">
        <f>IFERROR(__xludf.DUMMYFUNCTION("""COMPUTED_VALUE"""),"")</f>
        <v/>
      </c>
      <c r="C586" s="292"/>
      <c r="D586" s="292" t="str">
        <f>IFERROR(__xludf.DUMMYFUNCTION("""COMPUTED_VALUE"""),"")</f>
        <v/>
      </c>
      <c r="E586" s="292" t="str">
        <f>IFERROR(__xludf.DUMMYFUNCTION("""COMPUTED_VALUE"""),"")</f>
        <v/>
      </c>
      <c r="F586" s="292"/>
      <c r="G586" s="292" t="str">
        <f>IFERROR(__xludf.DUMMYFUNCTION("""COMPUTED_VALUE"""),"")</f>
        <v/>
      </c>
      <c r="H586" s="292" t="str">
        <f>IFERROR(__xludf.DUMMYFUNCTION("""COMPUTED_VALUE"""),"")</f>
        <v/>
      </c>
      <c r="I586" s="292"/>
      <c r="J586" s="292"/>
      <c r="K586" s="292"/>
      <c r="L586" s="292"/>
      <c r="M586" s="292" t="str">
        <f>IFERROR(__xludf.DUMMYFUNCTION("""COMPUTED_VALUE"""),"")</f>
        <v/>
      </c>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c r="AK586" s="292"/>
      <c r="AL586" s="292"/>
      <c r="AM586" s="292"/>
      <c r="AN586" s="292"/>
      <c r="AO586" s="292"/>
      <c r="AP586" s="292"/>
      <c r="AQ586" s="292"/>
      <c r="AR586" s="292"/>
      <c r="AS586" s="292"/>
      <c r="AT586" s="292"/>
      <c r="AU586" s="292"/>
      <c r="AV586" s="292"/>
      <c r="AW586" s="292"/>
      <c r="AX586" s="292"/>
      <c r="AY586" s="292"/>
      <c r="AZ586" s="292"/>
      <c r="BA586" s="292"/>
      <c r="BB586" s="292"/>
      <c r="BC586" s="292"/>
      <c r="BD586" s="292"/>
      <c r="BE586" s="292"/>
      <c r="BF586" s="292"/>
      <c r="BG586" s="292"/>
      <c r="BH586" s="292"/>
      <c r="BI586" s="292"/>
      <c r="BJ586" s="292"/>
      <c r="BK586" s="292"/>
      <c r="BL586" s="292"/>
      <c r="BM586" s="292"/>
      <c r="BN586" s="292"/>
      <c r="BO586" s="292"/>
      <c r="BP586" s="292"/>
      <c r="BQ586" s="292"/>
      <c r="BR586" s="292"/>
      <c r="BS586" s="292"/>
      <c r="BT586" s="292"/>
      <c r="BU586" s="292"/>
      <c r="BV586" s="292"/>
      <c r="BW586" s="292"/>
    </row>
    <row r="587">
      <c r="A587" s="292"/>
      <c r="B587" s="292" t="str">
        <f>IFERROR(__xludf.DUMMYFUNCTION("""COMPUTED_VALUE"""),"")</f>
        <v/>
      </c>
      <c r="C587" s="292"/>
      <c r="D587" s="292" t="str">
        <f>IFERROR(__xludf.DUMMYFUNCTION("""COMPUTED_VALUE"""),"")</f>
        <v/>
      </c>
      <c r="E587" s="292" t="str">
        <f>IFERROR(__xludf.DUMMYFUNCTION("""COMPUTED_VALUE"""),"")</f>
        <v/>
      </c>
      <c r="F587" s="292"/>
      <c r="G587" s="292" t="str">
        <f>IFERROR(__xludf.DUMMYFUNCTION("""COMPUTED_VALUE"""),"")</f>
        <v/>
      </c>
      <c r="H587" s="292" t="str">
        <f>IFERROR(__xludf.DUMMYFUNCTION("""COMPUTED_VALUE"""),"")</f>
        <v/>
      </c>
      <c r="I587" s="292"/>
      <c r="J587" s="292"/>
      <c r="K587" s="292"/>
      <c r="L587" s="292"/>
      <c r="M587" s="292" t="str">
        <f>IFERROR(__xludf.DUMMYFUNCTION("""COMPUTED_VALUE"""),"")</f>
        <v/>
      </c>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c r="AK587" s="292"/>
      <c r="AL587" s="292"/>
      <c r="AM587" s="292"/>
      <c r="AN587" s="292"/>
      <c r="AO587" s="292"/>
      <c r="AP587" s="292"/>
      <c r="AQ587" s="292"/>
      <c r="AR587" s="292"/>
      <c r="AS587" s="292"/>
      <c r="AT587" s="292"/>
      <c r="AU587" s="292"/>
      <c r="AV587" s="292"/>
      <c r="AW587" s="292"/>
      <c r="AX587" s="292"/>
      <c r="AY587" s="292"/>
      <c r="AZ587" s="292"/>
      <c r="BA587" s="292"/>
      <c r="BB587" s="292"/>
      <c r="BC587" s="292"/>
      <c r="BD587" s="292"/>
      <c r="BE587" s="292"/>
      <c r="BF587" s="292"/>
      <c r="BG587" s="292"/>
      <c r="BH587" s="292"/>
      <c r="BI587" s="292"/>
      <c r="BJ587" s="292"/>
      <c r="BK587" s="292"/>
      <c r="BL587" s="292"/>
      <c r="BM587" s="292"/>
      <c r="BN587" s="292"/>
      <c r="BO587" s="292"/>
      <c r="BP587" s="292"/>
      <c r="BQ587" s="292"/>
      <c r="BR587" s="292"/>
      <c r="BS587" s="292"/>
      <c r="BT587" s="292"/>
      <c r="BU587" s="292"/>
      <c r="BV587" s="292"/>
      <c r="BW587" s="292"/>
    </row>
    <row r="588">
      <c r="A588" s="292"/>
      <c r="B588" s="292" t="str">
        <f>IFERROR(__xludf.DUMMYFUNCTION("""COMPUTED_VALUE"""),"")</f>
        <v/>
      </c>
      <c r="C588" s="292"/>
      <c r="D588" s="292" t="str">
        <f>IFERROR(__xludf.DUMMYFUNCTION("""COMPUTED_VALUE"""),"")</f>
        <v/>
      </c>
      <c r="E588" s="292" t="str">
        <f>IFERROR(__xludf.DUMMYFUNCTION("""COMPUTED_VALUE"""),"")</f>
        <v/>
      </c>
      <c r="F588" s="292"/>
      <c r="G588" s="292" t="str">
        <f>IFERROR(__xludf.DUMMYFUNCTION("""COMPUTED_VALUE"""),"")</f>
        <v/>
      </c>
      <c r="H588" s="292" t="str">
        <f>IFERROR(__xludf.DUMMYFUNCTION("""COMPUTED_VALUE"""),"")</f>
        <v/>
      </c>
      <c r="I588" s="292"/>
      <c r="J588" s="292"/>
      <c r="K588" s="292"/>
      <c r="L588" s="292"/>
      <c r="M588" s="292" t="str">
        <f>IFERROR(__xludf.DUMMYFUNCTION("""COMPUTED_VALUE"""),"")</f>
        <v/>
      </c>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c r="AK588" s="292"/>
      <c r="AL588" s="292"/>
      <c r="AM588" s="292"/>
      <c r="AN588" s="292"/>
      <c r="AO588" s="292"/>
      <c r="AP588" s="292"/>
      <c r="AQ588" s="292"/>
      <c r="AR588" s="292"/>
      <c r="AS588" s="292"/>
      <c r="AT588" s="292"/>
      <c r="AU588" s="292"/>
      <c r="AV588" s="292"/>
      <c r="AW588" s="292"/>
      <c r="AX588" s="292"/>
      <c r="AY588" s="292"/>
      <c r="AZ588" s="292"/>
      <c r="BA588" s="292"/>
      <c r="BB588" s="292"/>
      <c r="BC588" s="292"/>
      <c r="BD588" s="292"/>
      <c r="BE588" s="292"/>
      <c r="BF588" s="292"/>
      <c r="BG588" s="292"/>
      <c r="BH588" s="292"/>
      <c r="BI588" s="292"/>
      <c r="BJ588" s="292"/>
      <c r="BK588" s="292"/>
      <c r="BL588" s="292"/>
      <c r="BM588" s="292"/>
      <c r="BN588" s="292"/>
      <c r="BO588" s="292"/>
      <c r="BP588" s="292"/>
      <c r="BQ588" s="292"/>
      <c r="BR588" s="292"/>
      <c r="BS588" s="292"/>
      <c r="BT588" s="292"/>
      <c r="BU588" s="292"/>
      <c r="BV588" s="292"/>
      <c r="BW588" s="292"/>
    </row>
    <row r="589">
      <c r="A589" s="292"/>
      <c r="B589" s="292" t="str">
        <f>IFERROR(__xludf.DUMMYFUNCTION("""COMPUTED_VALUE"""),"")</f>
        <v/>
      </c>
      <c r="C589" s="292"/>
      <c r="D589" s="292" t="str">
        <f>IFERROR(__xludf.DUMMYFUNCTION("""COMPUTED_VALUE"""),"")</f>
        <v/>
      </c>
      <c r="E589" s="292" t="str">
        <f>IFERROR(__xludf.DUMMYFUNCTION("""COMPUTED_VALUE"""),"")</f>
        <v/>
      </c>
      <c r="F589" s="292"/>
      <c r="G589" s="292" t="str">
        <f>IFERROR(__xludf.DUMMYFUNCTION("""COMPUTED_VALUE"""),"")</f>
        <v/>
      </c>
      <c r="H589" s="292" t="str">
        <f>IFERROR(__xludf.DUMMYFUNCTION("""COMPUTED_VALUE"""),"")</f>
        <v/>
      </c>
      <c r="I589" s="292"/>
      <c r="J589" s="292"/>
      <c r="K589" s="292"/>
      <c r="L589" s="292"/>
      <c r="M589" s="292" t="str">
        <f>IFERROR(__xludf.DUMMYFUNCTION("""COMPUTED_VALUE"""),"")</f>
        <v/>
      </c>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c r="AK589" s="292"/>
      <c r="AL589" s="292"/>
      <c r="AM589" s="292"/>
      <c r="AN589" s="292"/>
      <c r="AO589" s="292"/>
      <c r="AP589" s="292"/>
      <c r="AQ589" s="292"/>
      <c r="AR589" s="292"/>
      <c r="AS589" s="292"/>
      <c r="AT589" s="292"/>
      <c r="AU589" s="292"/>
      <c r="AV589" s="292"/>
      <c r="AW589" s="292"/>
      <c r="AX589" s="292"/>
      <c r="AY589" s="292"/>
      <c r="AZ589" s="292"/>
      <c r="BA589" s="292"/>
      <c r="BB589" s="292"/>
      <c r="BC589" s="292"/>
      <c r="BD589" s="292"/>
      <c r="BE589" s="292"/>
      <c r="BF589" s="292"/>
      <c r="BG589" s="292"/>
      <c r="BH589" s="292"/>
      <c r="BI589" s="292"/>
      <c r="BJ589" s="292"/>
      <c r="BK589" s="292"/>
      <c r="BL589" s="292"/>
      <c r="BM589" s="292"/>
      <c r="BN589" s="292"/>
      <c r="BO589" s="292"/>
      <c r="BP589" s="292"/>
      <c r="BQ589" s="292"/>
      <c r="BR589" s="292"/>
      <c r="BS589" s="292"/>
      <c r="BT589" s="292"/>
      <c r="BU589" s="292"/>
      <c r="BV589" s="292"/>
      <c r="BW589" s="292"/>
    </row>
    <row r="590">
      <c r="A590" s="292"/>
      <c r="B590" s="292" t="str">
        <f>IFERROR(__xludf.DUMMYFUNCTION("""COMPUTED_VALUE"""),"")</f>
        <v/>
      </c>
      <c r="C590" s="292"/>
      <c r="D590" s="292" t="str">
        <f>IFERROR(__xludf.DUMMYFUNCTION("""COMPUTED_VALUE"""),"")</f>
        <v/>
      </c>
      <c r="E590" s="292" t="str">
        <f>IFERROR(__xludf.DUMMYFUNCTION("""COMPUTED_VALUE"""),"")</f>
        <v/>
      </c>
      <c r="F590" s="292"/>
      <c r="G590" s="292" t="str">
        <f>IFERROR(__xludf.DUMMYFUNCTION("""COMPUTED_VALUE"""),"")</f>
        <v/>
      </c>
      <c r="H590" s="292" t="str">
        <f>IFERROR(__xludf.DUMMYFUNCTION("""COMPUTED_VALUE"""),"")</f>
        <v/>
      </c>
      <c r="I590" s="292"/>
      <c r="J590" s="292"/>
      <c r="K590" s="292"/>
      <c r="L590" s="292"/>
      <c r="M590" s="292" t="str">
        <f>IFERROR(__xludf.DUMMYFUNCTION("""COMPUTED_VALUE"""),"")</f>
        <v/>
      </c>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c r="AK590" s="292"/>
      <c r="AL590" s="292"/>
      <c r="AM590" s="292"/>
      <c r="AN590" s="292"/>
      <c r="AO590" s="292"/>
      <c r="AP590" s="292"/>
      <c r="AQ590" s="292"/>
      <c r="AR590" s="292"/>
      <c r="AS590" s="292"/>
      <c r="AT590" s="292"/>
      <c r="AU590" s="292"/>
      <c r="AV590" s="292"/>
      <c r="AW590" s="292"/>
      <c r="AX590" s="292"/>
      <c r="AY590" s="292"/>
      <c r="AZ590" s="292"/>
      <c r="BA590" s="292"/>
      <c r="BB590" s="292"/>
      <c r="BC590" s="292"/>
      <c r="BD590" s="292"/>
      <c r="BE590" s="292"/>
      <c r="BF590" s="292"/>
      <c r="BG590" s="292"/>
      <c r="BH590" s="292"/>
      <c r="BI590" s="292"/>
      <c r="BJ590" s="292"/>
      <c r="BK590" s="292"/>
      <c r="BL590" s="292"/>
      <c r="BM590" s="292"/>
      <c r="BN590" s="292"/>
      <c r="BO590" s="292"/>
      <c r="BP590" s="292"/>
      <c r="BQ590" s="292"/>
      <c r="BR590" s="292"/>
      <c r="BS590" s="292"/>
      <c r="BT590" s="292"/>
      <c r="BU590" s="292"/>
      <c r="BV590" s="292"/>
      <c r="BW590" s="292"/>
    </row>
    <row r="591">
      <c r="A591" s="292"/>
      <c r="B591" s="292" t="str">
        <f>IFERROR(__xludf.DUMMYFUNCTION("""COMPUTED_VALUE"""),"")</f>
        <v/>
      </c>
      <c r="C591" s="292"/>
      <c r="D591" s="292" t="str">
        <f>IFERROR(__xludf.DUMMYFUNCTION("""COMPUTED_VALUE"""),"")</f>
        <v/>
      </c>
      <c r="E591" s="292" t="str">
        <f>IFERROR(__xludf.DUMMYFUNCTION("""COMPUTED_VALUE"""),"")</f>
        <v/>
      </c>
      <c r="F591" s="292"/>
      <c r="G591" s="292" t="str">
        <f>IFERROR(__xludf.DUMMYFUNCTION("""COMPUTED_VALUE"""),"")</f>
        <v/>
      </c>
      <c r="H591" s="292" t="str">
        <f>IFERROR(__xludf.DUMMYFUNCTION("""COMPUTED_VALUE"""),"")</f>
        <v/>
      </c>
      <c r="I591" s="292"/>
      <c r="J591" s="292"/>
      <c r="K591" s="292"/>
      <c r="L591" s="292"/>
      <c r="M591" s="292" t="str">
        <f>IFERROR(__xludf.DUMMYFUNCTION("""COMPUTED_VALUE"""),"")</f>
        <v/>
      </c>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c r="AK591" s="292"/>
      <c r="AL591" s="292"/>
      <c r="AM591" s="292"/>
      <c r="AN591" s="292"/>
      <c r="AO591" s="292"/>
      <c r="AP591" s="292"/>
      <c r="AQ591" s="292"/>
      <c r="AR591" s="292"/>
      <c r="AS591" s="292"/>
      <c r="AT591" s="292"/>
      <c r="AU591" s="292"/>
      <c r="AV591" s="292"/>
      <c r="AW591" s="292"/>
      <c r="AX591" s="292"/>
      <c r="AY591" s="292"/>
      <c r="AZ591" s="292"/>
      <c r="BA591" s="292"/>
      <c r="BB591" s="292"/>
      <c r="BC591" s="292"/>
      <c r="BD591" s="292"/>
      <c r="BE591" s="292"/>
      <c r="BF591" s="292"/>
      <c r="BG591" s="292"/>
      <c r="BH591" s="292"/>
      <c r="BI591" s="292"/>
      <c r="BJ591" s="292"/>
      <c r="BK591" s="292"/>
      <c r="BL591" s="292"/>
      <c r="BM591" s="292"/>
      <c r="BN591" s="292"/>
      <c r="BO591" s="292"/>
      <c r="BP591" s="292"/>
      <c r="BQ591" s="292"/>
      <c r="BR591" s="292"/>
      <c r="BS591" s="292"/>
      <c r="BT591" s="292"/>
      <c r="BU591" s="292"/>
      <c r="BV591" s="292"/>
      <c r="BW591" s="292"/>
    </row>
    <row r="592">
      <c r="A592" s="292"/>
      <c r="B592" s="292" t="str">
        <f>IFERROR(__xludf.DUMMYFUNCTION("""COMPUTED_VALUE"""),"")</f>
        <v/>
      </c>
      <c r="C592" s="292"/>
      <c r="D592" s="292" t="str">
        <f>IFERROR(__xludf.DUMMYFUNCTION("""COMPUTED_VALUE"""),"")</f>
        <v/>
      </c>
      <c r="E592" s="292" t="str">
        <f>IFERROR(__xludf.DUMMYFUNCTION("""COMPUTED_VALUE"""),"")</f>
        <v/>
      </c>
      <c r="F592" s="292"/>
      <c r="G592" s="292" t="str">
        <f>IFERROR(__xludf.DUMMYFUNCTION("""COMPUTED_VALUE"""),"")</f>
        <v/>
      </c>
      <c r="H592" s="292" t="str">
        <f>IFERROR(__xludf.DUMMYFUNCTION("""COMPUTED_VALUE"""),"")</f>
        <v/>
      </c>
      <c r="I592" s="292"/>
      <c r="J592" s="292"/>
      <c r="K592" s="292"/>
      <c r="L592" s="292"/>
      <c r="M592" s="292" t="str">
        <f>IFERROR(__xludf.DUMMYFUNCTION("""COMPUTED_VALUE"""),"")</f>
        <v/>
      </c>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c r="AK592" s="292"/>
      <c r="AL592" s="292"/>
      <c r="AM592" s="292"/>
      <c r="AN592" s="292"/>
      <c r="AO592" s="292"/>
      <c r="AP592" s="292"/>
      <c r="AQ592" s="292"/>
      <c r="AR592" s="292"/>
      <c r="AS592" s="292"/>
      <c r="AT592" s="292"/>
      <c r="AU592" s="292"/>
      <c r="AV592" s="292"/>
      <c r="AW592" s="292"/>
      <c r="AX592" s="292"/>
      <c r="AY592" s="292"/>
      <c r="AZ592" s="292"/>
      <c r="BA592" s="292"/>
      <c r="BB592" s="292"/>
      <c r="BC592" s="292"/>
      <c r="BD592" s="292"/>
      <c r="BE592" s="292"/>
      <c r="BF592" s="292"/>
      <c r="BG592" s="292"/>
      <c r="BH592" s="292"/>
      <c r="BI592" s="292"/>
      <c r="BJ592" s="292"/>
      <c r="BK592" s="292"/>
      <c r="BL592" s="292"/>
      <c r="BM592" s="292"/>
      <c r="BN592" s="292"/>
      <c r="BO592" s="292"/>
      <c r="BP592" s="292"/>
      <c r="BQ592" s="292"/>
      <c r="BR592" s="292"/>
      <c r="BS592" s="292"/>
      <c r="BT592" s="292"/>
      <c r="BU592" s="292"/>
      <c r="BV592" s="292"/>
      <c r="BW592" s="292"/>
    </row>
    <row r="593">
      <c r="A593" s="292"/>
      <c r="B593" s="292" t="str">
        <f>IFERROR(__xludf.DUMMYFUNCTION("""COMPUTED_VALUE"""),"")</f>
        <v/>
      </c>
      <c r="C593" s="292"/>
      <c r="D593" s="292" t="str">
        <f>IFERROR(__xludf.DUMMYFUNCTION("""COMPUTED_VALUE"""),"")</f>
        <v/>
      </c>
      <c r="E593" s="292" t="str">
        <f>IFERROR(__xludf.DUMMYFUNCTION("""COMPUTED_VALUE"""),"")</f>
        <v/>
      </c>
      <c r="F593" s="292"/>
      <c r="G593" s="292" t="str">
        <f>IFERROR(__xludf.DUMMYFUNCTION("""COMPUTED_VALUE"""),"")</f>
        <v/>
      </c>
      <c r="H593" s="292" t="str">
        <f>IFERROR(__xludf.DUMMYFUNCTION("""COMPUTED_VALUE"""),"")</f>
        <v/>
      </c>
      <c r="I593" s="292"/>
      <c r="J593" s="292"/>
      <c r="K593" s="292"/>
      <c r="L593" s="292"/>
      <c r="M593" s="292" t="str">
        <f>IFERROR(__xludf.DUMMYFUNCTION("""COMPUTED_VALUE"""),"")</f>
        <v/>
      </c>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c r="AK593" s="292"/>
      <c r="AL593" s="292"/>
      <c r="AM593" s="292"/>
      <c r="AN593" s="292"/>
      <c r="AO593" s="292"/>
      <c r="AP593" s="292"/>
      <c r="AQ593" s="292"/>
      <c r="AR593" s="292"/>
      <c r="AS593" s="292"/>
      <c r="AT593" s="292"/>
      <c r="AU593" s="292"/>
      <c r="AV593" s="292"/>
      <c r="AW593" s="292"/>
      <c r="AX593" s="292"/>
      <c r="AY593" s="292"/>
      <c r="AZ593" s="292"/>
      <c r="BA593" s="292"/>
      <c r="BB593" s="292"/>
      <c r="BC593" s="292"/>
      <c r="BD593" s="292"/>
      <c r="BE593" s="292"/>
      <c r="BF593" s="292"/>
      <c r="BG593" s="292"/>
      <c r="BH593" s="292"/>
      <c r="BI593" s="292"/>
      <c r="BJ593" s="292"/>
      <c r="BK593" s="292"/>
      <c r="BL593" s="292"/>
      <c r="BM593" s="292"/>
      <c r="BN593" s="292"/>
      <c r="BO593" s="292"/>
      <c r="BP593" s="292"/>
      <c r="BQ593" s="292"/>
      <c r="BR593" s="292"/>
      <c r="BS593" s="292"/>
      <c r="BT593" s="292"/>
      <c r="BU593" s="292"/>
      <c r="BV593" s="292"/>
      <c r="BW593" s="292"/>
    </row>
    <row r="594">
      <c r="A594" s="292"/>
      <c r="B594" s="292" t="str">
        <f>IFERROR(__xludf.DUMMYFUNCTION("""COMPUTED_VALUE"""),"")</f>
        <v/>
      </c>
      <c r="C594" s="292"/>
      <c r="D594" s="292" t="str">
        <f>IFERROR(__xludf.DUMMYFUNCTION("""COMPUTED_VALUE"""),"")</f>
        <v/>
      </c>
      <c r="E594" s="292" t="str">
        <f>IFERROR(__xludf.DUMMYFUNCTION("""COMPUTED_VALUE"""),"")</f>
        <v/>
      </c>
      <c r="F594" s="292"/>
      <c r="G594" s="292" t="str">
        <f>IFERROR(__xludf.DUMMYFUNCTION("""COMPUTED_VALUE"""),"")</f>
        <v/>
      </c>
      <c r="H594" s="292" t="str">
        <f>IFERROR(__xludf.DUMMYFUNCTION("""COMPUTED_VALUE"""),"")</f>
        <v/>
      </c>
      <c r="I594" s="292"/>
      <c r="J594" s="292"/>
      <c r="K594" s="292"/>
      <c r="L594" s="292"/>
      <c r="M594" s="292" t="str">
        <f>IFERROR(__xludf.DUMMYFUNCTION("""COMPUTED_VALUE"""),"")</f>
        <v/>
      </c>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c r="AK594" s="292"/>
      <c r="AL594" s="292"/>
      <c r="AM594" s="292"/>
      <c r="AN594" s="292"/>
      <c r="AO594" s="292"/>
      <c r="AP594" s="292"/>
      <c r="AQ594" s="292"/>
      <c r="AR594" s="292"/>
      <c r="AS594" s="292"/>
      <c r="AT594" s="292"/>
      <c r="AU594" s="292"/>
      <c r="AV594" s="292"/>
      <c r="AW594" s="292"/>
      <c r="AX594" s="292"/>
      <c r="AY594" s="292"/>
      <c r="AZ594" s="292"/>
      <c r="BA594" s="292"/>
      <c r="BB594" s="292"/>
      <c r="BC594" s="292"/>
      <c r="BD594" s="292"/>
      <c r="BE594" s="292"/>
      <c r="BF594" s="292"/>
      <c r="BG594" s="292"/>
      <c r="BH594" s="292"/>
      <c r="BI594" s="292"/>
      <c r="BJ594" s="292"/>
      <c r="BK594" s="292"/>
      <c r="BL594" s="292"/>
      <c r="BM594" s="292"/>
      <c r="BN594" s="292"/>
      <c r="BO594" s="292"/>
      <c r="BP594" s="292"/>
      <c r="BQ594" s="292"/>
      <c r="BR594" s="292"/>
      <c r="BS594" s="292"/>
      <c r="BT594" s="292"/>
      <c r="BU594" s="292"/>
      <c r="BV594" s="292"/>
      <c r="BW594" s="292"/>
    </row>
    <row r="595">
      <c r="A595" s="292"/>
      <c r="B595" s="292" t="str">
        <f>IFERROR(__xludf.DUMMYFUNCTION("""COMPUTED_VALUE"""),"")</f>
        <v/>
      </c>
      <c r="C595" s="292"/>
      <c r="D595" s="292" t="str">
        <f>IFERROR(__xludf.DUMMYFUNCTION("""COMPUTED_VALUE"""),"")</f>
        <v/>
      </c>
      <c r="E595" s="292" t="str">
        <f>IFERROR(__xludf.DUMMYFUNCTION("""COMPUTED_VALUE"""),"")</f>
        <v/>
      </c>
      <c r="F595" s="292"/>
      <c r="G595" s="292" t="str">
        <f>IFERROR(__xludf.DUMMYFUNCTION("""COMPUTED_VALUE"""),"")</f>
        <v/>
      </c>
      <c r="H595" s="292" t="str">
        <f>IFERROR(__xludf.DUMMYFUNCTION("""COMPUTED_VALUE"""),"")</f>
        <v/>
      </c>
      <c r="I595" s="292"/>
      <c r="J595" s="292"/>
      <c r="K595" s="292"/>
      <c r="L595" s="292"/>
      <c r="M595" s="292" t="str">
        <f>IFERROR(__xludf.DUMMYFUNCTION("""COMPUTED_VALUE"""),"")</f>
        <v/>
      </c>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c r="AK595" s="292"/>
      <c r="AL595" s="292"/>
      <c r="AM595" s="292"/>
      <c r="AN595" s="292"/>
      <c r="AO595" s="292"/>
      <c r="AP595" s="292"/>
      <c r="AQ595" s="292"/>
      <c r="AR595" s="292"/>
      <c r="AS595" s="292"/>
      <c r="AT595" s="292"/>
      <c r="AU595" s="292"/>
      <c r="AV595" s="292"/>
      <c r="AW595" s="292"/>
      <c r="AX595" s="292"/>
      <c r="AY595" s="292"/>
      <c r="AZ595" s="292"/>
      <c r="BA595" s="292"/>
      <c r="BB595" s="292"/>
      <c r="BC595" s="292"/>
      <c r="BD595" s="292"/>
      <c r="BE595" s="292"/>
      <c r="BF595" s="292"/>
      <c r="BG595" s="292"/>
      <c r="BH595" s="292"/>
      <c r="BI595" s="292"/>
      <c r="BJ595" s="292"/>
      <c r="BK595" s="292"/>
      <c r="BL595" s="292"/>
      <c r="BM595" s="292"/>
      <c r="BN595" s="292"/>
      <c r="BO595" s="292"/>
      <c r="BP595" s="292"/>
      <c r="BQ595" s="292"/>
      <c r="BR595" s="292"/>
      <c r="BS595" s="292"/>
      <c r="BT595" s="292"/>
      <c r="BU595" s="292"/>
      <c r="BV595" s="292"/>
      <c r="BW595" s="292"/>
    </row>
    <row r="596">
      <c r="A596" s="292"/>
      <c r="B596" s="292" t="str">
        <f>IFERROR(__xludf.DUMMYFUNCTION("""COMPUTED_VALUE"""),"")</f>
        <v/>
      </c>
      <c r="C596" s="292"/>
      <c r="D596" s="292" t="str">
        <f>IFERROR(__xludf.DUMMYFUNCTION("""COMPUTED_VALUE"""),"")</f>
        <v/>
      </c>
      <c r="E596" s="292" t="str">
        <f>IFERROR(__xludf.DUMMYFUNCTION("""COMPUTED_VALUE"""),"")</f>
        <v/>
      </c>
      <c r="F596" s="292"/>
      <c r="G596" s="292" t="str">
        <f>IFERROR(__xludf.DUMMYFUNCTION("""COMPUTED_VALUE"""),"")</f>
        <v/>
      </c>
      <c r="H596" s="292" t="str">
        <f>IFERROR(__xludf.DUMMYFUNCTION("""COMPUTED_VALUE"""),"")</f>
        <v/>
      </c>
      <c r="I596" s="292"/>
      <c r="J596" s="292"/>
      <c r="K596" s="292"/>
      <c r="L596" s="292"/>
      <c r="M596" s="292" t="str">
        <f>IFERROR(__xludf.DUMMYFUNCTION("""COMPUTED_VALUE"""),"")</f>
        <v/>
      </c>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c r="AK596" s="292"/>
      <c r="AL596" s="292"/>
      <c r="AM596" s="292"/>
      <c r="AN596" s="292"/>
      <c r="AO596" s="292"/>
      <c r="AP596" s="292"/>
      <c r="AQ596" s="292"/>
      <c r="AR596" s="292"/>
      <c r="AS596" s="292"/>
      <c r="AT596" s="292"/>
      <c r="AU596" s="292"/>
      <c r="AV596" s="292"/>
      <c r="AW596" s="292"/>
      <c r="AX596" s="292"/>
      <c r="AY596" s="292"/>
      <c r="AZ596" s="292"/>
      <c r="BA596" s="292"/>
      <c r="BB596" s="292"/>
      <c r="BC596" s="292"/>
      <c r="BD596" s="292"/>
      <c r="BE596" s="292"/>
      <c r="BF596" s="292"/>
      <c r="BG596" s="292"/>
      <c r="BH596" s="292"/>
      <c r="BI596" s="292"/>
      <c r="BJ596" s="292"/>
      <c r="BK596" s="292"/>
      <c r="BL596" s="292"/>
      <c r="BM596" s="292"/>
      <c r="BN596" s="292"/>
      <c r="BO596" s="292"/>
      <c r="BP596" s="292"/>
      <c r="BQ596" s="292"/>
      <c r="BR596" s="292"/>
      <c r="BS596" s="292"/>
      <c r="BT596" s="292"/>
      <c r="BU596" s="292"/>
      <c r="BV596" s="292"/>
      <c r="BW596" s="292"/>
    </row>
    <row r="597">
      <c r="A597" s="292"/>
      <c r="B597" s="292" t="str">
        <f>IFERROR(__xludf.DUMMYFUNCTION("""COMPUTED_VALUE"""),"")</f>
        <v/>
      </c>
      <c r="C597" s="292"/>
      <c r="D597" s="292" t="str">
        <f>IFERROR(__xludf.DUMMYFUNCTION("""COMPUTED_VALUE"""),"")</f>
        <v/>
      </c>
      <c r="E597" s="292" t="str">
        <f>IFERROR(__xludf.DUMMYFUNCTION("""COMPUTED_VALUE"""),"")</f>
        <v/>
      </c>
      <c r="F597" s="292"/>
      <c r="G597" s="292" t="str">
        <f>IFERROR(__xludf.DUMMYFUNCTION("""COMPUTED_VALUE"""),"")</f>
        <v/>
      </c>
      <c r="H597" s="292" t="str">
        <f>IFERROR(__xludf.DUMMYFUNCTION("""COMPUTED_VALUE"""),"")</f>
        <v/>
      </c>
      <c r="I597" s="292"/>
      <c r="J597" s="292"/>
      <c r="K597" s="292"/>
      <c r="L597" s="292"/>
      <c r="M597" s="292" t="str">
        <f>IFERROR(__xludf.DUMMYFUNCTION("""COMPUTED_VALUE"""),"")</f>
        <v/>
      </c>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c r="AK597" s="292"/>
      <c r="AL597" s="292"/>
      <c r="AM597" s="292"/>
      <c r="AN597" s="292"/>
      <c r="AO597" s="292"/>
      <c r="AP597" s="292"/>
      <c r="AQ597" s="292"/>
      <c r="AR597" s="292"/>
      <c r="AS597" s="292"/>
      <c r="AT597" s="292"/>
      <c r="AU597" s="292"/>
      <c r="AV597" s="292"/>
      <c r="AW597" s="292"/>
      <c r="AX597" s="292"/>
      <c r="AY597" s="292"/>
      <c r="AZ597" s="292"/>
      <c r="BA597" s="292"/>
      <c r="BB597" s="292"/>
      <c r="BC597" s="292"/>
      <c r="BD597" s="292"/>
      <c r="BE597" s="292"/>
      <c r="BF597" s="292"/>
      <c r="BG597" s="292"/>
      <c r="BH597" s="292"/>
      <c r="BI597" s="292"/>
      <c r="BJ597" s="292"/>
      <c r="BK597" s="292"/>
      <c r="BL597" s="292"/>
      <c r="BM597" s="292"/>
      <c r="BN597" s="292"/>
      <c r="BO597" s="292"/>
      <c r="BP597" s="292"/>
      <c r="BQ597" s="292"/>
      <c r="BR597" s="292"/>
      <c r="BS597" s="292"/>
      <c r="BT597" s="292"/>
      <c r="BU597" s="292"/>
      <c r="BV597" s="292"/>
      <c r="BW597" s="292"/>
    </row>
    <row r="598">
      <c r="A598" s="292"/>
      <c r="B598" s="292" t="str">
        <f>IFERROR(__xludf.DUMMYFUNCTION("""COMPUTED_VALUE"""),"")</f>
        <v/>
      </c>
      <c r="C598" s="292"/>
      <c r="D598" s="292" t="str">
        <f>IFERROR(__xludf.DUMMYFUNCTION("""COMPUTED_VALUE"""),"")</f>
        <v/>
      </c>
      <c r="E598" s="292" t="str">
        <f>IFERROR(__xludf.DUMMYFUNCTION("""COMPUTED_VALUE"""),"")</f>
        <v/>
      </c>
      <c r="F598" s="292"/>
      <c r="G598" s="292" t="str">
        <f>IFERROR(__xludf.DUMMYFUNCTION("""COMPUTED_VALUE"""),"")</f>
        <v/>
      </c>
      <c r="H598" s="292" t="str">
        <f>IFERROR(__xludf.DUMMYFUNCTION("""COMPUTED_VALUE"""),"")</f>
        <v/>
      </c>
      <c r="I598" s="292"/>
      <c r="J598" s="292"/>
      <c r="K598" s="292"/>
      <c r="L598" s="292"/>
      <c r="M598" s="292" t="str">
        <f>IFERROR(__xludf.DUMMYFUNCTION("""COMPUTED_VALUE"""),"")</f>
        <v/>
      </c>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c r="AK598" s="292"/>
      <c r="AL598" s="292"/>
      <c r="AM598" s="292"/>
      <c r="AN598" s="292"/>
      <c r="AO598" s="292"/>
      <c r="AP598" s="292"/>
      <c r="AQ598" s="292"/>
      <c r="AR598" s="292"/>
      <c r="AS598" s="292"/>
      <c r="AT598" s="292"/>
      <c r="AU598" s="292"/>
      <c r="AV598" s="292"/>
      <c r="AW598" s="292"/>
      <c r="AX598" s="292"/>
      <c r="AY598" s="292"/>
      <c r="AZ598" s="292"/>
      <c r="BA598" s="292"/>
      <c r="BB598" s="292"/>
      <c r="BC598" s="292"/>
      <c r="BD598" s="292"/>
      <c r="BE598" s="292"/>
      <c r="BF598" s="292"/>
      <c r="BG598" s="292"/>
      <c r="BH598" s="292"/>
      <c r="BI598" s="292"/>
      <c r="BJ598" s="292"/>
      <c r="BK598" s="292"/>
      <c r="BL598" s="292"/>
      <c r="BM598" s="292"/>
      <c r="BN598" s="292"/>
      <c r="BO598" s="292"/>
      <c r="BP598" s="292"/>
      <c r="BQ598" s="292"/>
      <c r="BR598" s="292"/>
      <c r="BS598" s="292"/>
      <c r="BT598" s="292"/>
      <c r="BU598" s="292"/>
      <c r="BV598" s="292"/>
      <c r="BW598" s="292"/>
    </row>
    <row r="599">
      <c r="A599" s="292"/>
      <c r="B599" s="292" t="str">
        <f>IFERROR(__xludf.DUMMYFUNCTION("""COMPUTED_VALUE"""),"")</f>
        <v/>
      </c>
      <c r="C599" s="292"/>
      <c r="D599" s="292" t="str">
        <f>IFERROR(__xludf.DUMMYFUNCTION("""COMPUTED_VALUE"""),"")</f>
        <v/>
      </c>
      <c r="E599" s="292" t="str">
        <f>IFERROR(__xludf.DUMMYFUNCTION("""COMPUTED_VALUE"""),"")</f>
        <v/>
      </c>
      <c r="F599" s="292"/>
      <c r="G599" s="292" t="str">
        <f>IFERROR(__xludf.DUMMYFUNCTION("""COMPUTED_VALUE"""),"")</f>
        <v/>
      </c>
      <c r="H599" s="292" t="str">
        <f>IFERROR(__xludf.DUMMYFUNCTION("""COMPUTED_VALUE"""),"")</f>
        <v/>
      </c>
      <c r="I599" s="292"/>
      <c r="J599" s="292"/>
      <c r="K599" s="292"/>
      <c r="L599" s="292"/>
      <c r="M599" s="292" t="str">
        <f>IFERROR(__xludf.DUMMYFUNCTION("""COMPUTED_VALUE"""),"")</f>
        <v/>
      </c>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c r="AK599" s="292"/>
      <c r="AL599" s="292"/>
      <c r="AM599" s="292"/>
      <c r="AN599" s="292"/>
      <c r="AO599" s="292"/>
      <c r="AP599" s="292"/>
      <c r="AQ599" s="292"/>
      <c r="AR599" s="292"/>
      <c r="AS599" s="292"/>
      <c r="AT599" s="292"/>
      <c r="AU599" s="292"/>
      <c r="AV599" s="292"/>
      <c r="AW599" s="292"/>
      <c r="AX599" s="292"/>
      <c r="AY599" s="292"/>
      <c r="AZ599" s="292"/>
      <c r="BA599" s="292"/>
      <c r="BB599" s="292"/>
      <c r="BC599" s="292"/>
      <c r="BD599" s="292"/>
      <c r="BE599" s="292"/>
      <c r="BF599" s="292"/>
      <c r="BG599" s="292"/>
      <c r="BH599" s="292"/>
      <c r="BI599" s="292"/>
      <c r="BJ599" s="292"/>
      <c r="BK599" s="292"/>
      <c r="BL599" s="292"/>
      <c r="BM599" s="292"/>
      <c r="BN599" s="292"/>
      <c r="BO599" s="292"/>
      <c r="BP599" s="292"/>
      <c r="BQ599" s="292"/>
      <c r="BR599" s="292"/>
      <c r="BS599" s="292"/>
      <c r="BT599" s="292"/>
      <c r="BU599" s="292"/>
      <c r="BV599" s="292"/>
      <c r="BW599" s="292"/>
    </row>
    <row r="600">
      <c r="A600" s="292"/>
      <c r="B600" s="292" t="str">
        <f>IFERROR(__xludf.DUMMYFUNCTION("""COMPUTED_VALUE"""),"")</f>
        <v/>
      </c>
      <c r="C600" s="292"/>
      <c r="D600" s="292" t="str">
        <f>IFERROR(__xludf.DUMMYFUNCTION("""COMPUTED_VALUE"""),"")</f>
        <v/>
      </c>
      <c r="E600" s="292" t="str">
        <f>IFERROR(__xludf.DUMMYFUNCTION("""COMPUTED_VALUE"""),"")</f>
        <v/>
      </c>
      <c r="F600" s="292"/>
      <c r="G600" s="292" t="str">
        <f>IFERROR(__xludf.DUMMYFUNCTION("""COMPUTED_VALUE"""),"")</f>
        <v/>
      </c>
      <c r="H600" s="292" t="str">
        <f>IFERROR(__xludf.DUMMYFUNCTION("""COMPUTED_VALUE"""),"")</f>
        <v/>
      </c>
      <c r="I600" s="292"/>
      <c r="J600" s="292"/>
      <c r="K600" s="292"/>
      <c r="L600" s="292"/>
      <c r="M600" s="292" t="str">
        <f>IFERROR(__xludf.DUMMYFUNCTION("""COMPUTED_VALUE"""),"")</f>
        <v/>
      </c>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c r="AK600" s="292"/>
      <c r="AL600" s="292"/>
      <c r="AM600" s="292"/>
      <c r="AN600" s="292"/>
      <c r="AO600" s="292"/>
      <c r="AP600" s="292"/>
      <c r="AQ600" s="292"/>
      <c r="AR600" s="292"/>
      <c r="AS600" s="292"/>
      <c r="AT600" s="292"/>
      <c r="AU600" s="292"/>
      <c r="AV600" s="292"/>
      <c r="AW600" s="292"/>
      <c r="AX600" s="292"/>
      <c r="AY600" s="292"/>
      <c r="AZ600" s="292"/>
      <c r="BA600" s="292"/>
      <c r="BB600" s="292"/>
      <c r="BC600" s="292"/>
      <c r="BD600" s="292"/>
      <c r="BE600" s="292"/>
      <c r="BF600" s="292"/>
      <c r="BG600" s="292"/>
      <c r="BH600" s="292"/>
      <c r="BI600" s="292"/>
      <c r="BJ600" s="292"/>
      <c r="BK600" s="292"/>
      <c r="BL600" s="292"/>
      <c r="BM600" s="292"/>
      <c r="BN600" s="292"/>
      <c r="BO600" s="292"/>
      <c r="BP600" s="292"/>
      <c r="BQ600" s="292"/>
      <c r="BR600" s="292"/>
      <c r="BS600" s="292"/>
      <c r="BT600" s="292"/>
      <c r="BU600" s="292"/>
      <c r="BV600" s="292"/>
      <c r="BW600" s="292"/>
    </row>
    <row r="601">
      <c r="A601" s="292"/>
      <c r="B601" s="292" t="str">
        <f>IFERROR(__xludf.DUMMYFUNCTION("""COMPUTED_VALUE"""),"")</f>
        <v/>
      </c>
      <c r="C601" s="292"/>
      <c r="D601" s="292" t="str">
        <f>IFERROR(__xludf.DUMMYFUNCTION("""COMPUTED_VALUE"""),"")</f>
        <v/>
      </c>
      <c r="E601" s="292" t="str">
        <f>IFERROR(__xludf.DUMMYFUNCTION("""COMPUTED_VALUE"""),"")</f>
        <v/>
      </c>
      <c r="F601" s="292"/>
      <c r="G601" s="292" t="str">
        <f>IFERROR(__xludf.DUMMYFUNCTION("""COMPUTED_VALUE"""),"")</f>
        <v/>
      </c>
      <c r="H601" s="292" t="str">
        <f>IFERROR(__xludf.DUMMYFUNCTION("""COMPUTED_VALUE"""),"")</f>
        <v/>
      </c>
      <c r="I601" s="292"/>
      <c r="J601" s="292"/>
      <c r="K601" s="292"/>
      <c r="L601" s="292"/>
      <c r="M601" s="292" t="str">
        <f>IFERROR(__xludf.DUMMYFUNCTION("""COMPUTED_VALUE"""),"")</f>
        <v/>
      </c>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c r="AK601" s="292"/>
      <c r="AL601" s="292"/>
      <c r="AM601" s="292"/>
      <c r="AN601" s="292"/>
      <c r="AO601" s="292"/>
      <c r="AP601" s="292"/>
      <c r="AQ601" s="292"/>
      <c r="AR601" s="292"/>
      <c r="AS601" s="292"/>
      <c r="AT601" s="292"/>
      <c r="AU601" s="292"/>
      <c r="AV601" s="292"/>
      <c r="AW601" s="292"/>
      <c r="AX601" s="292"/>
      <c r="AY601" s="292"/>
      <c r="AZ601" s="292"/>
      <c r="BA601" s="292"/>
      <c r="BB601" s="292"/>
      <c r="BC601" s="292"/>
      <c r="BD601" s="292"/>
      <c r="BE601" s="292"/>
      <c r="BF601" s="292"/>
      <c r="BG601" s="292"/>
      <c r="BH601" s="292"/>
      <c r="BI601" s="292"/>
      <c r="BJ601" s="292"/>
      <c r="BK601" s="292"/>
      <c r="BL601" s="292"/>
      <c r="BM601" s="292"/>
      <c r="BN601" s="292"/>
      <c r="BO601" s="292"/>
      <c r="BP601" s="292"/>
      <c r="BQ601" s="292"/>
      <c r="BR601" s="292"/>
      <c r="BS601" s="292"/>
      <c r="BT601" s="292"/>
      <c r="BU601" s="292"/>
      <c r="BV601" s="292"/>
      <c r="BW601" s="292"/>
    </row>
    <row r="602">
      <c r="A602" s="292"/>
      <c r="B602" s="292" t="str">
        <f>IFERROR(__xludf.DUMMYFUNCTION("""COMPUTED_VALUE"""),"")</f>
        <v/>
      </c>
      <c r="C602" s="292"/>
      <c r="D602" s="292" t="str">
        <f>IFERROR(__xludf.DUMMYFUNCTION("""COMPUTED_VALUE"""),"")</f>
        <v/>
      </c>
      <c r="E602" s="292" t="str">
        <f>IFERROR(__xludf.DUMMYFUNCTION("""COMPUTED_VALUE"""),"")</f>
        <v/>
      </c>
      <c r="F602" s="292"/>
      <c r="G602" s="292" t="str">
        <f>IFERROR(__xludf.DUMMYFUNCTION("""COMPUTED_VALUE"""),"")</f>
        <v/>
      </c>
      <c r="H602" s="292" t="str">
        <f>IFERROR(__xludf.DUMMYFUNCTION("""COMPUTED_VALUE"""),"")</f>
        <v/>
      </c>
      <c r="I602" s="292"/>
      <c r="J602" s="292"/>
      <c r="K602" s="292"/>
      <c r="L602" s="292"/>
      <c r="M602" s="292" t="str">
        <f>IFERROR(__xludf.DUMMYFUNCTION("""COMPUTED_VALUE"""),"")</f>
        <v/>
      </c>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c r="AK602" s="292"/>
      <c r="AL602" s="292"/>
      <c r="AM602" s="292"/>
      <c r="AN602" s="292"/>
      <c r="AO602" s="292"/>
      <c r="AP602" s="292"/>
      <c r="AQ602" s="292"/>
      <c r="AR602" s="292"/>
      <c r="AS602" s="292"/>
      <c r="AT602" s="292"/>
      <c r="AU602" s="292"/>
      <c r="AV602" s="292"/>
      <c r="AW602" s="292"/>
      <c r="AX602" s="292"/>
      <c r="AY602" s="292"/>
      <c r="AZ602" s="292"/>
      <c r="BA602" s="292"/>
      <c r="BB602" s="292"/>
      <c r="BC602" s="292"/>
      <c r="BD602" s="292"/>
      <c r="BE602" s="292"/>
      <c r="BF602" s="292"/>
      <c r="BG602" s="292"/>
      <c r="BH602" s="292"/>
      <c r="BI602" s="292"/>
      <c r="BJ602" s="292"/>
      <c r="BK602" s="292"/>
      <c r="BL602" s="292"/>
      <c r="BM602" s="292"/>
      <c r="BN602" s="292"/>
      <c r="BO602" s="292"/>
      <c r="BP602" s="292"/>
      <c r="BQ602" s="292"/>
      <c r="BR602" s="292"/>
      <c r="BS602" s="292"/>
      <c r="BT602" s="292"/>
      <c r="BU602" s="292"/>
      <c r="BV602" s="292"/>
      <c r="BW602" s="292"/>
    </row>
    <row r="603">
      <c r="A603" s="292"/>
      <c r="B603" s="292" t="str">
        <f>IFERROR(__xludf.DUMMYFUNCTION("""COMPUTED_VALUE"""),"")</f>
        <v/>
      </c>
      <c r="C603" s="292"/>
      <c r="D603" s="292" t="str">
        <f>IFERROR(__xludf.DUMMYFUNCTION("""COMPUTED_VALUE"""),"")</f>
        <v/>
      </c>
      <c r="E603" s="292" t="str">
        <f>IFERROR(__xludf.DUMMYFUNCTION("""COMPUTED_VALUE"""),"")</f>
        <v/>
      </c>
      <c r="F603" s="292"/>
      <c r="G603" s="292" t="str">
        <f>IFERROR(__xludf.DUMMYFUNCTION("""COMPUTED_VALUE"""),"")</f>
        <v/>
      </c>
      <c r="H603" s="292" t="str">
        <f>IFERROR(__xludf.DUMMYFUNCTION("""COMPUTED_VALUE"""),"")</f>
        <v/>
      </c>
      <c r="I603" s="292"/>
      <c r="J603" s="292"/>
      <c r="K603" s="292"/>
      <c r="L603" s="292"/>
      <c r="M603" s="292" t="str">
        <f>IFERROR(__xludf.DUMMYFUNCTION("""COMPUTED_VALUE"""),"")</f>
        <v/>
      </c>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c r="AK603" s="292"/>
      <c r="AL603" s="292"/>
      <c r="AM603" s="292"/>
      <c r="AN603" s="292"/>
      <c r="AO603" s="292"/>
      <c r="AP603" s="292"/>
      <c r="AQ603" s="292"/>
      <c r="AR603" s="292"/>
      <c r="AS603" s="292"/>
      <c r="AT603" s="292"/>
      <c r="AU603" s="292"/>
      <c r="AV603" s="292"/>
      <c r="AW603" s="292"/>
      <c r="AX603" s="292"/>
      <c r="AY603" s="292"/>
      <c r="AZ603" s="292"/>
      <c r="BA603" s="292"/>
      <c r="BB603" s="292"/>
      <c r="BC603" s="292"/>
      <c r="BD603" s="292"/>
      <c r="BE603" s="292"/>
      <c r="BF603" s="292"/>
      <c r="BG603" s="292"/>
      <c r="BH603" s="292"/>
      <c r="BI603" s="292"/>
      <c r="BJ603" s="292"/>
      <c r="BK603" s="292"/>
      <c r="BL603" s="292"/>
      <c r="BM603" s="292"/>
      <c r="BN603" s="292"/>
      <c r="BO603" s="292"/>
      <c r="BP603" s="292"/>
      <c r="BQ603" s="292"/>
      <c r="BR603" s="292"/>
      <c r="BS603" s="292"/>
      <c r="BT603" s="292"/>
      <c r="BU603" s="292"/>
      <c r="BV603" s="292"/>
      <c r="BW603" s="292"/>
    </row>
    <row r="604">
      <c r="A604" s="292"/>
      <c r="B604" s="292" t="str">
        <f>IFERROR(__xludf.DUMMYFUNCTION("""COMPUTED_VALUE"""),"")</f>
        <v/>
      </c>
      <c r="C604" s="292"/>
      <c r="D604" s="292" t="str">
        <f>IFERROR(__xludf.DUMMYFUNCTION("""COMPUTED_VALUE"""),"")</f>
        <v/>
      </c>
      <c r="E604" s="292" t="str">
        <f>IFERROR(__xludf.DUMMYFUNCTION("""COMPUTED_VALUE"""),"")</f>
        <v/>
      </c>
      <c r="F604" s="292"/>
      <c r="G604" s="292" t="str">
        <f>IFERROR(__xludf.DUMMYFUNCTION("""COMPUTED_VALUE"""),"")</f>
        <v/>
      </c>
      <c r="H604" s="292" t="str">
        <f>IFERROR(__xludf.DUMMYFUNCTION("""COMPUTED_VALUE"""),"")</f>
        <v/>
      </c>
      <c r="I604" s="292"/>
      <c r="J604" s="292"/>
      <c r="K604" s="292"/>
      <c r="L604" s="292"/>
      <c r="M604" s="292" t="str">
        <f>IFERROR(__xludf.DUMMYFUNCTION("""COMPUTED_VALUE"""),"")</f>
        <v/>
      </c>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c r="AK604" s="292"/>
      <c r="AL604" s="292"/>
      <c r="AM604" s="292"/>
      <c r="AN604" s="292"/>
      <c r="AO604" s="292"/>
      <c r="AP604" s="292"/>
      <c r="AQ604" s="292"/>
      <c r="AR604" s="292"/>
      <c r="AS604" s="292"/>
      <c r="AT604" s="292"/>
      <c r="AU604" s="292"/>
      <c r="AV604" s="292"/>
      <c r="AW604" s="292"/>
      <c r="AX604" s="292"/>
      <c r="AY604" s="292"/>
      <c r="AZ604" s="292"/>
      <c r="BA604" s="292"/>
      <c r="BB604" s="292"/>
      <c r="BC604" s="292"/>
      <c r="BD604" s="292"/>
      <c r="BE604" s="292"/>
      <c r="BF604" s="292"/>
      <c r="BG604" s="292"/>
      <c r="BH604" s="292"/>
      <c r="BI604" s="292"/>
      <c r="BJ604" s="292"/>
      <c r="BK604" s="292"/>
      <c r="BL604" s="292"/>
      <c r="BM604" s="292"/>
      <c r="BN604" s="292"/>
      <c r="BO604" s="292"/>
      <c r="BP604" s="292"/>
      <c r="BQ604" s="292"/>
      <c r="BR604" s="292"/>
      <c r="BS604" s="292"/>
      <c r="BT604" s="292"/>
      <c r="BU604" s="292"/>
      <c r="BV604" s="292"/>
      <c r="BW604" s="292"/>
    </row>
    <row r="605">
      <c r="A605" s="292"/>
      <c r="B605" s="292" t="str">
        <f>IFERROR(__xludf.DUMMYFUNCTION("""COMPUTED_VALUE"""),"")</f>
        <v/>
      </c>
      <c r="C605" s="292"/>
      <c r="D605" s="292" t="str">
        <f>IFERROR(__xludf.DUMMYFUNCTION("""COMPUTED_VALUE"""),"")</f>
        <v/>
      </c>
      <c r="E605" s="292" t="str">
        <f>IFERROR(__xludf.DUMMYFUNCTION("""COMPUTED_VALUE"""),"")</f>
        <v/>
      </c>
      <c r="F605" s="292"/>
      <c r="G605" s="292" t="str">
        <f>IFERROR(__xludf.DUMMYFUNCTION("""COMPUTED_VALUE"""),"")</f>
        <v/>
      </c>
      <c r="H605" s="292" t="str">
        <f>IFERROR(__xludf.DUMMYFUNCTION("""COMPUTED_VALUE"""),"")</f>
        <v/>
      </c>
      <c r="I605" s="292"/>
      <c r="J605" s="292"/>
      <c r="K605" s="292"/>
      <c r="L605" s="292"/>
      <c r="M605" s="292" t="str">
        <f>IFERROR(__xludf.DUMMYFUNCTION("""COMPUTED_VALUE"""),"")</f>
        <v/>
      </c>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c r="AK605" s="292"/>
      <c r="AL605" s="292"/>
      <c r="AM605" s="292"/>
      <c r="AN605" s="292"/>
      <c r="AO605" s="292"/>
      <c r="AP605" s="292"/>
      <c r="AQ605" s="292"/>
      <c r="AR605" s="292"/>
      <c r="AS605" s="292"/>
      <c r="AT605" s="292"/>
      <c r="AU605" s="292"/>
      <c r="AV605" s="292"/>
      <c r="AW605" s="292"/>
      <c r="AX605" s="292"/>
      <c r="AY605" s="292"/>
      <c r="AZ605" s="292"/>
      <c r="BA605" s="292"/>
      <c r="BB605" s="292"/>
      <c r="BC605" s="292"/>
      <c r="BD605" s="292"/>
      <c r="BE605" s="292"/>
      <c r="BF605" s="292"/>
      <c r="BG605" s="292"/>
      <c r="BH605" s="292"/>
      <c r="BI605" s="292"/>
      <c r="BJ605" s="292"/>
      <c r="BK605" s="292"/>
      <c r="BL605" s="292"/>
      <c r="BM605" s="292"/>
      <c r="BN605" s="292"/>
      <c r="BO605" s="292"/>
      <c r="BP605" s="292"/>
      <c r="BQ605" s="292"/>
      <c r="BR605" s="292"/>
      <c r="BS605" s="292"/>
      <c r="BT605" s="292"/>
      <c r="BU605" s="292"/>
      <c r="BV605" s="292"/>
      <c r="BW605" s="292"/>
    </row>
    <row r="606">
      <c r="A606" s="292"/>
      <c r="B606" s="292" t="str">
        <f>IFERROR(__xludf.DUMMYFUNCTION("""COMPUTED_VALUE"""),"")</f>
        <v/>
      </c>
      <c r="C606" s="292"/>
      <c r="D606" s="292" t="str">
        <f>IFERROR(__xludf.DUMMYFUNCTION("""COMPUTED_VALUE"""),"")</f>
        <v/>
      </c>
      <c r="E606" s="292" t="str">
        <f>IFERROR(__xludf.DUMMYFUNCTION("""COMPUTED_VALUE"""),"")</f>
        <v/>
      </c>
      <c r="F606" s="292"/>
      <c r="G606" s="292" t="str">
        <f>IFERROR(__xludf.DUMMYFUNCTION("""COMPUTED_VALUE"""),"")</f>
        <v/>
      </c>
      <c r="H606" s="292" t="str">
        <f>IFERROR(__xludf.DUMMYFUNCTION("""COMPUTED_VALUE"""),"")</f>
        <v/>
      </c>
      <c r="I606" s="292"/>
      <c r="J606" s="292"/>
      <c r="K606" s="292"/>
      <c r="L606" s="292"/>
      <c r="M606" s="292" t="str">
        <f>IFERROR(__xludf.DUMMYFUNCTION("""COMPUTED_VALUE"""),"")</f>
        <v/>
      </c>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c r="AK606" s="292"/>
      <c r="AL606" s="292"/>
      <c r="AM606" s="292"/>
      <c r="AN606" s="292"/>
      <c r="AO606" s="292"/>
      <c r="AP606" s="292"/>
      <c r="AQ606" s="292"/>
      <c r="AR606" s="292"/>
      <c r="AS606" s="292"/>
      <c r="AT606" s="292"/>
      <c r="AU606" s="292"/>
      <c r="AV606" s="292"/>
      <c r="AW606" s="292"/>
      <c r="AX606" s="292"/>
      <c r="AY606" s="292"/>
      <c r="AZ606" s="292"/>
      <c r="BA606" s="292"/>
      <c r="BB606" s="292"/>
      <c r="BC606" s="292"/>
      <c r="BD606" s="292"/>
      <c r="BE606" s="292"/>
      <c r="BF606" s="292"/>
      <c r="BG606" s="292"/>
      <c r="BH606" s="292"/>
      <c r="BI606" s="292"/>
      <c r="BJ606" s="292"/>
      <c r="BK606" s="292"/>
      <c r="BL606" s="292"/>
      <c r="BM606" s="292"/>
      <c r="BN606" s="292"/>
      <c r="BO606" s="292"/>
      <c r="BP606" s="292"/>
      <c r="BQ606" s="292"/>
      <c r="BR606" s="292"/>
      <c r="BS606" s="292"/>
      <c r="BT606" s="292"/>
      <c r="BU606" s="292"/>
      <c r="BV606" s="292"/>
      <c r="BW606" s="292"/>
    </row>
    <row r="607">
      <c r="A607" s="292"/>
      <c r="B607" s="292" t="str">
        <f>IFERROR(__xludf.DUMMYFUNCTION("""COMPUTED_VALUE"""),"")</f>
        <v/>
      </c>
      <c r="C607" s="292"/>
      <c r="D607" s="292" t="str">
        <f>IFERROR(__xludf.DUMMYFUNCTION("""COMPUTED_VALUE"""),"")</f>
        <v/>
      </c>
      <c r="E607" s="292" t="str">
        <f>IFERROR(__xludf.DUMMYFUNCTION("""COMPUTED_VALUE"""),"")</f>
        <v/>
      </c>
      <c r="F607" s="292"/>
      <c r="G607" s="292" t="str">
        <f>IFERROR(__xludf.DUMMYFUNCTION("""COMPUTED_VALUE"""),"")</f>
        <v/>
      </c>
      <c r="H607" s="292" t="str">
        <f>IFERROR(__xludf.DUMMYFUNCTION("""COMPUTED_VALUE"""),"")</f>
        <v/>
      </c>
      <c r="I607" s="292"/>
      <c r="J607" s="292"/>
      <c r="K607" s="292"/>
      <c r="L607" s="292"/>
      <c r="M607" s="292" t="str">
        <f>IFERROR(__xludf.DUMMYFUNCTION("""COMPUTED_VALUE"""),"")</f>
        <v/>
      </c>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c r="AK607" s="292"/>
      <c r="AL607" s="292"/>
      <c r="AM607" s="292"/>
      <c r="AN607" s="292"/>
      <c r="AO607" s="292"/>
      <c r="AP607" s="292"/>
      <c r="AQ607" s="292"/>
      <c r="AR607" s="292"/>
      <c r="AS607" s="292"/>
      <c r="AT607" s="292"/>
      <c r="AU607" s="292"/>
      <c r="AV607" s="292"/>
      <c r="AW607" s="292"/>
      <c r="AX607" s="292"/>
      <c r="AY607" s="292"/>
      <c r="AZ607" s="292"/>
      <c r="BA607" s="292"/>
      <c r="BB607" s="292"/>
      <c r="BC607" s="292"/>
      <c r="BD607" s="292"/>
      <c r="BE607" s="292"/>
      <c r="BF607" s="292"/>
      <c r="BG607" s="292"/>
      <c r="BH607" s="292"/>
      <c r="BI607" s="292"/>
      <c r="BJ607" s="292"/>
      <c r="BK607" s="292"/>
      <c r="BL607" s="292"/>
      <c r="BM607" s="292"/>
      <c r="BN607" s="292"/>
      <c r="BO607" s="292"/>
      <c r="BP607" s="292"/>
      <c r="BQ607" s="292"/>
      <c r="BR607" s="292"/>
      <c r="BS607" s="292"/>
      <c r="BT607" s="292"/>
      <c r="BU607" s="292"/>
      <c r="BV607" s="292"/>
      <c r="BW607" s="292"/>
    </row>
    <row r="608">
      <c r="A608" s="292"/>
      <c r="B608" s="292" t="str">
        <f>IFERROR(__xludf.DUMMYFUNCTION("""COMPUTED_VALUE"""),"")</f>
        <v/>
      </c>
      <c r="C608" s="292"/>
      <c r="D608" s="292" t="str">
        <f>IFERROR(__xludf.DUMMYFUNCTION("""COMPUTED_VALUE"""),"")</f>
        <v/>
      </c>
      <c r="E608" s="292" t="str">
        <f>IFERROR(__xludf.DUMMYFUNCTION("""COMPUTED_VALUE"""),"")</f>
        <v/>
      </c>
      <c r="F608" s="292"/>
      <c r="G608" s="292" t="str">
        <f>IFERROR(__xludf.DUMMYFUNCTION("""COMPUTED_VALUE"""),"")</f>
        <v/>
      </c>
      <c r="H608" s="292" t="str">
        <f>IFERROR(__xludf.DUMMYFUNCTION("""COMPUTED_VALUE"""),"")</f>
        <v/>
      </c>
      <c r="I608" s="292"/>
      <c r="J608" s="292"/>
      <c r="K608" s="292"/>
      <c r="L608" s="292"/>
      <c r="M608" s="292" t="str">
        <f>IFERROR(__xludf.DUMMYFUNCTION("""COMPUTED_VALUE"""),"")</f>
        <v/>
      </c>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c r="AK608" s="292"/>
      <c r="AL608" s="292"/>
      <c r="AM608" s="292"/>
      <c r="AN608" s="292"/>
      <c r="AO608" s="292"/>
      <c r="AP608" s="292"/>
      <c r="AQ608" s="292"/>
      <c r="AR608" s="292"/>
      <c r="AS608" s="292"/>
      <c r="AT608" s="292"/>
      <c r="AU608" s="292"/>
      <c r="AV608" s="292"/>
      <c r="AW608" s="292"/>
      <c r="AX608" s="292"/>
      <c r="AY608" s="292"/>
      <c r="AZ608" s="292"/>
      <c r="BA608" s="292"/>
      <c r="BB608" s="292"/>
      <c r="BC608" s="292"/>
      <c r="BD608" s="292"/>
      <c r="BE608" s="292"/>
      <c r="BF608" s="292"/>
      <c r="BG608" s="292"/>
      <c r="BH608" s="292"/>
      <c r="BI608" s="292"/>
      <c r="BJ608" s="292"/>
      <c r="BK608" s="292"/>
      <c r="BL608" s="292"/>
      <c r="BM608" s="292"/>
      <c r="BN608" s="292"/>
      <c r="BO608" s="292"/>
      <c r="BP608" s="292"/>
      <c r="BQ608" s="292"/>
      <c r="BR608" s="292"/>
      <c r="BS608" s="292"/>
      <c r="BT608" s="292"/>
      <c r="BU608" s="292"/>
      <c r="BV608" s="292"/>
      <c r="BW608" s="292"/>
    </row>
    <row r="609">
      <c r="A609" s="292"/>
      <c r="B609" s="292" t="str">
        <f>IFERROR(__xludf.DUMMYFUNCTION("""COMPUTED_VALUE"""),"")</f>
        <v/>
      </c>
      <c r="C609" s="292"/>
      <c r="D609" s="292" t="str">
        <f>IFERROR(__xludf.DUMMYFUNCTION("""COMPUTED_VALUE"""),"")</f>
        <v/>
      </c>
      <c r="E609" s="292" t="str">
        <f>IFERROR(__xludf.DUMMYFUNCTION("""COMPUTED_VALUE"""),"")</f>
        <v/>
      </c>
      <c r="F609" s="292"/>
      <c r="G609" s="292" t="str">
        <f>IFERROR(__xludf.DUMMYFUNCTION("""COMPUTED_VALUE"""),"")</f>
        <v/>
      </c>
      <c r="H609" s="292" t="str">
        <f>IFERROR(__xludf.DUMMYFUNCTION("""COMPUTED_VALUE"""),"")</f>
        <v/>
      </c>
      <c r="I609" s="292"/>
      <c r="J609" s="292"/>
      <c r="K609" s="292"/>
      <c r="L609" s="292"/>
      <c r="M609" s="292" t="str">
        <f>IFERROR(__xludf.DUMMYFUNCTION("""COMPUTED_VALUE"""),"")</f>
        <v/>
      </c>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c r="AK609" s="292"/>
      <c r="AL609" s="292"/>
      <c r="AM609" s="292"/>
      <c r="AN609" s="292"/>
      <c r="AO609" s="292"/>
      <c r="AP609" s="292"/>
      <c r="AQ609" s="292"/>
      <c r="AR609" s="292"/>
      <c r="AS609" s="292"/>
      <c r="AT609" s="292"/>
      <c r="AU609" s="292"/>
      <c r="AV609" s="292"/>
      <c r="AW609" s="292"/>
      <c r="AX609" s="292"/>
      <c r="AY609" s="292"/>
      <c r="AZ609" s="292"/>
      <c r="BA609" s="292"/>
      <c r="BB609" s="292"/>
      <c r="BC609" s="292"/>
      <c r="BD609" s="292"/>
      <c r="BE609" s="292"/>
      <c r="BF609" s="292"/>
      <c r="BG609" s="292"/>
      <c r="BH609" s="292"/>
      <c r="BI609" s="292"/>
      <c r="BJ609" s="292"/>
      <c r="BK609" s="292"/>
      <c r="BL609" s="292"/>
      <c r="BM609" s="292"/>
      <c r="BN609" s="292"/>
      <c r="BO609" s="292"/>
      <c r="BP609" s="292"/>
      <c r="BQ609" s="292"/>
      <c r="BR609" s="292"/>
      <c r="BS609" s="292"/>
      <c r="BT609" s="292"/>
      <c r="BU609" s="292"/>
      <c r="BV609" s="292"/>
      <c r="BW609" s="292"/>
    </row>
    <row r="610">
      <c r="A610" s="292"/>
      <c r="B610" s="292" t="str">
        <f>IFERROR(__xludf.DUMMYFUNCTION("""COMPUTED_VALUE"""),"")</f>
        <v/>
      </c>
      <c r="C610" s="292"/>
      <c r="D610" s="292" t="str">
        <f>IFERROR(__xludf.DUMMYFUNCTION("""COMPUTED_VALUE"""),"")</f>
        <v/>
      </c>
      <c r="E610" s="292" t="str">
        <f>IFERROR(__xludf.DUMMYFUNCTION("""COMPUTED_VALUE"""),"")</f>
        <v/>
      </c>
      <c r="F610" s="292"/>
      <c r="G610" s="292" t="str">
        <f>IFERROR(__xludf.DUMMYFUNCTION("""COMPUTED_VALUE"""),"")</f>
        <v/>
      </c>
      <c r="H610" s="292" t="str">
        <f>IFERROR(__xludf.DUMMYFUNCTION("""COMPUTED_VALUE"""),"")</f>
        <v/>
      </c>
      <c r="I610" s="292"/>
      <c r="J610" s="292"/>
      <c r="K610" s="292"/>
      <c r="L610" s="292"/>
      <c r="M610" s="292" t="str">
        <f>IFERROR(__xludf.DUMMYFUNCTION("""COMPUTED_VALUE"""),"")</f>
        <v/>
      </c>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c r="AK610" s="292"/>
      <c r="AL610" s="292"/>
      <c r="AM610" s="292"/>
      <c r="AN610" s="292"/>
      <c r="AO610" s="292"/>
      <c r="AP610" s="292"/>
      <c r="AQ610" s="292"/>
      <c r="AR610" s="292"/>
      <c r="AS610" s="292"/>
      <c r="AT610" s="292"/>
      <c r="AU610" s="292"/>
      <c r="AV610" s="292"/>
      <c r="AW610" s="292"/>
      <c r="AX610" s="292"/>
      <c r="AY610" s="292"/>
      <c r="AZ610" s="292"/>
      <c r="BA610" s="292"/>
      <c r="BB610" s="292"/>
      <c r="BC610" s="292"/>
      <c r="BD610" s="292"/>
      <c r="BE610" s="292"/>
      <c r="BF610" s="292"/>
      <c r="BG610" s="292"/>
      <c r="BH610" s="292"/>
      <c r="BI610" s="292"/>
      <c r="BJ610" s="292"/>
      <c r="BK610" s="292"/>
      <c r="BL610" s="292"/>
      <c r="BM610" s="292"/>
      <c r="BN610" s="292"/>
      <c r="BO610" s="292"/>
      <c r="BP610" s="292"/>
      <c r="BQ610" s="292"/>
      <c r="BR610" s="292"/>
      <c r="BS610" s="292"/>
      <c r="BT610" s="292"/>
      <c r="BU610" s="292"/>
      <c r="BV610" s="292"/>
      <c r="BW610" s="292"/>
    </row>
    <row r="611">
      <c r="A611" s="292"/>
      <c r="B611" s="292" t="str">
        <f>IFERROR(__xludf.DUMMYFUNCTION("""COMPUTED_VALUE"""),"")</f>
        <v/>
      </c>
      <c r="C611" s="292"/>
      <c r="D611" s="292" t="str">
        <f>IFERROR(__xludf.DUMMYFUNCTION("""COMPUTED_VALUE"""),"")</f>
        <v/>
      </c>
      <c r="E611" s="292" t="str">
        <f>IFERROR(__xludf.DUMMYFUNCTION("""COMPUTED_VALUE"""),"")</f>
        <v/>
      </c>
      <c r="F611" s="292"/>
      <c r="G611" s="292" t="str">
        <f>IFERROR(__xludf.DUMMYFUNCTION("""COMPUTED_VALUE"""),"")</f>
        <v/>
      </c>
      <c r="H611" s="292" t="str">
        <f>IFERROR(__xludf.DUMMYFUNCTION("""COMPUTED_VALUE"""),"")</f>
        <v/>
      </c>
      <c r="I611" s="292"/>
      <c r="J611" s="292"/>
      <c r="K611" s="292"/>
      <c r="L611" s="292"/>
      <c r="M611" s="292" t="str">
        <f>IFERROR(__xludf.DUMMYFUNCTION("""COMPUTED_VALUE"""),"")</f>
        <v/>
      </c>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c r="AK611" s="292"/>
      <c r="AL611" s="292"/>
      <c r="AM611" s="292"/>
      <c r="AN611" s="292"/>
      <c r="AO611" s="292"/>
      <c r="AP611" s="292"/>
      <c r="AQ611" s="292"/>
      <c r="AR611" s="292"/>
      <c r="AS611" s="292"/>
      <c r="AT611" s="292"/>
      <c r="AU611" s="292"/>
      <c r="AV611" s="292"/>
      <c r="AW611" s="292"/>
      <c r="AX611" s="292"/>
      <c r="AY611" s="292"/>
      <c r="AZ611" s="292"/>
      <c r="BA611" s="292"/>
      <c r="BB611" s="292"/>
      <c r="BC611" s="292"/>
      <c r="BD611" s="292"/>
      <c r="BE611" s="292"/>
      <c r="BF611" s="292"/>
      <c r="BG611" s="292"/>
      <c r="BH611" s="292"/>
      <c r="BI611" s="292"/>
      <c r="BJ611" s="292"/>
      <c r="BK611" s="292"/>
      <c r="BL611" s="292"/>
      <c r="BM611" s="292"/>
      <c r="BN611" s="292"/>
      <c r="BO611" s="292"/>
      <c r="BP611" s="292"/>
      <c r="BQ611" s="292"/>
      <c r="BR611" s="292"/>
      <c r="BS611" s="292"/>
      <c r="BT611" s="292"/>
      <c r="BU611" s="292"/>
      <c r="BV611" s="292"/>
      <c r="BW611" s="292"/>
    </row>
    <row r="612">
      <c r="A612" s="292"/>
      <c r="B612" s="292" t="str">
        <f>IFERROR(__xludf.DUMMYFUNCTION("""COMPUTED_VALUE"""),"")</f>
        <v/>
      </c>
      <c r="C612" s="292"/>
      <c r="D612" s="292" t="str">
        <f>IFERROR(__xludf.DUMMYFUNCTION("""COMPUTED_VALUE"""),"")</f>
        <v/>
      </c>
      <c r="E612" s="292" t="str">
        <f>IFERROR(__xludf.DUMMYFUNCTION("""COMPUTED_VALUE"""),"")</f>
        <v/>
      </c>
      <c r="F612" s="292"/>
      <c r="G612" s="292" t="str">
        <f>IFERROR(__xludf.DUMMYFUNCTION("""COMPUTED_VALUE"""),"")</f>
        <v/>
      </c>
      <c r="H612" s="292" t="str">
        <f>IFERROR(__xludf.DUMMYFUNCTION("""COMPUTED_VALUE"""),"")</f>
        <v/>
      </c>
      <c r="I612" s="292"/>
      <c r="J612" s="292"/>
      <c r="K612" s="292"/>
      <c r="L612" s="292"/>
      <c r="M612" s="292" t="str">
        <f>IFERROR(__xludf.DUMMYFUNCTION("""COMPUTED_VALUE"""),"")</f>
        <v/>
      </c>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c r="AK612" s="292"/>
      <c r="AL612" s="292"/>
      <c r="AM612" s="292"/>
      <c r="AN612" s="292"/>
      <c r="AO612" s="292"/>
      <c r="AP612" s="292"/>
      <c r="AQ612" s="292"/>
      <c r="AR612" s="292"/>
      <c r="AS612" s="292"/>
      <c r="AT612" s="292"/>
      <c r="AU612" s="292"/>
      <c r="AV612" s="292"/>
      <c r="AW612" s="292"/>
      <c r="AX612" s="292"/>
      <c r="AY612" s="292"/>
      <c r="AZ612" s="292"/>
      <c r="BA612" s="292"/>
      <c r="BB612" s="292"/>
      <c r="BC612" s="292"/>
      <c r="BD612" s="292"/>
      <c r="BE612" s="292"/>
      <c r="BF612" s="292"/>
      <c r="BG612" s="292"/>
      <c r="BH612" s="292"/>
      <c r="BI612" s="292"/>
      <c r="BJ612" s="292"/>
      <c r="BK612" s="292"/>
      <c r="BL612" s="292"/>
      <c r="BM612" s="292"/>
      <c r="BN612" s="292"/>
      <c r="BO612" s="292"/>
      <c r="BP612" s="292"/>
      <c r="BQ612" s="292"/>
      <c r="BR612" s="292"/>
      <c r="BS612" s="292"/>
      <c r="BT612" s="292"/>
      <c r="BU612" s="292"/>
      <c r="BV612" s="292"/>
      <c r="BW612" s="292"/>
    </row>
    <row r="613">
      <c r="A613" s="292"/>
      <c r="B613" s="292" t="str">
        <f>IFERROR(__xludf.DUMMYFUNCTION("""COMPUTED_VALUE"""),"")</f>
        <v/>
      </c>
      <c r="C613" s="292"/>
      <c r="D613" s="292" t="str">
        <f>IFERROR(__xludf.DUMMYFUNCTION("""COMPUTED_VALUE"""),"")</f>
        <v/>
      </c>
      <c r="E613" s="292" t="str">
        <f>IFERROR(__xludf.DUMMYFUNCTION("""COMPUTED_VALUE"""),"")</f>
        <v/>
      </c>
      <c r="F613" s="292"/>
      <c r="G613" s="292" t="str">
        <f>IFERROR(__xludf.DUMMYFUNCTION("""COMPUTED_VALUE"""),"")</f>
        <v/>
      </c>
      <c r="H613" s="292" t="str">
        <f>IFERROR(__xludf.DUMMYFUNCTION("""COMPUTED_VALUE"""),"")</f>
        <v/>
      </c>
      <c r="I613" s="292"/>
      <c r="J613" s="292"/>
      <c r="K613" s="292"/>
      <c r="L613" s="292"/>
      <c r="M613" s="292" t="str">
        <f>IFERROR(__xludf.DUMMYFUNCTION("""COMPUTED_VALUE"""),"")</f>
        <v/>
      </c>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c r="AK613" s="292"/>
      <c r="AL613" s="292"/>
      <c r="AM613" s="292"/>
      <c r="AN613" s="292"/>
      <c r="AO613" s="292"/>
      <c r="AP613" s="292"/>
      <c r="AQ613" s="292"/>
      <c r="AR613" s="292"/>
      <c r="AS613" s="292"/>
      <c r="AT613" s="292"/>
      <c r="AU613" s="292"/>
      <c r="AV613" s="292"/>
      <c r="AW613" s="292"/>
      <c r="AX613" s="292"/>
      <c r="AY613" s="292"/>
      <c r="AZ613" s="292"/>
      <c r="BA613" s="292"/>
      <c r="BB613" s="292"/>
      <c r="BC613" s="292"/>
      <c r="BD613" s="292"/>
      <c r="BE613" s="292"/>
      <c r="BF613" s="292"/>
      <c r="BG613" s="292"/>
      <c r="BH613" s="292"/>
      <c r="BI613" s="292"/>
      <c r="BJ613" s="292"/>
      <c r="BK613" s="292"/>
      <c r="BL613" s="292"/>
      <c r="BM613" s="292"/>
      <c r="BN613" s="292"/>
      <c r="BO613" s="292"/>
      <c r="BP613" s="292"/>
      <c r="BQ613" s="292"/>
      <c r="BR613" s="292"/>
      <c r="BS613" s="292"/>
      <c r="BT613" s="292"/>
      <c r="BU613" s="292"/>
      <c r="BV613" s="292"/>
      <c r="BW613" s="292"/>
    </row>
    <row r="614">
      <c r="A614" s="292"/>
      <c r="B614" s="292" t="str">
        <f>IFERROR(__xludf.DUMMYFUNCTION("""COMPUTED_VALUE"""),"")</f>
        <v/>
      </c>
      <c r="C614" s="292"/>
      <c r="D614" s="292" t="str">
        <f>IFERROR(__xludf.DUMMYFUNCTION("""COMPUTED_VALUE"""),"")</f>
        <v/>
      </c>
      <c r="E614" s="292" t="str">
        <f>IFERROR(__xludf.DUMMYFUNCTION("""COMPUTED_VALUE"""),"")</f>
        <v/>
      </c>
      <c r="F614" s="292"/>
      <c r="G614" s="292" t="str">
        <f>IFERROR(__xludf.DUMMYFUNCTION("""COMPUTED_VALUE"""),"")</f>
        <v/>
      </c>
      <c r="H614" s="292" t="str">
        <f>IFERROR(__xludf.DUMMYFUNCTION("""COMPUTED_VALUE"""),"")</f>
        <v/>
      </c>
      <c r="I614" s="292"/>
      <c r="J614" s="292"/>
      <c r="K614" s="292"/>
      <c r="L614" s="292"/>
      <c r="M614" s="292" t="str">
        <f>IFERROR(__xludf.DUMMYFUNCTION("""COMPUTED_VALUE"""),"")</f>
        <v/>
      </c>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c r="AK614" s="292"/>
      <c r="AL614" s="292"/>
      <c r="AM614" s="292"/>
      <c r="AN614" s="292"/>
      <c r="AO614" s="292"/>
      <c r="AP614" s="292"/>
      <c r="AQ614" s="292"/>
      <c r="AR614" s="292"/>
      <c r="AS614" s="292"/>
      <c r="AT614" s="292"/>
      <c r="AU614" s="292"/>
      <c r="AV614" s="292"/>
      <c r="AW614" s="292"/>
      <c r="AX614" s="292"/>
      <c r="AY614" s="292"/>
      <c r="AZ614" s="292"/>
      <c r="BA614" s="292"/>
      <c r="BB614" s="292"/>
      <c r="BC614" s="292"/>
      <c r="BD614" s="292"/>
      <c r="BE614" s="292"/>
      <c r="BF614" s="292"/>
      <c r="BG614" s="292"/>
      <c r="BH614" s="292"/>
      <c r="BI614" s="292"/>
      <c r="BJ614" s="292"/>
      <c r="BK614" s="292"/>
      <c r="BL614" s="292"/>
      <c r="BM614" s="292"/>
      <c r="BN614" s="292"/>
      <c r="BO614" s="292"/>
      <c r="BP614" s="292"/>
      <c r="BQ614" s="292"/>
      <c r="BR614" s="292"/>
      <c r="BS614" s="292"/>
      <c r="BT614" s="292"/>
      <c r="BU614" s="292"/>
      <c r="BV614" s="292"/>
      <c r="BW614" s="292"/>
    </row>
    <row r="615">
      <c r="A615" s="292"/>
      <c r="B615" s="292" t="str">
        <f>IFERROR(__xludf.DUMMYFUNCTION("""COMPUTED_VALUE"""),"")</f>
        <v/>
      </c>
      <c r="C615" s="292"/>
      <c r="D615" s="292" t="str">
        <f>IFERROR(__xludf.DUMMYFUNCTION("""COMPUTED_VALUE"""),"")</f>
        <v/>
      </c>
      <c r="E615" s="292" t="str">
        <f>IFERROR(__xludf.DUMMYFUNCTION("""COMPUTED_VALUE"""),"")</f>
        <v/>
      </c>
      <c r="F615" s="292"/>
      <c r="G615" s="292" t="str">
        <f>IFERROR(__xludf.DUMMYFUNCTION("""COMPUTED_VALUE"""),"")</f>
        <v/>
      </c>
      <c r="H615" s="292" t="str">
        <f>IFERROR(__xludf.DUMMYFUNCTION("""COMPUTED_VALUE"""),"")</f>
        <v/>
      </c>
      <c r="I615" s="292"/>
      <c r="J615" s="292"/>
      <c r="K615" s="292"/>
      <c r="L615" s="292"/>
      <c r="M615" s="292" t="str">
        <f>IFERROR(__xludf.DUMMYFUNCTION("""COMPUTED_VALUE"""),"")</f>
        <v/>
      </c>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c r="AK615" s="292"/>
      <c r="AL615" s="292"/>
      <c r="AM615" s="292"/>
      <c r="AN615" s="292"/>
      <c r="AO615" s="292"/>
      <c r="AP615" s="292"/>
      <c r="AQ615" s="292"/>
      <c r="AR615" s="292"/>
      <c r="AS615" s="292"/>
      <c r="AT615" s="292"/>
      <c r="AU615" s="292"/>
      <c r="AV615" s="292"/>
      <c r="AW615" s="292"/>
      <c r="AX615" s="292"/>
      <c r="AY615" s="292"/>
      <c r="AZ615" s="292"/>
      <c r="BA615" s="292"/>
      <c r="BB615" s="292"/>
      <c r="BC615" s="292"/>
      <c r="BD615" s="292"/>
      <c r="BE615" s="292"/>
      <c r="BF615" s="292"/>
      <c r="BG615" s="292"/>
      <c r="BH615" s="292"/>
      <c r="BI615" s="292"/>
      <c r="BJ615" s="292"/>
      <c r="BK615" s="292"/>
      <c r="BL615" s="292"/>
      <c r="BM615" s="292"/>
      <c r="BN615" s="292"/>
      <c r="BO615" s="292"/>
      <c r="BP615" s="292"/>
      <c r="BQ615" s="292"/>
      <c r="BR615" s="292"/>
      <c r="BS615" s="292"/>
      <c r="BT615" s="292"/>
      <c r="BU615" s="292"/>
      <c r="BV615" s="292"/>
      <c r="BW615" s="292"/>
    </row>
    <row r="616">
      <c r="A616" s="292"/>
      <c r="B616" s="292" t="str">
        <f>IFERROR(__xludf.DUMMYFUNCTION("""COMPUTED_VALUE"""),"")</f>
        <v/>
      </c>
      <c r="C616" s="292"/>
      <c r="D616" s="292" t="str">
        <f>IFERROR(__xludf.DUMMYFUNCTION("""COMPUTED_VALUE"""),"")</f>
        <v/>
      </c>
      <c r="E616" s="292" t="str">
        <f>IFERROR(__xludf.DUMMYFUNCTION("""COMPUTED_VALUE"""),"")</f>
        <v/>
      </c>
      <c r="F616" s="292"/>
      <c r="G616" s="292" t="str">
        <f>IFERROR(__xludf.DUMMYFUNCTION("""COMPUTED_VALUE"""),"")</f>
        <v/>
      </c>
      <c r="H616" s="292" t="str">
        <f>IFERROR(__xludf.DUMMYFUNCTION("""COMPUTED_VALUE"""),"")</f>
        <v/>
      </c>
      <c r="I616" s="292"/>
      <c r="J616" s="292"/>
      <c r="K616" s="292"/>
      <c r="L616" s="292"/>
      <c r="M616" s="292" t="str">
        <f>IFERROR(__xludf.DUMMYFUNCTION("""COMPUTED_VALUE"""),"")</f>
        <v/>
      </c>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c r="AK616" s="292"/>
      <c r="AL616" s="292"/>
      <c r="AM616" s="292"/>
      <c r="AN616" s="292"/>
      <c r="AO616" s="292"/>
      <c r="AP616" s="292"/>
      <c r="AQ616" s="292"/>
      <c r="AR616" s="292"/>
      <c r="AS616" s="292"/>
      <c r="AT616" s="292"/>
      <c r="AU616" s="292"/>
      <c r="AV616" s="292"/>
      <c r="AW616" s="292"/>
      <c r="AX616" s="292"/>
      <c r="AY616" s="292"/>
      <c r="AZ616" s="292"/>
      <c r="BA616" s="292"/>
      <c r="BB616" s="292"/>
      <c r="BC616" s="292"/>
      <c r="BD616" s="292"/>
      <c r="BE616" s="292"/>
      <c r="BF616" s="292"/>
      <c r="BG616" s="292"/>
      <c r="BH616" s="292"/>
      <c r="BI616" s="292"/>
      <c r="BJ616" s="292"/>
      <c r="BK616" s="292"/>
      <c r="BL616" s="292"/>
      <c r="BM616" s="292"/>
      <c r="BN616" s="292"/>
      <c r="BO616" s="292"/>
      <c r="BP616" s="292"/>
      <c r="BQ616" s="292"/>
      <c r="BR616" s="292"/>
      <c r="BS616" s="292"/>
      <c r="BT616" s="292"/>
      <c r="BU616" s="292"/>
      <c r="BV616" s="292"/>
      <c r="BW616" s="292"/>
    </row>
    <row r="617">
      <c r="A617" s="292"/>
      <c r="B617" s="292" t="str">
        <f>IFERROR(__xludf.DUMMYFUNCTION("""COMPUTED_VALUE"""),"")</f>
        <v/>
      </c>
      <c r="C617" s="292"/>
      <c r="D617" s="292" t="str">
        <f>IFERROR(__xludf.DUMMYFUNCTION("""COMPUTED_VALUE"""),"")</f>
        <v/>
      </c>
      <c r="E617" s="292" t="str">
        <f>IFERROR(__xludf.DUMMYFUNCTION("""COMPUTED_VALUE"""),"")</f>
        <v/>
      </c>
      <c r="F617" s="292"/>
      <c r="G617" s="292" t="str">
        <f>IFERROR(__xludf.DUMMYFUNCTION("""COMPUTED_VALUE"""),"")</f>
        <v/>
      </c>
      <c r="H617" s="292" t="str">
        <f>IFERROR(__xludf.DUMMYFUNCTION("""COMPUTED_VALUE"""),"")</f>
        <v/>
      </c>
      <c r="I617" s="292"/>
      <c r="J617" s="292"/>
      <c r="K617" s="292"/>
      <c r="L617" s="292"/>
      <c r="M617" s="292" t="str">
        <f>IFERROR(__xludf.DUMMYFUNCTION("""COMPUTED_VALUE"""),"")</f>
        <v/>
      </c>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c r="AK617" s="292"/>
      <c r="AL617" s="292"/>
      <c r="AM617" s="292"/>
      <c r="AN617" s="292"/>
      <c r="AO617" s="292"/>
      <c r="AP617" s="292"/>
      <c r="AQ617" s="292"/>
      <c r="AR617" s="292"/>
      <c r="AS617" s="292"/>
      <c r="AT617" s="292"/>
      <c r="AU617" s="292"/>
      <c r="AV617" s="292"/>
      <c r="AW617" s="292"/>
      <c r="AX617" s="292"/>
      <c r="AY617" s="292"/>
      <c r="AZ617" s="292"/>
      <c r="BA617" s="292"/>
      <c r="BB617" s="292"/>
      <c r="BC617" s="292"/>
      <c r="BD617" s="292"/>
      <c r="BE617" s="292"/>
      <c r="BF617" s="292"/>
      <c r="BG617" s="292"/>
      <c r="BH617" s="292"/>
      <c r="BI617" s="292"/>
      <c r="BJ617" s="292"/>
      <c r="BK617" s="292"/>
      <c r="BL617" s="292"/>
      <c r="BM617" s="292"/>
      <c r="BN617" s="292"/>
      <c r="BO617" s="292"/>
      <c r="BP617" s="292"/>
      <c r="BQ617" s="292"/>
      <c r="BR617" s="292"/>
      <c r="BS617" s="292"/>
      <c r="BT617" s="292"/>
      <c r="BU617" s="292"/>
      <c r="BV617" s="292"/>
      <c r="BW617" s="292"/>
    </row>
    <row r="618">
      <c r="A618" s="292"/>
      <c r="B618" s="292" t="str">
        <f>IFERROR(__xludf.DUMMYFUNCTION("""COMPUTED_VALUE"""),"")</f>
        <v/>
      </c>
      <c r="C618" s="292"/>
      <c r="D618" s="292" t="str">
        <f>IFERROR(__xludf.DUMMYFUNCTION("""COMPUTED_VALUE"""),"")</f>
        <v/>
      </c>
      <c r="E618" s="292" t="str">
        <f>IFERROR(__xludf.DUMMYFUNCTION("""COMPUTED_VALUE"""),"")</f>
        <v/>
      </c>
      <c r="F618" s="292"/>
      <c r="G618" s="292" t="str">
        <f>IFERROR(__xludf.DUMMYFUNCTION("""COMPUTED_VALUE"""),"")</f>
        <v/>
      </c>
      <c r="H618" s="292" t="str">
        <f>IFERROR(__xludf.DUMMYFUNCTION("""COMPUTED_VALUE"""),"")</f>
        <v/>
      </c>
      <c r="I618" s="292"/>
      <c r="J618" s="292"/>
      <c r="K618" s="292"/>
      <c r="L618" s="292"/>
      <c r="M618" s="292" t="str">
        <f>IFERROR(__xludf.DUMMYFUNCTION("""COMPUTED_VALUE"""),"")</f>
        <v/>
      </c>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c r="AK618" s="292"/>
      <c r="AL618" s="292"/>
      <c r="AM618" s="292"/>
      <c r="AN618" s="292"/>
      <c r="AO618" s="292"/>
      <c r="AP618" s="292"/>
      <c r="AQ618" s="292"/>
      <c r="AR618" s="292"/>
      <c r="AS618" s="292"/>
      <c r="AT618" s="292"/>
      <c r="AU618" s="292"/>
      <c r="AV618" s="292"/>
      <c r="AW618" s="292"/>
      <c r="AX618" s="292"/>
      <c r="AY618" s="292"/>
      <c r="AZ618" s="292"/>
      <c r="BA618" s="292"/>
      <c r="BB618" s="292"/>
      <c r="BC618" s="292"/>
      <c r="BD618" s="292"/>
      <c r="BE618" s="292"/>
      <c r="BF618" s="292"/>
      <c r="BG618" s="292"/>
      <c r="BH618" s="292"/>
      <c r="BI618" s="292"/>
      <c r="BJ618" s="292"/>
      <c r="BK618" s="292"/>
      <c r="BL618" s="292"/>
      <c r="BM618" s="292"/>
      <c r="BN618" s="292"/>
      <c r="BO618" s="292"/>
      <c r="BP618" s="292"/>
      <c r="BQ618" s="292"/>
      <c r="BR618" s="292"/>
      <c r="BS618" s="292"/>
      <c r="BT618" s="292"/>
      <c r="BU618" s="292"/>
      <c r="BV618" s="292"/>
      <c r="BW618" s="292"/>
    </row>
    <row r="619">
      <c r="A619" s="292"/>
      <c r="B619" s="292" t="str">
        <f>IFERROR(__xludf.DUMMYFUNCTION("""COMPUTED_VALUE"""),"")</f>
        <v/>
      </c>
      <c r="C619" s="292"/>
      <c r="D619" s="292" t="str">
        <f>IFERROR(__xludf.DUMMYFUNCTION("""COMPUTED_VALUE"""),"")</f>
        <v/>
      </c>
      <c r="E619" s="292" t="str">
        <f>IFERROR(__xludf.DUMMYFUNCTION("""COMPUTED_VALUE"""),"")</f>
        <v/>
      </c>
      <c r="F619" s="292"/>
      <c r="G619" s="292" t="str">
        <f>IFERROR(__xludf.DUMMYFUNCTION("""COMPUTED_VALUE"""),"")</f>
        <v/>
      </c>
      <c r="H619" s="292" t="str">
        <f>IFERROR(__xludf.DUMMYFUNCTION("""COMPUTED_VALUE"""),"")</f>
        <v/>
      </c>
      <c r="I619" s="292"/>
      <c r="J619" s="292"/>
      <c r="K619" s="292"/>
      <c r="L619" s="292"/>
      <c r="M619" s="292" t="str">
        <f>IFERROR(__xludf.DUMMYFUNCTION("""COMPUTED_VALUE"""),"")</f>
        <v/>
      </c>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c r="AK619" s="292"/>
      <c r="AL619" s="292"/>
      <c r="AM619" s="292"/>
      <c r="AN619" s="292"/>
      <c r="AO619" s="292"/>
      <c r="AP619" s="292"/>
      <c r="AQ619" s="292"/>
      <c r="AR619" s="292"/>
      <c r="AS619" s="292"/>
      <c r="AT619" s="292"/>
      <c r="AU619" s="292"/>
      <c r="AV619" s="292"/>
      <c r="AW619" s="292"/>
      <c r="AX619" s="292"/>
      <c r="AY619" s="292"/>
      <c r="AZ619" s="292"/>
      <c r="BA619" s="292"/>
      <c r="BB619" s="292"/>
      <c r="BC619" s="292"/>
      <c r="BD619" s="292"/>
      <c r="BE619" s="292"/>
      <c r="BF619" s="292"/>
      <c r="BG619" s="292"/>
      <c r="BH619" s="292"/>
      <c r="BI619" s="292"/>
      <c r="BJ619" s="292"/>
      <c r="BK619" s="292"/>
      <c r="BL619" s="292"/>
      <c r="BM619" s="292"/>
      <c r="BN619" s="292"/>
      <c r="BO619" s="292"/>
      <c r="BP619" s="292"/>
      <c r="BQ619" s="292"/>
      <c r="BR619" s="292"/>
      <c r="BS619" s="292"/>
      <c r="BT619" s="292"/>
      <c r="BU619" s="292"/>
      <c r="BV619" s="292"/>
      <c r="BW619" s="292"/>
    </row>
    <row r="620">
      <c r="A620" s="292"/>
      <c r="B620" s="292" t="str">
        <f>IFERROR(__xludf.DUMMYFUNCTION("""COMPUTED_VALUE"""),"")</f>
        <v/>
      </c>
      <c r="C620" s="292"/>
      <c r="D620" s="292" t="str">
        <f>IFERROR(__xludf.DUMMYFUNCTION("""COMPUTED_VALUE"""),"")</f>
        <v/>
      </c>
      <c r="E620" s="292" t="str">
        <f>IFERROR(__xludf.DUMMYFUNCTION("""COMPUTED_VALUE"""),"")</f>
        <v/>
      </c>
      <c r="F620" s="292"/>
      <c r="G620" s="292" t="str">
        <f>IFERROR(__xludf.DUMMYFUNCTION("""COMPUTED_VALUE"""),"")</f>
        <v/>
      </c>
      <c r="H620" s="292" t="str">
        <f>IFERROR(__xludf.DUMMYFUNCTION("""COMPUTED_VALUE"""),"")</f>
        <v/>
      </c>
      <c r="I620" s="292"/>
      <c r="J620" s="292"/>
      <c r="K620" s="292"/>
      <c r="L620" s="292"/>
      <c r="M620" s="292" t="str">
        <f>IFERROR(__xludf.DUMMYFUNCTION("""COMPUTED_VALUE"""),"")</f>
        <v/>
      </c>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c r="AK620" s="292"/>
      <c r="AL620" s="292"/>
      <c r="AM620" s="292"/>
      <c r="AN620" s="292"/>
      <c r="AO620" s="292"/>
      <c r="AP620" s="292"/>
      <c r="AQ620" s="292"/>
      <c r="AR620" s="292"/>
      <c r="AS620" s="292"/>
      <c r="AT620" s="292"/>
      <c r="AU620" s="292"/>
      <c r="AV620" s="292"/>
      <c r="AW620" s="292"/>
      <c r="AX620" s="292"/>
      <c r="AY620" s="292"/>
      <c r="AZ620" s="292"/>
      <c r="BA620" s="292"/>
      <c r="BB620" s="292"/>
      <c r="BC620" s="292"/>
      <c r="BD620" s="292"/>
      <c r="BE620" s="292"/>
      <c r="BF620" s="292"/>
      <c r="BG620" s="292"/>
      <c r="BH620" s="292"/>
      <c r="BI620" s="292"/>
      <c r="BJ620" s="292"/>
      <c r="BK620" s="292"/>
      <c r="BL620" s="292"/>
      <c r="BM620" s="292"/>
      <c r="BN620" s="292"/>
      <c r="BO620" s="292"/>
      <c r="BP620" s="292"/>
      <c r="BQ620" s="292"/>
      <c r="BR620" s="292"/>
      <c r="BS620" s="292"/>
      <c r="BT620" s="292"/>
      <c r="BU620" s="292"/>
      <c r="BV620" s="292"/>
      <c r="BW620" s="292"/>
    </row>
    <row r="621">
      <c r="A621" s="292"/>
      <c r="B621" s="292" t="str">
        <f>IFERROR(__xludf.DUMMYFUNCTION("""COMPUTED_VALUE"""),"")</f>
        <v/>
      </c>
      <c r="C621" s="292"/>
      <c r="D621" s="292" t="str">
        <f>IFERROR(__xludf.DUMMYFUNCTION("""COMPUTED_VALUE"""),"")</f>
        <v/>
      </c>
      <c r="E621" s="292" t="str">
        <f>IFERROR(__xludf.DUMMYFUNCTION("""COMPUTED_VALUE"""),"")</f>
        <v/>
      </c>
      <c r="F621" s="292"/>
      <c r="G621" s="292" t="str">
        <f>IFERROR(__xludf.DUMMYFUNCTION("""COMPUTED_VALUE"""),"")</f>
        <v/>
      </c>
      <c r="H621" s="292" t="str">
        <f>IFERROR(__xludf.DUMMYFUNCTION("""COMPUTED_VALUE"""),"")</f>
        <v/>
      </c>
      <c r="I621" s="292"/>
      <c r="J621" s="292"/>
      <c r="K621" s="292"/>
      <c r="L621" s="292"/>
      <c r="M621" s="292" t="str">
        <f>IFERROR(__xludf.DUMMYFUNCTION("""COMPUTED_VALUE"""),"")</f>
        <v/>
      </c>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c r="AK621" s="292"/>
      <c r="AL621" s="292"/>
      <c r="AM621" s="292"/>
      <c r="AN621" s="292"/>
      <c r="AO621" s="292"/>
      <c r="AP621" s="292"/>
      <c r="AQ621" s="292"/>
      <c r="AR621" s="292"/>
      <c r="AS621" s="292"/>
      <c r="AT621" s="292"/>
      <c r="AU621" s="292"/>
      <c r="AV621" s="292"/>
      <c r="AW621" s="292"/>
      <c r="AX621" s="292"/>
      <c r="AY621" s="292"/>
      <c r="AZ621" s="292"/>
      <c r="BA621" s="292"/>
      <c r="BB621" s="292"/>
      <c r="BC621" s="292"/>
      <c r="BD621" s="292"/>
      <c r="BE621" s="292"/>
      <c r="BF621" s="292"/>
      <c r="BG621" s="292"/>
      <c r="BH621" s="292"/>
      <c r="BI621" s="292"/>
      <c r="BJ621" s="292"/>
      <c r="BK621" s="292"/>
      <c r="BL621" s="292"/>
      <c r="BM621" s="292"/>
      <c r="BN621" s="292"/>
      <c r="BO621" s="292"/>
      <c r="BP621" s="292"/>
      <c r="BQ621" s="292"/>
      <c r="BR621" s="292"/>
      <c r="BS621" s="292"/>
      <c r="BT621" s="292"/>
      <c r="BU621" s="292"/>
      <c r="BV621" s="292"/>
      <c r="BW621" s="292"/>
    </row>
    <row r="622">
      <c r="A622" s="292"/>
      <c r="B622" s="292" t="str">
        <f>IFERROR(__xludf.DUMMYFUNCTION("""COMPUTED_VALUE"""),"")</f>
        <v/>
      </c>
      <c r="C622" s="292"/>
      <c r="D622" s="292" t="str">
        <f>IFERROR(__xludf.DUMMYFUNCTION("""COMPUTED_VALUE"""),"")</f>
        <v/>
      </c>
      <c r="E622" s="292" t="str">
        <f>IFERROR(__xludf.DUMMYFUNCTION("""COMPUTED_VALUE"""),"")</f>
        <v/>
      </c>
      <c r="F622" s="292"/>
      <c r="G622" s="292" t="str">
        <f>IFERROR(__xludf.DUMMYFUNCTION("""COMPUTED_VALUE"""),"")</f>
        <v/>
      </c>
      <c r="H622" s="292" t="str">
        <f>IFERROR(__xludf.DUMMYFUNCTION("""COMPUTED_VALUE"""),"")</f>
        <v/>
      </c>
      <c r="I622" s="292"/>
      <c r="J622" s="292"/>
      <c r="K622" s="292"/>
      <c r="L622" s="292"/>
      <c r="M622" s="292" t="str">
        <f>IFERROR(__xludf.DUMMYFUNCTION("""COMPUTED_VALUE"""),"")</f>
        <v/>
      </c>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c r="AK622" s="292"/>
      <c r="AL622" s="292"/>
      <c r="AM622" s="292"/>
      <c r="AN622" s="292"/>
      <c r="AO622" s="292"/>
      <c r="AP622" s="292"/>
      <c r="AQ622" s="292"/>
      <c r="AR622" s="292"/>
      <c r="AS622" s="292"/>
      <c r="AT622" s="292"/>
      <c r="AU622" s="292"/>
      <c r="AV622" s="292"/>
      <c r="AW622" s="292"/>
      <c r="AX622" s="292"/>
      <c r="AY622" s="292"/>
      <c r="AZ622" s="292"/>
      <c r="BA622" s="292"/>
      <c r="BB622" s="292"/>
      <c r="BC622" s="292"/>
      <c r="BD622" s="292"/>
      <c r="BE622" s="292"/>
      <c r="BF622" s="292"/>
      <c r="BG622" s="292"/>
      <c r="BH622" s="292"/>
      <c r="BI622" s="292"/>
      <c r="BJ622" s="292"/>
      <c r="BK622" s="292"/>
      <c r="BL622" s="292"/>
      <c r="BM622" s="292"/>
      <c r="BN622" s="292"/>
      <c r="BO622" s="292"/>
      <c r="BP622" s="292"/>
      <c r="BQ622" s="292"/>
      <c r="BR622" s="292"/>
      <c r="BS622" s="292"/>
      <c r="BT622" s="292"/>
      <c r="BU622" s="292"/>
      <c r="BV622" s="292"/>
      <c r="BW622" s="292"/>
    </row>
    <row r="623">
      <c r="A623" s="292"/>
      <c r="B623" s="292" t="str">
        <f>IFERROR(__xludf.DUMMYFUNCTION("""COMPUTED_VALUE"""),"")</f>
        <v/>
      </c>
      <c r="C623" s="292"/>
      <c r="D623" s="292" t="str">
        <f>IFERROR(__xludf.DUMMYFUNCTION("""COMPUTED_VALUE"""),"")</f>
        <v/>
      </c>
      <c r="E623" s="292" t="str">
        <f>IFERROR(__xludf.DUMMYFUNCTION("""COMPUTED_VALUE"""),"")</f>
        <v/>
      </c>
      <c r="F623" s="292"/>
      <c r="G623" s="292" t="str">
        <f>IFERROR(__xludf.DUMMYFUNCTION("""COMPUTED_VALUE"""),"")</f>
        <v/>
      </c>
      <c r="H623" s="292" t="str">
        <f>IFERROR(__xludf.DUMMYFUNCTION("""COMPUTED_VALUE"""),"")</f>
        <v/>
      </c>
      <c r="I623" s="292"/>
      <c r="J623" s="292"/>
      <c r="K623" s="292"/>
      <c r="L623" s="292"/>
      <c r="M623" s="292" t="str">
        <f>IFERROR(__xludf.DUMMYFUNCTION("""COMPUTED_VALUE"""),"")</f>
        <v/>
      </c>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c r="AK623" s="292"/>
      <c r="AL623" s="292"/>
      <c r="AM623" s="292"/>
      <c r="AN623" s="292"/>
      <c r="AO623" s="292"/>
      <c r="AP623" s="292"/>
      <c r="AQ623" s="292"/>
      <c r="AR623" s="292"/>
      <c r="AS623" s="292"/>
      <c r="AT623" s="292"/>
      <c r="AU623" s="292"/>
      <c r="AV623" s="292"/>
      <c r="AW623" s="292"/>
      <c r="AX623" s="292"/>
      <c r="AY623" s="292"/>
      <c r="AZ623" s="292"/>
      <c r="BA623" s="292"/>
      <c r="BB623" s="292"/>
      <c r="BC623" s="292"/>
      <c r="BD623" s="292"/>
      <c r="BE623" s="292"/>
      <c r="BF623" s="292"/>
      <c r="BG623" s="292"/>
      <c r="BH623" s="292"/>
      <c r="BI623" s="292"/>
      <c r="BJ623" s="292"/>
      <c r="BK623" s="292"/>
      <c r="BL623" s="292"/>
      <c r="BM623" s="292"/>
      <c r="BN623" s="292"/>
      <c r="BO623" s="292"/>
      <c r="BP623" s="292"/>
      <c r="BQ623" s="292"/>
      <c r="BR623" s="292"/>
      <c r="BS623" s="292"/>
      <c r="BT623" s="292"/>
      <c r="BU623" s="292"/>
      <c r="BV623" s="292"/>
      <c r="BW623" s="292"/>
    </row>
    <row r="624">
      <c r="A624" s="292"/>
      <c r="B624" s="292" t="str">
        <f>IFERROR(__xludf.DUMMYFUNCTION("""COMPUTED_VALUE"""),"")</f>
        <v/>
      </c>
      <c r="C624" s="292"/>
      <c r="D624" s="292" t="str">
        <f>IFERROR(__xludf.DUMMYFUNCTION("""COMPUTED_VALUE"""),"")</f>
        <v/>
      </c>
      <c r="E624" s="292" t="str">
        <f>IFERROR(__xludf.DUMMYFUNCTION("""COMPUTED_VALUE"""),"")</f>
        <v/>
      </c>
      <c r="F624" s="292"/>
      <c r="G624" s="292" t="str">
        <f>IFERROR(__xludf.DUMMYFUNCTION("""COMPUTED_VALUE"""),"")</f>
        <v/>
      </c>
      <c r="H624" s="292" t="str">
        <f>IFERROR(__xludf.DUMMYFUNCTION("""COMPUTED_VALUE"""),"")</f>
        <v/>
      </c>
      <c r="I624" s="292"/>
      <c r="J624" s="292"/>
      <c r="K624" s="292"/>
      <c r="L624" s="292"/>
      <c r="M624" s="292" t="str">
        <f>IFERROR(__xludf.DUMMYFUNCTION("""COMPUTED_VALUE"""),"")</f>
        <v/>
      </c>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c r="AK624" s="292"/>
      <c r="AL624" s="292"/>
      <c r="AM624" s="292"/>
      <c r="AN624" s="292"/>
      <c r="AO624" s="292"/>
      <c r="AP624" s="292"/>
      <c r="AQ624" s="292"/>
      <c r="AR624" s="292"/>
      <c r="AS624" s="292"/>
      <c r="AT624" s="292"/>
      <c r="AU624" s="292"/>
      <c r="AV624" s="292"/>
      <c r="AW624" s="292"/>
      <c r="AX624" s="292"/>
      <c r="AY624" s="292"/>
      <c r="AZ624" s="292"/>
      <c r="BA624" s="292"/>
      <c r="BB624" s="292"/>
      <c r="BC624" s="292"/>
      <c r="BD624" s="292"/>
      <c r="BE624" s="292"/>
      <c r="BF624" s="292"/>
      <c r="BG624" s="292"/>
      <c r="BH624" s="292"/>
      <c r="BI624" s="292"/>
      <c r="BJ624" s="292"/>
      <c r="BK624" s="292"/>
      <c r="BL624" s="292"/>
      <c r="BM624" s="292"/>
      <c r="BN624" s="292"/>
      <c r="BO624" s="292"/>
      <c r="BP624" s="292"/>
      <c r="BQ624" s="292"/>
      <c r="BR624" s="292"/>
      <c r="BS624" s="292"/>
      <c r="BT624" s="292"/>
      <c r="BU624" s="292"/>
      <c r="BV624" s="292"/>
      <c r="BW624" s="292"/>
    </row>
    <row r="625">
      <c r="A625" s="292"/>
      <c r="B625" s="292" t="str">
        <f>IFERROR(__xludf.DUMMYFUNCTION("""COMPUTED_VALUE"""),"")</f>
        <v/>
      </c>
      <c r="C625" s="292"/>
      <c r="D625" s="292" t="str">
        <f>IFERROR(__xludf.DUMMYFUNCTION("""COMPUTED_VALUE"""),"")</f>
        <v/>
      </c>
      <c r="E625" s="292" t="str">
        <f>IFERROR(__xludf.DUMMYFUNCTION("""COMPUTED_VALUE"""),"")</f>
        <v/>
      </c>
      <c r="F625" s="292"/>
      <c r="G625" s="292" t="str">
        <f>IFERROR(__xludf.DUMMYFUNCTION("""COMPUTED_VALUE"""),"")</f>
        <v/>
      </c>
      <c r="H625" s="292" t="str">
        <f>IFERROR(__xludf.DUMMYFUNCTION("""COMPUTED_VALUE"""),"")</f>
        <v/>
      </c>
      <c r="I625" s="292"/>
      <c r="J625" s="292"/>
      <c r="K625" s="292"/>
      <c r="L625" s="292"/>
      <c r="M625" s="292" t="str">
        <f>IFERROR(__xludf.DUMMYFUNCTION("""COMPUTED_VALUE"""),"")</f>
        <v/>
      </c>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c r="AK625" s="292"/>
      <c r="AL625" s="292"/>
      <c r="AM625" s="292"/>
      <c r="AN625" s="292"/>
      <c r="AO625" s="292"/>
      <c r="AP625" s="292"/>
      <c r="AQ625" s="292"/>
      <c r="AR625" s="292"/>
      <c r="AS625" s="292"/>
      <c r="AT625" s="292"/>
      <c r="AU625" s="292"/>
      <c r="AV625" s="292"/>
      <c r="AW625" s="292"/>
      <c r="AX625" s="292"/>
      <c r="AY625" s="292"/>
      <c r="AZ625" s="292"/>
      <c r="BA625" s="292"/>
      <c r="BB625" s="292"/>
      <c r="BC625" s="292"/>
      <c r="BD625" s="292"/>
      <c r="BE625" s="292"/>
      <c r="BF625" s="292"/>
      <c r="BG625" s="292"/>
      <c r="BH625" s="292"/>
      <c r="BI625" s="292"/>
      <c r="BJ625" s="292"/>
      <c r="BK625" s="292"/>
      <c r="BL625" s="292"/>
      <c r="BM625" s="292"/>
      <c r="BN625" s="292"/>
      <c r="BO625" s="292"/>
      <c r="BP625" s="292"/>
      <c r="BQ625" s="292"/>
      <c r="BR625" s="292"/>
      <c r="BS625" s="292"/>
      <c r="BT625" s="292"/>
      <c r="BU625" s="292"/>
      <c r="BV625" s="292"/>
      <c r="BW625" s="292"/>
    </row>
    <row r="626">
      <c r="A626" s="292"/>
      <c r="B626" s="292" t="str">
        <f>IFERROR(__xludf.DUMMYFUNCTION("""COMPUTED_VALUE"""),"")</f>
        <v/>
      </c>
      <c r="C626" s="292"/>
      <c r="D626" s="292" t="str">
        <f>IFERROR(__xludf.DUMMYFUNCTION("""COMPUTED_VALUE"""),"")</f>
        <v/>
      </c>
      <c r="E626" s="292" t="str">
        <f>IFERROR(__xludf.DUMMYFUNCTION("""COMPUTED_VALUE"""),"")</f>
        <v/>
      </c>
      <c r="F626" s="292"/>
      <c r="G626" s="292" t="str">
        <f>IFERROR(__xludf.DUMMYFUNCTION("""COMPUTED_VALUE"""),"")</f>
        <v/>
      </c>
      <c r="H626" s="292" t="str">
        <f>IFERROR(__xludf.DUMMYFUNCTION("""COMPUTED_VALUE"""),"")</f>
        <v/>
      </c>
      <c r="I626" s="292"/>
      <c r="J626" s="292"/>
      <c r="K626" s="292"/>
      <c r="L626" s="292"/>
      <c r="M626" s="292" t="str">
        <f>IFERROR(__xludf.DUMMYFUNCTION("""COMPUTED_VALUE"""),"")</f>
        <v/>
      </c>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c r="AK626" s="292"/>
      <c r="AL626" s="292"/>
      <c r="AM626" s="292"/>
      <c r="AN626" s="292"/>
      <c r="AO626" s="292"/>
      <c r="AP626" s="292"/>
      <c r="AQ626" s="292"/>
      <c r="AR626" s="292"/>
      <c r="AS626" s="292"/>
      <c r="AT626" s="292"/>
      <c r="AU626" s="292"/>
      <c r="AV626" s="292"/>
      <c r="AW626" s="292"/>
      <c r="AX626" s="292"/>
      <c r="AY626" s="292"/>
      <c r="AZ626" s="292"/>
      <c r="BA626" s="292"/>
      <c r="BB626" s="292"/>
      <c r="BC626" s="292"/>
      <c r="BD626" s="292"/>
      <c r="BE626" s="292"/>
      <c r="BF626" s="292"/>
      <c r="BG626" s="292"/>
      <c r="BH626" s="292"/>
      <c r="BI626" s="292"/>
      <c r="BJ626" s="292"/>
      <c r="BK626" s="292"/>
      <c r="BL626" s="292"/>
      <c r="BM626" s="292"/>
      <c r="BN626" s="292"/>
      <c r="BO626" s="292"/>
      <c r="BP626" s="292"/>
      <c r="BQ626" s="292"/>
      <c r="BR626" s="292"/>
      <c r="BS626" s="292"/>
      <c r="BT626" s="292"/>
      <c r="BU626" s="292"/>
      <c r="BV626" s="292"/>
      <c r="BW626" s="292"/>
    </row>
    <row r="627">
      <c r="A627" s="292"/>
      <c r="B627" s="292" t="str">
        <f>IFERROR(__xludf.DUMMYFUNCTION("""COMPUTED_VALUE"""),"")</f>
        <v/>
      </c>
      <c r="C627" s="292"/>
      <c r="D627" s="292" t="str">
        <f>IFERROR(__xludf.DUMMYFUNCTION("""COMPUTED_VALUE"""),"")</f>
        <v/>
      </c>
      <c r="E627" s="292" t="str">
        <f>IFERROR(__xludf.DUMMYFUNCTION("""COMPUTED_VALUE"""),"")</f>
        <v/>
      </c>
      <c r="F627" s="292"/>
      <c r="G627" s="292" t="str">
        <f>IFERROR(__xludf.DUMMYFUNCTION("""COMPUTED_VALUE"""),"")</f>
        <v/>
      </c>
      <c r="H627" s="292" t="str">
        <f>IFERROR(__xludf.DUMMYFUNCTION("""COMPUTED_VALUE"""),"")</f>
        <v/>
      </c>
      <c r="I627" s="292"/>
      <c r="J627" s="292"/>
      <c r="K627" s="292"/>
      <c r="L627" s="292"/>
      <c r="M627" s="292" t="str">
        <f>IFERROR(__xludf.DUMMYFUNCTION("""COMPUTED_VALUE"""),"")</f>
        <v/>
      </c>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c r="AK627" s="292"/>
      <c r="AL627" s="292"/>
      <c r="AM627" s="292"/>
      <c r="AN627" s="292"/>
      <c r="AO627" s="292"/>
      <c r="AP627" s="292"/>
      <c r="AQ627" s="292"/>
      <c r="AR627" s="292"/>
      <c r="AS627" s="292"/>
      <c r="AT627" s="292"/>
      <c r="AU627" s="292"/>
      <c r="AV627" s="292"/>
      <c r="AW627" s="292"/>
      <c r="AX627" s="292"/>
      <c r="AY627" s="292"/>
      <c r="AZ627" s="292"/>
      <c r="BA627" s="292"/>
      <c r="BB627" s="292"/>
      <c r="BC627" s="292"/>
      <c r="BD627" s="292"/>
      <c r="BE627" s="292"/>
      <c r="BF627" s="292"/>
      <c r="BG627" s="292"/>
      <c r="BH627" s="292"/>
      <c r="BI627" s="292"/>
      <c r="BJ627" s="292"/>
      <c r="BK627" s="292"/>
      <c r="BL627" s="292"/>
      <c r="BM627" s="292"/>
      <c r="BN627" s="292"/>
      <c r="BO627" s="292"/>
      <c r="BP627" s="292"/>
      <c r="BQ627" s="292"/>
      <c r="BR627" s="292"/>
      <c r="BS627" s="292"/>
      <c r="BT627" s="292"/>
      <c r="BU627" s="292"/>
      <c r="BV627" s="292"/>
      <c r="BW627" s="292"/>
    </row>
    <row r="628">
      <c r="A628" s="292"/>
      <c r="B628" s="292" t="str">
        <f>IFERROR(__xludf.DUMMYFUNCTION("""COMPUTED_VALUE"""),"")</f>
        <v/>
      </c>
      <c r="C628" s="292"/>
      <c r="D628" s="292" t="str">
        <f>IFERROR(__xludf.DUMMYFUNCTION("""COMPUTED_VALUE"""),"")</f>
        <v/>
      </c>
      <c r="E628" s="292" t="str">
        <f>IFERROR(__xludf.DUMMYFUNCTION("""COMPUTED_VALUE"""),"")</f>
        <v/>
      </c>
      <c r="F628" s="292"/>
      <c r="G628" s="292" t="str">
        <f>IFERROR(__xludf.DUMMYFUNCTION("""COMPUTED_VALUE"""),"")</f>
        <v/>
      </c>
      <c r="H628" s="292" t="str">
        <f>IFERROR(__xludf.DUMMYFUNCTION("""COMPUTED_VALUE"""),"")</f>
        <v/>
      </c>
      <c r="I628" s="292"/>
      <c r="J628" s="292"/>
      <c r="K628" s="292"/>
      <c r="L628" s="292"/>
      <c r="M628" s="292" t="str">
        <f>IFERROR(__xludf.DUMMYFUNCTION("""COMPUTED_VALUE"""),"")</f>
        <v/>
      </c>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c r="AK628" s="292"/>
      <c r="AL628" s="292"/>
      <c r="AM628" s="292"/>
      <c r="AN628" s="292"/>
      <c r="AO628" s="292"/>
      <c r="AP628" s="292"/>
      <c r="AQ628" s="292"/>
      <c r="AR628" s="292"/>
      <c r="AS628" s="292"/>
      <c r="AT628" s="292"/>
      <c r="AU628" s="292"/>
      <c r="AV628" s="292"/>
      <c r="AW628" s="292"/>
      <c r="AX628" s="292"/>
      <c r="AY628" s="292"/>
      <c r="AZ628" s="292"/>
      <c r="BA628" s="292"/>
      <c r="BB628" s="292"/>
      <c r="BC628" s="292"/>
      <c r="BD628" s="292"/>
      <c r="BE628" s="292"/>
      <c r="BF628" s="292"/>
      <c r="BG628" s="292"/>
      <c r="BH628" s="292"/>
      <c r="BI628" s="292"/>
      <c r="BJ628" s="292"/>
      <c r="BK628" s="292"/>
      <c r="BL628" s="292"/>
      <c r="BM628" s="292"/>
      <c r="BN628" s="292"/>
      <c r="BO628" s="292"/>
      <c r="BP628" s="292"/>
      <c r="BQ628" s="292"/>
      <c r="BR628" s="292"/>
      <c r="BS628" s="292"/>
      <c r="BT628" s="292"/>
      <c r="BU628" s="292"/>
      <c r="BV628" s="292"/>
      <c r="BW628" s="292"/>
    </row>
    <row r="629">
      <c r="A629" s="292"/>
      <c r="B629" s="292" t="str">
        <f>IFERROR(__xludf.DUMMYFUNCTION("""COMPUTED_VALUE"""),"")</f>
        <v/>
      </c>
      <c r="C629" s="292"/>
      <c r="D629" s="292" t="str">
        <f>IFERROR(__xludf.DUMMYFUNCTION("""COMPUTED_VALUE"""),"")</f>
        <v/>
      </c>
      <c r="E629" s="292" t="str">
        <f>IFERROR(__xludf.DUMMYFUNCTION("""COMPUTED_VALUE"""),"")</f>
        <v/>
      </c>
      <c r="F629" s="292"/>
      <c r="G629" s="292" t="str">
        <f>IFERROR(__xludf.DUMMYFUNCTION("""COMPUTED_VALUE"""),"")</f>
        <v/>
      </c>
      <c r="H629" s="292" t="str">
        <f>IFERROR(__xludf.DUMMYFUNCTION("""COMPUTED_VALUE"""),"")</f>
        <v/>
      </c>
      <c r="I629" s="292"/>
      <c r="J629" s="292"/>
      <c r="K629" s="292"/>
      <c r="L629" s="292"/>
      <c r="M629" s="292" t="str">
        <f>IFERROR(__xludf.DUMMYFUNCTION("""COMPUTED_VALUE"""),"")</f>
        <v/>
      </c>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c r="AK629" s="292"/>
      <c r="AL629" s="292"/>
      <c r="AM629" s="292"/>
      <c r="AN629" s="292"/>
      <c r="AO629" s="292"/>
      <c r="AP629" s="292"/>
      <c r="AQ629" s="292"/>
      <c r="AR629" s="292"/>
      <c r="AS629" s="292"/>
      <c r="AT629" s="292"/>
      <c r="AU629" s="292"/>
      <c r="AV629" s="292"/>
      <c r="AW629" s="292"/>
      <c r="AX629" s="292"/>
      <c r="AY629" s="292"/>
      <c r="AZ629" s="292"/>
      <c r="BA629" s="292"/>
      <c r="BB629" s="292"/>
      <c r="BC629" s="292"/>
      <c r="BD629" s="292"/>
      <c r="BE629" s="292"/>
      <c r="BF629" s="292"/>
      <c r="BG629" s="292"/>
      <c r="BH629" s="292"/>
      <c r="BI629" s="292"/>
      <c r="BJ629" s="292"/>
      <c r="BK629" s="292"/>
      <c r="BL629" s="292"/>
      <c r="BM629" s="292"/>
      <c r="BN629" s="292"/>
      <c r="BO629" s="292"/>
      <c r="BP629" s="292"/>
      <c r="BQ629" s="292"/>
      <c r="BR629" s="292"/>
      <c r="BS629" s="292"/>
      <c r="BT629" s="292"/>
      <c r="BU629" s="292"/>
      <c r="BV629" s="292"/>
      <c r="BW629" s="292"/>
    </row>
    <row r="630">
      <c r="A630" s="292"/>
      <c r="B630" s="292" t="str">
        <f>IFERROR(__xludf.DUMMYFUNCTION("""COMPUTED_VALUE"""),"")</f>
        <v/>
      </c>
      <c r="C630" s="292"/>
      <c r="D630" s="292" t="str">
        <f>IFERROR(__xludf.DUMMYFUNCTION("""COMPUTED_VALUE"""),"")</f>
        <v/>
      </c>
      <c r="E630" s="292" t="str">
        <f>IFERROR(__xludf.DUMMYFUNCTION("""COMPUTED_VALUE"""),"")</f>
        <v/>
      </c>
      <c r="F630" s="292"/>
      <c r="G630" s="292" t="str">
        <f>IFERROR(__xludf.DUMMYFUNCTION("""COMPUTED_VALUE"""),"")</f>
        <v/>
      </c>
      <c r="H630" s="292" t="str">
        <f>IFERROR(__xludf.DUMMYFUNCTION("""COMPUTED_VALUE"""),"")</f>
        <v/>
      </c>
      <c r="I630" s="292"/>
      <c r="J630" s="292"/>
      <c r="K630" s="292"/>
      <c r="L630" s="292"/>
      <c r="M630" s="292" t="str">
        <f>IFERROR(__xludf.DUMMYFUNCTION("""COMPUTED_VALUE"""),"")</f>
        <v/>
      </c>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c r="AK630" s="292"/>
      <c r="AL630" s="292"/>
      <c r="AM630" s="292"/>
      <c r="AN630" s="292"/>
      <c r="AO630" s="292"/>
      <c r="AP630" s="292"/>
      <c r="AQ630" s="292"/>
      <c r="AR630" s="292"/>
      <c r="AS630" s="292"/>
      <c r="AT630" s="292"/>
      <c r="AU630" s="292"/>
      <c r="AV630" s="292"/>
      <c r="AW630" s="292"/>
      <c r="AX630" s="292"/>
      <c r="AY630" s="292"/>
      <c r="AZ630" s="292"/>
      <c r="BA630" s="292"/>
      <c r="BB630" s="292"/>
      <c r="BC630" s="292"/>
      <c r="BD630" s="292"/>
      <c r="BE630" s="292"/>
      <c r="BF630" s="292"/>
      <c r="BG630" s="292"/>
      <c r="BH630" s="292"/>
      <c r="BI630" s="292"/>
      <c r="BJ630" s="292"/>
      <c r="BK630" s="292"/>
      <c r="BL630" s="292"/>
      <c r="BM630" s="292"/>
      <c r="BN630" s="292"/>
      <c r="BO630" s="292"/>
      <c r="BP630" s="292"/>
      <c r="BQ630" s="292"/>
      <c r="BR630" s="292"/>
      <c r="BS630" s="292"/>
      <c r="BT630" s="292"/>
      <c r="BU630" s="292"/>
      <c r="BV630" s="292"/>
      <c r="BW630" s="292"/>
    </row>
    <row r="631">
      <c r="A631" s="292"/>
      <c r="B631" s="292" t="str">
        <f>IFERROR(__xludf.DUMMYFUNCTION("""COMPUTED_VALUE"""),"")</f>
        <v/>
      </c>
      <c r="C631" s="292"/>
      <c r="D631" s="292" t="str">
        <f>IFERROR(__xludf.DUMMYFUNCTION("""COMPUTED_VALUE"""),"")</f>
        <v/>
      </c>
      <c r="E631" s="292" t="str">
        <f>IFERROR(__xludf.DUMMYFUNCTION("""COMPUTED_VALUE"""),"")</f>
        <v/>
      </c>
      <c r="F631" s="292"/>
      <c r="G631" s="292" t="str">
        <f>IFERROR(__xludf.DUMMYFUNCTION("""COMPUTED_VALUE"""),"")</f>
        <v/>
      </c>
      <c r="H631" s="292" t="str">
        <f>IFERROR(__xludf.DUMMYFUNCTION("""COMPUTED_VALUE"""),"")</f>
        <v/>
      </c>
      <c r="I631" s="292"/>
      <c r="J631" s="292"/>
      <c r="K631" s="292"/>
      <c r="L631" s="292"/>
      <c r="M631" s="292" t="str">
        <f>IFERROR(__xludf.DUMMYFUNCTION("""COMPUTED_VALUE"""),"")</f>
        <v/>
      </c>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c r="AK631" s="292"/>
      <c r="AL631" s="292"/>
      <c r="AM631" s="292"/>
      <c r="AN631" s="292"/>
      <c r="AO631" s="292"/>
      <c r="AP631" s="292"/>
      <c r="AQ631" s="292"/>
      <c r="AR631" s="292"/>
      <c r="AS631" s="292"/>
      <c r="AT631" s="292"/>
      <c r="AU631" s="292"/>
      <c r="AV631" s="292"/>
      <c r="AW631" s="292"/>
      <c r="AX631" s="292"/>
      <c r="AY631" s="292"/>
      <c r="AZ631" s="292"/>
      <c r="BA631" s="292"/>
      <c r="BB631" s="292"/>
      <c r="BC631" s="292"/>
      <c r="BD631" s="292"/>
      <c r="BE631" s="292"/>
      <c r="BF631" s="292"/>
      <c r="BG631" s="292"/>
      <c r="BH631" s="292"/>
      <c r="BI631" s="292"/>
      <c r="BJ631" s="292"/>
      <c r="BK631" s="292"/>
      <c r="BL631" s="292"/>
      <c r="BM631" s="292"/>
      <c r="BN631" s="292"/>
      <c r="BO631" s="292"/>
      <c r="BP631" s="292"/>
      <c r="BQ631" s="292"/>
      <c r="BR631" s="292"/>
      <c r="BS631" s="292"/>
      <c r="BT631" s="292"/>
      <c r="BU631" s="292"/>
      <c r="BV631" s="292"/>
      <c r="BW631" s="292"/>
    </row>
    <row r="632">
      <c r="A632" s="292"/>
      <c r="B632" s="292" t="str">
        <f>IFERROR(__xludf.DUMMYFUNCTION("""COMPUTED_VALUE"""),"")</f>
        <v/>
      </c>
      <c r="C632" s="292"/>
      <c r="D632" s="292" t="str">
        <f>IFERROR(__xludf.DUMMYFUNCTION("""COMPUTED_VALUE"""),"")</f>
        <v/>
      </c>
      <c r="E632" s="292" t="str">
        <f>IFERROR(__xludf.DUMMYFUNCTION("""COMPUTED_VALUE"""),"")</f>
        <v/>
      </c>
      <c r="F632" s="292"/>
      <c r="G632" s="292" t="str">
        <f>IFERROR(__xludf.DUMMYFUNCTION("""COMPUTED_VALUE"""),"")</f>
        <v/>
      </c>
      <c r="H632" s="292" t="str">
        <f>IFERROR(__xludf.DUMMYFUNCTION("""COMPUTED_VALUE"""),"")</f>
        <v/>
      </c>
      <c r="I632" s="292"/>
      <c r="J632" s="292"/>
      <c r="K632" s="292"/>
      <c r="L632" s="292"/>
      <c r="M632" s="292" t="str">
        <f>IFERROR(__xludf.DUMMYFUNCTION("""COMPUTED_VALUE"""),"")</f>
        <v/>
      </c>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c r="AK632" s="292"/>
      <c r="AL632" s="292"/>
      <c r="AM632" s="292"/>
      <c r="AN632" s="292"/>
      <c r="AO632" s="292"/>
      <c r="AP632" s="292"/>
      <c r="AQ632" s="292"/>
      <c r="AR632" s="292"/>
      <c r="AS632" s="292"/>
      <c r="AT632" s="292"/>
      <c r="AU632" s="292"/>
      <c r="AV632" s="292"/>
      <c r="AW632" s="292"/>
      <c r="AX632" s="292"/>
      <c r="AY632" s="292"/>
      <c r="AZ632" s="292"/>
      <c r="BA632" s="292"/>
      <c r="BB632" s="292"/>
      <c r="BC632" s="292"/>
      <c r="BD632" s="292"/>
      <c r="BE632" s="292"/>
      <c r="BF632" s="292"/>
      <c r="BG632" s="292"/>
      <c r="BH632" s="292"/>
      <c r="BI632" s="292"/>
      <c r="BJ632" s="292"/>
      <c r="BK632" s="292"/>
      <c r="BL632" s="292"/>
      <c r="BM632" s="292"/>
      <c r="BN632" s="292"/>
      <c r="BO632" s="292"/>
      <c r="BP632" s="292"/>
      <c r="BQ632" s="292"/>
      <c r="BR632" s="292"/>
      <c r="BS632" s="292"/>
      <c r="BT632" s="292"/>
      <c r="BU632" s="292"/>
      <c r="BV632" s="292"/>
      <c r="BW632" s="292"/>
    </row>
    <row r="633">
      <c r="A633" s="292"/>
      <c r="B633" s="292" t="str">
        <f>IFERROR(__xludf.DUMMYFUNCTION("""COMPUTED_VALUE"""),"")</f>
        <v/>
      </c>
      <c r="C633" s="292"/>
      <c r="D633" s="292" t="str">
        <f>IFERROR(__xludf.DUMMYFUNCTION("""COMPUTED_VALUE"""),"")</f>
        <v/>
      </c>
      <c r="E633" s="292" t="str">
        <f>IFERROR(__xludf.DUMMYFUNCTION("""COMPUTED_VALUE"""),"")</f>
        <v/>
      </c>
      <c r="F633" s="292"/>
      <c r="G633" s="292" t="str">
        <f>IFERROR(__xludf.DUMMYFUNCTION("""COMPUTED_VALUE"""),"")</f>
        <v/>
      </c>
      <c r="H633" s="292" t="str">
        <f>IFERROR(__xludf.DUMMYFUNCTION("""COMPUTED_VALUE"""),"")</f>
        <v/>
      </c>
      <c r="I633" s="292"/>
      <c r="J633" s="292"/>
      <c r="K633" s="292"/>
      <c r="L633" s="292"/>
      <c r="M633" s="292" t="str">
        <f>IFERROR(__xludf.DUMMYFUNCTION("""COMPUTED_VALUE"""),"")</f>
        <v/>
      </c>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c r="AK633" s="292"/>
      <c r="AL633" s="292"/>
      <c r="AM633" s="292"/>
      <c r="AN633" s="292"/>
      <c r="AO633" s="292"/>
      <c r="AP633" s="292"/>
      <c r="AQ633" s="292"/>
      <c r="AR633" s="292"/>
      <c r="AS633" s="292"/>
      <c r="AT633" s="292"/>
      <c r="AU633" s="292"/>
      <c r="AV633" s="292"/>
      <c r="AW633" s="292"/>
      <c r="AX633" s="292"/>
      <c r="AY633" s="292"/>
      <c r="AZ633" s="292"/>
      <c r="BA633" s="292"/>
      <c r="BB633" s="292"/>
      <c r="BC633" s="292"/>
      <c r="BD633" s="292"/>
      <c r="BE633" s="292"/>
      <c r="BF633" s="292"/>
      <c r="BG633" s="292"/>
      <c r="BH633" s="292"/>
      <c r="BI633" s="292"/>
      <c r="BJ633" s="292"/>
      <c r="BK633" s="292"/>
      <c r="BL633" s="292"/>
      <c r="BM633" s="292"/>
      <c r="BN633" s="292"/>
      <c r="BO633" s="292"/>
      <c r="BP633" s="292"/>
      <c r="BQ633" s="292"/>
      <c r="BR633" s="292"/>
      <c r="BS633" s="292"/>
      <c r="BT633" s="292"/>
      <c r="BU633" s="292"/>
      <c r="BV633" s="292"/>
      <c r="BW633" s="292"/>
    </row>
    <row r="634">
      <c r="A634" s="292"/>
      <c r="B634" s="292" t="str">
        <f>IFERROR(__xludf.DUMMYFUNCTION("""COMPUTED_VALUE"""),"")</f>
        <v/>
      </c>
      <c r="C634" s="292"/>
      <c r="D634" s="292" t="str">
        <f>IFERROR(__xludf.DUMMYFUNCTION("""COMPUTED_VALUE"""),"")</f>
        <v/>
      </c>
      <c r="E634" s="292" t="str">
        <f>IFERROR(__xludf.DUMMYFUNCTION("""COMPUTED_VALUE"""),"")</f>
        <v/>
      </c>
      <c r="F634" s="292"/>
      <c r="G634" s="292" t="str">
        <f>IFERROR(__xludf.DUMMYFUNCTION("""COMPUTED_VALUE"""),"")</f>
        <v/>
      </c>
      <c r="H634" s="292" t="str">
        <f>IFERROR(__xludf.DUMMYFUNCTION("""COMPUTED_VALUE"""),"")</f>
        <v/>
      </c>
      <c r="I634" s="292"/>
      <c r="J634" s="292"/>
      <c r="K634" s="292"/>
      <c r="L634" s="292"/>
      <c r="M634" s="292" t="str">
        <f>IFERROR(__xludf.DUMMYFUNCTION("""COMPUTED_VALUE"""),"")</f>
        <v/>
      </c>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c r="AK634" s="292"/>
      <c r="AL634" s="292"/>
      <c r="AM634" s="292"/>
      <c r="AN634" s="292"/>
      <c r="AO634" s="292"/>
      <c r="AP634" s="292"/>
      <c r="AQ634" s="292"/>
      <c r="AR634" s="292"/>
      <c r="AS634" s="292"/>
      <c r="AT634" s="292"/>
      <c r="AU634" s="292"/>
      <c r="AV634" s="292"/>
      <c r="AW634" s="292"/>
      <c r="AX634" s="292"/>
      <c r="AY634" s="292"/>
      <c r="AZ634" s="292"/>
      <c r="BA634" s="292"/>
      <c r="BB634" s="292"/>
      <c r="BC634" s="292"/>
      <c r="BD634" s="292"/>
      <c r="BE634" s="292"/>
      <c r="BF634" s="292"/>
      <c r="BG634" s="292"/>
      <c r="BH634" s="292"/>
      <c r="BI634" s="292"/>
      <c r="BJ634" s="292"/>
      <c r="BK634" s="292"/>
      <c r="BL634" s="292"/>
      <c r="BM634" s="292"/>
      <c r="BN634" s="292"/>
      <c r="BO634" s="292"/>
      <c r="BP634" s="292"/>
      <c r="BQ634" s="292"/>
      <c r="BR634" s="292"/>
      <c r="BS634" s="292"/>
      <c r="BT634" s="292"/>
      <c r="BU634" s="292"/>
      <c r="BV634" s="292"/>
      <c r="BW634" s="292"/>
    </row>
    <row r="635">
      <c r="A635" s="292"/>
      <c r="B635" s="292" t="str">
        <f>IFERROR(__xludf.DUMMYFUNCTION("""COMPUTED_VALUE"""),"")</f>
        <v/>
      </c>
      <c r="C635" s="292"/>
      <c r="D635" s="292" t="str">
        <f>IFERROR(__xludf.DUMMYFUNCTION("""COMPUTED_VALUE"""),"")</f>
        <v/>
      </c>
      <c r="E635" s="292" t="str">
        <f>IFERROR(__xludf.DUMMYFUNCTION("""COMPUTED_VALUE"""),"")</f>
        <v/>
      </c>
      <c r="F635" s="292"/>
      <c r="G635" s="292" t="str">
        <f>IFERROR(__xludf.DUMMYFUNCTION("""COMPUTED_VALUE"""),"")</f>
        <v/>
      </c>
      <c r="H635" s="292" t="str">
        <f>IFERROR(__xludf.DUMMYFUNCTION("""COMPUTED_VALUE"""),"")</f>
        <v/>
      </c>
      <c r="I635" s="292"/>
      <c r="J635" s="292"/>
      <c r="K635" s="292"/>
      <c r="L635" s="292"/>
      <c r="M635" s="292" t="str">
        <f>IFERROR(__xludf.DUMMYFUNCTION("""COMPUTED_VALUE"""),"")</f>
        <v/>
      </c>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c r="AK635" s="292"/>
      <c r="AL635" s="292"/>
      <c r="AM635" s="292"/>
      <c r="AN635" s="292"/>
      <c r="AO635" s="292"/>
      <c r="AP635" s="292"/>
      <c r="AQ635" s="292"/>
      <c r="AR635" s="292"/>
      <c r="AS635" s="292"/>
      <c r="AT635" s="292"/>
      <c r="AU635" s="292"/>
      <c r="AV635" s="292"/>
      <c r="AW635" s="292"/>
      <c r="AX635" s="292"/>
      <c r="AY635" s="292"/>
      <c r="AZ635" s="292"/>
      <c r="BA635" s="292"/>
      <c r="BB635" s="292"/>
      <c r="BC635" s="292"/>
      <c r="BD635" s="292"/>
      <c r="BE635" s="292"/>
      <c r="BF635" s="292"/>
      <c r="BG635" s="292"/>
      <c r="BH635" s="292"/>
      <c r="BI635" s="292"/>
      <c r="BJ635" s="292"/>
      <c r="BK635" s="292"/>
      <c r="BL635" s="292"/>
      <c r="BM635" s="292"/>
      <c r="BN635" s="292"/>
      <c r="BO635" s="292"/>
      <c r="BP635" s="292"/>
      <c r="BQ635" s="292"/>
      <c r="BR635" s="292"/>
      <c r="BS635" s="292"/>
      <c r="BT635" s="292"/>
      <c r="BU635" s="292"/>
      <c r="BV635" s="292"/>
      <c r="BW635" s="292"/>
    </row>
    <row r="636">
      <c r="A636" s="292"/>
      <c r="B636" s="292" t="str">
        <f>IFERROR(__xludf.DUMMYFUNCTION("""COMPUTED_VALUE"""),"")</f>
        <v/>
      </c>
      <c r="C636" s="292"/>
      <c r="D636" s="292" t="str">
        <f>IFERROR(__xludf.DUMMYFUNCTION("""COMPUTED_VALUE"""),"")</f>
        <v/>
      </c>
      <c r="E636" s="292" t="str">
        <f>IFERROR(__xludf.DUMMYFUNCTION("""COMPUTED_VALUE"""),"")</f>
        <v/>
      </c>
      <c r="F636" s="292"/>
      <c r="G636" s="292" t="str">
        <f>IFERROR(__xludf.DUMMYFUNCTION("""COMPUTED_VALUE"""),"")</f>
        <v/>
      </c>
      <c r="H636" s="292" t="str">
        <f>IFERROR(__xludf.DUMMYFUNCTION("""COMPUTED_VALUE"""),"")</f>
        <v/>
      </c>
      <c r="I636" s="292"/>
      <c r="J636" s="292"/>
      <c r="K636" s="292"/>
      <c r="L636" s="292"/>
      <c r="M636" s="292" t="str">
        <f>IFERROR(__xludf.DUMMYFUNCTION("""COMPUTED_VALUE"""),"")</f>
        <v/>
      </c>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c r="AK636" s="292"/>
      <c r="AL636" s="292"/>
      <c r="AM636" s="292"/>
      <c r="AN636" s="292"/>
      <c r="AO636" s="292"/>
      <c r="AP636" s="292"/>
      <c r="AQ636" s="292"/>
      <c r="AR636" s="292"/>
      <c r="AS636" s="292"/>
      <c r="AT636" s="292"/>
      <c r="AU636" s="292"/>
      <c r="AV636" s="292"/>
      <c r="AW636" s="292"/>
      <c r="AX636" s="292"/>
      <c r="AY636" s="292"/>
      <c r="AZ636" s="292"/>
      <c r="BA636" s="292"/>
      <c r="BB636" s="292"/>
      <c r="BC636" s="292"/>
      <c r="BD636" s="292"/>
      <c r="BE636" s="292"/>
      <c r="BF636" s="292"/>
      <c r="BG636" s="292"/>
      <c r="BH636" s="292"/>
      <c r="BI636" s="292"/>
      <c r="BJ636" s="292"/>
      <c r="BK636" s="292"/>
      <c r="BL636" s="292"/>
      <c r="BM636" s="292"/>
      <c r="BN636" s="292"/>
      <c r="BO636" s="292"/>
      <c r="BP636" s="292"/>
      <c r="BQ636" s="292"/>
      <c r="BR636" s="292"/>
      <c r="BS636" s="292"/>
      <c r="BT636" s="292"/>
      <c r="BU636" s="292"/>
      <c r="BV636" s="292"/>
      <c r="BW636" s="292"/>
    </row>
    <row r="637">
      <c r="A637" s="292"/>
      <c r="B637" s="292" t="str">
        <f>IFERROR(__xludf.DUMMYFUNCTION("""COMPUTED_VALUE"""),"")</f>
        <v/>
      </c>
      <c r="C637" s="292"/>
      <c r="D637" s="292" t="str">
        <f>IFERROR(__xludf.DUMMYFUNCTION("""COMPUTED_VALUE"""),"")</f>
        <v/>
      </c>
      <c r="E637" s="292" t="str">
        <f>IFERROR(__xludf.DUMMYFUNCTION("""COMPUTED_VALUE"""),"")</f>
        <v/>
      </c>
      <c r="F637" s="292"/>
      <c r="G637" s="292" t="str">
        <f>IFERROR(__xludf.DUMMYFUNCTION("""COMPUTED_VALUE"""),"")</f>
        <v/>
      </c>
      <c r="H637" s="292" t="str">
        <f>IFERROR(__xludf.DUMMYFUNCTION("""COMPUTED_VALUE"""),"")</f>
        <v/>
      </c>
      <c r="I637" s="292"/>
      <c r="J637" s="292"/>
      <c r="K637" s="292"/>
      <c r="L637" s="292"/>
      <c r="M637" s="292" t="str">
        <f>IFERROR(__xludf.DUMMYFUNCTION("""COMPUTED_VALUE"""),"")</f>
        <v/>
      </c>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c r="AK637" s="292"/>
      <c r="AL637" s="292"/>
      <c r="AM637" s="292"/>
      <c r="AN637" s="292"/>
      <c r="AO637" s="292"/>
      <c r="AP637" s="292"/>
      <c r="AQ637" s="292"/>
      <c r="AR637" s="292"/>
      <c r="AS637" s="292"/>
      <c r="AT637" s="292"/>
      <c r="AU637" s="292"/>
      <c r="AV637" s="292"/>
      <c r="AW637" s="292"/>
      <c r="AX637" s="292"/>
      <c r="AY637" s="292"/>
      <c r="AZ637" s="292"/>
      <c r="BA637" s="292"/>
      <c r="BB637" s="292"/>
      <c r="BC637" s="292"/>
      <c r="BD637" s="292"/>
      <c r="BE637" s="292"/>
      <c r="BF637" s="292"/>
      <c r="BG637" s="292"/>
      <c r="BH637" s="292"/>
      <c r="BI637" s="292"/>
      <c r="BJ637" s="292"/>
      <c r="BK637" s="292"/>
      <c r="BL637" s="292"/>
      <c r="BM637" s="292"/>
      <c r="BN637" s="292"/>
      <c r="BO637" s="292"/>
      <c r="BP637" s="292"/>
      <c r="BQ637" s="292"/>
      <c r="BR637" s="292"/>
      <c r="BS637" s="292"/>
      <c r="BT637" s="292"/>
      <c r="BU637" s="292"/>
      <c r="BV637" s="292"/>
      <c r="BW637" s="292"/>
    </row>
    <row r="638">
      <c r="A638" s="292"/>
      <c r="B638" s="292" t="str">
        <f>IFERROR(__xludf.DUMMYFUNCTION("""COMPUTED_VALUE"""),"")</f>
        <v/>
      </c>
      <c r="C638" s="292"/>
      <c r="D638" s="292" t="str">
        <f>IFERROR(__xludf.DUMMYFUNCTION("""COMPUTED_VALUE"""),"")</f>
        <v/>
      </c>
      <c r="E638" s="292" t="str">
        <f>IFERROR(__xludf.DUMMYFUNCTION("""COMPUTED_VALUE"""),"")</f>
        <v/>
      </c>
      <c r="F638" s="292"/>
      <c r="G638" s="292" t="str">
        <f>IFERROR(__xludf.DUMMYFUNCTION("""COMPUTED_VALUE"""),"")</f>
        <v/>
      </c>
      <c r="H638" s="292" t="str">
        <f>IFERROR(__xludf.DUMMYFUNCTION("""COMPUTED_VALUE"""),"")</f>
        <v/>
      </c>
      <c r="I638" s="292"/>
      <c r="J638" s="292"/>
      <c r="K638" s="292"/>
      <c r="L638" s="292"/>
      <c r="M638" s="292" t="str">
        <f>IFERROR(__xludf.DUMMYFUNCTION("""COMPUTED_VALUE"""),"")</f>
        <v/>
      </c>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c r="AK638" s="292"/>
      <c r="AL638" s="292"/>
      <c r="AM638" s="292"/>
      <c r="AN638" s="292"/>
      <c r="AO638" s="292"/>
      <c r="AP638" s="292"/>
      <c r="AQ638" s="292"/>
      <c r="AR638" s="292"/>
      <c r="AS638" s="292"/>
      <c r="AT638" s="292"/>
      <c r="AU638" s="292"/>
      <c r="AV638" s="292"/>
      <c r="AW638" s="292"/>
      <c r="AX638" s="292"/>
      <c r="AY638" s="292"/>
      <c r="AZ638" s="292"/>
      <c r="BA638" s="292"/>
      <c r="BB638" s="292"/>
      <c r="BC638" s="292"/>
      <c r="BD638" s="292"/>
      <c r="BE638" s="292"/>
      <c r="BF638" s="292"/>
      <c r="BG638" s="292"/>
      <c r="BH638" s="292"/>
      <c r="BI638" s="292"/>
      <c r="BJ638" s="292"/>
      <c r="BK638" s="292"/>
      <c r="BL638" s="292"/>
      <c r="BM638" s="292"/>
      <c r="BN638" s="292"/>
      <c r="BO638" s="292"/>
      <c r="BP638" s="292"/>
      <c r="BQ638" s="292"/>
      <c r="BR638" s="292"/>
      <c r="BS638" s="292"/>
      <c r="BT638" s="292"/>
      <c r="BU638" s="292"/>
      <c r="BV638" s="292"/>
      <c r="BW638" s="292"/>
    </row>
    <row r="639">
      <c r="A639" s="292"/>
      <c r="B639" s="292" t="str">
        <f>IFERROR(__xludf.DUMMYFUNCTION("""COMPUTED_VALUE"""),"")</f>
        <v/>
      </c>
      <c r="C639" s="292"/>
      <c r="D639" s="292" t="str">
        <f>IFERROR(__xludf.DUMMYFUNCTION("""COMPUTED_VALUE"""),"")</f>
        <v/>
      </c>
      <c r="E639" s="292" t="str">
        <f>IFERROR(__xludf.DUMMYFUNCTION("""COMPUTED_VALUE"""),"")</f>
        <v/>
      </c>
      <c r="F639" s="292"/>
      <c r="G639" s="292" t="str">
        <f>IFERROR(__xludf.DUMMYFUNCTION("""COMPUTED_VALUE"""),"")</f>
        <v/>
      </c>
      <c r="H639" s="292" t="str">
        <f>IFERROR(__xludf.DUMMYFUNCTION("""COMPUTED_VALUE"""),"")</f>
        <v/>
      </c>
      <c r="I639" s="292"/>
      <c r="J639" s="292"/>
      <c r="K639" s="292"/>
      <c r="L639" s="292"/>
      <c r="M639" s="292" t="str">
        <f>IFERROR(__xludf.DUMMYFUNCTION("""COMPUTED_VALUE"""),"")</f>
        <v/>
      </c>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c r="AK639" s="292"/>
      <c r="AL639" s="292"/>
      <c r="AM639" s="292"/>
      <c r="AN639" s="292"/>
      <c r="AO639" s="292"/>
      <c r="AP639" s="292"/>
      <c r="AQ639" s="292"/>
      <c r="AR639" s="292"/>
      <c r="AS639" s="292"/>
      <c r="AT639" s="292"/>
      <c r="AU639" s="292"/>
      <c r="AV639" s="292"/>
      <c r="AW639" s="292"/>
      <c r="AX639" s="292"/>
      <c r="AY639" s="292"/>
      <c r="AZ639" s="292"/>
      <c r="BA639" s="292"/>
      <c r="BB639" s="292"/>
      <c r="BC639" s="292"/>
      <c r="BD639" s="292"/>
      <c r="BE639" s="292"/>
      <c r="BF639" s="292"/>
      <c r="BG639" s="292"/>
      <c r="BH639" s="292"/>
      <c r="BI639" s="292"/>
      <c r="BJ639" s="292"/>
      <c r="BK639" s="292"/>
      <c r="BL639" s="292"/>
      <c r="BM639" s="292"/>
      <c r="BN639" s="292"/>
      <c r="BO639" s="292"/>
      <c r="BP639" s="292"/>
      <c r="BQ639" s="292"/>
      <c r="BR639" s="292"/>
      <c r="BS639" s="292"/>
      <c r="BT639" s="292"/>
      <c r="BU639" s="292"/>
      <c r="BV639" s="292"/>
      <c r="BW639" s="292"/>
    </row>
    <row r="640">
      <c r="A640" s="292"/>
      <c r="B640" s="292" t="str">
        <f>IFERROR(__xludf.DUMMYFUNCTION("""COMPUTED_VALUE"""),"")</f>
        <v/>
      </c>
      <c r="C640" s="292"/>
      <c r="D640" s="292" t="str">
        <f>IFERROR(__xludf.DUMMYFUNCTION("""COMPUTED_VALUE"""),"")</f>
        <v/>
      </c>
      <c r="E640" s="292" t="str">
        <f>IFERROR(__xludf.DUMMYFUNCTION("""COMPUTED_VALUE"""),"")</f>
        <v/>
      </c>
      <c r="F640" s="292"/>
      <c r="G640" s="292" t="str">
        <f>IFERROR(__xludf.DUMMYFUNCTION("""COMPUTED_VALUE"""),"")</f>
        <v/>
      </c>
      <c r="H640" s="292" t="str">
        <f>IFERROR(__xludf.DUMMYFUNCTION("""COMPUTED_VALUE"""),"")</f>
        <v/>
      </c>
      <c r="I640" s="292"/>
      <c r="J640" s="292"/>
      <c r="K640" s="292"/>
      <c r="L640" s="292"/>
      <c r="M640" s="292" t="str">
        <f>IFERROR(__xludf.DUMMYFUNCTION("""COMPUTED_VALUE"""),"")</f>
        <v/>
      </c>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c r="AK640" s="292"/>
      <c r="AL640" s="292"/>
      <c r="AM640" s="292"/>
      <c r="AN640" s="292"/>
      <c r="AO640" s="292"/>
      <c r="AP640" s="292"/>
      <c r="AQ640" s="292"/>
      <c r="AR640" s="292"/>
      <c r="AS640" s="292"/>
      <c r="AT640" s="292"/>
      <c r="AU640" s="292"/>
      <c r="AV640" s="292"/>
      <c r="AW640" s="292"/>
      <c r="AX640" s="292"/>
      <c r="AY640" s="292"/>
      <c r="AZ640" s="292"/>
      <c r="BA640" s="292"/>
      <c r="BB640" s="292"/>
      <c r="BC640" s="292"/>
      <c r="BD640" s="292"/>
      <c r="BE640" s="292"/>
      <c r="BF640" s="292"/>
      <c r="BG640" s="292"/>
      <c r="BH640" s="292"/>
      <c r="BI640" s="292"/>
      <c r="BJ640" s="292"/>
      <c r="BK640" s="292"/>
      <c r="BL640" s="292"/>
      <c r="BM640" s="292"/>
      <c r="BN640" s="292"/>
      <c r="BO640" s="292"/>
      <c r="BP640" s="292"/>
      <c r="BQ640" s="292"/>
      <c r="BR640" s="292"/>
      <c r="BS640" s="292"/>
      <c r="BT640" s="292"/>
      <c r="BU640" s="292"/>
      <c r="BV640" s="292"/>
      <c r="BW640" s="292"/>
    </row>
    <row r="641">
      <c r="A641" s="292"/>
      <c r="B641" s="292" t="str">
        <f>IFERROR(__xludf.DUMMYFUNCTION("""COMPUTED_VALUE"""),"")</f>
        <v/>
      </c>
      <c r="C641" s="292"/>
      <c r="D641" s="292" t="str">
        <f>IFERROR(__xludf.DUMMYFUNCTION("""COMPUTED_VALUE"""),"")</f>
        <v/>
      </c>
      <c r="E641" s="292" t="str">
        <f>IFERROR(__xludf.DUMMYFUNCTION("""COMPUTED_VALUE"""),"")</f>
        <v/>
      </c>
      <c r="F641" s="292"/>
      <c r="G641" s="292" t="str">
        <f>IFERROR(__xludf.DUMMYFUNCTION("""COMPUTED_VALUE"""),"")</f>
        <v/>
      </c>
      <c r="H641" s="292" t="str">
        <f>IFERROR(__xludf.DUMMYFUNCTION("""COMPUTED_VALUE"""),"")</f>
        <v/>
      </c>
      <c r="I641" s="292"/>
      <c r="J641" s="292"/>
      <c r="K641" s="292"/>
      <c r="L641" s="292"/>
      <c r="M641" s="292" t="str">
        <f>IFERROR(__xludf.DUMMYFUNCTION("""COMPUTED_VALUE"""),"")</f>
        <v/>
      </c>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c r="AK641" s="292"/>
      <c r="AL641" s="292"/>
      <c r="AM641" s="292"/>
      <c r="AN641" s="292"/>
      <c r="AO641" s="292"/>
      <c r="AP641" s="292"/>
      <c r="AQ641" s="292"/>
      <c r="AR641" s="292"/>
      <c r="AS641" s="292"/>
      <c r="AT641" s="292"/>
      <c r="AU641" s="292"/>
      <c r="AV641" s="292"/>
      <c r="AW641" s="292"/>
      <c r="AX641" s="292"/>
      <c r="AY641" s="292"/>
      <c r="AZ641" s="292"/>
      <c r="BA641" s="292"/>
      <c r="BB641" s="292"/>
      <c r="BC641" s="292"/>
      <c r="BD641" s="292"/>
      <c r="BE641" s="292"/>
      <c r="BF641" s="292"/>
      <c r="BG641" s="292"/>
      <c r="BH641" s="292"/>
      <c r="BI641" s="292"/>
      <c r="BJ641" s="292"/>
      <c r="BK641" s="292"/>
      <c r="BL641" s="292"/>
      <c r="BM641" s="292"/>
      <c r="BN641" s="292"/>
      <c r="BO641" s="292"/>
      <c r="BP641" s="292"/>
      <c r="BQ641" s="292"/>
      <c r="BR641" s="292"/>
      <c r="BS641" s="292"/>
      <c r="BT641" s="292"/>
      <c r="BU641" s="292"/>
      <c r="BV641" s="292"/>
      <c r="BW641" s="292"/>
    </row>
    <row r="642">
      <c r="A642" s="292"/>
      <c r="B642" s="292" t="str">
        <f>IFERROR(__xludf.DUMMYFUNCTION("""COMPUTED_VALUE"""),"")</f>
        <v/>
      </c>
      <c r="C642" s="292"/>
      <c r="D642" s="292" t="str">
        <f>IFERROR(__xludf.DUMMYFUNCTION("""COMPUTED_VALUE"""),"")</f>
        <v/>
      </c>
      <c r="E642" s="292" t="str">
        <f>IFERROR(__xludf.DUMMYFUNCTION("""COMPUTED_VALUE"""),"")</f>
        <v/>
      </c>
      <c r="F642" s="292"/>
      <c r="G642" s="292" t="str">
        <f>IFERROR(__xludf.DUMMYFUNCTION("""COMPUTED_VALUE"""),"")</f>
        <v/>
      </c>
      <c r="H642" s="292" t="str">
        <f>IFERROR(__xludf.DUMMYFUNCTION("""COMPUTED_VALUE"""),"")</f>
        <v/>
      </c>
      <c r="I642" s="292"/>
      <c r="J642" s="292"/>
      <c r="K642" s="292"/>
      <c r="L642" s="292"/>
      <c r="M642" s="292" t="str">
        <f>IFERROR(__xludf.DUMMYFUNCTION("""COMPUTED_VALUE"""),"")</f>
        <v/>
      </c>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c r="AK642" s="292"/>
      <c r="AL642" s="292"/>
      <c r="AM642" s="292"/>
      <c r="AN642" s="292"/>
      <c r="AO642" s="292"/>
      <c r="AP642" s="292"/>
      <c r="AQ642" s="292"/>
      <c r="AR642" s="292"/>
      <c r="AS642" s="292"/>
      <c r="AT642" s="292"/>
      <c r="AU642" s="292"/>
      <c r="AV642" s="292"/>
      <c r="AW642" s="292"/>
      <c r="AX642" s="292"/>
      <c r="AY642" s="292"/>
      <c r="AZ642" s="292"/>
      <c r="BA642" s="292"/>
      <c r="BB642" s="292"/>
      <c r="BC642" s="292"/>
      <c r="BD642" s="292"/>
      <c r="BE642" s="292"/>
      <c r="BF642" s="292"/>
      <c r="BG642" s="292"/>
      <c r="BH642" s="292"/>
      <c r="BI642" s="292"/>
      <c r="BJ642" s="292"/>
      <c r="BK642" s="292"/>
      <c r="BL642" s="292"/>
      <c r="BM642" s="292"/>
      <c r="BN642" s="292"/>
      <c r="BO642" s="292"/>
      <c r="BP642" s="292"/>
      <c r="BQ642" s="292"/>
      <c r="BR642" s="292"/>
      <c r="BS642" s="292"/>
      <c r="BT642" s="292"/>
      <c r="BU642" s="292"/>
      <c r="BV642" s="292"/>
      <c r="BW642" s="292"/>
    </row>
    <row r="643">
      <c r="A643" s="292"/>
      <c r="B643" s="292" t="str">
        <f>IFERROR(__xludf.DUMMYFUNCTION("""COMPUTED_VALUE"""),"")</f>
        <v/>
      </c>
      <c r="C643" s="292"/>
      <c r="D643" s="292" t="str">
        <f>IFERROR(__xludf.DUMMYFUNCTION("""COMPUTED_VALUE"""),"")</f>
        <v/>
      </c>
      <c r="E643" s="292" t="str">
        <f>IFERROR(__xludf.DUMMYFUNCTION("""COMPUTED_VALUE"""),"")</f>
        <v/>
      </c>
      <c r="F643" s="292"/>
      <c r="G643" s="292" t="str">
        <f>IFERROR(__xludf.DUMMYFUNCTION("""COMPUTED_VALUE"""),"")</f>
        <v/>
      </c>
      <c r="H643" s="292" t="str">
        <f>IFERROR(__xludf.DUMMYFUNCTION("""COMPUTED_VALUE"""),"")</f>
        <v/>
      </c>
      <c r="I643" s="292"/>
      <c r="J643" s="292"/>
      <c r="K643" s="292"/>
      <c r="L643" s="292"/>
      <c r="M643" s="292" t="str">
        <f>IFERROR(__xludf.DUMMYFUNCTION("""COMPUTED_VALUE"""),"")</f>
        <v/>
      </c>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c r="AK643" s="292"/>
      <c r="AL643" s="292"/>
      <c r="AM643" s="292"/>
      <c r="AN643" s="292"/>
      <c r="AO643" s="292"/>
      <c r="AP643" s="292"/>
      <c r="AQ643" s="292"/>
      <c r="AR643" s="292"/>
      <c r="AS643" s="292"/>
      <c r="AT643" s="292"/>
      <c r="AU643" s="292"/>
      <c r="AV643" s="292"/>
      <c r="AW643" s="292"/>
      <c r="AX643" s="292"/>
      <c r="AY643" s="292"/>
      <c r="AZ643" s="292"/>
      <c r="BA643" s="292"/>
      <c r="BB643" s="292"/>
      <c r="BC643" s="292"/>
      <c r="BD643" s="292"/>
      <c r="BE643" s="292"/>
      <c r="BF643" s="292"/>
      <c r="BG643" s="292"/>
      <c r="BH643" s="292"/>
      <c r="BI643" s="292"/>
      <c r="BJ643" s="292"/>
      <c r="BK643" s="292"/>
      <c r="BL643" s="292"/>
      <c r="BM643" s="292"/>
      <c r="BN643" s="292"/>
      <c r="BO643" s="292"/>
      <c r="BP643" s="292"/>
      <c r="BQ643" s="292"/>
      <c r="BR643" s="292"/>
      <c r="BS643" s="292"/>
      <c r="BT643" s="292"/>
      <c r="BU643" s="292"/>
      <c r="BV643" s="292"/>
      <c r="BW643" s="292"/>
    </row>
    <row r="644">
      <c r="A644" s="292"/>
      <c r="B644" s="292" t="str">
        <f>IFERROR(__xludf.DUMMYFUNCTION("""COMPUTED_VALUE"""),"")</f>
        <v/>
      </c>
      <c r="C644" s="292"/>
      <c r="D644" s="292" t="str">
        <f>IFERROR(__xludf.DUMMYFUNCTION("""COMPUTED_VALUE"""),"")</f>
        <v/>
      </c>
      <c r="E644" s="292" t="str">
        <f>IFERROR(__xludf.DUMMYFUNCTION("""COMPUTED_VALUE"""),"")</f>
        <v/>
      </c>
      <c r="F644" s="292"/>
      <c r="G644" s="292" t="str">
        <f>IFERROR(__xludf.DUMMYFUNCTION("""COMPUTED_VALUE"""),"")</f>
        <v/>
      </c>
      <c r="H644" s="292" t="str">
        <f>IFERROR(__xludf.DUMMYFUNCTION("""COMPUTED_VALUE"""),"")</f>
        <v/>
      </c>
      <c r="I644" s="292"/>
      <c r="J644" s="292"/>
      <c r="K644" s="292"/>
      <c r="L644" s="292"/>
      <c r="M644" s="292" t="str">
        <f>IFERROR(__xludf.DUMMYFUNCTION("""COMPUTED_VALUE"""),"")</f>
        <v/>
      </c>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c r="AK644" s="292"/>
      <c r="AL644" s="292"/>
      <c r="AM644" s="292"/>
      <c r="AN644" s="292"/>
      <c r="AO644" s="292"/>
      <c r="AP644" s="292"/>
      <c r="AQ644" s="292"/>
      <c r="AR644" s="292"/>
      <c r="AS644" s="292"/>
      <c r="AT644" s="292"/>
      <c r="AU644" s="292"/>
      <c r="AV644" s="292"/>
      <c r="AW644" s="292"/>
      <c r="AX644" s="292"/>
      <c r="AY644" s="292"/>
      <c r="AZ644" s="292"/>
      <c r="BA644" s="292"/>
      <c r="BB644" s="292"/>
      <c r="BC644" s="292"/>
      <c r="BD644" s="292"/>
      <c r="BE644" s="292"/>
      <c r="BF644" s="292"/>
      <c r="BG644" s="292"/>
      <c r="BH644" s="292"/>
      <c r="BI644" s="292"/>
      <c r="BJ644" s="292"/>
      <c r="BK644" s="292"/>
      <c r="BL644" s="292"/>
      <c r="BM644" s="292"/>
      <c r="BN644" s="292"/>
      <c r="BO644" s="292"/>
      <c r="BP644" s="292"/>
      <c r="BQ644" s="292"/>
      <c r="BR644" s="292"/>
      <c r="BS644" s="292"/>
      <c r="BT644" s="292"/>
      <c r="BU644" s="292"/>
      <c r="BV644" s="292"/>
      <c r="BW644" s="292"/>
    </row>
    <row r="645">
      <c r="A645" s="292"/>
      <c r="B645" s="292" t="str">
        <f>IFERROR(__xludf.DUMMYFUNCTION("""COMPUTED_VALUE"""),"")</f>
        <v/>
      </c>
      <c r="C645" s="292"/>
      <c r="D645" s="292" t="str">
        <f>IFERROR(__xludf.DUMMYFUNCTION("""COMPUTED_VALUE"""),"")</f>
        <v/>
      </c>
      <c r="E645" s="292" t="str">
        <f>IFERROR(__xludf.DUMMYFUNCTION("""COMPUTED_VALUE"""),"")</f>
        <v/>
      </c>
      <c r="F645" s="292"/>
      <c r="G645" s="292" t="str">
        <f>IFERROR(__xludf.DUMMYFUNCTION("""COMPUTED_VALUE"""),"")</f>
        <v/>
      </c>
      <c r="H645" s="292" t="str">
        <f>IFERROR(__xludf.DUMMYFUNCTION("""COMPUTED_VALUE"""),"")</f>
        <v/>
      </c>
      <c r="I645" s="292"/>
      <c r="J645" s="292"/>
      <c r="K645" s="292"/>
      <c r="L645" s="292"/>
      <c r="M645" s="292" t="str">
        <f>IFERROR(__xludf.DUMMYFUNCTION("""COMPUTED_VALUE"""),"")</f>
        <v/>
      </c>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c r="AK645" s="292"/>
      <c r="AL645" s="292"/>
      <c r="AM645" s="292"/>
      <c r="AN645" s="292"/>
      <c r="AO645" s="292"/>
      <c r="AP645" s="292"/>
      <c r="AQ645" s="292"/>
      <c r="AR645" s="292"/>
      <c r="AS645" s="292"/>
      <c r="AT645" s="292"/>
      <c r="AU645" s="292"/>
      <c r="AV645" s="292"/>
      <c r="AW645" s="292"/>
      <c r="AX645" s="292"/>
      <c r="AY645" s="292"/>
      <c r="AZ645" s="292"/>
      <c r="BA645" s="292"/>
      <c r="BB645" s="292"/>
      <c r="BC645" s="292"/>
      <c r="BD645" s="292"/>
      <c r="BE645" s="292"/>
      <c r="BF645" s="292"/>
      <c r="BG645" s="292"/>
      <c r="BH645" s="292"/>
      <c r="BI645" s="292"/>
      <c r="BJ645" s="292"/>
      <c r="BK645" s="292"/>
      <c r="BL645" s="292"/>
      <c r="BM645" s="292"/>
      <c r="BN645" s="292"/>
      <c r="BO645" s="292"/>
      <c r="BP645" s="292"/>
      <c r="BQ645" s="292"/>
      <c r="BR645" s="292"/>
      <c r="BS645" s="292"/>
      <c r="BT645" s="292"/>
      <c r="BU645" s="292"/>
      <c r="BV645" s="292"/>
      <c r="BW645" s="292"/>
    </row>
    <row r="646">
      <c r="A646" s="292"/>
      <c r="B646" s="292" t="str">
        <f>IFERROR(__xludf.DUMMYFUNCTION("""COMPUTED_VALUE"""),"")</f>
        <v/>
      </c>
      <c r="C646" s="292"/>
      <c r="D646" s="292" t="str">
        <f>IFERROR(__xludf.DUMMYFUNCTION("""COMPUTED_VALUE"""),"")</f>
        <v/>
      </c>
      <c r="E646" s="292" t="str">
        <f>IFERROR(__xludf.DUMMYFUNCTION("""COMPUTED_VALUE"""),"")</f>
        <v/>
      </c>
      <c r="F646" s="292"/>
      <c r="G646" s="292" t="str">
        <f>IFERROR(__xludf.DUMMYFUNCTION("""COMPUTED_VALUE"""),"")</f>
        <v/>
      </c>
      <c r="H646" s="292" t="str">
        <f>IFERROR(__xludf.DUMMYFUNCTION("""COMPUTED_VALUE"""),"")</f>
        <v/>
      </c>
      <c r="I646" s="292"/>
      <c r="J646" s="292"/>
      <c r="K646" s="292"/>
      <c r="L646" s="292"/>
      <c r="M646" s="292" t="str">
        <f>IFERROR(__xludf.DUMMYFUNCTION("""COMPUTED_VALUE"""),"")</f>
        <v/>
      </c>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c r="AK646" s="292"/>
      <c r="AL646" s="292"/>
      <c r="AM646" s="292"/>
      <c r="AN646" s="292"/>
      <c r="AO646" s="292"/>
      <c r="AP646" s="292"/>
      <c r="AQ646" s="292"/>
      <c r="AR646" s="292"/>
      <c r="AS646" s="292"/>
      <c r="AT646" s="292"/>
      <c r="AU646" s="292"/>
      <c r="AV646" s="292"/>
      <c r="AW646" s="292"/>
      <c r="AX646" s="292"/>
      <c r="AY646" s="292"/>
      <c r="AZ646" s="292"/>
      <c r="BA646" s="292"/>
      <c r="BB646" s="292"/>
      <c r="BC646" s="292"/>
      <c r="BD646" s="292"/>
      <c r="BE646" s="292"/>
      <c r="BF646" s="292"/>
      <c r="BG646" s="292"/>
      <c r="BH646" s="292"/>
      <c r="BI646" s="292"/>
      <c r="BJ646" s="292"/>
      <c r="BK646" s="292"/>
      <c r="BL646" s="292"/>
      <c r="BM646" s="292"/>
      <c r="BN646" s="292"/>
      <c r="BO646" s="292"/>
      <c r="BP646" s="292"/>
      <c r="BQ646" s="292"/>
      <c r="BR646" s="292"/>
      <c r="BS646" s="292"/>
      <c r="BT646" s="292"/>
      <c r="BU646" s="292"/>
      <c r="BV646" s="292"/>
      <c r="BW646" s="292"/>
    </row>
    <row r="647">
      <c r="A647" s="292"/>
      <c r="B647" s="292" t="str">
        <f>IFERROR(__xludf.DUMMYFUNCTION("""COMPUTED_VALUE"""),"")</f>
        <v/>
      </c>
      <c r="C647" s="292"/>
      <c r="D647" s="292" t="str">
        <f>IFERROR(__xludf.DUMMYFUNCTION("""COMPUTED_VALUE"""),"")</f>
        <v/>
      </c>
      <c r="E647" s="292" t="str">
        <f>IFERROR(__xludf.DUMMYFUNCTION("""COMPUTED_VALUE"""),"")</f>
        <v/>
      </c>
      <c r="F647" s="292"/>
      <c r="G647" s="292" t="str">
        <f>IFERROR(__xludf.DUMMYFUNCTION("""COMPUTED_VALUE"""),"")</f>
        <v/>
      </c>
      <c r="H647" s="292" t="str">
        <f>IFERROR(__xludf.DUMMYFUNCTION("""COMPUTED_VALUE"""),"")</f>
        <v/>
      </c>
      <c r="I647" s="292"/>
      <c r="J647" s="292"/>
      <c r="K647" s="292"/>
      <c r="L647" s="292"/>
      <c r="M647" s="292" t="str">
        <f>IFERROR(__xludf.DUMMYFUNCTION("""COMPUTED_VALUE"""),"")</f>
        <v/>
      </c>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c r="AK647" s="292"/>
      <c r="AL647" s="292"/>
      <c r="AM647" s="292"/>
      <c r="AN647" s="292"/>
      <c r="AO647" s="292"/>
      <c r="AP647" s="292"/>
      <c r="AQ647" s="292"/>
      <c r="AR647" s="292"/>
      <c r="AS647" s="292"/>
      <c r="AT647" s="292"/>
      <c r="AU647" s="292"/>
      <c r="AV647" s="292"/>
      <c r="AW647" s="292"/>
      <c r="AX647" s="292"/>
      <c r="AY647" s="292"/>
      <c r="AZ647" s="292"/>
      <c r="BA647" s="292"/>
      <c r="BB647" s="292"/>
      <c r="BC647" s="292"/>
      <c r="BD647" s="292"/>
      <c r="BE647" s="292"/>
      <c r="BF647" s="292"/>
      <c r="BG647" s="292"/>
      <c r="BH647" s="292"/>
      <c r="BI647" s="292"/>
      <c r="BJ647" s="292"/>
      <c r="BK647" s="292"/>
      <c r="BL647" s="292"/>
      <c r="BM647" s="292"/>
      <c r="BN647" s="292"/>
      <c r="BO647" s="292"/>
      <c r="BP647" s="292"/>
      <c r="BQ647" s="292"/>
      <c r="BR647" s="292"/>
      <c r="BS647" s="292"/>
      <c r="BT647" s="292"/>
      <c r="BU647" s="292"/>
      <c r="BV647" s="292"/>
      <c r="BW647" s="292"/>
    </row>
    <row r="648">
      <c r="A648" s="292"/>
      <c r="B648" s="292" t="str">
        <f>IFERROR(__xludf.DUMMYFUNCTION("""COMPUTED_VALUE"""),"")</f>
        <v/>
      </c>
      <c r="C648" s="292"/>
      <c r="D648" s="292" t="str">
        <f>IFERROR(__xludf.DUMMYFUNCTION("""COMPUTED_VALUE"""),"")</f>
        <v/>
      </c>
      <c r="E648" s="292" t="str">
        <f>IFERROR(__xludf.DUMMYFUNCTION("""COMPUTED_VALUE"""),"")</f>
        <v/>
      </c>
      <c r="F648" s="292"/>
      <c r="G648" s="292" t="str">
        <f>IFERROR(__xludf.DUMMYFUNCTION("""COMPUTED_VALUE"""),"")</f>
        <v/>
      </c>
      <c r="H648" s="292" t="str">
        <f>IFERROR(__xludf.DUMMYFUNCTION("""COMPUTED_VALUE"""),"")</f>
        <v/>
      </c>
      <c r="I648" s="292"/>
      <c r="J648" s="292"/>
      <c r="K648" s="292"/>
      <c r="L648" s="292"/>
      <c r="M648" s="292" t="str">
        <f>IFERROR(__xludf.DUMMYFUNCTION("""COMPUTED_VALUE"""),"")</f>
        <v/>
      </c>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c r="AK648" s="292"/>
      <c r="AL648" s="292"/>
      <c r="AM648" s="292"/>
      <c r="AN648" s="292"/>
      <c r="AO648" s="292"/>
      <c r="AP648" s="292"/>
      <c r="AQ648" s="292"/>
      <c r="AR648" s="292"/>
      <c r="AS648" s="292"/>
      <c r="AT648" s="292"/>
      <c r="AU648" s="292"/>
      <c r="AV648" s="292"/>
      <c r="AW648" s="292"/>
      <c r="AX648" s="292"/>
      <c r="AY648" s="292"/>
      <c r="AZ648" s="292"/>
      <c r="BA648" s="292"/>
      <c r="BB648" s="292"/>
      <c r="BC648" s="292"/>
      <c r="BD648" s="292"/>
      <c r="BE648" s="292"/>
      <c r="BF648" s="292"/>
      <c r="BG648" s="292"/>
      <c r="BH648" s="292"/>
      <c r="BI648" s="292"/>
      <c r="BJ648" s="292"/>
      <c r="BK648" s="292"/>
      <c r="BL648" s="292"/>
      <c r="BM648" s="292"/>
      <c r="BN648" s="292"/>
      <c r="BO648" s="292"/>
      <c r="BP648" s="292"/>
      <c r="BQ648" s="292"/>
      <c r="BR648" s="292"/>
      <c r="BS648" s="292"/>
      <c r="BT648" s="292"/>
      <c r="BU648" s="292"/>
      <c r="BV648" s="292"/>
      <c r="BW648" s="292"/>
    </row>
    <row r="649">
      <c r="A649" s="292"/>
      <c r="B649" s="292" t="str">
        <f>IFERROR(__xludf.DUMMYFUNCTION("""COMPUTED_VALUE"""),"")</f>
        <v/>
      </c>
      <c r="C649" s="292"/>
      <c r="D649" s="292" t="str">
        <f>IFERROR(__xludf.DUMMYFUNCTION("""COMPUTED_VALUE"""),"")</f>
        <v/>
      </c>
      <c r="E649" s="292" t="str">
        <f>IFERROR(__xludf.DUMMYFUNCTION("""COMPUTED_VALUE"""),"")</f>
        <v/>
      </c>
      <c r="F649" s="292"/>
      <c r="G649" s="292" t="str">
        <f>IFERROR(__xludf.DUMMYFUNCTION("""COMPUTED_VALUE"""),"")</f>
        <v/>
      </c>
      <c r="H649" s="292" t="str">
        <f>IFERROR(__xludf.DUMMYFUNCTION("""COMPUTED_VALUE"""),"")</f>
        <v/>
      </c>
      <c r="I649" s="292"/>
      <c r="J649" s="292"/>
      <c r="K649" s="292"/>
      <c r="L649" s="292"/>
      <c r="M649" s="292" t="str">
        <f>IFERROR(__xludf.DUMMYFUNCTION("""COMPUTED_VALUE"""),"")</f>
        <v/>
      </c>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c r="AK649" s="292"/>
      <c r="AL649" s="292"/>
      <c r="AM649" s="292"/>
      <c r="AN649" s="292"/>
      <c r="AO649" s="292"/>
      <c r="AP649" s="292"/>
      <c r="AQ649" s="292"/>
      <c r="AR649" s="292"/>
      <c r="AS649" s="292"/>
      <c r="AT649" s="292"/>
      <c r="AU649" s="292"/>
      <c r="AV649" s="292"/>
      <c r="AW649" s="292"/>
      <c r="AX649" s="292"/>
      <c r="AY649" s="292"/>
      <c r="AZ649" s="292"/>
      <c r="BA649" s="292"/>
      <c r="BB649" s="292"/>
      <c r="BC649" s="292"/>
      <c r="BD649" s="292"/>
      <c r="BE649" s="292"/>
      <c r="BF649" s="292"/>
      <c r="BG649" s="292"/>
      <c r="BH649" s="292"/>
      <c r="BI649" s="292"/>
      <c r="BJ649" s="292"/>
      <c r="BK649" s="292"/>
      <c r="BL649" s="292"/>
      <c r="BM649" s="292"/>
      <c r="BN649" s="292"/>
      <c r="BO649" s="292"/>
      <c r="BP649" s="292"/>
      <c r="BQ649" s="292"/>
      <c r="BR649" s="292"/>
      <c r="BS649" s="292"/>
      <c r="BT649" s="292"/>
      <c r="BU649" s="292"/>
      <c r="BV649" s="292"/>
      <c r="BW649" s="292"/>
    </row>
    <row r="650">
      <c r="A650" s="292"/>
      <c r="B650" s="292" t="str">
        <f>IFERROR(__xludf.DUMMYFUNCTION("""COMPUTED_VALUE"""),"")</f>
        <v/>
      </c>
      <c r="C650" s="292"/>
      <c r="D650" s="292" t="str">
        <f>IFERROR(__xludf.DUMMYFUNCTION("""COMPUTED_VALUE"""),"")</f>
        <v/>
      </c>
      <c r="E650" s="292" t="str">
        <f>IFERROR(__xludf.DUMMYFUNCTION("""COMPUTED_VALUE"""),"")</f>
        <v/>
      </c>
      <c r="F650" s="292"/>
      <c r="G650" s="292" t="str">
        <f>IFERROR(__xludf.DUMMYFUNCTION("""COMPUTED_VALUE"""),"")</f>
        <v/>
      </c>
      <c r="H650" s="292" t="str">
        <f>IFERROR(__xludf.DUMMYFUNCTION("""COMPUTED_VALUE"""),"")</f>
        <v/>
      </c>
      <c r="I650" s="292"/>
      <c r="J650" s="292"/>
      <c r="K650" s="292"/>
      <c r="L650" s="292"/>
      <c r="M650" s="292" t="str">
        <f>IFERROR(__xludf.DUMMYFUNCTION("""COMPUTED_VALUE"""),"")</f>
        <v/>
      </c>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c r="AK650" s="292"/>
      <c r="AL650" s="292"/>
      <c r="AM650" s="292"/>
      <c r="AN650" s="292"/>
      <c r="AO650" s="292"/>
      <c r="AP650" s="292"/>
      <c r="AQ650" s="292"/>
      <c r="AR650" s="292"/>
      <c r="AS650" s="292"/>
      <c r="AT650" s="292"/>
      <c r="AU650" s="292"/>
      <c r="AV650" s="292"/>
      <c r="AW650" s="292"/>
      <c r="AX650" s="292"/>
      <c r="AY650" s="292"/>
      <c r="AZ650" s="292"/>
      <c r="BA650" s="292"/>
      <c r="BB650" s="292"/>
      <c r="BC650" s="292"/>
      <c r="BD650" s="292"/>
      <c r="BE650" s="292"/>
      <c r="BF650" s="292"/>
      <c r="BG650" s="292"/>
      <c r="BH650" s="292"/>
      <c r="BI650" s="292"/>
      <c r="BJ650" s="292"/>
      <c r="BK650" s="292"/>
      <c r="BL650" s="292"/>
      <c r="BM650" s="292"/>
      <c r="BN650" s="292"/>
      <c r="BO650" s="292"/>
      <c r="BP650" s="292"/>
      <c r="BQ650" s="292"/>
      <c r="BR650" s="292"/>
      <c r="BS650" s="292"/>
      <c r="BT650" s="292"/>
      <c r="BU650" s="292"/>
      <c r="BV650" s="292"/>
      <c r="BW650" s="292"/>
    </row>
    <row r="651">
      <c r="A651" s="292"/>
      <c r="B651" s="292" t="str">
        <f>IFERROR(__xludf.DUMMYFUNCTION("""COMPUTED_VALUE"""),"")</f>
        <v/>
      </c>
      <c r="C651" s="292"/>
      <c r="D651" s="292" t="str">
        <f>IFERROR(__xludf.DUMMYFUNCTION("""COMPUTED_VALUE"""),"")</f>
        <v/>
      </c>
      <c r="E651" s="292" t="str">
        <f>IFERROR(__xludf.DUMMYFUNCTION("""COMPUTED_VALUE"""),"")</f>
        <v/>
      </c>
      <c r="F651" s="292"/>
      <c r="G651" s="292" t="str">
        <f>IFERROR(__xludf.DUMMYFUNCTION("""COMPUTED_VALUE"""),"")</f>
        <v/>
      </c>
      <c r="H651" s="292" t="str">
        <f>IFERROR(__xludf.DUMMYFUNCTION("""COMPUTED_VALUE"""),"")</f>
        <v/>
      </c>
      <c r="I651" s="292"/>
      <c r="J651" s="292"/>
      <c r="K651" s="292"/>
      <c r="L651" s="292"/>
      <c r="M651" s="292" t="str">
        <f>IFERROR(__xludf.DUMMYFUNCTION("""COMPUTED_VALUE"""),"")</f>
        <v/>
      </c>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c r="AK651" s="292"/>
      <c r="AL651" s="292"/>
      <c r="AM651" s="292"/>
      <c r="AN651" s="292"/>
      <c r="AO651" s="292"/>
      <c r="AP651" s="292"/>
      <c r="AQ651" s="292"/>
      <c r="AR651" s="292"/>
      <c r="AS651" s="292"/>
      <c r="AT651" s="292"/>
      <c r="AU651" s="292"/>
      <c r="AV651" s="292"/>
      <c r="AW651" s="292"/>
      <c r="AX651" s="292"/>
      <c r="AY651" s="292"/>
      <c r="AZ651" s="292"/>
      <c r="BA651" s="292"/>
      <c r="BB651" s="292"/>
      <c r="BC651" s="292"/>
      <c r="BD651" s="292"/>
      <c r="BE651" s="292"/>
      <c r="BF651" s="292"/>
      <c r="BG651" s="292"/>
      <c r="BH651" s="292"/>
      <c r="BI651" s="292"/>
      <c r="BJ651" s="292"/>
      <c r="BK651" s="292"/>
      <c r="BL651" s="292"/>
      <c r="BM651" s="292"/>
      <c r="BN651" s="292"/>
      <c r="BO651" s="292"/>
      <c r="BP651" s="292"/>
      <c r="BQ651" s="292"/>
      <c r="BR651" s="292"/>
      <c r="BS651" s="292"/>
      <c r="BT651" s="292"/>
      <c r="BU651" s="292"/>
      <c r="BV651" s="292"/>
      <c r="BW651" s="292"/>
    </row>
    <row r="652">
      <c r="A652" s="292"/>
      <c r="B652" s="292" t="str">
        <f>IFERROR(__xludf.DUMMYFUNCTION("""COMPUTED_VALUE"""),"")</f>
        <v/>
      </c>
      <c r="C652" s="292"/>
      <c r="D652" s="292" t="str">
        <f>IFERROR(__xludf.DUMMYFUNCTION("""COMPUTED_VALUE"""),"")</f>
        <v/>
      </c>
      <c r="E652" s="292" t="str">
        <f>IFERROR(__xludf.DUMMYFUNCTION("""COMPUTED_VALUE"""),"")</f>
        <v/>
      </c>
      <c r="F652" s="292"/>
      <c r="G652" s="292" t="str">
        <f>IFERROR(__xludf.DUMMYFUNCTION("""COMPUTED_VALUE"""),"")</f>
        <v/>
      </c>
      <c r="H652" s="292" t="str">
        <f>IFERROR(__xludf.DUMMYFUNCTION("""COMPUTED_VALUE"""),"")</f>
        <v/>
      </c>
      <c r="I652" s="292"/>
      <c r="J652" s="292"/>
      <c r="K652" s="292"/>
      <c r="L652" s="292"/>
      <c r="M652" s="292" t="str">
        <f>IFERROR(__xludf.DUMMYFUNCTION("""COMPUTED_VALUE"""),"")</f>
        <v/>
      </c>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c r="AK652" s="292"/>
      <c r="AL652" s="292"/>
      <c r="AM652" s="292"/>
      <c r="AN652" s="292"/>
      <c r="AO652" s="292"/>
      <c r="AP652" s="292"/>
      <c r="AQ652" s="292"/>
      <c r="AR652" s="292"/>
      <c r="AS652" s="292"/>
      <c r="AT652" s="292"/>
      <c r="AU652" s="292"/>
      <c r="AV652" s="292"/>
      <c r="AW652" s="292"/>
      <c r="AX652" s="292"/>
      <c r="AY652" s="292"/>
      <c r="AZ652" s="292"/>
      <c r="BA652" s="292"/>
      <c r="BB652" s="292"/>
      <c r="BC652" s="292"/>
      <c r="BD652" s="292"/>
      <c r="BE652" s="292"/>
      <c r="BF652" s="292"/>
      <c r="BG652" s="292"/>
      <c r="BH652" s="292"/>
      <c r="BI652" s="292"/>
      <c r="BJ652" s="292"/>
      <c r="BK652" s="292"/>
      <c r="BL652" s="292"/>
      <c r="BM652" s="292"/>
      <c r="BN652" s="292"/>
      <c r="BO652" s="292"/>
      <c r="BP652" s="292"/>
      <c r="BQ652" s="292"/>
      <c r="BR652" s="292"/>
      <c r="BS652" s="292"/>
      <c r="BT652" s="292"/>
      <c r="BU652" s="292"/>
      <c r="BV652" s="292"/>
      <c r="BW652" s="292"/>
    </row>
    <row r="653">
      <c r="A653" s="292"/>
      <c r="B653" s="292" t="str">
        <f>IFERROR(__xludf.DUMMYFUNCTION("""COMPUTED_VALUE"""),"")</f>
        <v/>
      </c>
      <c r="C653" s="292"/>
      <c r="D653" s="292" t="str">
        <f>IFERROR(__xludf.DUMMYFUNCTION("""COMPUTED_VALUE"""),"")</f>
        <v/>
      </c>
      <c r="E653" s="292" t="str">
        <f>IFERROR(__xludf.DUMMYFUNCTION("""COMPUTED_VALUE"""),"")</f>
        <v/>
      </c>
      <c r="F653" s="292"/>
      <c r="G653" s="292" t="str">
        <f>IFERROR(__xludf.DUMMYFUNCTION("""COMPUTED_VALUE"""),"")</f>
        <v/>
      </c>
      <c r="H653" s="292" t="str">
        <f>IFERROR(__xludf.DUMMYFUNCTION("""COMPUTED_VALUE"""),"")</f>
        <v/>
      </c>
      <c r="I653" s="292"/>
      <c r="J653" s="292"/>
      <c r="K653" s="292"/>
      <c r="L653" s="292"/>
      <c r="M653" s="292" t="str">
        <f>IFERROR(__xludf.DUMMYFUNCTION("""COMPUTED_VALUE"""),"")</f>
        <v/>
      </c>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c r="AK653" s="292"/>
      <c r="AL653" s="292"/>
      <c r="AM653" s="292"/>
      <c r="AN653" s="292"/>
      <c r="AO653" s="292"/>
      <c r="AP653" s="292"/>
      <c r="AQ653" s="292"/>
      <c r="AR653" s="292"/>
      <c r="AS653" s="292"/>
      <c r="AT653" s="292"/>
      <c r="AU653" s="292"/>
      <c r="AV653" s="292"/>
      <c r="AW653" s="292"/>
      <c r="AX653" s="292"/>
      <c r="AY653" s="292"/>
      <c r="AZ653" s="292"/>
      <c r="BA653" s="292"/>
      <c r="BB653" s="292"/>
      <c r="BC653" s="292"/>
      <c r="BD653" s="292"/>
      <c r="BE653" s="292"/>
      <c r="BF653" s="292"/>
      <c r="BG653" s="292"/>
      <c r="BH653" s="292"/>
      <c r="BI653" s="292"/>
      <c r="BJ653" s="292"/>
      <c r="BK653" s="292"/>
      <c r="BL653" s="292"/>
      <c r="BM653" s="292"/>
      <c r="BN653" s="292"/>
      <c r="BO653" s="292"/>
      <c r="BP653" s="292"/>
      <c r="BQ653" s="292"/>
      <c r="BR653" s="292"/>
      <c r="BS653" s="292"/>
      <c r="BT653" s="292"/>
      <c r="BU653" s="292"/>
      <c r="BV653" s="292"/>
      <c r="BW653" s="292"/>
    </row>
    <row r="654">
      <c r="A654" s="292"/>
      <c r="B654" s="292" t="str">
        <f>IFERROR(__xludf.DUMMYFUNCTION("""COMPUTED_VALUE"""),"")</f>
        <v/>
      </c>
      <c r="C654" s="292"/>
      <c r="D654" s="292" t="str">
        <f>IFERROR(__xludf.DUMMYFUNCTION("""COMPUTED_VALUE"""),"")</f>
        <v/>
      </c>
      <c r="E654" s="292" t="str">
        <f>IFERROR(__xludf.DUMMYFUNCTION("""COMPUTED_VALUE"""),"")</f>
        <v/>
      </c>
      <c r="F654" s="292"/>
      <c r="G654" s="292" t="str">
        <f>IFERROR(__xludf.DUMMYFUNCTION("""COMPUTED_VALUE"""),"")</f>
        <v/>
      </c>
      <c r="H654" s="292" t="str">
        <f>IFERROR(__xludf.DUMMYFUNCTION("""COMPUTED_VALUE"""),"")</f>
        <v/>
      </c>
      <c r="I654" s="292"/>
      <c r="J654" s="292"/>
      <c r="K654" s="292"/>
      <c r="L654" s="292"/>
      <c r="M654" s="292" t="str">
        <f>IFERROR(__xludf.DUMMYFUNCTION("""COMPUTED_VALUE"""),"")</f>
        <v/>
      </c>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c r="AK654" s="292"/>
      <c r="AL654" s="292"/>
      <c r="AM654" s="292"/>
      <c r="AN654" s="292"/>
      <c r="AO654" s="292"/>
      <c r="AP654" s="292"/>
      <c r="AQ654" s="292"/>
      <c r="AR654" s="292"/>
      <c r="AS654" s="292"/>
      <c r="AT654" s="292"/>
      <c r="AU654" s="292"/>
      <c r="AV654" s="292"/>
      <c r="AW654" s="292"/>
      <c r="AX654" s="292"/>
      <c r="AY654" s="292"/>
      <c r="AZ654" s="292"/>
      <c r="BA654" s="292"/>
      <c r="BB654" s="292"/>
      <c r="BC654" s="292"/>
      <c r="BD654" s="292"/>
      <c r="BE654" s="292"/>
      <c r="BF654" s="292"/>
      <c r="BG654" s="292"/>
      <c r="BH654" s="292"/>
      <c r="BI654" s="292"/>
      <c r="BJ654" s="292"/>
      <c r="BK654" s="292"/>
      <c r="BL654" s="292"/>
      <c r="BM654" s="292"/>
      <c r="BN654" s="292"/>
      <c r="BO654" s="292"/>
      <c r="BP654" s="292"/>
      <c r="BQ654" s="292"/>
      <c r="BR654" s="292"/>
      <c r="BS654" s="292"/>
      <c r="BT654" s="292"/>
      <c r="BU654" s="292"/>
      <c r="BV654" s="292"/>
      <c r="BW654" s="292"/>
    </row>
    <row r="655">
      <c r="A655" s="292"/>
      <c r="B655" s="292" t="str">
        <f>IFERROR(__xludf.DUMMYFUNCTION("""COMPUTED_VALUE"""),"")</f>
        <v/>
      </c>
      <c r="C655" s="292"/>
      <c r="D655" s="292" t="str">
        <f>IFERROR(__xludf.DUMMYFUNCTION("""COMPUTED_VALUE"""),"")</f>
        <v/>
      </c>
      <c r="E655" s="292" t="str">
        <f>IFERROR(__xludf.DUMMYFUNCTION("""COMPUTED_VALUE"""),"")</f>
        <v/>
      </c>
      <c r="F655" s="292"/>
      <c r="G655" s="292" t="str">
        <f>IFERROR(__xludf.DUMMYFUNCTION("""COMPUTED_VALUE"""),"")</f>
        <v/>
      </c>
      <c r="H655" s="292" t="str">
        <f>IFERROR(__xludf.DUMMYFUNCTION("""COMPUTED_VALUE"""),"")</f>
        <v/>
      </c>
      <c r="I655" s="292"/>
      <c r="J655" s="292"/>
      <c r="K655" s="292"/>
      <c r="L655" s="292"/>
      <c r="M655" s="292" t="str">
        <f>IFERROR(__xludf.DUMMYFUNCTION("""COMPUTED_VALUE"""),"")</f>
        <v/>
      </c>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c r="AK655" s="292"/>
      <c r="AL655" s="292"/>
      <c r="AM655" s="292"/>
      <c r="AN655" s="292"/>
      <c r="AO655" s="292"/>
      <c r="AP655" s="292"/>
      <c r="AQ655" s="292"/>
      <c r="AR655" s="292"/>
      <c r="AS655" s="292"/>
      <c r="AT655" s="292"/>
      <c r="AU655" s="292"/>
      <c r="AV655" s="292"/>
      <c r="AW655" s="292"/>
      <c r="AX655" s="292"/>
      <c r="AY655" s="292"/>
      <c r="AZ655" s="292"/>
      <c r="BA655" s="292"/>
      <c r="BB655" s="292"/>
      <c r="BC655" s="292"/>
      <c r="BD655" s="292"/>
      <c r="BE655" s="292"/>
      <c r="BF655" s="292"/>
      <c r="BG655" s="292"/>
      <c r="BH655" s="292"/>
      <c r="BI655" s="292"/>
      <c r="BJ655" s="292"/>
      <c r="BK655" s="292"/>
      <c r="BL655" s="292"/>
      <c r="BM655" s="292"/>
      <c r="BN655" s="292"/>
      <c r="BO655" s="292"/>
      <c r="BP655" s="292"/>
      <c r="BQ655" s="292"/>
      <c r="BR655" s="292"/>
      <c r="BS655" s="292"/>
      <c r="BT655" s="292"/>
      <c r="BU655" s="292"/>
      <c r="BV655" s="292"/>
      <c r="BW655" s="292"/>
    </row>
    <row r="656">
      <c r="A656" s="292"/>
      <c r="B656" s="292" t="str">
        <f>IFERROR(__xludf.DUMMYFUNCTION("""COMPUTED_VALUE"""),"")</f>
        <v/>
      </c>
      <c r="C656" s="292"/>
      <c r="D656" s="292" t="str">
        <f>IFERROR(__xludf.DUMMYFUNCTION("""COMPUTED_VALUE"""),"")</f>
        <v/>
      </c>
      <c r="E656" s="292" t="str">
        <f>IFERROR(__xludf.DUMMYFUNCTION("""COMPUTED_VALUE"""),"")</f>
        <v/>
      </c>
      <c r="F656" s="292"/>
      <c r="G656" s="292" t="str">
        <f>IFERROR(__xludf.DUMMYFUNCTION("""COMPUTED_VALUE"""),"")</f>
        <v/>
      </c>
      <c r="H656" s="292" t="str">
        <f>IFERROR(__xludf.DUMMYFUNCTION("""COMPUTED_VALUE"""),"")</f>
        <v/>
      </c>
      <c r="I656" s="292"/>
      <c r="J656" s="292"/>
      <c r="K656" s="292"/>
      <c r="L656" s="292"/>
      <c r="M656" s="292" t="str">
        <f>IFERROR(__xludf.DUMMYFUNCTION("""COMPUTED_VALUE"""),"")</f>
        <v/>
      </c>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c r="AK656" s="292"/>
      <c r="AL656" s="292"/>
      <c r="AM656" s="292"/>
      <c r="AN656" s="292"/>
      <c r="AO656" s="292"/>
      <c r="AP656" s="292"/>
      <c r="AQ656" s="292"/>
      <c r="AR656" s="292"/>
      <c r="AS656" s="292"/>
      <c r="AT656" s="292"/>
      <c r="AU656" s="292"/>
      <c r="AV656" s="292"/>
      <c r="AW656" s="292"/>
      <c r="AX656" s="292"/>
      <c r="AY656" s="292"/>
      <c r="AZ656" s="292"/>
      <c r="BA656" s="292"/>
      <c r="BB656" s="292"/>
      <c r="BC656" s="292"/>
      <c r="BD656" s="292"/>
      <c r="BE656" s="292"/>
      <c r="BF656" s="292"/>
      <c r="BG656" s="292"/>
      <c r="BH656" s="292"/>
      <c r="BI656" s="292"/>
      <c r="BJ656" s="292"/>
      <c r="BK656" s="292"/>
      <c r="BL656" s="292"/>
      <c r="BM656" s="292"/>
      <c r="BN656" s="292"/>
      <c r="BO656" s="292"/>
      <c r="BP656" s="292"/>
      <c r="BQ656" s="292"/>
      <c r="BR656" s="292"/>
      <c r="BS656" s="292"/>
      <c r="BT656" s="292"/>
      <c r="BU656" s="292"/>
      <c r="BV656" s="292"/>
      <c r="BW656" s="292"/>
    </row>
    <row r="657">
      <c r="A657" s="292"/>
      <c r="B657" s="292" t="str">
        <f>IFERROR(__xludf.DUMMYFUNCTION("""COMPUTED_VALUE"""),"")</f>
        <v/>
      </c>
      <c r="C657" s="292"/>
      <c r="D657" s="292" t="str">
        <f>IFERROR(__xludf.DUMMYFUNCTION("""COMPUTED_VALUE"""),"")</f>
        <v/>
      </c>
      <c r="E657" s="292" t="str">
        <f>IFERROR(__xludf.DUMMYFUNCTION("""COMPUTED_VALUE"""),"")</f>
        <v/>
      </c>
      <c r="F657" s="292"/>
      <c r="G657" s="292" t="str">
        <f>IFERROR(__xludf.DUMMYFUNCTION("""COMPUTED_VALUE"""),"")</f>
        <v/>
      </c>
      <c r="H657" s="292" t="str">
        <f>IFERROR(__xludf.DUMMYFUNCTION("""COMPUTED_VALUE"""),"")</f>
        <v/>
      </c>
      <c r="I657" s="292"/>
      <c r="J657" s="292"/>
      <c r="K657" s="292"/>
      <c r="L657" s="292"/>
      <c r="M657" s="292" t="str">
        <f>IFERROR(__xludf.DUMMYFUNCTION("""COMPUTED_VALUE"""),"")</f>
        <v/>
      </c>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c r="AK657" s="292"/>
      <c r="AL657" s="292"/>
      <c r="AM657" s="292"/>
      <c r="AN657" s="292"/>
      <c r="AO657" s="292"/>
      <c r="AP657" s="292"/>
      <c r="AQ657" s="292"/>
      <c r="AR657" s="292"/>
      <c r="AS657" s="292"/>
      <c r="AT657" s="292"/>
      <c r="AU657" s="292"/>
      <c r="AV657" s="292"/>
      <c r="AW657" s="292"/>
      <c r="AX657" s="292"/>
      <c r="AY657" s="292"/>
      <c r="AZ657" s="292"/>
      <c r="BA657" s="292"/>
      <c r="BB657" s="292"/>
      <c r="BC657" s="292"/>
      <c r="BD657" s="292"/>
      <c r="BE657" s="292"/>
      <c r="BF657" s="292"/>
      <c r="BG657" s="292"/>
      <c r="BH657" s="292"/>
      <c r="BI657" s="292"/>
      <c r="BJ657" s="292"/>
      <c r="BK657" s="292"/>
      <c r="BL657" s="292"/>
      <c r="BM657" s="292"/>
      <c r="BN657" s="292"/>
      <c r="BO657" s="292"/>
      <c r="BP657" s="292"/>
      <c r="BQ657" s="292"/>
      <c r="BR657" s="292"/>
      <c r="BS657" s="292"/>
      <c r="BT657" s="292"/>
      <c r="BU657" s="292"/>
      <c r="BV657" s="292"/>
      <c r="BW657" s="292"/>
    </row>
    <row r="658">
      <c r="A658" s="292"/>
      <c r="B658" s="292" t="str">
        <f>IFERROR(__xludf.DUMMYFUNCTION("""COMPUTED_VALUE"""),"")</f>
        <v/>
      </c>
      <c r="C658" s="292"/>
      <c r="D658" s="292" t="str">
        <f>IFERROR(__xludf.DUMMYFUNCTION("""COMPUTED_VALUE"""),"")</f>
        <v/>
      </c>
      <c r="E658" s="292" t="str">
        <f>IFERROR(__xludf.DUMMYFUNCTION("""COMPUTED_VALUE"""),"")</f>
        <v/>
      </c>
      <c r="F658" s="292"/>
      <c r="G658" s="292" t="str">
        <f>IFERROR(__xludf.DUMMYFUNCTION("""COMPUTED_VALUE"""),"")</f>
        <v/>
      </c>
      <c r="H658" s="292" t="str">
        <f>IFERROR(__xludf.DUMMYFUNCTION("""COMPUTED_VALUE"""),"")</f>
        <v/>
      </c>
      <c r="I658" s="292"/>
      <c r="J658" s="292"/>
      <c r="K658" s="292"/>
      <c r="L658" s="292"/>
      <c r="M658" s="292" t="str">
        <f>IFERROR(__xludf.DUMMYFUNCTION("""COMPUTED_VALUE"""),"")</f>
        <v/>
      </c>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c r="AK658" s="292"/>
      <c r="AL658" s="292"/>
      <c r="AM658" s="292"/>
      <c r="AN658" s="292"/>
      <c r="AO658" s="292"/>
      <c r="AP658" s="292"/>
      <c r="AQ658" s="292"/>
      <c r="AR658" s="292"/>
      <c r="AS658" s="292"/>
      <c r="AT658" s="292"/>
      <c r="AU658" s="292"/>
      <c r="AV658" s="292"/>
      <c r="AW658" s="292"/>
      <c r="AX658" s="292"/>
      <c r="AY658" s="292"/>
      <c r="AZ658" s="292"/>
      <c r="BA658" s="292"/>
      <c r="BB658" s="292"/>
      <c r="BC658" s="292"/>
      <c r="BD658" s="292"/>
      <c r="BE658" s="292"/>
      <c r="BF658" s="292"/>
      <c r="BG658" s="292"/>
      <c r="BH658" s="292"/>
      <c r="BI658" s="292"/>
      <c r="BJ658" s="292"/>
      <c r="BK658" s="292"/>
      <c r="BL658" s="292"/>
      <c r="BM658" s="292"/>
      <c r="BN658" s="292"/>
      <c r="BO658" s="292"/>
      <c r="BP658" s="292"/>
      <c r="BQ658" s="292"/>
      <c r="BR658" s="292"/>
      <c r="BS658" s="292"/>
      <c r="BT658" s="292"/>
      <c r="BU658" s="292"/>
      <c r="BV658" s="292"/>
      <c r="BW658" s="292"/>
    </row>
    <row r="659">
      <c r="A659" s="292"/>
      <c r="B659" s="292" t="str">
        <f>IFERROR(__xludf.DUMMYFUNCTION("""COMPUTED_VALUE"""),"")</f>
        <v/>
      </c>
      <c r="C659" s="292"/>
      <c r="D659" s="292" t="str">
        <f>IFERROR(__xludf.DUMMYFUNCTION("""COMPUTED_VALUE"""),"")</f>
        <v/>
      </c>
      <c r="E659" s="292" t="str">
        <f>IFERROR(__xludf.DUMMYFUNCTION("""COMPUTED_VALUE"""),"")</f>
        <v/>
      </c>
      <c r="F659" s="292"/>
      <c r="G659" s="292" t="str">
        <f>IFERROR(__xludf.DUMMYFUNCTION("""COMPUTED_VALUE"""),"")</f>
        <v/>
      </c>
      <c r="H659" s="292" t="str">
        <f>IFERROR(__xludf.DUMMYFUNCTION("""COMPUTED_VALUE"""),"")</f>
        <v/>
      </c>
      <c r="I659" s="292"/>
      <c r="J659" s="292"/>
      <c r="K659" s="292"/>
      <c r="L659" s="292"/>
      <c r="M659" s="292" t="str">
        <f>IFERROR(__xludf.DUMMYFUNCTION("""COMPUTED_VALUE"""),"")</f>
        <v/>
      </c>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c r="AK659" s="292"/>
      <c r="AL659" s="292"/>
      <c r="AM659" s="292"/>
      <c r="AN659" s="292"/>
      <c r="AO659" s="292"/>
      <c r="AP659" s="292"/>
      <c r="AQ659" s="292"/>
      <c r="AR659" s="292"/>
      <c r="AS659" s="292"/>
      <c r="AT659" s="292"/>
      <c r="AU659" s="292"/>
      <c r="AV659" s="292"/>
      <c r="AW659" s="292"/>
      <c r="AX659" s="292"/>
      <c r="AY659" s="292"/>
      <c r="AZ659" s="292"/>
      <c r="BA659" s="292"/>
      <c r="BB659" s="292"/>
      <c r="BC659" s="292"/>
      <c r="BD659" s="292"/>
      <c r="BE659" s="292"/>
      <c r="BF659" s="292"/>
      <c r="BG659" s="292"/>
      <c r="BH659" s="292"/>
      <c r="BI659" s="292"/>
      <c r="BJ659" s="292"/>
      <c r="BK659" s="292"/>
      <c r="BL659" s="292"/>
      <c r="BM659" s="292"/>
      <c r="BN659" s="292"/>
      <c r="BO659" s="292"/>
      <c r="BP659" s="292"/>
      <c r="BQ659" s="292"/>
      <c r="BR659" s="292"/>
      <c r="BS659" s="292"/>
      <c r="BT659" s="292"/>
      <c r="BU659" s="292"/>
      <c r="BV659" s="292"/>
      <c r="BW659" s="292"/>
    </row>
    <row r="660">
      <c r="A660" s="292"/>
      <c r="B660" s="292" t="str">
        <f>IFERROR(__xludf.DUMMYFUNCTION("""COMPUTED_VALUE"""),"")</f>
        <v/>
      </c>
      <c r="C660" s="292"/>
      <c r="D660" s="292" t="str">
        <f>IFERROR(__xludf.DUMMYFUNCTION("""COMPUTED_VALUE"""),"")</f>
        <v/>
      </c>
      <c r="E660" s="292" t="str">
        <f>IFERROR(__xludf.DUMMYFUNCTION("""COMPUTED_VALUE"""),"")</f>
        <v/>
      </c>
      <c r="F660" s="292"/>
      <c r="G660" s="292" t="str">
        <f>IFERROR(__xludf.DUMMYFUNCTION("""COMPUTED_VALUE"""),"")</f>
        <v/>
      </c>
      <c r="H660" s="292" t="str">
        <f>IFERROR(__xludf.DUMMYFUNCTION("""COMPUTED_VALUE"""),"")</f>
        <v/>
      </c>
      <c r="I660" s="292"/>
      <c r="J660" s="292"/>
      <c r="K660" s="292"/>
      <c r="L660" s="292"/>
      <c r="M660" s="292" t="str">
        <f>IFERROR(__xludf.DUMMYFUNCTION("""COMPUTED_VALUE"""),"")</f>
        <v/>
      </c>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c r="AK660" s="292"/>
      <c r="AL660" s="292"/>
      <c r="AM660" s="292"/>
      <c r="AN660" s="292"/>
      <c r="AO660" s="292"/>
      <c r="AP660" s="292"/>
      <c r="AQ660" s="292"/>
      <c r="AR660" s="292"/>
      <c r="AS660" s="292"/>
      <c r="AT660" s="292"/>
      <c r="AU660" s="292"/>
      <c r="AV660" s="292"/>
      <c r="AW660" s="292"/>
      <c r="AX660" s="292"/>
      <c r="AY660" s="292"/>
      <c r="AZ660" s="292"/>
      <c r="BA660" s="292"/>
      <c r="BB660" s="292"/>
      <c r="BC660" s="292"/>
      <c r="BD660" s="292"/>
      <c r="BE660" s="292"/>
      <c r="BF660" s="292"/>
      <c r="BG660" s="292"/>
      <c r="BH660" s="292"/>
      <c r="BI660" s="292"/>
      <c r="BJ660" s="292"/>
      <c r="BK660" s="292"/>
      <c r="BL660" s="292"/>
      <c r="BM660" s="292"/>
      <c r="BN660" s="292"/>
      <c r="BO660" s="292"/>
      <c r="BP660" s="292"/>
      <c r="BQ660" s="292"/>
      <c r="BR660" s="292"/>
      <c r="BS660" s="292"/>
      <c r="BT660" s="292"/>
      <c r="BU660" s="292"/>
      <c r="BV660" s="292"/>
      <c r="BW660" s="292"/>
    </row>
    <row r="661">
      <c r="A661" s="292"/>
      <c r="B661" s="292" t="str">
        <f>IFERROR(__xludf.DUMMYFUNCTION("""COMPUTED_VALUE"""),"")</f>
        <v/>
      </c>
      <c r="C661" s="292"/>
      <c r="D661" s="292" t="str">
        <f>IFERROR(__xludf.DUMMYFUNCTION("""COMPUTED_VALUE"""),"")</f>
        <v/>
      </c>
      <c r="E661" s="292" t="str">
        <f>IFERROR(__xludf.DUMMYFUNCTION("""COMPUTED_VALUE"""),"")</f>
        <v/>
      </c>
      <c r="F661" s="292"/>
      <c r="G661" s="292" t="str">
        <f>IFERROR(__xludf.DUMMYFUNCTION("""COMPUTED_VALUE"""),"")</f>
        <v/>
      </c>
      <c r="H661" s="292" t="str">
        <f>IFERROR(__xludf.DUMMYFUNCTION("""COMPUTED_VALUE"""),"")</f>
        <v/>
      </c>
      <c r="I661" s="292"/>
      <c r="J661" s="292"/>
      <c r="K661" s="292"/>
      <c r="L661" s="292"/>
      <c r="M661" s="292" t="str">
        <f>IFERROR(__xludf.DUMMYFUNCTION("""COMPUTED_VALUE"""),"")</f>
        <v/>
      </c>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c r="AK661" s="292"/>
      <c r="AL661" s="292"/>
      <c r="AM661" s="292"/>
      <c r="AN661" s="292"/>
      <c r="AO661" s="292"/>
      <c r="AP661" s="292"/>
      <c r="AQ661" s="292"/>
      <c r="AR661" s="292"/>
      <c r="AS661" s="292"/>
      <c r="AT661" s="292"/>
      <c r="AU661" s="292"/>
      <c r="AV661" s="292"/>
      <c r="AW661" s="292"/>
      <c r="AX661" s="292"/>
      <c r="AY661" s="292"/>
      <c r="AZ661" s="292"/>
      <c r="BA661" s="292"/>
      <c r="BB661" s="292"/>
      <c r="BC661" s="292"/>
      <c r="BD661" s="292"/>
      <c r="BE661" s="292"/>
      <c r="BF661" s="292"/>
      <c r="BG661" s="292"/>
      <c r="BH661" s="292"/>
      <c r="BI661" s="292"/>
      <c r="BJ661" s="292"/>
      <c r="BK661" s="292"/>
      <c r="BL661" s="292"/>
      <c r="BM661" s="292"/>
      <c r="BN661" s="292"/>
      <c r="BO661" s="292"/>
      <c r="BP661" s="292"/>
      <c r="BQ661" s="292"/>
      <c r="BR661" s="292"/>
      <c r="BS661" s="292"/>
      <c r="BT661" s="292"/>
      <c r="BU661" s="292"/>
      <c r="BV661" s="292"/>
      <c r="BW661" s="292"/>
    </row>
    <row r="662">
      <c r="A662" s="292"/>
      <c r="B662" s="292" t="str">
        <f>IFERROR(__xludf.DUMMYFUNCTION("""COMPUTED_VALUE"""),"")</f>
        <v/>
      </c>
      <c r="C662" s="292"/>
      <c r="D662" s="292" t="str">
        <f>IFERROR(__xludf.DUMMYFUNCTION("""COMPUTED_VALUE"""),"")</f>
        <v/>
      </c>
      <c r="E662" s="292" t="str">
        <f>IFERROR(__xludf.DUMMYFUNCTION("""COMPUTED_VALUE"""),"")</f>
        <v/>
      </c>
      <c r="F662" s="292"/>
      <c r="G662" s="292" t="str">
        <f>IFERROR(__xludf.DUMMYFUNCTION("""COMPUTED_VALUE"""),"")</f>
        <v/>
      </c>
      <c r="H662" s="292" t="str">
        <f>IFERROR(__xludf.DUMMYFUNCTION("""COMPUTED_VALUE"""),"")</f>
        <v/>
      </c>
      <c r="I662" s="292"/>
      <c r="J662" s="292"/>
      <c r="K662" s="292"/>
      <c r="L662" s="292"/>
      <c r="M662" s="292" t="str">
        <f>IFERROR(__xludf.DUMMYFUNCTION("""COMPUTED_VALUE"""),"")</f>
        <v/>
      </c>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c r="AK662" s="292"/>
      <c r="AL662" s="292"/>
      <c r="AM662" s="292"/>
      <c r="AN662" s="292"/>
      <c r="AO662" s="292"/>
      <c r="AP662" s="292"/>
      <c r="AQ662" s="292"/>
      <c r="AR662" s="292"/>
      <c r="AS662" s="292"/>
      <c r="AT662" s="292"/>
      <c r="AU662" s="292"/>
      <c r="AV662" s="292"/>
      <c r="AW662" s="292"/>
      <c r="AX662" s="292"/>
      <c r="AY662" s="292"/>
      <c r="AZ662" s="292"/>
      <c r="BA662" s="292"/>
      <c r="BB662" s="292"/>
      <c r="BC662" s="292"/>
      <c r="BD662" s="292"/>
      <c r="BE662" s="292"/>
      <c r="BF662" s="292"/>
      <c r="BG662" s="292"/>
      <c r="BH662" s="292"/>
      <c r="BI662" s="292"/>
      <c r="BJ662" s="292"/>
      <c r="BK662" s="292"/>
      <c r="BL662" s="292"/>
      <c r="BM662" s="292"/>
      <c r="BN662" s="292"/>
      <c r="BO662" s="292"/>
      <c r="BP662" s="292"/>
      <c r="BQ662" s="292"/>
      <c r="BR662" s="292"/>
      <c r="BS662" s="292"/>
      <c r="BT662" s="292"/>
      <c r="BU662" s="292"/>
      <c r="BV662" s="292"/>
      <c r="BW662" s="292"/>
    </row>
    <row r="663">
      <c r="A663" s="292"/>
      <c r="B663" s="292" t="str">
        <f>IFERROR(__xludf.DUMMYFUNCTION("""COMPUTED_VALUE"""),"")</f>
        <v/>
      </c>
      <c r="C663" s="292"/>
      <c r="D663" s="292" t="str">
        <f>IFERROR(__xludf.DUMMYFUNCTION("""COMPUTED_VALUE"""),"")</f>
        <v/>
      </c>
      <c r="E663" s="292" t="str">
        <f>IFERROR(__xludf.DUMMYFUNCTION("""COMPUTED_VALUE"""),"")</f>
        <v/>
      </c>
      <c r="F663" s="292"/>
      <c r="G663" s="292" t="str">
        <f>IFERROR(__xludf.DUMMYFUNCTION("""COMPUTED_VALUE"""),"")</f>
        <v/>
      </c>
      <c r="H663" s="292" t="str">
        <f>IFERROR(__xludf.DUMMYFUNCTION("""COMPUTED_VALUE"""),"")</f>
        <v/>
      </c>
      <c r="I663" s="292"/>
      <c r="J663" s="292"/>
      <c r="K663" s="292"/>
      <c r="L663" s="292"/>
      <c r="M663" s="292" t="str">
        <f>IFERROR(__xludf.DUMMYFUNCTION("""COMPUTED_VALUE"""),"")</f>
        <v/>
      </c>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c r="AK663" s="292"/>
      <c r="AL663" s="292"/>
      <c r="AM663" s="292"/>
      <c r="AN663" s="292"/>
      <c r="AO663" s="292"/>
      <c r="AP663" s="292"/>
      <c r="AQ663" s="292"/>
      <c r="AR663" s="292"/>
      <c r="AS663" s="292"/>
      <c r="AT663" s="292"/>
      <c r="AU663" s="292"/>
      <c r="AV663" s="292"/>
      <c r="AW663" s="292"/>
      <c r="AX663" s="292"/>
      <c r="AY663" s="292"/>
      <c r="AZ663" s="292"/>
      <c r="BA663" s="292"/>
      <c r="BB663" s="292"/>
      <c r="BC663" s="292"/>
      <c r="BD663" s="292"/>
      <c r="BE663" s="292"/>
      <c r="BF663" s="292"/>
      <c r="BG663" s="292"/>
      <c r="BH663" s="292"/>
      <c r="BI663" s="292"/>
      <c r="BJ663" s="292"/>
      <c r="BK663" s="292"/>
      <c r="BL663" s="292"/>
      <c r="BM663" s="292"/>
      <c r="BN663" s="292"/>
      <c r="BO663" s="292"/>
      <c r="BP663" s="292"/>
      <c r="BQ663" s="292"/>
      <c r="BR663" s="292"/>
      <c r="BS663" s="292"/>
      <c r="BT663" s="292"/>
      <c r="BU663" s="292"/>
      <c r="BV663" s="292"/>
      <c r="BW663" s="292"/>
    </row>
    <row r="664">
      <c r="A664" s="292"/>
      <c r="B664" s="292" t="str">
        <f>IFERROR(__xludf.DUMMYFUNCTION("""COMPUTED_VALUE"""),"")</f>
        <v/>
      </c>
      <c r="C664" s="292"/>
      <c r="D664" s="292" t="str">
        <f>IFERROR(__xludf.DUMMYFUNCTION("""COMPUTED_VALUE"""),"")</f>
        <v/>
      </c>
      <c r="E664" s="292" t="str">
        <f>IFERROR(__xludf.DUMMYFUNCTION("""COMPUTED_VALUE"""),"")</f>
        <v/>
      </c>
      <c r="F664" s="292"/>
      <c r="G664" s="292" t="str">
        <f>IFERROR(__xludf.DUMMYFUNCTION("""COMPUTED_VALUE"""),"")</f>
        <v/>
      </c>
      <c r="H664" s="292" t="str">
        <f>IFERROR(__xludf.DUMMYFUNCTION("""COMPUTED_VALUE"""),"")</f>
        <v/>
      </c>
      <c r="I664" s="292"/>
      <c r="J664" s="292"/>
      <c r="K664" s="292"/>
      <c r="L664" s="292"/>
      <c r="M664" s="292" t="str">
        <f>IFERROR(__xludf.DUMMYFUNCTION("""COMPUTED_VALUE"""),"")</f>
        <v/>
      </c>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c r="AK664" s="292"/>
      <c r="AL664" s="292"/>
      <c r="AM664" s="292"/>
      <c r="AN664" s="292"/>
      <c r="AO664" s="292"/>
      <c r="AP664" s="292"/>
      <c r="AQ664" s="292"/>
      <c r="AR664" s="292"/>
      <c r="AS664" s="292"/>
      <c r="AT664" s="292"/>
      <c r="AU664" s="292"/>
      <c r="AV664" s="292"/>
      <c r="AW664" s="292"/>
      <c r="AX664" s="292"/>
      <c r="AY664" s="292"/>
      <c r="AZ664" s="292"/>
      <c r="BA664" s="292"/>
      <c r="BB664" s="292"/>
      <c r="BC664" s="292"/>
      <c r="BD664" s="292"/>
      <c r="BE664" s="292"/>
      <c r="BF664" s="292"/>
      <c r="BG664" s="292"/>
      <c r="BH664" s="292"/>
      <c r="BI664" s="292"/>
      <c r="BJ664" s="292"/>
      <c r="BK664" s="292"/>
      <c r="BL664" s="292"/>
      <c r="BM664" s="292"/>
      <c r="BN664" s="292"/>
      <c r="BO664" s="292"/>
      <c r="BP664" s="292"/>
      <c r="BQ664" s="292"/>
      <c r="BR664" s="292"/>
      <c r="BS664" s="292"/>
      <c r="BT664" s="292"/>
      <c r="BU664" s="292"/>
      <c r="BV664" s="292"/>
      <c r="BW664" s="292"/>
    </row>
    <row r="665">
      <c r="A665" s="292"/>
      <c r="B665" s="292" t="str">
        <f>IFERROR(__xludf.DUMMYFUNCTION("""COMPUTED_VALUE"""),"")</f>
        <v/>
      </c>
      <c r="C665" s="292"/>
      <c r="D665" s="292" t="str">
        <f>IFERROR(__xludf.DUMMYFUNCTION("""COMPUTED_VALUE"""),"")</f>
        <v/>
      </c>
      <c r="E665" s="292" t="str">
        <f>IFERROR(__xludf.DUMMYFUNCTION("""COMPUTED_VALUE"""),"")</f>
        <v/>
      </c>
      <c r="F665" s="292"/>
      <c r="G665" s="292" t="str">
        <f>IFERROR(__xludf.DUMMYFUNCTION("""COMPUTED_VALUE"""),"")</f>
        <v/>
      </c>
      <c r="H665" s="292" t="str">
        <f>IFERROR(__xludf.DUMMYFUNCTION("""COMPUTED_VALUE"""),"")</f>
        <v/>
      </c>
      <c r="I665" s="292"/>
      <c r="J665" s="292"/>
      <c r="K665" s="292"/>
      <c r="L665" s="292"/>
      <c r="M665" s="292" t="str">
        <f>IFERROR(__xludf.DUMMYFUNCTION("""COMPUTED_VALUE"""),"")</f>
        <v/>
      </c>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c r="AK665" s="292"/>
      <c r="AL665" s="292"/>
      <c r="AM665" s="292"/>
      <c r="AN665" s="292"/>
      <c r="AO665" s="292"/>
      <c r="AP665" s="292"/>
      <c r="AQ665" s="292"/>
      <c r="AR665" s="292"/>
      <c r="AS665" s="292"/>
      <c r="AT665" s="292"/>
      <c r="AU665" s="292"/>
      <c r="AV665" s="292"/>
      <c r="AW665" s="292"/>
      <c r="AX665" s="292"/>
      <c r="AY665" s="292"/>
      <c r="AZ665" s="292"/>
      <c r="BA665" s="292"/>
      <c r="BB665" s="292"/>
      <c r="BC665" s="292"/>
      <c r="BD665" s="292"/>
      <c r="BE665" s="292"/>
      <c r="BF665" s="292"/>
      <c r="BG665" s="292"/>
      <c r="BH665" s="292"/>
      <c r="BI665" s="292"/>
      <c r="BJ665" s="292"/>
      <c r="BK665" s="292"/>
      <c r="BL665" s="292"/>
      <c r="BM665" s="292"/>
      <c r="BN665" s="292"/>
      <c r="BO665" s="292"/>
      <c r="BP665" s="292"/>
      <c r="BQ665" s="292"/>
      <c r="BR665" s="292"/>
      <c r="BS665" s="292"/>
      <c r="BT665" s="292"/>
      <c r="BU665" s="292"/>
      <c r="BV665" s="292"/>
      <c r="BW665" s="292"/>
    </row>
    <row r="666">
      <c r="A666" s="292"/>
      <c r="B666" s="292" t="str">
        <f>IFERROR(__xludf.DUMMYFUNCTION("""COMPUTED_VALUE"""),"")</f>
        <v/>
      </c>
      <c r="C666" s="292"/>
      <c r="D666" s="292" t="str">
        <f>IFERROR(__xludf.DUMMYFUNCTION("""COMPUTED_VALUE"""),"")</f>
        <v/>
      </c>
      <c r="E666" s="292" t="str">
        <f>IFERROR(__xludf.DUMMYFUNCTION("""COMPUTED_VALUE"""),"")</f>
        <v/>
      </c>
      <c r="F666" s="292"/>
      <c r="G666" s="292" t="str">
        <f>IFERROR(__xludf.DUMMYFUNCTION("""COMPUTED_VALUE"""),"")</f>
        <v/>
      </c>
      <c r="H666" s="292" t="str">
        <f>IFERROR(__xludf.DUMMYFUNCTION("""COMPUTED_VALUE"""),"")</f>
        <v/>
      </c>
      <c r="I666" s="292"/>
      <c r="J666" s="292"/>
      <c r="K666" s="292"/>
      <c r="L666" s="292"/>
      <c r="M666" s="292" t="str">
        <f>IFERROR(__xludf.DUMMYFUNCTION("""COMPUTED_VALUE"""),"")</f>
        <v/>
      </c>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c r="AK666" s="292"/>
      <c r="AL666" s="292"/>
      <c r="AM666" s="292"/>
      <c r="AN666" s="292"/>
      <c r="AO666" s="292"/>
      <c r="AP666" s="292"/>
      <c r="AQ666" s="292"/>
      <c r="AR666" s="292"/>
      <c r="AS666" s="292"/>
      <c r="AT666" s="292"/>
      <c r="AU666" s="292"/>
      <c r="AV666" s="292"/>
      <c r="AW666" s="292"/>
      <c r="AX666" s="292"/>
      <c r="AY666" s="292"/>
      <c r="AZ666" s="292"/>
      <c r="BA666" s="292"/>
      <c r="BB666" s="292"/>
      <c r="BC666" s="292"/>
      <c r="BD666" s="292"/>
      <c r="BE666" s="292"/>
      <c r="BF666" s="292"/>
      <c r="BG666" s="292"/>
      <c r="BH666" s="292"/>
      <c r="BI666" s="292"/>
      <c r="BJ666" s="292"/>
      <c r="BK666" s="292"/>
      <c r="BL666" s="292"/>
      <c r="BM666" s="292"/>
      <c r="BN666" s="292"/>
      <c r="BO666" s="292"/>
      <c r="BP666" s="292"/>
      <c r="BQ666" s="292"/>
      <c r="BR666" s="292"/>
      <c r="BS666" s="292"/>
      <c r="BT666" s="292"/>
      <c r="BU666" s="292"/>
      <c r="BV666" s="292"/>
      <c r="BW666" s="292"/>
    </row>
    <row r="667">
      <c r="A667" s="292"/>
      <c r="B667" s="292" t="str">
        <f>IFERROR(__xludf.DUMMYFUNCTION("""COMPUTED_VALUE"""),"")</f>
        <v/>
      </c>
      <c r="C667" s="292"/>
      <c r="D667" s="292" t="str">
        <f>IFERROR(__xludf.DUMMYFUNCTION("""COMPUTED_VALUE"""),"")</f>
        <v/>
      </c>
      <c r="E667" s="292" t="str">
        <f>IFERROR(__xludf.DUMMYFUNCTION("""COMPUTED_VALUE"""),"")</f>
        <v/>
      </c>
      <c r="F667" s="292"/>
      <c r="G667" s="292" t="str">
        <f>IFERROR(__xludf.DUMMYFUNCTION("""COMPUTED_VALUE"""),"")</f>
        <v/>
      </c>
      <c r="H667" s="292" t="str">
        <f>IFERROR(__xludf.DUMMYFUNCTION("""COMPUTED_VALUE"""),"")</f>
        <v/>
      </c>
      <c r="I667" s="292"/>
      <c r="J667" s="292"/>
      <c r="K667" s="292"/>
      <c r="L667" s="292"/>
      <c r="M667" s="292" t="str">
        <f>IFERROR(__xludf.DUMMYFUNCTION("""COMPUTED_VALUE"""),"")</f>
        <v/>
      </c>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c r="AK667" s="292"/>
      <c r="AL667" s="292"/>
      <c r="AM667" s="292"/>
      <c r="AN667" s="292"/>
      <c r="AO667" s="292"/>
      <c r="AP667" s="292"/>
      <c r="AQ667" s="292"/>
      <c r="AR667" s="292"/>
      <c r="AS667" s="292"/>
      <c r="AT667" s="292"/>
      <c r="AU667" s="292"/>
      <c r="AV667" s="292"/>
      <c r="AW667" s="292"/>
      <c r="AX667" s="292"/>
      <c r="AY667" s="292"/>
      <c r="AZ667" s="292"/>
      <c r="BA667" s="292"/>
      <c r="BB667" s="292"/>
      <c r="BC667" s="292"/>
      <c r="BD667" s="292"/>
      <c r="BE667" s="292"/>
      <c r="BF667" s="292"/>
      <c r="BG667" s="292"/>
      <c r="BH667" s="292"/>
      <c r="BI667" s="292"/>
      <c r="BJ667" s="292"/>
      <c r="BK667" s="292"/>
      <c r="BL667" s="292"/>
      <c r="BM667" s="292"/>
      <c r="BN667" s="292"/>
      <c r="BO667" s="292"/>
      <c r="BP667" s="292"/>
      <c r="BQ667" s="292"/>
      <c r="BR667" s="292"/>
      <c r="BS667" s="292"/>
      <c r="BT667" s="292"/>
      <c r="BU667" s="292"/>
      <c r="BV667" s="292"/>
      <c r="BW667" s="292"/>
    </row>
    <row r="668">
      <c r="A668" s="292"/>
      <c r="B668" s="292" t="str">
        <f>IFERROR(__xludf.DUMMYFUNCTION("""COMPUTED_VALUE"""),"")</f>
        <v/>
      </c>
      <c r="C668" s="292"/>
      <c r="D668" s="292" t="str">
        <f>IFERROR(__xludf.DUMMYFUNCTION("""COMPUTED_VALUE"""),"")</f>
        <v/>
      </c>
      <c r="E668" s="292" t="str">
        <f>IFERROR(__xludf.DUMMYFUNCTION("""COMPUTED_VALUE"""),"")</f>
        <v/>
      </c>
      <c r="F668" s="292"/>
      <c r="G668" s="292" t="str">
        <f>IFERROR(__xludf.DUMMYFUNCTION("""COMPUTED_VALUE"""),"")</f>
        <v/>
      </c>
      <c r="H668" s="292" t="str">
        <f>IFERROR(__xludf.DUMMYFUNCTION("""COMPUTED_VALUE"""),"")</f>
        <v/>
      </c>
      <c r="I668" s="292"/>
      <c r="J668" s="292"/>
      <c r="K668" s="292"/>
      <c r="L668" s="292"/>
      <c r="M668" s="292" t="str">
        <f>IFERROR(__xludf.DUMMYFUNCTION("""COMPUTED_VALUE"""),"")</f>
        <v/>
      </c>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c r="AK668" s="292"/>
      <c r="AL668" s="292"/>
      <c r="AM668" s="292"/>
      <c r="AN668" s="292"/>
      <c r="AO668" s="292"/>
      <c r="AP668" s="292"/>
      <c r="AQ668" s="292"/>
      <c r="AR668" s="292"/>
      <c r="AS668" s="292"/>
      <c r="AT668" s="292"/>
      <c r="AU668" s="292"/>
      <c r="AV668" s="292"/>
      <c r="AW668" s="292"/>
      <c r="AX668" s="292"/>
      <c r="AY668" s="292"/>
      <c r="AZ668" s="292"/>
      <c r="BA668" s="292"/>
      <c r="BB668" s="292"/>
      <c r="BC668" s="292"/>
      <c r="BD668" s="292"/>
      <c r="BE668" s="292"/>
      <c r="BF668" s="292"/>
      <c r="BG668" s="292"/>
      <c r="BH668" s="292"/>
      <c r="BI668" s="292"/>
      <c r="BJ668" s="292"/>
      <c r="BK668" s="292"/>
      <c r="BL668" s="292"/>
      <c r="BM668" s="292"/>
      <c r="BN668" s="292"/>
      <c r="BO668" s="292"/>
      <c r="BP668" s="292"/>
      <c r="BQ668" s="292"/>
      <c r="BR668" s="292"/>
      <c r="BS668" s="292"/>
      <c r="BT668" s="292"/>
      <c r="BU668" s="292"/>
      <c r="BV668" s="292"/>
      <c r="BW668" s="292"/>
    </row>
    <row r="669">
      <c r="A669" s="292"/>
      <c r="B669" s="292" t="str">
        <f>IFERROR(__xludf.DUMMYFUNCTION("""COMPUTED_VALUE"""),"")</f>
        <v/>
      </c>
      <c r="C669" s="292"/>
      <c r="D669" s="292" t="str">
        <f>IFERROR(__xludf.DUMMYFUNCTION("""COMPUTED_VALUE"""),"")</f>
        <v/>
      </c>
      <c r="E669" s="292" t="str">
        <f>IFERROR(__xludf.DUMMYFUNCTION("""COMPUTED_VALUE"""),"")</f>
        <v/>
      </c>
      <c r="F669" s="292"/>
      <c r="G669" s="292" t="str">
        <f>IFERROR(__xludf.DUMMYFUNCTION("""COMPUTED_VALUE"""),"")</f>
        <v/>
      </c>
      <c r="H669" s="292" t="str">
        <f>IFERROR(__xludf.DUMMYFUNCTION("""COMPUTED_VALUE"""),"")</f>
        <v/>
      </c>
      <c r="I669" s="292"/>
      <c r="J669" s="292"/>
      <c r="K669" s="292"/>
      <c r="L669" s="292"/>
      <c r="M669" s="292" t="str">
        <f>IFERROR(__xludf.DUMMYFUNCTION("""COMPUTED_VALUE"""),"")</f>
        <v/>
      </c>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c r="AK669" s="292"/>
      <c r="AL669" s="292"/>
      <c r="AM669" s="292"/>
      <c r="AN669" s="292"/>
      <c r="AO669" s="292"/>
      <c r="AP669" s="292"/>
      <c r="AQ669" s="292"/>
      <c r="AR669" s="292"/>
      <c r="AS669" s="292"/>
      <c r="AT669" s="292"/>
      <c r="AU669" s="292"/>
      <c r="AV669" s="292"/>
      <c r="AW669" s="292"/>
      <c r="AX669" s="292"/>
      <c r="AY669" s="292"/>
      <c r="AZ669" s="292"/>
      <c r="BA669" s="292"/>
      <c r="BB669" s="292"/>
      <c r="BC669" s="292"/>
      <c r="BD669" s="292"/>
      <c r="BE669" s="292"/>
      <c r="BF669" s="292"/>
      <c r="BG669" s="292"/>
      <c r="BH669" s="292"/>
      <c r="BI669" s="292"/>
      <c r="BJ669" s="292"/>
      <c r="BK669" s="292"/>
      <c r="BL669" s="292"/>
      <c r="BM669" s="292"/>
      <c r="BN669" s="292"/>
      <c r="BO669" s="292"/>
      <c r="BP669" s="292"/>
      <c r="BQ669" s="292"/>
      <c r="BR669" s="292"/>
      <c r="BS669" s="292"/>
      <c r="BT669" s="292"/>
      <c r="BU669" s="292"/>
      <c r="BV669" s="292"/>
      <c r="BW669" s="292"/>
    </row>
    <row r="670">
      <c r="A670" s="292"/>
      <c r="B670" s="292" t="str">
        <f>IFERROR(__xludf.DUMMYFUNCTION("""COMPUTED_VALUE"""),"")</f>
        <v/>
      </c>
      <c r="C670" s="292"/>
      <c r="D670" s="292" t="str">
        <f>IFERROR(__xludf.DUMMYFUNCTION("""COMPUTED_VALUE"""),"")</f>
        <v/>
      </c>
      <c r="E670" s="292" t="str">
        <f>IFERROR(__xludf.DUMMYFUNCTION("""COMPUTED_VALUE"""),"")</f>
        <v/>
      </c>
      <c r="F670" s="292"/>
      <c r="G670" s="292" t="str">
        <f>IFERROR(__xludf.DUMMYFUNCTION("""COMPUTED_VALUE"""),"")</f>
        <v/>
      </c>
      <c r="H670" s="292" t="str">
        <f>IFERROR(__xludf.DUMMYFUNCTION("""COMPUTED_VALUE"""),"")</f>
        <v/>
      </c>
      <c r="I670" s="292"/>
      <c r="J670" s="292"/>
      <c r="K670" s="292"/>
      <c r="L670" s="292"/>
      <c r="M670" s="292" t="str">
        <f>IFERROR(__xludf.DUMMYFUNCTION("""COMPUTED_VALUE"""),"")</f>
        <v/>
      </c>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c r="AK670" s="292"/>
      <c r="AL670" s="292"/>
      <c r="AM670" s="292"/>
      <c r="AN670" s="292"/>
      <c r="AO670" s="292"/>
      <c r="AP670" s="292"/>
      <c r="AQ670" s="292"/>
      <c r="AR670" s="292"/>
      <c r="AS670" s="292"/>
      <c r="AT670" s="292"/>
      <c r="AU670" s="292"/>
      <c r="AV670" s="292"/>
      <c r="AW670" s="292"/>
      <c r="AX670" s="292"/>
      <c r="AY670" s="292"/>
      <c r="AZ670" s="292"/>
      <c r="BA670" s="292"/>
      <c r="BB670" s="292"/>
      <c r="BC670" s="292"/>
      <c r="BD670" s="292"/>
      <c r="BE670" s="292"/>
      <c r="BF670" s="292"/>
      <c r="BG670" s="292"/>
      <c r="BH670" s="292"/>
      <c r="BI670" s="292"/>
      <c r="BJ670" s="292"/>
      <c r="BK670" s="292"/>
      <c r="BL670" s="292"/>
      <c r="BM670" s="292"/>
      <c r="BN670" s="292"/>
      <c r="BO670" s="292"/>
      <c r="BP670" s="292"/>
      <c r="BQ670" s="292"/>
      <c r="BR670" s="292"/>
      <c r="BS670" s="292"/>
      <c r="BT670" s="292"/>
      <c r="BU670" s="292"/>
      <c r="BV670" s="292"/>
      <c r="BW670" s="292"/>
    </row>
    <row r="671">
      <c r="A671" s="292"/>
      <c r="B671" s="292" t="str">
        <f>IFERROR(__xludf.DUMMYFUNCTION("""COMPUTED_VALUE"""),"")</f>
        <v/>
      </c>
      <c r="C671" s="292"/>
      <c r="D671" s="292" t="str">
        <f>IFERROR(__xludf.DUMMYFUNCTION("""COMPUTED_VALUE"""),"")</f>
        <v/>
      </c>
      <c r="E671" s="292" t="str">
        <f>IFERROR(__xludf.DUMMYFUNCTION("""COMPUTED_VALUE"""),"")</f>
        <v/>
      </c>
      <c r="F671" s="292"/>
      <c r="G671" s="292" t="str">
        <f>IFERROR(__xludf.DUMMYFUNCTION("""COMPUTED_VALUE"""),"")</f>
        <v/>
      </c>
      <c r="H671" s="292" t="str">
        <f>IFERROR(__xludf.DUMMYFUNCTION("""COMPUTED_VALUE"""),"")</f>
        <v/>
      </c>
      <c r="I671" s="292"/>
      <c r="J671" s="292"/>
      <c r="K671" s="292"/>
      <c r="L671" s="292"/>
      <c r="M671" s="292" t="str">
        <f>IFERROR(__xludf.DUMMYFUNCTION("""COMPUTED_VALUE"""),"")</f>
        <v/>
      </c>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c r="AK671" s="292"/>
      <c r="AL671" s="292"/>
      <c r="AM671" s="292"/>
      <c r="AN671" s="292"/>
      <c r="AO671" s="292"/>
      <c r="AP671" s="292"/>
      <c r="AQ671" s="292"/>
      <c r="AR671" s="292"/>
      <c r="AS671" s="292"/>
      <c r="AT671" s="292"/>
      <c r="AU671" s="292"/>
      <c r="AV671" s="292"/>
      <c r="AW671" s="292"/>
      <c r="AX671" s="292"/>
      <c r="AY671" s="292"/>
      <c r="AZ671" s="292"/>
      <c r="BA671" s="292"/>
      <c r="BB671" s="292"/>
      <c r="BC671" s="292"/>
      <c r="BD671" s="292"/>
      <c r="BE671" s="292"/>
      <c r="BF671" s="292"/>
      <c r="BG671" s="292"/>
      <c r="BH671" s="292"/>
      <c r="BI671" s="292"/>
      <c r="BJ671" s="292"/>
      <c r="BK671" s="292"/>
      <c r="BL671" s="292"/>
      <c r="BM671" s="292"/>
      <c r="BN671" s="292"/>
      <c r="BO671" s="292"/>
      <c r="BP671" s="292"/>
      <c r="BQ671" s="292"/>
      <c r="BR671" s="292"/>
      <c r="BS671" s="292"/>
      <c r="BT671" s="292"/>
      <c r="BU671" s="292"/>
      <c r="BV671" s="292"/>
      <c r="BW671" s="292"/>
    </row>
    <row r="672">
      <c r="A672" s="292"/>
      <c r="B672" s="292" t="str">
        <f>IFERROR(__xludf.DUMMYFUNCTION("""COMPUTED_VALUE"""),"")</f>
        <v/>
      </c>
      <c r="C672" s="292"/>
      <c r="D672" s="292" t="str">
        <f>IFERROR(__xludf.DUMMYFUNCTION("""COMPUTED_VALUE"""),"")</f>
        <v/>
      </c>
      <c r="E672" s="292" t="str">
        <f>IFERROR(__xludf.DUMMYFUNCTION("""COMPUTED_VALUE"""),"")</f>
        <v/>
      </c>
      <c r="F672" s="292"/>
      <c r="G672" s="292" t="str">
        <f>IFERROR(__xludf.DUMMYFUNCTION("""COMPUTED_VALUE"""),"")</f>
        <v/>
      </c>
      <c r="H672" s="292" t="str">
        <f>IFERROR(__xludf.DUMMYFUNCTION("""COMPUTED_VALUE"""),"")</f>
        <v/>
      </c>
      <c r="I672" s="292"/>
      <c r="J672" s="292"/>
      <c r="K672" s="292"/>
      <c r="L672" s="292"/>
      <c r="M672" s="292" t="str">
        <f>IFERROR(__xludf.DUMMYFUNCTION("""COMPUTED_VALUE"""),"")</f>
        <v/>
      </c>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c r="AK672" s="292"/>
      <c r="AL672" s="292"/>
      <c r="AM672" s="292"/>
      <c r="AN672" s="292"/>
      <c r="AO672" s="292"/>
      <c r="AP672" s="292"/>
      <c r="AQ672" s="292"/>
      <c r="AR672" s="292"/>
      <c r="AS672" s="292"/>
      <c r="AT672" s="292"/>
      <c r="AU672" s="292"/>
      <c r="AV672" s="292"/>
      <c r="AW672" s="292"/>
      <c r="AX672" s="292"/>
      <c r="AY672" s="292"/>
      <c r="AZ672" s="292"/>
      <c r="BA672" s="292"/>
      <c r="BB672" s="292"/>
      <c r="BC672" s="292"/>
      <c r="BD672" s="292"/>
      <c r="BE672" s="292"/>
      <c r="BF672" s="292"/>
      <c r="BG672" s="292"/>
      <c r="BH672" s="292"/>
      <c r="BI672" s="292"/>
      <c r="BJ672" s="292"/>
      <c r="BK672" s="292"/>
      <c r="BL672" s="292"/>
      <c r="BM672" s="292"/>
      <c r="BN672" s="292"/>
      <c r="BO672" s="292"/>
      <c r="BP672" s="292"/>
      <c r="BQ672" s="292"/>
      <c r="BR672" s="292"/>
      <c r="BS672" s="292"/>
      <c r="BT672" s="292"/>
      <c r="BU672" s="292"/>
      <c r="BV672" s="292"/>
      <c r="BW672" s="292"/>
    </row>
    <row r="673">
      <c r="A673" s="292"/>
      <c r="B673" s="292" t="str">
        <f>IFERROR(__xludf.DUMMYFUNCTION("""COMPUTED_VALUE"""),"")</f>
        <v/>
      </c>
      <c r="C673" s="292"/>
      <c r="D673" s="292" t="str">
        <f>IFERROR(__xludf.DUMMYFUNCTION("""COMPUTED_VALUE"""),"")</f>
        <v/>
      </c>
      <c r="E673" s="292" t="str">
        <f>IFERROR(__xludf.DUMMYFUNCTION("""COMPUTED_VALUE"""),"")</f>
        <v/>
      </c>
      <c r="F673" s="292"/>
      <c r="G673" s="292" t="str">
        <f>IFERROR(__xludf.DUMMYFUNCTION("""COMPUTED_VALUE"""),"")</f>
        <v/>
      </c>
      <c r="H673" s="292" t="str">
        <f>IFERROR(__xludf.DUMMYFUNCTION("""COMPUTED_VALUE"""),"")</f>
        <v/>
      </c>
      <c r="I673" s="292"/>
      <c r="J673" s="292"/>
      <c r="K673" s="292"/>
      <c r="L673" s="292"/>
      <c r="M673" s="292" t="str">
        <f>IFERROR(__xludf.DUMMYFUNCTION("""COMPUTED_VALUE"""),"")</f>
        <v/>
      </c>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c r="AK673" s="292"/>
      <c r="AL673" s="292"/>
      <c r="AM673" s="292"/>
      <c r="AN673" s="292"/>
      <c r="AO673" s="292"/>
      <c r="AP673" s="292"/>
      <c r="AQ673" s="292"/>
      <c r="AR673" s="292"/>
      <c r="AS673" s="292"/>
      <c r="AT673" s="292"/>
      <c r="AU673" s="292"/>
      <c r="AV673" s="292"/>
      <c r="AW673" s="292"/>
      <c r="AX673" s="292"/>
      <c r="AY673" s="292"/>
      <c r="AZ673" s="292"/>
      <c r="BA673" s="292"/>
      <c r="BB673" s="292"/>
      <c r="BC673" s="292"/>
      <c r="BD673" s="292"/>
      <c r="BE673" s="292"/>
      <c r="BF673" s="292"/>
      <c r="BG673" s="292"/>
      <c r="BH673" s="292"/>
      <c r="BI673" s="292"/>
      <c r="BJ673" s="292"/>
      <c r="BK673" s="292"/>
      <c r="BL673" s="292"/>
      <c r="BM673" s="292"/>
      <c r="BN673" s="292"/>
      <c r="BO673" s="292"/>
      <c r="BP673" s="292"/>
      <c r="BQ673" s="292"/>
      <c r="BR673" s="292"/>
      <c r="BS673" s="292"/>
      <c r="BT673" s="292"/>
      <c r="BU673" s="292"/>
      <c r="BV673" s="292"/>
      <c r="BW673" s="292"/>
    </row>
    <row r="674">
      <c r="A674" s="292"/>
      <c r="B674" s="292" t="str">
        <f>IFERROR(__xludf.DUMMYFUNCTION("""COMPUTED_VALUE"""),"")</f>
        <v/>
      </c>
      <c r="C674" s="292"/>
      <c r="D674" s="292" t="str">
        <f>IFERROR(__xludf.DUMMYFUNCTION("""COMPUTED_VALUE"""),"")</f>
        <v/>
      </c>
      <c r="E674" s="292" t="str">
        <f>IFERROR(__xludf.DUMMYFUNCTION("""COMPUTED_VALUE"""),"")</f>
        <v/>
      </c>
      <c r="F674" s="292"/>
      <c r="G674" s="292" t="str">
        <f>IFERROR(__xludf.DUMMYFUNCTION("""COMPUTED_VALUE"""),"")</f>
        <v/>
      </c>
      <c r="H674" s="292" t="str">
        <f>IFERROR(__xludf.DUMMYFUNCTION("""COMPUTED_VALUE"""),"")</f>
        <v/>
      </c>
      <c r="I674" s="292"/>
      <c r="J674" s="292"/>
      <c r="K674" s="292"/>
      <c r="L674" s="292"/>
      <c r="M674" s="292" t="str">
        <f>IFERROR(__xludf.DUMMYFUNCTION("""COMPUTED_VALUE"""),"")</f>
        <v/>
      </c>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c r="AK674" s="292"/>
      <c r="AL674" s="292"/>
      <c r="AM674" s="292"/>
      <c r="AN674" s="292"/>
      <c r="AO674" s="292"/>
      <c r="AP674" s="292"/>
      <c r="AQ674" s="292"/>
      <c r="AR674" s="292"/>
      <c r="AS674" s="292"/>
      <c r="AT674" s="292"/>
      <c r="AU674" s="292"/>
      <c r="AV674" s="292"/>
      <c r="AW674" s="292"/>
      <c r="AX674" s="292"/>
      <c r="AY674" s="292"/>
      <c r="AZ674" s="292"/>
      <c r="BA674" s="292"/>
      <c r="BB674" s="292"/>
      <c r="BC674" s="292"/>
      <c r="BD674" s="292"/>
      <c r="BE674" s="292"/>
      <c r="BF674" s="292"/>
      <c r="BG674" s="292"/>
      <c r="BH674" s="292"/>
      <c r="BI674" s="292"/>
      <c r="BJ674" s="292"/>
      <c r="BK674" s="292"/>
      <c r="BL674" s="292"/>
      <c r="BM674" s="292"/>
      <c r="BN674" s="292"/>
      <c r="BO674" s="292"/>
      <c r="BP674" s="292"/>
      <c r="BQ674" s="292"/>
      <c r="BR674" s="292"/>
      <c r="BS674" s="292"/>
      <c r="BT674" s="292"/>
      <c r="BU674" s="292"/>
      <c r="BV674" s="292"/>
      <c r="BW674" s="292"/>
    </row>
    <row r="675">
      <c r="A675" s="292"/>
      <c r="B675" s="292" t="str">
        <f>IFERROR(__xludf.DUMMYFUNCTION("""COMPUTED_VALUE"""),"")</f>
        <v/>
      </c>
      <c r="C675" s="292"/>
      <c r="D675" s="292" t="str">
        <f>IFERROR(__xludf.DUMMYFUNCTION("""COMPUTED_VALUE"""),"")</f>
        <v/>
      </c>
      <c r="E675" s="292" t="str">
        <f>IFERROR(__xludf.DUMMYFUNCTION("""COMPUTED_VALUE"""),"")</f>
        <v/>
      </c>
      <c r="F675" s="292"/>
      <c r="G675" s="292" t="str">
        <f>IFERROR(__xludf.DUMMYFUNCTION("""COMPUTED_VALUE"""),"")</f>
        <v/>
      </c>
      <c r="H675" s="292" t="str">
        <f>IFERROR(__xludf.DUMMYFUNCTION("""COMPUTED_VALUE"""),"")</f>
        <v/>
      </c>
      <c r="I675" s="292"/>
      <c r="J675" s="292"/>
      <c r="K675" s="292"/>
      <c r="L675" s="292"/>
      <c r="M675" s="292" t="str">
        <f>IFERROR(__xludf.DUMMYFUNCTION("""COMPUTED_VALUE"""),"")</f>
        <v/>
      </c>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c r="AK675" s="292"/>
      <c r="AL675" s="292"/>
      <c r="AM675" s="292"/>
      <c r="AN675" s="292"/>
      <c r="AO675" s="292"/>
      <c r="AP675" s="292"/>
      <c r="AQ675" s="292"/>
      <c r="AR675" s="292"/>
      <c r="AS675" s="292"/>
      <c r="AT675" s="292"/>
      <c r="AU675" s="292"/>
      <c r="AV675" s="292"/>
      <c r="AW675" s="292"/>
      <c r="AX675" s="292"/>
      <c r="AY675" s="292"/>
      <c r="AZ675" s="292"/>
      <c r="BA675" s="292"/>
      <c r="BB675" s="292"/>
      <c r="BC675" s="292"/>
      <c r="BD675" s="292"/>
      <c r="BE675" s="292"/>
      <c r="BF675" s="292"/>
      <c r="BG675" s="292"/>
      <c r="BH675" s="292"/>
      <c r="BI675" s="292"/>
      <c r="BJ675" s="292"/>
      <c r="BK675" s="292"/>
      <c r="BL675" s="292"/>
      <c r="BM675" s="292"/>
      <c r="BN675" s="292"/>
      <c r="BO675" s="292"/>
      <c r="BP675" s="292"/>
      <c r="BQ675" s="292"/>
      <c r="BR675" s="292"/>
      <c r="BS675" s="292"/>
      <c r="BT675" s="292"/>
      <c r="BU675" s="292"/>
      <c r="BV675" s="292"/>
      <c r="BW675" s="292"/>
    </row>
    <row r="676">
      <c r="A676" s="292"/>
      <c r="B676" s="292" t="str">
        <f>IFERROR(__xludf.DUMMYFUNCTION("""COMPUTED_VALUE"""),"")</f>
        <v/>
      </c>
      <c r="C676" s="292"/>
      <c r="D676" s="292" t="str">
        <f>IFERROR(__xludf.DUMMYFUNCTION("""COMPUTED_VALUE"""),"")</f>
        <v/>
      </c>
      <c r="E676" s="292" t="str">
        <f>IFERROR(__xludf.DUMMYFUNCTION("""COMPUTED_VALUE"""),"")</f>
        <v/>
      </c>
      <c r="F676" s="292"/>
      <c r="G676" s="292" t="str">
        <f>IFERROR(__xludf.DUMMYFUNCTION("""COMPUTED_VALUE"""),"")</f>
        <v/>
      </c>
      <c r="H676" s="292" t="str">
        <f>IFERROR(__xludf.DUMMYFUNCTION("""COMPUTED_VALUE"""),"")</f>
        <v/>
      </c>
      <c r="I676" s="292"/>
      <c r="J676" s="292"/>
      <c r="K676" s="292"/>
      <c r="L676" s="292"/>
      <c r="M676" s="292" t="str">
        <f>IFERROR(__xludf.DUMMYFUNCTION("""COMPUTED_VALUE"""),"")</f>
        <v/>
      </c>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c r="AK676" s="292"/>
      <c r="AL676" s="292"/>
      <c r="AM676" s="292"/>
      <c r="AN676" s="292"/>
      <c r="AO676" s="292"/>
      <c r="AP676" s="292"/>
      <c r="AQ676" s="292"/>
      <c r="AR676" s="292"/>
      <c r="AS676" s="292"/>
      <c r="AT676" s="292"/>
      <c r="AU676" s="292"/>
      <c r="AV676" s="292"/>
      <c r="AW676" s="292"/>
      <c r="AX676" s="292"/>
      <c r="AY676" s="292"/>
      <c r="AZ676" s="292"/>
      <c r="BA676" s="292"/>
      <c r="BB676" s="292"/>
      <c r="BC676" s="292"/>
      <c r="BD676" s="292"/>
      <c r="BE676" s="292"/>
      <c r="BF676" s="292"/>
      <c r="BG676" s="292"/>
      <c r="BH676" s="292"/>
      <c r="BI676" s="292"/>
      <c r="BJ676" s="292"/>
      <c r="BK676" s="292"/>
      <c r="BL676" s="292"/>
      <c r="BM676" s="292"/>
      <c r="BN676" s="292"/>
      <c r="BO676" s="292"/>
      <c r="BP676" s="292"/>
      <c r="BQ676" s="292"/>
      <c r="BR676" s="292"/>
      <c r="BS676" s="292"/>
      <c r="BT676" s="292"/>
      <c r="BU676" s="292"/>
      <c r="BV676" s="292"/>
      <c r="BW676" s="292"/>
    </row>
    <row r="677">
      <c r="A677" s="292"/>
      <c r="B677" s="292" t="str">
        <f>IFERROR(__xludf.DUMMYFUNCTION("""COMPUTED_VALUE"""),"")</f>
        <v/>
      </c>
      <c r="C677" s="292"/>
      <c r="D677" s="292" t="str">
        <f>IFERROR(__xludf.DUMMYFUNCTION("""COMPUTED_VALUE"""),"")</f>
        <v/>
      </c>
      <c r="E677" s="292" t="str">
        <f>IFERROR(__xludf.DUMMYFUNCTION("""COMPUTED_VALUE"""),"")</f>
        <v/>
      </c>
      <c r="F677" s="292"/>
      <c r="G677" s="292" t="str">
        <f>IFERROR(__xludf.DUMMYFUNCTION("""COMPUTED_VALUE"""),"")</f>
        <v/>
      </c>
      <c r="H677" s="292" t="str">
        <f>IFERROR(__xludf.DUMMYFUNCTION("""COMPUTED_VALUE"""),"")</f>
        <v/>
      </c>
      <c r="I677" s="292"/>
      <c r="J677" s="292"/>
      <c r="K677" s="292"/>
      <c r="L677" s="292"/>
      <c r="M677" s="292" t="str">
        <f>IFERROR(__xludf.DUMMYFUNCTION("""COMPUTED_VALUE"""),"")</f>
        <v/>
      </c>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c r="AK677" s="292"/>
      <c r="AL677" s="292"/>
      <c r="AM677" s="292"/>
      <c r="AN677" s="292"/>
      <c r="AO677" s="292"/>
      <c r="AP677" s="292"/>
      <c r="AQ677" s="292"/>
      <c r="AR677" s="292"/>
      <c r="AS677" s="292"/>
      <c r="AT677" s="292"/>
      <c r="AU677" s="292"/>
      <c r="AV677" s="292"/>
      <c r="AW677" s="292"/>
      <c r="AX677" s="292"/>
      <c r="AY677" s="292"/>
      <c r="AZ677" s="292"/>
      <c r="BA677" s="292"/>
      <c r="BB677" s="292"/>
      <c r="BC677" s="292"/>
      <c r="BD677" s="292"/>
      <c r="BE677" s="292"/>
      <c r="BF677" s="292"/>
      <c r="BG677" s="292"/>
      <c r="BH677" s="292"/>
      <c r="BI677" s="292"/>
      <c r="BJ677" s="292"/>
      <c r="BK677" s="292"/>
      <c r="BL677" s="292"/>
      <c r="BM677" s="292"/>
      <c r="BN677" s="292"/>
      <c r="BO677" s="292"/>
      <c r="BP677" s="292"/>
      <c r="BQ677" s="292"/>
      <c r="BR677" s="292"/>
      <c r="BS677" s="292"/>
      <c r="BT677" s="292"/>
      <c r="BU677" s="292"/>
      <c r="BV677" s="292"/>
      <c r="BW677" s="292"/>
    </row>
    <row r="678">
      <c r="A678" s="292"/>
      <c r="B678" s="292" t="str">
        <f>IFERROR(__xludf.DUMMYFUNCTION("""COMPUTED_VALUE"""),"")</f>
        <v/>
      </c>
      <c r="C678" s="292"/>
      <c r="D678" s="292" t="str">
        <f>IFERROR(__xludf.DUMMYFUNCTION("""COMPUTED_VALUE"""),"")</f>
        <v/>
      </c>
      <c r="E678" s="292" t="str">
        <f>IFERROR(__xludf.DUMMYFUNCTION("""COMPUTED_VALUE"""),"")</f>
        <v/>
      </c>
      <c r="F678" s="292"/>
      <c r="G678" s="292" t="str">
        <f>IFERROR(__xludf.DUMMYFUNCTION("""COMPUTED_VALUE"""),"")</f>
        <v/>
      </c>
      <c r="H678" s="292" t="str">
        <f>IFERROR(__xludf.DUMMYFUNCTION("""COMPUTED_VALUE"""),"")</f>
        <v/>
      </c>
      <c r="I678" s="292"/>
      <c r="J678" s="292"/>
      <c r="K678" s="292"/>
      <c r="L678" s="292"/>
      <c r="M678" s="292" t="str">
        <f>IFERROR(__xludf.DUMMYFUNCTION("""COMPUTED_VALUE"""),"")</f>
        <v/>
      </c>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c r="AK678" s="292"/>
      <c r="AL678" s="292"/>
      <c r="AM678" s="292"/>
      <c r="AN678" s="292"/>
      <c r="AO678" s="292"/>
      <c r="AP678" s="292"/>
      <c r="AQ678" s="292"/>
      <c r="AR678" s="292"/>
      <c r="AS678" s="292"/>
      <c r="AT678" s="292"/>
      <c r="AU678" s="292"/>
      <c r="AV678" s="292"/>
      <c r="AW678" s="292"/>
      <c r="AX678" s="292"/>
      <c r="AY678" s="292"/>
      <c r="AZ678" s="292"/>
      <c r="BA678" s="292"/>
      <c r="BB678" s="292"/>
      <c r="BC678" s="292"/>
      <c r="BD678" s="292"/>
      <c r="BE678" s="292"/>
      <c r="BF678" s="292"/>
      <c r="BG678" s="292"/>
      <c r="BH678" s="292"/>
      <c r="BI678" s="292"/>
      <c r="BJ678" s="292"/>
      <c r="BK678" s="292"/>
      <c r="BL678" s="292"/>
      <c r="BM678" s="292"/>
      <c r="BN678" s="292"/>
      <c r="BO678" s="292"/>
      <c r="BP678" s="292"/>
      <c r="BQ678" s="292"/>
      <c r="BR678" s="292"/>
      <c r="BS678" s="292"/>
      <c r="BT678" s="292"/>
      <c r="BU678" s="292"/>
      <c r="BV678" s="292"/>
      <c r="BW678" s="292"/>
    </row>
    <row r="679">
      <c r="A679" s="292"/>
      <c r="B679" s="292" t="str">
        <f>IFERROR(__xludf.DUMMYFUNCTION("""COMPUTED_VALUE"""),"")</f>
        <v/>
      </c>
      <c r="C679" s="292"/>
      <c r="D679" s="292" t="str">
        <f>IFERROR(__xludf.DUMMYFUNCTION("""COMPUTED_VALUE"""),"")</f>
        <v/>
      </c>
      <c r="E679" s="292" t="str">
        <f>IFERROR(__xludf.DUMMYFUNCTION("""COMPUTED_VALUE"""),"")</f>
        <v/>
      </c>
      <c r="F679" s="292"/>
      <c r="G679" s="292" t="str">
        <f>IFERROR(__xludf.DUMMYFUNCTION("""COMPUTED_VALUE"""),"")</f>
        <v/>
      </c>
      <c r="H679" s="292" t="str">
        <f>IFERROR(__xludf.DUMMYFUNCTION("""COMPUTED_VALUE"""),"")</f>
        <v/>
      </c>
      <c r="I679" s="292"/>
      <c r="J679" s="292"/>
      <c r="K679" s="292"/>
      <c r="L679" s="292"/>
      <c r="M679" s="292" t="str">
        <f>IFERROR(__xludf.DUMMYFUNCTION("""COMPUTED_VALUE"""),"")</f>
        <v/>
      </c>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c r="AK679" s="292"/>
      <c r="AL679" s="292"/>
      <c r="AM679" s="292"/>
      <c r="AN679" s="292"/>
      <c r="AO679" s="292"/>
      <c r="AP679" s="292"/>
      <c r="AQ679" s="292"/>
      <c r="AR679" s="292"/>
      <c r="AS679" s="292"/>
      <c r="AT679" s="292"/>
      <c r="AU679" s="292"/>
      <c r="AV679" s="292"/>
      <c r="AW679" s="292"/>
      <c r="AX679" s="292"/>
      <c r="AY679" s="292"/>
      <c r="AZ679" s="292"/>
      <c r="BA679" s="292"/>
      <c r="BB679" s="292"/>
      <c r="BC679" s="292"/>
      <c r="BD679" s="292"/>
      <c r="BE679" s="292"/>
      <c r="BF679" s="292"/>
      <c r="BG679" s="292"/>
      <c r="BH679" s="292"/>
      <c r="BI679" s="292"/>
      <c r="BJ679" s="292"/>
      <c r="BK679" s="292"/>
      <c r="BL679" s="292"/>
      <c r="BM679" s="292"/>
      <c r="BN679" s="292"/>
      <c r="BO679" s="292"/>
      <c r="BP679" s="292"/>
      <c r="BQ679" s="292"/>
      <c r="BR679" s="292"/>
      <c r="BS679" s="292"/>
      <c r="BT679" s="292"/>
      <c r="BU679" s="292"/>
      <c r="BV679" s="292"/>
      <c r="BW679" s="292"/>
    </row>
    <row r="680">
      <c r="A680" s="292"/>
      <c r="B680" s="292" t="str">
        <f>IFERROR(__xludf.DUMMYFUNCTION("""COMPUTED_VALUE"""),"")</f>
        <v/>
      </c>
      <c r="C680" s="292"/>
      <c r="D680" s="292" t="str">
        <f>IFERROR(__xludf.DUMMYFUNCTION("""COMPUTED_VALUE"""),"")</f>
        <v/>
      </c>
      <c r="E680" s="292" t="str">
        <f>IFERROR(__xludf.DUMMYFUNCTION("""COMPUTED_VALUE"""),"")</f>
        <v/>
      </c>
      <c r="F680" s="292"/>
      <c r="G680" s="292" t="str">
        <f>IFERROR(__xludf.DUMMYFUNCTION("""COMPUTED_VALUE"""),"")</f>
        <v/>
      </c>
      <c r="H680" s="292" t="str">
        <f>IFERROR(__xludf.DUMMYFUNCTION("""COMPUTED_VALUE"""),"")</f>
        <v/>
      </c>
      <c r="I680" s="292"/>
      <c r="J680" s="292"/>
      <c r="K680" s="292"/>
      <c r="L680" s="292"/>
      <c r="M680" s="292" t="str">
        <f>IFERROR(__xludf.DUMMYFUNCTION("""COMPUTED_VALUE"""),"")</f>
        <v/>
      </c>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c r="AK680" s="292"/>
      <c r="AL680" s="292"/>
      <c r="AM680" s="292"/>
      <c r="AN680" s="292"/>
      <c r="AO680" s="292"/>
      <c r="AP680" s="292"/>
      <c r="AQ680" s="292"/>
      <c r="AR680" s="292"/>
      <c r="AS680" s="292"/>
      <c r="AT680" s="292"/>
      <c r="AU680" s="292"/>
      <c r="AV680" s="292"/>
      <c r="AW680" s="292"/>
      <c r="AX680" s="292"/>
      <c r="AY680" s="292"/>
      <c r="AZ680" s="292"/>
      <c r="BA680" s="292"/>
      <c r="BB680" s="292"/>
      <c r="BC680" s="292"/>
      <c r="BD680" s="292"/>
      <c r="BE680" s="292"/>
      <c r="BF680" s="292"/>
      <c r="BG680" s="292"/>
      <c r="BH680" s="292"/>
      <c r="BI680" s="292"/>
      <c r="BJ680" s="292"/>
      <c r="BK680" s="292"/>
      <c r="BL680" s="292"/>
      <c r="BM680" s="292"/>
      <c r="BN680" s="292"/>
      <c r="BO680" s="292"/>
      <c r="BP680" s="292"/>
      <c r="BQ680" s="292"/>
      <c r="BR680" s="292"/>
      <c r="BS680" s="292"/>
      <c r="BT680" s="292"/>
      <c r="BU680" s="292"/>
      <c r="BV680" s="292"/>
      <c r="BW680" s="292"/>
    </row>
    <row r="681">
      <c r="A681" s="292"/>
      <c r="B681" s="292" t="str">
        <f>IFERROR(__xludf.DUMMYFUNCTION("""COMPUTED_VALUE"""),"")</f>
        <v/>
      </c>
      <c r="C681" s="292"/>
      <c r="D681" s="292" t="str">
        <f>IFERROR(__xludf.DUMMYFUNCTION("""COMPUTED_VALUE"""),"")</f>
        <v/>
      </c>
      <c r="E681" s="292" t="str">
        <f>IFERROR(__xludf.DUMMYFUNCTION("""COMPUTED_VALUE"""),"")</f>
        <v/>
      </c>
      <c r="F681" s="292"/>
      <c r="G681" s="292" t="str">
        <f>IFERROR(__xludf.DUMMYFUNCTION("""COMPUTED_VALUE"""),"")</f>
        <v/>
      </c>
      <c r="H681" s="292" t="str">
        <f>IFERROR(__xludf.DUMMYFUNCTION("""COMPUTED_VALUE"""),"")</f>
        <v/>
      </c>
      <c r="I681" s="292"/>
      <c r="J681" s="292"/>
      <c r="K681" s="292"/>
      <c r="L681" s="292"/>
      <c r="M681" s="292" t="str">
        <f>IFERROR(__xludf.DUMMYFUNCTION("""COMPUTED_VALUE"""),"")</f>
        <v/>
      </c>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c r="AK681" s="292"/>
      <c r="AL681" s="292"/>
      <c r="AM681" s="292"/>
      <c r="AN681" s="292"/>
      <c r="AO681" s="292"/>
      <c r="AP681" s="292"/>
      <c r="AQ681" s="292"/>
      <c r="AR681" s="292"/>
      <c r="AS681" s="292"/>
      <c r="AT681" s="292"/>
      <c r="AU681" s="292"/>
      <c r="AV681" s="292"/>
      <c r="AW681" s="292"/>
      <c r="AX681" s="292"/>
      <c r="AY681" s="292"/>
      <c r="AZ681" s="292"/>
      <c r="BA681" s="292"/>
      <c r="BB681" s="292"/>
      <c r="BC681" s="292"/>
      <c r="BD681" s="292"/>
      <c r="BE681" s="292"/>
      <c r="BF681" s="292"/>
      <c r="BG681" s="292"/>
      <c r="BH681" s="292"/>
      <c r="BI681" s="292"/>
      <c r="BJ681" s="292"/>
      <c r="BK681" s="292"/>
      <c r="BL681" s="292"/>
      <c r="BM681" s="292"/>
      <c r="BN681" s="292"/>
      <c r="BO681" s="292"/>
      <c r="BP681" s="292"/>
      <c r="BQ681" s="292"/>
      <c r="BR681" s="292"/>
      <c r="BS681" s="292"/>
      <c r="BT681" s="292"/>
      <c r="BU681" s="292"/>
      <c r="BV681" s="292"/>
      <c r="BW681" s="292"/>
    </row>
    <row r="682">
      <c r="A682" s="292"/>
      <c r="B682" s="292" t="str">
        <f>IFERROR(__xludf.DUMMYFUNCTION("""COMPUTED_VALUE"""),"")</f>
        <v/>
      </c>
      <c r="C682" s="292"/>
      <c r="D682" s="292" t="str">
        <f>IFERROR(__xludf.DUMMYFUNCTION("""COMPUTED_VALUE"""),"")</f>
        <v/>
      </c>
      <c r="E682" s="292" t="str">
        <f>IFERROR(__xludf.DUMMYFUNCTION("""COMPUTED_VALUE"""),"")</f>
        <v/>
      </c>
      <c r="F682" s="292"/>
      <c r="G682" s="292" t="str">
        <f>IFERROR(__xludf.DUMMYFUNCTION("""COMPUTED_VALUE"""),"")</f>
        <v/>
      </c>
      <c r="H682" s="292" t="str">
        <f>IFERROR(__xludf.DUMMYFUNCTION("""COMPUTED_VALUE"""),"")</f>
        <v/>
      </c>
      <c r="I682" s="292"/>
      <c r="J682" s="292"/>
      <c r="K682" s="292"/>
      <c r="L682" s="292"/>
      <c r="M682" s="292" t="str">
        <f>IFERROR(__xludf.DUMMYFUNCTION("""COMPUTED_VALUE"""),"")</f>
        <v/>
      </c>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c r="AK682" s="292"/>
      <c r="AL682" s="292"/>
      <c r="AM682" s="292"/>
      <c r="AN682" s="292"/>
      <c r="AO682" s="292"/>
      <c r="AP682" s="292"/>
      <c r="AQ682" s="292"/>
      <c r="AR682" s="292"/>
      <c r="AS682" s="292"/>
      <c r="AT682" s="292"/>
      <c r="AU682" s="292"/>
      <c r="AV682" s="292"/>
      <c r="AW682" s="292"/>
      <c r="AX682" s="292"/>
      <c r="AY682" s="292"/>
      <c r="AZ682" s="292"/>
      <c r="BA682" s="292"/>
      <c r="BB682" s="292"/>
      <c r="BC682" s="292"/>
      <c r="BD682" s="292"/>
      <c r="BE682" s="292"/>
      <c r="BF682" s="292"/>
      <c r="BG682" s="292"/>
      <c r="BH682" s="292"/>
      <c r="BI682" s="292"/>
      <c r="BJ682" s="292"/>
      <c r="BK682" s="292"/>
      <c r="BL682" s="292"/>
      <c r="BM682" s="292"/>
      <c r="BN682" s="292"/>
      <c r="BO682" s="292"/>
      <c r="BP682" s="292"/>
      <c r="BQ682" s="292"/>
      <c r="BR682" s="292"/>
      <c r="BS682" s="292"/>
      <c r="BT682" s="292"/>
      <c r="BU682" s="292"/>
      <c r="BV682" s="292"/>
      <c r="BW682" s="292"/>
    </row>
    <row r="683">
      <c r="A683" s="292"/>
      <c r="B683" s="292" t="str">
        <f>IFERROR(__xludf.DUMMYFUNCTION("""COMPUTED_VALUE"""),"")</f>
        <v/>
      </c>
      <c r="C683" s="292"/>
      <c r="D683" s="292" t="str">
        <f>IFERROR(__xludf.DUMMYFUNCTION("""COMPUTED_VALUE"""),"")</f>
        <v/>
      </c>
      <c r="E683" s="292" t="str">
        <f>IFERROR(__xludf.DUMMYFUNCTION("""COMPUTED_VALUE"""),"")</f>
        <v/>
      </c>
      <c r="F683" s="292"/>
      <c r="G683" s="292" t="str">
        <f>IFERROR(__xludf.DUMMYFUNCTION("""COMPUTED_VALUE"""),"")</f>
        <v/>
      </c>
      <c r="H683" s="292" t="str">
        <f>IFERROR(__xludf.DUMMYFUNCTION("""COMPUTED_VALUE"""),"")</f>
        <v/>
      </c>
      <c r="I683" s="292"/>
      <c r="J683" s="292"/>
      <c r="K683" s="292"/>
      <c r="L683" s="292"/>
      <c r="M683" s="292" t="str">
        <f>IFERROR(__xludf.DUMMYFUNCTION("""COMPUTED_VALUE"""),"")</f>
        <v/>
      </c>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c r="AK683" s="292"/>
      <c r="AL683" s="292"/>
      <c r="AM683" s="292"/>
      <c r="AN683" s="292"/>
      <c r="AO683" s="292"/>
      <c r="AP683" s="292"/>
      <c r="AQ683" s="292"/>
      <c r="AR683" s="292"/>
      <c r="AS683" s="292"/>
      <c r="AT683" s="292"/>
      <c r="AU683" s="292"/>
      <c r="AV683" s="292"/>
      <c r="AW683" s="292"/>
      <c r="AX683" s="292"/>
      <c r="AY683" s="292"/>
      <c r="AZ683" s="292"/>
      <c r="BA683" s="292"/>
      <c r="BB683" s="292"/>
      <c r="BC683" s="292"/>
      <c r="BD683" s="292"/>
      <c r="BE683" s="292"/>
      <c r="BF683" s="292"/>
      <c r="BG683" s="292"/>
      <c r="BH683" s="292"/>
      <c r="BI683" s="292"/>
      <c r="BJ683" s="292"/>
      <c r="BK683" s="292"/>
      <c r="BL683" s="292"/>
      <c r="BM683" s="292"/>
      <c r="BN683" s="292"/>
      <c r="BO683" s="292"/>
      <c r="BP683" s="292"/>
      <c r="BQ683" s="292"/>
      <c r="BR683" s="292"/>
      <c r="BS683" s="292"/>
      <c r="BT683" s="292"/>
      <c r="BU683" s="292"/>
      <c r="BV683" s="292"/>
      <c r="BW683" s="292"/>
    </row>
    <row r="684">
      <c r="A684" s="292"/>
      <c r="B684" s="292" t="str">
        <f>IFERROR(__xludf.DUMMYFUNCTION("""COMPUTED_VALUE"""),"")</f>
        <v/>
      </c>
      <c r="C684" s="292"/>
      <c r="D684" s="292" t="str">
        <f>IFERROR(__xludf.DUMMYFUNCTION("""COMPUTED_VALUE"""),"")</f>
        <v/>
      </c>
      <c r="E684" s="292" t="str">
        <f>IFERROR(__xludf.DUMMYFUNCTION("""COMPUTED_VALUE"""),"")</f>
        <v/>
      </c>
      <c r="F684" s="292"/>
      <c r="G684" s="292" t="str">
        <f>IFERROR(__xludf.DUMMYFUNCTION("""COMPUTED_VALUE"""),"")</f>
        <v/>
      </c>
      <c r="H684" s="292" t="str">
        <f>IFERROR(__xludf.DUMMYFUNCTION("""COMPUTED_VALUE"""),"")</f>
        <v/>
      </c>
      <c r="I684" s="292"/>
      <c r="J684" s="292"/>
      <c r="K684" s="292"/>
      <c r="L684" s="292"/>
      <c r="M684" s="292" t="str">
        <f>IFERROR(__xludf.DUMMYFUNCTION("""COMPUTED_VALUE"""),"")</f>
        <v/>
      </c>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c r="AK684" s="292"/>
      <c r="AL684" s="292"/>
      <c r="AM684" s="292"/>
      <c r="AN684" s="292"/>
      <c r="AO684" s="292"/>
      <c r="AP684" s="292"/>
      <c r="AQ684" s="292"/>
      <c r="AR684" s="292"/>
      <c r="AS684" s="292"/>
      <c r="AT684" s="292"/>
      <c r="AU684" s="292"/>
      <c r="AV684" s="292"/>
      <c r="AW684" s="292"/>
      <c r="AX684" s="292"/>
      <c r="AY684" s="292"/>
      <c r="AZ684" s="292"/>
      <c r="BA684" s="292"/>
      <c r="BB684" s="292"/>
      <c r="BC684" s="292"/>
      <c r="BD684" s="292"/>
      <c r="BE684" s="292"/>
      <c r="BF684" s="292"/>
      <c r="BG684" s="292"/>
      <c r="BH684" s="292"/>
      <c r="BI684" s="292"/>
      <c r="BJ684" s="292"/>
      <c r="BK684" s="292"/>
      <c r="BL684" s="292"/>
      <c r="BM684" s="292"/>
      <c r="BN684" s="292"/>
      <c r="BO684" s="292"/>
      <c r="BP684" s="292"/>
      <c r="BQ684" s="292"/>
      <c r="BR684" s="292"/>
      <c r="BS684" s="292"/>
      <c r="BT684" s="292"/>
      <c r="BU684" s="292"/>
      <c r="BV684" s="292"/>
      <c r="BW684" s="292"/>
    </row>
    <row r="685">
      <c r="A685" s="292"/>
      <c r="B685" s="292" t="str">
        <f>IFERROR(__xludf.DUMMYFUNCTION("""COMPUTED_VALUE"""),"")</f>
        <v/>
      </c>
      <c r="C685" s="292"/>
      <c r="D685" s="292" t="str">
        <f>IFERROR(__xludf.DUMMYFUNCTION("""COMPUTED_VALUE"""),"")</f>
        <v/>
      </c>
      <c r="E685" s="292" t="str">
        <f>IFERROR(__xludf.DUMMYFUNCTION("""COMPUTED_VALUE"""),"")</f>
        <v/>
      </c>
      <c r="F685" s="292"/>
      <c r="G685" s="292" t="str">
        <f>IFERROR(__xludf.DUMMYFUNCTION("""COMPUTED_VALUE"""),"")</f>
        <v/>
      </c>
      <c r="H685" s="292" t="str">
        <f>IFERROR(__xludf.DUMMYFUNCTION("""COMPUTED_VALUE"""),"")</f>
        <v/>
      </c>
      <c r="I685" s="292"/>
      <c r="J685" s="292"/>
      <c r="K685" s="292"/>
      <c r="L685" s="292"/>
      <c r="M685" s="292" t="str">
        <f>IFERROR(__xludf.DUMMYFUNCTION("""COMPUTED_VALUE"""),"")</f>
        <v/>
      </c>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c r="AK685" s="292"/>
      <c r="AL685" s="292"/>
      <c r="AM685" s="292"/>
      <c r="AN685" s="292"/>
      <c r="AO685" s="292"/>
      <c r="AP685" s="292"/>
      <c r="AQ685" s="292"/>
      <c r="AR685" s="292"/>
      <c r="AS685" s="292"/>
      <c r="AT685" s="292"/>
      <c r="AU685" s="292"/>
      <c r="AV685" s="292"/>
      <c r="AW685" s="292"/>
      <c r="AX685" s="292"/>
      <c r="AY685" s="292"/>
      <c r="AZ685" s="292"/>
      <c r="BA685" s="292"/>
      <c r="BB685" s="292"/>
      <c r="BC685" s="292"/>
      <c r="BD685" s="292"/>
      <c r="BE685" s="292"/>
      <c r="BF685" s="292"/>
      <c r="BG685" s="292"/>
      <c r="BH685" s="292"/>
      <c r="BI685" s="292"/>
      <c r="BJ685" s="292"/>
      <c r="BK685" s="292"/>
      <c r="BL685" s="292"/>
      <c r="BM685" s="292"/>
      <c r="BN685" s="292"/>
      <c r="BO685" s="292"/>
      <c r="BP685" s="292"/>
      <c r="BQ685" s="292"/>
      <c r="BR685" s="292"/>
      <c r="BS685" s="292"/>
      <c r="BT685" s="292"/>
      <c r="BU685" s="292"/>
      <c r="BV685" s="292"/>
      <c r="BW685" s="292"/>
    </row>
    <row r="686">
      <c r="A686" s="292"/>
      <c r="B686" s="292" t="str">
        <f>IFERROR(__xludf.DUMMYFUNCTION("""COMPUTED_VALUE"""),"")</f>
        <v/>
      </c>
      <c r="C686" s="292"/>
      <c r="D686" s="292" t="str">
        <f>IFERROR(__xludf.DUMMYFUNCTION("""COMPUTED_VALUE"""),"")</f>
        <v/>
      </c>
      <c r="E686" s="292" t="str">
        <f>IFERROR(__xludf.DUMMYFUNCTION("""COMPUTED_VALUE"""),"")</f>
        <v/>
      </c>
      <c r="F686" s="292"/>
      <c r="G686" s="292" t="str">
        <f>IFERROR(__xludf.DUMMYFUNCTION("""COMPUTED_VALUE"""),"")</f>
        <v/>
      </c>
      <c r="H686" s="292" t="str">
        <f>IFERROR(__xludf.DUMMYFUNCTION("""COMPUTED_VALUE"""),"")</f>
        <v/>
      </c>
      <c r="I686" s="292"/>
      <c r="J686" s="292"/>
      <c r="K686" s="292"/>
      <c r="L686" s="292"/>
      <c r="M686" s="292" t="str">
        <f>IFERROR(__xludf.DUMMYFUNCTION("""COMPUTED_VALUE"""),"")</f>
        <v/>
      </c>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c r="AK686" s="292"/>
      <c r="AL686" s="292"/>
      <c r="AM686" s="292"/>
      <c r="AN686" s="292"/>
      <c r="AO686" s="292"/>
      <c r="AP686" s="292"/>
      <c r="AQ686" s="292"/>
      <c r="AR686" s="292"/>
      <c r="AS686" s="292"/>
      <c r="AT686" s="292"/>
      <c r="AU686" s="292"/>
      <c r="AV686" s="292"/>
      <c r="AW686" s="292"/>
      <c r="AX686" s="292"/>
      <c r="AY686" s="292"/>
      <c r="AZ686" s="292"/>
      <c r="BA686" s="292"/>
      <c r="BB686" s="292"/>
      <c r="BC686" s="292"/>
      <c r="BD686" s="292"/>
      <c r="BE686" s="292"/>
      <c r="BF686" s="292"/>
      <c r="BG686" s="292"/>
      <c r="BH686" s="292"/>
      <c r="BI686" s="292"/>
      <c r="BJ686" s="292"/>
      <c r="BK686" s="292"/>
      <c r="BL686" s="292"/>
      <c r="BM686" s="292"/>
      <c r="BN686" s="292"/>
      <c r="BO686" s="292"/>
      <c r="BP686" s="292"/>
      <c r="BQ686" s="292"/>
      <c r="BR686" s="292"/>
      <c r="BS686" s="292"/>
      <c r="BT686" s="292"/>
      <c r="BU686" s="292"/>
      <c r="BV686" s="292"/>
      <c r="BW686" s="292"/>
    </row>
    <row r="687">
      <c r="A687" s="292"/>
      <c r="B687" s="292" t="str">
        <f>IFERROR(__xludf.DUMMYFUNCTION("""COMPUTED_VALUE"""),"")</f>
        <v/>
      </c>
      <c r="C687" s="292"/>
      <c r="D687" s="292" t="str">
        <f>IFERROR(__xludf.DUMMYFUNCTION("""COMPUTED_VALUE"""),"")</f>
        <v/>
      </c>
      <c r="E687" s="292" t="str">
        <f>IFERROR(__xludf.DUMMYFUNCTION("""COMPUTED_VALUE"""),"")</f>
        <v/>
      </c>
      <c r="F687" s="292"/>
      <c r="G687" s="292" t="str">
        <f>IFERROR(__xludf.DUMMYFUNCTION("""COMPUTED_VALUE"""),"")</f>
        <v/>
      </c>
      <c r="H687" s="292" t="str">
        <f>IFERROR(__xludf.DUMMYFUNCTION("""COMPUTED_VALUE"""),"")</f>
        <v/>
      </c>
      <c r="I687" s="292"/>
      <c r="J687" s="292"/>
      <c r="K687" s="292"/>
      <c r="L687" s="292"/>
      <c r="M687" s="292" t="str">
        <f>IFERROR(__xludf.DUMMYFUNCTION("""COMPUTED_VALUE"""),"")</f>
        <v/>
      </c>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c r="AK687" s="292"/>
      <c r="AL687" s="292"/>
      <c r="AM687" s="292"/>
      <c r="AN687" s="292"/>
      <c r="AO687" s="292"/>
      <c r="AP687" s="292"/>
      <c r="AQ687" s="292"/>
      <c r="AR687" s="292"/>
      <c r="AS687" s="292"/>
      <c r="AT687" s="292"/>
      <c r="AU687" s="292"/>
      <c r="AV687" s="292"/>
      <c r="AW687" s="292"/>
      <c r="AX687" s="292"/>
      <c r="AY687" s="292"/>
      <c r="AZ687" s="292"/>
      <c r="BA687" s="292"/>
      <c r="BB687" s="292"/>
      <c r="BC687" s="292"/>
      <c r="BD687" s="292"/>
      <c r="BE687" s="292"/>
      <c r="BF687" s="292"/>
      <c r="BG687" s="292"/>
      <c r="BH687" s="292"/>
      <c r="BI687" s="292"/>
      <c r="BJ687" s="292"/>
      <c r="BK687" s="292"/>
      <c r="BL687" s="292"/>
      <c r="BM687" s="292"/>
      <c r="BN687" s="292"/>
      <c r="BO687" s="292"/>
      <c r="BP687" s="292"/>
      <c r="BQ687" s="292"/>
      <c r="BR687" s="292"/>
      <c r="BS687" s="292"/>
      <c r="BT687" s="292"/>
      <c r="BU687" s="292"/>
      <c r="BV687" s="292"/>
      <c r="BW687" s="292"/>
    </row>
    <row r="688">
      <c r="A688" s="292"/>
      <c r="B688" s="292" t="str">
        <f>IFERROR(__xludf.DUMMYFUNCTION("""COMPUTED_VALUE"""),"")</f>
        <v/>
      </c>
      <c r="C688" s="292"/>
      <c r="D688" s="292" t="str">
        <f>IFERROR(__xludf.DUMMYFUNCTION("""COMPUTED_VALUE"""),"")</f>
        <v/>
      </c>
      <c r="E688" s="292" t="str">
        <f>IFERROR(__xludf.DUMMYFUNCTION("""COMPUTED_VALUE"""),"")</f>
        <v/>
      </c>
      <c r="F688" s="292"/>
      <c r="G688" s="292" t="str">
        <f>IFERROR(__xludf.DUMMYFUNCTION("""COMPUTED_VALUE"""),"")</f>
        <v/>
      </c>
      <c r="H688" s="292" t="str">
        <f>IFERROR(__xludf.DUMMYFUNCTION("""COMPUTED_VALUE"""),"")</f>
        <v/>
      </c>
      <c r="I688" s="292"/>
      <c r="J688" s="292"/>
      <c r="K688" s="292"/>
      <c r="L688" s="292"/>
      <c r="M688" s="292" t="str">
        <f>IFERROR(__xludf.DUMMYFUNCTION("""COMPUTED_VALUE"""),"")</f>
        <v/>
      </c>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c r="AK688" s="292"/>
      <c r="AL688" s="292"/>
      <c r="AM688" s="292"/>
      <c r="AN688" s="292"/>
      <c r="AO688" s="292"/>
      <c r="AP688" s="292"/>
      <c r="AQ688" s="292"/>
      <c r="AR688" s="292"/>
      <c r="AS688" s="292"/>
      <c r="AT688" s="292"/>
      <c r="AU688" s="292"/>
      <c r="AV688" s="292"/>
      <c r="AW688" s="292"/>
      <c r="AX688" s="292"/>
      <c r="AY688" s="292"/>
      <c r="AZ688" s="292"/>
      <c r="BA688" s="292"/>
      <c r="BB688" s="292"/>
      <c r="BC688" s="292"/>
      <c r="BD688" s="292"/>
      <c r="BE688" s="292"/>
      <c r="BF688" s="292"/>
      <c r="BG688" s="292"/>
      <c r="BH688" s="292"/>
      <c r="BI688" s="292"/>
      <c r="BJ688" s="292"/>
      <c r="BK688" s="292"/>
      <c r="BL688" s="292"/>
      <c r="BM688" s="292"/>
      <c r="BN688" s="292"/>
      <c r="BO688" s="292"/>
      <c r="BP688" s="292"/>
      <c r="BQ688" s="292"/>
      <c r="BR688" s="292"/>
      <c r="BS688" s="292"/>
      <c r="BT688" s="292"/>
      <c r="BU688" s="292"/>
      <c r="BV688" s="292"/>
      <c r="BW688" s="292"/>
    </row>
    <row r="689">
      <c r="A689" s="292"/>
      <c r="B689" s="292" t="str">
        <f>IFERROR(__xludf.DUMMYFUNCTION("""COMPUTED_VALUE"""),"")</f>
        <v/>
      </c>
      <c r="C689" s="292"/>
      <c r="D689" s="292" t="str">
        <f>IFERROR(__xludf.DUMMYFUNCTION("""COMPUTED_VALUE"""),"")</f>
        <v/>
      </c>
      <c r="E689" s="292" t="str">
        <f>IFERROR(__xludf.DUMMYFUNCTION("""COMPUTED_VALUE"""),"")</f>
        <v/>
      </c>
      <c r="F689" s="292"/>
      <c r="G689" s="292" t="str">
        <f>IFERROR(__xludf.DUMMYFUNCTION("""COMPUTED_VALUE"""),"")</f>
        <v/>
      </c>
      <c r="H689" s="292" t="str">
        <f>IFERROR(__xludf.DUMMYFUNCTION("""COMPUTED_VALUE"""),"")</f>
        <v/>
      </c>
      <c r="I689" s="292"/>
      <c r="J689" s="292"/>
      <c r="K689" s="292"/>
      <c r="L689" s="292"/>
      <c r="M689" s="292" t="str">
        <f>IFERROR(__xludf.DUMMYFUNCTION("""COMPUTED_VALUE"""),"")</f>
        <v/>
      </c>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c r="AK689" s="292"/>
      <c r="AL689" s="292"/>
      <c r="AM689" s="292"/>
      <c r="AN689" s="292"/>
      <c r="AO689" s="292"/>
      <c r="AP689" s="292"/>
      <c r="AQ689" s="292"/>
      <c r="AR689" s="292"/>
      <c r="AS689" s="292"/>
      <c r="AT689" s="292"/>
      <c r="AU689" s="292"/>
      <c r="AV689" s="292"/>
      <c r="AW689" s="292"/>
      <c r="AX689" s="292"/>
      <c r="AY689" s="292"/>
      <c r="AZ689" s="292"/>
      <c r="BA689" s="292"/>
      <c r="BB689" s="292"/>
      <c r="BC689" s="292"/>
      <c r="BD689" s="292"/>
      <c r="BE689" s="292"/>
      <c r="BF689" s="292"/>
      <c r="BG689" s="292"/>
      <c r="BH689" s="292"/>
      <c r="BI689" s="292"/>
      <c r="BJ689" s="292"/>
      <c r="BK689" s="292"/>
      <c r="BL689" s="292"/>
      <c r="BM689" s="292"/>
      <c r="BN689" s="292"/>
      <c r="BO689" s="292"/>
      <c r="BP689" s="292"/>
      <c r="BQ689" s="292"/>
      <c r="BR689" s="292"/>
      <c r="BS689" s="292"/>
      <c r="BT689" s="292"/>
      <c r="BU689" s="292"/>
      <c r="BV689" s="292"/>
      <c r="BW689" s="292"/>
    </row>
    <row r="690">
      <c r="A690" s="292"/>
      <c r="B690" s="292" t="str">
        <f>IFERROR(__xludf.DUMMYFUNCTION("""COMPUTED_VALUE"""),"")</f>
        <v/>
      </c>
      <c r="C690" s="292"/>
      <c r="D690" s="292" t="str">
        <f>IFERROR(__xludf.DUMMYFUNCTION("""COMPUTED_VALUE"""),"")</f>
        <v/>
      </c>
      <c r="E690" s="292" t="str">
        <f>IFERROR(__xludf.DUMMYFUNCTION("""COMPUTED_VALUE"""),"")</f>
        <v/>
      </c>
      <c r="F690" s="292"/>
      <c r="G690" s="292" t="str">
        <f>IFERROR(__xludf.DUMMYFUNCTION("""COMPUTED_VALUE"""),"")</f>
        <v/>
      </c>
      <c r="H690" s="292" t="str">
        <f>IFERROR(__xludf.DUMMYFUNCTION("""COMPUTED_VALUE"""),"")</f>
        <v/>
      </c>
      <c r="I690" s="292"/>
      <c r="J690" s="292"/>
      <c r="K690" s="292"/>
      <c r="L690" s="292"/>
      <c r="M690" s="292" t="str">
        <f>IFERROR(__xludf.DUMMYFUNCTION("""COMPUTED_VALUE"""),"")</f>
        <v/>
      </c>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c r="AK690" s="292"/>
      <c r="AL690" s="292"/>
      <c r="AM690" s="292"/>
      <c r="AN690" s="292"/>
      <c r="AO690" s="292"/>
      <c r="AP690" s="292"/>
      <c r="AQ690" s="292"/>
      <c r="AR690" s="292"/>
      <c r="AS690" s="292"/>
      <c r="AT690" s="292"/>
      <c r="AU690" s="292"/>
      <c r="AV690" s="292"/>
      <c r="AW690" s="292"/>
      <c r="AX690" s="292"/>
      <c r="AY690" s="292"/>
      <c r="AZ690" s="292"/>
      <c r="BA690" s="292"/>
      <c r="BB690" s="292"/>
      <c r="BC690" s="292"/>
      <c r="BD690" s="292"/>
      <c r="BE690" s="292"/>
      <c r="BF690" s="292"/>
      <c r="BG690" s="292"/>
      <c r="BH690" s="292"/>
      <c r="BI690" s="292"/>
      <c r="BJ690" s="292"/>
      <c r="BK690" s="292"/>
      <c r="BL690" s="292"/>
      <c r="BM690" s="292"/>
      <c r="BN690" s="292"/>
      <c r="BO690" s="292"/>
      <c r="BP690" s="292"/>
      <c r="BQ690" s="292"/>
      <c r="BR690" s="292"/>
      <c r="BS690" s="292"/>
      <c r="BT690" s="292"/>
      <c r="BU690" s="292"/>
      <c r="BV690" s="292"/>
      <c r="BW690" s="292"/>
    </row>
    <row r="691">
      <c r="A691" s="292"/>
      <c r="B691" s="292" t="str">
        <f>IFERROR(__xludf.DUMMYFUNCTION("""COMPUTED_VALUE"""),"")</f>
        <v/>
      </c>
      <c r="C691" s="292"/>
      <c r="D691" s="292" t="str">
        <f>IFERROR(__xludf.DUMMYFUNCTION("""COMPUTED_VALUE"""),"")</f>
        <v/>
      </c>
      <c r="E691" s="292" t="str">
        <f>IFERROR(__xludf.DUMMYFUNCTION("""COMPUTED_VALUE"""),"")</f>
        <v/>
      </c>
      <c r="F691" s="292"/>
      <c r="G691" s="292" t="str">
        <f>IFERROR(__xludf.DUMMYFUNCTION("""COMPUTED_VALUE"""),"")</f>
        <v/>
      </c>
      <c r="H691" s="292" t="str">
        <f>IFERROR(__xludf.DUMMYFUNCTION("""COMPUTED_VALUE"""),"")</f>
        <v/>
      </c>
      <c r="I691" s="292"/>
      <c r="J691" s="292"/>
      <c r="K691" s="292"/>
      <c r="L691" s="292"/>
      <c r="M691" s="292" t="str">
        <f>IFERROR(__xludf.DUMMYFUNCTION("""COMPUTED_VALUE"""),"")</f>
        <v/>
      </c>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c r="AK691" s="292"/>
      <c r="AL691" s="292"/>
      <c r="AM691" s="292"/>
      <c r="AN691" s="292"/>
      <c r="AO691" s="292"/>
      <c r="AP691" s="292"/>
      <c r="AQ691" s="292"/>
      <c r="AR691" s="292"/>
      <c r="AS691" s="292"/>
      <c r="AT691" s="292"/>
      <c r="AU691" s="292"/>
      <c r="AV691" s="292"/>
      <c r="AW691" s="292"/>
      <c r="AX691" s="292"/>
      <c r="AY691" s="292"/>
      <c r="AZ691" s="292"/>
      <c r="BA691" s="292"/>
      <c r="BB691" s="292"/>
      <c r="BC691" s="292"/>
      <c r="BD691" s="292"/>
      <c r="BE691" s="292"/>
      <c r="BF691" s="292"/>
      <c r="BG691" s="292"/>
      <c r="BH691" s="292"/>
      <c r="BI691" s="292"/>
      <c r="BJ691" s="292"/>
      <c r="BK691" s="292"/>
      <c r="BL691" s="292"/>
      <c r="BM691" s="292"/>
      <c r="BN691" s="292"/>
      <c r="BO691" s="292"/>
      <c r="BP691" s="292"/>
      <c r="BQ691" s="292"/>
      <c r="BR691" s="292"/>
      <c r="BS691" s="292"/>
      <c r="BT691" s="292"/>
      <c r="BU691" s="292"/>
      <c r="BV691" s="292"/>
      <c r="BW691" s="292"/>
    </row>
    <row r="692">
      <c r="A692" s="292"/>
      <c r="B692" s="292" t="str">
        <f>IFERROR(__xludf.DUMMYFUNCTION("""COMPUTED_VALUE"""),"")</f>
        <v/>
      </c>
      <c r="C692" s="292"/>
      <c r="D692" s="292" t="str">
        <f>IFERROR(__xludf.DUMMYFUNCTION("""COMPUTED_VALUE"""),"")</f>
        <v/>
      </c>
      <c r="E692" s="292" t="str">
        <f>IFERROR(__xludf.DUMMYFUNCTION("""COMPUTED_VALUE"""),"")</f>
        <v/>
      </c>
      <c r="F692" s="292"/>
      <c r="G692" s="292" t="str">
        <f>IFERROR(__xludf.DUMMYFUNCTION("""COMPUTED_VALUE"""),"")</f>
        <v/>
      </c>
      <c r="H692" s="292" t="str">
        <f>IFERROR(__xludf.DUMMYFUNCTION("""COMPUTED_VALUE"""),"")</f>
        <v/>
      </c>
      <c r="I692" s="292"/>
      <c r="J692" s="292"/>
      <c r="K692" s="292"/>
      <c r="L692" s="292"/>
      <c r="M692" s="292" t="str">
        <f>IFERROR(__xludf.DUMMYFUNCTION("""COMPUTED_VALUE"""),"")</f>
        <v/>
      </c>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c r="AK692" s="292"/>
      <c r="AL692" s="292"/>
      <c r="AM692" s="292"/>
      <c r="AN692" s="292"/>
      <c r="AO692" s="292"/>
      <c r="AP692" s="292"/>
      <c r="AQ692" s="292"/>
      <c r="AR692" s="292"/>
      <c r="AS692" s="292"/>
      <c r="AT692" s="292"/>
      <c r="AU692" s="292"/>
      <c r="AV692" s="292"/>
      <c r="AW692" s="292"/>
      <c r="AX692" s="292"/>
      <c r="AY692" s="292"/>
      <c r="AZ692" s="292"/>
      <c r="BA692" s="292"/>
      <c r="BB692" s="292"/>
      <c r="BC692" s="292"/>
      <c r="BD692" s="292"/>
      <c r="BE692" s="292"/>
      <c r="BF692" s="292"/>
      <c r="BG692" s="292"/>
      <c r="BH692" s="292"/>
      <c r="BI692" s="292"/>
      <c r="BJ692" s="292"/>
      <c r="BK692" s="292"/>
      <c r="BL692" s="292"/>
      <c r="BM692" s="292"/>
      <c r="BN692" s="292"/>
      <c r="BO692" s="292"/>
      <c r="BP692" s="292"/>
      <c r="BQ692" s="292"/>
      <c r="BR692" s="292"/>
      <c r="BS692" s="292"/>
      <c r="BT692" s="292"/>
      <c r="BU692" s="292"/>
      <c r="BV692" s="292"/>
      <c r="BW692" s="292"/>
    </row>
    <row r="693">
      <c r="A693" s="292"/>
      <c r="B693" s="292" t="str">
        <f>IFERROR(__xludf.DUMMYFUNCTION("""COMPUTED_VALUE"""),"")</f>
        <v/>
      </c>
      <c r="C693" s="292"/>
      <c r="D693" s="292" t="str">
        <f>IFERROR(__xludf.DUMMYFUNCTION("""COMPUTED_VALUE"""),"")</f>
        <v/>
      </c>
      <c r="E693" s="292" t="str">
        <f>IFERROR(__xludf.DUMMYFUNCTION("""COMPUTED_VALUE"""),"")</f>
        <v/>
      </c>
      <c r="F693" s="292"/>
      <c r="G693" s="292" t="str">
        <f>IFERROR(__xludf.DUMMYFUNCTION("""COMPUTED_VALUE"""),"")</f>
        <v/>
      </c>
      <c r="H693" s="292" t="str">
        <f>IFERROR(__xludf.DUMMYFUNCTION("""COMPUTED_VALUE"""),"")</f>
        <v/>
      </c>
      <c r="I693" s="292"/>
      <c r="J693" s="292"/>
      <c r="K693" s="292"/>
      <c r="L693" s="292"/>
      <c r="M693" s="292" t="str">
        <f>IFERROR(__xludf.DUMMYFUNCTION("""COMPUTED_VALUE"""),"")</f>
        <v/>
      </c>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c r="AK693" s="292"/>
      <c r="AL693" s="292"/>
      <c r="AM693" s="292"/>
      <c r="AN693" s="292"/>
      <c r="AO693" s="292"/>
      <c r="AP693" s="292"/>
      <c r="AQ693" s="292"/>
      <c r="AR693" s="292"/>
      <c r="AS693" s="292"/>
      <c r="AT693" s="292"/>
      <c r="AU693" s="292"/>
      <c r="AV693" s="292"/>
      <c r="AW693" s="292"/>
      <c r="AX693" s="292"/>
      <c r="AY693" s="292"/>
      <c r="AZ693" s="292"/>
      <c r="BA693" s="292"/>
      <c r="BB693" s="292"/>
      <c r="BC693" s="292"/>
      <c r="BD693" s="292"/>
      <c r="BE693" s="292"/>
      <c r="BF693" s="292"/>
      <c r="BG693" s="292"/>
      <c r="BH693" s="292"/>
      <c r="BI693" s="292"/>
      <c r="BJ693" s="292"/>
      <c r="BK693" s="292"/>
      <c r="BL693" s="292"/>
      <c r="BM693" s="292"/>
      <c r="BN693" s="292"/>
      <c r="BO693" s="292"/>
      <c r="BP693" s="292"/>
      <c r="BQ693" s="292"/>
      <c r="BR693" s="292"/>
      <c r="BS693" s="292"/>
      <c r="BT693" s="292"/>
      <c r="BU693" s="292"/>
      <c r="BV693" s="292"/>
      <c r="BW693" s="292"/>
    </row>
    <row r="694">
      <c r="A694" s="292"/>
      <c r="B694" s="292" t="str">
        <f>IFERROR(__xludf.DUMMYFUNCTION("""COMPUTED_VALUE"""),"")</f>
        <v/>
      </c>
      <c r="C694" s="292"/>
      <c r="D694" s="292" t="str">
        <f>IFERROR(__xludf.DUMMYFUNCTION("""COMPUTED_VALUE"""),"")</f>
        <v/>
      </c>
      <c r="E694" s="292" t="str">
        <f>IFERROR(__xludf.DUMMYFUNCTION("""COMPUTED_VALUE"""),"")</f>
        <v/>
      </c>
      <c r="F694" s="292"/>
      <c r="G694" s="292" t="str">
        <f>IFERROR(__xludf.DUMMYFUNCTION("""COMPUTED_VALUE"""),"")</f>
        <v/>
      </c>
      <c r="H694" s="292" t="str">
        <f>IFERROR(__xludf.DUMMYFUNCTION("""COMPUTED_VALUE"""),"")</f>
        <v/>
      </c>
      <c r="I694" s="292"/>
      <c r="J694" s="292"/>
      <c r="K694" s="292"/>
      <c r="L694" s="292"/>
      <c r="M694" s="292" t="str">
        <f>IFERROR(__xludf.DUMMYFUNCTION("""COMPUTED_VALUE"""),"")</f>
        <v/>
      </c>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c r="AK694" s="292"/>
      <c r="AL694" s="292"/>
      <c r="AM694" s="292"/>
      <c r="AN694" s="292"/>
      <c r="AO694" s="292"/>
      <c r="AP694" s="292"/>
      <c r="AQ694" s="292"/>
      <c r="AR694" s="292"/>
      <c r="AS694" s="292"/>
      <c r="AT694" s="292"/>
      <c r="AU694" s="292"/>
      <c r="AV694" s="292"/>
      <c r="AW694" s="292"/>
      <c r="AX694" s="292"/>
      <c r="AY694" s="292"/>
      <c r="AZ694" s="292"/>
      <c r="BA694" s="292"/>
      <c r="BB694" s="292"/>
      <c r="BC694" s="292"/>
      <c r="BD694" s="292"/>
      <c r="BE694" s="292"/>
      <c r="BF694" s="292"/>
      <c r="BG694" s="292"/>
      <c r="BH694" s="292"/>
      <c r="BI694" s="292"/>
      <c r="BJ694" s="292"/>
      <c r="BK694" s="292"/>
      <c r="BL694" s="292"/>
      <c r="BM694" s="292"/>
      <c r="BN694" s="292"/>
      <c r="BO694" s="292"/>
      <c r="BP694" s="292"/>
      <c r="BQ694" s="292"/>
      <c r="BR694" s="292"/>
      <c r="BS694" s="292"/>
      <c r="BT694" s="292"/>
      <c r="BU694" s="292"/>
      <c r="BV694" s="292"/>
      <c r="BW694" s="292"/>
    </row>
    <row r="695">
      <c r="A695" s="292"/>
      <c r="B695" s="292" t="str">
        <f>IFERROR(__xludf.DUMMYFUNCTION("""COMPUTED_VALUE"""),"")</f>
        <v/>
      </c>
      <c r="C695" s="292"/>
      <c r="D695" s="292" t="str">
        <f>IFERROR(__xludf.DUMMYFUNCTION("""COMPUTED_VALUE"""),"")</f>
        <v/>
      </c>
      <c r="E695" s="292" t="str">
        <f>IFERROR(__xludf.DUMMYFUNCTION("""COMPUTED_VALUE"""),"")</f>
        <v/>
      </c>
      <c r="F695" s="292"/>
      <c r="G695" s="292" t="str">
        <f>IFERROR(__xludf.DUMMYFUNCTION("""COMPUTED_VALUE"""),"")</f>
        <v/>
      </c>
      <c r="H695" s="292" t="str">
        <f>IFERROR(__xludf.DUMMYFUNCTION("""COMPUTED_VALUE"""),"")</f>
        <v/>
      </c>
      <c r="I695" s="292"/>
      <c r="J695" s="292"/>
      <c r="K695" s="292"/>
      <c r="L695" s="292"/>
      <c r="M695" s="292" t="str">
        <f>IFERROR(__xludf.DUMMYFUNCTION("""COMPUTED_VALUE"""),"")</f>
        <v/>
      </c>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c r="AK695" s="292"/>
      <c r="AL695" s="292"/>
      <c r="AM695" s="292"/>
      <c r="AN695" s="292"/>
      <c r="AO695" s="292"/>
      <c r="AP695" s="292"/>
      <c r="AQ695" s="292"/>
      <c r="AR695" s="292"/>
      <c r="AS695" s="292"/>
      <c r="AT695" s="292"/>
      <c r="AU695" s="292"/>
      <c r="AV695" s="292"/>
      <c r="AW695" s="292"/>
      <c r="AX695" s="292"/>
      <c r="AY695" s="292"/>
      <c r="AZ695" s="292"/>
      <c r="BA695" s="292"/>
      <c r="BB695" s="292"/>
      <c r="BC695" s="292"/>
      <c r="BD695" s="292"/>
      <c r="BE695" s="292"/>
      <c r="BF695" s="292"/>
      <c r="BG695" s="292"/>
      <c r="BH695" s="292"/>
      <c r="BI695" s="292"/>
      <c r="BJ695" s="292"/>
      <c r="BK695" s="292"/>
      <c r="BL695" s="292"/>
      <c r="BM695" s="292"/>
      <c r="BN695" s="292"/>
      <c r="BO695" s="292"/>
      <c r="BP695" s="292"/>
      <c r="BQ695" s="292"/>
      <c r="BR695" s="292"/>
      <c r="BS695" s="292"/>
      <c r="BT695" s="292"/>
      <c r="BU695" s="292"/>
      <c r="BV695" s="292"/>
      <c r="BW695" s="292"/>
    </row>
    <row r="696">
      <c r="A696" s="292"/>
      <c r="B696" s="292" t="str">
        <f>IFERROR(__xludf.DUMMYFUNCTION("""COMPUTED_VALUE"""),"")</f>
        <v/>
      </c>
      <c r="C696" s="292"/>
      <c r="D696" s="292" t="str">
        <f>IFERROR(__xludf.DUMMYFUNCTION("""COMPUTED_VALUE"""),"")</f>
        <v/>
      </c>
      <c r="E696" s="292" t="str">
        <f>IFERROR(__xludf.DUMMYFUNCTION("""COMPUTED_VALUE"""),"")</f>
        <v/>
      </c>
      <c r="F696" s="292"/>
      <c r="G696" s="292" t="str">
        <f>IFERROR(__xludf.DUMMYFUNCTION("""COMPUTED_VALUE"""),"")</f>
        <v/>
      </c>
      <c r="H696" s="292" t="str">
        <f>IFERROR(__xludf.DUMMYFUNCTION("""COMPUTED_VALUE"""),"")</f>
        <v/>
      </c>
      <c r="I696" s="292"/>
      <c r="J696" s="292"/>
      <c r="K696" s="292"/>
      <c r="L696" s="292"/>
      <c r="M696" s="292" t="str">
        <f>IFERROR(__xludf.DUMMYFUNCTION("""COMPUTED_VALUE"""),"")</f>
        <v/>
      </c>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c r="AK696" s="292"/>
      <c r="AL696" s="292"/>
      <c r="AM696" s="292"/>
      <c r="AN696" s="292"/>
      <c r="AO696" s="292"/>
      <c r="AP696" s="292"/>
      <c r="AQ696" s="292"/>
      <c r="AR696" s="292"/>
      <c r="AS696" s="292"/>
      <c r="AT696" s="292"/>
      <c r="AU696" s="292"/>
      <c r="AV696" s="292"/>
      <c r="AW696" s="292"/>
      <c r="AX696" s="292"/>
      <c r="AY696" s="292"/>
      <c r="AZ696" s="292"/>
      <c r="BA696" s="292"/>
      <c r="BB696" s="292"/>
      <c r="BC696" s="292"/>
      <c r="BD696" s="292"/>
      <c r="BE696" s="292"/>
      <c r="BF696" s="292"/>
      <c r="BG696" s="292"/>
      <c r="BH696" s="292"/>
      <c r="BI696" s="292"/>
      <c r="BJ696" s="292"/>
      <c r="BK696" s="292"/>
      <c r="BL696" s="292"/>
      <c r="BM696" s="292"/>
      <c r="BN696" s="292"/>
      <c r="BO696" s="292"/>
      <c r="BP696" s="292"/>
      <c r="BQ696" s="292"/>
      <c r="BR696" s="292"/>
      <c r="BS696" s="292"/>
      <c r="BT696" s="292"/>
      <c r="BU696" s="292"/>
      <c r="BV696" s="292"/>
      <c r="BW696" s="292"/>
    </row>
    <row r="697">
      <c r="A697" s="292"/>
      <c r="B697" s="292" t="str">
        <f>IFERROR(__xludf.DUMMYFUNCTION("""COMPUTED_VALUE"""),"")</f>
        <v/>
      </c>
      <c r="C697" s="292"/>
      <c r="D697" s="292" t="str">
        <f>IFERROR(__xludf.DUMMYFUNCTION("""COMPUTED_VALUE"""),"")</f>
        <v/>
      </c>
      <c r="E697" s="292" t="str">
        <f>IFERROR(__xludf.DUMMYFUNCTION("""COMPUTED_VALUE"""),"")</f>
        <v/>
      </c>
      <c r="F697" s="292"/>
      <c r="G697" s="292" t="str">
        <f>IFERROR(__xludf.DUMMYFUNCTION("""COMPUTED_VALUE"""),"")</f>
        <v/>
      </c>
      <c r="H697" s="292" t="str">
        <f>IFERROR(__xludf.DUMMYFUNCTION("""COMPUTED_VALUE"""),"")</f>
        <v/>
      </c>
      <c r="I697" s="292"/>
      <c r="J697" s="292"/>
      <c r="K697" s="292"/>
      <c r="L697" s="292"/>
      <c r="M697" s="292" t="str">
        <f>IFERROR(__xludf.DUMMYFUNCTION("""COMPUTED_VALUE"""),"")</f>
        <v/>
      </c>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c r="AK697" s="292"/>
      <c r="AL697" s="292"/>
      <c r="AM697" s="292"/>
      <c r="AN697" s="292"/>
      <c r="AO697" s="292"/>
      <c r="AP697" s="292"/>
      <c r="AQ697" s="292"/>
      <c r="AR697" s="292"/>
      <c r="AS697" s="292"/>
      <c r="AT697" s="292"/>
      <c r="AU697" s="292"/>
      <c r="AV697" s="292"/>
      <c r="AW697" s="292"/>
      <c r="AX697" s="292"/>
      <c r="AY697" s="292"/>
      <c r="AZ697" s="292"/>
      <c r="BA697" s="292"/>
      <c r="BB697" s="292"/>
      <c r="BC697" s="292"/>
      <c r="BD697" s="292"/>
      <c r="BE697" s="292"/>
      <c r="BF697" s="292"/>
      <c r="BG697" s="292"/>
      <c r="BH697" s="292"/>
      <c r="BI697" s="292"/>
      <c r="BJ697" s="292"/>
      <c r="BK697" s="292"/>
      <c r="BL697" s="292"/>
      <c r="BM697" s="292"/>
      <c r="BN697" s="292"/>
      <c r="BO697" s="292"/>
      <c r="BP697" s="292"/>
      <c r="BQ697" s="292"/>
      <c r="BR697" s="292"/>
      <c r="BS697" s="292"/>
      <c r="BT697" s="292"/>
      <c r="BU697" s="292"/>
      <c r="BV697" s="292"/>
      <c r="BW697" s="292"/>
    </row>
    <row r="698">
      <c r="A698" s="292"/>
      <c r="B698" s="292" t="str">
        <f>IFERROR(__xludf.DUMMYFUNCTION("""COMPUTED_VALUE"""),"")</f>
        <v/>
      </c>
      <c r="C698" s="292"/>
      <c r="D698" s="292" t="str">
        <f>IFERROR(__xludf.DUMMYFUNCTION("""COMPUTED_VALUE"""),"")</f>
        <v/>
      </c>
      <c r="E698" s="292" t="str">
        <f>IFERROR(__xludf.DUMMYFUNCTION("""COMPUTED_VALUE"""),"")</f>
        <v/>
      </c>
      <c r="F698" s="292"/>
      <c r="G698" s="292" t="str">
        <f>IFERROR(__xludf.DUMMYFUNCTION("""COMPUTED_VALUE"""),"")</f>
        <v/>
      </c>
      <c r="H698" s="292" t="str">
        <f>IFERROR(__xludf.DUMMYFUNCTION("""COMPUTED_VALUE"""),"")</f>
        <v/>
      </c>
      <c r="I698" s="292"/>
      <c r="J698" s="292"/>
      <c r="K698" s="292"/>
      <c r="L698" s="292"/>
      <c r="M698" s="292" t="str">
        <f>IFERROR(__xludf.DUMMYFUNCTION("""COMPUTED_VALUE"""),"")</f>
        <v/>
      </c>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c r="AK698" s="292"/>
      <c r="AL698" s="292"/>
      <c r="AM698" s="292"/>
      <c r="AN698" s="292"/>
      <c r="AO698" s="292"/>
      <c r="AP698" s="292"/>
      <c r="AQ698" s="292"/>
      <c r="AR698" s="292"/>
      <c r="AS698" s="292"/>
      <c r="AT698" s="292"/>
      <c r="AU698" s="292"/>
      <c r="AV698" s="292"/>
      <c r="AW698" s="292"/>
      <c r="AX698" s="292"/>
      <c r="AY698" s="292"/>
      <c r="AZ698" s="292"/>
      <c r="BA698" s="292"/>
      <c r="BB698" s="292"/>
      <c r="BC698" s="292"/>
      <c r="BD698" s="292"/>
      <c r="BE698" s="292"/>
      <c r="BF698" s="292"/>
      <c r="BG698" s="292"/>
      <c r="BH698" s="292"/>
      <c r="BI698" s="292"/>
      <c r="BJ698" s="292"/>
      <c r="BK698" s="292"/>
      <c r="BL698" s="292"/>
      <c r="BM698" s="292"/>
      <c r="BN698" s="292"/>
      <c r="BO698" s="292"/>
      <c r="BP698" s="292"/>
      <c r="BQ698" s="292"/>
      <c r="BR698" s="292"/>
      <c r="BS698" s="292"/>
      <c r="BT698" s="292"/>
      <c r="BU698" s="292"/>
      <c r="BV698" s="292"/>
      <c r="BW698" s="292"/>
    </row>
    <row r="699">
      <c r="A699" s="292"/>
      <c r="B699" s="292" t="str">
        <f>IFERROR(__xludf.DUMMYFUNCTION("""COMPUTED_VALUE"""),"")</f>
        <v/>
      </c>
      <c r="C699" s="292"/>
      <c r="D699" s="292" t="str">
        <f>IFERROR(__xludf.DUMMYFUNCTION("""COMPUTED_VALUE"""),"")</f>
        <v/>
      </c>
      <c r="E699" s="292" t="str">
        <f>IFERROR(__xludf.DUMMYFUNCTION("""COMPUTED_VALUE"""),"")</f>
        <v/>
      </c>
      <c r="F699" s="292"/>
      <c r="G699" s="292" t="str">
        <f>IFERROR(__xludf.DUMMYFUNCTION("""COMPUTED_VALUE"""),"")</f>
        <v/>
      </c>
      <c r="H699" s="292" t="str">
        <f>IFERROR(__xludf.DUMMYFUNCTION("""COMPUTED_VALUE"""),"")</f>
        <v/>
      </c>
      <c r="I699" s="292"/>
      <c r="J699" s="292"/>
      <c r="K699" s="292"/>
      <c r="L699" s="292"/>
      <c r="M699" s="292" t="str">
        <f>IFERROR(__xludf.DUMMYFUNCTION("""COMPUTED_VALUE"""),"")</f>
        <v/>
      </c>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c r="AK699" s="292"/>
      <c r="AL699" s="292"/>
      <c r="AM699" s="292"/>
      <c r="AN699" s="292"/>
      <c r="AO699" s="292"/>
      <c r="AP699" s="292"/>
      <c r="AQ699" s="292"/>
      <c r="AR699" s="292"/>
      <c r="AS699" s="292"/>
      <c r="AT699" s="292"/>
      <c r="AU699" s="292"/>
      <c r="AV699" s="292"/>
      <c r="AW699" s="292"/>
      <c r="AX699" s="292"/>
      <c r="AY699" s="292"/>
      <c r="AZ699" s="292"/>
      <c r="BA699" s="292"/>
      <c r="BB699" s="292"/>
      <c r="BC699" s="292"/>
      <c r="BD699" s="292"/>
      <c r="BE699" s="292"/>
      <c r="BF699" s="292"/>
      <c r="BG699" s="292"/>
      <c r="BH699" s="292"/>
      <c r="BI699" s="292"/>
      <c r="BJ699" s="292"/>
      <c r="BK699" s="292"/>
      <c r="BL699" s="292"/>
      <c r="BM699" s="292"/>
      <c r="BN699" s="292"/>
      <c r="BO699" s="292"/>
      <c r="BP699" s="292"/>
      <c r="BQ699" s="292"/>
      <c r="BR699" s="292"/>
      <c r="BS699" s="292"/>
      <c r="BT699" s="292"/>
      <c r="BU699" s="292"/>
      <c r="BV699" s="292"/>
      <c r="BW699" s="292"/>
    </row>
    <row r="700">
      <c r="A700" s="292"/>
      <c r="B700" s="292" t="str">
        <f>IFERROR(__xludf.DUMMYFUNCTION("""COMPUTED_VALUE"""),"")</f>
        <v/>
      </c>
      <c r="C700" s="292"/>
      <c r="D700" s="292" t="str">
        <f>IFERROR(__xludf.DUMMYFUNCTION("""COMPUTED_VALUE"""),"")</f>
        <v/>
      </c>
      <c r="E700" s="292" t="str">
        <f>IFERROR(__xludf.DUMMYFUNCTION("""COMPUTED_VALUE"""),"")</f>
        <v/>
      </c>
      <c r="F700" s="292"/>
      <c r="G700" s="292" t="str">
        <f>IFERROR(__xludf.DUMMYFUNCTION("""COMPUTED_VALUE"""),"")</f>
        <v/>
      </c>
      <c r="H700" s="292" t="str">
        <f>IFERROR(__xludf.DUMMYFUNCTION("""COMPUTED_VALUE"""),"")</f>
        <v/>
      </c>
      <c r="I700" s="292"/>
      <c r="J700" s="292"/>
      <c r="K700" s="292"/>
      <c r="L700" s="292"/>
      <c r="M700" s="292" t="str">
        <f>IFERROR(__xludf.DUMMYFUNCTION("""COMPUTED_VALUE"""),"")</f>
        <v/>
      </c>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c r="AK700" s="292"/>
      <c r="AL700" s="292"/>
      <c r="AM700" s="292"/>
      <c r="AN700" s="292"/>
      <c r="AO700" s="292"/>
      <c r="AP700" s="292"/>
      <c r="AQ700" s="292"/>
      <c r="AR700" s="292"/>
      <c r="AS700" s="292"/>
      <c r="AT700" s="292"/>
      <c r="AU700" s="292"/>
      <c r="AV700" s="292"/>
      <c r="AW700" s="292"/>
      <c r="AX700" s="292"/>
      <c r="AY700" s="292"/>
      <c r="AZ700" s="292"/>
      <c r="BA700" s="292"/>
      <c r="BB700" s="292"/>
      <c r="BC700" s="292"/>
      <c r="BD700" s="292"/>
      <c r="BE700" s="292"/>
      <c r="BF700" s="292"/>
      <c r="BG700" s="292"/>
      <c r="BH700" s="292"/>
      <c r="BI700" s="292"/>
      <c r="BJ700" s="292"/>
      <c r="BK700" s="292"/>
      <c r="BL700" s="292"/>
      <c r="BM700" s="292"/>
      <c r="BN700" s="292"/>
      <c r="BO700" s="292"/>
      <c r="BP700" s="292"/>
      <c r="BQ700" s="292"/>
      <c r="BR700" s="292"/>
      <c r="BS700" s="292"/>
      <c r="BT700" s="292"/>
      <c r="BU700" s="292"/>
      <c r="BV700" s="292"/>
      <c r="BW700" s="292"/>
    </row>
    <row r="701">
      <c r="A701" s="292"/>
      <c r="B701" s="292" t="str">
        <f>IFERROR(__xludf.DUMMYFUNCTION("""COMPUTED_VALUE"""),"")</f>
        <v/>
      </c>
      <c r="C701" s="292"/>
      <c r="D701" s="292" t="str">
        <f>IFERROR(__xludf.DUMMYFUNCTION("""COMPUTED_VALUE"""),"")</f>
        <v/>
      </c>
      <c r="E701" s="292" t="str">
        <f>IFERROR(__xludf.DUMMYFUNCTION("""COMPUTED_VALUE"""),"")</f>
        <v/>
      </c>
      <c r="F701" s="292"/>
      <c r="G701" s="292" t="str">
        <f>IFERROR(__xludf.DUMMYFUNCTION("""COMPUTED_VALUE"""),"")</f>
        <v/>
      </c>
      <c r="H701" s="292" t="str">
        <f>IFERROR(__xludf.DUMMYFUNCTION("""COMPUTED_VALUE"""),"")</f>
        <v/>
      </c>
      <c r="I701" s="292"/>
      <c r="J701" s="292"/>
      <c r="K701" s="292"/>
      <c r="L701" s="292"/>
      <c r="M701" s="292" t="str">
        <f>IFERROR(__xludf.DUMMYFUNCTION("""COMPUTED_VALUE"""),"")</f>
        <v/>
      </c>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c r="AK701" s="292"/>
      <c r="AL701" s="292"/>
      <c r="AM701" s="292"/>
      <c r="AN701" s="292"/>
      <c r="AO701" s="292"/>
      <c r="AP701" s="292"/>
      <c r="AQ701" s="292"/>
      <c r="AR701" s="292"/>
      <c r="AS701" s="292"/>
      <c r="AT701" s="292"/>
      <c r="AU701" s="292"/>
      <c r="AV701" s="292"/>
      <c r="AW701" s="292"/>
      <c r="AX701" s="292"/>
      <c r="AY701" s="292"/>
      <c r="AZ701" s="292"/>
      <c r="BA701" s="292"/>
      <c r="BB701" s="292"/>
      <c r="BC701" s="292"/>
      <c r="BD701" s="292"/>
      <c r="BE701" s="292"/>
      <c r="BF701" s="292"/>
      <c r="BG701" s="292"/>
      <c r="BH701" s="292"/>
      <c r="BI701" s="292"/>
      <c r="BJ701" s="292"/>
      <c r="BK701" s="292"/>
      <c r="BL701" s="292"/>
      <c r="BM701" s="292"/>
      <c r="BN701" s="292"/>
      <c r="BO701" s="292"/>
      <c r="BP701" s="292"/>
      <c r="BQ701" s="292"/>
      <c r="BR701" s="292"/>
      <c r="BS701" s="292"/>
      <c r="BT701" s="292"/>
      <c r="BU701" s="292"/>
      <c r="BV701" s="292"/>
      <c r="BW701" s="292"/>
    </row>
    <row r="702">
      <c r="A702" s="292"/>
      <c r="B702" s="292" t="str">
        <f>IFERROR(__xludf.DUMMYFUNCTION("""COMPUTED_VALUE"""),"")</f>
        <v/>
      </c>
      <c r="C702" s="292"/>
      <c r="D702" s="292" t="str">
        <f>IFERROR(__xludf.DUMMYFUNCTION("""COMPUTED_VALUE"""),"")</f>
        <v/>
      </c>
      <c r="E702" s="292" t="str">
        <f>IFERROR(__xludf.DUMMYFUNCTION("""COMPUTED_VALUE"""),"")</f>
        <v/>
      </c>
      <c r="F702" s="292"/>
      <c r="G702" s="292" t="str">
        <f>IFERROR(__xludf.DUMMYFUNCTION("""COMPUTED_VALUE"""),"")</f>
        <v/>
      </c>
      <c r="H702" s="292" t="str">
        <f>IFERROR(__xludf.DUMMYFUNCTION("""COMPUTED_VALUE"""),"")</f>
        <v/>
      </c>
      <c r="I702" s="292"/>
      <c r="J702" s="292"/>
      <c r="K702" s="292"/>
      <c r="L702" s="292"/>
      <c r="M702" s="292" t="str">
        <f>IFERROR(__xludf.DUMMYFUNCTION("""COMPUTED_VALUE"""),"")</f>
        <v/>
      </c>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c r="AK702" s="292"/>
      <c r="AL702" s="292"/>
      <c r="AM702" s="292"/>
      <c r="AN702" s="292"/>
      <c r="AO702" s="292"/>
      <c r="AP702" s="292"/>
      <c r="AQ702" s="292"/>
      <c r="AR702" s="292"/>
      <c r="AS702" s="292"/>
      <c r="AT702" s="292"/>
      <c r="AU702" s="292"/>
      <c r="AV702" s="292"/>
      <c r="AW702" s="292"/>
      <c r="AX702" s="292"/>
      <c r="AY702" s="292"/>
      <c r="AZ702" s="292"/>
      <c r="BA702" s="292"/>
      <c r="BB702" s="292"/>
      <c r="BC702" s="292"/>
      <c r="BD702" s="292"/>
      <c r="BE702" s="292"/>
      <c r="BF702" s="292"/>
      <c r="BG702" s="292"/>
      <c r="BH702" s="292"/>
      <c r="BI702" s="292"/>
      <c r="BJ702" s="292"/>
      <c r="BK702" s="292"/>
      <c r="BL702" s="292"/>
      <c r="BM702" s="292"/>
      <c r="BN702" s="292"/>
      <c r="BO702" s="292"/>
      <c r="BP702" s="292"/>
      <c r="BQ702" s="292"/>
      <c r="BR702" s="292"/>
      <c r="BS702" s="292"/>
      <c r="BT702" s="292"/>
      <c r="BU702" s="292"/>
      <c r="BV702" s="292"/>
      <c r="BW702" s="292"/>
    </row>
    <row r="703">
      <c r="A703" s="292"/>
      <c r="B703" s="292" t="str">
        <f>IFERROR(__xludf.DUMMYFUNCTION("""COMPUTED_VALUE"""),"")</f>
        <v/>
      </c>
      <c r="C703" s="292"/>
      <c r="D703" s="292" t="str">
        <f>IFERROR(__xludf.DUMMYFUNCTION("""COMPUTED_VALUE"""),"")</f>
        <v/>
      </c>
      <c r="E703" s="292" t="str">
        <f>IFERROR(__xludf.DUMMYFUNCTION("""COMPUTED_VALUE"""),"")</f>
        <v/>
      </c>
      <c r="F703" s="292"/>
      <c r="G703" s="292" t="str">
        <f>IFERROR(__xludf.DUMMYFUNCTION("""COMPUTED_VALUE"""),"")</f>
        <v/>
      </c>
      <c r="H703" s="292" t="str">
        <f>IFERROR(__xludf.DUMMYFUNCTION("""COMPUTED_VALUE"""),"")</f>
        <v/>
      </c>
      <c r="I703" s="292"/>
      <c r="J703" s="292"/>
      <c r="K703" s="292"/>
      <c r="L703" s="292"/>
      <c r="M703" s="292" t="str">
        <f>IFERROR(__xludf.DUMMYFUNCTION("""COMPUTED_VALUE"""),"")</f>
        <v/>
      </c>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c r="AK703" s="292"/>
      <c r="AL703" s="292"/>
      <c r="AM703" s="292"/>
      <c r="AN703" s="292"/>
      <c r="AO703" s="292"/>
      <c r="AP703" s="292"/>
      <c r="AQ703" s="292"/>
      <c r="AR703" s="292"/>
      <c r="AS703" s="292"/>
      <c r="AT703" s="292"/>
      <c r="AU703" s="292"/>
      <c r="AV703" s="292"/>
      <c r="AW703" s="292"/>
      <c r="AX703" s="292"/>
      <c r="AY703" s="292"/>
      <c r="AZ703" s="292"/>
      <c r="BA703" s="292"/>
      <c r="BB703" s="292"/>
      <c r="BC703" s="292"/>
      <c r="BD703" s="292"/>
      <c r="BE703" s="292"/>
      <c r="BF703" s="292"/>
      <c r="BG703" s="292"/>
      <c r="BH703" s="292"/>
      <c r="BI703" s="292"/>
      <c r="BJ703" s="292"/>
      <c r="BK703" s="292"/>
      <c r="BL703" s="292"/>
      <c r="BM703" s="292"/>
      <c r="BN703" s="292"/>
      <c r="BO703" s="292"/>
      <c r="BP703" s="292"/>
      <c r="BQ703" s="292"/>
      <c r="BR703" s="292"/>
      <c r="BS703" s="292"/>
      <c r="BT703" s="292"/>
      <c r="BU703" s="292"/>
      <c r="BV703" s="292"/>
      <c r="BW703" s="292"/>
    </row>
    <row r="704">
      <c r="A704" s="292"/>
      <c r="B704" s="292" t="str">
        <f>IFERROR(__xludf.DUMMYFUNCTION("""COMPUTED_VALUE"""),"")</f>
        <v/>
      </c>
      <c r="C704" s="292"/>
      <c r="D704" s="292" t="str">
        <f>IFERROR(__xludf.DUMMYFUNCTION("""COMPUTED_VALUE"""),"")</f>
        <v/>
      </c>
      <c r="E704" s="292" t="str">
        <f>IFERROR(__xludf.DUMMYFUNCTION("""COMPUTED_VALUE"""),"")</f>
        <v/>
      </c>
      <c r="F704" s="292"/>
      <c r="G704" s="292" t="str">
        <f>IFERROR(__xludf.DUMMYFUNCTION("""COMPUTED_VALUE"""),"")</f>
        <v/>
      </c>
      <c r="H704" s="292" t="str">
        <f>IFERROR(__xludf.DUMMYFUNCTION("""COMPUTED_VALUE"""),"")</f>
        <v/>
      </c>
      <c r="I704" s="292"/>
      <c r="J704" s="292"/>
      <c r="K704" s="292"/>
      <c r="L704" s="292"/>
      <c r="M704" s="292" t="str">
        <f>IFERROR(__xludf.DUMMYFUNCTION("""COMPUTED_VALUE"""),"")</f>
        <v/>
      </c>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c r="AK704" s="292"/>
      <c r="AL704" s="292"/>
      <c r="AM704" s="292"/>
      <c r="AN704" s="292"/>
      <c r="AO704" s="292"/>
      <c r="AP704" s="292"/>
      <c r="AQ704" s="292"/>
      <c r="AR704" s="292"/>
      <c r="AS704" s="292"/>
      <c r="AT704" s="292"/>
      <c r="AU704" s="292"/>
      <c r="AV704" s="292"/>
      <c r="AW704" s="292"/>
      <c r="AX704" s="292"/>
      <c r="AY704" s="292"/>
      <c r="AZ704" s="292"/>
      <c r="BA704" s="292"/>
      <c r="BB704" s="292"/>
      <c r="BC704" s="292"/>
      <c r="BD704" s="292"/>
      <c r="BE704" s="292"/>
      <c r="BF704" s="292"/>
      <c r="BG704" s="292"/>
      <c r="BH704" s="292"/>
      <c r="BI704" s="292"/>
      <c r="BJ704" s="292"/>
      <c r="BK704" s="292"/>
      <c r="BL704" s="292"/>
      <c r="BM704" s="292"/>
      <c r="BN704" s="292"/>
      <c r="BO704" s="292"/>
      <c r="BP704" s="292"/>
      <c r="BQ704" s="292"/>
      <c r="BR704" s="292"/>
      <c r="BS704" s="292"/>
      <c r="BT704" s="292"/>
      <c r="BU704" s="292"/>
      <c r="BV704" s="292"/>
      <c r="BW704" s="292"/>
    </row>
    <row r="705">
      <c r="A705" s="292"/>
      <c r="B705" s="292" t="str">
        <f>IFERROR(__xludf.DUMMYFUNCTION("""COMPUTED_VALUE"""),"")</f>
        <v/>
      </c>
      <c r="C705" s="292"/>
      <c r="D705" s="292" t="str">
        <f>IFERROR(__xludf.DUMMYFUNCTION("""COMPUTED_VALUE"""),"")</f>
        <v/>
      </c>
      <c r="E705" s="292" t="str">
        <f>IFERROR(__xludf.DUMMYFUNCTION("""COMPUTED_VALUE"""),"")</f>
        <v/>
      </c>
      <c r="F705" s="292"/>
      <c r="G705" s="292" t="str">
        <f>IFERROR(__xludf.DUMMYFUNCTION("""COMPUTED_VALUE"""),"")</f>
        <v/>
      </c>
      <c r="H705" s="292" t="str">
        <f>IFERROR(__xludf.DUMMYFUNCTION("""COMPUTED_VALUE"""),"")</f>
        <v/>
      </c>
      <c r="I705" s="292"/>
      <c r="J705" s="292"/>
      <c r="K705" s="292"/>
      <c r="L705" s="292"/>
      <c r="M705" s="292" t="str">
        <f>IFERROR(__xludf.DUMMYFUNCTION("""COMPUTED_VALUE"""),"")</f>
        <v/>
      </c>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c r="AK705" s="292"/>
      <c r="AL705" s="292"/>
      <c r="AM705" s="292"/>
      <c r="AN705" s="292"/>
      <c r="AO705" s="292"/>
      <c r="AP705" s="292"/>
      <c r="AQ705" s="292"/>
      <c r="AR705" s="292"/>
      <c r="AS705" s="292"/>
      <c r="AT705" s="292"/>
      <c r="AU705" s="292"/>
      <c r="AV705" s="292"/>
      <c r="AW705" s="292"/>
      <c r="AX705" s="292"/>
      <c r="AY705" s="292"/>
      <c r="AZ705" s="292"/>
      <c r="BA705" s="292"/>
      <c r="BB705" s="292"/>
      <c r="BC705" s="292"/>
      <c r="BD705" s="292"/>
      <c r="BE705" s="292"/>
      <c r="BF705" s="292"/>
      <c r="BG705" s="292"/>
      <c r="BH705" s="292"/>
      <c r="BI705" s="292"/>
      <c r="BJ705" s="292"/>
      <c r="BK705" s="292"/>
      <c r="BL705" s="292"/>
      <c r="BM705" s="292"/>
      <c r="BN705" s="292"/>
      <c r="BO705" s="292"/>
      <c r="BP705" s="292"/>
      <c r="BQ705" s="292"/>
      <c r="BR705" s="292"/>
      <c r="BS705" s="292"/>
      <c r="BT705" s="292"/>
      <c r="BU705" s="292"/>
      <c r="BV705" s="292"/>
      <c r="BW705" s="292"/>
    </row>
    <row r="706">
      <c r="A706" s="292"/>
      <c r="B706" s="292" t="str">
        <f>IFERROR(__xludf.DUMMYFUNCTION("""COMPUTED_VALUE"""),"")</f>
        <v/>
      </c>
      <c r="C706" s="292"/>
      <c r="D706" s="292" t="str">
        <f>IFERROR(__xludf.DUMMYFUNCTION("""COMPUTED_VALUE"""),"")</f>
        <v/>
      </c>
      <c r="E706" s="292" t="str">
        <f>IFERROR(__xludf.DUMMYFUNCTION("""COMPUTED_VALUE"""),"")</f>
        <v/>
      </c>
      <c r="F706" s="292"/>
      <c r="G706" s="292" t="str">
        <f>IFERROR(__xludf.DUMMYFUNCTION("""COMPUTED_VALUE"""),"")</f>
        <v/>
      </c>
      <c r="H706" s="292" t="str">
        <f>IFERROR(__xludf.DUMMYFUNCTION("""COMPUTED_VALUE"""),"")</f>
        <v/>
      </c>
      <c r="I706" s="292"/>
      <c r="J706" s="292"/>
      <c r="K706" s="292"/>
      <c r="L706" s="292"/>
      <c r="M706" s="292" t="str">
        <f>IFERROR(__xludf.DUMMYFUNCTION("""COMPUTED_VALUE"""),"")</f>
        <v/>
      </c>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c r="AK706" s="292"/>
      <c r="AL706" s="292"/>
      <c r="AM706" s="292"/>
      <c r="AN706" s="292"/>
      <c r="AO706" s="292"/>
      <c r="AP706" s="292"/>
      <c r="AQ706" s="292"/>
      <c r="AR706" s="292"/>
      <c r="AS706" s="292"/>
      <c r="AT706" s="292"/>
      <c r="AU706" s="292"/>
      <c r="AV706" s="292"/>
      <c r="AW706" s="292"/>
      <c r="AX706" s="292"/>
      <c r="AY706" s="292"/>
      <c r="AZ706" s="292"/>
      <c r="BA706" s="292"/>
      <c r="BB706" s="292"/>
      <c r="BC706" s="292"/>
      <c r="BD706" s="292"/>
      <c r="BE706" s="292"/>
      <c r="BF706" s="292"/>
      <c r="BG706" s="292"/>
      <c r="BH706" s="292"/>
      <c r="BI706" s="292"/>
      <c r="BJ706" s="292"/>
      <c r="BK706" s="292"/>
      <c r="BL706" s="292"/>
      <c r="BM706" s="292"/>
      <c r="BN706" s="292"/>
      <c r="BO706" s="292"/>
      <c r="BP706" s="292"/>
      <c r="BQ706" s="292"/>
      <c r="BR706" s="292"/>
      <c r="BS706" s="292"/>
      <c r="BT706" s="292"/>
      <c r="BU706" s="292"/>
      <c r="BV706" s="292"/>
      <c r="BW706" s="292"/>
    </row>
    <row r="707">
      <c r="A707" s="292"/>
      <c r="B707" s="292" t="str">
        <f>IFERROR(__xludf.DUMMYFUNCTION("""COMPUTED_VALUE"""),"")</f>
        <v/>
      </c>
      <c r="C707" s="292"/>
      <c r="D707" s="292" t="str">
        <f>IFERROR(__xludf.DUMMYFUNCTION("""COMPUTED_VALUE"""),"")</f>
        <v/>
      </c>
      <c r="E707" s="292" t="str">
        <f>IFERROR(__xludf.DUMMYFUNCTION("""COMPUTED_VALUE"""),"")</f>
        <v/>
      </c>
      <c r="F707" s="292"/>
      <c r="G707" s="292" t="str">
        <f>IFERROR(__xludf.DUMMYFUNCTION("""COMPUTED_VALUE"""),"")</f>
        <v/>
      </c>
      <c r="H707" s="292" t="str">
        <f>IFERROR(__xludf.DUMMYFUNCTION("""COMPUTED_VALUE"""),"")</f>
        <v/>
      </c>
      <c r="I707" s="292"/>
      <c r="J707" s="292"/>
      <c r="K707" s="292"/>
      <c r="L707" s="292"/>
      <c r="M707" s="292" t="str">
        <f>IFERROR(__xludf.DUMMYFUNCTION("""COMPUTED_VALUE"""),"")</f>
        <v/>
      </c>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c r="AK707" s="292"/>
      <c r="AL707" s="292"/>
      <c r="AM707" s="292"/>
      <c r="AN707" s="292"/>
      <c r="AO707" s="292"/>
      <c r="AP707" s="292"/>
      <c r="AQ707" s="292"/>
      <c r="AR707" s="292"/>
      <c r="AS707" s="292"/>
      <c r="AT707" s="292"/>
      <c r="AU707" s="292"/>
      <c r="AV707" s="292"/>
      <c r="AW707" s="292"/>
      <c r="AX707" s="292"/>
      <c r="AY707" s="292"/>
      <c r="AZ707" s="292"/>
      <c r="BA707" s="292"/>
      <c r="BB707" s="292"/>
      <c r="BC707" s="292"/>
      <c r="BD707" s="292"/>
      <c r="BE707" s="292"/>
      <c r="BF707" s="292"/>
      <c r="BG707" s="292"/>
      <c r="BH707" s="292"/>
      <c r="BI707" s="292"/>
      <c r="BJ707" s="292"/>
      <c r="BK707" s="292"/>
      <c r="BL707" s="292"/>
      <c r="BM707" s="292"/>
      <c r="BN707" s="292"/>
      <c r="BO707" s="292"/>
      <c r="BP707" s="292"/>
      <c r="BQ707" s="292"/>
      <c r="BR707" s="292"/>
      <c r="BS707" s="292"/>
      <c r="BT707" s="292"/>
      <c r="BU707" s="292"/>
      <c r="BV707" s="292"/>
      <c r="BW707" s="292"/>
    </row>
    <row r="708">
      <c r="A708" s="292"/>
      <c r="B708" s="292" t="str">
        <f>IFERROR(__xludf.DUMMYFUNCTION("""COMPUTED_VALUE"""),"")</f>
        <v/>
      </c>
      <c r="C708" s="292"/>
      <c r="D708" s="292" t="str">
        <f>IFERROR(__xludf.DUMMYFUNCTION("""COMPUTED_VALUE"""),"")</f>
        <v/>
      </c>
      <c r="E708" s="292" t="str">
        <f>IFERROR(__xludf.DUMMYFUNCTION("""COMPUTED_VALUE"""),"")</f>
        <v/>
      </c>
      <c r="F708" s="292"/>
      <c r="G708" s="292" t="str">
        <f>IFERROR(__xludf.DUMMYFUNCTION("""COMPUTED_VALUE"""),"")</f>
        <v/>
      </c>
      <c r="H708" s="292" t="str">
        <f>IFERROR(__xludf.DUMMYFUNCTION("""COMPUTED_VALUE"""),"")</f>
        <v/>
      </c>
      <c r="I708" s="292"/>
      <c r="J708" s="292"/>
      <c r="K708" s="292"/>
      <c r="L708" s="292"/>
      <c r="M708" s="292" t="str">
        <f>IFERROR(__xludf.DUMMYFUNCTION("""COMPUTED_VALUE"""),"")</f>
        <v/>
      </c>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c r="AK708" s="292"/>
      <c r="AL708" s="292"/>
      <c r="AM708" s="292"/>
      <c r="AN708" s="292"/>
      <c r="AO708" s="292"/>
      <c r="AP708" s="292"/>
      <c r="AQ708" s="292"/>
      <c r="AR708" s="292"/>
      <c r="AS708" s="292"/>
      <c r="AT708" s="292"/>
      <c r="AU708" s="292"/>
      <c r="AV708" s="292"/>
      <c r="AW708" s="292"/>
      <c r="AX708" s="292"/>
      <c r="AY708" s="292"/>
      <c r="AZ708" s="292"/>
      <c r="BA708" s="292"/>
      <c r="BB708" s="292"/>
      <c r="BC708" s="292"/>
      <c r="BD708" s="292"/>
      <c r="BE708" s="292"/>
      <c r="BF708" s="292"/>
      <c r="BG708" s="292"/>
      <c r="BH708" s="292"/>
      <c r="BI708" s="292"/>
      <c r="BJ708" s="292"/>
      <c r="BK708" s="292"/>
      <c r="BL708" s="292"/>
      <c r="BM708" s="292"/>
      <c r="BN708" s="292"/>
      <c r="BO708" s="292"/>
      <c r="BP708" s="292"/>
      <c r="BQ708" s="292"/>
      <c r="BR708" s="292"/>
      <c r="BS708" s="292"/>
      <c r="BT708" s="292"/>
      <c r="BU708" s="292"/>
      <c r="BV708" s="292"/>
      <c r="BW708" s="292"/>
    </row>
    <row r="709">
      <c r="A709" s="292"/>
      <c r="B709" s="292" t="str">
        <f>IFERROR(__xludf.DUMMYFUNCTION("""COMPUTED_VALUE"""),"")</f>
        <v/>
      </c>
      <c r="C709" s="292"/>
      <c r="D709" s="292" t="str">
        <f>IFERROR(__xludf.DUMMYFUNCTION("""COMPUTED_VALUE"""),"")</f>
        <v/>
      </c>
      <c r="E709" s="292" t="str">
        <f>IFERROR(__xludf.DUMMYFUNCTION("""COMPUTED_VALUE"""),"")</f>
        <v/>
      </c>
      <c r="F709" s="292"/>
      <c r="G709" s="292" t="str">
        <f>IFERROR(__xludf.DUMMYFUNCTION("""COMPUTED_VALUE"""),"")</f>
        <v/>
      </c>
      <c r="H709" s="292" t="str">
        <f>IFERROR(__xludf.DUMMYFUNCTION("""COMPUTED_VALUE"""),"")</f>
        <v/>
      </c>
      <c r="I709" s="292"/>
      <c r="J709" s="292"/>
      <c r="K709" s="292"/>
      <c r="L709" s="292"/>
      <c r="M709" s="292" t="str">
        <f>IFERROR(__xludf.DUMMYFUNCTION("""COMPUTED_VALUE"""),"")</f>
        <v/>
      </c>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c r="AK709" s="292"/>
      <c r="AL709" s="292"/>
      <c r="AM709" s="292"/>
      <c r="AN709" s="292"/>
      <c r="AO709" s="292"/>
      <c r="AP709" s="292"/>
      <c r="AQ709" s="292"/>
      <c r="AR709" s="292"/>
      <c r="AS709" s="292"/>
      <c r="AT709" s="292"/>
      <c r="AU709" s="292"/>
      <c r="AV709" s="292"/>
      <c r="AW709" s="292"/>
      <c r="AX709" s="292"/>
      <c r="AY709" s="292"/>
      <c r="AZ709" s="292"/>
      <c r="BA709" s="292"/>
      <c r="BB709" s="292"/>
      <c r="BC709" s="292"/>
      <c r="BD709" s="292"/>
      <c r="BE709" s="292"/>
      <c r="BF709" s="292"/>
      <c r="BG709" s="292"/>
      <c r="BH709" s="292"/>
      <c r="BI709" s="292"/>
      <c r="BJ709" s="292"/>
      <c r="BK709" s="292"/>
      <c r="BL709" s="292"/>
      <c r="BM709" s="292"/>
      <c r="BN709" s="292"/>
      <c r="BO709" s="292"/>
      <c r="BP709" s="292"/>
      <c r="BQ709" s="292"/>
      <c r="BR709" s="292"/>
      <c r="BS709" s="292"/>
      <c r="BT709" s="292"/>
      <c r="BU709" s="292"/>
      <c r="BV709" s="292"/>
      <c r="BW709" s="292"/>
    </row>
    <row r="710">
      <c r="A710" s="292"/>
      <c r="B710" s="292" t="str">
        <f>IFERROR(__xludf.DUMMYFUNCTION("""COMPUTED_VALUE"""),"")</f>
        <v/>
      </c>
      <c r="C710" s="292"/>
      <c r="D710" s="292" t="str">
        <f>IFERROR(__xludf.DUMMYFUNCTION("""COMPUTED_VALUE"""),"")</f>
        <v/>
      </c>
      <c r="E710" s="292" t="str">
        <f>IFERROR(__xludf.DUMMYFUNCTION("""COMPUTED_VALUE"""),"")</f>
        <v/>
      </c>
      <c r="F710" s="292"/>
      <c r="G710" s="292" t="str">
        <f>IFERROR(__xludf.DUMMYFUNCTION("""COMPUTED_VALUE"""),"")</f>
        <v/>
      </c>
      <c r="H710" s="292" t="str">
        <f>IFERROR(__xludf.DUMMYFUNCTION("""COMPUTED_VALUE"""),"")</f>
        <v/>
      </c>
      <c r="I710" s="292"/>
      <c r="J710" s="292"/>
      <c r="K710" s="292"/>
      <c r="L710" s="292"/>
      <c r="M710" s="292" t="str">
        <f>IFERROR(__xludf.DUMMYFUNCTION("""COMPUTED_VALUE"""),"")</f>
        <v/>
      </c>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c r="AK710" s="292"/>
      <c r="AL710" s="292"/>
      <c r="AM710" s="292"/>
      <c r="AN710" s="292"/>
      <c r="AO710" s="292"/>
      <c r="AP710" s="292"/>
      <c r="AQ710" s="292"/>
      <c r="AR710" s="292"/>
      <c r="AS710" s="292"/>
      <c r="AT710" s="292"/>
      <c r="AU710" s="292"/>
      <c r="AV710" s="292"/>
      <c r="AW710" s="292"/>
      <c r="AX710" s="292"/>
      <c r="AY710" s="292"/>
      <c r="AZ710" s="292"/>
      <c r="BA710" s="292"/>
      <c r="BB710" s="292"/>
      <c r="BC710" s="292"/>
      <c r="BD710" s="292"/>
      <c r="BE710" s="292"/>
      <c r="BF710" s="292"/>
      <c r="BG710" s="292"/>
      <c r="BH710" s="292"/>
      <c r="BI710" s="292"/>
      <c r="BJ710" s="292"/>
      <c r="BK710" s="292"/>
      <c r="BL710" s="292"/>
      <c r="BM710" s="292"/>
      <c r="BN710" s="292"/>
      <c r="BO710" s="292"/>
      <c r="BP710" s="292"/>
      <c r="BQ710" s="292"/>
      <c r="BR710" s="292"/>
      <c r="BS710" s="292"/>
      <c r="BT710" s="292"/>
      <c r="BU710" s="292"/>
      <c r="BV710" s="292"/>
      <c r="BW710" s="292"/>
    </row>
    <row r="711">
      <c r="A711" s="292"/>
      <c r="B711" s="292" t="str">
        <f>IFERROR(__xludf.DUMMYFUNCTION("""COMPUTED_VALUE"""),"")</f>
        <v/>
      </c>
      <c r="C711" s="292"/>
      <c r="D711" s="292" t="str">
        <f>IFERROR(__xludf.DUMMYFUNCTION("""COMPUTED_VALUE"""),"")</f>
        <v/>
      </c>
      <c r="E711" s="292" t="str">
        <f>IFERROR(__xludf.DUMMYFUNCTION("""COMPUTED_VALUE"""),"")</f>
        <v/>
      </c>
      <c r="F711" s="292"/>
      <c r="G711" s="292" t="str">
        <f>IFERROR(__xludf.DUMMYFUNCTION("""COMPUTED_VALUE"""),"")</f>
        <v/>
      </c>
      <c r="H711" s="292" t="str">
        <f>IFERROR(__xludf.DUMMYFUNCTION("""COMPUTED_VALUE"""),"")</f>
        <v/>
      </c>
      <c r="I711" s="292"/>
      <c r="J711" s="292"/>
      <c r="K711" s="292"/>
      <c r="L711" s="292"/>
      <c r="M711" s="292" t="str">
        <f>IFERROR(__xludf.DUMMYFUNCTION("""COMPUTED_VALUE"""),"")</f>
        <v/>
      </c>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c r="AK711" s="292"/>
      <c r="AL711" s="292"/>
      <c r="AM711" s="292"/>
      <c r="AN711" s="292"/>
      <c r="AO711" s="292"/>
      <c r="AP711" s="292"/>
      <c r="AQ711" s="292"/>
      <c r="AR711" s="292"/>
      <c r="AS711" s="292"/>
      <c r="AT711" s="292"/>
      <c r="AU711" s="292"/>
      <c r="AV711" s="292"/>
      <c r="AW711" s="292"/>
      <c r="AX711" s="292"/>
      <c r="AY711" s="292"/>
      <c r="AZ711" s="292"/>
      <c r="BA711" s="292"/>
      <c r="BB711" s="292"/>
      <c r="BC711" s="292"/>
      <c r="BD711" s="292"/>
      <c r="BE711" s="292"/>
      <c r="BF711" s="292"/>
      <c r="BG711" s="292"/>
      <c r="BH711" s="292"/>
      <c r="BI711" s="292"/>
      <c r="BJ711" s="292"/>
      <c r="BK711" s="292"/>
      <c r="BL711" s="292"/>
      <c r="BM711" s="292"/>
      <c r="BN711" s="292"/>
      <c r="BO711" s="292"/>
      <c r="BP711" s="292"/>
      <c r="BQ711" s="292"/>
      <c r="BR711" s="292"/>
      <c r="BS711" s="292"/>
      <c r="BT711" s="292"/>
      <c r="BU711" s="292"/>
      <c r="BV711" s="292"/>
      <c r="BW711" s="292"/>
    </row>
    <row r="712">
      <c r="A712" s="292"/>
      <c r="B712" s="292" t="str">
        <f>IFERROR(__xludf.DUMMYFUNCTION("""COMPUTED_VALUE"""),"")</f>
        <v/>
      </c>
      <c r="C712" s="292"/>
      <c r="D712" s="292" t="str">
        <f>IFERROR(__xludf.DUMMYFUNCTION("""COMPUTED_VALUE"""),"")</f>
        <v/>
      </c>
      <c r="E712" s="292" t="str">
        <f>IFERROR(__xludf.DUMMYFUNCTION("""COMPUTED_VALUE"""),"")</f>
        <v/>
      </c>
      <c r="F712" s="292"/>
      <c r="G712" s="292" t="str">
        <f>IFERROR(__xludf.DUMMYFUNCTION("""COMPUTED_VALUE"""),"")</f>
        <v/>
      </c>
      <c r="H712" s="292" t="str">
        <f>IFERROR(__xludf.DUMMYFUNCTION("""COMPUTED_VALUE"""),"")</f>
        <v/>
      </c>
      <c r="I712" s="292"/>
      <c r="J712" s="292"/>
      <c r="K712" s="292"/>
      <c r="L712" s="292"/>
      <c r="M712" s="292" t="str">
        <f>IFERROR(__xludf.DUMMYFUNCTION("""COMPUTED_VALUE"""),"")</f>
        <v/>
      </c>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c r="AK712" s="292"/>
      <c r="AL712" s="292"/>
      <c r="AM712" s="292"/>
      <c r="AN712" s="292"/>
      <c r="AO712" s="292"/>
      <c r="AP712" s="292"/>
      <c r="AQ712" s="292"/>
      <c r="AR712" s="292"/>
      <c r="AS712" s="292"/>
      <c r="AT712" s="292"/>
      <c r="AU712" s="292"/>
      <c r="AV712" s="292"/>
      <c r="AW712" s="292"/>
      <c r="AX712" s="292"/>
      <c r="AY712" s="292"/>
      <c r="AZ712" s="292"/>
      <c r="BA712" s="292"/>
      <c r="BB712" s="292"/>
      <c r="BC712" s="292"/>
      <c r="BD712" s="292"/>
      <c r="BE712" s="292"/>
      <c r="BF712" s="292"/>
      <c r="BG712" s="292"/>
      <c r="BH712" s="292"/>
      <c r="BI712" s="292"/>
      <c r="BJ712" s="292"/>
      <c r="BK712" s="292"/>
      <c r="BL712" s="292"/>
      <c r="BM712" s="292"/>
      <c r="BN712" s="292"/>
      <c r="BO712" s="292"/>
      <c r="BP712" s="292"/>
      <c r="BQ712" s="292"/>
      <c r="BR712" s="292"/>
      <c r="BS712" s="292"/>
      <c r="BT712" s="292"/>
      <c r="BU712" s="292"/>
      <c r="BV712" s="292"/>
      <c r="BW712" s="292"/>
    </row>
    <row r="713">
      <c r="A713" s="292"/>
      <c r="B713" s="292" t="str">
        <f>IFERROR(__xludf.DUMMYFUNCTION("""COMPUTED_VALUE"""),"")</f>
        <v/>
      </c>
      <c r="C713" s="292"/>
      <c r="D713" s="292" t="str">
        <f>IFERROR(__xludf.DUMMYFUNCTION("""COMPUTED_VALUE"""),"")</f>
        <v/>
      </c>
      <c r="E713" s="292" t="str">
        <f>IFERROR(__xludf.DUMMYFUNCTION("""COMPUTED_VALUE"""),"")</f>
        <v/>
      </c>
      <c r="F713" s="292"/>
      <c r="G713" s="292" t="str">
        <f>IFERROR(__xludf.DUMMYFUNCTION("""COMPUTED_VALUE"""),"")</f>
        <v/>
      </c>
      <c r="H713" s="292" t="str">
        <f>IFERROR(__xludf.DUMMYFUNCTION("""COMPUTED_VALUE"""),"")</f>
        <v/>
      </c>
      <c r="I713" s="292"/>
      <c r="J713" s="292"/>
      <c r="K713" s="292"/>
      <c r="L713" s="292"/>
      <c r="M713" s="292" t="str">
        <f>IFERROR(__xludf.DUMMYFUNCTION("""COMPUTED_VALUE"""),"")</f>
        <v/>
      </c>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c r="AK713" s="292"/>
      <c r="AL713" s="292"/>
      <c r="AM713" s="292"/>
      <c r="AN713" s="292"/>
      <c r="AO713" s="292"/>
      <c r="AP713" s="292"/>
      <c r="AQ713" s="292"/>
      <c r="AR713" s="292"/>
      <c r="AS713" s="292"/>
      <c r="AT713" s="292"/>
      <c r="AU713" s="292"/>
      <c r="AV713" s="292"/>
      <c r="AW713" s="292"/>
      <c r="AX713" s="292"/>
      <c r="AY713" s="292"/>
      <c r="AZ713" s="292"/>
      <c r="BA713" s="292"/>
      <c r="BB713" s="292"/>
      <c r="BC713" s="292"/>
      <c r="BD713" s="292"/>
      <c r="BE713" s="292"/>
      <c r="BF713" s="292"/>
      <c r="BG713" s="292"/>
      <c r="BH713" s="292"/>
      <c r="BI713" s="292"/>
      <c r="BJ713" s="292"/>
      <c r="BK713" s="292"/>
      <c r="BL713" s="292"/>
      <c r="BM713" s="292"/>
      <c r="BN713" s="292"/>
      <c r="BO713" s="292"/>
      <c r="BP713" s="292"/>
      <c r="BQ713" s="292"/>
      <c r="BR713" s="292"/>
      <c r="BS713" s="292"/>
      <c r="BT713" s="292"/>
      <c r="BU713" s="292"/>
      <c r="BV713" s="292"/>
      <c r="BW713" s="292"/>
    </row>
    <row r="714">
      <c r="A714" s="292"/>
      <c r="B714" s="292" t="str">
        <f>IFERROR(__xludf.DUMMYFUNCTION("""COMPUTED_VALUE"""),"")</f>
        <v/>
      </c>
      <c r="C714" s="292"/>
      <c r="D714" s="292" t="str">
        <f>IFERROR(__xludf.DUMMYFUNCTION("""COMPUTED_VALUE"""),"")</f>
        <v/>
      </c>
      <c r="E714" s="292" t="str">
        <f>IFERROR(__xludf.DUMMYFUNCTION("""COMPUTED_VALUE"""),"")</f>
        <v/>
      </c>
      <c r="F714" s="292"/>
      <c r="G714" s="292" t="str">
        <f>IFERROR(__xludf.DUMMYFUNCTION("""COMPUTED_VALUE"""),"")</f>
        <v/>
      </c>
      <c r="H714" s="292" t="str">
        <f>IFERROR(__xludf.DUMMYFUNCTION("""COMPUTED_VALUE"""),"")</f>
        <v/>
      </c>
      <c r="I714" s="292"/>
      <c r="J714" s="292"/>
      <c r="K714" s="292"/>
      <c r="L714" s="292"/>
      <c r="M714" s="292" t="str">
        <f>IFERROR(__xludf.DUMMYFUNCTION("""COMPUTED_VALUE"""),"")</f>
        <v/>
      </c>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c r="AK714" s="292"/>
      <c r="AL714" s="292"/>
      <c r="AM714" s="292"/>
      <c r="AN714" s="292"/>
      <c r="AO714" s="292"/>
      <c r="AP714" s="292"/>
      <c r="AQ714" s="292"/>
      <c r="AR714" s="292"/>
      <c r="AS714" s="292"/>
      <c r="AT714" s="292"/>
      <c r="AU714" s="292"/>
      <c r="AV714" s="292"/>
      <c r="AW714" s="292"/>
      <c r="AX714" s="292"/>
      <c r="AY714" s="292"/>
      <c r="AZ714" s="292"/>
      <c r="BA714" s="292"/>
      <c r="BB714" s="292"/>
      <c r="BC714" s="292"/>
      <c r="BD714" s="292"/>
      <c r="BE714" s="292"/>
      <c r="BF714" s="292"/>
      <c r="BG714" s="292"/>
      <c r="BH714" s="292"/>
      <c r="BI714" s="292"/>
      <c r="BJ714" s="292"/>
      <c r="BK714" s="292"/>
      <c r="BL714" s="292"/>
      <c r="BM714" s="292"/>
      <c r="BN714" s="292"/>
      <c r="BO714" s="292"/>
      <c r="BP714" s="292"/>
      <c r="BQ714" s="292"/>
      <c r="BR714" s="292"/>
      <c r="BS714" s="292"/>
      <c r="BT714" s="292"/>
      <c r="BU714" s="292"/>
      <c r="BV714" s="292"/>
      <c r="BW714" s="292"/>
    </row>
    <row r="715">
      <c r="A715" s="292"/>
      <c r="B715" s="292" t="str">
        <f>IFERROR(__xludf.DUMMYFUNCTION("""COMPUTED_VALUE"""),"")</f>
        <v/>
      </c>
      <c r="C715" s="292"/>
      <c r="D715" s="292" t="str">
        <f>IFERROR(__xludf.DUMMYFUNCTION("""COMPUTED_VALUE"""),"")</f>
        <v/>
      </c>
      <c r="E715" s="292" t="str">
        <f>IFERROR(__xludf.DUMMYFUNCTION("""COMPUTED_VALUE"""),"")</f>
        <v/>
      </c>
      <c r="F715" s="292"/>
      <c r="G715" s="292" t="str">
        <f>IFERROR(__xludf.DUMMYFUNCTION("""COMPUTED_VALUE"""),"")</f>
        <v/>
      </c>
      <c r="H715" s="292" t="str">
        <f>IFERROR(__xludf.DUMMYFUNCTION("""COMPUTED_VALUE"""),"")</f>
        <v/>
      </c>
      <c r="I715" s="292"/>
      <c r="J715" s="292"/>
      <c r="K715" s="292"/>
      <c r="L715" s="292"/>
      <c r="M715" s="292" t="str">
        <f>IFERROR(__xludf.DUMMYFUNCTION("""COMPUTED_VALUE"""),"")</f>
        <v/>
      </c>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c r="AK715" s="292"/>
      <c r="AL715" s="292"/>
      <c r="AM715" s="292"/>
      <c r="AN715" s="292"/>
      <c r="AO715" s="292"/>
      <c r="AP715" s="292"/>
      <c r="AQ715" s="292"/>
      <c r="AR715" s="292"/>
      <c r="AS715" s="292"/>
      <c r="AT715" s="292"/>
      <c r="AU715" s="292"/>
      <c r="AV715" s="292"/>
      <c r="AW715" s="292"/>
      <c r="AX715" s="292"/>
      <c r="AY715" s="292"/>
      <c r="AZ715" s="292"/>
      <c r="BA715" s="292"/>
      <c r="BB715" s="292"/>
      <c r="BC715" s="292"/>
      <c r="BD715" s="292"/>
      <c r="BE715" s="292"/>
      <c r="BF715" s="292"/>
      <c r="BG715" s="292"/>
      <c r="BH715" s="292"/>
      <c r="BI715" s="292"/>
      <c r="BJ715" s="292"/>
      <c r="BK715" s="292"/>
      <c r="BL715" s="292"/>
      <c r="BM715" s="292"/>
      <c r="BN715" s="292"/>
      <c r="BO715" s="292"/>
      <c r="BP715" s="292"/>
      <c r="BQ715" s="292"/>
      <c r="BR715" s="292"/>
      <c r="BS715" s="292"/>
      <c r="BT715" s="292"/>
      <c r="BU715" s="292"/>
      <c r="BV715" s="292"/>
      <c r="BW715" s="292"/>
    </row>
    <row r="716">
      <c r="A716" s="292"/>
      <c r="B716" s="292" t="str">
        <f>IFERROR(__xludf.DUMMYFUNCTION("""COMPUTED_VALUE"""),"")</f>
        <v/>
      </c>
      <c r="C716" s="292"/>
      <c r="D716" s="292" t="str">
        <f>IFERROR(__xludf.DUMMYFUNCTION("""COMPUTED_VALUE"""),"")</f>
        <v/>
      </c>
      <c r="E716" s="292" t="str">
        <f>IFERROR(__xludf.DUMMYFUNCTION("""COMPUTED_VALUE"""),"")</f>
        <v/>
      </c>
      <c r="F716" s="292"/>
      <c r="G716" s="292" t="str">
        <f>IFERROR(__xludf.DUMMYFUNCTION("""COMPUTED_VALUE"""),"")</f>
        <v/>
      </c>
      <c r="H716" s="292" t="str">
        <f>IFERROR(__xludf.DUMMYFUNCTION("""COMPUTED_VALUE"""),"")</f>
        <v/>
      </c>
      <c r="I716" s="292"/>
      <c r="J716" s="292"/>
      <c r="K716" s="292"/>
      <c r="L716" s="292"/>
      <c r="M716" s="292" t="str">
        <f>IFERROR(__xludf.DUMMYFUNCTION("""COMPUTED_VALUE"""),"")</f>
        <v/>
      </c>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c r="AK716" s="292"/>
      <c r="AL716" s="292"/>
      <c r="AM716" s="292"/>
      <c r="AN716" s="292"/>
      <c r="AO716" s="292"/>
      <c r="AP716" s="292"/>
      <c r="AQ716" s="292"/>
      <c r="AR716" s="292"/>
      <c r="AS716" s="292"/>
      <c r="AT716" s="292"/>
      <c r="AU716" s="292"/>
      <c r="AV716" s="292"/>
      <c r="AW716" s="292"/>
      <c r="AX716" s="292"/>
      <c r="AY716" s="292"/>
      <c r="AZ716" s="292"/>
      <c r="BA716" s="292"/>
      <c r="BB716" s="292"/>
      <c r="BC716" s="292"/>
      <c r="BD716" s="292"/>
      <c r="BE716" s="292"/>
      <c r="BF716" s="292"/>
      <c r="BG716" s="292"/>
      <c r="BH716" s="292"/>
      <c r="BI716" s="292"/>
      <c r="BJ716" s="292"/>
      <c r="BK716" s="292"/>
      <c r="BL716" s="292"/>
      <c r="BM716" s="292"/>
      <c r="BN716" s="292"/>
      <c r="BO716" s="292"/>
      <c r="BP716" s="292"/>
      <c r="BQ716" s="292"/>
      <c r="BR716" s="292"/>
      <c r="BS716" s="292"/>
      <c r="BT716" s="292"/>
      <c r="BU716" s="292"/>
      <c r="BV716" s="292"/>
      <c r="BW716" s="292"/>
    </row>
    <row r="717">
      <c r="A717" s="292"/>
      <c r="B717" s="292" t="str">
        <f>IFERROR(__xludf.DUMMYFUNCTION("""COMPUTED_VALUE"""),"")</f>
        <v/>
      </c>
      <c r="C717" s="292"/>
      <c r="D717" s="292" t="str">
        <f>IFERROR(__xludf.DUMMYFUNCTION("""COMPUTED_VALUE"""),"")</f>
        <v/>
      </c>
      <c r="E717" s="292" t="str">
        <f>IFERROR(__xludf.DUMMYFUNCTION("""COMPUTED_VALUE"""),"")</f>
        <v/>
      </c>
      <c r="F717" s="292"/>
      <c r="G717" s="292" t="str">
        <f>IFERROR(__xludf.DUMMYFUNCTION("""COMPUTED_VALUE"""),"")</f>
        <v/>
      </c>
      <c r="H717" s="292" t="str">
        <f>IFERROR(__xludf.DUMMYFUNCTION("""COMPUTED_VALUE"""),"")</f>
        <v/>
      </c>
      <c r="I717" s="292"/>
      <c r="J717" s="292"/>
      <c r="K717" s="292"/>
      <c r="L717" s="292"/>
      <c r="M717" s="292" t="str">
        <f>IFERROR(__xludf.DUMMYFUNCTION("""COMPUTED_VALUE"""),"")</f>
        <v/>
      </c>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c r="AK717" s="292"/>
      <c r="AL717" s="292"/>
      <c r="AM717" s="292"/>
      <c r="AN717" s="292"/>
      <c r="AO717" s="292"/>
      <c r="AP717" s="292"/>
      <c r="AQ717" s="292"/>
      <c r="AR717" s="292"/>
      <c r="AS717" s="292"/>
      <c r="AT717" s="292"/>
      <c r="AU717" s="292"/>
      <c r="AV717" s="292"/>
      <c r="AW717" s="292"/>
      <c r="AX717" s="292"/>
      <c r="AY717" s="292"/>
      <c r="AZ717" s="292"/>
      <c r="BA717" s="292"/>
      <c r="BB717" s="292"/>
      <c r="BC717" s="292"/>
      <c r="BD717" s="292"/>
      <c r="BE717" s="292"/>
      <c r="BF717" s="292"/>
      <c r="BG717" s="292"/>
      <c r="BH717" s="292"/>
      <c r="BI717" s="292"/>
      <c r="BJ717" s="292"/>
      <c r="BK717" s="292"/>
      <c r="BL717" s="292"/>
      <c r="BM717" s="292"/>
      <c r="BN717" s="292"/>
      <c r="BO717" s="292"/>
      <c r="BP717" s="292"/>
      <c r="BQ717" s="292"/>
      <c r="BR717" s="292"/>
      <c r="BS717" s="292"/>
      <c r="BT717" s="292"/>
      <c r="BU717" s="292"/>
      <c r="BV717" s="292"/>
      <c r="BW717" s="292"/>
    </row>
    <row r="718">
      <c r="A718" s="292"/>
      <c r="B718" s="292" t="str">
        <f>IFERROR(__xludf.DUMMYFUNCTION("""COMPUTED_VALUE"""),"")</f>
        <v/>
      </c>
      <c r="C718" s="292"/>
      <c r="D718" s="292" t="str">
        <f>IFERROR(__xludf.DUMMYFUNCTION("""COMPUTED_VALUE"""),"")</f>
        <v/>
      </c>
      <c r="E718" s="292" t="str">
        <f>IFERROR(__xludf.DUMMYFUNCTION("""COMPUTED_VALUE"""),"")</f>
        <v/>
      </c>
      <c r="F718" s="292"/>
      <c r="G718" s="292" t="str">
        <f>IFERROR(__xludf.DUMMYFUNCTION("""COMPUTED_VALUE"""),"")</f>
        <v/>
      </c>
      <c r="H718" s="292" t="str">
        <f>IFERROR(__xludf.DUMMYFUNCTION("""COMPUTED_VALUE"""),"")</f>
        <v/>
      </c>
      <c r="I718" s="292"/>
      <c r="J718" s="292"/>
      <c r="K718" s="292"/>
      <c r="L718" s="292"/>
      <c r="M718" s="292" t="str">
        <f>IFERROR(__xludf.DUMMYFUNCTION("""COMPUTED_VALUE"""),"")</f>
        <v/>
      </c>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c r="AK718" s="292"/>
      <c r="AL718" s="292"/>
      <c r="AM718" s="292"/>
      <c r="AN718" s="292"/>
      <c r="AO718" s="292"/>
      <c r="AP718" s="292"/>
      <c r="AQ718" s="292"/>
      <c r="AR718" s="292"/>
      <c r="AS718" s="292"/>
      <c r="AT718" s="292"/>
      <c r="AU718" s="292"/>
      <c r="AV718" s="292"/>
      <c r="AW718" s="292"/>
      <c r="AX718" s="292"/>
      <c r="AY718" s="292"/>
      <c r="AZ718" s="292"/>
      <c r="BA718" s="292"/>
      <c r="BB718" s="292"/>
      <c r="BC718" s="292"/>
      <c r="BD718" s="292"/>
      <c r="BE718" s="292"/>
      <c r="BF718" s="292"/>
      <c r="BG718" s="292"/>
      <c r="BH718" s="292"/>
      <c r="BI718" s="292"/>
      <c r="BJ718" s="292"/>
      <c r="BK718" s="292"/>
      <c r="BL718" s="292"/>
      <c r="BM718" s="292"/>
      <c r="BN718" s="292"/>
      <c r="BO718" s="292"/>
      <c r="BP718" s="292"/>
      <c r="BQ718" s="292"/>
      <c r="BR718" s="292"/>
      <c r="BS718" s="292"/>
      <c r="BT718" s="292"/>
      <c r="BU718" s="292"/>
      <c r="BV718" s="292"/>
      <c r="BW718" s="292"/>
    </row>
    <row r="719">
      <c r="A719" s="292"/>
      <c r="B719" s="292" t="str">
        <f>IFERROR(__xludf.DUMMYFUNCTION("""COMPUTED_VALUE"""),"")</f>
        <v/>
      </c>
      <c r="C719" s="292"/>
      <c r="D719" s="292" t="str">
        <f>IFERROR(__xludf.DUMMYFUNCTION("""COMPUTED_VALUE"""),"")</f>
        <v/>
      </c>
      <c r="E719" s="292" t="str">
        <f>IFERROR(__xludf.DUMMYFUNCTION("""COMPUTED_VALUE"""),"")</f>
        <v/>
      </c>
      <c r="F719" s="292"/>
      <c r="G719" s="292" t="str">
        <f>IFERROR(__xludf.DUMMYFUNCTION("""COMPUTED_VALUE"""),"")</f>
        <v/>
      </c>
      <c r="H719" s="292" t="str">
        <f>IFERROR(__xludf.DUMMYFUNCTION("""COMPUTED_VALUE"""),"")</f>
        <v/>
      </c>
      <c r="I719" s="292"/>
      <c r="J719" s="292"/>
      <c r="K719" s="292"/>
      <c r="L719" s="292"/>
      <c r="M719" s="292" t="str">
        <f>IFERROR(__xludf.DUMMYFUNCTION("""COMPUTED_VALUE"""),"")</f>
        <v/>
      </c>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c r="AK719" s="292"/>
      <c r="AL719" s="292"/>
      <c r="AM719" s="292"/>
      <c r="AN719" s="292"/>
      <c r="AO719" s="292"/>
      <c r="AP719" s="292"/>
      <c r="AQ719" s="292"/>
      <c r="AR719" s="292"/>
      <c r="AS719" s="292"/>
      <c r="AT719" s="292"/>
      <c r="AU719" s="292"/>
      <c r="AV719" s="292"/>
      <c r="AW719" s="292"/>
      <c r="AX719" s="292"/>
      <c r="AY719" s="292"/>
      <c r="AZ719" s="292"/>
      <c r="BA719" s="292"/>
      <c r="BB719" s="292"/>
      <c r="BC719" s="292"/>
      <c r="BD719" s="292"/>
      <c r="BE719" s="292"/>
      <c r="BF719" s="292"/>
      <c r="BG719" s="292"/>
      <c r="BH719" s="292"/>
      <c r="BI719" s="292"/>
      <c r="BJ719" s="292"/>
      <c r="BK719" s="292"/>
      <c r="BL719" s="292"/>
      <c r="BM719" s="292"/>
      <c r="BN719" s="292"/>
      <c r="BO719" s="292"/>
      <c r="BP719" s="292"/>
      <c r="BQ719" s="292"/>
      <c r="BR719" s="292"/>
      <c r="BS719" s="292"/>
      <c r="BT719" s="292"/>
      <c r="BU719" s="292"/>
      <c r="BV719" s="292"/>
      <c r="BW719" s="292"/>
    </row>
    <row r="720">
      <c r="A720" s="292"/>
      <c r="B720" s="292" t="str">
        <f>IFERROR(__xludf.DUMMYFUNCTION("""COMPUTED_VALUE"""),"")</f>
        <v/>
      </c>
      <c r="C720" s="292"/>
      <c r="D720" s="292" t="str">
        <f>IFERROR(__xludf.DUMMYFUNCTION("""COMPUTED_VALUE"""),"")</f>
        <v/>
      </c>
      <c r="E720" s="292" t="str">
        <f>IFERROR(__xludf.DUMMYFUNCTION("""COMPUTED_VALUE"""),"")</f>
        <v/>
      </c>
      <c r="F720" s="292"/>
      <c r="G720" s="292" t="str">
        <f>IFERROR(__xludf.DUMMYFUNCTION("""COMPUTED_VALUE"""),"")</f>
        <v/>
      </c>
      <c r="H720" s="292" t="str">
        <f>IFERROR(__xludf.DUMMYFUNCTION("""COMPUTED_VALUE"""),"")</f>
        <v/>
      </c>
      <c r="I720" s="292"/>
      <c r="J720" s="292"/>
      <c r="K720" s="292"/>
      <c r="L720" s="292"/>
      <c r="M720" s="292" t="str">
        <f>IFERROR(__xludf.DUMMYFUNCTION("""COMPUTED_VALUE"""),"")</f>
        <v/>
      </c>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c r="AK720" s="292"/>
      <c r="AL720" s="292"/>
      <c r="AM720" s="292"/>
      <c r="AN720" s="292"/>
      <c r="AO720" s="292"/>
      <c r="AP720" s="292"/>
      <c r="AQ720" s="292"/>
      <c r="AR720" s="292"/>
      <c r="AS720" s="292"/>
      <c r="AT720" s="292"/>
      <c r="AU720" s="292"/>
      <c r="AV720" s="292"/>
      <c r="AW720" s="292"/>
      <c r="AX720" s="292"/>
      <c r="AY720" s="292"/>
      <c r="AZ720" s="292"/>
      <c r="BA720" s="292"/>
      <c r="BB720" s="292"/>
      <c r="BC720" s="292"/>
      <c r="BD720" s="292"/>
      <c r="BE720" s="292"/>
      <c r="BF720" s="292"/>
      <c r="BG720" s="292"/>
      <c r="BH720" s="292"/>
      <c r="BI720" s="292"/>
      <c r="BJ720" s="292"/>
      <c r="BK720" s="292"/>
      <c r="BL720" s="292"/>
      <c r="BM720" s="292"/>
      <c r="BN720" s="292"/>
      <c r="BO720" s="292"/>
      <c r="BP720" s="292"/>
      <c r="BQ720" s="292"/>
      <c r="BR720" s="292"/>
      <c r="BS720" s="292"/>
      <c r="BT720" s="292"/>
      <c r="BU720" s="292"/>
      <c r="BV720" s="292"/>
      <c r="BW720" s="292"/>
    </row>
    <row r="721">
      <c r="A721" s="292"/>
      <c r="B721" s="292" t="str">
        <f>IFERROR(__xludf.DUMMYFUNCTION("""COMPUTED_VALUE"""),"")</f>
        <v/>
      </c>
      <c r="C721" s="292"/>
      <c r="D721" s="292" t="str">
        <f>IFERROR(__xludf.DUMMYFUNCTION("""COMPUTED_VALUE"""),"")</f>
        <v/>
      </c>
      <c r="E721" s="292" t="str">
        <f>IFERROR(__xludf.DUMMYFUNCTION("""COMPUTED_VALUE"""),"")</f>
        <v/>
      </c>
      <c r="F721" s="292"/>
      <c r="G721" s="292" t="str">
        <f>IFERROR(__xludf.DUMMYFUNCTION("""COMPUTED_VALUE"""),"")</f>
        <v/>
      </c>
      <c r="H721" s="292" t="str">
        <f>IFERROR(__xludf.DUMMYFUNCTION("""COMPUTED_VALUE"""),"")</f>
        <v/>
      </c>
      <c r="I721" s="292"/>
      <c r="J721" s="292"/>
      <c r="K721" s="292"/>
      <c r="L721" s="292"/>
      <c r="M721" s="292" t="str">
        <f>IFERROR(__xludf.DUMMYFUNCTION("""COMPUTED_VALUE"""),"")</f>
        <v/>
      </c>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c r="AK721" s="292"/>
      <c r="AL721" s="292"/>
      <c r="AM721" s="292"/>
      <c r="AN721" s="292"/>
      <c r="AO721" s="292"/>
      <c r="AP721" s="292"/>
      <c r="AQ721" s="292"/>
      <c r="AR721" s="292"/>
      <c r="AS721" s="292"/>
      <c r="AT721" s="292"/>
      <c r="AU721" s="292"/>
      <c r="AV721" s="292"/>
      <c r="AW721" s="292"/>
      <c r="AX721" s="292"/>
      <c r="AY721" s="292"/>
      <c r="AZ721" s="292"/>
      <c r="BA721" s="292"/>
      <c r="BB721" s="292"/>
      <c r="BC721" s="292"/>
      <c r="BD721" s="292"/>
      <c r="BE721" s="292"/>
      <c r="BF721" s="292"/>
      <c r="BG721" s="292"/>
      <c r="BH721" s="292"/>
      <c r="BI721" s="292"/>
      <c r="BJ721" s="292"/>
      <c r="BK721" s="292"/>
      <c r="BL721" s="292"/>
      <c r="BM721" s="292"/>
      <c r="BN721" s="292"/>
      <c r="BO721" s="292"/>
      <c r="BP721" s="292"/>
      <c r="BQ721" s="292"/>
      <c r="BR721" s="292"/>
      <c r="BS721" s="292"/>
      <c r="BT721" s="292"/>
      <c r="BU721" s="292"/>
      <c r="BV721" s="292"/>
      <c r="BW721" s="292"/>
    </row>
    <row r="722">
      <c r="A722" s="292"/>
      <c r="B722" s="292" t="str">
        <f>IFERROR(__xludf.DUMMYFUNCTION("""COMPUTED_VALUE"""),"")</f>
        <v/>
      </c>
      <c r="C722" s="292"/>
      <c r="D722" s="292" t="str">
        <f>IFERROR(__xludf.DUMMYFUNCTION("""COMPUTED_VALUE"""),"")</f>
        <v/>
      </c>
      <c r="E722" s="292" t="str">
        <f>IFERROR(__xludf.DUMMYFUNCTION("""COMPUTED_VALUE"""),"")</f>
        <v/>
      </c>
      <c r="F722" s="292"/>
      <c r="G722" s="292" t="str">
        <f>IFERROR(__xludf.DUMMYFUNCTION("""COMPUTED_VALUE"""),"")</f>
        <v/>
      </c>
      <c r="H722" s="292" t="str">
        <f>IFERROR(__xludf.DUMMYFUNCTION("""COMPUTED_VALUE"""),"")</f>
        <v/>
      </c>
      <c r="I722" s="292"/>
      <c r="J722" s="292"/>
      <c r="K722" s="292"/>
      <c r="L722" s="292"/>
      <c r="M722" s="292" t="str">
        <f>IFERROR(__xludf.DUMMYFUNCTION("""COMPUTED_VALUE"""),"")</f>
        <v/>
      </c>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c r="AK722" s="292"/>
      <c r="AL722" s="292"/>
      <c r="AM722" s="292"/>
      <c r="AN722" s="292"/>
      <c r="AO722" s="292"/>
      <c r="AP722" s="292"/>
      <c r="AQ722" s="292"/>
      <c r="AR722" s="292"/>
      <c r="AS722" s="292"/>
      <c r="AT722" s="292"/>
      <c r="AU722" s="292"/>
      <c r="AV722" s="292"/>
      <c r="AW722" s="292"/>
      <c r="AX722" s="292"/>
      <c r="AY722" s="292"/>
      <c r="AZ722" s="292"/>
      <c r="BA722" s="292"/>
      <c r="BB722" s="292"/>
      <c r="BC722" s="292"/>
      <c r="BD722" s="292"/>
      <c r="BE722" s="292"/>
      <c r="BF722" s="292"/>
      <c r="BG722" s="292"/>
      <c r="BH722" s="292"/>
      <c r="BI722" s="292"/>
      <c r="BJ722" s="292"/>
      <c r="BK722" s="292"/>
      <c r="BL722" s="292"/>
      <c r="BM722" s="292"/>
      <c r="BN722" s="292"/>
      <c r="BO722" s="292"/>
      <c r="BP722" s="292"/>
      <c r="BQ722" s="292"/>
      <c r="BR722" s="292"/>
      <c r="BS722" s="292"/>
      <c r="BT722" s="292"/>
      <c r="BU722" s="292"/>
      <c r="BV722" s="292"/>
      <c r="BW722" s="292"/>
    </row>
    <row r="723">
      <c r="A723" s="292"/>
      <c r="B723" s="292" t="str">
        <f>IFERROR(__xludf.DUMMYFUNCTION("""COMPUTED_VALUE"""),"")</f>
        <v/>
      </c>
      <c r="C723" s="292"/>
      <c r="D723" s="292" t="str">
        <f>IFERROR(__xludf.DUMMYFUNCTION("""COMPUTED_VALUE"""),"")</f>
        <v/>
      </c>
      <c r="E723" s="292" t="str">
        <f>IFERROR(__xludf.DUMMYFUNCTION("""COMPUTED_VALUE"""),"")</f>
        <v/>
      </c>
      <c r="F723" s="292"/>
      <c r="G723" s="292" t="str">
        <f>IFERROR(__xludf.DUMMYFUNCTION("""COMPUTED_VALUE"""),"")</f>
        <v/>
      </c>
      <c r="H723" s="292" t="str">
        <f>IFERROR(__xludf.DUMMYFUNCTION("""COMPUTED_VALUE"""),"")</f>
        <v/>
      </c>
      <c r="I723" s="292"/>
      <c r="J723" s="292"/>
      <c r="K723" s="292"/>
      <c r="L723" s="292"/>
      <c r="M723" s="292" t="str">
        <f>IFERROR(__xludf.DUMMYFUNCTION("""COMPUTED_VALUE"""),"")</f>
        <v/>
      </c>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c r="AK723" s="292"/>
      <c r="AL723" s="292"/>
      <c r="AM723" s="292"/>
      <c r="AN723" s="292"/>
      <c r="AO723" s="292"/>
      <c r="AP723" s="292"/>
      <c r="AQ723" s="292"/>
      <c r="AR723" s="292"/>
      <c r="AS723" s="292"/>
      <c r="AT723" s="292"/>
      <c r="AU723" s="292"/>
      <c r="AV723" s="292"/>
      <c r="AW723" s="292"/>
      <c r="AX723" s="292"/>
      <c r="AY723" s="292"/>
      <c r="AZ723" s="292"/>
      <c r="BA723" s="292"/>
      <c r="BB723" s="292"/>
      <c r="BC723" s="292"/>
      <c r="BD723" s="292"/>
      <c r="BE723" s="292"/>
      <c r="BF723" s="292"/>
      <c r="BG723" s="292"/>
      <c r="BH723" s="292"/>
      <c r="BI723" s="292"/>
      <c r="BJ723" s="292"/>
      <c r="BK723" s="292"/>
      <c r="BL723" s="292"/>
      <c r="BM723" s="292"/>
      <c r="BN723" s="292"/>
      <c r="BO723" s="292"/>
      <c r="BP723" s="292"/>
      <c r="BQ723" s="292"/>
      <c r="BR723" s="292"/>
      <c r="BS723" s="292"/>
      <c r="BT723" s="292"/>
      <c r="BU723" s="292"/>
      <c r="BV723" s="292"/>
      <c r="BW723" s="292"/>
    </row>
    <row r="724">
      <c r="A724" s="292"/>
      <c r="B724" s="292" t="str">
        <f>IFERROR(__xludf.DUMMYFUNCTION("""COMPUTED_VALUE"""),"")</f>
        <v/>
      </c>
      <c r="C724" s="292"/>
      <c r="D724" s="292" t="str">
        <f>IFERROR(__xludf.DUMMYFUNCTION("""COMPUTED_VALUE"""),"")</f>
        <v/>
      </c>
      <c r="E724" s="292" t="str">
        <f>IFERROR(__xludf.DUMMYFUNCTION("""COMPUTED_VALUE"""),"")</f>
        <v/>
      </c>
      <c r="F724" s="292"/>
      <c r="G724" s="292" t="str">
        <f>IFERROR(__xludf.DUMMYFUNCTION("""COMPUTED_VALUE"""),"")</f>
        <v/>
      </c>
      <c r="H724" s="292" t="str">
        <f>IFERROR(__xludf.DUMMYFUNCTION("""COMPUTED_VALUE"""),"")</f>
        <v/>
      </c>
      <c r="I724" s="292"/>
      <c r="J724" s="292"/>
      <c r="K724" s="292"/>
      <c r="L724" s="292"/>
      <c r="M724" s="292" t="str">
        <f>IFERROR(__xludf.DUMMYFUNCTION("""COMPUTED_VALUE"""),"")</f>
        <v/>
      </c>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c r="AK724" s="292"/>
      <c r="AL724" s="292"/>
      <c r="AM724" s="292"/>
      <c r="AN724" s="292"/>
      <c r="AO724" s="292"/>
      <c r="AP724" s="292"/>
      <c r="AQ724" s="292"/>
      <c r="AR724" s="292"/>
      <c r="AS724" s="292"/>
      <c r="AT724" s="292"/>
      <c r="AU724" s="292"/>
      <c r="AV724" s="292"/>
      <c r="AW724" s="292"/>
      <c r="AX724" s="292"/>
      <c r="AY724" s="292"/>
      <c r="AZ724" s="292"/>
      <c r="BA724" s="292"/>
      <c r="BB724" s="292"/>
      <c r="BC724" s="292"/>
      <c r="BD724" s="292"/>
      <c r="BE724" s="292"/>
      <c r="BF724" s="292"/>
      <c r="BG724" s="292"/>
      <c r="BH724" s="292"/>
      <c r="BI724" s="292"/>
      <c r="BJ724" s="292"/>
      <c r="BK724" s="292"/>
      <c r="BL724" s="292"/>
      <c r="BM724" s="292"/>
      <c r="BN724" s="292"/>
      <c r="BO724" s="292"/>
      <c r="BP724" s="292"/>
      <c r="BQ724" s="292"/>
      <c r="BR724" s="292"/>
      <c r="BS724" s="292"/>
      <c r="BT724" s="292"/>
      <c r="BU724" s="292"/>
      <c r="BV724" s="292"/>
      <c r="BW724" s="292"/>
    </row>
    <row r="725">
      <c r="A725" s="292"/>
      <c r="B725" s="292" t="str">
        <f>IFERROR(__xludf.DUMMYFUNCTION("""COMPUTED_VALUE"""),"")</f>
        <v/>
      </c>
      <c r="C725" s="292"/>
      <c r="D725" s="292" t="str">
        <f>IFERROR(__xludf.DUMMYFUNCTION("""COMPUTED_VALUE"""),"")</f>
        <v/>
      </c>
      <c r="E725" s="292" t="str">
        <f>IFERROR(__xludf.DUMMYFUNCTION("""COMPUTED_VALUE"""),"")</f>
        <v/>
      </c>
      <c r="F725" s="292"/>
      <c r="G725" s="292" t="str">
        <f>IFERROR(__xludf.DUMMYFUNCTION("""COMPUTED_VALUE"""),"")</f>
        <v/>
      </c>
      <c r="H725" s="292" t="str">
        <f>IFERROR(__xludf.DUMMYFUNCTION("""COMPUTED_VALUE"""),"")</f>
        <v/>
      </c>
      <c r="I725" s="292"/>
      <c r="J725" s="292"/>
      <c r="K725" s="292"/>
      <c r="L725" s="292"/>
      <c r="M725" s="292" t="str">
        <f>IFERROR(__xludf.DUMMYFUNCTION("""COMPUTED_VALUE"""),"")</f>
        <v/>
      </c>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c r="AK725" s="292"/>
      <c r="AL725" s="292"/>
      <c r="AM725" s="292"/>
      <c r="AN725" s="292"/>
      <c r="AO725" s="292"/>
      <c r="AP725" s="292"/>
      <c r="AQ725" s="292"/>
      <c r="AR725" s="292"/>
      <c r="AS725" s="292"/>
      <c r="AT725" s="292"/>
      <c r="AU725" s="292"/>
      <c r="AV725" s="292"/>
      <c r="AW725" s="292"/>
      <c r="AX725" s="292"/>
      <c r="AY725" s="292"/>
      <c r="AZ725" s="292"/>
      <c r="BA725" s="292"/>
      <c r="BB725" s="292"/>
      <c r="BC725" s="292"/>
      <c r="BD725" s="292"/>
      <c r="BE725" s="292"/>
      <c r="BF725" s="292"/>
      <c r="BG725" s="292"/>
      <c r="BH725" s="292"/>
      <c r="BI725" s="292"/>
      <c r="BJ725" s="292"/>
      <c r="BK725" s="292"/>
      <c r="BL725" s="292"/>
      <c r="BM725" s="292"/>
      <c r="BN725" s="292"/>
      <c r="BO725" s="292"/>
      <c r="BP725" s="292"/>
      <c r="BQ725" s="292"/>
      <c r="BR725" s="292"/>
      <c r="BS725" s="292"/>
      <c r="BT725" s="292"/>
      <c r="BU725" s="292"/>
      <c r="BV725" s="292"/>
      <c r="BW725" s="292"/>
    </row>
    <row r="726">
      <c r="A726" s="292"/>
      <c r="B726" s="292" t="str">
        <f>IFERROR(__xludf.DUMMYFUNCTION("""COMPUTED_VALUE"""),"")</f>
        <v/>
      </c>
      <c r="C726" s="292"/>
      <c r="D726" s="292" t="str">
        <f>IFERROR(__xludf.DUMMYFUNCTION("""COMPUTED_VALUE"""),"")</f>
        <v/>
      </c>
      <c r="E726" s="292" t="str">
        <f>IFERROR(__xludf.DUMMYFUNCTION("""COMPUTED_VALUE"""),"")</f>
        <v/>
      </c>
      <c r="F726" s="292"/>
      <c r="G726" s="292" t="str">
        <f>IFERROR(__xludf.DUMMYFUNCTION("""COMPUTED_VALUE"""),"")</f>
        <v/>
      </c>
      <c r="H726" s="292" t="str">
        <f>IFERROR(__xludf.DUMMYFUNCTION("""COMPUTED_VALUE"""),"")</f>
        <v/>
      </c>
      <c r="I726" s="292"/>
      <c r="J726" s="292"/>
      <c r="K726" s="292"/>
      <c r="L726" s="292"/>
      <c r="M726" s="292" t="str">
        <f>IFERROR(__xludf.DUMMYFUNCTION("""COMPUTED_VALUE"""),"")</f>
        <v/>
      </c>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c r="AK726" s="292"/>
      <c r="AL726" s="292"/>
      <c r="AM726" s="292"/>
      <c r="AN726" s="292"/>
      <c r="AO726" s="292"/>
      <c r="AP726" s="292"/>
      <c r="AQ726" s="292"/>
      <c r="AR726" s="292"/>
      <c r="AS726" s="292"/>
      <c r="AT726" s="292"/>
      <c r="AU726" s="292"/>
      <c r="AV726" s="292"/>
      <c r="AW726" s="292"/>
      <c r="AX726" s="292"/>
      <c r="AY726" s="292"/>
      <c r="AZ726" s="292"/>
      <c r="BA726" s="292"/>
      <c r="BB726" s="292"/>
      <c r="BC726" s="292"/>
      <c r="BD726" s="292"/>
      <c r="BE726" s="292"/>
      <c r="BF726" s="292"/>
      <c r="BG726" s="292"/>
      <c r="BH726" s="292"/>
      <c r="BI726" s="292"/>
      <c r="BJ726" s="292"/>
      <c r="BK726" s="292"/>
      <c r="BL726" s="292"/>
      <c r="BM726" s="292"/>
      <c r="BN726" s="292"/>
      <c r="BO726" s="292"/>
      <c r="BP726" s="292"/>
      <c r="BQ726" s="292"/>
      <c r="BR726" s="292"/>
      <c r="BS726" s="292"/>
      <c r="BT726" s="292"/>
      <c r="BU726" s="292"/>
      <c r="BV726" s="292"/>
      <c r="BW726" s="292"/>
    </row>
    <row r="727">
      <c r="A727" s="292"/>
      <c r="B727" s="292" t="str">
        <f>IFERROR(__xludf.DUMMYFUNCTION("""COMPUTED_VALUE"""),"")</f>
        <v/>
      </c>
      <c r="C727" s="292"/>
      <c r="D727" s="292" t="str">
        <f>IFERROR(__xludf.DUMMYFUNCTION("""COMPUTED_VALUE"""),"")</f>
        <v/>
      </c>
      <c r="E727" s="292" t="str">
        <f>IFERROR(__xludf.DUMMYFUNCTION("""COMPUTED_VALUE"""),"")</f>
        <v/>
      </c>
      <c r="F727" s="292"/>
      <c r="G727" s="292" t="str">
        <f>IFERROR(__xludf.DUMMYFUNCTION("""COMPUTED_VALUE"""),"")</f>
        <v/>
      </c>
      <c r="H727" s="292" t="str">
        <f>IFERROR(__xludf.DUMMYFUNCTION("""COMPUTED_VALUE"""),"")</f>
        <v/>
      </c>
      <c r="I727" s="292"/>
      <c r="J727" s="292"/>
      <c r="K727" s="292"/>
      <c r="L727" s="292"/>
      <c r="M727" s="292" t="str">
        <f>IFERROR(__xludf.DUMMYFUNCTION("""COMPUTED_VALUE"""),"")</f>
        <v/>
      </c>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c r="AK727" s="292"/>
      <c r="AL727" s="292"/>
      <c r="AM727" s="292"/>
      <c r="AN727" s="292"/>
      <c r="AO727" s="292"/>
      <c r="AP727" s="292"/>
      <c r="AQ727" s="292"/>
      <c r="AR727" s="292"/>
      <c r="AS727" s="292"/>
      <c r="AT727" s="292"/>
      <c r="AU727" s="292"/>
      <c r="AV727" s="292"/>
      <c r="AW727" s="292"/>
      <c r="AX727" s="292"/>
      <c r="AY727" s="292"/>
      <c r="AZ727" s="292"/>
      <c r="BA727" s="292"/>
      <c r="BB727" s="292"/>
      <c r="BC727" s="292"/>
      <c r="BD727" s="292"/>
      <c r="BE727" s="292"/>
      <c r="BF727" s="292"/>
      <c r="BG727" s="292"/>
      <c r="BH727" s="292"/>
      <c r="BI727" s="292"/>
      <c r="BJ727" s="292"/>
      <c r="BK727" s="292"/>
      <c r="BL727" s="292"/>
      <c r="BM727" s="292"/>
      <c r="BN727" s="292"/>
      <c r="BO727" s="292"/>
      <c r="BP727" s="292"/>
      <c r="BQ727" s="292"/>
      <c r="BR727" s="292"/>
      <c r="BS727" s="292"/>
      <c r="BT727" s="292"/>
      <c r="BU727" s="292"/>
      <c r="BV727" s="292"/>
      <c r="BW727" s="292"/>
    </row>
    <row r="728">
      <c r="A728" s="292"/>
      <c r="B728" s="292" t="str">
        <f>IFERROR(__xludf.DUMMYFUNCTION("""COMPUTED_VALUE"""),"")</f>
        <v/>
      </c>
      <c r="C728" s="292"/>
      <c r="D728" s="292" t="str">
        <f>IFERROR(__xludf.DUMMYFUNCTION("""COMPUTED_VALUE"""),"")</f>
        <v/>
      </c>
      <c r="E728" s="292" t="str">
        <f>IFERROR(__xludf.DUMMYFUNCTION("""COMPUTED_VALUE"""),"")</f>
        <v/>
      </c>
      <c r="F728" s="292"/>
      <c r="G728" s="292" t="str">
        <f>IFERROR(__xludf.DUMMYFUNCTION("""COMPUTED_VALUE"""),"")</f>
        <v/>
      </c>
      <c r="H728" s="292" t="str">
        <f>IFERROR(__xludf.DUMMYFUNCTION("""COMPUTED_VALUE"""),"")</f>
        <v/>
      </c>
      <c r="I728" s="292"/>
      <c r="J728" s="292"/>
      <c r="K728" s="292"/>
      <c r="L728" s="292"/>
      <c r="M728" s="292" t="str">
        <f>IFERROR(__xludf.DUMMYFUNCTION("""COMPUTED_VALUE"""),"")</f>
        <v/>
      </c>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c r="AK728" s="292"/>
      <c r="AL728" s="292"/>
      <c r="AM728" s="292"/>
      <c r="AN728" s="292"/>
      <c r="AO728" s="292"/>
      <c r="AP728" s="292"/>
      <c r="AQ728" s="292"/>
      <c r="AR728" s="292"/>
      <c r="AS728" s="292"/>
      <c r="AT728" s="292"/>
      <c r="AU728" s="292"/>
      <c r="AV728" s="292"/>
      <c r="AW728" s="292"/>
      <c r="AX728" s="292"/>
      <c r="AY728" s="292"/>
      <c r="AZ728" s="292"/>
      <c r="BA728" s="292"/>
      <c r="BB728" s="292"/>
      <c r="BC728" s="292"/>
      <c r="BD728" s="292"/>
      <c r="BE728" s="292"/>
      <c r="BF728" s="292"/>
      <c r="BG728" s="292"/>
      <c r="BH728" s="292"/>
      <c r="BI728" s="292"/>
      <c r="BJ728" s="292"/>
      <c r="BK728" s="292"/>
      <c r="BL728" s="292"/>
      <c r="BM728" s="292"/>
      <c r="BN728" s="292"/>
      <c r="BO728" s="292"/>
      <c r="BP728" s="292"/>
      <c r="BQ728" s="292"/>
      <c r="BR728" s="292"/>
      <c r="BS728" s="292"/>
      <c r="BT728" s="292"/>
      <c r="BU728" s="292"/>
      <c r="BV728" s="292"/>
      <c r="BW728" s="292"/>
    </row>
    <row r="729">
      <c r="A729" s="292"/>
      <c r="B729" s="292" t="str">
        <f>IFERROR(__xludf.DUMMYFUNCTION("""COMPUTED_VALUE"""),"")</f>
        <v/>
      </c>
      <c r="C729" s="292"/>
      <c r="D729" s="292" t="str">
        <f>IFERROR(__xludf.DUMMYFUNCTION("""COMPUTED_VALUE"""),"")</f>
        <v/>
      </c>
      <c r="E729" s="292" t="str">
        <f>IFERROR(__xludf.DUMMYFUNCTION("""COMPUTED_VALUE"""),"")</f>
        <v/>
      </c>
      <c r="F729" s="292"/>
      <c r="G729" s="292" t="str">
        <f>IFERROR(__xludf.DUMMYFUNCTION("""COMPUTED_VALUE"""),"")</f>
        <v/>
      </c>
      <c r="H729" s="292" t="str">
        <f>IFERROR(__xludf.DUMMYFUNCTION("""COMPUTED_VALUE"""),"")</f>
        <v/>
      </c>
      <c r="I729" s="292"/>
      <c r="J729" s="292"/>
      <c r="K729" s="292"/>
      <c r="L729" s="292"/>
      <c r="M729" s="292" t="str">
        <f>IFERROR(__xludf.DUMMYFUNCTION("""COMPUTED_VALUE"""),"")</f>
        <v/>
      </c>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c r="AK729" s="292"/>
      <c r="AL729" s="292"/>
      <c r="AM729" s="292"/>
      <c r="AN729" s="292"/>
      <c r="AO729" s="292"/>
      <c r="AP729" s="292"/>
      <c r="AQ729" s="292"/>
      <c r="AR729" s="292"/>
      <c r="AS729" s="292"/>
      <c r="AT729" s="292"/>
      <c r="AU729" s="292"/>
      <c r="AV729" s="292"/>
      <c r="AW729" s="292"/>
      <c r="AX729" s="292"/>
      <c r="AY729" s="292"/>
      <c r="AZ729" s="292"/>
      <c r="BA729" s="292"/>
      <c r="BB729" s="292"/>
      <c r="BC729" s="292"/>
      <c r="BD729" s="292"/>
      <c r="BE729" s="292"/>
      <c r="BF729" s="292"/>
      <c r="BG729" s="292"/>
      <c r="BH729" s="292"/>
      <c r="BI729" s="292"/>
      <c r="BJ729" s="292"/>
      <c r="BK729" s="292"/>
      <c r="BL729" s="292"/>
      <c r="BM729" s="292"/>
      <c r="BN729" s="292"/>
      <c r="BO729" s="292"/>
      <c r="BP729" s="292"/>
      <c r="BQ729" s="292"/>
      <c r="BR729" s="292"/>
      <c r="BS729" s="292"/>
      <c r="BT729" s="292"/>
      <c r="BU729" s="292"/>
      <c r="BV729" s="292"/>
      <c r="BW729" s="292"/>
    </row>
    <row r="730">
      <c r="A730" s="292"/>
      <c r="B730" s="292" t="str">
        <f>IFERROR(__xludf.DUMMYFUNCTION("""COMPUTED_VALUE"""),"")</f>
        <v/>
      </c>
      <c r="C730" s="292"/>
      <c r="D730" s="292" t="str">
        <f>IFERROR(__xludf.DUMMYFUNCTION("""COMPUTED_VALUE"""),"")</f>
        <v/>
      </c>
      <c r="E730" s="292" t="str">
        <f>IFERROR(__xludf.DUMMYFUNCTION("""COMPUTED_VALUE"""),"")</f>
        <v/>
      </c>
      <c r="F730" s="292"/>
      <c r="G730" s="292" t="str">
        <f>IFERROR(__xludf.DUMMYFUNCTION("""COMPUTED_VALUE"""),"")</f>
        <v/>
      </c>
      <c r="H730" s="292" t="str">
        <f>IFERROR(__xludf.DUMMYFUNCTION("""COMPUTED_VALUE"""),"")</f>
        <v/>
      </c>
      <c r="I730" s="292"/>
      <c r="J730" s="292"/>
      <c r="K730" s="292"/>
      <c r="L730" s="292"/>
      <c r="M730" s="292" t="str">
        <f>IFERROR(__xludf.DUMMYFUNCTION("""COMPUTED_VALUE"""),"")</f>
        <v/>
      </c>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c r="AK730" s="292"/>
      <c r="AL730" s="292"/>
      <c r="AM730" s="292"/>
      <c r="AN730" s="292"/>
      <c r="AO730" s="292"/>
      <c r="AP730" s="292"/>
      <c r="AQ730" s="292"/>
      <c r="AR730" s="292"/>
      <c r="AS730" s="292"/>
      <c r="AT730" s="292"/>
      <c r="AU730" s="292"/>
      <c r="AV730" s="292"/>
      <c r="AW730" s="292"/>
      <c r="AX730" s="292"/>
      <c r="AY730" s="292"/>
      <c r="AZ730" s="292"/>
      <c r="BA730" s="292"/>
      <c r="BB730" s="292"/>
      <c r="BC730" s="292"/>
      <c r="BD730" s="292"/>
      <c r="BE730" s="292"/>
      <c r="BF730" s="292"/>
      <c r="BG730" s="292"/>
      <c r="BH730" s="292"/>
      <c r="BI730" s="292"/>
      <c r="BJ730" s="292"/>
      <c r="BK730" s="292"/>
      <c r="BL730" s="292"/>
      <c r="BM730" s="292"/>
      <c r="BN730" s="292"/>
      <c r="BO730" s="292"/>
      <c r="BP730" s="292"/>
      <c r="BQ730" s="292"/>
      <c r="BR730" s="292"/>
      <c r="BS730" s="292"/>
      <c r="BT730" s="292"/>
      <c r="BU730" s="292"/>
      <c r="BV730" s="292"/>
      <c r="BW730" s="292"/>
    </row>
    <row r="731">
      <c r="A731" s="292"/>
      <c r="B731" s="292" t="str">
        <f>IFERROR(__xludf.DUMMYFUNCTION("""COMPUTED_VALUE"""),"")</f>
        <v/>
      </c>
      <c r="C731" s="292"/>
      <c r="D731" s="292" t="str">
        <f>IFERROR(__xludf.DUMMYFUNCTION("""COMPUTED_VALUE"""),"")</f>
        <v/>
      </c>
      <c r="E731" s="292" t="str">
        <f>IFERROR(__xludf.DUMMYFUNCTION("""COMPUTED_VALUE"""),"")</f>
        <v/>
      </c>
      <c r="F731" s="292"/>
      <c r="G731" s="292" t="str">
        <f>IFERROR(__xludf.DUMMYFUNCTION("""COMPUTED_VALUE"""),"")</f>
        <v/>
      </c>
      <c r="H731" s="292" t="str">
        <f>IFERROR(__xludf.DUMMYFUNCTION("""COMPUTED_VALUE"""),"")</f>
        <v/>
      </c>
      <c r="I731" s="292"/>
      <c r="J731" s="292"/>
      <c r="K731" s="292"/>
      <c r="L731" s="292"/>
      <c r="M731" s="292" t="str">
        <f>IFERROR(__xludf.DUMMYFUNCTION("""COMPUTED_VALUE"""),"")</f>
        <v/>
      </c>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c r="AK731" s="292"/>
      <c r="AL731" s="292"/>
      <c r="AM731" s="292"/>
      <c r="AN731" s="292"/>
      <c r="AO731" s="292"/>
      <c r="AP731" s="292"/>
      <c r="AQ731" s="292"/>
      <c r="AR731" s="292"/>
      <c r="AS731" s="292"/>
      <c r="AT731" s="292"/>
      <c r="AU731" s="292"/>
      <c r="AV731" s="292"/>
      <c r="AW731" s="292"/>
      <c r="AX731" s="292"/>
      <c r="AY731" s="292"/>
      <c r="AZ731" s="292"/>
      <c r="BA731" s="292"/>
      <c r="BB731" s="292"/>
      <c r="BC731" s="292"/>
      <c r="BD731" s="292"/>
      <c r="BE731" s="292"/>
      <c r="BF731" s="292"/>
      <c r="BG731" s="292"/>
      <c r="BH731" s="292"/>
      <c r="BI731" s="292"/>
      <c r="BJ731" s="292"/>
      <c r="BK731" s="292"/>
      <c r="BL731" s="292"/>
      <c r="BM731" s="292"/>
      <c r="BN731" s="292"/>
      <c r="BO731" s="292"/>
      <c r="BP731" s="292"/>
      <c r="BQ731" s="292"/>
      <c r="BR731" s="292"/>
      <c r="BS731" s="292"/>
      <c r="BT731" s="292"/>
      <c r="BU731" s="292"/>
      <c r="BV731" s="292"/>
      <c r="BW731" s="292"/>
    </row>
    <row r="732">
      <c r="A732" s="292"/>
      <c r="B732" s="292" t="str">
        <f>IFERROR(__xludf.DUMMYFUNCTION("""COMPUTED_VALUE"""),"")</f>
        <v/>
      </c>
      <c r="C732" s="292"/>
      <c r="D732" s="292" t="str">
        <f>IFERROR(__xludf.DUMMYFUNCTION("""COMPUTED_VALUE"""),"")</f>
        <v/>
      </c>
      <c r="E732" s="292" t="str">
        <f>IFERROR(__xludf.DUMMYFUNCTION("""COMPUTED_VALUE"""),"")</f>
        <v/>
      </c>
      <c r="F732" s="292"/>
      <c r="G732" s="292" t="str">
        <f>IFERROR(__xludf.DUMMYFUNCTION("""COMPUTED_VALUE"""),"")</f>
        <v/>
      </c>
      <c r="H732" s="292" t="str">
        <f>IFERROR(__xludf.DUMMYFUNCTION("""COMPUTED_VALUE"""),"")</f>
        <v/>
      </c>
      <c r="I732" s="292"/>
      <c r="J732" s="292"/>
      <c r="K732" s="292"/>
      <c r="L732" s="292"/>
      <c r="M732" s="292" t="str">
        <f>IFERROR(__xludf.DUMMYFUNCTION("""COMPUTED_VALUE"""),"")</f>
        <v/>
      </c>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c r="AK732" s="292"/>
      <c r="AL732" s="292"/>
      <c r="AM732" s="292"/>
      <c r="AN732" s="292"/>
      <c r="AO732" s="292"/>
      <c r="AP732" s="292"/>
      <c r="AQ732" s="292"/>
      <c r="AR732" s="292"/>
      <c r="AS732" s="292"/>
      <c r="AT732" s="292"/>
      <c r="AU732" s="292"/>
      <c r="AV732" s="292"/>
      <c r="AW732" s="292"/>
      <c r="AX732" s="292"/>
      <c r="AY732" s="292"/>
      <c r="AZ732" s="292"/>
      <c r="BA732" s="292"/>
      <c r="BB732" s="292"/>
      <c r="BC732" s="292"/>
      <c r="BD732" s="292"/>
      <c r="BE732" s="292"/>
      <c r="BF732" s="292"/>
      <c r="BG732" s="292"/>
      <c r="BH732" s="292"/>
      <c r="BI732" s="292"/>
      <c r="BJ732" s="292"/>
      <c r="BK732" s="292"/>
      <c r="BL732" s="292"/>
      <c r="BM732" s="292"/>
      <c r="BN732" s="292"/>
      <c r="BO732" s="292"/>
      <c r="BP732" s="292"/>
      <c r="BQ732" s="292"/>
      <c r="BR732" s="292"/>
      <c r="BS732" s="292"/>
      <c r="BT732" s="292"/>
      <c r="BU732" s="292"/>
      <c r="BV732" s="292"/>
      <c r="BW732" s="292"/>
    </row>
    <row r="733">
      <c r="A733" s="292"/>
      <c r="B733" s="292" t="str">
        <f>IFERROR(__xludf.DUMMYFUNCTION("""COMPUTED_VALUE"""),"")</f>
        <v/>
      </c>
      <c r="C733" s="292"/>
      <c r="D733" s="292" t="str">
        <f>IFERROR(__xludf.DUMMYFUNCTION("""COMPUTED_VALUE"""),"")</f>
        <v/>
      </c>
      <c r="E733" s="292" t="str">
        <f>IFERROR(__xludf.DUMMYFUNCTION("""COMPUTED_VALUE"""),"")</f>
        <v/>
      </c>
      <c r="F733" s="292"/>
      <c r="G733" s="292" t="str">
        <f>IFERROR(__xludf.DUMMYFUNCTION("""COMPUTED_VALUE"""),"")</f>
        <v/>
      </c>
      <c r="H733" s="292" t="str">
        <f>IFERROR(__xludf.DUMMYFUNCTION("""COMPUTED_VALUE"""),"")</f>
        <v/>
      </c>
      <c r="I733" s="292"/>
      <c r="J733" s="292"/>
      <c r="K733" s="292"/>
      <c r="L733" s="292"/>
      <c r="M733" s="292" t="str">
        <f>IFERROR(__xludf.DUMMYFUNCTION("""COMPUTED_VALUE"""),"")</f>
        <v/>
      </c>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c r="AK733" s="292"/>
      <c r="AL733" s="292"/>
      <c r="AM733" s="292"/>
      <c r="AN733" s="292"/>
      <c r="AO733" s="292"/>
      <c r="AP733" s="292"/>
      <c r="AQ733" s="292"/>
      <c r="AR733" s="292"/>
      <c r="AS733" s="292"/>
      <c r="AT733" s="292"/>
      <c r="AU733" s="292"/>
      <c r="AV733" s="292"/>
      <c r="AW733" s="292"/>
      <c r="AX733" s="292"/>
      <c r="AY733" s="292"/>
      <c r="AZ733" s="292"/>
      <c r="BA733" s="292"/>
      <c r="BB733" s="292"/>
      <c r="BC733" s="292"/>
      <c r="BD733" s="292"/>
      <c r="BE733" s="292"/>
      <c r="BF733" s="292"/>
      <c r="BG733" s="292"/>
      <c r="BH733" s="292"/>
      <c r="BI733" s="292"/>
      <c r="BJ733" s="292"/>
      <c r="BK733" s="292"/>
      <c r="BL733" s="292"/>
      <c r="BM733" s="292"/>
      <c r="BN733" s="292"/>
      <c r="BO733" s="292"/>
      <c r="BP733" s="292"/>
      <c r="BQ733" s="292"/>
      <c r="BR733" s="292"/>
      <c r="BS733" s="292"/>
      <c r="BT733" s="292"/>
      <c r="BU733" s="292"/>
      <c r="BV733" s="292"/>
      <c r="BW733" s="292"/>
    </row>
    <row r="734">
      <c r="A734" s="292"/>
      <c r="B734" s="292" t="str">
        <f>IFERROR(__xludf.DUMMYFUNCTION("""COMPUTED_VALUE"""),"")</f>
        <v/>
      </c>
      <c r="C734" s="292"/>
      <c r="D734" s="292" t="str">
        <f>IFERROR(__xludf.DUMMYFUNCTION("""COMPUTED_VALUE"""),"")</f>
        <v/>
      </c>
      <c r="E734" s="292" t="str">
        <f>IFERROR(__xludf.DUMMYFUNCTION("""COMPUTED_VALUE"""),"")</f>
        <v/>
      </c>
      <c r="F734" s="292"/>
      <c r="G734" s="292" t="str">
        <f>IFERROR(__xludf.DUMMYFUNCTION("""COMPUTED_VALUE"""),"")</f>
        <v/>
      </c>
      <c r="H734" s="292" t="str">
        <f>IFERROR(__xludf.DUMMYFUNCTION("""COMPUTED_VALUE"""),"")</f>
        <v/>
      </c>
      <c r="I734" s="292"/>
      <c r="J734" s="292"/>
      <c r="K734" s="292"/>
      <c r="L734" s="292"/>
      <c r="M734" s="292" t="str">
        <f>IFERROR(__xludf.DUMMYFUNCTION("""COMPUTED_VALUE"""),"")</f>
        <v/>
      </c>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c r="AK734" s="292"/>
      <c r="AL734" s="292"/>
      <c r="AM734" s="292"/>
      <c r="AN734" s="292"/>
      <c r="AO734" s="292"/>
      <c r="AP734" s="292"/>
      <c r="AQ734" s="292"/>
      <c r="AR734" s="292"/>
      <c r="AS734" s="292"/>
      <c r="AT734" s="292"/>
      <c r="AU734" s="292"/>
      <c r="AV734" s="292"/>
      <c r="AW734" s="292"/>
      <c r="AX734" s="292"/>
      <c r="AY734" s="292"/>
      <c r="AZ734" s="292"/>
      <c r="BA734" s="292"/>
      <c r="BB734" s="292"/>
      <c r="BC734" s="292"/>
      <c r="BD734" s="292"/>
      <c r="BE734" s="292"/>
      <c r="BF734" s="292"/>
      <c r="BG734" s="292"/>
      <c r="BH734" s="292"/>
      <c r="BI734" s="292"/>
      <c r="BJ734" s="292"/>
      <c r="BK734" s="292"/>
      <c r="BL734" s="292"/>
      <c r="BM734" s="292"/>
      <c r="BN734" s="292"/>
      <c r="BO734" s="292"/>
      <c r="BP734" s="292"/>
      <c r="BQ734" s="292"/>
      <c r="BR734" s="292"/>
      <c r="BS734" s="292"/>
      <c r="BT734" s="292"/>
      <c r="BU734" s="292"/>
      <c r="BV734" s="292"/>
      <c r="BW734" s="292"/>
    </row>
    <row r="735">
      <c r="A735" s="292"/>
      <c r="B735" s="292" t="str">
        <f>IFERROR(__xludf.DUMMYFUNCTION("""COMPUTED_VALUE"""),"")</f>
        <v/>
      </c>
      <c r="C735" s="292"/>
      <c r="D735" s="292" t="str">
        <f>IFERROR(__xludf.DUMMYFUNCTION("""COMPUTED_VALUE"""),"")</f>
        <v/>
      </c>
      <c r="E735" s="292" t="str">
        <f>IFERROR(__xludf.DUMMYFUNCTION("""COMPUTED_VALUE"""),"")</f>
        <v/>
      </c>
      <c r="F735" s="292"/>
      <c r="G735" s="292" t="str">
        <f>IFERROR(__xludf.DUMMYFUNCTION("""COMPUTED_VALUE"""),"")</f>
        <v/>
      </c>
      <c r="H735" s="292" t="str">
        <f>IFERROR(__xludf.DUMMYFUNCTION("""COMPUTED_VALUE"""),"")</f>
        <v/>
      </c>
      <c r="I735" s="292"/>
      <c r="J735" s="292"/>
      <c r="K735" s="292"/>
      <c r="L735" s="292"/>
      <c r="M735" s="292" t="str">
        <f>IFERROR(__xludf.DUMMYFUNCTION("""COMPUTED_VALUE"""),"")</f>
        <v/>
      </c>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c r="AK735" s="292"/>
      <c r="AL735" s="292"/>
      <c r="AM735" s="292"/>
      <c r="AN735" s="292"/>
      <c r="AO735" s="292"/>
      <c r="AP735" s="292"/>
      <c r="AQ735" s="292"/>
      <c r="AR735" s="292"/>
      <c r="AS735" s="292"/>
      <c r="AT735" s="292"/>
      <c r="AU735" s="292"/>
      <c r="AV735" s="292"/>
      <c r="AW735" s="292"/>
      <c r="AX735" s="292"/>
      <c r="AY735" s="292"/>
      <c r="AZ735" s="292"/>
      <c r="BA735" s="292"/>
      <c r="BB735" s="292"/>
      <c r="BC735" s="292"/>
      <c r="BD735" s="292"/>
      <c r="BE735" s="292"/>
      <c r="BF735" s="292"/>
      <c r="BG735" s="292"/>
      <c r="BH735" s="292"/>
      <c r="BI735" s="292"/>
      <c r="BJ735" s="292"/>
      <c r="BK735" s="292"/>
      <c r="BL735" s="292"/>
      <c r="BM735" s="292"/>
      <c r="BN735" s="292"/>
      <c r="BO735" s="292"/>
      <c r="BP735" s="292"/>
      <c r="BQ735" s="292"/>
      <c r="BR735" s="292"/>
      <c r="BS735" s="292"/>
      <c r="BT735" s="292"/>
      <c r="BU735" s="292"/>
      <c r="BV735" s="292"/>
      <c r="BW735" s="292"/>
    </row>
    <row r="736">
      <c r="A736" s="292"/>
      <c r="B736" s="292" t="str">
        <f>IFERROR(__xludf.DUMMYFUNCTION("""COMPUTED_VALUE"""),"")</f>
        <v/>
      </c>
      <c r="C736" s="292"/>
      <c r="D736" s="292" t="str">
        <f>IFERROR(__xludf.DUMMYFUNCTION("""COMPUTED_VALUE"""),"")</f>
        <v/>
      </c>
      <c r="E736" s="292" t="str">
        <f>IFERROR(__xludf.DUMMYFUNCTION("""COMPUTED_VALUE"""),"")</f>
        <v/>
      </c>
      <c r="F736" s="292"/>
      <c r="G736" s="292" t="str">
        <f>IFERROR(__xludf.DUMMYFUNCTION("""COMPUTED_VALUE"""),"")</f>
        <v/>
      </c>
      <c r="H736" s="292" t="str">
        <f>IFERROR(__xludf.DUMMYFUNCTION("""COMPUTED_VALUE"""),"")</f>
        <v/>
      </c>
      <c r="I736" s="292"/>
      <c r="J736" s="292"/>
      <c r="K736" s="292"/>
      <c r="L736" s="292"/>
      <c r="M736" s="292" t="str">
        <f>IFERROR(__xludf.DUMMYFUNCTION("""COMPUTED_VALUE"""),"")</f>
        <v/>
      </c>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c r="AK736" s="292"/>
      <c r="AL736" s="292"/>
      <c r="AM736" s="292"/>
      <c r="AN736" s="292"/>
      <c r="AO736" s="292"/>
      <c r="AP736" s="292"/>
      <c r="AQ736" s="292"/>
      <c r="AR736" s="292"/>
      <c r="AS736" s="292"/>
      <c r="AT736" s="292"/>
      <c r="AU736" s="292"/>
      <c r="AV736" s="292"/>
      <c r="AW736" s="292"/>
      <c r="AX736" s="292"/>
      <c r="AY736" s="292"/>
      <c r="AZ736" s="292"/>
      <c r="BA736" s="292"/>
      <c r="BB736" s="292"/>
      <c r="BC736" s="292"/>
      <c r="BD736" s="292"/>
      <c r="BE736" s="292"/>
      <c r="BF736" s="292"/>
      <c r="BG736" s="292"/>
      <c r="BH736" s="292"/>
      <c r="BI736" s="292"/>
      <c r="BJ736" s="292"/>
      <c r="BK736" s="292"/>
      <c r="BL736" s="292"/>
      <c r="BM736" s="292"/>
      <c r="BN736" s="292"/>
      <c r="BO736" s="292"/>
      <c r="BP736" s="292"/>
      <c r="BQ736" s="292"/>
      <c r="BR736" s="292"/>
      <c r="BS736" s="292"/>
      <c r="BT736" s="292"/>
      <c r="BU736" s="292"/>
      <c r="BV736" s="292"/>
      <c r="BW736" s="292"/>
    </row>
    <row r="737">
      <c r="A737" s="292"/>
      <c r="B737" s="292" t="str">
        <f>IFERROR(__xludf.DUMMYFUNCTION("""COMPUTED_VALUE"""),"")</f>
        <v/>
      </c>
      <c r="C737" s="292"/>
      <c r="D737" s="292" t="str">
        <f>IFERROR(__xludf.DUMMYFUNCTION("""COMPUTED_VALUE"""),"")</f>
        <v/>
      </c>
      <c r="E737" s="292" t="str">
        <f>IFERROR(__xludf.DUMMYFUNCTION("""COMPUTED_VALUE"""),"")</f>
        <v/>
      </c>
      <c r="F737" s="292"/>
      <c r="G737" s="292" t="str">
        <f>IFERROR(__xludf.DUMMYFUNCTION("""COMPUTED_VALUE"""),"")</f>
        <v/>
      </c>
      <c r="H737" s="292" t="str">
        <f>IFERROR(__xludf.DUMMYFUNCTION("""COMPUTED_VALUE"""),"")</f>
        <v/>
      </c>
      <c r="I737" s="292"/>
      <c r="J737" s="292"/>
      <c r="K737" s="292"/>
      <c r="L737" s="292"/>
      <c r="M737" s="292" t="str">
        <f>IFERROR(__xludf.DUMMYFUNCTION("""COMPUTED_VALUE"""),"")</f>
        <v/>
      </c>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c r="AK737" s="292"/>
      <c r="AL737" s="292"/>
      <c r="AM737" s="292"/>
      <c r="AN737" s="292"/>
      <c r="AO737" s="292"/>
      <c r="AP737" s="292"/>
      <c r="AQ737" s="292"/>
      <c r="AR737" s="292"/>
      <c r="AS737" s="292"/>
      <c r="AT737" s="292"/>
      <c r="AU737" s="292"/>
      <c r="AV737" s="292"/>
      <c r="AW737" s="292"/>
      <c r="AX737" s="292"/>
      <c r="AY737" s="292"/>
      <c r="AZ737" s="292"/>
      <c r="BA737" s="292"/>
      <c r="BB737" s="292"/>
      <c r="BC737" s="292"/>
      <c r="BD737" s="292"/>
      <c r="BE737" s="292"/>
      <c r="BF737" s="292"/>
      <c r="BG737" s="292"/>
      <c r="BH737" s="292"/>
      <c r="BI737" s="292"/>
      <c r="BJ737" s="292"/>
      <c r="BK737" s="292"/>
      <c r="BL737" s="292"/>
      <c r="BM737" s="292"/>
      <c r="BN737" s="292"/>
      <c r="BO737" s="292"/>
      <c r="BP737" s="292"/>
      <c r="BQ737" s="292"/>
      <c r="BR737" s="292"/>
      <c r="BS737" s="292"/>
      <c r="BT737" s="292"/>
      <c r="BU737" s="292"/>
      <c r="BV737" s="292"/>
      <c r="BW737" s="292"/>
    </row>
    <row r="738">
      <c r="A738" s="292"/>
      <c r="B738" s="292" t="str">
        <f>IFERROR(__xludf.DUMMYFUNCTION("""COMPUTED_VALUE"""),"")</f>
        <v/>
      </c>
      <c r="C738" s="292"/>
      <c r="D738" s="292" t="str">
        <f>IFERROR(__xludf.DUMMYFUNCTION("""COMPUTED_VALUE"""),"")</f>
        <v/>
      </c>
      <c r="E738" s="292" t="str">
        <f>IFERROR(__xludf.DUMMYFUNCTION("""COMPUTED_VALUE"""),"")</f>
        <v/>
      </c>
      <c r="F738" s="292"/>
      <c r="G738" s="292" t="str">
        <f>IFERROR(__xludf.DUMMYFUNCTION("""COMPUTED_VALUE"""),"")</f>
        <v/>
      </c>
      <c r="H738" s="292" t="str">
        <f>IFERROR(__xludf.DUMMYFUNCTION("""COMPUTED_VALUE"""),"")</f>
        <v/>
      </c>
      <c r="I738" s="292"/>
      <c r="J738" s="292"/>
      <c r="K738" s="292"/>
      <c r="L738" s="292"/>
      <c r="M738" s="292" t="str">
        <f>IFERROR(__xludf.DUMMYFUNCTION("""COMPUTED_VALUE"""),"")</f>
        <v/>
      </c>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c r="AK738" s="292"/>
      <c r="AL738" s="292"/>
      <c r="AM738" s="292"/>
      <c r="AN738" s="292"/>
      <c r="AO738" s="292"/>
      <c r="AP738" s="292"/>
      <c r="AQ738" s="292"/>
      <c r="AR738" s="292"/>
      <c r="AS738" s="292"/>
      <c r="AT738" s="292"/>
      <c r="AU738" s="292"/>
      <c r="AV738" s="292"/>
      <c r="AW738" s="292"/>
      <c r="AX738" s="292"/>
      <c r="AY738" s="292"/>
      <c r="AZ738" s="292"/>
      <c r="BA738" s="292"/>
      <c r="BB738" s="292"/>
      <c r="BC738" s="292"/>
      <c r="BD738" s="292"/>
      <c r="BE738" s="292"/>
      <c r="BF738" s="292"/>
      <c r="BG738" s="292"/>
      <c r="BH738" s="292"/>
      <c r="BI738" s="292"/>
      <c r="BJ738" s="292"/>
      <c r="BK738" s="292"/>
      <c r="BL738" s="292"/>
      <c r="BM738" s="292"/>
      <c r="BN738" s="292"/>
      <c r="BO738" s="292"/>
      <c r="BP738" s="292"/>
      <c r="BQ738" s="292"/>
      <c r="BR738" s="292"/>
      <c r="BS738" s="292"/>
      <c r="BT738" s="292"/>
      <c r="BU738" s="292"/>
      <c r="BV738" s="292"/>
      <c r="BW738" s="292"/>
    </row>
    <row r="739">
      <c r="A739" s="292"/>
      <c r="B739" s="292" t="str">
        <f>IFERROR(__xludf.DUMMYFUNCTION("""COMPUTED_VALUE"""),"")</f>
        <v/>
      </c>
      <c r="C739" s="292"/>
      <c r="D739" s="292" t="str">
        <f>IFERROR(__xludf.DUMMYFUNCTION("""COMPUTED_VALUE"""),"")</f>
        <v/>
      </c>
      <c r="E739" s="292" t="str">
        <f>IFERROR(__xludf.DUMMYFUNCTION("""COMPUTED_VALUE"""),"")</f>
        <v/>
      </c>
      <c r="F739" s="292"/>
      <c r="G739" s="292" t="str">
        <f>IFERROR(__xludf.DUMMYFUNCTION("""COMPUTED_VALUE"""),"")</f>
        <v/>
      </c>
      <c r="H739" s="292" t="str">
        <f>IFERROR(__xludf.DUMMYFUNCTION("""COMPUTED_VALUE"""),"")</f>
        <v/>
      </c>
      <c r="I739" s="292"/>
      <c r="J739" s="292"/>
      <c r="K739" s="292"/>
      <c r="L739" s="292"/>
      <c r="M739" s="292" t="str">
        <f>IFERROR(__xludf.DUMMYFUNCTION("""COMPUTED_VALUE"""),"")</f>
        <v/>
      </c>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c r="AK739" s="292"/>
      <c r="AL739" s="292"/>
      <c r="AM739" s="292"/>
      <c r="AN739" s="292"/>
      <c r="AO739" s="292"/>
      <c r="AP739" s="292"/>
      <c r="AQ739" s="292"/>
      <c r="AR739" s="292"/>
      <c r="AS739" s="292"/>
      <c r="AT739" s="292"/>
      <c r="AU739" s="292"/>
      <c r="AV739" s="292"/>
      <c r="AW739" s="292"/>
      <c r="AX739" s="292"/>
      <c r="AY739" s="292"/>
      <c r="AZ739" s="292"/>
      <c r="BA739" s="292"/>
      <c r="BB739" s="292"/>
      <c r="BC739" s="292"/>
      <c r="BD739" s="292"/>
      <c r="BE739" s="292"/>
      <c r="BF739" s="292"/>
      <c r="BG739" s="292"/>
      <c r="BH739" s="292"/>
      <c r="BI739" s="292"/>
      <c r="BJ739" s="292"/>
      <c r="BK739" s="292"/>
      <c r="BL739" s="292"/>
      <c r="BM739" s="292"/>
      <c r="BN739" s="292"/>
      <c r="BO739" s="292"/>
      <c r="BP739" s="292"/>
      <c r="BQ739" s="292"/>
      <c r="BR739" s="292"/>
      <c r="BS739" s="292"/>
      <c r="BT739" s="292"/>
      <c r="BU739" s="292"/>
      <c r="BV739" s="292"/>
      <c r="BW739" s="292"/>
    </row>
    <row r="740">
      <c r="A740" s="292"/>
      <c r="B740" s="292" t="str">
        <f>IFERROR(__xludf.DUMMYFUNCTION("""COMPUTED_VALUE"""),"")</f>
        <v/>
      </c>
      <c r="C740" s="292"/>
      <c r="D740" s="292" t="str">
        <f>IFERROR(__xludf.DUMMYFUNCTION("""COMPUTED_VALUE"""),"")</f>
        <v/>
      </c>
      <c r="E740" s="292" t="str">
        <f>IFERROR(__xludf.DUMMYFUNCTION("""COMPUTED_VALUE"""),"")</f>
        <v/>
      </c>
      <c r="F740" s="292"/>
      <c r="G740" s="292" t="str">
        <f>IFERROR(__xludf.DUMMYFUNCTION("""COMPUTED_VALUE"""),"")</f>
        <v/>
      </c>
      <c r="H740" s="292" t="str">
        <f>IFERROR(__xludf.DUMMYFUNCTION("""COMPUTED_VALUE"""),"")</f>
        <v/>
      </c>
      <c r="I740" s="292"/>
      <c r="J740" s="292"/>
      <c r="K740" s="292"/>
      <c r="L740" s="292"/>
      <c r="M740" s="292" t="str">
        <f>IFERROR(__xludf.DUMMYFUNCTION("""COMPUTED_VALUE"""),"")</f>
        <v/>
      </c>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c r="AK740" s="292"/>
      <c r="AL740" s="292"/>
      <c r="AM740" s="292"/>
      <c r="AN740" s="292"/>
      <c r="AO740" s="292"/>
      <c r="AP740" s="292"/>
      <c r="AQ740" s="292"/>
      <c r="AR740" s="292"/>
      <c r="AS740" s="292"/>
      <c r="AT740" s="292"/>
      <c r="AU740" s="292"/>
      <c r="AV740" s="292"/>
      <c r="AW740" s="292"/>
      <c r="AX740" s="292"/>
      <c r="AY740" s="292"/>
      <c r="AZ740" s="292"/>
      <c r="BA740" s="292"/>
      <c r="BB740" s="292"/>
      <c r="BC740" s="292"/>
      <c r="BD740" s="292"/>
      <c r="BE740" s="292"/>
      <c r="BF740" s="292"/>
      <c r="BG740" s="292"/>
      <c r="BH740" s="292"/>
      <c r="BI740" s="292"/>
      <c r="BJ740" s="292"/>
      <c r="BK740" s="292"/>
      <c r="BL740" s="292"/>
      <c r="BM740" s="292"/>
      <c r="BN740" s="292"/>
      <c r="BO740" s="292"/>
      <c r="BP740" s="292"/>
      <c r="BQ740" s="292"/>
      <c r="BR740" s="292"/>
      <c r="BS740" s="292"/>
      <c r="BT740" s="292"/>
      <c r="BU740" s="292"/>
      <c r="BV740" s="292"/>
      <c r="BW740" s="292"/>
    </row>
    <row r="741">
      <c r="A741" s="292"/>
      <c r="B741" s="292" t="str">
        <f>IFERROR(__xludf.DUMMYFUNCTION("""COMPUTED_VALUE"""),"")</f>
        <v/>
      </c>
      <c r="C741" s="292"/>
      <c r="D741" s="292" t="str">
        <f>IFERROR(__xludf.DUMMYFUNCTION("""COMPUTED_VALUE"""),"")</f>
        <v/>
      </c>
      <c r="E741" s="292" t="str">
        <f>IFERROR(__xludf.DUMMYFUNCTION("""COMPUTED_VALUE"""),"")</f>
        <v/>
      </c>
      <c r="F741" s="292"/>
      <c r="G741" s="292" t="str">
        <f>IFERROR(__xludf.DUMMYFUNCTION("""COMPUTED_VALUE"""),"")</f>
        <v/>
      </c>
      <c r="H741" s="292" t="str">
        <f>IFERROR(__xludf.DUMMYFUNCTION("""COMPUTED_VALUE"""),"")</f>
        <v/>
      </c>
      <c r="I741" s="292"/>
      <c r="J741" s="292"/>
      <c r="K741" s="292"/>
      <c r="L741" s="292"/>
      <c r="M741" s="292" t="str">
        <f>IFERROR(__xludf.DUMMYFUNCTION("""COMPUTED_VALUE"""),"")</f>
        <v/>
      </c>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c r="AK741" s="292"/>
      <c r="AL741" s="292"/>
      <c r="AM741" s="292"/>
      <c r="AN741" s="292"/>
      <c r="AO741" s="292"/>
      <c r="AP741" s="292"/>
      <c r="AQ741" s="292"/>
      <c r="AR741" s="292"/>
      <c r="AS741" s="292"/>
      <c r="AT741" s="292"/>
      <c r="AU741" s="292"/>
      <c r="AV741" s="292"/>
      <c r="AW741" s="292"/>
      <c r="AX741" s="292"/>
      <c r="AY741" s="292"/>
      <c r="AZ741" s="292"/>
      <c r="BA741" s="292"/>
      <c r="BB741" s="292"/>
      <c r="BC741" s="292"/>
      <c r="BD741" s="292"/>
      <c r="BE741" s="292"/>
      <c r="BF741" s="292"/>
      <c r="BG741" s="292"/>
      <c r="BH741" s="292"/>
      <c r="BI741" s="292"/>
      <c r="BJ741" s="292"/>
      <c r="BK741" s="292"/>
      <c r="BL741" s="292"/>
      <c r="BM741" s="292"/>
      <c r="BN741" s="292"/>
      <c r="BO741" s="292"/>
      <c r="BP741" s="292"/>
      <c r="BQ741" s="292"/>
      <c r="BR741" s="292"/>
      <c r="BS741" s="292"/>
      <c r="BT741" s="292"/>
      <c r="BU741" s="292"/>
      <c r="BV741" s="292"/>
      <c r="BW741" s="292"/>
    </row>
    <row r="742">
      <c r="A742" s="292"/>
      <c r="B742" s="292" t="str">
        <f>IFERROR(__xludf.DUMMYFUNCTION("""COMPUTED_VALUE"""),"")</f>
        <v/>
      </c>
      <c r="C742" s="292"/>
      <c r="D742" s="292" t="str">
        <f>IFERROR(__xludf.DUMMYFUNCTION("""COMPUTED_VALUE"""),"")</f>
        <v/>
      </c>
      <c r="E742" s="292" t="str">
        <f>IFERROR(__xludf.DUMMYFUNCTION("""COMPUTED_VALUE"""),"")</f>
        <v/>
      </c>
      <c r="F742" s="292"/>
      <c r="G742" s="292" t="str">
        <f>IFERROR(__xludf.DUMMYFUNCTION("""COMPUTED_VALUE"""),"")</f>
        <v/>
      </c>
      <c r="H742" s="292" t="str">
        <f>IFERROR(__xludf.DUMMYFUNCTION("""COMPUTED_VALUE"""),"")</f>
        <v/>
      </c>
      <c r="I742" s="292"/>
      <c r="J742" s="292"/>
      <c r="K742" s="292"/>
      <c r="L742" s="292"/>
      <c r="M742" s="292" t="str">
        <f>IFERROR(__xludf.DUMMYFUNCTION("""COMPUTED_VALUE"""),"")</f>
        <v/>
      </c>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c r="AK742" s="292"/>
      <c r="AL742" s="292"/>
      <c r="AM742" s="292"/>
      <c r="AN742" s="292"/>
      <c r="AO742" s="292"/>
      <c r="AP742" s="292"/>
      <c r="AQ742" s="292"/>
      <c r="AR742" s="292"/>
      <c r="AS742" s="292"/>
      <c r="AT742" s="292"/>
      <c r="AU742" s="292"/>
      <c r="AV742" s="292"/>
      <c r="AW742" s="292"/>
      <c r="AX742" s="292"/>
      <c r="AY742" s="292"/>
      <c r="AZ742" s="292"/>
      <c r="BA742" s="292"/>
      <c r="BB742" s="292"/>
      <c r="BC742" s="292"/>
      <c r="BD742" s="292"/>
      <c r="BE742" s="292"/>
      <c r="BF742" s="292"/>
      <c r="BG742" s="292"/>
      <c r="BH742" s="292"/>
      <c r="BI742" s="292"/>
      <c r="BJ742" s="292"/>
      <c r="BK742" s="292"/>
      <c r="BL742" s="292"/>
      <c r="BM742" s="292"/>
      <c r="BN742" s="292"/>
      <c r="BO742" s="292"/>
      <c r="BP742" s="292"/>
      <c r="BQ742" s="292"/>
      <c r="BR742" s="292"/>
      <c r="BS742" s="292"/>
      <c r="BT742" s="292"/>
      <c r="BU742" s="292"/>
      <c r="BV742" s="292"/>
      <c r="BW742" s="292"/>
    </row>
    <row r="743">
      <c r="A743" s="292"/>
      <c r="B743" s="292" t="str">
        <f>IFERROR(__xludf.DUMMYFUNCTION("""COMPUTED_VALUE"""),"")</f>
        <v/>
      </c>
      <c r="C743" s="292"/>
      <c r="D743" s="292" t="str">
        <f>IFERROR(__xludf.DUMMYFUNCTION("""COMPUTED_VALUE"""),"")</f>
        <v/>
      </c>
      <c r="E743" s="292" t="str">
        <f>IFERROR(__xludf.DUMMYFUNCTION("""COMPUTED_VALUE"""),"")</f>
        <v/>
      </c>
      <c r="F743" s="292"/>
      <c r="G743" s="292" t="str">
        <f>IFERROR(__xludf.DUMMYFUNCTION("""COMPUTED_VALUE"""),"")</f>
        <v/>
      </c>
      <c r="H743" s="292" t="str">
        <f>IFERROR(__xludf.DUMMYFUNCTION("""COMPUTED_VALUE"""),"")</f>
        <v/>
      </c>
      <c r="I743" s="292"/>
      <c r="J743" s="292"/>
      <c r="K743" s="292"/>
      <c r="L743" s="292"/>
      <c r="M743" s="292" t="str">
        <f>IFERROR(__xludf.DUMMYFUNCTION("""COMPUTED_VALUE"""),"")</f>
        <v/>
      </c>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c r="AK743" s="292"/>
      <c r="AL743" s="292"/>
      <c r="AM743" s="292"/>
      <c r="AN743" s="292"/>
      <c r="AO743" s="292"/>
      <c r="AP743" s="292"/>
      <c r="AQ743" s="292"/>
      <c r="AR743" s="292"/>
      <c r="AS743" s="292"/>
      <c r="AT743" s="292"/>
      <c r="AU743" s="292"/>
      <c r="AV743" s="292"/>
      <c r="AW743" s="292"/>
      <c r="AX743" s="292"/>
      <c r="AY743" s="292"/>
      <c r="AZ743" s="292"/>
      <c r="BA743" s="292"/>
      <c r="BB743" s="292"/>
      <c r="BC743" s="292"/>
      <c r="BD743" s="292"/>
      <c r="BE743" s="292"/>
      <c r="BF743" s="292"/>
      <c r="BG743" s="292"/>
      <c r="BH743" s="292"/>
      <c r="BI743" s="292"/>
      <c r="BJ743" s="292"/>
      <c r="BK743" s="292"/>
      <c r="BL743" s="292"/>
      <c r="BM743" s="292"/>
      <c r="BN743" s="292"/>
      <c r="BO743" s="292"/>
      <c r="BP743" s="292"/>
      <c r="BQ743" s="292"/>
      <c r="BR743" s="292"/>
      <c r="BS743" s="292"/>
      <c r="BT743" s="292"/>
      <c r="BU743" s="292"/>
      <c r="BV743" s="292"/>
      <c r="BW743" s="292"/>
    </row>
    <row r="744">
      <c r="A744" s="292"/>
      <c r="B744" s="292" t="str">
        <f>IFERROR(__xludf.DUMMYFUNCTION("""COMPUTED_VALUE"""),"")</f>
        <v/>
      </c>
      <c r="C744" s="292"/>
      <c r="D744" s="292" t="str">
        <f>IFERROR(__xludf.DUMMYFUNCTION("""COMPUTED_VALUE"""),"")</f>
        <v/>
      </c>
      <c r="E744" s="292" t="str">
        <f>IFERROR(__xludf.DUMMYFUNCTION("""COMPUTED_VALUE"""),"")</f>
        <v/>
      </c>
      <c r="F744" s="292"/>
      <c r="G744" s="292" t="str">
        <f>IFERROR(__xludf.DUMMYFUNCTION("""COMPUTED_VALUE"""),"")</f>
        <v/>
      </c>
      <c r="H744" s="292" t="str">
        <f>IFERROR(__xludf.DUMMYFUNCTION("""COMPUTED_VALUE"""),"")</f>
        <v/>
      </c>
      <c r="I744" s="292"/>
      <c r="J744" s="292"/>
      <c r="K744" s="292"/>
      <c r="L744" s="292"/>
      <c r="M744" s="292" t="str">
        <f>IFERROR(__xludf.DUMMYFUNCTION("""COMPUTED_VALUE"""),"")</f>
        <v/>
      </c>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c r="AK744" s="292"/>
      <c r="AL744" s="292"/>
      <c r="AM744" s="292"/>
      <c r="AN744" s="292"/>
      <c r="AO744" s="292"/>
      <c r="AP744" s="292"/>
      <c r="AQ744" s="292"/>
      <c r="AR744" s="292"/>
      <c r="AS744" s="292"/>
      <c r="AT744" s="292"/>
      <c r="AU744" s="292"/>
      <c r="AV744" s="292"/>
      <c r="AW744" s="292"/>
      <c r="AX744" s="292"/>
      <c r="AY744" s="292"/>
      <c r="AZ744" s="292"/>
      <c r="BA744" s="292"/>
      <c r="BB744" s="292"/>
      <c r="BC744" s="292"/>
      <c r="BD744" s="292"/>
      <c r="BE744" s="292"/>
      <c r="BF744" s="292"/>
      <c r="BG744" s="292"/>
      <c r="BH744" s="292"/>
      <c r="BI744" s="292"/>
      <c r="BJ744" s="292"/>
      <c r="BK744" s="292"/>
      <c r="BL744" s="292"/>
      <c r="BM744" s="292"/>
      <c r="BN744" s="292"/>
      <c r="BO744" s="292"/>
      <c r="BP744" s="292"/>
      <c r="BQ744" s="292"/>
      <c r="BR744" s="292"/>
      <c r="BS744" s="292"/>
      <c r="BT744" s="292"/>
      <c r="BU744" s="292"/>
      <c r="BV744" s="292"/>
      <c r="BW744" s="292"/>
    </row>
    <row r="745">
      <c r="A745" s="292"/>
      <c r="B745" s="292" t="str">
        <f>IFERROR(__xludf.DUMMYFUNCTION("""COMPUTED_VALUE"""),"")</f>
        <v/>
      </c>
      <c r="C745" s="292"/>
      <c r="D745" s="292" t="str">
        <f>IFERROR(__xludf.DUMMYFUNCTION("""COMPUTED_VALUE"""),"")</f>
        <v/>
      </c>
      <c r="E745" s="292" t="str">
        <f>IFERROR(__xludf.DUMMYFUNCTION("""COMPUTED_VALUE"""),"")</f>
        <v/>
      </c>
      <c r="F745" s="292"/>
      <c r="G745" s="292" t="str">
        <f>IFERROR(__xludf.DUMMYFUNCTION("""COMPUTED_VALUE"""),"")</f>
        <v/>
      </c>
      <c r="H745" s="292" t="str">
        <f>IFERROR(__xludf.DUMMYFUNCTION("""COMPUTED_VALUE"""),"")</f>
        <v/>
      </c>
      <c r="I745" s="292"/>
      <c r="J745" s="292"/>
      <c r="K745" s="292"/>
      <c r="L745" s="292"/>
      <c r="M745" s="292" t="str">
        <f>IFERROR(__xludf.DUMMYFUNCTION("""COMPUTED_VALUE"""),"")</f>
        <v/>
      </c>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c r="AK745" s="292"/>
      <c r="AL745" s="292"/>
      <c r="AM745" s="292"/>
      <c r="AN745" s="292"/>
      <c r="AO745" s="292"/>
      <c r="AP745" s="292"/>
      <c r="AQ745" s="292"/>
      <c r="AR745" s="292"/>
      <c r="AS745" s="292"/>
      <c r="AT745" s="292"/>
      <c r="AU745" s="292"/>
      <c r="AV745" s="292"/>
      <c r="AW745" s="292"/>
      <c r="AX745" s="292"/>
      <c r="AY745" s="292"/>
      <c r="AZ745" s="292"/>
      <c r="BA745" s="292"/>
      <c r="BB745" s="292"/>
      <c r="BC745" s="292"/>
      <c r="BD745" s="292"/>
      <c r="BE745" s="292"/>
      <c r="BF745" s="292"/>
      <c r="BG745" s="292"/>
      <c r="BH745" s="292"/>
      <c r="BI745" s="292"/>
      <c r="BJ745" s="292"/>
      <c r="BK745" s="292"/>
      <c r="BL745" s="292"/>
      <c r="BM745" s="292"/>
      <c r="BN745" s="292"/>
      <c r="BO745" s="292"/>
      <c r="BP745" s="292"/>
      <c r="BQ745" s="292"/>
      <c r="BR745" s="292"/>
      <c r="BS745" s="292"/>
      <c r="BT745" s="292"/>
      <c r="BU745" s="292"/>
      <c r="BV745" s="292"/>
      <c r="BW745" s="292"/>
    </row>
    <row r="746">
      <c r="A746" s="292"/>
      <c r="B746" s="292" t="str">
        <f>IFERROR(__xludf.DUMMYFUNCTION("""COMPUTED_VALUE"""),"")</f>
        <v/>
      </c>
      <c r="C746" s="292"/>
      <c r="D746" s="292" t="str">
        <f>IFERROR(__xludf.DUMMYFUNCTION("""COMPUTED_VALUE"""),"")</f>
        <v/>
      </c>
      <c r="E746" s="292" t="str">
        <f>IFERROR(__xludf.DUMMYFUNCTION("""COMPUTED_VALUE"""),"")</f>
        <v/>
      </c>
      <c r="F746" s="292"/>
      <c r="G746" s="292" t="str">
        <f>IFERROR(__xludf.DUMMYFUNCTION("""COMPUTED_VALUE"""),"")</f>
        <v/>
      </c>
      <c r="H746" s="292" t="str">
        <f>IFERROR(__xludf.DUMMYFUNCTION("""COMPUTED_VALUE"""),"")</f>
        <v/>
      </c>
      <c r="I746" s="292"/>
      <c r="J746" s="292"/>
      <c r="K746" s="292"/>
      <c r="L746" s="292"/>
      <c r="M746" s="292" t="str">
        <f>IFERROR(__xludf.DUMMYFUNCTION("""COMPUTED_VALUE"""),"")</f>
        <v/>
      </c>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c r="AK746" s="292"/>
      <c r="AL746" s="292"/>
      <c r="AM746" s="292"/>
      <c r="AN746" s="292"/>
      <c r="AO746" s="292"/>
      <c r="AP746" s="292"/>
      <c r="AQ746" s="292"/>
      <c r="AR746" s="292"/>
      <c r="AS746" s="292"/>
      <c r="AT746" s="292"/>
      <c r="AU746" s="292"/>
      <c r="AV746" s="292"/>
      <c r="AW746" s="292"/>
      <c r="AX746" s="292"/>
      <c r="AY746" s="292"/>
      <c r="AZ746" s="292"/>
      <c r="BA746" s="292"/>
      <c r="BB746" s="292"/>
      <c r="BC746" s="292"/>
      <c r="BD746" s="292"/>
      <c r="BE746" s="292"/>
      <c r="BF746" s="292"/>
      <c r="BG746" s="292"/>
      <c r="BH746" s="292"/>
      <c r="BI746" s="292"/>
      <c r="BJ746" s="292"/>
      <c r="BK746" s="292"/>
      <c r="BL746" s="292"/>
      <c r="BM746" s="292"/>
      <c r="BN746" s="292"/>
      <c r="BO746" s="292"/>
      <c r="BP746" s="292"/>
      <c r="BQ746" s="292"/>
      <c r="BR746" s="292"/>
      <c r="BS746" s="292"/>
      <c r="BT746" s="292"/>
      <c r="BU746" s="292"/>
      <c r="BV746" s="292"/>
      <c r="BW746" s="292"/>
    </row>
    <row r="747">
      <c r="A747" s="292"/>
      <c r="B747" s="292" t="str">
        <f>IFERROR(__xludf.DUMMYFUNCTION("""COMPUTED_VALUE"""),"")</f>
        <v/>
      </c>
      <c r="C747" s="292"/>
      <c r="D747" s="292" t="str">
        <f>IFERROR(__xludf.DUMMYFUNCTION("""COMPUTED_VALUE"""),"")</f>
        <v/>
      </c>
      <c r="E747" s="292" t="str">
        <f>IFERROR(__xludf.DUMMYFUNCTION("""COMPUTED_VALUE"""),"")</f>
        <v/>
      </c>
      <c r="F747" s="292"/>
      <c r="G747" s="292" t="str">
        <f>IFERROR(__xludf.DUMMYFUNCTION("""COMPUTED_VALUE"""),"")</f>
        <v/>
      </c>
      <c r="H747" s="292" t="str">
        <f>IFERROR(__xludf.DUMMYFUNCTION("""COMPUTED_VALUE"""),"")</f>
        <v/>
      </c>
      <c r="I747" s="292"/>
      <c r="J747" s="292"/>
      <c r="K747" s="292"/>
      <c r="L747" s="292"/>
      <c r="M747" s="292" t="str">
        <f>IFERROR(__xludf.DUMMYFUNCTION("""COMPUTED_VALUE"""),"")</f>
        <v/>
      </c>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c r="AK747" s="292"/>
      <c r="AL747" s="292"/>
      <c r="AM747" s="292"/>
      <c r="AN747" s="292"/>
      <c r="AO747" s="292"/>
      <c r="AP747" s="292"/>
      <c r="AQ747" s="292"/>
      <c r="AR747" s="292"/>
      <c r="AS747" s="292"/>
      <c r="AT747" s="292"/>
      <c r="AU747" s="292"/>
      <c r="AV747" s="292"/>
      <c r="AW747" s="292"/>
      <c r="AX747" s="292"/>
      <c r="AY747" s="292"/>
      <c r="AZ747" s="292"/>
      <c r="BA747" s="292"/>
      <c r="BB747" s="292"/>
      <c r="BC747" s="292"/>
      <c r="BD747" s="292"/>
      <c r="BE747" s="292"/>
      <c r="BF747" s="292"/>
      <c r="BG747" s="292"/>
      <c r="BH747" s="292"/>
      <c r="BI747" s="292"/>
      <c r="BJ747" s="292"/>
      <c r="BK747" s="292"/>
      <c r="BL747" s="292"/>
      <c r="BM747" s="292"/>
      <c r="BN747" s="292"/>
      <c r="BO747" s="292"/>
      <c r="BP747" s="292"/>
      <c r="BQ747" s="292"/>
      <c r="BR747" s="292"/>
      <c r="BS747" s="292"/>
      <c r="BT747" s="292"/>
      <c r="BU747" s="292"/>
      <c r="BV747" s="292"/>
      <c r="BW747" s="292"/>
    </row>
    <row r="748">
      <c r="A748" s="292"/>
      <c r="B748" s="292" t="str">
        <f>IFERROR(__xludf.DUMMYFUNCTION("""COMPUTED_VALUE"""),"")</f>
        <v/>
      </c>
      <c r="C748" s="292"/>
      <c r="D748" s="292" t="str">
        <f>IFERROR(__xludf.DUMMYFUNCTION("""COMPUTED_VALUE"""),"")</f>
        <v/>
      </c>
      <c r="E748" s="292" t="str">
        <f>IFERROR(__xludf.DUMMYFUNCTION("""COMPUTED_VALUE"""),"")</f>
        <v/>
      </c>
      <c r="F748" s="292"/>
      <c r="G748" s="292" t="str">
        <f>IFERROR(__xludf.DUMMYFUNCTION("""COMPUTED_VALUE"""),"")</f>
        <v/>
      </c>
      <c r="H748" s="292" t="str">
        <f>IFERROR(__xludf.DUMMYFUNCTION("""COMPUTED_VALUE"""),"")</f>
        <v/>
      </c>
      <c r="I748" s="292"/>
      <c r="J748" s="292"/>
      <c r="K748" s="292"/>
      <c r="L748" s="292"/>
      <c r="M748" s="292" t="str">
        <f>IFERROR(__xludf.DUMMYFUNCTION("""COMPUTED_VALUE"""),"")</f>
        <v/>
      </c>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c r="AK748" s="292"/>
      <c r="AL748" s="292"/>
      <c r="AM748" s="292"/>
      <c r="AN748" s="292"/>
      <c r="AO748" s="292"/>
      <c r="AP748" s="292"/>
      <c r="AQ748" s="292"/>
      <c r="AR748" s="292"/>
      <c r="AS748" s="292"/>
      <c r="AT748" s="292"/>
      <c r="AU748" s="292"/>
      <c r="AV748" s="292"/>
      <c r="AW748" s="292"/>
      <c r="AX748" s="292"/>
      <c r="AY748" s="292"/>
      <c r="AZ748" s="292"/>
      <c r="BA748" s="292"/>
      <c r="BB748" s="292"/>
      <c r="BC748" s="292"/>
      <c r="BD748" s="292"/>
      <c r="BE748" s="292"/>
      <c r="BF748" s="292"/>
      <c r="BG748" s="292"/>
      <c r="BH748" s="292"/>
      <c r="BI748" s="292"/>
      <c r="BJ748" s="292"/>
      <c r="BK748" s="292"/>
      <c r="BL748" s="292"/>
      <c r="BM748" s="292"/>
      <c r="BN748" s="292"/>
      <c r="BO748" s="292"/>
      <c r="BP748" s="292"/>
      <c r="BQ748" s="292"/>
      <c r="BR748" s="292"/>
      <c r="BS748" s="292"/>
      <c r="BT748" s="292"/>
      <c r="BU748" s="292"/>
      <c r="BV748" s="292"/>
      <c r="BW748" s="292"/>
    </row>
    <row r="749">
      <c r="A749" s="292"/>
      <c r="B749" s="292" t="str">
        <f>IFERROR(__xludf.DUMMYFUNCTION("""COMPUTED_VALUE"""),"")</f>
        <v/>
      </c>
      <c r="C749" s="292"/>
      <c r="D749" s="292" t="str">
        <f>IFERROR(__xludf.DUMMYFUNCTION("""COMPUTED_VALUE"""),"")</f>
        <v/>
      </c>
      <c r="E749" s="292" t="str">
        <f>IFERROR(__xludf.DUMMYFUNCTION("""COMPUTED_VALUE"""),"")</f>
        <v/>
      </c>
      <c r="F749" s="292"/>
      <c r="G749" s="292" t="str">
        <f>IFERROR(__xludf.DUMMYFUNCTION("""COMPUTED_VALUE"""),"")</f>
        <v/>
      </c>
      <c r="H749" s="292" t="str">
        <f>IFERROR(__xludf.DUMMYFUNCTION("""COMPUTED_VALUE"""),"")</f>
        <v/>
      </c>
      <c r="I749" s="292"/>
      <c r="J749" s="292"/>
      <c r="K749" s="292"/>
      <c r="L749" s="292"/>
      <c r="M749" s="292" t="str">
        <f>IFERROR(__xludf.DUMMYFUNCTION("""COMPUTED_VALUE"""),"")</f>
        <v/>
      </c>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c r="AK749" s="292"/>
      <c r="AL749" s="292"/>
      <c r="AM749" s="292"/>
      <c r="AN749" s="292"/>
      <c r="AO749" s="292"/>
      <c r="AP749" s="292"/>
      <c r="AQ749" s="292"/>
      <c r="AR749" s="292"/>
      <c r="AS749" s="292"/>
      <c r="AT749" s="292"/>
      <c r="AU749" s="292"/>
      <c r="AV749" s="292"/>
      <c r="AW749" s="292"/>
      <c r="AX749" s="292"/>
      <c r="AY749" s="292"/>
      <c r="AZ749" s="292"/>
      <c r="BA749" s="292"/>
      <c r="BB749" s="292"/>
      <c r="BC749" s="292"/>
      <c r="BD749" s="292"/>
      <c r="BE749" s="292"/>
      <c r="BF749" s="292"/>
      <c r="BG749" s="292"/>
      <c r="BH749" s="292"/>
      <c r="BI749" s="292"/>
      <c r="BJ749" s="292"/>
      <c r="BK749" s="292"/>
      <c r="BL749" s="292"/>
      <c r="BM749" s="292"/>
      <c r="BN749" s="292"/>
      <c r="BO749" s="292"/>
      <c r="BP749" s="292"/>
      <c r="BQ749" s="292"/>
      <c r="BR749" s="292"/>
      <c r="BS749" s="292"/>
      <c r="BT749" s="292"/>
      <c r="BU749" s="292"/>
      <c r="BV749" s="292"/>
      <c r="BW749" s="292"/>
    </row>
    <row r="750">
      <c r="A750" s="292"/>
      <c r="B750" s="292" t="str">
        <f>IFERROR(__xludf.DUMMYFUNCTION("""COMPUTED_VALUE"""),"")</f>
        <v/>
      </c>
      <c r="C750" s="292"/>
      <c r="D750" s="292" t="str">
        <f>IFERROR(__xludf.DUMMYFUNCTION("""COMPUTED_VALUE"""),"")</f>
        <v/>
      </c>
      <c r="E750" s="292" t="str">
        <f>IFERROR(__xludf.DUMMYFUNCTION("""COMPUTED_VALUE"""),"")</f>
        <v/>
      </c>
      <c r="F750" s="292"/>
      <c r="G750" s="292" t="str">
        <f>IFERROR(__xludf.DUMMYFUNCTION("""COMPUTED_VALUE"""),"")</f>
        <v/>
      </c>
      <c r="H750" s="292" t="str">
        <f>IFERROR(__xludf.DUMMYFUNCTION("""COMPUTED_VALUE"""),"")</f>
        <v/>
      </c>
      <c r="I750" s="292"/>
      <c r="J750" s="292"/>
      <c r="K750" s="292"/>
      <c r="L750" s="292"/>
      <c r="M750" s="292" t="str">
        <f>IFERROR(__xludf.DUMMYFUNCTION("""COMPUTED_VALUE"""),"")</f>
        <v/>
      </c>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c r="AK750" s="292"/>
      <c r="AL750" s="292"/>
      <c r="AM750" s="292"/>
      <c r="AN750" s="292"/>
      <c r="AO750" s="292"/>
      <c r="AP750" s="292"/>
      <c r="AQ750" s="292"/>
      <c r="AR750" s="292"/>
      <c r="AS750" s="292"/>
      <c r="AT750" s="292"/>
      <c r="AU750" s="292"/>
      <c r="AV750" s="292"/>
      <c r="AW750" s="292"/>
      <c r="AX750" s="292"/>
      <c r="AY750" s="292"/>
      <c r="AZ750" s="292"/>
      <c r="BA750" s="292"/>
      <c r="BB750" s="292"/>
      <c r="BC750" s="292"/>
      <c r="BD750" s="292"/>
      <c r="BE750" s="292"/>
      <c r="BF750" s="292"/>
      <c r="BG750" s="292"/>
      <c r="BH750" s="292"/>
      <c r="BI750" s="292"/>
      <c r="BJ750" s="292"/>
      <c r="BK750" s="292"/>
      <c r="BL750" s="292"/>
      <c r="BM750" s="292"/>
      <c r="BN750" s="292"/>
      <c r="BO750" s="292"/>
      <c r="BP750" s="292"/>
      <c r="BQ750" s="292"/>
      <c r="BR750" s="292"/>
      <c r="BS750" s="292"/>
      <c r="BT750" s="292"/>
      <c r="BU750" s="292"/>
      <c r="BV750" s="292"/>
      <c r="BW750" s="292"/>
    </row>
    <row r="751">
      <c r="A751" s="292"/>
      <c r="B751" s="292" t="str">
        <f>IFERROR(__xludf.DUMMYFUNCTION("""COMPUTED_VALUE"""),"")</f>
        <v/>
      </c>
      <c r="C751" s="292"/>
      <c r="D751" s="292" t="str">
        <f>IFERROR(__xludf.DUMMYFUNCTION("""COMPUTED_VALUE"""),"")</f>
        <v/>
      </c>
      <c r="E751" s="292" t="str">
        <f>IFERROR(__xludf.DUMMYFUNCTION("""COMPUTED_VALUE"""),"")</f>
        <v/>
      </c>
      <c r="F751" s="292"/>
      <c r="G751" s="292" t="str">
        <f>IFERROR(__xludf.DUMMYFUNCTION("""COMPUTED_VALUE"""),"")</f>
        <v/>
      </c>
      <c r="H751" s="292" t="str">
        <f>IFERROR(__xludf.DUMMYFUNCTION("""COMPUTED_VALUE"""),"")</f>
        <v/>
      </c>
      <c r="I751" s="292"/>
      <c r="J751" s="292"/>
      <c r="K751" s="292"/>
      <c r="L751" s="292"/>
      <c r="M751" s="292" t="str">
        <f>IFERROR(__xludf.DUMMYFUNCTION("""COMPUTED_VALUE"""),"")</f>
        <v/>
      </c>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c r="AK751" s="292"/>
      <c r="AL751" s="292"/>
      <c r="AM751" s="292"/>
      <c r="AN751" s="292"/>
      <c r="AO751" s="292"/>
      <c r="AP751" s="292"/>
      <c r="AQ751" s="292"/>
      <c r="AR751" s="292"/>
      <c r="AS751" s="292"/>
      <c r="AT751" s="292"/>
      <c r="AU751" s="292"/>
      <c r="AV751" s="292"/>
      <c r="AW751" s="292"/>
      <c r="AX751" s="292"/>
      <c r="AY751" s="292"/>
      <c r="AZ751" s="292"/>
      <c r="BA751" s="292"/>
      <c r="BB751" s="292"/>
      <c r="BC751" s="292"/>
      <c r="BD751" s="292"/>
      <c r="BE751" s="292"/>
      <c r="BF751" s="292"/>
      <c r="BG751" s="292"/>
      <c r="BH751" s="292"/>
      <c r="BI751" s="292"/>
      <c r="BJ751" s="292"/>
      <c r="BK751" s="292"/>
      <c r="BL751" s="292"/>
      <c r="BM751" s="292"/>
      <c r="BN751" s="292"/>
      <c r="BO751" s="292"/>
      <c r="BP751" s="292"/>
      <c r="BQ751" s="292"/>
      <c r="BR751" s="292"/>
      <c r="BS751" s="292"/>
      <c r="BT751" s="292"/>
      <c r="BU751" s="292"/>
      <c r="BV751" s="292"/>
      <c r="BW751" s="292"/>
    </row>
    <row r="752">
      <c r="A752" s="292"/>
      <c r="B752" s="292" t="str">
        <f>IFERROR(__xludf.DUMMYFUNCTION("""COMPUTED_VALUE"""),"")</f>
        <v/>
      </c>
      <c r="C752" s="292"/>
      <c r="D752" s="292" t="str">
        <f>IFERROR(__xludf.DUMMYFUNCTION("""COMPUTED_VALUE"""),"")</f>
        <v/>
      </c>
      <c r="E752" s="292" t="str">
        <f>IFERROR(__xludf.DUMMYFUNCTION("""COMPUTED_VALUE"""),"")</f>
        <v/>
      </c>
      <c r="F752" s="292"/>
      <c r="G752" s="292" t="str">
        <f>IFERROR(__xludf.DUMMYFUNCTION("""COMPUTED_VALUE"""),"")</f>
        <v/>
      </c>
      <c r="H752" s="292" t="str">
        <f>IFERROR(__xludf.DUMMYFUNCTION("""COMPUTED_VALUE"""),"")</f>
        <v/>
      </c>
      <c r="I752" s="292"/>
      <c r="J752" s="292"/>
      <c r="K752" s="292"/>
      <c r="L752" s="292"/>
      <c r="M752" s="292" t="str">
        <f>IFERROR(__xludf.DUMMYFUNCTION("""COMPUTED_VALUE"""),"")</f>
        <v/>
      </c>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c r="AK752" s="292"/>
      <c r="AL752" s="292"/>
      <c r="AM752" s="292"/>
      <c r="AN752" s="292"/>
      <c r="AO752" s="292"/>
      <c r="AP752" s="292"/>
      <c r="AQ752" s="292"/>
      <c r="AR752" s="292"/>
      <c r="AS752" s="292"/>
      <c r="AT752" s="292"/>
      <c r="AU752" s="292"/>
      <c r="AV752" s="292"/>
      <c r="AW752" s="292"/>
      <c r="AX752" s="292"/>
      <c r="AY752" s="292"/>
      <c r="AZ752" s="292"/>
      <c r="BA752" s="292"/>
      <c r="BB752" s="292"/>
      <c r="BC752" s="292"/>
      <c r="BD752" s="292"/>
      <c r="BE752" s="292"/>
      <c r="BF752" s="292"/>
      <c r="BG752" s="292"/>
      <c r="BH752" s="292"/>
      <c r="BI752" s="292"/>
      <c r="BJ752" s="292"/>
      <c r="BK752" s="292"/>
      <c r="BL752" s="292"/>
      <c r="BM752" s="292"/>
      <c r="BN752" s="292"/>
      <c r="BO752" s="292"/>
      <c r="BP752" s="292"/>
      <c r="BQ752" s="292"/>
      <c r="BR752" s="292"/>
      <c r="BS752" s="292"/>
      <c r="BT752" s="292"/>
      <c r="BU752" s="292"/>
      <c r="BV752" s="292"/>
      <c r="BW752" s="292"/>
    </row>
    <row r="753">
      <c r="A753" s="292"/>
      <c r="B753" s="292" t="str">
        <f>IFERROR(__xludf.DUMMYFUNCTION("""COMPUTED_VALUE"""),"")</f>
        <v/>
      </c>
      <c r="C753" s="292"/>
      <c r="D753" s="292" t="str">
        <f>IFERROR(__xludf.DUMMYFUNCTION("""COMPUTED_VALUE"""),"")</f>
        <v/>
      </c>
      <c r="E753" s="292" t="str">
        <f>IFERROR(__xludf.DUMMYFUNCTION("""COMPUTED_VALUE"""),"")</f>
        <v/>
      </c>
      <c r="F753" s="292"/>
      <c r="G753" s="292" t="str">
        <f>IFERROR(__xludf.DUMMYFUNCTION("""COMPUTED_VALUE"""),"")</f>
        <v/>
      </c>
      <c r="H753" s="292" t="str">
        <f>IFERROR(__xludf.DUMMYFUNCTION("""COMPUTED_VALUE"""),"")</f>
        <v/>
      </c>
      <c r="I753" s="292"/>
      <c r="J753" s="292"/>
      <c r="K753" s="292"/>
      <c r="L753" s="292"/>
      <c r="M753" s="292" t="str">
        <f>IFERROR(__xludf.DUMMYFUNCTION("""COMPUTED_VALUE"""),"")</f>
        <v/>
      </c>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c r="AK753" s="292"/>
      <c r="AL753" s="292"/>
      <c r="AM753" s="292"/>
      <c r="AN753" s="292"/>
      <c r="AO753" s="292"/>
      <c r="AP753" s="292"/>
      <c r="AQ753" s="292"/>
      <c r="AR753" s="292"/>
      <c r="AS753" s="292"/>
      <c r="AT753" s="292"/>
      <c r="AU753" s="292"/>
      <c r="AV753" s="292"/>
      <c r="AW753" s="292"/>
      <c r="AX753" s="292"/>
      <c r="AY753" s="292"/>
      <c r="AZ753" s="292"/>
      <c r="BA753" s="292"/>
      <c r="BB753" s="292"/>
      <c r="BC753" s="292"/>
      <c r="BD753" s="292"/>
      <c r="BE753" s="292"/>
      <c r="BF753" s="292"/>
      <c r="BG753" s="292"/>
      <c r="BH753" s="292"/>
      <c r="BI753" s="292"/>
      <c r="BJ753" s="292"/>
      <c r="BK753" s="292"/>
      <c r="BL753" s="292"/>
      <c r="BM753" s="292"/>
      <c r="BN753" s="292"/>
      <c r="BO753" s="292"/>
      <c r="BP753" s="292"/>
      <c r="BQ753" s="292"/>
      <c r="BR753" s="292"/>
      <c r="BS753" s="292"/>
      <c r="BT753" s="292"/>
      <c r="BU753" s="292"/>
      <c r="BV753" s="292"/>
      <c r="BW753" s="292"/>
    </row>
    <row r="754">
      <c r="A754" s="292"/>
      <c r="B754" s="292" t="str">
        <f>IFERROR(__xludf.DUMMYFUNCTION("""COMPUTED_VALUE"""),"")</f>
        <v/>
      </c>
      <c r="C754" s="292"/>
      <c r="D754" s="292" t="str">
        <f>IFERROR(__xludf.DUMMYFUNCTION("""COMPUTED_VALUE"""),"")</f>
        <v/>
      </c>
      <c r="E754" s="292" t="str">
        <f>IFERROR(__xludf.DUMMYFUNCTION("""COMPUTED_VALUE"""),"")</f>
        <v/>
      </c>
      <c r="F754" s="292"/>
      <c r="G754" s="292" t="str">
        <f>IFERROR(__xludf.DUMMYFUNCTION("""COMPUTED_VALUE"""),"")</f>
        <v/>
      </c>
      <c r="H754" s="292" t="str">
        <f>IFERROR(__xludf.DUMMYFUNCTION("""COMPUTED_VALUE"""),"")</f>
        <v/>
      </c>
      <c r="I754" s="292"/>
      <c r="J754" s="292"/>
      <c r="K754" s="292"/>
      <c r="L754" s="292"/>
      <c r="M754" s="292" t="str">
        <f>IFERROR(__xludf.DUMMYFUNCTION("""COMPUTED_VALUE"""),"")</f>
        <v/>
      </c>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c r="AK754" s="292"/>
      <c r="AL754" s="292"/>
      <c r="AM754" s="292"/>
      <c r="AN754" s="292"/>
      <c r="AO754" s="292"/>
      <c r="AP754" s="292"/>
      <c r="AQ754" s="292"/>
      <c r="AR754" s="292"/>
      <c r="AS754" s="292"/>
      <c r="AT754" s="292"/>
      <c r="AU754" s="292"/>
      <c r="AV754" s="292"/>
      <c r="AW754" s="292"/>
      <c r="AX754" s="292"/>
      <c r="AY754" s="292"/>
      <c r="AZ754" s="292"/>
      <c r="BA754" s="292"/>
      <c r="BB754" s="292"/>
      <c r="BC754" s="292"/>
      <c r="BD754" s="292"/>
      <c r="BE754" s="292"/>
      <c r="BF754" s="292"/>
      <c r="BG754" s="292"/>
      <c r="BH754" s="292"/>
      <c r="BI754" s="292"/>
      <c r="BJ754" s="292"/>
      <c r="BK754" s="292"/>
      <c r="BL754" s="292"/>
      <c r="BM754" s="292"/>
      <c r="BN754" s="292"/>
      <c r="BO754" s="292"/>
      <c r="BP754" s="292"/>
      <c r="BQ754" s="292"/>
      <c r="BR754" s="292"/>
      <c r="BS754" s="292"/>
      <c r="BT754" s="292"/>
      <c r="BU754" s="292"/>
      <c r="BV754" s="292"/>
      <c r="BW754" s="292"/>
    </row>
    <row r="755">
      <c r="A755" s="292"/>
      <c r="B755" s="292" t="str">
        <f>IFERROR(__xludf.DUMMYFUNCTION("""COMPUTED_VALUE"""),"")</f>
        <v/>
      </c>
      <c r="C755" s="292"/>
      <c r="D755" s="292" t="str">
        <f>IFERROR(__xludf.DUMMYFUNCTION("""COMPUTED_VALUE"""),"")</f>
        <v/>
      </c>
      <c r="E755" s="292" t="str">
        <f>IFERROR(__xludf.DUMMYFUNCTION("""COMPUTED_VALUE"""),"")</f>
        <v/>
      </c>
      <c r="F755" s="292"/>
      <c r="G755" s="292" t="str">
        <f>IFERROR(__xludf.DUMMYFUNCTION("""COMPUTED_VALUE"""),"")</f>
        <v/>
      </c>
      <c r="H755" s="292" t="str">
        <f>IFERROR(__xludf.DUMMYFUNCTION("""COMPUTED_VALUE"""),"")</f>
        <v/>
      </c>
      <c r="I755" s="292"/>
      <c r="J755" s="292"/>
      <c r="K755" s="292"/>
      <c r="L755" s="292"/>
      <c r="M755" s="292" t="str">
        <f>IFERROR(__xludf.DUMMYFUNCTION("""COMPUTED_VALUE"""),"")</f>
        <v/>
      </c>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c r="AK755" s="292"/>
      <c r="AL755" s="292"/>
      <c r="AM755" s="292"/>
      <c r="AN755" s="292"/>
      <c r="AO755" s="292"/>
      <c r="AP755" s="292"/>
      <c r="AQ755" s="292"/>
      <c r="AR755" s="292"/>
      <c r="AS755" s="292"/>
      <c r="AT755" s="292"/>
      <c r="AU755" s="292"/>
      <c r="AV755" s="292"/>
      <c r="AW755" s="292"/>
      <c r="AX755" s="292"/>
      <c r="AY755" s="292"/>
      <c r="AZ755" s="292"/>
      <c r="BA755" s="292"/>
      <c r="BB755" s="292"/>
      <c r="BC755" s="292"/>
      <c r="BD755" s="292"/>
      <c r="BE755" s="292"/>
      <c r="BF755" s="292"/>
      <c r="BG755" s="292"/>
      <c r="BH755" s="292"/>
      <c r="BI755" s="292"/>
      <c r="BJ755" s="292"/>
      <c r="BK755" s="292"/>
      <c r="BL755" s="292"/>
      <c r="BM755" s="292"/>
      <c r="BN755" s="292"/>
      <c r="BO755" s="292"/>
      <c r="BP755" s="292"/>
      <c r="BQ755" s="292"/>
      <c r="BR755" s="292"/>
      <c r="BS755" s="292"/>
      <c r="BT755" s="292"/>
      <c r="BU755" s="292"/>
      <c r="BV755" s="292"/>
      <c r="BW755" s="292"/>
    </row>
    <row r="756">
      <c r="A756" s="292"/>
      <c r="B756" s="292" t="str">
        <f>IFERROR(__xludf.DUMMYFUNCTION("""COMPUTED_VALUE"""),"")</f>
        <v/>
      </c>
      <c r="C756" s="292"/>
      <c r="D756" s="292" t="str">
        <f>IFERROR(__xludf.DUMMYFUNCTION("""COMPUTED_VALUE"""),"")</f>
        <v/>
      </c>
      <c r="E756" s="292" t="str">
        <f>IFERROR(__xludf.DUMMYFUNCTION("""COMPUTED_VALUE"""),"")</f>
        <v/>
      </c>
      <c r="F756" s="292"/>
      <c r="G756" s="292" t="str">
        <f>IFERROR(__xludf.DUMMYFUNCTION("""COMPUTED_VALUE"""),"")</f>
        <v/>
      </c>
      <c r="H756" s="292" t="str">
        <f>IFERROR(__xludf.DUMMYFUNCTION("""COMPUTED_VALUE"""),"")</f>
        <v/>
      </c>
      <c r="I756" s="292"/>
      <c r="J756" s="292"/>
      <c r="K756" s="292"/>
      <c r="L756" s="292"/>
      <c r="M756" s="292" t="str">
        <f>IFERROR(__xludf.DUMMYFUNCTION("""COMPUTED_VALUE"""),"")</f>
        <v/>
      </c>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c r="AK756" s="292"/>
      <c r="AL756" s="292"/>
      <c r="AM756" s="292"/>
      <c r="AN756" s="292"/>
      <c r="AO756" s="292"/>
      <c r="AP756" s="292"/>
      <c r="AQ756" s="292"/>
      <c r="AR756" s="292"/>
      <c r="AS756" s="292"/>
      <c r="AT756" s="292"/>
      <c r="AU756" s="292"/>
      <c r="AV756" s="292"/>
      <c r="AW756" s="292"/>
      <c r="AX756" s="292"/>
      <c r="AY756" s="292"/>
      <c r="AZ756" s="292"/>
      <c r="BA756" s="292"/>
      <c r="BB756" s="292"/>
      <c r="BC756" s="292"/>
      <c r="BD756" s="292"/>
      <c r="BE756" s="292"/>
      <c r="BF756" s="292"/>
      <c r="BG756" s="292"/>
      <c r="BH756" s="292"/>
      <c r="BI756" s="292"/>
      <c r="BJ756" s="292"/>
      <c r="BK756" s="292"/>
      <c r="BL756" s="292"/>
      <c r="BM756" s="292"/>
      <c r="BN756" s="292"/>
      <c r="BO756" s="292"/>
      <c r="BP756" s="292"/>
      <c r="BQ756" s="292"/>
      <c r="BR756" s="292"/>
      <c r="BS756" s="292"/>
      <c r="BT756" s="292"/>
      <c r="BU756" s="292"/>
      <c r="BV756" s="292"/>
      <c r="BW756" s="292"/>
    </row>
    <row r="757">
      <c r="A757" s="292"/>
      <c r="B757" s="292" t="str">
        <f>IFERROR(__xludf.DUMMYFUNCTION("""COMPUTED_VALUE"""),"")</f>
        <v/>
      </c>
      <c r="C757" s="292"/>
      <c r="D757" s="292" t="str">
        <f>IFERROR(__xludf.DUMMYFUNCTION("""COMPUTED_VALUE"""),"")</f>
        <v/>
      </c>
      <c r="E757" s="292" t="str">
        <f>IFERROR(__xludf.DUMMYFUNCTION("""COMPUTED_VALUE"""),"")</f>
        <v/>
      </c>
      <c r="F757" s="292"/>
      <c r="G757" s="292" t="str">
        <f>IFERROR(__xludf.DUMMYFUNCTION("""COMPUTED_VALUE"""),"")</f>
        <v/>
      </c>
      <c r="H757" s="292" t="str">
        <f>IFERROR(__xludf.DUMMYFUNCTION("""COMPUTED_VALUE"""),"")</f>
        <v/>
      </c>
      <c r="I757" s="292"/>
      <c r="J757" s="292"/>
      <c r="K757" s="292"/>
      <c r="L757" s="292"/>
      <c r="M757" s="292" t="str">
        <f>IFERROR(__xludf.DUMMYFUNCTION("""COMPUTED_VALUE"""),"")</f>
        <v/>
      </c>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c r="AK757" s="292"/>
      <c r="AL757" s="292"/>
      <c r="AM757" s="292"/>
      <c r="AN757" s="292"/>
      <c r="AO757" s="292"/>
      <c r="AP757" s="292"/>
      <c r="AQ757" s="292"/>
      <c r="AR757" s="292"/>
      <c r="AS757" s="292"/>
      <c r="AT757" s="292"/>
      <c r="AU757" s="292"/>
      <c r="AV757" s="292"/>
      <c r="AW757" s="292"/>
      <c r="AX757" s="292"/>
      <c r="AY757" s="292"/>
      <c r="AZ757" s="292"/>
      <c r="BA757" s="292"/>
      <c r="BB757" s="292"/>
      <c r="BC757" s="292"/>
      <c r="BD757" s="292"/>
      <c r="BE757" s="292"/>
      <c r="BF757" s="292"/>
      <c r="BG757" s="292"/>
      <c r="BH757" s="292"/>
      <c r="BI757" s="292"/>
      <c r="BJ757" s="292"/>
      <c r="BK757" s="292"/>
      <c r="BL757" s="292"/>
      <c r="BM757" s="292"/>
      <c r="BN757" s="292"/>
      <c r="BO757" s="292"/>
      <c r="BP757" s="292"/>
      <c r="BQ757" s="292"/>
      <c r="BR757" s="292"/>
      <c r="BS757" s="292"/>
      <c r="BT757" s="292"/>
      <c r="BU757" s="292"/>
      <c r="BV757" s="292"/>
      <c r="BW757" s="292"/>
    </row>
    <row r="758">
      <c r="A758" s="292"/>
      <c r="B758" s="292" t="str">
        <f>IFERROR(__xludf.DUMMYFUNCTION("""COMPUTED_VALUE"""),"")</f>
        <v/>
      </c>
      <c r="C758" s="292"/>
      <c r="D758" s="292" t="str">
        <f>IFERROR(__xludf.DUMMYFUNCTION("""COMPUTED_VALUE"""),"")</f>
        <v/>
      </c>
      <c r="E758" s="292" t="str">
        <f>IFERROR(__xludf.DUMMYFUNCTION("""COMPUTED_VALUE"""),"")</f>
        <v/>
      </c>
      <c r="F758" s="292"/>
      <c r="G758" s="292" t="str">
        <f>IFERROR(__xludf.DUMMYFUNCTION("""COMPUTED_VALUE"""),"")</f>
        <v/>
      </c>
      <c r="H758" s="292" t="str">
        <f>IFERROR(__xludf.DUMMYFUNCTION("""COMPUTED_VALUE"""),"")</f>
        <v/>
      </c>
      <c r="I758" s="292"/>
      <c r="J758" s="292"/>
      <c r="K758" s="292"/>
      <c r="L758" s="292"/>
      <c r="M758" s="292" t="str">
        <f>IFERROR(__xludf.DUMMYFUNCTION("""COMPUTED_VALUE"""),"")</f>
        <v/>
      </c>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c r="AK758" s="292"/>
      <c r="AL758" s="292"/>
      <c r="AM758" s="292"/>
      <c r="AN758" s="292"/>
      <c r="AO758" s="292"/>
      <c r="AP758" s="292"/>
      <c r="AQ758" s="292"/>
      <c r="AR758" s="292"/>
      <c r="AS758" s="292"/>
      <c r="AT758" s="292"/>
      <c r="AU758" s="292"/>
      <c r="AV758" s="292"/>
      <c r="AW758" s="292"/>
      <c r="AX758" s="292"/>
      <c r="AY758" s="292"/>
      <c r="AZ758" s="292"/>
      <c r="BA758" s="292"/>
      <c r="BB758" s="292"/>
      <c r="BC758" s="292"/>
      <c r="BD758" s="292"/>
      <c r="BE758" s="292"/>
      <c r="BF758" s="292"/>
      <c r="BG758" s="292"/>
      <c r="BH758" s="292"/>
      <c r="BI758" s="292"/>
      <c r="BJ758" s="292"/>
      <c r="BK758" s="292"/>
      <c r="BL758" s="292"/>
      <c r="BM758" s="292"/>
      <c r="BN758" s="292"/>
      <c r="BO758" s="292"/>
      <c r="BP758" s="292"/>
      <c r="BQ758" s="292"/>
      <c r="BR758" s="292"/>
      <c r="BS758" s="292"/>
      <c r="BT758" s="292"/>
      <c r="BU758" s="292"/>
      <c r="BV758" s="292"/>
      <c r="BW758" s="292"/>
    </row>
    <row r="759">
      <c r="A759" s="292"/>
      <c r="B759" s="292" t="str">
        <f>IFERROR(__xludf.DUMMYFUNCTION("""COMPUTED_VALUE"""),"")</f>
        <v/>
      </c>
      <c r="C759" s="292"/>
      <c r="D759" s="292" t="str">
        <f>IFERROR(__xludf.DUMMYFUNCTION("""COMPUTED_VALUE"""),"")</f>
        <v/>
      </c>
      <c r="E759" s="292" t="str">
        <f>IFERROR(__xludf.DUMMYFUNCTION("""COMPUTED_VALUE"""),"")</f>
        <v/>
      </c>
      <c r="F759" s="292"/>
      <c r="G759" s="292" t="str">
        <f>IFERROR(__xludf.DUMMYFUNCTION("""COMPUTED_VALUE"""),"")</f>
        <v/>
      </c>
      <c r="H759" s="292" t="str">
        <f>IFERROR(__xludf.DUMMYFUNCTION("""COMPUTED_VALUE"""),"")</f>
        <v/>
      </c>
      <c r="I759" s="292"/>
      <c r="J759" s="292"/>
      <c r="K759" s="292"/>
      <c r="L759" s="292"/>
      <c r="M759" s="292" t="str">
        <f>IFERROR(__xludf.DUMMYFUNCTION("""COMPUTED_VALUE"""),"")</f>
        <v/>
      </c>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c r="AK759" s="292"/>
      <c r="AL759" s="292"/>
      <c r="AM759" s="292"/>
      <c r="AN759" s="292"/>
      <c r="AO759" s="292"/>
      <c r="AP759" s="292"/>
      <c r="AQ759" s="292"/>
      <c r="AR759" s="292"/>
      <c r="AS759" s="292"/>
      <c r="AT759" s="292"/>
      <c r="AU759" s="292"/>
      <c r="AV759" s="292"/>
      <c r="AW759" s="292"/>
      <c r="AX759" s="292"/>
      <c r="AY759" s="292"/>
      <c r="AZ759" s="292"/>
      <c r="BA759" s="292"/>
      <c r="BB759" s="292"/>
      <c r="BC759" s="292"/>
      <c r="BD759" s="292"/>
      <c r="BE759" s="292"/>
      <c r="BF759" s="292"/>
      <c r="BG759" s="292"/>
      <c r="BH759" s="292"/>
      <c r="BI759" s="292"/>
      <c r="BJ759" s="292"/>
      <c r="BK759" s="292"/>
      <c r="BL759" s="292"/>
      <c r="BM759" s="292"/>
      <c r="BN759" s="292"/>
      <c r="BO759" s="292"/>
      <c r="BP759" s="292"/>
      <c r="BQ759" s="292"/>
      <c r="BR759" s="292"/>
      <c r="BS759" s="292"/>
      <c r="BT759" s="292"/>
      <c r="BU759" s="292"/>
      <c r="BV759" s="292"/>
      <c r="BW759" s="292"/>
    </row>
    <row r="760">
      <c r="A760" s="292"/>
      <c r="B760" s="292" t="str">
        <f>IFERROR(__xludf.DUMMYFUNCTION("""COMPUTED_VALUE"""),"")</f>
        <v/>
      </c>
      <c r="C760" s="292"/>
      <c r="D760" s="292" t="str">
        <f>IFERROR(__xludf.DUMMYFUNCTION("""COMPUTED_VALUE"""),"")</f>
        <v/>
      </c>
      <c r="E760" s="292" t="str">
        <f>IFERROR(__xludf.DUMMYFUNCTION("""COMPUTED_VALUE"""),"")</f>
        <v/>
      </c>
      <c r="F760" s="292"/>
      <c r="G760" s="292" t="str">
        <f>IFERROR(__xludf.DUMMYFUNCTION("""COMPUTED_VALUE"""),"")</f>
        <v/>
      </c>
      <c r="H760" s="292" t="str">
        <f>IFERROR(__xludf.DUMMYFUNCTION("""COMPUTED_VALUE"""),"")</f>
        <v/>
      </c>
      <c r="I760" s="292"/>
      <c r="J760" s="292"/>
      <c r="K760" s="292"/>
      <c r="L760" s="292"/>
      <c r="M760" s="292" t="str">
        <f>IFERROR(__xludf.DUMMYFUNCTION("""COMPUTED_VALUE"""),"")</f>
        <v/>
      </c>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c r="AK760" s="292"/>
      <c r="AL760" s="292"/>
      <c r="AM760" s="292"/>
      <c r="AN760" s="292"/>
      <c r="AO760" s="292"/>
      <c r="AP760" s="292"/>
      <c r="AQ760" s="292"/>
      <c r="AR760" s="292"/>
      <c r="AS760" s="292"/>
      <c r="AT760" s="292"/>
      <c r="AU760" s="292"/>
      <c r="AV760" s="292"/>
      <c r="AW760" s="292"/>
      <c r="AX760" s="292"/>
      <c r="AY760" s="292"/>
      <c r="AZ760" s="292"/>
      <c r="BA760" s="292"/>
      <c r="BB760" s="292"/>
      <c r="BC760" s="292"/>
      <c r="BD760" s="292"/>
      <c r="BE760" s="292"/>
      <c r="BF760" s="292"/>
      <c r="BG760" s="292"/>
      <c r="BH760" s="292"/>
      <c r="BI760" s="292"/>
      <c r="BJ760" s="292"/>
      <c r="BK760" s="292"/>
      <c r="BL760" s="292"/>
      <c r="BM760" s="292"/>
      <c r="BN760" s="292"/>
      <c r="BO760" s="292"/>
      <c r="BP760" s="292"/>
      <c r="BQ760" s="292"/>
      <c r="BR760" s="292"/>
      <c r="BS760" s="292"/>
      <c r="BT760" s="292"/>
      <c r="BU760" s="292"/>
      <c r="BV760" s="292"/>
      <c r="BW760" s="292"/>
    </row>
    <row r="761">
      <c r="A761" s="292"/>
      <c r="B761" s="292" t="str">
        <f>IFERROR(__xludf.DUMMYFUNCTION("""COMPUTED_VALUE"""),"")</f>
        <v/>
      </c>
      <c r="C761" s="292"/>
      <c r="D761" s="292" t="str">
        <f>IFERROR(__xludf.DUMMYFUNCTION("""COMPUTED_VALUE"""),"")</f>
        <v/>
      </c>
      <c r="E761" s="292" t="str">
        <f>IFERROR(__xludf.DUMMYFUNCTION("""COMPUTED_VALUE"""),"")</f>
        <v/>
      </c>
      <c r="F761" s="292"/>
      <c r="G761" s="292" t="str">
        <f>IFERROR(__xludf.DUMMYFUNCTION("""COMPUTED_VALUE"""),"")</f>
        <v/>
      </c>
      <c r="H761" s="292" t="str">
        <f>IFERROR(__xludf.DUMMYFUNCTION("""COMPUTED_VALUE"""),"")</f>
        <v/>
      </c>
      <c r="I761" s="292"/>
      <c r="J761" s="292"/>
      <c r="K761" s="292"/>
      <c r="L761" s="292"/>
      <c r="M761" s="292" t="str">
        <f>IFERROR(__xludf.DUMMYFUNCTION("""COMPUTED_VALUE"""),"")</f>
        <v/>
      </c>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c r="AK761" s="292"/>
      <c r="AL761" s="292"/>
      <c r="AM761" s="292"/>
      <c r="AN761" s="292"/>
      <c r="AO761" s="292"/>
      <c r="AP761" s="292"/>
      <c r="AQ761" s="292"/>
      <c r="AR761" s="292"/>
      <c r="AS761" s="292"/>
      <c r="AT761" s="292"/>
      <c r="AU761" s="292"/>
      <c r="AV761" s="292"/>
      <c r="AW761" s="292"/>
      <c r="AX761" s="292"/>
      <c r="AY761" s="292"/>
      <c r="AZ761" s="292"/>
      <c r="BA761" s="292"/>
      <c r="BB761" s="292"/>
      <c r="BC761" s="292"/>
      <c r="BD761" s="292"/>
      <c r="BE761" s="292"/>
      <c r="BF761" s="292"/>
      <c r="BG761" s="292"/>
      <c r="BH761" s="292"/>
      <c r="BI761" s="292"/>
      <c r="BJ761" s="292"/>
      <c r="BK761" s="292"/>
      <c r="BL761" s="292"/>
      <c r="BM761" s="292"/>
      <c r="BN761" s="292"/>
      <c r="BO761" s="292"/>
      <c r="BP761" s="292"/>
      <c r="BQ761" s="292"/>
      <c r="BR761" s="292"/>
      <c r="BS761" s="292"/>
      <c r="BT761" s="292"/>
      <c r="BU761" s="292"/>
      <c r="BV761" s="292"/>
      <c r="BW761" s="292"/>
    </row>
    <row r="762">
      <c r="A762" s="292"/>
      <c r="B762" s="292" t="str">
        <f>IFERROR(__xludf.DUMMYFUNCTION("""COMPUTED_VALUE"""),"")</f>
        <v/>
      </c>
      <c r="C762" s="292"/>
      <c r="D762" s="292" t="str">
        <f>IFERROR(__xludf.DUMMYFUNCTION("""COMPUTED_VALUE"""),"")</f>
        <v/>
      </c>
      <c r="E762" s="292" t="str">
        <f>IFERROR(__xludf.DUMMYFUNCTION("""COMPUTED_VALUE"""),"")</f>
        <v/>
      </c>
      <c r="F762" s="292"/>
      <c r="G762" s="292" t="str">
        <f>IFERROR(__xludf.DUMMYFUNCTION("""COMPUTED_VALUE"""),"")</f>
        <v/>
      </c>
      <c r="H762" s="292" t="str">
        <f>IFERROR(__xludf.DUMMYFUNCTION("""COMPUTED_VALUE"""),"")</f>
        <v/>
      </c>
      <c r="I762" s="292"/>
      <c r="J762" s="292"/>
      <c r="K762" s="292"/>
      <c r="L762" s="292"/>
      <c r="M762" s="292" t="str">
        <f>IFERROR(__xludf.DUMMYFUNCTION("""COMPUTED_VALUE"""),"")</f>
        <v/>
      </c>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c r="AK762" s="292"/>
      <c r="AL762" s="292"/>
      <c r="AM762" s="292"/>
      <c r="AN762" s="292"/>
      <c r="AO762" s="292"/>
      <c r="AP762" s="292"/>
      <c r="AQ762" s="292"/>
      <c r="AR762" s="292"/>
      <c r="AS762" s="292"/>
      <c r="AT762" s="292"/>
      <c r="AU762" s="292"/>
      <c r="AV762" s="292"/>
      <c r="AW762" s="292"/>
      <c r="AX762" s="292"/>
      <c r="AY762" s="292"/>
      <c r="AZ762" s="292"/>
      <c r="BA762" s="292"/>
      <c r="BB762" s="292"/>
      <c r="BC762" s="292"/>
      <c r="BD762" s="292"/>
      <c r="BE762" s="292"/>
      <c r="BF762" s="292"/>
      <c r="BG762" s="292"/>
      <c r="BH762" s="292"/>
      <c r="BI762" s="292"/>
      <c r="BJ762" s="292"/>
      <c r="BK762" s="292"/>
      <c r="BL762" s="292"/>
      <c r="BM762" s="292"/>
      <c r="BN762" s="292"/>
      <c r="BO762" s="292"/>
      <c r="BP762" s="292"/>
      <c r="BQ762" s="292"/>
      <c r="BR762" s="292"/>
      <c r="BS762" s="292"/>
      <c r="BT762" s="292"/>
      <c r="BU762" s="292"/>
      <c r="BV762" s="292"/>
      <c r="BW762" s="292"/>
    </row>
    <row r="763">
      <c r="A763" s="292"/>
      <c r="B763" s="292" t="str">
        <f>IFERROR(__xludf.DUMMYFUNCTION("""COMPUTED_VALUE"""),"")</f>
        <v/>
      </c>
      <c r="C763" s="292"/>
      <c r="D763" s="292" t="str">
        <f>IFERROR(__xludf.DUMMYFUNCTION("""COMPUTED_VALUE"""),"")</f>
        <v/>
      </c>
      <c r="E763" s="292" t="str">
        <f>IFERROR(__xludf.DUMMYFUNCTION("""COMPUTED_VALUE"""),"")</f>
        <v/>
      </c>
      <c r="F763" s="292"/>
      <c r="G763" s="292" t="str">
        <f>IFERROR(__xludf.DUMMYFUNCTION("""COMPUTED_VALUE"""),"")</f>
        <v/>
      </c>
      <c r="H763" s="292" t="str">
        <f>IFERROR(__xludf.DUMMYFUNCTION("""COMPUTED_VALUE"""),"")</f>
        <v/>
      </c>
      <c r="I763" s="292"/>
      <c r="J763" s="292"/>
      <c r="K763" s="292"/>
      <c r="L763" s="292"/>
      <c r="M763" s="292" t="str">
        <f>IFERROR(__xludf.DUMMYFUNCTION("""COMPUTED_VALUE"""),"")</f>
        <v/>
      </c>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c r="AK763" s="292"/>
      <c r="AL763" s="292"/>
      <c r="AM763" s="292"/>
      <c r="AN763" s="292"/>
      <c r="AO763" s="292"/>
      <c r="AP763" s="292"/>
      <c r="AQ763" s="292"/>
      <c r="AR763" s="292"/>
      <c r="AS763" s="292"/>
      <c r="AT763" s="292"/>
      <c r="AU763" s="292"/>
      <c r="AV763" s="292"/>
      <c r="AW763" s="292"/>
      <c r="AX763" s="292"/>
      <c r="AY763" s="292"/>
      <c r="AZ763" s="292"/>
      <c r="BA763" s="292"/>
      <c r="BB763" s="292"/>
      <c r="BC763" s="292"/>
      <c r="BD763" s="292"/>
      <c r="BE763" s="292"/>
      <c r="BF763" s="292"/>
      <c r="BG763" s="292"/>
      <c r="BH763" s="292"/>
      <c r="BI763" s="292"/>
      <c r="BJ763" s="292"/>
      <c r="BK763" s="292"/>
      <c r="BL763" s="292"/>
      <c r="BM763" s="292"/>
      <c r="BN763" s="292"/>
      <c r="BO763" s="292"/>
      <c r="BP763" s="292"/>
      <c r="BQ763" s="292"/>
      <c r="BR763" s="292"/>
      <c r="BS763" s="292"/>
      <c r="BT763" s="292"/>
      <c r="BU763" s="292"/>
      <c r="BV763" s="292"/>
      <c r="BW763" s="292"/>
    </row>
    <row r="764">
      <c r="A764" s="292"/>
      <c r="B764" s="292" t="str">
        <f>IFERROR(__xludf.DUMMYFUNCTION("""COMPUTED_VALUE"""),"")</f>
        <v/>
      </c>
      <c r="C764" s="292"/>
      <c r="D764" s="292" t="str">
        <f>IFERROR(__xludf.DUMMYFUNCTION("""COMPUTED_VALUE"""),"")</f>
        <v/>
      </c>
      <c r="E764" s="292" t="str">
        <f>IFERROR(__xludf.DUMMYFUNCTION("""COMPUTED_VALUE"""),"")</f>
        <v/>
      </c>
      <c r="F764" s="292"/>
      <c r="G764" s="292" t="str">
        <f>IFERROR(__xludf.DUMMYFUNCTION("""COMPUTED_VALUE"""),"")</f>
        <v/>
      </c>
      <c r="H764" s="292" t="str">
        <f>IFERROR(__xludf.DUMMYFUNCTION("""COMPUTED_VALUE"""),"")</f>
        <v/>
      </c>
      <c r="I764" s="292"/>
      <c r="J764" s="292"/>
      <c r="K764" s="292"/>
      <c r="L764" s="292"/>
      <c r="M764" s="292" t="str">
        <f>IFERROR(__xludf.DUMMYFUNCTION("""COMPUTED_VALUE"""),"")</f>
        <v/>
      </c>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c r="AK764" s="292"/>
      <c r="AL764" s="292"/>
      <c r="AM764" s="292"/>
      <c r="AN764" s="292"/>
      <c r="AO764" s="292"/>
      <c r="AP764" s="292"/>
      <c r="AQ764" s="292"/>
      <c r="AR764" s="292"/>
      <c r="AS764" s="292"/>
      <c r="AT764" s="292"/>
      <c r="AU764" s="292"/>
      <c r="AV764" s="292"/>
      <c r="AW764" s="292"/>
      <c r="AX764" s="292"/>
      <c r="AY764" s="292"/>
      <c r="AZ764" s="292"/>
      <c r="BA764" s="292"/>
      <c r="BB764" s="292"/>
      <c r="BC764" s="292"/>
      <c r="BD764" s="292"/>
      <c r="BE764" s="292"/>
      <c r="BF764" s="292"/>
      <c r="BG764" s="292"/>
      <c r="BH764" s="292"/>
      <c r="BI764" s="292"/>
      <c r="BJ764" s="292"/>
      <c r="BK764" s="292"/>
      <c r="BL764" s="292"/>
      <c r="BM764" s="292"/>
      <c r="BN764" s="292"/>
      <c r="BO764" s="292"/>
      <c r="BP764" s="292"/>
      <c r="BQ764" s="292"/>
      <c r="BR764" s="292"/>
      <c r="BS764" s="292"/>
      <c r="BT764" s="292"/>
      <c r="BU764" s="292"/>
      <c r="BV764" s="292"/>
      <c r="BW764" s="292"/>
    </row>
    <row r="765">
      <c r="A765" s="292"/>
      <c r="B765" s="292" t="str">
        <f>IFERROR(__xludf.DUMMYFUNCTION("""COMPUTED_VALUE"""),"")</f>
        <v/>
      </c>
      <c r="C765" s="292"/>
      <c r="D765" s="292" t="str">
        <f>IFERROR(__xludf.DUMMYFUNCTION("""COMPUTED_VALUE"""),"")</f>
        <v/>
      </c>
      <c r="E765" s="292" t="str">
        <f>IFERROR(__xludf.DUMMYFUNCTION("""COMPUTED_VALUE"""),"")</f>
        <v/>
      </c>
      <c r="F765" s="292"/>
      <c r="G765" s="292" t="str">
        <f>IFERROR(__xludf.DUMMYFUNCTION("""COMPUTED_VALUE"""),"")</f>
        <v/>
      </c>
      <c r="H765" s="292" t="str">
        <f>IFERROR(__xludf.DUMMYFUNCTION("""COMPUTED_VALUE"""),"")</f>
        <v/>
      </c>
      <c r="I765" s="292"/>
      <c r="J765" s="292"/>
      <c r="K765" s="292"/>
      <c r="L765" s="292"/>
      <c r="M765" s="292" t="str">
        <f>IFERROR(__xludf.DUMMYFUNCTION("""COMPUTED_VALUE"""),"")</f>
        <v/>
      </c>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c r="AK765" s="292"/>
      <c r="AL765" s="292"/>
      <c r="AM765" s="292"/>
      <c r="AN765" s="292"/>
      <c r="AO765" s="292"/>
      <c r="AP765" s="292"/>
      <c r="AQ765" s="292"/>
      <c r="AR765" s="292"/>
      <c r="AS765" s="292"/>
      <c r="AT765" s="292"/>
      <c r="AU765" s="292"/>
      <c r="AV765" s="292"/>
      <c r="AW765" s="292"/>
      <c r="AX765" s="292"/>
      <c r="AY765" s="292"/>
      <c r="AZ765" s="292"/>
      <c r="BA765" s="292"/>
      <c r="BB765" s="292"/>
      <c r="BC765" s="292"/>
      <c r="BD765" s="292"/>
      <c r="BE765" s="292"/>
      <c r="BF765" s="292"/>
      <c r="BG765" s="292"/>
      <c r="BH765" s="292"/>
      <c r="BI765" s="292"/>
      <c r="BJ765" s="292"/>
      <c r="BK765" s="292"/>
      <c r="BL765" s="292"/>
      <c r="BM765" s="292"/>
      <c r="BN765" s="292"/>
      <c r="BO765" s="292"/>
      <c r="BP765" s="292"/>
      <c r="BQ765" s="292"/>
      <c r="BR765" s="292"/>
      <c r="BS765" s="292"/>
      <c r="BT765" s="292"/>
      <c r="BU765" s="292"/>
      <c r="BV765" s="292"/>
      <c r="BW765" s="292"/>
    </row>
    <row r="766">
      <c r="A766" s="292"/>
      <c r="B766" s="292" t="str">
        <f>IFERROR(__xludf.DUMMYFUNCTION("""COMPUTED_VALUE"""),"")</f>
        <v/>
      </c>
      <c r="C766" s="292"/>
      <c r="D766" s="292" t="str">
        <f>IFERROR(__xludf.DUMMYFUNCTION("""COMPUTED_VALUE"""),"")</f>
        <v/>
      </c>
      <c r="E766" s="292" t="str">
        <f>IFERROR(__xludf.DUMMYFUNCTION("""COMPUTED_VALUE"""),"")</f>
        <v/>
      </c>
      <c r="F766" s="292"/>
      <c r="G766" s="292" t="str">
        <f>IFERROR(__xludf.DUMMYFUNCTION("""COMPUTED_VALUE"""),"")</f>
        <v/>
      </c>
      <c r="H766" s="292" t="str">
        <f>IFERROR(__xludf.DUMMYFUNCTION("""COMPUTED_VALUE"""),"")</f>
        <v/>
      </c>
      <c r="I766" s="292"/>
      <c r="J766" s="292"/>
      <c r="K766" s="292"/>
      <c r="L766" s="292"/>
      <c r="M766" s="292" t="str">
        <f>IFERROR(__xludf.DUMMYFUNCTION("""COMPUTED_VALUE"""),"")</f>
        <v/>
      </c>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c r="AK766" s="292"/>
      <c r="AL766" s="292"/>
      <c r="AM766" s="292"/>
      <c r="AN766" s="292"/>
      <c r="AO766" s="292"/>
      <c r="AP766" s="292"/>
      <c r="AQ766" s="292"/>
      <c r="AR766" s="292"/>
      <c r="AS766" s="292"/>
      <c r="AT766" s="292"/>
      <c r="AU766" s="292"/>
      <c r="AV766" s="292"/>
      <c r="AW766" s="292"/>
      <c r="AX766" s="292"/>
      <c r="AY766" s="292"/>
      <c r="AZ766" s="292"/>
      <c r="BA766" s="292"/>
      <c r="BB766" s="292"/>
      <c r="BC766" s="292"/>
      <c r="BD766" s="292"/>
      <c r="BE766" s="292"/>
      <c r="BF766" s="292"/>
      <c r="BG766" s="292"/>
      <c r="BH766" s="292"/>
      <c r="BI766" s="292"/>
      <c r="BJ766" s="292"/>
      <c r="BK766" s="292"/>
      <c r="BL766" s="292"/>
      <c r="BM766" s="292"/>
      <c r="BN766" s="292"/>
      <c r="BO766" s="292"/>
      <c r="BP766" s="292"/>
      <c r="BQ766" s="292"/>
      <c r="BR766" s="292"/>
      <c r="BS766" s="292"/>
      <c r="BT766" s="292"/>
      <c r="BU766" s="292"/>
      <c r="BV766" s="292"/>
      <c r="BW766" s="292"/>
    </row>
    <row r="767">
      <c r="A767" s="292"/>
      <c r="B767" s="292" t="str">
        <f>IFERROR(__xludf.DUMMYFUNCTION("""COMPUTED_VALUE"""),"")</f>
        <v/>
      </c>
      <c r="C767" s="292"/>
      <c r="D767" s="292" t="str">
        <f>IFERROR(__xludf.DUMMYFUNCTION("""COMPUTED_VALUE"""),"")</f>
        <v/>
      </c>
      <c r="E767" s="292" t="str">
        <f>IFERROR(__xludf.DUMMYFUNCTION("""COMPUTED_VALUE"""),"")</f>
        <v/>
      </c>
      <c r="F767" s="292"/>
      <c r="G767" s="292" t="str">
        <f>IFERROR(__xludf.DUMMYFUNCTION("""COMPUTED_VALUE"""),"")</f>
        <v/>
      </c>
      <c r="H767" s="292" t="str">
        <f>IFERROR(__xludf.DUMMYFUNCTION("""COMPUTED_VALUE"""),"")</f>
        <v/>
      </c>
      <c r="I767" s="292"/>
      <c r="J767" s="292"/>
      <c r="K767" s="292"/>
      <c r="L767" s="292"/>
      <c r="M767" s="292" t="str">
        <f>IFERROR(__xludf.DUMMYFUNCTION("""COMPUTED_VALUE"""),"")</f>
        <v/>
      </c>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c r="AK767" s="292"/>
      <c r="AL767" s="292"/>
      <c r="AM767" s="292"/>
      <c r="AN767" s="292"/>
      <c r="AO767" s="292"/>
      <c r="AP767" s="292"/>
      <c r="AQ767" s="292"/>
      <c r="AR767" s="292"/>
      <c r="AS767" s="292"/>
      <c r="AT767" s="292"/>
      <c r="AU767" s="292"/>
      <c r="AV767" s="292"/>
      <c r="AW767" s="292"/>
      <c r="AX767" s="292"/>
      <c r="AY767" s="292"/>
      <c r="AZ767" s="292"/>
      <c r="BA767" s="292"/>
      <c r="BB767" s="292"/>
      <c r="BC767" s="292"/>
      <c r="BD767" s="292"/>
      <c r="BE767" s="292"/>
      <c r="BF767" s="292"/>
      <c r="BG767" s="292"/>
      <c r="BH767" s="292"/>
      <c r="BI767" s="292"/>
      <c r="BJ767" s="292"/>
      <c r="BK767" s="292"/>
      <c r="BL767" s="292"/>
      <c r="BM767" s="292"/>
      <c r="BN767" s="292"/>
      <c r="BO767" s="292"/>
      <c r="BP767" s="292"/>
      <c r="BQ767" s="292"/>
      <c r="BR767" s="292"/>
      <c r="BS767" s="292"/>
      <c r="BT767" s="292"/>
      <c r="BU767" s="292"/>
      <c r="BV767" s="292"/>
      <c r="BW767" s="292"/>
    </row>
    <row r="768">
      <c r="A768" s="292"/>
      <c r="B768" s="292" t="str">
        <f>IFERROR(__xludf.DUMMYFUNCTION("""COMPUTED_VALUE"""),"")</f>
        <v/>
      </c>
      <c r="C768" s="292"/>
      <c r="D768" s="292" t="str">
        <f>IFERROR(__xludf.DUMMYFUNCTION("""COMPUTED_VALUE"""),"")</f>
        <v/>
      </c>
      <c r="E768" s="292" t="str">
        <f>IFERROR(__xludf.DUMMYFUNCTION("""COMPUTED_VALUE"""),"")</f>
        <v/>
      </c>
      <c r="F768" s="292"/>
      <c r="G768" s="292" t="str">
        <f>IFERROR(__xludf.DUMMYFUNCTION("""COMPUTED_VALUE"""),"")</f>
        <v/>
      </c>
      <c r="H768" s="292" t="str">
        <f>IFERROR(__xludf.DUMMYFUNCTION("""COMPUTED_VALUE"""),"")</f>
        <v/>
      </c>
      <c r="I768" s="292"/>
      <c r="J768" s="292"/>
      <c r="K768" s="292"/>
      <c r="L768" s="292"/>
      <c r="M768" s="292" t="str">
        <f>IFERROR(__xludf.DUMMYFUNCTION("""COMPUTED_VALUE"""),"")</f>
        <v/>
      </c>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c r="AK768" s="292"/>
      <c r="AL768" s="292"/>
      <c r="AM768" s="292"/>
      <c r="AN768" s="292"/>
      <c r="AO768" s="292"/>
      <c r="AP768" s="292"/>
      <c r="AQ768" s="292"/>
      <c r="AR768" s="292"/>
      <c r="AS768" s="292"/>
      <c r="AT768" s="292"/>
      <c r="AU768" s="292"/>
      <c r="AV768" s="292"/>
      <c r="AW768" s="292"/>
      <c r="AX768" s="292"/>
      <c r="AY768" s="292"/>
      <c r="AZ768" s="292"/>
      <c r="BA768" s="292"/>
      <c r="BB768" s="292"/>
      <c r="BC768" s="292"/>
      <c r="BD768" s="292"/>
      <c r="BE768" s="292"/>
      <c r="BF768" s="292"/>
      <c r="BG768" s="292"/>
      <c r="BH768" s="292"/>
      <c r="BI768" s="292"/>
      <c r="BJ768" s="292"/>
      <c r="BK768" s="292"/>
      <c r="BL768" s="292"/>
      <c r="BM768" s="292"/>
      <c r="BN768" s="292"/>
      <c r="BO768" s="292"/>
      <c r="BP768" s="292"/>
      <c r="BQ768" s="292"/>
      <c r="BR768" s="292"/>
      <c r="BS768" s="292"/>
      <c r="BT768" s="292"/>
      <c r="BU768" s="292"/>
      <c r="BV768" s="292"/>
      <c r="BW768" s="292"/>
    </row>
    <row r="769">
      <c r="A769" s="292"/>
      <c r="B769" s="292" t="str">
        <f>IFERROR(__xludf.DUMMYFUNCTION("""COMPUTED_VALUE"""),"")</f>
        <v/>
      </c>
      <c r="C769" s="292"/>
      <c r="D769" s="292" t="str">
        <f>IFERROR(__xludf.DUMMYFUNCTION("""COMPUTED_VALUE"""),"")</f>
        <v/>
      </c>
      <c r="E769" s="292" t="str">
        <f>IFERROR(__xludf.DUMMYFUNCTION("""COMPUTED_VALUE"""),"")</f>
        <v/>
      </c>
      <c r="F769" s="292"/>
      <c r="G769" s="292" t="str">
        <f>IFERROR(__xludf.DUMMYFUNCTION("""COMPUTED_VALUE"""),"")</f>
        <v/>
      </c>
      <c r="H769" s="292" t="str">
        <f>IFERROR(__xludf.DUMMYFUNCTION("""COMPUTED_VALUE"""),"")</f>
        <v/>
      </c>
      <c r="I769" s="292"/>
      <c r="J769" s="292"/>
      <c r="K769" s="292"/>
      <c r="L769" s="292"/>
      <c r="M769" s="292" t="str">
        <f>IFERROR(__xludf.DUMMYFUNCTION("""COMPUTED_VALUE"""),"")</f>
        <v/>
      </c>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c r="AK769" s="292"/>
      <c r="AL769" s="292"/>
      <c r="AM769" s="292"/>
      <c r="AN769" s="292"/>
      <c r="AO769" s="292"/>
      <c r="AP769" s="292"/>
      <c r="AQ769" s="292"/>
      <c r="AR769" s="292"/>
      <c r="AS769" s="292"/>
      <c r="AT769" s="292"/>
      <c r="AU769" s="292"/>
      <c r="AV769" s="292"/>
      <c r="AW769" s="292"/>
      <c r="AX769" s="292"/>
      <c r="AY769" s="292"/>
      <c r="AZ769" s="292"/>
      <c r="BA769" s="292"/>
      <c r="BB769" s="292"/>
      <c r="BC769" s="292"/>
      <c r="BD769" s="292"/>
      <c r="BE769" s="292"/>
      <c r="BF769" s="292"/>
      <c r="BG769" s="292"/>
      <c r="BH769" s="292"/>
      <c r="BI769" s="292"/>
      <c r="BJ769" s="292"/>
      <c r="BK769" s="292"/>
      <c r="BL769" s="292"/>
      <c r="BM769" s="292"/>
      <c r="BN769" s="292"/>
      <c r="BO769" s="292"/>
      <c r="BP769" s="292"/>
      <c r="BQ769" s="292"/>
      <c r="BR769" s="292"/>
      <c r="BS769" s="292"/>
      <c r="BT769" s="292"/>
      <c r="BU769" s="292"/>
      <c r="BV769" s="292"/>
      <c r="BW769" s="292"/>
    </row>
    <row r="770">
      <c r="A770" s="292"/>
      <c r="B770" s="292" t="str">
        <f>IFERROR(__xludf.DUMMYFUNCTION("""COMPUTED_VALUE"""),"")</f>
        <v/>
      </c>
      <c r="C770" s="292"/>
      <c r="D770" s="292" t="str">
        <f>IFERROR(__xludf.DUMMYFUNCTION("""COMPUTED_VALUE"""),"")</f>
        <v/>
      </c>
      <c r="E770" s="292" t="str">
        <f>IFERROR(__xludf.DUMMYFUNCTION("""COMPUTED_VALUE"""),"")</f>
        <v/>
      </c>
      <c r="F770" s="292"/>
      <c r="G770" s="292" t="str">
        <f>IFERROR(__xludf.DUMMYFUNCTION("""COMPUTED_VALUE"""),"")</f>
        <v/>
      </c>
      <c r="H770" s="292" t="str">
        <f>IFERROR(__xludf.DUMMYFUNCTION("""COMPUTED_VALUE"""),"")</f>
        <v/>
      </c>
      <c r="I770" s="292"/>
      <c r="J770" s="292"/>
      <c r="K770" s="292"/>
      <c r="L770" s="292"/>
      <c r="M770" s="292" t="str">
        <f>IFERROR(__xludf.DUMMYFUNCTION("""COMPUTED_VALUE"""),"")</f>
        <v/>
      </c>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c r="AK770" s="292"/>
      <c r="AL770" s="292"/>
      <c r="AM770" s="292"/>
      <c r="AN770" s="292"/>
      <c r="AO770" s="292"/>
      <c r="AP770" s="292"/>
      <c r="AQ770" s="292"/>
      <c r="AR770" s="292"/>
      <c r="AS770" s="292"/>
      <c r="AT770" s="292"/>
      <c r="AU770" s="292"/>
      <c r="AV770" s="292"/>
      <c r="AW770" s="292"/>
      <c r="AX770" s="292"/>
      <c r="AY770" s="292"/>
      <c r="AZ770" s="292"/>
      <c r="BA770" s="292"/>
      <c r="BB770" s="292"/>
      <c r="BC770" s="292"/>
      <c r="BD770" s="292"/>
      <c r="BE770" s="292"/>
      <c r="BF770" s="292"/>
      <c r="BG770" s="292"/>
      <c r="BH770" s="292"/>
      <c r="BI770" s="292"/>
      <c r="BJ770" s="292"/>
      <c r="BK770" s="292"/>
      <c r="BL770" s="292"/>
      <c r="BM770" s="292"/>
      <c r="BN770" s="292"/>
      <c r="BO770" s="292"/>
      <c r="BP770" s="292"/>
      <c r="BQ770" s="292"/>
      <c r="BR770" s="292"/>
      <c r="BS770" s="292"/>
      <c r="BT770" s="292"/>
      <c r="BU770" s="292"/>
      <c r="BV770" s="292"/>
      <c r="BW770" s="292"/>
    </row>
    <row r="771">
      <c r="A771" s="292"/>
      <c r="B771" s="292" t="str">
        <f>IFERROR(__xludf.DUMMYFUNCTION("""COMPUTED_VALUE"""),"")</f>
        <v/>
      </c>
      <c r="C771" s="292"/>
      <c r="D771" s="292" t="str">
        <f>IFERROR(__xludf.DUMMYFUNCTION("""COMPUTED_VALUE"""),"")</f>
        <v/>
      </c>
      <c r="E771" s="292" t="str">
        <f>IFERROR(__xludf.DUMMYFUNCTION("""COMPUTED_VALUE"""),"")</f>
        <v/>
      </c>
      <c r="F771" s="292"/>
      <c r="G771" s="292" t="str">
        <f>IFERROR(__xludf.DUMMYFUNCTION("""COMPUTED_VALUE"""),"")</f>
        <v/>
      </c>
      <c r="H771" s="292" t="str">
        <f>IFERROR(__xludf.DUMMYFUNCTION("""COMPUTED_VALUE"""),"")</f>
        <v/>
      </c>
      <c r="I771" s="292"/>
      <c r="J771" s="292"/>
      <c r="K771" s="292"/>
      <c r="L771" s="292"/>
      <c r="M771" s="292" t="str">
        <f>IFERROR(__xludf.DUMMYFUNCTION("""COMPUTED_VALUE"""),"")</f>
        <v/>
      </c>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c r="AK771" s="292"/>
      <c r="AL771" s="292"/>
      <c r="AM771" s="292"/>
      <c r="AN771" s="292"/>
      <c r="AO771" s="292"/>
      <c r="AP771" s="292"/>
      <c r="AQ771" s="292"/>
      <c r="AR771" s="292"/>
      <c r="AS771" s="292"/>
      <c r="AT771" s="292"/>
      <c r="AU771" s="292"/>
      <c r="AV771" s="292"/>
      <c r="AW771" s="292"/>
      <c r="AX771" s="292"/>
      <c r="AY771" s="292"/>
      <c r="AZ771" s="292"/>
      <c r="BA771" s="292"/>
      <c r="BB771" s="292"/>
      <c r="BC771" s="292"/>
      <c r="BD771" s="292"/>
      <c r="BE771" s="292"/>
      <c r="BF771" s="292"/>
      <c r="BG771" s="292"/>
      <c r="BH771" s="292"/>
      <c r="BI771" s="292"/>
      <c r="BJ771" s="292"/>
      <c r="BK771" s="292"/>
      <c r="BL771" s="292"/>
      <c r="BM771" s="292"/>
      <c r="BN771" s="292"/>
      <c r="BO771" s="292"/>
      <c r="BP771" s="292"/>
      <c r="BQ771" s="292"/>
      <c r="BR771" s="292"/>
      <c r="BS771" s="292"/>
      <c r="BT771" s="292"/>
      <c r="BU771" s="292"/>
      <c r="BV771" s="292"/>
      <c r="BW771" s="292"/>
    </row>
    <row r="772">
      <c r="A772" s="292"/>
      <c r="B772" s="292" t="str">
        <f>IFERROR(__xludf.DUMMYFUNCTION("""COMPUTED_VALUE"""),"")</f>
        <v/>
      </c>
      <c r="C772" s="292"/>
      <c r="D772" s="292" t="str">
        <f>IFERROR(__xludf.DUMMYFUNCTION("""COMPUTED_VALUE"""),"")</f>
        <v/>
      </c>
      <c r="E772" s="292" t="str">
        <f>IFERROR(__xludf.DUMMYFUNCTION("""COMPUTED_VALUE"""),"")</f>
        <v/>
      </c>
      <c r="F772" s="292"/>
      <c r="G772" s="292" t="str">
        <f>IFERROR(__xludf.DUMMYFUNCTION("""COMPUTED_VALUE"""),"")</f>
        <v/>
      </c>
      <c r="H772" s="292" t="str">
        <f>IFERROR(__xludf.DUMMYFUNCTION("""COMPUTED_VALUE"""),"")</f>
        <v/>
      </c>
      <c r="I772" s="292"/>
      <c r="J772" s="292"/>
      <c r="K772" s="292"/>
      <c r="L772" s="292"/>
      <c r="M772" s="292" t="str">
        <f>IFERROR(__xludf.DUMMYFUNCTION("""COMPUTED_VALUE"""),"")</f>
        <v/>
      </c>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c r="AK772" s="292"/>
      <c r="AL772" s="292"/>
      <c r="AM772" s="292"/>
      <c r="AN772" s="292"/>
      <c r="AO772" s="292"/>
      <c r="AP772" s="292"/>
      <c r="AQ772" s="292"/>
      <c r="AR772" s="292"/>
      <c r="AS772" s="292"/>
      <c r="AT772" s="292"/>
      <c r="AU772" s="292"/>
      <c r="AV772" s="292"/>
      <c r="AW772" s="292"/>
      <c r="AX772" s="292"/>
      <c r="AY772" s="292"/>
      <c r="AZ772" s="292"/>
      <c r="BA772" s="292"/>
      <c r="BB772" s="292"/>
      <c r="BC772" s="292"/>
      <c r="BD772" s="292"/>
      <c r="BE772" s="292"/>
      <c r="BF772" s="292"/>
      <c r="BG772" s="292"/>
      <c r="BH772" s="292"/>
      <c r="BI772" s="292"/>
      <c r="BJ772" s="292"/>
      <c r="BK772" s="292"/>
      <c r="BL772" s="292"/>
      <c r="BM772" s="292"/>
      <c r="BN772" s="292"/>
      <c r="BO772" s="292"/>
      <c r="BP772" s="292"/>
      <c r="BQ772" s="292"/>
      <c r="BR772" s="292"/>
      <c r="BS772" s="292"/>
      <c r="BT772" s="292"/>
      <c r="BU772" s="292"/>
      <c r="BV772" s="292"/>
      <c r="BW772" s="292"/>
    </row>
    <row r="773">
      <c r="A773" s="292"/>
      <c r="B773" s="292" t="str">
        <f>IFERROR(__xludf.DUMMYFUNCTION("""COMPUTED_VALUE"""),"")</f>
        <v/>
      </c>
      <c r="C773" s="292"/>
      <c r="D773" s="292" t="str">
        <f>IFERROR(__xludf.DUMMYFUNCTION("""COMPUTED_VALUE"""),"")</f>
        <v/>
      </c>
      <c r="E773" s="292" t="str">
        <f>IFERROR(__xludf.DUMMYFUNCTION("""COMPUTED_VALUE"""),"")</f>
        <v/>
      </c>
      <c r="F773" s="292"/>
      <c r="G773" s="292" t="str">
        <f>IFERROR(__xludf.DUMMYFUNCTION("""COMPUTED_VALUE"""),"")</f>
        <v/>
      </c>
      <c r="H773" s="292" t="str">
        <f>IFERROR(__xludf.DUMMYFUNCTION("""COMPUTED_VALUE"""),"")</f>
        <v/>
      </c>
      <c r="I773" s="292"/>
      <c r="J773" s="292"/>
      <c r="K773" s="292"/>
      <c r="L773" s="292"/>
      <c r="M773" s="292" t="str">
        <f>IFERROR(__xludf.DUMMYFUNCTION("""COMPUTED_VALUE"""),"")</f>
        <v/>
      </c>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c r="AK773" s="292"/>
      <c r="AL773" s="292"/>
      <c r="AM773" s="292"/>
      <c r="AN773" s="292"/>
      <c r="AO773" s="292"/>
      <c r="AP773" s="292"/>
      <c r="AQ773" s="292"/>
      <c r="AR773" s="292"/>
      <c r="AS773" s="292"/>
      <c r="AT773" s="292"/>
      <c r="AU773" s="292"/>
      <c r="AV773" s="292"/>
      <c r="AW773" s="292"/>
      <c r="AX773" s="292"/>
      <c r="AY773" s="292"/>
      <c r="AZ773" s="292"/>
      <c r="BA773" s="292"/>
      <c r="BB773" s="292"/>
      <c r="BC773" s="292"/>
      <c r="BD773" s="292"/>
      <c r="BE773" s="292"/>
      <c r="BF773" s="292"/>
      <c r="BG773" s="292"/>
      <c r="BH773" s="292"/>
      <c r="BI773" s="292"/>
      <c r="BJ773" s="292"/>
      <c r="BK773" s="292"/>
      <c r="BL773" s="292"/>
      <c r="BM773" s="292"/>
      <c r="BN773" s="292"/>
      <c r="BO773" s="292"/>
      <c r="BP773" s="292"/>
      <c r="BQ773" s="292"/>
      <c r="BR773" s="292"/>
      <c r="BS773" s="292"/>
      <c r="BT773" s="292"/>
      <c r="BU773" s="292"/>
      <c r="BV773" s="292"/>
      <c r="BW773" s="292"/>
    </row>
    <row r="774">
      <c r="A774" s="292"/>
      <c r="B774" s="292" t="str">
        <f>IFERROR(__xludf.DUMMYFUNCTION("""COMPUTED_VALUE"""),"")</f>
        <v/>
      </c>
      <c r="C774" s="292"/>
      <c r="D774" s="292" t="str">
        <f>IFERROR(__xludf.DUMMYFUNCTION("""COMPUTED_VALUE"""),"")</f>
        <v/>
      </c>
      <c r="E774" s="292" t="str">
        <f>IFERROR(__xludf.DUMMYFUNCTION("""COMPUTED_VALUE"""),"")</f>
        <v/>
      </c>
      <c r="F774" s="292"/>
      <c r="G774" s="292" t="str">
        <f>IFERROR(__xludf.DUMMYFUNCTION("""COMPUTED_VALUE"""),"")</f>
        <v/>
      </c>
      <c r="H774" s="292" t="str">
        <f>IFERROR(__xludf.DUMMYFUNCTION("""COMPUTED_VALUE"""),"")</f>
        <v/>
      </c>
      <c r="I774" s="292"/>
      <c r="J774" s="292"/>
      <c r="K774" s="292"/>
      <c r="L774" s="292"/>
      <c r="M774" s="292" t="str">
        <f>IFERROR(__xludf.DUMMYFUNCTION("""COMPUTED_VALUE"""),"")</f>
        <v/>
      </c>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c r="AK774" s="292"/>
      <c r="AL774" s="292"/>
      <c r="AM774" s="292"/>
      <c r="AN774" s="292"/>
      <c r="AO774" s="292"/>
      <c r="AP774" s="292"/>
      <c r="AQ774" s="292"/>
      <c r="AR774" s="292"/>
      <c r="AS774" s="292"/>
      <c r="AT774" s="292"/>
      <c r="AU774" s="292"/>
      <c r="AV774" s="292"/>
      <c r="AW774" s="292"/>
      <c r="AX774" s="292"/>
      <c r="AY774" s="292"/>
      <c r="AZ774" s="292"/>
      <c r="BA774" s="292"/>
      <c r="BB774" s="292"/>
      <c r="BC774" s="292"/>
      <c r="BD774" s="292"/>
      <c r="BE774" s="292"/>
      <c r="BF774" s="292"/>
      <c r="BG774" s="292"/>
      <c r="BH774" s="292"/>
      <c r="BI774" s="292"/>
      <c r="BJ774" s="292"/>
      <c r="BK774" s="292"/>
      <c r="BL774" s="292"/>
      <c r="BM774" s="292"/>
      <c r="BN774" s="292"/>
      <c r="BO774" s="292"/>
      <c r="BP774" s="292"/>
      <c r="BQ774" s="292"/>
      <c r="BR774" s="292"/>
      <c r="BS774" s="292"/>
      <c r="BT774" s="292"/>
      <c r="BU774" s="292"/>
      <c r="BV774" s="292"/>
      <c r="BW774" s="292"/>
    </row>
    <row r="775">
      <c r="A775" s="292"/>
      <c r="B775" s="292" t="str">
        <f>IFERROR(__xludf.DUMMYFUNCTION("""COMPUTED_VALUE"""),"")</f>
        <v/>
      </c>
      <c r="C775" s="292"/>
      <c r="D775" s="292" t="str">
        <f>IFERROR(__xludf.DUMMYFUNCTION("""COMPUTED_VALUE"""),"")</f>
        <v/>
      </c>
      <c r="E775" s="292" t="str">
        <f>IFERROR(__xludf.DUMMYFUNCTION("""COMPUTED_VALUE"""),"")</f>
        <v/>
      </c>
      <c r="F775" s="292"/>
      <c r="G775" s="292" t="str">
        <f>IFERROR(__xludf.DUMMYFUNCTION("""COMPUTED_VALUE"""),"")</f>
        <v/>
      </c>
      <c r="H775" s="292" t="str">
        <f>IFERROR(__xludf.DUMMYFUNCTION("""COMPUTED_VALUE"""),"")</f>
        <v/>
      </c>
      <c r="I775" s="292"/>
      <c r="J775" s="292"/>
      <c r="K775" s="292"/>
      <c r="L775" s="292"/>
      <c r="M775" s="292" t="str">
        <f>IFERROR(__xludf.DUMMYFUNCTION("""COMPUTED_VALUE"""),"")</f>
        <v/>
      </c>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c r="AK775" s="292"/>
      <c r="AL775" s="292"/>
      <c r="AM775" s="292"/>
      <c r="AN775" s="292"/>
      <c r="AO775" s="292"/>
      <c r="AP775" s="292"/>
      <c r="AQ775" s="292"/>
      <c r="AR775" s="292"/>
      <c r="AS775" s="292"/>
      <c r="AT775" s="292"/>
      <c r="AU775" s="292"/>
      <c r="AV775" s="292"/>
      <c r="AW775" s="292"/>
      <c r="AX775" s="292"/>
      <c r="AY775" s="292"/>
      <c r="AZ775" s="292"/>
      <c r="BA775" s="292"/>
      <c r="BB775" s="292"/>
      <c r="BC775" s="292"/>
      <c r="BD775" s="292"/>
      <c r="BE775" s="292"/>
      <c r="BF775" s="292"/>
      <c r="BG775" s="292"/>
      <c r="BH775" s="292"/>
      <c r="BI775" s="292"/>
      <c r="BJ775" s="292"/>
      <c r="BK775" s="292"/>
      <c r="BL775" s="292"/>
      <c r="BM775" s="292"/>
      <c r="BN775" s="292"/>
      <c r="BO775" s="292"/>
      <c r="BP775" s="292"/>
      <c r="BQ775" s="292"/>
      <c r="BR775" s="292"/>
      <c r="BS775" s="292"/>
      <c r="BT775" s="292"/>
      <c r="BU775" s="292"/>
      <c r="BV775" s="292"/>
      <c r="BW775" s="292"/>
    </row>
    <row r="776">
      <c r="A776" s="292"/>
      <c r="B776" s="292" t="str">
        <f>IFERROR(__xludf.DUMMYFUNCTION("""COMPUTED_VALUE"""),"")</f>
        <v/>
      </c>
      <c r="C776" s="292"/>
      <c r="D776" s="292" t="str">
        <f>IFERROR(__xludf.DUMMYFUNCTION("""COMPUTED_VALUE"""),"")</f>
        <v/>
      </c>
      <c r="E776" s="292" t="str">
        <f>IFERROR(__xludf.DUMMYFUNCTION("""COMPUTED_VALUE"""),"")</f>
        <v/>
      </c>
      <c r="F776" s="292"/>
      <c r="G776" s="292" t="str">
        <f>IFERROR(__xludf.DUMMYFUNCTION("""COMPUTED_VALUE"""),"")</f>
        <v/>
      </c>
      <c r="H776" s="292" t="str">
        <f>IFERROR(__xludf.DUMMYFUNCTION("""COMPUTED_VALUE"""),"")</f>
        <v/>
      </c>
      <c r="I776" s="292"/>
      <c r="J776" s="292"/>
      <c r="K776" s="292"/>
      <c r="L776" s="292"/>
      <c r="M776" s="292" t="str">
        <f>IFERROR(__xludf.DUMMYFUNCTION("""COMPUTED_VALUE"""),"")</f>
        <v/>
      </c>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c r="AK776" s="292"/>
      <c r="AL776" s="292"/>
      <c r="AM776" s="292"/>
      <c r="AN776" s="292"/>
      <c r="AO776" s="292"/>
      <c r="AP776" s="292"/>
      <c r="AQ776" s="292"/>
      <c r="AR776" s="292"/>
      <c r="AS776" s="292"/>
      <c r="AT776" s="292"/>
      <c r="AU776" s="292"/>
      <c r="AV776" s="292"/>
      <c r="AW776" s="292"/>
      <c r="AX776" s="292"/>
      <c r="AY776" s="292"/>
      <c r="AZ776" s="292"/>
      <c r="BA776" s="292"/>
      <c r="BB776" s="292"/>
      <c r="BC776" s="292"/>
      <c r="BD776" s="292"/>
      <c r="BE776" s="292"/>
      <c r="BF776" s="292"/>
      <c r="BG776" s="292"/>
      <c r="BH776" s="292"/>
      <c r="BI776" s="292"/>
      <c r="BJ776" s="292"/>
      <c r="BK776" s="292"/>
      <c r="BL776" s="292"/>
      <c r="BM776" s="292"/>
      <c r="BN776" s="292"/>
      <c r="BO776" s="292"/>
      <c r="BP776" s="292"/>
      <c r="BQ776" s="292"/>
      <c r="BR776" s="292"/>
      <c r="BS776" s="292"/>
      <c r="BT776" s="292"/>
      <c r="BU776" s="292"/>
      <c r="BV776" s="292"/>
      <c r="BW776" s="292"/>
    </row>
    <row r="777">
      <c r="A777" s="292"/>
      <c r="B777" s="292" t="str">
        <f>IFERROR(__xludf.DUMMYFUNCTION("""COMPUTED_VALUE"""),"")</f>
        <v/>
      </c>
      <c r="C777" s="292"/>
      <c r="D777" s="292" t="str">
        <f>IFERROR(__xludf.DUMMYFUNCTION("""COMPUTED_VALUE"""),"")</f>
        <v/>
      </c>
      <c r="E777" s="292" t="str">
        <f>IFERROR(__xludf.DUMMYFUNCTION("""COMPUTED_VALUE"""),"")</f>
        <v/>
      </c>
      <c r="F777" s="292"/>
      <c r="G777" s="292" t="str">
        <f>IFERROR(__xludf.DUMMYFUNCTION("""COMPUTED_VALUE"""),"")</f>
        <v/>
      </c>
      <c r="H777" s="292" t="str">
        <f>IFERROR(__xludf.DUMMYFUNCTION("""COMPUTED_VALUE"""),"")</f>
        <v/>
      </c>
      <c r="I777" s="292"/>
      <c r="J777" s="292"/>
      <c r="K777" s="292"/>
      <c r="L777" s="292"/>
      <c r="M777" s="292" t="str">
        <f>IFERROR(__xludf.DUMMYFUNCTION("""COMPUTED_VALUE"""),"")</f>
        <v/>
      </c>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c r="AK777" s="292"/>
      <c r="AL777" s="292"/>
      <c r="AM777" s="292"/>
      <c r="AN777" s="292"/>
      <c r="AO777" s="292"/>
      <c r="AP777" s="292"/>
      <c r="AQ777" s="292"/>
      <c r="AR777" s="292"/>
      <c r="AS777" s="292"/>
      <c r="AT777" s="292"/>
      <c r="AU777" s="292"/>
      <c r="AV777" s="292"/>
      <c r="AW777" s="292"/>
      <c r="AX777" s="292"/>
      <c r="AY777" s="292"/>
      <c r="AZ777" s="292"/>
      <c r="BA777" s="292"/>
      <c r="BB777" s="292"/>
      <c r="BC777" s="292"/>
      <c r="BD777" s="292"/>
      <c r="BE777" s="292"/>
      <c r="BF777" s="292"/>
      <c r="BG777" s="292"/>
      <c r="BH777" s="292"/>
      <c r="BI777" s="292"/>
      <c r="BJ777" s="292"/>
      <c r="BK777" s="292"/>
      <c r="BL777" s="292"/>
      <c r="BM777" s="292"/>
      <c r="BN777" s="292"/>
      <c r="BO777" s="292"/>
      <c r="BP777" s="292"/>
      <c r="BQ777" s="292"/>
      <c r="BR777" s="292"/>
      <c r="BS777" s="292"/>
      <c r="BT777" s="292"/>
      <c r="BU777" s="292"/>
      <c r="BV777" s="292"/>
      <c r="BW777" s="292"/>
    </row>
    <row r="778">
      <c r="A778" s="292"/>
      <c r="B778" s="292" t="str">
        <f>IFERROR(__xludf.DUMMYFUNCTION("""COMPUTED_VALUE"""),"")</f>
        <v/>
      </c>
      <c r="C778" s="292"/>
      <c r="D778" s="292" t="str">
        <f>IFERROR(__xludf.DUMMYFUNCTION("""COMPUTED_VALUE"""),"")</f>
        <v/>
      </c>
      <c r="E778" s="292" t="str">
        <f>IFERROR(__xludf.DUMMYFUNCTION("""COMPUTED_VALUE"""),"")</f>
        <v/>
      </c>
      <c r="F778" s="292"/>
      <c r="G778" s="292" t="str">
        <f>IFERROR(__xludf.DUMMYFUNCTION("""COMPUTED_VALUE"""),"")</f>
        <v/>
      </c>
      <c r="H778" s="292" t="str">
        <f>IFERROR(__xludf.DUMMYFUNCTION("""COMPUTED_VALUE"""),"")</f>
        <v/>
      </c>
      <c r="I778" s="292"/>
      <c r="J778" s="292"/>
      <c r="K778" s="292"/>
      <c r="L778" s="292"/>
      <c r="M778" s="292" t="str">
        <f>IFERROR(__xludf.DUMMYFUNCTION("""COMPUTED_VALUE"""),"")</f>
        <v/>
      </c>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c r="AK778" s="292"/>
      <c r="AL778" s="292"/>
      <c r="AM778" s="292"/>
      <c r="AN778" s="292"/>
      <c r="AO778" s="292"/>
      <c r="AP778" s="292"/>
      <c r="AQ778" s="292"/>
      <c r="AR778" s="292"/>
      <c r="AS778" s="292"/>
      <c r="AT778" s="292"/>
      <c r="AU778" s="292"/>
      <c r="AV778" s="292"/>
      <c r="AW778" s="292"/>
      <c r="AX778" s="292"/>
      <c r="AY778" s="292"/>
      <c r="AZ778" s="292"/>
      <c r="BA778" s="292"/>
      <c r="BB778" s="292"/>
      <c r="BC778" s="292"/>
      <c r="BD778" s="292"/>
      <c r="BE778" s="292"/>
      <c r="BF778" s="292"/>
      <c r="BG778" s="292"/>
      <c r="BH778" s="292"/>
      <c r="BI778" s="292"/>
      <c r="BJ778" s="292"/>
      <c r="BK778" s="292"/>
      <c r="BL778" s="292"/>
      <c r="BM778" s="292"/>
      <c r="BN778" s="292"/>
      <c r="BO778" s="292"/>
      <c r="BP778" s="292"/>
      <c r="BQ778" s="292"/>
      <c r="BR778" s="292"/>
      <c r="BS778" s="292"/>
      <c r="BT778" s="292"/>
      <c r="BU778" s="292"/>
      <c r="BV778" s="292"/>
      <c r="BW778" s="292"/>
    </row>
    <row r="779">
      <c r="A779" s="292"/>
      <c r="B779" s="292" t="str">
        <f>IFERROR(__xludf.DUMMYFUNCTION("""COMPUTED_VALUE"""),"")</f>
        <v/>
      </c>
      <c r="C779" s="292"/>
      <c r="D779" s="292" t="str">
        <f>IFERROR(__xludf.DUMMYFUNCTION("""COMPUTED_VALUE"""),"")</f>
        <v/>
      </c>
      <c r="E779" s="292" t="str">
        <f>IFERROR(__xludf.DUMMYFUNCTION("""COMPUTED_VALUE"""),"")</f>
        <v/>
      </c>
      <c r="F779" s="292"/>
      <c r="G779" s="292" t="str">
        <f>IFERROR(__xludf.DUMMYFUNCTION("""COMPUTED_VALUE"""),"")</f>
        <v/>
      </c>
      <c r="H779" s="292" t="str">
        <f>IFERROR(__xludf.DUMMYFUNCTION("""COMPUTED_VALUE"""),"")</f>
        <v/>
      </c>
      <c r="I779" s="292"/>
      <c r="J779" s="292"/>
      <c r="K779" s="292"/>
      <c r="L779" s="292"/>
      <c r="M779" s="292" t="str">
        <f>IFERROR(__xludf.DUMMYFUNCTION("""COMPUTED_VALUE"""),"")</f>
        <v/>
      </c>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c r="AK779" s="292"/>
      <c r="AL779" s="292"/>
      <c r="AM779" s="292"/>
      <c r="AN779" s="292"/>
      <c r="AO779" s="292"/>
      <c r="AP779" s="292"/>
      <c r="AQ779" s="292"/>
      <c r="AR779" s="292"/>
      <c r="AS779" s="292"/>
      <c r="AT779" s="292"/>
      <c r="AU779" s="292"/>
      <c r="AV779" s="292"/>
      <c r="AW779" s="292"/>
      <c r="AX779" s="292"/>
      <c r="AY779" s="292"/>
      <c r="AZ779" s="292"/>
      <c r="BA779" s="292"/>
      <c r="BB779" s="292"/>
      <c r="BC779" s="292"/>
      <c r="BD779" s="292"/>
      <c r="BE779" s="292"/>
      <c r="BF779" s="292"/>
      <c r="BG779" s="292"/>
      <c r="BH779" s="292"/>
      <c r="BI779" s="292"/>
      <c r="BJ779" s="292"/>
      <c r="BK779" s="292"/>
      <c r="BL779" s="292"/>
      <c r="BM779" s="292"/>
      <c r="BN779" s="292"/>
      <c r="BO779" s="292"/>
      <c r="BP779" s="292"/>
      <c r="BQ779" s="292"/>
      <c r="BR779" s="292"/>
      <c r="BS779" s="292"/>
      <c r="BT779" s="292"/>
      <c r="BU779" s="292"/>
      <c r="BV779" s="292"/>
      <c r="BW779" s="292"/>
    </row>
    <row r="780">
      <c r="A780" s="292"/>
      <c r="B780" s="292" t="str">
        <f>IFERROR(__xludf.DUMMYFUNCTION("""COMPUTED_VALUE"""),"")</f>
        <v/>
      </c>
      <c r="C780" s="292"/>
      <c r="D780" s="292" t="str">
        <f>IFERROR(__xludf.DUMMYFUNCTION("""COMPUTED_VALUE"""),"")</f>
        <v/>
      </c>
      <c r="E780" s="292" t="str">
        <f>IFERROR(__xludf.DUMMYFUNCTION("""COMPUTED_VALUE"""),"")</f>
        <v/>
      </c>
      <c r="F780" s="292"/>
      <c r="G780" s="292" t="str">
        <f>IFERROR(__xludf.DUMMYFUNCTION("""COMPUTED_VALUE"""),"")</f>
        <v/>
      </c>
      <c r="H780" s="292" t="str">
        <f>IFERROR(__xludf.DUMMYFUNCTION("""COMPUTED_VALUE"""),"")</f>
        <v/>
      </c>
      <c r="I780" s="292"/>
      <c r="J780" s="292"/>
      <c r="K780" s="292"/>
      <c r="L780" s="292"/>
      <c r="M780" s="292" t="str">
        <f>IFERROR(__xludf.DUMMYFUNCTION("""COMPUTED_VALUE"""),"")</f>
        <v/>
      </c>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c r="AK780" s="292"/>
      <c r="AL780" s="292"/>
      <c r="AM780" s="292"/>
      <c r="AN780" s="292"/>
      <c r="AO780" s="292"/>
      <c r="AP780" s="292"/>
      <c r="AQ780" s="292"/>
      <c r="AR780" s="292"/>
      <c r="AS780" s="292"/>
      <c r="AT780" s="292"/>
      <c r="AU780" s="292"/>
      <c r="AV780" s="292"/>
      <c r="AW780" s="292"/>
      <c r="AX780" s="292"/>
      <c r="AY780" s="292"/>
      <c r="AZ780" s="292"/>
      <c r="BA780" s="292"/>
      <c r="BB780" s="292"/>
      <c r="BC780" s="292"/>
      <c r="BD780" s="292"/>
      <c r="BE780" s="292"/>
      <c r="BF780" s="292"/>
      <c r="BG780" s="292"/>
      <c r="BH780" s="292"/>
      <c r="BI780" s="292"/>
      <c r="BJ780" s="292"/>
      <c r="BK780" s="292"/>
      <c r="BL780" s="292"/>
      <c r="BM780" s="292"/>
      <c r="BN780" s="292"/>
      <c r="BO780" s="292"/>
      <c r="BP780" s="292"/>
      <c r="BQ780" s="292"/>
      <c r="BR780" s="292"/>
      <c r="BS780" s="292"/>
      <c r="BT780" s="292"/>
      <c r="BU780" s="292"/>
      <c r="BV780" s="292"/>
      <c r="BW780" s="292"/>
    </row>
    <row r="781">
      <c r="A781" s="292"/>
      <c r="B781" s="292" t="str">
        <f>IFERROR(__xludf.DUMMYFUNCTION("""COMPUTED_VALUE"""),"")</f>
        <v/>
      </c>
      <c r="C781" s="292"/>
      <c r="D781" s="292" t="str">
        <f>IFERROR(__xludf.DUMMYFUNCTION("""COMPUTED_VALUE"""),"")</f>
        <v/>
      </c>
      <c r="E781" s="292" t="str">
        <f>IFERROR(__xludf.DUMMYFUNCTION("""COMPUTED_VALUE"""),"")</f>
        <v/>
      </c>
      <c r="F781" s="292"/>
      <c r="G781" s="292" t="str">
        <f>IFERROR(__xludf.DUMMYFUNCTION("""COMPUTED_VALUE"""),"")</f>
        <v/>
      </c>
      <c r="H781" s="292" t="str">
        <f>IFERROR(__xludf.DUMMYFUNCTION("""COMPUTED_VALUE"""),"")</f>
        <v/>
      </c>
      <c r="I781" s="292"/>
      <c r="J781" s="292"/>
      <c r="K781" s="292"/>
      <c r="L781" s="292"/>
      <c r="M781" s="292" t="str">
        <f>IFERROR(__xludf.DUMMYFUNCTION("""COMPUTED_VALUE"""),"")</f>
        <v/>
      </c>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c r="AK781" s="292"/>
      <c r="AL781" s="292"/>
      <c r="AM781" s="292"/>
      <c r="AN781" s="292"/>
      <c r="AO781" s="292"/>
      <c r="AP781" s="292"/>
      <c r="AQ781" s="292"/>
      <c r="AR781" s="292"/>
      <c r="AS781" s="292"/>
      <c r="AT781" s="292"/>
      <c r="AU781" s="292"/>
      <c r="AV781" s="292"/>
      <c r="AW781" s="292"/>
      <c r="AX781" s="292"/>
      <c r="AY781" s="292"/>
      <c r="AZ781" s="292"/>
      <c r="BA781" s="292"/>
      <c r="BB781" s="292"/>
      <c r="BC781" s="292"/>
      <c r="BD781" s="292"/>
      <c r="BE781" s="292"/>
      <c r="BF781" s="292"/>
      <c r="BG781" s="292"/>
      <c r="BH781" s="292"/>
      <c r="BI781" s="292"/>
      <c r="BJ781" s="292"/>
      <c r="BK781" s="292"/>
      <c r="BL781" s="292"/>
      <c r="BM781" s="292"/>
      <c r="BN781" s="292"/>
      <c r="BO781" s="292"/>
      <c r="BP781" s="292"/>
      <c r="BQ781" s="292"/>
      <c r="BR781" s="292"/>
      <c r="BS781" s="292"/>
      <c r="BT781" s="292"/>
      <c r="BU781" s="292"/>
      <c r="BV781" s="292"/>
      <c r="BW781" s="292"/>
    </row>
    <row r="782">
      <c r="A782" s="292"/>
      <c r="B782" s="292" t="str">
        <f>IFERROR(__xludf.DUMMYFUNCTION("""COMPUTED_VALUE"""),"")</f>
        <v/>
      </c>
      <c r="C782" s="292"/>
      <c r="D782" s="292" t="str">
        <f>IFERROR(__xludf.DUMMYFUNCTION("""COMPUTED_VALUE"""),"")</f>
        <v/>
      </c>
      <c r="E782" s="292" t="str">
        <f>IFERROR(__xludf.DUMMYFUNCTION("""COMPUTED_VALUE"""),"")</f>
        <v/>
      </c>
      <c r="F782" s="292"/>
      <c r="G782" s="292" t="str">
        <f>IFERROR(__xludf.DUMMYFUNCTION("""COMPUTED_VALUE"""),"")</f>
        <v/>
      </c>
      <c r="H782" s="292" t="str">
        <f>IFERROR(__xludf.DUMMYFUNCTION("""COMPUTED_VALUE"""),"")</f>
        <v/>
      </c>
      <c r="I782" s="292"/>
      <c r="J782" s="292"/>
      <c r="K782" s="292"/>
      <c r="L782" s="292"/>
      <c r="M782" s="292" t="str">
        <f>IFERROR(__xludf.DUMMYFUNCTION("""COMPUTED_VALUE"""),"")</f>
        <v/>
      </c>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c r="AK782" s="292"/>
      <c r="AL782" s="292"/>
      <c r="AM782" s="292"/>
      <c r="AN782" s="292"/>
      <c r="AO782" s="292"/>
      <c r="AP782" s="292"/>
      <c r="AQ782" s="292"/>
      <c r="AR782" s="292"/>
      <c r="AS782" s="292"/>
      <c r="AT782" s="292"/>
      <c r="AU782" s="292"/>
      <c r="AV782" s="292"/>
      <c r="AW782" s="292"/>
      <c r="AX782" s="292"/>
      <c r="AY782" s="292"/>
      <c r="AZ782" s="292"/>
      <c r="BA782" s="292"/>
      <c r="BB782" s="292"/>
      <c r="BC782" s="292"/>
      <c r="BD782" s="292"/>
      <c r="BE782" s="292"/>
      <c r="BF782" s="292"/>
      <c r="BG782" s="292"/>
      <c r="BH782" s="292"/>
      <c r="BI782" s="292"/>
      <c r="BJ782" s="292"/>
      <c r="BK782" s="292"/>
      <c r="BL782" s="292"/>
      <c r="BM782" s="292"/>
      <c r="BN782" s="292"/>
      <c r="BO782" s="292"/>
      <c r="BP782" s="292"/>
      <c r="BQ782" s="292"/>
      <c r="BR782" s="292"/>
      <c r="BS782" s="292"/>
      <c r="BT782" s="292"/>
      <c r="BU782" s="292"/>
      <c r="BV782" s="292"/>
      <c r="BW782" s="292"/>
    </row>
    <row r="783">
      <c r="A783" s="292"/>
      <c r="B783" s="292" t="str">
        <f>IFERROR(__xludf.DUMMYFUNCTION("""COMPUTED_VALUE"""),"")</f>
        <v/>
      </c>
      <c r="C783" s="292"/>
      <c r="D783" s="292" t="str">
        <f>IFERROR(__xludf.DUMMYFUNCTION("""COMPUTED_VALUE"""),"")</f>
        <v/>
      </c>
      <c r="E783" s="292" t="str">
        <f>IFERROR(__xludf.DUMMYFUNCTION("""COMPUTED_VALUE"""),"")</f>
        <v/>
      </c>
      <c r="F783" s="292"/>
      <c r="G783" s="292" t="str">
        <f>IFERROR(__xludf.DUMMYFUNCTION("""COMPUTED_VALUE"""),"")</f>
        <v/>
      </c>
      <c r="H783" s="292" t="str">
        <f>IFERROR(__xludf.DUMMYFUNCTION("""COMPUTED_VALUE"""),"")</f>
        <v/>
      </c>
      <c r="I783" s="292"/>
      <c r="J783" s="292"/>
      <c r="K783" s="292"/>
      <c r="L783" s="292"/>
      <c r="M783" s="292" t="str">
        <f>IFERROR(__xludf.DUMMYFUNCTION("""COMPUTED_VALUE"""),"")</f>
        <v/>
      </c>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c r="AK783" s="292"/>
      <c r="AL783" s="292"/>
      <c r="AM783" s="292"/>
      <c r="AN783" s="292"/>
      <c r="AO783" s="292"/>
      <c r="AP783" s="292"/>
      <c r="AQ783" s="292"/>
      <c r="AR783" s="292"/>
      <c r="AS783" s="292"/>
      <c r="AT783" s="292"/>
      <c r="AU783" s="292"/>
      <c r="AV783" s="292"/>
      <c r="AW783" s="292"/>
      <c r="AX783" s="292"/>
      <c r="AY783" s="292"/>
      <c r="AZ783" s="292"/>
      <c r="BA783" s="292"/>
      <c r="BB783" s="292"/>
      <c r="BC783" s="292"/>
      <c r="BD783" s="292"/>
      <c r="BE783" s="292"/>
      <c r="BF783" s="292"/>
      <c r="BG783" s="292"/>
      <c r="BH783" s="292"/>
      <c r="BI783" s="292"/>
      <c r="BJ783" s="292"/>
      <c r="BK783" s="292"/>
      <c r="BL783" s="292"/>
      <c r="BM783" s="292"/>
      <c r="BN783" s="292"/>
      <c r="BO783" s="292"/>
      <c r="BP783" s="292"/>
      <c r="BQ783" s="292"/>
      <c r="BR783" s="292"/>
      <c r="BS783" s="292"/>
      <c r="BT783" s="292"/>
      <c r="BU783" s="292"/>
      <c r="BV783" s="292"/>
      <c r="BW783" s="292"/>
    </row>
    <row r="784">
      <c r="A784" s="292"/>
      <c r="B784" s="292" t="str">
        <f>IFERROR(__xludf.DUMMYFUNCTION("""COMPUTED_VALUE"""),"")</f>
        <v/>
      </c>
      <c r="C784" s="292"/>
      <c r="D784" s="292" t="str">
        <f>IFERROR(__xludf.DUMMYFUNCTION("""COMPUTED_VALUE"""),"")</f>
        <v/>
      </c>
      <c r="E784" s="292" t="str">
        <f>IFERROR(__xludf.DUMMYFUNCTION("""COMPUTED_VALUE"""),"")</f>
        <v/>
      </c>
      <c r="F784" s="292"/>
      <c r="G784" s="292" t="str">
        <f>IFERROR(__xludf.DUMMYFUNCTION("""COMPUTED_VALUE"""),"")</f>
        <v/>
      </c>
      <c r="H784" s="292" t="str">
        <f>IFERROR(__xludf.DUMMYFUNCTION("""COMPUTED_VALUE"""),"")</f>
        <v/>
      </c>
      <c r="I784" s="292"/>
      <c r="J784" s="292"/>
      <c r="K784" s="292"/>
      <c r="L784" s="292"/>
      <c r="M784" s="292" t="str">
        <f>IFERROR(__xludf.DUMMYFUNCTION("""COMPUTED_VALUE"""),"")</f>
        <v/>
      </c>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c r="AK784" s="292"/>
      <c r="AL784" s="292"/>
      <c r="AM784" s="292"/>
      <c r="AN784" s="292"/>
      <c r="AO784" s="292"/>
      <c r="AP784" s="292"/>
      <c r="AQ784" s="292"/>
      <c r="AR784" s="292"/>
      <c r="AS784" s="292"/>
      <c r="AT784" s="292"/>
      <c r="AU784" s="292"/>
      <c r="AV784" s="292"/>
      <c r="AW784" s="292"/>
      <c r="AX784" s="292"/>
      <c r="AY784" s="292"/>
      <c r="AZ784" s="292"/>
      <c r="BA784" s="292"/>
      <c r="BB784" s="292"/>
      <c r="BC784" s="292"/>
      <c r="BD784" s="292"/>
      <c r="BE784" s="292"/>
      <c r="BF784" s="292"/>
      <c r="BG784" s="292"/>
      <c r="BH784" s="292"/>
      <c r="BI784" s="292"/>
      <c r="BJ784" s="292"/>
      <c r="BK784" s="292"/>
      <c r="BL784" s="292"/>
      <c r="BM784" s="292"/>
      <c r="BN784" s="292"/>
      <c r="BO784" s="292"/>
      <c r="BP784" s="292"/>
      <c r="BQ784" s="292"/>
      <c r="BR784" s="292"/>
      <c r="BS784" s="292"/>
      <c r="BT784" s="292"/>
      <c r="BU784" s="292"/>
      <c r="BV784" s="292"/>
      <c r="BW784" s="292"/>
    </row>
    <row r="785">
      <c r="A785" s="292"/>
      <c r="B785" s="292" t="str">
        <f>IFERROR(__xludf.DUMMYFUNCTION("""COMPUTED_VALUE"""),"")</f>
        <v/>
      </c>
      <c r="C785" s="292"/>
      <c r="D785" s="292" t="str">
        <f>IFERROR(__xludf.DUMMYFUNCTION("""COMPUTED_VALUE"""),"")</f>
        <v/>
      </c>
      <c r="E785" s="292" t="str">
        <f>IFERROR(__xludf.DUMMYFUNCTION("""COMPUTED_VALUE"""),"")</f>
        <v/>
      </c>
      <c r="F785" s="292"/>
      <c r="G785" s="292" t="str">
        <f>IFERROR(__xludf.DUMMYFUNCTION("""COMPUTED_VALUE"""),"")</f>
        <v/>
      </c>
      <c r="H785" s="292" t="str">
        <f>IFERROR(__xludf.DUMMYFUNCTION("""COMPUTED_VALUE"""),"")</f>
        <v/>
      </c>
      <c r="I785" s="292"/>
      <c r="J785" s="292"/>
      <c r="K785" s="292"/>
      <c r="L785" s="292"/>
      <c r="M785" s="292" t="str">
        <f>IFERROR(__xludf.DUMMYFUNCTION("""COMPUTED_VALUE"""),"")</f>
        <v/>
      </c>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c r="AK785" s="292"/>
      <c r="AL785" s="292"/>
      <c r="AM785" s="292"/>
      <c r="AN785" s="292"/>
      <c r="AO785" s="292"/>
      <c r="AP785" s="292"/>
      <c r="AQ785" s="292"/>
      <c r="AR785" s="292"/>
      <c r="AS785" s="292"/>
      <c r="AT785" s="292"/>
      <c r="AU785" s="292"/>
      <c r="AV785" s="292"/>
      <c r="AW785" s="292"/>
      <c r="AX785" s="292"/>
      <c r="AY785" s="292"/>
      <c r="AZ785" s="292"/>
      <c r="BA785" s="292"/>
      <c r="BB785" s="292"/>
      <c r="BC785" s="292"/>
      <c r="BD785" s="292"/>
      <c r="BE785" s="292"/>
      <c r="BF785" s="292"/>
      <c r="BG785" s="292"/>
      <c r="BH785" s="292"/>
      <c r="BI785" s="292"/>
      <c r="BJ785" s="292"/>
      <c r="BK785" s="292"/>
      <c r="BL785" s="292"/>
      <c r="BM785" s="292"/>
      <c r="BN785" s="292"/>
      <c r="BO785" s="292"/>
      <c r="BP785" s="292"/>
      <c r="BQ785" s="292"/>
      <c r="BR785" s="292"/>
      <c r="BS785" s="292"/>
      <c r="BT785" s="292"/>
      <c r="BU785" s="292"/>
      <c r="BV785" s="292"/>
      <c r="BW785" s="292"/>
    </row>
    <row r="786">
      <c r="A786" s="292"/>
      <c r="B786" s="292" t="str">
        <f>IFERROR(__xludf.DUMMYFUNCTION("""COMPUTED_VALUE"""),"")</f>
        <v/>
      </c>
      <c r="C786" s="292"/>
      <c r="D786" s="292" t="str">
        <f>IFERROR(__xludf.DUMMYFUNCTION("""COMPUTED_VALUE"""),"")</f>
        <v/>
      </c>
      <c r="E786" s="292" t="str">
        <f>IFERROR(__xludf.DUMMYFUNCTION("""COMPUTED_VALUE"""),"")</f>
        <v/>
      </c>
      <c r="F786" s="292"/>
      <c r="G786" s="292" t="str">
        <f>IFERROR(__xludf.DUMMYFUNCTION("""COMPUTED_VALUE"""),"")</f>
        <v/>
      </c>
      <c r="H786" s="292" t="str">
        <f>IFERROR(__xludf.DUMMYFUNCTION("""COMPUTED_VALUE"""),"")</f>
        <v/>
      </c>
      <c r="I786" s="292"/>
      <c r="J786" s="292"/>
      <c r="K786" s="292"/>
      <c r="L786" s="292"/>
      <c r="M786" s="292" t="str">
        <f>IFERROR(__xludf.DUMMYFUNCTION("""COMPUTED_VALUE"""),"")</f>
        <v/>
      </c>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c r="AK786" s="292"/>
      <c r="AL786" s="292"/>
      <c r="AM786" s="292"/>
      <c r="AN786" s="292"/>
      <c r="AO786" s="292"/>
      <c r="AP786" s="292"/>
      <c r="AQ786" s="292"/>
      <c r="AR786" s="292"/>
      <c r="AS786" s="292"/>
      <c r="AT786" s="292"/>
      <c r="AU786" s="292"/>
      <c r="AV786" s="292"/>
      <c r="AW786" s="292"/>
      <c r="AX786" s="292"/>
      <c r="AY786" s="292"/>
      <c r="AZ786" s="292"/>
      <c r="BA786" s="292"/>
      <c r="BB786" s="292"/>
      <c r="BC786" s="292"/>
      <c r="BD786" s="292"/>
      <c r="BE786" s="292"/>
      <c r="BF786" s="292"/>
      <c r="BG786" s="292"/>
      <c r="BH786" s="292"/>
      <c r="BI786" s="292"/>
      <c r="BJ786" s="292"/>
      <c r="BK786" s="292"/>
      <c r="BL786" s="292"/>
      <c r="BM786" s="292"/>
      <c r="BN786" s="292"/>
      <c r="BO786" s="292"/>
      <c r="BP786" s="292"/>
      <c r="BQ786" s="292"/>
      <c r="BR786" s="292"/>
      <c r="BS786" s="292"/>
      <c r="BT786" s="292"/>
      <c r="BU786" s="292"/>
      <c r="BV786" s="292"/>
      <c r="BW786" s="292"/>
    </row>
    <row r="787">
      <c r="A787" s="292"/>
      <c r="B787" s="292" t="str">
        <f>IFERROR(__xludf.DUMMYFUNCTION("""COMPUTED_VALUE"""),"")</f>
        <v/>
      </c>
      <c r="C787" s="292"/>
      <c r="D787" s="292" t="str">
        <f>IFERROR(__xludf.DUMMYFUNCTION("""COMPUTED_VALUE"""),"")</f>
        <v/>
      </c>
      <c r="E787" s="292" t="str">
        <f>IFERROR(__xludf.DUMMYFUNCTION("""COMPUTED_VALUE"""),"")</f>
        <v/>
      </c>
      <c r="F787" s="292"/>
      <c r="G787" s="292" t="str">
        <f>IFERROR(__xludf.DUMMYFUNCTION("""COMPUTED_VALUE"""),"")</f>
        <v/>
      </c>
      <c r="H787" s="292" t="str">
        <f>IFERROR(__xludf.DUMMYFUNCTION("""COMPUTED_VALUE"""),"")</f>
        <v/>
      </c>
      <c r="I787" s="292"/>
      <c r="J787" s="292"/>
      <c r="K787" s="292"/>
      <c r="L787" s="292"/>
      <c r="M787" s="292" t="str">
        <f>IFERROR(__xludf.DUMMYFUNCTION("""COMPUTED_VALUE"""),"")</f>
        <v/>
      </c>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c r="AK787" s="292"/>
      <c r="AL787" s="292"/>
      <c r="AM787" s="292"/>
      <c r="AN787" s="292"/>
      <c r="AO787" s="292"/>
      <c r="AP787" s="292"/>
      <c r="AQ787" s="292"/>
      <c r="AR787" s="292"/>
      <c r="AS787" s="292"/>
      <c r="AT787" s="292"/>
      <c r="AU787" s="292"/>
      <c r="AV787" s="292"/>
      <c r="AW787" s="292"/>
      <c r="AX787" s="292"/>
      <c r="AY787" s="292"/>
      <c r="AZ787" s="292"/>
      <c r="BA787" s="292"/>
      <c r="BB787" s="292"/>
      <c r="BC787" s="292"/>
      <c r="BD787" s="292"/>
      <c r="BE787" s="292"/>
      <c r="BF787" s="292"/>
      <c r="BG787" s="292"/>
      <c r="BH787" s="292"/>
      <c r="BI787" s="292"/>
      <c r="BJ787" s="292"/>
      <c r="BK787" s="292"/>
      <c r="BL787" s="292"/>
      <c r="BM787" s="292"/>
      <c r="BN787" s="292"/>
      <c r="BO787" s="292"/>
      <c r="BP787" s="292"/>
      <c r="BQ787" s="292"/>
      <c r="BR787" s="292"/>
      <c r="BS787" s="292"/>
      <c r="BT787" s="292"/>
      <c r="BU787" s="292"/>
      <c r="BV787" s="292"/>
      <c r="BW787" s="292"/>
    </row>
    <row r="788">
      <c r="A788" s="292"/>
      <c r="B788" s="292" t="str">
        <f>IFERROR(__xludf.DUMMYFUNCTION("""COMPUTED_VALUE"""),"")</f>
        <v/>
      </c>
      <c r="C788" s="292"/>
      <c r="D788" s="292" t="str">
        <f>IFERROR(__xludf.DUMMYFUNCTION("""COMPUTED_VALUE"""),"")</f>
        <v/>
      </c>
      <c r="E788" s="292" t="str">
        <f>IFERROR(__xludf.DUMMYFUNCTION("""COMPUTED_VALUE"""),"")</f>
        <v/>
      </c>
      <c r="F788" s="292"/>
      <c r="G788" s="292" t="str">
        <f>IFERROR(__xludf.DUMMYFUNCTION("""COMPUTED_VALUE"""),"")</f>
        <v/>
      </c>
      <c r="H788" s="292" t="str">
        <f>IFERROR(__xludf.DUMMYFUNCTION("""COMPUTED_VALUE"""),"")</f>
        <v/>
      </c>
      <c r="I788" s="292"/>
      <c r="J788" s="292"/>
      <c r="K788" s="292"/>
      <c r="L788" s="292"/>
      <c r="M788" s="292" t="str">
        <f>IFERROR(__xludf.DUMMYFUNCTION("""COMPUTED_VALUE"""),"")</f>
        <v/>
      </c>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c r="AK788" s="292"/>
      <c r="AL788" s="292"/>
      <c r="AM788" s="292"/>
      <c r="AN788" s="292"/>
      <c r="AO788" s="292"/>
      <c r="AP788" s="292"/>
      <c r="AQ788" s="292"/>
      <c r="AR788" s="292"/>
      <c r="AS788" s="292"/>
      <c r="AT788" s="292"/>
      <c r="AU788" s="292"/>
      <c r="AV788" s="292"/>
      <c r="AW788" s="292"/>
      <c r="AX788" s="292"/>
      <c r="AY788" s="292"/>
      <c r="AZ788" s="292"/>
      <c r="BA788" s="292"/>
      <c r="BB788" s="292"/>
      <c r="BC788" s="292"/>
      <c r="BD788" s="292"/>
      <c r="BE788" s="292"/>
      <c r="BF788" s="292"/>
      <c r="BG788" s="292"/>
      <c r="BH788" s="292"/>
      <c r="BI788" s="292"/>
      <c r="BJ788" s="292"/>
      <c r="BK788" s="292"/>
      <c r="BL788" s="292"/>
      <c r="BM788" s="292"/>
      <c r="BN788" s="292"/>
      <c r="BO788" s="292"/>
      <c r="BP788" s="292"/>
      <c r="BQ788" s="292"/>
      <c r="BR788" s="292"/>
      <c r="BS788" s="292"/>
      <c r="BT788" s="292"/>
      <c r="BU788" s="292"/>
      <c r="BV788" s="292"/>
      <c r="BW788" s="292"/>
    </row>
    <row r="789">
      <c r="A789" s="292"/>
      <c r="B789" s="292" t="str">
        <f>IFERROR(__xludf.DUMMYFUNCTION("""COMPUTED_VALUE"""),"")</f>
        <v/>
      </c>
      <c r="C789" s="292"/>
      <c r="D789" s="292" t="str">
        <f>IFERROR(__xludf.DUMMYFUNCTION("""COMPUTED_VALUE"""),"")</f>
        <v/>
      </c>
      <c r="E789" s="292" t="str">
        <f>IFERROR(__xludf.DUMMYFUNCTION("""COMPUTED_VALUE"""),"")</f>
        <v/>
      </c>
      <c r="F789" s="292"/>
      <c r="G789" s="292" t="str">
        <f>IFERROR(__xludf.DUMMYFUNCTION("""COMPUTED_VALUE"""),"")</f>
        <v/>
      </c>
      <c r="H789" s="292" t="str">
        <f>IFERROR(__xludf.DUMMYFUNCTION("""COMPUTED_VALUE"""),"")</f>
        <v/>
      </c>
      <c r="I789" s="292"/>
      <c r="J789" s="292"/>
      <c r="K789" s="292"/>
      <c r="L789" s="292"/>
      <c r="M789" s="292" t="str">
        <f>IFERROR(__xludf.DUMMYFUNCTION("""COMPUTED_VALUE"""),"")</f>
        <v/>
      </c>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c r="AK789" s="292"/>
      <c r="AL789" s="292"/>
      <c r="AM789" s="292"/>
      <c r="AN789" s="292"/>
      <c r="AO789" s="292"/>
      <c r="AP789" s="292"/>
      <c r="AQ789" s="292"/>
      <c r="AR789" s="292"/>
      <c r="AS789" s="292"/>
      <c r="AT789" s="292"/>
      <c r="AU789" s="292"/>
      <c r="AV789" s="292"/>
      <c r="AW789" s="292"/>
      <c r="AX789" s="292"/>
      <c r="AY789" s="292"/>
      <c r="AZ789" s="292"/>
      <c r="BA789" s="292"/>
      <c r="BB789" s="292"/>
      <c r="BC789" s="292"/>
      <c r="BD789" s="292"/>
      <c r="BE789" s="292"/>
      <c r="BF789" s="292"/>
      <c r="BG789" s="292"/>
      <c r="BH789" s="292"/>
      <c r="BI789" s="292"/>
      <c r="BJ789" s="292"/>
      <c r="BK789" s="292"/>
      <c r="BL789" s="292"/>
      <c r="BM789" s="292"/>
      <c r="BN789" s="292"/>
      <c r="BO789" s="292"/>
      <c r="BP789" s="292"/>
      <c r="BQ789" s="292"/>
      <c r="BR789" s="292"/>
      <c r="BS789" s="292"/>
      <c r="BT789" s="292"/>
      <c r="BU789" s="292"/>
      <c r="BV789" s="292"/>
      <c r="BW789" s="292"/>
    </row>
    <row r="790">
      <c r="A790" s="292"/>
      <c r="B790" s="292" t="str">
        <f>IFERROR(__xludf.DUMMYFUNCTION("""COMPUTED_VALUE"""),"")</f>
        <v/>
      </c>
      <c r="C790" s="292"/>
      <c r="D790" s="292" t="str">
        <f>IFERROR(__xludf.DUMMYFUNCTION("""COMPUTED_VALUE"""),"")</f>
        <v/>
      </c>
      <c r="E790" s="292" t="str">
        <f>IFERROR(__xludf.DUMMYFUNCTION("""COMPUTED_VALUE"""),"")</f>
        <v/>
      </c>
      <c r="F790" s="292"/>
      <c r="G790" s="292" t="str">
        <f>IFERROR(__xludf.DUMMYFUNCTION("""COMPUTED_VALUE"""),"")</f>
        <v/>
      </c>
      <c r="H790" s="292" t="str">
        <f>IFERROR(__xludf.DUMMYFUNCTION("""COMPUTED_VALUE"""),"")</f>
        <v/>
      </c>
      <c r="I790" s="292"/>
      <c r="J790" s="292"/>
      <c r="K790" s="292"/>
      <c r="L790" s="292"/>
      <c r="M790" s="292" t="str">
        <f>IFERROR(__xludf.DUMMYFUNCTION("""COMPUTED_VALUE"""),"")</f>
        <v/>
      </c>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c r="AK790" s="292"/>
      <c r="AL790" s="292"/>
      <c r="AM790" s="292"/>
      <c r="AN790" s="292"/>
      <c r="AO790" s="292"/>
      <c r="AP790" s="292"/>
      <c r="AQ790" s="292"/>
      <c r="AR790" s="292"/>
      <c r="AS790" s="292"/>
      <c r="AT790" s="292"/>
      <c r="AU790" s="292"/>
      <c r="AV790" s="292"/>
      <c r="AW790" s="292"/>
      <c r="AX790" s="292"/>
      <c r="AY790" s="292"/>
      <c r="AZ790" s="292"/>
      <c r="BA790" s="292"/>
      <c r="BB790" s="292"/>
      <c r="BC790" s="292"/>
      <c r="BD790" s="292"/>
      <c r="BE790" s="292"/>
      <c r="BF790" s="292"/>
      <c r="BG790" s="292"/>
      <c r="BH790" s="292"/>
      <c r="BI790" s="292"/>
      <c r="BJ790" s="292"/>
      <c r="BK790" s="292"/>
      <c r="BL790" s="292"/>
      <c r="BM790" s="292"/>
      <c r="BN790" s="292"/>
      <c r="BO790" s="292"/>
      <c r="BP790" s="292"/>
      <c r="BQ790" s="292"/>
      <c r="BR790" s="292"/>
      <c r="BS790" s="292"/>
      <c r="BT790" s="292"/>
      <c r="BU790" s="292"/>
      <c r="BV790" s="292"/>
      <c r="BW790" s="292"/>
    </row>
    <row r="791">
      <c r="A791" s="292"/>
      <c r="B791" s="292" t="str">
        <f>IFERROR(__xludf.DUMMYFUNCTION("""COMPUTED_VALUE"""),"")</f>
        <v/>
      </c>
      <c r="C791" s="292"/>
      <c r="D791" s="292" t="str">
        <f>IFERROR(__xludf.DUMMYFUNCTION("""COMPUTED_VALUE"""),"")</f>
        <v/>
      </c>
      <c r="E791" s="292" t="str">
        <f>IFERROR(__xludf.DUMMYFUNCTION("""COMPUTED_VALUE"""),"")</f>
        <v/>
      </c>
      <c r="F791" s="292"/>
      <c r="G791" s="292" t="str">
        <f>IFERROR(__xludf.DUMMYFUNCTION("""COMPUTED_VALUE"""),"")</f>
        <v/>
      </c>
      <c r="H791" s="292" t="str">
        <f>IFERROR(__xludf.DUMMYFUNCTION("""COMPUTED_VALUE"""),"")</f>
        <v/>
      </c>
      <c r="I791" s="292"/>
      <c r="J791" s="292"/>
      <c r="K791" s="292"/>
      <c r="L791" s="292"/>
      <c r="M791" s="292" t="str">
        <f>IFERROR(__xludf.DUMMYFUNCTION("""COMPUTED_VALUE"""),"")</f>
        <v/>
      </c>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c r="AK791" s="292"/>
      <c r="AL791" s="292"/>
      <c r="AM791" s="292"/>
      <c r="AN791" s="292"/>
      <c r="AO791" s="292"/>
      <c r="AP791" s="292"/>
      <c r="AQ791" s="292"/>
      <c r="AR791" s="292"/>
      <c r="AS791" s="292"/>
      <c r="AT791" s="292"/>
      <c r="AU791" s="292"/>
      <c r="AV791" s="292"/>
      <c r="AW791" s="292"/>
      <c r="AX791" s="292"/>
      <c r="AY791" s="292"/>
      <c r="AZ791" s="292"/>
      <c r="BA791" s="292"/>
      <c r="BB791" s="292"/>
      <c r="BC791" s="292"/>
      <c r="BD791" s="292"/>
      <c r="BE791" s="292"/>
      <c r="BF791" s="292"/>
      <c r="BG791" s="292"/>
      <c r="BH791" s="292"/>
      <c r="BI791" s="292"/>
      <c r="BJ791" s="292"/>
      <c r="BK791" s="292"/>
      <c r="BL791" s="292"/>
      <c r="BM791" s="292"/>
      <c r="BN791" s="292"/>
      <c r="BO791" s="292"/>
      <c r="BP791" s="292"/>
      <c r="BQ791" s="292"/>
      <c r="BR791" s="292"/>
      <c r="BS791" s="292"/>
      <c r="BT791" s="292"/>
      <c r="BU791" s="292"/>
      <c r="BV791" s="292"/>
      <c r="BW791" s="292"/>
    </row>
    <row r="792">
      <c r="A792" s="292"/>
      <c r="B792" s="292" t="str">
        <f>IFERROR(__xludf.DUMMYFUNCTION("""COMPUTED_VALUE"""),"")</f>
        <v/>
      </c>
      <c r="C792" s="292"/>
      <c r="D792" s="292" t="str">
        <f>IFERROR(__xludf.DUMMYFUNCTION("""COMPUTED_VALUE"""),"")</f>
        <v/>
      </c>
      <c r="E792" s="292" t="str">
        <f>IFERROR(__xludf.DUMMYFUNCTION("""COMPUTED_VALUE"""),"")</f>
        <v/>
      </c>
      <c r="F792" s="292"/>
      <c r="G792" s="292" t="str">
        <f>IFERROR(__xludf.DUMMYFUNCTION("""COMPUTED_VALUE"""),"")</f>
        <v/>
      </c>
      <c r="H792" s="292" t="str">
        <f>IFERROR(__xludf.DUMMYFUNCTION("""COMPUTED_VALUE"""),"")</f>
        <v/>
      </c>
      <c r="I792" s="292"/>
      <c r="J792" s="292"/>
      <c r="K792" s="292"/>
      <c r="L792" s="292"/>
      <c r="M792" s="292" t="str">
        <f>IFERROR(__xludf.DUMMYFUNCTION("""COMPUTED_VALUE"""),"")</f>
        <v/>
      </c>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c r="AK792" s="292"/>
      <c r="AL792" s="292"/>
      <c r="AM792" s="292"/>
      <c r="AN792" s="292"/>
      <c r="AO792" s="292"/>
      <c r="AP792" s="292"/>
      <c r="AQ792" s="292"/>
      <c r="AR792" s="292"/>
      <c r="AS792" s="292"/>
      <c r="AT792" s="292"/>
      <c r="AU792" s="292"/>
      <c r="AV792" s="292"/>
      <c r="AW792" s="292"/>
      <c r="AX792" s="292"/>
      <c r="AY792" s="292"/>
      <c r="AZ792" s="292"/>
      <c r="BA792" s="292"/>
      <c r="BB792" s="292"/>
      <c r="BC792" s="292"/>
      <c r="BD792" s="292"/>
      <c r="BE792" s="292"/>
      <c r="BF792" s="292"/>
      <c r="BG792" s="292"/>
      <c r="BH792" s="292"/>
      <c r="BI792" s="292"/>
      <c r="BJ792" s="292"/>
      <c r="BK792" s="292"/>
      <c r="BL792" s="292"/>
      <c r="BM792" s="292"/>
      <c r="BN792" s="292"/>
      <c r="BO792" s="292"/>
      <c r="BP792" s="292"/>
      <c r="BQ792" s="292"/>
      <c r="BR792" s="292"/>
      <c r="BS792" s="292"/>
      <c r="BT792" s="292"/>
      <c r="BU792" s="292"/>
      <c r="BV792" s="292"/>
      <c r="BW792" s="292"/>
    </row>
    <row r="793">
      <c r="A793" s="292"/>
      <c r="B793" s="292" t="str">
        <f>IFERROR(__xludf.DUMMYFUNCTION("""COMPUTED_VALUE"""),"")</f>
        <v/>
      </c>
      <c r="C793" s="292"/>
      <c r="D793" s="292" t="str">
        <f>IFERROR(__xludf.DUMMYFUNCTION("""COMPUTED_VALUE"""),"")</f>
        <v/>
      </c>
      <c r="E793" s="292" t="str">
        <f>IFERROR(__xludf.DUMMYFUNCTION("""COMPUTED_VALUE"""),"")</f>
        <v/>
      </c>
      <c r="F793" s="292"/>
      <c r="G793" s="292" t="str">
        <f>IFERROR(__xludf.DUMMYFUNCTION("""COMPUTED_VALUE"""),"")</f>
        <v/>
      </c>
      <c r="H793" s="292" t="str">
        <f>IFERROR(__xludf.DUMMYFUNCTION("""COMPUTED_VALUE"""),"")</f>
        <v/>
      </c>
      <c r="I793" s="292"/>
      <c r="J793" s="292"/>
      <c r="K793" s="292"/>
      <c r="L793" s="292"/>
      <c r="M793" s="292" t="str">
        <f>IFERROR(__xludf.DUMMYFUNCTION("""COMPUTED_VALUE"""),"")</f>
        <v/>
      </c>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c r="AK793" s="292"/>
      <c r="AL793" s="292"/>
      <c r="AM793" s="292"/>
      <c r="AN793" s="292"/>
      <c r="AO793" s="292"/>
      <c r="AP793" s="292"/>
      <c r="AQ793" s="292"/>
      <c r="AR793" s="292"/>
      <c r="AS793" s="292"/>
      <c r="AT793" s="292"/>
      <c r="AU793" s="292"/>
      <c r="AV793" s="292"/>
      <c r="AW793" s="292"/>
      <c r="AX793" s="292"/>
      <c r="AY793" s="292"/>
      <c r="AZ793" s="292"/>
      <c r="BA793" s="292"/>
      <c r="BB793" s="292"/>
      <c r="BC793" s="292"/>
      <c r="BD793" s="292"/>
      <c r="BE793" s="292"/>
      <c r="BF793" s="292"/>
      <c r="BG793" s="292"/>
      <c r="BH793" s="292"/>
      <c r="BI793" s="292"/>
      <c r="BJ793" s="292"/>
      <c r="BK793" s="292"/>
      <c r="BL793" s="292"/>
      <c r="BM793" s="292"/>
      <c r="BN793" s="292"/>
      <c r="BO793" s="292"/>
      <c r="BP793" s="292"/>
      <c r="BQ793" s="292"/>
      <c r="BR793" s="292"/>
      <c r="BS793" s="292"/>
      <c r="BT793" s="292"/>
      <c r="BU793" s="292"/>
      <c r="BV793" s="292"/>
      <c r="BW793" s="292"/>
    </row>
    <row r="794">
      <c r="A794" s="292"/>
      <c r="B794" s="292" t="str">
        <f>IFERROR(__xludf.DUMMYFUNCTION("""COMPUTED_VALUE"""),"")</f>
        <v/>
      </c>
      <c r="C794" s="292"/>
      <c r="D794" s="292" t="str">
        <f>IFERROR(__xludf.DUMMYFUNCTION("""COMPUTED_VALUE"""),"")</f>
        <v/>
      </c>
      <c r="E794" s="292" t="str">
        <f>IFERROR(__xludf.DUMMYFUNCTION("""COMPUTED_VALUE"""),"")</f>
        <v/>
      </c>
      <c r="F794" s="292"/>
      <c r="G794" s="292" t="str">
        <f>IFERROR(__xludf.DUMMYFUNCTION("""COMPUTED_VALUE"""),"")</f>
        <v/>
      </c>
      <c r="H794" s="292" t="str">
        <f>IFERROR(__xludf.DUMMYFUNCTION("""COMPUTED_VALUE"""),"")</f>
        <v/>
      </c>
      <c r="I794" s="292"/>
      <c r="J794" s="292"/>
      <c r="K794" s="292"/>
      <c r="L794" s="292"/>
      <c r="M794" s="292" t="str">
        <f>IFERROR(__xludf.DUMMYFUNCTION("""COMPUTED_VALUE"""),"")</f>
        <v/>
      </c>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c r="AK794" s="292"/>
      <c r="AL794" s="292"/>
      <c r="AM794" s="292"/>
      <c r="AN794" s="292"/>
      <c r="AO794" s="292"/>
      <c r="AP794" s="292"/>
      <c r="AQ794" s="292"/>
      <c r="AR794" s="292"/>
      <c r="AS794" s="292"/>
      <c r="AT794" s="292"/>
      <c r="AU794" s="292"/>
      <c r="AV794" s="292"/>
      <c r="AW794" s="292"/>
      <c r="AX794" s="292"/>
      <c r="AY794" s="292"/>
      <c r="AZ794" s="292"/>
      <c r="BA794" s="292"/>
      <c r="BB794" s="292"/>
      <c r="BC794" s="292"/>
      <c r="BD794" s="292"/>
      <c r="BE794" s="292"/>
      <c r="BF794" s="292"/>
      <c r="BG794" s="292"/>
      <c r="BH794" s="292"/>
      <c r="BI794" s="292"/>
      <c r="BJ794" s="292"/>
      <c r="BK794" s="292"/>
      <c r="BL794" s="292"/>
      <c r="BM794" s="292"/>
      <c r="BN794" s="292"/>
      <c r="BO794" s="292"/>
      <c r="BP794" s="292"/>
      <c r="BQ794" s="292"/>
      <c r="BR794" s="292"/>
      <c r="BS794" s="292"/>
      <c r="BT794" s="292"/>
      <c r="BU794" s="292"/>
      <c r="BV794" s="292"/>
      <c r="BW794" s="292"/>
    </row>
    <row r="795">
      <c r="A795" s="292"/>
      <c r="B795" s="292" t="str">
        <f>IFERROR(__xludf.DUMMYFUNCTION("""COMPUTED_VALUE"""),"")</f>
        <v/>
      </c>
      <c r="C795" s="292"/>
      <c r="D795" s="292" t="str">
        <f>IFERROR(__xludf.DUMMYFUNCTION("""COMPUTED_VALUE"""),"")</f>
        <v/>
      </c>
      <c r="E795" s="292" t="str">
        <f>IFERROR(__xludf.DUMMYFUNCTION("""COMPUTED_VALUE"""),"")</f>
        <v/>
      </c>
      <c r="F795" s="292"/>
      <c r="G795" s="292" t="str">
        <f>IFERROR(__xludf.DUMMYFUNCTION("""COMPUTED_VALUE"""),"")</f>
        <v/>
      </c>
      <c r="H795" s="292" t="str">
        <f>IFERROR(__xludf.DUMMYFUNCTION("""COMPUTED_VALUE"""),"")</f>
        <v/>
      </c>
      <c r="I795" s="292"/>
      <c r="J795" s="292"/>
      <c r="K795" s="292"/>
      <c r="L795" s="292"/>
      <c r="M795" s="292" t="str">
        <f>IFERROR(__xludf.DUMMYFUNCTION("""COMPUTED_VALUE"""),"")</f>
        <v/>
      </c>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c r="AK795" s="292"/>
      <c r="AL795" s="292"/>
      <c r="AM795" s="292"/>
      <c r="AN795" s="292"/>
      <c r="AO795" s="292"/>
      <c r="AP795" s="292"/>
      <c r="AQ795" s="292"/>
      <c r="AR795" s="292"/>
      <c r="AS795" s="292"/>
      <c r="AT795" s="292"/>
      <c r="AU795" s="292"/>
      <c r="AV795" s="292"/>
      <c r="AW795" s="292"/>
      <c r="AX795" s="292"/>
      <c r="AY795" s="292"/>
      <c r="AZ795" s="292"/>
      <c r="BA795" s="292"/>
      <c r="BB795" s="292"/>
      <c r="BC795" s="292"/>
      <c r="BD795" s="292"/>
      <c r="BE795" s="292"/>
      <c r="BF795" s="292"/>
      <c r="BG795" s="292"/>
      <c r="BH795" s="292"/>
      <c r="BI795" s="292"/>
      <c r="BJ795" s="292"/>
      <c r="BK795" s="292"/>
      <c r="BL795" s="292"/>
      <c r="BM795" s="292"/>
      <c r="BN795" s="292"/>
      <c r="BO795" s="292"/>
      <c r="BP795" s="292"/>
      <c r="BQ795" s="292"/>
      <c r="BR795" s="292"/>
      <c r="BS795" s="292"/>
      <c r="BT795" s="292"/>
      <c r="BU795" s="292"/>
      <c r="BV795" s="292"/>
      <c r="BW795" s="292"/>
    </row>
    <row r="796">
      <c r="A796" s="292"/>
      <c r="B796" s="292" t="str">
        <f>IFERROR(__xludf.DUMMYFUNCTION("""COMPUTED_VALUE"""),"")</f>
        <v/>
      </c>
      <c r="C796" s="292"/>
      <c r="D796" s="292" t="str">
        <f>IFERROR(__xludf.DUMMYFUNCTION("""COMPUTED_VALUE"""),"")</f>
        <v/>
      </c>
      <c r="E796" s="292" t="str">
        <f>IFERROR(__xludf.DUMMYFUNCTION("""COMPUTED_VALUE"""),"")</f>
        <v/>
      </c>
      <c r="F796" s="292"/>
      <c r="G796" s="292" t="str">
        <f>IFERROR(__xludf.DUMMYFUNCTION("""COMPUTED_VALUE"""),"")</f>
        <v/>
      </c>
      <c r="H796" s="292" t="str">
        <f>IFERROR(__xludf.DUMMYFUNCTION("""COMPUTED_VALUE"""),"")</f>
        <v/>
      </c>
      <c r="I796" s="292"/>
      <c r="J796" s="292"/>
      <c r="K796" s="292"/>
      <c r="L796" s="292"/>
      <c r="M796" s="292" t="str">
        <f>IFERROR(__xludf.DUMMYFUNCTION("""COMPUTED_VALUE"""),"")</f>
        <v/>
      </c>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c r="AK796" s="292"/>
      <c r="AL796" s="292"/>
      <c r="AM796" s="292"/>
      <c r="AN796" s="292"/>
      <c r="AO796" s="292"/>
      <c r="AP796" s="292"/>
      <c r="AQ796" s="292"/>
      <c r="AR796" s="292"/>
      <c r="AS796" s="292"/>
      <c r="AT796" s="292"/>
      <c r="AU796" s="292"/>
      <c r="AV796" s="292"/>
      <c r="AW796" s="292"/>
      <c r="AX796" s="292"/>
      <c r="AY796" s="292"/>
      <c r="AZ796" s="292"/>
      <c r="BA796" s="292"/>
      <c r="BB796" s="292"/>
      <c r="BC796" s="292"/>
      <c r="BD796" s="292"/>
      <c r="BE796" s="292"/>
      <c r="BF796" s="292"/>
      <c r="BG796" s="292"/>
      <c r="BH796" s="292"/>
      <c r="BI796" s="292"/>
      <c r="BJ796" s="292"/>
      <c r="BK796" s="292"/>
      <c r="BL796" s="292"/>
      <c r="BM796" s="292"/>
      <c r="BN796" s="292"/>
      <c r="BO796" s="292"/>
      <c r="BP796" s="292"/>
      <c r="BQ796" s="292"/>
      <c r="BR796" s="292"/>
      <c r="BS796" s="292"/>
      <c r="BT796" s="292"/>
      <c r="BU796" s="292"/>
      <c r="BV796" s="292"/>
      <c r="BW796" s="292"/>
    </row>
    <row r="797">
      <c r="A797" s="292"/>
      <c r="B797" s="292" t="str">
        <f>IFERROR(__xludf.DUMMYFUNCTION("""COMPUTED_VALUE"""),"")</f>
        <v/>
      </c>
      <c r="C797" s="292"/>
      <c r="D797" s="292" t="str">
        <f>IFERROR(__xludf.DUMMYFUNCTION("""COMPUTED_VALUE"""),"")</f>
        <v/>
      </c>
      <c r="E797" s="292" t="str">
        <f>IFERROR(__xludf.DUMMYFUNCTION("""COMPUTED_VALUE"""),"")</f>
        <v/>
      </c>
      <c r="F797" s="292"/>
      <c r="G797" s="292" t="str">
        <f>IFERROR(__xludf.DUMMYFUNCTION("""COMPUTED_VALUE"""),"")</f>
        <v/>
      </c>
      <c r="H797" s="292" t="str">
        <f>IFERROR(__xludf.DUMMYFUNCTION("""COMPUTED_VALUE"""),"")</f>
        <v/>
      </c>
      <c r="I797" s="292"/>
      <c r="J797" s="292"/>
      <c r="K797" s="292"/>
      <c r="L797" s="292"/>
      <c r="M797" s="292" t="str">
        <f>IFERROR(__xludf.DUMMYFUNCTION("""COMPUTED_VALUE"""),"")</f>
        <v/>
      </c>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c r="AK797" s="292"/>
      <c r="AL797" s="292"/>
      <c r="AM797" s="292"/>
      <c r="AN797" s="292"/>
      <c r="AO797" s="292"/>
      <c r="AP797" s="292"/>
      <c r="AQ797" s="292"/>
      <c r="AR797" s="292"/>
      <c r="AS797" s="292"/>
      <c r="AT797" s="292"/>
      <c r="AU797" s="292"/>
      <c r="AV797" s="292"/>
      <c r="AW797" s="292"/>
      <c r="AX797" s="292"/>
      <c r="AY797" s="292"/>
      <c r="AZ797" s="292"/>
      <c r="BA797" s="292"/>
      <c r="BB797" s="292"/>
      <c r="BC797" s="292"/>
      <c r="BD797" s="292"/>
      <c r="BE797" s="292"/>
      <c r="BF797" s="292"/>
      <c r="BG797" s="292"/>
      <c r="BH797" s="292"/>
      <c r="BI797" s="292"/>
      <c r="BJ797" s="292"/>
      <c r="BK797" s="292"/>
      <c r="BL797" s="292"/>
      <c r="BM797" s="292"/>
      <c r="BN797" s="292"/>
      <c r="BO797" s="292"/>
      <c r="BP797" s="292"/>
      <c r="BQ797" s="292"/>
      <c r="BR797" s="292"/>
      <c r="BS797" s="292"/>
      <c r="BT797" s="292"/>
      <c r="BU797" s="292"/>
      <c r="BV797" s="292"/>
      <c r="BW797" s="292"/>
    </row>
    <row r="798">
      <c r="A798" s="292"/>
      <c r="B798" s="292" t="str">
        <f>IFERROR(__xludf.DUMMYFUNCTION("""COMPUTED_VALUE"""),"")</f>
        <v/>
      </c>
      <c r="C798" s="292"/>
      <c r="D798" s="292" t="str">
        <f>IFERROR(__xludf.DUMMYFUNCTION("""COMPUTED_VALUE"""),"")</f>
        <v/>
      </c>
      <c r="E798" s="292" t="str">
        <f>IFERROR(__xludf.DUMMYFUNCTION("""COMPUTED_VALUE"""),"")</f>
        <v/>
      </c>
      <c r="F798" s="292"/>
      <c r="G798" s="292" t="str">
        <f>IFERROR(__xludf.DUMMYFUNCTION("""COMPUTED_VALUE"""),"")</f>
        <v/>
      </c>
      <c r="H798" s="292" t="str">
        <f>IFERROR(__xludf.DUMMYFUNCTION("""COMPUTED_VALUE"""),"")</f>
        <v/>
      </c>
      <c r="I798" s="292"/>
      <c r="J798" s="292"/>
      <c r="K798" s="292"/>
      <c r="L798" s="292"/>
      <c r="M798" s="292" t="str">
        <f>IFERROR(__xludf.DUMMYFUNCTION("""COMPUTED_VALUE"""),"")</f>
        <v/>
      </c>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c r="AK798" s="292"/>
      <c r="AL798" s="292"/>
      <c r="AM798" s="292"/>
      <c r="AN798" s="292"/>
      <c r="AO798" s="292"/>
      <c r="AP798" s="292"/>
      <c r="AQ798" s="292"/>
      <c r="AR798" s="292"/>
      <c r="AS798" s="292"/>
      <c r="AT798" s="292"/>
      <c r="AU798" s="292"/>
      <c r="AV798" s="292"/>
      <c r="AW798" s="292"/>
      <c r="AX798" s="292"/>
      <c r="AY798" s="292"/>
      <c r="AZ798" s="292"/>
      <c r="BA798" s="292"/>
      <c r="BB798" s="292"/>
      <c r="BC798" s="292"/>
      <c r="BD798" s="292"/>
      <c r="BE798" s="292"/>
      <c r="BF798" s="292"/>
      <c r="BG798" s="292"/>
      <c r="BH798" s="292"/>
      <c r="BI798" s="292"/>
      <c r="BJ798" s="292"/>
      <c r="BK798" s="292"/>
      <c r="BL798" s="292"/>
      <c r="BM798" s="292"/>
      <c r="BN798" s="292"/>
      <c r="BO798" s="292"/>
      <c r="BP798" s="292"/>
      <c r="BQ798" s="292"/>
      <c r="BR798" s="292"/>
      <c r="BS798" s="292"/>
      <c r="BT798" s="292"/>
      <c r="BU798" s="292"/>
      <c r="BV798" s="292"/>
      <c r="BW798" s="292"/>
    </row>
    <row r="799">
      <c r="A799" s="292"/>
      <c r="B799" s="292" t="str">
        <f>IFERROR(__xludf.DUMMYFUNCTION("""COMPUTED_VALUE"""),"")</f>
        <v/>
      </c>
      <c r="C799" s="292"/>
      <c r="D799" s="292" t="str">
        <f>IFERROR(__xludf.DUMMYFUNCTION("""COMPUTED_VALUE"""),"")</f>
        <v/>
      </c>
      <c r="E799" s="292" t="str">
        <f>IFERROR(__xludf.DUMMYFUNCTION("""COMPUTED_VALUE"""),"")</f>
        <v/>
      </c>
      <c r="F799" s="292"/>
      <c r="G799" s="292" t="str">
        <f>IFERROR(__xludf.DUMMYFUNCTION("""COMPUTED_VALUE"""),"")</f>
        <v/>
      </c>
      <c r="H799" s="292" t="str">
        <f>IFERROR(__xludf.DUMMYFUNCTION("""COMPUTED_VALUE"""),"")</f>
        <v/>
      </c>
      <c r="I799" s="292"/>
      <c r="J799" s="292"/>
      <c r="K799" s="292"/>
      <c r="L799" s="292"/>
      <c r="M799" s="292" t="str">
        <f>IFERROR(__xludf.DUMMYFUNCTION("""COMPUTED_VALUE"""),"")</f>
        <v/>
      </c>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c r="AK799" s="292"/>
      <c r="AL799" s="292"/>
      <c r="AM799" s="292"/>
      <c r="AN799" s="292"/>
      <c r="AO799" s="292"/>
      <c r="AP799" s="292"/>
      <c r="AQ799" s="292"/>
      <c r="AR799" s="292"/>
      <c r="AS799" s="292"/>
      <c r="AT799" s="292"/>
      <c r="AU799" s="292"/>
      <c r="AV799" s="292"/>
      <c r="AW799" s="292"/>
      <c r="AX799" s="292"/>
      <c r="AY799" s="292"/>
      <c r="AZ799" s="292"/>
      <c r="BA799" s="292"/>
      <c r="BB799" s="292"/>
      <c r="BC799" s="292"/>
      <c r="BD799" s="292"/>
      <c r="BE799" s="292"/>
      <c r="BF799" s="292"/>
      <c r="BG799" s="292"/>
      <c r="BH799" s="292"/>
      <c r="BI799" s="292"/>
      <c r="BJ799" s="292"/>
      <c r="BK799" s="292"/>
      <c r="BL799" s="292"/>
      <c r="BM799" s="292"/>
      <c r="BN799" s="292"/>
      <c r="BO799" s="292"/>
      <c r="BP799" s="292"/>
      <c r="BQ799" s="292"/>
      <c r="BR799" s="292"/>
      <c r="BS799" s="292"/>
      <c r="BT799" s="292"/>
      <c r="BU799" s="292"/>
      <c r="BV799" s="292"/>
      <c r="BW799" s="292"/>
    </row>
    <row r="800">
      <c r="A800" s="292"/>
      <c r="B800" s="292" t="str">
        <f>IFERROR(__xludf.DUMMYFUNCTION("""COMPUTED_VALUE"""),"")</f>
        <v/>
      </c>
      <c r="C800" s="292"/>
      <c r="D800" s="292" t="str">
        <f>IFERROR(__xludf.DUMMYFUNCTION("""COMPUTED_VALUE"""),"")</f>
        <v/>
      </c>
      <c r="E800" s="292" t="str">
        <f>IFERROR(__xludf.DUMMYFUNCTION("""COMPUTED_VALUE"""),"")</f>
        <v/>
      </c>
      <c r="F800" s="292"/>
      <c r="G800" s="292" t="str">
        <f>IFERROR(__xludf.DUMMYFUNCTION("""COMPUTED_VALUE"""),"")</f>
        <v/>
      </c>
      <c r="H800" s="292" t="str">
        <f>IFERROR(__xludf.DUMMYFUNCTION("""COMPUTED_VALUE"""),"")</f>
        <v/>
      </c>
      <c r="I800" s="292"/>
      <c r="J800" s="292"/>
      <c r="K800" s="292"/>
      <c r="L800" s="292"/>
      <c r="M800" s="292" t="str">
        <f>IFERROR(__xludf.DUMMYFUNCTION("""COMPUTED_VALUE"""),"")</f>
        <v/>
      </c>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c r="AK800" s="292"/>
      <c r="AL800" s="292"/>
      <c r="AM800" s="292"/>
      <c r="AN800" s="292"/>
      <c r="AO800" s="292"/>
      <c r="AP800" s="292"/>
      <c r="AQ800" s="292"/>
      <c r="AR800" s="292"/>
      <c r="AS800" s="292"/>
      <c r="AT800" s="292"/>
      <c r="AU800" s="292"/>
      <c r="AV800" s="292"/>
      <c r="AW800" s="292"/>
      <c r="AX800" s="292"/>
      <c r="AY800" s="292"/>
      <c r="AZ800" s="292"/>
      <c r="BA800" s="292"/>
      <c r="BB800" s="292"/>
      <c r="BC800" s="292"/>
      <c r="BD800" s="292"/>
      <c r="BE800" s="292"/>
      <c r="BF800" s="292"/>
      <c r="BG800" s="292"/>
      <c r="BH800" s="292"/>
      <c r="BI800" s="292"/>
      <c r="BJ800" s="292"/>
      <c r="BK800" s="292"/>
      <c r="BL800" s="292"/>
      <c r="BM800" s="292"/>
      <c r="BN800" s="292"/>
      <c r="BO800" s="292"/>
      <c r="BP800" s="292"/>
      <c r="BQ800" s="292"/>
      <c r="BR800" s="292"/>
      <c r="BS800" s="292"/>
      <c r="BT800" s="292"/>
      <c r="BU800" s="292"/>
      <c r="BV800" s="292"/>
      <c r="BW800" s="292"/>
    </row>
    <row r="801">
      <c r="A801" s="292"/>
      <c r="B801" s="292" t="str">
        <f>IFERROR(__xludf.DUMMYFUNCTION("""COMPUTED_VALUE"""),"")</f>
        <v/>
      </c>
      <c r="C801" s="292"/>
      <c r="D801" s="292" t="str">
        <f>IFERROR(__xludf.DUMMYFUNCTION("""COMPUTED_VALUE"""),"")</f>
        <v/>
      </c>
      <c r="E801" s="292" t="str">
        <f>IFERROR(__xludf.DUMMYFUNCTION("""COMPUTED_VALUE"""),"")</f>
        <v/>
      </c>
      <c r="F801" s="292"/>
      <c r="G801" s="292" t="str">
        <f>IFERROR(__xludf.DUMMYFUNCTION("""COMPUTED_VALUE"""),"")</f>
        <v/>
      </c>
      <c r="H801" s="292" t="str">
        <f>IFERROR(__xludf.DUMMYFUNCTION("""COMPUTED_VALUE"""),"")</f>
        <v/>
      </c>
      <c r="I801" s="292"/>
      <c r="J801" s="292"/>
      <c r="K801" s="292"/>
      <c r="L801" s="292"/>
      <c r="M801" s="292" t="str">
        <f>IFERROR(__xludf.DUMMYFUNCTION("""COMPUTED_VALUE"""),"")</f>
        <v/>
      </c>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c r="AK801" s="292"/>
      <c r="AL801" s="292"/>
      <c r="AM801" s="292"/>
      <c r="AN801" s="292"/>
      <c r="AO801" s="292"/>
      <c r="AP801" s="292"/>
      <c r="AQ801" s="292"/>
      <c r="AR801" s="292"/>
      <c r="AS801" s="292"/>
      <c r="AT801" s="292"/>
      <c r="AU801" s="292"/>
      <c r="AV801" s="292"/>
      <c r="AW801" s="292"/>
      <c r="AX801" s="292"/>
      <c r="AY801" s="292"/>
      <c r="AZ801" s="292"/>
      <c r="BA801" s="292"/>
      <c r="BB801" s="292"/>
      <c r="BC801" s="292"/>
      <c r="BD801" s="292"/>
      <c r="BE801" s="292"/>
      <c r="BF801" s="292"/>
      <c r="BG801" s="292"/>
      <c r="BH801" s="292"/>
      <c r="BI801" s="292"/>
      <c r="BJ801" s="292"/>
      <c r="BK801" s="292"/>
      <c r="BL801" s="292"/>
      <c r="BM801" s="292"/>
      <c r="BN801" s="292"/>
      <c r="BO801" s="292"/>
      <c r="BP801" s="292"/>
      <c r="BQ801" s="292"/>
      <c r="BR801" s="292"/>
      <c r="BS801" s="292"/>
      <c r="BT801" s="292"/>
      <c r="BU801" s="292"/>
      <c r="BV801" s="292"/>
      <c r="BW801" s="292"/>
    </row>
    <row r="802">
      <c r="A802" s="292"/>
      <c r="B802" s="292" t="str">
        <f>IFERROR(__xludf.DUMMYFUNCTION("""COMPUTED_VALUE"""),"")</f>
        <v/>
      </c>
      <c r="C802" s="292"/>
      <c r="D802" s="292" t="str">
        <f>IFERROR(__xludf.DUMMYFUNCTION("""COMPUTED_VALUE"""),"")</f>
        <v/>
      </c>
      <c r="E802" s="292" t="str">
        <f>IFERROR(__xludf.DUMMYFUNCTION("""COMPUTED_VALUE"""),"")</f>
        <v/>
      </c>
      <c r="F802" s="292"/>
      <c r="G802" s="292" t="str">
        <f>IFERROR(__xludf.DUMMYFUNCTION("""COMPUTED_VALUE"""),"")</f>
        <v/>
      </c>
      <c r="H802" s="292" t="str">
        <f>IFERROR(__xludf.DUMMYFUNCTION("""COMPUTED_VALUE"""),"")</f>
        <v/>
      </c>
      <c r="I802" s="292"/>
      <c r="J802" s="292"/>
      <c r="K802" s="292"/>
      <c r="L802" s="292"/>
      <c r="M802" s="292" t="str">
        <f>IFERROR(__xludf.DUMMYFUNCTION("""COMPUTED_VALUE"""),"")</f>
        <v/>
      </c>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c r="AK802" s="292"/>
      <c r="AL802" s="292"/>
      <c r="AM802" s="292"/>
      <c r="AN802" s="292"/>
      <c r="AO802" s="292"/>
      <c r="AP802" s="292"/>
      <c r="AQ802" s="292"/>
      <c r="AR802" s="292"/>
      <c r="AS802" s="292"/>
      <c r="AT802" s="292"/>
      <c r="AU802" s="292"/>
      <c r="AV802" s="292"/>
      <c r="AW802" s="292"/>
      <c r="AX802" s="292"/>
      <c r="AY802" s="292"/>
      <c r="AZ802" s="292"/>
      <c r="BA802" s="292"/>
      <c r="BB802" s="292"/>
      <c r="BC802" s="292"/>
      <c r="BD802" s="292"/>
      <c r="BE802" s="292"/>
      <c r="BF802" s="292"/>
      <c r="BG802" s="292"/>
      <c r="BH802" s="292"/>
      <c r="BI802" s="292"/>
      <c r="BJ802" s="292"/>
      <c r="BK802" s="292"/>
      <c r="BL802" s="292"/>
      <c r="BM802" s="292"/>
      <c r="BN802" s="292"/>
      <c r="BO802" s="292"/>
      <c r="BP802" s="292"/>
      <c r="BQ802" s="292"/>
      <c r="BR802" s="292"/>
      <c r="BS802" s="292"/>
      <c r="BT802" s="292"/>
      <c r="BU802" s="292"/>
      <c r="BV802" s="292"/>
      <c r="BW802" s="292"/>
    </row>
    <row r="803">
      <c r="A803" s="292"/>
      <c r="B803" s="292" t="str">
        <f>IFERROR(__xludf.DUMMYFUNCTION("""COMPUTED_VALUE"""),"")</f>
        <v/>
      </c>
      <c r="C803" s="292"/>
      <c r="D803" s="292" t="str">
        <f>IFERROR(__xludf.DUMMYFUNCTION("""COMPUTED_VALUE"""),"")</f>
        <v/>
      </c>
      <c r="E803" s="292" t="str">
        <f>IFERROR(__xludf.DUMMYFUNCTION("""COMPUTED_VALUE"""),"")</f>
        <v/>
      </c>
      <c r="F803" s="292"/>
      <c r="G803" s="292" t="str">
        <f>IFERROR(__xludf.DUMMYFUNCTION("""COMPUTED_VALUE"""),"")</f>
        <v/>
      </c>
      <c r="H803" s="292" t="str">
        <f>IFERROR(__xludf.DUMMYFUNCTION("""COMPUTED_VALUE"""),"")</f>
        <v/>
      </c>
      <c r="I803" s="292"/>
      <c r="J803" s="292"/>
      <c r="K803" s="292"/>
      <c r="L803" s="292"/>
      <c r="M803" s="292" t="str">
        <f>IFERROR(__xludf.DUMMYFUNCTION("""COMPUTED_VALUE"""),"")</f>
        <v/>
      </c>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c r="AK803" s="292"/>
      <c r="AL803" s="292"/>
      <c r="AM803" s="292"/>
      <c r="AN803" s="292"/>
      <c r="AO803" s="292"/>
      <c r="AP803" s="292"/>
      <c r="AQ803" s="292"/>
      <c r="AR803" s="292"/>
      <c r="AS803" s="292"/>
      <c r="AT803" s="292"/>
      <c r="AU803" s="292"/>
      <c r="AV803" s="292"/>
      <c r="AW803" s="292"/>
      <c r="AX803" s="292"/>
      <c r="AY803" s="292"/>
      <c r="AZ803" s="292"/>
      <c r="BA803" s="292"/>
      <c r="BB803" s="292"/>
      <c r="BC803" s="292"/>
      <c r="BD803" s="292"/>
      <c r="BE803" s="292"/>
      <c r="BF803" s="292"/>
      <c r="BG803" s="292"/>
      <c r="BH803" s="292"/>
      <c r="BI803" s="292"/>
      <c r="BJ803" s="292"/>
      <c r="BK803" s="292"/>
      <c r="BL803" s="292"/>
      <c r="BM803" s="292"/>
      <c r="BN803" s="292"/>
      <c r="BO803" s="292"/>
      <c r="BP803" s="292"/>
      <c r="BQ803" s="292"/>
      <c r="BR803" s="292"/>
      <c r="BS803" s="292"/>
      <c r="BT803" s="292"/>
      <c r="BU803" s="292"/>
      <c r="BV803" s="292"/>
      <c r="BW803" s="292"/>
    </row>
    <row r="804">
      <c r="A804" s="292"/>
      <c r="B804" s="292" t="str">
        <f>IFERROR(__xludf.DUMMYFUNCTION("""COMPUTED_VALUE"""),"")</f>
        <v/>
      </c>
      <c r="C804" s="292"/>
      <c r="D804" s="292" t="str">
        <f>IFERROR(__xludf.DUMMYFUNCTION("""COMPUTED_VALUE"""),"")</f>
        <v/>
      </c>
      <c r="E804" s="292" t="str">
        <f>IFERROR(__xludf.DUMMYFUNCTION("""COMPUTED_VALUE"""),"")</f>
        <v/>
      </c>
      <c r="F804" s="292"/>
      <c r="G804" s="292" t="str">
        <f>IFERROR(__xludf.DUMMYFUNCTION("""COMPUTED_VALUE"""),"")</f>
        <v/>
      </c>
      <c r="H804" s="292" t="str">
        <f>IFERROR(__xludf.DUMMYFUNCTION("""COMPUTED_VALUE"""),"")</f>
        <v/>
      </c>
      <c r="I804" s="292"/>
      <c r="J804" s="292"/>
      <c r="K804" s="292"/>
      <c r="L804" s="292"/>
      <c r="M804" s="292" t="str">
        <f>IFERROR(__xludf.DUMMYFUNCTION("""COMPUTED_VALUE"""),"")</f>
        <v/>
      </c>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c r="AK804" s="292"/>
      <c r="AL804" s="292"/>
      <c r="AM804" s="292"/>
      <c r="AN804" s="292"/>
      <c r="AO804" s="292"/>
      <c r="AP804" s="292"/>
      <c r="AQ804" s="292"/>
      <c r="AR804" s="292"/>
      <c r="AS804" s="292"/>
      <c r="AT804" s="292"/>
      <c r="AU804" s="292"/>
      <c r="AV804" s="292"/>
      <c r="AW804" s="292"/>
      <c r="AX804" s="292"/>
      <c r="AY804" s="292"/>
      <c r="AZ804" s="292"/>
      <c r="BA804" s="292"/>
      <c r="BB804" s="292"/>
      <c r="BC804" s="292"/>
      <c r="BD804" s="292"/>
      <c r="BE804" s="292"/>
      <c r="BF804" s="292"/>
      <c r="BG804" s="292"/>
      <c r="BH804" s="292"/>
      <c r="BI804" s="292"/>
      <c r="BJ804" s="292"/>
      <c r="BK804" s="292"/>
      <c r="BL804" s="292"/>
      <c r="BM804" s="292"/>
      <c r="BN804" s="292"/>
      <c r="BO804" s="292"/>
      <c r="BP804" s="292"/>
      <c r="BQ804" s="292"/>
      <c r="BR804" s="292"/>
      <c r="BS804" s="292"/>
      <c r="BT804" s="292"/>
      <c r="BU804" s="292"/>
      <c r="BV804" s="292"/>
      <c r="BW804" s="292"/>
    </row>
    <row r="805">
      <c r="A805" s="292"/>
      <c r="B805" s="292" t="str">
        <f>IFERROR(__xludf.DUMMYFUNCTION("""COMPUTED_VALUE"""),"")</f>
        <v/>
      </c>
      <c r="C805" s="292"/>
      <c r="D805" s="292" t="str">
        <f>IFERROR(__xludf.DUMMYFUNCTION("""COMPUTED_VALUE"""),"")</f>
        <v/>
      </c>
      <c r="E805" s="292" t="str">
        <f>IFERROR(__xludf.DUMMYFUNCTION("""COMPUTED_VALUE"""),"")</f>
        <v/>
      </c>
      <c r="F805" s="292"/>
      <c r="G805" s="292" t="str">
        <f>IFERROR(__xludf.DUMMYFUNCTION("""COMPUTED_VALUE"""),"")</f>
        <v/>
      </c>
      <c r="H805" s="292" t="str">
        <f>IFERROR(__xludf.DUMMYFUNCTION("""COMPUTED_VALUE"""),"")</f>
        <v/>
      </c>
      <c r="I805" s="292"/>
      <c r="J805" s="292"/>
      <c r="K805" s="292"/>
      <c r="L805" s="292"/>
      <c r="M805" s="292" t="str">
        <f>IFERROR(__xludf.DUMMYFUNCTION("""COMPUTED_VALUE"""),"")</f>
        <v/>
      </c>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c r="AK805" s="292"/>
      <c r="AL805" s="292"/>
      <c r="AM805" s="292"/>
      <c r="AN805" s="292"/>
      <c r="AO805" s="292"/>
      <c r="AP805" s="292"/>
      <c r="AQ805" s="292"/>
      <c r="AR805" s="292"/>
      <c r="AS805" s="292"/>
      <c r="AT805" s="292"/>
      <c r="AU805" s="292"/>
      <c r="AV805" s="292"/>
      <c r="AW805" s="292"/>
      <c r="AX805" s="292"/>
      <c r="AY805" s="292"/>
      <c r="AZ805" s="292"/>
      <c r="BA805" s="292"/>
      <c r="BB805" s="292"/>
      <c r="BC805" s="292"/>
      <c r="BD805" s="292"/>
      <c r="BE805" s="292"/>
      <c r="BF805" s="292"/>
      <c r="BG805" s="292"/>
      <c r="BH805" s="292"/>
      <c r="BI805" s="292"/>
      <c r="BJ805" s="292"/>
      <c r="BK805" s="292"/>
      <c r="BL805" s="292"/>
      <c r="BM805" s="292"/>
      <c r="BN805" s="292"/>
      <c r="BO805" s="292"/>
      <c r="BP805" s="292"/>
      <c r="BQ805" s="292"/>
      <c r="BR805" s="292"/>
      <c r="BS805" s="292"/>
      <c r="BT805" s="292"/>
      <c r="BU805" s="292"/>
      <c r="BV805" s="292"/>
      <c r="BW805" s="292"/>
    </row>
    <row r="806">
      <c r="A806" s="292"/>
      <c r="B806" s="292" t="str">
        <f>IFERROR(__xludf.DUMMYFUNCTION("""COMPUTED_VALUE"""),"")</f>
        <v/>
      </c>
      <c r="C806" s="292"/>
      <c r="D806" s="292" t="str">
        <f>IFERROR(__xludf.DUMMYFUNCTION("""COMPUTED_VALUE"""),"")</f>
        <v/>
      </c>
      <c r="E806" s="292" t="str">
        <f>IFERROR(__xludf.DUMMYFUNCTION("""COMPUTED_VALUE"""),"")</f>
        <v/>
      </c>
      <c r="F806" s="292"/>
      <c r="G806" s="292" t="str">
        <f>IFERROR(__xludf.DUMMYFUNCTION("""COMPUTED_VALUE"""),"")</f>
        <v/>
      </c>
      <c r="H806" s="292" t="str">
        <f>IFERROR(__xludf.DUMMYFUNCTION("""COMPUTED_VALUE"""),"")</f>
        <v/>
      </c>
      <c r="I806" s="292"/>
      <c r="J806" s="292"/>
      <c r="K806" s="292"/>
      <c r="L806" s="292"/>
      <c r="M806" s="292" t="str">
        <f>IFERROR(__xludf.DUMMYFUNCTION("""COMPUTED_VALUE"""),"")</f>
        <v/>
      </c>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c r="AK806" s="292"/>
      <c r="AL806" s="292"/>
      <c r="AM806" s="292"/>
      <c r="AN806" s="292"/>
      <c r="AO806" s="292"/>
      <c r="AP806" s="292"/>
      <c r="AQ806" s="292"/>
      <c r="AR806" s="292"/>
      <c r="AS806" s="292"/>
      <c r="AT806" s="292"/>
      <c r="AU806" s="292"/>
      <c r="AV806" s="292"/>
      <c r="AW806" s="292"/>
      <c r="AX806" s="292"/>
      <c r="AY806" s="292"/>
      <c r="AZ806" s="292"/>
      <c r="BA806" s="292"/>
      <c r="BB806" s="292"/>
      <c r="BC806" s="292"/>
      <c r="BD806" s="292"/>
      <c r="BE806" s="292"/>
      <c r="BF806" s="292"/>
      <c r="BG806" s="292"/>
      <c r="BH806" s="292"/>
      <c r="BI806" s="292"/>
      <c r="BJ806" s="292"/>
      <c r="BK806" s="292"/>
      <c r="BL806" s="292"/>
      <c r="BM806" s="292"/>
      <c r="BN806" s="292"/>
      <c r="BO806" s="292"/>
      <c r="BP806" s="292"/>
      <c r="BQ806" s="292"/>
      <c r="BR806" s="292"/>
      <c r="BS806" s="292"/>
      <c r="BT806" s="292"/>
      <c r="BU806" s="292"/>
      <c r="BV806" s="292"/>
      <c r="BW806" s="292"/>
    </row>
    <row r="807">
      <c r="A807" s="292"/>
      <c r="B807" s="292" t="str">
        <f>IFERROR(__xludf.DUMMYFUNCTION("""COMPUTED_VALUE"""),"")</f>
        <v/>
      </c>
      <c r="C807" s="292"/>
      <c r="D807" s="292" t="str">
        <f>IFERROR(__xludf.DUMMYFUNCTION("""COMPUTED_VALUE"""),"")</f>
        <v/>
      </c>
      <c r="E807" s="292" t="str">
        <f>IFERROR(__xludf.DUMMYFUNCTION("""COMPUTED_VALUE"""),"")</f>
        <v/>
      </c>
      <c r="F807" s="292"/>
      <c r="G807" s="292" t="str">
        <f>IFERROR(__xludf.DUMMYFUNCTION("""COMPUTED_VALUE"""),"")</f>
        <v/>
      </c>
      <c r="H807" s="292" t="str">
        <f>IFERROR(__xludf.DUMMYFUNCTION("""COMPUTED_VALUE"""),"")</f>
        <v/>
      </c>
      <c r="I807" s="292"/>
      <c r="J807" s="292"/>
      <c r="K807" s="292"/>
      <c r="L807" s="292"/>
      <c r="M807" s="292" t="str">
        <f>IFERROR(__xludf.DUMMYFUNCTION("""COMPUTED_VALUE"""),"")</f>
        <v/>
      </c>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c r="AK807" s="292"/>
      <c r="AL807" s="292"/>
      <c r="AM807" s="292"/>
      <c r="AN807" s="292"/>
      <c r="AO807" s="292"/>
      <c r="AP807" s="292"/>
      <c r="AQ807" s="292"/>
      <c r="AR807" s="292"/>
      <c r="AS807" s="292"/>
      <c r="AT807" s="292"/>
      <c r="AU807" s="292"/>
      <c r="AV807" s="292"/>
      <c r="AW807" s="292"/>
      <c r="AX807" s="292"/>
      <c r="AY807" s="292"/>
      <c r="AZ807" s="292"/>
      <c r="BA807" s="292"/>
      <c r="BB807" s="292"/>
      <c r="BC807" s="292"/>
      <c r="BD807" s="292"/>
      <c r="BE807" s="292"/>
      <c r="BF807" s="292"/>
      <c r="BG807" s="292"/>
      <c r="BH807" s="292"/>
      <c r="BI807" s="292"/>
      <c r="BJ807" s="292"/>
      <c r="BK807" s="292"/>
      <c r="BL807" s="292"/>
      <c r="BM807" s="292"/>
      <c r="BN807" s="292"/>
      <c r="BO807" s="292"/>
      <c r="BP807" s="292"/>
      <c r="BQ807" s="292"/>
      <c r="BR807" s="292"/>
      <c r="BS807" s="292"/>
      <c r="BT807" s="292"/>
      <c r="BU807" s="292"/>
      <c r="BV807" s="292"/>
      <c r="BW807" s="292"/>
    </row>
    <row r="808">
      <c r="A808" s="292"/>
      <c r="B808" s="292" t="str">
        <f>IFERROR(__xludf.DUMMYFUNCTION("""COMPUTED_VALUE"""),"")</f>
        <v/>
      </c>
      <c r="C808" s="292"/>
      <c r="D808" s="292" t="str">
        <f>IFERROR(__xludf.DUMMYFUNCTION("""COMPUTED_VALUE"""),"")</f>
        <v/>
      </c>
      <c r="E808" s="292" t="str">
        <f>IFERROR(__xludf.DUMMYFUNCTION("""COMPUTED_VALUE"""),"")</f>
        <v/>
      </c>
      <c r="F808" s="292"/>
      <c r="G808" s="292" t="str">
        <f>IFERROR(__xludf.DUMMYFUNCTION("""COMPUTED_VALUE"""),"")</f>
        <v/>
      </c>
      <c r="H808" s="292" t="str">
        <f>IFERROR(__xludf.DUMMYFUNCTION("""COMPUTED_VALUE"""),"")</f>
        <v/>
      </c>
      <c r="I808" s="292"/>
      <c r="J808" s="292"/>
      <c r="K808" s="292"/>
      <c r="L808" s="292"/>
      <c r="M808" s="292" t="str">
        <f>IFERROR(__xludf.DUMMYFUNCTION("""COMPUTED_VALUE"""),"")</f>
        <v/>
      </c>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c r="AK808" s="292"/>
      <c r="AL808" s="292"/>
      <c r="AM808" s="292"/>
      <c r="AN808" s="292"/>
      <c r="AO808" s="292"/>
      <c r="AP808" s="292"/>
      <c r="AQ808" s="292"/>
      <c r="AR808" s="292"/>
      <c r="AS808" s="292"/>
      <c r="AT808" s="292"/>
      <c r="AU808" s="292"/>
      <c r="AV808" s="292"/>
      <c r="AW808" s="292"/>
      <c r="AX808" s="292"/>
      <c r="AY808" s="292"/>
      <c r="AZ808" s="292"/>
      <c r="BA808" s="292"/>
      <c r="BB808" s="292"/>
      <c r="BC808" s="292"/>
      <c r="BD808" s="292"/>
      <c r="BE808" s="292"/>
      <c r="BF808" s="292"/>
      <c r="BG808" s="292"/>
      <c r="BH808" s="292"/>
      <c r="BI808" s="292"/>
      <c r="BJ808" s="292"/>
      <c r="BK808" s="292"/>
      <c r="BL808" s="292"/>
      <c r="BM808" s="292"/>
      <c r="BN808" s="292"/>
      <c r="BO808" s="292"/>
      <c r="BP808" s="292"/>
      <c r="BQ808" s="292"/>
      <c r="BR808" s="292"/>
      <c r="BS808" s="292"/>
      <c r="BT808" s="292"/>
      <c r="BU808" s="292"/>
      <c r="BV808" s="292"/>
      <c r="BW808" s="292"/>
    </row>
    <row r="809">
      <c r="A809" s="292"/>
      <c r="B809" s="292" t="str">
        <f>IFERROR(__xludf.DUMMYFUNCTION("""COMPUTED_VALUE"""),"")</f>
        <v/>
      </c>
      <c r="C809" s="292"/>
      <c r="D809" s="292" t="str">
        <f>IFERROR(__xludf.DUMMYFUNCTION("""COMPUTED_VALUE"""),"")</f>
        <v/>
      </c>
      <c r="E809" s="292" t="str">
        <f>IFERROR(__xludf.DUMMYFUNCTION("""COMPUTED_VALUE"""),"")</f>
        <v/>
      </c>
      <c r="F809" s="292"/>
      <c r="G809" s="292" t="str">
        <f>IFERROR(__xludf.DUMMYFUNCTION("""COMPUTED_VALUE"""),"")</f>
        <v/>
      </c>
      <c r="H809" s="292" t="str">
        <f>IFERROR(__xludf.DUMMYFUNCTION("""COMPUTED_VALUE"""),"")</f>
        <v/>
      </c>
      <c r="I809" s="292"/>
      <c r="J809" s="292"/>
      <c r="K809" s="292"/>
      <c r="L809" s="292"/>
      <c r="M809" s="292" t="str">
        <f>IFERROR(__xludf.DUMMYFUNCTION("""COMPUTED_VALUE"""),"")</f>
        <v/>
      </c>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c r="AK809" s="292"/>
      <c r="AL809" s="292"/>
      <c r="AM809" s="292"/>
      <c r="AN809" s="292"/>
      <c r="AO809" s="292"/>
      <c r="AP809" s="292"/>
      <c r="AQ809" s="292"/>
      <c r="AR809" s="292"/>
      <c r="AS809" s="292"/>
      <c r="AT809" s="292"/>
      <c r="AU809" s="292"/>
      <c r="AV809" s="292"/>
      <c r="AW809" s="292"/>
      <c r="AX809" s="292"/>
      <c r="AY809" s="292"/>
      <c r="AZ809" s="292"/>
      <c r="BA809" s="292"/>
      <c r="BB809" s="292"/>
      <c r="BC809" s="292"/>
      <c r="BD809" s="292"/>
      <c r="BE809" s="292"/>
      <c r="BF809" s="292"/>
      <c r="BG809" s="292"/>
      <c r="BH809" s="292"/>
      <c r="BI809" s="292"/>
      <c r="BJ809" s="292"/>
      <c r="BK809" s="292"/>
      <c r="BL809" s="292"/>
      <c r="BM809" s="292"/>
      <c r="BN809" s="292"/>
      <c r="BO809" s="292"/>
      <c r="BP809" s="292"/>
      <c r="BQ809" s="292"/>
      <c r="BR809" s="292"/>
      <c r="BS809" s="292"/>
      <c r="BT809" s="292"/>
      <c r="BU809" s="292"/>
      <c r="BV809" s="292"/>
      <c r="BW809" s="292"/>
    </row>
    <row r="810">
      <c r="A810" s="292"/>
      <c r="B810" s="292" t="str">
        <f>IFERROR(__xludf.DUMMYFUNCTION("""COMPUTED_VALUE"""),"")</f>
        <v/>
      </c>
      <c r="C810" s="292"/>
      <c r="D810" s="292" t="str">
        <f>IFERROR(__xludf.DUMMYFUNCTION("""COMPUTED_VALUE"""),"")</f>
        <v/>
      </c>
      <c r="E810" s="292" t="str">
        <f>IFERROR(__xludf.DUMMYFUNCTION("""COMPUTED_VALUE"""),"")</f>
        <v/>
      </c>
      <c r="F810" s="292"/>
      <c r="G810" s="292" t="str">
        <f>IFERROR(__xludf.DUMMYFUNCTION("""COMPUTED_VALUE"""),"")</f>
        <v/>
      </c>
      <c r="H810" s="292" t="str">
        <f>IFERROR(__xludf.DUMMYFUNCTION("""COMPUTED_VALUE"""),"")</f>
        <v/>
      </c>
      <c r="I810" s="292"/>
      <c r="J810" s="292"/>
      <c r="K810" s="292"/>
      <c r="L810" s="292"/>
      <c r="M810" s="292" t="str">
        <f>IFERROR(__xludf.DUMMYFUNCTION("""COMPUTED_VALUE"""),"")</f>
        <v/>
      </c>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c r="AK810" s="292"/>
      <c r="AL810" s="292"/>
      <c r="AM810" s="292"/>
      <c r="AN810" s="292"/>
      <c r="AO810" s="292"/>
      <c r="AP810" s="292"/>
      <c r="AQ810" s="292"/>
      <c r="AR810" s="292"/>
      <c r="AS810" s="292"/>
      <c r="AT810" s="292"/>
      <c r="AU810" s="292"/>
      <c r="AV810" s="292"/>
      <c r="AW810" s="292"/>
      <c r="AX810" s="292"/>
      <c r="AY810" s="292"/>
      <c r="AZ810" s="292"/>
      <c r="BA810" s="292"/>
      <c r="BB810" s="292"/>
      <c r="BC810" s="292"/>
      <c r="BD810" s="292"/>
      <c r="BE810" s="292"/>
      <c r="BF810" s="292"/>
      <c r="BG810" s="292"/>
      <c r="BH810" s="292"/>
      <c r="BI810" s="292"/>
      <c r="BJ810" s="292"/>
      <c r="BK810" s="292"/>
      <c r="BL810" s="292"/>
      <c r="BM810" s="292"/>
      <c r="BN810" s="292"/>
      <c r="BO810" s="292"/>
      <c r="BP810" s="292"/>
      <c r="BQ810" s="292"/>
      <c r="BR810" s="292"/>
      <c r="BS810" s="292"/>
      <c r="BT810" s="292"/>
      <c r="BU810" s="292"/>
      <c r="BV810" s="292"/>
      <c r="BW810" s="292"/>
    </row>
    <row r="811">
      <c r="A811" s="292"/>
      <c r="B811" s="292" t="str">
        <f>IFERROR(__xludf.DUMMYFUNCTION("""COMPUTED_VALUE"""),"")</f>
        <v/>
      </c>
      <c r="C811" s="292"/>
      <c r="D811" s="292" t="str">
        <f>IFERROR(__xludf.DUMMYFUNCTION("""COMPUTED_VALUE"""),"")</f>
        <v/>
      </c>
      <c r="E811" s="292" t="str">
        <f>IFERROR(__xludf.DUMMYFUNCTION("""COMPUTED_VALUE"""),"")</f>
        <v/>
      </c>
      <c r="F811" s="292"/>
      <c r="G811" s="292" t="str">
        <f>IFERROR(__xludf.DUMMYFUNCTION("""COMPUTED_VALUE"""),"")</f>
        <v/>
      </c>
      <c r="H811" s="292" t="str">
        <f>IFERROR(__xludf.DUMMYFUNCTION("""COMPUTED_VALUE"""),"")</f>
        <v/>
      </c>
      <c r="I811" s="292"/>
      <c r="J811" s="292"/>
      <c r="K811" s="292"/>
      <c r="L811" s="292"/>
      <c r="M811" s="292" t="str">
        <f>IFERROR(__xludf.DUMMYFUNCTION("""COMPUTED_VALUE"""),"")</f>
        <v/>
      </c>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c r="AK811" s="292"/>
      <c r="AL811" s="292"/>
      <c r="AM811" s="292"/>
      <c r="AN811" s="292"/>
      <c r="AO811" s="292"/>
      <c r="AP811" s="292"/>
      <c r="AQ811" s="292"/>
      <c r="AR811" s="292"/>
      <c r="AS811" s="292"/>
      <c r="AT811" s="292"/>
      <c r="AU811" s="292"/>
      <c r="AV811" s="292"/>
      <c r="AW811" s="292"/>
      <c r="AX811" s="292"/>
      <c r="AY811" s="292"/>
      <c r="AZ811" s="292"/>
      <c r="BA811" s="292"/>
      <c r="BB811" s="292"/>
      <c r="BC811" s="292"/>
      <c r="BD811" s="292"/>
      <c r="BE811" s="292"/>
      <c r="BF811" s="292"/>
      <c r="BG811" s="292"/>
      <c r="BH811" s="292"/>
      <c r="BI811" s="292"/>
      <c r="BJ811" s="292"/>
      <c r="BK811" s="292"/>
      <c r="BL811" s="292"/>
      <c r="BM811" s="292"/>
      <c r="BN811" s="292"/>
      <c r="BO811" s="292"/>
      <c r="BP811" s="292"/>
      <c r="BQ811" s="292"/>
      <c r="BR811" s="292"/>
      <c r="BS811" s="292"/>
      <c r="BT811" s="292"/>
      <c r="BU811" s="292"/>
      <c r="BV811" s="292"/>
      <c r="BW811" s="292"/>
    </row>
    <row r="812">
      <c r="A812" s="292"/>
      <c r="B812" s="292" t="str">
        <f>IFERROR(__xludf.DUMMYFUNCTION("""COMPUTED_VALUE"""),"")</f>
        <v/>
      </c>
      <c r="C812" s="292"/>
      <c r="D812" s="292" t="str">
        <f>IFERROR(__xludf.DUMMYFUNCTION("""COMPUTED_VALUE"""),"")</f>
        <v/>
      </c>
      <c r="E812" s="292" t="str">
        <f>IFERROR(__xludf.DUMMYFUNCTION("""COMPUTED_VALUE"""),"")</f>
        <v/>
      </c>
      <c r="F812" s="292"/>
      <c r="G812" s="292" t="str">
        <f>IFERROR(__xludf.DUMMYFUNCTION("""COMPUTED_VALUE"""),"")</f>
        <v/>
      </c>
      <c r="H812" s="292" t="str">
        <f>IFERROR(__xludf.DUMMYFUNCTION("""COMPUTED_VALUE"""),"")</f>
        <v/>
      </c>
      <c r="I812" s="292"/>
      <c r="J812" s="292"/>
      <c r="K812" s="292"/>
      <c r="L812" s="292"/>
      <c r="M812" s="292" t="str">
        <f>IFERROR(__xludf.DUMMYFUNCTION("""COMPUTED_VALUE"""),"")</f>
        <v/>
      </c>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c r="AK812" s="292"/>
      <c r="AL812" s="292"/>
      <c r="AM812" s="292"/>
      <c r="AN812" s="292"/>
      <c r="AO812" s="292"/>
      <c r="AP812" s="292"/>
      <c r="AQ812" s="292"/>
      <c r="AR812" s="292"/>
      <c r="AS812" s="292"/>
      <c r="AT812" s="292"/>
      <c r="AU812" s="292"/>
      <c r="AV812" s="292"/>
      <c r="AW812" s="292"/>
      <c r="AX812" s="292"/>
      <c r="AY812" s="292"/>
      <c r="AZ812" s="292"/>
      <c r="BA812" s="292"/>
      <c r="BB812" s="292"/>
      <c r="BC812" s="292"/>
      <c r="BD812" s="292"/>
      <c r="BE812" s="292"/>
      <c r="BF812" s="292"/>
      <c r="BG812" s="292"/>
      <c r="BH812" s="292"/>
      <c r="BI812" s="292"/>
      <c r="BJ812" s="292"/>
      <c r="BK812" s="292"/>
      <c r="BL812" s="292"/>
      <c r="BM812" s="292"/>
      <c r="BN812" s="292"/>
      <c r="BO812" s="292"/>
      <c r="BP812" s="292"/>
      <c r="BQ812" s="292"/>
      <c r="BR812" s="292"/>
      <c r="BS812" s="292"/>
      <c r="BT812" s="292"/>
      <c r="BU812" s="292"/>
      <c r="BV812" s="292"/>
      <c r="BW812" s="292"/>
    </row>
    <row r="813">
      <c r="A813" s="292"/>
      <c r="B813" s="292" t="str">
        <f>IFERROR(__xludf.DUMMYFUNCTION("""COMPUTED_VALUE"""),"")</f>
        <v/>
      </c>
      <c r="C813" s="292"/>
      <c r="D813" s="292" t="str">
        <f>IFERROR(__xludf.DUMMYFUNCTION("""COMPUTED_VALUE"""),"")</f>
        <v/>
      </c>
      <c r="E813" s="292" t="str">
        <f>IFERROR(__xludf.DUMMYFUNCTION("""COMPUTED_VALUE"""),"")</f>
        <v/>
      </c>
      <c r="F813" s="292"/>
      <c r="G813" s="292" t="str">
        <f>IFERROR(__xludf.DUMMYFUNCTION("""COMPUTED_VALUE"""),"")</f>
        <v/>
      </c>
      <c r="H813" s="292" t="str">
        <f>IFERROR(__xludf.DUMMYFUNCTION("""COMPUTED_VALUE"""),"")</f>
        <v/>
      </c>
      <c r="I813" s="292"/>
      <c r="J813" s="292"/>
      <c r="K813" s="292"/>
      <c r="L813" s="292"/>
      <c r="M813" s="292" t="str">
        <f>IFERROR(__xludf.DUMMYFUNCTION("""COMPUTED_VALUE"""),"")</f>
        <v/>
      </c>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c r="AK813" s="292"/>
      <c r="AL813" s="292"/>
      <c r="AM813" s="292"/>
      <c r="AN813" s="292"/>
      <c r="AO813" s="292"/>
      <c r="AP813" s="292"/>
      <c r="AQ813" s="292"/>
      <c r="AR813" s="292"/>
      <c r="AS813" s="292"/>
      <c r="AT813" s="292"/>
      <c r="AU813" s="292"/>
      <c r="AV813" s="292"/>
      <c r="AW813" s="292"/>
      <c r="AX813" s="292"/>
      <c r="AY813" s="292"/>
      <c r="AZ813" s="292"/>
      <c r="BA813" s="292"/>
      <c r="BB813" s="292"/>
      <c r="BC813" s="292"/>
      <c r="BD813" s="292"/>
      <c r="BE813" s="292"/>
      <c r="BF813" s="292"/>
      <c r="BG813" s="292"/>
      <c r="BH813" s="292"/>
      <c r="BI813" s="292"/>
      <c r="BJ813" s="292"/>
      <c r="BK813" s="292"/>
      <c r="BL813" s="292"/>
      <c r="BM813" s="292"/>
      <c r="BN813" s="292"/>
      <c r="BO813" s="292"/>
      <c r="BP813" s="292"/>
      <c r="BQ813" s="292"/>
      <c r="BR813" s="292"/>
      <c r="BS813" s="292"/>
      <c r="BT813" s="292"/>
      <c r="BU813" s="292"/>
      <c r="BV813" s="292"/>
      <c r="BW813" s="292"/>
    </row>
    <row r="814">
      <c r="A814" s="292"/>
      <c r="B814" s="292" t="str">
        <f>IFERROR(__xludf.DUMMYFUNCTION("""COMPUTED_VALUE"""),"")</f>
        <v/>
      </c>
      <c r="C814" s="292"/>
      <c r="D814" s="292" t="str">
        <f>IFERROR(__xludf.DUMMYFUNCTION("""COMPUTED_VALUE"""),"")</f>
        <v/>
      </c>
      <c r="E814" s="292" t="str">
        <f>IFERROR(__xludf.DUMMYFUNCTION("""COMPUTED_VALUE"""),"")</f>
        <v/>
      </c>
      <c r="F814" s="292"/>
      <c r="G814" s="292" t="str">
        <f>IFERROR(__xludf.DUMMYFUNCTION("""COMPUTED_VALUE"""),"")</f>
        <v/>
      </c>
      <c r="H814" s="292" t="str">
        <f>IFERROR(__xludf.DUMMYFUNCTION("""COMPUTED_VALUE"""),"")</f>
        <v/>
      </c>
      <c r="I814" s="292"/>
      <c r="J814" s="292"/>
      <c r="K814" s="292"/>
      <c r="L814" s="292"/>
      <c r="M814" s="292" t="str">
        <f>IFERROR(__xludf.DUMMYFUNCTION("""COMPUTED_VALUE"""),"")</f>
        <v/>
      </c>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c r="AK814" s="292"/>
      <c r="AL814" s="292"/>
      <c r="AM814" s="292"/>
      <c r="AN814" s="292"/>
      <c r="AO814" s="292"/>
      <c r="AP814" s="292"/>
      <c r="AQ814" s="292"/>
      <c r="AR814" s="292"/>
      <c r="AS814" s="292"/>
      <c r="AT814" s="292"/>
      <c r="AU814" s="292"/>
      <c r="AV814" s="292"/>
      <c r="AW814" s="292"/>
      <c r="AX814" s="292"/>
      <c r="AY814" s="292"/>
      <c r="AZ814" s="292"/>
      <c r="BA814" s="292"/>
      <c r="BB814" s="292"/>
      <c r="BC814" s="292"/>
      <c r="BD814" s="292"/>
      <c r="BE814" s="292"/>
      <c r="BF814" s="292"/>
      <c r="BG814" s="292"/>
      <c r="BH814" s="292"/>
      <c r="BI814" s="292"/>
      <c r="BJ814" s="292"/>
      <c r="BK814" s="292"/>
      <c r="BL814" s="292"/>
      <c r="BM814" s="292"/>
      <c r="BN814" s="292"/>
      <c r="BO814" s="292"/>
      <c r="BP814" s="292"/>
      <c r="BQ814" s="292"/>
      <c r="BR814" s="292"/>
      <c r="BS814" s="292"/>
      <c r="BT814" s="292"/>
      <c r="BU814" s="292"/>
      <c r="BV814" s="292"/>
      <c r="BW814" s="292"/>
    </row>
    <row r="815">
      <c r="A815" s="292"/>
      <c r="B815" s="292" t="str">
        <f>IFERROR(__xludf.DUMMYFUNCTION("""COMPUTED_VALUE"""),"")</f>
        <v/>
      </c>
      <c r="C815" s="292"/>
      <c r="D815" s="292" t="str">
        <f>IFERROR(__xludf.DUMMYFUNCTION("""COMPUTED_VALUE"""),"")</f>
        <v/>
      </c>
      <c r="E815" s="292" t="str">
        <f>IFERROR(__xludf.DUMMYFUNCTION("""COMPUTED_VALUE"""),"")</f>
        <v/>
      </c>
      <c r="F815" s="292"/>
      <c r="G815" s="292" t="str">
        <f>IFERROR(__xludf.DUMMYFUNCTION("""COMPUTED_VALUE"""),"")</f>
        <v/>
      </c>
      <c r="H815" s="292" t="str">
        <f>IFERROR(__xludf.DUMMYFUNCTION("""COMPUTED_VALUE"""),"")</f>
        <v/>
      </c>
      <c r="I815" s="292"/>
      <c r="J815" s="292"/>
      <c r="K815" s="292"/>
      <c r="L815" s="292"/>
      <c r="M815" s="292" t="str">
        <f>IFERROR(__xludf.DUMMYFUNCTION("""COMPUTED_VALUE"""),"")</f>
        <v/>
      </c>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c r="AK815" s="292"/>
      <c r="AL815" s="292"/>
      <c r="AM815" s="292"/>
      <c r="AN815" s="292"/>
      <c r="AO815" s="292"/>
      <c r="AP815" s="292"/>
      <c r="AQ815" s="292"/>
      <c r="AR815" s="292"/>
      <c r="AS815" s="292"/>
      <c r="AT815" s="292"/>
      <c r="AU815" s="292"/>
      <c r="AV815" s="292"/>
      <c r="AW815" s="292"/>
      <c r="AX815" s="292"/>
      <c r="AY815" s="292"/>
      <c r="AZ815" s="292"/>
      <c r="BA815" s="292"/>
      <c r="BB815" s="292"/>
      <c r="BC815" s="292"/>
      <c r="BD815" s="292"/>
      <c r="BE815" s="292"/>
      <c r="BF815" s="292"/>
      <c r="BG815" s="292"/>
      <c r="BH815" s="292"/>
      <c r="BI815" s="292"/>
      <c r="BJ815" s="292"/>
      <c r="BK815" s="292"/>
      <c r="BL815" s="292"/>
      <c r="BM815" s="292"/>
      <c r="BN815" s="292"/>
      <c r="BO815" s="292"/>
      <c r="BP815" s="292"/>
      <c r="BQ815" s="292"/>
      <c r="BR815" s="292"/>
      <c r="BS815" s="292"/>
      <c r="BT815" s="292"/>
      <c r="BU815" s="292"/>
      <c r="BV815" s="292"/>
      <c r="BW815" s="292"/>
    </row>
    <row r="816">
      <c r="A816" s="292"/>
      <c r="B816" s="292" t="str">
        <f>IFERROR(__xludf.DUMMYFUNCTION("""COMPUTED_VALUE"""),"")</f>
        <v/>
      </c>
      <c r="C816" s="292"/>
      <c r="D816" s="292" t="str">
        <f>IFERROR(__xludf.DUMMYFUNCTION("""COMPUTED_VALUE"""),"")</f>
        <v/>
      </c>
      <c r="E816" s="292" t="str">
        <f>IFERROR(__xludf.DUMMYFUNCTION("""COMPUTED_VALUE"""),"")</f>
        <v/>
      </c>
      <c r="F816" s="292"/>
      <c r="G816" s="292" t="str">
        <f>IFERROR(__xludf.DUMMYFUNCTION("""COMPUTED_VALUE"""),"")</f>
        <v/>
      </c>
      <c r="H816" s="292" t="str">
        <f>IFERROR(__xludf.DUMMYFUNCTION("""COMPUTED_VALUE"""),"")</f>
        <v/>
      </c>
      <c r="I816" s="292"/>
      <c r="J816" s="292"/>
      <c r="K816" s="292"/>
      <c r="L816" s="292"/>
      <c r="M816" s="292" t="str">
        <f>IFERROR(__xludf.DUMMYFUNCTION("""COMPUTED_VALUE"""),"")</f>
        <v/>
      </c>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c r="AK816" s="292"/>
      <c r="AL816" s="292"/>
      <c r="AM816" s="292"/>
      <c r="AN816" s="292"/>
      <c r="AO816" s="292"/>
      <c r="AP816" s="292"/>
      <c r="AQ816" s="292"/>
      <c r="AR816" s="292"/>
      <c r="AS816" s="292"/>
      <c r="AT816" s="292"/>
      <c r="AU816" s="292"/>
      <c r="AV816" s="292"/>
      <c r="AW816" s="292"/>
      <c r="AX816" s="292"/>
      <c r="AY816" s="292"/>
      <c r="AZ816" s="292"/>
      <c r="BA816" s="292"/>
      <c r="BB816" s="292"/>
      <c r="BC816" s="292"/>
      <c r="BD816" s="292"/>
      <c r="BE816" s="292"/>
      <c r="BF816" s="292"/>
      <c r="BG816" s="292"/>
      <c r="BH816" s="292"/>
      <c r="BI816" s="292"/>
      <c r="BJ816" s="292"/>
      <c r="BK816" s="292"/>
      <c r="BL816" s="292"/>
      <c r="BM816" s="292"/>
      <c r="BN816" s="292"/>
      <c r="BO816" s="292"/>
      <c r="BP816" s="292"/>
      <c r="BQ816" s="292"/>
      <c r="BR816" s="292"/>
      <c r="BS816" s="292"/>
      <c r="BT816" s="292"/>
      <c r="BU816" s="292"/>
      <c r="BV816" s="292"/>
      <c r="BW816" s="292"/>
    </row>
    <row r="817">
      <c r="A817" s="292"/>
      <c r="B817" s="292" t="str">
        <f>IFERROR(__xludf.DUMMYFUNCTION("""COMPUTED_VALUE"""),"")</f>
        <v/>
      </c>
      <c r="C817" s="292"/>
      <c r="D817" s="292" t="str">
        <f>IFERROR(__xludf.DUMMYFUNCTION("""COMPUTED_VALUE"""),"")</f>
        <v/>
      </c>
      <c r="E817" s="292" t="str">
        <f>IFERROR(__xludf.DUMMYFUNCTION("""COMPUTED_VALUE"""),"")</f>
        <v/>
      </c>
      <c r="F817" s="292"/>
      <c r="G817" s="292" t="str">
        <f>IFERROR(__xludf.DUMMYFUNCTION("""COMPUTED_VALUE"""),"")</f>
        <v/>
      </c>
      <c r="H817" s="292" t="str">
        <f>IFERROR(__xludf.DUMMYFUNCTION("""COMPUTED_VALUE"""),"")</f>
        <v/>
      </c>
      <c r="I817" s="292"/>
      <c r="J817" s="292"/>
      <c r="K817" s="292"/>
      <c r="L817" s="292"/>
      <c r="M817" s="292" t="str">
        <f>IFERROR(__xludf.DUMMYFUNCTION("""COMPUTED_VALUE"""),"")</f>
        <v/>
      </c>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c r="AK817" s="292"/>
      <c r="AL817" s="292"/>
      <c r="AM817" s="292"/>
      <c r="AN817" s="292"/>
      <c r="AO817" s="292"/>
      <c r="AP817" s="292"/>
      <c r="AQ817" s="292"/>
      <c r="AR817" s="292"/>
      <c r="AS817" s="292"/>
      <c r="AT817" s="292"/>
      <c r="AU817" s="292"/>
      <c r="AV817" s="292"/>
      <c r="AW817" s="292"/>
      <c r="AX817" s="292"/>
      <c r="AY817" s="292"/>
      <c r="AZ817" s="292"/>
      <c r="BA817" s="292"/>
      <c r="BB817" s="292"/>
      <c r="BC817" s="292"/>
      <c r="BD817" s="292"/>
      <c r="BE817" s="292"/>
      <c r="BF817" s="292"/>
      <c r="BG817" s="292"/>
      <c r="BH817" s="292"/>
      <c r="BI817" s="292"/>
      <c r="BJ817" s="292"/>
      <c r="BK817" s="292"/>
      <c r="BL817" s="292"/>
      <c r="BM817" s="292"/>
      <c r="BN817" s="292"/>
      <c r="BO817" s="292"/>
      <c r="BP817" s="292"/>
      <c r="BQ817" s="292"/>
      <c r="BR817" s="292"/>
      <c r="BS817" s="292"/>
      <c r="BT817" s="292"/>
      <c r="BU817" s="292"/>
      <c r="BV817" s="292"/>
      <c r="BW817" s="292"/>
    </row>
    <row r="818">
      <c r="A818" s="292"/>
      <c r="B818" s="292" t="str">
        <f>IFERROR(__xludf.DUMMYFUNCTION("""COMPUTED_VALUE"""),"")</f>
        <v/>
      </c>
      <c r="C818" s="292"/>
      <c r="D818" s="292" t="str">
        <f>IFERROR(__xludf.DUMMYFUNCTION("""COMPUTED_VALUE"""),"")</f>
        <v/>
      </c>
      <c r="E818" s="292" t="str">
        <f>IFERROR(__xludf.DUMMYFUNCTION("""COMPUTED_VALUE"""),"")</f>
        <v/>
      </c>
      <c r="F818" s="292"/>
      <c r="G818" s="292" t="str">
        <f>IFERROR(__xludf.DUMMYFUNCTION("""COMPUTED_VALUE"""),"")</f>
        <v/>
      </c>
      <c r="H818" s="292" t="str">
        <f>IFERROR(__xludf.DUMMYFUNCTION("""COMPUTED_VALUE"""),"")</f>
        <v/>
      </c>
      <c r="I818" s="292"/>
      <c r="J818" s="292"/>
      <c r="K818" s="292"/>
      <c r="L818" s="292"/>
      <c r="M818" s="292" t="str">
        <f>IFERROR(__xludf.DUMMYFUNCTION("""COMPUTED_VALUE"""),"")</f>
        <v/>
      </c>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c r="AK818" s="292"/>
      <c r="AL818" s="292"/>
      <c r="AM818" s="292"/>
      <c r="AN818" s="292"/>
      <c r="AO818" s="292"/>
      <c r="AP818" s="292"/>
      <c r="AQ818" s="292"/>
      <c r="AR818" s="292"/>
      <c r="AS818" s="292"/>
      <c r="AT818" s="292"/>
      <c r="AU818" s="292"/>
      <c r="AV818" s="292"/>
      <c r="AW818" s="292"/>
      <c r="AX818" s="292"/>
      <c r="AY818" s="292"/>
      <c r="AZ818" s="292"/>
      <c r="BA818" s="292"/>
      <c r="BB818" s="292"/>
      <c r="BC818" s="292"/>
      <c r="BD818" s="292"/>
      <c r="BE818" s="292"/>
      <c r="BF818" s="292"/>
      <c r="BG818" s="292"/>
      <c r="BH818" s="292"/>
      <c r="BI818" s="292"/>
      <c r="BJ818" s="292"/>
      <c r="BK818" s="292"/>
      <c r="BL818" s="292"/>
      <c r="BM818" s="292"/>
      <c r="BN818" s="292"/>
      <c r="BO818" s="292"/>
      <c r="BP818" s="292"/>
      <c r="BQ818" s="292"/>
      <c r="BR818" s="292"/>
      <c r="BS818" s="292"/>
      <c r="BT818" s="292"/>
      <c r="BU818" s="292"/>
      <c r="BV818" s="292"/>
      <c r="BW818" s="292"/>
    </row>
    <row r="819">
      <c r="A819" s="292"/>
      <c r="B819" s="292" t="str">
        <f>IFERROR(__xludf.DUMMYFUNCTION("""COMPUTED_VALUE"""),"")</f>
        <v/>
      </c>
      <c r="C819" s="292"/>
      <c r="D819" s="292" t="str">
        <f>IFERROR(__xludf.DUMMYFUNCTION("""COMPUTED_VALUE"""),"")</f>
        <v/>
      </c>
      <c r="E819" s="292" t="str">
        <f>IFERROR(__xludf.DUMMYFUNCTION("""COMPUTED_VALUE"""),"")</f>
        <v/>
      </c>
      <c r="F819" s="292"/>
      <c r="G819" s="292" t="str">
        <f>IFERROR(__xludf.DUMMYFUNCTION("""COMPUTED_VALUE"""),"")</f>
        <v/>
      </c>
      <c r="H819" s="292" t="str">
        <f>IFERROR(__xludf.DUMMYFUNCTION("""COMPUTED_VALUE"""),"")</f>
        <v/>
      </c>
      <c r="I819" s="292"/>
      <c r="J819" s="292"/>
      <c r="K819" s="292"/>
      <c r="L819" s="292"/>
      <c r="M819" s="292" t="str">
        <f>IFERROR(__xludf.DUMMYFUNCTION("""COMPUTED_VALUE"""),"")</f>
        <v/>
      </c>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c r="AK819" s="292"/>
      <c r="AL819" s="292"/>
      <c r="AM819" s="292"/>
      <c r="AN819" s="292"/>
      <c r="AO819" s="292"/>
      <c r="AP819" s="292"/>
      <c r="AQ819" s="292"/>
      <c r="AR819" s="292"/>
      <c r="AS819" s="292"/>
      <c r="AT819" s="292"/>
      <c r="AU819" s="292"/>
      <c r="AV819" s="292"/>
      <c r="AW819" s="292"/>
      <c r="AX819" s="292"/>
      <c r="AY819" s="292"/>
      <c r="AZ819" s="292"/>
      <c r="BA819" s="292"/>
      <c r="BB819" s="292"/>
      <c r="BC819" s="292"/>
      <c r="BD819" s="292"/>
      <c r="BE819" s="292"/>
      <c r="BF819" s="292"/>
      <c r="BG819" s="292"/>
      <c r="BH819" s="292"/>
      <c r="BI819" s="292"/>
      <c r="BJ819" s="292"/>
      <c r="BK819" s="292"/>
      <c r="BL819" s="292"/>
      <c r="BM819" s="292"/>
      <c r="BN819" s="292"/>
      <c r="BO819" s="292"/>
      <c r="BP819" s="292"/>
      <c r="BQ819" s="292"/>
      <c r="BR819" s="292"/>
      <c r="BS819" s="292"/>
      <c r="BT819" s="292"/>
      <c r="BU819" s="292"/>
      <c r="BV819" s="292"/>
      <c r="BW819" s="292"/>
    </row>
    <row r="820">
      <c r="A820" s="292"/>
      <c r="B820" s="292" t="str">
        <f>IFERROR(__xludf.DUMMYFUNCTION("""COMPUTED_VALUE"""),"")</f>
        <v/>
      </c>
      <c r="C820" s="292"/>
      <c r="D820" s="292" t="str">
        <f>IFERROR(__xludf.DUMMYFUNCTION("""COMPUTED_VALUE"""),"")</f>
        <v/>
      </c>
      <c r="E820" s="292" t="str">
        <f>IFERROR(__xludf.DUMMYFUNCTION("""COMPUTED_VALUE"""),"")</f>
        <v/>
      </c>
      <c r="F820" s="292"/>
      <c r="G820" s="292" t="str">
        <f>IFERROR(__xludf.DUMMYFUNCTION("""COMPUTED_VALUE"""),"")</f>
        <v/>
      </c>
      <c r="H820" s="292" t="str">
        <f>IFERROR(__xludf.DUMMYFUNCTION("""COMPUTED_VALUE"""),"")</f>
        <v/>
      </c>
      <c r="I820" s="292"/>
      <c r="J820" s="292"/>
      <c r="K820" s="292"/>
      <c r="L820" s="292"/>
      <c r="M820" s="292" t="str">
        <f>IFERROR(__xludf.DUMMYFUNCTION("""COMPUTED_VALUE"""),"")</f>
        <v/>
      </c>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c r="AK820" s="292"/>
      <c r="AL820" s="292"/>
      <c r="AM820" s="292"/>
      <c r="AN820" s="292"/>
      <c r="AO820" s="292"/>
      <c r="AP820" s="292"/>
      <c r="AQ820" s="292"/>
      <c r="AR820" s="292"/>
      <c r="AS820" s="292"/>
      <c r="AT820" s="292"/>
      <c r="AU820" s="292"/>
      <c r="AV820" s="292"/>
      <c r="AW820" s="292"/>
      <c r="AX820" s="292"/>
      <c r="AY820" s="292"/>
      <c r="AZ820" s="292"/>
      <c r="BA820" s="292"/>
      <c r="BB820" s="292"/>
      <c r="BC820" s="292"/>
      <c r="BD820" s="292"/>
      <c r="BE820" s="292"/>
      <c r="BF820" s="292"/>
      <c r="BG820" s="292"/>
      <c r="BH820" s="292"/>
      <c r="BI820" s="292"/>
      <c r="BJ820" s="292"/>
      <c r="BK820" s="292"/>
      <c r="BL820" s="292"/>
      <c r="BM820" s="292"/>
      <c r="BN820" s="292"/>
      <c r="BO820" s="292"/>
      <c r="BP820" s="292"/>
      <c r="BQ820" s="292"/>
      <c r="BR820" s="292"/>
      <c r="BS820" s="292"/>
      <c r="BT820" s="292"/>
      <c r="BU820" s="292"/>
      <c r="BV820" s="292"/>
      <c r="BW820" s="292"/>
    </row>
    <row r="821">
      <c r="A821" s="292"/>
      <c r="B821" s="292" t="str">
        <f>IFERROR(__xludf.DUMMYFUNCTION("""COMPUTED_VALUE"""),"")</f>
        <v/>
      </c>
      <c r="C821" s="292"/>
      <c r="D821" s="292" t="str">
        <f>IFERROR(__xludf.DUMMYFUNCTION("""COMPUTED_VALUE"""),"")</f>
        <v/>
      </c>
      <c r="E821" s="292" t="str">
        <f>IFERROR(__xludf.DUMMYFUNCTION("""COMPUTED_VALUE"""),"")</f>
        <v/>
      </c>
      <c r="F821" s="292"/>
      <c r="G821" s="292" t="str">
        <f>IFERROR(__xludf.DUMMYFUNCTION("""COMPUTED_VALUE"""),"")</f>
        <v/>
      </c>
      <c r="H821" s="292" t="str">
        <f>IFERROR(__xludf.DUMMYFUNCTION("""COMPUTED_VALUE"""),"")</f>
        <v/>
      </c>
      <c r="I821" s="292"/>
      <c r="J821" s="292"/>
      <c r="K821" s="292"/>
      <c r="L821" s="292"/>
      <c r="M821" s="292" t="str">
        <f>IFERROR(__xludf.DUMMYFUNCTION("""COMPUTED_VALUE"""),"")</f>
        <v/>
      </c>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c r="AK821" s="292"/>
      <c r="AL821" s="292"/>
      <c r="AM821" s="292"/>
      <c r="AN821" s="292"/>
      <c r="AO821" s="292"/>
      <c r="AP821" s="292"/>
      <c r="AQ821" s="292"/>
      <c r="AR821" s="292"/>
      <c r="AS821" s="292"/>
      <c r="AT821" s="292"/>
      <c r="AU821" s="292"/>
      <c r="AV821" s="292"/>
      <c r="AW821" s="292"/>
      <c r="AX821" s="292"/>
      <c r="AY821" s="292"/>
      <c r="AZ821" s="292"/>
      <c r="BA821" s="292"/>
      <c r="BB821" s="292"/>
      <c r="BC821" s="292"/>
      <c r="BD821" s="292"/>
      <c r="BE821" s="292"/>
      <c r="BF821" s="292"/>
      <c r="BG821" s="292"/>
      <c r="BH821" s="292"/>
      <c r="BI821" s="292"/>
      <c r="BJ821" s="292"/>
      <c r="BK821" s="292"/>
      <c r="BL821" s="292"/>
      <c r="BM821" s="292"/>
      <c r="BN821" s="292"/>
      <c r="BO821" s="292"/>
      <c r="BP821" s="292"/>
      <c r="BQ821" s="292"/>
      <c r="BR821" s="292"/>
      <c r="BS821" s="292"/>
      <c r="BT821" s="292"/>
      <c r="BU821" s="292"/>
      <c r="BV821" s="292"/>
      <c r="BW821" s="292"/>
    </row>
    <row r="822">
      <c r="A822" s="292"/>
      <c r="B822" s="292" t="str">
        <f>IFERROR(__xludf.DUMMYFUNCTION("""COMPUTED_VALUE"""),"")</f>
        <v/>
      </c>
      <c r="C822" s="292"/>
      <c r="D822" s="292" t="str">
        <f>IFERROR(__xludf.DUMMYFUNCTION("""COMPUTED_VALUE"""),"")</f>
        <v/>
      </c>
      <c r="E822" s="292" t="str">
        <f>IFERROR(__xludf.DUMMYFUNCTION("""COMPUTED_VALUE"""),"")</f>
        <v/>
      </c>
      <c r="F822" s="292"/>
      <c r="G822" s="292" t="str">
        <f>IFERROR(__xludf.DUMMYFUNCTION("""COMPUTED_VALUE"""),"")</f>
        <v/>
      </c>
      <c r="H822" s="292" t="str">
        <f>IFERROR(__xludf.DUMMYFUNCTION("""COMPUTED_VALUE"""),"")</f>
        <v/>
      </c>
      <c r="I822" s="292"/>
      <c r="J822" s="292"/>
      <c r="K822" s="292"/>
      <c r="L822" s="292"/>
      <c r="M822" s="292" t="str">
        <f>IFERROR(__xludf.DUMMYFUNCTION("""COMPUTED_VALUE"""),"")</f>
        <v/>
      </c>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c r="AK822" s="292"/>
      <c r="AL822" s="292"/>
      <c r="AM822" s="292"/>
      <c r="AN822" s="292"/>
      <c r="AO822" s="292"/>
      <c r="AP822" s="292"/>
      <c r="AQ822" s="292"/>
      <c r="AR822" s="292"/>
      <c r="AS822" s="292"/>
      <c r="AT822" s="292"/>
      <c r="AU822" s="292"/>
      <c r="AV822" s="292"/>
      <c r="AW822" s="292"/>
      <c r="AX822" s="292"/>
      <c r="AY822" s="292"/>
      <c r="AZ822" s="292"/>
      <c r="BA822" s="292"/>
      <c r="BB822" s="292"/>
      <c r="BC822" s="292"/>
      <c r="BD822" s="292"/>
      <c r="BE822" s="292"/>
      <c r="BF822" s="292"/>
      <c r="BG822" s="292"/>
      <c r="BH822" s="292"/>
      <c r="BI822" s="292"/>
      <c r="BJ822" s="292"/>
      <c r="BK822" s="292"/>
      <c r="BL822" s="292"/>
      <c r="BM822" s="292"/>
      <c r="BN822" s="292"/>
      <c r="BO822" s="292"/>
      <c r="BP822" s="292"/>
      <c r="BQ822" s="292"/>
      <c r="BR822" s="292"/>
      <c r="BS822" s="292"/>
      <c r="BT822" s="292"/>
      <c r="BU822" s="292"/>
      <c r="BV822" s="292"/>
      <c r="BW822" s="292"/>
    </row>
    <row r="823">
      <c r="A823" s="292"/>
      <c r="B823" s="292" t="str">
        <f>IFERROR(__xludf.DUMMYFUNCTION("""COMPUTED_VALUE"""),"")</f>
        <v/>
      </c>
      <c r="C823" s="292"/>
      <c r="D823" s="292" t="str">
        <f>IFERROR(__xludf.DUMMYFUNCTION("""COMPUTED_VALUE"""),"")</f>
        <v/>
      </c>
      <c r="E823" s="292" t="str">
        <f>IFERROR(__xludf.DUMMYFUNCTION("""COMPUTED_VALUE"""),"")</f>
        <v/>
      </c>
      <c r="F823" s="292"/>
      <c r="G823" s="292" t="str">
        <f>IFERROR(__xludf.DUMMYFUNCTION("""COMPUTED_VALUE"""),"")</f>
        <v/>
      </c>
      <c r="H823" s="292" t="str">
        <f>IFERROR(__xludf.DUMMYFUNCTION("""COMPUTED_VALUE"""),"")</f>
        <v/>
      </c>
      <c r="I823" s="292"/>
      <c r="J823" s="292"/>
      <c r="K823" s="292"/>
      <c r="L823" s="292"/>
      <c r="M823" s="292" t="str">
        <f>IFERROR(__xludf.DUMMYFUNCTION("""COMPUTED_VALUE"""),"")</f>
        <v/>
      </c>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c r="AK823" s="292"/>
      <c r="AL823" s="292"/>
      <c r="AM823" s="292"/>
      <c r="AN823" s="292"/>
      <c r="AO823" s="292"/>
      <c r="AP823" s="292"/>
      <c r="AQ823" s="292"/>
      <c r="AR823" s="292"/>
      <c r="AS823" s="292"/>
      <c r="AT823" s="292"/>
      <c r="AU823" s="292"/>
      <c r="AV823" s="292"/>
      <c r="AW823" s="292"/>
      <c r="AX823" s="292"/>
      <c r="AY823" s="292"/>
      <c r="AZ823" s="292"/>
      <c r="BA823" s="292"/>
      <c r="BB823" s="292"/>
      <c r="BC823" s="292"/>
      <c r="BD823" s="292"/>
      <c r="BE823" s="292"/>
      <c r="BF823" s="292"/>
      <c r="BG823" s="292"/>
      <c r="BH823" s="292"/>
      <c r="BI823" s="292"/>
      <c r="BJ823" s="292"/>
      <c r="BK823" s="292"/>
      <c r="BL823" s="292"/>
      <c r="BM823" s="292"/>
      <c r="BN823" s="292"/>
      <c r="BO823" s="292"/>
      <c r="BP823" s="292"/>
      <c r="BQ823" s="292"/>
      <c r="BR823" s="292"/>
      <c r="BS823" s="292"/>
      <c r="BT823" s="292"/>
      <c r="BU823" s="292"/>
      <c r="BV823" s="292"/>
      <c r="BW823" s="292"/>
    </row>
    <row r="824">
      <c r="A824" s="292"/>
      <c r="B824" s="292" t="str">
        <f>IFERROR(__xludf.DUMMYFUNCTION("""COMPUTED_VALUE"""),"")</f>
        <v/>
      </c>
      <c r="C824" s="292"/>
      <c r="D824" s="292" t="str">
        <f>IFERROR(__xludf.DUMMYFUNCTION("""COMPUTED_VALUE"""),"")</f>
        <v/>
      </c>
      <c r="E824" s="292" t="str">
        <f>IFERROR(__xludf.DUMMYFUNCTION("""COMPUTED_VALUE"""),"")</f>
        <v/>
      </c>
      <c r="F824" s="292"/>
      <c r="G824" s="292" t="str">
        <f>IFERROR(__xludf.DUMMYFUNCTION("""COMPUTED_VALUE"""),"")</f>
        <v/>
      </c>
      <c r="H824" s="292" t="str">
        <f>IFERROR(__xludf.DUMMYFUNCTION("""COMPUTED_VALUE"""),"")</f>
        <v/>
      </c>
      <c r="I824" s="292"/>
      <c r="J824" s="292"/>
      <c r="K824" s="292"/>
      <c r="L824" s="292"/>
      <c r="M824" s="292" t="str">
        <f>IFERROR(__xludf.DUMMYFUNCTION("""COMPUTED_VALUE"""),"")</f>
        <v/>
      </c>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c r="AK824" s="292"/>
      <c r="AL824" s="292"/>
      <c r="AM824" s="292"/>
      <c r="AN824" s="292"/>
      <c r="AO824" s="292"/>
      <c r="AP824" s="292"/>
      <c r="AQ824" s="292"/>
      <c r="AR824" s="292"/>
      <c r="AS824" s="292"/>
      <c r="AT824" s="292"/>
      <c r="AU824" s="292"/>
      <c r="AV824" s="292"/>
      <c r="AW824" s="292"/>
      <c r="AX824" s="292"/>
      <c r="AY824" s="292"/>
      <c r="AZ824" s="292"/>
      <c r="BA824" s="292"/>
      <c r="BB824" s="292"/>
      <c r="BC824" s="292"/>
      <c r="BD824" s="292"/>
      <c r="BE824" s="292"/>
      <c r="BF824" s="292"/>
      <c r="BG824" s="292"/>
      <c r="BH824" s="292"/>
      <c r="BI824" s="292"/>
      <c r="BJ824" s="292"/>
      <c r="BK824" s="292"/>
      <c r="BL824" s="292"/>
      <c r="BM824" s="292"/>
      <c r="BN824" s="292"/>
      <c r="BO824" s="292"/>
      <c r="BP824" s="292"/>
      <c r="BQ824" s="292"/>
      <c r="BR824" s="292"/>
      <c r="BS824" s="292"/>
      <c r="BT824" s="292"/>
      <c r="BU824" s="292"/>
      <c r="BV824" s="292"/>
      <c r="BW824" s="292"/>
    </row>
    <row r="825">
      <c r="A825" s="292"/>
      <c r="B825" s="292" t="str">
        <f>IFERROR(__xludf.DUMMYFUNCTION("""COMPUTED_VALUE"""),"")</f>
        <v/>
      </c>
      <c r="C825" s="292"/>
      <c r="D825" s="292" t="str">
        <f>IFERROR(__xludf.DUMMYFUNCTION("""COMPUTED_VALUE"""),"")</f>
        <v/>
      </c>
      <c r="E825" s="292" t="str">
        <f>IFERROR(__xludf.DUMMYFUNCTION("""COMPUTED_VALUE"""),"")</f>
        <v/>
      </c>
      <c r="F825" s="292"/>
      <c r="G825" s="292" t="str">
        <f>IFERROR(__xludf.DUMMYFUNCTION("""COMPUTED_VALUE"""),"")</f>
        <v/>
      </c>
      <c r="H825" s="292" t="str">
        <f>IFERROR(__xludf.DUMMYFUNCTION("""COMPUTED_VALUE"""),"")</f>
        <v/>
      </c>
      <c r="I825" s="292"/>
      <c r="J825" s="292"/>
      <c r="K825" s="292"/>
      <c r="L825" s="292"/>
      <c r="M825" s="292" t="str">
        <f>IFERROR(__xludf.DUMMYFUNCTION("""COMPUTED_VALUE"""),"")</f>
        <v/>
      </c>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c r="AK825" s="292"/>
      <c r="AL825" s="292"/>
      <c r="AM825" s="292"/>
      <c r="AN825" s="292"/>
      <c r="AO825" s="292"/>
      <c r="AP825" s="292"/>
      <c r="AQ825" s="292"/>
      <c r="AR825" s="292"/>
      <c r="AS825" s="292"/>
      <c r="AT825" s="292"/>
      <c r="AU825" s="292"/>
      <c r="AV825" s="292"/>
      <c r="AW825" s="292"/>
      <c r="AX825" s="292"/>
      <c r="AY825" s="292"/>
      <c r="AZ825" s="292"/>
      <c r="BA825" s="292"/>
      <c r="BB825" s="292"/>
      <c r="BC825" s="292"/>
      <c r="BD825" s="292"/>
      <c r="BE825" s="292"/>
      <c r="BF825" s="292"/>
      <c r="BG825" s="292"/>
      <c r="BH825" s="292"/>
      <c r="BI825" s="292"/>
      <c r="BJ825" s="292"/>
      <c r="BK825" s="292"/>
      <c r="BL825" s="292"/>
      <c r="BM825" s="292"/>
      <c r="BN825" s="292"/>
      <c r="BO825" s="292"/>
      <c r="BP825" s="292"/>
      <c r="BQ825" s="292"/>
      <c r="BR825" s="292"/>
      <c r="BS825" s="292"/>
      <c r="BT825" s="292"/>
      <c r="BU825" s="292"/>
      <c r="BV825" s="292"/>
      <c r="BW825" s="292"/>
    </row>
    <row r="826">
      <c r="A826" s="292"/>
      <c r="B826" s="292" t="str">
        <f>IFERROR(__xludf.DUMMYFUNCTION("""COMPUTED_VALUE"""),"")</f>
        <v/>
      </c>
      <c r="C826" s="292"/>
      <c r="D826" s="292" t="str">
        <f>IFERROR(__xludf.DUMMYFUNCTION("""COMPUTED_VALUE"""),"")</f>
        <v/>
      </c>
      <c r="E826" s="292" t="str">
        <f>IFERROR(__xludf.DUMMYFUNCTION("""COMPUTED_VALUE"""),"")</f>
        <v/>
      </c>
      <c r="F826" s="292"/>
      <c r="G826" s="292" t="str">
        <f>IFERROR(__xludf.DUMMYFUNCTION("""COMPUTED_VALUE"""),"")</f>
        <v/>
      </c>
      <c r="H826" s="292" t="str">
        <f>IFERROR(__xludf.DUMMYFUNCTION("""COMPUTED_VALUE"""),"")</f>
        <v/>
      </c>
      <c r="I826" s="292"/>
      <c r="J826" s="292"/>
      <c r="K826" s="292"/>
      <c r="L826" s="292"/>
      <c r="M826" s="292" t="str">
        <f>IFERROR(__xludf.DUMMYFUNCTION("""COMPUTED_VALUE"""),"")</f>
        <v/>
      </c>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c r="AK826" s="292"/>
      <c r="AL826" s="292"/>
      <c r="AM826" s="292"/>
      <c r="AN826" s="292"/>
      <c r="AO826" s="292"/>
      <c r="AP826" s="292"/>
      <c r="AQ826" s="292"/>
      <c r="AR826" s="292"/>
      <c r="AS826" s="292"/>
      <c r="AT826" s="292"/>
      <c r="AU826" s="292"/>
      <c r="AV826" s="292"/>
      <c r="AW826" s="292"/>
      <c r="AX826" s="292"/>
      <c r="AY826" s="292"/>
      <c r="AZ826" s="292"/>
      <c r="BA826" s="292"/>
      <c r="BB826" s="292"/>
      <c r="BC826" s="292"/>
      <c r="BD826" s="292"/>
      <c r="BE826" s="292"/>
      <c r="BF826" s="292"/>
      <c r="BG826" s="292"/>
      <c r="BH826" s="292"/>
      <c r="BI826" s="292"/>
      <c r="BJ826" s="292"/>
      <c r="BK826" s="292"/>
      <c r="BL826" s="292"/>
      <c r="BM826" s="292"/>
      <c r="BN826" s="292"/>
      <c r="BO826" s="292"/>
      <c r="BP826" s="292"/>
      <c r="BQ826" s="292"/>
      <c r="BR826" s="292"/>
      <c r="BS826" s="292"/>
      <c r="BT826" s="292"/>
      <c r="BU826" s="292"/>
      <c r="BV826" s="292"/>
      <c r="BW826" s="292"/>
    </row>
    <row r="827">
      <c r="A827" s="292"/>
      <c r="B827" s="292" t="str">
        <f>IFERROR(__xludf.DUMMYFUNCTION("""COMPUTED_VALUE"""),"")</f>
        <v/>
      </c>
      <c r="C827" s="292"/>
      <c r="D827" s="292" t="str">
        <f>IFERROR(__xludf.DUMMYFUNCTION("""COMPUTED_VALUE"""),"")</f>
        <v/>
      </c>
      <c r="E827" s="292" t="str">
        <f>IFERROR(__xludf.DUMMYFUNCTION("""COMPUTED_VALUE"""),"")</f>
        <v/>
      </c>
      <c r="F827" s="292"/>
      <c r="G827" s="292" t="str">
        <f>IFERROR(__xludf.DUMMYFUNCTION("""COMPUTED_VALUE"""),"")</f>
        <v/>
      </c>
      <c r="H827" s="292" t="str">
        <f>IFERROR(__xludf.DUMMYFUNCTION("""COMPUTED_VALUE"""),"")</f>
        <v/>
      </c>
      <c r="I827" s="292"/>
      <c r="J827" s="292"/>
      <c r="K827" s="292"/>
      <c r="L827" s="292"/>
      <c r="M827" s="292" t="str">
        <f>IFERROR(__xludf.DUMMYFUNCTION("""COMPUTED_VALUE"""),"")</f>
        <v/>
      </c>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c r="AK827" s="292"/>
      <c r="AL827" s="292"/>
      <c r="AM827" s="292"/>
      <c r="AN827" s="292"/>
      <c r="AO827" s="292"/>
      <c r="AP827" s="292"/>
      <c r="AQ827" s="292"/>
      <c r="AR827" s="292"/>
      <c r="AS827" s="292"/>
      <c r="AT827" s="292"/>
      <c r="AU827" s="292"/>
      <c r="AV827" s="292"/>
      <c r="AW827" s="292"/>
      <c r="AX827" s="292"/>
      <c r="AY827" s="292"/>
      <c r="AZ827" s="292"/>
      <c r="BA827" s="292"/>
      <c r="BB827" s="292"/>
      <c r="BC827" s="292"/>
      <c r="BD827" s="292"/>
      <c r="BE827" s="292"/>
      <c r="BF827" s="292"/>
      <c r="BG827" s="292"/>
      <c r="BH827" s="292"/>
      <c r="BI827" s="292"/>
      <c r="BJ827" s="292"/>
      <c r="BK827" s="292"/>
      <c r="BL827" s="292"/>
      <c r="BM827" s="292"/>
      <c r="BN827" s="292"/>
      <c r="BO827" s="292"/>
      <c r="BP827" s="292"/>
      <c r="BQ827" s="292"/>
      <c r="BR827" s="292"/>
      <c r="BS827" s="292"/>
      <c r="BT827" s="292"/>
      <c r="BU827" s="292"/>
      <c r="BV827" s="292"/>
      <c r="BW827" s="292"/>
    </row>
    <row r="828">
      <c r="A828" s="292"/>
      <c r="B828" s="292" t="str">
        <f>IFERROR(__xludf.DUMMYFUNCTION("""COMPUTED_VALUE"""),"")</f>
        <v/>
      </c>
      <c r="C828" s="292"/>
      <c r="D828" s="292" t="str">
        <f>IFERROR(__xludf.DUMMYFUNCTION("""COMPUTED_VALUE"""),"")</f>
        <v/>
      </c>
      <c r="E828" s="292" t="str">
        <f>IFERROR(__xludf.DUMMYFUNCTION("""COMPUTED_VALUE"""),"")</f>
        <v/>
      </c>
      <c r="F828" s="292"/>
      <c r="G828" s="292" t="str">
        <f>IFERROR(__xludf.DUMMYFUNCTION("""COMPUTED_VALUE"""),"")</f>
        <v/>
      </c>
      <c r="H828" s="292" t="str">
        <f>IFERROR(__xludf.DUMMYFUNCTION("""COMPUTED_VALUE"""),"")</f>
        <v/>
      </c>
      <c r="I828" s="292"/>
      <c r="J828" s="292"/>
      <c r="K828" s="292"/>
      <c r="L828" s="292"/>
      <c r="M828" s="292" t="str">
        <f>IFERROR(__xludf.DUMMYFUNCTION("""COMPUTED_VALUE"""),"")</f>
        <v/>
      </c>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c r="AK828" s="292"/>
      <c r="AL828" s="292"/>
      <c r="AM828" s="292"/>
      <c r="AN828" s="292"/>
      <c r="AO828" s="292"/>
      <c r="AP828" s="292"/>
      <c r="AQ828" s="292"/>
      <c r="AR828" s="292"/>
      <c r="AS828" s="292"/>
      <c r="AT828" s="292"/>
      <c r="AU828" s="292"/>
      <c r="AV828" s="292"/>
      <c r="AW828" s="292"/>
      <c r="AX828" s="292"/>
      <c r="AY828" s="292"/>
      <c r="AZ828" s="292"/>
      <c r="BA828" s="292"/>
      <c r="BB828" s="292"/>
      <c r="BC828" s="292"/>
      <c r="BD828" s="292"/>
      <c r="BE828" s="292"/>
      <c r="BF828" s="292"/>
      <c r="BG828" s="292"/>
      <c r="BH828" s="292"/>
      <c r="BI828" s="292"/>
      <c r="BJ828" s="292"/>
      <c r="BK828" s="292"/>
      <c r="BL828" s="292"/>
      <c r="BM828" s="292"/>
      <c r="BN828" s="292"/>
      <c r="BO828" s="292"/>
      <c r="BP828" s="292"/>
      <c r="BQ828" s="292"/>
      <c r="BR828" s="292"/>
      <c r="BS828" s="292"/>
      <c r="BT828" s="292"/>
      <c r="BU828" s="292"/>
      <c r="BV828" s="292"/>
      <c r="BW828" s="292"/>
    </row>
    <row r="829">
      <c r="A829" s="292"/>
      <c r="B829" s="292" t="str">
        <f>IFERROR(__xludf.DUMMYFUNCTION("""COMPUTED_VALUE"""),"")</f>
        <v/>
      </c>
      <c r="C829" s="292"/>
      <c r="D829" s="292" t="str">
        <f>IFERROR(__xludf.DUMMYFUNCTION("""COMPUTED_VALUE"""),"")</f>
        <v/>
      </c>
      <c r="E829" s="292" t="str">
        <f>IFERROR(__xludf.DUMMYFUNCTION("""COMPUTED_VALUE"""),"")</f>
        <v/>
      </c>
      <c r="F829" s="292"/>
      <c r="G829" s="292" t="str">
        <f>IFERROR(__xludf.DUMMYFUNCTION("""COMPUTED_VALUE"""),"")</f>
        <v/>
      </c>
      <c r="H829" s="292" t="str">
        <f>IFERROR(__xludf.DUMMYFUNCTION("""COMPUTED_VALUE"""),"")</f>
        <v/>
      </c>
      <c r="I829" s="292"/>
      <c r="J829" s="292"/>
      <c r="K829" s="292"/>
      <c r="L829" s="292"/>
      <c r="M829" s="292" t="str">
        <f>IFERROR(__xludf.DUMMYFUNCTION("""COMPUTED_VALUE"""),"")</f>
        <v/>
      </c>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c r="AK829" s="292"/>
      <c r="AL829" s="292"/>
      <c r="AM829" s="292"/>
      <c r="AN829" s="292"/>
      <c r="AO829" s="292"/>
      <c r="AP829" s="292"/>
      <c r="AQ829" s="292"/>
      <c r="AR829" s="292"/>
      <c r="AS829" s="292"/>
      <c r="AT829" s="292"/>
      <c r="AU829" s="292"/>
      <c r="AV829" s="292"/>
      <c r="AW829" s="292"/>
      <c r="AX829" s="292"/>
      <c r="AY829" s="292"/>
      <c r="AZ829" s="292"/>
      <c r="BA829" s="292"/>
      <c r="BB829" s="292"/>
      <c r="BC829" s="292"/>
      <c r="BD829" s="292"/>
      <c r="BE829" s="292"/>
      <c r="BF829" s="292"/>
      <c r="BG829" s="292"/>
      <c r="BH829" s="292"/>
      <c r="BI829" s="292"/>
      <c r="BJ829" s="292"/>
      <c r="BK829" s="292"/>
      <c r="BL829" s="292"/>
      <c r="BM829" s="292"/>
      <c r="BN829" s="292"/>
      <c r="BO829" s="292"/>
      <c r="BP829" s="292"/>
      <c r="BQ829" s="292"/>
      <c r="BR829" s="292"/>
      <c r="BS829" s="292"/>
      <c r="BT829" s="292"/>
      <c r="BU829" s="292"/>
      <c r="BV829" s="292"/>
      <c r="BW829" s="292"/>
    </row>
    <row r="830">
      <c r="A830" s="292"/>
      <c r="B830" s="292" t="str">
        <f>IFERROR(__xludf.DUMMYFUNCTION("""COMPUTED_VALUE"""),"")</f>
        <v/>
      </c>
      <c r="C830" s="292"/>
      <c r="D830" s="292" t="str">
        <f>IFERROR(__xludf.DUMMYFUNCTION("""COMPUTED_VALUE"""),"")</f>
        <v/>
      </c>
      <c r="E830" s="292" t="str">
        <f>IFERROR(__xludf.DUMMYFUNCTION("""COMPUTED_VALUE"""),"")</f>
        <v/>
      </c>
      <c r="F830" s="292"/>
      <c r="G830" s="292" t="str">
        <f>IFERROR(__xludf.DUMMYFUNCTION("""COMPUTED_VALUE"""),"")</f>
        <v/>
      </c>
      <c r="H830" s="292" t="str">
        <f>IFERROR(__xludf.DUMMYFUNCTION("""COMPUTED_VALUE"""),"")</f>
        <v/>
      </c>
      <c r="I830" s="292"/>
      <c r="J830" s="292"/>
      <c r="K830" s="292"/>
      <c r="L830" s="292"/>
      <c r="M830" s="292" t="str">
        <f>IFERROR(__xludf.DUMMYFUNCTION("""COMPUTED_VALUE"""),"")</f>
        <v/>
      </c>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c r="AK830" s="292"/>
      <c r="AL830" s="292"/>
      <c r="AM830" s="292"/>
      <c r="AN830" s="292"/>
      <c r="AO830" s="292"/>
      <c r="AP830" s="292"/>
      <c r="AQ830" s="292"/>
      <c r="AR830" s="292"/>
      <c r="AS830" s="292"/>
      <c r="AT830" s="292"/>
      <c r="AU830" s="292"/>
      <c r="AV830" s="292"/>
      <c r="AW830" s="292"/>
      <c r="AX830" s="292"/>
      <c r="AY830" s="292"/>
      <c r="AZ830" s="292"/>
      <c r="BA830" s="292"/>
      <c r="BB830" s="292"/>
      <c r="BC830" s="292"/>
      <c r="BD830" s="292"/>
      <c r="BE830" s="292"/>
      <c r="BF830" s="292"/>
      <c r="BG830" s="292"/>
      <c r="BH830" s="292"/>
      <c r="BI830" s="292"/>
      <c r="BJ830" s="292"/>
      <c r="BK830" s="292"/>
      <c r="BL830" s="292"/>
      <c r="BM830" s="292"/>
      <c r="BN830" s="292"/>
      <c r="BO830" s="292"/>
      <c r="BP830" s="292"/>
      <c r="BQ830" s="292"/>
      <c r="BR830" s="292"/>
      <c r="BS830" s="292"/>
      <c r="BT830" s="292"/>
      <c r="BU830" s="292"/>
      <c r="BV830" s="292"/>
      <c r="BW830" s="292"/>
    </row>
    <row r="831">
      <c r="A831" s="292"/>
      <c r="B831" s="292" t="str">
        <f>IFERROR(__xludf.DUMMYFUNCTION("""COMPUTED_VALUE"""),"")</f>
        <v/>
      </c>
      <c r="C831" s="292"/>
      <c r="D831" s="292" t="str">
        <f>IFERROR(__xludf.DUMMYFUNCTION("""COMPUTED_VALUE"""),"")</f>
        <v/>
      </c>
      <c r="E831" s="292" t="str">
        <f>IFERROR(__xludf.DUMMYFUNCTION("""COMPUTED_VALUE"""),"")</f>
        <v/>
      </c>
      <c r="F831" s="292"/>
      <c r="G831" s="292" t="str">
        <f>IFERROR(__xludf.DUMMYFUNCTION("""COMPUTED_VALUE"""),"")</f>
        <v/>
      </c>
      <c r="H831" s="292" t="str">
        <f>IFERROR(__xludf.DUMMYFUNCTION("""COMPUTED_VALUE"""),"")</f>
        <v/>
      </c>
      <c r="I831" s="292"/>
      <c r="J831" s="292"/>
      <c r="K831" s="292"/>
      <c r="L831" s="292"/>
      <c r="M831" s="292" t="str">
        <f>IFERROR(__xludf.DUMMYFUNCTION("""COMPUTED_VALUE"""),"")</f>
        <v/>
      </c>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c r="AK831" s="292"/>
      <c r="AL831" s="292"/>
      <c r="AM831" s="292"/>
      <c r="AN831" s="292"/>
      <c r="AO831" s="292"/>
      <c r="AP831" s="292"/>
      <c r="AQ831" s="292"/>
      <c r="AR831" s="292"/>
      <c r="AS831" s="292"/>
      <c r="AT831" s="292"/>
      <c r="AU831" s="292"/>
      <c r="AV831" s="292"/>
      <c r="AW831" s="292"/>
      <c r="AX831" s="292"/>
      <c r="AY831" s="292"/>
      <c r="AZ831" s="292"/>
      <c r="BA831" s="292"/>
      <c r="BB831" s="292"/>
      <c r="BC831" s="292"/>
      <c r="BD831" s="292"/>
      <c r="BE831" s="292"/>
      <c r="BF831" s="292"/>
      <c r="BG831" s="292"/>
      <c r="BH831" s="292"/>
      <c r="BI831" s="292"/>
      <c r="BJ831" s="292"/>
      <c r="BK831" s="292"/>
      <c r="BL831" s="292"/>
      <c r="BM831" s="292"/>
      <c r="BN831" s="292"/>
      <c r="BO831" s="292"/>
      <c r="BP831" s="292"/>
      <c r="BQ831" s="292"/>
      <c r="BR831" s="292"/>
      <c r="BS831" s="292"/>
      <c r="BT831" s="292"/>
      <c r="BU831" s="292"/>
      <c r="BV831" s="292"/>
      <c r="BW831" s="292"/>
    </row>
    <row r="832">
      <c r="A832" s="292"/>
      <c r="B832" s="292" t="str">
        <f>IFERROR(__xludf.DUMMYFUNCTION("""COMPUTED_VALUE"""),"")</f>
        <v/>
      </c>
      <c r="C832" s="292"/>
      <c r="D832" s="292" t="str">
        <f>IFERROR(__xludf.DUMMYFUNCTION("""COMPUTED_VALUE"""),"")</f>
        <v/>
      </c>
      <c r="E832" s="292" t="str">
        <f>IFERROR(__xludf.DUMMYFUNCTION("""COMPUTED_VALUE"""),"")</f>
        <v/>
      </c>
      <c r="F832" s="292"/>
      <c r="G832" s="292" t="str">
        <f>IFERROR(__xludf.DUMMYFUNCTION("""COMPUTED_VALUE"""),"")</f>
        <v/>
      </c>
      <c r="H832" s="292" t="str">
        <f>IFERROR(__xludf.DUMMYFUNCTION("""COMPUTED_VALUE"""),"")</f>
        <v/>
      </c>
      <c r="I832" s="292"/>
      <c r="J832" s="292"/>
      <c r="K832" s="292"/>
      <c r="L832" s="292"/>
      <c r="M832" s="292" t="str">
        <f>IFERROR(__xludf.DUMMYFUNCTION("""COMPUTED_VALUE"""),"")</f>
        <v/>
      </c>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c r="AK832" s="292"/>
      <c r="AL832" s="292"/>
      <c r="AM832" s="292"/>
      <c r="AN832" s="292"/>
      <c r="AO832" s="292"/>
      <c r="AP832" s="292"/>
      <c r="AQ832" s="292"/>
      <c r="AR832" s="292"/>
      <c r="AS832" s="292"/>
      <c r="AT832" s="292"/>
      <c r="AU832" s="292"/>
      <c r="AV832" s="292"/>
      <c r="AW832" s="292"/>
      <c r="AX832" s="292"/>
      <c r="AY832" s="292"/>
      <c r="AZ832" s="292"/>
      <c r="BA832" s="292"/>
      <c r="BB832" s="292"/>
      <c r="BC832" s="292"/>
      <c r="BD832" s="292"/>
      <c r="BE832" s="292"/>
      <c r="BF832" s="292"/>
      <c r="BG832" s="292"/>
      <c r="BH832" s="292"/>
      <c r="BI832" s="292"/>
      <c r="BJ832" s="292"/>
      <c r="BK832" s="292"/>
      <c r="BL832" s="292"/>
      <c r="BM832" s="292"/>
      <c r="BN832" s="292"/>
      <c r="BO832" s="292"/>
      <c r="BP832" s="292"/>
      <c r="BQ832" s="292"/>
      <c r="BR832" s="292"/>
      <c r="BS832" s="292"/>
      <c r="BT832" s="292"/>
      <c r="BU832" s="292"/>
      <c r="BV832" s="292"/>
      <c r="BW832" s="292"/>
    </row>
    <row r="833">
      <c r="A833" s="292"/>
      <c r="B833" s="292" t="str">
        <f>IFERROR(__xludf.DUMMYFUNCTION("""COMPUTED_VALUE"""),"")</f>
        <v/>
      </c>
      <c r="C833" s="292"/>
      <c r="D833" s="292" t="str">
        <f>IFERROR(__xludf.DUMMYFUNCTION("""COMPUTED_VALUE"""),"")</f>
        <v/>
      </c>
      <c r="E833" s="292" t="str">
        <f>IFERROR(__xludf.DUMMYFUNCTION("""COMPUTED_VALUE"""),"")</f>
        <v/>
      </c>
      <c r="F833" s="292"/>
      <c r="G833" s="292" t="str">
        <f>IFERROR(__xludf.DUMMYFUNCTION("""COMPUTED_VALUE"""),"")</f>
        <v/>
      </c>
      <c r="H833" s="292" t="str">
        <f>IFERROR(__xludf.DUMMYFUNCTION("""COMPUTED_VALUE"""),"")</f>
        <v/>
      </c>
      <c r="I833" s="292"/>
      <c r="J833" s="292"/>
      <c r="K833" s="292"/>
      <c r="L833" s="292"/>
      <c r="M833" s="292" t="str">
        <f>IFERROR(__xludf.DUMMYFUNCTION("""COMPUTED_VALUE"""),"")</f>
        <v/>
      </c>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c r="AK833" s="292"/>
      <c r="AL833" s="292"/>
      <c r="AM833" s="292"/>
      <c r="AN833" s="292"/>
      <c r="AO833" s="292"/>
      <c r="AP833" s="292"/>
      <c r="AQ833" s="292"/>
      <c r="AR833" s="292"/>
      <c r="AS833" s="292"/>
      <c r="AT833" s="292"/>
      <c r="AU833" s="292"/>
      <c r="AV833" s="292"/>
      <c r="AW833" s="292"/>
      <c r="AX833" s="292"/>
      <c r="AY833" s="292"/>
      <c r="AZ833" s="292"/>
      <c r="BA833" s="292"/>
      <c r="BB833" s="292"/>
      <c r="BC833" s="292"/>
      <c r="BD833" s="292"/>
      <c r="BE833" s="292"/>
      <c r="BF833" s="292"/>
      <c r="BG833" s="292"/>
      <c r="BH833" s="292"/>
      <c r="BI833" s="292"/>
      <c r="BJ833" s="292"/>
      <c r="BK833" s="292"/>
      <c r="BL833" s="292"/>
      <c r="BM833" s="292"/>
      <c r="BN833" s="292"/>
      <c r="BO833" s="292"/>
      <c r="BP833" s="292"/>
      <c r="BQ833" s="292"/>
      <c r="BR833" s="292"/>
      <c r="BS833" s="292"/>
      <c r="BT833" s="292"/>
      <c r="BU833" s="292"/>
      <c r="BV833" s="292"/>
      <c r="BW833" s="292"/>
    </row>
    <row r="834">
      <c r="A834" s="292"/>
      <c r="B834" s="292" t="str">
        <f>IFERROR(__xludf.DUMMYFUNCTION("""COMPUTED_VALUE"""),"")</f>
        <v/>
      </c>
      <c r="C834" s="292"/>
      <c r="D834" s="292" t="str">
        <f>IFERROR(__xludf.DUMMYFUNCTION("""COMPUTED_VALUE"""),"")</f>
        <v/>
      </c>
      <c r="E834" s="292" t="str">
        <f>IFERROR(__xludf.DUMMYFUNCTION("""COMPUTED_VALUE"""),"")</f>
        <v/>
      </c>
      <c r="F834" s="292"/>
      <c r="G834" s="292" t="str">
        <f>IFERROR(__xludf.DUMMYFUNCTION("""COMPUTED_VALUE"""),"")</f>
        <v/>
      </c>
      <c r="H834" s="292" t="str">
        <f>IFERROR(__xludf.DUMMYFUNCTION("""COMPUTED_VALUE"""),"")</f>
        <v/>
      </c>
      <c r="I834" s="292"/>
      <c r="J834" s="292"/>
      <c r="K834" s="292"/>
      <c r="L834" s="292"/>
      <c r="M834" s="292" t="str">
        <f>IFERROR(__xludf.DUMMYFUNCTION("""COMPUTED_VALUE"""),"")</f>
        <v/>
      </c>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c r="AK834" s="292"/>
      <c r="AL834" s="292"/>
      <c r="AM834" s="292"/>
      <c r="AN834" s="292"/>
      <c r="AO834" s="292"/>
      <c r="AP834" s="292"/>
      <c r="AQ834" s="292"/>
      <c r="AR834" s="292"/>
      <c r="AS834" s="292"/>
      <c r="AT834" s="292"/>
      <c r="AU834" s="292"/>
      <c r="AV834" s="292"/>
      <c r="AW834" s="292"/>
      <c r="AX834" s="292"/>
      <c r="AY834" s="292"/>
      <c r="AZ834" s="292"/>
      <c r="BA834" s="292"/>
      <c r="BB834" s="292"/>
      <c r="BC834" s="292"/>
      <c r="BD834" s="292"/>
      <c r="BE834" s="292"/>
      <c r="BF834" s="292"/>
      <c r="BG834" s="292"/>
      <c r="BH834" s="292"/>
      <c r="BI834" s="292"/>
      <c r="BJ834" s="292"/>
      <c r="BK834" s="292"/>
      <c r="BL834" s="292"/>
      <c r="BM834" s="292"/>
      <c r="BN834" s="292"/>
      <c r="BO834" s="292"/>
      <c r="BP834" s="292"/>
      <c r="BQ834" s="292"/>
      <c r="BR834" s="292"/>
      <c r="BS834" s="292"/>
      <c r="BT834" s="292"/>
      <c r="BU834" s="292"/>
      <c r="BV834" s="292"/>
      <c r="BW834" s="292"/>
    </row>
    <row r="835">
      <c r="A835" s="292"/>
      <c r="B835" s="292" t="str">
        <f>IFERROR(__xludf.DUMMYFUNCTION("""COMPUTED_VALUE"""),"")</f>
        <v/>
      </c>
      <c r="C835" s="292"/>
      <c r="D835" s="292" t="str">
        <f>IFERROR(__xludf.DUMMYFUNCTION("""COMPUTED_VALUE"""),"")</f>
        <v/>
      </c>
      <c r="E835" s="292" t="str">
        <f>IFERROR(__xludf.DUMMYFUNCTION("""COMPUTED_VALUE"""),"")</f>
        <v/>
      </c>
      <c r="F835" s="292"/>
      <c r="G835" s="292" t="str">
        <f>IFERROR(__xludf.DUMMYFUNCTION("""COMPUTED_VALUE"""),"")</f>
        <v/>
      </c>
      <c r="H835" s="292" t="str">
        <f>IFERROR(__xludf.DUMMYFUNCTION("""COMPUTED_VALUE"""),"")</f>
        <v/>
      </c>
      <c r="I835" s="292"/>
      <c r="J835" s="292"/>
      <c r="K835" s="292"/>
      <c r="L835" s="292"/>
      <c r="M835" s="292" t="str">
        <f>IFERROR(__xludf.DUMMYFUNCTION("""COMPUTED_VALUE"""),"")</f>
        <v/>
      </c>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c r="AK835" s="292"/>
      <c r="AL835" s="292"/>
      <c r="AM835" s="292"/>
      <c r="AN835" s="292"/>
      <c r="AO835" s="292"/>
      <c r="AP835" s="292"/>
      <c r="AQ835" s="292"/>
      <c r="AR835" s="292"/>
      <c r="AS835" s="292"/>
      <c r="AT835" s="292"/>
      <c r="AU835" s="292"/>
      <c r="AV835" s="292"/>
      <c r="AW835" s="292"/>
      <c r="AX835" s="292"/>
      <c r="AY835" s="292"/>
      <c r="AZ835" s="292"/>
      <c r="BA835" s="292"/>
      <c r="BB835" s="292"/>
      <c r="BC835" s="292"/>
      <c r="BD835" s="292"/>
      <c r="BE835" s="292"/>
      <c r="BF835" s="292"/>
      <c r="BG835" s="292"/>
      <c r="BH835" s="292"/>
      <c r="BI835" s="292"/>
      <c r="BJ835" s="292"/>
      <c r="BK835" s="292"/>
      <c r="BL835" s="292"/>
      <c r="BM835" s="292"/>
      <c r="BN835" s="292"/>
      <c r="BO835" s="292"/>
      <c r="BP835" s="292"/>
      <c r="BQ835" s="292"/>
      <c r="BR835" s="292"/>
      <c r="BS835" s="292"/>
      <c r="BT835" s="292"/>
      <c r="BU835" s="292"/>
      <c r="BV835" s="292"/>
      <c r="BW835" s="292"/>
    </row>
    <row r="836">
      <c r="A836" s="292"/>
      <c r="B836" s="292" t="str">
        <f>IFERROR(__xludf.DUMMYFUNCTION("""COMPUTED_VALUE"""),"")</f>
        <v/>
      </c>
      <c r="C836" s="292"/>
      <c r="D836" s="292" t="str">
        <f>IFERROR(__xludf.DUMMYFUNCTION("""COMPUTED_VALUE"""),"")</f>
        <v/>
      </c>
      <c r="E836" s="292" t="str">
        <f>IFERROR(__xludf.DUMMYFUNCTION("""COMPUTED_VALUE"""),"")</f>
        <v/>
      </c>
      <c r="F836" s="292"/>
      <c r="G836" s="292" t="str">
        <f>IFERROR(__xludf.DUMMYFUNCTION("""COMPUTED_VALUE"""),"")</f>
        <v/>
      </c>
      <c r="H836" s="292" t="str">
        <f>IFERROR(__xludf.DUMMYFUNCTION("""COMPUTED_VALUE"""),"")</f>
        <v/>
      </c>
      <c r="I836" s="292"/>
      <c r="J836" s="292"/>
      <c r="K836" s="292"/>
      <c r="L836" s="292"/>
      <c r="M836" s="292" t="str">
        <f>IFERROR(__xludf.DUMMYFUNCTION("""COMPUTED_VALUE"""),"")</f>
        <v/>
      </c>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c r="AK836" s="292"/>
      <c r="AL836" s="292"/>
      <c r="AM836" s="292"/>
      <c r="AN836" s="292"/>
      <c r="AO836" s="292"/>
      <c r="AP836" s="292"/>
      <c r="AQ836" s="292"/>
      <c r="AR836" s="292"/>
      <c r="AS836" s="292"/>
      <c r="AT836" s="292"/>
      <c r="AU836" s="292"/>
      <c r="AV836" s="292"/>
      <c r="AW836" s="292"/>
      <c r="AX836" s="292"/>
      <c r="AY836" s="292"/>
      <c r="AZ836" s="292"/>
      <c r="BA836" s="292"/>
      <c r="BB836" s="292"/>
      <c r="BC836" s="292"/>
      <c r="BD836" s="292"/>
      <c r="BE836" s="292"/>
      <c r="BF836" s="292"/>
      <c r="BG836" s="292"/>
      <c r="BH836" s="292"/>
      <c r="BI836" s="292"/>
      <c r="BJ836" s="292"/>
      <c r="BK836" s="292"/>
      <c r="BL836" s="292"/>
      <c r="BM836" s="292"/>
      <c r="BN836" s="292"/>
      <c r="BO836" s="292"/>
      <c r="BP836" s="292"/>
      <c r="BQ836" s="292"/>
      <c r="BR836" s="292"/>
      <c r="BS836" s="292"/>
      <c r="BT836" s="292"/>
      <c r="BU836" s="292"/>
      <c r="BV836" s="292"/>
      <c r="BW836" s="292"/>
    </row>
    <row r="837">
      <c r="A837" s="292"/>
      <c r="B837" s="292" t="str">
        <f>IFERROR(__xludf.DUMMYFUNCTION("""COMPUTED_VALUE"""),"")</f>
        <v/>
      </c>
      <c r="C837" s="292"/>
      <c r="D837" s="292" t="str">
        <f>IFERROR(__xludf.DUMMYFUNCTION("""COMPUTED_VALUE"""),"")</f>
        <v/>
      </c>
      <c r="E837" s="292" t="str">
        <f>IFERROR(__xludf.DUMMYFUNCTION("""COMPUTED_VALUE"""),"")</f>
        <v/>
      </c>
      <c r="F837" s="292"/>
      <c r="G837" s="292" t="str">
        <f>IFERROR(__xludf.DUMMYFUNCTION("""COMPUTED_VALUE"""),"")</f>
        <v/>
      </c>
      <c r="H837" s="292" t="str">
        <f>IFERROR(__xludf.DUMMYFUNCTION("""COMPUTED_VALUE"""),"")</f>
        <v/>
      </c>
      <c r="I837" s="292"/>
      <c r="J837" s="292"/>
      <c r="K837" s="292"/>
      <c r="L837" s="292"/>
      <c r="M837" s="292" t="str">
        <f>IFERROR(__xludf.DUMMYFUNCTION("""COMPUTED_VALUE"""),"")</f>
        <v/>
      </c>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c r="AK837" s="292"/>
      <c r="AL837" s="292"/>
      <c r="AM837" s="292"/>
      <c r="AN837" s="292"/>
      <c r="AO837" s="292"/>
      <c r="AP837" s="292"/>
      <c r="AQ837" s="292"/>
      <c r="AR837" s="292"/>
      <c r="AS837" s="292"/>
      <c r="AT837" s="292"/>
      <c r="AU837" s="292"/>
      <c r="AV837" s="292"/>
      <c r="AW837" s="292"/>
      <c r="AX837" s="292"/>
      <c r="AY837" s="292"/>
      <c r="AZ837" s="292"/>
      <c r="BA837" s="292"/>
      <c r="BB837" s="292"/>
      <c r="BC837" s="292"/>
      <c r="BD837" s="292"/>
      <c r="BE837" s="292"/>
      <c r="BF837" s="292"/>
      <c r="BG837" s="292"/>
      <c r="BH837" s="292"/>
      <c r="BI837" s="292"/>
      <c r="BJ837" s="292"/>
      <c r="BK837" s="292"/>
      <c r="BL837" s="292"/>
      <c r="BM837" s="292"/>
      <c r="BN837" s="292"/>
      <c r="BO837" s="292"/>
      <c r="BP837" s="292"/>
      <c r="BQ837" s="292"/>
      <c r="BR837" s="292"/>
      <c r="BS837" s="292"/>
      <c r="BT837" s="292"/>
      <c r="BU837" s="292"/>
      <c r="BV837" s="292"/>
      <c r="BW837" s="292"/>
    </row>
    <row r="838">
      <c r="A838" s="292"/>
      <c r="B838" s="292" t="str">
        <f>IFERROR(__xludf.DUMMYFUNCTION("""COMPUTED_VALUE"""),"")</f>
        <v/>
      </c>
      <c r="C838" s="292"/>
      <c r="D838" s="292" t="str">
        <f>IFERROR(__xludf.DUMMYFUNCTION("""COMPUTED_VALUE"""),"")</f>
        <v/>
      </c>
      <c r="E838" s="292" t="str">
        <f>IFERROR(__xludf.DUMMYFUNCTION("""COMPUTED_VALUE"""),"")</f>
        <v/>
      </c>
      <c r="F838" s="292"/>
      <c r="G838" s="292" t="str">
        <f>IFERROR(__xludf.DUMMYFUNCTION("""COMPUTED_VALUE"""),"")</f>
        <v/>
      </c>
      <c r="H838" s="292" t="str">
        <f>IFERROR(__xludf.DUMMYFUNCTION("""COMPUTED_VALUE"""),"")</f>
        <v/>
      </c>
      <c r="I838" s="292"/>
      <c r="J838" s="292"/>
      <c r="K838" s="292"/>
      <c r="L838" s="292"/>
      <c r="M838" s="292" t="str">
        <f>IFERROR(__xludf.DUMMYFUNCTION("""COMPUTED_VALUE"""),"")</f>
        <v/>
      </c>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c r="AK838" s="292"/>
      <c r="AL838" s="292"/>
      <c r="AM838" s="292"/>
      <c r="AN838" s="292"/>
      <c r="AO838" s="292"/>
      <c r="AP838" s="292"/>
      <c r="AQ838" s="292"/>
      <c r="AR838" s="292"/>
      <c r="AS838" s="292"/>
      <c r="AT838" s="292"/>
      <c r="AU838" s="292"/>
      <c r="AV838" s="292"/>
      <c r="AW838" s="292"/>
      <c r="AX838" s="292"/>
      <c r="AY838" s="292"/>
      <c r="AZ838" s="292"/>
      <c r="BA838" s="292"/>
      <c r="BB838" s="292"/>
      <c r="BC838" s="292"/>
      <c r="BD838" s="292"/>
      <c r="BE838" s="292"/>
      <c r="BF838" s="292"/>
      <c r="BG838" s="292"/>
      <c r="BH838" s="292"/>
      <c r="BI838" s="292"/>
      <c r="BJ838" s="292"/>
      <c r="BK838" s="292"/>
      <c r="BL838" s="292"/>
      <c r="BM838" s="292"/>
      <c r="BN838" s="292"/>
      <c r="BO838" s="292"/>
      <c r="BP838" s="292"/>
      <c r="BQ838" s="292"/>
      <c r="BR838" s="292"/>
      <c r="BS838" s="292"/>
      <c r="BT838" s="292"/>
      <c r="BU838" s="292"/>
      <c r="BV838" s="292"/>
      <c r="BW838" s="292"/>
    </row>
    <row r="839">
      <c r="A839" s="292"/>
      <c r="B839" s="292" t="str">
        <f>IFERROR(__xludf.DUMMYFUNCTION("""COMPUTED_VALUE"""),"")</f>
        <v/>
      </c>
      <c r="C839" s="292"/>
      <c r="D839" s="292" t="str">
        <f>IFERROR(__xludf.DUMMYFUNCTION("""COMPUTED_VALUE"""),"")</f>
        <v/>
      </c>
      <c r="E839" s="292" t="str">
        <f>IFERROR(__xludf.DUMMYFUNCTION("""COMPUTED_VALUE"""),"")</f>
        <v/>
      </c>
      <c r="F839" s="292"/>
      <c r="G839" s="292" t="str">
        <f>IFERROR(__xludf.DUMMYFUNCTION("""COMPUTED_VALUE"""),"")</f>
        <v/>
      </c>
      <c r="H839" s="292" t="str">
        <f>IFERROR(__xludf.DUMMYFUNCTION("""COMPUTED_VALUE"""),"")</f>
        <v/>
      </c>
      <c r="I839" s="292"/>
      <c r="J839" s="292"/>
      <c r="K839" s="292"/>
      <c r="L839" s="292"/>
      <c r="M839" s="292" t="str">
        <f>IFERROR(__xludf.DUMMYFUNCTION("""COMPUTED_VALUE"""),"")</f>
        <v/>
      </c>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c r="AK839" s="292"/>
      <c r="AL839" s="292"/>
      <c r="AM839" s="292"/>
      <c r="AN839" s="292"/>
      <c r="AO839" s="292"/>
      <c r="AP839" s="292"/>
      <c r="AQ839" s="292"/>
      <c r="AR839" s="292"/>
      <c r="AS839" s="292"/>
      <c r="AT839" s="292"/>
      <c r="AU839" s="292"/>
      <c r="AV839" s="292"/>
      <c r="AW839" s="292"/>
      <c r="AX839" s="292"/>
      <c r="AY839" s="292"/>
      <c r="AZ839" s="292"/>
      <c r="BA839" s="292"/>
      <c r="BB839" s="292"/>
      <c r="BC839" s="292"/>
      <c r="BD839" s="292"/>
      <c r="BE839" s="292"/>
      <c r="BF839" s="292"/>
      <c r="BG839" s="292"/>
      <c r="BH839" s="292"/>
      <c r="BI839" s="292"/>
      <c r="BJ839" s="292"/>
      <c r="BK839" s="292"/>
      <c r="BL839" s="292"/>
      <c r="BM839" s="292"/>
      <c r="BN839" s="292"/>
      <c r="BO839" s="292"/>
      <c r="BP839" s="292"/>
      <c r="BQ839" s="292"/>
      <c r="BR839" s="292"/>
      <c r="BS839" s="292"/>
      <c r="BT839" s="292"/>
      <c r="BU839" s="292"/>
      <c r="BV839" s="292"/>
      <c r="BW839" s="292"/>
    </row>
    <row r="840">
      <c r="A840" s="292"/>
      <c r="B840" s="292" t="str">
        <f>IFERROR(__xludf.DUMMYFUNCTION("""COMPUTED_VALUE"""),"")</f>
        <v/>
      </c>
      <c r="C840" s="292"/>
      <c r="D840" s="292" t="str">
        <f>IFERROR(__xludf.DUMMYFUNCTION("""COMPUTED_VALUE"""),"")</f>
        <v/>
      </c>
      <c r="E840" s="292" t="str">
        <f>IFERROR(__xludf.DUMMYFUNCTION("""COMPUTED_VALUE"""),"")</f>
        <v/>
      </c>
      <c r="F840" s="292"/>
      <c r="G840" s="292" t="str">
        <f>IFERROR(__xludf.DUMMYFUNCTION("""COMPUTED_VALUE"""),"")</f>
        <v/>
      </c>
      <c r="H840" s="292" t="str">
        <f>IFERROR(__xludf.DUMMYFUNCTION("""COMPUTED_VALUE"""),"")</f>
        <v/>
      </c>
      <c r="I840" s="292"/>
      <c r="J840" s="292"/>
      <c r="K840" s="292"/>
      <c r="L840" s="292"/>
      <c r="M840" s="292" t="str">
        <f>IFERROR(__xludf.DUMMYFUNCTION("""COMPUTED_VALUE"""),"")</f>
        <v/>
      </c>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c r="AK840" s="292"/>
      <c r="AL840" s="292"/>
      <c r="AM840" s="292"/>
      <c r="AN840" s="292"/>
      <c r="AO840" s="292"/>
      <c r="AP840" s="292"/>
      <c r="AQ840" s="292"/>
      <c r="AR840" s="292"/>
      <c r="AS840" s="292"/>
      <c r="AT840" s="292"/>
      <c r="AU840" s="292"/>
      <c r="AV840" s="292"/>
      <c r="AW840" s="292"/>
      <c r="AX840" s="292"/>
      <c r="AY840" s="292"/>
      <c r="AZ840" s="292"/>
      <c r="BA840" s="292"/>
      <c r="BB840" s="292"/>
      <c r="BC840" s="292"/>
      <c r="BD840" s="292"/>
      <c r="BE840" s="292"/>
      <c r="BF840" s="292"/>
      <c r="BG840" s="292"/>
      <c r="BH840" s="292"/>
      <c r="BI840" s="292"/>
      <c r="BJ840" s="292"/>
      <c r="BK840" s="292"/>
      <c r="BL840" s="292"/>
      <c r="BM840" s="292"/>
      <c r="BN840" s="292"/>
      <c r="BO840" s="292"/>
      <c r="BP840" s="292"/>
      <c r="BQ840" s="292"/>
      <c r="BR840" s="292"/>
      <c r="BS840" s="292"/>
      <c r="BT840" s="292"/>
      <c r="BU840" s="292"/>
      <c r="BV840" s="292"/>
      <c r="BW840" s="292"/>
    </row>
    <row r="841">
      <c r="A841" s="292"/>
      <c r="B841" s="292" t="str">
        <f>IFERROR(__xludf.DUMMYFUNCTION("""COMPUTED_VALUE"""),"")</f>
        <v/>
      </c>
      <c r="C841" s="292"/>
      <c r="D841" s="292" t="str">
        <f>IFERROR(__xludf.DUMMYFUNCTION("""COMPUTED_VALUE"""),"")</f>
        <v/>
      </c>
      <c r="E841" s="292" t="str">
        <f>IFERROR(__xludf.DUMMYFUNCTION("""COMPUTED_VALUE"""),"")</f>
        <v/>
      </c>
      <c r="F841" s="292"/>
      <c r="G841" s="292" t="str">
        <f>IFERROR(__xludf.DUMMYFUNCTION("""COMPUTED_VALUE"""),"")</f>
        <v/>
      </c>
      <c r="H841" s="292" t="str">
        <f>IFERROR(__xludf.DUMMYFUNCTION("""COMPUTED_VALUE"""),"")</f>
        <v/>
      </c>
      <c r="I841" s="292"/>
      <c r="J841" s="292"/>
      <c r="K841" s="292"/>
      <c r="L841" s="292"/>
      <c r="M841" s="292" t="str">
        <f>IFERROR(__xludf.DUMMYFUNCTION("""COMPUTED_VALUE"""),"")</f>
        <v/>
      </c>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c r="AK841" s="292"/>
      <c r="AL841" s="292"/>
      <c r="AM841" s="292"/>
      <c r="AN841" s="292"/>
      <c r="AO841" s="292"/>
      <c r="AP841" s="292"/>
      <c r="AQ841" s="292"/>
      <c r="AR841" s="292"/>
      <c r="AS841" s="292"/>
      <c r="AT841" s="292"/>
      <c r="AU841" s="292"/>
      <c r="AV841" s="292"/>
      <c r="AW841" s="292"/>
      <c r="AX841" s="292"/>
      <c r="AY841" s="292"/>
      <c r="AZ841" s="292"/>
      <c r="BA841" s="292"/>
      <c r="BB841" s="292"/>
      <c r="BC841" s="292"/>
      <c r="BD841" s="292"/>
      <c r="BE841" s="292"/>
      <c r="BF841" s="292"/>
      <c r="BG841" s="292"/>
      <c r="BH841" s="292"/>
      <c r="BI841" s="292"/>
      <c r="BJ841" s="292"/>
      <c r="BK841" s="292"/>
      <c r="BL841" s="292"/>
      <c r="BM841" s="292"/>
      <c r="BN841" s="292"/>
      <c r="BO841" s="292"/>
      <c r="BP841" s="292"/>
      <c r="BQ841" s="292"/>
      <c r="BR841" s="292"/>
      <c r="BS841" s="292"/>
      <c r="BT841" s="292"/>
      <c r="BU841" s="292"/>
      <c r="BV841" s="292"/>
      <c r="BW841" s="292"/>
    </row>
    <row r="842">
      <c r="A842" s="292"/>
      <c r="B842" s="292" t="str">
        <f>IFERROR(__xludf.DUMMYFUNCTION("""COMPUTED_VALUE"""),"")</f>
        <v/>
      </c>
      <c r="C842" s="292"/>
      <c r="D842" s="292" t="str">
        <f>IFERROR(__xludf.DUMMYFUNCTION("""COMPUTED_VALUE"""),"")</f>
        <v/>
      </c>
      <c r="E842" s="292" t="str">
        <f>IFERROR(__xludf.DUMMYFUNCTION("""COMPUTED_VALUE"""),"")</f>
        <v/>
      </c>
      <c r="F842" s="292"/>
      <c r="G842" s="292" t="str">
        <f>IFERROR(__xludf.DUMMYFUNCTION("""COMPUTED_VALUE"""),"")</f>
        <v/>
      </c>
      <c r="H842" s="292" t="str">
        <f>IFERROR(__xludf.DUMMYFUNCTION("""COMPUTED_VALUE"""),"")</f>
        <v/>
      </c>
      <c r="I842" s="292"/>
      <c r="J842" s="292"/>
      <c r="K842" s="292"/>
      <c r="L842" s="292"/>
      <c r="M842" s="292" t="str">
        <f>IFERROR(__xludf.DUMMYFUNCTION("""COMPUTED_VALUE"""),"")</f>
        <v/>
      </c>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c r="AK842" s="292"/>
      <c r="AL842" s="292"/>
      <c r="AM842" s="292"/>
      <c r="AN842" s="292"/>
      <c r="AO842" s="292"/>
      <c r="AP842" s="292"/>
      <c r="AQ842" s="292"/>
      <c r="AR842" s="292"/>
      <c r="AS842" s="292"/>
      <c r="AT842" s="292"/>
      <c r="AU842" s="292"/>
      <c r="AV842" s="292"/>
      <c r="AW842" s="292"/>
      <c r="AX842" s="292"/>
      <c r="AY842" s="292"/>
      <c r="AZ842" s="292"/>
      <c r="BA842" s="292"/>
      <c r="BB842" s="292"/>
      <c r="BC842" s="292"/>
      <c r="BD842" s="292"/>
      <c r="BE842" s="292"/>
      <c r="BF842" s="292"/>
      <c r="BG842" s="292"/>
      <c r="BH842" s="292"/>
      <c r="BI842" s="292"/>
      <c r="BJ842" s="292"/>
      <c r="BK842" s="292"/>
      <c r="BL842" s="292"/>
      <c r="BM842" s="292"/>
      <c r="BN842" s="292"/>
      <c r="BO842" s="292"/>
      <c r="BP842" s="292"/>
      <c r="BQ842" s="292"/>
      <c r="BR842" s="292"/>
      <c r="BS842" s="292"/>
      <c r="BT842" s="292"/>
      <c r="BU842" s="292"/>
      <c r="BV842" s="292"/>
      <c r="BW842" s="292"/>
    </row>
    <row r="843">
      <c r="A843" s="292"/>
      <c r="B843" s="292" t="str">
        <f>IFERROR(__xludf.DUMMYFUNCTION("""COMPUTED_VALUE"""),"")</f>
        <v/>
      </c>
      <c r="C843" s="292"/>
      <c r="D843" s="292" t="str">
        <f>IFERROR(__xludf.DUMMYFUNCTION("""COMPUTED_VALUE"""),"")</f>
        <v/>
      </c>
      <c r="E843" s="292" t="str">
        <f>IFERROR(__xludf.DUMMYFUNCTION("""COMPUTED_VALUE"""),"")</f>
        <v/>
      </c>
      <c r="F843" s="292"/>
      <c r="G843" s="292" t="str">
        <f>IFERROR(__xludf.DUMMYFUNCTION("""COMPUTED_VALUE"""),"")</f>
        <v/>
      </c>
      <c r="H843" s="292" t="str">
        <f>IFERROR(__xludf.DUMMYFUNCTION("""COMPUTED_VALUE"""),"")</f>
        <v/>
      </c>
      <c r="I843" s="292"/>
      <c r="J843" s="292"/>
      <c r="K843" s="292"/>
      <c r="L843" s="292"/>
      <c r="M843" s="292" t="str">
        <f>IFERROR(__xludf.DUMMYFUNCTION("""COMPUTED_VALUE"""),"")</f>
        <v/>
      </c>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c r="AK843" s="292"/>
      <c r="AL843" s="292"/>
      <c r="AM843" s="292"/>
      <c r="AN843" s="292"/>
      <c r="AO843" s="292"/>
      <c r="AP843" s="292"/>
      <c r="AQ843" s="292"/>
      <c r="AR843" s="292"/>
      <c r="AS843" s="292"/>
      <c r="AT843" s="292"/>
      <c r="AU843" s="292"/>
      <c r="AV843" s="292"/>
      <c r="AW843" s="292"/>
      <c r="AX843" s="292"/>
      <c r="AY843" s="292"/>
      <c r="AZ843" s="292"/>
      <c r="BA843" s="292"/>
      <c r="BB843" s="292"/>
      <c r="BC843" s="292"/>
      <c r="BD843" s="292"/>
      <c r="BE843" s="292"/>
      <c r="BF843" s="292"/>
      <c r="BG843" s="292"/>
      <c r="BH843" s="292"/>
      <c r="BI843" s="292"/>
      <c r="BJ843" s="292"/>
      <c r="BK843" s="292"/>
      <c r="BL843" s="292"/>
      <c r="BM843" s="292"/>
      <c r="BN843" s="292"/>
      <c r="BO843" s="292"/>
      <c r="BP843" s="292"/>
      <c r="BQ843" s="292"/>
      <c r="BR843" s="292"/>
      <c r="BS843" s="292"/>
      <c r="BT843" s="292"/>
      <c r="BU843" s="292"/>
      <c r="BV843" s="292"/>
      <c r="BW843" s="292"/>
    </row>
    <row r="844">
      <c r="A844" s="292"/>
      <c r="B844" s="292" t="str">
        <f>IFERROR(__xludf.DUMMYFUNCTION("""COMPUTED_VALUE"""),"")</f>
        <v/>
      </c>
      <c r="C844" s="292"/>
      <c r="D844" s="292" t="str">
        <f>IFERROR(__xludf.DUMMYFUNCTION("""COMPUTED_VALUE"""),"")</f>
        <v/>
      </c>
      <c r="E844" s="292" t="str">
        <f>IFERROR(__xludf.DUMMYFUNCTION("""COMPUTED_VALUE"""),"")</f>
        <v/>
      </c>
      <c r="F844" s="292"/>
      <c r="G844" s="292" t="str">
        <f>IFERROR(__xludf.DUMMYFUNCTION("""COMPUTED_VALUE"""),"")</f>
        <v/>
      </c>
      <c r="H844" s="292" t="str">
        <f>IFERROR(__xludf.DUMMYFUNCTION("""COMPUTED_VALUE"""),"")</f>
        <v/>
      </c>
      <c r="I844" s="292"/>
      <c r="J844" s="292"/>
      <c r="K844" s="292"/>
      <c r="L844" s="292"/>
      <c r="M844" s="292" t="str">
        <f>IFERROR(__xludf.DUMMYFUNCTION("""COMPUTED_VALUE"""),"")</f>
        <v/>
      </c>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c r="AK844" s="292"/>
      <c r="AL844" s="292"/>
      <c r="AM844" s="292"/>
      <c r="AN844" s="292"/>
      <c r="AO844" s="292"/>
      <c r="AP844" s="292"/>
      <c r="AQ844" s="292"/>
      <c r="AR844" s="292"/>
      <c r="AS844" s="292"/>
      <c r="AT844" s="292"/>
      <c r="AU844" s="292"/>
      <c r="AV844" s="292"/>
      <c r="AW844" s="292"/>
      <c r="AX844" s="292"/>
      <c r="AY844" s="292"/>
      <c r="AZ844" s="292"/>
      <c r="BA844" s="292"/>
      <c r="BB844" s="292"/>
      <c r="BC844" s="292"/>
      <c r="BD844" s="292"/>
      <c r="BE844" s="292"/>
      <c r="BF844" s="292"/>
      <c r="BG844" s="292"/>
      <c r="BH844" s="292"/>
      <c r="BI844" s="292"/>
      <c r="BJ844" s="292"/>
      <c r="BK844" s="292"/>
      <c r="BL844" s="292"/>
      <c r="BM844" s="292"/>
      <c r="BN844" s="292"/>
      <c r="BO844" s="292"/>
      <c r="BP844" s="292"/>
      <c r="BQ844" s="292"/>
      <c r="BR844" s="292"/>
      <c r="BS844" s="292"/>
      <c r="BT844" s="292"/>
      <c r="BU844" s="292"/>
      <c r="BV844" s="292"/>
      <c r="BW844" s="292"/>
    </row>
    <row r="845">
      <c r="A845" s="292"/>
      <c r="B845" s="292" t="str">
        <f>IFERROR(__xludf.DUMMYFUNCTION("""COMPUTED_VALUE"""),"")</f>
        <v/>
      </c>
      <c r="C845" s="292"/>
      <c r="D845" s="292" t="str">
        <f>IFERROR(__xludf.DUMMYFUNCTION("""COMPUTED_VALUE"""),"")</f>
        <v/>
      </c>
      <c r="E845" s="292" t="str">
        <f>IFERROR(__xludf.DUMMYFUNCTION("""COMPUTED_VALUE"""),"")</f>
        <v/>
      </c>
      <c r="F845" s="292"/>
      <c r="G845" s="292" t="str">
        <f>IFERROR(__xludf.DUMMYFUNCTION("""COMPUTED_VALUE"""),"")</f>
        <v/>
      </c>
      <c r="H845" s="292" t="str">
        <f>IFERROR(__xludf.DUMMYFUNCTION("""COMPUTED_VALUE"""),"")</f>
        <v/>
      </c>
      <c r="I845" s="292"/>
      <c r="J845" s="292"/>
      <c r="K845" s="292"/>
      <c r="L845" s="292"/>
      <c r="M845" s="292" t="str">
        <f>IFERROR(__xludf.DUMMYFUNCTION("""COMPUTED_VALUE"""),"")</f>
        <v/>
      </c>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c r="AK845" s="292"/>
      <c r="AL845" s="292"/>
      <c r="AM845" s="292"/>
      <c r="AN845" s="292"/>
      <c r="AO845" s="292"/>
      <c r="AP845" s="292"/>
      <c r="AQ845" s="292"/>
      <c r="AR845" s="292"/>
      <c r="AS845" s="292"/>
      <c r="AT845" s="292"/>
      <c r="AU845" s="292"/>
      <c r="AV845" s="292"/>
      <c r="AW845" s="292"/>
      <c r="AX845" s="292"/>
      <c r="AY845" s="292"/>
      <c r="AZ845" s="292"/>
      <c r="BA845" s="292"/>
      <c r="BB845" s="292"/>
      <c r="BC845" s="292"/>
      <c r="BD845" s="292"/>
      <c r="BE845" s="292"/>
      <c r="BF845" s="292"/>
      <c r="BG845" s="292"/>
      <c r="BH845" s="292"/>
      <c r="BI845" s="292"/>
      <c r="BJ845" s="292"/>
      <c r="BK845" s="292"/>
      <c r="BL845" s="292"/>
      <c r="BM845" s="292"/>
      <c r="BN845" s="292"/>
      <c r="BO845" s="292"/>
      <c r="BP845" s="292"/>
      <c r="BQ845" s="292"/>
      <c r="BR845" s="292"/>
      <c r="BS845" s="292"/>
      <c r="BT845" s="292"/>
      <c r="BU845" s="292"/>
      <c r="BV845" s="292"/>
      <c r="BW845" s="292"/>
    </row>
    <row r="846">
      <c r="A846" s="292"/>
      <c r="B846" s="292" t="str">
        <f>IFERROR(__xludf.DUMMYFUNCTION("""COMPUTED_VALUE"""),"")</f>
        <v/>
      </c>
      <c r="C846" s="292"/>
      <c r="D846" s="292" t="str">
        <f>IFERROR(__xludf.DUMMYFUNCTION("""COMPUTED_VALUE"""),"")</f>
        <v/>
      </c>
      <c r="E846" s="292" t="str">
        <f>IFERROR(__xludf.DUMMYFUNCTION("""COMPUTED_VALUE"""),"")</f>
        <v/>
      </c>
      <c r="F846" s="292"/>
      <c r="G846" s="292" t="str">
        <f>IFERROR(__xludf.DUMMYFUNCTION("""COMPUTED_VALUE"""),"")</f>
        <v/>
      </c>
      <c r="H846" s="292" t="str">
        <f>IFERROR(__xludf.DUMMYFUNCTION("""COMPUTED_VALUE"""),"")</f>
        <v/>
      </c>
      <c r="I846" s="292"/>
      <c r="J846" s="292"/>
      <c r="K846" s="292"/>
      <c r="L846" s="292"/>
      <c r="M846" s="292" t="str">
        <f>IFERROR(__xludf.DUMMYFUNCTION("""COMPUTED_VALUE"""),"")</f>
        <v/>
      </c>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c r="AK846" s="292"/>
      <c r="AL846" s="292"/>
      <c r="AM846" s="292"/>
      <c r="AN846" s="292"/>
      <c r="AO846" s="292"/>
      <c r="AP846" s="292"/>
      <c r="AQ846" s="292"/>
      <c r="AR846" s="292"/>
      <c r="AS846" s="292"/>
      <c r="AT846" s="292"/>
      <c r="AU846" s="292"/>
      <c r="AV846" s="292"/>
      <c r="AW846" s="292"/>
      <c r="AX846" s="292"/>
      <c r="AY846" s="292"/>
      <c r="AZ846" s="292"/>
      <c r="BA846" s="292"/>
      <c r="BB846" s="292"/>
      <c r="BC846" s="292"/>
      <c r="BD846" s="292"/>
      <c r="BE846" s="292"/>
      <c r="BF846" s="292"/>
      <c r="BG846" s="292"/>
      <c r="BH846" s="292"/>
      <c r="BI846" s="292"/>
      <c r="BJ846" s="292"/>
      <c r="BK846" s="292"/>
      <c r="BL846" s="292"/>
      <c r="BM846" s="292"/>
      <c r="BN846" s="292"/>
      <c r="BO846" s="292"/>
      <c r="BP846" s="292"/>
      <c r="BQ846" s="292"/>
      <c r="BR846" s="292"/>
      <c r="BS846" s="292"/>
      <c r="BT846" s="292"/>
      <c r="BU846" s="292"/>
      <c r="BV846" s="292"/>
      <c r="BW846" s="292"/>
    </row>
    <row r="847">
      <c r="A847" s="292"/>
      <c r="B847" s="292" t="str">
        <f>IFERROR(__xludf.DUMMYFUNCTION("""COMPUTED_VALUE"""),"")</f>
        <v/>
      </c>
      <c r="C847" s="292"/>
      <c r="D847" s="292" t="str">
        <f>IFERROR(__xludf.DUMMYFUNCTION("""COMPUTED_VALUE"""),"")</f>
        <v/>
      </c>
      <c r="E847" s="292" t="str">
        <f>IFERROR(__xludf.DUMMYFUNCTION("""COMPUTED_VALUE"""),"")</f>
        <v/>
      </c>
      <c r="F847" s="292"/>
      <c r="G847" s="292" t="str">
        <f>IFERROR(__xludf.DUMMYFUNCTION("""COMPUTED_VALUE"""),"")</f>
        <v/>
      </c>
      <c r="H847" s="292" t="str">
        <f>IFERROR(__xludf.DUMMYFUNCTION("""COMPUTED_VALUE"""),"")</f>
        <v/>
      </c>
      <c r="I847" s="292"/>
      <c r="J847" s="292"/>
      <c r="K847" s="292"/>
      <c r="L847" s="292"/>
      <c r="M847" s="292" t="str">
        <f>IFERROR(__xludf.DUMMYFUNCTION("""COMPUTED_VALUE"""),"")</f>
        <v/>
      </c>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c r="AK847" s="292"/>
      <c r="AL847" s="292"/>
      <c r="AM847" s="292"/>
      <c r="AN847" s="292"/>
      <c r="AO847" s="292"/>
      <c r="AP847" s="292"/>
      <c r="AQ847" s="292"/>
      <c r="AR847" s="292"/>
      <c r="AS847" s="292"/>
      <c r="AT847" s="292"/>
      <c r="AU847" s="292"/>
      <c r="AV847" s="292"/>
      <c r="AW847" s="292"/>
      <c r="AX847" s="292"/>
      <c r="AY847" s="292"/>
      <c r="AZ847" s="292"/>
      <c r="BA847" s="292"/>
      <c r="BB847" s="292"/>
      <c r="BC847" s="292"/>
      <c r="BD847" s="292"/>
      <c r="BE847" s="292"/>
      <c r="BF847" s="292"/>
      <c r="BG847" s="292"/>
      <c r="BH847" s="292"/>
      <c r="BI847" s="292"/>
      <c r="BJ847" s="292"/>
      <c r="BK847" s="292"/>
      <c r="BL847" s="292"/>
      <c r="BM847" s="292"/>
      <c r="BN847" s="292"/>
      <c r="BO847" s="292"/>
      <c r="BP847" s="292"/>
      <c r="BQ847" s="292"/>
      <c r="BR847" s="292"/>
      <c r="BS847" s="292"/>
      <c r="BT847" s="292"/>
      <c r="BU847" s="292"/>
      <c r="BV847" s="292"/>
      <c r="BW847" s="292"/>
    </row>
    <row r="848">
      <c r="A848" s="292"/>
      <c r="B848" s="292" t="str">
        <f>IFERROR(__xludf.DUMMYFUNCTION("""COMPUTED_VALUE"""),"")</f>
        <v/>
      </c>
      <c r="C848" s="292"/>
      <c r="D848" s="292" t="str">
        <f>IFERROR(__xludf.DUMMYFUNCTION("""COMPUTED_VALUE"""),"")</f>
        <v/>
      </c>
      <c r="E848" s="292" t="str">
        <f>IFERROR(__xludf.DUMMYFUNCTION("""COMPUTED_VALUE"""),"")</f>
        <v/>
      </c>
      <c r="F848" s="292"/>
      <c r="G848" s="292" t="str">
        <f>IFERROR(__xludf.DUMMYFUNCTION("""COMPUTED_VALUE"""),"")</f>
        <v/>
      </c>
      <c r="H848" s="292" t="str">
        <f>IFERROR(__xludf.DUMMYFUNCTION("""COMPUTED_VALUE"""),"")</f>
        <v/>
      </c>
      <c r="I848" s="292"/>
      <c r="J848" s="292"/>
      <c r="K848" s="292"/>
      <c r="L848" s="292"/>
      <c r="M848" s="292" t="str">
        <f>IFERROR(__xludf.DUMMYFUNCTION("""COMPUTED_VALUE"""),"")</f>
        <v/>
      </c>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c r="AK848" s="292"/>
      <c r="AL848" s="292"/>
      <c r="AM848" s="292"/>
      <c r="AN848" s="292"/>
      <c r="AO848" s="292"/>
      <c r="AP848" s="292"/>
      <c r="AQ848" s="292"/>
      <c r="AR848" s="292"/>
      <c r="AS848" s="292"/>
      <c r="AT848" s="292"/>
      <c r="AU848" s="292"/>
      <c r="AV848" s="292"/>
      <c r="AW848" s="292"/>
      <c r="AX848" s="292"/>
      <c r="AY848" s="292"/>
      <c r="AZ848" s="292"/>
      <c r="BA848" s="292"/>
      <c r="BB848" s="292"/>
      <c r="BC848" s="292"/>
      <c r="BD848" s="292"/>
      <c r="BE848" s="292"/>
      <c r="BF848" s="292"/>
      <c r="BG848" s="292"/>
      <c r="BH848" s="292"/>
      <c r="BI848" s="292"/>
      <c r="BJ848" s="292"/>
      <c r="BK848" s="292"/>
      <c r="BL848" s="292"/>
      <c r="BM848" s="292"/>
      <c r="BN848" s="292"/>
      <c r="BO848" s="292"/>
      <c r="BP848" s="292"/>
      <c r="BQ848" s="292"/>
      <c r="BR848" s="292"/>
      <c r="BS848" s="292"/>
      <c r="BT848" s="292"/>
      <c r="BU848" s="292"/>
      <c r="BV848" s="292"/>
      <c r="BW848" s="292"/>
    </row>
    <row r="849">
      <c r="A849" s="292"/>
      <c r="B849" s="292" t="str">
        <f>IFERROR(__xludf.DUMMYFUNCTION("""COMPUTED_VALUE"""),"")</f>
        <v/>
      </c>
      <c r="C849" s="292"/>
      <c r="D849" s="292" t="str">
        <f>IFERROR(__xludf.DUMMYFUNCTION("""COMPUTED_VALUE"""),"")</f>
        <v/>
      </c>
      <c r="E849" s="292" t="str">
        <f>IFERROR(__xludf.DUMMYFUNCTION("""COMPUTED_VALUE"""),"")</f>
        <v/>
      </c>
      <c r="F849" s="292"/>
      <c r="G849" s="292" t="str">
        <f>IFERROR(__xludf.DUMMYFUNCTION("""COMPUTED_VALUE"""),"")</f>
        <v/>
      </c>
      <c r="H849" s="292" t="str">
        <f>IFERROR(__xludf.DUMMYFUNCTION("""COMPUTED_VALUE"""),"")</f>
        <v/>
      </c>
      <c r="I849" s="292"/>
      <c r="J849" s="292"/>
      <c r="K849" s="292"/>
      <c r="L849" s="292"/>
      <c r="M849" s="292" t="str">
        <f>IFERROR(__xludf.DUMMYFUNCTION("""COMPUTED_VALUE"""),"")</f>
        <v/>
      </c>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c r="AK849" s="292"/>
      <c r="AL849" s="292"/>
      <c r="AM849" s="292"/>
      <c r="AN849" s="292"/>
      <c r="AO849" s="292"/>
      <c r="AP849" s="292"/>
      <c r="AQ849" s="292"/>
      <c r="AR849" s="292"/>
      <c r="AS849" s="292"/>
      <c r="AT849" s="292"/>
      <c r="AU849" s="292"/>
      <c r="AV849" s="292"/>
      <c r="AW849" s="292"/>
      <c r="AX849" s="292"/>
      <c r="AY849" s="292"/>
      <c r="AZ849" s="292"/>
      <c r="BA849" s="292"/>
      <c r="BB849" s="292"/>
      <c r="BC849" s="292"/>
      <c r="BD849" s="292"/>
      <c r="BE849" s="292"/>
      <c r="BF849" s="292"/>
      <c r="BG849" s="292"/>
      <c r="BH849" s="292"/>
      <c r="BI849" s="292"/>
      <c r="BJ849" s="292"/>
      <c r="BK849" s="292"/>
      <c r="BL849" s="292"/>
      <c r="BM849" s="292"/>
      <c r="BN849" s="292"/>
      <c r="BO849" s="292"/>
      <c r="BP849" s="292"/>
      <c r="BQ849" s="292"/>
      <c r="BR849" s="292"/>
      <c r="BS849" s="292"/>
      <c r="BT849" s="292"/>
      <c r="BU849" s="292"/>
      <c r="BV849" s="292"/>
      <c r="BW849" s="292"/>
    </row>
    <row r="850">
      <c r="A850" s="292"/>
      <c r="B850" s="292" t="str">
        <f>IFERROR(__xludf.DUMMYFUNCTION("""COMPUTED_VALUE"""),"")</f>
        <v/>
      </c>
      <c r="C850" s="292"/>
      <c r="D850" s="292" t="str">
        <f>IFERROR(__xludf.DUMMYFUNCTION("""COMPUTED_VALUE"""),"")</f>
        <v/>
      </c>
      <c r="E850" s="292" t="str">
        <f>IFERROR(__xludf.DUMMYFUNCTION("""COMPUTED_VALUE"""),"")</f>
        <v/>
      </c>
      <c r="F850" s="292"/>
      <c r="G850" s="292" t="str">
        <f>IFERROR(__xludf.DUMMYFUNCTION("""COMPUTED_VALUE"""),"")</f>
        <v/>
      </c>
      <c r="H850" s="292" t="str">
        <f>IFERROR(__xludf.DUMMYFUNCTION("""COMPUTED_VALUE"""),"")</f>
        <v/>
      </c>
      <c r="I850" s="292"/>
      <c r="J850" s="292"/>
      <c r="K850" s="292"/>
      <c r="L850" s="292"/>
      <c r="M850" s="292" t="str">
        <f>IFERROR(__xludf.DUMMYFUNCTION("""COMPUTED_VALUE"""),"")</f>
        <v/>
      </c>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c r="AK850" s="292"/>
      <c r="AL850" s="292"/>
      <c r="AM850" s="292"/>
      <c r="AN850" s="292"/>
      <c r="AO850" s="292"/>
      <c r="AP850" s="292"/>
      <c r="AQ850" s="292"/>
      <c r="AR850" s="292"/>
      <c r="AS850" s="292"/>
      <c r="AT850" s="292"/>
      <c r="AU850" s="292"/>
      <c r="AV850" s="292"/>
      <c r="AW850" s="292"/>
      <c r="AX850" s="292"/>
      <c r="AY850" s="292"/>
      <c r="AZ850" s="292"/>
      <c r="BA850" s="292"/>
      <c r="BB850" s="292"/>
      <c r="BC850" s="292"/>
      <c r="BD850" s="292"/>
      <c r="BE850" s="292"/>
      <c r="BF850" s="292"/>
      <c r="BG850" s="292"/>
      <c r="BH850" s="292"/>
      <c r="BI850" s="292"/>
      <c r="BJ850" s="292"/>
      <c r="BK850" s="292"/>
      <c r="BL850" s="292"/>
      <c r="BM850" s="292"/>
      <c r="BN850" s="292"/>
      <c r="BO850" s="292"/>
      <c r="BP850" s="292"/>
      <c r="BQ850" s="292"/>
      <c r="BR850" s="292"/>
      <c r="BS850" s="292"/>
      <c r="BT850" s="292"/>
      <c r="BU850" s="292"/>
      <c r="BV850" s="292"/>
      <c r="BW850" s="292"/>
    </row>
    <row r="851">
      <c r="A851" s="292"/>
      <c r="B851" s="292" t="str">
        <f>IFERROR(__xludf.DUMMYFUNCTION("""COMPUTED_VALUE"""),"")</f>
        <v/>
      </c>
      <c r="C851" s="292"/>
      <c r="D851" s="292" t="str">
        <f>IFERROR(__xludf.DUMMYFUNCTION("""COMPUTED_VALUE"""),"")</f>
        <v/>
      </c>
      <c r="E851" s="292" t="str">
        <f>IFERROR(__xludf.DUMMYFUNCTION("""COMPUTED_VALUE"""),"")</f>
        <v/>
      </c>
      <c r="F851" s="292"/>
      <c r="G851" s="292" t="str">
        <f>IFERROR(__xludf.DUMMYFUNCTION("""COMPUTED_VALUE"""),"")</f>
        <v/>
      </c>
      <c r="H851" s="292" t="str">
        <f>IFERROR(__xludf.DUMMYFUNCTION("""COMPUTED_VALUE"""),"")</f>
        <v/>
      </c>
      <c r="I851" s="292"/>
      <c r="J851" s="292"/>
      <c r="K851" s="292"/>
      <c r="L851" s="292"/>
      <c r="M851" s="292" t="str">
        <f>IFERROR(__xludf.DUMMYFUNCTION("""COMPUTED_VALUE"""),"")</f>
        <v/>
      </c>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c r="AK851" s="292"/>
      <c r="AL851" s="292"/>
      <c r="AM851" s="292"/>
      <c r="AN851" s="292"/>
      <c r="AO851" s="292"/>
      <c r="AP851" s="292"/>
      <c r="AQ851" s="292"/>
      <c r="AR851" s="292"/>
      <c r="AS851" s="292"/>
      <c r="AT851" s="292"/>
      <c r="AU851" s="292"/>
      <c r="AV851" s="292"/>
      <c r="AW851" s="292"/>
      <c r="AX851" s="292"/>
      <c r="AY851" s="292"/>
      <c r="AZ851" s="292"/>
      <c r="BA851" s="292"/>
      <c r="BB851" s="292"/>
      <c r="BC851" s="292"/>
      <c r="BD851" s="292"/>
      <c r="BE851" s="292"/>
      <c r="BF851" s="292"/>
      <c r="BG851" s="292"/>
      <c r="BH851" s="292"/>
      <c r="BI851" s="292"/>
      <c r="BJ851" s="292"/>
      <c r="BK851" s="292"/>
      <c r="BL851" s="292"/>
      <c r="BM851" s="292"/>
      <c r="BN851" s="292"/>
      <c r="BO851" s="292"/>
      <c r="BP851" s="292"/>
      <c r="BQ851" s="292"/>
      <c r="BR851" s="292"/>
      <c r="BS851" s="292"/>
      <c r="BT851" s="292"/>
      <c r="BU851" s="292"/>
      <c r="BV851" s="292"/>
      <c r="BW851" s="292"/>
    </row>
    <row r="852">
      <c r="A852" s="292"/>
      <c r="B852" s="292" t="str">
        <f>IFERROR(__xludf.DUMMYFUNCTION("""COMPUTED_VALUE"""),"")</f>
        <v/>
      </c>
      <c r="C852" s="292"/>
      <c r="D852" s="292" t="str">
        <f>IFERROR(__xludf.DUMMYFUNCTION("""COMPUTED_VALUE"""),"")</f>
        <v/>
      </c>
      <c r="E852" s="292" t="str">
        <f>IFERROR(__xludf.DUMMYFUNCTION("""COMPUTED_VALUE"""),"")</f>
        <v/>
      </c>
      <c r="F852" s="292"/>
      <c r="G852" s="292" t="str">
        <f>IFERROR(__xludf.DUMMYFUNCTION("""COMPUTED_VALUE"""),"")</f>
        <v/>
      </c>
      <c r="H852" s="292" t="str">
        <f>IFERROR(__xludf.DUMMYFUNCTION("""COMPUTED_VALUE"""),"")</f>
        <v/>
      </c>
      <c r="I852" s="292"/>
      <c r="J852" s="292"/>
      <c r="K852" s="292"/>
      <c r="L852" s="292"/>
      <c r="M852" s="292" t="str">
        <f>IFERROR(__xludf.DUMMYFUNCTION("""COMPUTED_VALUE"""),"")</f>
        <v/>
      </c>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c r="AK852" s="292"/>
      <c r="AL852" s="292"/>
      <c r="AM852" s="292"/>
      <c r="AN852" s="292"/>
      <c r="AO852" s="292"/>
      <c r="AP852" s="292"/>
      <c r="AQ852" s="292"/>
      <c r="AR852" s="292"/>
      <c r="AS852" s="292"/>
      <c r="AT852" s="292"/>
      <c r="AU852" s="292"/>
      <c r="AV852" s="292"/>
      <c r="AW852" s="292"/>
      <c r="AX852" s="292"/>
      <c r="AY852" s="292"/>
      <c r="AZ852" s="292"/>
      <c r="BA852" s="292"/>
      <c r="BB852" s="292"/>
      <c r="BC852" s="292"/>
      <c r="BD852" s="292"/>
      <c r="BE852" s="292"/>
      <c r="BF852" s="292"/>
      <c r="BG852" s="292"/>
      <c r="BH852" s="292"/>
      <c r="BI852" s="292"/>
      <c r="BJ852" s="292"/>
      <c r="BK852" s="292"/>
      <c r="BL852" s="292"/>
      <c r="BM852" s="292"/>
      <c r="BN852" s="292"/>
      <c r="BO852" s="292"/>
      <c r="BP852" s="292"/>
      <c r="BQ852" s="292"/>
      <c r="BR852" s="292"/>
      <c r="BS852" s="292"/>
      <c r="BT852" s="292"/>
      <c r="BU852" s="292"/>
      <c r="BV852" s="292"/>
      <c r="BW852" s="292"/>
    </row>
    <row r="853">
      <c r="A853" s="292"/>
      <c r="B853" s="292" t="str">
        <f>IFERROR(__xludf.DUMMYFUNCTION("""COMPUTED_VALUE"""),"")</f>
        <v/>
      </c>
      <c r="C853" s="292"/>
      <c r="D853" s="292" t="str">
        <f>IFERROR(__xludf.DUMMYFUNCTION("""COMPUTED_VALUE"""),"")</f>
        <v/>
      </c>
      <c r="E853" s="292" t="str">
        <f>IFERROR(__xludf.DUMMYFUNCTION("""COMPUTED_VALUE"""),"")</f>
        <v/>
      </c>
      <c r="F853" s="292"/>
      <c r="G853" s="292" t="str">
        <f>IFERROR(__xludf.DUMMYFUNCTION("""COMPUTED_VALUE"""),"")</f>
        <v/>
      </c>
      <c r="H853" s="292" t="str">
        <f>IFERROR(__xludf.DUMMYFUNCTION("""COMPUTED_VALUE"""),"")</f>
        <v/>
      </c>
      <c r="I853" s="292"/>
      <c r="J853" s="292"/>
      <c r="K853" s="292"/>
      <c r="L853" s="292"/>
      <c r="M853" s="292" t="str">
        <f>IFERROR(__xludf.DUMMYFUNCTION("""COMPUTED_VALUE"""),"")</f>
        <v/>
      </c>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c r="AK853" s="292"/>
      <c r="AL853" s="292"/>
      <c r="AM853" s="292"/>
      <c r="AN853" s="292"/>
      <c r="AO853" s="292"/>
      <c r="AP853" s="292"/>
      <c r="AQ853" s="292"/>
      <c r="AR853" s="292"/>
      <c r="AS853" s="292"/>
      <c r="AT853" s="292"/>
      <c r="AU853" s="292"/>
      <c r="AV853" s="292"/>
      <c r="AW853" s="292"/>
      <c r="AX853" s="292"/>
      <c r="AY853" s="292"/>
      <c r="AZ853" s="292"/>
      <c r="BA853" s="292"/>
      <c r="BB853" s="292"/>
      <c r="BC853" s="292"/>
      <c r="BD853" s="292"/>
      <c r="BE853" s="292"/>
      <c r="BF853" s="292"/>
      <c r="BG853" s="292"/>
      <c r="BH853" s="292"/>
      <c r="BI853" s="292"/>
      <c r="BJ853" s="292"/>
      <c r="BK853" s="292"/>
      <c r="BL853" s="292"/>
      <c r="BM853" s="292"/>
      <c r="BN853" s="292"/>
      <c r="BO853" s="292"/>
      <c r="BP853" s="292"/>
      <c r="BQ853" s="292"/>
      <c r="BR853" s="292"/>
      <c r="BS853" s="292"/>
      <c r="BT853" s="292"/>
      <c r="BU853" s="292"/>
      <c r="BV853" s="292"/>
      <c r="BW853" s="292"/>
    </row>
    <row r="854">
      <c r="A854" s="292"/>
      <c r="B854" s="292" t="str">
        <f>IFERROR(__xludf.DUMMYFUNCTION("""COMPUTED_VALUE"""),"")</f>
        <v/>
      </c>
      <c r="C854" s="292"/>
      <c r="D854" s="292" t="str">
        <f>IFERROR(__xludf.DUMMYFUNCTION("""COMPUTED_VALUE"""),"")</f>
        <v/>
      </c>
      <c r="E854" s="292" t="str">
        <f>IFERROR(__xludf.DUMMYFUNCTION("""COMPUTED_VALUE"""),"")</f>
        <v/>
      </c>
      <c r="F854" s="292"/>
      <c r="G854" s="292" t="str">
        <f>IFERROR(__xludf.DUMMYFUNCTION("""COMPUTED_VALUE"""),"")</f>
        <v/>
      </c>
      <c r="H854" s="292" t="str">
        <f>IFERROR(__xludf.DUMMYFUNCTION("""COMPUTED_VALUE"""),"")</f>
        <v/>
      </c>
      <c r="I854" s="292"/>
      <c r="J854" s="292"/>
      <c r="K854" s="292"/>
      <c r="L854" s="292"/>
      <c r="M854" s="292" t="str">
        <f>IFERROR(__xludf.DUMMYFUNCTION("""COMPUTED_VALUE"""),"")</f>
        <v/>
      </c>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c r="AK854" s="292"/>
      <c r="AL854" s="292"/>
      <c r="AM854" s="292"/>
      <c r="AN854" s="292"/>
      <c r="AO854" s="292"/>
      <c r="AP854" s="292"/>
      <c r="AQ854" s="292"/>
      <c r="AR854" s="292"/>
      <c r="AS854" s="292"/>
      <c r="AT854" s="292"/>
      <c r="AU854" s="292"/>
      <c r="AV854" s="292"/>
      <c r="AW854" s="292"/>
      <c r="AX854" s="292"/>
      <c r="AY854" s="292"/>
      <c r="AZ854" s="292"/>
      <c r="BA854" s="292"/>
      <c r="BB854" s="292"/>
      <c r="BC854" s="292"/>
      <c r="BD854" s="292"/>
      <c r="BE854" s="292"/>
      <c r="BF854" s="292"/>
      <c r="BG854" s="292"/>
      <c r="BH854" s="292"/>
      <c r="BI854" s="292"/>
      <c r="BJ854" s="292"/>
      <c r="BK854" s="292"/>
      <c r="BL854" s="292"/>
      <c r="BM854" s="292"/>
      <c r="BN854" s="292"/>
      <c r="BO854" s="292"/>
      <c r="BP854" s="292"/>
      <c r="BQ854" s="292"/>
      <c r="BR854" s="292"/>
      <c r="BS854" s="292"/>
      <c r="BT854" s="292"/>
      <c r="BU854" s="292"/>
      <c r="BV854" s="292"/>
      <c r="BW854" s="292"/>
    </row>
    <row r="855">
      <c r="A855" s="292"/>
      <c r="B855" s="292" t="str">
        <f>IFERROR(__xludf.DUMMYFUNCTION("""COMPUTED_VALUE"""),"")</f>
        <v/>
      </c>
      <c r="C855" s="292"/>
      <c r="D855" s="292" t="str">
        <f>IFERROR(__xludf.DUMMYFUNCTION("""COMPUTED_VALUE"""),"")</f>
        <v/>
      </c>
      <c r="E855" s="292" t="str">
        <f>IFERROR(__xludf.DUMMYFUNCTION("""COMPUTED_VALUE"""),"")</f>
        <v/>
      </c>
      <c r="F855" s="292"/>
      <c r="G855" s="292" t="str">
        <f>IFERROR(__xludf.DUMMYFUNCTION("""COMPUTED_VALUE"""),"")</f>
        <v/>
      </c>
      <c r="H855" s="292" t="str">
        <f>IFERROR(__xludf.DUMMYFUNCTION("""COMPUTED_VALUE"""),"")</f>
        <v/>
      </c>
      <c r="I855" s="292"/>
      <c r="J855" s="292"/>
      <c r="K855" s="292"/>
      <c r="L855" s="292"/>
      <c r="M855" s="292" t="str">
        <f>IFERROR(__xludf.DUMMYFUNCTION("""COMPUTED_VALUE"""),"")</f>
        <v/>
      </c>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c r="AK855" s="292"/>
      <c r="AL855" s="292"/>
      <c r="AM855" s="292"/>
      <c r="AN855" s="292"/>
      <c r="AO855" s="292"/>
      <c r="AP855" s="292"/>
      <c r="AQ855" s="292"/>
      <c r="AR855" s="292"/>
      <c r="AS855" s="292"/>
      <c r="AT855" s="292"/>
      <c r="AU855" s="292"/>
      <c r="AV855" s="292"/>
      <c r="AW855" s="292"/>
      <c r="AX855" s="292"/>
      <c r="AY855" s="292"/>
      <c r="AZ855" s="292"/>
      <c r="BA855" s="292"/>
      <c r="BB855" s="292"/>
      <c r="BC855" s="292"/>
      <c r="BD855" s="292"/>
      <c r="BE855" s="292"/>
      <c r="BF855" s="292"/>
      <c r="BG855" s="292"/>
      <c r="BH855" s="292"/>
      <c r="BI855" s="292"/>
      <c r="BJ855" s="292"/>
      <c r="BK855" s="292"/>
      <c r="BL855" s="292"/>
      <c r="BM855" s="292"/>
      <c r="BN855" s="292"/>
      <c r="BO855" s="292"/>
      <c r="BP855" s="292"/>
      <c r="BQ855" s="292"/>
      <c r="BR855" s="292"/>
      <c r="BS855" s="292"/>
      <c r="BT855" s="292"/>
      <c r="BU855" s="292"/>
      <c r="BV855" s="292"/>
      <c r="BW855" s="292"/>
    </row>
    <row r="856">
      <c r="A856" s="292"/>
      <c r="B856" s="292" t="str">
        <f>IFERROR(__xludf.DUMMYFUNCTION("""COMPUTED_VALUE"""),"")</f>
        <v/>
      </c>
      <c r="C856" s="292"/>
      <c r="D856" s="292" t="str">
        <f>IFERROR(__xludf.DUMMYFUNCTION("""COMPUTED_VALUE"""),"")</f>
        <v/>
      </c>
      <c r="E856" s="292" t="str">
        <f>IFERROR(__xludf.DUMMYFUNCTION("""COMPUTED_VALUE"""),"")</f>
        <v/>
      </c>
      <c r="F856" s="292"/>
      <c r="G856" s="292" t="str">
        <f>IFERROR(__xludf.DUMMYFUNCTION("""COMPUTED_VALUE"""),"")</f>
        <v/>
      </c>
      <c r="H856" s="292" t="str">
        <f>IFERROR(__xludf.DUMMYFUNCTION("""COMPUTED_VALUE"""),"")</f>
        <v/>
      </c>
      <c r="I856" s="292"/>
      <c r="J856" s="292"/>
      <c r="K856" s="292"/>
      <c r="L856" s="292"/>
      <c r="M856" s="292" t="str">
        <f>IFERROR(__xludf.DUMMYFUNCTION("""COMPUTED_VALUE"""),"")</f>
        <v/>
      </c>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c r="AK856" s="292"/>
      <c r="AL856" s="292"/>
      <c r="AM856" s="292"/>
      <c r="AN856" s="292"/>
      <c r="AO856" s="292"/>
      <c r="AP856" s="292"/>
      <c r="AQ856" s="292"/>
      <c r="AR856" s="292"/>
      <c r="AS856" s="292"/>
      <c r="AT856" s="292"/>
      <c r="AU856" s="292"/>
      <c r="AV856" s="292"/>
      <c r="AW856" s="292"/>
      <c r="AX856" s="292"/>
      <c r="AY856" s="292"/>
      <c r="AZ856" s="292"/>
      <c r="BA856" s="292"/>
      <c r="BB856" s="292"/>
      <c r="BC856" s="292"/>
      <c r="BD856" s="292"/>
      <c r="BE856" s="292"/>
      <c r="BF856" s="292"/>
      <c r="BG856" s="292"/>
      <c r="BH856" s="292"/>
      <c r="BI856" s="292"/>
      <c r="BJ856" s="292"/>
      <c r="BK856" s="292"/>
      <c r="BL856" s="292"/>
      <c r="BM856" s="292"/>
      <c r="BN856" s="292"/>
      <c r="BO856" s="292"/>
      <c r="BP856" s="292"/>
      <c r="BQ856" s="292"/>
      <c r="BR856" s="292"/>
      <c r="BS856" s="292"/>
      <c r="BT856" s="292"/>
      <c r="BU856" s="292"/>
      <c r="BV856" s="292"/>
      <c r="BW856" s="292"/>
    </row>
    <row r="857">
      <c r="A857" s="292"/>
      <c r="B857" s="292" t="str">
        <f>IFERROR(__xludf.DUMMYFUNCTION("""COMPUTED_VALUE"""),"")</f>
        <v/>
      </c>
      <c r="C857" s="292"/>
      <c r="D857" s="292" t="str">
        <f>IFERROR(__xludf.DUMMYFUNCTION("""COMPUTED_VALUE"""),"")</f>
        <v/>
      </c>
      <c r="E857" s="292" t="str">
        <f>IFERROR(__xludf.DUMMYFUNCTION("""COMPUTED_VALUE"""),"")</f>
        <v/>
      </c>
      <c r="F857" s="292"/>
      <c r="G857" s="292" t="str">
        <f>IFERROR(__xludf.DUMMYFUNCTION("""COMPUTED_VALUE"""),"")</f>
        <v/>
      </c>
      <c r="H857" s="292" t="str">
        <f>IFERROR(__xludf.DUMMYFUNCTION("""COMPUTED_VALUE"""),"")</f>
        <v/>
      </c>
      <c r="I857" s="292"/>
      <c r="J857" s="292"/>
      <c r="K857" s="292"/>
      <c r="L857" s="292"/>
      <c r="M857" s="292" t="str">
        <f>IFERROR(__xludf.DUMMYFUNCTION("""COMPUTED_VALUE"""),"")</f>
        <v/>
      </c>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c r="AK857" s="292"/>
      <c r="AL857" s="292"/>
      <c r="AM857" s="292"/>
      <c r="AN857" s="292"/>
      <c r="AO857" s="292"/>
      <c r="AP857" s="292"/>
      <c r="AQ857" s="292"/>
      <c r="AR857" s="292"/>
      <c r="AS857" s="292"/>
      <c r="AT857" s="292"/>
      <c r="AU857" s="292"/>
      <c r="AV857" s="292"/>
      <c r="AW857" s="292"/>
      <c r="AX857" s="292"/>
      <c r="AY857" s="292"/>
      <c r="AZ857" s="292"/>
      <c r="BA857" s="292"/>
      <c r="BB857" s="292"/>
      <c r="BC857" s="292"/>
      <c r="BD857" s="292"/>
      <c r="BE857" s="292"/>
      <c r="BF857" s="292"/>
      <c r="BG857" s="292"/>
      <c r="BH857" s="292"/>
      <c r="BI857" s="292"/>
      <c r="BJ857" s="292"/>
      <c r="BK857" s="292"/>
      <c r="BL857" s="292"/>
      <c r="BM857" s="292"/>
      <c r="BN857" s="292"/>
      <c r="BO857" s="292"/>
      <c r="BP857" s="292"/>
      <c r="BQ857" s="292"/>
      <c r="BR857" s="292"/>
      <c r="BS857" s="292"/>
      <c r="BT857" s="292"/>
      <c r="BU857" s="292"/>
      <c r="BV857" s="292"/>
      <c r="BW857" s="292"/>
    </row>
    <row r="858">
      <c r="A858" s="292"/>
      <c r="B858" s="292" t="str">
        <f>IFERROR(__xludf.DUMMYFUNCTION("""COMPUTED_VALUE"""),"")</f>
        <v/>
      </c>
      <c r="C858" s="292"/>
      <c r="D858" s="292" t="str">
        <f>IFERROR(__xludf.DUMMYFUNCTION("""COMPUTED_VALUE"""),"")</f>
        <v/>
      </c>
      <c r="E858" s="292" t="str">
        <f>IFERROR(__xludf.DUMMYFUNCTION("""COMPUTED_VALUE"""),"")</f>
        <v/>
      </c>
      <c r="F858" s="292"/>
      <c r="G858" s="292" t="str">
        <f>IFERROR(__xludf.DUMMYFUNCTION("""COMPUTED_VALUE"""),"")</f>
        <v/>
      </c>
      <c r="H858" s="292" t="str">
        <f>IFERROR(__xludf.DUMMYFUNCTION("""COMPUTED_VALUE"""),"")</f>
        <v/>
      </c>
      <c r="I858" s="292"/>
      <c r="J858" s="292"/>
      <c r="K858" s="292"/>
      <c r="L858" s="292"/>
      <c r="M858" s="292" t="str">
        <f>IFERROR(__xludf.DUMMYFUNCTION("""COMPUTED_VALUE"""),"")</f>
        <v/>
      </c>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c r="AK858" s="292"/>
      <c r="AL858" s="292"/>
      <c r="AM858" s="292"/>
      <c r="AN858" s="292"/>
      <c r="AO858" s="292"/>
      <c r="AP858" s="292"/>
      <c r="AQ858" s="292"/>
      <c r="AR858" s="292"/>
      <c r="AS858" s="292"/>
      <c r="AT858" s="292"/>
      <c r="AU858" s="292"/>
      <c r="AV858" s="292"/>
      <c r="AW858" s="292"/>
      <c r="AX858" s="292"/>
      <c r="AY858" s="292"/>
      <c r="AZ858" s="292"/>
      <c r="BA858" s="292"/>
      <c r="BB858" s="292"/>
      <c r="BC858" s="292"/>
      <c r="BD858" s="292"/>
      <c r="BE858" s="292"/>
      <c r="BF858" s="292"/>
      <c r="BG858" s="292"/>
      <c r="BH858" s="292"/>
      <c r="BI858" s="292"/>
      <c r="BJ858" s="292"/>
      <c r="BK858" s="292"/>
      <c r="BL858" s="292"/>
      <c r="BM858" s="292"/>
      <c r="BN858" s="292"/>
      <c r="BO858" s="292"/>
      <c r="BP858" s="292"/>
      <c r="BQ858" s="292"/>
      <c r="BR858" s="292"/>
      <c r="BS858" s="292"/>
      <c r="BT858" s="292"/>
      <c r="BU858" s="292"/>
      <c r="BV858" s="292"/>
      <c r="BW858" s="292"/>
    </row>
    <row r="859">
      <c r="A859" s="292"/>
      <c r="B859" s="292" t="str">
        <f>IFERROR(__xludf.DUMMYFUNCTION("""COMPUTED_VALUE"""),"")</f>
        <v/>
      </c>
      <c r="C859" s="292"/>
      <c r="D859" s="292" t="str">
        <f>IFERROR(__xludf.DUMMYFUNCTION("""COMPUTED_VALUE"""),"")</f>
        <v/>
      </c>
      <c r="E859" s="292" t="str">
        <f>IFERROR(__xludf.DUMMYFUNCTION("""COMPUTED_VALUE"""),"")</f>
        <v/>
      </c>
      <c r="F859" s="292"/>
      <c r="G859" s="292" t="str">
        <f>IFERROR(__xludf.DUMMYFUNCTION("""COMPUTED_VALUE"""),"")</f>
        <v/>
      </c>
      <c r="H859" s="292" t="str">
        <f>IFERROR(__xludf.DUMMYFUNCTION("""COMPUTED_VALUE"""),"")</f>
        <v/>
      </c>
      <c r="I859" s="292"/>
      <c r="J859" s="292"/>
      <c r="K859" s="292"/>
      <c r="L859" s="292"/>
      <c r="M859" s="292" t="str">
        <f>IFERROR(__xludf.DUMMYFUNCTION("""COMPUTED_VALUE"""),"")</f>
        <v/>
      </c>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c r="AK859" s="292"/>
      <c r="AL859" s="292"/>
      <c r="AM859" s="292"/>
      <c r="AN859" s="292"/>
      <c r="AO859" s="292"/>
      <c r="AP859" s="292"/>
      <c r="AQ859" s="292"/>
      <c r="AR859" s="292"/>
      <c r="AS859" s="292"/>
      <c r="AT859" s="292"/>
      <c r="AU859" s="292"/>
      <c r="AV859" s="292"/>
      <c r="AW859" s="292"/>
      <c r="AX859" s="292"/>
      <c r="AY859" s="292"/>
      <c r="AZ859" s="292"/>
      <c r="BA859" s="292"/>
      <c r="BB859" s="292"/>
      <c r="BC859" s="292"/>
      <c r="BD859" s="292"/>
      <c r="BE859" s="292"/>
      <c r="BF859" s="292"/>
      <c r="BG859" s="292"/>
      <c r="BH859" s="292"/>
      <c r="BI859" s="292"/>
      <c r="BJ859" s="292"/>
      <c r="BK859" s="292"/>
      <c r="BL859" s="292"/>
      <c r="BM859" s="292"/>
      <c r="BN859" s="292"/>
      <c r="BO859" s="292"/>
      <c r="BP859" s="292"/>
      <c r="BQ859" s="292"/>
      <c r="BR859" s="292"/>
      <c r="BS859" s="292"/>
      <c r="BT859" s="292"/>
      <c r="BU859" s="292"/>
      <c r="BV859" s="292"/>
      <c r="BW859" s="292"/>
    </row>
    <row r="860">
      <c r="A860" s="292"/>
      <c r="B860" s="292" t="str">
        <f>IFERROR(__xludf.DUMMYFUNCTION("""COMPUTED_VALUE"""),"")</f>
        <v/>
      </c>
      <c r="C860" s="292"/>
      <c r="D860" s="292" t="str">
        <f>IFERROR(__xludf.DUMMYFUNCTION("""COMPUTED_VALUE"""),"")</f>
        <v/>
      </c>
      <c r="E860" s="292" t="str">
        <f>IFERROR(__xludf.DUMMYFUNCTION("""COMPUTED_VALUE"""),"")</f>
        <v/>
      </c>
      <c r="F860" s="292"/>
      <c r="G860" s="292" t="str">
        <f>IFERROR(__xludf.DUMMYFUNCTION("""COMPUTED_VALUE"""),"")</f>
        <v/>
      </c>
      <c r="H860" s="292" t="str">
        <f>IFERROR(__xludf.DUMMYFUNCTION("""COMPUTED_VALUE"""),"")</f>
        <v/>
      </c>
      <c r="I860" s="292"/>
      <c r="J860" s="292"/>
      <c r="K860" s="292"/>
      <c r="L860" s="292"/>
      <c r="M860" s="292" t="str">
        <f>IFERROR(__xludf.DUMMYFUNCTION("""COMPUTED_VALUE"""),"")</f>
        <v/>
      </c>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c r="AK860" s="292"/>
      <c r="AL860" s="292"/>
      <c r="AM860" s="292"/>
      <c r="AN860" s="292"/>
      <c r="AO860" s="292"/>
      <c r="AP860" s="292"/>
      <c r="AQ860" s="292"/>
      <c r="AR860" s="292"/>
      <c r="AS860" s="292"/>
      <c r="AT860" s="292"/>
      <c r="AU860" s="292"/>
      <c r="AV860" s="292"/>
      <c r="AW860" s="292"/>
      <c r="AX860" s="292"/>
      <c r="AY860" s="292"/>
      <c r="AZ860" s="292"/>
      <c r="BA860" s="292"/>
      <c r="BB860" s="292"/>
      <c r="BC860" s="292"/>
      <c r="BD860" s="292"/>
      <c r="BE860" s="292"/>
      <c r="BF860" s="292"/>
      <c r="BG860" s="292"/>
      <c r="BH860" s="292"/>
      <c r="BI860" s="292"/>
      <c r="BJ860" s="292"/>
      <c r="BK860" s="292"/>
      <c r="BL860" s="292"/>
      <c r="BM860" s="292"/>
      <c r="BN860" s="292"/>
      <c r="BO860" s="292"/>
      <c r="BP860" s="292"/>
      <c r="BQ860" s="292"/>
      <c r="BR860" s="292"/>
      <c r="BS860" s="292"/>
      <c r="BT860" s="292"/>
      <c r="BU860" s="292"/>
      <c r="BV860" s="292"/>
      <c r="BW860" s="292"/>
    </row>
    <row r="861">
      <c r="A861" s="292"/>
      <c r="B861" s="292" t="str">
        <f>IFERROR(__xludf.DUMMYFUNCTION("""COMPUTED_VALUE"""),"")</f>
        <v/>
      </c>
      <c r="C861" s="292"/>
      <c r="D861" s="292" t="str">
        <f>IFERROR(__xludf.DUMMYFUNCTION("""COMPUTED_VALUE"""),"")</f>
        <v/>
      </c>
      <c r="E861" s="292" t="str">
        <f>IFERROR(__xludf.DUMMYFUNCTION("""COMPUTED_VALUE"""),"")</f>
        <v/>
      </c>
      <c r="F861" s="292"/>
      <c r="G861" s="292" t="str">
        <f>IFERROR(__xludf.DUMMYFUNCTION("""COMPUTED_VALUE"""),"")</f>
        <v/>
      </c>
      <c r="H861" s="292" t="str">
        <f>IFERROR(__xludf.DUMMYFUNCTION("""COMPUTED_VALUE"""),"")</f>
        <v/>
      </c>
      <c r="I861" s="292"/>
      <c r="J861" s="292"/>
      <c r="K861" s="292"/>
      <c r="L861" s="292"/>
      <c r="M861" s="292" t="str">
        <f>IFERROR(__xludf.DUMMYFUNCTION("""COMPUTED_VALUE"""),"")</f>
        <v/>
      </c>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c r="AK861" s="292"/>
      <c r="AL861" s="292"/>
      <c r="AM861" s="292"/>
      <c r="AN861" s="292"/>
      <c r="AO861" s="292"/>
      <c r="AP861" s="292"/>
      <c r="AQ861" s="292"/>
      <c r="AR861" s="292"/>
      <c r="AS861" s="292"/>
      <c r="AT861" s="292"/>
      <c r="AU861" s="292"/>
      <c r="AV861" s="292"/>
      <c r="AW861" s="292"/>
      <c r="AX861" s="292"/>
      <c r="AY861" s="292"/>
      <c r="AZ861" s="292"/>
      <c r="BA861" s="292"/>
      <c r="BB861" s="292"/>
      <c r="BC861" s="292"/>
      <c r="BD861" s="292"/>
      <c r="BE861" s="292"/>
      <c r="BF861" s="292"/>
      <c r="BG861" s="292"/>
      <c r="BH861" s="292"/>
      <c r="BI861" s="292"/>
      <c r="BJ861" s="292"/>
      <c r="BK861" s="292"/>
      <c r="BL861" s="292"/>
      <c r="BM861" s="292"/>
      <c r="BN861" s="292"/>
      <c r="BO861" s="292"/>
      <c r="BP861" s="292"/>
      <c r="BQ861" s="292"/>
      <c r="BR861" s="292"/>
      <c r="BS861" s="292"/>
      <c r="BT861" s="292"/>
      <c r="BU861" s="292"/>
      <c r="BV861" s="292"/>
      <c r="BW861" s="292"/>
    </row>
    <row r="862">
      <c r="A862" s="292"/>
      <c r="B862" s="292" t="str">
        <f>IFERROR(__xludf.DUMMYFUNCTION("""COMPUTED_VALUE"""),"")</f>
        <v/>
      </c>
      <c r="C862" s="292"/>
      <c r="D862" s="292" t="str">
        <f>IFERROR(__xludf.DUMMYFUNCTION("""COMPUTED_VALUE"""),"")</f>
        <v/>
      </c>
      <c r="E862" s="292" t="str">
        <f>IFERROR(__xludf.DUMMYFUNCTION("""COMPUTED_VALUE"""),"")</f>
        <v/>
      </c>
      <c r="F862" s="292"/>
      <c r="G862" s="292" t="str">
        <f>IFERROR(__xludf.DUMMYFUNCTION("""COMPUTED_VALUE"""),"")</f>
        <v/>
      </c>
      <c r="H862" s="292" t="str">
        <f>IFERROR(__xludf.DUMMYFUNCTION("""COMPUTED_VALUE"""),"")</f>
        <v/>
      </c>
      <c r="I862" s="292"/>
      <c r="J862" s="292"/>
      <c r="K862" s="292"/>
      <c r="L862" s="292"/>
      <c r="M862" s="292" t="str">
        <f>IFERROR(__xludf.DUMMYFUNCTION("""COMPUTED_VALUE"""),"")</f>
        <v/>
      </c>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c r="AK862" s="292"/>
      <c r="AL862" s="292"/>
      <c r="AM862" s="292"/>
      <c r="AN862" s="292"/>
      <c r="AO862" s="292"/>
      <c r="AP862" s="292"/>
      <c r="AQ862" s="292"/>
      <c r="AR862" s="292"/>
      <c r="AS862" s="292"/>
      <c r="AT862" s="292"/>
      <c r="AU862" s="292"/>
      <c r="AV862" s="292"/>
      <c r="AW862" s="292"/>
      <c r="AX862" s="292"/>
      <c r="AY862" s="292"/>
      <c r="AZ862" s="292"/>
      <c r="BA862" s="292"/>
      <c r="BB862" s="292"/>
      <c r="BC862" s="292"/>
      <c r="BD862" s="292"/>
      <c r="BE862" s="292"/>
      <c r="BF862" s="292"/>
      <c r="BG862" s="292"/>
      <c r="BH862" s="292"/>
      <c r="BI862" s="292"/>
      <c r="BJ862" s="292"/>
      <c r="BK862" s="292"/>
      <c r="BL862" s="292"/>
      <c r="BM862" s="292"/>
      <c r="BN862" s="292"/>
      <c r="BO862" s="292"/>
      <c r="BP862" s="292"/>
      <c r="BQ862" s="292"/>
      <c r="BR862" s="292"/>
      <c r="BS862" s="292"/>
      <c r="BT862" s="292"/>
      <c r="BU862" s="292"/>
      <c r="BV862" s="292"/>
      <c r="BW862" s="292"/>
    </row>
    <row r="863">
      <c r="A863" s="292"/>
      <c r="B863" s="292" t="str">
        <f>IFERROR(__xludf.DUMMYFUNCTION("""COMPUTED_VALUE"""),"")</f>
        <v/>
      </c>
      <c r="C863" s="292"/>
      <c r="D863" s="292" t="str">
        <f>IFERROR(__xludf.DUMMYFUNCTION("""COMPUTED_VALUE"""),"")</f>
        <v/>
      </c>
      <c r="E863" s="292" t="str">
        <f>IFERROR(__xludf.DUMMYFUNCTION("""COMPUTED_VALUE"""),"")</f>
        <v/>
      </c>
      <c r="F863" s="292"/>
      <c r="G863" s="292" t="str">
        <f>IFERROR(__xludf.DUMMYFUNCTION("""COMPUTED_VALUE"""),"")</f>
        <v/>
      </c>
      <c r="H863" s="292" t="str">
        <f>IFERROR(__xludf.DUMMYFUNCTION("""COMPUTED_VALUE"""),"")</f>
        <v/>
      </c>
      <c r="I863" s="292"/>
      <c r="J863" s="292"/>
      <c r="K863" s="292"/>
      <c r="L863" s="292"/>
      <c r="M863" s="292" t="str">
        <f>IFERROR(__xludf.DUMMYFUNCTION("""COMPUTED_VALUE"""),"")</f>
        <v/>
      </c>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c r="AK863" s="292"/>
      <c r="AL863" s="292"/>
      <c r="AM863" s="292"/>
      <c r="AN863" s="292"/>
      <c r="AO863" s="292"/>
      <c r="AP863" s="292"/>
      <c r="AQ863" s="292"/>
      <c r="AR863" s="292"/>
      <c r="AS863" s="292"/>
      <c r="AT863" s="292"/>
      <c r="AU863" s="292"/>
      <c r="AV863" s="292"/>
      <c r="AW863" s="292"/>
      <c r="AX863" s="292"/>
      <c r="AY863" s="292"/>
      <c r="AZ863" s="292"/>
      <c r="BA863" s="292"/>
      <c r="BB863" s="292"/>
      <c r="BC863" s="292"/>
      <c r="BD863" s="292"/>
      <c r="BE863" s="292"/>
      <c r="BF863" s="292"/>
      <c r="BG863" s="292"/>
      <c r="BH863" s="292"/>
      <c r="BI863" s="292"/>
      <c r="BJ863" s="292"/>
      <c r="BK863" s="292"/>
      <c r="BL863" s="292"/>
      <c r="BM863" s="292"/>
      <c r="BN863" s="292"/>
      <c r="BO863" s="292"/>
      <c r="BP863" s="292"/>
      <c r="BQ863" s="292"/>
      <c r="BR863" s="292"/>
      <c r="BS863" s="292"/>
      <c r="BT863" s="292"/>
      <c r="BU863" s="292"/>
      <c r="BV863" s="292"/>
      <c r="BW863" s="292"/>
    </row>
    <row r="864">
      <c r="A864" s="292"/>
      <c r="B864" s="292" t="str">
        <f>IFERROR(__xludf.DUMMYFUNCTION("""COMPUTED_VALUE"""),"")</f>
        <v/>
      </c>
      <c r="C864" s="292"/>
      <c r="D864" s="292" t="str">
        <f>IFERROR(__xludf.DUMMYFUNCTION("""COMPUTED_VALUE"""),"")</f>
        <v/>
      </c>
      <c r="E864" s="292" t="str">
        <f>IFERROR(__xludf.DUMMYFUNCTION("""COMPUTED_VALUE"""),"")</f>
        <v/>
      </c>
      <c r="F864" s="292"/>
      <c r="G864" s="292" t="str">
        <f>IFERROR(__xludf.DUMMYFUNCTION("""COMPUTED_VALUE"""),"")</f>
        <v/>
      </c>
      <c r="H864" s="292" t="str">
        <f>IFERROR(__xludf.DUMMYFUNCTION("""COMPUTED_VALUE"""),"")</f>
        <v/>
      </c>
      <c r="I864" s="292"/>
      <c r="J864" s="292"/>
      <c r="K864" s="292"/>
      <c r="L864" s="292"/>
      <c r="M864" s="292" t="str">
        <f>IFERROR(__xludf.DUMMYFUNCTION("""COMPUTED_VALUE"""),"")</f>
        <v/>
      </c>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c r="AK864" s="292"/>
      <c r="AL864" s="292"/>
      <c r="AM864" s="292"/>
      <c r="AN864" s="292"/>
      <c r="AO864" s="292"/>
      <c r="AP864" s="292"/>
      <c r="AQ864" s="292"/>
      <c r="AR864" s="292"/>
      <c r="AS864" s="292"/>
      <c r="AT864" s="292"/>
      <c r="AU864" s="292"/>
      <c r="AV864" s="292"/>
      <c r="AW864" s="292"/>
      <c r="AX864" s="292"/>
      <c r="AY864" s="292"/>
      <c r="AZ864" s="292"/>
      <c r="BA864" s="292"/>
      <c r="BB864" s="292"/>
      <c r="BC864" s="292"/>
      <c r="BD864" s="292"/>
      <c r="BE864" s="292"/>
      <c r="BF864" s="292"/>
      <c r="BG864" s="292"/>
      <c r="BH864" s="292"/>
      <c r="BI864" s="292"/>
      <c r="BJ864" s="292"/>
      <c r="BK864" s="292"/>
      <c r="BL864" s="292"/>
      <c r="BM864" s="292"/>
      <c r="BN864" s="292"/>
      <c r="BO864" s="292"/>
      <c r="BP864" s="292"/>
      <c r="BQ864" s="292"/>
      <c r="BR864" s="292"/>
      <c r="BS864" s="292"/>
      <c r="BT864" s="292"/>
      <c r="BU864" s="292"/>
      <c r="BV864" s="292"/>
      <c r="BW864" s="292"/>
    </row>
    <row r="865">
      <c r="A865" s="292"/>
      <c r="B865" s="292" t="str">
        <f>IFERROR(__xludf.DUMMYFUNCTION("""COMPUTED_VALUE"""),"")</f>
        <v/>
      </c>
      <c r="C865" s="292"/>
      <c r="D865" s="292" t="str">
        <f>IFERROR(__xludf.DUMMYFUNCTION("""COMPUTED_VALUE"""),"")</f>
        <v/>
      </c>
      <c r="E865" s="292" t="str">
        <f>IFERROR(__xludf.DUMMYFUNCTION("""COMPUTED_VALUE"""),"")</f>
        <v/>
      </c>
      <c r="F865" s="292"/>
      <c r="G865" s="292" t="str">
        <f>IFERROR(__xludf.DUMMYFUNCTION("""COMPUTED_VALUE"""),"")</f>
        <v/>
      </c>
      <c r="H865" s="292" t="str">
        <f>IFERROR(__xludf.DUMMYFUNCTION("""COMPUTED_VALUE"""),"")</f>
        <v/>
      </c>
      <c r="I865" s="292"/>
      <c r="J865" s="292"/>
      <c r="K865" s="292"/>
      <c r="L865" s="292"/>
      <c r="M865" s="292" t="str">
        <f>IFERROR(__xludf.DUMMYFUNCTION("""COMPUTED_VALUE"""),"")</f>
        <v/>
      </c>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c r="AK865" s="292"/>
      <c r="AL865" s="292"/>
      <c r="AM865" s="292"/>
      <c r="AN865" s="292"/>
      <c r="AO865" s="292"/>
      <c r="AP865" s="292"/>
      <c r="AQ865" s="292"/>
      <c r="AR865" s="292"/>
      <c r="AS865" s="292"/>
      <c r="AT865" s="292"/>
      <c r="AU865" s="292"/>
      <c r="AV865" s="292"/>
      <c r="AW865" s="292"/>
      <c r="AX865" s="292"/>
      <c r="AY865" s="292"/>
      <c r="AZ865" s="292"/>
      <c r="BA865" s="292"/>
      <c r="BB865" s="292"/>
      <c r="BC865" s="292"/>
      <c r="BD865" s="292"/>
      <c r="BE865" s="292"/>
      <c r="BF865" s="292"/>
      <c r="BG865" s="292"/>
      <c r="BH865" s="292"/>
      <c r="BI865" s="292"/>
      <c r="BJ865" s="292"/>
      <c r="BK865" s="292"/>
      <c r="BL865" s="292"/>
      <c r="BM865" s="292"/>
      <c r="BN865" s="292"/>
      <c r="BO865" s="292"/>
      <c r="BP865" s="292"/>
      <c r="BQ865" s="292"/>
      <c r="BR865" s="292"/>
      <c r="BS865" s="292"/>
      <c r="BT865" s="292"/>
      <c r="BU865" s="292"/>
      <c r="BV865" s="292"/>
      <c r="BW865" s="292"/>
    </row>
    <row r="866">
      <c r="A866" s="292"/>
      <c r="B866" s="292" t="str">
        <f>IFERROR(__xludf.DUMMYFUNCTION("""COMPUTED_VALUE"""),"")</f>
        <v/>
      </c>
      <c r="C866" s="292"/>
      <c r="D866" s="292" t="str">
        <f>IFERROR(__xludf.DUMMYFUNCTION("""COMPUTED_VALUE"""),"")</f>
        <v/>
      </c>
      <c r="E866" s="292" t="str">
        <f>IFERROR(__xludf.DUMMYFUNCTION("""COMPUTED_VALUE"""),"")</f>
        <v/>
      </c>
      <c r="F866" s="292"/>
      <c r="G866" s="292" t="str">
        <f>IFERROR(__xludf.DUMMYFUNCTION("""COMPUTED_VALUE"""),"")</f>
        <v/>
      </c>
      <c r="H866" s="292" t="str">
        <f>IFERROR(__xludf.DUMMYFUNCTION("""COMPUTED_VALUE"""),"")</f>
        <v/>
      </c>
      <c r="I866" s="292"/>
      <c r="J866" s="292"/>
      <c r="K866" s="292"/>
      <c r="L866" s="292"/>
      <c r="M866" s="292" t="str">
        <f>IFERROR(__xludf.DUMMYFUNCTION("""COMPUTED_VALUE"""),"")</f>
        <v/>
      </c>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c r="AK866" s="292"/>
      <c r="AL866" s="292"/>
      <c r="AM866" s="292"/>
      <c r="AN866" s="292"/>
      <c r="AO866" s="292"/>
      <c r="AP866" s="292"/>
      <c r="AQ866" s="292"/>
      <c r="AR866" s="292"/>
      <c r="AS866" s="292"/>
      <c r="AT866" s="292"/>
      <c r="AU866" s="292"/>
      <c r="AV866" s="292"/>
      <c r="AW866" s="292"/>
      <c r="AX866" s="292"/>
      <c r="AY866" s="292"/>
      <c r="AZ866" s="292"/>
      <c r="BA866" s="292"/>
      <c r="BB866" s="292"/>
      <c r="BC866" s="292"/>
      <c r="BD866" s="292"/>
      <c r="BE866" s="292"/>
      <c r="BF866" s="292"/>
      <c r="BG866" s="292"/>
      <c r="BH866" s="292"/>
      <c r="BI866" s="292"/>
      <c r="BJ866" s="292"/>
      <c r="BK866" s="292"/>
      <c r="BL866" s="292"/>
      <c r="BM866" s="292"/>
      <c r="BN866" s="292"/>
      <c r="BO866" s="292"/>
      <c r="BP866" s="292"/>
      <c r="BQ866" s="292"/>
      <c r="BR866" s="292"/>
      <c r="BS866" s="292"/>
      <c r="BT866" s="292"/>
      <c r="BU866" s="292"/>
      <c r="BV866" s="292"/>
      <c r="BW866" s="292"/>
    </row>
    <row r="867">
      <c r="A867" s="292"/>
      <c r="B867" s="292" t="str">
        <f>IFERROR(__xludf.DUMMYFUNCTION("""COMPUTED_VALUE"""),"")</f>
        <v/>
      </c>
      <c r="C867" s="292"/>
      <c r="D867" s="292" t="str">
        <f>IFERROR(__xludf.DUMMYFUNCTION("""COMPUTED_VALUE"""),"")</f>
        <v/>
      </c>
      <c r="E867" s="292" t="str">
        <f>IFERROR(__xludf.DUMMYFUNCTION("""COMPUTED_VALUE"""),"")</f>
        <v/>
      </c>
      <c r="F867" s="292"/>
      <c r="G867" s="292" t="str">
        <f>IFERROR(__xludf.DUMMYFUNCTION("""COMPUTED_VALUE"""),"")</f>
        <v/>
      </c>
      <c r="H867" s="292" t="str">
        <f>IFERROR(__xludf.DUMMYFUNCTION("""COMPUTED_VALUE"""),"")</f>
        <v/>
      </c>
      <c r="I867" s="292"/>
      <c r="J867" s="292"/>
      <c r="K867" s="292"/>
      <c r="L867" s="292"/>
      <c r="M867" s="292" t="str">
        <f>IFERROR(__xludf.DUMMYFUNCTION("""COMPUTED_VALUE"""),"")</f>
        <v/>
      </c>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c r="AK867" s="292"/>
      <c r="AL867" s="292"/>
      <c r="AM867" s="292"/>
      <c r="AN867" s="292"/>
      <c r="AO867" s="292"/>
      <c r="AP867" s="292"/>
      <c r="AQ867" s="292"/>
      <c r="AR867" s="292"/>
      <c r="AS867" s="292"/>
      <c r="AT867" s="292"/>
      <c r="AU867" s="292"/>
      <c r="AV867" s="292"/>
      <c r="AW867" s="292"/>
      <c r="AX867" s="292"/>
      <c r="AY867" s="292"/>
      <c r="AZ867" s="292"/>
      <c r="BA867" s="292"/>
      <c r="BB867" s="292"/>
      <c r="BC867" s="292"/>
      <c r="BD867" s="292"/>
      <c r="BE867" s="292"/>
      <c r="BF867" s="292"/>
      <c r="BG867" s="292"/>
      <c r="BH867" s="292"/>
      <c r="BI867" s="292"/>
      <c r="BJ867" s="292"/>
      <c r="BK867" s="292"/>
      <c r="BL867" s="292"/>
      <c r="BM867" s="292"/>
      <c r="BN867" s="292"/>
      <c r="BO867" s="292"/>
      <c r="BP867" s="292"/>
      <c r="BQ867" s="292"/>
      <c r="BR867" s="292"/>
      <c r="BS867" s="292"/>
      <c r="BT867" s="292"/>
      <c r="BU867" s="292"/>
      <c r="BV867" s="292"/>
      <c r="BW867" s="292"/>
    </row>
    <row r="868">
      <c r="A868" s="292"/>
      <c r="B868" s="292" t="str">
        <f>IFERROR(__xludf.DUMMYFUNCTION("""COMPUTED_VALUE"""),"")</f>
        <v/>
      </c>
      <c r="C868" s="292"/>
      <c r="D868" s="292" t="str">
        <f>IFERROR(__xludf.DUMMYFUNCTION("""COMPUTED_VALUE"""),"")</f>
        <v/>
      </c>
      <c r="E868" s="292" t="str">
        <f>IFERROR(__xludf.DUMMYFUNCTION("""COMPUTED_VALUE"""),"")</f>
        <v/>
      </c>
      <c r="F868" s="292"/>
      <c r="G868" s="292" t="str">
        <f>IFERROR(__xludf.DUMMYFUNCTION("""COMPUTED_VALUE"""),"")</f>
        <v/>
      </c>
      <c r="H868" s="292" t="str">
        <f>IFERROR(__xludf.DUMMYFUNCTION("""COMPUTED_VALUE"""),"")</f>
        <v/>
      </c>
      <c r="I868" s="292"/>
      <c r="J868" s="292"/>
      <c r="K868" s="292"/>
      <c r="L868" s="292"/>
      <c r="M868" s="292" t="str">
        <f>IFERROR(__xludf.DUMMYFUNCTION("""COMPUTED_VALUE"""),"")</f>
        <v/>
      </c>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c r="AK868" s="292"/>
      <c r="AL868" s="292"/>
      <c r="AM868" s="292"/>
      <c r="AN868" s="292"/>
      <c r="AO868" s="292"/>
      <c r="AP868" s="292"/>
      <c r="AQ868" s="292"/>
      <c r="AR868" s="292"/>
      <c r="AS868" s="292"/>
      <c r="AT868" s="292"/>
      <c r="AU868" s="292"/>
      <c r="AV868" s="292"/>
      <c r="AW868" s="292"/>
      <c r="AX868" s="292"/>
      <c r="AY868" s="292"/>
      <c r="AZ868" s="292"/>
      <c r="BA868" s="292"/>
      <c r="BB868" s="292"/>
      <c r="BC868" s="292"/>
      <c r="BD868" s="292"/>
      <c r="BE868" s="292"/>
      <c r="BF868" s="292"/>
      <c r="BG868" s="292"/>
      <c r="BH868" s="292"/>
      <c r="BI868" s="292"/>
      <c r="BJ868" s="292"/>
      <c r="BK868" s="292"/>
      <c r="BL868" s="292"/>
      <c r="BM868" s="292"/>
      <c r="BN868" s="292"/>
      <c r="BO868" s="292"/>
      <c r="BP868" s="292"/>
      <c r="BQ868" s="292"/>
      <c r="BR868" s="292"/>
      <c r="BS868" s="292"/>
      <c r="BT868" s="292"/>
      <c r="BU868" s="292"/>
      <c r="BV868" s="292"/>
      <c r="BW868" s="292"/>
    </row>
    <row r="869">
      <c r="A869" s="292"/>
      <c r="B869" s="292" t="str">
        <f>IFERROR(__xludf.DUMMYFUNCTION("""COMPUTED_VALUE"""),"")</f>
        <v/>
      </c>
      <c r="C869" s="292"/>
      <c r="D869" s="292" t="str">
        <f>IFERROR(__xludf.DUMMYFUNCTION("""COMPUTED_VALUE"""),"")</f>
        <v/>
      </c>
      <c r="E869" s="292" t="str">
        <f>IFERROR(__xludf.DUMMYFUNCTION("""COMPUTED_VALUE"""),"")</f>
        <v/>
      </c>
      <c r="F869" s="292"/>
      <c r="G869" s="292" t="str">
        <f>IFERROR(__xludf.DUMMYFUNCTION("""COMPUTED_VALUE"""),"")</f>
        <v/>
      </c>
      <c r="H869" s="292" t="str">
        <f>IFERROR(__xludf.DUMMYFUNCTION("""COMPUTED_VALUE"""),"")</f>
        <v/>
      </c>
      <c r="I869" s="292"/>
      <c r="J869" s="292"/>
      <c r="K869" s="292"/>
      <c r="L869" s="292"/>
      <c r="M869" s="292" t="str">
        <f>IFERROR(__xludf.DUMMYFUNCTION("""COMPUTED_VALUE"""),"")</f>
        <v/>
      </c>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c r="AK869" s="292"/>
      <c r="AL869" s="292"/>
      <c r="AM869" s="292"/>
      <c r="AN869" s="292"/>
      <c r="AO869" s="292"/>
      <c r="AP869" s="292"/>
      <c r="AQ869" s="292"/>
      <c r="AR869" s="292"/>
      <c r="AS869" s="292"/>
      <c r="AT869" s="292"/>
      <c r="AU869" s="292"/>
      <c r="AV869" s="292"/>
      <c r="AW869" s="292"/>
      <c r="AX869" s="292"/>
      <c r="AY869" s="292"/>
      <c r="AZ869" s="292"/>
      <c r="BA869" s="292"/>
      <c r="BB869" s="292"/>
      <c r="BC869" s="292"/>
      <c r="BD869" s="292"/>
      <c r="BE869" s="292"/>
      <c r="BF869" s="292"/>
      <c r="BG869" s="292"/>
      <c r="BH869" s="292"/>
      <c r="BI869" s="292"/>
      <c r="BJ869" s="292"/>
      <c r="BK869" s="292"/>
      <c r="BL869" s="292"/>
      <c r="BM869" s="292"/>
      <c r="BN869" s="292"/>
      <c r="BO869" s="292"/>
      <c r="BP869" s="292"/>
      <c r="BQ869" s="292"/>
      <c r="BR869" s="292"/>
      <c r="BS869" s="292"/>
      <c r="BT869" s="292"/>
      <c r="BU869" s="292"/>
      <c r="BV869" s="292"/>
      <c r="BW869" s="292"/>
    </row>
    <row r="870">
      <c r="A870" s="292"/>
      <c r="B870" s="292" t="str">
        <f>IFERROR(__xludf.DUMMYFUNCTION("""COMPUTED_VALUE"""),"")</f>
        <v/>
      </c>
      <c r="C870" s="292"/>
      <c r="D870" s="292" t="str">
        <f>IFERROR(__xludf.DUMMYFUNCTION("""COMPUTED_VALUE"""),"")</f>
        <v/>
      </c>
      <c r="E870" s="292" t="str">
        <f>IFERROR(__xludf.DUMMYFUNCTION("""COMPUTED_VALUE"""),"")</f>
        <v/>
      </c>
      <c r="F870" s="292"/>
      <c r="G870" s="292" t="str">
        <f>IFERROR(__xludf.DUMMYFUNCTION("""COMPUTED_VALUE"""),"")</f>
        <v/>
      </c>
      <c r="H870" s="292" t="str">
        <f>IFERROR(__xludf.DUMMYFUNCTION("""COMPUTED_VALUE"""),"")</f>
        <v/>
      </c>
      <c r="I870" s="292"/>
      <c r="J870" s="292"/>
      <c r="K870" s="292"/>
      <c r="L870" s="292"/>
      <c r="M870" s="292" t="str">
        <f>IFERROR(__xludf.DUMMYFUNCTION("""COMPUTED_VALUE"""),"")</f>
        <v/>
      </c>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c r="AK870" s="292"/>
      <c r="AL870" s="292"/>
      <c r="AM870" s="292"/>
      <c r="AN870" s="292"/>
      <c r="AO870" s="292"/>
      <c r="AP870" s="292"/>
      <c r="AQ870" s="292"/>
      <c r="AR870" s="292"/>
      <c r="AS870" s="292"/>
      <c r="AT870" s="292"/>
      <c r="AU870" s="292"/>
      <c r="AV870" s="292"/>
      <c r="AW870" s="292"/>
      <c r="AX870" s="292"/>
      <c r="AY870" s="292"/>
      <c r="AZ870" s="292"/>
      <c r="BA870" s="292"/>
      <c r="BB870" s="292"/>
      <c r="BC870" s="292"/>
      <c r="BD870" s="292"/>
      <c r="BE870" s="292"/>
      <c r="BF870" s="292"/>
      <c r="BG870" s="292"/>
      <c r="BH870" s="292"/>
      <c r="BI870" s="292"/>
      <c r="BJ870" s="292"/>
      <c r="BK870" s="292"/>
      <c r="BL870" s="292"/>
      <c r="BM870" s="292"/>
      <c r="BN870" s="292"/>
      <c r="BO870" s="292"/>
      <c r="BP870" s="292"/>
      <c r="BQ870" s="292"/>
      <c r="BR870" s="292"/>
      <c r="BS870" s="292"/>
      <c r="BT870" s="292"/>
      <c r="BU870" s="292"/>
      <c r="BV870" s="292"/>
      <c r="BW870" s="292"/>
    </row>
    <row r="871">
      <c r="A871" s="292"/>
      <c r="B871" s="292" t="str">
        <f>IFERROR(__xludf.DUMMYFUNCTION("""COMPUTED_VALUE"""),"")</f>
        <v/>
      </c>
      <c r="C871" s="292"/>
      <c r="D871" s="292" t="str">
        <f>IFERROR(__xludf.DUMMYFUNCTION("""COMPUTED_VALUE"""),"")</f>
        <v/>
      </c>
      <c r="E871" s="292" t="str">
        <f>IFERROR(__xludf.DUMMYFUNCTION("""COMPUTED_VALUE"""),"")</f>
        <v/>
      </c>
      <c r="F871" s="292"/>
      <c r="G871" s="292" t="str">
        <f>IFERROR(__xludf.DUMMYFUNCTION("""COMPUTED_VALUE"""),"")</f>
        <v/>
      </c>
      <c r="H871" s="292" t="str">
        <f>IFERROR(__xludf.DUMMYFUNCTION("""COMPUTED_VALUE"""),"")</f>
        <v/>
      </c>
      <c r="I871" s="292"/>
      <c r="J871" s="292"/>
      <c r="K871" s="292"/>
      <c r="L871" s="292"/>
      <c r="M871" s="292" t="str">
        <f>IFERROR(__xludf.DUMMYFUNCTION("""COMPUTED_VALUE"""),"")</f>
        <v/>
      </c>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c r="AK871" s="292"/>
      <c r="AL871" s="292"/>
      <c r="AM871" s="292"/>
      <c r="AN871" s="292"/>
      <c r="AO871" s="292"/>
      <c r="AP871" s="292"/>
      <c r="AQ871" s="292"/>
      <c r="AR871" s="292"/>
      <c r="AS871" s="292"/>
      <c r="AT871" s="292"/>
      <c r="AU871" s="292"/>
      <c r="AV871" s="292"/>
      <c r="AW871" s="292"/>
      <c r="AX871" s="292"/>
      <c r="AY871" s="292"/>
      <c r="AZ871" s="292"/>
      <c r="BA871" s="292"/>
      <c r="BB871" s="292"/>
      <c r="BC871" s="292"/>
      <c r="BD871" s="292"/>
      <c r="BE871" s="292"/>
      <c r="BF871" s="292"/>
      <c r="BG871" s="292"/>
      <c r="BH871" s="292"/>
      <c r="BI871" s="292"/>
      <c r="BJ871" s="292"/>
      <c r="BK871" s="292"/>
      <c r="BL871" s="292"/>
      <c r="BM871" s="292"/>
      <c r="BN871" s="292"/>
      <c r="BO871" s="292"/>
      <c r="BP871" s="292"/>
      <c r="BQ871" s="292"/>
      <c r="BR871" s="292"/>
      <c r="BS871" s="292"/>
      <c r="BT871" s="292"/>
      <c r="BU871" s="292"/>
      <c r="BV871" s="292"/>
      <c r="BW871" s="292"/>
    </row>
    <row r="872">
      <c r="A872" s="292"/>
      <c r="B872" s="292" t="str">
        <f>IFERROR(__xludf.DUMMYFUNCTION("""COMPUTED_VALUE"""),"")</f>
        <v/>
      </c>
      <c r="C872" s="292"/>
      <c r="D872" s="292" t="str">
        <f>IFERROR(__xludf.DUMMYFUNCTION("""COMPUTED_VALUE"""),"")</f>
        <v/>
      </c>
      <c r="E872" s="292" t="str">
        <f>IFERROR(__xludf.DUMMYFUNCTION("""COMPUTED_VALUE"""),"")</f>
        <v/>
      </c>
      <c r="F872" s="292"/>
      <c r="G872" s="292" t="str">
        <f>IFERROR(__xludf.DUMMYFUNCTION("""COMPUTED_VALUE"""),"")</f>
        <v/>
      </c>
      <c r="H872" s="292" t="str">
        <f>IFERROR(__xludf.DUMMYFUNCTION("""COMPUTED_VALUE"""),"")</f>
        <v/>
      </c>
      <c r="I872" s="292"/>
      <c r="J872" s="292"/>
      <c r="K872" s="292"/>
      <c r="L872" s="292"/>
      <c r="M872" s="292" t="str">
        <f>IFERROR(__xludf.DUMMYFUNCTION("""COMPUTED_VALUE"""),"")</f>
        <v/>
      </c>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c r="AK872" s="292"/>
      <c r="AL872" s="292"/>
      <c r="AM872" s="292"/>
      <c r="AN872" s="292"/>
      <c r="AO872" s="292"/>
      <c r="AP872" s="292"/>
      <c r="AQ872" s="292"/>
      <c r="AR872" s="292"/>
      <c r="AS872" s="292"/>
      <c r="AT872" s="292"/>
      <c r="AU872" s="292"/>
      <c r="AV872" s="292"/>
      <c r="AW872" s="292"/>
      <c r="AX872" s="292"/>
      <c r="AY872" s="292"/>
      <c r="AZ872" s="292"/>
      <c r="BA872" s="292"/>
      <c r="BB872" s="292"/>
      <c r="BC872" s="292"/>
      <c r="BD872" s="292"/>
      <c r="BE872" s="292"/>
      <c r="BF872" s="292"/>
      <c r="BG872" s="292"/>
      <c r="BH872" s="292"/>
      <c r="BI872" s="292"/>
      <c r="BJ872" s="292"/>
      <c r="BK872" s="292"/>
      <c r="BL872" s="292"/>
      <c r="BM872" s="292"/>
      <c r="BN872" s="292"/>
      <c r="BO872" s="292"/>
      <c r="BP872" s="292"/>
      <c r="BQ872" s="292"/>
      <c r="BR872" s="292"/>
      <c r="BS872" s="292"/>
      <c r="BT872" s="292"/>
      <c r="BU872" s="292"/>
      <c r="BV872" s="292"/>
      <c r="BW872" s="292"/>
    </row>
    <row r="873">
      <c r="A873" s="292"/>
      <c r="B873" s="292" t="str">
        <f>IFERROR(__xludf.DUMMYFUNCTION("""COMPUTED_VALUE"""),"")</f>
        <v/>
      </c>
      <c r="C873" s="292"/>
      <c r="D873" s="292" t="str">
        <f>IFERROR(__xludf.DUMMYFUNCTION("""COMPUTED_VALUE"""),"")</f>
        <v/>
      </c>
      <c r="E873" s="292" t="str">
        <f>IFERROR(__xludf.DUMMYFUNCTION("""COMPUTED_VALUE"""),"")</f>
        <v/>
      </c>
      <c r="F873" s="292"/>
      <c r="G873" s="292" t="str">
        <f>IFERROR(__xludf.DUMMYFUNCTION("""COMPUTED_VALUE"""),"")</f>
        <v/>
      </c>
      <c r="H873" s="292" t="str">
        <f>IFERROR(__xludf.DUMMYFUNCTION("""COMPUTED_VALUE"""),"")</f>
        <v/>
      </c>
      <c r="I873" s="292"/>
      <c r="J873" s="292"/>
      <c r="K873" s="292"/>
      <c r="L873" s="292"/>
      <c r="M873" s="292" t="str">
        <f>IFERROR(__xludf.DUMMYFUNCTION("""COMPUTED_VALUE"""),"")</f>
        <v/>
      </c>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c r="AK873" s="292"/>
      <c r="AL873" s="292"/>
      <c r="AM873" s="292"/>
      <c r="AN873" s="292"/>
      <c r="AO873" s="292"/>
      <c r="AP873" s="292"/>
      <c r="AQ873" s="292"/>
      <c r="AR873" s="292"/>
      <c r="AS873" s="292"/>
      <c r="AT873" s="292"/>
      <c r="AU873" s="292"/>
      <c r="AV873" s="292"/>
      <c r="AW873" s="292"/>
      <c r="AX873" s="292"/>
      <c r="AY873" s="292"/>
      <c r="AZ873" s="292"/>
      <c r="BA873" s="292"/>
      <c r="BB873" s="292"/>
      <c r="BC873" s="292"/>
      <c r="BD873" s="292"/>
      <c r="BE873" s="292"/>
      <c r="BF873" s="292"/>
      <c r="BG873" s="292"/>
      <c r="BH873" s="292"/>
      <c r="BI873" s="292"/>
      <c r="BJ873" s="292"/>
      <c r="BK873" s="292"/>
      <c r="BL873" s="292"/>
      <c r="BM873" s="292"/>
      <c r="BN873" s="292"/>
      <c r="BO873" s="292"/>
      <c r="BP873" s="292"/>
      <c r="BQ873" s="292"/>
      <c r="BR873" s="292"/>
      <c r="BS873" s="292"/>
      <c r="BT873" s="292"/>
      <c r="BU873" s="292"/>
      <c r="BV873" s="292"/>
      <c r="BW873" s="292"/>
    </row>
    <row r="874">
      <c r="A874" s="292"/>
      <c r="B874" s="292" t="str">
        <f>IFERROR(__xludf.DUMMYFUNCTION("""COMPUTED_VALUE"""),"")</f>
        <v/>
      </c>
      <c r="C874" s="292"/>
      <c r="D874" s="292" t="str">
        <f>IFERROR(__xludf.DUMMYFUNCTION("""COMPUTED_VALUE"""),"")</f>
        <v/>
      </c>
      <c r="E874" s="292" t="str">
        <f>IFERROR(__xludf.DUMMYFUNCTION("""COMPUTED_VALUE"""),"")</f>
        <v/>
      </c>
      <c r="F874" s="292"/>
      <c r="G874" s="292" t="str">
        <f>IFERROR(__xludf.DUMMYFUNCTION("""COMPUTED_VALUE"""),"")</f>
        <v/>
      </c>
      <c r="H874" s="292" t="str">
        <f>IFERROR(__xludf.DUMMYFUNCTION("""COMPUTED_VALUE"""),"")</f>
        <v/>
      </c>
      <c r="I874" s="292"/>
      <c r="J874" s="292"/>
      <c r="K874" s="292"/>
      <c r="L874" s="292"/>
      <c r="M874" s="292" t="str">
        <f>IFERROR(__xludf.DUMMYFUNCTION("""COMPUTED_VALUE"""),"")</f>
        <v/>
      </c>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c r="AK874" s="292"/>
      <c r="AL874" s="292"/>
      <c r="AM874" s="292"/>
      <c r="AN874" s="292"/>
      <c r="AO874" s="292"/>
      <c r="AP874" s="292"/>
      <c r="AQ874" s="292"/>
      <c r="AR874" s="292"/>
      <c r="AS874" s="292"/>
      <c r="AT874" s="292"/>
      <c r="AU874" s="292"/>
      <c r="AV874" s="292"/>
      <c r="AW874" s="292"/>
      <c r="AX874" s="292"/>
      <c r="AY874" s="292"/>
      <c r="AZ874" s="292"/>
      <c r="BA874" s="292"/>
      <c r="BB874" s="292"/>
      <c r="BC874" s="292"/>
      <c r="BD874" s="292"/>
      <c r="BE874" s="292"/>
      <c r="BF874" s="292"/>
      <c r="BG874" s="292"/>
      <c r="BH874" s="292"/>
      <c r="BI874" s="292"/>
      <c r="BJ874" s="292"/>
      <c r="BK874" s="292"/>
      <c r="BL874" s="292"/>
      <c r="BM874" s="292"/>
      <c r="BN874" s="292"/>
      <c r="BO874" s="292"/>
      <c r="BP874" s="292"/>
      <c r="BQ874" s="292"/>
      <c r="BR874" s="292"/>
      <c r="BS874" s="292"/>
      <c r="BT874" s="292"/>
      <c r="BU874" s="292"/>
      <c r="BV874" s="292"/>
      <c r="BW874" s="292"/>
    </row>
    <row r="875">
      <c r="A875" s="292"/>
      <c r="B875" s="292" t="str">
        <f>IFERROR(__xludf.DUMMYFUNCTION("""COMPUTED_VALUE"""),"")</f>
        <v/>
      </c>
      <c r="C875" s="292"/>
      <c r="D875" s="292" t="str">
        <f>IFERROR(__xludf.DUMMYFUNCTION("""COMPUTED_VALUE"""),"")</f>
        <v/>
      </c>
      <c r="E875" s="292" t="str">
        <f>IFERROR(__xludf.DUMMYFUNCTION("""COMPUTED_VALUE"""),"")</f>
        <v/>
      </c>
      <c r="F875" s="292"/>
      <c r="G875" s="292" t="str">
        <f>IFERROR(__xludf.DUMMYFUNCTION("""COMPUTED_VALUE"""),"")</f>
        <v/>
      </c>
      <c r="H875" s="292" t="str">
        <f>IFERROR(__xludf.DUMMYFUNCTION("""COMPUTED_VALUE"""),"")</f>
        <v/>
      </c>
      <c r="I875" s="292"/>
      <c r="J875" s="292"/>
      <c r="K875" s="292"/>
      <c r="L875" s="292"/>
      <c r="M875" s="292" t="str">
        <f>IFERROR(__xludf.DUMMYFUNCTION("""COMPUTED_VALUE"""),"")</f>
        <v/>
      </c>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c r="AK875" s="292"/>
      <c r="AL875" s="292"/>
      <c r="AM875" s="292"/>
      <c r="AN875" s="292"/>
      <c r="AO875" s="292"/>
      <c r="AP875" s="292"/>
      <c r="AQ875" s="292"/>
      <c r="AR875" s="292"/>
      <c r="AS875" s="292"/>
      <c r="AT875" s="292"/>
      <c r="AU875" s="292"/>
      <c r="AV875" s="292"/>
      <c r="AW875" s="292"/>
      <c r="AX875" s="292"/>
      <c r="AY875" s="292"/>
      <c r="AZ875" s="292"/>
      <c r="BA875" s="292"/>
      <c r="BB875" s="292"/>
      <c r="BC875" s="292"/>
      <c r="BD875" s="292"/>
      <c r="BE875" s="292"/>
      <c r="BF875" s="292"/>
      <c r="BG875" s="292"/>
      <c r="BH875" s="292"/>
      <c r="BI875" s="292"/>
      <c r="BJ875" s="292"/>
      <c r="BK875" s="292"/>
      <c r="BL875" s="292"/>
      <c r="BM875" s="292"/>
      <c r="BN875" s="292"/>
      <c r="BO875" s="292"/>
      <c r="BP875" s="292"/>
      <c r="BQ875" s="292"/>
      <c r="BR875" s="292"/>
      <c r="BS875" s="292"/>
      <c r="BT875" s="292"/>
      <c r="BU875" s="292"/>
      <c r="BV875" s="292"/>
      <c r="BW875" s="292"/>
    </row>
    <row r="876">
      <c r="A876" s="292"/>
      <c r="B876" s="292" t="str">
        <f>IFERROR(__xludf.DUMMYFUNCTION("""COMPUTED_VALUE"""),"")</f>
        <v/>
      </c>
      <c r="C876" s="292"/>
      <c r="D876" s="292" t="str">
        <f>IFERROR(__xludf.DUMMYFUNCTION("""COMPUTED_VALUE"""),"")</f>
        <v/>
      </c>
      <c r="E876" s="292" t="str">
        <f>IFERROR(__xludf.DUMMYFUNCTION("""COMPUTED_VALUE"""),"")</f>
        <v/>
      </c>
      <c r="F876" s="292"/>
      <c r="G876" s="292" t="str">
        <f>IFERROR(__xludf.DUMMYFUNCTION("""COMPUTED_VALUE"""),"")</f>
        <v/>
      </c>
      <c r="H876" s="292" t="str">
        <f>IFERROR(__xludf.DUMMYFUNCTION("""COMPUTED_VALUE"""),"")</f>
        <v/>
      </c>
      <c r="I876" s="292"/>
      <c r="J876" s="292"/>
      <c r="K876" s="292"/>
      <c r="L876" s="292"/>
      <c r="M876" s="292" t="str">
        <f>IFERROR(__xludf.DUMMYFUNCTION("""COMPUTED_VALUE"""),"")</f>
        <v/>
      </c>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c r="AK876" s="292"/>
      <c r="AL876" s="292"/>
      <c r="AM876" s="292"/>
      <c r="AN876" s="292"/>
      <c r="AO876" s="292"/>
      <c r="AP876" s="292"/>
      <c r="AQ876" s="292"/>
      <c r="AR876" s="292"/>
      <c r="AS876" s="292"/>
      <c r="AT876" s="292"/>
      <c r="AU876" s="292"/>
      <c r="AV876" s="292"/>
      <c r="AW876" s="292"/>
      <c r="AX876" s="292"/>
      <c r="AY876" s="292"/>
      <c r="AZ876" s="292"/>
      <c r="BA876" s="292"/>
      <c r="BB876" s="292"/>
      <c r="BC876" s="292"/>
      <c r="BD876" s="292"/>
      <c r="BE876" s="292"/>
      <c r="BF876" s="292"/>
      <c r="BG876" s="292"/>
      <c r="BH876" s="292"/>
      <c r="BI876" s="292"/>
      <c r="BJ876" s="292"/>
      <c r="BK876" s="292"/>
      <c r="BL876" s="292"/>
      <c r="BM876" s="292"/>
      <c r="BN876" s="292"/>
      <c r="BO876" s="292"/>
      <c r="BP876" s="292"/>
      <c r="BQ876" s="292"/>
      <c r="BR876" s="292"/>
      <c r="BS876" s="292"/>
      <c r="BT876" s="292"/>
      <c r="BU876" s="292"/>
      <c r="BV876" s="292"/>
      <c r="BW876" s="292"/>
    </row>
    <row r="877">
      <c r="A877" s="292"/>
      <c r="B877" s="292" t="str">
        <f>IFERROR(__xludf.DUMMYFUNCTION("""COMPUTED_VALUE"""),"")</f>
        <v/>
      </c>
      <c r="C877" s="292"/>
      <c r="D877" s="292" t="str">
        <f>IFERROR(__xludf.DUMMYFUNCTION("""COMPUTED_VALUE"""),"")</f>
        <v/>
      </c>
      <c r="E877" s="292" t="str">
        <f>IFERROR(__xludf.DUMMYFUNCTION("""COMPUTED_VALUE"""),"")</f>
        <v/>
      </c>
      <c r="F877" s="292"/>
      <c r="G877" s="292" t="str">
        <f>IFERROR(__xludf.DUMMYFUNCTION("""COMPUTED_VALUE"""),"")</f>
        <v/>
      </c>
      <c r="H877" s="292" t="str">
        <f>IFERROR(__xludf.DUMMYFUNCTION("""COMPUTED_VALUE"""),"")</f>
        <v/>
      </c>
      <c r="I877" s="292"/>
      <c r="J877" s="292"/>
      <c r="K877" s="292"/>
      <c r="L877" s="292"/>
      <c r="M877" s="292" t="str">
        <f>IFERROR(__xludf.DUMMYFUNCTION("""COMPUTED_VALUE"""),"")</f>
        <v/>
      </c>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c r="AK877" s="292"/>
      <c r="AL877" s="292"/>
      <c r="AM877" s="292"/>
      <c r="AN877" s="292"/>
      <c r="AO877" s="292"/>
      <c r="AP877" s="292"/>
      <c r="AQ877" s="292"/>
      <c r="AR877" s="292"/>
      <c r="AS877" s="292"/>
      <c r="AT877" s="292"/>
      <c r="AU877" s="292"/>
      <c r="AV877" s="292"/>
      <c r="AW877" s="292"/>
      <c r="AX877" s="292"/>
      <c r="AY877" s="292"/>
      <c r="AZ877" s="292"/>
      <c r="BA877" s="292"/>
      <c r="BB877" s="292"/>
      <c r="BC877" s="292"/>
      <c r="BD877" s="292"/>
      <c r="BE877" s="292"/>
      <c r="BF877" s="292"/>
      <c r="BG877" s="292"/>
      <c r="BH877" s="292"/>
      <c r="BI877" s="292"/>
      <c r="BJ877" s="292"/>
      <c r="BK877" s="292"/>
      <c r="BL877" s="292"/>
      <c r="BM877" s="292"/>
      <c r="BN877" s="292"/>
      <c r="BO877" s="292"/>
      <c r="BP877" s="292"/>
      <c r="BQ877" s="292"/>
      <c r="BR877" s="292"/>
      <c r="BS877" s="292"/>
      <c r="BT877" s="292"/>
      <c r="BU877" s="292"/>
      <c r="BV877" s="292"/>
      <c r="BW877" s="292"/>
    </row>
    <row r="878">
      <c r="A878" s="292"/>
      <c r="B878" s="292" t="str">
        <f>IFERROR(__xludf.DUMMYFUNCTION("""COMPUTED_VALUE"""),"")</f>
        <v/>
      </c>
      <c r="C878" s="292"/>
      <c r="D878" s="292" t="str">
        <f>IFERROR(__xludf.DUMMYFUNCTION("""COMPUTED_VALUE"""),"")</f>
        <v/>
      </c>
      <c r="E878" s="292" t="str">
        <f>IFERROR(__xludf.DUMMYFUNCTION("""COMPUTED_VALUE"""),"")</f>
        <v/>
      </c>
      <c r="F878" s="292"/>
      <c r="G878" s="292" t="str">
        <f>IFERROR(__xludf.DUMMYFUNCTION("""COMPUTED_VALUE"""),"")</f>
        <v/>
      </c>
      <c r="H878" s="292" t="str">
        <f>IFERROR(__xludf.DUMMYFUNCTION("""COMPUTED_VALUE"""),"")</f>
        <v/>
      </c>
      <c r="I878" s="292"/>
      <c r="J878" s="292"/>
      <c r="K878" s="292"/>
      <c r="L878" s="292"/>
      <c r="M878" s="292" t="str">
        <f>IFERROR(__xludf.DUMMYFUNCTION("""COMPUTED_VALUE"""),"")</f>
        <v/>
      </c>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c r="AK878" s="292"/>
      <c r="AL878" s="292"/>
      <c r="AM878" s="292"/>
      <c r="AN878" s="292"/>
      <c r="AO878" s="292"/>
      <c r="AP878" s="292"/>
      <c r="AQ878" s="292"/>
      <c r="AR878" s="292"/>
      <c r="AS878" s="292"/>
      <c r="AT878" s="292"/>
      <c r="AU878" s="292"/>
      <c r="AV878" s="292"/>
      <c r="AW878" s="292"/>
      <c r="AX878" s="292"/>
      <c r="AY878" s="292"/>
      <c r="AZ878" s="292"/>
      <c r="BA878" s="292"/>
      <c r="BB878" s="292"/>
      <c r="BC878" s="292"/>
      <c r="BD878" s="292"/>
      <c r="BE878" s="292"/>
      <c r="BF878" s="292"/>
      <c r="BG878" s="292"/>
      <c r="BH878" s="292"/>
      <c r="BI878" s="292"/>
      <c r="BJ878" s="292"/>
      <c r="BK878" s="292"/>
      <c r="BL878" s="292"/>
      <c r="BM878" s="292"/>
      <c r="BN878" s="292"/>
      <c r="BO878" s="292"/>
      <c r="BP878" s="292"/>
      <c r="BQ878" s="292"/>
      <c r="BR878" s="292"/>
      <c r="BS878" s="292"/>
      <c r="BT878" s="292"/>
      <c r="BU878" s="292"/>
      <c r="BV878" s="292"/>
      <c r="BW878" s="292"/>
    </row>
    <row r="879">
      <c r="A879" s="292"/>
      <c r="B879" s="292" t="str">
        <f>IFERROR(__xludf.DUMMYFUNCTION("""COMPUTED_VALUE"""),"")</f>
        <v/>
      </c>
      <c r="C879" s="292"/>
      <c r="D879" s="292" t="str">
        <f>IFERROR(__xludf.DUMMYFUNCTION("""COMPUTED_VALUE"""),"")</f>
        <v/>
      </c>
      <c r="E879" s="292" t="str">
        <f>IFERROR(__xludf.DUMMYFUNCTION("""COMPUTED_VALUE"""),"")</f>
        <v/>
      </c>
      <c r="F879" s="292"/>
      <c r="G879" s="292" t="str">
        <f>IFERROR(__xludf.DUMMYFUNCTION("""COMPUTED_VALUE"""),"")</f>
        <v/>
      </c>
      <c r="H879" s="292" t="str">
        <f>IFERROR(__xludf.DUMMYFUNCTION("""COMPUTED_VALUE"""),"")</f>
        <v/>
      </c>
      <c r="I879" s="292"/>
      <c r="J879" s="292"/>
      <c r="K879" s="292"/>
      <c r="L879" s="292"/>
      <c r="M879" s="292" t="str">
        <f>IFERROR(__xludf.DUMMYFUNCTION("""COMPUTED_VALUE"""),"")</f>
        <v/>
      </c>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c r="AK879" s="292"/>
      <c r="AL879" s="292"/>
      <c r="AM879" s="292"/>
      <c r="AN879" s="292"/>
      <c r="AO879" s="292"/>
      <c r="AP879" s="292"/>
      <c r="AQ879" s="292"/>
      <c r="AR879" s="292"/>
      <c r="AS879" s="292"/>
      <c r="AT879" s="292"/>
      <c r="AU879" s="292"/>
      <c r="AV879" s="292"/>
      <c r="AW879" s="292"/>
      <c r="AX879" s="292"/>
      <c r="AY879" s="292"/>
      <c r="AZ879" s="292"/>
      <c r="BA879" s="292"/>
      <c r="BB879" s="292"/>
      <c r="BC879" s="292"/>
      <c r="BD879" s="292"/>
      <c r="BE879" s="292"/>
      <c r="BF879" s="292"/>
      <c r="BG879" s="292"/>
      <c r="BH879" s="292"/>
      <c r="BI879" s="292"/>
      <c r="BJ879" s="292"/>
      <c r="BK879" s="292"/>
      <c r="BL879" s="292"/>
      <c r="BM879" s="292"/>
      <c r="BN879" s="292"/>
      <c r="BO879" s="292"/>
      <c r="BP879" s="292"/>
      <c r="BQ879" s="292"/>
      <c r="BR879" s="292"/>
      <c r="BS879" s="292"/>
      <c r="BT879" s="292"/>
      <c r="BU879" s="292"/>
      <c r="BV879" s="292"/>
      <c r="BW879" s="292"/>
    </row>
    <row r="880">
      <c r="A880" s="292"/>
      <c r="B880" s="292" t="str">
        <f>IFERROR(__xludf.DUMMYFUNCTION("""COMPUTED_VALUE"""),"")</f>
        <v/>
      </c>
      <c r="C880" s="292"/>
      <c r="D880" s="292" t="str">
        <f>IFERROR(__xludf.DUMMYFUNCTION("""COMPUTED_VALUE"""),"")</f>
        <v/>
      </c>
      <c r="E880" s="292" t="str">
        <f>IFERROR(__xludf.DUMMYFUNCTION("""COMPUTED_VALUE"""),"")</f>
        <v/>
      </c>
      <c r="F880" s="292"/>
      <c r="G880" s="292" t="str">
        <f>IFERROR(__xludf.DUMMYFUNCTION("""COMPUTED_VALUE"""),"")</f>
        <v/>
      </c>
      <c r="H880" s="292" t="str">
        <f>IFERROR(__xludf.DUMMYFUNCTION("""COMPUTED_VALUE"""),"")</f>
        <v/>
      </c>
      <c r="I880" s="292"/>
      <c r="J880" s="292"/>
      <c r="K880" s="292"/>
      <c r="L880" s="292"/>
      <c r="M880" s="292" t="str">
        <f>IFERROR(__xludf.DUMMYFUNCTION("""COMPUTED_VALUE"""),"")</f>
        <v/>
      </c>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c r="AK880" s="292"/>
      <c r="AL880" s="292"/>
      <c r="AM880" s="292"/>
      <c r="AN880" s="292"/>
      <c r="AO880" s="292"/>
      <c r="AP880" s="292"/>
      <c r="AQ880" s="292"/>
      <c r="AR880" s="292"/>
      <c r="AS880" s="292"/>
      <c r="AT880" s="292"/>
      <c r="AU880" s="292"/>
      <c r="AV880" s="292"/>
      <c r="AW880" s="292"/>
      <c r="AX880" s="292"/>
      <c r="AY880" s="292"/>
      <c r="AZ880" s="292"/>
      <c r="BA880" s="292"/>
      <c r="BB880" s="292"/>
      <c r="BC880" s="292"/>
      <c r="BD880" s="292"/>
      <c r="BE880" s="292"/>
      <c r="BF880" s="292"/>
      <c r="BG880" s="292"/>
      <c r="BH880" s="292"/>
      <c r="BI880" s="292"/>
      <c r="BJ880" s="292"/>
      <c r="BK880" s="292"/>
      <c r="BL880" s="292"/>
      <c r="BM880" s="292"/>
      <c r="BN880" s="292"/>
      <c r="BO880" s="292"/>
      <c r="BP880" s="292"/>
      <c r="BQ880" s="292"/>
      <c r="BR880" s="292"/>
      <c r="BS880" s="292"/>
      <c r="BT880" s="292"/>
      <c r="BU880" s="292"/>
      <c r="BV880" s="292"/>
      <c r="BW880" s="292"/>
    </row>
    <row r="881">
      <c r="A881" s="292"/>
      <c r="B881" s="292" t="str">
        <f>IFERROR(__xludf.DUMMYFUNCTION("""COMPUTED_VALUE"""),"")</f>
        <v/>
      </c>
      <c r="C881" s="292"/>
      <c r="D881" s="292" t="str">
        <f>IFERROR(__xludf.DUMMYFUNCTION("""COMPUTED_VALUE"""),"")</f>
        <v/>
      </c>
      <c r="E881" s="292" t="str">
        <f>IFERROR(__xludf.DUMMYFUNCTION("""COMPUTED_VALUE"""),"")</f>
        <v/>
      </c>
      <c r="F881" s="292"/>
      <c r="G881" s="292" t="str">
        <f>IFERROR(__xludf.DUMMYFUNCTION("""COMPUTED_VALUE"""),"")</f>
        <v/>
      </c>
      <c r="H881" s="292" t="str">
        <f>IFERROR(__xludf.DUMMYFUNCTION("""COMPUTED_VALUE"""),"")</f>
        <v/>
      </c>
      <c r="I881" s="292"/>
      <c r="J881" s="292"/>
      <c r="K881" s="292"/>
      <c r="L881" s="292"/>
      <c r="M881" s="292" t="str">
        <f>IFERROR(__xludf.DUMMYFUNCTION("""COMPUTED_VALUE"""),"")</f>
        <v/>
      </c>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c r="AK881" s="292"/>
      <c r="AL881" s="292"/>
      <c r="AM881" s="292"/>
      <c r="AN881" s="292"/>
      <c r="AO881" s="292"/>
      <c r="AP881" s="292"/>
      <c r="AQ881" s="292"/>
      <c r="AR881" s="292"/>
      <c r="AS881" s="292"/>
      <c r="AT881" s="292"/>
      <c r="AU881" s="292"/>
      <c r="AV881" s="292"/>
      <c r="AW881" s="292"/>
      <c r="AX881" s="292"/>
      <c r="AY881" s="292"/>
      <c r="AZ881" s="292"/>
      <c r="BA881" s="292"/>
      <c r="BB881" s="292"/>
      <c r="BC881" s="292"/>
      <c r="BD881" s="292"/>
      <c r="BE881" s="292"/>
      <c r="BF881" s="292"/>
      <c r="BG881" s="292"/>
      <c r="BH881" s="292"/>
      <c r="BI881" s="292"/>
      <c r="BJ881" s="292"/>
      <c r="BK881" s="292"/>
      <c r="BL881" s="292"/>
      <c r="BM881" s="292"/>
      <c r="BN881" s="292"/>
      <c r="BO881" s="292"/>
      <c r="BP881" s="292"/>
      <c r="BQ881" s="292"/>
      <c r="BR881" s="292"/>
      <c r="BS881" s="292"/>
      <c r="BT881" s="292"/>
      <c r="BU881" s="292"/>
      <c r="BV881" s="292"/>
      <c r="BW881" s="292"/>
    </row>
    <row r="882">
      <c r="A882" s="292"/>
      <c r="B882" s="292" t="str">
        <f>IFERROR(__xludf.DUMMYFUNCTION("""COMPUTED_VALUE"""),"")</f>
        <v/>
      </c>
      <c r="C882" s="292"/>
      <c r="D882" s="292" t="str">
        <f>IFERROR(__xludf.DUMMYFUNCTION("""COMPUTED_VALUE"""),"")</f>
        <v/>
      </c>
      <c r="E882" s="292" t="str">
        <f>IFERROR(__xludf.DUMMYFUNCTION("""COMPUTED_VALUE"""),"")</f>
        <v/>
      </c>
      <c r="F882" s="292"/>
      <c r="G882" s="292" t="str">
        <f>IFERROR(__xludf.DUMMYFUNCTION("""COMPUTED_VALUE"""),"")</f>
        <v/>
      </c>
      <c r="H882" s="292" t="str">
        <f>IFERROR(__xludf.DUMMYFUNCTION("""COMPUTED_VALUE"""),"")</f>
        <v/>
      </c>
      <c r="I882" s="292"/>
      <c r="J882" s="292"/>
      <c r="K882" s="292"/>
      <c r="L882" s="292"/>
      <c r="M882" s="292" t="str">
        <f>IFERROR(__xludf.DUMMYFUNCTION("""COMPUTED_VALUE"""),"")</f>
        <v/>
      </c>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c r="AK882" s="292"/>
      <c r="AL882" s="292"/>
      <c r="AM882" s="292"/>
      <c r="AN882" s="292"/>
      <c r="AO882" s="292"/>
      <c r="AP882" s="292"/>
      <c r="AQ882" s="292"/>
      <c r="AR882" s="292"/>
      <c r="AS882" s="292"/>
      <c r="AT882" s="292"/>
      <c r="AU882" s="292"/>
      <c r="AV882" s="292"/>
      <c r="AW882" s="292"/>
      <c r="AX882" s="292"/>
      <c r="AY882" s="292"/>
      <c r="AZ882" s="292"/>
      <c r="BA882" s="292"/>
      <c r="BB882" s="292"/>
      <c r="BC882" s="292"/>
      <c r="BD882" s="292"/>
      <c r="BE882" s="292"/>
      <c r="BF882" s="292"/>
      <c r="BG882" s="292"/>
      <c r="BH882" s="292"/>
      <c r="BI882" s="292"/>
      <c r="BJ882" s="292"/>
      <c r="BK882" s="292"/>
      <c r="BL882" s="292"/>
      <c r="BM882" s="292"/>
      <c r="BN882" s="292"/>
      <c r="BO882" s="292"/>
      <c r="BP882" s="292"/>
      <c r="BQ882" s="292"/>
      <c r="BR882" s="292"/>
      <c r="BS882" s="292"/>
      <c r="BT882" s="292"/>
      <c r="BU882" s="292"/>
      <c r="BV882" s="292"/>
      <c r="BW882" s="292"/>
    </row>
    <row r="883">
      <c r="A883" s="292"/>
      <c r="B883" s="292" t="str">
        <f>IFERROR(__xludf.DUMMYFUNCTION("""COMPUTED_VALUE"""),"")</f>
        <v/>
      </c>
      <c r="C883" s="292"/>
      <c r="D883" s="292" t="str">
        <f>IFERROR(__xludf.DUMMYFUNCTION("""COMPUTED_VALUE"""),"")</f>
        <v/>
      </c>
      <c r="E883" s="292" t="str">
        <f>IFERROR(__xludf.DUMMYFUNCTION("""COMPUTED_VALUE"""),"")</f>
        <v/>
      </c>
      <c r="F883" s="292"/>
      <c r="G883" s="292" t="str">
        <f>IFERROR(__xludf.DUMMYFUNCTION("""COMPUTED_VALUE"""),"")</f>
        <v/>
      </c>
      <c r="H883" s="292" t="str">
        <f>IFERROR(__xludf.DUMMYFUNCTION("""COMPUTED_VALUE"""),"")</f>
        <v/>
      </c>
      <c r="I883" s="292"/>
      <c r="J883" s="292"/>
      <c r="K883" s="292"/>
      <c r="L883" s="292"/>
      <c r="M883" s="292" t="str">
        <f>IFERROR(__xludf.DUMMYFUNCTION("""COMPUTED_VALUE"""),"")</f>
        <v/>
      </c>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c r="AK883" s="292"/>
      <c r="AL883" s="292"/>
      <c r="AM883" s="292"/>
      <c r="AN883" s="292"/>
      <c r="AO883" s="292"/>
      <c r="AP883" s="292"/>
      <c r="AQ883" s="292"/>
      <c r="AR883" s="292"/>
      <c r="AS883" s="292"/>
      <c r="AT883" s="292"/>
      <c r="AU883" s="292"/>
      <c r="AV883" s="292"/>
      <c r="AW883" s="292"/>
      <c r="AX883" s="292"/>
      <c r="AY883" s="292"/>
      <c r="AZ883" s="292"/>
      <c r="BA883" s="292"/>
      <c r="BB883" s="292"/>
      <c r="BC883" s="292"/>
      <c r="BD883" s="292"/>
      <c r="BE883" s="292"/>
      <c r="BF883" s="292"/>
      <c r="BG883" s="292"/>
      <c r="BH883" s="292"/>
      <c r="BI883" s="292"/>
      <c r="BJ883" s="292"/>
      <c r="BK883" s="292"/>
      <c r="BL883" s="292"/>
      <c r="BM883" s="292"/>
      <c r="BN883" s="292"/>
      <c r="BO883" s="292"/>
      <c r="BP883" s="292"/>
      <c r="BQ883" s="292"/>
      <c r="BR883" s="292"/>
      <c r="BS883" s="292"/>
      <c r="BT883" s="292"/>
      <c r="BU883" s="292"/>
      <c r="BV883" s="292"/>
      <c r="BW883" s="292"/>
    </row>
    <row r="884">
      <c r="A884" s="292"/>
      <c r="B884" s="292" t="str">
        <f>IFERROR(__xludf.DUMMYFUNCTION("""COMPUTED_VALUE"""),"")</f>
        <v/>
      </c>
      <c r="C884" s="292"/>
      <c r="D884" s="292" t="str">
        <f>IFERROR(__xludf.DUMMYFUNCTION("""COMPUTED_VALUE"""),"")</f>
        <v/>
      </c>
      <c r="E884" s="292" t="str">
        <f>IFERROR(__xludf.DUMMYFUNCTION("""COMPUTED_VALUE"""),"")</f>
        <v/>
      </c>
      <c r="F884" s="292"/>
      <c r="G884" s="292" t="str">
        <f>IFERROR(__xludf.DUMMYFUNCTION("""COMPUTED_VALUE"""),"")</f>
        <v/>
      </c>
      <c r="H884" s="292" t="str">
        <f>IFERROR(__xludf.DUMMYFUNCTION("""COMPUTED_VALUE"""),"")</f>
        <v/>
      </c>
      <c r="I884" s="292"/>
      <c r="J884" s="292"/>
      <c r="K884" s="292"/>
      <c r="L884" s="292"/>
      <c r="M884" s="292" t="str">
        <f>IFERROR(__xludf.DUMMYFUNCTION("""COMPUTED_VALUE"""),"")</f>
        <v/>
      </c>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c r="AK884" s="292"/>
      <c r="AL884" s="292"/>
      <c r="AM884" s="292"/>
      <c r="AN884" s="292"/>
      <c r="AO884" s="292"/>
      <c r="AP884" s="292"/>
      <c r="AQ884" s="292"/>
      <c r="AR884" s="292"/>
      <c r="AS884" s="292"/>
      <c r="AT884" s="292"/>
      <c r="AU884" s="292"/>
      <c r="AV884" s="292"/>
      <c r="AW884" s="292"/>
      <c r="AX884" s="292"/>
      <c r="AY884" s="292"/>
      <c r="AZ884" s="292"/>
      <c r="BA884" s="292"/>
      <c r="BB884" s="292"/>
      <c r="BC884" s="292"/>
      <c r="BD884" s="292"/>
      <c r="BE884" s="292"/>
      <c r="BF884" s="292"/>
      <c r="BG884" s="292"/>
      <c r="BH884" s="292"/>
      <c r="BI884" s="292"/>
      <c r="BJ884" s="292"/>
      <c r="BK884" s="292"/>
      <c r="BL884" s="292"/>
      <c r="BM884" s="292"/>
      <c r="BN884" s="292"/>
      <c r="BO884" s="292"/>
      <c r="BP884" s="292"/>
      <c r="BQ884" s="292"/>
      <c r="BR884" s="292"/>
      <c r="BS884" s="292"/>
      <c r="BT884" s="292"/>
      <c r="BU884" s="292"/>
      <c r="BV884" s="292"/>
      <c r="BW884" s="292"/>
    </row>
    <row r="885">
      <c r="A885" s="292"/>
      <c r="B885" s="292" t="str">
        <f>IFERROR(__xludf.DUMMYFUNCTION("""COMPUTED_VALUE"""),"")</f>
        <v/>
      </c>
      <c r="C885" s="292"/>
      <c r="D885" s="292" t="str">
        <f>IFERROR(__xludf.DUMMYFUNCTION("""COMPUTED_VALUE"""),"")</f>
        <v/>
      </c>
      <c r="E885" s="292" t="str">
        <f>IFERROR(__xludf.DUMMYFUNCTION("""COMPUTED_VALUE"""),"")</f>
        <v/>
      </c>
      <c r="F885" s="292"/>
      <c r="G885" s="292" t="str">
        <f>IFERROR(__xludf.DUMMYFUNCTION("""COMPUTED_VALUE"""),"")</f>
        <v/>
      </c>
      <c r="H885" s="292" t="str">
        <f>IFERROR(__xludf.DUMMYFUNCTION("""COMPUTED_VALUE"""),"")</f>
        <v/>
      </c>
      <c r="I885" s="292"/>
      <c r="J885" s="292"/>
      <c r="K885" s="292"/>
      <c r="L885" s="292"/>
      <c r="M885" s="292" t="str">
        <f>IFERROR(__xludf.DUMMYFUNCTION("""COMPUTED_VALUE"""),"")</f>
        <v/>
      </c>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c r="AK885" s="292"/>
      <c r="AL885" s="292"/>
      <c r="AM885" s="292"/>
      <c r="AN885" s="292"/>
      <c r="AO885" s="292"/>
      <c r="AP885" s="292"/>
      <c r="AQ885" s="292"/>
      <c r="AR885" s="292"/>
      <c r="AS885" s="292"/>
      <c r="AT885" s="292"/>
      <c r="AU885" s="292"/>
      <c r="AV885" s="292"/>
      <c r="AW885" s="292"/>
      <c r="AX885" s="292"/>
      <c r="AY885" s="292"/>
      <c r="AZ885" s="292"/>
      <c r="BA885" s="292"/>
      <c r="BB885" s="292"/>
      <c r="BC885" s="292"/>
      <c r="BD885" s="292"/>
      <c r="BE885" s="292"/>
      <c r="BF885" s="292"/>
      <c r="BG885" s="292"/>
      <c r="BH885" s="292"/>
      <c r="BI885" s="292"/>
      <c r="BJ885" s="292"/>
      <c r="BK885" s="292"/>
      <c r="BL885" s="292"/>
      <c r="BM885" s="292"/>
      <c r="BN885" s="292"/>
      <c r="BO885" s="292"/>
      <c r="BP885" s="292"/>
      <c r="BQ885" s="292"/>
      <c r="BR885" s="292"/>
      <c r="BS885" s="292"/>
      <c r="BT885" s="292"/>
      <c r="BU885" s="292"/>
      <c r="BV885" s="292"/>
      <c r="BW885" s="292"/>
    </row>
    <row r="886">
      <c r="A886" s="292"/>
      <c r="B886" s="292" t="str">
        <f>IFERROR(__xludf.DUMMYFUNCTION("""COMPUTED_VALUE"""),"")</f>
        <v/>
      </c>
      <c r="C886" s="292"/>
      <c r="D886" s="292" t="str">
        <f>IFERROR(__xludf.DUMMYFUNCTION("""COMPUTED_VALUE"""),"")</f>
        <v/>
      </c>
      <c r="E886" s="292" t="str">
        <f>IFERROR(__xludf.DUMMYFUNCTION("""COMPUTED_VALUE"""),"")</f>
        <v/>
      </c>
      <c r="F886" s="292"/>
      <c r="G886" s="292" t="str">
        <f>IFERROR(__xludf.DUMMYFUNCTION("""COMPUTED_VALUE"""),"")</f>
        <v/>
      </c>
      <c r="H886" s="292" t="str">
        <f>IFERROR(__xludf.DUMMYFUNCTION("""COMPUTED_VALUE"""),"")</f>
        <v/>
      </c>
      <c r="I886" s="292"/>
      <c r="J886" s="292"/>
      <c r="K886" s="292"/>
      <c r="L886" s="292"/>
      <c r="M886" s="292" t="str">
        <f>IFERROR(__xludf.DUMMYFUNCTION("""COMPUTED_VALUE"""),"")</f>
        <v/>
      </c>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c r="AK886" s="292"/>
      <c r="AL886" s="292"/>
      <c r="AM886" s="292"/>
      <c r="AN886" s="292"/>
      <c r="AO886" s="292"/>
      <c r="AP886" s="292"/>
      <c r="AQ886" s="292"/>
      <c r="AR886" s="292"/>
      <c r="AS886" s="292"/>
      <c r="AT886" s="292"/>
      <c r="AU886" s="292"/>
      <c r="AV886" s="292"/>
      <c r="AW886" s="292"/>
      <c r="AX886" s="292"/>
      <c r="AY886" s="292"/>
      <c r="AZ886" s="292"/>
      <c r="BA886" s="292"/>
      <c r="BB886" s="292"/>
      <c r="BC886" s="292"/>
      <c r="BD886" s="292"/>
      <c r="BE886" s="292"/>
      <c r="BF886" s="292"/>
      <c r="BG886" s="292"/>
      <c r="BH886" s="292"/>
      <c r="BI886" s="292"/>
      <c r="BJ886" s="292"/>
      <c r="BK886" s="292"/>
      <c r="BL886" s="292"/>
      <c r="BM886" s="292"/>
      <c r="BN886" s="292"/>
      <c r="BO886" s="292"/>
      <c r="BP886" s="292"/>
      <c r="BQ886" s="292"/>
      <c r="BR886" s="292"/>
      <c r="BS886" s="292"/>
      <c r="BT886" s="292"/>
      <c r="BU886" s="292"/>
      <c r="BV886" s="292"/>
      <c r="BW886" s="292"/>
    </row>
    <row r="887">
      <c r="A887" s="292"/>
      <c r="B887" s="292" t="str">
        <f>IFERROR(__xludf.DUMMYFUNCTION("""COMPUTED_VALUE"""),"")</f>
        <v/>
      </c>
      <c r="C887" s="292"/>
      <c r="D887" s="292" t="str">
        <f>IFERROR(__xludf.DUMMYFUNCTION("""COMPUTED_VALUE"""),"")</f>
        <v/>
      </c>
      <c r="E887" s="292" t="str">
        <f>IFERROR(__xludf.DUMMYFUNCTION("""COMPUTED_VALUE"""),"")</f>
        <v/>
      </c>
      <c r="F887" s="292"/>
      <c r="G887" s="292" t="str">
        <f>IFERROR(__xludf.DUMMYFUNCTION("""COMPUTED_VALUE"""),"")</f>
        <v/>
      </c>
      <c r="H887" s="292" t="str">
        <f>IFERROR(__xludf.DUMMYFUNCTION("""COMPUTED_VALUE"""),"")</f>
        <v/>
      </c>
      <c r="I887" s="292"/>
      <c r="J887" s="292"/>
      <c r="K887" s="292"/>
      <c r="L887" s="292"/>
      <c r="M887" s="292" t="str">
        <f>IFERROR(__xludf.DUMMYFUNCTION("""COMPUTED_VALUE"""),"")</f>
        <v/>
      </c>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c r="AK887" s="292"/>
      <c r="AL887" s="292"/>
      <c r="AM887" s="292"/>
      <c r="AN887" s="292"/>
      <c r="AO887" s="292"/>
      <c r="AP887" s="292"/>
      <c r="AQ887" s="292"/>
      <c r="AR887" s="292"/>
      <c r="AS887" s="292"/>
      <c r="AT887" s="292"/>
      <c r="AU887" s="292"/>
      <c r="AV887" s="292"/>
      <c r="AW887" s="292"/>
      <c r="AX887" s="292"/>
      <c r="AY887" s="292"/>
      <c r="AZ887" s="292"/>
      <c r="BA887" s="292"/>
      <c r="BB887" s="292"/>
      <c r="BC887" s="292"/>
      <c r="BD887" s="292"/>
      <c r="BE887" s="292"/>
      <c r="BF887" s="292"/>
      <c r="BG887" s="292"/>
      <c r="BH887" s="292"/>
      <c r="BI887" s="292"/>
      <c r="BJ887" s="292"/>
      <c r="BK887" s="292"/>
      <c r="BL887" s="292"/>
      <c r="BM887" s="292"/>
      <c r="BN887" s="292"/>
      <c r="BO887" s="292"/>
      <c r="BP887" s="292"/>
      <c r="BQ887" s="292"/>
      <c r="BR887" s="292"/>
      <c r="BS887" s="292"/>
      <c r="BT887" s="292"/>
      <c r="BU887" s="292"/>
      <c r="BV887" s="292"/>
      <c r="BW887" s="292"/>
    </row>
    <row r="888">
      <c r="A888" s="292"/>
      <c r="B888" s="292" t="str">
        <f>IFERROR(__xludf.DUMMYFUNCTION("""COMPUTED_VALUE"""),"")</f>
        <v/>
      </c>
      <c r="C888" s="292"/>
      <c r="D888" s="292" t="str">
        <f>IFERROR(__xludf.DUMMYFUNCTION("""COMPUTED_VALUE"""),"")</f>
        <v/>
      </c>
      <c r="E888" s="292" t="str">
        <f>IFERROR(__xludf.DUMMYFUNCTION("""COMPUTED_VALUE"""),"")</f>
        <v/>
      </c>
      <c r="F888" s="292"/>
      <c r="G888" s="292" t="str">
        <f>IFERROR(__xludf.DUMMYFUNCTION("""COMPUTED_VALUE"""),"")</f>
        <v/>
      </c>
      <c r="H888" s="292" t="str">
        <f>IFERROR(__xludf.DUMMYFUNCTION("""COMPUTED_VALUE"""),"")</f>
        <v/>
      </c>
      <c r="I888" s="292"/>
      <c r="J888" s="292"/>
      <c r="K888" s="292"/>
      <c r="L888" s="292"/>
      <c r="M888" s="292" t="str">
        <f>IFERROR(__xludf.DUMMYFUNCTION("""COMPUTED_VALUE"""),"")</f>
        <v/>
      </c>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c r="AK888" s="292"/>
      <c r="AL888" s="292"/>
      <c r="AM888" s="292"/>
      <c r="AN888" s="292"/>
      <c r="AO888" s="292"/>
      <c r="AP888" s="292"/>
      <c r="AQ888" s="292"/>
      <c r="AR888" s="292"/>
      <c r="AS888" s="292"/>
      <c r="AT888" s="292"/>
      <c r="AU888" s="292"/>
      <c r="AV888" s="292"/>
      <c r="AW888" s="292"/>
      <c r="AX888" s="292"/>
      <c r="AY888" s="292"/>
      <c r="AZ888" s="292"/>
      <c r="BA888" s="292"/>
      <c r="BB888" s="292"/>
      <c r="BC888" s="292"/>
      <c r="BD888" s="292"/>
      <c r="BE888" s="292"/>
      <c r="BF888" s="292"/>
      <c r="BG888" s="292"/>
      <c r="BH888" s="292"/>
      <c r="BI888" s="292"/>
      <c r="BJ888" s="292"/>
      <c r="BK888" s="292"/>
      <c r="BL888" s="292"/>
      <c r="BM888" s="292"/>
      <c r="BN888" s="292"/>
      <c r="BO888" s="292"/>
      <c r="BP888" s="292"/>
      <c r="BQ888" s="292"/>
      <c r="BR888" s="292"/>
      <c r="BS888" s="292"/>
      <c r="BT888" s="292"/>
      <c r="BU888" s="292"/>
      <c r="BV888" s="292"/>
      <c r="BW888" s="292"/>
    </row>
    <row r="889">
      <c r="A889" s="292"/>
      <c r="B889" s="292" t="str">
        <f>IFERROR(__xludf.DUMMYFUNCTION("""COMPUTED_VALUE"""),"")</f>
        <v/>
      </c>
      <c r="C889" s="292"/>
      <c r="D889" s="292" t="str">
        <f>IFERROR(__xludf.DUMMYFUNCTION("""COMPUTED_VALUE"""),"")</f>
        <v/>
      </c>
      <c r="E889" s="292" t="str">
        <f>IFERROR(__xludf.DUMMYFUNCTION("""COMPUTED_VALUE"""),"")</f>
        <v/>
      </c>
      <c r="F889" s="292"/>
      <c r="G889" s="292" t="str">
        <f>IFERROR(__xludf.DUMMYFUNCTION("""COMPUTED_VALUE"""),"")</f>
        <v/>
      </c>
      <c r="H889" s="292" t="str">
        <f>IFERROR(__xludf.DUMMYFUNCTION("""COMPUTED_VALUE"""),"")</f>
        <v/>
      </c>
      <c r="I889" s="292"/>
      <c r="J889" s="292"/>
      <c r="K889" s="292"/>
      <c r="L889" s="292"/>
      <c r="M889" s="292" t="str">
        <f>IFERROR(__xludf.DUMMYFUNCTION("""COMPUTED_VALUE"""),"")</f>
        <v/>
      </c>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c r="AK889" s="292"/>
      <c r="AL889" s="292"/>
      <c r="AM889" s="292"/>
      <c r="AN889" s="292"/>
      <c r="AO889" s="292"/>
      <c r="AP889" s="292"/>
      <c r="AQ889" s="292"/>
      <c r="AR889" s="292"/>
      <c r="AS889" s="292"/>
      <c r="AT889" s="292"/>
      <c r="AU889" s="292"/>
      <c r="AV889" s="292"/>
      <c r="AW889" s="292"/>
      <c r="AX889" s="292"/>
      <c r="AY889" s="292"/>
      <c r="AZ889" s="292"/>
      <c r="BA889" s="292"/>
      <c r="BB889" s="292"/>
      <c r="BC889" s="292"/>
      <c r="BD889" s="292"/>
      <c r="BE889" s="292"/>
      <c r="BF889" s="292"/>
      <c r="BG889" s="292"/>
      <c r="BH889" s="292"/>
      <c r="BI889" s="292"/>
      <c r="BJ889" s="292"/>
      <c r="BK889" s="292"/>
      <c r="BL889" s="292"/>
      <c r="BM889" s="292"/>
      <c r="BN889" s="292"/>
      <c r="BO889" s="292"/>
      <c r="BP889" s="292"/>
      <c r="BQ889" s="292"/>
      <c r="BR889" s="292"/>
      <c r="BS889" s="292"/>
      <c r="BT889" s="292"/>
      <c r="BU889" s="292"/>
      <c r="BV889" s="292"/>
      <c r="BW889" s="292"/>
    </row>
    <row r="890">
      <c r="A890" s="292"/>
      <c r="B890" s="292" t="str">
        <f>IFERROR(__xludf.DUMMYFUNCTION("""COMPUTED_VALUE"""),"")</f>
        <v/>
      </c>
      <c r="C890" s="292"/>
      <c r="D890" s="292" t="str">
        <f>IFERROR(__xludf.DUMMYFUNCTION("""COMPUTED_VALUE"""),"")</f>
        <v/>
      </c>
      <c r="E890" s="292" t="str">
        <f>IFERROR(__xludf.DUMMYFUNCTION("""COMPUTED_VALUE"""),"")</f>
        <v/>
      </c>
      <c r="F890" s="292"/>
      <c r="G890" s="292" t="str">
        <f>IFERROR(__xludf.DUMMYFUNCTION("""COMPUTED_VALUE"""),"")</f>
        <v/>
      </c>
      <c r="H890" s="292" t="str">
        <f>IFERROR(__xludf.DUMMYFUNCTION("""COMPUTED_VALUE"""),"")</f>
        <v/>
      </c>
      <c r="I890" s="292"/>
      <c r="J890" s="292"/>
      <c r="K890" s="292"/>
      <c r="L890" s="292"/>
      <c r="M890" s="292" t="str">
        <f>IFERROR(__xludf.DUMMYFUNCTION("""COMPUTED_VALUE"""),"")</f>
        <v/>
      </c>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c r="AK890" s="292"/>
      <c r="AL890" s="292"/>
      <c r="AM890" s="292"/>
      <c r="AN890" s="292"/>
      <c r="AO890" s="292"/>
      <c r="AP890" s="292"/>
      <c r="AQ890" s="292"/>
      <c r="AR890" s="292"/>
      <c r="AS890" s="292"/>
      <c r="AT890" s="292"/>
      <c r="AU890" s="292"/>
      <c r="AV890" s="292"/>
      <c r="AW890" s="292"/>
      <c r="AX890" s="292"/>
      <c r="AY890" s="292"/>
      <c r="AZ890" s="292"/>
      <c r="BA890" s="292"/>
      <c r="BB890" s="292"/>
      <c r="BC890" s="292"/>
      <c r="BD890" s="292"/>
      <c r="BE890" s="292"/>
      <c r="BF890" s="292"/>
      <c r="BG890" s="292"/>
      <c r="BH890" s="292"/>
      <c r="BI890" s="292"/>
      <c r="BJ890" s="292"/>
      <c r="BK890" s="292"/>
      <c r="BL890" s="292"/>
      <c r="BM890" s="292"/>
      <c r="BN890" s="292"/>
      <c r="BO890" s="292"/>
      <c r="BP890" s="292"/>
      <c r="BQ890" s="292"/>
      <c r="BR890" s="292"/>
      <c r="BS890" s="292"/>
      <c r="BT890" s="292"/>
      <c r="BU890" s="292"/>
      <c r="BV890" s="292"/>
      <c r="BW890" s="292"/>
    </row>
    <row r="891">
      <c r="A891" s="292"/>
      <c r="B891" s="292" t="str">
        <f>IFERROR(__xludf.DUMMYFUNCTION("""COMPUTED_VALUE"""),"")</f>
        <v/>
      </c>
      <c r="C891" s="292"/>
      <c r="D891" s="292" t="str">
        <f>IFERROR(__xludf.DUMMYFUNCTION("""COMPUTED_VALUE"""),"")</f>
        <v/>
      </c>
      <c r="E891" s="292" t="str">
        <f>IFERROR(__xludf.DUMMYFUNCTION("""COMPUTED_VALUE"""),"")</f>
        <v/>
      </c>
      <c r="F891" s="292"/>
      <c r="G891" s="292" t="str">
        <f>IFERROR(__xludf.DUMMYFUNCTION("""COMPUTED_VALUE"""),"")</f>
        <v/>
      </c>
      <c r="H891" s="292" t="str">
        <f>IFERROR(__xludf.DUMMYFUNCTION("""COMPUTED_VALUE"""),"")</f>
        <v/>
      </c>
      <c r="I891" s="292"/>
      <c r="J891" s="292"/>
      <c r="K891" s="292"/>
      <c r="L891" s="292"/>
      <c r="M891" s="292" t="str">
        <f>IFERROR(__xludf.DUMMYFUNCTION("""COMPUTED_VALUE"""),"")</f>
        <v/>
      </c>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c r="AK891" s="292"/>
      <c r="AL891" s="292"/>
      <c r="AM891" s="292"/>
      <c r="AN891" s="292"/>
      <c r="AO891" s="292"/>
      <c r="AP891" s="292"/>
      <c r="AQ891" s="292"/>
      <c r="AR891" s="292"/>
      <c r="AS891" s="292"/>
      <c r="AT891" s="292"/>
      <c r="AU891" s="292"/>
      <c r="AV891" s="292"/>
      <c r="AW891" s="292"/>
      <c r="AX891" s="292"/>
      <c r="AY891" s="292"/>
      <c r="AZ891" s="292"/>
      <c r="BA891" s="292"/>
      <c r="BB891" s="292"/>
      <c r="BC891" s="292"/>
      <c r="BD891" s="292"/>
      <c r="BE891" s="292"/>
      <c r="BF891" s="292"/>
      <c r="BG891" s="292"/>
      <c r="BH891" s="292"/>
      <c r="BI891" s="292"/>
      <c r="BJ891" s="292"/>
      <c r="BK891" s="292"/>
      <c r="BL891" s="292"/>
      <c r="BM891" s="292"/>
      <c r="BN891" s="292"/>
      <c r="BO891" s="292"/>
      <c r="BP891" s="292"/>
      <c r="BQ891" s="292"/>
      <c r="BR891" s="292"/>
      <c r="BS891" s="292"/>
      <c r="BT891" s="292"/>
      <c r="BU891" s="292"/>
      <c r="BV891" s="292"/>
      <c r="BW891" s="292"/>
    </row>
    <row r="892">
      <c r="A892" s="292"/>
      <c r="B892" s="292" t="str">
        <f>IFERROR(__xludf.DUMMYFUNCTION("""COMPUTED_VALUE"""),"")</f>
        <v/>
      </c>
      <c r="C892" s="292"/>
      <c r="D892" s="292" t="str">
        <f>IFERROR(__xludf.DUMMYFUNCTION("""COMPUTED_VALUE"""),"")</f>
        <v/>
      </c>
      <c r="E892" s="292" t="str">
        <f>IFERROR(__xludf.DUMMYFUNCTION("""COMPUTED_VALUE"""),"")</f>
        <v/>
      </c>
      <c r="F892" s="292"/>
      <c r="G892" s="292" t="str">
        <f>IFERROR(__xludf.DUMMYFUNCTION("""COMPUTED_VALUE"""),"")</f>
        <v/>
      </c>
      <c r="H892" s="292" t="str">
        <f>IFERROR(__xludf.DUMMYFUNCTION("""COMPUTED_VALUE"""),"")</f>
        <v/>
      </c>
      <c r="I892" s="292"/>
      <c r="J892" s="292"/>
      <c r="K892" s="292"/>
      <c r="L892" s="292"/>
      <c r="M892" s="292" t="str">
        <f>IFERROR(__xludf.DUMMYFUNCTION("""COMPUTED_VALUE"""),"")</f>
        <v/>
      </c>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c r="AK892" s="292"/>
      <c r="AL892" s="292"/>
      <c r="AM892" s="292"/>
      <c r="AN892" s="292"/>
      <c r="AO892" s="292"/>
      <c r="AP892" s="292"/>
      <c r="AQ892" s="292"/>
      <c r="AR892" s="292"/>
      <c r="AS892" s="292"/>
      <c r="AT892" s="292"/>
      <c r="AU892" s="292"/>
      <c r="AV892" s="292"/>
      <c r="AW892" s="292"/>
      <c r="AX892" s="292"/>
      <c r="AY892" s="292"/>
      <c r="AZ892" s="292"/>
      <c r="BA892" s="292"/>
      <c r="BB892" s="292"/>
      <c r="BC892" s="292"/>
      <c r="BD892" s="292"/>
      <c r="BE892" s="292"/>
      <c r="BF892" s="292"/>
      <c r="BG892" s="292"/>
      <c r="BH892" s="292"/>
      <c r="BI892" s="292"/>
      <c r="BJ892" s="292"/>
      <c r="BK892" s="292"/>
      <c r="BL892" s="292"/>
      <c r="BM892" s="292"/>
      <c r="BN892" s="292"/>
      <c r="BO892" s="292"/>
      <c r="BP892" s="292"/>
      <c r="BQ892" s="292"/>
      <c r="BR892" s="292"/>
      <c r="BS892" s="292"/>
      <c r="BT892" s="292"/>
      <c r="BU892" s="292"/>
      <c r="BV892" s="292"/>
      <c r="BW892" s="292"/>
    </row>
    <row r="893">
      <c r="A893" s="292"/>
      <c r="B893" s="292" t="str">
        <f>IFERROR(__xludf.DUMMYFUNCTION("""COMPUTED_VALUE"""),"")</f>
        <v/>
      </c>
      <c r="C893" s="292"/>
      <c r="D893" s="292" t="str">
        <f>IFERROR(__xludf.DUMMYFUNCTION("""COMPUTED_VALUE"""),"")</f>
        <v/>
      </c>
      <c r="E893" s="292" t="str">
        <f>IFERROR(__xludf.DUMMYFUNCTION("""COMPUTED_VALUE"""),"")</f>
        <v/>
      </c>
      <c r="F893" s="292"/>
      <c r="G893" s="292" t="str">
        <f>IFERROR(__xludf.DUMMYFUNCTION("""COMPUTED_VALUE"""),"")</f>
        <v/>
      </c>
      <c r="H893" s="292" t="str">
        <f>IFERROR(__xludf.DUMMYFUNCTION("""COMPUTED_VALUE"""),"")</f>
        <v/>
      </c>
      <c r="I893" s="292"/>
      <c r="J893" s="292"/>
      <c r="K893" s="292"/>
      <c r="L893" s="292"/>
      <c r="M893" s="292" t="str">
        <f>IFERROR(__xludf.DUMMYFUNCTION("""COMPUTED_VALUE"""),"")</f>
        <v/>
      </c>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c r="AK893" s="292"/>
      <c r="AL893" s="292"/>
      <c r="AM893" s="292"/>
      <c r="AN893" s="292"/>
      <c r="AO893" s="292"/>
      <c r="AP893" s="292"/>
      <c r="AQ893" s="292"/>
      <c r="AR893" s="292"/>
      <c r="AS893" s="292"/>
      <c r="AT893" s="292"/>
      <c r="AU893" s="292"/>
      <c r="AV893" s="292"/>
      <c r="AW893" s="292"/>
      <c r="AX893" s="292"/>
      <c r="AY893" s="292"/>
      <c r="AZ893" s="292"/>
      <c r="BA893" s="292"/>
      <c r="BB893" s="292"/>
      <c r="BC893" s="292"/>
      <c r="BD893" s="292"/>
      <c r="BE893" s="292"/>
      <c r="BF893" s="292"/>
      <c r="BG893" s="292"/>
      <c r="BH893" s="292"/>
      <c r="BI893" s="292"/>
      <c r="BJ893" s="292"/>
      <c r="BK893" s="292"/>
      <c r="BL893" s="292"/>
      <c r="BM893" s="292"/>
      <c r="BN893" s="292"/>
      <c r="BO893" s="292"/>
      <c r="BP893" s="292"/>
      <c r="BQ893" s="292"/>
      <c r="BR893" s="292"/>
      <c r="BS893" s="292"/>
      <c r="BT893" s="292"/>
      <c r="BU893" s="292"/>
      <c r="BV893" s="292"/>
      <c r="BW893" s="292"/>
    </row>
    <row r="894">
      <c r="A894" s="292"/>
      <c r="B894" s="292" t="str">
        <f>IFERROR(__xludf.DUMMYFUNCTION("""COMPUTED_VALUE"""),"")</f>
        <v/>
      </c>
      <c r="C894" s="292"/>
      <c r="D894" s="292" t="str">
        <f>IFERROR(__xludf.DUMMYFUNCTION("""COMPUTED_VALUE"""),"")</f>
        <v/>
      </c>
      <c r="E894" s="292" t="str">
        <f>IFERROR(__xludf.DUMMYFUNCTION("""COMPUTED_VALUE"""),"")</f>
        <v/>
      </c>
      <c r="F894" s="292"/>
      <c r="G894" s="292" t="str">
        <f>IFERROR(__xludf.DUMMYFUNCTION("""COMPUTED_VALUE"""),"")</f>
        <v/>
      </c>
      <c r="H894" s="292" t="str">
        <f>IFERROR(__xludf.DUMMYFUNCTION("""COMPUTED_VALUE"""),"")</f>
        <v/>
      </c>
      <c r="I894" s="292"/>
      <c r="J894" s="292"/>
      <c r="K894" s="292"/>
      <c r="L894" s="292"/>
      <c r="M894" s="292" t="str">
        <f>IFERROR(__xludf.DUMMYFUNCTION("""COMPUTED_VALUE"""),"")</f>
        <v/>
      </c>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c r="AK894" s="292"/>
      <c r="AL894" s="292"/>
      <c r="AM894" s="292"/>
      <c r="AN894" s="292"/>
      <c r="AO894" s="292"/>
      <c r="AP894" s="292"/>
      <c r="AQ894" s="292"/>
      <c r="AR894" s="292"/>
      <c r="AS894" s="292"/>
      <c r="AT894" s="292"/>
      <c r="AU894" s="292"/>
      <c r="AV894" s="292"/>
      <c r="AW894" s="292"/>
      <c r="AX894" s="292"/>
      <c r="AY894" s="292"/>
      <c r="AZ894" s="292"/>
      <c r="BA894" s="292"/>
      <c r="BB894" s="292"/>
      <c r="BC894" s="292"/>
      <c r="BD894" s="292"/>
      <c r="BE894" s="292"/>
      <c r="BF894" s="292"/>
      <c r="BG894" s="292"/>
      <c r="BH894" s="292"/>
      <c r="BI894" s="292"/>
      <c r="BJ894" s="292"/>
      <c r="BK894" s="292"/>
      <c r="BL894" s="292"/>
      <c r="BM894" s="292"/>
      <c r="BN894" s="292"/>
      <c r="BO894" s="292"/>
      <c r="BP894" s="292"/>
      <c r="BQ894" s="292"/>
      <c r="BR894" s="292"/>
      <c r="BS894" s="292"/>
      <c r="BT894" s="292"/>
      <c r="BU894" s="292"/>
      <c r="BV894" s="292"/>
      <c r="BW894" s="292"/>
    </row>
    <row r="895">
      <c r="A895" s="292"/>
      <c r="B895" s="292" t="str">
        <f>IFERROR(__xludf.DUMMYFUNCTION("""COMPUTED_VALUE"""),"")</f>
        <v/>
      </c>
      <c r="C895" s="292"/>
      <c r="D895" s="292" t="str">
        <f>IFERROR(__xludf.DUMMYFUNCTION("""COMPUTED_VALUE"""),"")</f>
        <v/>
      </c>
      <c r="E895" s="292" t="str">
        <f>IFERROR(__xludf.DUMMYFUNCTION("""COMPUTED_VALUE"""),"")</f>
        <v/>
      </c>
      <c r="F895" s="292"/>
      <c r="G895" s="292" t="str">
        <f>IFERROR(__xludf.DUMMYFUNCTION("""COMPUTED_VALUE"""),"")</f>
        <v/>
      </c>
      <c r="H895" s="292" t="str">
        <f>IFERROR(__xludf.DUMMYFUNCTION("""COMPUTED_VALUE"""),"")</f>
        <v/>
      </c>
      <c r="I895" s="292"/>
      <c r="J895" s="292"/>
      <c r="K895" s="292"/>
      <c r="L895" s="292"/>
      <c r="M895" s="292" t="str">
        <f>IFERROR(__xludf.DUMMYFUNCTION("""COMPUTED_VALUE"""),"")</f>
        <v/>
      </c>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c r="AK895" s="292"/>
      <c r="AL895" s="292"/>
      <c r="AM895" s="292"/>
      <c r="AN895" s="292"/>
      <c r="AO895" s="292"/>
      <c r="AP895" s="292"/>
      <c r="AQ895" s="292"/>
      <c r="AR895" s="292"/>
      <c r="AS895" s="292"/>
      <c r="AT895" s="292"/>
      <c r="AU895" s="292"/>
      <c r="AV895" s="292"/>
      <c r="AW895" s="292"/>
      <c r="AX895" s="292"/>
      <c r="AY895" s="292"/>
      <c r="AZ895" s="292"/>
      <c r="BA895" s="292"/>
      <c r="BB895" s="292"/>
      <c r="BC895" s="292"/>
      <c r="BD895" s="292"/>
      <c r="BE895" s="292"/>
      <c r="BF895" s="292"/>
      <c r="BG895" s="292"/>
      <c r="BH895" s="292"/>
      <c r="BI895" s="292"/>
      <c r="BJ895" s="292"/>
      <c r="BK895" s="292"/>
      <c r="BL895" s="292"/>
      <c r="BM895" s="292"/>
      <c r="BN895" s="292"/>
      <c r="BO895" s="292"/>
      <c r="BP895" s="292"/>
      <c r="BQ895" s="292"/>
      <c r="BR895" s="292"/>
      <c r="BS895" s="292"/>
      <c r="BT895" s="292"/>
      <c r="BU895" s="292"/>
      <c r="BV895" s="292"/>
      <c r="BW895" s="292"/>
    </row>
    <row r="896">
      <c r="A896" s="292"/>
      <c r="B896" s="292" t="str">
        <f>IFERROR(__xludf.DUMMYFUNCTION("""COMPUTED_VALUE"""),"")</f>
        <v/>
      </c>
      <c r="C896" s="292"/>
      <c r="D896" s="292" t="str">
        <f>IFERROR(__xludf.DUMMYFUNCTION("""COMPUTED_VALUE"""),"")</f>
        <v/>
      </c>
      <c r="E896" s="292" t="str">
        <f>IFERROR(__xludf.DUMMYFUNCTION("""COMPUTED_VALUE"""),"")</f>
        <v/>
      </c>
      <c r="F896" s="292"/>
      <c r="G896" s="292" t="str">
        <f>IFERROR(__xludf.DUMMYFUNCTION("""COMPUTED_VALUE"""),"")</f>
        <v/>
      </c>
      <c r="H896" s="292" t="str">
        <f>IFERROR(__xludf.DUMMYFUNCTION("""COMPUTED_VALUE"""),"")</f>
        <v/>
      </c>
      <c r="I896" s="292"/>
      <c r="J896" s="292"/>
      <c r="K896" s="292"/>
      <c r="L896" s="292"/>
      <c r="M896" s="292" t="str">
        <f>IFERROR(__xludf.DUMMYFUNCTION("""COMPUTED_VALUE"""),"")</f>
        <v/>
      </c>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c r="AK896" s="292"/>
      <c r="AL896" s="292"/>
      <c r="AM896" s="292"/>
      <c r="AN896" s="292"/>
      <c r="AO896" s="292"/>
      <c r="AP896" s="292"/>
      <c r="AQ896" s="292"/>
      <c r="AR896" s="292"/>
      <c r="AS896" s="292"/>
      <c r="AT896" s="292"/>
      <c r="AU896" s="292"/>
      <c r="AV896" s="292"/>
      <c r="AW896" s="292"/>
      <c r="AX896" s="292"/>
      <c r="AY896" s="292"/>
      <c r="AZ896" s="292"/>
      <c r="BA896" s="292"/>
      <c r="BB896" s="292"/>
      <c r="BC896" s="292"/>
      <c r="BD896" s="292"/>
      <c r="BE896" s="292"/>
      <c r="BF896" s="292"/>
      <c r="BG896" s="292"/>
      <c r="BH896" s="292"/>
      <c r="BI896" s="292"/>
      <c r="BJ896" s="292"/>
      <c r="BK896" s="292"/>
      <c r="BL896" s="292"/>
      <c r="BM896" s="292"/>
      <c r="BN896" s="292"/>
      <c r="BO896" s="292"/>
      <c r="BP896" s="292"/>
      <c r="BQ896" s="292"/>
      <c r="BR896" s="292"/>
      <c r="BS896" s="292"/>
      <c r="BT896" s="292"/>
      <c r="BU896" s="292"/>
      <c r="BV896" s="292"/>
      <c r="BW896" s="292"/>
    </row>
    <row r="897">
      <c r="A897" s="292"/>
      <c r="B897" s="292" t="str">
        <f>IFERROR(__xludf.DUMMYFUNCTION("""COMPUTED_VALUE"""),"")</f>
        <v/>
      </c>
      <c r="C897" s="292"/>
      <c r="D897" s="292" t="str">
        <f>IFERROR(__xludf.DUMMYFUNCTION("""COMPUTED_VALUE"""),"")</f>
        <v/>
      </c>
      <c r="E897" s="292" t="str">
        <f>IFERROR(__xludf.DUMMYFUNCTION("""COMPUTED_VALUE"""),"")</f>
        <v/>
      </c>
      <c r="F897" s="292"/>
      <c r="G897" s="292" t="str">
        <f>IFERROR(__xludf.DUMMYFUNCTION("""COMPUTED_VALUE"""),"")</f>
        <v/>
      </c>
      <c r="H897" s="292" t="str">
        <f>IFERROR(__xludf.DUMMYFUNCTION("""COMPUTED_VALUE"""),"")</f>
        <v/>
      </c>
      <c r="I897" s="292"/>
      <c r="J897" s="292"/>
      <c r="K897" s="292"/>
      <c r="L897" s="292"/>
      <c r="M897" s="292" t="str">
        <f>IFERROR(__xludf.DUMMYFUNCTION("""COMPUTED_VALUE"""),"")</f>
        <v/>
      </c>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c r="AK897" s="292"/>
      <c r="AL897" s="292"/>
      <c r="AM897" s="292"/>
      <c r="AN897" s="292"/>
      <c r="AO897" s="292"/>
      <c r="AP897" s="292"/>
      <c r="AQ897" s="292"/>
      <c r="AR897" s="292"/>
      <c r="AS897" s="292"/>
      <c r="AT897" s="292"/>
      <c r="AU897" s="292"/>
      <c r="AV897" s="292"/>
      <c r="AW897" s="292"/>
      <c r="AX897" s="292"/>
      <c r="AY897" s="292"/>
      <c r="AZ897" s="292"/>
      <c r="BA897" s="292"/>
      <c r="BB897" s="292"/>
      <c r="BC897" s="292"/>
      <c r="BD897" s="292"/>
      <c r="BE897" s="292"/>
      <c r="BF897" s="292"/>
      <c r="BG897" s="292"/>
      <c r="BH897" s="292"/>
      <c r="BI897" s="292"/>
      <c r="BJ897" s="292"/>
      <c r="BK897" s="292"/>
      <c r="BL897" s="292"/>
      <c r="BM897" s="292"/>
      <c r="BN897" s="292"/>
      <c r="BO897" s="292"/>
      <c r="BP897" s="292"/>
      <c r="BQ897" s="292"/>
      <c r="BR897" s="292"/>
      <c r="BS897" s="292"/>
      <c r="BT897" s="292"/>
      <c r="BU897" s="292"/>
      <c r="BV897" s="292"/>
      <c r="BW897" s="292"/>
    </row>
    <row r="898">
      <c r="A898" s="292"/>
      <c r="B898" s="292" t="str">
        <f>IFERROR(__xludf.DUMMYFUNCTION("""COMPUTED_VALUE"""),"")</f>
        <v/>
      </c>
      <c r="C898" s="292"/>
      <c r="D898" s="292" t="str">
        <f>IFERROR(__xludf.DUMMYFUNCTION("""COMPUTED_VALUE"""),"")</f>
        <v/>
      </c>
      <c r="E898" s="292" t="str">
        <f>IFERROR(__xludf.DUMMYFUNCTION("""COMPUTED_VALUE"""),"")</f>
        <v/>
      </c>
      <c r="F898" s="292"/>
      <c r="G898" s="292" t="str">
        <f>IFERROR(__xludf.DUMMYFUNCTION("""COMPUTED_VALUE"""),"")</f>
        <v/>
      </c>
      <c r="H898" s="292" t="str">
        <f>IFERROR(__xludf.DUMMYFUNCTION("""COMPUTED_VALUE"""),"")</f>
        <v/>
      </c>
      <c r="I898" s="292"/>
      <c r="J898" s="292"/>
      <c r="K898" s="292"/>
      <c r="L898" s="292"/>
      <c r="M898" s="292" t="str">
        <f>IFERROR(__xludf.DUMMYFUNCTION("""COMPUTED_VALUE"""),"")</f>
        <v/>
      </c>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c r="AK898" s="292"/>
      <c r="AL898" s="292"/>
      <c r="AM898" s="292"/>
      <c r="AN898" s="292"/>
      <c r="AO898" s="292"/>
      <c r="AP898" s="292"/>
      <c r="AQ898" s="292"/>
      <c r="AR898" s="292"/>
      <c r="AS898" s="292"/>
      <c r="AT898" s="292"/>
      <c r="AU898" s="292"/>
      <c r="AV898" s="292"/>
      <c r="AW898" s="292"/>
      <c r="AX898" s="292"/>
      <c r="AY898" s="292"/>
      <c r="AZ898" s="292"/>
      <c r="BA898" s="292"/>
      <c r="BB898" s="292"/>
      <c r="BC898" s="292"/>
      <c r="BD898" s="292"/>
      <c r="BE898" s="292"/>
      <c r="BF898" s="292"/>
      <c r="BG898" s="292"/>
      <c r="BH898" s="292"/>
      <c r="BI898" s="292"/>
      <c r="BJ898" s="292"/>
      <c r="BK898" s="292"/>
      <c r="BL898" s="292"/>
      <c r="BM898" s="292"/>
      <c r="BN898" s="292"/>
      <c r="BO898" s="292"/>
      <c r="BP898" s="292"/>
      <c r="BQ898" s="292"/>
      <c r="BR898" s="292"/>
      <c r="BS898" s="292"/>
      <c r="BT898" s="292"/>
      <c r="BU898" s="292"/>
      <c r="BV898" s="292"/>
      <c r="BW898" s="292"/>
    </row>
    <row r="899">
      <c r="A899" s="292"/>
      <c r="B899" s="292" t="str">
        <f>IFERROR(__xludf.DUMMYFUNCTION("""COMPUTED_VALUE"""),"")</f>
        <v/>
      </c>
      <c r="C899" s="292"/>
      <c r="D899" s="292" t="str">
        <f>IFERROR(__xludf.DUMMYFUNCTION("""COMPUTED_VALUE"""),"")</f>
        <v/>
      </c>
      <c r="E899" s="292" t="str">
        <f>IFERROR(__xludf.DUMMYFUNCTION("""COMPUTED_VALUE"""),"")</f>
        <v/>
      </c>
      <c r="F899" s="292"/>
      <c r="G899" s="292" t="str">
        <f>IFERROR(__xludf.DUMMYFUNCTION("""COMPUTED_VALUE"""),"")</f>
        <v/>
      </c>
      <c r="H899" s="292" t="str">
        <f>IFERROR(__xludf.DUMMYFUNCTION("""COMPUTED_VALUE"""),"")</f>
        <v/>
      </c>
      <c r="I899" s="292"/>
      <c r="J899" s="292"/>
      <c r="K899" s="292"/>
      <c r="L899" s="292"/>
      <c r="M899" s="292" t="str">
        <f>IFERROR(__xludf.DUMMYFUNCTION("""COMPUTED_VALUE"""),"")</f>
        <v/>
      </c>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c r="AK899" s="292"/>
      <c r="AL899" s="292"/>
      <c r="AM899" s="292"/>
      <c r="AN899" s="292"/>
      <c r="AO899" s="292"/>
      <c r="AP899" s="292"/>
      <c r="AQ899" s="292"/>
      <c r="AR899" s="292"/>
      <c r="AS899" s="292"/>
      <c r="AT899" s="292"/>
      <c r="AU899" s="292"/>
      <c r="AV899" s="292"/>
      <c r="AW899" s="292"/>
      <c r="AX899" s="292"/>
      <c r="AY899" s="292"/>
      <c r="AZ899" s="292"/>
      <c r="BA899" s="292"/>
      <c r="BB899" s="292"/>
      <c r="BC899" s="292"/>
      <c r="BD899" s="292"/>
      <c r="BE899" s="292"/>
      <c r="BF899" s="292"/>
      <c r="BG899" s="292"/>
      <c r="BH899" s="292"/>
      <c r="BI899" s="292"/>
      <c r="BJ899" s="292"/>
      <c r="BK899" s="292"/>
      <c r="BL899" s="292"/>
      <c r="BM899" s="292"/>
      <c r="BN899" s="292"/>
      <c r="BO899" s="292"/>
      <c r="BP899" s="292"/>
      <c r="BQ899" s="292"/>
      <c r="BR899" s="292"/>
      <c r="BS899" s="292"/>
      <c r="BT899" s="292"/>
      <c r="BU899" s="292"/>
      <c r="BV899" s="292"/>
      <c r="BW899" s="292"/>
    </row>
    <row r="900">
      <c r="A900" s="292"/>
      <c r="B900" s="292" t="str">
        <f>IFERROR(__xludf.DUMMYFUNCTION("""COMPUTED_VALUE"""),"")</f>
        <v/>
      </c>
      <c r="C900" s="292"/>
      <c r="D900" s="292" t="str">
        <f>IFERROR(__xludf.DUMMYFUNCTION("""COMPUTED_VALUE"""),"")</f>
        <v/>
      </c>
      <c r="E900" s="292" t="str">
        <f>IFERROR(__xludf.DUMMYFUNCTION("""COMPUTED_VALUE"""),"")</f>
        <v/>
      </c>
      <c r="F900" s="292"/>
      <c r="G900" s="292" t="str">
        <f>IFERROR(__xludf.DUMMYFUNCTION("""COMPUTED_VALUE"""),"")</f>
        <v/>
      </c>
      <c r="H900" s="292" t="str">
        <f>IFERROR(__xludf.DUMMYFUNCTION("""COMPUTED_VALUE"""),"")</f>
        <v/>
      </c>
      <c r="I900" s="292"/>
      <c r="J900" s="292"/>
      <c r="K900" s="292"/>
      <c r="L900" s="292"/>
      <c r="M900" s="292" t="str">
        <f>IFERROR(__xludf.DUMMYFUNCTION("""COMPUTED_VALUE"""),"")</f>
        <v/>
      </c>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c r="AK900" s="292"/>
      <c r="AL900" s="292"/>
      <c r="AM900" s="292"/>
      <c r="AN900" s="292"/>
      <c r="AO900" s="292"/>
      <c r="AP900" s="292"/>
      <c r="AQ900" s="292"/>
      <c r="AR900" s="292"/>
      <c r="AS900" s="292"/>
      <c r="AT900" s="292"/>
      <c r="AU900" s="292"/>
      <c r="AV900" s="292"/>
      <c r="AW900" s="292"/>
      <c r="AX900" s="292"/>
      <c r="AY900" s="292"/>
      <c r="AZ900" s="292"/>
      <c r="BA900" s="292"/>
      <c r="BB900" s="292"/>
      <c r="BC900" s="292"/>
      <c r="BD900" s="292"/>
      <c r="BE900" s="292"/>
      <c r="BF900" s="292"/>
      <c r="BG900" s="292"/>
      <c r="BH900" s="292"/>
      <c r="BI900" s="292"/>
      <c r="BJ900" s="292"/>
      <c r="BK900" s="292"/>
      <c r="BL900" s="292"/>
      <c r="BM900" s="292"/>
      <c r="BN900" s="292"/>
      <c r="BO900" s="292"/>
      <c r="BP900" s="292"/>
      <c r="BQ900" s="292"/>
      <c r="BR900" s="292"/>
      <c r="BS900" s="292"/>
      <c r="BT900" s="292"/>
      <c r="BU900" s="292"/>
      <c r="BV900" s="292"/>
      <c r="BW900" s="292"/>
    </row>
    <row r="901">
      <c r="A901" s="292"/>
      <c r="B901" s="292" t="str">
        <f>IFERROR(__xludf.DUMMYFUNCTION("""COMPUTED_VALUE"""),"")</f>
        <v/>
      </c>
      <c r="C901" s="292"/>
      <c r="D901" s="292" t="str">
        <f>IFERROR(__xludf.DUMMYFUNCTION("""COMPUTED_VALUE"""),"")</f>
        <v/>
      </c>
      <c r="E901" s="292" t="str">
        <f>IFERROR(__xludf.DUMMYFUNCTION("""COMPUTED_VALUE"""),"")</f>
        <v/>
      </c>
      <c r="F901" s="292"/>
      <c r="G901" s="292" t="str">
        <f>IFERROR(__xludf.DUMMYFUNCTION("""COMPUTED_VALUE"""),"")</f>
        <v/>
      </c>
      <c r="H901" s="292" t="str">
        <f>IFERROR(__xludf.DUMMYFUNCTION("""COMPUTED_VALUE"""),"")</f>
        <v/>
      </c>
      <c r="I901" s="292"/>
      <c r="J901" s="292"/>
      <c r="K901" s="292"/>
      <c r="L901" s="292"/>
      <c r="M901" s="292" t="str">
        <f>IFERROR(__xludf.DUMMYFUNCTION("""COMPUTED_VALUE"""),"")</f>
        <v/>
      </c>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c r="AK901" s="292"/>
      <c r="AL901" s="292"/>
      <c r="AM901" s="292"/>
      <c r="AN901" s="292"/>
      <c r="AO901" s="292"/>
      <c r="AP901" s="292"/>
      <c r="AQ901" s="292"/>
      <c r="AR901" s="292"/>
      <c r="AS901" s="292"/>
      <c r="AT901" s="292"/>
      <c r="AU901" s="292"/>
      <c r="AV901" s="292"/>
      <c r="AW901" s="292"/>
      <c r="AX901" s="292"/>
      <c r="AY901" s="292"/>
      <c r="AZ901" s="292"/>
      <c r="BA901" s="292"/>
      <c r="BB901" s="292"/>
      <c r="BC901" s="292"/>
      <c r="BD901" s="292"/>
      <c r="BE901" s="292"/>
      <c r="BF901" s="292"/>
      <c r="BG901" s="292"/>
      <c r="BH901" s="292"/>
      <c r="BI901" s="292"/>
      <c r="BJ901" s="292"/>
      <c r="BK901" s="292"/>
      <c r="BL901" s="292"/>
      <c r="BM901" s="292"/>
      <c r="BN901" s="292"/>
      <c r="BO901" s="292"/>
      <c r="BP901" s="292"/>
      <c r="BQ901" s="292"/>
      <c r="BR901" s="292"/>
      <c r="BS901" s="292"/>
      <c r="BT901" s="292"/>
      <c r="BU901" s="292"/>
      <c r="BV901" s="292"/>
      <c r="BW901" s="292"/>
    </row>
    <row r="902">
      <c r="A902" s="292"/>
      <c r="B902" s="292" t="str">
        <f>IFERROR(__xludf.DUMMYFUNCTION("""COMPUTED_VALUE"""),"")</f>
        <v/>
      </c>
      <c r="C902" s="292"/>
      <c r="D902" s="292" t="str">
        <f>IFERROR(__xludf.DUMMYFUNCTION("""COMPUTED_VALUE"""),"")</f>
        <v/>
      </c>
      <c r="E902" s="292" t="str">
        <f>IFERROR(__xludf.DUMMYFUNCTION("""COMPUTED_VALUE"""),"")</f>
        <v/>
      </c>
      <c r="F902" s="292"/>
      <c r="G902" s="292" t="str">
        <f>IFERROR(__xludf.DUMMYFUNCTION("""COMPUTED_VALUE"""),"")</f>
        <v/>
      </c>
      <c r="H902" s="292" t="str">
        <f>IFERROR(__xludf.DUMMYFUNCTION("""COMPUTED_VALUE"""),"")</f>
        <v/>
      </c>
      <c r="I902" s="292"/>
      <c r="J902" s="292"/>
      <c r="K902" s="292"/>
      <c r="L902" s="292"/>
      <c r="M902" s="292" t="str">
        <f>IFERROR(__xludf.DUMMYFUNCTION("""COMPUTED_VALUE"""),"")</f>
        <v/>
      </c>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c r="AK902" s="292"/>
      <c r="AL902" s="292"/>
      <c r="AM902" s="292"/>
      <c r="AN902" s="292"/>
      <c r="AO902" s="292"/>
      <c r="AP902" s="292"/>
      <c r="AQ902" s="292"/>
      <c r="AR902" s="292"/>
      <c r="AS902" s="292"/>
      <c r="AT902" s="292"/>
      <c r="AU902" s="292"/>
      <c r="AV902" s="292"/>
      <c r="AW902" s="292"/>
      <c r="AX902" s="292"/>
      <c r="AY902" s="292"/>
      <c r="AZ902" s="292"/>
      <c r="BA902" s="292"/>
      <c r="BB902" s="292"/>
      <c r="BC902" s="292"/>
      <c r="BD902" s="292"/>
      <c r="BE902" s="292"/>
      <c r="BF902" s="292"/>
      <c r="BG902" s="292"/>
      <c r="BH902" s="292"/>
      <c r="BI902" s="292"/>
      <c r="BJ902" s="292"/>
      <c r="BK902" s="292"/>
      <c r="BL902" s="292"/>
      <c r="BM902" s="292"/>
      <c r="BN902" s="292"/>
      <c r="BO902" s="292"/>
      <c r="BP902" s="292"/>
      <c r="BQ902" s="292"/>
      <c r="BR902" s="292"/>
      <c r="BS902" s="292"/>
      <c r="BT902" s="292"/>
      <c r="BU902" s="292"/>
      <c r="BV902" s="292"/>
      <c r="BW902" s="292"/>
    </row>
    <row r="903">
      <c r="A903" s="292"/>
      <c r="B903" s="292" t="str">
        <f>IFERROR(__xludf.DUMMYFUNCTION("""COMPUTED_VALUE"""),"")</f>
        <v/>
      </c>
      <c r="C903" s="292"/>
      <c r="D903" s="292" t="str">
        <f>IFERROR(__xludf.DUMMYFUNCTION("""COMPUTED_VALUE"""),"")</f>
        <v/>
      </c>
      <c r="E903" s="292" t="str">
        <f>IFERROR(__xludf.DUMMYFUNCTION("""COMPUTED_VALUE"""),"")</f>
        <v/>
      </c>
      <c r="F903" s="292"/>
      <c r="G903" s="292" t="str">
        <f>IFERROR(__xludf.DUMMYFUNCTION("""COMPUTED_VALUE"""),"")</f>
        <v/>
      </c>
      <c r="H903" s="292" t="str">
        <f>IFERROR(__xludf.DUMMYFUNCTION("""COMPUTED_VALUE"""),"")</f>
        <v/>
      </c>
      <c r="I903" s="292"/>
      <c r="J903" s="292"/>
      <c r="K903" s="292"/>
      <c r="L903" s="292"/>
      <c r="M903" s="292" t="str">
        <f>IFERROR(__xludf.DUMMYFUNCTION("""COMPUTED_VALUE"""),"")</f>
        <v/>
      </c>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c r="AK903" s="292"/>
      <c r="AL903" s="292"/>
      <c r="AM903" s="292"/>
      <c r="AN903" s="292"/>
      <c r="AO903" s="292"/>
      <c r="AP903" s="292"/>
      <c r="AQ903" s="292"/>
      <c r="AR903" s="292"/>
      <c r="AS903" s="292"/>
      <c r="AT903" s="292"/>
      <c r="AU903" s="292"/>
      <c r="AV903" s="292"/>
      <c r="AW903" s="292"/>
      <c r="AX903" s="292"/>
      <c r="AY903" s="292"/>
      <c r="AZ903" s="292"/>
      <c r="BA903" s="292"/>
      <c r="BB903" s="292"/>
      <c r="BC903" s="292"/>
      <c r="BD903" s="292"/>
      <c r="BE903" s="292"/>
      <c r="BF903" s="292"/>
      <c r="BG903" s="292"/>
      <c r="BH903" s="292"/>
      <c r="BI903" s="292"/>
      <c r="BJ903" s="292"/>
      <c r="BK903" s="292"/>
      <c r="BL903" s="292"/>
      <c r="BM903" s="292"/>
      <c r="BN903" s="292"/>
      <c r="BO903" s="292"/>
      <c r="BP903" s="292"/>
      <c r="BQ903" s="292"/>
      <c r="BR903" s="292"/>
      <c r="BS903" s="292"/>
      <c r="BT903" s="292"/>
      <c r="BU903" s="292"/>
      <c r="BV903" s="292"/>
      <c r="BW903" s="292"/>
    </row>
    <row r="904">
      <c r="A904" s="292"/>
      <c r="B904" s="292" t="str">
        <f>IFERROR(__xludf.DUMMYFUNCTION("""COMPUTED_VALUE"""),"")</f>
        <v/>
      </c>
      <c r="C904" s="292"/>
      <c r="D904" s="292" t="str">
        <f>IFERROR(__xludf.DUMMYFUNCTION("""COMPUTED_VALUE"""),"")</f>
        <v/>
      </c>
      <c r="E904" s="292" t="str">
        <f>IFERROR(__xludf.DUMMYFUNCTION("""COMPUTED_VALUE"""),"")</f>
        <v/>
      </c>
      <c r="F904" s="292"/>
      <c r="G904" s="292" t="str">
        <f>IFERROR(__xludf.DUMMYFUNCTION("""COMPUTED_VALUE"""),"")</f>
        <v/>
      </c>
      <c r="H904" s="292" t="str">
        <f>IFERROR(__xludf.DUMMYFUNCTION("""COMPUTED_VALUE"""),"")</f>
        <v/>
      </c>
      <c r="I904" s="292"/>
      <c r="J904" s="292"/>
      <c r="K904" s="292"/>
      <c r="L904" s="292"/>
      <c r="M904" s="292" t="str">
        <f>IFERROR(__xludf.DUMMYFUNCTION("""COMPUTED_VALUE"""),"")</f>
        <v/>
      </c>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c r="AK904" s="292"/>
      <c r="AL904" s="292"/>
      <c r="AM904" s="292"/>
      <c r="AN904" s="292"/>
      <c r="AO904" s="292"/>
      <c r="AP904" s="292"/>
      <c r="AQ904" s="292"/>
      <c r="AR904" s="292"/>
      <c r="AS904" s="292"/>
      <c r="AT904" s="292"/>
      <c r="AU904" s="292"/>
      <c r="AV904" s="292"/>
      <c r="AW904" s="292"/>
      <c r="AX904" s="292"/>
      <c r="AY904" s="292"/>
      <c r="AZ904" s="292"/>
      <c r="BA904" s="292"/>
      <c r="BB904" s="292"/>
      <c r="BC904" s="292"/>
      <c r="BD904" s="292"/>
      <c r="BE904" s="292"/>
      <c r="BF904" s="292"/>
      <c r="BG904" s="292"/>
      <c r="BH904" s="292"/>
      <c r="BI904" s="292"/>
      <c r="BJ904" s="292"/>
      <c r="BK904" s="292"/>
      <c r="BL904" s="292"/>
      <c r="BM904" s="292"/>
      <c r="BN904" s="292"/>
      <c r="BO904" s="292"/>
      <c r="BP904" s="292"/>
      <c r="BQ904" s="292"/>
      <c r="BR904" s="292"/>
      <c r="BS904" s="292"/>
      <c r="BT904" s="292"/>
      <c r="BU904" s="292"/>
      <c r="BV904" s="292"/>
      <c r="BW904" s="292"/>
    </row>
    <row r="905">
      <c r="A905" s="292"/>
      <c r="B905" s="292" t="str">
        <f>IFERROR(__xludf.DUMMYFUNCTION("""COMPUTED_VALUE"""),"")</f>
        <v/>
      </c>
      <c r="C905" s="292"/>
      <c r="D905" s="292" t="str">
        <f>IFERROR(__xludf.DUMMYFUNCTION("""COMPUTED_VALUE"""),"")</f>
        <v/>
      </c>
      <c r="E905" s="292" t="str">
        <f>IFERROR(__xludf.DUMMYFUNCTION("""COMPUTED_VALUE"""),"")</f>
        <v/>
      </c>
      <c r="F905" s="292"/>
      <c r="G905" s="292" t="str">
        <f>IFERROR(__xludf.DUMMYFUNCTION("""COMPUTED_VALUE"""),"")</f>
        <v/>
      </c>
      <c r="H905" s="292" t="str">
        <f>IFERROR(__xludf.DUMMYFUNCTION("""COMPUTED_VALUE"""),"")</f>
        <v/>
      </c>
      <c r="I905" s="292"/>
      <c r="J905" s="292"/>
      <c r="K905" s="292"/>
      <c r="L905" s="292"/>
      <c r="M905" s="292" t="str">
        <f>IFERROR(__xludf.DUMMYFUNCTION("""COMPUTED_VALUE"""),"")</f>
        <v/>
      </c>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c r="AK905" s="292"/>
      <c r="AL905" s="292"/>
      <c r="AM905" s="292"/>
      <c r="AN905" s="292"/>
      <c r="AO905" s="292"/>
      <c r="AP905" s="292"/>
      <c r="AQ905" s="292"/>
      <c r="AR905" s="292"/>
      <c r="AS905" s="292"/>
      <c r="AT905" s="292"/>
      <c r="AU905" s="292"/>
      <c r="AV905" s="292"/>
      <c r="AW905" s="292"/>
      <c r="AX905" s="292"/>
      <c r="AY905" s="292"/>
      <c r="AZ905" s="292"/>
      <c r="BA905" s="292"/>
      <c r="BB905" s="292"/>
      <c r="BC905" s="292"/>
      <c r="BD905" s="292"/>
      <c r="BE905" s="292"/>
      <c r="BF905" s="292"/>
      <c r="BG905" s="292"/>
      <c r="BH905" s="292"/>
      <c r="BI905" s="292"/>
      <c r="BJ905" s="292"/>
      <c r="BK905" s="292"/>
      <c r="BL905" s="292"/>
      <c r="BM905" s="292"/>
      <c r="BN905" s="292"/>
      <c r="BO905" s="292"/>
      <c r="BP905" s="292"/>
      <c r="BQ905" s="292"/>
      <c r="BR905" s="292"/>
      <c r="BS905" s="292"/>
      <c r="BT905" s="292"/>
      <c r="BU905" s="292"/>
      <c r="BV905" s="292"/>
      <c r="BW905" s="292"/>
    </row>
    <row r="906">
      <c r="A906" s="292"/>
      <c r="B906" s="292" t="str">
        <f>IFERROR(__xludf.DUMMYFUNCTION("""COMPUTED_VALUE"""),"")</f>
        <v/>
      </c>
      <c r="C906" s="292"/>
      <c r="D906" s="292" t="str">
        <f>IFERROR(__xludf.DUMMYFUNCTION("""COMPUTED_VALUE"""),"")</f>
        <v/>
      </c>
      <c r="E906" s="292" t="str">
        <f>IFERROR(__xludf.DUMMYFUNCTION("""COMPUTED_VALUE"""),"")</f>
        <v/>
      </c>
      <c r="F906" s="292"/>
      <c r="G906" s="292" t="str">
        <f>IFERROR(__xludf.DUMMYFUNCTION("""COMPUTED_VALUE"""),"")</f>
        <v/>
      </c>
      <c r="H906" s="292" t="str">
        <f>IFERROR(__xludf.DUMMYFUNCTION("""COMPUTED_VALUE"""),"")</f>
        <v/>
      </c>
      <c r="I906" s="292"/>
      <c r="J906" s="292"/>
      <c r="K906" s="292"/>
      <c r="L906" s="292"/>
      <c r="M906" s="292" t="str">
        <f>IFERROR(__xludf.DUMMYFUNCTION("""COMPUTED_VALUE"""),"")</f>
        <v/>
      </c>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c r="AK906" s="292"/>
      <c r="AL906" s="292"/>
      <c r="AM906" s="292"/>
      <c r="AN906" s="292"/>
      <c r="AO906" s="292"/>
      <c r="AP906" s="292"/>
      <c r="AQ906" s="292"/>
      <c r="AR906" s="292"/>
      <c r="AS906" s="292"/>
      <c r="AT906" s="292"/>
      <c r="AU906" s="292"/>
      <c r="AV906" s="292"/>
      <c r="AW906" s="292"/>
      <c r="AX906" s="292"/>
      <c r="AY906" s="292"/>
      <c r="AZ906" s="292"/>
      <c r="BA906" s="292"/>
      <c r="BB906" s="292"/>
      <c r="BC906" s="292"/>
      <c r="BD906" s="292"/>
      <c r="BE906" s="292"/>
      <c r="BF906" s="292"/>
      <c r="BG906" s="292"/>
      <c r="BH906" s="292"/>
      <c r="BI906" s="292"/>
      <c r="BJ906" s="292"/>
      <c r="BK906" s="292"/>
      <c r="BL906" s="292"/>
      <c r="BM906" s="292"/>
      <c r="BN906" s="292"/>
      <c r="BO906" s="292"/>
      <c r="BP906" s="292"/>
      <c r="BQ906" s="292"/>
      <c r="BR906" s="292"/>
      <c r="BS906" s="292"/>
      <c r="BT906" s="292"/>
      <c r="BU906" s="292"/>
      <c r="BV906" s="292"/>
      <c r="BW906" s="292"/>
    </row>
    <row r="907">
      <c r="A907" s="292"/>
      <c r="B907" s="292" t="str">
        <f>IFERROR(__xludf.DUMMYFUNCTION("""COMPUTED_VALUE"""),"")</f>
        <v/>
      </c>
      <c r="C907" s="292"/>
      <c r="D907" s="292" t="str">
        <f>IFERROR(__xludf.DUMMYFUNCTION("""COMPUTED_VALUE"""),"")</f>
        <v/>
      </c>
      <c r="E907" s="292" t="str">
        <f>IFERROR(__xludf.DUMMYFUNCTION("""COMPUTED_VALUE"""),"")</f>
        <v/>
      </c>
      <c r="F907" s="292"/>
      <c r="G907" s="292" t="str">
        <f>IFERROR(__xludf.DUMMYFUNCTION("""COMPUTED_VALUE"""),"")</f>
        <v/>
      </c>
      <c r="H907" s="292" t="str">
        <f>IFERROR(__xludf.DUMMYFUNCTION("""COMPUTED_VALUE"""),"")</f>
        <v/>
      </c>
      <c r="I907" s="292"/>
      <c r="J907" s="292"/>
      <c r="K907" s="292"/>
      <c r="L907" s="292"/>
      <c r="M907" s="292" t="str">
        <f>IFERROR(__xludf.DUMMYFUNCTION("""COMPUTED_VALUE"""),"")</f>
        <v/>
      </c>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c r="AK907" s="292"/>
      <c r="AL907" s="292"/>
      <c r="AM907" s="292"/>
      <c r="AN907" s="292"/>
      <c r="AO907" s="292"/>
      <c r="AP907" s="292"/>
      <c r="AQ907" s="292"/>
      <c r="AR907" s="292"/>
      <c r="AS907" s="292"/>
      <c r="AT907" s="292"/>
      <c r="AU907" s="292"/>
      <c r="AV907" s="292"/>
      <c r="AW907" s="292"/>
      <c r="AX907" s="292"/>
      <c r="AY907" s="292"/>
      <c r="AZ907" s="292"/>
      <c r="BA907" s="292"/>
      <c r="BB907" s="292"/>
      <c r="BC907" s="292"/>
      <c r="BD907" s="292"/>
      <c r="BE907" s="292"/>
      <c r="BF907" s="292"/>
      <c r="BG907" s="292"/>
      <c r="BH907" s="292"/>
      <c r="BI907" s="292"/>
      <c r="BJ907" s="292"/>
      <c r="BK907" s="292"/>
      <c r="BL907" s="292"/>
      <c r="BM907" s="292"/>
      <c r="BN907" s="292"/>
      <c r="BO907" s="292"/>
      <c r="BP907" s="292"/>
      <c r="BQ907" s="292"/>
      <c r="BR907" s="292"/>
      <c r="BS907" s="292"/>
      <c r="BT907" s="292"/>
      <c r="BU907" s="292"/>
      <c r="BV907" s="292"/>
      <c r="BW907" s="29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5.63"/>
    <col customWidth="1" min="2" max="2" width="21.5"/>
    <col customWidth="1" min="3" max="3" width="17.63"/>
    <col customWidth="1" min="4" max="4" width="13.88"/>
    <col customWidth="1" min="5" max="5" width="23.75"/>
    <col customWidth="1" min="6" max="6" width="15.88"/>
    <col customWidth="1" min="7" max="7" width="29.88"/>
    <col customWidth="1" min="8" max="8" width="20.88"/>
    <col customWidth="1" min="9" max="9" width="43.0"/>
    <col customWidth="1" min="10" max="12" width="20.88"/>
    <col customWidth="1" min="13" max="17" width="16.5"/>
    <col customWidth="1" min="18" max="18" width="13.13"/>
    <col customWidth="1" min="19" max="19" width="13.38"/>
    <col customWidth="1" min="20" max="22" width="11.88"/>
    <col customWidth="1" min="23" max="27" width="15.5"/>
    <col customWidth="1" min="28" max="28" width="12.75"/>
    <col customWidth="1" min="29" max="29" width="59.25"/>
    <col customWidth="1" min="30" max="30" width="16.38"/>
    <col customWidth="1" min="31" max="31" width="15.88"/>
    <col customWidth="1" min="32" max="33" width="24.75"/>
    <col customWidth="1" min="34" max="34" width="11.25"/>
    <col customWidth="1" min="35" max="35" width="44.63"/>
    <col customWidth="1" min="36" max="40" width="10.25"/>
    <col customWidth="1" min="41" max="41" width="14.5"/>
    <col customWidth="1" min="42" max="42" width="21.88"/>
    <col customWidth="1" min="43" max="48" width="20.38"/>
    <col customWidth="1" min="49" max="49" width="20.75"/>
    <col customWidth="1" min="50" max="50" width="42.88"/>
    <col customWidth="1" min="51" max="51" width="64.38"/>
  </cols>
  <sheetData>
    <row r="1" ht="44.25" customHeight="1">
      <c r="A1" s="349" t="str">
        <f>IFERROR(__xludf.DUMMYFUNCTION("IMPORTRANGE(""https://docs.google.com/spreadsheets/d/11iCfvKk2SL4Nzn81ypztpOqtD09aKLklStLjBZ3NrSc/edit?gid=1035059760#gid=1035059760"",""Equipment List - LIVE!A1:AZ"")"),"g")</f>
        <v>g</v>
      </c>
      <c r="B1" s="350"/>
      <c r="C1" s="351"/>
      <c r="D1" s="352" t="str">
        <f>IFERROR(__xludf.DUMMYFUNCTION("""COMPUTED_VALUE""")," Max-Planck-Straße 104, 27283 Verden (Aller)
Equipment Schedule ")</f>
        <v> Max-Planck-Straße 104, 27283 Verden (Aller)
Equipment Schedule </v>
      </c>
      <c r="E1" s="353"/>
      <c r="F1" s="353"/>
      <c r="G1" s="354"/>
      <c r="H1" s="354"/>
      <c r="I1" s="354"/>
      <c r="J1" s="354"/>
      <c r="K1" s="354"/>
      <c r="L1" s="354"/>
      <c r="M1" s="354"/>
      <c r="N1" s="354"/>
      <c r="O1" s="354"/>
      <c r="P1" s="354"/>
      <c r="Q1" s="354"/>
      <c r="R1" s="354"/>
      <c r="S1" s="354"/>
      <c r="T1" s="354"/>
      <c r="U1" s="354"/>
      <c r="V1" s="354"/>
      <c r="W1" s="354"/>
      <c r="X1" s="354"/>
      <c r="Y1" s="354"/>
      <c r="Z1" s="354"/>
      <c r="AA1" s="354"/>
      <c r="AB1" s="354"/>
      <c r="AC1" s="354"/>
      <c r="AD1" s="354"/>
      <c r="AE1" s="355"/>
      <c r="AF1" s="354"/>
      <c r="AG1" s="354"/>
      <c r="AH1" s="354"/>
      <c r="AI1" s="354"/>
      <c r="AJ1" s="354"/>
      <c r="AK1" s="354"/>
      <c r="AL1" s="354"/>
      <c r="AM1" s="354"/>
      <c r="AN1" s="354"/>
      <c r="AO1" s="354"/>
      <c r="AP1" s="354"/>
      <c r="AQ1" s="354"/>
      <c r="AR1" s="354"/>
      <c r="AS1" s="354"/>
      <c r="AT1" s="354"/>
      <c r="AU1" s="354"/>
      <c r="AV1" s="354"/>
      <c r="AW1" s="354"/>
      <c r="AX1" s="354"/>
      <c r="AY1" s="354"/>
      <c r="AZ1" s="356"/>
      <c r="BA1" s="354"/>
      <c r="BB1" s="354"/>
      <c r="BC1" s="354"/>
      <c r="BD1" s="354"/>
      <c r="BE1" s="354"/>
      <c r="BF1" s="354"/>
    </row>
    <row r="2" ht="21.75" customHeight="1">
      <c r="A2" s="357" t="str">
        <f>IFERROR(__xludf.DUMMYFUNCTION("""COMPUTED_VALUE"""),"Label / Folder ")</f>
        <v>Label / Folder </v>
      </c>
      <c r="B2" s="358"/>
      <c r="C2" s="359"/>
      <c r="D2" s="360"/>
      <c r="E2" s="361"/>
      <c r="F2" s="362" t="str">
        <f>IFERROR(__xludf.DUMMYFUNCTION("""COMPUTED_VALUE"""),"EQUIPMENT SELECTION")</f>
        <v>EQUIPMENT SELECTION</v>
      </c>
      <c r="G2" s="363"/>
      <c r="H2" s="364" t="str">
        <f>IFERROR(__xludf.DUMMYFUNCTION("""COMPUTED_VALUE"""),"UTILITIES")</f>
        <v>UTILITIES</v>
      </c>
      <c r="I2" s="365" t="str">
        <f>IFERROR(__xludf.DUMMYFUNCTION("""COMPUTED_VALUE"""),"PO")</f>
        <v>PO</v>
      </c>
      <c r="J2" s="366"/>
      <c r="K2" s="366"/>
      <c r="L2" s="363"/>
      <c r="M2" s="362" t="str">
        <f>IFERROR(__xludf.DUMMYFUNCTION("""COMPUTED_VALUE"""),"Procurement QTY")</f>
        <v>Procurement QTY</v>
      </c>
      <c r="N2" s="366"/>
      <c r="O2" s="366"/>
      <c r="P2" s="366"/>
      <c r="Q2" s="363"/>
      <c r="R2" s="361"/>
      <c r="S2" s="367" t="str">
        <f>IFERROR(__xludf.DUMMYFUNCTION("""COMPUTED_VALUE"""),"BUDGET ESTIMATION (EUR)")</f>
        <v>BUDGET ESTIMATION (EUR)</v>
      </c>
      <c r="T2" s="368"/>
      <c r="U2" s="368"/>
      <c r="V2" s="368"/>
      <c r="W2" s="368"/>
      <c r="X2" s="368"/>
      <c r="Y2" s="368"/>
      <c r="Z2" s="368"/>
      <c r="AA2" s="368"/>
      <c r="AB2" s="368"/>
      <c r="AC2" s="369"/>
      <c r="AD2" s="370"/>
      <c r="AE2" s="371"/>
      <c r="AF2" s="370"/>
      <c r="AG2" s="362" t="str">
        <f>IFERROR(__xludf.DUMMYFUNCTION("""COMPUTED_VALUE"""),"FSQA")</f>
        <v>FSQA</v>
      </c>
      <c r="AH2" s="366"/>
      <c r="AI2" s="363"/>
      <c r="AJ2" s="362" t="str">
        <f>IFERROR(__xludf.DUMMYFUNCTION("""COMPUTED_VALUE"""),"SCOPE REQUIREMENTS (Y / N)")</f>
        <v>SCOPE REQUIREMENTS (Y / N)</v>
      </c>
      <c r="AK2" s="366"/>
      <c r="AL2" s="366"/>
      <c r="AM2" s="366"/>
      <c r="AN2" s="366"/>
      <c r="AO2" s="366"/>
      <c r="AP2" s="363"/>
      <c r="AQ2" s="362" t="str">
        <f>IFERROR(__xludf.DUMMYFUNCTION("""COMPUTED_VALUE"""),"INSTALLATION PLAN")</f>
        <v>INSTALLATION PLAN</v>
      </c>
      <c r="AR2" s="366"/>
      <c r="AS2" s="366"/>
      <c r="AT2" s="366"/>
      <c r="AU2" s="366"/>
      <c r="AV2" s="366"/>
      <c r="AW2" s="366"/>
      <c r="AX2" s="363"/>
      <c r="AY2" s="361"/>
      <c r="AZ2" s="372"/>
      <c r="BA2" s="373"/>
      <c r="BB2" s="366"/>
      <c r="BC2" s="366"/>
      <c r="BD2" s="366"/>
      <c r="BE2" s="363"/>
      <c r="BF2" s="374"/>
    </row>
    <row r="3">
      <c r="A3" s="375"/>
      <c r="B3" s="376"/>
      <c r="C3" s="377"/>
      <c r="D3" s="378"/>
      <c r="E3" s="375"/>
      <c r="F3" s="379"/>
      <c r="G3" s="380"/>
      <c r="H3" s="380"/>
      <c r="I3" s="381"/>
      <c r="J3" s="381"/>
      <c r="K3" s="381"/>
      <c r="L3" s="380"/>
      <c r="M3" s="382"/>
      <c r="Q3" s="383"/>
      <c r="R3" s="375"/>
      <c r="S3" s="384" t="str">
        <f>IFERROR(__xludf.DUMMYFUNCTION("""COMPUTED_VALUE"""),"Initial - APRIL 2024")</f>
        <v>Initial - APRIL 2024</v>
      </c>
      <c r="T3" s="368"/>
      <c r="U3" s="368"/>
      <c r="V3" s="369"/>
      <c r="W3" s="385" t="str">
        <f>IFERROR(__xludf.DUMMYFUNCTION("""COMPUTED_VALUE"""),"Approved BUDGET - June 2025")</f>
        <v>Approved BUDGET - June 2025</v>
      </c>
      <c r="X3" s="368"/>
      <c r="Y3" s="368"/>
      <c r="Z3" s="368"/>
      <c r="AA3" s="368"/>
      <c r="AB3" s="368"/>
      <c r="AC3" s="369"/>
      <c r="AD3" s="370"/>
      <c r="AE3" s="371"/>
      <c r="AF3" s="370"/>
      <c r="AG3" s="379"/>
      <c r="AH3" s="381"/>
      <c r="AI3" s="380"/>
      <c r="AJ3" s="379"/>
      <c r="AK3" s="381"/>
      <c r="AL3" s="381"/>
      <c r="AM3" s="381"/>
      <c r="AN3" s="381"/>
      <c r="AO3" s="381"/>
      <c r="AP3" s="380"/>
      <c r="AQ3" s="379"/>
      <c r="AR3" s="381"/>
      <c r="AS3" s="381"/>
      <c r="AT3" s="381"/>
      <c r="AU3" s="381"/>
      <c r="AV3" s="381"/>
      <c r="AW3" s="381"/>
      <c r="AX3" s="380"/>
      <c r="AY3" s="386"/>
      <c r="AZ3" s="374"/>
      <c r="BA3" s="382"/>
      <c r="BE3" s="383"/>
      <c r="BF3" s="374"/>
    </row>
    <row r="4" ht="61.5" customHeight="1">
      <c r="A4" s="387"/>
      <c r="B4" s="388" t="str">
        <f>IFERROR(__xludf.DUMMYFUNCTION("""COMPUTED_VALUE"""),"ITEM")</f>
        <v>ITEM</v>
      </c>
      <c r="C4" s="389" t="str">
        <f>IFERROR(__xludf.DUMMYFUNCTION("""COMPUTED_VALUE"""),"OWNER")</f>
        <v>OWNER</v>
      </c>
      <c r="D4" s="390" t="str">
        <f>IFERROR(__xludf.DUMMYFUNCTION("""COMPUTED_VALUE"""),"Manufacturer")</f>
        <v>Manufacturer</v>
      </c>
      <c r="E4" s="357" t="str">
        <f>IFERROR(__xludf.DUMMYFUNCTION("""COMPUTED_VALUE"""),"Model")</f>
        <v>Model</v>
      </c>
      <c r="F4" s="391" t="str">
        <f>IFERROR(__xludf.DUMMYFUNCTION("""COMPUTED_VALUE"""),"STATUS")</f>
        <v>STATUS</v>
      </c>
      <c r="G4" s="392" t="str">
        <f>IFERROR(__xludf.DUMMYFUNCTION("""COMPUTED_VALUE"""),"NEXT STEPS")</f>
        <v>NEXT STEPS</v>
      </c>
      <c r="H4" s="392" t="str">
        <f>IFERROR(__xludf.DUMMYFUNCTION("""COMPUTED_VALUE"""),"DATA")</f>
        <v>DATA</v>
      </c>
      <c r="I4" s="392" t="str">
        <f>IFERROR(__xludf.DUMMYFUNCTION("""COMPUTED_VALUE"""),"STATUS")</f>
        <v>STATUS</v>
      </c>
      <c r="J4" s="392" t="str">
        <f>IFERROR(__xludf.DUMMYFUNCTION("""COMPUTED_VALUE"""),"NUMBER")</f>
        <v>NUMBER</v>
      </c>
      <c r="K4" s="392" t="str">
        <f>IFERROR(__xludf.DUMMYFUNCTION("""COMPUTED_VALUE"""),"LEAD TIME")</f>
        <v>LEAD TIME</v>
      </c>
      <c r="L4" s="392" t="str">
        <f>IFERROR(__xludf.DUMMYFUNCTION("""COMPUTED_VALUE"""),"DOWNPAYMENT
REQUIRED")</f>
        <v>DOWNPAYMENT
REQUIRED</v>
      </c>
      <c r="M4" s="391" t="str">
        <f>IFERROR(__xludf.DUMMYFUNCTION("""COMPUTED_VALUE"""),"MAIN LAUNCH
&lt;60K boxes / wk
(Phase 1)")</f>
        <v>MAIN LAUNCH
&lt;60K boxes / wk
(Phase 1)</v>
      </c>
      <c r="N4" s="357" t="str">
        <f>IFERROR(__xludf.DUMMYFUNCTION("""COMPUTED_VALUE"""),"POST LAUNCH RAMP UP TO 
60k boxes/wk
(Phase 1.1)")</f>
        <v>POST LAUNCH RAMP UP TO 
60k boxes/wk
(Phase 1.1)</v>
      </c>
      <c r="O4" s="357" t="str">
        <f>IFERROR(__xludf.DUMMYFUNCTION("""COMPUTED_VALUE"""),"INCREMENTAL LIFT
(Phase 2)")</f>
        <v>INCREMENTAL LIFT
(Phase 2)</v>
      </c>
      <c r="P4" s="357" t="str">
        <f>IFERROR(__xludf.DUMMYFUNCTION("""COMPUTED_VALUE"""),"FULL RAMP
(Phase 3)")</f>
        <v>FULL RAMP
(Phase 3)</v>
      </c>
      <c r="Q4" s="391" t="str">
        <f>IFERROR(__xludf.DUMMYFUNCTION("""COMPUTED_VALUE"""),"Total # Required.")</f>
        <v>Total # Required.</v>
      </c>
      <c r="R4" s="357" t="str">
        <f>IFERROR(__xludf.DUMMYFUNCTION("""COMPUTED_VALUE"""),"Supplier")</f>
        <v>Supplier</v>
      </c>
      <c r="S4" s="393" t="str">
        <f>IFERROR(__xludf.DUMMYFUNCTION("""COMPUTED_VALUE"""),"Cost per unit (EUR)")</f>
        <v>Cost per unit (EUR)</v>
      </c>
      <c r="T4" s="394" t="str">
        <f>IFERROR(__xludf.DUMMYFUNCTION("""COMPUTED_VALUE""")," &lt;60K boxes / wk
(Phase 1)")</f>
        <v> &lt;60K boxes / wk
(Phase 1)</v>
      </c>
      <c r="U4" s="393" t="str">
        <f>IFERROR(__xludf.DUMMYFUNCTION("""COMPUTED_VALUE"""),"  Max boxes / wk 
(Phase 2)")</f>
        <v>  Max boxes / wk 
(Phase 2)</v>
      </c>
      <c r="V4" s="394" t="str">
        <f>IFERROR(__xludf.DUMMYFUNCTION("""COMPUTED_VALUE"""),"Total CapEx Req")</f>
        <v>Total CapEx Req</v>
      </c>
      <c r="W4" s="390" t="str">
        <f>IFERROR(__xludf.DUMMYFUNCTION("""COMPUTED_VALUE"""),"June'25 Budget Refresh - Approved Values (Phase 1)")</f>
        <v>June'25 Budget Refresh - Approved Values (Phase 1)</v>
      </c>
      <c r="X4" s="393" t="str">
        <f>IFERROR(__xludf.DUMMYFUNCTION("""COMPUTED_VALUE"""),"MAIN LAUNCH
&lt;60K boxes / wk
(Phase 1)")</f>
        <v>MAIN LAUNCH
&lt;60K boxes / wk
(Phase 1)</v>
      </c>
      <c r="Y4" s="393" t="str">
        <f>IFERROR(__xludf.DUMMYFUNCTION("""COMPUTED_VALUE"""),"POST LAUNCH RAMP UP TO 
60k boxes/wk
(Phase 1.1)")</f>
        <v>POST LAUNCH RAMP UP TO 
60k boxes/wk
(Phase 1.1)</v>
      </c>
      <c r="Z4" s="393" t="str">
        <f>IFERROR(__xludf.DUMMYFUNCTION("""COMPUTED_VALUE"""),"INCREMENTAL LIFT
(Phase 2)")</f>
        <v>INCREMENTAL LIFT
(Phase 2)</v>
      </c>
      <c r="AA4" s="393" t="str">
        <f>IFERROR(__xludf.DUMMYFUNCTION("""COMPUTED_VALUE"""),"FULL RAMP
(Phase 3)")</f>
        <v>FULL RAMP
(Phase 3)</v>
      </c>
      <c r="AB4" s="394" t="str">
        <f>IFERROR(__xludf.DUMMYFUNCTION("""COMPUTED_VALUE"""),"Total CapEx Req")</f>
        <v>Total CapEx Req</v>
      </c>
      <c r="AC4" s="394" t="str">
        <f>IFERROR(__xludf.DUMMYFUNCTION("""COMPUTED_VALUE"""),"COMMENTS")</f>
        <v>COMMENTS</v>
      </c>
      <c r="AD4" s="391" t="str">
        <f>IFERROR(__xludf.DUMMYFUNCTION("""COMPUTED_VALUE"""),"Final Contract Price (Launch)")</f>
        <v>Final Contract Price (Launch)</v>
      </c>
      <c r="AE4" s="395" t="str">
        <f>IFERROR(__xludf.DUMMYFUNCTION("""COMPUTED_VALUE"""),"Final Price Variance Factor")</f>
        <v>Final Price Variance Factor</v>
      </c>
      <c r="AF4" s="391" t="str">
        <f>IFERROR(__xludf.DUMMYFUNCTION("""COMPUTED_VALUE"""),"Final Price Variance
(vs June'25 Budget Refresh)")</f>
        <v>Final Price Variance
(vs June'25 Budget Refresh)</v>
      </c>
      <c r="AG4" s="392" t="str">
        <f>IFERROR(__xludf.DUMMYFUNCTION("""COMPUTED_VALUE"""),"STATUS")</f>
        <v>STATUS</v>
      </c>
      <c r="AH4" s="392" t="str">
        <f>IFERROR(__xludf.DUMMYFUNCTION("""COMPUTED_VALUE"""),"APPROVAL
Y / N")</f>
        <v>APPROVAL
Y / N</v>
      </c>
      <c r="AI4" s="392" t="str">
        <f>IFERROR(__xludf.DUMMYFUNCTION("""COMPUTED_VALUE"""),"COMMENTS")</f>
        <v>COMMENTS</v>
      </c>
      <c r="AJ4" s="392" t="str">
        <f>IFERROR(__xludf.DUMMYFUNCTION("""COMPUTED_VALUE"""),"FAT")</f>
        <v>FAT</v>
      </c>
      <c r="AK4" s="392" t="str">
        <f>IFERROR(__xludf.DUMMYFUNCTION("""COMPUTED_VALUE"""),"FULL 
SAT")</f>
        <v>FULL 
SAT</v>
      </c>
      <c r="AL4" s="392" t="str">
        <f>IFERROR(__xludf.DUMMYFUNCTION("""COMPUTED_VALUE"""),"LIGHT
SAT ")</f>
        <v>LIGHT
SAT </v>
      </c>
      <c r="AM4" s="392" t="str">
        <f>IFERROR(__xludf.DUMMYFUNCTION("""COMPUTED_VALUE"""),"CULINARY")</f>
        <v>CULINARY</v>
      </c>
      <c r="AN4" s="392" t="str">
        <f>IFERROR(__xludf.DUMMYFUNCTION("""COMPUTED_VALUE"""),"PV")</f>
        <v>PV</v>
      </c>
      <c r="AO4" s="392" t="str">
        <f>IFERROR(__xludf.DUMMYFUNCTION("""COMPUTED_VALUE"""),"SLA")</f>
        <v>SLA</v>
      </c>
      <c r="AP4" s="392" t="str">
        <f>IFERROR(__xludf.DUMMYFUNCTION("""COMPUTED_VALUE"""),"COMMENTS")</f>
        <v>COMMENTS</v>
      </c>
      <c r="AQ4" s="391" t="str">
        <f>IFERROR(__xludf.DUMMYFUNCTION("""COMPUTED_VALUE"""),"FAT STATUS")</f>
        <v>FAT STATUS</v>
      </c>
      <c r="AR4" s="391" t="str">
        <f>IFERROR(__xludf.DUMMYFUNCTION("""COMPUTED_VALUE"""),"INSTALLATION STATUS
(completion of PSSR)")</f>
        <v>INSTALLATION STATUS
(completion of PSSR)</v>
      </c>
      <c r="AS4" s="391" t="str">
        <f>IFERROR(__xludf.DUMMYFUNCTION("""COMPUTED_VALUE"""),"COMMISSIONING STATUS 
(Completion of Validation &amp; Setting Development)")</f>
        <v>COMMISSIONING STATUS 
(Completion of Validation &amp; Setting Development)</v>
      </c>
      <c r="AT4" s="391" t="str">
        <f>IFERROR(__xludf.DUMMYFUNCTION("""COMPUTED_VALUE"""),"MRE/TL Training")</f>
        <v>MRE/TL Training</v>
      </c>
      <c r="AU4" s="391" t="str">
        <f>IFERROR(__xludf.DUMMYFUNCTION("""COMPUTED_VALUE"""),"SPARE PARTS STATUS")</f>
        <v>SPARE PARTS STATUS</v>
      </c>
      <c r="AV4" s="392" t="str">
        <f>IFERROR(__xludf.DUMMYFUNCTION("""COMPUTED_VALUE"""),"SUPPLIER")</f>
        <v>SUPPLIER</v>
      </c>
      <c r="AW4" s="392" t="str">
        <f>IFERROR(__xludf.DUMMYFUNCTION("""COMPUTED_VALUE"""),"PROPERTY")</f>
        <v>PROPERTY</v>
      </c>
      <c r="AX4" s="392" t="str">
        <f>IFERROR(__xludf.DUMMYFUNCTION("""COMPUTED_VALUE"""),"TESTING MATERIAL REQUIRED")</f>
        <v>TESTING MATERIAL REQUIRED</v>
      </c>
      <c r="AY4" s="392" t="str">
        <f>IFERROR(__xludf.DUMMYFUNCTION("""COMPUTED_VALUE"""),"STATUS")</f>
        <v>STATUS</v>
      </c>
      <c r="AZ4" s="396"/>
      <c r="BA4" s="397"/>
      <c r="BB4" s="398"/>
      <c r="BC4" s="398"/>
      <c r="BD4" s="398"/>
      <c r="BE4" s="399"/>
      <c r="BF4" s="396"/>
    </row>
    <row r="5">
      <c r="A5" s="400" t="str">
        <f>IFERROR(__xludf.DUMMYFUNCTION("""COMPUTED_VALUE"""),"E01")</f>
        <v>E01</v>
      </c>
      <c r="B5" s="401" t="str">
        <f>IFERROR(__xludf.DUMMYFUNCTION("""COMPUTED_VALUE"""),"Ovens")</f>
        <v>Ovens</v>
      </c>
      <c r="C5" s="402" t="str">
        <f>IFERROR(__xludf.DUMMYFUNCTION("""COMPUTED_VALUE"""),"Olivier Lemieux")</f>
        <v>Olivier Lemieux</v>
      </c>
      <c r="D5" s="403" t="str">
        <f>IFERROR(__xludf.DUMMYFUNCTION("""COMPUTED_VALUE"""),"Rational")</f>
        <v>Rational</v>
      </c>
      <c r="E5" s="403" t="str">
        <f>IFERROR(__xludf.DUMMYFUNCTION("""COMPUTED_VALUE"""),"iCombi Pro 20-2/1 Gas")</f>
        <v>iCombi Pro 20-2/1 Gas</v>
      </c>
      <c r="F5" s="403" t="str">
        <f>IFERROR(__xludf.DUMMYFUNCTION("""COMPUTED_VALUE"""),"Ordered")</f>
        <v>Ordered</v>
      </c>
      <c r="G5" s="403" t="str">
        <f>IFERROR(__xludf.DUMMYFUNCTION("""COMPUTED_VALUE"""),"SAT")</f>
        <v>SAT</v>
      </c>
      <c r="H5" s="370"/>
      <c r="I5" s="403" t="str">
        <f>IFERROR(__xludf.DUMMYFUNCTION("""COMPUTED_VALUE"""),"Equipment - Mar. 17, 2025
Spare Parts: Mar. 14, 2025")</f>
        <v>Equipment - Mar. 17, 2025
Spare Parts: Mar. 14, 2025</v>
      </c>
      <c r="J5" s="403" t="str">
        <f>IFERROR(__xludf.DUMMYFUNCTION("""COMPUTED_VALUE"""),"P05400013DEFB
P05400010DEFB")</f>
        <v>P05400013DEFB
P05400010DEFB</v>
      </c>
      <c r="K5" s="403" t="str">
        <f>IFERROR(__xludf.DUMMYFUNCTION("""COMPUTED_VALUE"""),"8 weeks")</f>
        <v>8 weeks</v>
      </c>
      <c r="L5" s="403" t="str">
        <f>IFERROR(__xludf.DUMMYFUNCTION("""COMPUTED_VALUE"""),"YES")</f>
        <v>YES</v>
      </c>
      <c r="M5" s="403">
        <f>IFERROR(__xludf.DUMMYFUNCTION("""COMPUTED_VALUE"""),10.0)</f>
        <v>10</v>
      </c>
      <c r="N5" s="403">
        <f>IFERROR(__xludf.DUMMYFUNCTION("""COMPUTED_VALUE"""),0.0)</f>
        <v>0</v>
      </c>
      <c r="O5" s="403">
        <f>IFERROR(__xludf.DUMMYFUNCTION("""COMPUTED_VALUE"""),2.0)</f>
        <v>2</v>
      </c>
      <c r="P5" s="403">
        <f>IFERROR(__xludf.DUMMYFUNCTION("""COMPUTED_VALUE"""),8.0)</f>
        <v>8</v>
      </c>
      <c r="Q5" s="392">
        <f>IFERROR(__xludf.DUMMYFUNCTION("""COMPUTED_VALUE"""),20.0)</f>
        <v>20</v>
      </c>
      <c r="R5" s="403" t="str">
        <f>IFERROR(__xludf.DUMMYFUNCTION("""COMPUTED_VALUE"""),"Boettger")</f>
        <v>Boettger</v>
      </c>
      <c r="S5" s="404">
        <f>IFERROR(__xludf.DUMMYFUNCTION("""COMPUTED_VALUE"""),38990.428)</f>
        <v>38990.428</v>
      </c>
      <c r="T5" s="404">
        <f>IFERROR(__xludf.DUMMYFUNCTION("""COMPUTED_VALUE"""),443265.5)</f>
        <v>443265.5</v>
      </c>
      <c r="U5" s="404">
        <f>IFERROR(__xludf.DUMMYFUNCTION("""COMPUTED_VALUE"""),443265.5)</f>
        <v>443265.5</v>
      </c>
      <c r="V5" s="404">
        <f>IFERROR(__xludf.DUMMYFUNCTION("""COMPUTED_VALUE"""),886531.0)</f>
        <v>886531</v>
      </c>
      <c r="W5" s="405">
        <f>IFERROR(__xludf.DUMMYFUNCTION("""COMPUTED_VALUE"""),313879.71)</f>
        <v>313879.71</v>
      </c>
      <c r="X5" s="404">
        <f>IFERROR(__xludf.DUMMYFUNCTION("""COMPUTED_VALUE"""),389904.28)</f>
        <v>389904.28</v>
      </c>
      <c r="Y5" s="404">
        <f>IFERROR(__xludf.DUMMYFUNCTION("""COMPUTED_VALUE"""),0.0)</f>
        <v>0</v>
      </c>
      <c r="Z5" s="404">
        <f>IFERROR(__xludf.DUMMYFUNCTION("""COMPUTED_VALUE"""),77980.856)</f>
        <v>77980.856</v>
      </c>
      <c r="AA5" s="404">
        <f>IFERROR(__xludf.DUMMYFUNCTION("""COMPUTED_VALUE"""),311923.424)</f>
        <v>311923.424</v>
      </c>
      <c r="AB5" s="404">
        <f>IFERROR(__xludf.DUMMYFUNCTION("""COMPUTED_VALUE"""),703783.99)</f>
        <v>703783.99</v>
      </c>
      <c r="AC5" s="406"/>
      <c r="AD5" s="407">
        <f>IFERROR(__xludf.DUMMYFUNCTION("""COMPUTED_VALUE"""),313879.71)</f>
        <v>313879.71</v>
      </c>
      <c r="AE5" s="408">
        <f>IFERROR(__xludf.DUMMYFUNCTION("""COMPUTED_VALUE"""),0.8050173493863674)</f>
        <v>0.8050173494</v>
      </c>
      <c r="AF5" s="409">
        <f>IFERROR(__xludf.DUMMYFUNCTION("""COMPUTED_VALUE"""),0.0)</f>
        <v>0</v>
      </c>
      <c r="AG5" s="410" t="str">
        <f>IFERROR(__xludf.DUMMYFUNCTION("""COMPUTED_VALUE"""),"READY FOR REVIEW")</f>
        <v>READY FOR REVIEW</v>
      </c>
      <c r="AH5" s="403" t="str">
        <f>IFERROR(__xludf.DUMMYFUNCTION("""COMPUTED_VALUE"""),"Y")</f>
        <v>Y</v>
      </c>
      <c r="AI5" s="403" t="str">
        <f>IFERROR(__xludf.DUMMYFUNCTION("""COMPUTED_VALUE"""),"Similar units than USA / Canada")</f>
        <v>Similar units than USA / Canada</v>
      </c>
      <c r="AJ5" s="403" t="str">
        <f>IFERROR(__xludf.DUMMYFUNCTION("""COMPUTED_VALUE"""),"N")</f>
        <v>N</v>
      </c>
      <c r="AK5" s="403" t="str">
        <f>IFERROR(__xludf.DUMMYFUNCTION("""COMPUTED_VALUE"""),"N")</f>
        <v>N</v>
      </c>
      <c r="AL5" s="403" t="str">
        <f>IFERROR(__xludf.DUMMYFUNCTION("""COMPUTED_VALUE"""),"Y")</f>
        <v>Y</v>
      </c>
      <c r="AM5" s="403" t="str">
        <f>IFERROR(__xludf.DUMMYFUNCTION("""COMPUTED_VALUE"""),"Y")</f>
        <v>Y</v>
      </c>
      <c r="AN5" s="403" t="str">
        <f>IFERROR(__xludf.DUMMYFUNCTION("""COMPUTED_VALUE"""),"Y")</f>
        <v>Y</v>
      </c>
      <c r="AO5" s="403" t="str">
        <f>IFERROR(__xludf.DUMMYFUNCTION("""COMPUTED_VALUE"""),"N")</f>
        <v>N</v>
      </c>
      <c r="AP5" s="370"/>
      <c r="AQ5" s="403" t="str">
        <f>IFERROR(__xludf.DUMMYFUNCTION("""COMPUTED_VALUE"""),"Not Req")</f>
        <v>Not Req</v>
      </c>
      <c r="AR5" s="411">
        <f>IFERROR(__xludf.DUMMYFUNCTION("""COMPUTED_VALUE"""),46010.0)</f>
        <v>46010</v>
      </c>
      <c r="AS5" s="411">
        <f>IFERROR(__xludf.DUMMYFUNCTION("""COMPUTED_VALUE"""),46031.0)</f>
        <v>46031</v>
      </c>
      <c r="AT5" s="411">
        <f>IFERROR(__xludf.DUMMYFUNCTION("""COMPUTED_VALUE"""),46031.0)</f>
        <v>46031</v>
      </c>
      <c r="AU5" s="403" t="str">
        <f>IFERROR(__xludf.DUMMYFUNCTION("""COMPUTED_VALUE"""),"Delivered")</f>
        <v>Delivered</v>
      </c>
      <c r="AV5" s="403" t="str">
        <f>IFERROR(__xludf.DUMMYFUNCTION("""COMPUTED_VALUE"""),"Move into place
Connect Gas
Connect Water
Connect Electricity")</f>
        <v>Move into place
Connect Gas
Connect Water
Connect Electricity</v>
      </c>
      <c r="AW5" s="403" t="str">
        <f>IFERROR(__xludf.DUMMYFUNCTION("""COMPUTED_VALUE"""),"Infrastructure work")</f>
        <v>Infrastructure work</v>
      </c>
      <c r="AX5" s="403" t="str">
        <f>IFERROR(__xludf.DUMMYFUNCTION("""COMPUTED_VALUE"""),"small run: diced/sliced potatoes - 600 kg
chicken breast - 100 kg 
for four ovens
full run:
witness operator training")</f>
        <v>small run: diced/sliced potatoes - 600 kg
chicken breast - 100 kg 
for four ovens
full run:
witness operator training</v>
      </c>
      <c r="AY5" s="370"/>
      <c r="AZ5" s="412"/>
      <c r="BA5" s="413"/>
      <c r="BB5" s="413"/>
      <c r="BC5" s="413"/>
      <c r="BD5" s="413"/>
      <c r="BE5" s="414"/>
      <c r="BF5" s="415"/>
    </row>
    <row r="6">
      <c r="A6" s="400" t="str">
        <f>IFERROR(__xludf.DUMMYFUNCTION("""COMPUTED_VALUE"""),"E02")</f>
        <v>E02</v>
      </c>
      <c r="B6" s="401" t="str">
        <f>IFERROR(__xludf.DUMMYFUNCTION("""COMPUTED_VALUE"""),"Kitchen/Production Racks/Utensils")</f>
        <v>Kitchen/Production Racks/Utensils</v>
      </c>
      <c r="C6" s="402" t="str">
        <f>IFERROR(__xludf.DUMMYFUNCTION("""COMPUTED_VALUE"""),"Olivier Lemieux Josh Winkler")</f>
        <v>Olivier Lemieux Josh Winkler</v>
      </c>
      <c r="D6" s="416" t="str">
        <f>IFERROR(__xludf.DUMMYFUNCTION("""COMPUTED_VALUE"""),"Miscelleneous Items")</f>
        <v>Miscelleneous Items</v>
      </c>
      <c r="E6" s="369"/>
      <c r="F6" s="403" t="str">
        <f>IFERROR(__xludf.DUMMYFUNCTION("""COMPUTED_VALUE"""),"WIP")</f>
        <v>WIP</v>
      </c>
      <c r="G6" s="403" t="str">
        <f>IFERROR(__xludf.DUMMYFUNCTION("""COMPUTED_VALUE"""),"Procurement monitor list")</f>
        <v>Procurement monitor list</v>
      </c>
      <c r="H6" s="370"/>
      <c r="I6" s="403" t="str">
        <f>IFERROR(__xludf.DUMMYFUNCTION("""COMPUTED_VALUE"""),"Mohn proto. - Apr 10, 2025
Rieber proto. - Apr 16, 2025
Rieber additional proto - Aug 1, 2025
Mohn additional proto - Aug 11, 2025
Rieber kitchenware - Aug 18, 2025
GGM Gastro kitchenware - Aug 18, 2025
Mohn proto - Aug 22, 2025
Sheet Trays / GN container"&amp;"s - Oct 13, 2025
Test kitchen add. material - Oct 20, 2025
Mohn tables/shelves - Oct 21, 2025
Boettger kitchenware - Oct 27, 2025
Mohn wanne - Oct 28, 2025
Mohn v-carts - Nov 04, 2025
Boettger speed racks - Nov 04, 2025
Mohn waste bins - Nov 6, 2025
Boett"&amp;"ger small scales - Nov 17. 2025
Boettger - table/rack plating - Nov 25, 2025
Boettger spices container - Dec 3, 2025
Boettger Rational cleaning tabs - Dec 4, 2025
Mohn - plating line roll holder - Jan 5, 2026
Boettger - kitchenware - Jan 22, 2026
Boettger"&amp;" - sauce dispensers - Jan 23, 2026
Boettger - test kitchen cabinetry - Feb 5, 2026
Boettger - additional small scales - Feb 26, 2026
Mohn - spare hardware - Mar 25, 2026")</f>
        <v>Mohn proto. - Apr 10, 2025
Rieber proto. - Apr 16, 2025
Rieber additional proto - Aug 1, 2025
Mohn additional proto - Aug 11, 2025
Rieber kitchenware - Aug 18, 2025
GGM Gastro kitchenware - Aug 18, 2025
Mohn proto - Aug 22, 2025
Sheet Trays / GN containers - Oct 13, 2025
Test kitchen add. material - Oct 20, 2025
Mohn tables/shelves - Oct 21, 2025
Boettger kitchenware - Oct 27, 2025
Mohn wanne - Oct 28, 2025
Mohn v-carts - Nov 04, 2025
Boettger speed racks - Nov 04, 2025
Mohn waste bins - Nov 6, 2025
Boettger small scales - Nov 17. 2025
Boettger - table/rack plating - Nov 25, 2025
Boettger spices container - Dec 3, 2025
Boettger Rational cleaning tabs - Dec 4, 2025
Mohn - plating line roll holder - Jan 5, 2026
Boettger - kitchenware - Jan 22, 2026
Boettger - sauce dispensers - Jan 23, 2026
Boettger - test kitchen cabinetry - Feb 5, 2026
Boettger - additional small scales - Feb 26, 2026
Mohn - spare hardware - Mar 25, 2026</v>
      </c>
      <c r="J6" s="403" t="str">
        <f>IFERROR(__xludf.DUMMYFUNCTION("""COMPUTED_VALUE"""),"P05400018DEFB
P05400019DEFB
P05400027DEFB
P05400030DEFB
P05400031DEFB
P05400032DEFB
P05400033DEFB
P05400046DEFB
P05400048DEFB
P05400049DEFB
P05400051DEFB
P05400052DEFB
P05400053DEFB
P05400054DEFB
P05400055DEFB
P05400058DEFB
P05400060DEFB
P05400064DEFB
P05"&amp;"400065DEFB
P05400069DEFB
P05400074DEFB
P05400076DEFB
P05400079DEFB
P05400084DEFB
P05400088DEFB")</f>
        <v>P05400018DEFB
P05400019DEFB
P05400027DEFB
P05400030DEFB
P05400031DEFB
P05400032DEFB
P05400033DEFB
P05400046DEFB
P05400048DEFB
P05400049DEFB
P05400051DEFB
P05400052DEFB
P05400053DEFB
P05400054DEFB
P05400055DEFB
P05400058DEFB
P05400060DEFB
P05400064DEFB
P05400065DEFB
P05400069DEFB
P05400074DEFB
P05400076DEFB
P05400079DEFB
P05400084DEFB
P05400088DEFB</v>
      </c>
      <c r="K6" s="403" t="str">
        <f>IFERROR(__xludf.DUMMYFUNCTION("""COMPUTED_VALUE"""),"Various - refer to each PO
8-12 weeks for material handling")</f>
        <v>Various - refer to each PO
8-12 weeks for material handling</v>
      </c>
      <c r="L6" s="403" t="str">
        <f>IFERROR(__xludf.DUMMYFUNCTION("""COMPUTED_VALUE"""),"Various - refer to each PO")</f>
        <v>Various - refer to each PO</v>
      </c>
      <c r="M6" s="403">
        <f>IFERROR(__xludf.DUMMYFUNCTION("""COMPUTED_VALUE"""),7.0)</f>
        <v>7</v>
      </c>
      <c r="N6" s="417">
        <f>IFERROR(__xludf.DUMMYFUNCTION("""COMPUTED_VALUE"""),3.0)</f>
        <v>3</v>
      </c>
      <c r="O6" s="403">
        <f>IFERROR(__xludf.DUMMYFUNCTION("""COMPUTED_VALUE"""),2.0)</f>
        <v>2</v>
      </c>
      <c r="P6" s="403">
        <f>IFERROR(__xludf.DUMMYFUNCTION("""COMPUTED_VALUE"""),8.0)</f>
        <v>8</v>
      </c>
      <c r="Q6" s="392">
        <f>IFERROR(__xludf.DUMMYFUNCTION("""COMPUTED_VALUE"""),20.0)</f>
        <v>20</v>
      </c>
      <c r="R6" s="403" t="str">
        <f>IFERROR(__xludf.DUMMYFUNCTION("""COMPUTED_VALUE"""),"TBD")</f>
        <v>TBD</v>
      </c>
      <c r="S6" s="404" t="str">
        <f>IFERROR(__xludf.DUMMYFUNCTION("""COMPUTED_VALUE"""),"TBD")</f>
        <v>TBD</v>
      </c>
      <c r="T6" s="404">
        <f>IFERROR(__xludf.DUMMYFUNCTION("""COMPUTED_VALUE"""),730911.0)</f>
        <v>730911</v>
      </c>
      <c r="U6" s="404">
        <f>IFERROR(__xludf.DUMMYFUNCTION("""COMPUTED_VALUE"""),730911.0)</f>
        <v>730911</v>
      </c>
      <c r="V6" s="404">
        <f>IFERROR(__xludf.DUMMYFUNCTION("""COMPUTED_VALUE"""),1461822.0)</f>
        <v>1461822</v>
      </c>
      <c r="W6" s="405">
        <f>IFERROR(__xludf.DUMMYFUNCTION("""COMPUTED_VALUE"""),534711.0)</f>
        <v>534711</v>
      </c>
      <c r="X6" s="404">
        <f>IFERROR(__xludf.DUMMYFUNCTION("""COMPUTED_VALUE"""),511637.69999999995)</f>
        <v>511637.7</v>
      </c>
      <c r="Y6" s="404">
        <f>IFERROR(__xludf.DUMMYFUNCTION("""COMPUTED_VALUE"""),221975.30000000005)</f>
        <v>221975.3</v>
      </c>
      <c r="Z6" s="404">
        <f>IFERROR(__xludf.DUMMYFUNCTION("""COMPUTED_VALUE"""),146182.2)</f>
        <v>146182.2</v>
      </c>
      <c r="AA6" s="404">
        <f>IFERROR(__xludf.DUMMYFUNCTION("""COMPUTED_VALUE"""),579212.8)</f>
        <v>579212.8</v>
      </c>
      <c r="AB6" s="404">
        <f>IFERROR(__xludf.DUMMYFUNCTION("""COMPUTED_VALUE"""),1482081.3)</f>
        <v>1482081.3</v>
      </c>
      <c r="AC6" s="418" t="str">
        <f>IFERROR(__xludf.DUMMYFUNCTION("""COMPUTED_VALUE"""),"P05400018DEFB --&gt; 4,261.57 EUR --&gt; V-cart proto for site review
P05400019DEFB --&gt; 4,567.46 EUR --&gt; speed rack proto for site review
P05400027DEFB --&gt; 8,576.70 EUR --&gt; speed rack FAT Hobart
P05400030DEFB --&gt; 1,126.25 EUR --&gt; 300L SS mixing trough
P05400031"&amp;"DEFB --&gt; 1,732.39 EUR --&gt; kitchenware temp test kitchen
P05400032DEFB --&gt; 1,477.11 EUR --&gt; kitchenware temp test kitchen
P05400033DEFB --&gt; 6,029.40 EUR --&gt; tables, waste bins, trolleys
P05400046DEFB --&gt; 145,471.00 EUR --&gt; sheet trays, GN containers
P05400"&amp;"048DEFB --&gt; 1,096.42 EUR --&gt; knives, cutting board, scales
P05400049DEFB --&gt; 87,678.50 EUR --&gt; tables, shelving
P05400051DEFB --&gt; 16,722.50 EUR --&gt; kitchenware
P05400052DEFB --&gt; 18,275.25 EUR --&gt; wanne
P05400053DEFB --&gt; 19,456.15 EUR --&gt; v-carts
P05400054"&amp;"DEFB --&gt; 166,949.50 EUR --&gt; speed racks, transport trolleys
P05400055DEFB --&gt; 7,687.00 EUR --&gt; waste bins
P05400058DEFB --&gt; 15,450.00 EUR --&gt; small scales
P05400060DEFB --&gt; 31,312.98 EUR --&gt; plating rack/trolley
P05400064DEFB --&gt; 1,980.00 EUR --&gt; spices c"&amp;"ontainers
P05400065DEFB --&gt; CANCELLED --&gt; ordered by ind. proc.
P05400069DEFB --&gt; 2,617.20 EUR --&gt; roll holder plating line
P05400074DEFB --&gt; 411.00 EUR --&gt; kitchenware (spoons, cutting board)
P05400076DEFB --&gt; 706.80 EUR --&gt; sauce dispensers
P05400079DEF"&amp;"B --&gt; 12,982.28 EUR --&gt; test kitchen cabinetry
P05400084DEFB --&gt; 1,992.00 EUR --&gt; small scales
P05400088DEFB --&gt; 190.76 EUR --&gt; spare hardware
CURRENT: ~527,440.00 EUR 
(excluding XXX since captured in Expansion budget request or OPEX items)")</f>
        <v>P05400018DEFB --&gt; 4,261.57 EUR --&gt; V-cart proto for site review
P05400019DEFB --&gt; 4,567.46 EUR --&gt; speed rack proto for site review
P05400027DEFB --&gt; 8,576.70 EUR --&gt; speed rack FAT Hobart
P05400030DEFB --&gt; 1,126.25 EUR --&gt; 300L SS mixing trough
P05400031DEFB --&gt; 1,732.39 EUR --&gt; kitchenware temp test kitchen
P05400032DEFB --&gt; 1,477.11 EUR --&gt; kitchenware temp test kitchen
P05400033DEFB --&gt; 6,029.40 EUR --&gt; tables, waste bins, trolleys
P05400046DEFB --&gt; 145,471.00 EUR --&gt; sheet trays, GN containers
P05400048DEFB --&gt; 1,096.42 EUR --&gt; knives, cutting board, scales
P05400049DEFB --&gt; 87,678.50 EUR --&gt; tables, shelving
P05400051DEFB --&gt; 16,722.50 EUR --&gt; kitchenware
P05400052DEFB --&gt; 18,275.25 EUR --&gt; wanne
P05400053DEFB --&gt; 19,456.15 EUR --&gt; v-carts
P05400054DEFB --&gt; 166,949.50 EUR --&gt; speed racks, transport trolleys
P05400055DEFB --&gt; 7,687.00 EUR --&gt; waste bins
P05400058DEFB --&gt; 15,450.00 EUR --&gt; small scales
P05400060DEFB --&gt; 31,312.98 EUR --&gt; plating rack/trolley
P05400064DEFB --&gt; 1,980.00 EUR --&gt; spices containers
P05400065DEFB --&gt; CANCELLED --&gt; ordered by ind. proc.
P05400069DEFB --&gt; 2,617.20 EUR --&gt; roll holder plating line
P05400074DEFB --&gt; 411.00 EUR --&gt; kitchenware (spoons, cutting board)
P05400076DEFB --&gt; 706.80 EUR --&gt; sauce dispensers
P05400079DEFB --&gt; 12,982.28 EUR --&gt; test kitchen cabinetry
P05400084DEFB --&gt; 1,992.00 EUR --&gt; small scales
P05400088DEFB --&gt; 190.76 EUR --&gt; spare hardware
CURRENT: ~527,440.00 EUR 
(excluding XXX since captured in Expansion budget request or OPEX items)</v>
      </c>
      <c r="AD6" s="419">
        <f>IFERROR(__xludf.DUMMYFUNCTION("""COMPUTED_VALUE"""),534711.0)</f>
        <v>534711</v>
      </c>
      <c r="AE6" s="408">
        <f>IFERROR(__xludf.DUMMYFUNCTION("""COMPUTED_VALUE"""),1.0450969504397352)</f>
        <v>1.04509695</v>
      </c>
      <c r="AF6" s="409">
        <f>IFERROR(__xludf.DUMMYFUNCTION("""COMPUTED_VALUE"""),0.0)</f>
        <v>0</v>
      </c>
      <c r="AG6" s="370"/>
      <c r="AH6" s="370"/>
      <c r="AI6" s="370"/>
      <c r="AJ6" s="403" t="str">
        <f>IFERROR(__xludf.DUMMYFUNCTION("""COMPUTED_VALUE"""),"N/A")</f>
        <v>N/A</v>
      </c>
      <c r="AK6" s="403" t="str">
        <f>IFERROR(__xludf.DUMMYFUNCTION("""COMPUTED_VALUE"""),"N/A")</f>
        <v>N/A</v>
      </c>
      <c r="AL6" s="403" t="str">
        <f>IFERROR(__xludf.DUMMYFUNCTION("""COMPUTED_VALUE"""),"N/A")</f>
        <v>N/A</v>
      </c>
      <c r="AM6" s="403" t="str">
        <f>IFERROR(__xludf.DUMMYFUNCTION("""COMPUTED_VALUE"""),"N/A")</f>
        <v>N/A</v>
      </c>
      <c r="AN6" s="403" t="str">
        <f>IFERROR(__xludf.DUMMYFUNCTION("""COMPUTED_VALUE"""),"N/A")</f>
        <v>N/A</v>
      </c>
      <c r="AO6" s="403" t="str">
        <f>IFERROR(__xludf.DUMMYFUNCTION("""COMPUTED_VALUE"""),"N/A")</f>
        <v>N/A</v>
      </c>
      <c r="AP6" s="370"/>
      <c r="AQ6" s="403" t="str">
        <f>IFERROR(__xludf.DUMMYFUNCTION("""COMPUTED_VALUE"""),"Not Req")</f>
        <v>Not Req</v>
      </c>
      <c r="AR6" s="403" t="str">
        <f>IFERROR(__xludf.DUMMYFUNCTION("""COMPUTED_VALUE"""),"Not Req.")</f>
        <v>Not Req.</v>
      </c>
      <c r="AS6" s="403" t="str">
        <f>IFERROR(__xludf.DUMMYFUNCTION("""COMPUTED_VALUE"""),"Not Req.")</f>
        <v>Not Req.</v>
      </c>
      <c r="AT6" s="403" t="str">
        <f>IFERROR(__xludf.DUMMYFUNCTION("""COMPUTED_VALUE"""),"Not Req.")</f>
        <v>Not Req.</v>
      </c>
      <c r="AU6" s="403" t="str">
        <f>IFERROR(__xludf.DUMMYFUNCTION("""COMPUTED_VALUE"""),"Not Req.")</f>
        <v>Not Req.</v>
      </c>
      <c r="AV6" s="403" t="str">
        <f>IFERROR(__xludf.DUMMYFUNCTION("""COMPUTED_VALUE"""),"N/A")</f>
        <v>N/A</v>
      </c>
      <c r="AW6" s="403" t="str">
        <f>IFERROR(__xludf.DUMMYFUNCTION("""COMPUTED_VALUE"""),"N/A")</f>
        <v>N/A</v>
      </c>
      <c r="AX6" s="370"/>
      <c r="AY6" s="370"/>
      <c r="AZ6" s="412"/>
      <c r="BA6" s="413"/>
      <c r="BB6" s="413"/>
      <c r="BC6" s="413"/>
      <c r="BD6" s="413"/>
      <c r="BE6" s="414"/>
      <c r="BF6" s="415"/>
    </row>
    <row r="7">
      <c r="A7" s="400" t="str">
        <f>IFERROR(__xludf.DUMMYFUNCTION("""COMPUTED_VALUE"""),"E03")</f>
        <v>E03</v>
      </c>
      <c r="B7" s="401" t="str">
        <f>IFERROR(__xludf.DUMMYFUNCTION("""COMPUTED_VALUE"""),"Charbroiler")</f>
        <v>Charbroiler</v>
      </c>
      <c r="C7" s="402" t="str">
        <f>IFERROR(__xludf.DUMMYFUNCTION("""COMPUTED_VALUE"""),"Olivier Lemieux")</f>
        <v>Olivier Lemieux</v>
      </c>
      <c r="D7" s="403" t="str">
        <f>IFERROR(__xludf.DUMMYFUNCTION("""COMPUTED_VALUE"""),"KSF")</f>
        <v>KSF</v>
      </c>
      <c r="E7" s="403" t="str">
        <f>IFERROR(__xludf.DUMMYFUNCTION("""COMPUTED_VALUE"""),"RGS 165")</f>
        <v>RGS 165</v>
      </c>
      <c r="F7" s="403" t="str">
        <f>IFERROR(__xludf.DUMMYFUNCTION("""COMPUTED_VALUE"""),"Ordered")</f>
        <v>Ordered</v>
      </c>
      <c r="G7" s="403" t="str">
        <f>IFERROR(__xludf.DUMMYFUNCTION("""COMPUTED_VALUE"""),"SAT")</f>
        <v>SAT</v>
      </c>
      <c r="H7" s="370"/>
      <c r="I7" s="403" t="str">
        <f>IFERROR(__xludf.DUMMYFUNCTION("""COMPUTED_VALUE"""),"Equipment - Mar. 14, 2025
Spare Parts: Apr. 01, 2025
Change order igniter: Sept 24, 2025")</f>
        <v>Equipment - Mar. 14, 2025
Spare Parts: Apr. 01, 2025
Change order igniter: Sept 24, 2025</v>
      </c>
      <c r="J7" s="403" t="str">
        <f>IFERROR(__xludf.DUMMYFUNCTION("""COMPUTED_VALUE"""),"P05400008DEFB
P05400016DEFB
P05400039DEFB")</f>
        <v>P05400008DEFB
P05400016DEFB
P05400039DEFB</v>
      </c>
      <c r="K7" s="403" t="str">
        <f>IFERROR(__xludf.DUMMYFUNCTION("""COMPUTED_VALUE"""),"8 weeks")</f>
        <v>8 weeks</v>
      </c>
      <c r="L7" s="403" t="str">
        <f>IFERROR(__xludf.DUMMYFUNCTION("""COMPUTED_VALUE"""),"YES")</f>
        <v>YES</v>
      </c>
      <c r="M7" s="403">
        <f>IFERROR(__xludf.DUMMYFUNCTION("""COMPUTED_VALUE"""),3.0)</f>
        <v>3</v>
      </c>
      <c r="N7" s="403">
        <f>IFERROR(__xludf.DUMMYFUNCTION("""COMPUTED_VALUE"""),0.0)</f>
        <v>0</v>
      </c>
      <c r="O7" s="403">
        <f>IFERROR(__xludf.DUMMYFUNCTION("""COMPUTED_VALUE"""),2.0)</f>
        <v>2</v>
      </c>
      <c r="P7" s="403">
        <f>IFERROR(__xludf.DUMMYFUNCTION("""COMPUTED_VALUE"""),1.0)</f>
        <v>1</v>
      </c>
      <c r="Q7" s="392">
        <f>IFERROR(__xludf.DUMMYFUNCTION("""COMPUTED_VALUE"""),6.0)</f>
        <v>6</v>
      </c>
      <c r="R7" s="403" t="str">
        <f>IFERROR(__xludf.DUMMYFUNCTION("""COMPUTED_VALUE"""),"Boettger")</f>
        <v>Boettger</v>
      </c>
      <c r="S7" s="404">
        <f>IFERROR(__xludf.DUMMYFUNCTION("""COMPUTED_VALUE"""),6610.797999999999)</f>
        <v>6610.798</v>
      </c>
      <c r="T7" s="404">
        <f>IFERROR(__xludf.DUMMYFUNCTION("""COMPUTED_VALUE"""),27839.0)</f>
        <v>27839</v>
      </c>
      <c r="U7" s="404">
        <f>IFERROR(__xludf.DUMMYFUNCTION("""COMPUTED_VALUE"""),27839.0)</f>
        <v>27839</v>
      </c>
      <c r="V7" s="404">
        <f>IFERROR(__xludf.DUMMYFUNCTION("""COMPUTED_VALUE"""),55678.0)</f>
        <v>55678</v>
      </c>
      <c r="W7" s="405">
        <f>IFERROR(__xludf.DUMMYFUNCTION("""COMPUTED_VALUE"""),19832.393999999997)</f>
        <v>19832.394</v>
      </c>
      <c r="X7" s="404">
        <f>IFERROR(__xludf.DUMMYFUNCTION("""COMPUTED_VALUE"""),19832.393999999997)</f>
        <v>19832.394</v>
      </c>
      <c r="Y7" s="404">
        <f>IFERROR(__xludf.DUMMYFUNCTION("""COMPUTED_VALUE"""),0.0)</f>
        <v>0</v>
      </c>
      <c r="Z7" s="404">
        <f>IFERROR(__xludf.DUMMYFUNCTION("""COMPUTED_VALUE"""),13221.595999999998)</f>
        <v>13221.596</v>
      </c>
      <c r="AA7" s="404">
        <f>IFERROR(__xludf.DUMMYFUNCTION("""COMPUTED_VALUE"""),6610.797999999999)</f>
        <v>6610.798</v>
      </c>
      <c r="AB7" s="404">
        <f>IFERROR(__xludf.DUMMYFUNCTION("""COMPUTED_VALUE"""),39664.787999999986)</f>
        <v>39664.788</v>
      </c>
      <c r="AC7" s="406"/>
      <c r="AD7" s="407">
        <f>IFERROR(__xludf.DUMMYFUNCTION("""COMPUTED_VALUE"""),22489.1)</f>
        <v>22489.1</v>
      </c>
      <c r="AE7" s="408">
        <f>IFERROR(__xludf.DUMMYFUNCTION("""COMPUTED_VALUE"""),1.1339579074518187)</f>
        <v>1.133957907</v>
      </c>
      <c r="AF7" s="409">
        <f>IFERROR(__xludf.DUMMYFUNCTION("""COMPUTED_VALUE"""),2656.706000000002)</f>
        <v>2656.706</v>
      </c>
      <c r="AG7" s="370"/>
      <c r="AH7" s="370"/>
      <c r="AI7" s="370"/>
      <c r="AJ7" s="403" t="str">
        <f>IFERROR(__xludf.DUMMYFUNCTION("""COMPUTED_VALUE"""),"N")</f>
        <v>N</v>
      </c>
      <c r="AK7" s="403" t="str">
        <f>IFERROR(__xludf.DUMMYFUNCTION("""COMPUTED_VALUE"""),"N")</f>
        <v>N</v>
      </c>
      <c r="AL7" s="403" t="str">
        <f>IFERROR(__xludf.DUMMYFUNCTION("""COMPUTED_VALUE"""),"Y")</f>
        <v>Y</v>
      </c>
      <c r="AM7" s="403" t="str">
        <f>IFERROR(__xludf.DUMMYFUNCTION("""COMPUTED_VALUE"""),"Y")</f>
        <v>Y</v>
      </c>
      <c r="AN7" s="403" t="str">
        <f>IFERROR(__xludf.DUMMYFUNCTION("""COMPUTED_VALUE"""),"N")</f>
        <v>N</v>
      </c>
      <c r="AO7" s="403" t="str">
        <f>IFERROR(__xludf.DUMMYFUNCTION("""COMPUTED_VALUE"""),"N")</f>
        <v>N</v>
      </c>
      <c r="AP7" s="370"/>
      <c r="AQ7" s="403" t="str">
        <f>IFERROR(__xludf.DUMMYFUNCTION("""COMPUTED_VALUE"""),"Not Req")</f>
        <v>Not Req</v>
      </c>
      <c r="AR7" s="411">
        <f>IFERROR(__xludf.DUMMYFUNCTION("""COMPUTED_VALUE"""),46008.0)</f>
        <v>46008</v>
      </c>
      <c r="AS7" s="411">
        <f>IFERROR(__xludf.DUMMYFUNCTION("""COMPUTED_VALUE"""),46010.0)</f>
        <v>46010</v>
      </c>
      <c r="AT7" s="411">
        <f>IFERROR(__xludf.DUMMYFUNCTION("""COMPUTED_VALUE"""),46010.0)</f>
        <v>46010</v>
      </c>
      <c r="AU7" s="403" t="str">
        <f>IFERROR(__xludf.DUMMYFUNCTION("""COMPUTED_VALUE"""),"Delivered")</f>
        <v>Delivered</v>
      </c>
      <c r="AV7" s="403" t="str">
        <f>IFERROR(__xludf.DUMMYFUNCTION("""COMPUTED_VALUE"""),"Move into place
Connect Gas
Install Fire Suppression
Mount onto grill stands")</f>
        <v>Move into place
Connect Gas
Install Fire Suppression
Mount onto grill stands</v>
      </c>
      <c r="AW7" s="403" t="str">
        <f>IFERROR(__xludf.DUMMYFUNCTION("""COMPUTED_VALUE"""),"Infrastructure work")</f>
        <v>Infrastructure work</v>
      </c>
      <c r="AX7" s="403" t="str">
        <f>IFERROR(__xludf.DUMMYFUNCTION("""COMPUTED_VALUE"""),"small run: chicken breast - 100 kg 
from four ovens
full run:
witness operator training")</f>
        <v>small run: chicken breast - 100 kg 
from four ovens
full run:
witness operator training</v>
      </c>
      <c r="AY7" s="370"/>
      <c r="AZ7" s="412"/>
      <c r="BA7" s="413"/>
      <c r="BB7" s="413"/>
      <c r="BC7" s="413"/>
      <c r="BD7" s="413"/>
      <c r="BE7" s="414"/>
      <c r="BF7" s="415"/>
    </row>
    <row r="8">
      <c r="A8" s="400" t="str">
        <f>IFERROR(__xludf.DUMMYFUNCTION("""COMPUTED_VALUE"""),"E04")</f>
        <v>E04</v>
      </c>
      <c r="B8" s="401" t="str">
        <f>IFERROR(__xludf.DUMMYFUNCTION("""COMPUTED_VALUE"""),"Blast Chiller")</f>
        <v>Blast Chiller</v>
      </c>
      <c r="C8" s="402" t="str">
        <f>IFERROR(__xludf.DUMMYFUNCTION("""COMPUTED_VALUE"""),"Olivier Lemieux")</f>
        <v>Olivier Lemieux</v>
      </c>
      <c r="D8" s="403" t="str">
        <f>IFERROR(__xludf.DUMMYFUNCTION("""COMPUTED_VALUE"""),"Irinox")</f>
        <v>Irinox</v>
      </c>
      <c r="E8" s="403" t="str">
        <f>IFERROR(__xludf.DUMMYFUNCTION("""COMPUTED_VALUE"""),"MF750.2 4TL")</f>
        <v>MF750.2 4TL</v>
      </c>
      <c r="F8" s="403" t="str">
        <f>IFERROR(__xludf.DUMMYFUNCTION("""COMPUTED_VALUE"""),"Ordered")</f>
        <v>Ordered</v>
      </c>
      <c r="G8" s="403" t="str">
        <f>IFERROR(__xludf.DUMMYFUNCTION("""COMPUTED_VALUE"""),"Coordinate delivery with Property Team / SAT")</f>
        <v>Coordinate delivery with Property Team / SAT</v>
      </c>
      <c r="H8" s="370"/>
      <c r="I8" s="403" t="str">
        <f>IFERROR(__xludf.DUMMYFUNCTION("""COMPUTED_VALUE"""),"Equipment - Nov.13 2024
Spare Parts: Jan 14, 2025
Spare Parts: March 30, 2026")</f>
        <v>Equipment - Nov.13 2024
Spare Parts: Jan 14, 2025
Spare Parts: March 30, 2026</v>
      </c>
      <c r="J8" s="403" t="str">
        <f>IFERROR(__xludf.DUMMYFUNCTION("""COMPUTED_VALUE"""),"P05400002DEFB
P05400005DEFB
P05400089DEFB")</f>
        <v>P05400002DEFB
P05400005DEFB
P05400089DEFB</v>
      </c>
      <c r="K8" s="403" t="str">
        <f>IFERROR(__xludf.DUMMYFUNCTION("""COMPUTED_VALUE"""),"14 weeks")</f>
        <v>14 weeks</v>
      </c>
      <c r="L8" s="403" t="str">
        <f>IFERROR(__xludf.DUMMYFUNCTION("""COMPUTED_VALUE"""),"YES")</f>
        <v>YES</v>
      </c>
      <c r="M8" s="403">
        <f>IFERROR(__xludf.DUMMYFUNCTION("""COMPUTED_VALUE"""),6.0)</f>
        <v>6</v>
      </c>
      <c r="N8" s="403">
        <f>IFERROR(__xludf.DUMMYFUNCTION("""COMPUTED_VALUE"""),0.0)</f>
        <v>0</v>
      </c>
      <c r="O8" s="403">
        <f>IFERROR(__xludf.DUMMYFUNCTION("""COMPUTED_VALUE"""),0.0)</f>
        <v>0</v>
      </c>
      <c r="P8" s="403">
        <f>IFERROR(__xludf.DUMMYFUNCTION("""COMPUTED_VALUE"""),1.0)</f>
        <v>1</v>
      </c>
      <c r="Q8" s="392">
        <f>IFERROR(__xludf.DUMMYFUNCTION("""COMPUTED_VALUE"""),7.0)</f>
        <v>7</v>
      </c>
      <c r="R8" s="403" t="str">
        <f>IFERROR(__xludf.DUMMYFUNCTION("""COMPUTED_VALUE"""),"Luckenhaus")</f>
        <v>Luckenhaus</v>
      </c>
      <c r="S8" s="404">
        <f>IFERROR(__xludf.DUMMYFUNCTION("""COMPUTED_VALUE"""),288850.675)</f>
        <v>288850.675</v>
      </c>
      <c r="T8" s="404">
        <f>IFERROR(__xludf.DUMMYFUNCTION("""COMPUTED_VALUE"""),1642575.4285714284)</f>
        <v>1642575.429</v>
      </c>
      <c r="U8" s="404">
        <f>IFERROR(__xludf.DUMMYFUNCTION("""COMPUTED_VALUE"""),273762.5714285716)</f>
        <v>273762.5714</v>
      </c>
      <c r="V8" s="404">
        <f>IFERROR(__xludf.DUMMYFUNCTION("""COMPUTED_VALUE"""),1916338.0)</f>
        <v>1916338</v>
      </c>
      <c r="W8" s="405">
        <f>IFERROR(__xludf.DUMMYFUNCTION("""COMPUTED_VALUE"""),1226525.56)</f>
        <v>1226525.56</v>
      </c>
      <c r="X8" s="404">
        <f>IFERROR(__xludf.DUMMYFUNCTION("""COMPUTED_VALUE"""),1733104.0499999998)</f>
        <v>1733104.05</v>
      </c>
      <c r="Y8" s="404">
        <f>IFERROR(__xludf.DUMMYFUNCTION("""COMPUTED_VALUE"""),0.0)</f>
        <v>0</v>
      </c>
      <c r="Z8" s="404">
        <f>IFERROR(__xludf.DUMMYFUNCTION("""COMPUTED_VALUE"""),0.0)</f>
        <v>0</v>
      </c>
      <c r="AA8" s="404">
        <f>IFERROR(__xludf.DUMMYFUNCTION("""COMPUTED_VALUE"""),288850.675)</f>
        <v>288850.675</v>
      </c>
      <c r="AB8" s="404">
        <f>IFERROR(__xludf.DUMMYFUNCTION("""COMPUTED_VALUE"""),1515376.235)</f>
        <v>1515376.235</v>
      </c>
      <c r="AC8" s="406"/>
      <c r="AD8" s="407">
        <f>IFERROR(__xludf.DUMMYFUNCTION("""COMPUTED_VALUE"""),1227110.82)</f>
        <v>1227110.82</v>
      </c>
      <c r="AE8" s="408">
        <f>IFERROR(__xludf.DUMMYFUNCTION("""COMPUTED_VALUE"""),0.7080422090064357)</f>
        <v>0.708042209</v>
      </c>
      <c r="AF8" s="409">
        <f>IFERROR(__xludf.DUMMYFUNCTION("""COMPUTED_VALUE"""),585.2600000000093)</f>
        <v>585.26</v>
      </c>
      <c r="AG8" s="410" t="str">
        <f>IFERROR(__xludf.DUMMYFUNCTION("""COMPUTED_VALUE"""),"READY FOR REVIEW")</f>
        <v>READY FOR REVIEW</v>
      </c>
      <c r="AH8" s="403" t="str">
        <f>IFERROR(__xludf.DUMMYFUNCTION("""COMPUTED_VALUE"""),"Y")</f>
        <v>Y</v>
      </c>
      <c r="AI8" s="403" t="str">
        <f>IFERROR(__xludf.DUMMYFUNCTION("""COMPUTED_VALUE"""),"Similar units than USA / Canada
Cleaning needs to be done quite delicate, only with cloth and neutral detergents. ")</f>
        <v>Similar units than USA / Canada
Cleaning needs to be done quite delicate, only with cloth and neutral detergents. </v>
      </c>
      <c r="AJ8" s="403" t="str">
        <f>IFERROR(__xludf.DUMMYFUNCTION("""COMPUTED_VALUE"""),"N")</f>
        <v>N</v>
      </c>
      <c r="AK8" s="403" t="str">
        <f>IFERROR(__xludf.DUMMYFUNCTION("""COMPUTED_VALUE"""),"Y")</f>
        <v>Y</v>
      </c>
      <c r="AL8" s="403" t="str">
        <f>IFERROR(__xludf.DUMMYFUNCTION("""COMPUTED_VALUE"""),"N")</f>
        <v>N</v>
      </c>
      <c r="AM8" s="403" t="str">
        <f>IFERROR(__xludf.DUMMYFUNCTION("""COMPUTED_VALUE"""),"Y")</f>
        <v>Y</v>
      </c>
      <c r="AN8" s="403" t="str">
        <f>IFERROR(__xludf.DUMMYFUNCTION("""COMPUTED_VALUE"""),"Y")</f>
        <v>Y</v>
      </c>
      <c r="AO8" s="403" t="str">
        <f>IFERROR(__xludf.DUMMYFUNCTION("""COMPUTED_VALUE"""),"Recommended")</f>
        <v>Recommended</v>
      </c>
      <c r="AP8" s="403" t="str">
        <f>IFERROR(__xludf.DUMMYFUNCTION("""COMPUTED_VALUE"""),"Part of property contract")</f>
        <v>Part of property contract</v>
      </c>
      <c r="AQ8" s="403" t="str">
        <f>IFERROR(__xludf.DUMMYFUNCTION("""COMPUTED_VALUE"""),"Not Req")</f>
        <v>Not Req</v>
      </c>
      <c r="AR8" s="411">
        <f>IFERROR(__xludf.DUMMYFUNCTION("""COMPUTED_VALUE"""),46010.0)</f>
        <v>46010</v>
      </c>
      <c r="AS8" s="411">
        <f>IFERROR(__xludf.DUMMYFUNCTION("""COMPUTED_VALUE"""),46038.0)</f>
        <v>46038</v>
      </c>
      <c r="AT8" s="411">
        <f>IFERROR(__xludf.DUMMYFUNCTION("""COMPUTED_VALUE"""),46031.0)</f>
        <v>46031</v>
      </c>
      <c r="AU8" s="403" t="str">
        <f>IFERROR(__xludf.DUMMYFUNCTION("""COMPUTED_VALUE"""),"Delivered")</f>
        <v>Delivered</v>
      </c>
      <c r="AV8" s="403" t="str">
        <f>IFERROR(__xludf.DUMMYFUNCTION("""COMPUTED_VALUE"""),"Y")</f>
        <v>Y</v>
      </c>
      <c r="AW8" s="403" t="str">
        <f>IFERROR(__xludf.DUMMYFUNCTION("""COMPUTED_VALUE"""),"Infrastructure work")</f>
        <v>Infrastructure work</v>
      </c>
      <c r="AX8" s="403" t="str">
        <f>IFERROR(__xludf.DUMMYFUNCTION("""COMPUTED_VALUE"""),"full run:
witness operator training
ideally - full load - how to achieve?")</f>
        <v>full run:
witness operator training
ideally - full load - how to achieve?</v>
      </c>
      <c r="AY8" s="370"/>
      <c r="AZ8" s="412"/>
      <c r="BA8" s="413"/>
      <c r="BB8" s="413"/>
      <c r="BC8" s="413"/>
      <c r="BD8" s="413"/>
      <c r="BE8" s="414"/>
      <c r="BF8" s="415"/>
    </row>
    <row r="9">
      <c r="A9" s="400" t="str">
        <f>IFERROR(__xludf.DUMMYFUNCTION("""COMPUTED_VALUE"""),"E05")</f>
        <v>E05</v>
      </c>
      <c r="B9" s="401" t="str">
        <f>IFERROR(__xludf.DUMMYFUNCTION("""COMPUTED_VALUE"""),"Tilt Braisers")</f>
        <v>Tilt Braisers</v>
      </c>
      <c r="C9" s="402" t="str">
        <f>IFERROR(__xludf.DUMMYFUNCTION("""COMPUTED_VALUE"""),"Olivier Lemieux")</f>
        <v>Olivier Lemieux</v>
      </c>
      <c r="D9" s="403" t="str">
        <f>IFERROR(__xludf.DUMMYFUNCTION("""COMPUTED_VALUE"""),"Rational")</f>
        <v>Rational</v>
      </c>
      <c r="E9" s="403" t="str">
        <f>IFERROR(__xludf.DUMMYFUNCTION("""COMPUTED_VALUE"""),"iVario PRO XL")</f>
        <v>iVario PRO XL</v>
      </c>
      <c r="F9" s="403" t="str">
        <f>IFERROR(__xludf.DUMMYFUNCTION("""COMPUTED_VALUE"""),"Ordered")</f>
        <v>Ordered</v>
      </c>
      <c r="G9" s="403" t="str">
        <f>IFERROR(__xludf.DUMMYFUNCTION("""COMPUTED_VALUE"""),"SAT")</f>
        <v>SAT</v>
      </c>
      <c r="H9" s="370"/>
      <c r="I9" s="403" t="str">
        <f>IFERROR(__xludf.DUMMYFUNCTION("""COMPUTED_VALUE"""),"Equipment - Mar. 17, 2025
Spare Parts: Mar. 14, 2025")</f>
        <v>Equipment - Mar. 17, 2025
Spare Parts: Mar. 14, 2025</v>
      </c>
      <c r="J9" s="403" t="str">
        <f>IFERROR(__xludf.DUMMYFUNCTION("""COMPUTED_VALUE"""),"P05400013DEFB
P05400010DEFB")</f>
        <v>P05400013DEFB
P05400010DEFB</v>
      </c>
      <c r="K9" s="403" t="str">
        <f>IFERROR(__xludf.DUMMYFUNCTION("""COMPUTED_VALUE"""),"8 weeks")</f>
        <v>8 weeks</v>
      </c>
      <c r="L9" s="403" t="str">
        <f>IFERROR(__xludf.DUMMYFUNCTION("""COMPUTED_VALUE"""),"YES")</f>
        <v>YES</v>
      </c>
      <c r="M9" s="403">
        <f>IFERROR(__xludf.DUMMYFUNCTION("""COMPUTED_VALUE"""),6.0)</f>
        <v>6</v>
      </c>
      <c r="N9" s="403">
        <f>IFERROR(__xludf.DUMMYFUNCTION("""COMPUTED_VALUE"""),0.0)</f>
        <v>0</v>
      </c>
      <c r="O9" s="403">
        <f>IFERROR(__xludf.DUMMYFUNCTION("""COMPUTED_VALUE"""),0.0)</f>
        <v>0</v>
      </c>
      <c r="P9" s="403">
        <f>IFERROR(__xludf.DUMMYFUNCTION("""COMPUTED_VALUE"""),6.0)</f>
        <v>6</v>
      </c>
      <c r="Q9" s="392">
        <f>IFERROR(__xludf.DUMMYFUNCTION("""COMPUTED_VALUE"""),12.0)</f>
        <v>12</v>
      </c>
      <c r="R9" s="403" t="str">
        <f>IFERROR(__xludf.DUMMYFUNCTION("""COMPUTED_VALUE"""),"Boettger")</f>
        <v>Boettger</v>
      </c>
      <c r="S9" s="404">
        <f>IFERROR(__xludf.DUMMYFUNCTION("""COMPUTED_VALUE"""),20924.157999999996)</f>
        <v>20924.158</v>
      </c>
      <c r="T9" s="404">
        <f>IFERROR(__xludf.DUMMYFUNCTION("""COMPUTED_VALUE"""),119687.5)</f>
        <v>119687.5</v>
      </c>
      <c r="U9" s="404">
        <f>IFERROR(__xludf.DUMMYFUNCTION("""COMPUTED_VALUE"""),119687.5)</f>
        <v>119687.5</v>
      </c>
      <c r="V9" s="404">
        <f>IFERROR(__xludf.DUMMYFUNCTION("""COMPUTED_VALUE"""),239375.0)</f>
        <v>239375</v>
      </c>
      <c r="W9" s="405">
        <f>IFERROR(__xludf.DUMMYFUNCTION("""COMPUTED_VALUE"""),125544.94799999997)</f>
        <v>125544.948</v>
      </c>
      <c r="X9" s="404">
        <f>IFERROR(__xludf.DUMMYFUNCTION("""COMPUTED_VALUE"""),125544.94799999997)</f>
        <v>125544.948</v>
      </c>
      <c r="Y9" s="404">
        <f>IFERROR(__xludf.DUMMYFUNCTION("""COMPUTED_VALUE"""),0.0)</f>
        <v>0</v>
      </c>
      <c r="Z9" s="404">
        <f>IFERROR(__xludf.DUMMYFUNCTION("""COMPUTED_VALUE"""),0.0)</f>
        <v>0</v>
      </c>
      <c r="AA9" s="404">
        <f>IFERROR(__xludf.DUMMYFUNCTION("""COMPUTED_VALUE"""),125544.94799999997)</f>
        <v>125544.948</v>
      </c>
      <c r="AB9" s="404">
        <f>IFERROR(__xludf.DUMMYFUNCTION("""COMPUTED_VALUE"""),251089.89599999995)</f>
        <v>251089.896</v>
      </c>
      <c r="AC9" s="406"/>
      <c r="AD9" s="407">
        <f>IFERROR(__xludf.DUMMYFUNCTION("""COMPUTED_VALUE"""),111321.15)</f>
        <v>111321.15</v>
      </c>
      <c r="AE9" s="408">
        <f>IFERROR(__xludf.DUMMYFUNCTION("""COMPUTED_VALUE"""),0.8867035414280471)</f>
        <v>0.8867035414</v>
      </c>
      <c r="AF9" s="409">
        <f>IFERROR(__xludf.DUMMYFUNCTION("""COMPUTED_VALUE"""),-14223.79799999998)</f>
        <v>-14223.798</v>
      </c>
      <c r="AG9" s="410" t="str">
        <f>IFERROR(__xludf.DUMMYFUNCTION("""COMPUTED_VALUE"""),"READY FOR REVIEW")</f>
        <v>READY FOR REVIEW</v>
      </c>
      <c r="AH9" s="370"/>
      <c r="AI9" s="403" t="str">
        <f>IFERROR(__xludf.DUMMYFUNCTION("""COMPUTED_VALUE"""),"Similar units than USA / Canada")</f>
        <v>Similar units than USA / Canada</v>
      </c>
      <c r="AJ9" s="403" t="str">
        <f>IFERROR(__xludf.DUMMYFUNCTION("""COMPUTED_VALUE"""),"N")</f>
        <v>N</v>
      </c>
      <c r="AK9" s="403" t="str">
        <f>IFERROR(__xludf.DUMMYFUNCTION("""COMPUTED_VALUE"""),"N")</f>
        <v>N</v>
      </c>
      <c r="AL9" s="403" t="str">
        <f>IFERROR(__xludf.DUMMYFUNCTION("""COMPUTED_VALUE"""),"Y")</f>
        <v>Y</v>
      </c>
      <c r="AM9" s="403" t="str">
        <f>IFERROR(__xludf.DUMMYFUNCTION("""COMPUTED_VALUE"""),"Y")</f>
        <v>Y</v>
      </c>
      <c r="AN9" s="403" t="str">
        <f>IFERROR(__xludf.DUMMYFUNCTION("""COMPUTED_VALUE"""),"N")</f>
        <v>N</v>
      </c>
      <c r="AO9" s="403" t="str">
        <f>IFERROR(__xludf.DUMMYFUNCTION("""COMPUTED_VALUE"""),"N")</f>
        <v>N</v>
      </c>
      <c r="AP9" s="370"/>
      <c r="AQ9" s="403" t="str">
        <f>IFERROR(__xludf.DUMMYFUNCTION("""COMPUTED_VALUE"""),"Not Req")</f>
        <v>Not Req</v>
      </c>
      <c r="AR9" s="411">
        <f>IFERROR(__xludf.DUMMYFUNCTION("""COMPUTED_VALUE"""),46009.0)</f>
        <v>46009</v>
      </c>
      <c r="AS9" s="411">
        <f>IFERROR(__xludf.DUMMYFUNCTION("""COMPUTED_VALUE"""),46029.0)</f>
        <v>46029</v>
      </c>
      <c r="AT9" s="411">
        <f>IFERROR(__xludf.DUMMYFUNCTION("""COMPUTED_VALUE"""),46029.0)</f>
        <v>46029</v>
      </c>
      <c r="AU9" s="403" t="str">
        <f>IFERROR(__xludf.DUMMYFUNCTION("""COMPUTED_VALUE"""),"Delivered")</f>
        <v>Delivered</v>
      </c>
      <c r="AV9" s="403" t="str">
        <f>IFERROR(__xludf.DUMMYFUNCTION("""COMPUTED_VALUE"""),"Move into place
Connect Water
Connect Electricity")</f>
        <v>Move into place
Connect Water
Connect Electricity</v>
      </c>
      <c r="AW9" s="403" t="str">
        <f>IFERROR(__xludf.DUMMYFUNCTION("""COMPUTED_VALUE"""),"Infrastructure work")</f>
        <v>Infrastructure work</v>
      </c>
      <c r="AX9" s="403" t="str">
        <f>IFERROR(__xludf.DUMMYFUNCTION("""COMPUTED_VALUE"""),"small run: ground protein (cheapest) - 150 kg
per braiser
full run:
witness operator training")</f>
        <v>small run: ground protein (cheapest) - 150 kg
per braiser
full run:
witness operator training</v>
      </c>
      <c r="AY9" s="370"/>
      <c r="AZ9" s="412"/>
      <c r="BA9" s="413"/>
      <c r="BB9" s="413"/>
      <c r="BC9" s="413"/>
      <c r="BD9" s="413"/>
      <c r="BE9" s="414"/>
      <c r="BF9" s="415"/>
    </row>
    <row r="10">
      <c r="A10" s="400" t="str">
        <f>IFERROR(__xludf.DUMMYFUNCTION("""COMPUTED_VALUE"""),"E06")</f>
        <v>E06</v>
      </c>
      <c r="B10" s="401" t="str">
        <f>IFERROR(__xludf.DUMMYFUNCTION("""COMPUTED_VALUE"""),"MAP machines")</f>
        <v>MAP machines</v>
      </c>
      <c r="C10" s="402" t="str">
        <f>IFERROR(__xludf.DUMMYFUNCTION("""COMPUTED_VALUE"""),"Olivier Lemieux")</f>
        <v>Olivier Lemieux</v>
      </c>
      <c r="D10" s="403" t="str">
        <f>IFERROR(__xludf.DUMMYFUNCTION("""COMPUTED_VALUE"""),"Proseal")</f>
        <v>Proseal</v>
      </c>
      <c r="E10" s="403" t="str">
        <f>IFERROR(__xludf.DUMMYFUNCTION("""COMPUTED_VALUE"""),"GT1e - MAX")</f>
        <v>GT1e - MAX</v>
      </c>
      <c r="F10" s="403" t="str">
        <f>IFERROR(__xludf.DUMMYFUNCTION("""COMPUTED_VALUE"""),"Ordered")</f>
        <v>Ordered</v>
      </c>
      <c r="G10" s="420" t="str">
        <f>IFERROR(__xludf.DUMMYFUNCTION("""COMPUTED_VALUE"""),"SAT")</f>
        <v>SAT</v>
      </c>
      <c r="H10" s="370"/>
      <c r="I10" s="403" t="str">
        <f>IFERROR(__xludf.DUMMYFUNCTION("""COMPUTED_VALUE"""),"RELEASED - Jan 27, 2025
RELEASED - Sept 5, 2025
RELEASED - Nov 24, 2025")</f>
        <v>RELEASED - Jan 27, 2025
RELEASED - Sept 5, 2025
RELEASED - Nov 24, 2025</v>
      </c>
      <c r="J10" s="403" t="str">
        <f>IFERROR(__xludf.DUMMYFUNCTION("""COMPUTED_VALUE"""),"P05400006DEFB
P05400036DEFB
P05400059DEFB")</f>
        <v>P05400006DEFB
P05400036DEFB
P05400059DEFB</v>
      </c>
      <c r="K10" s="403" t="str">
        <f>IFERROR(__xludf.DUMMYFUNCTION("""COMPUTED_VALUE"""),"12 weeks")</f>
        <v>12 weeks</v>
      </c>
      <c r="L10" s="403" t="str">
        <f>IFERROR(__xludf.DUMMYFUNCTION("""COMPUTED_VALUE"""),"YES")</f>
        <v>YES</v>
      </c>
      <c r="M10" s="403">
        <f>IFERROR(__xludf.DUMMYFUNCTION("""COMPUTED_VALUE"""),3.0)</f>
        <v>3</v>
      </c>
      <c r="N10" s="403">
        <f>IFERROR(__xludf.DUMMYFUNCTION("""COMPUTED_VALUE"""),0.0)</f>
        <v>0</v>
      </c>
      <c r="O10" s="403">
        <f>IFERROR(__xludf.DUMMYFUNCTION("""COMPUTED_VALUE"""),0.0)</f>
        <v>0</v>
      </c>
      <c r="P10" s="403">
        <f>IFERROR(__xludf.DUMMYFUNCTION("""COMPUTED_VALUE"""),3.0)</f>
        <v>3</v>
      </c>
      <c r="Q10" s="392">
        <f>IFERROR(__xludf.DUMMYFUNCTION("""COMPUTED_VALUE"""),6.0)</f>
        <v>6</v>
      </c>
      <c r="R10" s="403" t="str">
        <f>IFERROR(__xludf.DUMMYFUNCTION("""COMPUTED_VALUE"""),"Sismatec")</f>
        <v>Sismatec</v>
      </c>
      <c r="S10" s="404">
        <f>IFERROR(__xludf.DUMMYFUNCTION("""COMPUTED_VALUE"""),226204.99999999997)</f>
        <v>226205</v>
      </c>
      <c r="T10" s="404">
        <f>IFERROR(__xludf.DUMMYFUNCTION("""COMPUTED_VALUE"""),598736.0)</f>
        <v>598736</v>
      </c>
      <c r="U10" s="404">
        <f>IFERROR(__xludf.DUMMYFUNCTION("""COMPUTED_VALUE"""),598736.0)</f>
        <v>598736</v>
      </c>
      <c r="V10" s="404">
        <f>IFERROR(__xludf.DUMMYFUNCTION("""COMPUTED_VALUE"""),1197472.0)</f>
        <v>1197472</v>
      </c>
      <c r="W10" s="405">
        <f>IFERROR(__xludf.DUMMYFUNCTION("""COMPUTED_VALUE"""),678614.9999999999)</f>
        <v>678615</v>
      </c>
      <c r="X10" s="404">
        <f>IFERROR(__xludf.DUMMYFUNCTION("""COMPUTED_VALUE"""),678614.9999999999)</f>
        <v>678615</v>
      </c>
      <c r="Y10" s="404">
        <f>IFERROR(__xludf.DUMMYFUNCTION("""COMPUTED_VALUE"""),0.0)</f>
        <v>0</v>
      </c>
      <c r="Z10" s="404">
        <f>IFERROR(__xludf.DUMMYFUNCTION("""COMPUTED_VALUE"""),0.0)</f>
        <v>0</v>
      </c>
      <c r="AA10" s="404">
        <f>IFERROR(__xludf.DUMMYFUNCTION("""COMPUTED_VALUE"""),678614.9999999999)</f>
        <v>678615</v>
      </c>
      <c r="AB10" s="404">
        <f>IFERROR(__xludf.DUMMYFUNCTION("""COMPUTED_VALUE"""),1357229.9999999998)</f>
        <v>1357230</v>
      </c>
      <c r="AC10" s="418" t="str">
        <f>IFERROR(__xludf.DUMMYFUNCTION("""COMPUTED_VALUE"""),"P054000036DEFB --&gt; 16,425 EUR --&gt; post FAT requested modifications
P05400059DEFB --&gt; 67,925 EUR --&gt; transition to US bentos")</f>
        <v>P054000036DEFB --&gt; 16,425 EUR --&gt; post FAT requested modifications
P05400059DEFB --&gt; 67,925 EUR --&gt; transition to US bentos</v>
      </c>
      <c r="AD10" s="407">
        <f>IFERROR(__xludf.DUMMYFUNCTION("""COMPUTED_VALUE"""),683373.01)</f>
        <v>683373.01</v>
      </c>
      <c r="AE10" s="408">
        <f>IFERROR(__xludf.DUMMYFUNCTION("""COMPUTED_VALUE"""),1.0070113540077954)</f>
        <v>1.007011354</v>
      </c>
      <c r="AF10" s="409">
        <f>IFERROR(__xludf.DUMMYFUNCTION("""COMPUTED_VALUE"""),4758.010000000126)</f>
        <v>4758.01</v>
      </c>
      <c r="AG10" s="410" t="str">
        <f>IFERROR(__xludf.DUMMYFUNCTION("""COMPUTED_VALUE"""),"READY FOR REVIEW")</f>
        <v>READY FOR REVIEW</v>
      </c>
      <c r="AH10" s="135"/>
      <c r="AI10" s="403" t="str">
        <f>IFERROR(__xludf.DUMMYFUNCTION("""COMPUTED_VALUE"""),"Similar units than USA / Canada")</f>
        <v>Similar units than USA / Canada</v>
      </c>
      <c r="AJ10" s="403" t="str">
        <f>IFERROR(__xludf.DUMMYFUNCTION("""COMPUTED_VALUE"""),"Y")</f>
        <v>Y</v>
      </c>
      <c r="AK10" s="403" t="str">
        <f>IFERROR(__xludf.DUMMYFUNCTION("""COMPUTED_VALUE"""),"Y")</f>
        <v>Y</v>
      </c>
      <c r="AL10" s="403" t="str">
        <f>IFERROR(__xludf.DUMMYFUNCTION("""COMPUTED_VALUE"""),"N")</f>
        <v>N</v>
      </c>
      <c r="AM10" s="403" t="str">
        <f>IFERROR(__xludf.DUMMYFUNCTION("""COMPUTED_VALUE"""),"N")</f>
        <v>N</v>
      </c>
      <c r="AN10" s="403" t="str">
        <f>IFERROR(__xludf.DUMMYFUNCTION("""COMPUTED_VALUE"""),"N")</f>
        <v>N</v>
      </c>
      <c r="AO10" s="403" t="str">
        <f>IFERROR(__xludf.DUMMYFUNCTION("""COMPUTED_VALUE"""),"N")</f>
        <v>N</v>
      </c>
      <c r="AP10" s="403" t="str">
        <f>IFERROR(__xludf.DUMMYFUNCTION("""COMPUTED_VALUE"""),"FAT - pre shipment review
SAT on full line")</f>
        <v>FAT - pre shipment review
SAT on full line</v>
      </c>
      <c r="AQ10" s="403" t="str">
        <f>IFERROR(__xludf.DUMMYFUNCTION("""COMPUTED_VALUE"""),"FAT Complete")</f>
        <v>FAT Complete</v>
      </c>
      <c r="AR10" s="411">
        <f>IFERROR(__xludf.DUMMYFUNCTION("""COMPUTED_VALUE"""),46003.0)</f>
        <v>46003</v>
      </c>
      <c r="AS10" s="411">
        <f>IFERROR(__xludf.DUMMYFUNCTION("""COMPUTED_VALUE"""),46010.0)</f>
        <v>46010</v>
      </c>
      <c r="AT10" s="411">
        <f>IFERROR(__xludf.DUMMYFUNCTION("""COMPUTED_VALUE"""),46031.0)</f>
        <v>46031</v>
      </c>
      <c r="AU10" s="403" t="str">
        <f>IFERROR(__xludf.DUMMYFUNCTION("""COMPUTED_VALUE"""),"Delivered")</f>
        <v>Delivered</v>
      </c>
      <c r="AV10" s="403" t="str">
        <f>IFERROR(__xludf.DUMMYFUNCTION("""COMPUTED_VALUE"""),"Y")</f>
        <v>Y</v>
      </c>
      <c r="AW10" s="403" t="str">
        <f>IFERROR(__xludf.DUMMYFUNCTION("""COMPUTED_VALUE"""),"Move into place
Connect Air
Connect MAP Gas")</f>
        <v>Move into place
Connect Air
Connect MAP Gas</v>
      </c>
      <c r="AX10" s="403" t="str">
        <f>IFERROR(__xludf.DUMMYFUNCTION("""COMPUTED_VALUE"""),"film, bentos
need dry fill - beans, rice, something to take volume")</f>
        <v>film, bentos
need dry fill - beans, rice, something to take volume</v>
      </c>
      <c r="AY10" s="370"/>
      <c r="AZ10" s="412"/>
      <c r="BA10" s="413"/>
      <c r="BB10" s="413"/>
      <c r="BC10" s="413"/>
      <c r="BD10" s="413"/>
      <c r="BE10" s="414"/>
      <c r="BF10" s="415"/>
    </row>
    <row r="11" ht="27.0" customHeight="1">
      <c r="A11" s="400" t="str">
        <f>IFERROR(__xludf.DUMMYFUNCTION("""COMPUTED_VALUE"""),"E07")</f>
        <v>E07</v>
      </c>
      <c r="B11" s="401" t="str">
        <f>IFERROR(__xludf.DUMMYFUNCTION("""COMPUTED_VALUE"""),"Rack washers")</f>
        <v>Rack washers</v>
      </c>
      <c r="C11" s="402" t="str">
        <f>IFERROR(__xludf.DUMMYFUNCTION("""COMPUTED_VALUE"""),"N/A")</f>
        <v>N/A</v>
      </c>
      <c r="D11" s="403" t="str">
        <f>IFERROR(__xludf.DUMMYFUNCTION("""COMPUTED_VALUE"""),"Hobart")</f>
        <v>Hobart</v>
      </c>
      <c r="E11" s="403" t="str">
        <f>IFERROR(__xludf.DUMMYFUNCTION("""COMPUTED_VALUE"""),"ACW")</f>
        <v>ACW</v>
      </c>
      <c r="F11" s="403" t="str">
        <f>IFERROR(__xludf.DUMMYFUNCTION("""COMPUTED_VALUE"""),"N/A")</f>
        <v>N/A</v>
      </c>
      <c r="G11" s="403" t="str">
        <f>IFERROR(__xludf.DUMMYFUNCTION("""COMPUTED_VALUE"""),"see E40 - different technology selected")</f>
        <v>see E40 - different technology selected</v>
      </c>
      <c r="H11" s="370"/>
      <c r="I11" s="403" t="str">
        <f>IFERROR(__xludf.DUMMYFUNCTION("""COMPUTED_VALUE"""),"N/A")</f>
        <v>N/A</v>
      </c>
      <c r="J11" s="403" t="str">
        <f>IFERROR(__xludf.DUMMYFUNCTION("""COMPUTED_VALUE"""),"N/A")</f>
        <v>N/A</v>
      </c>
      <c r="K11" s="403" t="str">
        <f>IFERROR(__xludf.DUMMYFUNCTION("""COMPUTED_VALUE"""),"N/A")</f>
        <v>N/A</v>
      </c>
      <c r="L11" s="403" t="str">
        <f>IFERROR(__xludf.DUMMYFUNCTION("""COMPUTED_VALUE"""),"N/A")</f>
        <v>N/A</v>
      </c>
      <c r="M11" s="403">
        <f>IFERROR(__xludf.DUMMYFUNCTION("""COMPUTED_VALUE"""),1.0)</f>
        <v>1</v>
      </c>
      <c r="N11" s="403">
        <f>IFERROR(__xludf.DUMMYFUNCTION("""COMPUTED_VALUE"""),0.0)</f>
        <v>0</v>
      </c>
      <c r="O11" s="403">
        <f>IFERROR(__xludf.DUMMYFUNCTION("""COMPUTED_VALUE"""),0.0)</f>
        <v>0</v>
      </c>
      <c r="P11" s="403">
        <f>IFERROR(__xludf.DUMMYFUNCTION("""COMPUTED_VALUE"""),2.0)</f>
        <v>2</v>
      </c>
      <c r="Q11" s="392">
        <f>IFERROR(__xludf.DUMMYFUNCTION("""COMPUTED_VALUE"""),3.0)</f>
        <v>3</v>
      </c>
      <c r="R11" s="403" t="str">
        <f>IFERROR(__xludf.DUMMYFUNCTION("""COMPUTED_VALUE"""),"Hobart")</f>
        <v>Hobart</v>
      </c>
      <c r="S11" s="404">
        <f>IFERROR(__xludf.DUMMYFUNCTION("""COMPUTED_VALUE"""),178491.5)</f>
        <v>178491.5</v>
      </c>
      <c r="T11" s="404">
        <f>IFERROR(__xludf.DUMMYFUNCTION("""COMPUTED_VALUE"""),346665.3333333333)</f>
        <v>346665.3333</v>
      </c>
      <c r="U11" s="404">
        <f>IFERROR(__xludf.DUMMYFUNCTION("""COMPUTED_VALUE"""),173332.6666666667)</f>
        <v>173332.6667</v>
      </c>
      <c r="V11" s="404">
        <f>IFERROR(__xludf.DUMMYFUNCTION("""COMPUTED_VALUE"""),519998.0)</f>
        <v>519998</v>
      </c>
      <c r="W11" s="405">
        <f>IFERROR(__xludf.DUMMYFUNCTION("""COMPUTED_VALUE"""),0.0)</f>
        <v>0</v>
      </c>
      <c r="X11" s="404">
        <f>IFERROR(__xludf.DUMMYFUNCTION("""COMPUTED_VALUE"""),178491.5)</f>
        <v>178491.5</v>
      </c>
      <c r="Y11" s="404">
        <f>IFERROR(__xludf.DUMMYFUNCTION("""COMPUTED_VALUE"""),0.0)</f>
        <v>0</v>
      </c>
      <c r="Z11" s="404">
        <f>IFERROR(__xludf.DUMMYFUNCTION("""COMPUTED_VALUE"""),0.0)</f>
        <v>0</v>
      </c>
      <c r="AA11" s="404">
        <f>IFERROR(__xludf.DUMMYFUNCTION("""COMPUTED_VALUE"""),356983.0)</f>
        <v>356983</v>
      </c>
      <c r="AB11" s="404">
        <f>IFERROR(__xludf.DUMMYFUNCTION("""COMPUTED_VALUE"""),356983.0)</f>
        <v>356983</v>
      </c>
      <c r="AC11" s="406"/>
      <c r="AD11" s="407">
        <f>IFERROR(__xludf.DUMMYFUNCTION("""COMPUTED_VALUE"""),0.0)</f>
        <v>0</v>
      </c>
      <c r="AE11" s="408">
        <f>IFERROR(__xludf.DUMMYFUNCTION("""COMPUTED_VALUE"""),0.0)</f>
        <v>0</v>
      </c>
      <c r="AF11" s="409">
        <f>IFERROR(__xludf.DUMMYFUNCTION("""COMPUTED_VALUE"""),0.0)</f>
        <v>0</v>
      </c>
      <c r="AG11" s="403" t="str">
        <f>IFERROR(__xludf.DUMMYFUNCTION("""COMPUTED_VALUE"""),"N/A")</f>
        <v>N/A</v>
      </c>
      <c r="AH11" s="403" t="str">
        <f>IFERROR(__xludf.DUMMYFUNCTION("""COMPUTED_VALUE"""),"N/A")</f>
        <v>N/A</v>
      </c>
      <c r="AI11" s="403" t="str">
        <f>IFERROR(__xludf.DUMMYFUNCTION("""COMPUTED_VALUE"""),"N/A")</f>
        <v>N/A</v>
      </c>
      <c r="AJ11" s="403" t="str">
        <f>IFERROR(__xludf.DUMMYFUNCTION("""COMPUTED_VALUE"""),"N/A")</f>
        <v>N/A</v>
      </c>
      <c r="AK11" s="403" t="str">
        <f>IFERROR(__xludf.DUMMYFUNCTION("""COMPUTED_VALUE"""),"N/A")</f>
        <v>N/A</v>
      </c>
      <c r="AL11" s="403" t="str">
        <f>IFERROR(__xludf.DUMMYFUNCTION("""COMPUTED_VALUE"""),"N/A")</f>
        <v>N/A</v>
      </c>
      <c r="AM11" s="403" t="str">
        <f>IFERROR(__xludf.DUMMYFUNCTION("""COMPUTED_VALUE"""),"N/A")</f>
        <v>N/A</v>
      </c>
      <c r="AN11" s="403" t="str">
        <f>IFERROR(__xludf.DUMMYFUNCTION("""COMPUTED_VALUE"""),"N/A")</f>
        <v>N/A</v>
      </c>
      <c r="AO11" s="403" t="str">
        <f>IFERROR(__xludf.DUMMYFUNCTION("""COMPUTED_VALUE"""),"N/A")</f>
        <v>N/A</v>
      </c>
      <c r="AP11" s="403" t="str">
        <f>IFERROR(__xludf.DUMMYFUNCTION("""COMPUTED_VALUE"""),"N/A")</f>
        <v>N/A</v>
      </c>
      <c r="AQ11" s="403" t="str">
        <f>IFERROR(__xludf.DUMMYFUNCTION("""COMPUTED_VALUE"""),"Not Req")</f>
        <v>Not Req</v>
      </c>
      <c r="AR11" s="403" t="str">
        <f>IFERROR(__xludf.DUMMYFUNCTION("""COMPUTED_VALUE"""),"N/A")</f>
        <v>N/A</v>
      </c>
      <c r="AS11" s="403" t="str">
        <f>IFERROR(__xludf.DUMMYFUNCTION("""COMPUTED_VALUE"""),"N/A")</f>
        <v>N/A</v>
      </c>
      <c r="AT11" s="403" t="str">
        <f>IFERROR(__xludf.DUMMYFUNCTION("""COMPUTED_VALUE"""),"N/A")</f>
        <v>N/A</v>
      </c>
      <c r="AU11" s="403" t="str">
        <f>IFERROR(__xludf.DUMMYFUNCTION("""COMPUTED_VALUE"""),"Not Req.")</f>
        <v>Not Req.</v>
      </c>
      <c r="AV11" s="403" t="str">
        <f>IFERROR(__xludf.DUMMYFUNCTION("""COMPUTED_VALUE"""),"N/A")</f>
        <v>N/A</v>
      </c>
      <c r="AW11" s="403" t="str">
        <f>IFERROR(__xludf.DUMMYFUNCTION("""COMPUTED_VALUE"""),"N/A")</f>
        <v>N/A</v>
      </c>
      <c r="AX11" s="403" t="str">
        <f>IFERROR(__xludf.DUMMYFUNCTION("""COMPUTED_VALUE"""),"N/A")</f>
        <v>N/A</v>
      </c>
      <c r="AY11" s="370"/>
      <c r="AZ11" s="412"/>
      <c r="BA11" s="413"/>
      <c r="BB11" s="413"/>
      <c r="BC11" s="413"/>
      <c r="BD11" s="413"/>
      <c r="BE11" s="414"/>
      <c r="BF11" s="415"/>
    </row>
    <row r="12">
      <c r="A12" s="400" t="str">
        <f>IFERROR(__xludf.DUMMYFUNCTION("""COMPUTED_VALUE"""),"E08")</f>
        <v>E08</v>
      </c>
      <c r="B12" s="401" t="str">
        <f>IFERROR(__xludf.DUMMYFUNCTION("""COMPUTED_VALUE"""),"Tunnel Washers")</f>
        <v>Tunnel Washers</v>
      </c>
      <c r="C12" s="402" t="str">
        <f>IFERROR(__xludf.DUMMYFUNCTION("""COMPUTED_VALUE"""),"Olivier Lemieux")</f>
        <v>Olivier Lemieux</v>
      </c>
      <c r="D12" s="403" t="str">
        <f>IFERROR(__xludf.DUMMYFUNCTION("""COMPUTED_VALUE"""),"Hobart")</f>
        <v>Hobart</v>
      </c>
      <c r="E12" s="403" t="str">
        <f>IFERROR(__xludf.DUMMYFUNCTION("""COMPUTED_VALUE"""),"FUX IAS")</f>
        <v>FUX IAS</v>
      </c>
      <c r="F12" s="403" t="str">
        <f>IFERROR(__xludf.DUMMYFUNCTION("""COMPUTED_VALUE"""),"Ordered")</f>
        <v>Ordered</v>
      </c>
      <c r="G12" s="420" t="str">
        <f>IFERROR(__xludf.DUMMYFUNCTION("""COMPUTED_VALUE"""),"SAT")</f>
        <v>SAT</v>
      </c>
      <c r="H12" s="370"/>
      <c r="I12" s="403" t="str">
        <f>IFERROR(__xludf.DUMMYFUNCTION("""COMPUTED_VALUE"""),"RELEASED - Nov.13 2024")</f>
        <v>RELEASED - Nov.13 2024</v>
      </c>
      <c r="J12" s="403" t="str">
        <f>IFERROR(__xludf.DUMMYFUNCTION("""COMPUTED_VALUE"""),"P05400003DEFB")</f>
        <v>P05400003DEFB</v>
      </c>
      <c r="K12" s="403" t="str">
        <f>IFERROR(__xludf.DUMMYFUNCTION("""COMPUTED_VALUE"""),"20 weeks")</f>
        <v>20 weeks</v>
      </c>
      <c r="L12" s="403" t="str">
        <f>IFERROR(__xludf.DUMMYFUNCTION("""COMPUTED_VALUE"""),"YES")</f>
        <v>YES</v>
      </c>
      <c r="M12" s="403">
        <f>IFERROR(__xludf.DUMMYFUNCTION("""COMPUTED_VALUE"""),2.0)</f>
        <v>2</v>
      </c>
      <c r="N12" s="403">
        <f>IFERROR(__xludf.DUMMYFUNCTION("""COMPUTED_VALUE"""),0.0)</f>
        <v>0</v>
      </c>
      <c r="O12" s="403">
        <f>IFERROR(__xludf.DUMMYFUNCTION("""COMPUTED_VALUE"""),0.0)</f>
        <v>0</v>
      </c>
      <c r="P12" s="403">
        <f>IFERROR(__xludf.DUMMYFUNCTION("""COMPUTED_VALUE"""),1.0)</f>
        <v>1</v>
      </c>
      <c r="Q12" s="392">
        <f>IFERROR(__xludf.DUMMYFUNCTION("""COMPUTED_VALUE"""),3.0)</f>
        <v>3</v>
      </c>
      <c r="R12" s="403" t="str">
        <f>IFERROR(__xludf.DUMMYFUNCTION("""COMPUTED_VALUE"""),"Hobart")</f>
        <v>Hobart</v>
      </c>
      <c r="S12" s="404">
        <f>IFERROR(__xludf.DUMMYFUNCTION("""COMPUTED_VALUE"""),513591.14999999997)</f>
        <v>513591.15</v>
      </c>
      <c r="T12" s="404">
        <f>IFERROR(__xludf.DUMMYFUNCTION("""COMPUTED_VALUE"""),869182.0)</f>
        <v>869182</v>
      </c>
      <c r="U12" s="404">
        <f>IFERROR(__xludf.DUMMYFUNCTION("""COMPUTED_VALUE"""),434591.0)</f>
        <v>434591</v>
      </c>
      <c r="V12" s="404">
        <f>IFERROR(__xludf.DUMMYFUNCTION("""COMPUTED_VALUE"""),1303773.0)</f>
        <v>1303773</v>
      </c>
      <c r="W12" s="405">
        <f>IFERROR(__xludf.DUMMYFUNCTION("""COMPUTED_VALUE"""),884814.0)</f>
        <v>884814</v>
      </c>
      <c r="X12" s="404">
        <f>IFERROR(__xludf.DUMMYFUNCTION("""COMPUTED_VALUE"""),1027182.2999999999)</f>
        <v>1027182.3</v>
      </c>
      <c r="Y12" s="404">
        <f>IFERROR(__xludf.DUMMYFUNCTION("""COMPUTED_VALUE"""),0.0)</f>
        <v>0</v>
      </c>
      <c r="Z12" s="404">
        <f>IFERROR(__xludf.DUMMYFUNCTION("""COMPUTED_VALUE"""),0.0)</f>
        <v>0</v>
      </c>
      <c r="AA12" s="404">
        <f>IFERROR(__xludf.DUMMYFUNCTION("""COMPUTED_VALUE"""),513591.14999999997)</f>
        <v>513591.15</v>
      </c>
      <c r="AB12" s="404">
        <f>IFERROR(__xludf.DUMMYFUNCTION("""COMPUTED_VALUE"""),1398405.15)</f>
        <v>1398405.15</v>
      </c>
      <c r="AC12" s="406"/>
      <c r="AD12" s="407">
        <f>IFERROR(__xludf.DUMMYFUNCTION("""COMPUTED_VALUE"""),884814.0)</f>
        <v>884814</v>
      </c>
      <c r="AE12" s="408">
        <f>IFERROR(__xludf.DUMMYFUNCTION("""COMPUTED_VALUE"""),0.8613991888294805)</f>
        <v>0.8613991888</v>
      </c>
      <c r="AF12" s="409">
        <f>IFERROR(__xludf.DUMMYFUNCTION("""COMPUTED_VALUE"""),0.0)</f>
        <v>0</v>
      </c>
      <c r="AG12" s="370"/>
      <c r="AH12" s="370"/>
      <c r="AI12" s="370"/>
      <c r="AJ12" s="403" t="str">
        <f>IFERROR(__xludf.DUMMYFUNCTION("""COMPUTED_VALUE"""),"Y")</f>
        <v>Y</v>
      </c>
      <c r="AK12" s="403" t="str">
        <f>IFERROR(__xludf.DUMMYFUNCTION("""COMPUTED_VALUE"""),"Y")</f>
        <v>Y</v>
      </c>
      <c r="AL12" s="403" t="str">
        <f>IFERROR(__xludf.DUMMYFUNCTION("""COMPUTED_VALUE"""),"N")</f>
        <v>N</v>
      </c>
      <c r="AM12" s="403" t="str">
        <f>IFERROR(__xludf.DUMMYFUNCTION("""COMPUTED_VALUE"""),"N")</f>
        <v>N</v>
      </c>
      <c r="AN12" s="403" t="str">
        <f>IFERROR(__xludf.DUMMYFUNCTION("""COMPUTED_VALUE"""),"N")</f>
        <v>N</v>
      </c>
      <c r="AO12" s="403" t="str">
        <f>IFERROR(__xludf.DUMMYFUNCTION("""COMPUTED_VALUE"""),"Y*")</f>
        <v>Y*</v>
      </c>
      <c r="AP12" s="370"/>
      <c r="AQ12" s="403" t="str">
        <f>IFERROR(__xludf.DUMMYFUNCTION("""COMPUTED_VALUE"""),"FAT Complete")</f>
        <v>FAT Complete</v>
      </c>
      <c r="AR12" s="411">
        <f>IFERROR(__xludf.DUMMYFUNCTION("""COMPUTED_VALUE"""),46031.0)</f>
        <v>46031</v>
      </c>
      <c r="AS12" s="411">
        <f>IFERROR(__xludf.DUMMYFUNCTION("""COMPUTED_VALUE"""),46038.0)</f>
        <v>46038</v>
      </c>
      <c r="AT12" s="411">
        <f>IFERROR(__xludf.DUMMYFUNCTION("""COMPUTED_VALUE"""),46038.0)</f>
        <v>46038</v>
      </c>
      <c r="AU12" s="403" t="str">
        <f>IFERROR(__xludf.DUMMYFUNCTION("""COMPUTED_VALUE"""),"Ordered")</f>
        <v>Ordered</v>
      </c>
      <c r="AV12" s="403" t="str">
        <f>IFERROR(__xludf.DUMMYFUNCTION("""COMPUTED_VALUE"""),"Y")</f>
        <v>Y</v>
      </c>
      <c r="AW12" s="403" t="str">
        <f>IFERROR(__xludf.DUMMYFUNCTION("""COMPUTED_VALUE"""),"move into place
complete vent installation
connect water
connect chemicals
connect electricity")</f>
        <v>move into place
complete vent installation
connect water
connect chemicals
connect electricity</v>
      </c>
      <c r="AX12" s="403" t="str">
        <f>IFERROR(__xludf.DUMMYFUNCTION("""COMPUTED_VALUE"""),"Soiled equipment - direct from prod")</f>
        <v>Soiled equipment - direct from prod</v>
      </c>
      <c r="AY12" s="370"/>
      <c r="AZ12" s="412"/>
      <c r="BA12" s="413"/>
      <c r="BB12" s="413"/>
      <c r="BC12" s="413"/>
      <c r="BD12" s="413"/>
      <c r="BE12" s="414"/>
      <c r="BF12" s="415"/>
    </row>
    <row r="13">
      <c r="A13" s="400" t="str">
        <f>IFERROR(__xludf.DUMMYFUNCTION("""COMPUTED_VALUE"""),"E09")</f>
        <v>E09</v>
      </c>
      <c r="B13" s="401" t="str">
        <f>IFERROR(__xludf.DUMMYFUNCTION("""COMPUTED_VALUE"""),"Mixers")</f>
        <v>Mixers</v>
      </c>
      <c r="C13" s="402" t="str">
        <f>IFERROR(__xludf.DUMMYFUNCTION("""COMPUTED_VALUE"""),"Olivier Lemieux")</f>
        <v>Olivier Lemieux</v>
      </c>
      <c r="D13" s="403" t="str">
        <f>IFERROR(__xludf.DUMMYFUNCTION("""COMPUTED_VALUE"""),"AlexanderSolia")</f>
        <v>AlexanderSolia</v>
      </c>
      <c r="E13" s="403" t="str">
        <f>IFERROR(__xludf.DUMMYFUNCTION("""COMPUTED_VALUE"""),"Ergo 140")</f>
        <v>Ergo 140</v>
      </c>
      <c r="F13" s="403" t="str">
        <f>IFERROR(__xludf.DUMMYFUNCTION("""COMPUTED_VALUE"""),"Ordered")</f>
        <v>Ordered</v>
      </c>
      <c r="G13" s="403" t="str">
        <f>IFERROR(__xludf.DUMMYFUNCTION("""COMPUTED_VALUE"""),"SAT")</f>
        <v>SAT</v>
      </c>
      <c r="H13" s="370"/>
      <c r="I13" s="403" t="str">
        <f>IFERROR(__xludf.DUMMYFUNCTION("""COMPUTED_VALUE"""),"Equipment - Mar. 17, 2025
Spare Parts: Mar. 14, 2025
Whisks swap: Oct 23, 2025")</f>
        <v>Equipment - Mar. 17, 2025
Spare Parts: Mar. 14, 2025
Whisks swap: Oct 23, 2025</v>
      </c>
      <c r="J13" s="403" t="str">
        <f>IFERROR(__xludf.DUMMYFUNCTION("""COMPUTED_VALUE"""),"P05400011DEFB
P05400009DEFB
P05400050DEFB")</f>
        <v>P05400011DEFB
P05400009DEFB
P05400050DEFB</v>
      </c>
      <c r="K13" s="403" t="str">
        <f>IFERROR(__xludf.DUMMYFUNCTION("""COMPUTED_VALUE"""),"8 weeks")</f>
        <v>8 weeks</v>
      </c>
      <c r="L13" s="403" t="str">
        <f>IFERROR(__xludf.DUMMYFUNCTION("""COMPUTED_VALUE"""),"YES")</f>
        <v>YES</v>
      </c>
      <c r="M13" s="403">
        <f>IFERROR(__xludf.DUMMYFUNCTION("""COMPUTED_VALUE"""),6.0)</f>
        <v>6</v>
      </c>
      <c r="N13" s="403">
        <f>IFERROR(__xludf.DUMMYFUNCTION("""COMPUTED_VALUE"""),0.0)</f>
        <v>0</v>
      </c>
      <c r="O13" s="403">
        <f>IFERROR(__xludf.DUMMYFUNCTION("""COMPUTED_VALUE"""),0.0)</f>
        <v>0</v>
      </c>
      <c r="P13" s="403">
        <f>IFERROR(__xludf.DUMMYFUNCTION("""COMPUTED_VALUE"""),0.0)</f>
        <v>0</v>
      </c>
      <c r="Q13" s="392">
        <f>IFERROR(__xludf.DUMMYFUNCTION("""COMPUTED_VALUE"""),6.0)</f>
        <v>6</v>
      </c>
      <c r="R13" s="403" t="str">
        <f>IFERROR(__xludf.DUMMYFUNCTION("""COMPUTED_VALUE"""),"Boettger")</f>
        <v>Boettger</v>
      </c>
      <c r="S13" s="404">
        <f>IFERROR(__xludf.DUMMYFUNCTION("""COMPUTED_VALUE"""),40453.837499999994)</f>
        <v>40453.8375</v>
      </c>
      <c r="T13" s="404">
        <f>IFERROR(__xludf.DUMMYFUNCTION("""COMPUTED_VALUE"""),170938.0)</f>
        <v>170938</v>
      </c>
      <c r="U13" s="404">
        <f>IFERROR(__xludf.DUMMYFUNCTION("""COMPUTED_VALUE"""),0.0)</f>
        <v>0</v>
      </c>
      <c r="V13" s="404">
        <f>IFERROR(__xludf.DUMMYFUNCTION("""COMPUTED_VALUE"""),170938.0)</f>
        <v>170938</v>
      </c>
      <c r="W13" s="405">
        <f>IFERROR(__xludf.DUMMYFUNCTION("""COMPUTED_VALUE"""),288936.73)</f>
        <v>288936.73</v>
      </c>
      <c r="X13" s="404">
        <f>IFERROR(__xludf.DUMMYFUNCTION("""COMPUTED_VALUE"""),242723.02499999997)</f>
        <v>242723.025</v>
      </c>
      <c r="Y13" s="404">
        <f>IFERROR(__xludf.DUMMYFUNCTION("""COMPUTED_VALUE"""),0.0)</f>
        <v>0</v>
      </c>
      <c r="Z13" s="404">
        <f>IFERROR(__xludf.DUMMYFUNCTION("""COMPUTED_VALUE"""),0.0)</f>
        <v>0</v>
      </c>
      <c r="AA13" s="404">
        <f>IFERROR(__xludf.DUMMYFUNCTION("""COMPUTED_VALUE"""),0.0)</f>
        <v>0</v>
      </c>
      <c r="AB13" s="404">
        <f>IFERROR(__xludf.DUMMYFUNCTION("""COMPUTED_VALUE"""),288936.73)</f>
        <v>288936.73</v>
      </c>
      <c r="AC13" s="406"/>
      <c r="AD13" s="407">
        <f>IFERROR(__xludf.DUMMYFUNCTION("""COMPUTED_VALUE"""),300047.88999999996)</f>
        <v>300047.89</v>
      </c>
      <c r="AE13" s="408">
        <f>IFERROR(__xludf.DUMMYFUNCTION("""COMPUTED_VALUE"""),1.2361739888500483)</f>
        <v>1.236173989</v>
      </c>
      <c r="AF13" s="409">
        <f>IFERROR(__xludf.DUMMYFUNCTION("""COMPUTED_VALUE"""),11111.159999999974)</f>
        <v>11111.16</v>
      </c>
      <c r="AG13" s="370"/>
      <c r="AH13" s="403" t="str">
        <f>IFERROR(__xludf.DUMMYFUNCTION("""COMPUTED_VALUE"""),"Y")</f>
        <v>Y</v>
      </c>
      <c r="AI13" s="370"/>
      <c r="AJ13" s="403" t="str">
        <f>IFERROR(__xludf.DUMMYFUNCTION("""COMPUTED_VALUE"""),"N")</f>
        <v>N</v>
      </c>
      <c r="AK13" s="403" t="str">
        <f>IFERROR(__xludf.DUMMYFUNCTION("""COMPUTED_VALUE"""),"N")</f>
        <v>N</v>
      </c>
      <c r="AL13" s="403" t="str">
        <f>IFERROR(__xludf.DUMMYFUNCTION("""COMPUTED_VALUE"""),"Y")</f>
        <v>Y</v>
      </c>
      <c r="AM13" s="403" t="str">
        <f>IFERROR(__xludf.DUMMYFUNCTION("""COMPUTED_VALUE"""),"Y")</f>
        <v>Y</v>
      </c>
      <c r="AN13" s="403" t="str">
        <f>IFERROR(__xludf.DUMMYFUNCTION("""COMPUTED_VALUE"""),"N")</f>
        <v>N</v>
      </c>
      <c r="AO13" s="403" t="str">
        <f>IFERROR(__xludf.DUMMYFUNCTION("""COMPUTED_VALUE"""),"N")</f>
        <v>N</v>
      </c>
      <c r="AP13" s="370"/>
      <c r="AQ13" s="403" t="str">
        <f>IFERROR(__xludf.DUMMYFUNCTION("""COMPUTED_VALUE"""),"Not Req")</f>
        <v>Not Req</v>
      </c>
      <c r="AR13" s="411">
        <f>IFERROR(__xludf.DUMMYFUNCTION("""COMPUTED_VALUE"""),46000.0)</f>
        <v>46000</v>
      </c>
      <c r="AS13" s="411">
        <f>IFERROR(__xludf.DUMMYFUNCTION("""COMPUTED_VALUE"""),46001.0)</f>
        <v>46001</v>
      </c>
      <c r="AT13" s="411">
        <f>IFERROR(__xludf.DUMMYFUNCTION("""COMPUTED_VALUE"""),46002.0)</f>
        <v>46002</v>
      </c>
      <c r="AU13" s="403" t="str">
        <f>IFERROR(__xludf.DUMMYFUNCTION("""COMPUTED_VALUE"""),"Delivered")</f>
        <v>Delivered</v>
      </c>
      <c r="AV13" s="403" t="str">
        <f>IFERROR(__xludf.DUMMYFUNCTION("""COMPUTED_VALUE"""),"Functionality")</f>
        <v>Functionality</v>
      </c>
      <c r="AW13" s="403" t="str">
        <f>IFERROR(__xludf.DUMMYFUNCTION("""COMPUTED_VALUE"""),"Move into place")</f>
        <v>Move into place</v>
      </c>
      <c r="AX13" s="403" t="str">
        <f>IFERROR(__xludf.DUMMYFUNCTION("""COMPUTED_VALUE"""),"herbal butter while training operators (?)")</f>
        <v>herbal butter while training operators (?)</v>
      </c>
      <c r="AY13" s="370"/>
      <c r="AZ13" s="412"/>
      <c r="BA13" s="413"/>
      <c r="BB13" s="413"/>
      <c r="BC13" s="413"/>
      <c r="BD13" s="413"/>
      <c r="BE13" s="414"/>
      <c r="BF13" s="415"/>
    </row>
    <row r="14">
      <c r="A14" s="400" t="str">
        <f>IFERROR(__xludf.DUMMYFUNCTION("""COMPUTED_VALUE"""),"E10")</f>
        <v>E10</v>
      </c>
      <c r="B14" s="401" t="str">
        <f>IFERROR(__xludf.DUMMYFUNCTION("""COMPUTED_VALUE"""),"Cup Machine")</f>
        <v>Cup Machine</v>
      </c>
      <c r="C14" s="402" t="str">
        <f>IFERROR(__xludf.DUMMYFUNCTION("""COMPUTED_VALUE"""),"Olivier Lemieux")</f>
        <v>Olivier Lemieux</v>
      </c>
      <c r="D14" s="403" t="str">
        <f>IFERROR(__xludf.DUMMYFUNCTION("""COMPUTED_VALUE"""),"Waldner")</f>
        <v>Waldner</v>
      </c>
      <c r="E14" s="403" t="str">
        <f>IFERROR(__xludf.DUMMYFUNCTION("""COMPUTED_VALUE"""),"Dosomat")</f>
        <v>Dosomat</v>
      </c>
      <c r="F14" s="403" t="str">
        <f>IFERROR(__xludf.DUMMYFUNCTION("""COMPUTED_VALUE"""),"Phase 1.1")</f>
        <v>Phase 1.1</v>
      </c>
      <c r="G14" s="403" t="str">
        <f>IFERROR(__xludf.DUMMYFUNCTION("""COMPUTED_VALUE"""),"Launch cupping manually")</f>
        <v>Launch cupping manually</v>
      </c>
      <c r="H14" s="370"/>
      <c r="I14" s="370"/>
      <c r="J14" s="370"/>
      <c r="K14" s="370"/>
      <c r="L14" s="370"/>
      <c r="M14" s="403">
        <f>IFERROR(__xludf.DUMMYFUNCTION("""COMPUTED_VALUE"""),0.0)</f>
        <v>0</v>
      </c>
      <c r="N14" s="417">
        <f>IFERROR(__xludf.DUMMYFUNCTION("""COMPUTED_VALUE"""),1.0)</f>
        <v>1</v>
      </c>
      <c r="O14" s="403">
        <f>IFERROR(__xludf.DUMMYFUNCTION("""COMPUTED_VALUE"""),0.0)</f>
        <v>0</v>
      </c>
      <c r="P14" s="403">
        <f>IFERROR(__xludf.DUMMYFUNCTION("""COMPUTED_VALUE"""),1.0)</f>
        <v>1</v>
      </c>
      <c r="Q14" s="392">
        <f>IFERROR(__xludf.DUMMYFUNCTION("""COMPUTED_VALUE"""),2.0)</f>
        <v>2</v>
      </c>
      <c r="R14" s="403" t="str">
        <f>IFERROR(__xludf.DUMMYFUNCTION("""COMPUTED_VALUE"""),"Waldner")</f>
        <v>Waldner</v>
      </c>
      <c r="S14" s="404">
        <f>IFERROR(__xludf.DUMMYFUNCTION("""COMPUTED_VALUE"""),202882.99999999997)</f>
        <v>202883</v>
      </c>
      <c r="T14" s="404">
        <f>IFERROR(__xludf.DUMMYFUNCTION("""COMPUTED_VALUE"""),194636.0)</f>
        <v>194636</v>
      </c>
      <c r="U14" s="404">
        <f>IFERROR(__xludf.DUMMYFUNCTION("""COMPUTED_VALUE"""),194636.0)</f>
        <v>194636</v>
      </c>
      <c r="V14" s="404">
        <f>IFERROR(__xludf.DUMMYFUNCTION("""COMPUTED_VALUE"""),389272.0)</f>
        <v>389272</v>
      </c>
      <c r="W14" s="405">
        <f>IFERROR(__xludf.DUMMYFUNCTION("""COMPUTED_VALUE"""),0.0)</f>
        <v>0</v>
      </c>
      <c r="X14" s="404">
        <f>IFERROR(__xludf.DUMMYFUNCTION("""COMPUTED_VALUE"""),0.0)</f>
        <v>0</v>
      </c>
      <c r="Y14" s="404">
        <f>IFERROR(__xludf.DUMMYFUNCTION("""COMPUTED_VALUE"""),202882.99999999997)</f>
        <v>202883</v>
      </c>
      <c r="Z14" s="404">
        <f>IFERROR(__xludf.DUMMYFUNCTION("""COMPUTED_VALUE"""),0.0)</f>
        <v>0</v>
      </c>
      <c r="AA14" s="404">
        <f>IFERROR(__xludf.DUMMYFUNCTION("""COMPUTED_VALUE"""),202882.99999999997)</f>
        <v>202883</v>
      </c>
      <c r="AB14" s="404">
        <f>IFERROR(__xludf.DUMMYFUNCTION("""COMPUTED_VALUE"""),405765.99999999994)</f>
        <v>405766</v>
      </c>
      <c r="AC14" s="406"/>
      <c r="AD14" s="419">
        <f>IFERROR(__xludf.DUMMYFUNCTION("""COMPUTED_VALUE"""),0.0)</f>
        <v>0</v>
      </c>
      <c r="AE14" s="408" t="str">
        <f>IFERROR(__xludf.DUMMYFUNCTION("""COMPUTED_VALUE"""),"TBD")</f>
        <v>TBD</v>
      </c>
      <c r="AF14" s="409">
        <f>IFERROR(__xludf.DUMMYFUNCTION("""COMPUTED_VALUE"""),0.0)</f>
        <v>0</v>
      </c>
      <c r="AG14" s="370"/>
      <c r="AH14" s="370"/>
      <c r="AI14" s="370"/>
      <c r="AJ14" s="403" t="str">
        <f>IFERROR(__xludf.DUMMYFUNCTION("""COMPUTED_VALUE"""),"Y")</f>
        <v>Y</v>
      </c>
      <c r="AK14" s="403" t="str">
        <f>IFERROR(__xludf.DUMMYFUNCTION("""COMPUTED_VALUE"""),"Y")</f>
        <v>Y</v>
      </c>
      <c r="AL14" s="403" t="str">
        <f>IFERROR(__xludf.DUMMYFUNCTION("""COMPUTED_VALUE"""),"N")</f>
        <v>N</v>
      </c>
      <c r="AM14" s="403" t="str">
        <f>IFERROR(__xludf.DUMMYFUNCTION("""COMPUTED_VALUE"""),"N")</f>
        <v>N</v>
      </c>
      <c r="AN14" s="403" t="str">
        <f>IFERROR(__xludf.DUMMYFUNCTION("""COMPUTED_VALUE"""),"N")</f>
        <v>N</v>
      </c>
      <c r="AO14" s="403" t="str">
        <f>IFERROR(__xludf.DUMMYFUNCTION("""COMPUTED_VALUE"""),"N")</f>
        <v>N</v>
      </c>
      <c r="AP14" s="403" t="str">
        <f>IFERROR(__xludf.DUMMYFUNCTION("""COMPUTED_VALUE"""),"FAT - pre shipment review
SAT on full line")</f>
        <v>FAT - pre shipment review
SAT on full line</v>
      </c>
      <c r="AQ14" s="403" t="str">
        <f>IFERROR(__xludf.DUMMYFUNCTION("""COMPUTED_VALUE"""),"Phase 1.1")</f>
        <v>Phase 1.1</v>
      </c>
      <c r="AR14" s="403" t="str">
        <f>IFERROR(__xludf.DUMMYFUNCTION("""COMPUTED_VALUE"""),"Phase 1.1")</f>
        <v>Phase 1.1</v>
      </c>
      <c r="AS14" s="403" t="str">
        <f>IFERROR(__xludf.DUMMYFUNCTION("""COMPUTED_VALUE"""),"Phase 1.1")</f>
        <v>Phase 1.1</v>
      </c>
      <c r="AT14" s="403" t="str">
        <f>IFERROR(__xludf.DUMMYFUNCTION("""COMPUTED_VALUE"""),"Phase 1.1")</f>
        <v>Phase 1.1</v>
      </c>
      <c r="AU14" s="403" t="str">
        <f>IFERROR(__xludf.DUMMYFUNCTION("""COMPUTED_VALUE"""),"Phase 1.1")</f>
        <v>Phase 1.1</v>
      </c>
      <c r="AV14" s="421" t="str">
        <f>IFERROR(__xludf.DUMMYFUNCTION("""COMPUTED_VALUE"""),"TBD")</f>
        <v>TBD</v>
      </c>
      <c r="AW14" s="403" t="str">
        <f>IFERROR(__xludf.DUMMYFUNCTION("""COMPUTED_VALUE"""),"move into place
connect air")</f>
        <v>move into place
connect air</v>
      </c>
      <c r="AX14" s="403" t="str">
        <f>IFERROR(__xludf.DUMMYFUNCTION("""COMPUTED_VALUE"""),"N/A")</f>
        <v>N/A</v>
      </c>
      <c r="AY14" s="370"/>
      <c r="AZ14" s="412"/>
      <c r="BA14" s="413"/>
      <c r="BB14" s="413"/>
      <c r="BC14" s="413"/>
      <c r="BD14" s="413"/>
      <c r="BE14" s="414"/>
      <c r="BF14" s="415"/>
    </row>
    <row r="15" ht="27.0" customHeight="1">
      <c r="A15" s="400" t="str">
        <f>IFERROR(__xludf.DUMMYFUNCTION("""COMPUTED_VALUE"""),"E11")</f>
        <v>E11</v>
      </c>
      <c r="B15" s="401" t="str">
        <f>IFERROR(__xludf.DUMMYFUNCTION("""COMPUTED_VALUE"""),"Blenders")</f>
        <v>Blenders</v>
      </c>
      <c r="C15" s="402" t="str">
        <f>IFERROR(__xludf.DUMMYFUNCTION("""COMPUTED_VALUE"""),"Olivier Lemieux")</f>
        <v>Olivier Lemieux</v>
      </c>
      <c r="D15" s="403" t="str">
        <f>IFERROR(__xludf.DUMMYFUNCTION("""COMPUTED_VALUE"""),"Robot Coupe")</f>
        <v>Robot Coupe</v>
      </c>
      <c r="E15" s="403" t="str">
        <f>IFERROR(__xludf.DUMMYFUNCTION("""COMPUTED_VALUE"""),"MP-800-Turbo")</f>
        <v>MP-800-Turbo</v>
      </c>
      <c r="F15" s="403" t="str">
        <f>IFERROR(__xludf.DUMMYFUNCTION("""COMPUTED_VALUE"""),"Ordered")</f>
        <v>Ordered</v>
      </c>
      <c r="G15" s="403" t="str">
        <f>IFERROR(__xludf.DUMMYFUNCTION("""COMPUTED_VALUE"""),"SAT")</f>
        <v>SAT</v>
      </c>
      <c r="H15" s="370"/>
      <c r="I15" s="403" t="str">
        <f>IFERROR(__xludf.DUMMYFUNCTION("""COMPUTED_VALUE"""),"Equipment - Mar. 14, 2025
Spare Parts: Mar 19, 2025")</f>
        <v>Equipment - Mar. 14, 2025
Spare Parts: Mar 19, 2025</v>
      </c>
      <c r="J15" s="403" t="str">
        <f>IFERROR(__xludf.DUMMYFUNCTION("""COMPUTED_VALUE"""),"P05400007DEFB
P05400014DEFB")</f>
        <v>P05400007DEFB
P05400014DEFB</v>
      </c>
      <c r="K15" s="403" t="str">
        <f>IFERROR(__xludf.DUMMYFUNCTION("""COMPUTED_VALUE"""),"8 weeks")</f>
        <v>8 weeks</v>
      </c>
      <c r="L15" s="370"/>
      <c r="M15" s="403">
        <f>IFERROR(__xludf.DUMMYFUNCTION("""COMPUTED_VALUE"""),6.0)</f>
        <v>6</v>
      </c>
      <c r="N15" s="403">
        <f>IFERROR(__xludf.DUMMYFUNCTION("""COMPUTED_VALUE"""),0.0)</f>
        <v>0</v>
      </c>
      <c r="O15" s="403">
        <f>IFERROR(__xludf.DUMMYFUNCTION("""COMPUTED_VALUE"""),0.0)</f>
        <v>0</v>
      </c>
      <c r="P15" s="403">
        <f>IFERROR(__xludf.DUMMYFUNCTION("""COMPUTED_VALUE"""),6.0)</f>
        <v>6</v>
      </c>
      <c r="Q15" s="392">
        <f>IFERROR(__xludf.DUMMYFUNCTION("""COMPUTED_VALUE"""),12.0)</f>
        <v>12</v>
      </c>
      <c r="R15" s="403" t="str">
        <f>IFERROR(__xludf.DUMMYFUNCTION("""COMPUTED_VALUE"""),"Boettger")</f>
        <v>Boettger</v>
      </c>
      <c r="S15" s="404">
        <f>IFERROR(__xludf.DUMMYFUNCTION("""COMPUTED_VALUE"""),1503.7745)</f>
        <v>1503.7745</v>
      </c>
      <c r="T15" s="404">
        <f>IFERROR(__xludf.DUMMYFUNCTION("""COMPUTED_VALUE"""),12373.0)</f>
        <v>12373</v>
      </c>
      <c r="U15" s="404">
        <f>IFERROR(__xludf.DUMMYFUNCTION("""COMPUTED_VALUE"""),12373.0)</f>
        <v>12373</v>
      </c>
      <c r="V15" s="404">
        <f>IFERROR(__xludf.DUMMYFUNCTION("""COMPUTED_VALUE"""),24746.0)</f>
        <v>24746</v>
      </c>
      <c r="W15" s="405">
        <f>IFERROR(__xludf.DUMMYFUNCTION("""COMPUTED_VALUE"""),9022.647)</f>
        <v>9022.647</v>
      </c>
      <c r="X15" s="404">
        <f>IFERROR(__xludf.DUMMYFUNCTION("""COMPUTED_VALUE"""),9022.647)</f>
        <v>9022.647</v>
      </c>
      <c r="Y15" s="404">
        <f>IFERROR(__xludf.DUMMYFUNCTION("""COMPUTED_VALUE"""),0.0)</f>
        <v>0</v>
      </c>
      <c r="Z15" s="404">
        <f>IFERROR(__xludf.DUMMYFUNCTION("""COMPUTED_VALUE"""),0.0)</f>
        <v>0</v>
      </c>
      <c r="AA15" s="404">
        <f>IFERROR(__xludf.DUMMYFUNCTION("""COMPUTED_VALUE"""),9022.647)</f>
        <v>9022.647</v>
      </c>
      <c r="AB15" s="404">
        <f>IFERROR(__xludf.DUMMYFUNCTION("""COMPUTED_VALUE"""),18045.294)</f>
        <v>18045.294</v>
      </c>
      <c r="AC15" s="406"/>
      <c r="AD15" s="407">
        <f>IFERROR(__xludf.DUMMYFUNCTION("""COMPUTED_VALUE"""),14201.34)</f>
        <v>14201.34</v>
      </c>
      <c r="AE15" s="408">
        <f>IFERROR(__xludf.DUMMYFUNCTION("""COMPUTED_VALUE"""),1.5739660434460085)</f>
        <v>1.573966043</v>
      </c>
      <c r="AF15" s="409">
        <f>IFERROR(__xludf.DUMMYFUNCTION("""COMPUTED_VALUE"""),5178.692999999999)</f>
        <v>5178.693</v>
      </c>
      <c r="AG15" s="410" t="str">
        <f>IFERROR(__xludf.DUMMYFUNCTION("""COMPUTED_VALUE"""),"READY FOR REVIEW")</f>
        <v>READY FOR REVIEW</v>
      </c>
      <c r="AH15" s="370"/>
      <c r="AI15" s="403" t="str">
        <f>IFERROR(__xludf.DUMMYFUNCTION("""COMPUTED_VALUE"""),"Similar units than USA / Canada")</f>
        <v>Similar units than USA / Canada</v>
      </c>
      <c r="AJ15" s="403" t="str">
        <f>IFERROR(__xludf.DUMMYFUNCTION("""COMPUTED_VALUE"""),"N")</f>
        <v>N</v>
      </c>
      <c r="AK15" s="403" t="str">
        <f>IFERROR(__xludf.DUMMYFUNCTION("""COMPUTED_VALUE"""),"N")</f>
        <v>N</v>
      </c>
      <c r="AL15" s="403" t="str">
        <f>IFERROR(__xludf.DUMMYFUNCTION("""COMPUTED_VALUE"""),"Y")</f>
        <v>Y</v>
      </c>
      <c r="AM15" s="403" t="str">
        <f>IFERROR(__xludf.DUMMYFUNCTION("""COMPUTED_VALUE"""),"Y")</f>
        <v>Y</v>
      </c>
      <c r="AN15" s="403" t="str">
        <f>IFERROR(__xludf.DUMMYFUNCTION("""COMPUTED_VALUE"""),"N")</f>
        <v>N</v>
      </c>
      <c r="AO15" s="403" t="str">
        <f>IFERROR(__xludf.DUMMYFUNCTION("""COMPUTED_VALUE"""),"N")</f>
        <v>N</v>
      </c>
      <c r="AP15" s="370"/>
      <c r="AQ15" s="403" t="str">
        <f>IFERROR(__xludf.DUMMYFUNCTION("""COMPUTED_VALUE"""),"Not Req")</f>
        <v>Not Req</v>
      </c>
      <c r="AR15" s="422">
        <f>IFERROR(__xludf.DUMMYFUNCTION("""COMPUTED_VALUE"""),46007.0)</f>
        <v>46007</v>
      </c>
      <c r="AS15" s="411">
        <f>IFERROR(__xludf.DUMMYFUNCTION("""COMPUTED_VALUE"""),46008.0)</f>
        <v>46008</v>
      </c>
      <c r="AT15" s="411">
        <f>IFERROR(__xludf.DUMMYFUNCTION("""COMPUTED_VALUE"""),46009.0)</f>
        <v>46009</v>
      </c>
      <c r="AU15" s="403" t="str">
        <f>IFERROR(__xludf.DUMMYFUNCTION("""COMPUTED_VALUE"""),"Delivered")</f>
        <v>Delivered</v>
      </c>
      <c r="AV15" s="403" t="str">
        <f>IFERROR(__xludf.DUMMYFUNCTION("""COMPUTED_VALUE"""),"N")</f>
        <v>N</v>
      </c>
      <c r="AW15" s="403" t="str">
        <f>IFERROR(__xludf.DUMMYFUNCTION("""COMPUTED_VALUE"""),"N")</f>
        <v>N</v>
      </c>
      <c r="AX15" s="403" t="str">
        <f>IFERROR(__xludf.DUMMYFUNCTION("""COMPUTED_VALUE"""),"linked to braisers")</f>
        <v>linked to braisers</v>
      </c>
      <c r="AY15" s="370"/>
      <c r="AZ15" s="412"/>
      <c r="BA15" s="413"/>
      <c r="BB15" s="413"/>
      <c r="BC15" s="413"/>
      <c r="BD15" s="413"/>
      <c r="BE15" s="414"/>
      <c r="BF15" s="415"/>
    </row>
    <row r="16" ht="27.0" customHeight="1">
      <c r="A16" s="400" t="str">
        <f>IFERROR(__xludf.DUMMYFUNCTION("""COMPUTED_VALUE"""),"E12")</f>
        <v>E12</v>
      </c>
      <c r="B16" s="401" t="str">
        <f>IFERROR(__xludf.DUMMYFUNCTION("""COMPUTED_VALUE"""),"Conveyors")</f>
        <v>Conveyors</v>
      </c>
      <c r="C16" s="402" t="str">
        <f>IFERROR(__xludf.DUMMYFUNCTION("""COMPUTED_VALUE"""),"Olivier Lemieux")</f>
        <v>Olivier Lemieux</v>
      </c>
      <c r="D16" s="403" t="str">
        <f>IFERROR(__xludf.DUMMYFUNCTION("""COMPUTED_VALUE"""),"Sismatec")</f>
        <v>Sismatec</v>
      </c>
      <c r="E16" s="403" t="str">
        <f>IFERROR(__xludf.DUMMYFUNCTION("""COMPUTED_VALUE"""),"Sismatec")</f>
        <v>Sismatec</v>
      </c>
      <c r="F16" s="403" t="str">
        <f>IFERROR(__xludf.DUMMYFUNCTION("""COMPUTED_VALUE"""),"Ordered")</f>
        <v>Ordered</v>
      </c>
      <c r="G16" s="420" t="str">
        <f>IFERROR(__xludf.DUMMYFUNCTION("""COMPUTED_VALUE"""),"SAT")</f>
        <v>SAT</v>
      </c>
      <c r="H16" s="370"/>
      <c r="I16" s="403" t="str">
        <f>IFERROR(__xludf.DUMMYFUNCTION("""COMPUTED_VALUE"""),"RELEASED - Jan 27, 2025")</f>
        <v>RELEASED - Jan 27, 2025</v>
      </c>
      <c r="J16" s="403" t="str">
        <f>IFERROR(__xludf.DUMMYFUNCTION("""COMPUTED_VALUE"""),"P05400006DEFB")</f>
        <v>P05400006DEFB</v>
      </c>
      <c r="K16" s="403" t="str">
        <f>IFERROR(__xludf.DUMMYFUNCTION("""COMPUTED_VALUE"""),"12 weeks")</f>
        <v>12 weeks</v>
      </c>
      <c r="L16" s="403" t="str">
        <f>IFERROR(__xludf.DUMMYFUNCTION("""COMPUTED_VALUE"""),"YES")</f>
        <v>YES</v>
      </c>
      <c r="M16" s="403">
        <f>IFERROR(__xludf.DUMMYFUNCTION("""COMPUTED_VALUE"""),3.0)</f>
        <v>3</v>
      </c>
      <c r="N16" s="403">
        <f>IFERROR(__xludf.DUMMYFUNCTION("""COMPUTED_VALUE"""),0.0)</f>
        <v>0</v>
      </c>
      <c r="O16" s="403">
        <f>IFERROR(__xludf.DUMMYFUNCTION("""COMPUTED_VALUE"""),0.0)</f>
        <v>0</v>
      </c>
      <c r="P16" s="403">
        <f>IFERROR(__xludf.DUMMYFUNCTION("""COMPUTED_VALUE"""),3.0)</f>
        <v>3</v>
      </c>
      <c r="Q16" s="392">
        <f>IFERROR(__xludf.DUMMYFUNCTION("""COMPUTED_VALUE"""),6.0)</f>
        <v>6</v>
      </c>
      <c r="R16" s="403" t="str">
        <f>IFERROR(__xludf.DUMMYFUNCTION("""COMPUTED_VALUE"""),"Sismatec")</f>
        <v>Sismatec</v>
      </c>
      <c r="S16" s="404">
        <f>IFERROR(__xludf.DUMMYFUNCTION("""COMPUTED_VALUE"""),51174.99999999999)</f>
        <v>51175</v>
      </c>
      <c r="T16" s="404">
        <f>IFERROR(__xludf.DUMMYFUNCTION("""COMPUTED_VALUE"""),71160.0)</f>
        <v>71160</v>
      </c>
      <c r="U16" s="404">
        <f>IFERROR(__xludf.DUMMYFUNCTION("""COMPUTED_VALUE"""),71160.0)</f>
        <v>71160</v>
      </c>
      <c r="V16" s="404">
        <f>IFERROR(__xludf.DUMMYFUNCTION("""COMPUTED_VALUE"""),142320.0)</f>
        <v>142320</v>
      </c>
      <c r="W16" s="405">
        <f>IFERROR(__xludf.DUMMYFUNCTION("""COMPUTED_VALUE"""),153524.99999999997)</f>
        <v>153525</v>
      </c>
      <c r="X16" s="404">
        <f>IFERROR(__xludf.DUMMYFUNCTION("""COMPUTED_VALUE"""),153524.99999999997)</f>
        <v>153525</v>
      </c>
      <c r="Y16" s="404">
        <f>IFERROR(__xludf.DUMMYFUNCTION("""COMPUTED_VALUE"""),0.0)</f>
        <v>0</v>
      </c>
      <c r="Z16" s="404">
        <f>IFERROR(__xludf.DUMMYFUNCTION("""COMPUTED_VALUE"""),0.0)</f>
        <v>0</v>
      </c>
      <c r="AA16" s="404">
        <f>IFERROR(__xludf.DUMMYFUNCTION("""COMPUTED_VALUE"""),153524.99999999997)</f>
        <v>153525</v>
      </c>
      <c r="AB16" s="404">
        <f>IFERROR(__xludf.DUMMYFUNCTION("""COMPUTED_VALUE"""),307049.99999999994)</f>
        <v>307050</v>
      </c>
      <c r="AC16" s="406"/>
      <c r="AD16" s="407">
        <f>IFERROR(__xludf.DUMMYFUNCTION("""COMPUTED_VALUE"""),145238.1)</f>
        <v>145238.1</v>
      </c>
      <c r="AE16" s="408">
        <f>IFERROR(__xludf.DUMMYFUNCTION("""COMPUTED_VALUE"""),0.9460224719101126)</f>
        <v>0.9460224719</v>
      </c>
      <c r="AF16" s="409">
        <f>IFERROR(__xludf.DUMMYFUNCTION("""COMPUTED_VALUE"""),-8286.899999999965)</f>
        <v>-8286.9</v>
      </c>
      <c r="AG16" s="370"/>
      <c r="AH16" s="370"/>
      <c r="AI16" s="370"/>
      <c r="AJ16" s="403" t="str">
        <f>IFERROR(__xludf.DUMMYFUNCTION("""COMPUTED_VALUE"""),"Y")</f>
        <v>Y</v>
      </c>
      <c r="AK16" s="403" t="str">
        <f>IFERROR(__xludf.DUMMYFUNCTION("""COMPUTED_VALUE"""),"Y")</f>
        <v>Y</v>
      </c>
      <c r="AL16" s="403" t="str">
        <f>IFERROR(__xludf.DUMMYFUNCTION("""COMPUTED_VALUE"""),"N")</f>
        <v>N</v>
      </c>
      <c r="AM16" s="403" t="str">
        <f>IFERROR(__xludf.DUMMYFUNCTION("""COMPUTED_VALUE"""),"N")</f>
        <v>N</v>
      </c>
      <c r="AN16" s="403" t="str">
        <f>IFERROR(__xludf.DUMMYFUNCTION("""COMPUTED_VALUE"""),"N")</f>
        <v>N</v>
      </c>
      <c r="AO16" s="403" t="str">
        <f>IFERROR(__xludf.DUMMYFUNCTION("""COMPUTED_VALUE"""),"N")</f>
        <v>N</v>
      </c>
      <c r="AP16" s="370"/>
      <c r="AQ16" s="403" t="str">
        <f>IFERROR(__xludf.DUMMYFUNCTION("""COMPUTED_VALUE"""),"FAT Complete")</f>
        <v>FAT Complete</v>
      </c>
      <c r="AR16" s="411">
        <f>IFERROR(__xludf.DUMMYFUNCTION("""COMPUTED_VALUE"""),46003.0)</f>
        <v>46003</v>
      </c>
      <c r="AS16" s="411">
        <f>IFERROR(__xludf.DUMMYFUNCTION("""COMPUTED_VALUE"""),46010.0)</f>
        <v>46010</v>
      </c>
      <c r="AT16" s="411">
        <f>IFERROR(__xludf.DUMMYFUNCTION("""COMPUTED_VALUE"""),46031.0)</f>
        <v>46031</v>
      </c>
      <c r="AU16" s="403" t="str">
        <f>IFERROR(__xludf.DUMMYFUNCTION("""COMPUTED_VALUE"""),"Delivered")</f>
        <v>Delivered</v>
      </c>
      <c r="AV16" s="403" t="str">
        <f>IFERROR(__xludf.DUMMYFUNCTION("""COMPUTED_VALUE"""),"Y")</f>
        <v>Y</v>
      </c>
      <c r="AW16" s="403" t="str">
        <f>IFERROR(__xludf.DUMMYFUNCTION("""COMPUTED_VALUE"""),"Move into place")</f>
        <v>Move into place</v>
      </c>
      <c r="AX16" s="403" t="str">
        <f>IFERROR(__xludf.DUMMYFUNCTION("""COMPUTED_VALUE"""),"nothing specific")</f>
        <v>nothing specific</v>
      </c>
      <c r="AY16" s="370"/>
      <c r="AZ16" s="412"/>
      <c r="BA16" s="413"/>
      <c r="BB16" s="413"/>
      <c r="BC16" s="413"/>
      <c r="BD16" s="413"/>
      <c r="BE16" s="414"/>
      <c r="BF16" s="415"/>
    </row>
    <row r="17" ht="27.0" customHeight="1">
      <c r="A17" s="400" t="str">
        <f>IFERROR(__xludf.DUMMYFUNCTION("""COMPUTED_VALUE"""),"E13")</f>
        <v>E13</v>
      </c>
      <c r="B17" s="401" t="str">
        <f>IFERROR(__xludf.DUMMYFUNCTION("""COMPUTED_VALUE"""),"Shredder")</f>
        <v>Shredder</v>
      </c>
      <c r="C17" s="402" t="str">
        <f>IFERROR(__xludf.DUMMYFUNCTION("""COMPUTED_VALUE"""),"Olivier Lemieux")</f>
        <v>Olivier Lemieux</v>
      </c>
      <c r="D17" s="403" t="str">
        <f>IFERROR(__xludf.DUMMYFUNCTION("""COMPUTED_VALUE"""),"Thieleman")</f>
        <v>Thieleman</v>
      </c>
      <c r="E17" s="403" t="str">
        <f>IFERROR(__xludf.DUMMYFUNCTION("""COMPUTED_VALUE"""),"IMS-6")</f>
        <v>IMS-6</v>
      </c>
      <c r="F17" s="403" t="str">
        <f>IFERROR(__xludf.DUMMYFUNCTION("""COMPUTED_VALUE"""),"Phase 1.1")</f>
        <v>Phase 1.1</v>
      </c>
      <c r="G17" s="370"/>
      <c r="H17" s="370"/>
      <c r="I17" s="370"/>
      <c r="J17" s="370"/>
      <c r="K17" s="370" t="str">
        <f>IFERROR(__xludf.DUMMYFUNCTION("""COMPUTED_VALUE"""),"14 weeks")</f>
        <v>14 weeks</v>
      </c>
      <c r="L17" s="370"/>
      <c r="M17" s="403">
        <f>IFERROR(__xludf.DUMMYFUNCTION("""COMPUTED_VALUE"""),0.0)</f>
        <v>0</v>
      </c>
      <c r="N17" s="417">
        <f>IFERROR(__xludf.DUMMYFUNCTION("""COMPUTED_VALUE"""),1.0)</f>
        <v>1</v>
      </c>
      <c r="O17" s="403">
        <f>IFERROR(__xludf.DUMMYFUNCTION("""COMPUTED_VALUE"""),0.0)</f>
        <v>0</v>
      </c>
      <c r="P17" s="403">
        <f>IFERROR(__xludf.DUMMYFUNCTION("""COMPUTED_VALUE"""),1.0)</f>
        <v>1</v>
      </c>
      <c r="Q17" s="392">
        <f>IFERROR(__xludf.DUMMYFUNCTION("""COMPUTED_VALUE"""),2.0)</f>
        <v>2</v>
      </c>
      <c r="R17" s="403" t="str">
        <f>IFERROR(__xludf.DUMMYFUNCTION("""COMPUTED_VALUE"""),"Boettger")</f>
        <v>Boettger</v>
      </c>
      <c r="S17" s="404">
        <f>IFERROR(__xludf.DUMMYFUNCTION("""COMPUTED_VALUE"""),26796.149999999998)</f>
        <v>26796.15</v>
      </c>
      <c r="T17" s="404">
        <f>IFERROR(__xludf.DUMMYFUNCTION("""COMPUTED_VALUE"""),26694.5)</f>
        <v>26694.5</v>
      </c>
      <c r="U17" s="404">
        <f>IFERROR(__xludf.DUMMYFUNCTION("""COMPUTED_VALUE"""),26694.5)</f>
        <v>26694.5</v>
      </c>
      <c r="V17" s="404">
        <f>IFERROR(__xludf.DUMMYFUNCTION("""COMPUTED_VALUE"""),53389.0)</f>
        <v>53389</v>
      </c>
      <c r="W17" s="405">
        <f>IFERROR(__xludf.DUMMYFUNCTION("""COMPUTED_VALUE"""),0.0)</f>
        <v>0</v>
      </c>
      <c r="X17" s="404">
        <f>IFERROR(__xludf.DUMMYFUNCTION("""COMPUTED_VALUE"""),0.0)</f>
        <v>0</v>
      </c>
      <c r="Y17" s="404">
        <f>IFERROR(__xludf.DUMMYFUNCTION("""COMPUTED_VALUE"""),26796.149999999998)</f>
        <v>26796.15</v>
      </c>
      <c r="Z17" s="404">
        <f>IFERROR(__xludf.DUMMYFUNCTION("""COMPUTED_VALUE"""),0.0)</f>
        <v>0</v>
      </c>
      <c r="AA17" s="404">
        <f>IFERROR(__xludf.DUMMYFUNCTION("""COMPUTED_VALUE"""),26796.149999999998)</f>
        <v>26796.15</v>
      </c>
      <c r="AB17" s="404">
        <f>IFERROR(__xludf.DUMMYFUNCTION("""COMPUTED_VALUE"""),53592.299999999996)</f>
        <v>53592.3</v>
      </c>
      <c r="AC17" s="406"/>
      <c r="AD17" s="419">
        <f>IFERROR(__xludf.DUMMYFUNCTION("""COMPUTED_VALUE"""),0.0)</f>
        <v>0</v>
      </c>
      <c r="AE17" s="408" t="str">
        <f>IFERROR(__xludf.DUMMYFUNCTION("""COMPUTED_VALUE"""),"TBD")</f>
        <v>TBD</v>
      </c>
      <c r="AF17" s="409">
        <f>IFERROR(__xludf.DUMMYFUNCTION("""COMPUTED_VALUE"""),0.0)</f>
        <v>0</v>
      </c>
      <c r="AG17" s="410"/>
      <c r="AH17" s="370"/>
      <c r="AI17" s="403"/>
      <c r="AJ17" s="403" t="str">
        <f>IFERROR(__xludf.DUMMYFUNCTION("""COMPUTED_VALUE"""),"N")</f>
        <v>N</v>
      </c>
      <c r="AK17" s="403" t="str">
        <f>IFERROR(__xludf.DUMMYFUNCTION("""COMPUTED_VALUE"""),"Y")</f>
        <v>Y</v>
      </c>
      <c r="AL17" s="403" t="str">
        <f>IFERROR(__xludf.DUMMYFUNCTION("""COMPUTED_VALUE"""),"Y")</f>
        <v>Y</v>
      </c>
      <c r="AM17" s="403" t="str">
        <f>IFERROR(__xludf.DUMMYFUNCTION("""COMPUTED_VALUE"""),"Y")</f>
        <v>Y</v>
      </c>
      <c r="AN17" s="403" t="str">
        <f>IFERROR(__xludf.DUMMYFUNCTION("""COMPUTED_VALUE"""),"Y")</f>
        <v>Y</v>
      </c>
      <c r="AO17" s="403" t="str">
        <f>IFERROR(__xludf.DUMMYFUNCTION("""COMPUTED_VALUE"""),"N")</f>
        <v>N</v>
      </c>
      <c r="AP17" s="370"/>
      <c r="AQ17" s="403" t="str">
        <f>IFERROR(__xludf.DUMMYFUNCTION("""COMPUTED_VALUE"""),"Phase 1.1")</f>
        <v>Phase 1.1</v>
      </c>
      <c r="AR17" s="403" t="str">
        <f>IFERROR(__xludf.DUMMYFUNCTION("""COMPUTED_VALUE"""),"Phase 1.1")</f>
        <v>Phase 1.1</v>
      </c>
      <c r="AS17" s="403" t="str">
        <f>IFERROR(__xludf.DUMMYFUNCTION("""COMPUTED_VALUE"""),"Phase 1.1")</f>
        <v>Phase 1.1</v>
      </c>
      <c r="AT17" s="403" t="str">
        <f>IFERROR(__xludf.DUMMYFUNCTION("""COMPUTED_VALUE"""),"Phase 1.1")</f>
        <v>Phase 1.1</v>
      </c>
      <c r="AU17" s="403" t="str">
        <f>IFERROR(__xludf.DUMMYFUNCTION("""COMPUTED_VALUE"""),"Phase 1.1")</f>
        <v>Phase 1.1</v>
      </c>
      <c r="AV17" s="403" t="str">
        <f>IFERROR(__xludf.DUMMYFUNCTION("""COMPUTED_VALUE"""),"N")</f>
        <v>N</v>
      </c>
      <c r="AW17" s="403" t="str">
        <f>IFERROR(__xludf.DUMMYFUNCTION("""COMPUTED_VALUE"""),"Move into place")</f>
        <v>Move into place</v>
      </c>
      <c r="AX17" s="403" t="str">
        <f>IFERROR(__xludf.DUMMYFUNCTION("""COMPUTED_VALUE"""),"N/A")</f>
        <v>N/A</v>
      </c>
      <c r="AY17" s="370"/>
      <c r="AZ17" s="412"/>
      <c r="BA17" s="413"/>
      <c r="BB17" s="413"/>
      <c r="BC17" s="413"/>
      <c r="BD17" s="413"/>
      <c r="BE17" s="414"/>
      <c r="BF17" s="415"/>
    </row>
    <row r="18" ht="27.0" customHeight="1">
      <c r="A18" s="400" t="str">
        <f>IFERROR(__xludf.DUMMYFUNCTION("""COMPUTED_VALUE"""),"E14")</f>
        <v>E14</v>
      </c>
      <c r="B18" s="401" t="str">
        <f>IFERROR(__xludf.DUMMYFUNCTION("""COMPUTED_VALUE"""),"Metal Detectors")</f>
        <v>Metal Detectors</v>
      </c>
      <c r="C18" s="402" t="str">
        <f>IFERROR(__xludf.DUMMYFUNCTION("""COMPUTED_VALUE"""),"Olivier Lemieux")</f>
        <v>Olivier Lemieux</v>
      </c>
      <c r="D18" s="403" t="str">
        <f>IFERROR(__xludf.DUMMYFUNCTION("""COMPUTED_VALUE"""),"Antares")</f>
        <v>Antares</v>
      </c>
      <c r="E18" s="403" t="str">
        <f>IFERROR(__xludf.DUMMYFUNCTION("""COMPUTED_VALUE"""),"MSR1200 combi")</f>
        <v>MSR1200 combi</v>
      </c>
      <c r="F18" s="403" t="str">
        <f>IFERROR(__xludf.DUMMYFUNCTION("""COMPUTED_VALUE"""),"Ordered")</f>
        <v>Ordered</v>
      </c>
      <c r="G18" s="423"/>
      <c r="H18" s="370"/>
      <c r="I18" s="403" t="str">
        <f>IFERROR(__xludf.DUMMYFUNCTION("""COMPUTED_VALUE"""),"RELEASED - Jan 27, 2025")</f>
        <v>RELEASED - Jan 27, 2025</v>
      </c>
      <c r="J18" s="403" t="str">
        <f>IFERROR(__xludf.DUMMYFUNCTION("""COMPUTED_VALUE"""),"P05400006DEFB")</f>
        <v>P05400006DEFB</v>
      </c>
      <c r="K18" s="403" t="str">
        <f>IFERROR(__xludf.DUMMYFUNCTION("""COMPUTED_VALUE"""),"12 weeks")</f>
        <v>12 weeks</v>
      </c>
      <c r="L18" s="403" t="str">
        <f>IFERROR(__xludf.DUMMYFUNCTION("""COMPUTED_VALUE"""),"YES")</f>
        <v>YES</v>
      </c>
      <c r="M18" s="403">
        <f>IFERROR(__xludf.DUMMYFUNCTION("""COMPUTED_VALUE"""),3.0)</f>
        <v>3</v>
      </c>
      <c r="N18" s="403">
        <f>IFERROR(__xludf.DUMMYFUNCTION("""COMPUTED_VALUE"""),0.0)</f>
        <v>0</v>
      </c>
      <c r="O18" s="403">
        <f>IFERROR(__xludf.DUMMYFUNCTION("""COMPUTED_VALUE"""),0.0)</f>
        <v>0</v>
      </c>
      <c r="P18" s="403">
        <f>IFERROR(__xludf.DUMMYFUNCTION("""COMPUTED_VALUE"""),3.0)</f>
        <v>3</v>
      </c>
      <c r="Q18" s="392">
        <f>IFERROR(__xludf.DUMMYFUNCTION("""COMPUTED_VALUE"""),6.0)</f>
        <v>6</v>
      </c>
      <c r="R18" s="403" t="str">
        <f>IFERROR(__xludf.DUMMYFUNCTION("""COMPUTED_VALUE"""),"Sismatec")</f>
        <v>Sismatec</v>
      </c>
      <c r="S18" s="404">
        <f>IFERROR(__xludf.DUMMYFUNCTION("""COMPUTED_VALUE"""),45367.5)</f>
        <v>45367.5</v>
      </c>
      <c r="T18" s="404">
        <f>IFERROR(__xludf.DUMMYFUNCTION("""COMPUTED_VALUE"""),143147.0)</f>
        <v>143147</v>
      </c>
      <c r="U18" s="404">
        <f>IFERROR(__xludf.DUMMYFUNCTION("""COMPUTED_VALUE"""),143147.0)</f>
        <v>143147</v>
      </c>
      <c r="V18" s="404">
        <f>IFERROR(__xludf.DUMMYFUNCTION("""COMPUTED_VALUE"""),286294.0)</f>
        <v>286294</v>
      </c>
      <c r="W18" s="405">
        <f>IFERROR(__xludf.DUMMYFUNCTION("""COMPUTED_VALUE"""),136102.5)</f>
        <v>136102.5</v>
      </c>
      <c r="X18" s="404">
        <f>IFERROR(__xludf.DUMMYFUNCTION("""COMPUTED_VALUE"""),136102.5)</f>
        <v>136102.5</v>
      </c>
      <c r="Y18" s="404">
        <f>IFERROR(__xludf.DUMMYFUNCTION("""COMPUTED_VALUE"""),0.0)</f>
        <v>0</v>
      </c>
      <c r="Z18" s="404">
        <f>IFERROR(__xludf.DUMMYFUNCTION("""COMPUTED_VALUE"""),0.0)</f>
        <v>0</v>
      </c>
      <c r="AA18" s="404">
        <f>IFERROR(__xludf.DUMMYFUNCTION("""COMPUTED_VALUE"""),136102.5)</f>
        <v>136102.5</v>
      </c>
      <c r="AB18" s="404">
        <f>IFERROR(__xludf.DUMMYFUNCTION("""COMPUTED_VALUE"""),272205.0)</f>
        <v>272205</v>
      </c>
      <c r="AC18" s="406"/>
      <c r="AD18" s="407">
        <f>IFERROR(__xludf.DUMMYFUNCTION("""COMPUTED_VALUE"""),122559.21)</f>
        <v>122559.21</v>
      </c>
      <c r="AE18" s="408">
        <f>IFERROR(__xludf.DUMMYFUNCTION("""COMPUTED_VALUE"""),0.9004919821458093)</f>
        <v>0.9004919821</v>
      </c>
      <c r="AF18" s="409">
        <f>IFERROR(__xludf.DUMMYFUNCTION("""COMPUTED_VALUE"""),-13543.289999999994)</f>
        <v>-13543.29</v>
      </c>
      <c r="AG18" s="370"/>
      <c r="AH18" s="370"/>
      <c r="AI18" s="370"/>
      <c r="AJ18" s="403" t="str">
        <f>IFERROR(__xludf.DUMMYFUNCTION("""COMPUTED_VALUE"""),"Y")</f>
        <v>Y</v>
      </c>
      <c r="AK18" s="403" t="str">
        <f>IFERROR(__xludf.DUMMYFUNCTION("""COMPUTED_VALUE"""),"Y")</f>
        <v>Y</v>
      </c>
      <c r="AL18" s="403" t="str">
        <f>IFERROR(__xludf.DUMMYFUNCTION("""COMPUTED_VALUE"""),"N")</f>
        <v>N</v>
      </c>
      <c r="AM18" s="403" t="str">
        <f>IFERROR(__xludf.DUMMYFUNCTION("""COMPUTED_VALUE"""),"N")</f>
        <v>N</v>
      </c>
      <c r="AN18" s="403" t="str">
        <f>IFERROR(__xludf.DUMMYFUNCTION("""COMPUTED_VALUE"""),"N")</f>
        <v>N</v>
      </c>
      <c r="AO18" s="403" t="str">
        <f>IFERROR(__xludf.DUMMYFUNCTION("""COMPUTED_VALUE"""),"N")</f>
        <v>N</v>
      </c>
      <c r="AP18" s="370"/>
      <c r="AQ18" s="403" t="str">
        <f>IFERROR(__xludf.DUMMYFUNCTION("""COMPUTED_VALUE"""),"FAT Complete")</f>
        <v>FAT Complete</v>
      </c>
      <c r="AR18" s="411">
        <f>IFERROR(__xludf.DUMMYFUNCTION("""COMPUTED_VALUE"""),46003.0)</f>
        <v>46003</v>
      </c>
      <c r="AS18" s="411">
        <f>IFERROR(__xludf.DUMMYFUNCTION("""COMPUTED_VALUE"""),46010.0)</f>
        <v>46010</v>
      </c>
      <c r="AT18" s="411">
        <f>IFERROR(__xludf.DUMMYFUNCTION("""COMPUTED_VALUE"""),46031.0)</f>
        <v>46031</v>
      </c>
      <c r="AU18" s="403" t="str">
        <f>IFERROR(__xludf.DUMMYFUNCTION("""COMPUTED_VALUE"""),"Delivered")</f>
        <v>Delivered</v>
      </c>
      <c r="AV18" s="403" t="str">
        <f>IFERROR(__xludf.DUMMYFUNCTION("""COMPUTED_VALUE"""),"Y")</f>
        <v>Y</v>
      </c>
      <c r="AW18" s="403" t="str">
        <f>IFERROR(__xludf.DUMMYFUNCTION("""COMPUTED_VALUE"""),"Move into place")</f>
        <v>Move into place</v>
      </c>
      <c r="AX18" s="403" t="str">
        <f>IFERROR(__xludf.DUMMYFUNCTION("""COMPUTED_VALUE"""),"20 meals from coman")</f>
        <v>20 meals from coman</v>
      </c>
      <c r="AY18" s="370"/>
      <c r="AZ18" s="412"/>
      <c r="BA18" s="413"/>
      <c r="BB18" s="413"/>
      <c r="BC18" s="413"/>
      <c r="BD18" s="413"/>
      <c r="BE18" s="414"/>
      <c r="BF18" s="415"/>
    </row>
    <row r="19">
      <c r="A19" s="400" t="str">
        <f>IFERROR(__xludf.DUMMYFUNCTION("""COMPUTED_VALUE"""),"E15")</f>
        <v>E15</v>
      </c>
      <c r="B19" s="401" t="str">
        <f>IFERROR(__xludf.DUMMYFUNCTION("""COMPUTED_VALUE"""),"Sleeve Printer")</f>
        <v>Sleeve Printer</v>
      </c>
      <c r="C19" s="402" t="str">
        <f>IFERROR(__xludf.DUMMYFUNCTION("""COMPUTED_VALUE"""),"Olivier Lemieux")</f>
        <v>Olivier Lemieux</v>
      </c>
      <c r="D19" s="403" t="str">
        <f>IFERROR(__xludf.DUMMYFUNCTION("""COMPUTED_VALUE"""),"Köra-Packmat")</f>
        <v>Köra-Packmat</v>
      </c>
      <c r="E19" s="403" t="str">
        <f>IFERROR(__xludf.DUMMYFUNCTION("""COMPUTED_VALUE"""),"MPrint Printer")</f>
        <v>MPrint Printer</v>
      </c>
      <c r="F19" s="403" t="str">
        <f>IFERROR(__xludf.DUMMYFUNCTION("""COMPUTED_VALUE"""),"Ordered")</f>
        <v>Ordered</v>
      </c>
      <c r="G19" s="403" t="str">
        <f>IFERROR(__xludf.DUMMYFUNCTION("""COMPUTED_VALUE"""),"German supplier selected for local service")</f>
        <v>German supplier selected for local service</v>
      </c>
      <c r="H19" s="370"/>
      <c r="I19" s="403" t="str">
        <f>IFERROR(__xludf.DUMMYFUNCTION("""COMPUTED_VALUE"""),"RELEASED - Mar 17, 2025 - Equipment
RELEASED - Jul 22, 2025 - Spare Parts
RELEASED - Sept 26, 2025 - Training")</f>
        <v>RELEASED - Mar 17, 2025 - Equipment
RELEASED - Jul 22, 2025 - Spare Parts
RELEASED - Sept 26, 2025 - Training</v>
      </c>
      <c r="J19" s="403" t="str">
        <f>IFERROR(__xludf.DUMMYFUNCTION("""COMPUTED_VALUE"""),"P05400012DEFB
P05400025DEFB
P05400041DEFB")</f>
        <v>P05400012DEFB
P05400025DEFB
P05400041DEFB</v>
      </c>
      <c r="K19" s="403" t="str">
        <f>IFERROR(__xludf.DUMMYFUNCTION("""COMPUTED_VALUE"""),"16 weeks")</f>
        <v>16 weeks</v>
      </c>
      <c r="L19" s="403" t="str">
        <f>IFERROR(__xludf.DUMMYFUNCTION("""COMPUTED_VALUE"""),"YES")</f>
        <v>YES</v>
      </c>
      <c r="M19" s="403">
        <f>IFERROR(__xludf.DUMMYFUNCTION("""COMPUTED_VALUE"""),1.0)</f>
        <v>1</v>
      </c>
      <c r="N19" s="403">
        <f>IFERROR(__xludf.DUMMYFUNCTION("""COMPUTED_VALUE"""),0.0)</f>
        <v>0</v>
      </c>
      <c r="O19" s="403">
        <f>IFERROR(__xludf.DUMMYFUNCTION("""COMPUTED_VALUE"""),1.0)</f>
        <v>1</v>
      </c>
      <c r="P19" s="403">
        <f>IFERROR(__xludf.DUMMYFUNCTION("""COMPUTED_VALUE"""),1.0)</f>
        <v>1</v>
      </c>
      <c r="Q19" s="392">
        <f>IFERROR(__xludf.DUMMYFUNCTION("""COMPUTED_VALUE"""),3.0)</f>
        <v>3</v>
      </c>
      <c r="R19" s="403" t="str">
        <f>IFERROR(__xludf.DUMMYFUNCTION("""COMPUTED_VALUE"""),"Köra-Packmat")</f>
        <v>Köra-Packmat</v>
      </c>
      <c r="S19" s="404">
        <f>IFERROR(__xludf.DUMMYFUNCTION("""COMPUTED_VALUE"""),168275.2040255)</f>
        <v>168275.204</v>
      </c>
      <c r="T19" s="404">
        <f>IFERROR(__xludf.DUMMYFUNCTION("""COMPUTED_VALUE"""),164972.66666666666)</f>
        <v>164972.6667</v>
      </c>
      <c r="U19" s="404">
        <f>IFERROR(__xludf.DUMMYFUNCTION("""COMPUTED_VALUE"""),329945.3333333334)</f>
        <v>329945.3333</v>
      </c>
      <c r="V19" s="404">
        <f>IFERROR(__xludf.DUMMYFUNCTION("""COMPUTED_VALUE"""),494918.0)</f>
        <v>494918</v>
      </c>
      <c r="W19" s="405">
        <f>IFERROR(__xludf.DUMMYFUNCTION("""COMPUTED_VALUE"""),229280.0)</f>
        <v>229280</v>
      </c>
      <c r="X19" s="404">
        <f>IFERROR(__xludf.DUMMYFUNCTION("""COMPUTED_VALUE"""),168275.2040255)</f>
        <v>168275.204</v>
      </c>
      <c r="Y19" s="404">
        <f>IFERROR(__xludf.DUMMYFUNCTION("""COMPUTED_VALUE"""),0.0)</f>
        <v>0</v>
      </c>
      <c r="Z19" s="404">
        <f>IFERROR(__xludf.DUMMYFUNCTION("""COMPUTED_VALUE"""),168275.2040255)</f>
        <v>168275.204</v>
      </c>
      <c r="AA19" s="404">
        <f>IFERROR(__xludf.DUMMYFUNCTION("""COMPUTED_VALUE"""),168275.2040255)</f>
        <v>168275.204</v>
      </c>
      <c r="AB19" s="404">
        <f>IFERROR(__xludf.DUMMYFUNCTION("""COMPUTED_VALUE"""),565830.408051)</f>
        <v>565830.4081</v>
      </c>
      <c r="AC19" s="406"/>
      <c r="AD19" s="407">
        <f>IFERROR(__xludf.DUMMYFUNCTION("""COMPUTED_VALUE"""),233104.0)</f>
        <v>233104</v>
      </c>
      <c r="AE19" s="408">
        <f>IFERROR(__xludf.DUMMYFUNCTION("""COMPUTED_VALUE"""),1.3852545973717911)</f>
        <v>1.385254597</v>
      </c>
      <c r="AF19" s="409">
        <f>IFERROR(__xludf.DUMMYFUNCTION("""COMPUTED_VALUE"""),3824.0)</f>
        <v>3824</v>
      </c>
      <c r="AG19" s="403" t="str">
        <f>IFERROR(__xludf.DUMMYFUNCTION("""COMPUTED_VALUE"""),"N/A")</f>
        <v>N/A</v>
      </c>
      <c r="AH19" s="403" t="str">
        <f>IFERROR(__xludf.DUMMYFUNCTION("""COMPUTED_VALUE"""),"N/A")</f>
        <v>N/A</v>
      </c>
      <c r="AI19" s="403" t="str">
        <f>IFERROR(__xludf.DUMMYFUNCTION("""COMPUTED_VALUE"""),"Review prints for approval only")</f>
        <v>Review prints for approval only</v>
      </c>
      <c r="AJ19" s="403" t="str">
        <f>IFERROR(__xludf.DUMMYFUNCTION("""COMPUTED_VALUE"""),"Y")</f>
        <v>Y</v>
      </c>
      <c r="AK19" s="403" t="str">
        <f>IFERROR(__xludf.DUMMYFUNCTION("""COMPUTED_VALUE"""),"Y")</f>
        <v>Y</v>
      </c>
      <c r="AL19" s="403" t="str">
        <f>IFERROR(__xludf.DUMMYFUNCTION("""COMPUTED_VALUE"""),"N")</f>
        <v>N</v>
      </c>
      <c r="AM19" s="403" t="str">
        <f>IFERROR(__xludf.DUMMYFUNCTION("""COMPUTED_VALUE"""),"N")</f>
        <v>N</v>
      </c>
      <c r="AN19" s="403" t="str">
        <f>IFERROR(__xludf.DUMMYFUNCTION("""COMPUTED_VALUE"""),"N")</f>
        <v>N</v>
      </c>
      <c r="AO19" s="403" t="str">
        <f>IFERROR(__xludf.DUMMYFUNCTION("""COMPUTED_VALUE"""),"N")</f>
        <v>N</v>
      </c>
      <c r="AP19" s="370"/>
      <c r="AQ19" s="403" t="str">
        <f>IFERROR(__xludf.DUMMYFUNCTION("""COMPUTED_VALUE"""),"FAT Complete")</f>
        <v>FAT Complete</v>
      </c>
      <c r="AR19" s="403" t="str">
        <f>IFERROR(__xludf.DUMMYFUNCTION("""COMPUTED_VALUE"""),"Installed")</f>
        <v>Installed</v>
      </c>
      <c r="AS19" s="403" t="str">
        <f>IFERROR(__xludf.DUMMYFUNCTION("""COMPUTED_VALUE"""),"Installed")</f>
        <v>Installed</v>
      </c>
      <c r="AT19" s="403" t="str">
        <f>IFERROR(__xludf.DUMMYFUNCTION("""COMPUTED_VALUE"""),"Installed")</f>
        <v>Installed</v>
      </c>
      <c r="AU19" s="403" t="str">
        <f>IFERROR(__xludf.DUMMYFUNCTION("""COMPUTED_VALUE"""),"Delivered")</f>
        <v>Delivered</v>
      </c>
      <c r="AV19" s="403" t="str">
        <f>IFERROR(__xludf.DUMMYFUNCTION("""COMPUTED_VALUE"""),"Y")</f>
        <v>Y</v>
      </c>
      <c r="AW19" s="403" t="str">
        <f>IFERROR(__xludf.DUMMYFUNCTION("""COMPUTED_VALUE"""),"Move into place")</f>
        <v>Move into place</v>
      </c>
      <c r="AX19" s="403" t="str">
        <f>IFERROR(__xludf.DUMMYFUNCTION("""COMPUTED_VALUE"""),"US sleeves / final design")</f>
        <v>US sleeves / final design</v>
      </c>
      <c r="AY19" s="370"/>
      <c r="AZ19" s="412"/>
      <c r="BA19" s="413"/>
      <c r="BB19" s="413"/>
      <c r="BC19" s="413"/>
      <c r="BD19" s="413"/>
      <c r="BE19" s="414"/>
      <c r="BF19" s="415"/>
    </row>
    <row r="20">
      <c r="A20" s="400" t="str">
        <f>IFERROR(__xludf.DUMMYFUNCTION("""COMPUTED_VALUE"""),"E16")</f>
        <v>E16</v>
      </c>
      <c r="B20" s="401" t="str">
        <f>IFERROR(__xludf.DUMMYFUNCTION("""COMPUTED_VALUE"""),"Sanitizer Tunnel")</f>
        <v>Sanitizer Tunnel</v>
      </c>
      <c r="C20" s="402" t="str">
        <f>IFERROR(__xludf.DUMMYFUNCTION("""COMPUTED_VALUE"""),"Olivier Lemieux")</f>
        <v>Olivier Lemieux</v>
      </c>
      <c r="D20" s="403" t="str">
        <f>IFERROR(__xludf.DUMMYFUNCTION("""COMPUTED_VALUE"""),"Mohn")</f>
        <v>Mohn</v>
      </c>
      <c r="E20" s="403" t="str">
        <f>IFERROR(__xludf.DUMMYFUNCTION("""COMPUTED_VALUE"""),"TBD")</f>
        <v>TBD</v>
      </c>
      <c r="F20" s="403" t="str">
        <f>IFERROR(__xludf.DUMMYFUNCTION("""COMPUTED_VALUE"""),"Phase 1.1")</f>
        <v>Phase 1.1</v>
      </c>
      <c r="G20" s="370"/>
      <c r="H20" s="370"/>
      <c r="I20" s="370"/>
      <c r="J20" s="370"/>
      <c r="K20" s="370"/>
      <c r="L20" s="370"/>
      <c r="M20" s="403">
        <f>IFERROR(__xludf.DUMMYFUNCTION("""COMPUTED_VALUE"""),1.0)</f>
        <v>1</v>
      </c>
      <c r="N20" s="417">
        <f>IFERROR(__xludf.DUMMYFUNCTION("""COMPUTED_VALUE"""),1.0)</f>
        <v>1</v>
      </c>
      <c r="O20" s="403">
        <f>IFERROR(__xludf.DUMMYFUNCTION("""COMPUTED_VALUE"""),1.0)</f>
        <v>1</v>
      </c>
      <c r="P20" s="403">
        <f>IFERROR(__xludf.DUMMYFUNCTION("""COMPUTED_VALUE"""),1.0)</f>
        <v>1</v>
      </c>
      <c r="Q20" s="392">
        <f>IFERROR(__xludf.DUMMYFUNCTION("""COMPUTED_VALUE"""),4.0)</f>
        <v>4</v>
      </c>
      <c r="R20" s="403" t="str">
        <f>IFERROR(__xludf.DUMMYFUNCTION("""COMPUTED_VALUE"""),"CMPS")</f>
        <v>CMPS</v>
      </c>
      <c r="S20" s="404">
        <f>IFERROR(__xludf.DUMMYFUNCTION("""COMPUTED_VALUE"""),36707.31)</f>
        <v>36707.31</v>
      </c>
      <c r="T20" s="404">
        <f>IFERROR(__xludf.DUMMYFUNCTION("""COMPUTED_VALUE"""),71212.66666666666)</f>
        <v>71212.66667</v>
      </c>
      <c r="U20" s="404">
        <f>IFERROR(__xludf.DUMMYFUNCTION("""COMPUTED_VALUE"""),35606.33333333334)</f>
        <v>35606.33333</v>
      </c>
      <c r="V20" s="404">
        <f>IFERROR(__xludf.DUMMYFUNCTION("""COMPUTED_VALUE"""),106819.0)</f>
        <v>106819</v>
      </c>
      <c r="W20" s="405">
        <f>IFERROR(__xludf.DUMMYFUNCTION("""COMPUTED_VALUE"""),36707.31)</f>
        <v>36707.31</v>
      </c>
      <c r="X20" s="404">
        <f>IFERROR(__xludf.DUMMYFUNCTION("""COMPUTED_VALUE"""),36707.31)</f>
        <v>36707.31</v>
      </c>
      <c r="Y20" s="404">
        <f>IFERROR(__xludf.DUMMYFUNCTION("""COMPUTED_VALUE"""),36707.31)</f>
        <v>36707.31</v>
      </c>
      <c r="Z20" s="404">
        <f>IFERROR(__xludf.DUMMYFUNCTION("""COMPUTED_VALUE"""),36707.31)</f>
        <v>36707.31</v>
      </c>
      <c r="AA20" s="404">
        <f>IFERROR(__xludf.DUMMYFUNCTION("""COMPUTED_VALUE"""),36707.31)</f>
        <v>36707.31</v>
      </c>
      <c r="AB20" s="404">
        <f>IFERROR(__xludf.DUMMYFUNCTION("""COMPUTED_VALUE"""),146829.24)</f>
        <v>146829.24</v>
      </c>
      <c r="AC20" s="406"/>
      <c r="AD20" s="419">
        <f>IFERROR(__xludf.DUMMYFUNCTION("""COMPUTED_VALUE"""),36707.31)</f>
        <v>36707.31</v>
      </c>
      <c r="AE20" s="408">
        <f>IFERROR(__xludf.DUMMYFUNCTION("""COMPUTED_VALUE"""),1.0)</f>
        <v>1</v>
      </c>
      <c r="AF20" s="409">
        <f>IFERROR(__xludf.DUMMYFUNCTION("""COMPUTED_VALUE"""),0.0)</f>
        <v>0</v>
      </c>
      <c r="AG20" s="370"/>
      <c r="AH20" s="370"/>
      <c r="AI20" s="370"/>
      <c r="AJ20" s="403" t="str">
        <f>IFERROR(__xludf.DUMMYFUNCTION("""COMPUTED_VALUE"""),"N")</f>
        <v>N</v>
      </c>
      <c r="AK20" s="403" t="str">
        <f>IFERROR(__xludf.DUMMYFUNCTION("""COMPUTED_VALUE"""),"N")</f>
        <v>N</v>
      </c>
      <c r="AL20" s="403" t="str">
        <f>IFERROR(__xludf.DUMMYFUNCTION("""COMPUTED_VALUE"""),"Y")</f>
        <v>Y</v>
      </c>
      <c r="AM20" s="403" t="str">
        <f>IFERROR(__xludf.DUMMYFUNCTION("""COMPUTED_VALUE"""),"N")</f>
        <v>N</v>
      </c>
      <c r="AN20" s="403" t="str">
        <f>IFERROR(__xludf.DUMMYFUNCTION("""COMPUTED_VALUE"""),"N")</f>
        <v>N</v>
      </c>
      <c r="AO20" s="403" t="str">
        <f>IFERROR(__xludf.DUMMYFUNCTION("""COMPUTED_VALUE"""),"N")</f>
        <v>N</v>
      </c>
      <c r="AP20" s="370"/>
      <c r="AQ20" s="403" t="str">
        <f>IFERROR(__xludf.DUMMYFUNCTION("""COMPUTED_VALUE"""),"Not Req")</f>
        <v>Not Req</v>
      </c>
      <c r="AR20" s="403" t="str">
        <f>IFERROR(__xludf.DUMMYFUNCTION("""COMPUTED_VALUE"""),"Phase 1.1")</f>
        <v>Phase 1.1</v>
      </c>
      <c r="AS20" s="403" t="str">
        <f>IFERROR(__xludf.DUMMYFUNCTION("""COMPUTED_VALUE"""),"Phase 1.1")</f>
        <v>Phase 1.1</v>
      </c>
      <c r="AT20" s="403" t="str">
        <f>IFERROR(__xludf.DUMMYFUNCTION("""COMPUTED_VALUE"""),"Phase 1.1")</f>
        <v>Phase 1.1</v>
      </c>
      <c r="AU20" s="403" t="str">
        <f>IFERROR(__xludf.DUMMYFUNCTION("""COMPUTED_VALUE"""),"Phase 1.1")</f>
        <v>Phase 1.1</v>
      </c>
      <c r="AV20" s="403" t="str">
        <f>IFERROR(__xludf.DUMMYFUNCTION("""COMPUTED_VALUE"""),"Y")</f>
        <v>Y</v>
      </c>
      <c r="AW20" s="403" t="str">
        <f>IFERROR(__xludf.DUMMYFUNCTION("""COMPUTED_VALUE"""),"Move into place
Connect water
Connect Electricity")</f>
        <v>Move into place
Connect water
Connect Electricity</v>
      </c>
      <c r="AX20" s="403" t="str">
        <f>IFERROR(__xludf.DUMMYFUNCTION("""COMPUTED_VALUE"""),"N/A")</f>
        <v>N/A</v>
      </c>
      <c r="AY20" s="370"/>
      <c r="AZ20" s="412"/>
      <c r="BA20" s="413"/>
      <c r="BB20" s="413"/>
      <c r="BC20" s="413"/>
      <c r="BD20" s="413"/>
      <c r="BE20" s="414"/>
      <c r="BF20" s="415"/>
    </row>
    <row r="21">
      <c r="A21" s="400" t="str">
        <f>IFERROR(__xludf.DUMMYFUNCTION("""COMPUTED_VALUE"""),"E17")</f>
        <v>E17</v>
      </c>
      <c r="B21" s="401" t="str">
        <f>IFERROR(__xludf.DUMMYFUNCTION("""COMPUTED_VALUE"""),"Floor Scrubber")</f>
        <v>Floor Scrubber</v>
      </c>
      <c r="C21" s="402" t="str">
        <f>IFERROR(__xludf.DUMMYFUNCTION("""COMPUTED_VALUE"""),"FSQA / Koetter")</f>
        <v>FSQA / Koetter</v>
      </c>
      <c r="D21" s="420" t="str">
        <f>IFERROR(__xludf.DUMMYFUNCTION("""COMPUTED_VALUE"""),"TBD")</f>
        <v>TBD</v>
      </c>
      <c r="E21" s="420" t="str">
        <f>IFERROR(__xludf.DUMMYFUNCTION("""COMPUTED_VALUE"""),"TBD")</f>
        <v>TBD</v>
      </c>
      <c r="F21" s="403" t="str">
        <f>IFERROR(__xludf.DUMMYFUNCTION("""COMPUTED_VALUE"""),"Ordered")</f>
        <v>Ordered</v>
      </c>
      <c r="G21" s="420" t="str">
        <f>IFERROR(__xludf.DUMMYFUNCTION("""COMPUTED_VALUE"""),"Supplied by Koetter - cleaning supplier.
FSQA awarding contract.")</f>
        <v>Supplied by Koetter - cleaning supplier.
FSQA awarding contract.</v>
      </c>
      <c r="H21" s="370"/>
      <c r="I21" s="403" t="str">
        <f>IFERROR(__xludf.DUMMYFUNCTION("""COMPUTED_VALUE"""),"included in cleaning contract with Koetter")</f>
        <v>included in cleaning contract with Koetter</v>
      </c>
      <c r="J21" s="403" t="str">
        <f>IFERROR(__xludf.DUMMYFUNCTION("""COMPUTED_VALUE"""),"N/A")</f>
        <v>N/A</v>
      </c>
      <c r="K21" s="403" t="str">
        <f>IFERROR(__xludf.DUMMYFUNCTION("""COMPUTED_VALUE"""),"N/A")</f>
        <v>N/A</v>
      </c>
      <c r="L21" s="403" t="str">
        <f>IFERROR(__xludf.DUMMYFUNCTION("""COMPUTED_VALUE"""),"N/A")</f>
        <v>N/A</v>
      </c>
      <c r="M21" s="403">
        <f>IFERROR(__xludf.DUMMYFUNCTION("""COMPUTED_VALUE"""),1.0)</f>
        <v>1</v>
      </c>
      <c r="N21" s="403">
        <f>IFERROR(__xludf.DUMMYFUNCTION("""COMPUTED_VALUE"""),0.0)</f>
        <v>0</v>
      </c>
      <c r="O21" s="403">
        <f>IFERROR(__xludf.DUMMYFUNCTION("""COMPUTED_VALUE"""),0.0)</f>
        <v>0</v>
      </c>
      <c r="P21" s="403">
        <f>IFERROR(__xludf.DUMMYFUNCTION("""COMPUTED_VALUE"""),1.0)</f>
        <v>1</v>
      </c>
      <c r="Q21" s="392">
        <f>IFERROR(__xludf.DUMMYFUNCTION("""COMPUTED_VALUE"""),2.0)</f>
        <v>2</v>
      </c>
      <c r="R21" s="421" t="str">
        <f>IFERROR(__xludf.DUMMYFUNCTION("""COMPUTED_VALUE"""),"TBD")</f>
        <v>TBD</v>
      </c>
      <c r="S21" s="404" t="str">
        <f>IFERROR(__xludf.DUMMYFUNCTION("""COMPUTED_VALUE"""),"RENTAL - OPEX")</f>
        <v>RENTAL - OPEX</v>
      </c>
      <c r="T21" s="404">
        <f>IFERROR(__xludf.DUMMYFUNCTION("""COMPUTED_VALUE"""),25777.0)</f>
        <v>25777</v>
      </c>
      <c r="U21" s="404">
        <f>IFERROR(__xludf.DUMMYFUNCTION("""COMPUTED_VALUE"""),25777.0)</f>
        <v>25777</v>
      </c>
      <c r="V21" s="404">
        <f>IFERROR(__xludf.DUMMYFUNCTION("""COMPUTED_VALUE"""),51554.0)</f>
        <v>51554</v>
      </c>
      <c r="W21" s="405">
        <f>IFERROR(__xludf.DUMMYFUNCTION("""COMPUTED_VALUE"""),0.0)</f>
        <v>0</v>
      </c>
      <c r="X21" s="404">
        <f>IFERROR(__xludf.DUMMYFUNCTION("""COMPUTED_VALUE"""),0.0)</f>
        <v>0</v>
      </c>
      <c r="Y21" s="404">
        <f>IFERROR(__xludf.DUMMYFUNCTION("""COMPUTED_VALUE"""),0.0)</f>
        <v>0</v>
      </c>
      <c r="Z21" s="404">
        <f>IFERROR(__xludf.DUMMYFUNCTION("""COMPUTED_VALUE"""),0.0)</f>
        <v>0</v>
      </c>
      <c r="AA21" s="404">
        <f>IFERROR(__xludf.DUMMYFUNCTION("""COMPUTED_VALUE"""),0.0)</f>
        <v>0</v>
      </c>
      <c r="AB21" s="404">
        <f>IFERROR(__xludf.DUMMYFUNCTION("""COMPUTED_VALUE"""),0.0)</f>
        <v>0</v>
      </c>
      <c r="AC21" s="406"/>
      <c r="AD21" s="407">
        <f>IFERROR(__xludf.DUMMYFUNCTION("""COMPUTED_VALUE"""),0.0)</f>
        <v>0</v>
      </c>
      <c r="AE21" s="408" t="str">
        <f>IFERROR(__xludf.DUMMYFUNCTION("""COMPUTED_VALUE"""),"OPEX")</f>
        <v>OPEX</v>
      </c>
      <c r="AF21" s="409">
        <f>IFERROR(__xludf.DUMMYFUNCTION("""COMPUTED_VALUE"""),0.0)</f>
        <v>0</v>
      </c>
      <c r="AG21" s="370"/>
      <c r="AH21" s="370"/>
      <c r="AI21" s="370"/>
      <c r="AJ21" s="403" t="str">
        <f>IFERROR(__xludf.DUMMYFUNCTION("""COMPUTED_VALUE"""),"TBD")</f>
        <v>TBD</v>
      </c>
      <c r="AK21" s="403" t="str">
        <f>IFERROR(__xludf.DUMMYFUNCTION("""COMPUTED_VALUE"""),"TBD")</f>
        <v>TBD</v>
      </c>
      <c r="AL21" s="403" t="str">
        <f>IFERROR(__xludf.DUMMYFUNCTION("""COMPUTED_VALUE"""),"TBD")</f>
        <v>TBD</v>
      </c>
      <c r="AM21" s="403" t="str">
        <f>IFERROR(__xludf.DUMMYFUNCTION("""COMPUTED_VALUE"""),"TBD")</f>
        <v>TBD</v>
      </c>
      <c r="AN21" s="403" t="str">
        <f>IFERROR(__xludf.DUMMYFUNCTION("""COMPUTED_VALUE"""),"TBD")</f>
        <v>TBD</v>
      </c>
      <c r="AO21" s="403" t="str">
        <f>IFERROR(__xludf.DUMMYFUNCTION("""COMPUTED_VALUE"""),"TBD")</f>
        <v>TBD</v>
      </c>
      <c r="AP21" s="370"/>
      <c r="AQ21" s="403" t="str">
        <f>IFERROR(__xludf.DUMMYFUNCTION("""COMPUTED_VALUE"""),"Not Req")</f>
        <v>Not Req</v>
      </c>
      <c r="AR21" s="403" t="str">
        <f>IFERROR(__xludf.DUMMYFUNCTION("""COMPUTED_VALUE"""),"N/A")</f>
        <v>N/A</v>
      </c>
      <c r="AS21" s="403" t="str">
        <f>IFERROR(__xludf.DUMMYFUNCTION("""COMPUTED_VALUE"""),"N/A")</f>
        <v>N/A</v>
      </c>
      <c r="AT21" s="403" t="str">
        <f>IFERROR(__xludf.DUMMYFUNCTION("""COMPUTED_VALUE"""),"N/A")</f>
        <v>N/A</v>
      </c>
      <c r="AU21" s="403" t="str">
        <f>IFERROR(__xludf.DUMMYFUNCTION("""COMPUTED_VALUE"""),"N/A")</f>
        <v>N/A</v>
      </c>
      <c r="AV21" s="424"/>
      <c r="AW21" s="421" t="str">
        <f>IFERROR(__xludf.DUMMYFUNCTION("""COMPUTED_VALUE"""),"Property / Expansion sourcing this piece of equipment")</f>
        <v>Property / Expansion sourcing this piece of equipment</v>
      </c>
      <c r="AX21" s="403" t="str">
        <f>IFERROR(__xludf.DUMMYFUNCTION("""COMPUTED_VALUE"""),"N/A")</f>
        <v>N/A</v>
      </c>
      <c r="AY21" s="370"/>
      <c r="AZ21" s="412"/>
      <c r="BA21" s="413"/>
      <c r="BB21" s="413"/>
      <c r="BC21" s="413"/>
      <c r="BD21" s="413"/>
      <c r="BE21" s="414"/>
      <c r="BF21" s="415"/>
    </row>
    <row r="22" ht="27.0" customHeight="1">
      <c r="A22" s="400" t="str">
        <f>IFERROR(__xludf.DUMMYFUNCTION("""COMPUTED_VALUE"""),"E18")</f>
        <v>E18</v>
      </c>
      <c r="B22" s="401" t="str">
        <f>IFERROR(__xludf.DUMMYFUNCTION("""COMPUTED_VALUE"""),"Gas Analyzer")</f>
        <v>Gas Analyzer</v>
      </c>
      <c r="C22" s="402" t="str">
        <f>IFERROR(__xludf.DUMMYFUNCTION("""COMPUTED_VALUE"""),"Olivier Lemieux")</f>
        <v>Olivier Lemieux</v>
      </c>
      <c r="D22" s="403" t="str">
        <f>IFERROR(__xludf.DUMMYFUNCTION("""COMPUTED_VALUE"""),"Dansensor")</f>
        <v>Dansensor</v>
      </c>
      <c r="E22" s="403" t="str">
        <f>IFERROR(__xludf.DUMMYFUNCTION("""COMPUTED_VALUE"""),"CheckPoint 4 Premium")</f>
        <v>CheckPoint 4 Premium</v>
      </c>
      <c r="F22" s="403" t="str">
        <f>IFERROR(__xludf.DUMMYFUNCTION("""COMPUTED_VALUE"""),"Ordered")</f>
        <v>Ordered</v>
      </c>
      <c r="G22" s="370"/>
      <c r="H22" s="370"/>
      <c r="I22" s="403" t="str">
        <f>IFERROR(__xludf.DUMMYFUNCTION("""COMPUTED_VALUE"""),"RELEASED - Sept 3, 2025")</f>
        <v>RELEASED - Sept 3, 2025</v>
      </c>
      <c r="J22" s="403" t="str">
        <f>IFERROR(__xludf.DUMMYFUNCTION("""COMPUTED_VALUE"""),"P05400035DEFB")</f>
        <v>P05400035DEFB</v>
      </c>
      <c r="K22" s="403" t="str">
        <f>IFERROR(__xludf.DUMMYFUNCTION("""COMPUTED_VALUE"""),"6 weeks")</f>
        <v>6 weeks</v>
      </c>
      <c r="L22" s="403" t="str">
        <f>IFERROR(__xludf.DUMMYFUNCTION("""COMPUTED_VALUE"""),"No")</f>
        <v>No</v>
      </c>
      <c r="M22" s="403">
        <f>IFERROR(__xludf.DUMMYFUNCTION("""COMPUTED_VALUE"""),3.0)</f>
        <v>3</v>
      </c>
      <c r="N22" s="403">
        <f>IFERROR(__xludf.DUMMYFUNCTION("""COMPUTED_VALUE"""),0.0)</f>
        <v>0</v>
      </c>
      <c r="O22" s="403">
        <f>IFERROR(__xludf.DUMMYFUNCTION("""COMPUTED_VALUE"""),0.0)</f>
        <v>0</v>
      </c>
      <c r="P22" s="403">
        <f>IFERROR(__xludf.DUMMYFUNCTION("""COMPUTED_VALUE"""),1.0)</f>
        <v>1</v>
      </c>
      <c r="Q22" s="392">
        <f>IFERROR(__xludf.DUMMYFUNCTION("""COMPUTED_VALUE"""),4.0)</f>
        <v>4</v>
      </c>
      <c r="R22" s="403" t="str">
        <f>IFERROR(__xludf.DUMMYFUNCTION("""COMPUTED_VALUE"""),"Gullimex")</f>
        <v>Gullimex</v>
      </c>
      <c r="S22" s="404">
        <f>IFERROR(__xludf.DUMMYFUNCTION("""COMPUTED_VALUE"""),7285.249999999999)</f>
        <v>7285.25</v>
      </c>
      <c r="T22" s="404">
        <f>IFERROR(__xludf.DUMMYFUNCTION("""COMPUTED_VALUE"""),21652.5)</f>
        <v>21652.5</v>
      </c>
      <c r="U22" s="404">
        <f>IFERROR(__xludf.DUMMYFUNCTION("""COMPUTED_VALUE"""),21652.5)</f>
        <v>21652.5</v>
      </c>
      <c r="V22" s="404">
        <f>IFERROR(__xludf.DUMMYFUNCTION("""COMPUTED_VALUE"""),43305.0)</f>
        <v>43305</v>
      </c>
      <c r="W22" s="405">
        <f>IFERROR(__xludf.DUMMYFUNCTION("""COMPUTED_VALUE"""),21855.749999999996)</f>
        <v>21855.75</v>
      </c>
      <c r="X22" s="404">
        <f>IFERROR(__xludf.DUMMYFUNCTION("""COMPUTED_VALUE"""),21855.749999999996)</f>
        <v>21855.75</v>
      </c>
      <c r="Y22" s="404">
        <f>IFERROR(__xludf.DUMMYFUNCTION("""COMPUTED_VALUE"""),0.0)</f>
        <v>0</v>
      </c>
      <c r="Z22" s="404">
        <f>IFERROR(__xludf.DUMMYFUNCTION("""COMPUTED_VALUE"""),0.0)</f>
        <v>0</v>
      </c>
      <c r="AA22" s="404">
        <f>IFERROR(__xludf.DUMMYFUNCTION("""COMPUTED_VALUE"""),7285.249999999999)</f>
        <v>7285.25</v>
      </c>
      <c r="AB22" s="404">
        <f>IFERROR(__xludf.DUMMYFUNCTION("""COMPUTED_VALUE"""),29140.999999999996)</f>
        <v>29141</v>
      </c>
      <c r="AC22" s="406"/>
      <c r="AD22" s="407">
        <f>IFERROR(__xludf.DUMMYFUNCTION("""COMPUTED_VALUE"""),19764.5)</f>
        <v>19764.5</v>
      </c>
      <c r="AE22" s="408">
        <f>IFERROR(__xludf.DUMMYFUNCTION("""COMPUTED_VALUE"""),0.904315797902154)</f>
        <v>0.9043157979</v>
      </c>
      <c r="AF22" s="409">
        <f>IFERROR(__xludf.DUMMYFUNCTION("""COMPUTED_VALUE"""),-2091.2499999999964)</f>
        <v>-2091.25</v>
      </c>
      <c r="AG22" s="370"/>
      <c r="AH22" s="370"/>
      <c r="AI22" s="370"/>
      <c r="AJ22" s="403" t="str">
        <f>IFERROR(__xludf.DUMMYFUNCTION("""COMPUTED_VALUE"""),"N")</f>
        <v>N</v>
      </c>
      <c r="AK22" s="403" t="str">
        <f>IFERROR(__xludf.DUMMYFUNCTION("""COMPUTED_VALUE"""),"N")</f>
        <v>N</v>
      </c>
      <c r="AL22" s="403" t="str">
        <f>IFERROR(__xludf.DUMMYFUNCTION("""COMPUTED_VALUE"""),"Y")</f>
        <v>Y</v>
      </c>
      <c r="AM22" s="403" t="str">
        <f>IFERROR(__xludf.DUMMYFUNCTION("""COMPUTED_VALUE"""),"N")</f>
        <v>N</v>
      </c>
      <c r="AN22" s="403" t="str">
        <f>IFERROR(__xludf.DUMMYFUNCTION("""COMPUTED_VALUE"""),"N")</f>
        <v>N</v>
      </c>
      <c r="AO22" s="403" t="str">
        <f>IFERROR(__xludf.DUMMYFUNCTION("""COMPUTED_VALUE"""),"N")</f>
        <v>N</v>
      </c>
      <c r="AP22" s="403" t="str">
        <f>IFERROR(__xludf.DUMMYFUNCTION("""COMPUTED_VALUE"""),"Calibration Required - FSQA")</f>
        <v>Calibration Required - FSQA</v>
      </c>
      <c r="AQ22" s="403" t="str">
        <f>IFERROR(__xludf.DUMMYFUNCTION("""COMPUTED_VALUE"""),"Not Req")</f>
        <v>Not Req</v>
      </c>
      <c r="AR22" s="403" t="str">
        <f>IFERROR(__xludf.DUMMYFUNCTION("""COMPUTED_VALUE"""),"N/A")</f>
        <v>N/A</v>
      </c>
      <c r="AS22" s="403" t="str">
        <f>IFERROR(__xludf.DUMMYFUNCTION("""COMPUTED_VALUE"""),"Planned")</f>
        <v>Planned</v>
      </c>
      <c r="AT22" s="403" t="str">
        <f>IFERROR(__xludf.DUMMYFUNCTION("""COMPUTED_VALUE"""),"Planned")</f>
        <v>Planned</v>
      </c>
      <c r="AU22" s="403" t="str">
        <f>IFERROR(__xludf.DUMMYFUNCTION("""COMPUTED_VALUE"""),"Not Req.")</f>
        <v>Not Req.</v>
      </c>
      <c r="AV22" s="403" t="str">
        <f>IFERROR(__xludf.DUMMYFUNCTION("""COMPUTED_VALUE"""),"N")</f>
        <v>N</v>
      </c>
      <c r="AW22" s="403" t="str">
        <f>IFERROR(__xludf.DUMMYFUNCTION("""COMPUTED_VALUE"""),"N")</f>
        <v>N</v>
      </c>
      <c r="AX22" s="403" t="str">
        <f>IFERROR(__xludf.DUMMYFUNCTION("""COMPUTED_VALUE"""),"plating meals - FSQA")</f>
        <v>plating meals - FSQA</v>
      </c>
      <c r="AY22" s="370"/>
      <c r="AZ22" s="412"/>
      <c r="BA22" s="413"/>
      <c r="BB22" s="413"/>
      <c r="BC22" s="413"/>
      <c r="BD22" s="413"/>
      <c r="BE22" s="414"/>
      <c r="BF22" s="415"/>
    </row>
    <row r="23">
      <c r="A23" s="400" t="str">
        <f>IFERROR(__xludf.DUMMYFUNCTION("""COMPUTED_VALUE"""),"E19")</f>
        <v>E19</v>
      </c>
      <c r="B23" s="401" t="str">
        <f>IFERROR(__xludf.DUMMYFUNCTION("""COMPUTED_VALUE"""),"Boot Washer")</f>
        <v>Boot Washer</v>
      </c>
      <c r="C23" s="402" t="str">
        <f>IFERROR(__xludf.DUMMYFUNCTION("""COMPUTED_VALUE"""),"Jörg Kienzle James Beale")</f>
        <v>Jörg Kienzle James Beale</v>
      </c>
      <c r="D23" s="420" t="str">
        <f>IFERROR(__xludf.DUMMYFUNCTION("""COMPUTED_VALUE"""),"Mohn")</f>
        <v>Mohn</v>
      </c>
      <c r="E23" s="420" t="str">
        <f>IFERROR(__xludf.DUMMYFUNCTION("""COMPUTED_VALUE"""),"various (see folder)")</f>
        <v>various (see folder)</v>
      </c>
      <c r="F23" s="403" t="str">
        <f>IFERROR(__xludf.DUMMYFUNCTION("""COMPUTED_VALUE"""),"Ordered")</f>
        <v>Ordered</v>
      </c>
      <c r="G23" s="370"/>
      <c r="H23" s="370"/>
      <c r="I23" s="403" t="str">
        <f>IFERROR(__xludf.DUMMYFUNCTION("""COMPUTED_VALUE"""),"ordered by Property")</f>
        <v>ordered by Property</v>
      </c>
      <c r="J23" s="403" t="str">
        <f>IFERROR(__xludf.DUMMYFUNCTION("""COMPUTED_VALUE"""),"N/A")</f>
        <v>N/A</v>
      </c>
      <c r="K23" s="403" t="str">
        <f>IFERROR(__xludf.DUMMYFUNCTION("""COMPUTED_VALUE"""),"N/A")</f>
        <v>N/A</v>
      </c>
      <c r="L23" s="403" t="str">
        <f>IFERROR(__xludf.DUMMYFUNCTION("""COMPUTED_VALUE"""),"N/A")</f>
        <v>N/A</v>
      </c>
      <c r="M23" s="403">
        <f>IFERROR(__xludf.DUMMYFUNCTION("""COMPUTED_VALUE"""),6.0)</f>
        <v>6</v>
      </c>
      <c r="N23" s="403">
        <f>IFERROR(__xludf.DUMMYFUNCTION("""COMPUTED_VALUE"""),0.0)</f>
        <v>0</v>
      </c>
      <c r="O23" s="403">
        <f>IFERROR(__xludf.DUMMYFUNCTION("""COMPUTED_VALUE"""),0.0)</f>
        <v>0</v>
      </c>
      <c r="P23" s="403">
        <f>IFERROR(__xludf.DUMMYFUNCTION("""COMPUTED_VALUE"""),0.0)</f>
        <v>0</v>
      </c>
      <c r="Q23" s="392">
        <f>IFERROR(__xludf.DUMMYFUNCTION("""COMPUTED_VALUE"""),6.0)</f>
        <v>6</v>
      </c>
      <c r="R23" s="421" t="str">
        <f>IFERROR(__xludf.DUMMYFUNCTION("""COMPUTED_VALUE"""),"Mohn")</f>
        <v>Mohn</v>
      </c>
      <c r="S23" s="404" t="str">
        <f>IFERROR(__xludf.DUMMYFUNCTION("""COMPUTED_VALUE"""),"TBD")</f>
        <v>TBD</v>
      </c>
      <c r="T23" s="404">
        <f>IFERROR(__xludf.DUMMYFUNCTION("""COMPUTED_VALUE"""),110533.0)</f>
        <v>110533</v>
      </c>
      <c r="U23" s="404">
        <f>IFERROR(__xludf.DUMMYFUNCTION("""COMPUTED_VALUE"""),0.0)</f>
        <v>0</v>
      </c>
      <c r="V23" s="404">
        <f>IFERROR(__xludf.DUMMYFUNCTION("""COMPUTED_VALUE"""),110533.0)</f>
        <v>110533</v>
      </c>
      <c r="W23" s="405">
        <f>IFERROR(__xludf.DUMMYFUNCTION("""COMPUTED_VALUE"""),0.0)</f>
        <v>0</v>
      </c>
      <c r="X23" s="404">
        <f>IFERROR(__xludf.DUMMYFUNCTION("""COMPUTED_VALUE"""),0.0)</f>
        <v>0</v>
      </c>
      <c r="Y23" s="404">
        <f>IFERROR(__xludf.DUMMYFUNCTION("""COMPUTED_VALUE"""),0.0)</f>
        <v>0</v>
      </c>
      <c r="Z23" s="404">
        <f>IFERROR(__xludf.DUMMYFUNCTION("""COMPUTED_VALUE"""),0.0)</f>
        <v>0</v>
      </c>
      <c r="AA23" s="404">
        <f>IFERROR(__xludf.DUMMYFUNCTION("""COMPUTED_VALUE"""),0.0)</f>
        <v>0</v>
      </c>
      <c r="AB23" s="404">
        <f>IFERROR(__xludf.DUMMYFUNCTION("""COMPUTED_VALUE"""),0.0)</f>
        <v>0</v>
      </c>
      <c r="AC23" s="406"/>
      <c r="AD23" s="407">
        <f>IFERROR(__xludf.DUMMYFUNCTION("""COMPUTED_VALUE"""),0.0)</f>
        <v>0</v>
      </c>
      <c r="AE23" s="408" t="str">
        <f>IFERROR(__xludf.DUMMYFUNCTION("""COMPUTED_VALUE"""),"N/A")</f>
        <v>N/A</v>
      </c>
      <c r="AF23" s="409">
        <f>IFERROR(__xludf.DUMMYFUNCTION("""COMPUTED_VALUE"""),0.0)</f>
        <v>0</v>
      </c>
      <c r="AG23" s="370"/>
      <c r="AH23" s="370"/>
      <c r="AI23" s="370"/>
      <c r="AJ23" s="403" t="str">
        <f>IFERROR(__xludf.DUMMYFUNCTION("""COMPUTED_VALUE"""),"N/A")</f>
        <v>N/A</v>
      </c>
      <c r="AK23" s="403" t="str">
        <f>IFERROR(__xludf.DUMMYFUNCTION("""COMPUTED_VALUE"""),"N/A")</f>
        <v>N/A</v>
      </c>
      <c r="AL23" s="403" t="str">
        <f>IFERROR(__xludf.DUMMYFUNCTION("""COMPUTED_VALUE"""),"N/A")</f>
        <v>N/A</v>
      </c>
      <c r="AM23" s="403" t="str">
        <f>IFERROR(__xludf.DUMMYFUNCTION("""COMPUTED_VALUE"""),"N/A")</f>
        <v>N/A</v>
      </c>
      <c r="AN23" s="403" t="str">
        <f>IFERROR(__xludf.DUMMYFUNCTION("""COMPUTED_VALUE"""),"N/A")</f>
        <v>N/A</v>
      </c>
      <c r="AO23" s="403" t="str">
        <f>IFERROR(__xludf.DUMMYFUNCTION("""COMPUTED_VALUE"""),"N/A")</f>
        <v>N/A</v>
      </c>
      <c r="AP23" s="370"/>
      <c r="AQ23" s="403" t="str">
        <f>IFERROR(__xludf.DUMMYFUNCTION("""COMPUTED_VALUE"""),"Not Req")</f>
        <v>Not Req</v>
      </c>
      <c r="AR23" s="403" t="str">
        <f>IFERROR(__xludf.DUMMYFUNCTION("""COMPUTED_VALUE"""),"Planned")</f>
        <v>Planned</v>
      </c>
      <c r="AS23" s="403" t="str">
        <f>IFERROR(__xludf.DUMMYFUNCTION("""COMPUTED_VALUE"""),"Planned")</f>
        <v>Planned</v>
      </c>
      <c r="AT23" s="403" t="str">
        <f>IFERROR(__xludf.DUMMYFUNCTION("""COMPUTED_VALUE"""),"Planned")</f>
        <v>Planned</v>
      </c>
      <c r="AU23" s="403" t="str">
        <f>IFERROR(__xludf.DUMMYFUNCTION("""COMPUTED_VALUE"""),"Planned")</f>
        <v>Planned</v>
      </c>
      <c r="AV23" s="424"/>
      <c r="AW23" s="421" t="str">
        <f>IFERROR(__xludf.DUMMYFUNCTION("""COMPUTED_VALUE"""),"Property own this piece of equipment")</f>
        <v>Property own this piece of equipment</v>
      </c>
      <c r="AX23" s="403" t="str">
        <f>IFERROR(__xludf.DUMMYFUNCTION("""COMPUTED_VALUE"""),"N/A")</f>
        <v>N/A</v>
      </c>
      <c r="AY23" s="370"/>
      <c r="AZ23" s="412"/>
      <c r="BA23" s="413"/>
      <c r="BB23" s="413"/>
      <c r="BC23" s="413"/>
      <c r="BD23" s="413"/>
      <c r="BE23" s="414"/>
      <c r="BF23" s="415"/>
    </row>
    <row r="24">
      <c r="A24" s="400" t="str">
        <f>IFERROR(__xludf.DUMMYFUNCTION("""COMPUTED_VALUE"""),"E20")</f>
        <v>E20</v>
      </c>
      <c r="B24" s="401" t="str">
        <f>IFERROR(__xludf.DUMMYFUNCTION("""COMPUTED_VALUE"""),"Hand washer")</f>
        <v>Hand washer</v>
      </c>
      <c r="C24" s="402" t="str">
        <f>IFERROR(__xludf.DUMMYFUNCTION("""COMPUTED_VALUE"""),"Jörg Kienzle James Beale")</f>
        <v>Jörg Kienzle James Beale</v>
      </c>
      <c r="D24" s="420" t="str">
        <f>IFERROR(__xludf.DUMMYFUNCTION("""COMPUTED_VALUE"""),"Mohn")</f>
        <v>Mohn</v>
      </c>
      <c r="E24" s="420" t="str">
        <f>IFERROR(__xludf.DUMMYFUNCTION("""COMPUTED_VALUE"""),"various (see folder)")</f>
        <v>various (see folder)</v>
      </c>
      <c r="F24" s="403" t="str">
        <f>IFERROR(__xludf.DUMMYFUNCTION("""COMPUTED_VALUE"""),"Ordered")</f>
        <v>Ordered</v>
      </c>
      <c r="G24" s="370"/>
      <c r="H24" s="370"/>
      <c r="I24" s="403" t="str">
        <f>IFERROR(__xludf.DUMMYFUNCTION("""COMPUTED_VALUE"""),"ordered by Property")</f>
        <v>ordered by Property</v>
      </c>
      <c r="J24" s="403" t="str">
        <f>IFERROR(__xludf.DUMMYFUNCTION("""COMPUTED_VALUE"""),"N/A")</f>
        <v>N/A</v>
      </c>
      <c r="K24" s="403" t="str">
        <f>IFERROR(__xludf.DUMMYFUNCTION("""COMPUTED_VALUE"""),"N/A")</f>
        <v>N/A</v>
      </c>
      <c r="L24" s="403" t="str">
        <f>IFERROR(__xludf.DUMMYFUNCTION("""COMPUTED_VALUE"""),"N/A")</f>
        <v>N/A</v>
      </c>
      <c r="M24" s="403">
        <f>IFERROR(__xludf.DUMMYFUNCTION("""COMPUTED_VALUE"""),0.0)</f>
        <v>0</v>
      </c>
      <c r="N24" s="403">
        <f>IFERROR(__xludf.DUMMYFUNCTION("""COMPUTED_VALUE"""),0.0)</f>
        <v>0</v>
      </c>
      <c r="O24" s="403">
        <f>IFERROR(__xludf.DUMMYFUNCTION("""COMPUTED_VALUE"""),0.0)</f>
        <v>0</v>
      </c>
      <c r="P24" s="403">
        <f>IFERROR(__xludf.DUMMYFUNCTION("""COMPUTED_VALUE"""),0.0)</f>
        <v>0</v>
      </c>
      <c r="Q24" s="392">
        <f>IFERROR(__xludf.DUMMYFUNCTION("""COMPUTED_VALUE"""),0.0)</f>
        <v>0</v>
      </c>
      <c r="R24" s="421" t="str">
        <f>IFERROR(__xludf.DUMMYFUNCTION("""COMPUTED_VALUE"""),"N/A")</f>
        <v>N/A</v>
      </c>
      <c r="S24" s="404" t="str">
        <f>IFERROR(__xludf.DUMMYFUNCTION("""COMPUTED_VALUE"""),"N/A")</f>
        <v>N/A</v>
      </c>
      <c r="T24" s="404">
        <f>IFERROR(__xludf.DUMMYFUNCTION("""COMPUTED_VALUE"""),0.0)</f>
        <v>0</v>
      </c>
      <c r="U24" s="404">
        <f>IFERROR(__xludf.DUMMYFUNCTION("""COMPUTED_VALUE"""),0.0)</f>
        <v>0</v>
      </c>
      <c r="V24" s="404">
        <f>IFERROR(__xludf.DUMMYFUNCTION("""COMPUTED_VALUE"""),0.0)</f>
        <v>0</v>
      </c>
      <c r="W24" s="405">
        <f>IFERROR(__xludf.DUMMYFUNCTION("""COMPUTED_VALUE"""),0.0)</f>
        <v>0</v>
      </c>
      <c r="X24" s="404">
        <f>IFERROR(__xludf.DUMMYFUNCTION("""COMPUTED_VALUE"""),0.0)</f>
        <v>0</v>
      </c>
      <c r="Y24" s="404">
        <f>IFERROR(__xludf.DUMMYFUNCTION("""COMPUTED_VALUE"""),0.0)</f>
        <v>0</v>
      </c>
      <c r="Z24" s="404">
        <f>IFERROR(__xludf.DUMMYFUNCTION("""COMPUTED_VALUE"""),0.0)</f>
        <v>0</v>
      </c>
      <c r="AA24" s="404">
        <f>IFERROR(__xludf.DUMMYFUNCTION("""COMPUTED_VALUE"""),0.0)</f>
        <v>0</v>
      </c>
      <c r="AB24" s="404">
        <f>IFERROR(__xludf.DUMMYFUNCTION("""COMPUTED_VALUE"""),0.0)</f>
        <v>0</v>
      </c>
      <c r="AC24" s="406"/>
      <c r="AD24" s="407">
        <f>IFERROR(__xludf.DUMMYFUNCTION("""COMPUTED_VALUE"""),0.0)</f>
        <v>0</v>
      </c>
      <c r="AE24" s="408" t="str">
        <f>IFERROR(__xludf.DUMMYFUNCTION("""COMPUTED_VALUE"""),"N/A")</f>
        <v>N/A</v>
      </c>
      <c r="AF24" s="409">
        <f>IFERROR(__xludf.DUMMYFUNCTION("""COMPUTED_VALUE"""),0.0)</f>
        <v>0</v>
      </c>
      <c r="AG24" s="370"/>
      <c r="AH24" s="370"/>
      <c r="AI24" s="370"/>
      <c r="AJ24" s="403" t="str">
        <f>IFERROR(__xludf.DUMMYFUNCTION("""COMPUTED_VALUE"""),"N/A")</f>
        <v>N/A</v>
      </c>
      <c r="AK24" s="403" t="str">
        <f>IFERROR(__xludf.DUMMYFUNCTION("""COMPUTED_VALUE"""),"N/A")</f>
        <v>N/A</v>
      </c>
      <c r="AL24" s="403" t="str">
        <f>IFERROR(__xludf.DUMMYFUNCTION("""COMPUTED_VALUE"""),"N/A")</f>
        <v>N/A</v>
      </c>
      <c r="AM24" s="403" t="str">
        <f>IFERROR(__xludf.DUMMYFUNCTION("""COMPUTED_VALUE"""),"N/A")</f>
        <v>N/A</v>
      </c>
      <c r="AN24" s="403" t="str">
        <f>IFERROR(__xludf.DUMMYFUNCTION("""COMPUTED_VALUE"""),"N/A")</f>
        <v>N/A</v>
      </c>
      <c r="AO24" s="403" t="str">
        <f>IFERROR(__xludf.DUMMYFUNCTION("""COMPUTED_VALUE"""),"N/A")</f>
        <v>N/A</v>
      </c>
      <c r="AP24" s="370"/>
      <c r="AQ24" s="403" t="str">
        <f>IFERROR(__xludf.DUMMYFUNCTION("""COMPUTED_VALUE"""),"Not Req")</f>
        <v>Not Req</v>
      </c>
      <c r="AR24" s="403" t="str">
        <f>IFERROR(__xludf.DUMMYFUNCTION("""COMPUTED_VALUE"""),"Planned")</f>
        <v>Planned</v>
      </c>
      <c r="AS24" s="403" t="str">
        <f>IFERROR(__xludf.DUMMYFUNCTION("""COMPUTED_VALUE"""),"Planned")</f>
        <v>Planned</v>
      </c>
      <c r="AT24" s="403" t="str">
        <f>IFERROR(__xludf.DUMMYFUNCTION("""COMPUTED_VALUE"""),"Planned")</f>
        <v>Planned</v>
      </c>
      <c r="AU24" s="403" t="str">
        <f>IFERROR(__xludf.DUMMYFUNCTION("""COMPUTED_VALUE"""),"Planned")</f>
        <v>Planned</v>
      </c>
      <c r="AV24" s="424"/>
      <c r="AW24" s="421" t="str">
        <f>IFERROR(__xludf.DUMMYFUNCTION("""COMPUTED_VALUE"""),"Property own this piece of equipment")</f>
        <v>Property own this piece of equipment</v>
      </c>
      <c r="AX24" s="403" t="str">
        <f>IFERROR(__xludf.DUMMYFUNCTION("""COMPUTED_VALUE"""),"N/A")</f>
        <v>N/A</v>
      </c>
      <c r="AY24" s="370"/>
      <c r="AZ24" s="412"/>
      <c r="BA24" s="413"/>
      <c r="BB24" s="413"/>
      <c r="BC24" s="413"/>
      <c r="BD24" s="413"/>
      <c r="BE24" s="414"/>
      <c r="BF24" s="415"/>
    </row>
    <row r="25">
      <c r="A25" s="400" t="str">
        <f>IFERROR(__xludf.DUMMYFUNCTION("""COMPUTED_VALUE"""),"E21")</f>
        <v>E21</v>
      </c>
      <c r="B25" s="401" t="str">
        <f>IFERROR(__xludf.DUMMYFUNCTION("""COMPUTED_VALUE"""),"Scales")</f>
        <v>Scales</v>
      </c>
      <c r="C25" s="402" t="str">
        <f>IFERROR(__xludf.DUMMYFUNCTION("""COMPUTED_VALUE"""),"Olivier Lemieux Josh Winkler")</f>
        <v>Olivier Lemieux Josh Winkler</v>
      </c>
      <c r="D25" s="403" t="str">
        <f>IFERROR(__xludf.DUMMYFUNCTION("""COMPUTED_VALUE"""),"METTLER TOLEDO")</f>
        <v>METTLER TOLEDO</v>
      </c>
      <c r="E25" s="403" t="str">
        <f>IFERROR(__xludf.DUMMYFUNCTION("""COMPUTED_VALUE"""),"PHD779")</f>
        <v>PHD779</v>
      </c>
      <c r="F25" s="403" t="str">
        <f>IFERROR(__xludf.DUMMYFUNCTION("""COMPUTED_VALUE"""),"Ordered")</f>
        <v>Ordered</v>
      </c>
      <c r="G25" s="370"/>
      <c r="H25" s="370"/>
      <c r="I25" s="403" t="str">
        <f>IFERROR(__xludf.DUMMYFUNCTION("""COMPUTED_VALUE"""),"Equipment - Sept 25, 2025
Mounting Hardware - Mar 23, 2026")</f>
        <v>Equipment - Sept 25, 2025
Mounting Hardware - Mar 23, 2026</v>
      </c>
      <c r="J25" s="403" t="str">
        <f>IFERROR(__xludf.DUMMYFUNCTION("""COMPUTED_VALUE"""),"P05400040DEFB
P05400087DEFB")</f>
        <v>P05400040DEFB
P05400087DEFB</v>
      </c>
      <c r="K25" s="403" t="str">
        <f>IFERROR(__xludf.DUMMYFUNCTION("""COMPUTED_VALUE"""),"10 weeks")</f>
        <v>10 weeks</v>
      </c>
      <c r="L25" s="403" t="str">
        <f>IFERROR(__xludf.DUMMYFUNCTION("""COMPUTED_VALUE"""),"YES")</f>
        <v>YES</v>
      </c>
      <c r="M25" s="420">
        <f>IFERROR(__xludf.DUMMYFUNCTION("""COMPUTED_VALUE"""),3.0)</f>
        <v>3</v>
      </c>
      <c r="N25" s="420">
        <f>IFERROR(__xludf.DUMMYFUNCTION("""COMPUTED_VALUE"""),0.0)</f>
        <v>0</v>
      </c>
      <c r="O25" s="420">
        <f>IFERROR(__xludf.DUMMYFUNCTION("""COMPUTED_VALUE"""),0.0)</f>
        <v>0</v>
      </c>
      <c r="P25" s="420">
        <f>IFERROR(__xludf.DUMMYFUNCTION("""COMPUTED_VALUE"""),0.0)</f>
        <v>0</v>
      </c>
      <c r="Q25" s="392">
        <f>IFERROR(__xludf.DUMMYFUNCTION("""COMPUTED_VALUE"""),3.0)</f>
        <v>3</v>
      </c>
      <c r="R25" s="403" t="str">
        <f>IFERROR(__xludf.DUMMYFUNCTION("""COMPUTED_VALUE"""),"Mettler Toledo")</f>
        <v>Mettler Toledo</v>
      </c>
      <c r="S25" s="404">
        <f>IFERROR(__xludf.DUMMYFUNCTION("""COMPUTED_VALUE"""),20607.355999999996)</f>
        <v>20607.356</v>
      </c>
      <c r="T25" s="404">
        <f>IFERROR(__xludf.DUMMYFUNCTION("""COMPUTED_VALUE"""),30932.0)</f>
        <v>30932</v>
      </c>
      <c r="U25" s="404">
        <f>IFERROR(__xludf.DUMMYFUNCTION("""COMPUTED_VALUE"""),0.0)</f>
        <v>0</v>
      </c>
      <c r="V25" s="404">
        <f>IFERROR(__xludf.DUMMYFUNCTION("""COMPUTED_VALUE"""),30932.0)</f>
        <v>30932</v>
      </c>
      <c r="W25" s="405">
        <f>IFERROR(__xludf.DUMMYFUNCTION("""COMPUTED_VALUE"""),82429.42399999998)</f>
        <v>82429.424</v>
      </c>
      <c r="X25" s="404">
        <f>IFERROR(__xludf.DUMMYFUNCTION("""COMPUTED_VALUE"""),82429.0)</f>
        <v>82429</v>
      </c>
      <c r="Y25" s="404">
        <f>IFERROR(__xludf.DUMMYFUNCTION("""COMPUTED_VALUE"""),0.0)</f>
        <v>0</v>
      </c>
      <c r="Z25" s="404">
        <f>IFERROR(__xludf.DUMMYFUNCTION("""COMPUTED_VALUE"""),0.0)</f>
        <v>0</v>
      </c>
      <c r="AA25" s="404">
        <f>IFERROR(__xludf.DUMMYFUNCTION("""COMPUTED_VALUE"""),0.0)</f>
        <v>0</v>
      </c>
      <c r="AB25" s="404">
        <f>IFERROR(__xludf.DUMMYFUNCTION("""COMPUTED_VALUE"""),82429.42399999998)</f>
        <v>82429.424</v>
      </c>
      <c r="AC25" s="406"/>
      <c r="AD25" s="425">
        <f>IFERROR(__xludf.DUMMYFUNCTION("""COMPUTED_VALUE"""),79981.1)</f>
        <v>79981.1</v>
      </c>
      <c r="AE25" s="408">
        <f>IFERROR(__xludf.DUMMYFUNCTION("""COMPUTED_VALUE"""),0.9703029273677953)</f>
        <v>0.9703029274</v>
      </c>
      <c r="AF25" s="426">
        <f>IFERROR(__xludf.DUMMYFUNCTION("""COMPUTED_VALUE"""),-2448.3239999999787)</f>
        <v>-2448.324</v>
      </c>
      <c r="AG25" s="370"/>
      <c r="AH25" s="370"/>
      <c r="AI25" s="370"/>
      <c r="AJ25" s="403" t="str">
        <f>IFERROR(__xludf.DUMMYFUNCTION("""COMPUTED_VALUE"""),"N")</f>
        <v>N</v>
      </c>
      <c r="AK25" s="403" t="str">
        <f>IFERROR(__xludf.DUMMYFUNCTION("""COMPUTED_VALUE"""),"N")</f>
        <v>N</v>
      </c>
      <c r="AL25" s="403" t="str">
        <f>IFERROR(__xludf.DUMMYFUNCTION("""COMPUTED_VALUE"""),"Y")</f>
        <v>Y</v>
      </c>
      <c r="AM25" s="403" t="str">
        <f>IFERROR(__xludf.DUMMYFUNCTION("""COMPUTED_VALUE"""),"N")</f>
        <v>N</v>
      </c>
      <c r="AN25" s="403" t="str">
        <f>IFERROR(__xludf.DUMMYFUNCTION("""COMPUTED_VALUE"""),"N")</f>
        <v>N</v>
      </c>
      <c r="AO25" s="403" t="str">
        <f>IFERROR(__xludf.DUMMYFUNCTION("""COMPUTED_VALUE"""),"N")</f>
        <v>N</v>
      </c>
      <c r="AP25" s="403" t="str">
        <f>IFERROR(__xludf.DUMMYFUNCTION("""COMPUTED_VALUE"""),"Calibration Required - FSQA")</f>
        <v>Calibration Required - FSQA</v>
      </c>
      <c r="AQ25" s="403" t="str">
        <f>IFERROR(__xludf.DUMMYFUNCTION("""COMPUTED_VALUE"""),"Not Req")</f>
        <v>Not Req</v>
      </c>
      <c r="AR25" s="422">
        <f>IFERROR(__xludf.DUMMYFUNCTION("""COMPUTED_VALUE"""),46007.0)</f>
        <v>46007</v>
      </c>
      <c r="AS25" s="411">
        <f>IFERROR(__xludf.DUMMYFUNCTION("""COMPUTED_VALUE"""),46008.0)</f>
        <v>46008</v>
      </c>
      <c r="AT25" s="411">
        <f>IFERROR(__xludf.DUMMYFUNCTION("""COMPUTED_VALUE"""),46009.0)</f>
        <v>46009</v>
      </c>
      <c r="AU25" s="403" t="str">
        <f>IFERROR(__xludf.DUMMYFUNCTION("""COMPUTED_VALUE"""),"Ordered")</f>
        <v>Ordered</v>
      </c>
      <c r="AV25" s="403" t="str">
        <f>IFERROR(__xludf.DUMMYFUNCTION("""COMPUTED_VALUE"""),"Y")</f>
        <v>Y</v>
      </c>
      <c r="AW25" s="403" t="str">
        <f>IFERROR(__xludf.DUMMYFUNCTION("""COMPUTED_VALUE"""),"Move into place
mount display")</f>
        <v>Move into place
mount display</v>
      </c>
      <c r="AX25" s="403" t="str">
        <f>IFERROR(__xludf.DUMMYFUNCTION("""COMPUTED_VALUE"""),"nothing specific")</f>
        <v>nothing specific</v>
      </c>
      <c r="AY25" s="370"/>
      <c r="AZ25" s="412"/>
      <c r="BA25" s="413"/>
      <c r="BB25" s="413"/>
      <c r="BC25" s="413"/>
      <c r="BD25" s="413"/>
      <c r="BE25" s="414"/>
      <c r="BF25" s="415"/>
    </row>
    <row r="26">
      <c r="A26" s="400" t="str">
        <f>IFERROR(__xludf.DUMMYFUNCTION("""COMPUTED_VALUE"""),"E22")</f>
        <v>E22</v>
      </c>
      <c r="B26" s="401" t="str">
        <f>IFERROR(__xludf.DUMMYFUNCTION("""COMPUTED_VALUE"""),"Patty Former")</f>
        <v>Patty Former</v>
      </c>
      <c r="C26" s="402" t="str">
        <f>IFERROR(__xludf.DUMMYFUNCTION("""COMPUTED_VALUE"""),"Olivier Lemieux")</f>
        <v>Olivier Lemieux</v>
      </c>
      <c r="D26" s="403" t="str">
        <f>IFERROR(__xludf.DUMMYFUNCTION("""COMPUTED_VALUE"""),"Gesame")</f>
        <v>Gesame</v>
      </c>
      <c r="E26" s="403" t="str">
        <f>IFERROR(__xludf.DUMMYFUNCTION("""COMPUTED_VALUE"""),"MH-Super 114")</f>
        <v>MH-Super 114</v>
      </c>
      <c r="F26" s="403" t="str">
        <f>IFERROR(__xludf.DUMMYFUNCTION("""COMPUTED_VALUE"""),"Ordered")</f>
        <v>Ordered</v>
      </c>
      <c r="G26" s="403" t="str">
        <f>IFERROR(__xludf.DUMMYFUNCTION("""COMPUTED_VALUE"""),"SAT")</f>
        <v>SAT</v>
      </c>
      <c r="H26" s="370"/>
      <c r="I26" s="403" t="str">
        <f>IFERROR(__xludf.DUMMYFUNCTION("""COMPUTED_VALUE"""),"RELEASE: Mar. 24, 2025
RELEASE: Jan. 23, 2026 - meatballs forming tools")</f>
        <v>RELEASE: Mar. 24, 2025
RELEASE: Jan. 23, 2026 - meatballs forming tools</v>
      </c>
      <c r="J26" s="403" t="str">
        <f>IFERROR(__xludf.DUMMYFUNCTION("""COMPUTED_VALUE"""),"P05400015DEFB
P05400075DEFB")</f>
        <v>P05400015DEFB
P05400075DEFB</v>
      </c>
      <c r="K26" s="403" t="str">
        <f>IFERROR(__xludf.DUMMYFUNCTION("""COMPUTED_VALUE"""),"12 weeks")</f>
        <v>12 weeks</v>
      </c>
      <c r="L26" s="403" t="str">
        <f>IFERROR(__xludf.DUMMYFUNCTION("""COMPUTED_VALUE"""),"YES")</f>
        <v>YES</v>
      </c>
      <c r="M26" s="403">
        <f>IFERROR(__xludf.DUMMYFUNCTION("""COMPUTED_VALUE"""),1.0)</f>
        <v>1</v>
      </c>
      <c r="N26" s="403">
        <f>IFERROR(__xludf.DUMMYFUNCTION("""COMPUTED_VALUE"""),0.0)</f>
        <v>0</v>
      </c>
      <c r="O26" s="403">
        <f>IFERROR(__xludf.DUMMYFUNCTION("""COMPUTED_VALUE"""),1.0)</f>
        <v>1</v>
      </c>
      <c r="P26" s="403">
        <f>IFERROR(__xludf.DUMMYFUNCTION("""COMPUTED_VALUE"""),0.0)</f>
        <v>0</v>
      </c>
      <c r="Q26" s="392">
        <f>IFERROR(__xludf.DUMMYFUNCTION("""COMPUTED_VALUE"""),2.0)</f>
        <v>2</v>
      </c>
      <c r="R26" s="427" t="str">
        <f>IFERROR(__xludf.DUMMYFUNCTION("""COMPUTED_VALUE"""),"Lerch")</f>
        <v>Lerch</v>
      </c>
      <c r="S26" s="404">
        <f>IFERROR(__xludf.DUMMYFUNCTION("""COMPUTED_VALUE"""),15075.349999999999)</f>
        <v>15075.35</v>
      </c>
      <c r="T26" s="404">
        <f>IFERROR(__xludf.DUMMYFUNCTION("""COMPUTED_VALUE"""),14559.5)</f>
        <v>14559.5</v>
      </c>
      <c r="U26" s="404">
        <f>IFERROR(__xludf.DUMMYFUNCTION("""COMPUTED_VALUE"""),14559.5)</f>
        <v>14559.5</v>
      </c>
      <c r="V26" s="404">
        <f>IFERROR(__xludf.DUMMYFUNCTION("""COMPUTED_VALUE"""),29119.0)</f>
        <v>29119</v>
      </c>
      <c r="W26" s="405">
        <f>IFERROR(__xludf.DUMMYFUNCTION("""COMPUTED_VALUE"""),15075.349999999999)</f>
        <v>15075.35</v>
      </c>
      <c r="X26" s="404">
        <f>IFERROR(__xludf.DUMMYFUNCTION("""COMPUTED_VALUE"""),15075.349999999999)</f>
        <v>15075.35</v>
      </c>
      <c r="Y26" s="404">
        <f>IFERROR(__xludf.DUMMYFUNCTION("""COMPUTED_VALUE"""),0.0)</f>
        <v>0</v>
      </c>
      <c r="Z26" s="404">
        <f>IFERROR(__xludf.DUMMYFUNCTION("""COMPUTED_VALUE"""),15075.349999999999)</f>
        <v>15075.35</v>
      </c>
      <c r="AA26" s="404">
        <f>IFERROR(__xludf.DUMMYFUNCTION("""COMPUTED_VALUE"""),0.0)</f>
        <v>0</v>
      </c>
      <c r="AB26" s="404">
        <f>IFERROR(__xludf.DUMMYFUNCTION("""COMPUTED_VALUE"""),30150.699999999997)</f>
        <v>30150.7</v>
      </c>
      <c r="AC26" s="406"/>
      <c r="AD26" s="407">
        <f>IFERROR(__xludf.DUMMYFUNCTION("""COMPUTED_VALUE"""),15455.880000000001)</f>
        <v>15455.88</v>
      </c>
      <c r="AE26" s="408">
        <f>IFERROR(__xludf.DUMMYFUNCTION("""COMPUTED_VALUE"""),1.0252418683479987)</f>
        <v>1.025241868</v>
      </c>
      <c r="AF26" s="409">
        <f>IFERROR(__xludf.DUMMYFUNCTION("""COMPUTED_VALUE"""),380.5300000000025)</f>
        <v>380.53</v>
      </c>
      <c r="AG26" s="410" t="str">
        <f>IFERROR(__xludf.DUMMYFUNCTION("""COMPUTED_VALUE"""),"READY FOR REVIEW")</f>
        <v>READY FOR REVIEW</v>
      </c>
      <c r="AH26" s="370"/>
      <c r="AI26" s="403" t="str">
        <f>IFERROR(__xludf.DUMMYFUNCTION("""COMPUTED_VALUE"""),"Similar units than Canada")</f>
        <v>Similar units than Canada</v>
      </c>
      <c r="AJ26" s="403" t="str">
        <f>IFERROR(__xludf.DUMMYFUNCTION("""COMPUTED_VALUE"""),"N")</f>
        <v>N</v>
      </c>
      <c r="AK26" s="403" t="str">
        <f>IFERROR(__xludf.DUMMYFUNCTION("""COMPUTED_VALUE"""),"N")</f>
        <v>N</v>
      </c>
      <c r="AL26" s="403" t="str">
        <f>IFERROR(__xludf.DUMMYFUNCTION("""COMPUTED_VALUE"""),"Y")</f>
        <v>Y</v>
      </c>
      <c r="AM26" s="403" t="str">
        <f>IFERROR(__xludf.DUMMYFUNCTION("""COMPUTED_VALUE"""),"Y")</f>
        <v>Y</v>
      </c>
      <c r="AN26" s="403" t="str">
        <f>IFERROR(__xludf.DUMMYFUNCTION("""COMPUTED_VALUE"""),"N")</f>
        <v>N</v>
      </c>
      <c r="AO26" s="403" t="str">
        <f>IFERROR(__xludf.DUMMYFUNCTION("""COMPUTED_VALUE"""),"N")</f>
        <v>N</v>
      </c>
      <c r="AP26" s="370"/>
      <c r="AQ26" s="403" t="str">
        <f>IFERROR(__xludf.DUMMYFUNCTION("""COMPUTED_VALUE"""),"Not Req")</f>
        <v>Not Req</v>
      </c>
      <c r="AR26" s="411">
        <f>IFERROR(__xludf.DUMMYFUNCTION("""COMPUTED_VALUE"""),46036.0)</f>
        <v>46036</v>
      </c>
      <c r="AS26" s="411">
        <f>IFERROR(__xludf.DUMMYFUNCTION("""COMPUTED_VALUE"""),46038.0)</f>
        <v>46038</v>
      </c>
      <c r="AT26" s="411">
        <f>IFERROR(__xludf.DUMMYFUNCTION("""COMPUTED_VALUE"""),46041.0)</f>
        <v>46041</v>
      </c>
      <c r="AU26" s="403" t="str">
        <f>IFERROR(__xludf.DUMMYFUNCTION("""COMPUTED_VALUE"""),"Ordered")</f>
        <v>Ordered</v>
      </c>
      <c r="AV26" s="403" t="str">
        <f>IFERROR(__xludf.DUMMYFUNCTION("""COMPUTED_VALUE"""),"N")</f>
        <v>N</v>
      </c>
      <c r="AW26" s="403" t="str">
        <f>IFERROR(__xludf.DUMMYFUNCTION("""COMPUTED_VALUE"""),"Move into place
Connect water")</f>
        <v>Move into place
Connect water</v>
      </c>
      <c r="AX26" s="403" t="str">
        <f>IFERROR(__xludf.DUMMYFUNCTION("""COMPUTED_VALUE"""),"ground beef/pork - 20 kg")</f>
        <v>ground beef/pork - 20 kg</v>
      </c>
      <c r="AY26" s="370"/>
      <c r="AZ26" s="412"/>
      <c r="BA26" s="413"/>
      <c r="BB26" s="413"/>
      <c r="BC26" s="413"/>
      <c r="BD26" s="413"/>
      <c r="BE26" s="414"/>
      <c r="BF26" s="415"/>
    </row>
    <row r="27" ht="27.0" customHeight="1">
      <c r="A27" s="428" t="str">
        <f>IFERROR(__xludf.DUMMYFUNCTION("""COMPUTED_VALUE"""),"E23 ")</f>
        <v>E23 </v>
      </c>
      <c r="B27" s="401" t="str">
        <f>IFERROR(__xludf.DUMMYFUNCTION("""COMPUTED_VALUE"""),"Tray Denester")</f>
        <v>Tray Denester</v>
      </c>
      <c r="C27" s="429" t="str">
        <f>IFERROR(__xludf.DUMMYFUNCTION("""COMPUTED_VALUE"""),"N/A")</f>
        <v>N/A</v>
      </c>
      <c r="D27" s="430" t="str">
        <f>IFERROR(__xludf.DUMMYFUNCTION("""COMPUTED_VALUE"""),"n/a")</f>
        <v>n/a</v>
      </c>
      <c r="E27" s="430" t="str">
        <f>IFERROR(__xludf.DUMMYFUNCTION("""COMPUTED_VALUE"""),"n/a")</f>
        <v>n/a</v>
      </c>
      <c r="F27" s="430" t="str">
        <f>IFERROR(__xludf.DUMMYFUNCTION("""COMPUTED_VALUE"""),"N/A")</f>
        <v>N/A</v>
      </c>
      <c r="G27" s="370"/>
      <c r="H27" s="370"/>
      <c r="I27" s="370"/>
      <c r="J27" s="370"/>
      <c r="K27" s="370"/>
      <c r="L27" s="370"/>
      <c r="M27" s="430">
        <f>IFERROR(__xludf.DUMMYFUNCTION("""COMPUTED_VALUE"""),0.0)</f>
        <v>0</v>
      </c>
      <c r="N27" s="430">
        <f>IFERROR(__xludf.DUMMYFUNCTION("""COMPUTED_VALUE"""),0.0)</f>
        <v>0</v>
      </c>
      <c r="O27" s="430">
        <f>IFERROR(__xludf.DUMMYFUNCTION("""COMPUTED_VALUE"""),0.0)</f>
        <v>0</v>
      </c>
      <c r="P27" s="431">
        <f>IFERROR(__xludf.DUMMYFUNCTION("""COMPUTED_VALUE"""),0.0)</f>
        <v>0</v>
      </c>
      <c r="Q27" s="432">
        <f>IFERROR(__xludf.DUMMYFUNCTION("""COMPUTED_VALUE"""),0.0)</f>
        <v>0</v>
      </c>
      <c r="R27" s="403" t="str">
        <f>IFERROR(__xludf.DUMMYFUNCTION("""COMPUTED_VALUE"""),"N/A")</f>
        <v>N/A</v>
      </c>
      <c r="S27" s="433" t="str">
        <f>IFERROR(__xludf.DUMMYFUNCTION("""COMPUTED_VALUE"""),"N/A")</f>
        <v>N/A</v>
      </c>
      <c r="T27" s="404">
        <f>IFERROR(__xludf.DUMMYFUNCTION("""COMPUTED_VALUE"""),0.0)</f>
        <v>0</v>
      </c>
      <c r="U27" s="404">
        <f>IFERROR(__xludf.DUMMYFUNCTION("""COMPUTED_VALUE"""),0.0)</f>
        <v>0</v>
      </c>
      <c r="V27" s="404">
        <f>IFERROR(__xludf.DUMMYFUNCTION("""COMPUTED_VALUE"""),0.0)</f>
        <v>0</v>
      </c>
      <c r="W27" s="405">
        <f>IFERROR(__xludf.DUMMYFUNCTION("""COMPUTED_VALUE"""),0.0)</f>
        <v>0</v>
      </c>
      <c r="X27" s="404">
        <f>IFERROR(__xludf.DUMMYFUNCTION("""COMPUTED_VALUE"""),0.0)</f>
        <v>0</v>
      </c>
      <c r="Y27" s="404">
        <f>IFERROR(__xludf.DUMMYFUNCTION("""COMPUTED_VALUE"""),0.0)</f>
        <v>0</v>
      </c>
      <c r="Z27" s="404">
        <f>IFERROR(__xludf.DUMMYFUNCTION("""COMPUTED_VALUE"""),0.0)</f>
        <v>0</v>
      </c>
      <c r="AA27" s="404">
        <f>IFERROR(__xludf.DUMMYFUNCTION("""COMPUTED_VALUE"""),0.0)</f>
        <v>0</v>
      </c>
      <c r="AB27" s="404">
        <f>IFERROR(__xludf.DUMMYFUNCTION("""COMPUTED_VALUE"""),0.0)</f>
        <v>0</v>
      </c>
      <c r="AC27" s="406"/>
      <c r="AD27" s="407">
        <f>IFERROR(__xludf.DUMMYFUNCTION("""COMPUTED_VALUE"""),0.0)</f>
        <v>0</v>
      </c>
      <c r="AE27" s="408" t="str">
        <f>IFERROR(__xludf.DUMMYFUNCTION("""COMPUTED_VALUE"""),"N/A")</f>
        <v>N/A</v>
      </c>
      <c r="AF27" s="409">
        <f>IFERROR(__xludf.DUMMYFUNCTION("""COMPUTED_VALUE"""),0.0)</f>
        <v>0</v>
      </c>
      <c r="AG27" s="370"/>
      <c r="AH27" s="370"/>
      <c r="AI27" s="370"/>
      <c r="AJ27" s="403" t="str">
        <f>IFERROR(__xludf.DUMMYFUNCTION("""COMPUTED_VALUE"""),"N/A")</f>
        <v>N/A</v>
      </c>
      <c r="AK27" s="403" t="str">
        <f>IFERROR(__xludf.DUMMYFUNCTION("""COMPUTED_VALUE"""),"N/A")</f>
        <v>N/A</v>
      </c>
      <c r="AL27" s="403" t="str">
        <f>IFERROR(__xludf.DUMMYFUNCTION("""COMPUTED_VALUE"""),"N/A")</f>
        <v>N/A</v>
      </c>
      <c r="AM27" s="403" t="str">
        <f>IFERROR(__xludf.DUMMYFUNCTION("""COMPUTED_VALUE"""),"N/A")</f>
        <v>N/A</v>
      </c>
      <c r="AN27" s="403" t="str">
        <f>IFERROR(__xludf.DUMMYFUNCTION("""COMPUTED_VALUE"""),"N/A")</f>
        <v>N/A</v>
      </c>
      <c r="AO27" s="403" t="str">
        <f>IFERROR(__xludf.DUMMYFUNCTION("""COMPUTED_VALUE"""),"N/A")</f>
        <v>N/A</v>
      </c>
      <c r="AP27" s="370"/>
      <c r="AQ27" s="403" t="str">
        <f>IFERROR(__xludf.DUMMYFUNCTION("""COMPUTED_VALUE"""),"Not Req")</f>
        <v>Not Req</v>
      </c>
      <c r="AR27" s="403" t="str">
        <f>IFERROR(__xludf.DUMMYFUNCTION("""COMPUTED_VALUE"""),"N/A")</f>
        <v>N/A</v>
      </c>
      <c r="AS27" s="403" t="str">
        <f>IFERROR(__xludf.DUMMYFUNCTION("""COMPUTED_VALUE"""),"N/A")</f>
        <v>N/A</v>
      </c>
      <c r="AT27" s="403" t="str">
        <f>IFERROR(__xludf.DUMMYFUNCTION("""COMPUTED_VALUE"""),"N/A")</f>
        <v>N/A</v>
      </c>
      <c r="AU27" s="403" t="str">
        <f>IFERROR(__xludf.DUMMYFUNCTION("""COMPUTED_VALUE"""),"Not Req.")</f>
        <v>Not Req.</v>
      </c>
      <c r="AV27" s="430" t="str">
        <f>IFERROR(__xludf.DUMMYFUNCTION("""COMPUTED_VALUE"""),"N/A")</f>
        <v>N/A</v>
      </c>
      <c r="AW27" s="430" t="str">
        <f>IFERROR(__xludf.DUMMYFUNCTION("""COMPUTED_VALUE"""),"N/A")</f>
        <v>N/A</v>
      </c>
      <c r="AX27" s="430" t="str">
        <f>IFERROR(__xludf.DUMMYFUNCTION("""COMPUTED_VALUE"""),"N/A")</f>
        <v>N/A</v>
      </c>
      <c r="AY27" s="370"/>
      <c r="AZ27" s="412"/>
      <c r="BA27" s="434"/>
      <c r="BB27" s="434"/>
      <c r="BC27" s="434"/>
      <c r="BD27" s="434"/>
      <c r="BE27" s="435"/>
      <c r="BF27" s="415"/>
    </row>
    <row r="28" ht="27.0" customHeight="1">
      <c r="A28" s="400" t="str">
        <f>IFERROR(__xludf.DUMMYFUNCTION("""COMPUTED_VALUE"""),"E24")</f>
        <v>E24</v>
      </c>
      <c r="B28" s="401" t="str">
        <f>IFERROR(__xludf.DUMMYFUNCTION("""COMPUTED_VALUE"""),"Slicer")</f>
        <v>Slicer</v>
      </c>
      <c r="C28" s="402" t="str">
        <f>IFERROR(__xludf.DUMMYFUNCTION("""COMPUTED_VALUE"""),"Olivier Lemieux")</f>
        <v>Olivier Lemieux</v>
      </c>
      <c r="D28" s="403" t="str">
        <f>IFERROR(__xludf.DUMMYFUNCTION("""COMPUTED_VALUE"""),"TREIF")</f>
        <v>TREIF</v>
      </c>
      <c r="E28" s="403" t="str">
        <f>IFERROR(__xludf.DUMMYFUNCTION("""COMPUTED_VALUE"""),"PUMA 700-E")</f>
        <v>PUMA 700-E</v>
      </c>
      <c r="F28" s="403" t="str">
        <f>IFERROR(__xludf.DUMMYFUNCTION("""COMPUTED_VALUE"""),"Phase 1.1")</f>
        <v>Phase 1.1</v>
      </c>
      <c r="G28" s="403" t="str">
        <f>IFERROR(__xludf.DUMMYFUNCTION("""COMPUTED_VALUE"""),"Equipment failed slicing test")</f>
        <v>Equipment failed slicing test</v>
      </c>
      <c r="H28" s="370"/>
      <c r="I28" s="370"/>
      <c r="J28" s="370"/>
      <c r="K28" s="370"/>
      <c r="L28" s="370"/>
      <c r="M28" s="403">
        <f>IFERROR(__xludf.DUMMYFUNCTION("""COMPUTED_VALUE"""),0.0)</f>
        <v>0</v>
      </c>
      <c r="N28" s="403">
        <f>IFERROR(__xludf.DUMMYFUNCTION("""COMPUTED_VALUE"""),1.0)</f>
        <v>1</v>
      </c>
      <c r="O28" s="403">
        <f>IFERROR(__xludf.DUMMYFUNCTION("""COMPUTED_VALUE"""),0.0)</f>
        <v>0</v>
      </c>
      <c r="P28" s="403">
        <f>IFERROR(__xludf.DUMMYFUNCTION("""COMPUTED_VALUE"""),0.0)</f>
        <v>0</v>
      </c>
      <c r="Q28" s="392">
        <f>IFERROR(__xludf.DUMMYFUNCTION("""COMPUTED_VALUE"""),1.0)</f>
        <v>1</v>
      </c>
      <c r="R28" s="436" t="str">
        <f>IFERROR(__xludf.DUMMYFUNCTION("""COMPUTED_VALUE"""),"Sismatec")</f>
        <v>Sismatec</v>
      </c>
      <c r="S28" s="404">
        <f>IFERROR(__xludf.DUMMYFUNCTION("""COMPUTED_VALUE"""),34615.0)</f>
        <v>34615</v>
      </c>
      <c r="T28" s="404">
        <f>IFERROR(__xludf.DUMMYFUNCTION("""COMPUTED_VALUE"""),103108.0)</f>
        <v>103108</v>
      </c>
      <c r="U28" s="404">
        <f>IFERROR(__xludf.DUMMYFUNCTION("""COMPUTED_VALUE"""),0.0)</f>
        <v>0</v>
      </c>
      <c r="V28" s="404">
        <f>IFERROR(__xludf.DUMMYFUNCTION("""COMPUTED_VALUE"""),103108.0)</f>
        <v>103108</v>
      </c>
      <c r="W28" s="405">
        <f>IFERROR(__xludf.DUMMYFUNCTION("""COMPUTED_VALUE"""),0.0)</f>
        <v>0</v>
      </c>
      <c r="X28" s="404">
        <f>IFERROR(__xludf.DUMMYFUNCTION("""COMPUTED_VALUE"""),0.0)</f>
        <v>0</v>
      </c>
      <c r="Y28" s="404">
        <f>IFERROR(__xludf.DUMMYFUNCTION("""COMPUTED_VALUE"""),34615.0)</f>
        <v>34615</v>
      </c>
      <c r="Z28" s="404">
        <f>IFERROR(__xludf.DUMMYFUNCTION("""COMPUTED_VALUE"""),0.0)</f>
        <v>0</v>
      </c>
      <c r="AA28" s="404">
        <f>IFERROR(__xludf.DUMMYFUNCTION("""COMPUTED_VALUE"""),0.0)</f>
        <v>0</v>
      </c>
      <c r="AB28" s="404">
        <f>IFERROR(__xludf.DUMMYFUNCTION("""COMPUTED_VALUE"""),34615.0)</f>
        <v>34615</v>
      </c>
      <c r="AC28" s="406"/>
      <c r="AD28" s="419">
        <f>IFERROR(__xludf.DUMMYFUNCTION("""COMPUTED_VALUE"""),0.0)</f>
        <v>0</v>
      </c>
      <c r="AE28" s="408" t="str">
        <f>IFERROR(__xludf.DUMMYFUNCTION("""COMPUTED_VALUE"""),"TBD")</f>
        <v>TBD</v>
      </c>
      <c r="AF28" s="409">
        <f>IFERROR(__xludf.DUMMYFUNCTION("""COMPUTED_VALUE"""),0.0)</f>
        <v>0</v>
      </c>
      <c r="AG28" s="370"/>
      <c r="AH28" s="370"/>
      <c r="AI28" s="370"/>
      <c r="AJ28" s="403" t="str">
        <f>IFERROR(__xludf.DUMMYFUNCTION("""COMPUTED_VALUE"""),"Y")</f>
        <v>Y</v>
      </c>
      <c r="AK28" s="403" t="str">
        <f>IFERROR(__xludf.DUMMYFUNCTION("""COMPUTED_VALUE"""),"Y")</f>
        <v>Y</v>
      </c>
      <c r="AL28" s="403" t="str">
        <f>IFERROR(__xludf.DUMMYFUNCTION("""COMPUTED_VALUE"""),"N")</f>
        <v>N</v>
      </c>
      <c r="AM28" s="403" t="str">
        <f>IFERROR(__xludf.DUMMYFUNCTION("""COMPUTED_VALUE"""),"Y")</f>
        <v>Y</v>
      </c>
      <c r="AN28" s="403" t="str">
        <f>IFERROR(__xludf.DUMMYFUNCTION("""COMPUTED_VALUE"""),"Y")</f>
        <v>Y</v>
      </c>
      <c r="AO28" s="403" t="str">
        <f>IFERROR(__xludf.DUMMYFUNCTION("""COMPUTED_VALUE"""),"N")</f>
        <v>N</v>
      </c>
      <c r="AP28" s="370"/>
      <c r="AQ28" s="403" t="str">
        <f>IFERROR(__xludf.DUMMYFUNCTION("""COMPUTED_VALUE"""),"Phase 1.1")</f>
        <v>Phase 1.1</v>
      </c>
      <c r="AR28" s="403" t="str">
        <f>IFERROR(__xludf.DUMMYFUNCTION("""COMPUTED_VALUE"""),"Phase 1.1")</f>
        <v>Phase 1.1</v>
      </c>
      <c r="AS28" s="403" t="str">
        <f>IFERROR(__xludf.DUMMYFUNCTION("""COMPUTED_VALUE"""),"Phase 1.1")</f>
        <v>Phase 1.1</v>
      </c>
      <c r="AT28" s="403" t="str">
        <f>IFERROR(__xludf.DUMMYFUNCTION("""COMPUTED_VALUE"""),"Phase 1.1")</f>
        <v>Phase 1.1</v>
      </c>
      <c r="AU28" s="403" t="str">
        <f>IFERROR(__xludf.DUMMYFUNCTION("""COMPUTED_VALUE"""),"Phase 1.1")</f>
        <v>Phase 1.1</v>
      </c>
      <c r="AV28" s="421" t="str">
        <f>IFERROR(__xludf.DUMMYFUNCTION("""COMPUTED_VALUE"""),"TBD")</f>
        <v>TBD</v>
      </c>
      <c r="AW28" s="403" t="str">
        <f>IFERROR(__xludf.DUMMYFUNCTION("""COMPUTED_VALUE"""),"Move into place")</f>
        <v>Move into place</v>
      </c>
      <c r="AX28" s="403" t="str">
        <f>IFERROR(__xludf.DUMMYFUNCTION("""COMPUTED_VALUE"""),"N/A")</f>
        <v>N/A</v>
      </c>
      <c r="AY28" s="370"/>
      <c r="AZ28" s="412"/>
      <c r="BA28" s="413"/>
      <c r="BB28" s="413"/>
      <c r="BC28" s="413"/>
      <c r="BD28" s="413"/>
      <c r="BE28" s="414"/>
      <c r="BF28" s="415"/>
    </row>
    <row r="29">
      <c r="A29" s="400" t="str">
        <f>IFERROR(__xludf.DUMMYFUNCTION("""COMPUTED_VALUE"""),"E25")</f>
        <v>E25</v>
      </c>
      <c r="B29" s="401" t="str">
        <f>IFERROR(__xludf.DUMMYFUNCTION("""COMPUTED_VALUE"""),"Gas Mixer")</f>
        <v>Gas Mixer</v>
      </c>
      <c r="C29" s="402" t="str">
        <f>IFERROR(__xludf.DUMMYFUNCTION("""COMPUTED_VALUE"""),"Jörg Kienzle James Beale")</f>
        <v>Jörg Kienzle James Beale</v>
      </c>
      <c r="D29" s="421" t="str">
        <f>IFERROR(__xludf.DUMMYFUNCTION("""COMPUTED_VALUE"""),"TBD")</f>
        <v>TBD</v>
      </c>
      <c r="E29" s="421" t="str">
        <f>IFERROR(__xludf.DUMMYFUNCTION("""COMPUTED_VALUE"""),"TBD")</f>
        <v>TBD</v>
      </c>
      <c r="F29" s="403" t="str">
        <f>IFERROR(__xludf.DUMMYFUNCTION("""COMPUTED_VALUE"""),"Ordered")</f>
        <v>Ordered</v>
      </c>
      <c r="G29" s="370"/>
      <c r="H29" s="370"/>
      <c r="I29" s="370"/>
      <c r="J29" s="370"/>
      <c r="K29" s="370"/>
      <c r="L29" s="370"/>
      <c r="M29" s="403">
        <f>IFERROR(__xludf.DUMMYFUNCTION("""COMPUTED_VALUE"""),0.0)</f>
        <v>0</v>
      </c>
      <c r="N29" s="403">
        <f>IFERROR(__xludf.DUMMYFUNCTION("""COMPUTED_VALUE"""),0.0)</f>
        <v>0</v>
      </c>
      <c r="O29" s="403">
        <f>IFERROR(__xludf.DUMMYFUNCTION("""COMPUTED_VALUE"""),0.0)</f>
        <v>0</v>
      </c>
      <c r="P29" s="403">
        <f>IFERROR(__xludf.DUMMYFUNCTION("""COMPUTED_VALUE"""),0.0)</f>
        <v>0</v>
      </c>
      <c r="Q29" s="392">
        <f>IFERROR(__xludf.DUMMYFUNCTION("""COMPUTED_VALUE"""),0.0)</f>
        <v>0</v>
      </c>
      <c r="R29" s="421" t="str">
        <f>IFERROR(__xludf.DUMMYFUNCTION("""COMPUTED_VALUE"""),"N/A")</f>
        <v>N/A</v>
      </c>
      <c r="S29" s="404" t="str">
        <f>IFERROR(__xludf.DUMMYFUNCTION("""COMPUTED_VALUE"""),"N/A")</f>
        <v>N/A</v>
      </c>
      <c r="T29" s="404">
        <f>IFERROR(__xludf.DUMMYFUNCTION("""COMPUTED_VALUE"""),0.0)</f>
        <v>0</v>
      </c>
      <c r="U29" s="404">
        <f>IFERROR(__xludf.DUMMYFUNCTION("""COMPUTED_VALUE"""),0.0)</f>
        <v>0</v>
      </c>
      <c r="V29" s="404">
        <f>IFERROR(__xludf.DUMMYFUNCTION("""COMPUTED_VALUE"""),0.0)</f>
        <v>0</v>
      </c>
      <c r="W29" s="405">
        <f>IFERROR(__xludf.DUMMYFUNCTION("""COMPUTED_VALUE"""),0.0)</f>
        <v>0</v>
      </c>
      <c r="X29" s="404">
        <f>IFERROR(__xludf.DUMMYFUNCTION("""COMPUTED_VALUE"""),0.0)</f>
        <v>0</v>
      </c>
      <c r="Y29" s="404">
        <f>IFERROR(__xludf.DUMMYFUNCTION("""COMPUTED_VALUE"""),0.0)</f>
        <v>0</v>
      </c>
      <c r="Z29" s="404">
        <f>IFERROR(__xludf.DUMMYFUNCTION("""COMPUTED_VALUE"""),0.0)</f>
        <v>0</v>
      </c>
      <c r="AA29" s="404">
        <f>IFERROR(__xludf.DUMMYFUNCTION("""COMPUTED_VALUE"""),0.0)</f>
        <v>0</v>
      </c>
      <c r="AB29" s="404">
        <f>IFERROR(__xludf.DUMMYFUNCTION("""COMPUTED_VALUE"""),0.0)</f>
        <v>0</v>
      </c>
      <c r="AC29" s="406"/>
      <c r="AD29" s="407">
        <f>IFERROR(__xludf.DUMMYFUNCTION("""COMPUTED_VALUE"""),0.0)</f>
        <v>0</v>
      </c>
      <c r="AE29" s="408" t="str">
        <f>IFERROR(__xludf.DUMMYFUNCTION("""COMPUTED_VALUE"""),"N/A")</f>
        <v>N/A</v>
      </c>
      <c r="AF29" s="409">
        <f>IFERROR(__xludf.DUMMYFUNCTION("""COMPUTED_VALUE"""),0.0)</f>
        <v>0</v>
      </c>
      <c r="AG29" s="370"/>
      <c r="AH29" s="370"/>
      <c r="AI29" s="370"/>
      <c r="AJ29" s="403" t="str">
        <f>IFERROR(__xludf.DUMMYFUNCTION("""COMPUTED_VALUE"""),"TBD")</f>
        <v>TBD</v>
      </c>
      <c r="AK29" s="403" t="str">
        <f>IFERROR(__xludf.DUMMYFUNCTION("""COMPUTED_VALUE"""),"TBD")</f>
        <v>TBD</v>
      </c>
      <c r="AL29" s="403" t="str">
        <f>IFERROR(__xludf.DUMMYFUNCTION("""COMPUTED_VALUE"""),"TBD")</f>
        <v>TBD</v>
      </c>
      <c r="AM29" s="403" t="str">
        <f>IFERROR(__xludf.DUMMYFUNCTION("""COMPUTED_VALUE"""),"TBD")</f>
        <v>TBD</v>
      </c>
      <c r="AN29" s="403" t="str">
        <f>IFERROR(__xludf.DUMMYFUNCTION("""COMPUTED_VALUE"""),"TBD")</f>
        <v>TBD</v>
      </c>
      <c r="AO29" s="403" t="str">
        <f>IFERROR(__xludf.DUMMYFUNCTION("""COMPUTED_VALUE"""),"TBD")</f>
        <v>TBD</v>
      </c>
      <c r="AP29" s="403" t="str">
        <f>IFERROR(__xludf.DUMMYFUNCTION("""COMPUTED_VALUE"""),"Calibration Required - FSQA")</f>
        <v>Calibration Required - FSQA</v>
      </c>
      <c r="AQ29" s="403" t="str">
        <f>IFERROR(__xludf.DUMMYFUNCTION("""COMPUTED_VALUE"""),"Not Req")</f>
        <v>Not Req</v>
      </c>
      <c r="AR29" s="411">
        <f>IFERROR(__xludf.DUMMYFUNCTION("""COMPUTED_VALUE"""),46009.0)</f>
        <v>46009</v>
      </c>
      <c r="AS29" s="403" t="str">
        <f>IFERROR(__xludf.DUMMYFUNCTION("""COMPUTED_VALUE"""),"Planned")</f>
        <v>Planned</v>
      </c>
      <c r="AT29" s="403" t="str">
        <f>IFERROR(__xludf.DUMMYFUNCTION("""COMPUTED_VALUE"""),"Planned")</f>
        <v>Planned</v>
      </c>
      <c r="AU29" s="403" t="str">
        <f>IFERROR(__xludf.DUMMYFUNCTION("""COMPUTED_VALUE"""),"Planned")</f>
        <v>Planned</v>
      </c>
      <c r="AV29" s="370"/>
      <c r="AW29" s="370"/>
      <c r="AX29" s="403" t="str">
        <f>IFERROR(__xludf.DUMMYFUNCTION("""COMPUTED_VALUE"""),"N/A")</f>
        <v>N/A</v>
      </c>
      <c r="AY29" s="370"/>
      <c r="AZ29" s="412"/>
      <c r="BA29" s="413"/>
      <c r="BB29" s="413"/>
      <c r="BC29" s="413"/>
      <c r="BD29" s="413"/>
      <c r="BE29" s="414"/>
      <c r="BF29" s="415"/>
    </row>
    <row r="30" ht="27.0" customHeight="1">
      <c r="A30" s="428" t="str">
        <f>IFERROR(__xludf.DUMMYFUNCTION("""COMPUTED_VALUE"""),"E26")</f>
        <v>E26</v>
      </c>
      <c r="B30" s="401" t="str">
        <f>IFERROR(__xludf.DUMMYFUNCTION("""COMPUTED_VALUE"""),"Test Kitchen - X Series 36"" Gas Restaurant Range")</f>
        <v>Test Kitchen - X Series 36" Gas Restaurant Range</v>
      </c>
      <c r="C30" s="429" t="str">
        <f>IFERROR(__xludf.DUMMYFUNCTION("""COMPUTED_VALUE"""),"N/A")</f>
        <v>N/A</v>
      </c>
      <c r="D30" s="430" t="str">
        <f>IFERROR(__xludf.DUMMYFUNCTION("""COMPUTED_VALUE"""),"n/a")</f>
        <v>n/a</v>
      </c>
      <c r="E30" s="430" t="str">
        <f>IFERROR(__xludf.DUMMYFUNCTION("""COMPUTED_VALUE"""),"n/a")</f>
        <v>n/a</v>
      </c>
      <c r="F30" s="430" t="str">
        <f>IFERROR(__xludf.DUMMYFUNCTION("""COMPUTED_VALUE"""),"N/A")</f>
        <v>N/A</v>
      </c>
      <c r="G30" s="370"/>
      <c r="H30" s="370"/>
      <c r="I30" s="370"/>
      <c r="J30" s="370"/>
      <c r="K30" s="370"/>
      <c r="L30" s="370"/>
      <c r="M30" s="430">
        <f>IFERROR(__xludf.DUMMYFUNCTION("""COMPUTED_VALUE"""),0.0)</f>
        <v>0</v>
      </c>
      <c r="N30" s="430">
        <f>IFERROR(__xludf.DUMMYFUNCTION("""COMPUTED_VALUE"""),0.0)</f>
        <v>0</v>
      </c>
      <c r="O30" s="430">
        <f>IFERROR(__xludf.DUMMYFUNCTION("""COMPUTED_VALUE"""),0.0)</f>
        <v>0</v>
      </c>
      <c r="P30" s="430">
        <f>IFERROR(__xludf.DUMMYFUNCTION("""COMPUTED_VALUE"""),0.0)</f>
        <v>0</v>
      </c>
      <c r="Q30" s="432">
        <f>IFERROR(__xludf.DUMMYFUNCTION("""COMPUTED_VALUE"""),0.0)</f>
        <v>0</v>
      </c>
      <c r="R30" s="403" t="str">
        <f>IFERROR(__xludf.DUMMYFUNCTION("""COMPUTED_VALUE"""),"N/A")</f>
        <v>N/A</v>
      </c>
      <c r="S30" s="437" t="str">
        <f>IFERROR(__xludf.DUMMYFUNCTION("""COMPUTED_VALUE"""),"N/A")</f>
        <v>N/A</v>
      </c>
      <c r="T30" s="404">
        <f>IFERROR(__xludf.DUMMYFUNCTION("""COMPUTED_VALUE"""),4124.0)</f>
        <v>4124</v>
      </c>
      <c r="U30" s="404">
        <f>IFERROR(__xludf.DUMMYFUNCTION("""COMPUTED_VALUE"""),0.0)</f>
        <v>0</v>
      </c>
      <c r="V30" s="404">
        <f>IFERROR(__xludf.DUMMYFUNCTION("""COMPUTED_VALUE"""),4124.0)</f>
        <v>4124</v>
      </c>
      <c r="W30" s="405">
        <f>IFERROR(__xludf.DUMMYFUNCTION("""COMPUTED_VALUE"""),0.0)</f>
        <v>0</v>
      </c>
      <c r="X30" s="404">
        <f>IFERROR(__xludf.DUMMYFUNCTION("""COMPUTED_VALUE"""),0.0)</f>
        <v>0</v>
      </c>
      <c r="Y30" s="404">
        <f>IFERROR(__xludf.DUMMYFUNCTION("""COMPUTED_VALUE"""),0.0)</f>
        <v>0</v>
      </c>
      <c r="Z30" s="404">
        <f>IFERROR(__xludf.DUMMYFUNCTION("""COMPUTED_VALUE"""),0.0)</f>
        <v>0</v>
      </c>
      <c r="AA30" s="404">
        <f>IFERROR(__xludf.DUMMYFUNCTION("""COMPUTED_VALUE"""),0.0)</f>
        <v>0</v>
      </c>
      <c r="AB30" s="404">
        <f>IFERROR(__xludf.DUMMYFUNCTION("""COMPUTED_VALUE"""),0.0)</f>
        <v>0</v>
      </c>
      <c r="AC30" s="406"/>
      <c r="AD30" s="407">
        <f>IFERROR(__xludf.DUMMYFUNCTION("""COMPUTED_VALUE"""),0.0)</f>
        <v>0</v>
      </c>
      <c r="AE30" s="408" t="str">
        <f>IFERROR(__xludf.DUMMYFUNCTION("""COMPUTED_VALUE"""),"N/A")</f>
        <v>N/A</v>
      </c>
      <c r="AF30" s="409">
        <f>IFERROR(__xludf.DUMMYFUNCTION("""COMPUTED_VALUE"""),0.0)</f>
        <v>0</v>
      </c>
      <c r="AG30" s="370"/>
      <c r="AH30" s="370"/>
      <c r="AI30" s="370"/>
      <c r="AJ30" s="430" t="str">
        <f>IFERROR(__xludf.DUMMYFUNCTION("""COMPUTED_VALUE"""),"N/A")</f>
        <v>N/A</v>
      </c>
      <c r="AK30" s="430" t="str">
        <f>IFERROR(__xludf.DUMMYFUNCTION("""COMPUTED_VALUE"""),"N/A")</f>
        <v>N/A</v>
      </c>
      <c r="AL30" s="430" t="str">
        <f>IFERROR(__xludf.DUMMYFUNCTION("""COMPUTED_VALUE"""),"N/A")</f>
        <v>N/A</v>
      </c>
      <c r="AM30" s="430" t="str">
        <f>IFERROR(__xludf.DUMMYFUNCTION("""COMPUTED_VALUE"""),"N/A")</f>
        <v>N/A</v>
      </c>
      <c r="AN30" s="430" t="str">
        <f>IFERROR(__xludf.DUMMYFUNCTION("""COMPUTED_VALUE"""),"N/A")</f>
        <v>N/A</v>
      </c>
      <c r="AO30" s="430" t="str">
        <f>IFERROR(__xludf.DUMMYFUNCTION("""COMPUTED_VALUE"""),"N/A")</f>
        <v>N/A</v>
      </c>
      <c r="AP30" s="370"/>
      <c r="AQ30" s="403" t="str">
        <f>IFERROR(__xludf.DUMMYFUNCTION("""COMPUTED_VALUE"""),"Not Req")</f>
        <v>Not Req</v>
      </c>
      <c r="AR30" s="403" t="str">
        <f>IFERROR(__xludf.DUMMYFUNCTION("""COMPUTED_VALUE"""),"N/A")</f>
        <v>N/A</v>
      </c>
      <c r="AS30" s="403" t="str">
        <f>IFERROR(__xludf.DUMMYFUNCTION("""COMPUTED_VALUE"""),"N/A")</f>
        <v>N/A</v>
      </c>
      <c r="AT30" s="403" t="str">
        <f>IFERROR(__xludf.DUMMYFUNCTION("""COMPUTED_VALUE"""),"N/A")</f>
        <v>N/A</v>
      </c>
      <c r="AU30" s="403" t="str">
        <f>IFERROR(__xludf.DUMMYFUNCTION("""COMPUTED_VALUE"""),"Not Req.")</f>
        <v>Not Req.</v>
      </c>
      <c r="AV30" s="370"/>
      <c r="AW30" s="370"/>
      <c r="AX30" s="430" t="str">
        <f>IFERROR(__xludf.DUMMYFUNCTION("""COMPUTED_VALUE"""),"N/A")</f>
        <v>N/A</v>
      </c>
      <c r="AY30" s="370"/>
      <c r="AZ30" s="412"/>
      <c r="BA30" s="434"/>
      <c r="BB30" s="434"/>
      <c r="BC30" s="434"/>
      <c r="BD30" s="434"/>
      <c r="BE30" s="435"/>
      <c r="BF30" s="415"/>
    </row>
    <row r="31" ht="27.0" customHeight="1">
      <c r="A31" s="428" t="str">
        <f>IFERROR(__xludf.DUMMYFUNCTION("""COMPUTED_VALUE"""),"E27")</f>
        <v>E27</v>
      </c>
      <c r="B31" s="401" t="str">
        <f>IFERROR(__xludf.DUMMYFUNCTION("""COMPUTED_VALUE"""),"Test Kitchen - Grill 3ft")</f>
        <v>Test Kitchen - Grill 3ft</v>
      </c>
      <c r="C31" s="429" t="str">
        <f>IFERROR(__xludf.DUMMYFUNCTION("""COMPUTED_VALUE"""),"N/A")</f>
        <v>N/A</v>
      </c>
      <c r="D31" s="430" t="str">
        <f>IFERROR(__xludf.DUMMYFUNCTION("""COMPUTED_VALUE"""),"n/a")</f>
        <v>n/a</v>
      </c>
      <c r="E31" s="430" t="str">
        <f>IFERROR(__xludf.DUMMYFUNCTION("""COMPUTED_VALUE"""),"n/a")</f>
        <v>n/a</v>
      </c>
      <c r="F31" s="430" t="str">
        <f>IFERROR(__xludf.DUMMYFUNCTION("""COMPUTED_VALUE"""),"N/A")</f>
        <v>N/A</v>
      </c>
      <c r="G31" s="370"/>
      <c r="H31" s="370"/>
      <c r="I31" s="370"/>
      <c r="J31" s="370"/>
      <c r="K31" s="370"/>
      <c r="L31" s="370"/>
      <c r="M31" s="430">
        <f>IFERROR(__xludf.DUMMYFUNCTION("""COMPUTED_VALUE"""),0.0)</f>
        <v>0</v>
      </c>
      <c r="N31" s="430">
        <f>IFERROR(__xludf.DUMMYFUNCTION("""COMPUTED_VALUE"""),0.0)</f>
        <v>0</v>
      </c>
      <c r="O31" s="430">
        <f>IFERROR(__xludf.DUMMYFUNCTION("""COMPUTED_VALUE"""),0.0)</f>
        <v>0</v>
      </c>
      <c r="P31" s="431">
        <f>IFERROR(__xludf.DUMMYFUNCTION("""COMPUTED_VALUE"""),0.0)</f>
        <v>0</v>
      </c>
      <c r="Q31" s="432">
        <f>IFERROR(__xludf.DUMMYFUNCTION("""COMPUTED_VALUE"""),0.0)</f>
        <v>0</v>
      </c>
      <c r="R31" s="403" t="str">
        <f>IFERROR(__xludf.DUMMYFUNCTION("""COMPUTED_VALUE"""),"N/A")</f>
        <v>N/A</v>
      </c>
      <c r="S31" s="437" t="str">
        <f>IFERROR(__xludf.DUMMYFUNCTION("""COMPUTED_VALUE"""),"N/A")</f>
        <v>N/A</v>
      </c>
      <c r="T31" s="404">
        <f>IFERROR(__xludf.DUMMYFUNCTION("""COMPUTED_VALUE"""),6186.0)</f>
        <v>6186</v>
      </c>
      <c r="U31" s="404">
        <f>IFERROR(__xludf.DUMMYFUNCTION("""COMPUTED_VALUE"""),0.0)</f>
        <v>0</v>
      </c>
      <c r="V31" s="404">
        <f>IFERROR(__xludf.DUMMYFUNCTION("""COMPUTED_VALUE"""),6186.0)</f>
        <v>6186</v>
      </c>
      <c r="W31" s="405">
        <f>IFERROR(__xludf.DUMMYFUNCTION("""COMPUTED_VALUE"""),0.0)</f>
        <v>0</v>
      </c>
      <c r="X31" s="404">
        <f>IFERROR(__xludf.DUMMYFUNCTION("""COMPUTED_VALUE"""),0.0)</f>
        <v>0</v>
      </c>
      <c r="Y31" s="404">
        <f>IFERROR(__xludf.DUMMYFUNCTION("""COMPUTED_VALUE"""),0.0)</f>
        <v>0</v>
      </c>
      <c r="Z31" s="404">
        <f>IFERROR(__xludf.DUMMYFUNCTION("""COMPUTED_VALUE"""),0.0)</f>
        <v>0</v>
      </c>
      <c r="AA31" s="404">
        <f>IFERROR(__xludf.DUMMYFUNCTION("""COMPUTED_VALUE"""),0.0)</f>
        <v>0</v>
      </c>
      <c r="AB31" s="404">
        <f>IFERROR(__xludf.DUMMYFUNCTION("""COMPUTED_VALUE"""),0.0)</f>
        <v>0</v>
      </c>
      <c r="AC31" s="406"/>
      <c r="AD31" s="407">
        <f>IFERROR(__xludf.DUMMYFUNCTION("""COMPUTED_VALUE"""),0.0)</f>
        <v>0</v>
      </c>
      <c r="AE31" s="408" t="str">
        <f>IFERROR(__xludf.DUMMYFUNCTION("""COMPUTED_VALUE"""),"N/A")</f>
        <v>N/A</v>
      </c>
      <c r="AF31" s="409">
        <f>IFERROR(__xludf.DUMMYFUNCTION("""COMPUTED_VALUE"""),0.0)</f>
        <v>0</v>
      </c>
      <c r="AG31" s="370"/>
      <c r="AH31" s="370"/>
      <c r="AI31" s="370"/>
      <c r="AJ31" s="430" t="str">
        <f>IFERROR(__xludf.DUMMYFUNCTION("""COMPUTED_VALUE"""),"N/A")</f>
        <v>N/A</v>
      </c>
      <c r="AK31" s="430" t="str">
        <f>IFERROR(__xludf.DUMMYFUNCTION("""COMPUTED_VALUE"""),"N/A")</f>
        <v>N/A</v>
      </c>
      <c r="AL31" s="430" t="str">
        <f>IFERROR(__xludf.DUMMYFUNCTION("""COMPUTED_VALUE"""),"N/A")</f>
        <v>N/A</v>
      </c>
      <c r="AM31" s="430" t="str">
        <f>IFERROR(__xludf.DUMMYFUNCTION("""COMPUTED_VALUE"""),"N/A")</f>
        <v>N/A</v>
      </c>
      <c r="AN31" s="430" t="str">
        <f>IFERROR(__xludf.DUMMYFUNCTION("""COMPUTED_VALUE"""),"N/A")</f>
        <v>N/A</v>
      </c>
      <c r="AO31" s="430" t="str">
        <f>IFERROR(__xludf.DUMMYFUNCTION("""COMPUTED_VALUE"""),"N/A")</f>
        <v>N/A</v>
      </c>
      <c r="AP31" s="370"/>
      <c r="AQ31" s="403" t="str">
        <f>IFERROR(__xludf.DUMMYFUNCTION("""COMPUTED_VALUE"""),"Not Req")</f>
        <v>Not Req</v>
      </c>
      <c r="AR31" s="403" t="str">
        <f>IFERROR(__xludf.DUMMYFUNCTION("""COMPUTED_VALUE"""),"N/A")</f>
        <v>N/A</v>
      </c>
      <c r="AS31" s="403" t="str">
        <f>IFERROR(__xludf.DUMMYFUNCTION("""COMPUTED_VALUE"""),"N/A")</f>
        <v>N/A</v>
      </c>
      <c r="AT31" s="403" t="str">
        <f>IFERROR(__xludf.DUMMYFUNCTION("""COMPUTED_VALUE"""),"N/A")</f>
        <v>N/A</v>
      </c>
      <c r="AU31" s="403" t="str">
        <f>IFERROR(__xludf.DUMMYFUNCTION("""COMPUTED_VALUE"""),"Not Req.")</f>
        <v>Not Req.</v>
      </c>
      <c r="AV31" s="370"/>
      <c r="AW31" s="370"/>
      <c r="AX31" s="430" t="str">
        <f>IFERROR(__xludf.DUMMYFUNCTION("""COMPUTED_VALUE"""),"N/A")</f>
        <v>N/A</v>
      </c>
      <c r="AY31" s="370"/>
      <c r="AZ31" s="412"/>
      <c r="BA31" s="434"/>
      <c r="BB31" s="434"/>
      <c r="BC31" s="434"/>
      <c r="BD31" s="434"/>
      <c r="BE31" s="435"/>
      <c r="BF31" s="415"/>
    </row>
    <row r="32" ht="27.0" customHeight="1">
      <c r="A32" s="400" t="str">
        <f>IFERROR(__xludf.DUMMYFUNCTION("""COMPUTED_VALUE"""),"E28")</f>
        <v>E28</v>
      </c>
      <c r="B32" s="401" t="str">
        <f>IFERROR(__xludf.DUMMYFUNCTION("""COMPUTED_VALUE"""),"Test Kitchen - oven")</f>
        <v>Test Kitchen - oven</v>
      </c>
      <c r="C32" s="402" t="str">
        <f>IFERROR(__xludf.DUMMYFUNCTION("""COMPUTED_VALUE"""),"Olivier Lemieux")</f>
        <v>Olivier Lemieux</v>
      </c>
      <c r="D32" s="403" t="str">
        <f>IFERROR(__xludf.DUMMYFUNCTION("""COMPUTED_VALUE"""),"Rational")</f>
        <v>Rational</v>
      </c>
      <c r="E32" s="403" t="str">
        <f>IFERROR(__xludf.DUMMYFUNCTION("""COMPUTED_VALUE"""),"iCombi Pro 6-2/1 E")</f>
        <v>iCombi Pro 6-2/1 E</v>
      </c>
      <c r="F32" s="403" t="str">
        <f>IFERROR(__xludf.DUMMYFUNCTION("""COMPUTED_VALUE"""),"Ordered")</f>
        <v>Ordered</v>
      </c>
      <c r="G32" s="403" t="str">
        <f>IFERROR(__xludf.DUMMYFUNCTION("""COMPUTED_VALUE"""),"Installed in temporary test kitchen")</f>
        <v>Installed in temporary test kitchen</v>
      </c>
      <c r="H32" s="370"/>
      <c r="I32" s="403" t="str">
        <f>IFERROR(__xludf.DUMMYFUNCTION("""COMPUTED_VALUE"""),"RELEASED - Nov.12 2024")</f>
        <v>RELEASED - Nov.12 2024</v>
      </c>
      <c r="J32" s="403" t="str">
        <f>IFERROR(__xludf.DUMMYFUNCTION("""COMPUTED_VALUE"""),"P05400001DEFB")</f>
        <v>P05400001DEFB</v>
      </c>
      <c r="K32" s="403" t="str">
        <f>IFERROR(__xludf.DUMMYFUNCTION("""COMPUTED_VALUE"""),"2 weeks")</f>
        <v>2 weeks</v>
      </c>
      <c r="L32" s="403" t="str">
        <f>IFERROR(__xludf.DUMMYFUNCTION("""COMPUTED_VALUE"""),"NO")</f>
        <v>NO</v>
      </c>
      <c r="M32" s="403">
        <f>IFERROR(__xludf.DUMMYFUNCTION("""COMPUTED_VALUE"""),1.0)</f>
        <v>1</v>
      </c>
      <c r="N32" s="403">
        <f>IFERROR(__xludf.DUMMYFUNCTION("""COMPUTED_VALUE"""),0.0)</f>
        <v>0</v>
      </c>
      <c r="O32" s="403">
        <f>IFERROR(__xludf.DUMMYFUNCTION("""COMPUTED_VALUE"""),0.0)</f>
        <v>0</v>
      </c>
      <c r="P32" s="403">
        <f>IFERROR(__xludf.DUMMYFUNCTION("""COMPUTED_VALUE"""),0.0)</f>
        <v>0</v>
      </c>
      <c r="Q32" s="392">
        <f>IFERROR(__xludf.DUMMYFUNCTION("""COMPUTED_VALUE"""),1.0)</f>
        <v>1</v>
      </c>
      <c r="R32" s="403" t="str">
        <f>IFERROR(__xludf.DUMMYFUNCTION("""COMPUTED_VALUE"""),"Boettger")</f>
        <v>Boettger</v>
      </c>
      <c r="S32" s="404">
        <f>IFERROR(__xludf.DUMMYFUNCTION("""COMPUTED_VALUE"""),19583.0625)</f>
        <v>19583.0625</v>
      </c>
      <c r="T32" s="404">
        <f>IFERROR(__xludf.DUMMYFUNCTION("""COMPUTED_VALUE"""),20622.0)</f>
        <v>20622</v>
      </c>
      <c r="U32" s="404">
        <f>IFERROR(__xludf.DUMMYFUNCTION("""COMPUTED_VALUE"""),0.0)</f>
        <v>0</v>
      </c>
      <c r="V32" s="404">
        <f>IFERROR(__xludf.DUMMYFUNCTION("""COMPUTED_VALUE"""),20622.0)</f>
        <v>20622</v>
      </c>
      <c r="W32" s="405">
        <f>IFERROR(__xludf.DUMMYFUNCTION("""COMPUTED_VALUE"""),19583.0625)</f>
        <v>19583.0625</v>
      </c>
      <c r="X32" s="404">
        <f>IFERROR(__xludf.DUMMYFUNCTION("""COMPUTED_VALUE"""),19583.0625)</f>
        <v>19583.0625</v>
      </c>
      <c r="Y32" s="404">
        <f>IFERROR(__xludf.DUMMYFUNCTION("""COMPUTED_VALUE"""),0.0)</f>
        <v>0</v>
      </c>
      <c r="Z32" s="404">
        <f>IFERROR(__xludf.DUMMYFUNCTION("""COMPUTED_VALUE"""),0.0)</f>
        <v>0</v>
      </c>
      <c r="AA32" s="404">
        <f>IFERROR(__xludf.DUMMYFUNCTION("""COMPUTED_VALUE"""),0.0)</f>
        <v>0</v>
      </c>
      <c r="AB32" s="404">
        <f>IFERROR(__xludf.DUMMYFUNCTION("""COMPUTED_VALUE"""),19583.0625)</f>
        <v>19583.0625</v>
      </c>
      <c r="AC32" s="406"/>
      <c r="AD32" s="407">
        <f>IFERROR(__xludf.DUMMYFUNCTION("""COMPUTED_VALUE"""),17708.75)</f>
        <v>17708.75</v>
      </c>
      <c r="AE32" s="408">
        <f>IFERROR(__xludf.DUMMYFUNCTION("""COMPUTED_VALUE"""),0.9042891018705578)</f>
        <v>0.9042891019</v>
      </c>
      <c r="AF32" s="409">
        <f>IFERROR(__xludf.DUMMYFUNCTION("""COMPUTED_VALUE"""),-1874.3125)</f>
        <v>-1874.3125</v>
      </c>
      <c r="AG32" s="403" t="str">
        <f>IFERROR(__xludf.DUMMYFUNCTION("""COMPUTED_VALUE"""),"Similar units than producion")</f>
        <v>Similar units than producion</v>
      </c>
      <c r="AH32" s="403" t="str">
        <f>IFERROR(__xludf.DUMMYFUNCTION("""COMPUTED_VALUE"""),"Y")</f>
        <v>Y</v>
      </c>
      <c r="AI32" s="403" t="str">
        <f>IFERROR(__xludf.DUMMYFUNCTION("""COMPUTED_VALUE"""),"Similar units than USA / Canada")</f>
        <v>Similar units than USA / Canada</v>
      </c>
      <c r="AJ32" s="403" t="str">
        <f>IFERROR(__xludf.DUMMYFUNCTION("""COMPUTED_VALUE"""),"N")</f>
        <v>N</v>
      </c>
      <c r="AK32" s="403" t="str">
        <f>IFERROR(__xludf.DUMMYFUNCTION("""COMPUTED_VALUE"""),"N")</f>
        <v>N</v>
      </c>
      <c r="AL32" s="403" t="str">
        <f>IFERROR(__xludf.DUMMYFUNCTION("""COMPUTED_VALUE"""),"N")</f>
        <v>N</v>
      </c>
      <c r="AM32" s="403" t="str">
        <f>IFERROR(__xludf.DUMMYFUNCTION("""COMPUTED_VALUE"""),"Y")</f>
        <v>Y</v>
      </c>
      <c r="AN32" s="403" t="str">
        <f>IFERROR(__xludf.DUMMYFUNCTION("""COMPUTED_VALUE"""),"N")</f>
        <v>N</v>
      </c>
      <c r="AO32" s="403" t="str">
        <f>IFERROR(__xludf.DUMMYFUNCTION("""COMPUTED_VALUE"""),"N")</f>
        <v>N</v>
      </c>
      <c r="AP32" s="370"/>
      <c r="AQ32" s="403" t="str">
        <f>IFERROR(__xludf.DUMMYFUNCTION("""COMPUTED_VALUE"""),"Not Req")</f>
        <v>Not Req</v>
      </c>
      <c r="AR32" s="403" t="str">
        <f>IFERROR(__xludf.DUMMYFUNCTION("""COMPUTED_VALUE"""),"Planned")</f>
        <v>Planned</v>
      </c>
      <c r="AS32" s="403" t="str">
        <f>IFERROR(__xludf.DUMMYFUNCTION("""COMPUTED_VALUE"""),"Planned")</f>
        <v>Planned</v>
      </c>
      <c r="AT32" s="403" t="str">
        <f>IFERROR(__xludf.DUMMYFUNCTION("""COMPUTED_VALUE"""),"Planned")</f>
        <v>Planned</v>
      </c>
      <c r="AU32" s="403" t="str">
        <f>IFERROR(__xludf.DUMMYFUNCTION("""COMPUTED_VALUE"""),"Not Req.")</f>
        <v>Not Req.</v>
      </c>
      <c r="AV32" s="403" t="str">
        <f>IFERROR(__xludf.DUMMYFUNCTION("""COMPUTED_VALUE"""),"Y")</f>
        <v>Y</v>
      </c>
      <c r="AW32" s="403" t="str">
        <f>IFERROR(__xludf.DUMMYFUNCTION("""COMPUTED_VALUE"""),"N")</f>
        <v>N</v>
      </c>
      <c r="AX32" s="403" t="str">
        <f>IFERROR(__xludf.DUMMYFUNCTION("""COMPUTED_VALUE"""),"N/A")</f>
        <v>N/A</v>
      </c>
      <c r="AY32" s="370"/>
      <c r="AZ32" s="412"/>
      <c r="BA32" s="413"/>
      <c r="BB32" s="413"/>
      <c r="BC32" s="413"/>
      <c r="BD32" s="413"/>
      <c r="BE32" s="414"/>
      <c r="BF32" s="415"/>
    </row>
    <row r="33">
      <c r="A33" s="400" t="str">
        <f>IFERROR(__xludf.DUMMYFUNCTION("""COMPUTED_VALUE"""),"E29")</f>
        <v>E29</v>
      </c>
      <c r="B33" s="401" t="str">
        <f>IFERROR(__xludf.DUMMYFUNCTION("""COMPUTED_VALUE"""),"Test Kitchen - refrigerator")</f>
        <v>Test Kitchen - refrigerator</v>
      </c>
      <c r="C33" s="402" t="str">
        <f>IFERROR(__xludf.DUMMYFUNCTION("""COMPUTED_VALUE"""),"Olivier Lemieux")</f>
        <v>Olivier Lemieux</v>
      </c>
      <c r="D33" s="403" t="str">
        <f>IFERROR(__xludf.DUMMYFUNCTION("""COMPUTED_VALUE"""),"CoolCompact")</f>
        <v>CoolCompact</v>
      </c>
      <c r="E33" s="403" t="str">
        <f>IFERROR(__xludf.DUMMYFUNCTION("""COMPUTED_VALUE"""),"(1) 620 2-temperature combi fridge/freezer
(2) Magnos 570 Refrigerator")</f>
        <v>(1) 620 2-temperature combi fridge/freezer
(2) Magnos 570 Refrigerator</v>
      </c>
      <c r="F33" s="403" t="str">
        <f>IFERROR(__xludf.DUMMYFUNCTION("""COMPUTED_VALUE"""),"Ordered")</f>
        <v>Ordered</v>
      </c>
      <c r="G33" s="403" t="str">
        <f>IFERROR(__xludf.DUMMYFUNCTION("""COMPUTED_VALUE"""),"Installed in temporary test kitchen")</f>
        <v>Installed in temporary test kitchen</v>
      </c>
      <c r="H33" s="370"/>
      <c r="I33" s="403" t="str">
        <f>IFERROR(__xludf.DUMMYFUNCTION("""COMPUTED_VALUE"""),"RELEASED - Nov.18 2024")</f>
        <v>RELEASED - Nov.18 2024</v>
      </c>
      <c r="J33" s="403" t="str">
        <f>IFERROR(__xludf.DUMMYFUNCTION("""COMPUTED_VALUE"""),"P05400004DEFB")</f>
        <v>P05400004DEFB</v>
      </c>
      <c r="K33" s="403" t="str">
        <f>IFERROR(__xludf.DUMMYFUNCTION("""COMPUTED_VALUE"""),"1 weeks")</f>
        <v>1 weeks</v>
      </c>
      <c r="L33" s="403" t="str">
        <f>IFERROR(__xludf.DUMMYFUNCTION("""COMPUTED_VALUE"""),"NO")</f>
        <v>NO</v>
      </c>
      <c r="M33" s="403">
        <f>IFERROR(__xludf.DUMMYFUNCTION("""COMPUTED_VALUE"""),1.0)</f>
        <v>1</v>
      </c>
      <c r="N33" s="403">
        <f>IFERROR(__xludf.DUMMYFUNCTION("""COMPUTED_VALUE"""),0.0)</f>
        <v>0</v>
      </c>
      <c r="O33" s="403">
        <f>IFERROR(__xludf.DUMMYFUNCTION("""COMPUTED_VALUE"""),0.0)</f>
        <v>0</v>
      </c>
      <c r="P33" s="403">
        <f>IFERROR(__xludf.DUMMYFUNCTION("""COMPUTED_VALUE"""),0.0)</f>
        <v>0</v>
      </c>
      <c r="Q33" s="392">
        <f>IFERROR(__xludf.DUMMYFUNCTION("""COMPUTED_VALUE"""),1.0)</f>
        <v>1</v>
      </c>
      <c r="R33" s="403" t="str">
        <f>IFERROR(__xludf.DUMMYFUNCTION("""COMPUTED_VALUE"""),"Boettger")</f>
        <v>Boettger</v>
      </c>
      <c r="S33" s="404">
        <f>IFERROR(__xludf.DUMMYFUNCTION("""COMPUTED_VALUE"""),11120.0)</f>
        <v>11120</v>
      </c>
      <c r="T33" s="404">
        <f>IFERROR(__xludf.DUMMYFUNCTION("""COMPUTED_VALUE"""),3093.0)</f>
        <v>3093</v>
      </c>
      <c r="U33" s="404">
        <f>IFERROR(__xludf.DUMMYFUNCTION("""COMPUTED_VALUE"""),0.0)</f>
        <v>0</v>
      </c>
      <c r="V33" s="404">
        <f>IFERROR(__xludf.DUMMYFUNCTION("""COMPUTED_VALUE"""),3093.0)</f>
        <v>3093</v>
      </c>
      <c r="W33" s="405">
        <f>IFERROR(__xludf.DUMMYFUNCTION("""COMPUTED_VALUE"""),11120.0)</f>
        <v>11120</v>
      </c>
      <c r="X33" s="404">
        <f>IFERROR(__xludf.DUMMYFUNCTION("""COMPUTED_VALUE"""),11120.0)</f>
        <v>11120</v>
      </c>
      <c r="Y33" s="404">
        <f>IFERROR(__xludf.DUMMYFUNCTION("""COMPUTED_VALUE"""),0.0)</f>
        <v>0</v>
      </c>
      <c r="Z33" s="404">
        <f>IFERROR(__xludf.DUMMYFUNCTION("""COMPUTED_VALUE"""),0.0)</f>
        <v>0</v>
      </c>
      <c r="AA33" s="404">
        <f>IFERROR(__xludf.DUMMYFUNCTION("""COMPUTED_VALUE"""),0.0)</f>
        <v>0</v>
      </c>
      <c r="AB33" s="404">
        <f>IFERROR(__xludf.DUMMYFUNCTION("""COMPUTED_VALUE"""),11120.0)</f>
        <v>11120</v>
      </c>
      <c r="AC33" s="406"/>
      <c r="AD33" s="407">
        <f>IFERROR(__xludf.DUMMYFUNCTION("""COMPUTED_VALUE"""),7969.2)</f>
        <v>7969.2</v>
      </c>
      <c r="AE33" s="408">
        <f>IFERROR(__xludf.DUMMYFUNCTION("""COMPUTED_VALUE"""),0.7166546762589928)</f>
        <v>0.7166546763</v>
      </c>
      <c r="AF33" s="409">
        <f>IFERROR(__xludf.DUMMYFUNCTION("""COMPUTED_VALUE"""),-3150.8)</f>
        <v>-3150.8</v>
      </c>
      <c r="AG33" s="403" t="str">
        <f>IFERROR(__xludf.DUMMYFUNCTION("""COMPUTED_VALUE"""),"N/A")</f>
        <v>N/A</v>
      </c>
      <c r="AH33" s="403" t="str">
        <f>IFERROR(__xludf.DUMMYFUNCTION("""COMPUTED_VALUE"""),"N/A")</f>
        <v>N/A</v>
      </c>
      <c r="AI33" s="403" t="str">
        <f>IFERROR(__xludf.DUMMYFUNCTION("""COMPUTED_VALUE"""),"No FSQA approval required - doesn't touch product - test kitchen only")</f>
        <v>No FSQA approval required - doesn't touch product - test kitchen only</v>
      </c>
      <c r="AJ33" s="403" t="str">
        <f>IFERROR(__xludf.DUMMYFUNCTION("""COMPUTED_VALUE"""),"N")</f>
        <v>N</v>
      </c>
      <c r="AK33" s="403" t="str">
        <f>IFERROR(__xludf.DUMMYFUNCTION("""COMPUTED_VALUE"""),"N")</f>
        <v>N</v>
      </c>
      <c r="AL33" s="403" t="str">
        <f>IFERROR(__xludf.DUMMYFUNCTION("""COMPUTED_VALUE"""),"N")</f>
        <v>N</v>
      </c>
      <c r="AM33" s="403" t="str">
        <f>IFERROR(__xludf.DUMMYFUNCTION("""COMPUTED_VALUE"""),"Y")</f>
        <v>Y</v>
      </c>
      <c r="AN33" s="403" t="str">
        <f>IFERROR(__xludf.DUMMYFUNCTION("""COMPUTED_VALUE"""),"N")</f>
        <v>N</v>
      </c>
      <c r="AO33" s="403" t="str">
        <f>IFERROR(__xludf.DUMMYFUNCTION("""COMPUTED_VALUE"""),"N")</f>
        <v>N</v>
      </c>
      <c r="AP33" s="370"/>
      <c r="AQ33" s="403" t="str">
        <f>IFERROR(__xludf.DUMMYFUNCTION("""COMPUTED_VALUE"""),"Not Req")</f>
        <v>Not Req</v>
      </c>
      <c r="AR33" s="403" t="str">
        <f>IFERROR(__xludf.DUMMYFUNCTION("""COMPUTED_VALUE"""),"Planned")</f>
        <v>Planned</v>
      </c>
      <c r="AS33" s="403" t="str">
        <f>IFERROR(__xludf.DUMMYFUNCTION("""COMPUTED_VALUE"""),"Planned")</f>
        <v>Planned</v>
      </c>
      <c r="AT33" s="403" t="str">
        <f>IFERROR(__xludf.DUMMYFUNCTION("""COMPUTED_VALUE"""),"Planned")</f>
        <v>Planned</v>
      </c>
      <c r="AU33" s="403" t="str">
        <f>IFERROR(__xludf.DUMMYFUNCTION("""COMPUTED_VALUE"""),"Not Req.")</f>
        <v>Not Req.</v>
      </c>
      <c r="AV33" s="403" t="str">
        <f>IFERROR(__xludf.DUMMYFUNCTION("""COMPUTED_VALUE"""),"Y")</f>
        <v>Y</v>
      </c>
      <c r="AW33" s="403" t="str">
        <f>IFERROR(__xludf.DUMMYFUNCTION("""COMPUTED_VALUE"""),"N")</f>
        <v>N</v>
      </c>
      <c r="AX33" s="403" t="str">
        <f>IFERROR(__xludf.DUMMYFUNCTION("""COMPUTED_VALUE"""),"N/A")</f>
        <v>N/A</v>
      </c>
      <c r="AY33" s="370"/>
      <c r="AZ33" s="412"/>
      <c r="BA33" s="413"/>
      <c r="BB33" s="413"/>
      <c r="BC33" s="413"/>
      <c r="BD33" s="413"/>
      <c r="BE33" s="414"/>
      <c r="BF33" s="415"/>
    </row>
    <row r="34" ht="27.0" customHeight="1">
      <c r="A34" s="400" t="str">
        <f>IFERROR(__xludf.DUMMYFUNCTION("""COMPUTED_VALUE"""),"E30")</f>
        <v>E30</v>
      </c>
      <c r="B34" s="401" t="str">
        <f>IFERROR(__xludf.DUMMYFUNCTION("""COMPUTED_VALUE"""),"Electric Pallet Jacks")</f>
        <v>Electric Pallet Jacks</v>
      </c>
      <c r="C34" s="402" t="str">
        <f>IFERROR(__xludf.DUMMYFUNCTION("""COMPUTED_VALUE"""),"OPEX")</f>
        <v>OPEX</v>
      </c>
      <c r="D34" s="421" t="str">
        <f>IFERROR(__xludf.DUMMYFUNCTION("""COMPUTED_VALUE"""),"TBD")</f>
        <v>TBD</v>
      </c>
      <c r="E34" s="421" t="str">
        <f>IFERROR(__xludf.DUMMYFUNCTION("""COMPUTED_VALUE"""),"TBD")</f>
        <v>TBD</v>
      </c>
      <c r="F34" s="430" t="str">
        <f>IFERROR(__xludf.DUMMYFUNCTION("""COMPUTED_VALUE"""),"N/A")</f>
        <v>N/A</v>
      </c>
      <c r="G34" s="370"/>
      <c r="H34" s="370"/>
      <c r="I34" s="370"/>
      <c r="J34" s="370"/>
      <c r="K34" s="370"/>
      <c r="L34" s="370"/>
      <c r="M34" s="403">
        <f>IFERROR(__xludf.DUMMYFUNCTION("""COMPUTED_VALUE"""),8.0)</f>
        <v>8</v>
      </c>
      <c r="N34" s="403">
        <f>IFERROR(__xludf.DUMMYFUNCTION("""COMPUTED_VALUE"""),0.0)</f>
        <v>0</v>
      </c>
      <c r="O34" s="403">
        <f>IFERROR(__xludf.DUMMYFUNCTION("""COMPUTED_VALUE"""),0.0)</f>
        <v>0</v>
      </c>
      <c r="P34" s="403">
        <f>IFERROR(__xludf.DUMMYFUNCTION("""COMPUTED_VALUE"""),8.0)</f>
        <v>8</v>
      </c>
      <c r="Q34" s="392">
        <f>IFERROR(__xludf.DUMMYFUNCTION("""COMPUTED_VALUE"""),16.0)</f>
        <v>16</v>
      </c>
      <c r="R34" s="421" t="str">
        <f>IFERROR(__xludf.DUMMYFUNCTION("""COMPUTED_VALUE"""),"EXPANSION")</f>
        <v>EXPANSION</v>
      </c>
      <c r="S34" s="404" t="str">
        <f>IFERROR(__xludf.DUMMYFUNCTION("""COMPUTED_VALUE"""),"RENTAL - OPEX")</f>
        <v>RENTAL - OPEX</v>
      </c>
      <c r="T34" s="404">
        <f>IFERROR(__xludf.DUMMYFUNCTION("""COMPUTED_VALUE"""),61864.5)</f>
        <v>61864.5</v>
      </c>
      <c r="U34" s="404">
        <f>IFERROR(__xludf.DUMMYFUNCTION("""COMPUTED_VALUE"""),61864.5)</f>
        <v>61864.5</v>
      </c>
      <c r="V34" s="404">
        <f>IFERROR(__xludf.DUMMYFUNCTION("""COMPUTED_VALUE"""),123729.0)</f>
        <v>123729</v>
      </c>
      <c r="W34" s="405">
        <f>IFERROR(__xludf.DUMMYFUNCTION("""COMPUTED_VALUE"""),0.0)</f>
        <v>0</v>
      </c>
      <c r="X34" s="404">
        <f>IFERROR(__xludf.DUMMYFUNCTION("""COMPUTED_VALUE"""),0.0)</f>
        <v>0</v>
      </c>
      <c r="Y34" s="404">
        <f>IFERROR(__xludf.DUMMYFUNCTION("""COMPUTED_VALUE"""),0.0)</f>
        <v>0</v>
      </c>
      <c r="Z34" s="404">
        <f>IFERROR(__xludf.DUMMYFUNCTION("""COMPUTED_VALUE"""),0.0)</f>
        <v>0</v>
      </c>
      <c r="AA34" s="404">
        <f>IFERROR(__xludf.DUMMYFUNCTION("""COMPUTED_VALUE"""),0.0)</f>
        <v>0</v>
      </c>
      <c r="AB34" s="404">
        <f>IFERROR(__xludf.DUMMYFUNCTION("""COMPUTED_VALUE"""),0.0)</f>
        <v>0</v>
      </c>
      <c r="AC34" s="406"/>
      <c r="AD34" s="407">
        <f>IFERROR(__xludf.DUMMYFUNCTION("""COMPUTED_VALUE"""),0.0)</f>
        <v>0</v>
      </c>
      <c r="AE34" s="408" t="str">
        <f>IFERROR(__xludf.DUMMYFUNCTION("""COMPUTED_VALUE"""),"OPEX")</f>
        <v>OPEX</v>
      </c>
      <c r="AF34" s="409">
        <f>IFERROR(__xludf.DUMMYFUNCTION("""COMPUTED_VALUE"""),0.0)</f>
        <v>0</v>
      </c>
      <c r="AG34" s="370"/>
      <c r="AH34" s="370"/>
      <c r="AI34" s="370"/>
      <c r="AJ34" s="403" t="str">
        <f>IFERROR(__xludf.DUMMYFUNCTION("""COMPUTED_VALUE"""),"N")</f>
        <v>N</v>
      </c>
      <c r="AK34" s="403" t="str">
        <f>IFERROR(__xludf.DUMMYFUNCTION("""COMPUTED_VALUE"""),"N")</f>
        <v>N</v>
      </c>
      <c r="AL34" s="403" t="str">
        <f>IFERROR(__xludf.DUMMYFUNCTION("""COMPUTED_VALUE"""),"N")</f>
        <v>N</v>
      </c>
      <c r="AM34" s="403" t="str">
        <f>IFERROR(__xludf.DUMMYFUNCTION("""COMPUTED_VALUE"""),"N")</f>
        <v>N</v>
      </c>
      <c r="AN34" s="403" t="str">
        <f>IFERROR(__xludf.DUMMYFUNCTION("""COMPUTED_VALUE"""),"N")</f>
        <v>N</v>
      </c>
      <c r="AO34" s="403" t="str">
        <f>IFERROR(__xludf.DUMMYFUNCTION("""COMPUTED_VALUE"""),"N")</f>
        <v>N</v>
      </c>
      <c r="AP34" s="370"/>
      <c r="AQ34" s="403" t="str">
        <f>IFERROR(__xludf.DUMMYFUNCTION("""COMPUTED_VALUE"""),"Not Req")</f>
        <v>Not Req</v>
      </c>
      <c r="AR34" s="403" t="str">
        <f>IFERROR(__xludf.DUMMYFUNCTION("""COMPUTED_VALUE"""),"N/A")</f>
        <v>N/A</v>
      </c>
      <c r="AS34" s="403" t="str">
        <f>IFERROR(__xludf.DUMMYFUNCTION("""COMPUTED_VALUE"""),"N/A")</f>
        <v>N/A</v>
      </c>
      <c r="AT34" s="403" t="str">
        <f>IFERROR(__xludf.DUMMYFUNCTION("""COMPUTED_VALUE"""),"N/A")</f>
        <v>N/A</v>
      </c>
      <c r="AU34" s="403" t="str">
        <f>IFERROR(__xludf.DUMMYFUNCTION("""COMPUTED_VALUE"""),"Planned")</f>
        <v>Planned</v>
      </c>
      <c r="AV34" s="421" t="str">
        <f>IFERROR(__xludf.DUMMYFUNCTION("""COMPUTED_VALUE"""),"N")</f>
        <v>N</v>
      </c>
      <c r="AW34" s="421" t="str">
        <f>IFERROR(__xludf.DUMMYFUNCTION("""COMPUTED_VALUE"""),"Charger installation")</f>
        <v>Charger installation</v>
      </c>
      <c r="AX34" s="403" t="str">
        <f>IFERROR(__xludf.DUMMYFUNCTION("""COMPUTED_VALUE"""),"N/A")</f>
        <v>N/A</v>
      </c>
      <c r="AY34" s="370"/>
      <c r="AZ34" s="412"/>
      <c r="BA34" s="413"/>
      <c r="BB34" s="413"/>
      <c r="BC34" s="413"/>
      <c r="BD34" s="413"/>
      <c r="BE34" s="414"/>
      <c r="BF34" s="415"/>
    </row>
    <row r="35" ht="27.0" customHeight="1">
      <c r="A35" s="400" t="str">
        <f>IFERROR(__xludf.DUMMYFUNCTION("""COMPUTED_VALUE"""),"E31")</f>
        <v>E31</v>
      </c>
      <c r="B35" s="401" t="str">
        <f>IFERROR(__xludf.DUMMYFUNCTION("""COMPUTED_VALUE"""),"Test Kitchen - Induction Cooktop")</f>
        <v>Test Kitchen - Induction Cooktop</v>
      </c>
      <c r="C35" s="402" t="str">
        <f>IFERROR(__xludf.DUMMYFUNCTION("""COMPUTED_VALUE"""),"Olivier Lemieux")</f>
        <v>Olivier Lemieux</v>
      </c>
      <c r="D35" s="420" t="str">
        <f>IFERROR(__xludf.DUMMYFUNCTION("""COMPUTED_VALUE"""),"Bartscher")</f>
        <v>Bartscher</v>
      </c>
      <c r="E35" s="420" t="str">
        <f>IFERROR(__xludf.DUMMYFUNCTION("""COMPUTED_VALUE"""),"IK 35TC")</f>
        <v>IK 35TC</v>
      </c>
      <c r="F35" s="403" t="str">
        <f>IFERROR(__xludf.DUMMYFUNCTION("""COMPUTED_VALUE"""),"Ordered")</f>
        <v>Ordered</v>
      </c>
      <c r="G35" s="403" t="str">
        <f>IFERROR(__xludf.DUMMYFUNCTION("""COMPUTED_VALUE"""),"Installed in temporary test kitchen")</f>
        <v>Installed in temporary test kitchen</v>
      </c>
      <c r="H35" s="370"/>
      <c r="I35" s="403" t="str">
        <f>IFERROR(__xludf.DUMMYFUNCTION("""COMPUTED_VALUE"""),"RELEASED - Nov.12 2024")</f>
        <v>RELEASED - Nov.12 2024</v>
      </c>
      <c r="J35" s="403" t="str">
        <f>IFERROR(__xludf.DUMMYFUNCTION("""COMPUTED_VALUE"""),"P05400001DEFB")</f>
        <v>P05400001DEFB</v>
      </c>
      <c r="K35" s="403" t="str">
        <f>IFERROR(__xludf.DUMMYFUNCTION("""COMPUTED_VALUE"""),"2 weeks")</f>
        <v>2 weeks</v>
      </c>
      <c r="L35" s="403" t="str">
        <f>IFERROR(__xludf.DUMMYFUNCTION("""COMPUTED_VALUE"""),"NO")</f>
        <v>NO</v>
      </c>
      <c r="M35" s="403">
        <f>IFERROR(__xludf.DUMMYFUNCTION("""COMPUTED_VALUE"""),4.0)</f>
        <v>4</v>
      </c>
      <c r="N35" s="403">
        <f>IFERROR(__xludf.DUMMYFUNCTION("""COMPUTED_VALUE"""),0.0)</f>
        <v>0</v>
      </c>
      <c r="O35" s="403">
        <f>IFERROR(__xludf.DUMMYFUNCTION("""COMPUTED_VALUE"""),0.0)</f>
        <v>0</v>
      </c>
      <c r="P35" s="403">
        <f>IFERROR(__xludf.DUMMYFUNCTION("""COMPUTED_VALUE"""),0.0)</f>
        <v>0</v>
      </c>
      <c r="Q35" s="392">
        <f>IFERROR(__xludf.DUMMYFUNCTION("""COMPUTED_VALUE"""),4.0)</f>
        <v>4</v>
      </c>
      <c r="R35" s="403" t="str">
        <f>IFERROR(__xludf.DUMMYFUNCTION("""COMPUTED_VALUE"""),"Boettger")</f>
        <v>Boettger</v>
      </c>
      <c r="S35" s="404">
        <f>IFERROR(__xludf.DUMMYFUNCTION("""COMPUTED_VALUE"""),219.351)</f>
        <v>219.351</v>
      </c>
      <c r="T35" s="404">
        <f>IFERROR(__xludf.DUMMYFUNCTION("""COMPUTED_VALUE"""),0.0)</f>
        <v>0</v>
      </c>
      <c r="U35" s="404">
        <f>IFERROR(__xludf.DUMMYFUNCTION("""COMPUTED_VALUE"""),0.0)</f>
        <v>0</v>
      </c>
      <c r="V35" s="404">
        <f>IFERROR(__xludf.DUMMYFUNCTION("""COMPUTED_VALUE"""),0.0)</f>
        <v>0</v>
      </c>
      <c r="W35" s="405">
        <f>IFERROR(__xludf.DUMMYFUNCTION("""COMPUTED_VALUE"""),877.404)</f>
        <v>877.404</v>
      </c>
      <c r="X35" s="404">
        <f>IFERROR(__xludf.DUMMYFUNCTION("""COMPUTED_VALUE"""),877.404)</f>
        <v>877.404</v>
      </c>
      <c r="Y35" s="404">
        <f>IFERROR(__xludf.DUMMYFUNCTION("""COMPUTED_VALUE"""),0.0)</f>
        <v>0</v>
      </c>
      <c r="Z35" s="404">
        <f>IFERROR(__xludf.DUMMYFUNCTION("""COMPUTED_VALUE"""),0.0)</f>
        <v>0</v>
      </c>
      <c r="AA35" s="404">
        <f>IFERROR(__xludf.DUMMYFUNCTION("""COMPUTED_VALUE"""),0.0)</f>
        <v>0</v>
      </c>
      <c r="AB35" s="404">
        <f>IFERROR(__xludf.DUMMYFUNCTION("""COMPUTED_VALUE"""),877.404)</f>
        <v>877.404</v>
      </c>
      <c r="AC35" s="406"/>
      <c r="AD35" s="407">
        <f>IFERROR(__xludf.DUMMYFUNCTION("""COMPUTED_VALUE"""),381.48)</f>
        <v>381.48</v>
      </c>
      <c r="AE35" s="408">
        <f>IFERROR(__xludf.DUMMYFUNCTION("""COMPUTED_VALUE"""),0.4347826086956522)</f>
        <v>0.4347826087</v>
      </c>
      <c r="AF35" s="409">
        <f>IFERROR(__xludf.DUMMYFUNCTION("""COMPUTED_VALUE"""),-495.924)</f>
        <v>-495.924</v>
      </c>
      <c r="AG35" s="403" t="str">
        <f>IFERROR(__xludf.DUMMYFUNCTION("""COMPUTED_VALUE"""),"N/A")</f>
        <v>N/A</v>
      </c>
      <c r="AH35" s="403" t="str">
        <f>IFERROR(__xludf.DUMMYFUNCTION("""COMPUTED_VALUE"""),"N/A")</f>
        <v>N/A</v>
      </c>
      <c r="AI35" s="403" t="str">
        <f>IFERROR(__xludf.DUMMYFUNCTION("""COMPUTED_VALUE"""),"No FSQA approval required - doesn't touch product - test kitchen only")</f>
        <v>No FSQA approval required - doesn't touch product - test kitchen only</v>
      </c>
      <c r="AJ35" s="403" t="str">
        <f>IFERROR(__xludf.DUMMYFUNCTION("""COMPUTED_VALUE"""),"N")</f>
        <v>N</v>
      </c>
      <c r="AK35" s="403" t="str">
        <f>IFERROR(__xludf.DUMMYFUNCTION("""COMPUTED_VALUE"""),"N")</f>
        <v>N</v>
      </c>
      <c r="AL35" s="403" t="str">
        <f>IFERROR(__xludf.DUMMYFUNCTION("""COMPUTED_VALUE"""),"N")</f>
        <v>N</v>
      </c>
      <c r="AM35" s="403" t="str">
        <f>IFERROR(__xludf.DUMMYFUNCTION("""COMPUTED_VALUE"""),"Y")</f>
        <v>Y</v>
      </c>
      <c r="AN35" s="403" t="str">
        <f>IFERROR(__xludf.DUMMYFUNCTION("""COMPUTED_VALUE"""),"N")</f>
        <v>N</v>
      </c>
      <c r="AO35" s="403" t="str">
        <f>IFERROR(__xludf.DUMMYFUNCTION("""COMPUTED_VALUE"""),"N")</f>
        <v>N</v>
      </c>
      <c r="AP35" s="370"/>
      <c r="AQ35" s="403" t="str">
        <f>IFERROR(__xludf.DUMMYFUNCTION("""COMPUTED_VALUE"""),"Not Req")</f>
        <v>Not Req</v>
      </c>
      <c r="AR35" s="403" t="str">
        <f>IFERROR(__xludf.DUMMYFUNCTION("""COMPUTED_VALUE"""),"Planned")</f>
        <v>Planned</v>
      </c>
      <c r="AS35" s="403" t="str">
        <f>IFERROR(__xludf.DUMMYFUNCTION("""COMPUTED_VALUE"""),"Planned")</f>
        <v>Planned</v>
      </c>
      <c r="AT35" s="403" t="str">
        <f>IFERROR(__xludf.DUMMYFUNCTION("""COMPUTED_VALUE"""),"Planned")</f>
        <v>Planned</v>
      </c>
      <c r="AU35" s="403" t="str">
        <f>IFERROR(__xludf.DUMMYFUNCTION("""COMPUTED_VALUE"""),"Not Req.")</f>
        <v>Not Req.</v>
      </c>
      <c r="AV35" s="403" t="str">
        <f>IFERROR(__xludf.DUMMYFUNCTION("""COMPUTED_VALUE"""),"Y")</f>
        <v>Y</v>
      </c>
      <c r="AW35" s="403" t="str">
        <f>IFERROR(__xludf.DUMMYFUNCTION("""COMPUTED_VALUE"""),"N")</f>
        <v>N</v>
      </c>
      <c r="AX35" s="403" t="str">
        <f>IFERROR(__xludf.DUMMYFUNCTION("""COMPUTED_VALUE"""),"N/A")</f>
        <v>N/A</v>
      </c>
      <c r="AY35" s="370"/>
      <c r="AZ35" s="412"/>
      <c r="BA35" s="413"/>
      <c r="BB35" s="413"/>
      <c r="BC35" s="413"/>
      <c r="BD35" s="413"/>
      <c r="BE35" s="414"/>
      <c r="BF35" s="415"/>
    </row>
    <row r="36">
      <c r="A36" s="400" t="str">
        <f>IFERROR(__xludf.DUMMYFUNCTION("""COMPUTED_VALUE"""),"E32")</f>
        <v>E32</v>
      </c>
      <c r="B36" s="401" t="str">
        <f>IFERROR(__xludf.DUMMYFUNCTION("""COMPUTED_VALUE"""),"Test Kitchen - Tray Sealer")</f>
        <v>Test Kitchen - Tray Sealer</v>
      </c>
      <c r="C36" s="402" t="str">
        <f>IFERROR(__xludf.DUMMYFUNCTION("""COMPUTED_VALUE"""),"Olivier Lemieux")</f>
        <v>Olivier Lemieux</v>
      </c>
      <c r="D36" s="403" t="str">
        <f>IFERROR(__xludf.DUMMYFUNCTION("""COMPUTED_VALUE"""),"Proseal")</f>
        <v>Proseal</v>
      </c>
      <c r="E36" s="403" t="str">
        <f>IFERROR(__xludf.DUMMYFUNCTION("""COMPUTED_VALUE"""),"TT-G")</f>
        <v>TT-G</v>
      </c>
      <c r="F36" s="403" t="str">
        <f>IFERROR(__xludf.DUMMYFUNCTION("""COMPUTED_VALUE"""),"Ordered")</f>
        <v>Ordered</v>
      </c>
      <c r="G36" s="403" t="str">
        <f>IFERROR(__xludf.DUMMYFUNCTION("""COMPUTED_VALUE"""),"Installed in temporary test kitchen")</f>
        <v>Installed in temporary test kitchen</v>
      </c>
      <c r="H36" s="370"/>
      <c r="I36" s="403" t="str">
        <f>IFERROR(__xludf.DUMMYFUNCTION("""COMPUTED_VALUE"""),"RELEASED - Sept.16 2025
Spare Parts - Nov 25 - ordered by Jan")</f>
        <v>RELEASED - Sept.16 2025
Spare Parts - Nov 25 - ordered by Jan</v>
      </c>
      <c r="J36" s="403" t="str">
        <f>IFERROR(__xludf.DUMMYFUNCTION("""COMPUTED_VALUE"""),"P05400037DEFB
P054000XXDEFB")</f>
        <v>P05400037DEFB
P054000XXDEFB</v>
      </c>
      <c r="K36" s="403" t="str">
        <f>IFERROR(__xludf.DUMMYFUNCTION("""COMPUTED_VALUE"""),"6 weeks")</f>
        <v>6 weeks</v>
      </c>
      <c r="L36" s="403" t="str">
        <f>IFERROR(__xludf.DUMMYFUNCTION("""COMPUTED_VALUE"""),"NO")</f>
        <v>NO</v>
      </c>
      <c r="M36" s="403">
        <f>IFERROR(__xludf.DUMMYFUNCTION("""COMPUTED_VALUE"""),0.0)</f>
        <v>0</v>
      </c>
      <c r="N36" s="417">
        <f>IFERROR(__xludf.DUMMYFUNCTION("""COMPUTED_VALUE"""),1.0)</f>
        <v>1</v>
      </c>
      <c r="O36" s="403">
        <f>IFERROR(__xludf.DUMMYFUNCTION("""COMPUTED_VALUE"""),0.0)</f>
        <v>0</v>
      </c>
      <c r="P36" s="403">
        <f>IFERROR(__xludf.DUMMYFUNCTION("""COMPUTED_VALUE"""),0.0)</f>
        <v>0</v>
      </c>
      <c r="Q36" s="392">
        <f>IFERROR(__xludf.DUMMYFUNCTION("""COMPUTED_VALUE"""),1.0)</f>
        <v>1</v>
      </c>
      <c r="R36" s="403" t="str">
        <f>IFERROR(__xludf.DUMMYFUNCTION("""COMPUTED_VALUE"""),"Sismatec")</f>
        <v>Sismatec</v>
      </c>
      <c r="S36" s="404">
        <f>IFERROR(__xludf.DUMMYFUNCTION("""COMPUTED_VALUE"""),7647.499999999999)</f>
        <v>7647.5</v>
      </c>
      <c r="T36" s="404">
        <f>IFERROR(__xludf.DUMMYFUNCTION("""COMPUTED_VALUE"""),0.0)</f>
        <v>0</v>
      </c>
      <c r="U36" s="404">
        <f>IFERROR(__xludf.DUMMYFUNCTION("""COMPUTED_VALUE"""),0.0)</f>
        <v>0</v>
      </c>
      <c r="V36" s="404">
        <f>IFERROR(__xludf.DUMMYFUNCTION("""COMPUTED_VALUE"""),0.0)</f>
        <v>0</v>
      </c>
      <c r="W36" s="405">
        <f>IFERROR(__xludf.DUMMYFUNCTION("""COMPUTED_VALUE"""),0.0)</f>
        <v>0</v>
      </c>
      <c r="X36" s="404">
        <f>IFERROR(__xludf.DUMMYFUNCTION("""COMPUTED_VALUE"""),0.0)</f>
        <v>0</v>
      </c>
      <c r="Y36" s="404">
        <f>IFERROR(__xludf.DUMMYFUNCTION("""COMPUTED_VALUE"""),7647.499999999999)</f>
        <v>7647.5</v>
      </c>
      <c r="Z36" s="404">
        <f>IFERROR(__xludf.DUMMYFUNCTION("""COMPUTED_VALUE"""),0.0)</f>
        <v>0</v>
      </c>
      <c r="AA36" s="404">
        <f>IFERROR(__xludf.DUMMYFUNCTION("""COMPUTED_VALUE"""),0.0)</f>
        <v>0</v>
      </c>
      <c r="AB36" s="404">
        <f>IFERROR(__xludf.DUMMYFUNCTION("""COMPUTED_VALUE"""),7647.499999999999)</f>
        <v>7647.5</v>
      </c>
      <c r="AC36" s="418" t="str">
        <f>IFERROR(__xludf.DUMMYFUNCTION("""COMPUTED_VALUE"""),"requested to be purchased pre launch by Kaylyn T. via email Sept. 15, 2025")</f>
        <v>requested to be purchased pre launch by Kaylyn T. via email Sept. 15, 2025</v>
      </c>
      <c r="AD36" s="438">
        <f>IFERROR(__xludf.DUMMYFUNCTION("""COMPUTED_VALUE"""),24288.98)</f>
        <v>24288.98</v>
      </c>
      <c r="AE36" s="439" t="str">
        <f>IFERROR(__xludf.DUMMYFUNCTION("""COMPUTED_VALUE"""),"was phase 1.1")</f>
        <v>was phase 1.1</v>
      </c>
      <c r="AF36" s="409">
        <f>IFERROR(__xludf.DUMMYFUNCTION("""COMPUTED_VALUE"""),24288.98)</f>
        <v>24288.98</v>
      </c>
      <c r="AG36" s="403" t="str">
        <f>IFERROR(__xludf.DUMMYFUNCTION("""COMPUTED_VALUE"""),"N/A")</f>
        <v>N/A</v>
      </c>
      <c r="AH36" s="403" t="str">
        <f>IFERROR(__xludf.DUMMYFUNCTION("""COMPUTED_VALUE"""),"N/A")</f>
        <v>N/A</v>
      </c>
      <c r="AI36" s="403" t="str">
        <f>IFERROR(__xludf.DUMMYFUNCTION("""COMPUTED_VALUE"""),"No FSQA approval required - doesn't touch product - test kitchen only")</f>
        <v>No FSQA approval required - doesn't touch product - test kitchen only</v>
      </c>
      <c r="AJ36" s="403" t="str">
        <f>IFERROR(__xludf.DUMMYFUNCTION("""COMPUTED_VALUE"""),"N")</f>
        <v>N</v>
      </c>
      <c r="AK36" s="403" t="str">
        <f>IFERROR(__xludf.DUMMYFUNCTION("""COMPUTED_VALUE"""),"N")</f>
        <v>N</v>
      </c>
      <c r="AL36" s="403" t="str">
        <f>IFERROR(__xludf.DUMMYFUNCTION("""COMPUTED_VALUE"""),"N")</f>
        <v>N</v>
      </c>
      <c r="AM36" s="403" t="str">
        <f>IFERROR(__xludf.DUMMYFUNCTION("""COMPUTED_VALUE"""),"Y")</f>
        <v>Y</v>
      </c>
      <c r="AN36" s="403" t="str">
        <f>IFERROR(__xludf.DUMMYFUNCTION("""COMPUTED_VALUE"""),"N")</f>
        <v>N</v>
      </c>
      <c r="AO36" s="403" t="str">
        <f>IFERROR(__xludf.DUMMYFUNCTION("""COMPUTED_VALUE"""),"N")</f>
        <v>N</v>
      </c>
      <c r="AP36" s="370"/>
      <c r="AQ36" s="403" t="str">
        <f>IFERROR(__xludf.DUMMYFUNCTION("""COMPUTED_VALUE"""),"Not Req")</f>
        <v>Not Req</v>
      </c>
      <c r="AR36" s="403" t="str">
        <f>IFERROR(__xludf.DUMMYFUNCTION("""COMPUTED_VALUE"""),"Installed")</f>
        <v>Installed</v>
      </c>
      <c r="AS36" s="403" t="str">
        <f>IFERROR(__xludf.DUMMYFUNCTION("""COMPUTED_VALUE"""),"In Progress")</f>
        <v>In Progress</v>
      </c>
      <c r="AT36" s="403" t="str">
        <f>IFERROR(__xludf.DUMMYFUNCTION("""COMPUTED_VALUE"""),"Installed")</f>
        <v>Installed</v>
      </c>
      <c r="AU36" s="403" t="str">
        <f>IFERROR(__xludf.DUMMYFUNCTION("""COMPUTED_VALUE"""),"Delivered")</f>
        <v>Delivered</v>
      </c>
      <c r="AV36" s="403" t="str">
        <f>IFERROR(__xludf.DUMMYFUNCTION("""COMPUTED_VALUE"""),"N")</f>
        <v>N</v>
      </c>
      <c r="AW36" s="403" t="str">
        <f>IFERROR(__xludf.DUMMYFUNCTION("""COMPUTED_VALUE"""),"N")</f>
        <v>N</v>
      </c>
      <c r="AX36" s="403" t="str">
        <f>IFERROR(__xludf.DUMMYFUNCTION("""COMPUTED_VALUE"""),"N/A")</f>
        <v>N/A</v>
      </c>
      <c r="AY36" s="370"/>
      <c r="AZ36" s="412"/>
      <c r="BA36" s="413"/>
      <c r="BB36" s="413"/>
      <c r="BC36" s="413"/>
      <c r="BD36" s="413"/>
      <c r="BE36" s="414"/>
      <c r="BF36" s="415"/>
    </row>
    <row r="37">
      <c r="A37" s="400" t="str">
        <f>IFERROR(__xludf.DUMMYFUNCTION("""COMPUTED_VALUE"""),"E33")</f>
        <v>E33</v>
      </c>
      <c r="B37" s="401" t="str">
        <f>IFERROR(__xludf.DUMMYFUNCTION("""COMPUTED_VALUE"""),"Crate Washer")</f>
        <v>Crate Washer</v>
      </c>
      <c r="C37" s="402" t="str">
        <f>IFERROR(__xludf.DUMMYFUNCTION("""COMPUTED_VALUE"""),"Olivier Lemieux")</f>
        <v>Olivier Lemieux</v>
      </c>
      <c r="D37" s="403" t="str">
        <f>IFERROR(__xludf.DUMMYFUNCTION("""COMPUTED_VALUE"""),"Hobart")</f>
        <v>Hobart</v>
      </c>
      <c r="E37" s="403" t="str">
        <f>IFERROR(__xludf.DUMMYFUNCTION("""COMPUTED_VALUE"""),"FUX-C")</f>
        <v>FUX-C</v>
      </c>
      <c r="F37" s="403" t="str">
        <f>IFERROR(__xludf.DUMMYFUNCTION("""COMPUTED_VALUE"""),"Ordered")</f>
        <v>Ordered</v>
      </c>
      <c r="G37" s="403" t="str">
        <f>IFERROR(__xludf.DUMMYFUNCTION("""COMPUTED_VALUE"""),"SAT")</f>
        <v>SAT</v>
      </c>
      <c r="H37" s="370"/>
      <c r="I37" s="403" t="str">
        <f>IFERROR(__xludf.DUMMYFUNCTION("""COMPUTED_VALUE"""),"RELEASED - Nov.13 2024")</f>
        <v>RELEASED - Nov.13 2024</v>
      </c>
      <c r="J37" s="403" t="str">
        <f>IFERROR(__xludf.DUMMYFUNCTION("""COMPUTED_VALUE"""),"P05400003DEFB")</f>
        <v>P05400003DEFB</v>
      </c>
      <c r="K37" s="403" t="str">
        <f>IFERROR(__xludf.DUMMYFUNCTION("""COMPUTED_VALUE"""),"12 weeks")</f>
        <v>12 weeks</v>
      </c>
      <c r="L37" s="403" t="str">
        <f>IFERROR(__xludf.DUMMYFUNCTION("""COMPUTED_VALUE"""),"YES")</f>
        <v>YES</v>
      </c>
      <c r="M37" s="403">
        <f>IFERROR(__xludf.DUMMYFUNCTION("""COMPUTED_VALUE"""),1.0)</f>
        <v>1</v>
      </c>
      <c r="N37" s="403">
        <f>IFERROR(__xludf.DUMMYFUNCTION("""COMPUTED_VALUE"""),0.0)</f>
        <v>0</v>
      </c>
      <c r="O37" s="403">
        <f>IFERROR(__xludf.DUMMYFUNCTION("""COMPUTED_VALUE"""),0.0)</f>
        <v>0</v>
      </c>
      <c r="P37" s="403">
        <f>IFERROR(__xludf.DUMMYFUNCTION("""COMPUTED_VALUE"""),0.0)</f>
        <v>0</v>
      </c>
      <c r="Q37" s="392">
        <f>IFERROR(__xludf.DUMMYFUNCTION("""COMPUTED_VALUE"""),1.0)</f>
        <v>1</v>
      </c>
      <c r="R37" s="403" t="str">
        <f>IFERROR(__xludf.DUMMYFUNCTION("""COMPUTED_VALUE"""),"Hobart")</f>
        <v>Hobart</v>
      </c>
      <c r="S37" s="404">
        <f>IFERROR(__xludf.DUMMYFUNCTION("""COMPUTED_VALUE"""),47623.799999999996)</f>
        <v>47623.8</v>
      </c>
      <c r="T37" s="404">
        <f>IFERROR(__xludf.DUMMYFUNCTION("""COMPUTED_VALUE"""),0.0)</f>
        <v>0</v>
      </c>
      <c r="U37" s="404">
        <f>IFERROR(__xludf.DUMMYFUNCTION("""COMPUTED_VALUE"""),0.0)</f>
        <v>0</v>
      </c>
      <c r="V37" s="404">
        <f>IFERROR(__xludf.DUMMYFUNCTION("""COMPUTED_VALUE"""),0.0)</f>
        <v>0</v>
      </c>
      <c r="W37" s="405">
        <f>IFERROR(__xludf.DUMMYFUNCTION("""COMPUTED_VALUE"""),47623.799999999996)</f>
        <v>47623.8</v>
      </c>
      <c r="X37" s="404">
        <f>IFERROR(__xludf.DUMMYFUNCTION("""COMPUTED_VALUE"""),47623.799999999996)</f>
        <v>47623.8</v>
      </c>
      <c r="Y37" s="404">
        <f>IFERROR(__xludf.DUMMYFUNCTION("""COMPUTED_VALUE"""),0.0)</f>
        <v>0</v>
      </c>
      <c r="Z37" s="404">
        <f>IFERROR(__xludf.DUMMYFUNCTION("""COMPUTED_VALUE"""),0.0)</f>
        <v>0</v>
      </c>
      <c r="AA37" s="404">
        <f>IFERROR(__xludf.DUMMYFUNCTION("""COMPUTED_VALUE"""),0.0)</f>
        <v>0</v>
      </c>
      <c r="AB37" s="404">
        <f>IFERROR(__xludf.DUMMYFUNCTION("""COMPUTED_VALUE"""),47623.799999999996)</f>
        <v>47623.8</v>
      </c>
      <c r="AC37" s="406"/>
      <c r="AD37" s="407">
        <f>IFERROR(__xludf.DUMMYFUNCTION("""COMPUTED_VALUE"""),36050.0)</f>
        <v>36050</v>
      </c>
      <c r="AE37" s="408">
        <f>IFERROR(__xludf.DUMMYFUNCTION("""COMPUTED_VALUE"""),0.7569744539494959)</f>
        <v>0.7569744539</v>
      </c>
      <c r="AF37" s="409">
        <f>IFERROR(__xludf.DUMMYFUNCTION("""COMPUTED_VALUE"""),-11573.799999999996)</f>
        <v>-11573.8</v>
      </c>
      <c r="AG37" s="370"/>
      <c r="AH37" s="370"/>
      <c r="AI37" s="370"/>
      <c r="AJ37" s="403" t="str">
        <f>IFERROR(__xludf.DUMMYFUNCTION("""COMPUTED_VALUE"""),"N")</f>
        <v>N</v>
      </c>
      <c r="AK37" s="403" t="str">
        <f>IFERROR(__xludf.DUMMYFUNCTION("""COMPUTED_VALUE"""),"N")</f>
        <v>N</v>
      </c>
      <c r="AL37" s="403" t="str">
        <f>IFERROR(__xludf.DUMMYFUNCTION("""COMPUTED_VALUE"""),"Y")</f>
        <v>Y</v>
      </c>
      <c r="AM37" s="403" t="str">
        <f>IFERROR(__xludf.DUMMYFUNCTION("""COMPUTED_VALUE"""),"N")</f>
        <v>N</v>
      </c>
      <c r="AN37" s="403" t="str">
        <f>IFERROR(__xludf.DUMMYFUNCTION("""COMPUTED_VALUE"""),"N")</f>
        <v>N</v>
      </c>
      <c r="AO37" s="403" t="str">
        <f>IFERROR(__xludf.DUMMYFUNCTION("""COMPUTED_VALUE"""),"N")</f>
        <v>N</v>
      </c>
      <c r="AP37" s="370"/>
      <c r="AQ37" s="403" t="str">
        <f>IFERROR(__xludf.DUMMYFUNCTION("""COMPUTED_VALUE"""),"Not Req")</f>
        <v>Not Req</v>
      </c>
      <c r="AR37" s="411">
        <f>IFERROR(__xludf.DUMMYFUNCTION("""COMPUTED_VALUE"""),46037.0)</f>
        <v>46037</v>
      </c>
      <c r="AS37" s="411">
        <f>IFERROR(__xludf.DUMMYFUNCTION("""COMPUTED_VALUE"""),46042.0)</f>
        <v>46042</v>
      </c>
      <c r="AT37" s="411">
        <f>IFERROR(__xludf.DUMMYFUNCTION("""COMPUTED_VALUE"""),46042.0)</f>
        <v>46042</v>
      </c>
      <c r="AU37" s="403" t="str">
        <f>IFERROR(__xludf.DUMMYFUNCTION("""COMPUTED_VALUE"""),"Ordered")</f>
        <v>Ordered</v>
      </c>
      <c r="AV37" s="403" t="str">
        <f>IFERROR(__xludf.DUMMYFUNCTION("""COMPUTED_VALUE"""),"Y")</f>
        <v>Y</v>
      </c>
      <c r="AW37" s="403" t="str">
        <f>IFERROR(__xludf.DUMMYFUNCTION("""COMPUTED_VALUE"""),"move into place
connect water
connect electricity")</f>
        <v>move into place
connect water
connect electricity</v>
      </c>
      <c r="AX37" s="403" t="str">
        <f>IFERROR(__xludf.DUMMYFUNCTION("""COMPUTED_VALUE"""),"crates - nothing specific")</f>
        <v>crates - nothing specific</v>
      </c>
      <c r="AY37" s="370"/>
      <c r="AZ37" s="412"/>
      <c r="BA37" s="413"/>
      <c r="BB37" s="413"/>
      <c r="BC37" s="413"/>
      <c r="BD37" s="413"/>
      <c r="BE37" s="414"/>
      <c r="BF37" s="415"/>
    </row>
    <row r="38">
      <c r="A38" s="400" t="str">
        <f>IFERROR(__xludf.DUMMYFUNCTION("""COMPUTED_VALUE"""),"E34")</f>
        <v>E34</v>
      </c>
      <c r="B38" s="401" t="str">
        <f>IFERROR(__xludf.DUMMYFUNCTION("""COMPUTED_VALUE"""),"Utensils Washer")</f>
        <v>Utensils Washer</v>
      </c>
      <c r="C38" s="402" t="str">
        <f>IFERROR(__xludf.DUMMYFUNCTION("""COMPUTED_VALUE"""),"Olivier Lemieux")</f>
        <v>Olivier Lemieux</v>
      </c>
      <c r="D38" s="403" t="str">
        <f>IFERROR(__xludf.DUMMYFUNCTION("""COMPUTED_VALUE"""),"Hobart")</f>
        <v>Hobart</v>
      </c>
      <c r="E38" s="403" t="str">
        <f>IFERROR(__xludf.DUMMYFUNCTION("""COMPUTED_VALUE"""),"UXTLH-10A")</f>
        <v>UXTLH-10A</v>
      </c>
      <c r="F38" s="403" t="str">
        <f>IFERROR(__xludf.DUMMYFUNCTION("""COMPUTED_VALUE"""),"Ordered")</f>
        <v>Ordered</v>
      </c>
      <c r="G38" s="403" t="str">
        <f>IFERROR(__xludf.DUMMYFUNCTION("""COMPUTED_VALUE"""),"SAT")</f>
        <v>SAT</v>
      </c>
      <c r="H38" s="370"/>
      <c r="I38" s="403" t="str">
        <f>IFERROR(__xludf.DUMMYFUNCTION("""COMPUTED_VALUE"""),"RELEASED - Nov.13 2024")</f>
        <v>RELEASED - Nov.13 2024</v>
      </c>
      <c r="J38" s="403" t="str">
        <f>IFERROR(__xludf.DUMMYFUNCTION("""COMPUTED_VALUE"""),"P05400003DEFB")</f>
        <v>P05400003DEFB</v>
      </c>
      <c r="K38" s="403" t="str">
        <f>IFERROR(__xludf.DUMMYFUNCTION("""COMPUTED_VALUE"""),"12 weeks")</f>
        <v>12 weeks</v>
      </c>
      <c r="L38" s="403" t="str">
        <f>IFERROR(__xludf.DUMMYFUNCTION("""COMPUTED_VALUE"""),"YES")</f>
        <v>YES</v>
      </c>
      <c r="M38" s="403">
        <f>IFERROR(__xludf.DUMMYFUNCTION("""COMPUTED_VALUE"""),1.0)</f>
        <v>1</v>
      </c>
      <c r="N38" s="403">
        <f>IFERROR(__xludf.DUMMYFUNCTION("""COMPUTED_VALUE"""),0.0)</f>
        <v>0</v>
      </c>
      <c r="O38" s="403">
        <f>IFERROR(__xludf.DUMMYFUNCTION("""COMPUTED_VALUE"""),0.0)</f>
        <v>0</v>
      </c>
      <c r="P38" s="403">
        <f>IFERROR(__xludf.DUMMYFUNCTION("""COMPUTED_VALUE"""),0.0)</f>
        <v>0</v>
      </c>
      <c r="Q38" s="392">
        <f>IFERROR(__xludf.DUMMYFUNCTION("""COMPUTED_VALUE"""),1.0)</f>
        <v>1</v>
      </c>
      <c r="R38" s="403" t="str">
        <f>IFERROR(__xludf.DUMMYFUNCTION("""COMPUTED_VALUE"""),"Hobart")</f>
        <v>Hobart</v>
      </c>
      <c r="S38" s="404">
        <f>IFERROR(__xludf.DUMMYFUNCTION("""COMPUTED_VALUE"""),38490.5)</f>
        <v>38490.5</v>
      </c>
      <c r="T38" s="404">
        <f>IFERROR(__xludf.DUMMYFUNCTION("""COMPUTED_VALUE"""),0.0)</f>
        <v>0</v>
      </c>
      <c r="U38" s="404">
        <f>IFERROR(__xludf.DUMMYFUNCTION("""COMPUTED_VALUE"""),0.0)</f>
        <v>0</v>
      </c>
      <c r="V38" s="404">
        <f>IFERROR(__xludf.DUMMYFUNCTION("""COMPUTED_VALUE"""),0.0)</f>
        <v>0</v>
      </c>
      <c r="W38" s="405">
        <f>IFERROR(__xludf.DUMMYFUNCTION("""COMPUTED_VALUE"""),38490.5)</f>
        <v>38490.5</v>
      </c>
      <c r="X38" s="404">
        <f>IFERROR(__xludf.DUMMYFUNCTION("""COMPUTED_VALUE"""),38490.5)</f>
        <v>38490.5</v>
      </c>
      <c r="Y38" s="404">
        <f>IFERROR(__xludf.DUMMYFUNCTION("""COMPUTED_VALUE"""),0.0)</f>
        <v>0</v>
      </c>
      <c r="Z38" s="404">
        <f>IFERROR(__xludf.DUMMYFUNCTION("""COMPUTED_VALUE"""),0.0)</f>
        <v>0</v>
      </c>
      <c r="AA38" s="404">
        <f>IFERROR(__xludf.DUMMYFUNCTION("""COMPUTED_VALUE"""),0.0)</f>
        <v>0</v>
      </c>
      <c r="AB38" s="404">
        <f>IFERROR(__xludf.DUMMYFUNCTION("""COMPUTED_VALUE"""),38490.5)</f>
        <v>38490.5</v>
      </c>
      <c r="AC38" s="406"/>
      <c r="AD38" s="407">
        <f>IFERROR(__xludf.DUMMYFUNCTION("""COMPUTED_VALUE"""),29136.0)</f>
        <v>29136</v>
      </c>
      <c r="AE38" s="408">
        <f>IFERROR(__xludf.DUMMYFUNCTION("""COMPUTED_VALUE"""),0.7569660045985374)</f>
        <v>0.7569660046</v>
      </c>
      <c r="AF38" s="409">
        <f>IFERROR(__xludf.DUMMYFUNCTION("""COMPUTED_VALUE"""),-9354.5)</f>
        <v>-9354.5</v>
      </c>
      <c r="AG38" s="370"/>
      <c r="AH38" s="370"/>
      <c r="AI38" s="370"/>
      <c r="AJ38" s="403" t="str">
        <f>IFERROR(__xludf.DUMMYFUNCTION("""COMPUTED_VALUE"""),"N")</f>
        <v>N</v>
      </c>
      <c r="AK38" s="403" t="str">
        <f>IFERROR(__xludf.DUMMYFUNCTION("""COMPUTED_VALUE"""),"N")</f>
        <v>N</v>
      </c>
      <c r="AL38" s="403" t="str">
        <f>IFERROR(__xludf.DUMMYFUNCTION("""COMPUTED_VALUE"""),"Y")</f>
        <v>Y</v>
      </c>
      <c r="AM38" s="403" t="str">
        <f>IFERROR(__xludf.DUMMYFUNCTION("""COMPUTED_VALUE"""),"N")</f>
        <v>N</v>
      </c>
      <c r="AN38" s="403" t="str">
        <f>IFERROR(__xludf.DUMMYFUNCTION("""COMPUTED_VALUE"""),"N")</f>
        <v>N</v>
      </c>
      <c r="AO38" s="403" t="str">
        <f>IFERROR(__xludf.DUMMYFUNCTION("""COMPUTED_VALUE"""),"N")</f>
        <v>N</v>
      </c>
      <c r="AP38" s="370"/>
      <c r="AQ38" s="403" t="str">
        <f>IFERROR(__xludf.DUMMYFUNCTION("""COMPUTED_VALUE"""),"Not Req")</f>
        <v>Not Req</v>
      </c>
      <c r="AR38" s="403" t="str">
        <f>IFERROR(__xludf.DUMMYFUNCTION("""COMPUTED_VALUE"""),"Planned")</f>
        <v>Planned</v>
      </c>
      <c r="AS38" s="403" t="str">
        <f>IFERROR(__xludf.DUMMYFUNCTION("""COMPUTED_VALUE"""),"Planned")</f>
        <v>Planned</v>
      </c>
      <c r="AT38" s="403" t="str">
        <f>IFERROR(__xludf.DUMMYFUNCTION("""COMPUTED_VALUE"""),"Planned")</f>
        <v>Planned</v>
      </c>
      <c r="AU38" s="403" t="str">
        <f>IFERROR(__xludf.DUMMYFUNCTION("""COMPUTED_VALUE"""),"Ordered")</f>
        <v>Ordered</v>
      </c>
      <c r="AV38" s="403" t="str">
        <f>IFERROR(__xludf.DUMMYFUNCTION("""COMPUTED_VALUE"""),"Y")</f>
        <v>Y</v>
      </c>
      <c r="AW38" s="403" t="str">
        <f>IFERROR(__xludf.DUMMYFUNCTION("""COMPUTED_VALUE"""),"move into place
connect water
connect electricity
connect chemicals")</f>
        <v>move into place
connect water
connect electricity
connect chemicals</v>
      </c>
      <c r="AX38" s="403" t="str">
        <f>IFERROR(__xludf.DUMMYFUNCTION("""COMPUTED_VALUE"""),"Soiled kitchenware")</f>
        <v>Soiled kitchenware</v>
      </c>
      <c r="AY38" s="370"/>
      <c r="AZ38" s="412"/>
      <c r="BA38" s="413"/>
      <c r="BB38" s="413"/>
      <c r="BC38" s="413"/>
      <c r="BD38" s="413"/>
      <c r="BE38" s="414"/>
      <c r="BF38" s="415"/>
    </row>
    <row r="39" ht="27.0" customHeight="1">
      <c r="A39" s="400" t="str">
        <f>IFERROR(__xludf.DUMMYFUNCTION("""COMPUTED_VALUE"""),"E35")</f>
        <v>E35</v>
      </c>
      <c r="B39" s="401" t="str">
        <f>IFERROR(__xludf.DUMMYFUNCTION("""COMPUTED_VALUE"""),"P2L")</f>
        <v>P2L</v>
      </c>
      <c r="C39" s="402" t="str">
        <f>IFERROR(__xludf.DUMMYFUNCTION("""COMPUTED_VALUE"""),"Josh Winkler")</f>
        <v>Josh Winkler</v>
      </c>
      <c r="D39" s="403" t="str">
        <f>IFERROR(__xludf.DUMMYFUNCTION("""COMPUTED_VALUE"""),"TBD")</f>
        <v>TBD</v>
      </c>
      <c r="E39" s="403" t="str">
        <f>IFERROR(__xludf.DUMMYFUNCTION("""COMPUTED_VALUE"""),"TBD")</f>
        <v>TBD</v>
      </c>
      <c r="F39" s="403" t="str">
        <f>IFERROR(__xludf.DUMMYFUNCTION("""COMPUTED_VALUE"""),"Phase 1.1")</f>
        <v>Phase 1.1</v>
      </c>
      <c r="G39" s="370"/>
      <c r="H39" s="370"/>
      <c r="I39" s="370"/>
      <c r="J39" s="370"/>
      <c r="K39" s="370"/>
      <c r="L39" s="370"/>
      <c r="M39" s="403">
        <f>IFERROR(__xludf.DUMMYFUNCTION("""COMPUTED_VALUE"""),0.0)</f>
        <v>0</v>
      </c>
      <c r="N39" s="417">
        <f>IFERROR(__xludf.DUMMYFUNCTION("""COMPUTED_VALUE"""),4.0)</f>
        <v>4</v>
      </c>
      <c r="O39" s="403">
        <f>IFERROR(__xludf.DUMMYFUNCTION("""COMPUTED_VALUE"""),0.0)</f>
        <v>0</v>
      </c>
      <c r="P39" s="403">
        <f>IFERROR(__xludf.DUMMYFUNCTION("""COMPUTED_VALUE"""),2.0)</f>
        <v>2</v>
      </c>
      <c r="Q39" s="392">
        <f>IFERROR(__xludf.DUMMYFUNCTION("""COMPUTED_VALUE"""),6.0)</f>
        <v>6</v>
      </c>
      <c r="R39" s="421" t="str">
        <f>IFERROR(__xludf.DUMMYFUNCTION("""COMPUTED_VALUE"""),"EXPANSION")</f>
        <v>EXPANSION</v>
      </c>
      <c r="S39" s="404" t="str">
        <f>IFERROR(__xludf.DUMMYFUNCTION("""COMPUTED_VALUE"""),"TBD")</f>
        <v>TBD</v>
      </c>
      <c r="T39" s="404">
        <f>IFERROR(__xludf.DUMMYFUNCTION("""COMPUTED_VALUE"""),453674.6666666666)</f>
        <v>453674.6667</v>
      </c>
      <c r="U39" s="404">
        <f>IFERROR(__xludf.DUMMYFUNCTION("""COMPUTED_VALUE"""),226837.33333333337)</f>
        <v>226837.3333</v>
      </c>
      <c r="V39" s="404">
        <f>IFERROR(__xludf.DUMMYFUNCTION("""COMPUTED_VALUE"""),680512.0)</f>
        <v>680512</v>
      </c>
      <c r="W39" s="405">
        <f>IFERROR(__xludf.DUMMYFUNCTION("""COMPUTED_VALUE"""),0.0)</f>
        <v>0</v>
      </c>
      <c r="X39" s="404">
        <f>IFERROR(__xludf.DUMMYFUNCTION("""COMPUTED_VALUE"""),0.0)</f>
        <v>0</v>
      </c>
      <c r="Y39" s="404">
        <f>IFERROR(__xludf.DUMMYFUNCTION("""COMPUTED_VALUE"""),453674.6666666666)</f>
        <v>453674.6667</v>
      </c>
      <c r="Z39" s="404">
        <f>IFERROR(__xludf.DUMMYFUNCTION("""COMPUTED_VALUE"""),0.0)</f>
        <v>0</v>
      </c>
      <c r="AA39" s="404">
        <f>IFERROR(__xludf.DUMMYFUNCTION("""COMPUTED_VALUE"""),226837.33333333337)</f>
        <v>226837.3333</v>
      </c>
      <c r="AB39" s="404">
        <f>IFERROR(__xludf.DUMMYFUNCTION("""COMPUTED_VALUE"""),680512.0)</f>
        <v>680512</v>
      </c>
      <c r="AC39" s="406"/>
      <c r="AD39" s="419">
        <f>IFERROR(__xludf.DUMMYFUNCTION("""COMPUTED_VALUE"""),0.0)</f>
        <v>0</v>
      </c>
      <c r="AE39" s="408" t="str">
        <f>IFERROR(__xludf.DUMMYFUNCTION("""COMPUTED_VALUE"""),"TBD")</f>
        <v>TBD</v>
      </c>
      <c r="AF39" s="409">
        <f>IFERROR(__xludf.DUMMYFUNCTION("""COMPUTED_VALUE"""),0.0)</f>
        <v>0</v>
      </c>
      <c r="AG39" s="370"/>
      <c r="AH39" s="370"/>
      <c r="AI39" s="370"/>
      <c r="AJ39" s="403" t="str">
        <f>IFERROR(__xludf.DUMMYFUNCTION("""COMPUTED_VALUE"""),"TBD")</f>
        <v>TBD</v>
      </c>
      <c r="AK39" s="403" t="str">
        <f>IFERROR(__xludf.DUMMYFUNCTION("""COMPUTED_VALUE"""),"TBD")</f>
        <v>TBD</v>
      </c>
      <c r="AL39" s="403" t="str">
        <f>IFERROR(__xludf.DUMMYFUNCTION("""COMPUTED_VALUE"""),"TBD")</f>
        <v>TBD</v>
      </c>
      <c r="AM39" s="403" t="str">
        <f>IFERROR(__xludf.DUMMYFUNCTION("""COMPUTED_VALUE"""),"TBD")</f>
        <v>TBD</v>
      </c>
      <c r="AN39" s="403" t="str">
        <f>IFERROR(__xludf.DUMMYFUNCTION("""COMPUTED_VALUE"""),"TBD")</f>
        <v>TBD</v>
      </c>
      <c r="AO39" s="403" t="str">
        <f>IFERROR(__xludf.DUMMYFUNCTION("""COMPUTED_VALUE"""),"TBD")</f>
        <v>TBD</v>
      </c>
      <c r="AP39" s="370"/>
      <c r="AQ39" s="403" t="str">
        <f>IFERROR(__xludf.DUMMYFUNCTION("""COMPUTED_VALUE"""),"Not Req")</f>
        <v>Not Req</v>
      </c>
      <c r="AR39" s="403" t="str">
        <f>IFERROR(__xludf.DUMMYFUNCTION("""COMPUTED_VALUE"""),"Phase 1.1")</f>
        <v>Phase 1.1</v>
      </c>
      <c r="AS39" s="403" t="str">
        <f>IFERROR(__xludf.DUMMYFUNCTION("""COMPUTED_VALUE"""),"Phase 1.1")</f>
        <v>Phase 1.1</v>
      </c>
      <c r="AT39" s="403" t="str">
        <f>IFERROR(__xludf.DUMMYFUNCTION("""COMPUTED_VALUE"""),"Phase 1.1")</f>
        <v>Phase 1.1</v>
      </c>
      <c r="AU39" s="403" t="str">
        <f>IFERROR(__xludf.DUMMYFUNCTION("""COMPUTED_VALUE"""),"Planned")</f>
        <v>Planned</v>
      </c>
      <c r="AV39" s="421" t="str">
        <f>IFERROR(__xludf.DUMMYFUNCTION("""COMPUTED_VALUE"""),"N")</f>
        <v>N</v>
      </c>
      <c r="AW39" s="421" t="str">
        <f>IFERROR(__xludf.DUMMYFUNCTION("""COMPUTED_VALUE"""),"Expansion owns this piece of equipment")</f>
        <v>Expansion owns this piece of equipment</v>
      </c>
      <c r="AX39" s="403" t="str">
        <f>IFERROR(__xludf.DUMMYFUNCTION("""COMPUTED_VALUE"""),"N/A")</f>
        <v>N/A</v>
      </c>
      <c r="AY39" s="370"/>
      <c r="AZ39" s="412"/>
      <c r="BA39" s="413"/>
      <c r="BB39" s="413"/>
      <c r="BC39" s="413"/>
      <c r="BD39" s="413"/>
      <c r="BE39" s="414"/>
      <c r="BF39" s="415"/>
    </row>
    <row r="40" ht="27.0" customHeight="1">
      <c r="A40" s="400" t="str">
        <f>IFERROR(__xludf.DUMMYFUNCTION("""COMPUTED_VALUE"""),"E36")</f>
        <v>E36</v>
      </c>
      <c r="B40" s="401" t="str">
        <f>IFERROR(__xludf.DUMMYFUNCTION("""COMPUTED_VALUE"""),"Forklift")</f>
        <v>Forklift</v>
      </c>
      <c r="C40" s="402" t="str">
        <f>IFERROR(__xludf.DUMMYFUNCTION("""COMPUTED_VALUE"""),"OPEX")</f>
        <v>OPEX</v>
      </c>
      <c r="D40" s="403" t="str">
        <f>IFERROR(__xludf.DUMMYFUNCTION("""COMPUTED_VALUE"""),"TBD")</f>
        <v>TBD</v>
      </c>
      <c r="E40" s="403" t="str">
        <f>IFERROR(__xludf.DUMMYFUNCTION("""COMPUTED_VALUE"""),"TBD")</f>
        <v>TBD</v>
      </c>
      <c r="F40" s="403" t="str">
        <f>IFERROR(__xludf.DUMMYFUNCTION("""COMPUTED_VALUE"""),"WIP")</f>
        <v>WIP</v>
      </c>
      <c r="G40" s="370"/>
      <c r="H40" s="370"/>
      <c r="I40" s="370"/>
      <c r="J40" s="370"/>
      <c r="K40" s="370"/>
      <c r="L40" s="370"/>
      <c r="M40" s="403">
        <f>IFERROR(__xludf.DUMMYFUNCTION("""COMPUTED_VALUE"""),5.0)</f>
        <v>5</v>
      </c>
      <c r="N40" s="403">
        <f>IFERROR(__xludf.DUMMYFUNCTION("""COMPUTED_VALUE"""),0.0)</f>
        <v>0</v>
      </c>
      <c r="O40" s="403">
        <f>IFERROR(__xludf.DUMMYFUNCTION("""COMPUTED_VALUE"""),0.0)</f>
        <v>0</v>
      </c>
      <c r="P40" s="403">
        <f>IFERROR(__xludf.DUMMYFUNCTION("""COMPUTED_VALUE"""),5.0)</f>
        <v>5</v>
      </c>
      <c r="Q40" s="392">
        <f>IFERROR(__xludf.DUMMYFUNCTION("""COMPUTED_VALUE"""),10.0)</f>
        <v>10</v>
      </c>
      <c r="R40" s="421" t="str">
        <f>IFERROR(__xludf.DUMMYFUNCTION("""COMPUTED_VALUE"""),"EXPANSION")</f>
        <v>EXPANSION</v>
      </c>
      <c r="S40" s="404" t="str">
        <f>IFERROR(__xludf.DUMMYFUNCTION("""COMPUTED_VALUE"""),"RENTAL - OPEX")</f>
        <v>RENTAL - OPEX</v>
      </c>
      <c r="T40" s="404">
        <f>IFERROR(__xludf.DUMMYFUNCTION("""COMPUTED_VALUE"""),206989.0)</f>
        <v>206989</v>
      </c>
      <c r="U40" s="404">
        <f>IFERROR(__xludf.DUMMYFUNCTION("""COMPUTED_VALUE"""),206989.0)</f>
        <v>206989</v>
      </c>
      <c r="V40" s="404">
        <f>IFERROR(__xludf.DUMMYFUNCTION("""COMPUTED_VALUE"""),413978.0)</f>
        <v>413978</v>
      </c>
      <c r="W40" s="405">
        <f>IFERROR(__xludf.DUMMYFUNCTION("""COMPUTED_VALUE"""),0.0)</f>
        <v>0</v>
      </c>
      <c r="X40" s="404">
        <f>IFERROR(__xludf.DUMMYFUNCTION("""COMPUTED_VALUE"""),0.0)</f>
        <v>0</v>
      </c>
      <c r="Y40" s="404">
        <f>IFERROR(__xludf.DUMMYFUNCTION("""COMPUTED_VALUE"""),0.0)</f>
        <v>0</v>
      </c>
      <c r="Z40" s="404">
        <f>IFERROR(__xludf.DUMMYFUNCTION("""COMPUTED_VALUE"""),0.0)</f>
        <v>0</v>
      </c>
      <c r="AA40" s="404">
        <f>IFERROR(__xludf.DUMMYFUNCTION("""COMPUTED_VALUE"""),0.0)</f>
        <v>0</v>
      </c>
      <c r="AB40" s="404">
        <f>IFERROR(__xludf.DUMMYFUNCTION("""COMPUTED_VALUE"""),0.0)</f>
        <v>0</v>
      </c>
      <c r="AC40" s="406"/>
      <c r="AD40" s="407">
        <f>IFERROR(__xludf.DUMMYFUNCTION("""COMPUTED_VALUE"""),0.0)</f>
        <v>0</v>
      </c>
      <c r="AE40" s="408" t="str">
        <f>IFERROR(__xludf.DUMMYFUNCTION("""COMPUTED_VALUE"""),"OPEX")</f>
        <v>OPEX</v>
      </c>
      <c r="AF40" s="409">
        <f>IFERROR(__xludf.DUMMYFUNCTION("""COMPUTED_VALUE"""),0.0)</f>
        <v>0</v>
      </c>
      <c r="AG40" s="370"/>
      <c r="AH40" s="370"/>
      <c r="AI40" s="370"/>
      <c r="AJ40" s="403" t="str">
        <f>IFERROR(__xludf.DUMMYFUNCTION("""COMPUTED_VALUE"""),"N")</f>
        <v>N</v>
      </c>
      <c r="AK40" s="403" t="str">
        <f>IFERROR(__xludf.DUMMYFUNCTION("""COMPUTED_VALUE"""),"N")</f>
        <v>N</v>
      </c>
      <c r="AL40" s="403" t="str">
        <f>IFERROR(__xludf.DUMMYFUNCTION("""COMPUTED_VALUE"""),"N")</f>
        <v>N</v>
      </c>
      <c r="AM40" s="403" t="str">
        <f>IFERROR(__xludf.DUMMYFUNCTION("""COMPUTED_VALUE"""),"N")</f>
        <v>N</v>
      </c>
      <c r="AN40" s="403" t="str">
        <f>IFERROR(__xludf.DUMMYFUNCTION("""COMPUTED_VALUE"""),"N")</f>
        <v>N</v>
      </c>
      <c r="AO40" s="403" t="str">
        <f>IFERROR(__xludf.DUMMYFUNCTION("""COMPUTED_VALUE"""),"N")</f>
        <v>N</v>
      </c>
      <c r="AP40" s="370"/>
      <c r="AQ40" s="403" t="str">
        <f>IFERROR(__xludf.DUMMYFUNCTION("""COMPUTED_VALUE"""),"Not Req")</f>
        <v>Not Req</v>
      </c>
      <c r="AR40" s="403" t="str">
        <f>IFERROR(__xludf.DUMMYFUNCTION("""COMPUTED_VALUE"""),"N/A")</f>
        <v>N/A</v>
      </c>
      <c r="AS40" s="403" t="str">
        <f>IFERROR(__xludf.DUMMYFUNCTION("""COMPUTED_VALUE"""),"N/A")</f>
        <v>N/A</v>
      </c>
      <c r="AT40" s="403" t="str">
        <f>IFERROR(__xludf.DUMMYFUNCTION("""COMPUTED_VALUE"""),"N/A")</f>
        <v>N/A</v>
      </c>
      <c r="AU40" s="403" t="str">
        <f>IFERROR(__xludf.DUMMYFUNCTION("""COMPUTED_VALUE"""),"Not Req.")</f>
        <v>Not Req.</v>
      </c>
      <c r="AV40" s="421" t="str">
        <f>IFERROR(__xludf.DUMMYFUNCTION("""COMPUTED_VALUE"""),"N")</f>
        <v>N</v>
      </c>
      <c r="AW40" s="421" t="str">
        <f>IFERROR(__xludf.DUMMYFUNCTION("""COMPUTED_VALUE"""),"Charger installation")</f>
        <v>Charger installation</v>
      </c>
      <c r="AX40" s="403" t="str">
        <f>IFERROR(__xludf.DUMMYFUNCTION("""COMPUTED_VALUE"""),"N/A")</f>
        <v>N/A</v>
      </c>
      <c r="AY40" s="370"/>
      <c r="AZ40" s="412"/>
      <c r="BA40" s="413"/>
      <c r="BB40" s="413"/>
      <c r="BC40" s="413"/>
      <c r="BD40" s="413"/>
      <c r="BE40" s="414"/>
      <c r="BF40" s="415"/>
    </row>
    <row r="41" ht="27.0" customHeight="1">
      <c r="A41" s="400" t="str">
        <f>IFERROR(__xludf.DUMMYFUNCTION("""COMPUTED_VALUE"""),"E37")</f>
        <v>E37</v>
      </c>
      <c r="B41" s="401" t="str">
        <f>IFERROR(__xludf.DUMMYFUNCTION("""COMPUTED_VALUE"""),"Pallet Jack")</f>
        <v>Pallet Jack</v>
      </c>
      <c r="C41" s="402" t="str">
        <f>IFERROR(__xludf.DUMMYFUNCTION("""COMPUTED_VALUE"""),"Josh Winkler")</f>
        <v>Josh Winkler</v>
      </c>
      <c r="D41" s="403" t="str">
        <f>IFERROR(__xludf.DUMMYFUNCTION("""COMPUTED_VALUE"""),"TBD")</f>
        <v>TBD</v>
      </c>
      <c r="E41" s="403" t="str">
        <f>IFERROR(__xludf.DUMMYFUNCTION("""COMPUTED_VALUE"""),"TBD")</f>
        <v>TBD</v>
      </c>
      <c r="F41" s="403" t="str">
        <f>IFERROR(__xludf.DUMMYFUNCTION("""COMPUTED_VALUE"""),"WIP")</f>
        <v>WIP</v>
      </c>
      <c r="G41" s="403" t="str">
        <f>IFERROR(__xludf.DUMMYFUNCTION("""COMPUTED_VALUE"""),"Sourcing")</f>
        <v>Sourcing</v>
      </c>
      <c r="H41" s="370"/>
      <c r="I41" s="370"/>
      <c r="J41" s="370"/>
      <c r="K41" s="370"/>
      <c r="L41" s="370"/>
      <c r="M41" s="403">
        <f>IFERROR(__xludf.DUMMYFUNCTION("""COMPUTED_VALUE"""),10.0)</f>
        <v>10</v>
      </c>
      <c r="N41" s="403">
        <f>IFERROR(__xludf.DUMMYFUNCTION("""COMPUTED_VALUE"""),0.0)</f>
        <v>0</v>
      </c>
      <c r="O41" s="403">
        <f>IFERROR(__xludf.DUMMYFUNCTION("""COMPUTED_VALUE"""),5.0)</f>
        <v>5</v>
      </c>
      <c r="P41" s="403">
        <f>IFERROR(__xludf.DUMMYFUNCTION("""COMPUTED_VALUE"""),5.0)</f>
        <v>5</v>
      </c>
      <c r="Q41" s="392">
        <f>IFERROR(__xludf.DUMMYFUNCTION("""COMPUTED_VALUE"""),20.0)</f>
        <v>20</v>
      </c>
      <c r="R41" s="421" t="str">
        <f>IFERROR(__xludf.DUMMYFUNCTION("""COMPUTED_VALUE"""),"EXPANSION")</f>
        <v>EXPANSION</v>
      </c>
      <c r="S41" s="404">
        <f>IFERROR(__xludf.DUMMYFUNCTION("""COMPUTED_VALUE"""),1035.0)</f>
        <v>1035</v>
      </c>
      <c r="T41" s="404">
        <f>IFERROR(__xludf.DUMMYFUNCTION("""COMPUTED_VALUE"""),20700.0)</f>
        <v>20700</v>
      </c>
      <c r="U41" s="404">
        <f>IFERROR(__xludf.DUMMYFUNCTION("""COMPUTED_VALUE"""),0.0)</f>
        <v>0</v>
      </c>
      <c r="V41" s="404">
        <f>IFERROR(__xludf.DUMMYFUNCTION("""COMPUTED_VALUE"""),20700.0)</f>
        <v>20700</v>
      </c>
      <c r="W41" s="405">
        <f>IFERROR(__xludf.DUMMYFUNCTION("""COMPUTED_VALUE"""),10350.0)</f>
        <v>10350</v>
      </c>
      <c r="X41" s="404">
        <f>IFERROR(__xludf.DUMMYFUNCTION("""COMPUTED_VALUE"""),10350.0)</f>
        <v>10350</v>
      </c>
      <c r="Y41" s="404">
        <f>IFERROR(__xludf.DUMMYFUNCTION("""COMPUTED_VALUE"""),0.0)</f>
        <v>0</v>
      </c>
      <c r="Z41" s="404">
        <f>IFERROR(__xludf.DUMMYFUNCTION("""COMPUTED_VALUE"""),5175.0)</f>
        <v>5175</v>
      </c>
      <c r="AA41" s="404">
        <f>IFERROR(__xludf.DUMMYFUNCTION("""COMPUTED_VALUE"""),5175.0)</f>
        <v>5175</v>
      </c>
      <c r="AB41" s="404">
        <f>IFERROR(__xludf.DUMMYFUNCTION("""COMPUTED_VALUE"""),20700.0)</f>
        <v>20700</v>
      </c>
      <c r="AC41" s="406"/>
      <c r="AD41" s="407">
        <f>IFERROR(__xludf.DUMMYFUNCTION("""COMPUTED_VALUE"""),10350.0)</f>
        <v>10350</v>
      </c>
      <c r="AE41" s="408">
        <f>IFERROR(__xludf.DUMMYFUNCTION("""COMPUTED_VALUE"""),1.0)</f>
        <v>1</v>
      </c>
      <c r="AF41" s="409">
        <f>IFERROR(__xludf.DUMMYFUNCTION("""COMPUTED_VALUE"""),0.0)</f>
        <v>0</v>
      </c>
      <c r="AG41" s="370"/>
      <c r="AH41" s="370"/>
      <c r="AI41" s="370"/>
      <c r="AJ41" s="403" t="str">
        <f>IFERROR(__xludf.DUMMYFUNCTION("""COMPUTED_VALUE"""),"N")</f>
        <v>N</v>
      </c>
      <c r="AK41" s="403" t="str">
        <f>IFERROR(__xludf.DUMMYFUNCTION("""COMPUTED_VALUE"""),"N")</f>
        <v>N</v>
      </c>
      <c r="AL41" s="403" t="str">
        <f>IFERROR(__xludf.DUMMYFUNCTION("""COMPUTED_VALUE"""),"N")</f>
        <v>N</v>
      </c>
      <c r="AM41" s="403" t="str">
        <f>IFERROR(__xludf.DUMMYFUNCTION("""COMPUTED_VALUE"""),"N")</f>
        <v>N</v>
      </c>
      <c r="AN41" s="403" t="str">
        <f>IFERROR(__xludf.DUMMYFUNCTION("""COMPUTED_VALUE"""),"N")</f>
        <v>N</v>
      </c>
      <c r="AO41" s="403" t="str">
        <f>IFERROR(__xludf.DUMMYFUNCTION("""COMPUTED_VALUE"""),"N")</f>
        <v>N</v>
      </c>
      <c r="AP41" s="370"/>
      <c r="AQ41" s="403" t="str">
        <f>IFERROR(__xludf.DUMMYFUNCTION("""COMPUTED_VALUE"""),"Not Req")</f>
        <v>Not Req</v>
      </c>
      <c r="AR41" s="403" t="str">
        <f>IFERROR(__xludf.DUMMYFUNCTION("""COMPUTED_VALUE"""),"N/A")</f>
        <v>N/A</v>
      </c>
      <c r="AS41" s="403" t="str">
        <f>IFERROR(__xludf.DUMMYFUNCTION("""COMPUTED_VALUE"""),"N/A")</f>
        <v>N/A</v>
      </c>
      <c r="AT41" s="403" t="str">
        <f>IFERROR(__xludf.DUMMYFUNCTION("""COMPUTED_VALUE"""),"N/A")</f>
        <v>N/A</v>
      </c>
      <c r="AU41" s="403" t="str">
        <f>IFERROR(__xludf.DUMMYFUNCTION("""COMPUTED_VALUE"""),"Not Req.")</f>
        <v>Not Req.</v>
      </c>
      <c r="AV41" s="403" t="str">
        <f>IFERROR(__xludf.DUMMYFUNCTION("""COMPUTED_VALUE"""),"N")</f>
        <v>N</v>
      </c>
      <c r="AW41" s="403" t="str">
        <f>IFERROR(__xludf.DUMMYFUNCTION("""COMPUTED_VALUE"""),"N")</f>
        <v>N</v>
      </c>
      <c r="AX41" s="403" t="str">
        <f>IFERROR(__xludf.DUMMYFUNCTION("""COMPUTED_VALUE"""),"N/A")</f>
        <v>N/A</v>
      </c>
      <c r="AY41" s="370"/>
      <c r="AZ41" s="412"/>
      <c r="BA41" s="413"/>
      <c r="BB41" s="413"/>
      <c r="BC41" s="413"/>
      <c r="BD41" s="413"/>
      <c r="BE41" s="414"/>
      <c r="BF41" s="415"/>
    </row>
    <row r="42" ht="27.0" customHeight="1">
      <c r="A42" s="400" t="str">
        <f>IFERROR(__xludf.DUMMYFUNCTION("""COMPUTED_VALUE"""),"E38")</f>
        <v>E38</v>
      </c>
      <c r="B42" s="401" t="str">
        <f>IFERROR(__xludf.DUMMYFUNCTION("""COMPUTED_VALUE"""),"LAB Spray System")</f>
        <v>LAB Spray System</v>
      </c>
      <c r="C42" s="402" t="str">
        <f>IFERROR(__xludf.DUMMYFUNCTION("""COMPUTED_VALUE"""),"Olivier Lemieux")</f>
        <v>Olivier Lemieux</v>
      </c>
      <c r="D42" s="403" t="str">
        <f>IFERROR(__xludf.DUMMYFUNCTION("""COMPUTED_VALUE"""),"Spraying Systems")</f>
        <v>Spraying Systems</v>
      </c>
      <c r="E42" s="403" t="str">
        <f>IFERROR(__xludf.DUMMYFUNCTION("""COMPUTED_VALUE"""),"N/A")</f>
        <v>N/A</v>
      </c>
      <c r="F42" s="403" t="str">
        <f>IFERROR(__xludf.DUMMYFUNCTION("""COMPUTED_VALUE"""),"Phase 1.1")</f>
        <v>Phase 1.1</v>
      </c>
      <c r="G42" s="370"/>
      <c r="H42" s="370"/>
      <c r="I42" s="370"/>
      <c r="J42" s="370"/>
      <c r="K42" s="370"/>
      <c r="L42" s="370"/>
      <c r="M42" s="420">
        <f>IFERROR(__xludf.DUMMYFUNCTION("""COMPUTED_VALUE"""),0.0)</f>
        <v>0</v>
      </c>
      <c r="N42" s="417">
        <f>IFERROR(__xludf.DUMMYFUNCTION("""COMPUTED_VALUE"""),3.0)</f>
        <v>3</v>
      </c>
      <c r="O42" s="403">
        <f>IFERROR(__xludf.DUMMYFUNCTION("""COMPUTED_VALUE"""),0.0)</f>
        <v>0</v>
      </c>
      <c r="P42" s="420">
        <f>IFERROR(__xludf.DUMMYFUNCTION("""COMPUTED_VALUE"""),3.0)</f>
        <v>3</v>
      </c>
      <c r="Q42" s="392">
        <f>IFERROR(__xludf.DUMMYFUNCTION("""COMPUTED_VALUE"""),6.0)</f>
        <v>6</v>
      </c>
      <c r="R42" s="403" t="str">
        <f>IFERROR(__xludf.DUMMYFUNCTION("""COMPUTED_VALUE"""),"Spraying System")</f>
        <v>Spraying System</v>
      </c>
      <c r="S42" s="404">
        <f>IFERROR(__xludf.DUMMYFUNCTION("""COMPUTED_VALUE"""),125000.0)</f>
        <v>125000</v>
      </c>
      <c r="T42" s="404">
        <f>IFERROR(__xludf.DUMMYFUNCTION("""COMPUTED_VALUE"""),0.0)</f>
        <v>0</v>
      </c>
      <c r="U42" s="404">
        <f>IFERROR(__xludf.DUMMYFUNCTION("""COMPUTED_VALUE"""),0.0)</f>
        <v>0</v>
      </c>
      <c r="V42" s="404">
        <f>IFERROR(__xludf.DUMMYFUNCTION("""COMPUTED_VALUE"""),0.0)</f>
        <v>0</v>
      </c>
      <c r="W42" s="405">
        <f>IFERROR(__xludf.DUMMYFUNCTION("""COMPUTED_VALUE"""),0.0)</f>
        <v>0</v>
      </c>
      <c r="X42" s="404">
        <f>IFERROR(__xludf.DUMMYFUNCTION("""COMPUTED_VALUE"""),0.0)</f>
        <v>0</v>
      </c>
      <c r="Y42" s="404">
        <f>IFERROR(__xludf.DUMMYFUNCTION("""COMPUTED_VALUE"""),375000.0)</f>
        <v>375000</v>
      </c>
      <c r="Z42" s="404">
        <f>IFERROR(__xludf.DUMMYFUNCTION("""COMPUTED_VALUE"""),0.0)</f>
        <v>0</v>
      </c>
      <c r="AA42" s="404">
        <f>IFERROR(__xludf.DUMMYFUNCTION("""COMPUTED_VALUE"""),375000.0)</f>
        <v>375000</v>
      </c>
      <c r="AB42" s="404">
        <f>IFERROR(__xludf.DUMMYFUNCTION("""COMPUTED_VALUE"""),750000.0)</f>
        <v>750000</v>
      </c>
      <c r="AC42" s="406"/>
      <c r="AD42" s="419">
        <f>IFERROR(__xludf.DUMMYFUNCTION("""COMPUTED_VALUE"""),0.0)</f>
        <v>0</v>
      </c>
      <c r="AE42" s="408" t="str">
        <f>IFERROR(__xludf.DUMMYFUNCTION("""COMPUTED_VALUE"""),"TBD")</f>
        <v>TBD</v>
      </c>
      <c r="AF42" s="409">
        <f>IFERROR(__xludf.DUMMYFUNCTION("""COMPUTED_VALUE"""),0.0)</f>
        <v>0</v>
      </c>
      <c r="AG42" s="370"/>
      <c r="AH42" s="370"/>
      <c r="AI42" s="370"/>
      <c r="AJ42" s="403" t="str">
        <f>IFERROR(__xludf.DUMMYFUNCTION("""COMPUTED_VALUE"""),"N")</f>
        <v>N</v>
      </c>
      <c r="AK42" s="403" t="str">
        <f>IFERROR(__xludf.DUMMYFUNCTION("""COMPUTED_VALUE"""),"Y")</f>
        <v>Y</v>
      </c>
      <c r="AL42" s="403" t="str">
        <f>IFERROR(__xludf.DUMMYFUNCTION("""COMPUTED_VALUE"""),"N")</f>
        <v>N</v>
      </c>
      <c r="AM42" s="403" t="str">
        <f>IFERROR(__xludf.DUMMYFUNCTION("""COMPUTED_VALUE"""),"N")</f>
        <v>N</v>
      </c>
      <c r="AN42" s="403" t="str">
        <f>IFERROR(__xludf.DUMMYFUNCTION("""COMPUTED_VALUE"""),"N")</f>
        <v>N</v>
      </c>
      <c r="AO42" s="403" t="str">
        <f>IFERROR(__xludf.DUMMYFUNCTION("""COMPUTED_VALUE"""),"N")</f>
        <v>N</v>
      </c>
      <c r="AP42" s="370"/>
      <c r="AQ42" s="403" t="str">
        <f>IFERROR(__xludf.DUMMYFUNCTION("""COMPUTED_VALUE"""),"Phase 1.1")</f>
        <v>Phase 1.1</v>
      </c>
      <c r="AR42" s="403" t="str">
        <f>IFERROR(__xludf.DUMMYFUNCTION("""COMPUTED_VALUE"""),"Phase 1.1")</f>
        <v>Phase 1.1</v>
      </c>
      <c r="AS42" s="403" t="str">
        <f>IFERROR(__xludf.DUMMYFUNCTION("""COMPUTED_VALUE"""),"Phase 1.1")</f>
        <v>Phase 1.1</v>
      </c>
      <c r="AT42" s="403" t="str">
        <f>IFERROR(__xludf.DUMMYFUNCTION("""COMPUTED_VALUE"""),"Phase 1.1")</f>
        <v>Phase 1.1</v>
      </c>
      <c r="AU42" s="403" t="str">
        <f>IFERROR(__xludf.DUMMYFUNCTION("""COMPUTED_VALUE"""),"Phase 1.1")</f>
        <v>Phase 1.1</v>
      </c>
      <c r="AV42" s="403" t="str">
        <f>IFERROR(__xludf.DUMMYFUNCTION("""COMPUTED_VALUE"""),"Y")</f>
        <v>Y</v>
      </c>
      <c r="AW42" s="421" t="str">
        <f>IFERROR(__xludf.DUMMYFUNCTION("""COMPUTED_VALUE"""),"Move into place
Piping work (TBD)")</f>
        <v>Move into place
Piping work (TBD)</v>
      </c>
      <c r="AX42" s="403" t="str">
        <f>IFERROR(__xludf.DUMMYFUNCTION("""COMPUTED_VALUE"""),"N/A")</f>
        <v>N/A</v>
      </c>
      <c r="AY42" s="370"/>
      <c r="AZ42" s="412"/>
      <c r="BA42" s="413"/>
      <c r="BB42" s="413"/>
      <c r="BC42" s="413"/>
      <c r="BD42" s="413"/>
      <c r="BE42" s="414"/>
      <c r="BF42" s="415"/>
    </row>
    <row r="43" ht="27.0" customHeight="1">
      <c r="A43" s="400" t="str">
        <f>IFERROR(__xludf.DUMMYFUNCTION("""COMPUTED_VALUE"""),"E39")</f>
        <v>E39</v>
      </c>
      <c r="B43" s="401" t="str">
        <f>IFERROR(__xludf.DUMMYFUNCTION("""COMPUTED_VALUE"""),"Bento Printer (Tray)")</f>
        <v>Bento Printer (Tray)</v>
      </c>
      <c r="C43" s="402" t="str">
        <f>IFERROR(__xludf.DUMMYFUNCTION("""COMPUTED_VALUE"""),"Olivier Lemieux")</f>
        <v>Olivier Lemieux</v>
      </c>
      <c r="D43" s="403" t="str">
        <f>IFERROR(__xludf.DUMMYFUNCTION("""COMPUTED_VALUE"""),"Linx")</f>
        <v>Linx</v>
      </c>
      <c r="E43" s="403">
        <f>IFERROR(__xludf.DUMMYFUNCTION("""COMPUTED_VALUE"""),8920.0)</f>
        <v>8920</v>
      </c>
      <c r="F43" s="403" t="str">
        <f>IFERROR(__xludf.DUMMYFUNCTION("""COMPUTED_VALUE"""),"Ordered")</f>
        <v>Ordered</v>
      </c>
      <c r="G43" s="403" t="str">
        <f>IFERROR(__xludf.DUMMYFUNCTION("""COMPUTED_VALUE"""),"SAT")</f>
        <v>SAT</v>
      </c>
      <c r="H43" s="370"/>
      <c r="I43" s="403" t="str">
        <f>IFERROR(__xludf.DUMMYFUNCTION("""COMPUTED_VALUE"""),"RELEASED - Jan 27, 2025")</f>
        <v>RELEASED - Jan 27, 2025</v>
      </c>
      <c r="J43" s="403" t="str">
        <f>IFERROR(__xludf.DUMMYFUNCTION("""COMPUTED_VALUE"""),"P05400006DEFB")</f>
        <v>P05400006DEFB</v>
      </c>
      <c r="K43" s="403" t="str">
        <f>IFERROR(__xludf.DUMMYFUNCTION("""COMPUTED_VALUE"""),"FAT ~ June 5th and 6th")</f>
        <v>FAT ~ June 5th and 6th</v>
      </c>
      <c r="L43" s="403" t="str">
        <f>IFERROR(__xludf.DUMMYFUNCTION("""COMPUTED_VALUE"""),"YES")</f>
        <v>YES</v>
      </c>
      <c r="M43" s="403">
        <f>IFERROR(__xludf.DUMMYFUNCTION("""COMPUTED_VALUE"""),3.0)</f>
        <v>3</v>
      </c>
      <c r="N43" s="403">
        <f>IFERROR(__xludf.DUMMYFUNCTION("""COMPUTED_VALUE"""),0.0)</f>
        <v>0</v>
      </c>
      <c r="O43" s="403">
        <f>IFERROR(__xludf.DUMMYFUNCTION("""COMPUTED_VALUE"""),0.0)</f>
        <v>0</v>
      </c>
      <c r="P43" s="403">
        <f>IFERROR(__xludf.DUMMYFUNCTION("""COMPUTED_VALUE"""),3.0)</f>
        <v>3</v>
      </c>
      <c r="Q43" s="392">
        <f>IFERROR(__xludf.DUMMYFUNCTION("""COMPUTED_VALUE"""),6.0)</f>
        <v>6</v>
      </c>
      <c r="R43" s="403" t="str">
        <f>IFERROR(__xludf.DUMMYFUNCTION("""COMPUTED_VALUE"""),"Sismatec")</f>
        <v>Sismatec</v>
      </c>
      <c r="S43" s="404">
        <f>IFERROR(__xludf.DUMMYFUNCTION("""COMPUTED_VALUE"""),13914.999999999998)</f>
        <v>13915</v>
      </c>
      <c r="T43" s="404">
        <f>IFERROR(__xludf.DUMMYFUNCTION("""COMPUTED_VALUE"""),0.0)</f>
        <v>0</v>
      </c>
      <c r="U43" s="404">
        <f>IFERROR(__xludf.DUMMYFUNCTION("""COMPUTED_VALUE"""),0.0)</f>
        <v>0</v>
      </c>
      <c r="V43" s="404">
        <f>IFERROR(__xludf.DUMMYFUNCTION("""COMPUTED_VALUE"""),0.0)</f>
        <v>0</v>
      </c>
      <c r="W43" s="405">
        <f>IFERROR(__xludf.DUMMYFUNCTION("""COMPUTED_VALUE"""),41744.99999999999)</f>
        <v>41745</v>
      </c>
      <c r="X43" s="404">
        <f>IFERROR(__xludf.DUMMYFUNCTION("""COMPUTED_VALUE"""),41744.99999999999)</f>
        <v>41745</v>
      </c>
      <c r="Y43" s="404">
        <f>IFERROR(__xludf.DUMMYFUNCTION("""COMPUTED_VALUE"""),0.0)</f>
        <v>0</v>
      </c>
      <c r="Z43" s="404">
        <f>IFERROR(__xludf.DUMMYFUNCTION("""COMPUTED_VALUE"""),0.0)</f>
        <v>0</v>
      </c>
      <c r="AA43" s="404">
        <f>IFERROR(__xludf.DUMMYFUNCTION("""COMPUTED_VALUE"""),41744.99999999999)</f>
        <v>41745</v>
      </c>
      <c r="AB43" s="404">
        <f>IFERROR(__xludf.DUMMYFUNCTION("""COMPUTED_VALUE"""),83489.99999999999)</f>
        <v>83490</v>
      </c>
      <c r="AC43" s="406"/>
      <c r="AD43" s="407">
        <f>IFERROR(__xludf.DUMMYFUNCTION("""COMPUTED_VALUE"""),32620.32)</f>
        <v>32620.32</v>
      </c>
      <c r="AE43" s="408">
        <f>IFERROR(__xludf.DUMMYFUNCTION("""COMPUTED_VALUE"""),0.7814186130075459)</f>
        <v>0.781418613</v>
      </c>
      <c r="AF43" s="409">
        <f>IFERROR(__xludf.DUMMYFUNCTION("""COMPUTED_VALUE"""),-9124.679999999993)</f>
        <v>-9124.68</v>
      </c>
      <c r="AG43" s="370"/>
      <c r="AH43" s="370"/>
      <c r="AI43" s="370"/>
      <c r="AJ43" s="403" t="str">
        <f>IFERROR(__xludf.DUMMYFUNCTION("""COMPUTED_VALUE"""),"Y")</f>
        <v>Y</v>
      </c>
      <c r="AK43" s="403" t="str">
        <f>IFERROR(__xludf.DUMMYFUNCTION("""COMPUTED_VALUE"""),"Y")</f>
        <v>Y</v>
      </c>
      <c r="AL43" s="403" t="str">
        <f>IFERROR(__xludf.DUMMYFUNCTION("""COMPUTED_VALUE"""),"N")</f>
        <v>N</v>
      </c>
      <c r="AM43" s="403" t="str">
        <f>IFERROR(__xludf.DUMMYFUNCTION("""COMPUTED_VALUE"""),"N")</f>
        <v>N</v>
      </c>
      <c r="AN43" s="403" t="str">
        <f>IFERROR(__xludf.DUMMYFUNCTION("""COMPUTED_VALUE"""),"N")</f>
        <v>N</v>
      </c>
      <c r="AO43" s="403" t="str">
        <f>IFERROR(__xludf.DUMMYFUNCTION("""COMPUTED_VALUE"""),"N")</f>
        <v>N</v>
      </c>
      <c r="AP43" s="370"/>
      <c r="AQ43" s="403" t="str">
        <f>IFERROR(__xludf.DUMMYFUNCTION("""COMPUTED_VALUE"""),"FAT Complete")</f>
        <v>FAT Complete</v>
      </c>
      <c r="AR43" s="411">
        <f>IFERROR(__xludf.DUMMYFUNCTION("""COMPUTED_VALUE"""),46003.0)</f>
        <v>46003</v>
      </c>
      <c r="AS43" s="411">
        <f>IFERROR(__xludf.DUMMYFUNCTION("""COMPUTED_VALUE"""),46010.0)</f>
        <v>46010</v>
      </c>
      <c r="AT43" s="411">
        <f>IFERROR(__xludf.DUMMYFUNCTION("""COMPUTED_VALUE"""),46031.0)</f>
        <v>46031</v>
      </c>
      <c r="AU43" s="403" t="str">
        <f>IFERROR(__xludf.DUMMYFUNCTION("""COMPUTED_VALUE"""),"Delivered")</f>
        <v>Delivered</v>
      </c>
      <c r="AV43" s="403" t="str">
        <f>IFERROR(__xludf.DUMMYFUNCTION("""COMPUTED_VALUE"""),"Y")</f>
        <v>Y</v>
      </c>
      <c r="AW43" s="403" t="str">
        <f>IFERROR(__xludf.DUMMYFUNCTION("""COMPUTED_VALUE"""),"N")</f>
        <v>N</v>
      </c>
      <c r="AX43" s="403" t="str">
        <f>IFERROR(__xludf.DUMMYFUNCTION("""COMPUTED_VALUE"""),"500 US bentos")</f>
        <v>500 US bentos</v>
      </c>
      <c r="AY43" s="370"/>
      <c r="AZ43" s="412"/>
      <c r="BA43" s="413"/>
      <c r="BB43" s="413"/>
      <c r="BC43" s="413"/>
      <c r="BD43" s="413"/>
      <c r="BE43" s="414"/>
      <c r="BF43" s="415"/>
    </row>
    <row r="44">
      <c r="A44" s="400" t="str">
        <f>IFERROR(__xludf.DUMMYFUNCTION("""COMPUTED_VALUE"""),"E40")</f>
        <v>E40</v>
      </c>
      <c r="B44" s="401" t="str">
        <f>IFERROR(__xludf.DUMMYFUNCTION("""COMPUTED_VALUE"""),"Rack Washer Tunnel")</f>
        <v>Rack Washer Tunnel</v>
      </c>
      <c r="C44" s="402" t="str">
        <f>IFERROR(__xludf.DUMMYFUNCTION("""COMPUTED_VALUE"""),"Olivier Lemieux")</f>
        <v>Olivier Lemieux</v>
      </c>
      <c r="D44" s="403" t="str">
        <f>IFERROR(__xludf.DUMMYFUNCTION("""COMPUTED_VALUE"""),"Hobart")</f>
        <v>Hobart</v>
      </c>
      <c r="E44" s="403" t="str">
        <f>IFERROR(__xludf.DUMMYFUNCTION("""COMPUTED_VALUE"""),"ACW")</f>
        <v>ACW</v>
      </c>
      <c r="F44" s="403" t="str">
        <f>IFERROR(__xludf.DUMMYFUNCTION("""COMPUTED_VALUE"""),"Ordered")</f>
        <v>Ordered</v>
      </c>
      <c r="G44" s="403" t="str">
        <f>IFERROR(__xludf.DUMMYFUNCTION("""COMPUTED_VALUE"""),"SAT")</f>
        <v>SAT</v>
      </c>
      <c r="H44" s="370"/>
      <c r="I44" s="403" t="str">
        <f>IFERROR(__xludf.DUMMYFUNCTION("""COMPUTED_VALUE"""),"RELEASED - May 08, 2025")</f>
        <v>RELEASED - May 08, 2025</v>
      </c>
      <c r="J44" s="403" t="str">
        <f>IFERROR(__xludf.DUMMYFUNCTION("""COMPUTED_VALUE"""),"P05400020DEFB")</f>
        <v>P05400020DEFB</v>
      </c>
      <c r="K44" s="403" t="str">
        <f>IFERROR(__xludf.DUMMYFUNCTION("""COMPUTED_VALUE"""),"20 weeks")</f>
        <v>20 weeks</v>
      </c>
      <c r="L44" s="403" t="str">
        <f>IFERROR(__xludf.DUMMYFUNCTION("""COMPUTED_VALUE"""),"YES")</f>
        <v>YES</v>
      </c>
      <c r="M44" s="403">
        <f>IFERROR(__xludf.DUMMYFUNCTION("""COMPUTED_VALUE"""),1.0)</f>
        <v>1</v>
      </c>
      <c r="N44" s="403">
        <f>IFERROR(__xludf.DUMMYFUNCTION("""COMPUTED_VALUE"""),0.0)</f>
        <v>0</v>
      </c>
      <c r="O44" s="403">
        <f>IFERROR(__xludf.DUMMYFUNCTION("""COMPUTED_VALUE"""),0.0)</f>
        <v>0</v>
      </c>
      <c r="P44" s="403">
        <f>IFERROR(__xludf.DUMMYFUNCTION("""COMPUTED_VALUE"""),0.0)</f>
        <v>0</v>
      </c>
      <c r="Q44" s="392">
        <f>IFERROR(__xludf.DUMMYFUNCTION("""COMPUTED_VALUE"""),1.0)</f>
        <v>1</v>
      </c>
      <c r="R44" s="403" t="str">
        <f>IFERROR(__xludf.DUMMYFUNCTION("""COMPUTED_VALUE"""),"Hobart")</f>
        <v>Hobart</v>
      </c>
      <c r="S44" s="404">
        <f>IFERROR(__xludf.DUMMYFUNCTION("""COMPUTED_VALUE"""),400000.0)</f>
        <v>400000</v>
      </c>
      <c r="T44" s="404">
        <f>IFERROR(__xludf.DUMMYFUNCTION("""COMPUTED_VALUE"""),0.0)</f>
        <v>0</v>
      </c>
      <c r="U44" s="404">
        <f>IFERROR(__xludf.DUMMYFUNCTION("""COMPUTED_VALUE"""),0.0)</f>
        <v>0</v>
      </c>
      <c r="V44" s="404">
        <f>IFERROR(__xludf.DUMMYFUNCTION("""COMPUTED_VALUE"""),0.0)</f>
        <v>0</v>
      </c>
      <c r="W44" s="405">
        <f>IFERROR(__xludf.DUMMYFUNCTION("""COMPUTED_VALUE"""),360000.0)</f>
        <v>360000</v>
      </c>
      <c r="X44" s="404">
        <f>IFERROR(__xludf.DUMMYFUNCTION("""COMPUTED_VALUE"""),0.0)</f>
        <v>0</v>
      </c>
      <c r="Y44" s="404">
        <f>IFERROR(__xludf.DUMMYFUNCTION("""COMPUTED_VALUE"""),0.0)</f>
        <v>0</v>
      </c>
      <c r="Z44" s="404">
        <f>IFERROR(__xludf.DUMMYFUNCTION("""COMPUTED_VALUE"""),0.0)</f>
        <v>0</v>
      </c>
      <c r="AA44" s="404">
        <f>IFERROR(__xludf.DUMMYFUNCTION("""COMPUTED_VALUE"""),0.0)</f>
        <v>0</v>
      </c>
      <c r="AB44" s="404">
        <f>IFERROR(__xludf.DUMMYFUNCTION("""COMPUTED_VALUE"""),360000.0)</f>
        <v>360000</v>
      </c>
      <c r="AC44" s="406"/>
      <c r="AD44" s="407">
        <f>IFERROR(__xludf.DUMMYFUNCTION("""COMPUTED_VALUE"""),360000.0)</f>
        <v>360000</v>
      </c>
      <c r="AE44" s="408">
        <f>IFERROR(__xludf.DUMMYFUNCTION("""COMPUTED_VALUE"""),0.9)</f>
        <v>0.9</v>
      </c>
      <c r="AF44" s="409">
        <f>IFERROR(__xludf.DUMMYFUNCTION("""COMPUTED_VALUE"""),0.0)</f>
        <v>0</v>
      </c>
      <c r="AG44" s="370"/>
      <c r="AH44" s="370"/>
      <c r="AI44" s="370"/>
      <c r="AJ44" s="403" t="str">
        <f>IFERROR(__xludf.DUMMYFUNCTION("""COMPUTED_VALUE"""),"Y")</f>
        <v>Y</v>
      </c>
      <c r="AK44" s="403" t="str">
        <f>IFERROR(__xludf.DUMMYFUNCTION("""COMPUTED_VALUE"""),"Y")</f>
        <v>Y</v>
      </c>
      <c r="AL44" s="403" t="str">
        <f>IFERROR(__xludf.DUMMYFUNCTION("""COMPUTED_VALUE"""),"N")</f>
        <v>N</v>
      </c>
      <c r="AM44" s="403" t="str">
        <f>IFERROR(__xludf.DUMMYFUNCTION("""COMPUTED_VALUE"""),"N")</f>
        <v>N</v>
      </c>
      <c r="AN44" s="403" t="str">
        <f>IFERROR(__xludf.DUMMYFUNCTION("""COMPUTED_VALUE"""),"N")</f>
        <v>N</v>
      </c>
      <c r="AO44" s="403" t="str">
        <f>IFERROR(__xludf.DUMMYFUNCTION("""COMPUTED_VALUE"""),"N")</f>
        <v>N</v>
      </c>
      <c r="AP44" s="370"/>
      <c r="AQ44" s="403" t="str">
        <f>IFERROR(__xludf.DUMMYFUNCTION("""COMPUTED_VALUE"""),"FAT Complete")</f>
        <v>FAT Complete</v>
      </c>
      <c r="AR44" s="411">
        <f>IFERROR(__xludf.DUMMYFUNCTION("""COMPUTED_VALUE"""),46031.0)</f>
        <v>46031</v>
      </c>
      <c r="AS44" s="411">
        <f>IFERROR(__xludf.DUMMYFUNCTION("""COMPUTED_VALUE"""),46038.0)</f>
        <v>46038</v>
      </c>
      <c r="AT44" s="422">
        <f>IFERROR(__xludf.DUMMYFUNCTION("""COMPUTED_VALUE"""),46038.0)</f>
        <v>46038</v>
      </c>
      <c r="AU44" s="403" t="str">
        <f>IFERROR(__xludf.DUMMYFUNCTION("""COMPUTED_VALUE"""),"Ordered")</f>
        <v>Ordered</v>
      </c>
      <c r="AV44" s="403" t="str">
        <f>IFERROR(__xludf.DUMMYFUNCTION("""COMPUTED_VALUE"""),"Y")</f>
        <v>Y</v>
      </c>
      <c r="AW44" s="403" t="str">
        <f>IFERROR(__xludf.DUMMYFUNCTION("""COMPUTED_VALUE"""),"move into place
connect water
connect electricity
connect chemicals")</f>
        <v>move into place
connect water
connect electricity
connect chemicals</v>
      </c>
      <c r="AX44" s="403" t="str">
        <f>IFERROR(__xludf.DUMMYFUNCTION("""COMPUTED_VALUE"""),"Soiled racks - direct from prod")</f>
        <v>Soiled racks - direct from prod</v>
      </c>
      <c r="AY44" s="370"/>
      <c r="AZ44" s="412"/>
      <c r="BA44" s="413"/>
      <c r="BB44" s="413"/>
      <c r="BC44" s="413"/>
      <c r="BD44" s="413"/>
      <c r="BE44" s="414"/>
      <c r="BF44" s="415"/>
    </row>
    <row r="45" ht="27.0" customHeight="1">
      <c r="A45" s="400" t="str">
        <f>IFERROR(__xludf.DUMMYFUNCTION("""COMPUTED_VALUE"""),"E41")</f>
        <v>E41</v>
      </c>
      <c r="B45" s="401" t="str">
        <f>IFERROR(__xludf.DUMMYFUNCTION("""COMPUTED_VALUE"""),"Test Kitchen Blast Chiller")</f>
        <v>Test Kitchen Blast Chiller</v>
      </c>
      <c r="C45" s="402" t="str">
        <f>IFERROR(__xludf.DUMMYFUNCTION("""COMPUTED_VALUE"""),"Olivier Lemieux")</f>
        <v>Olivier Lemieux</v>
      </c>
      <c r="D45" s="403" t="str">
        <f>IFERROR(__xludf.DUMMYFUNCTION("""COMPUTED_VALUE"""),"Irinox")</f>
        <v>Irinox</v>
      </c>
      <c r="E45" s="403" t="str">
        <f>IFERROR(__xludf.DUMMYFUNCTION("""COMPUTED_VALUE"""),"Shock Freezer MF NEXT LL")</f>
        <v>Shock Freezer MF NEXT LL</v>
      </c>
      <c r="F45" s="403" t="str">
        <f>IFERROR(__xludf.DUMMYFUNCTION("""COMPUTED_VALUE"""),"Ordered")</f>
        <v>Ordered</v>
      </c>
      <c r="G45" s="370"/>
      <c r="H45" s="370"/>
      <c r="I45" s="403" t="str">
        <f>IFERROR(__xludf.DUMMYFUNCTION("""COMPUTED_VALUE"""),"RELEASED - SEPT 18, 2025")</f>
        <v>RELEASED - SEPT 18, 2025</v>
      </c>
      <c r="J45" s="403" t="str">
        <f>IFERROR(__xludf.DUMMYFUNCTION("""COMPUTED_VALUE"""),"P05400038DEFB")</f>
        <v>P05400038DEFB</v>
      </c>
      <c r="K45" s="403" t="str">
        <f>IFERROR(__xludf.DUMMYFUNCTION("""COMPUTED_VALUE"""),"5 weeks")</f>
        <v>5 weeks</v>
      </c>
      <c r="L45" s="403" t="str">
        <f>IFERROR(__xludf.DUMMYFUNCTION("""COMPUTED_VALUE"""),"NO")</f>
        <v>NO</v>
      </c>
      <c r="M45" s="403">
        <f>IFERROR(__xludf.DUMMYFUNCTION("""COMPUTED_VALUE"""),0.0)</f>
        <v>0</v>
      </c>
      <c r="N45" s="403">
        <f>IFERROR(__xludf.DUMMYFUNCTION("""COMPUTED_VALUE"""),0.0)</f>
        <v>0</v>
      </c>
      <c r="O45" s="403">
        <f>IFERROR(__xludf.DUMMYFUNCTION("""COMPUTED_VALUE"""),0.0)</f>
        <v>0</v>
      </c>
      <c r="P45" s="403">
        <f>IFERROR(__xludf.DUMMYFUNCTION("""COMPUTED_VALUE"""),0.0)</f>
        <v>0</v>
      </c>
      <c r="Q45" s="392">
        <f>IFERROR(__xludf.DUMMYFUNCTION("""COMPUTED_VALUE"""),1.0)</f>
        <v>1</v>
      </c>
      <c r="R45" s="403" t="str">
        <f>IFERROR(__xludf.DUMMYFUNCTION("""COMPUTED_VALUE"""),"Boettger")</f>
        <v>Boettger</v>
      </c>
      <c r="S45" s="404">
        <f>IFERROR(__xludf.DUMMYFUNCTION("""COMPUTED_VALUE"""),18913.68)</f>
        <v>18913.68</v>
      </c>
      <c r="T45" s="404">
        <f>IFERROR(__xludf.DUMMYFUNCTION("""COMPUTED_VALUE"""),0.0)</f>
        <v>0</v>
      </c>
      <c r="U45" s="404">
        <f>IFERROR(__xludf.DUMMYFUNCTION("""COMPUTED_VALUE"""),0.0)</f>
        <v>0</v>
      </c>
      <c r="V45" s="404">
        <f>IFERROR(__xludf.DUMMYFUNCTION("""COMPUTED_VALUE"""),0.0)</f>
        <v>0</v>
      </c>
      <c r="W45" s="405">
        <f>IFERROR(__xludf.DUMMYFUNCTION("""COMPUTED_VALUE"""),0.0)</f>
        <v>0</v>
      </c>
      <c r="X45" s="440" t="str">
        <f>IFERROR(__xludf.DUMMYFUNCTION("""COMPUTED_VALUE"""),"-")</f>
        <v>-</v>
      </c>
      <c r="Y45" s="404">
        <f>IFERROR(__xludf.DUMMYFUNCTION("""COMPUTED_VALUE"""),0.0)</f>
        <v>0</v>
      </c>
      <c r="Z45" s="404">
        <f>IFERROR(__xludf.DUMMYFUNCTION("""COMPUTED_VALUE"""),0.0)</f>
        <v>0</v>
      </c>
      <c r="AA45" s="404">
        <f>IFERROR(__xludf.DUMMYFUNCTION("""COMPUTED_VALUE"""),0.0)</f>
        <v>0</v>
      </c>
      <c r="AB45" s="404">
        <f>IFERROR(__xludf.DUMMYFUNCTION("""COMPUTED_VALUE"""),0.0)</f>
        <v>0</v>
      </c>
      <c r="AC45" s="418" t="str">
        <f>IFERROR(__xludf.DUMMYFUNCTION("""COMPUTED_VALUE"""),"requested to be purchased pre launch by Kaylyn T. via email Sept. 15, 2025")</f>
        <v>requested to be purchased pre launch by Kaylyn T. via email Sept. 15, 2025</v>
      </c>
      <c r="AD45" s="407">
        <f>IFERROR(__xludf.DUMMYFUNCTION("""COMPUTED_VALUE"""),18913.68)</f>
        <v>18913.68</v>
      </c>
      <c r="AE45" s="439" t="str">
        <f>IFERROR(__xludf.DUMMYFUNCTION("""COMPUTED_VALUE"""),"unplanned")</f>
        <v>unplanned</v>
      </c>
      <c r="AF45" s="409">
        <f>IFERROR(__xludf.DUMMYFUNCTION("""COMPUTED_VALUE"""),18913.68)</f>
        <v>18913.68</v>
      </c>
      <c r="AG45" s="403" t="str">
        <f>IFERROR(__xludf.DUMMYFUNCTION("""COMPUTED_VALUE"""),"N/A")</f>
        <v>N/A</v>
      </c>
      <c r="AH45" s="403" t="str">
        <f>IFERROR(__xludf.DUMMYFUNCTION("""COMPUTED_VALUE"""),"N/A")</f>
        <v>N/A</v>
      </c>
      <c r="AI45" s="403" t="str">
        <f>IFERROR(__xludf.DUMMYFUNCTION("""COMPUTED_VALUE"""),"No FSQA approval required - doesn't touch product - test kitchen only")</f>
        <v>No FSQA approval required - doesn't touch product - test kitchen only</v>
      </c>
      <c r="AJ45" s="403" t="str">
        <f>IFERROR(__xludf.DUMMYFUNCTION("""COMPUTED_VALUE"""),"N")</f>
        <v>N</v>
      </c>
      <c r="AK45" s="403" t="str">
        <f>IFERROR(__xludf.DUMMYFUNCTION("""COMPUTED_VALUE"""),"N")</f>
        <v>N</v>
      </c>
      <c r="AL45" s="403" t="str">
        <f>IFERROR(__xludf.DUMMYFUNCTION("""COMPUTED_VALUE"""),"Y")</f>
        <v>Y</v>
      </c>
      <c r="AM45" s="403" t="str">
        <f>IFERROR(__xludf.DUMMYFUNCTION("""COMPUTED_VALUE"""),"Y")</f>
        <v>Y</v>
      </c>
      <c r="AN45" s="403" t="str">
        <f>IFERROR(__xludf.DUMMYFUNCTION("""COMPUTED_VALUE"""),"N")</f>
        <v>N</v>
      </c>
      <c r="AO45" s="403" t="str">
        <f>IFERROR(__xludf.DUMMYFUNCTION("""COMPUTED_VALUE"""),"N")</f>
        <v>N</v>
      </c>
      <c r="AP45" s="370"/>
      <c r="AQ45" s="403" t="str">
        <f>IFERROR(__xludf.DUMMYFUNCTION("""COMPUTED_VALUE"""),"Not Req")</f>
        <v>Not Req</v>
      </c>
      <c r="AR45" s="411">
        <f>IFERROR(__xludf.DUMMYFUNCTION("""COMPUTED_VALUE"""),46009.0)</f>
        <v>46009</v>
      </c>
      <c r="AS45" s="411">
        <f>IFERROR(__xludf.DUMMYFUNCTION("""COMPUTED_VALUE"""),46009.0)</f>
        <v>46009</v>
      </c>
      <c r="AT45" s="411">
        <f>IFERROR(__xludf.DUMMYFUNCTION("""COMPUTED_VALUE"""),46009.0)</f>
        <v>46009</v>
      </c>
      <c r="AU45" s="403" t="str">
        <f>IFERROR(__xludf.DUMMYFUNCTION("""COMPUTED_VALUE"""),"Planned")</f>
        <v>Planned</v>
      </c>
      <c r="AV45" s="403" t="str">
        <f>IFERROR(__xludf.DUMMYFUNCTION("""COMPUTED_VALUE"""),"Y")</f>
        <v>Y</v>
      </c>
      <c r="AW45" s="403" t="str">
        <f>IFERROR(__xludf.DUMMYFUNCTION("""COMPUTED_VALUE"""),"N")</f>
        <v>N</v>
      </c>
      <c r="AX45" s="403" t="str">
        <f>IFERROR(__xludf.DUMMYFUNCTION("""COMPUTED_VALUE"""),"N/A")</f>
        <v>N/A</v>
      </c>
      <c r="AY45" s="370"/>
      <c r="AZ45" s="412"/>
      <c r="BA45" s="413"/>
      <c r="BB45" s="413"/>
      <c r="BC45" s="413"/>
      <c r="BD45" s="413"/>
      <c r="BE45" s="414"/>
      <c r="BF45" s="415"/>
    </row>
    <row r="46" ht="27.0" customHeight="1">
      <c r="A46" s="441" t="str">
        <f>IFERROR(__xludf.DUMMYFUNCTION("""COMPUTED_VALUE"""),"E42")</f>
        <v>E42</v>
      </c>
      <c r="B46" s="442" t="str">
        <f>IFERROR(__xludf.DUMMYFUNCTION("""COMPUTED_VALUE"""),"Test Kitchen Braiser")</f>
        <v>Test Kitchen Braiser</v>
      </c>
      <c r="C46" s="443" t="str">
        <f>IFERROR(__xludf.DUMMYFUNCTION("""COMPUTED_VALUE"""),"Olivier Lemieux")</f>
        <v>Olivier Lemieux</v>
      </c>
      <c r="D46" s="370" t="str">
        <f>IFERROR(__xludf.DUMMYFUNCTION("""COMPUTED_VALUE"""),"Rational")</f>
        <v>Rational</v>
      </c>
      <c r="E46" s="370" t="str">
        <f>IFERROR(__xludf.DUMMYFUNCTION("""COMPUTED_VALUE"""),"iVario 2-S")</f>
        <v>iVario 2-S</v>
      </c>
      <c r="F46" s="370" t="str">
        <f>IFERROR(__xludf.DUMMYFUNCTION("""COMPUTED_VALUE"""),"Ordered")</f>
        <v>Ordered</v>
      </c>
      <c r="G46" s="370"/>
      <c r="H46" s="370"/>
      <c r="I46" s="370" t="str">
        <f>IFERROR(__xludf.DUMMYFUNCTION("""COMPUTED_VALUE"""),"RELEASED - APRIL 02, 2026")</f>
        <v>RELEASED - APRIL 02, 2026</v>
      </c>
      <c r="J46" s="370" t="str">
        <f>IFERROR(__xludf.DUMMYFUNCTION("""COMPUTED_VALUE"""),"P05400090DEFB")</f>
        <v>P05400090DEFB</v>
      </c>
      <c r="K46" s="370" t="str">
        <f>IFERROR(__xludf.DUMMYFUNCTION("""COMPUTED_VALUE"""),"3 weeks
(was in stock)")</f>
        <v>3 weeks
(was in stock)</v>
      </c>
      <c r="L46" s="370" t="str">
        <f>IFERROR(__xludf.DUMMYFUNCTION("""COMPUTED_VALUE"""),"NO")</f>
        <v>NO</v>
      </c>
      <c r="M46" s="370">
        <f>IFERROR(__xludf.DUMMYFUNCTION("""COMPUTED_VALUE"""),0.0)</f>
        <v>0</v>
      </c>
      <c r="N46" s="370">
        <f>IFERROR(__xludf.DUMMYFUNCTION("""COMPUTED_VALUE"""),0.0)</f>
        <v>0</v>
      </c>
      <c r="O46" s="370">
        <f>IFERROR(__xludf.DUMMYFUNCTION("""COMPUTED_VALUE"""),0.0)</f>
        <v>0</v>
      </c>
      <c r="P46" s="370">
        <f>IFERROR(__xludf.DUMMYFUNCTION("""COMPUTED_VALUE"""),0.0)</f>
        <v>0</v>
      </c>
      <c r="Q46" s="370">
        <f>IFERROR(__xludf.DUMMYFUNCTION("""COMPUTED_VALUE"""),1.0)</f>
        <v>1</v>
      </c>
      <c r="R46" s="370" t="str">
        <f>IFERROR(__xludf.DUMMYFUNCTION("""COMPUTED_VALUE"""),"Boettger")</f>
        <v>Boettger</v>
      </c>
      <c r="S46" s="444">
        <f>IFERROR(__xludf.DUMMYFUNCTION("""COMPUTED_VALUE"""),14201.09)</f>
        <v>14201.09</v>
      </c>
      <c r="T46" s="407">
        <f>IFERROR(__xludf.DUMMYFUNCTION("""COMPUTED_VALUE"""),0.0)</f>
        <v>0</v>
      </c>
      <c r="U46" s="407">
        <f>IFERROR(__xludf.DUMMYFUNCTION("""COMPUTED_VALUE"""),0.0)</f>
        <v>0</v>
      </c>
      <c r="V46" s="407">
        <f>IFERROR(__xludf.DUMMYFUNCTION("""COMPUTED_VALUE"""),0.0)</f>
        <v>0</v>
      </c>
      <c r="W46" s="405">
        <f>IFERROR(__xludf.DUMMYFUNCTION("""COMPUTED_VALUE"""),0.0)</f>
        <v>0</v>
      </c>
      <c r="X46" s="407" t="str">
        <f>IFERROR(__xludf.DUMMYFUNCTION("""COMPUTED_VALUE"""),"-")</f>
        <v>-</v>
      </c>
      <c r="Y46" s="407">
        <f>IFERROR(__xludf.DUMMYFUNCTION("""COMPUTED_VALUE"""),0.0)</f>
        <v>0</v>
      </c>
      <c r="Z46" s="407">
        <f>IFERROR(__xludf.DUMMYFUNCTION("""COMPUTED_VALUE"""),0.0)</f>
        <v>0</v>
      </c>
      <c r="AA46" s="407">
        <f>IFERROR(__xludf.DUMMYFUNCTION("""COMPUTED_VALUE"""),0.0)</f>
        <v>0</v>
      </c>
      <c r="AB46" s="407">
        <f>IFERROR(__xludf.DUMMYFUNCTION("""COMPUTED_VALUE"""),0.0)</f>
        <v>0</v>
      </c>
      <c r="AC46" s="445" t="str">
        <f>IFERROR(__xludf.DUMMYFUNCTION("""COMPUTED_VALUE"""),"approved to be purchased pre launch by Kaylyn T. April 2, 2026")</f>
        <v>approved to be purchased pre launch by Kaylyn T. April 2, 2026</v>
      </c>
      <c r="AD46" s="407">
        <f>IFERROR(__xludf.DUMMYFUNCTION("""COMPUTED_VALUE"""),14201.0)</f>
        <v>14201</v>
      </c>
      <c r="AE46" s="408" t="str">
        <f>IFERROR(__xludf.DUMMYFUNCTION("""COMPUTED_VALUE"""),"unplanned")</f>
        <v>unplanned</v>
      </c>
      <c r="AF46" s="409">
        <f>IFERROR(__xludf.DUMMYFUNCTION("""COMPUTED_VALUE"""),14201.0)</f>
        <v>14201</v>
      </c>
      <c r="AG46" s="370" t="str">
        <f>IFERROR(__xludf.DUMMYFUNCTION("""COMPUTED_VALUE"""),"N/A")</f>
        <v>N/A</v>
      </c>
      <c r="AH46" s="370" t="str">
        <f>IFERROR(__xludf.DUMMYFUNCTION("""COMPUTED_VALUE"""),"N/A")</f>
        <v>N/A</v>
      </c>
      <c r="AI46" s="370" t="str">
        <f>IFERROR(__xludf.DUMMYFUNCTION("""COMPUTED_VALUE"""),"No FSQA approval required - doesn't touch product - test kitchen only")</f>
        <v>No FSQA approval required - doesn't touch product - test kitchen only</v>
      </c>
      <c r="AJ46" s="370" t="str">
        <f>IFERROR(__xludf.DUMMYFUNCTION("""COMPUTED_VALUE"""),"N")</f>
        <v>N</v>
      </c>
      <c r="AK46" s="370" t="str">
        <f>IFERROR(__xludf.DUMMYFUNCTION("""COMPUTED_VALUE"""),"N")</f>
        <v>N</v>
      </c>
      <c r="AL46" s="370" t="str">
        <f>IFERROR(__xludf.DUMMYFUNCTION("""COMPUTED_VALUE"""),"Y")</f>
        <v>Y</v>
      </c>
      <c r="AM46" s="370" t="str">
        <f>IFERROR(__xludf.DUMMYFUNCTION("""COMPUTED_VALUE"""),"Y")</f>
        <v>Y</v>
      </c>
      <c r="AN46" s="370" t="str">
        <f>IFERROR(__xludf.DUMMYFUNCTION("""COMPUTED_VALUE"""),"N")</f>
        <v>N</v>
      </c>
      <c r="AO46" s="370" t="str">
        <f>IFERROR(__xludf.DUMMYFUNCTION("""COMPUTED_VALUE"""),"N")</f>
        <v>N</v>
      </c>
      <c r="AP46" s="370"/>
      <c r="AQ46" s="370" t="str">
        <f>IFERROR(__xludf.DUMMYFUNCTION("""COMPUTED_VALUE"""),"Not Req")</f>
        <v>Not Req</v>
      </c>
      <c r="AR46" s="370" t="str">
        <f>IFERROR(__xludf.DUMMYFUNCTION("""COMPUTED_VALUE"""),"Not Req")</f>
        <v>Not Req</v>
      </c>
      <c r="AS46" s="370" t="str">
        <f>IFERROR(__xludf.DUMMYFUNCTION("""COMPUTED_VALUE"""),"Not Req")</f>
        <v>Not Req</v>
      </c>
      <c r="AT46" s="370" t="str">
        <f>IFERROR(__xludf.DUMMYFUNCTION("""COMPUTED_VALUE"""),"Not Req")</f>
        <v>Not Req</v>
      </c>
      <c r="AU46" s="370" t="str">
        <f>IFERROR(__xludf.DUMMYFUNCTION("""COMPUTED_VALUE"""),"Not Req")</f>
        <v>Not Req</v>
      </c>
      <c r="AV46" s="370" t="str">
        <f>IFERROR(__xludf.DUMMYFUNCTION("""COMPUTED_VALUE"""),"Y")</f>
        <v>Y</v>
      </c>
      <c r="AW46" s="370" t="str">
        <f>IFERROR(__xludf.DUMMYFUNCTION("""COMPUTED_VALUE"""),"Provisions in place")</f>
        <v>Provisions in place</v>
      </c>
      <c r="AX46" s="370" t="str">
        <f>IFERROR(__xludf.DUMMYFUNCTION("""COMPUTED_VALUE"""),"N/A")</f>
        <v>N/A</v>
      </c>
      <c r="AY46" s="370"/>
      <c r="AZ46" s="412"/>
      <c r="BA46" s="446"/>
      <c r="BB46" s="446"/>
      <c r="BC46" s="446"/>
      <c r="BD46" s="446"/>
      <c r="BE46" s="414"/>
      <c r="BF46" s="415"/>
    </row>
    <row r="47" ht="27.0" customHeight="1">
      <c r="A47" s="135"/>
      <c r="B47" s="447"/>
      <c r="C47" s="212"/>
      <c r="D47" s="212"/>
      <c r="E47" s="212"/>
      <c r="F47" s="212"/>
      <c r="G47" s="212"/>
      <c r="H47" s="212"/>
      <c r="I47" s="212"/>
      <c r="J47" s="212"/>
      <c r="K47" s="212"/>
      <c r="L47" s="212"/>
      <c r="M47" s="212"/>
      <c r="N47" s="212"/>
      <c r="O47" s="212"/>
      <c r="P47" s="212"/>
      <c r="Q47" s="212"/>
      <c r="R47" s="212"/>
      <c r="S47" s="448" t="str">
        <f>IFERROR(__xludf.DUMMYFUNCTION("""COMPUTED_VALUE"""),"CONTINGENCY ")</f>
        <v>CONTINGENCY </v>
      </c>
      <c r="T47" s="407">
        <f>IFERROR(__xludf.DUMMYFUNCTION("""COMPUTED_VALUE"""),0.0)</f>
        <v>0</v>
      </c>
      <c r="U47" s="407">
        <f>IFERROR(__xludf.DUMMYFUNCTION("""COMPUTED_VALUE"""),0.0)</f>
        <v>0</v>
      </c>
      <c r="V47" s="407">
        <f>IFERROR(__xludf.DUMMYFUNCTION("""COMPUTED_VALUE"""),0.0)</f>
        <v>0</v>
      </c>
      <c r="W47" s="449">
        <f>IFERROR(__xludf.DUMMYFUNCTION("""COMPUTED_VALUE"""),0.0)</f>
        <v>0</v>
      </c>
      <c r="X47" s="407">
        <f>IFERROR(__xludf.DUMMYFUNCTION("""COMPUTED_VALUE"""),0.0)</f>
        <v>0</v>
      </c>
      <c r="Y47" s="407">
        <f>IFERROR(__xludf.DUMMYFUNCTION("""COMPUTED_VALUE"""),0.0)</f>
        <v>0</v>
      </c>
      <c r="Z47" s="438">
        <f>IFERROR(__xludf.DUMMYFUNCTION("""COMPUTED_VALUE"""),0.0)</f>
        <v>0</v>
      </c>
      <c r="AA47" s="407">
        <f>IFERROR(__xludf.DUMMYFUNCTION("""COMPUTED_VALUE"""),0.0)</f>
        <v>0</v>
      </c>
      <c r="AB47" s="407">
        <f>IFERROR(__xludf.DUMMYFUNCTION("""COMPUTED_VALUE"""),0.0)</f>
        <v>0</v>
      </c>
      <c r="AC47" s="212"/>
      <c r="AD47" s="407">
        <f>IFERROR(__xludf.DUMMYFUNCTION("""COMPUTED_VALUE"""),0.0)</f>
        <v>0</v>
      </c>
      <c r="AE47" s="450">
        <f>IFERROR(__xludf.DUMMYFUNCTION("""COMPUTED_VALUE"""),0.0)</f>
        <v>0</v>
      </c>
      <c r="AF47" s="407">
        <f>IFERROR(__xludf.DUMMYFUNCTION("""COMPUTED_VALUE"""),0.0)</f>
        <v>0</v>
      </c>
      <c r="AG47" s="212"/>
      <c r="AH47" s="212"/>
      <c r="AI47" s="212"/>
      <c r="AJ47" s="212"/>
      <c r="AK47" s="212"/>
      <c r="AL47" s="451"/>
      <c r="AM47" s="212"/>
      <c r="AN47" s="212"/>
      <c r="AO47" s="212"/>
      <c r="AP47" s="212"/>
      <c r="AQ47" s="212"/>
      <c r="AR47" s="212"/>
      <c r="AS47" s="212"/>
      <c r="AT47" s="212"/>
      <c r="AU47" s="212"/>
      <c r="AV47" s="212"/>
      <c r="AW47" s="212"/>
      <c r="AX47" s="212"/>
      <c r="AY47" s="212"/>
      <c r="AZ47" s="452"/>
      <c r="BA47" s="212"/>
      <c r="BB47" s="212"/>
      <c r="BC47" s="212"/>
      <c r="BD47" s="212"/>
      <c r="BE47" s="453"/>
      <c r="BF47" s="452"/>
    </row>
    <row r="48" ht="27.0" customHeight="1">
      <c r="A48" s="135"/>
      <c r="B48" s="447"/>
      <c r="C48" s="212"/>
      <c r="D48" s="212"/>
      <c r="E48" s="212"/>
      <c r="F48" s="212"/>
      <c r="G48" s="212"/>
      <c r="H48" s="212"/>
      <c r="I48" s="212"/>
      <c r="J48" s="212"/>
      <c r="K48" s="212"/>
      <c r="L48" s="212"/>
      <c r="M48" s="212"/>
      <c r="N48" s="212"/>
      <c r="O48" s="212"/>
      <c r="P48" s="212"/>
      <c r="Q48" s="212"/>
      <c r="R48" s="212"/>
      <c r="S48" s="212" t="str">
        <f>IFERROR(__xludf.DUMMYFUNCTION("""COMPUTED_VALUE"""),"TOTAL (EUR) ")</f>
        <v>TOTAL (EUR) </v>
      </c>
      <c r="T48" s="454">
        <f>IFERROR(__xludf.DUMMYFUNCTION("""COMPUTED_VALUE"""),6717810.761904762)</f>
        <v>6717810.762</v>
      </c>
      <c r="U48" s="454">
        <f>IFERROR(__xludf.DUMMYFUNCTION("""COMPUTED_VALUE"""),4173367.238095238)</f>
        <v>4173367.238</v>
      </c>
      <c r="V48" s="454">
        <f>IFERROR(__xludf.DUMMYFUNCTION("""COMPUTED_VALUE"""),1.0891178E7)</f>
        <v>10891178</v>
      </c>
      <c r="W48" s="454">
        <f>IFERROR(__xludf.DUMMYFUNCTION("""COMPUTED_VALUE"""),5286647.089499998)</f>
        <v>5286647.09</v>
      </c>
      <c r="X48" s="454">
        <f>IFERROR(__xludf.DUMMYFUNCTION("""COMPUTED_VALUE"""),5699817.724525499)</f>
        <v>5699817.725</v>
      </c>
      <c r="Y48" s="454">
        <f>IFERROR(__xludf.DUMMYFUNCTION("""COMPUTED_VALUE"""),1359298.9266666668)</f>
        <v>1359298.927</v>
      </c>
      <c r="Z48" s="454">
        <f>IFERROR(__xludf.DUMMYFUNCTION("""COMPUTED_VALUE"""),462617.51602549996)</f>
        <v>462617.516</v>
      </c>
      <c r="AA48" s="454">
        <f>IFERROR(__xludf.DUMMYFUNCTION("""COMPUTED_VALUE"""),4250686.189358833)</f>
        <v>4250686.189</v>
      </c>
      <c r="AB48" s="454">
        <f>IFERROR(__xludf.DUMMYFUNCTION("""COMPUTED_VALUE"""),1.1359249721550997E7)</f>
        <v>11359249.72</v>
      </c>
      <c r="AC48" s="212"/>
      <c r="AD48" s="454">
        <f>IFERROR(__xludf.DUMMYFUNCTION("""COMPUTED_VALUE"""),5296377.53)</f>
        <v>5296377.53</v>
      </c>
      <c r="AE48" s="450"/>
      <c r="AF48" s="454">
        <f>IFERROR(__xludf.DUMMYFUNCTION("""COMPUTED_VALUE"""),9730.440500000212)</f>
        <v>9730.4405</v>
      </c>
      <c r="AG48" s="212"/>
      <c r="AH48" s="212"/>
      <c r="AI48" s="212"/>
      <c r="AJ48" s="212"/>
      <c r="AK48" s="212"/>
      <c r="AL48" s="212" t="str">
        <f>IFERROR(__xludf.DUMMYFUNCTION("""COMPUTED_VALUE""")," ")</f>
        <v> </v>
      </c>
      <c r="AM48" s="212"/>
      <c r="AN48" s="212"/>
      <c r="AO48" s="212"/>
      <c r="AP48" s="212"/>
      <c r="AQ48" s="212"/>
      <c r="AR48" s="212"/>
      <c r="AS48" s="212"/>
      <c r="AT48" s="212"/>
      <c r="AU48" s="212"/>
      <c r="AV48" s="212"/>
      <c r="AW48" s="212"/>
      <c r="AX48" s="212"/>
      <c r="AY48" s="212"/>
      <c r="AZ48" s="452"/>
      <c r="BA48" s="212"/>
      <c r="BB48" s="212"/>
      <c r="BC48" s="212"/>
      <c r="BD48" s="212"/>
      <c r="BE48" s="455"/>
      <c r="BF48" s="452"/>
    </row>
    <row r="49">
      <c r="A49" s="212"/>
      <c r="B49" s="447"/>
      <c r="C49" s="212"/>
      <c r="D49" s="212"/>
      <c r="E49" s="212"/>
      <c r="F49" s="212"/>
      <c r="G49" s="212"/>
      <c r="H49" s="212"/>
      <c r="I49" s="212"/>
      <c r="J49" s="212"/>
      <c r="K49" s="212"/>
      <c r="L49" s="212"/>
      <c r="M49" s="212"/>
      <c r="N49" s="212"/>
      <c r="O49" s="212"/>
      <c r="P49" s="212"/>
      <c r="Q49" s="212"/>
      <c r="R49" s="212"/>
      <c r="S49" s="212"/>
      <c r="T49" s="212"/>
      <c r="U49" s="212"/>
      <c r="V49" s="212"/>
      <c r="W49" s="456"/>
      <c r="X49" s="212"/>
      <c r="Y49" s="212"/>
      <c r="Z49" s="212"/>
      <c r="AA49" s="212"/>
      <c r="AB49" s="212"/>
      <c r="AC49" s="212"/>
      <c r="AD49" s="212"/>
      <c r="AE49" s="450"/>
      <c r="AF49" s="212"/>
      <c r="AG49" s="212"/>
      <c r="AH49" s="212"/>
      <c r="AI49" s="212"/>
      <c r="AJ49" s="212"/>
      <c r="AK49" s="212"/>
      <c r="AL49" s="212"/>
      <c r="AM49" s="212"/>
      <c r="AN49" s="212"/>
      <c r="AO49" s="212"/>
      <c r="AP49" s="212"/>
      <c r="AQ49" s="212"/>
      <c r="AR49" s="212"/>
      <c r="AS49" s="212"/>
      <c r="AT49" s="212"/>
      <c r="AU49" s="212"/>
      <c r="AV49" s="212"/>
      <c r="AW49" s="212"/>
      <c r="AX49" s="212"/>
      <c r="AY49" s="212"/>
      <c r="AZ49" s="452"/>
      <c r="BA49" s="212"/>
      <c r="BB49" s="212"/>
      <c r="BC49" s="212"/>
      <c r="BD49" s="212"/>
      <c r="BE49" s="455"/>
      <c r="BF49" s="452"/>
    </row>
    <row r="50">
      <c r="A50" s="212"/>
      <c r="B50" s="447"/>
      <c r="C50" s="212"/>
      <c r="D50" s="212"/>
      <c r="E50" s="212"/>
      <c r="F50" s="212"/>
      <c r="G50" s="212"/>
      <c r="H50" s="212"/>
      <c r="I50" s="212"/>
      <c r="J50" s="212"/>
      <c r="K50" s="212"/>
      <c r="L50" s="212"/>
      <c r="M50" s="212"/>
      <c r="N50" s="212"/>
      <c r="O50" s="212"/>
      <c r="P50" s="212"/>
      <c r="Q50" s="212"/>
      <c r="R50" s="212"/>
      <c r="S50" s="212"/>
      <c r="T50" s="212"/>
      <c r="U50" s="212"/>
      <c r="V50" s="212"/>
      <c r="W50" s="457">
        <f>IFERROR(__xludf.DUMMYFUNCTION("""COMPUTED_VALUE"""),5286648.0)</f>
        <v>5286648</v>
      </c>
      <c r="X50" s="451"/>
      <c r="Y50" s="212"/>
      <c r="Z50" s="212"/>
      <c r="AA50" s="212"/>
      <c r="AB50" s="212"/>
      <c r="AC50" s="212"/>
      <c r="AD50" s="212"/>
      <c r="AE50" s="450"/>
      <c r="AF50" s="212"/>
      <c r="AG50" s="212"/>
      <c r="AH50" s="212"/>
      <c r="AI50" s="212"/>
      <c r="AJ50" s="212"/>
      <c r="AK50" s="212"/>
      <c r="AL50" s="212"/>
      <c r="AM50" s="212"/>
      <c r="AN50" s="212"/>
      <c r="AO50" s="212"/>
      <c r="AP50" s="212"/>
      <c r="AQ50" s="212"/>
      <c r="AR50" s="212"/>
      <c r="AS50" s="212"/>
      <c r="AT50" s="212"/>
      <c r="AU50" s="212"/>
      <c r="AV50" s="212"/>
      <c r="AW50" s="212"/>
      <c r="AX50" s="212"/>
      <c r="AY50" s="212"/>
      <c r="AZ50" s="452"/>
      <c r="BA50" s="212"/>
      <c r="BB50" s="212"/>
      <c r="BC50" s="212"/>
      <c r="BD50" s="212"/>
      <c r="BE50" s="455"/>
      <c r="BF50" s="452"/>
    </row>
    <row r="51">
      <c r="A51" s="212"/>
      <c r="B51" s="447"/>
      <c r="C51" s="212"/>
      <c r="D51" s="212"/>
      <c r="E51" s="212"/>
      <c r="F51" s="212"/>
      <c r="G51" s="212"/>
      <c r="H51" s="212"/>
      <c r="I51" s="212"/>
      <c r="J51" s="212"/>
      <c r="K51" s="212"/>
      <c r="L51" s="212"/>
      <c r="M51" s="212"/>
      <c r="N51" s="212"/>
      <c r="O51" s="212"/>
      <c r="P51" s="212"/>
      <c r="Q51" s="212"/>
      <c r="R51" s="451"/>
      <c r="S51" s="451"/>
      <c r="T51" s="212"/>
      <c r="U51" s="451"/>
      <c r="V51" s="451"/>
      <c r="W51" s="451"/>
      <c r="X51" s="451"/>
      <c r="Y51" s="212"/>
      <c r="Z51" s="212"/>
      <c r="AA51" s="212"/>
      <c r="AB51" s="212"/>
      <c r="AC51" s="212"/>
      <c r="AD51" s="212"/>
      <c r="AE51" s="450"/>
      <c r="AF51" s="212"/>
      <c r="AG51" s="212"/>
      <c r="AH51" s="212"/>
      <c r="AI51" s="212"/>
      <c r="AJ51" s="212"/>
      <c r="AK51" s="212"/>
      <c r="AL51" s="212"/>
      <c r="AM51" s="212"/>
      <c r="AN51" s="212"/>
      <c r="AO51" s="212"/>
      <c r="AP51" s="212"/>
      <c r="AQ51" s="212"/>
      <c r="AR51" s="212"/>
      <c r="AS51" s="212"/>
      <c r="AT51" s="212"/>
      <c r="AU51" s="212"/>
      <c r="AV51" s="212"/>
      <c r="AW51" s="212"/>
      <c r="AX51" s="212"/>
      <c r="AY51" s="212"/>
      <c r="AZ51" s="452"/>
      <c r="BA51" s="212"/>
      <c r="BB51" s="212"/>
      <c r="BC51" s="212"/>
      <c r="BD51" s="212"/>
      <c r="BE51" s="455"/>
      <c r="BF51" s="452"/>
    </row>
    <row r="52">
      <c r="A52" s="212"/>
      <c r="B52" s="447"/>
      <c r="C52" s="212"/>
      <c r="D52" s="212"/>
      <c r="E52" s="212"/>
      <c r="F52" s="212"/>
      <c r="G52" s="212"/>
      <c r="H52" s="212"/>
      <c r="I52" s="212"/>
      <c r="J52" s="212"/>
      <c r="K52" s="212"/>
      <c r="L52" s="212"/>
      <c r="M52" s="212"/>
      <c r="N52" s="212"/>
      <c r="O52" s="212"/>
      <c r="P52" s="212"/>
      <c r="Q52" s="212"/>
      <c r="R52" s="451"/>
      <c r="S52" s="451"/>
      <c r="T52" s="212"/>
      <c r="U52" s="451"/>
      <c r="V52" s="451"/>
      <c r="W52" s="451"/>
      <c r="X52" s="451"/>
      <c r="Y52" s="212"/>
      <c r="Z52" s="212"/>
      <c r="AA52" s="212"/>
      <c r="AB52" s="212"/>
      <c r="AC52" s="212"/>
      <c r="AD52" s="212"/>
      <c r="AE52" s="450"/>
      <c r="AF52" s="212"/>
      <c r="AG52" s="212"/>
      <c r="AH52" s="212"/>
      <c r="AI52" s="212"/>
      <c r="AJ52" s="212"/>
      <c r="AK52" s="212"/>
      <c r="AL52" s="212"/>
      <c r="AM52" s="212"/>
      <c r="AN52" s="212"/>
      <c r="AO52" s="212"/>
      <c r="AP52" s="212"/>
      <c r="AQ52" s="212"/>
      <c r="AR52" s="212"/>
      <c r="AS52" s="212"/>
      <c r="AT52" s="212"/>
      <c r="AU52" s="212"/>
      <c r="AV52" s="212"/>
      <c r="AW52" s="212"/>
      <c r="AX52" s="212"/>
      <c r="AY52" s="212"/>
      <c r="AZ52" s="452"/>
      <c r="BA52" s="212"/>
      <c r="BB52" s="212"/>
      <c r="BC52" s="212"/>
      <c r="BD52" s="212"/>
      <c r="BE52" s="455"/>
      <c r="BF52" s="452"/>
    </row>
    <row r="53">
      <c r="A53" s="212"/>
      <c r="B53" s="447"/>
      <c r="C53" s="212"/>
      <c r="D53" s="212"/>
      <c r="E53" s="212"/>
      <c r="F53" s="212"/>
      <c r="G53" s="212"/>
      <c r="H53" s="212"/>
      <c r="I53" s="212"/>
      <c r="J53" s="212"/>
      <c r="K53" s="212"/>
      <c r="L53" s="212"/>
      <c r="M53" s="212"/>
      <c r="N53" s="212"/>
      <c r="O53" s="212"/>
      <c r="P53" s="212"/>
      <c r="Q53" s="212"/>
      <c r="R53" s="451"/>
      <c r="S53" s="451"/>
      <c r="T53" s="212"/>
      <c r="U53" s="135"/>
      <c r="V53" s="451"/>
      <c r="W53" s="451"/>
      <c r="X53" s="451"/>
      <c r="Y53" s="212"/>
      <c r="Z53" s="212"/>
      <c r="AA53" s="212"/>
      <c r="AB53" s="212"/>
      <c r="AC53" s="212"/>
      <c r="AD53" s="212"/>
      <c r="AE53" s="450"/>
      <c r="AF53" s="212"/>
      <c r="AG53" s="212"/>
      <c r="AH53" s="212"/>
      <c r="AI53" s="212"/>
      <c r="AJ53" s="212"/>
      <c r="AK53" s="212"/>
      <c r="AL53" s="212"/>
      <c r="AM53" s="212"/>
      <c r="AN53" s="212"/>
      <c r="AO53" s="212"/>
      <c r="AP53" s="212"/>
      <c r="AQ53" s="212"/>
      <c r="AR53" s="212"/>
      <c r="AS53" s="212"/>
      <c r="AT53" s="212"/>
      <c r="AU53" s="212"/>
      <c r="AV53" s="212"/>
      <c r="AW53" s="212"/>
      <c r="AX53" s="212"/>
      <c r="AY53" s="212"/>
      <c r="AZ53" s="452"/>
      <c r="BA53" s="212"/>
      <c r="BB53" s="212"/>
      <c r="BC53" s="212"/>
      <c r="BD53" s="212"/>
      <c r="BE53" s="455"/>
      <c r="BF53" s="452"/>
    </row>
    <row r="54">
      <c r="A54" s="212"/>
      <c r="B54" s="447"/>
      <c r="C54" s="212"/>
      <c r="D54" s="212"/>
      <c r="E54" s="212"/>
      <c r="F54" s="212"/>
      <c r="G54" s="212"/>
      <c r="H54" s="212"/>
      <c r="I54" s="212"/>
      <c r="J54" s="212"/>
      <c r="K54" s="212"/>
      <c r="L54" s="212"/>
      <c r="M54" s="212"/>
      <c r="N54" s="212"/>
      <c r="O54" s="212"/>
      <c r="P54" s="212"/>
      <c r="Q54" s="212"/>
      <c r="R54" s="451"/>
      <c r="S54" s="451"/>
      <c r="T54" s="212"/>
      <c r="U54" s="451"/>
      <c r="V54" s="451"/>
      <c r="W54" s="451"/>
      <c r="X54" s="451"/>
      <c r="Y54" s="212"/>
      <c r="Z54" s="212"/>
      <c r="AA54" s="212"/>
      <c r="AB54" s="212"/>
      <c r="AC54" s="212"/>
      <c r="AD54" s="212"/>
      <c r="AE54" s="450"/>
      <c r="AF54" s="212"/>
      <c r="AG54" s="212"/>
      <c r="AH54" s="212"/>
      <c r="AI54" s="212"/>
      <c r="AJ54" s="212"/>
      <c r="AK54" s="212"/>
      <c r="AL54" s="212"/>
      <c r="AM54" s="212"/>
      <c r="AN54" s="212"/>
      <c r="AO54" s="212"/>
      <c r="AP54" s="212"/>
      <c r="AQ54" s="212"/>
      <c r="AR54" s="212"/>
      <c r="AS54" s="212"/>
      <c r="AT54" s="212"/>
      <c r="AU54" s="212"/>
      <c r="AV54" s="212"/>
      <c r="AW54" s="212"/>
      <c r="AX54" s="212"/>
      <c r="AY54" s="212"/>
      <c r="AZ54" s="452"/>
      <c r="BA54" s="212"/>
      <c r="BB54" s="212"/>
      <c r="BC54" s="212"/>
      <c r="BD54" s="212"/>
      <c r="BE54" s="455"/>
      <c r="BF54" s="452"/>
    </row>
    <row r="55">
      <c r="A55" s="212"/>
      <c r="B55" s="447"/>
      <c r="C55" s="212"/>
      <c r="D55" s="212"/>
      <c r="E55" s="212"/>
      <c r="F55" s="212"/>
      <c r="G55" s="212"/>
      <c r="H55" s="212"/>
      <c r="I55" s="212"/>
      <c r="J55" s="212"/>
      <c r="K55" s="212"/>
      <c r="L55" s="212"/>
      <c r="M55" s="212"/>
      <c r="N55" s="212"/>
      <c r="O55" s="212"/>
      <c r="P55" s="212"/>
      <c r="Q55" s="212"/>
      <c r="R55" s="451"/>
      <c r="S55" s="451"/>
      <c r="T55" s="212"/>
      <c r="U55" s="451"/>
      <c r="V55" s="451"/>
      <c r="W55" s="451"/>
      <c r="X55" s="451"/>
      <c r="Y55" s="212"/>
      <c r="Z55" s="212"/>
      <c r="AA55" s="212"/>
      <c r="AB55" s="212"/>
      <c r="AC55" s="212"/>
      <c r="AD55" s="212"/>
      <c r="AE55" s="450"/>
      <c r="AF55" s="212"/>
      <c r="AG55" s="212"/>
      <c r="AH55" s="212"/>
      <c r="AI55" s="212"/>
      <c r="AJ55" s="212"/>
      <c r="AK55" s="212"/>
      <c r="AL55" s="212"/>
      <c r="AM55" s="212"/>
      <c r="AN55" s="212"/>
      <c r="AO55" s="212"/>
      <c r="AP55" s="212"/>
      <c r="AQ55" s="212"/>
      <c r="AR55" s="212"/>
      <c r="AS55" s="212"/>
      <c r="AT55" s="212"/>
      <c r="AU55" s="212"/>
      <c r="AV55" s="212"/>
      <c r="AW55" s="212"/>
      <c r="AX55" s="212"/>
      <c r="AY55" s="212"/>
      <c r="AZ55" s="452"/>
      <c r="BA55" s="212"/>
      <c r="BB55" s="212"/>
      <c r="BC55" s="212"/>
      <c r="BD55" s="212"/>
      <c r="BE55" s="455"/>
      <c r="BF55" s="452"/>
    </row>
    <row r="56">
      <c r="A56" s="212"/>
      <c r="B56" s="447"/>
      <c r="C56" s="212"/>
      <c r="D56" s="212"/>
      <c r="E56" s="212"/>
      <c r="F56" s="212"/>
      <c r="G56" s="212"/>
      <c r="H56" s="212"/>
      <c r="I56" s="212"/>
      <c r="J56" s="212"/>
      <c r="K56" s="212"/>
      <c r="L56" s="212"/>
      <c r="M56" s="212"/>
      <c r="N56" s="212"/>
      <c r="O56" s="212"/>
      <c r="P56" s="212"/>
      <c r="Q56" s="212"/>
      <c r="R56" s="451"/>
      <c r="S56" s="451"/>
      <c r="T56" s="212"/>
      <c r="U56" s="451"/>
      <c r="V56" s="451"/>
      <c r="W56" s="451"/>
      <c r="X56" s="451"/>
      <c r="Y56" s="212"/>
      <c r="Z56" s="212"/>
      <c r="AA56" s="212"/>
      <c r="AB56" s="212"/>
      <c r="AC56" s="212"/>
      <c r="AD56" s="212"/>
      <c r="AE56" s="450"/>
      <c r="AF56" s="212"/>
      <c r="AG56" s="212"/>
      <c r="AH56" s="212"/>
      <c r="AI56" s="212"/>
      <c r="AJ56" s="212"/>
      <c r="AK56" s="212"/>
      <c r="AL56" s="212"/>
      <c r="AM56" s="212"/>
      <c r="AN56" s="212"/>
      <c r="AO56" s="212"/>
      <c r="AP56" s="212"/>
      <c r="AQ56" s="212"/>
      <c r="AR56" s="212"/>
      <c r="AS56" s="212"/>
      <c r="AT56" s="212"/>
      <c r="AU56" s="212"/>
      <c r="AV56" s="212"/>
      <c r="AW56" s="212"/>
      <c r="AX56" s="212"/>
      <c r="AY56" s="212"/>
      <c r="AZ56" s="452"/>
      <c r="BA56" s="212"/>
      <c r="BB56" s="212"/>
      <c r="BC56" s="212"/>
      <c r="BD56" s="212"/>
      <c r="BE56" s="455"/>
      <c r="BF56" s="452"/>
    </row>
    <row r="57">
      <c r="A57" s="212"/>
      <c r="B57" s="447"/>
      <c r="C57" s="212"/>
      <c r="D57" s="212"/>
      <c r="E57" s="212"/>
      <c r="F57" s="212"/>
      <c r="G57" s="212"/>
      <c r="H57" s="212"/>
      <c r="I57" s="212"/>
      <c r="J57" s="212"/>
      <c r="K57" s="212"/>
      <c r="L57" s="212"/>
      <c r="M57" s="212"/>
      <c r="N57" s="212"/>
      <c r="O57" s="212"/>
      <c r="P57" s="212"/>
      <c r="Q57" s="212"/>
      <c r="R57" s="451"/>
      <c r="S57" s="451"/>
      <c r="T57" s="212"/>
      <c r="U57" s="451"/>
      <c r="V57" s="451"/>
      <c r="W57" s="451"/>
      <c r="X57" s="451"/>
      <c r="Y57" s="212"/>
      <c r="Z57" s="212"/>
      <c r="AA57" s="212"/>
      <c r="AB57" s="212"/>
      <c r="AC57" s="212"/>
      <c r="AD57" s="212"/>
      <c r="AE57" s="450"/>
      <c r="AF57" s="212"/>
      <c r="AG57" s="212"/>
      <c r="AH57" s="212"/>
      <c r="AI57" s="212"/>
      <c r="AJ57" s="212"/>
      <c r="AK57" s="212"/>
      <c r="AL57" s="212"/>
      <c r="AM57" s="212"/>
      <c r="AN57" s="212"/>
      <c r="AO57" s="212"/>
      <c r="AP57" s="212"/>
      <c r="AQ57" s="212"/>
      <c r="AR57" s="212"/>
      <c r="AS57" s="212"/>
      <c r="AT57" s="212"/>
      <c r="AU57" s="212"/>
      <c r="AV57" s="212"/>
      <c r="AW57" s="212"/>
      <c r="AX57" s="212"/>
      <c r="AY57" s="212"/>
      <c r="AZ57" s="452"/>
      <c r="BA57" s="212"/>
      <c r="BB57" s="212"/>
      <c r="BC57" s="212"/>
      <c r="BD57" s="212"/>
      <c r="BE57" s="455"/>
      <c r="BF57" s="452"/>
    </row>
    <row r="58">
      <c r="A58" s="212"/>
      <c r="B58" s="447"/>
      <c r="C58" s="212"/>
      <c r="D58" s="212"/>
      <c r="E58" s="212"/>
      <c r="F58" s="212"/>
      <c r="G58" s="212"/>
      <c r="H58" s="212"/>
      <c r="I58" s="212"/>
      <c r="J58" s="212"/>
      <c r="K58" s="212"/>
      <c r="L58" s="212"/>
      <c r="M58" s="212"/>
      <c r="N58" s="212"/>
      <c r="O58" s="212"/>
      <c r="P58" s="212"/>
      <c r="Q58" s="212"/>
      <c r="R58" s="451"/>
      <c r="S58" s="451"/>
      <c r="T58" s="212"/>
      <c r="U58" s="451"/>
      <c r="V58" s="451"/>
      <c r="W58" s="451"/>
      <c r="X58" s="451"/>
      <c r="Y58" s="212"/>
      <c r="Z58" s="212"/>
      <c r="AA58" s="212"/>
      <c r="AB58" s="212"/>
      <c r="AC58" s="212"/>
      <c r="AD58" s="212"/>
      <c r="AE58" s="450"/>
      <c r="AF58" s="212"/>
      <c r="AG58" s="212"/>
      <c r="AH58" s="212"/>
      <c r="AI58" s="212"/>
      <c r="AJ58" s="212"/>
      <c r="AK58" s="212"/>
      <c r="AL58" s="212"/>
      <c r="AM58" s="212"/>
      <c r="AN58" s="212"/>
      <c r="AO58" s="212"/>
      <c r="AP58" s="212"/>
      <c r="AQ58" s="212"/>
      <c r="AR58" s="212"/>
      <c r="AS58" s="212"/>
      <c r="AT58" s="212"/>
      <c r="AU58" s="212"/>
      <c r="AV58" s="212"/>
      <c r="AW58" s="212"/>
      <c r="AX58" s="212"/>
      <c r="AY58" s="212"/>
      <c r="AZ58" s="452"/>
      <c r="BA58" s="212"/>
      <c r="BB58" s="212"/>
      <c r="BC58" s="212"/>
      <c r="BD58" s="212"/>
      <c r="BE58" s="455"/>
      <c r="BF58" s="452"/>
    </row>
    <row r="59">
      <c r="A59" s="212"/>
      <c r="B59" s="447"/>
      <c r="C59" s="212"/>
      <c r="D59" s="212"/>
      <c r="E59" s="212"/>
      <c r="F59" s="212"/>
      <c r="G59" s="212"/>
      <c r="H59" s="212"/>
      <c r="I59" s="212"/>
      <c r="J59" s="212"/>
      <c r="K59" s="212"/>
      <c r="L59" s="212"/>
      <c r="M59" s="212"/>
      <c r="N59" s="212"/>
      <c r="O59" s="212"/>
      <c r="P59" s="212"/>
      <c r="Q59" s="212"/>
      <c r="R59" s="451"/>
      <c r="S59" s="451"/>
      <c r="T59" s="212"/>
      <c r="U59" s="451"/>
      <c r="V59" s="451"/>
      <c r="W59" s="451"/>
      <c r="X59" s="451"/>
      <c r="Y59" s="212"/>
      <c r="Z59" s="212"/>
      <c r="AA59" s="212"/>
      <c r="AB59" s="212"/>
      <c r="AC59" s="212"/>
      <c r="AD59" s="212"/>
      <c r="AE59" s="450"/>
      <c r="AF59" s="212"/>
      <c r="AG59" s="212"/>
      <c r="AH59" s="212"/>
      <c r="AI59" s="212"/>
      <c r="AJ59" s="212"/>
      <c r="AK59" s="212"/>
      <c r="AL59" s="212"/>
      <c r="AM59" s="212"/>
      <c r="AN59" s="212"/>
      <c r="AO59" s="212"/>
      <c r="AP59" s="212"/>
      <c r="AQ59" s="212"/>
      <c r="AR59" s="212"/>
      <c r="AS59" s="212"/>
      <c r="AT59" s="212"/>
      <c r="AU59" s="212"/>
      <c r="AV59" s="212"/>
      <c r="AW59" s="212"/>
      <c r="AX59" s="212"/>
      <c r="AY59" s="212"/>
      <c r="AZ59" s="452"/>
      <c r="BA59" s="212"/>
      <c r="BB59" s="212"/>
      <c r="BC59" s="212"/>
      <c r="BD59" s="212"/>
      <c r="BE59" s="455"/>
      <c r="BF59" s="452"/>
    </row>
    <row r="60">
      <c r="A60" s="212"/>
      <c r="B60" s="447"/>
      <c r="C60" s="212"/>
      <c r="D60" s="212"/>
      <c r="E60" s="212"/>
      <c r="F60" s="212"/>
      <c r="G60" s="212"/>
      <c r="H60" s="212"/>
      <c r="I60" s="212"/>
      <c r="J60" s="212"/>
      <c r="K60" s="212"/>
      <c r="L60" s="212"/>
      <c r="M60" s="212"/>
      <c r="N60" s="212"/>
      <c r="O60" s="212"/>
      <c r="P60" s="212"/>
      <c r="Q60" s="212"/>
      <c r="R60" s="451"/>
      <c r="S60" s="451"/>
      <c r="T60" s="212"/>
      <c r="U60" s="451"/>
      <c r="V60" s="451"/>
      <c r="W60" s="451"/>
      <c r="X60" s="451"/>
      <c r="Y60" s="212"/>
      <c r="Z60" s="212"/>
      <c r="AA60" s="212"/>
      <c r="AB60" s="212"/>
      <c r="AC60" s="212"/>
      <c r="AD60" s="212"/>
      <c r="AE60" s="450"/>
      <c r="AF60" s="212"/>
      <c r="AG60" s="212"/>
      <c r="AH60" s="212"/>
      <c r="AI60" s="212"/>
      <c r="AJ60" s="212"/>
      <c r="AK60" s="212"/>
      <c r="AL60" s="212"/>
      <c r="AM60" s="212"/>
      <c r="AN60" s="212"/>
      <c r="AO60" s="212"/>
      <c r="AP60" s="212"/>
      <c r="AQ60" s="212"/>
      <c r="AR60" s="212"/>
      <c r="AS60" s="212"/>
      <c r="AT60" s="212"/>
      <c r="AU60" s="212"/>
      <c r="AV60" s="212"/>
      <c r="AW60" s="212"/>
      <c r="AX60" s="212"/>
      <c r="AY60" s="212"/>
      <c r="AZ60" s="452"/>
      <c r="BA60" s="212"/>
      <c r="BB60" s="212"/>
      <c r="BC60" s="212"/>
      <c r="BD60" s="212"/>
      <c r="BE60" s="455"/>
      <c r="BF60" s="452"/>
    </row>
    <row r="61">
      <c r="A61" s="212"/>
      <c r="B61" s="447"/>
      <c r="C61" s="212"/>
      <c r="D61" s="212"/>
      <c r="E61" s="212"/>
      <c r="F61" s="212"/>
      <c r="G61" s="212"/>
      <c r="H61" s="212"/>
      <c r="I61" s="212"/>
      <c r="J61" s="212"/>
      <c r="K61" s="212"/>
      <c r="L61" s="212"/>
      <c r="M61" s="212"/>
      <c r="N61" s="212"/>
      <c r="O61" s="212"/>
      <c r="P61" s="212"/>
      <c r="Q61" s="212"/>
      <c r="R61" s="451"/>
      <c r="S61" s="451"/>
      <c r="T61" s="212"/>
      <c r="U61" s="451"/>
      <c r="V61" s="451"/>
      <c r="W61" s="451"/>
      <c r="X61" s="451"/>
      <c r="Y61" s="212"/>
      <c r="Z61" s="212"/>
      <c r="AA61" s="212"/>
      <c r="AB61" s="212"/>
      <c r="AC61" s="212"/>
      <c r="AD61" s="212"/>
      <c r="AE61" s="450"/>
      <c r="AF61" s="212"/>
      <c r="AG61" s="212"/>
      <c r="AH61" s="212"/>
      <c r="AI61" s="212"/>
      <c r="AJ61" s="212"/>
      <c r="AK61" s="212"/>
      <c r="AL61" s="212"/>
      <c r="AM61" s="212"/>
      <c r="AN61" s="212"/>
      <c r="AO61" s="212"/>
      <c r="AP61" s="212"/>
      <c r="AQ61" s="212"/>
      <c r="AR61" s="212"/>
      <c r="AS61" s="212"/>
      <c r="AT61" s="212"/>
      <c r="AU61" s="212"/>
      <c r="AV61" s="212"/>
      <c r="AW61" s="212"/>
      <c r="AX61" s="212"/>
      <c r="AY61" s="212"/>
      <c r="AZ61" s="452"/>
      <c r="BA61" s="212"/>
      <c r="BB61" s="212"/>
      <c r="BC61" s="212"/>
      <c r="BD61" s="212"/>
      <c r="BE61" s="455"/>
      <c r="BF61" s="452"/>
    </row>
    <row r="62">
      <c r="A62" s="212"/>
      <c r="B62" s="447"/>
      <c r="C62" s="212"/>
      <c r="D62" s="212"/>
      <c r="E62" s="212"/>
      <c r="F62" s="212"/>
      <c r="G62" s="212"/>
      <c r="H62" s="212"/>
      <c r="I62" s="212"/>
      <c r="J62" s="212"/>
      <c r="K62" s="212"/>
      <c r="L62" s="212"/>
      <c r="M62" s="212"/>
      <c r="N62" s="212"/>
      <c r="O62" s="212"/>
      <c r="P62" s="212"/>
      <c r="Q62" s="212"/>
      <c r="R62" s="451"/>
      <c r="S62" s="451"/>
      <c r="T62" s="212"/>
      <c r="U62" s="451"/>
      <c r="V62" s="451"/>
      <c r="W62" s="451"/>
      <c r="X62" s="451"/>
      <c r="Y62" s="212"/>
      <c r="Z62" s="212"/>
      <c r="AA62" s="212"/>
      <c r="AB62" s="212"/>
      <c r="AC62" s="212"/>
      <c r="AD62" s="212"/>
      <c r="AE62" s="450"/>
      <c r="AF62" s="212"/>
      <c r="AG62" s="212"/>
      <c r="AH62" s="212"/>
      <c r="AI62" s="212"/>
      <c r="AJ62" s="212"/>
      <c r="AK62" s="212"/>
      <c r="AL62" s="212"/>
      <c r="AM62" s="212"/>
      <c r="AN62" s="212"/>
      <c r="AO62" s="212"/>
      <c r="AP62" s="212"/>
      <c r="AQ62" s="212"/>
      <c r="AR62" s="212"/>
      <c r="AS62" s="212"/>
      <c r="AT62" s="212"/>
      <c r="AU62" s="212"/>
      <c r="AV62" s="212"/>
      <c r="AW62" s="212"/>
      <c r="AX62" s="212"/>
      <c r="AY62" s="212"/>
      <c r="AZ62" s="452"/>
      <c r="BA62" s="212"/>
      <c r="BB62" s="212"/>
      <c r="BC62" s="212"/>
      <c r="BD62" s="212"/>
      <c r="BE62" s="455"/>
      <c r="BF62" s="452"/>
    </row>
    <row r="63">
      <c r="A63" s="212"/>
      <c r="B63" s="447"/>
      <c r="C63" s="212"/>
      <c r="D63" s="212"/>
      <c r="E63" s="212"/>
      <c r="F63" s="212"/>
      <c r="G63" s="212"/>
      <c r="H63" s="212"/>
      <c r="I63" s="212"/>
      <c r="J63" s="212"/>
      <c r="K63" s="212"/>
      <c r="L63" s="212"/>
      <c r="M63" s="212"/>
      <c r="N63" s="212"/>
      <c r="O63" s="212"/>
      <c r="P63" s="212"/>
      <c r="Q63" s="212"/>
      <c r="R63" s="451"/>
      <c r="S63" s="451"/>
      <c r="T63" s="212"/>
      <c r="U63" s="451"/>
      <c r="V63" s="451"/>
      <c r="W63" s="451"/>
      <c r="X63" s="451"/>
      <c r="Y63" s="212"/>
      <c r="Z63" s="212"/>
      <c r="AA63" s="212"/>
      <c r="AB63" s="212"/>
      <c r="AC63" s="212"/>
      <c r="AD63" s="212"/>
      <c r="AE63" s="450"/>
      <c r="AF63" s="212"/>
      <c r="AG63" s="212"/>
      <c r="AH63" s="212"/>
      <c r="AI63" s="212"/>
      <c r="AJ63" s="212"/>
      <c r="AK63" s="212"/>
      <c r="AL63" s="212"/>
      <c r="AM63" s="212"/>
      <c r="AN63" s="212"/>
      <c r="AO63" s="212"/>
      <c r="AP63" s="212"/>
      <c r="AQ63" s="212"/>
      <c r="AR63" s="212"/>
      <c r="AS63" s="212"/>
      <c r="AT63" s="212"/>
      <c r="AU63" s="212"/>
      <c r="AV63" s="212"/>
      <c r="AW63" s="212"/>
      <c r="AX63" s="212"/>
      <c r="AY63" s="212"/>
      <c r="AZ63" s="452"/>
      <c r="BA63" s="212"/>
      <c r="BB63" s="212"/>
      <c r="BC63" s="212"/>
      <c r="BD63" s="212"/>
      <c r="BE63" s="455"/>
      <c r="BF63" s="452"/>
    </row>
    <row r="64">
      <c r="A64" s="212"/>
      <c r="B64" s="447"/>
      <c r="C64" s="212"/>
      <c r="D64" s="212"/>
      <c r="E64" s="212"/>
      <c r="F64" s="212"/>
      <c r="G64" s="212"/>
      <c r="H64" s="212"/>
      <c r="I64" s="212"/>
      <c r="J64" s="212"/>
      <c r="K64" s="212"/>
      <c r="L64" s="212"/>
      <c r="M64" s="212"/>
      <c r="N64" s="212"/>
      <c r="O64" s="212"/>
      <c r="P64" s="212"/>
      <c r="Q64" s="212"/>
      <c r="R64" s="451"/>
      <c r="S64" s="451"/>
      <c r="T64" s="212"/>
      <c r="U64" s="451"/>
      <c r="V64" s="451"/>
      <c r="W64" s="451"/>
      <c r="X64" s="451"/>
      <c r="Y64" s="212"/>
      <c r="Z64" s="212"/>
      <c r="AA64" s="212"/>
      <c r="AB64" s="212"/>
      <c r="AC64" s="212"/>
      <c r="AD64" s="212"/>
      <c r="AE64" s="450"/>
      <c r="AF64" s="212"/>
      <c r="AG64" s="212"/>
      <c r="AH64" s="212"/>
      <c r="AI64" s="212"/>
      <c r="AJ64" s="212"/>
      <c r="AK64" s="212"/>
      <c r="AL64" s="212"/>
      <c r="AM64" s="212"/>
      <c r="AN64" s="212"/>
      <c r="AO64" s="212"/>
      <c r="AP64" s="212"/>
      <c r="AQ64" s="212"/>
      <c r="AR64" s="212"/>
      <c r="AS64" s="212"/>
      <c r="AT64" s="212"/>
      <c r="AU64" s="212"/>
      <c r="AV64" s="212"/>
      <c r="AW64" s="212"/>
      <c r="AX64" s="212"/>
      <c r="AY64" s="212"/>
      <c r="AZ64" s="452"/>
      <c r="BA64" s="212"/>
      <c r="BB64" s="212"/>
      <c r="BC64" s="212"/>
      <c r="BD64" s="212"/>
      <c r="BE64" s="455"/>
      <c r="BF64" s="452"/>
    </row>
    <row r="65">
      <c r="A65" s="212"/>
      <c r="B65" s="447"/>
      <c r="C65" s="212"/>
      <c r="D65" s="212"/>
      <c r="E65" s="212"/>
      <c r="F65" s="212"/>
      <c r="G65" s="212"/>
      <c r="H65" s="212"/>
      <c r="I65" s="212"/>
      <c r="J65" s="212"/>
      <c r="K65" s="212"/>
      <c r="L65" s="212"/>
      <c r="M65" s="212"/>
      <c r="N65" s="212"/>
      <c r="O65" s="212"/>
      <c r="P65" s="212"/>
      <c r="Q65" s="212"/>
      <c r="R65" s="451"/>
      <c r="S65" s="451"/>
      <c r="T65" s="212"/>
      <c r="U65" s="451"/>
      <c r="V65" s="451"/>
      <c r="W65" s="451"/>
      <c r="X65" s="451"/>
      <c r="Y65" s="212"/>
      <c r="Z65" s="212"/>
      <c r="AA65" s="212"/>
      <c r="AB65" s="212"/>
      <c r="AC65" s="212"/>
      <c r="AD65" s="212"/>
      <c r="AE65" s="450"/>
      <c r="AF65" s="212"/>
      <c r="AG65" s="212"/>
      <c r="AH65" s="212"/>
      <c r="AI65" s="212"/>
      <c r="AJ65" s="212"/>
      <c r="AK65" s="212"/>
      <c r="AL65" s="212"/>
      <c r="AM65" s="212"/>
      <c r="AN65" s="212"/>
      <c r="AO65" s="212"/>
      <c r="AP65" s="212"/>
      <c r="AQ65" s="212"/>
      <c r="AR65" s="212"/>
      <c r="AS65" s="212"/>
      <c r="AT65" s="212"/>
      <c r="AU65" s="212"/>
      <c r="AV65" s="212"/>
      <c r="AW65" s="212"/>
      <c r="AX65" s="212"/>
      <c r="AY65" s="212"/>
      <c r="AZ65" s="452"/>
      <c r="BA65" s="212"/>
      <c r="BB65" s="212"/>
      <c r="BC65" s="212"/>
      <c r="BD65" s="212"/>
      <c r="BE65" s="455"/>
      <c r="BF65" s="452"/>
    </row>
    <row r="66">
      <c r="A66" s="212"/>
      <c r="B66" s="447"/>
      <c r="C66" s="212"/>
      <c r="D66" s="212"/>
      <c r="E66" s="212"/>
      <c r="F66" s="212"/>
      <c r="G66" s="212"/>
      <c r="H66" s="212"/>
      <c r="I66" s="212"/>
      <c r="J66" s="212"/>
      <c r="K66" s="212"/>
      <c r="L66" s="212"/>
      <c r="M66" s="212"/>
      <c r="N66" s="212"/>
      <c r="O66" s="212"/>
      <c r="P66" s="212"/>
      <c r="Q66" s="212"/>
      <c r="R66" s="451"/>
      <c r="S66" s="451"/>
      <c r="T66" s="212"/>
      <c r="U66" s="451"/>
      <c r="V66" s="451"/>
      <c r="W66" s="451"/>
      <c r="X66" s="451"/>
      <c r="Y66" s="212"/>
      <c r="Z66" s="212"/>
      <c r="AA66" s="212"/>
      <c r="AB66" s="212"/>
      <c r="AC66" s="212"/>
      <c r="AD66" s="212"/>
      <c r="AE66" s="450"/>
      <c r="AF66" s="212"/>
      <c r="AG66" s="212"/>
      <c r="AH66" s="212"/>
      <c r="AI66" s="212"/>
      <c r="AJ66" s="212"/>
      <c r="AK66" s="212"/>
      <c r="AL66" s="212"/>
      <c r="AM66" s="212"/>
      <c r="AN66" s="212"/>
      <c r="AO66" s="212"/>
      <c r="AP66" s="212"/>
      <c r="AQ66" s="212"/>
      <c r="AR66" s="212"/>
      <c r="AS66" s="212"/>
      <c r="AT66" s="212"/>
      <c r="AU66" s="212"/>
      <c r="AV66" s="212"/>
      <c r="AW66" s="212"/>
      <c r="AX66" s="212"/>
      <c r="AY66" s="212"/>
      <c r="AZ66" s="452"/>
      <c r="BA66" s="212"/>
      <c r="BB66" s="212"/>
      <c r="BC66" s="212"/>
      <c r="BD66" s="212"/>
      <c r="BE66" s="455"/>
      <c r="BF66" s="452"/>
    </row>
    <row r="67">
      <c r="A67" s="212"/>
      <c r="B67" s="447"/>
      <c r="C67" s="212"/>
      <c r="D67" s="212"/>
      <c r="E67" s="212"/>
      <c r="F67" s="212"/>
      <c r="G67" s="212"/>
      <c r="H67" s="212"/>
      <c r="I67" s="212"/>
      <c r="J67" s="212"/>
      <c r="K67" s="212"/>
      <c r="L67" s="212"/>
      <c r="M67" s="212"/>
      <c r="N67" s="212"/>
      <c r="O67" s="212"/>
      <c r="P67" s="212"/>
      <c r="Q67" s="212"/>
      <c r="R67" s="451"/>
      <c r="S67" s="451"/>
      <c r="T67" s="212"/>
      <c r="U67" s="451"/>
      <c r="V67" s="451"/>
      <c r="W67" s="451"/>
      <c r="X67" s="451"/>
      <c r="Y67" s="212"/>
      <c r="Z67" s="212"/>
      <c r="AA67" s="212"/>
      <c r="AB67" s="212"/>
      <c r="AC67" s="212"/>
      <c r="AD67" s="212"/>
      <c r="AE67" s="450"/>
      <c r="AF67" s="212"/>
      <c r="AG67" s="212"/>
      <c r="AH67" s="212"/>
      <c r="AI67" s="212"/>
      <c r="AJ67" s="212"/>
      <c r="AK67" s="212"/>
      <c r="AL67" s="212"/>
      <c r="AM67" s="212"/>
      <c r="AN67" s="212"/>
      <c r="AO67" s="212"/>
      <c r="AP67" s="212"/>
      <c r="AQ67" s="212"/>
      <c r="AR67" s="212"/>
      <c r="AS67" s="212"/>
      <c r="AT67" s="212"/>
      <c r="AU67" s="212"/>
      <c r="AV67" s="212"/>
      <c r="AW67" s="212"/>
      <c r="AX67" s="212"/>
      <c r="AY67" s="212"/>
      <c r="AZ67" s="452"/>
      <c r="BA67" s="212"/>
      <c r="BB67" s="212"/>
      <c r="BC67" s="212"/>
      <c r="BD67" s="212"/>
      <c r="BE67" s="455"/>
      <c r="BF67" s="452"/>
    </row>
    <row r="68">
      <c r="A68" s="212"/>
      <c r="B68" s="447"/>
      <c r="C68" s="212"/>
      <c r="D68" s="212"/>
      <c r="E68" s="212"/>
      <c r="F68" s="212"/>
      <c r="G68" s="212"/>
      <c r="H68" s="212"/>
      <c r="I68" s="212"/>
      <c r="J68" s="212"/>
      <c r="K68" s="212"/>
      <c r="L68" s="212"/>
      <c r="M68" s="212"/>
      <c r="N68" s="212"/>
      <c r="O68" s="212"/>
      <c r="P68" s="212"/>
      <c r="Q68" s="212"/>
      <c r="R68" s="451"/>
      <c r="S68" s="451"/>
      <c r="T68" s="212"/>
      <c r="U68" s="451"/>
      <c r="V68" s="451"/>
      <c r="W68" s="451"/>
      <c r="X68" s="451"/>
      <c r="Y68" s="212"/>
      <c r="Z68" s="212"/>
      <c r="AA68" s="212"/>
      <c r="AB68" s="212"/>
      <c r="AC68" s="212"/>
      <c r="AD68" s="212"/>
      <c r="AE68" s="450"/>
      <c r="AF68" s="212"/>
      <c r="AG68" s="212"/>
      <c r="AH68" s="212"/>
      <c r="AI68" s="212"/>
      <c r="AJ68" s="212"/>
      <c r="AK68" s="212"/>
      <c r="AL68" s="212"/>
      <c r="AM68" s="212"/>
      <c r="AN68" s="212"/>
      <c r="AO68" s="212"/>
      <c r="AP68" s="212"/>
      <c r="AQ68" s="212"/>
      <c r="AR68" s="212"/>
      <c r="AS68" s="212"/>
      <c r="AT68" s="212"/>
      <c r="AU68" s="212"/>
      <c r="AV68" s="212"/>
      <c r="AW68" s="212"/>
      <c r="AX68" s="212"/>
      <c r="AY68" s="212"/>
      <c r="AZ68" s="452"/>
      <c r="BA68" s="212"/>
      <c r="BB68" s="212"/>
      <c r="BC68" s="212"/>
      <c r="BD68" s="212"/>
      <c r="BE68" s="455"/>
      <c r="BF68" s="452"/>
    </row>
    <row r="69">
      <c r="A69" s="212"/>
      <c r="B69" s="447"/>
      <c r="C69" s="212"/>
      <c r="D69" s="212"/>
      <c r="E69" s="212"/>
      <c r="F69" s="212"/>
      <c r="G69" s="212"/>
      <c r="H69" s="212"/>
      <c r="I69" s="212"/>
      <c r="J69" s="212"/>
      <c r="K69" s="212"/>
      <c r="L69" s="212"/>
      <c r="M69" s="212"/>
      <c r="N69" s="212"/>
      <c r="O69" s="212"/>
      <c r="P69" s="212"/>
      <c r="Q69" s="212"/>
      <c r="R69" s="451"/>
      <c r="S69" s="451"/>
      <c r="T69" s="212"/>
      <c r="U69" s="451"/>
      <c r="V69" s="451"/>
      <c r="W69" s="451"/>
      <c r="X69" s="451"/>
      <c r="Y69" s="212"/>
      <c r="Z69" s="212"/>
      <c r="AA69" s="212"/>
      <c r="AB69" s="212"/>
      <c r="AC69" s="212"/>
      <c r="AD69" s="212"/>
      <c r="AE69" s="450"/>
      <c r="AF69" s="212"/>
      <c r="AG69" s="212"/>
      <c r="AH69" s="212"/>
      <c r="AI69" s="212"/>
      <c r="AJ69" s="212"/>
      <c r="AK69" s="212"/>
      <c r="AL69" s="212"/>
      <c r="AM69" s="212"/>
      <c r="AN69" s="212"/>
      <c r="AO69" s="212"/>
      <c r="AP69" s="212"/>
      <c r="AQ69" s="212"/>
      <c r="AR69" s="212"/>
      <c r="AS69" s="212"/>
      <c r="AT69" s="212"/>
      <c r="AU69" s="212"/>
      <c r="AV69" s="212"/>
      <c r="AW69" s="212"/>
      <c r="AX69" s="212"/>
      <c r="AY69" s="212"/>
      <c r="AZ69" s="452"/>
      <c r="BA69" s="212"/>
      <c r="BB69" s="212"/>
      <c r="BC69" s="212"/>
      <c r="BD69" s="212"/>
      <c r="BE69" s="455"/>
      <c r="BF69" s="452"/>
    </row>
    <row r="70">
      <c r="A70" s="212"/>
      <c r="B70" s="447"/>
      <c r="C70" s="212"/>
      <c r="D70" s="212"/>
      <c r="E70" s="212"/>
      <c r="F70" s="212"/>
      <c r="G70" s="212"/>
      <c r="H70" s="212"/>
      <c r="I70" s="212"/>
      <c r="J70" s="212"/>
      <c r="K70" s="212"/>
      <c r="L70" s="212"/>
      <c r="M70" s="212"/>
      <c r="N70" s="212"/>
      <c r="O70" s="212"/>
      <c r="P70" s="212"/>
      <c r="Q70" s="212"/>
      <c r="R70" s="451"/>
      <c r="S70" s="451"/>
      <c r="T70" s="212"/>
      <c r="U70" s="451"/>
      <c r="V70" s="451"/>
      <c r="W70" s="451"/>
      <c r="X70" s="451"/>
      <c r="Y70" s="212"/>
      <c r="Z70" s="212"/>
      <c r="AA70" s="212"/>
      <c r="AB70" s="212"/>
      <c r="AC70" s="212"/>
      <c r="AD70" s="212"/>
      <c r="AE70" s="450"/>
      <c r="AF70" s="212"/>
      <c r="AG70" s="212"/>
      <c r="AH70" s="212"/>
      <c r="AI70" s="212"/>
      <c r="AJ70" s="212"/>
      <c r="AK70" s="212"/>
      <c r="AL70" s="212"/>
      <c r="AM70" s="212"/>
      <c r="AN70" s="212"/>
      <c r="AO70" s="212"/>
      <c r="AP70" s="212"/>
      <c r="AQ70" s="212"/>
      <c r="AR70" s="212"/>
      <c r="AS70" s="212"/>
      <c r="AT70" s="212"/>
      <c r="AU70" s="212"/>
      <c r="AV70" s="212"/>
      <c r="AW70" s="212"/>
      <c r="AX70" s="212"/>
      <c r="AY70" s="212"/>
      <c r="AZ70" s="452"/>
      <c r="BA70" s="212"/>
      <c r="BB70" s="212"/>
      <c r="BC70" s="212"/>
      <c r="BD70" s="212"/>
      <c r="BE70" s="455"/>
      <c r="BF70" s="452"/>
    </row>
    <row r="71">
      <c r="A71" s="212"/>
      <c r="B71" s="447"/>
      <c r="C71" s="212"/>
      <c r="D71" s="212"/>
      <c r="E71" s="212"/>
      <c r="F71" s="212"/>
      <c r="G71" s="212"/>
      <c r="H71" s="212"/>
      <c r="I71" s="212"/>
      <c r="J71" s="212"/>
      <c r="K71" s="212"/>
      <c r="L71" s="212"/>
      <c r="M71" s="212"/>
      <c r="N71" s="212"/>
      <c r="O71" s="212"/>
      <c r="P71" s="212"/>
      <c r="Q71" s="212"/>
      <c r="R71" s="451"/>
      <c r="S71" s="451"/>
      <c r="T71" s="212"/>
      <c r="U71" s="451"/>
      <c r="V71" s="451"/>
      <c r="W71" s="451"/>
      <c r="X71" s="451"/>
      <c r="Y71" s="212"/>
      <c r="Z71" s="212"/>
      <c r="AA71" s="212"/>
      <c r="AB71" s="212"/>
      <c r="AC71" s="212"/>
      <c r="AD71" s="212"/>
      <c r="AE71" s="450"/>
      <c r="AF71" s="212"/>
      <c r="AG71" s="212"/>
      <c r="AH71" s="212"/>
      <c r="AI71" s="212"/>
      <c r="AJ71" s="212"/>
      <c r="AK71" s="212"/>
      <c r="AL71" s="212"/>
      <c r="AM71" s="212"/>
      <c r="AN71" s="212"/>
      <c r="AO71" s="212"/>
      <c r="AP71" s="212"/>
      <c r="AQ71" s="212"/>
      <c r="AR71" s="212"/>
      <c r="AS71" s="212"/>
      <c r="AT71" s="212"/>
      <c r="AU71" s="212"/>
      <c r="AV71" s="212"/>
      <c r="AW71" s="212"/>
      <c r="AX71" s="212"/>
      <c r="AY71" s="212"/>
      <c r="AZ71" s="452"/>
      <c r="BA71" s="212"/>
      <c r="BB71" s="212"/>
      <c r="BC71" s="212"/>
      <c r="BD71" s="212"/>
      <c r="BE71" s="455"/>
      <c r="BF71" s="452"/>
    </row>
    <row r="72">
      <c r="A72" s="212"/>
      <c r="B72" s="447"/>
      <c r="C72" s="212"/>
      <c r="D72" s="212"/>
      <c r="E72" s="212"/>
      <c r="F72" s="212"/>
      <c r="G72" s="212"/>
      <c r="H72" s="212"/>
      <c r="I72" s="212"/>
      <c r="J72" s="212"/>
      <c r="K72" s="212"/>
      <c r="L72" s="212"/>
      <c r="M72" s="212"/>
      <c r="N72" s="212"/>
      <c r="O72" s="212"/>
      <c r="P72" s="212"/>
      <c r="Q72" s="212"/>
      <c r="R72" s="451"/>
      <c r="S72" s="451"/>
      <c r="T72" s="212"/>
      <c r="U72" s="451"/>
      <c r="V72" s="451"/>
      <c r="W72" s="451"/>
      <c r="X72" s="451"/>
      <c r="Y72" s="212"/>
      <c r="Z72" s="212"/>
      <c r="AA72" s="212"/>
      <c r="AB72" s="212"/>
      <c r="AC72" s="212"/>
      <c r="AD72" s="212"/>
      <c r="AE72" s="450"/>
      <c r="AF72" s="212"/>
      <c r="AG72" s="212"/>
      <c r="AH72" s="212"/>
      <c r="AI72" s="212"/>
      <c r="AJ72" s="212"/>
      <c r="AK72" s="212"/>
      <c r="AL72" s="212"/>
      <c r="AM72" s="212"/>
      <c r="AN72" s="212"/>
      <c r="AO72" s="212"/>
      <c r="AP72" s="212"/>
      <c r="AQ72" s="212"/>
      <c r="AR72" s="212"/>
      <c r="AS72" s="212"/>
      <c r="AT72" s="212"/>
      <c r="AU72" s="212"/>
      <c r="AV72" s="212"/>
      <c r="AW72" s="212"/>
      <c r="AX72" s="212"/>
      <c r="AY72" s="212"/>
      <c r="AZ72" s="452"/>
      <c r="BA72" s="212"/>
      <c r="BB72" s="212"/>
      <c r="BC72" s="212"/>
      <c r="BD72" s="212"/>
      <c r="BE72" s="455"/>
      <c r="BF72" s="452"/>
    </row>
    <row r="73">
      <c r="A73" s="212"/>
      <c r="B73" s="447"/>
      <c r="C73" s="212"/>
      <c r="D73" s="212"/>
      <c r="E73" s="212"/>
      <c r="F73" s="212"/>
      <c r="G73" s="212"/>
      <c r="H73" s="212"/>
      <c r="I73" s="212"/>
      <c r="J73" s="212"/>
      <c r="K73" s="212"/>
      <c r="L73" s="212"/>
      <c r="M73" s="212"/>
      <c r="N73" s="212"/>
      <c r="O73" s="212"/>
      <c r="P73" s="212"/>
      <c r="Q73" s="212"/>
      <c r="R73" s="451"/>
      <c r="S73" s="451"/>
      <c r="T73" s="212"/>
      <c r="U73" s="451"/>
      <c r="V73" s="451"/>
      <c r="W73" s="451"/>
      <c r="X73" s="451"/>
      <c r="Y73" s="212"/>
      <c r="Z73" s="212"/>
      <c r="AA73" s="212"/>
      <c r="AB73" s="212"/>
      <c r="AC73" s="212"/>
      <c r="AD73" s="212"/>
      <c r="AE73" s="450"/>
      <c r="AF73" s="212"/>
      <c r="AG73" s="212"/>
      <c r="AH73" s="212"/>
      <c r="AI73" s="212"/>
      <c r="AJ73" s="212"/>
      <c r="AK73" s="212"/>
      <c r="AL73" s="212"/>
      <c r="AM73" s="212"/>
      <c r="AN73" s="212"/>
      <c r="AO73" s="212"/>
      <c r="AP73" s="212"/>
      <c r="AQ73" s="212"/>
      <c r="AR73" s="212"/>
      <c r="AS73" s="212"/>
      <c r="AT73" s="212"/>
      <c r="AU73" s="212"/>
      <c r="AV73" s="212"/>
      <c r="AW73" s="212"/>
      <c r="AX73" s="212"/>
      <c r="AY73" s="212"/>
      <c r="AZ73" s="452"/>
      <c r="BA73" s="212"/>
      <c r="BB73" s="212"/>
      <c r="BC73" s="212"/>
      <c r="BD73" s="212"/>
      <c r="BE73" s="455"/>
      <c r="BF73" s="452"/>
    </row>
    <row r="74">
      <c r="A74" s="212"/>
      <c r="B74" s="447"/>
      <c r="C74" s="212"/>
      <c r="D74" s="212"/>
      <c r="E74" s="212"/>
      <c r="F74" s="212"/>
      <c r="G74" s="212"/>
      <c r="H74" s="212"/>
      <c r="I74" s="212"/>
      <c r="J74" s="212"/>
      <c r="K74" s="212"/>
      <c r="L74" s="212"/>
      <c r="M74" s="212"/>
      <c r="N74" s="212"/>
      <c r="O74" s="212"/>
      <c r="P74" s="212"/>
      <c r="Q74" s="212"/>
      <c r="R74" s="451"/>
      <c r="S74" s="451"/>
      <c r="T74" s="212"/>
      <c r="U74" s="451"/>
      <c r="V74" s="451"/>
      <c r="W74" s="451"/>
      <c r="X74" s="451"/>
      <c r="Y74" s="212"/>
      <c r="Z74" s="212"/>
      <c r="AA74" s="212"/>
      <c r="AB74" s="212"/>
      <c r="AC74" s="212"/>
      <c r="AD74" s="212"/>
      <c r="AE74" s="450"/>
      <c r="AF74" s="212"/>
      <c r="AG74" s="212"/>
      <c r="AH74" s="212"/>
      <c r="AI74" s="212"/>
      <c r="AJ74" s="212"/>
      <c r="AK74" s="212"/>
      <c r="AL74" s="212"/>
      <c r="AM74" s="212"/>
      <c r="AN74" s="212"/>
      <c r="AO74" s="212"/>
      <c r="AP74" s="212"/>
      <c r="AQ74" s="212"/>
      <c r="AR74" s="212"/>
      <c r="AS74" s="212"/>
      <c r="AT74" s="212"/>
      <c r="AU74" s="212"/>
      <c r="AV74" s="212"/>
      <c r="AW74" s="212"/>
      <c r="AX74" s="212"/>
      <c r="AY74" s="212"/>
      <c r="AZ74" s="452"/>
      <c r="BA74" s="212"/>
      <c r="BB74" s="212"/>
      <c r="BC74" s="212"/>
      <c r="BD74" s="212"/>
      <c r="BE74" s="455"/>
      <c r="BF74" s="452"/>
    </row>
    <row r="75">
      <c r="A75" s="212"/>
      <c r="B75" s="447"/>
      <c r="C75" s="212"/>
      <c r="D75" s="212"/>
      <c r="E75" s="212"/>
      <c r="F75" s="212"/>
      <c r="G75" s="212"/>
      <c r="H75" s="212"/>
      <c r="I75" s="212"/>
      <c r="J75" s="212"/>
      <c r="K75" s="212"/>
      <c r="L75" s="212"/>
      <c r="M75" s="212"/>
      <c r="N75" s="212"/>
      <c r="O75" s="212"/>
      <c r="P75" s="212"/>
      <c r="Q75" s="212"/>
      <c r="R75" s="451"/>
      <c r="S75" s="451"/>
      <c r="T75" s="212"/>
      <c r="U75" s="451"/>
      <c r="V75" s="451"/>
      <c r="W75" s="451"/>
      <c r="X75" s="451"/>
      <c r="Y75" s="212"/>
      <c r="Z75" s="212"/>
      <c r="AA75" s="212"/>
      <c r="AB75" s="212"/>
      <c r="AC75" s="212"/>
      <c r="AD75" s="212"/>
      <c r="AE75" s="450"/>
      <c r="AF75" s="212"/>
      <c r="AG75" s="212"/>
      <c r="AH75" s="212"/>
      <c r="AI75" s="212"/>
      <c r="AJ75" s="212"/>
      <c r="AK75" s="212"/>
      <c r="AL75" s="212"/>
      <c r="AM75" s="212"/>
      <c r="AN75" s="212"/>
      <c r="AO75" s="212"/>
      <c r="AP75" s="212"/>
      <c r="AQ75" s="212"/>
      <c r="AR75" s="212"/>
      <c r="AS75" s="212"/>
      <c r="AT75" s="212"/>
      <c r="AU75" s="212"/>
      <c r="AV75" s="212"/>
      <c r="AW75" s="212"/>
      <c r="AX75" s="212"/>
      <c r="AY75" s="212"/>
      <c r="AZ75" s="452"/>
      <c r="BA75" s="212"/>
      <c r="BB75" s="212"/>
      <c r="BC75" s="212"/>
      <c r="BD75" s="212"/>
      <c r="BE75" s="455"/>
      <c r="BF75" s="452"/>
    </row>
    <row r="76">
      <c r="A76" s="212"/>
      <c r="B76" s="447"/>
      <c r="C76" s="212"/>
      <c r="D76" s="212"/>
      <c r="E76" s="212"/>
      <c r="F76" s="212"/>
      <c r="G76" s="212"/>
      <c r="H76" s="212"/>
      <c r="I76" s="212"/>
      <c r="J76" s="212"/>
      <c r="K76" s="212"/>
      <c r="L76" s="212"/>
      <c r="M76" s="212"/>
      <c r="N76" s="212"/>
      <c r="O76" s="212"/>
      <c r="P76" s="212"/>
      <c r="Q76" s="212"/>
      <c r="R76" s="451"/>
      <c r="S76" s="451"/>
      <c r="T76" s="212"/>
      <c r="U76" s="451"/>
      <c r="V76" s="451"/>
      <c r="W76" s="451"/>
      <c r="X76" s="451"/>
      <c r="Y76" s="212"/>
      <c r="Z76" s="212"/>
      <c r="AA76" s="212"/>
      <c r="AB76" s="212"/>
      <c r="AC76" s="212"/>
      <c r="AD76" s="212"/>
      <c r="AE76" s="450"/>
      <c r="AF76" s="212"/>
      <c r="AG76" s="212"/>
      <c r="AH76" s="212"/>
      <c r="AI76" s="212"/>
      <c r="AJ76" s="212"/>
      <c r="AK76" s="212"/>
      <c r="AL76" s="212"/>
      <c r="AM76" s="212"/>
      <c r="AN76" s="212"/>
      <c r="AO76" s="212"/>
      <c r="AP76" s="212"/>
      <c r="AQ76" s="212"/>
      <c r="AR76" s="212"/>
      <c r="AS76" s="212"/>
      <c r="AT76" s="212"/>
      <c r="AU76" s="212"/>
      <c r="AV76" s="212"/>
      <c r="AW76" s="212"/>
      <c r="AX76" s="212"/>
      <c r="AY76" s="212"/>
      <c r="AZ76" s="452"/>
      <c r="BA76" s="212"/>
      <c r="BB76" s="212"/>
      <c r="BC76" s="212"/>
      <c r="BD76" s="212"/>
      <c r="BE76" s="455"/>
      <c r="BF76" s="452"/>
    </row>
    <row r="77">
      <c r="A77" s="212"/>
      <c r="B77" s="447"/>
      <c r="C77" s="212"/>
      <c r="D77" s="212"/>
      <c r="E77" s="212"/>
      <c r="F77" s="212"/>
      <c r="G77" s="212"/>
      <c r="H77" s="212"/>
      <c r="I77" s="212"/>
      <c r="J77" s="212"/>
      <c r="K77" s="212"/>
      <c r="L77" s="212"/>
      <c r="M77" s="212"/>
      <c r="N77" s="212"/>
      <c r="O77" s="212"/>
      <c r="P77" s="212"/>
      <c r="Q77" s="212"/>
      <c r="R77" s="451"/>
      <c r="S77" s="451"/>
      <c r="T77" s="212"/>
      <c r="U77" s="451"/>
      <c r="V77" s="451"/>
      <c r="W77" s="451"/>
      <c r="X77" s="451"/>
      <c r="Y77" s="212"/>
      <c r="Z77" s="212"/>
      <c r="AA77" s="212"/>
      <c r="AB77" s="212"/>
      <c r="AC77" s="212"/>
      <c r="AD77" s="212"/>
      <c r="AE77" s="450"/>
      <c r="AF77" s="212"/>
      <c r="AG77" s="212"/>
      <c r="AH77" s="212"/>
      <c r="AI77" s="212"/>
      <c r="AJ77" s="212"/>
      <c r="AK77" s="212"/>
      <c r="AL77" s="212"/>
      <c r="AM77" s="212"/>
      <c r="AN77" s="212"/>
      <c r="AO77" s="212"/>
      <c r="AP77" s="212"/>
      <c r="AQ77" s="212"/>
      <c r="AR77" s="212"/>
      <c r="AS77" s="212"/>
      <c r="AT77" s="212"/>
      <c r="AU77" s="212"/>
      <c r="AV77" s="212"/>
      <c r="AW77" s="212"/>
      <c r="AX77" s="212"/>
      <c r="AY77" s="212"/>
      <c r="AZ77" s="452"/>
      <c r="BA77" s="212"/>
      <c r="BB77" s="212"/>
      <c r="BC77" s="212"/>
      <c r="BD77" s="212"/>
      <c r="BE77" s="455"/>
      <c r="BF77" s="452"/>
    </row>
    <row r="78">
      <c r="A78" s="212"/>
      <c r="B78" s="447"/>
      <c r="C78" s="212"/>
      <c r="D78" s="212"/>
      <c r="E78" s="212"/>
      <c r="F78" s="212"/>
      <c r="G78" s="212"/>
      <c r="H78" s="212"/>
      <c r="I78" s="212"/>
      <c r="J78" s="212"/>
      <c r="K78" s="212"/>
      <c r="L78" s="212"/>
      <c r="M78" s="212"/>
      <c r="N78" s="212"/>
      <c r="O78" s="212"/>
      <c r="P78" s="212"/>
      <c r="Q78" s="212"/>
      <c r="R78" s="451"/>
      <c r="S78" s="451"/>
      <c r="T78" s="212"/>
      <c r="U78" s="451"/>
      <c r="V78" s="451"/>
      <c r="W78" s="451"/>
      <c r="X78" s="451"/>
      <c r="Y78" s="212"/>
      <c r="Z78" s="212"/>
      <c r="AA78" s="212"/>
      <c r="AB78" s="212"/>
      <c r="AC78" s="212"/>
      <c r="AD78" s="212"/>
      <c r="AE78" s="450"/>
      <c r="AF78" s="212"/>
      <c r="AG78" s="212"/>
      <c r="AH78" s="212"/>
      <c r="AI78" s="212"/>
      <c r="AJ78" s="212"/>
      <c r="AK78" s="212"/>
      <c r="AL78" s="212"/>
      <c r="AM78" s="212"/>
      <c r="AN78" s="212"/>
      <c r="AO78" s="212"/>
      <c r="AP78" s="212"/>
      <c r="AQ78" s="212"/>
      <c r="AR78" s="212"/>
      <c r="AS78" s="212"/>
      <c r="AT78" s="212"/>
      <c r="AU78" s="212"/>
      <c r="AV78" s="212"/>
      <c r="AW78" s="212"/>
      <c r="AX78" s="212"/>
      <c r="AY78" s="212"/>
      <c r="AZ78" s="452"/>
      <c r="BA78" s="212"/>
      <c r="BB78" s="212"/>
      <c r="BC78" s="212"/>
      <c r="BD78" s="212"/>
      <c r="BE78" s="455"/>
      <c r="BF78" s="452"/>
    </row>
    <row r="79">
      <c r="A79" s="212"/>
      <c r="B79" s="447"/>
      <c r="C79" s="212"/>
      <c r="D79" s="212"/>
      <c r="E79" s="212"/>
      <c r="F79" s="212"/>
      <c r="G79" s="212"/>
      <c r="H79" s="212"/>
      <c r="I79" s="212"/>
      <c r="J79" s="212"/>
      <c r="K79" s="212"/>
      <c r="L79" s="212"/>
      <c r="M79" s="212"/>
      <c r="N79" s="212"/>
      <c r="O79" s="212"/>
      <c r="P79" s="212"/>
      <c r="Q79" s="212"/>
      <c r="R79" s="451"/>
      <c r="S79" s="451"/>
      <c r="T79" s="212"/>
      <c r="U79" s="451"/>
      <c r="V79" s="451"/>
      <c r="W79" s="451"/>
      <c r="X79" s="451"/>
      <c r="Y79" s="212"/>
      <c r="Z79" s="212"/>
      <c r="AA79" s="212"/>
      <c r="AB79" s="212"/>
      <c r="AC79" s="212"/>
      <c r="AD79" s="212"/>
      <c r="AE79" s="450"/>
      <c r="AF79" s="212"/>
      <c r="AG79" s="212"/>
      <c r="AH79" s="212"/>
      <c r="AI79" s="212"/>
      <c r="AJ79" s="212"/>
      <c r="AK79" s="212"/>
      <c r="AL79" s="212"/>
      <c r="AM79" s="212"/>
      <c r="AN79" s="212"/>
      <c r="AO79" s="212"/>
      <c r="AP79" s="212"/>
      <c r="AQ79" s="212"/>
      <c r="AR79" s="212"/>
      <c r="AS79" s="212"/>
      <c r="AT79" s="212"/>
      <c r="AU79" s="212"/>
      <c r="AV79" s="212"/>
      <c r="AW79" s="212"/>
      <c r="AX79" s="212"/>
      <c r="AY79" s="212"/>
      <c r="AZ79" s="452"/>
      <c r="BA79" s="212"/>
      <c r="BB79" s="212"/>
      <c r="BC79" s="212"/>
      <c r="BD79" s="212"/>
      <c r="BE79" s="455"/>
      <c r="BF79" s="452"/>
    </row>
    <row r="80">
      <c r="A80" s="212"/>
      <c r="B80" s="447"/>
      <c r="C80" s="212"/>
      <c r="D80" s="212"/>
      <c r="E80" s="212"/>
      <c r="F80" s="212"/>
      <c r="G80" s="212"/>
      <c r="H80" s="212"/>
      <c r="I80" s="212"/>
      <c r="J80" s="212"/>
      <c r="K80" s="212"/>
      <c r="L80" s="212"/>
      <c r="M80" s="212"/>
      <c r="N80" s="212"/>
      <c r="O80" s="212"/>
      <c r="P80" s="212"/>
      <c r="Q80" s="212"/>
      <c r="R80" s="451"/>
      <c r="S80" s="451"/>
      <c r="T80" s="212"/>
      <c r="U80" s="451"/>
      <c r="V80" s="451"/>
      <c r="W80" s="451"/>
      <c r="X80" s="451"/>
      <c r="Y80" s="212"/>
      <c r="Z80" s="212"/>
      <c r="AA80" s="212"/>
      <c r="AB80" s="212"/>
      <c r="AC80" s="212"/>
      <c r="AD80" s="212"/>
      <c r="AE80" s="450"/>
      <c r="AF80" s="212"/>
      <c r="AG80" s="212"/>
      <c r="AH80" s="212"/>
      <c r="AI80" s="212"/>
      <c r="AJ80" s="212"/>
      <c r="AK80" s="212"/>
      <c r="AL80" s="212"/>
      <c r="AM80" s="212"/>
      <c r="AN80" s="212"/>
      <c r="AO80" s="212"/>
      <c r="AP80" s="212"/>
      <c r="AQ80" s="212"/>
      <c r="AR80" s="212"/>
      <c r="AS80" s="212"/>
      <c r="AT80" s="212"/>
      <c r="AU80" s="212"/>
      <c r="AV80" s="212"/>
      <c r="AW80" s="212"/>
      <c r="AX80" s="212"/>
      <c r="AY80" s="212"/>
      <c r="AZ80" s="452"/>
      <c r="BA80" s="212"/>
      <c r="BB80" s="212"/>
      <c r="BC80" s="212"/>
      <c r="BD80" s="212"/>
      <c r="BE80" s="455"/>
      <c r="BF80" s="452"/>
    </row>
    <row r="81">
      <c r="A81" s="212"/>
      <c r="B81" s="447"/>
      <c r="C81" s="212"/>
      <c r="D81" s="212"/>
      <c r="E81" s="212"/>
      <c r="F81" s="212"/>
      <c r="G81" s="212"/>
      <c r="H81" s="212"/>
      <c r="I81" s="212"/>
      <c r="J81" s="212"/>
      <c r="K81" s="212"/>
      <c r="L81" s="212"/>
      <c r="M81" s="212"/>
      <c r="N81" s="212"/>
      <c r="O81" s="212"/>
      <c r="P81" s="212"/>
      <c r="Q81" s="212"/>
      <c r="R81" s="451"/>
      <c r="S81" s="451"/>
      <c r="T81" s="212"/>
      <c r="U81" s="451"/>
      <c r="V81" s="451"/>
      <c r="W81" s="451"/>
      <c r="X81" s="451"/>
      <c r="Y81" s="212"/>
      <c r="Z81" s="212"/>
      <c r="AA81" s="212"/>
      <c r="AB81" s="212"/>
      <c r="AC81" s="212"/>
      <c r="AD81" s="212"/>
      <c r="AE81" s="450"/>
      <c r="AF81" s="212"/>
      <c r="AG81" s="212"/>
      <c r="AH81" s="212"/>
      <c r="AI81" s="212"/>
      <c r="AJ81" s="212"/>
      <c r="AK81" s="212"/>
      <c r="AL81" s="212"/>
      <c r="AM81" s="212"/>
      <c r="AN81" s="212"/>
      <c r="AO81" s="212"/>
      <c r="AP81" s="212"/>
      <c r="AQ81" s="212"/>
      <c r="AR81" s="212"/>
      <c r="AS81" s="212"/>
      <c r="AT81" s="212"/>
      <c r="AU81" s="212"/>
      <c r="AV81" s="212"/>
      <c r="AW81" s="212"/>
      <c r="AX81" s="212"/>
      <c r="AY81" s="212"/>
      <c r="AZ81" s="452"/>
      <c r="BA81" s="212"/>
      <c r="BB81" s="212"/>
      <c r="BC81" s="212"/>
      <c r="BD81" s="212"/>
      <c r="BE81" s="455"/>
      <c r="BF81" s="452"/>
    </row>
    <row r="82">
      <c r="A82" s="212"/>
      <c r="B82" s="447"/>
      <c r="C82" s="212"/>
      <c r="D82" s="212"/>
      <c r="E82" s="212"/>
      <c r="F82" s="212"/>
      <c r="G82" s="212"/>
      <c r="H82" s="212"/>
      <c r="I82" s="212"/>
      <c r="J82" s="212"/>
      <c r="K82" s="212"/>
      <c r="L82" s="212"/>
      <c r="M82" s="212"/>
      <c r="N82" s="212"/>
      <c r="O82" s="212"/>
      <c r="P82" s="212"/>
      <c r="Q82" s="212"/>
      <c r="R82" s="451"/>
      <c r="S82" s="451"/>
      <c r="T82" s="212"/>
      <c r="U82" s="451"/>
      <c r="V82" s="451"/>
      <c r="W82" s="451"/>
      <c r="X82" s="451"/>
      <c r="Y82" s="212"/>
      <c r="Z82" s="212"/>
      <c r="AA82" s="212"/>
      <c r="AB82" s="212"/>
      <c r="AC82" s="212"/>
      <c r="AD82" s="212"/>
      <c r="AE82" s="450"/>
      <c r="AF82" s="212"/>
      <c r="AG82" s="212"/>
      <c r="AH82" s="212"/>
      <c r="AI82" s="212"/>
      <c r="AJ82" s="212"/>
      <c r="AK82" s="212"/>
      <c r="AL82" s="212"/>
      <c r="AM82" s="212"/>
      <c r="AN82" s="212"/>
      <c r="AO82" s="212"/>
      <c r="AP82" s="212"/>
      <c r="AQ82" s="212"/>
      <c r="AR82" s="212"/>
      <c r="AS82" s="212"/>
      <c r="AT82" s="212"/>
      <c r="AU82" s="212"/>
      <c r="AV82" s="212"/>
      <c r="AW82" s="212"/>
      <c r="AX82" s="212"/>
      <c r="AY82" s="212"/>
      <c r="AZ82" s="452"/>
      <c r="BA82" s="212"/>
      <c r="BB82" s="212"/>
      <c r="BC82" s="212"/>
      <c r="BD82" s="212"/>
      <c r="BE82" s="455"/>
      <c r="BF82" s="452"/>
    </row>
    <row r="83">
      <c r="A83" s="212"/>
      <c r="B83" s="447"/>
      <c r="C83" s="212"/>
      <c r="D83" s="212"/>
      <c r="E83" s="212"/>
      <c r="F83" s="212"/>
      <c r="G83" s="212"/>
      <c r="H83" s="212"/>
      <c r="I83" s="212"/>
      <c r="J83" s="212"/>
      <c r="K83" s="212"/>
      <c r="L83" s="212"/>
      <c r="M83" s="212"/>
      <c r="N83" s="212"/>
      <c r="O83" s="212"/>
      <c r="P83" s="212"/>
      <c r="Q83" s="212"/>
      <c r="R83" s="451"/>
      <c r="S83" s="451"/>
      <c r="T83" s="212"/>
      <c r="U83" s="451"/>
      <c r="V83" s="451"/>
      <c r="W83" s="451"/>
      <c r="X83" s="451"/>
      <c r="Y83" s="212"/>
      <c r="Z83" s="212"/>
      <c r="AA83" s="212"/>
      <c r="AB83" s="212"/>
      <c r="AC83" s="212"/>
      <c r="AD83" s="212"/>
      <c r="AE83" s="450"/>
      <c r="AF83" s="212"/>
      <c r="AG83" s="212"/>
      <c r="AH83" s="212"/>
      <c r="AI83" s="212"/>
      <c r="AJ83" s="212"/>
      <c r="AK83" s="212"/>
      <c r="AL83" s="212"/>
      <c r="AM83" s="212"/>
      <c r="AN83" s="212"/>
      <c r="AO83" s="212"/>
      <c r="AP83" s="212"/>
      <c r="AQ83" s="212"/>
      <c r="AR83" s="212"/>
      <c r="AS83" s="212"/>
      <c r="AT83" s="212"/>
      <c r="AU83" s="212"/>
      <c r="AV83" s="212"/>
      <c r="AW83" s="212"/>
      <c r="AX83" s="212"/>
      <c r="AY83" s="212"/>
      <c r="AZ83" s="452"/>
      <c r="BA83" s="212"/>
      <c r="BB83" s="212"/>
      <c r="BC83" s="212"/>
      <c r="BD83" s="212"/>
      <c r="BE83" s="455"/>
      <c r="BF83" s="452"/>
    </row>
    <row r="84">
      <c r="A84" s="212"/>
      <c r="B84" s="447"/>
      <c r="C84" s="212"/>
      <c r="D84" s="212"/>
      <c r="E84" s="212"/>
      <c r="F84" s="212"/>
      <c r="G84" s="212"/>
      <c r="H84" s="212"/>
      <c r="I84" s="212"/>
      <c r="J84" s="212"/>
      <c r="K84" s="212"/>
      <c r="L84" s="212"/>
      <c r="M84" s="212"/>
      <c r="N84" s="212"/>
      <c r="O84" s="212"/>
      <c r="P84" s="212"/>
      <c r="Q84" s="212"/>
      <c r="R84" s="451"/>
      <c r="S84" s="451"/>
      <c r="T84" s="212"/>
      <c r="U84" s="451"/>
      <c r="V84" s="451"/>
      <c r="W84" s="451"/>
      <c r="X84" s="451"/>
      <c r="Y84" s="212"/>
      <c r="Z84" s="212"/>
      <c r="AA84" s="212"/>
      <c r="AB84" s="212"/>
      <c r="AC84" s="212"/>
      <c r="AD84" s="212"/>
      <c r="AE84" s="450"/>
      <c r="AF84" s="212"/>
      <c r="AG84" s="212"/>
      <c r="AH84" s="212"/>
      <c r="AI84" s="212"/>
      <c r="AJ84" s="212"/>
      <c r="AK84" s="212"/>
      <c r="AL84" s="212"/>
      <c r="AM84" s="212"/>
      <c r="AN84" s="212"/>
      <c r="AO84" s="212"/>
      <c r="AP84" s="212"/>
      <c r="AQ84" s="212"/>
      <c r="AR84" s="212"/>
      <c r="AS84" s="212"/>
      <c r="AT84" s="212"/>
      <c r="AU84" s="212"/>
      <c r="AV84" s="212"/>
      <c r="AW84" s="212"/>
      <c r="AX84" s="212"/>
      <c r="AY84" s="212"/>
      <c r="AZ84" s="452"/>
      <c r="BA84" s="212"/>
      <c r="BB84" s="212"/>
      <c r="BC84" s="212"/>
      <c r="BD84" s="212"/>
      <c r="BE84" s="455"/>
      <c r="BF84" s="452"/>
    </row>
    <row r="85">
      <c r="A85" s="212"/>
      <c r="B85" s="447"/>
      <c r="C85" s="212"/>
      <c r="D85" s="212"/>
      <c r="E85" s="212"/>
      <c r="F85" s="212"/>
      <c r="G85" s="212"/>
      <c r="H85" s="212"/>
      <c r="I85" s="212"/>
      <c r="J85" s="212"/>
      <c r="K85" s="212"/>
      <c r="L85" s="212"/>
      <c r="M85" s="212"/>
      <c r="N85" s="212"/>
      <c r="O85" s="212"/>
      <c r="P85" s="212"/>
      <c r="Q85" s="212"/>
      <c r="R85" s="451"/>
      <c r="S85" s="451"/>
      <c r="T85" s="212"/>
      <c r="U85" s="451"/>
      <c r="V85" s="451"/>
      <c r="W85" s="451"/>
      <c r="X85" s="451"/>
      <c r="Y85" s="212"/>
      <c r="Z85" s="212"/>
      <c r="AA85" s="212"/>
      <c r="AB85" s="212"/>
      <c r="AC85" s="212"/>
      <c r="AD85" s="212"/>
      <c r="AE85" s="450"/>
      <c r="AF85" s="212"/>
      <c r="AG85" s="212"/>
      <c r="AH85" s="212"/>
      <c r="AI85" s="212"/>
      <c r="AJ85" s="212"/>
      <c r="AK85" s="212"/>
      <c r="AL85" s="212"/>
      <c r="AM85" s="212"/>
      <c r="AN85" s="212"/>
      <c r="AO85" s="212"/>
      <c r="AP85" s="212"/>
      <c r="AQ85" s="212"/>
      <c r="AR85" s="212"/>
      <c r="AS85" s="212"/>
      <c r="AT85" s="212"/>
      <c r="AU85" s="212"/>
      <c r="AV85" s="212"/>
      <c r="AW85" s="212"/>
      <c r="AX85" s="212"/>
      <c r="AY85" s="212"/>
      <c r="AZ85" s="452"/>
      <c r="BA85" s="212"/>
      <c r="BB85" s="212"/>
      <c r="BC85" s="212"/>
      <c r="BD85" s="212"/>
      <c r="BE85" s="455"/>
      <c r="BF85" s="452"/>
    </row>
    <row r="86">
      <c r="A86" s="212"/>
      <c r="B86" s="447"/>
      <c r="C86" s="212"/>
      <c r="D86" s="212"/>
      <c r="E86" s="212"/>
      <c r="F86" s="212"/>
      <c r="G86" s="212"/>
      <c r="H86" s="212"/>
      <c r="I86" s="212"/>
      <c r="J86" s="212"/>
      <c r="K86" s="212"/>
      <c r="L86" s="212"/>
      <c r="M86" s="212"/>
      <c r="N86" s="212"/>
      <c r="O86" s="212"/>
      <c r="P86" s="212"/>
      <c r="Q86" s="212"/>
      <c r="R86" s="451"/>
      <c r="S86" s="451"/>
      <c r="T86" s="212"/>
      <c r="U86" s="451"/>
      <c r="V86" s="451"/>
      <c r="W86" s="451"/>
      <c r="X86" s="451"/>
      <c r="Y86" s="212"/>
      <c r="Z86" s="212"/>
      <c r="AA86" s="212"/>
      <c r="AB86" s="212"/>
      <c r="AC86" s="212"/>
      <c r="AD86" s="212"/>
      <c r="AE86" s="450"/>
      <c r="AF86" s="212"/>
      <c r="AG86" s="212"/>
      <c r="AH86" s="212"/>
      <c r="AI86" s="212"/>
      <c r="AJ86" s="212"/>
      <c r="AK86" s="212"/>
      <c r="AL86" s="212"/>
      <c r="AM86" s="212"/>
      <c r="AN86" s="212"/>
      <c r="AO86" s="212"/>
      <c r="AP86" s="212"/>
      <c r="AQ86" s="212"/>
      <c r="AR86" s="212"/>
      <c r="AS86" s="212"/>
      <c r="AT86" s="212"/>
      <c r="AU86" s="212"/>
      <c r="AV86" s="212"/>
      <c r="AW86" s="212"/>
      <c r="AX86" s="212"/>
      <c r="AY86" s="212"/>
      <c r="AZ86" s="452"/>
      <c r="BA86" s="212"/>
      <c r="BB86" s="212"/>
      <c r="BC86" s="212"/>
      <c r="BD86" s="212"/>
      <c r="BE86" s="455"/>
      <c r="BF86" s="452"/>
    </row>
    <row r="87">
      <c r="A87" s="212"/>
      <c r="B87" s="447"/>
      <c r="C87" s="212"/>
      <c r="D87" s="212"/>
      <c r="E87" s="212"/>
      <c r="F87" s="212"/>
      <c r="G87" s="212"/>
      <c r="H87" s="212"/>
      <c r="I87" s="212"/>
      <c r="J87" s="212"/>
      <c r="K87" s="212"/>
      <c r="L87" s="212"/>
      <c r="M87" s="212"/>
      <c r="N87" s="212"/>
      <c r="O87" s="212"/>
      <c r="P87" s="212"/>
      <c r="Q87" s="212"/>
      <c r="R87" s="451"/>
      <c r="S87" s="451"/>
      <c r="T87" s="212"/>
      <c r="U87" s="451"/>
      <c r="V87" s="451"/>
      <c r="W87" s="451"/>
      <c r="X87" s="451"/>
      <c r="Y87" s="212"/>
      <c r="Z87" s="212"/>
      <c r="AA87" s="212"/>
      <c r="AB87" s="212"/>
      <c r="AC87" s="212"/>
      <c r="AD87" s="212"/>
      <c r="AE87" s="450"/>
      <c r="AF87" s="212"/>
      <c r="AG87" s="212"/>
      <c r="AH87" s="212"/>
      <c r="AI87" s="212"/>
      <c r="AJ87" s="212"/>
      <c r="AK87" s="212"/>
      <c r="AL87" s="212"/>
      <c r="AM87" s="212"/>
      <c r="AN87" s="212"/>
      <c r="AO87" s="212"/>
      <c r="AP87" s="212"/>
      <c r="AQ87" s="212"/>
      <c r="AR87" s="212"/>
      <c r="AS87" s="212"/>
      <c r="AT87" s="212"/>
      <c r="AU87" s="212"/>
      <c r="AV87" s="212"/>
      <c r="AW87" s="212"/>
      <c r="AX87" s="212"/>
      <c r="AY87" s="212"/>
      <c r="AZ87" s="452"/>
      <c r="BA87" s="212"/>
      <c r="BB87" s="212"/>
      <c r="BC87" s="212"/>
      <c r="BD87" s="212"/>
      <c r="BE87" s="455"/>
      <c r="BF87" s="452"/>
    </row>
    <row r="88">
      <c r="A88" s="212"/>
      <c r="B88" s="447"/>
      <c r="C88" s="212"/>
      <c r="D88" s="212"/>
      <c r="E88" s="212"/>
      <c r="F88" s="212"/>
      <c r="G88" s="212"/>
      <c r="H88" s="212"/>
      <c r="I88" s="212"/>
      <c r="J88" s="212"/>
      <c r="K88" s="212"/>
      <c r="L88" s="212"/>
      <c r="M88" s="212"/>
      <c r="N88" s="212"/>
      <c r="O88" s="212"/>
      <c r="P88" s="212"/>
      <c r="Q88" s="212"/>
      <c r="R88" s="451"/>
      <c r="S88" s="451"/>
      <c r="T88" s="212"/>
      <c r="U88" s="451"/>
      <c r="V88" s="451"/>
      <c r="W88" s="451"/>
      <c r="X88" s="451"/>
      <c r="Y88" s="212"/>
      <c r="Z88" s="212"/>
      <c r="AA88" s="212"/>
      <c r="AB88" s="212"/>
      <c r="AC88" s="212"/>
      <c r="AD88" s="212"/>
      <c r="AE88" s="450"/>
      <c r="AF88" s="212"/>
      <c r="AG88" s="212"/>
      <c r="AH88" s="212"/>
      <c r="AI88" s="212"/>
      <c r="AJ88" s="212"/>
      <c r="AK88" s="212"/>
      <c r="AL88" s="212"/>
      <c r="AM88" s="212"/>
      <c r="AN88" s="212"/>
      <c r="AO88" s="212"/>
      <c r="AP88" s="212"/>
      <c r="AQ88" s="212"/>
      <c r="AR88" s="212"/>
      <c r="AS88" s="212"/>
      <c r="AT88" s="212"/>
      <c r="AU88" s="212"/>
      <c r="AV88" s="212"/>
      <c r="AW88" s="212"/>
      <c r="AX88" s="212"/>
      <c r="AY88" s="212"/>
      <c r="AZ88" s="452"/>
      <c r="BA88" s="212"/>
      <c r="BB88" s="212"/>
      <c r="BC88" s="212"/>
      <c r="BD88" s="212"/>
      <c r="BE88" s="455"/>
      <c r="BF88" s="452"/>
    </row>
    <row r="89">
      <c r="A89" s="212"/>
      <c r="B89" s="447"/>
      <c r="C89" s="212"/>
      <c r="D89" s="212"/>
      <c r="E89" s="212"/>
      <c r="F89" s="212"/>
      <c r="G89" s="212"/>
      <c r="H89" s="212"/>
      <c r="I89" s="212"/>
      <c r="J89" s="212"/>
      <c r="K89" s="212"/>
      <c r="L89" s="212"/>
      <c r="M89" s="212"/>
      <c r="N89" s="212"/>
      <c r="O89" s="212"/>
      <c r="P89" s="212"/>
      <c r="Q89" s="212"/>
      <c r="R89" s="451"/>
      <c r="S89" s="451"/>
      <c r="T89" s="212"/>
      <c r="U89" s="451"/>
      <c r="V89" s="451"/>
      <c r="W89" s="451"/>
      <c r="X89" s="451"/>
      <c r="Y89" s="212"/>
      <c r="Z89" s="212"/>
      <c r="AA89" s="212"/>
      <c r="AB89" s="212"/>
      <c r="AC89" s="212"/>
      <c r="AD89" s="212"/>
      <c r="AE89" s="450"/>
      <c r="AF89" s="212"/>
      <c r="AG89" s="212"/>
      <c r="AH89" s="212"/>
      <c r="AI89" s="212"/>
      <c r="AJ89" s="212"/>
      <c r="AK89" s="212"/>
      <c r="AL89" s="212"/>
      <c r="AM89" s="212"/>
      <c r="AN89" s="212"/>
      <c r="AO89" s="212"/>
      <c r="AP89" s="212"/>
      <c r="AQ89" s="212"/>
      <c r="AR89" s="212"/>
      <c r="AS89" s="212"/>
      <c r="AT89" s="212"/>
      <c r="AU89" s="212"/>
      <c r="AV89" s="212"/>
      <c r="AW89" s="212"/>
      <c r="AX89" s="212"/>
      <c r="AY89" s="212"/>
      <c r="AZ89" s="452"/>
      <c r="BA89" s="212"/>
      <c r="BB89" s="212"/>
      <c r="BC89" s="212"/>
      <c r="BD89" s="212"/>
      <c r="BE89" s="455"/>
      <c r="BF89" s="452"/>
    </row>
    <row r="90">
      <c r="A90" s="212"/>
      <c r="B90" s="447"/>
      <c r="C90" s="212"/>
      <c r="D90" s="212"/>
      <c r="E90" s="212"/>
      <c r="F90" s="212"/>
      <c r="G90" s="212"/>
      <c r="H90" s="212"/>
      <c r="I90" s="212"/>
      <c r="J90" s="212"/>
      <c r="K90" s="212"/>
      <c r="L90" s="212"/>
      <c r="M90" s="212"/>
      <c r="N90" s="212"/>
      <c r="O90" s="212"/>
      <c r="P90" s="212"/>
      <c r="Q90" s="212"/>
      <c r="R90" s="451"/>
      <c r="S90" s="451"/>
      <c r="T90" s="212"/>
      <c r="U90" s="451"/>
      <c r="V90" s="451"/>
      <c r="W90" s="451"/>
      <c r="X90" s="451"/>
      <c r="Y90" s="212"/>
      <c r="Z90" s="212"/>
      <c r="AA90" s="212"/>
      <c r="AB90" s="212"/>
      <c r="AC90" s="212"/>
      <c r="AD90" s="212"/>
      <c r="AE90" s="450"/>
      <c r="AF90" s="212"/>
      <c r="AG90" s="212"/>
      <c r="AH90" s="212"/>
      <c r="AI90" s="212"/>
      <c r="AJ90" s="212"/>
      <c r="AK90" s="212"/>
      <c r="AL90" s="212"/>
      <c r="AM90" s="212"/>
      <c r="AN90" s="212"/>
      <c r="AO90" s="212"/>
      <c r="AP90" s="212"/>
      <c r="AQ90" s="212"/>
      <c r="AR90" s="212"/>
      <c r="AS90" s="212"/>
      <c r="AT90" s="212"/>
      <c r="AU90" s="212"/>
      <c r="AV90" s="212"/>
      <c r="AW90" s="212"/>
      <c r="AX90" s="212"/>
      <c r="AY90" s="212"/>
      <c r="AZ90" s="452"/>
      <c r="BA90" s="212"/>
      <c r="BB90" s="212"/>
      <c r="BC90" s="212"/>
      <c r="BD90" s="212"/>
      <c r="BE90" s="455"/>
      <c r="BF90" s="452"/>
    </row>
    <row r="91">
      <c r="A91" s="212"/>
      <c r="B91" s="447"/>
      <c r="C91" s="212"/>
      <c r="D91" s="212"/>
      <c r="E91" s="212"/>
      <c r="F91" s="212"/>
      <c r="G91" s="212"/>
      <c r="H91" s="212"/>
      <c r="I91" s="212"/>
      <c r="J91" s="212"/>
      <c r="K91" s="212"/>
      <c r="L91" s="212"/>
      <c r="M91" s="212"/>
      <c r="N91" s="212"/>
      <c r="O91" s="212"/>
      <c r="P91" s="212"/>
      <c r="Q91" s="212"/>
      <c r="R91" s="451"/>
      <c r="S91" s="451"/>
      <c r="T91" s="212"/>
      <c r="U91" s="451"/>
      <c r="V91" s="451"/>
      <c r="W91" s="451"/>
      <c r="X91" s="451"/>
      <c r="Y91" s="212"/>
      <c r="Z91" s="212"/>
      <c r="AA91" s="212"/>
      <c r="AB91" s="212"/>
      <c r="AC91" s="212"/>
      <c r="AD91" s="212"/>
      <c r="AE91" s="450"/>
      <c r="AF91" s="212"/>
      <c r="AG91" s="212"/>
      <c r="AH91" s="212"/>
      <c r="AI91" s="212"/>
      <c r="AJ91" s="212"/>
      <c r="AK91" s="212"/>
      <c r="AL91" s="212"/>
      <c r="AM91" s="212"/>
      <c r="AN91" s="212"/>
      <c r="AO91" s="212"/>
      <c r="AP91" s="212"/>
      <c r="AQ91" s="212"/>
      <c r="AR91" s="212"/>
      <c r="AS91" s="212"/>
      <c r="AT91" s="212"/>
      <c r="AU91" s="212"/>
      <c r="AV91" s="212"/>
      <c r="AW91" s="212"/>
      <c r="AX91" s="212"/>
      <c r="AY91" s="212"/>
      <c r="AZ91" s="452"/>
      <c r="BA91" s="212"/>
      <c r="BB91" s="212"/>
      <c r="BC91" s="212"/>
      <c r="BD91" s="212"/>
      <c r="BE91" s="455"/>
      <c r="BF91" s="452"/>
    </row>
    <row r="92">
      <c r="A92" s="212"/>
      <c r="B92" s="447"/>
      <c r="C92" s="212"/>
      <c r="D92" s="212"/>
      <c r="E92" s="212"/>
      <c r="F92" s="212"/>
      <c r="G92" s="212"/>
      <c r="H92" s="212"/>
      <c r="I92" s="212"/>
      <c r="J92" s="212"/>
      <c r="K92" s="212"/>
      <c r="L92" s="212"/>
      <c r="M92" s="212"/>
      <c r="N92" s="212"/>
      <c r="O92" s="212"/>
      <c r="P92" s="212"/>
      <c r="Q92" s="212"/>
      <c r="R92" s="451"/>
      <c r="S92" s="451"/>
      <c r="T92" s="212"/>
      <c r="U92" s="451"/>
      <c r="V92" s="451"/>
      <c r="W92" s="451"/>
      <c r="X92" s="451"/>
      <c r="Y92" s="212"/>
      <c r="Z92" s="212"/>
      <c r="AA92" s="212"/>
      <c r="AB92" s="212"/>
      <c r="AC92" s="212"/>
      <c r="AD92" s="212"/>
      <c r="AE92" s="450"/>
      <c r="AF92" s="212"/>
      <c r="AG92" s="212"/>
      <c r="AH92" s="212"/>
      <c r="AI92" s="212"/>
      <c r="AJ92" s="212"/>
      <c r="AK92" s="212"/>
      <c r="AL92" s="212"/>
      <c r="AM92" s="212"/>
      <c r="AN92" s="212"/>
      <c r="AO92" s="212"/>
      <c r="AP92" s="212"/>
      <c r="AQ92" s="212"/>
      <c r="AR92" s="212"/>
      <c r="AS92" s="212"/>
      <c r="AT92" s="212"/>
      <c r="AU92" s="212"/>
      <c r="AV92" s="212"/>
      <c r="AW92" s="212"/>
      <c r="AX92" s="212"/>
      <c r="AY92" s="212"/>
      <c r="AZ92" s="452"/>
      <c r="BA92" s="212"/>
      <c r="BB92" s="212"/>
      <c r="BC92" s="212"/>
      <c r="BD92" s="212"/>
      <c r="BE92" s="455"/>
      <c r="BF92" s="452"/>
    </row>
    <row r="93">
      <c r="A93" s="212"/>
      <c r="B93" s="447"/>
      <c r="C93" s="212"/>
      <c r="D93" s="212"/>
      <c r="E93" s="212"/>
      <c r="F93" s="212"/>
      <c r="G93" s="212"/>
      <c r="H93" s="212"/>
      <c r="I93" s="212"/>
      <c r="J93" s="212"/>
      <c r="K93" s="212"/>
      <c r="L93" s="212"/>
      <c r="M93" s="212"/>
      <c r="N93" s="212"/>
      <c r="O93" s="212"/>
      <c r="P93" s="212"/>
      <c r="Q93" s="212"/>
      <c r="R93" s="451"/>
      <c r="S93" s="451"/>
      <c r="T93" s="212"/>
      <c r="U93" s="451"/>
      <c r="V93" s="451"/>
      <c r="W93" s="451"/>
      <c r="X93" s="451"/>
      <c r="Y93" s="212"/>
      <c r="Z93" s="212"/>
      <c r="AA93" s="212"/>
      <c r="AB93" s="212"/>
      <c r="AC93" s="212"/>
      <c r="AD93" s="212"/>
      <c r="AE93" s="450"/>
      <c r="AF93" s="212"/>
      <c r="AG93" s="212"/>
      <c r="AH93" s="212"/>
      <c r="AI93" s="212"/>
      <c r="AJ93" s="212"/>
      <c r="AK93" s="212"/>
      <c r="AL93" s="212"/>
      <c r="AM93" s="212"/>
      <c r="AN93" s="212"/>
      <c r="AO93" s="212"/>
      <c r="AP93" s="212"/>
      <c r="AQ93" s="212"/>
      <c r="AR93" s="212"/>
      <c r="AS93" s="212"/>
      <c r="AT93" s="212"/>
      <c r="AU93" s="212"/>
      <c r="AV93" s="212"/>
      <c r="AW93" s="212"/>
      <c r="AX93" s="212"/>
      <c r="AY93" s="212"/>
      <c r="AZ93" s="452"/>
      <c r="BA93" s="212"/>
      <c r="BB93" s="212"/>
      <c r="BC93" s="212"/>
      <c r="BD93" s="212"/>
      <c r="BE93" s="455"/>
      <c r="BF93" s="452"/>
    </row>
    <row r="94">
      <c r="A94" s="212"/>
      <c r="B94" s="447"/>
      <c r="C94" s="212"/>
      <c r="D94" s="212"/>
      <c r="E94" s="212"/>
      <c r="F94" s="212"/>
      <c r="G94" s="212"/>
      <c r="H94" s="212"/>
      <c r="I94" s="212"/>
      <c r="J94" s="212"/>
      <c r="K94" s="212"/>
      <c r="L94" s="212"/>
      <c r="M94" s="212"/>
      <c r="N94" s="212"/>
      <c r="O94" s="212"/>
      <c r="P94" s="212"/>
      <c r="Q94" s="212"/>
      <c r="R94" s="451"/>
      <c r="S94" s="451"/>
      <c r="T94" s="212"/>
      <c r="U94" s="451"/>
      <c r="V94" s="451"/>
      <c r="W94" s="451"/>
      <c r="X94" s="451"/>
      <c r="Y94" s="212"/>
      <c r="Z94" s="212"/>
      <c r="AA94" s="212"/>
      <c r="AB94" s="212"/>
      <c r="AC94" s="212"/>
      <c r="AD94" s="212"/>
      <c r="AE94" s="450"/>
      <c r="AF94" s="212"/>
      <c r="AG94" s="212"/>
      <c r="AH94" s="212"/>
      <c r="AI94" s="212"/>
      <c r="AJ94" s="212"/>
      <c r="AK94" s="212"/>
      <c r="AL94" s="212"/>
      <c r="AM94" s="212"/>
      <c r="AN94" s="212"/>
      <c r="AO94" s="212"/>
      <c r="AP94" s="212"/>
      <c r="AQ94" s="212"/>
      <c r="AR94" s="212"/>
      <c r="AS94" s="212"/>
      <c r="AT94" s="212"/>
      <c r="AU94" s="212"/>
      <c r="AV94" s="212"/>
      <c r="AW94" s="212"/>
      <c r="AX94" s="212"/>
      <c r="AY94" s="212"/>
      <c r="AZ94" s="452"/>
      <c r="BA94" s="212"/>
      <c r="BB94" s="212"/>
      <c r="BC94" s="212"/>
      <c r="BD94" s="212"/>
      <c r="BE94" s="455"/>
      <c r="BF94" s="452"/>
    </row>
    <row r="95">
      <c r="A95" s="212"/>
      <c r="B95" s="447"/>
      <c r="C95" s="212"/>
      <c r="D95" s="212"/>
      <c r="E95" s="212"/>
      <c r="F95" s="212"/>
      <c r="G95" s="212"/>
      <c r="H95" s="212"/>
      <c r="I95" s="212"/>
      <c r="J95" s="212"/>
      <c r="K95" s="212"/>
      <c r="L95" s="212"/>
      <c r="M95" s="212"/>
      <c r="N95" s="212"/>
      <c r="O95" s="212"/>
      <c r="P95" s="212"/>
      <c r="Q95" s="212"/>
      <c r="R95" s="451"/>
      <c r="S95" s="451"/>
      <c r="T95" s="212"/>
      <c r="U95" s="451"/>
      <c r="V95" s="451"/>
      <c r="W95" s="451"/>
      <c r="X95" s="451"/>
      <c r="Y95" s="212"/>
      <c r="Z95" s="212"/>
      <c r="AA95" s="212"/>
      <c r="AB95" s="212"/>
      <c r="AC95" s="212"/>
      <c r="AD95" s="212"/>
      <c r="AE95" s="450"/>
      <c r="AF95" s="212"/>
      <c r="AG95" s="212"/>
      <c r="AH95" s="212"/>
      <c r="AI95" s="212"/>
      <c r="AJ95" s="212"/>
      <c r="AK95" s="212"/>
      <c r="AL95" s="212"/>
      <c r="AM95" s="212"/>
      <c r="AN95" s="212"/>
      <c r="AO95" s="212"/>
      <c r="AP95" s="212"/>
      <c r="AQ95" s="212"/>
      <c r="AR95" s="212"/>
      <c r="AS95" s="212"/>
      <c r="AT95" s="212"/>
      <c r="AU95" s="212"/>
      <c r="AV95" s="212"/>
      <c r="AW95" s="212"/>
      <c r="AX95" s="212"/>
      <c r="AY95" s="212"/>
      <c r="AZ95" s="452"/>
      <c r="BA95" s="212"/>
      <c r="BB95" s="212"/>
      <c r="BC95" s="212"/>
      <c r="BD95" s="212"/>
      <c r="BE95" s="455"/>
      <c r="BF95" s="452"/>
    </row>
    <row r="96">
      <c r="A96" s="212"/>
      <c r="B96" s="447"/>
      <c r="C96" s="212"/>
      <c r="D96" s="212"/>
      <c r="E96" s="212"/>
      <c r="F96" s="212"/>
      <c r="G96" s="212"/>
      <c r="H96" s="212"/>
      <c r="I96" s="212"/>
      <c r="J96" s="212"/>
      <c r="K96" s="212"/>
      <c r="L96" s="212"/>
      <c r="M96" s="212"/>
      <c r="N96" s="212"/>
      <c r="O96" s="212"/>
      <c r="P96" s="212"/>
      <c r="Q96" s="212"/>
      <c r="R96" s="451"/>
      <c r="S96" s="451"/>
      <c r="T96" s="212"/>
      <c r="U96" s="451"/>
      <c r="V96" s="451"/>
      <c r="W96" s="451"/>
      <c r="X96" s="451"/>
      <c r="Y96" s="212"/>
      <c r="Z96" s="212"/>
      <c r="AA96" s="212"/>
      <c r="AB96" s="212"/>
      <c r="AC96" s="212"/>
      <c r="AD96" s="212"/>
      <c r="AE96" s="450"/>
      <c r="AF96" s="212"/>
      <c r="AG96" s="212"/>
      <c r="AH96" s="212"/>
      <c r="AI96" s="212"/>
      <c r="AJ96" s="212"/>
      <c r="AK96" s="212"/>
      <c r="AL96" s="212"/>
      <c r="AM96" s="212"/>
      <c r="AN96" s="212"/>
      <c r="AO96" s="212"/>
      <c r="AP96" s="212"/>
      <c r="AQ96" s="212"/>
      <c r="AR96" s="212"/>
      <c r="AS96" s="212"/>
      <c r="AT96" s="212"/>
      <c r="AU96" s="212"/>
      <c r="AV96" s="212"/>
      <c r="AW96" s="212"/>
      <c r="AX96" s="212"/>
      <c r="AY96" s="212"/>
      <c r="AZ96" s="452"/>
      <c r="BA96" s="212"/>
      <c r="BB96" s="212"/>
      <c r="BC96" s="212"/>
      <c r="BD96" s="212"/>
      <c r="BE96" s="455"/>
      <c r="BF96" s="452"/>
    </row>
    <row r="97">
      <c r="A97" s="212"/>
      <c r="B97" s="447"/>
      <c r="C97" s="212"/>
      <c r="D97" s="212"/>
      <c r="E97" s="212"/>
      <c r="F97" s="212"/>
      <c r="G97" s="212"/>
      <c r="H97" s="212"/>
      <c r="I97" s="212"/>
      <c r="J97" s="212"/>
      <c r="K97" s="212"/>
      <c r="L97" s="212"/>
      <c r="M97" s="212"/>
      <c r="N97" s="212"/>
      <c r="O97" s="212"/>
      <c r="P97" s="212"/>
      <c r="Q97" s="212"/>
      <c r="R97" s="451"/>
      <c r="S97" s="451"/>
      <c r="T97" s="212"/>
      <c r="U97" s="451"/>
      <c r="V97" s="451"/>
      <c r="W97" s="451"/>
      <c r="X97" s="451"/>
      <c r="Y97" s="212"/>
      <c r="Z97" s="212"/>
      <c r="AA97" s="212"/>
      <c r="AB97" s="212"/>
      <c r="AC97" s="212"/>
      <c r="AD97" s="212"/>
      <c r="AE97" s="450"/>
      <c r="AF97" s="212"/>
      <c r="AG97" s="212"/>
      <c r="AH97" s="212"/>
      <c r="AI97" s="212"/>
      <c r="AJ97" s="212"/>
      <c r="AK97" s="212"/>
      <c r="AL97" s="212"/>
      <c r="AM97" s="212"/>
      <c r="AN97" s="212"/>
      <c r="AO97" s="212"/>
      <c r="AP97" s="212"/>
      <c r="AQ97" s="212"/>
      <c r="AR97" s="212"/>
      <c r="AS97" s="212"/>
      <c r="AT97" s="212"/>
      <c r="AU97" s="212"/>
      <c r="AV97" s="212"/>
      <c r="AW97" s="212"/>
      <c r="AX97" s="212"/>
      <c r="AY97" s="212"/>
      <c r="AZ97" s="452"/>
      <c r="BA97" s="212"/>
      <c r="BB97" s="212"/>
      <c r="BC97" s="212"/>
      <c r="BD97" s="212"/>
      <c r="BE97" s="455"/>
      <c r="BF97" s="452"/>
    </row>
    <row r="98">
      <c r="A98" s="212"/>
      <c r="B98" s="447"/>
      <c r="C98" s="212"/>
      <c r="D98" s="212"/>
      <c r="E98" s="212"/>
      <c r="F98" s="212"/>
      <c r="G98" s="212"/>
      <c r="H98" s="212"/>
      <c r="I98" s="212"/>
      <c r="J98" s="212"/>
      <c r="K98" s="212"/>
      <c r="L98" s="212"/>
      <c r="M98" s="212"/>
      <c r="N98" s="212"/>
      <c r="O98" s="212"/>
      <c r="P98" s="212"/>
      <c r="Q98" s="212"/>
      <c r="R98" s="451"/>
      <c r="S98" s="451"/>
      <c r="T98" s="212"/>
      <c r="U98" s="451"/>
      <c r="V98" s="451"/>
      <c r="W98" s="451"/>
      <c r="X98" s="451"/>
      <c r="Y98" s="212"/>
      <c r="Z98" s="212"/>
      <c r="AA98" s="212"/>
      <c r="AB98" s="212"/>
      <c r="AC98" s="212"/>
      <c r="AD98" s="212"/>
      <c r="AE98" s="450"/>
      <c r="AF98" s="212"/>
      <c r="AG98" s="212"/>
      <c r="AH98" s="212"/>
      <c r="AI98" s="212"/>
      <c r="AJ98" s="212"/>
      <c r="AK98" s="212"/>
      <c r="AL98" s="212"/>
      <c r="AM98" s="212"/>
      <c r="AN98" s="212"/>
      <c r="AO98" s="212"/>
      <c r="AP98" s="212"/>
      <c r="AQ98" s="212"/>
      <c r="AR98" s="212"/>
      <c r="AS98" s="212"/>
      <c r="AT98" s="212"/>
      <c r="AU98" s="212"/>
      <c r="AV98" s="212"/>
      <c r="AW98" s="212"/>
      <c r="AX98" s="212"/>
      <c r="AY98" s="212"/>
      <c r="AZ98" s="452"/>
      <c r="BA98" s="212"/>
      <c r="BB98" s="212"/>
      <c r="BC98" s="212"/>
      <c r="BD98" s="212"/>
      <c r="BE98" s="455"/>
      <c r="BF98" s="452"/>
    </row>
    <row r="99">
      <c r="A99" s="212"/>
      <c r="B99" s="447"/>
      <c r="C99" s="212"/>
      <c r="D99" s="212"/>
      <c r="E99" s="212"/>
      <c r="F99" s="212"/>
      <c r="G99" s="212"/>
      <c r="H99" s="212"/>
      <c r="I99" s="212"/>
      <c r="J99" s="212"/>
      <c r="K99" s="212"/>
      <c r="L99" s="212"/>
      <c r="M99" s="212"/>
      <c r="N99" s="212"/>
      <c r="O99" s="212"/>
      <c r="P99" s="212"/>
      <c r="Q99" s="212"/>
      <c r="R99" s="451"/>
      <c r="S99" s="451"/>
      <c r="T99" s="212"/>
      <c r="U99" s="451"/>
      <c r="V99" s="451"/>
      <c r="W99" s="451"/>
      <c r="X99" s="451"/>
      <c r="Y99" s="212"/>
      <c r="Z99" s="212"/>
      <c r="AA99" s="212"/>
      <c r="AB99" s="212"/>
      <c r="AC99" s="212"/>
      <c r="AD99" s="212"/>
      <c r="AE99" s="450"/>
      <c r="AF99" s="212"/>
      <c r="AG99" s="212"/>
      <c r="AH99" s="212"/>
      <c r="AI99" s="212"/>
      <c r="AJ99" s="212"/>
      <c r="AK99" s="212"/>
      <c r="AL99" s="212"/>
      <c r="AM99" s="212"/>
      <c r="AN99" s="212"/>
      <c r="AO99" s="212"/>
      <c r="AP99" s="212"/>
      <c r="AQ99" s="212"/>
      <c r="AR99" s="212"/>
      <c r="AS99" s="212"/>
      <c r="AT99" s="212"/>
      <c r="AU99" s="212"/>
      <c r="AV99" s="212"/>
      <c r="AW99" s="212"/>
      <c r="AX99" s="212"/>
      <c r="AY99" s="212"/>
      <c r="AZ99" s="452"/>
      <c r="BA99" s="212"/>
      <c r="BB99" s="212"/>
      <c r="BC99" s="212"/>
      <c r="BD99" s="212"/>
      <c r="BE99" s="455"/>
      <c r="BF99" s="452"/>
    </row>
    <row r="100">
      <c r="A100" s="212"/>
      <c r="B100" s="447"/>
      <c r="C100" s="212"/>
      <c r="D100" s="212"/>
      <c r="E100" s="212"/>
      <c r="F100" s="212"/>
      <c r="G100" s="212"/>
      <c r="H100" s="212"/>
      <c r="I100" s="212"/>
      <c r="J100" s="212"/>
      <c r="K100" s="212"/>
      <c r="L100" s="212"/>
      <c r="M100" s="212"/>
      <c r="N100" s="212"/>
      <c r="O100" s="212"/>
      <c r="P100" s="212"/>
      <c r="Q100" s="212"/>
      <c r="R100" s="451"/>
      <c r="S100" s="451"/>
      <c r="T100" s="212"/>
      <c r="U100" s="451"/>
      <c r="V100" s="451"/>
      <c r="W100" s="451"/>
      <c r="X100" s="451"/>
      <c r="Y100" s="212"/>
      <c r="Z100" s="212"/>
      <c r="AA100" s="212"/>
      <c r="AB100" s="212"/>
      <c r="AC100" s="212"/>
      <c r="AD100" s="212"/>
      <c r="AE100" s="450"/>
      <c r="AF100" s="212"/>
      <c r="AG100" s="212"/>
      <c r="AH100" s="212"/>
      <c r="AI100" s="212"/>
      <c r="AJ100" s="212"/>
      <c r="AK100" s="212"/>
      <c r="AL100" s="212"/>
      <c r="AM100" s="212"/>
      <c r="AN100" s="212"/>
      <c r="AO100" s="212"/>
      <c r="AP100" s="212"/>
      <c r="AQ100" s="212"/>
      <c r="AR100" s="212"/>
      <c r="AS100" s="212"/>
      <c r="AT100" s="212"/>
      <c r="AU100" s="212"/>
      <c r="AV100" s="212"/>
      <c r="AW100" s="212"/>
      <c r="AX100" s="212"/>
      <c r="AY100" s="212"/>
      <c r="AZ100" s="452"/>
      <c r="BA100" s="212"/>
      <c r="BB100" s="212"/>
      <c r="BC100" s="212"/>
      <c r="BD100" s="212"/>
      <c r="BE100" s="455"/>
      <c r="BF100" s="452"/>
    </row>
    <row r="101">
      <c r="A101" s="212"/>
      <c r="B101" s="447"/>
      <c r="C101" s="212"/>
      <c r="D101" s="212"/>
      <c r="E101" s="212"/>
      <c r="F101" s="212"/>
      <c r="G101" s="212"/>
      <c r="H101" s="212"/>
      <c r="I101" s="212"/>
      <c r="J101" s="212"/>
      <c r="K101" s="212"/>
      <c r="L101" s="212"/>
      <c r="M101" s="212"/>
      <c r="N101" s="212"/>
      <c r="O101" s="212"/>
      <c r="P101" s="212"/>
      <c r="Q101" s="212"/>
      <c r="R101" s="451"/>
      <c r="S101" s="451"/>
      <c r="T101" s="212"/>
      <c r="U101" s="451"/>
      <c r="V101" s="451"/>
      <c r="W101" s="451"/>
      <c r="X101" s="451"/>
      <c r="Y101" s="212"/>
      <c r="Z101" s="212"/>
      <c r="AA101" s="212"/>
      <c r="AB101" s="212"/>
      <c r="AC101" s="212"/>
      <c r="AD101" s="212"/>
      <c r="AE101" s="450"/>
      <c r="AF101" s="212"/>
      <c r="AG101" s="212"/>
      <c r="AH101" s="212"/>
      <c r="AI101" s="212"/>
      <c r="AJ101" s="212"/>
      <c r="AK101" s="212"/>
      <c r="AL101" s="212"/>
      <c r="AM101" s="212"/>
      <c r="AN101" s="212"/>
      <c r="AO101" s="212"/>
      <c r="AP101" s="212"/>
      <c r="AQ101" s="212"/>
      <c r="AR101" s="212"/>
      <c r="AS101" s="212"/>
      <c r="AT101" s="212"/>
      <c r="AU101" s="212"/>
      <c r="AV101" s="212"/>
      <c r="AW101" s="212"/>
      <c r="AX101" s="212"/>
      <c r="AY101" s="212"/>
      <c r="AZ101" s="452"/>
      <c r="BA101" s="212"/>
      <c r="BB101" s="212"/>
      <c r="BC101" s="212"/>
      <c r="BD101" s="212"/>
      <c r="BE101" s="455"/>
      <c r="BF101" s="452"/>
    </row>
    <row r="102">
      <c r="A102" s="212"/>
      <c r="B102" s="447"/>
      <c r="C102" s="212"/>
      <c r="D102" s="212"/>
      <c r="E102" s="212"/>
      <c r="F102" s="212"/>
      <c r="G102" s="212"/>
      <c r="H102" s="212"/>
      <c r="I102" s="212"/>
      <c r="J102" s="212"/>
      <c r="K102" s="212"/>
      <c r="L102" s="212"/>
      <c r="M102" s="212"/>
      <c r="N102" s="212"/>
      <c r="O102" s="212"/>
      <c r="P102" s="212"/>
      <c r="Q102" s="212"/>
      <c r="R102" s="451"/>
      <c r="S102" s="451"/>
      <c r="T102" s="212"/>
      <c r="U102" s="451"/>
      <c r="V102" s="451"/>
      <c r="W102" s="451"/>
      <c r="X102" s="451"/>
      <c r="Y102" s="212"/>
      <c r="Z102" s="212"/>
      <c r="AA102" s="212"/>
      <c r="AB102" s="212"/>
      <c r="AC102" s="212"/>
      <c r="AD102" s="212"/>
      <c r="AE102" s="450"/>
      <c r="AF102" s="212"/>
      <c r="AG102" s="212"/>
      <c r="AH102" s="212"/>
      <c r="AI102" s="212"/>
      <c r="AJ102" s="212"/>
      <c r="AK102" s="212"/>
      <c r="AL102" s="212"/>
      <c r="AM102" s="212"/>
      <c r="AN102" s="212"/>
      <c r="AO102" s="212"/>
      <c r="AP102" s="212"/>
      <c r="AQ102" s="212"/>
      <c r="AR102" s="212"/>
      <c r="AS102" s="212"/>
      <c r="AT102" s="212"/>
      <c r="AU102" s="212"/>
      <c r="AV102" s="212"/>
      <c r="AW102" s="212"/>
      <c r="AX102" s="212"/>
      <c r="AY102" s="212"/>
      <c r="AZ102" s="452"/>
      <c r="BA102" s="212"/>
      <c r="BB102" s="212"/>
      <c r="BC102" s="212"/>
      <c r="BD102" s="212"/>
      <c r="BE102" s="455"/>
      <c r="BF102" s="452"/>
    </row>
    <row r="103">
      <c r="A103" s="212"/>
      <c r="B103" s="447"/>
      <c r="C103" s="212"/>
      <c r="D103" s="212"/>
      <c r="E103" s="212"/>
      <c r="F103" s="212"/>
      <c r="G103" s="212"/>
      <c r="H103" s="212"/>
      <c r="I103" s="212"/>
      <c r="J103" s="212"/>
      <c r="K103" s="212"/>
      <c r="L103" s="212"/>
      <c r="M103" s="212"/>
      <c r="N103" s="212"/>
      <c r="O103" s="212"/>
      <c r="P103" s="212"/>
      <c r="Q103" s="212"/>
      <c r="R103" s="451"/>
      <c r="S103" s="451"/>
      <c r="T103" s="212"/>
      <c r="U103" s="451"/>
      <c r="V103" s="451"/>
      <c r="W103" s="451"/>
      <c r="X103" s="451"/>
      <c r="Y103" s="212"/>
      <c r="Z103" s="212"/>
      <c r="AA103" s="212"/>
      <c r="AB103" s="212"/>
      <c r="AC103" s="212"/>
      <c r="AD103" s="212"/>
      <c r="AE103" s="450"/>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452"/>
      <c r="BA103" s="212"/>
      <c r="BB103" s="212"/>
      <c r="BC103" s="212"/>
      <c r="BD103" s="212"/>
      <c r="BE103" s="455"/>
      <c r="BF103" s="452"/>
    </row>
    <row r="104">
      <c r="A104" s="212"/>
      <c r="B104" s="447"/>
      <c r="C104" s="212"/>
      <c r="D104" s="212"/>
      <c r="E104" s="212"/>
      <c r="F104" s="212"/>
      <c r="G104" s="212"/>
      <c r="H104" s="212"/>
      <c r="I104" s="212"/>
      <c r="J104" s="212"/>
      <c r="K104" s="212"/>
      <c r="L104" s="212"/>
      <c r="M104" s="212"/>
      <c r="N104" s="212"/>
      <c r="O104" s="212"/>
      <c r="P104" s="212"/>
      <c r="Q104" s="212"/>
      <c r="R104" s="451"/>
      <c r="S104" s="451"/>
      <c r="T104" s="212"/>
      <c r="U104" s="451"/>
      <c r="V104" s="451"/>
      <c r="W104" s="451"/>
      <c r="X104" s="451"/>
      <c r="Y104" s="212"/>
      <c r="Z104" s="212"/>
      <c r="AA104" s="212"/>
      <c r="AB104" s="212"/>
      <c r="AC104" s="212"/>
      <c r="AD104" s="212"/>
      <c r="AE104" s="450"/>
      <c r="AF104" s="212"/>
      <c r="AG104" s="212"/>
      <c r="AH104" s="212"/>
      <c r="AI104" s="212"/>
      <c r="AJ104" s="212"/>
      <c r="AK104" s="212"/>
      <c r="AL104" s="212"/>
      <c r="AM104" s="212"/>
      <c r="AN104" s="212"/>
      <c r="AO104" s="212"/>
      <c r="AP104" s="212"/>
      <c r="AQ104" s="212"/>
      <c r="AR104" s="212"/>
      <c r="AS104" s="212"/>
      <c r="AT104" s="212"/>
      <c r="AU104" s="212"/>
      <c r="AV104" s="212"/>
      <c r="AW104" s="212"/>
      <c r="AX104" s="212"/>
      <c r="AY104" s="212"/>
      <c r="AZ104" s="452"/>
      <c r="BA104" s="212"/>
      <c r="BB104" s="212"/>
      <c r="BC104" s="212"/>
      <c r="BD104" s="212"/>
      <c r="BE104" s="455"/>
      <c r="BF104" s="452"/>
    </row>
    <row r="105">
      <c r="A105" s="212"/>
      <c r="B105" s="447"/>
      <c r="C105" s="212"/>
      <c r="D105" s="212"/>
      <c r="E105" s="212"/>
      <c r="F105" s="212"/>
      <c r="G105" s="212"/>
      <c r="H105" s="212"/>
      <c r="I105" s="212"/>
      <c r="J105" s="212"/>
      <c r="K105" s="212"/>
      <c r="L105" s="212"/>
      <c r="M105" s="212"/>
      <c r="N105" s="212"/>
      <c r="O105" s="212"/>
      <c r="P105" s="212"/>
      <c r="Q105" s="212"/>
      <c r="R105" s="451"/>
      <c r="S105" s="451"/>
      <c r="T105" s="212"/>
      <c r="U105" s="451"/>
      <c r="V105" s="451"/>
      <c r="W105" s="451"/>
      <c r="X105" s="451"/>
      <c r="Y105" s="212"/>
      <c r="Z105" s="212"/>
      <c r="AA105" s="212"/>
      <c r="AB105" s="212"/>
      <c r="AC105" s="212"/>
      <c r="AD105" s="212"/>
      <c r="AE105" s="450"/>
      <c r="AF105" s="212"/>
      <c r="AG105" s="212"/>
      <c r="AH105" s="212"/>
      <c r="AI105" s="212"/>
      <c r="AJ105" s="212"/>
      <c r="AK105" s="212"/>
      <c r="AL105" s="212"/>
      <c r="AM105" s="212"/>
      <c r="AN105" s="212"/>
      <c r="AO105" s="212"/>
      <c r="AP105" s="212"/>
      <c r="AQ105" s="212"/>
      <c r="AR105" s="212"/>
      <c r="AS105" s="212"/>
      <c r="AT105" s="212"/>
      <c r="AU105" s="212"/>
      <c r="AV105" s="212"/>
      <c r="AW105" s="212"/>
      <c r="AX105" s="212"/>
      <c r="AY105" s="212"/>
      <c r="AZ105" s="452"/>
      <c r="BA105" s="212"/>
      <c r="BB105" s="212"/>
      <c r="BC105" s="212"/>
      <c r="BD105" s="212"/>
      <c r="BE105" s="455"/>
      <c r="BF105" s="452"/>
    </row>
    <row r="106">
      <c r="A106" s="212"/>
      <c r="B106" s="447"/>
      <c r="C106" s="212"/>
      <c r="D106" s="212"/>
      <c r="E106" s="212"/>
      <c r="F106" s="212"/>
      <c r="G106" s="212"/>
      <c r="H106" s="212"/>
      <c r="I106" s="212"/>
      <c r="J106" s="212"/>
      <c r="K106" s="212"/>
      <c r="L106" s="212"/>
      <c r="M106" s="212"/>
      <c r="N106" s="212"/>
      <c r="O106" s="212"/>
      <c r="P106" s="212"/>
      <c r="Q106" s="212"/>
      <c r="R106" s="451"/>
      <c r="S106" s="451"/>
      <c r="T106" s="212"/>
      <c r="U106" s="451"/>
      <c r="V106" s="451"/>
      <c r="W106" s="451"/>
      <c r="X106" s="451"/>
      <c r="Y106" s="212"/>
      <c r="Z106" s="212"/>
      <c r="AA106" s="212"/>
      <c r="AB106" s="212"/>
      <c r="AC106" s="212"/>
      <c r="AD106" s="212"/>
      <c r="AE106" s="450"/>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452"/>
      <c r="BA106" s="212"/>
      <c r="BB106" s="212"/>
      <c r="BC106" s="212"/>
      <c r="BD106" s="212"/>
      <c r="BE106" s="455"/>
      <c r="BF106" s="452"/>
    </row>
    <row r="107">
      <c r="A107" s="212"/>
      <c r="B107" s="447"/>
      <c r="C107" s="212"/>
      <c r="D107" s="212"/>
      <c r="E107" s="212"/>
      <c r="F107" s="212"/>
      <c r="G107" s="212"/>
      <c r="H107" s="212"/>
      <c r="I107" s="212"/>
      <c r="J107" s="212"/>
      <c r="K107" s="212"/>
      <c r="L107" s="212"/>
      <c r="M107" s="212"/>
      <c r="N107" s="212"/>
      <c r="O107" s="212"/>
      <c r="P107" s="212"/>
      <c r="Q107" s="212"/>
      <c r="R107" s="451"/>
      <c r="S107" s="451"/>
      <c r="T107" s="212"/>
      <c r="U107" s="451"/>
      <c r="V107" s="451"/>
      <c r="W107" s="451"/>
      <c r="X107" s="451"/>
      <c r="Y107" s="212"/>
      <c r="Z107" s="212"/>
      <c r="AA107" s="212"/>
      <c r="AB107" s="212"/>
      <c r="AC107" s="212"/>
      <c r="AD107" s="212"/>
      <c r="AE107" s="450"/>
      <c r="AF107" s="212"/>
      <c r="AG107" s="212"/>
      <c r="AH107" s="212"/>
      <c r="AI107" s="212"/>
      <c r="AJ107" s="212"/>
      <c r="AK107" s="212"/>
      <c r="AL107" s="212"/>
      <c r="AM107" s="212"/>
      <c r="AN107" s="212"/>
      <c r="AO107" s="212"/>
      <c r="AP107" s="212"/>
      <c r="AQ107" s="212"/>
      <c r="AR107" s="212"/>
      <c r="AS107" s="212"/>
      <c r="AT107" s="212"/>
      <c r="AU107" s="212"/>
      <c r="AV107" s="212"/>
      <c r="AW107" s="212"/>
      <c r="AX107" s="212"/>
      <c r="AY107" s="212"/>
      <c r="AZ107" s="452"/>
      <c r="BA107" s="212"/>
      <c r="BB107" s="212"/>
      <c r="BC107" s="212"/>
      <c r="BD107" s="212"/>
      <c r="BE107" s="455"/>
      <c r="BF107" s="452"/>
    </row>
    <row r="108">
      <c r="A108" s="212"/>
      <c r="B108" s="447"/>
      <c r="C108" s="212"/>
      <c r="D108" s="212"/>
      <c r="E108" s="212"/>
      <c r="F108" s="212"/>
      <c r="G108" s="212"/>
      <c r="H108" s="212"/>
      <c r="I108" s="212"/>
      <c r="J108" s="212"/>
      <c r="K108" s="212"/>
      <c r="L108" s="212"/>
      <c r="M108" s="212"/>
      <c r="N108" s="212"/>
      <c r="O108" s="212"/>
      <c r="P108" s="212"/>
      <c r="Q108" s="212"/>
      <c r="R108" s="451"/>
      <c r="S108" s="451"/>
      <c r="T108" s="212"/>
      <c r="U108" s="451"/>
      <c r="V108" s="451"/>
      <c r="W108" s="451"/>
      <c r="X108" s="451"/>
      <c r="Y108" s="212"/>
      <c r="Z108" s="212"/>
      <c r="AA108" s="212"/>
      <c r="AB108" s="212"/>
      <c r="AC108" s="212"/>
      <c r="AD108" s="212"/>
      <c r="AE108" s="450"/>
      <c r="AF108" s="212"/>
      <c r="AG108" s="212"/>
      <c r="AH108" s="212"/>
      <c r="AI108" s="212"/>
      <c r="AJ108" s="212"/>
      <c r="AK108" s="212"/>
      <c r="AL108" s="212"/>
      <c r="AM108" s="212"/>
      <c r="AN108" s="212"/>
      <c r="AO108" s="212"/>
      <c r="AP108" s="212"/>
      <c r="AQ108" s="212"/>
      <c r="AR108" s="212"/>
      <c r="AS108" s="212"/>
      <c r="AT108" s="212"/>
      <c r="AU108" s="212"/>
      <c r="AV108" s="212"/>
      <c r="AW108" s="212"/>
      <c r="AX108" s="212"/>
      <c r="AY108" s="212"/>
      <c r="AZ108" s="452"/>
      <c r="BA108" s="212"/>
      <c r="BB108" s="212"/>
      <c r="BC108" s="212"/>
      <c r="BD108" s="212"/>
      <c r="BE108" s="455"/>
      <c r="BF108" s="452"/>
    </row>
    <row r="109">
      <c r="A109" s="212"/>
      <c r="B109" s="447"/>
      <c r="C109" s="212"/>
      <c r="D109" s="212"/>
      <c r="E109" s="212"/>
      <c r="F109" s="212"/>
      <c r="G109" s="212"/>
      <c r="H109" s="212"/>
      <c r="I109" s="212"/>
      <c r="J109" s="212"/>
      <c r="K109" s="212"/>
      <c r="L109" s="212"/>
      <c r="M109" s="212"/>
      <c r="N109" s="212"/>
      <c r="O109" s="212"/>
      <c r="P109" s="212"/>
      <c r="Q109" s="212"/>
      <c r="R109" s="451"/>
      <c r="S109" s="451"/>
      <c r="T109" s="212"/>
      <c r="U109" s="451"/>
      <c r="V109" s="451"/>
      <c r="W109" s="451"/>
      <c r="X109" s="451"/>
      <c r="Y109" s="212"/>
      <c r="Z109" s="212"/>
      <c r="AA109" s="212"/>
      <c r="AB109" s="212"/>
      <c r="AC109" s="212"/>
      <c r="AD109" s="212"/>
      <c r="AE109" s="450"/>
      <c r="AF109" s="212"/>
      <c r="AG109" s="212"/>
      <c r="AH109" s="212"/>
      <c r="AI109" s="212"/>
      <c r="AJ109" s="212"/>
      <c r="AK109" s="212"/>
      <c r="AL109" s="212"/>
      <c r="AM109" s="212"/>
      <c r="AN109" s="212"/>
      <c r="AO109" s="212"/>
      <c r="AP109" s="212"/>
      <c r="AQ109" s="212"/>
      <c r="AR109" s="212"/>
      <c r="AS109" s="212"/>
      <c r="AT109" s="212"/>
      <c r="AU109" s="212"/>
      <c r="AV109" s="212"/>
      <c r="AW109" s="212"/>
      <c r="AX109" s="212"/>
      <c r="AY109" s="212"/>
      <c r="AZ109" s="452"/>
      <c r="BA109" s="212"/>
      <c r="BB109" s="212"/>
      <c r="BC109" s="212"/>
      <c r="BD109" s="212"/>
      <c r="BE109" s="455"/>
      <c r="BF109" s="452"/>
    </row>
    <row r="110">
      <c r="A110" s="212"/>
      <c r="B110" s="447"/>
      <c r="C110" s="212"/>
      <c r="D110" s="212"/>
      <c r="E110" s="212"/>
      <c r="F110" s="212"/>
      <c r="G110" s="212"/>
      <c r="H110" s="212"/>
      <c r="I110" s="212"/>
      <c r="J110" s="212"/>
      <c r="K110" s="212"/>
      <c r="L110" s="212"/>
      <c r="M110" s="212"/>
      <c r="N110" s="212"/>
      <c r="O110" s="212"/>
      <c r="P110" s="212"/>
      <c r="Q110" s="212"/>
      <c r="R110" s="451"/>
      <c r="S110" s="451"/>
      <c r="T110" s="212"/>
      <c r="U110" s="451"/>
      <c r="V110" s="451"/>
      <c r="W110" s="451"/>
      <c r="X110" s="451"/>
      <c r="Y110" s="212"/>
      <c r="Z110" s="212"/>
      <c r="AA110" s="212"/>
      <c r="AB110" s="212"/>
      <c r="AC110" s="212"/>
      <c r="AD110" s="212"/>
      <c r="AE110" s="450"/>
      <c r="AF110" s="212"/>
      <c r="AG110" s="212"/>
      <c r="AH110" s="212"/>
      <c r="AI110" s="212"/>
      <c r="AJ110" s="212"/>
      <c r="AK110" s="212"/>
      <c r="AL110" s="212"/>
      <c r="AM110" s="212"/>
      <c r="AN110" s="212"/>
      <c r="AO110" s="212"/>
      <c r="AP110" s="212"/>
      <c r="AQ110" s="212"/>
      <c r="AR110" s="212"/>
      <c r="AS110" s="212"/>
      <c r="AT110" s="212"/>
      <c r="AU110" s="212"/>
      <c r="AV110" s="212"/>
      <c r="AW110" s="212"/>
      <c r="AX110" s="212"/>
      <c r="AY110" s="212"/>
      <c r="AZ110" s="452"/>
      <c r="BA110" s="212"/>
      <c r="BB110" s="212"/>
      <c r="BC110" s="212"/>
      <c r="BD110" s="212"/>
      <c r="BE110" s="455"/>
      <c r="BF110" s="452"/>
    </row>
    <row r="111">
      <c r="A111" s="212"/>
      <c r="B111" s="447"/>
      <c r="C111" s="212"/>
      <c r="D111" s="212"/>
      <c r="E111" s="212"/>
      <c r="F111" s="212"/>
      <c r="G111" s="212"/>
      <c r="H111" s="212"/>
      <c r="I111" s="212"/>
      <c r="J111" s="212"/>
      <c r="K111" s="212"/>
      <c r="L111" s="212"/>
      <c r="M111" s="212"/>
      <c r="N111" s="212"/>
      <c r="O111" s="212"/>
      <c r="P111" s="212"/>
      <c r="Q111" s="212"/>
      <c r="R111" s="451"/>
      <c r="S111" s="451"/>
      <c r="T111" s="212"/>
      <c r="U111" s="451"/>
      <c r="V111" s="451"/>
      <c r="W111" s="451"/>
      <c r="X111" s="451"/>
      <c r="Y111" s="212"/>
      <c r="Z111" s="212"/>
      <c r="AA111" s="212"/>
      <c r="AB111" s="212"/>
      <c r="AC111" s="212"/>
      <c r="AD111" s="212"/>
      <c r="AE111" s="450"/>
      <c r="AF111" s="212"/>
      <c r="AG111" s="212"/>
      <c r="AH111" s="212"/>
      <c r="AI111" s="212"/>
      <c r="AJ111" s="212"/>
      <c r="AK111" s="212"/>
      <c r="AL111" s="212"/>
      <c r="AM111" s="212"/>
      <c r="AN111" s="212"/>
      <c r="AO111" s="212"/>
      <c r="AP111" s="212"/>
      <c r="AQ111" s="212"/>
      <c r="AR111" s="212"/>
      <c r="AS111" s="212"/>
      <c r="AT111" s="212"/>
      <c r="AU111" s="212"/>
      <c r="AV111" s="212"/>
      <c r="AW111" s="212"/>
      <c r="AX111" s="212"/>
      <c r="AY111" s="212"/>
      <c r="AZ111" s="452"/>
      <c r="BA111" s="212"/>
      <c r="BB111" s="212"/>
      <c r="BC111" s="212"/>
      <c r="BD111" s="212"/>
      <c r="BE111" s="455"/>
      <c r="BF111" s="452"/>
    </row>
    <row r="112">
      <c r="A112" s="212"/>
      <c r="B112" s="447"/>
      <c r="C112" s="212"/>
      <c r="D112" s="212"/>
      <c r="E112" s="212"/>
      <c r="F112" s="212"/>
      <c r="G112" s="212"/>
      <c r="H112" s="212"/>
      <c r="I112" s="212"/>
      <c r="J112" s="212"/>
      <c r="K112" s="212"/>
      <c r="L112" s="212"/>
      <c r="M112" s="212"/>
      <c r="N112" s="212"/>
      <c r="O112" s="212"/>
      <c r="P112" s="212"/>
      <c r="Q112" s="212"/>
      <c r="R112" s="451"/>
      <c r="S112" s="451"/>
      <c r="T112" s="212"/>
      <c r="U112" s="451"/>
      <c r="V112" s="451"/>
      <c r="W112" s="451"/>
      <c r="X112" s="451"/>
      <c r="Y112" s="212"/>
      <c r="Z112" s="212"/>
      <c r="AA112" s="212"/>
      <c r="AB112" s="212"/>
      <c r="AC112" s="212"/>
      <c r="AD112" s="212"/>
      <c r="AE112" s="450"/>
      <c r="AF112" s="212"/>
      <c r="AG112" s="212"/>
      <c r="AH112" s="212"/>
      <c r="AI112" s="212"/>
      <c r="AJ112" s="212"/>
      <c r="AK112" s="212"/>
      <c r="AL112" s="212"/>
      <c r="AM112" s="212"/>
      <c r="AN112" s="212"/>
      <c r="AO112" s="212"/>
      <c r="AP112" s="212"/>
      <c r="AQ112" s="212"/>
      <c r="AR112" s="212"/>
      <c r="AS112" s="212"/>
      <c r="AT112" s="212"/>
      <c r="AU112" s="212"/>
      <c r="AV112" s="212"/>
      <c r="AW112" s="212"/>
      <c r="AX112" s="212"/>
      <c r="AY112" s="212"/>
      <c r="AZ112" s="452"/>
      <c r="BA112" s="212"/>
      <c r="BB112" s="212"/>
      <c r="BC112" s="212"/>
      <c r="BD112" s="212"/>
      <c r="BE112" s="455"/>
      <c r="BF112" s="452"/>
    </row>
    <row r="113">
      <c r="A113" s="212"/>
      <c r="B113" s="447"/>
      <c r="C113" s="212"/>
      <c r="D113" s="212"/>
      <c r="E113" s="212"/>
      <c r="F113" s="212"/>
      <c r="G113" s="212"/>
      <c r="H113" s="212"/>
      <c r="I113" s="212"/>
      <c r="J113" s="212"/>
      <c r="K113" s="212"/>
      <c r="L113" s="212"/>
      <c r="M113" s="212"/>
      <c r="N113" s="212"/>
      <c r="O113" s="212"/>
      <c r="P113" s="212"/>
      <c r="Q113" s="212"/>
      <c r="R113" s="451"/>
      <c r="S113" s="451"/>
      <c r="T113" s="212"/>
      <c r="U113" s="451"/>
      <c r="V113" s="451"/>
      <c r="W113" s="451"/>
      <c r="X113" s="451"/>
      <c r="Y113" s="212"/>
      <c r="Z113" s="212"/>
      <c r="AA113" s="212"/>
      <c r="AB113" s="212"/>
      <c r="AC113" s="212"/>
      <c r="AD113" s="212"/>
      <c r="AE113" s="450"/>
      <c r="AF113" s="212"/>
      <c r="AG113" s="212"/>
      <c r="AH113" s="212"/>
      <c r="AI113" s="212"/>
      <c r="AJ113" s="212"/>
      <c r="AK113" s="212"/>
      <c r="AL113" s="212"/>
      <c r="AM113" s="212"/>
      <c r="AN113" s="212"/>
      <c r="AO113" s="212"/>
      <c r="AP113" s="212"/>
      <c r="AQ113" s="212"/>
      <c r="AR113" s="212"/>
      <c r="AS113" s="212"/>
      <c r="AT113" s="212"/>
      <c r="AU113" s="212"/>
      <c r="AV113" s="212"/>
      <c r="AW113" s="212"/>
      <c r="AX113" s="212"/>
      <c r="AY113" s="212"/>
      <c r="AZ113" s="452"/>
      <c r="BA113" s="212"/>
      <c r="BB113" s="212"/>
      <c r="BC113" s="212"/>
      <c r="BD113" s="212"/>
      <c r="BE113" s="455"/>
      <c r="BF113" s="452"/>
    </row>
    <row r="114">
      <c r="A114" s="212"/>
      <c r="B114" s="447"/>
      <c r="C114" s="212"/>
      <c r="D114" s="212"/>
      <c r="E114" s="212"/>
      <c r="F114" s="212"/>
      <c r="G114" s="212"/>
      <c r="H114" s="212"/>
      <c r="I114" s="212"/>
      <c r="J114" s="212"/>
      <c r="K114" s="212"/>
      <c r="L114" s="212"/>
      <c r="M114" s="212"/>
      <c r="N114" s="212"/>
      <c r="O114" s="212"/>
      <c r="P114" s="212"/>
      <c r="Q114" s="212"/>
      <c r="R114" s="451"/>
      <c r="S114" s="451"/>
      <c r="T114" s="212"/>
      <c r="U114" s="451"/>
      <c r="V114" s="451"/>
      <c r="W114" s="451"/>
      <c r="X114" s="451"/>
      <c r="Y114" s="212"/>
      <c r="Z114" s="212"/>
      <c r="AA114" s="212"/>
      <c r="AB114" s="212"/>
      <c r="AC114" s="212"/>
      <c r="AD114" s="212"/>
      <c r="AE114" s="450"/>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452"/>
      <c r="BA114" s="212"/>
      <c r="BB114" s="212"/>
      <c r="BC114" s="212"/>
      <c r="BD114" s="212"/>
      <c r="BE114" s="455"/>
      <c r="BF114" s="452"/>
    </row>
    <row r="115">
      <c r="A115" s="212"/>
      <c r="B115" s="447"/>
      <c r="C115" s="212"/>
      <c r="D115" s="212"/>
      <c r="E115" s="212"/>
      <c r="F115" s="212"/>
      <c r="G115" s="212"/>
      <c r="H115" s="212"/>
      <c r="I115" s="212"/>
      <c r="J115" s="212"/>
      <c r="K115" s="212"/>
      <c r="L115" s="212"/>
      <c r="M115" s="212"/>
      <c r="N115" s="212"/>
      <c r="O115" s="212"/>
      <c r="P115" s="212"/>
      <c r="Q115" s="212"/>
      <c r="R115" s="451"/>
      <c r="S115" s="451"/>
      <c r="T115" s="212"/>
      <c r="U115" s="451"/>
      <c r="V115" s="451"/>
      <c r="W115" s="451"/>
      <c r="X115" s="451"/>
      <c r="Y115" s="212"/>
      <c r="Z115" s="212"/>
      <c r="AA115" s="212"/>
      <c r="AB115" s="212"/>
      <c r="AC115" s="212"/>
      <c r="AD115" s="212"/>
      <c r="AE115" s="450"/>
      <c r="AF115" s="212"/>
      <c r="AG115" s="212"/>
      <c r="AH115" s="212"/>
      <c r="AI115" s="212"/>
      <c r="AJ115" s="212"/>
      <c r="AK115" s="212"/>
      <c r="AL115" s="212"/>
      <c r="AM115" s="212"/>
      <c r="AN115" s="212"/>
      <c r="AO115" s="212"/>
      <c r="AP115" s="212"/>
      <c r="AQ115" s="212"/>
      <c r="AR115" s="212"/>
      <c r="AS115" s="212"/>
      <c r="AT115" s="212"/>
      <c r="AU115" s="212"/>
      <c r="AV115" s="212"/>
      <c r="AW115" s="212"/>
      <c r="AX115" s="212"/>
      <c r="AY115" s="212"/>
      <c r="AZ115" s="452"/>
      <c r="BA115" s="212"/>
      <c r="BB115" s="212"/>
      <c r="BC115" s="212"/>
      <c r="BD115" s="212"/>
      <c r="BE115" s="455"/>
      <c r="BF115" s="452"/>
    </row>
    <row r="116">
      <c r="A116" s="212"/>
      <c r="B116" s="447"/>
      <c r="C116" s="212"/>
      <c r="D116" s="212"/>
      <c r="E116" s="212"/>
      <c r="F116" s="212"/>
      <c r="G116" s="212"/>
      <c r="H116" s="212"/>
      <c r="I116" s="212"/>
      <c r="J116" s="212"/>
      <c r="K116" s="212"/>
      <c r="L116" s="212"/>
      <c r="M116" s="212"/>
      <c r="N116" s="212"/>
      <c r="O116" s="212"/>
      <c r="P116" s="212"/>
      <c r="Q116" s="212"/>
      <c r="R116" s="451"/>
      <c r="S116" s="451"/>
      <c r="T116" s="212"/>
      <c r="U116" s="451"/>
      <c r="V116" s="451"/>
      <c r="W116" s="451"/>
      <c r="X116" s="451"/>
      <c r="Y116" s="212"/>
      <c r="Z116" s="212"/>
      <c r="AA116" s="212"/>
      <c r="AB116" s="212"/>
      <c r="AC116" s="212"/>
      <c r="AD116" s="212"/>
      <c r="AE116" s="450"/>
      <c r="AF116" s="212"/>
      <c r="AG116" s="212"/>
      <c r="AH116" s="212"/>
      <c r="AI116" s="212"/>
      <c r="AJ116" s="212"/>
      <c r="AK116" s="212"/>
      <c r="AL116" s="212"/>
      <c r="AM116" s="212"/>
      <c r="AN116" s="212"/>
      <c r="AO116" s="212"/>
      <c r="AP116" s="212"/>
      <c r="AQ116" s="212"/>
      <c r="AR116" s="212"/>
      <c r="AS116" s="212"/>
      <c r="AT116" s="212"/>
      <c r="AU116" s="212"/>
      <c r="AV116" s="212"/>
      <c r="AW116" s="212"/>
      <c r="AX116" s="212"/>
      <c r="AY116" s="212"/>
      <c r="AZ116" s="452"/>
      <c r="BA116" s="212"/>
      <c r="BB116" s="212"/>
      <c r="BC116" s="212"/>
      <c r="BD116" s="212"/>
      <c r="BE116" s="455"/>
      <c r="BF116" s="452"/>
    </row>
    <row r="117">
      <c r="A117" s="212"/>
      <c r="B117" s="447"/>
      <c r="C117" s="212"/>
      <c r="D117" s="212"/>
      <c r="E117" s="212"/>
      <c r="F117" s="212"/>
      <c r="G117" s="212"/>
      <c r="H117" s="212"/>
      <c r="I117" s="212"/>
      <c r="J117" s="212"/>
      <c r="K117" s="212"/>
      <c r="L117" s="212"/>
      <c r="M117" s="212"/>
      <c r="N117" s="212"/>
      <c r="O117" s="212"/>
      <c r="P117" s="212"/>
      <c r="Q117" s="212"/>
      <c r="R117" s="451"/>
      <c r="S117" s="451"/>
      <c r="T117" s="212"/>
      <c r="U117" s="451"/>
      <c r="V117" s="451"/>
      <c r="W117" s="451"/>
      <c r="X117" s="451"/>
      <c r="Y117" s="212"/>
      <c r="Z117" s="212"/>
      <c r="AA117" s="212"/>
      <c r="AB117" s="212"/>
      <c r="AC117" s="212"/>
      <c r="AD117" s="212"/>
      <c r="AE117" s="450"/>
      <c r="AF117" s="212"/>
      <c r="AG117" s="212"/>
      <c r="AH117" s="212"/>
      <c r="AI117" s="212"/>
      <c r="AJ117" s="212"/>
      <c r="AK117" s="212"/>
      <c r="AL117" s="212"/>
      <c r="AM117" s="212"/>
      <c r="AN117" s="212"/>
      <c r="AO117" s="212"/>
      <c r="AP117" s="212"/>
      <c r="AQ117" s="212"/>
      <c r="AR117" s="212"/>
      <c r="AS117" s="212"/>
      <c r="AT117" s="212"/>
      <c r="AU117" s="212"/>
      <c r="AV117" s="212"/>
      <c r="AW117" s="212"/>
      <c r="AX117" s="212"/>
      <c r="AY117" s="212"/>
      <c r="AZ117" s="452"/>
      <c r="BA117" s="212"/>
      <c r="BB117" s="212"/>
      <c r="BC117" s="212"/>
      <c r="BD117" s="212"/>
      <c r="BE117" s="455"/>
      <c r="BF117" s="452"/>
    </row>
    <row r="118">
      <c r="A118" s="212"/>
      <c r="B118" s="447"/>
      <c r="C118" s="212"/>
      <c r="D118" s="212"/>
      <c r="E118" s="212"/>
      <c r="F118" s="212"/>
      <c r="G118" s="212"/>
      <c r="H118" s="212"/>
      <c r="I118" s="212"/>
      <c r="J118" s="212"/>
      <c r="K118" s="212"/>
      <c r="L118" s="212"/>
      <c r="M118" s="212"/>
      <c r="N118" s="212"/>
      <c r="O118" s="212"/>
      <c r="P118" s="212"/>
      <c r="Q118" s="212"/>
      <c r="R118" s="451"/>
      <c r="S118" s="451"/>
      <c r="T118" s="212"/>
      <c r="U118" s="451"/>
      <c r="V118" s="451"/>
      <c r="W118" s="451"/>
      <c r="X118" s="451"/>
      <c r="Y118" s="212"/>
      <c r="Z118" s="212"/>
      <c r="AA118" s="212"/>
      <c r="AB118" s="212"/>
      <c r="AC118" s="212"/>
      <c r="AD118" s="212"/>
      <c r="AE118" s="450"/>
      <c r="AF118" s="212"/>
      <c r="AG118" s="212"/>
      <c r="AH118" s="212"/>
      <c r="AI118" s="212"/>
      <c r="AJ118" s="212"/>
      <c r="AK118" s="212"/>
      <c r="AL118" s="212"/>
      <c r="AM118" s="212"/>
      <c r="AN118" s="212"/>
      <c r="AO118" s="212"/>
      <c r="AP118" s="212"/>
      <c r="AQ118" s="212"/>
      <c r="AR118" s="212"/>
      <c r="AS118" s="212"/>
      <c r="AT118" s="212"/>
      <c r="AU118" s="212"/>
      <c r="AV118" s="212"/>
      <c r="AW118" s="212"/>
      <c r="AX118" s="212"/>
      <c r="AY118" s="212"/>
      <c r="AZ118" s="452"/>
      <c r="BA118" s="212"/>
      <c r="BB118" s="212"/>
      <c r="BC118" s="212"/>
      <c r="BD118" s="212"/>
      <c r="BE118" s="455"/>
      <c r="BF118" s="452"/>
    </row>
    <row r="119">
      <c r="A119" s="212"/>
      <c r="B119" s="447"/>
      <c r="C119" s="212"/>
      <c r="D119" s="212"/>
      <c r="E119" s="212"/>
      <c r="F119" s="212"/>
      <c r="G119" s="212"/>
      <c r="H119" s="212"/>
      <c r="I119" s="212"/>
      <c r="J119" s="212"/>
      <c r="K119" s="212"/>
      <c r="L119" s="212"/>
      <c r="M119" s="212"/>
      <c r="N119" s="212"/>
      <c r="O119" s="212"/>
      <c r="P119" s="212"/>
      <c r="Q119" s="212"/>
      <c r="R119" s="451"/>
      <c r="S119" s="451"/>
      <c r="T119" s="212"/>
      <c r="U119" s="451"/>
      <c r="V119" s="451"/>
      <c r="W119" s="451"/>
      <c r="X119" s="451"/>
      <c r="Y119" s="212"/>
      <c r="Z119" s="212"/>
      <c r="AA119" s="212"/>
      <c r="AB119" s="212"/>
      <c r="AC119" s="212"/>
      <c r="AD119" s="212"/>
      <c r="AE119" s="450"/>
      <c r="AF119" s="212"/>
      <c r="AG119" s="212"/>
      <c r="AH119" s="212"/>
      <c r="AI119" s="212"/>
      <c r="AJ119" s="212"/>
      <c r="AK119" s="212"/>
      <c r="AL119" s="212"/>
      <c r="AM119" s="212"/>
      <c r="AN119" s="212"/>
      <c r="AO119" s="212"/>
      <c r="AP119" s="212"/>
      <c r="AQ119" s="212"/>
      <c r="AR119" s="212"/>
      <c r="AS119" s="212"/>
      <c r="AT119" s="212"/>
      <c r="AU119" s="212"/>
      <c r="AV119" s="212"/>
      <c r="AW119" s="212"/>
      <c r="AX119" s="212"/>
      <c r="AY119" s="212"/>
      <c r="AZ119" s="452"/>
      <c r="BA119" s="212"/>
      <c r="BB119" s="212"/>
      <c r="BC119" s="212"/>
      <c r="BD119" s="212"/>
      <c r="BE119" s="455"/>
      <c r="BF119" s="452"/>
    </row>
    <row r="120">
      <c r="A120" s="212"/>
      <c r="B120" s="447"/>
      <c r="C120" s="212"/>
      <c r="D120" s="212"/>
      <c r="E120" s="212"/>
      <c r="F120" s="212"/>
      <c r="G120" s="212"/>
      <c r="H120" s="212"/>
      <c r="I120" s="212"/>
      <c r="J120" s="212"/>
      <c r="K120" s="212"/>
      <c r="L120" s="212"/>
      <c r="M120" s="212"/>
      <c r="N120" s="212"/>
      <c r="O120" s="212"/>
      <c r="P120" s="212"/>
      <c r="Q120" s="212"/>
      <c r="R120" s="451"/>
      <c r="S120" s="451"/>
      <c r="T120" s="212"/>
      <c r="U120" s="451"/>
      <c r="V120" s="451"/>
      <c r="W120" s="451"/>
      <c r="X120" s="451"/>
      <c r="Y120" s="212"/>
      <c r="Z120" s="212"/>
      <c r="AA120" s="212"/>
      <c r="AB120" s="212"/>
      <c r="AC120" s="212"/>
      <c r="AD120" s="212"/>
      <c r="AE120" s="450"/>
      <c r="AF120" s="212"/>
      <c r="AG120" s="212"/>
      <c r="AH120" s="212"/>
      <c r="AI120" s="212"/>
      <c r="AJ120" s="212"/>
      <c r="AK120" s="212"/>
      <c r="AL120" s="212"/>
      <c r="AM120" s="212"/>
      <c r="AN120" s="212"/>
      <c r="AO120" s="212"/>
      <c r="AP120" s="212"/>
      <c r="AQ120" s="212"/>
      <c r="AR120" s="212"/>
      <c r="AS120" s="212"/>
      <c r="AT120" s="212"/>
      <c r="AU120" s="212"/>
      <c r="AV120" s="212"/>
      <c r="AW120" s="212"/>
      <c r="AX120" s="212"/>
      <c r="AY120" s="212"/>
      <c r="AZ120" s="452"/>
      <c r="BA120" s="212"/>
      <c r="BB120" s="212"/>
      <c r="BC120" s="212"/>
      <c r="BD120" s="212"/>
      <c r="BE120" s="455"/>
      <c r="BF120" s="452"/>
    </row>
    <row r="121">
      <c r="A121" s="212"/>
      <c r="B121" s="447"/>
      <c r="C121" s="212"/>
      <c r="D121" s="212"/>
      <c r="E121" s="212"/>
      <c r="F121" s="212"/>
      <c r="G121" s="212"/>
      <c r="H121" s="212"/>
      <c r="I121" s="212"/>
      <c r="J121" s="212"/>
      <c r="K121" s="212"/>
      <c r="L121" s="212"/>
      <c r="M121" s="212"/>
      <c r="N121" s="212"/>
      <c r="O121" s="212"/>
      <c r="P121" s="212"/>
      <c r="Q121" s="212"/>
      <c r="R121" s="451"/>
      <c r="S121" s="451"/>
      <c r="T121" s="212"/>
      <c r="U121" s="451"/>
      <c r="V121" s="451"/>
      <c r="W121" s="451"/>
      <c r="X121" s="451"/>
      <c r="Y121" s="212"/>
      <c r="Z121" s="212"/>
      <c r="AA121" s="212"/>
      <c r="AB121" s="212"/>
      <c r="AC121" s="212"/>
      <c r="AD121" s="212"/>
      <c r="AE121" s="450"/>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452"/>
      <c r="BA121" s="212"/>
      <c r="BB121" s="212"/>
      <c r="BC121" s="212"/>
      <c r="BD121" s="212"/>
      <c r="BE121" s="455"/>
      <c r="BF121" s="452"/>
    </row>
    <row r="122">
      <c r="A122" s="212"/>
      <c r="B122" s="447"/>
      <c r="C122" s="212"/>
      <c r="D122" s="212"/>
      <c r="E122" s="212"/>
      <c r="F122" s="212"/>
      <c r="G122" s="212"/>
      <c r="H122" s="212"/>
      <c r="I122" s="212"/>
      <c r="J122" s="212"/>
      <c r="K122" s="212"/>
      <c r="L122" s="212"/>
      <c r="M122" s="212"/>
      <c r="N122" s="212"/>
      <c r="O122" s="212"/>
      <c r="P122" s="212"/>
      <c r="Q122" s="212"/>
      <c r="R122" s="451"/>
      <c r="S122" s="451"/>
      <c r="T122" s="212"/>
      <c r="U122" s="451"/>
      <c r="V122" s="451"/>
      <c r="W122" s="451"/>
      <c r="X122" s="451"/>
      <c r="Y122" s="212"/>
      <c r="Z122" s="212"/>
      <c r="AA122" s="212"/>
      <c r="AB122" s="212"/>
      <c r="AC122" s="212"/>
      <c r="AD122" s="212"/>
      <c r="AE122" s="450"/>
      <c r="AF122" s="212"/>
      <c r="AG122" s="212"/>
      <c r="AH122" s="212"/>
      <c r="AI122" s="212"/>
      <c r="AJ122" s="212"/>
      <c r="AK122" s="212"/>
      <c r="AL122" s="212"/>
      <c r="AM122" s="212"/>
      <c r="AN122" s="212"/>
      <c r="AO122" s="212"/>
      <c r="AP122" s="212"/>
      <c r="AQ122" s="212"/>
      <c r="AR122" s="212"/>
      <c r="AS122" s="212"/>
      <c r="AT122" s="212"/>
      <c r="AU122" s="212"/>
      <c r="AV122" s="212"/>
      <c r="AW122" s="212"/>
      <c r="AX122" s="212"/>
      <c r="AY122" s="212"/>
      <c r="AZ122" s="452"/>
      <c r="BA122" s="212"/>
      <c r="BB122" s="212"/>
      <c r="BC122" s="212"/>
      <c r="BD122" s="212"/>
      <c r="BE122" s="455"/>
      <c r="BF122" s="452"/>
    </row>
    <row r="123">
      <c r="A123" s="212"/>
      <c r="B123" s="447"/>
      <c r="C123" s="212"/>
      <c r="D123" s="212"/>
      <c r="E123" s="212"/>
      <c r="F123" s="212"/>
      <c r="G123" s="212"/>
      <c r="H123" s="212"/>
      <c r="I123" s="212"/>
      <c r="J123" s="212"/>
      <c r="K123" s="212"/>
      <c r="L123" s="212"/>
      <c r="M123" s="212"/>
      <c r="N123" s="212"/>
      <c r="O123" s="212"/>
      <c r="P123" s="212"/>
      <c r="Q123" s="212"/>
      <c r="R123" s="451"/>
      <c r="S123" s="451"/>
      <c r="T123" s="212"/>
      <c r="U123" s="451"/>
      <c r="V123" s="451"/>
      <c r="W123" s="451"/>
      <c r="X123" s="451"/>
      <c r="Y123" s="212"/>
      <c r="Z123" s="212"/>
      <c r="AA123" s="212"/>
      <c r="AB123" s="212"/>
      <c r="AC123" s="212"/>
      <c r="AD123" s="212"/>
      <c r="AE123" s="450"/>
      <c r="AF123" s="212"/>
      <c r="AG123" s="212"/>
      <c r="AH123" s="212"/>
      <c r="AI123" s="212"/>
      <c r="AJ123" s="212"/>
      <c r="AK123" s="212"/>
      <c r="AL123" s="212"/>
      <c r="AM123" s="212"/>
      <c r="AN123" s="212"/>
      <c r="AO123" s="212"/>
      <c r="AP123" s="212"/>
      <c r="AQ123" s="212"/>
      <c r="AR123" s="212"/>
      <c r="AS123" s="212"/>
      <c r="AT123" s="212"/>
      <c r="AU123" s="212"/>
      <c r="AV123" s="212"/>
      <c r="AW123" s="212"/>
      <c r="AX123" s="212"/>
      <c r="AY123" s="212"/>
      <c r="AZ123" s="452"/>
      <c r="BA123" s="212"/>
      <c r="BB123" s="212"/>
      <c r="BC123" s="212"/>
      <c r="BD123" s="212"/>
      <c r="BE123" s="455"/>
      <c r="BF123" s="452"/>
    </row>
    <row r="124">
      <c r="A124" s="212"/>
      <c r="B124" s="447"/>
      <c r="C124" s="212"/>
      <c r="D124" s="212"/>
      <c r="E124" s="212"/>
      <c r="F124" s="212"/>
      <c r="G124" s="212"/>
      <c r="H124" s="212"/>
      <c r="I124" s="212"/>
      <c r="J124" s="212"/>
      <c r="K124" s="212"/>
      <c r="L124" s="212"/>
      <c r="M124" s="212"/>
      <c r="N124" s="212"/>
      <c r="O124" s="212"/>
      <c r="P124" s="212"/>
      <c r="Q124" s="212"/>
      <c r="R124" s="451"/>
      <c r="S124" s="451"/>
      <c r="T124" s="212"/>
      <c r="U124" s="451"/>
      <c r="V124" s="451"/>
      <c r="W124" s="451"/>
      <c r="X124" s="451"/>
      <c r="Y124" s="212"/>
      <c r="Z124" s="212"/>
      <c r="AA124" s="212"/>
      <c r="AB124" s="212"/>
      <c r="AC124" s="212"/>
      <c r="AD124" s="212"/>
      <c r="AE124" s="450"/>
      <c r="AF124" s="212"/>
      <c r="AG124" s="212"/>
      <c r="AH124" s="212"/>
      <c r="AI124" s="212"/>
      <c r="AJ124" s="212"/>
      <c r="AK124" s="212"/>
      <c r="AL124" s="212"/>
      <c r="AM124" s="212"/>
      <c r="AN124" s="212"/>
      <c r="AO124" s="212"/>
      <c r="AP124" s="212"/>
      <c r="AQ124" s="212"/>
      <c r="AR124" s="212"/>
      <c r="AS124" s="212"/>
      <c r="AT124" s="212"/>
      <c r="AU124" s="212"/>
      <c r="AV124" s="212"/>
      <c r="AW124" s="212"/>
      <c r="AX124" s="212"/>
      <c r="AY124" s="212"/>
      <c r="AZ124" s="452"/>
      <c r="BA124" s="212"/>
      <c r="BB124" s="212"/>
      <c r="BC124" s="212"/>
      <c r="BD124" s="212"/>
      <c r="BE124" s="455"/>
      <c r="BF124" s="452"/>
    </row>
    <row r="125">
      <c r="A125" s="212"/>
      <c r="B125" s="447"/>
      <c r="C125" s="212"/>
      <c r="D125" s="212"/>
      <c r="E125" s="212"/>
      <c r="F125" s="212"/>
      <c r="G125" s="212"/>
      <c r="H125" s="212"/>
      <c r="I125" s="212"/>
      <c r="J125" s="212"/>
      <c r="K125" s="212"/>
      <c r="L125" s="212"/>
      <c r="M125" s="212"/>
      <c r="N125" s="212"/>
      <c r="O125" s="212"/>
      <c r="P125" s="212"/>
      <c r="Q125" s="212"/>
      <c r="R125" s="451"/>
      <c r="S125" s="451"/>
      <c r="T125" s="212"/>
      <c r="U125" s="451"/>
      <c r="V125" s="451"/>
      <c r="W125" s="451"/>
      <c r="X125" s="451"/>
      <c r="Y125" s="212"/>
      <c r="Z125" s="212"/>
      <c r="AA125" s="212"/>
      <c r="AB125" s="212"/>
      <c r="AC125" s="212"/>
      <c r="AD125" s="212"/>
      <c r="AE125" s="450"/>
      <c r="AF125" s="212"/>
      <c r="AG125" s="212"/>
      <c r="AH125" s="212"/>
      <c r="AI125" s="212"/>
      <c r="AJ125" s="212"/>
      <c r="AK125" s="212"/>
      <c r="AL125" s="212"/>
      <c r="AM125" s="212"/>
      <c r="AN125" s="212"/>
      <c r="AO125" s="212"/>
      <c r="AP125" s="212"/>
      <c r="AQ125" s="212"/>
      <c r="AR125" s="212"/>
      <c r="AS125" s="212"/>
      <c r="AT125" s="212"/>
      <c r="AU125" s="212"/>
      <c r="AV125" s="212"/>
      <c r="AW125" s="212"/>
      <c r="AX125" s="212"/>
      <c r="AY125" s="212"/>
      <c r="AZ125" s="452"/>
      <c r="BA125" s="212"/>
      <c r="BB125" s="212"/>
      <c r="BC125" s="212"/>
      <c r="BD125" s="212"/>
      <c r="BE125" s="455"/>
      <c r="BF125" s="452"/>
    </row>
    <row r="126">
      <c r="A126" s="212"/>
      <c r="B126" s="447"/>
      <c r="C126" s="212"/>
      <c r="D126" s="212"/>
      <c r="E126" s="212"/>
      <c r="F126" s="212"/>
      <c r="G126" s="212"/>
      <c r="H126" s="212"/>
      <c r="I126" s="212"/>
      <c r="J126" s="212"/>
      <c r="K126" s="212"/>
      <c r="L126" s="212"/>
      <c r="M126" s="212"/>
      <c r="N126" s="212"/>
      <c r="O126" s="212"/>
      <c r="P126" s="212"/>
      <c r="Q126" s="212"/>
      <c r="R126" s="451"/>
      <c r="S126" s="451"/>
      <c r="T126" s="212"/>
      <c r="U126" s="451"/>
      <c r="V126" s="451"/>
      <c r="W126" s="451"/>
      <c r="X126" s="451"/>
      <c r="Y126" s="212"/>
      <c r="Z126" s="212"/>
      <c r="AA126" s="212"/>
      <c r="AB126" s="212"/>
      <c r="AC126" s="212"/>
      <c r="AD126" s="212"/>
      <c r="AE126" s="450"/>
      <c r="AF126" s="212"/>
      <c r="AG126" s="212"/>
      <c r="AH126" s="212"/>
      <c r="AI126" s="212"/>
      <c r="AJ126" s="212"/>
      <c r="AK126" s="212"/>
      <c r="AL126" s="212"/>
      <c r="AM126" s="212"/>
      <c r="AN126" s="212"/>
      <c r="AO126" s="212"/>
      <c r="AP126" s="212"/>
      <c r="AQ126" s="212"/>
      <c r="AR126" s="212"/>
      <c r="AS126" s="212"/>
      <c r="AT126" s="212"/>
      <c r="AU126" s="212"/>
      <c r="AV126" s="212"/>
      <c r="AW126" s="212"/>
      <c r="AX126" s="212"/>
      <c r="AY126" s="212"/>
      <c r="AZ126" s="452"/>
      <c r="BA126" s="212"/>
      <c r="BB126" s="212"/>
      <c r="BC126" s="212"/>
      <c r="BD126" s="212"/>
      <c r="BE126" s="455"/>
      <c r="BF126" s="452"/>
    </row>
    <row r="127">
      <c r="A127" s="212"/>
      <c r="B127" s="447"/>
      <c r="C127" s="212"/>
      <c r="D127" s="212"/>
      <c r="E127" s="212"/>
      <c r="F127" s="212"/>
      <c r="G127" s="212"/>
      <c r="H127" s="212"/>
      <c r="I127" s="212"/>
      <c r="J127" s="212"/>
      <c r="K127" s="212"/>
      <c r="L127" s="212"/>
      <c r="M127" s="212"/>
      <c r="N127" s="212"/>
      <c r="O127" s="212"/>
      <c r="P127" s="212"/>
      <c r="Q127" s="212"/>
      <c r="R127" s="451"/>
      <c r="S127" s="451"/>
      <c r="T127" s="212"/>
      <c r="U127" s="451"/>
      <c r="V127" s="451"/>
      <c r="W127" s="451"/>
      <c r="X127" s="451"/>
      <c r="Y127" s="212"/>
      <c r="Z127" s="212"/>
      <c r="AA127" s="212"/>
      <c r="AB127" s="212"/>
      <c r="AC127" s="212"/>
      <c r="AD127" s="212"/>
      <c r="AE127" s="450"/>
      <c r="AF127" s="212"/>
      <c r="AG127" s="212"/>
      <c r="AH127" s="212"/>
      <c r="AI127" s="212"/>
      <c r="AJ127" s="212"/>
      <c r="AK127" s="212"/>
      <c r="AL127" s="212"/>
      <c r="AM127" s="212"/>
      <c r="AN127" s="212"/>
      <c r="AO127" s="212"/>
      <c r="AP127" s="212"/>
      <c r="AQ127" s="212"/>
      <c r="AR127" s="212"/>
      <c r="AS127" s="212"/>
      <c r="AT127" s="212"/>
      <c r="AU127" s="212"/>
      <c r="AV127" s="212"/>
      <c r="AW127" s="212"/>
      <c r="AX127" s="212"/>
      <c r="AY127" s="212"/>
      <c r="AZ127" s="452"/>
      <c r="BA127" s="212"/>
      <c r="BB127" s="212"/>
      <c r="BC127" s="212"/>
      <c r="BD127" s="212"/>
      <c r="BE127" s="455"/>
      <c r="BF127" s="452"/>
    </row>
    <row r="128">
      <c r="A128" s="212"/>
      <c r="B128" s="447"/>
      <c r="C128" s="212"/>
      <c r="D128" s="212"/>
      <c r="E128" s="212"/>
      <c r="F128" s="212"/>
      <c r="G128" s="212"/>
      <c r="H128" s="212"/>
      <c r="I128" s="212"/>
      <c r="J128" s="212"/>
      <c r="K128" s="212"/>
      <c r="L128" s="212"/>
      <c r="M128" s="212"/>
      <c r="N128" s="212"/>
      <c r="O128" s="212"/>
      <c r="P128" s="212"/>
      <c r="Q128" s="212"/>
      <c r="R128" s="451"/>
      <c r="S128" s="451"/>
      <c r="T128" s="212"/>
      <c r="U128" s="451"/>
      <c r="V128" s="451"/>
      <c r="W128" s="451"/>
      <c r="X128" s="451"/>
      <c r="Y128" s="212"/>
      <c r="Z128" s="212"/>
      <c r="AA128" s="212"/>
      <c r="AB128" s="212"/>
      <c r="AC128" s="212"/>
      <c r="AD128" s="212"/>
      <c r="AE128" s="450"/>
      <c r="AF128" s="212"/>
      <c r="AG128" s="212"/>
      <c r="AH128" s="212"/>
      <c r="AI128" s="212"/>
      <c r="AJ128" s="212"/>
      <c r="AK128" s="212"/>
      <c r="AL128" s="212"/>
      <c r="AM128" s="212"/>
      <c r="AN128" s="212"/>
      <c r="AO128" s="212"/>
      <c r="AP128" s="212"/>
      <c r="AQ128" s="212"/>
      <c r="AR128" s="212"/>
      <c r="AS128" s="212"/>
      <c r="AT128" s="212"/>
      <c r="AU128" s="212"/>
      <c r="AV128" s="212"/>
      <c r="AW128" s="212"/>
      <c r="AX128" s="212"/>
      <c r="AY128" s="212"/>
      <c r="AZ128" s="452"/>
      <c r="BA128" s="212"/>
      <c r="BB128" s="212"/>
      <c r="BC128" s="212"/>
      <c r="BD128" s="212"/>
      <c r="BE128" s="455"/>
      <c r="BF128" s="452"/>
    </row>
    <row r="129">
      <c r="A129" s="212"/>
      <c r="B129" s="447"/>
      <c r="C129" s="212"/>
      <c r="D129" s="212"/>
      <c r="E129" s="212"/>
      <c r="F129" s="212"/>
      <c r="G129" s="212"/>
      <c r="H129" s="212"/>
      <c r="I129" s="212"/>
      <c r="J129" s="212"/>
      <c r="K129" s="212"/>
      <c r="L129" s="212"/>
      <c r="M129" s="212"/>
      <c r="N129" s="212"/>
      <c r="O129" s="212"/>
      <c r="P129" s="212"/>
      <c r="Q129" s="212"/>
      <c r="R129" s="451"/>
      <c r="S129" s="451"/>
      <c r="T129" s="212"/>
      <c r="U129" s="451"/>
      <c r="V129" s="451"/>
      <c r="W129" s="451"/>
      <c r="X129" s="451"/>
      <c r="Y129" s="212"/>
      <c r="Z129" s="212"/>
      <c r="AA129" s="212"/>
      <c r="AB129" s="212"/>
      <c r="AC129" s="212"/>
      <c r="AD129" s="212"/>
      <c r="AE129" s="450"/>
      <c r="AF129" s="212"/>
      <c r="AG129" s="212"/>
      <c r="AH129" s="212"/>
      <c r="AI129" s="212"/>
      <c r="AJ129" s="212"/>
      <c r="AK129" s="212"/>
      <c r="AL129" s="212"/>
      <c r="AM129" s="212"/>
      <c r="AN129" s="212"/>
      <c r="AO129" s="212"/>
      <c r="AP129" s="212"/>
      <c r="AQ129" s="212"/>
      <c r="AR129" s="212"/>
      <c r="AS129" s="212"/>
      <c r="AT129" s="212"/>
      <c r="AU129" s="212"/>
      <c r="AV129" s="212"/>
      <c r="AW129" s="212"/>
      <c r="AX129" s="212"/>
      <c r="AY129" s="212"/>
      <c r="AZ129" s="452"/>
      <c r="BA129" s="212"/>
      <c r="BB129" s="212"/>
      <c r="BC129" s="212"/>
      <c r="BD129" s="212"/>
      <c r="BE129" s="455"/>
      <c r="BF129" s="452"/>
    </row>
    <row r="130">
      <c r="A130" s="212"/>
      <c r="B130" s="447"/>
      <c r="C130" s="212"/>
      <c r="D130" s="212"/>
      <c r="E130" s="212"/>
      <c r="F130" s="212"/>
      <c r="G130" s="212"/>
      <c r="H130" s="212"/>
      <c r="I130" s="212"/>
      <c r="J130" s="212"/>
      <c r="K130" s="212"/>
      <c r="L130" s="212"/>
      <c r="M130" s="212"/>
      <c r="N130" s="212"/>
      <c r="O130" s="212"/>
      <c r="P130" s="212"/>
      <c r="Q130" s="212"/>
      <c r="R130" s="451"/>
      <c r="S130" s="451"/>
      <c r="T130" s="212"/>
      <c r="U130" s="451"/>
      <c r="V130" s="451"/>
      <c r="W130" s="451"/>
      <c r="X130" s="451"/>
      <c r="Y130" s="212"/>
      <c r="Z130" s="212"/>
      <c r="AA130" s="212"/>
      <c r="AB130" s="212"/>
      <c r="AC130" s="212"/>
      <c r="AD130" s="212"/>
      <c r="AE130" s="450"/>
      <c r="AF130" s="212"/>
      <c r="AG130" s="212"/>
      <c r="AH130" s="212"/>
      <c r="AI130" s="212"/>
      <c r="AJ130" s="212"/>
      <c r="AK130" s="212"/>
      <c r="AL130" s="212"/>
      <c r="AM130" s="212"/>
      <c r="AN130" s="212"/>
      <c r="AO130" s="212"/>
      <c r="AP130" s="212"/>
      <c r="AQ130" s="212"/>
      <c r="AR130" s="212"/>
      <c r="AS130" s="212"/>
      <c r="AT130" s="212"/>
      <c r="AU130" s="212"/>
      <c r="AV130" s="212"/>
      <c r="AW130" s="212"/>
      <c r="AX130" s="212"/>
      <c r="AY130" s="212"/>
      <c r="AZ130" s="452"/>
      <c r="BA130" s="212"/>
      <c r="BB130" s="212"/>
      <c r="BC130" s="212"/>
      <c r="BD130" s="212"/>
      <c r="BE130" s="455"/>
      <c r="BF130" s="452"/>
    </row>
    <row r="131">
      <c r="A131" s="212"/>
      <c r="B131" s="447"/>
      <c r="C131" s="212"/>
      <c r="D131" s="212"/>
      <c r="E131" s="212"/>
      <c r="F131" s="212"/>
      <c r="G131" s="212"/>
      <c r="H131" s="212"/>
      <c r="I131" s="212"/>
      <c r="J131" s="212"/>
      <c r="K131" s="212"/>
      <c r="L131" s="212"/>
      <c r="M131" s="212"/>
      <c r="N131" s="212"/>
      <c r="O131" s="212"/>
      <c r="P131" s="212"/>
      <c r="Q131" s="212"/>
      <c r="R131" s="451"/>
      <c r="S131" s="451"/>
      <c r="T131" s="212"/>
      <c r="U131" s="451"/>
      <c r="V131" s="451"/>
      <c r="W131" s="451"/>
      <c r="X131" s="451"/>
      <c r="Y131" s="212"/>
      <c r="Z131" s="212"/>
      <c r="AA131" s="212"/>
      <c r="AB131" s="212"/>
      <c r="AC131" s="212"/>
      <c r="AD131" s="212"/>
      <c r="AE131" s="450"/>
      <c r="AF131" s="212"/>
      <c r="AG131" s="212"/>
      <c r="AH131" s="212"/>
      <c r="AI131" s="212"/>
      <c r="AJ131" s="212"/>
      <c r="AK131" s="212"/>
      <c r="AL131" s="212"/>
      <c r="AM131" s="212"/>
      <c r="AN131" s="212"/>
      <c r="AO131" s="212"/>
      <c r="AP131" s="212"/>
      <c r="AQ131" s="212"/>
      <c r="AR131" s="212"/>
      <c r="AS131" s="212"/>
      <c r="AT131" s="212"/>
      <c r="AU131" s="212"/>
      <c r="AV131" s="212"/>
      <c r="AW131" s="212"/>
      <c r="AX131" s="212"/>
      <c r="AY131" s="212"/>
      <c r="AZ131" s="452"/>
      <c r="BA131" s="212"/>
      <c r="BB131" s="212"/>
      <c r="BC131" s="212"/>
      <c r="BD131" s="212"/>
      <c r="BE131" s="455"/>
      <c r="BF131" s="452"/>
    </row>
    <row r="132">
      <c r="A132" s="212"/>
      <c r="B132" s="447"/>
      <c r="C132" s="212"/>
      <c r="D132" s="212"/>
      <c r="E132" s="212"/>
      <c r="F132" s="212"/>
      <c r="G132" s="212"/>
      <c r="H132" s="212"/>
      <c r="I132" s="212"/>
      <c r="J132" s="212"/>
      <c r="K132" s="212"/>
      <c r="L132" s="212"/>
      <c r="M132" s="212"/>
      <c r="N132" s="212"/>
      <c r="O132" s="212"/>
      <c r="P132" s="212"/>
      <c r="Q132" s="212"/>
      <c r="R132" s="451"/>
      <c r="S132" s="451"/>
      <c r="T132" s="212"/>
      <c r="U132" s="451"/>
      <c r="V132" s="451"/>
      <c r="W132" s="451"/>
      <c r="X132" s="451"/>
      <c r="Y132" s="212"/>
      <c r="Z132" s="212"/>
      <c r="AA132" s="212"/>
      <c r="AB132" s="212"/>
      <c r="AC132" s="212"/>
      <c r="AD132" s="212"/>
      <c r="AE132" s="450"/>
      <c r="AF132" s="212"/>
      <c r="AG132" s="212"/>
      <c r="AH132" s="212"/>
      <c r="AI132" s="212"/>
      <c r="AJ132" s="212"/>
      <c r="AK132" s="212"/>
      <c r="AL132" s="212"/>
      <c r="AM132" s="212"/>
      <c r="AN132" s="212"/>
      <c r="AO132" s="212"/>
      <c r="AP132" s="212"/>
      <c r="AQ132" s="212"/>
      <c r="AR132" s="212"/>
      <c r="AS132" s="212"/>
      <c r="AT132" s="212"/>
      <c r="AU132" s="212"/>
      <c r="AV132" s="212"/>
      <c r="AW132" s="212"/>
      <c r="AX132" s="212"/>
      <c r="AY132" s="212"/>
      <c r="AZ132" s="452"/>
      <c r="BA132" s="212"/>
      <c r="BB132" s="212"/>
      <c r="BC132" s="212"/>
      <c r="BD132" s="212"/>
      <c r="BE132" s="455"/>
      <c r="BF132" s="452"/>
    </row>
    <row r="133">
      <c r="A133" s="212"/>
      <c r="B133" s="447"/>
      <c r="C133" s="212"/>
      <c r="D133" s="212"/>
      <c r="E133" s="212"/>
      <c r="F133" s="212"/>
      <c r="G133" s="212"/>
      <c r="H133" s="212"/>
      <c r="I133" s="212"/>
      <c r="J133" s="212"/>
      <c r="K133" s="212"/>
      <c r="L133" s="212"/>
      <c r="M133" s="212"/>
      <c r="N133" s="212"/>
      <c r="O133" s="212"/>
      <c r="P133" s="212"/>
      <c r="Q133" s="212"/>
      <c r="R133" s="451"/>
      <c r="S133" s="451"/>
      <c r="T133" s="212"/>
      <c r="U133" s="451"/>
      <c r="V133" s="451"/>
      <c r="W133" s="451"/>
      <c r="X133" s="451"/>
      <c r="Y133" s="212"/>
      <c r="Z133" s="212"/>
      <c r="AA133" s="212"/>
      <c r="AB133" s="212"/>
      <c r="AC133" s="212"/>
      <c r="AD133" s="212"/>
      <c r="AE133" s="450"/>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452"/>
      <c r="BA133" s="212"/>
      <c r="BB133" s="212"/>
      <c r="BC133" s="212"/>
      <c r="BD133" s="212"/>
      <c r="BE133" s="455"/>
      <c r="BF133" s="452"/>
    </row>
    <row r="134">
      <c r="A134" s="212"/>
      <c r="B134" s="447"/>
      <c r="C134" s="212"/>
      <c r="D134" s="212"/>
      <c r="E134" s="212"/>
      <c r="F134" s="212"/>
      <c r="G134" s="212"/>
      <c r="H134" s="212"/>
      <c r="I134" s="212"/>
      <c r="J134" s="212"/>
      <c r="K134" s="212"/>
      <c r="L134" s="212"/>
      <c r="M134" s="212"/>
      <c r="N134" s="212"/>
      <c r="O134" s="212"/>
      <c r="P134" s="212"/>
      <c r="Q134" s="212"/>
      <c r="R134" s="451"/>
      <c r="S134" s="451"/>
      <c r="T134" s="212"/>
      <c r="U134" s="451"/>
      <c r="V134" s="451"/>
      <c r="W134" s="451"/>
      <c r="X134" s="451"/>
      <c r="Y134" s="212"/>
      <c r="Z134" s="212"/>
      <c r="AA134" s="212"/>
      <c r="AB134" s="212"/>
      <c r="AC134" s="212"/>
      <c r="AD134" s="212"/>
      <c r="AE134" s="450"/>
      <c r="AF134" s="212"/>
      <c r="AG134" s="212"/>
      <c r="AH134" s="212"/>
      <c r="AI134" s="212"/>
      <c r="AJ134" s="212"/>
      <c r="AK134" s="212"/>
      <c r="AL134" s="212"/>
      <c r="AM134" s="212"/>
      <c r="AN134" s="212"/>
      <c r="AO134" s="212"/>
      <c r="AP134" s="212"/>
      <c r="AQ134" s="212"/>
      <c r="AR134" s="212"/>
      <c r="AS134" s="212"/>
      <c r="AT134" s="212"/>
      <c r="AU134" s="212"/>
      <c r="AV134" s="212"/>
      <c r="AW134" s="212"/>
      <c r="AX134" s="212"/>
      <c r="AY134" s="212"/>
      <c r="AZ134" s="452"/>
      <c r="BA134" s="212"/>
      <c r="BB134" s="212"/>
      <c r="BC134" s="212"/>
      <c r="BD134" s="212"/>
      <c r="BE134" s="455"/>
      <c r="BF134" s="452"/>
    </row>
    <row r="135">
      <c r="A135" s="212"/>
      <c r="B135" s="447"/>
      <c r="C135" s="212"/>
      <c r="D135" s="212"/>
      <c r="E135" s="212"/>
      <c r="F135" s="212"/>
      <c r="G135" s="212"/>
      <c r="H135" s="212"/>
      <c r="I135" s="212"/>
      <c r="J135" s="212"/>
      <c r="K135" s="212"/>
      <c r="L135" s="212"/>
      <c r="M135" s="212"/>
      <c r="N135" s="212"/>
      <c r="O135" s="212"/>
      <c r="P135" s="212"/>
      <c r="Q135" s="212"/>
      <c r="R135" s="451"/>
      <c r="S135" s="451"/>
      <c r="T135" s="212"/>
      <c r="U135" s="451"/>
      <c r="V135" s="451"/>
      <c r="W135" s="451"/>
      <c r="X135" s="451"/>
      <c r="Y135" s="212"/>
      <c r="Z135" s="212"/>
      <c r="AA135" s="212"/>
      <c r="AB135" s="212"/>
      <c r="AC135" s="212"/>
      <c r="AD135" s="212"/>
      <c r="AE135" s="450"/>
      <c r="AF135" s="212"/>
      <c r="AG135" s="212"/>
      <c r="AH135" s="212"/>
      <c r="AI135" s="212"/>
      <c r="AJ135" s="212"/>
      <c r="AK135" s="212"/>
      <c r="AL135" s="212"/>
      <c r="AM135" s="212"/>
      <c r="AN135" s="212"/>
      <c r="AO135" s="212"/>
      <c r="AP135" s="212"/>
      <c r="AQ135" s="212"/>
      <c r="AR135" s="212"/>
      <c r="AS135" s="212"/>
      <c r="AT135" s="212"/>
      <c r="AU135" s="212"/>
      <c r="AV135" s="212"/>
      <c r="AW135" s="212"/>
      <c r="AX135" s="212"/>
      <c r="AY135" s="212"/>
      <c r="AZ135" s="452"/>
      <c r="BA135" s="212"/>
      <c r="BB135" s="212"/>
      <c r="BC135" s="212"/>
      <c r="BD135" s="212"/>
      <c r="BE135" s="455"/>
      <c r="BF135" s="452"/>
    </row>
    <row r="136">
      <c r="A136" s="212"/>
      <c r="B136" s="447"/>
      <c r="C136" s="212"/>
      <c r="D136" s="212"/>
      <c r="E136" s="212"/>
      <c r="F136" s="212"/>
      <c r="G136" s="212"/>
      <c r="H136" s="212"/>
      <c r="I136" s="212"/>
      <c r="J136" s="212"/>
      <c r="K136" s="212"/>
      <c r="L136" s="212"/>
      <c r="M136" s="212"/>
      <c r="N136" s="212"/>
      <c r="O136" s="212"/>
      <c r="P136" s="212"/>
      <c r="Q136" s="212"/>
      <c r="R136" s="451"/>
      <c r="S136" s="451"/>
      <c r="T136" s="212"/>
      <c r="U136" s="451"/>
      <c r="V136" s="451"/>
      <c r="W136" s="451"/>
      <c r="X136" s="451"/>
      <c r="Y136" s="212"/>
      <c r="Z136" s="212"/>
      <c r="AA136" s="212"/>
      <c r="AB136" s="212"/>
      <c r="AC136" s="212"/>
      <c r="AD136" s="212"/>
      <c r="AE136" s="450"/>
      <c r="AF136" s="212"/>
      <c r="AG136" s="212"/>
      <c r="AH136" s="212"/>
      <c r="AI136" s="212"/>
      <c r="AJ136" s="212"/>
      <c r="AK136" s="212"/>
      <c r="AL136" s="212"/>
      <c r="AM136" s="212"/>
      <c r="AN136" s="212"/>
      <c r="AO136" s="212"/>
      <c r="AP136" s="212"/>
      <c r="AQ136" s="212"/>
      <c r="AR136" s="212"/>
      <c r="AS136" s="212"/>
      <c r="AT136" s="212"/>
      <c r="AU136" s="212"/>
      <c r="AV136" s="212"/>
      <c r="AW136" s="212"/>
      <c r="AX136" s="212"/>
      <c r="AY136" s="212"/>
      <c r="AZ136" s="452"/>
      <c r="BA136" s="212"/>
      <c r="BB136" s="212"/>
      <c r="BC136" s="212"/>
      <c r="BD136" s="212"/>
      <c r="BE136" s="455"/>
      <c r="BF136" s="452"/>
    </row>
    <row r="137">
      <c r="A137" s="212"/>
      <c r="B137" s="447"/>
      <c r="C137" s="212"/>
      <c r="D137" s="212"/>
      <c r="E137" s="212"/>
      <c r="F137" s="212"/>
      <c r="G137" s="212"/>
      <c r="H137" s="212"/>
      <c r="I137" s="212"/>
      <c r="J137" s="212"/>
      <c r="K137" s="212"/>
      <c r="L137" s="212"/>
      <c r="M137" s="212"/>
      <c r="N137" s="212"/>
      <c r="O137" s="212"/>
      <c r="P137" s="212"/>
      <c r="Q137" s="212"/>
      <c r="R137" s="451"/>
      <c r="S137" s="451"/>
      <c r="T137" s="212"/>
      <c r="U137" s="451"/>
      <c r="V137" s="451"/>
      <c r="W137" s="451"/>
      <c r="X137" s="451"/>
      <c r="Y137" s="212"/>
      <c r="Z137" s="212"/>
      <c r="AA137" s="212"/>
      <c r="AB137" s="212"/>
      <c r="AC137" s="212"/>
      <c r="AD137" s="212"/>
      <c r="AE137" s="450"/>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452"/>
      <c r="BA137" s="212"/>
      <c r="BB137" s="212"/>
      <c r="BC137" s="212"/>
      <c r="BD137" s="212"/>
      <c r="BE137" s="455"/>
      <c r="BF137" s="452"/>
    </row>
    <row r="138">
      <c r="A138" s="212"/>
      <c r="B138" s="447"/>
      <c r="C138" s="212"/>
      <c r="D138" s="212"/>
      <c r="E138" s="212"/>
      <c r="F138" s="212"/>
      <c r="G138" s="212"/>
      <c r="H138" s="212"/>
      <c r="I138" s="212"/>
      <c r="J138" s="212"/>
      <c r="K138" s="212"/>
      <c r="L138" s="212"/>
      <c r="M138" s="212"/>
      <c r="N138" s="212"/>
      <c r="O138" s="212"/>
      <c r="P138" s="212"/>
      <c r="Q138" s="212"/>
      <c r="R138" s="451"/>
      <c r="S138" s="451"/>
      <c r="T138" s="212"/>
      <c r="U138" s="451"/>
      <c r="V138" s="451"/>
      <c r="W138" s="451"/>
      <c r="X138" s="451"/>
      <c r="Y138" s="212"/>
      <c r="Z138" s="212"/>
      <c r="AA138" s="212"/>
      <c r="AB138" s="212"/>
      <c r="AC138" s="212"/>
      <c r="AD138" s="212"/>
      <c r="AE138" s="450"/>
      <c r="AF138" s="212"/>
      <c r="AG138" s="212"/>
      <c r="AH138" s="212"/>
      <c r="AI138" s="212"/>
      <c r="AJ138" s="212"/>
      <c r="AK138" s="212"/>
      <c r="AL138" s="212"/>
      <c r="AM138" s="212"/>
      <c r="AN138" s="212"/>
      <c r="AO138" s="212"/>
      <c r="AP138" s="212"/>
      <c r="AQ138" s="212"/>
      <c r="AR138" s="212"/>
      <c r="AS138" s="212"/>
      <c r="AT138" s="212"/>
      <c r="AU138" s="212"/>
      <c r="AV138" s="212"/>
      <c r="AW138" s="212"/>
      <c r="AX138" s="212"/>
      <c r="AY138" s="212"/>
      <c r="AZ138" s="452"/>
      <c r="BA138" s="212"/>
      <c r="BB138" s="212"/>
      <c r="BC138" s="212"/>
      <c r="BD138" s="212"/>
      <c r="BE138" s="455"/>
      <c r="BF138" s="452"/>
    </row>
    <row r="139">
      <c r="A139" s="212"/>
      <c r="B139" s="447"/>
      <c r="C139" s="212"/>
      <c r="D139" s="212"/>
      <c r="E139" s="212"/>
      <c r="F139" s="212"/>
      <c r="G139" s="212"/>
      <c r="H139" s="212"/>
      <c r="I139" s="212"/>
      <c r="J139" s="212"/>
      <c r="K139" s="212"/>
      <c r="L139" s="212"/>
      <c r="M139" s="212"/>
      <c r="N139" s="212"/>
      <c r="O139" s="212"/>
      <c r="P139" s="212"/>
      <c r="Q139" s="212"/>
      <c r="R139" s="451"/>
      <c r="S139" s="451"/>
      <c r="T139" s="212"/>
      <c r="U139" s="451"/>
      <c r="V139" s="451"/>
      <c r="W139" s="451"/>
      <c r="X139" s="451"/>
      <c r="Y139" s="212"/>
      <c r="Z139" s="212"/>
      <c r="AA139" s="212"/>
      <c r="AB139" s="212"/>
      <c r="AC139" s="212"/>
      <c r="AD139" s="212"/>
      <c r="AE139" s="450"/>
      <c r="AF139" s="212"/>
      <c r="AG139" s="212"/>
      <c r="AH139" s="212"/>
      <c r="AI139" s="212"/>
      <c r="AJ139" s="212"/>
      <c r="AK139" s="212"/>
      <c r="AL139" s="212"/>
      <c r="AM139" s="212"/>
      <c r="AN139" s="212"/>
      <c r="AO139" s="212"/>
      <c r="AP139" s="212"/>
      <c r="AQ139" s="212"/>
      <c r="AR139" s="212"/>
      <c r="AS139" s="212"/>
      <c r="AT139" s="212"/>
      <c r="AU139" s="212"/>
      <c r="AV139" s="212"/>
      <c r="AW139" s="212"/>
      <c r="AX139" s="212"/>
      <c r="AY139" s="212"/>
      <c r="AZ139" s="452"/>
      <c r="BA139" s="212"/>
      <c r="BB139" s="212"/>
      <c r="BC139" s="212"/>
      <c r="BD139" s="212"/>
      <c r="BE139" s="455"/>
      <c r="BF139" s="452"/>
    </row>
    <row r="140">
      <c r="A140" s="212"/>
      <c r="B140" s="447"/>
      <c r="C140" s="212"/>
      <c r="D140" s="212"/>
      <c r="E140" s="212"/>
      <c r="F140" s="212"/>
      <c r="G140" s="212"/>
      <c r="H140" s="212"/>
      <c r="I140" s="212"/>
      <c r="J140" s="212"/>
      <c r="K140" s="212"/>
      <c r="L140" s="212"/>
      <c r="M140" s="212"/>
      <c r="N140" s="212"/>
      <c r="O140" s="212"/>
      <c r="P140" s="212"/>
      <c r="Q140" s="212"/>
      <c r="R140" s="451"/>
      <c r="S140" s="451"/>
      <c r="T140" s="212"/>
      <c r="U140" s="451"/>
      <c r="V140" s="451"/>
      <c r="W140" s="451"/>
      <c r="X140" s="451"/>
      <c r="Y140" s="212"/>
      <c r="Z140" s="212"/>
      <c r="AA140" s="212"/>
      <c r="AB140" s="212"/>
      <c r="AC140" s="212"/>
      <c r="AD140" s="212"/>
      <c r="AE140" s="450"/>
      <c r="AF140" s="212"/>
      <c r="AG140" s="212"/>
      <c r="AH140" s="212"/>
      <c r="AI140" s="212"/>
      <c r="AJ140" s="212"/>
      <c r="AK140" s="212"/>
      <c r="AL140" s="212"/>
      <c r="AM140" s="212"/>
      <c r="AN140" s="212"/>
      <c r="AO140" s="212"/>
      <c r="AP140" s="212"/>
      <c r="AQ140" s="212"/>
      <c r="AR140" s="212"/>
      <c r="AS140" s="212"/>
      <c r="AT140" s="212"/>
      <c r="AU140" s="212"/>
      <c r="AV140" s="212"/>
      <c r="AW140" s="212"/>
      <c r="AX140" s="212"/>
      <c r="AY140" s="212"/>
      <c r="AZ140" s="452"/>
      <c r="BA140" s="212"/>
      <c r="BB140" s="212"/>
      <c r="BC140" s="212"/>
      <c r="BD140" s="212"/>
      <c r="BE140" s="455"/>
      <c r="BF140" s="452"/>
    </row>
    <row r="141">
      <c r="A141" s="212"/>
      <c r="B141" s="447"/>
      <c r="C141" s="212"/>
      <c r="D141" s="212"/>
      <c r="E141" s="212"/>
      <c r="F141" s="212"/>
      <c r="G141" s="212"/>
      <c r="H141" s="212"/>
      <c r="I141" s="212"/>
      <c r="J141" s="212"/>
      <c r="K141" s="212"/>
      <c r="L141" s="212"/>
      <c r="M141" s="212"/>
      <c r="N141" s="212"/>
      <c r="O141" s="212"/>
      <c r="P141" s="212"/>
      <c r="Q141" s="212"/>
      <c r="R141" s="451"/>
      <c r="S141" s="451"/>
      <c r="T141" s="212"/>
      <c r="U141" s="451"/>
      <c r="V141" s="451"/>
      <c r="W141" s="451"/>
      <c r="X141" s="451"/>
      <c r="Y141" s="212"/>
      <c r="Z141" s="212"/>
      <c r="AA141" s="212"/>
      <c r="AB141" s="212"/>
      <c r="AC141" s="212"/>
      <c r="AD141" s="212"/>
      <c r="AE141" s="450"/>
      <c r="AF141" s="212"/>
      <c r="AG141" s="212"/>
      <c r="AH141" s="212"/>
      <c r="AI141" s="212"/>
      <c r="AJ141" s="212"/>
      <c r="AK141" s="212"/>
      <c r="AL141" s="212"/>
      <c r="AM141" s="212"/>
      <c r="AN141" s="212"/>
      <c r="AO141" s="212"/>
      <c r="AP141" s="212"/>
      <c r="AQ141" s="212"/>
      <c r="AR141" s="212"/>
      <c r="AS141" s="212"/>
      <c r="AT141" s="212"/>
      <c r="AU141" s="212"/>
      <c r="AV141" s="212"/>
      <c r="AW141" s="212"/>
      <c r="AX141" s="212"/>
      <c r="AY141" s="212"/>
      <c r="AZ141" s="452"/>
      <c r="BA141" s="212"/>
      <c r="BB141" s="212"/>
      <c r="BC141" s="212"/>
      <c r="BD141" s="212"/>
      <c r="BE141" s="455"/>
      <c r="BF141" s="452"/>
    </row>
    <row r="142">
      <c r="A142" s="212"/>
      <c r="B142" s="447"/>
      <c r="C142" s="212"/>
      <c r="D142" s="212"/>
      <c r="E142" s="212"/>
      <c r="F142" s="212"/>
      <c r="G142" s="212"/>
      <c r="H142" s="212"/>
      <c r="I142" s="212"/>
      <c r="J142" s="212"/>
      <c r="K142" s="212"/>
      <c r="L142" s="212"/>
      <c r="M142" s="212"/>
      <c r="N142" s="212"/>
      <c r="O142" s="212"/>
      <c r="P142" s="212"/>
      <c r="Q142" s="212"/>
      <c r="R142" s="451"/>
      <c r="S142" s="451"/>
      <c r="T142" s="212"/>
      <c r="U142" s="451"/>
      <c r="V142" s="451"/>
      <c r="W142" s="451"/>
      <c r="X142" s="451"/>
      <c r="Y142" s="212"/>
      <c r="Z142" s="212"/>
      <c r="AA142" s="212"/>
      <c r="AB142" s="212"/>
      <c r="AC142" s="212"/>
      <c r="AD142" s="212"/>
      <c r="AE142" s="450"/>
      <c r="AF142" s="212"/>
      <c r="AG142" s="212"/>
      <c r="AH142" s="212"/>
      <c r="AI142" s="212"/>
      <c r="AJ142" s="212"/>
      <c r="AK142" s="212"/>
      <c r="AL142" s="212"/>
      <c r="AM142" s="212"/>
      <c r="AN142" s="212"/>
      <c r="AO142" s="212"/>
      <c r="AP142" s="212"/>
      <c r="AQ142" s="212"/>
      <c r="AR142" s="212"/>
      <c r="AS142" s="212"/>
      <c r="AT142" s="212"/>
      <c r="AU142" s="212"/>
      <c r="AV142" s="212"/>
      <c r="AW142" s="212"/>
      <c r="AX142" s="212"/>
      <c r="AY142" s="212"/>
      <c r="AZ142" s="452"/>
      <c r="BA142" s="212"/>
      <c r="BB142" s="212"/>
      <c r="BC142" s="212"/>
      <c r="BD142" s="212"/>
      <c r="BE142" s="455"/>
      <c r="BF142" s="452"/>
    </row>
    <row r="143">
      <c r="A143" s="212"/>
      <c r="B143" s="447"/>
      <c r="C143" s="212"/>
      <c r="D143" s="212"/>
      <c r="E143" s="212"/>
      <c r="F143" s="212"/>
      <c r="G143" s="212"/>
      <c r="H143" s="212"/>
      <c r="I143" s="212"/>
      <c r="J143" s="212"/>
      <c r="K143" s="212"/>
      <c r="L143" s="212"/>
      <c r="M143" s="212"/>
      <c r="N143" s="212"/>
      <c r="O143" s="212"/>
      <c r="P143" s="212"/>
      <c r="Q143" s="212"/>
      <c r="R143" s="451"/>
      <c r="S143" s="451"/>
      <c r="T143" s="212"/>
      <c r="U143" s="451"/>
      <c r="V143" s="451"/>
      <c r="W143" s="451"/>
      <c r="X143" s="451"/>
      <c r="Y143" s="212"/>
      <c r="Z143" s="212"/>
      <c r="AA143" s="212"/>
      <c r="AB143" s="212"/>
      <c r="AC143" s="212"/>
      <c r="AD143" s="212"/>
      <c r="AE143" s="450"/>
      <c r="AF143" s="212"/>
      <c r="AG143" s="212"/>
      <c r="AH143" s="212"/>
      <c r="AI143" s="212"/>
      <c r="AJ143" s="212"/>
      <c r="AK143" s="212"/>
      <c r="AL143" s="212"/>
      <c r="AM143" s="212"/>
      <c r="AN143" s="212"/>
      <c r="AO143" s="212"/>
      <c r="AP143" s="212"/>
      <c r="AQ143" s="212"/>
      <c r="AR143" s="212"/>
      <c r="AS143" s="212"/>
      <c r="AT143" s="212"/>
      <c r="AU143" s="212"/>
      <c r="AV143" s="212"/>
      <c r="AW143" s="212"/>
      <c r="AX143" s="212"/>
      <c r="AY143" s="212"/>
      <c r="AZ143" s="452"/>
      <c r="BA143" s="212"/>
      <c r="BB143" s="212"/>
      <c r="BC143" s="212"/>
      <c r="BD143" s="212"/>
      <c r="BE143" s="455"/>
      <c r="BF143" s="452"/>
    </row>
    <row r="144">
      <c r="A144" s="212"/>
      <c r="B144" s="447"/>
      <c r="C144" s="212"/>
      <c r="D144" s="212"/>
      <c r="E144" s="212"/>
      <c r="F144" s="212"/>
      <c r="G144" s="212"/>
      <c r="H144" s="212"/>
      <c r="I144" s="212"/>
      <c r="J144" s="212"/>
      <c r="K144" s="212"/>
      <c r="L144" s="212"/>
      <c r="M144" s="212"/>
      <c r="N144" s="212"/>
      <c r="O144" s="212"/>
      <c r="P144" s="212"/>
      <c r="Q144" s="212"/>
      <c r="R144" s="451"/>
      <c r="S144" s="451"/>
      <c r="T144" s="212"/>
      <c r="U144" s="451"/>
      <c r="V144" s="451"/>
      <c r="W144" s="451"/>
      <c r="X144" s="451"/>
      <c r="Y144" s="212"/>
      <c r="Z144" s="212"/>
      <c r="AA144" s="212"/>
      <c r="AB144" s="212"/>
      <c r="AC144" s="212"/>
      <c r="AD144" s="212"/>
      <c r="AE144" s="450"/>
      <c r="AF144" s="212"/>
      <c r="AG144" s="212"/>
      <c r="AH144" s="212"/>
      <c r="AI144" s="212"/>
      <c r="AJ144" s="212"/>
      <c r="AK144" s="212"/>
      <c r="AL144" s="212"/>
      <c r="AM144" s="212"/>
      <c r="AN144" s="212"/>
      <c r="AO144" s="212"/>
      <c r="AP144" s="212"/>
      <c r="AQ144" s="212"/>
      <c r="AR144" s="212"/>
      <c r="AS144" s="212"/>
      <c r="AT144" s="212"/>
      <c r="AU144" s="212"/>
      <c r="AV144" s="212"/>
      <c r="AW144" s="212"/>
      <c r="AX144" s="212"/>
      <c r="AY144" s="212"/>
      <c r="AZ144" s="452"/>
      <c r="BA144" s="212"/>
      <c r="BB144" s="212"/>
      <c r="BC144" s="212"/>
      <c r="BD144" s="212"/>
      <c r="BE144" s="455"/>
      <c r="BF144" s="452"/>
    </row>
    <row r="145">
      <c r="A145" s="212"/>
      <c r="B145" s="447"/>
      <c r="C145" s="212"/>
      <c r="D145" s="212"/>
      <c r="E145" s="212"/>
      <c r="F145" s="212"/>
      <c r="G145" s="212"/>
      <c r="H145" s="212"/>
      <c r="I145" s="212"/>
      <c r="J145" s="212"/>
      <c r="K145" s="212"/>
      <c r="L145" s="212"/>
      <c r="M145" s="212"/>
      <c r="N145" s="212"/>
      <c r="O145" s="212"/>
      <c r="P145" s="212"/>
      <c r="Q145" s="212"/>
      <c r="R145" s="451"/>
      <c r="S145" s="451"/>
      <c r="T145" s="212"/>
      <c r="U145" s="451"/>
      <c r="V145" s="451"/>
      <c r="W145" s="451"/>
      <c r="X145" s="451"/>
      <c r="Y145" s="212"/>
      <c r="Z145" s="212"/>
      <c r="AA145" s="212"/>
      <c r="AB145" s="212"/>
      <c r="AC145" s="212"/>
      <c r="AD145" s="212"/>
      <c r="AE145" s="450"/>
      <c r="AF145" s="212"/>
      <c r="AG145" s="212"/>
      <c r="AH145" s="212"/>
      <c r="AI145" s="212"/>
      <c r="AJ145" s="212"/>
      <c r="AK145" s="212"/>
      <c r="AL145" s="212"/>
      <c r="AM145" s="212"/>
      <c r="AN145" s="212"/>
      <c r="AO145" s="212"/>
      <c r="AP145" s="212"/>
      <c r="AQ145" s="212"/>
      <c r="AR145" s="212"/>
      <c r="AS145" s="212"/>
      <c r="AT145" s="212"/>
      <c r="AU145" s="212"/>
      <c r="AV145" s="212"/>
      <c r="AW145" s="212"/>
      <c r="AX145" s="212"/>
      <c r="AY145" s="212"/>
      <c r="AZ145" s="452"/>
      <c r="BA145" s="212"/>
      <c r="BB145" s="212"/>
      <c r="BC145" s="212"/>
      <c r="BD145" s="212"/>
      <c r="BE145" s="455"/>
      <c r="BF145" s="452"/>
    </row>
    <row r="146">
      <c r="A146" s="212"/>
      <c r="B146" s="447"/>
      <c r="C146" s="212"/>
      <c r="D146" s="212"/>
      <c r="E146" s="212"/>
      <c r="F146" s="212"/>
      <c r="G146" s="212"/>
      <c r="H146" s="212"/>
      <c r="I146" s="212"/>
      <c r="J146" s="212"/>
      <c r="K146" s="212"/>
      <c r="L146" s="212"/>
      <c r="M146" s="212"/>
      <c r="N146" s="212"/>
      <c r="O146" s="212"/>
      <c r="P146" s="212"/>
      <c r="Q146" s="212"/>
      <c r="R146" s="451"/>
      <c r="S146" s="451"/>
      <c r="T146" s="212"/>
      <c r="U146" s="451"/>
      <c r="V146" s="451"/>
      <c r="W146" s="451"/>
      <c r="X146" s="451"/>
      <c r="Y146" s="212"/>
      <c r="Z146" s="212"/>
      <c r="AA146" s="212"/>
      <c r="AB146" s="212"/>
      <c r="AC146" s="212"/>
      <c r="AD146" s="212"/>
      <c r="AE146" s="450"/>
      <c r="AF146" s="212"/>
      <c r="AG146" s="212"/>
      <c r="AH146" s="212"/>
      <c r="AI146" s="212"/>
      <c r="AJ146" s="212"/>
      <c r="AK146" s="212"/>
      <c r="AL146" s="212"/>
      <c r="AM146" s="212"/>
      <c r="AN146" s="212"/>
      <c r="AO146" s="212"/>
      <c r="AP146" s="212"/>
      <c r="AQ146" s="212"/>
      <c r="AR146" s="212"/>
      <c r="AS146" s="212"/>
      <c r="AT146" s="212"/>
      <c r="AU146" s="212"/>
      <c r="AV146" s="212"/>
      <c r="AW146" s="212"/>
      <c r="AX146" s="212"/>
      <c r="AY146" s="212"/>
      <c r="AZ146" s="452"/>
      <c r="BA146" s="212"/>
      <c r="BB146" s="212"/>
      <c r="BC146" s="212"/>
      <c r="BD146" s="212"/>
      <c r="BE146" s="455"/>
      <c r="BF146" s="452"/>
    </row>
    <row r="147">
      <c r="A147" s="212"/>
      <c r="B147" s="447"/>
      <c r="C147" s="212"/>
      <c r="D147" s="212"/>
      <c r="E147" s="212"/>
      <c r="F147" s="212"/>
      <c r="G147" s="212"/>
      <c r="H147" s="212"/>
      <c r="I147" s="212"/>
      <c r="J147" s="212"/>
      <c r="K147" s="212"/>
      <c r="L147" s="212"/>
      <c r="M147" s="212"/>
      <c r="N147" s="212"/>
      <c r="O147" s="212"/>
      <c r="P147" s="212"/>
      <c r="Q147" s="212"/>
      <c r="R147" s="451"/>
      <c r="S147" s="451"/>
      <c r="T147" s="212"/>
      <c r="U147" s="451"/>
      <c r="V147" s="451"/>
      <c r="W147" s="451"/>
      <c r="X147" s="451"/>
      <c r="Y147" s="212"/>
      <c r="Z147" s="212"/>
      <c r="AA147" s="212"/>
      <c r="AB147" s="212"/>
      <c r="AC147" s="212"/>
      <c r="AD147" s="212"/>
      <c r="AE147" s="450"/>
      <c r="AF147" s="212"/>
      <c r="AG147" s="212"/>
      <c r="AH147" s="212"/>
      <c r="AI147" s="212"/>
      <c r="AJ147" s="212"/>
      <c r="AK147" s="212"/>
      <c r="AL147" s="212"/>
      <c r="AM147" s="212"/>
      <c r="AN147" s="212"/>
      <c r="AO147" s="212"/>
      <c r="AP147" s="212"/>
      <c r="AQ147" s="212"/>
      <c r="AR147" s="212"/>
      <c r="AS147" s="212"/>
      <c r="AT147" s="212"/>
      <c r="AU147" s="212"/>
      <c r="AV147" s="212"/>
      <c r="AW147" s="212"/>
      <c r="AX147" s="212"/>
      <c r="AY147" s="212"/>
      <c r="AZ147" s="452"/>
      <c r="BA147" s="212"/>
      <c r="BB147" s="212"/>
      <c r="BC147" s="212"/>
      <c r="BD147" s="212"/>
      <c r="BE147" s="455"/>
      <c r="BF147" s="452"/>
    </row>
    <row r="148">
      <c r="A148" s="212"/>
      <c r="B148" s="447"/>
      <c r="C148" s="212"/>
      <c r="D148" s="212"/>
      <c r="E148" s="212"/>
      <c r="F148" s="212"/>
      <c r="G148" s="212"/>
      <c r="H148" s="212"/>
      <c r="I148" s="212"/>
      <c r="J148" s="212"/>
      <c r="K148" s="212"/>
      <c r="L148" s="212"/>
      <c r="M148" s="212"/>
      <c r="N148" s="212"/>
      <c r="O148" s="212"/>
      <c r="P148" s="212"/>
      <c r="Q148" s="212"/>
      <c r="R148" s="451"/>
      <c r="S148" s="451"/>
      <c r="T148" s="212"/>
      <c r="U148" s="451"/>
      <c r="V148" s="451"/>
      <c r="W148" s="451"/>
      <c r="X148" s="451"/>
      <c r="Y148" s="212"/>
      <c r="Z148" s="212"/>
      <c r="AA148" s="212"/>
      <c r="AB148" s="212"/>
      <c r="AC148" s="212"/>
      <c r="AD148" s="212"/>
      <c r="AE148" s="450"/>
      <c r="AF148" s="212"/>
      <c r="AG148" s="212"/>
      <c r="AH148" s="212"/>
      <c r="AI148" s="212"/>
      <c r="AJ148" s="212"/>
      <c r="AK148" s="212"/>
      <c r="AL148" s="212"/>
      <c r="AM148" s="212"/>
      <c r="AN148" s="212"/>
      <c r="AO148" s="212"/>
      <c r="AP148" s="212"/>
      <c r="AQ148" s="212"/>
      <c r="AR148" s="212"/>
      <c r="AS148" s="212"/>
      <c r="AT148" s="212"/>
      <c r="AU148" s="212"/>
      <c r="AV148" s="212"/>
      <c r="AW148" s="212"/>
      <c r="AX148" s="212"/>
      <c r="AY148" s="212"/>
      <c r="AZ148" s="452"/>
      <c r="BA148" s="212"/>
      <c r="BB148" s="212"/>
      <c r="BC148" s="212"/>
      <c r="BD148" s="212"/>
      <c r="BE148" s="455"/>
      <c r="BF148" s="452"/>
    </row>
    <row r="149">
      <c r="A149" s="212"/>
      <c r="B149" s="447"/>
      <c r="C149" s="212"/>
      <c r="D149" s="212"/>
      <c r="E149" s="212"/>
      <c r="F149" s="212"/>
      <c r="G149" s="212"/>
      <c r="H149" s="212"/>
      <c r="I149" s="212"/>
      <c r="J149" s="212"/>
      <c r="K149" s="212"/>
      <c r="L149" s="212"/>
      <c r="M149" s="212"/>
      <c r="N149" s="212"/>
      <c r="O149" s="212"/>
      <c r="P149" s="212"/>
      <c r="Q149" s="212"/>
      <c r="R149" s="451"/>
      <c r="S149" s="451"/>
      <c r="T149" s="212"/>
      <c r="U149" s="451"/>
      <c r="V149" s="451"/>
      <c r="W149" s="451"/>
      <c r="X149" s="451"/>
      <c r="Y149" s="212"/>
      <c r="Z149" s="212"/>
      <c r="AA149" s="212"/>
      <c r="AB149" s="212"/>
      <c r="AC149" s="212"/>
      <c r="AD149" s="212"/>
      <c r="AE149" s="450"/>
      <c r="AF149" s="212"/>
      <c r="AG149" s="212"/>
      <c r="AH149" s="212"/>
      <c r="AI149" s="212"/>
      <c r="AJ149" s="212"/>
      <c r="AK149" s="212"/>
      <c r="AL149" s="212"/>
      <c r="AM149" s="212"/>
      <c r="AN149" s="212"/>
      <c r="AO149" s="212"/>
      <c r="AP149" s="212"/>
      <c r="AQ149" s="212"/>
      <c r="AR149" s="212"/>
      <c r="AS149" s="212"/>
      <c r="AT149" s="212"/>
      <c r="AU149" s="212"/>
      <c r="AV149" s="212"/>
      <c r="AW149" s="212"/>
      <c r="AX149" s="212"/>
      <c r="AY149" s="212"/>
      <c r="AZ149" s="452"/>
      <c r="BA149" s="212"/>
      <c r="BB149" s="212"/>
      <c r="BC149" s="212"/>
      <c r="BD149" s="212"/>
      <c r="BE149" s="455"/>
      <c r="BF149" s="452"/>
    </row>
    <row r="150">
      <c r="A150" s="212"/>
      <c r="B150" s="447"/>
      <c r="C150" s="212"/>
      <c r="D150" s="212"/>
      <c r="E150" s="212"/>
      <c r="F150" s="212"/>
      <c r="G150" s="212"/>
      <c r="H150" s="212"/>
      <c r="I150" s="212"/>
      <c r="J150" s="212"/>
      <c r="K150" s="212"/>
      <c r="L150" s="212"/>
      <c r="M150" s="212"/>
      <c r="N150" s="212"/>
      <c r="O150" s="212"/>
      <c r="P150" s="212"/>
      <c r="Q150" s="212"/>
      <c r="R150" s="451"/>
      <c r="S150" s="451"/>
      <c r="T150" s="212"/>
      <c r="U150" s="451"/>
      <c r="V150" s="451"/>
      <c r="W150" s="451"/>
      <c r="X150" s="451"/>
      <c r="Y150" s="212"/>
      <c r="Z150" s="212"/>
      <c r="AA150" s="212"/>
      <c r="AB150" s="212"/>
      <c r="AC150" s="212"/>
      <c r="AD150" s="212"/>
      <c r="AE150" s="450"/>
      <c r="AF150" s="212"/>
      <c r="AG150" s="212"/>
      <c r="AH150" s="212"/>
      <c r="AI150" s="212"/>
      <c r="AJ150" s="212"/>
      <c r="AK150" s="212"/>
      <c r="AL150" s="212"/>
      <c r="AM150" s="212"/>
      <c r="AN150" s="212"/>
      <c r="AO150" s="212"/>
      <c r="AP150" s="212"/>
      <c r="AQ150" s="212"/>
      <c r="AR150" s="212"/>
      <c r="AS150" s="212"/>
      <c r="AT150" s="212"/>
      <c r="AU150" s="212"/>
      <c r="AV150" s="212"/>
      <c r="AW150" s="212"/>
      <c r="AX150" s="212"/>
      <c r="AY150" s="212"/>
      <c r="AZ150" s="452"/>
      <c r="BA150" s="212"/>
      <c r="BB150" s="212"/>
      <c r="BC150" s="212"/>
      <c r="BD150" s="212"/>
      <c r="BE150" s="455"/>
      <c r="BF150" s="452"/>
    </row>
    <row r="151">
      <c r="A151" s="212"/>
      <c r="B151" s="447"/>
      <c r="C151" s="212"/>
      <c r="D151" s="212"/>
      <c r="E151" s="212"/>
      <c r="F151" s="212"/>
      <c r="G151" s="212"/>
      <c r="H151" s="212"/>
      <c r="I151" s="212"/>
      <c r="J151" s="212"/>
      <c r="K151" s="212"/>
      <c r="L151" s="212"/>
      <c r="M151" s="212"/>
      <c r="N151" s="212"/>
      <c r="O151" s="212"/>
      <c r="P151" s="212"/>
      <c r="Q151" s="212"/>
      <c r="R151" s="451"/>
      <c r="S151" s="451"/>
      <c r="T151" s="212"/>
      <c r="U151" s="451"/>
      <c r="V151" s="451"/>
      <c r="W151" s="451"/>
      <c r="X151" s="451"/>
      <c r="Y151" s="212"/>
      <c r="Z151" s="212"/>
      <c r="AA151" s="212"/>
      <c r="AB151" s="212"/>
      <c r="AC151" s="212"/>
      <c r="AD151" s="212"/>
      <c r="AE151" s="450"/>
      <c r="AF151" s="212"/>
      <c r="AG151" s="212"/>
      <c r="AH151" s="212"/>
      <c r="AI151" s="212"/>
      <c r="AJ151" s="212"/>
      <c r="AK151" s="212"/>
      <c r="AL151" s="212"/>
      <c r="AM151" s="212"/>
      <c r="AN151" s="212"/>
      <c r="AO151" s="212"/>
      <c r="AP151" s="212"/>
      <c r="AQ151" s="212"/>
      <c r="AR151" s="212"/>
      <c r="AS151" s="212"/>
      <c r="AT151" s="212"/>
      <c r="AU151" s="212"/>
      <c r="AV151" s="212"/>
      <c r="AW151" s="212"/>
      <c r="AX151" s="212"/>
      <c r="AY151" s="212"/>
      <c r="AZ151" s="452"/>
      <c r="BA151" s="212"/>
      <c r="BB151" s="212"/>
      <c r="BC151" s="212"/>
      <c r="BD151" s="212"/>
      <c r="BE151" s="455"/>
      <c r="BF151" s="452"/>
    </row>
    <row r="152">
      <c r="A152" s="212"/>
      <c r="B152" s="447"/>
      <c r="C152" s="212"/>
      <c r="D152" s="212"/>
      <c r="E152" s="212"/>
      <c r="F152" s="212"/>
      <c r="G152" s="212"/>
      <c r="H152" s="212"/>
      <c r="I152" s="212"/>
      <c r="J152" s="212"/>
      <c r="K152" s="212"/>
      <c r="L152" s="212"/>
      <c r="M152" s="212"/>
      <c r="N152" s="212"/>
      <c r="O152" s="212"/>
      <c r="P152" s="212"/>
      <c r="Q152" s="212"/>
      <c r="R152" s="451"/>
      <c r="S152" s="451"/>
      <c r="T152" s="212"/>
      <c r="U152" s="451"/>
      <c r="V152" s="451"/>
      <c r="W152" s="451"/>
      <c r="X152" s="451"/>
      <c r="Y152" s="212"/>
      <c r="Z152" s="212"/>
      <c r="AA152" s="212"/>
      <c r="AB152" s="212"/>
      <c r="AC152" s="212"/>
      <c r="AD152" s="212"/>
      <c r="AE152" s="450"/>
      <c r="AF152" s="212"/>
      <c r="AG152" s="212"/>
      <c r="AH152" s="212"/>
      <c r="AI152" s="212"/>
      <c r="AJ152" s="212"/>
      <c r="AK152" s="212"/>
      <c r="AL152" s="212"/>
      <c r="AM152" s="212"/>
      <c r="AN152" s="212"/>
      <c r="AO152" s="212"/>
      <c r="AP152" s="212"/>
      <c r="AQ152" s="212"/>
      <c r="AR152" s="212"/>
      <c r="AS152" s="212"/>
      <c r="AT152" s="212"/>
      <c r="AU152" s="212"/>
      <c r="AV152" s="212"/>
      <c r="AW152" s="212"/>
      <c r="AX152" s="212"/>
      <c r="AY152" s="212"/>
      <c r="AZ152" s="452"/>
      <c r="BA152" s="212"/>
      <c r="BB152" s="212"/>
      <c r="BC152" s="212"/>
      <c r="BD152" s="212"/>
      <c r="BE152" s="455"/>
      <c r="BF152" s="452"/>
    </row>
    <row r="153">
      <c r="A153" s="212"/>
      <c r="B153" s="447"/>
      <c r="C153" s="212"/>
      <c r="D153" s="212"/>
      <c r="E153" s="212"/>
      <c r="F153" s="212"/>
      <c r="G153" s="212"/>
      <c r="H153" s="212"/>
      <c r="I153" s="212"/>
      <c r="J153" s="212"/>
      <c r="K153" s="212"/>
      <c r="L153" s="212"/>
      <c r="M153" s="212"/>
      <c r="N153" s="212"/>
      <c r="O153" s="212"/>
      <c r="P153" s="212"/>
      <c r="Q153" s="212"/>
      <c r="R153" s="451"/>
      <c r="S153" s="451"/>
      <c r="T153" s="212"/>
      <c r="U153" s="451"/>
      <c r="V153" s="451"/>
      <c r="W153" s="451"/>
      <c r="X153" s="451"/>
      <c r="Y153" s="212"/>
      <c r="Z153" s="212"/>
      <c r="AA153" s="212"/>
      <c r="AB153" s="212"/>
      <c r="AC153" s="212"/>
      <c r="AD153" s="212"/>
      <c r="AE153" s="450"/>
      <c r="AF153" s="212"/>
      <c r="AG153" s="212"/>
      <c r="AH153" s="212"/>
      <c r="AI153" s="212"/>
      <c r="AJ153" s="212"/>
      <c r="AK153" s="212"/>
      <c r="AL153" s="212"/>
      <c r="AM153" s="212"/>
      <c r="AN153" s="212"/>
      <c r="AO153" s="212"/>
      <c r="AP153" s="212"/>
      <c r="AQ153" s="212"/>
      <c r="AR153" s="212"/>
      <c r="AS153" s="212"/>
      <c r="AT153" s="212"/>
      <c r="AU153" s="212"/>
      <c r="AV153" s="212"/>
      <c r="AW153" s="212"/>
      <c r="AX153" s="212"/>
      <c r="AY153" s="212"/>
      <c r="AZ153" s="452"/>
      <c r="BA153" s="212"/>
      <c r="BB153" s="212"/>
      <c r="BC153" s="212"/>
      <c r="BD153" s="212"/>
      <c r="BE153" s="455"/>
      <c r="BF153" s="452"/>
    </row>
    <row r="154">
      <c r="A154" s="212"/>
      <c r="B154" s="447"/>
      <c r="C154" s="212"/>
      <c r="D154" s="212"/>
      <c r="E154" s="212"/>
      <c r="F154" s="212"/>
      <c r="G154" s="212"/>
      <c r="H154" s="212"/>
      <c r="I154" s="212"/>
      <c r="J154" s="212"/>
      <c r="K154" s="212"/>
      <c r="L154" s="212"/>
      <c r="M154" s="212"/>
      <c r="N154" s="212"/>
      <c r="O154" s="212"/>
      <c r="P154" s="212"/>
      <c r="Q154" s="212"/>
      <c r="R154" s="451"/>
      <c r="S154" s="451"/>
      <c r="T154" s="212"/>
      <c r="U154" s="451"/>
      <c r="V154" s="451"/>
      <c r="W154" s="451"/>
      <c r="X154" s="451"/>
      <c r="Y154" s="212"/>
      <c r="Z154" s="212"/>
      <c r="AA154" s="212"/>
      <c r="AB154" s="212"/>
      <c r="AC154" s="212"/>
      <c r="AD154" s="212"/>
      <c r="AE154" s="450"/>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452"/>
      <c r="BA154" s="212"/>
      <c r="BB154" s="212"/>
      <c r="BC154" s="212"/>
      <c r="BD154" s="212"/>
      <c r="BE154" s="455"/>
      <c r="BF154" s="452"/>
    </row>
    <row r="155">
      <c r="A155" s="212"/>
      <c r="B155" s="447"/>
      <c r="C155" s="212"/>
      <c r="D155" s="212"/>
      <c r="E155" s="212"/>
      <c r="F155" s="212"/>
      <c r="G155" s="212"/>
      <c r="H155" s="212"/>
      <c r="I155" s="212"/>
      <c r="J155" s="212"/>
      <c r="K155" s="212"/>
      <c r="L155" s="212"/>
      <c r="M155" s="212"/>
      <c r="N155" s="212"/>
      <c r="O155" s="212"/>
      <c r="P155" s="212"/>
      <c r="Q155" s="212"/>
      <c r="R155" s="451"/>
      <c r="S155" s="451"/>
      <c r="T155" s="212"/>
      <c r="U155" s="451"/>
      <c r="V155" s="451"/>
      <c r="W155" s="451"/>
      <c r="X155" s="451"/>
      <c r="Y155" s="212"/>
      <c r="Z155" s="212"/>
      <c r="AA155" s="212"/>
      <c r="AB155" s="212"/>
      <c r="AC155" s="212"/>
      <c r="AD155" s="212"/>
      <c r="AE155" s="450"/>
      <c r="AF155" s="212"/>
      <c r="AG155" s="212"/>
      <c r="AH155" s="212"/>
      <c r="AI155" s="212"/>
      <c r="AJ155" s="212"/>
      <c r="AK155" s="212"/>
      <c r="AL155" s="212"/>
      <c r="AM155" s="212"/>
      <c r="AN155" s="212"/>
      <c r="AO155" s="212"/>
      <c r="AP155" s="212"/>
      <c r="AQ155" s="212"/>
      <c r="AR155" s="212"/>
      <c r="AS155" s="212"/>
      <c r="AT155" s="212"/>
      <c r="AU155" s="212"/>
      <c r="AV155" s="212"/>
      <c r="AW155" s="212"/>
      <c r="AX155" s="212"/>
      <c r="AY155" s="212"/>
      <c r="AZ155" s="452"/>
      <c r="BA155" s="212"/>
      <c r="BB155" s="212"/>
      <c r="BC155" s="212"/>
      <c r="BD155" s="212"/>
      <c r="BE155" s="455"/>
      <c r="BF155" s="452"/>
    </row>
    <row r="156">
      <c r="A156" s="212"/>
      <c r="B156" s="447"/>
      <c r="C156" s="212"/>
      <c r="D156" s="212"/>
      <c r="E156" s="212"/>
      <c r="F156" s="212"/>
      <c r="G156" s="212"/>
      <c r="H156" s="212"/>
      <c r="I156" s="212"/>
      <c r="J156" s="212"/>
      <c r="K156" s="212"/>
      <c r="L156" s="212"/>
      <c r="M156" s="212"/>
      <c r="N156" s="212"/>
      <c r="O156" s="212"/>
      <c r="P156" s="212"/>
      <c r="Q156" s="212"/>
      <c r="R156" s="451"/>
      <c r="S156" s="451"/>
      <c r="T156" s="212"/>
      <c r="U156" s="451"/>
      <c r="V156" s="451"/>
      <c r="W156" s="451"/>
      <c r="X156" s="451"/>
      <c r="Y156" s="212"/>
      <c r="Z156" s="212"/>
      <c r="AA156" s="212"/>
      <c r="AB156" s="212"/>
      <c r="AC156" s="212"/>
      <c r="AD156" s="212"/>
      <c r="AE156" s="450"/>
      <c r="AF156" s="212"/>
      <c r="AG156" s="212"/>
      <c r="AH156" s="212"/>
      <c r="AI156" s="212"/>
      <c r="AJ156" s="212"/>
      <c r="AK156" s="212"/>
      <c r="AL156" s="212"/>
      <c r="AM156" s="212"/>
      <c r="AN156" s="212"/>
      <c r="AO156" s="212"/>
      <c r="AP156" s="212"/>
      <c r="AQ156" s="212"/>
      <c r="AR156" s="212"/>
      <c r="AS156" s="212"/>
      <c r="AT156" s="212"/>
      <c r="AU156" s="212"/>
      <c r="AV156" s="212"/>
      <c r="AW156" s="212"/>
      <c r="AX156" s="212"/>
      <c r="AY156" s="212"/>
      <c r="AZ156" s="452"/>
      <c r="BA156" s="212"/>
      <c r="BB156" s="212"/>
      <c r="BC156" s="212"/>
      <c r="BD156" s="212"/>
      <c r="BE156" s="455"/>
      <c r="BF156" s="452"/>
    </row>
    <row r="157">
      <c r="A157" s="212"/>
      <c r="B157" s="447"/>
      <c r="C157" s="212"/>
      <c r="D157" s="212"/>
      <c r="E157" s="212"/>
      <c r="F157" s="212"/>
      <c r="G157" s="212"/>
      <c r="H157" s="212"/>
      <c r="I157" s="212"/>
      <c r="J157" s="212"/>
      <c r="K157" s="212"/>
      <c r="L157" s="212"/>
      <c r="M157" s="212"/>
      <c r="N157" s="212"/>
      <c r="O157" s="212"/>
      <c r="P157" s="212"/>
      <c r="Q157" s="212"/>
      <c r="R157" s="451"/>
      <c r="S157" s="451"/>
      <c r="T157" s="212"/>
      <c r="U157" s="451"/>
      <c r="V157" s="451"/>
      <c r="W157" s="451"/>
      <c r="X157" s="451"/>
      <c r="Y157" s="212"/>
      <c r="Z157" s="212"/>
      <c r="AA157" s="212"/>
      <c r="AB157" s="212"/>
      <c r="AC157" s="212"/>
      <c r="AD157" s="212"/>
      <c r="AE157" s="450"/>
      <c r="AF157" s="212"/>
      <c r="AG157" s="212"/>
      <c r="AH157" s="212"/>
      <c r="AI157" s="212"/>
      <c r="AJ157" s="212"/>
      <c r="AK157" s="212"/>
      <c r="AL157" s="212"/>
      <c r="AM157" s="212"/>
      <c r="AN157" s="212"/>
      <c r="AO157" s="212"/>
      <c r="AP157" s="212"/>
      <c r="AQ157" s="212"/>
      <c r="AR157" s="212"/>
      <c r="AS157" s="212"/>
      <c r="AT157" s="212"/>
      <c r="AU157" s="212"/>
      <c r="AV157" s="212"/>
      <c r="AW157" s="212"/>
      <c r="AX157" s="212"/>
      <c r="AY157" s="212"/>
      <c r="AZ157" s="452"/>
      <c r="BA157" s="212"/>
      <c r="BB157" s="212"/>
      <c r="BC157" s="212"/>
      <c r="BD157" s="212"/>
      <c r="BE157" s="455"/>
      <c r="BF157" s="452"/>
    </row>
    <row r="158">
      <c r="A158" s="212"/>
      <c r="B158" s="447"/>
      <c r="C158" s="212"/>
      <c r="D158" s="212"/>
      <c r="E158" s="212"/>
      <c r="F158" s="212"/>
      <c r="G158" s="212"/>
      <c r="H158" s="212"/>
      <c r="I158" s="212"/>
      <c r="J158" s="212"/>
      <c r="K158" s="212"/>
      <c r="L158" s="212"/>
      <c r="M158" s="212"/>
      <c r="N158" s="212"/>
      <c r="O158" s="212"/>
      <c r="P158" s="212"/>
      <c r="Q158" s="212"/>
      <c r="R158" s="451"/>
      <c r="S158" s="451"/>
      <c r="T158" s="212"/>
      <c r="U158" s="451"/>
      <c r="V158" s="451"/>
      <c r="W158" s="451"/>
      <c r="X158" s="451"/>
      <c r="Y158" s="212"/>
      <c r="Z158" s="212"/>
      <c r="AA158" s="212"/>
      <c r="AB158" s="212"/>
      <c r="AC158" s="212"/>
      <c r="AD158" s="212"/>
      <c r="AE158" s="450"/>
      <c r="AF158" s="212"/>
      <c r="AG158" s="212"/>
      <c r="AH158" s="212"/>
      <c r="AI158" s="212"/>
      <c r="AJ158" s="212"/>
      <c r="AK158" s="212"/>
      <c r="AL158" s="212"/>
      <c r="AM158" s="212"/>
      <c r="AN158" s="212"/>
      <c r="AO158" s="212"/>
      <c r="AP158" s="212"/>
      <c r="AQ158" s="212"/>
      <c r="AR158" s="212"/>
      <c r="AS158" s="212"/>
      <c r="AT158" s="212"/>
      <c r="AU158" s="212"/>
      <c r="AV158" s="212"/>
      <c r="AW158" s="212"/>
      <c r="AX158" s="212"/>
      <c r="AY158" s="212"/>
      <c r="AZ158" s="452"/>
      <c r="BA158" s="212"/>
      <c r="BB158" s="212"/>
      <c r="BC158" s="212"/>
      <c r="BD158" s="212"/>
      <c r="BE158" s="455"/>
      <c r="BF158" s="452"/>
    </row>
    <row r="159">
      <c r="A159" s="212"/>
      <c r="B159" s="447"/>
      <c r="C159" s="212"/>
      <c r="D159" s="212"/>
      <c r="E159" s="212"/>
      <c r="F159" s="212"/>
      <c r="G159" s="212"/>
      <c r="H159" s="212"/>
      <c r="I159" s="212"/>
      <c r="J159" s="212"/>
      <c r="K159" s="212"/>
      <c r="L159" s="212"/>
      <c r="M159" s="212"/>
      <c r="N159" s="212"/>
      <c r="O159" s="212"/>
      <c r="P159" s="212"/>
      <c r="Q159" s="212"/>
      <c r="R159" s="451"/>
      <c r="S159" s="451"/>
      <c r="T159" s="212"/>
      <c r="U159" s="451"/>
      <c r="V159" s="451"/>
      <c r="W159" s="451"/>
      <c r="X159" s="451"/>
      <c r="Y159" s="212"/>
      <c r="Z159" s="212"/>
      <c r="AA159" s="212"/>
      <c r="AB159" s="212"/>
      <c r="AC159" s="212"/>
      <c r="AD159" s="212"/>
      <c r="AE159" s="450"/>
      <c r="AF159" s="212"/>
      <c r="AG159" s="212"/>
      <c r="AH159" s="212"/>
      <c r="AI159" s="212"/>
      <c r="AJ159" s="212"/>
      <c r="AK159" s="212"/>
      <c r="AL159" s="212"/>
      <c r="AM159" s="212"/>
      <c r="AN159" s="212"/>
      <c r="AO159" s="212"/>
      <c r="AP159" s="212"/>
      <c r="AQ159" s="212"/>
      <c r="AR159" s="212"/>
      <c r="AS159" s="212"/>
      <c r="AT159" s="212"/>
      <c r="AU159" s="212"/>
      <c r="AV159" s="212"/>
      <c r="AW159" s="212"/>
      <c r="AX159" s="212"/>
      <c r="AY159" s="212"/>
      <c r="AZ159" s="452"/>
      <c r="BA159" s="212"/>
      <c r="BB159" s="212"/>
      <c r="BC159" s="212"/>
      <c r="BD159" s="212"/>
      <c r="BE159" s="455"/>
      <c r="BF159" s="452"/>
    </row>
    <row r="160">
      <c r="A160" s="212"/>
      <c r="B160" s="447"/>
      <c r="C160" s="212"/>
      <c r="D160" s="212"/>
      <c r="E160" s="212"/>
      <c r="F160" s="212"/>
      <c r="G160" s="212"/>
      <c r="H160" s="212"/>
      <c r="I160" s="212"/>
      <c r="J160" s="212"/>
      <c r="K160" s="212"/>
      <c r="L160" s="212"/>
      <c r="M160" s="212"/>
      <c r="N160" s="212"/>
      <c r="O160" s="212"/>
      <c r="P160" s="212"/>
      <c r="Q160" s="212"/>
      <c r="R160" s="451"/>
      <c r="S160" s="451"/>
      <c r="T160" s="212"/>
      <c r="U160" s="451"/>
      <c r="V160" s="451"/>
      <c r="W160" s="451"/>
      <c r="X160" s="451"/>
      <c r="Y160" s="212"/>
      <c r="Z160" s="212"/>
      <c r="AA160" s="212"/>
      <c r="AB160" s="212"/>
      <c r="AC160" s="212"/>
      <c r="AD160" s="212"/>
      <c r="AE160" s="450"/>
      <c r="AF160" s="212"/>
      <c r="AG160" s="212"/>
      <c r="AH160" s="212"/>
      <c r="AI160" s="212"/>
      <c r="AJ160" s="212"/>
      <c r="AK160" s="212"/>
      <c r="AL160" s="212"/>
      <c r="AM160" s="212"/>
      <c r="AN160" s="212"/>
      <c r="AO160" s="212"/>
      <c r="AP160" s="212"/>
      <c r="AQ160" s="212"/>
      <c r="AR160" s="212"/>
      <c r="AS160" s="212"/>
      <c r="AT160" s="212"/>
      <c r="AU160" s="212"/>
      <c r="AV160" s="212"/>
      <c r="AW160" s="212"/>
      <c r="AX160" s="212"/>
      <c r="AY160" s="212"/>
      <c r="AZ160" s="452"/>
      <c r="BA160" s="212"/>
      <c r="BB160" s="212"/>
      <c r="BC160" s="212"/>
      <c r="BD160" s="212"/>
      <c r="BE160" s="455"/>
      <c r="BF160" s="452"/>
    </row>
    <row r="161">
      <c r="A161" s="212"/>
      <c r="B161" s="447"/>
      <c r="C161" s="212"/>
      <c r="D161" s="212"/>
      <c r="E161" s="212"/>
      <c r="F161" s="212"/>
      <c r="G161" s="212"/>
      <c r="H161" s="212"/>
      <c r="I161" s="212"/>
      <c r="J161" s="212"/>
      <c r="K161" s="212"/>
      <c r="L161" s="212"/>
      <c r="M161" s="212"/>
      <c r="N161" s="212"/>
      <c r="O161" s="212"/>
      <c r="P161" s="212"/>
      <c r="Q161" s="212"/>
      <c r="R161" s="451"/>
      <c r="S161" s="451"/>
      <c r="T161" s="212"/>
      <c r="U161" s="451"/>
      <c r="V161" s="451"/>
      <c r="W161" s="451"/>
      <c r="X161" s="451"/>
      <c r="Y161" s="212"/>
      <c r="Z161" s="212"/>
      <c r="AA161" s="212"/>
      <c r="AB161" s="212"/>
      <c r="AC161" s="212"/>
      <c r="AD161" s="212"/>
      <c r="AE161" s="450"/>
      <c r="AF161" s="212"/>
      <c r="AG161" s="212"/>
      <c r="AH161" s="212"/>
      <c r="AI161" s="212"/>
      <c r="AJ161" s="212"/>
      <c r="AK161" s="212"/>
      <c r="AL161" s="212"/>
      <c r="AM161" s="212"/>
      <c r="AN161" s="212"/>
      <c r="AO161" s="212"/>
      <c r="AP161" s="212"/>
      <c r="AQ161" s="212"/>
      <c r="AR161" s="212"/>
      <c r="AS161" s="212"/>
      <c r="AT161" s="212"/>
      <c r="AU161" s="212"/>
      <c r="AV161" s="212"/>
      <c r="AW161" s="212"/>
      <c r="AX161" s="212"/>
      <c r="AY161" s="212"/>
      <c r="AZ161" s="452"/>
      <c r="BA161" s="212"/>
      <c r="BB161" s="212"/>
      <c r="BC161" s="212"/>
      <c r="BD161" s="212"/>
      <c r="BE161" s="455"/>
      <c r="BF161" s="452"/>
    </row>
    <row r="162">
      <c r="A162" s="212"/>
      <c r="B162" s="447"/>
      <c r="C162" s="212"/>
      <c r="D162" s="212"/>
      <c r="E162" s="212"/>
      <c r="F162" s="212"/>
      <c r="G162" s="212"/>
      <c r="H162" s="212"/>
      <c r="I162" s="212"/>
      <c r="J162" s="212"/>
      <c r="K162" s="212"/>
      <c r="L162" s="212"/>
      <c r="M162" s="212"/>
      <c r="N162" s="212"/>
      <c r="O162" s="212"/>
      <c r="P162" s="212"/>
      <c r="Q162" s="212"/>
      <c r="R162" s="451"/>
      <c r="S162" s="451"/>
      <c r="T162" s="212"/>
      <c r="U162" s="451"/>
      <c r="V162" s="451"/>
      <c r="W162" s="451"/>
      <c r="X162" s="451"/>
      <c r="Y162" s="212"/>
      <c r="Z162" s="212"/>
      <c r="AA162" s="212"/>
      <c r="AB162" s="212"/>
      <c r="AC162" s="212"/>
      <c r="AD162" s="212"/>
      <c r="AE162" s="450"/>
      <c r="AF162" s="212"/>
      <c r="AG162" s="212"/>
      <c r="AH162" s="212"/>
      <c r="AI162" s="212"/>
      <c r="AJ162" s="212"/>
      <c r="AK162" s="212"/>
      <c r="AL162" s="212"/>
      <c r="AM162" s="212"/>
      <c r="AN162" s="212"/>
      <c r="AO162" s="212"/>
      <c r="AP162" s="212"/>
      <c r="AQ162" s="212"/>
      <c r="AR162" s="212"/>
      <c r="AS162" s="212"/>
      <c r="AT162" s="212"/>
      <c r="AU162" s="212"/>
      <c r="AV162" s="212"/>
      <c r="AW162" s="212"/>
      <c r="AX162" s="212"/>
      <c r="AY162" s="212"/>
      <c r="AZ162" s="452"/>
      <c r="BA162" s="212"/>
      <c r="BB162" s="212"/>
      <c r="BC162" s="212"/>
      <c r="BD162" s="212"/>
      <c r="BE162" s="455"/>
      <c r="BF162" s="452"/>
    </row>
    <row r="163">
      <c r="A163" s="212"/>
      <c r="B163" s="447"/>
      <c r="C163" s="212"/>
      <c r="D163" s="212"/>
      <c r="E163" s="212"/>
      <c r="F163" s="212"/>
      <c r="G163" s="212"/>
      <c r="H163" s="212"/>
      <c r="I163" s="212"/>
      <c r="J163" s="212"/>
      <c r="K163" s="212"/>
      <c r="L163" s="212"/>
      <c r="M163" s="212"/>
      <c r="N163" s="212"/>
      <c r="O163" s="212"/>
      <c r="P163" s="212"/>
      <c r="Q163" s="212"/>
      <c r="R163" s="451"/>
      <c r="S163" s="451"/>
      <c r="T163" s="212"/>
      <c r="U163" s="451"/>
      <c r="V163" s="451"/>
      <c r="W163" s="451"/>
      <c r="X163" s="451"/>
      <c r="Y163" s="212"/>
      <c r="Z163" s="212"/>
      <c r="AA163" s="212"/>
      <c r="AB163" s="212"/>
      <c r="AC163" s="212"/>
      <c r="AD163" s="212"/>
      <c r="AE163" s="450"/>
      <c r="AF163" s="212"/>
      <c r="AG163" s="212"/>
      <c r="AH163" s="212"/>
      <c r="AI163" s="212"/>
      <c r="AJ163" s="212"/>
      <c r="AK163" s="212"/>
      <c r="AL163" s="212"/>
      <c r="AM163" s="212"/>
      <c r="AN163" s="212"/>
      <c r="AO163" s="212"/>
      <c r="AP163" s="212"/>
      <c r="AQ163" s="212"/>
      <c r="AR163" s="212"/>
      <c r="AS163" s="212"/>
      <c r="AT163" s="212"/>
      <c r="AU163" s="212"/>
      <c r="AV163" s="212"/>
      <c r="AW163" s="212"/>
      <c r="AX163" s="212"/>
      <c r="AY163" s="212"/>
      <c r="AZ163" s="452"/>
      <c r="BA163" s="212"/>
      <c r="BB163" s="212"/>
      <c r="BC163" s="212"/>
      <c r="BD163" s="212"/>
      <c r="BE163" s="455"/>
      <c r="BF163" s="452"/>
    </row>
    <row r="164">
      <c r="A164" s="212"/>
      <c r="B164" s="447"/>
      <c r="C164" s="212"/>
      <c r="D164" s="212"/>
      <c r="E164" s="212"/>
      <c r="F164" s="212"/>
      <c r="G164" s="212"/>
      <c r="H164" s="212"/>
      <c r="I164" s="212"/>
      <c r="J164" s="212"/>
      <c r="K164" s="212"/>
      <c r="L164" s="212"/>
      <c r="M164" s="212"/>
      <c r="N164" s="212"/>
      <c r="O164" s="212"/>
      <c r="P164" s="212"/>
      <c r="Q164" s="212"/>
      <c r="R164" s="451"/>
      <c r="S164" s="451"/>
      <c r="T164" s="212"/>
      <c r="U164" s="451"/>
      <c r="V164" s="451"/>
      <c r="W164" s="451"/>
      <c r="X164" s="451"/>
      <c r="Y164" s="212"/>
      <c r="Z164" s="212"/>
      <c r="AA164" s="212"/>
      <c r="AB164" s="212"/>
      <c r="AC164" s="212"/>
      <c r="AD164" s="212"/>
      <c r="AE164" s="450"/>
      <c r="AF164" s="212"/>
      <c r="AG164" s="212"/>
      <c r="AH164" s="212"/>
      <c r="AI164" s="212"/>
      <c r="AJ164" s="212"/>
      <c r="AK164" s="212"/>
      <c r="AL164" s="212"/>
      <c r="AM164" s="212"/>
      <c r="AN164" s="212"/>
      <c r="AO164" s="212"/>
      <c r="AP164" s="212"/>
      <c r="AQ164" s="212"/>
      <c r="AR164" s="212"/>
      <c r="AS164" s="212"/>
      <c r="AT164" s="212"/>
      <c r="AU164" s="212"/>
      <c r="AV164" s="212"/>
      <c r="AW164" s="212"/>
      <c r="AX164" s="212"/>
      <c r="AY164" s="212"/>
      <c r="AZ164" s="452"/>
      <c r="BA164" s="212"/>
      <c r="BB164" s="212"/>
      <c r="BC164" s="212"/>
      <c r="BD164" s="212"/>
      <c r="BE164" s="455"/>
      <c r="BF164" s="452"/>
    </row>
    <row r="165">
      <c r="A165" s="212"/>
      <c r="B165" s="447"/>
      <c r="C165" s="212"/>
      <c r="D165" s="212"/>
      <c r="E165" s="212"/>
      <c r="F165" s="212"/>
      <c r="G165" s="212"/>
      <c r="H165" s="212"/>
      <c r="I165" s="212"/>
      <c r="J165" s="212"/>
      <c r="K165" s="212"/>
      <c r="L165" s="212"/>
      <c r="M165" s="212"/>
      <c r="N165" s="212"/>
      <c r="O165" s="212"/>
      <c r="P165" s="212"/>
      <c r="Q165" s="212"/>
      <c r="R165" s="451"/>
      <c r="S165" s="451"/>
      <c r="T165" s="212"/>
      <c r="U165" s="451"/>
      <c r="V165" s="451"/>
      <c r="W165" s="451"/>
      <c r="X165" s="451"/>
      <c r="Y165" s="212"/>
      <c r="Z165" s="212"/>
      <c r="AA165" s="212"/>
      <c r="AB165" s="212"/>
      <c r="AC165" s="212"/>
      <c r="AD165" s="212"/>
      <c r="AE165" s="450"/>
      <c r="AF165" s="212"/>
      <c r="AG165" s="212"/>
      <c r="AH165" s="212"/>
      <c r="AI165" s="212"/>
      <c r="AJ165" s="212"/>
      <c r="AK165" s="212"/>
      <c r="AL165" s="212"/>
      <c r="AM165" s="212"/>
      <c r="AN165" s="212"/>
      <c r="AO165" s="212"/>
      <c r="AP165" s="212"/>
      <c r="AQ165" s="212"/>
      <c r="AR165" s="212"/>
      <c r="AS165" s="212"/>
      <c r="AT165" s="212"/>
      <c r="AU165" s="212"/>
      <c r="AV165" s="212"/>
      <c r="AW165" s="212"/>
      <c r="AX165" s="212"/>
      <c r="AY165" s="212"/>
      <c r="AZ165" s="452"/>
      <c r="BA165" s="212"/>
      <c r="BB165" s="212"/>
      <c r="BC165" s="212"/>
      <c r="BD165" s="212"/>
      <c r="BE165" s="455"/>
      <c r="BF165" s="452"/>
    </row>
    <row r="166">
      <c r="A166" s="212"/>
      <c r="B166" s="447"/>
      <c r="C166" s="212"/>
      <c r="D166" s="212"/>
      <c r="E166" s="212"/>
      <c r="F166" s="212"/>
      <c r="G166" s="212"/>
      <c r="H166" s="212"/>
      <c r="I166" s="212"/>
      <c r="J166" s="212"/>
      <c r="K166" s="212"/>
      <c r="L166" s="212"/>
      <c r="M166" s="212"/>
      <c r="N166" s="212"/>
      <c r="O166" s="212"/>
      <c r="P166" s="212"/>
      <c r="Q166" s="212"/>
      <c r="R166" s="451"/>
      <c r="S166" s="451"/>
      <c r="T166" s="212"/>
      <c r="U166" s="451"/>
      <c r="V166" s="451"/>
      <c r="W166" s="451"/>
      <c r="X166" s="451"/>
      <c r="Y166" s="212"/>
      <c r="Z166" s="212"/>
      <c r="AA166" s="212"/>
      <c r="AB166" s="212"/>
      <c r="AC166" s="212"/>
      <c r="AD166" s="212"/>
      <c r="AE166" s="450"/>
      <c r="AF166" s="212"/>
      <c r="AG166" s="212"/>
      <c r="AH166" s="212"/>
      <c r="AI166" s="212"/>
      <c r="AJ166" s="212"/>
      <c r="AK166" s="212"/>
      <c r="AL166" s="212"/>
      <c r="AM166" s="212"/>
      <c r="AN166" s="212"/>
      <c r="AO166" s="212"/>
      <c r="AP166" s="212"/>
      <c r="AQ166" s="212"/>
      <c r="AR166" s="212"/>
      <c r="AS166" s="212"/>
      <c r="AT166" s="212"/>
      <c r="AU166" s="212"/>
      <c r="AV166" s="212"/>
      <c r="AW166" s="212"/>
      <c r="AX166" s="212"/>
      <c r="AY166" s="212"/>
      <c r="AZ166" s="452"/>
      <c r="BA166" s="212"/>
      <c r="BB166" s="212"/>
      <c r="BC166" s="212"/>
      <c r="BD166" s="212"/>
      <c r="BE166" s="455"/>
      <c r="BF166" s="452"/>
    </row>
    <row r="167">
      <c r="A167" s="212"/>
      <c r="B167" s="447"/>
      <c r="C167" s="212"/>
      <c r="D167" s="212"/>
      <c r="E167" s="212"/>
      <c r="F167" s="212"/>
      <c r="G167" s="212"/>
      <c r="H167" s="212"/>
      <c r="I167" s="212"/>
      <c r="J167" s="212"/>
      <c r="K167" s="212"/>
      <c r="L167" s="212"/>
      <c r="M167" s="212"/>
      <c r="N167" s="212"/>
      <c r="O167" s="212"/>
      <c r="P167" s="212"/>
      <c r="Q167" s="212"/>
      <c r="R167" s="451"/>
      <c r="S167" s="451"/>
      <c r="T167" s="212"/>
      <c r="U167" s="451"/>
      <c r="V167" s="451"/>
      <c r="W167" s="451"/>
      <c r="X167" s="451"/>
      <c r="Y167" s="212"/>
      <c r="Z167" s="212"/>
      <c r="AA167" s="212"/>
      <c r="AB167" s="212"/>
      <c r="AC167" s="212"/>
      <c r="AD167" s="212"/>
      <c r="AE167" s="450"/>
      <c r="AF167" s="212"/>
      <c r="AG167" s="212"/>
      <c r="AH167" s="212"/>
      <c r="AI167" s="212"/>
      <c r="AJ167" s="212"/>
      <c r="AK167" s="212"/>
      <c r="AL167" s="212"/>
      <c r="AM167" s="212"/>
      <c r="AN167" s="212"/>
      <c r="AO167" s="212"/>
      <c r="AP167" s="212"/>
      <c r="AQ167" s="212"/>
      <c r="AR167" s="212"/>
      <c r="AS167" s="212"/>
      <c r="AT167" s="212"/>
      <c r="AU167" s="212"/>
      <c r="AV167" s="212"/>
      <c r="AW167" s="212"/>
      <c r="AX167" s="212"/>
      <c r="AY167" s="212"/>
      <c r="AZ167" s="452"/>
      <c r="BA167" s="212"/>
      <c r="BB167" s="212"/>
      <c r="BC167" s="212"/>
      <c r="BD167" s="212"/>
      <c r="BE167" s="455"/>
      <c r="BF167" s="452"/>
    </row>
    <row r="168">
      <c r="A168" s="212"/>
      <c r="B168" s="447"/>
      <c r="C168" s="212"/>
      <c r="D168" s="212"/>
      <c r="E168" s="212"/>
      <c r="F168" s="212"/>
      <c r="G168" s="212"/>
      <c r="H168" s="212"/>
      <c r="I168" s="212"/>
      <c r="J168" s="212"/>
      <c r="K168" s="212"/>
      <c r="L168" s="212"/>
      <c r="M168" s="212"/>
      <c r="N168" s="212"/>
      <c r="O168" s="212"/>
      <c r="P168" s="212"/>
      <c r="Q168" s="212"/>
      <c r="R168" s="451"/>
      <c r="S168" s="451"/>
      <c r="T168" s="212"/>
      <c r="U168" s="451"/>
      <c r="V168" s="451"/>
      <c r="W168" s="451"/>
      <c r="X168" s="451"/>
      <c r="Y168" s="212"/>
      <c r="Z168" s="212"/>
      <c r="AA168" s="212"/>
      <c r="AB168" s="212"/>
      <c r="AC168" s="212"/>
      <c r="AD168" s="212"/>
      <c r="AE168" s="450"/>
      <c r="AF168" s="212"/>
      <c r="AG168" s="212"/>
      <c r="AH168" s="212"/>
      <c r="AI168" s="212"/>
      <c r="AJ168" s="212"/>
      <c r="AK168" s="212"/>
      <c r="AL168" s="212"/>
      <c r="AM168" s="212"/>
      <c r="AN168" s="212"/>
      <c r="AO168" s="212"/>
      <c r="AP168" s="212"/>
      <c r="AQ168" s="212"/>
      <c r="AR168" s="212"/>
      <c r="AS168" s="212"/>
      <c r="AT168" s="212"/>
      <c r="AU168" s="212"/>
      <c r="AV168" s="212"/>
      <c r="AW168" s="212"/>
      <c r="AX168" s="212"/>
      <c r="AY168" s="212"/>
      <c r="AZ168" s="452"/>
      <c r="BA168" s="212"/>
      <c r="BB168" s="212"/>
      <c r="BC168" s="212"/>
      <c r="BD168" s="212"/>
      <c r="BE168" s="455"/>
      <c r="BF168" s="452"/>
    </row>
    <row r="169">
      <c r="A169" s="212"/>
      <c r="B169" s="447"/>
      <c r="C169" s="212"/>
      <c r="D169" s="212"/>
      <c r="E169" s="212"/>
      <c r="F169" s="212"/>
      <c r="G169" s="212"/>
      <c r="H169" s="212"/>
      <c r="I169" s="212"/>
      <c r="J169" s="212"/>
      <c r="K169" s="212"/>
      <c r="L169" s="212"/>
      <c r="M169" s="212"/>
      <c r="N169" s="212"/>
      <c r="O169" s="212"/>
      <c r="P169" s="212"/>
      <c r="Q169" s="212"/>
      <c r="R169" s="451"/>
      <c r="S169" s="451"/>
      <c r="T169" s="212"/>
      <c r="U169" s="451"/>
      <c r="V169" s="451"/>
      <c r="W169" s="451"/>
      <c r="X169" s="451"/>
      <c r="Y169" s="212"/>
      <c r="Z169" s="212"/>
      <c r="AA169" s="212"/>
      <c r="AB169" s="212"/>
      <c r="AC169" s="212"/>
      <c r="AD169" s="212"/>
      <c r="AE169" s="450"/>
      <c r="AF169" s="212"/>
      <c r="AG169" s="212"/>
      <c r="AH169" s="212"/>
      <c r="AI169" s="212"/>
      <c r="AJ169" s="212"/>
      <c r="AK169" s="212"/>
      <c r="AL169" s="212"/>
      <c r="AM169" s="212"/>
      <c r="AN169" s="212"/>
      <c r="AO169" s="212"/>
      <c r="AP169" s="212"/>
      <c r="AQ169" s="212"/>
      <c r="AR169" s="212"/>
      <c r="AS169" s="212"/>
      <c r="AT169" s="212"/>
      <c r="AU169" s="212"/>
      <c r="AV169" s="212"/>
      <c r="AW169" s="212"/>
      <c r="AX169" s="212"/>
      <c r="AY169" s="212"/>
      <c r="AZ169" s="452"/>
      <c r="BA169" s="212"/>
      <c r="BB169" s="212"/>
      <c r="BC169" s="212"/>
      <c r="BD169" s="212"/>
      <c r="BE169" s="455"/>
      <c r="BF169" s="452"/>
    </row>
    <row r="170">
      <c r="A170" s="212"/>
      <c r="B170" s="447"/>
      <c r="C170" s="212"/>
      <c r="D170" s="212"/>
      <c r="E170" s="212"/>
      <c r="F170" s="212"/>
      <c r="G170" s="212"/>
      <c r="H170" s="212"/>
      <c r="I170" s="212"/>
      <c r="J170" s="212"/>
      <c r="K170" s="212"/>
      <c r="L170" s="212"/>
      <c r="M170" s="212"/>
      <c r="N170" s="212"/>
      <c r="O170" s="212"/>
      <c r="P170" s="212"/>
      <c r="Q170" s="212"/>
      <c r="R170" s="451"/>
      <c r="S170" s="451"/>
      <c r="T170" s="212"/>
      <c r="U170" s="451"/>
      <c r="V170" s="451"/>
      <c r="W170" s="451"/>
      <c r="X170" s="451"/>
      <c r="Y170" s="212"/>
      <c r="Z170" s="212"/>
      <c r="AA170" s="212"/>
      <c r="AB170" s="212"/>
      <c r="AC170" s="212"/>
      <c r="AD170" s="212"/>
      <c r="AE170" s="450"/>
      <c r="AF170" s="212"/>
      <c r="AG170" s="212"/>
      <c r="AH170" s="212"/>
      <c r="AI170" s="212"/>
      <c r="AJ170" s="212"/>
      <c r="AK170" s="212"/>
      <c r="AL170" s="212"/>
      <c r="AM170" s="212"/>
      <c r="AN170" s="212"/>
      <c r="AO170" s="212"/>
      <c r="AP170" s="212"/>
      <c r="AQ170" s="212"/>
      <c r="AR170" s="212"/>
      <c r="AS170" s="212"/>
      <c r="AT170" s="212"/>
      <c r="AU170" s="212"/>
      <c r="AV170" s="212"/>
      <c r="AW170" s="212"/>
      <c r="AX170" s="212"/>
      <c r="AY170" s="212"/>
      <c r="AZ170" s="452"/>
      <c r="BA170" s="212"/>
      <c r="BB170" s="212"/>
      <c r="BC170" s="212"/>
      <c r="BD170" s="212"/>
      <c r="BE170" s="455"/>
      <c r="BF170" s="452"/>
    </row>
    <row r="171">
      <c r="A171" s="212"/>
      <c r="B171" s="447"/>
      <c r="C171" s="212"/>
      <c r="D171" s="212"/>
      <c r="E171" s="212"/>
      <c r="F171" s="212"/>
      <c r="G171" s="212"/>
      <c r="H171" s="212"/>
      <c r="I171" s="212"/>
      <c r="J171" s="212"/>
      <c r="K171" s="212"/>
      <c r="L171" s="212"/>
      <c r="M171" s="212"/>
      <c r="N171" s="212"/>
      <c r="O171" s="212"/>
      <c r="P171" s="212"/>
      <c r="Q171" s="212"/>
      <c r="R171" s="451"/>
      <c r="S171" s="451"/>
      <c r="T171" s="212"/>
      <c r="U171" s="451"/>
      <c r="V171" s="451"/>
      <c r="W171" s="451"/>
      <c r="X171" s="451"/>
      <c r="Y171" s="212"/>
      <c r="Z171" s="212"/>
      <c r="AA171" s="212"/>
      <c r="AB171" s="212"/>
      <c r="AC171" s="212"/>
      <c r="AD171" s="212"/>
      <c r="AE171" s="450"/>
      <c r="AF171" s="212"/>
      <c r="AG171" s="212"/>
      <c r="AH171" s="212"/>
      <c r="AI171" s="212"/>
      <c r="AJ171" s="212"/>
      <c r="AK171" s="212"/>
      <c r="AL171" s="212"/>
      <c r="AM171" s="212"/>
      <c r="AN171" s="212"/>
      <c r="AO171" s="212"/>
      <c r="AP171" s="212"/>
      <c r="AQ171" s="212"/>
      <c r="AR171" s="212"/>
      <c r="AS171" s="212"/>
      <c r="AT171" s="212"/>
      <c r="AU171" s="212"/>
      <c r="AV171" s="212"/>
      <c r="AW171" s="212"/>
      <c r="AX171" s="212"/>
      <c r="AY171" s="212"/>
      <c r="AZ171" s="452"/>
      <c r="BA171" s="212"/>
      <c r="BB171" s="212"/>
      <c r="BC171" s="212"/>
      <c r="BD171" s="212"/>
      <c r="BE171" s="455"/>
      <c r="BF171" s="452"/>
    </row>
    <row r="172">
      <c r="A172" s="212"/>
      <c r="B172" s="447"/>
      <c r="C172" s="212"/>
      <c r="D172" s="212"/>
      <c r="E172" s="212"/>
      <c r="F172" s="212"/>
      <c r="G172" s="212"/>
      <c r="H172" s="212"/>
      <c r="I172" s="212"/>
      <c r="J172" s="212"/>
      <c r="K172" s="212"/>
      <c r="L172" s="212"/>
      <c r="M172" s="212"/>
      <c r="N172" s="212"/>
      <c r="O172" s="212"/>
      <c r="P172" s="212"/>
      <c r="Q172" s="212"/>
      <c r="R172" s="451"/>
      <c r="S172" s="451"/>
      <c r="T172" s="212"/>
      <c r="U172" s="451"/>
      <c r="V172" s="451"/>
      <c r="W172" s="451"/>
      <c r="X172" s="451"/>
      <c r="Y172" s="212"/>
      <c r="Z172" s="212"/>
      <c r="AA172" s="212"/>
      <c r="AB172" s="212"/>
      <c r="AC172" s="212"/>
      <c r="AD172" s="212"/>
      <c r="AE172" s="450"/>
      <c r="AF172" s="212"/>
      <c r="AG172" s="212"/>
      <c r="AH172" s="212"/>
      <c r="AI172" s="212"/>
      <c r="AJ172" s="212"/>
      <c r="AK172" s="212"/>
      <c r="AL172" s="212"/>
      <c r="AM172" s="212"/>
      <c r="AN172" s="212"/>
      <c r="AO172" s="212"/>
      <c r="AP172" s="212"/>
      <c r="AQ172" s="212"/>
      <c r="AR172" s="212"/>
      <c r="AS172" s="212"/>
      <c r="AT172" s="212"/>
      <c r="AU172" s="212"/>
      <c r="AV172" s="212"/>
      <c r="AW172" s="212"/>
      <c r="AX172" s="212"/>
      <c r="AY172" s="212"/>
      <c r="AZ172" s="452"/>
      <c r="BA172" s="212"/>
      <c r="BB172" s="212"/>
      <c r="BC172" s="212"/>
      <c r="BD172" s="212"/>
      <c r="BE172" s="455"/>
      <c r="BF172" s="452"/>
    </row>
    <row r="173">
      <c r="A173" s="212"/>
      <c r="B173" s="447"/>
      <c r="C173" s="212"/>
      <c r="D173" s="212"/>
      <c r="E173" s="212"/>
      <c r="F173" s="212"/>
      <c r="G173" s="212"/>
      <c r="H173" s="212"/>
      <c r="I173" s="212"/>
      <c r="J173" s="212"/>
      <c r="K173" s="212"/>
      <c r="L173" s="212"/>
      <c r="M173" s="212"/>
      <c r="N173" s="212"/>
      <c r="O173" s="212"/>
      <c r="P173" s="212"/>
      <c r="Q173" s="212"/>
      <c r="R173" s="451"/>
      <c r="S173" s="451"/>
      <c r="T173" s="212"/>
      <c r="U173" s="451"/>
      <c r="V173" s="451"/>
      <c r="W173" s="451"/>
      <c r="X173" s="451"/>
      <c r="Y173" s="212"/>
      <c r="Z173" s="212"/>
      <c r="AA173" s="212"/>
      <c r="AB173" s="212"/>
      <c r="AC173" s="212"/>
      <c r="AD173" s="212"/>
      <c r="AE173" s="450"/>
      <c r="AF173" s="212"/>
      <c r="AG173" s="212"/>
      <c r="AH173" s="212"/>
      <c r="AI173" s="212"/>
      <c r="AJ173" s="212"/>
      <c r="AK173" s="212"/>
      <c r="AL173" s="212"/>
      <c r="AM173" s="212"/>
      <c r="AN173" s="212"/>
      <c r="AO173" s="212"/>
      <c r="AP173" s="212"/>
      <c r="AQ173" s="212"/>
      <c r="AR173" s="212"/>
      <c r="AS173" s="212"/>
      <c r="AT173" s="212"/>
      <c r="AU173" s="212"/>
      <c r="AV173" s="212"/>
      <c r="AW173" s="212"/>
      <c r="AX173" s="212"/>
      <c r="AY173" s="212"/>
      <c r="AZ173" s="452"/>
      <c r="BA173" s="212"/>
      <c r="BB173" s="212"/>
      <c r="BC173" s="212"/>
      <c r="BD173" s="212"/>
      <c r="BE173" s="455"/>
      <c r="BF173" s="452"/>
    </row>
    <row r="174">
      <c r="A174" s="212"/>
      <c r="B174" s="447"/>
      <c r="C174" s="212"/>
      <c r="D174" s="212"/>
      <c r="E174" s="212"/>
      <c r="F174" s="212"/>
      <c r="G174" s="212"/>
      <c r="H174" s="212"/>
      <c r="I174" s="212"/>
      <c r="J174" s="212"/>
      <c r="K174" s="212"/>
      <c r="L174" s="212"/>
      <c r="M174" s="212"/>
      <c r="N174" s="212"/>
      <c r="O174" s="212"/>
      <c r="P174" s="212"/>
      <c r="Q174" s="212"/>
      <c r="R174" s="451"/>
      <c r="S174" s="451"/>
      <c r="T174" s="212"/>
      <c r="U174" s="451"/>
      <c r="V174" s="451"/>
      <c r="W174" s="451"/>
      <c r="X174" s="451"/>
      <c r="Y174" s="212"/>
      <c r="Z174" s="212"/>
      <c r="AA174" s="212"/>
      <c r="AB174" s="212"/>
      <c r="AC174" s="212"/>
      <c r="AD174" s="212"/>
      <c r="AE174" s="450"/>
      <c r="AF174" s="212"/>
      <c r="AG174" s="212"/>
      <c r="AH174" s="212"/>
      <c r="AI174" s="212"/>
      <c r="AJ174" s="212"/>
      <c r="AK174" s="212"/>
      <c r="AL174" s="212"/>
      <c r="AM174" s="212"/>
      <c r="AN174" s="212"/>
      <c r="AO174" s="212"/>
      <c r="AP174" s="212"/>
      <c r="AQ174" s="212"/>
      <c r="AR174" s="212"/>
      <c r="AS174" s="212"/>
      <c r="AT174" s="212"/>
      <c r="AU174" s="212"/>
      <c r="AV174" s="212"/>
      <c r="AW174" s="212"/>
      <c r="AX174" s="212"/>
      <c r="AY174" s="212"/>
      <c r="AZ174" s="452"/>
      <c r="BA174" s="212"/>
      <c r="BB174" s="212"/>
      <c r="BC174" s="212"/>
      <c r="BD174" s="212"/>
      <c r="BE174" s="455"/>
      <c r="BF174" s="452"/>
    </row>
    <row r="175">
      <c r="A175" s="212"/>
      <c r="B175" s="447"/>
      <c r="C175" s="212"/>
      <c r="D175" s="212"/>
      <c r="E175" s="212"/>
      <c r="F175" s="212"/>
      <c r="G175" s="212"/>
      <c r="H175" s="212"/>
      <c r="I175" s="212"/>
      <c r="J175" s="212"/>
      <c r="K175" s="212"/>
      <c r="L175" s="212"/>
      <c r="M175" s="212"/>
      <c r="N175" s="212"/>
      <c r="O175" s="212"/>
      <c r="P175" s="212"/>
      <c r="Q175" s="212"/>
      <c r="R175" s="451"/>
      <c r="S175" s="451"/>
      <c r="T175" s="212"/>
      <c r="U175" s="451"/>
      <c r="V175" s="451"/>
      <c r="W175" s="451"/>
      <c r="X175" s="451"/>
      <c r="Y175" s="212"/>
      <c r="Z175" s="212"/>
      <c r="AA175" s="212"/>
      <c r="AB175" s="212"/>
      <c r="AC175" s="212"/>
      <c r="AD175" s="212"/>
      <c r="AE175" s="450"/>
      <c r="AF175" s="212"/>
      <c r="AG175" s="212"/>
      <c r="AH175" s="212"/>
      <c r="AI175" s="212"/>
      <c r="AJ175" s="212"/>
      <c r="AK175" s="212"/>
      <c r="AL175" s="212"/>
      <c r="AM175" s="212"/>
      <c r="AN175" s="212"/>
      <c r="AO175" s="212"/>
      <c r="AP175" s="212"/>
      <c r="AQ175" s="212"/>
      <c r="AR175" s="212"/>
      <c r="AS175" s="212"/>
      <c r="AT175" s="212"/>
      <c r="AU175" s="212"/>
      <c r="AV175" s="212"/>
      <c r="AW175" s="212"/>
      <c r="AX175" s="212"/>
      <c r="AY175" s="212"/>
      <c r="AZ175" s="452"/>
      <c r="BA175" s="212"/>
      <c r="BB175" s="212"/>
      <c r="BC175" s="212"/>
      <c r="BD175" s="212"/>
      <c r="BE175" s="455"/>
      <c r="BF175" s="452"/>
    </row>
    <row r="176">
      <c r="A176" s="212"/>
      <c r="B176" s="447"/>
      <c r="C176" s="212"/>
      <c r="D176" s="212"/>
      <c r="E176" s="212"/>
      <c r="F176" s="212"/>
      <c r="G176" s="212"/>
      <c r="H176" s="212"/>
      <c r="I176" s="212"/>
      <c r="J176" s="212"/>
      <c r="K176" s="212"/>
      <c r="L176" s="212"/>
      <c r="M176" s="212"/>
      <c r="N176" s="212"/>
      <c r="O176" s="212"/>
      <c r="P176" s="212"/>
      <c r="Q176" s="212"/>
      <c r="R176" s="451"/>
      <c r="S176" s="451"/>
      <c r="T176" s="212"/>
      <c r="U176" s="451"/>
      <c r="V176" s="451"/>
      <c r="W176" s="451"/>
      <c r="X176" s="451"/>
      <c r="Y176" s="212"/>
      <c r="Z176" s="212"/>
      <c r="AA176" s="212"/>
      <c r="AB176" s="212"/>
      <c r="AC176" s="212"/>
      <c r="AD176" s="212"/>
      <c r="AE176" s="450"/>
      <c r="AF176" s="212"/>
      <c r="AG176" s="212"/>
      <c r="AH176" s="212"/>
      <c r="AI176" s="212"/>
      <c r="AJ176" s="212"/>
      <c r="AK176" s="212"/>
      <c r="AL176" s="212"/>
      <c r="AM176" s="212"/>
      <c r="AN176" s="212"/>
      <c r="AO176" s="212"/>
      <c r="AP176" s="212"/>
      <c r="AQ176" s="212"/>
      <c r="AR176" s="212"/>
      <c r="AS176" s="212"/>
      <c r="AT176" s="212"/>
      <c r="AU176" s="212"/>
      <c r="AV176" s="212"/>
      <c r="AW176" s="212"/>
      <c r="AX176" s="212"/>
      <c r="AY176" s="212"/>
      <c r="AZ176" s="452"/>
      <c r="BA176" s="212"/>
      <c r="BB176" s="212"/>
      <c r="BC176" s="212"/>
      <c r="BD176" s="212"/>
      <c r="BE176" s="455"/>
      <c r="BF176" s="452"/>
    </row>
    <row r="177">
      <c r="A177" s="212"/>
      <c r="B177" s="447"/>
      <c r="C177" s="212"/>
      <c r="D177" s="212"/>
      <c r="E177" s="212"/>
      <c r="F177" s="212"/>
      <c r="G177" s="212"/>
      <c r="H177" s="212"/>
      <c r="I177" s="212"/>
      <c r="J177" s="212"/>
      <c r="K177" s="212"/>
      <c r="L177" s="212"/>
      <c r="M177" s="212"/>
      <c r="N177" s="212"/>
      <c r="O177" s="212"/>
      <c r="P177" s="212"/>
      <c r="Q177" s="212"/>
      <c r="R177" s="451"/>
      <c r="S177" s="451"/>
      <c r="T177" s="212"/>
      <c r="U177" s="451"/>
      <c r="V177" s="451"/>
      <c r="W177" s="451"/>
      <c r="X177" s="451"/>
      <c r="Y177" s="212"/>
      <c r="Z177" s="212"/>
      <c r="AA177" s="212"/>
      <c r="AB177" s="212"/>
      <c r="AC177" s="212"/>
      <c r="AD177" s="212"/>
      <c r="AE177" s="450"/>
      <c r="AF177" s="212"/>
      <c r="AG177" s="212"/>
      <c r="AH177" s="212"/>
      <c r="AI177" s="212"/>
      <c r="AJ177" s="212"/>
      <c r="AK177" s="212"/>
      <c r="AL177" s="212"/>
      <c r="AM177" s="212"/>
      <c r="AN177" s="212"/>
      <c r="AO177" s="212"/>
      <c r="AP177" s="212"/>
      <c r="AQ177" s="212"/>
      <c r="AR177" s="212"/>
      <c r="AS177" s="212"/>
      <c r="AT177" s="212"/>
      <c r="AU177" s="212"/>
      <c r="AV177" s="212"/>
      <c r="AW177" s="212"/>
      <c r="AX177" s="212"/>
      <c r="AY177" s="212"/>
      <c r="AZ177" s="452"/>
      <c r="BA177" s="212"/>
      <c r="BB177" s="212"/>
      <c r="BC177" s="212"/>
      <c r="BD177" s="212"/>
      <c r="BE177" s="455"/>
      <c r="BF177" s="452"/>
    </row>
    <row r="178">
      <c r="A178" s="212"/>
      <c r="B178" s="447"/>
      <c r="C178" s="212"/>
      <c r="D178" s="212"/>
      <c r="E178" s="212"/>
      <c r="F178" s="212"/>
      <c r="G178" s="212"/>
      <c r="H178" s="212"/>
      <c r="I178" s="212"/>
      <c r="J178" s="212"/>
      <c r="K178" s="212"/>
      <c r="L178" s="212"/>
      <c r="M178" s="212"/>
      <c r="N178" s="212"/>
      <c r="O178" s="212"/>
      <c r="P178" s="212"/>
      <c r="Q178" s="212"/>
      <c r="R178" s="451"/>
      <c r="S178" s="451"/>
      <c r="T178" s="212"/>
      <c r="U178" s="451"/>
      <c r="V178" s="451"/>
      <c r="W178" s="451"/>
      <c r="X178" s="451"/>
      <c r="Y178" s="212"/>
      <c r="Z178" s="212"/>
      <c r="AA178" s="212"/>
      <c r="AB178" s="212"/>
      <c r="AC178" s="212"/>
      <c r="AD178" s="212"/>
      <c r="AE178" s="450"/>
      <c r="AF178" s="212"/>
      <c r="AG178" s="212"/>
      <c r="AH178" s="212"/>
      <c r="AI178" s="212"/>
      <c r="AJ178" s="212"/>
      <c r="AK178" s="212"/>
      <c r="AL178" s="212"/>
      <c r="AM178" s="212"/>
      <c r="AN178" s="212"/>
      <c r="AO178" s="212"/>
      <c r="AP178" s="212"/>
      <c r="AQ178" s="212"/>
      <c r="AR178" s="212"/>
      <c r="AS178" s="212"/>
      <c r="AT178" s="212"/>
      <c r="AU178" s="212"/>
      <c r="AV178" s="212"/>
      <c r="AW178" s="212"/>
      <c r="AX178" s="212"/>
      <c r="AY178" s="212"/>
      <c r="AZ178" s="452"/>
      <c r="BA178" s="212"/>
      <c r="BB178" s="212"/>
      <c r="BC178" s="212"/>
      <c r="BD178" s="212"/>
      <c r="BE178" s="455"/>
      <c r="BF178" s="452"/>
    </row>
    <row r="179">
      <c r="A179" s="212"/>
      <c r="B179" s="447"/>
      <c r="C179" s="212"/>
      <c r="D179" s="212"/>
      <c r="E179" s="212"/>
      <c r="F179" s="212"/>
      <c r="G179" s="212"/>
      <c r="H179" s="212"/>
      <c r="I179" s="212"/>
      <c r="J179" s="212"/>
      <c r="K179" s="212"/>
      <c r="L179" s="212"/>
      <c r="M179" s="212"/>
      <c r="N179" s="212"/>
      <c r="O179" s="212"/>
      <c r="P179" s="212"/>
      <c r="Q179" s="212"/>
      <c r="R179" s="451"/>
      <c r="S179" s="451"/>
      <c r="T179" s="212"/>
      <c r="U179" s="451"/>
      <c r="V179" s="451"/>
      <c r="W179" s="451"/>
      <c r="X179" s="451"/>
      <c r="Y179" s="212"/>
      <c r="Z179" s="212"/>
      <c r="AA179" s="212"/>
      <c r="AB179" s="212"/>
      <c r="AC179" s="212"/>
      <c r="AD179" s="212"/>
      <c r="AE179" s="450"/>
      <c r="AF179" s="212"/>
      <c r="AG179" s="212"/>
      <c r="AH179" s="212"/>
      <c r="AI179" s="212"/>
      <c r="AJ179" s="212"/>
      <c r="AK179" s="212"/>
      <c r="AL179" s="212"/>
      <c r="AM179" s="212"/>
      <c r="AN179" s="212"/>
      <c r="AO179" s="212"/>
      <c r="AP179" s="212"/>
      <c r="AQ179" s="212"/>
      <c r="AR179" s="212"/>
      <c r="AS179" s="212"/>
      <c r="AT179" s="212"/>
      <c r="AU179" s="212"/>
      <c r="AV179" s="212"/>
      <c r="AW179" s="212"/>
      <c r="AX179" s="212"/>
      <c r="AY179" s="212"/>
      <c r="AZ179" s="452"/>
      <c r="BA179" s="212"/>
      <c r="BB179" s="212"/>
      <c r="BC179" s="212"/>
      <c r="BD179" s="212"/>
      <c r="BE179" s="455"/>
      <c r="BF179" s="452"/>
    </row>
    <row r="180">
      <c r="A180" s="212"/>
      <c r="B180" s="447"/>
      <c r="C180" s="212"/>
      <c r="D180" s="212"/>
      <c r="E180" s="212"/>
      <c r="F180" s="212"/>
      <c r="G180" s="212"/>
      <c r="H180" s="212"/>
      <c r="I180" s="212"/>
      <c r="J180" s="212"/>
      <c r="K180" s="212"/>
      <c r="L180" s="212"/>
      <c r="M180" s="212"/>
      <c r="N180" s="212"/>
      <c r="O180" s="212"/>
      <c r="P180" s="212"/>
      <c r="Q180" s="212"/>
      <c r="R180" s="451"/>
      <c r="S180" s="451"/>
      <c r="T180" s="212"/>
      <c r="U180" s="451"/>
      <c r="V180" s="451"/>
      <c r="W180" s="451"/>
      <c r="X180" s="451"/>
      <c r="Y180" s="212"/>
      <c r="Z180" s="212"/>
      <c r="AA180" s="212"/>
      <c r="AB180" s="212"/>
      <c r="AC180" s="212"/>
      <c r="AD180" s="212"/>
      <c r="AE180" s="450"/>
      <c r="AF180" s="212"/>
      <c r="AG180" s="212"/>
      <c r="AH180" s="212"/>
      <c r="AI180" s="212"/>
      <c r="AJ180" s="212"/>
      <c r="AK180" s="212"/>
      <c r="AL180" s="212"/>
      <c r="AM180" s="212"/>
      <c r="AN180" s="212"/>
      <c r="AO180" s="212"/>
      <c r="AP180" s="212"/>
      <c r="AQ180" s="212"/>
      <c r="AR180" s="212"/>
      <c r="AS180" s="212"/>
      <c r="AT180" s="212"/>
      <c r="AU180" s="212"/>
      <c r="AV180" s="212"/>
      <c r="AW180" s="212"/>
      <c r="AX180" s="212"/>
      <c r="AY180" s="212"/>
      <c r="AZ180" s="452"/>
      <c r="BA180" s="212"/>
      <c r="BB180" s="212"/>
      <c r="BC180" s="212"/>
      <c r="BD180" s="212"/>
      <c r="BE180" s="455"/>
      <c r="BF180" s="452"/>
    </row>
    <row r="181">
      <c r="A181" s="212"/>
      <c r="B181" s="447"/>
      <c r="C181" s="212"/>
      <c r="D181" s="212"/>
      <c r="E181" s="212"/>
      <c r="F181" s="212"/>
      <c r="G181" s="212"/>
      <c r="H181" s="212"/>
      <c r="I181" s="212"/>
      <c r="J181" s="212"/>
      <c r="K181" s="212"/>
      <c r="L181" s="212"/>
      <c r="M181" s="212"/>
      <c r="N181" s="212"/>
      <c r="O181" s="212"/>
      <c r="P181" s="212"/>
      <c r="Q181" s="212"/>
      <c r="R181" s="451"/>
      <c r="S181" s="451"/>
      <c r="T181" s="212"/>
      <c r="U181" s="451"/>
      <c r="V181" s="451"/>
      <c r="W181" s="451"/>
      <c r="X181" s="451"/>
      <c r="Y181" s="212"/>
      <c r="Z181" s="212"/>
      <c r="AA181" s="212"/>
      <c r="AB181" s="212"/>
      <c r="AC181" s="212"/>
      <c r="AD181" s="212"/>
      <c r="AE181" s="450"/>
      <c r="AF181" s="212"/>
      <c r="AG181" s="212"/>
      <c r="AH181" s="212"/>
      <c r="AI181" s="212"/>
      <c r="AJ181" s="212"/>
      <c r="AK181" s="212"/>
      <c r="AL181" s="212"/>
      <c r="AM181" s="212"/>
      <c r="AN181" s="212"/>
      <c r="AO181" s="212"/>
      <c r="AP181" s="212"/>
      <c r="AQ181" s="212"/>
      <c r="AR181" s="212"/>
      <c r="AS181" s="212"/>
      <c r="AT181" s="212"/>
      <c r="AU181" s="212"/>
      <c r="AV181" s="212"/>
      <c r="AW181" s="212"/>
      <c r="AX181" s="212"/>
      <c r="AY181" s="212"/>
      <c r="AZ181" s="452"/>
      <c r="BA181" s="212"/>
      <c r="BB181" s="212"/>
      <c r="BC181" s="212"/>
      <c r="BD181" s="212"/>
      <c r="BE181" s="455"/>
      <c r="BF181" s="452"/>
    </row>
    <row r="182">
      <c r="A182" s="212"/>
      <c r="B182" s="447"/>
      <c r="C182" s="212"/>
      <c r="D182" s="212"/>
      <c r="E182" s="212"/>
      <c r="F182" s="212"/>
      <c r="G182" s="212"/>
      <c r="H182" s="212"/>
      <c r="I182" s="212"/>
      <c r="J182" s="212"/>
      <c r="K182" s="212"/>
      <c r="L182" s="212"/>
      <c r="M182" s="212"/>
      <c r="N182" s="212"/>
      <c r="O182" s="212"/>
      <c r="P182" s="212"/>
      <c r="Q182" s="212"/>
      <c r="R182" s="451"/>
      <c r="S182" s="451"/>
      <c r="T182" s="212"/>
      <c r="U182" s="451"/>
      <c r="V182" s="451"/>
      <c r="W182" s="451"/>
      <c r="X182" s="451"/>
      <c r="Y182" s="212"/>
      <c r="Z182" s="212"/>
      <c r="AA182" s="212"/>
      <c r="AB182" s="212"/>
      <c r="AC182" s="212"/>
      <c r="AD182" s="212"/>
      <c r="AE182" s="450"/>
      <c r="AF182" s="212"/>
      <c r="AG182" s="212"/>
      <c r="AH182" s="212"/>
      <c r="AI182" s="212"/>
      <c r="AJ182" s="212"/>
      <c r="AK182" s="212"/>
      <c r="AL182" s="212"/>
      <c r="AM182" s="212"/>
      <c r="AN182" s="212"/>
      <c r="AO182" s="212"/>
      <c r="AP182" s="212"/>
      <c r="AQ182" s="212"/>
      <c r="AR182" s="212"/>
      <c r="AS182" s="212"/>
      <c r="AT182" s="212"/>
      <c r="AU182" s="212"/>
      <c r="AV182" s="212"/>
      <c r="AW182" s="212"/>
      <c r="AX182" s="212"/>
      <c r="AY182" s="212"/>
      <c r="AZ182" s="452"/>
      <c r="BA182" s="212"/>
      <c r="BB182" s="212"/>
      <c r="BC182" s="212"/>
      <c r="BD182" s="212"/>
      <c r="BE182" s="455"/>
      <c r="BF182" s="452"/>
    </row>
    <row r="183">
      <c r="A183" s="212"/>
      <c r="B183" s="447"/>
      <c r="C183" s="212"/>
      <c r="D183" s="212"/>
      <c r="E183" s="212"/>
      <c r="F183" s="212"/>
      <c r="G183" s="212"/>
      <c r="H183" s="212"/>
      <c r="I183" s="212"/>
      <c r="J183" s="212"/>
      <c r="K183" s="212"/>
      <c r="L183" s="212"/>
      <c r="M183" s="212"/>
      <c r="N183" s="212"/>
      <c r="O183" s="212"/>
      <c r="P183" s="212"/>
      <c r="Q183" s="212"/>
      <c r="R183" s="451"/>
      <c r="S183" s="451"/>
      <c r="T183" s="212"/>
      <c r="U183" s="451"/>
      <c r="V183" s="451"/>
      <c r="W183" s="451"/>
      <c r="X183" s="451"/>
      <c r="Y183" s="212"/>
      <c r="Z183" s="212"/>
      <c r="AA183" s="212"/>
      <c r="AB183" s="212"/>
      <c r="AC183" s="212"/>
      <c r="AD183" s="212"/>
      <c r="AE183" s="450"/>
      <c r="AF183" s="212"/>
      <c r="AG183" s="212"/>
      <c r="AH183" s="212"/>
      <c r="AI183" s="212"/>
      <c r="AJ183" s="212"/>
      <c r="AK183" s="212"/>
      <c r="AL183" s="212"/>
      <c r="AM183" s="212"/>
      <c r="AN183" s="212"/>
      <c r="AO183" s="212"/>
      <c r="AP183" s="212"/>
      <c r="AQ183" s="212"/>
      <c r="AR183" s="212"/>
      <c r="AS183" s="212"/>
      <c r="AT183" s="212"/>
      <c r="AU183" s="212"/>
      <c r="AV183" s="212"/>
      <c r="AW183" s="212"/>
      <c r="AX183" s="212"/>
      <c r="AY183" s="212"/>
      <c r="AZ183" s="452"/>
      <c r="BA183" s="212"/>
      <c r="BB183" s="212"/>
      <c r="BC183" s="212"/>
      <c r="BD183" s="212"/>
      <c r="BE183" s="455"/>
      <c r="BF183" s="452"/>
    </row>
    <row r="184">
      <c r="A184" s="212"/>
      <c r="B184" s="447"/>
      <c r="C184" s="212"/>
      <c r="D184" s="212"/>
      <c r="E184" s="212"/>
      <c r="F184" s="212"/>
      <c r="G184" s="212"/>
      <c r="H184" s="212"/>
      <c r="I184" s="212"/>
      <c r="J184" s="212"/>
      <c r="K184" s="212"/>
      <c r="L184" s="212"/>
      <c r="M184" s="212"/>
      <c r="N184" s="212"/>
      <c r="O184" s="212"/>
      <c r="P184" s="212"/>
      <c r="Q184" s="212"/>
      <c r="R184" s="451"/>
      <c r="S184" s="451"/>
      <c r="T184" s="212"/>
      <c r="U184" s="451"/>
      <c r="V184" s="451"/>
      <c r="W184" s="451"/>
      <c r="X184" s="451"/>
      <c r="Y184" s="212"/>
      <c r="Z184" s="212"/>
      <c r="AA184" s="212"/>
      <c r="AB184" s="212"/>
      <c r="AC184" s="212"/>
      <c r="AD184" s="212"/>
      <c r="AE184" s="450"/>
      <c r="AF184" s="212"/>
      <c r="AG184" s="212"/>
      <c r="AH184" s="212"/>
      <c r="AI184" s="212"/>
      <c r="AJ184" s="212"/>
      <c r="AK184" s="212"/>
      <c r="AL184" s="212"/>
      <c r="AM184" s="212"/>
      <c r="AN184" s="212"/>
      <c r="AO184" s="212"/>
      <c r="AP184" s="212"/>
      <c r="AQ184" s="212"/>
      <c r="AR184" s="212"/>
      <c r="AS184" s="212"/>
      <c r="AT184" s="212"/>
      <c r="AU184" s="212"/>
      <c r="AV184" s="212"/>
      <c r="AW184" s="212"/>
      <c r="AX184" s="212"/>
      <c r="AY184" s="212"/>
      <c r="AZ184" s="452"/>
      <c r="BA184" s="212"/>
      <c r="BB184" s="212"/>
      <c r="BC184" s="212"/>
      <c r="BD184" s="212"/>
      <c r="BE184" s="455"/>
      <c r="BF184" s="452"/>
    </row>
    <row r="185">
      <c r="A185" s="212"/>
      <c r="B185" s="447"/>
      <c r="C185" s="212"/>
      <c r="D185" s="212"/>
      <c r="E185" s="212"/>
      <c r="F185" s="212"/>
      <c r="G185" s="212"/>
      <c r="H185" s="212"/>
      <c r="I185" s="212"/>
      <c r="J185" s="212"/>
      <c r="K185" s="212"/>
      <c r="L185" s="212"/>
      <c r="M185" s="212"/>
      <c r="N185" s="212"/>
      <c r="O185" s="212"/>
      <c r="P185" s="212"/>
      <c r="Q185" s="212"/>
      <c r="R185" s="451"/>
      <c r="S185" s="451"/>
      <c r="T185" s="212"/>
      <c r="U185" s="451"/>
      <c r="V185" s="451"/>
      <c r="W185" s="451"/>
      <c r="X185" s="451"/>
      <c r="Y185" s="212"/>
      <c r="Z185" s="212"/>
      <c r="AA185" s="212"/>
      <c r="AB185" s="212"/>
      <c r="AC185" s="212"/>
      <c r="AD185" s="212"/>
      <c r="AE185" s="450"/>
      <c r="AF185" s="212"/>
      <c r="AG185" s="212"/>
      <c r="AH185" s="212"/>
      <c r="AI185" s="212"/>
      <c r="AJ185" s="212"/>
      <c r="AK185" s="212"/>
      <c r="AL185" s="212"/>
      <c r="AM185" s="212"/>
      <c r="AN185" s="212"/>
      <c r="AO185" s="212"/>
      <c r="AP185" s="212"/>
      <c r="AQ185" s="212"/>
      <c r="AR185" s="212"/>
      <c r="AS185" s="212"/>
      <c r="AT185" s="212"/>
      <c r="AU185" s="212"/>
      <c r="AV185" s="212"/>
      <c r="AW185" s="212"/>
      <c r="AX185" s="212"/>
      <c r="AY185" s="212"/>
      <c r="AZ185" s="452"/>
      <c r="BA185" s="212"/>
      <c r="BB185" s="212"/>
      <c r="BC185" s="212"/>
      <c r="BD185" s="212"/>
      <c r="BE185" s="455"/>
      <c r="BF185" s="452"/>
    </row>
    <row r="186">
      <c r="A186" s="212"/>
      <c r="B186" s="447"/>
      <c r="C186" s="212"/>
      <c r="D186" s="212"/>
      <c r="E186" s="212"/>
      <c r="F186" s="212"/>
      <c r="G186" s="212"/>
      <c r="H186" s="212"/>
      <c r="I186" s="212"/>
      <c r="J186" s="212"/>
      <c r="K186" s="212"/>
      <c r="L186" s="212"/>
      <c r="M186" s="212"/>
      <c r="N186" s="212"/>
      <c r="O186" s="212"/>
      <c r="P186" s="212"/>
      <c r="Q186" s="212"/>
      <c r="R186" s="451"/>
      <c r="S186" s="451"/>
      <c r="T186" s="212"/>
      <c r="U186" s="451"/>
      <c r="V186" s="451"/>
      <c r="W186" s="451"/>
      <c r="X186" s="451"/>
      <c r="Y186" s="212"/>
      <c r="Z186" s="212"/>
      <c r="AA186" s="212"/>
      <c r="AB186" s="212"/>
      <c r="AC186" s="212"/>
      <c r="AD186" s="212"/>
      <c r="AE186" s="450"/>
      <c r="AF186" s="212"/>
      <c r="AG186" s="212"/>
      <c r="AH186" s="212"/>
      <c r="AI186" s="212"/>
      <c r="AJ186" s="212"/>
      <c r="AK186" s="212"/>
      <c r="AL186" s="212"/>
      <c r="AM186" s="212"/>
      <c r="AN186" s="212"/>
      <c r="AO186" s="212"/>
      <c r="AP186" s="212"/>
      <c r="AQ186" s="212"/>
      <c r="AR186" s="212"/>
      <c r="AS186" s="212"/>
      <c r="AT186" s="212"/>
      <c r="AU186" s="212"/>
      <c r="AV186" s="212"/>
      <c r="AW186" s="212"/>
      <c r="AX186" s="212"/>
      <c r="AY186" s="212"/>
      <c r="AZ186" s="452"/>
      <c r="BA186" s="212"/>
      <c r="BB186" s="212"/>
      <c r="BC186" s="212"/>
      <c r="BD186" s="212"/>
      <c r="BE186" s="455"/>
      <c r="BF186" s="452"/>
    </row>
    <row r="187">
      <c r="A187" s="212"/>
      <c r="B187" s="447"/>
      <c r="C187" s="212"/>
      <c r="D187" s="212"/>
      <c r="E187" s="212"/>
      <c r="F187" s="212"/>
      <c r="G187" s="212"/>
      <c r="H187" s="212"/>
      <c r="I187" s="212"/>
      <c r="J187" s="212"/>
      <c r="K187" s="212"/>
      <c r="L187" s="212"/>
      <c r="M187" s="212"/>
      <c r="N187" s="212"/>
      <c r="O187" s="212"/>
      <c r="P187" s="212"/>
      <c r="Q187" s="212"/>
      <c r="R187" s="451"/>
      <c r="S187" s="451"/>
      <c r="T187" s="212"/>
      <c r="U187" s="451"/>
      <c r="V187" s="451"/>
      <c r="W187" s="451"/>
      <c r="X187" s="451"/>
      <c r="Y187" s="212"/>
      <c r="Z187" s="212"/>
      <c r="AA187" s="212"/>
      <c r="AB187" s="212"/>
      <c r="AC187" s="212"/>
      <c r="AD187" s="212"/>
      <c r="AE187" s="450"/>
      <c r="AF187" s="212"/>
      <c r="AG187" s="212"/>
      <c r="AH187" s="212"/>
      <c r="AI187" s="212"/>
      <c r="AJ187" s="212"/>
      <c r="AK187" s="212"/>
      <c r="AL187" s="212"/>
      <c r="AM187" s="212"/>
      <c r="AN187" s="212"/>
      <c r="AO187" s="212"/>
      <c r="AP187" s="212"/>
      <c r="AQ187" s="212"/>
      <c r="AR187" s="212"/>
      <c r="AS187" s="212"/>
      <c r="AT187" s="212"/>
      <c r="AU187" s="212"/>
      <c r="AV187" s="212"/>
      <c r="AW187" s="212"/>
      <c r="AX187" s="212"/>
      <c r="AY187" s="212"/>
      <c r="AZ187" s="452"/>
      <c r="BA187" s="212"/>
      <c r="BB187" s="212"/>
      <c r="BC187" s="212"/>
      <c r="BD187" s="212"/>
      <c r="BE187" s="455"/>
      <c r="BF187" s="452"/>
    </row>
    <row r="188">
      <c r="A188" s="212"/>
      <c r="B188" s="447"/>
      <c r="C188" s="212"/>
      <c r="D188" s="212"/>
      <c r="E188" s="212"/>
      <c r="F188" s="212"/>
      <c r="G188" s="212"/>
      <c r="H188" s="212"/>
      <c r="I188" s="212"/>
      <c r="J188" s="212"/>
      <c r="K188" s="212"/>
      <c r="L188" s="212"/>
      <c r="M188" s="212"/>
      <c r="N188" s="212"/>
      <c r="O188" s="212"/>
      <c r="P188" s="212"/>
      <c r="Q188" s="212"/>
      <c r="R188" s="451"/>
      <c r="S188" s="451"/>
      <c r="T188" s="212"/>
      <c r="U188" s="451"/>
      <c r="V188" s="451"/>
      <c r="W188" s="451"/>
      <c r="X188" s="451"/>
      <c r="Y188" s="212"/>
      <c r="Z188" s="212"/>
      <c r="AA188" s="212"/>
      <c r="AB188" s="212"/>
      <c r="AC188" s="212"/>
      <c r="AD188" s="212"/>
      <c r="AE188" s="450"/>
      <c r="AF188" s="212"/>
      <c r="AG188" s="212"/>
      <c r="AH188" s="212"/>
      <c r="AI188" s="212"/>
      <c r="AJ188" s="212"/>
      <c r="AK188" s="212"/>
      <c r="AL188" s="212"/>
      <c r="AM188" s="212"/>
      <c r="AN188" s="212"/>
      <c r="AO188" s="212"/>
      <c r="AP188" s="212"/>
      <c r="AQ188" s="212"/>
      <c r="AR188" s="212"/>
      <c r="AS188" s="212"/>
      <c r="AT188" s="212"/>
      <c r="AU188" s="212"/>
      <c r="AV188" s="212"/>
      <c r="AW188" s="212"/>
      <c r="AX188" s="212"/>
      <c r="AY188" s="212"/>
      <c r="AZ188" s="452"/>
      <c r="BA188" s="212"/>
      <c r="BB188" s="212"/>
      <c r="BC188" s="212"/>
      <c r="BD188" s="212"/>
      <c r="BE188" s="455"/>
      <c r="BF188" s="452"/>
    </row>
    <row r="189">
      <c r="A189" s="212"/>
      <c r="B189" s="447"/>
      <c r="C189" s="212"/>
      <c r="D189" s="212"/>
      <c r="E189" s="212"/>
      <c r="F189" s="212"/>
      <c r="G189" s="212"/>
      <c r="H189" s="212"/>
      <c r="I189" s="212"/>
      <c r="J189" s="212"/>
      <c r="K189" s="212"/>
      <c r="L189" s="212"/>
      <c r="M189" s="212"/>
      <c r="N189" s="212"/>
      <c r="O189" s="212"/>
      <c r="P189" s="212"/>
      <c r="Q189" s="212"/>
      <c r="R189" s="451"/>
      <c r="S189" s="451"/>
      <c r="T189" s="212"/>
      <c r="U189" s="451"/>
      <c r="V189" s="451"/>
      <c r="W189" s="451"/>
      <c r="X189" s="451"/>
      <c r="Y189" s="212"/>
      <c r="Z189" s="212"/>
      <c r="AA189" s="212"/>
      <c r="AB189" s="212"/>
      <c r="AC189" s="212"/>
      <c r="AD189" s="212"/>
      <c r="AE189" s="450"/>
      <c r="AF189" s="212"/>
      <c r="AG189" s="212"/>
      <c r="AH189" s="212"/>
      <c r="AI189" s="212"/>
      <c r="AJ189" s="212"/>
      <c r="AK189" s="212"/>
      <c r="AL189" s="212"/>
      <c r="AM189" s="212"/>
      <c r="AN189" s="212"/>
      <c r="AO189" s="212"/>
      <c r="AP189" s="212"/>
      <c r="AQ189" s="212"/>
      <c r="AR189" s="212"/>
      <c r="AS189" s="212"/>
      <c r="AT189" s="212"/>
      <c r="AU189" s="212"/>
      <c r="AV189" s="212"/>
      <c r="AW189" s="212"/>
      <c r="AX189" s="212"/>
      <c r="AY189" s="212"/>
      <c r="AZ189" s="452"/>
      <c r="BA189" s="212"/>
      <c r="BB189" s="212"/>
      <c r="BC189" s="212"/>
      <c r="BD189" s="212"/>
      <c r="BE189" s="455"/>
      <c r="BF189" s="452"/>
    </row>
    <row r="190">
      <c r="A190" s="212"/>
      <c r="B190" s="447"/>
      <c r="C190" s="212"/>
      <c r="D190" s="212"/>
      <c r="E190" s="212"/>
      <c r="F190" s="212"/>
      <c r="G190" s="212"/>
      <c r="H190" s="212"/>
      <c r="I190" s="212"/>
      <c r="J190" s="212"/>
      <c r="K190" s="212"/>
      <c r="L190" s="212"/>
      <c r="M190" s="212"/>
      <c r="N190" s="212"/>
      <c r="O190" s="212"/>
      <c r="P190" s="212"/>
      <c r="Q190" s="212"/>
      <c r="R190" s="451"/>
      <c r="S190" s="451"/>
      <c r="T190" s="212"/>
      <c r="U190" s="451"/>
      <c r="V190" s="451"/>
      <c r="W190" s="451"/>
      <c r="X190" s="451"/>
      <c r="Y190" s="212"/>
      <c r="Z190" s="212"/>
      <c r="AA190" s="212"/>
      <c r="AB190" s="212"/>
      <c r="AC190" s="212"/>
      <c r="AD190" s="212"/>
      <c r="AE190" s="450"/>
      <c r="AF190" s="212"/>
      <c r="AG190" s="212"/>
      <c r="AH190" s="212"/>
      <c r="AI190" s="212"/>
      <c r="AJ190" s="212"/>
      <c r="AK190" s="212"/>
      <c r="AL190" s="212"/>
      <c r="AM190" s="212"/>
      <c r="AN190" s="212"/>
      <c r="AO190" s="212"/>
      <c r="AP190" s="212"/>
      <c r="AQ190" s="212"/>
      <c r="AR190" s="212"/>
      <c r="AS190" s="212"/>
      <c r="AT190" s="212"/>
      <c r="AU190" s="212"/>
      <c r="AV190" s="212"/>
      <c r="AW190" s="212"/>
      <c r="AX190" s="212"/>
      <c r="AY190" s="212"/>
      <c r="AZ190" s="452"/>
      <c r="BA190" s="212"/>
      <c r="BB190" s="212"/>
      <c r="BC190" s="212"/>
      <c r="BD190" s="212"/>
      <c r="BE190" s="455"/>
      <c r="BF190" s="452"/>
    </row>
    <row r="191">
      <c r="A191" s="212"/>
      <c r="B191" s="447"/>
      <c r="C191" s="212"/>
      <c r="D191" s="212"/>
      <c r="E191" s="212"/>
      <c r="F191" s="212"/>
      <c r="G191" s="212"/>
      <c r="H191" s="212"/>
      <c r="I191" s="212"/>
      <c r="J191" s="212"/>
      <c r="K191" s="212"/>
      <c r="L191" s="212"/>
      <c r="M191" s="212"/>
      <c r="N191" s="212"/>
      <c r="O191" s="212"/>
      <c r="P191" s="212"/>
      <c r="Q191" s="212"/>
      <c r="R191" s="451"/>
      <c r="S191" s="451"/>
      <c r="T191" s="212"/>
      <c r="U191" s="451"/>
      <c r="V191" s="451"/>
      <c r="W191" s="451"/>
      <c r="X191" s="451"/>
      <c r="Y191" s="212"/>
      <c r="Z191" s="212"/>
      <c r="AA191" s="212"/>
      <c r="AB191" s="212"/>
      <c r="AC191" s="212"/>
      <c r="AD191" s="212"/>
      <c r="AE191" s="450"/>
      <c r="AF191" s="212"/>
      <c r="AG191" s="212"/>
      <c r="AH191" s="212"/>
      <c r="AI191" s="212"/>
      <c r="AJ191" s="212"/>
      <c r="AK191" s="212"/>
      <c r="AL191" s="212"/>
      <c r="AM191" s="212"/>
      <c r="AN191" s="212"/>
      <c r="AO191" s="212"/>
      <c r="AP191" s="212"/>
      <c r="AQ191" s="212"/>
      <c r="AR191" s="212"/>
      <c r="AS191" s="212"/>
      <c r="AT191" s="212"/>
      <c r="AU191" s="212"/>
      <c r="AV191" s="212"/>
      <c r="AW191" s="212"/>
      <c r="AX191" s="212"/>
      <c r="AY191" s="212"/>
      <c r="AZ191" s="452"/>
      <c r="BA191" s="212"/>
      <c r="BB191" s="212"/>
      <c r="BC191" s="212"/>
      <c r="BD191" s="212"/>
      <c r="BE191" s="455"/>
      <c r="BF191" s="452"/>
    </row>
    <row r="192">
      <c r="A192" s="212"/>
      <c r="B192" s="447"/>
      <c r="C192" s="212"/>
      <c r="D192" s="212"/>
      <c r="E192" s="212"/>
      <c r="F192" s="212"/>
      <c r="G192" s="212"/>
      <c r="H192" s="212"/>
      <c r="I192" s="212"/>
      <c r="J192" s="212"/>
      <c r="K192" s="212"/>
      <c r="L192" s="212"/>
      <c r="M192" s="212"/>
      <c r="N192" s="212"/>
      <c r="O192" s="212"/>
      <c r="P192" s="212"/>
      <c r="Q192" s="212"/>
      <c r="R192" s="451"/>
      <c r="S192" s="451"/>
      <c r="T192" s="212"/>
      <c r="U192" s="451"/>
      <c r="V192" s="451"/>
      <c r="W192" s="451"/>
      <c r="X192" s="451"/>
      <c r="Y192" s="212"/>
      <c r="Z192" s="212"/>
      <c r="AA192" s="212"/>
      <c r="AB192" s="212"/>
      <c r="AC192" s="212"/>
      <c r="AD192" s="212"/>
      <c r="AE192" s="450"/>
      <c r="AF192" s="212"/>
      <c r="AG192" s="212"/>
      <c r="AH192" s="212"/>
      <c r="AI192" s="212"/>
      <c r="AJ192" s="212"/>
      <c r="AK192" s="212"/>
      <c r="AL192" s="212"/>
      <c r="AM192" s="212"/>
      <c r="AN192" s="212"/>
      <c r="AO192" s="212"/>
      <c r="AP192" s="212"/>
      <c r="AQ192" s="212"/>
      <c r="AR192" s="212"/>
      <c r="AS192" s="212"/>
      <c r="AT192" s="212"/>
      <c r="AU192" s="212"/>
      <c r="AV192" s="212"/>
      <c r="AW192" s="212"/>
      <c r="AX192" s="212"/>
      <c r="AY192" s="212"/>
      <c r="AZ192" s="452"/>
      <c r="BA192" s="212"/>
      <c r="BB192" s="212"/>
      <c r="BC192" s="212"/>
      <c r="BD192" s="212"/>
      <c r="BE192" s="455"/>
      <c r="BF192" s="452"/>
    </row>
    <row r="193">
      <c r="A193" s="212"/>
      <c r="B193" s="447"/>
      <c r="C193" s="212"/>
      <c r="D193" s="212"/>
      <c r="E193" s="212"/>
      <c r="F193" s="212"/>
      <c r="G193" s="212"/>
      <c r="H193" s="212"/>
      <c r="I193" s="212"/>
      <c r="J193" s="212"/>
      <c r="K193" s="212"/>
      <c r="L193" s="212"/>
      <c r="M193" s="212"/>
      <c r="N193" s="212"/>
      <c r="O193" s="212"/>
      <c r="P193" s="212"/>
      <c r="Q193" s="212"/>
      <c r="R193" s="451"/>
      <c r="S193" s="451"/>
      <c r="T193" s="212"/>
      <c r="U193" s="451"/>
      <c r="V193" s="451"/>
      <c r="W193" s="451"/>
      <c r="X193" s="451"/>
      <c r="Y193" s="212"/>
      <c r="Z193" s="212"/>
      <c r="AA193" s="212"/>
      <c r="AB193" s="212"/>
      <c r="AC193" s="212"/>
      <c r="AD193" s="212"/>
      <c r="AE193" s="450"/>
      <c r="AF193" s="212"/>
      <c r="AG193" s="212"/>
      <c r="AH193" s="212"/>
      <c r="AI193" s="212"/>
      <c r="AJ193" s="212"/>
      <c r="AK193" s="212"/>
      <c r="AL193" s="212"/>
      <c r="AM193" s="212"/>
      <c r="AN193" s="212"/>
      <c r="AO193" s="212"/>
      <c r="AP193" s="212"/>
      <c r="AQ193" s="212"/>
      <c r="AR193" s="212"/>
      <c r="AS193" s="212"/>
      <c r="AT193" s="212"/>
      <c r="AU193" s="212"/>
      <c r="AV193" s="212"/>
      <c r="AW193" s="212"/>
      <c r="AX193" s="212"/>
      <c r="AY193" s="212"/>
      <c r="AZ193" s="452"/>
      <c r="BA193" s="212"/>
      <c r="BB193" s="212"/>
      <c r="BC193" s="212"/>
      <c r="BD193" s="212"/>
      <c r="BE193" s="455"/>
      <c r="BF193" s="452"/>
    </row>
    <row r="194">
      <c r="A194" s="212"/>
      <c r="B194" s="447"/>
      <c r="C194" s="212"/>
      <c r="D194" s="212"/>
      <c r="E194" s="212"/>
      <c r="F194" s="212"/>
      <c r="G194" s="212"/>
      <c r="H194" s="212"/>
      <c r="I194" s="212"/>
      <c r="J194" s="212"/>
      <c r="K194" s="212"/>
      <c r="L194" s="212"/>
      <c r="M194" s="212"/>
      <c r="N194" s="212"/>
      <c r="O194" s="212"/>
      <c r="P194" s="212"/>
      <c r="Q194" s="212"/>
      <c r="R194" s="451"/>
      <c r="S194" s="451"/>
      <c r="T194" s="212"/>
      <c r="U194" s="451"/>
      <c r="V194" s="451"/>
      <c r="W194" s="451"/>
      <c r="X194" s="451"/>
      <c r="Y194" s="212"/>
      <c r="Z194" s="212"/>
      <c r="AA194" s="212"/>
      <c r="AB194" s="212"/>
      <c r="AC194" s="212"/>
      <c r="AD194" s="212"/>
      <c r="AE194" s="450"/>
      <c r="AF194" s="212"/>
      <c r="AG194" s="212"/>
      <c r="AH194" s="212"/>
      <c r="AI194" s="212"/>
      <c r="AJ194" s="212"/>
      <c r="AK194" s="212"/>
      <c r="AL194" s="212"/>
      <c r="AM194" s="212"/>
      <c r="AN194" s="212"/>
      <c r="AO194" s="212"/>
      <c r="AP194" s="212"/>
      <c r="AQ194" s="212"/>
      <c r="AR194" s="212"/>
      <c r="AS194" s="212"/>
      <c r="AT194" s="212"/>
      <c r="AU194" s="212"/>
      <c r="AV194" s="212"/>
      <c r="AW194" s="212"/>
      <c r="AX194" s="212"/>
      <c r="AY194" s="212"/>
      <c r="AZ194" s="452"/>
      <c r="BA194" s="212"/>
      <c r="BB194" s="212"/>
      <c r="BC194" s="212"/>
      <c r="BD194" s="212"/>
      <c r="BE194" s="455"/>
      <c r="BF194" s="452"/>
    </row>
    <row r="195">
      <c r="A195" s="212"/>
      <c r="B195" s="447"/>
      <c r="C195" s="212"/>
      <c r="D195" s="212"/>
      <c r="E195" s="212"/>
      <c r="F195" s="212"/>
      <c r="G195" s="212"/>
      <c r="H195" s="212"/>
      <c r="I195" s="212"/>
      <c r="J195" s="212"/>
      <c r="K195" s="212"/>
      <c r="L195" s="212"/>
      <c r="M195" s="212"/>
      <c r="N195" s="212"/>
      <c r="O195" s="212"/>
      <c r="P195" s="212"/>
      <c r="Q195" s="212"/>
      <c r="R195" s="451"/>
      <c r="S195" s="451"/>
      <c r="T195" s="212"/>
      <c r="U195" s="451"/>
      <c r="V195" s="451"/>
      <c r="W195" s="451"/>
      <c r="X195" s="451"/>
      <c r="Y195" s="212"/>
      <c r="Z195" s="212"/>
      <c r="AA195" s="212"/>
      <c r="AB195" s="212"/>
      <c r="AC195" s="212"/>
      <c r="AD195" s="212"/>
      <c r="AE195" s="450"/>
      <c r="AF195" s="212"/>
      <c r="AG195" s="212"/>
      <c r="AH195" s="212"/>
      <c r="AI195" s="212"/>
      <c r="AJ195" s="212"/>
      <c r="AK195" s="212"/>
      <c r="AL195" s="212"/>
      <c r="AM195" s="212"/>
      <c r="AN195" s="212"/>
      <c r="AO195" s="212"/>
      <c r="AP195" s="212"/>
      <c r="AQ195" s="212"/>
      <c r="AR195" s="212"/>
      <c r="AS195" s="212"/>
      <c r="AT195" s="212"/>
      <c r="AU195" s="212"/>
      <c r="AV195" s="212"/>
      <c r="AW195" s="212"/>
      <c r="AX195" s="212"/>
      <c r="AY195" s="212"/>
      <c r="AZ195" s="452"/>
      <c r="BA195" s="212"/>
      <c r="BB195" s="212"/>
      <c r="BC195" s="212"/>
      <c r="BD195" s="212"/>
      <c r="BE195" s="455"/>
      <c r="BF195" s="452"/>
    </row>
    <row r="196">
      <c r="A196" s="212"/>
      <c r="B196" s="447"/>
      <c r="C196" s="212"/>
      <c r="D196" s="212"/>
      <c r="E196" s="212"/>
      <c r="F196" s="212"/>
      <c r="G196" s="212"/>
      <c r="H196" s="212"/>
      <c r="I196" s="212"/>
      <c r="J196" s="212"/>
      <c r="K196" s="212"/>
      <c r="L196" s="212"/>
      <c r="M196" s="212"/>
      <c r="N196" s="212"/>
      <c r="O196" s="212"/>
      <c r="P196" s="212"/>
      <c r="Q196" s="212"/>
      <c r="R196" s="451"/>
      <c r="S196" s="451"/>
      <c r="T196" s="212"/>
      <c r="U196" s="451"/>
      <c r="V196" s="451"/>
      <c r="W196" s="451"/>
      <c r="X196" s="451"/>
      <c r="Y196" s="212"/>
      <c r="Z196" s="212"/>
      <c r="AA196" s="212"/>
      <c r="AB196" s="212"/>
      <c r="AC196" s="212"/>
      <c r="AD196" s="212"/>
      <c r="AE196" s="450"/>
      <c r="AF196" s="212"/>
      <c r="AG196" s="212"/>
      <c r="AH196" s="212"/>
      <c r="AI196" s="212"/>
      <c r="AJ196" s="212"/>
      <c r="AK196" s="212"/>
      <c r="AL196" s="212"/>
      <c r="AM196" s="212"/>
      <c r="AN196" s="212"/>
      <c r="AO196" s="212"/>
      <c r="AP196" s="212"/>
      <c r="AQ196" s="212"/>
      <c r="AR196" s="212"/>
      <c r="AS196" s="212"/>
      <c r="AT196" s="212"/>
      <c r="AU196" s="212"/>
      <c r="AV196" s="212"/>
      <c r="AW196" s="212"/>
      <c r="AX196" s="212"/>
      <c r="AY196" s="212"/>
      <c r="AZ196" s="452"/>
      <c r="BA196" s="212"/>
      <c r="BB196" s="212"/>
      <c r="BC196" s="212"/>
      <c r="BD196" s="212"/>
      <c r="BE196" s="455"/>
      <c r="BF196" s="452"/>
    </row>
    <row r="197">
      <c r="A197" s="212"/>
      <c r="B197" s="447"/>
      <c r="C197" s="212"/>
      <c r="D197" s="212"/>
      <c r="E197" s="212"/>
      <c r="F197" s="212"/>
      <c r="G197" s="212"/>
      <c r="H197" s="212"/>
      <c r="I197" s="212"/>
      <c r="J197" s="212"/>
      <c r="K197" s="212"/>
      <c r="L197" s="212"/>
      <c r="M197" s="212"/>
      <c r="N197" s="212"/>
      <c r="O197" s="212"/>
      <c r="P197" s="212"/>
      <c r="Q197" s="212"/>
      <c r="R197" s="451"/>
      <c r="S197" s="451"/>
      <c r="T197" s="212"/>
      <c r="U197" s="451"/>
      <c r="V197" s="451"/>
      <c r="W197" s="451"/>
      <c r="X197" s="451"/>
      <c r="Y197" s="212"/>
      <c r="Z197" s="212"/>
      <c r="AA197" s="212"/>
      <c r="AB197" s="212"/>
      <c r="AC197" s="212"/>
      <c r="AD197" s="212"/>
      <c r="AE197" s="450"/>
      <c r="AF197" s="212"/>
      <c r="AG197" s="212"/>
      <c r="AH197" s="212"/>
      <c r="AI197" s="212"/>
      <c r="AJ197" s="212"/>
      <c r="AK197" s="212"/>
      <c r="AL197" s="212"/>
      <c r="AM197" s="212"/>
      <c r="AN197" s="212"/>
      <c r="AO197" s="212"/>
      <c r="AP197" s="212"/>
      <c r="AQ197" s="212"/>
      <c r="AR197" s="212"/>
      <c r="AS197" s="212"/>
      <c r="AT197" s="212"/>
      <c r="AU197" s="212"/>
      <c r="AV197" s="212"/>
      <c r="AW197" s="212"/>
      <c r="AX197" s="212"/>
      <c r="AY197" s="212"/>
      <c r="AZ197" s="452"/>
      <c r="BA197" s="212"/>
      <c r="BB197" s="212"/>
      <c r="BC197" s="212"/>
      <c r="BD197" s="212"/>
      <c r="BE197" s="455"/>
      <c r="BF197" s="452"/>
    </row>
    <row r="198">
      <c r="A198" s="212"/>
      <c r="B198" s="447"/>
      <c r="C198" s="212"/>
      <c r="D198" s="212"/>
      <c r="E198" s="212"/>
      <c r="F198" s="212"/>
      <c r="G198" s="212"/>
      <c r="H198" s="212"/>
      <c r="I198" s="212"/>
      <c r="J198" s="212"/>
      <c r="K198" s="212"/>
      <c r="L198" s="212"/>
      <c r="M198" s="212"/>
      <c r="N198" s="212"/>
      <c r="O198" s="212"/>
      <c r="P198" s="212"/>
      <c r="Q198" s="212"/>
      <c r="R198" s="451"/>
      <c r="S198" s="451"/>
      <c r="T198" s="212"/>
      <c r="U198" s="451"/>
      <c r="V198" s="451"/>
      <c r="W198" s="451"/>
      <c r="X198" s="451"/>
      <c r="Y198" s="212"/>
      <c r="Z198" s="212"/>
      <c r="AA198" s="212"/>
      <c r="AB198" s="212"/>
      <c r="AC198" s="212"/>
      <c r="AD198" s="212"/>
      <c r="AE198" s="450"/>
      <c r="AF198" s="212"/>
      <c r="AG198" s="212"/>
      <c r="AH198" s="212"/>
      <c r="AI198" s="212"/>
      <c r="AJ198" s="212"/>
      <c r="AK198" s="212"/>
      <c r="AL198" s="212"/>
      <c r="AM198" s="212"/>
      <c r="AN198" s="212"/>
      <c r="AO198" s="212"/>
      <c r="AP198" s="212"/>
      <c r="AQ198" s="212"/>
      <c r="AR198" s="212"/>
      <c r="AS198" s="212"/>
      <c r="AT198" s="212"/>
      <c r="AU198" s="212"/>
      <c r="AV198" s="212"/>
      <c r="AW198" s="212"/>
      <c r="AX198" s="212"/>
      <c r="AY198" s="212"/>
      <c r="AZ198" s="452"/>
      <c r="BA198" s="212"/>
      <c r="BB198" s="212"/>
      <c r="BC198" s="212"/>
      <c r="BD198" s="212"/>
      <c r="BE198" s="455"/>
      <c r="BF198" s="452"/>
    </row>
    <row r="199">
      <c r="A199" s="212"/>
      <c r="B199" s="447"/>
      <c r="C199" s="212"/>
      <c r="D199" s="212"/>
      <c r="E199" s="212"/>
      <c r="F199" s="212"/>
      <c r="G199" s="212"/>
      <c r="H199" s="212"/>
      <c r="I199" s="212"/>
      <c r="J199" s="212"/>
      <c r="K199" s="212"/>
      <c r="L199" s="212"/>
      <c r="M199" s="212"/>
      <c r="N199" s="212"/>
      <c r="O199" s="212"/>
      <c r="P199" s="212"/>
      <c r="Q199" s="212"/>
      <c r="R199" s="451"/>
      <c r="S199" s="451"/>
      <c r="T199" s="212"/>
      <c r="U199" s="451"/>
      <c r="V199" s="451"/>
      <c r="W199" s="451"/>
      <c r="X199" s="451"/>
      <c r="Y199" s="212"/>
      <c r="Z199" s="212"/>
      <c r="AA199" s="212"/>
      <c r="AB199" s="212"/>
      <c r="AC199" s="212"/>
      <c r="AD199" s="212"/>
      <c r="AE199" s="450"/>
      <c r="AF199" s="212"/>
      <c r="AG199" s="212"/>
      <c r="AH199" s="212"/>
      <c r="AI199" s="212"/>
      <c r="AJ199" s="212"/>
      <c r="AK199" s="212"/>
      <c r="AL199" s="212"/>
      <c r="AM199" s="212"/>
      <c r="AN199" s="212"/>
      <c r="AO199" s="212"/>
      <c r="AP199" s="212"/>
      <c r="AQ199" s="212"/>
      <c r="AR199" s="212"/>
      <c r="AS199" s="212"/>
      <c r="AT199" s="212"/>
      <c r="AU199" s="212"/>
      <c r="AV199" s="212"/>
      <c r="AW199" s="212"/>
      <c r="AX199" s="212"/>
      <c r="AY199" s="212"/>
      <c r="AZ199" s="452"/>
      <c r="BA199" s="212"/>
      <c r="BB199" s="212"/>
      <c r="BC199" s="212"/>
      <c r="BD199" s="212"/>
      <c r="BE199" s="455"/>
      <c r="BF199" s="452"/>
    </row>
    <row r="200">
      <c r="A200" s="212"/>
      <c r="B200" s="447"/>
      <c r="C200" s="212"/>
      <c r="D200" s="212"/>
      <c r="E200" s="212"/>
      <c r="F200" s="212"/>
      <c r="G200" s="212"/>
      <c r="H200" s="212"/>
      <c r="I200" s="212"/>
      <c r="J200" s="212"/>
      <c r="K200" s="212"/>
      <c r="L200" s="212"/>
      <c r="M200" s="212"/>
      <c r="N200" s="212"/>
      <c r="O200" s="212"/>
      <c r="P200" s="212"/>
      <c r="Q200" s="212"/>
      <c r="R200" s="451"/>
      <c r="S200" s="451"/>
      <c r="T200" s="212"/>
      <c r="U200" s="451"/>
      <c r="V200" s="451"/>
      <c r="W200" s="451"/>
      <c r="X200" s="451"/>
      <c r="Y200" s="212"/>
      <c r="Z200" s="212"/>
      <c r="AA200" s="212"/>
      <c r="AB200" s="212"/>
      <c r="AC200" s="212"/>
      <c r="AD200" s="212"/>
      <c r="AE200" s="450"/>
      <c r="AF200" s="212"/>
      <c r="AG200" s="212"/>
      <c r="AH200" s="212"/>
      <c r="AI200" s="212"/>
      <c r="AJ200" s="212"/>
      <c r="AK200" s="212"/>
      <c r="AL200" s="212"/>
      <c r="AM200" s="212"/>
      <c r="AN200" s="212"/>
      <c r="AO200" s="212"/>
      <c r="AP200" s="212"/>
      <c r="AQ200" s="212"/>
      <c r="AR200" s="212"/>
      <c r="AS200" s="212"/>
      <c r="AT200" s="212"/>
      <c r="AU200" s="212"/>
      <c r="AV200" s="212"/>
      <c r="AW200" s="212"/>
      <c r="AX200" s="212"/>
      <c r="AY200" s="212"/>
      <c r="AZ200" s="452"/>
      <c r="BA200" s="212"/>
      <c r="BB200" s="212"/>
      <c r="BC200" s="212"/>
      <c r="BD200" s="212"/>
      <c r="BE200" s="455"/>
      <c r="BF200" s="452"/>
    </row>
    <row r="201">
      <c r="A201" s="212"/>
      <c r="B201" s="447"/>
      <c r="C201" s="212"/>
      <c r="D201" s="212"/>
      <c r="E201" s="212"/>
      <c r="F201" s="212"/>
      <c r="G201" s="212"/>
      <c r="H201" s="212"/>
      <c r="I201" s="212"/>
      <c r="J201" s="212"/>
      <c r="K201" s="212"/>
      <c r="L201" s="212"/>
      <c r="M201" s="212"/>
      <c r="N201" s="212"/>
      <c r="O201" s="212"/>
      <c r="P201" s="212"/>
      <c r="Q201" s="212"/>
      <c r="R201" s="451"/>
      <c r="S201" s="451"/>
      <c r="T201" s="212"/>
      <c r="U201" s="451"/>
      <c r="V201" s="451"/>
      <c r="W201" s="451"/>
      <c r="X201" s="451"/>
      <c r="Y201" s="212"/>
      <c r="Z201" s="212"/>
      <c r="AA201" s="212"/>
      <c r="AB201" s="212"/>
      <c r="AC201" s="212"/>
      <c r="AD201" s="212"/>
      <c r="AE201" s="450"/>
      <c r="AF201" s="212"/>
      <c r="AG201" s="212"/>
      <c r="AH201" s="212"/>
      <c r="AI201" s="212"/>
      <c r="AJ201" s="212"/>
      <c r="AK201" s="212"/>
      <c r="AL201" s="212"/>
      <c r="AM201" s="212"/>
      <c r="AN201" s="212"/>
      <c r="AO201" s="212"/>
      <c r="AP201" s="212"/>
      <c r="AQ201" s="212"/>
      <c r="AR201" s="212"/>
      <c r="AS201" s="212"/>
      <c r="AT201" s="212"/>
      <c r="AU201" s="212"/>
      <c r="AV201" s="212"/>
      <c r="AW201" s="212"/>
      <c r="AX201" s="212"/>
      <c r="AY201" s="212"/>
      <c r="AZ201" s="452"/>
      <c r="BA201" s="212"/>
      <c r="BB201" s="212"/>
      <c r="BC201" s="212"/>
      <c r="BD201" s="212"/>
      <c r="BE201" s="455"/>
      <c r="BF201" s="452"/>
    </row>
    <row r="202">
      <c r="A202" s="212"/>
      <c r="B202" s="447"/>
      <c r="C202" s="212"/>
      <c r="D202" s="212"/>
      <c r="E202" s="212"/>
      <c r="F202" s="212"/>
      <c r="G202" s="212"/>
      <c r="H202" s="212"/>
      <c r="I202" s="212"/>
      <c r="J202" s="212"/>
      <c r="K202" s="212"/>
      <c r="L202" s="212"/>
      <c r="M202" s="212"/>
      <c r="N202" s="212"/>
      <c r="O202" s="212"/>
      <c r="P202" s="212"/>
      <c r="Q202" s="212"/>
      <c r="R202" s="451"/>
      <c r="S202" s="451"/>
      <c r="T202" s="212"/>
      <c r="U202" s="451"/>
      <c r="V202" s="451"/>
      <c r="W202" s="451"/>
      <c r="X202" s="451"/>
      <c r="Y202" s="212"/>
      <c r="Z202" s="212"/>
      <c r="AA202" s="212"/>
      <c r="AB202" s="212"/>
      <c r="AC202" s="212"/>
      <c r="AD202" s="212"/>
      <c r="AE202" s="450"/>
      <c r="AF202" s="212"/>
      <c r="AG202" s="212"/>
      <c r="AH202" s="212"/>
      <c r="AI202" s="212"/>
      <c r="AJ202" s="212"/>
      <c r="AK202" s="212"/>
      <c r="AL202" s="212"/>
      <c r="AM202" s="212"/>
      <c r="AN202" s="212"/>
      <c r="AO202" s="212"/>
      <c r="AP202" s="212"/>
      <c r="AQ202" s="212"/>
      <c r="AR202" s="212"/>
      <c r="AS202" s="212"/>
      <c r="AT202" s="212"/>
      <c r="AU202" s="212"/>
      <c r="AV202" s="212"/>
      <c r="AW202" s="212"/>
      <c r="AX202" s="212"/>
      <c r="AY202" s="212"/>
      <c r="AZ202" s="452"/>
      <c r="BA202" s="212"/>
      <c r="BB202" s="212"/>
      <c r="BC202" s="212"/>
      <c r="BD202" s="212"/>
      <c r="BE202" s="455"/>
      <c r="BF202" s="452"/>
    </row>
    <row r="203">
      <c r="A203" s="212"/>
      <c r="B203" s="447"/>
      <c r="C203" s="212"/>
      <c r="D203" s="212"/>
      <c r="E203" s="212"/>
      <c r="F203" s="212"/>
      <c r="G203" s="212"/>
      <c r="H203" s="212"/>
      <c r="I203" s="212"/>
      <c r="J203" s="212"/>
      <c r="K203" s="212"/>
      <c r="L203" s="212"/>
      <c r="M203" s="212"/>
      <c r="N203" s="212"/>
      <c r="O203" s="212"/>
      <c r="P203" s="212"/>
      <c r="Q203" s="212"/>
      <c r="R203" s="451"/>
      <c r="S203" s="451"/>
      <c r="T203" s="212"/>
      <c r="U203" s="451"/>
      <c r="V203" s="451"/>
      <c r="W203" s="451"/>
      <c r="X203" s="451"/>
      <c r="Y203" s="212"/>
      <c r="Z203" s="212"/>
      <c r="AA203" s="212"/>
      <c r="AB203" s="212"/>
      <c r="AC203" s="212"/>
      <c r="AD203" s="212"/>
      <c r="AE203" s="450"/>
      <c r="AF203" s="212"/>
      <c r="AG203" s="212"/>
      <c r="AH203" s="212"/>
      <c r="AI203" s="212"/>
      <c r="AJ203" s="212"/>
      <c r="AK203" s="212"/>
      <c r="AL203" s="212"/>
      <c r="AM203" s="212"/>
      <c r="AN203" s="212"/>
      <c r="AO203" s="212"/>
      <c r="AP203" s="212"/>
      <c r="AQ203" s="212"/>
      <c r="AR203" s="212"/>
      <c r="AS203" s="212"/>
      <c r="AT203" s="212"/>
      <c r="AU203" s="212"/>
      <c r="AV203" s="212"/>
      <c r="AW203" s="212"/>
      <c r="AX203" s="212"/>
      <c r="AY203" s="212"/>
      <c r="AZ203" s="452"/>
      <c r="BA203" s="212"/>
      <c r="BB203" s="212"/>
      <c r="BC203" s="212"/>
      <c r="BD203" s="212"/>
      <c r="BE203" s="455"/>
      <c r="BF203" s="452"/>
    </row>
    <row r="204">
      <c r="A204" s="212"/>
      <c r="B204" s="447"/>
      <c r="C204" s="212"/>
      <c r="D204" s="212"/>
      <c r="E204" s="212"/>
      <c r="F204" s="212"/>
      <c r="G204" s="212"/>
      <c r="H204" s="212"/>
      <c r="I204" s="212"/>
      <c r="J204" s="212"/>
      <c r="K204" s="212"/>
      <c r="L204" s="212"/>
      <c r="M204" s="212"/>
      <c r="N204" s="212"/>
      <c r="O204" s="212"/>
      <c r="P204" s="212"/>
      <c r="Q204" s="212"/>
      <c r="R204" s="451"/>
      <c r="S204" s="451"/>
      <c r="T204" s="212"/>
      <c r="U204" s="451"/>
      <c r="V204" s="451"/>
      <c r="W204" s="451"/>
      <c r="X204" s="451"/>
      <c r="Y204" s="212"/>
      <c r="Z204" s="212"/>
      <c r="AA204" s="212"/>
      <c r="AB204" s="212"/>
      <c r="AC204" s="212"/>
      <c r="AD204" s="212"/>
      <c r="AE204" s="450"/>
      <c r="AF204" s="212"/>
      <c r="AG204" s="212"/>
      <c r="AH204" s="212"/>
      <c r="AI204" s="212"/>
      <c r="AJ204" s="212"/>
      <c r="AK204" s="212"/>
      <c r="AL204" s="212"/>
      <c r="AM204" s="212"/>
      <c r="AN204" s="212"/>
      <c r="AO204" s="212"/>
      <c r="AP204" s="212"/>
      <c r="AQ204" s="212"/>
      <c r="AR204" s="212"/>
      <c r="AS204" s="212"/>
      <c r="AT204" s="212"/>
      <c r="AU204" s="212"/>
      <c r="AV204" s="212"/>
      <c r="AW204" s="212"/>
      <c r="AX204" s="212"/>
      <c r="AY204" s="212"/>
      <c r="AZ204" s="452"/>
      <c r="BA204" s="212"/>
      <c r="BB204" s="212"/>
      <c r="BC204" s="212"/>
      <c r="BD204" s="212"/>
      <c r="BE204" s="455"/>
      <c r="BF204" s="452"/>
    </row>
    <row r="205">
      <c r="A205" s="212"/>
      <c r="B205" s="447"/>
      <c r="C205" s="212"/>
      <c r="D205" s="212"/>
      <c r="E205" s="212"/>
      <c r="F205" s="212"/>
      <c r="G205" s="212"/>
      <c r="H205" s="212"/>
      <c r="I205" s="212"/>
      <c r="J205" s="212"/>
      <c r="K205" s="212"/>
      <c r="L205" s="212"/>
      <c r="M205" s="212"/>
      <c r="N205" s="212"/>
      <c r="O205" s="212"/>
      <c r="P205" s="212"/>
      <c r="Q205" s="212"/>
      <c r="R205" s="451"/>
      <c r="S205" s="451"/>
      <c r="T205" s="212"/>
      <c r="U205" s="451"/>
      <c r="V205" s="451"/>
      <c r="W205" s="451"/>
      <c r="X205" s="451"/>
      <c r="Y205" s="212"/>
      <c r="Z205" s="212"/>
      <c r="AA205" s="212"/>
      <c r="AB205" s="212"/>
      <c r="AC205" s="212"/>
      <c r="AD205" s="212"/>
      <c r="AE205" s="450"/>
      <c r="AF205" s="212"/>
      <c r="AG205" s="212"/>
      <c r="AH205" s="212"/>
      <c r="AI205" s="212"/>
      <c r="AJ205" s="212"/>
      <c r="AK205" s="212"/>
      <c r="AL205" s="212"/>
      <c r="AM205" s="212"/>
      <c r="AN205" s="212"/>
      <c r="AO205" s="212"/>
      <c r="AP205" s="212"/>
      <c r="AQ205" s="212"/>
      <c r="AR205" s="212"/>
      <c r="AS205" s="212"/>
      <c r="AT205" s="212"/>
      <c r="AU205" s="212"/>
      <c r="AV205" s="212"/>
      <c r="AW205" s="212"/>
      <c r="AX205" s="212"/>
      <c r="AY205" s="212"/>
      <c r="AZ205" s="452"/>
      <c r="BA205" s="212"/>
      <c r="BB205" s="212"/>
      <c r="BC205" s="212"/>
      <c r="BD205" s="212"/>
      <c r="BE205" s="455"/>
      <c r="BF205" s="452"/>
    </row>
    <row r="206">
      <c r="A206" s="212"/>
      <c r="B206" s="447"/>
      <c r="C206" s="212"/>
      <c r="D206" s="212"/>
      <c r="E206" s="212"/>
      <c r="F206" s="212"/>
      <c r="G206" s="212"/>
      <c r="H206" s="212"/>
      <c r="I206" s="212"/>
      <c r="J206" s="212"/>
      <c r="K206" s="212"/>
      <c r="L206" s="212"/>
      <c r="M206" s="212"/>
      <c r="N206" s="212"/>
      <c r="O206" s="212"/>
      <c r="P206" s="212"/>
      <c r="Q206" s="212"/>
      <c r="R206" s="451"/>
      <c r="S206" s="451"/>
      <c r="T206" s="212"/>
      <c r="U206" s="451"/>
      <c r="V206" s="451"/>
      <c r="W206" s="451"/>
      <c r="X206" s="451"/>
      <c r="Y206" s="212"/>
      <c r="Z206" s="212"/>
      <c r="AA206" s="212"/>
      <c r="AB206" s="212"/>
      <c r="AC206" s="212"/>
      <c r="AD206" s="212"/>
      <c r="AE206" s="450"/>
      <c r="AF206" s="212"/>
      <c r="AG206" s="212"/>
      <c r="AH206" s="212"/>
      <c r="AI206" s="212"/>
      <c r="AJ206" s="212"/>
      <c r="AK206" s="212"/>
      <c r="AL206" s="212"/>
      <c r="AM206" s="212"/>
      <c r="AN206" s="212"/>
      <c r="AO206" s="212"/>
      <c r="AP206" s="212"/>
      <c r="AQ206" s="212"/>
      <c r="AR206" s="212"/>
      <c r="AS206" s="212"/>
      <c r="AT206" s="212"/>
      <c r="AU206" s="212"/>
      <c r="AV206" s="212"/>
      <c r="AW206" s="212"/>
      <c r="AX206" s="212"/>
      <c r="AY206" s="212"/>
      <c r="AZ206" s="452"/>
      <c r="BA206" s="212"/>
      <c r="BB206" s="212"/>
      <c r="BC206" s="212"/>
      <c r="BD206" s="212"/>
      <c r="BE206" s="455"/>
      <c r="BF206" s="452"/>
    </row>
    <row r="207">
      <c r="A207" s="212"/>
      <c r="B207" s="447"/>
      <c r="C207" s="212"/>
      <c r="D207" s="212"/>
      <c r="E207" s="212"/>
      <c r="F207" s="212"/>
      <c r="G207" s="212"/>
      <c r="H207" s="212"/>
      <c r="I207" s="212"/>
      <c r="J207" s="212"/>
      <c r="K207" s="212"/>
      <c r="L207" s="212"/>
      <c r="M207" s="212"/>
      <c r="N207" s="212"/>
      <c r="O207" s="212"/>
      <c r="P207" s="212"/>
      <c r="Q207" s="212"/>
      <c r="R207" s="451"/>
      <c r="S207" s="451"/>
      <c r="T207" s="212"/>
      <c r="U207" s="451"/>
      <c r="V207" s="451"/>
      <c r="W207" s="451"/>
      <c r="X207" s="451"/>
      <c r="Y207" s="212"/>
      <c r="Z207" s="212"/>
      <c r="AA207" s="212"/>
      <c r="AB207" s="212"/>
      <c r="AC207" s="212"/>
      <c r="AD207" s="212"/>
      <c r="AE207" s="450"/>
      <c r="AF207" s="212"/>
      <c r="AG207" s="212"/>
      <c r="AH207" s="212"/>
      <c r="AI207" s="212"/>
      <c r="AJ207" s="212"/>
      <c r="AK207" s="212"/>
      <c r="AL207" s="212"/>
      <c r="AM207" s="212"/>
      <c r="AN207" s="212"/>
      <c r="AO207" s="212"/>
      <c r="AP207" s="212"/>
      <c r="AQ207" s="212"/>
      <c r="AR207" s="212"/>
      <c r="AS207" s="212"/>
      <c r="AT207" s="212"/>
      <c r="AU207" s="212"/>
      <c r="AV207" s="212"/>
      <c r="AW207" s="212"/>
      <c r="AX207" s="212"/>
      <c r="AY207" s="212"/>
      <c r="AZ207" s="452"/>
      <c r="BA207" s="212"/>
      <c r="BB207" s="212"/>
      <c r="BC207" s="212"/>
      <c r="BD207" s="212"/>
      <c r="BE207" s="455"/>
      <c r="BF207" s="452"/>
    </row>
    <row r="208">
      <c r="A208" s="212"/>
      <c r="B208" s="447"/>
      <c r="C208" s="212"/>
      <c r="D208" s="212"/>
      <c r="E208" s="212"/>
      <c r="F208" s="212"/>
      <c r="G208" s="212"/>
      <c r="H208" s="212"/>
      <c r="I208" s="212"/>
      <c r="J208" s="212"/>
      <c r="K208" s="212"/>
      <c r="L208" s="212"/>
      <c r="M208" s="212"/>
      <c r="N208" s="212"/>
      <c r="O208" s="212"/>
      <c r="P208" s="212"/>
      <c r="Q208" s="212"/>
      <c r="R208" s="451"/>
      <c r="S208" s="451"/>
      <c r="T208" s="212"/>
      <c r="U208" s="451"/>
      <c r="V208" s="451"/>
      <c r="W208" s="451"/>
      <c r="X208" s="451"/>
      <c r="Y208" s="212"/>
      <c r="Z208" s="212"/>
      <c r="AA208" s="212"/>
      <c r="AB208" s="212"/>
      <c r="AC208" s="212"/>
      <c r="AD208" s="212"/>
      <c r="AE208" s="450"/>
      <c r="AF208" s="212"/>
      <c r="AG208" s="212"/>
      <c r="AH208" s="212"/>
      <c r="AI208" s="212"/>
      <c r="AJ208" s="212"/>
      <c r="AK208" s="212"/>
      <c r="AL208" s="212"/>
      <c r="AM208" s="212"/>
      <c r="AN208" s="212"/>
      <c r="AO208" s="212"/>
      <c r="AP208" s="212"/>
      <c r="AQ208" s="212"/>
      <c r="AR208" s="212"/>
      <c r="AS208" s="212"/>
      <c r="AT208" s="212"/>
      <c r="AU208" s="212"/>
      <c r="AV208" s="212"/>
      <c r="AW208" s="212"/>
      <c r="AX208" s="212"/>
      <c r="AY208" s="212"/>
      <c r="AZ208" s="452"/>
      <c r="BA208" s="212"/>
      <c r="BB208" s="212"/>
      <c r="BC208" s="212"/>
      <c r="BD208" s="212"/>
      <c r="BE208" s="455"/>
      <c r="BF208" s="452"/>
    </row>
    <row r="209">
      <c r="A209" s="212"/>
      <c r="B209" s="447"/>
      <c r="C209" s="212"/>
      <c r="D209" s="212"/>
      <c r="E209" s="212"/>
      <c r="F209" s="212"/>
      <c r="G209" s="212"/>
      <c r="H209" s="212"/>
      <c r="I209" s="212"/>
      <c r="J209" s="212"/>
      <c r="K209" s="212"/>
      <c r="L209" s="212"/>
      <c r="M209" s="212"/>
      <c r="N209" s="212"/>
      <c r="O209" s="212"/>
      <c r="P209" s="212"/>
      <c r="Q209" s="212"/>
      <c r="R209" s="451"/>
      <c r="S209" s="451"/>
      <c r="T209" s="212"/>
      <c r="U209" s="451"/>
      <c r="V209" s="451"/>
      <c r="W209" s="451"/>
      <c r="X209" s="451"/>
      <c r="Y209" s="212"/>
      <c r="Z209" s="212"/>
      <c r="AA209" s="212"/>
      <c r="AB209" s="212"/>
      <c r="AC209" s="212"/>
      <c r="AD209" s="212"/>
      <c r="AE209" s="450"/>
      <c r="AF209" s="212"/>
      <c r="AG209" s="212"/>
      <c r="AH209" s="212"/>
      <c r="AI209" s="212"/>
      <c r="AJ209" s="212"/>
      <c r="AK209" s="212"/>
      <c r="AL209" s="212"/>
      <c r="AM209" s="212"/>
      <c r="AN209" s="212"/>
      <c r="AO209" s="212"/>
      <c r="AP209" s="212"/>
      <c r="AQ209" s="212"/>
      <c r="AR209" s="212"/>
      <c r="AS209" s="212"/>
      <c r="AT209" s="212"/>
      <c r="AU209" s="212"/>
      <c r="AV209" s="212"/>
      <c r="AW209" s="212"/>
      <c r="AX209" s="212"/>
      <c r="AY209" s="212"/>
      <c r="AZ209" s="452"/>
      <c r="BA209" s="212"/>
      <c r="BB209" s="212"/>
      <c r="BC209" s="212"/>
      <c r="BD209" s="212"/>
      <c r="BE209" s="455"/>
      <c r="BF209" s="452"/>
    </row>
    <row r="210">
      <c r="A210" s="212"/>
      <c r="B210" s="447"/>
      <c r="C210" s="212"/>
      <c r="D210" s="212"/>
      <c r="E210" s="212"/>
      <c r="F210" s="212"/>
      <c r="G210" s="212"/>
      <c r="H210" s="212"/>
      <c r="I210" s="212"/>
      <c r="J210" s="212"/>
      <c r="K210" s="212"/>
      <c r="L210" s="212"/>
      <c r="M210" s="212"/>
      <c r="N210" s="212"/>
      <c r="O210" s="212"/>
      <c r="P210" s="212"/>
      <c r="Q210" s="212"/>
      <c r="R210" s="451"/>
      <c r="S210" s="451"/>
      <c r="T210" s="212"/>
      <c r="U210" s="451"/>
      <c r="V210" s="451"/>
      <c r="W210" s="451"/>
      <c r="X210" s="451"/>
      <c r="Y210" s="212"/>
      <c r="Z210" s="212"/>
      <c r="AA210" s="212"/>
      <c r="AB210" s="212"/>
      <c r="AC210" s="212"/>
      <c r="AD210" s="212"/>
      <c r="AE210" s="450"/>
      <c r="AF210" s="212"/>
      <c r="AG210" s="212"/>
      <c r="AH210" s="212"/>
      <c r="AI210" s="212"/>
      <c r="AJ210" s="212"/>
      <c r="AK210" s="212"/>
      <c r="AL210" s="212"/>
      <c r="AM210" s="212"/>
      <c r="AN210" s="212"/>
      <c r="AO210" s="212"/>
      <c r="AP210" s="212"/>
      <c r="AQ210" s="212"/>
      <c r="AR210" s="212"/>
      <c r="AS210" s="212"/>
      <c r="AT210" s="212"/>
      <c r="AU210" s="212"/>
      <c r="AV210" s="212"/>
      <c r="AW210" s="212"/>
      <c r="AX210" s="212"/>
      <c r="AY210" s="212"/>
      <c r="AZ210" s="452"/>
      <c r="BA210" s="212"/>
      <c r="BB210" s="212"/>
      <c r="BC210" s="212"/>
      <c r="BD210" s="212"/>
      <c r="BE210" s="455"/>
      <c r="BF210" s="452"/>
    </row>
    <row r="211">
      <c r="A211" s="212"/>
      <c r="B211" s="447"/>
      <c r="C211" s="212"/>
      <c r="D211" s="212"/>
      <c r="E211" s="212"/>
      <c r="F211" s="212"/>
      <c r="G211" s="212"/>
      <c r="H211" s="212"/>
      <c r="I211" s="212"/>
      <c r="J211" s="212"/>
      <c r="K211" s="212"/>
      <c r="L211" s="212"/>
      <c r="M211" s="212"/>
      <c r="N211" s="212"/>
      <c r="O211" s="212"/>
      <c r="P211" s="212"/>
      <c r="Q211" s="212"/>
      <c r="R211" s="451"/>
      <c r="S211" s="451"/>
      <c r="T211" s="212"/>
      <c r="U211" s="451"/>
      <c r="V211" s="451"/>
      <c r="W211" s="451"/>
      <c r="X211" s="451"/>
      <c r="Y211" s="212"/>
      <c r="Z211" s="212"/>
      <c r="AA211" s="212"/>
      <c r="AB211" s="212"/>
      <c r="AC211" s="212"/>
      <c r="AD211" s="212"/>
      <c r="AE211" s="450"/>
      <c r="AF211" s="212"/>
      <c r="AG211" s="212"/>
      <c r="AH211" s="212"/>
      <c r="AI211" s="212"/>
      <c r="AJ211" s="212"/>
      <c r="AK211" s="212"/>
      <c r="AL211" s="212"/>
      <c r="AM211" s="212"/>
      <c r="AN211" s="212"/>
      <c r="AO211" s="212"/>
      <c r="AP211" s="212"/>
      <c r="AQ211" s="212"/>
      <c r="AR211" s="212"/>
      <c r="AS211" s="212"/>
      <c r="AT211" s="212"/>
      <c r="AU211" s="212"/>
      <c r="AV211" s="212"/>
      <c r="AW211" s="212"/>
      <c r="AX211" s="212"/>
      <c r="AY211" s="212"/>
      <c r="AZ211" s="452"/>
      <c r="BA211" s="212"/>
      <c r="BB211" s="212"/>
      <c r="BC211" s="212"/>
      <c r="BD211" s="212"/>
      <c r="BE211" s="455"/>
      <c r="BF211" s="452"/>
    </row>
    <row r="212">
      <c r="A212" s="212"/>
      <c r="B212" s="447"/>
      <c r="C212" s="212"/>
      <c r="D212" s="212"/>
      <c r="E212" s="212"/>
      <c r="F212" s="212"/>
      <c r="G212" s="212"/>
      <c r="H212" s="212"/>
      <c r="I212" s="212"/>
      <c r="J212" s="212"/>
      <c r="K212" s="212"/>
      <c r="L212" s="212"/>
      <c r="M212" s="212"/>
      <c r="N212" s="212"/>
      <c r="O212" s="212"/>
      <c r="P212" s="212"/>
      <c r="Q212" s="212"/>
      <c r="R212" s="451"/>
      <c r="S212" s="451"/>
      <c r="T212" s="212"/>
      <c r="U212" s="451"/>
      <c r="V212" s="451"/>
      <c r="W212" s="451"/>
      <c r="X212" s="451"/>
      <c r="Y212" s="212"/>
      <c r="Z212" s="212"/>
      <c r="AA212" s="212"/>
      <c r="AB212" s="212"/>
      <c r="AC212" s="212"/>
      <c r="AD212" s="212"/>
      <c r="AE212" s="450"/>
      <c r="AF212" s="212"/>
      <c r="AG212" s="212"/>
      <c r="AH212" s="212"/>
      <c r="AI212" s="212"/>
      <c r="AJ212" s="212"/>
      <c r="AK212" s="212"/>
      <c r="AL212" s="212"/>
      <c r="AM212" s="212"/>
      <c r="AN212" s="212"/>
      <c r="AO212" s="212"/>
      <c r="AP212" s="212"/>
      <c r="AQ212" s="212"/>
      <c r="AR212" s="212"/>
      <c r="AS212" s="212"/>
      <c r="AT212" s="212"/>
      <c r="AU212" s="212"/>
      <c r="AV212" s="212"/>
      <c r="AW212" s="212"/>
      <c r="AX212" s="212"/>
      <c r="AY212" s="212"/>
      <c r="AZ212" s="452"/>
      <c r="BA212" s="212"/>
      <c r="BB212" s="212"/>
      <c r="BC212" s="212"/>
      <c r="BD212" s="212"/>
      <c r="BE212" s="455"/>
      <c r="BF212" s="452"/>
    </row>
    <row r="213">
      <c r="A213" s="212"/>
      <c r="B213" s="447"/>
      <c r="C213" s="212"/>
      <c r="D213" s="212"/>
      <c r="E213" s="212"/>
      <c r="F213" s="212"/>
      <c r="G213" s="212"/>
      <c r="H213" s="212"/>
      <c r="I213" s="212"/>
      <c r="J213" s="212"/>
      <c r="K213" s="212"/>
      <c r="L213" s="212"/>
      <c r="M213" s="212"/>
      <c r="N213" s="212"/>
      <c r="O213" s="212"/>
      <c r="P213" s="212"/>
      <c r="Q213" s="212"/>
      <c r="R213" s="451"/>
      <c r="S213" s="451"/>
      <c r="T213" s="212"/>
      <c r="U213" s="451"/>
      <c r="V213" s="451"/>
      <c r="W213" s="451"/>
      <c r="X213" s="451"/>
      <c r="Y213" s="212"/>
      <c r="Z213" s="212"/>
      <c r="AA213" s="212"/>
      <c r="AB213" s="212"/>
      <c r="AC213" s="212"/>
      <c r="AD213" s="212"/>
      <c r="AE213" s="450"/>
      <c r="AF213" s="212"/>
      <c r="AG213" s="212"/>
      <c r="AH213" s="212"/>
      <c r="AI213" s="212"/>
      <c r="AJ213" s="212"/>
      <c r="AK213" s="212"/>
      <c r="AL213" s="212"/>
      <c r="AM213" s="212"/>
      <c r="AN213" s="212"/>
      <c r="AO213" s="212"/>
      <c r="AP213" s="212"/>
      <c r="AQ213" s="212"/>
      <c r="AR213" s="212"/>
      <c r="AS213" s="212"/>
      <c r="AT213" s="212"/>
      <c r="AU213" s="212"/>
      <c r="AV213" s="212"/>
      <c r="AW213" s="212"/>
      <c r="AX213" s="212"/>
      <c r="AY213" s="212"/>
      <c r="AZ213" s="452"/>
      <c r="BA213" s="212"/>
      <c r="BB213" s="212"/>
      <c r="BC213" s="212"/>
      <c r="BD213" s="212"/>
      <c r="BE213" s="455"/>
      <c r="BF213" s="452"/>
    </row>
    <row r="214">
      <c r="A214" s="212"/>
      <c r="B214" s="447"/>
      <c r="C214" s="212"/>
      <c r="D214" s="212"/>
      <c r="E214" s="212"/>
      <c r="F214" s="212"/>
      <c r="G214" s="212"/>
      <c r="H214" s="212"/>
      <c r="I214" s="212"/>
      <c r="J214" s="212"/>
      <c r="K214" s="212"/>
      <c r="L214" s="212"/>
      <c r="M214" s="212"/>
      <c r="N214" s="212"/>
      <c r="O214" s="212"/>
      <c r="P214" s="212"/>
      <c r="Q214" s="212"/>
      <c r="R214" s="451"/>
      <c r="S214" s="451"/>
      <c r="T214" s="212"/>
      <c r="U214" s="451"/>
      <c r="V214" s="451"/>
      <c r="W214" s="451"/>
      <c r="X214" s="451"/>
      <c r="Y214" s="212"/>
      <c r="Z214" s="212"/>
      <c r="AA214" s="212"/>
      <c r="AB214" s="212"/>
      <c r="AC214" s="212"/>
      <c r="AD214" s="212"/>
      <c r="AE214" s="450"/>
      <c r="AF214" s="212"/>
      <c r="AG214" s="212"/>
      <c r="AH214" s="212"/>
      <c r="AI214" s="212"/>
      <c r="AJ214" s="212"/>
      <c r="AK214" s="212"/>
      <c r="AL214" s="212"/>
      <c r="AM214" s="212"/>
      <c r="AN214" s="212"/>
      <c r="AO214" s="212"/>
      <c r="AP214" s="212"/>
      <c r="AQ214" s="212"/>
      <c r="AR214" s="212"/>
      <c r="AS214" s="212"/>
      <c r="AT214" s="212"/>
      <c r="AU214" s="212"/>
      <c r="AV214" s="212"/>
      <c r="AW214" s="212"/>
      <c r="AX214" s="212"/>
      <c r="AY214" s="212"/>
      <c r="AZ214" s="452"/>
      <c r="BA214" s="212"/>
      <c r="BB214" s="212"/>
      <c r="BC214" s="212"/>
      <c r="BD214" s="212"/>
      <c r="BE214" s="455"/>
      <c r="BF214" s="452"/>
    </row>
    <row r="215">
      <c r="A215" s="212"/>
      <c r="B215" s="447"/>
      <c r="C215" s="212"/>
      <c r="D215" s="212"/>
      <c r="E215" s="212"/>
      <c r="F215" s="212"/>
      <c r="G215" s="212"/>
      <c r="H215" s="212"/>
      <c r="I215" s="212"/>
      <c r="J215" s="212"/>
      <c r="K215" s="212"/>
      <c r="L215" s="212"/>
      <c r="M215" s="212"/>
      <c r="N215" s="212"/>
      <c r="O215" s="212"/>
      <c r="P215" s="212"/>
      <c r="Q215" s="212"/>
      <c r="R215" s="451"/>
      <c r="S215" s="451"/>
      <c r="T215" s="212"/>
      <c r="U215" s="451"/>
      <c r="V215" s="451"/>
      <c r="W215" s="451"/>
      <c r="X215" s="451"/>
      <c r="Y215" s="212"/>
      <c r="Z215" s="212"/>
      <c r="AA215" s="212"/>
      <c r="AB215" s="212"/>
      <c r="AC215" s="212"/>
      <c r="AD215" s="212"/>
      <c r="AE215" s="450"/>
      <c r="AF215" s="212"/>
      <c r="AG215" s="212"/>
      <c r="AH215" s="212"/>
      <c r="AI215" s="212"/>
      <c r="AJ215" s="212"/>
      <c r="AK215" s="212"/>
      <c r="AL215" s="212"/>
      <c r="AM215" s="212"/>
      <c r="AN215" s="212"/>
      <c r="AO215" s="212"/>
      <c r="AP215" s="212"/>
      <c r="AQ215" s="212"/>
      <c r="AR215" s="212"/>
      <c r="AS215" s="212"/>
      <c r="AT215" s="212"/>
      <c r="AU215" s="212"/>
      <c r="AV215" s="212"/>
      <c r="AW215" s="212"/>
      <c r="AX215" s="212"/>
      <c r="AY215" s="212"/>
      <c r="AZ215" s="452"/>
      <c r="BA215" s="212"/>
      <c r="BB215" s="212"/>
      <c r="BC215" s="212"/>
      <c r="BD215" s="212"/>
      <c r="BE215" s="455"/>
      <c r="BF215" s="452"/>
    </row>
    <row r="216">
      <c r="A216" s="212"/>
      <c r="B216" s="447"/>
      <c r="C216" s="212"/>
      <c r="D216" s="212"/>
      <c r="E216" s="212"/>
      <c r="F216" s="212"/>
      <c r="G216" s="212"/>
      <c r="H216" s="212"/>
      <c r="I216" s="212"/>
      <c r="J216" s="212"/>
      <c r="K216" s="212"/>
      <c r="L216" s="212"/>
      <c r="M216" s="212"/>
      <c r="N216" s="212"/>
      <c r="O216" s="212"/>
      <c r="P216" s="212"/>
      <c r="Q216" s="212"/>
      <c r="R216" s="451"/>
      <c r="S216" s="451"/>
      <c r="T216" s="212"/>
      <c r="U216" s="451"/>
      <c r="V216" s="451"/>
      <c r="W216" s="451"/>
      <c r="X216" s="451"/>
      <c r="Y216" s="212"/>
      <c r="Z216" s="212"/>
      <c r="AA216" s="212"/>
      <c r="AB216" s="212"/>
      <c r="AC216" s="212"/>
      <c r="AD216" s="212"/>
      <c r="AE216" s="450"/>
      <c r="AF216" s="212"/>
      <c r="AG216" s="212"/>
      <c r="AH216" s="212"/>
      <c r="AI216" s="212"/>
      <c r="AJ216" s="212"/>
      <c r="AK216" s="212"/>
      <c r="AL216" s="212"/>
      <c r="AM216" s="212"/>
      <c r="AN216" s="212"/>
      <c r="AO216" s="212"/>
      <c r="AP216" s="212"/>
      <c r="AQ216" s="212"/>
      <c r="AR216" s="212"/>
      <c r="AS216" s="212"/>
      <c r="AT216" s="212"/>
      <c r="AU216" s="212"/>
      <c r="AV216" s="212"/>
      <c r="AW216" s="212"/>
      <c r="AX216" s="212"/>
      <c r="AY216" s="212"/>
      <c r="AZ216" s="452"/>
      <c r="BA216" s="212"/>
      <c r="BB216" s="212"/>
      <c r="BC216" s="212"/>
      <c r="BD216" s="212"/>
      <c r="BE216" s="455"/>
      <c r="BF216" s="452"/>
    </row>
    <row r="217">
      <c r="A217" s="212"/>
      <c r="B217" s="447"/>
      <c r="C217" s="212"/>
      <c r="D217" s="212"/>
      <c r="E217" s="212"/>
      <c r="F217" s="212"/>
      <c r="G217" s="212"/>
      <c r="H217" s="212"/>
      <c r="I217" s="212"/>
      <c r="J217" s="212"/>
      <c r="K217" s="212"/>
      <c r="L217" s="212"/>
      <c r="M217" s="212"/>
      <c r="N217" s="212"/>
      <c r="O217" s="212"/>
      <c r="P217" s="212"/>
      <c r="Q217" s="212"/>
      <c r="R217" s="451"/>
      <c r="S217" s="451"/>
      <c r="T217" s="212"/>
      <c r="U217" s="451"/>
      <c r="V217" s="451"/>
      <c r="W217" s="451"/>
      <c r="X217" s="451"/>
      <c r="Y217" s="212"/>
      <c r="Z217" s="212"/>
      <c r="AA217" s="212"/>
      <c r="AB217" s="212"/>
      <c r="AC217" s="212"/>
      <c r="AD217" s="212"/>
      <c r="AE217" s="450"/>
      <c r="AF217" s="212"/>
      <c r="AG217" s="212"/>
      <c r="AH217" s="212"/>
      <c r="AI217" s="212"/>
      <c r="AJ217" s="212"/>
      <c r="AK217" s="212"/>
      <c r="AL217" s="212"/>
      <c r="AM217" s="212"/>
      <c r="AN217" s="212"/>
      <c r="AO217" s="212"/>
      <c r="AP217" s="212"/>
      <c r="AQ217" s="212"/>
      <c r="AR217" s="212"/>
      <c r="AS217" s="212"/>
      <c r="AT217" s="212"/>
      <c r="AU217" s="212"/>
      <c r="AV217" s="212"/>
      <c r="AW217" s="212"/>
      <c r="AX217" s="212"/>
      <c r="AY217" s="212"/>
      <c r="AZ217" s="452"/>
      <c r="BA217" s="212"/>
      <c r="BB217" s="212"/>
      <c r="BC217" s="212"/>
      <c r="BD217" s="212"/>
      <c r="BE217" s="455"/>
      <c r="BF217" s="452"/>
    </row>
    <row r="218">
      <c r="A218" s="212"/>
      <c r="B218" s="447"/>
      <c r="C218" s="212"/>
      <c r="D218" s="212"/>
      <c r="E218" s="212"/>
      <c r="F218" s="212"/>
      <c r="G218" s="212"/>
      <c r="H218" s="212"/>
      <c r="I218" s="212"/>
      <c r="J218" s="212"/>
      <c r="K218" s="212"/>
      <c r="L218" s="212"/>
      <c r="M218" s="212"/>
      <c r="N218" s="212"/>
      <c r="O218" s="212"/>
      <c r="P218" s="212"/>
      <c r="Q218" s="212"/>
      <c r="R218" s="451"/>
      <c r="S218" s="451"/>
      <c r="T218" s="212"/>
      <c r="U218" s="451"/>
      <c r="V218" s="451"/>
      <c r="W218" s="451"/>
      <c r="X218" s="451"/>
      <c r="Y218" s="212"/>
      <c r="Z218" s="212"/>
      <c r="AA218" s="212"/>
      <c r="AB218" s="212"/>
      <c r="AC218" s="212"/>
      <c r="AD218" s="212"/>
      <c r="AE218" s="450"/>
      <c r="AF218" s="212"/>
      <c r="AG218" s="212"/>
      <c r="AH218" s="212"/>
      <c r="AI218" s="212"/>
      <c r="AJ218" s="212"/>
      <c r="AK218" s="212"/>
      <c r="AL218" s="212"/>
      <c r="AM218" s="212"/>
      <c r="AN218" s="212"/>
      <c r="AO218" s="212"/>
      <c r="AP218" s="212"/>
      <c r="AQ218" s="212"/>
      <c r="AR218" s="212"/>
      <c r="AS218" s="212"/>
      <c r="AT218" s="212"/>
      <c r="AU218" s="212"/>
      <c r="AV218" s="212"/>
      <c r="AW218" s="212"/>
      <c r="AX218" s="212"/>
      <c r="AY218" s="212"/>
      <c r="AZ218" s="452"/>
      <c r="BA218" s="212"/>
      <c r="BB218" s="212"/>
      <c r="BC218" s="212"/>
      <c r="BD218" s="212"/>
      <c r="BE218" s="455"/>
      <c r="BF218" s="452"/>
    </row>
    <row r="219">
      <c r="A219" s="212"/>
      <c r="B219" s="447"/>
      <c r="C219" s="212"/>
      <c r="D219" s="212"/>
      <c r="E219" s="212"/>
      <c r="F219" s="212"/>
      <c r="G219" s="212"/>
      <c r="H219" s="212"/>
      <c r="I219" s="212"/>
      <c r="J219" s="212"/>
      <c r="K219" s="212"/>
      <c r="L219" s="212"/>
      <c r="M219" s="212"/>
      <c r="N219" s="212"/>
      <c r="O219" s="212"/>
      <c r="P219" s="212"/>
      <c r="Q219" s="212"/>
      <c r="R219" s="451"/>
      <c r="S219" s="451"/>
      <c r="T219" s="212"/>
      <c r="U219" s="451"/>
      <c r="V219" s="451"/>
      <c r="W219" s="451"/>
      <c r="X219" s="451"/>
      <c r="Y219" s="212"/>
      <c r="Z219" s="212"/>
      <c r="AA219" s="212"/>
      <c r="AB219" s="212"/>
      <c r="AC219" s="212"/>
      <c r="AD219" s="212"/>
      <c r="AE219" s="450"/>
      <c r="AF219" s="212"/>
      <c r="AG219" s="212"/>
      <c r="AH219" s="212"/>
      <c r="AI219" s="212"/>
      <c r="AJ219" s="212"/>
      <c r="AK219" s="212"/>
      <c r="AL219" s="212"/>
      <c r="AM219" s="212"/>
      <c r="AN219" s="212"/>
      <c r="AO219" s="212"/>
      <c r="AP219" s="212"/>
      <c r="AQ219" s="212"/>
      <c r="AR219" s="212"/>
      <c r="AS219" s="212"/>
      <c r="AT219" s="212"/>
      <c r="AU219" s="212"/>
      <c r="AV219" s="212"/>
      <c r="AW219" s="212"/>
      <c r="AX219" s="212"/>
      <c r="AY219" s="212"/>
      <c r="AZ219" s="452"/>
      <c r="BA219" s="212"/>
      <c r="BB219" s="212"/>
      <c r="BC219" s="212"/>
      <c r="BD219" s="212"/>
      <c r="BE219" s="455"/>
      <c r="BF219" s="452"/>
    </row>
    <row r="220">
      <c r="A220" s="212"/>
      <c r="B220" s="447"/>
      <c r="C220" s="212"/>
      <c r="D220" s="212"/>
      <c r="E220" s="212"/>
      <c r="F220" s="212"/>
      <c r="G220" s="212"/>
      <c r="H220" s="212"/>
      <c r="I220" s="212"/>
      <c r="J220" s="212"/>
      <c r="K220" s="212"/>
      <c r="L220" s="212"/>
      <c r="M220" s="212"/>
      <c r="N220" s="212"/>
      <c r="O220" s="212"/>
      <c r="P220" s="212"/>
      <c r="Q220" s="212"/>
      <c r="R220" s="451"/>
      <c r="S220" s="451"/>
      <c r="T220" s="212"/>
      <c r="U220" s="451"/>
      <c r="V220" s="451"/>
      <c r="W220" s="451"/>
      <c r="X220" s="451"/>
      <c r="Y220" s="212"/>
      <c r="Z220" s="212"/>
      <c r="AA220" s="212"/>
      <c r="AB220" s="212"/>
      <c r="AC220" s="212"/>
      <c r="AD220" s="212"/>
      <c r="AE220" s="450"/>
      <c r="AF220" s="212"/>
      <c r="AG220" s="212"/>
      <c r="AH220" s="212"/>
      <c r="AI220" s="212"/>
      <c r="AJ220" s="212"/>
      <c r="AK220" s="212"/>
      <c r="AL220" s="212"/>
      <c r="AM220" s="212"/>
      <c r="AN220" s="212"/>
      <c r="AO220" s="212"/>
      <c r="AP220" s="212"/>
      <c r="AQ220" s="212"/>
      <c r="AR220" s="212"/>
      <c r="AS220" s="212"/>
      <c r="AT220" s="212"/>
      <c r="AU220" s="212"/>
      <c r="AV220" s="212"/>
      <c r="AW220" s="212"/>
      <c r="AX220" s="212"/>
      <c r="AY220" s="212"/>
      <c r="AZ220" s="452"/>
      <c r="BA220" s="212"/>
      <c r="BB220" s="212"/>
      <c r="BC220" s="212"/>
      <c r="BD220" s="212"/>
      <c r="BE220" s="455"/>
      <c r="BF220" s="452"/>
    </row>
    <row r="221">
      <c r="A221" s="212"/>
      <c r="B221" s="447"/>
      <c r="C221" s="212"/>
      <c r="D221" s="212"/>
      <c r="E221" s="212"/>
      <c r="F221" s="212"/>
      <c r="G221" s="212"/>
      <c r="H221" s="212"/>
      <c r="I221" s="212"/>
      <c r="J221" s="212"/>
      <c r="K221" s="212"/>
      <c r="L221" s="212"/>
      <c r="M221" s="212"/>
      <c r="N221" s="212"/>
      <c r="O221" s="212"/>
      <c r="P221" s="212"/>
      <c r="Q221" s="212"/>
      <c r="R221" s="451"/>
      <c r="S221" s="451"/>
      <c r="T221" s="212"/>
      <c r="U221" s="451"/>
      <c r="V221" s="451"/>
      <c r="W221" s="451"/>
      <c r="X221" s="451"/>
      <c r="Y221" s="212"/>
      <c r="Z221" s="212"/>
      <c r="AA221" s="212"/>
      <c r="AB221" s="212"/>
      <c r="AC221" s="212"/>
      <c r="AD221" s="212"/>
      <c r="AE221" s="450"/>
      <c r="AF221" s="212"/>
      <c r="AG221" s="212"/>
      <c r="AH221" s="212"/>
      <c r="AI221" s="212"/>
      <c r="AJ221" s="212"/>
      <c r="AK221" s="212"/>
      <c r="AL221" s="212"/>
      <c r="AM221" s="212"/>
      <c r="AN221" s="212"/>
      <c r="AO221" s="212"/>
      <c r="AP221" s="212"/>
      <c r="AQ221" s="212"/>
      <c r="AR221" s="212"/>
      <c r="AS221" s="212"/>
      <c r="AT221" s="212"/>
      <c r="AU221" s="212"/>
      <c r="AV221" s="212"/>
      <c r="AW221" s="212"/>
      <c r="AX221" s="212"/>
      <c r="AY221" s="212"/>
      <c r="AZ221" s="452"/>
      <c r="BA221" s="212"/>
      <c r="BB221" s="212"/>
      <c r="BC221" s="212"/>
      <c r="BD221" s="212"/>
      <c r="BE221" s="455"/>
      <c r="BF221" s="452"/>
    </row>
    <row r="222">
      <c r="A222" s="212"/>
      <c r="B222" s="447"/>
      <c r="C222" s="212"/>
      <c r="D222" s="212"/>
      <c r="E222" s="212"/>
      <c r="F222" s="212"/>
      <c r="G222" s="212"/>
      <c r="H222" s="212"/>
      <c r="I222" s="212"/>
      <c r="J222" s="212"/>
      <c r="K222" s="212"/>
      <c r="L222" s="212"/>
      <c r="M222" s="212"/>
      <c r="N222" s="212"/>
      <c r="O222" s="212"/>
      <c r="P222" s="212"/>
      <c r="Q222" s="212"/>
      <c r="R222" s="451"/>
      <c r="S222" s="451"/>
      <c r="T222" s="212"/>
      <c r="U222" s="451"/>
      <c r="V222" s="451"/>
      <c r="W222" s="451"/>
      <c r="X222" s="451"/>
      <c r="Y222" s="212"/>
      <c r="Z222" s="212"/>
      <c r="AA222" s="212"/>
      <c r="AB222" s="212"/>
      <c r="AC222" s="212"/>
      <c r="AD222" s="212"/>
      <c r="AE222" s="450"/>
      <c r="AF222" s="212"/>
      <c r="AG222" s="212"/>
      <c r="AH222" s="212"/>
      <c r="AI222" s="212"/>
      <c r="AJ222" s="212"/>
      <c r="AK222" s="212"/>
      <c r="AL222" s="212"/>
      <c r="AM222" s="212"/>
      <c r="AN222" s="212"/>
      <c r="AO222" s="212"/>
      <c r="AP222" s="212"/>
      <c r="AQ222" s="212"/>
      <c r="AR222" s="212"/>
      <c r="AS222" s="212"/>
      <c r="AT222" s="212"/>
      <c r="AU222" s="212"/>
      <c r="AV222" s="212"/>
      <c r="AW222" s="212"/>
      <c r="AX222" s="212"/>
      <c r="AY222" s="212"/>
      <c r="AZ222" s="452"/>
      <c r="BA222" s="212"/>
      <c r="BB222" s="212"/>
      <c r="BC222" s="212"/>
      <c r="BD222" s="212"/>
      <c r="BE222" s="455"/>
      <c r="BF222" s="452"/>
    </row>
    <row r="223">
      <c r="A223" s="212"/>
      <c r="B223" s="447"/>
      <c r="C223" s="212"/>
      <c r="D223" s="212"/>
      <c r="E223" s="212"/>
      <c r="F223" s="212"/>
      <c r="G223" s="212"/>
      <c r="H223" s="212"/>
      <c r="I223" s="212"/>
      <c r="J223" s="212"/>
      <c r="K223" s="212"/>
      <c r="L223" s="212"/>
      <c r="M223" s="212"/>
      <c r="N223" s="212"/>
      <c r="O223" s="212"/>
      <c r="P223" s="212"/>
      <c r="Q223" s="212"/>
      <c r="R223" s="451"/>
      <c r="S223" s="451"/>
      <c r="T223" s="212"/>
      <c r="U223" s="451"/>
      <c r="V223" s="451"/>
      <c r="W223" s="451"/>
      <c r="X223" s="451"/>
      <c r="Y223" s="212"/>
      <c r="Z223" s="212"/>
      <c r="AA223" s="212"/>
      <c r="AB223" s="212"/>
      <c r="AC223" s="212"/>
      <c r="AD223" s="212"/>
      <c r="AE223" s="450"/>
      <c r="AF223" s="212"/>
      <c r="AG223" s="212"/>
      <c r="AH223" s="212"/>
      <c r="AI223" s="212"/>
      <c r="AJ223" s="212"/>
      <c r="AK223" s="212"/>
      <c r="AL223" s="212"/>
      <c r="AM223" s="212"/>
      <c r="AN223" s="212"/>
      <c r="AO223" s="212"/>
      <c r="AP223" s="212"/>
      <c r="AQ223" s="212"/>
      <c r="AR223" s="212"/>
      <c r="AS223" s="212"/>
      <c r="AT223" s="212"/>
      <c r="AU223" s="212"/>
      <c r="AV223" s="212"/>
      <c r="AW223" s="212"/>
      <c r="AX223" s="212"/>
      <c r="AY223" s="212"/>
      <c r="AZ223" s="452"/>
      <c r="BA223" s="212"/>
      <c r="BB223" s="212"/>
      <c r="BC223" s="212"/>
      <c r="BD223" s="212"/>
      <c r="BE223" s="455"/>
      <c r="BF223" s="452"/>
    </row>
    <row r="224">
      <c r="A224" s="212"/>
      <c r="B224" s="447"/>
      <c r="C224" s="212"/>
      <c r="D224" s="212"/>
      <c r="E224" s="212"/>
      <c r="F224" s="212"/>
      <c r="G224" s="212"/>
      <c r="H224" s="212"/>
      <c r="I224" s="212"/>
      <c r="J224" s="212"/>
      <c r="K224" s="212"/>
      <c r="L224" s="212"/>
      <c r="M224" s="212"/>
      <c r="N224" s="212"/>
      <c r="O224" s="212"/>
      <c r="P224" s="212"/>
      <c r="Q224" s="212"/>
      <c r="R224" s="451"/>
      <c r="S224" s="451"/>
      <c r="T224" s="212"/>
      <c r="U224" s="451"/>
      <c r="V224" s="451"/>
      <c r="W224" s="451"/>
      <c r="X224" s="451"/>
      <c r="Y224" s="212"/>
      <c r="Z224" s="212"/>
      <c r="AA224" s="212"/>
      <c r="AB224" s="212"/>
      <c r="AC224" s="212"/>
      <c r="AD224" s="212"/>
      <c r="AE224" s="450"/>
      <c r="AF224" s="212"/>
      <c r="AG224" s="212"/>
      <c r="AH224" s="212"/>
      <c r="AI224" s="212"/>
      <c r="AJ224" s="212"/>
      <c r="AK224" s="212"/>
      <c r="AL224" s="212"/>
      <c r="AM224" s="212"/>
      <c r="AN224" s="212"/>
      <c r="AO224" s="212"/>
      <c r="AP224" s="212"/>
      <c r="AQ224" s="212"/>
      <c r="AR224" s="212"/>
      <c r="AS224" s="212"/>
      <c r="AT224" s="212"/>
      <c r="AU224" s="212"/>
      <c r="AV224" s="212"/>
      <c r="AW224" s="212"/>
      <c r="AX224" s="212"/>
      <c r="AY224" s="212"/>
      <c r="AZ224" s="452"/>
      <c r="BA224" s="212"/>
      <c r="BB224" s="212"/>
      <c r="BC224" s="212"/>
      <c r="BD224" s="212"/>
      <c r="BE224" s="455"/>
      <c r="BF224" s="452"/>
    </row>
    <row r="225">
      <c r="A225" s="212"/>
      <c r="B225" s="447"/>
      <c r="C225" s="212"/>
      <c r="D225" s="212"/>
      <c r="E225" s="212"/>
      <c r="F225" s="212"/>
      <c r="G225" s="212"/>
      <c r="H225" s="212"/>
      <c r="I225" s="212"/>
      <c r="J225" s="212"/>
      <c r="K225" s="212"/>
      <c r="L225" s="212"/>
      <c r="M225" s="212"/>
      <c r="N225" s="212"/>
      <c r="O225" s="212"/>
      <c r="P225" s="212"/>
      <c r="Q225" s="212"/>
      <c r="R225" s="451"/>
      <c r="S225" s="451"/>
      <c r="T225" s="212"/>
      <c r="U225" s="451"/>
      <c r="V225" s="451"/>
      <c r="W225" s="451"/>
      <c r="X225" s="451"/>
      <c r="Y225" s="212"/>
      <c r="Z225" s="212"/>
      <c r="AA225" s="212"/>
      <c r="AB225" s="212"/>
      <c r="AC225" s="212"/>
      <c r="AD225" s="212"/>
      <c r="AE225" s="450"/>
      <c r="AF225" s="212"/>
      <c r="AG225" s="212"/>
      <c r="AH225" s="212"/>
      <c r="AI225" s="212"/>
      <c r="AJ225" s="212"/>
      <c r="AK225" s="212"/>
      <c r="AL225" s="212"/>
      <c r="AM225" s="212"/>
      <c r="AN225" s="212"/>
      <c r="AO225" s="212"/>
      <c r="AP225" s="212"/>
      <c r="AQ225" s="212"/>
      <c r="AR225" s="212"/>
      <c r="AS225" s="212"/>
      <c r="AT225" s="212"/>
      <c r="AU225" s="212"/>
      <c r="AV225" s="212"/>
      <c r="AW225" s="212"/>
      <c r="AX225" s="212"/>
      <c r="AY225" s="212"/>
      <c r="AZ225" s="452"/>
      <c r="BA225" s="212"/>
      <c r="BB225" s="212"/>
      <c r="BC225" s="212"/>
      <c r="BD225" s="212"/>
      <c r="BE225" s="455"/>
      <c r="BF225" s="452"/>
    </row>
    <row r="226">
      <c r="A226" s="212"/>
      <c r="B226" s="447"/>
      <c r="C226" s="212"/>
      <c r="D226" s="212"/>
      <c r="E226" s="212"/>
      <c r="F226" s="212"/>
      <c r="G226" s="212"/>
      <c r="H226" s="212"/>
      <c r="I226" s="212"/>
      <c r="J226" s="212"/>
      <c r="K226" s="212"/>
      <c r="L226" s="212"/>
      <c r="M226" s="212"/>
      <c r="N226" s="212"/>
      <c r="O226" s="212"/>
      <c r="P226" s="212"/>
      <c r="Q226" s="212"/>
      <c r="R226" s="451"/>
      <c r="S226" s="451"/>
      <c r="T226" s="212"/>
      <c r="U226" s="451"/>
      <c r="V226" s="451"/>
      <c r="W226" s="451"/>
      <c r="X226" s="451"/>
      <c r="Y226" s="212"/>
      <c r="Z226" s="212"/>
      <c r="AA226" s="212"/>
      <c r="AB226" s="212"/>
      <c r="AC226" s="212"/>
      <c r="AD226" s="212"/>
      <c r="AE226" s="450"/>
      <c r="AF226" s="212"/>
      <c r="AG226" s="212"/>
      <c r="AH226" s="212"/>
      <c r="AI226" s="212"/>
      <c r="AJ226" s="212"/>
      <c r="AK226" s="212"/>
      <c r="AL226" s="212"/>
      <c r="AM226" s="212"/>
      <c r="AN226" s="212"/>
      <c r="AO226" s="212"/>
      <c r="AP226" s="212"/>
      <c r="AQ226" s="212"/>
      <c r="AR226" s="212"/>
      <c r="AS226" s="212"/>
      <c r="AT226" s="212"/>
      <c r="AU226" s="212"/>
      <c r="AV226" s="212"/>
      <c r="AW226" s="212"/>
      <c r="AX226" s="212"/>
      <c r="AY226" s="212"/>
      <c r="AZ226" s="452"/>
      <c r="BA226" s="212"/>
      <c r="BB226" s="212"/>
      <c r="BC226" s="212"/>
      <c r="BD226" s="212"/>
      <c r="BE226" s="455"/>
      <c r="BF226" s="452"/>
    </row>
    <row r="227">
      <c r="A227" s="212"/>
      <c r="B227" s="447"/>
      <c r="C227" s="212"/>
      <c r="D227" s="212"/>
      <c r="E227" s="212"/>
      <c r="F227" s="212"/>
      <c r="G227" s="212"/>
      <c r="H227" s="212"/>
      <c r="I227" s="212"/>
      <c r="J227" s="212"/>
      <c r="K227" s="212"/>
      <c r="L227" s="212"/>
      <c r="M227" s="212"/>
      <c r="N227" s="212"/>
      <c r="O227" s="212"/>
      <c r="P227" s="212"/>
      <c r="Q227" s="212"/>
      <c r="R227" s="451"/>
      <c r="S227" s="451"/>
      <c r="T227" s="212"/>
      <c r="U227" s="451"/>
      <c r="V227" s="451"/>
      <c r="W227" s="451"/>
      <c r="X227" s="451"/>
      <c r="Y227" s="212"/>
      <c r="Z227" s="212"/>
      <c r="AA227" s="212"/>
      <c r="AB227" s="212"/>
      <c r="AC227" s="212"/>
      <c r="AD227" s="212"/>
      <c r="AE227" s="450"/>
      <c r="AF227" s="212"/>
      <c r="AG227" s="212"/>
      <c r="AH227" s="212"/>
      <c r="AI227" s="212"/>
      <c r="AJ227" s="212"/>
      <c r="AK227" s="212"/>
      <c r="AL227" s="212"/>
      <c r="AM227" s="212"/>
      <c r="AN227" s="212"/>
      <c r="AO227" s="212"/>
      <c r="AP227" s="212"/>
      <c r="AQ227" s="212"/>
      <c r="AR227" s="212"/>
      <c r="AS227" s="212"/>
      <c r="AT227" s="212"/>
      <c r="AU227" s="212"/>
      <c r="AV227" s="212"/>
      <c r="AW227" s="212"/>
      <c r="AX227" s="212"/>
      <c r="AY227" s="212"/>
      <c r="AZ227" s="452"/>
      <c r="BA227" s="212"/>
      <c r="BB227" s="212"/>
      <c r="BC227" s="212"/>
      <c r="BD227" s="212"/>
      <c r="BE227" s="455"/>
      <c r="BF227" s="452"/>
    </row>
    <row r="228">
      <c r="A228" s="212"/>
      <c r="B228" s="447"/>
      <c r="C228" s="212"/>
      <c r="D228" s="212"/>
      <c r="E228" s="212"/>
      <c r="F228" s="212"/>
      <c r="G228" s="212"/>
      <c r="H228" s="212"/>
      <c r="I228" s="212"/>
      <c r="J228" s="212"/>
      <c r="K228" s="212"/>
      <c r="L228" s="212"/>
      <c r="M228" s="212"/>
      <c r="N228" s="212"/>
      <c r="O228" s="212"/>
      <c r="P228" s="212"/>
      <c r="Q228" s="212"/>
      <c r="R228" s="451"/>
      <c r="S228" s="451"/>
      <c r="T228" s="212"/>
      <c r="U228" s="451"/>
      <c r="V228" s="451"/>
      <c r="W228" s="451"/>
      <c r="X228" s="451"/>
      <c r="Y228" s="212"/>
      <c r="Z228" s="212"/>
      <c r="AA228" s="212"/>
      <c r="AB228" s="212"/>
      <c r="AC228" s="212"/>
      <c r="AD228" s="212"/>
      <c r="AE228" s="450"/>
      <c r="AF228" s="212"/>
      <c r="AG228" s="212"/>
      <c r="AH228" s="212"/>
      <c r="AI228" s="212"/>
      <c r="AJ228" s="212"/>
      <c r="AK228" s="212"/>
      <c r="AL228" s="212"/>
      <c r="AM228" s="212"/>
      <c r="AN228" s="212"/>
      <c r="AO228" s="212"/>
      <c r="AP228" s="212"/>
      <c r="AQ228" s="212"/>
      <c r="AR228" s="212"/>
      <c r="AS228" s="212"/>
      <c r="AT228" s="212"/>
      <c r="AU228" s="212"/>
      <c r="AV228" s="212"/>
      <c r="AW228" s="212"/>
      <c r="AX228" s="212"/>
      <c r="AY228" s="212"/>
      <c r="AZ228" s="452"/>
      <c r="BA228" s="212"/>
      <c r="BB228" s="212"/>
      <c r="BC228" s="212"/>
      <c r="BD228" s="212"/>
      <c r="BE228" s="455"/>
      <c r="BF228" s="452"/>
    </row>
    <row r="229">
      <c r="A229" s="212"/>
      <c r="B229" s="447"/>
      <c r="C229" s="212"/>
      <c r="D229" s="212"/>
      <c r="E229" s="212"/>
      <c r="F229" s="212"/>
      <c r="G229" s="212"/>
      <c r="H229" s="212"/>
      <c r="I229" s="212"/>
      <c r="J229" s="212"/>
      <c r="K229" s="212"/>
      <c r="L229" s="212"/>
      <c r="M229" s="212"/>
      <c r="N229" s="212"/>
      <c r="O229" s="212"/>
      <c r="P229" s="212"/>
      <c r="Q229" s="212"/>
      <c r="R229" s="451"/>
      <c r="S229" s="451"/>
      <c r="T229" s="212"/>
      <c r="U229" s="451"/>
      <c r="V229" s="451"/>
      <c r="W229" s="451"/>
      <c r="X229" s="451"/>
      <c r="Y229" s="212"/>
      <c r="Z229" s="212"/>
      <c r="AA229" s="212"/>
      <c r="AB229" s="212"/>
      <c r="AC229" s="212"/>
      <c r="AD229" s="212"/>
      <c r="AE229" s="450"/>
      <c r="AF229" s="212"/>
      <c r="AG229" s="212"/>
      <c r="AH229" s="212"/>
      <c r="AI229" s="212"/>
      <c r="AJ229" s="212"/>
      <c r="AK229" s="212"/>
      <c r="AL229" s="212"/>
      <c r="AM229" s="212"/>
      <c r="AN229" s="212"/>
      <c r="AO229" s="212"/>
      <c r="AP229" s="212"/>
      <c r="AQ229" s="212"/>
      <c r="AR229" s="212"/>
      <c r="AS229" s="212"/>
      <c r="AT229" s="212"/>
      <c r="AU229" s="212"/>
      <c r="AV229" s="212"/>
      <c r="AW229" s="212"/>
      <c r="AX229" s="212"/>
      <c r="AY229" s="212"/>
      <c r="AZ229" s="452"/>
      <c r="BA229" s="212"/>
      <c r="BB229" s="212"/>
      <c r="BC229" s="212"/>
      <c r="BD229" s="212"/>
      <c r="BE229" s="455"/>
      <c r="BF229" s="452"/>
    </row>
    <row r="230">
      <c r="A230" s="212"/>
      <c r="B230" s="447"/>
      <c r="C230" s="212"/>
      <c r="D230" s="212"/>
      <c r="E230" s="212"/>
      <c r="F230" s="212"/>
      <c r="G230" s="212"/>
      <c r="H230" s="212"/>
      <c r="I230" s="212"/>
      <c r="J230" s="212"/>
      <c r="K230" s="212"/>
      <c r="L230" s="212"/>
      <c r="M230" s="212"/>
      <c r="N230" s="212"/>
      <c r="O230" s="212"/>
      <c r="P230" s="212"/>
      <c r="Q230" s="212"/>
      <c r="R230" s="451"/>
      <c r="S230" s="451"/>
      <c r="T230" s="212"/>
      <c r="U230" s="451"/>
      <c r="V230" s="451"/>
      <c r="W230" s="451"/>
      <c r="X230" s="451"/>
      <c r="Y230" s="212"/>
      <c r="Z230" s="212"/>
      <c r="AA230" s="212"/>
      <c r="AB230" s="212"/>
      <c r="AC230" s="212"/>
      <c r="AD230" s="212"/>
      <c r="AE230" s="450"/>
      <c r="AF230" s="212"/>
      <c r="AG230" s="212"/>
      <c r="AH230" s="212"/>
      <c r="AI230" s="212"/>
      <c r="AJ230" s="212"/>
      <c r="AK230" s="212"/>
      <c r="AL230" s="212"/>
      <c r="AM230" s="212"/>
      <c r="AN230" s="212"/>
      <c r="AO230" s="212"/>
      <c r="AP230" s="212"/>
      <c r="AQ230" s="212"/>
      <c r="AR230" s="212"/>
      <c r="AS230" s="212"/>
      <c r="AT230" s="212"/>
      <c r="AU230" s="212"/>
      <c r="AV230" s="212"/>
      <c r="AW230" s="212"/>
      <c r="AX230" s="212"/>
      <c r="AY230" s="212"/>
      <c r="AZ230" s="452"/>
      <c r="BA230" s="212"/>
      <c r="BB230" s="212"/>
      <c r="BC230" s="212"/>
      <c r="BD230" s="212"/>
      <c r="BE230" s="455"/>
      <c r="BF230" s="452"/>
    </row>
    <row r="231">
      <c r="A231" s="212"/>
      <c r="B231" s="447"/>
      <c r="C231" s="212"/>
      <c r="D231" s="212"/>
      <c r="E231" s="212"/>
      <c r="F231" s="212"/>
      <c r="G231" s="212"/>
      <c r="H231" s="212"/>
      <c r="I231" s="212"/>
      <c r="J231" s="212"/>
      <c r="K231" s="212"/>
      <c r="L231" s="212"/>
      <c r="M231" s="212"/>
      <c r="N231" s="212"/>
      <c r="O231" s="212"/>
      <c r="P231" s="212"/>
      <c r="Q231" s="212"/>
      <c r="R231" s="451"/>
      <c r="S231" s="451"/>
      <c r="T231" s="212"/>
      <c r="U231" s="451"/>
      <c r="V231" s="451"/>
      <c r="W231" s="451"/>
      <c r="X231" s="451"/>
      <c r="Y231" s="212"/>
      <c r="Z231" s="212"/>
      <c r="AA231" s="212"/>
      <c r="AB231" s="212"/>
      <c r="AC231" s="212"/>
      <c r="AD231" s="212"/>
      <c r="AE231" s="450"/>
      <c r="AF231" s="212"/>
      <c r="AG231" s="212"/>
      <c r="AH231" s="212"/>
      <c r="AI231" s="212"/>
      <c r="AJ231" s="212"/>
      <c r="AK231" s="212"/>
      <c r="AL231" s="212"/>
      <c r="AM231" s="212"/>
      <c r="AN231" s="212"/>
      <c r="AO231" s="212"/>
      <c r="AP231" s="212"/>
      <c r="AQ231" s="212"/>
      <c r="AR231" s="212"/>
      <c r="AS231" s="212"/>
      <c r="AT231" s="212"/>
      <c r="AU231" s="212"/>
      <c r="AV231" s="212"/>
      <c r="AW231" s="212"/>
      <c r="AX231" s="212"/>
      <c r="AY231" s="212"/>
      <c r="AZ231" s="452"/>
      <c r="BA231" s="212"/>
      <c r="BB231" s="212"/>
      <c r="BC231" s="212"/>
      <c r="BD231" s="212"/>
      <c r="BE231" s="455"/>
      <c r="BF231" s="452"/>
    </row>
    <row r="232">
      <c r="A232" s="212"/>
      <c r="B232" s="447"/>
      <c r="C232" s="212"/>
      <c r="D232" s="212"/>
      <c r="E232" s="212"/>
      <c r="F232" s="212"/>
      <c r="G232" s="212"/>
      <c r="H232" s="212"/>
      <c r="I232" s="212"/>
      <c r="J232" s="212"/>
      <c r="K232" s="212"/>
      <c r="L232" s="212"/>
      <c r="M232" s="212"/>
      <c r="N232" s="212"/>
      <c r="O232" s="212"/>
      <c r="P232" s="212"/>
      <c r="Q232" s="212"/>
      <c r="R232" s="451"/>
      <c r="S232" s="451"/>
      <c r="T232" s="212"/>
      <c r="U232" s="451"/>
      <c r="V232" s="451"/>
      <c r="W232" s="451"/>
      <c r="X232" s="451"/>
      <c r="Y232" s="212"/>
      <c r="Z232" s="212"/>
      <c r="AA232" s="212"/>
      <c r="AB232" s="212"/>
      <c r="AC232" s="212"/>
      <c r="AD232" s="212"/>
      <c r="AE232" s="450"/>
      <c r="AF232" s="212"/>
      <c r="AG232" s="212"/>
      <c r="AH232" s="212"/>
      <c r="AI232" s="212"/>
      <c r="AJ232" s="212"/>
      <c r="AK232" s="212"/>
      <c r="AL232" s="212"/>
      <c r="AM232" s="212"/>
      <c r="AN232" s="212"/>
      <c r="AO232" s="212"/>
      <c r="AP232" s="212"/>
      <c r="AQ232" s="212"/>
      <c r="AR232" s="212"/>
      <c r="AS232" s="212"/>
      <c r="AT232" s="212"/>
      <c r="AU232" s="212"/>
      <c r="AV232" s="212"/>
      <c r="AW232" s="212"/>
      <c r="AX232" s="212"/>
      <c r="AY232" s="212"/>
      <c r="AZ232" s="452"/>
      <c r="BA232" s="212"/>
      <c r="BB232" s="212"/>
      <c r="BC232" s="212"/>
      <c r="BD232" s="212"/>
      <c r="BE232" s="455"/>
      <c r="BF232" s="452"/>
    </row>
    <row r="233">
      <c r="A233" s="212"/>
      <c r="B233" s="447"/>
      <c r="C233" s="212"/>
      <c r="D233" s="212"/>
      <c r="E233" s="212"/>
      <c r="F233" s="212"/>
      <c r="G233" s="212"/>
      <c r="H233" s="212"/>
      <c r="I233" s="212"/>
      <c r="J233" s="212"/>
      <c r="K233" s="212"/>
      <c r="L233" s="212"/>
      <c r="M233" s="212"/>
      <c r="N233" s="212"/>
      <c r="O233" s="212"/>
      <c r="P233" s="212"/>
      <c r="Q233" s="212"/>
      <c r="R233" s="451"/>
      <c r="S233" s="451"/>
      <c r="T233" s="212"/>
      <c r="U233" s="451"/>
      <c r="V233" s="451"/>
      <c r="W233" s="451"/>
      <c r="X233" s="451"/>
      <c r="Y233" s="212"/>
      <c r="Z233" s="212"/>
      <c r="AA233" s="212"/>
      <c r="AB233" s="212"/>
      <c r="AC233" s="212"/>
      <c r="AD233" s="212"/>
      <c r="AE233" s="450"/>
      <c r="AF233" s="212"/>
      <c r="AG233" s="212"/>
      <c r="AH233" s="212"/>
      <c r="AI233" s="212"/>
      <c r="AJ233" s="212"/>
      <c r="AK233" s="212"/>
      <c r="AL233" s="212"/>
      <c r="AM233" s="212"/>
      <c r="AN233" s="212"/>
      <c r="AO233" s="212"/>
      <c r="AP233" s="212"/>
      <c r="AQ233" s="212"/>
      <c r="AR233" s="212"/>
      <c r="AS233" s="212"/>
      <c r="AT233" s="212"/>
      <c r="AU233" s="212"/>
      <c r="AV233" s="212"/>
      <c r="AW233" s="212"/>
      <c r="AX233" s="212"/>
      <c r="AY233" s="212"/>
      <c r="AZ233" s="452"/>
      <c r="BA233" s="212"/>
      <c r="BB233" s="212"/>
      <c r="BC233" s="212"/>
      <c r="BD233" s="212"/>
      <c r="BE233" s="455"/>
      <c r="BF233" s="452"/>
    </row>
    <row r="234">
      <c r="A234" s="212"/>
      <c r="B234" s="447"/>
      <c r="C234" s="212"/>
      <c r="D234" s="212"/>
      <c r="E234" s="212"/>
      <c r="F234" s="212"/>
      <c r="G234" s="212"/>
      <c r="H234" s="212"/>
      <c r="I234" s="212"/>
      <c r="J234" s="212"/>
      <c r="K234" s="212"/>
      <c r="L234" s="212"/>
      <c r="M234" s="212"/>
      <c r="N234" s="212"/>
      <c r="O234" s="212"/>
      <c r="P234" s="212"/>
      <c r="Q234" s="212"/>
      <c r="R234" s="451"/>
      <c r="S234" s="451"/>
      <c r="T234" s="212"/>
      <c r="U234" s="451"/>
      <c r="V234" s="451"/>
      <c r="W234" s="451"/>
      <c r="X234" s="451"/>
      <c r="Y234" s="212"/>
      <c r="Z234" s="212"/>
      <c r="AA234" s="212"/>
      <c r="AB234" s="212"/>
      <c r="AC234" s="212"/>
      <c r="AD234" s="212"/>
      <c r="AE234" s="450"/>
      <c r="AF234" s="212"/>
      <c r="AG234" s="212"/>
      <c r="AH234" s="212"/>
      <c r="AI234" s="212"/>
      <c r="AJ234" s="212"/>
      <c r="AK234" s="212"/>
      <c r="AL234" s="212"/>
      <c r="AM234" s="212"/>
      <c r="AN234" s="212"/>
      <c r="AO234" s="212"/>
      <c r="AP234" s="212"/>
      <c r="AQ234" s="212"/>
      <c r="AR234" s="212"/>
      <c r="AS234" s="212"/>
      <c r="AT234" s="212"/>
      <c r="AU234" s="212"/>
      <c r="AV234" s="212"/>
      <c r="AW234" s="212"/>
      <c r="AX234" s="212"/>
      <c r="AY234" s="212"/>
      <c r="AZ234" s="452"/>
      <c r="BA234" s="212"/>
      <c r="BB234" s="212"/>
      <c r="BC234" s="212"/>
      <c r="BD234" s="212"/>
      <c r="BE234" s="455"/>
      <c r="BF234" s="452"/>
    </row>
    <row r="235">
      <c r="A235" s="212"/>
      <c r="B235" s="447"/>
      <c r="C235" s="212"/>
      <c r="D235" s="212"/>
      <c r="E235" s="212"/>
      <c r="F235" s="212"/>
      <c r="G235" s="212"/>
      <c r="H235" s="212"/>
      <c r="I235" s="212"/>
      <c r="J235" s="212"/>
      <c r="K235" s="212"/>
      <c r="L235" s="212"/>
      <c r="M235" s="212"/>
      <c r="N235" s="212"/>
      <c r="O235" s="212"/>
      <c r="P235" s="212"/>
      <c r="Q235" s="212"/>
      <c r="R235" s="451"/>
      <c r="S235" s="451"/>
      <c r="T235" s="212"/>
      <c r="U235" s="451"/>
      <c r="V235" s="451"/>
      <c r="W235" s="451"/>
      <c r="X235" s="451"/>
      <c r="Y235" s="212"/>
      <c r="Z235" s="212"/>
      <c r="AA235" s="212"/>
      <c r="AB235" s="212"/>
      <c r="AC235" s="212"/>
      <c r="AD235" s="212"/>
      <c r="AE235" s="450"/>
      <c r="AF235" s="212"/>
      <c r="AG235" s="212"/>
      <c r="AH235" s="212"/>
      <c r="AI235" s="212"/>
      <c r="AJ235" s="212"/>
      <c r="AK235" s="212"/>
      <c r="AL235" s="212"/>
      <c r="AM235" s="212"/>
      <c r="AN235" s="212"/>
      <c r="AO235" s="212"/>
      <c r="AP235" s="212"/>
      <c r="AQ235" s="212"/>
      <c r="AR235" s="212"/>
      <c r="AS235" s="212"/>
      <c r="AT235" s="212"/>
      <c r="AU235" s="212"/>
      <c r="AV235" s="212"/>
      <c r="AW235" s="212"/>
      <c r="AX235" s="212"/>
      <c r="AY235" s="212"/>
      <c r="AZ235" s="452"/>
      <c r="BA235" s="212"/>
      <c r="BB235" s="212"/>
      <c r="BC235" s="212"/>
      <c r="BD235" s="212"/>
      <c r="BE235" s="455"/>
      <c r="BF235" s="452"/>
    </row>
    <row r="236">
      <c r="A236" s="212"/>
      <c r="B236" s="447"/>
      <c r="C236" s="212"/>
      <c r="D236" s="212"/>
      <c r="E236" s="212"/>
      <c r="F236" s="212"/>
      <c r="G236" s="212"/>
      <c r="H236" s="212"/>
      <c r="I236" s="212"/>
      <c r="J236" s="212"/>
      <c r="K236" s="212"/>
      <c r="L236" s="212"/>
      <c r="M236" s="212"/>
      <c r="N236" s="212"/>
      <c r="O236" s="212"/>
      <c r="P236" s="212"/>
      <c r="Q236" s="212"/>
      <c r="R236" s="451"/>
      <c r="S236" s="451"/>
      <c r="T236" s="212"/>
      <c r="U236" s="451"/>
      <c r="V236" s="451"/>
      <c r="W236" s="451"/>
      <c r="X236" s="451"/>
      <c r="Y236" s="212"/>
      <c r="Z236" s="212"/>
      <c r="AA236" s="212"/>
      <c r="AB236" s="212"/>
      <c r="AC236" s="212"/>
      <c r="AD236" s="212"/>
      <c r="AE236" s="450"/>
      <c r="AF236" s="212"/>
      <c r="AG236" s="212"/>
      <c r="AH236" s="212"/>
      <c r="AI236" s="212"/>
      <c r="AJ236" s="212"/>
      <c r="AK236" s="212"/>
      <c r="AL236" s="212"/>
      <c r="AM236" s="212"/>
      <c r="AN236" s="212"/>
      <c r="AO236" s="212"/>
      <c r="AP236" s="212"/>
      <c r="AQ236" s="212"/>
      <c r="AR236" s="212"/>
      <c r="AS236" s="212"/>
      <c r="AT236" s="212"/>
      <c r="AU236" s="212"/>
      <c r="AV236" s="212"/>
      <c r="AW236" s="212"/>
      <c r="AX236" s="212"/>
      <c r="AY236" s="212"/>
      <c r="AZ236" s="452"/>
      <c r="BA236" s="212"/>
      <c r="BB236" s="212"/>
      <c r="BC236" s="212"/>
      <c r="BD236" s="212"/>
      <c r="BE236" s="455"/>
      <c r="BF236" s="452"/>
    </row>
    <row r="237">
      <c r="A237" s="212"/>
      <c r="B237" s="447"/>
      <c r="C237" s="212"/>
      <c r="D237" s="212"/>
      <c r="E237" s="212"/>
      <c r="F237" s="212"/>
      <c r="G237" s="212"/>
      <c r="H237" s="212"/>
      <c r="I237" s="212"/>
      <c r="J237" s="212"/>
      <c r="K237" s="212"/>
      <c r="L237" s="212"/>
      <c r="M237" s="212"/>
      <c r="N237" s="212"/>
      <c r="O237" s="212"/>
      <c r="P237" s="212"/>
      <c r="Q237" s="212"/>
      <c r="R237" s="451"/>
      <c r="S237" s="451"/>
      <c r="T237" s="212"/>
      <c r="U237" s="451"/>
      <c r="V237" s="451"/>
      <c r="W237" s="451"/>
      <c r="X237" s="451"/>
      <c r="Y237" s="212"/>
      <c r="Z237" s="212"/>
      <c r="AA237" s="212"/>
      <c r="AB237" s="212"/>
      <c r="AC237" s="212"/>
      <c r="AD237" s="212"/>
      <c r="AE237" s="450"/>
      <c r="AF237" s="212"/>
      <c r="AG237" s="212"/>
      <c r="AH237" s="212"/>
      <c r="AI237" s="212"/>
      <c r="AJ237" s="212"/>
      <c r="AK237" s="212"/>
      <c r="AL237" s="212"/>
      <c r="AM237" s="212"/>
      <c r="AN237" s="212"/>
      <c r="AO237" s="212"/>
      <c r="AP237" s="212"/>
      <c r="AQ237" s="212"/>
      <c r="AR237" s="212"/>
      <c r="AS237" s="212"/>
      <c r="AT237" s="212"/>
      <c r="AU237" s="212"/>
      <c r="AV237" s="212"/>
      <c r="AW237" s="212"/>
      <c r="AX237" s="212"/>
      <c r="AY237" s="212"/>
      <c r="AZ237" s="452"/>
      <c r="BA237" s="212"/>
      <c r="BB237" s="212"/>
      <c r="BC237" s="212"/>
      <c r="BD237" s="212"/>
      <c r="BE237" s="455"/>
      <c r="BF237" s="452"/>
    </row>
    <row r="238">
      <c r="A238" s="212"/>
      <c r="B238" s="447"/>
      <c r="C238" s="212"/>
      <c r="D238" s="212"/>
      <c r="E238" s="212"/>
      <c r="F238" s="212"/>
      <c r="G238" s="212"/>
      <c r="H238" s="212"/>
      <c r="I238" s="212"/>
      <c r="J238" s="212"/>
      <c r="K238" s="212"/>
      <c r="L238" s="212"/>
      <c r="M238" s="212"/>
      <c r="N238" s="212"/>
      <c r="O238" s="212"/>
      <c r="P238" s="212"/>
      <c r="Q238" s="212"/>
      <c r="R238" s="451"/>
      <c r="S238" s="451"/>
      <c r="T238" s="212"/>
      <c r="U238" s="451"/>
      <c r="V238" s="451"/>
      <c r="W238" s="451"/>
      <c r="X238" s="451"/>
      <c r="Y238" s="212"/>
      <c r="Z238" s="212"/>
      <c r="AA238" s="212"/>
      <c r="AB238" s="212"/>
      <c r="AC238" s="212"/>
      <c r="AD238" s="212"/>
      <c r="AE238" s="450"/>
      <c r="AF238" s="212"/>
      <c r="AG238" s="212"/>
      <c r="AH238" s="212"/>
      <c r="AI238" s="212"/>
      <c r="AJ238" s="212"/>
      <c r="AK238" s="212"/>
      <c r="AL238" s="212"/>
      <c r="AM238" s="212"/>
      <c r="AN238" s="212"/>
      <c r="AO238" s="212"/>
      <c r="AP238" s="212"/>
      <c r="AQ238" s="212"/>
      <c r="AR238" s="212"/>
      <c r="AS238" s="212"/>
      <c r="AT238" s="212"/>
      <c r="AU238" s="212"/>
      <c r="AV238" s="212"/>
      <c r="AW238" s="212"/>
      <c r="AX238" s="212"/>
      <c r="AY238" s="212"/>
      <c r="AZ238" s="452"/>
      <c r="BA238" s="212"/>
      <c r="BB238" s="212"/>
      <c r="BC238" s="212"/>
      <c r="BD238" s="212"/>
      <c r="BE238" s="455"/>
      <c r="BF238" s="452"/>
    </row>
    <row r="239">
      <c r="A239" s="212"/>
      <c r="B239" s="447"/>
      <c r="C239" s="212"/>
      <c r="D239" s="212"/>
      <c r="E239" s="212"/>
      <c r="F239" s="212"/>
      <c r="G239" s="212"/>
      <c r="H239" s="212"/>
      <c r="I239" s="212"/>
      <c r="J239" s="212"/>
      <c r="K239" s="212"/>
      <c r="L239" s="212"/>
      <c r="M239" s="212"/>
      <c r="N239" s="212"/>
      <c r="O239" s="212"/>
      <c r="P239" s="212"/>
      <c r="Q239" s="212"/>
      <c r="R239" s="451"/>
      <c r="S239" s="451"/>
      <c r="T239" s="212"/>
      <c r="U239" s="451"/>
      <c r="V239" s="451"/>
      <c r="W239" s="451"/>
      <c r="X239" s="451"/>
      <c r="Y239" s="212"/>
      <c r="Z239" s="212"/>
      <c r="AA239" s="212"/>
      <c r="AB239" s="212"/>
      <c r="AC239" s="212"/>
      <c r="AD239" s="212"/>
      <c r="AE239" s="450"/>
      <c r="AF239" s="212"/>
      <c r="AG239" s="212"/>
      <c r="AH239" s="212"/>
      <c r="AI239" s="212"/>
      <c r="AJ239" s="212"/>
      <c r="AK239" s="212"/>
      <c r="AL239" s="212"/>
      <c r="AM239" s="212"/>
      <c r="AN239" s="212"/>
      <c r="AO239" s="212"/>
      <c r="AP239" s="212"/>
      <c r="AQ239" s="212"/>
      <c r="AR239" s="212"/>
      <c r="AS239" s="212"/>
      <c r="AT239" s="212"/>
      <c r="AU239" s="212"/>
      <c r="AV239" s="212"/>
      <c r="AW239" s="212"/>
      <c r="AX239" s="212"/>
      <c r="AY239" s="212"/>
      <c r="AZ239" s="452"/>
      <c r="BA239" s="212"/>
      <c r="BB239" s="212"/>
      <c r="BC239" s="212"/>
      <c r="BD239" s="212"/>
      <c r="BE239" s="455"/>
      <c r="BF239" s="452"/>
    </row>
    <row r="240">
      <c r="A240" s="212"/>
      <c r="B240" s="447"/>
      <c r="C240" s="212"/>
      <c r="D240" s="212"/>
      <c r="E240" s="212"/>
      <c r="F240" s="212"/>
      <c r="G240" s="212"/>
      <c r="H240" s="212"/>
      <c r="I240" s="212"/>
      <c r="J240" s="212"/>
      <c r="K240" s="212"/>
      <c r="L240" s="212"/>
      <c r="M240" s="212"/>
      <c r="N240" s="212"/>
      <c r="O240" s="212"/>
      <c r="P240" s="212"/>
      <c r="Q240" s="212"/>
      <c r="R240" s="451"/>
      <c r="S240" s="451"/>
      <c r="T240" s="212"/>
      <c r="U240" s="451"/>
      <c r="V240" s="451"/>
      <c r="W240" s="451"/>
      <c r="X240" s="451"/>
      <c r="Y240" s="212"/>
      <c r="Z240" s="212"/>
      <c r="AA240" s="212"/>
      <c r="AB240" s="212"/>
      <c r="AC240" s="212"/>
      <c r="AD240" s="212"/>
      <c r="AE240" s="450"/>
      <c r="AF240" s="212"/>
      <c r="AG240" s="212"/>
      <c r="AH240" s="212"/>
      <c r="AI240" s="212"/>
      <c r="AJ240" s="212"/>
      <c r="AK240" s="212"/>
      <c r="AL240" s="212"/>
      <c r="AM240" s="212"/>
      <c r="AN240" s="212"/>
      <c r="AO240" s="212"/>
      <c r="AP240" s="212"/>
      <c r="AQ240" s="212"/>
      <c r="AR240" s="212"/>
      <c r="AS240" s="212"/>
      <c r="AT240" s="212"/>
      <c r="AU240" s="212"/>
      <c r="AV240" s="212"/>
      <c r="AW240" s="212"/>
      <c r="AX240" s="212"/>
      <c r="AY240" s="212"/>
      <c r="AZ240" s="452"/>
      <c r="BA240" s="212"/>
      <c r="BB240" s="212"/>
      <c r="BC240" s="212"/>
      <c r="BD240" s="212"/>
      <c r="BE240" s="455"/>
      <c r="BF240" s="452"/>
    </row>
    <row r="241">
      <c r="A241" s="212"/>
      <c r="B241" s="447"/>
      <c r="C241" s="212"/>
      <c r="D241" s="212"/>
      <c r="E241" s="212"/>
      <c r="F241" s="212"/>
      <c r="G241" s="212"/>
      <c r="H241" s="212"/>
      <c r="I241" s="212"/>
      <c r="J241" s="212"/>
      <c r="K241" s="212"/>
      <c r="L241" s="212"/>
      <c r="M241" s="212"/>
      <c r="N241" s="212"/>
      <c r="O241" s="212"/>
      <c r="P241" s="212"/>
      <c r="Q241" s="212"/>
      <c r="R241" s="451"/>
      <c r="S241" s="451"/>
      <c r="T241" s="212"/>
      <c r="U241" s="451"/>
      <c r="V241" s="451"/>
      <c r="W241" s="451"/>
      <c r="X241" s="451"/>
      <c r="Y241" s="212"/>
      <c r="Z241" s="212"/>
      <c r="AA241" s="212"/>
      <c r="AB241" s="212"/>
      <c r="AC241" s="212"/>
      <c r="AD241" s="212"/>
      <c r="AE241" s="450"/>
      <c r="AF241" s="212"/>
      <c r="AG241" s="212"/>
      <c r="AH241" s="212"/>
      <c r="AI241" s="212"/>
      <c r="AJ241" s="212"/>
      <c r="AK241" s="212"/>
      <c r="AL241" s="212"/>
      <c r="AM241" s="212"/>
      <c r="AN241" s="212"/>
      <c r="AO241" s="212"/>
      <c r="AP241" s="212"/>
      <c r="AQ241" s="212"/>
      <c r="AR241" s="212"/>
      <c r="AS241" s="212"/>
      <c r="AT241" s="212"/>
      <c r="AU241" s="212"/>
      <c r="AV241" s="212"/>
      <c r="AW241" s="212"/>
      <c r="AX241" s="212"/>
      <c r="AY241" s="212"/>
      <c r="AZ241" s="452"/>
      <c r="BA241" s="212"/>
      <c r="BB241" s="212"/>
      <c r="BC241" s="212"/>
      <c r="BD241" s="212"/>
      <c r="BE241" s="455"/>
      <c r="BF241" s="452"/>
    </row>
    <row r="242">
      <c r="A242" s="212"/>
      <c r="B242" s="447"/>
      <c r="C242" s="212"/>
      <c r="D242" s="212"/>
      <c r="E242" s="212"/>
      <c r="F242" s="212"/>
      <c r="G242" s="212"/>
      <c r="H242" s="212"/>
      <c r="I242" s="212"/>
      <c r="J242" s="212"/>
      <c r="K242" s="212"/>
      <c r="L242" s="212"/>
      <c r="M242" s="212"/>
      <c r="N242" s="212"/>
      <c r="O242" s="212"/>
      <c r="P242" s="212"/>
      <c r="Q242" s="212"/>
      <c r="R242" s="451"/>
      <c r="S242" s="451"/>
      <c r="T242" s="212"/>
      <c r="U242" s="451"/>
      <c r="V242" s="451"/>
      <c r="W242" s="451"/>
      <c r="X242" s="451"/>
      <c r="Y242" s="212"/>
      <c r="Z242" s="212"/>
      <c r="AA242" s="212"/>
      <c r="AB242" s="212"/>
      <c r="AC242" s="212"/>
      <c r="AD242" s="212"/>
      <c r="AE242" s="450"/>
      <c r="AF242" s="212"/>
      <c r="AG242" s="212"/>
      <c r="AH242" s="212"/>
      <c r="AI242" s="212"/>
      <c r="AJ242" s="212"/>
      <c r="AK242" s="212"/>
      <c r="AL242" s="212"/>
      <c r="AM242" s="212"/>
      <c r="AN242" s="212"/>
      <c r="AO242" s="212"/>
      <c r="AP242" s="212"/>
      <c r="AQ242" s="212"/>
      <c r="AR242" s="212"/>
      <c r="AS242" s="212"/>
      <c r="AT242" s="212"/>
      <c r="AU242" s="212"/>
      <c r="AV242" s="212"/>
      <c r="AW242" s="212"/>
      <c r="AX242" s="212"/>
      <c r="AY242" s="212"/>
      <c r="AZ242" s="452"/>
      <c r="BA242" s="212"/>
      <c r="BB242" s="212"/>
      <c r="BC242" s="212"/>
      <c r="BD242" s="212"/>
      <c r="BE242" s="455"/>
      <c r="BF242" s="452"/>
    </row>
    <row r="243">
      <c r="A243" s="212"/>
      <c r="B243" s="447"/>
      <c r="C243" s="212"/>
      <c r="D243" s="212"/>
      <c r="E243" s="212"/>
      <c r="F243" s="212"/>
      <c r="G243" s="212"/>
      <c r="H243" s="212"/>
      <c r="I243" s="212"/>
      <c r="J243" s="212"/>
      <c r="K243" s="212"/>
      <c r="L243" s="212"/>
      <c r="M243" s="212"/>
      <c r="N243" s="212"/>
      <c r="O243" s="212"/>
      <c r="P243" s="212"/>
      <c r="Q243" s="212"/>
      <c r="R243" s="451"/>
      <c r="S243" s="451"/>
      <c r="T243" s="212"/>
      <c r="U243" s="451"/>
      <c r="V243" s="451"/>
      <c r="W243" s="451"/>
      <c r="X243" s="451"/>
      <c r="Y243" s="212"/>
      <c r="Z243" s="212"/>
      <c r="AA243" s="212"/>
      <c r="AB243" s="212"/>
      <c r="AC243" s="212"/>
      <c r="AD243" s="212"/>
      <c r="AE243" s="450"/>
      <c r="AF243" s="212"/>
      <c r="AG243" s="212"/>
      <c r="AH243" s="212"/>
      <c r="AI243" s="212"/>
      <c r="AJ243" s="212"/>
      <c r="AK243" s="212"/>
      <c r="AL243" s="212"/>
      <c r="AM243" s="212"/>
      <c r="AN243" s="212"/>
      <c r="AO243" s="212"/>
      <c r="AP243" s="212"/>
      <c r="AQ243" s="212"/>
      <c r="AR243" s="212"/>
      <c r="AS243" s="212"/>
      <c r="AT243" s="212"/>
      <c r="AU243" s="212"/>
      <c r="AV243" s="212"/>
      <c r="AW243" s="212"/>
      <c r="AX243" s="212"/>
      <c r="AY243" s="212"/>
      <c r="AZ243" s="452"/>
      <c r="BA243" s="212"/>
      <c r="BB243" s="212"/>
      <c r="BC243" s="212"/>
      <c r="BD243" s="212"/>
      <c r="BE243" s="455"/>
      <c r="BF243" s="452"/>
    </row>
    <row r="244">
      <c r="A244" s="212"/>
      <c r="B244" s="447"/>
      <c r="C244" s="212"/>
      <c r="D244" s="212"/>
      <c r="E244" s="212"/>
      <c r="F244" s="212"/>
      <c r="G244" s="212"/>
      <c r="H244" s="212"/>
      <c r="I244" s="212"/>
      <c r="J244" s="212"/>
      <c r="K244" s="212"/>
      <c r="L244" s="212"/>
      <c r="M244" s="212"/>
      <c r="N244" s="212"/>
      <c r="O244" s="212"/>
      <c r="P244" s="212"/>
      <c r="Q244" s="212"/>
      <c r="R244" s="451"/>
      <c r="S244" s="451"/>
      <c r="T244" s="212"/>
      <c r="U244" s="451"/>
      <c r="V244" s="451"/>
      <c r="W244" s="451"/>
      <c r="X244" s="451"/>
      <c r="Y244" s="212"/>
      <c r="Z244" s="212"/>
      <c r="AA244" s="212"/>
      <c r="AB244" s="212"/>
      <c r="AC244" s="212"/>
      <c r="AD244" s="212"/>
      <c r="AE244" s="450"/>
      <c r="AF244" s="212"/>
      <c r="AG244" s="212"/>
      <c r="AH244" s="212"/>
      <c r="AI244" s="212"/>
      <c r="AJ244" s="212"/>
      <c r="AK244" s="212"/>
      <c r="AL244" s="212"/>
      <c r="AM244" s="212"/>
      <c r="AN244" s="212"/>
      <c r="AO244" s="212"/>
      <c r="AP244" s="212"/>
      <c r="AQ244" s="212"/>
      <c r="AR244" s="212"/>
      <c r="AS244" s="212"/>
      <c r="AT244" s="212"/>
      <c r="AU244" s="212"/>
      <c r="AV244" s="212"/>
      <c r="AW244" s="212"/>
      <c r="AX244" s="212"/>
      <c r="AY244" s="212"/>
      <c r="AZ244" s="452"/>
      <c r="BA244" s="212"/>
      <c r="BB244" s="212"/>
      <c r="BC244" s="212"/>
      <c r="BD244" s="212"/>
      <c r="BE244" s="455"/>
      <c r="BF244" s="452"/>
    </row>
    <row r="245">
      <c r="A245" s="212"/>
      <c r="B245" s="447"/>
      <c r="C245" s="212"/>
      <c r="D245" s="212"/>
      <c r="E245" s="212"/>
      <c r="F245" s="212"/>
      <c r="G245" s="212"/>
      <c r="H245" s="212"/>
      <c r="I245" s="212"/>
      <c r="J245" s="212"/>
      <c r="K245" s="212"/>
      <c r="L245" s="212"/>
      <c r="M245" s="212"/>
      <c r="N245" s="212"/>
      <c r="O245" s="212"/>
      <c r="P245" s="212"/>
      <c r="Q245" s="212"/>
      <c r="R245" s="451"/>
      <c r="S245" s="451"/>
      <c r="T245" s="212"/>
      <c r="U245" s="451"/>
      <c r="V245" s="451"/>
      <c r="W245" s="451"/>
      <c r="X245" s="451"/>
      <c r="Y245" s="212"/>
      <c r="Z245" s="212"/>
      <c r="AA245" s="212"/>
      <c r="AB245" s="212"/>
      <c r="AC245" s="212"/>
      <c r="AD245" s="212"/>
      <c r="AE245" s="450"/>
      <c r="AF245" s="212"/>
      <c r="AG245" s="212"/>
      <c r="AH245" s="212"/>
      <c r="AI245" s="212"/>
      <c r="AJ245" s="212"/>
      <c r="AK245" s="212"/>
      <c r="AL245" s="212"/>
      <c r="AM245" s="212"/>
      <c r="AN245" s="212"/>
      <c r="AO245" s="212"/>
      <c r="AP245" s="212"/>
      <c r="AQ245" s="212"/>
      <c r="AR245" s="212"/>
      <c r="AS245" s="212"/>
      <c r="AT245" s="212"/>
      <c r="AU245" s="212"/>
      <c r="AV245" s="212"/>
      <c r="AW245" s="212"/>
      <c r="AX245" s="212"/>
      <c r="AY245" s="212"/>
      <c r="AZ245" s="452"/>
      <c r="BA245" s="212"/>
      <c r="BB245" s="212"/>
      <c r="BC245" s="212"/>
      <c r="BD245" s="212"/>
      <c r="BE245" s="455"/>
      <c r="BF245" s="452"/>
    </row>
    <row r="246">
      <c r="A246" s="212"/>
      <c r="B246" s="447"/>
      <c r="C246" s="212"/>
      <c r="D246" s="212"/>
      <c r="E246" s="212"/>
      <c r="F246" s="212"/>
      <c r="G246" s="212"/>
      <c r="H246" s="212"/>
      <c r="I246" s="212"/>
      <c r="J246" s="212"/>
      <c r="K246" s="212"/>
      <c r="L246" s="212"/>
      <c r="M246" s="212"/>
      <c r="N246" s="212"/>
      <c r="O246" s="212"/>
      <c r="P246" s="212"/>
      <c r="Q246" s="212"/>
      <c r="R246" s="451"/>
      <c r="S246" s="451"/>
      <c r="T246" s="212"/>
      <c r="U246" s="451"/>
      <c r="V246" s="451"/>
      <c r="W246" s="451"/>
      <c r="X246" s="451"/>
      <c r="Y246" s="212"/>
      <c r="Z246" s="212"/>
      <c r="AA246" s="212"/>
      <c r="AB246" s="212"/>
      <c r="AC246" s="212"/>
      <c r="AD246" s="212"/>
      <c r="AE246" s="450"/>
      <c r="AF246" s="212"/>
      <c r="AG246" s="212"/>
      <c r="AH246" s="212"/>
      <c r="AI246" s="212"/>
      <c r="AJ246" s="212"/>
      <c r="AK246" s="212"/>
      <c r="AL246" s="212"/>
      <c r="AM246" s="212"/>
      <c r="AN246" s="212"/>
      <c r="AO246" s="212"/>
      <c r="AP246" s="212"/>
      <c r="AQ246" s="212"/>
      <c r="AR246" s="212"/>
      <c r="AS246" s="212"/>
      <c r="AT246" s="212"/>
      <c r="AU246" s="212"/>
      <c r="AV246" s="212"/>
      <c r="AW246" s="212"/>
      <c r="AX246" s="212"/>
      <c r="AY246" s="212"/>
      <c r="AZ246" s="452"/>
      <c r="BA246" s="212"/>
      <c r="BB246" s="212"/>
      <c r="BC246" s="212"/>
      <c r="BD246" s="212"/>
      <c r="BE246" s="455"/>
      <c r="BF246" s="452"/>
    </row>
    <row r="247">
      <c r="A247" s="212"/>
      <c r="B247" s="447"/>
      <c r="C247" s="212"/>
      <c r="D247" s="212"/>
      <c r="E247" s="212"/>
      <c r="F247" s="212"/>
      <c r="G247" s="212"/>
      <c r="H247" s="212"/>
      <c r="I247" s="212"/>
      <c r="J247" s="212"/>
      <c r="K247" s="212"/>
      <c r="L247" s="212"/>
      <c r="M247" s="212"/>
      <c r="N247" s="212"/>
      <c r="O247" s="212"/>
      <c r="P247" s="212"/>
      <c r="Q247" s="212"/>
      <c r="R247" s="451"/>
      <c r="S247" s="451"/>
      <c r="T247" s="212"/>
      <c r="U247" s="451"/>
      <c r="V247" s="451"/>
      <c r="W247" s="451"/>
      <c r="X247" s="451"/>
      <c r="Y247" s="212"/>
      <c r="Z247" s="212"/>
      <c r="AA247" s="212"/>
      <c r="AB247" s="212"/>
      <c r="AC247" s="212"/>
      <c r="AD247" s="212"/>
      <c r="AE247" s="450"/>
      <c r="AF247" s="212"/>
      <c r="AG247" s="212"/>
      <c r="AH247" s="212"/>
      <c r="AI247" s="212"/>
      <c r="AJ247" s="212"/>
      <c r="AK247" s="212"/>
      <c r="AL247" s="212"/>
      <c r="AM247" s="212"/>
      <c r="AN247" s="212"/>
      <c r="AO247" s="212"/>
      <c r="AP247" s="212"/>
      <c r="AQ247" s="212"/>
      <c r="AR247" s="212"/>
      <c r="AS247" s="212"/>
      <c r="AT247" s="212"/>
      <c r="AU247" s="212"/>
      <c r="AV247" s="212"/>
      <c r="AW247" s="212"/>
      <c r="AX247" s="212"/>
      <c r="AY247" s="212"/>
      <c r="AZ247" s="452"/>
      <c r="BA247" s="212"/>
      <c r="BB247" s="212"/>
      <c r="BC247" s="212"/>
      <c r="BD247" s="212"/>
      <c r="BE247" s="455"/>
      <c r="BF247" s="452"/>
    </row>
    <row r="248">
      <c r="A248" s="212"/>
      <c r="B248" s="447"/>
      <c r="C248" s="212"/>
      <c r="D248" s="212"/>
      <c r="E248" s="212"/>
      <c r="F248" s="212"/>
      <c r="G248" s="212"/>
      <c r="H248" s="212"/>
      <c r="I248" s="212"/>
      <c r="J248" s="212"/>
      <c r="K248" s="212"/>
      <c r="L248" s="212"/>
      <c r="M248" s="212"/>
      <c r="N248" s="212"/>
      <c r="O248" s="212"/>
      <c r="P248" s="212"/>
      <c r="Q248" s="212"/>
      <c r="R248" s="451"/>
      <c r="S248" s="451"/>
      <c r="T248" s="212"/>
      <c r="U248" s="451"/>
      <c r="V248" s="451"/>
      <c r="W248" s="451"/>
      <c r="X248" s="451"/>
      <c r="Y248" s="212"/>
      <c r="Z248" s="212"/>
      <c r="AA248" s="212"/>
      <c r="AB248" s="212"/>
      <c r="AC248" s="212"/>
      <c r="AD248" s="212"/>
      <c r="AE248" s="450"/>
      <c r="AF248" s="212"/>
      <c r="AG248" s="212"/>
      <c r="AH248" s="212"/>
      <c r="AI248" s="212"/>
      <c r="AJ248" s="212"/>
      <c r="AK248" s="212"/>
      <c r="AL248" s="212"/>
      <c r="AM248" s="212"/>
      <c r="AN248" s="212"/>
      <c r="AO248" s="212"/>
      <c r="AP248" s="212"/>
      <c r="AQ248" s="212"/>
      <c r="AR248" s="212"/>
      <c r="AS248" s="212"/>
      <c r="AT248" s="212"/>
      <c r="AU248" s="212"/>
      <c r="AV248" s="212"/>
      <c r="AW248" s="212"/>
      <c r="AX248" s="212"/>
      <c r="AY248" s="212"/>
      <c r="AZ248" s="452"/>
      <c r="BA248" s="212"/>
      <c r="BB248" s="212"/>
      <c r="BC248" s="212"/>
      <c r="BD248" s="212"/>
      <c r="BE248" s="455"/>
      <c r="BF248" s="452"/>
    </row>
    <row r="249">
      <c r="A249" s="212"/>
      <c r="B249" s="447"/>
      <c r="C249" s="212"/>
      <c r="D249" s="212"/>
      <c r="E249" s="212"/>
      <c r="F249" s="212"/>
      <c r="G249" s="212"/>
      <c r="H249" s="212"/>
      <c r="I249" s="212"/>
      <c r="J249" s="212"/>
      <c r="K249" s="212"/>
      <c r="L249" s="212"/>
      <c r="M249" s="212"/>
      <c r="N249" s="212"/>
      <c r="O249" s="212"/>
      <c r="P249" s="212"/>
      <c r="Q249" s="212"/>
      <c r="R249" s="451"/>
      <c r="S249" s="451"/>
      <c r="T249" s="212"/>
      <c r="U249" s="451"/>
      <c r="V249" s="451"/>
      <c r="W249" s="451"/>
      <c r="X249" s="451"/>
      <c r="Y249" s="212"/>
      <c r="Z249" s="212"/>
      <c r="AA249" s="212"/>
      <c r="AB249" s="212"/>
      <c r="AC249" s="212"/>
      <c r="AD249" s="212"/>
      <c r="AE249" s="450"/>
      <c r="AF249" s="212"/>
      <c r="AG249" s="212"/>
      <c r="AH249" s="212"/>
      <c r="AI249" s="212"/>
      <c r="AJ249" s="212"/>
      <c r="AK249" s="212"/>
      <c r="AL249" s="212"/>
      <c r="AM249" s="212"/>
      <c r="AN249" s="212"/>
      <c r="AO249" s="212"/>
      <c r="AP249" s="212"/>
      <c r="AQ249" s="212"/>
      <c r="AR249" s="212"/>
      <c r="AS249" s="212"/>
      <c r="AT249" s="212"/>
      <c r="AU249" s="212"/>
      <c r="AV249" s="212"/>
      <c r="AW249" s="212"/>
      <c r="AX249" s="212"/>
      <c r="AY249" s="212"/>
      <c r="AZ249" s="452"/>
      <c r="BA249" s="212"/>
      <c r="BB249" s="212"/>
      <c r="BC249" s="212"/>
      <c r="BD249" s="212"/>
      <c r="BE249" s="455"/>
      <c r="BF249" s="452"/>
    </row>
    <row r="250">
      <c r="A250" s="212"/>
      <c r="B250" s="447"/>
      <c r="C250" s="212"/>
      <c r="D250" s="212"/>
      <c r="E250" s="212"/>
      <c r="F250" s="212"/>
      <c r="G250" s="212"/>
      <c r="H250" s="212"/>
      <c r="I250" s="212"/>
      <c r="J250" s="212"/>
      <c r="K250" s="212"/>
      <c r="L250" s="212"/>
      <c r="M250" s="212"/>
      <c r="N250" s="212"/>
      <c r="O250" s="212"/>
      <c r="P250" s="212"/>
      <c r="Q250" s="212"/>
      <c r="R250" s="451"/>
      <c r="S250" s="451"/>
      <c r="T250" s="212"/>
      <c r="U250" s="451"/>
      <c r="V250" s="451"/>
      <c r="W250" s="451"/>
      <c r="X250" s="451"/>
      <c r="Y250" s="212"/>
      <c r="Z250" s="212"/>
      <c r="AA250" s="212"/>
      <c r="AB250" s="212"/>
      <c r="AC250" s="212"/>
      <c r="AD250" s="212"/>
      <c r="AE250" s="450"/>
      <c r="AF250" s="212"/>
      <c r="AG250" s="212"/>
      <c r="AH250" s="212"/>
      <c r="AI250" s="212"/>
      <c r="AJ250" s="212"/>
      <c r="AK250" s="212"/>
      <c r="AL250" s="212"/>
      <c r="AM250" s="212"/>
      <c r="AN250" s="212"/>
      <c r="AO250" s="212"/>
      <c r="AP250" s="212"/>
      <c r="AQ250" s="212"/>
      <c r="AR250" s="212"/>
      <c r="AS250" s="212"/>
      <c r="AT250" s="212"/>
      <c r="AU250" s="212"/>
      <c r="AV250" s="212"/>
      <c r="AW250" s="212"/>
      <c r="AX250" s="212"/>
      <c r="AY250" s="212"/>
      <c r="AZ250" s="452"/>
      <c r="BA250" s="212"/>
      <c r="BB250" s="212"/>
      <c r="BC250" s="212"/>
      <c r="BD250" s="212"/>
      <c r="BE250" s="455"/>
      <c r="BF250" s="452"/>
    </row>
    <row r="251">
      <c r="A251" s="212"/>
      <c r="B251" s="447"/>
      <c r="C251" s="212"/>
      <c r="D251" s="212"/>
      <c r="E251" s="212"/>
      <c r="F251" s="212"/>
      <c r="G251" s="212"/>
      <c r="H251" s="212"/>
      <c r="I251" s="212"/>
      <c r="J251" s="212"/>
      <c r="K251" s="212"/>
      <c r="L251" s="212"/>
      <c r="M251" s="212"/>
      <c r="N251" s="212"/>
      <c r="O251" s="212"/>
      <c r="P251" s="212"/>
      <c r="Q251" s="212"/>
      <c r="R251" s="451"/>
      <c r="S251" s="451"/>
      <c r="T251" s="212"/>
      <c r="U251" s="451"/>
      <c r="V251" s="451"/>
      <c r="W251" s="451"/>
      <c r="X251" s="451"/>
      <c r="Y251" s="212"/>
      <c r="Z251" s="212"/>
      <c r="AA251" s="212"/>
      <c r="AB251" s="212"/>
      <c r="AC251" s="212"/>
      <c r="AD251" s="212"/>
      <c r="AE251" s="450"/>
      <c r="AF251" s="212"/>
      <c r="AG251" s="212"/>
      <c r="AH251" s="212"/>
      <c r="AI251" s="212"/>
      <c r="AJ251" s="212"/>
      <c r="AK251" s="212"/>
      <c r="AL251" s="212"/>
      <c r="AM251" s="212"/>
      <c r="AN251" s="212"/>
      <c r="AO251" s="212"/>
      <c r="AP251" s="212"/>
      <c r="AQ251" s="212"/>
      <c r="AR251" s="212"/>
      <c r="AS251" s="212"/>
      <c r="AT251" s="212"/>
      <c r="AU251" s="212"/>
      <c r="AV251" s="212"/>
      <c r="AW251" s="212"/>
      <c r="AX251" s="212"/>
      <c r="AY251" s="212"/>
      <c r="AZ251" s="452"/>
      <c r="BA251" s="212"/>
      <c r="BB251" s="212"/>
      <c r="BC251" s="212"/>
      <c r="BD251" s="212"/>
      <c r="BE251" s="455"/>
      <c r="BF251" s="452"/>
    </row>
    <row r="252">
      <c r="A252" s="212"/>
      <c r="B252" s="447"/>
      <c r="C252" s="212"/>
      <c r="D252" s="212"/>
      <c r="E252" s="212"/>
      <c r="F252" s="212"/>
      <c r="G252" s="212"/>
      <c r="H252" s="212"/>
      <c r="I252" s="212"/>
      <c r="J252" s="212"/>
      <c r="K252" s="212"/>
      <c r="L252" s="212"/>
      <c r="M252" s="212"/>
      <c r="N252" s="212"/>
      <c r="O252" s="212"/>
      <c r="P252" s="212"/>
      <c r="Q252" s="212"/>
      <c r="R252" s="451"/>
      <c r="S252" s="451"/>
      <c r="T252" s="212"/>
      <c r="U252" s="451"/>
      <c r="V252" s="451"/>
      <c r="W252" s="451"/>
      <c r="X252" s="451"/>
      <c r="Y252" s="212"/>
      <c r="Z252" s="212"/>
      <c r="AA252" s="212"/>
      <c r="AB252" s="212"/>
      <c r="AC252" s="212"/>
      <c r="AD252" s="212"/>
      <c r="AE252" s="450"/>
      <c r="AF252" s="212"/>
      <c r="AG252" s="212"/>
      <c r="AH252" s="212"/>
      <c r="AI252" s="212"/>
      <c r="AJ252" s="212"/>
      <c r="AK252" s="212"/>
      <c r="AL252" s="212"/>
      <c r="AM252" s="212"/>
      <c r="AN252" s="212"/>
      <c r="AO252" s="212"/>
      <c r="AP252" s="212"/>
      <c r="AQ252" s="212"/>
      <c r="AR252" s="212"/>
      <c r="AS252" s="212"/>
      <c r="AT252" s="212"/>
      <c r="AU252" s="212"/>
      <c r="AV252" s="212"/>
      <c r="AW252" s="212"/>
      <c r="AX252" s="212"/>
      <c r="AY252" s="212"/>
      <c r="AZ252" s="452"/>
      <c r="BA252" s="212"/>
      <c r="BB252" s="212"/>
      <c r="BC252" s="212"/>
      <c r="BD252" s="212"/>
      <c r="BE252" s="455"/>
      <c r="BF252" s="452"/>
    </row>
    <row r="253">
      <c r="A253" s="212"/>
      <c r="B253" s="447"/>
      <c r="C253" s="212"/>
      <c r="D253" s="212"/>
      <c r="E253" s="212"/>
      <c r="F253" s="212"/>
      <c r="G253" s="212"/>
      <c r="H253" s="212"/>
      <c r="I253" s="212"/>
      <c r="J253" s="212"/>
      <c r="K253" s="212"/>
      <c r="L253" s="212"/>
      <c r="M253" s="212"/>
      <c r="N253" s="212"/>
      <c r="O253" s="212"/>
      <c r="P253" s="212"/>
      <c r="Q253" s="212"/>
      <c r="R253" s="451"/>
      <c r="S253" s="451"/>
      <c r="T253" s="212"/>
      <c r="U253" s="451"/>
      <c r="V253" s="451"/>
      <c r="W253" s="451"/>
      <c r="X253" s="451"/>
      <c r="Y253" s="212"/>
      <c r="Z253" s="212"/>
      <c r="AA253" s="212"/>
      <c r="AB253" s="212"/>
      <c r="AC253" s="212"/>
      <c r="AD253" s="212"/>
      <c r="AE253" s="450"/>
      <c r="AF253" s="212"/>
      <c r="AG253" s="212"/>
      <c r="AH253" s="212"/>
      <c r="AI253" s="212"/>
      <c r="AJ253" s="212"/>
      <c r="AK253" s="212"/>
      <c r="AL253" s="212"/>
      <c r="AM253" s="212"/>
      <c r="AN253" s="212"/>
      <c r="AO253" s="212"/>
      <c r="AP253" s="212"/>
      <c r="AQ253" s="212"/>
      <c r="AR253" s="212"/>
      <c r="AS253" s="212"/>
      <c r="AT253" s="212"/>
      <c r="AU253" s="212"/>
      <c r="AV253" s="212"/>
      <c r="AW253" s="212"/>
      <c r="AX253" s="212"/>
      <c r="AY253" s="212"/>
      <c r="AZ253" s="452"/>
      <c r="BA253" s="212"/>
      <c r="BB253" s="212"/>
      <c r="BC253" s="212"/>
      <c r="BD253" s="212"/>
      <c r="BE253" s="455"/>
      <c r="BF253" s="452"/>
    </row>
    <row r="254">
      <c r="A254" s="212"/>
      <c r="B254" s="447"/>
      <c r="C254" s="212"/>
      <c r="D254" s="212"/>
      <c r="E254" s="212"/>
      <c r="F254" s="212"/>
      <c r="G254" s="212"/>
      <c r="H254" s="212"/>
      <c r="I254" s="212"/>
      <c r="J254" s="212"/>
      <c r="K254" s="212"/>
      <c r="L254" s="212"/>
      <c r="M254" s="212"/>
      <c r="N254" s="212"/>
      <c r="O254" s="212"/>
      <c r="P254" s="212"/>
      <c r="Q254" s="212"/>
      <c r="R254" s="451"/>
      <c r="S254" s="451"/>
      <c r="T254" s="212"/>
      <c r="U254" s="451"/>
      <c r="V254" s="451"/>
      <c r="W254" s="451"/>
      <c r="X254" s="451"/>
      <c r="Y254" s="212"/>
      <c r="Z254" s="212"/>
      <c r="AA254" s="212"/>
      <c r="AB254" s="212"/>
      <c r="AC254" s="212"/>
      <c r="AD254" s="212"/>
      <c r="AE254" s="450"/>
      <c r="AF254" s="212"/>
      <c r="AG254" s="212"/>
      <c r="AH254" s="212"/>
      <c r="AI254" s="212"/>
      <c r="AJ254" s="212"/>
      <c r="AK254" s="212"/>
      <c r="AL254" s="212"/>
      <c r="AM254" s="212"/>
      <c r="AN254" s="212"/>
      <c r="AO254" s="212"/>
      <c r="AP254" s="212"/>
      <c r="AQ254" s="212"/>
      <c r="AR254" s="212"/>
      <c r="AS254" s="212"/>
      <c r="AT254" s="212"/>
      <c r="AU254" s="212"/>
      <c r="AV254" s="212"/>
      <c r="AW254" s="212"/>
      <c r="AX254" s="212"/>
      <c r="AY254" s="212"/>
      <c r="AZ254" s="452"/>
      <c r="BA254" s="212"/>
      <c r="BB254" s="212"/>
      <c r="BC254" s="212"/>
      <c r="BD254" s="212"/>
      <c r="BE254" s="455"/>
      <c r="BF254" s="452"/>
    </row>
    <row r="255">
      <c r="A255" s="212"/>
      <c r="B255" s="447"/>
      <c r="C255" s="212"/>
      <c r="D255" s="212"/>
      <c r="E255" s="212"/>
      <c r="F255" s="212"/>
      <c r="G255" s="212"/>
      <c r="H255" s="212"/>
      <c r="I255" s="212"/>
      <c r="J255" s="212"/>
      <c r="K255" s="212"/>
      <c r="L255" s="212"/>
      <c r="M255" s="212"/>
      <c r="N255" s="212"/>
      <c r="O255" s="212"/>
      <c r="P255" s="212"/>
      <c r="Q255" s="212"/>
      <c r="R255" s="451"/>
      <c r="S255" s="451"/>
      <c r="T255" s="212"/>
      <c r="U255" s="451"/>
      <c r="V255" s="451"/>
      <c r="W255" s="451"/>
      <c r="X255" s="451"/>
      <c r="Y255" s="212"/>
      <c r="Z255" s="212"/>
      <c r="AA255" s="212"/>
      <c r="AB255" s="212"/>
      <c r="AC255" s="212"/>
      <c r="AD255" s="212"/>
      <c r="AE255" s="450"/>
      <c r="AF255" s="212"/>
      <c r="AG255" s="212"/>
      <c r="AH255" s="212"/>
      <c r="AI255" s="212"/>
      <c r="AJ255" s="212"/>
      <c r="AK255" s="212"/>
      <c r="AL255" s="212"/>
      <c r="AM255" s="212"/>
      <c r="AN255" s="212"/>
      <c r="AO255" s="212"/>
      <c r="AP255" s="212"/>
      <c r="AQ255" s="212"/>
      <c r="AR255" s="212"/>
      <c r="AS255" s="212"/>
      <c r="AT255" s="212"/>
      <c r="AU255" s="212"/>
      <c r="AV255" s="212"/>
      <c r="AW255" s="212"/>
      <c r="AX255" s="212"/>
      <c r="AY255" s="212"/>
      <c r="AZ255" s="452"/>
      <c r="BA255" s="212"/>
      <c r="BB255" s="212"/>
      <c r="BC255" s="212"/>
      <c r="BD255" s="212"/>
      <c r="BE255" s="455"/>
      <c r="BF255" s="452"/>
    </row>
    <row r="256">
      <c r="A256" s="212"/>
      <c r="B256" s="447"/>
      <c r="C256" s="212"/>
      <c r="D256" s="212"/>
      <c r="E256" s="212"/>
      <c r="F256" s="212"/>
      <c r="G256" s="212"/>
      <c r="H256" s="212"/>
      <c r="I256" s="212"/>
      <c r="J256" s="212"/>
      <c r="K256" s="212"/>
      <c r="L256" s="212"/>
      <c r="M256" s="212"/>
      <c r="N256" s="212"/>
      <c r="O256" s="212"/>
      <c r="P256" s="212"/>
      <c r="Q256" s="212"/>
      <c r="R256" s="451"/>
      <c r="S256" s="451"/>
      <c r="T256" s="212"/>
      <c r="U256" s="451"/>
      <c r="V256" s="451"/>
      <c r="W256" s="451"/>
      <c r="X256" s="451"/>
      <c r="Y256" s="212"/>
      <c r="Z256" s="212"/>
      <c r="AA256" s="212"/>
      <c r="AB256" s="212"/>
      <c r="AC256" s="212"/>
      <c r="AD256" s="212"/>
      <c r="AE256" s="450"/>
      <c r="AF256" s="212"/>
      <c r="AG256" s="212"/>
      <c r="AH256" s="212"/>
      <c r="AI256" s="212"/>
      <c r="AJ256" s="212"/>
      <c r="AK256" s="212"/>
      <c r="AL256" s="212"/>
      <c r="AM256" s="212"/>
      <c r="AN256" s="212"/>
      <c r="AO256" s="212"/>
      <c r="AP256" s="212"/>
      <c r="AQ256" s="212"/>
      <c r="AR256" s="212"/>
      <c r="AS256" s="212"/>
      <c r="AT256" s="212"/>
      <c r="AU256" s="212"/>
      <c r="AV256" s="212"/>
      <c r="AW256" s="212"/>
      <c r="AX256" s="212"/>
      <c r="AY256" s="212"/>
      <c r="AZ256" s="452"/>
      <c r="BA256" s="212"/>
      <c r="BB256" s="212"/>
      <c r="BC256" s="212"/>
      <c r="BD256" s="212"/>
      <c r="BE256" s="455"/>
      <c r="BF256" s="452"/>
    </row>
    <row r="257">
      <c r="A257" s="212"/>
      <c r="B257" s="447"/>
      <c r="C257" s="212"/>
      <c r="D257" s="212"/>
      <c r="E257" s="212"/>
      <c r="F257" s="212"/>
      <c r="G257" s="212"/>
      <c r="H257" s="212"/>
      <c r="I257" s="212"/>
      <c r="J257" s="212"/>
      <c r="K257" s="212"/>
      <c r="L257" s="212"/>
      <c r="M257" s="212"/>
      <c r="N257" s="212"/>
      <c r="O257" s="212"/>
      <c r="P257" s="212"/>
      <c r="Q257" s="212"/>
      <c r="R257" s="451"/>
      <c r="S257" s="451"/>
      <c r="T257" s="212"/>
      <c r="U257" s="451"/>
      <c r="V257" s="451"/>
      <c r="W257" s="451"/>
      <c r="X257" s="451"/>
      <c r="Y257" s="212"/>
      <c r="Z257" s="212"/>
      <c r="AA257" s="212"/>
      <c r="AB257" s="212"/>
      <c r="AC257" s="212"/>
      <c r="AD257" s="212"/>
      <c r="AE257" s="450"/>
      <c r="AF257" s="212"/>
      <c r="AG257" s="212"/>
      <c r="AH257" s="212"/>
      <c r="AI257" s="212"/>
      <c r="AJ257" s="212"/>
      <c r="AK257" s="212"/>
      <c r="AL257" s="212"/>
      <c r="AM257" s="212"/>
      <c r="AN257" s="212"/>
      <c r="AO257" s="212"/>
      <c r="AP257" s="212"/>
      <c r="AQ257" s="212"/>
      <c r="AR257" s="212"/>
      <c r="AS257" s="212"/>
      <c r="AT257" s="212"/>
      <c r="AU257" s="212"/>
      <c r="AV257" s="212"/>
      <c r="AW257" s="212"/>
      <c r="AX257" s="212"/>
      <c r="AY257" s="212"/>
      <c r="AZ257" s="452"/>
      <c r="BA257" s="212"/>
      <c r="BB257" s="212"/>
      <c r="BC257" s="212"/>
      <c r="BD257" s="212"/>
      <c r="BE257" s="455"/>
      <c r="BF257" s="452"/>
    </row>
    <row r="258">
      <c r="A258" s="212"/>
      <c r="B258" s="447"/>
      <c r="C258" s="212"/>
      <c r="D258" s="212"/>
      <c r="E258" s="212"/>
      <c r="F258" s="212"/>
      <c r="G258" s="212"/>
      <c r="H258" s="212"/>
      <c r="I258" s="212"/>
      <c r="J258" s="212"/>
      <c r="K258" s="212"/>
      <c r="L258" s="212"/>
      <c r="M258" s="212"/>
      <c r="N258" s="212"/>
      <c r="O258" s="212"/>
      <c r="P258" s="212"/>
      <c r="Q258" s="212"/>
      <c r="R258" s="451"/>
      <c r="S258" s="451"/>
      <c r="T258" s="212"/>
      <c r="U258" s="451"/>
      <c r="V258" s="451"/>
      <c r="W258" s="451"/>
      <c r="X258" s="451"/>
      <c r="Y258" s="212"/>
      <c r="Z258" s="212"/>
      <c r="AA258" s="212"/>
      <c r="AB258" s="212"/>
      <c r="AC258" s="212"/>
      <c r="AD258" s="212"/>
      <c r="AE258" s="450"/>
      <c r="AF258" s="212"/>
      <c r="AG258" s="212"/>
      <c r="AH258" s="212"/>
      <c r="AI258" s="212"/>
      <c r="AJ258" s="212"/>
      <c r="AK258" s="212"/>
      <c r="AL258" s="212"/>
      <c r="AM258" s="212"/>
      <c r="AN258" s="212"/>
      <c r="AO258" s="212"/>
      <c r="AP258" s="212"/>
      <c r="AQ258" s="212"/>
      <c r="AR258" s="212"/>
      <c r="AS258" s="212"/>
      <c r="AT258" s="212"/>
      <c r="AU258" s="212"/>
      <c r="AV258" s="212"/>
      <c r="AW258" s="212"/>
      <c r="AX258" s="212"/>
      <c r="AY258" s="212"/>
      <c r="AZ258" s="452"/>
      <c r="BA258" s="212"/>
      <c r="BB258" s="212"/>
      <c r="BC258" s="212"/>
      <c r="BD258" s="212"/>
      <c r="BE258" s="455"/>
      <c r="BF258" s="452"/>
    </row>
    <row r="259">
      <c r="A259" s="212"/>
      <c r="B259" s="447"/>
      <c r="C259" s="212"/>
      <c r="D259" s="212"/>
      <c r="E259" s="212"/>
      <c r="F259" s="212"/>
      <c r="G259" s="212"/>
      <c r="H259" s="212"/>
      <c r="I259" s="212"/>
      <c r="J259" s="212"/>
      <c r="K259" s="212"/>
      <c r="L259" s="212"/>
      <c r="M259" s="212"/>
      <c r="N259" s="212"/>
      <c r="O259" s="212"/>
      <c r="P259" s="212"/>
      <c r="Q259" s="212"/>
      <c r="R259" s="451"/>
      <c r="S259" s="451"/>
      <c r="T259" s="212"/>
      <c r="U259" s="451"/>
      <c r="V259" s="451"/>
      <c r="W259" s="451"/>
      <c r="X259" s="451"/>
      <c r="Y259" s="212"/>
      <c r="Z259" s="212"/>
      <c r="AA259" s="212"/>
      <c r="AB259" s="212"/>
      <c r="AC259" s="212"/>
      <c r="AD259" s="212"/>
      <c r="AE259" s="450"/>
      <c r="AF259" s="212"/>
      <c r="AG259" s="212"/>
      <c r="AH259" s="212"/>
      <c r="AI259" s="212"/>
      <c r="AJ259" s="212"/>
      <c r="AK259" s="212"/>
      <c r="AL259" s="212"/>
      <c r="AM259" s="212"/>
      <c r="AN259" s="212"/>
      <c r="AO259" s="212"/>
      <c r="AP259" s="212"/>
      <c r="AQ259" s="212"/>
      <c r="AR259" s="212"/>
      <c r="AS259" s="212"/>
      <c r="AT259" s="212"/>
      <c r="AU259" s="212"/>
      <c r="AV259" s="212"/>
      <c r="AW259" s="212"/>
      <c r="AX259" s="212"/>
      <c r="AY259" s="212"/>
      <c r="AZ259" s="452"/>
      <c r="BA259" s="212"/>
      <c r="BB259" s="212"/>
      <c r="BC259" s="212"/>
      <c r="BD259" s="212"/>
      <c r="BE259" s="455"/>
      <c r="BF259" s="452"/>
    </row>
    <row r="260">
      <c r="A260" s="212"/>
      <c r="B260" s="447"/>
      <c r="C260" s="212"/>
      <c r="D260" s="212"/>
      <c r="E260" s="212"/>
      <c r="F260" s="212"/>
      <c r="G260" s="212"/>
      <c r="H260" s="212"/>
      <c r="I260" s="212"/>
      <c r="J260" s="212"/>
      <c r="K260" s="212"/>
      <c r="L260" s="212"/>
      <c r="M260" s="212"/>
      <c r="N260" s="212"/>
      <c r="O260" s="212"/>
      <c r="P260" s="212"/>
      <c r="Q260" s="212"/>
      <c r="R260" s="451"/>
      <c r="S260" s="451"/>
      <c r="T260" s="212"/>
      <c r="U260" s="451"/>
      <c r="V260" s="451"/>
      <c r="W260" s="451"/>
      <c r="X260" s="451"/>
      <c r="Y260" s="212"/>
      <c r="Z260" s="212"/>
      <c r="AA260" s="212"/>
      <c r="AB260" s="212"/>
      <c r="AC260" s="212"/>
      <c r="AD260" s="212"/>
      <c r="AE260" s="450"/>
      <c r="AF260" s="212"/>
      <c r="AG260" s="212"/>
      <c r="AH260" s="212"/>
      <c r="AI260" s="212"/>
      <c r="AJ260" s="212"/>
      <c r="AK260" s="212"/>
      <c r="AL260" s="212"/>
      <c r="AM260" s="212"/>
      <c r="AN260" s="212"/>
      <c r="AO260" s="212"/>
      <c r="AP260" s="212"/>
      <c r="AQ260" s="212"/>
      <c r="AR260" s="212"/>
      <c r="AS260" s="212"/>
      <c r="AT260" s="212"/>
      <c r="AU260" s="212"/>
      <c r="AV260" s="212"/>
      <c r="AW260" s="212"/>
      <c r="AX260" s="212"/>
      <c r="AY260" s="212"/>
      <c r="AZ260" s="452"/>
      <c r="BA260" s="212"/>
      <c r="BB260" s="212"/>
      <c r="BC260" s="212"/>
      <c r="BD260" s="212"/>
      <c r="BE260" s="455"/>
      <c r="BF260" s="452"/>
    </row>
    <row r="261">
      <c r="A261" s="212"/>
      <c r="B261" s="447"/>
      <c r="C261" s="212"/>
      <c r="D261" s="212"/>
      <c r="E261" s="212"/>
      <c r="F261" s="212"/>
      <c r="G261" s="212"/>
      <c r="H261" s="212"/>
      <c r="I261" s="212"/>
      <c r="J261" s="212"/>
      <c r="K261" s="212"/>
      <c r="L261" s="212"/>
      <c r="M261" s="212"/>
      <c r="N261" s="212"/>
      <c r="O261" s="212"/>
      <c r="P261" s="212"/>
      <c r="Q261" s="212"/>
      <c r="R261" s="451"/>
      <c r="S261" s="451"/>
      <c r="T261" s="212"/>
      <c r="U261" s="451"/>
      <c r="V261" s="451"/>
      <c r="W261" s="451"/>
      <c r="X261" s="451"/>
      <c r="Y261" s="212"/>
      <c r="Z261" s="212"/>
      <c r="AA261" s="212"/>
      <c r="AB261" s="212"/>
      <c r="AC261" s="212"/>
      <c r="AD261" s="212"/>
      <c r="AE261" s="450"/>
      <c r="AF261" s="212"/>
      <c r="AG261" s="212"/>
      <c r="AH261" s="212"/>
      <c r="AI261" s="212"/>
      <c r="AJ261" s="212"/>
      <c r="AK261" s="212"/>
      <c r="AL261" s="212"/>
      <c r="AM261" s="212"/>
      <c r="AN261" s="212"/>
      <c r="AO261" s="212"/>
      <c r="AP261" s="212"/>
      <c r="AQ261" s="212"/>
      <c r="AR261" s="212"/>
      <c r="AS261" s="212"/>
      <c r="AT261" s="212"/>
      <c r="AU261" s="212"/>
      <c r="AV261" s="212"/>
      <c r="AW261" s="212"/>
      <c r="AX261" s="212"/>
      <c r="AY261" s="212"/>
      <c r="AZ261" s="452"/>
      <c r="BA261" s="212"/>
      <c r="BB261" s="212"/>
      <c r="BC261" s="212"/>
      <c r="BD261" s="212"/>
      <c r="BE261" s="455"/>
      <c r="BF261" s="452"/>
    </row>
    <row r="262">
      <c r="A262" s="212"/>
      <c r="B262" s="447"/>
      <c r="C262" s="212"/>
      <c r="D262" s="212"/>
      <c r="E262" s="212"/>
      <c r="F262" s="212"/>
      <c r="G262" s="212"/>
      <c r="H262" s="212"/>
      <c r="I262" s="212"/>
      <c r="J262" s="212"/>
      <c r="K262" s="212"/>
      <c r="L262" s="212"/>
      <c r="M262" s="212"/>
      <c r="N262" s="212"/>
      <c r="O262" s="212"/>
      <c r="P262" s="212"/>
      <c r="Q262" s="212"/>
      <c r="R262" s="451"/>
      <c r="S262" s="451"/>
      <c r="T262" s="212"/>
      <c r="U262" s="451"/>
      <c r="V262" s="451"/>
      <c r="W262" s="451"/>
      <c r="X262" s="451"/>
      <c r="Y262" s="212"/>
      <c r="Z262" s="212"/>
      <c r="AA262" s="212"/>
      <c r="AB262" s="212"/>
      <c r="AC262" s="212"/>
      <c r="AD262" s="212"/>
      <c r="AE262" s="450"/>
      <c r="AF262" s="212"/>
      <c r="AG262" s="212"/>
      <c r="AH262" s="212"/>
      <c r="AI262" s="212"/>
      <c r="AJ262" s="212"/>
      <c r="AK262" s="212"/>
      <c r="AL262" s="212"/>
      <c r="AM262" s="212"/>
      <c r="AN262" s="212"/>
      <c r="AO262" s="212"/>
      <c r="AP262" s="212"/>
      <c r="AQ262" s="212"/>
      <c r="AR262" s="212"/>
      <c r="AS262" s="212"/>
      <c r="AT262" s="212"/>
      <c r="AU262" s="212"/>
      <c r="AV262" s="212"/>
      <c r="AW262" s="212"/>
      <c r="AX262" s="212"/>
      <c r="AY262" s="212"/>
      <c r="AZ262" s="452"/>
      <c r="BA262" s="212"/>
      <c r="BB262" s="212"/>
      <c r="BC262" s="212"/>
      <c r="BD262" s="212"/>
      <c r="BE262" s="455"/>
      <c r="BF262" s="452"/>
    </row>
    <row r="263">
      <c r="A263" s="212"/>
      <c r="B263" s="447"/>
      <c r="C263" s="212"/>
      <c r="D263" s="212"/>
      <c r="E263" s="212"/>
      <c r="F263" s="212"/>
      <c r="G263" s="212"/>
      <c r="H263" s="212"/>
      <c r="I263" s="212"/>
      <c r="J263" s="212"/>
      <c r="K263" s="212"/>
      <c r="L263" s="212"/>
      <c r="M263" s="212"/>
      <c r="N263" s="212"/>
      <c r="O263" s="212"/>
      <c r="P263" s="212"/>
      <c r="Q263" s="212"/>
      <c r="R263" s="451"/>
      <c r="S263" s="451"/>
      <c r="T263" s="212"/>
      <c r="U263" s="451"/>
      <c r="V263" s="451"/>
      <c r="W263" s="451"/>
      <c r="X263" s="451"/>
      <c r="Y263" s="212"/>
      <c r="Z263" s="212"/>
      <c r="AA263" s="212"/>
      <c r="AB263" s="212"/>
      <c r="AC263" s="212"/>
      <c r="AD263" s="212"/>
      <c r="AE263" s="450"/>
      <c r="AF263" s="212"/>
      <c r="AG263" s="212"/>
      <c r="AH263" s="212"/>
      <c r="AI263" s="212"/>
      <c r="AJ263" s="212"/>
      <c r="AK263" s="212"/>
      <c r="AL263" s="212"/>
      <c r="AM263" s="212"/>
      <c r="AN263" s="212"/>
      <c r="AO263" s="212"/>
      <c r="AP263" s="212"/>
      <c r="AQ263" s="212"/>
      <c r="AR263" s="212"/>
      <c r="AS263" s="212"/>
      <c r="AT263" s="212"/>
      <c r="AU263" s="212"/>
      <c r="AV263" s="212"/>
      <c r="AW263" s="212"/>
      <c r="AX263" s="212"/>
      <c r="AY263" s="212"/>
      <c r="AZ263" s="452"/>
      <c r="BA263" s="212"/>
      <c r="BB263" s="212"/>
      <c r="BC263" s="212"/>
      <c r="BD263" s="212"/>
      <c r="BE263" s="455"/>
      <c r="BF263" s="452"/>
    </row>
    <row r="264">
      <c r="A264" s="212"/>
      <c r="B264" s="447"/>
      <c r="C264" s="212"/>
      <c r="D264" s="212"/>
      <c r="E264" s="212"/>
      <c r="F264" s="212"/>
      <c r="G264" s="212"/>
      <c r="H264" s="212"/>
      <c r="I264" s="212"/>
      <c r="J264" s="212"/>
      <c r="K264" s="212"/>
      <c r="L264" s="212"/>
      <c r="M264" s="212"/>
      <c r="N264" s="212"/>
      <c r="O264" s="212"/>
      <c r="P264" s="212"/>
      <c r="Q264" s="212"/>
      <c r="R264" s="451"/>
      <c r="S264" s="451"/>
      <c r="T264" s="212"/>
      <c r="U264" s="451"/>
      <c r="V264" s="451"/>
      <c r="W264" s="451"/>
      <c r="X264" s="451"/>
      <c r="Y264" s="212"/>
      <c r="Z264" s="212"/>
      <c r="AA264" s="212"/>
      <c r="AB264" s="212"/>
      <c r="AC264" s="212"/>
      <c r="AD264" s="212"/>
      <c r="AE264" s="450"/>
      <c r="AF264" s="212"/>
      <c r="AG264" s="212"/>
      <c r="AH264" s="212"/>
      <c r="AI264" s="212"/>
      <c r="AJ264" s="212"/>
      <c r="AK264" s="212"/>
      <c r="AL264" s="212"/>
      <c r="AM264" s="212"/>
      <c r="AN264" s="212"/>
      <c r="AO264" s="212"/>
      <c r="AP264" s="212"/>
      <c r="AQ264" s="212"/>
      <c r="AR264" s="212"/>
      <c r="AS264" s="212"/>
      <c r="AT264" s="212"/>
      <c r="AU264" s="212"/>
      <c r="AV264" s="212"/>
      <c r="AW264" s="212"/>
      <c r="AX264" s="212"/>
      <c r="AY264" s="212"/>
      <c r="AZ264" s="452"/>
      <c r="BA264" s="212"/>
      <c r="BB264" s="212"/>
      <c r="BC264" s="212"/>
      <c r="BD264" s="212"/>
      <c r="BE264" s="455"/>
      <c r="BF264" s="452"/>
    </row>
    <row r="265">
      <c r="A265" s="212"/>
      <c r="B265" s="447"/>
      <c r="C265" s="212"/>
      <c r="D265" s="212"/>
      <c r="E265" s="212"/>
      <c r="F265" s="212"/>
      <c r="G265" s="212"/>
      <c r="H265" s="212"/>
      <c r="I265" s="212"/>
      <c r="J265" s="212"/>
      <c r="K265" s="212"/>
      <c r="L265" s="212"/>
      <c r="M265" s="212"/>
      <c r="N265" s="212"/>
      <c r="O265" s="212"/>
      <c r="P265" s="212"/>
      <c r="Q265" s="212"/>
      <c r="R265" s="451"/>
      <c r="S265" s="451"/>
      <c r="T265" s="212"/>
      <c r="U265" s="451"/>
      <c r="V265" s="451"/>
      <c r="W265" s="451"/>
      <c r="X265" s="451"/>
      <c r="Y265" s="212"/>
      <c r="Z265" s="212"/>
      <c r="AA265" s="212"/>
      <c r="AB265" s="212"/>
      <c r="AC265" s="212"/>
      <c r="AD265" s="212"/>
      <c r="AE265" s="450"/>
      <c r="AF265" s="212"/>
      <c r="AG265" s="212"/>
      <c r="AH265" s="212"/>
      <c r="AI265" s="212"/>
      <c r="AJ265" s="212"/>
      <c r="AK265" s="212"/>
      <c r="AL265" s="212"/>
      <c r="AM265" s="212"/>
      <c r="AN265" s="212"/>
      <c r="AO265" s="212"/>
      <c r="AP265" s="212"/>
      <c r="AQ265" s="212"/>
      <c r="AR265" s="212"/>
      <c r="AS265" s="212"/>
      <c r="AT265" s="212"/>
      <c r="AU265" s="212"/>
      <c r="AV265" s="212"/>
      <c r="AW265" s="212"/>
      <c r="AX265" s="212"/>
      <c r="AY265" s="212"/>
      <c r="AZ265" s="452"/>
      <c r="BA265" s="212"/>
      <c r="BB265" s="212"/>
      <c r="BC265" s="212"/>
      <c r="BD265" s="212"/>
      <c r="BE265" s="455"/>
      <c r="BF265" s="452"/>
    </row>
    <row r="266">
      <c r="A266" s="212"/>
      <c r="B266" s="447"/>
      <c r="C266" s="212"/>
      <c r="D266" s="212"/>
      <c r="E266" s="212"/>
      <c r="F266" s="212"/>
      <c r="G266" s="212"/>
      <c r="H266" s="212"/>
      <c r="I266" s="212"/>
      <c r="J266" s="212"/>
      <c r="K266" s="212"/>
      <c r="L266" s="212"/>
      <c r="M266" s="212"/>
      <c r="N266" s="212"/>
      <c r="O266" s="212"/>
      <c r="P266" s="212"/>
      <c r="Q266" s="212"/>
      <c r="R266" s="451"/>
      <c r="S266" s="451"/>
      <c r="T266" s="212"/>
      <c r="U266" s="451"/>
      <c r="V266" s="451"/>
      <c r="W266" s="451"/>
      <c r="X266" s="451"/>
      <c r="Y266" s="212"/>
      <c r="Z266" s="212"/>
      <c r="AA266" s="212"/>
      <c r="AB266" s="212"/>
      <c r="AC266" s="212"/>
      <c r="AD266" s="212"/>
      <c r="AE266" s="450"/>
      <c r="AF266" s="212"/>
      <c r="AG266" s="212"/>
      <c r="AH266" s="212"/>
      <c r="AI266" s="212"/>
      <c r="AJ266" s="212"/>
      <c r="AK266" s="212"/>
      <c r="AL266" s="212"/>
      <c r="AM266" s="212"/>
      <c r="AN266" s="212"/>
      <c r="AO266" s="212"/>
      <c r="AP266" s="212"/>
      <c r="AQ266" s="212"/>
      <c r="AR266" s="212"/>
      <c r="AS266" s="212"/>
      <c r="AT266" s="212"/>
      <c r="AU266" s="212"/>
      <c r="AV266" s="212"/>
      <c r="AW266" s="212"/>
      <c r="AX266" s="212"/>
      <c r="AY266" s="212"/>
      <c r="AZ266" s="452"/>
      <c r="BA266" s="212"/>
      <c r="BB266" s="212"/>
      <c r="BC266" s="212"/>
      <c r="BD266" s="212"/>
      <c r="BE266" s="455"/>
      <c r="BF266" s="452"/>
    </row>
    <row r="267">
      <c r="A267" s="212"/>
      <c r="B267" s="447"/>
      <c r="C267" s="212"/>
      <c r="D267" s="212"/>
      <c r="E267" s="212"/>
      <c r="F267" s="212"/>
      <c r="G267" s="212"/>
      <c r="H267" s="212"/>
      <c r="I267" s="212"/>
      <c r="J267" s="212"/>
      <c r="K267" s="212"/>
      <c r="L267" s="212"/>
      <c r="M267" s="212"/>
      <c r="N267" s="212"/>
      <c r="O267" s="212"/>
      <c r="P267" s="212"/>
      <c r="Q267" s="212"/>
      <c r="R267" s="451"/>
      <c r="S267" s="451"/>
      <c r="T267" s="212"/>
      <c r="U267" s="451"/>
      <c r="V267" s="451"/>
      <c r="W267" s="451"/>
      <c r="X267" s="451"/>
      <c r="Y267" s="212"/>
      <c r="Z267" s="212"/>
      <c r="AA267" s="212"/>
      <c r="AB267" s="212"/>
      <c r="AC267" s="212"/>
      <c r="AD267" s="212"/>
      <c r="AE267" s="450"/>
      <c r="AF267" s="212"/>
      <c r="AG267" s="212"/>
      <c r="AH267" s="212"/>
      <c r="AI267" s="212"/>
      <c r="AJ267" s="212"/>
      <c r="AK267" s="212"/>
      <c r="AL267" s="212"/>
      <c r="AM267" s="212"/>
      <c r="AN267" s="212"/>
      <c r="AO267" s="212"/>
      <c r="AP267" s="212"/>
      <c r="AQ267" s="212"/>
      <c r="AR267" s="212"/>
      <c r="AS267" s="212"/>
      <c r="AT267" s="212"/>
      <c r="AU267" s="212"/>
      <c r="AV267" s="212"/>
      <c r="AW267" s="212"/>
      <c r="AX267" s="212"/>
      <c r="AY267" s="212"/>
      <c r="AZ267" s="452"/>
      <c r="BA267" s="212"/>
      <c r="BB267" s="212"/>
      <c r="BC267" s="212"/>
      <c r="BD267" s="212"/>
      <c r="BE267" s="455"/>
      <c r="BF267" s="452"/>
    </row>
    <row r="268">
      <c r="A268" s="212"/>
      <c r="B268" s="447"/>
      <c r="C268" s="212"/>
      <c r="D268" s="212"/>
      <c r="E268" s="212"/>
      <c r="F268" s="212"/>
      <c r="G268" s="212"/>
      <c r="H268" s="212"/>
      <c r="I268" s="212"/>
      <c r="J268" s="212"/>
      <c r="K268" s="212"/>
      <c r="L268" s="212"/>
      <c r="M268" s="212"/>
      <c r="N268" s="212"/>
      <c r="O268" s="212"/>
      <c r="P268" s="212"/>
      <c r="Q268" s="212"/>
      <c r="R268" s="451"/>
      <c r="S268" s="451"/>
      <c r="T268" s="212"/>
      <c r="U268" s="451"/>
      <c r="V268" s="451"/>
      <c r="W268" s="451"/>
      <c r="X268" s="451"/>
      <c r="Y268" s="212"/>
      <c r="Z268" s="212"/>
      <c r="AA268" s="212"/>
      <c r="AB268" s="212"/>
      <c r="AC268" s="212"/>
      <c r="AD268" s="212"/>
      <c r="AE268" s="450"/>
      <c r="AF268" s="212"/>
      <c r="AG268" s="212"/>
      <c r="AH268" s="212"/>
      <c r="AI268" s="212"/>
      <c r="AJ268" s="212"/>
      <c r="AK268" s="212"/>
      <c r="AL268" s="212"/>
      <c r="AM268" s="212"/>
      <c r="AN268" s="212"/>
      <c r="AO268" s="212"/>
      <c r="AP268" s="212"/>
      <c r="AQ268" s="212"/>
      <c r="AR268" s="212"/>
      <c r="AS268" s="212"/>
      <c r="AT268" s="212"/>
      <c r="AU268" s="212"/>
      <c r="AV268" s="212"/>
      <c r="AW268" s="212"/>
      <c r="AX268" s="212"/>
      <c r="AY268" s="212"/>
      <c r="AZ268" s="452"/>
      <c r="BA268" s="212"/>
      <c r="BB268" s="212"/>
      <c r="BC268" s="212"/>
      <c r="BD268" s="212"/>
      <c r="BE268" s="455"/>
      <c r="BF268" s="452"/>
    </row>
    <row r="269">
      <c r="A269" s="212"/>
      <c r="B269" s="447"/>
      <c r="C269" s="212"/>
      <c r="D269" s="212"/>
      <c r="E269" s="212"/>
      <c r="F269" s="212"/>
      <c r="G269" s="212"/>
      <c r="H269" s="212"/>
      <c r="I269" s="212"/>
      <c r="J269" s="212"/>
      <c r="K269" s="212"/>
      <c r="L269" s="212"/>
      <c r="M269" s="212"/>
      <c r="N269" s="212"/>
      <c r="O269" s="212"/>
      <c r="P269" s="212"/>
      <c r="Q269" s="212"/>
      <c r="R269" s="451"/>
      <c r="S269" s="451"/>
      <c r="T269" s="212"/>
      <c r="U269" s="451"/>
      <c r="V269" s="451"/>
      <c r="W269" s="451"/>
      <c r="X269" s="451"/>
      <c r="Y269" s="212"/>
      <c r="Z269" s="212"/>
      <c r="AA269" s="212"/>
      <c r="AB269" s="212"/>
      <c r="AC269" s="212"/>
      <c r="AD269" s="212"/>
      <c r="AE269" s="450"/>
      <c r="AF269" s="212"/>
      <c r="AG269" s="212"/>
      <c r="AH269" s="212"/>
      <c r="AI269" s="212"/>
      <c r="AJ269" s="212"/>
      <c r="AK269" s="212"/>
      <c r="AL269" s="212"/>
      <c r="AM269" s="212"/>
      <c r="AN269" s="212"/>
      <c r="AO269" s="212"/>
      <c r="AP269" s="212"/>
      <c r="AQ269" s="212"/>
      <c r="AR269" s="212"/>
      <c r="AS269" s="212"/>
      <c r="AT269" s="212"/>
      <c r="AU269" s="212"/>
      <c r="AV269" s="212"/>
      <c r="AW269" s="212"/>
      <c r="AX269" s="212"/>
      <c r="AY269" s="212"/>
      <c r="AZ269" s="452"/>
      <c r="BA269" s="212"/>
      <c r="BB269" s="212"/>
      <c r="BC269" s="212"/>
      <c r="BD269" s="212"/>
      <c r="BE269" s="455"/>
      <c r="BF269" s="452"/>
    </row>
    <row r="270">
      <c r="A270" s="212"/>
      <c r="B270" s="447"/>
      <c r="C270" s="212"/>
      <c r="D270" s="212"/>
      <c r="E270" s="212"/>
      <c r="F270" s="212"/>
      <c r="G270" s="212"/>
      <c r="H270" s="212"/>
      <c r="I270" s="212"/>
      <c r="J270" s="212"/>
      <c r="K270" s="212"/>
      <c r="L270" s="212"/>
      <c r="M270" s="212"/>
      <c r="N270" s="212"/>
      <c r="O270" s="212"/>
      <c r="P270" s="212"/>
      <c r="Q270" s="212"/>
      <c r="R270" s="451"/>
      <c r="S270" s="451"/>
      <c r="T270" s="212"/>
      <c r="U270" s="451"/>
      <c r="V270" s="451"/>
      <c r="W270" s="451"/>
      <c r="X270" s="451"/>
      <c r="Y270" s="212"/>
      <c r="Z270" s="212"/>
      <c r="AA270" s="212"/>
      <c r="AB270" s="212"/>
      <c r="AC270" s="212"/>
      <c r="AD270" s="212"/>
      <c r="AE270" s="450"/>
      <c r="AF270" s="212"/>
      <c r="AG270" s="212"/>
      <c r="AH270" s="212"/>
      <c r="AI270" s="212"/>
      <c r="AJ270" s="212"/>
      <c r="AK270" s="212"/>
      <c r="AL270" s="212"/>
      <c r="AM270" s="212"/>
      <c r="AN270" s="212"/>
      <c r="AO270" s="212"/>
      <c r="AP270" s="212"/>
      <c r="AQ270" s="212"/>
      <c r="AR270" s="212"/>
      <c r="AS270" s="212"/>
      <c r="AT270" s="212"/>
      <c r="AU270" s="212"/>
      <c r="AV270" s="212"/>
      <c r="AW270" s="212"/>
      <c r="AX270" s="212"/>
      <c r="AY270" s="212"/>
      <c r="AZ270" s="452"/>
      <c r="BA270" s="212"/>
      <c r="BB270" s="212"/>
      <c r="BC270" s="212"/>
      <c r="BD270" s="212"/>
      <c r="BE270" s="455"/>
      <c r="BF270" s="452"/>
    </row>
    <row r="271">
      <c r="A271" s="212"/>
      <c r="B271" s="447"/>
      <c r="C271" s="212"/>
      <c r="D271" s="212"/>
      <c r="E271" s="212"/>
      <c r="F271" s="212"/>
      <c r="G271" s="212"/>
      <c r="H271" s="212"/>
      <c r="I271" s="212"/>
      <c r="J271" s="212"/>
      <c r="K271" s="212"/>
      <c r="L271" s="212"/>
      <c r="M271" s="212"/>
      <c r="N271" s="212"/>
      <c r="O271" s="212"/>
      <c r="P271" s="212"/>
      <c r="Q271" s="212"/>
      <c r="R271" s="451"/>
      <c r="S271" s="451"/>
      <c r="T271" s="212"/>
      <c r="U271" s="451"/>
      <c r="V271" s="451"/>
      <c r="W271" s="451"/>
      <c r="X271" s="451"/>
      <c r="Y271" s="212"/>
      <c r="Z271" s="212"/>
      <c r="AA271" s="212"/>
      <c r="AB271" s="212"/>
      <c r="AC271" s="212"/>
      <c r="AD271" s="212"/>
      <c r="AE271" s="450"/>
      <c r="AF271" s="212"/>
      <c r="AG271" s="212"/>
      <c r="AH271" s="212"/>
      <c r="AI271" s="212"/>
      <c r="AJ271" s="212"/>
      <c r="AK271" s="212"/>
      <c r="AL271" s="212"/>
      <c r="AM271" s="212"/>
      <c r="AN271" s="212"/>
      <c r="AO271" s="212"/>
      <c r="AP271" s="212"/>
      <c r="AQ271" s="212"/>
      <c r="AR271" s="212"/>
      <c r="AS271" s="212"/>
      <c r="AT271" s="212"/>
      <c r="AU271" s="212"/>
      <c r="AV271" s="212"/>
      <c r="AW271" s="212"/>
      <c r="AX271" s="212"/>
      <c r="AY271" s="212"/>
      <c r="AZ271" s="452"/>
      <c r="BA271" s="212"/>
      <c r="BB271" s="212"/>
      <c r="BC271" s="212"/>
      <c r="BD271" s="212"/>
      <c r="BE271" s="455"/>
      <c r="BF271" s="452"/>
    </row>
    <row r="272">
      <c r="A272" s="212"/>
      <c r="B272" s="447"/>
      <c r="C272" s="212"/>
      <c r="D272" s="212"/>
      <c r="E272" s="212"/>
      <c r="F272" s="212"/>
      <c r="G272" s="212"/>
      <c r="H272" s="212"/>
      <c r="I272" s="212"/>
      <c r="J272" s="212"/>
      <c r="K272" s="212"/>
      <c r="L272" s="212"/>
      <c r="M272" s="212"/>
      <c r="N272" s="212"/>
      <c r="O272" s="212"/>
      <c r="P272" s="212"/>
      <c r="Q272" s="212"/>
      <c r="R272" s="451"/>
      <c r="S272" s="451"/>
      <c r="T272" s="212"/>
      <c r="U272" s="451"/>
      <c r="V272" s="451"/>
      <c r="W272" s="451"/>
      <c r="X272" s="451"/>
      <c r="Y272" s="212"/>
      <c r="Z272" s="212"/>
      <c r="AA272" s="212"/>
      <c r="AB272" s="212"/>
      <c r="AC272" s="212"/>
      <c r="AD272" s="212"/>
      <c r="AE272" s="450"/>
      <c r="AF272" s="212"/>
      <c r="AG272" s="212"/>
      <c r="AH272" s="212"/>
      <c r="AI272" s="212"/>
      <c r="AJ272" s="212"/>
      <c r="AK272" s="212"/>
      <c r="AL272" s="212"/>
      <c r="AM272" s="212"/>
      <c r="AN272" s="212"/>
      <c r="AO272" s="212"/>
      <c r="AP272" s="212"/>
      <c r="AQ272" s="212"/>
      <c r="AR272" s="212"/>
      <c r="AS272" s="212"/>
      <c r="AT272" s="212"/>
      <c r="AU272" s="212"/>
      <c r="AV272" s="212"/>
      <c r="AW272" s="212"/>
      <c r="AX272" s="212"/>
      <c r="AY272" s="212"/>
      <c r="AZ272" s="452"/>
      <c r="BA272" s="212"/>
      <c r="BB272" s="212"/>
      <c r="BC272" s="212"/>
      <c r="BD272" s="212"/>
      <c r="BE272" s="455"/>
      <c r="BF272" s="452"/>
    </row>
    <row r="273">
      <c r="A273" s="212"/>
      <c r="B273" s="447"/>
      <c r="C273" s="212"/>
      <c r="D273" s="212"/>
      <c r="E273" s="212"/>
      <c r="F273" s="212"/>
      <c r="G273" s="212"/>
      <c r="H273" s="212"/>
      <c r="I273" s="212"/>
      <c r="J273" s="212"/>
      <c r="K273" s="212"/>
      <c r="L273" s="212"/>
      <c r="M273" s="212"/>
      <c r="N273" s="212"/>
      <c r="O273" s="212"/>
      <c r="P273" s="212"/>
      <c r="Q273" s="212"/>
      <c r="R273" s="451"/>
      <c r="S273" s="451"/>
      <c r="T273" s="212"/>
      <c r="U273" s="451"/>
      <c r="V273" s="451"/>
      <c r="W273" s="451"/>
      <c r="X273" s="451"/>
      <c r="Y273" s="212"/>
      <c r="Z273" s="212"/>
      <c r="AA273" s="212"/>
      <c r="AB273" s="212"/>
      <c r="AC273" s="212"/>
      <c r="AD273" s="212"/>
      <c r="AE273" s="450"/>
      <c r="AF273" s="212"/>
      <c r="AG273" s="212"/>
      <c r="AH273" s="212"/>
      <c r="AI273" s="212"/>
      <c r="AJ273" s="212"/>
      <c r="AK273" s="212"/>
      <c r="AL273" s="212"/>
      <c r="AM273" s="212"/>
      <c r="AN273" s="212"/>
      <c r="AO273" s="212"/>
      <c r="AP273" s="212"/>
      <c r="AQ273" s="212"/>
      <c r="AR273" s="212"/>
      <c r="AS273" s="212"/>
      <c r="AT273" s="212"/>
      <c r="AU273" s="212"/>
      <c r="AV273" s="212"/>
      <c r="AW273" s="212"/>
      <c r="AX273" s="212"/>
      <c r="AY273" s="212"/>
      <c r="AZ273" s="452"/>
      <c r="BA273" s="212"/>
      <c r="BB273" s="212"/>
      <c r="BC273" s="212"/>
      <c r="BD273" s="212"/>
      <c r="BE273" s="455"/>
      <c r="BF273" s="452"/>
    </row>
    <row r="274">
      <c r="A274" s="212"/>
      <c r="B274" s="447"/>
      <c r="C274" s="212"/>
      <c r="D274" s="212"/>
      <c r="E274" s="212"/>
      <c r="F274" s="212"/>
      <c r="G274" s="212"/>
      <c r="H274" s="212"/>
      <c r="I274" s="212"/>
      <c r="J274" s="212"/>
      <c r="K274" s="212"/>
      <c r="L274" s="212"/>
      <c r="M274" s="212"/>
      <c r="N274" s="212"/>
      <c r="O274" s="212"/>
      <c r="P274" s="212"/>
      <c r="Q274" s="212"/>
      <c r="R274" s="451"/>
      <c r="S274" s="451"/>
      <c r="T274" s="212"/>
      <c r="U274" s="451"/>
      <c r="V274" s="451"/>
      <c r="W274" s="451"/>
      <c r="X274" s="451"/>
      <c r="Y274" s="212"/>
      <c r="Z274" s="212"/>
      <c r="AA274" s="212"/>
      <c r="AB274" s="212"/>
      <c r="AC274" s="212"/>
      <c r="AD274" s="212"/>
      <c r="AE274" s="450"/>
      <c r="AF274" s="212"/>
      <c r="AG274" s="212"/>
      <c r="AH274" s="212"/>
      <c r="AI274" s="212"/>
      <c r="AJ274" s="212"/>
      <c r="AK274" s="212"/>
      <c r="AL274" s="212"/>
      <c r="AM274" s="212"/>
      <c r="AN274" s="212"/>
      <c r="AO274" s="212"/>
      <c r="AP274" s="212"/>
      <c r="AQ274" s="212"/>
      <c r="AR274" s="212"/>
      <c r="AS274" s="212"/>
      <c r="AT274" s="212"/>
      <c r="AU274" s="212"/>
      <c r="AV274" s="212"/>
      <c r="AW274" s="212"/>
      <c r="AX274" s="212"/>
      <c r="AY274" s="212"/>
      <c r="AZ274" s="452"/>
      <c r="BA274" s="212"/>
      <c r="BB274" s="212"/>
      <c r="BC274" s="212"/>
      <c r="BD274" s="212"/>
      <c r="BE274" s="455"/>
      <c r="BF274" s="452"/>
    </row>
    <row r="275">
      <c r="A275" s="212"/>
      <c r="B275" s="447"/>
      <c r="C275" s="212"/>
      <c r="D275" s="212"/>
      <c r="E275" s="212"/>
      <c r="F275" s="212"/>
      <c r="G275" s="212"/>
      <c r="H275" s="212"/>
      <c r="I275" s="212"/>
      <c r="J275" s="212"/>
      <c r="K275" s="212"/>
      <c r="L275" s="212"/>
      <c r="M275" s="212"/>
      <c r="N275" s="212"/>
      <c r="O275" s="212"/>
      <c r="P275" s="212"/>
      <c r="Q275" s="212"/>
      <c r="R275" s="451"/>
      <c r="S275" s="451"/>
      <c r="T275" s="212"/>
      <c r="U275" s="451"/>
      <c r="V275" s="451"/>
      <c r="W275" s="451"/>
      <c r="X275" s="451"/>
      <c r="Y275" s="212"/>
      <c r="Z275" s="212"/>
      <c r="AA275" s="212"/>
      <c r="AB275" s="212"/>
      <c r="AC275" s="212"/>
      <c r="AD275" s="212"/>
      <c r="AE275" s="450"/>
      <c r="AF275" s="212"/>
      <c r="AG275" s="212"/>
      <c r="AH275" s="212"/>
      <c r="AI275" s="212"/>
      <c r="AJ275" s="212"/>
      <c r="AK275" s="212"/>
      <c r="AL275" s="212"/>
      <c r="AM275" s="212"/>
      <c r="AN275" s="212"/>
      <c r="AO275" s="212"/>
      <c r="AP275" s="212"/>
      <c r="AQ275" s="212"/>
      <c r="AR275" s="212"/>
      <c r="AS275" s="212"/>
      <c r="AT275" s="212"/>
      <c r="AU275" s="212"/>
      <c r="AV275" s="212"/>
      <c r="AW275" s="212"/>
      <c r="AX275" s="212"/>
      <c r="AY275" s="212"/>
      <c r="AZ275" s="452"/>
      <c r="BA275" s="212"/>
      <c r="BB275" s="212"/>
      <c r="BC275" s="212"/>
      <c r="BD275" s="212"/>
      <c r="BE275" s="455"/>
      <c r="BF275" s="452"/>
    </row>
    <row r="276">
      <c r="A276" s="212"/>
      <c r="B276" s="447"/>
      <c r="C276" s="212"/>
      <c r="D276" s="212"/>
      <c r="E276" s="212"/>
      <c r="F276" s="212"/>
      <c r="G276" s="212"/>
      <c r="H276" s="212"/>
      <c r="I276" s="212"/>
      <c r="J276" s="212"/>
      <c r="K276" s="212"/>
      <c r="L276" s="212"/>
      <c r="M276" s="212"/>
      <c r="N276" s="212"/>
      <c r="O276" s="212"/>
      <c r="P276" s="212"/>
      <c r="Q276" s="212"/>
      <c r="R276" s="451"/>
      <c r="S276" s="451"/>
      <c r="T276" s="212"/>
      <c r="U276" s="451"/>
      <c r="V276" s="451"/>
      <c r="W276" s="451"/>
      <c r="X276" s="451"/>
      <c r="Y276" s="212"/>
      <c r="Z276" s="212"/>
      <c r="AA276" s="212"/>
      <c r="AB276" s="212"/>
      <c r="AC276" s="212"/>
      <c r="AD276" s="212"/>
      <c r="AE276" s="450"/>
      <c r="AF276" s="212"/>
      <c r="AG276" s="212"/>
      <c r="AH276" s="212"/>
      <c r="AI276" s="212"/>
      <c r="AJ276" s="212"/>
      <c r="AK276" s="212"/>
      <c r="AL276" s="212"/>
      <c r="AM276" s="212"/>
      <c r="AN276" s="212"/>
      <c r="AO276" s="212"/>
      <c r="AP276" s="212"/>
      <c r="AQ276" s="212"/>
      <c r="AR276" s="212"/>
      <c r="AS276" s="212"/>
      <c r="AT276" s="212"/>
      <c r="AU276" s="212"/>
      <c r="AV276" s="212"/>
      <c r="AW276" s="212"/>
      <c r="AX276" s="212"/>
      <c r="AY276" s="212"/>
      <c r="AZ276" s="452"/>
      <c r="BA276" s="212"/>
      <c r="BB276" s="212"/>
      <c r="BC276" s="212"/>
      <c r="BD276" s="212"/>
      <c r="BE276" s="455"/>
      <c r="BF276" s="452"/>
    </row>
    <row r="277">
      <c r="A277" s="212"/>
      <c r="B277" s="447"/>
      <c r="C277" s="212"/>
      <c r="D277" s="212"/>
      <c r="E277" s="212"/>
      <c r="F277" s="212"/>
      <c r="G277" s="212"/>
      <c r="H277" s="212"/>
      <c r="I277" s="212"/>
      <c r="J277" s="212"/>
      <c r="K277" s="212"/>
      <c r="L277" s="212"/>
      <c r="M277" s="212"/>
      <c r="N277" s="212"/>
      <c r="O277" s="212"/>
      <c r="P277" s="212"/>
      <c r="Q277" s="212"/>
      <c r="R277" s="451"/>
      <c r="S277" s="451"/>
      <c r="T277" s="212"/>
      <c r="U277" s="451"/>
      <c r="V277" s="451"/>
      <c r="W277" s="451"/>
      <c r="X277" s="451"/>
      <c r="Y277" s="212"/>
      <c r="Z277" s="212"/>
      <c r="AA277" s="212"/>
      <c r="AB277" s="212"/>
      <c r="AC277" s="212"/>
      <c r="AD277" s="212"/>
      <c r="AE277" s="450"/>
      <c r="AF277" s="212"/>
      <c r="AG277" s="212"/>
      <c r="AH277" s="212"/>
      <c r="AI277" s="212"/>
      <c r="AJ277" s="212"/>
      <c r="AK277" s="212"/>
      <c r="AL277" s="212"/>
      <c r="AM277" s="212"/>
      <c r="AN277" s="212"/>
      <c r="AO277" s="212"/>
      <c r="AP277" s="212"/>
      <c r="AQ277" s="212"/>
      <c r="AR277" s="212"/>
      <c r="AS277" s="212"/>
      <c r="AT277" s="212"/>
      <c r="AU277" s="212"/>
      <c r="AV277" s="212"/>
      <c r="AW277" s="212"/>
      <c r="AX277" s="212"/>
      <c r="AY277" s="212"/>
      <c r="AZ277" s="452"/>
      <c r="BA277" s="212"/>
      <c r="BB277" s="212"/>
      <c r="BC277" s="212"/>
      <c r="BD277" s="212"/>
      <c r="BE277" s="455"/>
      <c r="BF277" s="452"/>
    </row>
    <row r="278">
      <c r="A278" s="212"/>
      <c r="B278" s="447"/>
      <c r="C278" s="212"/>
      <c r="D278" s="212"/>
      <c r="E278" s="212"/>
      <c r="F278" s="212"/>
      <c r="G278" s="212"/>
      <c r="H278" s="212"/>
      <c r="I278" s="212"/>
      <c r="J278" s="212"/>
      <c r="K278" s="212"/>
      <c r="L278" s="212"/>
      <c r="M278" s="212"/>
      <c r="N278" s="212"/>
      <c r="O278" s="212"/>
      <c r="P278" s="212"/>
      <c r="Q278" s="212"/>
      <c r="R278" s="451"/>
      <c r="S278" s="451"/>
      <c r="T278" s="212"/>
      <c r="U278" s="451"/>
      <c r="V278" s="451"/>
      <c r="W278" s="451"/>
      <c r="X278" s="451"/>
      <c r="Y278" s="212"/>
      <c r="Z278" s="212"/>
      <c r="AA278" s="212"/>
      <c r="AB278" s="212"/>
      <c r="AC278" s="212"/>
      <c r="AD278" s="212"/>
      <c r="AE278" s="450"/>
      <c r="AF278" s="212"/>
      <c r="AG278" s="212"/>
      <c r="AH278" s="212"/>
      <c r="AI278" s="212"/>
      <c r="AJ278" s="212"/>
      <c r="AK278" s="212"/>
      <c r="AL278" s="212"/>
      <c r="AM278" s="212"/>
      <c r="AN278" s="212"/>
      <c r="AO278" s="212"/>
      <c r="AP278" s="212"/>
      <c r="AQ278" s="212"/>
      <c r="AR278" s="212"/>
      <c r="AS278" s="212"/>
      <c r="AT278" s="212"/>
      <c r="AU278" s="212"/>
      <c r="AV278" s="212"/>
      <c r="AW278" s="212"/>
      <c r="AX278" s="212"/>
      <c r="AY278" s="212"/>
      <c r="AZ278" s="452"/>
      <c r="BA278" s="212"/>
      <c r="BB278" s="212"/>
      <c r="BC278" s="212"/>
      <c r="BD278" s="212"/>
      <c r="BE278" s="455"/>
      <c r="BF278" s="452"/>
    </row>
    <row r="279">
      <c r="A279" s="212"/>
      <c r="B279" s="447"/>
      <c r="C279" s="212"/>
      <c r="D279" s="212"/>
      <c r="E279" s="212"/>
      <c r="F279" s="212"/>
      <c r="G279" s="212"/>
      <c r="H279" s="212"/>
      <c r="I279" s="212"/>
      <c r="J279" s="212"/>
      <c r="K279" s="212"/>
      <c r="L279" s="212"/>
      <c r="M279" s="212"/>
      <c r="N279" s="212"/>
      <c r="O279" s="212"/>
      <c r="P279" s="212"/>
      <c r="Q279" s="212"/>
      <c r="R279" s="451"/>
      <c r="S279" s="451"/>
      <c r="T279" s="212"/>
      <c r="U279" s="451"/>
      <c r="V279" s="451"/>
      <c r="W279" s="451"/>
      <c r="X279" s="451"/>
      <c r="Y279" s="212"/>
      <c r="Z279" s="212"/>
      <c r="AA279" s="212"/>
      <c r="AB279" s="212"/>
      <c r="AC279" s="212"/>
      <c r="AD279" s="212"/>
      <c r="AE279" s="450"/>
      <c r="AF279" s="212"/>
      <c r="AG279" s="212"/>
      <c r="AH279" s="212"/>
      <c r="AI279" s="212"/>
      <c r="AJ279" s="212"/>
      <c r="AK279" s="212"/>
      <c r="AL279" s="212"/>
      <c r="AM279" s="212"/>
      <c r="AN279" s="212"/>
      <c r="AO279" s="212"/>
      <c r="AP279" s="212"/>
      <c r="AQ279" s="212"/>
      <c r="AR279" s="212"/>
      <c r="AS279" s="212"/>
      <c r="AT279" s="212"/>
      <c r="AU279" s="212"/>
      <c r="AV279" s="212"/>
      <c r="AW279" s="212"/>
      <c r="AX279" s="212"/>
      <c r="AY279" s="212"/>
      <c r="AZ279" s="452"/>
      <c r="BA279" s="212"/>
      <c r="BB279" s="212"/>
      <c r="BC279" s="212"/>
      <c r="BD279" s="212"/>
      <c r="BE279" s="455"/>
      <c r="BF279" s="452"/>
    </row>
    <row r="280">
      <c r="A280" s="212"/>
      <c r="B280" s="447"/>
      <c r="C280" s="212"/>
      <c r="D280" s="212"/>
      <c r="E280" s="212"/>
      <c r="F280" s="212"/>
      <c r="G280" s="212"/>
      <c r="H280" s="212"/>
      <c r="I280" s="212"/>
      <c r="J280" s="212"/>
      <c r="K280" s="212"/>
      <c r="L280" s="212"/>
      <c r="M280" s="212"/>
      <c r="N280" s="212"/>
      <c r="O280" s="212"/>
      <c r="P280" s="212"/>
      <c r="Q280" s="212"/>
      <c r="R280" s="451"/>
      <c r="S280" s="451"/>
      <c r="T280" s="212"/>
      <c r="U280" s="451"/>
      <c r="V280" s="451"/>
      <c r="W280" s="451"/>
      <c r="X280" s="451"/>
      <c r="Y280" s="212"/>
      <c r="Z280" s="212"/>
      <c r="AA280" s="212"/>
      <c r="AB280" s="212"/>
      <c r="AC280" s="212"/>
      <c r="AD280" s="212"/>
      <c r="AE280" s="450"/>
      <c r="AF280" s="212"/>
      <c r="AG280" s="212"/>
      <c r="AH280" s="212"/>
      <c r="AI280" s="212"/>
      <c r="AJ280" s="212"/>
      <c r="AK280" s="212"/>
      <c r="AL280" s="212"/>
      <c r="AM280" s="212"/>
      <c r="AN280" s="212"/>
      <c r="AO280" s="212"/>
      <c r="AP280" s="212"/>
      <c r="AQ280" s="212"/>
      <c r="AR280" s="212"/>
      <c r="AS280" s="212"/>
      <c r="AT280" s="212"/>
      <c r="AU280" s="212"/>
      <c r="AV280" s="212"/>
      <c r="AW280" s="212"/>
      <c r="AX280" s="212"/>
      <c r="AY280" s="212"/>
      <c r="AZ280" s="452"/>
      <c r="BA280" s="212"/>
      <c r="BB280" s="212"/>
      <c r="BC280" s="212"/>
      <c r="BD280" s="212"/>
      <c r="BE280" s="455"/>
      <c r="BF280" s="452"/>
    </row>
    <row r="281">
      <c r="A281" s="212"/>
      <c r="B281" s="447"/>
      <c r="C281" s="212"/>
      <c r="D281" s="212"/>
      <c r="E281" s="212"/>
      <c r="F281" s="212"/>
      <c r="G281" s="212"/>
      <c r="H281" s="212"/>
      <c r="I281" s="212"/>
      <c r="J281" s="212"/>
      <c r="K281" s="212"/>
      <c r="L281" s="212"/>
      <c r="M281" s="212"/>
      <c r="N281" s="212"/>
      <c r="O281" s="212"/>
      <c r="P281" s="212"/>
      <c r="Q281" s="212"/>
      <c r="R281" s="451"/>
      <c r="S281" s="451"/>
      <c r="T281" s="212"/>
      <c r="U281" s="451"/>
      <c r="V281" s="451"/>
      <c r="W281" s="451"/>
      <c r="X281" s="451"/>
      <c r="Y281" s="212"/>
      <c r="Z281" s="212"/>
      <c r="AA281" s="212"/>
      <c r="AB281" s="212"/>
      <c r="AC281" s="212"/>
      <c r="AD281" s="212"/>
      <c r="AE281" s="450"/>
      <c r="AF281" s="212"/>
      <c r="AG281" s="212"/>
      <c r="AH281" s="212"/>
      <c r="AI281" s="212"/>
      <c r="AJ281" s="212"/>
      <c r="AK281" s="212"/>
      <c r="AL281" s="212"/>
      <c r="AM281" s="212"/>
      <c r="AN281" s="212"/>
      <c r="AO281" s="212"/>
      <c r="AP281" s="212"/>
      <c r="AQ281" s="212"/>
      <c r="AR281" s="212"/>
      <c r="AS281" s="212"/>
      <c r="AT281" s="212"/>
      <c r="AU281" s="212"/>
      <c r="AV281" s="212"/>
      <c r="AW281" s="212"/>
      <c r="AX281" s="212"/>
      <c r="AY281" s="212"/>
      <c r="AZ281" s="452"/>
      <c r="BA281" s="212"/>
      <c r="BB281" s="212"/>
      <c r="BC281" s="212"/>
      <c r="BD281" s="212"/>
      <c r="BE281" s="455"/>
      <c r="BF281" s="452"/>
    </row>
    <row r="282">
      <c r="A282" s="212"/>
      <c r="B282" s="447"/>
      <c r="C282" s="212"/>
      <c r="D282" s="212"/>
      <c r="E282" s="212"/>
      <c r="F282" s="212"/>
      <c r="G282" s="212"/>
      <c r="H282" s="212"/>
      <c r="I282" s="212"/>
      <c r="J282" s="212"/>
      <c r="K282" s="212"/>
      <c r="L282" s="212"/>
      <c r="M282" s="212"/>
      <c r="N282" s="212"/>
      <c r="O282" s="212"/>
      <c r="P282" s="212"/>
      <c r="Q282" s="212"/>
      <c r="R282" s="451"/>
      <c r="S282" s="451"/>
      <c r="T282" s="212"/>
      <c r="U282" s="451"/>
      <c r="V282" s="451"/>
      <c r="W282" s="451"/>
      <c r="X282" s="451"/>
      <c r="Y282" s="212"/>
      <c r="Z282" s="212"/>
      <c r="AA282" s="212"/>
      <c r="AB282" s="212"/>
      <c r="AC282" s="212"/>
      <c r="AD282" s="212"/>
      <c r="AE282" s="450"/>
      <c r="AF282" s="212"/>
      <c r="AG282" s="212"/>
      <c r="AH282" s="212"/>
      <c r="AI282" s="212"/>
      <c r="AJ282" s="212"/>
      <c r="AK282" s="212"/>
      <c r="AL282" s="212"/>
      <c r="AM282" s="212"/>
      <c r="AN282" s="212"/>
      <c r="AO282" s="212"/>
      <c r="AP282" s="212"/>
      <c r="AQ282" s="212"/>
      <c r="AR282" s="212"/>
      <c r="AS282" s="212"/>
      <c r="AT282" s="212"/>
      <c r="AU282" s="212"/>
      <c r="AV282" s="212"/>
      <c r="AW282" s="212"/>
      <c r="AX282" s="212"/>
      <c r="AY282" s="212"/>
      <c r="AZ282" s="452"/>
      <c r="BA282" s="212"/>
      <c r="BB282" s="212"/>
      <c r="BC282" s="212"/>
      <c r="BD282" s="212"/>
      <c r="BE282" s="455"/>
      <c r="BF282" s="452"/>
    </row>
    <row r="283">
      <c r="A283" s="212"/>
      <c r="B283" s="447"/>
      <c r="C283" s="212"/>
      <c r="D283" s="212"/>
      <c r="E283" s="212"/>
      <c r="F283" s="212"/>
      <c r="G283" s="212"/>
      <c r="H283" s="212"/>
      <c r="I283" s="212"/>
      <c r="J283" s="212"/>
      <c r="K283" s="212"/>
      <c r="L283" s="212"/>
      <c r="M283" s="212"/>
      <c r="N283" s="212"/>
      <c r="O283" s="212"/>
      <c r="P283" s="212"/>
      <c r="Q283" s="212"/>
      <c r="R283" s="451"/>
      <c r="S283" s="451"/>
      <c r="T283" s="212"/>
      <c r="U283" s="451"/>
      <c r="V283" s="451"/>
      <c r="W283" s="451"/>
      <c r="X283" s="451"/>
      <c r="Y283" s="212"/>
      <c r="Z283" s="212"/>
      <c r="AA283" s="212"/>
      <c r="AB283" s="212"/>
      <c r="AC283" s="212"/>
      <c r="AD283" s="212"/>
      <c r="AE283" s="450"/>
      <c r="AF283" s="212"/>
      <c r="AG283" s="212"/>
      <c r="AH283" s="212"/>
      <c r="AI283" s="212"/>
      <c r="AJ283" s="212"/>
      <c r="AK283" s="212"/>
      <c r="AL283" s="212"/>
      <c r="AM283" s="212"/>
      <c r="AN283" s="212"/>
      <c r="AO283" s="212"/>
      <c r="AP283" s="212"/>
      <c r="AQ283" s="212"/>
      <c r="AR283" s="212"/>
      <c r="AS283" s="212"/>
      <c r="AT283" s="212"/>
      <c r="AU283" s="212"/>
      <c r="AV283" s="212"/>
      <c r="AW283" s="212"/>
      <c r="AX283" s="212"/>
      <c r="AY283" s="212"/>
      <c r="AZ283" s="452"/>
      <c r="BA283" s="212"/>
      <c r="BB283" s="212"/>
      <c r="BC283" s="212"/>
      <c r="BD283" s="212"/>
      <c r="BE283" s="455"/>
      <c r="BF283" s="452"/>
    </row>
    <row r="284">
      <c r="A284" s="212"/>
      <c r="B284" s="447"/>
      <c r="C284" s="212"/>
      <c r="D284" s="212"/>
      <c r="E284" s="212"/>
      <c r="F284" s="212"/>
      <c r="G284" s="212"/>
      <c r="H284" s="212"/>
      <c r="I284" s="212"/>
      <c r="J284" s="212"/>
      <c r="K284" s="212"/>
      <c r="L284" s="212"/>
      <c r="M284" s="212"/>
      <c r="N284" s="212"/>
      <c r="O284" s="212"/>
      <c r="P284" s="212"/>
      <c r="Q284" s="212"/>
      <c r="R284" s="451"/>
      <c r="S284" s="451"/>
      <c r="T284" s="212"/>
      <c r="U284" s="451"/>
      <c r="V284" s="451"/>
      <c r="W284" s="451"/>
      <c r="X284" s="451"/>
      <c r="Y284" s="212"/>
      <c r="Z284" s="212"/>
      <c r="AA284" s="212"/>
      <c r="AB284" s="212"/>
      <c r="AC284" s="212"/>
      <c r="AD284" s="212"/>
      <c r="AE284" s="450"/>
      <c r="AF284" s="212"/>
      <c r="AG284" s="212"/>
      <c r="AH284" s="212"/>
      <c r="AI284" s="212"/>
      <c r="AJ284" s="212"/>
      <c r="AK284" s="212"/>
      <c r="AL284" s="212"/>
      <c r="AM284" s="212"/>
      <c r="AN284" s="212"/>
      <c r="AO284" s="212"/>
      <c r="AP284" s="212"/>
      <c r="AQ284" s="212"/>
      <c r="AR284" s="212"/>
      <c r="AS284" s="212"/>
      <c r="AT284" s="212"/>
      <c r="AU284" s="212"/>
      <c r="AV284" s="212"/>
      <c r="AW284" s="212"/>
      <c r="AX284" s="212"/>
      <c r="AY284" s="212"/>
      <c r="AZ284" s="452"/>
      <c r="BA284" s="212"/>
      <c r="BB284" s="212"/>
      <c r="BC284" s="212"/>
      <c r="BD284" s="212"/>
      <c r="BE284" s="455"/>
      <c r="BF284" s="452"/>
    </row>
    <row r="285">
      <c r="A285" s="212"/>
      <c r="B285" s="447"/>
      <c r="C285" s="212"/>
      <c r="D285" s="212"/>
      <c r="E285" s="212"/>
      <c r="F285" s="212"/>
      <c r="G285" s="212"/>
      <c r="H285" s="212"/>
      <c r="I285" s="212"/>
      <c r="J285" s="212"/>
      <c r="K285" s="212"/>
      <c r="L285" s="212"/>
      <c r="M285" s="212"/>
      <c r="N285" s="212"/>
      <c r="O285" s="212"/>
      <c r="P285" s="212"/>
      <c r="Q285" s="212"/>
      <c r="R285" s="451"/>
      <c r="S285" s="451"/>
      <c r="T285" s="212"/>
      <c r="U285" s="451"/>
      <c r="V285" s="451"/>
      <c r="W285" s="451"/>
      <c r="X285" s="451"/>
      <c r="Y285" s="212"/>
      <c r="Z285" s="212"/>
      <c r="AA285" s="212"/>
      <c r="AB285" s="212"/>
      <c r="AC285" s="212"/>
      <c r="AD285" s="212"/>
      <c r="AE285" s="450"/>
      <c r="AF285" s="212"/>
      <c r="AG285" s="212"/>
      <c r="AH285" s="212"/>
      <c r="AI285" s="212"/>
      <c r="AJ285" s="212"/>
      <c r="AK285" s="212"/>
      <c r="AL285" s="212"/>
      <c r="AM285" s="212"/>
      <c r="AN285" s="212"/>
      <c r="AO285" s="212"/>
      <c r="AP285" s="212"/>
      <c r="AQ285" s="212"/>
      <c r="AR285" s="212"/>
      <c r="AS285" s="212"/>
      <c r="AT285" s="212"/>
      <c r="AU285" s="212"/>
      <c r="AV285" s="212"/>
      <c r="AW285" s="212"/>
      <c r="AX285" s="212"/>
      <c r="AY285" s="212"/>
      <c r="AZ285" s="452"/>
      <c r="BA285" s="212"/>
      <c r="BB285" s="212"/>
      <c r="BC285" s="212"/>
      <c r="BD285" s="212"/>
      <c r="BE285" s="455"/>
      <c r="BF285" s="452"/>
    </row>
    <row r="286">
      <c r="A286" s="212"/>
      <c r="B286" s="447"/>
      <c r="C286" s="212"/>
      <c r="D286" s="212"/>
      <c r="E286" s="212"/>
      <c r="F286" s="212"/>
      <c r="G286" s="212"/>
      <c r="H286" s="212"/>
      <c r="I286" s="212"/>
      <c r="J286" s="212"/>
      <c r="K286" s="212"/>
      <c r="L286" s="212"/>
      <c r="M286" s="212"/>
      <c r="N286" s="212"/>
      <c r="O286" s="212"/>
      <c r="P286" s="212"/>
      <c r="Q286" s="212"/>
      <c r="R286" s="451"/>
      <c r="S286" s="451"/>
      <c r="T286" s="212"/>
      <c r="U286" s="451"/>
      <c r="V286" s="451"/>
      <c r="W286" s="451"/>
      <c r="X286" s="451"/>
      <c r="Y286" s="212"/>
      <c r="Z286" s="212"/>
      <c r="AA286" s="212"/>
      <c r="AB286" s="212"/>
      <c r="AC286" s="212"/>
      <c r="AD286" s="212"/>
      <c r="AE286" s="450"/>
      <c r="AF286" s="212"/>
      <c r="AG286" s="212"/>
      <c r="AH286" s="212"/>
      <c r="AI286" s="212"/>
      <c r="AJ286" s="212"/>
      <c r="AK286" s="212"/>
      <c r="AL286" s="212"/>
      <c r="AM286" s="212"/>
      <c r="AN286" s="212"/>
      <c r="AO286" s="212"/>
      <c r="AP286" s="212"/>
      <c r="AQ286" s="212"/>
      <c r="AR286" s="212"/>
      <c r="AS286" s="212"/>
      <c r="AT286" s="212"/>
      <c r="AU286" s="212"/>
      <c r="AV286" s="212"/>
      <c r="AW286" s="212"/>
      <c r="AX286" s="212"/>
      <c r="AY286" s="212"/>
      <c r="AZ286" s="452"/>
      <c r="BA286" s="212"/>
      <c r="BB286" s="212"/>
      <c r="BC286" s="212"/>
      <c r="BD286" s="212"/>
      <c r="BE286" s="455"/>
      <c r="BF286" s="452"/>
    </row>
    <row r="287">
      <c r="A287" s="212"/>
      <c r="B287" s="447"/>
      <c r="C287" s="212"/>
      <c r="D287" s="212"/>
      <c r="E287" s="212"/>
      <c r="F287" s="212"/>
      <c r="G287" s="212"/>
      <c r="H287" s="212"/>
      <c r="I287" s="212"/>
      <c r="J287" s="212"/>
      <c r="K287" s="212"/>
      <c r="L287" s="212"/>
      <c r="M287" s="212"/>
      <c r="N287" s="212"/>
      <c r="O287" s="212"/>
      <c r="P287" s="212"/>
      <c r="Q287" s="212"/>
      <c r="R287" s="451"/>
      <c r="S287" s="451"/>
      <c r="T287" s="212"/>
      <c r="U287" s="451"/>
      <c r="V287" s="451"/>
      <c r="W287" s="451"/>
      <c r="X287" s="451"/>
      <c r="Y287" s="212"/>
      <c r="Z287" s="212"/>
      <c r="AA287" s="212"/>
      <c r="AB287" s="212"/>
      <c r="AC287" s="212"/>
      <c r="AD287" s="212"/>
      <c r="AE287" s="450"/>
      <c r="AF287" s="212"/>
      <c r="AG287" s="212"/>
      <c r="AH287" s="212"/>
      <c r="AI287" s="212"/>
      <c r="AJ287" s="212"/>
      <c r="AK287" s="212"/>
      <c r="AL287" s="212"/>
      <c r="AM287" s="212"/>
      <c r="AN287" s="212"/>
      <c r="AO287" s="212"/>
      <c r="AP287" s="212"/>
      <c r="AQ287" s="212"/>
      <c r="AR287" s="212"/>
      <c r="AS287" s="212"/>
      <c r="AT287" s="212"/>
      <c r="AU287" s="212"/>
      <c r="AV287" s="212"/>
      <c r="AW287" s="212"/>
      <c r="AX287" s="212"/>
      <c r="AY287" s="212"/>
      <c r="AZ287" s="452"/>
      <c r="BA287" s="212"/>
      <c r="BB287" s="212"/>
      <c r="BC287" s="212"/>
      <c r="BD287" s="212"/>
      <c r="BE287" s="455"/>
      <c r="BF287" s="452"/>
    </row>
    <row r="288">
      <c r="A288" s="212"/>
      <c r="B288" s="447"/>
      <c r="C288" s="212"/>
      <c r="D288" s="212"/>
      <c r="E288" s="212"/>
      <c r="F288" s="212"/>
      <c r="G288" s="212"/>
      <c r="H288" s="212"/>
      <c r="I288" s="212"/>
      <c r="J288" s="212"/>
      <c r="K288" s="212"/>
      <c r="L288" s="212"/>
      <c r="M288" s="212"/>
      <c r="N288" s="212"/>
      <c r="O288" s="212"/>
      <c r="P288" s="212"/>
      <c r="Q288" s="212"/>
      <c r="R288" s="451"/>
      <c r="S288" s="451"/>
      <c r="T288" s="212"/>
      <c r="U288" s="451"/>
      <c r="V288" s="451"/>
      <c r="W288" s="451"/>
      <c r="X288" s="451"/>
      <c r="Y288" s="212"/>
      <c r="Z288" s="212"/>
      <c r="AA288" s="212"/>
      <c r="AB288" s="212"/>
      <c r="AC288" s="212"/>
      <c r="AD288" s="212"/>
      <c r="AE288" s="450"/>
      <c r="AF288" s="212"/>
      <c r="AG288" s="212"/>
      <c r="AH288" s="212"/>
      <c r="AI288" s="212"/>
      <c r="AJ288" s="212"/>
      <c r="AK288" s="212"/>
      <c r="AL288" s="212"/>
      <c r="AM288" s="212"/>
      <c r="AN288" s="212"/>
      <c r="AO288" s="212"/>
      <c r="AP288" s="212"/>
      <c r="AQ288" s="212"/>
      <c r="AR288" s="212"/>
      <c r="AS288" s="212"/>
      <c r="AT288" s="212"/>
      <c r="AU288" s="212"/>
      <c r="AV288" s="212"/>
      <c r="AW288" s="212"/>
      <c r="AX288" s="212"/>
      <c r="AY288" s="212"/>
      <c r="AZ288" s="452"/>
      <c r="BA288" s="212"/>
      <c r="BB288" s="212"/>
      <c r="BC288" s="212"/>
      <c r="BD288" s="212"/>
      <c r="BE288" s="455"/>
      <c r="BF288" s="452"/>
    </row>
    <row r="289">
      <c r="A289" s="212"/>
      <c r="B289" s="447"/>
      <c r="C289" s="212"/>
      <c r="D289" s="212"/>
      <c r="E289" s="212"/>
      <c r="F289" s="212"/>
      <c r="G289" s="212"/>
      <c r="H289" s="212"/>
      <c r="I289" s="212"/>
      <c r="J289" s="212"/>
      <c r="K289" s="212"/>
      <c r="L289" s="212"/>
      <c r="M289" s="212"/>
      <c r="N289" s="212"/>
      <c r="O289" s="212"/>
      <c r="P289" s="212"/>
      <c r="Q289" s="212"/>
      <c r="R289" s="451"/>
      <c r="S289" s="451"/>
      <c r="T289" s="212"/>
      <c r="U289" s="451"/>
      <c r="V289" s="451"/>
      <c r="W289" s="451"/>
      <c r="X289" s="451"/>
      <c r="Y289" s="212"/>
      <c r="Z289" s="212"/>
      <c r="AA289" s="212"/>
      <c r="AB289" s="212"/>
      <c r="AC289" s="212"/>
      <c r="AD289" s="212"/>
      <c r="AE289" s="450"/>
      <c r="AF289" s="212"/>
      <c r="AG289" s="212"/>
      <c r="AH289" s="212"/>
      <c r="AI289" s="212"/>
      <c r="AJ289" s="212"/>
      <c r="AK289" s="212"/>
      <c r="AL289" s="212"/>
      <c r="AM289" s="212"/>
      <c r="AN289" s="212"/>
      <c r="AO289" s="212"/>
      <c r="AP289" s="212"/>
      <c r="AQ289" s="212"/>
      <c r="AR289" s="212"/>
      <c r="AS289" s="212"/>
      <c r="AT289" s="212"/>
      <c r="AU289" s="212"/>
      <c r="AV289" s="212"/>
      <c r="AW289" s="212"/>
      <c r="AX289" s="212"/>
      <c r="AY289" s="212"/>
      <c r="AZ289" s="452"/>
      <c r="BA289" s="212"/>
      <c r="BB289" s="212"/>
      <c r="BC289" s="212"/>
      <c r="BD289" s="212"/>
      <c r="BE289" s="455"/>
      <c r="BF289" s="452"/>
    </row>
    <row r="290">
      <c r="A290" s="212"/>
      <c r="B290" s="447"/>
      <c r="C290" s="212"/>
      <c r="D290" s="212"/>
      <c r="E290" s="212"/>
      <c r="F290" s="212"/>
      <c r="G290" s="212"/>
      <c r="H290" s="212"/>
      <c r="I290" s="212"/>
      <c r="J290" s="212"/>
      <c r="K290" s="212"/>
      <c r="L290" s="212"/>
      <c r="M290" s="212"/>
      <c r="N290" s="212"/>
      <c r="O290" s="212"/>
      <c r="P290" s="212"/>
      <c r="Q290" s="212"/>
      <c r="R290" s="451"/>
      <c r="S290" s="451"/>
      <c r="T290" s="212"/>
      <c r="U290" s="451"/>
      <c r="V290" s="451"/>
      <c r="W290" s="451"/>
      <c r="X290" s="451"/>
      <c r="Y290" s="212"/>
      <c r="Z290" s="212"/>
      <c r="AA290" s="212"/>
      <c r="AB290" s="212"/>
      <c r="AC290" s="212"/>
      <c r="AD290" s="212"/>
      <c r="AE290" s="450"/>
      <c r="AF290" s="212"/>
      <c r="AG290" s="212"/>
      <c r="AH290" s="212"/>
      <c r="AI290" s="212"/>
      <c r="AJ290" s="212"/>
      <c r="AK290" s="212"/>
      <c r="AL290" s="212"/>
      <c r="AM290" s="212"/>
      <c r="AN290" s="212"/>
      <c r="AO290" s="212"/>
      <c r="AP290" s="212"/>
      <c r="AQ290" s="212"/>
      <c r="AR290" s="212"/>
      <c r="AS290" s="212"/>
      <c r="AT290" s="212"/>
      <c r="AU290" s="212"/>
      <c r="AV290" s="212"/>
      <c r="AW290" s="212"/>
      <c r="AX290" s="212"/>
      <c r="AY290" s="212"/>
      <c r="AZ290" s="452"/>
      <c r="BA290" s="212"/>
      <c r="BB290" s="212"/>
      <c r="BC290" s="212"/>
      <c r="BD290" s="212"/>
      <c r="BE290" s="455"/>
      <c r="BF290" s="452"/>
    </row>
    <row r="291">
      <c r="A291" s="212"/>
      <c r="B291" s="447"/>
      <c r="C291" s="212"/>
      <c r="D291" s="212"/>
      <c r="E291" s="212"/>
      <c r="F291" s="212"/>
      <c r="G291" s="212"/>
      <c r="H291" s="212"/>
      <c r="I291" s="212"/>
      <c r="J291" s="212"/>
      <c r="K291" s="212"/>
      <c r="L291" s="212"/>
      <c r="M291" s="212"/>
      <c r="N291" s="212"/>
      <c r="O291" s="212"/>
      <c r="P291" s="212"/>
      <c r="Q291" s="212"/>
      <c r="R291" s="451"/>
      <c r="S291" s="451"/>
      <c r="T291" s="212"/>
      <c r="U291" s="451"/>
      <c r="V291" s="451"/>
      <c r="W291" s="451"/>
      <c r="X291" s="451"/>
      <c r="Y291" s="212"/>
      <c r="Z291" s="212"/>
      <c r="AA291" s="212"/>
      <c r="AB291" s="212"/>
      <c r="AC291" s="212"/>
      <c r="AD291" s="212"/>
      <c r="AE291" s="450"/>
      <c r="AF291" s="212"/>
      <c r="AG291" s="212"/>
      <c r="AH291" s="212"/>
      <c r="AI291" s="212"/>
      <c r="AJ291" s="212"/>
      <c r="AK291" s="212"/>
      <c r="AL291" s="212"/>
      <c r="AM291" s="212"/>
      <c r="AN291" s="212"/>
      <c r="AO291" s="212"/>
      <c r="AP291" s="212"/>
      <c r="AQ291" s="212"/>
      <c r="AR291" s="212"/>
      <c r="AS291" s="212"/>
      <c r="AT291" s="212"/>
      <c r="AU291" s="212"/>
      <c r="AV291" s="212"/>
      <c r="AW291" s="212"/>
      <c r="AX291" s="212"/>
      <c r="AY291" s="212"/>
      <c r="AZ291" s="452"/>
      <c r="BA291" s="212"/>
      <c r="BB291" s="212"/>
      <c r="BC291" s="212"/>
      <c r="BD291" s="212"/>
      <c r="BE291" s="455"/>
      <c r="BF291" s="452"/>
    </row>
    <row r="292">
      <c r="A292" s="212"/>
      <c r="B292" s="447"/>
      <c r="C292" s="212"/>
      <c r="D292" s="212"/>
      <c r="E292" s="212"/>
      <c r="F292" s="212"/>
      <c r="G292" s="212"/>
      <c r="H292" s="212"/>
      <c r="I292" s="212"/>
      <c r="J292" s="212"/>
      <c r="K292" s="212"/>
      <c r="L292" s="212"/>
      <c r="M292" s="212"/>
      <c r="N292" s="212"/>
      <c r="O292" s="212"/>
      <c r="P292" s="212"/>
      <c r="Q292" s="212"/>
      <c r="R292" s="451"/>
      <c r="S292" s="451"/>
      <c r="T292" s="212"/>
      <c r="U292" s="451"/>
      <c r="V292" s="451"/>
      <c r="W292" s="451"/>
      <c r="X292" s="451"/>
      <c r="Y292" s="212"/>
      <c r="Z292" s="212"/>
      <c r="AA292" s="212"/>
      <c r="AB292" s="212"/>
      <c r="AC292" s="212"/>
      <c r="AD292" s="212"/>
      <c r="AE292" s="450"/>
      <c r="AF292" s="212"/>
      <c r="AG292" s="212"/>
      <c r="AH292" s="212"/>
      <c r="AI292" s="212"/>
      <c r="AJ292" s="212"/>
      <c r="AK292" s="212"/>
      <c r="AL292" s="212"/>
      <c r="AM292" s="212"/>
      <c r="AN292" s="212"/>
      <c r="AO292" s="212"/>
      <c r="AP292" s="212"/>
      <c r="AQ292" s="212"/>
      <c r="AR292" s="212"/>
      <c r="AS292" s="212"/>
      <c r="AT292" s="212"/>
      <c r="AU292" s="212"/>
      <c r="AV292" s="212"/>
      <c r="AW292" s="212"/>
      <c r="AX292" s="212"/>
      <c r="AY292" s="212"/>
      <c r="AZ292" s="452"/>
      <c r="BA292" s="212"/>
      <c r="BB292" s="212"/>
      <c r="BC292" s="212"/>
      <c r="BD292" s="212"/>
      <c r="BE292" s="455"/>
      <c r="BF292" s="452"/>
    </row>
    <row r="293">
      <c r="A293" s="212"/>
      <c r="B293" s="447"/>
      <c r="C293" s="212"/>
      <c r="D293" s="212"/>
      <c r="E293" s="212"/>
      <c r="F293" s="212"/>
      <c r="G293" s="212"/>
      <c r="H293" s="212"/>
      <c r="I293" s="212"/>
      <c r="J293" s="212"/>
      <c r="K293" s="212"/>
      <c r="L293" s="212"/>
      <c r="M293" s="212"/>
      <c r="N293" s="212"/>
      <c r="O293" s="212"/>
      <c r="P293" s="212"/>
      <c r="Q293" s="212"/>
      <c r="R293" s="451"/>
      <c r="S293" s="451"/>
      <c r="T293" s="212"/>
      <c r="U293" s="451"/>
      <c r="V293" s="451"/>
      <c r="W293" s="451"/>
      <c r="X293" s="451"/>
      <c r="Y293" s="212"/>
      <c r="Z293" s="212"/>
      <c r="AA293" s="212"/>
      <c r="AB293" s="212"/>
      <c r="AC293" s="212"/>
      <c r="AD293" s="212"/>
      <c r="AE293" s="450"/>
      <c r="AF293" s="212"/>
      <c r="AG293" s="212"/>
      <c r="AH293" s="212"/>
      <c r="AI293" s="212"/>
      <c r="AJ293" s="212"/>
      <c r="AK293" s="212"/>
      <c r="AL293" s="212"/>
      <c r="AM293" s="212"/>
      <c r="AN293" s="212"/>
      <c r="AO293" s="212"/>
      <c r="AP293" s="212"/>
      <c r="AQ293" s="212"/>
      <c r="AR293" s="212"/>
      <c r="AS293" s="212"/>
      <c r="AT293" s="212"/>
      <c r="AU293" s="212"/>
      <c r="AV293" s="212"/>
      <c r="AW293" s="212"/>
      <c r="AX293" s="212"/>
      <c r="AY293" s="212"/>
      <c r="AZ293" s="452"/>
      <c r="BA293" s="212"/>
      <c r="BB293" s="212"/>
      <c r="BC293" s="212"/>
      <c r="BD293" s="212"/>
      <c r="BE293" s="455"/>
      <c r="BF293" s="452"/>
    </row>
    <row r="294">
      <c r="A294" s="212"/>
      <c r="B294" s="447"/>
      <c r="C294" s="212"/>
      <c r="D294" s="212"/>
      <c r="E294" s="212"/>
      <c r="F294" s="212"/>
      <c r="G294" s="212"/>
      <c r="H294" s="212"/>
      <c r="I294" s="212"/>
      <c r="J294" s="212"/>
      <c r="K294" s="212"/>
      <c r="L294" s="212"/>
      <c r="M294" s="212"/>
      <c r="N294" s="212"/>
      <c r="O294" s="212"/>
      <c r="P294" s="212"/>
      <c r="Q294" s="212"/>
      <c r="R294" s="451"/>
      <c r="S294" s="451"/>
      <c r="T294" s="212"/>
      <c r="U294" s="451"/>
      <c r="V294" s="451"/>
      <c r="W294" s="451"/>
      <c r="X294" s="451"/>
      <c r="Y294" s="212"/>
      <c r="Z294" s="212"/>
      <c r="AA294" s="212"/>
      <c r="AB294" s="212"/>
      <c r="AC294" s="212"/>
      <c r="AD294" s="212"/>
      <c r="AE294" s="450"/>
      <c r="AF294" s="212"/>
      <c r="AG294" s="212"/>
      <c r="AH294" s="212"/>
      <c r="AI294" s="212"/>
      <c r="AJ294" s="212"/>
      <c r="AK294" s="212"/>
      <c r="AL294" s="212"/>
      <c r="AM294" s="212"/>
      <c r="AN294" s="212"/>
      <c r="AO294" s="212"/>
      <c r="AP294" s="212"/>
      <c r="AQ294" s="212"/>
      <c r="AR294" s="212"/>
      <c r="AS294" s="212"/>
      <c r="AT294" s="212"/>
      <c r="AU294" s="212"/>
      <c r="AV294" s="212"/>
      <c r="AW294" s="212"/>
      <c r="AX294" s="212"/>
      <c r="AY294" s="212"/>
      <c r="AZ294" s="452"/>
      <c r="BA294" s="212"/>
      <c r="BB294" s="212"/>
      <c r="BC294" s="212"/>
      <c r="BD294" s="212"/>
      <c r="BE294" s="455"/>
      <c r="BF294" s="452"/>
    </row>
    <row r="295">
      <c r="A295" s="212"/>
      <c r="B295" s="447"/>
      <c r="C295" s="212"/>
      <c r="D295" s="212"/>
      <c r="E295" s="212"/>
      <c r="F295" s="212"/>
      <c r="G295" s="212"/>
      <c r="H295" s="212"/>
      <c r="I295" s="212"/>
      <c r="J295" s="212"/>
      <c r="K295" s="212"/>
      <c r="L295" s="212"/>
      <c r="M295" s="212"/>
      <c r="N295" s="212"/>
      <c r="O295" s="212"/>
      <c r="P295" s="212"/>
      <c r="Q295" s="212"/>
      <c r="R295" s="451"/>
      <c r="S295" s="451"/>
      <c r="T295" s="212"/>
      <c r="U295" s="451"/>
      <c r="V295" s="451"/>
      <c r="W295" s="451"/>
      <c r="X295" s="451"/>
      <c r="Y295" s="212"/>
      <c r="Z295" s="212"/>
      <c r="AA295" s="212"/>
      <c r="AB295" s="212"/>
      <c r="AC295" s="212"/>
      <c r="AD295" s="212"/>
      <c r="AE295" s="450"/>
      <c r="AF295" s="212"/>
      <c r="AG295" s="212"/>
      <c r="AH295" s="212"/>
      <c r="AI295" s="212"/>
      <c r="AJ295" s="212"/>
      <c r="AK295" s="212"/>
      <c r="AL295" s="212"/>
      <c r="AM295" s="212"/>
      <c r="AN295" s="212"/>
      <c r="AO295" s="212"/>
      <c r="AP295" s="212"/>
      <c r="AQ295" s="212"/>
      <c r="AR295" s="212"/>
      <c r="AS295" s="212"/>
      <c r="AT295" s="212"/>
      <c r="AU295" s="212"/>
      <c r="AV295" s="212"/>
      <c r="AW295" s="212"/>
      <c r="AX295" s="212"/>
      <c r="AY295" s="212"/>
      <c r="AZ295" s="452"/>
      <c r="BA295" s="212"/>
      <c r="BB295" s="212"/>
      <c r="BC295" s="212"/>
      <c r="BD295" s="212"/>
      <c r="BE295" s="455"/>
      <c r="BF295" s="452"/>
    </row>
    <row r="296">
      <c r="A296" s="212"/>
      <c r="B296" s="447"/>
      <c r="C296" s="212"/>
      <c r="D296" s="212"/>
      <c r="E296" s="212"/>
      <c r="F296" s="212"/>
      <c r="G296" s="212"/>
      <c r="H296" s="212"/>
      <c r="I296" s="212"/>
      <c r="J296" s="212"/>
      <c r="K296" s="212"/>
      <c r="L296" s="212"/>
      <c r="M296" s="212"/>
      <c r="N296" s="212"/>
      <c r="O296" s="212"/>
      <c r="P296" s="212"/>
      <c r="Q296" s="212"/>
      <c r="R296" s="451"/>
      <c r="S296" s="451"/>
      <c r="T296" s="212"/>
      <c r="U296" s="451"/>
      <c r="V296" s="451"/>
      <c r="W296" s="451"/>
      <c r="X296" s="451"/>
      <c r="Y296" s="212"/>
      <c r="Z296" s="212"/>
      <c r="AA296" s="212"/>
      <c r="AB296" s="212"/>
      <c r="AC296" s="212"/>
      <c r="AD296" s="212"/>
      <c r="AE296" s="450"/>
      <c r="AF296" s="212"/>
      <c r="AG296" s="212"/>
      <c r="AH296" s="212"/>
      <c r="AI296" s="212"/>
      <c r="AJ296" s="212"/>
      <c r="AK296" s="212"/>
      <c r="AL296" s="212"/>
      <c r="AM296" s="212"/>
      <c r="AN296" s="212"/>
      <c r="AO296" s="212"/>
      <c r="AP296" s="212"/>
      <c r="AQ296" s="212"/>
      <c r="AR296" s="212"/>
      <c r="AS296" s="212"/>
      <c r="AT296" s="212"/>
      <c r="AU296" s="212"/>
      <c r="AV296" s="212"/>
      <c r="AW296" s="212"/>
      <c r="AX296" s="212"/>
      <c r="AY296" s="212"/>
      <c r="AZ296" s="452"/>
      <c r="BA296" s="212"/>
      <c r="BB296" s="212"/>
      <c r="BC296" s="212"/>
      <c r="BD296" s="212"/>
      <c r="BE296" s="455"/>
      <c r="BF296" s="452"/>
    </row>
    <row r="297">
      <c r="A297" s="212"/>
      <c r="B297" s="447"/>
      <c r="C297" s="212"/>
      <c r="D297" s="212"/>
      <c r="E297" s="212"/>
      <c r="F297" s="212"/>
      <c r="G297" s="212"/>
      <c r="H297" s="212"/>
      <c r="I297" s="212"/>
      <c r="J297" s="212"/>
      <c r="K297" s="212"/>
      <c r="L297" s="212"/>
      <c r="M297" s="212"/>
      <c r="N297" s="212"/>
      <c r="O297" s="212"/>
      <c r="P297" s="212"/>
      <c r="Q297" s="212"/>
      <c r="R297" s="451"/>
      <c r="S297" s="451"/>
      <c r="T297" s="212"/>
      <c r="U297" s="451"/>
      <c r="V297" s="451"/>
      <c r="W297" s="451"/>
      <c r="X297" s="451"/>
      <c r="Y297" s="212"/>
      <c r="Z297" s="212"/>
      <c r="AA297" s="212"/>
      <c r="AB297" s="212"/>
      <c r="AC297" s="212"/>
      <c r="AD297" s="212"/>
      <c r="AE297" s="450"/>
      <c r="AF297" s="212"/>
      <c r="AG297" s="212"/>
      <c r="AH297" s="212"/>
      <c r="AI297" s="212"/>
      <c r="AJ297" s="212"/>
      <c r="AK297" s="212"/>
      <c r="AL297" s="212"/>
      <c r="AM297" s="212"/>
      <c r="AN297" s="212"/>
      <c r="AO297" s="212"/>
      <c r="AP297" s="212"/>
      <c r="AQ297" s="212"/>
      <c r="AR297" s="212"/>
      <c r="AS297" s="212"/>
      <c r="AT297" s="212"/>
      <c r="AU297" s="212"/>
      <c r="AV297" s="212"/>
      <c r="AW297" s="212"/>
      <c r="AX297" s="212"/>
      <c r="AY297" s="212"/>
      <c r="AZ297" s="452"/>
      <c r="BA297" s="212"/>
      <c r="BB297" s="212"/>
      <c r="BC297" s="212"/>
      <c r="BD297" s="212"/>
      <c r="BE297" s="455"/>
      <c r="BF297" s="452"/>
    </row>
    <row r="298">
      <c r="A298" s="212"/>
      <c r="B298" s="447"/>
      <c r="C298" s="212"/>
      <c r="D298" s="212"/>
      <c r="E298" s="212"/>
      <c r="F298" s="212"/>
      <c r="G298" s="212"/>
      <c r="H298" s="212"/>
      <c r="I298" s="212"/>
      <c r="J298" s="212"/>
      <c r="K298" s="212"/>
      <c r="L298" s="212"/>
      <c r="M298" s="212"/>
      <c r="N298" s="212"/>
      <c r="O298" s="212"/>
      <c r="P298" s="212"/>
      <c r="Q298" s="212"/>
      <c r="R298" s="451"/>
      <c r="S298" s="451"/>
      <c r="T298" s="212"/>
      <c r="U298" s="451"/>
      <c r="V298" s="451"/>
      <c r="W298" s="451"/>
      <c r="X298" s="451"/>
      <c r="Y298" s="212"/>
      <c r="Z298" s="212"/>
      <c r="AA298" s="212"/>
      <c r="AB298" s="212"/>
      <c r="AC298" s="212"/>
      <c r="AD298" s="212"/>
      <c r="AE298" s="450"/>
      <c r="AF298" s="212"/>
      <c r="AG298" s="212"/>
      <c r="AH298" s="212"/>
      <c r="AI298" s="212"/>
      <c r="AJ298" s="212"/>
      <c r="AK298" s="212"/>
      <c r="AL298" s="212"/>
      <c r="AM298" s="212"/>
      <c r="AN298" s="212"/>
      <c r="AO298" s="212"/>
      <c r="AP298" s="212"/>
      <c r="AQ298" s="212"/>
      <c r="AR298" s="212"/>
      <c r="AS298" s="212"/>
      <c r="AT298" s="212"/>
      <c r="AU298" s="212"/>
      <c r="AV298" s="212"/>
      <c r="AW298" s="212"/>
      <c r="AX298" s="212"/>
      <c r="AY298" s="212"/>
      <c r="AZ298" s="452"/>
      <c r="BA298" s="212"/>
      <c r="BB298" s="212"/>
      <c r="BC298" s="212"/>
      <c r="BD298" s="212"/>
      <c r="BE298" s="455"/>
      <c r="BF298" s="452"/>
    </row>
    <row r="299">
      <c r="A299" s="212"/>
      <c r="B299" s="447"/>
      <c r="C299" s="212"/>
      <c r="D299" s="212"/>
      <c r="E299" s="212"/>
      <c r="F299" s="212"/>
      <c r="G299" s="212"/>
      <c r="H299" s="212"/>
      <c r="I299" s="212"/>
      <c r="J299" s="212"/>
      <c r="K299" s="212"/>
      <c r="L299" s="212"/>
      <c r="M299" s="212"/>
      <c r="N299" s="212"/>
      <c r="O299" s="212"/>
      <c r="P299" s="212"/>
      <c r="Q299" s="212"/>
      <c r="R299" s="451"/>
      <c r="S299" s="451"/>
      <c r="T299" s="212"/>
      <c r="U299" s="451"/>
      <c r="V299" s="451"/>
      <c r="W299" s="451"/>
      <c r="X299" s="451"/>
      <c r="Y299" s="212"/>
      <c r="Z299" s="212"/>
      <c r="AA299" s="212"/>
      <c r="AB299" s="212"/>
      <c r="AC299" s="212"/>
      <c r="AD299" s="212"/>
      <c r="AE299" s="450"/>
      <c r="AF299" s="212"/>
      <c r="AG299" s="212"/>
      <c r="AH299" s="212"/>
      <c r="AI299" s="212"/>
      <c r="AJ299" s="212"/>
      <c r="AK299" s="212"/>
      <c r="AL299" s="212"/>
      <c r="AM299" s="212"/>
      <c r="AN299" s="212"/>
      <c r="AO299" s="212"/>
      <c r="AP299" s="212"/>
      <c r="AQ299" s="212"/>
      <c r="AR299" s="212"/>
      <c r="AS299" s="212"/>
      <c r="AT299" s="212"/>
      <c r="AU299" s="212"/>
      <c r="AV299" s="212"/>
      <c r="AW299" s="212"/>
      <c r="AX299" s="212"/>
      <c r="AY299" s="212"/>
      <c r="AZ299" s="452"/>
      <c r="BA299" s="212"/>
      <c r="BB299" s="212"/>
      <c r="BC299" s="212"/>
      <c r="BD299" s="212"/>
      <c r="BE299" s="455"/>
      <c r="BF299" s="452"/>
    </row>
    <row r="300">
      <c r="A300" s="212"/>
      <c r="B300" s="447"/>
      <c r="C300" s="212"/>
      <c r="D300" s="212"/>
      <c r="E300" s="212"/>
      <c r="F300" s="212"/>
      <c r="G300" s="212"/>
      <c r="H300" s="212"/>
      <c r="I300" s="212"/>
      <c r="J300" s="212"/>
      <c r="K300" s="212"/>
      <c r="L300" s="212"/>
      <c r="M300" s="212"/>
      <c r="N300" s="212"/>
      <c r="O300" s="212"/>
      <c r="P300" s="212"/>
      <c r="Q300" s="212"/>
      <c r="R300" s="451"/>
      <c r="S300" s="451"/>
      <c r="T300" s="212"/>
      <c r="U300" s="451"/>
      <c r="V300" s="451"/>
      <c r="W300" s="451"/>
      <c r="X300" s="451"/>
      <c r="Y300" s="212"/>
      <c r="Z300" s="212"/>
      <c r="AA300" s="212"/>
      <c r="AB300" s="212"/>
      <c r="AC300" s="212"/>
      <c r="AD300" s="212"/>
      <c r="AE300" s="450"/>
      <c r="AF300" s="212"/>
      <c r="AG300" s="212"/>
      <c r="AH300" s="212"/>
      <c r="AI300" s="212"/>
      <c r="AJ300" s="212"/>
      <c r="AK300" s="212"/>
      <c r="AL300" s="212"/>
      <c r="AM300" s="212"/>
      <c r="AN300" s="212"/>
      <c r="AO300" s="212"/>
      <c r="AP300" s="212"/>
      <c r="AQ300" s="212"/>
      <c r="AR300" s="212"/>
      <c r="AS300" s="212"/>
      <c r="AT300" s="212"/>
      <c r="AU300" s="212"/>
      <c r="AV300" s="212"/>
      <c r="AW300" s="212"/>
      <c r="AX300" s="212"/>
      <c r="AY300" s="212"/>
      <c r="AZ300" s="452"/>
      <c r="BA300" s="212"/>
      <c r="BB300" s="212"/>
      <c r="BC300" s="212"/>
      <c r="BD300" s="212"/>
      <c r="BE300" s="455"/>
      <c r="BF300" s="452"/>
    </row>
    <row r="301">
      <c r="A301" s="212"/>
      <c r="B301" s="447"/>
      <c r="C301" s="212"/>
      <c r="D301" s="212"/>
      <c r="E301" s="212"/>
      <c r="F301" s="212"/>
      <c r="G301" s="212"/>
      <c r="H301" s="212"/>
      <c r="I301" s="212"/>
      <c r="J301" s="212"/>
      <c r="K301" s="212"/>
      <c r="L301" s="212"/>
      <c r="M301" s="212"/>
      <c r="N301" s="212"/>
      <c r="O301" s="212"/>
      <c r="P301" s="212"/>
      <c r="Q301" s="212"/>
      <c r="R301" s="451"/>
      <c r="S301" s="451"/>
      <c r="T301" s="212"/>
      <c r="U301" s="451"/>
      <c r="V301" s="451"/>
      <c r="W301" s="451"/>
      <c r="X301" s="451"/>
      <c r="Y301" s="212"/>
      <c r="Z301" s="212"/>
      <c r="AA301" s="212"/>
      <c r="AB301" s="212"/>
      <c r="AC301" s="212"/>
      <c r="AD301" s="212"/>
      <c r="AE301" s="450"/>
      <c r="AF301" s="212"/>
      <c r="AG301" s="212"/>
      <c r="AH301" s="212"/>
      <c r="AI301" s="212"/>
      <c r="AJ301" s="212"/>
      <c r="AK301" s="212"/>
      <c r="AL301" s="212"/>
      <c r="AM301" s="212"/>
      <c r="AN301" s="212"/>
      <c r="AO301" s="212"/>
      <c r="AP301" s="212"/>
      <c r="AQ301" s="212"/>
      <c r="AR301" s="212"/>
      <c r="AS301" s="212"/>
      <c r="AT301" s="212"/>
      <c r="AU301" s="212"/>
      <c r="AV301" s="212"/>
      <c r="AW301" s="212"/>
      <c r="AX301" s="212"/>
      <c r="AY301" s="212"/>
      <c r="AZ301" s="452"/>
      <c r="BA301" s="212"/>
      <c r="BB301" s="212"/>
      <c r="BC301" s="212"/>
      <c r="BD301" s="212"/>
      <c r="BE301" s="455"/>
      <c r="BF301" s="452"/>
    </row>
    <row r="302">
      <c r="A302" s="212"/>
      <c r="B302" s="447"/>
      <c r="C302" s="212"/>
      <c r="D302" s="212"/>
      <c r="E302" s="212"/>
      <c r="F302" s="212"/>
      <c r="G302" s="212"/>
      <c r="H302" s="212"/>
      <c r="I302" s="212"/>
      <c r="J302" s="212"/>
      <c r="K302" s="212"/>
      <c r="L302" s="212"/>
      <c r="M302" s="212"/>
      <c r="N302" s="212"/>
      <c r="O302" s="212"/>
      <c r="P302" s="212"/>
      <c r="Q302" s="212"/>
      <c r="R302" s="451"/>
      <c r="S302" s="451"/>
      <c r="T302" s="212"/>
      <c r="U302" s="451"/>
      <c r="V302" s="451"/>
      <c r="W302" s="451"/>
      <c r="X302" s="451"/>
      <c r="Y302" s="212"/>
      <c r="Z302" s="212"/>
      <c r="AA302" s="212"/>
      <c r="AB302" s="212"/>
      <c r="AC302" s="212"/>
      <c r="AD302" s="212"/>
      <c r="AE302" s="450"/>
      <c r="AF302" s="212"/>
      <c r="AG302" s="212"/>
      <c r="AH302" s="212"/>
      <c r="AI302" s="212"/>
      <c r="AJ302" s="212"/>
      <c r="AK302" s="212"/>
      <c r="AL302" s="212"/>
      <c r="AM302" s="212"/>
      <c r="AN302" s="212"/>
      <c r="AO302" s="212"/>
      <c r="AP302" s="212"/>
      <c r="AQ302" s="212"/>
      <c r="AR302" s="212"/>
      <c r="AS302" s="212"/>
      <c r="AT302" s="212"/>
      <c r="AU302" s="212"/>
      <c r="AV302" s="212"/>
      <c r="AW302" s="212"/>
      <c r="AX302" s="212"/>
      <c r="AY302" s="212"/>
      <c r="AZ302" s="452"/>
      <c r="BA302" s="212"/>
      <c r="BB302" s="212"/>
      <c r="BC302" s="212"/>
      <c r="BD302" s="212"/>
      <c r="BE302" s="455"/>
      <c r="BF302" s="452"/>
    </row>
    <row r="303">
      <c r="A303" s="212"/>
      <c r="B303" s="447"/>
      <c r="C303" s="212"/>
      <c r="D303" s="212"/>
      <c r="E303" s="212"/>
      <c r="F303" s="212"/>
      <c r="G303" s="212"/>
      <c r="H303" s="212"/>
      <c r="I303" s="212"/>
      <c r="J303" s="212"/>
      <c r="K303" s="212"/>
      <c r="L303" s="212"/>
      <c r="M303" s="212"/>
      <c r="N303" s="212"/>
      <c r="O303" s="212"/>
      <c r="P303" s="212"/>
      <c r="Q303" s="212"/>
      <c r="R303" s="451"/>
      <c r="S303" s="451"/>
      <c r="T303" s="212"/>
      <c r="U303" s="451"/>
      <c r="V303" s="451"/>
      <c r="W303" s="451"/>
      <c r="X303" s="451"/>
      <c r="Y303" s="212"/>
      <c r="Z303" s="212"/>
      <c r="AA303" s="212"/>
      <c r="AB303" s="212"/>
      <c r="AC303" s="212"/>
      <c r="AD303" s="212"/>
      <c r="AE303" s="450"/>
      <c r="AF303" s="212"/>
      <c r="AG303" s="212"/>
      <c r="AH303" s="212"/>
      <c r="AI303" s="212"/>
      <c r="AJ303" s="212"/>
      <c r="AK303" s="212"/>
      <c r="AL303" s="212"/>
      <c r="AM303" s="212"/>
      <c r="AN303" s="212"/>
      <c r="AO303" s="212"/>
      <c r="AP303" s="212"/>
      <c r="AQ303" s="212"/>
      <c r="AR303" s="212"/>
      <c r="AS303" s="212"/>
      <c r="AT303" s="212"/>
      <c r="AU303" s="212"/>
      <c r="AV303" s="212"/>
      <c r="AW303" s="212"/>
      <c r="AX303" s="212"/>
      <c r="AY303" s="212"/>
      <c r="AZ303" s="452"/>
      <c r="BA303" s="212"/>
      <c r="BB303" s="212"/>
      <c r="BC303" s="212"/>
      <c r="BD303" s="212"/>
      <c r="BE303" s="455"/>
      <c r="BF303" s="452"/>
    </row>
    <row r="304">
      <c r="A304" s="212"/>
      <c r="B304" s="447"/>
      <c r="C304" s="212"/>
      <c r="D304" s="212"/>
      <c r="E304" s="212"/>
      <c r="F304" s="212"/>
      <c r="G304" s="212"/>
      <c r="H304" s="212"/>
      <c r="I304" s="212"/>
      <c r="J304" s="212"/>
      <c r="K304" s="212"/>
      <c r="L304" s="212"/>
      <c r="M304" s="212"/>
      <c r="N304" s="212"/>
      <c r="O304" s="212"/>
      <c r="P304" s="212"/>
      <c r="Q304" s="212"/>
      <c r="R304" s="451"/>
      <c r="S304" s="451"/>
      <c r="T304" s="212"/>
      <c r="U304" s="451"/>
      <c r="V304" s="451"/>
      <c r="W304" s="451"/>
      <c r="X304" s="451"/>
      <c r="Y304" s="212"/>
      <c r="Z304" s="212"/>
      <c r="AA304" s="212"/>
      <c r="AB304" s="212"/>
      <c r="AC304" s="212"/>
      <c r="AD304" s="212"/>
      <c r="AE304" s="450"/>
      <c r="AF304" s="212"/>
      <c r="AG304" s="212"/>
      <c r="AH304" s="212"/>
      <c r="AI304" s="212"/>
      <c r="AJ304" s="212"/>
      <c r="AK304" s="212"/>
      <c r="AL304" s="212"/>
      <c r="AM304" s="212"/>
      <c r="AN304" s="212"/>
      <c r="AO304" s="212"/>
      <c r="AP304" s="212"/>
      <c r="AQ304" s="212"/>
      <c r="AR304" s="212"/>
      <c r="AS304" s="212"/>
      <c r="AT304" s="212"/>
      <c r="AU304" s="212"/>
      <c r="AV304" s="212"/>
      <c r="AW304" s="212"/>
      <c r="AX304" s="212"/>
      <c r="AY304" s="212"/>
      <c r="AZ304" s="452"/>
      <c r="BA304" s="212"/>
      <c r="BB304" s="212"/>
      <c r="BC304" s="212"/>
      <c r="BD304" s="212"/>
      <c r="BE304" s="455"/>
      <c r="BF304" s="452"/>
    </row>
    <row r="305">
      <c r="A305" s="212"/>
      <c r="B305" s="447"/>
      <c r="C305" s="212"/>
      <c r="D305" s="212"/>
      <c r="E305" s="212"/>
      <c r="F305" s="212"/>
      <c r="G305" s="212"/>
      <c r="H305" s="212"/>
      <c r="I305" s="212"/>
      <c r="J305" s="212"/>
      <c r="K305" s="212"/>
      <c r="L305" s="212"/>
      <c r="M305" s="212"/>
      <c r="N305" s="212"/>
      <c r="O305" s="212"/>
      <c r="P305" s="212"/>
      <c r="Q305" s="212"/>
      <c r="R305" s="451"/>
      <c r="S305" s="451"/>
      <c r="T305" s="212"/>
      <c r="U305" s="451"/>
      <c r="V305" s="451"/>
      <c r="W305" s="451"/>
      <c r="X305" s="451"/>
      <c r="Y305" s="212"/>
      <c r="Z305" s="212"/>
      <c r="AA305" s="212"/>
      <c r="AB305" s="212"/>
      <c r="AC305" s="212"/>
      <c r="AD305" s="212"/>
      <c r="AE305" s="450"/>
      <c r="AF305" s="212"/>
      <c r="AG305" s="212"/>
      <c r="AH305" s="212"/>
      <c r="AI305" s="212"/>
      <c r="AJ305" s="212"/>
      <c r="AK305" s="212"/>
      <c r="AL305" s="212"/>
      <c r="AM305" s="212"/>
      <c r="AN305" s="212"/>
      <c r="AO305" s="212"/>
      <c r="AP305" s="212"/>
      <c r="AQ305" s="212"/>
      <c r="AR305" s="212"/>
      <c r="AS305" s="212"/>
      <c r="AT305" s="212"/>
      <c r="AU305" s="212"/>
      <c r="AV305" s="212"/>
      <c r="AW305" s="212"/>
      <c r="AX305" s="212"/>
      <c r="AY305" s="212"/>
      <c r="AZ305" s="452"/>
      <c r="BA305" s="212"/>
      <c r="BB305" s="212"/>
      <c r="BC305" s="212"/>
      <c r="BD305" s="212"/>
      <c r="BE305" s="455"/>
      <c r="BF305" s="452"/>
    </row>
    <row r="306">
      <c r="A306" s="212"/>
      <c r="B306" s="447"/>
      <c r="C306" s="212"/>
      <c r="D306" s="212"/>
      <c r="E306" s="212"/>
      <c r="F306" s="212"/>
      <c r="G306" s="212"/>
      <c r="H306" s="212"/>
      <c r="I306" s="212"/>
      <c r="J306" s="212"/>
      <c r="K306" s="212"/>
      <c r="L306" s="212"/>
      <c r="M306" s="212"/>
      <c r="N306" s="212"/>
      <c r="O306" s="212"/>
      <c r="P306" s="212"/>
      <c r="Q306" s="212"/>
      <c r="R306" s="451"/>
      <c r="S306" s="451"/>
      <c r="T306" s="212"/>
      <c r="U306" s="451"/>
      <c r="V306" s="451"/>
      <c r="W306" s="451"/>
      <c r="X306" s="451"/>
      <c r="Y306" s="212"/>
      <c r="Z306" s="212"/>
      <c r="AA306" s="212"/>
      <c r="AB306" s="212"/>
      <c r="AC306" s="212"/>
      <c r="AD306" s="212"/>
      <c r="AE306" s="450"/>
      <c r="AF306" s="212"/>
      <c r="AG306" s="212"/>
      <c r="AH306" s="212"/>
      <c r="AI306" s="212"/>
      <c r="AJ306" s="212"/>
      <c r="AK306" s="212"/>
      <c r="AL306" s="212"/>
      <c r="AM306" s="212"/>
      <c r="AN306" s="212"/>
      <c r="AO306" s="212"/>
      <c r="AP306" s="212"/>
      <c r="AQ306" s="212"/>
      <c r="AR306" s="212"/>
      <c r="AS306" s="212"/>
      <c r="AT306" s="212"/>
      <c r="AU306" s="212"/>
      <c r="AV306" s="212"/>
      <c r="AW306" s="212"/>
      <c r="AX306" s="212"/>
      <c r="AY306" s="212"/>
      <c r="AZ306" s="452"/>
      <c r="BA306" s="212"/>
      <c r="BB306" s="212"/>
      <c r="BC306" s="212"/>
      <c r="BD306" s="212"/>
      <c r="BE306" s="455"/>
      <c r="BF306" s="452"/>
    </row>
    <row r="307">
      <c r="A307" s="212"/>
      <c r="B307" s="447"/>
      <c r="C307" s="212"/>
      <c r="D307" s="212"/>
      <c r="E307" s="212"/>
      <c r="F307" s="212"/>
      <c r="G307" s="212"/>
      <c r="H307" s="212"/>
      <c r="I307" s="212"/>
      <c r="J307" s="212"/>
      <c r="K307" s="212"/>
      <c r="L307" s="212"/>
      <c r="M307" s="212"/>
      <c r="N307" s="212"/>
      <c r="O307" s="212"/>
      <c r="P307" s="212"/>
      <c r="Q307" s="212"/>
      <c r="R307" s="451"/>
      <c r="S307" s="451"/>
      <c r="T307" s="212"/>
      <c r="U307" s="451"/>
      <c r="V307" s="451"/>
      <c r="W307" s="451"/>
      <c r="X307" s="451"/>
      <c r="Y307" s="212"/>
      <c r="Z307" s="212"/>
      <c r="AA307" s="212"/>
      <c r="AB307" s="212"/>
      <c r="AC307" s="212"/>
      <c r="AD307" s="212"/>
      <c r="AE307" s="450"/>
      <c r="AF307" s="212"/>
      <c r="AG307" s="212"/>
      <c r="AH307" s="212"/>
      <c r="AI307" s="212"/>
      <c r="AJ307" s="212"/>
      <c r="AK307" s="212"/>
      <c r="AL307" s="212"/>
      <c r="AM307" s="212"/>
      <c r="AN307" s="212"/>
      <c r="AO307" s="212"/>
      <c r="AP307" s="212"/>
      <c r="AQ307" s="212"/>
      <c r="AR307" s="212"/>
      <c r="AS307" s="212"/>
      <c r="AT307" s="212"/>
      <c r="AU307" s="212"/>
      <c r="AV307" s="212"/>
      <c r="AW307" s="212"/>
      <c r="AX307" s="212"/>
      <c r="AY307" s="212"/>
      <c r="AZ307" s="452"/>
      <c r="BA307" s="212"/>
      <c r="BB307" s="212"/>
      <c r="BC307" s="212"/>
      <c r="BD307" s="212"/>
      <c r="BE307" s="455"/>
      <c r="BF307" s="452"/>
    </row>
    <row r="308">
      <c r="A308" s="212"/>
      <c r="B308" s="447"/>
      <c r="C308" s="212"/>
      <c r="D308" s="212"/>
      <c r="E308" s="212"/>
      <c r="F308" s="212"/>
      <c r="G308" s="212"/>
      <c r="H308" s="212"/>
      <c r="I308" s="212"/>
      <c r="J308" s="212"/>
      <c r="K308" s="212"/>
      <c r="L308" s="212"/>
      <c r="M308" s="212"/>
      <c r="N308" s="212"/>
      <c r="O308" s="212"/>
      <c r="P308" s="212"/>
      <c r="Q308" s="212"/>
      <c r="R308" s="451"/>
      <c r="S308" s="451"/>
      <c r="T308" s="212"/>
      <c r="U308" s="451"/>
      <c r="V308" s="451"/>
      <c r="W308" s="451"/>
      <c r="X308" s="451"/>
      <c r="Y308" s="212"/>
      <c r="Z308" s="212"/>
      <c r="AA308" s="212"/>
      <c r="AB308" s="212"/>
      <c r="AC308" s="212"/>
      <c r="AD308" s="212"/>
      <c r="AE308" s="450"/>
      <c r="AF308" s="212"/>
      <c r="AG308" s="212"/>
      <c r="AH308" s="212"/>
      <c r="AI308" s="212"/>
      <c r="AJ308" s="212"/>
      <c r="AK308" s="212"/>
      <c r="AL308" s="212"/>
      <c r="AM308" s="212"/>
      <c r="AN308" s="212"/>
      <c r="AO308" s="212"/>
      <c r="AP308" s="212"/>
      <c r="AQ308" s="212"/>
      <c r="AR308" s="212"/>
      <c r="AS308" s="212"/>
      <c r="AT308" s="212"/>
      <c r="AU308" s="212"/>
      <c r="AV308" s="212"/>
      <c r="AW308" s="212"/>
      <c r="AX308" s="212"/>
      <c r="AY308" s="212"/>
      <c r="AZ308" s="452"/>
      <c r="BA308" s="212"/>
      <c r="BB308" s="212"/>
      <c r="BC308" s="212"/>
      <c r="BD308" s="212"/>
      <c r="BE308" s="455"/>
      <c r="BF308" s="452"/>
    </row>
    <row r="309">
      <c r="A309" s="212"/>
      <c r="B309" s="447"/>
      <c r="C309" s="212"/>
      <c r="D309" s="212"/>
      <c r="E309" s="212"/>
      <c r="F309" s="212"/>
      <c r="G309" s="212"/>
      <c r="H309" s="212"/>
      <c r="I309" s="212"/>
      <c r="J309" s="212"/>
      <c r="K309" s="212"/>
      <c r="L309" s="212"/>
      <c r="M309" s="212"/>
      <c r="N309" s="212"/>
      <c r="O309" s="212"/>
      <c r="P309" s="212"/>
      <c r="Q309" s="212"/>
      <c r="R309" s="451"/>
      <c r="S309" s="451"/>
      <c r="T309" s="212"/>
      <c r="U309" s="451"/>
      <c r="V309" s="451"/>
      <c r="W309" s="451"/>
      <c r="X309" s="451"/>
      <c r="Y309" s="212"/>
      <c r="Z309" s="212"/>
      <c r="AA309" s="212"/>
      <c r="AB309" s="212"/>
      <c r="AC309" s="212"/>
      <c r="AD309" s="212"/>
      <c r="AE309" s="450"/>
      <c r="AF309" s="212"/>
      <c r="AG309" s="212"/>
      <c r="AH309" s="212"/>
      <c r="AI309" s="212"/>
      <c r="AJ309" s="212"/>
      <c r="AK309" s="212"/>
      <c r="AL309" s="212"/>
      <c r="AM309" s="212"/>
      <c r="AN309" s="212"/>
      <c r="AO309" s="212"/>
      <c r="AP309" s="212"/>
      <c r="AQ309" s="212"/>
      <c r="AR309" s="212"/>
      <c r="AS309" s="212"/>
      <c r="AT309" s="212"/>
      <c r="AU309" s="212"/>
      <c r="AV309" s="212"/>
      <c r="AW309" s="212"/>
      <c r="AX309" s="212"/>
      <c r="AY309" s="212"/>
      <c r="AZ309" s="452"/>
      <c r="BA309" s="212"/>
      <c r="BB309" s="212"/>
      <c r="BC309" s="212"/>
      <c r="BD309" s="212"/>
      <c r="BE309" s="455"/>
      <c r="BF309" s="452"/>
    </row>
    <row r="310">
      <c r="A310" s="212"/>
      <c r="B310" s="447"/>
      <c r="C310" s="212"/>
      <c r="D310" s="212"/>
      <c r="E310" s="212"/>
      <c r="F310" s="212"/>
      <c r="G310" s="212"/>
      <c r="H310" s="212"/>
      <c r="I310" s="212"/>
      <c r="J310" s="212"/>
      <c r="K310" s="212"/>
      <c r="L310" s="212"/>
      <c r="M310" s="212"/>
      <c r="N310" s="212"/>
      <c r="O310" s="212"/>
      <c r="P310" s="212"/>
      <c r="Q310" s="212"/>
      <c r="R310" s="451"/>
      <c r="S310" s="451"/>
      <c r="T310" s="212"/>
      <c r="U310" s="451"/>
      <c r="V310" s="451"/>
      <c r="W310" s="451"/>
      <c r="X310" s="451"/>
      <c r="Y310" s="212"/>
      <c r="Z310" s="212"/>
      <c r="AA310" s="212"/>
      <c r="AB310" s="212"/>
      <c r="AC310" s="212"/>
      <c r="AD310" s="212"/>
      <c r="AE310" s="450"/>
      <c r="AF310" s="212"/>
      <c r="AG310" s="212"/>
      <c r="AH310" s="212"/>
      <c r="AI310" s="212"/>
      <c r="AJ310" s="212"/>
      <c r="AK310" s="212"/>
      <c r="AL310" s="212"/>
      <c r="AM310" s="212"/>
      <c r="AN310" s="212"/>
      <c r="AO310" s="212"/>
      <c r="AP310" s="212"/>
      <c r="AQ310" s="212"/>
      <c r="AR310" s="212"/>
      <c r="AS310" s="212"/>
      <c r="AT310" s="212"/>
      <c r="AU310" s="212"/>
      <c r="AV310" s="212"/>
      <c r="AW310" s="212"/>
      <c r="AX310" s="212"/>
      <c r="AY310" s="212"/>
      <c r="AZ310" s="452"/>
      <c r="BA310" s="212"/>
      <c r="BB310" s="212"/>
      <c r="BC310" s="212"/>
      <c r="BD310" s="212"/>
      <c r="BE310" s="455"/>
      <c r="BF310" s="452"/>
    </row>
    <row r="311">
      <c r="A311" s="212"/>
      <c r="B311" s="447"/>
      <c r="C311" s="212"/>
      <c r="D311" s="212"/>
      <c r="E311" s="212"/>
      <c r="F311" s="212"/>
      <c r="G311" s="212"/>
      <c r="H311" s="212"/>
      <c r="I311" s="212"/>
      <c r="J311" s="212"/>
      <c r="K311" s="212"/>
      <c r="L311" s="212"/>
      <c r="M311" s="212"/>
      <c r="N311" s="212"/>
      <c r="O311" s="212"/>
      <c r="P311" s="212"/>
      <c r="Q311" s="212"/>
      <c r="R311" s="451"/>
      <c r="S311" s="451"/>
      <c r="T311" s="212"/>
      <c r="U311" s="451"/>
      <c r="V311" s="451"/>
      <c r="W311" s="451"/>
      <c r="X311" s="451"/>
      <c r="Y311" s="212"/>
      <c r="Z311" s="212"/>
      <c r="AA311" s="212"/>
      <c r="AB311" s="212"/>
      <c r="AC311" s="212"/>
      <c r="AD311" s="212"/>
      <c r="AE311" s="450"/>
      <c r="AF311" s="212"/>
      <c r="AG311" s="212"/>
      <c r="AH311" s="212"/>
      <c r="AI311" s="212"/>
      <c r="AJ311" s="212"/>
      <c r="AK311" s="212"/>
      <c r="AL311" s="212"/>
      <c r="AM311" s="212"/>
      <c r="AN311" s="212"/>
      <c r="AO311" s="212"/>
      <c r="AP311" s="212"/>
      <c r="AQ311" s="212"/>
      <c r="AR311" s="212"/>
      <c r="AS311" s="212"/>
      <c r="AT311" s="212"/>
      <c r="AU311" s="212"/>
      <c r="AV311" s="212"/>
      <c r="AW311" s="212"/>
      <c r="AX311" s="212"/>
      <c r="AY311" s="212"/>
      <c r="AZ311" s="452"/>
      <c r="BA311" s="212"/>
      <c r="BB311" s="212"/>
      <c r="BC311" s="212"/>
      <c r="BD311" s="212"/>
      <c r="BE311" s="455"/>
      <c r="BF311" s="452"/>
    </row>
    <row r="312">
      <c r="A312" s="212"/>
      <c r="B312" s="447"/>
      <c r="C312" s="212"/>
      <c r="D312" s="212"/>
      <c r="E312" s="212"/>
      <c r="F312" s="212"/>
      <c r="G312" s="212"/>
      <c r="H312" s="212"/>
      <c r="I312" s="212"/>
      <c r="J312" s="212"/>
      <c r="K312" s="212"/>
      <c r="L312" s="212"/>
      <c r="M312" s="212"/>
      <c r="N312" s="212"/>
      <c r="O312" s="212"/>
      <c r="P312" s="212"/>
      <c r="Q312" s="212"/>
      <c r="R312" s="451"/>
      <c r="S312" s="451"/>
      <c r="T312" s="212"/>
      <c r="U312" s="451"/>
      <c r="V312" s="451"/>
      <c r="W312" s="451"/>
      <c r="X312" s="451"/>
      <c r="Y312" s="212"/>
      <c r="Z312" s="212"/>
      <c r="AA312" s="212"/>
      <c r="AB312" s="212"/>
      <c r="AC312" s="212"/>
      <c r="AD312" s="212"/>
      <c r="AE312" s="450"/>
      <c r="AF312" s="212"/>
      <c r="AG312" s="212"/>
      <c r="AH312" s="212"/>
      <c r="AI312" s="212"/>
      <c r="AJ312" s="212"/>
      <c r="AK312" s="212"/>
      <c r="AL312" s="212"/>
      <c r="AM312" s="212"/>
      <c r="AN312" s="212"/>
      <c r="AO312" s="212"/>
      <c r="AP312" s="212"/>
      <c r="AQ312" s="212"/>
      <c r="AR312" s="212"/>
      <c r="AS312" s="212"/>
      <c r="AT312" s="212"/>
      <c r="AU312" s="212"/>
      <c r="AV312" s="212"/>
      <c r="AW312" s="212"/>
      <c r="AX312" s="212"/>
      <c r="AY312" s="212"/>
      <c r="AZ312" s="452"/>
      <c r="BA312" s="212"/>
      <c r="BB312" s="212"/>
      <c r="BC312" s="212"/>
      <c r="BD312" s="212"/>
      <c r="BE312" s="455"/>
      <c r="BF312" s="452"/>
    </row>
    <row r="313">
      <c r="A313" s="212"/>
      <c r="B313" s="447"/>
      <c r="C313" s="212"/>
      <c r="D313" s="212"/>
      <c r="E313" s="212"/>
      <c r="F313" s="212"/>
      <c r="G313" s="212"/>
      <c r="H313" s="212"/>
      <c r="I313" s="212"/>
      <c r="J313" s="212"/>
      <c r="K313" s="212"/>
      <c r="L313" s="212"/>
      <c r="M313" s="212"/>
      <c r="N313" s="212"/>
      <c r="O313" s="212"/>
      <c r="P313" s="212"/>
      <c r="Q313" s="212"/>
      <c r="R313" s="451"/>
      <c r="S313" s="451"/>
      <c r="T313" s="212"/>
      <c r="U313" s="451"/>
      <c r="V313" s="451"/>
      <c r="W313" s="451"/>
      <c r="X313" s="451"/>
      <c r="Y313" s="212"/>
      <c r="Z313" s="212"/>
      <c r="AA313" s="212"/>
      <c r="AB313" s="212"/>
      <c r="AC313" s="212"/>
      <c r="AD313" s="212"/>
      <c r="AE313" s="450"/>
      <c r="AF313" s="212"/>
      <c r="AG313" s="212"/>
      <c r="AH313" s="212"/>
      <c r="AI313" s="212"/>
      <c r="AJ313" s="212"/>
      <c r="AK313" s="212"/>
      <c r="AL313" s="212"/>
      <c r="AM313" s="212"/>
      <c r="AN313" s="212"/>
      <c r="AO313" s="212"/>
      <c r="AP313" s="212"/>
      <c r="AQ313" s="212"/>
      <c r="AR313" s="212"/>
      <c r="AS313" s="212"/>
      <c r="AT313" s="212"/>
      <c r="AU313" s="212"/>
      <c r="AV313" s="212"/>
      <c r="AW313" s="212"/>
      <c r="AX313" s="212"/>
      <c r="AY313" s="212"/>
      <c r="AZ313" s="452"/>
      <c r="BA313" s="212"/>
      <c r="BB313" s="212"/>
      <c r="BC313" s="212"/>
      <c r="BD313" s="212"/>
      <c r="BE313" s="455"/>
      <c r="BF313" s="452"/>
    </row>
    <row r="314">
      <c r="A314" s="212"/>
      <c r="B314" s="447"/>
      <c r="C314" s="212"/>
      <c r="D314" s="212"/>
      <c r="E314" s="212"/>
      <c r="F314" s="212"/>
      <c r="G314" s="212"/>
      <c r="H314" s="212"/>
      <c r="I314" s="212"/>
      <c r="J314" s="212"/>
      <c r="K314" s="212"/>
      <c r="L314" s="212"/>
      <c r="M314" s="212"/>
      <c r="N314" s="212"/>
      <c r="O314" s="212"/>
      <c r="P314" s="212"/>
      <c r="Q314" s="212"/>
      <c r="R314" s="451"/>
      <c r="S314" s="451"/>
      <c r="T314" s="212"/>
      <c r="U314" s="451"/>
      <c r="V314" s="451"/>
      <c r="W314" s="451"/>
      <c r="X314" s="451"/>
      <c r="Y314" s="212"/>
      <c r="Z314" s="212"/>
      <c r="AA314" s="212"/>
      <c r="AB314" s="212"/>
      <c r="AC314" s="212"/>
      <c r="AD314" s="212"/>
      <c r="AE314" s="450"/>
      <c r="AF314" s="212"/>
      <c r="AG314" s="212"/>
      <c r="AH314" s="212"/>
      <c r="AI314" s="212"/>
      <c r="AJ314" s="212"/>
      <c r="AK314" s="212"/>
      <c r="AL314" s="212"/>
      <c r="AM314" s="212"/>
      <c r="AN314" s="212"/>
      <c r="AO314" s="212"/>
      <c r="AP314" s="212"/>
      <c r="AQ314" s="212"/>
      <c r="AR314" s="212"/>
      <c r="AS314" s="212"/>
      <c r="AT314" s="212"/>
      <c r="AU314" s="212"/>
      <c r="AV314" s="212"/>
      <c r="AW314" s="212"/>
      <c r="AX314" s="212"/>
      <c r="AY314" s="212"/>
      <c r="AZ314" s="452"/>
      <c r="BA314" s="212"/>
      <c r="BB314" s="212"/>
      <c r="BC314" s="212"/>
      <c r="BD314" s="212"/>
      <c r="BE314" s="455"/>
      <c r="BF314" s="452"/>
    </row>
    <row r="315">
      <c r="A315" s="212"/>
      <c r="B315" s="447"/>
      <c r="C315" s="212"/>
      <c r="D315" s="212"/>
      <c r="E315" s="212"/>
      <c r="F315" s="212"/>
      <c r="G315" s="212"/>
      <c r="H315" s="212"/>
      <c r="I315" s="212"/>
      <c r="J315" s="212"/>
      <c r="K315" s="212"/>
      <c r="L315" s="212"/>
      <c r="M315" s="212"/>
      <c r="N315" s="212"/>
      <c r="O315" s="212"/>
      <c r="P315" s="212"/>
      <c r="Q315" s="212"/>
      <c r="R315" s="451"/>
      <c r="S315" s="451"/>
      <c r="T315" s="212"/>
      <c r="U315" s="451"/>
      <c r="V315" s="451"/>
      <c r="W315" s="451"/>
      <c r="X315" s="451"/>
      <c r="Y315" s="212"/>
      <c r="Z315" s="212"/>
      <c r="AA315" s="212"/>
      <c r="AB315" s="212"/>
      <c r="AC315" s="212"/>
      <c r="AD315" s="212"/>
      <c r="AE315" s="450"/>
      <c r="AF315" s="212"/>
      <c r="AG315" s="212"/>
      <c r="AH315" s="212"/>
      <c r="AI315" s="212"/>
      <c r="AJ315" s="212"/>
      <c r="AK315" s="212"/>
      <c r="AL315" s="212"/>
      <c r="AM315" s="212"/>
      <c r="AN315" s="212"/>
      <c r="AO315" s="212"/>
      <c r="AP315" s="212"/>
      <c r="AQ315" s="212"/>
      <c r="AR315" s="212"/>
      <c r="AS315" s="212"/>
      <c r="AT315" s="212"/>
      <c r="AU315" s="212"/>
      <c r="AV315" s="212"/>
      <c r="AW315" s="212"/>
      <c r="AX315" s="212"/>
      <c r="AY315" s="212"/>
      <c r="AZ315" s="452"/>
      <c r="BA315" s="212"/>
      <c r="BB315" s="212"/>
      <c r="BC315" s="212"/>
      <c r="BD315" s="212"/>
      <c r="BE315" s="455"/>
      <c r="BF315" s="452"/>
    </row>
    <row r="316">
      <c r="A316" s="212"/>
      <c r="B316" s="447"/>
      <c r="C316" s="212"/>
      <c r="D316" s="212"/>
      <c r="E316" s="212"/>
      <c r="F316" s="212"/>
      <c r="G316" s="212"/>
      <c r="H316" s="212"/>
      <c r="I316" s="212"/>
      <c r="J316" s="212"/>
      <c r="K316" s="212"/>
      <c r="L316" s="212"/>
      <c r="M316" s="212"/>
      <c r="N316" s="212"/>
      <c r="O316" s="212"/>
      <c r="P316" s="212"/>
      <c r="Q316" s="212"/>
      <c r="R316" s="451"/>
      <c r="S316" s="451"/>
      <c r="T316" s="212"/>
      <c r="U316" s="451"/>
      <c r="V316" s="451"/>
      <c r="W316" s="451"/>
      <c r="X316" s="451"/>
      <c r="Y316" s="212"/>
      <c r="Z316" s="212"/>
      <c r="AA316" s="212"/>
      <c r="AB316" s="212"/>
      <c r="AC316" s="212"/>
      <c r="AD316" s="212"/>
      <c r="AE316" s="450"/>
      <c r="AF316" s="212"/>
      <c r="AG316" s="212"/>
      <c r="AH316" s="212"/>
      <c r="AI316" s="212"/>
      <c r="AJ316" s="212"/>
      <c r="AK316" s="212"/>
      <c r="AL316" s="212"/>
      <c r="AM316" s="212"/>
      <c r="AN316" s="212"/>
      <c r="AO316" s="212"/>
      <c r="AP316" s="212"/>
      <c r="AQ316" s="212"/>
      <c r="AR316" s="212"/>
      <c r="AS316" s="212"/>
      <c r="AT316" s="212"/>
      <c r="AU316" s="212"/>
      <c r="AV316" s="212"/>
      <c r="AW316" s="212"/>
      <c r="AX316" s="212"/>
      <c r="AY316" s="212"/>
      <c r="AZ316" s="452"/>
      <c r="BA316" s="212"/>
      <c r="BB316" s="212"/>
      <c r="BC316" s="212"/>
      <c r="BD316" s="212"/>
      <c r="BE316" s="455"/>
      <c r="BF316" s="452"/>
    </row>
    <row r="317">
      <c r="A317" s="212"/>
      <c r="B317" s="447"/>
      <c r="C317" s="212"/>
      <c r="D317" s="212"/>
      <c r="E317" s="212"/>
      <c r="F317" s="212"/>
      <c r="G317" s="212"/>
      <c r="H317" s="212"/>
      <c r="I317" s="212"/>
      <c r="J317" s="212"/>
      <c r="K317" s="212"/>
      <c r="L317" s="212"/>
      <c r="M317" s="212"/>
      <c r="N317" s="212"/>
      <c r="O317" s="212"/>
      <c r="P317" s="212"/>
      <c r="Q317" s="212"/>
      <c r="R317" s="451"/>
      <c r="S317" s="451"/>
      <c r="T317" s="212"/>
      <c r="U317" s="451"/>
      <c r="V317" s="451"/>
      <c r="W317" s="451"/>
      <c r="X317" s="451"/>
      <c r="Y317" s="212"/>
      <c r="Z317" s="212"/>
      <c r="AA317" s="212"/>
      <c r="AB317" s="212"/>
      <c r="AC317" s="212"/>
      <c r="AD317" s="212"/>
      <c r="AE317" s="450"/>
      <c r="AF317" s="212"/>
      <c r="AG317" s="212"/>
      <c r="AH317" s="212"/>
      <c r="AI317" s="212"/>
      <c r="AJ317" s="212"/>
      <c r="AK317" s="212"/>
      <c r="AL317" s="212"/>
      <c r="AM317" s="212"/>
      <c r="AN317" s="212"/>
      <c r="AO317" s="212"/>
      <c r="AP317" s="212"/>
      <c r="AQ317" s="212"/>
      <c r="AR317" s="212"/>
      <c r="AS317" s="212"/>
      <c r="AT317" s="212"/>
      <c r="AU317" s="212"/>
      <c r="AV317" s="212"/>
      <c r="AW317" s="212"/>
      <c r="AX317" s="212"/>
      <c r="AY317" s="212"/>
      <c r="AZ317" s="452"/>
      <c r="BA317" s="212"/>
      <c r="BB317" s="212"/>
      <c r="BC317" s="212"/>
      <c r="BD317" s="212"/>
      <c r="BE317" s="455"/>
      <c r="BF317" s="452"/>
    </row>
    <row r="318">
      <c r="A318" s="212"/>
      <c r="B318" s="447"/>
      <c r="C318" s="212"/>
      <c r="D318" s="212"/>
      <c r="E318" s="212"/>
      <c r="F318" s="212"/>
      <c r="G318" s="212"/>
      <c r="H318" s="212"/>
      <c r="I318" s="212"/>
      <c r="J318" s="212"/>
      <c r="K318" s="212"/>
      <c r="L318" s="212"/>
      <c r="M318" s="212"/>
      <c r="N318" s="212"/>
      <c r="O318" s="212"/>
      <c r="P318" s="212"/>
      <c r="Q318" s="212"/>
      <c r="R318" s="451"/>
      <c r="S318" s="451"/>
      <c r="T318" s="212"/>
      <c r="U318" s="451"/>
      <c r="V318" s="451"/>
      <c r="W318" s="451"/>
      <c r="X318" s="451"/>
      <c r="Y318" s="212"/>
      <c r="Z318" s="212"/>
      <c r="AA318" s="212"/>
      <c r="AB318" s="212"/>
      <c r="AC318" s="212"/>
      <c r="AD318" s="212"/>
      <c r="AE318" s="450"/>
      <c r="AF318" s="212"/>
      <c r="AG318" s="212"/>
      <c r="AH318" s="212"/>
      <c r="AI318" s="212"/>
      <c r="AJ318" s="212"/>
      <c r="AK318" s="212"/>
      <c r="AL318" s="212"/>
      <c r="AM318" s="212"/>
      <c r="AN318" s="212"/>
      <c r="AO318" s="212"/>
      <c r="AP318" s="212"/>
      <c r="AQ318" s="212"/>
      <c r="AR318" s="212"/>
      <c r="AS318" s="212"/>
      <c r="AT318" s="212"/>
      <c r="AU318" s="212"/>
      <c r="AV318" s="212"/>
      <c r="AW318" s="212"/>
      <c r="AX318" s="212"/>
      <c r="AY318" s="212"/>
      <c r="AZ318" s="452"/>
      <c r="BA318" s="212"/>
      <c r="BB318" s="212"/>
      <c r="BC318" s="212"/>
      <c r="BD318" s="212"/>
      <c r="BE318" s="455"/>
      <c r="BF318" s="452"/>
    </row>
    <row r="319">
      <c r="A319" s="212"/>
      <c r="B319" s="447"/>
      <c r="C319" s="212"/>
      <c r="D319" s="212"/>
      <c r="E319" s="212"/>
      <c r="F319" s="212"/>
      <c r="G319" s="212"/>
      <c r="H319" s="212"/>
      <c r="I319" s="212"/>
      <c r="J319" s="212"/>
      <c r="K319" s="212"/>
      <c r="L319" s="212"/>
      <c r="M319" s="212"/>
      <c r="N319" s="212"/>
      <c r="O319" s="212"/>
      <c r="P319" s="212"/>
      <c r="Q319" s="212"/>
      <c r="R319" s="451"/>
      <c r="S319" s="451"/>
      <c r="T319" s="212"/>
      <c r="U319" s="451"/>
      <c r="V319" s="451"/>
      <c r="W319" s="451"/>
      <c r="X319" s="451"/>
      <c r="Y319" s="212"/>
      <c r="Z319" s="212"/>
      <c r="AA319" s="212"/>
      <c r="AB319" s="212"/>
      <c r="AC319" s="212"/>
      <c r="AD319" s="212"/>
      <c r="AE319" s="450"/>
      <c r="AF319" s="212"/>
      <c r="AG319" s="212"/>
      <c r="AH319" s="212"/>
      <c r="AI319" s="212"/>
      <c r="AJ319" s="212"/>
      <c r="AK319" s="212"/>
      <c r="AL319" s="212"/>
      <c r="AM319" s="212"/>
      <c r="AN319" s="212"/>
      <c r="AO319" s="212"/>
      <c r="AP319" s="212"/>
      <c r="AQ319" s="212"/>
      <c r="AR319" s="212"/>
      <c r="AS319" s="212"/>
      <c r="AT319" s="212"/>
      <c r="AU319" s="212"/>
      <c r="AV319" s="212"/>
      <c r="AW319" s="212"/>
      <c r="AX319" s="212"/>
      <c r="AY319" s="212"/>
      <c r="AZ319" s="452"/>
      <c r="BA319" s="212"/>
      <c r="BB319" s="212"/>
      <c r="BC319" s="212"/>
      <c r="BD319" s="212"/>
      <c r="BE319" s="455"/>
      <c r="BF319" s="452"/>
    </row>
    <row r="320">
      <c r="A320" s="212"/>
      <c r="B320" s="447"/>
      <c r="C320" s="212"/>
      <c r="D320" s="212"/>
      <c r="E320" s="212"/>
      <c r="F320" s="212"/>
      <c r="G320" s="212"/>
      <c r="H320" s="212"/>
      <c r="I320" s="212"/>
      <c r="J320" s="212"/>
      <c r="K320" s="212"/>
      <c r="L320" s="212"/>
      <c r="M320" s="212"/>
      <c r="N320" s="212"/>
      <c r="O320" s="212"/>
      <c r="P320" s="212"/>
      <c r="Q320" s="212"/>
      <c r="R320" s="451"/>
      <c r="S320" s="451"/>
      <c r="T320" s="212"/>
      <c r="U320" s="451"/>
      <c r="V320" s="451"/>
      <c r="W320" s="451"/>
      <c r="X320" s="451"/>
      <c r="Y320" s="212"/>
      <c r="Z320" s="212"/>
      <c r="AA320" s="212"/>
      <c r="AB320" s="212"/>
      <c r="AC320" s="212"/>
      <c r="AD320" s="212"/>
      <c r="AE320" s="450"/>
      <c r="AF320" s="212"/>
      <c r="AG320" s="212"/>
      <c r="AH320" s="212"/>
      <c r="AI320" s="212"/>
      <c r="AJ320" s="212"/>
      <c r="AK320" s="212"/>
      <c r="AL320" s="212"/>
      <c r="AM320" s="212"/>
      <c r="AN320" s="212"/>
      <c r="AO320" s="212"/>
      <c r="AP320" s="212"/>
      <c r="AQ320" s="212"/>
      <c r="AR320" s="212"/>
      <c r="AS320" s="212"/>
      <c r="AT320" s="212"/>
      <c r="AU320" s="212"/>
      <c r="AV320" s="212"/>
      <c r="AW320" s="212"/>
      <c r="AX320" s="212"/>
      <c r="AY320" s="212"/>
      <c r="AZ320" s="452"/>
      <c r="BA320" s="212"/>
      <c r="BB320" s="212"/>
      <c r="BC320" s="212"/>
      <c r="BD320" s="212"/>
      <c r="BE320" s="455"/>
      <c r="BF320" s="452"/>
    </row>
    <row r="321">
      <c r="A321" s="212"/>
      <c r="B321" s="447"/>
      <c r="C321" s="212"/>
      <c r="D321" s="212"/>
      <c r="E321" s="212"/>
      <c r="F321" s="212"/>
      <c r="G321" s="212"/>
      <c r="H321" s="212"/>
      <c r="I321" s="212"/>
      <c r="J321" s="212"/>
      <c r="K321" s="212"/>
      <c r="L321" s="212"/>
      <c r="M321" s="212"/>
      <c r="N321" s="212"/>
      <c r="O321" s="212"/>
      <c r="P321" s="212"/>
      <c r="Q321" s="212"/>
      <c r="R321" s="451"/>
      <c r="S321" s="451"/>
      <c r="T321" s="212"/>
      <c r="U321" s="451"/>
      <c r="V321" s="451"/>
      <c r="W321" s="451"/>
      <c r="X321" s="451"/>
      <c r="Y321" s="212"/>
      <c r="Z321" s="212"/>
      <c r="AA321" s="212"/>
      <c r="AB321" s="212"/>
      <c r="AC321" s="212"/>
      <c r="AD321" s="212"/>
      <c r="AE321" s="450"/>
      <c r="AF321" s="212"/>
      <c r="AG321" s="212"/>
      <c r="AH321" s="212"/>
      <c r="AI321" s="212"/>
      <c r="AJ321" s="212"/>
      <c r="AK321" s="212"/>
      <c r="AL321" s="212"/>
      <c r="AM321" s="212"/>
      <c r="AN321" s="212"/>
      <c r="AO321" s="212"/>
      <c r="AP321" s="212"/>
      <c r="AQ321" s="212"/>
      <c r="AR321" s="212"/>
      <c r="AS321" s="212"/>
      <c r="AT321" s="212"/>
      <c r="AU321" s="212"/>
      <c r="AV321" s="212"/>
      <c r="AW321" s="212"/>
      <c r="AX321" s="212"/>
      <c r="AY321" s="212"/>
      <c r="AZ321" s="452"/>
      <c r="BA321" s="212"/>
      <c r="BB321" s="212"/>
      <c r="BC321" s="212"/>
      <c r="BD321" s="212"/>
      <c r="BE321" s="455"/>
      <c r="BF321" s="452"/>
    </row>
    <row r="322">
      <c r="A322" s="212"/>
      <c r="B322" s="447"/>
      <c r="C322" s="212"/>
      <c r="D322" s="212"/>
      <c r="E322" s="212"/>
      <c r="F322" s="212"/>
      <c r="G322" s="212"/>
      <c r="H322" s="212"/>
      <c r="I322" s="212"/>
      <c r="J322" s="212"/>
      <c r="K322" s="212"/>
      <c r="L322" s="212"/>
      <c r="M322" s="212"/>
      <c r="N322" s="212"/>
      <c r="O322" s="212"/>
      <c r="P322" s="212"/>
      <c r="Q322" s="212"/>
      <c r="R322" s="451"/>
      <c r="S322" s="451"/>
      <c r="T322" s="212"/>
      <c r="U322" s="451"/>
      <c r="V322" s="451"/>
      <c r="W322" s="451"/>
      <c r="X322" s="451"/>
      <c r="Y322" s="212"/>
      <c r="Z322" s="212"/>
      <c r="AA322" s="212"/>
      <c r="AB322" s="212"/>
      <c r="AC322" s="212"/>
      <c r="AD322" s="212"/>
      <c r="AE322" s="450"/>
      <c r="AF322" s="212"/>
      <c r="AG322" s="212"/>
      <c r="AH322" s="212"/>
      <c r="AI322" s="212"/>
      <c r="AJ322" s="212"/>
      <c r="AK322" s="212"/>
      <c r="AL322" s="212"/>
      <c r="AM322" s="212"/>
      <c r="AN322" s="212"/>
      <c r="AO322" s="212"/>
      <c r="AP322" s="212"/>
      <c r="AQ322" s="212"/>
      <c r="AR322" s="212"/>
      <c r="AS322" s="212"/>
      <c r="AT322" s="212"/>
      <c r="AU322" s="212"/>
      <c r="AV322" s="212"/>
      <c r="AW322" s="212"/>
      <c r="AX322" s="212"/>
      <c r="AY322" s="212"/>
      <c r="AZ322" s="452"/>
      <c r="BA322" s="212"/>
      <c r="BB322" s="212"/>
      <c r="BC322" s="212"/>
      <c r="BD322" s="212"/>
      <c r="BE322" s="455"/>
      <c r="BF322" s="452"/>
    </row>
    <row r="323">
      <c r="A323" s="212"/>
      <c r="B323" s="447"/>
      <c r="C323" s="212"/>
      <c r="D323" s="212"/>
      <c r="E323" s="212"/>
      <c r="F323" s="212"/>
      <c r="G323" s="212"/>
      <c r="H323" s="212"/>
      <c r="I323" s="212"/>
      <c r="J323" s="212"/>
      <c r="K323" s="212"/>
      <c r="L323" s="212"/>
      <c r="M323" s="212"/>
      <c r="N323" s="212"/>
      <c r="O323" s="212"/>
      <c r="P323" s="212"/>
      <c r="Q323" s="212"/>
      <c r="R323" s="451"/>
      <c r="S323" s="451"/>
      <c r="T323" s="212"/>
      <c r="U323" s="451"/>
      <c r="V323" s="451"/>
      <c r="W323" s="451"/>
      <c r="X323" s="451"/>
      <c r="Y323" s="212"/>
      <c r="Z323" s="212"/>
      <c r="AA323" s="212"/>
      <c r="AB323" s="212"/>
      <c r="AC323" s="212"/>
      <c r="AD323" s="212"/>
      <c r="AE323" s="450"/>
      <c r="AF323" s="212"/>
      <c r="AG323" s="212"/>
      <c r="AH323" s="212"/>
      <c r="AI323" s="212"/>
      <c r="AJ323" s="212"/>
      <c r="AK323" s="212"/>
      <c r="AL323" s="212"/>
      <c r="AM323" s="212"/>
      <c r="AN323" s="212"/>
      <c r="AO323" s="212"/>
      <c r="AP323" s="212"/>
      <c r="AQ323" s="212"/>
      <c r="AR323" s="212"/>
      <c r="AS323" s="212"/>
      <c r="AT323" s="212"/>
      <c r="AU323" s="212"/>
      <c r="AV323" s="212"/>
      <c r="AW323" s="212"/>
      <c r="AX323" s="212"/>
      <c r="AY323" s="212"/>
      <c r="AZ323" s="452"/>
      <c r="BA323" s="212"/>
      <c r="BB323" s="212"/>
      <c r="BC323" s="212"/>
      <c r="BD323" s="212"/>
      <c r="BE323" s="455"/>
      <c r="BF323" s="452"/>
    </row>
    <row r="324">
      <c r="A324" s="212"/>
      <c r="B324" s="447"/>
      <c r="C324" s="212"/>
      <c r="D324" s="212"/>
      <c r="E324" s="212"/>
      <c r="F324" s="212"/>
      <c r="G324" s="212"/>
      <c r="H324" s="212"/>
      <c r="I324" s="212"/>
      <c r="J324" s="212"/>
      <c r="K324" s="212"/>
      <c r="L324" s="212"/>
      <c r="M324" s="212"/>
      <c r="N324" s="212"/>
      <c r="O324" s="212"/>
      <c r="P324" s="212"/>
      <c r="Q324" s="212"/>
      <c r="R324" s="451"/>
      <c r="S324" s="451"/>
      <c r="T324" s="212"/>
      <c r="U324" s="451"/>
      <c r="V324" s="451"/>
      <c r="W324" s="451"/>
      <c r="X324" s="451"/>
      <c r="Y324" s="212"/>
      <c r="Z324" s="212"/>
      <c r="AA324" s="212"/>
      <c r="AB324" s="212"/>
      <c r="AC324" s="212"/>
      <c r="AD324" s="212"/>
      <c r="AE324" s="450"/>
      <c r="AF324" s="212"/>
      <c r="AG324" s="212"/>
      <c r="AH324" s="212"/>
      <c r="AI324" s="212"/>
      <c r="AJ324" s="212"/>
      <c r="AK324" s="212"/>
      <c r="AL324" s="212"/>
      <c r="AM324" s="212"/>
      <c r="AN324" s="212"/>
      <c r="AO324" s="212"/>
      <c r="AP324" s="212"/>
      <c r="AQ324" s="212"/>
      <c r="AR324" s="212"/>
      <c r="AS324" s="212"/>
      <c r="AT324" s="212"/>
      <c r="AU324" s="212"/>
      <c r="AV324" s="212"/>
      <c r="AW324" s="212"/>
      <c r="AX324" s="212"/>
      <c r="AY324" s="212"/>
      <c r="AZ324" s="452"/>
      <c r="BA324" s="212"/>
      <c r="BB324" s="212"/>
      <c r="BC324" s="212"/>
      <c r="BD324" s="212"/>
      <c r="BE324" s="455"/>
      <c r="BF324" s="452"/>
    </row>
    <row r="325">
      <c r="A325" s="212"/>
      <c r="B325" s="447"/>
      <c r="C325" s="212"/>
      <c r="D325" s="212"/>
      <c r="E325" s="212"/>
      <c r="F325" s="212"/>
      <c r="G325" s="212"/>
      <c r="H325" s="212"/>
      <c r="I325" s="212"/>
      <c r="J325" s="212"/>
      <c r="K325" s="212"/>
      <c r="L325" s="212"/>
      <c r="M325" s="212"/>
      <c r="N325" s="212"/>
      <c r="O325" s="212"/>
      <c r="P325" s="212"/>
      <c r="Q325" s="212"/>
      <c r="R325" s="451"/>
      <c r="S325" s="451"/>
      <c r="T325" s="212"/>
      <c r="U325" s="451"/>
      <c r="V325" s="451"/>
      <c r="W325" s="451"/>
      <c r="X325" s="451"/>
      <c r="Y325" s="212"/>
      <c r="Z325" s="212"/>
      <c r="AA325" s="212"/>
      <c r="AB325" s="212"/>
      <c r="AC325" s="212"/>
      <c r="AD325" s="212"/>
      <c r="AE325" s="450"/>
      <c r="AF325" s="212"/>
      <c r="AG325" s="212"/>
      <c r="AH325" s="212"/>
      <c r="AI325" s="212"/>
      <c r="AJ325" s="212"/>
      <c r="AK325" s="212"/>
      <c r="AL325" s="212"/>
      <c r="AM325" s="212"/>
      <c r="AN325" s="212"/>
      <c r="AO325" s="212"/>
      <c r="AP325" s="212"/>
      <c r="AQ325" s="212"/>
      <c r="AR325" s="212"/>
      <c r="AS325" s="212"/>
      <c r="AT325" s="212"/>
      <c r="AU325" s="212"/>
      <c r="AV325" s="212"/>
      <c r="AW325" s="212"/>
      <c r="AX325" s="212"/>
      <c r="AY325" s="212"/>
      <c r="AZ325" s="452"/>
      <c r="BA325" s="212"/>
      <c r="BB325" s="212"/>
      <c r="BC325" s="212"/>
      <c r="BD325" s="212"/>
      <c r="BE325" s="455"/>
      <c r="BF325" s="452"/>
    </row>
    <row r="326">
      <c r="A326" s="212"/>
      <c r="B326" s="447"/>
      <c r="C326" s="212"/>
      <c r="D326" s="212"/>
      <c r="E326" s="212"/>
      <c r="F326" s="212"/>
      <c r="G326" s="212"/>
      <c r="H326" s="212"/>
      <c r="I326" s="212"/>
      <c r="J326" s="212"/>
      <c r="K326" s="212"/>
      <c r="L326" s="212"/>
      <c r="M326" s="212"/>
      <c r="N326" s="212"/>
      <c r="O326" s="212"/>
      <c r="P326" s="212"/>
      <c r="Q326" s="212"/>
      <c r="R326" s="451"/>
      <c r="S326" s="451"/>
      <c r="T326" s="212"/>
      <c r="U326" s="451"/>
      <c r="V326" s="451"/>
      <c r="W326" s="451"/>
      <c r="X326" s="451"/>
      <c r="Y326" s="212"/>
      <c r="Z326" s="212"/>
      <c r="AA326" s="212"/>
      <c r="AB326" s="212"/>
      <c r="AC326" s="212"/>
      <c r="AD326" s="212"/>
      <c r="AE326" s="450"/>
      <c r="AF326" s="212"/>
      <c r="AG326" s="212"/>
      <c r="AH326" s="212"/>
      <c r="AI326" s="212"/>
      <c r="AJ326" s="212"/>
      <c r="AK326" s="212"/>
      <c r="AL326" s="212"/>
      <c r="AM326" s="212"/>
      <c r="AN326" s="212"/>
      <c r="AO326" s="212"/>
      <c r="AP326" s="212"/>
      <c r="AQ326" s="212"/>
      <c r="AR326" s="212"/>
      <c r="AS326" s="212"/>
      <c r="AT326" s="212"/>
      <c r="AU326" s="212"/>
      <c r="AV326" s="212"/>
      <c r="AW326" s="212"/>
      <c r="AX326" s="212"/>
      <c r="AY326" s="212"/>
      <c r="AZ326" s="452"/>
      <c r="BA326" s="212"/>
      <c r="BB326" s="212"/>
      <c r="BC326" s="212"/>
      <c r="BD326" s="212"/>
      <c r="BE326" s="455"/>
      <c r="BF326" s="452"/>
    </row>
    <row r="327">
      <c r="A327" s="212"/>
      <c r="B327" s="447"/>
      <c r="C327" s="212"/>
      <c r="D327" s="212"/>
      <c r="E327" s="212"/>
      <c r="F327" s="212"/>
      <c r="G327" s="212"/>
      <c r="H327" s="212"/>
      <c r="I327" s="212"/>
      <c r="J327" s="212"/>
      <c r="K327" s="212"/>
      <c r="L327" s="212"/>
      <c r="M327" s="212"/>
      <c r="N327" s="212"/>
      <c r="O327" s="212"/>
      <c r="P327" s="212"/>
      <c r="Q327" s="212"/>
      <c r="R327" s="451"/>
      <c r="S327" s="451"/>
      <c r="T327" s="212"/>
      <c r="U327" s="451"/>
      <c r="V327" s="451"/>
      <c r="W327" s="451"/>
      <c r="X327" s="451"/>
      <c r="Y327" s="212"/>
      <c r="Z327" s="212"/>
      <c r="AA327" s="212"/>
      <c r="AB327" s="212"/>
      <c r="AC327" s="212"/>
      <c r="AD327" s="212"/>
      <c r="AE327" s="450"/>
      <c r="AF327" s="212"/>
      <c r="AG327" s="212"/>
      <c r="AH327" s="212"/>
      <c r="AI327" s="212"/>
      <c r="AJ327" s="212"/>
      <c r="AK327" s="212"/>
      <c r="AL327" s="212"/>
      <c r="AM327" s="212"/>
      <c r="AN327" s="212"/>
      <c r="AO327" s="212"/>
      <c r="AP327" s="212"/>
      <c r="AQ327" s="212"/>
      <c r="AR327" s="212"/>
      <c r="AS327" s="212"/>
      <c r="AT327" s="212"/>
      <c r="AU327" s="212"/>
      <c r="AV327" s="212"/>
      <c r="AW327" s="212"/>
      <c r="AX327" s="212"/>
      <c r="AY327" s="212"/>
      <c r="AZ327" s="452"/>
      <c r="BA327" s="212"/>
      <c r="BB327" s="212"/>
      <c r="BC327" s="212"/>
      <c r="BD327" s="212"/>
      <c r="BE327" s="455"/>
      <c r="BF327" s="452"/>
    </row>
    <row r="328">
      <c r="A328" s="212"/>
      <c r="B328" s="447"/>
      <c r="C328" s="212"/>
      <c r="D328" s="212"/>
      <c r="E328" s="212"/>
      <c r="F328" s="212"/>
      <c r="G328" s="212"/>
      <c r="H328" s="212"/>
      <c r="I328" s="212"/>
      <c r="J328" s="212"/>
      <c r="K328" s="212"/>
      <c r="L328" s="212"/>
      <c r="M328" s="212"/>
      <c r="N328" s="212"/>
      <c r="O328" s="212"/>
      <c r="P328" s="212"/>
      <c r="Q328" s="212"/>
      <c r="R328" s="451"/>
      <c r="S328" s="451"/>
      <c r="T328" s="212"/>
      <c r="U328" s="451"/>
      <c r="V328" s="451"/>
      <c r="W328" s="451"/>
      <c r="X328" s="451"/>
      <c r="Y328" s="212"/>
      <c r="Z328" s="212"/>
      <c r="AA328" s="212"/>
      <c r="AB328" s="212"/>
      <c r="AC328" s="212"/>
      <c r="AD328" s="212"/>
      <c r="AE328" s="450"/>
      <c r="AF328" s="212"/>
      <c r="AG328" s="212"/>
      <c r="AH328" s="212"/>
      <c r="AI328" s="212"/>
      <c r="AJ328" s="212"/>
      <c r="AK328" s="212"/>
      <c r="AL328" s="212"/>
      <c r="AM328" s="212"/>
      <c r="AN328" s="212"/>
      <c r="AO328" s="212"/>
      <c r="AP328" s="212"/>
      <c r="AQ328" s="212"/>
      <c r="AR328" s="212"/>
      <c r="AS328" s="212"/>
      <c r="AT328" s="212"/>
      <c r="AU328" s="212"/>
      <c r="AV328" s="212"/>
      <c r="AW328" s="212"/>
      <c r="AX328" s="212"/>
      <c r="AY328" s="212"/>
      <c r="AZ328" s="452"/>
      <c r="BA328" s="212"/>
      <c r="BB328" s="212"/>
      <c r="BC328" s="212"/>
      <c r="BD328" s="212"/>
      <c r="BE328" s="455"/>
      <c r="BF328" s="452"/>
    </row>
    <row r="329">
      <c r="A329" s="212"/>
      <c r="B329" s="447"/>
      <c r="C329" s="212"/>
      <c r="D329" s="212"/>
      <c r="E329" s="212"/>
      <c r="F329" s="212"/>
      <c r="G329" s="212"/>
      <c r="H329" s="212"/>
      <c r="I329" s="212"/>
      <c r="J329" s="212"/>
      <c r="K329" s="212"/>
      <c r="L329" s="212"/>
      <c r="M329" s="212"/>
      <c r="N329" s="212"/>
      <c r="O329" s="212"/>
      <c r="P329" s="212"/>
      <c r="Q329" s="212"/>
      <c r="R329" s="451"/>
      <c r="S329" s="451"/>
      <c r="T329" s="212"/>
      <c r="U329" s="451"/>
      <c r="V329" s="451"/>
      <c r="W329" s="451"/>
      <c r="X329" s="451"/>
      <c r="Y329" s="212"/>
      <c r="Z329" s="212"/>
      <c r="AA329" s="212"/>
      <c r="AB329" s="212"/>
      <c r="AC329" s="212"/>
      <c r="AD329" s="212"/>
      <c r="AE329" s="450"/>
      <c r="AF329" s="212"/>
      <c r="AG329" s="212"/>
      <c r="AH329" s="212"/>
      <c r="AI329" s="212"/>
      <c r="AJ329" s="212"/>
      <c r="AK329" s="212"/>
      <c r="AL329" s="212"/>
      <c r="AM329" s="212"/>
      <c r="AN329" s="212"/>
      <c r="AO329" s="212"/>
      <c r="AP329" s="212"/>
      <c r="AQ329" s="212"/>
      <c r="AR329" s="212"/>
      <c r="AS329" s="212"/>
      <c r="AT329" s="212"/>
      <c r="AU329" s="212"/>
      <c r="AV329" s="212"/>
      <c r="AW329" s="212"/>
      <c r="AX329" s="212"/>
      <c r="AY329" s="212"/>
      <c r="AZ329" s="452"/>
      <c r="BA329" s="212"/>
      <c r="BB329" s="212"/>
      <c r="BC329" s="212"/>
      <c r="BD329" s="212"/>
      <c r="BE329" s="455"/>
      <c r="BF329" s="452"/>
    </row>
    <row r="330">
      <c r="A330" s="212"/>
      <c r="B330" s="447"/>
      <c r="C330" s="212"/>
      <c r="D330" s="212"/>
      <c r="E330" s="212"/>
      <c r="F330" s="212"/>
      <c r="G330" s="212"/>
      <c r="H330" s="212"/>
      <c r="I330" s="212"/>
      <c r="J330" s="212"/>
      <c r="K330" s="212"/>
      <c r="L330" s="212"/>
      <c r="M330" s="212"/>
      <c r="N330" s="212"/>
      <c r="O330" s="212"/>
      <c r="P330" s="212"/>
      <c r="Q330" s="212"/>
      <c r="R330" s="451"/>
      <c r="S330" s="451"/>
      <c r="T330" s="212"/>
      <c r="U330" s="451"/>
      <c r="V330" s="451"/>
      <c r="W330" s="451"/>
      <c r="X330" s="451"/>
      <c r="Y330" s="212"/>
      <c r="Z330" s="212"/>
      <c r="AA330" s="212"/>
      <c r="AB330" s="212"/>
      <c r="AC330" s="212"/>
      <c r="AD330" s="212"/>
      <c r="AE330" s="450"/>
      <c r="AF330" s="212"/>
      <c r="AG330" s="212"/>
      <c r="AH330" s="212"/>
      <c r="AI330" s="212"/>
      <c r="AJ330" s="212"/>
      <c r="AK330" s="212"/>
      <c r="AL330" s="212"/>
      <c r="AM330" s="212"/>
      <c r="AN330" s="212"/>
      <c r="AO330" s="212"/>
      <c r="AP330" s="212"/>
      <c r="AQ330" s="212"/>
      <c r="AR330" s="212"/>
      <c r="AS330" s="212"/>
      <c r="AT330" s="212"/>
      <c r="AU330" s="212"/>
      <c r="AV330" s="212"/>
      <c r="AW330" s="212"/>
      <c r="AX330" s="212"/>
      <c r="AY330" s="212"/>
      <c r="AZ330" s="452"/>
      <c r="BA330" s="212"/>
      <c r="BB330" s="212"/>
      <c r="BC330" s="212"/>
      <c r="BD330" s="212"/>
      <c r="BE330" s="455"/>
      <c r="BF330" s="452"/>
    </row>
    <row r="331">
      <c r="A331" s="212"/>
      <c r="B331" s="447"/>
      <c r="C331" s="212"/>
      <c r="D331" s="212"/>
      <c r="E331" s="212"/>
      <c r="F331" s="212"/>
      <c r="G331" s="212"/>
      <c r="H331" s="212"/>
      <c r="I331" s="212"/>
      <c r="J331" s="212"/>
      <c r="K331" s="212"/>
      <c r="L331" s="212"/>
      <c r="M331" s="212"/>
      <c r="N331" s="212"/>
      <c r="O331" s="212"/>
      <c r="P331" s="212"/>
      <c r="Q331" s="212"/>
      <c r="R331" s="451"/>
      <c r="S331" s="451"/>
      <c r="T331" s="212"/>
      <c r="U331" s="451"/>
      <c r="V331" s="451"/>
      <c r="W331" s="451"/>
      <c r="X331" s="451"/>
      <c r="Y331" s="212"/>
      <c r="Z331" s="212"/>
      <c r="AA331" s="212"/>
      <c r="AB331" s="212"/>
      <c r="AC331" s="212"/>
      <c r="AD331" s="212"/>
      <c r="AE331" s="450"/>
      <c r="AF331" s="212"/>
      <c r="AG331" s="212"/>
      <c r="AH331" s="212"/>
      <c r="AI331" s="212"/>
      <c r="AJ331" s="212"/>
      <c r="AK331" s="212"/>
      <c r="AL331" s="212"/>
      <c r="AM331" s="212"/>
      <c r="AN331" s="212"/>
      <c r="AO331" s="212"/>
      <c r="AP331" s="212"/>
      <c r="AQ331" s="212"/>
      <c r="AR331" s="212"/>
      <c r="AS331" s="212"/>
      <c r="AT331" s="212"/>
      <c r="AU331" s="212"/>
      <c r="AV331" s="212"/>
      <c r="AW331" s="212"/>
      <c r="AX331" s="212"/>
      <c r="AY331" s="212"/>
      <c r="AZ331" s="452"/>
      <c r="BA331" s="212"/>
      <c r="BB331" s="212"/>
      <c r="BC331" s="212"/>
      <c r="BD331" s="212"/>
      <c r="BE331" s="455"/>
      <c r="BF331" s="452"/>
    </row>
    <row r="332">
      <c r="A332" s="212"/>
      <c r="B332" s="447"/>
      <c r="C332" s="212"/>
      <c r="D332" s="212"/>
      <c r="E332" s="212"/>
      <c r="F332" s="212"/>
      <c r="G332" s="212"/>
      <c r="H332" s="212"/>
      <c r="I332" s="212"/>
      <c r="J332" s="212"/>
      <c r="K332" s="212"/>
      <c r="L332" s="212"/>
      <c r="M332" s="212"/>
      <c r="N332" s="212"/>
      <c r="O332" s="212"/>
      <c r="P332" s="212"/>
      <c r="Q332" s="212"/>
      <c r="R332" s="451"/>
      <c r="S332" s="451"/>
      <c r="T332" s="212"/>
      <c r="U332" s="451"/>
      <c r="V332" s="451"/>
      <c r="W332" s="451"/>
      <c r="X332" s="451"/>
      <c r="Y332" s="212"/>
      <c r="Z332" s="212"/>
      <c r="AA332" s="212"/>
      <c r="AB332" s="212"/>
      <c r="AC332" s="212"/>
      <c r="AD332" s="212"/>
      <c r="AE332" s="450"/>
      <c r="AF332" s="212"/>
      <c r="AG332" s="212"/>
      <c r="AH332" s="212"/>
      <c r="AI332" s="212"/>
      <c r="AJ332" s="212"/>
      <c r="AK332" s="212"/>
      <c r="AL332" s="212"/>
      <c r="AM332" s="212"/>
      <c r="AN332" s="212"/>
      <c r="AO332" s="212"/>
      <c r="AP332" s="212"/>
      <c r="AQ332" s="212"/>
      <c r="AR332" s="212"/>
      <c r="AS332" s="212"/>
      <c r="AT332" s="212"/>
      <c r="AU332" s="212"/>
      <c r="AV332" s="212"/>
      <c r="AW332" s="212"/>
      <c r="AX332" s="212"/>
      <c r="AY332" s="212"/>
      <c r="AZ332" s="452"/>
      <c r="BA332" s="212"/>
      <c r="BB332" s="212"/>
      <c r="BC332" s="212"/>
      <c r="BD332" s="212"/>
      <c r="BE332" s="455"/>
      <c r="BF332" s="452"/>
    </row>
    <row r="333">
      <c r="A333" s="212"/>
      <c r="B333" s="447"/>
      <c r="C333" s="212"/>
      <c r="D333" s="212"/>
      <c r="E333" s="212"/>
      <c r="F333" s="212"/>
      <c r="G333" s="212"/>
      <c r="H333" s="212"/>
      <c r="I333" s="212"/>
      <c r="J333" s="212"/>
      <c r="K333" s="212"/>
      <c r="L333" s="212"/>
      <c r="M333" s="212"/>
      <c r="N333" s="212"/>
      <c r="O333" s="212"/>
      <c r="P333" s="212"/>
      <c r="Q333" s="212"/>
      <c r="R333" s="451"/>
      <c r="S333" s="451"/>
      <c r="T333" s="212"/>
      <c r="U333" s="451"/>
      <c r="V333" s="451"/>
      <c r="W333" s="451"/>
      <c r="X333" s="451"/>
      <c r="Y333" s="212"/>
      <c r="Z333" s="212"/>
      <c r="AA333" s="212"/>
      <c r="AB333" s="212"/>
      <c r="AC333" s="212"/>
      <c r="AD333" s="212"/>
      <c r="AE333" s="450"/>
      <c r="AF333" s="212"/>
      <c r="AG333" s="212"/>
      <c r="AH333" s="212"/>
      <c r="AI333" s="212"/>
      <c r="AJ333" s="212"/>
      <c r="AK333" s="212"/>
      <c r="AL333" s="212"/>
      <c r="AM333" s="212"/>
      <c r="AN333" s="212"/>
      <c r="AO333" s="212"/>
      <c r="AP333" s="212"/>
      <c r="AQ333" s="212"/>
      <c r="AR333" s="212"/>
      <c r="AS333" s="212"/>
      <c r="AT333" s="212"/>
      <c r="AU333" s="212"/>
      <c r="AV333" s="212"/>
      <c r="AW333" s="212"/>
      <c r="AX333" s="212"/>
      <c r="AY333" s="212"/>
      <c r="AZ333" s="452"/>
      <c r="BA333" s="212"/>
      <c r="BB333" s="212"/>
      <c r="BC333" s="212"/>
      <c r="BD333" s="212"/>
      <c r="BE333" s="455"/>
      <c r="BF333" s="452"/>
    </row>
    <row r="334">
      <c r="A334" s="212"/>
      <c r="B334" s="447"/>
      <c r="C334" s="212"/>
      <c r="D334" s="212"/>
      <c r="E334" s="212"/>
      <c r="F334" s="212"/>
      <c r="G334" s="212"/>
      <c r="H334" s="212"/>
      <c r="I334" s="212"/>
      <c r="J334" s="212"/>
      <c r="K334" s="212"/>
      <c r="L334" s="212"/>
      <c r="M334" s="212"/>
      <c r="N334" s="212"/>
      <c r="O334" s="212"/>
      <c r="P334" s="212"/>
      <c r="Q334" s="212"/>
      <c r="R334" s="451"/>
      <c r="S334" s="451"/>
      <c r="T334" s="212"/>
      <c r="U334" s="451"/>
      <c r="V334" s="451"/>
      <c r="W334" s="451"/>
      <c r="X334" s="451"/>
      <c r="Y334" s="212"/>
      <c r="Z334" s="212"/>
      <c r="AA334" s="212"/>
      <c r="AB334" s="212"/>
      <c r="AC334" s="212"/>
      <c r="AD334" s="212"/>
      <c r="AE334" s="450"/>
      <c r="AF334" s="212"/>
      <c r="AG334" s="212"/>
      <c r="AH334" s="212"/>
      <c r="AI334" s="212"/>
      <c r="AJ334" s="212"/>
      <c r="AK334" s="212"/>
      <c r="AL334" s="212"/>
      <c r="AM334" s="212"/>
      <c r="AN334" s="212"/>
      <c r="AO334" s="212"/>
      <c r="AP334" s="212"/>
      <c r="AQ334" s="212"/>
      <c r="AR334" s="212"/>
      <c r="AS334" s="212"/>
      <c r="AT334" s="212"/>
      <c r="AU334" s="212"/>
      <c r="AV334" s="212"/>
      <c r="AW334" s="212"/>
      <c r="AX334" s="212"/>
      <c r="AY334" s="212"/>
      <c r="AZ334" s="452"/>
      <c r="BA334" s="212"/>
      <c r="BB334" s="212"/>
      <c r="BC334" s="212"/>
      <c r="BD334" s="212"/>
      <c r="BE334" s="455"/>
      <c r="BF334" s="452"/>
    </row>
    <row r="335">
      <c r="A335" s="212"/>
      <c r="B335" s="447"/>
      <c r="C335" s="212"/>
      <c r="D335" s="212"/>
      <c r="E335" s="212"/>
      <c r="F335" s="212"/>
      <c r="G335" s="212"/>
      <c r="H335" s="212"/>
      <c r="I335" s="212"/>
      <c r="J335" s="212"/>
      <c r="K335" s="212"/>
      <c r="L335" s="212"/>
      <c r="M335" s="212"/>
      <c r="N335" s="212"/>
      <c r="O335" s="212"/>
      <c r="P335" s="212"/>
      <c r="Q335" s="212"/>
      <c r="R335" s="451"/>
      <c r="S335" s="451"/>
      <c r="T335" s="212"/>
      <c r="U335" s="451"/>
      <c r="V335" s="451"/>
      <c r="W335" s="451"/>
      <c r="X335" s="451"/>
      <c r="Y335" s="212"/>
      <c r="Z335" s="212"/>
      <c r="AA335" s="212"/>
      <c r="AB335" s="212"/>
      <c r="AC335" s="212"/>
      <c r="AD335" s="212"/>
      <c r="AE335" s="450"/>
      <c r="AF335" s="212"/>
      <c r="AG335" s="212"/>
      <c r="AH335" s="212"/>
      <c r="AI335" s="212"/>
      <c r="AJ335" s="212"/>
      <c r="AK335" s="212"/>
      <c r="AL335" s="212"/>
      <c r="AM335" s="212"/>
      <c r="AN335" s="212"/>
      <c r="AO335" s="212"/>
      <c r="AP335" s="212"/>
      <c r="AQ335" s="212"/>
      <c r="AR335" s="212"/>
      <c r="AS335" s="212"/>
      <c r="AT335" s="212"/>
      <c r="AU335" s="212"/>
      <c r="AV335" s="212"/>
      <c r="AW335" s="212"/>
      <c r="AX335" s="212"/>
      <c r="AY335" s="212"/>
      <c r="AZ335" s="452"/>
      <c r="BA335" s="212"/>
      <c r="BB335" s="212"/>
      <c r="BC335" s="212"/>
      <c r="BD335" s="212"/>
      <c r="BE335" s="455"/>
      <c r="BF335" s="452"/>
    </row>
    <row r="336">
      <c r="A336" s="212"/>
      <c r="B336" s="447"/>
      <c r="C336" s="212"/>
      <c r="D336" s="212"/>
      <c r="E336" s="212"/>
      <c r="F336" s="212"/>
      <c r="G336" s="212"/>
      <c r="H336" s="212"/>
      <c r="I336" s="212"/>
      <c r="J336" s="212"/>
      <c r="K336" s="212"/>
      <c r="L336" s="212"/>
      <c r="M336" s="212"/>
      <c r="N336" s="212"/>
      <c r="O336" s="212"/>
      <c r="P336" s="212"/>
      <c r="Q336" s="212"/>
      <c r="R336" s="451"/>
      <c r="S336" s="451"/>
      <c r="T336" s="212"/>
      <c r="U336" s="451"/>
      <c r="V336" s="451"/>
      <c r="W336" s="451"/>
      <c r="X336" s="451"/>
      <c r="Y336" s="212"/>
      <c r="Z336" s="212"/>
      <c r="AA336" s="212"/>
      <c r="AB336" s="212"/>
      <c r="AC336" s="212"/>
      <c r="AD336" s="212"/>
      <c r="AE336" s="450"/>
      <c r="AF336" s="212"/>
      <c r="AG336" s="212"/>
      <c r="AH336" s="212"/>
      <c r="AI336" s="212"/>
      <c r="AJ336" s="212"/>
      <c r="AK336" s="212"/>
      <c r="AL336" s="212"/>
      <c r="AM336" s="212"/>
      <c r="AN336" s="212"/>
      <c r="AO336" s="212"/>
      <c r="AP336" s="212"/>
      <c r="AQ336" s="212"/>
      <c r="AR336" s="212"/>
      <c r="AS336" s="212"/>
      <c r="AT336" s="212"/>
      <c r="AU336" s="212"/>
      <c r="AV336" s="212"/>
      <c r="AW336" s="212"/>
      <c r="AX336" s="212"/>
      <c r="AY336" s="212"/>
      <c r="AZ336" s="452"/>
      <c r="BA336" s="212"/>
      <c r="BB336" s="212"/>
      <c r="BC336" s="212"/>
      <c r="BD336" s="212"/>
      <c r="BE336" s="455"/>
      <c r="BF336" s="452"/>
    </row>
    <row r="337">
      <c r="A337" s="212"/>
      <c r="B337" s="447"/>
      <c r="C337" s="212"/>
      <c r="D337" s="212"/>
      <c r="E337" s="212"/>
      <c r="F337" s="212"/>
      <c r="G337" s="212"/>
      <c r="H337" s="212"/>
      <c r="I337" s="212"/>
      <c r="J337" s="212"/>
      <c r="K337" s="212"/>
      <c r="L337" s="212"/>
      <c r="M337" s="212"/>
      <c r="N337" s="212"/>
      <c r="O337" s="212"/>
      <c r="P337" s="212"/>
      <c r="Q337" s="212"/>
      <c r="R337" s="451"/>
      <c r="S337" s="451"/>
      <c r="T337" s="212"/>
      <c r="U337" s="451"/>
      <c r="V337" s="451"/>
      <c r="W337" s="451"/>
      <c r="X337" s="451"/>
      <c r="Y337" s="212"/>
      <c r="Z337" s="212"/>
      <c r="AA337" s="212"/>
      <c r="AB337" s="212"/>
      <c r="AC337" s="212"/>
      <c r="AD337" s="212"/>
      <c r="AE337" s="450"/>
      <c r="AF337" s="212"/>
      <c r="AG337" s="212"/>
      <c r="AH337" s="212"/>
      <c r="AI337" s="212"/>
      <c r="AJ337" s="212"/>
      <c r="AK337" s="212"/>
      <c r="AL337" s="212"/>
      <c r="AM337" s="212"/>
      <c r="AN337" s="212"/>
      <c r="AO337" s="212"/>
      <c r="AP337" s="212"/>
      <c r="AQ337" s="212"/>
      <c r="AR337" s="212"/>
      <c r="AS337" s="212"/>
      <c r="AT337" s="212"/>
      <c r="AU337" s="212"/>
      <c r="AV337" s="212"/>
      <c r="AW337" s="212"/>
      <c r="AX337" s="212"/>
      <c r="AY337" s="212"/>
      <c r="AZ337" s="452"/>
      <c r="BA337" s="212"/>
      <c r="BB337" s="212"/>
      <c r="BC337" s="212"/>
      <c r="BD337" s="212"/>
      <c r="BE337" s="455"/>
      <c r="BF337" s="452"/>
    </row>
    <row r="338">
      <c r="A338" s="212"/>
      <c r="B338" s="447"/>
      <c r="C338" s="212"/>
      <c r="D338" s="212"/>
      <c r="E338" s="212"/>
      <c r="F338" s="212"/>
      <c r="G338" s="212"/>
      <c r="H338" s="212"/>
      <c r="I338" s="212"/>
      <c r="J338" s="212"/>
      <c r="K338" s="212"/>
      <c r="L338" s="212"/>
      <c r="M338" s="212"/>
      <c r="N338" s="212"/>
      <c r="O338" s="212"/>
      <c r="P338" s="212"/>
      <c r="Q338" s="212"/>
      <c r="R338" s="451"/>
      <c r="S338" s="451"/>
      <c r="T338" s="212"/>
      <c r="U338" s="451"/>
      <c r="V338" s="451"/>
      <c r="W338" s="451"/>
      <c r="X338" s="451"/>
      <c r="Y338" s="212"/>
      <c r="Z338" s="212"/>
      <c r="AA338" s="212"/>
      <c r="AB338" s="212"/>
      <c r="AC338" s="212"/>
      <c r="AD338" s="212"/>
      <c r="AE338" s="450"/>
      <c r="AF338" s="212"/>
      <c r="AG338" s="212"/>
      <c r="AH338" s="212"/>
      <c r="AI338" s="212"/>
      <c r="AJ338" s="212"/>
      <c r="AK338" s="212"/>
      <c r="AL338" s="212"/>
      <c r="AM338" s="212"/>
      <c r="AN338" s="212"/>
      <c r="AO338" s="212"/>
      <c r="AP338" s="212"/>
      <c r="AQ338" s="212"/>
      <c r="AR338" s="212"/>
      <c r="AS338" s="212"/>
      <c r="AT338" s="212"/>
      <c r="AU338" s="212"/>
      <c r="AV338" s="212"/>
      <c r="AW338" s="212"/>
      <c r="AX338" s="212"/>
      <c r="AY338" s="212"/>
      <c r="AZ338" s="452"/>
      <c r="BA338" s="212"/>
      <c r="BB338" s="212"/>
      <c r="BC338" s="212"/>
      <c r="BD338" s="212"/>
      <c r="BE338" s="455"/>
      <c r="BF338" s="452"/>
    </row>
    <row r="339">
      <c r="A339" s="212"/>
      <c r="B339" s="447"/>
      <c r="C339" s="212"/>
      <c r="D339" s="212"/>
      <c r="E339" s="212"/>
      <c r="F339" s="212"/>
      <c r="G339" s="212"/>
      <c r="H339" s="212"/>
      <c r="I339" s="212"/>
      <c r="J339" s="212"/>
      <c r="K339" s="212"/>
      <c r="L339" s="212"/>
      <c r="M339" s="212"/>
      <c r="N339" s="212"/>
      <c r="O339" s="212"/>
      <c r="P339" s="212"/>
      <c r="Q339" s="212"/>
      <c r="R339" s="451"/>
      <c r="S339" s="451"/>
      <c r="T339" s="212"/>
      <c r="U339" s="451"/>
      <c r="V339" s="451"/>
      <c r="W339" s="451"/>
      <c r="X339" s="451"/>
      <c r="Y339" s="212"/>
      <c r="Z339" s="212"/>
      <c r="AA339" s="212"/>
      <c r="AB339" s="212"/>
      <c r="AC339" s="212"/>
      <c r="AD339" s="212"/>
      <c r="AE339" s="450"/>
      <c r="AF339" s="212"/>
      <c r="AG339" s="212"/>
      <c r="AH339" s="212"/>
      <c r="AI339" s="212"/>
      <c r="AJ339" s="212"/>
      <c r="AK339" s="212"/>
      <c r="AL339" s="212"/>
      <c r="AM339" s="212"/>
      <c r="AN339" s="212"/>
      <c r="AO339" s="212"/>
      <c r="AP339" s="212"/>
      <c r="AQ339" s="212"/>
      <c r="AR339" s="212"/>
      <c r="AS339" s="212"/>
      <c r="AT339" s="212"/>
      <c r="AU339" s="212"/>
      <c r="AV339" s="212"/>
      <c r="AW339" s="212"/>
      <c r="AX339" s="212"/>
      <c r="AY339" s="212"/>
      <c r="AZ339" s="452"/>
      <c r="BA339" s="212"/>
      <c r="BB339" s="212"/>
      <c r="BC339" s="212"/>
      <c r="BD339" s="212"/>
      <c r="BE339" s="455"/>
      <c r="BF339" s="452"/>
    </row>
    <row r="340">
      <c r="A340" s="212"/>
      <c r="B340" s="447"/>
      <c r="C340" s="212"/>
      <c r="D340" s="212"/>
      <c r="E340" s="212"/>
      <c r="F340" s="212"/>
      <c r="G340" s="212"/>
      <c r="H340" s="212"/>
      <c r="I340" s="212"/>
      <c r="J340" s="212"/>
      <c r="K340" s="212"/>
      <c r="L340" s="212"/>
      <c r="M340" s="212"/>
      <c r="N340" s="212"/>
      <c r="O340" s="212"/>
      <c r="P340" s="212"/>
      <c r="Q340" s="212"/>
      <c r="R340" s="451"/>
      <c r="S340" s="451"/>
      <c r="T340" s="212"/>
      <c r="U340" s="451"/>
      <c r="V340" s="451"/>
      <c r="W340" s="451"/>
      <c r="X340" s="451"/>
      <c r="Y340" s="212"/>
      <c r="Z340" s="212"/>
      <c r="AA340" s="212"/>
      <c r="AB340" s="212"/>
      <c r="AC340" s="212"/>
      <c r="AD340" s="212"/>
      <c r="AE340" s="450"/>
      <c r="AF340" s="212"/>
      <c r="AG340" s="212"/>
      <c r="AH340" s="212"/>
      <c r="AI340" s="212"/>
      <c r="AJ340" s="212"/>
      <c r="AK340" s="212"/>
      <c r="AL340" s="212"/>
      <c r="AM340" s="212"/>
      <c r="AN340" s="212"/>
      <c r="AO340" s="212"/>
      <c r="AP340" s="212"/>
      <c r="AQ340" s="212"/>
      <c r="AR340" s="212"/>
      <c r="AS340" s="212"/>
      <c r="AT340" s="212"/>
      <c r="AU340" s="212"/>
      <c r="AV340" s="212"/>
      <c r="AW340" s="212"/>
      <c r="AX340" s="212"/>
      <c r="AY340" s="212"/>
      <c r="AZ340" s="452"/>
      <c r="BA340" s="212"/>
      <c r="BB340" s="212"/>
      <c r="BC340" s="212"/>
      <c r="BD340" s="212"/>
      <c r="BE340" s="455"/>
      <c r="BF340" s="452"/>
    </row>
    <row r="341">
      <c r="A341" s="212"/>
      <c r="B341" s="447"/>
      <c r="C341" s="212"/>
      <c r="D341" s="212"/>
      <c r="E341" s="212"/>
      <c r="F341" s="212"/>
      <c r="G341" s="212"/>
      <c r="H341" s="212"/>
      <c r="I341" s="212"/>
      <c r="J341" s="212"/>
      <c r="K341" s="212"/>
      <c r="L341" s="212"/>
      <c r="M341" s="212"/>
      <c r="N341" s="212"/>
      <c r="O341" s="212"/>
      <c r="P341" s="212"/>
      <c r="Q341" s="212"/>
      <c r="R341" s="451"/>
      <c r="S341" s="451"/>
      <c r="T341" s="212"/>
      <c r="U341" s="451"/>
      <c r="V341" s="451"/>
      <c r="W341" s="451"/>
      <c r="X341" s="451"/>
      <c r="Y341" s="212"/>
      <c r="Z341" s="212"/>
      <c r="AA341" s="212"/>
      <c r="AB341" s="212"/>
      <c r="AC341" s="212"/>
      <c r="AD341" s="212"/>
      <c r="AE341" s="450"/>
      <c r="AF341" s="212"/>
      <c r="AG341" s="212"/>
      <c r="AH341" s="212"/>
      <c r="AI341" s="212"/>
      <c r="AJ341" s="212"/>
      <c r="AK341" s="212"/>
      <c r="AL341" s="212"/>
      <c r="AM341" s="212"/>
      <c r="AN341" s="212"/>
      <c r="AO341" s="212"/>
      <c r="AP341" s="212"/>
      <c r="AQ341" s="212"/>
      <c r="AR341" s="212"/>
      <c r="AS341" s="212"/>
      <c r="AT341" s="212"/>
      <c r="AU341" s="212"/>
      <c r="AV341" s="212"/>
      <c r="AW341" s="212"/>
      <c r="AX341" s="212"/>
      <c r="AY341" s="212"/>
      <c r="AZ341" s="452"/>
      <c r="BA341" s="212"/>
      <c r="BB341" s="212"/>
      <c r="BC341" s="212"/>
      <c r="BD341" s="212"/>
      <c r="BE341" s="455"/>
      <c r="BF341" s="452"/>
    </row>
    <row r="342">
      <c r="A342" s="212"/>
      <c r="B342" s="447"/>
      <c r="C342" s="212"/>
      <c r="D342" s="212"/>
      <c r="E342" s="212"/>
      <c r="F342" s="212"/>
      <c r="G342" s="212"/>
      <c r="H342" s="212"/>
      <c r="I342" s="212"/>
      <c r="J342" s="212"/>
      <c r="K342" s="212"/>
      <c r="L342" s="212"/>
      <c r="M342" s="212"/>
      <c r="N342" s="212"/>
      <c r="O342" s="212"/>
      <c r="P342" s="212"/>
      <c r="Q342" s="212"/>
      <c r="R342" s="451"/>
      <c r="S342" s="451"/>
      <c r="T342" s="212"/>
      <c r="U342" s="451"/>
      <c r="V342" s="451"/>
      <c r="W342" s="451"/>
      <c r="X342" s="451"/>
      <c r="Y342" s="212"/>
      <c r="Z342" s="212"/>
      <c r="AA342" s="212"/>
      <c r="AB342" s="212"/>
      <c r="AC342" s="212"/>
      <c r="AD342" s="212"/>
      <c r="AE342" s="450"/>
      <c r="AF342" s="212"/>
      <c r="AG342" s="212"/>
      <c r="AH342" s="212"/>
      <c r="AI342" s="212"/>
      <c r="AJ342" s="212"/>
      <c r="AK342" s="212"/>
      <c r="AL342" s="212"/>
      <c r="AM342" s="212"/>
      <c r="AN342" s="212"/>
      <c r="AO342" s="212"/>
      <c r="AP342" s="212"/>
      <c r="AQ342" s="212"/>
      <c r="AR342" s="212"/>
      <c r="AS342" s="212"/>
      <c r="AT342" s="212"/>
      <c r="AU342" s="212"/>
      <c r="AV342" s="212"/>
      <c r="AW342" s="212"/>
      <c r="AX342" s="212"/>
      <c r="AY342" s="212"/>
      <c r="AZ342" s="452"/>
      <c r="BA342" s="212"/>
      <c r="BB342" s="212"/>
      <c r="BC342" s="212"/>
      <c r="BD342" s="212"/>
      <c r="BE342" s="455"/>
      <c r="BF342" s="452"/>
    </row>
    <row r="343">
      <c r="A343" s="212"/>
      <c r="B343" s="447"/>
      <c r="C343" s="212"/>
      <c r="D343" s="212"/>
      <c r="E343" s="212"/>
      <c r="F343" s="212"/>
      <c r="G343" s="212"/>
      <c r="H343" s="212"/>
      <c r="I343" s="212"/>
      <c r="J343" s="212"/>
      <c r="K343" s="212"/>
      <c r="L343" s="212"/>
      <c r="M343" s="212"/>
      <c r="N343" s="212"/>
      <c r="O343" s="212"/>
      <c r="P343" s="212"/>
      <c r="Q343" s="212"/>
      <c r="R343" s="451"/>
      <c r="S343" s="451"/>
      <c r="T343" s="212"/>
      <c r="U343" s="451"/>
      <c r="V343" s="451"/>
      <c r="W343" s="451"/>
      <c r="X343" s="451"/>
      <c r="Y343" s="212"/>
      <c r="Z343" s="212"/>
      <c r="AA343" s="212"/>
      <c r="AB343" s="212"/>
      <c r="AC343" s="212"/>
      <c r="AD343" s="212"/>
      <c r="AE343" s="450"/>
      <c r="AF343" s="212"/>
      <c r="AG343" s="212"/>
      <c r="AH343" s="212"/>
      <c r="AI343" s="212"/>
      <c r="AJ343" s="212"/>
      <c r="AK343" s="212"/>
      <c r="AL343" s="212"/>
      <c r="AM343" s="212"/>
      <c r="AN343" s="212"/>
      <c r="AO343" s="212"/>
      <c r="AP343" s="212"/>
      <c r="AQ343" s="212"/>
      <c r="AR343" s="212"/>
      <c r="AS343" s="212"/>
      <c r="AT343" s="212"/>
      <c r="AU343" s="212"/>
      <c r="AV343" s="212"/>
      <c r="AW343" s="212"/>
      <c r="AX343" s="212"/>
      <c r="AY343" s="212"/>
      <c r="AZ343" s="452"/>
      <c r="BA343" s="212"/>
      <c r="BB343" s="212"/>
      <c r="BC343" s="212"/>
      <c r="BD343" s="212"/>
      <c r="BE343" s="455"/>
      <c r="BF343" s="452"/>
    </row>
    <row r="344">
      <c r="A344" s="212"/>
      <c r="B344" s="447"/>
      <c r="C344" s="212"/>
      <c r="D344" s="212"/>
      <c r="E344" s="212"/>
      <c r="F344" s="212"/>
      <c r="G344" s="212"/>
      <c r="H344" s="212"/>
      <c r="I344" s="212"/>
      <c r="J344" s="212"/>
      <c r="K344" s="212"/>
      <c r="L344" s="212"/>
      <c r="M344" s="212"/>
      <c r="N344" s="212"/>
      <c r="O344" s="212"/>
      <c r="P344" s="212"/>
      <c r="Q344" s="212"/>
      <c r="R344" s="451"/>
      <c r="S344" s="451"/>
      <c r="T344" s="212"/>
      <c r="U344" s="451"/>
      <c r="V344" s="451"/>
      <c r="W344" s="451"/>
      <c r="X344" s="451"/>
      <c r="Y344" s="212"/>
      <c r="Z344" s="212"/>
      <c r="AA344" s="212"/>
      <c r="AB344" s="212"/>
      <c r="AC344" s="212"/>
      <c r="AD344" s="212"/>
      <c r="AE344" s="450"/>
      <c r="AF344" s="212"/>
      <c r="AG344" s="212"/>
      <c r="AH344" s="212"/>
      <c r="AI344" s="212"/>
      <c r="AJ344" s="212"/>
      <c r="AK344" s="212"/>
      <c r="AL344" s="212"/>
      <c r="AM344" s="212"/>
      <c r="AN344" s="212"/>
      <c r="AO344" s="212"/>
      <c r="AP344" s="212"/>
      <c r="AQ344" s="212"/>
      <c r="AR344" s="212"/>
      <c r="AS344" s="212"/>
      <c r="AT344" s="212"/>
      <c r="AU344" s="212"/>
      <c r="AV344" s="212"/>
      <c r="AW344" s="212"/>
      <c r="AX344" s="212"/>
      <c r="AY344" s="212"/>
      <c r="AZ344" s="452"/>
      <c r="BA344" s="212"/>
      <c r="BB344" s="212"/>
      <c r="BC344" s="212"/>
      <c r="BD344" s="212"/>
      <c r="BE344" s="455"/>
      <c r="BF344" s="452"/>
    </row>
    <row r="345">
      <c r="A345" s="212"/>
      <c r="B345" s="447"/>
      <c r="C345" s="212"/>
      <c r="D345" s="212"/>
      <c r="E345" s="212"/>
      <c r="F345" s="212"/>
      <c r="G345" s="212"/>
      <c r="H345" s="212"/>
      <c r="I345" s="212"/>
      <c r="J345" s="212"/>
      <c r="K345" s="212"/>
      <c r="L345" s="212"/>
      <c r="M345" s="212"/>
      <c r="N345" s="212"/>
      <c r="O345" s="212"/>
      <c r="P345" s="212"/>
      <c r="Q345" s="212"/>
      <c r="R345" s="451"/>
      <c r="S345" s="451"/>
      <c r="T345" s="212"/>
      <c r="U345" s="451"/>
      <c r="V345" s="451"/>
      <c r="W345" s="451"/>
      <c r="X345" s="451"/>
      <c r="Y345" s="212"/>
      <c r="Z345" s="212"/>
      <c r="AA345" s="212"/>
      <c r="AB345" s="212"/>
      <c r="AC345" s="212"/>
      <c r="AD345" s="212"/>
      <c r="AE345" s="450"/>
      <c r="AF345" s="212"/>
      <c r="AG345" s="212"/>
      <c r="AH345" s="212"/>
      <c r="AI345" s="212"/>
      <c r="AJ345" s="212"/>
      <c r="AK345" s="212"/>
      <c r="AL345" s="212"/>
      <c r="AM345" s="212"/>
      <c r="AN345" s="212"/>
      <c r="AO345" s="212"/>
      <c r="AP345" s="212"/>
      <c r="AQ345" s="212"/>
      <c r="AR345" s="212"/>
      <c r="AS345" s="212"/>
      <c r="AT345" s="212"/>
      <c r="AU345" s="212"/>
      <c r="AV345" s="212"/>
      <c r="AW345" s="212"/>
      <c r="AX345" s="212"/>
      <c r="AY345" s="212"/>
      <c r="AZ345" s="452"/>
      <c r="BA345" s="212"/>
      <c r="BB345" s="212"/>
      <c r="BC345" s="212"/>
      <c r="BD345" s="212"/>
      <c r="BE345" s="455"/>
      <c r="BF345" s="452"/>
    </row>
    <row r="346">
      <c r="A346" s="212"/>
      <c r="B346" s="447"/>
      <c r="C346" s="212"/>
      <c r="D346" s="212"/>
      <c r="E346" s="212"/>
      <c r="F346" s="212"/>
      <c r="G346" s="212"/>
      <c r="H346" s="212"/>
      <c r="I346" s="212"/>
      <c r="J346" s="212"/>
      <c r="K346" s="212"/>
      <c r="L346" s="212"/>
      <c r="M346" s="212"/>
      <c r="N346" s="212"/>
      <c r="O346" s="212"/>
      <c r="P346" s="212"/>
      <c r="Q346" s="212"/>
      <c r="R346" s="451"/>
      <c r="S346" s="451"/>
      <c r="T346" s="212"/>
      <c r="U346" s="451"/>
      <c r="V346" s="451"/>
      <c r="W346" s="451"/>
      <c r="X346" s="451"/>
      <c r="Y346" s="212"/>
      <c r="Z346" s="212"/>
      <c r="AA346" s="212"/>
      <c r="AB346" s="212"/>
      <c r="AC346" s="212"/>
      <c r="AD346" s="212"/>
      <c r="AE346" s="450"/>
      <c r="AF346" s="212"/>
      <c r="AG346" s="212"/>
      <c r="AH346" s="212"/>
      <c r="AI346" s="212"/>
      <c r="AJ346" s="212"/>
      <c r="AK346" s="212"/>
      <c r="AL346" s="212"/>
      <c r="AM346" s="212"/>
      <c r="AN346" s="212"/>
      <c r="AO346" s="212"/>
      <c r="AP346" s="212"/>
      <c r="AQ346" s="212"/>
      <c r="AR346" s="212"/>
      <c r="AS346" s="212"/>
      <c r="AT346" s="212"/>
      <c r="AU346" s="212"/>
      <c r="AV346" s="212"/>
      <c r="AW346" s="212"/>
      <c r="AX346" s="212"/>
      <c r="AY346" s="212"/>
      <c r="AZ346" s="452"/>
      <c r="BA346" s="212"/>
      <c r="BB346" s="212"/>
      <c r="BC346" s="212"/>
      <c r="BD346" s="212"/>
      <c r="BE346" s="455"/>
      <c r="BF346" s="452"/>
    </row>
    <row r="347">
      <c r="A347" s="212"/>
      <c r="B347" s="447"/>
      <c r="C347" s="212"/>
      <c r="D347" s="212"/>
      <c r="E347" s="212"/>
      <c r="F347" s="212"/>
      <c r="G347" s="212"/>
      <c r="H347" s="212"/>
      <c r="I347" s="212"/>
      <c r="J347" s="212"/>
      <c r="K347" s="212"/>
      <c r="L347" s="212"/>
      <c r="M347" s="212"/>
      <c r="N347" s="212"/>
      <c r="O347" s="212"/>
      <c r="P347" s="212"/>
      <c r="Q347" s="212"/>
      <c r="R347" s="451"/>
      <c r="S347" s="451"/>
      <c r="T347" s="212"/>
      <c r="U347" s="451"/>
      <c r="V347" s="451"/>
      <c r="W347" s="451"/>
      <c r="X347" s="451"/>
      <c r="Y347" s="212"/>
      <c r="Z347" s="212"/>
      <c r="AA347" s="212"/>
      <c r="AB347" s="212"/>
      <c r="AC347" s="212"/>
      <c r="AD347" s="212"/>
      <c r="AE347" s="450"/>
      <c r="AF347" s="212"/>
      <c r="AG347" s="212"/>
      <c r="AH347" s="212"/>
      <c r="AI347" s="212"/>
      <c r="AJ347" s="212"/>
      <c r="AK347" s="212"/>
      <c r="AL347" s="212"/>
      <c r="AM347" s="212"/>
      <c r="AN347" s="212"/>
      <c r="AO347" s="212"/>
      <c r="AP347" s="212"/>
      <c r="AQ347" s="212"/>
      <c r="AR347" s="212"/>
      <c r="AS347" s="212"/>
      <c r="AT347" s="212"/>
      <c r="AU347" s="212"/>
      <c r="AV347" s="212"/>
      <c r="AW347" s="212"/>
      <c r="AX347" s="212"/>
      <c r="AY347" s="212"/>
      <c r="AZ347" s="452"/>
      <c r="BA347" s="212"/>
      <c r="BB347" s="212"/>
      <c r="BC347" s="212"/>
      <c r="BD347" s="212"/>
      <c r="BE347" s="455"/>
      <c r="BF347" s="452"/>
    </row>
    <row r="348">
      <c r="A348" s="212"/>
      <c r="B348" s="447"/>
      <c r="C348" s="212"/>
      <c r="D348" s="212"/>
      <c r="E348" s="212"/>
      <c r="F348" s="212"/>
      <c r="G348" s="212"/>
      <c r="H348" s="212"/>
      <c r="I348" s="212"/>
      <c r="J348" s="212"/>
      <c r="K348" s="212"/>
      <c r="L348" s="212"/>
      <c r="M348" s="212"/>
      <c r="N348" s="212"/>
      <c r="O348" s="212"/>
      <c r="P348" s="212"/>
      <c r="Q348" s="212"/>
      <c r="R348" s="451"/>
      <c r="S348" s="451"/>
      <c r="T348" s="212"/>
      <c r="U348" s="451"/>
      <c r="V348" s="451"/>
      <c r="W348" s="451"/>
      <c r="X348" s="451"/>
      <c r="Y348" s="212"/>
      <c r="Z348" s="212"/>
      <c r="AA348" s="212"/>
      <c r="AB348" s="212"/>
      <c r="AC348" s="212"/>
      <c r="AD348" s="212"/>
      <c r="AE348" s="450"/>
      <c r="AF348" s="212"/>
      <c r="AG348" s="212"/>
      <c r="AH348" s="212"/>
      <c r="AI348" s="212"/>
      <c r="AJ348" s="212"/>
      <c r="AK348" s="212"/>
      <c r="AL348" s="212"/>
      <c r="AM348" s="212"/>
      <c r="AN348" s="212"/>
      <c r="AO348" s="212"/>
      <c r="AP348" s="212"/>
      <c r="AQ348" s="212"/>
      <c r="AR348" s="212"/>
      <c r="AS348" s="212"/>
      <c r="AT348" s="212"/>
      <c r="AU348" s="212"/>
      <c r="AV348" s="212"/>
      <c r="AW348" s="212"/>
      <c r="AX348" s="212"/>
      <c r="AY348" s="212"/>
      <c r="AZ348" s="452"/>
      <c r="BA348" s="212"/>
      <c r="BB348" s="212"/>
      <c r="BC348" s="212"/>
      <c r="BD348" s="212"/>
      <c r="BE348" s="455"/>
      <c r="BF348" s="452"/>
    </row>
    <row r="349">
      <c r="A349" s="212"/>
      <c r="B349" s="447"/>
      <c r="C349" s="212"/>
      <c r="D349" s="212"/>
      <c r="E349" s="212"/>
      <c r="F349" s="212"/>
      <c r="G349" s="212"/>
      <c r="H349" s="212"/>
      <c r="I349" s="212"/>
      <c r="J349" s="212"/>
      <c r="K349" s="212"/>
      <c r="L349" s="212"/>
      <c r="M349" s="212"/>
      <c r="N349" s="212"/>
      <c r="O349" s="212"/>
      <c r="P349" s="212"/>
      <c r="Q349" s="212"/>
      <c r="R349" s="451"/>
      <c r="S349" s="451"/>
      <c r="T349" s="212"/>
      <c r="U349" s="451"/>
      <c r="V349" s="451"/>
      <c r="W349" s="451"/>
      <c r="X349" s="451"/>
      <c r="Y349" s="212"/>
      <c r="Z349" s="212"/>
      <c r="AA349" s="212"/>
      <c r="AB349" s="212"/>
      <c r="AC349" s="212"/>
      <c r="AD349" s="212"/>
      <c r="AE349" s="450"/>
      <c r="AF349" s="212"/>
      <c r="AG349" s="212"/>
      <c r="AH349" s="212"/>
      <c r="AI349" s="212"/>
      <c r="AJ349" s="212"/>
      <c r="AK349" s="212"/>
      <c r="AL349" s="212"/>
      <c r="AM349" s="212"/>
      <c r="AN349" s="212"/>
      <c r="AO349" s="212"/>
      <c r="AP349" s="212"/>
      <c r="AQ349" s="212"/>
      <c r="AR349" s="212"/>
      <c r="AS349" s="212"/>
      <c r="AT349" s="212"/>
      <c r="AU349" s="212"/>
      <c r="AV349" s="212"/>
      <c r="AW349" s="212"/>
      <c r="AX349" s="212"/>
      <c r="AY349" s="212"/>
      <c r="AZ349" s="452"/>
      <c r="BA349" s="212"/>
      <c r="BB349" s="212"/>
      <c r="BC349" s="212"/>
      <c r="BD349" s="212"/>
      <c r="BE349" s="455"/>
      <c r="BF349" s="452"/>
    </row>
    <row r="350">
      <c r="A350" s="212"/>
      <c r="B350" s="447"/>
      <c r="C350" s="212"/>
      <c r="D350" s="212"/>
      <c r="E350" s="212"/>
      <c r="F350" s="212"/>
      <c r="G350" s="212"/>
      <c r="H350" s="212"/>
      <c r="I350" s="212"/>
      <c r="J350" s="212"/>
      <c r="K350" s="212"/>
      <c r="L350" s="212"/>
      <c r="M350" s="212"/>
      <c r="N350" s="212"/>
      <c r="O350" s="212"/>
      <c r="P350" s="212"/>
      <c r="Q350" s="212"/>
      <c r="R350" s="451"/>
      <c r="S350" s="451"/>
      <c r="T350" s="212"/>
      <c r="U350" s="451"/>
      <c r="V350" s="451"/>
      <c r="W350" s="451"/>
      <c r="X350" s="451"/>
      <c r="Y350" s="212"/>
      <c r="Z350" s="212"/>
      <c r="AA350" s="212"/>
      <c r="AB350" s="212"/>
      <c r="AC350" s="212"/>
      <c r="AD350" s="212"/>
      <c r="AE350" s="450"/>
      <c r="AF350" s="212"/>
      <c r="AG350" s="212"/>
      <c r="AH350" s="212"/>
      <c r="AI350" s="212"/>
      <c r="AJ350" s="212"/>
      <c r="AK350" s="212"/>
      <c r="AL350" s="212"/>
      <c r="AM350" s="212"/>
      <c r="AN350" s="212"/>
      <c r="AO350" s="212"/>
      <c r="AP350" s="212"/>
      <c r="AQ350" s="212"/>
      <c r="AR350" s="212"/>
      <c r="AS350" s="212"/>
      <c r="AT350" s="212"/>
      <c r="AU350" s="212"/>
      <c r="AV350" s="212"/>
      <c r="AW350" s="212"/>
      <c r="AX350" s="212"/>
      <c r="AY350" s="212"/>
      <c r="AZ350" s="452"/>
      <c r="BA350" s="212"/>
      <c r="BB350" s="212"/>
      <c r="BC350" s="212"/>
      <c r="BD350" s="212"/>
      <c r="BE350" s="455"/>
      <c r="BF350" s="452"/>
    </row>
    <row r="351">
      <c r="A351" s="212"/>
      <c r="B351" s="447"/>
      <c r="C351" s="212"/>
      <c r="D351" s="212"/>
      <c r="E351" s="212"/>
      <c r="F351" s="212"/>
      <c r="G351" s="212"/>
      <c r="H351" s="212"/>
      <c r="I351" s="212"/>
      <c r="J351" s="212"/>
      <c r="K351" s="212"/>
      <c r="L351" s="212"/>
      <c r="M351" s="212"/>
      <c r="N351" s="212"/>
      <c r="O351" s="212"/>
      <c r="P351" s="212"/>
      <c r="Q351" s="212"/>
      <c r="R351" s="451"/>
      <c r="S351" s="451"/>
      <c r="T351" s="212"/>
      <c r="U351" s="451"/>
      <c r="V351" s="451"/>
      <c r="W351" s="451"/>
      <c r="X351" s="451"/>
      <c r="Y351" s="212"/>
      <c r="Z351" s="212"/>
      <c r="AA351" s="212"/>
      <c r="AB351" s="212"/>
      <c r="AC351" s="212"/>
      <c r="AD351" s="212"/>
      <c r="AE351" s="450"/>
      <c r="AF351" s="212"/>
      <c r="AG351" s="212"/>
      <c r="AH351" s="212"/>
      <c r="AI351" s="212"/>
      <c r="AJ351" s="212"/>
      <c r="AK351" s="212"/>
      <c r="AL351" s="212"/>
      <c r="AM351" s="212"/>
      <c r="AN351" s="212"/>
      <c r="AO351" s="212"/>
      <c r="AP351" s="212"/>
      <c r="AQ351" s="212"/>
      <c r="AR351" s="212"/>
      <c r="AS351" s="212"/>
      <c r="AT351" s="212"/>
      <c r="AU351" s="212"/>
      <c r="AV351" s="212"/>
      <c r="AW351" s="212"/>
      <c r="AX351" s="212"/>
      <c r="AY351" s="212"/>
      <c r="AZ351" s="452"/>
      <c r="BA351" s="212"/>
      <c r="BB351" s="212"/>
      <c r="BC351" s="212"/>
      <c r="BD351" s="212"/>
      <c r="BE351" s="455"/>
      <c r="BF351" s="452"/>
    </row>
    <row r="352">
      <c r="A352" s="212"/>
      <c r="B352" s="447"/>
      <c r="C352" s="212"/>
      <c r="D352" s="212"/>
      <c r="E352" s="212"/>
      <c r="F352" s="212"/>
      <c r="G352" s="212"/>
      <c r="H352" s="212"/>
      <c r="I352" s="212"/>
      <c r="J352" s="212"/>
      <c r="K352" s="212"/>
      <c r="L352" s="212"/>
      <c r="M352" s="212"/>
      <c r="N352" s="212"/>
      <c r="O352" s="212"/>
      <c r="P352" s="212"/>
      <c r="Q352" s="212"/>
      <c r="R352" s="451"/>
      <c r="S352" s="451"/>
      <c r="T352" s="212"/>
      <c r="U352" s="451"/>
      <c r="V352" s="451"/>
      <c r="W352" s="451"/>
      <c r="X352" s="451"/>
      <c r="Y352" s="212"/>
      <c r="Z352" s="212"/>
      <c r="AA352" s="212"/>
      <c r="AB352" s="212"/>
      <c r="AC352" s="212"/>
      <c r="AD352" s="212"/>
      <c r="AE352" s="450"/>
      <c r="AF352" s="212"/>
      <c r="AG352" s="212"/>
      <c r="AH352" s="212"/>
      <c r="AI352" s="212"/>
      <c r="AJ352" s="212"/>
      <c r="AK352" s="212"/>
      <c r="AL352" s="212"/>
      <c r="AM352" s="212"/>
      <c r="AN352" s="212"/>
      <c r="AO352" s="212"/>
      <c r="AP352" s="212"/>
      <c r="AQ352" s="212"/>
      <c r="AR352" s="212"/>
      <c r="AS352" s="212"/>
      <c r="AT352" s="212"/>
      <c r="AU352" s="212"/>
      <c r="AV352" s="212"/>
      <c r="AW352" s="212"/>
      <c r="AX352" s="212"/>
      <c r="AY352" s="212"/>
      <c r="AZ352" s="452"/>
      <c r="BA352" s="212"/>
      <c r="BB352" s="212"/>
      <c r="BC352" s="212"/>
      <c r="BD352" s="212"/>
      <c r="BE352" s="455"/>
      <c r="BF352" s="452"/>
    </row>
    <row r="353">
      <c r="A353" s="212"/>
      <c r="B353" s="447"/>
      <c r="C353" s="212"/>
      <c r="D353" s="212"/>
      <c r="E353" s="212"/>
      <c r="F353" s="212"/>
      <c r="G353" s="212"/>
      <c r="H353" s="212"/>
      <c r="I353" s="212"/>
      <c r="J353" s="212"/>
      <c r="K353" s="212"/>
      <c r="L353" s="212"/>
      <c r="M353" s="212"/>
      <c r="N353" s="212"/>
      <c r="O353" s="212"/>
      <c r="P353" s="212"/>
      <c r="Q353" s="212"/>
      <c r="R353" s="451"/>
      <c r="S353" s="451"/>
      <c r="T353" s="212"/>
      <c r="U353" s="451"/>
      <c r="V353" s="451"/>
      <c r="W353" s="451"/>
      <c r="X353" s="451"/>
      <c r="Y353" s="212"/>
      <c r="Z353" s="212"/>
      <c r="AA353" s="212"/>
      <c r="AB353" s="212"/>
      <c r="AC353" s="212"/>
      <c r="AD353" s="212"/>
      <c r="AE353" s="450"/>
      <c r="AF353" s="212"/>
      <c r="AG353" s="212"/>
      <c r="AH353" s="212"/>
      <c r="AI353" s="212"/>
      <c r="AJ353" s="212"/>
      <c r="AK353" s="212"/>
      <c r="AL353" s="212"/>
      <c r="AM353" s="212"/>
      <c r="AN353" s="212"/>
      <c r="AO353" s="212"/>
      <c r="AP353" s="212"/>
      <c r="AQ353" s="212"/>
      <c r="AR353" s="212"/>
      <c r="AS353" s="212"/>
      <c r="AT353" s="212"/>
      <c r="AU353" s="212"/>
      <c r="AV353" s="212"/>
      <c r="AW353" s="212"/>
      <c r="AX353" s="212"/>
      <c r="AY353" s="212"/>
      <c r="AZ353" s="452"/>
      <c r="BA353" s="212"/>
      <c r="BB353" s="212"/>
      <c r="BC353" s="212"/>
      <c r="BD353" s="212"/>
      <c r="BE353" s="455"/>
      <c r="BF353" s="452"/>
    </row>
    <row r="354">
      <c r="A354" s="212"/>
      <c r="B354" s="447"/>
      <c r="C354" s="212"/>
      <c r="D354" s="212"/>
      <c r="E354" s="212"/>
      <c r="F354" s="212"/>
      <c r="G354" s="212"/>
      <c r="H354" s="212"/>
      <c r="I354" s="212"/>
      <c r="J354" s="212"/>
      <c r="K354" s="212"/>
      <c r="L354" s="212"/>
      <c r="M354" s="212"/>
      <c r="N354" s="212"/>
      <c r="O354" s="212"/>
      <c r="P354" s="212"/>
      <c r="Q354" s="212"/>
      <c r="R354" s="451"/>
      <c r="S354" s="451"/>
      <c r="T354" s="212"/>
      <c r="U354" s="451"/>
      <c r="V354" s="451"/>
      <c r="W354" s="451"/>
      <c r="X354" s="451"/>
      <c r="Y354" s="212"/>
      <c r="Z354" s="212"/>
      <c r="AA354" s="212"/>
      <c r="AB354" s="212"/>
      <c r="AC354" s="212"/>
      <c r="AD354" s="212"/>
      <c r="AE354" s="450"/>
      <c r="AF354" s="212"/>
      <c r="AG354" s="212"/>
      <c r="AH354" s="212"/>
      <c r="AI354" s="212"/>
      <c r="AJ354" s="212"/>
      <c r="AK354" s="212"/>
      <c r="AL354" s="212"/>
      <c r="AM354" s="212"/>
      <c r="AN354" s="212"/>
      <c r="AO354" s="212"/>
      <c r="AP354" s="212"/>
      <c r="AQ354" s="212"/>
      <c r="AR354" s="212"/>
      <c r="AS354" s="212"/>
      <c r="AT354" s="212"/>
      <c r="AU354" s="212"/>
      <c r="AV354" s="212"/>
      <c r="AW354" s="212"/>
      <c r="AX354" s="212"/>
      <c r="AY354" s="212"/>
      <c r="AZ354" s="452"/>
      <c r="BA354" s="212"/>
      <c r="BB354" s="212"/>
      <c r="BC354" s="212"/>
      <c r="BD354" s="212"/>
      <c r="BE354" s="455"/>
      <c r="BF354" s="452"/>
    </row>
    <row r="355">
      <c r="A355" s="212"/>
      <c r="B355" s="447"/>
      <c r="C355" s="212"/>
      <c r="D355" s="212"/>
      <c r="E355" s="212"/>
      <c r="F355" s="212"/>
      <c r="G355" s="212"/>
      <c r="H355" s="212"/>
      <c r="I355" s="212"/>
      <c r="J355" s="212"/>
      <c r="K355" s="212"/>
      <c r="L355" s="212"/>
      <c r="M355" s="212"/>
      <c r="N355" s="212"/>
      <c r="O355" s="212"/>
      <c r="P355" s="212"/>
      <c r="Q355" s="212"/>
      <c r="R355" s="451"/>
      <c r="S355" s="451"/>
      <c r="T355" s="212"/>
      <c r="U355" s="451"/>
      <c r="V355" s="451"/>
      <c r="W355" s="451"/>
      <c r="X355" s="451"/>
      <c r="Y355" s="212"/>
      <c r="Z355" s="212"/>
      <c r="AA355" s="212"/>
      <c r="AB355" s="212"/>
      <c r="AC355" s="212"/>
      <c r="AD355" s="212"/>
      <c r="AE355" s="450"/>
      <c r="AF355" s="212"/>
      <c r="AG355" s="212"/>
      <c r="AH355" s="212"/>
      <c r="AI355" s="212"/>
      <c r="AJ355" s="212"/>
      <c r="AK355" s="212"/>
      <c r="AL355" s="212"/>
      <c r="AM355" s="212"/>
      <c r="AN355" s="212"/>
      <c r="AO355" s="212"/>
      <c r="AP355" s="212"/>
      <c r="AQ355" s="212"/>
      <c r="AR355" s="212"/>
      <c r="AS355" s="212"/>
      <c r="AT355" s="212"/>
      <c r="AU355" s="212"/>
      <c r="AV355" s="212"/>
      <c r="AW355" s="212"/>
      <c r="AX355" s="212"/>
      <c r="AY355" s="212"/>
      <c r="AZ355" s="452"/>
      <c r="BA355" s="212"/>
      <c r="BB355" s="212"/>
      <c r="BC355" s="212"/>
      <c r="BD355" s="212"/>
      <c r="BE355" s="455"/>
      <c r="BF355" s="452"/>
    </row>
    <row r="356">
      <c r="A356" s="212"/>
      <c r="B356" s="447"/>
      <c r="C356" s="212"/>
      <c r="D356" s="212"/>
      <c r="E356" s="212"/>
      <c r="F356" s="212"/>
      <c r="G356" s="212"/>
      <c r="H356" s="212"/>
      <c r="I356" s="212"/>
      <c r="J356" s="212"/>
      <c r="K356" s="212"/>
      <c r="L356" s="212"/>
      <c r="M356" s="212"/>
      <c r="N356" s="212"/>
      <c r="O356" s="212"/>
      <c r="P356" s="212"/>
      <c r="Q356" s="212"/>
      <c r="R356" s="451"/>
      <c r="S356" s="451"/>
      <c r="T356" s="212"/>
      <c r="U356" s="451"/>
      <c r="V356" s="451"/>
      <c r="W356" s="451"/>
      <c r="X356" s="451"/>
      <c r="Y356" s="212"/>
      <c r="Z356" s="212"/>
      <c r="AA356" s="212"/>
      <c r="AB356" s="212"/>
      <c r="AC356" s="212"/>
      <c r="AD356" s="212"/>
      <c r="AE356" s="450"/>
      <c r="AF356" s="212"/>
      <c r="AG356" s="212"/>
      <c r="AH356" s="212"/>
      <c r="AI356" s="212"/>
      <c r="AJ356" s="212"/>
      <c r="AK356" s="212"/>
      <c r="AL356" s="212"/>
      <c r="AM356" s="212"/>
      <c r="AN356" s="212"/>
      <c r="AO356" s="212"/>
      <c r="AP356" s="212"/>
      <c r="AQ356" s="212"/>
      <c r="AR356" s="212"/>
      <c r="AS356" s="212"/>
      <c r="AT356" s="212"/>
      <c r="AU356" s="212"/>
      <c r="AV356" s="212"/>
      <c r="AW356" s="212"/>
      <c r="AX356" s="212"/>
      <c r="AY356" s="212"/>
      <c r="AZ356" s="452"/>
      <c r="BA356" s="212"/>
      <c r="BB356" s="212"/>
      <c r="BC356" s="212"/>
      <c r="BD356" s="212"/>
      <c r="BE356" s="212"/>
      <c r="BF356" s="452"/>
    </row>
    <row r="357">
      <c r="A357" s="212"/>
      <c r="B357" s="447"/>
      <c r="C357" s="212"/>
      <c r="D357" s="212"/>
      <c r="E357" s="212"/>
      <c r="F357" s="212"/>
      <c r="G357" s="212"/>
      <c r="H357" s="212"/>
      <c r="I357" s="212"/>
      <c r="J357" s="212"/>
      <c r="K357" s="212"/>
      <c r="L357" s="212"/>
      <c r="M357" s="212"/>
      <c r="N357" s="212"/>
      <c r="O357" s="212"/>
      <c r="P357" s="212"/>
      <c r="Q357" s="212"/>
      <c r="R357" s="451"/>
      <c r="S357" s="451"/>
      <c r="T357" s="212"/>
      <c r="U357" s="451"/>
      <c r="V357" s="451"/>
      <c r="W357" s="451"/>
      <c r="X357" s="451"/>
      <c r="Y357" s="212"/>
      <c r="Z357" s="212"/>
      <c r="AA357" s="212"/>
      <c r="AB357" s="212"/>
      <c r="AC357" s="212"/>
      <c r="AD357" s="212"/>
      <c r="AE357" s="450"/>
      <c r="AF357" s="212"/>
      <c r="AG357" s="212"/>
      <c r="AH357" s="212"/>
      <c r="AI357" s="212"/>
      <c r="AJ357" s="212"/>
      <c r="AK357" s="212"/>
      <c r="AL357" s="212"/>
      <c r="AM357" s="212"/>
      <c r="AN357" s="212"/>
      <c r="AO357" s="212"/>
      <c r="AP357" s="212"/>
      <c r="AQ357" s="212"/>
      <c r="AR357" s="212"/>
      <c r="AS357" s="212"/>
      <c r="AT357" s="212"/>
      <c r="AU357" s="212"/>
      <c r="AV357" s="212"/>
      <c r="AW357" s="212"/>
      <c r="AX357" s="212"/>
      <c r="AY357" s="212"/>
      <c r="AZ357" s="452"/>
      <c r="BA357" s="212"/>
      <c r="BB357" s="212"/>
      <c r="BC357" s="212"/>
      <c r="BD357" s="212"/>
      <c r="BE357" s="212"/>
      <c r="BF357" s="452"/>
    </row>
    <row r="358">
      <c r="A358" s="212"/>
      <c r="B358" s="447"/>
      <c r="C358" s="212"/>
      <c r="D358" s="212"/>
      <c r="E358" s="212"/>
      <c r="F358" s="212"/>
      <c r="G358" s="212"/>
      <c r="H358" s="212"/>
      <c r="I358" s="212"/>
      <c r="J358" s="212"/>
      <c r="K358" s="212"/>
      <c r="L358" s="212"/>
      <c r="M358" s="212"/>
      <c r="N358" s="212"/>
      <c r="O358" s="212"/>
      <c r="P358" s="212"/>
      <c r="Q358" s="212"/>
      <c r="R358" s="451"/>
      <c r="S358" s="451"/>
      <c r="T358" s="212"/>
      <c r="U358" s="451"/>
      <c r="V358" s="451"/>
      <c r="W358" s="451"/>
      <c r="X358" s="451"/>
      <c r="Y358" s="212"/>
      <c r="Z358" s="212"/>
      <c r="AA358" s="212"/>
      <c r="AB358" s="212"/>
      <c r="AC358" s="212"/>
      <c r="AD358" s="212"/>
      <c r="AE358" s="450"/>
      <c r="AF358" s="212"/>
      <c r="AG358" s="212"/>
      <c r="AH358" s="212"/>
      <c r="AI358" s="212"/>
      <c r="AJ358" s="212"/>
      <c r="AK358" s="212"/>
      <c r="AL358" s="212"/>
      <c r="AM358" s="212"/>
      <c r="AN358" s="212"/>
      <c r="AO358" s="212"/>
      <c r="AP358" s="212"/>
      <c r="AQ358" s="212"/>
      <c r="AR358" s="212"/>
      <c r="AS358" s="212"/>
      <c r="AT358" s="212"/>
      <c r="AU358" s="212"/>
      <c r="AV358" s="212"/>
      <c r="AW358" s="212"/>
      <c r="AX358" s="212"/>
      <c r="AY358" s="212"/>
      <c r="AZ358" s="452"/>
      <c r="BA358" s="212"/>
      <c r="BB358" s="212"/>
      <c r="BC358" s="212"/>
      <c r="BD358" s="212"/>
      <c r="BE358" s="212"/>
      <c r="BF358" s="452"/>
    </row>
    <row r="359">
      <c r="A359" s="212"/>
      <c r="B359" s="447"/>
      <c r="C359" s="212"/>
      <c r="D359" s="212"/>
      <c r="E359" s="212"/>
      <c r="F359" s="212"/>
      <c r="G359" s="212"/>
      <c r="H359" s="212"/>
      <c r="I359" s="212"/>
      <c r="J359" s="212"/>
      <c r="K359" s="212"/>
      <c r="L359" s="212"/>
      <c r="M359" s="212"/>
      <c r="N359" s="212"/>
      <c r="O359" s="212"/>
      <c r="P359" s="212"/>
      <c r="Q359" s="212"/>
      <c r="R359" s="451"/>
      <c r="S359" s="451"/>
      <c r="T359" s="212"/>
      <c r="U359" s="451"/>
      <c r="V359" s="451"/>
      <c r="W359" s="451"/>
      <c r="X359" s="451"/>
      <c r="Y359" s="212"/>
      <c r="Z359" s="212"/>
      <c r="AA359" s="212"/>
      <c r="AB359" s="212"/>
      <c r="AC359" s="212"/>
      <c r="AD359" s="212"/>
      <c r="AE359" s="450"/>
      <c r="AF359" s="212"/>
      <c r="AG359" s="212"/>
      <c r="AH359" s="212"/>
      <c r="AI359" s="212"/>
      <c r="AJ359" s="212"/>
      <c r="AK359" s="212"/>
      <c r="AL359" s="212"/>
      <c r="AM359" s="212"/>
      <c r="AN359" s="212"/>
      <c r="AO359" s="212"/>
      <c r="AP359" s="212"/>
      <c r="AQ359" s="212"/>
      <c r="AR359" s="212"/>
      <c r="AS359" s="212"/>
      <c r="AT359" s="212"/>
      <c r="AU359" s="212"/>
      <c r="AV359" s="212"/>
      <c r="AW359" s="212"/>
      <c r="AX359" s="212"/>
      <c r="AY359" s="212"/>
      <c r="AZ359" s="452"/>
      <c r="BA359" s="212"/>
      <c r="BB359" s="212"/>
      <c r="BC359" s="212"/>
      <c r="BD359" s="212"/>
      <c r="BE359" s="212"/>
      <c r="BF359" s="452"/>
    </row>
    <row r="360">
      <c r="A360" s="212"/>
      <c r="B360" s="447"/>
      <c r="C360" s="212"/>
      <c r="D360" s="212"/>
      <c r="E360" s="212"/>
      <c r="F360" s="212"/>
      <c r="G360" s="212"/>
      <c r="H360" s="212"/>
      <c r="I360" s="212"/>
      <c r="J360" s="212"/>
      <c r="K360" s="212"/>
      <c r="L360" s="212"/>
      <c r="M360" s="212"/>
      <c r="N360" s="212"/>
      <c r="O360" s="212"/>
      <c r="P360" s="212"/>
      <c r="Q360" s="212"/>
      <c r="R360" s="451"/>
      <c r="S360" s="451"/>
      <c r="T360" s="212"/>
      <c r="U360" s="451"/>
      <c r="V360" s="451"/>
      <c r="W360" s="451"/>
      <c r="X360" s="451"/>
      <c r="Y360" s="212"/>
      <c r="Z360" s="212"/>
      <c r="AA360" s="212"/>
      <c r="AB360" s="212"/>
      <c r="AC360" s="212"/>
      <c r="AD360" s="212"/>
      <c r="AE360" s="450"/>
      <c r="AF360" s="212"/>
      <c r="AG360" s="212"/>
      <c r="AH360" s="212"/>
      <c r="AI360" s="212"/>
      <c r="AJ360" s="212"/>
      <c r="AK360" s="212"/>
      <c r="AL360" s="212"/>
      <c r="AM360" s="212"/>
      <c r="AN360" s="212"/>
      <c r="AO360" s="212"/>
      <c r="AP360" s="212"/>
      <c r="AQ360" s="212"/>
      <c r="AR360" s="212"/>
      <c r="AS360" s="212"/>
      <c r="AT360" s="212"/>
      <c r="AU360" s="212"/>
      <c r="AV360" s="212"/>
      <c r="AW360" s="212"/>
      <c r="AX360" s="212"/>
      <c r="AY360" s="212"/>
      <c r="AZ360" s="452"/>
      <c r="BA360" s="212"/>
      <c r="BB360" s="212"/>
      <c r="BC360" s="212"/>
      <c r="BD360" s="212"/>
      <c r="BE360" s="212"/>
      <c r="BF360" s="452"/>
    </row>
    <row r="361">
      <c r="A361" s="212"/>
      <c r="B361" s="447"/>
      <c r="C361" s="212"/>
      <c r="D361" s="212"/>
      <c r="E361" s="212"/>
      <c r="F361" s="212"/>
      <c r="G361" s="212"/>
      <c r="H361" s="212"/>
      <c r="I361" s="212"/>
      <c r="J361" s="212"/>
      <c r="K361" s="212"/>
      <c r="L361" s="212"/>
      <c r="M361" s="212"/>
      <c r="N361" s="212"/>
      <c r="O361" s="212"/>
      <c r="P361" s="212"/>
      <c r="Q361" s="212"/>
      <c r="R361" s="451"/>
      <c r="S361" s="451"/>
      <c r="T361" s="212"/>
      <c r="U361" s="451"/>
      <c r="V361" s="451"/>
      <c r="W361" s="451"/>
      <c r="X361" s="451"/>
      <c r="Y361" s="212"/>
      <c r="Z361" s="212"/>
      <c r="AA361" s="212"/>
      <c r="AB361" s="212"/>
      <c r="AC361" s="212"/>
      <c r="AD361" s="212"/>
      <c r="AE361" s="450"/>
      <c r="AF361" s="212"/>
      <c r="AG361" s="212"/>
      <c r="AH361" s="212"/>
      <c r="AI361" s="212"/>
      <c r="AJ361" s="212"/>
      <c r="AK361" s="212"/>
      <c r="AL361" s="212"/>
      <c r="AM361" s="212"/>
      <c r="AN361" s="212"/>
      <c r="AO361" s="212"/>
      <c r="AP361" s="212"/>
      <c r="AQ361" s="212"/>
      <c r="AR361" s="212"/>
      <c r="AS361" s="212"/>
      <c r="AT361" s="212"/>
      <c r="AU361" s="212"/>
      <c r="AV361" s="212"/>
      <c r="AW361" s="212"/>
      <c r="AX361" s="212"/>
      <c r="AY361" s="212"/>
      <c r="AZ361" s="452"/>
      <c r="BA361" s="212"/>
      <c r="BB361" s="212"/>
      <c r="BC361" s="212"/>
      <c r="BD361" s="212"/>
      <c r="BE361" s="212"/>
      <c r="BF361" s="452"/>
    </row>
    <row r="362">
      <c r="A362" s="212"/>
      <c r="B362" s="447"/>
      <c r="C362" s="212"/>
      <c r="D362" s="212"/>
      <c r="E362" s="212"/>
      <c r="F362" s="212"/>
      <c r="G362" s="212"/>
      <c r="H362" s="212"/>
      <c r="I362" s="212"/>
      <c r="J362" s="212"/>
      <c r="K362" s="212"/>
      <c r="L362" s="212"/>
      <c r="M362" s="212"/>
      <c r="N362" s="212"/>
      <c r="O362" s="212"/>
      <c r="P362" s="212"/>
      <c r="Q362" s="212"/>
      <c r="R362" s="451"/>
      <c r="S362" s="451"/>
      <c r="T362" s="212"/>
      <c r="U362" s="451"/>
      <c r="V362" s="451"/>
      <c r="W362" s="451"/>
      <c r="X362" s="451"/>
      <c r="Y362" s="212"/>
      <c r="Z362" s="212"/>
      <c r="AA362" s="212"/>
      <c r="AB362" s="212"/>
      <c r="AC362" s="212"/>
      <c r="AD362" s="212"/>
      <c r="AE362" s="450"/>
      <c r="AF362" s="212"/>
      <c r="AG362" s="212"/>
      <c r="AH362" s="212"/>
      <c r="AI362" s="212"/>
      <c r="AJ362" s="212"/>
      <c r="AK362" s="212"/>
      <c r="AL362" s="212"/>
      <c r="AM362" s="212"/>
      <c r="AN362" s="212"/>
      <c r="AO362" s="212"/>
      <c r="AP362" s="212"/>
      <c r="AQ362" s="212"/>
      <c r="AR362" s="212"/>
      <c r="AS362" s="212"/>
      <c r="AT362" s="212"/>
      <c r="AU362" s="212"/>
      <c r="AV362" s="212"/>
      <c r="AW362" s="212"/>
      <c r="AX362" s="212"/>
      <c r="AY362" s="212"/>
      <c r="AZ362" s="452"/>
      <c r="BA362" s="212"/>
      <c r="BB362" s="212"/>
      <c r="BC362" s="212"/>
      <c r="BD362" s="212"/>
      <c r="BE362" s="212"/>
      <c r="BF362" s="452"/>
    </row>
    <row r="363">
      <c r="A363" s="212"/>
      <c r="B363" s="447"/>
      <c r="C363" s="212"/>
      <c r="D363" s="212"/>
      <c r="E363" s="212"/>
      <c r="F363" s="212"/>
      <c r="G363" s="212"/>
      <c r="H363" s="212"/>
      <c r="I363" s="212"/>
      <c r="J363" s="212"/>
      <c r="K363" s="212"/>
      <c r="L363" s="212"/>
      <c r="M363" s="212"/>
      <c r="N363" s="212"/>
      <c r="O363" s="212"/>
      <c r="P363" s="212"/>
      <c r="Q363" s="212"/>
      <c r="R363" s="451"/>
      <c r="S363" s="451"/>
      <c r="T363" s="212"/>
      <c r="U363" s="451"/>
      <c r="V363" s="451"/>
      <c r="W363" s="451"/>
      <c r="X363" s="451"/>
      <c r="Y363" s="212"/>
      <c r="Z363" s="212"/>
      <c r="AA363" s="212"/>
      <c r="AB363" s="212"/>
      <c r="AC363" s="212"/>
      <c r="AD363" s="212"/>
      <c r="AE363" s="450"/>
      <c r="AF363" s="212"/>
      <c r="AG363" s="212"/>
      <c r="AH363" s="212"/>
      <c r="AI363" s="212"/>
      <c r="AJ363" s="212"/>
      <c r="AK363" s="212"/>
      <c r="AL363" s="212"/>
      <c r="AM363" s="212"/>
      <c r="AN363" s="212"/>
      <c r="AO363" s="212"/>
      <c r="AP363" s="212"/>
      <c r="AQ363" s="212"/>
      <c r="AR363" s="212"/>
      <c r="AS363" s="212"/>
      <c r="AT363" s="212"/>
      <c r="AU363" s="212"/>
      <c r="AV363" s="212"/>
      <c r="AW363" s="212"/>
      <c r="AX363" s="212"/>
      <c r="AY363" s="212"/>
      <c r="AZ363" s="452"/>
      <c r="BA363" s="212"/>
      <c r="BB363" s="212"/>
      <c r="BC363" s="212"/>
      <c r="BD363" s="212"/>
      <c r="BE363" s="212"/>
      <c r="BF363" s="452"/>
    </row>
    <row r="364">
      <c r="A364" s="212"/>
      <c r="B364" s="447"/>
      <c r="C364" s="212"/>
      <c r="D364" s="212"/>
      <c r="E364" s="212"/>
      <c r="F364" s="212"/>
      <c r="G364" s="212"/>
      <c r="H364" s="212"/>
      <c r="I364" s="212"/>
      <c r="J364" s="212"/>
      <c r="K364" s="212"/>
      <c r="L364" s="212"/>
      <c r="M364" s="212"/>
      <c r="N364" s="212"/>
      <c r="O364" s="212"/>
      <c r="P364" s="212"/>
      <c r="Q364" s="212"/>
      <c r="R364" s="451"/>
      <c r="S364" s="451"/>
      <c r="T364" s="212"/>
      <c r="U364" s="451"/>
      <c r="V364" s="451"/>
      <c r="W364" s="451"/>
      <c r="X364" s="451"/>
      <c r="Y364" s="212"/>
      <c r="Z364" s="212"/>
      <c r="AA364" s="212"/>
      <c r="AB364" s="212"/>
      <c r="AC364" s="212"/>
      <c r="AD364" s="212"/>
      <c r="AE364" s="450"/>
      <c r="AF364" s="212"/>
      <c r="AG364" s="212"/>
      <c r="AH364" s="212"/>
      <c r="AI364" s="212"/>
      <c r="AJ364" s="212"/>
      <c r="AK364" s="212"/>
      <c r="AL364" s="212"/>
      <c r="AM364" s="212"/>
      <c r="AN364" s="212"/>
      <c r="AO364" s="212"/>
      <c r="AP364" s="212"/>
      <c r="AQ364" s="212"/>
      <c r="AR364" s="212"/>
      <c r="AS364" s="212"/>
      <c r="AT364" s="212"/>
      <c r="AU364" s="212"/>
      <c r="AV364" s="212"/>
      <c r="AW364" s="212"/>
      <c r="AX364" s="212"/>
      <c r="AY364" s="212"/>
      <c r="AZ364" s="452"/>
      <c r="BA364" s="212"/>
      <c r="BB364" s="212"/>
      <c r="BC364" s="212"/>
      <c r="BD364" s="212"/>
      <c r="BE364" s="212"/>
      <c r="BF364" s="452"/>
    </row>
    <row r="365">
      <c r="A365" s="212"/>
      <c r="B365" s="447"/>
      <c r="C365" s="212"/>
      <c r="D365" s="212"/>
      <c r="E365" s="212"/>
      <c r="F365" s="212"/>
      <c r="G365" s="212"/>
      <c r="H365" s="212"/>
      <c r="I365" s="212"/>
      <c r="J365" s="212"/>
      <c r="K365" s="212"/>
      <c r="L365" s="212"/>
      <c r="M365" s="212"/>
      <c r="N365" s="212"/>
      <c r="O365" s="212"/>
      <c r="P365" s="212"/>
      <c r="Q365" s="212"/>
      <c r="R365" s="451"/>
      <c r="S365" s="451"/>
      <c r="T365" s="212"/>
      <c r="U365" s="451"/>
      <c r="V365" s="451"/>
      <c r="W365" s="451"/>
      <c r="X365" s="451"/>
      <c r="Y365" s="212"/>
      <c r="Z365" s="212"/>
      <c r="AA365" s="212"/>
      <c r="AB365" s="212"/>
      <c r="AC365" s="212"/>
      <c r="AD365" s="212"/>
      <c r="AE365" s="450"/>
      <c r="AF365" s="212"/>
      <c r="AG365" s="212"/>
      <c r="AH365" s="212"/>
      <c r="AI365" s="212"/>
      <c r="AJ365" s="212"/>
      <c r="AK365" s="212"/>
      <c r="AL365" s="212"/>
      <c r="AM365" s="212"/>
      <c r="AN365" s="212"/>
      <c r="AO365" s="212"/>
      <c r="AP365" s="212"/>
      <c r="AQ365" s="212"/>
      <c r="AR365" s="212"/>
      <c r="AS365" s="212"/>
      <c r="AT365" s="212"/>
      <c r="AU365" s="212"/>
      <c r="AV365" s="212"/>
      <c r="AW365" s="212"/>
      <c r="AX365" s="212"/>
      <c r="AY365" s="212"/>
      <c r="AZ365" s="452"/>
      <c r="BA365" s="212"/>
      <c r="BB365" s="212"/>
      <c r="BC365" s="212"/>
      <c r="BD365" s="212"/>
      <c r="BE365" s="212"/>
      <c r="BF365" s="452"/>
    </row>
    <row r="366">
      <c r="A366" s="212"/>
      <c r="B366" s="447"/>
      <c r="C366" s="212"/>
      <c r="D366" s="212"/>
      <c r="E366" s="212"/>
      <c r="F366" s="212"/>
      <c r="G366" s="212"/>
      <c r="H366" s="212"/>
      <c r="I366" s="212"/>
      <c r="J366" s="212"/>
      <c r="K366" s="212"/>
      <c r="L366" s="212"/>
      <c r="M366" s="212"/>
      <c r="N366" s="212"/>
      <c r="O366" s="212"/>
      <c r="P366" s="212"/>
      <c r="Q366" s="212"/>
      <c r="R366" s="451"/>
      <c r="S366" s="451"/>
      <c r="T366" s="212"/>
      <c r="U366" s="451"/>
      <c r="V366" s="451"/>
      <c r="W366" s="451"/>
      <c r="X366" s="451"/>
      <c r="Y366" s="212"/>
      <c r="Z366" s="212"/>
      <c r="AA366" s="212"/>
      <c r="AB366" s="212"/>
      <c r="AC366" s="212"/>
      <c r="AD366" s="212"/>
      <c r="AE366" s="450"/>
      <c r="AF366" s="212"/>
      <c r="AG366" s="212"/>
      <c r="AH366" s="212"/>
      <c r="AI366" s="212"/>
      <c r="AJ366" s="212"/>
      <c r="AK366" s="212"/>
      <c r="AL366" s="212"/>
      <c r="AM366" s="212"/>
      <c r="AN366" s="212"/>
      <c r="AO366" s="212"/>
      <c r="AP366" s="212"/>
      <c r="AQ366" s="212"/>
      <c r="AR366" s="212"/>
      <c r="AS366" s="212"/>
      <c r="AT366" s="212"/>
      <c r="AU366" s="212"/>
      <c r="AV366" s="212"/>
      <c r="AW366" s="212"/>
      <c r="AX366" s="212"/>
      <c r="AY366" s="212"/>
      <c r="AZ366" s="452"/>
      <c r="BA366" s="212"/>
      <c r="BB366" s="212"/>
      <c r="BC366" s="212"/>
      <c r="BD366" s="212"/>
      <c r="BE366" s="212"/>
      <c r="BF366" s="452"/>
    </row>
    <row r="367">
      <c r="A367" s="212"/>
      <c r="B367" s="447"/>
      <c r="C367" s="212"/>
      <c r="D367" s="212"/>
      <c r="E367" s="212"/>
      <c r="F367" s="212"/>
      <c r="G367" s="212"/>
      <c r="H367" s="212"/>
      <c r="I367" s="212"/>
      <c r="J367" s="212"/>
      <c r="K367" s="212"/>
      <c r="L367" s="212"/>
      <c r="M367" s="212"/>
      <c r="N367" s="212"/>
      <c r="O367" s="212"/>
      <c r="P367" s="212"/>
      <c r="Q367" s="212"/>
      <c r="R367" s="451"/>
      <c r="S367" s="451"/>
      <c r="T367" s="212"/>
      <c r="U367" s="451"/>
      <c r="V367" s="451"/>
      <c r="W367" s="451"/>
      <c r="X367" s="451"/>
      <c r="Y367" s="212"/>
      <c r="Z367" s="212"/>
      <c r="AA367" s="212"/>
      <c r="AB367" s="212"/>
      <c r="AC367" s="212"/>
      <c r="AD367" s="212"/>
      <c r="AE367" s="450"/>
      <c r="AF367" s="212"/>
      <c r="AG367" s="212"/>
      <c r="AH367" s="212"/>
      <c r="AI367" s="212"/>
      <c r="AJ367" s="212"/>
      <c r="AK367" s="212"/>
      <c r="AL367" s="212"/>
      <c r="AM367" s="212"/>
      <c r="AN367" s="212"/>
      <c r="AO367" s="212"/>
      <c r="AP367" s="212"/>
      <c r="AQ367" s="212"/>
      <c r="AR367" s="212"/>
      <c r="AS367" s="212"/>
      <c r="AT367" s="212"/>
      <c r="AU367" s="212"/>
      <c r="AV367" s="212"/>
      <c r="AW367" s="212"/>
      <c r="AX367" s="212"/>
      <c r="AY367" s="212"/>
      <c r="AZ367" s="452"/>
      <c r="BA367" s="212"/>
      <c r="BB367" s="212"/>
      <c r="BC367" s="212"/>
      <c r="BD367" s="212"/>
      <c r="BE367" s="212"/>
      <c r="BF367" s="452"/>
    </row>
    <row r="368">
      <c r="A368" s="212"/>
      <c r="B368" s="447"/>
      <c r="C368" s="212"/>
      <c r="D368" s="212"/>
      <c r="E368" s="212"/>
      <c r="F368" s="212"/>
      <c r="G368" s="212"/>
      <c r="H368" s="212"/>
      <c r="I368" s="212"/>
      <c r="J368" s="212"/>
      <c r="K368" s="212"/>
      <c r="L368" s="212"/>
      <c r="M368" s="212"/>
      <c r="N368" s="212"/>
      <c r="O368" s="212"/>
      <c r="P368" s="212"/>
      <c r="Q368" s="212"/>
      <c r="R368" s="451"/>
      <c r="S368" s="451"/>
      <c r="T368" s="212"/>
      <c r="U368" s="451"/>
      <c r="V368" s="451"/>
      <c r="W368" s="451"/>
      <c r="X368" s="451"/>
      <c r="Y368" s="212"/>
      <c r="Z368" s="212"/>
      <c r="AA368" s="212"/>
      <c r="AB368" s="212"/>
      <c r="AC368" s="212"/>
      <c r="AD368" s="212"/>
      <c r="AE368" s="450"/>
      <c r="AF368" s="212"/>
      <c r="AG368" s="212"/>
      <c r="AH368" s="212"/>
      <c r="AI368" s="212"/>
      <c r="AJ368" s="212"/>
      <c r="AK368" s="212"/>
      <c r="AL368" s="212"/>
      <c r="AM368" s="212"/>
      <c r="AN368" s="212"/>
      <c r="AO368" s="212"/>
      <c r="AP368" s="212"/>
      <c r="AQ368" s="212"/>
      <c r="AR368" s="212"/>
      <c r="AS368" s="212"/>
      <c r="AT368" s="212"/>
      <c r="AU368" s="212"/>
      <c r="AV368" s="212"/>
      <c r="AW368" s="212"/>
      <c r="AX368" s="212"/>
      <c r="AY368" s="212"/>
      <c r="AZ368" s="452"/>
      <c r="BA368" s="212"/>
      <c r="BB368" s="212"/>
      <c r="BC368" s="212"/>
      <c r="BD368" s="212"/>
      <c r="BE368" s="212"/>
      <c r="BF368" s="452"/>
    </row>
    <row r="369">
      <c r="A369" s="212"/>
      <c r="B369" s="447"/>
      <c r="C369" s="212"/>
      <c r="D369" s="212"/>
      <c r="E369" s="212"/>
      <c r="F369" s="212"/>
      <c r="G369" s="212"/>
      <c r="H369" s="212"/>
      <c r="I369" s="212"/>
      <c r="J369" s="212"/>
      <c r="K369" s="212"/>
      <c r="L369" s="212"/>
      <c r="M369" s="212"/>
      <c r="N369" s="212"/>
      <c r="O369" s="212"/>
      <c r="P369" s="212"/>
      <c r="Q369" s="212"/>
      <c r="R369" s="451"/>
      <c r="S369" s="451"/>
      <c r="T369" s="212"/>
      <c r="U369" s="451"/>
      <c r="V369" s="451"/>
      <c r="W369" s="451"/>
      <c r="X369" s="451"/>
      <c r="Y369" s="212"/>
      <c r="Z369" s="212"/>
      <c r="AA369" s="212"/>
      <c r="AB369" s="212"/>
      <c r="AC369" s="212"/>
      <c r="AD369" s="212"/>
      <c r="AE369" s="450"/>
      <c r="AF369" s="212"/>
      <c r="AG369" s="212"/>
      <c r="AH369" s="212"/>
      <c r="AI369" s="212"/>
      <c r="AJ369" s="212"/>
      <c r="AK369" s="212"/>
      <c r="AL369" s="212"/>
      <c r="AM369" s="212"/>
      <c r="AN369" s="212"/>
      <c r="AO369" s="212"/>
      <c r="AP369" s="212"/>
      <c r="AQ369" s="212"/>
      <c r="AR369" s="212"/>
      <c r="AS369" s="212"/>
      <c r="AT369" s="212"/>
      <c r="AU369" s="212"/>
      <c r="AV369" s="212"/>
      <c r="AW369" s="212"/>
      <c r="AX369" s="212"/>
      <c r="AY369" s="212"/>
      <c r="AZ369" s="452"/>
      <c r="BA369" s="212"/>
      <c r="BB369" s="212"/>
      <c r="BC369" s="212"/>
      <c r="BD369" s="212"/>
      <c r="BE369" s="212"/>
      <c r="BF369" s="452"/>
    </row>
    <row r="370">
      <c r="A370" s="212"/>
      <c r="B370" s="447"/>
      <c r="C370" s="212"/>
      <c r="D370" s="212"/>
      <c r="E370" s="212"/>
      <c r="F370" s="212"/>
      <c r="G370" s="212"/>
      <c r="H370" s="212"/>
      <c r="I370" s="212"/>
      <c r="J370" s="212"/>
      <c r="K370" s="212"/>
      <c r="L370" s="212"/>
      <c r="M370" s="212"/>
      <c r="N370" s="212"/>
      <c r="O370" s="212"/>
      <c r="P370" s="212"/>
      <c r="Q370" s="212"/>
      <c r="R370" s="451"/>
      <c r="S370" s="451"/>
      <c r="T370" s="212"/>
      <c r="U370" s="451"/>
      <c r="V370" s="451"/>
      <c r="W370" s="451"/>
      <c r="X370" s="451"/>
      <c r="Y370" s="212"/>
      <c r="Z370" s="212"/>
      <c r="AA370" s="212"/>
      <c r="AB370" s="212"/>
      <c r="AC370" s="212"/>
      <c r="AD370" s="212"/>
      <c r="AE370" s="450"/>
      <c r="AF370" s="212"/>
      <c r="AG370" s="212"/>
      <c r="AH370" s="212"/>
      <c r="AI370" s="212"/>
      <c r="AJ370" s="212"/>
      <c r="AK370" s="212"/>
      <c r="AL370" s="212"/>
      <c r="AM370" s="212"/>
      <c r="AN370" s="212"/>
      <c r="AO370" s="212"/>
      <c r="AP370" s="212"/>
      <c r="AQ370" s="212"/>
      <c r="AR370" s="212"/>
      <c r="AS370" s="212"/>
      <c r="AT370" s="212"/>
      <c r="AU370" s="212"/>
      <c r="AV370" s="212"/>
      <c r="AW370" s="212"/>
      <c r="AX370" s="212"/>
      <c r="AY370" s="212"/>
      <c r="AZ370" s="452"/>
      <c r="BA370" s="212"/>
      <c r="BB370" s="212"/>
      <c r="BC370" s="212"/>
      <c r="BD370" s="212"/>
      <c r="BE370" s="212"/>
      <c r="BF370" s="452"/>
    </row>
    <row r="371">
      <c r="A371" s="212"/>
      <c r="B371" s="447"/>
      <c r="C371" s="212"/>
      <c r="D371" s="212"/>
      <c r="E371" s="212"/>
      <c r="F371" s="212"/>
      <c r="G371" s="212"/>
      <c r="H371" s="212"/>
      <c r="I371" s="212"/>
      <c r="J371" s="212"/>
      <c r="K371" s="212"/>
      <c r="L371" s="212"/>
      <c r="M371" s="212"/>
      <c r="N371" s="212"/>
      <c r="O371" s="212"/>
      <c r="P371" s="212"/>
      <c r="Q371" s="212"/>
      <c r="R371" s="451"/>
      <c r="S371" s="451"/>
      <c r="T371" s="212"/>
      <c r="U371" s="451"/>
      <c r="V371" s="451"/>
      <c r="W371" s="451"/>
      <c r="X371" s="451"/>
      <c r="Y371" s="212"/>
      <c r="Z371" s="212"/>
      <c r="AA371" s="212"/>
      <c r="AB371" s="212"/>
      <c r="AC371" s="212"/>
      <c r="AD371" s="212"/>
      <c r="AE371" s="450"/>
      <c r="AF371" s="212"/>
      <c r="AG371" s="212"/>
      <c r="AH371" s="212"/>
      <c r="AI371" s="212"/>
      <c r="AJ371" s="212"/>
      <c r="AK371" s="212"/>
      <c r="AL371" s="212"/>
      <c r="AM371" s="212"/>
      <c r="AN371" s="212"/>
      <c r="AO371" s="212"/>
      <c r="AP371" s="212"/>
      <c r="AQ371" s="212"/>
      <c r="AR371" s="212"/>
      <c r="AS371" s="212"/>
      <c r="AT371" s="212"/>
      <c r="AU371" s="212"/>
      <c r="AV371" s="212"/>
      <c r="AW371" s="212"/>
      <c r="AX371" s="212"/>
      <c r="AY371" s="212"/>
      <c r="AZ371" s="452"/>
      <c r="BA371" s="212"/>
      <c r="BB371" s="212"/>
      <c r="BC371" s="212"/>
      <c r="BD371" s="212"/>
      <c r="BE371" s="212"/>
      <c r="BF371" s="452"/>
    </row>
    <row r="372">
      <c r="A372" s="212"/>
      <c r="B372" s="447"/>
      <c r="C372" s="212"/>
      <c r="D372" s="212"/>
      <c r="E372" s="212"/>
      <c r="F372" s="212"/>
      <c r="G372" s="212"/>
      <c r="H372" s="212"/>
      <c r="I372" s="212"/>
      <c r="J372" s="212"/>
      <c r="K372" s="212"/>
      <c r="L372" s="212"/>
      <c r="M372" s="212"/>
      <c r="N372" s="212"/>
      <c r="O372" s="212"/>
      <c r="P372" s="212"/>
      <c r="Q372" s="212"/>
      <c r="R372" s="451"/>
      <c r="S372" s="451"/>
      <c r="T372" s="212"/>
      <c r="U372" s="451"/>
      <c r="V372" s="451"/>
      <c r="W372" s="451"/>
      <c r="X372" s="451"/>
      <c r="Y372" s="212"/>
      <c r="Z372" s="212"/>
      <c r="AA372" s="212"/>
      <c r="AB372" s="212"/>
      <c r="AC372" s="212"/>
      <c r="AD372" s="212"/>
      <c r="AE372" s="450"/>
      <c r="AF372" s="212"/>
      <c r="AG372" s="212"/>
      <c r="AH372" s="212"/>
      <c r="AI372" s="212"/>
      <c r="AJ372" s="212"/>
      <c r="AK372" s="212"/>
      <c r="AL372" s="212"/>
      <c r="AM372" s="212"/>
      <c r="AN372" s="212"/>
      <c r="AO372" s="212"/>
      <c r="AP372" s="212"/>
      <c r="AQ372" s="212"/>
      <c r="AR372" s="212"/>
      <c r="AS372" s="212"/>
      <c r="AT372" s="212"/>
      <c r="AU372" s="212"/>
      <c r="AV372" s="212"/>
      <c r="AW372" s="212"/>
      <c r="AX372" s="212"/>
      <c r="AY372" s="212"/>
      <c r="AZ372" s="452"/>
      <c r="BA372" s="212"/>
      <c r="BB372" s="212"/>
      <c r="BC372" s="212"/>
      <c r="BD372" s="212"/>
      <c r="BE372" s="212"/>
      <c r="BF372" s="452"/>
    </row>
    <row r="373">
      <c r="A373" s="212"/>
      <c r="B373" s="447"/>
      <c r="C373" s="212"/>
      <c r="D373" s="212"/>
      <c r="E373" s="212"/>
      <c r="F373" s="212"/>
      <c r="G373" s="212"/>
      <c r="H373" s="212"/>
      <c r="I373" s="212"/>
      <c r="J373" s="212"/>
      <c r="K373" s="212"/>
      <c r="L373" s="212"/>
      <c r="M373" s="212"/>
      <c r="N373" s="212"/>
      <c r="O373" s="212"/>
      <c r="P373" s="212"/>
      <c r="Q373" s="212"/>
      <c r="R373" s="451"/>
      <c r="S373" s="451"/>
      <c r="T373" s="212"/>
      <c r="U373" s="451"/>
      <c r="V373" s="451"/>
      <c r="W373" s="451"/>
      <c r="X373" s="451"/>
      <c r="Y373" s="212"/>
      <c r="Z373" s="212"/>
      <c r="AA373" s="212"/>
      <c r="AB373" s="212"/>
      <c r="AC373" s="212"/>
      <c r="AD373" s="212"/>
      <c r="AE373" s="450"/>
      <c r="AF373" s="212"/>
      <c r="AG373" s="212"/>
      <c r="AH373" s="212"/>
      <c r="AI373" s="212"/>
      <c r="AJ373" s="212"/>
      <c r="AK373" s="212"/>
      <c r="AL373" s="212"/>
      <c r="AM373" s="212"/>
      <c r="AN373" s="212"/>
      <c r="AO373" s="212"/>
      <c r="AP373" s="212"/>
      <c r="AQ373" s="212"/>
      <c r="AR373" s="212"/>
      <c r="AS373" s="212"/>
      <c r="AT373" s="212"/>
      <c r="AU373" s="212"/>
      <c r="AV373" s="212"/>
      <c r="AW373" s="212"/>
      <c r="AX373" s="212"/>
      <c r="AY373" s="212"/>
      <c r="AZ373" s="452"/>
      <c r="BA373" s="212"/>
      <c r="BB373" s="212"/>
      <c r="BC373" s="212"/>
      <c r="BD373" s="212"/>
      <c r="BE373" s="212"/>
      <c r="BF373" s="452"/>
    </row>
    <row r="374">
      <c r="A374" s="212"/>
      <c r="B374" s="447"/>
      <c r="C374" s="212"/>
      <c r="D374" s="212"/>
      <c r="E374" s="212"/>
      <c r="F374" s="212"/>
      <c r="G374" s="212"/>
      <c r="H374" s="212"/>
      <c r="I374" s="212"/>
      <c r="J374" s="212"/>
      <c r="K374" s="212"/>
      <c r="L374" s="212"/>
      <c r="M374" s="212"/>
      <c r="N374" s="212"/>
      <c r="O374" s="212"/>
      <c r="P374" s="212"/>
      <c r="Q374" s="212"/>
      <c r="R374" s="451"/>
      <c r="S374" s="451"/>
      <c r="T374" s="212"/>
      <c r="U374" s="451"/>
      <c r="V374" s="451"/>
      <c r="W374" s="451"/>
      <c r="X374" s="451"/>
      <c r="Y374" s="212"/>
      <c r="Z374" s="212"/>
      <c r="AA374" s="212"/>
      <c r="AB374" s="212"/>
      <c r="AC374" s="212"/>
      <c r="AD374" s="212"/>
      <c r="AE374" s="450"/>
      <c r="AF374" s="212"/>
      <c r="AG374" s="212"/>
      <c r="AH374" s="212"/>
      <c r="AI374" s="212"/>
      <c r="AJ374" s="212"/>
      <c r="AK374" s="212"/>
      <c r="AL374" s="212"/>
      <c r="AM374" s="212"/>
      <c r="AN374" s="212"/>
      <c r="AO374" s="212"/>
      <c r="AP374" s="212"/>
      <c r="AQ374" s="212"/>
      <c r="AR374" s="212"/>
      <c r="AS374" s="212"/>
      <c r="AT374" s="212"/>
      <c r="AU374" s="212"/>
      <c r="AV374" s="212"/>
      <c r="AW374" s="212"/>
      <c r="AX374" s="212"/>
      <c r="AY374" s="212"/>
      <c r="AZ374" s="452"/>
      <c r="BA374" s="212"/>
      <c r="BB374" s="212"/>
      <c r="BC374" s="212"/>
      <c r="BD374" s="212"/>
      <c r="BE374" s="212"/>
      <c r="BF374" s="452"/>
    </row>
    <row r="375">
      <c r="A375" s="212"/>
      <c r="B375" s="447"/>
      <c r="C375" s="212"/>
      <c r="D375" s="212"/>
      <c r="E375" s="212"/>
      <c r="F375" s="212"/>
      <c r="G375" s="212"/>
      <c r="H375" s="212"/>
      <c r="I375" s="212"/>
      <c r="J375" s="212"/>
      <c r="K375" s="212"/>
      <c r="L375" s="212"/>
      <c r="M375" s="212"/>
      <c r="N375" s="212"/>
      <c r="O375" s="212"/>
      <c r="P375" s="212"/>
      <c r="Q375" s="212"/>
      <c r="R375" s="451"/>
      <c r="S375" s="451"/>
      <c r="T375" s="212"/>
      <c r="U375" s="451"/>
      <c r="V375" s="451"/>
      <c r="W375" s="451"/>
      <c r="X375" s="451"/>
      <c r="Y375" s="212"/>
      <c r="Z375" s="212"/>
      <c r="AA375" s="212"/>
      <c r="AB375" s="212"/>
      <c r="AC375" s="212"/>
      <c r="AD375" s="212"/>
      <c r="AE375" s="450"/>
      <c r="AF375" s="212"/>
      <c r="AG375" s="212"/>
      <c r="AH375" s="212"/>
      <c r="AI375" s="212"/>
      <c r="AJ375" s="212"/>
      <c r="AK375" s="212"/>
      <c r="AL375" s="212"/>
      <c r="AM375" s="212"/>
      <c r="AN375" s="212"/>
      <c r="AO375" s="212"/>
      <c r="AP375" s="212"/>
      <c r="AQ375" s="212"/>
      <c r="AR375" s="212"/>
      <c r="AS375" s="212"/>
      <c r="AT375" s="212"/>
      <c r="AU375" s="212"/>
      <c r="AV375" s="212"/>
      <c r="AW375" s="212"/>
      <c r="AX375" s="212"/>
      <c r="AY375" s="212"/>
      <c r="AZ375" s="452"/>
      <c r="BA375" s="212"/>
      <c r="BB375" s="212"/>
      <c r="BC375" s="212"/>
      <c r="BD375" s="212"/>
      <c r="BE375" s="212"/>
      <c r="BF375" s="452"/>
    </row>
    <row r="376">
      <c r="A376" s="212"/>
      <c r="B376" s="447"/>
      <c r="C376" s="212"/>
      <c r="D376" s="212"/>
      <c r="E376" s="212"/>
      <c r="F376" s="212"/>
      <c r="G376" s="212"/>
      <c r="H376" s="212"/>
      <c r="I376" s="212"/>
      <c r="J376" s="212"/>
      <c r="K376" s="212"/>
      <c r="L376" s="212"/>
      <c r="M376" s="212"/>
      <c r="N376" s="212"/>
      <c r="O376" s="212"/>
      <c r="P376" s="212"/>
      <c r="Q376" s="212"/>
      <c r="R376" s="451"/>
      <c r="S376" s="451"/>
      <c r="T376" s="212"/>
      <c r="U376" s="451"/>
      <c r="V376" s="451"/>
      <c r="W376" s="451"/>
      <c r="X376" s="451"/>
      <c r="Y376" s="212"/>
      <c r="Z376" s="212"/>
      <c r="AA376" s="212"/>
      <c r="AB376" s="212"/>
      <c r="AC376" s="212"/>
      <c r="AD376" s="212"/>
      <c r="AE376" s="450"/>
      <c r="AF376" s="212"/>
      <c r="AG376" s="212"/>
      <c r="AH376" s="212"/>
      <c r="AI376" s="212"/>
      <c r="AJ376" s="212"/>
      <c r="AK376" s="212"/>
      <c r="AL376" s="212"/>
      <c r="AM376" s="212"/>
      <c r="AN376" s="212"/>
      <c r="AO376" s="212"/>
      <c r="AP376" s="212"/>
      <c r="AQ376" s="212"/>
      <c r="AR376" s="212"/>
      <c r="AS376" s="212"/>
      <c r="AT376" s="212"/>
      <c r="AU376" s="212"/>
      <c r="AV376" s="212"/>
      <c r="AW376" s="212"/>
      <c r="AX376" s="212"/>
      <c r="AY376" s="212"/>
      <c r="AZ376" s="452"/>
      <c r="BA376" s="212"/>
      <c r="BB376" s="212"/>
      <c r="BC376" s="212"/>
      <c r="BD376" s="212"/>
      <c r="BE376" s="212"/>
      <c r="BF376" s="452"/>
    </row>
    <row r="377">
      <c r="A377" s="212"/>
      <c r="B377" s="447"/>
      <c r="C377" s="212"/>
      <c r="D377" s="212"/>
      <c r="E377" s="212"/>
      <c r="F377" s="212"/>
      <c r="G377" s="212"/>
      <c r="H377" s="212"/>
      <c r="I377" s="212"/>
      <c r="J377" s="212"/>
      <c r="K377" s="212"/>
      <c r="L377" s="212"/>
      <c r="M377" s="212"/>
      <c r="N377" s="212"/>
      <c r="O377" s="212"/>
      <c r="P377" s="212"/>
      <c r="Q377" s="212"/>
      <c r="R377" s="451"/>
      <c r="S377" s="451"/>
      <c r="T377" s="212"/>
      <c r="U377" s="451"/>
      <c r="V377" s="451"/>
      <c r="W377" s="451"/>
      <c r="X377" s="451"/>
      <c r="Y377" s="212"/>
      <c r="Z377" s="212"/>
      <c r="AA377" s="212"/>
      <c r="AB377" s="212"/>
      <c r="AC377" s="212"/>
      <c r="AD377" s="212"/>
      <c r="AE377" s="450"/>
      <c r="AF377" s="212"/>
      <c r="AG377" s="212"/>
      <c r="AH377" s="212"/>
      <c r="AI377" s="212"/>
      <c r="AJ377" s="212"/>
      <c r="AK377" s="212"/>
      <c r="AL377" s="212"/>
      <c r="AM377" s="212"/>
      <c r="AN377" s="212"/>
      <c r="AO377" s="212"/>
      <c r="AP377" s="212"/>
      <c r="AQ377" s="212"/>
      <c r="AR377" s="212"/>
      <c r="AS377" s="212"/>
      <c r="AT377" s="212"/>
      <c r="AU377" s="212"/>
      <c r="AV377" s="212"/>
      <c r="AW377" s="212"/>
      <c r="AX377" s="212"/>
      <c r="AY377" s="212"/>
      <c r="AZ377" s="452"/>
      <c r="BA377" s="212"/>
      <c r="BB377" s="212"/>
      <c r="BC377" s="212"/>
      <c r="BD377" s="212"/>
      <c r="BE377" s="212"/>
      <c r="BF377" s="452"/>
    </row>
    <row r="378">
      <c r="A378" s="212"/>
      <c r="B378" s="447"/>
      <c r="C378" s="212"/>
      <c r="D378" s="212"/>
      <c r="E378" s="212"/>
      <c r="F378" s="212"/>
      <c r="G378" s="212"/>
      <c r="H378" s="212"/>
      <c r="I378" s="212"/>
      <c r="J378" s="212"/>
      <c r="K378" s="212"/>
      <c r="L378" s="212"/>
      <c r="M378" s="212"/>
      <c r="N378" s="212"/>
      <c r="O378" s="212"/>
      <c r="P378" s="212"/>
      <c r="Q378" s="212"/>
      <c r="R378" s="451"/>
      <c r="S378" s="451"/>
      <c r="T378" s="212"/>
      <c r="U378" s="451"/>
      <c r="V378" s="451"/>
      <c r="W378" s="451"/>
      <c r="X378" s="451"/>
      <c r="Y378" s="212"/>
      <c r="Z378" s="212"/>
      <c r="AA378" s="212"/>
      <c r="AB378" s="212"/>
      <c r="AC378" s="212"/>
      <c r="AD378" s="212"/>
      <c r="AE378" s="450"/>
      <c r="AF378" s="212"/>
      <c r="AG378" s="212"/>
      <c r="AH378" s="212"/>
      <c r="AI378" s="212"/>
      <c r="AJ378" s="212"/>
      <c r="AK378" s="212"/>
      <c r="AL378" s="212"/>
      <c r="AM378" s="212"/>
      <c r="AN378" s="212"/>
      <c r="AO378" s="212"/>
      <c r="AP378" s="212"/>
      <c r="AQ378" s="212"/>
      <c r="AR378" s="212"/>
      <c r="AS378" s="212"/>
      <c r="AT378" s="212"/>
      <c r="AU378" s="212"/>
      <c r="AV378" s="212"/>
      <c r="AW378" s="212"/>
      <c r="AX378" s="212"/>
      <c r="AY378" s="212"/>
      <c r="AZ378" s="452"/>
      <c r="BA378" s="212"/>
      <c r="BB378" s="212"/>
      <c r="BC378" s="212"/>
      <c r="BD378" s="212"/>
      <c r="BE378" s="212"/>
      <c r="BF378" s="452"/>
    </row>
    <row r="379">
      <c r="A379" s="212"/>
      <c r="B379" s="447"/>
      <c r="C379" s="212"/>
      <c r="D379" s="212"/>
      <c r="E379" s="212"/>
      <c r="F379" s="212"/>
      <c r="G379" s="212"/>
      <c r="H379" s="212"/>
      <c r="I379" s="212"/>
      <c r="J379" s="212"/>
      <c r="K379" s="212"/>
      <c r="L379" s="212"/>
      <c r="M379" s="212"/>
      <c r="N379" s="212"/>
      <c r="O379" s="212"/>
      <c r="P379" s="212"/>
      <c r="Q379" s="212"/>
      <c r="R379" s="451"/>
      <c r="S379" s="451"/>
      <c r="T379" s="212"/>
      <c r="U379" s="451"/>
      <c r="V379" s="451"/>
      <c r="W379" s="451"/>
      <c r="X379" s="451"/>
      <c r="Y379" s="212"/>
      <c r="Z379" s="212"/>
      <c r="AA379" s="212"/>
      <c r="AB379" s="212"/>
      <c r="AC379" s="212"/>
      <c r="AD379" s="212"/>
      <c r="AE379" s="450"/>
      <c r="AF379" s="212"/>
      <c r="AG379" s="212"/>
      <c r="AH379" s="212"/>
      <c r="AI379" s="212"/>
      <c r="AJ379" s="212"/>
      <c r="AK379" s="212"/>
      <c r="AL379" s="212"/>
      <c r="AM379" s="212"/>
      <c r="AN379" s="212"/>
      <c r="AO379" s="212"/>
      <c r="AP379" s="212"/>
      <c r="AQ379" s="212"/>
      <c r="AR379" s="212"/>
      <c r="AS379" s="212"/>
      <c r="AT379" s="212"/>
      <c r="AU379" s="212"/>
      <c r="AV379" s="212"/>
      <c r="AW379" s="212"/>
      <c r="AX379" s="212"/>
      <c r="AY379" s="212"/>
      <c r="AZ379" s="452"/>
      <c r="BA379" s="212"/>
      <c r="BB379" s="212"/>
      <c r="BC379" s="212"/>
      <c r="BD379" s="212"/>
      <c r="BE379" s="212"/>
      <c r="BF379" s="452"/>
    </row>
    <row r="380">
      <c r="A380" s="212"/>
      <c r="B380" s="447"/>
      <c r="C380" s="212"/>
      <c r="D380" s="212"/>
      <c r="E380" s="212"/>
      <c r="F380" s="212"/>
      <c r="G380" s="212"/>
      <c r="H380" s="212"/>
      <c r="I380" s="212"/>
      <c r="J380" s="212"/>
      <c r="K380" s="212"/>
      <c r="L380" s="212"/>
      <c r="M380" s="212"/>
      <c r="N380" s="212"/>
      <c r="O380" s="212"/>
      <c r="P380" s="212"/>
      <c r="Q380" s="212"/>
      <c r="R380" s="451"/>
      <c r="S380" s="451"/>
      <c r="T380" s="212"/>
      <c r="U380" s="451"/>
      <c r="V380" s="451"/>
      <c r="W380" s="451"/>
      <c r="X380" s="451"/>
      <c r="Y380" s="212"/>
      <c r="Z380" s="212"/>
      <c r="AA380" s="212"/>
      <c r="AB380" s="212"/>
      <c r="AC380" s="212"/>
      <c r="AD380" s="212"/>
      <c r="AE380" s="450"/>
      <c r="AF380" s="212"/>
      <c r="AG380" s="212"/>
      <c r="AH380" s="212"/>
      <c r="AI380" s="212"/>
      <c r="AJ380" s="212"/>
      <c r="AK380" s="212"/>
      <c r="AL380" s="212"/>
      <c r="AM380" s="212"/>
      <c r="AN380" s="212"/>
      <c r="AO380" s="212"/>
      <c r="AP380" s="212"/>
      <c r="AQ380" s="212"/>
      <c r="AR380" s="212"/>
      <c r="AS380" s="212"/>
      <c r="AT380" s="212"/>
      <c r="AU380" s="212"/>
      <c r="AV380" s="212"/>
      <c r="AW380" s="212"/>
      <c r="AX380" s="212"/>
      <c r="AY380" s="212"/>
      <c r="AZ380" s="452"/>
      <c r="BA380" s="212"/>
      <c r="BB380" s="212"/>
      <c r="BC380" s="212"/>
      <c r="BD380" s="212"/>
      <c r="BE380" s="212"/>
      <c r="BF380" s="452"/>
    </row>
    <row r="381">
      <c r="A381" s="212"/>
      <c r="B381" s="447"/>
      <c r="C381" s="212"/>
      <c r="D381" s="212"/>
      <c r="E381" s="212"/>
      <c r="F381" s="212"/>
      <c r="G381" s="212"/>
      <c r="H381" s="212"/>
      <c r="I381" s="212"/>
      <c r="J381" s="212"/>
      <c r="K381" s="212"/>
      <c r="L381" s="212"/>
      <c r="M381" s="212"/>
      <c r="N381" s="212"/>
      <c r="O381" s="212"/>
      <c r="P381" s="212"/>
      <c r="Q381" s="212"/>
      <c r="R381" s="451"/>
      <c r="S381" s="451"/>
      <c r="T381" s="212"/>
      <c r="U381" s="451"/>
      <c r="V381" s="451"/>
      <c r="W381" s="451"/>
      <c r="X381" s="451"/>
      <c r="Y381" s="212"/>
      <c r="Z381" s="212"/>
      <c r="AA381" s="212"/>
      <c r="AB381" s="212"/>
      <c r="AC381" s="212"/>
      <c r="AD381" s="212"/>
      <c r="AE381" s="450"/>
      <c r="AF381" s="212"/>
      <c r="AG381" s="212"/>
      <c r="AH381" s="212"/>
      <c r="AI381" s="212"/>
      <c r="AJ381" s="212"/>
      <c r="AK381" s="212"/>
      <c r="AL381" s="212"/>
      <c r="AM381" s="212"/>
      <c r="AN381" s="212"/>
      <c r="AO381" s="212"/>
      <c r="AP381" s="212"/>
      <c r="AQ381" s="212"/>
      <c r="AR381" s="212"/>
      <c r="AS381" s="212"/>
      <c r="AT381" s="212"/>
      <c r="AU381" s="212"/>
      <c r="AV381" s="212"/>
      <c r="AW381" s="212"/>
      <c r="AX381" s="212"/>
      <c r="AY381" s="212"/>
      <c r="AZ381" s="452"/>
      <c r="BA381" s="212"/>
      <c r="BB381" s="212"/>
      <c r="BC381" s="212"/>
      <c r="BD381" s="212"/>
      <c r="BE381" s="212"/>
      <c r="BF381" s="452"/>
    </row>
    <row r="382">
      <c r="A382" s="212"/>
      <c r="B382" s="447"/>
      <c r="C382" s="212"/>
      <c r="D382" s="212"/>
      <c r="E382" s="212"/>
      <c r="F382" s="212"/>
      <c r="G382" s="212"/>
      <c r="H382" s="212"/>
      <c r="I382" s="212"/>
      <c r="J382" s="212"/>
      <c r="K382" s="212"/>
      <c r="L382" s="212"/>
      <c r="M382" s="212"/>
      <c r="N382" s="212"/>
      <c r="O382" s="212"/>
      <c r="P382" s="212"/>
      <c r="Q382" s="212"/>
      <c r="R382" s="451"/>
      <c r="S382" s="451"/>
      <c r="T382" s="212"/>
      <c r="U382" s="451"/>
      <c r="V382" s="451"/>
      <c r="W382" s="451"/>
      <c r="X382" s="451"/>
      <c r="Y382" s="212"/>
      <c r="Z382" s="212"/>
      <c r="AA382" s="212"/>
      <c r="AB382" s="212"/>
      <c r="AC382" s="212"/>
      <c r="AD382" s="212"/>
      <c r="AE382" s="450"/>
      <c r="AF382" s="212"/>
      <c r="AG382" s="212"/>
      <c r="AH382" s="212"/>
      <c r="AI382" s="212"/>
      <c r="AJ382" s="212"/>
      <c r="AK382" s="212"/>
      <c r="AL382" s="212"/>
      <c r="AM382" s="212"/>
      <c r="AN382" s="212"/>
      <c r="AO382" s="212"/>
      <c r="AP382" s="212"/>
      <c r="AQ382" s="212"/>
      <c r="AR382" s="212"/>
      <c r="AS382" s="212"/>
      <c r="AT382" s="212"/>
      <c r="AU382" s="212"/>
      <c r="AV382" s="212"/>
      <c r="AW382" s="212"/>
      <c r="AX382" s="212"/>
      <c r="AY382" s="212"/>
      <c r="AZ382" s="452"/>
      <c r="BA382" s="212"/>
      <c r="BB382" s="212"/>
      <c r="BC382" s="212"/>
      <c r="BD382" s="212"/>
      <c r="BE382" s="212"/>
      <c r="BF382" s="452"/>
    </row>
    <row r="383">
      <c r="A383" s="212"/>
      <c r="B383" s="447"/>
      <c r="C383" s="212"/>
      <c r="D383" s="212"/>
      <c r="E383" s="212"/>
      <c r="F383" s="212"/>
      <c r="G383" s="212"/>
      <c r="H383" s="212"/>
      <c r="I383" s="212"/>
      <c r="J383" s="212"/>
      <c r="K383" s="212"/>
      <c r="L383" s="212"/>
      <c r="M383" s="212"/>
      <c r="N383" s="212"/>
      <c r="O383" s="212"/>
      <c r="P383" s="212"/>
      <c r="Q383" s="212"/>
      <c r="R383" s="451"/>
      <c r="S383" s="451"/>
      <c r="T383" s="212"/>
      <c r="U383" s="451"/>
      <c r="V383" s="451"/>
      <c r="W383" s="451"/>
      <c r="X383" s="451"/>
      <c r="Y383" s="212"/>
      <c r="Z383" s="212"/>
      <c r="AA383" s="212"/>
      <c r="AB383" s="212"/>
      <c r="AC383" s="212"/>
      <c r="AD383" s="212"/>
      <c r="AE383" s="450"/>
      <c r="AF383" s="212"/>
      <c r="AG383" s="212"/>
      <c r="AH383" s="212"/>
      <c r="AI383" s="212"/>
      <c r="AJ383" s="212"/>
      <c r="AK383" s="212"/>
      <c r="AL383" s="212"/>
      <c r="AM383" s="212"/>
      <c r="AN383" s="212"/>
      <c r="AO383" s="212"/>
      <c r="AP383" s="212"/>
      <c r="AQ383" s="212"/>
      <c r="AR383" s="212"/>
      <c r="AS383" s="212"/>
      <c r="AT383" s="212"/>
      <c r="AU383" s="212"/>
      <c r="AV383" s="212"/>
      <c r="AW383" s="212"/>
      <c r="AX383" s="212"/>
      <c r="AY383" s="212"/>
      <c r="AZ383" s="452"/>
      <c r="BA383" s="212"/>
      <c r="BB383" s="212"/>
      <c r="BC383" s="212"/>
      <c r="BD383" s="212"/>
      <c r="BE383" s="212"/>
      <c r="BF383" s="452"/>
    </row>
    <row r="384">
      <c r="A384" s="212"/>
      <c r="B384" s="447"/>
      <c r="C384" s="212"/>
      <c r="D384" s="212"/>
      <c r="E384" s="212"/>
      <c r="F384" s="212"/>
      <c r="G384" s="212"/>
      <c r="H384" s="212"/>
      <c r="I384" s="212"/>
      <c r="J384" s="212"/>
      <c r="K384" s="212"/>
      <c r="L384" s="212"/>
      <c r="M384" s="212"/>
      <c r="N384" s="212"/>
      <c r="O384" s="212"/>
      <c r="P384" s="212"/>
      <c r="Q384" s="212"/>
      <c r="R384" s="451"/>
      <c r="S384" s="451"/>
      <c r="T384" s="212"/>
      <c r="U384" s="451"/>
      <c r="V384" s="451"/>
      <c r="W384" s="451"/>
      <c r="X384" s="451"/>
      <c r="Y384" s="212"/>
      <c r="Z384" s="212"/>
      <c r="AA384" s="212"/>
      <c r="AB384" s="212"/>
      <c r="AC384" s="212"/>
      <c r="AD384" s="212"/>
      <c r="AE384" s="450"/>
      <c r="AF384" s="212"/>
      <c r="AG384" s="212"/>
      <c r="AH384" s="212"/>
      <c r="AI384" s="212"/>
      <c r="AJ384" s="212"/>
      <c r="AK384" s="212"/>
      <c r="AL384" s="212"/>
      <c r="AM384" s="212"/>
      <c r="AN384" s="212"/>
      <c r="AO384" s="212"/>
      <c r="AP384" s="212"/>
      <c r="AQ384" s="212"/>
      <c r="AR384" s="212"/>
      <c r="AS384" s="212"/>
      <c r="AT384" s="212"/>
      <c r="AU384" s="212"/>
      <c r="AV384" s="212"/>
      <c r="AW384" s="212"/>
      <c r="AX384" s="212"/>
      <c r="AY384" s="212"/>
      <c r="AZ384" s="452"/>
      <c r="BA384" s="212"/>
      <c r="BB384" s="212"/>
      <c r="BC384" s="212"/>
      <c r="BD384" s="212"/>
      <c r="BE384" s="212"/>
      <c r="BF384" s="452"/>
    </row>
    <row r="385">
      <c r="A385" s="212"/>
      <c r="B385" s="447"/>
      <c r="C385" s="212"/>
      <c r="D385" s="212"/>
      <c r="E385" s="212"/>
      <c r="F385" s="212"/>
      <c r="G385" s="212"/>
      <c r="H385" s="212"/>
      <c r="I385" s="212"/>
      <c r="J385" s="212"/>
      <c r="K385" s="212"/>
      <c r="L385" s="212"/>
      <c r="M385" s="212"/>
      <c r="N385" s="212"/>
      <c r="O385" s="212"/>
      <c r="P385" s="212"/>
      <c r="Q385" s="212"/>
      <c r="R385" s="451"/>
      <c r="S385" s="451"/>
      <c r="T385" s="212"/>
      <c r="U385" s="451"/>
      <c r="V385" s="451"/>
      <c r="W385" s="451"/>
      <c r="X385" s="451"/>
      <c r="Y385" s="212"/>
      <c r="Z385" s="212"/>
      <c r="AA385" s="212"/>
      <c r="AB385" s="212"/>
      <c r="AC385" s="212"/>
      <c r="AD385" s="212"/>
      <c r="AE385" s="450"/>
      <c r="AF385" s="212"/>
      <c r="AG385" s="212"/>
      <c r="AH385" s="212"/>
      <c r="AI385" s="212"/>
      <c r="AJ385" s="212"/>
      <c r="AK385" s="212"/>
      <c r="AL385" s="212"/>
      <c r="AM385" s="212"/>
      <c r="AN385" s="212"/>
      <c r="AO385" s="212"/>
      <c r="AP385" s="212"/>
      <c r="AQ385" s="212"/>
      <c r="AR385" s="212"/>
      <c r="AS385" s="212"/>
      <c r="AT385" s="212"/>
      <c r="AU385" s="212"/>
      <c r="AV385" s="212"/>
      <c r="AW385" s="212"/>
      <c r="AX385" s="212"/>
      <c r="AY385" s="212"/>
      <c r="AZ385" s="452"/>
      <c r="BA385" s="212"/>
      <c r="BB385" s="212"/>
      <c r="BC385" s="212"/>
      <c r="BD385" s="212"/>
      <c r="BE385" s="212"/>
      <c r="BF385" s="452"/>
    </row>
    <row r="386">
      <c r="A386" s="212"/>
      <c r="B386" s="447"/>
      <c r="C386" s="212"/>
      <c r="D386" s="212"/>
      <c r="E386" s="212"/>
      <c r="F386" s="212"/>
      <c r="G386" s="212"/>
      <c r="H386" s="212"/>
      <c r="I386" s="212"/>
      <c r="J386" s="212"/>
      <c r="K386" s="212"/>
      <c r="L386" s="212"/>
      <c r="M386" s="212"/>
      <c r="N386" s="212"/>
      <c r="O386" s="212"/>
      <c r="P386" s="212"/>
      <c r="Q386" s="212"/>
      <c r="R386" s="451"/>
      <c r="S386" s="451"/>
      <c r="T386" s="212"/>
      <c r="U386" s="451"/>
      <c r="V386" s="451"/>
      <c r="W386" s="451"/>
      <c r="X386" s="451"/>
      <c r="Y386" s="212"/>
      <c r="Z386" s="212"/>
      <c r="AA386" s="212"/>
      <c r="AB386" s="212"/>
      <c r="AC386" s="212"/>
      <c r="AD386" s="212"/>
      <c r="AE386" s="450"/>
      <c r="AF386" s="212"/>
      <c r="AG386" s="212"/>
      <c r="AH386" s="212"/>
      <c r="AI386" s="212"/>
      <c r="AJ386" s="212"/>
      <c r="AK386" s="212"/>
      <c r="AL386" s="212"/>
      <c r="AM386" s="212"/>
      <c r="AN386" s="212"/>
      <c r="AO386" s="212"/>
      <c r="AP386" s="212"/>
      <c r="AQ386" s="212"/>
      <c r="AR386" s="212"/>
      <c r="AS386" s="212"/>
      <c r="AT386" s="212"/>
      <c r="AU386" s="212"/>
      <c r="AV386" s="212"/>
      <c r="AW386" s="212"/>
      <c r="AX386" s="212"/>
      <c r="AY386" s="212"/>
      <c r="AZ386" s="452"/>
      <c r="BA386" s="212"/>
      <c r="BB386" s="212"/>
      <c r="BC386" s="212"/>
      <c r="BD386" s="212"/>
      <c r="BE386" s="212"/>
      <c r="BF386" s="452"/>
    </row>
    <row r="387">
      <c r="A387" s="212"/>
      <c r="B387" s="447"/>
      <c r="C387" s="212"/>
      <c r="D387" s="212"/>
      <c r="E387" s="212"/>
      <c r="F387" s="212"/>
      <c r="G387" s="212"/>
      <c r="H387" s="212"/>
      <c r="I387" s="212"/>
      <c r="J387" s="212"/>
      <c r="K387" s="212"/>
      <c r="L387" s="212"/>
      <c r="M387" s="212"/>
      <c r="N387" s="212"/>
      <c r="O387" s="212"/>
      <c r="P387" s="212"/>
      <c r="Q387" s="212"/>
      <c r="R387" s="451"/>
      <c r="S387" s="451"/>
      <c r="T387" s="212"/>
      <c r="U387" s="451"/>
      <c r="V387" s="451"/>
      <c r="W387" s="451"/>
      <c r="X387" s="451"/>
      <c r="Y387" s="212"/>
      <c r="Z387" s="212"/>
      <c r="AA387" s="212"/>
      <c r="AB387" s="212"/>
      <c r="AC387" s="212"/>
      <c r="AD387" s="212"/>
      <c r="AE387" s="450"/>
      <c r="AF387" s="212"/>
      <c r="AG387" s="212"/>
      <c r="AH387" s="212"/>
      <c r="AI387" s="212"/>
      <c r="AJ387" s="212"/>
      <c r="AK387" s="212"/>
      <c r="AL387" s="212"/>
      <c r="AM387" s="212"/>
      <c r="AN387" s="212"/>
      <c r="AO387" s="212"/>
      <c r="AP387" s="212"/>
      <c r="AQ387" s="212"/>
      <c r="AR387" s="212"/>
      <c r="AS387" s="212"/>
      <c r="AT387" s="212"/>
      <c r="AU387" s="212"/>
      <c r="AV387" s="212"/>
      <c r="AW387" s="212"/>
      <c r="AX387" s="212"/>
      <c r="AY387" s="212"/>
      <c r="AZ387" s="452"/>
      <c r="BA387" s="212"/>
      <c r="BB387" s="212"/>
      <c r="BC387" s="212"/>
      <c r="BD387" s="212"/>
      <c r="BE387" s="212"/>
      <c r="BF387" s="452"/>
    </row>
    <row r="388">
      <c r="A388" s="212"/>
      <c r="B388" s="447"/>
      <c r="C388" s="212"/>
      <c r="D388" s="212"/>
      <c r="E388" s="212"/>
      <c r="F388" s="212"/>
      <c r="G388" s="212"/>
      <c r="H388" s="212"/>
      <c r="I388" s="212"/>
      <c r="J388" s="212"/>
      <c r="K388" s="212"/>
      <c r="L388" s="212"/>
      <c r="M388" s="212"/>
      <c r="N388" s="212"/>
      <c r="O388" s="212"/>
      <c r="P388" s="212"/>
      <c r="Q388" s="212"/>
      <c r="R388" s="451"/>
      <c r="S388" s="451"/>
      <c r="T388" s="212"/>
      <c r="U388" s="451"/>
      <c r="V388" s="451"/>
      <c r="W388" s="451"/>
      <c r="X388" s="451"/>
      <c r="Y388" s="212"/>
      <c r="Z388" s="212"/>
      <c r="AA388" s="212"/>
      <c r="AB388" s="212"/>
      <c r="AC388" s="212"/>
      <c r="AD388" s="212"/>
      <c r="AE388" s="450"/>
      <c r="AF388" s="212"/>
      <c r="AG388" s="212"/>
      <c r="AH388" s="212"/>
      <c r="AI388" s="212"/>
      <c r="AJ388" s="212"/>
      <c r="AK388" s="212"/>
      <c r="AL388" s="212"/>
      <c r="AM388" s="212"/>
      <c r="AN388" s="212"/>
      <c r="AO388" s="212"/>
      <c r="AP388" s="212"/>
      <c r="AQ388" s="212"/>
      <c r="AR388" s="212"/>
      <c r="AS388" s="212"/>
      <c r="AT388" s="212"/>
      <c r="AU388" s="212"/>
      <c r="AV388" s="212"/>
      <c r="AW388" s="212"/>
      <c r="AX388" s="212"/>
      <c r="AY388" s="212"/>
      <c r="AZ388" s="452"/>
      <c r="BA388" s="212"/>
      <c r="BB388" s="212"/>
      <c r="BC388" s="212"/>
      <c r="BD388" s="212"/>
      <c r="BE388" s="212"/>
      <c r="BF388" s="452"/>
    </row>
    <row r="389">
      <c r="A389" s="212"/>
      <c r="B389" s="447"/>
      <c r="C389" s="212"/>
      <c r="D389" s="212"/>
      <c r="E389" s="212"/>
      <c r="F389" s="212"/>
      <c r="G389" s="212"/>
      <c r="H389" s="212"/>
      <c r="I389" s="212"/>
      <c r="J389" s="212"/>
      <c r="K389" s="212"/>
      <c r="L389" s="212"/>
      <c r="M389" s="212"/>
      <c r="N389" s="212"/>
      <c r="O389" s="212"/>
      <c r="P389" s="212"/>
      <c r="Q389" s="212"/>
      <c r="R389" s="451"/>
      <c r="S389" s="451"/>
      <c r="T389" s="212"/>
      <c r="U389" s="451"/>
      <c r="V389" s="451"/>
      <c r="W389" s="451"/>
      <c r="X389" s="451"/>
      <c r="Y389" s="212"/>
      <c r="Z389" s="212"/>
      <c r="AA389" s="212"/>
      <c r="AB389" s="212"/>
      <c r="AC389" s="212"/>
      <c r="AD389" s="212"/>
      <c r="AE389" s="450"/>
      <c r="AF389" s="212"/>
      <c r="AG389" s="212"/>
      <c r="AH389" s="212"/>
      <c r="AI389" s="212"/>
      <c r="AJ389" s="212"/>
      <c r="AK389" s="212"/>
      <c r="AL389" s="212"/>
      <c r="AM389" s="212"/>
      <c r="AN389" s="212"/>
      <c r="AO389" s="212"/>
      <c r="AP389" s="212"/>
      <c r="AQ389" s="212"/>
      <c r="AR389" s="212"/>
      <c r="AS389" s="212"/>
      <c r="AT389" s="212"/>
      <c r="AU389" s="212"/>
      <c r="AV389" s="212"/>
      <c r="AW389" s="212"/>
      <c r="AX389" s="212"/>
      <c r="AY389" s="212"/>
      <c r="AZ389" s="452"/>
      <c r="BA389" s="212"/>
      <c r="BB389" s="212"/>
      <c r="BC389" s="212"/>
      <c r="BD389" s="212"/>
      <c r="BE389" s="212"/>
      <c r="BF389" s="452"/>
    </row>
    <row r="390">
      <c r="A390" s="212"/>
      <c r="B390" s="447"/>
      <c r="C390" s="212"/>
      <c r="D390" s="212"/>
      <c r="E390" s="212"/>
      <c r="F390" s="212"/>
      <c r="G390" s="212"/>
      <c r="H390" s="212"/>
      <c r="I390" s="212"/>
      <c r="J390" s="212"/>
      <c r="K390" s="212"/>
      <c r="L390" s="212"/>
      <c r="M390" s="212"/>
      <c r="N390" s="212"/>
      <c r="O390" s="212"/>
      <c r="P390" s="212"/>
      <c r="Q390" s="212"/>
      <c r="R390" s="451"/>
      <c r="S390" s="451"/>
      <c r="T390" s="212"/>
      <c r="U390" s="451"/>
      <c r="V390" s="451"/>
      <c r="W390" s="451"/>
      <c r="X390" s="451"/>
      <c r="Y390" s="212"/>
      <c r="Z390" s="212"/>
      <c r="AA390" s="212"/>
      <c r="AB390" s="212"/>
      <c r="AC390" s="212"/>
      <c r="AD390" s="212"/>
      <c r="AE390" s="450"/>
      <c r="AF390" s="212"/>
      <c r="AG390" s="212"/>
      <c r="AH390" s="212"/>
      <c r="AI390" s="212"/>
      <c r="AJ390" s="212"/>
      <c r="AK390" s="212"/>
      <c r="AL390" s="212"/>
      <c r="AM390" s="212"/>
      <c r="AN390" s="212"/>
      <c r="AO390" s="212"/>
      <c r="AP390" s="212"/>
      <c r="AQ390" s="212"/>
      <c r="AR390" s="212"/>
      <c r="AS390" s="212"/>
      <c r="AT390" s="212"/>
      <c r="AU390" s="212"/>
      <c r="AV390" s="212"/>
      <c r="AW390" s="212"/>
      <c r="AX390" s="212"/>
      <c r="AY390" s="212"/>
      <c r="AZ390" s="452"/>
      <c r="BA390" s="212"/>
      <c r="BB390" s="212"/>
      <c r="BC390" s="212"/>
      <c r="BD390" s="212"/>
      <c r="BE390" s="212"/>
      <c r="BF390" s="452"/>
    </row>
    <row r="391">
      <c r="A391" s="212"/>
      <c r="B391" s="447"/>
      <c r="C391" s="212"/>
      <c r="D391" s="212"/>
      <c r="E391" s="212"/>
      <c r="F391" s="212"/>
      <c r="G391" s="212"/>
      <c r="H391" s="212"/>
      <c r="I391" s="212"/>
      <c r="J391" s="212"/>
      <c r="K391" s="212"/>
      <c r="L391" s="212"/>
      <c r="M391" s="212"/>
      <c r="N391" s="212"/>
      <c r="O391" s="212"/>
      <c r="P391" s="212"/>
      <c r="Q391" s="212"/>
      <c r="R391" s="451"/>
      <c r="S391" s="451"/>
      <c r="T391" s="212"/>
      <c r="U391" s="451"/>
      <c r="V391" s="451"/>
      <c r="W391" s="451"/>
      <c r="X391" s="451"/>
      <c r="Y391" s="212"/>
      <c r="Z391" s="212"/>
      <c r="AA391" s="212"/>
      <c r="AB391" s="212"/>
      <c r="AC391" s="212"/>
      <c r="AD391" s="212"/>
      <c r="AE391" s="450"/>
      <c r="AF391" s="212"/>
      <c r="AG391" s="212"/>
      <c r="AH391" s="212"/>
      <c r="AI391" s="212"/>
      <c r="AJ391" s="212"/>
      <c r="AK391" s="212"/>
      <c r="AL391" s="212"/>
      <c r="AM391" s="212"/>
      <c r="AN391" s="212"/>
      <c r="AO391" s="212"/>
      <c r="AP391" s="212"/>
      <c r="AQ391" s="212"/>
      <c r="AR391" s="212"/>
      <c r="AS391" s="212"/>
      <c r="AT391" s="212"/>
      <c r="AU391" s="212"/>
      <c r="AV391" s="212"/>
      <c r="AW391" s="212"/>
      <c r="AX391" s="212"/>
      <c r="AY391" s="212"/>
      <c r="AZ391" s="452"/>
      <c r="BA391" s="212"/>
      <c r="BB391" s="212"/>
      <c r="BC391" s="212"/>
      <c r="BD391" s="212"/>
      <c r="BE391" s="212"/>
      <c r="BF391" s="452"/>
    </row>
    <row r="392">
      <c r="A392" s="212"/>
      <c r="B392" s="447"/>
      <c r="C392" s="212"/>
      <c r="D392" s="212"/>
      <c r="E392" s="212"/>
      <c r="F392" s="212"/>
      <c r="G392" s="212"/>
      <c r="H392" s="212"/>
      <c r="I392" s="212"/>
      <c r="J392" s="212"/>
      <c r="K392" s="212"/>
      <c r="L392" s="212"/>
      <c r="M392" s="212"/>
      <c r="N392" s="212"/>
      <c r="O392" s="212"/>
      <c r="P392" s="212"/>
      <c r="Q392" s="212"/>
      <c r="R392" s="451"/>
      <c r="S392" s="451"/>
      <c r="T392" s="212"/>
      <c r="U392" s="451"/>
      <c r="V392" s="451"/>
      <c r="W392" s="451"/>
      <c r="X392" s="451"/>
      <c r="Y392" s="212"/>
      <c r="Z392" s="212"/>
      <c r="AA392" s="212"/>
      <c r="AB392" s="212"/>
      <c r="AC392" s="212"/>
      <c r="AD392" s="212"/>
      <c r="AE392" s="450"/>
      <c r="AF392" s="212"/>
      <c r="AG392" s="212"/>
      <c r="AH392" s="212"/>
      <c r="AI392" s="212"/>
      <c r="AJ392" s="212"/>
      <c r="AK392" s="212"/>
      <c r="AL392" s="212"/>
      <c r="AM392" s="212"/>
      <c r="AN392" s="212"/>
      <c r="AO392" s="212"/>
      <c r="AP392" s="212"/>
      <c r="AQ392" s="212"/>
      <c r="AR392" s="212"/>
      <c r="AS392" s="212"/>
      <c r="AT392" s="212"/>
      <c r="AU392" s="212"/>
      <c r="AV392" s="212"/>
      <c r="AW392" s="212"/>
      <c r="AX392" s="212"/>
      <c r="AY392" s="212"/>
      <c r="AZ392" s="452"/>
      <c r="BA392" s="212"/>
      <c r="BB392" s="212"/>
      <c r="BC392" s="212"/>
      <c r="BD392" s="212"/>
      <c r="BE392" s="212"/>
      <c r="BF392" s="452"/>
    </row>
    <row r="393">
      <c r="A393" s="212"/>
      <c r="B393" s="447"/>
      <c r="C393" s="212"/>
      <c r="D393" s="212"/>
      <c r="E393" s="212"/>
      <c r="F393" s="212"/>
      <c r="G393" s="212"/>
      <c r="H393" s="212"/>
      <c r="I393" s="212"/>
      <c r="J393" s="212"/>
      <c r="K393" s="212"/>
      <c r="L393" s="212"/>
      <c r="M393" s="212"/>
      <c r="N393" s="212"/>
      <c r="O393" s="212"/>
      <c r="P393" s="212"/>
      <c r="Q393" s="212"/>
      <c r="R393" s="451"/>
      <c r="S393" s="451"/>
      <c r="T393" s="212"/>
      <c r="U393" s="451"/>
      <c r="V393" s="451"/>
      <c r="W393" s="451"/>
      <c r="X393" s="451"/>
      <c r="Y393" s="212"/>
      <c r="Z393" s="212"/>
      <c r="AA393" s="212"/>
      <c r="AB393" s="212"/>
      <c r="AC393" s="212"/>
      <c r="AD393" s="212"/>
      <c r="AE393" s="450"/>
      <c r="AF393" s="212"/>
      <c r="AG393" s="212"/>
      <c r="AH393" s="212"/>
      <c r="AI393" s="212"/>
      <c r="AJ393" s="212"/>
      <c r="AK393" s="212"/>
      <c r="AL393" s="212"/>
      <c r="AM393" s="212"/>
      <c r="AN393" s="212"/>
      <c r="AO393" s="212"/>
      <c r="AP393" s="212"/>
      <c r="AQ393" s="212"/>
      <c r="AR393" s="212"/>
      <c r="AS393" s="212"/>
      <c r="AT393" s="212"/>
      <c r="AU393" s="212"/>
      <c r="AV393" s="212"/>
      <c r="AW393" s="212"/>
      <c r="AX393" s="212"/>
      <c r="AY393" s="212"/>
      <c r="AZ393" s="452"/>
      <c r="BA393" s="212"/>
      <c r="BB393" s="212"/>
      <c r="BC393" s="212"/>
      <c r="BD393" s="212"/>
      <c r="BE393" s="212"/>
      <c r="BF393" s="452"/>
    </row>
    <row r="394">
      <c r="A394" s="212"/>
      <c r="B394" s="447"/>
      <c r="C394" s="212"/>
      <c r="D394" s="212"/>
      <c r="E394" s="212"/>
      <c r="F394" s="212"/>
      <c r="G394" s="212"/>
      <c r="H394" s="212"/>
      <c r="I394" s="212"/>
      <c r="J394" s="212"/>
      <c r="K394" s="212"/>
      <c r="L394" s="212"/>
      <c r="M394" s="212"/>
      <c r="N394" s="212"/>
      <c r="O394" s="212"/>
      <c r="P394" s="212"/>
      <c r="Q394" s="212"/>
      <c r="R394" s="451"/>
      <c r="S394" s="451"/>
      <c r="T394" s="212"/>
      <c r="U394" s="451"/>
      <c r="V394" s="451"/>
      <c r="W394" s="451"/>
      <c r="X394" s="451"/>
      <c r="Y394" s="212"/>
      <c r="Z394" s="212"/>
      <c r="AA394" s="212"/>
      <c r="AB394" s="212"/>
      <c r="AC394" s="212"/>
      <c r="AD394" s="212"/>
      <c r="AE394" s="450"/>
      <c r="AF394" s="212"/>
      <c r="AG394" s="212"/>
      <c r="AH394" s="212"/>
      <c r="AI394" s="212"/>
      <c r="AJ394" s="212"/>
      <c r="AK394" s="212"/>
      <c r="AL394" s="212"/>
      <c r="AM394" s="212"/>
      <c r="AN394" s="212"/>
      <c r="AO394" s="212"/>
      <c r="AP394" s="212"/>
      <c r="AQ394" s="212"/>
      <c r="AR394" s="212"/>
      <c r="AS394" s="212"/>
      <c r="AT394" s="212"/>
      <c r="AU394" s="212"/>
      <c r="AV394" s="212"/>
      <c r="AW394" s="212"/>
      <c r="AX394" s="212"/>
      <c r="AY394" s="212"/>
      <c r="AZ394" s="452"/>
      <c r="BA394" s="212"/>
      <c r="BB394" s="212"/>
      <c r="BC394" s="212"/>
      <c r="BD394" s="212"/>
      <c r="BE394" s="212"/>
      <c r="BF394" s="452"/>
    </row>
    <row r="395">
      <c r="A395" s="212"/>
      <c r="B395" s="447"/>
      <c r="C395" s="212"/>
      <c r="D395" s="212"/>
      <c r="E395" s="212"/>
      <c r="F395" s="212"/>
      <c r="G395" s="212"/>
      <c r="H395" s="212"/>
      <c r="I395" s="212"/>
      <c r="J395" s="212"/>
      <c r="K395" s="212"/>
      <c r="L395" s="212"/>
      <c r="M395" s="212"/>
      <c r="N395" s="212"/>
      <c r="O395" s="212"/>
      <c r="P395" s="212"/>
      <c r="Q395" s="212"/>
      <c r="R395" s="451"/>
      <c r="S395" s="451"/>
      <c r="T395" s="212"/>
      <c r="U395" s="451"/>
      <c r="V395" s="451"/>
      <c r="W395" s="451"/>
      <c r="X395" s="451"/>
      <c r="Y395" s="212"/>
      <c r="Z395" s="212"/>
      <c r="AA395" s="212"/>
      <c r="AB395" s="212"/>
      <c r="AC395" s="212"/>
      <c r="AD395" s="212"/>
      <c r="AE395" s="450"/>
      <c r="AF395" s="212"/>
      <c r="AG395" s="212"/>
      <c r="AH395" s="212"/>
      <c r="AI395" s="212"/>
      <c r="AJ395" s="212"/>
      <c r="AK395" s="212"/>
      <c r="AL395" s="212"/>
      <c r="AM395" s="212"/>
      <c r="AN395" s="212"/>
      <c r="AO395" s="212"/>
      <c r="AP395" s="212"/>
      <c r="AQ395" s="212"/>
      <c r="AR395" s="212"/>
      <c r="AS395" s="212"/>
      <c r="AT395" s="212"/>
      <c r="AU395" s="212"/>
      <c r="AV395" s="212"/>
      <c r="AW395" s="212"/>
      <c r="AX395" s="212"/>
      <c r="AY395" s="212"/>
      <c r="AZ395" s="452"/>
      <c r="BA395" s="212"/>
      <c r="BB395" s="212"/>
      <c r="BC395" s="212"/>
      <c r="BD395" s="212"/>
      <c r="BE395" s="212"/>
      <c r="BF395" s="452"/>
    </row>
    <row r="396">
      <c r="A396" s="212"/>
      <c r="B396" s="447"/>
      <c r="C396" s="212"/>
      <c r="D396" s="212"/>
      <c r="E396" s="212"/>
      <c r="F396" s="212"/>
      <c r="G396" s="212"/>
      <c r="H396" s="212"/>
      <c r="I396" s="212"/>
      <c r="J396" s="212"/>
      <c r="K396" s="212"/>
      <c r="L396" s="212"/>
      <c r="M396" s="212"/>
      <c r="N396" s="212"/>
      <c r="O396" s="212"/>
      <c r="P396" s="212"/>
      <c r="Q396" s="212"/>
      <c r="R396" s="451"/>
      <c r="S396" s="451"/>
      <c r="T396" s="212"/>
      <c r="U396" s="451"/>
      <c r="V396" s="451"/>
      <c r="W396" s="451"/>
      <c r="X396" s="451"/>
      <c r="Y396" s="212"/>
      <c r="Z396" s="212"/>
      <c r="AA396" s="212"/>
      <c r="AB396" s="212"/>
      <c r="AC396" s="212"/>
      <c r="AD396" s="212"/>
      <c r="AE396" s="450"/>
      <c r="AF396" s="212"/>
      <c r="AG396" s="212"/>
      <c r="AH396" s="212"/>
      <c r="AI396" s="212"/>
      <c r="AJ396" s="212"/>
      <c r="AK396" s="212"/>
      <c r="AL396" s="212"/>
      <c r="AM396" s="212"/>
      <c r="AN396" s="212"/>
      <c r="AO396" s="212"/>
      <c r="AP396" s="212"/>
      <c r="AQ396" s="212"/>
      <c r="AR396" s="212"/>
      <c r="AS396" s="212"/>
      <c r="AT396" s="212"/>
      <c r="AU396" s="212"/>
      <c r="AV396" s="212"/>
      <c r="AW396" s="212"/>
      <c r="AX396" s="212"/>
      <c r="AY396" s="212"/>
      <c r="AZ396" s="452"/>
      <c r="BA396" s="212"/>
      <c r="BB396" s="212"/>
      <c r="BC396" s="212"/>
      <c r="BD396" s="212"/>
      <c r="BE396" s="212"/>
      <c r="BF396" s="452"/>
    </row>
    <row r="397">
      <c r="A397" s="212"/>
      <c r="B397" s="447"/>
      <c r="C397" s="212"/>
      <c r="D397" s="212"/>
      <c r="E397" s="212"/>
      <c r="F397" s="212"/>
      <c r="G397" s="212"/>
      <c r="H397" s="212"/>
      <c r="I397" s="212"/>
      <c r="J397" s="212"/>
      <c r="K397" s="212"/>
      <c r="L397" s="212"/>
      <c r="M397" s="212"/>
      <c r="N397" s="212"/>
      <c r="O397" s="212"/>
      <c r="P397" s="212"/>
      <c r="Q397" s="212"/>
      <c r="R397" s="451"/>
      <c r="S397" s="451"/>
      <c r="T397" s="212"/>
      <c r="U397" s="451"/>
      <c r="V397" s="451"/>
      <c r="W397" s="451"/>
      <c r="X397" s="451"/>
      <c r="Y397" s="212"/>
      <c r="Z397" s="212"/>
      <c r="AA397" s="212"/>
      <c r="AB397" s="212"/>
      <c r="AC397" s="212"/>
      <c r="AD397" s="212"/>
      <c r="AE397" s="450"/>
      <c r="AF397" s="212"/>
      <c r="AG397" s="212"/>
      <c r="AH397" s="212"/>
      <c r="AI397" s="212"/>
      <c r="AJ397" s="212"/>
      <c r="AK397" s="212"/>
      <c r="AL397" s="212"/>
      <c r="AM397" s="212"/>
      <c r="AN397" s="212"/>
      <c r="AO397" s="212"/>
      <c r="AP397" s="212"/>
      <c r="AQ397" s="212"/>
      <c r="AR397" s="212"/>
      <c r="AS397" s="212"/>
      <c r="AT397" s="212"/>
      <c r="AU397" s="212"/>
      <c r="AV397" s="212"/>
      <c r="AW397" s="212"/>
      <c r="AX397" s="212"/>
      <c r="AY397" s="212"/>
      <c r="AZ397" s="452"/>
      <c r="BA397" s="212"/>
      <c r="BB397" s="212"/>
      <c r="BC397" s="212"/>
      <c r="BD397" s="212"/>
      <c r="BE397" s="212"/>
      <c r="BF397" s="452"/>
    </row>
    <row r="398">
      <c r="A398" s="212"/>
      <c r="B398" s="447"/>
      <c r="C398" s="212"/>
      <c r="D398" s="212"/>
      <c r="E398" s="212"/>
      <c r="F398" s="212"/>
      <c r="G398" s="212"/>
      <c r="H398" s="212"/>
      <c r="I398" s="212"/>
      <c r="J398" s="212"/>
      <c r="K398" s="212"/>
      <c r="L398" s="212"/>
      <c r="M398" s="212"/>
      <c r="N398" s="212"/>
      <c r="O398" s="212"/>
      <c r="P398" s="212"/>
      <c r="Q398" s="212"/>
      <c r="R398" s="451"/>
      <c r="S398" s="451"/>
      <c r="T398" s="212"/>
      <c r="U398" s="451"/>
      <c r="V398" s="451"/>
      <c r="W398" s="451"/>
      <c r="X398" s="451"/>
      <c r="Y398" s="212"/>
      <c r="Z398" s="212"/>
      <c r="AA398" s="212"/>
      <c r="AB398" s="212"/>
      <c r="AC398" s="212"/>
      <c r="AD398" s="212"/>
      <c r="AE398" s="450"/>
      <c r="AF398" s="212"/>
      <c r="AG398" s="212"/>
      <c r="AH398" s="212"/>
      <c r="AI398" s="212"/>
      <c r="AJ398" s="212"/>
      <c r="AK398" s="212"/>
      <c r="AL398" s="212"/>
      <c r="AM398" s="212"/>
      <c r="AN398" s="212"/>
      <c r="AO398" s="212"/>
      <c r="AP398" s="212"/>
      <c r="AQ398" s="212"/>
      <c r="AR398" s="212"/>
      <c r="AS398" s="212"/>
      <c r="AT398" s="212"/>
      <c r="AU398" s="212"/>
      <c r="AV398" s="212"/>
      <c r="AW398" s="212"/>
      <c r="AX398" s="212"/>
      <c r="AY398" s="212"/>
      <c r="AZ398" s="452"/>
      <c r="BA398" s="212"/>
      <c r="BB398" s="212"/>
      <c r="BC398" s="212"/>
      <c r="BD398" s="212"/>
      <c r="BE398" s="212"/>
      <c r="BF398" s="452"/>
    </row>
    <row r="399">
      <c r="A399" s="212"/>
      <c r="B399" s="447"/>
      <c r="C399" s="212"/>
      <c r="D399" s="212"/>
      <c r="E399" s="212"/>
      <c r="F399" s="212"/>
      <c r="G399" s="212"/>
      <c r="H399" s="212"/>
      <c r="I399" s="212"/>
      <c r="J399" s="212"/>
      <c r="K399" s="212"/>
      <c r="L399" s="212"/>
      <c r="M399" s="212"/>
      <c r="N399" s="212"/>
      <c r="O399" s="212"/>
      <c r="P399" s="212"/>
      <c r="Q399" s="212"/>
      <c r="R399" s="451"/>
      <c r="S399" s="451"/>
      <c r="T399" s="212"/>
      <c r="U399" s="451"/>
      <c r="V399" s="451"/>
      <c r="W399" s="451"/>
      <c r="X399" s="451"/>
      <c r="Y399" s="212"/>
      <c r="Z399" s="212"/>
      <c r="AA399" s="212"/>
      <c r="AB399" s="212"/>
      <c r="AC399" s="212"/>
      <c r="AD399" s="212"/>
      <c r="AE399" s="450"/>
      <c r="AF399" s="212"/>
      <c r="AG399" s="212"/>
      <c r="AH399" s="212"/>
      <c r="AI399" s="212"/>
      <c r="AJ399" s="212"/>
      <c r="AK399" s="212"/>
      <c r="AL399" s="212"/>
      <c r="AM399" s="212"/>
      <c r="AN399" s="212"/>
      <c r="AO399" s="212"/>
      <c r="AP399" s="212"/>
      <c r="AQ399" s="212"/>
      <c r="AR399" s="212"/>
      <c r="AS399" s="212"/>
      <c r="AT399" s="212"/>
      <c r="AU399" s="212"/>
      <c r="AV399" s="212"/>
      <c r="AW399" s="212"/>
      <c r="AX399" s="212"/>
      <c r="AY399" s="212"/>
      <c r="AZ399" s="452"/>
      <c r="BA399" s="212"/>
      <c r="BB399" s="212"/>
      <c r="BC399" s="212"/>
      <c r="BD399" s="212"/>
      <c r="BE399" s="212"/>
      <c r="BF399" s="452"/>
    </row>
    <row r="400">
      <c r="A400" s="212"/>
      <c r="B400" s="447"/>
      <c r="C400" s="212"/>
      <c r="D400" s="212"/>
      <c r="E400" s="212"/>
      <c r="F400" s="212"/>
      <c r="G400" s="212"/>
      <c r="H400" s="212"/>
      <c r="I400" s="212"/>
      <c r="J400" s="212"/>
      <c r="K400" s="212"/>
      <c r="L400" s="212"/>
      <c r="M400" s="212"/>
      <c r="N400" s="212"/>
      <c r="O400" s="212"/>
      <c r="P400" s="212"/>
      <c r="Q400" s="212"/>
      <c r="R400" s="451"/>
      <c r="S400" s="451"/>
      <c r="T400" s="212"/>
      <c r="U400" s="451"/>
      <c r="V400" s="451"/>
      <c r="W400" s="451"/>
      <c r="X400" s="451"/>
      <c r="Y400" s="212"/>
      <c r="Z400" s="212"/>
      <c r="AA400" s="212"/>
      <c r="AB400" s="212"/>
      <c r="AC400" s="212"/>
      <c r="AD400" s="212"/>
      <c r="AE400" s="450"/>
      <c r="AF400" s="212"/>
      <c r="AG400" s="212"/>
      <c r="AH400" s="212"/>
      <c r="AI400" s="212"/>
      <c r="AJ400" s="212"/>
      <c r="AK400" s="212"/>
      <c r="AL400" s="212"/>
      <c r="AM400" s="212"/>
      <c r="AN400" s="212"/>
      <c r="AO400" s="212"/>
      <c r="AP400" s="212"/>
      <c r="AQ400" s="212"/>
      <c r="AR400" s="212"/>
      <c r="AS400" s="212"/>
      <c r="AT400" s="212"/>
      <c r="AU400" s="212"/>
      <c r="AV400" s="212"/>
      <c r="AW400" s="212"/>
      <c r="AX400" s="212"/>
      <c r="AY400" s="212"/>
      <c r="AZ400" s="452"/>
      <c r="BA400" s="212"/>
      <c r="BB400" s="212"/>
      <c r="BC400" s="212"/>
      <c r="BD400" s="212"/>
      <c r="BE400" s="212"/>
      <c r="BF400" s="452"/>
    </row>
    <row r="401">
      <c r="A401" s="212"/>
      <c r="B401" s="447"/>
      <c r="C401" s="212"/>
      <c r="D401" s="212"/>
      <c r="E401" s="212"/>
      <c r="F401" s="212"/>
      <c r="G401" s="212"/>
      <c r="H401" s="212"/>
      <c r="I401" s="212"/>
      <c r="J401" s="212"/>
      <c r="K401" s="212"/>
      <c r="L401" s="212"/>
      <c r="M401" s="212"/>
      <c r="N401" s="212"/>
      <c r="O401" s="212"/>
      <c r="P401" s="212"/>
      <c r="Q401" s="212"/>
      <c r="R401" s="451"/>
      <c r="S401" s="451"/>
      <c r="T401" s="212"/>
      <c r="U401" s="451"/>
      <c r="V401" s="451"/>
      <c r="W401" s="451"/>
      <c r="X401" s="451"/>
      <c r="Y401" s="212"/>
      <c r="Z401" s="212"/>
      <c r="AA401" s="212"/>
      <c r="AB401" s="212"/>
      <c r="AC401" s="212"/>
      <c r="AD401" s="212"/>
      <c r="AE401" s="450"/>
      <c r="AF401" s="212"/>
      <c r="AG401" s="212"/>
      <c r="AH401" s="212"/>
      <c r="AI401" s="212"/>
      <c r="AJ401" s="212"/>
      <c r="AK401" s="212"/>
      <c r="AL401" s="212"/>
      <c r="AM401" s="212"/>
      <c r="AN401" s="212"/>
      <c r="AO401" s="212"/>
      <c r="AP401" s="212"/>
      <c r="AQ401" s="212"/>
      <c r="AR401" s="212"/>
      <c r="AS401" s="212"/>
      <c r="AT401" s="212"/>
      <c r="AU401" s="212"/>
      <c r="AV401" s="212"/>
      <c r="AW401" s="212"/>
      <c r="AX401" s="212"/>
      <c r="AY401" s="212"/>
      <c r="AZ401" s="452"/>
      <c r="BA401" s="212"/>
      <c r="BB401" s="212"/>
      <c r="BC401" s="212"/>
      <c r="BD401" s="212"/>
      <c r="BE401" s="212"/>
      <c r="BF401" s="452"/>
    </row>
    <row r="402">
      <c r="A402" s="212"/>
      <c r="B402" s="447"/>
      <c r="C402" s="212"/>
      <c r="D402" s="212"/>
      <c r="E402" s="212"/>
      <c r="F402" s="212"/>
      <c r="G402" s="212"/>
      <c r="H402" s="212"/>
      <c r="I402" s="212"/>
      <c r="J402" s="212"/>
      <c r="K402" s="212"/>
      <c r="L402" s="212"/>
      <c r="M402" s="212"/>
      <c r="N402" s="212"/>
      <c r="O402" s="212"/>
      <c r="P402" s="212"/>
      <c r="Q402" s="212"/>
      <c r="R402" s="451"/>
      <c r="S402" s="451"/>
      <c r="T402" s="212"/>
      <c r="U402" s="451"/>
      <c r="V402" s="451"/>
      <c r="W402" s="451"/>
      <c r="X402" s="451"/>
      <c r="Y402" s="212"/>
      <c r="Z402" s="212"/>
      <c r="AA402" s="212"/>
      <c r="AB402" s="212"/>
      <c r="AC402" s="212"/>
      <c r="AD402" s="212"/>
      <c r="AE402" s="450"/>
      <c r="AF402" s="212"/>
      <c r="AG402" s="212"/>
      <c r="AH402" s="212"/>
      <c r="AI402" s="212"/>
      <c r="AJ402" s="212"/>
      <c r="AK402" s="212"/>
      <c r="AL402" s="212"/>
      <c r="AM402" s="212"/>
      <c r="AN402" s="212"/>
      <c r="AO402" s="212"/>
      <c r="AP402" s="212"/>
      <c r="AQ402" s="212"/>
      <c r="AR402" s="212"/>
      <c r="AS402" s="212"/>
      <c r="AT402" s="212"/>
      <c r="AU402" s="212"/>
      <c r="AV402" s="212"/>
      <c r="AW402" s="212"/>
      <c r="AX402" s="212"/>
      <c r="AY402" s="212"/>
      <c r="AZ402" s="452"/>
      <c r="BA402" s="212"/>
      <c r="BB402" s="212"/>
      <c r="BC402" s="212"/>
      <c r="BD402" s="212"/>
      <c r="BE402" s="212"/>
      <c r="BF402" s="452"/>
    </row>
    <row r="403">
      <c r="A403" s="212"/>
      <c r="B403" s="447"/>
      <c r="C403" s="212"/>
      <c r="D403" s="212"/>
      <c r="E403" s="212"/>
      <c r="F403" s="212"/>
      <c r="G403" s="212"/>
      <c r="H403" s="212"/>
      <c r="I403" s="212"/>
      <c r="J403" s="212"/>
      <c r="K403" s="212"/>
      <c r="L403" s="212"/>
      <c r="M403" s="212"/>
      <c r="N403" s="212"/>
      <c r="O403" s="212"/>
      <c r="P403" s="212"/>
      <c r="Q403" s="212"/>
      <c r="R403" s="451"/>
      <c r="S403" s="451"/>
      <c r="T403" s="212"/>
      <c r="U403" s="451"/>
      <c r="V403" s="451"/>
      <c r="W403" s="451"/>
      <c r="X403" s="451"/>
      <c r="Y403" s="212"/>
      <c r="Z403" s="212"/>
      <c r="AA403" s="212"/>
      <c r="AB403" s="212"/>
      <c r="AC403" s="212"/>
      <c r="AD403" s="212"/>
      <c r="AE403" s="450"/>
      <c r="AF403" s="212"/>
      <c r="AG403" s="212"/>
      <c r="AH403" s="212"/>
      <c r="AI403" s="212"/>
      <c r="AJ403" s="212"/>
      <c r="AK403" s="212"/>
      <c r="AL403" s="212"/>
      <c r="AM403" s="212"/>
      <c r="AN403" s="212"/>
      <c r="AO403" s="212"/>
      <c r="AP403" s="212"/>
      <c r="AQ403" s="212"/>
      <c r="AR403" s="212"/>
      <c r="AS403" s="212"/>
      <c r="AT403" s="212"/>
      <c r="AU403" s="212"/>
      <c r="AV403" s="212"/>
      <c r="AW403" s="212"/>
      <c r="AX403" s="212"/>
      <c r="AY403" s="212"/>
      <c r="AZ403" s="452"/>
      <c r="BA403" s="212"/>
      <c r="BB403" s="212"/>
      <c r="BC403" s="212"/>
      <c r="BD403" s="212"/>
      <c r="BE403" s="212"/>
      <c r="BF403" s="452"/>
    </row>
    <row r="404">
      <c r="A404" s="212"/>
      <c r="B404" s="447"/>
      <c r="C404" s="212"/>
      <c r="D404" s="212"/>
      <c r="E404" s="212"/>
      <c r="F404" s="212"/>
      <c r="G404" s="212"/>
      <c r="H404" s="212"/>
      <c r="I404" s="212"/>
      <c r="J404" s="212"/>
      <c r="K404" s="212"/>
      <c r="L404" s="212"/>
      <c r="M404" s="212"/>
      <c r="N404" s="212"/>
      <c r="O404" s="212"/>
      <c r="P404" s="212"/>
      <c r="Q404" s="212"/>
      <c r="R404" s="451"/>
      <c r="S404" s="451"/>
      <c r="T404" s="212"/>
      <c r="U404" s="451"/>
      <c r="V404" s="451"/>
      <c r="W404" s="451"/>
      <c r="X404" s="451"/>
      <c r="Y404" s="212"/>
      <c r="Z404" s="212"/>
      <c r="AA404" s="212"/>
      <c r="AB404" s="212"/>
      <c r="AC404" s="212"/>
      <c r="AD404" s="212"/>
      <c r="AE404" s="450"/>
      <c r="AF404" s="212"/>
      <c r="AG404" s="212"/>
      <c r="AH404" s="212"/>
      <c r="AI404" s="212"/>
      <c r="AJ404" s="212"/>
      <c r="AK404" s="212"/>
      <c r="AL404" s="212"/>
      <c r="AM404" s="212"/>
      <c r="AN404" s="212"/>
      <c r="AO404" s="212"/>
      <c r="AP404" s="212"/>
      <c r="AQ404" s="212"/>
      <c r="AR404" s="212"/>
      <c r="AS404" s="212"/>
      <c r="AT404" s="212"/>
      <c r="AU404" s="212"/>
      <c r="AV404" s="212"/>
      <c r="AW404" s="212"/>
      <c r="AX404" s="212"/>
      <c r="AY404" s="212"/>
      <c r="AZ404" s="452"/>
      <c r="BA404" s="212"/>
      <c r="BB404" s="212"/>
      <c r="BC404" s="212"/>
      <c r="BD404" s="212"/>
      <c r="BE404" s="212"/>
      <c r="BF404" s="452"/>
    </row>
    <row r="405">
      <c r="A405" s="212"/>
      <c r="B405" s="447"/>
      <c r="C405" s="212"/>
      <c r="D405" s="212"/>
      <c r="E405" s="212"/>
      <c r="F405" s="212"/>
      <c r="G405" s="212"/>
      <c r="H405" s="212"/>
      <c r="I405" s="212"/>
      <c r="J405" s="212"/>
      <c r="K405" s="212"/>
      <c r="L405" s="212"/>
      <c r="M405" s="212"/>
      <c r="N405" s="212"/>
      <c r="O405" s="212"/>
      <c r="P405" s="212"/>
      <c r="Q405" s="212"/>
      <c r="R405" s="451"/>
      <c r="S405" s="451"/>
      <c r="T405" s="212"/>
      <c r="U405" s="451"/>
      <c r="V405" s="451"/>
      <c r="W405" s="451"/>
      <c r="X405" s="451"/>
      <c r="Y405" s="212"/>
      <c r="Z405" s="212"/>
      <c r="AA405" s="212"/>
      <c r="AB405" s="212"/>
      <c r="AC405" s="212"/>
      <c r="AD405" s="212"/>
      <c r="AE405" s="450"/>
      <c r="AF405" s="212"/>
      <c r="AG405" s="212"/>
      <c r="AH405" s="212"/>
      <c r="AI405" s="212"/>
      <c r="AJ405" s="212"/>
      <c r="AK405" s="212"/>
      <c r="AL405" s="212"/>
      <c r="AM405" s="212"/>
      <c r="AN405" s="212"/>
      <c r="AO405" s="212"/>
      <c r="AP405" s="212"/>
      <c r="AQ405" s="212"/>
      <c r="AR405" s="212"/>
      <c r="AS405" s="212"/>
      <c r="AT405" s="212"/>
      <c r="AU405" s="212"/>
      <c r="AV405" s="212"/>
      <c r="AW405" s="212"/>
      <c r="AX405" s="212"/>
      <c r="AY405" s="212"/>
      <c r="AZ405" s="452"/>
      <c r="BA405" s="212"/>
      <c r="BB405" s="212"/>
      <c r="BC405" s="212"/>
      <c r="BD405" s="212"/>
      <c r="BE405" s="212"/>
      <c r="BF405" s="452"/>
    </row>
    <row r="406">
      <c r="A406" s="212"/>
      <c r="B406" s="447"/>
      <c r="C406" s="212"/>
      <c r="D406" s="212"/>
      <c r="E406" s="212"/>
      <c r="F406" s="212"/>
      <c r="G406" s="212"/>
      <c r="H406" s="212"/>
      <c r="I406" s="212"/>
      <c r="J406" s="212"/>
      <c r="K406" s="212"/>
      <c r="L406" s="212"/>
      <c r="M406" s="212"/>
      <c r="N406" s="212"/>
      <c r="O406" s="212"/>
      <c r="P406" s="212"/>
      <c r="Q406" s="212"/>
      <c r="R406" s="451"/>
      <c r="S406" s="451"/>
      <c r="T406" s="212"/>
      <c r="U406" s="451"/>
      <c r="V406" s="451"/>
      <c r="W406" s="451"/>
      <c r="X406" s="451"/>
      <c r="Y406" s="212"/>
      <c r="Z406" s="212"/>
      <c r="AA406" s="212"/>
      <c r="AB406" s="212"/>
      <c r="AC406" s="212"/>
      <c r="AD406" s="212"/>
      <c r="AE406" s="450"/>
      <c r="AF406" s="212"/>
      <c r="AG406" s="212"/>
      <c r="AH406" s="212"/>
      <c r="AI406" s="212"/>
      <c r="AJ406" s="212"/>
      <c r="AK406" s="212"/>
      <c r="AL406" s="212"/>
      <c r="AM406" s="212"/>
      <c r="AN406" s="212"/>
      <c r="AO406" s="212"/>
      <c r="AP406" s="212"/>
      <c r="AQ406" s="212"/>
      <c r="AR406" s="212"/>
      <c r="AS406" s="212"/>
      <c r="AT406" s="212"/>
      <c r="AU406" s="212"/>
      <c r="AV406" s="212"/>
      <c r="AW406" s="212"/>
      <c r="AX406" s="212"/>
      <c r="AY406" s="212"/>
      <c r="AZ406" s="452"/>
      <c r="BA406" s="212"/>
      <c r="BB406" s="212"/>
      <c r="BC406" s="212"/>
      <c r="BD406" s="212"/>
      <c r="BE406" s="212"/>
      <c r="BF406" s="452"/>
    </row>
    <row r="407">
      <c r="A407" s="212"/>
      <c r="B407" s="447"/>
      <c r="C407" s="212"/>
      <c r="D407" s="212"/>
      <c r="E407" s="212"/>
      <c r="F407" s="212"/>
      <c r="G407" s="212"/>
      <c r="H407" s="212"/>
      <c r="I407" s="212"/>
      <c r="J407" s="212"/>
      <c r="K407" s="212"/>
      <c r="L407" s="212"/>
      <c r="M407" s="212"/>
      <c r="N407" s="212"/>
      <c r="O407" s="212"/>
      <c r="P407" s="212"/>
      <c r="Q407" s="212"/>
      <c r="R407" s="451"/>
      <c r="S407" s="451"/>
      <c r="T407" s="212"/>
      <c r="U407" s="451"/>
      <c r="V407" s="451"/>
      <c r="W407" s="451"/>
      <c r="X407" s="451"/>
      <c r="Y407" s="212"/>
      <c r="Z407" s="212"/>
      <c r="AA407" s="212"/>
      <c r="AB407" s="212"/>
      <c r="AC407" s="212"/>
      <c r="AD407" s="212"/>
      <c r="AE407" s="450"/>
      <c r="AF407" s="212"/>
      <c r="AG407" s="212"/>
      <c r="AH407" s="212"/>
      <c r="AI407" s="212"/>
      <c r="AJ407" s="212"/>
      <c r="AK407" s="212"/>
      <c r="AL407" s="212"/>
      <c r="AM407" s="212"/>
      <c r="AN407" s="212"/>
      <c r="AO407" s="212"/>
      <c r="AP407" s="212"/>
      <c r="AQ407" s="212"/>
      <c r="AR407" s="212"/>
      <c r="AS407" s="212"/>
      <c r="AT407" s="212"/>
      <c r="AU407" s="212"/>
      <c r="AV407" s="212"/>
      <c r="AW407" s="212"/>
      <c r="AX407" s="212"/>
      <c r="AY407" s="212"/>
      <c r="AZ407" s="452"/>
      <c r="BA407" s="212"/>
      <c r="BB407" s="212"/>
      <c r="BC407" s="212"/>
      <c r="BD407" s="212"/>
      <c r="BE407" s="212"/>
      <c r="BF407" s="452"/>
    </row>
    <row r="408">
      <c r="A408" s="212"/>
      <c r="B408" s="447"/>
      <c r="C408" s="212"/>
      <c r="D408" s="212"/>
      <c r="E408" s="212"/>
      <c r="F408" s="212"/>
      <c r="G408" s="212"/>
      <c r="H408" s="212"/>
      <c r="I408" s="212"/>
      <c r="J408" s="212"/>
      <c r="K408" s="212"/>
      <c r="L408" s="212"/>
      <c r="M408" s="212"/>
      <c r="N408" s="212"/>
      <c r="O408" s="212"/>
      <c r="P408" s="212"/>
      <c r="Q408" s="212"/>
      <c r="R408" s="451"/>
      <c r="S408" s="451"/>
      <c r="T408" s="212"/>
      <c r="U408" s="451"/>
      <c r="V408" s="451"/>
      <c r="W408" s="451"/>
      <c r="X408" s="451"/>
      <c r="Y408" s="212"/>
      <c r="Z408" s="212"/>
      <c r="AA408" s="212"/>
      <c r="AB408" s="212"/>
      <c r="AC408" s="212"/>
      <c r="AD408" s="212"/>
      <c r="AE408" s="450"/>
      <c r="AF408" s="212"/>
      <c r="AG408" s="212"/>
      <c r="AH408" s="212"/>
      <c r="AI408" s="212"/>
      <c r="AJ408" s="212"/>
      <c r="AK408" s="212"/>
      <c r="AL408" s="212"/>
      <c r="AM408" s="212"/>
      <c r="AN408" s="212"/>
      <c r="AO408" s="212"/>
      <c r="AP408" s="212"/>
      <c r="AQ408" s="212"/>
      <c r="AR408" s="212"/>
      <c r="AS408" s="212"/>
      <c r="AT408" s="212"/>
      <c r="AU408" s="212"/>
      <c r="AV408" s="212"/>
      <c r="AW408" s="212"/>
      <c r="AX408" s="212"/>
      <c r="AY408" s="212"/>
      <c r="AZ408" s="452"/>
      <c r="BA408" s="212"/>
      <c r="BB408" s="212"/>
      <c r="BC408" s="212"/>
      <c r="BD408" s="212"/>
      <c r="BE408" s="212"/>
      <c r="BF408" s="452"/>
    </row>
    <row r="409">
      <c r="A409" s="212"/>
      <c r="B409" s="447"/>
      <c r="C409" s="212"/>
      <c r="D409" s="212"/>
      <c r="E409" s="212"/>
      <c r="F409" s="212"/>
      <c r="G409" s="212"/>
      <c r="H409" s="212"/>
      <c r="I409" s="212"/>
      <c r="J409" s="212"/>
      <c r="K409" s="212"/>
      <c r="L409" s="212"/>
      <c r="M409" s="212"/>
      <c r="N409" s="212"/>
      <c r="O409" s="212"/>
      <c r="P409" s="212"/>
      <c r="Q409" s="212"/>
      <c r="R409" s="451"/>
      <c r="S409" s="451"/>
      <c r="T409" s="212"/>
      <c r="U409" s="451"/>
      <c r="V409" s="451"/>
      <c r="W409" s="451"/>
      <c r="X409" s="451"/>
      <c r="Y409" s="212"/>
      <c r="Z409" s="212"/>
      <c r="AA409" s="212"/>
      <c r="AB409" s="212"/>
      <c r="AC409" s="212"/>
      <c r="AD409" s="212"/>
      <c r="AE409" s="450"/>
      <c r="AF409" s="212"/>
      <c r="AG409" s="212"/>
      <c r="AH409" s="212"/>
      <c r="AI409" s="212"/>
      <c r="AJ409" s="212"/>
      <c r="AK409" s="212"/>
      <c r="AL409" s="212"/>
      <c r="AM409" s="212"/>
      <c r="AN409" s="212"/>
      <c r="AO409" s="212"/>
      <c r="AP409" s="212"/>
      <c r="AQ409" s="212"/>
      <c r="AR409" s="212"/>
      <c r="AS409" s="212"/>
      <c r="AT409" s="212"/>
      <c r="AU409" s="212"/>
      <c r="AV409" s="212"/>
      <c r="AW409" s="212"/>
      <c r="AX409" s="212"/>
      <c r="AY409" s="212"/>
      <c r="AZ409" s="452"/>
      <c r="BA409" s="212"/>
      <c r="BB409" s="212"/>
      <c r="BC409" s="212"/>
      <c r="BD409" s="212"/>
      <c r="BE409" s="212"/>
      <c r="BF409" s="452"/>
    </row>
    <row r="410">
      <c r="A410" s="212"/>
      <c r="B410" s="447"/>
      <c r="C410" s="212"/>
      <c r="D410" s="212"/>
      <c r="E410" s="212"/>
      <c r="F410" s="212"/>
      <c r="G410" s="212"/>
      <c r="H410" s="212"/>
      <c r="I410" s="212"/>
      <c r="J410" s="212"/>
      <c r="K410" s="212"/>
      <c r="L410" s="212"/>
      <c r="M410" s="212"/>
      <c r="N410" s="212"/>
      <c r="O410" s="212"/>
      <c r="P410" s="212"/>
      <c r="Q410" s="212"/>
      <c r="R410" s="451"/>
      <c r="S410" s="451"/>
      <c r="T410" s="212"/>
      <c r="U410" s="451"/>
      <c r="V410" s="451"/>
      <c r="W410" s="451"/>
      <c r="X410" s="451"/>
      <c r="Y410" s="212"/>
      <c r="Z410" s="212"/>
      <c r="AA410" s="212"/>
      <c r="AB410" s="212"/>
      <c r="AC410" s="212"/>
      <c r="AD410" s="212"/>
      <c r="AE410" s="450"/>
      <c r="AF410" s="212"/>
      <c r="AG410" s="212"/>
      <c r="AH410" s="212"/>
      <c r="AI410" s="212"/>
      <c r="AJ410" s="212"/>
      <c r="AK410" s="212"/>
      <c r="AL410" s="212"/>
      <c r="AM410" s="212"/>
      <c r="AN410" s="212"/>
      <c r="AO410" s="212"/>
      <c r="AP410" s="212"/>
      <c r="AQ410" s="212"/>
      <c r="AR410" s="212"/>
      <c r="AS410" s="212"/>
      <c r="AT410" s="212"/>
      <c r="AU410" s="212"/>
      <c r="AV410" s="212"/>
      <c r="AW410" s="212"/>
      <c r="AX410" s="212"/>
      <c r="AY410" s="212"/>
      <c r="AZ410" s="452"/>
      <c r="BA410" s="212"/>
      <c r="BB410" s="212"/>
      <c r="BC410" s="212"/>
      <c r="BD410" s="212"/>
      <c r="BE410" s="212"/>
      <c r="BF410" s="452"/>
    </row>
    <row r="411">
      <c r="A411" s="212"/>
      <c r="B411" s="447"/>
      <c r="C411" s="212"/>
      <c r="D411" s="212"/>
      <c r="E411" s="212"/>
      <c r="F411" s="212"/>
      <c r="G411" s="212"/>
      <c r="H411" s="212"/>
      <c r="I411" s="212"/>
      <c r="J411" s="212"/>
      <c r="K411" s="212"/>
      <c r="L411" s="212"/>
      <c r="M411" s="212"/>
      <c r="N411" s="212"/>
      <c r="O411" s="212"/>
      <c r="P411" s="212"/>
      <c r="Q411" s="212"/>
      <c r="R411" s="451"/>
      <c r="S411" s="451"/>
      <c r="T411" s="212"/>
      <c r="U411" s="451"/>
      <c r="V411" s="451"/>
      <c r="W411" s="451"/>
      <c r="X411" s="451"/>
      <c r="Y411" s="212"/>
      <c r="Z411" s="212"/>
      <c r="AA411" s="212"/>
      <c r="AB411" s="212"/>
      <c r="AC411" s="212"/>
      <c r="AD411" s="212"/>
      <c r="AE411" s="450"/>
      <c r="AF411" s="212"/>
      <c r="AG411" s="212"/>
      <c r="AH411" s="212"/>
      <c r="AI411" s="212"/>
      <c r="AJ411" s="212"/>
      <c r="AK411" s="212"/>
      <c r="AL411" s="212"/>
      <c r="AM411" s="212"/>
      <c r="AN411" s="212"/>
      <c r="AO411" s="212"/>
      <c r="AP411" s="212"/>
      <c r="AQ411" s="212"/>
      <c r="AR411" s="212"/>
      <c r="AS411" s="212"/>
      <c r="AT411" s="212"/>
      <c r="AU411" s="212"/>
      <c r="AV411" s="212"/>
      <c r="AW411" s="212"/>
      <c r="AX411" s="212"/>
      <c r="AY411" s="212"/>
      <c r="AZ411" s="452"/>
      <c r="BA411" s="212"/>
      <c r="BB411" s="212"/>
      <c r="BC411" s="212"/>
      <c r="BD411" s="212"/>
      <c r="BE411" s="212"/>
      <c r="BF411" s="452"/>
    </row>
    <row r="412">
      <c r="A412" s="212"/>
      <c r="B412" s="447"/>
      <c r="C412" s="212"/>
      <c r="D412" s="212"/>
      <c r="E412" s="212"/>
      <c r="F412" s="212"/>
      <c r="G412" s="212"/>
      <c r="H412" s="212"/>
      <c r="I412" s="212"/>
      <c r="J412" s="212"/>
      <c r="K412" s="212"/>
      <c r="L412" s="212"/>
      <c r="M412" s="212"/>
      <c r="N412" s="212"/>
      <c r="O412" s="212"/>
      <c r="P412" s="212"/>
      <c r="Q412" s="212"/>
      <c r="R412" s="451"/>
      <c r="S412" s="451"/>
      <c r="T412" s="212"/>
      <c r="U412" s="451"/>
      <c r="V412" s="451"/>
      <c r="W412" s="451"/>
      <c r="X412" s="451"/>
      <c r="Y412" s="212"/>
      <c r="Z412" s="212"/>
      <c r="AA412" s="212"/>
      <c r="AB412" s="212"/>
      <c r="AC412" s="212"/>
      <c r="AD412" s="212"/>
      <c r="AE412" s="450"/>
      <c r="AF412" s="212"/>
      <c r="AG412" s="212"/>
      <c r="AH412" s="212"/>
      <c r="AI412" s="212"/>
      <c r="AJ412" s="212"/>
      <c r="AK412" s="212"/>
      <c r="AL412" s="212"/>
      <c r="AM412" s="212"/>
      <c r="AN412" s="212"/>
      <c r="AO412" s="212"/>
      <c r="AP412" s="212"/>
      <c r="AQ412" s="212"/>
      <c r="AR412" s="212"/>
      <c r="AS412" s="212"/>
      <c r="AT412" s="212"/>
      <c r="AU412" s="212"/>
      <c r="AV412" s="212"/>
      <c r="AW412" s="212"/>
      <c r="AX412" s="212"/>
      <c r="AY412" s="212"/>
      <c r="AZ412" s="452"/>
      <c r="BA412" s="212"/>
      <c r="BB412" s="212"/>
      <c r="BC412" s="212"/>
      <c r="BD412" s="212"/>
      <c r="BE412" s="212"/>
      <c r="BF412" s="452"/>
    </row>
    <row r="413">
      <c r="A413" s="212"/>
      <c r="B413" s="447"/>
      <c r="C413" s="212"/>
      <c r="D413" s="212"/>
      <c r="E413" s="212"/>
      <c r="F413" s="212"/>
      <c r="G413" s="212"/>
      <c r="H413" s="212"/>
      <c r="I413" s="212"/>
      <c r="J413" s="212"/>
      <c r="K413" s="212"/>
      <c r="L413" s="212"/>
      <c r="M413" s="212"/>
      <c r="N413" s="212"/>
      <c r="O413" s="212"/>
      <c r="P413" s="212"/>
      <c r="Q413" s="212"/>
      <c r="R413" s="451"/>
      <c r="S413" s="451"/>
      <c r="T413" s="212"/>
      <c r="U413" s="451"/>
      <c r="V413" s="451"/>
      <c r="W413" s="451"/>
      <c r="X413" s="451"/>
      <c r="Y413" s="212"/>
      <c r="Z413" s="212"/>
      <c r="AA413" s="212"/>
      <c r="AB413" s="212"/>
      <c r="AC413" s="212"/>
      <c r="AD413" s="212"/>
      <c r="AE413" s="450"/>
      <c r="AF413" s="212"/>
      <c r="AG413" s="212"/>
      <c r="AH413" s="212"/>
      <c r="AI413" s="212"/>
      <c r="AJ413" s="212"/>
      <c r="AK413" s="212"/>
      <c r="AL413" s="212"/>
      <c r="AM413" s="212"/>
      <c r="AN413" s="212"/>
      <c r="AO413" s="212"/>
      <c r="AP413" s="212"/>
      <c r="AQ413" s="212"/>
      <c r="AR413" s="212"/>
      <c r="AS413" s="212"/>
      <c r="AT413" s="212"/>
      <c r="AU413" s="212"/>
      <c r="AV413" s="212"/>
      <c r="AW413" s="212"/>
      <c r="AX413" s="212"/>
      <c r="AY413" s="212"/>
      <c r="AZ413" s="452"/>
      <c r="BA413" s="212"/>
      <c r="BB413" s="212"/>
      <c r="BC413" s="212"/>
      <c r="BD413" s="212"/>
      <c r="BE413" s="212"/>
      <c r="BF413" s="452"/>
    </row>
    <row r="414">
      <c r="A414" s="212"/>
      <c r="B414" s="447"/>
      <c r="C414" s="212"/>
      <c r="D414" s="212"/>
      <c r="E414" s="212"/>
      <c r="F414" s="212"/>
      <c r="G414" s="212"/>
      <c r="H414" s="212"/>
      <c r="I414" s="212"/>
      <c r="J414" s="212"/>
      <c r="K414" s="212"/>
      <c r="L414" s="212"/>
      <c r="M414" s="212"/>
      <c r="N414" s="212"/>
      <c r="O414" s="212"/>
      <c r="P414" s="212"/>
      <c r="Q414" s="212"/>
      <c r="R414" s="451"/>
      <c r="S414" s="451"/>
      <c r="T414" s="212"/>
      <c r="U414" s="451"/>
      <c r="V414" s="451"/>
      <c r="W414" s="451"/>
      <c r="X414" s="451"/>
      <c r="Y414" s="212"/>
      <c r="Z414" s="212"/>
      <c r="AA414" s="212"/>
      <c r="AB414" s="212"/>
      <c r="AC414" s="212"/>
      <c r="AD414" s="212"/>
      <c r="AE414" s="450"/>
      <c r="AF414" s="212"/>
      <c r="AG414" s="212"/>
      <c r="AH414" s="212"/>
      <c r="AI414" s="212"/>
      <c r="AJ414" s="212"/>
      <c r="AK414" s="212"/>
      <c r="AL414" s="212"/>
      <c r="AM414" s="212"/>
      <c r="AN414" s="212"/>
      <c r="AO414" s="212"/>
      <c r="AP414" s="212"/>
      <c r="AQ414" s="212"/>
      <c r="AR414" s="212"/>
      <c r="AS414" s="212"/>
      <c r="AT414" s="212"/>
      <c r="AU414" s="212"/>
      <c r="AV414" s="212"/>
      <c r="AW414" s="212"/>
      <c r="AX414" s="212"/>
      <c r="AY414" s="212"/>
      <c r="AZ414" s="452"/>
      <c r="BA414" s="212"/>
      <c r="BB414" s="212"/>
      <c r="BC414" s="212"/>
      <c r="BD414" s="212"/>
      <c r="BE414" s="212"/>
      <c r="BF414" s="452"/>
    </row>
    <row r="415">
      <c r="A415" s="212"/>
      <c r="B415" s="447"/>
      <c r="C415" s="212"/>
      <c r="D415" s="212"/>
      <c r="E415" s="212"/>
      <c r="F415" s="212"/>
      <c r="G415" s="212"/>
      <c r="H415" s="212"/>
      <c r="I415" s="212"/>
      <c r="J415" s="212"/>
      <c r="K415" s="212"/>
      <c r="L415" s="212"/>
      <c r="M415" s="212"/>
      <c r="N415" s="212"/>
      <c r="O415" s="212"/>
      <c r="P415" s="212"/>
      <c r="Q415" s="212"/>
      <c r="R415" s="451"/>
      <c r="S415" s="451"/>
      <c r="T415" s="212"/>
      <c r="U415" s="451"/>
      <c r="V415" s="451"/>
      <c r="W415" s="451"/>
      <c r="X415" s="451"/>
      <c r="Y415" s="212"/>
      <c r="Z415" s="212"/>
      <c r="AA415" s="212"/>
      <c r="AB415" s="212"/>
      <c r="AC415" s="212"/>
      <c r="AD415" s="212"/>
      <c r="AE415" s="450"/>
      <c r="AF415" s="212"/>
      <c r="AG415" s="212"/>
      <c r="AH415" s="212"/>
      <c r="AI415" s="212"/>
      <c r="AJ415" s="212"/>
      <c r="AK415" s="212"/>
      <c r="AL415" s="212"/>
      <c r="AM415" s="212"/>
      <c r="AN415" s="212"/>
      <c r="AO415" s="212"/>
      <c r="AP415" s="212"/>
      <c r="AQ415" s="212"/>
      <c r="AR415" s="212"/>
      <c r="AS415" s="212"/>
      <c r="AT415" s="212"/>
      <c r="AU415" s="212"/>
      <c r="AV415" s="212"/>
      <c r="AW415" s="212"/>
      <c r="AX415" s="212"/>
      <c r="AY415" s="212"/>
      <c r="AZ415" s="452"/>
      <c r="BA415" s="212"/>
      <c r="BB415" s="212"/>
      <c r="BC415" s="212"/>
      <c r="BD415" s="212"/>
      <c r="BE415" s="212"/>
      <c r="BF415" s="452"/>
    </row>
    <row r="416">
      <c r="A416" s="212"/>
      <c r="B416" s="447"/>
      <c r="C416" s="212"/>
      <c r="D416" s="212"/>
      <c r="E416" s="212"/>
      <c r="F416" s="212"/>
      <c r="G416" s="212"/>
      <c r="H416" s="212"/>
      <c r="I416" s="212"/>
      <c r="J416" s="212"/>
      <c r="K416" s="212"/>
      <c r="L416" s="212"/>
      <c r="M416" s="212"/>
      <c r="N416" s="212"/>
      <c r="O416" s="212"/>
      <c r="P416" s="212"/>
      <c r="Q416" s="212"/>
      <c r="R416" s="451"/>
      <c r="S416" s="451"/>
      <c r="T416" s="212"/>
      <c r="U416" s="451"/>
      <c r="V416" s="451"/>
      <c r="W416" s="451"/>
      <c r="X416" s="451"/>
      <c r="Y416" s="212"/>
      <c r="Z416" s="212"/>
      <c r="AA416" s="212"/>
      <c r="AB416" s="212"/>
      <c r="AC416" s="212"/>
      <c r="AD416" s="212"/>
      <c r="AE416" s="450"/>
      <c r="AF416" s="212"/>
      <c r="AG416" s="212"/>
      <c r="AH416" s="212"/>
      <c r="AI416" s="212"/>
      <c r="AJ416" s="212"/>
      <c r="AK416" s="212"/>
      <c r="AL416" s="212"/>
      <c r="AM416" s="212"/>
      <c r="AN416" s="212"/>
      <c r="AO416" s="212"/>
      <c r="AP416" s="212"/>
      <c r="AQ416" s="212"/>
      <c r="AR416" s="212"/>
      <c r="AS416" s="212"/>
      <c r="AT416" s="212"/>
      <c r="AU416" s="212"/>
      <c r="AV416" s="212"/>
      <c r="AW416" s="212"/>
      <c r="AX416" s="212"/>
      <c r="AY416" s="212"/>
      <c r="AZ416" s="452"/>
      <c r="BA416" s="212"/>
      <c r="BB416" s="212"/>
      <c r="BC416" s="212"/>
      <c r="BD416" s="212"/>
      <c r="BE416" s="212"/>
      <c r="BF416" s="452"/>
    </row>
    <row r="417">
      <c r="A417" s="212"/>
      <c r="B417" s="447"/>
      <c r="C417" s="212"/>
      <c r="D417" s="212"/>
      <c r="E417" s="212"/>
      <c r="F417" s="212"/>
      <c r="G417" s="212"/>
      <c r="H417" s="212"/>
      <c r="I417" s="212"/>
      <c r="J417" s="212"/>
      <c r="K417" s="212"/>
      <c r="L417" s="212"/>
      <c r="M417" s="212"/>
      <c r="N417" s="212"/>
      <c r="O417" s="212"/>
      <c r="P417" s="212"/>
      <c r="Q417" s="212"/>
      <c r="R417" s="451"/>
      <c r="S417" s="451"/>
      <c r="T417" s="212"/>
      <c r="U417" s="451"/>
      <c r="V417" s="451"/>
      <c r="W417" s="451"/>
      <c r="X417" s="451"/>
      <c r="Y417" s="212"/>
      <c r="Z417" s="212"/>
      <c r="AA417" s="212"/>
      <c r="AB417" s="212"/>
      <c r="AC417" s="212"/>
      <c r="AD417" s="212"/>
      <c r="AE417" s="450"/>
      <c r="AF417" s="212"/>
      <c r="AG417" s="212"/>
      <c r="AH417" s="212"/>
      <c r="AI417" s="212"/>
      <c r="AJ417" s="212"/>
      <c r="AK417" s="212"/>
      <c r="AL417" s="212"/>
      <c r="AM417" s="212"/>
      <c r="AN417" s="212"/>
      <c r="AO417" s="212"/>
      <c r="AP417" s="212"/>
      <c r="AQ417" s="212"/>
      <c r="AR417" s="212"/>
      <c r="AS417" s="212"/>
      <c r="AT417" s="212"/>
      <c r="AU417" s="212"/>
      <c r="AV417" s="212"/>
      <c r="AW417" s="212"/>
      <c r="AX417" s="212"/>
      <c r="AY417" s="212"/>
      <c r="AZ417" s="452"/>
      <c r="BA417" s="212"/>
      <c r="BB417" s="212"/>
      <c r="BC417" s="212"/>
      <c r="BD417" s="212"/>
      <c r="BE417" s="212"/>
      <c r="BF417" s="452"/>
    </row>
    <row r="418">
      <c r="A418" s="212"/>
      <c r="B418" s="447"/>
      <c r="C418" s="212"/>
      <c r="D418" s="212"/>
      <c r="E418" s="212"/>
      <c r="F418" s="212"/>
      <c r="G418" s="212"/>
      <c r="H418" s="212"/>
      <c r="I418" s="212"/>
      <c r="J418" s="212"/>
      <c r="K418" s="212"/>
      <c r="L418" s="212"/>
      <c r="M418" s="212"/>
      <c r="N418" s="212"/>
      <c r="O418" s="212"/>
      <c r="P418" s="212"/>
      <c r="Q418" s="212"/>
      <c r="R418" s="451"/>
      <c r="S418" s="451"/>
      <c r="T418" s="212"/>
      <c r="U418" s="451"/>
      <c r="V418" s="451"/>
      <c r="W418" s="451"/>
      <c r="X418" s="451"/>
      <c r="Y418" s="212"/>
      <c r="Z418" s="212"/>
      <c r="AA418" s="212"/>
      <c r="AB418" s="212"/>
      <c r="AC418" s="212"/>
      <c r="AD418" s="212"/>
      <c r="AE418" s="450"/>
      <c r="AF418" s="212"/>
      <c r="AG418" s="212"/>
      <c r="AH418" s="212"/>
      <c r="AI418" s="212"/>
      <c r="AJ418" s="212"/>
      <c r="AK418" s="212"/>
      <c r="AL418" s="212"/>
      <c r="AM418" s="212"/>
      <c r="AN418" s="212"/>
      <c r="AO418" s="212"/>
      <c r="AP418" s="212"/>
      <c r="AQ418" s="212"/>
      <c r="AR418" s="212"/>
      <c r="AS418" s="212"/>
      <c r="AT418" s="212"/>
      <c r="AU418" s="212"/>
      <c r="AV418" s="212"/>
      <c r="AW418" s="212"/>
      <c r="AX418" s="212"/>
      <c r="AY418" s="212"/>
      <c r="AZ418" s="452"/>
      <c r="BA418" s="212"/>
      <c r="BB418" s="212"/>
      <c r="BC418" s="212"/>
      <c r="BD418" s="212"/>
      <c r="BE418" s="212"/>
      <c r="BF418" s="452"/>
    </row>
    <row r="419">
      <c r="A419" s="212"/>
      <c r="B419" s="447"/>
      <c r="C419" s="212"/>
      <c r="D419" s="212"/>
      <c r="E419" s="212"/>
      <c r="F419" s="212"/>
      <c r="G419" s="212"/>
      <c r="H419" s="212"/>
      <c r="I419" s="212"/>
      <c r="J419" s="212"/>
      <c r="K419" s="212"/>
      <c r="L419" s="212"/>
      <c r="M419" s="212"/>
      <c r="N419" s="212"/>
      <c r="O419" s="212"/>
      <c r="P419" s="212"/>
      <c r="Q419" s="212"/>
      <c r="R419" s="451"/>
      <c r="S419" s="451"/>
      <c r="T419" s="212"/>
      <c r="U419" s="451"/>
      <c r="V419" s="451"/>
      <c r="W419" s="451"/>
      <c r="X419" s="451"/>
      <c r="Y419" s="212"/>
      <c r="Z419" s="212"/>
      <c r="AA419" s="212"/>
      <c r="AB419" s="212"/>
      <c r="AC419" s="212"/>
      <c r="AD419" s="212"/>
      <c r="AE419" s="450"/>
      <c r="AF419" s="212"/>
      <c r="AG419" s="212"/>
      <c r="AH419" s="212"/>
      <c r="AI419" s="212"/>
      <c r="AJ419" s="212"/>
      <c r="AK419" s="212"/>
      <c r="AL419" s="212"/>
      <c r="AM419" s="212"/>
      <c r="AN419" s="212"/>
      <c r="AO419" s="212"/>
      <c r="AP419" s="212"/>
      <c r="AQ419" s="212"/>
      <c r="AR419" s="212"/>
      <c r="AS419" s="212"/>
      <c r="AT419" s="212"/>
      <c r="AU419" s="212"/>
      <c r="AV419" s="212"/>
      <c r="AW419" s="212"/>
      <c r="AX419" s="212"/>
      <c r="AY419" s="212"/>
      <c r="AZ419" s="452"/>
      <c r="BA419" s="212"/>
      <c r="BB419" s="212"/>
      <c r="BC419" s="212"/>
      <c r="BD419" s="212"/>
      <c r="BE419" s="212"/>
      <c r="BF419" s="452"/>
    </row>
    <row r="420">
      <c r="A420" s="212"/>
      <c r="B420" s="447"/>
      <c r="C420" s="212"/>
      <c r="D420" s="212"/>
      <c r="E420" s="212"/>
      <c r="F420" s="212"/>
      <c r="G420" s="212"/>
      <c r="H420" s="212"/>
      <c r="I420" s="212"/>
      <c r="J420" s="212"/>
      <c r="K420" s="212"/>
      <c r="L420" s="212"/>
      <c r="M420" s="212"/>
      <c r="N420" s="212"/>
      <c r="O420" s="212"/>
      <c r="P420" s="212"/>
      <c r="Q420" s="212"/>
      <c r="R420" s="451"/>
      <c r="S420" s="451"/>
      <c r="T420" s="212"/>
      <c r="U420" s="451"/>
      <c r="V420" s="451"/>
      <c r="W420" s="451"/>
      <c r="X420" s="451"/>
      <c r="Y420" s="212"/>
      <c r="Z420" s="212"/>
      <c r="AA420" s="212"/>
      <c r="AB420" s="212"/>
      <c r="AC420" s="212"/>
      <c r="AD420" s="212"/>
      <c r="AE420" s="450"/>
      <c r="AF420" s="212"/>
      <c r="AG420" s="212"/>
      <c r="AH420" s="212"/>
      <c r="AI420" s="212"/>
      <c r="AJ420" s="212"/>
      <c r="AK420" s="212"/>
      <c r="AL420" s="212"/>
      <c r="AM420" s="212"/>
      <c r="AN420" s="212"/>
      <c r="AO420" s="212"/>
      <c r="AP420" s="212"/>
      <c r="AQ420" s="212"/>
      <c r="AR420" s="212"/>
      <c r="AS420" s="212"/>
      <c r="AT420" s="212"/>
      <c r="AU420" s="212"/>
      <c r="AV420" s="212"/>
      <c r="AW420" s="212"/>
      <c r="AX420" s="212"/>
      <c r="AY420" s="212"/>
      <c r="AZ420" s="452"/>
      <c r="BA420" s="212"/>
      <c r="BB420" s="212"/>
      <c r="BC420" s="212"/>
      <c r="BD420" s="212"/>
      <c r="BE420" s="212"/>
      <c r="BF420" s="452"/>
    </row>
    <row r="421">
      <c r="A421" s="212"/>
      <c r="B421" s="447"/>
      <c r="C421" s="212"/>
      <c r="D421" s="212"/>
      <c r="E421" s="212"/>
      <c r="F421" s="212"/>
      <c r="G421" s="212"/>
      <c r="H421" s="212"/>
      <c r="I421" s="212"/>
      <c r="J421" s="212"/>
      <c r="K421" s="212"/>
      <c r="L421" s="212"/>
      <c r="M421" s="212"/>
      <c r="N421" s="212"/>
      <c r="O421" s="212"/>
      <c r="P421" s="212"/>
      <c r="Q421" s="212"/>
      <c r="R421" s="451"/>
      <c r="S421" s="451"/>
      <c r="T421" s="212"/>
      <c r="U421" s="451"/>
      <c r="V421" s="451"/>
      <c r="W421" s="451"/>
      <c r="X421" s="451"/>
      <c r="Y421" s="212"/>
      <c r="Z421" s="212"/>
      <c r="AA421" s="212"/>
      <c r="AB421" s="212"/>
      <c r="AC421" s="212"/>
      <c r="AD421" s="212"/>
      <c r="AE421" s="450"/>
      <c r="AF421" s="212"/>
      <c r="AG421" s="212"/>
      <c r="AH421" s="212"/>
      <c r="AI421" s="212"/>
      <c r="AJ421" s="212"/>
      <c r="AK421" s="212"/>
      <c r="AL421" s="212"/>
      <c r="AM421" s="212"/>
      <c r="AN421" s="212"/>
      <c r="AO421" s="212"/>
      <c r="AP421" s="212"/>
      <c r="AQ421" s="212"/>
      <c r="AR421" s="212"/>
      <c r="AS421" s="212"/>
      <c r="AT421" s="212"/>
      <c r="AU421" s="212"/>
      <c r="AV421" s="212"/>
      <c r="AW421" s="212"/>
      <c r="AX421" s="212"/>
      <c r="AY421" s="212"/>
      <c r="AZ421" s="452"/>
      <c r="BA421" s="212"/>
      <c r="BB421" s="212"/>
      <c r="BC421" s="212"/>
      <c r="BD421" s="212"/>
      <c r="BE421" s="212"/>
      <c r="BF421" s="452"/>
    </row>
    <row r="422">
      <c r="A422" s="212"/>
      <c r="B422" s="447"/>
      <c r="C422" s="212"/>
      <c r="D422" s="212"/>
      <c r="E422" s="212"/>
      <c r="F422" s="212"/>
      <c r="G422" s="212"/>
      <c r="H422" s="212"/>
      <c r="I422" s="212"/>
      <c r="J422" s="212"/>
      <c r="K422" s="212"/>
      <c r="L422" s="212"/>
      <c r="M422" s="212"/>
      <c r="N422" s="212"/>
      <c r="O422" s="212"/>
      <c r="P422" s="212"/>
      <c r="Q422" s="212"/>
      <c r="R422" s="451"/>
      <c r="S422" s="451"/>
      <c r="T422" s="212"/>
      <c r="U422" s="451"/>
      <c r="V422" s="451"/>
      <c r="W422" s="451"/>
      <c r="X422" s="451"/>
      <c r="Y422" s="212"/>
      <c r="Z422" s="212"/>
      <c r="AA422" s="212"/>
      <c r="AB422" s="212"/>
      <c r="AC422" s="212"/>
      <c r="AD422" s="212"/>
      <c r="AE422" s="450"/>
      <c r="AF422" s="212"/>
      <c r="AG422" s="212"/>
      <c r="AH422" s="212"/>
      <c r="AI422" s="212"/>
      <c r="AJ422" s="212"/>
      <c r="AK422" s="212"/>
      <c r="AL422" s="212"/>
      <c r="AM422" s="212"/>
      <c r="AN422" s="212"/>
      <c r="AO422" s="212"/>
      <c r="AP422" s="212"/>
      <c r="AQ422" s="212"/>
      <c r="AR422" s="212"/>
      <c r="AS422" s="212"/>
      <c r="AT422" s="212"/>
      <c r="AU422" s="212"/>
      <c r="AV422" s="212"/>
      <c r="AW422" s="212"/>
      <c r="AX422" s="212"/>
      <c r="AY422" s="212"/>
      <c r="AZ422" s="452"/>
      <c r="BA422" s="212"/>
      <c r="BB422" s="212"/>
      <c r="BC422" s="212"/>
      <c r="BD422" s="212"/>
      <c r="BE422" s="212"/>
      <c r="BF422" s="452"/>
    </row>
    <row r="423">
      <c r="A423" s="212"/>
      <c r="B423" s="447"/>
      <c r="C423" s="212"/>
      <c r="D423" s="212"/>
      <c r="E423" s="212"/>
      <c r="F423" s="212"/>
      <c r="G423" s="212"/>
      <c r="H423" s="212"/>
      <c r="I423" s="212"/>
      <c r="J423" s="212"/>
      <c r="K423" s="212"/>
      <c r="L423" s="212"/>
      <c r="M423" s="212"/>
      <c r="N423" s="212"/>
      <c r="O423" s="212"/>
      <c r="P423" s="212"/>
      <c r="Q423" s="212"/>
      <c r="R423" s="451"/>
      <c r="S423" s="451"/>
      <c r="T423" s="212"/>
      <c r="U423" s="451"/>
      <c r="V423" s="451"/>
      <c r="W423" s="451"/>
      <c r="X423" s="451"/>
      <c r="Y423" s="212"/>
      <c r="Z423" s="212"/>
      <c r="AA423" s="212"/>
      <c r="AB423" s="212"/>
      <c r="AC423" s="212"/>
      <c r="AD423" s="212"/>
      <c r="AE423" s="450"/>
      <c r="AF423" s="212"/>
      <c r="AG423" s="212"/>
      <c r="AH423" s="212"/>
      <c r="AI423" s="212"/>
      <c r="AJ423" s="212"/>
      <c r="AK423" s="212"/>
      <c r="AL423" s="212"/>
      <c r="AM423" s="212"/>
      <c r="AN423" s="212"/>
      <c r="AO423" s="212"/>
      <c r="AP423" s="212"/>
      <c r="AQ423" s="212"/>
      <c r="AR423" s="212"/>
      <c r="AS423" s="212"/>
      <c r="AT423" s="212"/>
      <c r="AU423" s="212"/>
      <c r="AV423" s="212"/>
      <c r="AW423" s="212"/>
      <c r="AX423" s="212"/>
      <c r="AY423" s="212"/>
      <c r="AZ423" s="452"/>
      <c r="BA423" s="212"/>
      <c r="BB423" s="212"/>
      <c r="BC423" s="212"/>
      <c r="BD423" s="212"/>
      <c r="BE423" s="212"/>
      <c r="BF423" s="452"/>
    </row>
    <row r="424">
      <c r="A424" s="212"/>
      <c r="B424" s="447"/>
      <c r="C424" s="212"/>
      <c r="D424" s="212"/>
      <c r="E424" s="212"/>
      <c r="F424" s="212"/>
      <c r="G424" s="212"/>
      <c r="H424" s="212"/>
      <c r="I424" s="212"/>
      <c r="J424" s="212"/>
      <c r="K424" s="212"/>
      <c r="L424" s="212"/>
      <c r="M424" s="212"/>
      <c r="N424" s="212"/>
      <c r="O424" s="212"/>
      <c r="P424" s="212"/>
      <c r="Q424" s="212"/>
      <c r="R424" s="451"/>
      <c r="S424" s="451"/>
      <c r="T424" s="212"/>
      <c r="U424" s="451"/>
      <c r="V424" s="451"/>
      <c r="W424" s="451"/>
      <c r="X424" s="451"/>
      <c r="Y424" s="212"/>
      <c r="Z424" s="212"/>
      <c r="AA424" s="212"/>
      <c r="AB424" s="212"/>
      <c r="AC424" s="212"/>
      <c r="AD424" s="212"/>
      <c r="AE424" s="450"/>
      <c r="AF424" s="212"/>
      <c r="AG424" s="212"/>
      <c r="AH424" s="212"/>
      <c r="AI424" s="212"/>
      <c r="AJ424" s="212"/>
      <c r="AK424" s="212"/>
      <c r="AL424" s="212"/>
      <c r="AM424" s="212"/>
      <c r="AN424" s="212"/>
      <c r="AO424" s="212"/>
      <c r="AP424" s="212"/>
      <c r="AQ424" s="212"/>
      <c r="AR424" s="212"/>
      <c r="AS424" s="212"/>
      <c r="AT424" s="212"/>
      <c r="AU424" s="212"/>
      <c r="AV424" s="212"/>
      <c r="AW424" s="212"/>
      <c r="AX424" s="212"/>
      <c r="AY424" s="212"/>
      <c r="AZ424" s="452"/>
      <c r="BA424" s="212"/>
      <c r="BB424" s="212"/>
      <c r="BC424" s="212"/>
      <c r="BD424" s="212"/>
      <c r="BE424" s="212"/>
      <c r="BF424" s="452"/>
    </row>
    <row r="425">
      <c r="A425" s="212"/>
      <c r="B425" s="447"/>
      <c r="C425" s="212"/>
      <c r="D425" s="212"/>
      <c r="E425" s="212"/>
      <c r="F425" s="212"/>
      <c r="G425" s="212"/>
      <c r="H425" s="212"/>
      <c r="I425" s="212"/>
      <c r="J425" s="212"/>
      <c r="K425" s="212"/>
      <c r="L425" s="212"/>
      <c r="M425" s="212"/>
      <c r="N425" s="212"/>
      <c r="O425" s="212"/>
      <c r="P425" s="212"/>
      <c r="Q425" s="212"/>
      <c r="R425" s="451"/>
      <c r="S425" s="451"/>
      <c r="T425" s="212"/>
      <c r="U425" s="451"/>
      <c r="V425" s="451"/>
      <c r="W425" s="451"/>
      <c r="X425" s="451"/>
      <c r="Y425" s="212"/>
      <c r="Z425" s="212"/>
      <c r="AA425" s="212"/>
      <c r="AB425" s="212"/>
      <c r="AC425" s="212"/>
      <c r="AD425" s="212"/>
      <c r="AE425" s="450"/>
      <c r="AF425" s="212"/>
      <c r="AG425" s="212"/>
      <c r="AH425" s="212"/>
      <c r="AI425" s="212"/>
      <c r="AJ425" s="212"/>
      <c r="AK425" s="212"/>
      <c r="AL425" s="212"/>
      <c r="AM425" s="212"/>
      <c r="AN425" s="212"/>
      <c r="AO425" s="212"/>
      <c r="AP425" s="212"/>
      <c r="AQ425" s="212"/>
      <c r="AR425" s="212"/>
      <c r="AS425" s="212"/>
      <c r="AT425" s="212"/>
      <c r="AU425" s="212"/>
      <c r="AV425" s="212"/>
      <c r="AW425" s="212"/>
      <c r="AX425" s="212"/>
      <c r="AY425" s="212"/>
      <c r="AZ425" s="452"/>
      <c r="BA425" s="212"/>
      <c r="BB425" s="212"/>
      <c r="BC425" s="212"/>
      <c r="BD425" s="212"/>
      <c r="BE425" s="212"/>
      <c r="BF425" s="452"/>
    </row>
    <row r="426">
      <c r="A426" s="212"/>
      <c r="B426" s="447"/>
      <c r="C426" s="212"/>
      <c r="D426" s="212"/>
      <c r="E426" s="212"/>
      <c r="F426" s="212"/>
      <c r="G426" s="212"/>
      <c r="H426" s="212"/>
      <c r="I426" s="212"/>
      <c r="J426" s="212"/>
      <c r="K426" s="212"/>
      <c r="L426" s="212"/>
      <c r="M426" s="212"/>
      <c r="N426" s="212"/>
      <c r="O426" s="212"/>
      <c r="P426" s="212"/>
      <c r="Q426" s="212"/>
      <c r="R426" s="451"/>
      <c r="S426" s="451"/>
      <c r="T426" s="212"/>
      <c r="U426" s="451"/>
      <c r="V426" s="451"/>
      <c r="W426" s="451"/>
      <c r="X426" s="451"/>
      <c r="Y426" s="212"/>
      <c r="Z426" s="212"/>
      <c r="AA426" s="212"/>
      <c r="AB426" s="212"/>
      <c r="AC426" s="212"/>
      <c r="AD426" s="212"/>
      <c r="AE426" s="450"/>
      <c r="AF426" s="212"/>
      <c r="AG426" s="212"/>
      <c r="AH426" s="212"/>
      <c r="AI426" s="212"/>
      <c r="AJ426" s="212"/>
      <c r="AK426" s="212"/>
      <c r="AL426" s="212"/>
      <c r="AM426" s="212"/>
      <c r="AN426" s="212"/>
      <c r="AO426" s="212"/>
      <c r="AP426" s="212"/>
      <c r="AQ426" s="212"/>
      <c r="AR426" s="212"/>
      <c r="AS426" s="212"/>
      <c r="AT426" s="212"/>
      <c r="AU426" s="212"/>
      <c r="AV426" s="212"/>
      <c r="AW426" s="212"/>
      <c r="AX426" s="212"/>
      <c r="AY426" s="212"/>
      <c r="AZ426" s="452"/>
      <c r="BA426" s="212"/>
      <c r="BB426" s="212"/>
      <c r="BC426" s="212"/>
      <c r="BD426" s="212"/>
      <c r="BE426" s="212"/>
      <c r="BF426" s="452"/>
    </row>
    <row r="427">
      <c r="A427" s="212"/>
      <c r="B427" s="447"/>
      <c r="C427" s="212"/>
      <c r="D427" s="212"/>
      <c r="E427" s="212"/>
      <c r="F427" s="212"/>
      <c r="G427" s="212"/>
      <c r="H427" s="212"/>
      <c r="I427" s="212"/>
      <c r="J427" s="212"/>
      <c r="K427" s="212"/>
      <c r="L427" s="212"/>
      <c r="M427" s="212"/>
      <c r="N427" s="212"/>
      <c r="O427" s="212"/>
      <c r="P427" s="212"/>
      <c r="Q427" s="212"/>
      <c r="R427" s="451"/>
      <c r="S427" s="451"/>
      <c r="T427" s="212"/>
      <c r="U427" s="451"/>
      <c r="V427" s="451"/>
      <c r="W427" s="451"/>
      <c r="X427" s="451"/>
      <c r="Y427" s="212"/>
      <c r="Z427" s="212"/>
      <c r="AA427" s="212"/>
      <c r="AB427" s="212"/>
      <c r="AC427" s="212"/>
      <c r="AD427" s="212"/>
      <c r="AE427" s="450"/>
      <c r="AF427" s="212"/>
      <c r="AG427" s="212"/>
      <c r="AH427" s="212"/>
      <c r="AI427" s="212"/>
      <c r="AJ427" s="212"/>
      <c r="AK427" s="212"/>
      <c r="AL427" s="212"/>
      <c r="AM427" s="212"/>
      <c r="AN427" s="212"/>
      <c r="AO427" s="212"/>
      <c r="AP427" s="212"/>
      <c r="AQ427" s="212"/>
      <c r="AR427" s="212"/>
      <c r="AS427" s="212"/>
      <c r="AT427" s="212"/>
      <c r="AU427" s="212"/>
      <c r="AV427" s="212"/>
      <c r="AW427" s="212"/>
      <c r="AX427" s="212"/>
      <c r="AY427" s="212"/>
      <c r="AZ427" s="452"/>
      <c r="BA427" s="212"/>
      <c r="BB427" s="212"/>
      <c r="BC427" s="212"/>
      <c r="BD427" s="212"/>
      <c r="BE427" s="212"/>
      <c r="BF427" s="452"/>
    </row>
    <row r="428">
      <c r="A428" s="212"/>
      <c r="B428" s="447"/>
      <c r="C428" s="212"/>
      <c r="D428" s="212"/>
      <c r="E428" s="212"/>
      <c r="F428" s="212"/>
      <c r="G428" s="212"/>
      <c r="H428" s="212"/>
      <c r="I428" s="212"/>
      <c r="J428" s="212"/>
      <c r="K428" s="212"/>
      <c r="L428" s="212"/>
      <c r="M428" s="212"/>
      <c r="N428" s="212"/>
      <c r="O428" s="212"/>
      <c r="P428" s="212"/>
      <c r="Q428" s="212"/>
      <c r="R428" s="451"/>
      <c r="S428" s="451"/>
      <c r="T428" s="212"/>
      <c r="U428" s="451"/>
      <c r="V428" s="451"/>
      <c r="W428" s="451"/>
      <c r="X428" s="451"/>
      <c r="Y428" s="212"/>
      <c r="Z428" s="212"/>
      <c r="AA428" s="212"/>
      <c r="AB428" s="212"/>
      <c r="AC428" s="212"/>
      <c r="AD428" s="212"/>
      <c r="AE428" s="450"/>
      <c r="AF428" s="212"/>
      <c r="AG428" s="212"/>
      <c r="AH428" s="212"/>
      <c r="AI428" s="212"/>
      <c r="AJ428" s="212"/>
      <c r="AK428" s="212"/>
      <c r="AL428" s="212"/>
      <c r="AM428" s="212"/>
      <c r="AN428" s="212"/>
      <c r="AO428" s="212"/>
      <c r="AP428" s="212"/>
      <c r="AQ428" s="212"/>
      <c r="AR428" s="212"/>
      <c r="AS428" s="212"/>
      <c r="AT428" s="212"/>
      <c r="AU428" s="212"/>
      <c r="AV428" s="212"/>
      <c r="AW428" s="212"/>
      <c r="AX428" s="212"/>
      <c r="AY428" s="212"/>
      <c r="AZ428" s="452"/>
      <c r="BA428" s="212"/>
      <c r="BB428" s="212"/>
      <c r="BC428" s="212"/>
      <c r="BD428" s="212"/>
      <c r="BE428" s="212"/>
      <c r="BF428" s="452"/>
    </row>
    <row r="429">
      <c r="A429" s="212"/>
      <c r="B429" s="447"/>
      <c r="C429" s="212"/>
      <c r="D429" s="212"/>
      <c r="E429" s="212"/>
      <c r="F429" s="212"/>
      <c r="G429" s="212"/>
      <c r="H429" s="212"/>
      <c r="I429" s="212"/>
      <c r="J429" s="212"/>
      <c r="K429" s="212"/>
      <c r="L429" s="212"/>
      <c r="M429" s="212"/>
      <c r="N429" s="212"/>
      <c r="O429" s="212"/>
      <c r="P429" s="212"/>
      <c r="Q429" s="212"/>
      <c r="R429" s="451"/>
      <c r="S429" s="451"/>
      <c r="T429" s="212"/>
      <c r="U429" s="451"/>
      <c r="V429" s="451"/>
      <c r="W429" s="451"/>
      <c r="X429" s="451"/>
      <c r="Y429" s="212"/>
      <c r="Z429" s="212"/>
      <c r="AA429" s="212"/>
      <c r="AB429" s="212"/>
      <c r="AC429" s="212"/>
      <c r="AD429" s="212"/>
      <c r="AE429" s="450"/>
      <c r="AF429" s="212"/>
      <c r="AG429" s="212"/>
      <c r="AH429" s="212"/>
      <c r="AI429" s="212"/>
      <c r="AJ429" s="212"/>
      <c r="AK429" s="212"/>
      <c r="AL429" s="212"/>
      <c r="AM429" s="212"/>
      <c r="AN429" s="212"/>
      <c r="AO429" s="212"/>
      <c r="AP429" s="212"/>
      <c r="AQ429" s="212"/>
      <c r="AR429" s="212"/>
      <c r="AS429" s="212"/>
      <c r="AT429" s="212"/>
      <c r="AU429" s="212"/>
      <c r="AV429" s="212"/>
      <c r="AW429" s="212"/>
      <c r="AX429" s="212"/>
      <c r="AY429" s="212"/>
      <c r="AZ429" s="452"/>
      <c r="BA429" s="212"/>
      <c r="BB429" s="212"/>
      <c r="BC429" s="212"/>
      <c r="BD429" s="212"/>
      <c r="BE429" s="212"/>
      <c r="BF429" s="452"/>
    </row>
    <row r="430">
      <c r="A430" s="212"/>
      <c r="B430" s="447"/>
      <c r="C430" s="212"/>
      <c r="D430" s="212"/>
      <c r="E430" s="212"/>
      <c r="F430" s="212"/>
      <c r="G430" s="212"/>
      <c r="H430" s="212"/>
      <c r="I430" s="212"/>
      <c r="J430" s="212"/>
      <c r="K430" s="212"/>
      <c r="L430" s="212"/>
      <c r="M430" s="212"/>
      <c r="N430" s="212"/>
      <c r="O430" s="212"/>
      <c r="P430" s="212"/>
      <c r="Q430" s="212"/>
      <c r="R430" s="451"/>
      <c r="S430" s="451"/>
      <c r="T430" s="212"/>
      <c r="U430" s="451"/>
      <c r="V430" s="451"/>
      <c r="W430" s="451"/>
      <c r="X430" s="451"/>
      <c r="Y430" s="212"/>
      <c r="Z430" s="212"/>
      <c r="AA430" s="212"/>
      <c r="AB430" s="212"/>
      <c r="AC430" s="212"/>
      <c r="AD430" s="212"/>
      <c r="AE430" s="450"/>
      <c r="AF430" s="212"/>
      <c r="AG430" s="212"/>
      <c r="AH430" s="212"/>
      <c r="AI430" s="212"/>
      <c r="AJ430" s="212"/>
      <c r="AK430" s="212"/>
      <c r="AL430" s="212"/>
      <c r="AM430" s="212"/>
      <c r="AN430" s="212"/>
      <c r="AO430" s="212"/>
      <c r="AP430" s="212"/>
      <c r="AQ430" s="212"/>
      <c r="AR430" s="212"/>
      <c r="AS430" s="212"/>
      <c r="AT430" s="212"/>
      <c r="AU430" s="212"/>
      <c r="AV430" s="212"/>
      <c r="AW430" s="212"/>
      <c r="AX430" s="212"/>
      <c r="AY430" s="212"/>
      <c r="AZ430" s="452"/>
      <c r="BA430" s="212"/>
      <c r="BB430" s="212"/>
      <c r="BC430" s="212"/>
      <c r="BD430" s="212"/>
      <c r="BE430" s="212"/>
      <c r="BF430" s="452"/>
    </row>
    <row r="431">
      <c r="A431" s="212"/>
      <c r="B431" s="447"/>
      <c r="C431" s="212"/>
      <c r="D431" s="212"/>
      <c r="E431" s="212"/>
      <c r="F431" s="212"/>
      <c r="G431" s="212"/>
      <c r="H431" s="212"/>
      <c r="I431" s="212"/>
      <c r="J431" s="212"/>
      <c r="K431" s="212"/>
      <c r="L431" s="212"/>
      <c r="M431" s="212"/>
      <c r="N431" s="212"/>
      <c r="O431" s="212"/>
      <c r="P431" s="212"/>
      <c r="Q431" s="212"/>
      <c r="R431" s="451"/>
      <c r="S431" s="451"/>
      <c r="T431" s="212"/>
      <c r="U431" s="451"/>
      <c r="V431" s="451"/>
      <c r="W431" s="451"/>
      <c r="X431" s="451"/>
      <c r="Y431" s="212"/>
      <c r="Z431" s="212"/>
      <c r="AA431" s="212"/>
      <c r="AB431" s="212"/>
      <c r="AC431" s="212"/>
      <c r="AD431" s="212"/>
      <c r="AE431" s="450"/>
      <c r="AF431" s="212"/>
      <c r="AG431" s="212"/>
      <c r="AH431" s="212"/>
      <c r="AI431" s="212"/>
      <c r="AJ431" s="212"/>
      <c r="AK431" s="212"/>
      <c r="AL431" s="212"/>
      <c r="AM431" s="212"/>
      <c r="AN431" s="212"/>
      <c r="AO431" s="212"/>
      <c r="AP431" s="212"/>
      <c r="AQ431" s="212"/>
      <c r="AR431" s="212"/>
      <c r="AS431" s="212"/>
      <c r="AT431" s="212"/>
      <c r="AU431" s="212"/>
      <c r="AV431" s="212"/>
      <c r="AW431" s="212"/>
      <c r="AX431" s="212"/>
      <c r="AY431" s="212"/>
      <c r="AZ431" s="452"/>
      <c r="BA431" s="212"/>
      <c r="BB431" s="212"/>
      <c r="BC431" s="212"/>
      <c r="BD431" s="212"/>
      <c r="BE431" s="212"/>
      <c r="BF431" s="452"/>
    </row>
    <row r="432">
      <c r="A432" s="212"/>
      <c r="B432" s="447"/>
      <c r="C432" s="212"/>
      <c r="D432" s="212"/>
      <c r="E432" s="212"/>
      <c r="F432" s="212"/>
      <c r="G432" s="212"/>
      <c r="H432" s="212"/>
      <c r="I432" s="212"/>
      <c r="J432" s="212"/>
      <c r="K432" s="212"/>
      <c r="L432" s="212"/>
      <c r="M432" s="212"/>
      <c r="N432" s="212"/>
      <c r="O432" s="212"/>
      <c r="P432" s="212"/>
      <c r="Q432" s="212"/>
      <c r="R432" s="451"/>
      <c r="S432" s="451"/>
      <c r="T432" s="212"/>
      <c r="U432" s="451"/>
      <c r="V432" s="451"/>
      <c r="W432" s="451"/>
      <c r="X432" s="451"/>
      <c r="Y432" s="212"/>
      <c r="Z432" s="212"/>
      <c r="AA432" s="212"/>
      <c r="AB432" s="212"/>
      <c r="AC432" s="212"/>
      <c r="AD432" s="212"/>
      <c r="AE432" s="450"/>
      <c r="AF432" s="212"/>
      <c r="AG432" s="212"/>
      <c r="AH432" s="212"/>
      <c r="AI432" s="212"/>
      <c r="AJ432" s="212"/>
      <c r="AK432" s="212"/>
      <c r="AL432" s="212"/>
      <c r="AM432" s="212"/>
      <c r="AN432" s="212"/>
      <c r="AO432" s="212"/>
      <c r="AP432" s="212"/>
      <c r="AQ432" s="212"/>
      <c r="AR432" s="212"/>
      <c r="AS432" s="212"/>
      <c r="AT432" s="212"/>
      <c r="AU432" s="212"/>
      <c r="AV432" s="212"/>
      <c r="AW432" s="212"/>
      <c r="AX432" s="212"/>
      <c r="AY432" s="212"/>
      <c r="AZ432" s="452"/>
      <c r="BA432" s="212"/>
      <c r="BB432" s="212"/>
      <c r="BC432" s="212"/>
      <c r="BD432" s="212"/>
      <c r="BE432" s="212"/>
      <c r="BF432" s="452"/>
    </row>
    <row r="433">
      <c r="A433" s="212"/>
      <c r="B433" s="447"/>
      <c r="C433" s="212"/>
      <c r="D433" s="212"/>
      <c r="E433" s="212"/>
      <c r="F433" s="212"/>
      <c r="G433" s="212"/>
      <c r="H433" s="212"/>
      <c r="I433" s="212"/>
      <c r="J433" s="212"/>
      <c r="K433" s="212"/>
      <c r="L433" s="212"/>
      <c r="M433" s="212"/>
      <c r="N433" s="212"/>
      <c r="O433" s="212"/>
      <c r="P433" s="212"/>
      <c r="Q433" s="212"/>
      <c r="R433" s="451"/>
      <c r="S433" s="451"/>
      <c r="T433" s="212"/>
      <c r="U433" s="451"/>
      <c r="V433" s="451"/>
      <c r="W433" s="451"/>
      <c r="X433" s="451"/>
      <c r="Y433" s="212"/>
      <c r="Z433" s="212"/>
      <c r="AA433" s="212"/>
      <c r="AB433" s="212"/>
      <c r="AC433" s="212"/>
      <c r="AD433" s="212"/>
      <c r="AE433" s="450"/>
      <c r="AF433" s="212"/>
      <c r="AG433" s="212"/>
      <c r="AH433" s="212"/>
      <c r="AI433" s="212"/>
      <c r="AJ433" s="212"/>
      <c r="AK433" s="212"/>
      <c r="AL433" s="212"/>
      <c r="AM433" s="212"/>
      <c r="AN433" s="212"/>
      <c r="AO433" s="212"/>
      <c r="AP433" s="212"/>
      <c r="AQ433" s="212"/>
      <c r="AR433" s="212"/>
      <c r="AS433" s="212"/>
      <c r="AT433" s="212"/>
      <c r="AU433" s="212"/>
      <c r="AV433" s="212"/>
      <c r="AW433" s="212"/>
      <c r="AX433" s="212"/>
      <c r="AY433" s="212"/>
      <c r="AZ433" s="452"/>
      <c r="BA433" s="212"/>
      <c r="BB433" s="212"/>
      <c r="BC433" s="212"/>
      <c r="BD433" s="212"/>
      <c r="BE433" s="212"/>
      <c r="BF433" s="452"/>
    </row>
    <row r="434">
      <c r="A434" s="212"/>
      <c r="B434" s="447"/>
      <c r="C434" s="212"/>
      <c r="D434" s="212"/>
      <c r="E434" s="212"/>
      <c r="F434" s="212"/>
      <c r="G434" s="212"/>
      <c r="H434" s="212"/>
      <c r="I434" s="212"/>
      <c r="J434" s="212"/>
      <c r="K434" s="212"/>
      <c r="L434" s="212"/>
      <c r="M434" s="212"/>
      <c r="N434" s="212"/>
      <c r="O434" s="212"/>
      <c r="P434" s="212"/>
      <c r="Q434" s="212"/>
      <c r="R434" s="451"/>
      <c r="S434" s="451"/>
      <c r="T434" s="212"/>
      <c r="U434" s="451"/>
      <c r="V434" s="451"/>
      <c r="W434" s="451"/>
      <c r="X434" s="451"/>
      <c r="Y434" s="212"/>
      <c r="Z434" s="212"/>
      <c r="AA434" s="212"/>
      <c r="AB434" s="212"/>
      <c r="AC434" s="212"/>
      <c r="AD434" s="212"/>
      <c r="AE434" s="450"/>
      <c r="AF434" s="212"/>
      <c r="AG434" s="212"/>
      <c r="AH434" s="212"/>
      <c r="AI434" s="212"/>
      <c r="AJ434" s="212"/>
      <c r="AK434" s="212"/>
      <c r="AL434" s="212"/>
      <c r="AM434" s="212"/>
      <c r="AN434" s="212"/>
      <c r="AO434" s="212"/>
      <c r="AP434" s="212"/>
      <c r="AQ434" s="212"/>
      <c r="AR434" s="212"/>
      <c r="AS434" s="212"/>
      <c r="AT434" s="212"/>
      <c r="AU434" s="212"/>
      <c r="AV434" s="212"/>
      <c r="AW434" s="212"/>
      <c r="AX434" s="212"/>
      <c r="AY434" s="212"/>
      <c r="AZ434" s="452"/>
      <c r="BA434" s="212"/>
      <c r="BB434" s="212"/>
      <c r="BC434" s="212"/>
      <c r="BD434" s="212"/>
      <c r="BE434" s="212"/>
      <c r="BF434" s="452"/>
    </row>
    <row r="435">
      <c r="A435" s="212"/>
      <c r="B435" s="447"/>
      <c r="C435" s="212"/>
      <c r="D435" s="212"/>
      <c r="E435" s="212"/>
      <c r="F435" s="212"/>
      <c r="G435" s="212"/>
      <c r="H435" s="212"/>
      <c r="I435" s="212"/>
      <c r="J435" s="212"/>
      <c r="K435" s="212"/>
      <c r="L435" s="212"/>
      <c r="M435" s="212"/>
      <c r="N435" s="212"/>
      <c r="O435" s="212"/>
      <c r="P435" s="212"/>
      <c r="Q435" s="212"/>
      <c r="R435" s="451"/>
      <c r="S435" s="451"/>
      <c r="T435" s="212"/>
      <c r="U435" s="451"/>
      <c r="V435" s="451"/>
      <c r="W435" s="451"/>
      <c r="X435" s="451"/>
      <c r="Y435" s="212"/>
      <c r="Z435" s="212"/>
      <c r="AA435" s="212"/>
      <c r="AB435" s="212"/>
      <c r="AC435" s="212"/>
      <c r="AD435" s="212"/>
      <c r="AE435" s="450"/>
      <c r="AF435" s="212"/>
      <c r="AG435" s="212"/>
      <c r="AH435" s="212"/>
      <c r="AI435" s="212"/>
      <c r="AJ435" s="212"/>
      <c r="AK435" s="212"/>
      <c r="AL435" s="212"/>
      <c r="AM435" s="212"/>
      <c r="AN435" s="212"/>
      <c r="AO435" s="212"/>
      <c r="AP435" s="212"/>
      <c r="AQ435" s="212"/>
      <c r="AR435" s="212"/>
      <c r="AS435" s="212"/>
      <c r="AT435" s="212"/>
      <c r="AU435" s="212"/>
      <c r="AV435" s="212"/>
      <c r="AW435" s="212"/>
      <c r="AX435" s="212"/>
      <c r="AY435" s="212"/>
      <c r="AZ435" s="452"/>
      <c r="BA435" s="212"/>
      <c r="BB435" s="212"/>
      <c r="BC435" s="212"/>
      <c r="BD435" s="212"/>
      <c r="BE435" s="212"/>
      <c r="BF435" s="452"/>
    </row>
    <row r="436">
      <c r="A436" s="212"/>
      <c r="B436" s="447"/>
      <c r="C436" s="212"/>
      <c r="D436" s="212"/>
      <c r="E436" s="212"/>
      <c r="F436" s="212"/>
      <c r="G436" s="212"/>
      <c r="H436" s="212"/>
      <c r="I436" s="212"/>
      <c r="J436" s="212"/>
      <c r="K436" s="212"/>
      <c r="L436" s="212"/>
      <c r="M436" s="212"/>
      <c r="N436" s="212"/>
      <c r="O436" s="212"/>
      <c r="P436" s="212"/>
      <c r="Q436" s="212"/>
      <c r="R436" s="451"/>
      <c r="S436" s="451"/>
      <c r="T436" s="212"/>
      <c r="U436" s="451"/>
      <c r="V436" s="451"/>
      <c r="W436" s="451"/>
      <c r="X436" s="451"/>
      <c r="Y436" s="212"/>
      <c r="Z436" s="212"/>
      <c r="AA436" s="212"/>
      <c r="AB436" s="212"/>
      <c r="AC436" s="212"/>
      <c r="AD436" s="212"/>
      <c r="AE436" s="450"/>
      <c r="AF436" s="212"/>
      <c r="AG436" s="212"/>
      <c r="AH436" s="212"/>
      <c r="AI436" s="212"/>
      <c r="AJ436" s="212"/>
      <c r="AK436" s="212"/>
      <c r="AL436" s="212"/>
      <c r="AM436" s="212"/>
      <c r="AN436" s="212"/>
      <c r="AO436" s="212"/>
      <c r="AP436" s="212"/>
      <c r="AQ436" s="212"/>
      <c r="AR436" s="212"/>
      <c r="AS436" s="212"/>
      <c r="AT436" s="212"/>
      <c r="AU436" s="212"/>
      <c r="AV436" s="212"/>
      <c r="AW436" s="212"/>
      <c r="AX436" s="212"/>
      <c r="AY436" s="212"/>
      <c r="AZ436" s="452"/>
      <c r="BA436" s="212"/>
      <c r="BB436" s="212"/>
      <c r="BC436" s="212"/>
      <c r="BD436" s="212"/>
      <c r="BE436" s="212"/>
      <c r="BF436" s="452"/>
    </row>
    <row r="437">
      <c r="A437" s="212"/>
      <c r="B437" s="447"/>
      <c r="C437" s="212"/>
      <c r="D437" s="212"/>
      <c r="E437" s="212"/>
      <c r="F437" s="212"/>
      <c r="G437" s="212"/>
      <c r="H437" s="212"/>
      <c r="I437" s="212"/>
      <c r="J437" s="212"/>
      <c r="K437" s="212"/>
      <c r="L437" s="212"/>
      <c r="M437" s="212"/>
      <c r="N437" s="212"/>
      <c r="O437" s="212"/>
      <c r="P437" s="212"/>
      <c r="Q437" s="212"/>
      <c r="R437" s="451"/>
      <c r="S437" s="451"/>
      <c r="T437" s="212"/>
      <c r="U437" s="451"/>
      <c r="V437" s="451"/>
      <c r="W437" s="451"/>
      <c r="X437" s="451"/>
      <c r="Y437" s="212"/>
      <c r="Z437" s="212"/>
      <c r="AA437" s="212"/>
      <c r="AB437" s="212"/>
      <c r="AC437" s="212"/>
      <c r="AD437" s="212"/>
      <c r="AE437" s="450"/>
      <c r="AF437" s="212"/>
      <c r="AG437" s="212"/>
      <c r="AH437" s="212"/>
      <c r="AI437" s="212"/>
      <c r="AJ437" s="212"/>
      <c r="AK437" s="212"/>
      <c r="AL437" s="212"/>
      <c r="AM437" s="212"/>
      <c r="AN437" s="212"/>
      <c r="AO437" s="212"/>
      <c r="AP437" s="212"/>
      <c r="AQ437" s="212"/>
      <c r="AR437" s="212"/>
      <c r="AS437" s="212"/>
      <c r="AT437" s="212"/>
      <c r="AU437" s="212"/>
      <c r="AV437" s="212"/>
      <c r="AW437" s="212"/>
      <c r="AX437" s="212"/>
      <c r="AY437" s="212"/>
      <c r="AZ437" s="452"/>
      <c r="BA437" s="212"/>
      <c r="BB437" s="212"/>
      <c r="BC437" s="212"/>
      <c r="BD437" s="212"/>
      <c r="BE437" s="212"/>
      <c r="BF437" s="452"/>
    </row>
    <row r="438">
      <c r="A438" s="212"/>
      <c r="B438" s="447"/>
      <c r="C438" s="212"/>
      <c r="D438" s="212"/>
      <c r="E438" s="212"/>
      <c r="F438" s="212"/>
      <c r="G438" s="212"/>
      <c r="H438" s="212"/>
      <c r="I438" s="212"/>
      <c r="J438" s="212"/>
      <c r="K438" s="212"/>
      <c r="L438" s="212"/>
      <c r="M438" s="212"/>
      <c r="N438" s="212"/>
      <c r="O438" s="212"/>
      <c r="P438" s="212"/>
      <c r="Q438" s="212"/>
      <c r="R438" s="451"/>
      <c r="S438" s="451"/>
      <c r="T438" s="212"/>
      <c r="U438" s="451"/>
      <c r="V438" s="451"/>
      <c r="W438" s="451"/>
      <c r="X438" s="451"/>
      <c r="Y438" s="212"/>
      <c r="Z438" s="212"/>
      <c r="AA438" s="212"/>
      <c r="AB438" s="212"/>
      <c r="AC438" s="212"/>
      <c r="AD438" s="212"/>
      <c r="AE438" s="450"/>
      <c r="AF438" s="212"/>
      <c r="AG438" s="212"/>
      <c r="AH438" s="212"/>
      <c r="AI438" s="212"/>
      <c r="AJ438" s="212"/>
      <c r="AK438" s="212"/>
      <c r="AL438" s="212"/>
      <c r="AM438" s="212"/>
      <c r="AN438" s="212"/>
      <c r="AO438" s="212"/>
      <c r="AP438" s="212"/>
      <c r="AQ438" s="212"/>
      <c r="AR438" s="212"/>
      <c r="AS438" s="212"/>
      <c r="AT438" s="212"/>
      <c r="AU438" s="212"/>
      <c r="AV438" s="212"/>
      <c r="AW438" s="212"/>
      <c r="AX438" s="212"/>
      <c r="AY438" s="212"/>
      <c r="AZ438" s="452"/>
      <c r="BA438" s="212"/>
      <c r="BB438" s="212"/>
      <c r="BC438" s="212"/>
      <c r="BD438" s="212"/>
      <c r="BE438" s="212"/>
      <c r="BF438" s="452"/>
    </row>
    <row r="439">
      <c r="A439" s="212"/>
      <c r="B439" s="447"/>
      <c r="C439" s="212"/>
      <c r="D439" s="212"/>
      <c r="E439" s="212"/>
      <c r="F439" s="212"/>
      <c r="G439" s="212"/>
      <c r="H439" s="212"/>
      <c r="I439" s="212"/>
      <c r="J439" s="212"/>
      <c r="K439" s="212"/>
      <c r="L439" s="212"/>
      <c r="M439" s="212"/>
      <c r="N439" s="212"/>
      <c r="O439" s="212"/>
      <c r="P439" s="212"/>
      <c r="Q439" s="212"/>
      <c r="R439" s="451"/>
      <c r="S439" s="451"/>
      <c r="T439" s="212"/>
      <c r="U439" s="451"/>
      <c r="V439" s="451"/>
      <c r="W439" s="451"/>
      <c r="X439" s="451"/>
      <c r="Y439" s="212"/>
      <c r="Z439" s="212"/>
      <c r="AA439" s="212"/>
      <c r="AB439" s="212"/>
      <c r="AC439" s="212"/>
      <c r="AD439" s="212"/>
      <c r="AE439" s="450"/>
      <c r="AF439" s="212"/>
      <c r="AG439" s="212"/>
      <c r="AH439" s="212"/>
      <c r="AI439" s="212"/>
      <c r="AJ439" s="212"/>
      <c r="AK439" s="212"/>
      <c r="AL439" s="212"/>
      <c r="AM439" s="212"/>
      <c r="AN439" s="212"/>
      <c r="AO439" s="212"/>
      <c r="AP439" s="212"/>
      <c r="AQ439" s="212"/>
      <c r="AR439" s="212"/>
      <c r="AS439" s="212"/>
      <c r="AT439" s="212"/>
      <c r="AU439" s="212"/>
      <c r="AV439" s="212"/>
      <c r="AW439" s="212"/>
      <c r="AX439" s="212"/>
      <c r="AY439" s="212"/>
      <c r="AZ439" s="452"/>
      <c r="BA439" s="212"/>
      <c r="BB439" s="212"/>
      <c r="BC439" s="212"/>
      <c r="BD439" s="212"/>
      <c r="BE439" s="212"/>
      <c r="BF439" s="452"/>
    </row>
    <row r="440">
      <c r="A440" s="212"/>
      <c r="B440" s="447"/>
      <c r="C440" s="212"/>
      <c r="D440" s="212"/>
      <c r="E440" s="212"/>
      <c r="F440" s="212"/>
      <c r="G440" s="212"/>
      <c r="H440" s="212"/>
      <c r="I440" s="212"/>
      <c r="J440" s="212"/>
      <c r="K440" s="212"/>
      <c r="L440" s="212"/>
      <c r="M440" s="212"/>
      <c r="N440" s="212"/>
      <c r="O440" s="212"/>
      <c r="P440" s="212"/>
      <c r="Q440" s="212"/>
      <c r="R440" s="451"/>
      <c r="S440" s="451"/>
      <c r="T440" s="212"/>
      <c r="U440" s="451"/>
      <c r="V440" s="451"/>
      <c r="W440" s="451"/>
      <c r="X440" s="451"/>
      <c r="Y440" s="212"/>
      <c r="Z440" s="212"/>
      <c r="AA440" s="212"/>
      <c r="AB440" s="212"/>
      <c r="AC440" s="212"/>
      <c r="AD440" s="212"/>
      <c r="AE440" s="450"/>
      <c r="AF440" s="212"/>
      <c r="AG440" s="212"/>
      <c r="AH440" s="212"/>
      <c r="AI440" s="212"/>
      <c r="AJ440" s="212"/>
      <c r="AK440" s="212"/>
      <c r="AL440" s="212"/>
      <c r="AM440" s="212"/>
      <c r="AN440" s="212"/>
      <c r="AO440" s="212"/>
      <c r="AP440" s="212"/>
      <c r="AQ440" s="212"/>
      <c r="AR440" s="212"/>
      <c r="AS440" s="212"/>
      <c r="AT440" s="212"/>
      <c r="AU440" s="212"/>
      <c r="AV440" s="212"/>
      <c r="AW440" s="212"/>
      <c r="AX440" s="212"/>
      <c r="AY440" s="212"/>
      <c r="AZ440" s="452"/>
      <c r="BA440" s="212"/>
      <c r="BB440" s="212"/>
      <c r="BC440" s="212"/>
      <c r="BD440" s="212"/>
      <c r="BE440" s="212"/>
      <c r="BF440" s="452"/>
    </row>
    <row r="441">
      <c r="A441" s="212"/>
      <c r="B441" s="447"/>
      <c r="C441" s="212"/>
      <c r="D441" s="212"/>
      <c r="E441" s="212"/>
      <c r="F441" s="212"/>
      <c r="G441" s="212"/>
      <c r="H441" s="212"/>
      <c r="I441" s="212"/>
      <c r="J441" s="212"/>
      <c r="K441" s="212"/>
      <c r="L441" s="212"/>
      <c r="M441" s="212"/>
      <c r="N441" s="212"/>
      <c r="O441" s="212"/>
      <c r="P441" s="212"/>
      <c r="Q441" s="212"/>
      <c r="R441" s="451"/>
      <c r="S441" s="451"/>
      <c r="T441" s="212"/>
      <c r="U441" s="451"/>
      <c r="V441" s="451"/>
      <c r="W441" s="451"/>
      <c r="X441" s="451"/>
      <c r="Y441" s="212"/>
      <c r="Z441" s="212"/>
      <c r="AA441" s="212"/>
      <c r="AB441" s="212"/>
      <c r="AC441" s="212"/>
      <c r="AD441" s="212"/>
      <c r="AE441" s="450"/>
      <c r="AF441" s="212"/>
      <c r="AG441" s="212"/>
      <c r="AH441" s="212"/>
      <c r="AI441" s="212"/>
      <c r="AJ441" s="212"/>
      <c r="AK441" s="212"/>
      <c r="AL441" s="212"/>
      <c r="AM441" s="212"/>
      <c r="AN441" s="212"/>
      <c r="AO441" s="212"/>
      <c r="AP441" s="212"/>
      <c r="AQ441" s="212"/>
      <c r="AR441" s="212"/>
      <c r="AS441" s="212"/>
      <c r="AT441" s="212"/>
      <c r="AU441" s="212"/>
      <c r="AV441" s="212"/>
      <c r="AW441" s="212"/>
      <c r="AX441" s="212"/>
      <c r="AY441" s="212"/>
      <c r="AZ441" s="452"/>
      <c r="BA441" s="212"/>
      <c r="BB441" s="212"/>
      <c r="BC441" s="212"/>
      <c r="BD441" s="212"/>
      <c r="BE441" s="212"/>
      <c r="BF441" s="452"/>
    </row>
    <row r="442">
      <c r="A442" s="212"/>
      <c r="B442" s="447"/>
      <c r="C442" s="212"/>
      <c r="D442" s="212"/>
      <c r="E442" s="212"/>
      <c r="F442" s="212"/>
      <c r="G442" s="212"/>
      <c r="H442" s="212"/>
      <c r="I442" s="212"/>
      <c r="J442" s="212"/>
      <c r="K442" s="212"/>
      <c r="L442" s="212"/>
      <c r="M442" s="212"/>
      <c r="N442" s="212"/>
      <c r="O442" s="212"/>
      <c r="P442" s="212"/>
      <c r="Q442" s="212"/>
      <c r="R442" s="451"/>
      <c r="S442" s="451"/>
      <c r="T442" s="212"/>
      <c r="U442" s="451"/>
      <c r="V442" s="451"/>
      <c r="W442" s="451"/>
      <c r="X442" s="451"/>
      <c r="Y442" s="212"/>
      <c r="Z442" s="212"/>
      <c r="AA442" s="212"/>
      <c r="AB442" s="212"/>
      <c r="AC442" s="212"/>
      <c r="AD442" s="212"/>
      <c r="AE442" s="450"/>
      <c r="AF442" s="212"/>
      <c r="AG442" s="212"/>
      <c r="AH442" s="212"/>
      <c r="AI442" s="212"/>
      <c r="AJ442" s="212"/>
      <c r="AK442" s="212"/>
      <c r="AL442" s="212"/>
      <c r="AM442" s="212"/>
      <c r="AN442" s="212"/>
      <c r="AO442" s="212"/>
      <c r="AP442" s="212"/>
      <c r="AQ442" s="212"/>
      <c r="AR442" s="212"/>
      <c r="AS442" s="212"/>
      <c r="AT442" s="212"/>
      <c r="AU442" s="212"/>
      <c r="AV442" s="212"/>
      <c r="AW442" s="212"/>
      <c r="AX442" s="212"/>
      <c r="AY442" s="212"/>
      <c r="AZ442" s="452"/>
      <c r="BA442" s="212"/>
      <c r="BB442" s="212"/>
      <c r="BC442" s="212"/>
      <c r="BD442" s="212"/>
      <c r="BE442" s="212"/>
      <c r="BF442" s="452"/>
    </row>
    <row r="443">
      <c r="A443" s="212"/>
      <c r="B443" s="447"/>
      <c r="C443" s="212"/>
      <c r="D443" s="212"/>
      <c r="E443" s="212"/>
      <c r="F443" s="212"/>
      <c r="G443" s="212"/>
      <c r="H443" s="212"/>
      <c r="I443" s="212"/>
      <c r="J443" s="212"/>
      <c r="K443" s="212"/>
      <c r="L443" s="212"/>
      <c r="M443" s="212"/>
      <c r="N443" s="212"/>
      <c r="O443" s="212"/>
      <c r="P443" s="212"/>
      <c r="Q443" s="212"/>
      <c r="R443" s="451"/>
      <c r="S443" s="451"/>
      <c r="T443" s="212"/>
      <c r="U443" s="451"/>
      <c r="V443" s="451"/>
      <c r="W443" s="451"/>
      <c r="X443" s="451"/>
      <c r="Y443" s="212"/>
      <c r="Z443" s="212"/>
      <c r="AA443" s="212"/>
      <c r="AB443" s="212"/>
      <c r="AC443" s="212"/>
      <c r="AD443" s="212"/>
      <c r="AE443" s="450"/>
      <c r="AF443" s="212"/>
      <c r="AG443" s="212"/>
      <c r="AH443" s="212"/>
      <c r="AI443" s="212"/>
      <c r="AJ443" s="212"/>
      <c r="AK443" s="212"/>
      <c r="AL443" s="212"/>
      <c r="AM443" s="212"/>
      <c r="AN443" s="212"/>
      <c r="AO443" s="212"/>
      <c r="AP443" s="212"/>
      <c r="AQ443" s="212"/>
      <c r="AR443" s="212"/>
      <c r="AS443" s="212"/>
      <c r="AT443" s="212"/>
      <c r="AU443" s="212"/>
      <c r="AV443" s="212"/>
      <c r="AW443" s="212"/>
      <c r="AX443" s="212"/>
      <c r="AY443" s="212"/>
      <c r="AZ443" s="452"/>
      <c r="BA443" s="212"/>
      <c r="BB443" s="212"/>
      <c r="BC443" s="212"/>
      <c r="BD443" s="212"/>
      <c r="BE443" s="212"/>
      <c r="BF443" s="452"/>
    </row>
    <row r="444">
      <c r="A444" s="212"/>
      <c r="B444" s="447"/>
      <c r="C444" s="212"/>
      <c r="D444" s="212"/>
      <c r="E444" s="212"/>
      <c r="F444" s="212"/>
      <c r="G444" s="212"/>
      <c r="H444" s="212"/>
      <c r="I444" s="212"/>
      <c r="J444" s="212"/>
      <c r="K444" s="212"/>
      <c r="L444" s="212"/>
      <c r="M444" s="212"/>
      <c r="N444" s="212"/>
      <c r="O444" s="212"/>
      <c r="P444" s="212"/>
      <c r="Q444" s="212"/>
      <c r="R444" s="451"/>
      <c r="S444" s="451"/>
      <c r="T444" s="212"/>
      <c r="U444" s="451"/>
      <c r="V444" s="451"/>
      <c r="W444" s="451"/>
      <c r="X444" s="451"/>
      <c r="Y444" s="212"/>
      <c r="Z444" s="212"/>
      <c r="AA444" s="212"/>
      <c r="AB444" s="212"/>
      <c r="AC444" s="212"/>
      <c r="AD444" s="212"/>
      <c r="AE444" s="450"/>
      <c r="AF444" s="212"/>
      <c r="AG444" s="212"/>
      <c r="AH444" s="212"/>
      <c r="AI444" s="212"/>
      <c r="AJ444" s="212"/>
      <c r="AK444" s="212"/>
      <c r="AL444" s="212"/>
      <c r="AM444" s="212"/>
      <c r="AN444" s="212"/>
      <c r="AO444" s="212"/>
      <c r="AP444" s="212"/>
      <c r="AQ444" s="212"/>
      <c r="AR444" s="212"/>
      <c r="AS444" s="212"/>
      <c r="AT444" s="212"/>
      <c r="AU444" s="212"/>
      <c r="AV444" s="212"/>
      <c r="AW444" s="212"/>
      <c r="AX444" s="212"/>
      <c r="AY444" s="212"/>
      <c r="AZ444" s="452"/>
      <c r="BA444" s="212"/>
      <c r="BB444" s="212"/>
      <c r="BC444" s="212"/>
      <c r="BD444" s="212"/>
      <c r="BE444" s="212"/>
      <c r="BF444" s="452"/>
    </row>
    <row r="445">
      <c r="A445" s="212"/>
      <c r="B445" s="447"/>
      <c r="C445" s="212"/>
      <c r="D445" s="212"/>
      <c r="E445" s="212"/>
      <c r="F445" s="212"/>
      <c r="G445" s="212"/>
      <c r="H445" s="212"/>
      <c r="I445" s="212"/>
      <c r="J445" s="212"/>
      <c r="K445" s="212"/>
      <c r="L445" s="212"/>
      <c r="M445" s="212"/>
      <c r="N445" s="212"/>
      <c r="O445" s="212"/>
      <c r="P445" s="212"/>
      <c r="Q445" s="212"/>
      <c r="R445" s="451"/>
      <c r="S445" s="451"/>
      <c r="T445" s="212"/>
      <c r="U445" s="451"/>
      <c r="V445" s="451"/>
      <c r="W445" s="451"/>
      <c r="X445" s="451"/>
      <c r="Y445" s="212"/>
      <c r="Z445" s="212"/>
      <c r="AA445" s="212"/>
      <c r="AB445" s="212"/>
      <c r="AC445" s="212"/>
      <c r="AD445" s="212"/>
      <c r="AE445" s="450"/>
      <c r="AF445" s="212"/>
      <c r="AG445" s="212"/>
      <c r="AH445" s="212"/>
      <c r="AI445" s="212"/>
      <c r="AJ445" s="212"/>
      <c r="AK445" s="212"/>
      <c r="AL445" s="212"/>
      <c r="AM445" s="212"/>
      <c r="AN445" s="212"/>
      <c r="AO445" s="212"/>
      <c r="AP445" s="212"/>
      <c r="AQ445" s="212"/>
      <c r="AR445" s="212"/>
      <c r="AS445" s="212"/>
      <c r="AT445" s="212"/>
      <c r="AU445" s="212"/>
      <c r="AV445" s="212"/>
      <c r="AW445" s="212"/>
      <c r="AX445" s="212"/>
      <c r="AY445" s="212"/>
      <c r="AZ445" s="452"/>
      <c r="BA445" s="212"/>
      <c r="BB445" s="212"/>
      <c r="BC445" s="212"/>
      <c r="BD445" s="212"/>
      <c r="BE445" s="212"/>
      <c r="BF445" s="452"/>
    </row>
    <row r="446">
      <c r="A446" s="212"/>
      <c r="B446" s="447"/>
      <c r="C446" s="212"/>
      <c r="D446" s="212"/>
      <c r="E446" s="212"/>
      <c r="F446" s="212"/>
      <c r="G446" s="212"/>
      <c r="H446" s="212"/>
      <c r="I446" s="212"/>
      <c r="J446" s="212"/>
      <c r="K446" s="212"/>
      <c r="L446" s="212"/>
      <c r="M446" s="212"/>
      <c r="N446" s="212"/>
      <c r="O446" s="212"/>
      <c r="P446" s="212"/>
      <c r="Q446" s="212"/>
      <c r="R446" s="451"/>
      <c r="S446" s="451"/>
      <c r="T446" s="212"/>
      <c r="U446" s="451"/>
      <c r="V446" s="451"/>
      <c r="W446" s="451"/>
      <c r="X446" s="451"/>
      <c r="Y446" s="212"/>
      <c r="Z446" s="212"/>
      <c r="AA446" s="212"/>
      <c r="AB446" s="212"/>
      <c r="AC446" s="212"/>
      <c r="AD446" s="212"/>
      <c r="AE446" s="450"/>
      <c r="AF446" s="212"/>
      <c r="AG446" s="212"/>
      <c r="AH446" s="212"/>
      <c r="AI446" s="212"/>
      <c r="AJ446" s="212"/>
      <c r="AK446" s="212"/>
      <c r="AL446" s="212"/>
      <c r="AM446" s="212"/>
      <c r="AN446" s="212"/>
      <c r="AO446" s="212"/>
      <c r="AP446" s="212"/>
      <c r="AQ446" s="212"/>
      <c r="AR446" s="212"/>
      <c r="AS446" s="212"/>
      <c r="AT446" s="212"/>
      <c r="AU446" s="212"/>
      <c r="AV446" s="212"/>
      <c r="AW446" s="212"/>
      <c r="AX446" s="212"/>
      <c r="AY446" s="212"/>
      <c r="AZ446" s="452"/>
      <c r="BA446" s="212"/>
      <c r="BB446" s="212"/>
      <c r="BC446" s="212"/>
      <c r="BD446" s="212"/>
      <c r="BE446" s="212"/>
      <c r="BF446" s="452"/>
    </row>
    <row r="447">
      <c r="A447" s="212"/>
      <c r="B447" s="447"/>
      <c r="C447" s="212"/>
      <c r="D447" s="212"/>
      <c r="E447" s="212"/>
      <c r="F447" s="212"/>
      <c r="G447" s="212"/>
      <c r="H447" s="212"/>
      <c r="I447" s="212"/>
      <c r="J447" s="212"/>
      <c r="K447" s="212"/>
      <c r="L447" s="212"/>
      <c r="M447" s="212"/>
      <c r="N447" s="212"/>
      <c r="O447" s="212"/>
      <c r="P447" s="212"/>
      <c r="Q447" s="212"/>
      <c r="R447" s="451"/>
      <c r="S447" s="451"/>
      <c r="T447" s="212"/>
      <c r="U447" s="451"/>
      <c r="V447" s="451"/>
      <c r="W447" s="451"/>
      <c r="X447" s="451"/>
      <c r="Y447" s="212"/>
      <c r="Z447" s="212"/>
      <c r="AA447" s="212"/>
      <c r="AB447" s="212"/>
      <c r="AC447" s="212"/>
      <c r="AD447" s="212"/>
      <c r="AE447" s="450"/>
      <c r="AF447" s="212"/>
      <c r="AG447" s="212"/>
      <c r="AH447" s="212"/>
      <c r="AI447" s="212"/>
      <c r="AJ447" s="212"/>
      <c r="AK447" s="212"/>
      <c r="AL447" s="212"/>
      <c r="AM447" s="212"/>
      <c r="AN447" s="212"/>
      <c r="AO447" s="212"/>
      <c r="AP447" s="212"/>
      <c r="AQ447" s="212"/>
      <c r="AR447" s="212"/>
      <c r="AS447" s="212"/>
      <c r="AT447" s="212"/>
      <c r="AU447" s="212"/>
      <c r="AV447" s="212"/>
      <c r="AW447" s="212"/>
      <c r="AX447" s="212"/>
      <c r="AY447" s="212"/>
      <c r="AZ447" s="452"/>
      <c r="BA447" s="212"/>
      <c r="BB447" s="212"/>
      <c r="BC447" s="212"/>
      <c r="BD447" s="212"/>
      <c r="BE447" s="212"/>
      <c r="BF447" s="452"/>
    </row>
    <row r="448">
      <c r="A448" s="212"/>
      <c r="B448" s="447"/>
      <c r="C448" s="212"/>
      <c r="D448" s="212"/>
      <c r="E448" s="212"/>
      <c r="F448" s="212"/>
      <c r="G448" s="212"/>
      <c r="H448" s="212"/>
      <c r="I448" s="212"/>
      <c r="J448" s="212"/>
      <c r="K448" s="212"/>
      <c r="L448" s="212"/>
      <c r="M448" s="212"/>
      <c r="N448" s="212"/>
      <c r="O448" s="212"/>
      <c r="P448" s="212"/>
      <c r="Q448" s="212"/>
      <c r="R448" s="451"/>
      <c r="S448" s="451"/>
      <c r="T448" s="212"/>
      <c r="U448" s="451"/>
      <c r="V448" s="451"/>
      <c r="W448" s="451"/>
      <c r="X448" s="451"/>
      <c r="Y448" s="212"/>
      <c r="Z448" s="212"/>
      <c r="AA448" s="212"/>
      <c r="AB448" s="212"/>
      <c r="AC448" s="212"/>
      <c r="AD448" s="212"/>
      <c r="AE448" s="450"/>
      <c r="AF448" s="212"/>
      <c r="AG448" s="212"/>
      <c r="AH448" s="212"/>
      <c r="AI448" s="212"/>
      <c r="AJ448" s="212"/>
      <c r="AK448" s="212"/>
      <c r="AL448" s="212"/>
      <c r="AM448" s="212"/>
      <c r="AN448" s="212"/>
      <c r="AO448" s="212"/>
      <c r="AP448" s="212"/>
      <c r="AQ448" s="212"/>
      <c r="AR448" s="212"/>
      <c r="AS448" s="212"/>
      <c r="AT448" s="212"/>
      <c r="AU448" s="212"/>
      <c r="AV448" s="212"/>
      <c r="AW448" s="212"/>
      <c r="AX448" s="212"/>
      <c r="AY448" s="212"/>
      <c r="AZ448" s="452"/>
      <c r="BA448" s="212"/>
      <c r="BB448" s="212"/>
      <c r="BC448" s="212"/>
      <c r="BD448" s="212"/>
      <c r="BE448" s="212"/>
      <c r="BF448" s="452"/>
    </row>
    <row r="449">
      <c r="A449" s="212"/>
      <c r="B449" s="447"/>
      <c r="C449" s="212"/>
      <c r="D449" s="212"/>
      <c r="E449" s="212"/>
      <c r="F449" s="212"/>
      <c r="G449" s="212"/>
      <c r="H449" s="212"/>
      <c r="I449" s="212"/>
      <c r="J449" s="212"/>
      <c r="K449" s="212"/>
      <c r="L449" s="212"/>
      <c r="M449" s="212"/>
      <c r="N449" s="212"/>
      <c r="O449" s="212"/>
      <c r="P449" s="212"/>
      <c r="Q449" s="212"/>
      <c r="R449" s="451"/>
      <c r="S449" s="451"/>
      <c r="T449" s="212"/>
      <c r="U449" s="451"/>
      <c r="V449" s="451"/>
      <c r="W449" s="451"/>
      <c r="X449" s="451"/>
      <c r="Y449" s="212"/>
      <c r="Z449" s="212"/>
      <c r="AA449" s="212"/>
      <c r="AB449" s="212"/>
      <c r="AC449" s="212"/>
      <c r="AD449" s="212"/>
      <c r="AE449" s="450"/>
      <c r="AF449" s="212"/>
      <c r="AG449" s="212"/>
      <c r="AH449" s="212"/>
      <c r="AI449" s="212"/>
      <c r="AJ449" s="212"/>
      <c r="AK449" s="212"/>
      <c r="AL449" s="212"/>
      <c r="AM449" s="212"/>
      <c r="AN449" s="212"/>
      <c r="AO449" s="212"/>
      <c r="AP449" s="212"/>
      <c r="AQ449" s="212"/>
      <c r="AR449" s="212"/>
      <c r="AS449" s="212"/>
      <c r="AT449" s="212"/>
      <c r="AU449" s="212"/>
      <c r="AV449" s="212"/>
      <c r="AW449" s="212"/>
      <c r="AX449" s="212"/>
      <c r="AY449" s="212"/>
      <c r="AZ449" s="452"/>
      <c r="BA449" s="212"/>
      <c r="BB449" s="212"/>
      <c r="BC449" s="212"/>
      <c r="BD449" s="212"/>
      <c r="BE449" s="212"/>
      <c r="BF449" s="452"/>
    </row>
    <row r="450">
      <c r="A450" s="212"/>
      <c r="B450" s="447"/>
      <c r="C450" s="212"/>
      <c r="D450" s="212"/>
      <c r="E450" s="212"/>
      <c r="F450" s="212"/>
      <c r="G450" s="212"/>
      <c r="H450" s="212"/>
      <c r="I450" s="212"/>
      <c r="J450" s="212"/>
      <c r="K450" s="212"/>
      <c r="L450" s="212"/>
      <c r="M450" s="212"/>
      <c r="N450" s="212"/>
      <c r="O450" s="212"/>
      <c r="P450" s="212"/>
      <c r="Q450" s="212"/>
      <c r="R450" s="451"/>
      <c r="S450" s="451"/>
      <c r="T450" s="212"/>
      <c r="U450" s="451"/>
      <c r="V450" s="451"/>
      <c r="W450" s="451"/>
      <c r="X450" s="451"/>
      <c r="Y450" s="212"/>
      <c r="Z450" s="212"/>
      <c r="AA450" s="212"/>
      <c r="AB450" s="212"/>
      <c r="AC450" s="212"/>
      <c r="AD450" s="212"/>
      <c r="AE450" s="450"/>
      <c r="AF450" s="212"/>
      <c r="AG450" s="212"/>
      <c r="AH450" s="212"/>
      <c r="AI450" s="212"/>
      <c r="AJ450" s="212"/>
      <c r="AK450" s="212"/>
      <c r="AL450" s="212"/>
      <c r="AM450" s="212"/>
      <c r="AN450" s="212"/>
      <c r="AO450" s="212"/>
      <c r="AP450" s="212"/>
      <c r="AQ450" s="212"/>
      <c r="AR450" s="212"/>
      <c r="AS450" s="212"/>
      <c r="AT450" s="212"/>
      <c r="AU450" s="212"/>
      <c r="AV450" s="212"/>
      <c r="AW450" s="212"/>
      <c r="AX450" s="212"/>
      <c r="AY450" s="212"/>
      <c r="AZ450" s="452"/>
      <c r="BA450" s="212"/>
      <c r="BB450" s="212"/>
      <c r="BC450" s="212"/>
      <c r="BD450" s="212"/>
      <c r="BE450" s="212"/>
      <c r="BF450" s="452"/>
    </row>
    <row r="451">
      <c r="A451" s="212"/>
      <c r="B451" s="447"/>
      <c r="C451" s="212"/>
      <c r="D451" s="212"/>
      <c r="E451" s="212"/>
      <c r="F451" s="212"/>
      <c r="G451" s="212"/>
      <c r="H451" s="212"/>
      <c r="I451" s="212"/>
      <c r="J451" s="212"/>
      <c r="K451" s="212"/>
      <c r="L451" s="212"/>
      <c r="M451" s="212"/>
      <c r="N451" s="212"/>
      <c r="O451" s="212"/>
      <c r="P451" s="212"/>
      <c r="Q451" s="212"/>
      <c r="R451" s="451"/>
      <c r="S451" s="451"/>
      <c r="T451" s="212"/>
      <c r="U451" s="451"/>
      <c r="V451" s="451"/>
      <c r="W451" s="451"/>
      <c r="X451" s="451"/>
      <c r="Y451" s="212"/>
      <c r="Z451" s="212"/>
      <c r="AA451" s="212"/>
      <c r="AB451" s="212"/>
      <c r="AC451" s="212"/>
      <c r="AD451" s="212"/>
      <c r="AE451" s="450"/>
      <c r="AF451" s="212"/>
      <c r="AG451" s="212"/>
      <c r="AH451" s="212"/>
      <c r="AI451" s="212"/>
      <c r="AJ451" s="212"/>
      <c r="AK451" s="212"/>
      <c r="AL451" s="212"/>
      <c r="AM451" s="212"/>
      <c r="AN451" s="212"/>
      <c r="AO451" s="212"/>
      <c r="AP451" s="212"/>
      <c r="AQ451" s="212"/>
      <c r="AR451" s="212"/>
      <c r="AS451" s="212"/>
      <c r="AT451" s="212"/>
      <c r="AU451" s="212"/>
      <c r="AV451" s="212"/>
      <c r="AW451" s="212"/>
      <c r="AX451" s="212"/>
      <c r="AY451" s="212"/>
      <c r="AZ451" s="452"/>
      <c r="BA451" s="212"/>
      <c r="BB451" s="212"/>
      <c r="BC451" s="212"/>
      <c r="BD451" s="212"/>
      <c r="BE451" s="212"/>
      <c r="BF451" s="452"/>
    </row>
    <row r="452">
      <c r="A452" s="212"/>
      <c r="B452" s="447"/>
      <c r="C452" s="212"/>
      <c r="D452" s="212"/>
      <c r="E452" s="212"/>
      <c r="F452" s="212"/>
      <c r="G452" s="212"/>
      <c r="H452" s="212"/>
      <c r="I452" s="212"/>
      <c r="J452" s="212"/>
      <c r="K452" s="212"/>
      <c r="L452" s="212"/>
      <c r="M452" s="212"/>
      <c r="N452" s="212"/>
      <c r="O452" s="212"/>
      <c r="P452" s="212"/>
      <c r="Q452" s="212"/>
      <c r="R452" s="451"/>
      <c r="S452" s="451"/>
      <c r="T452" s="212"/>
      <c r="U452" s="451"/>
      <c r="V452" s="451"/>
      <c r="W452" s="451"/>
      <c r="X452" s="451"/>
      <c r="Y452" s="212"/>
      <c r="Z452" s="212"/>
      <c r="AA452" s="212"/>
      <c r="AB452" s="212"/>
      <c r="AC452" s="212"/>
      <c r="AD452" s="212"/>
      <c r="AE452" s="450"/>
      <c r="AF452" s="212"/>
      <c r="AG452" s="212"/>
      <c r="AH452" s="212"/>
      <c r="AI452" s="212"/>
      <c r="AJ452" s="212"/>
      <c r="AK452" s="212"/>
      <c r="AL452" s="212"/>
      <c r="AM452" s="212"/>
      <c r="AN452" s="212"/>
      <c r="AO452" s="212"/>
      <c r="AP452" s="212"/>
      <c r="AQ452" s="212"/>
      <c r="AR452" s="212"/>
      <c r="AS452" s="212"/>
      <c r="AT452" s="212"/>
      <c r="AU452" s="212"/>
      <c r="AV452" s="212"/>
      <c r="AW452" s="212"/>
      <c r="AX452" s="212"/>
      <c r="AY452" s="212"/>
      <c r="AZ452" s="452"/>
      <c r="BA452" s="212"/>
      <c r="BB452" s="212"/>
      <c r="BC452" s="212"/>
      <c r="BD452" s="212"/>
      <c r="BE452" s="212"/>
      <c r="BF452" s="452"/>
    </row>
    <row r="453">
      <c r="A453" s="212"/>
      <c r="B453" s="447"/>
      <c r="C453" s="212"/>
      <c r="D453" s="212"/>
      <c r="E453" s="212"/>
      <c r="F453" s="212"/>
      <c r="G453" s="212"/>
      <c r="H453" s="212"/>
      <c r="I453" s="212"/>
      <c r="J453" s="212"/>
      <c r="K453" s="212"/>
      <c r="L453" s="212"/>
      <c r="M453" s="212"/>
      <c r="N453" s="212"/>
      <c r="O453" s="212"/>
      <c r="P453" s="212"/>
      <c r="Q453" s="212"/>
      <c r="R453" s="451"/>
      <c r="S453" s="451"/>
      <c r="T453" s="212"/>
      <c r="U453" s="451"/>
      <c r="V453" s="451"/>
      <c r="W453" s="451"/>
      <c r="X453" s="451"/>
      <c r="Y453" s="212"/>
      <c r="Z453" s="212"/>
      <c r="AA453" s="212"/>
      <c r="AB453" s="212"/>
      <c r="AC453" s="212"/>
      <c r="AD453" s="212"/>
      <c r="AE453" s="450"/>
      <c r="AF453" s="212"/>
      <c r="AG453" s="212"/>
      <c r="AH453" s="212"/>
      <c r="AI453" s="212"/>
      <c r="AJ453" s="212"/>
      <c r="AK453" s="212"/>
      <c r="AL453" s="212"/>
      <c r="AM453" s="212"/>
      <c r="AN453" s="212"/>
      <c r="AO453" s="212"/>
      <c r="AP453" s="212"/>
      <c r="AQ453" s="212"/>
      <c r="AR453" s="212"/>
      <c r="AS453" s="212"/>
      <c r="AT453" s="212"/>
      <c r="AU453" s="212"/>
      <c r="AV453" s="212"/>
      <c r="AW453" s="212"/>
      <c r="AX453" s="212"/>
      <c r="AY453" s="212"/>
      <c r="AZ453" s="452"/>
      <c r="BA453" s="212"/>
      <c r="BB453" s="212"/>
      <c r="BC453" s="212"/>
      <c r="BD453" s="212"/>
      <c r="BE453" s="212"/>
      <c r="BF453" s="452"/>
    </row>
    <row r="454">
      <c r="A454" s="212"/>
      <c r="B454" s="447"/>
      <c r="C454" s="212"/>
      <c r="D454" s="212"/>
      <c r="E454" s="212"/>
      <c r="F454" s="212"/>
      <c r="G454" s="212"/>
      <c r="H454" s="212"/>
      <c r="I454" s="212"/>
      <c r="J454" s="212"/>
      <c r="K454" s="212"/>
      <c r="L454" s="212"/>
      <c r="M454" s="212"/>
      <c r="N454" s="212"/>
      <c r="O454" s="212"/>
      <c r="P454" s="212"/>
      <c r="Q454" s="212"/>
      <c r="R454" s="451"/>
      <c r="S454" s="451"/>
      <c r="T454" s="212"/>
      <c r="U454" s="451"/>
      <c r="V454" s="451"/>
      <c r="W454" s="451"/>
      <c r="X454" s="451"/>
      <c r="Y454" s="212"/>
      <c r="Z454" s="212"/>
      <c r="AA454" s="212"/>
      <c r="AB454" s="212"/>
      <c r="AC454" s="212"/>
      <c r="AD454" s="212"/>
      <c r="AE454" s="450"/>
      <c r="AF454" s="212"/>
      <c r="AG454" s="212"/>
      <c r="AH454" s="212"/>
      <c r="AI454" s="212"/>
      <c r="AJ454" s="212"/>
      <c r="AK454" s="212"/>
      <c r="AL454" s="212"/>
      <c r="AM454" s="212"/>
      <c r="AN454" s="212"/>
      <c r="AO454" s="212"/>
      <c r="AP454" s="212"/>
      <c r="AQ454" s="212"/>
      <c r="AR454" s="212"/>
      <c r="AS454" s="212"/>
      <c r="AT454" s="212"/>
      <c r="AU454" s="212"/>
      <c r="AV454" s="212"/>
      <c r="AW454" s="212"/>
      <c r="AX454" s="212"/>
      <c r="AY454" s="212"/>
      <c r="AZ454" s="452"/>
      <c r="BA454" s="212"/>
      <c r="BB454" s="212"/>
      <c r="BC454" s="212"/>
      <c r="BD454" s="212"/>
      <c r="BE454" s="212"/>
      <c r="BF454" s="452"/>
    </row>
    <row r="455">
      <c r="A455" s="212"/>
      <c r="B455" s="447"/>
      <c r="C455" s="212"/>
      <c r="D455" s="212"/>
      <c r="E455" s="212"/>
      <c r="F455" s="212"/>
      <c r="G455" s="212"/>
      <c r="H455" s="212"/>
      <c r="I455" s="212"/>
      <c r="J455" s="212"/>
      <c r="K455" s="212"/>
      <c r="L455" s="212"/>
      <c r="M455" s="212"/>
      <c r="N455" s="212"/>
      <c r="O455" s="212"/>
      <c r="P455" s="212"/>
      <c r="Q455" s="212"/>
      <c r="R455" s="451"/>
      <c r="S455" s="451"/>
      <c r="T455" s="212"/>
      <c r="U455" s="451"/>
      <c r="V455" s="451"/>
      <c r="W455" s="451"/>
      <c r="X455" s="451"/>
      <c r="Y455" s="212"/>
      <c r="Z455" s="212"/>
      <c r="AA455" s="212"/>
      <c r="AB455" s="212"/>
      <c r="AC455" s="212"/>
      <c r="AD455" s="212"/>
      <c r="AE455" s="450"/>
      <c r="AF455" s="212"/>
      <c r="AG455" s="212"/>
      <c r="AH455" s="212"/>
      <c r="AI455" s="212"/>
      <c r="AJ455" s="212"/>
      <c r="AK455" s="212"/>
      <c r="AL455" s="212"/>
      <c r="AM455" s="212"/>
      <c r="AN455" s="212"/>
      <c r="AO455" s="212"/>
      <c r="AP455" s="212"/>
      <c r="AQ455" s="212"/>
      <c r="AR455" s="212"/>
      <c r="AS455" s="212"/>
      <c r="AT455" s="212"/>
      <c r="AU455" s="212"/>
      <c r="AV455" s="212"/>
      <c r="AW455" s="212"/>
      <c r="AX455" s="212"/>
      <c r="AY455" s="212"/>
      <c r="AZ455" s="452"/>
      <c r="BA455" s="212"/>
      <c r="BB455" s="212"/>
      <c r="BC455" s="212"/>
      <c r="BD455" s="212"/>
      <c r="BE455" s="212"/>
      <c r="BF455" s="452"/>
    </row>
    <row r="456">
      <c r="A456" s="212"/>
      <c r="B456" s="447"/>
      <c r="C456" s="212"/>
      <c r="D456" s="212"/>
      <c r="E456" s="212"/>
      <c r="F456" s="212"/>
      <c r="G456" s="212"/>
      <c r="H456" s="212"/>
      <c r="I456" s="212"/>
      <c r="J456" s="212"/>
      <c r="K456" s="212"/>
      <c r="L456" s="212"/>
      <c r="M456" s="212"/>
      <c r="N456" s="212"/>
      <c r="O456" s="212"/>
      <c r="P456" s="212"/>
      <c r="Q456" s="212"/>
      <c r="R456" s="451"/>
      <c r="S456" s="451"/>
      <c r="T456" s="212"/>
      <c r="U456" s="451"/>
      <c r="V456" s="451"/>
      <c r="W456" s="451"/>
      <c r="X456" s="451"/>
      <c r="Y456" s="212"/>
      <c r="Z456" s="212"/>
      <c r="AA456" s="212"/>
      <c r="AB456" s="212"/>
      <c r="AC456" s="212"/>
      <c r="AD456" s="212"/>
      <c r="AE456" s="450"/>
      <c r="AF456" s="212"/>
      <c r="AG456" s="212"/>
      <c r="AH456" s="212"/>
      <c r="AI456" s="212"/>
      <c r="AJ456" s="212"/>
      <c r="AK456" s="212"/>
      <c r="AL456" s="212"/>
      <c r="AM456" s="212"/>
      <c r="AN456" s="212"/>
      <c r="AO456" s="212"/>
      <c r="AP456" s="212"/>
      <c r="AQ456" s="212"/>
      <c r="AR456" s="212"/>
      <c r="AS456" s="212"/>
      <c r="AT456" s="212"/>
      <c r="AU456" s="212"/>
      <c r="AV456" s="212"/>
      <c r="AW456" s="212"/>
      <c r="AX456" s="212"/>
      <c r="AY456" s="212"/>
      <c r="AZ456" s="452"/>
      <c r="BA456" s="212"/>
      <c r="BB456" s="212"/>
      <c r="BC456" s="212"/>
      <c r="BD456" s="212"/>
      <c r="BE456" s="212"/>
      <c r="BF456" s="452"/>
    </row>
    <row r="457">
      <c r="A457" s="212"/>
      <c r="B457" s="447"/>
      <c r="C457" s="212"/>
      <c r="D457" s="212"/>
      <c r="E457" s="212"/>
      <c r="F457" s="212"/>
      <c r="G457" s="212"/>
      <c r="H457" s="212"/>
      <c r="I457" s="212"/>
      <c r="J457" s="212"/>
      <c r="K457" s="212"/>
      <c r="L457" s="212"/>
      <c r="M457" s="212"/>
      <c r="N457" s="212"/>
      <c r="O457" s="212"/>
      <c r="P457" s="212"/>
      <c r="Q457" s="212"/>
      <c r="R457" s="451"/>
      <c r="S457" s="451"/>
      <c r="T457" s="212"/>
      <c r="U457" s="451"/>
      <c r="V457" s="451"/>
      <c r="W457" s="451"/>
      <c r="X457" s="451"/>
      <c r="Y457" s="212"/>
      <c r="Z457" s="212"/>
      <c r="AA457" s="212"/>
      <c r="AB457" s="212"/>
      <c r="AC457" s="212"/>
      <c r="AD457" s="212"/>
      <c r="AE457" s="450"/>
      <c r="AF457" s="212"/>
      <c r="AG457" s="212"/>
      <c r="AH457" s="212"/>
      <c r="AI457" s="212"/>
      <c r="AJ457" s="212"/>
      <c r="AK457" s="212"/>
      <c r="AL457" s="212"/>
      <c r="AM457" s="212"/>
      <c r="AN457" s="212"/>
      <c r="AO457" s="212"/>
      <c r="AP457" s="212"/>
      <c r="AQ457" s="212"/>
      <c r="AR457" s="212"/>
      <c r="AS457" s="212"/>
      <c r="AT457" s="212"/>
      <c r="AU457" s="212"/>
      <c r="AV457" s="212"/>
      <c r="AW457" s="212"/>
      <c r="AX457" s="212"/>
      <c r="AY457" s="212"/>
      <c r="AZ457" s="452"/>
      <c r="BA457" s="212"/>
      <c r="BB457" s="212"/>
      <c r="BC457" s="212"/>
      <c r="BD457" s="212"/>
      <c r="BE457" s="212"/>
      <c r="BF457" s="452"/>
    </row>
    <row r="458">
      <c r="A458" s="212"/>
      <c r="B458" s="447"/>
      <c r="C458" s="212"/>
      <c r="D458" s="212"/>
      <c r="E458" s="212"/>
      <c r="F458" s="212"/>
      <c r="G458" s="212"/>
      <c r="H458" s="212"/>
      <c r="I458" s="212"/>
      <c r="J458" s="212"/>
      <c r="K458" s="212"/>
      <c r="L458" s="212"/>
      <c r="M458" s="212"/>
      <c r="N458" s="212"/>
      <c r="O458" s="212"/>
      <c r="P458" s="212"/>
      <c r="Q458" s="212"/>
      <c r="R458" s="451"/>
      <c r="S458" s="451"/>
      <c r="T458" s="212"/>
      <c r="U458" s="451"/>
      <c r="V458" s="451"/>
      <c r="W458" s="451"/>
      <c r="X458" s="451"/>
      <c r="Y458" s="212"/>
      <c r="Z458" s="212"/>
      <c r="AA458" s="212"/>
      <c r="AB458" s="212"/>
      <c r="AC458" s="212"/>
      <c r="AD458" s="212"/>
      <c r="AE458" s="450"/>
      <c r="AF458" s="212"/>
      <c r="AG458" s="212"/>
      <c r="AH458" s="212"/>
      <c r="AI458" s="212"/>
      <c r="AJ458" s="212"/>
      <c r="AK458" s="212"/>
      <c r="AL458" s="212"/>
      <c r="AM458" s="212"/>
      <c r="AN458" s="212"/>
      <c r="AO458" s="212"/>
      <c r="AP458" s="212"/>
      <c r="AQ458" s="212"/>
      <c r="AR458" s="212"/>
      <c r="AS458" s="212"/>
      <c r="AT458" s="212"/>
      <c r="AU458" s="212"/>
      <c r="AV458" s="212"/>
      <c r="AW458" s="212"/>
      <c r="AX458" s="212"/>
      <c r="AY458" s="212"/>
      <c r="AZ458" s="452"/>
      <c r="BA458" s="212"/>
      <c r="BB458" s="212"/>
      <c r="BC458" s="212"/>
      <c r="BD458" s="212"/>
      <c r="BE458" s="212"/>
      <c r="BF458" s="452"/>
    </row>
    <row r="459">
      <c r="A459" s="212"/>
      <c r="B459" s="447"/>
      <c r="C459" s="212"/>
      <c r="D459" s="212"/>
      <c r="E459" s="212"/>
      <c r="F459" s="212"/>
      <c r="G459" s="212"/>
      <c r="H459" s="212"/>
      <c r="I459" s="212"/>
      <c r="J459" s="212"/>
      <c r="K459" s="212"/>
      <c r="L459" s="212"/>
      <c r="M459" s="212"/>
      <c r="N459" s="212"/>
      <c r="O459" s="212"/>
      <c r="P459" s="212"/>
      <c r="Q459" s="212"/>
      <c r="R459" s="451"/>
      <c r="S459" s="451"/>
      <c r="T459" s="212"/>
      <c r="U459" s="451"/>
      <c r="V459" s="451"/>
      <c r="W459" s="451"/>
      <c r="X459" s="451"/>
      <c r="Y459" s="212"/>
      <c r="Z459" s="212"/>
      <c r="AA459" s="212"/>
      <c r="AB459" s="212"/>
      <c r="AC459" s="212"/>
      <c r="AD459" s="212"/>
      <c r="AE459" s="450"/>
      <c r="AF459" s="212"/>
      <c r="AG459" s="212"/>
      <c r="AH459" s="212"/>
      <c r="AI459" s="212"/>
      <c r="AJ459" s="212"/>
      <c r="AK459" s="212"/>
      <c r="AL459" s="212"/>
      <c r="AM459" s="212"/>
      <c r="AN459" s="212"/>
      <c r="AO459" s="212"/>
      <c r="AP459" s="212"/>
      <c r="AQ459" s="212"/>
      <c r="AR459" s="212"/>
      <c r="AS459" s="212"/>
      <c r="AT459" s="212"/>
      <c r="AU459" s="212"/>
      <c r="AV459" s="212"/>
      <c r="AW459" s="212"/>
      <c r="AX459" s="212"/>
      <c r="AY459" s="212"/>
      <c r="AZ459" s="452"/>
      <c r="BA459" s="212"/>
      <c r="BB459" s="212"/>
      <c r="BC459" s="212"/>
      <c r="BD459" s="212"/>
      <c r="BE459" s="212"/>
      <c r="BF459" s="452"/>
    </row>
    <row r="460">
      <c r="A460" s="212"/>
      <c r="B460" s="447"/>
      <c r="C460" s="212"/>
      <c r="D460" s="212"/>
      <c r="E460" s="212"/>
      <c r="F460" s="212"/>
      <c r="G460" s="212"/>
      <c r="H460" s="212"/>
      <c r="I460" s="212"/>
      <c r="J460" s="212"/>
      <c r="K460" s="212"/>
      <c r="L460" s="212"/>
      <c r="M460" s="212"/>
      <c r="N460" s="212"/>
      <c r="O460" s="212"/>
      <c r="P460" s="212"/>
      <c r="Q460" s="212"/>
      <c r="R460" s="451"/>
      <c r="S460" s="451"/>
      <c r="T460" s="212"/>
      <c r="U460" s="451"/>
      <c r="V460" s="451"/>
      <c r="W460" s="451"/>
      <c r="X460" s="451"/>
      <c r="Y460" s="212"/>
      <c r="Z460" s="212"/>
      <c r="AA460" s="212"/>
      <c r="AB460" s="212"/>
      <c r="AC460" s="212"/>
      <c r="AD460" s="212"/>
      <c r="AE460" s="450"/>
      <c r="AF460" s="212"/>
      <c r="AG460" s="212"/>
      <c r="AH460" s="212"/>
      <c r="AI460" s="212"/>
      <c r="AJ460" s="212"/>
      <c r="AK460" s="212"/>
      <c r="AL460" s="212"/>
      <c r="AM460" s="212"/>
      <c r="AN460" s="212"/>
      <c r="AO460" s="212"/>
      <c r="AP460" s="212"/>
      <c r="AQ460" s="212"/>
      <c r="AR460" s="212"/>
      <c r="AS460" s="212"/>
      <c r="AT460" s="212"/>
      <c r="AU460" s="212"/>
      <c r="AV460" s="212"/>
      <c r="AW460" s="212"/>
      <c r="AX460" s="212"/>
      <c r="AY460" s="212"/>
      <c r="AZ460" s="452"/>
      <c r="BA460" s="212"/>
      <c r="BB460" s="212"/>
      <c r="BC460" s="212"/>
      <c r="BD460" s="212"/>
      <c r="BE460" s="212"/>
      <c r="BF460" s="452"/>
    </row>
    <row r="461">
      <c r="A461" s="212"/>
      <c r="B461" s="447"/>
      <c r="C461" s="212"/>
      <c r="D461" s="212"/>
      <c r="E461" s="212"/>
      <c r="F461" s="212"/>
      <c r="G461" s="212"/>
      <c r="H461" s="212"/>
      <c r="I461" s="212"/>
      <c r="J461" s="212"/>
      <c r="K461" s="212"/>
      <c r="L461" s="212"/>
      <c r="M461" s="212"/>
      <c r="N461" s="212"/>
      <c r="O461" s="212"/>
      <c r="P461" s="212"/>
      <c r="Q461" s="212"/>
      <c r="R461" s="451"/>
      <c r="S461" s="451"/>
      <c r="T461" s="212"/>
      <c r="U461" s="451"/>
      <c r="V461" s="451"/>
      <c r="W461" s="451"/>
      <c r="X461" s="451"/>
      <c r="Y461" s="212"/>
      <c r="Z461" s="212"/>
      <c r="AA461" s="212"/>
      <c r="AB461" s="212"/>
      <c r="AC461" s="212"/>
      <c r="AD461" s="212"/>
      <c r="AE461" s="450"/>
      <c r="AF461" s="212"/>
      <c r="AG461" s="212"/>
      <c r="AH461" s="212"/>
      <c r="AI461" s="212"/>
      <c r="AJ461" s="212"/>
      <c r="AK461" s="212"/>
      <c r="AL461" s="212"/>
      <c r="AM461" s="212"/>
      <c r="AN461" s="212"/>
      <c r="AO461" s="212"/>
      <c r="AP461" s="212"/>
      <c r="AQ461" s="212"/>
      <c r="AR461" s="212"/>
      <c r="AS461" s="212"/>
      <c r="AT461" s="212"/>
      <c r="AU461" s="212"/>
      <c r="AV461" s="212"/>
      <c r="AW461" s="212"/>
      <c r="AX461" s="212"/>
      <c r="AY461" s="212"/>
      <c r="AZ461" s="452"/>
      <c r="BA461" s="212"/>
      <c r="BB461" s="212"/>
      <c r="BC461" s="212"/>
      <c r="BD461" s="212"/>
      <c r="BE461" s="212"/>
      <c r="BF461" s="452"/>
    </row>
    <row r="462">
      <c r="A462" s="212"/>
      <c r="B462" s="447"/>
      <c r="C462" s="212"/>
      <c r="D462" s="212"/>
      <c r="E462" s="212"/>
      <c r="F462" s="212"/>
      <c r="G462" s="212"/>
      <c r="H462" s="212"/>
      <c r="I462" s="212"/>
      <c r="J462" s="212"/>
      <c r="K462" s="212"/>
      <c r="L462" s="212"/>
      <c r="M462" s="212"/>
      <c r="N462" s="212"/>
      <c r="O462" s="212"/>
      <c r="P462" s="212"/>
      <c r="Q462" s="212"/>
      <c r="R462" s="451"/>
      <c r="S462" s="451"/>
      <c r="T462" s="212"/>
      <c r="U462" s="451"/>
      <c r="V462" s="451"/>
      <c r="W462" s="451"/>
      <c r="X462" s="451"/>
      <c r="Y462" s="212"/>
      <c r="Z462" s="212"/>
      <c r="AA462" s="212"/>
      <c r="AB462" s="212"/>
      <c r="AC462" s="212"/>
      <c r="AD462" s="212"/>
      <c r="AE462" s="450"/>
      <c r="AF462" s="212"/>
      <c r="AG462" s="212"/>
      <c r="AH462" s="212"/>
      <c r="AI462" s="212"/>
      <c r="AJ462" s="212"/>
      <c r="AK462" s="212"/>
      <c r="AL462" s="212"/>
      <c r="AM462" s="212"/>
      <c r="AN462" s="212"/>
      <c r="AO462" s="212"/>
      <c r="AP462" s="212"/>
      <c r="AQ462" s="212"/>
      <c r="AR462" s="212"/>
      <c r="AS462" s="212"/>
      <c r="AT462" s="212"/>
      <c r="AU462" s="212"/>
      <c r="AV462" s="212"/>
      <c r="AW462" s="212"/>
      <c r="AX462" s="212"/>
      <c r="AY462" s="212"/>
      <c r="AZ462" s="452"/>
      <c r="BA462" s="212"/>
      <c r="BB462" s="212"/>
      <c r="BC462" s="212"/>
      <c r="BD462" s="212"/>
      <c r="BE462" s="212"/>
      <c r="BF462" s="452"/>
    </row>
    <row r="463">
      <c r="A463" s="212"/>
      <c r="B463" s="447"/>
      <c r="C463" s="212"/>
      <c r="D463" s="212"/>
      <c r="E463" s="212"/>
      <c r="F463" s="212"/>
      <c r="G463" s="212"/>
      <c r="H463" s="212"/>
      <c r="I463" s="212"/>
      <c r="J463" s="212"/>
      <c r="K463" s="212"/>
      <c r="L463" s="212"/>
      <c r="M463" s="212"/>
      <c r="N463" s="212"/>
      <c r="O463" s="212"/>
      <c r="P463" s="212"/>
      <c r="Q463" s="212"/>
      <c r="R463" s="451"/>
      <c r="S463" s="451"/>
      <c r="T463" s="212"/>
      <c r="U463" s="451"/>
      <c r="V463" s="451"/>
      <c r="W463" s="451"/>
      <c r="X463" s="451"/>
      <c r="Y463" s="212"/>
      <c r="Z463" s="212"/>
      <c r="AA463" s="212"/>
      <c r="AB463" s="212"/>
      <c r="AC463" s="212"/>
      <c r="AD463" s="212"/>
      <c r="AE463" s="450"/>
      <c r="AF463" s="212"/>
      <c r="AG463" s="212"/>
      <c r="AH463" s="212"/>
      <c r="AI463" s="212"/>
      <c r="AJ463" s="212"/>
      <c r="AK463" s="212"/>
      <c r="AL463" s="212"/>
      <c r="AM463" s="212"/>
      <c r="AN463" s="212"/>
      <c r="AO463" s="212"/>
      <c r="AP463" s="212"/>
      <c r="AQ463" s="212"/>
      <c r="AR463" s="212"/>
      <c r="AS463" s="212"/>
      <c r="AT463" s="212"/>
      <c r="AU463" s="212"/>
      <c r="AV463" s="212"/>
      <c r="AW463" s="212"/>
      <c r="AX463" s="212"/>
      <c r="AY463" s="212"/>
      <c r="AZ463" s="452"/>
      <c r="BA463" s="212"/>
      <c r="BB463" s="212"/>
      <c r="BC463" s="212"/>
      <c r="BD463" s="212"/>
      <c r="BE463" s="212"/>
      <c r="BF463" s="452"/>
    </row>
    <row r="464">
      <c r="A464" s="212"/>
      <c r="B464" s="447"/>
      <c r="C464" s="212"/>
      <c r="D464" s="212"/>
      <c r="E464" s="212"/>
      <c r="F464" s="212"/>
      <c r="G464" s="212"/>
      <c r="H464" s="212"/>
      <c r="I464" s="212"/>
      <c r="J464" s="212"/>
      <c r="K464" s="212"/>
      <c r="L464" s="212"/>
      <c r="M464" s="212"/>
      <c r="N464" s="212"/>
      <c r="O464" s="212"/>
      <c r="P464" s="212"/>
      <c r="Q464" s="212"/>
      <c r="R464" s="451"/>
      <c r="S464" s="451"/>
      <c r="T464" s="212"/>
      <c r="U464" s="451"/>
      <c r="V464" s="451"/>
      <c r="W464" s="451"/>
      <c r="X464" s="451"/>
      <c r="Y464" s="212"/>
      <c r="Z464" s="212"/>
      <c r="AA464" s="212"/>
      <c r="AB464" s="212"/>
      <c r="AC464" s="212"/>
      <c r="AD464" s="212"/>
      <c r="AE464" s="450"/>
      <c r="AF464" s="212"/>
      <c r="AG464" s="212"/>
      <c r="AH464" s="212"/>
      <c r="AI464" s="212"/>
      <c r="AJ464" s="212"/>
      <c r="AK464" s="212"/>
      <c r="AL464" s="212"/>
      <c r="AM464" s="212"/>
      <c r="AN464" s="212"/>
      <c r="AO464" s="212"/>
      <c r="AP464" s="212"/>
      <c r="AQ464" s="212"/>
      <c r="AR464" s="212"/>
      <c r="AS464" s="212"/>
      <c r="AT464" s="212"/>
      <c r="AU464" s="212"/>
      <c r="AV464" s="212"/>
      <c r="AW464" s="212"/>
      <c r="AX464" s="212"/>
      <c r="AY464" s="212"/>
      <c r="AZ464" s="452"/>
      <c r="BA464" s="212"/>
      <c r="BB464" s="212"/>
      <c r="BC464" s="212"/>
      <c r="BD464" s="212"/>
      <c r="BE464" s="212"/>
      <c r="BF464" s="452"/>
    </row>
    <row r="465">
      <c r="A465" s="212"/>
      <c r="B465" s="447"/>
      <c r="C465" s="212"/>
      <c r="D465" s="212"/>
      <c r="E465" s="212"/>
      <c r="F465" s="212"/>
      <c r="G465" s="212"/>
      <c r="H465" s="212"/>
      <c r="I465" s="212"/>
      <c r="J465" s="212"/>
      <c r="K465" s="212"/>
      <c r="L465" s="212"/>
      <c r="M465" s="212"/>
      <c r="N465" s="212"/>
      <c r="O465" s="212"/>
      <c r="P465" s="212"/>
      <c r="Q465" s="212"/>
      <c r="R465" s="451"/>
      <c r="S465" s="451"/>
      <c r="T465" s="212"/>
      <c r="U465" s="451"/>
      <c r="V465" s="451"/>
      <c r="W465" s="451"/>
      <c r="X465" s="451"/>
      <c r="Y465" s="212"/>
      <c r="Z465" s="212"/>
      <c r="AA465" s="212"/>
      <c r="AB465" s="212"/>
      <c r="AC465" s="212"/>
      <c r="AD465" s="212"/>
      <c r="AE465" s="450"/>
      <c r="AF465" s="212"/>
      <c r="AG465" s="212"/>
      <c r="AH465" s="212"/>
      <c r="AI465" s="212"/>
      <c r="AJ465" s="212"/>
      <c r="AK465" s="212"/>
      <c r="AL465" s="212"/>
      <c r="AM465" s="212"/>
      <c r="AN465" s="212"/>
      <c r="AO465" s="212"/>
      <c r="AP465" s="212"/>
      <c r="AQ465" s="212"/>
      <c r="AR465" s="212"/>
      <c r="AS465" s="212"/>
      <c r="AT465" s="212"/>
      <c r="AU465" s="212"/>
      <c r="AV465" s="212"/>
      <c r="AW465" s="212"/>
      <c r="AX465" s="212"/>
      <c r="AY465" s="212"/>
      <c r="AZ465" s="452"/>
      <c r="BA465" s="212"/>
      <c r="BB465" s="212"/>
      <c r="BC465" s="212"/>
      <c r="BD465" s="212"/>
      <c r="BE465" s="212"/>
      <c r="BF465" s="452"/>
    </row>
    <row r="466">
      <c r="A466" s="212"/>
      <c r="B466" s="447"/>
      <c r="C466" s="212"/>
      <c r="D466" s="212"/>
      <c r="E466" s="212"/>
      <c r="F466" s="212"/>
      <c r="G466" s="212"/>
      <c r="H466" s="212"/>
      <c r="I466" s="212"/>
      <c r="J466" s="212"/>
      <c r="K466" s="212"/>
      <c r="L466" s="212"/>
      <c r="M466" s="212"/>
      <c r="N466" s="212"/>
      <c r="O466" s="212"/>
      <c r="P466" s="212"/>
      <c r="Q466" s="212"/>
      <c r="R466" s="451"/>
      <c r="S466" s="451"/>
      <c r="T466" s="212"/>
      <c r="U466" s="451"/>
      <c r="V466" s="451"/>
      <c r="W466" s="451"/>
      <c r="X466" s="451"/>
      <c r="Y466" s="212"/>
      <c r="Z466" s="212"/>
      <c r="AA466" s="212"/>
      <c r="AB466" s="212"/>
      <c r="AC466" s="212"/>
      <c r="AD466" s="212"/>
      <c r="AE466" s="450"/>
      <c r="AF466" s="212"/>
      <c r="AG466" s="212"/>
      <c r="AH466" s="212"/>
      <c r="AI466" s="212"/>
      <c r="AJ466" s="212"/>
      <c r="AK466" s="212"/>
      <c r="AL466" s="212"/>
      <c r="AM466" s="212"/>
      <c r="AN466" s="212"/>
      <c r="AO466" s="212"/>
      <c r="AP466" s="212"/>
      <c r="AQ466" s="212"/>
      <c r="AR466" s="212"/>
      <c r="AS466" s="212"/>
      <c r="AT466" s="212"/>
      <c r="AU466" s="212"/>
      <c r="AV466" s="212"/>
      <c r="AW466" s="212"/>
      <c r="AX466" s="212"/>
      <c r="AY466" s="212"/>
      <c r="AZ466" s="452"/>
      <c r="BA466" s="212"/>
      <c r="BB466" s="212"/>
      <c r="BC466" s="212"/>
      <c r="BD466" s="212"/>
      <c r="BE466" s="212"/>
      <c r="BF466" s="452"/>
    </row>
    <row r="467">
      <c r="A467" s="212"/>
      <c r="B467" s="447"/>
      <c r="C467" s="212"/>
      <c r="D467" s="212"/>
      <c r="E467" s="212"/>
      <c r="F467" s="212"/>
      <c r="G467" s="212"/>
      <c r="H467" s="212"/>
      <c r="I467" s="212"/>
      <c r="J467" s="212"/>
      <c r="K467" s="212"/>
      <c r="L467" s="212"/>
      <c r="M467" s="212"/>
      <c r="N467" s="212"/>
      <c r="O467" s="212"/>
      <c r="P467" s="212"/>
      <c r="Q467" s="212"/>
      <c r="R467" s="451"/>
      <c r="S467" s="451"/>
      <c r="T467" s="212"/>
      <c r="U467" s="451"/>
      <c r="V467" s="451"/>
      <c r="W467" s="451"/>
      <c r="X467" s="451"/>
      <c r="Y467" s="212"/>
      <c r="Z467" s="212"/>
      <c r="AA467" s="212"/>
      <c r="AB467" s="212"/>
      <c r="AC467" s="212"/>
      <c r="AD467" s="212"/>
      <c r="AE467" s="450"/>
      <c r="AF467" s="212"/>
      <c r="AG467" s="212"/>
      <c r="AH467" s="212"/>
      <c r="AI467" s="212"/>
      <c r="AJ467" s="212"/>
      <c r="AK467" s="212"/>
      <c r="AL467" s="212"/>
      <c r="AM467" s="212"/>
      <c r="AN467" s="212"/>
      <c r="AO467" s="212"/>
      <c r="AP467" s="212"/>
      <c r="AQ467" s="212"/>
      <c r="AR467" s="212"/>
      <c r="AS467" s="212"/>
      <c r="AT467" s="212"/>
      <c r="AU467" s="212"/>
      <c r="AV467" s="212"/>
      <c r="AW467" s="212"/>
      <c r="AX467" s="212"/>
      <c r="AY467" s="212"/>
      <c r="AZ467" s="452"/>
      <c r="BA467" s="212"/>
      <c r="BB467" s="212"/>
      <c r="BC467" s="212"/>
      <c r="BD467" s="212"/>
      <c r="BE467" s="212"/>
      <c r="BF467" s="452"/>
    </row>
    <row r="468">
      <c r="A468" s="212"/>
      <c r="B468" s="447"/>
      <c r="C468" s="212"/>
      <c r="D468" s="212"/>
      <c r="E468" s="212"/>
      <c r="F468" s="212"/>
      <c r="G468" s="212"/>
      <c r="H468" s="212"/>
      <c r="I468" s="212"/>
      <c r="J468" s="212"/>
      <c r="K468" s="212"/>
      <c r="L468" s="212"/>
      <c r="M468" s="212"/>
      <c r="N468" s="212"/>
      <c r="O468" s="212"/>
      <c r="P468" s="212"/>
      <c r="Q468" s="212"/>
      <c r="R468" s="451"/>
      <c r="S468" s="451"/>
      <c r="T468" s="212"/>
      <c r="U468" s="451"/>
      <c r="V468" s="451"/>
      <c r="W468" s="451"/>
      <c r="X468" s="451"/>
      <c r="Y468" s="212"/>
      <c r="Z468" s="212"/>
      <c r="AA468" s="212"/>
      <c r="AB468" s="212"/>
      <c r="AC468" s="212"/>
      <c r="AD468" s="212"/>
      <c r="AE468" s="450"/>
      <c r="AF468" s="212"/>
      <c r="AG468" s="212"/>
      <c r="AH468" s="212"/>
      <c r="AI468" s="212"/>
      <c r="AJ468" s="212"/>
      <c r="AK468" s="212"/>
      <c r="AL468" s="212"/>
      <c r="AM468" s="212"/>
      <c r="AN468" s="212"/>
      <c r="AO468" s="212"/>
      <c r="AP468" s="212"/>
      <c r="AQ468" s="212"/>
      <c r="AR468" s="212"/>
      <c r="AS468" s="212"/>
      <c r="AT468" s="212"/>
      <c r="AU468" s="212"/>
      <c r="AV468" s="212"/>
      <c r="AW468" s="212"/>
      <c r="AX468" s="212"/>
      <c r="AY468" s="212"/>
      <c r="AZ468" s="452"/>
      <c r="BA468" s="212"/>
      <c r="BB468" s="212"/>
      <c r="BC468" s="212"/>
      <c r="BD468" s="212"/>
      <c r="BE468" s="212"/>
      <c r="BF468" s="452"/>
    </row>
    <row r="469">
      <c r="A469" s="212"/>
      <c r="B469" s="447"/>
      <c r="C469" s="212"/>
      <c r="D469" s="212"/>
      <c r="E469" s="212"/>
      <c r="F469" s="212"/>
      <c r="G469" s="212"/>
      <c r="H469" s="212"/>
      <c r="I469" s="212"/>
      <c r="J469" s="212"/>
      <c r="K469" s="212"/>
      <c r="L469" s="212"/>
      <c r="M469" s="212"/>
      <c r="N469" s="212"/>
      <c r="O469" s="212"/>
      <c r="P469" s="212"/>
      <c r="Q469" s="212"/>
      <c r="R469" s="451"/>
      <c r="S469" s="451"/>
      <c r="T469" s="212"/>
      <c r="U469" s="451"/>
      <c r="V469" s="451"/>
      <c r="W469" s="451"/>
      <c r="X469" s="451"/>
      <c r="Y469" s="212"/>
      <c r="Z469" s="212"/>
      <c r="AA469" s="212"/>
      <c r="AB469" s="212"/>
      <c r="AC469" s="212"/>
      <c r="AD469" s="212"/>
      <c r="AE469" s="450"/>
      <c r="AF469" s="212"/>
      <c r="AG469" s="212"/>
      <c r="AH469" s="212"/>
      <c r="AI469" s="212"/>
      <c r="AJ469" s="212"/>
      <c r="AK469" s="212"/>
      <c r="AL469" s="212"/>
      <c r="AM469" s="212"/>
      <c r="AN469" s="212"/>
      <c r="AO469" s="212"/>
      <c r="AP469" s="212"/>
      <c r="AQ469" s="212"/>
      <c r="AR469" s="212"/>
      <c r="AS469" s="212"/>
      <c r="AT469" s="212"/>
      <c r="AU469" s="212"/>
      <c r="AV469" s="212"/>
      <c r="AW469" s="212"/>
      <c r="AX469" s="212"/>
      <c r="AY469" s="212"/>
      <c r="AZ469" s="452"/>
      <c r="BA469" s="212"/>
      <c r="BB469" s="212"/>
      <c r="BC469" s="212"/>
      <c r="BD469" s="212"/>
      <c r="BE469" s="212"/>
      <c r="BF469" s="452"/>
    </row>
    <row r="470">
      <c r="A470" s="212"/>
      <c r="B470" s="447"/>
      <c r="C470" s="212"/>
      <c r="D470" s="212"/>
      <c r="E470" s="212"/>
      <c r="F470" s="212"/>
      <c r="G470" s="212"/>
      <c r="H470" s="212"/>
      <c r="I470" s="212"/>
      <c r="J470" s="212"/>
      <c r="K470" s="212"/>
      <c r="L470" s="212"/>
      <c r="M470" s="212"/>
      <c r="N470" s="212"/>
      <c r="O470" s="212"/>
      <c r="P470" s="212"/>
      <c r="Q470" s="212"/>
      <c r="R470" s="451"/>
      <c r="S470" s="451"/>
      <c r="T470" s="212"/>
      <c r="U470" s="451"/>
      <c r="V470" s="451"/>
      <c r="W470" s="451"/>
      <c r="X470" s="451"/>
      <c r="Y470" s="212"/>
      <c r="Z470" s="212"/>
      <c r="AA470" s="212"/>
      <c r="AB470" s="212"/>
      <c r="AC470" s="212"/>
      <c r="AD470" s="212"/>
      <c r="AE470" s="450"/>
      <c r="AF470" s="212"/>
      <c r="AG470" s="212"/>
      <c r="AH470" s="212"/>
      <c r="AI470" s="212"/>
      <c r="AJ470" s="212"/>
      <c r="AK470" s="212"/>
      <c r="AL470" s="212"/>
      <c r="AM470" s="212"/>
      <c r="AN470" s="212"/>
      <c r="AO470" s="212"/>
      <c r="AP470" s="212"/>
      <c r="AQ470" s="212"/>
      <c r="AR470" s="212"/>
      <c r="AS470" s="212"/>
      <c r="AT470" s="212"/>
      <c r="AU470" s="212"/>
      <c r="AV470" s="212"/>
      <c r="AW470" s="212"/>
      <c r="AX470" s="212"/>
      <c r="AY470" s="212"/>
      <c r="AZ470" s="452"/>
      <c r="BA470" s="212"/>
      <c r="BB470" s="212"/>
      <c r="BC470" s="212"/>
      <c r="BD470" s="212"/>
      <c r="BE470" s="212"/>
      <c r="BF470" s="452"/>
    </row>
    <row r="471">
      <c r="A471" s="212"/>
      <c r="B471" s="447"/>
      <c r="C471" s="212"/>
      <c r="D471" s="212"/>
      <c r="E471" s="212"/>
      <c r="F471" s="212"/>
      <c r="G471" s="212"/>
      <c r="H471" s="212"/>
      <c r="I471" s="212"/>
      <c r="J471" s="212"/>
      <c r="K471" s="212"/>
      <c r="L471" s="212"/>
      <c r="M471" s="212"/>
      <c r="N471" s="212"/>
      <c r="O471" s="212"/>
      <c r="P471" s="212"/>
      <c r="Q471" s="212"/>
      <c r="R471" s="451"/>
      <c r="S471" s="451"/>
      <c r="T471" s="212"/>
      <c r="U471" s="451"/>
      <c r="V471" s="451"/>
      <c r="W471" s="451"/>
      <c r="X471" s="451"/>
      <c r="Y471" s="212"/>
      <c r="Z471" s="212"/>
      <c r="AA471" s="212"/>
      <c r="AB471" s="212"/>
      <c r="AC471" s="212"/>
      <c r="AD471" s="212"/>
      <c r="AE471" s="450"/>
      <c r="AF471" s="212"/>
      <c r="AG471" s="212"/>
      <c r="AH471" s="212"/>
      <c r="AI471" s="212"/>
      <c r="AJ471" s="212"/>
      <c r="AK471" s="212"/>
      <c r="AL471" s="212"/>
      <c r="AM471" s="212"/>
      <c r="AN471" s="212"/>
      <c r="AO471" s="212"/>
      <c r="AP471" s="212"/>
      <c r="AQ471" s="212"/>
      <c r="AR471" s="212"/>
      <c r="AS471" s="212"/>
      <c r="AT471" s="212"/>
      <c r="AU471" s="212"/>
      <c r="AV471" s="212"/>
      <c r="AW471" s="212"/>
      <c r="AX471" s="212"/>
      <c r="AY471" s="212"/>
      <c r="AZ471" s="452"/>
      <c r="BA471" s="212"/>
      <c r="BB471" s="212"/>
      <c r="BC471" s="212"/>
      <c r="BD471" s="212"/>
      <c r="BE471" s="212"/>
      <c r="BF471" s="452"/>
    </row>
    <row r="472">
      <c r="A472" s="212"/>
      <c r="B472" s="447"/>
      <c r="C472" s="212"/>
      <c r="D472" s="212"/>
      <c r="E472" s="212"/>
      <c r="F472" s="212"/>
      <c r="G472" s="212"/>
      <c r="H472" s="212"/>
      <c r="I472" s="212"/>
      <c r="J472" s="212"/>
      <c r="K472" s="212"/>
      <c r="L472" s="212"/>
      <c r="M472" s="212"/>
      <c r="N472" s="212"/>
      <c r="O472" s="212"/>
      <c r="P472" s="212"/>
      <c r="Q472" s="212"/>
      <c r="R472" s="451"/>
      <c r="S472" s="451"/>
      <c r="T472" s="212"/>
      <c r="U472" s="451"/>
      <c r="V472" s="451"/>
      <c r="W472" s="451"/>
      <c r="X472" s="451"/>
      <c r="Y472" s="212"/>
      <c r="Z472" s="212"/>
      <c r="AA472" s="212"/>
      <c r="AB472" s="212"/>
      <c r="AC472" s="212"/>
      <c r="AD472" s="212"/>
      <c r="AE472" s="450"/>
      <c r="AF472" s="212"/>
      <c r="AG472" s="212"/>
      <c r="AH472" s="212"/>
      <c r="AI472" s="212"/>
      <c r="AJ472" s="212"/>
      <c r="AK472" s="212"/>
      <c r="AL472" s="212"/>
      <c r="AM472" s="212"/>
      <c r="AN472" s="212"/>
      <c r="AO472" s="212"/>
      <c r="AP472" s="212"/>
      <c r="AQ472" s="212"/>
      <c r="AR472" s="212"/>
      <c r="AS472" s="212"/>
      <c r="AT472" s="212"/>
      <c r="AU472" s="212"/>
      <c r="AV472" s="212"/>
      <c r="AW472" s="212"/>
      <c r="AX472" s="212"/>
      <c r="AY472" s="212"/>
      <c r="AZ472" s="452"/>
      <c r="BA472" s="212"/>
      <c r="BB472" s="212"/>
      <c r="BC472" s="212"/>
      <c r="BD472" s="212"/>
      <c r="BE472" s="212"/>
      <c r="BF472" s="452"/>
    </row>
    <row r="473">
      <c r="A473" s="212"/>
      <c r="B473" s="447"/>
      <c r="C473" s="212"/>
      <c r="D473" s="212"/>
      <c r="E473" s="212"/>
      <c r="F473" s="212"/>
      <c r="G473" s="212"/>
      <c r="H473" s="212"/>
      <c r="I473" s="212"/>
      <c r="J473" s="212"/>
      <c r="K473" s="212"/>
      <c r="L473" s="212"/>
      <c r="M473" s="212"/>
      <c r="N473" s="212"/>
      <c r="O473" s="212"/>
      <c r="P473" s="212"/>
      <c r="Q473" s="212"/>
      <c r="R473" s="451"/>
      <c r="S473" s="451"/>
      <c r="T473" s="212"/>
      <c r="U473" s="451"/>
      <c r="V473" s="451"/>
      <c r="W473" s="451"/>
      <c r="X473" s="451"/>
      <c r="Y473" s="212"/>
      <c r="Z473" s="212"/>
      <c r="AA473" s="212"/>
      <c r="AB473" s="212"/>
      <c r="AC473" s="212"/>
      <c r="AD473" s="212"/>
      <c r="AE473" s="450"/>
      <c r="AF473" s="212"/>
      <c r="AG473" s="212"/>
      <c r="AH473" s="212"/>
      <c r="AI473" s="212"/>
      <c r="AJ473" s="212"/>
      <c r="AK473" s="212"/>
      <c r="AL473" s="212"/>
      <c r="AM473" s="212"/>
      <c r="AN473" s="212"/>
      <c r="AO473" s="212"/>
      <c r="AP473" s="212"/>
      <c r="AQ473" s="212"/>
      <c r="AR473" s="212"/>
      <c r="AS473" s="212"/>
      <c r="AT473" s="212"/>
      <c r="AU473" s="212"/>
      <c r="AV473" s="212"/>
      <c r="AW473" s="212"/>
      <c r="AX473" s="212"/>
      <c r="AY473" s="212"/>
      <c r="AZ473" s="452"/>
      <c r="BA473" s="212"/>
      <c r="BB473" s="212"/>
      <c r="BC473" s="212"/>
      <c r="BD473" s="212"/>
      <c r="BE473" s="212"/>
      <c r="BF473" s="452"/>
    </row>
    <row r="474">
      <c r="A474" s="212"/>
      <c r="B474" s="447"/>
      <c r="C474" s="212"/>
      <c r="D474" s="212"/>
      <c r="E474" s="212"/>
      <c r="F474" s="212"/>
      <c r="G474" s="212"/>
      <c r="H474" s="212"/>
      <c r="I474" s="212"/>
      <c r="J474" s="212"/>
      <c r="K474" s="212"/>
      <c r="L474" s="212"/>
      <c r="M474" s="212"/>
      <c r="N474" s="212"/>
      <c r="O474" s="212"/>
      <c r="P474" s="212"/>
      <c r="Q474" s="212"/>
      <c r="R474" s="451"/>
      <c r="S474" s="451"/>
      <c r="T474" s="212"/>
      <c r="U474" s="451"/>
      <c r="V474" s="451"/>
      <c r="W474" s="451"/>
      <c r="X474" s="451"/>
      <c r="Y474" s="212"/>
      <c r="Z474" s="212"/>
      <c r="AA474" s="212"/>
      <c r="AB474" s="212"/>
      <c r="AC474" s="212"/>
      <c r="AD474" s="212"/>
      <c r="AE474" s="450"/>
      <c r="AF474" s="212"/>
      <c r="AG474" s="212"/>
      <c r="AH474" s="212"/>
      <c r="AI474" s="212"/>
      <c r="AJ474" s="212"/>
      <c r="AK474" s="212"/>
      <c r="AL474" s="212"/>
      <c r="AM474" s="212"/>
      <c r="AN474" s="212"/>
      <c r="AO474" s="212"/>
      <c r="AP474" s="212"/>
      <c r="AQ474" s="212"/>
      <c r="AR474" s="212"/>
      <c r="AS474" s="212"/>
      <c r="AT474" s="212"/>
      <c r="AU474" s="212"/>
      <c r="AV474" s="212"/>
      <c r="AW474" s="212"/>
      <c r="AX474" s="212"/>
      <c r="AY474" s="212"/>
      <c r="AZ474" s="452"/>
      <c r="BA474" s="212"/>
      <c r="BB474" s="212"/>
      <c r="BC474" s="212"/>
      <c r="BD474" s="212"/>
      <c r="BE474" s="212"/>
      <c r="BF474" s="452"/>
    </row>
    <row r="475">
      <c r="A475" s="212"/>
      <c r="B475" s="447"/>
      <c r="C475" s="212"/>
      <c r="D475" s="212"/>
      <c r="E475" s="212"/>
      <c r="F475" s="212"/>
      <c r="G475" s="212"/>
      <c r="H475" s="212"/>
      <c r="I475" s="212"/>
      <c r="J475" s="212"/>
      <c r="K475" s="212"/>
      <c r="L475" s="212"/>
      <c r="M475" s="212"/>
      <c r="N475" s="212"/>
      <c r="O475" s="212"/>
      <c r="P475" s="212"/>
      <c r="Q475" s="212"/>
      <c r="R475" s="451"/>
      <c r="S475" s="451"/>
      <c r="T475" s="212"/>
      <c r="U475" s="451"/>
      <c r="V475" s="451"/>
      <c r="W475" s="451"/>
      <c r="X475" s="451"/>
      <c r="Y475" s="212"/>
      <c r="Z475" s="212"/>
      <c r="AA475" s="212"/>
      <c r="AB475" s="212"/>
      <c r="AC475" s="212"/>
      <c r="AD475" s="212"/>
      <c r="AE475" s="450"/>
      <c r="AF475" s="212"/>
      <c r="AG475" s="212"/>
      <c r="AH475" s="212"/>
      <c r="AI475" s="212"/>
      <c r="AJ475" s="212"/>
      <c r="AK475" s="212"/>
      <c r="AL475" s="212"/>
      <c r="AM475" s="212"/>
      <c r="AN475" s="212"/>
      <c r="AO475" s="212"/>
      <c r="AP475" s="212"/>
      <c r="AQ475" s="212"/>
      <c r="AR475" s="212"/>
      <c r="AS475" s="212"/>
      <c r="AT475" s="212"/>
      <c r="AU475" s="212"/>
      <c r="AV475" s="212"/>
      <c r="AW475" s="212"/>
      <c r="AX475" s="212"/>
      <c r="AY475" s="212"/>
      <c r="AZ475" s="452"/>
      <c r="BA475" s="212"/>
      <c r="BB475" s="212"/>
      <c r="BC475" s="212"/>
      <c r="BD475" s="212"/>
      <c r="BE475" s="212"/>
      <c r="BF475" s="452"/>
    </row>
    <row r="476">
      <c r="A476" s="212"/>
      <c r="B476" s="447"/>
      <c r="C476" s="212"/>
      <c r="D476" s="212"/>
      <c r="E476" s="212"/>
      <c r="F476" s="212"/>
      <c r="G476" s="212"/>
      <c r="H476" s="212"/>
      <c r="I476" s="212"/>
      <c r="J476" s="212"/>
      <c r="K476" s="212"/>
      <c r="L476" s="212"/>
      <c r="M476" s="212"/>
      <c r="N476" s="212"/>
      <c r="O476" s="212"/>
      <c r="P476" s="212"/>
      <c r="Q476" s="212"/>
      <c r="R476" s="451"/>
      <c r="S476" s="451"/>
      <c r="T476" s="212"/>
      <c r="U476" s="451"/>
      <c r="V476" s="451"/>
      <c r="W476" s="451"/>
      <c r="X476" s="451"/>
      <c r="Y476" s="212"/>
      <c r="Z476" s="212"/>
      <c r="AA476" s="212"/>
      <c r="AB476" s="212"/>
      <c r="AC476" s="212"/>
      <c r="AD476" s="212"/>
      <c r="AE476" s="450"/>
      <c r="AF476" s="212"/>
      <c r="AG476" s="212"/>
      <c r="AH476" s="212"/>
      <c r="AI476" s="212"/>
      <c r="AJ476" s="212"/>
      <c r="AK476" s="212"/>
      <c r="AL476" s="212"/>
      <c r="AM476" s="212"/>
      <c r="AN476" s="212"/>
      <c r="AO476" s="212"/>
      <c r="AP476" s="212"/>
      <c r="AQ476" s="212"/>
      <c r="AR476" s="212"/>
      <c r="AS476" s="212"/>
      <c r="AT476" s="212"/>
      <c r="AU476" s="212"/>
      <c r="AV476" s="212"/>
      <c r="AW476" s="212"/>
      <c r="AX476" s="212"/>
      <c r="AY476" s="212"/>
      <c r="AZ476" s="452"/>
      <c r="BA476" s="212"/>
      <c r="BB476" s="212"/>
      <c r="BC476" s="212"/>
      <c r="BD476" s="212"/>
      <c r="BE476" s="212"/>
      <c r="BF476" s="452"/>
    </row>
    <row r="477">
      <c r="A477" s="212"/>
      <c r="B477" s="447"/>
      <c r="C477" s="212"/>
      <c r="D477" s="212"/>
      <c r="E477" s="212"/>
      <c r="F477" s="212"/>
      <c r="G477" s="212"/>
      <c r="H477" s="212"/>
      <c r="I477" s="212"/>
      <c r="J477" s="212"/>
      <c r="K477" s="212"/>
      <c r="L477" s="212"/>
      <c r="M477" s="212"/>
      <c r="N477" s="212"/>
      <c r="O477" s="212"/>
      <c r="P477" s="212"/>
      <c r="Q477" s="212"/>
      <c r="R477" s="451"/>
      <c r="S477" s="451"/>
      <c r="T477" s="212"/>
      <c r="U477" s="451"/>
      <c r="V477" s="451"/>
      <c r="W477" s="451"/>
      <c r="X477" s="451"/>
      <c r="Y477" s="212"/>
      <c r="Z477" s="212"/>
      <c r="AA477" s="212"/>
      <c r="AB477" s="212"/>
      <c r="AC477" s="212"/>
      <c r="AD477" s="212"/>
      <c r="AE477" s="450"/>
      <c r="AF477" s="212"/>
      <c r="AG477" s="212"/>
      <c r="AH477" s="212"/>
      <c r="AI477" s="212"/>
      <c r="AJ477" s="212"/>
      <c r="AK477" s="212"/>
      <c r="AL477" s="212"/>
      <c r="AM477" s="212"/>
      <c r="AN477" s="212"/>
      <c r="AO477" s="212"/>
      <c r="AP477" s="212"/>
      <c r="AQ477" s="212"/>
      <c r="AR477" s="212"/>
      <c r="AS477" s="212"/>
      <c r="AT477" s="212"/>
      <c r="AU477" s="212"/>
      <c r="AV477" s="212"/>
      <c r="AW477" s="212"/>
      <c r="AX477" s="212"/>
      <c r="AY477" s="212"/>
      <c r="AZ477" s="452"/>
      <c r="BA477" s="212"/>
      <c r="BB477" s="212"/>
      <c r="BC477" s="212"/>
      <c r="BD477" s="212"/>
      <c r="BE477" s="212"/>
      <c r="BF477" s="452"/>
    </row>
    <row r="478">
      <c r="A478" s="212"/>
      <c r="B478" s="447"/>
      <c r="C478" s="212"/>
      <c r="D478" s="212"/>
      <c r="E478" s="212"/>
      <c r="F478" s="212"/>
      <c r="G478" s="212"/>
      <c r="H478" s="212"/>
      <c r="I478" s="212"/>
      <c r="J478" s="212"/>
      <c r="K478" s="212"/>
      <c r="L478" s="212"/>
      <c r="M478" s="212"/>
      <c r="N478" s="212"/>
      <c r="O478" s="212"/>
      <c r="P478" s="212"/>
      <c r="Q478" s="212"/>
      <c r="R478" s="451"/>
      <c r="S478" s="451"/>
      <c r="T478" s="212"/>
      <c r="U478" s="451"/>
      <c r="V478" s="451"/>
      <c r="W478" s="451"/>
      <c r="X478" s="451"/>
      <c r="Y478" s="212"/>
      <c r="Z478" s="212"/>
      <c r="AA478" s="212"/>
      <c r="AB478" s="212"/>
      <c r="AC478" s="212"/>
      <c r="AD478" s="212"/>
      <c r="AE478" s="450"/>
      <c r="AF478" s="212"/>
      <c r="AG478" s="212"/>
      <c r="AH478" s="212"/>
      <c r="AI478" s="212"/>
      <c r="AJ478" s="212"/>
      <c r="AK478" s="212"/>
      <c r="AL478" s="212"/>
      <c r="AM478" s="212"/>
      <c r="AN478" s="212"/>
      <c r="AO478" s="212"/>
      <c r="AP478" s="212"/>
      <c r="AQ478" s="212"/>
      <c r="AR478" s="212"/>
      <c r="AS478" s="212"/>
      <c r="AT478" s="212"/>
      <c r="AU478" s="212"/>
      <c r="AV478" s="212"/>
      <c r="AW478" s="212"/>
      <c r="AX478" s="212"/>
      <c r="AY478" s="212"/>
      <c r="AZ478" s="452"/>
      <c r="BA478" s="212"/>
      <c r="BB478" s="212"/>
      <c r="BC478" s="212"/>
      <c r="BD478" s="212"/>
      <c r="BE478" s="212"/>
      <c r="BF478" s="452"/>
    </row>
    <row r="479">
      <c r="A479" s="212"/>
      <c r="B479" s="447"/>
      <c r="C479" s="212"/>
      <c r="D479" s="212"/>
      <c r="E479" s="212"/>
      <c r="F479" s="212"/>
      <c r="G479" s="212"/>
      <c r="H479" s="212"/>
      <c r="I479" s="212"/>
      <c r="J479" s="212"/>
      <c r="K479" s="212"/>
      <c r="L479" s="212"/>
      <c r="M479" s="212"/>
      <c r="N479" s="212"/>
      <c r="O479" s="212"/>
      <c r="P479" s="212"/>
      <c r="Q479" s="212"/>
      <c r="R479" s="451"/>
      <c r="S479" s="451"/>
      <c r="T479" s="212"/>
      <c r="U479" s="451"/>
      <c r="V479" s="451"/>
      <c r="W479" s="451"/>
      <c r="X479" s="451"/>
      <c r="Y479" s="212"/>
      <c r="Z479" s="212"/>
      <c r="AA479" s="212"/>
      <c r="AB479" s="212"/>
      <c r="AC479" s="212"/>
      <c r="AD479" s="212"/>
      <c r="AE479" s="450"/>
      <c r="AF479" s="212"/>
      <c r="AG479" s="212"/>
      <c r="AH479" s="212"/>
      <c r="AI479" s="212"/>
      <c r="AJ479" s="212"/>
      <c r="AK479" s="212"/>
      <c r="AL479" s="212"/>
      <c r="AM479" s="212"/>
      <c r="AN479" s="212"/>
      <c r="AO479" s="212"/>
      <c r="AP479" s="212"/>
      <c r="AQ479" s="212"/>
      <c r="AR479" s="212"/>
      <c r="AS479" s="212"/>
      <c r="AT479" s="212"/>
      <c r="AU479" s="212"/>
      <c r="AV479" s="212"/>
      <c r="AW479" s="212"/>
      <c r="AX479" s="212"/>
      <c r="AY479" s="212"/>
      <c r="AZ479" s="452"/>
      <c r="BA479" s="212"/>
      <c r="BB479" s="212"/>
      <c r="BC479" s="212"/>
      <c r="BD479" s="212"/>
      <c r="BE479" s="212"/>
      <c r="BF479" s="452"/>
    </row>
    <row r="480">
      <c r="A480" s="212"/>
      <c r="B480" s="447"/>
      <c r="C480" s="212"/>
      <c r="D480" s="212"/>
      <c r="E480" s="212"/>
      <c r="F480" s="212"/>
      <c r="G480" s="212"/>
      <c r="H480" s="212"/>
      <c r="I480" s="212"/>
      <c r="J480" s="212"/>
      <c r="K480" s="212"/>
      <c r="L480" s="212"/>
      <c r="M480" s="212"/>
      <c r="N480" s="212"/>
      <c r="O480" s="212"/>
      <c r="P480" s="212"/>
      <c r="Q480" s="212"/>
      <c r="R480" s="451"/>
      <c r="S480" s="451"/>
      <c r="T480" s="212"/>
      <c r="U480" s="451"/>
      <c r="V480" s="451"/>
      <c r="W480" s="451"/>
      <c r="X480" s="451"/>
      <c r="Y480" s="212"/>
      <c r="Z480" s="212"/>
      <c r="AA480" s="212"/>
      <c r="AB480" s="212"/>
      <c r="AC480" s="212"/>
      <c r="AD480" s="212"/>
      <c r="AE480" s="450"/>
      <c r="AF480" s="212"/>
      <c r="AG480" s="212"/>
      <c r="AH480" s="212"/>
      <c r="AI480" s="212"/>
      <c r="AJ480" s="212"/>
      <c r="AK480" s="212"/>
      <c r="AL480" s="212"/>
      <c r="AM480" s="212"/>
      <c r="AN480" s="212"/>
      <c r="AO480" s="212"/>
      <c r="AP480" s="212"/>
      <c r="AQ480" s="212"/>
      <c r="AR480" s="212"/>
      <c r="AS480" s="212"/>
      <c r="AT480" s="212"/>
      <c r="AU480" s="212"/>
      <c r="AV480" s="212"/>
      <c r="AW480" s="212"/>
      <c r="AX480" s="212"/>
      <c r="AY480" s="212"/>
      <c r="AZ480" s="452"/>
      <c r="BA480" s="212"/>
      <c r="BB480" s="212"/>
      <c r="BC480" s="212"/>
      <c r="BD480" s="212"/>
      <c r="BE480" s="212"/>
      <c r="BF480" s="452"/>
    </row>
    <row r="481">
      <c r="A481" s="212"/>
      <c r="B481" s="447"/>
      <c r="C481" s="212"/>
      <c r="D481" s="212"/>
      <c r="E481" s="212"/>
      <c r="F481" s="212"/>
      <c r="G481" s="212"/>
      <c r="H481" s="212"/>
      <c r="I481" s="212"/>
      <c r="J481" s="212"/>
      <c r="K481" s="212"/>
      <c r="L481" s="212"/>
      <c r="M481" s="212"/>
      <c r="N481" s="212"/>
      <c r="O481" s="212"/>
      <c r="P481" s="212"/>
      <c r="Q481" s="212"/>
      <c r="R481" s="451"/>
      <c r="S481" s="451"/>
      <c r="T481" s="212"/>
      <c r="U481" s="451"/>
      <c r="V481" s="451"/>
      <c r="W481" s="451"/>
      <c r="X481" s="451"/>
      <c r="Y481" s="212"/>
      <c r="Z481" s="212"/>
      <c r="AA481" s="212"/>
      <c r="AB481" s="212"/>
      <c r="AC481" s="212"/>
      <c r="AD481" s="212"/>
      <c r="AE481" s="450"/>
      <c r="AF481" s="212"/>
      <c r="AG481" s="212"/>
      <c r="AH481" s="212"/>
      <c r="AI481" s="212"/>
      <c r="AJ481" s="212"/>
      <c r="AK481" s="212"/>
      <c r="AL481" s="212"/>
      <c r="AM481" s="212"/>
      <c r="AN481" s="212"/>
      <c r="AO481" s="212"/>
      <c r="AP481" s="212"/>
      <c r="AQ481" s="212"/>
      <c r="AR481" s="212"/>
      <c r="AS481" s="212"/>
      <c r="AT481" s="212"/>
      <c r="AU481" s="212"/>
      <c r="AV481" s="212"/>
      <c r="AW481" s="212"/>
      <c r="AX481" s="212"/>
      <c r="AY481" s="212"/>
      <c r="AZ481" s="452"/>
      <c r="BA481" s="212"/>
      <c r="BB481" s="212"/>
      <c r="BC481" s="212"/>
      <c r="BD481" s="212"/>
      <c r="BE481" s="212"/>
      <c r="BF481" s="452"/>
    </row>
    <row r="482">
      <c r="A482" s="212"/>
      <c r="B482" s="447"/>
      <c r="C482" s="212"/>
      <c r="D482" s="212"/>
      <c r="E482" s="212"/>
      <c r="F482" s="212"/>
      <c r="G482" s="212"/>
      <c r="H482" s="212"/>
      <c r="I482" s="212"/>
      <c r="J482" s="212"/>
      <c r="K482" s="212"/>
      <c r="L482" s="212"/>
      <c r="M482" s="212"/>
      <c r="N482" s="212"/>
      <c r="O482" s="212"/>
      <c r="P482" s="212"/>
      <c r="Q482" s="212"/>
      <c r="R482" s="451"/>
      <c r="S482" s="451"/>
      <c r="T482" s="212"/>
      <c r="U482" s="451"/>
      <c r="V482" s="451"/>
      <c r="W482" s="451"/>
      <c r="X482" s="451"/>
      <c r="Y482" s="212"/>
      <c r="Z482" s="212"/>
      <c r="AA482" s="212"/>
      <c r="AB482" s="212"/>
      <c r="AC482" s="212"/>
      <c r="AD482" s="212"/>
      <c r="AE482" s="450"/>
      <c r="AF482" s="212"/>
      <c r="AG482" s="212"/>
      <c r="AH482" s="212"/>
      <c r="AI482" s="212"/>
      <c r="AJ482" s="212"/>
      <c r="AK482" s="212"/>
      <c r="AL482" s="212"/>
      <c r="AM482" s="212"/>
      <c r="AN482" s="212"/>
      <c r="AO482" s="212"/>
      <c r="AP482" s="212"/>
      <c r="AQ482" s="212"/>
      <c r="AR482" s="212"/>
      <c r="AS482" s="212"/>
      <c r="AT482" s="212"/>
      <c r="AU482" s="212"/>
      <c r="AV482" s="212"/>
      <c r="AW482" s="212"/>
      <c r="AX482" s="212"/>
      <c r="AY482" s="212"/>
      <c r="AZ482" s="452"/>
      <c r="BA482" s="212"/>
      <c r="BB482" s="212"/>
      <c r="BC482" s="212"/>
      <c r="BD482" s="212"/>
      <c r="BE482" s="212"/>
      <c r="BF482" s="452"/>
    </row>
    <row r="483">
      <c r="A483" s="212"/>
      <c r="B483" s="447"/>
      <c r="C483" s="212"/>
      <c r="D483" s="212"/>
      <c r="E483" s="212"/>
      <c r="F483" s="212"/>
      <c r="G483" s="212"/>
      <c r="H483" s="212"/>
      <c r="I483" s="212"/>
      <c r="J483" s="212"/>
      <c r="K483" s="212"/>
      <c r="L483" s="212"/>
      <c r="M483" s="212"/>
      <c r="N483" s="212"/>
      <c r="O483" s="212"/>
      <c r="P483" s="212"/>
      <c r="Q483" s="212"/>
      <c r="R483" s="451"/>
      <c r="S483" s="451"/>
      <c r="T483" s="212"/>
      <c r="U483" s="451"/>
      <c r="V483" s="451"/>
      <c r="W483" s="451"/>
      <c r="X483" s="451"/>
      <c r="Y483" s="212"/>
      <c r="Z483" s="212"/>
      <c r="AA483" s="212"/>
      <c r="AB483" s="212"/>
      <c r="AC483" s="212"/>
      <c r="AD483" s="212"/>
      <c r="AE483" s="450"/>
      <c r="AF483" s="212"/>
      <c r="AG483" s="212"/>
      <c r="AH483" s="212"/>
      <c r="AI483" s="212"/>
      <c r="AJ483" s="212"/>
      <c r="AK483" s="212"/>
      <c r="AL483" s="212"/>
      <c r="AM483" s="212"/>
      <c r="AN483" s="212"/>
      <c r="AO483" s="212"/>
      <c r="AP483" s="212"/>
      <c r="AQ483" s="212"/>
      <c r="AR483" s="212"/>
      <c r="AS483" s="212"/>
      <c r="AT483" s="212"/>
      <c r="AU483" s="212"/>
      <c r="AV483" s="212"/>
      <c r="AW483" s="212"/>
      <c r="AX483" s="212"/>
      <c r="AY483" s="212"/>
      <c r="AZ483" s="452"/>
      <c r="BA483" s="212"/>
      <c r="BB483" s="212"/>
      <c r="BC483" s="212"/>
      <c r="BD483" s="212"/>
      <c r="BE483" s="212"/>
      <c r="BF483" s="452"/>
    </row>
    <row r="484">
      <c r="A484" s="212"/>
      <c r="B484" s="447"/>
      <c r="C484" s="212"/>
      <c r="D484" s="212"/>
      <c r="E484" s="212"/>
      <c r="F484" s="212"/>
      <c r="G484" s="212"/>
      <c r="H484" s="212"/>
      <c r="I484" s="212"/>
      <c r="J484" s="212"/>
      <c r="K484" s="212"/>
      <c r="L484" s="212"/>
      <c r="M484" s="212"/>
      <c r="N484" s="212"/>
      <c r="O484" s="212"/>
      <c r="P484" s="212"/>
      <c r="Q484" s="212"/>
      <c r="R484" s="451"/>
      <c r="S484" s="451"/>
      <c r="T484" s="212"/>
      <c r="U484" s="451"/>
      <c r="V484" s="451"/>
      <c r="W484" s="451"/>
      <c r="X484" s="451"/>
      <c r="Y484" s="212"/>
      <c r="Z484" s="212"/>
      <c r="AA484" s="212"/>
      <c r="AB484" s="212"/>
      <c r="AC484" s="212"/>
      <c r="AD484" s="212"/>
      <c r="AE484" s="450"/>
      <c r="AF484" s="212"/>
      <c r="AG484" s="212"/>
      <c r="AH484" s="212"/>
      <c r="AI484" s="212"/>
      <c r="AJ484" s="212"/>
      <c r="AK484" s="212"/>
      <c r="AL484" s="212"/>
      <c r="AM484" s="212"/>
      <c r="AN484" s="212"/>
      <c r="AO484" s="212"/>
      <c r="AP484" s="212"/>
      <c r="AQ484" s="212"/>
      <c r="AR484" s="212"/>
      <c r="AS484" s="212"/>
      <c r="AT484" s="212"/>
      <c r="AU484" s="212"/>
      <c r="AV484" s="212"/>
      <c r="AW484" s="212"/>
      <c r="AX484" s="212"/>
      <c r="AY484" s="212"/>
      <c r="AZ484" s="452"/>
      <c r="BA484" s="212"/>
      <c r="BB484" s="212"/>
      <c r="BC484" s="212"/>
      <c r="BD484" s="212"/>
      <c r="BE484" s="212"/>
      <c r="BF484" s="452"/>
    </row>
    <row r="485">
      <c r="A485" s="212"/>
      <c r="B485" s="447"/>
      <c r="C485" s="212"/>
      <c r="D485" s="212"/>
      <c r="E485" s="212"/>
      <c r="F485" s="212"/>
      <c r="G485" s="212"/>
      <c r="H485" s="212"/>
      <c r="I485" s="212"/>
      <c r="J485" s="212"/>
      <c r="K485" s="212"/>
      <c r="L485" s="212"/>
      <c r="M485" s="212"/>
      <c r="N485" s="212"/>
      <c r="O485" s="212"/>
      <c r="P485" s="212"/>
      <c r="Q485" s="212"/>
      <c r="R485" s="451"/>
      <c r="S485" s="451"/>
      <c r="T485" s="212"/>
      <c r="U485" s="451"/>
      <c r="V485" s="451"/>
      <c r="W485" s="451"/>
      <c r="X485" s="451"/>
      <c r="Y485" s="212"/>
      <c r="Z485" s="212"/>
      <c r="AA485" s="212"/>
      <c r="AB485" s="212"/>
      <c r="AC485" s="212"/>
      <c r="AD485" s="212"/>
      <c r="AE485" s="450"/>
      <c r="AF485" s="212"/>
      <c r="AG485" s="212"/>
      <c r="AH485" s="212"/>
      <c r="AI485" s="212"/>
      <c r="AJ485" s="212"/>
      <c r="AK485" s="212"/>
      <c r="AL485" s="212"/>
      <c r="AM485" s="212"/>
      <c r="AN485" s="212"/>
      <c r="AO485" s="212"/>
      <c r="AP485" s="212"/>
      <c r="AQ485" s="212"/>
      <c r="AR485" s="212"/>
      <c r="AS485" s="212"/>
      <c r="AT485" s="212"/>
      <c r="AU485" s="212"/>
      <c r="AV485" s="212"/>
      <c r="AW485" s="212"/>
      <c r="AX485" s="212"/>
      <c r="AY485" s="212"/>
      <c r="AZ485" s="452"/>
      <c r="BA485" s="212"/>
      <c r="BB485" s="212"/>
      <c r="BC485" s="212"/>
      <c r="BD485" s="212"/>
      <c r="BE485" s="212"/>
      <c r="BF485" s="452"/>
    </row>
    <row r="486">
      <c r="A486" s="212"/>
      <c r="B486" s="447"/>
      <c r="C486" s="212"/>
      <c r="D486" s="212"/>
      <c r="E486" s="212"/>
      <c r="F486" s="212"/>
      <c r="G486" s="212"/>
      <c r="H486" s="212"/>
      <c r="I486" s="212"/>
      <c r="J486" s="212"/>
      <c r="K486" s="212"/>
      <c r="L486" s="212"/>
      <c r="M486" s="212"/>
      <c r="N486" s="212"/>
      <c r="O486" s="212"/>
      <c r="P486" s="212"/>
      <c r="Q486" s="212"/>
      <c r="R486" s="451"/>
      <c r="S486" s="451"/>
      <c r="T486" s="212"/>
      <c r="U486" s="451"/>
      <c r="V486" s="451"/>
      <c r="W486" s="451"/>
      <c r="X486" s="451"/>
      <c r="Y486" s="212"/>
      <c r="Z486" s="212"/>
      <c r="AA486" s="212"/>
      <c r="AB486" s="212"/>
      <c r="AC486" s="212"/>
      <c r="AD486" s="212"/>
      <c r="AE486" s="450"/>
      <c r="AF486" s="212"/>
      <c r="AG486" s="212"/>
      <c r="AH486" s="212"/>
      <c r="AI486" s="212"/>
      <c r="AJ486" s="212"/>
      <c r="AK486" s="212"/>
      <c r="AL486" s="212"/>
      <c r="AM486" s="212"/>
      <c r="AN486" s="212"/>
      <c r="AO486" s="212"/>
      <c r="AP486" s="212"/>
      <c r="AQ486" s="212"/>
      <c r="AR486" s="212"/>
      <c r="AS486" s="212"/>
      <c r="AT486" s="212"/>
      <c r="AU486" s="212"/>
      <c r="AV486" s="212"/>
      <c r="AW486" s="212"/>
      <c r="AX486" s="212"/>
      <c r="AY486" s="212"/>
      <c r="AZ486" s="452"/>
      <c r="BA486" s="212"/>
      <c r="BB486" s="212"/>
      <c r="BC486" s="212"/>
      <c r="BD486" s="212"/>
      <c r="BE486" s="212"/>
      <c r="BF486" s="452"/>
    </row>
    <row r="487">
      <c r="A487" s="212"/>
      <c r="B487" s="447"/>
      <c r="C487" s="212"/>
      <c r="D487" s="212"/>
      <c r="E487" s="212"/>
      <c r="F487" s="212"/>
      <c r="G487" s="212"/>
      <c r="H487" s="212"/>
      <c r="I487" s="212"/>
      <c r="J487" s="212"/>
      <c r="K487" s="212"/>
      <c r="L487" s="212"/>
      <c r="M487" s="212"/>
      <c r="N487" s="212"/>
      <c r="O487" s="212"/>
      <c r="P487" s="212"/>
      <c r="Q487" s="212"/>
      <c r="R487" s="451"/>
      <c r="S487" s="451"/>
      <c r="T487" s="212"/>
      <c r="U487" s="451"/>
      <c r="V487" s="451"/>
      <c r="W487" s="451"/>
      <c r="X487" s="451"/>
      <c r="Y487" s="212"/>
      <c r="Z487" s="212"/>
      <c r="AA487" s="212"/>
      <c r="AB487" s="212"/>
      <c r="AC487" s="212"/>
      <c r="AD487" s="212"/>
      <c r="AE487" s="450"/>
      <c r="AF487" s="212"/>
      <c r="AG487" s="212"/>
      <c r="AH487" s="212"/>
      <c r="AI487" s="212"/>
      <c r="AJ487" s="212"/>
      <c r="AK487" s="212"/>
      <c r="AL487" s="212"/>
      <c r="AM487" s="212"/>
      <c r="AN487" s="212"/>
      <c r="AO487" s="212"/>
      <c r="AP487" s="212"/>
      <c r="AQ487" s="212"/>
      <c r="AR487" s="212"/>
      <c r="AS487" s="212"/>
      <c r="AT487" s="212"/>
      <c r="AU487" s="212"/>
      <c r="AV487" s="212"/>
      <c r="AW487" s="212"/>
      <c r="AX487" s="212"/>
      <c r="AY487" s="212"/>
      <c r="AZ487" s="452"/>
      <c r="BA487" s="212"/>
      <c r="BB487" s="212"/>
      <c r="BC487" s="212"/>
      <c r="BD487" s="212"/>
      <c r="BE487" s="212"/>
      <c r="BF487" s="452"/>
    </row>
    <row r="488">
      <c r="A488" s="212"/>
      <c r="B488" s="447"/>
      <c r="C488" s="212"/>
      <c r="D488" s="212"/>
      <c r="E488" s="212"/>
      <c r="F488" s="212"/>
      <c r="G488" s="212"/>
      <c r="H488" s="212"/>
      <c r="I488" s="212"/>
      <c r="J488" s="212"/>
      <c r="K488" s="212"/>
      <c r="L488" s="212"/>
      <c r="M488" s="212"/>
      <c r="N488" s="212"/>
      <c r="O488" s="212"/>
      <c r="P488" s="212"/>
      <c r="Q488" s="212"/>
      <c r="R488" s="451"/>
      <c r="S488" s="451"/>
      <c r="T488" s="212"/>
      <c r="U488" s="451"/>
      <c r="V488" s="451"/>
      <c r="W488" s="451"/>
      <c r="X488" s="451"/>
      <c r="Y488" s="212"/>
      <c r="Z488" s="212"/>
      <c r="AA488" s="212"/>
      <c r="AB488" s="212"/>
      <c r="AC488" s="212"/>
      <c r="AD488" s="212"/>
      <c r="AE488" s="450"/>
      <c r="AF488" s="212"/>
      <c r="AG488" s="212"/>
      <c r="AH488" s="212"/>
      <c r="AI488" s="212"/>
      <c r="AJ488" s="212"/>
      <c r="AK488" s="212"/>
      <c r="AL488" s="212"/>
      <c r="AM488" s="212"/>
      <c r="AN488" s="212"/>
      <c r="AO488" s="212"/>
      <c r="AP488" s="212"/>
      <c r="AQ488" s="212"/>
      <c r="AR488" s="212"/>
      <c r="AS488" s="212"/>
      <c r="AT488" s="212"/>
      <c r="AU488" s="212"/>
      <c r="AV488" s="212"/>
      <c r="AW488" s="212"/>
      <c r="AX488" s="212"/>
      <c r="AY488" s="212"/>
      <c r="AZ488" s="452"/>
      <c r="BA488" s="212"/>
      <c r="BB488" s="212"/>
      <c r="BC488" s="212"/>
      <c r="BD488" s="212"/>
      <c r="BE488" s="212"/>
      <c r="BF488" s="452"/>
    </row>
    <row r="489">
      <c r="A489" s="212"/>
      <c r="B489" s="447"/>
      <c r="C489" s="212"/>
      <c r="D489" s="212"/>
      <c r="E489" s="212"/>
      <c r="F489" s="212"/>
      <c r="G489" s="212"/>
      <c r="H489" s="212"/>
      <c r="I489" s="212"/>
      <c r="J489" s="212"/>
      <c r="K489" s="212"/>
      <c r="L489" s="212"/>
      <c r="M489" s="212"/>
      <c r="N489" s="212"/>
      <c r="O489" s="212"/>
      <c r="P489" s="212"/>
      <c r="Q489" s="212"/>
      <c r="R489" s="451"/>
      <c r="S489" s="451"/>
      <c r="T489" s="212"/>
      <c r="U489" s="451"/>
      <c r="V489" s="451"/>
      <c r="W489" s="451"/>
      <c r="X489" s="451"/>
      <c r="Y489" s="212"/>
      <c r="Z489" s="212"/>
      <c r="AA489" s="212"/>
      <c r="AB489" s="212"/>
      <c r="AC489" s="212"/>
      <c r="AD489" s="212"/>
      <c r="AE489" s="450"/>
      <c r="AF489" s="212"/>
      <c r="AG489" s="212"/>
      <c r="AH489" s="212"/>
      <c r="AI489" s="212"/>
      <c r="AJ489" s="212"/>
      <c r="AK489" s="212"/>
      <c r="AL489" s="212"/>
      <c r="AM489" s="212"/>
      <c r="AN489" s="212"/>
      <c r="AO489" s="212"/>
      <c r="AP489" s="212"/>
      <c r="AQ489" s="212"/>
      <c r="AR489" s="212"/>
      <c r="AS489" s="212"/>
      <c r="AT489" s="212"/>
      <c r="AU489" s="212"/>
      <c r="AV489" s="212"/>
      <c r="AW489" s="212"/>
      <c r="AX489" s="212"/>
      <c r="AY489" s="212"/>
      <c r="AZ489" s="452"/>
      <c r="BA489" s="212"/>
      <c r="BB489" s="212"/>
      <c r="BC489" s="212"/>
      <c r="BD489" s="212"/>
      <c r="BE489" s="212"/>
      <c r="BF489" s="452"/>
    </row>
    <row r="490">
      <c r="A490" s="212"/>
      <c r="B490" s="447"/>
      <c r="C490" s="212"/>
      <c r="D490" s="212"/>
      <c r="E490" s="212"/>
      <c r="F490" s="212"/>
      <c r="G490" s="212"/>
      <c r="H490" s="212"/>
      <c r="I490" s="212"/>
      <c r="J490" s="212"/>
      <c r="K490" s="212"/>
      <c r="L490" s="212"/>
      <c r="M490" s="212"/>
      <c r="N490" s="212"/>
      <c r="O490" s="212"/>
      <c r="P490" s="212"/>
      <c r="Q490" s="212"/>
      <c r="R490" s="451"/>
      <c r="S490" s="451"/>
      <c r="T490" s="212"/>
      <c r="U490" s="451"/>
      <c r="V490" s="451"/>
      <c r="W490" s="451"/>
      <c r="X490" s="451"/>
      <c r="Y490" s="212"/>
      <c r="Z490" s="212"/>
      <c r="AA490" s="212"/>
      <c r="AB490" s="212"/>
      <c r="AC490" s="212"/>
      <c r="AD490" s="212"/>
      <c r="AE490" s="450"/>
      <c r="AF490" s="212"/>
      <c r="AG490" s="212"/>
      <c r="AH490" s="212"/>
      <c r="AI490" s="212"/>
      <c r="AJ490" s="212"/>
      <c r="AK490" s="212"/>
      <c r="AL490" s="212"/>
      <c r="AM490" s="212"/>
      <c r="AN490" s="212"/>
      <c r="AO490" s="212"/>
      <c r="AP490" s="212"/>
      <c r="AQ490" s="212"/>
      <c r="AR490" s="212"/>
      <c r="AS490" s="212"/>
      <c r="AT490" s="212"/>
      <c r="AU490" s="212"/>
      <c r="AV490" s="212"/>
      <c r="AW490" s="212"/>
      <c r="AX490" s="212"/>
      <c r="AY490" s="212"/>
      <c r="AZ490" s="452"/>
      <c r="BA490" s="212"/>
      <c r="BB490" s="212"/>
      <c r="BC490" s="212"/>
      <c r="BD490" s="212"/>
      <c r="BE490" s="212"/>
      <c r="BF490" s="452"/>
    </row>
    <row r="491">
      <c r="A491" s="212"/>
      <c r="B491" s="447"/>
      <c r="C491" s="212"/>
      <c r="D491" s="212"/>
      <c r="E491" s="212"/>
      <c r="F491" s="212"/>
      <c r="G491" s="212"/>
      <c r="H491" s="212"/>
      <c r="I491" s="212"/>
      <c r="J491" s="212"/>
      <c r="K491" s="212"/>
      <c r="L491" s="212"/>
      <c r="M491" s="212"/>
      <c r="N491" s="212"/>
      <c r="O491" s="212"/>
      <c r="P491" s="212"/>
      <c r="Q491" s="212"/>
      <c r="R491" s="451"/>
      <c r="S491" s="451"/>
      <c r="T491" s="212"/>
      <c r="U491" s="451"/>
      <c r="V491" s="451"/>
      <c r="W491" s="451"/>
      <c r="X491" s="451"/>
      <c r="Y491" s="212"/>
      <c r="Z491" s="212"/>
      <c r="AA491" s="212"/>
      <c r="AB491" s="212"/>
      <c r="AC491" s="212"/>
      <c r="AD491" s="212"/>
      <c r="AE491" s="450"/>
      <c r="AF491" s="212"/>
      <c r="AG491" s="212"/>
      <c r="AH491" s="212"/>
      <c r="AI491" s="212"/>
      <c r="AJ491" s="212"/>
      <c r="AK491" s="212"/>
      <c r="AL491" s="212"/>
      <c r="AM491" s="212"/>
      <c r="AN491" s="212"/>
      <c r="AO491" s="212"/>
      <c r="AP491" s="212"/>
      <c r="AQ491" s="212"/>
      <c r="AR491" s="212"/>
      <c r="AS491" s="212"/>
      <c r="AT491" s="212"/>
      <c r="AU491" s="212"/>
      <c r="AV491" s="212"/>
      <c r="AW491" s="212"/>
      <c r="AX491" s="212"/>
      <c r="AY491" s="212"/>
      <c r="AZ491" s="452"/>
      <c r="BA491" s="212"/>
      <c r="BB491" s="212"/>
      <c r="BC491" s="212"/>
      <c r="BD491" s="212"/>
      <c r="BE491" s="212"/>
      <c r="BF491" s="452"/>
    </row>
    <row r="492">
      <c r="A492" s="212"/>
      <c r="B492" s="447"/>
      <c r="C492" s="212"/>
      <c r="D492" s="212"/>
      <c r="E492" s="212"/>
      <c r="F492" s="212"/>
      <c r="G492" s="212"/>
      <c r="H492" s="212"/>
      <c r="I492" s="212"/>
      <c r="J492" s="212"/>
      <c r="K492" s="212"/>
      <c r="L492" s="212"/>
      <c r="M492" s="212"/>
      <c r="N492" s="212"/>
      <c r="O492" s="212"/>
      <c r="P492" s="212"/>
      <c r="Q492" s="212"/>
      <c r="R492" s="451"/>
      <c r="S492" s="451"/>
      <c r="T492" s="212"/>
      <c r="U492" s="451"/>
      <c r="V492" s="451"/>
      <c r="W492" s="451"/>
      <c r="X492" s="451"/>
      <c r="Y492" s="212"/>
      <c r="Z492" s="212"/>
      <c r="AA492" s="212"/>
      <c r="AB492" s="212"/>
      <c r="AC492" s="212"/>
      <c r="AD492" s="212"/>
      <c r="AE492" s="450"/>
      <c r="AF492" s="212"/>
      <c r="AG492" s="212"/>
      <c r="AH492" s="212"/>
      <c r="AI492" s="212"/>
      <c r="AJ492" s="212"/>
      <c r="AK492" s="212"/>
      <c r="AL492" s="212"/>
      <c r="AM492" s="212"/>
      <c r="AN492" s="212"/>
      <c r="AO492" s="212"/>
      <c r="AP492" s="212"/>
      <c r="AQ492" s="212"/>
      <c r="AR492" s="212"/>
      <c r="AS492" s="212"/>
      <c r="AT492" s="212"/>
      <c r="AU492" s="212"/>
      <c r="AV492" s="212"/>
      <c r="AW492" s="212"/>
      <c r="AX492" s="212"/>
      <c r="AY492" s="212"/>
      <c r="AZ492" s="452"/>
      <c r="BA492" s="212"/>
      <c r="BB492" s="212"/>
      <c r="BC492" s="212"/>
      <c r="BD492" s="212"/>
      <c r="BE492" s="212"/>
      <c r="BF492" s="452"/>
    </row>
    <row r="493">
      <c r="A493" s="212"/>
      <c r="B493" s="447"/>
      <c r="C493" s="212"/>
      <c r="D493" s="212"/>
      <c r="E493" s="212"/>
      <c r="F493" s="212"/>
      <c r="G493" s="212"/>
      <c r="H493" s="212"/>
      <c r="I493" s="212"/>
      <c r="J493" s="212"/>
      <c r="K493" s="212"/>
      <c r="L493" s="212"/>
      <c r="M493" s="212"/>
      <c r="N493" s="212"/>
      <c r="O493" s="212"/>
      <c r="P493" s="212"/>
      <c r="Q493" s="212"/>
      <c r="R493" s="451"/>
      <c r="S493" s="451"/>
      <c r="T493" s="212"/>
      <c r="U493" s="451"/>
      <c r="V493" s="451"/>
      <c r="W493" s="451"/>
      <c r="X493" s="451"/>
      <c r="Y493" s="212"/>
      <c r="Z493" s="212"/>
      <c r="AA493" s="212"/>
      <c r="AB493" s="212"/>
      <c r="AC493" s="212"/>
      <c r="AD493" s="212"/>
      <c r="AE493" s="450"/>
      <c r="AF493" s="212"/>
      <c r="AG493" s="212"/>
      <c r="AH493" s="212"/>
      <c r="AI493" s="212"/>
      <c r="AJ493" s="212"/>
      <c r="AK493" s="212"/>
      <c r="AL493" s="212"/>
      <c r="AM493" s="212"/>
      <c r="AN493" s="212"/>
      <c r="AO493" s="212"/>
      <c r="AP493" s="212"/>
      <c r="AQ493" s="212"/>
      <c r="AR493" s="212"/>
      <c r="AS493" s="212"/>
      <c r="AT493" s="212"/>
      <c r="AU493" s="212"/>
      <c r="AV493" s="212"/>
      <c r="AW493" s="212"/>
      <c r="AX493" s="212"/>
      <c r="AY493" s="212"/>
      <c r="AZ493" s="452"/>
      <c r="BA493" s="212"/>
      <c r="BB493" s="212"/>
      <c r="BC493" s="212"/>
      <c r="BD493" s="212"/>
      <c r="BE493" s="212"/>
      <c r="BF493" s="452"/>
    </row>
    <row r="494">
      <c r="A494" s="212"/>
      <c r="B494" s="447"/>
      <c r="C494" s="212"/>
      <c r="D494" s="212"/>
      <c r="E494" s="212"/>
      <c r="F494" s="212"/>
      <c r="G494" s="212"/>
      <c r="H494" s="212"/>
      <c r="I494" s="212"/>
      <c r="J494" s="212"/>
      <c r="K494" s="212"/>
      <c r="L494" s="212"/>
      <c r="M494" s="212"/>
      <c r="N494" s="212"/>
      <c r="O494" s="212"/>
      <c r="P494" s="212"/>
      <c r="Q494" s="212"/>
      <c r="R494" s="451"/>
      <c r="S494" s="451"/>
      <c r="T494" s="212"/>
      <c r="U494" s="451"/>
      <c r="V494" s="451"/>
      <c r="W494" s="451"/>
      <c r="X494" s="451"/>
      <c r="Y494" s="212"/>
      <c r="Z494" s="212"/>
      <c r="AA494" s="212"/>
      <c r="AB494" s="212"/>
      <c r="AC494" s="212"/>
      <c r="AD494" s="212"/>
      <c r="AE494" s="450"/>
      <c r="AF494" s="212"/>
      <c r="AG494" s="212"/>
      <c r="AH494" s="212"/>
      <c r="AI494" s="212"/>
      <c r="AJ494" s="212"/>
      <c r="AK494" s="212"/>
      <c r="AL494" s="212"/>
      <c r="AM494" s="212"/>
      <c r="AN494" s="212"/>
      <c r="AO494" s="212"/>
      <c r="AP494" s="212"/>
      <c r="AQ494" s="212"/>
      <c r="AR494" s="212"/>
      <c r="AS494" s="212"/>
      <c r="AT494" s="212"/>
      <c r="AU494" s="212"/>
      <c r="AV494" s="212"/>
      <c r="AW494" s="212"/>
      <c r="AX494" s="212"/>
      <c r="AY494" s="212"/>
      <c r="AZ494" s="452"/>
      <c r="BA494" s="212"/>
      <c r="BB494" s="212"/>
      <c r="BC494" s="212"/>
      <c r="BD494" s="212"/>
      <c r="BE494" s="212"/>
      <c r="BF494" s="452"/>
    </row>
    <row r="495">
      <c r="A495" s="212"/>
      <c r="B495" s="447"/>
      <c r="C495" s="212"/>
      <c r="D495" s="212"/>
      <c r="E495" s="212"/>
      <c r="F495" s="212"/>
      <c r="G495" s="212"/>
      <c r="H495" s="212"/>
      <c r="I495" s="212"/>
      <c r="J495" s="212"/>
      <c r="K495" s="212"/>
      <c r="L495" s="212"/>
      <c r="M495" s="212"/>
      <c r="N495" s="212"/>
      <c r="O495" s="212"/>
      <c r="P495" s="212"/>
      <c r="Q495" s="212"/>
      <c r="R495" s="451"/>
      <c r="S495" s="451"/>
      <c r="T495" s="212"/>
      <c r="U495" s="451"/>
      <c r="V495" s="451"/>
      <c r="W495" s="451"/>
      <c r="X495" s="451"/>
      <c r="Y495" s="212"/>
      <c r="Z495" s="212"/>
      <c r="AA495" s="212"/>
      <c r="AB495" s="212"/>
      <c r="AC495" s="212"/>
      <c r="AD495" s="212"/>
      <c r="AE495" s="450"/>
      <c r="AF495" s="212"/>
      <c r="AG495" s="212"/>
      <c r="AH495" s="212"/>
      <c r="AI495" s="212"/>
      <c r="AJ495" s="212"/>
      <c r="AK495" s="212"/>
      <c r="AL495" s="212"/>
      <c r="AM495" s="212"/>
      <c r="AN495" s="212"/>
      <c r="AO495" s="212"/>
      <c r="AP495" s="212"/>
      <c r="AQ495" s="212"/>
      <c r="AR495" s="212"/>
      <c r="AS495" s="212"/>
      <c r="AT495" s="212"/>
      <c r="AU495" s="212"/>
      <c r="AV495" s="212"/>
      <c r="AW495" s="212"/>
      <c r="AX495" s="212"/>
      <c r="AY495" s="212"/>
      <c r="AZ495" s="452"/>
      <c r="BA495" s="212"/>
      <c r="BB495" s="212"/>
      <c r="BC495" s="212"/>
      <c r="BD495" s="212"/>
      <c r="BE495" s="212"/>
      <c r="BF495" s="452"/>
    </row>
    <row r="496">
      <c r="A496" s="212"/>
      <c r="B496" s="447"/>
      <c r="C496" s="212"/>
      <c r="D496" s="212"/>
      <c r="E496" s="212"/>
      <c r="F496" s="212"/>
      <c r="G496" s="212"/>
      <c r="H496" s="212"/>
      <c r="I496" s="212"/>
      <c r="J496" s="212"/>
      <c r="K496" s="212"/>
      <c r="L496" s="212"/>
      <c r="M496" s="212"/>
      <c r="N496" s="212"/>
      <c r="O496" s="212"/>
      <c r="P496" s="212"/>
      <c r="Q496" s="212"/>
      <c r="R496" s="451"/>
      <c r="S496" s="451"/>
      <c r="T496" s="212"/>
      <c r="U496" s="451"/>
      <c r="V496" s="451"/>
      <c r="W496" s="451"/>
      <c r="X496" s="451"/>
      <c r="Y496" s="212"/>
      <c r="Z496" s="212"/>
      <c r="AA496" s="212"/>
      <c r="AB496" s="212"/>
      <c r="AC496" s="212"/>
      <c r="AD496" s="212"/>
      <c r="AE496" s="450"/>
      <c r="AF496" s="212"/>
      <c r="AG496" s="212"/>
      <c r="AH496" s="212"/>
      <c r="AI496" s="212"/>
      <c r="AJ496" s="212"/>
      <c r="AK496" s="212"/>
      <c r="AL496" s="212"/>
      <c r="AM496" s="212"/>
      <c r="AN496" s="212"/>
      <c r="AO496" s="212"/>
      <c r="AP496" s="212"/>
      <c r="AQ496" s="212"/>
      <c r="AR496" s="212"/>
      <c r="AS496" s="212"/>
      <c r="AT496" s="212"/>
      <c r="AU496" s="212"/>
      <c r="AV496" s="212"/>
      <c r="AW496" s="212"/>
      <c r="AX496" s="212"/>
      <c r="AY496" s="212"/>
      <c r="AZ496" s="452"/>
      <c r="BA496" s="212"/>
      <c r="BB496" s="212"/>
      <c r="BC496" s="212"/>
      <c r="BD496" s="212"/>
      <c r="BE496" s="212"/>
      <c r="BF496" s="452"/>
    </row>
    <row r="497">
      <c r="A497" s="212"/>
      <c r="B497" s="447"/>
      <c r="C497" s="212"/>
      <c r="D497" s="212"/>
      <c r="E497" s="212"/>
      <c r="F497" s="212"/>
      <c r="G497" s="212"/>
      <c r="H497" s="212"/>
      <c r="I497" s="212"/>
      <c r="J497" s="212"/>
      <c r="K497" s="212"/>
      <c r="L497" s="212"/>
      <c r="M497" s="212"/>
      <c r="N497" s="212"/>
      <c r="O497" s="212"/>
      <c r="P497" s="212"/>
      <c r="Q497" s="212"/>
      <c r="R497" s="451"/>
      <c r="S497" s="451"/>
      <c r="T497" s="212"/>
      <c r="U497" s="451"/>
      <c r="V497" s="451"/>
      <c r="W497" s="451"/>
      <c r="X497" s="451"/>
      <c r="Y497" s="212"/>
      <c r="Z497" s="212"/>
      <c r="AA497" s="212"/>
      <c r="AB497" s="212"/>
      <c r="AC497" s="212"/>
      <c r="AD497" s="212"/>
      <c r="AE497" s="450"/>
      <c r="AF497" s="212"/>
      <c r="AG497" s="212"/>
      <c r="AH497" s="212"/>
      <c r="AI497" s="212"/>
      <c r="AJ497" s="212"/>
      <c r="AK497" s="212"/>
      <c r="AL497" s="212"/>
      <c r="AM497" s="212"/>
      <c r="AN497" s="212"/>
      <c r="AO497" s="212"/>
      <c r="AP497" s="212"/>
      <c r="AQ497" s="212"/>
      <c r="AR497" s="212"/>
      <c r="AS497" s="212"/>
      <c r="AT497" s="212"/>
      <c r="AU497" s="212"/>
      <c r="AV497" s="212"/>
      <c r="AW497" s="212"/>
      <c r="AX497" s="212"/>
      <c r="AY497" s="212"/>
      <c r="AZ497" s="452"/>
      <c r="BA497" s="212"/>
      <c r="BB497" s="212"/>
      <c r="BC497" s="212"/>
      <c r="BD497" s="212"/>
      <c r="BE497" s="212"/>
      <c r="BF497" s="452"/>
    </row>
    <row r="498">
      <c r="A498" s="212"/>
      <c r="B498" s="447"/>
      <c r="C498" s="212"/>
      <c r="D498" s="212"/>
      <c r="E498" s="212"/>
      <c r="F498" s="212"/>
      <c r="G498" s="212"/>
      <c r="H498" s="212"/>
      <c r="I498" s="212"/>
      <c r="J498" s="212"/>
      <c r="K498" s="212"/>
      <c r="L498" s="212"/>
      <c r="M498" s="212"/>
      <c r="N498" s="212"/>
      <c r="O498" s="212"/>
      <c r="P498" s="212"/>
      <c r="Q498" s="212"/>
      <c r="R498" s="451"/>
      <c r="S498" s="451"/>
      <c r="T498" s="212"/>
      <c r="U498" s="451"/>
      <c r="V498" s="451"/>
      <c r="W498" s="451"/>
      <c r="X498" s="451"/>
      <c r="Y498" s="212"/>
      <c r="Z498" s="212"/>
      <c r="AA498" s="212"/>
      <c r="AB498" s="212"/>
      <c r="AC498" s="212"/>
      <c r="AD498" s="212"/>
      <c r="AE498" s="450"/>
      <c r="AF498" s="212"/>
      <c r="AG498" s="212"/>
      <c r="AH498" s="212"/>
      <c r="AI498" s="212"/>
      <c r="AJ498" s="212"/>
      <c r="AK498" s="212"/>
      <c r="AL498" s="212"/>
      <c r="AM498" s="212"/>
      <c r="AN498" s="212"/>
      <c r="AO498" s="212"/>
      <c r="AP498" s="212"/>
      <c r="AQ498" s="212"/>
      <c r="AR498" s="212"/>
      <c r="AS498" s="212"/>
      <c r="AT498" s="212"/>
      <c r="AU498" s="212"/>
      <c r="AV498" s="212"/>
      <c r="AW498" s="212"/>
      <c r="AX498" s="212"/>
      <c r="AY498" s="212"/>
      <c r="AZ498" s="452"/>
      <c r="BA498" s="212"/>
      <c r="BB498" s="212"/>
      <c r="BC498" s="212"/>
      <c r="BD498" s="212"/>
      <c r="BE498" s="212"/>
      <c r="BF498" s="452"/>
    </row>
    <row r="499">
      <c r="A499" s="212"/>
      <c r="B499" s="447"/>
      <c r="C499" s="212"/>
      <c r="D499" s="212"/>
      <c r="E499" s="212"/>
      <c r="F499" s="212"/>
      <c r="G499" s="212"/>
      <c r="H499" s="212"/>
      <c r="I499" s="212"/>
      <c r="J499" s="212"/>
      <c r="K499" s="212"/>
      <c r="L499" s="212"/>
      <c r="M499" s="212"/>
      <c r="N499" s="212"/>
      <c r="O499" s="212"/>
      <c r="P499" s="212"/>
      <c r="Q499" s="212"/>
      <c r="R499" s="451"/>
      <c r="S499" s="451"/>
      <c r="T499" s="212"/>
      <c r="U499" s="451"/>
      <c r="V499" s="451"/>
      <c r="W499" s="451"/>
      <c r="X499" s="451"/>
      <c r="Y499" s="212"/>
      <c r="Z499" s="212"/>
      <c r="AA499" s="212"/>
      <c r="AB499" s="212"/>
      <c r="AC499" s="212"/>
      <c r="AD499" s="212"/>
      <c r="AE499" s="450"/>
      <c r="AF499" s="212"/>
      <c r="AG499" s="212"/>
      <c r="AH499" s="212"/>
      <c r="AI499" s="212"/>
      <c r="AJ499" s="212"/>
      <c r="AK499" s="212"/>
      <c r="AL499" s="212"/>
      <c r="AM499" s="212"/>
      <c r="AN499" s="212"/>
      <c r="AO499" s="212"/>
      <c r="AP499" s="212"/>
      <c r="AQ499" s="212"/>
      <c r="AR499" s="212"/>
      <c r="AS499" s="212"/>
      <c r="AT499" s="212"/>
      <c r="AU499" s="212"/>
      <c r="AV499" s="212"/>
      <c r="AW499" s="212"/>
      <c r="AX499" s="212"/>
      <c r="AY499" s="212"/>
      <c r="AZ499" s="452"/>
      <c r="BA499" s="212"/>
      <c r="BB499" s="212"/>
      <c r="BC499" s="212"/>
      <c r="BD499" s="212"/>
      <c r="BE499" s="212"/>
      <c r="BF499" s="452"/>
    </row>
    <row r="500">
      <c r="A500" s="212"/>
      <c r="B500" s="447"/>
      <c r="C500" s="212"/>
      <c r="D500" s="212"/>
      <c r="E500" s="212"/>
      <c r="F500" s="212"/>
      <c r="G500" s="212"/>
      <c r="H500" s="212"/>
      <c r="I500" s="212"/>
      <c r="J500" s="212"/>
      <c r="K500" s="212"/>
      <c r="L500" s="212"/>
      <c r="M500" s="212"/>
      <c r="N500" s="212"/>
      <c r="O500" s="212"/>
      <c r="P500" s="212"/>
      <c r="Q500" s="212"/>
      <c r="R500" s="451"/>
      <c r="S500" s="451"/>
      <c r="T500" s="212"/>
      <c r="U500" s="451"/>
      <c r="V500" s="451"/>
      <c r="W500" s="451"/>
      <c r="X500" s="451"/>
      <c r="Y500" s="212"/>
      <c r="Z500" s="212"/>
      <c r="AA500" s="212"/>
      <c r="AB500" s="212"/>
      <c r="AC500" s="212"/>
      <c r="AD500" s="212"/>
      <c r="AE500" s="450"/>
      <c r="AF500" s="212"/>
      <c r="AG500" s="212"/>
      <c r="AH500" s="212"/>
      <c r="AI500" s="212"/>
      <c r="AJ500" s="212"/>
      <c r="AK500" s="212"/>
      <c r="AL500" s="212"/>
      <c r="AM500" s="212"/>
      <c r="AN500" s="212"/>
      <c r="AO500" s="212"/>
      <c r="AP500" s="212"/>
      <c r="AQ500" s="212"/>
      <c r="AR500" s="212"/>
      <c r="AS500" s="212"/>
      <c r="AT500" s="212"/>
      <c r="AU500" s="212"/>
      <c r="AV500" s="212"/>
      <c r="AW500" s="212"/>
      <c r="AX500" s="212"/>
      <c r="AY500" s="212"/>
      <c r="AZ500" s="452"/>
      <c r="BA500" s="212"/>
      <c r="BB500" s="212"/>
      <c r="BC500" s="212"/>
      <c r="BD500" s="212"/>
      <c r="BE500" s="212"/>
      <c r="BF500" s="452"/>
    </row>
    <row r="501">
      <c r="A501" s="212"/>
      <c r="B501" s="447"/>
      <c r="C501" s="212"/>
      <c r="D501" s="212"/>
      <c r="E501" s="212"/>
      <c r="F501" s="212"/>
      <c r="G501" s="212"/>
      <c r="H501" s="212"/>
      <c r="I501" s="212"/>
      <c r="J501" s="212"/>
      <c r="K501" s="212"/>
      <c r="L501" s="212"/>
      <c r="M501" s="212"/>
      <c r="N501" s="212"/>
      <c r="O501" s="212"/>
      <c r="P501" s="212"/>
      <c r="Q501" s="212"/>
      <c r="R501" s="451"/>
      <c r="S501" s="451"/>
      <c r="T501" s="212"/>
      <c r="U501" s="451"/>
      <c r="V501" s="451"/>
      <c r="W501" s="451"/>
      <c r="X501" s="451"/>
      <c r="Y501" s="212"/>
      <c r="Z501" s="212"/>
      <c r="AA501" s="212"/>
      <c r="AB501" s="212"/>
      <c r="AC501" s="212"/>
      <c r="AD501" s="212"/>
      <c r="AE501" s="450"/>
      <c r="AF501" s="212"/>
      <c r="AG501" s="212"/>
      <c r="AH501" s="212"/>
      <c r="AI501" s="212"/>
      <c r="AJ501" s="212"/>
      <c r="AK501" s="212"/>
      <c r="AL501" s="212"/>
      <c r="AM501" s="212"/>
      <c r="AN501" s="212"/>
      <c r="AO501" s="212"/>
      <c r="AP501" s="212"/>
      <c r="AQ501" s="212"/>
      <c r="AR501" s="212"/>
      <c r="AS501" s="212"/>
      <c r="AT501" s="212"/>
      <c r="AU501" s="212"/>
      <c r="AV501" s="212"/>
      <c r="AW501" s="212"/>
      <c r="AX501" s="212"/>
      <c r="AY501" s="212"/>
      <c r="AZ501" s="452"/>
      <c r="BA501" s="212"/>
      <c r="BB501" s="212"/>
      <c r="BC501" s="212"/>
      <c r="BD501" s="212"/>
      <c r="BE501" s="212"/>
      <c r="BF501" s="452"/>
    </row>
    <row r="502">
      <c r="A502" s="212"/>
      <c r="B502" s="447"/>
      <c r="C502" s="212"/>
      <c r="D502" s="212"/>
      <c r="E502" s="212"/>
      <c r="F502" s="212"/>
      <c r="G502" s="212"/>
      <c r="H502" s="212"/>
      <c r="I502" s="212"/>
      <c r="J502" s="212"/>
      <c r="K502" s="212"/>
      <c r="L502" s="212"/>
      <c r="M502" s="212"/>
      <c r="N502" s="212"/>
      <c r="O502" s="212"/>
      <c r="P502" s="212"/>
      <c r="Q502" s="212"/>
      <c r="R502" s="451"/>
      <c r="S502" s="451"/>
      <c r="T502" s="212"/>
      <c r="U502" s="451"/>
      <c r="V502" s="451"/>
      <c r="W502" s="451"/>
      <c r="X502" s="451"/>
      <c r="Y502" s="212"/>
      <c r="Z502" s="212"/>
      <c r="AA502" s="212"/>
      <c r="AB502" s="212"/>
      <c r="AC502" s="212"/>
      <c r="AD502" s="212"/>
      <c r="AE502" s="450"/>
      <c r="AF502" s="212"/>
      <c r="AG502" s="212"/>
      <c r="AH502" s="212"/>
      <c r="AI502" s="212"/>
      <c r="AJ502" s="212"/>
      <c r="AK502" s="212"/>
      <c r="AL502" s="212"/>
      <c r="AM502" s="212"/>
      <c r="AN502" s="212"/>
      <c r="AO502" s="212"/>
      <c r="AP502" s="212"/>
      <c r="AQ502" s="212"/>
      <c r="AR502" s="212"/>
      <c r="AS502" s="212"/>
      <c r="AT502" s="212"/>
      <c r="AU502" s="212"/>
      <c r="AV502" s="212"/>
      <c r="AW502" s="212"/>
      <c r="AX502" s="212"/>
      <c r="AY502" s="212"/>
      <c r="AZ502" s="452"/>
      <c r="BA502" s="212"/>
      <c r="BB502" s="212"/>
      <c r="BC502" s="212"/>
      <c r="BD502" s="212"/>
      <c r="BE502" s="212"/>
      <c r="BF502" s="452"/>
    </row>
    <row r="503">
      <c r="A503" s="212"/>
      <c r="B503" s="447"/>
      <c r="C503" s="212"/>
      <c r="D503" s="212"/>
      <c r="E503" s="212"/>
      <c r="F503" s="212"/>
      <c r="G503" s="212"/>
      <c r="H503" s="212"/>
      <c r="I503" s="212"/>
      <c r="J503" s="212"/>
      <c r="K503" s="212"/>
      <c r="L503" s="212"/>
      <c r="M503" s="212"/>
      <c r="N503" s="212"/>
      <c r="O503" s="212"/>
      <c r="P503" s="212"/>
      <c r="Q503" s="212"/>
      <c r="R503" s="451"/>
      <c r="S503" s="451"/>
      <c r="T503" s="212"/>
      <c r="U503" s="451"/>
      <c r="V503" s="451"/>
      <c r="W503" s="451"/>
      <c r="X503" s="451"/>
      <c r="Y503" s="212"/>
      <c r="Z503" s="212"/>
      <c r="AA503" s="212"/>
      <c r="AB503" s="212"/>
      <c r="AC503" s="212"/>
      <c r="AD503" s="212"/>
      <c r="AE503" s="450"/>
      <c r="AF503" s="212"/>
      <c r="AG503" s="212"/>
      <c r="AH503" s="212"/>
      <c r="AI503" s="212"/>
      <c r="AJ503" s="212"/>
      <c r="AK503" s="212"/>
      <c r="AL503" s="212"/>
      <c r="AM503" s="212"/>
      <c r="AN503" s="212"/>
      <c r="AO503" s="212"/>
      <c r="AP503" s="212"/>
      <c r="AQ503" s="212"/>
      <c r="AR503" s="212"/>
      <c r="AS503" s="212"/>
      <c r="AT503" s="212"/>
      <c r="AU503" s="212"/>
      <c r="AV503" s="212"/>
      <c r="AW503" s="212"/>
      <c r="AX503" s="212"/>
      <c r="AY503" s="212"/>
      <c r="AZ503" s="452"/>
      <c r="BA503" s="212"/>
      <c r="BB503" s="212"/>
      <c r="BC503" s="212"/>
      <c r="BD503" s="212"/>
      <c r="BE503" s="212"/>
      <c r="BF503" s="452"/>
    </row>
    <row r="504">
      <c r="A504" s="212"/>
      <c r="B504" s="447"/>
      <c r="C504" s="212"/>
      <c r="D504" s="212"/>
      <c r="E504" s="212"/>
      <c r="F504" s="212"/>
      <c r="G504" s="212"/>
      <c r="H504" s="212"/>
      <c r="I504" s="212"/>
      <c r="J504" s="212"/>
      <c r="K504" s="212"/>
      <c r="L504" s="212"/>
      <c r="M504" s="212"/>
      <c r="N504" s="212"/>
      <c r="O504" s="212"/>
      <c r="P504" s="212"/>
      <c r="Q504" s="212"/>
      <c r="R504" s="451"/>
      <c r="S504" s="451"/>
      <c r="T504" s="212"/>
      <c r="U504" s="451"/>
      <c r="V504" s="451"/>
      <c r="W504" s="451"/>
      <c r="X504" s="451"/>
      <c r="Y504" s="212"/>
      <c r="Z504" s="212"/>
      <c r="AA504" s="212"/>
      <c r="AB504" s="212"/>
      <c r="AC504" s="212"/>
      <c r="AD504" s="212"/>
      <c r="AE504" s="450"/>
      <c r="AF504" s="212"/>
      <c r="AG504" s="212"/>
      <c r="AH504" s="212"/>
      <c r="AI504" s="212"/>
      <c r="AJ504" s="212"/>
      <c r="AK504" s="212"/>
      <c r="AL504" s="212"/>
      <c r="AM504" s="212"/>
      <c r="AN504" s="212"/>
      <c r="AO504" s="212"/>
      <c r="AP504" s="212"/>
      <c r="AQ504" s="212"/>
      <c r="AR504" s="212"/>
      <c r="AS504" s="212"/>
      <c r="AT504" s="212"/>
      <c r="AU504" s="212"/>
      <c r="AV504" s="212"/>
      <c r="AW504" s="212"/>
      <c r="AX504" s="212"/>
      <c r="AY504" s="212"/>
      <c r="AZ504" s="452"/>
      <c r="BA504" s="212"/>
      <c r="BB504" s="212"/>
      <c r="BC504" s="212"/>
      <c r="BD504" s="212"/>
      <c r="BE504" s="212"/>
      <c r="BF504" s="452"/>
    </row>
    <row r="505">
      <c r="A505" s="212"/>
      <c r="B505" s="447"/>
      <c r="C505" s="212"/>
      <c r="D505" s="212"/>
      <c r="E505" s="212"/>
      <c r="F505" s="212"/>
      <c r="G505" s="212"/>
      <c r="H505" s="212"/>
      <c r="I505" s="212"/>
      <c r="J505" s="212"/>
      <c r="K505" s="212"/>
      <c r="L505" s="212"/>
      <c r="M505" s="212"/>
      <c r="N505" s="212"/>
      <c r="O505" s="212"/>
      <c r="P505" s="212"/>
      <c r="Q505" s="212"/>
      <c r="R505" s="451"/>
      <c r="S505" s="451"/>
      <c r="T505" s="212"/>
      <c r="U505" s="451"/>
      <c r="V505" s="451"/>
      <c r="W505" s="451"/>
      <c r="X505" s="451"/>
      <c r="Y505" s="212"/>
      <c r="Z505" s="212"/>
      <c r="AA505" s="212"/>
      <c r="AB505" s="212"/>
      <c r="AC505" s="212"/>
      <c r="AD505" s="212"/>
      <c r="AE505" s="450"/>
      <c r="AF505" s="212"/>
      <c r="AG505" s="212"/>
      <c r="AH505" s="212"/>
      <c r="AI505" s="212"/>
      <c r="AJ505" s="212"/>
      <c r="AK505" s="212"/>
      <c r="AL505" s="212"/>
      <c r="AM505" s="212"/>
      <c r="AN505" s="212"/>
      <c r="AO505" s="212"/>
      <c r="AP505" s="212"/>
      <c r="AQ505" s="212"/>
      <c r="AR505" s="212"/>
      <c r="AS505" s="212"/>
      <c r="AT505" s="212"/>
      <c r="AU505" s="212"/>
      <c r="AV505" s="212"/>
      <c r="AW505" s="212"/>
      <c r="AX505" s="212"/>
      <c r="AY505" s="212"/>
      <c r="AZ505" s="452"/>
      <c r="BA505" s="212"/>
      <c r="BB505" s="212"/>
      <c r="BC505" s="212"/>
      <c r="BD505" s="212"/>
      <c r="BE505" s="212"/>
      <c r="BF505" s="452"/>
    </row>
    <row r="506">
      <c r="A506" s="212"/>
      <c r="B506" s="447"/>
      <c r="C506" s="212"/>
      <c r="D506" s="212"/>
      <c r="E506" s="212"/>
      <c r="F506" s="212"/>
      <c r="G506" s="212"/>
      <c r="H506" s="212"/>
      <c r="I506" s="212"/>
      <c r="J506" s="212"/>
      <c r="K506" s="212"/>
      <c r="L506" s="212"/>
      <c r="M506" s="212"/>
      <c r="N506" s="212"/>
      <c r="O506" s="212"/>
      <c r="P506" s="212"/>
      <c r="Q506" s="212"/>
      <c r="R506" s="451"/>
      <c r="S506" s="451"/>
      <c r="T506" s="212"/>
      <c r="U506" s="451"/>
      <c r="V506" s="451"/>
      <c r="W506" s="451"/>
      <c r="X506" s="451"/>
      <c r="Y506" s="212"/>
      <c r="Z506" s="212"/>
      <c r="AA506" s="212"/>
      <c r="AB506" s="212"/>
      <c r="AC506" s="212"/>
      <c r="AD506" s="212"/>
      <c r="AE506" s="450"/>
      <c r="AF506" s="212"/>
      <c r="AG506" s="212"/>
      <c r="AH506" s="212"/>
      <c r="AI506" s="212"/>
      <c r="AJ506" s="212"/>
      <c r="AK506" s="212"/>
      <c r="AL506" s="212"/>
      <c r="AM506" s="212"/>
      <c r="AN506" s="212"/>
      <c r="AO506" s="212"/>
      <c r="AP506" s="212"/>
      <c r="AQ506" s="212"/>
      <c r="AR506" s="212"/>
      <c r="AS506" s="212"/>
      <c r="AT506" s="212"/>
      <c r="AU506" s="212"/>
      <c r="AV506" s="212"/>
      <c r="AW506" s="212"/>
      <c r="AX506" s="212"/>
      <c r="AY506" s="212"/>
      <c r="AZ506" s="452"/>
      <c r="BA506" s="212"/>
      <c r="BB506" s="212"/>
      <c r="BC506" s="212"/>
      <c r="BD506" s="212"/>
      <c r="BE506" s="212"/>
      <c r="BF506" s="452"/>
    </row>
    <row r="507">
      <c r="A507" s="212"/>
      <c r="B507" s="447"/>
      <c r="C507" s="212"/>
      <c r="D507" s="212"/>
      <c r="E507" s="212"/>
      <c r="F507" s="212"/>
      <c r="G507" s="212"/>
      <c r="H507" s="212"/>
      <c r="I507" s="212"/>
      <c r="J507" s="212"/>
      <c r="K507" s="212"/>
      <c r="L507" s="212"/>
      <c r="M507" s="212"/>
      <c r="N507" s="212"/>
      <c r="O507" s="212"/>
      <c r="P507" s="212"/>
      <c r="Q507" s="212"/>
      <c r="R507" s="451"/>
      <c r="S507" s="451"/>
      <c r="T507" s="212"/>
      <c r="U507" s="451"/>
      <c r="V507" s="451"/>
      <c r="W507" s="451"/>
      <c r="X507" s="451"/>
      <c r="Y507" s="212"/>
      <c r="Z507" s="212"/>
      <c r="AA507" s="212"/>
      <c r="AB507" s="212"/>
      <c r="AC507" s="212"/>
      <c r="AD507" s="212"/>
      <c r="AE507" s="450"/>
      <c r="AF507" s="212"/>
      <c r="AG507" s="212"/>
      <c r="AH507" s="212"/>
      <c r="AI507" s="212"/>
      <c r="AJ507" s="212"/>
      <c r="AK507" s="212"/>
      <c r="AL507" s="212"/>
      <c r="AM507" s="212"/>
      <c r="AN507" s="212"/>
      <c r="AO507" s="212"/>
      <c r="AP507" s="212"/>
      <c r="AQ507" s="212"/>
      <c r="AR507" s="212"/>
      <c r="AS507" s="212"/>
      <c r="AT507" s="212"/>
      <c r="AU507" s="212"/>
      <c r="AV507" s="212"/>
      <c r="AW507" s="212"/>
      <c r="AX507" s="212"/>
      <c r="AY507" s="212"/>
      <c r="AZ507" s="452"/>
      <c r="BA507" s="212"/>
      <c r="BB507" s="212"/>
      <c r="BC507" s="212"/>
      <c r="BD507" s="212"/>
      <c r="BE507" s="212"/>
      <c r="BF507" s="452"/>
    </row>
    <row r="508">
      <c r="A508" s="212"/>
      <c r="B508" s="447"/>
      <c r="C508" s="212"/>
      <c r="D508" s="212"/>
      <c r="E508" s="212"/>
      <c r="F508" s="212"/>
      <c r="G508" s="212"/>
      <c r="H508" s="212"/>
      <c r="I508" s="212"/>
      <c r="J508" s="212"/>
      <c r="K508" s="212"/>
      <c r="L508" s="212"/>
      <c r="M508" s="212"/>
      <c r="N508" s="212"/>
      <c r="O508" s="212"/>
      <c r="P508" s="212"/>
      <c r="Q508" s="212"/>
      <c r="R508" s="451"/>
      <c r="S508" s="451"/>
      <c r="T508" s="212"/>
      <c r="U508" s="451"/>
      <c r="V508" s="451"/>
      <c r="W508" s="451"/>
      <c r="X508" s="451"/>
      <c r="Y508" s="212"/>
      <c r="Z508" s="212"/>
      <c r="AA508" s="212"/>
      <c r="AB508" s="212"/>
      <c r="AC508" s="212"/>
      <c r="AD508" s="212"/>
      <c r="AE508" s="450"/>
      <c r="AF508" s="212"/>
      <c r="AG508" s="212"/>
      <c r="AH508" s="212"/>
      <c r="AI508" s="212"/>
      <c r="AJ508" s="212"/>
      <c r="AK508" s="212"/>
      <c r="AL508" s="212"/>
      <c r="AM508" s="212"/>
      <c r="AN508" s="212"/>
      <c r="AO508" s="212"/>
      <c r="AP508" s="212"/>
      <c r="AQ508" s="212"/>
      <c r="AR508" s="212"/>
      <c r="AS508" s="212"/>
      <c r="AT508" s="212"/>
      <c r="AU508" s="212"/>
      <c r="AV508" s="212"/>
      <c r="AW508" s="212"/>
      <c r="AX508" s="212"/>
      <c r="AY508" s="212"/>
      <c r="AZ508" s="452"/>
      <c r="BA508" s="212"/>
      <c r="BB508" s="212"/>
      <c r="BC508" s="212"/>
      <c r="BD508" s="212"/>
      <c r="BE508" s="212"/>
      <c r="BF508" s="452"/>
    </row>
    <row r="509">
      <c r="A509" s="212"/>
      <c r="B509" s="447"/>
      <c r="C509" s="212"/>
      <c r="D509" s="212"/>
      <c r="E509" s="212"/>
      <c r="F509" s="212"/>
      <c r="G509" s="212"/>
      <c r="H509" s="212"/>
      <c r="I509" s="212"/>
      <c r="J509" s="212"/>
      <c r="K509" s="212"/>
      <c r="L509" s="212"/>
      <c r="M509" s="212"/>
      <c r="N509" s="212"/>
      <c r="O509" s="212"/>
      <c r="P509" s="212"/>
      <c r="Q509" s="212"/>
      <c r="R509" s="451"/>
      <c r="S509" s="451"/>
      <c r="T509" s="212"/>
      <c r="U509" s="451"/>
      <c r="V509" s="451"/>
      <c r="W509" s="451"/>
      <c r="X509" s="451"/>
      <c r="Y509" s="212"/>
      <c r="Z509" s="212"/>
      <c r="AA509" s="212"/>
      <c r="AB509" s="212"/>
      <c r="AC509" s="212"/>
      <c r="AD509" s="212"/>
      <c r="AE509" s="450"/>
      <c r="AF509" s="212"/>
      <c r="AG509" s="212"/>
      <c r="AH509" s="212"/>
      <c r="AI509" s="212"/>
      <c r="AJ509" s="212"/>
      <c r="AK509" s="212"/>
      <c r="AL509" s="212"/>
      <c r="AM509" s="212"/>
      <c r="AN509" s="212"/>
      <c r="AO509" s="212"/>
      <c r="AP509" s="212"/>
      <c r="AQ509" s="212"/>
      <c r="AR509" s="212"/>
      <c r="AS509" s="212"/>
      <c r="AT509" s="212"/>
      <c r="AU509" s="212"/>
      <c r="AV509" s="212"/>
      <c r="AW509" s="212"/>
      <c r="AX509" s="212"/>
      <c r="AY509" s="212"/>
      <c r="AZ509" s="452"/>
      <c r="BA509" s="212"/>
      <c r="BB509" s="212"/>
      <c r="BC509" s="212"/>
      <c r="BD509" s="212"/>
      <c r="BE509" s="212"/>
      <c r="BF509" s="452"/>
    </row>
    <row r="510">
      <c r="A510" s="212"/>
      <c r="B510" s="447"/>
      <c r="C510" s="212"/>
      <c r="D510" s="212"/>
      <c r="E510" s="212"/>
      <c r="F510" s="212"/>
      <c r="G510" s="212"/>
      <c r="H510" s="212"/>
      <c r="I510" s="212"/>
      <c r="J510" s="212"/>
      <c r="K510" s="212"/>
      <c r="L510" s="212"/>
      <c r="M510" s="212"/>
      <c r="N510" s="212"/>
      <c r="O510" s="212"/>
      <c r="P510" s="212"/>
      <c r="Q510" s="212"/>
      <c r="R510" s="451"/>
      <c r="S510" s="451"/>
      <c r="T510" s="212"/>
      <c r="U510" s="451"/>
      <c r="V510" s="451"/>
      <c r="W510" s="451"/>
      <c r="X510" s="451"/>
      <c r="Y510" s="212"/>
      <c r="Z510" s="212"/>
      <c r="AA510" s="212"/>
      <c r="AB510" s="212"/>
      <c r="AC510" s="212"/>
      <c r="AD510" s="212"/>
      <c r="AE510" s="450"/>
      <c r="AF510" s="212"/>
      <c r="AG510" s="212"/>
      <c r="AH510" s="212"/>
      <c r="AI510" s="212"/>
      <c r="AJ510" s="212"/>
      <c r="AK510" s="212"/>
      <c r="AL510" s="212"/>
      <c r="AM510" s="212"/>
      <c r="AN510" s="212"/>
      <c r="AO510" s="212"/>
      <c r="AP510" s="212"/>
      <c r="AQ510" s="212"/>
      <c r="AR510" s="212"/>
      <c r="AS510" s="212"/>
      <c r="AT510" s="212"/>
      <c r="AU510" s="212"/>
      <c r="AV510" s="212"/>
      <c r="AW510" s="212"/>
      <c r="AX510" s="212"/>
      <c r="AY510" s="212"/>
      <c r="AZ510" s="452"/>
      <c r="BA510" s="212"/>
      <c r="BB510" s="212"/>
      <c r="BC510" s="212"/>
      <c r="BD510" s="212"/>
      <c r="BE510" s="212"/>
      <c r="BF510" s="452"/>
    </row>
    <row r="511">
      <c r="A511" s="212"/>
      <c r="B511" s="447"/>
      <c r="C511" s="212"/>
      <c r="D511" s="212"/>
      <c r="E511" s="212"/>
      <c r="F511" s="212"/>
      <c r="G511" s="212"/>
      <c r="H511" s="212"/>
      <c r="I511" s="212"/>
      <c r="J511" s="212"/>
      <c r="K511" s="212"/>
      <c r="L511" s="212"/>
      <c r="M511" s="212"/>
      <c r="N511" s="212"/>
      <c r="O511" s="212"/>
      <c r="P511" s="212"/>
      <c r="Q511" s="212"/>
      <c r="R511" s="451"/>
      <c r="S511" s="451"/>
      <c r="T511" s="212"/>
      <c r="U511" s="451"/>
      <c r="V511" s="451"/>
      <c r="W511" s="451"/>
      <c r="X511" s="451"/>
      <c r="Y511" s="212"/>
      <c r="Z511" s="212"/>
      <c r="AA511" s="212"/>
      <c r="AB511" s="212"/>
      <c r="AC511" s="212"/>
      <c r="AD511" s="212"/>
      <c r="AE511" s="450"/>
      <c r="AF511" s="212"/>
      <c r="AG511" s="212"/>
      <c r="AH511" s="212"/>
      <c r="AI511" s="212"/>
      <c r="AJ511" s="212"/>
      <c r="AK511" s="212"/>
      <c r="AL511" s="212"/>
      <c r="AM511" s="212"/>
      <c r="AN511" s="212"/>
      <c r="AO511" s="212"/>
      <c r="AP511" s="212"/>
      <c r="AQ511" s="212"/>
      <c r="AR511" s="212"/>
      <c r="AS511" s="212"/>
      <c r="AT511" s="212"/>
      <c r="AU511" s="212"/>
      <c r="AV511" s="212"/>
      <c r="AW511" s="212"/>
      <c r="AX511" s="212"/>
      <c r="AY511" s="212"/>
      <c r="AZ511" s="452"/>
      <c r="BA511" s="212"/>
      <c r="BB511" s="212"/>
      <c r="BC511" s="212"/>
      <c r="BD511" s="212"/>
      <c r="BE511" s="212"/>
      <c r="BF511" s="452"/>
    </row>
    <row r="512">
      <c r="A512" s="212"/>
      <c r="B512" s="447"/>
      <c r="C512" s="212"/>
      <c r="D512" s="212"/>
      <c r="E512" s="212"/>
      <c r="F512" s="212"/>
      <c r="G512" s="212"/>
      <c r="H512" s="212"/>
      <c r="I512" s="212"/>
      <c r="J512" s="212"/>
      <c r="K512" s="212"/>
      <c r="L512" s="212"/>
      <c r="M512" s="212"/>
      <c r="N512" s="212"/>
      <c r="O512" s="212"/>
      <c r="P512" s="212"/>
      <c r="Q512" s="212"/>
      <c r="R512" s="451"/>
      <c r="S512" s="451"/>
      <c r="T512" s="212"/>
      <c r="U512" s="451"/>
      <c r="V512" s="451"/>
      <c r="W512" s="451"/>
      <c r="X512" s="451"/>
      <c r="Y512" s="212"/>
      <c r="Z512" s="212"/>
      <c r="AA512" s="212"/>
      <c r="AB512" s="212"/>
      <c r="AC512" s="212"/>
      <c r="AD512" s="212"/>
      <c r="AE512" s="450"/>
      <c r="AF512" s="212"/>
      <c r="AG512" s="212"/>
      <c r="AH512" s="212"/>
      <c r="AI512" s="212"/>
      <c r="AJ512" s="212"/>
      <c r="AK512" s="212"/>
      <c r="AL512" s="212"/>
      <c r="AM512" s="212"/>
      <c r="AN512" s="212"/>
      <c r="AO512" s="212"/>
      <c r="AP512" s="212"/>
      <c r="AQ512" s="212"/>
      <c r="AR512" s="212"/>
      <c r="AS512" s="212"/>
      <c r="AT512" s="212"/>
      <c r="AU512" s="212"/>
      <c r="AV512" s="212"/>
      <c r="AW512" s="212"/>
      <c r="AX512" s="212"/>
      <c r="AY512" s="212"/>
      <c r="AZ512" s="452"/>
      <c r="BA512" s="212"/>
      <c r="BB512" s="212"/>
      <c r="BC512" s="212"/>
      <c r="BD512" s="212"/>
      <c r="BE512" s="212"/>
      <c r="BF512" s="452"/>
    </row>
    <row r="513">
      <c r="A513" s="212"/>
      <c r="B513" s="447"/>
      <c r="C513" s="212"/>
      <c r="D513" s="212"/>
      <c r="E513" s="212"/>
      <c r="F513" s="212"/>
      <c r="G513" s="212"/>
      <c r="H513" s="212"/>
      <c r="I513" s="212"/>
      <c r="J513" s="212"/>
      <c r="K513" s="212"/>
      <c r="L513" s="212"/>
      <c r="M513" s="212"/>
      <c r="N513" s="212"/>
      <c r="O513" s="212"/>
      <c r="P513" s="212"/>
      <c r="Q513" s="212"/>
      <c r="R513" s="451"/>
      <c r="S513" s="451"/>
      <c r="T513" s="212"/>
      <c r="U513" s="451"/>
      <c r="V513" s="451"/>
      <c r="W513" s="451"/>
      <c r="X513" s="451"/>
      <c r="Y513" s="212"/>
      <c r="Z513" s="212"/>
      <c r="AA513" s="212"/>
      <c r="AB513" s="212"/>
      <c r="AC513" s="212"/>
      <c r="AD513" s="212"/>
      <c r="AE513" s="450"/>
      <c r="AF513" s="212"/>
      <c r="AG513" s="212"/>
      <c r="AH513" s="212"/>
      <c r="AI513" s="212"/>
      <c r="AJ513" s="212"/>
      <c r="AK513" s="212"/>
      <c r="AL513" s="212"/>
      <c r="AM513" s="212"/>
      <c r="AN513" s="212"/>
      <c r="AO513" s="212"/>
      <c r="AP513" s="212"/>
      <c r="AQ513" s="212"/>
      <c r="AR513" s="212"/>
      <c r="AS513" s="212"/>
      <c r="AT513" s="212"/>
      <c r="AU513" s="212"/>
      <c r="AV513" s="212"/>
      <c r="AW513" s="212"/>
      <c r="AX513" s="212"/>
      <c r="AY513" s="212"/>
      <c r="AZ513" s="452"/>
      <c r="BA513" s="212"/>
      <c r="BB513" s="212"/>
      <c r="BC513" s="212"/>
      <c r="BD513" s="212"/>
      <c r="BE513" s="212"/>
      <c r="BF513" s="452"/>
    </row>
    <row r="514">
      <c r="A514" s="212"/>
      <c r="B514" s="447"/>
      <c r="C514" s="212"/>
      <c r="D514" s="212"/>
      <c r="E514" s="212"/>
      <c r="F514" s="212"/>
      <c r="G514" s="212"/>
      <c r="H514" s="212"/>
      <c r="I514" s="212"/>
      <c r="J514" s="212"/>
      <c r="K514" s="212"/>
      <c r="L514" s="212"/>
      <c r="M514" s="212"/>
      <c r="N514" s="212"/>
      <c r="O514" s="212"/>
      <c r="P514" s="212"/>
      <c r="Q514" s="212"/>
      <c r="R514" s="451"/>
      <c r="S514" s="451"/>
      <c r="T514" s="212"/>
      <c r="U514" s="451"/>
      <c r="V514" s="451"/>
      <c r="W514" s="451"/>
      <c r="X514" s="451"/>
      <c r="Y514" s="212"/>
      <c r="Z514" s="212"/>
      <c r="AA514" s="212"/>
      <c r="AB514" s="212"/>
      <c r="AC514" s="212"/>
      <c r="AD514" s="212"/>
      <c r="AE514" s="450"/>
      <c r="AF514" s="212"/>
      <c r="AG514" s="212"/>
      <c r="AH514" s="212"/>
      <c r="AI514" s="212"/>
      <c r="AJ514" s="212"/>
      <c r="AK514" s="212"/>
      <c r="AL514" s="212"/>
      <c r="AM514" s="212"/>
      <c r="AN514" s="212"/>
      <c r="AO514" s="212"/>
      <c r="AP514" s="212"/>
      <c r="AQ514" s="212"/>
      <c r="AR514" s="212"/>
      <c r="AS514" s="212"/>
      <c r="AT514" s="212"/>
      <c r="AU514" s="212"/>
      <c r="AV514" s="212"/>
      <c r="AW514" s="212"/>
      <c r="AX514" s="212"/>
      <c r="AY514" s="212"/>
      <c r="AZ514" s="452"/>
      <c r="BA514" s="212"/>
      <c r="BB514" s="212"/>
      <c r="BC514" s="212"/>
      <c r="BD514" s="212"/>
      <c r="BE514" s="212"/>
      <c r="BF514" s="452"/>
    </row>
    <row r="515">
      <c r="A515" s="212"/>
      <c r="B515" s="447"/>
      <c r="C515" s="212"/>
      <c r="D515" s="212"/>
      <c r="E515" s="212"/>
      <c r="F515" s="212"/>
      <c r="G515" s="212"/>
      <c r="H515" s="212"/>
      <c r="I515" s="212"/>
      <c r="J515" s="212"/>
      <c r="K515" s="212"/>
      <c r="L515" s="212"/>
      <c r="M515" s="212"/>
      <c r="N515" s="212"/>
      <c r="O515" s="212"/>
      <c r="P515" s="212"/>
      <c r="Q515" s="212"/>
      <c r="R515" s="451"/>
      <c r="S515" s="451"/>
      <c r="T515" s="212"/>
      <c r="U515" s="451"/>
      <c r="V515" s="451"/>
      <c r="W515" s="451"/>
      <c r="X515" s="451"/>
      <c r="Y515" s="212"/>
      <c r="Z515" s="212"/>
      <c r="AA515" s="212"/>
      <c r="AB515" s="212"/>
      <c r="AC515" s="212"/>
      <c r="AD515" s="212"/>
      <c r="AE515" s="450"/>
      <c r="AF515" s="212"/>
      <c r="AG515" s="212"/>
      <c r="AH515" s="212"/>
      <c r="AI515" s="212"/>
      <c r="AJ515" s="212"/>
      <c r="AK515" s="212"/>
      <c r="AL515" s="212"/>
      <c r="AM515" s="212"/>
      <c r="AN515" s="212"/>
      <c r="AO515" s="212"/>
      <c r="AP515" s="212"/>
      <c r="AQ515" s="212"/>
      <c r="AR515" s="212"/>
      <c r="AS515" s="212"/>
      <c r="AT515" s="212"/>
      <c r="AU515" s="212"/>
      <c r="AV515" s="212"/>
      <c r="AW515" s="212"/>
      <c r="AX515" s="212"/>
      <c r="AY515" s="212"/>
      <c r="AZ515" s="452"/>
      <c r="BA515" s="212"/>
      <c r="BB515" s="212"/>
      <c r="BC515" s="212"/>
      <c r="BD515" s="212"/>
      <c r="BE515" s="212"/>
      <c r="BF515" s="452"/>
    </row>
    <row r="516">
      <c r="A516" s="212"/>
      <c r="B516" s="447"/>
      <c r="C516" s="212"/>
      <c r="D516" s="212"/>
      <c r="E516" s="212"/>
      <c r="F516" s="212"/>
      <c r="G516" s="212"/>
      <c r="H516" s="212"/>
      <c r="I516" s="212"/>
      <c r="J516" s="212"/>
      <c r="K516" s="212"/>
      <c r="L516" s="212"/>
      <c r="M516" s="212"/>
      <c r="N516" s="212"/>
      <c r="O516" s="212"/>
      <c r="P516" s="212"/>
      <c r="Q516" s="212"/>
      <c r="R516" s="451"/>
      <c r="S516" s="451"/>
      <c r="T516" s="212"/>
      <c r="U516" s="451"/>
      <c r="V516" s="451"/>
      <c r="W516" s="451"/>
      <c r="X516" s="451"/>
      <c r="Y516" s="212"/>
      <c r="Z516" s="212"/>
      <c r="AA516" s="212"/>
      <c r="AB516" s="212"/>
      <c r="AC516" s="212"/>
      <c r="AD516" s="212"/>
      <c r="AE516" s="450"/>
      <c r="AF516" s="212"/>
      <c r="AG516" s="212"/>
      <c r="AH516" s="212"/>
      <c r="AI516" s="212"/>
      <c r="AJ516" s="212"/>
      <c r="AK516" s="212"/>
      <c r="AL516" s="212"/>
      <c r="AM516" s="212"/>
      <c r="AN516" s="212"/>
      <c r="AO516" s="212"/>
      <c r="AP516" s="212"/>
      <c r="AQ516" s="212"/>
      <c r="AR516" s="212"/>
      <c r="AS516" s="212"/>
      <c r="AT516" s="212"/>
      <c r="AU516" s="212"/>
      <c r="AV516" s="212"/>
      <c r="AW516" s="212"/>
      <c r="AX516" s="212"/>
      <c r="AY516" s="212"/>
      <c r="AZ516" s="452"/>
      <c r="BA516" s="212"/>
      <c r="BB516" s="212"/>
      <c r="BC516" s="212"/>
      <c r="BD516" s="212"/>
      <c r="BE516" s="212"/>
      <c r="BF516" s="452"/>
    </row>
    <row r="517">
      <c r="A517" s="212"/>
      <c r="B517" s="447"/>
      <c r="C517" s="212"/>
      <c r="D517" s="212"/>
      <c r="E517" s="212"/>
      <c r="F517" s="212"/>
      <c r="G517" s="212"/>
      <c r="H517" s="212"/>
      <c r="I517" s="212"/>
      <c r="J517" s="212"/>
      <c r="K517" s="212"/>
      <c r="L517" s="212"/>
      <c r="M517" s="212"/>
      <c r="N517" s="212"/>
      <c r="O517" s="212"/>
      <c r="P517" s="212"/>
      <c r="Q517" s="212"/>
      <c r="R517" s="451"/>
      <c r="S517" s="451"/>
      <c r="T517" s="212"/>
      <c r="U517" s="451"/>
      <c r="V517" s="451"/>
      <c r="W517" s="451"/>
      <c r="X517" s="451"/>
      <c r="Y517" s="212"/>
      <c r="Z517" s="212"/>
      <c r="AA517" s="212"/>
      <c r="AB517" s="212"/>
      <c r="AC517" s="212"/>
      <c r="AD517" s="212"/>
      <c r="AE517" s="450"/>
      <c r="AF517" s="212"/>
      <c r="AG517" s="212"/>
      <c r="AH517" s="212"/>
      <c r="AI517" s="212"/>
      <c r="AJ517" s="212"/>
      <c r="AK517" s="212"/>
      <c r="AL517" s="212"/>
      <c r="AM517" s="212"/>
      <c r="AN517" s="212"/>
      <c r="AO517" s="212"/>
      <c r="AP517" s="212"/>
      <c r="AQ517" s="212"/>
      <c r="AR517" s="212"/>
      <c r="AS517" s="212"/>
      <c r="AT517" s="212"/>
      <c r="AU517" s="212"/>
      <c r="AV517" s="212"/>
      <c r="AW517" s="212"/>
      <c r="AX517" s="212"/>
      <c r="AY517" s="212"/>
      <c r="AZ517" s="452"/>
      <c r="BA517" s="212"/>
      <c r="BB517" s="212"/>
      <c r="BC517" s="212"/>
      <c r="BD517" s="212"/>
      <c r="BE517" s="212"/>
      <c r="BF517" s="452"/>
    </row>
    <row r="518">
      <c r="A518" s="212"/>
      <c r="B518" s="447"/>
      <c r="C518" s="212"/>
      <c r="D518" s="212"/>
      <c r="E518" s="212"/>
      <c r="F518" s="212"/>
      <c r="G518" s="212"/>
      <c r="H518" s="212"/>
      <c r="I518" s="212"/>
      <c r="J518" s="212"/>
      <c r="K518" s="212"/>
      <c r="L518" s="212"/>
      <c r="M518" s="212"/>
      <c r="N518" s="212"/>
      <c r="O518" s="212"/>
      <c r="P518" s="212"/>
      <c r="Q518" s="212"/>
      <c r="R518" s="451"/>
      <c r="S518" s="451"/>
      <c r="T518" s="212"/>
      <c r="U518" s="451"/>
      <c r="V518" s="451"/>
      <c r="W518" s="451"/>
      <c r="X518" s="451"/>
      <c r="Y518" s="212"/>
      <c r="Z518" s="212"/>
      <c r="AA518" s="212"/>
      <c r="AB518" s="212"/>
      <c r="AC518" s="212"/>
      <c r="AD518" s="212"/>
      <c r="AE518" s="450"/>
      <c r="AF518" s="212"/>
      <c r="AG518" s="212"/>
      <c r="AH518" s="212"/>
      <c r="AI518" s="212"/>
      <c r="AJ518" s="212"/>
      <c r="AK518" s="212"/>
      <c r="AL518" s="212"/>
      <c r="AM518" s="212"/>
      <c r="AN518" s="212"/>
      <c r="AO518" s="212"/>
      <c r="AP518" s="212"/>
      <c r="AQ518" s="212"/>
      <c r="AR518" s="212"/>
      <c r="AS518" s="212"/>
      <c r="AT518" s="212"/>
      <c r="AU518" s="212"/>
      <c r="AV518" s="212"/>
      <c r="AW518" s="212"/>
      <c r="AX518" s="212"/>
      <c r="AY518" s="212"/>
      <c r="AZ518" s="452"/>
      <c r="BA518" s="212"/>
      <c r="BB518" s="212"/>
      <c r="BC518" s="212"/>
      <c r="BD518" s="212"/>
      <c r="BE518" s="212"/>
      <c r="BF518" s="452"/>
    </row>
    <row r="519">
      <c r="A519" s="212"/>
      <c r="B519" s="447"/>
      <c r="C519" s="212"/>
      <c r="D519" s="212"/>
      <c r="E519" s="212"/>
      <c r="F519" s="212"/>
      <c r="G519" s="212"/>
      <c r="H519" s="212"/>
      <c r="I519" s="212"/>
      <c r="J519" s="212"/>
      <c r="K519" s="212"/>
      <c r="L519" s="212"/>
      <c r="M519" s="212"/>
      <c r="N519" s="212"/>
      <c r="O519" s="212"/>
      <c r="P519" s="212"/>
      <c r="Q519" s="212"/>
      <c r="R519" s="451"/>
      <c r="S519" s="451"/>
      <c r="T519" s="212"/>
      <c r="U519" s="451"/>
      <c r="V519" s="451"/>
      <c r="W519" s="451"/>
      <c r="X519" s="451"/>
      <c r="Y519" s="212"/>
      <c r="Z519" s="212"/>
      <c r="AA519" s="212"/>
      <c r="AB519" s="212"/>
      <c r="AC519" s="212"/>
      <c r="AD519" s="212"/>
      <c r="AE519" s="450"/>
      <c r="AF519" s="212"/>
      <c r="AG519" s="212"/>
      <c r="AH519" s="212"/>
      <c r="AI519" s="212"/>
      <c r="AJ519" s="212"/>
      <c r="AK519" s="212"/>
      <c r="AL519" s="212"/>
      <c r="AM519" s="212"/>
      <c r="AN519" s="212"/>
      <c r="AO519" s="212"/>
      <c r="AP519" s="212"/>
      <c r="AQ519" s="212"/>
      <c r="AR519" s="212"/>
      <c r="AS519" s="212"/>
      <c r="AT519" s="212"/>
      <c r="AU519" s="212"/>
      <c r="AV519" s="212"/>
      <c r="AW519" s="212"/>
      <c r="AX519" s="212"/>
      <c r="AY519" s="212"/>
      <c r="AZ519" s="452"/>
      <c r="BA519" s="212"/>
      <c r="BB519" s="212"/>
      <c r="BC519" s="212"/>
      <c r="BD519" s="212"/>
      <c r="BE519" s="212"/>
      <c r="BF519" s="452"/>
    </row>
    <row r="520">
      <c r="A520" s="212"/>
      <c r="B520" s="447"/>
      <c r="C520" s="212"/>
      <c r="D520" s="212"/>
      <c r="E520" s="212"/>
      <c r="F520" s="212"/>
      <c r="G520" s="212"/>
      <c r="H520" s="212"/>
      <c r="I520" s="212"/>
      <c r="J520" s="212"/>
      <c r="K520" s="212"/>
      <c r="L520" s="212"/>
      <c r="M520" s="212"/>
      <c r="N520" s="212"/>
      <c r="O520" s="212"/>
      <c r="P520" s="212"/>
      <c r="Q520" s="212"/>
      <c r="R520" s="451"/>
      <c r="S520" s="451"/>
      <c r="T520" s="212"/>
      <c r="U520" s="451"/>
      <c r="V520" s="451"/>
      <c r="W520" s="451"/>
      <c r="X520" s="451"/>
      <c r="Y520" s="212"/>
      <c r="Z520" s="212"/>
      <c r="AA520" s="212"/>
      <c r="AB520" s="212"/>
      <c r="AC520" s="212"/>
      <c r="AD520" s="212"/>
      <c r="AE520" s="450"/>
      <c r="AF520" s="212"/>
      <c r="AG520" s="212"/>
      <c r="AH520" s="212"/>
      <c r="AI520" s="212"/>
      <c r="AJ520" s="212"/>
      <c r="AK520" s="212"/>
      <c r="AL520" s="212"/>
      <c r="AM520" s="212"/>
      <c r="AN520" s="212"/>
      <c r="AO520" s="212"/>
      <c r="AP520" s="212"/>
      <c r="AQ520" s="212"/>
      <c r="AR520" s="212"/>
      <c r="AS520" s="212"/>
      <c r="AT520" s="212"/>
      <c r="AU520" s="212"/>
      <c r="AV520" s="212"/>
      <c r="AW520" s="212"/>
      <c r="AX520" s="212"/>
      <c r="AY520" s="212"/>
      <c r="AZ520" s="452"/>
      <c r="BA520" s="212"/>
      <c r="BB520" s="212"/>
      <c r="BC520" s="212"/>
      <c r="BD520" s="212"/>
      <c r="BE520" s="212"/>
      <c r="BF520" s="452"/>
    </row>
    <row r="521">
      <c r="A521" s="212"/>
      <c r="B521" s="447"/>
      <c r="C521" s="212"/>
      <c r="D521" s="212"/>
      <c r="E521" s="212"/>
      <c r="F521" s="212"/>
      <c r="G521" s="212"/>
      <c r="H521" s="212"/>
      <c r="I521" s="212"/>
      <c r="J521" s="212"/>
      <c r="K521" s="212"/>
      <c r="L521" s="212"/>
      <c r="M521" s="212"/>
      <c r="N521" s="212"/>
      <c r="O521" s="212"/>
      <c r="P521" s="212"/>
      <c r="Q521" s="212"/>
      <c r="R521" s="451"/>
      <c r="S521" s="451"/>
      <c r="T521" s="212"/>
      <c r="U521" s="451"/>
      <c r="V521" s="451"/>
      <c r="W521" s="451"/>
      <c r="X521" s="451"/>
      <c r="Y521" s="212"/>
      <c r="Z521" s="212"/>
      <c r="AA521" s="212"/>
      <c r="AB521" s="212"/>
      <c r="AC521" s="212"/>
      <c r="AD521" s="212"/>
      <c r="AE521" s="450"/>
      <c r="AF521" s="212"/>
      <c r="AG521" s="212"/>
      <c r="AH521" s="212"/>
      <c r="AI521" s="212"/>
      <c r="AJ521" s="212"/>
      <c r="AK521" s="212"/>
      <c r="AL521" s="212"/>
      <c r="AM521" s="212"/>
      <c r="AN521" s="212"/>
      <c r="AO521" s="212"/>
      <c r="AP521" s="212"/>
      <c r="AQ521" s="212"/>
      <c r="AR521" s="212"/>
      <c r="AS521" s="212"/>
      <c r="AT521" s="212"/>
      <c r="AU521" s="212"/>
      <c r="AV521" s="212"/>
      <c r="AW521" s="212"/>
      <c r="AX521" s="212"/>
      <c r="AY521" s="212"/>
      <c r="AZ521" s="452"/>
      <c r="BA521" s="212"/>
      <c r="BB521" s="212"/>
      <c r="BC521" s="212"/>
      <c r="BD521" s="212"/>
      <c r="BE521" s="212"/>
      <c r="BF521" s="452"/>
    </row>
    <row r="522">
      <c r="A522" s="212"/>
      <c r="B522" s="447"/>
      <c r="C522" s="212"/>
      <c r="D522" s="212"/>
      <c r="E522" s="212"/>
      <c r="F522" s="212"/>
      <c r="G522" s="212"/>
      <c r="H522" s="212"/>
      <c r="I522" s="212"/>
      <c r="J522" s="212"/>
      <c r="K522" s="212"/>
      <c r="L522" s="212"/>
      <c r="M522" s="212"/>
      <c r="N522" s="212"/>
      <c r="O522" s="212"/>
      <c r="P522" s="212"/>
      <c r="Q522" s="212"/>
      <c r="R522" s="451"/>
      <c r="S522" s="451"/>
      <c r="T522" s="212"/>
      <c r="U522" s="451"/>
      <c r="V522" s="451"/>
      <c r="W522" s="451"/>
      <c r="X522" s="451"/>
      <c r="Y522" s="212"/>
      <c r="Z522" s="212"/>
      <c r="AA522" s="212"/>
      <c r="AB522" s="212"/>
      <c r="AC522" s="212"/>
      <c r="AD522" s="212"/>
      <c r="AE522" s="450"/>
      <c r="AF522" s="212"/>
      <c r="AG522" s="212"/>
      <c r="AH522" s="212"/>
      <c r="AI522" s="212"/>
      <c r="AJ522" s="212"/>
      <c r="AK522" s="212"/>
      <c r="AL522" s="212"/>
      <c r="AM522" s="212"/>
      <c r="AN522" s="212"/>
      <c r="AO522" s="212"/>
      <c r="AP522" s="212"/>
      <c r="AQ522" s="212"/>
      <c r="AR522" s="212"/>
      <c r="AS522" s="212"/>
      <c r="AT522" s="212"/>
      <c r="AU522" s="212"/>
      <c r="AV522" s="212"/>
      <c r="AW522" s="212"/>
      <c r="AX522" s="212"/>
      <c r="AY522" s="212"/>
      <c r="AZ522" s="452"/>
      <c r="BA522" s="212"/>
      <c r="BB522" s="212"/>
      <c r="BC522" s="212"/>
      <c r="BD522" s="212"/>
      <c r="BE522" s="212"/>
      <c r="BF522" s="452"/>
    </row>
    <row r="523">
      <c r="A523" s="212"/>
      <c r="B523" s="447"/>
      <c r="C523" s="212"/>
      <c r="D523" s="212"/>
      <c r="E523" s="212"/>
      <c r="F523" s="212"/>
      <c r="G523" s="212"/>
      <c r="H523" s="212"/>
      <c r="I523" s="212"/>
      <c r="J523" s="212"/>
      <c r="K523" s="212"/>
      <c r="L523" s="212"/>
      <c r="M523" s="212"/>
      <c r="N523" s="212"/>
      <c r="O523" s="212"/>
      <c r="P523" s="212"/>
      <c r="Q523" s="212"/>
      <c r="R523" s="451"/>
      <c r="S523" s="451"/>
      <c r="T523" s="212"/>
      <c r="U523" s="451"/>
      <c r="V523" s="451"/>
      <c r="W523" s="451"/>
      <c r="X523" s="451"/>
      <c r="Y523" s="212"/>
      <c r="Z523" s="212"/>
      <c r="AA523" s="212"/>
      <c r="AB523" s="212"/>
      <c r="AC523" s="212"/>
      <c r="AD523" s="212"/>
      <c r="AE523" s="450"/>
      <c r="AF523" s="212"/>
      <c r="AG523" s="212"/>
      <c r="AH523" s="212"/>
      <c r="AI523" s="212"/>
      <c r="AJ523" s="212"/>
      <c r="AK523" s="212"/>
      <c r="AL523" s="212"/>
      <c r="AM523" s="212"/>
      <c r="AN523" s="212"/>
      <c r="AO523" s="212"/>
      <c r="AP523" s="212"/>
      <c r="AQ523" s="212"/>
      <c r="AR523" s="212"/>
      <c r="AS523" s="212"/>
      <c r="AT523" s="212"/>
      <c r="AU523" s="212"/>
      <c r="AV523" s="212"/>
      <c r="AW523" s="212"/>
      <c r="AX523" s="212"/>
      <c r="AY523" s="212"/>
      <c r="AZ523" s="452"/>
      <c r="BA523" s="212"/>
      <c r="BB523" s="212"/>
      <c r="BC523" s="212"/>
      <c r="BD523" s="212"/>
      <c r="BE523" s="212"/>
      <c r="BF523" s="452"/>
    </row>
    <row r="524">
      <c r="A524" s="212"/>
      <c r="B524" s="447"/>
      <c r="C524" s="212"/>
      <c r="D524" s="212"/>
      <c r="E524" s="212"/>
      <c r="F524" s="212"/>
      <c r="G524" s="212"/>
      <c r="H524" s="212"/>
      <c r="I524" s="212"/>
      <c r="J524" s="212"/>
      <c r="K524" s="212"/>
      <c r="L524" s="212"/>
      <c r="M524" s="212"/>
      <c r="N524" s="212"/>
      <c r="O524" s="212"/>
      <c r="P524" s="212"/>
      <c r="Q524" s="212"/>
      <c r="R524" s="451"/>
      <c r="S524" s="451"/>
      <c r="T524" s="212"/>
      <c r="U524" s="451"/>
      <c r="V524" s="451"/>
      <c r="W524" s="451"/>
      <c r="X524" s="451"/>
      <c r="Y524" s="212"/>
      <c r="Z524" s="212"/>
      <c r="AA524" s="212"/>
      <c r="AB524" s="212"/>
      <c r="AC524" s="212"/>
      <c r="AD524" s="212"/>
      <c r="AE524" s="450"/>
      <c r="AF524" s="212"/>
      <c r="AG524" s="212"/>
      <c r="AH524" s="212"/>
      <c r="AI524" s="212"/>
      <c r="AJ524" s="212"/>
      <c r="AK524" s="212"/>
      <c r="AL524" s="212"/>
      <c r="AM524" s="212"/>
      <c r="AN524" s="212"/>
      <c r="AO524" s="212"/>
      <c r="AP524" s="212"/>
      <c r="AQ524" s="212"/>
      <c r="AR524" s="212"/>
      <c r="AS524" s="212"/>
      <c r="AT524" s="212"/>
      <c r="AU524" s="212"/>
      <c r="AV524" s="212"/>
      <c r="AW524" s="212"/>
      <c r="AX524" s="212"/>
      <c r="AY524" s="212"/>
      <c r="AZ524" s="452"/>
      <c r="BA524" s="212"/>
      <c r="BB524" s="212"/>
      <c r="BC524" s="212"/>
      <c r="BD524" s="212"/>
      <c r="BE524" s="212"/>
      <c r="BF524" s="452"/>
    </row>
    <row r="525">
      <c r="A525" s="212"/>
      <c r="B525" s="447"/>
      <c r="C525" s="212"/>
      <c r="D525" s="212"/>
      <c r="E525" s="212"/>
      <c r="F525" s="212"/>
      <c r="G525" s="212"/>
      <c r="H525" s="212"/>
      <c r="I525" s="212"/>
      <c r="J525" s="212"/>
      <c r="K525" s="212"/>
      <c r="L525" s="212"/>
      <c r="M525" s="212"/>
      <c r="N525" s="212"/>
      <c r="O525" s="212"/>
      <c r="P525" s="212"/>
      <c r="Q525" s="212"/>
      <c r="R525" s="451"/>
      <c r="S525" s="451"/>
      <c r="T525" s="212"/>
      <c r="U525" s="451"/>
      <c r="V525" s="451"/>
      <c r="W525" s="451"/>
      <c r="X525" s="451"/>
      <c r="Y525" s="212"/>
      <c r="Z525" s="212"/>
      <c r="AA525" s="212"/>
      <c r="AB525" s="212"/>
      <c r="AC525" s="212"/>
      <c r="AD525" s="212"/>
      <c r="AE525" s="450"/>
      <c r="AF525" s="212"/>
      <c r="AG525" s="212"/>
      <c r="AH525" s="212"/>
      <c r="AI525" s="212"/>
      <c r="AJ525" s="212"/>
      <c r="AK525" s="212"/>
      <c r="AL525" s="212"/>
      <c r="AM525" s="212"/>
      <c r="AN525" s="212"/>
      <c r="AO525" s="212"/>
      <c r="AP525" s="212"/>
      <c r="AQ525" s="212"/>
      <c r="AR525" s="212"/>
      <c r="AS525" s="212"/>
      <c r="AT525" s="212"/>
      <c r="AU525" s="212"/>
      <c r="AV525" s="212"/>
      <c r="AW525" s="212"/>
      <c r="AX525" s="212"/>
      <c r="AY525" s="212"/>
      <c r="AZ525" s="452"/>
      <c r="BA525" s="212"/>
      <c r="BB525" s="212"/>
      <c r="BC525" s="212"/>
      <c r="BD525" s="212"/>
      <c r="BE525" s="212"/>
      <c r="BF525" s="452"/>
    </row>
    <row r="526">
      <c r="A526" s="212"/>
      <c r="B526" s="447"/>
      <c r="C526" s="212"/>
      <c r="D526" s="212"/>
      <c r="E526" s="212"/>
      <c r="F526" s="212"/>
      <c r="G526" s="212"/>
      <c r="H526" s="212"/>
      <c r="I526" s="212"/>
      <c r="J526" s="212"/>
      <c r="K526" s="212"/>
      <c r="L526" s="212"/>
      <c r="M526" s="212"/>
      <c r="N526" s="212"/>
      <c r="O526" s="212"/>
      <c r="P526" s="212"/>
      <c r="Q526" s="212"/>
      <c r="R526" s="451"/>
      <c r="S526" s="451"/>
      <c r="T526" s="212"/>
      <c r="U526" s="451"/>
      <c r="V526" s="451"/>
      <c r="W526" s="451"/>
      <c r="X526" s="451"/>
      <c r="Y526" s="212"/>
      <c r="Z526" s="212"/>
      <c r="AA526" s="212"/>
      <c r="AB526" s="212"/>
      <c r="AC526" s="212"/>
      <c r="AD526" s="212"/>
      <c r="AE526" s="450"/>
      <c r="AF526" s="212"/>
      <c r="AG526" s="212"/>
      <c r="AH526" s="212"/>
      <c r="AI526" s="212"/>
      <c r="AJ526" s="212"/>
      <c r="AK526" s="212"/>
      <c r="AL526" s="212"/>
      <c r="AM526" s="212"/>
      <c r="AN526" s="212"/>
      <c r="AO526" s="212"/>
      <c r="AP526" s="212"/>
      <c r="AQ526" s="212"/>
      <c r="AR526" s="212"/>
      <c r="AS526" s="212"/>
      <c r="AT526" s="212"/>
      <c r="AU526" s="212"/>
      <c r="AV526" s="212"/>
      <c r="AW526" s="212"/>
      <c r="AX526" s="212"/>
      <c r="AY526" s="212"/>
      <c r="AZ526" s="452"/>
      <c r="BA526" s="212"/>
      <c r="BB526" s="212"/>
      <c r="BC526" s="212"/>
      <c r="BD526" s="212"/>
      <c r="BE526" s="212"/>
      <c r="BF526" s="452"/>
    </row>
    <row r="527">
      <c r="A527" s="212"/>
      <c r="B527" s="447"/>
      <c r="C527" s="212"/>
      <c r="D527" s="212"/>
      <c r="E527" s="212"/>
      <c r="F527" s="212"/>
      <c r="G527" s="212"/>
      <c r="H527" s="212"/>
      <c r="I527" s="212"/>
      <c r="J527" s="212"/>
      <c r="K527" s="212"/>
      <c r="L527" s="212"/>
      <c r="M527" s="212"/>
      <c r="N527" s="212"/>
      <c r="O527" s="212"/>
      <c r="P527" s="212"/>
      <c r="Q527" s="212"/>
      <c r="R527" s="451"/>
      <c r="S527" s="451"/>
      <c r="T527" s="212"/>
      <c r="U527" s="451"/>
      <c r="V527" s="451"/>
      <c r="W527" s="451"/>
      <c r="X527" s="451"/>
      <c r="Y527" s="212"/>
      <c r="Z527" s="212"/>
      <c r="AA527" s="212"/>
      <c r="AB527" s="212"/>
      <c r="AC527" s="212"/>
      <c r="AD527" s="212"/>
      <c r="AE527" s="450"/>
      <c r="AF527" s="212"/>
      <c r="AG527" s="212"/>
      <c r="AH527" s="212"/>
      <c r="AI527" s="212"/>
      <c r="AJ527" s="212"/>
      <c r="AK527" s="212"/>
      <c r="AL527" s="212"/>
      <c r="AM527" s="212"/>
      <c r="AN527" s="212"/>
      <c r="AO527" s="212"/>
      <c r="AP527" s="212"/>
      <c r="AQ527" s="212"/>
      <c r="AR527" s="212"/>
      <c r="AS527" s="212"/>
      <c r="AT527" s="212"/>
      <c r="AU527" s="212"/>
      <c r="AV527" s="212"/>
      <c r="AW527" s="212"/>
      <c r="AX527" s="212"/>
      <c r="AY527" s="212"/>
      <c r="AZ527" s="452"/>
      <c r="BA527" s="212"/>
      <c r="BB527" s="212"/>
      <c r="BC527" s="212"/>
      <c r="BD527" s="212"/>
      <c r="BE527" s="212"/>
      <c r="BF527" s="452"/>
    </row>
    <row r="528">
      <c r="A528" s="212"/>
      <c r="B528" s="447"/>
      <c r="C528" s="212"/>
      <c r="D528" s="212"/>
      <c r="E528" s="212"/>
      <c r="F528" s="212"/>
      <c r="G528" s="212"/>
      <c r="H528" s="212"/>
      <c r="I528" s="212"/>
      <c r="J528" s="212"/>
      <c r="K528" s="212"/>
      <c r="L528" s="212"/>
      <c r="M528" s="212"/>
      <c r="N528" s="212"/>
      <c r="O528" s="212"/>
      <c r="P528" s="212"/>
      <c r="Q528" s="212"/>
      <c r="R528" s="451"/>
      <c r="S528" s="451"/>
      <c r="T528" s="212"/>
      <c r="U528" s="451"/>
      <c r="V528" s="451"/>
      <c r="W528" s="451"/>
      <c r="X528" s="451"/>
      <c r="Y528" s="212"/>
      <c r="Z528" s="212"/>
      <c r="AA528" s="212"/>
      <c r="AB528" s="212"/>
      <c r="AC528" s="212"/>
      <c r="AD528" s="212"/>
      <c r="AE528" s="450"/>
      <c r="AF528" s="212"/>
      <c r="AG528" s="212"/>
      <c r="AH528" s="212"/>
      <c r="AI528" s="212"/>
      <c r="AJ528" s="212"/>
      <c r="AK528" s="212"/>
      <c r="AL528" s="212"/>
      <c r="AM528" s="212"/>
      <c r="AN528" s="212"/>
      <c r="AO528" s="212"/>
      <c r="AP528" s="212"/>
      <c r="AQ528" s="212"/>
      <c r="AR528" s="212"/>
      <c r="AS528" s="212"/>
      <c r="AT528" s="212"/>
      <c r="AU528" s="212"/>
      <c r="AV528" s="212"/>
      <c r="AW528" s="212"/>
      <c r="AX528" s="212"/>
      <c r="AY528" s="212"/>
      <c r="AZ528" s="452"/>
      <c r="BA528" s="212"/>
      <c r="BB528" s="212"/>
      <c r="BC528" s="212"/>
      <c r="BD528" s="212"/>
      <c r="BE528" s="212"/>
      <c r="BF528" s="452"/>
    </row>
    <row r="529">
      <c r="A529" s="212"/>
      <c r="B529" s="447"/>
      <c r="C529" s="212"/>
      <c r="D529" s="212"/>
      <c r="E529" s="212"/>
      <c r="F529" s="212"/>
      <c r="G529" s="212"/>
      <c r="H529" s="212"/>
      <c r="I529" s="212"/>
      <c r="J529" s="212"/>
      <c r="K529" s="212"/>
      <c r="L529" s="212"/>
      <c r="M529" s="212"/>
      <c r="N529" s="212"/>
      <c r="O529" s="212"/>
      <c r="P529" s="212"/>
      <c r="Q529" s="212"/>
      <c r="R529" s="451"/>
      <c r="S529" s="451"/>
      <c r="T529" s="212"/>
      <c r="U529" s="451"/>
      <c r="V529" s="451"/>
      <c r="W529" s="451"/>
      <c r="X529" s="451"/>
      <c r="Y529" s="212"/>
      <c r="Z529" s="212"/>
      <c r="AA529" s="212"/>
      <c r="AB529" s="212"/>
      <c r="AC529" s="212"/>
      <c r="AD529" s="212"/>
      <c r="AE529" s="450"/>
      <c r="AF529" s="212"/>
      <c r="AG529" s="212"/>
      <c r="AH529" s="212"/>
      <c r="AI529" s="212"/>
      <c r="AJ529" s="212"/>
      <c r="AK529" s="212"/>
      <c r="AL529" s="212"/>
      <c r="AM529" s="212"/>
      <c r="AN529" s="212"/>
      <c r="AO529" s="212"/>
      <c r="AP529" s="212"/>
      <c r="AQ529" s="212"/>
      <c r="AR529" s="212"/>
      <c r="AS529" s="212"/>
      <c r="AT529" s="212"/>
      <c r="AU529" s="212"/>
      <c r="AV529" s="212"/>
      <c r="AW529" s="212"/>
      <c r="AX529" s="212"/>
      <c r="AY529" s="212"/>
      <c r="AZ529" s="452"/>
      <c r="BA529" s="212"/>
      <c r="BB529" s="212"/>
      <c r="BC529" s="212"/>
      <c r="BD529" s="212"/>
      <c r="BE529" s="212"/>
      <c r="BF529" s="452"/>
    </row>
    <row r="530">
      <c r="A530" s="212"/>
      <c r="B530" s="447"/>
      <c r="C530" s="212"/>
      <c r="D530" s="212"/>
      <c r="E530" s="212"/>
      <c r="F530" s="212"/>
      <c r="G530" s="212"/>
      <c r="H530" s="212"/>
      <c r="I530" s="212"/>
      <c r="J530" s="212"/>
      <c r="K530" s="212"/>
      <c r="L530" s="212"/>
      <c r="M530" s="212"/>
      <c r="N530" s="212"/>
      <c r="O530" s="212"/>
      <c r="P530" s="212"/>
      <c r="Q530" s="212"/>
      <c r="R530" s="451"/>
      <c r="S530" s="451"/>
      <c r="T530" s="212"/>
      <c r="U530" s="451"/>
      <c r="V530" s="451"/>
      <c r="W530" s="451"/>
      <c r="X530" s="451"/>
      <c r="Y530" s="212"/>
      <c r="Z530" s="212"/>
      <c r="AA530" s="212"/>
      <c r="AB530" s="212"/>
      <c r="AC530" s="212"/>
      <c r="AD530" s="212"/>
      <c r="AE530" s="450"/>
      <c r="AF530" s="212"/>
      <c r="AG530" s="212"/>
      <c r="AH530" s="212"/>
      <c r="AI530" s="212"/>
      <c r="AJ530" s="212"/>
      <c r="AK530" s="212"/>
      <c r="AL530" s="212"/>
      <c r="AM530" s="212"/>
      <c r="AN530" s="212"/>
      <c r="AO530" s="212"/>
      <c r="AP530" s="212"/>
      <c r="AQ530" s="212"/>
      <c r="AR530" s="212"/>
      <c r="AS530" s="212"/>
      <c r="AT530" s="212"/>
      <c r="AU530" s="212"/>
      <c r="AV530" s="212"/>
      <c r="AW530" s="212"/>
      <c r="AX530" s="212"/>
      <c r="AY530" s="212"/>
      <c r="AZ530" s="452"/>
      <c r="BA530" s="212"/>
      <c r="BB530" s="212"/>
      <c r="BC530" s="212"/>
      <c r="BD530" s="212"/>
      <c r="BE530" s="212"/>
      <c r="BF530" s="452"/>
    </row>
    <row r="531">
      <c r="A531" s="212"/>
      <c r="B531" s="447"/>
      <c r="C531" s="212"/>
      <c r="D531" s="212"/>
      <c r="E531" s="212"/>
      <c r="F531" s="212"/>
      <c r="G531" s="212"/>
      <c r="H531" s="212"/>
      <c r="I531" s="212"/>
      <c r="J531" s="212"/>
      <c r="K531" s="212"/>
      <c r="L531" s="212"/>
      <c r="M531" s="212"/>
      <c r="N531" s="212"/>
      <c r="O531" s="212"/>
      <c r="P531" s="212"/>
      <c r="Q531" s="212"/>
      <c r="R531" s="451"/>
      <c r="S531" s="451"/>
      <c r="T531" s="212"/>
      <c r="U531" s="451"/>
      <c r="V531" s="451"/>
      <c r="W531" s="451"/>
      <c r="X531" s="451"/>
      <c r="Y531" s="212"/>
      <c r="Z531" s="212"/>
      <c r="AA531" s="212"/>
      <c r="AB531" s="212"/>
      <c r="AC531" s="212"/>
      <c r="AD531" s="212"/>
      <c r="AE531" s="450"/>
      <c r="AF531" s="212"/>
      <c r="AG531" s="212"/>
      <c r="AH531" s="212"/>
      <c r="AI531" s="212"/>
      <c r="AJ531" s="212"/>
      <c r="AK531" s="212"/>
      <c r="AL531" s="212"/>
      <c r="AM531" s="212"/>
      <c r="AN531" s="212"/>
      <c r="AO531" s="212"/>
      <c r="AP531" s="212"/>
      <c r="AQ531" s="212"/>
      <c r="AR531" s="212"/>
      <c r="AS531" s="212"/>
      <c r="AT531" s="212"/>
      <c r="AU531" s="212"/>
      <c r="AV531" s="212"/>
      <c r="AW531" s="212"/>
      <c r="AX531" s="212"/>
      <c r="AY531" s="212"/>
      <c r="AZ531" s="452"/>
      <c r="BA531" s="212"/>
      <c r="BB531" s="212"/>
      <c r="BC531" s="212"/>
      <c r="BD531" s="212"/>
      <c r="BE531" s="212"/>
      <c r="BF531" s="452"/>
    </row>
    <row r="532">
      <c r="A532" s="212"/>
      <c r="B532" s="447"/>
      <c r="C532" s="212"/>
      <c r="D532" s="212"/>
      <c r="E532" s="212"/>
      <c r="F532" s="212"/>
      <c r="G532" s="212"/>
      <c r="H532" s="212"/>
      <c r="I532" s="212"/>
      <c r="J532" s="212"/>
      <c r="K532" s="212"/>
      <c r="L532" s="212"/>
      <c r="M532" s="212"/>
      <c r="N532" s="212"/>
      <c r="O532" s="212"/>
      <c r="P532" s="212"/>
      <c r="Q532" s="212"/>
      <c r="R532" s="451"/>
      <c r="S532" s="451"/>
      <c r="T532" s="212"/>
      <c r="U532" s="451"/>
      <c r="V532" s="451"/>
      <c r="W532" s="451"/>
      <c r="X532" s="451"/>
      <c r="Y532" s="212"/>
      <c r="Z532" s="212"/>
      <c r="AA532" s="212"/>
      <c r="AB532" s="212"/>
      <c r="AC532" s="212"/>
      <c r="AD532" s="212"/>
      <c r="AE532" s="450"/>
      <c r="AF532" s="212"/>
      <c r="AG532" s="212"/>
      <c r="AH532" s="212"/>
      <c r="AI532" s="212"/>
      <c r="AJ532" s="212"/>
      <c r="AK532" s="212"/>
      <c r="AL532" s="212"/>
      <c r="AM532" s="212"/>
      <c r="AN532" s="212"/>
      <c r="AO532" s="212"/>
      <c r="AP532" s="212"/>
      <c r="AQ532" s="212"/>
      <c r="AR532" s="212"/>
      <c r="AS532" s="212"/>
      <c r="AT532" s="212"/>
      <c r="AU532" s="212"/>
      <c r="AV532" s="212"/>
      <c r="AW532" s="212"/>
      <c r="AX532" s="212"/>
      <c r="AY532" s="212"/>
      <c r="AZ532" s="452"/>
      <c r="BA532" s="212"/>
      <c r="BB532" s="212"/>
      <c r="BC532" s="212"/>
      <c r="BD532" s="212"/>
      <c r="BE532" s="212"/>
      <c r="BF532" s="452"/>
    </row>
    <row r="533">
      <c r="A533" s="212"/>
      <c r="B533" s="447"/>
      <c r="C533" s="212"/>
      <c r="D533" s="212"/>
      <c r="E533" s="212"/>
      <c r="F533" s="212"/>
      <c r="G533" s="212"/>
      <c r="H533" s="212"/>
      <c r="I533" s="212"/>
      <c r="J533" s="212"/>
      <c r="K533" s="212"/>
      <c r="L533" s="212"/>
      <c r="M533" s="212"/>
      <c r="N533" s="212"/>
      <c r="O533" s="212"/>
      <c r="P533" s="212"/>
      <c r="Q533" s="212"/>
      <c r="R533" s="451"/>
      <c r="S533" s="451"/>
      <c r="T533" s="212"/>
      <c r="U533" s="451"/>
      <c r="V533" s="451"/>
      <c r="W533" s="451"/>
      <c r="X533" s="451"/>
      <c r="Y533" s="212"/>
      <c r="Z533" s="212"/>
      <c r="AA533" s="212"/>
      <c r="AB533" s="212"/>
      <c r="AC533" s="212"/>
      <c r="AD533" s="212"/>
      <c r="AE533" s="450"/>
      <c r="AF533" s="212"/>
      <c r="AG533" s="212"/>
      <c r="AH533" s="212"/>
      <c r="AI533" s="212"/>
      <c r="AJ533" s="212"/>
      <c r="AK533" s="212"/>
      <c r="AL533" s="212"/>
      <c r="AM533" s="212"/>
      <c r="AN533" s="212"/>
      <c r="AO533" s="212"/>
      <c r="AP533" s="212"/>
      <c r="AQ533" s="212"/>
      <c r="AR533" s="212"/>
      <c r="AS533" s="212"/>
      <c r="AT533" s="212"/>
      <c r="AU533" s="212"/>
      <c r="AV533" s="212"/>
      <c r="AW533" s="212"/>
      <c r="AX533" s="212"/>
      <c r="AY533" s="212"/>
      <c r="AZ533" s="452"/>
      <c r="BA533" s="212"/>
      <c r="BB533" s="212"/>
      <c r="BC533" s="212"/>
      <c r="BD533" s="212"/>
      <c r="BE533" s="212"/>
      <c r="BF533" s="452"/>
    </row>
    <row r="534">
      <c r="A534" s="212"/>
      <c r="B534" s="447"/>
      <c r="C534" s="212"/>
      <c r="D534" s="212"/>
      <c r="E534" s="212"/>
      <c r="F534" s="212"/>
      <c r="G534" s="212"/>
      <c r="H534" s="212"/>
      <c r="I534" s="212"/>
      <c r="J534" s="212"/>
      <c r="K534" s="212"/>
      <c r="L534" s="212"/>
      <c r="M534" s="212"/>
      <c r="N534" s="212"/>
      <c r="O534" s="212"/>
      <c r="P534" s="212"/>
      <c r="Q534" s="212"/>
      <c r="R534" s="451"/>
      <c r="S534" s="451"/>
      <c r="T534" s="212"/>
      <c r="U534" s="451"/>
      <c r="V534" s="451"/>
      <c r="W534" s="451"/>
      <c r="X534" s="451"/>
      <c r="Y534" s="212"/>
      <c r="Z534" s="212"/>
      <c r="AA534" s="212"/>
      <c r="AB534" s="212"/>
      <c r="AC534" s="212"/>
      <c r="AD534" s="212"/>
      <c r="AE534" s="450"/>
      <c r="AF534" s="212"/>
      <c r="AG534" s="212"/>
      <c r="AH534" s="212"/>
      <c r="AI534" s="212"/>
      <c r="AJ534" s="212"/>
      <c r="AK534" s="212"/>
      <c r="AL534" s="212"/>
      <c r="AM534" s="212"/>
      <c r="AN534" s="212"/>
      <c r="AO534" s="212"/>
      <c r="AP534" s="212"/>
      <c r="AQ534" s="212"/>
      <c r="AR534" s="212"/>
      <c r="AS534" s="212"/>
      <c r="AT534" s="212"/>
      <c r="AU534" s="212"/>
      <c r="AV534" s="212"/>
      <c r="AW534" s="212"/>
      <c r="AX534" s="212"/>
      <c r="AY534" s="212"/>
      <c r="AZ534" s="452"/>
      <c r="BA534" s="212"/>
      <c r="BB534" s="212"/>
      <c r="BC534" s="212"/>
      <c r="BD534" s="212"/>
      <c r="BE534" s="212"/>
      <c r="BF534" s="452"/>
    </row>
    <row r="535">
      <c r="A535" s="212"/>
      <c r="B535" s="447"/>
      <c r="C535" s="212"/>
      <c r="D535" s="212"/>
      <c r="E535" s="212"/>
      <c r="F535" s="212"/>
      <c r="G535" s="212"/>
      <c r="H535" s="212"/>
      <c r="I535" s="212"/>
      <c r="J535" s="212"/>
      <c r="K535" s="212"/>
      <c r="L535" s="212"/>
      <c r="M535" s="212"/>
      <c r="N535" s="212"/>
      <c r="O535" s="212"/>
      <c r="P535" s="212"/>
      <c r="Q535" s="212"/>
      <c r="R535" s="451"/>
      <c r="S535" s="451"/>
      <c r="T535" s="212"/>
      <c r="U535" s="451"/>
      <c r="V535" s="451"/>
      <c r="W535" s="451"/>
      <c r="X535" s="451"/>
      <c r="Y535" s="212"/>
      <c r="Z535" s="212"/>
      <c r="AA535" s="212"/>
      <c r="AB535" s="212"/>
      <c r="AC535" s="212"/>
      <c r="AD535" s="212"/>
      <c r="AE535" s="450"/>
      <c r="AF535" s="212"/>
      <c r="AG535" s="212"/>
      <c r="AH535" s="212"/>
      <c r="AI535" s="212"/>
      <c r="AJ535" s="212"/>
      <c r="AK535" s="212"/>
      <c r="AL535" s="212"/>
      <c r="AM535" s="212"/>
      <c r="AN535" s="212"/>
      <c r="AO535" s="212"/>
      <c r="AP535" s="212"/>
      <c r="AQ535" s="212"/>
      <c r="AR535" s="212"/>
      <c r="AS535" s="212"/>
      <c r="AT535" s="212"/>
      <c r="AU535" s="212"/>
      <c r="AV535" s="212"/>
      <c r="AW535" s="212"/>
      <c r="AX535" s="212"/>
      <c r="AY535" s="212"/>
      <c r="AZ535" s="452"/>
      <c r="BA535" s="212"/>
      <c r="BB535" s="212"/>
      <c r="BC535" s="212"/>
      <c r="BD535" s="212"/>
      <c r="BE535" s="212"/>
      <c r="BF535" s="452"/>
    </row>
    <row r="536">
      <c r="A536" s="212"/>
      <c r="B536" s="447"/>
      <c r="C536" s="212"/>
      <c r="D536" s="212"/>
      <c r="E536" s="212"/>
      <c r="F536" s="212"/>
      <c r="G536" s="212"/>
      <c r="H536" s="212"/>
      <c r="I536" s="212"/>
      <c r="J536" s="212"/>
      <c r="K536" s="212"/>
      <c r="L536" s="212"/>
      <c r="M536" s="212"/>
      <c r="N536" s="212"/>
      <c r="O536" s="212"/>
      <c r="P536" s="212"/>
      <c r="Q536" s="212"/>
      <c r="R536" s="451"/>
      <c r="S536" s="451"/>
      <c r="T536" s="212"/>
      <c r="U536" s="451"/>
      <c r="V536" s="451"/>
      <c r="W536" s="451"/>
      <c r="X536" s="451"/>
      <c r="Y536" s="212"/>
      <c r="Z536" s="212"/>
      <c r="AA536" s="212"/>
      <c r="AB536" s="212"/>
      <c r="AC536" s="212"/>
      <c r="AD536" s="212"/>
      <c r="AE536" s="450"/>
      <c r="AF536" s="212"/>
      <c r="AG536" s="212"/>
      <c r="AH536" s="212"/>
      <c r="AI536" s="212"/>
      <c r="AJ536" s="212"/>
      <c r="AK536" s="212"/>
      <c r="AL536" s="212"/>
      <c r="AM536" s="212"/>
      <c r="AN536" s="212"/>
      <c r="AO536" s="212"/>
      <c r="AP536" s="212"/>
      <c r="AQ536" s="212"/>
      <c r="AR536" s="212"/>
      <c r="AS536" s="212"/>
      <c r="AT536" s="212"/>
      <c r="AU536" s="212"/>
      <c r="AV536" s="212"/>
      <c r="AW536" s="212"/>
      <c r="AX536" s="212"/>
      <c r="AY536" s="212"/>
      <c r="AZ536" s="452"/>
      <c r="BA536" s="212"/>
      <c r="BB536" s="212"/>
      <c r="BC536" s="212"/>
      <c r="BD536" s="212"/>
      <c r="BE536" s="212"/>
      <c r="BF536" s="452"/>
    </row>
    <row r="537">
      <c r="A537" s="212"/>
      <c r="B537" s="447"/>
      <c r="C537" s="212"/>
      <c r="D537" s="212"/>
      <c r="E537" s="212"/>
      <c r="F537" s="212"/>
      <c r="G537" s="212"/>
      <c r="H537" s="212"/>
      <c r="I537" s="212"/>
      <c r="J537" s="212"/>
      <c r="K537" s="212"/>
      <c r="L537" s="212"/>
      <c r="M537" s="212"/>
      <c r="N537" s="212"/>
      <c r="O537" s="212"/>
      <c r="P537" s="212"/>
      <c r="Q537" s="212"/>
      <c r="R537" s="451"/>
      <c r="S537" s="451"/>
      <c r="T537" s="212"/>
      <c r="U537" s="451"/>
      <c r="V537" s="451"/>
      <c r="W537" s="451"/>
      <c r="X537" s="451"/>
      <c r="Y537" s="212"/>
      <c r="Z537" s="212"/>
      <c r="AA537" s="212"/>
      <c r="AB537" s="212"/>
      <c r="AC537" s="212"/>
      <c r="AD537" s="212"/>
      <c r="AE537" s="450"/>
      <c r="AF537" s="212"/>
      <c r="AG537" s="212"/>
      <c r="AH537" s="212"/>
      <c r="AI537" s="212"/>
      <c r="AJ537" s="212"/>
      <c r="AK537" s="212"/>
      <c r="AL537" s="212"/>
      <c r="AM537" s="212"/>
      <c r="AN537" s="212"/>
      <c r="AO537" s="212"/>
      <c r="AP537" s="212"/>
      <c r="AQ537" s="212"/>
      <c r="AR537" s="212"/>
      <c r="AS537" s="212"/>
      <c r="AT537" s="212"/>
      <c r="AU537" s="212"/>
      <c r="AV537" s="212"/>
      <c r="AW537" s="212"/>
      <c r="AX537" s="212"/>
      <c r="AY537" s="212"/>
      <c r="AZ537" s="452"/>
      <c r="BA537" s="212"/>
      <c r="BB537" s="212"/>
      <c r="BC537" s="212"/>
      <c r="BD537" s="212"/>
      <c r="BE537" s="212"/>
      <c r="BF537" s="452"/>
    </row>
    <row r="538">
      <c r="A538" s="212"/>
      <c r="B538" s="447"/>
      <c r="C538" s="212"/>
      <c r="D538" s="212"/>
      <c r="E538" s="212"/>
      <c r="F538" s="212"/>
      <c r="G538" s="212"/>
      <c r="H538" s="212"/>
      <c r="I538" s="212"/>
      <c r="J538" s="212"/>
      <c r="K538" s="212"/>
      <c r="L538" s="212"/>
      <c r="M538" s="212"/>
      <c r="N538" s="212"/>
      <c r="O538" s="212"/>
      <c r="P538" s="212"/>
      <c r="Q538" s="212"/>
      <c r="R538" s="451"/>
      <c r="S538" s="451"/>
      <c r="T538" s="212"/>
      <c r="U538" s="451"/>
      <c r="V538" s="451"/>
      <c r="W538" s="451"/>
      <c r="X538" s="451"/>
      <c r="Y538" s="212"/>
      <c r="Z538" s="212"/>
      <c r="AA538" s="212"/>
      <c r="AB538" s="212"/>
      <c r="AC538" s="212"/>
      <c r="AD538" s="212"/>
      <c r="AE538" s="450"/>
      <c r="AF538" s="212"/>
      <c r="AG538" s="212"/>
      <c r="AH538" s="212"/>
      <c r="AI538" s="212"/>
      <c r="AJ538" s="212"/>
      <c r="AK538" s="212"/>
      <c r="AL538" s="212"/>
      <c r="AM538" s="212"/>
      <c r="AN538" s="212"/>
      <c r="AO538" s="212"/>
      <c r="AP538" s="212"/>
      <c r="AQ538" s="212"/>
      <c r="AR538" s="212"/>
      <c r="AS538" s="212"/>
      <c r="AT538" s="212"/>
      <c r="AU538" s="212"/>
      <c r="AV538" s="212"/>
      <c r="AW538" s="212"/>
      <c r="AX538" s="212"/>
      <c r="AY538" s="212"/>
      <c r="AZ538" s="452"/>
      <c r="BA538" s="212"/>
      <c r="BB538" s="212"/>
      <c r="BC538" s="212"/>
      <c r="BD538" s="212"/>
      <c r="BE538" s="212"/>
      <c r="BF538" s="452"/>
    </row>
    <row r="539">
      <c r="A539" s="212"/>
      <c r="B539" s="447"/>
      <c r="C539" s="212"/>
      <c r="D539" s="212"/>
      <c r="E539" s="212"/>
      <c r="F539" s="212"/>
      <c r="G539" s="212"/>
      <c r="H539" s="212"/>
      <c r="I539" s="212"/>
      <c r="J539" s="212"/>
      <c r="K539" s="212"/>
      <c r="L539" s="212"/>
      <c r="M539" s="212"/>
      <c r="N539" s="212"/>
      <c r="O539" s="212"/>
      <c r="P539" s="212"/>
      <c r="Q539" s="212"/>
      <c r="R539" s="451"/>
      <c r="S539" s="451"/>
      <c r="T539" s="212"/>
      <c r="U539" s="451"/>
      <c r="V539" s="451"/>
      <c r="W539" s="451"/>
      <c r="X539" s="451"/>
      <c r="Y539" s="212"/>
      <c r="Z539" s="212"/>
      <c r="AA539" s="212"/>
      <c r="AB539" s="212"/>
      <c r="AC539" s="212"/>
      <c r="AD539" s="212"/>
      <c r="AE539" s="450"/>
      <c r="AF539" s="212"/>
      <c r="AG539" s="212"/>
      <c r="AH539" s="212"/>
      <c r="AI539" s="212"/>
      <c r="AJ539" s="212"/>
      <c r="AK539" s="212"/>
      <c r="AL539" s="212"/>
      <c r="AM539" s="212"/>
      <c r="AN539" s="212"/>
      <c r="AO539" s="212"/>
      <c r="AP539" s="212"/>
      <c r="AQ539" s="212"/>
      <c r="AR539" s="212"/>
      <c r="AS539" s="212"/>
      <c r="AT539" s="212"/>
      <c r="AU539" s="212"/>
      <c r="AV539" s="212"/>
      <c r="AW539" s="212"/>
      <c r="AX539" s="212"/>
      <c r="AY539" s="212"/>
      <c r="AZ539" s="452"/>
      <c r="BA539" s="212"/>
      <c r="BB539" s="212"/>
      <c r="BC539" s="212"/>
      <c r="BD539" s="212"/>
      <c r="BE539" s="212"/>
      <c r="BF539" s="452"/>
    </row>
    <row r="540">
      <c r="A540" s="212"/>
      <c r="B540" s="447"/>
      <c r="C540" s="212"/>
      <c r="D540" s="212"/>
      <c r="E540" s="212"/>
      <c r="F540" s="212"/>
      <c r="G540" s="212"/>
      <c r="H540" s="212"/>
      <c r="I540" s="212"/>
      <c r="J540" s="212"/>
      <c r="K540" s="212"/>
      <c r="L540" s="212"/>
      <c r="M540" s="212"/>
      <c r="N540" s="212"/>
      <c r="O540" s="212"/>
      <c r="P540" s="212"/>
      <c r="Q540" s="212"/>
      <c r="R540" s="451"/>
      <c r="S540" s="451"/>
      <c r="T540" s="212"/>
      <c r="U540" s="451"/>
      <c r="V540" s="451"/>
      <c r="W540" s="451"/>
      <c r="X540" s="451"/>
      <c r="Y540" s="212"/>
      <c r="Z540" s="212"/>
      <c r="AA540" s="212"/>
      <c r="AB540" s="212"/>
      <c r="AC540" s="212"/>
      <c r="AD540" s="212"/>
      <c r="AE540" s="450"/>
      <c r="AF540" s="212"/>
      <c r="AG540" s="212"/>
      <c r="AH540" s="212"/>
      <c r="AI540" s="212"/>
      <c r="AJ540" s="212"/>
      <c r="AK540" s="212"/>
      <c r="AL540" s="212"/>
      <c r="AM540" s="212"/>
      <c r="AN540" s="212"/>
      <c r="AO540" s="212"/>
      <c r="AP540" s="212"/>
      <c r="AQ540" s="212"/>
      <c r="AR540" s="212"/>
      <c r="AS540" s="212"/>
      <c r="AT540" s="212"/>
      <c r="AU540" s="212"/>
      <c r="AV540" s="212"/>
      <c r="AW540" s="212"/>
      <c r="AX540" s="212"/>
      <c r="AY540" s="212"/>
      <c r="AZ540" s="452"/>
      <c r="BA540" s="212"/>
      <c r="BB540" s="212"/>
      <c r="BC540" s="212"/>
      <c r="BD540" s="212"/>
      <c r="BE540" s="212"/>
      <c r="BF540" s="452"/>
    </row>
    <row r="541">
      <c r="A541" s="212"/>
      <c r="B541" s="447"/>
      <c r="C541" s="212"/>
      <c r="D541" s="212"/>
      <c r="E541" s="212"/>
      <c r="F541" s="212"/>
      <c r="G541" s="212"/>
      <c r="H541" s="212"/>
      <c r="I541" s="212"/>
      <c r="J541" s="212"/>
      <c r="K541" s="212"/>
      <c r="L541" s="212"/>
      <c r="M541" s="212"/>
      <c r="N541" s="212"/>
      <c r="O541" s="212"/>
      <c r="P541" s="212"/>
      <c r="Q541" s="212"/>
      <c r="R541" s="451"/>
      <c r="S541" s="451"/>
      <c r="T541" s="212"/>
      <c r="U541" s="451"/>
      <c r="V541" s="451"/>
      <c r="W541" s="451"/>
      <c r="X541" s="451"/>
      <c r="Y541" s="212"/>
      <c r="Z541" s="212"/>
      <c r="AA541" s="212"/>
      <c r="AB541" s="212"/>
      <c r="AC541" s="212"/>
      <c r="AD541" s="212"/>
      <c r="AE541" s="450"/>
      <c r="AF541" s="212"/>
      <c r="AG541" s="212"/>
      <c r="AH541" s="212"/>
      <c r="AI541" s="212"/>
      <c r="AJ541" s="212"/>
      <c r="AK541" s="212"/>
      <c r="AL541" s="212"/>
      <c r="AM541" s="212"/>
      <c r="AN541" s="212"/>
      <c r="AO541" s="212"/>
      <c r="AP541" s="212"/>
      <c r="AQ541" s="212"/>
      <c r="AR541" s="212"/>
      <c r="AS541" s="212"/>
      <c r="AT541" s="212"/>
      <c r="AU541" s="212"/>
      <c r="AV541" s="212"/>
      <c r="AW541" s="212"/>
      <c r="AX541" s="212"/>
      <c r="AY541" s="212"/>
      <c r="AZ541" s="452"/>
      <c r="BA541" s="212"/>
      <c r="BB541" s="212"/>
      <c r="BC541" s="212"/>
      <c r="BD541" s="212"/>
      <c r="BE541" s="212"/>
      <c r="BF541" s="452"/>
    </row>
    <row r="542">
      <c r="A542" s="212"/>
      <c r="B542" s="447"/>
      <c r="C542" s="212"/>
      <c r="D542" s="212"/>
      <c r="E542" s="212"/>
      <c r="F542" s="212"/>
      <c r="G542" s="212"/>
      <c r="H542" s="212"/>
      <c r="I542" s="212"/>
      <c r="J542" s="212"/>
      <c r="K542" s="212"/>
      <c r="L542" s="212"/>
      <c r="M542" s="212"/>
      <c r="N542" s="212"/>
      <c r="O542" s="212"/>
      <c r="P542" s="212"/>
      <c r="Q542" s="212"/>
      <c r="R542" s="451"/>
      <c r="S542" s="451"/>
      <c r="T542" s="212"/>
      <c r="U542" s="451"/>
      <c r="V542" s="451"/>
      <c r="W542" s="451"/>
      <c r="X542" s="451"/>
      <c r="Y542" s="212"/>
      <c r="Z542" s="212"/>
      <c r="AA542" s="212"/>
      <c r="AB542" s="212"/>
      <c r="AC542" s="212"/>
      <c r="AD542" s="212"/>
      <c r="AE542" s="450"/>
      <c r="AF542" s="212"/>
      <c r="AG542" s="212"/>
      <c r="AH542" s="212"/>
      <c r="AI542" s="212"/>
      <c r="AJ542" s="212"/>
      <c r="AK542" s="212"/>
      <c r="AL542" s="212"/>
      <c r="AM542" s="212"/>
      <c r="AN542" s="212"/>
      <c r="AO542" s="212"/>
      <c r="AP542" s="212"/>
      <c r="AQ542" s="212"/>
      <c r="AR542" s="212"/>
      <c r="AS542" s="212"/>
      <c r="AT542" s="212"/>
      <c r="AU542" s="212"/>
      <c r="AV542" s="212"/>
      <c r="AW542" s="212"/>
      <c r="AX542" s="212"/>
      <c r="AY542" s="212"/>
      <c r="AZ542" s="452"/>
      <c r="BA542" s="212"/>
      <c r="BB542" s="212"/>
      <c r="BC542" s="212"/>
      <c r="BD542" s="212"/>
      <c r="BE542" s="212"/>
      <c r="BF542" s="452"/>
    </row>
    <row r="543">
      <c r="A543" s="212"/>
      <c r="B543" s="447"/>
      <c r="C543" s="212"/>
      <c r="D543" s="212"/>
      <c r="E543" s="212"/>
      <c r="F543" s="212"/>
      <c r="G543" s="212"/>
      <c r="H543" s="212"/>
      <c r="I543" s="212"/>
      <c r="J543" s="212"/>
      <c r="K543" s="212"/>
      <c r="L543" s="212"/>
      <c r="M543" s="212"/>
      <c r="N543" s="212"/>
      <c r="O543" s="212"/>
      <c r="P543" s="212"/>
      <c r="Q543" s="212"/>
      <c r="R543" s="451"/>
      <c r="S543" s="451"/>
      <c r="T543" s="212"/>
      <c r="U543" s="451"/>
      <c r="V543" s="451"/>
      <c r="W543" s="451"/>
      <c r="X543" s="451"/>
      <c r="Y543" s="212"/>
      <c r="Z543" s="212"/>
      <c r="AA543" s="212"/>
      <c r="AB543" s="212"/>
      <c r="AC543" s="212"/>
      <c r="AD543" s="212"/>
      <c r="AE543" s="450"/>
      <c r="AF543" s="212"/>
      <c r="AG543" s="212"/>
      <c r="AH543" s="212"/>
      <c r="AI543" s="212"/>
      <c r="AJ543" s="212"/>
      <c r="AK543" s="212"/>
      <c r="AL543" s="212"/>
      <c r="AM543" s="212"/>
      <c r="AN543" s="212"/>
      <c r="AO543" s="212"/>
      <c r="AP543" s="212"/>
      <c r="AQ543" s="212"/>
      <c r="AR543" s="212"/>
      <c r="AS543" s="212"/>
      <c r="AT543" s="212"/>
      <c r="AU543" s="212"/>
      <c r="AV543" s="212"/>
      <c r="AW543" s="212"/>
      <c r="AX543" s="212"/>
      <c r="AY543" s="212"/>
      <c r="AZ543" s="452"/>
      <c r="BA543" s="212"/>
      <c r="BB543" s="212"/>
      <c r="BC543" s="212"/>
      <c r="BD543" s="212"/>
      <c r="BE543" s="212"/>
      <c r="BF543" s="452"/>
    </row>
    <row r="544">
      <c r="A544" s="212"/>
      <c r="B544" s="447"/>
      <c r="C544" s="212"/>
      <c r="D544" s="212"/>
      <c r="E544" s="212"/>
      <c r="F544" s="212"/>
      <c r="G544" s="212"/>
      <c r="H544" s="212"/>
      <c r="I544" s="212"/>
      <c r="J544" s="212"/>
      <c r="K544" s="212"/>
      <c r="L544" s="212"/>
      <c r="M544" s="212"/>
      <c r="N544" s="212"/>
      <c r="O544" s="212"/>
      <c r="P544" s="212"/>
      <c r="Q544" s="212"/>
      <c r="R544" s="451"/>
      <c r="S544" s="451"/>
      <c r="T544" s="212"/>
      <c r="U544" s="451"/>
      <c r="V544" s="451"/>
      <c r="W544" s="451"/>
      <c r="X544" s="451"/>
      <c r="Y544" s="212"/>
      <c r="Z544" s="212"/>
      <c r="AA544" s="212"/>
      <c r="AB544" s="212"/>
      <c r="AC544" s="212"/>
      <c r="AD544" s="212"/>
      <c r="AE544" s="450"/>
      <c r="AF544" s="212"/>
      <c r="AG544" s="212"/>
      <c r="AH544" s="212"/>
      <c r="AI544" s="212"/>
      <c r="AJ544" s="212"/>
      <c r="AK544" s="212"/>
      <c r="AL544" s="212"/>
      <c r="AM544" s="212"/>
      <c r="AN544" s="212"/>
      <c r="AO544" s="212"/>
      <c r="AP544" s="212"/>
      <c r="AQ544" s="212"/>
      <c r="AR544" s="212"/>
      <c r="AS544" s="212"/>
      <c r="AT544" s="212"/>
      <c r="AU544" s="212"/>
      <c r="AV544" s="212"/>
      <c r="AW544" s="212"/>
      <c r="AX544" s="212"/>
      <c r="AY544" s="212"/>
      <c r="AZ544" s="452"/>
      <c r="BA544" s="212"/>
      <c r="BB544" s="212"/>
      <c r="BC544" s="212"/>
      <c r="BD544" s="212"/>
      <c r="BE544" s="212"/>
      <c r="BF544" s="452"/>
    </row>
    <row r="545">
      <c r="A545" s="212"/>
      <c r="B545" s="447"/>
      <c r="C545" s="212"/>
      <c r="D545" s="212"/>
      <c r="E545" s="212"/>
      <c r="F545" s="212"/>
      <c r="G545" s="212"/>
      <c r="H545" s="212"/>
      <c r="I545" s="212"/>
      <c r="J545" s="212"/>
      <c r="K545" s="212"/>
      <c r="L545" s="212"/>
      <c r="M545" s="212"/>
      <c r="N545" s="212"/>
      <c r="O545" s="212"/>
      <c r="P545" s="212"/>
      <c r="Q545" s="212"/>
      <c r="R545" s="451"/>
      <c r="S545" s="451"/>
      <c r="T545" s="212"/>
      <c r="U545" s="451"/>
      <c r="V545" s="451"/>
      <c r="W545" s="451"/>
      <c r="X545" s="451"/>
      <c r="Y545" s="212"/>
      <c r="Z545" s="212"/>
      <c r="AA545" s="212"/>
      <c r="AB545" s="212"/>
      <c r="AC545" s="212"/>
      <c r="AD545" s="212"/>
      <c r="AE545" s="450"/>
      <c r="AF545" s="212"/>
      <c r="AG545" s="212"/>
      <c r="AH545" s="212"/>
      <c r="AI545" s="212"/>
      <c r="AJ545" s="212"/>
      <c r="AK545" s="212"/>
      <c r="AL545" s="212"/>
      <c r="AM545" s="212"/>
      <c r="AN545" s="212"/>
      <c r="AO545" s="212"/>
      <c r="AP545" s="212"/>
      <c r="AQ545" s="212"/>
      <c r="AR545" s="212"/>
      <c r="AS545" s="212"/>
      <c r="AT545" s="212"/>
      <c r="AU545" s="212"/>
      <c r="AV545" s="212"/>
      <c r="AW545" s="212"/>
      <c r="AX545" s="212"/>
      <c r="AY545" s="212"/>
      <c r="AZ545" s="452"/>
      <c r="BA545" s="212"/>
      <c r="BB545" s="212"/>
      <c r="BC545" s="212"/>
      <c r="BD545" s="212"/>
      <c r="BE545" s="212"/>
      <c r="BF545" s="452"/>
    </row>
    <row r="546">
      <c r="A546" s="212"/>
      <c r="B546" s="447"/>
      <c r="C546" s="212"/>
      <c r="D546" s="212"/>
      <c r="E546" s="212"/>
      <c r="F546" s="212"/>
      <c r="G546" s="212"/>
      <c r="H546" s="212"/>
      <c r="I546" s="212"/>
      <c r="J546" s="212"/>
      <c r="K546" s="212"/>
      <c r="L546" s="212"/>
      <c r="M546" s="212"/>
      <c r="N546" s="212"/>
      <c r="O546" s="212"/>
      <c r="P546" s="212"/>
      <c r="Q546" s="212"/>
      <c r="R546" s="451"/>
      <c r="S546" s="451"/>
      <c r="T546" s="212"/>
      <c r="U546" s="451"/>
      <c r="V546" s="451"/>
      <c r="W546" s="451"/>
      <c r="X546" s="451"/>
      <c r="Y546" s="212"/>
      <c r="Z546" s="212"/>
      <c r="AA546" s="212"/>
      <c r="AB546" s="212"/>
      <c r="AC546" s="212"/>
      <c r="AD546" s="212"/>
      <c r="AE546" s="450"/>
      <c r="AF546" s="212"/>
      <c r="AG546" s="212"/>
      <c r="AH546" s="212"/>
      <c r="AI546" s="212"/>
      <c r="AJ546" s="212"/>
      <c r="AK546" s="212"/>
      <c r="AL546" s="212"/>
      <c r="AM546" s="212"/>
      <c r="AN546" s="212"/>
      <c r="AO546" s="212"/>
      <c r="AP546" s="212"/>
      <c r="AQ546" s="212"/>
      <c r="AR546" s="212"/>
      <c r="AS546" s="212"/>
      <c r="AT546" s="212"/>
      <c r="AU546" s="212"/>
      <c r="AV546" s="212"/>
      <c r="AW546" s="212"/>
      <c r="AX546" s="212"/>
      <c r="AY546" s="212"/>
      <c r="AZ546" s="452"/>
      <c r="BA546" s="212"/>
      <c r="BB546" s="212"/>
      <c r="BC546" s="212"/>
      <c r="BD546" s="212"/>
      <c r="BE546" s="212"/>
      <c r="BF546" s="452"/>
    </row>
    <row r="547">
      <c r="A547" s="212"/>
      <c r="B547" s="447"/>
      <c r="C547" s="212"/>
      <c r="D547" s="212"/>
      <c r="E547" s="212"/>
      <c r="F547" s="212"/>
      <c r="G547" s="212"/>
      <c r="H547" s="212"/>
      <c r="I547" s="212"/>
      <c r="J547" s="212"/>
      <c r="K547" s="212"/>
      <c r="L547" s="212"/>
      <c r="M547" s="212"/>
      <c r="N547" s="212"/>
      <c r="O547" s="212"/>
      <c r="P547" s="212"/>
      <c r="Q547" s="212"/>
      <c r="R547" s="451"/>
      <c r="S547" s="451"/>
      <c r="T547" s="212"/>
      <c r="U547" s="451"/>
      <c r="V547" s="451"/>
      <c r="W547" s="451"/>
      <c r="X547" s="451"/>
      <c r="Y547" s="212"/>
      <c r="Z547" s="212"/>
      <c r="AA547" s="212"/>
      <c r="AB547" s="212"/>
      <c r="AC547" s="212"/>
      <c r="AD547" s="212"/>
      <c r="AE547" s="450"/>
      <c r="AF547" s="212"/>
      <c r="AG547" s="212"/>
      <c r="AH547" s="212"/>
      <c r="AI547" s="212"/>
      <c r="AJ547" s="212"/>
      <c r="AK547" s="212"/>
      <c r="AL547" s="212"/>
      <c r="AM547" s="212"/>
      <c r="AN547" s="212"/>
      <c r="AO547" s="212"/>
      <c r="AP547" s="212"/>
      <c r="AQ547" s="212"/>
      <c r="AR547" s="212"/>
      <c r="AS547" s="212"/>
      <c r="AT547" s="212"/>
      <c r="AU547" s="212"/>
      <c r="AV547" s="212"/>
      <c r="AW547" s="212"/>
      <c r="AX547" s="212"/>
      <c r="AY547" s="212"/>
      <c r="AZ547" s="452"/>
      <c r="BA547" s="212"/>
      <c r="BB547" s="212"/>
      <c r="BC547" s="212"/>
      <c r="BD547" s="212"/>
      <c r="BE547" s="212"/>
      <c r="BF547" s="452"/>
    </row>
    <row r="548">
      <c r="A548" s="212"/>
      <c r="B548" s="447"/>
      <c r="C548" s="212"/>
      <c r="D548" s="212"/>
      <c r="E548" s="212"/>
      <c r="F548" s="212"/>
      <c r="G548" s="212"/>
      <c r="H548" s="212"/>
      <c r="I548" s="212"/>
      <c r="J548" s="212"/>
      <c r="K548" s="212"/>
      <c r="L548" s="212"/>
      <c r="M548" s="212"/>
      <c r="N548" s="212"/>
      <c r="O548" s="212"/>
      <c r="P548" s="212"/>
      <c r="Q548" s="212"/>
      <c r="R548" s="451"/>
      <c r="S548" s="451"/>
      <c r="T548" s="212"/>
      <c r="U548" s="451"/>
      <c r="V548" s="451"/>
      <c r="W548" s="451"/>
      <c r="X548" s="451"/>
      <c r="Y548" s="212"/>
      <c r="Z548" s="212"/>
      <c r="AA548" s="212"/>
      <c r="AB548" s="212"/>
      <c r="AC548" s="212"/>
      <c r="AD548" s="212"/>
      <c r="AE548" s="450"/>
      <c r="AF548" s="212"/>
      <c r="AG548" s="212"/>
      <c r="AH548" s="212"/>
      <c r="AI548" s="212"/>
      <c r="AJ548" s="212"/>
      <c r="AK548" s="212"/>
      <c r="AL548" s="212"/>
      <c r="AM548" s="212"/>
      <c r="AN548" s="212"/>
      <c r="AO548" s="212"/>
      <c r="AP548" s="212"/>
      <c r="AQ548" s="212"/>
      <c r="AR548" s="212"/>
      <c r="AS548" s="212"/>
      <c r="AT548" s="212"/>
      <c r="AU548" s="212"/>
      <c r="AV548" s="212"/>
      <c r="AW548" s="212"/>
      <c r="AX548" s="212"/>
      <c r="AY548" s="212"/>
      <c r="AZ548" s="452"/>
      <c r="BA548" s="212"/>
      <c r="BB548" s="212"/>
      <c r="BC548" s="212"/>
      <c r="BD548" s="212"/>
      <c r="BE548" s="212"/>
      <c r="BF548" s="452"/>
    </row>
    <row r="549">
      <c r="A549" s="212"/>
      <c r="B549" s="447"/>
      <c r="C549" s="212"/>
      <c r="D549" s="212"/>
      <c r="E549" s="212"/>
      <c r="F549" s="212"/>
      <c r="G549" s="212"/>
      <c r="H549" s="212"/>
      <c r="I549" s="212"/>
      <c r="J549" s="212"/>
      <c r="K549" s="212"/>
      <c r="L549" s="212"/>
      <c r="M549" s="212"/>
      <c r="N549" s="212"/>
      <c r="O549" s="212"/>
      <c r="P549" s="212"/>
      <c r="Q549" s="212"/>
      <c r="R549" s="451"/>
      <c r="S549" s="451"/>
      <c r="T549" s="212"/>
      <c r="U549" s="451"/>
      <c r="V549" s="451"/>
      <c r="W549" s="451"/>
      <c r="X549" s="451"/>
      <c r="Y549" s="212"/>
      <c r="Z549" s="212"/>
      <c r="AA549" s="212"/>
      <c r="AB549" s="212"/>
      <c r="AC549" s="212"/>
      <c r="AD549" s="212"/>
      <c r="AE549" s="450"/>
      <c r="AF549" s="212"/>
      <c r="AG549" s="212"/>
      <c r="AH549" s="212"/>
      <c r="AI549" s="212"/>
      <c r="AJ549" s="212"/>
      <c r="AK549" s="212"/>
      <c r="AL549" s="212"/>
      <c r="AM549" s="212"/>
      <c r="AN549" s="212"/>
      <c r="AO549" s="212"/>
      <c r="AP549" s="212"/>
      <c r="AQ549" s="212"/>
      <c r="AR549" s="212"/>
      <c r="AS549" s="212"/>
      <c r="AT549" s="212"/>
      <c r="AU549" s="212"/>
      <c r="AV549" s="212"/>
      <c r="AW549" s="212"/>
      <c r="AX549" s="212"/>
      <c r="AY549" s="212"/>
      <c r="AZ549" s="452"/>
      <c r="BA549" s="212"/>
      <c r="BB549" s="212"/>
      <c r="BC549" s="212"/>
      <c r="BD549" s="212"/>
      <c r="BE549" s="212"/>
      <c r="BF549" s="452"/>
    </row>
    <row r="550">
      <c r="A550" s="212"/>
      <c r="B550" s="447"/>
      <c r="C550" s="212"/>
      <c r="D550" s="212"/>
      <c r="E550" s="212"/>
      <c r="F550" s="212"/>
      <c r="G550" s="212"/>
      <c r="H550" s="212"/>
      <c r="I550" s="212"/>
      <c r="J550" s="212"/>
      <c r="K550" s="212"/>
      <c r="L550" s="212"/>
      <c r="M550" s="212"/>
      <c r="N550" s="212"/>
      <c r="O550" s="212"/>
      <c r="P550" s="212"/>
      <c r="Q550" s="212"/>
      <c r="R550" s="451"/>
      <c r="S550" s="451"/>
      <c r="T550" s="212"/>
      <c r="U550" s="451"/>
      <c r="V550" s="451"/>
      <c r="W550" s="451"/>
      <c r="X550" s="451"/>
      <c r="Y550" s="212"/>
      <c r="Z550" s="212"/>
      <c r="AA550" s="212"/>
      <c r="AB550" s="212"/>
      <c r="AC550" s="212"/>
      <c r="AD550" s="212"/>
      <c r="AE550" s="450"/>
      <c r="AF550" s="212"/>
      <c r="AG550" s="212"/>
      <c r="AH550" s="212"/>
      <c r="AI550" s="212"/>
      <c r="AJ550" s="212"/>
      <c r="AK550" s="212"/>
      <c r="AL550" s="212"/>
      <c r="AM550" s="212"/>
      <c r="AN550" s="212"/>
      <c r="AO550" s="212"/>
      <c r="AP550" s="212"/>
      <c r="AQ550" s="212"/>
      <c r="AR550" s="212"/>
      <c r="AS550" s="212"/>
      <c r="AT550" s="212"/>
      <c r="AU550" s="212"/>
      <c r="AV550" s="212"/>
      <c r="AW550" s="212"/>
      <c r="AX550" s="212"/>
      <c r="AY550" s="212"/>
      <c r="AZ550" s="452"/>
      <c r="BA550" s="212"/>
      <c r="BB550" s="212"/>
      <c r="BC550" s="212"/>
      <c r="BD550" s="212"/>
      <c r="BE550" s="212"/>
      <c r="BF550" s="452"/>
    </row>
    <row r="551">
      <c r="A551" s="212"/>
      <c r="B551" s="447"/>
      <c r="C551" s="212"/>
      <c r="D551" s="212"/>
      <c r="E551" s="212"/>
      <c r="F551" s="212"/>
      <c r="G551" s="212"/>
      <c r="H551" s="212"/>
      <c r="I551" s="212"/>
      <c r="J551" s="212"/>
      <c r="K551" s="212"/>
      <c r="L551" s="212"/>
      <c r="M551" s="212"/>
      <c r="N551" s="212"/>
      <c r="O551" s="212"/>
      <c r="P551" s="212"/>
      <c r="Q551" s="212"/>
      <c r="R551" s="451"/>
      <c r="S551" s="451"/>
      <c r="T551" s="212"/>
      <c r="U551" s="451"/>
      <c r="V551" s="451"/>
      <c r="W551" s="451"/>
      <c r="X551" s="451"/>
      <c r="Y551" s="212"/>
      <c r="Z551" s="212"/>
      <c r="AA551" s="212"/>
      <c r="AB551" s="212"/>
      <c r="AC551" s="212"/>
      <c r="AD551" s="212"/>
      <c r="AE551" s="450"/>
      <c r="AF551" s="212"/>
      <c r="AG551" s="212"/>
      <c r="AH551" s="212"/>
      <c r="AI551" s="212"/>
      <c r="AJ551" s="212"/>
      <c r="AK551" s="212"/>
      <c r="AL551" s="212"/>
      <c r="AM551" s="212"/>
      <c r="AN551" s="212"/>
      <c r="AO551" s="212"/>
      <c r="AP551" s="212"/>
      <c r="AQ551" s="212"/>
      <c r="AR551" s="212"/>
      <c r="AS551" s="212"/>
      <c r="AT551" s="212"/>
      <c r="AU551" s="212"/>
      <c r="AV551" s="212"/>
      <c r="AW551" s="212"/>
      <c r="AX551" s="212"/>
      <c r="AY551" s="212"/>
      <c r="AZ551" s="452"/>
      <c r="BA551" s="212"/>
      <c r="BB551" s="212"/>
      <c r="BC551" s="212"/>
      <c r="BD551" s="212"/>
      <c r="BE551" s="212"/>
      <c r="BF551" s="452"/>
    </row>
    <row r="552">
      <c r="A552" s="212"/>
      <c r="B552" s="447"/>
      <c r="C552" s="212"/>
      <c r="D552" s="212"/>
      <c r="E552" s="212"/>
      <c r="F552" s="212"/>
      <c r="G552" s="212"/>
      <c r="H552" s="212"/>
      <c r="I552" s="212"/>
      <c r="J552" s="212"/>
      <c r="K552" s="212"/>
      <c r="L552" s="212"/>
      <c r="M552" s="212"/>
      <c r="N552" s="212"/>
      <c r="O552" s="212"/>
      <c r="P552" s="212"/>
      <c r="Q552" s="212"/>
      <c r="R552" s="451"/>
      <c r="S552" s="451"/>
      <c r="T552" s="212"/>
      <c r="U552" s="451"/>
      <c r="V552" s="451"/>
      <c r="W552" s="451"/>
      <c r="X552" s="451"/>
      <c r="Y552" s="212"/>
      <c r="Z552" s="212"/>
      <c r="AA552" s="212"/>
      <c r="AB552" s="212"/>
      <c r="AC552" s="212"/>
      <c r="AD552" s="212"/>
      <c r="AE552" s="450"/>
      <c r="AF552" s="212"/>
      <c r="AG552" s="212"/>
      <c r="AH552" s="212"/>
      <c r="AI552" s="212"/>
      <c r="AJ552" s="212"/>
      <c r="AK552" s="212"/>
      <c r="AL552" s="212"/>
      <c r="AM552" s="212"/>
      <c r="AN552" s="212"/>
      <c r="AO552" s="212"/>
      <c r="AP552" s="212"/>
      <c r="AQ552" s="212"/>
      <c r="AR552" s="212"/>
      <c r="AS552" s="212"/>
      <c r="AT552" s="212"/>
      <c r="AU552" s="212"/>
      <c r="AV552" s="212"/>
      <c r="AW552" s="212"/>
      <c r="AX552" s="212"/>
      <c r="AY552" s="212"/>
      <c r="AZ552" s="452"/>
      <c r="BA552" s="212"/>
      <c r="BB552" s="212"/>
      <c r="BC552" s="212"/>
      <c r="BD552" s="212"/>
      <c r="BE552" s="212"/>
      <c r="BF552" s="452"/>
    </row>
    <row r="553">
      <c r="A553" s="212"/>
      <c r="B553" s="447"/>
      <c r="C553" s="212"/>
      <c r="D553" s="212"/>
      <c r="E553" s="212"/>
      <c r="F553" s="212"/>
      <c r="G553" s="212"/>
      <c r="H553" s="212"/>
      <c r="I553" s="212"/>
      <c r="J553" s="212"/>
      <c r="K553" s="212"/>
      <c r="L553" s="212"/>
      <c r="M553" s="212"/>
      <c r="N553" s="212"/>
      <c r="O553" s="212"/>
      <c r="P553" s="212"/>
      <c r="Q553" s="212"/>
      <c r="R553" s="451"/>
      <c r="S553" s="451"/>
      <c r="T553" s="212"/>
      <c r="U553" s="451"/>
      <c r="V553" s="451"/>
      <c r="W553" s="451"/>
      <c r="X553" s="451"/>
      <c r="Y553" s="212"/>
      <c r="Z553" s="212"/>
      <c r="AA553" s="212"/>
      <c r="AB553" s="212"/>
      <c r="AC553" s="212"/>
      <c r="AD553" s="212"/>
      <c r="AE553" s="450"/>
      <c r="AF553" s="212"/>
      <c r="AG553" s="212"/>
      <c r="AH553" s="212"/>
      <c r="AI553" s="212"/>
      <c r="AJ553" s="212"/>
      <c r="AK553" s="212"/>
      <c r="AL553" s="212"/>
      <c r="AM553" s="212"/>
      <c r="AN553" s="212"/>
      <c r="AO553" s="212"/>
      <c r="AP553" s="212"/>
      <c r="AQ553" s="212"/>
      <c r="AR553" s="212"/>
      <c r="AS553" s="212"/>
      <c r="AT553" s="212"/>
      <c r="AU553" s="212"/>
      <c r="AV553" s="212"/>
      <c r="AW553" s="212"/>
      <c r="AX553" s="212"/>
      <c r="AY553" s="212"/>
      <c r="AZ553" s="452"/>
      <c r="BA553" s="212"/>
      <c r="BB553" s="212"/>
      <c r="BC553" s="212"/>
      <c r="BD553" s="212"/>
      <c r="BE553" s="212"/>
      <c r="BF553" s="452"/>
    </row>
    <row r="554">
      <c r="A554" s="212"/>
      <c r="B554" s="447"/>
      <c r="C554" s="212"/>
      <c r="D554" s="212"/>
      <c r="E554" s="212"/>
      <c r="F554" s="212"/>
      <c r="G554" s="212"/>
      <c r="H554" s="212"/>
      <c r="I554" s="212"/>
      <c r="J554" s="212"/>
      <c r="K554" s="212"/>
      <c r="L554" s="212"/>
      <c r="M554" s="212"/>
      <c r="N554" s="212"/>
      <c r="O554" s="212"/>
      <c r="P554" s="212"/>
      <c r="Q554" s="212"/>
      <c r="R554" s="451"/>
      <c r="S554" s="451"/>
      <c r="T554" s="212"/>
      <c r="U554" s="451"/>
      <c r="V554" s="451"/>
      <c r="W554" s="451"/>
      <c r="X554" s="451"/>
      <c r="Y554" s="212"/>
      <c r="Z554" s="212"/>
      <c r="AA554" s="212"/>
      <c r="AB554" s="212"/>
      <c r="AC554" s="212"/>
      <c r="AD554" s="212"/>
      <c r="AE554" s="450"/>
      <c r="AF554" s="212"/>
      <c r="AG554" s="212"/>
      <c r="AH554" s="212"/>
      <c r="AI554" s="212"/>
      <c r="AJ554" s="212"/>
      <c r="AK554" s="212"/>
      <c r="AL554" s="212"/>
      <c r="AM554" s="212"/>
      <c r="AN554" s="212"/>
      <c r="AO554" s="212"/>
      <c r="AP554" s="212"/>
      <c r="AQ554" s="212"/>
      <c r="AR554" s="212"/>
      <c r="AS554" s="212"/>
      <c r="AT554" s="212"/>
      <c r="AU554" s="212"/>
      <c r="AV554" s="212"/>
      <c r="AW554" s="212"/>
      <c r="AX554" s="212"/>
      <c r="AY554" s="212"/>
      <c r="AZ554" s="452"/>
      <c r="BA554" s="212"/>
      <c r="BB554" s="212"/>
      <c r="BC554" s="212"/>
      <c r="BD554" s="212"/>
      <c r="BE554" s="212"/>
      <c r="BF554" s="452"/>
    </row>
    <row r="555">
      <c r="A555" s="212"/>
      <c r="B555" s="447"/>
      <c r="C555" s="212"/>
      <c r="D555" s="212"/>
      <c r="E555" s="212"/>
      <c r="F555" s="212"/>
      <c r="G555" s="212"/>
      <c r="H555" s="212"/>
      <c r="I555" s="212"/>
      <c r="J555" s="212"/>
      <c r="K555" s="212"/>
      <c r="L555" s="212"/>
      <c r="M555" s="212"/>
      <c r="N555" s="212"/>
      <c r="O555" s="212"/>
      <c r="P555" s="212"/>
      <c r="Q555" s="212"/>
      <c r="R555" s="451"/>
      <c r="S555" s="451"/>
      <c r="T555" s="212"/>
      <c r="U555" s="451"/>
      <c r="V555" s="451"/>
      <c r="W555" s="451"/>
      <c r="X555" s="451"/>
      <c r="Y555" s="212"/>
      <c r="Z555" s="212"/>
      <c r="AA555" s="212"/>
      <c r="AB555" s="212"/>
      <c r="AC555" s="212"/>
      <c r="AD555" s="212"/>
      <c r="AE555" s="450"/>
      <c r="AF555" s="212"/>
      <c r="AG555" s="212"/>
      <c r="AH555" s="212"/>
      <c r="AI555" s="212"/>
      <c r="AJ555" s="212"/>
      <c r="AK555" s="212"/>
      <c r="AL555" s="212"/>
      <c r="AM555" s="212"/>
      <c r="AN555" s="212"/>
      <c r="AO555" s="212"/>
      <c r="AP555" s="212"/>
      <c r="AQ555" s="212"/>
      <c r="AR555" s="212"/>
      <c r="AS555" s="212"/>
      <c r="AT555" s="212"/>
      <c r="AU555" s="212"/>
      <c r="AV555" s="212"/>
      <c r="AW555" s="212"/>
      <c r="AX555" s="212"/>
      <c r="AY555" s="212"/>
      <c r="AZ555" s="452"/>
      <c r="BA555" s="212"/>
      <c r="BB555" s="212"/>
      <c r="BC555" s="212"/>
      <c r="BD555" s="212"/>
      <c r="BE555" s="212"/>
      <c r="BF555" s="452"/>
    </row>
    <row r="556">
      <c r="A556" s="212"/>
      <c r="B556" s="447"/>
      <c r="C556" s="212"/>
      <c r="D556" s="212"/>
      <c r="E556" s="212"/>
      <c r="F556" s="212"/>
      <c r="G556" s="212"/>
      <c r="H556" s="212"/>
      <c r="I556" s="212"/>
      <c r="J556" s="212"/>
      <c r="K556" s="212"/>
      <c r="L556" s="212"/>
      <c r="M556" s="212"/>
      <c r="N556" s="212"/>
      <c r="O556" s="212"/>
      <c r="P556" s="212"/>
      <c r="Q556" s="212"/>
      <c r="R556" s="451"/>
      <c r="S556" s="451"/>
      <c r="T556" s="212"/>
      <c r="U556" s="451"/>
      <c r="V556" s="451"/>
      <c r="W556" s="451"/>
      <c r="X556" s="451"/>
      <c r="Y556" s="212"/>
      <c r="Z556" s="212"/>
      <c r="AA556" s="212"/>
      <c r="AB556" s="212"/>
      <c r="AC556" s="212"/>
      <c r="AD556" s="212"/>
      <c r="AE556" s="450"/>
      <c r="AF556" s="212"/>
      <c r="AG556" s="212"/>
      <c r="AH556" s="212"/>
      <c r="AI556" s="212"/>
      <c r="AJ556" s="212"/>
      <c r="AK556" s="212"/>
      <c r="AL556" s="212"/>
      <c r="AM556" s="212"/>
      <c r="AN556" s="212"/>
      <c r="AO556" s="212"/>
      <c r="AP556" s="212"/>
      <c r="AQ556" s="212"/>
      <c r="AR556" s="212"/>
      <c r="AS556" s="212"/>
      <c r="AT556" s="212"/>
      <c r="AU556" s="212"/>
      <c r="AV556" s="212"/>
      <c r="AW556" s="212"/>
      <c r="AX556" s="212"/>
      <c r="AY556" s="212"/>
      <c r="AZ556" s="452"/>
      <c r="BA556" s="212"/>
      <c r="BB556" s="212"/>
      <c r="BC556" s="212"/>
      <c r="BD556" s="212"/>
      <c r="BE556" s="212"/>
      <c r="BF556" s="452"/>
    </row>
    <row r="557">
      <c r="A557" s="212"/>
      <c r="B557" s="447"/>
      <c r="C557" s="212"/>
      <c r="D557" s="212"/>
      <c r="E557" s="212"/>
      <c r="F557" s="212"/>
      <c r="G557" s="212"/>
      <c r="H557" s="212"/>
      <c r="I557" s="212"/>
      <c r="J557" s="212"/>
      <c r="K557" s="212"/>
      <c r="L557" s="212"/>
      <c r="M557" s="212"/>
      <c r="N557" s="212"/>
      <c r="O557" s="212"/>
      <c r="P557" s="212"/>
      <c r="Q557" s="212"/>
      <c r="R557" s="451"/>
      <c r="S557" s="451"/>
      <c r="T557" s="212"/>
      <c r="U557" s="451"/>
      <c r="V557" s="451"/>
      <c r="W557" s="451"/>
      <c r="X557" s="451"/>
      <c r="Y557" s="212"/>
      <c r="Z557" s="212"/>
      <c r="AA557" s="212"/>
      <c r="AB557" s="212"/>
      <c r="AC557" s="212"/>
      <c r="AD557" s="212"/>
      <c r="AE557" s="450"/>
      <c r="AF557" s="212"/>
      <c r="AG557" s="212"/>
      <c r="AH557" s="212"/>
      <c r="AI557" s="212"/>
      <c r="AJ557" s="212"/>
      <c r="AK557" s="212"/>
      <c r="AL557" s="212"/>
      <c r="AM557" s="212"/>
      <c r="AN557" s="212"/>
      <c r="AO557" s="212"/>
      <c r="AP557" s="212"/>
      <c r="AQ557" s="212"/>
      <c r="AR557" s="212"/>
      <c r="AS557" s="212"/>
      <c r="AT557" s="212"/>
      <c r="AU557" s="212"/>
      <c r="AV557" s="212"/>
      <c r="AW557" s="212"/>
      <c r="AX557" s="212"/>
      <c r="AY557" s="212"/>
      <c r="AZ557" s="452"/>
      <c r="BA557" s="212"/>
      <c r="BB557" s="212"/>
      <c r="BC557" s="212"/>
      <c r="BD557" s="212"/>
      <c r="BE557" s="212"/>
      <c r="BF557" s="452"/>
    </row>
    <row r="558">
      <c r="A558" s="212"/>
      <c r="B558" s="447"/>
      <c r="C558" s="212"/>
      <c r="D558" s="212"/>
      <c r="E558" s="212"/>
      <c r="F558" s="212"/>
      <c r="G558" s="212"/>
      <c r="H558" s="212"/>
      <c r="I558" s="212"/>
      <c r="J558" s="212"/>
      <c r="K558" s="212"/>
      <c r="L558" s="212"/>
      <c r="M558" s="212"/>
      <c r="N558" s="212"/>
      <c r="O558" s="212"/>
      <c r="P558" s="212"/>
      <c r="Q558" s="212"/>
      <c r="R558" s="451"/>
      <c r="S558" s="451"/>
      <c r="T558" s="212"/>
      <c r="U558" s="451"/>
      <c r="V558" s="451"/>
      <c r="W558" s="451"/>
      <c r="X558" s="451"/>
      <c r="Y558" s="212"/>
      <c r="Z558" s="212"/>
      <c r="AA558" s="212"/>
      <c r="AB558" s="212"/>
      <c r="AC558" s="212"/>
      <c r="AD558" s="212"/>
      <c r="AE558" s="450"/>
      <c r="AF558" s="212"/>
      <c r="AG558" s="212"/>
      <c r="AH558" s="212"/>
      <c r="AI558" s="212"/>
      <c r="AJ558" s="212"/>
      <c r="AK558" s="212"/>
      <c r="AL558" s="212"/>
      <c r="AM558" s="212"/>
      <c r="AN558" s="212"/>
      <c r="AO558" s="212"/>
      <c r="AP558" s="212"/>
      <c r="AQ558" s="212"/>
      <c r="AR558" s="212"/>
      <c r="AS558" s="212"/>
      <c r="AT558" s="212"/>
      <c r="AU558" s="212"/>
      <c r="AV558" s="212"/>
      <c r="AW558" s="212"/>
      <c r="AX558" s="212"/>
      <c r="AY558" s="212"/>
      <c r="AZ558" s="452"/>
      <c r="BA558" s="212"/>
      <c r="BB558" s="212"/>
      <c r="BC558" s="212"/>
      <c r="BD558" s="212"/>
      <c r="BE558" s="212"/>
      <c r="BF558" s="452"/>
    </row>
    <row r="559">
      <c r="A559" s="212"/>
      <c r="B559" s="447"/>
      <c r="C559" s="212"/>
      <c r="D559" s="212"/>
      <c r="E559" s="212"/>
      <c r="F559" s="212"/>
      <c r="G559" s="212"/>
      <c r="H559" s="212"/>
      <c r="I559" s="212"/>
      <c r="J559" s="212"/>
      <c r="K559" s="212"/>
      <c r="L559" s="212"/>
      <c r="M559" s="212"/>
      <c r="N559" s="212"/>
      <c r="O559" s="212"/>
      <c r="P559" s="212"/>
      <c r="Q559" s="212"/>
      <c r="R559" s="451"/>
      <c r="S559" s="451"/>
      <c r="T559" s="212"/>
      <c r="U559" s="451"/>
      <c r="V559" s="451"/>
      <c r="W559" s="451"/>
      <c r="X559" s="451"/>
      <c r="Y559" s="212"/>
      <c r="Z559" s="212"/>
      <c r="AA559" s="212"/>
      <c r="AB559" s="212"/>
      <c r="AC559" s="212"/>
      <c r="AD559" s="212"/>
      <c r="AE559" s="450"/>
      <c r="AF559" s="212"/>
      <c r="AG559" s="212"/>
      <c r="AH559" s="212"/>
      <c r="AI559" s="212"/>
      <c r="AJ559" s="212"/>
      <c r="AK559" s="212"/>
      <c r="AL559" s="212"/>
      <c r="AM559" s="212"/>
      <c r="AN559" s="212"/>
      <c r="AO559" s="212"/>
      <c r="AP559" s="212"/>
      <c r="AQ559" s="212"/>
      <c r="AR559" s="212"/>
      <c r="AS559" s="212"/>
      <c r="AT559" s="212"/>
      <c r="AU559" s="212"/>
      <c r="AV559" s="212"/>
      <c r="AW559" s="212"/>
      <c r="AX559" s="212"/>
      <c r="AY559" s="212"/>
      <c r="AZ559" s="452"/>
      <c r="BA559" s="212"/>
      <c r="BB559" s="212"/>
      <c r="BC559" s="212"/>
      <c r="BD559" s="212"/>
      <c r="BE559" s="212"/>
      <c r="BF559" s="452"/>
    </row>
    <row r="560">
      <c r="A560" s="212"/>
      <c r="B560" s="447"/>
      <c r="C560" s="212"/>
      <c r="D560" s="212"/>
      <c r="E560" s="212"/>
      <c r="F560" s="212"/>
      <c r="G560" s="212"/>
      <c r="H560" s="212"/>
      <c r="I560" s="212"/>
      <c r="J560" s="212"/>
      <c r="K560" s="212"/>
      <c r="L560" s="212"/>
      <c r="M560" s="212"/>
      <c r="N560" s="212"/>
      <c r="O560" s="212"/>
      <c r="P560" s="212"/>
      <c r="Q560" s="212"/>
      <c r="R560" s="451"/>
      <c r="S560" s="451"/>
      <c r="T560" s="212"/>
      <c r="U560" s="451"/>
      <c r="V560" s="451"/>
      <c r="W560" s="451"/>
      <c r="X560" s="451"/>
      <c r="Y560" s="212"/>
      <c r="Z560" s="212"/>
      <c r="AA560" s="212"/>
      <c r="AB560" s="212"/>
      <c r="AC560" s="212"/>
      <c r="AD560" s="212"/>
      <c r="AE560" s="450"/>
      <c r="AF560" s="212"/>
      <c r="AG560" s="212"/>
      <c r="AH560" s="212"/>
      <c r="AI560" s="212"/>
      <c r="AJ560" s="212"/>
      <c r="AK560" s="212"/>
      <c r="AL560" s="212"/>
      <c r="AM560" s="212"/>
      <c r="AN560" s="212"/>
      <c r="AO560" s="212"/>
      <c r="AP560" s="212"/>
      <c r="AQ560" s="212"/>
      <c r="AR560" s="212"/>
      <c r="AS560" s="212"/>
      <c r="AT560" s="212"/>
      <c r="AU560" s="212"/>
      <c r="AV560" s="212"/>
      <c r="AW560" s="212"/>
      <c r="AX560" s="212"/>
      <c r="AY560" s="212"/>
      <c r="AZ560" s="452"/>
      <c r="BA560" s="212"/>
      <c r="BB560" s="212"/>
      <c r="BC560" s="212"/>
      <c r="BD560" s="212"/>
      <c r="BE560" s="212"/>
      <c r="BF560" s="452"/>
    </row>
    <row r="561">
      <c r="A561" s="212"/>
      <c r="B561" s="447"/>
      <c r="C561" s="212"/>
      <c r="D561" s="212"/>
      <c r="E561" s="212"/>
      <c r="F561" s="212"/>
      <c r="G561" s="212"/>
      <c r="H561" s="212"/>
      <c r="I561" s="212"/>
      <c r="J561" s="212"/>
      <c r="K561" s="212"/>
      <c r="L561" s="212"/>
      <c r="M561" s="212"/>
      <c r="N561" s="212"/>
      <c r="O561" s="212"/>
      <c r="P561" s="212"/>
      <c r="Q561" s="212"/>
      <c r="R561" s="451"/>
      <c r="S561" s="451"/>
      <c r="T561" s="212"/>
      <c r="U561" s="451"/>
      <c r="V561" s="451"/>
      <c r="W561" s="451"/>
      <c r="X561" s="451"/>
      <c r="Y561" s="212"/>
      <c r="Z561" s="212"/>
      <c r="AA561" s="212"/>
      <c r="AB561" s="212"/>
      <c r="AC561" s="212"/>
      <c r="AD561" s="212"/>
      <c r="AE561" s="450"/>
      <c r="AF561" s="212"/>
      <c r="AG561" s="212"/>
      <c r="AH561" s="212"/>
      <c r="AI561" s="212"/>
      <c r="AJ561" s="212"/>
      <c r="AK561" s="212"/>
      <c r="AL561" s="212"/>
      <c r="AM561" s="212"/>
      <c r="AN561" s="212"/>
      <c r="AO561" s="212"/>
      <c r="AP561" s="212"/>
      <c r="AQ561" s="212"/>
      <c r="AR561" s="212"/>
      <c r="AS561" s="212"/>
      <c r="AT561" s="212"/>
      <c r="AU561" s="212"/>
      <c r="AV561" s="212"/>
      <c r="AW561" s="212"/>
      <c r="AX561" s="212"/>
      <c r="AY561" s="212"/>
      <c r="AZ561" s="452"/>
      <c r="BA561" s="212"/>
      <c r="BB561" s="212"/>
      <c r="BC561" s="212"/>
      <c r="BD561" s="212"/>
      <c r="BE561" s="212"/>
      <c r="BF561" s="452"/>
    </row>
    <row r="562">
      <c r="A562" s="212"/>
      <c r="B562" s="447"/>
      <c r="C562" s="212"/>
      <c r="D562" s="212"/>
      <c r="E562" s="212"/>
      <c r="F562" s="212"/>
      <c r="G562" s="212"/>
      <c r="H562" s="212"/>
      <c r="I562" s="212"/>
      <c r="J562" s="212"/>
      <c r="K562" s="212"/>
      <c r="L562" s="212"/>
      <c r="M562" s="212"/>
      <c r="N562" s="212"/>
      <c r="O562" s="212"/>
      <c r="P562" s="212"/>
      <c r="Q562" s="212"/>
      <c r="R562" s="451"/>
      <c r="S562" s="451"/>
      <c r="T562" s="212"/>
      <c r="U562" s="451"/>
      <c r="V562" s="451"/>
      <c r="W562" s="451"/>
      <c r="X562" s="451"/>
      <c r="Y562" s="212"/>
      <c r="Z562" s="212"/>
      <c r="AA562" s="212"/>
      <c r="AB562" s="212"/>
      <c r="AC562" s="212"/>
      <c r="AD562" s="212"/>
      <c r="AE562" s="450"/>
      <c r="AF562" s="212"/>
      <c r="AG562" s="212"/>
      <c r="AH562" s="212"/>
      <c r="AI562" s="212"/>
      <c r="AJ562" s="212"/>
      <c r="AK562" s="212"/>
      <c r="AL562" s="212"/>
      <c r="AM562" s="212"/>
      <c r="AN562" s="212"/>
      <c r="AO562" s="212"/>
      <c r="AP562" s="212"/>
      <c r="AQ562" s="212"/>
      <c r="AR562" s="212"/>
      <c r="AS562" s="212"/>
      <c r="AT562" s="212"/>
      <c r="AU562" s="212"/>
      <c r="AV562" s="212"/>
      <c r="AW562" s="212"/>
      <c r="AX562" s="212"/>
      <c r="AY562" s="212"/>
      <c r="AZ562" s="452"/>
      <c r="BA562" s="212"/>
      <c r="BB562" s="212"/>
      <c r="BC562" s="212"/>
      <c r="BD562" s="212"/>
      <c r="BE562" s="212"/>
      <c r="BF562" s="452"/>
    </row>
    <row r="563">
      <c r="A563" s="212"/>
      <c r="B563" s="447"/>
      <c r="C563" s="212"/>
      <c r="D563" s="212"/>
      <c r="E563" s="212"/>
      <c r="F563" s="212"/>
      <c r="G563" s="212"/>
      <c r="H563" s="212"/>
      <c r="I563" s="212"/>
      <c r="J563" s="212"/>
      <c r="K563" s="212"/>
      <c r="L563" s="212"/>
      <c r="M563" s="212"/>
      <c r="N563" s="212"/>
      <c r="O563" s="212"/>
      <c r="P563" s="212"/>
      <c r="Q563" s="212"/>
      <c r="R563" s="451"/>
      <c r="S563" s="451"/>
      <c r="T563" s="212"/>
      <c r="U563" s="451"/>
      <c r="V563" s="451"/>
      <c r="W563" s="451"/>
      <c r="X563" s="451"/>
      <c r="Y563" s="212"/>
      <c r="Z563" s="212"/>
      <c r="AA563" s="212"/>
      <c r="AB563" s="212"/>
      <c r="AC563" s="212"/>
      <c r="AD563" s="212"/>
      <c r="AE563" s="450"/>
      <c r="AF563" s="212"/>
      <c r="AG563" s="212"/>
      <c r="AH563" s="212"/>
      <c r="AI563" s="212"/>
      <c r="AJ563" s="212"/>
      <c r="AK563" s="212"/>
      <c r="AL563" s="212"/>
      <c r="AM563" s="212"/>
      <c r="AN563" s="212"/>
      <c r="AO563" s="212"/>
      <c r="AP563" s="212"/>
      <c r="AQ563" s="212"/>
      <c r="AR563" s="212"/>
      <c r="AS563" s="212"/>
      <c r="AT563" s="212"/>
      <c r="AU563" s="212"/>
      <c r="AV563" s="212"/>
      <c r="AW563" s="212"/>
      <c r="AX563" s="212"/>
      <c r="AY563" s="212"/>
      <c r="AZ563" s="452"/>
      <c r="BA563" s="212"/>
      <c r="BB563" s="212"/>
      <c r="BC563" s="212"/>
      <c r="BD563" s="212"/>
      <c r="BE563" s="212"/>
      <c r="BF563" s="452"/>
    </row>
    <row r="564">
      <c r="A564" s="212"/>
      <c r="B564" s="447"/>
      <c r="C564" s="212"/>
      <c r="D564" s="212"/>
      <c r="E564" s="212"/>
      <c r="F564" s="212"/>
      <c r="G564" s="212"/>
      <c r="H564" s="212"/>
      <c r="I564" s="212"/>
      <c r="J564" s="212"/>
      <c r="K564" s="212"/>
      <c r="L564" s="212"/>
      <c r="M564" s="212"/>
      <c r="N564" s="212"/>
      <c r="O564" s="212"/>
      <c r="P564" s="212"/>
      <c r="Q564" s="212"/>
      <c r="R564" s="451"/>
      <c r="S564" s="451"/>
      <c r="T564" s="212"/>
      <c r="U564" s="451"/>
      <c r="V564" s="451"/>
      <c r="W564" s="451"/>
      <c r="X564" s="451"/>
      <c r="Y564" s="212"/>
      <c r="Z564" s="212"/>
      <c r="AA564" s="212"/>
      <c r="AB564" s="212"/>
      <c r="AC564" s="212"/>
      <c r="AD564" s="212"/>
      <c r="AE564" s="450"/>
      <c r="AF564" s="212"/>
      <c r="AG564" s="212"/>
      <c r="AH564" s="212"/>
      <c r="AI564" s="212"/>
      <c r="AJ564" s="212"/>
      <c r="AK564" s="212"/>
      <c r="AL564" s="212"/>
      <c r="AM564" s="212"/>
      <c r="AN564" s="212"/>
      <c r="AO564" s="212"/>
      <c r="AP564" s="212"/>
      <c r="AQ564" s="212"/>
      <c r="AR564" s="212"/>
      <c r="AS564" s="212"/>
      <c r="AT564" s="212"/>
      <c r="AU564" s="212"/>
      <c r="AV564" s="212"/>
      <c r="AW564" s="212"/>
      <c r="AX564" s="212"/>
      <c r="AY564" s="212"/>
      <c r="AZ564" s="452"/>
      <c r="BA564" s="212"/>
      <c r="BB564" s="212"/>
      <c r="BC564" s="212"/>
      <c r="BD564" s="212"/>
      <c r="BE564" s="212"/>
      <c r="BF564" s="452"/>
    </row>
    <row r="565">
      <c r="A565" s="212"/>
      <c r="B565" s="447"/>
      <c r="C565" s="212"/>
      <c r="D565" s="212"/>
      <c r="E565" s="212"/>
      <c r="F565" s="212"/>
      <c r="G565" s="212"/>
      <c r="H565" s="212"/>
      <c r="I565" s="212"/>
      <c r="J565" s="212"/>
      <c r="K565" s="212"/>
      <c r="L565" s="212"/>
      <c r="M565" s="212"/>
      <c r="N565" s="212"/>
      <c r="O565" s="212"/>
      <c r="P565" s="212"/>
      <c r="Q565" s="212"/>
      <c r="R565" s="451"/>
      <c r="S565" s="451"/>
      <c r="T565" s="212"/>
      <c r="U565" s="451"/>
      <c r="V565" s="451"/>
      <c r="W565" s="451"/>
      <c r="X565" s="451"/>
      <c r="Y565" s="212"/>
      <c r="Z565" s="212"/>
      <c r="AA565" s="212"/>
      <c r="AB565" s="212"/>
      <c r="AC565" s="212"/>
      <c r="AD565" s="212"/>
      <c r="AE565" s="450"/>
      <c r="AF565" s="212"/>
      <c r="AG565" s="212"/>
      <c r="AH565" s="212"/>
      <c r="AI565" s="212"/>
      <c r="AJ565" s="212"/>
      <c r="AK565" s="212"/>
      <c r="AL565" s="212"/>
      <c r="AM565" s="212"/>
      <c r="AN565" s="212"/>
      <c r="AO565" s="212"/>
      <c r="AP565" s="212"/>
      <c r="AQ565" s="212"/>
      <c r="AR565" s="212"/>
      <c r="AS565" s="212"/>
      <c r="AT565" s="212"/>
      <c r="AU565" s="212"/>
      <c r="AV565" s="212"/>
      <c r="AW565" s="212"/>
      <c r="AX565" s="212"/>
      <c r="AY565" s="212"/>
      <c r="AZ565" s="452"/>
      <c r="BA565" s="212"/>
      <c r="BB565" s="212"/>
      <c r="BC565" s="212"/>
      <c r="BD565" s="212"/>
      <c r="BE565" s="212"/>
      <c r="BF565" s="452"/>
    </row>
    <row r="566">
      <c r="A566" s="212"/>
      <c r="B566" s="447"/>
      <c r="C566" s="212"/>
      <c r="D566" s="212"/>
      <c r="E566" s="212"/>
      <c r="F566" s="212"/>
      <c r="G566" s="212"/>
      <c r="H566" s="212"/>
      <c r="I566" s="212"/>
      <c r="J566" s="212"/>
      <c r="K566" s="212"/>
      <c r="L566" s="212"/>
      <c r="M566" s="212"/>
      <c r="N566" s="212"/>
      <c r="O566" s="212"/>
      <c r="P566" s="212"/>
      <c r="Q566" s="212"/>
      <c r="R566" s="451"/>
      <c r="S566" s="451"/>
      <c r="T566" s="212"/>
      <c r="U566" s="451"/>
      <c r="V566" s="451"/>
      <c r="W566" s="451"/>
      <c r="X566" s="451"/>
      <c r="Y566" s="212"/>
      <c r="Z566" s="212"/>
      <c r="AA566" s="212"/>
      <c r="AB566" s="212"/>
      <c r="AC566" s="212"/>
      <c r="AD566" s="212"/>
      <c r="AE566" s="450"/>
      <c r="AF566" s="212"/>
      <c r="AG566" s="212"/>
      <c r="AH566" s="212"/>
      <c r="AI566" s="212"/>
      <c r="AJ566" s="212"/>
      <c r="AK566" s="212"/>
      <c r="AL566" s="212"/>
      <c r="AM566" s="212"/>
      <c r="AN566" s="212"/>
      <c r="AO566" s="212"/>
      <c r="AP566" s="212"/>
      <c r="AQ566" s="212"/>
      <c r="AR566" s="212"/>
      <c r="AS566" s="212"/>
      <c r="AT566" s="212"/>
      <c r="AU566" s="212"/>
      <c r="AV566" s="212"/>
      <c r="AW566" s="212"/>
      <c r="AX566" s="212"/>
      <c r="AY566" s="212"/>
      <c r="AZ566" s="452"/>
      <c r="BA566" s="212"/>
      <c r="BB566" s="212"/>
      <c r="BC566" s="212"/>
      <c r="BD566" s="212"/>
      <c r="BE566" s="212"/>
      <c r="BF566" s="452"/>
    </row>
    <row r="567">
      <c r="A567" s="212"/>
      <c r="B567" s="447"/>
      <c r="C567" s="212"/>
      <c r="D567" s="212"/>
      <c r="E567" s="212"/>
      <c r="F567" s="212"/>
      <c r="G567" s="212"/>
      <c r="H567" s="212"/>
      <c r="I567" s="212"/>
      <c r="J567" s="212"/>
      <c r="K567" s="212"/>
      <c r="L567" s="212"/>
      <c r="M567" s="212"/>
      <c r="N567" s="212"/>
      <c r="O567" s="212"/>
      <c r="P567" s="212"/>
      <c r="Q567" s="212"/>
      <c r="R567" s="451"/>
      <c r="S567" s="451"/>
      <c r="T567" s="212"/>
      <c r="U567" s="451"/>
      <c r="V567" s="451"/>
      <c r="W567" s="451"/>
      <c r="X567" s="451"/>
      <c r="Y567" s="212"/>
      <c r="Z567" s="212"/>
      <c r="AA567" s="212"/>
      <c r="AB567" s="212"/>
      <c r="AC567" s="212"/>
      <c r="AD567" s="212"/>
      <c r="AE567" s="450"/>
      <c r="AF567" s="212"/>
      <c r="AG567" s="212"/>
      <c r="AH567" s="212"/>
      <c r="AI567" s="212"/>
      <c r="AJ567" s="212"/>
      <c r="AK567" s="212"/>
      <c r="AL567" s="212"/>
      <c r="AM567" s="212"/>
      <c r="AN567" s="212"/>
      <c r="AO567" s="212"/>
      <c r="AP567" s="212"/>
      <c r="AQ567" s="212"/>
      <c r="AR567" s="212"/>
      <c r="AS567" s="212"/>
      <c r="AT567" s="212"/>
      <c r="AU567" s="212"/>
      <c r="AV567" s="212"/>
      <c r="AW567" s="212"/>
      <c r="AX567" s="212"/>
      <c r="AY567" s="212"/>
      <c r="AZ567" s="452"/>
      <c r="BA567" s="212"/>
      <c r="BB567" s="212"/>
      <c r="BC567" s="212"/>
      <c r="BD567" s="212"/>
      <c r="BE567" s="212"/>
      <c r="BF567" s="452"/>
    </row>
    <row r="568">
      <c r="A568" s="212"/>
      <c r="B568" s="447"/>
      <c r="C568" s="212"/>
      <c r="D568" s="212"/>
      <c r="E568" s="212"/>
      <c r="F568" s="212"/>
      <c r="G568" s="212"/>
      <c r="H568" s="212"/>
      <c r="I568" s="212"/>
      <c r="J568" s="212"/>
      <c r="K568" s="212"/>
      <c r="L568" s="212"/>
      <c r="M568" s="212"/>
      <c r="N568" s="212"/>
      <c r="O568" s="212"/>
      <c r="P568" s="212"/>
      <c r="Q568" s="212"/>
      <c r="R568" s="451"/>
      <c r="S568" s="451"/>
      <c r="T568" s="212"/>
      <c r="U568" s="451"/>
      <c r="V568" s="451"/>
      <c r="W568" s="451"/>
      <c r="X568" s="451"/>
      <c r="Y568" s="212"/>
      <c r="Z568" s="212"/>
      <c r="AA568" s="212"/>
      <c r="AB568" s="212"/>
      <c r="AC568" s="212"/>
      <c r="AD568" s="212"/>
      <c r="AE568" s="450"/>
      <c r="AF568" s="212"/>
      <c r="AG568" s="212"/>
      <c r="AH568" s="212"/>
      <c r="AI568" s="212"/>
      <c r="AJ568" s="212"/>
      <c r="AK568" s="212"/>
      <c r="AL568" s="212"/>
      <c r="AM568" s="212"/>
      <c r="AN568" s="212"/>
      <c r="AO568" s="212"/>
      <c r="AP568" s="212"/>
      <c r="AQ568" s="212"/>
      <c r="AR568" s="212"/>
      <c r="AS568" s="212"/>
      <c r="AT568" s="212"/>
      <c r="AU568" s="212"/>
      <c r="AV568" s="212"/>
      <c r="AW568" s="212"/>
      <c r="AX568" s="212"/>
      <c r="AY568" s="212"/>
      <c r="AZ568" s="452"/>
      <c r="BA568" s="212"/>
      <c r="BB568" s="212"/>
      <c r="BC568" s="212"/>
      <c r="BD568" s="212"/>
      <c r="BE568" s="212"/>
      <c r="BF568" s="452"/>
    </row>
    <row r="569">
      <c r="A569" s="212"/>
      <c r="B569" s="447"/>
      <c r="C569" s="212"/>
      <c r="D569" s="212"/>
      <c r="E569" s="212"/>
      <c r="F569" s="212"/>
      <c r="G569" s="212"/>
      <c r="H569" s="212"/>
      <c r="I569" s="212"/>
      <c r="J569" s="212"/>
      <c r="K569" s="212"/>
      <c r="L569" s="212"/>
      <c r="M569" s="212"/>
      <c r="N569" s="212"/>
      <c r="O569" s="212"/>
      <c r="P569" s="212"/>
      <c r="Q569" s="212"/>
      <c r="R569" s="451"/>
      <c r="S569" s="451"/>
      <c r="T569" s="212"/>
      <c r="U569" s="451"/>
      <c r="V569" s="451"/>
      <c r="W569" s="451"/>
      <c r="X569" s="451"/>
      <c r="Y569" s="212"/>
      <c r="Z569" s="212"/>
      <c r="AA569" s="212"/>
      <c r="AB569" s="212"/>
      <c r="AC569" s="212"/>
      <c r="AD569" s="212"/>
      <c r="AE569" s="450"/>
      <c r="AF569" s="212"/>
      <c r="AG569" s="212"/>
      <c r="AH569" s="212"/>
      <c r="AI569" s="212"/>
      <c r="AJ569" s="212"/>
      <c r="AK569" s="212"/>
      <c r="AL569" s="212"/>
      <c r="AM569" s="212"/>
      <c r="AN569" s="212"/>
      <c r="AO569" s="212"/>
      <c r="AP569" s="212"/>
      <c r="AQ569" s="212"/>
      <c r="AR569" s="212"/>
      <c r="AS569" s="212"/>
      <c r="AT569" s="212"/>
      <c r="AU569" s="212"/>
      <c r="AV569" s="212"/>
      <c r="AW569" s="212"/>
      <c r="AX569" s="212"/>
      <c r="AY569" s="212"/>
      <c r="AZ569" s="452"/>
      <c r="BA569" s="212"/>
      <c r="BB569" s="212"/>
      <c r="BC569" s="212"/>
      <c r="BD569" s="212"/>
      <c r="BE569" s="212"/>
      <c r="BF569" s="452"/>
    </row>
    <row r="570">
      <c r="A570" s="212"/>
      <c r="B570" s="447"/>
      <c r="C570" s="212"/>
      <c r="D570" s="212"/>
      <c r="E570" s="212"/>
      <c r="F570" s="212"/>
      <c r="G570" s="212"/>
      <c r="H570" s="212"/>
      <c r="I570" s="212"/>
      <c r="J570" s="212"/>
      <c r="K570" s="212"/>
      <c r="L570" s="212"/>
      <c r="M570" s="212"/>
      <c r="N570" s="212"/>
      <c r="O570" s="212"/>
      <c r="P570" s="212"/>
      <c r="Q570" s="212"/>
      <c r="R570" s="451"/>
      <c r="S570" s="451"/>
      <c r="T570" s="212"/>
      <c r="U570" s="451"/>
      <c r="V570" s="451"/>
      <c r="W570" s="451"/>
      <c r="X570" s="451"/>
      <c r="Y570" s="212"/>
      <c r="Z570" s="212"/>
      <c r="AA570" s="212"/>
      <c r="AB570" s="212"/>
      <c r="AC570" s="212"/>
      <c r="AD570" s="212"/>
      <c r="AE570" s="450"/>
      <c r="AF570" s="212"/>
      <c r="AG570" s="212"/>
      <c r="AH570" s="212"/>
      <c r="AI570" s="212"/>
      <c r="AJ570" s="212"/>
      <c r="AK570" s="212"/>
      <c r="AL570" s="212"/>
      <c r="AM570" s="212"/>
      <c r="AN570" s="212"/>
      <c r="AO570" s="212"/>
      <c r="AP570" s="212"/>
      <c r="AQ570" s="212"/>
      <c r="AR570" s="212"/>
      <c r="AS570" s="212"/>
      <c r="AT570" s="212"/>
      <c r="AU570" s="212"/>
      <c r="AV570" s="212"/>
      <c r="AW570" s="212"/>
      <c r="AX570" s="212"/>
      <c r="AY570" s="212"/>
      <c r="AZ570" s="452"/>
      <c r="BA570" s="212"/>
      <c r="BB570" s="212"/>
      <c r="BC570" s="212"/>
      <c r="BD570" s="212"/>
      <c r="BE570" s="212"/>
      <c r="BF570" s="452"/>
    </row>
    <row r="571">
      <c r="A571" s="212"/>
      <c r="B571" s="447"/>
      <c r="C571" s="212"/>
      <c r="D571" s="212"/>
      <c r="E571" s="212"/>
      <c r="F571" s="212"/>
      <c r="G571" s="212"/>
      <c r="H571" s="212"/>
      <c r="I571" s="212"/>
      <c r="J571" s="212"/>
      <c r="K571" s="212"/>
      <c r="L571" s="212"/>
      <c r="M571" s="212"/>
      <c r="N571" s="212"/>
      <c r="O571" s="212"/>
      <c r="P571" s="212"/>
      <c r="Q571" s="212"/>
      <c r="R571" s="451"/>
      <c r="S571" s="451"/>
      <c r="T571" s="212"/>
      <c r="U571" s="451"/>
      <c r="V571" s="451"/>
      <c r="W571" s="451"/>
      <c r="X571" s="451"/>
      <c r="Y571" s="212"/>
      <c r="Z571" s="212"/>
      <c r="AA571" s="212"/>
      <c r="AB571" s="212"/>
      <c r="AC571" s="212"/>
      <c r="AD571" s="212"/>
      <c r="AE571" s="450"/>
      <c r="AF571" s="212"/>
      <c r="AG571" s="212"/>
      <c r="AH571" s="212"/>
      <c r="AI571" s="212"/>
      <c r="AJ571" s="212"/>
      <c r="AK571" s="212"/>
      <c r="AL571" s="212"/>
      <c r="AM571" s="212"/>
      <c r="AN571" s="212"/>
      <c r="AO571" s="212"/>
      <c r="AP571" s="212"/>
      <c r="AQ571" s="212"/>
      <c r="AR571" s="212"/>
      <c r="AS571" s="212"/>
      <c r="AT571" s="212"/>
      <c r="AU571" s="212"/>
      <c r="AV571" s="212"/>
      <c r="AW571" s="212"/>
      <c r="AX571" s="212"/>
      <c r="AY571" s="212"/>
      <c r="AZ571" s="452"/>
      <c r="BA571" s="212"/>
      <c r="BB571" s="212"/>
      <c r="BC571" s="212"/>
      <c r="BD571" s="212"/>
      <c r="BE571" s="212"/>
      <c r="BF571" s="452"/>
    </row>
    <row r="572">
      <c r="A572" s="212"/>
      <c r="B572" s="447"/>
      <c r="C572" s="212"/>
      <c r="D572" s="212"/>
      <c r="E572" s="212"/>
      <c r="F572" s="212"/>
      <c r="G572" s="212"/>
      <c r="H572" s="212"/>
      <c r="I572" s="212"/>
      <c r="J572" s="212"/>
      <c r="K572" s="212"/>
      <c r="L572" s="212"/>
      <c r="M572" s="212"/>
      <c r="N572" s="212"/>
      <c r="O572" s="212"/>
      <c r="P572" s="212"/>
      <c r="Q572" s="212"/>
      <c r="R572" s="451"/>
      <c r="S572" s="451"/>
      <c r="T572" s="212"/>
      <c r="U572" s="451"/>
      <c r="V572" s="451"/>
      <c r="W572" s="451"/>
      <c r="X572" s="451"/>
      <c r="Y572" s="212"/>
      <c r="Z572" s="212"/>
      <c r="AA572" s="212"/>
      <c r="AB572" s="212"/>
      <c r="AC572" s="212"/>
      <c r="AD572" s="212"/>
      <c r="AE572" s="450"/>
      <c r="AF572" s="212"/>
      <c r="AG572" s="212"/>
      <c r="AH572" s="212"/>
      <c r="AI572" s="212"/>
      <c r="AJ572" s="212"/>
      <c r="AK572" s="212"/>
      <c r="AL572" s="212"/>
      <c r="AM572" s="212"/>
      <c r="AN572" s="212"/>
      <c r="AO572" s="212"/>
      <c r="AP572" s="212"/>
      <c r="AQ572" s="212"/>
      <c r="AR572" s="212"/>
      <c r="AS572" s="212"/>
      <c r="AT572" s="212"/>
      <c r="AU572" s="212"/>
      <c r="AV572" s="212"/>
      <c r="AW572" s="212"/>
      <c r="AX572" s="212"/>
      <c r="AY572" s="212"/>
      <c r="AZ572" s="452"/>
      <c r="BA572" s="212"/>
      <c r="BB572" s="212"/>
      <c r="BC572" s="212"/>
      <c r="BD572" s="212"/>
      <c r="BE572" s="212"/>
      <c r="BF572" s="452"/>
    </row>
    <row r="573">
      <c r="A573" s="212"/>
      <c r="B573" s="447"/>
      <c r="C573" s="212"/>
      <c r="D573" s="212"/>
      <c r="E573" s="212"/>
      <c r="F573" s="212"/>
      <c r="G573" s="212"/>
      <c r="H573" s="212"/>
      <c r="I573" s="212"/>
      <c r="J573" s="212"/>
      <c r="K573" s="212"/>
      <c r="L573" s="212"/>
      <c r="M573" s="212"/>
      <c r="N573" s="212"/>
      <c r="O573" s="212"/>
      <c r="P573" s="212"/>
      <c r="Q573" s="212"/>
      <c r="R573" s="451"/>
      <c r="S573" s="451"/>
      <c r="T573" s="212"/>
      <c r="U573" s="451"/>
      <c r="V573" s="451"/>
      <c r="W573" s="451"/>
      <c r="X573" s="451"/>
      <c r="Y573" s="212"/>
      <c r="Z573" s="212"/>
      <c r="AA573" s="212"/>
      <c r="AB573" s="212"/>
      <c r="AC573" s="212"/>
      <c r="AD573" s="212"/>
      <c r="AE573" s="450"/>
      <c r="AF573" s="212"/>
      <c r="AG573" s="212"/>
      <c r="AH573" s="212"/>
      <c r="AI573" s="212"/>
      <c r="AJ573" s="212"/>
      <c r="AK573" s="212"/>
      <c r="AL573" s="212"/>
      <c r="AM573" s="212"/>
      <c r="AN573" s="212"/>
      <c r="AO573" s="212"/>
      <c r="AP573" s="212"/>
      <c r="AQ573" s="212"/>
      <c r="AR573" s="212"/>
      <c r="AS573" s="212"/>
      <c r="AT573" s="212"/>
      <c r="AU573" s="212"/>
      <c r="AV573" s="212"/>
      <c r="AW573" s="212"/>
      <c r="AX573" s="212"/>
      <c r="AY573" s="212"/>
      <c r="AZ573" s="452"/>
      <c r="BA573" s="212"/>
      <c r="BB573" s="212"/>
      <c r="BC573" s="212"/>
      <c r="BD573" s="212"/>
      <c r="BE573" s="212"/>
      <c r="BF573" s="452"/>
    </row>
    <row r="574">
      <c r="A574" s="212"/>
      <c r="B574" s="447"/>
      <c r="C574" s="212"/>
      <c r="D574" s="212"/>
      <c r="E574" s="212"/>
      <c r="F574" s="212"/>
      <c r="G574" s="212"/>
      <c r="H574" s="212"/>
      <c r="I574" s="212"/>
      <c r="J574" s="212"/>
      <c r="K574" s="212"/>
      <c r="L574" s="212"/>
      <c r="M574" s="212"/>
      <c r="N574" s="212"/>
      <c r="O574" s="212"/>
      <c r="P574" s="212"/>
      <c r="Q574" s="212"/>
      <c r="R574" s="451"/>
      <c r="S574" s="451"/>
      <c r="T574" s="212"/>
      <c r="U574" s="451"/>
      <c r="V574" s="451"/>
      <c r="W574" s="451"/>
      <c r="X574" s="451"/>
      <c r="Y574" s="212"/>
      <c r="Z574" s="212"/>
      <c r="AA574" s="212"/>
      <c r="AB574" s="212"/>
      <c r="AC574" s="212"/>
      <c r="AD574" s="212"/>
      <c r="AE574" s="450"/>
      <c r="AF574" s="212"/>
      <c r="AG574" s="212"/>
      <c r="AH574" s="212"/>
      <c r="AI574" s="212"/>
      <c r="AJ574" s="212"/>
      <c r="AK574" s="212"/>
      <c r="AL574" s="212"/>
      <c r="AM574" s="212"/>
      <c r="AN574" s="212"/>
      <c r="AO574" s="212"/>
      <c r="AP574" s="212"/>
      <c r="AQ574" s="212"/>
      <c r="AR574" s="212"/>
      <c r="AS574" s="212"/>
      <c r="AT574" s="212"/>
      <c r="AU574" s="212"/>
      <c r="AV574" s="212"/>
      <c r="AW574" s="212"/>
      <c r="AX574" s="212"/>
      <c r="AY574" s="212"/>
      <c r="AZ574" s="452"/>
      <c r="BA574" s="212"/>
      <c r="BB574" s="212"/>
      <c r="BC574" s="212"/>
      <c r="BD574" s="212"/>
      <c r="BE574" s="212"/>
      <c r="BF574" s="452"/>
    </row>
    <row r="575">
      <c r="A575" s="212"/>
      <c r="B575" s="447"/>
      <c r="C575" s="212"/>
      <c r="D575" s="212"/>
      <c r="E575" s="212"/>
      <c r="F575" s="212"/>
      <c r="G575" s="212"/>
      <c r="H575" s="212"/>
      <c r="I575" s="212"/>
      <c r="J575" s="212"/>
      <c r="K575" s="212"/>
      <c r="L575" s="212"/>
      <c r="M575" s="212"/>
      <c r="N575" s="212"/>
      <c r="O575" s="212"/>
      <c r="P575" s="212"/>
      <c r="Q575" s="212"/>
      <c r="R575" s="451"/>
      <c r="S575" s="451"/>
      <c r="T575" s="212"/>
      <c r="U575" s="451"/>
      <c r="V575" s="451"/>
      <c r="W575" s="451"/>
      <c r="X575" s="451"/>
      <c r="Y575" s="212"/>
      <c r="Z575" s="212"/>
      <c r="AA575" s="212"/>
      <c r="AB575" s="212"/>
      <c r="AC575" s="212"/>
      <c r="AD575" s="212"/>
      <c r="AE575" s="450"/>
      <c r="AF575" s="212"/>
      <c r="AG575" s="212"/>
      <c r="AH575" s="212"/>
      <c r="AI575" s="212"/>
      <c r="AJ575" s="212"/>
      <c r="AK575" s="212"/>
      <c r="AL575" s="212"/>
      <c r="AM575" s="212"/>
      <c r="AN575" s="212"/>
      <c r="AO575" s="212"/>
      <c r="AP575" s="212"/>
      <c r="AQ575" s="212"/>
      <c r="AR575" s="212"/>
      <c r="AS575" s="212"/>
      <c r="AT575" s="212"/>
      <c r="AU575" s="212"/>
      <c r="AV575" s="212"/>
      <c r="AW575" s="212"/>
      <c r="AX575" s="212"/>
      <c r="AY575" s="212"/>
      <c r="AZ575" s="452"/>
      <c r="BA575" s="212"/>
      <c r="BB575" s="212"/>
      <c r="BC575" s="212"/>
      <c r="BD575" s="212"/>
      <c r="BE575" s="212"/>
      <c r="BF575" s="452"/>
    </row>
    <row r="576">
      <c r="A576" s="212"/>
      <c r="B576" s="447"/>
      <c r="C576" s="212"/>
      <c r="D576" s="212"/>
      <c r="E576" s="212"/>
      <c r="F576" s="212"/>
      <c r="G576" s="212"/>
      <c r="H576" s="212"/>
      <c r="I576" s="212"/>
      <c r="J576" s="212"/>
      <c r="K576" s="212"/>
      <c r="L576" s="212"/>
      <c r="M576" s="212"/>
      <c r="N576" s="212"/>
      <c r="O576" s="212"/>
      <c r="P576" s="212"/>
      <c r="Q576" s="212"/>
      <c r="R576" s="451"/>
      <c r="S576" s="451"/>
      <c r="T576" s="212"/>
      <c r="U576" s="451"/>
      <c r="V576" s="451"/>
      <c r="W576" s="451"/>
      <c r="X576" s="451"/>
      <c r="Y576" s="212"/>
      <c r="Z576" s="212"/>
      <c r="AA576" s="212"/>
      <c r="AB576" s="212"/>
      <c r="AC576" s="212"/>
      <c r="AD576" s="212"/>
      <c r="AE576" s="450"/>
      <c r="AF576" s="212"/>
      <c r="AG576" s="212"/>
      <c r="AH576" s="212"/>
      <c r="AI576" s="212"/>
      <c r="AJ576" s="212"/>
      <c r="AK576" s="212"/>
      <c r="AL576" s="212"/>
      <c r="AM576" s="212"/>
      <c r="AN576" s="212"/>
      <c r="AO576" s="212"/>
      <c r="AP576" s="212"/>
      <c r="AQ576" s="212"/>
      <c r="AR576" s="212"/>
      <c r="AS576" s="212"/>
      <c r="AT576" s="212"/>
      <c r="AU576" s="212"/>
      <c r="AV576" s="212"/>
      <c r="AW576" s="212"/>
      <c r="AX576" s="212"/>
      <c r="AY576" s="212"/>
      <c r="AZ576" s="452"/>
      <c r="BA576" s="212"/>
      <c r="BB576" s="212"/>
      <c r="BC576" s="212"/>
      <c r="BD576" s="212"/>
      <c r="BE576" s="212"/>
      <c r="BF576" s="452"/>
    </row>
    <row r="577">
      <c r="A577" s="212"/>
      <c r="B577" s="447"/>
      <c r="C577" s="212"/>
      <c r="D577" s="212"/>
      <c r="E577" s="212"/>
      <c r="F577" s="212"/>
      <c r="G577" s="212"/>
      <c r="H577" s="212"/>
      <c r="I577" s="212"/>
      <c r="J577" s="212"/>
      <c r="K577" s="212"/>
      <c r="L577" s="212"/>
      <c r="M577" s="212"/>
      <c r="N577" s="212"/>
      <c r="O577" s="212"/>
      <c r="P577" s="212"/>
      <c r="Q577" s="212"/>
      <c r="R577" s="451"/>
      <c r="S577" s="451"/>
      <c r="T577" s="212"/>
      <c r="U577" s="451"/>
      <c r="V577" s="451"/>
      <c r="W577" s="451"/>
      <c r="X577" s="451"/>
      <c r="Y577" s="212"/>
      <c r="Z577" s="212"/>
      <c r="AA577" s="212"/>
      <c r="AB577" s="212"/>
      <c r="AC577" s="212"/>
      <c r="AD577" s="212"/>
      <c r="AE577" s="450"/>
      <c r="AF577" s="212"/>
      <c r="AG577" s="212"/>
      <c r="AH577" s="212"/>
      <c r="AI577" s="212"/>
      <c r="AJ577" s="212"/>
      <c r="AK577" s="212"/>
      <c r="AL577" s="212"/>
      <c r="AM577" s="212"/>
      <c r="AN577" s="212"/>
      <c r="AO577" s="212"/>
      <c r="AP577" s="212"/>
      <c r="AQ577" s="212"/>
      <c r="AR577" s="212"/>
      <c r="AS577" s="212"/>
      <c r="AT577" s="212"/>
      <c r="AU577" s="212"/>
      <c r="AV577" s="212"/>
      <c r="AW577" s="212"/>
      <c r="AX577" s="212"/>
      <c r="AY577" s="212"/>
      <c r="AZ577" s="452"/>
      <c r="BA577" s="212"/>
      <c r="BB577" s="212"/>
      <c r="BC577" s="212"/>
      <c r="BD577" s="212"/>
      <c r="BE577" s="212"/>
      <c r="BF577" s="452"/>
    </row>
    <row r="578">
      <c r="A578" s="212"/>
      <c r="B578" s="447"/>
      <c r="C578" s="212"/>
      <c r="D578" s="212"/>
      <c r="E578" s="212"/>
      <c r="F578" s="212"/>
      <c r="G578" s="212"/>
      <c r="H578" s="212"/>
      <c r="I578" s="212"/>
      <c r="J578" s="212"/>
      <c r="K578" s="212"/>
      <c r="L578" s="212"/>
      <c r="M578" s="212"/>
      <c r="N578" s="212"/>
      <c r="O578" s="212"/>
      <c r="P578" s="212"/>
      <c r="Q578" s="212"/>
      <c r="R578" s="451"/>
      <c r="S578" s="451"/>
      <c r="T578" s="212"/>
      <c r="U578" s="451"/>
      <c r="V578" s="451"/>
      <c r="W578" s="451"/>
      <c r="X578" s="451"/>
      <c r="Y578" s="212"/>
      <c r="Z578" s="212"/>
      <c r="AA578" s="212"/>
      <c r="AB578" s="212"/>
      <c r="AC578" s="212"/>
      <c r="AD578" s="212"/>
      <c r="AE578" s="450"/>
      <c r="AF578" s="212"/>
      <c r="AG578" s="212"/>
      <c r="AH578" s="212"/>
      <c r="AI578" s="212"/>
      <c r="AJ578" s="212"/>
      <c r="AK578" s="212"/>
      <c r="AL578" s="212"/>
      <c r="AM578" s="212"/>
      <c r="AN578" s="212"/>
      <c r="AO578" s="212"/>
      <c r="AP578" s="212"/>
      <c r="AQ578" s="212"/>
      <c r="AR578" s="212"/>
      <c r="AS578" s="212"/>
      <c r="AT578" s="212"/>
      <c r="AU578" s="212"/>
      <c r="AV578" s="212"/>
      <c r="AW578" s="212"/>
      <c r="AX578" s="212"/>
      <c r="AY578" s="212"/>
      <c r="AZ578" s="452"/>
      <c r="BA578" s="212"/>
      <c r="BB578" s="212"/>
      <c r="BC578" s="212"/>
      <c r="BD578" s="212"/>
      <c r="BE578" s="212"/>
      <c r="BF578" s="452"/>
    </row>
    <row r="579">
      <c r="A579" s="212"/>
      <c r="B579" s="447"/>
      <c r="C579" s="212"/>
      <c r="D579" s="212"/>
      <c r="E579" s="212"/>
      <c r="F579" s="212"/>
      <c r="G579" s="212"/>
      <c r="H579" s="212"/>
      <c r="I579" s="212"/>
      <c r="J579" s="212"/>
      <c r="K579" s="212"/>
      <c r="L579" s="212"/>
      <c r="M579" s="212"/>
      <c r="N579" s="212"/>
      <c r="O579" s="212"/>
      <c r="P579" s="212"/>
      <c r="Q579" s="212"/>
      <c r="R579" s="451"/>
      <c r="S579" s="451"/>
      <c r="T579" s="212"/>
      <c r="U579" s="451"/>
      <c r="V579" s="451"/>
      <c r="W579" s="451"/>
      <c r="X579" s="451"/>
      <c r="Y579" s="212"/>
      <c r="Z579" s="212"/>
      <c r="AA579" s="212"/>
      <c r="AB579" s="212"/>
      <c r="AC579" s="212"/>
      <c r="AD579" s="212"/>
      <c r="AE579" s="450"/>
      <c r="AF579" s="212"/>
      <c r="AG579" s="212"/>
      <c r="AH579" s="212"/>
      <c r="AI579" s="212"/>
      <c r="AJ579" s="212"/>
      <c r="AK579" s="212"/>
      <c r="AL579" s="212"/>
      <c r="AM579" s="212"/>
      <c r="AN579" s="212"/>
      <c r="AO579" s="212"/>
      <c r="AP579" s="212"/>
      <c r="AQ579" s="212"/>
      <c r="AR579" s="212"/>
      <c r="AS579" s="212"/>
      <c r="AT579" s="212"/>
      <c r="AU579" s="212"/>
      <c r="AV579" s="212"/>
      <c r="AW579" s="212"/>
      <c r="AX579" s="212"/>
      <c r="AY579" s="212"/>
      <c r="AZ579" s="452"/>
      <c r="BA579" s="212"/>
      <c r="BB579" s="212"/>
      <c r="BC579" s="212"/>
      <c r="BD579" s="212"/>
      <c r="BE579" s="212"/>
      <c r="BF579" s="452"/>
    </row>
    <row r="580">
      <c r="A580" s="212"/>
      <c r="B580" s="447"/>
      <c r="C580" s="212"/>
      <c r="D580" s="212"/>
      <c r="E580" s="212"/>
      <c r="F580" s="212"/>
      <c r="G580" s="212"/>
      <c r="H580" s="212"/>
      <c r="I580" s="212"/>
      <c r="J580" s="212"/>
      <c r="K580" s="212"/>
      <c r="L580" s="212"/>
      <c r="M580" s="212"/>
      <c r="N580" s="212"/>
      <c r="O580" s="212"/>
      <c r="P580" s="212"/>
      <c r="Q580" s="212"/>
      <c r="R580" s="451"/>
      <c r="S580" s="451"/>
      <c r="T580" s="212"/>
      <c r="U580" s="451"/>
      <c r="V580" s="451"/>
      <c r="W580" s="451"/>
      <c r="X580" s="451"/>
      <c r="Y580" s="212"/>
      <c r="Z580" s="212"/>
      <c r="AA580" s="212"/>
      <c r="AB580" s="212"/>
      <c r="AC580" s="212"/>
      <c r="AD580" s="212"/>
      <c r="AE580" s="450"/>
      <c r="AF580" s="212"/>
      <c r="AG580" s="212"/>
      <c r="AH580" s="212"/>
      <c r="AI580" s="212"/>
      <c r="AJ580" s="212"/>
      <c r="AK580" s="212"/>
      <c r="AL580" s="212"/>
      <c r="AM580" s="212"/>
      <c r="AN580" s="212"/>
      <c r="AO580" s="212"/>
      <c r="AP580" s="212"/>
      <c r="AQ580" s="212"/>
      <c r="AR580" s="212"/>
      <c r="AS580" s="212"/>
      <c r="AT580" s="212"/>
      <c r="AU580" s="212"/>
      <c r="AV580" s="212"/>
      <c r="AW580" s="212"/>
      <c r="AX580" s="212"/>
      <c r="AY580" s="212"/>
      <c r="AZ580" s="452"/>
      <c r="BA580" s="212"/>
      <c r="BB580" s="212"/>
      <c r="BC580" s="212"/>
      <c r="BD580" s="212"/>
      <c r="BE580" s="212"/>
      <c r="BF580" s="452"/>
    </row>
    <row r="581">
      <c r="A581" s="212"/>
      <c r="B581" s="447"/>
      <c r="C581" s="212"/>
      <c r="D581" s="212"/>
      <c r="E581" s="212"/>
      <c r="F581" s="212"/>
      <c r="G581" s="212"/>
      <c r="H581" s="212"/>
      <c r="I581" s="212"/>
      <c r="J581" s="212"/>
      <c r="K581" s="212"/>
      <c r="L581" s="212"/>
      <c r="M581" s="212"/>
      <c r="N581" s="212"/>
      <c r="O581" s="212"/>
      <c r="P581" s="212"/>
      <c r="Q581" s="212"/>
      <c r="R581" s="451"/>
      <c r="S581" s="451"/>
      <c r="T581" s="212"/>
      <c r="U581" s="451"/>
      <c r="V581" s="451"/>
      <c r="W581" s="451"/>
      <c r="X581" s="451"/>
      <c r="Y581" s="212"/>
      <c r="Z581" s="212"/>
      <c r="AA581" s="212"/>
      <c r="AB581" s="212"/>
      <c r="AC581" s="212"/>
      <c r="AD581" s="212"/>
      <c r="AE581" s="450"/>
      <c r="AF581" s="212"/>
      <c r="AG581" s="212"/>
      <c r="AH581" s="212"/>
      <c r="AI581" s="212"/>
      <c r="AJ581" s="212"/>
      <c r="AK581" s="212"/>
      <c r="AL581" s="212"/>
      <c r="AM581" s="212"/>
      <c r="AN581" s="212"/>
      <c r="AO581" s="212"/>
      <c r="AP581" s="212"/>
      <c r="AQ581" s="212"/>
      <c r="AR581" s="212"/>
      <c r="AS581" s="212"/>
      <c r="AT581" s="212"/>
      <c r="AU581" s="212"/>
      <c r="AV581" s="212"/>
      <c r="AW581" s="212"/>
      <c r="AX581" s="212"/>
      <c r="AY581" s="212"/>
      <c r="AZ581" s="452"/>
      <c r="BA581" s="212"/>
      <c r="BB581" s="212"/>
      <c r="BC581" s="212"/>
      <c r="BD581" s="212"/>
      <c r="BE581" s="212"/>
      <c r="BF581" s="452"/>
    </row>
    <row r="582">
      <c r="A582" s="212"/>
      <c r="B582" s="447"/>
      <c r="C582" s="212"/>
      <c r="D582" s="212"/>
      <c r="E582" s="212"/>
      <c r="F582" s="212"/>
      <c r="G582" s="212"/>
      <c r="H582" s="212"/>
      <c r="I582" s="212"/>
      <c r="J582" s="212"/>
      <c r="K582" s="212"/>
      <c r="L582" s="212"/>
      <c r="M582" s="212"/>
      <c r="N582" s="212"/>
      <c r="O582" s="212"/>
      <c r="P582" s="212"/>
      <c r="Q582" s="212"/>
      <c r="R582" s="451"/>
      <c r="S582" s="451"/>
      <c r="T582" s="212"/>
      <c r="U582" s="451"/>
      <c r="V582" s="451"/>
      <c r="W582" s="451"/>
      <c r="X582" s="451"/>
      <c r="Y582" s="212"/>
      <c r="Z582" s="212"/>
      <c r="AA582" s="212"/>
      <c r="AB582" s="212"/>
      <c r="AC582" s="212"/>
      <c r="AD582" s="212"/>
      <c r="AE582" s="450"/>
      <c r="AF582" s="212"/>
      <c r="AG582" s="212"/>
      <c r="AH582" s="212"/>
      <c r="AI582" s="212"/>
      <c r="AJ582" s="212"/>
      <c r="AK582" s="212"/>
      <c r="AL582" s="212"/>
      <c r="AM582" s="212"/>
      <c r="AN582" s="212"/>
      <c r="AO582" s="212"/>
      <c r="AP582" s="212"/>
      <c r="AQ582" s="212"/>
      <c r="AR582" s="212"/>
      <c r="AS582" s="212"/>
      <c r="AT582" s="212"/>
      <c r="AU582" s="212"/>
      <c r="AV582" s="212"/>
      <c r="AW582" s="212"/>
      <c r="AX582" s="212"/>
      <c r="AY582" s="212"/>
      <c r="AZ582" s="452"/>
      <c r="BA582" s="212"/>
      <c r="BB582" s="212"/>
      <c r="BC582" s="212"/>
      <c r="BD582" s="212"/>
      <c r="BE582" s="212"/>
      <c r="BF582" s="452"/>
    </row>
    <row r="583">
      <c r="A583" s="212"/>
      <c r="B583" s="447"/>
      <c r="C583" s="212"/>
      <c r="D583" s="212"/>
      <c r="E583" s="212"/>
      <c r="F583" s="212"/>
      <c r="G583" s="212"/>
      <c r="H583" s="212"/>
      <c r="I583" s="212"/>
      <c r="J583" s="212"/>
      <c r="K583" s="212"/>
      <c r="L583" s="212"/>
      <c r="M583" s="212"/>
      <c r="N583" s="212"/>
      <c r="O583" s="212"/>
      <c r="P583" s="212"/>
      <c r="Q583" s="212"/>
      <c r="R583" s="451"/>
      <c r="S583" s="451"/>
      <c r="T583" s="212"/>
      <c r="U583" s="451"/>
      <c r="V583" s="451"/>
      <c r="W583" s="451"/>
      <c r="X583" s="451"/>
      <c r="Y583" s="212"/>
      <c r="Z583" s="212"/>
      <c r="AA583" s="212"/>
      <c r="AB583" s="212"/>
      <c r="AC583" s="212"/>
      <c r="AD583" s="212"/>
      <c r="AE583" s="450"/>
      <c r="AF583" s="212"/>
      <c r="AG583" s="212"/>
      <c r="AH583" s="212"/>
      <c r="AI583" s="212"/>
      <c r="AJ583" s="212"/>
      <c r="AK583" s="212"/>
      <c r="AL583" s="212"/>
      <c r="AM583" s="212"/>
      <c r="AN583" s="212"/>
      <c r="AO583" s="212"/>
      <c r="AP583" s="212"/>
      <c r="AQ583" s="212"/>
      <c r="AR583" s="212"/>
      <c r="AS583" s="212"/>
      <c r="AT583" s="212"/>
      <c r="AU583" s="212"/>
      <c r="AV583" s="212"/>
      <c r="AW583" s="212"/>
      <c r="AX583" s="212"/>
      <c r="AY583" s="212"/>
      <c r="AZ583" s="452"/>
      <c r="BA583" s="212"/>
      <c r="BB583" s="212"/>
      <c r="BC583" s="212"/>
      <c r="BD583" s="212"/>
      <c r="BE583" s="212"/>
      <c r="BF583" s="452"/>
    </row>
    <row r="584">
      <c r="A584" s="212"/>
      <c r="B584" s="447"/>
      <c r="C584" s="212"/>
      <c r="D584" s="212"/>
      <c r="E584" s="212"/>
      <c r="F584" s="212"/>
      <c r="G584" s="212"/>
      <c r="H584" s="212"/>
      <c r="I584" s="212"/>
      <c r="J584" s="212"/>
      <c r="K584" s="212"/>
      <c r="L584" s="212"/>
      <c r="M584" s="212"/>
      <c r="N584" s="212"/>
      <c r="O584" s="212"/>
      <c r="P584" s="212"/>
      <c r="Q584" s="212"/>
      <c r="R584" s="451"/>
      <c r="S584" s="451"/>
      <c r="T584" s="212"/>
      <c r="U584" s="451"/>
      <c r="V584" s="451"/>
      <c r="W584" s="451"/>
      <c r="X584" s="451"/>
      <c r="Y584" s="212"/>
      <c r="Z584" s="212"/>
      <c r="AA584" s="212"/>
      <c r="AB584" s="212"/>
      <c r="AC584" s="212"/>
      <c r="AD584" s="212"/>
      <c r="AE584" s="450"/>
      <c r="AF584" s="212"/>
      <c r="AG584" s="212"/>
      <c r="AH584" s="212"/>
      <c r="AI584" s="212"/>
      <c r="AJ584" s="212"/>
      <c r="AK584" s="212"/>
      <c r="AL584" s="212"/>
      <c r="AM584" s="212"/>
      <c r="AN584" s="212"/>
      <c r="AO584" s="212"/>
      <c r="AP584" s="212"/>
      <c r="AQ584" s="212"/>
      <c r="AR584" s="212"/>
      <c r="AS584" s="212"/>
      <c r="AT584" s="212"/>
      <c r="AU584" s="212"/>
      <c r="AV584" s="212"/>
      <c r="AW584" s="212"/>
      <c r="AX584" s="212"/>
      <c r="AY584" s="212"/>
      <c r="AZ584" s="452"/>
      <c r="BA584" s="212"/>
      <c r="BB584" s="212"/>
      <c r="BC584" s="212"/>
      <c r="BD584" s="212"/>
      <c r="BE584" s="212"/>
      <c r="BF584" s="452"/>
    </row>
    <row r="585">
      <c r="A585" s="212"/>
      <c r="B585" s="447"/>
      <c r="C585" s="212"/>
      <c r="D585" s="212"/>
      <c r="E585" s="212"/>
      <c r="F585" s="212"/>
      <c r="G585" s="212"/>
      <c r="H585" s="212"/>
      <c r="I585" s="212"/>
      <c r="J585" s="212"/>
      <c r="K585" s="212"/>
      <c r="L585" s="212"/>
      <c r="M585" s="212"/>
      <c r="N585" s="212"/>
      <c r="O585" s="212"/>
      <c r="P585" s="212"/>
      <c r="Q585" s="212"/>
      <c r="R585" s="451"/>
      <c r="S585" s="451"/>
      <c r="T585" s="212"/>
      <c r="U585" s="451"/>
      <c r="V585" s="451"/>
      <c r="W585" s="451"/>
      <c r="X585" s="451"/>
      <c r="Y585" s="212"/>
      <c r="Z585" s="212"/>
      <c r="AA585" s="212"/>
      <c r="AB585" s="212"/>
      <c r="AC585" s="212"/>
      <c r="AD585" s="212"/>
      <c r="AE585" s="450"/>
      <c r="AF585" s="212"/>
      <c r="AG585" s="212"/>
      <c r="AH585" s="212"/>
      <c r="AI585" s="212"/>
      <c r="AJ585" s="212"/>
      <c r="AK585" s="212"/>
      <c r="AL585" s="212"/>
      <c r="AM585" s="212"/>
      <c r="AN585" s="212"/>
      <c r="AO585" s="212"/>
      <c r="AP585" s="212"/>
      <c r="AQ585" s="212"/>
      <c r="AR585" s="212"/>
      <c r="AS585" s="212"/>
      <c r="AT585" s="212"/>
      <c r="AU585" s="212"/>
      <c r="AV585" s="212"/>
      <c r="AW585" s="212"/>
      <c r="AX585" s="212"/>
      <c r="AY585" s="212"/>
      <c r="AZ585" s="452"/>
      <c r="BA585" s="212"/>
      <c r="BB585" s="212"/>
      <c r="BC585" s="212"/>
      <c r="BD585" s="212"/>
      <c r="BE585" s="212"/>
      <c r="BF585" s="452"/>
    </row>
    <row r="586">
      <c r="A586" s="212"/>
      <c r="B586" s="447"/>
      <c r="C586" s="212"/>
      <c r="D586" s="212"/>
      <c r="E586" s="212"/>
      <c r="F586" s="212"/>
      <c r="G586" s="212"/>
      <c r="H586" s="212"/>
      <c r="I586" s="212"/>
      <c r="J586" s="212"/>
      <c r="K586" s="212"/>
      <c r="L586" s="212"/>
      <c r="M586" s="212"/>
      <c r="N586" s="212"/>
      <c r="O586" s="212"/>
      <c r="P586" s="212"/>
      <c r="Q586" s="212"/>
      <c r="R586" s="451"/>
      <c r="S586" s="451"/>
      <c r="T586" s="212"/>
      <c r="U586" s="451"/>
      <c r="V586" s="451"/>
      <c r="W586" s="451"/>
      <c r="X586" s="451"/>
      <c r="Y586" s="212"/>
      <c r="Z586" s="212"/>
      <c r="AA586" s="212"/>
      <c r="AB586" s="212"/>
      <c r="AC586" s="212"/>
      <c r="AD586" s="212"/>
      <c r="AE586" s="450"/>
      <c r="AF586" s="212"/>
      <c r="AG586" s="212"/>
      <c r="AH586" s="212"/>
      <c r="AI586" s="212"/>
      <c r="AJ586" s="212"/>
      <c r="AK586" s="212"/>
      <c r="AL586" s="212"/>
      <c r="AM586" s="212"/>
      <c r="AN586" s="212"/>
      <c r="AO586" s="212"/>
      <c r="AP586" s="212"/>
      <c r="AQ586" s="212"/>
      <c r="AR586" s="212"/>
      <c r="AS586" s="212"/>
      <c r="AT586" s="212"/>
      <c r="AU586" s="212"/>
      <c r="AV586" s="212"/>
      <c r="AW586" s="212"/>
      <c r="AX586" s="212"/>
      <c r="AY586" s="212"/>
      <c r="AZ586" s="452"/>
      <c r="BA586" s="212"/>
      <c r="BB586" s="212"/>
      <c r="BC586" s="212"/>
      <c r="BD586" s="212"/>
      <c r="BE586" s="212"/>
      <c r="BF586" s="452"/>
    </row>
    <row r="587">
      <c r="A587" s="212"/>
      <c r="B587" s="447"/>
      <c r="C587" s="212"/>
      <c r="D587" s="212"/>
      <c r="E587" s="212"/>
      <c r="F587" s="212"/>
      <c r="G587" s="212"/>
      <c r="H587" s="212"/>
      <c r="I587" s="212"/>
      <c r="J587" s="212"/>
      <c r="K587" s="212"/>
      <c r="L587" s="212"/>
      <c r="M587" s="212"/>
      <c r="N587" s="212"/>
      <c r="O587" s="212"/>
      <c r="P587" s="212"/>
      <c r="Q587" s="212"/>
      <c r="R587" s="451"/>
      <c r="S587" s="451"/>
      <c r="T587" s="212"/>
      <c r="U587" s="451"/>
      <c r="V587" s="451"/>
      <c r="W587" s="451"/>
      <c r="X587" s="451"/>
      <c r="Y587" s="212"/>
      <c r="Z587" s="212"/>
      <c r="AA587" s="212"/>
      <c r="AB587" s="212"/>
      <c r="AC587" s="212"/>
      <c r="AD587" s="212"/>
      <c r="AE587" s="450"/>
      <c r="AF587" s="212"/>
      <c r="AG587" s="212"/>
      <c r="AH587" s="212"/>
      <c r="AI587" s="212"/>
      <c r="AJ587" s="212"/>
      <c r="AK587" s="212"/>
      <c r="AL587" s="212"/>
      <c r="AM587" s="212"/>
      <c r="AN587" s="212"/>
      <c r="AO587" s="212"/>
      <c r="AP587" s="212"/>
      <c r="AQ587" s="212"/>
      <c r="AR587" s="212"/>
      <c r="AS587" s="212"/>
      <c r="AT587" s="212"/>
      <c r="AU587" s="212"/>
      <c r="AV587" s="212"/>
      <c r="AW587" s="212"/>
      <c r="AX587" s="212"/>
      <c r="AY587" s="212"/>
      <c r="AZ587" s="452"/>
      <c r="BA587" s="212"/>
      <c r="BB587" s="212"/>
      <c r="BC587" s="212"/>
      <c r="BD587" s="212"/>
      <c r="BE587" s="212"/>
      <c r="BF587" s="452"/>
    </row>
    <row r="588">
      <c r="A588" s="212"/>
      <c r="B588" s="447"/>
      <c r="C588" s="212"/>
      <c r="D588" s="212"/>
      <c r="E588" s="212"/>
      <c r="F588" s="212"/>
      <c r="G588" s="212"/>
      <c r="H588" s="212"/>
      <c r="I588" s="212"/>
      <c r="J588" s="212"/>
      <c r="K588" s="212"/>
      <c r="L588" s="212"/>
      <c r="M588" s="212"/>
      <c r="N588" s="212"/>
      <c r="O588" s="212"/>
      <c r="P588" s="212"/>
      <c r="Q588" s="212"/>
      <c r="R588" s="451"/>
      <c r="S588" s="451"/>
      <c r="T588" s="212"/>
      <c r="U588" s="451"/>
      <c r="V588" s="451"/>
      <c r="W588" s="451"/>
      <c r="X588" s="451"/>
      <c r="Y588" s="212"/>
      <c r="Z588" s="212"/>
      <c r="AA588" s="212"/>
      <c r="AB588" s="212"/>
      <c r="AC588" s="212"/>
      <c r="AD588" s="212"/>
      <c r="AE588" s="450"/>
      <c r="AF588" s="212"/>
      <c r="AG588" s="212"/>
      <c r="AH588" s="212"/>
      <c r="AI588" s="212"/>
      <c r="AJ588" s="212"/>
      <c r="AK588" s="212"/>
      <c r="AL588" s="212"/>
      <c r="AM588" s="212"/>
      <c r="AN588" s="212"/>
      <c r="AO588" s="212"/>
      <c r="AP588" s="212"/>
      <c r="AQ588" s="212"/>
      <c r="AR588" s="212"/>
      <c r="AS588" s="212"/>
      <c r="AT588" s="212"/>
      <c r="AU588" s="212"/>
      <c r="AV588" s="212"/>
      <c r="AW588" s="212"/>
      <c r="AX588" s="212"/>
      <c r="AY588" s="212"/>
      <c r="AZ588" s="452"/>
      <c r="BA588" s="212"/>
      <c r="BB588" s="212"/>
      <c r="BC588" s="212"/>
      <c r="BD588" s="212"/>
      <c r="BE588" s="212"/>
      <c r="BF588" s="452"/>
    </row>
    <row r="589">
      <c r="A589" s="212"/>
      <c r="B589" s="447"/>
      <c r="C589" s="212"/>
      <c r="D589" s="212"/>
      <c r="E589" s="212"/>
      <c r="F589" s="212"/>
      <c r="G589" s="212"/>
      <c r="H589" s="212"/>
      <c r="I589" s="212"/>
      <c r="J589" s="212"/>
      <c r="K589" s="212"/>
      <c r="L589" s="212"/>
      <c r="M589" s="212"/>
      <c r="N589" s="212"/>
      <c r="O589" s="212"/>
      <c r="P589" s="212"/>
      <c r="Q589" s="212"/>
      <c r="R589" s="451"/>
      <c r="S589" s="451"/>
      <c r="T589" s="212"/>
      <c r="U589" s="451"/>
      <c r="V589" s="451"/>
      <c r="W589" s="451"/>
      <c r="X589" s="451"/>
      <c r="Y589" s="212"/>
      <c r="Z589" s="212"/>
      <c r="AA589" s="212"/>
      <c r="AB589" s="212"/>
      <c r="AC589" s="212"/>
      <c r="AD589" s="212"/>
      <c r="AE589" s="450"/>
      <c r="AF589" s="212"/>
      <c r="AG589" s="212"/>
      <c r="AH589" s="212"/>
      <c r="AI589" s="212"/>
      <c r="AJ589" s="212"/>
      <c r="AK589" s="212"/>
      <c r="AL589" s="212"/>
      <c r="AM589" s="212"/>
      <c r="AN589" s="212"/>
      <c r="AO589" s="212"/>
      <c r="AP589" s="212"/>
      <c r="AQ589" s="212"/>
      <c r="AR589" s="212"/>
      <c r="AS589" s="212"/>
      <c r="AT589" s="212"/>
      <c r="AU589" s="212"/>
      <c r="AV589" s="212"/>
      <c r="AW589" s="212"/>
      <c r="AX589" s="212"/>
      <c r="AY589" s="212"/>
      <c r="AZ589" s="452"/>
      <c r="BA589" s="212"/>
      <c r="BB589" s="212"/>
      <c r="BC589" s="212"/>
      <c r="BD589" s="212"/>
      <c r="BE589" s="212"/>
      <c r="BF589" s="452"/>
    </row>
    <row r="590">
      <c r="A590" s="212"/>
      <c r="B590" s="447"/>
      <c r="C590" s="212"/>
      <c r="D590" s="212"/>
      <c r="E590" s="212"/>
      <c r="F590" s="212"/>
      <c r="G590" s="212"/>
      <c r="H590" s="212"/>
      <c r="I590" s="212"/>
      <c r="J590" s="212"/>
      <c r="K590" s="212"/>
      <c r="L590" s="212"/>
      <c r="M590" s="212"/>
      <c r="N590" s="212"/>
      <c r="O590" s="212"/>
      <c r="P590" s="212"/>
      <c r="Q590" s="212"/>
      <c r="R590" s="451"/>
      <c r="S590" s="451"/>
      <c r="T590" s="212"/>
      <c r="U590" s="451"/>
      <c r="V590" s="451"/>
      <c r="W590" s="451"/>
      <c r="X590" s="451"/>
      <c r="Y590" s="212"/>
      <c r="Z590" s="212"/>
      <c r="AA590" s="212"/>
      <c r="AB590" s="212"/>
      <c r="AC590" s="212"/>
      <c r="AD590" s="212"/>
      <c r="AE590" s="450"/>
      <c r="AF590" s="212"/>
      <c r="AG590" s="212"/>
      <c r="AH590" s="212"/>
      <c r="AI590" s="212"/>
      <c r="AJ590" s="212"/>
      <c r="AK590" s="212"/>
      <c r="AL590" s="212"/>
      <c r="AM590" s="212"/>
      <c r="AN590" s="212"/>
      <c r="AO590" s="212"/>
      <c r="AP590" s="212"/>
      <c r="AQ590" s="212"/>
      <c r="AR590" s="212"/>
      <c r="AS590" s="212"/>
      <c r="AT590" s="212"/>
      <c r="AU590" s="212"/>
      <c r="AV590" s="212"/>
      <c r="AW590" s="212"/>
      <c r="AX590" s="212"/>
      <c r="AY590" s="212"/>
      <c r="AZ590" s="452"/>
      <c r="BA590" s="212"/>
      <c r="BB590" s="212"/>
      <c r="BC590" s="212"/>
      <c r="BD590" s="212"/>
      <c r="BE590" s="212"/>
      <c r="BF590" s="452"/>
    </row>
    <row r="591">
      <c r="A591" s="212"/>
      <c r="B591" s="447"/>
      <c r="C591" s="212"/>
      <c r="D591" s="212"/>
      <c r="E591" s="212"/>
      <c r="F591" s="212"/>
      <c r="G591" s="212"/>
      <c r="H591" s="212"/>
      <c r="I591" s="212"/>
      <c r="J591" s="212"/>
      <c r="K591" s="212"/>
      <c r="L591" s="212"/>
      <c r="M591" s="212"/>
      <c r="N591" s="212"/>
      <c r="O591" s="212"/>
      <c r="P591" s="212"/>
      <c r="Q591" s="212"/>
      <c r="R591" s="451"/>
      <c r="S591" s="451"/>
      <c r="T591" s="212"/>
      <c r="U591" s="451"/>
      <c r="V591" s="451"/>
      <c r="W591" s="451"/>
      <c r="X591" s="451"/>
      <c r="Y591" s="212"/>
      <c r="Z591" s="212"/>
      <c r="AA591" s="212"/>
      <c r="AB591" s="212"/>
      <c r="AC591" s="212"/>
      <c r="AD591" s="212"/>
      <c r="AE591" s="450"/>
      <c r="AF591" s="212"/>
      <c r="AG591" s="212"/>
      <c r="AH591" s="212"/>
      <c r="AI591" s="212"/>
      <c r="AJ591" s="212"/>
      <c r="AK591" s="212"/>
      <c r="AL591" s="212"/>
      <c r="AM591" s="212"/>
      <c r="AN591" s="212"/>
      <c r="AO591" s="212"/>
      <c r="AP591" s="212"/>
      <c r="AQ591" s="212"/>
      <c r="AR591" s="212"/>
      <c r="AS591" s="212"/>
      <c r="AT591" s="212"/>
      <c r="AU591" s="212"/>
      <c r="AV591" s="212"/>
      <c r="AW591" s="212"/>
      <c r="AX591" s="212"/>
      <c r="AY591" s="212"/>
      <c r="AZ591" s="452"/>
      <c r="BA591" s="212"/>
      <c r="BB591" s="212"/>
      <c r="BC591" s="212"/>
      <c r="BD591" s="212"/>
      <c r="BE591" s="212"/>
      <c r="BF591" s="452"/>
    </row>
    <row r="592">
      <c r="A592" s="212"/>
      <c r="B592" s="447"/>
      <c r="C592" s="212"/>
      <c r="D592" s="212"/>
      <c r="E592" s="212"/>
      <c r="F592" s="212"/>
      <c r="G592" s="212"/>
      <c r="H592" s="212"/>
      <c r="I592" s="212"/>
      <c r="J592" s="212"/>
      <c r="K592" s="212"/>
      <c r="L592" s="212"/>
      <c r="M592" s="212"/>
      <c r="N592" s="212"/>
      <c r="O592" s="212"/>
      <c r="P592" s="212"/>
      <c r="Q592" s="212"/>
      <c r="R592" s="451"/>
      <c r="S592" s="451"/>
      <c r="T592" s="212"/>
      <c r="U592" s="451"/>
      <c r="V592" s="451"/>
      <c r="W592" s="451"/>
      <c r="X592" s="451"/>
      <c r="Y592" s="212"/>
      <c r="Z592" s="212"/>
      <c r="AA592" s="212"/>
      <c r="AB592" s="212"/>
      <c r="AC592" s="212"/>
      <c r="AD592" s="212"/>
      <c r="AE592" s="450"/>
      <c r="AF592" s="212"/>
      <c r="AG592" s="212"/>
      <c r="AH592" s="212"/>
      <c r="AI592" s="212"/>
      <c r="AJ592" s="212"/>
      <c r="AK592" s="212"/>
      <c r="AL592" s="212"/>
      <c r="AM592" s="212"/>
      <c r="AN592" s="212"/>
      <c r="AO592" s="212"/>
      <c r="AP592" s="212"/>
      <c r="AQ592" s="212"/>
      <c r="AR592" s="212"/>
      <c r="AS592" s="212"/>
      <c r="AT592" s="212"/>
      <c r="AU592" s="212"/>
      <c r="AV592" s="212"/>
      <c r="AW592" s="212"/>
      <c r="AX592" s="212"/>
      <c r="AY592" s="212"/>
      <c r="AZ592" s="452"/>
      <c r="BA592" s="212"/>
      <c r="BB592" s="212"/>
      <c r="BC592" s="212"/>
      <c r="BD592" s="212"/>
      <c r="BE592" s="212"/>
      <c r="BF592" s="452"/>
    </row>
    <row r="593">
      <c r="A593" s="212"/>
      <c r="B593" s="447"/>
      <c r="C593" s="212"/>
      <c r="D593" s="212"/>
      <c r="E593" s="212"/>
      <c r="F593" s="212"/>
      <c r="G593" s="212"/>
      <c r="H593" s="212"/>
      <c r="I593" s="212"/>
      <c r="J593" s="212"/>
      <c r="K593" s="212"/>
      <c r="L593" s="212"/>
      <c r="M593" s="212"/>
      <c r="N593" s="212"/>
      <c r="O593" s="212"/>
      <c r="P593" s="212"/>
      <c r="Q593" s="212"/>
      <c r="R593" s="451"/>
      <c r="S593" s="451"/>
      <c r="T593" s="212"/>
      <c r="U593" s="451"/>
      <c r="V593" s="451"/>
      <c r="W593" s="451"/>
      <c r="X593" s="451"/>
      <c r="Y593" s="212"/>
      <c r="Z593" s="212"/>
      <c r="AA593" s="212"/>
      <c r="AB593" s="212"/>
      <c r="AC593" s="212"/>
      <c r="AD593" s="212"/>
      <c r="AE593" s="450"/>
      <c r="AF593" s="212"/>
      <c r="AG593" s="212"/>
      <c r="AH593" s="212"/>
      <c r="AI593" s="212"/>
      <c r="AJ593" s="212"/>
      <c r="AK593" s="212"/>
      <c r="AL593" s="212"/>
      <c r="AM593" s="212"/>
      <c r="AN593" s="212"/>
      <c r="AO593" s="212"/>
      <c r="AP593" s="212"/>
      <c r="AQ593" s="212"/>
      <c r="AR593" s="212"/>
      <c r="AS593" s="212"/>
      <c r="AT593" s="212"/>
      <c r="AU593" s="212"/>
      <c r="AV593" s="212"/>
      <c r="AW593" s="212"/>
      <c r="AX593" s="212"/>
      <c r="AY593" s="212"/>
      <c r="AZ593" s="452"/>
      <c r="BA593" s="212"/>
      <c r="BB593" s="212"/>
      <c r="BC593" s="212"/>
      <c r="BD593" s="212"/>
      <c r="BE593" s="212"/>
      <c r="BF593" s="452"/>
    </row>
    <row r="594">
      <c r="A594" s="212"/>
      <c r="B594" s="447"/>
      <c r="C594" s="212"/>
      <c r="D594" s="212"/>
      <c r="E594" s="212"/>
      <c r="F594" s="212"/>
      <c r="G594" s="212"/>
      <c r="H594" s="212"/>
      <c r="I594" s="212"/>
      <c r="J594" s="212"/>
      <c r="K594" s="212"/>
      <c r="L594" s="212"/>
      <c r="M594" s="212"/>
      <c r="N594" s="212"/>
      <c r="O594" s="212"/>
      <c r="P594" s="212"/>
      <c r="Q594" s="212"/>
      <c r="R594" s="451"/>
      <c r="S594" s="451"/>
      <c r="T594" s="212"/>
      <c r="U594" s="451"/>
      <c r="V594" s="451"/>
      <c r="W594" s="451"/>
      <c r="X594" s="451"/>
      <c r="Y594" s="212"/>
      <c r="Z594" s="212"/>
      <c r="AA594" s="212"/>
      <c r="AB594" s="212"/>
      <c r="AC594" s="212"/>
      <c r="AD594" s="212"/>
      <c r="AE594" s="450"/>
      <c r="AF594" s="212"/>
      <c r="AG594" s="212"/>
      <c r="AH594" s="212"/>
      <c r="AI594" s="212"/>
      <c r="AJ594" s="212"/>
      <c r="AK594" s="212"/>
      <c r="AL594" s="212"/>
      <c r="AM594" s="212"/>
      <c r="AN594" s="212"/>
      <c r="AO594" s="212"/>
      <c r="AP594" s="212"/>
      <c r="AQ594" s="212"/>
      <c r="AR594" s="212"/>
      <c r="AS594" s="212"/>
      <c r="AT594" s="212"/>
      <c r="AU594" s="212"/>
      <c r="AV594" s="212"/>
      <c r="AW594" s="212"/>
      <c r="AX594" s="212"/>
      <c r="AY594" s="212"/>
      <c r="AZ594" s="452"/>
      <c r="BA594" s="212"/>
      <c r="BB594" s="212"/>
      <c r="BC594" s="212"/>
      <c r="BD594" s="212"/>
      <c r="BE594" s="212"/>
      <c r="BF594" s="452"/>
    </row>
    <row r="595">
      <c r="A595" s="212"/>
      <c r="B595" s="447"/>
      <c r="C595" s="212"/>
      <c r="D595" s="212"/>
      <c r="E595" s="212"/>
      <c r="F595" s="212"/>
      <c r="G595" s="212"/>
      <c r="H595" s="212"/>
      <c r="I595" s="212"/>
      <c r="J595" s="212"/>
      <c r="K595" s="212"/>
      <c r="L595" s="212"/>
      <c r="M595" s="212"/>
      <c r="N595" s="212"/>
      <c r="O595" s="212"/>
      <c r="P595" s="212"/>
      <c r="Q595" s="212"/>
      <c r="R595" s="451"/>
      <c r="S595" s="451"/>
      <c r="T595" s="212"/>
      <c r="U595" s="451"/>
      <c r="V595" s="451"/>
      <c r="W595" s="451"/>
      <c r="X595" s="451"/>
      <c r="Y595" s="212"/>
      <c r="Z595" s="212"/>
      <c r="AA595" s="212"/>
      <c r="AB595" s="212"/>
      <c r="AC595" s="212"/>
      <c r="AD595" s="212"/>
      <c r="AE595" s="450"/>
      <c r="AF595" s="212"/>
      <c r="AG595" s="212"/>
      <c r="AH595" s="212"/>
      <c r="AI595" s="212"/>
      <c r="AJ595" s="212"/>
      <c r="AK595" s="212"/>
      <c r="AL595" s="212"/>
      <c r="AM595" s="212"/>
      <c r="AN595" s="212"/>
      <c r="AO595" s="212"/>
      <c r="AP595" s="212"/>
      <c r="AQ595" s="212"/>
      <c r="AR595" s="212"/>
      <c r="AS595" s="212"/>
      <c r="AT595" s="212"/>
      <c r="AU595" s="212"/>
      <c r="AV595" s="212"/>
      <c r="AW595" s="212"/>
      <c r="AX595" s="212"/>
      <c r="AY595" s="212"/>
      <c r="AZ595" s="452"/>
      <c r="BA595" s="212"/>
      <c r="BB595" s="212"/>
      <c r="BC595" s="212"/>
      <c r="BD595" s="212"/>
      <c r="BE595" s="212"/>
      <c r="BF595" s="452"/>
    </row>
    <row r="596">
      <c r="A596" s="212"/>
      <c r="B596" s="447"/>
      <c r="C596" s="212"/>
      <c r="D596" s="212"/>
      <c r="E596" s="212"/>
      <c r="F596" s="212"/>
      <c r="G596" s="212"/>
      <c r="H596" s="212"/>
      <c r="I596" s="212"/>
      <c r="J596" s="212"/>
      <c r="K596" s="212"/>
      <c r="L596" s="212"/>
      <c r="M596" s="212"/>
      <c r="N596" s="212"/>
      <c r="O596" s="212"/>
      <c r="P596" s="212"/>
      <c r="Q596" s="212"/>
      <c r="R596" s="451"/>
      <c r="S596" s="451"/>
      <c r="T596" s="212"/>
      <c r="U596" s="451"/>
      <c r="V596" s="451"/>
      <c r="W596" s="451"/>
      <c r="X596" s="451"/>
      <c r="Y596" s="212"/>
      <c r="Z596" s="212"/>
      <c r="AA596" s="212"/>
      <c r="AB596" s="212"/>
      <c r="AC596" s="212"/>
      <c r="AD596" s="212"/>
      <c r="AE596" s="450"/>
      <c r="AF596" s="212"/>
      <c r="AG596" s="212"/>
      <c r="AH596" s="212"/>
      <c r="AI596" s="212"/>
      <c r="AJ596" s="212"/>
      <c r="AK596" s="212"/>
      <c r="AL596" s="212"/>
      <c r="AM596" s="212"/>
      <c r="AN596" s="212"/>
      <c r="AO596" s="212"/>
      <c r="AP596" s="212"/>
      <c r="AQ596" s="212"/>
      <c r="AR596" s="212"/>
      <c r="AS596" s="212"/>
      <c r="AT596" s="212"/>
      <c r="AU596" s="212"/>
      <c r="AV596" s="212"/>
      <c r="AW596" s="212"/>
      <c r="AX596" s="212"/>
      <c r="AY596" s="212"/>
      <c r="AZ596" s="452"/>
      <c r="BA596" s="212"/>
      <c r="BB596" s="212"/>
      <c r="BC596" s="212"/>
      <c r="BD596" s="212"/>
      <c r="BE596" s="212"/>
      <c r="BF596" s="452"/>
    </row>
    <row r="597">
      <c r="A597" s="212"/>
      <c r="B597" s="447"/>
      <c r="C597" s="212"/>
      <c r="D597" s="212"/>
      <c r="E597" s="212"/>
      <c r="F597" s="212"/>
      <c r="G597" s="212"/>
      <c r="H597" s="212"/>
      <c r="I597" s="212"/>
      <c r="J597" s="212"/>
      <c r="K597" s="212"/>
      <c r="L597" s="212"/>
      <c r="M597" s="212"/>
      <c r="N597" s="212"/>
      <c r="O597" s="212"/>
      <c r="P597" s="212"/>
      <c r="Q597" s="212"/>
      <c r="R597" s="451"/>
      <c r="S597" s="451"/>
      <c r="T597" s="212"/>
      <c r="U597" s="451"/>
      <c r="V597" s="451"/>
      <c r="W597" s="451"/>
      <c r="X597" s="451"/>
      <c r="Y597" s="212"/>
      <c r="Z597" s="212"/>
      <c r="AA597" s="212"/>
      <c r="AB597" s="212"/>
      <c r="AC597" s="212"/>
      <c r="AD597" s="212"/>
      <c r="AE597" s="450"/>
      <c r="AF597" s="212"/>
      <c r="AG597" s="212"/>
      <c r="AH597" s="212"/>
      <c r="AI597" s="212"/>
      <c r="AJ597" s="212"/>
      <c r="AK597" s="212"/>
      <c r="AL597" s="212"/>
      <c r="AM597" s="212"/>
      <c r="AN597" s="212"/>
      <c r="AO597" s="212"/>
      <c r="AP597" s="212"/>
      <c r="AQ597" s="212"/>
      <c r="AR597" s="212"/>
      <c r="AS597" s="212"/>
      <c r="AT597" s="212"/>
      <c r="AU597" s="212"/>
      <c r="AV597" s="212"/>
      <c r="AW597" s="212"/>
      <c r="AX597" s="212"/>
      <c r="AY597" s="212"/>
      <c r="AZ597" s="452"/>
      <c r="BA597" s="212"/>
      <c r="BB597" s="212"/>
      <c r="BC597" s="212"/>
      <c r="BD597" s="212"/>
      <c r="BE597" s="212"/>
      <c r="BF597" s="452"/>
    </row>
    <row r="598">
      <c r="A598" s="212"/>
      <c r="B598" s="447"/>
      <c r="C598" s="212"/>
      <c r="D598" s="212"/>
      <c r="E598" s="212"/>
      <c r="F598" s="212"/>
      <c r="G598" s="212"/>
      <c r="H598" s="212"/>
      <c r="I598" s="212"/>
      <c r="J598" s="212"/>
      <c r="K598" s="212"/>
      <c r="L598" s="212"/>
      <c r="M598" s="212"/>
      <c r="N598" s="212"/>
      <c r="O598" s="212"/>
      <c r="P598" s="212"/>
      <c r="Q598" s="212"/>
      <c r="R598" s="451"/>
      <c r="S598" s="451"/>
      <c r="T598" s="212"/>
      <c r="U598" s="451"/>
      <c r="V598" s="451"/>
      <c r="W598" s="451"/>
      <c r="X598" s="451"/>
      <c r="Y598" s="212"/>
      <c r="Z598" s="212"/>
      <c r="AA598" s="212"/>
      <c r="AB598" s="212"/>
      <c r="AC598" s="212"/>
      <c r="AD598" s="212"/>
      <c r="AE598" s="450"/>
      <c r="AF598" s="212"/>
      <c r="AG598" s="212"/>
      <c r="AH598" s="212"/>
      <c r="AI598" s="212"/>
      <c r="AJ598" s="212"/>
      <c r="AK598" s="212"/>
      <c r="AL598" s="212"/>
      <c r="AM598" s="212"/>
      <c r="AN598" s="212"/>
      <c r="AO598" s="212"/>
      <c r="AP598" s="212"/>
      <c r="AQ598" s="212"/>
      <c r="AR598" s="212"/>
      <c r="AS598" s="212"/>
      <c r="AT598" s="212"/>
      <c r="AU598" s="212"/>
      <c r="AV598" s="212"/>
      <c r="AW598" s="212"/>
      <c r="AX598" s="212"/>
      <c r="AY598" s="212"/>
      <c r="AZ598" s="452"/>
      <c r="BA598" s="212"/>
      <c r="BB598" s="212"/>
      <c r="BC598" s="212"/>
      <c r="BD598" s="212"/>
      <c r="BE598" s="212"/>
      <c r="BF598" s="452"/>
    </row>
    <row r="599">
      <c r="A599" s="212"/>
      <c r="B599" s="447"/>
      <c r="C599" s="212"/>
      <c r="D599" s="212"/>
      <c r="E599" s="212"/>
      <c r="F599" s="212"/>
      <c r="G599" s="212"/>
      <c r="H599" s="212"/>
      <c r="I599" s="212"/>
      <c r="J599" s="212"/>
      <c r="K599" s="212"/>
      <c r="L599" s="212"/>
      <c r="M599" s="212"/>
      <c r="N599" s="212"/>
      <c r="O599" s="212"/>
      <c r="P599" s="212"/>
      <c r="Q599" s="212"/>
      <c r="R599" s="451"/>
      <c r="S599" s="451"/>
      <c r="T599" s="212"/>
      <c r="U599" s="451"/>
      <c r="V599" s="451"/>
      <c r="W599" s="451"/>
      <c r="X599" s="451"/>
      <c r="Y599" s="212"/>
      <c r="Z599" s="212"/>
      <c r="AA599" s="212"/>
      <c r="AB599" s="212"/>
      <c r="AC599" s="212"/>
      <c r="AD599" s="212"/>
      <c r="AE599" s="450"/>
      <c r="AF599" s="212"/>
      <c r="AG599" s="212"/>
      <c r="AH599" s="212"/>
      <c r="AI599" s="212"/>
      <c r="AJ599" s="212"/>
      <c r="AK599" s="212"/>
      <c r="AL599" s="212"/>
      <c r="AM599" s="212"/>
      <c r="AN599" s="212"/>
      <c r="AO599" s="212"/>
      <c r="AP599" s="212"/>
      <c r="AQ599" s="212"/>
      <c r="AR599" s="212"/>
      <c r="AS599" s="212"/>
      <c r="AT599" s="212"/>
      <c r="AU599" s="212"/>
      <c r="AV599" s="212"/>
      <c r="AW599" s="212"/>
      <c r="AX599" s="212"/>
      <c r="AY599" s="212"/>
      <c r="AZ599" s="452"/>
      <c r="BA599" s="212"/>
      <c r="BB599" s="212"/>
      <c r="BC599" s="212"/>
      <c r="BD599" s="212"/>
      <c r="BE599" s="212"/>
      <c r="BF599" s="452"/>
    </row>
    <row r="600">
      <c r="A600" s="212"/>
      <c r="B600" s="447"/>
      <c r="C600" s="212"/>
      <c r="D600" s="212"/>
      <c r="E600" s="212"/>
      <c r="F600" s="212"/>
      <c r="G600" s="212"/>
      <c r="H600" s="212"/>
      <c r="I600" s="212"/>
      <c r="J600" s="212"/>
      <c r="K600" s="212"/>
      <c r="L600" s="212"/>
      <c r="M600" s="212"/>
      <c r="N600" s="212"/>
      <c r="O600" s="212"/>
      <c r="P600" s="212"/>
      <c r="Q600" s="212"/>
      <c r="R600" s="451"/>
      <c r="S600" s="451"/>
      <c r="T600" s="212"/>
      <c r="U600" s="451"/>
      <c r="V600" s="451"/>
      <c r="W600" s="451"/>
      <c r="X600" s="451"/>
      <c r="Y600" s="212"/>
      <c r="Z600" s="212"/>
      <c r="AA600" s="212"/>
      <c r="AB600" s="212"/>
      <c r="AC600" s="212"/>
      <c r="AD600" s="212"/>
      <c r="AE600" s="450"/>
      <c r="AF600" s="212"/>
      <c r="AG600" s="212"/>
      <c r="AH600" s="212"/>
      <c r="AI600" s="212"/>
      <c r="AJ600" s="212"/>
      <c r="AK600" s="212"/>
      <c r="AL600" s="212"/>
      <c r="AM600" s="212"/>
      <c r="AN600" s="212"/>
      <c r="AO600" s="212"/>
      <c r="AP600" s="212"/>
      <c r="AQ600" s="212"/>
      <c r="AR600" s="212"/>
      <c r="AS600" s="212"/>
      <c r="AT600" s="212"/>
      <c r="AU600" s="212"/>
      <c r="AV600" s="212"/>
      <c r="AW600" s="212"/>
      <c r="AX600" s="212"/>
      <c r="AY600" s="212"/>
      <c r="AZ600" s="452"/>
      <c r="BA600" s="212"/>
      <c r="BB600" s="212"/>
      <c r="BC600" s="212"/>
      <c r="BD600" s="212"/>
      <c r="BE600" s="212"/>
      <c r="BF600" s="452"/>
    </row>
    <row r="601">
      <c r="A601" s="212"/>
      <c r="B601" s="447"/>
      <c r="C601" s="212"/>
      <c r="D601" s="212"/>
      <c r="E601" s="212"/>
      <c r="F601" s="212"/>
      <c r="G601" s="212"/>
      <c r="H601" s="212"/>
      <c r="I601" s="212"/>
      <c r="J601" s="212"/>
      <c r="K601" s="212"/>
      <c r="L601" s="212"/>
      <c r="M601" s="212"/>
      <c r="N601" s="212"/>
      <c r="O601" s="212"/>
      <c r="P601" s="212"/>
      <c r="Q601" s="212"/>
      <c r="R601" s="451"/>
      <c r="S601" s="451"/>
      <c r="T601" s="212"/>
      <c r="U601" s="451"/>
      <c r="V601" s="451"/>
      <c r="W601" s="451"/>
      <c r="X601" s="451"/>
      <c r="Y601" s="212"/>
      <c r="Z601" s="212"/>
      <c r="AA601" s="212"/>
      <c r="AB601" s="212"/>
      <c r="AC601" s="212"/>
      <c r="AD601" s="212"/>
      <c r="AE601" s="450"/>
      <c r="AF601" s="212"/>
      <c r="AG601" s="212"/>
      <c r="AH601" s="212"/>
      <c r="AI601" s="212"/>
      <c r="AJ601" s="212"/>
      <c r="AK601" s="212"/>
      <c r="AL601" s="212"/>
      <c r="AM601" s="212"/>
      <c r="AN601" s="212"/>
      <c r="AO601" s="212"/>
      <c r="AP601" s="212"/>
      <c r="AQ601" s="212"/>
      <c r="AR601" s="212"/>
      <c r="AS601" s="212"/>
      <c r="AT601" s="212"/>
      <c r="AU601" s="212"/>
      <c r="AV601" s="212"/>
      <c r="AW601" s="212"/>
      <c r="AX601" s="212"/>
      <c r="AY601" s="212"/>
      <c r="AZ601" s="452"/>
      <c r="BA601" s="212"/>
      <c r="BB601" s="212"/>
      <c r="BC601" s="212"/>
      <c r="BD601" s="212"/>
      <c r="BE601" s="212"/>
      <c r="BF601" s="452"/>
    </row>
    <row r="602">
      <c r="A602" s="212"/>
      <c r="B602" s="447"/>
      <c r="C602" s="212"/>
      <c r="D602" s="212"/>
      <c r="E602" s="212"/>
      <c r="F602" s="212"/>
      <c r="G602" s="212"/>
      <c r="H602" s="212"/>
      <c r="I602" s="212"/>
      <c r="J602" s="212"/>
      <c r="K602" s="212"/>
      <c r="L602" s="212"/>
      <c r="M602" s="212"/>
      <c r="N602" s="212"/>
      <c r="O602" s="212"/>
      <c r="P602" s="212"/>
      <c r="Q602" s="212"/>
      <c r="R602" s="451"/>
      <c r="S602" s="451"/>
      <c r="T602" s="212"/>
      <c r="U602" s="451"/>
      <c r="V602" s="451"/>
      <c r="W602" s="451"/>
      <c r="X602" s="451"/>
      <c r="Y602" s="212"/>
      <c r="Z602" s="212"/>
      <c r="AA602" s="212"/>
      <c r="AB602" s="212"/>
      <c r="AC602" s="212"/>
      <c r="AD602" s="212"/>
      <c r="AE602" s="450"/>
      <c r="AF602" s="212"/>
      <c r="AG602" s="212"/>
      <c r="AH602" s="212"/>
      <c r="AI602" s="212"/>
      <c r="AJ602" s="212"/>
      <c r="AK602" s="212"/>
      <c r="AL602" s="212"/>
      <c r="AM602" s="212"/>
      <c r="AN602" s="212"/>
      <c r="AO602" s="212"/>
      <c r="AP602" s="212"/>
      <c r="AQ602" s="212"/>
      <c r="AR602" s="212"/>
      <c r="AS602" s="212"/>
      <c r="AT602" s="212"/>
      <c r="AU602" s="212"/>
      <c r="AV602" s="212"/>
      <c r="AW602" s="212"/>
      <c r="AX602" s="212"/>
      <c r="AY602" s="212"/>
      <c r="AZ602" s="452"/>
      <c r="BA602" s="212"/>
      <c r="BB602" s="212"/>
      <c r="BC602" s="212"/>
      <c r="BD602" s="212"/>
      <c r="BE602" s="212"/>
      <c r="BF602" s="452"/>
    </row>
    <row r="603">
      <c r="A603" s="212"/>
      <c r="B603" s="447"/>
      <c r="C603" s="212"/>
      <c r="D603" s="212"/>
      <c r="E603" s="212"/>
      <c r="F603" s="212"/>
      <c r="G603" s="212"/>
      <c r="H603" s="212"/>
      <c r="I603" s="212"/>
      <c r="J603" s="212"/>
      <c r="K603" s="212"/>
      <c r="L603" s="212"/>
      <c r="M603" s="212"/>
      <c r="N603" s="212"/>
      <c r="O603" s="212"/>
      <c r="P603" s="212"/>
      <c r="Q603" s="212"/>
      <c r="R603" s="451"/>
      <c r="S603" s="451"/>
      <c r="T603" s="212"/>
      <c r="U603" s="451"/>
      <c r="V603" s="451"/>
      <c r="W603" s="451"/>
      <c r="X603" s="451"/>
      <c r="Y603" s="212"/>
      <c r="Z603" s="212"/>
      <c r="AA603" s="212"/>
      <c r="AB603" s="212"/>
      <c r="AC603" s="212"/>
      <c r="AD603" s="212"/>
      <c r="AE603" s="450"/>
      <c r="AF603" s="212"/>
      <c r="AG603" s="212"/>
      <c r="AH603" s="212"/>
      <c r="AI603" s="212"/>
      <c r="AJ603" s="212"/>
      <c r="AK603" s="212"/>
      <c r="AL603" s="212"/>
      <c r="AM603" s="212"/>
      <c r="AN603" s="212"/>
      <c r="AO603" s="212"/>
      <c r="AP603" s="212"/>
      <c r="AQ603" s="212"/>
      <c r="AR603" s="212"/>
      <c r="AS603" s="212"/>
      <c r="AT603" s="212"/>
      <c r="AU603" s="212"/>
      <c r="AV603" s="212"/>
      <c r="AW603" s="212"/>
      <c r="AX603" s="212"/>
      <c r="AY603" s="212"/>
      <c r="AZ603" s="452"/>
      <c r="BA603" s="212"/>
      <c r="BB603" s="212"/>
      <c r="BC603" s="212"/>
      <c r="BD603" s="212"/>
      <c r="BE603" s="212"/>
      <c r="BF603" s="452"/>
    </row>
    <row r="604">
      <c r="A604" s="212"/>
      <c r="B604" s="447"/>
      <c r="C604" s="212"/>
      <c r="D604" s="212"/>
      <c r="E604" s="212"/>
      <c r="F604" s="212"/>
      <c r="G604" s="212"/>
      <c r="H604" s="212"/>
      <c r="I604" s="212"/>
      <c r="J604" s="212"/>
      <c r="K604" s="212"/>
      <c r="L604" s="212"/>
      <c r="M604" s="212"/>
      <c r="N604" s="212"/>
      <c r="O604" s="212"/>
      <c r="P604" s="212"/>
      <c r="Q604" s="212"/>
      <c r="R604" s="451"/>
      <c r="S604" s="451"/>
      <c r="T604" s="212"/>
      <c r="U604" s="451"/>
      <c r="V604" s="451"/>
      <c r="W604" s="451"/>
      <c r="X604" s="451"/>
      <c r="Y604" s="212"/>
      <c r="Z604" s="212"/>
      <c r="AA604" s="212"/>
      <c r="AB604" s="212"/>
      <c r="AC604" s="212"/>
      <c r="AD604" s="212"/>
      <c r="AE604" s="450"/>
      <c r="AF604" s="212"/>
      <c r="AG604" s="212"/>
      <c r="AH604" s="212"/>
      <c r="AI604" s="212"/>
      <c r="AJ604" s="212"/>
      <c r="AK604" s="212"/>
      <c r="AL604" s="212"/>
      <c r="AM604" s="212"/>
      <c r="AN604" s="212"/>
      <c r="AO604" s="212"/>
      <c r="AP604" s="212"/>
      <c r="AQ604" s="212"/>
      <c r="AR604" s="212"/>
      <c r="AS604" s="212"/>
      <c r="AT604" s="212"/>
      <c r="AU604" s="212"/>
      <c r="AV604" s="212"/>
      <c r="AW604" s="212"/>
      <c r="AX604" s="212"/>
      <c r="AY604" s="212"/>
      <c r="AZ604" s="452"/>
      <c r="BA604" s="212"/>
      <c r="BB604" s="212"/>
      <c r="BC604" s="212"/>
      <c r="BD604" s="212"/>
      <c r="BE604" s="212"/>
      <c r="BF604" s="452"/>
    </row>
    <row r="605">
      <c r="A605" s="212"/>
      <c r="B605" s="447"/>
      <c r="C605" s="212"/>
      <c r="D605" s="212"/>
      <c r="E605" s="212"/>
      <c r="F605" s="212"/>
      <c r="G605" s="212"/>
      <c r="H605" s="212"/>
      <c r="I605" s="212"/>
      <c r="J605" s="212"/>
      <c r="K605" s="212"/>
      <c r="L605" s="212"/>
      <c r="M605" s="212"/>
      <c r="N605" s="212"/>
      <c r="O605" s="212"/>
      <c r="P605" s="212"/>
      <c r="Q605" s="212"/>
      <c r="R605" s="451"/>
      <c r="S605" s="451"/>
      <c r="T605" s="212"/>
      <c r="U605" s="451"/>
      <c r="V605" s="451"/>
      <c r="W605" s="451"/>
      <c r="X605" s="451"/>
      <c r="Y605" s="212"/>
      <c r="Z605" s="212"/>
      <c r="AA605" s="212"/>
      <c r="AB605" s="212"/>
      <c r="AC605" s="212"/>
      <c r="AD605" s="212"/>
      <c r="AE605" s="450"/>
      <c r="AF605" s="212"/>
      <c r="AG605" s="212"/>
      <c r="AH605" s="212"/>
      <c r="AI605" s="212"/>
      <c r="AJ605" s="212"/>
      <c r="AK605" s="212"/>
      <c r="AL605" s="212"/>
      <c r="AM605" s="212"/>
      <c r="AN605" s="212"/>
      <c r="AO605" s="212"/>
      <c r="AP605" s="212"/>
      <c r="AQ605" s="212"/>
      <c r="AR605" s="212"/>
      <c r="AS605" s="212"/>
      <c r="AT605" s="212"/>
      <c r="AU605" s="212"/>
      <c r="AV605" s="212"/>
      <c r="AW605" s="212"/>
      <c r="AX605" s="212"/>
      <c r="AY605" s="212"/>
      <c r="AZ605" s="452"/>
      <c r="BA605" s="212"/>
      <c r="BB605" s="212"/>
      <c r="BC605" s="212"/>
      <c r="BD605" s="212"/>
      <c r="BE605" s="212"/>
      <c r="BF605" s="452"/>
    </row>
    <row r="606">
      <c r="A606" s="212"/>
      <c r="B606" s="447"/>
      <c r="C606" s="212"/>
      <c r="D606" s="212"/>
      <c r="E606" s="212"/>
      <c r="F606" s="212"/>
      <c r="G606" s="212"/>
      <c r="H606" s="212"/>
      <c r="I606" s="212"/>
      <c r="J606" s="212"/>
      <c r="K606" s="212"/>
      <c r="L606" s="212"/>
      <c r="M606" s="212"/>
      <c r="N606" s="212"/>
      <c r="O606" s="212"/>
      <c r="P606" s="212"/>
      <c r="Q606" s="212"/>
      <c r="R606" s="451"/>
      <c r="S606" s="451"/>
      <c r="T606" s="212"/>
      <c r="U606" s="451"/>
      <c r="V606" s="451"/>
      <c r="W606" s="451"/>
      <c r="X606" s="451"/>
      <c r="Y606" s="212"/>
      <c r="Z606" s="212"/>
      <c r="AA606" s="212"/>
      <c r="AB606" s="212"/>
      <c r="AC606" s="212"/>
      <c r="AD606" s="212"/>
      <c r="AE606" s="450"/>
      <c r="AF606" s="212"/>
      <c r="AG606" s="212"/>
      <c r="AH606" s="212"/>
      <c r="AI606" s="212"/>
      <c r="AJ606" s="212"/>
      <c r="AK606" s="212"/>
      <c r="AL606" s="212"/>
      <c r="AM606" s="212"/>
      <c r="AN606" s="212"/>
      <c r="AO606" s="212"/>
      <c r="AP606" s="212"/>
      <c r="AQ606" s="212"/>
      <c r="AR606" s="212"/>
      <c r="AS606" s="212"/>
      <c r="AT606" s="212"/>
      <c r="AU606" s="212"/>
      <c r="AV606" s="212"/>
      <c r="AW606" s="212"/>
      <c r="AX606" s="212"/>
      <c r="AY606" s="212"/>
      <c r="AZ606" s="452"/>
      <c r="BA606" s="212"/>
      <c r="BB606" s="212"/>
      <c r="BC606" s="212"/>
      <c r="BD606" s="212"/>
      <c r="BE606" s="212"/>
      <c r="BF606" s="452"/>
    </row>
    <row r="607">
      <c r="A607" s="212"/>
      <c r="B607" s="447"/>
      <c r="C607" s="212"/>
      <c r="D607" s="212"/>
      <c r="E607" s="212"/>
      <c r="F607" s="212"/>
      <c r="G607" s="212"/>
      <c r="H607" s="212"/>
      <c r="I607" s="212"/>
      <c r="J607" s="212"/>
      <c r="K607" s="212"/>
      <c r="L607" s="212"/>
      <c r="M607" s="212"/>
      <c r="N607" s="212"/>
      <c r="O607" s="212"/>
      <c r="P607" s="212"/>
      <c r="Q607" s="212"/>
      <c r="R607" s="451"/>
      <c r="S607" s="451"/>
      <c r="T607" s="212"/>
      <c r="U607" s="451"/>
      <c r="V607" s="451"/>
      <c r="W607" s="451"/>
      <c r="X607" s="451"/>
      <c r="Y607" s="212"/>
      <c r="Z607" s="212"/>
      <c r="AA607" s="212"/>
      <c r="AB607" s="212"/>
      <c r="AC607" s="212"/>
      <c r="AD607" s="212"/>
      <c r="AE607" s="450"/>
      <c r="AF607" s="212"/>
      <c r="AG607" s="212"/>
      <c r="AH607" s="212"/>
      <c r="AI607" s="212"/>
      <c r="AJ607" s="212"/>
      <c r="AK607" s="212"/>
      <c r="AL607" s="212"/>
      <c r="AM607" s="212"/>
      <c r="AN607" s="212"/>
      <c r="AO607" s="212"/>
      <c r="AP607" s="212"/>
      <c r="AQ607" s="212"/>
      <c r="AR607" s="212"/>
      <c r="AS607" s="212"/>
      <c r="AT607" s="212"/>
      <c r="AU607" s="212"/>
      <c r="AV607" s="212"/>
      <c r="AW607" s="212"/>
      <c r="AX607" s="212"/>
      <c r="AY607" s="212"/>
      <c r="AZ607" s="452"/>
      <c r="BA607" s="212"/>
      <c r="BB607" s="212"/>
      <c r="BC607" s="212"/>
      <c r="BD607" s="212"/>
      <c r="BE607" s="212"/>
      <c r="BF607" s="452"/>
    </row>
    <row r="608">
      <c r="A608" s="212"/>
      <c r="B608" s="447"/>
      <c r="C608" s="212"/>
      <c r="D608" s="212"/>
      <c r="E608" s="212"/>
      <c r="F608" s="212"/>
      <c r="G608" s="212"/>
      <c r="H608" s="212"/>
      <c r="I608" s="212"/>
      <c r="J608" s="212"/>
      <c r="K608" s="212"/>
      <c r="L608" s="212"/>
      <c r="M608" s="212"/>
      <c r="N608" s="212"/>
      <c r="O608" s="212"/>
      <c r="P608" s="212"/>
      <c r="Q608" s="212"/>
      <c r="R608" s="451"/>
      <c r="S608" s="451"/>
      <c r="T608" s="212"/>
      <c r="U608" s="451"/>
      <c r="V608" s="451"/>
      <c r="W608" s="451"/>
      <c r="X608" s="451"/>
      <c r="Y608" s="212"/>
      <c r="Z608" s="212"/>
      <c r="AA608" s="212"/>
      <c r="AB608" s="212"/>
      <c r="AC608" s="212"/>
      <c r="AD608" s="212"/>
      <c r="AE608" s="450"/>
      <c r="AF608" s="212"/>
      <c r="AG608" s="212"/>
      <c r="AH608" s="212"/>
      <c r="AI608" s="212"/>
      <c r="AJ608" s="212"/>
      <c r="AK608" s="212"/>
      <c r="AL608" s="212"/>
      <c r="AM608" s="212"/>
      <c r="AN608" s="212"/>
      <c r="AO608" s="212"/>
      <c r="AP608" s="212"/>
      <c r="AQ608" s="212"/>
      <c r="AR608" s="212"/>
      <c r="AS608" s="212"/>
      <c r="AT608" s="212"/>
      <c r="AU608" s="212"/>
      <c r="AV608" s="212"/>
      <c r="AW608" s="212"/>
      <c r="AX608" s="212"/>
      <c r="AY608" s="212"/>
      <c r="AZ608" s="452"/>
      <c r="BA608" s="212"/>
      <c r="BB608" s="212"/>
      <c r="BC608" s="212"/>
      <c r="BD608" s="212"/>
      <c r="BE608" s="212"/>
      <c r="BF608" s="452"/>
    </row>
    <row r="609">
      <c r="A609" s="212"/>
      <c r="B609" s="447"/>
      <c r="C609" s="212"/>
      <c r="D609" s="212"/>
      <c r="E609" s="212"/>
      <c r="F609" s="212"/>
      <c r="G609" s="212"/>
      <c r="H609" s="212"/>
      <c r="I609" s="212"/>
      <c r="J609" s="212"/>
      <c r="K609" s="212"/>
      <c r="L609" s="212"/>
      <c r="M609" s="212"/>
      <c r="N609" s="212"/>
      <c r="O609" s="212"/>
      <c r="P609" s="212"/>
      <c r="Q609" s="212"/>
      <c r="R609" s="451"/>
      <c r="S609" s="451"/>
      <c r="T609" s="212"/>
      <c r="U609" s="451"/>
      <c r="V609" s="451"/>
      <c r="W609" s="451"/>
      <c r="X609" s="451"/>
      <c r="Y609" s="212"/>
      <c r="Z609" s="212"/>
      <c r="AA609" s="212"/>
      <c r="AB609" s="212"/>
      <c r="AC609" s="212"/>
      <c r="AD609" s="212"/>
      <c r="AE609" s="450"/>
      <c r="AF609" s="212"/>
      <c r="AG609" s="212"/>
      <c r="AH609" s="212"/>
      <c r="AI609" s="212"/>
      <c r="AJ609" s="212"/>
      <c r="AK609" s="212"/>
      <c r="AL609" s="212"/>
      <c r="AM609" s="212"/>
      <c r="AN609" s="212"/>
      <c r="AO609" s="212"/>
      <c r="AP609" s="212"/>
      <c r="AQ609" s="212"/>
      <c r="AR609" s="212"/>
      <c r="AS609" s="212"/>
      <c r="AT609" s="212"/>
      <c r="AU609" s="212"/>
      <c r="AV609" s="212"/>
      <c r="AW609" s="212"/>
      <c r="AX609" s="212"/>
      <c r="AY609" s="212"/>
      <c r="AZ609" s="452"/>
      <c r="BA609" s="212"/>
      <c r="BB609" s="212"/>
      <c r="BC609" s="212"/>
      <c r="BD609" s="212"/>
      <c r="BE609" s="212"/>
      <c r="BF609" s="452"/>
    </row>
    <row r="610">
      <c r="A610" s="212"/>
      <c r="B610" s="447"/>
      <c r="C610" s="212"/>
      <c r="D610" s="212"/>
      <c r="E610" s="212"/>
      <c r="F610" s="212"/>
      <c r="G610" s="212"/>
      <c r="H610" s="212"/>
      <c r="I610" s="212"/>
      <c r="J610" s="212"/>
      <c r="K610" s="212"/>
      <c r="L610" s="212"/>
      <c r="M610" s="212"/>
      <c r="N610" s="212"/>
      <c r="O610" s="212"/>
      <c r="P610" s="212"/>
      <c r="Q610" s="212"/>
      <c r="R610" s="451"/>
      <c r="S610" s="451"/>
      <c r="T610" s="212"/>
      <c r="U610" s="451"/>
      <c r="V610" s="451"/>
      <c r="W610" s="451"/>
      <c r="X610" s="451"/>
      <c r="Y610" s="212"/>
      <c r="Z610" s="212"/>
      <c r="AA610" s="212"/>
      <c r="AB610" s="212"/>
      <c r="AC610" s="212"/>
      <c r="AD610" s="212"/>
      <c r="AE610" s="450"/>
      <c r="AF610" s="212"/>
      <c r="AG610" s="212"/>
      <c r="AH610" s="212"/>
      <c r="AI610" s="212"/>
      <c r="AJ610" s="212"/>
      <c r="AK610" s="212"/>
      <c r="AL610" s="212"/>
      <c r="AM610" s="212"/>
      <c r="AN610" s="212"/>
      <c r="AO610" s="212"/>
      <c r="AP610" s="212"/>
      <c r="AQ610" s="212"/>
      <c r="AR610" s="212"/>
      <c r="AS610" s="212"/>
      <c r="AT610" s="212"/>
      <c r="AU610" s="212"/>
      <c r="AV610" s="212"/>
      <c r="AW610" s="212"/>
      <c r="AX610" s="212"/>
      <c r="AY610" s="212"/>
      <c r="AZ610" s="452"/>
      <c r="BA610" s="212"/>
      <c r="BB610" s="212"/>
      <c r="BC610" s="212"/>
      <c r="BD610" s="212"/>
      <c r="BE610" s="212"/>
      <c r="BF610" s="452"/>
    </row>
    <row r="611">
      <c r="A611" s="212"/>
      <c r="B611" s="447"/>
      <c r="C611" s="212"/>
      <c r="D611" s="212"/>
      <c r="E611" s="212"/>
      <c r="F611" s="212"/>
      <c r="G611" s="212"/>
      <c r="H611" s="212"/>
      <c r="I611" s="212"/>
      <c r="J611" s="212"/>
      <c r="K611" s="212"/>
      <c r="L611" s="212"/>
      <c r="M611" s="212"/>
      <c r="N611" s="212"/>
      <c r="O611" s="212"/>
      <c r="P611" s="212"/>
      <c r="Q611" s="212"/>
      <c r="R611" s="451"/>
      <c r="S611" s="451"/>
      <c r="T611" s="212"/>
      <c r="U611" s="451"/>
      <c r="V611" s="451"/>
      <c r="W611" s="451"/>
      <c r="X611" s="451"/>
      <c r="Y611" s="212"/>
      <c r="Z611" s="212"/>
      <c r="AA611" s="212"/>
      <c r="AB611" s="212"/>
      <c r="AC611" s="212"/>
      <c r="AD611" s="212"/>
      <c r="AE611" s="450"/>
      <c r="AF611" s="212"/>
      <c r="AG611" s="212"/>
      <c r="AH611" s="212"/>
      <c r="AI611" s="212"/>
      <c r="AJ611" s="212"/>
      <c r="AK611" s="212"/>
      <c r="AL611" s="212"/>
      <c r="AM611" s="212"/>
      <c r="AN611" s="212"/>
      <c r="AO611" s="212"/>
      <c r="AP611" s="212"/>
      <c r="AQ611" s="212"/>
      <c r="AR611" s="212"/>
      <c r="AS611" s="212"/>
      <c r="AT611" s="212"/>
      <c r="AU611" s="212"/>
      <c r="AV611" s="212"/>
      <c r="AW611" s="212"/>
      <c r="AX611" s="212"/>
      <c r="AY611" s="212"/>
      <c r="AZ611" s="452"/>
      <c r="BA611" s="212"/>
      <c r="BB611" s="212"/>
      <c r="BC611" s="212"/>
      <c r="BD611" s="212"/>
      <c r="BE611" s="212"/>
      <c r="BF611" s="452"/>
    </row>
    <row r="612">
      <c r="A612" s="212"/>
      <c r="B612" s="447"/>
      <c r="C612" s="212"/>
      <c r="D612" s="212"/>
      <c r="E612" s="212"/>
      <c r="F612" s="212"/>
      <c r="G612" s="212"/>
      <c r="H612" s="212"/>
      <c r="I612" s="212"/>
      <c r="J612" s="212"/>
      <c r="K612" s="212"/>
      <c r="L612" s="212"/>
      <c r="M612" s="212"/>
      <c r="N612" s="212"/>
      <c r="O612" s="212"/>
      <c r="P612" s="212"/>
      <c r="Q612" s="212"/>
      <c r="R612" s="451"/>
      <c r="S612" s="451"/>
      <c r="T612" s="212"/>
      <c r="U612" s="451"/>
      <c r="V612" s="451"/>
      <c r="W612" s="451"/>
      <c r="X612" s="451"/>
      <c r="Y612" s="212"/>
      <c r="Z612" s="212"/>
      <c r="AA612" s="212"/>
      <c r="AB612" s="212"/>
      <c r="AC612" s="212"/>
      <c r="AD612" s="212"/>
      <c r="AE612" s="450"/>
      <c r="AF612" s="212"/>
      <c r="AG612" s="212"/>
      <c r="AH612" s="212"/>
      <c r="AI612" s="212"/>
      <c r="AJ612" s="212"/>
      <c r="AK612" s="212"/>
      <c r="AL612" s="212"/>
      <c r="AM612" s="212"/>
      <c r="AN612" s="212"/>
      <c r="AO612" s="212"/>
      <c r="AP612" s="212"/>
      <c r="AQ612" s="212"/>
      <c r="AR612" s="212"/>
      <c r="AS612" s="212"/>
      <c r="AT612" s="212"/>
      <c r="AU612" s="212"/>
      <c r="AV612" s="212"/>
      <c r="AW612" s="212"/>
      <c r="AX612" s="212"/>
      <c r="AY612" s="212"/>
      <c r="AZ612" s="452"/>
      <c r="BA612" s="212"/>
      <c r="BB612" s="212"/>
      <c r="BC612" s="212"/>
      <c r="BD612" s="212"/>
      <c r="BE612" s="212"/>
      <c r="BF612" s="452"/>
    </row>
    <row r="613">
      <c r="A613" s="212"/>
      <c r="B613" s="447"/>
      <c r="C613" s="212"/>
      <c r="D613" s="212"/>
      <c r="E613" s="212"/>
      <c r="F613" s="212"/>
      <c r="G613" s="212"/>
      <c r="H613" s="212"/>
      <c r="I613" s="212"/>
      <c r="J613" s="212"/>
      <c r="K613" s="212"/>
      <c r="L613" s="212"/>
      <c r="M613" s="212"/>
      <c r="N613" s="212"/>
      <c r="O613" s="212"/>
      <c r="P613" s="212"/>
      <c r="Q613" s="212"/>
      <c r="R613" s="451"/>
      <c r="S613" s="451"/>
      <c r="T613" s="212"/>
      <c r="U613" s="451"/>
      <c r="V613" s="451"/>
      <c r="W613" s="451"/>
      <c r="X613" s="451"/>
      <c r="Y613" s="212"/>
      <c r="Z613" s="212"/>
      <c r="AA613" s="212"/>
      <c r="AB613" s="212"/>
      <c r="AC613" s="212"/>
      <c r="AD613" s="212"/>
      <c r="AE613" s="450"/>
      <c r="AF613" s="212"/>
      <c r="AG613" s="212"/>
      <c r="AH613" s="212"/>
      <c r="AI613" s="212"/>
      <c r="AJ613" s="212"/>
      <c r="AK613" s="212"/>
      <c r="AL613" s="212"/>
      <c r="AM613" s="212"/>
      <c r="AN613" s="212"/>
      <c r="AO613" s="212"/>
      <c r="AP613" s="212"/>
      <c r="AQ613" s="212"/>
      <c r="AR613" s="212"/>
      <c r="AS613" s="212"/>
      <c r="AT613" s="212"/>
      <c r="AU613" s="212"/>
      <c r="AV613" s="212"/>
      <c r="AW613" s="212"/>
      <c r="AX613" s="212"/>
      <c r="AY613" s="212"/>
      <c r="AZ613" s="452"/>
      <c r="BA613" s="212"/>
      <c r="BB613" s="212"/>
      <c r="BC613" s="212"/>
      <c r="BD613" s="212"/>
      <c r="BE613" s="212"/>
      <c r="BF613" s="452"/>
    </row>
    <row r="614">
      <c r="A614" s="212"/>
      <c r="B614" s="447"/>
      <c r="C614" s="212"/>
      <c r="D614" s="212"/>
      <c r="E614" s="212"/>
      <c r="F614" s="212"/>
      <c r="G614" s="212"/>
      <c r="H614" s="212"/>
      <c r="I614" s="212"/>
      <c r="J614" s="212"/>
      <c r="K614" s="212"/>
      <c r="L614" s="212"/>
      <c r="M614" s="212"/>
      <c r="N614" s="212"/>
      <c r="O614" s="212"/>
      <c r="P614" s="212"/>
      <c r="Q614" s="212"/>
      <c r="R614" s="451"/>
      <c r="S614" s="451"/>
      <c r="T614" s="212"/>
      <c r="U614" s="451"/>
      <c r="V614" s="451"/>
      <c r="W614" s="451"/>
      <c r="X614" s="451"/>
      <c r="Y614" s="212"/>
      <c r="Z614" s="212"/>
      <c r="AA614" s="212"/>
      <c r="AB614" s="212"/>
      <c r="AC614" s="212"/>
      <c r="AD614" s="212"/>
      <c r="AE614" s="450"/>
      <c r="AF614" s="212"/>
      <c r="AG614" s="212"/>
      <c r="AH614" s="212"/>
      <c r="AI614" s="212"/>
      <c r="AJ614" s="212"/>
      <c r="AK614" s="212"/>
      <c r="AL614" s="212"/>
      <c r="AM614" s="212"/>
      <c r="AN614" s="212"/>
      <c r="AO614" s="212"/>
      <c r="AP614" s="212"/>
      <c r="AQ614" s="212"/>
      <c r="AR614" s="212"/>
      <c r="AS614" s="212"/>
      <c r="AT614" s="212"/>
      <c r="AU614" s="212"/>
      <c r="AV614" s="212"/>
      <c r="AW614" s="212"/>
      <c r="AX614" s="212"/>
      <c r="AY614" s="212"/>
      <c r="AZ614" s="452"/>
      <c r="BA614" s="212"/>
      <c r="BB614" s="212"/>
      <c r="BC614" s="212"/>
      <c r="BD614" s="212"/>
      <c r="BE614" s="212"/>
      <c r="BF614" s="452"/>
    </row>
    <row r="615">
      <c r="A615" s="212"/>
      <c r="B615" s="447"/>
      <c r="C615" s="212"/>
      <c r="D615" s="212"/>
      <c r="E615" s="212"/>
      <c r="F615" s="212"/>
      <c r="G615" s="212"/>
      <c r="H615" s="212"/>
      <c r="I615" s="212"/>
      <c r="J615" s="212"/>
      <c r="K615" s="212"/>
      <c r="L615" s="212"/>
      <c r="M615" s="212"/>
      <c r="N615" s="212"/>
      <c r="O615" s="212"/>
      <c r="P615" s="212"/>
      <c r="Q615" s="212"/>
      <c r="R615" s="451"/>
      <c r="S615" s="451"/>
      <c r="T615" s="212"/>
      <c r="U615" s="451"/>
      <c r="V615" s="451"/>
      <c r="W615" s="451"/>
      <c r="X615" s="451"/>
      <c r="Y615" s="212"/>
      <c r="Z615" s="212"/>
      <c r="AA615" s="212"/>
      <c r="AB615" s="212"/>
      <c r="AC615" s="212"/>
      <c r="AD615" s="212"/>
      <c r="AE615" s="450"/>
      <c r="AF615" s="212"/>
      <c r="AG615" s="212"/>
      <c r="AH615" s="212"/>
      <c r="AI615" s="212"/>
      <c r="AJ615" s="212"/>
      <c r="AK615" s="212"/>
      <c r="AL615" s="212"/>
      <c r="AM615" s="212"/>
      <c r="AN615" s="212"/>
      <c r="AO615" s="212"/>
      <c r="AP615" s="212"/>
      <c r="AQ615" s="212"/>
      <c r="AR615" s="212"/>
      <c r="AS615" s="212"/>
      <c r="AT615" s="212"/>
      <c r="AU615" s="212"/>
      <c r="AV615" s="212"/>
      <c r="AW615" s="212"/>
      <c r="AX615" s="212"/>
      <c r="AY615" s="212"/>
      <c r="AZ615" s="452"/>
      <c r="BA615" s="212"/>
      <c r="BB615" s="212"/>
      <c r="BC615" s="212"/>
      <c r="BD615" s="212"/>
      <c r="BE615" s="212"/>
      <c r="BF615" s="452"/>
    </row>
    <row r="616">
      <c r="A616" s="212"/>
      <c r="B616" s="447"/>
      <c r="C616" s="212"/>
      <c r="D616" s="212"/>
      <c r="E616" s="212"/>
      <c r="F616" s="212"/>
      <c r="G616" s="212"/>
      <c r="H616" s="212"/>
      <c r="I616" s="212"/>
      <c r="J616" s="212"/>
      <c r="K616" s="212"/>
      <c r="L616" s="212"/>
      <c r="M616" s="212"/>
      <c r="N616" s="212"/>
      <c r="O616" s="212"/>
      <c r="P616" s="212"/>
      <c r="Q616" s="212"/>
      <c r="R616" s="451"/>
      <c r="S616" s="451"/>
      <c r="T616" s="212"/>
      <c r="U616" s="451"/>
      <c r="V616" s="451"/>
      <c r="W616" s="451"/>
      <c r="X616" s="451"/>
      <c r="Y616" s="212"/>
      <c r="Z616" s="212"/>
      <c r="AA616" s="212"/>
      <c r="AB616" s="212"/>
      <c r="AC616" s="212"/>
      <c r="AD616" s="212"/>
      <c r="AE616" s="450"/>
      <c r="AF616" s="212"/>
      <c r="AG616" s="212"/>
      <c r="AH616" s="212"/>
      <c r="AI616" s="212"/>
      <c r="AJ616" s="212"/>
      <c r="AK616" s="212"/>
      <c r="AL616" s="212"/>
      <c r="AM616" s="212"/>
      <c r="AN616" s="212"/>
      <c r="AO616" s="212"/>
      <c r="AP616" s="212"/>
      <c r="AQ616" s="212"/>
      <c r="AR616" s="212"/>
      <c r="AS616" s="212"/>
      <c r="AT616" s="212"/>
      <c r="AU616" s="212"/>
      <c r="AV616" s="212"/>
      <c r="AW616" s="212"/>
      <c r="AX616" s="212"/>
      <c r="AY616" s="212"/>
      <c r="AZ616" s="452"/>
      <c r="BA616" s="212"/>
      <c r="BB616" s="212"/>
      <c r="BC616" s="212"/>
      <c r="BD616" s="212"/>
      <c r="BE616" s="212"/>
      <c r="BF616" s="452"/>
    </row>
    <row r="617">
      <c r="A617" s="212"/>
      <c r="B617" s="447"/>
      <c r="C617" s="212"/>
      <c r="D617" s="212"/>
      <c r="E617" s="212"/>
      <c r="F617" s="212"/>
      <c r="G617" s="212"/>
      <c r="H617" s="212"/>
      <c r="I617" s="212"/>
      <c r="J617" s="212"/>
      <c r="K617" s="212"/>
      <c r="L617" s="212"/>
      <c r="M617" s="212"/>
      <c r="N617" s="212"/>
      <c r="O617" s="212"/>
      <c r="P617" s="212"/>
      <c r="Q617" s="212"/>
      <c r="R617" s="451"/>
      <c r="S617" s="451"/>
      <c r="T617" s="212"/>
      <c r="U617" s="451"/>
      <c r="V617" s="451"/>
      <c r="W617" s="451"/>
      <c r="X617" s="451"/>
      <c r="Y617" s="212"/>
      <c r="Z617" s="212"/>
      <c r="AA617" s="212"/>
      <c r="AB617" s="212"/>
      <c r="AC617" s="212"/>
      <c r="AD617" s="212"/>
      <c r="AE617" s="450"/>
      <c r="AF617" s="212"/>
      <c r="AG617" s="212"/>
      <c r="AH617" s="212"/>
      <c r="AI617" s="212"/>
      <c r="AJ617" s="212"/>
      <c r="AK617" s="212"/>
      <c r="AL617" s="212"/>
      <c r="AM617" s="212"/>
      <c r="AN617" s="212"/>
      <c r="AO617" s="212"/>
      <c r="AP617" s="212"/>
      <c r="AQ617" s="212"/>
      <c r="AR617" s="212"/>
      <c r="AS617" s="212"/>
      <c r="AT617" s="212"/>
      <c r="AU617" s="212"/>
      <c r="AV617" s="212"/>
      <c r="AW617" s="212"/>
      <c r="AX617" s="212"/>
      <c r="AY617" s="212"/>
      <c r="AZ617" s="452"/>
      <c r="BA617" s="212"/>
      <c r="BB617" s="212"/>
      <c r="BC617" s="212"/>
      <c r="BD617" s="212"/>
      <c r="BE617" s="212"/>
      <c r="BF617" s="452"/>
    </row>
    <row r="618">
      <c r="A618" s="212"/>
      <c r="B618" s="447"/>
      <c r="C618" s="212"/>
      <c r="D618" s="212"/>
      <c r="E618" s="212"/>
      <c r="F618" s="212"/>
      <c r="G618" s="212"/>
      <c r="H618" s="212"/>
      <c r="I618" s="212"/>
      <c r="J618" s="212"/>
      <c r="K618" s="212"/>
      <c r="L618" s="212"/>
      <c r="M618" s="212"/>
      <c r="N618" s="212"/>
      <c r="O618" s="212"/>
      <c r="P618" s="212"/>
      <c r="Q618" s="212"/>
      <c r="R618" s="451"/>
      <c r="S618" s="451"/>
      <c r="T618" s="212"/>
      <c r="U618" s="451"/>
      <c r="V618" s="451"/>
      <c r="W618" s="451"/>
      <c r="X618" s="451"/>
      <c r="Y618" s="212"/>
      <c r="Z618" s="212"/>
      <c r="AA618" s="212"/>
      <c r="AB618" s="212"/>
      <c r="AC618" s="212"/>
      <c r="AD618" s="212"/>
      <c r="AE618" s="450"/>
      <c r="AF618" s="212"/>
      <c r="AG618" s="212"/>
      <c r="AH618" s="212"/>
      <c r="AI618" s="212"/>
      <c r="AJ618" s="212"/>
      <c r="AK618" s="212"/>
      <c r="AL618" s="212"/>
      <c r="AM618" s="212"/>
      <c r="AN618" s="212"/>
      <c r="AO618" s="212"/>
      <c r="AP618" s="212"/>
      <c r="AQ618" s="212"/>
      <c r="AR618" s="212"/>
      <c r="AS618" s="212"/>
      <c r="AT618" s="212"/>
      <c r="AU618" s="212"/>
      <c r="AV618" s="212"/>
      <c r="AW618" s="212"/>
      <c r="AX618" s="212"/>
      <c r="AY618" s="212"/>
      <c r="AZ618" s="452"/>
      <c r="BA618" s="212"/>
      <c r="BB618" s="212"/>
      <c r="BC618" s="212"/>
      <c r="BD618" s="212"/>
      <c r="BE618" s="212"/>
      <c r="BF618" s="452"/>
    </row>
    <row r="619">
      <c r="A619" s="212"/>
      <c r="B619" s="447"/>
      <c r="C619" s="212"/>
      <c r="D619" s="212"/>
      <c r="E619" s="212"/>
      <c r="F619" s="212"/>
      <c r="G619" s="212"/>
      <c r="H619" s="212"/>
      <c r="I619" s="212"/>
      <c r="J619" s="212"/>
      <c r="K619" s="212"/>
      <c r="L619" s="212"/>
      <c r="M619" s="212"/>
      <c r="N619" s="212"/>
      <c r="O619" s="212"/>
      <c r="P619" s="212"/>
      <c r="Q619" s="212"/>
      <c r="R619" s="451"/>
      <c r="S619" s="451"/>
      <c r="T619" s="212"/>
      <c r="U619" s="451"/>
      <c r="V619" s="451"/>
      <c r="W619" s="451"/>
      <c r="X619" s="451"/>
      <c r="Y619" s="212"/>
      <c r="Z619" s="212"/>
      <c r="AA619" s="212"/>
      <c r="AB619" s="212"/>
      <c r="AC619" s="212"/>
      <c r="AD619" s="212"/>
      <c r="AE619" s="450"/>
      <c r="AF619" s="212"/>
      <c r="AG619" s="212"/>
      <c r="AH619" s="212"/>
      <c r="AI619" s="212"/>
      <c r="AJ619" s="212"/>
      <c r="AK619" s="212"/>
      <c r="AL619" s="212"/>
      <c r="AM619" s="212"/>
      <c r="AN619" s="212"/>
      <c r="AO619" s="212"/>
      <c r="AP619" s="212"/>
      <c r="AQ619" s="212"/>
      <c r="AR619" s="212"/>
      <c r="AS619" s="212"/>
      <c r="AT619" s="212"/>
      <c r="AU619" s="212"/>
      <c r="AV619" s="212"/>
      <c r="AW619" s="212"/>
      <c r="AX619" s="212"/>
      <c r="AY619" s="212"/>
      <c r="AZ619" s="452"/>
      <c r="BA619" s="212"/>
      <c r="BB619" s="212"/>
      <c r="BC619" s="212"/>
      <c r="BD619" s="212"/>
      <c r="BE619" s="212"/>
      <c r="BF619" s="452"/>
    </row>
    <row r="620">
      <c r="A620" s="212"/>
      <c r="B620" s="447"/>
      <c r="C620" s="212"/>
      <c r="D620" s="212"/>
      <c r="E620" s="212"/>
      <c r="F620" s="212"/>
      <c r="G620" s="212"/>
      <c r="H620" s="212"/>
      <c r="I620" s="212"/>
      <c r="J620" s="212"/>
      <c r="K620" s="212"/>
      <c r="L620" s="212"/>
      <c r="M620" s="212"/>
      <c r="N620" s="212"/>
      <c r="O620" s="212"/>
      <c r="P620" s="212"/>
      <c r="Q620" s="212"/>
      <c r="R620" s="451"/>
      <c r="S620" s="451"/>
      <c r="T620" s="212"/>
      <c r="U620" s="451"/>
      <c r="V620" s="451"/>
      <c r="W620" s="451"/>
      <c r="X620" s="451"/>
      <c r="Y620" s="212"/>
      <c r="Z620" s="212"/>
      <c r="AA620" s="212"/>
      <c r="AB620" s="212"/>
      <c r="AC620" s="212"/>
      <c r="AD620" s="212"/>
      <c r="AE620" s="450"/>
      <c r="AF620" s="212"/>
      <c r="AG620" s="212"/>
      <c r="AH620" s="212"/>
      <c r="AI620" s="212"/>
      <c r="AJ620" s="212"/>
      <c r="AK620" s="212"/>
      <c r="AL620" s="212"/>
      <c r="AM620" s="212"/>
      <c r="AN620" s="212"/>
      <c r="AO620" s="212"/>
      <c r="AP620" s="212"/>
      <c r="AQ620" s="212"/>
      <c r="AR620" s="212"/>
      <c r="AS620" s="212"/>
      <c r="AT620" s="212"/>
      <c r="AU620" s="212"/>
      <c r="AV620" s="212"/>
      <c r="AW620" s="212"/>
      <c r="AX620" s="212"/>
      <c r="AY620" s="212"/>
      <c r="AZ620" s="452"/>
      <c r="BA620" s="212"/>
      <c r="BB620" s="212"/>
      <c r="BC620" s="212"/>
      <c r="BD620" s="212"/>
      <c r="BE620" s="212"/>
      <c r="BF620" s="452"/>
    </row>
    <row r="621">
      <c r="A621" s="212"/>
      <c r="B621" s="447"/>
      <c r="C621" s="212"/>
      <c r="D621" s="212"/>
      <c r="E621" s="212"/>
      <c r="F621" s="212"/>
      <c r="G621" s="212"/>
      <c r="H621" s="212"/>
      <c r="I621" s="212"/>
      <c r="J621" s="212"/>
      <c r="K621" s="212"/>
      <c r="L621" s="212"/>
      <c r="M621" s="212"/>
      <c r="N621" s="212"/>
      <c r="O621" s="212"/>
      <c r="P621" s="212"/>
      <c r="Q621" s="212"/>
      <c r="R621" s="451"/>
      <c r="S621" s="451"/>
      <c r="T621" s="212"/>
      <c r="U621" s="451"/>
      <c r="V621" s="451"/>
      <c r="W621" s="451"/>
      <c r="X621" s="451"/>
      <c r="Y621" s="212"/>
      <c r="Z621" s="212"/>
      <c r="AA621" s="212"/>
      <c r="AB621" s="212"/>
      <c r="AC621" s="212"/>
      <c r="AD621" s="212"/>
      <c r="AE621" s="450"/>
      <c r="AF621" s="212"/>
      <c r="AG621" s="212"/>
      <c r="AH621" s="212"/>
      <c r="AI621" s="212"/>
      <c r="AJ621" s="212"/>
      <c r="AK621" s="212"/>
      <c r="AL621" s="212"/>
      <c r="AM621" s="212"/>
      <c r="AN621" s="212"/>
      <c r="AO621" s="212"/>
      <c r="AP621" s="212"/>
      <c r="AQ621" s="212"/>
      <c r="AR621" s="212"/>
      <c r="AS621" s="212"/>
      <c r="AT621" s="212"/>
      <c r="AU621" s="212"/>
      <c r="AV621" s="212"/>
      <c r="AW621" s="212"/>
      <c r="AX621" s="212"/>
      <c r="AY621" s="212"/>
      <c r="AZ621" s="452"/>
      <c r="BA621" s="212"/>
      <c r="BB621" s="212"/>
      <c r="BC621" s="212"/>
      <c r="BD621" s="212"/>
      <c r="BE621" s="212"/>
      <c r="BF621" s="452"/>
    </row>
    <row r="622">
      <c r="A622" s="212"/>
      <c r="B622" s="447"/>
      <c r="C622" s="212"/>
      <c r="D622" s="212"/>
      <c r="E622" s="212"/>
      <c r="F622" s="212"/>
      <c r="G622" s="212"/>
      <c r="H622" s="212"/>
      <c r="I622" s="212"/>
      <c r="J622" s="212"/>
      <c r="K622" s="212"/>
      <c r="L622" s="212"/>
      <c r="M622" s="212"/>
      <c r="N622" s="212"/>
      <c r="O622" s="212"/>
      <c r="P622" s="212"/>
      <c r="Q622" s="212"/>
      <c r="R622" s="451"/>
      <c r="S622" s="451"/>
      <c r="T622" s="212"/>
      <c r="U622" s="451"/>
      <c r="V622" s="451"/>
      <c r="W622" s="451"/>
      <c r="X622" s="451"/>
      <c r="Y622" s="212"/>
      <c r="Z622" s="212"/>
      <c r="AA622" s="212"/>
      <c r="AB622" s="212"/>
      <c r="AC622" s="212"/>
      <c r="AD622" s="212"/>
      <c r="AE622" s="450"/>
      <c r="AF622" s="212"/>
      <c r="AG622" s="212"/>
      <c r="AH622" s="212"/>
      <c r="AI622" s="212"/>
      <c r="AJ622" s="212"/>
      <c r="AK622" s="212"/>
      <c r="AL622" s="212"/>
      <c r="AM622" s="212"/>
      <c r="AN622" s="212"/>
      <c r="AO622" s="212"/>
      <c r="AP622" s="212"/>
      <c r="AQ622" s="212"/>
      <c r="AR622" s="212"/>
      <c r="AS622" s="212"/>
      <c r="AT622" s="212"/>
      <c r="AU622" s="212"/>
      <c r="AV622" s="212"/>
      <c r="AW622" s="212"/>
      <c r="AX622" s="212"/>
      <c r="AY622" s="212"/>
      <c r="AZ622" s="452"/>
      <c r="BA622" s="212"/>
      <c r="BB622" s="212"/>
      <c r="BC622" s="212"/>
      <c r="BD622" s="212"/>
      <c r="BE622" s="212"/>
      <c r="BF622" s="452"/>
    </row>
    <row r="623">
      <c r="A623" s="212"/>
      <c r="B623" s="447"/>
      <c r="C623" s="212"/>
      <c r="D623" s="212"/>
      <c r="E623" s="212"/>
      <c r="F623" s="212"/>
      <c r="G623" s="212"/>
      <c r="H623" s="212"/>
      <c r="I623" s="212"/>
      <c r="J623" s="212"/>
      <c r="K623" s="212"/>
      <c r="L623" s="212"/>
      <c r="M623" s="212"/>
      <c r="N623" s="212"/>
      <c r="O623" s="212"/>
      <c r="P623" s="212"/>
      <c r="Q623" s="212"/>
      <c r="R623" s="451"/>
      <c r="S623" s="451"/>
      <c r="T623" s="212"/>
      <c r="U623" s="451"/>
      <c r="V623" s="451"/>
      <c r="W623" s="451"/>
      <c r="X623" s="451"/>
      <c r="Y623" s="212"/>
      <c r="Z623" s="212"/>
      <c r="AA623" s="212"/>
      <c r="AB623" s="212"/>
      <c r="AC623" s="212"/>
      <c r="AD623" s="212"/>
      <c r="AE623" s="450"/>
      <c r="AF623" s="212"/>
      <c r="AG623" s="212"/>
      <c r="AH623" s="212"/>
      <c r="AI623" s="212"/>
      <c r="AJ623" s="212"/>
      <c r="AK623" s="212"/>
      <c r="AL623" s="212"/>
      <c r="AM623" s="212"/>
      <c r="AN623" s="212"/>
      <c r="AO623" s="212"/>
      <c r="AP623" s="212"/>
      <c r="AQ623" s="212"/>
      <c r="AR623" s="212"/>
      <c r="AS623" s="212"/>
      <c r="AT623" s="212"/>
      <c r="AU623" s="212"/>
      <c r="AV623" s="212"/>
      <c r="AW623" s="212"/>
      <c r="AX623" s="212"/>
      <c r="AY623" s="212"/>
      <c r="AZ623" s="452"/>
      <c r="BA623" s="212"/>
      <c r="BB623" s="212"/>
      <c r="BC623" s="212"/>
      <c r="BD623" s="212"/>
      <c r="BE623" s="212"/>
      <c r="BF623" s="452"/>
    </row>
    <row r="624">
      <c r="A624" s="212"/>
      <c r="B624" s="447"/>
      <c r="C624" s="212"/>
      <c r="D624" s="212"/>
      <c r="E624" s="212"/>
      <c r="F624" s="212"/>
      <c r="G624" s="212"/>
      <c r="H624" s="212"/>
      <c r="I624" s="212"/>
      <c r="J624" s="212"/>
      <c r="K624" s="212"/>
      <c r="L624" s="212"/>
      <c r="M624" s="212"/>
      <c r="N624" s="212"/>
      <c r="O624" s="212"/>
      <c r="P624" s="212"/>
      <c r="Q624" s="212"/>
      <c r="R624" s="451"/>
      <c r="S624" s="451"/>
      <c r="T624" s="212"/>
      <c r="U624" s="451"/>
      <c r="V624" s="451"/>
      <c r="W624" s="451"/>
      <c r="X624" s="451"/>
      <c r="Y624" s="212"/>
      <c r="Z624" s="212"/>
      <c r="AA624" s="212"/>
      <c r="AB624" s="212"/>
      <c r="AC624" s="212"/>
      <c r="AD624" s="212"/>
      <c r="AE624" s="450"/>
      <c r="AF624" s="212"/>
      <c r="AG624" s="212"/>
      <c r="AH624" s="212"/>
      <c r="AI624" s="212"/>
      <c r="AJ624" s="212"/>
      <c r="AK624" s="212"/>
      <c r="AL624" s="212"/>
      <c r="AM624" s="212"/>
      <c r="AN624" s="212"/>
      <c r="AO624" s="212"/>
      <c r="AP624" s="212"/>
      <c r="AQ624" s="212"/>
      <c r="AR624" s="212"/>
      <c r="AS624" s="212"/>
      <c r="AT624" s="212"/>
      <c r="AU624" s="212"/>
      <c r="AV624" s="212"/>
      <c r="AW624" s="212"/>
      <c r="AX624" s="212"/>
      <c r="AY624" s="212"/>
      <c r="AZ624" s="452"/>
      <c r="BA624" s="212"/>
      <c r="BB624" s="212"/>
      <c r="BC624" s="212"/>
      <c r="BD624" s="212"/>
      <c r="BE624" s="212"/>
      <c r="BF624" s="452"/>
    </row>
    <row r="625">
      <c r="A625" s="212"/>
      <c r="B625" s="447"/>
      <c r="C625" s="212"/>
      <c r="D625" s="212"/>
      <c r="E625" s="212"/>
      <c r="F625" s="212"/>
      <c r="G625" s="212"/>
      <c r="H625" s="212"/>
      <c r="I625" s="212"/>
      <c r="J625" s="212"/>
      <c r="K625" s="212"/>
      <c r="L625" s="212"/>
      <c r="M625" s="212"/>
      <c r="N625" s="212"/>
      <c r="O625" s="212"/>
      <c r="P625" s="212"/>
      <c r="Q625" s="212"/>
      <c r="R625" s="451"/>
      <c r="S625" s="451"/>
      <c r="T625" s="212"/>
      <c r="U625" s="451"/>
      <c r="V625" s="451"/>
      <c r="W625" s="451"/>
      <c r="X625" s="451"/>
      <c r="Y625" s="212"/>
      <c r="Z625" s="212"/>
      <c r="AA625" s="212"/>
      <c r="AB625" s="212"/>
      <c r="AC625" s="212"/>
      <c r="AD625" s="212"/>
      <c r="AE625" s="450"/>
      <c r="AF625" s="212"/>
      <c r="AG625" s="212"/>
      <c r="AH625" s="212"/>
      <c r="AI625" s="212"/>
      <c r="AJ625" s="212"/>
      <c r="AK625" s="212"/>
      <c r="AL625" s="212"/>
      <c r="AM625" s="212"/>
      <c r="AN625" s="212"/>
      <c r="AO625" s="212"/>
      <c r="AP625" s="212"/>
      <c r="AQ625" s="212"/>
      <c r="AR625" s="212"/>
      <c r="AS625" s="212"/>
      <c r="AT625" s="212"/>
      <c r="AU625" s="212"/>
      <c r="AV625" s="212"/>
      <c r="AW625" s="212"/>
      <c r="AX625" s="212"/>
      <c r="AY625" s="212"/>
      <c r="AZ625" s="452"/>
      <c r="BA625" s="212"/>
      <c r="BB625" s="212"/>
      <c r="BC625" s="212"/>
      <c r="BD625" s="212"/>
      <c r="BE625" s="212"/>
      <c r="BF625" s="452"/>
    </row>
    <row r="626">
      <c r="A626" s="212"/>
      <c r="B626" s="447"/>
      <c r="C626" s="212"/>
      <c r="D626" s="212"/>
      <c r="E626" s="212"/>
      <c r="F626" s="212"/>
      <c r="G626" s="212"/>
      <c r="H626" s="212"/>
      <c r="I626" s="212"/>
      <c r="J626" s="212"/>
      <c r="K626" s="212"/>
      <c r="L626" s="212"/>
      <c r="M626" s="212"/>
      <c r="N626" s="212"/>
      <c r="O626" s="212"/>
      <c r="P626" s="212"/>
      <c r="Q626" s="212"/>
      <c r="R626" s="451"/>
      <c r="S626" s="451"/>
      <c r="T626" s="212"/>
      <c r="U626" s="451"/>
      <c r="V626" s="451"/>
      <c r="W626" s="451"/>
      <c r="X626" s="451"/>
      <c r="Y626" s="212"/>
      <c r="Z626" s="212"/>
      <c r="AA626" s="212"/>
      <c r="AB626" s="212"/>
      <c r="AC626" s="212"/>
      <c r="AD626" s="212"/>
      <c r="AE626" s="450"/>
      <c r="AF626" s="212"/>
      <c r="AG626" s="212"/>
      <c r="AH626" s="212"/>
      <c r="AI626" s="212"/>
      <c r="AJ626" s="212"/>
      <c r="AK626" s="212"/>
      <c r="AL626" s="212"/>
      <c r="AM626" s="212"/>
      <c r="AN626" s="212"/>
      <c r="AO626" s="212"/>
      <c r="AP626" s="212"/>
      <c r="AQ626" s="212"/>
      <c r="AR626" s="212"/>
      <c r="AS626" s="212"/>
      <c r="AT626" s="212"/>
      <c r="AU626" s="212"/>
      <c r="AV626" s="212"/>
      <c r="AW626" s="212"/>
      <c r="AX626" s="212"/>
      <c r="AY626" s="212"/>
      <c r="AZ626" s="452"/>
      <c r="BA626" s="212"/>
      <c r="BB626" s="212"/>
      <c r="BC626" s="212"/>
      <c r="BD626" s="212"/>
      <c r="BE626" s="212"/>
      <c r="BF626" s="452"/>
    </row>
    <row r="627">
      <c r="A627" s="212"/>
      <c r="B627" s="447"/>
      <c r="C627" s="212"/>
      <c r="D627" s="212"/>
      <c r="E627" s="212"/>
      <c r="F627" s="212"/>
      <c r="G627" s="212"/>
      <c r="H627" s="212"/>
      <c r="I627" s="212"/>
      <c r="J627" s="212"/>
      <c r="K627" s="212"/>
      <c r="L627" s="212"/>
      <c r="M627" s="212"/>
      <c r="N627" s="212"/>
      <c r="O627" s="212"/>
      <c r="P627" s="212"/>
      <c r="Q627" s="212"/>
      <c r="R627" s="451"/>
      <c r="S627" s="451"/>
      <c r="T627" s="212"/>
      <c r="U627" s="451"/>
      <c r="V627" s="451"/>
      <c r="W627" s="451"/>
      <c r="X627" s="451"/>
      <c r="Y627" s="212"/>
      <c r="Z627" s="212"/>
      <c r="AA627" s="212"/>
      <c r="AB627" s="212"/>
      <c r="AC627" s="212"/>
      <c r="AD627" s="212"/>
      <c r="AE627" s="450"/>
      <c r="AF627" s="212"/>
      <c r="AG627" s="212"/>
      <c r="AH627" s="212"/>
      <c r="AI627" s="212"/>
      <c r="AJ627" s="212"/>
      <c r="AK627" s="212"/>
      <c r="AL627" s="212"/>
      <c r="AM627" s="212"/>
      <c r="AN627" s="212"/>
      <c r="AO627" s="212"/>
      <c r="AP627" s="212"/>
      <c r="AQ627" s="212"/>
      <c r="AR627" s="212"/>
      <c r="AS627" s="212"/>
      <c r="AT627" s="212"/>
      <c r="AU627" s="212"/>
      <c r="AV627" s="212"/>
      <c r="AW627" s="212"/>
      <c r="AX627" s="212"/>
      <c r="AY627" s="212"/>
      <c r="AZ627" s="452"/>
      <c r="BA627" s="212"/>
      <c r="BB627" s="212"/>
      <c r="BC627" s="212"/>
      <c r="BD627" s="212"/>
      <c r="BE627" s="212"/>
      <c r="BF627" s="452"/>
    </row>
    <row r="628">
      <c r="A628" s="212"/>
      <c r="B628" s="447"/>
      <c r="C628" s="212"/>
      <c r="D628" s="212"/>
      <c r="E628" s="212"/>
      <c r="F628" s="212"/>
      <c r="G628" s="212"/>
      <c r="H628" s="212"/>
      <c r="I628" s="212"/>
      <c r="J628" s="212"/>
      <c r="K628" s="212"/>
      <c r="L628" s="212"/>
      <c r="M628" s="212"/>
      <c r="N628" s="212"/>
      <c r="O628" s="212"/>
      <c r="P628" s="212"/>
      <c r="Q628" s="212"/>
      <c r="R628" s="451"/>
      <c r="S628" s="451"/>
      <c r="T628" s="212"/>
      <c r="U628" s="451"/>
      <c r="V628" s="451"/>
      <c r="W628" s="451"/>
      <c r="X628" s="451"/>
      <c r="Y628" s="212"/>
      <c r="Z628" s="212"/>
      <c r="AA628" s="212"/>
      <c r="AB628" s="212"/>
      <c r="AC628" s="212"/>
      <c r="AD628" s="212"/>
      <c r="AE628" s="450"/>
      <c r="AF628" s="212"/>
      <c r="AG628" s="212"/>
      <c r="AH628" s="212"/>
      <c r="AI628" s="212"/>
      <c r="AJ628" s="212"/>
      <c r="AK628" s="212"/>
      <c r="AL628" s="212"/>
      <c r="AM628" s="212"/>
      <c r="AN628" s="212"/>
      <c r="AO628" s="212"/>
      <c r="AP628" s="212"/>
      <c r="AQ628" s="212"/>
      <c r="AR628" s="212"/>
      <c r="AS628" s="212"/>
      <c r="AT628" s="212"/>
      <c r="AU628" s="212"/>
      <c r="AV628" s="212"/>
      <c r="AW628" s="212"/>
      <c r="AX628" s="212"/>
      <c r="AY628" s="212"/>
      <c r="AZ628" s="452"/>
      <c r="BA628" s="212"/>
      <c r="BB628" s="212"/>
      <c r="BC628" s="212"/>
      <c r="BD628" s="212"/>
      <c r="BE628" s="212"/>
      <c r="BF628" s="452"/>
    </row>
    <row r="629">
      <c r="A629" s="212"/>
      <c r="B629" s="447"/>
      <c r="C629" s="212"/>
      <c r="D629" s="212"/>
      <c r="E629" s="212"/>
      <c r="F629" s="212"/>
      <c r="G629" s="212"/>
      <c r="H629" s="212"/>
      <c r="I629" s="212"/>
      <c r="J629" s="212"/>
      <c r="K629" s="212"/>
      <c r="L629" s="212"/>
      <c r="M629" s="212"/>
      <c r="N629" s="212"/>
      <c r="O629" s="212"/>
      <c r="P629" s="212"/>
      <c r="Q629" s="212"/>
      <c r="R629" s="451"/>
      <c r="S629" s="451"/>
      <c r="T629" s="212"/>
      <c r="U629" s="451"/>
      <c r="V629" s="451"/>
      <c r="W629" s="451"/>
      <c r="X629" s="451"/>
      <c r="Y629" s="212"/>
      <c r="Z629" s="212"/>
      <c r="AA629" s="212"/>
      <c r="AB629" s="212"/>
      <c r="AC629" s="212"/>
      <c r="AD629" s="212"/>
      <c r="AE629" s="450"/>
      <c r="AF629" s="212"/>
      <c r="AG629" s="212"/>
      <c r="AH629" s="212"/>
      <c r="AI629" s="212"/>
      <c r="AJ629" s="212"/>
      <c r="AK629" s="212"/>
      <c r="AL629" s="212"/>
      <c r="AM629" s="212"/>
      <c r="AN629" s="212"/>
      <c r="AO629" s="212"/>
      <c r="AP629" s="212"/>
      <c r="AQ629" s="212"/>
      <c r="AR629" s="212"/>
      <c r="AS629" s="212"/>
      <c r="AT629" s="212"/>
      <c r="AU629" s="212"/>
      <c r="AV629" s="212"/>
      <c r="AW629" s="212"/>
      <c r="AX629" s="212"/>
      <c r="AY629" s="212"/>
      <c r="AZ629" s="452"/>
      <c r="BA629" s="212"/>
      <c r="BB629" s="212"/>
      <c r="BC629" s="212"/>
      <c r="BD629" s="212"/>
      <c r="BE629" s="212"/>
      <c r="BF629" s="452"/>
    </row>
    <row r="630">
      <c r="A630" s="212"/>
      <c r="B630" s="447"/>
      <c r="C630" s="212"/>
      <c r="D630" s="212"/>
      <c r="E630" s="212"/>
      <c r="F630" s="212"/>
      <c r="G630" s="212"/>
      <c r="H630" s="212"/>
      <c r="I630" s="212"/>
      <c r="J630" s="212"/>
      <c r="K630" s="212"/>
      <c r="L630" s="212"/>
      <c r="M630" s="212"/>
      <c r="N630" s="212"/>
      <c r="O630" s="212"/>
      <c r="P630" s="212"/>
      <c r="Q630" s="212"/>
      <c r="R630" s="451"/>
      <c r="S630" s="451"/>
      <c r="T630" s="212"/>
      <c r="U630" s="451"/>
      <c r="V630" s="451"/>
      <c r="W630" s="451"/>
      <c r="X630" s="451"/>
      <c r="Y630" s="212"/>
      <c r="Z630" s="212"/>
      <c r="AA630" s="212"/>
      <c r="AB630" s="212"/>
      <c r="AC630" s="212"/>
      <c r="AD630" s="212"/>
      <c r="AE630" s="450"/>
      <c r="AF630" s="212"/>
      <c r="AG630" s="212"/>
      <c r="AH630" s="212"/>
      <c r="AI630" s="212"/>
      <c r="AJ630" s="212"/>
      <c r="AK630" s="212"/>
      <c r="AL630" s="212"/>
      <c r="AM630" s="212"/>
      <c r="AN630" s="212"/>
      <c r="AO630" s="212"/>
      <c r="AP630" s="212"/>
      <c r="AQ630" s="212"/>
      <c r="AR630" s="212"/>
      <c r="AS630" s="212"/>
      <c r="AT630" s="212"/>
      <c r="AU630" s="212"/>
      <c r="AV630" s="212"/>
      <c r="AW630" s="212"/>
      <c r="AX630" s="212"/>
      <c r="AY630" s="212"/>
      <c r="AZ630" s="452"/>
      <c r="BA630" s="212"/>
      <c r="BB630" s="212"/>
      <c r="BC630" s="212"/>
      <c r="BD630" s="212"/>
      <c r="BE630" s="212"/>
      <c r="BF630" s="452"/>
    </row>
    <row r="631">
      <c r="A631" s="212"/>
      <c r="B631" s="447"/>
      <c r="C631" s="212"/>
      <c r="D631" s="212"/>
      <c r="E631" s="212"/>
      <c r="F631" s="212"/>
      <c r="G631" s="212"/>
      <c r="H631" s="212"/>
      <c r="I631" s="212"/>
      <c r="J631" s="212"/>
      <c r="K631" s="212"/>
      <c r="L631" s="212"/>
      <c r="M631" s="212"/>
      <c r="N631" s="212"/>
      <c r="O631" s="212"/>
      <c r="P631" s="212"/>
      <c r="Q631" s="212"/>
      <c r="R631" s="451"/>
      <c r="S631" s="451"/>
      <c r="T631" s="212"/>
      <c r="U631" s="451"/>
      <c r="V631" s="451"/>
      <c r="W631" s="451"/>
      <c r="X631" s="451"/>
      <c r="Y631" s="212"/>
      <c r="Z631" s="212"/>
      <c r="AA631" s="212"/>
      <c r="AB631" s="212"/>
      <c r="AC631" s="212"/>
      <c r="AD631" s="212"/>
      <c r="AE631" s="450"/>
      <c r="AF631" s="212"/>
      <c r="AG631" s="212"/>
      <c r="AH631" s="212"/>
      <c r="AI631" s="212"/>
      <c r="AJ631" s="212"/>
      <c r="AK631" s="212"/>
      <c r="AL631" s="212"/>
      <c r="AM631" s="212"/>
      <c r="AN631" s="212"/>
      <c r="AO631" s="212"/>
      <c r="AP631" s="212"/>
      <c r="AQ631" s="212"/>
      <c r="AR631" s="212"/>
      <c r="AS631" s="212"/>
      <c r="AT631" s="212"/>
      <c r="AU631" s="212"/>
      <c r="AV631" s="212"/>
      <c r="AW631" s="212"/>
      <c r="AX631" s="212"/>
      <c r="AY631" s="212"/>
      <c r="AZ631" s="452"/>
      <c r="BA631" s="212"/>
      <c r="BB631" s="212"/>
      <c r="BC631" s="212"/>
      <c r="BD631" s="212"/>
      <c r="BE631" s="212"/>
      <c r="BF631" s="452"/>
    </row>
    <row r="632">
      <c r="A632" s="212"/>
      <c r="B632" s="447"/>
      <c r="C632" s="212"/>
      <c r="D632" s="212"/>
      <c r="E632" s="212"/>
      <c r="F632" s="212"/>
      <c r="G632" s="212"/>
      <c r="H632" s="212"/>
      <c r="I632" s="212"/>
      <c r="J632" s="212"/>
      <c r="K632" s="212"/>
      <c r="L632" s="212"/>
      <c r="M632" s="212"/>
      <c r="N632" s="212"/>
      <c r="O632" s="212"/>
      <c r="P632" s="212"/>
      <c r="Q632" s="212"/>
      <c r="R632" s="451"/>
      <c r="S632" s="451"/>
      <c r="T632" s="212"/>
      <c r="U632" s="451"/>
      <c r="V632" s="451"/>
      <c r="W632" s="451"/>
      <c r="X632" s="451"/>
      <c r="Y632" s="212"/>
      <c r="Z632" s="212"/>
      <c r="AA632" s="212"/>
      <c r="AB632" s="212"/>
      <c r="AC632" s="212"/>
      <c r="AD632" s="212"/>
      <c r="AE632" s="450"/>
      <c r="AF632" s="212"/>
      <c r="AG632" s="212"/>
      <c r="AH632" s="212"/>
      <c r="AI632" s="212"/>
      <c r="AJ632" s="212"/>
      <c r="AK632" s="212"/>
      <c r="AL632" s="212"/>
      <c r="AM632" s="212"/>
      <c r="AN632" s="212"/>
      <c r="AO632" s="212"/>
      <c r="AP632" s="212"/>
      <c r="AQ632" s="212"/>
      <c r="AR632" s="212"/>
      <c r="AS632" s="212"/>
      <c r="AT632" s="212"/>
      <c r="AU632" s="212"/>
      <c r="AV632" s="212"/>
      <c r="AW632" s="212"/>
      <c r="AX632" s="212"/>
      <c r="AY632" s="212"/>
      <c r="AZ632" s="452"/>
      <c r="BA632" s="212"/>
      <c r="BB632" s="212"/>
      <c r="BC632" s="212"/>
      <c r="BD632" s="212"/>
      <c r="BE632" s="212"/>
      <c r="BF632" s="452"/>
    </row>
    <row r="633">
      <c r="A633" s="212"/>
      <c r="B633" s="447"/>
      <c r="C633" s="212"/>
      <c r="D633" s="212"/>
      <c r="E633" s="212"/>
      <c r="F633" s="212"/>
      <c r="G633" s="212"/>
      <c r="H633" s="212"/>
      <c r="I633" s="212"/>
      <c r="J633" s="212"/>
      <c r="K633" s="212"/>
      <c r="L633" s="212"/>
      <c r="M633" s="212"/>
      <c r="N633" s="212"/>
      <c r="O633" s="212"/>
      <c r="P633" s="212"/>
      <c r="Q633" s="212"/>
      <c r="R633" s="451"/>
      <c r="S633" s="451"/>
      <c r="T633" s="212"/>
      <c r="U633" s="451"/>
      <c r="V633" s="451"/>
      <c r="W633" s="451"/>
      <c r="X633" s="451"/>
      <c r="Y633" s="212"/>
      <c r="Z633" s="212"/>
      <c r="AA633" s="212"/>
      <c r="AB633" s="212"/>
      <c r="AC633" s="212"/>
      <c r="AD633" s="212"/>
      <c r="AE633" s="450"/>
      <c r="AF633" s="212"/>
      <c r="AG633" s="212"/>
      <c r="AH633" s="212"/>
      <c r="AI633" s="212"/>
      <c r="AJ633" s="212"/>
      <c r="AK633" s="212"/>
      <c r="AL633" s="212"/>
      <c r="AM633" s="212"/>
      <c r="AN633" s="212"/>
      <c r="AO633" s="212"/>
      <c r="AP633" s="212"/>
      <c r="AQ633" s="212"/>
      <c r="AR633" s="212"/>
      <c r="AS633" s="212"/>
      <c r="AT633" s="212"/>
      <c r="AU633" s="212"/>
      <c r="AV633" s="212"/>
      <c r="AW633" s="212"/>
      <c r="AX633" s="212"/>
      <c r="AY633" s="212"/>
      <c r="AZ633" s="452"/>
      <c r="BA633" s="212"/>
      <c r="BB633" s="212"/>
      <c r="BC633" s="212"/>
      <c r="BD633" s="212"/>
      <c r="BE633" s="212"/>
      <c r="BF633" s="452"/>
    </row>
    <row r="634">
      <c r="A634" s="212"/>
      <c r="B634" s="447"/>
      <c r="C634" s="212"/>
      <c r="D634" s="212"/>
      <c r="E634" s="212"/>
      <c r="F634" s="212"/>
      <c r="G634" s="212"/>
      <c r="H634" s="212"/>
      <c r="I634" s="212"/>
      <c r="J634" s="212"/>
      <c r="K634" s="212"/>
      <c r="L634" s="212"/>
      <c r="M634" s="212"/>
      <c r="N634" s="212"/>
      <c r="O634" s="212"/>
      <c r="P634" s="212"/>
      <c r="Q634" s="212"/>
      <c r="R634" s="451"/>
      <c r="S634" s="451"/>
      <c r="T634" s="212"/>
      <c r="U634" s="451"/>
      <c r="V634" s="451"/>
      <c r="W634" s="451"/>
      <c r="X634" s="451"/>
      <c r="Y634" s="212"/>
      <c r="Z634" s="212"/>
      <c r="AA634" s="212"/>
      <c r="AB634" s="212"/>
      <c r="AC634" s="212"/>
      <c r="AD634" s="212"/>
      <c r="AE634" s="450"/>
      <c r="AF634" s="212"/>
      <c r="AG634" s="212"/>
      <c r="AH634" s="212"/>
      <c r="AI634" s="212"/>
      <c r="AJ634" s="212"/>
      <c r="AK634" s="212"/>
      <c r="AL634" s="212"/>
      <c r="AM634" s="212"/>
      <c r="AN634" s="212"/>
      <c r="AO634" s="212"/>
      <c r="AP634" s="212"/>
      <c r="AQ634" s="212"/>
      <c r="AR634" s="212"/>
      <c r="AS634" s="212"/>
      <c r="AT634" s="212"/>
      <c r="AU634" s="212"/>
      <c r="AV634" s="212"/>
      <c r="AW634" s="212"/>
      <c r="AX634" s="212"/>
      <c r="AY634" s="212"/>
      <c r="AZ634" s="452"/>
      <c r="BA634" s="212"/>
      <c r="BB634" s="212"/>
      <c r="BC634" s="212"/>
      <c r="BD634" s="212"/>
      <c r="BE634" s="212"/>
      <c r="BF634" s="452"/>
    </row>
    <row r="635">
      <c r="A635" s="212"/>
      <c r="B635" s="447"/>
      <c r="C635" s="212"/>
      <c r="D635" s="212"/>
      <c r="E635" s="212"/>
      <c r="F635" s="212"/>
      <c r="G635" s="212"/>
      <c r="H635" s="212"/>
      <c r="I635" s="212"/>
      <c r="J635" s="212"/>
      <c r="K635" s="212"/>
      <c r="L635" s="212"/>
      <c r="M635" s="212"/>
      <c r="N635" s="212"/>
      <c r="O635" s="212"/>
      <c r="P635" s="212"/>
      <c r="Q635" s="212"/>
      <c r="R635" s="451"/>
      <c r="S635" s="451"/>
      <c r="T635" s="212"/>
      <c r="U635" s="451"/>
      <c r="V635" s="451"/>
      <c r="W635" s="451"/>
      <c r="X635" s="451"/>
      <c r="Y635" s="212"/>
      <c r="Z635" s="212"/>
      <c r="AA635" s="212"/>
      <c r="AB635" s="212"/>
      <c r="AC635" s="212"/>
      <c r="AD635" s="212"/>
      <c r="AE635" s="450"/>
      <c r="AF635" s="212"/>
      <c r="AG635" s="212"/>
      <c r="AH635" s="212"/>
      <c r="AI635" s="212"/>
      <c r="AJ635" s="212"/>
      <c r="AK635" s="212"/>
      <c r="AL635" s="212"/>
      <c r="AM635" s="212"/>
      <c r="AN635" s="212"/>
      <c r="AO635" s="212"/>
      <c r="AP635" s="212"/>
      <c r="AQ635" s="212"/>
      <c r="AR635" s="212"/>
      <c r="AS635" s="212"/>
      <c r="AT635" s="212"/>
      <c r="AU635" s="212"/>
      <c r="AV635" s="212"/>
      <c r="AW635" s="212"/>
      <c r="AX635" s="212"/>
      <c r="AY635" s="212"/>
      <c r="AZ635" s="452"/>
      <c r="BA635" s="212"/>
      <c r="BB635" s="212"/>
      <c r="BC635" s="212"/>
      <c r="BD635" s="212"/>
      <c r="BE635" s="212"/>
      <c r="BF635" s="452"/>
    </row>
    <row r="636">
      <c r="A636" s="212"/>
      <c r="B636" s="447"/>
      <c r="C636" s="212"/>
      <c r="D636" s="212"/>
      <c r="E636" s="212"/>
      <c r="F636" s="212"/>
      <c r="G636" s="212"/>
      <c r="H636" s="212"/>
      <c r="I636" s="212"/>
      <c r="J636" s="212"/>
      <c r="K636" s="212"/>
      <c r="L636" s="212"/>
      <c r="M636" s="212"/>
      <c r="N636" s="212"/>
      <c r="O636" s="212"/>
      <c r="P636" s="212"/>
      <c r="Q636" s="212"/>
      <c r="R636" s="451"/>
      <c r="S636" s="451"/>
      <c r="T636" s="212"/>
      <c r="U636" s="451"/>
      <c r="V636" s="451"/>
      <c r="W636" s="451"/>
      <c r="X636" s="451"/>
      <c r="Y636" s="212"/>
      <c r="Z636" s="212"/>
      <c r="AA636" s="212"/>
      <c r="AB636" s="212"/>
      <c r="AC636" s="212"/>
      <c r="AD636" s="212"/>
      <c r="AE636" s="450"/>
      <c r="AF636" s="212"/>
      <c r="AG636" s="212"/>
      <c r="AH636" s="212"/>
      <c r="AI636" s="212"/>
      <c r="AJ636" s="212"/>
      <c r="AK636" s="212"/>
      <c r="AL636" s="212"/>
      <c r="AM636" s="212"/>
      <c r="AN636" s="212"/>
      <c r="AO636" s="212"/>
      <c r="AP636" s="212"/>
      <c r="AQ636" s="212"/>
      <c r="AR636" s="212"/>
      <c r="AS636" s="212"/>
      <c r="AT636" s="212"/>
      <c r="AU636" s="212"/>
      <c r="AV636" s="212"/>
      <c r="AW636" s="212"/>
      <c r="AX636" s="212"/>
      <c r="AY636" s="212"/>
      <c r="AZ636" s="452"/>
      <c r="BA636" s="212"/>
      <c r="BB636" s="212"/>
      <c r="BC636" s="212"/>
      <c r="BD636" s="212"/>
      <c r="BE636" s="212"/>
      <c r="BF636" s="452"/>
    </row>
    <row r="637">
      <c r="A637" s="212"/>
      <c r="B637" s="447"/>
      <c r="C637" s="212"/>
      <c r="D637" s="212"/>
      <c r="E637" s="212"/>
      <c r="F637" s="212"/>
      <c r="G637" s="212"/>
      <c r="H637" s="212"/>
      <c r="I637" s="212"/>
      <c r="J637" s="212"/>
      <c r="K637" s="212"/>
      <c r="L637" s="212"/>
      <c r="M637" s="212"/>
      <c r="N637" s="212"/>
      <c r="O637" s="212"/>
      <c r="P637" s="212"/>
      <c r="Q637" s="212"/>
      <c r="R637" s="451"/>
      <c r="S637" s="451"/>
      <c r="T637" s="212"/>
      <c r="U637" s="451"/>
      <c r="V637" s="451"/>
      <c r="W637" s="451"/>
      <c r="X637" s="451"/>
      <c r="Y637" s="212"/>
      <c r="Z637" s="212"/>
      <c r="AA637" s="212"/>
      <c r="AB637" s="212"/>
      <c r="AC637" s="212"/>
      <c r="AD637" s="212"/>
      <c r="AE637" s="450"/>
      <c r="AF637" s="212"/>
      <c r="AG637" s="212"/>
      <c r="AH637" s="212"/>
      <c r="AI637" s="212"/>
      <c r="AJ637" s="212"/>
      <c r="AK637" s="212"/>
      <c r="AL637" s="212"/>
      <c r="AM637" s="212"/>
      <c r="AN637" s="212"/>
      <c r="AO637" s="212"/>
      <c r="AP637" s="212"/>
      <c r="AQ637" s="212"/>
      <c r="AR637" s="212"/>
      <c r="AS637" s="212"/>
      <c r="AT637" s="212"/>
      <c r="AU637" s="212"/>
      <c r="AV637" s="212"/>
      <c r="AW637" s="212"/>
      <c r="AX637" s="212"/>
      <c r="AY637" s="212"/>
      <c r="AZ637" s="452"/>
      <c r="BA637" s="212"/>
      <c r="BB637" s="212"/>
      <c r="BC637" s="212"/>
      <c r="BD637" s="212"/>
      <c r="BE637" s="212"/>
      <c r="BF637" s="452"/>
    </row>
    <row r="638">
      <c r="A638" s="212"/>
      <c r="B638" s="447"/>
      <c r="C638" s="212"/>
      <c r="D638" s="212"/>
      <c r="E638" s="212"/>
      <c r="F638" s="212"/>
      <c r="G638" s="212"/>
      <c r="H638" s="212"/>
      <c r="I638" s="212"/>
      <c r="J638" s="212"/>
      <c r="K638" s="212"/>
      <c r="L638" s="212"/>
      <c r="M638" s="212"/>
      <c r="N638" s="212"/>
      <c r="O638" s="212"/>
      <c r="P638" s="212"/>
      <c r="Q638" s="212"/>
      <c r="R638" s="451"/>
      <c r="S638" s="451"/>
      <c r="T638" s="212"/>
      <c r="U638" s="451"/>
      <c r="V638" s="451"/>
      <c r="W638" s="451"/>
      <c r="X638" s="451"/>
      <c r="Y638" s="212"/>
      <c r="Z638" s="212"/>
      <c r="AA638" s="212"/>
      <c r="AB638" s="212"/>
      <c r="AC638" s="212"/>
      <c r="AD638" s="212"/>
      <c r="AE638" s="450"/>
      <c r="AF638" s="212"/>
      <c r="AG638" s="212"/>
      <c r="AH638" s="212"/>
      <c r="AI638" s="212"/>
      <c r="AJ638" s="212"/>
      <c r="AK638" s="212"/>
      <c r="AL638" s="212"/>
      <c r="AM638" s="212"/>
      <c r="AN638" s="212"/>
      <c r="AO638" s="212"/>
      <c r="AP638" s="212"/>
      <c r="AQ638" s="212"/>
      <c r="AR638" s="212"/>
      <c r="AS638" s="212"/>
      <c r="AT638" s="212"/>
      <c r="AU638" s="212"/>
      <c r="AV638" s="212"/>
      <c r="AW638" s="212"/>
      <c r="AX638" s="212"/>
      <c r="AY638" s="212"/>
      <c r="AZ638" s="452"/>
      <c r="BA638" s="212"/>
      <c r="BB638" s="212"/>
      <c r="BC638" s="212"/>
      <c r="BD638" s="212"/>
      <c r="BE638" s="212"/>
      <c r="BF638" s="452"/>
    </row>
    <row r="639">
      <c r="A639" s="212"/>
      <c r="B639" s="447"/>
      <c r="C639" s="212"/>
      <c r="D639" s="212"/>
      <c r="E639" s="212"/>
      <c r="F639" s="212"/>
      <c r="G639" s="212"/>
      <c r="H639" s="212"/>
      <c r="I639" s="212"/>
      <c r="J639" s="212"/>
      <c r="K639" s="212"/>
      <c r="L639" s="212"/>
      <c r="M639" s="212"/>
      <c r="N639" s="212"/>
      <c r="O639" s="212"/>
      <c r="P639" s="212"/>
      <c r="Q639" s="212"/>
      <c r="R639" s="451"/>
      <c r="S639" s="451"/>
      <c r="T639" s="212"/>
      <c r="U639" s="451"/>
      <c r="V639" s="451"/>
      <c r="W639" s="451"/>
      <c r="X639" s="451"/>
      <c r="Y639" s="212"/>
      <c r="Z639" s="212"/>
      <c r="AA639" s="212"/>
      <c r="AB639" s="212"/>
      <c r="AC639" s="212"/>
      <c r="AD639" s="212"/>
      <c r="AE639" s="450"/>
      <c r="AF639" s="212"/>
      <c r="AG639" s="212"/>
      <c r="AH639" s="212"/>
      <c r="AI639" s="212"/>
      <c r="AJ639" s="212"/>
      <c r="AK639" s="212"/>
      <c r="AL639" s="212"/>
      <c r="AM639" s="212"/>
      <c r="AN639" s="212"/>
      <c r="AO639" s="212"/>
      <c r="AP639" s="212"/>
      <c r="AQ639" s="212"/>
      <c r="AR639" s="212"/>
      <c r="AS639" s="212"/>
      <c r="AT639" s="212"/>
      <c r="AU639" s="212"/>
      <c r="AV639" s="212"/>
      <c r="AW639" s="212"/>
      <c r="AX639" s="212"/>
      <c r="AY639" s="212"/>
      <c r="AZ639" s="452"/>
      <c r="BA639" s="212"/>
      <c r="BB639" s="212"/>
      <c r="BC639" s="212"/>
      <c r="BD639" s="212"/>
      <c r="BE639" s="212"/>
      <c r="BF639" s="452"/>
    </row>
    <row r="640">
      <c r="A640" s="212"/>
      <c r="B640" s="447"/>
      <c r="C640" s="212"/>
      <c r="D640" s="212"/>
      <c r="E640" s="212"/>
      <c r="F640" s="212"/>
      <c r="G640" s="212"/>
      <c r="H640" s="212"/>
      <c r="I640" s="212"/>
      <c r="J640" s="212"/>
      <c r="K640" s="212"/>
      <c r="L640" s="212"/>
      <c r="M640" s="212"/>
      <c r="N640" s="212"/>
      <c r="O640" s="212"/>
      <c r="P640" s="212"/>
      <c r="Q640" s="212"/>
      <c r="R640" s="451"/>
      <c r="S640" s="451"/>
      <c r="T640" s="212"/>
      <c r="U640" s="451"/>
      <c r="V640" s="451"/>
      <c r="W640" s="451"/>
      <c r="X640" s="451"/>
      <c r="Y640" s="212"/>
      <c r="Z640" s="212"/>
      <c r="AA640" s="212"/>
      <c r="AB640" s="212"/>
      <c r="AC640" s="212"/>
      <c r="AD640" s="212"/>
      <c r="AE640" s="450"/>
      <c r="AF640" s="212"/>
      <c r="AG640" s="212"/>
      <c r="AH640" s="212"/>
      <c r="AI640" s="212"/>
      <c r="AJ640" s="212"/>
      <c r="AK640" s="212"/>
      <c r="AL640" s="212"/>
      <c r="AM640" s="212"/>
      <c r="AN640" s="212"/>
      <c r="AO640" s="212"/>
      <c r="AP640" s="212"/>
      <c r="AQ640" s="212"/>
      <c r="AR640" s="212"/>
      <c r="AS640" s="212"/>
      <c r="AT640" s="212"/>
      <c r="AU640" s="212"/>
      <c r="AV640" s="212"/>
      <c r="AW640" s="212"/>
      <c r="AX640" s="212"/>
      <c r="AY640" s="212"/>
      <c r="AZ640" s="452"/>
      <c r="BA640" s="212"/>
      <c r="BB640" s="212"/>
      <c r="BC640" s="212"/>
      <c r="BD640" s="212"/>
      <c r="BE640" s="212"/>
      <c r="BF640" s="452"/>
    </row>
    <row r="641">
      <c r="A641" s="212"/>
      <c r="B641" s="447"/>
      <c r="C641" s="212"/>
      <c r="D641" s="212"/>
      <c r="E641" s="212"/>
      <c r="F641" s="212"/>
      <c r="G641" s="212"/>
      <c r="H641" s="212"/>
      <c r="I641" s="212"/>
      <c r="J641" s="212"/>
      <c r="K641" s="212"/>
      <c r="L641" s="212"/>
      <c r="M641" s="212"/>
      <c r="N641" s="212"/>
      <c r="O641" s="212"/>
      <c r="P641" s="212"/>
      <c r="Q641" s="212"/>
      <c r="R641" s="451"/>
      <c r="S641" s="451"/>
      <c r="T641" s="212"/>
      <c r="U641" s="451"/>
      <c r="V641" s="451"/>
      <c r="W641" s="451"/>
      <c r="X641" s="451"/>
      <c r="Y641" s="212"/>
      <c r="Z641" s="212"/>
      <c r="AA641" s="212"/>
      <c r="AB641" s="212"/>
      <c r="AC641" s="212"/>
      <c r="AD641" s="212"/>
      <c r="AE641" s="450"/>
      <c r="AF641" s="212"/>
      <c r="AG641" s="212"/>
      <c r="AH641" s="212"/>
      <c r="AI641" s="212"/>
      <c r="AJ641" s="212"/>
      <c r="AK641" s="212"/>
      <c r="AL641" s="212"/>
      <c r="AM641" s="212"/>
      <c r="AN641" s="212"/>
      <c r="AO641" s="212"/>
      <c r="AP641" s="212"/>
      <c r="AQ641" s="212"/>
      <c r="AR641" s="212"/>
      <c r="AS641" s="212"/>
      <c r="AT641" s="212"/>
      <c r="AU641" s="212"/>
      <c r="AV641" s="212"/>
      <c r="AW641" s="212"/>
      <c r="AX641" s="212"/>
      <c r="AY641" s="212"/>
      <c r="AZ641" s="452"/>
      <c r="BA641" s="212"/>
      <c r="BB641" s="212"/>
      <c r="BC641" s="212"/>
      <c r="BD641" s="212"/>
      <c r="BE641" s="212"/>
      <c r="BF641" s="452"/>
    </row>
    <row r="642">
      <c r="A642" s="212"/>
      <c r="B642" s="447"/>
      <c r="C642" s="212"/>
      <c r="D642" s="212"/>
      <c r="E642" s="212"/>
      <c r="F642" s="212"/>
      <c r="G642" s="212"/>
      <c r="H642" s="212"/>
      <c r="I642" s="212"/>
      <c r="J642" s="212"/>
      <c r="K642" s="212"/>
      <c r="L642" s="212"/>
      <c r="M642" s="212"/>
      <c r="N642" s="212"/>
      <c r="O642" s="212"/>
      <c r="P642" s="212"/>
      <c r="Q642" s="212"/>
      <c r="R642" s="451"/>
      <c r="S642" s="451"/>
      <c r="T642" s="212"/>
      <c r="U642" s="451"/>
      <c r="V642" s="451"/>
      <c r="W642" s="451"/>
      <c r="X642" s="451"/>
      <c r="Y642" s="212"/>
      <c r="Z642" s="212"/>
      <c r="AA642" s="212"/>
      <c r="AB642" s="212"/>
      <c r="AC642" s="212"/>
      <c r="AD642" s="212"/>
      <c r="AE642" s="450"/>
      <c r="AF642" s="212"/>
      <c r="AG642" s="212"/>
      <c r="AH642" s="212"/>
      <c r="AI642" s="212"/>
      <c r="AJ642" s="212"/>
      <c r="AK642" s="212"/>
      <c r="AL642" s="212"/>
      <c r="AM642" s="212"/>
      <c r="AN642" s="212"/>
      <c r="AO642" s="212"/>
      <c r="AP642" s="212"/>
      <c r="AQ642" s="212"/>
      <c r="AR642" s="212"/>
      <c r="AS642" s="212"/>
      <c r="AT642" s="212"/>
      <c r="AU642" s="212"/>
      <c r="AV642" s="212"/>
      <c r="AW642" s="212"/>
      <c r="AX642" s="212"/>
      <c r="AY642" s="212"/>
      <c r="AZ642" s="452"/>
      <c r="BA642" s="212"/>
      <c r="BB642" s="212"/>
      <c r="BC642" s="212"/>
      <c r="BD642" s="212"/>
      <c r="BE642" s="212"/>
      <c r="BF642" s="452"/>
    </row>
    <row r="643">
      <c r="A643" s="212"/>
      <c r="B643" s="447"/>
      <c r="C643" s="212"/>
      <c r="D643" s="212"/>
      <c r="E643" s="212"/>
      <c r="F643" s="212"/>
      <c r="G643" s="212"/>
      <c r="H643" s="212"/>
      <c r="I643" s="212"/>
      <c r="J643" s="212"/>
      <c r="K643" s="212"/>
      <c r="L643" s="212"/>
      <c r="M643" s="212"/>
      <c r="N643" s="212"/>
      <c r="O643" s="212"/>
      <c r="P643" s="212"/>
      <c r="Q643" s="212"/>
      <c r="R643" s="451"/>
      <c r="S643" s="451"/>
      <c r="T643" s="212"/>
      <c r="U643" s="451"/>
      <c r="V643" s="451"/>
      <c r="W643" s="451"/>
      <c r="X643" s="451"/>
      <c r="Y643" s="212"/>
      <c r="Z643" s="212"/>
      <c r="AA643" s="212"/>
      <c r="AB643" s="212"/>
      <c r="AC643" s="212"/>
      <c r="AD643" s="212"/>
      <c r="AE643" s="450"/>
      <c r="AF643" s="212"/>
      <c r="AG643" s="212"/>
      <c r="AH643" s="212"/>
      <c r="AI643" s="212"/>
      <c r="AJ643" s="212"/>
      <c r="AK643" s="212"/>
      <c r="AL643" s="212"/>
      <c r="AM643" s="212"/>
      <c r="AN643" s="212"/>
      <c r="AO643" s="212"/>
      <c r="AP643" s="212"/>
      <c r="AQ643" s="212"/>
      <c r="AR643" s="212"/>
      <c r="AS643" s="212"/>
      <c r="AT643" s="212"/>
      <c r="AU643" s="212"/>
      <c r="AV643" s="212"/>
      <c r="AW643" s="212"/>
      <c r="AX643" s="212"/>
      <c r="AY643" s="212"/>
      <c r="AZ643" s="452"/>
      <c r="BA643" s="212"/>
      <c r="BB643" s="212"/>
      <c r="BC643" s="212"/>
      <c r="BD643" s="212"/>
      <c r="BE643" s="212"/>
      <c r="BF643" s="452"/>
    </row>
    <row r="644">
      <c r="A644" s="212"/>
      <c r="B644" s="447"/>
      <c r="C644" s="212"/>
      <c r="D644" s="212"/>
      <c r="E644" s="212"/>
      <c r="F644" s="212"/>
      <c r="G644" s="212"/>
      <c r="H644" s="212"/>
      <c r="I644" s="212"/>
      <c r="J644" s="212"/>
      <c r="K644" s="212"/>
      <c r="L644" s="212"/>
      <c r="M644" s="212"/>
      <c r="N644" s="212"/>
      <c r="O644" s="212"/>
      <c r="P644" s="212"/>
      <c r="Q644" s="212"/>
      <c r="R644" s="451"/>
      <c r="S644" s="451"/>
      <c r="T644" s="212"/>
      <c r="U644" s="451"/>
      <c r="V644" s="451"/>
      <c r="W644" s="451"/>
      <c r="X644" s="451"/>
      <c r="Y644" s="212"/>
      <c r="Z644" s="212"/>
      <c r="AA644" s="212"/>
      <c r="AB644" s="212"/>
      <c r="AC644" s="212"/>
      <c r="AD644" s="212"/>
      <c r="AE644" s="450"/>
      <c r="AF644" s="212"/>
      <c r="AG644" s="212"/>
      <c r="AH644" s="212"/>
      <c r="AI644" s="212"/>
      <c r="AJ644" s="212"/>
      <c r="AK644" s="212"/>
      <c r="AL644" s="212"/>
      <c r="AM644" s="212"/>
      <c r="AN644" s="212"/>
      <c r="AO644" s="212"/>
      <c r="AP644" s="212"/>
      <c r="AQ644" s="212"/>
      <c r="AR644" s="212"/>
      <c r="AS644" s="212"/>
      <c r="AT644" s="212"/>
      <c r="AU644" s="212"/>
      <c r="AV644" s="212"/>
      <c r="AW644" s="212"/>
      <c r="AX644" s="212"/>
      <c r="AY644" s="212"/>
      <c r="AZ644" s="452"/>
      <c r="BA644" s="212"/>
      <c r="BB644" s="212"/>
      <c r="BC644" s="212"/>
      <c r="BD644" s="212"/>
      <c r="BE644" s="212"/>
      <c r="BF644" s="452"/>
    </row>
    <row r="645">
      <c r="A645" s="212"/>
      <c r="B645" s="447"/>
      <c r="C645" s="212"/>
      <c r="D645" s="212"/>
      <c r="E645" s="212"/>
      <c r="F645" s="212"/>
      <c r="G645" s="212"/>
      <c r="H645" s="212"/>
      <c r="I645" s="212"/>
      <c r="J645" s="212"/>
      <c r="K645" s="212"/>
      <c r="L645" s="212"/>
      <c r="M645" s="212"/>
      <c r="N645" s="212"/>
      <c r="O645" s="212"/>
      <c r="P645" s="212"/>
      <c r="Q645" s="212"/>
      <c r="R645" s="451"/>
      <c r="S645" s="451"/>
      <c r="T645" s="212"/>
      <c r="U645" s="451"/>
      <c r="V645" s="451"/>
      <c r="W645" s="451"/>
      <c r="X645" s="451"/>
      <c r="Y645" s="212"/>
      <c r="Z645" s="212"/>
      <c r="AA645" s="212"/>
      <c r="AB645" s="212"/>
      <c r="AC645" s="212"/>
      <c r="AD645" s="212"/>
      <c r="AE645" s="450"/>
      <c r="AF645" s="212"/>
      <c r="AG645" s="212"/>
      <c r="AH645" s="212"/>
      <c r="AI645" s="212"/>
      <c r="AJ645" s="212"/>
      <c r="AK645" s="212"/>
      <c r="AL645" s="212"/>
      <c r="AM645" s="212"/>
      <c r="AN645" s="212"/>
      <c r="AO645" s="212"/>
      <c r="AP645" s="212"/>
      <c r="AQ645" s="212"/>
      <c r="AR645" s="212"/>
      <c r="AS645" s="212"/>
      <c r="AT645" s="212"/>
      <c r="AU645" s="212"/>
      <c r="AV645" s="212"/>
      <c r="AW645" s="212"/>
      <c r="AX645" s="212"/>
      <c r="AY645" s="212"/>
      <c r="AZ645" s="452"/>
      <c r="BA645" s="212"/>
      <c r="BB645" s="212"/>
      <c r="BC645" s="212"/>
      <c r="BD645" s="212"/>
      <c r="BE645" s="212"/>
      <c r="BF645" s="452"/>
    </row>
    <row r="646">
      <c r="A646" s="212"/>
      <c r="B646" s="447"/>
      <c r="C646" s="212"/>
      <c r="D646" s="212"/>
      <c r="E646" s="212"/>
      <c r="F646" s="212"/>
      <c r="G646" s="212"/>
      <c r="H646" s="212"/>
      <c r="I646" s="212"/>
      <c r="J646" s="212"/>
      <c r="K646" s="212"/>
      <c r="L646" s="212"/>
      <c r="M646" s="212"/>
      <c r="N646" s="212"/>
      <c r="O646" s="212"/>
      <c r="P646" s="212"/>
      <c r="Q646" s="212"/>
      <c r="R646" s="451"/>
      <c r="S646" s="451"/>
      <c r="T646" s="212"/>
      <c r="U646" s="451"/>
      <c r="V646" s="451"/>
      <c r="W646" s="451"/>
      <c r="X646" s="451"/>
      <c r="Y646" s="212"/>
      <c r="Z646" s="212"/>
      <c r="AA646" s="212"/>
      <c r="AB646" s="212"/>
      <c r="AC646" s="212"/>
      <c r="AD646" s="212"/>
      <c r="AE646" s="450"/>
      <c r="AF646" s="212"/>
      <c r="AG646" s="212"/>
      <c r="AH646" s="212"/>
      <c r="AI646" s="212"/>
      <c r="AJ646" s="212"/>
      <c r="AK646" s="212"/>
      <c r="AL646" s="212"/>
      <c r="AM646" s="212"/>
      <c r="AN646" s="212"/>
      <c r="AO646" s="212"/>
      <c r="AP646" s="212"/>
      <c r="AQ646" s="212"/>
      <c r="AR646" s="212"/>
      <c r="AS646" s="212"/>
      <c r="AT646" s="212"/>
      <c r="AU646" s="212"/>
      <c r="AV646" s="212"/>
      <c r="AW646" s="212"/>
      <c r="AX646" s="212"/>
      <c r="AY646" s="212"/>
      <c r="AZ646" s="452"/>
      <c r="BA646" s="212"/>
      <c r="BB646" s="212"/>
      <c r="BC646" s="212"/>
      <c r="BD646" s="212"/>
      <c r="BE646" s="212"/>
      <c r="BF646" s="452"/>
    </row>
    <row r="647">
      <c r="A647" s="212"/>
      <c r="B647" s="447"/>
      <c r="C647" s="212"/>
      <c r="D647" s="212"/>
      <c r="E647" s="212"/>
      <c r="F647" s="212"/>
      <c r="G647" s="212"/>
      <c r="H647" s="212"/>
      <c r="I647" s="212"/>
      <c r="J647" s="212"/>
      <c r="K647" s="212"/>
      <c r="L647" s="212"/>
      <c r="M647" s="212"/>
      <c r="N647" s="212"/>
      <c r="O647" s="212"/>
      <c r="P647" s="212"/>
      <c r="Q647" s="212"/>
      <c r="R647" s="451"/>
      <c r="S647" s="451"/>
      <c r="T647" s="212"/>
      <c r="U647" s="451"/>
      <c r="V647" s="451"/>
      <c r="W647" s="451"/>
      <c r="X647" s="451"/>
      <c r="Y647" s="212"/>
      <c r="Z647" s="212"/>
      <c r="AA647" s="212"/>
      <c r="AB647" s="212"/>
      <c r="AC647" s="212"/>
      <c r="AD647" s="212"/>
      <c r="AE647" s="450"/>
      <c r="AF647" s="212"/>
      <c r="AG647" s="212"/>
      <c r="AH647" s="212"/>
      <c r="AI647" s="212"/>
      <c r="AJ647" s="212"/>
      <c r="AK647" s="212"/>
      <c r="AL647" s="212"/>
      <c r="AM647" s="212"/>
      <c r="AN647" s="212"/>
      <c r="AO647" s="212"/>
      <c r="AP647" s="212"/>
      <c r="AQ647" s="212"/>
      <c r="AR647" s="212"/>
      <c r="AS647" s="212"/>
      <c r="AT647" s="212"/>
      <c r="AU647" s="212"/>
      <c r="AV647" s="212"/>
      <c r="AW647" s="212"/>
      <c r="AX647" s="212"/>
      <c r="AY647" s="212"/>
      <c r="AZ647" s="452"/>
      <c r="BA647" s="212"/>
      <c r="BB647" s="212"/>
      <c r="BC647" s="212"/>
      <c r="BD647" s="212"/>
      <c r="BE647" s="212"/>
      <c r="BF647" s="452"/>
    </row>
    <row r="648">
      <c r="A648" s="212"/>
      <c r="B648" s="447"/>
      <c r="C648" s="212"/>
      <c r="D648" s="212"/>
      <c r="E648" s="212"/>
      <c r="F648" s="212"/>
      <c r="G648" s="212"/>
      <c r="H648" s="212"/>
      <c r="I648" s="212"/>
      <c r="J648" s="212"/>
      <c r="K648" s="212"/>
      <c r="L648" s="212"/>
      <c r="M648" s="212"/>
      <c r="N648" s="212"/>
      <c r="O648" s="212"/>
      <c r="P648" s="212"/>
      <c r="Q648" s="212"/>
      <c r="R648" s="451"/>
      <c r="S648" s="451"/>
      <c r="T648" s="212"/>
      <c r="U648" s="451"/>
      <c r="V648" s="451"/>
      <c r="W648" s="451"/>
      <c r="X648" s="451"/>
      <c r="Y648" s="212"/>
      <c r="Z648" s="212"/>
      <c r="AA648" s="212"/>
      <c r="AB648" s="212"/>
      <c r="AC648" s="212"/>
      <c r="AD648" s="212"/>
      <c r="AE648" s="450"/>
      <c r="AF648" s="212"/>
      <c r="AG648" s="212"/>
      <c r="AH648" s="212"/>
      <c r="AI648" s="212"/>
      <c r="AJ648" s="212"/>
      <c r="AK648" s="212"/>
      <c r="AL648" s="212"/>
      <c r="AM648" s="212"/>
      <c r="AN648" s="212"/>
      <c r="AO648" s="212"/>
      <c r="AP648" s="212"/>
      <c r="AQ648" s="212"/>
      <c r="AR648" s="212"/>
      <c r="AS648" s="212"/>
      <c r="AT648" s="212"/>
      <c r="AU648" s="212"/>
      <c r="AV648" s="212"/>
      <c r="AW648" s="212"/>
      <c r="AX648" s="212"/>
      <c r="AY648" s="212"/>
      <c r="AZ648" s="452"/>
      <c r="BA648" s="212"/>
      <c r="BB648" s="212"/>
      <c r="BC648" s="212"/>
      <c r="BD648" s="212"/>
      <c r="BE648" s="212"/>
      <c r="BF648" s="452"/>
    </row>
    <row r="649">
      <c r="A649" s="212"/>
      <c r="B649" s="447"/>
      <c r="C649" s="212"/>
      <c r="D649" s="212"/>
      <c r="E649" s="212"/>
      <c r="F649" s="212"/>
      <c r="G649" s="212"/>
      <c r="H649" s="212"/>
      <c r="I649" s="212"/>
      <c r="J649" s="212"/>
      <c r="K649" s="212"/>
      <c r="L649" s="212"/>
      <c r="M649" s="212"/>
      <c r="N649" s="212"/>
      <c r="O649" s="212"/>
      <c r="P649" s="212"/>
      <c r="Q649" s="212"/>
      <c r="R649" s="451"/>
      <c r="S649" s="451"/>
      <c r="T649" s="212"/>
      <c r="U649" s="451"/>
      <c r="V649" s="451"/>
      <c r="W649" s="451"/>
      <c r="X649" s="451"/>
      <c r="Y649" s="212"/>
      <c r="Z649" s="212"/>
      <c r="AA649" s="212"/>
      <c r="AB649" s="212"/>
      <c r="AC649" s="212"/>
      <c r="AD649" s="212"/>
      <c r="AE649" s="450"/>
      <c r="AF649" s="212"/>
      <c r="AG649" s="212"/>
      <c r="AH649" s="212"/>
      <c r="AI649" s="212"/>
      <c r="AJ649" s="212"/>
      <c r="AK649" s="212"/>
      <c r="AL649" s="212"/>
      <c r="AM649" s="212"/>
      <c r="AN649" s="212"/>
      <c r="AO649" s="212"/>
      <c r="AP649" s="212"/>
      <c r="AQ649" s="212"/>
      <c r="AR649" s="212"/>
      <c r="AS649" s="212"/>
      <c r="AT649" s="212"/>
      <c r="AU649" s="212"/>
      <c r="AV649" s="212"/>
      <c r="AW649" s="212"/>
      <c r="AX649" s="212"/>
      <c r="AY649" s="212"/>
      <c r="AZ649" s="452"/>
      <c r="BA649" s="212"/>
      <c r="BB649" s="212"/>
      <c r="BC649" s="212"/>
      <c r="BD649" s="212"/>
      <c r="BE649" s="212"/>
      <c r="BF649" s="452"/>
    </row>
    <row r="650">
      <c r="A650" s="212"/>
      <c r="B650" s="447"/>
      <c r="C650" s="212"/>
      <c r="D650" s="212"/>
      <c r="E650" s="212"/>
      <c r="F650" s="212"/>
      <c r="G650" s="212"/>
      <c r="H650" s="212"/>
      <c r="I650" s="212"/>
      <c r="J650" s="212"/>
      <c r="K650" s="212"/>
      <c r="L650" s="212"/>
      <c r="M650" s="212"/>
      <c r="N650" s="212"/>
      <c r="O650" s="212"/>
      <c r="P650" s="212"/>
      <c r="Q650" s="212"/>
      <c r="R650" s="451"/>
      <c r="S650" s="451"/>
      <c r="T650" s="212"/>
      <c r="U650" s="451"/>
      <c r="V650" s="451"/>
      <c r="W650" s="451"/>
      <c r="X650" s="451"/>
      <c r="Y650" s="212"/>
      <c r="Z650" s="212"/>
      <c r="AA650" s="212"/>
      <c r="AB650" s="212"/>
      <c r="AC650" s="212"/>
      <c r="AD650" s="212"/>
      <c r="AE650" s="450"/>
      <c r="AF650" s="212"/>
      <c r="AG650" s="212"/>
      <c r="AH650" s="212"/>
      <c r="AI650" s="212"/>
      <c r="AJ650" s="212"/>
      <c r="AK650" s="212"/>
      <c r="AL650" s="212"/>
      <c r="AM650" s="212"/>
      <c r="AN650" s="212"/>
      <c r="AO650" s="212"/>
      <c r="AP650" s="212"/>
      <c r="AQ650" s="212"/>
      <c r="AR650" s="212"/>
      <c r="AS650" s="212"/>
      <c r="AT650" s="212"/>
      <c r="AU650" s="212"/>
      <c r="AV650" s="212"/>
      <c r="AW650" s="212"/>
      <c r="AX650" s="212"/>
      <c r="AY650" s="212"/>
      <c r="AZ650" s="452"/>
      <c r="BA650" s="212"/>
      <c r="BB650" s="212"/>
      <c r="BC650" s="212"/>
      <c r="BD650" s="212"/>
      <c r="BE650" s="212"/>
      <c r="BF650" s="452"/>
    </row>
    <row r="651">
      <c r="A651" s="212"/>
      <c r="B651" s="447"/>
      <c r="C651" s="212"/>
      <c r="D651" s="212"/>
      <c r="E651" s="212"/>
      <c r="F651" s="212"/>
      <c r="G651" s="212"/>
      <c r="H651" s="212"/>
      <c r="I651" s="212"/>
      <c r="J651" s="212"/>
      <c r="K651" s="212"/>
      <c r="L651" s="212"/>
      <c r="M651" s="212"/>
      <c r="N651" s="212"/>
      <c r="O651" s="212"/>
      <c r="P651" s="212"/>
      <c r="Q651" s="212"/>
      <c r="R651" s="451"/>
      <c r="S651" s="451"/>
      <c r="T651" s="212"/>
      <c r="U651" s="451"/>
      <c r="V651" s="451"/>
      <c r="W651" s="451"/>
      <c r="X651" s="451"/>
      <c r="Y651" s="212"/>
      <c r="Z651" s="212"/>
      <c r="AA651" s="212"/>
      <c r="AB651" s="212"/>
      <c r="AC651" s="212"/>
      <c r="AD651" s="212"/>
      <c r="AE651" s="450"/>
      <c r="AF651" s="212"/>
      <c r="AG651" s="212"/>
      <c r="AH651" s="212"/>
      <c r="AI651" s="212"/>
      <c r="AJ651" s="212"/>
      <c r="AK651" s="212"/>
      <c r="AL651" s="212"/>
      <c r="AM651" s="212"/>
      <c r="AN651" s="212"/>
      <c r="AO651" s="212"/>
      <c r="AP651" s="212"/>
      <c r="AQ651" s="212"/>
      <c r="AR651" s="212"/>
      <c r="AS651" s="212"/>
      <c r="AT651" s="212"/>
      <c r="AU651" s="212"/>
      <c r="AV651" s="212"/>
      <c r="AW651" s="212"/>
      <c r="AX651" s="212"/>
      <c r="AY651" s="212"/>
      <c r="AZ651" s="452"/>
      <c r="BA651" s="212"/>
      <c r="BB651" s="212"/>
      <c r="BC651" s="212"/>
      <c r="BD651" s="212"/>
      <c r="BE651" s="212"/>
      <c r="BF651" s="452"/>
    </row>
    <row r="652">
      <c r="A652" s="212"/>
      <c r="B652" s="447"/>
      <c r="C652" s="212"/>
      <c r="D652" s="212"/>
      <c r="E652" s="212"/>
      <c r="F652" s="212"/>
      <c r="G652" s="212"/>
      <c r="H652" s="212"/>
      <c r="I652" s="212"/>
      <c r="J652" s="212"/>
      <c r="K652" s="212"/>
      <c r="L652" s="212"/>
      <c r="M652" s="212"/>
      <c r="N652" s="212"/>
      <c r="O652" s="212"/>
      <c r="P652" s="212"/>
      <c r="Q652" s="212"/>
      <c r="R652" s="451"/>
      <c r="S652" s="451"/>
      <c r="T652" s="212"/>
      <c r="U652" s="451"/>
      <c r="V652" s="451"/>
      <c r="W652" s="451"/>
      <c r="X652" s="451"/>
      <c r="Y652" s="212"/>
      <c r="Z652" s="212"/>
      <c r="AA652" s="212"/>
      <c r="AB652" s="212"/>
      <c r="AC652" s="212"/>
      <c r="AD652" s="212"/>
      <c r="AE652" s="450"/>
      <c r="AF652" s="212"/>
      <c r="AG652" s="212"/>
      <c r="AH652" s="212"/>
      <c r="AI652" s="212"/>
      <c r="AJ652" s="212"/>
      <c r="AK652" s="212"/>
      <c r="AL652" s="212"/>
      <c r="AM652" s="212"/>
      <c r="AN652" s="212"/>
      <c r="AO652" s="212"/>
      <c r="AP652" s="212"/>
      <c r="AQ652" s="212"/>
      <c r="AR652" s="212"/>
      <c r="AS652" s="212"/>
      <c r="AT652" s="212"/>
      <c r="AU652" s="212"/>
      <c r="AV652" s="212"/>
      <c r="AW652" s="212"/>
      <c r="AX652" s="212"/>
      <c r="AY652" s="212"/>
      <c r="AZ652" s="452"/>
      <c r="BA652" s="212"/>
      <c r="BB652" s="212"/>
      <c r="BC652" s="212"/>
      <c r="BD652" s="212"/>
      <c r="BE652" s="212"/>
      <c r="BF652" s="452"/>
    </row>
    <row r="653">
      <c r="A653" s="212"/>
      <c r="B653" s="447"/>
      <c r="C653" s="212"/>
      <c r="D653" s="212"/>
      <c r="E653" s="212"/>
      <c r="F653" s="212"/>
      <c r="G653" s="212"/>
      <c r="H653" s="212"/>
      <c r="I653" s="212"/>
      <c r="J653" s="212"/>
      <c r="K653" s="212"/>
      <c r="L653" s="212"/>
      <c r="M653" s="212"/>
      <c r="N653" s="212"/>
      <c r="O653" s="212"/>
      <c r="P653" s="212"/>
      <c r="Q653" s="212"/>
      <c r="R653" s="451"/>
      <c r="S653" s="451"/>
      <c r="T653" s="212"/>
      <c r="U653" s="451"/>
      <c r="V653" s="451"/>
      <c r="W653" s="451"/>
      <c r="X653" s="451"/>
      <c r="Y653" s="212"/>
      <c r="Z653" s="212"/>
      <c r="AA653" s="212"/>
      <c r="AB653" s="212"/>
      <c r="AC653" s="212"/>
      <c r="AD653" s="212"/>
      <c r="AE653" s="450"/>
      <c r="AF653" s="212"/>
      <c r="AG653" s="212"/>
      <c r="AH653" s="212"/>
      <c r="AI653" s="212"/>
      <c r="AJ653" s="212"/>
      <c r="AK653" s="212"/>
      <c r="AL653" s="212"/>
      <c r="AM653" s="212"/>
      <c r="AN653" s="212"/>
      <c r="AO653" s="212"/>
      <c r="AP653" s="212"/>
      <c r="AQ653" s="212"/>
      <c r="AR653" s="212"/>
      <c r="AS653" s="212"/>
      <c r="AT653" s="212"/>
      <c r="AU653" s="212"/>
      <c r="AV653" s="212"/>
      <c r="AW653" s="212"/>
      <c r="AX653" s="212"/>
      <c r="AY653" s="212"/>
      <c r="AZ653" s="452"/>
      <c r="BA653" s="212"/>
      <c r="BB653" s="212"/>
      <c r="BC653" s="212"/>
      <c r="BD653" s="212"/>
      <c r="BE653" s="212"/>
      <c r="BF653" s="452"/>
    </row>
    <row r="654">
      <c r="A654" s="212"/>
      <c r="B654" s="447"/>
      <c r="C654" s="212"/>
      <c r="D654" s="212"/>
      <c r="E654" s="212"/>
      <c r="F654" s="212"/>
      <c r="G654" s="212"/>
      <c r="H654" s="212"/>
      <c r="I654" s="212"/>
      <c r="J654" s="212"/>
      <c r="K654" s="212"/>
      <c r="L654" s="212"/>
      <c r="M654" s="212"/>
      <c r="N654" s="212"/>
      <c r="O654" s="212"/>
      <c r="P654" s="212"/>
      <c r="Q654" s="212"/>
      <c r="R654" s="451"/>
      <c r="S654" s="451"/>
      <c r="T654" s="212"/>
      <c r="U654" s="451"/>
      <c r="V654" s="451"/>
      <c r="W654" s="451"/>
      <c r="X654" s="451"/>
      <c r="Y654" s="212"/>
      <c r="Z654" s="212"/>
      <c r="AA654" s="212"/>
      <c r="AB654" s="212"/>
      <c r="AC654" s="212"/>
      <c r="AD654" s="212"/>
      <c r="AE654" s="450"/>
      <c r="AF654" s="212"/>
      <c r="AG654" s="212"/>
      <c r="AH654" s="212"/>
      <c r="AI654" s="212"/>
      <c r="AJ654" s="212"/>
      <c r="AK654" s="212"/>
      <c r="AL654" s="212"/>
      <c r="AM654" s="212"/>
      <c r="AN654" s="212"/>
      <c r="AO654" s="212"/>
      <c r="AP654" s="212"/>
      <c r="AQ654" s="212"/>
      <c r="AR654" s="212"/>
      <c r="AS654" s="212"/>
      <c r="AT654" s="212"/>
      <c r="AU654" s="212"/>
      <c r="AV654" s="212"/>
      <c r="AW654" s="212"/>
      <c r="AX654" s="212"/>
      <c r="AY654" s="212"/>
      <c r="AZ654" s="452"/>
      <c r="BA654" s="212"/>
      <c r="BB654" s="212"/>
      <c r="BC654" s="212"/>
      <c r="BD654" s="212"/>
      <c r="BE654" s="212"/>
      <c r="BF654" s="452"/>
    </row>
    <row r="655">
      <c r="A655" s="212"/>
      <c r="B655" s="447"/>
      <c r="C655" s="212"/>
      <c r="D655" s="212"/>
      <c r="E655" s="212"/>
      <c r="F655" s="212"/>
      <c r="G655" s="212"/>
      <c r="H655" s="212"/>
      <c r="I655" s="212"/>
      <c r="J655" s="212"/>
      <c r="K655" s="212"/>
      <c r="L655" s="212"/>
      <c r="M655" s="212"/>
      <c r="N655" s="212"/>
      <c r="O655" s="212"/>
      <c r="P655" s="212"/>
      <c r="Q655" s="212"/>
      <c r="R655" s="451"/>
      <c r="S655" s="451"/>
      <c r="T655" s="212"/>
      <c r="U655" s="451"/>
      <c r="V655" s="451"/>
      <c r="W655" s="451"/>
      <c r="X655" s="451"/>
      <c r="Y655" s="212"/>
      <c r="Z655" s="212"/>
      <c r="AA655" s="212"/>
      <c r="AB655" s="212"/>
      <c r="AC655" s="212"/>
      <c r="AD655" s="212"/>
      <c r="AE655" s="450"/>
      <c r="AF655" s="212"/>
      <c r="AG655" s="212"/>
      <c r="AH655" s="212"/>
      <c r="AI655" s="212"/>
      <c r="AJ655" s="212"/>
      <c r="AK655" s="212"/>
      <c r="AL655" s="212"/>
      <c r="AM655" s="212"/>
      <c r="AN655" s="212"/>
      <c r="AO655" s="212"/>
      <c r="AP655" s="212"/>
      <c r="AQ655" s="212"/>
      <c r="AR655" s="212"/>
      <c r="AS655" s="212"/>
      <c r="AT655" s="212"/>
      <c r="AU655" s="212"/>
      <c r="AV655" s="212"/>
      <c r="AW655" s="212"/>
      <c r="AX655" s="212"/>
      <c r="AY655" s="212"/>
      <c r="AZ655" s="452"/>
      <c r="BA655" s="212"/>
      <c r="BB655" s="212"/>
      <c r="BC655" s="212"/>
      <c r="BD655" s="212"/>
      <c r="BE655" s="212"/>
      <c r="BF655" s="452"/>
    </row>
    <row r="656">
      <c r="A656" s="212"/>
      <c r="B656" s="447"/>
      <c r="C656" s="212"/>
      <c r="D656" s="212"/>
      <c r="E656" s="212"/>
      <c r="F656" s="212"/>
      <c r="G656" s="212"/>
      <c r="H656" s="212"/>
      <c r="I656" s="212"/>
      <c r="J656" s="212"/>
      <c r="K656" s="212"/>
      <c r="L656" s="212"/>
      <c r="M656" s="212"/>
      <c r="N656" s="212"/>
      <c r="O656" s="212"/>
      <c r="P656" s="212"/>
      <c r="Q656" s="212"/>
      <c r="R656" s="451"/>
      <c r="S656" s="451"/>
      <c r="T656" s="212"/>
      <c r="U656" s="451"/>
      <c r="V656" s="451"/>
      <c r="W656" s="451"/>
      <c r="X656" s="451"/>
      <c r="Y656" s="212"/>
      <c r="Z656" s="212"/>
      <c r="AA656" s="212"/>
      <c r="AB656" s="212"/>
      <c r="AC656" s="212"/>
      <c r="AD656" s="212"/>
      <c r="AE656" s="450"/>
      <c r="AF656" s="212"/>
      <c r="AG656" s="212"/>
      <c r="AH656" s="212"/>
      <c r="AI656" s="212"/>
      <c r="AJ656" s="212"/>
      <c r="AK656" s="212"/>
      <c r="AL656" s="212"/>
      <c r="AM656" s="212"/>
      <c r="AN656" s="212"/>
      <c r="AO656" s="212"/>
      <c r="AP656" s="212"/>
      <c r="AQ656" s="212"/>
      <c r="AR656" s="212"/>
      <c r="AS656" s="212"/>
      <c r="AT656" s="212"/>
      <c r="AU656" s="212"/>
      <c r="AV656" s="212"/>
      <c r="AW656" s="212"/>
      <c r="AX656" s="212"/>
      <c r="AY656" s="212"/>
      <c r="AZ656" s="452"/>
      <c r="BA656" s="212"/>
      <c r="BB656" s="212"/>
      <c r="BC656" s="212"/>
      <c r="BD656" s="212"/>
      <c r="BE656" s="212"/>
      <c r="BF656" s="452"/>
    </row>
    <row r="657">
      <c r="A657" s="212"/>
      <c r="B657" s="447"/>
      <c r="C657" s="212"/>
      <c r="D657" s="212"/>
      <c r="E657" s="212"/>
      <c r="F657" s="212"/>
      <c r="G657" s="212"/>
      <c r="H657" s="212"/>
      <c r="I657" s="212"/>
      <c r="J657" s="212"/>
      <c r="K657" s="212"/>
      <c r="L657" s="212"/>
      <c r="M657" s="212"/>
      <c r="N657" s="212"/>
      <c r="O657" s="212"/>
      <c r="P657" s="212"/>
      <c r="Q657" s="212"/>
      <c r="R657" s="451"/>
      <c r="S657" s="451"/>
      <c r="T657" s="212"/>
      <c r="U657" s="451"/>
      <c r="V657" s="451"/>
      <c r="W657" s="451"/>
      <c r="X657" s="451"/>
      <c r="Y657" s="212"/>
      <c r="Z657" s="212"/>
      <c r="AA657" s="212"/>
      <c r="AB657" s="212"/>
      <c r="AC657" s="212"/>
      <c r="AD657" s="212"/>
      <c r="AE657" s="450"/>
      <c r="AF657" s="212"/>
      <c r="AG657" s="212"/>
      <c r="AH657" s="212"/>
      <c r="AI657" s="212"/>
      <c r="AJ657" s="212"/>
      <c r="AK657" s="212"/>
      <c r="AL657" s="212"/>
      <c r="AM657" s="212"/>
      <c r="AN657" s="212"/>
      <c r="AO657" s="212"/>
      <c r="AP657" s="212"/>
      <c r="AQ657" s="212"/>
      <c r="AR657" s="212"/>
      <c r="AS657" s="212"/>
      <c r="AT657" s="212"/>
      <c r="AU657" s="212"/>
      <c r="AV657" s="212"/>
      <c r="AW657" s="212"/>
      <c r="AX657" s="212"/>
      <c r="AY657" s="212"/>
      <c r="AZ657" s="452"/>
      <c r="BA657" s="212"/>
      <c r="BB657" s="212"/>
      <c r="BC657" s="212"/>
      <c r="BD657" s="212"/>
      <c r="BE657" s="212"/>
      <c r="BF657" s="452"/>
    </row>
    <row r="658">
      <c r="A658" s="212"/>
      <c r="B658" s="447"/>
      <c r="C658" s="212"/>
      <c r="D658" s="212"/>
      <c r="E658" s="212"/>
      <c r="F658" s="212"/>
      <c r="G658" s="212"/>
      <c r="H658" s="212"/>
      <c r="I658" s="212"/>
      <c r="J658" s="212"/>
      <c r="K658" s="212"/>
      <c r="L658" s="212"/>
      <c r="M658" s="212"/>
      <c r="N658" s="212"/>
      <c r="O658" s="212"/>
      <c r="P658" s="212"/>
      <c r="Q658" s="212"/>
      <c r="R658" s="451"/>
      <c r="S658" s="451"/>
      <c r="T658" s="212"/>
      <c r="U658" s="451"/>
      <c r="V658" s="451"/>
      <c r="W658" s="451"/>
      <c r="X658" s="451"/>
      <c r="Y658" s="212"/>
      <c r="Z658" s="212"/>
      <c r="AA658" s="212"/>
      <c r="AB658" s="212"/>
      <c r="AC658" s="212"/>
      <c r="AD658" s="212"/>
      <c r="AE658" s="450"/>
      <c r="AF658" s="212"/>
      <c r="AG658" s="212"/>
      <c r="AH658" s="212"/>
      <c r="AI658" s="212"/>
      <c r="AJ658" s="212"/>
      <c r="AK658" s="212"/>
      <c r="AL658" s="212"/>
      <c r="AM658" s="212"/>
      <c r="AN658" s="212"/>
      <c r="AO658" s="212"/>
      <c r="AP658" s="212"/>
      <c r="AQ658" s="212"/>
      <c r="AR658" s="212"/>
      <c r="AS658" s="212"/>
      <c r="AT658" s="212"/>
      <c r="AU658" s="212"/>
      <c r="AV658" s="212"/>
      <c r="AW658" s="212"/>
      <c r="AX658" s="212"/>
      <c r="AY658" s="212"/>
      <c r="AZ658" s="452"/>
      <c r="BA658" s="212"/>
      <c r="BB658" s="212"/>
      <c r="BC658" s="212"/>
      <c r="BD658" s="212"/>
      <c r="BE658" s="212"/>
      <c r="BF658" s="452"/>
    </row>
    <row r="659">
      <c r="A659" s="212"/>
      <c r="B659" s="447"/>
      <c r="C659" s="212"/>
      <c r="D659" s="212"/>
      <c r="E659" s="212"/>
      <c r="F659" s="212"/>
      <c r="G659" s="212"/>
      <c r="H659" s="212"/>
      <c r="I659" s="212"/>
      <c r="J659" s="212"/>
      <c r="K659" s="212"/>
      <c r="L659" s="212"/>
      <c r="M659" s="212"/>
      <c r="N659" s="212"/>
      <c r="O659" s="212"/>
      <c r="P659" s="212"/>
      <c r="Q659" s="212"/>
      <c r="R659" s="451"/>
      <c r="S659" s="451"/>
      <c r="T659" s="212"/>
      <c r="U659" s="451"/>
      <c r="V659" s="451"/>
      <c r="W659" s="451"/>
      <c r="X659" s="451"/>
      <c r="Y659" s="212"/>
      <c r="Z659" s="212"/>
      <c r="AA659" s="212"/>
      <c r="AB659" s="212"/>
      <c r="AC659" s="212"/>
      <c r="AD659" s="212"/>
      <c r="AE659" s="450"/>
      <c r="AF659" s="212"/>
      <c r="AG659" s="212"/>
      <c r="AH659" s="212"/>
      <c r="AI659" s="212"/>
      <c r="AJ659" s="212"/>
      <c r="AK659" s="212"/>
      <c r="AL659" s="212"/>
      <c r="AM659" s="212"/>
      <c r="AN659" s="212"/>
      <c r="AO659" s="212"/>
      <c r="AP659" s="212"/>
      <c r="AQ659" s="212"/>
      <c r="AR659" s="212"/>
      <c r="AS659" s="212"/>
      <c r="AT659" s="212"/>
      <c r="AU659" s="212"/>
      <c r="AV659" s="212"/>
      <c r="AW659" s="212"/>
      <c r="AX659" s="212"/>
      <c r="AY659" s="212"/>
      <c r="AZ659" s="452"/>
      <c r="BA659" s="212"/>
      <c r="BB659" s="212"/>
      <c r="BC659" s="212"/>
      <c r="BD659" s="212"/>
      <c r="BE659" s="212"/>
      <c r="BF659" s="452"/>
    </row>
    <row r="660">
      <c r="A660" s="212"/>
      <c r="B660" s="447"/>
      <c r="C660" s="212"/>
      <c r="D660" s="212"/>
      <c r="E660" s="212"/>
      <c r="F660" s="212"/>
      <c r="G660" s="212"/>
      <c r="H660" s="212"/>
      <c r="I660" s="212"/>
      <c r="J660" s="212"/>
      <c r="K660" s="212"/>
      <c r="L660" s="212"/>
      <c r="M660" s="212"/>
      <c r="N660" s="212"/>
      <c r="O660" s="212"/>
      <c r="P660" s="212"/>
      <c r="Q660" s="212"/>
      <c r="R660" s="451"/>
      <c r="S660" s="451"/>
      <c r="T660" s="212"/>
      <c r="U660" s="451"/>
      <c r="V660" s="451"/>
      <c r="W660" s="451"/>
      <c r="X660" s="451"/>
      <c r="Y660" s="212"/>
      <c r="Z660" s="212"/>
      <c r="AA660" s="212"/>
      <c r="AB660" s="212"/>
      <c r="AC660" s="212"/>
      <c r="AD660" s="212"/>
      <c r="AE660" s="450"/>
      <c r="AF660" s="212"/>
      <c r="AG660" s="212"/>
      <c r="AH660" s="212"/>
      <c r="AI660" s="212"/>
      <c r="AJ660" s="212"/>
      <c r="AK660" s="212"/>
      <c r="AL660" s="212"/>
      <c r="AM660" s="212"/>
      <c r="AN660" s="212"/>
      <c r="AO660" s="212"/>
      <c r="AP660" s="212"/>
      <c r="AQ660" s="212"/>
      <c r="AR660" s="212"/>
      <c r="AS660" s="212"/>
      <c r="AT660" s="212"/>
      <c r="AU660" s="212"/>
      <c r="AV660" s="212"/>
      <c r="AW660" s="212"/>
      <c r="AX660" s="212"/>
      <c r="AY660" s="212"/>
      <c r="AZ660" s="452"/>
      <c r="BA660" s="212"/>
      <c r="BB660" s="212"/>
      <c r="BC660" s="212"/>
      <c r="BD660" s="212"/>
      <c r="BE660" s="212"/>
      <c r="BF660" s="452"/>
    </row>
    <row r="661">
      <c r="A661" s="212"/>
      <c r="B661" s="447"/>
      <c r="C661" s="212"/>
      <c r="D661" s="212"/>
      <c r="E661" s="212"/>
      <c r="F661" s="212"/>
      <c r="G661" s="212"/>
      <c r="H661" s="212"/>
      <c r="I661" s="212"/>
      <c r="J661" s="212"/>
      <c r="K661" s="212"/>
      <c r="L661" s="212"/>
      <c r="M661" s="212"/>
      <c r="N661" s="212"/>
      <c r="O661" s="212"/>
      <c r="P661" s="212"/>
      <c r="Q661" s="212"/>
      <c r="R661" s="451"/>
      <c r="S661" s="451"/>
      <c r="T661" s="212"/>
      <c r="U661" s="451"/>
      <c r="V661" s="451"/>
      <c r="W661" s="451"/>
      <c r="X661" s="451"/>
      <c r="Y661" s="212"/>
      <c r="Z661" s="212"/>
      <c r="AA661" s="212"/>
      <c r="AB661" s="212"/>
      <c r="AC661" s="212"/>
      <c r="AD661" s="212"/>
      <c r="AE661" s="450"/>
      <c r="AF661" s="212"/>
      <c r="AG661" s="212"/>
      <c r="AH661" s="212"/>
      <c r="AI661" s="212"/>
      <c r="AJ661" s="212"/>
      <c r="AK661" s="212"/>
      <c r="AL661" s="212"/>
      <c r="AM661" s="212"/>
      <c r="AN661" s="212"/>
      <c r="AO661" s="212"/>
      <c r="AP661" s="212"/>
      <c r="AQ661" s="212"/>
      <c r="AR661" s="212"/>
      <c r="AS661" s="212"/>
      <c r="AT661" s="212"/>
      <c r="AU661" s="212"/>
      <c r="AV661" s="212"/>
      <c r="AW661" s="212"/>
      <c r="AX661" s="212"/>
      <c r="AY661" s="212"/>
      <c r="AZ661" s="452"/>
      <c r="BA661" s="212"/>
      <c r="BB661" s="212"/>
      <c r="BC661" s="212"/>
      <c r="BD661" s="212"/>
      <c r="BE661" s="212"/>
      <c r="BF661" s="452"/>
    </row>
    <row r="662">
      <c r="A662" s="212"/>
      <c r="B662" s="447"/>
      <c r="C662" s="212"/>
      <c r="D662" s="212"/>
      <c r="E662" s="212"/>
      <c r="F662" s="212"/>
      <c r="G662" s="212"/>
      <c r="H662" s="212"/>
      <c r="I662" s="212"/>
      <c r="J662" s="212"/>
      <c r="K662" s="212"/>
      <c r="L662" s="212"/>
      <c r="M662" s="212"/>
      <c r="N662" s="212"/>
      <c r="O662" s="212"/>
      <c r="P662" s="212"/>
      <c r="Q662" s="212"/>
      <c r="R662" s="451"/>
      <c r="S662" s="451"/>
      <c r="T662" s="212"/>
      <c r="U662" s="451"/>
      <c r="V662" s="451"/>
      <c r="W662" s="451"/>
      <c r="X662" s="451"/>
      <c r="Y662" s="212"/>
      <c r="Z662" s="212"/>
      <c r="AA662" s="212"/>
      <c r="AB662" s="212"/>
      <c r="AC662" s="212"/>
      <c r="AD662" s="212"/>
      <c r="AE662" s="450"/>
      <c r="AF662" s="212"/>
      <c r="AG662" s="212"/>
      <c r="AH662" s="212"/>
      <c r="AI662" s="212"/>
      <c r="AJ662" s="212"/>
      <c r="AK662" s="212"/>
      <c r="AL662" s="212"/>
      <c r="AM662" s="212"/>
      <c r="AN662" s="212"/>
      <c r="AO662" s="212"/>
      <c r="AP662" s="212"/>
      <c r="AQ662" s="212"/>
      <c r="AR662" s="212"/>
      <c r="AS662" s="212"/>
      <c r="AT662" s="212"/>
      <c r="AU662" s="212"/>
      <c r="AV662" s="212"/>
      <c r="AW662" s="212"/>
      <c r="AX662" s="212"/>
      <c r="AY662" s="212"/>
      <c r="AZ662" s="452"/>
      <c r="BA662" s="212"/>
      <c r="BB662" s="212"/>
      <c r="BC662" s="212"/>
      <c r="BD662" s="212"/>
      <c r="BE662" s="212"/>
      <c r="BF662" s="452"/>
    </row>
    <row r="663">
      <c r="A663" s="212"/>
      <c r="B663" s="447"/>
      <c r="C663" s="212"/>
      <c r="D663" s="212"/>
      <c r="E663" s="212"/>
      <c r="F663" s="212"/>
      <c r="G663" s="212"/>
      <c r="H663" s="212"/>
      <c r="I663" s="212"/>
      <c r="J663" s="212"/>
      <c r="K663" s="212"/>
      <c r="L663" s="212"/>
      <c r="M663" s="212"/>
      <c r="N663" s="212"/>
      <c r="O663" s="212"/>
      <c r="P663" s="212"/>
      <c r="Q663" s="212"/>
      <c r="R663" s="451"/>
      <c r="S663" s="451"/>
      <c r="T663" s="212"/>
      <c r="U663" s="451"/>
      <c r="V663" s="451"/>
      <c r="W663" s="451"/>
      <c r="X663" s="451"/>
      <c r="Y663" s="212"/>
      <c r="Z663" s="212"/>
      <c r="AA663" s="212"/>
      <c r="AB663" s="212"/>
      <c r="AC663" s="212"/>
      <c r="AD663" s="212"/>
      <c r="AE663" s="450"/>
      <c r="AF663" s="212"/>
      <c r="AG663" s="212"/>
      <c r="AH663" s="212"/>
      <c r="AI663" s="212"/>
      <c r="AJ663" s="212"/>
      <c r="AK663" s="212"/>
      <c r="AL663" s="212"/>
      <c r="AM663" s="212"/>
      <c r="AN663" s="212"/>
      <c r="AO663" s="212"/>
      <c r="AP663" s="212"/>
      <c r="AQ663" s="212"/>
      <c r="AR663" s="212"/>
      <c r="AS663" s="212"/>
      <c r="AT663" s="212"/>
      <c r="AU663" s="212"/>
      <c r="AV663" s="212"/>
      <c r="AW663" s="212"/>
      <c r="AX663" s="212"/>
      <c r="AY663" s="212"/>
      <c r="AZ663" s="452"/>
      <c r="BA663" s="212"/>
      <c r="BB663" s="212"/>
      <c r="BC663" s="212"/>
      <c r="BD663" s="212"/>
      <c r="BE663" s="212"/>
      <c r="BF663" s="452"/>
    </row>
    <row r="664">
      <c r="A664" s="212"/>
      <c r="B664" s="447"/>
      <c r="C664" s="212"/>
      <c r="D664" s="212"/>
      <c r="E664" s="212"/>
      <c r="F664" s="212"/>
      <c r="G664" s="212"/>
      <c r="H664" s="212"/>
      <c r="I664" s="212"/>
      <c r="J664" s="212"/>
      <c r="K664" s="212"/>
      <c r="L664" s="212"/>
      <c r="M664" s="212"/>
      <c r="N664" s="212"/>
      <c r="O664" s="212"/>
      <c r="P664" s="212"/>
      <c r="Q664" s="212"/>
      <c r="R664" s="451"/>
      <c r="S664" s="451"/>
      <c r="T664" s="212"/>
      <c r="U664" s="451"/>
      <c r="V664" s="451"/>
      <c r="W664" s="451"/>
      <c r="X664" s="451"/>
      <c r="Y664" s="212"/>
      <c r="Z664" s="212"/>
      <c r="AA664" s="212"/>
      <c r="AB664" s="212"/>
      <c r="AC664" s="212"/>
      <c r="AD664" s="212"/>
      <c r="AE664" s="450"/>
      <c r="AF664" s="212"/>
      <c r="AG664" s="212"/>
      <c r="AH664" s="212"/>
      <c r="AI664" s="212"/>
      <c r="AJ664" s="212"/>
      <c r="AK664" s="212"/>
      <c r="AL664" s="212"/>
      <c r="AM664" s="212"/>
      <c r="AN664" s="212"/>
      <c r="AO664" s="212"/>
      <c r="AP664" s="212"/>
      <c r="AQ664" s="212"/>
      <c r="AR664" s="212"/>
      <c r="AS664" s="212"/>
      <c r="AT664" s="212"/>
      <c r="AU664" s="212"/>
      <c r="AV664" s="212"/>
      <c r="AW664" s="212"/>
      <c r="AX664" s="212"/>
      <c r="AY664" s="212"/>
      <c r="AZ664" s="452"/>
      <c r="BA664" s="212"/>
      <c r="BB664" s="212"/>
      <c r="BC664" s="212"/>
      <c r="BD664" s="212"/>
      <c r="BE664" s="212"/>
      <c r="BF664" s="452"/>
    </row>
    <row r="665">
      <c r="A665" s="212"/>
      <c r="B665" s="447"/>
      <c r="C665" s="212"/>
      <c r="D665" s="212"/>
      <c r="E665" s="212"/>
      <c r="F665" s="212"/>
      <c r="G665" s="212"/>
      <c r="H665" s="212"/>
      <c r="I665" s="212"/>
      <c r="J665" s="212"/>
      <c r="K665" s="212"/>
      <c r="L665" s="212"/>
      <c r="M665" s="212"/>
      <c r="N665" s="212"/>
      <c r="O665" s="212"/>
      <c r="P665" s="212"/>
      <c r="Q665" s="212"/>
      <c r="R665" s="451"/>
      <c r="S665" s="451"/>
      <c r="T665" s="212"/>
      <c r="U665" s="451"/>
      <c r="V665" s="451"/>
      <c r="W665" s="451"/>
      <c r="X665" s="451"/>
      <c r="Y665" s="212"/>
      <c r="Z665" s="212"/>
      <c r="AA665" s="212"/>
      <c r="AB665" s="212"/>
      <c r="AC665" s="212"/>
      <c r="AD665" s="212"/>
      <c r="AE665" s="450"/>
      <c r="AF665" s="212"/>
      <c r="AG665" s="212"/>
      <c r="AH665" s="212"/>
      <c r="AI665" s="212"/>
      <c r="AJ665" s="212"/>
      <c r="AK665" s="212"/>
      <c r="AL665" s="212"/>
      <c r="AM665" s="212"/>
      <c r="AN665" s="212"/>
      <c r="AO665" s="212"/>
      <c r="AP665" s="212"/>
      <c r="AQ665" s="212"/>
      <c r="AR665" s="212"/>
      <c r="AS665" s="212"/>
      <c r="AT665" s="212"/>
      <c r="AU665" s="212"/>
      <c r="AV665" s="212"/>
      <c r="AW665" s="212"/>
      <c r="AX665" s="212"/>
      <c r="AY665" s="212"/>
      <c r="AZ665" s="452"/>
      <c r="BA665" s="212"/>
      <c r="BB665" s="212"/>
      <c r="BC665" s="212"/>
      <c r="BD665" s="212"/>
      <c r="BE665" s="212"/>
      <c r="BF665" s="452"/>
    </row>
    <row r="666">
      <c r="A666" s="212"/>
      <c r="B666" s="447"/>
      <c r="C666" s="212"/>
      <c r="D666" s="212"/>
      <c r="E666" s="212"/>
      <c r="F666" s="212"/>
      <c r="G666" s="212"/>
      <c r="H666" s="212"/>
      <c r="I666" s="212"/>
      <c r="J666" s="212"/>
      <c r="K666" s="212"/>
      <c r="L666" s="212"/>
      <c r="M666" s="212"/>
      <c r="N666" s="212"/>
      <c r="O666" s="212"/>
      <c r="P666" s="212"/>
      <c r="Q666" s="212"/>
      <c r="R666" s="451"/>
      <c r="S666" s="451"/>
      <c r="T666" s="212"/>
      <c r="U666" s="451"/>
      <c r="V666" s="451"/>
      <c r="W666" s="451"/>
      <c r="X666" s="451"/>
      <c r="Y666" s="212"/>
      <c r="Z666" s="212"/>
      <c r="AA666" s="212"/>
      <c r="AB666" s="212"/>
      <c r="AC666" s="212"/>
      <c r="AD666" s="212"/>
      <c r="AE666" s="450"/>
      <c r="AF666" s="212"/>
      <c r="AG666" s="212"/>
      <c r="AH666" s="212"/>
      <c r="AI666" s="212"/>
      <c r="AJ666" s="212"/>
      <c r="AK666" s="212"/>
      <c r="AL666" s="212"/>
      <c r="AM666" s="212"/>
      <c r="AN666" s="212"/>
      <c r="AO666" s="212"/>
      <c r="AP666" s="212"/>
      <c r="AQ666" s="212"/>
      <c r="AR666" s="212"/>
      <c r="AS666" s="212"/>
      <c r="AT666" s="212"/>
      <c r="AU666" s="212"/>
      <c r="AV666" s="212"/>
      <c r="AW666" s="212"/>
      <c r="AX666" s="212"/>
      <c r="AY666" s="212"/>
      <c r="AZ666" s="452"/>
      <c r="BA666" s="212"/>
      <c r="BB666" s="212"/>
      <c r="BC666" s="212"/>
      <c r="BD666" s="212"/>
      <c r="BE666" s="212"/>
      <c r="BF666" s="452"/>
    </row>
    <row r="667">
      <c r="A667" s="212"/>
      <c r="B667" s="447"/>
      <c r="C667" s="212"/>
      <c r="D667" s="212"/>
      <c r="E667" s="212"/>
      <c r="F667" s="212"/>
      <c r="G667" s="212"/>
      <c r="H667" s="212"/>
      <c r="I667" s="212"/>
      <c r="J667" s="212"/>
      <c r="K667" s="212"/>
      <c r="L667" s="212"/>
      <c r="M667" s="212"/>
      <c r="N667" s="212"/>
      <c r="O667" s="212"/>
      <c r="P667" s="212"/>
      <c r="Q667" s="212"/>
      <c r="R667" s="451"/>
      <c r="S667" s="451"/>
      <c r="T667" s="212"/>
      <c r="U667" s="451"/>
      <c r="V667" s="451"/>
      <c r="W667" s="451"/>
      <c r="X667" s="451"/>
      <c r="Y667" s="212"/>
      <c r="Z667" s="212"/>
      <c r="AA667" s="212"/>
      <c r="AB667" s="212"/>
      <c r="AC667" s="212"/>
      <c r="AD667" s="212"/>
      <c r="AE667" s="450"/>
      <c r="AF667" s="212"/>
      <c r="AG667" s="212"/>
      <c r="AH667" s="212"/>
      <c r="AI667" s="212"/>
      <c r="AJ667" s="212"/>
      <c r="AK667" s="212"/>
      <c r="AL667" s="212"/>
      <c r="AM667" s="212"/>
      <c r="AN667" s="212"/>
      <c r="AO667" s="212"/>
      <c r="AP667" s="212"/>
      <c r="AQ667" s="212"/>
      <c r="AR667" s="212"/>
      <c r="AS667" s="212"/>
      <c r="AT667" s="212"/>
      <c r="AU667" s="212"/>
      <c r="AV667" s="212"/>
      <c r="AW667" s="212"/>
      <c r="AX667" s="212"/>
      <c r="AY667" s="212"/>
      <c r="AZ667" s="452"/>
      <c r="BA667" s="212"/>
      <c r="BB667" s="212"/>
      <c r="BC667" s="212"/>
      <c r="BD667" s="212"/>
      <c r="BE667" s="212"/>
      <c r="BF667" s="452"/>
    </row>
    <row r="668">
      <c r="A668" s="212"/>
      <c r="B668" s="447"/>
      <c r="C668" s="212"/>
      <c r="D668" s="212"/>
      <c r="E668" s="212"/>
      <c r="F668" s="212"/>
      <c r="G668" s="212"/>
      <c r="H668" s="212"/>
      <c r="I668" s="212"/>
      <c r="J668" s="212"/>
      <c r="K668" s="212"/>
      <c r="L668" s="212"/>
      <c r="M668" s="212"/>
      <c r="N668" s="212"/>
      <c r="O668" s="212"/>
      <c r="P668" s="212"/>
      <c r="Q668" s="212"/>
      <c r="R668" s="451"/>
      <c r="S668" s="451"/>
      <c r="T668" s="212"/>
      <c r="U668" s="451"/>
      <c r="V668" s="451"/>
      <c r="W668" s="451"/>
      <c r="X668" s="451"/>
      <c r="Y668" s="212"/>
      <c r="Z668" s="212"/>
      <c r="AA668" s="212"/>
      <c r="AB668" s="212"/>
      <c r="AC668" s="212"/>
      <c r="AD668" s="212"/>
      <c r="AE668" s="450"/>
      <c r="AF668" s="212"/>
      <c r="AG668" s="212"/>
      <c r="AH668" s="212"/>
      <c r="AI668" s="212"/>
      <c r="AJ668" s="212"/>
      <c r="AK668" s="212"/>
      <c r="AL668" s="212"/>
      <c r="AM668" s="212"/>
      <c r="AN668" s="212"/>
      <c r="AO668" s="212"/>
      <c r="AP668" s="212"/>
      <c r="AQ668" s="212"/>
      <c r="AR668" s="212"/>
      <c r="AS668" s="212"/>
      <c r="AT668" s="212"/>
      <c r="AU668" s="212"/>
      <c r="AV668" s="212"/>
      <c r="AW668" s="212"/>
      <c r="AX668" s="212"/>
      <c r="AY668" s="212"/>
      <c r="AZ668" s="452"/>
      <c r="BA668" s="212"/>
      <c r="BB668" s="212"/>
      <c r="BC668" s="212"/>
      <c r="BD668" s="212"/>
      <c r="BE668" s="212"/>
      <c r="BF668" s="452"/>
    </row>
    <row r="669">
      <c r="A669" s="212"/>
      <c r="B669" s="447"/>
      <c r="C669" s="212"/>
      <c r="D669" s="212"/>
      <c r="E669" s="212"/>
      <c r="F669" s="212"/>
      <c r="G669" s="212"/>
      <c r="H669" s="212"/>
      <c r="I669" s="212"/>
      <c r="J669" s="212"/>
      <c r="K669" s="212"/>
      <c r="L669" s="212"/>
      <c r="M669" s="212"/>
      <c r="N669" s="212"/>
      <c r="O669" s="212"/>
      <c r="P669" s="212"/>
      <c r="Q669" s="212"/>
      <c r="R669" s="451"/>
      <c r="S669" s="451"/>
      <c r="T669" s="212"/>
      <c r="U669" s="451"/>
      <c r="V669" s="451"/>
      <c r="W669" s="451"/>
      <c r="X669" s="451"/>
      <c r="Y669" s="212"/>
      <c r="Z669" s="212"/>
      <c r="AA669" s="212"/>
      <c r="AB669" s="212"/>
      <c r="AC669" s="212"/>
      <c r="AD669" s="212"/>
      <c r="AE669" s="450"/>
      <c r="AF669" s="212"/>
      <c r="AG669" s="212"/>
      <c r="AH669" s="212"/>
      <c r="AI669" s="212"/>
      <c r="AJ669" s="212"/>
      <c r="AK669" s="212"/>
      <c r="AL669" s="212"/>
      <c r="AM669" s="212"/>
      <c r="AN669" s="212"/>
      <c r="AO669" s="212"/>
      <c r="AP669" s="212"/>
      <c r="AQ669" s="212"/>
      <c r="AR669" s="212"/>
      <c r="AS669" s="212"/>
      <c r="AT669" s="212"/>
      <c r="AU669" s="212"/>
      <c r="AV669" s="212"/>
      <c r="AW669" s="212"/>
      <c r="AX669" s="212"/>
      <c r="AY669" s="212"/>
      <c r="AZ669" s="452"/>
      <c r="BA669" s="212"/>
      <c r="BB669" s="212"/>
      <c r="BC669" s="212"/>
      <c r="BD669" s="212"/>
      <c r="BE669" s="212"/>
      <c r="BF669" s="452"/>
    </row>
    <row r="670">
      <c r="A670" s="212"/>
      <c r="B670" s="447"/>
      <c r="C670" s="212"/>
      <c r="D670" s="212"/>
      <c r="E670" s="212"/>
      <c r="F670" s="212"/>
      <c r="G670" s="212"/>
      <c r="H670" s="212"/>
      <c r="I670" s="212"/>
      <c r="J670" s="212"/>
      <c r="K670" s="212"/>
      <c r="L670" s="212"/>
      <c r="M670" s="212"/>
      <c r="N670" s="212"/>
      <c r="O670" s="212"/>
      <c r="P670" s="212"/>
      <c r="Q670" s="212"/>
      <c r="R670" s="451"/>
      <c r="S670" s="451"/>
      <c r="T670" s="212"/>
      <c r="U670" s="451"/>
      <c r="V670" s="451"/>
      <c r="W670" s="451"/>
      <c r="X670" s="451"/>
      <c r="Y670" s="212"/>
      <c r="Z670" s="212"/>
      <c r="AA670" s="212"/>
      <c r="AB670" s="212"/>
      <c r="AC670" s="212"/>
      <c r="AD670" s="212"/>
      <c r="AE670" s="450"/>
      <c r="AF670" s="212"/>
      <c r="AG670" s="212"/>
      <c r="AH670" s="212"/>
      <c r="AI670" s="212"/>
      <c r="AJ670" s="212"/>
      <c r="AK670" s="212"/>
      <c r="AL670" s="212"/>
      <c r="AM670" s="212"/>
      <c r="AN670" s="212"/>
      <c r="AO670" s="212"/>
      <c r="AP670" s="212"/>
      <c r="AQ670" s="212"/>
      <c r="AR670" s="212"/>
      <c r="AS670" s="212"/>
      <c r="AT670" s="212"/>
      <c r="AU670" s="212"/>
      <c r="AV670" s="212"/>
      <c r="AW670" s="212"/>
      <c r="AX670" s="212"/>
      <c r="AY670" s="212"/>
      <c r="AZ670" s="452"/>
      <c r="BA670" s="212"/>
      <c r="BB670" s="212"/>
      <c r="BC670" s="212"/>
      <c r="BD670" s="212"/>
      <c r="BE670" s="212"/>
      <c r="BF670" s="452"/>
    </row>
    <row r="671">
      <c r="A671" s="212"/>
      <c r="B671" s="447"/>
      <c r="C671" s="212"/>
      <c r="D671" s="212"/>
      <c r="E671" s="212"/>
      <c r="F671" s="212"/>
      <c r="G671" s="212"/>
      <c r="H671" s="212"/>
      <c r="I671" s="212"/>
      <c r="J671" s="212"/>
      <c r="K671" s="212"/>
      <c r="L671" s="212"/>
      <c r="M671" s="212"/>
      <c r="N671" s="212"/>
      <c r="O671" s="212"/>
      <c r="P671" s="212"/>
      <c r="Q671" s="212"/>
      <c r="R671" s="451"/>
      <c r="S671" s="451"/>
      <c r="T671" s="212"/>
      <c r="U671" s="451"/>
      <c r="V671" s="451"/>
      <c r="W671" s="451"/>
      <c r="X671" s="451"/>
      <c r="Y671" s="212"/>
      <c r="Z671" s="212"/>
      <c r="AA671" s="212"/>
      <c r="AB671" s="212"/>
      <c r="AC671" s="212"/>
      <c r="AD671" s="212"/>
      <c r="AE671" s="450"/>
      <c r="AF671" s="212"/>
      <c r="AG671" s="212"/>
      <c r="AH671" s="212"/>
      <c r="AI671" s="212"/>
      <c r="AJ671" s="212"/>
      <c r="AK671" s="212"/>
      <c r="AL671" s="212"/>
      <c r="AM671" s="212"/>
      <c r="AN671" s="212"/>
      <c r="AO671" s="212"/>
      <c r="AP671" s="212"/>
      <c r="AQ671" s="212"/>
      <c r="AR671" s="212"/>
      <c r="AS671" s="212"/>
      <c r="AT671" s="212"/>
      <c r="AU671" s="212"/>
      <c r="AV671" s="212"/>
      <c r="AW671" s="212"/>
      <c r="AX671" s="212"/>
      <c r="AY671" s="212"/>
      <c r="AZ671" s="452"/>
      <c r="BA671" s="212"/>
      <c r="BB671" s="212"/>
      <c r="BC671" s="212"/>
      <c r="BD671" s="212"/>
      <c r="BE671" s="212"/>
      <c r="BF671" s="452"/>
    </row>
    <row r="672">
      <c r="A672" s="212"/>
      <c r="B672" s="447"/>
      <c r="C672" s="212"/>
      <c r="D672" s="212"/>
      <c r="E672" s="212"/>
      <c r="F672" s="212"/>
      <c r="G672" s="212"/>
      <c r="H672" s="212"/>
      <c r="I672" s="212"/>
      <c r="J672" s="212"/>
      <c r="K672" s="212"/>
      <c r="L672" s="212"/>
      <c r="M672" s="212"/>
      <c r="N672" s="212"/>
      <c r="O672" s="212"/>
      <c r="P672" s="212"/>
      <c r="Q672" s="212"/>
      <c r="R672" s="451"/>
      <c r="S672" s="451"/>
      <c r="T672" s="212"/>
      <c r="U672" s="451"/>
      <c r="V672" s="451"/>
      <c r="W672" s="451"/>
      <c r="X672" s="451"/>
      <c r="Y672" s="212"/>
      <c r="Z672" s="212"/>
      <c r="AA672" s="212"/>
      <c r="AB672" s="212"/>
      <c r="AC672" s="212"/>
      <c r="AD672" s="212"/>
      <c r="AE672" s="450"/>
      <c r="AF672" s="212"/>
      <c r="AG672" s="212"/>
      <c r="AH672" s="212"/>
      <c r="AI672" s="212"/>
      <c r="AJ672" s="212"/>
      <c r="AK672" s="212"/>
      <c r="AL672" s="212"/>
      <c r="AM672" s="212"/>
      <c r="AN672" s="212"/>
      <c r="AO672" s="212"/>
      <c r="AP672" s="212"/>
      <c r="AQ672" s="212"/>
      <c r="AR672" s="212"/>
      <c r="AS672" s="212"/>
      <c r="AT672" s="212"/>
      <c r="AU672" s="212"/>
      <c r="AV672" s="212"/>
      <c r="AW672" s="212"/>
      <c r="AX672" s="212"/>
      <c r="AY672" s="212"/>
      <c r="AZ672" s="452"/>
      <c r="BA672" s="212"/>
      <c r="BB672" s="212"/>
      <c r="BC672" s="212"/>
      <c r="BD672" s="212"/>
      <c r="BE672" s="212"/>
      <c r="BF672" s="452"/>
    </row>
    <row r="673">
      <c r="A673" s="212"/>
      <c r="B673" s="447"/>
      <c r="C673" s="212"/>
      <c r="D673" s="212"/>
      <c r="E673" s="212"/>
      <c r="F673" s="212"/>
      <c r="G673" s="212"/>
      <c r="H673" s="212"/>
      <c r="I673" s="212"/>
      <c r="J673" s="212"/>
      <c r="K673" s="212"/>
      <c r="L673" s="212"/>
      <c r="M673" s="212"/>
      <c r="N673" s="212"/>
      <c r="O673" s="212"/>
      <c r="P673" s="212"/>
      <c r="Q673" s="212"/>
      <c r="R673" s="451"/>
      <c r="S673" s="451"/>
      <c r="T673" s="212"/>
      <c r="U673" s="451"/>
      <c r="V673" s="451"/>
      <c r="W673" s="451"/>
      <c r="X673" s="451"/>
      <c r="Y673" s="212"/>
      <c r="Z673" s="212"/>
      <c r="AA673" s="212"/>
      <c r="AB673" s="212"/>
      <c r="AC673" s="212"/>
      <c r="AD673" s="212"/>
      <c r="AE673" s="450"/>
      <c r="AF673" s="212"/>
      <c r="AG673" s="212"/>
      <c r="AH673" s="212"/>
      <c r="AI673" s="212"/>
      <c r="AJ673" s="212"/>
      <c r="AK673" s="212"/>
      <c r="AL673" s="212"/>
      <c r="AM673" s="212"/>
      <c r="AN673" s="212"/>
      <c r="AO673" s="212"/>
      <c r="AP673" s="212"/>
      <c r="AQ673" s="212"/>
      <c r="AR673" s="212"/>
      <c r="AS673" s="212"/>
      <c r="AT673" s="212"/>
      <c r="AU673" s="212"/>
      <c r="AV673" s="212"/>
      <c r="AW673" s="212"/>
      <c r="AX673" s="212"/>
      <c r="AY673" s="212"/>
      <c r="AZ673" s="452"/>
      <c r="BA673" s="212"/>
      <c r="BB673" s="212"/>
      <c r="BC673" s="212"/>
      <c r="BD673" s="212"/>
      <c r="BE673" s="212"/>
      <c r="BF673" s="452"/>
    </row>
    <row r="674">
      <c r="A674" s="212"/>
      <c r="B674" s="447"/>
      <c r="C674" s="212"/>
      <c r="D674" s="212"/>
      <c r="E674" s="212"/>
      <c r="F674" s="212"/>
      <c r="G674" s="212"/>
      <c r="H674" s="212"/>
      <c r="I674" s="212"/>
      <c r="J674" s="212"/>
      <c r="K674" s="212"/>
      <c r="L674" s="212"/>
      <c r="M674" s="212"/>
      <c r="N674" s="212"/>
      <c r="O674" s="212"/>
      <c r="P674" s="212"/>
      <c r="Q674" s="212"/>
      <c r="R674" s="451"/>
      <c r="S674" s="451"/>
      <c r="T674" s="212"/>
      <c r="U674" s="451"/>
      <c r="V674" s="451"/>
      <c r="W674" s="451"/>
      <c r="X674" s="451"/>
      <c r="Y674" s="212"/>
      <c r="Z674" s="212"/>
      <c r="AA674" s="212"/>
      <c r="AB674" s="212"/>
      <c r="AC674" s="212"/>
      <c r="AD674" s="212"/>
      <c r="AE674" s="450"/>
      <c r="AF674" s="212"/>
      <c r="AG674" s="212"/>
      <c r="AH674" s="212"/>
      <c r="AI674" s="212"/>
      <c r="AJ674" s="212"/>
      <c r="AK674" s="212"/>
      <c r="AL674" s="212"/>
      <c r="AM674" s="212"/>
      <c r="AN674" s="212"/>
      <c r="AO674" s="212"/>
      <c r="AP674" s="212"/>
      <c r="AQ674" s="212"/>
      <c r="AR674" s="212"/>
      <c r="AS674" s="212"/>
      <c r="AT674" s="212"/>
      <c r="AU674" s="212"/>
      <c r="AV674" s="212"/>
      <c r="AW674" s="212"/>
      <c r="AX674" s="212"/>
      <c r="AY674" s="212"/>
      <c r="AZ674" s="452"/>
      <c r="BA674" s="212"/>
      <c r="BB674" s="212"/>
      <c r="BC674" s="212"/>
      <c r="BD674" s="212"/>
      <c r="BE674" s="212"/>
      <c r="BF674" s="452"/>
    </row>
    <row r="675">
      <c r="A675" s="212"/>
      <c r="B675" s="447"/>
      <c r="C675" s="212"/>
      <c r="D675" s="212"/>
      <c r="E675" s="212"/>
      <c r="F675" s="212"/>
      <c r="G675" s="212"/>
      <c r="H675" s="212"/>
      <c r="I675" s="212"/>
      <c r="J675" s="212"/>
      <c r="K675" s="212"/>
      <c r="L675" s="212"/>
      <c r="M675" s="212"/>
      <c r="N675" s="212"/>
      <c r="O675" s="212"/>
      <c r="P675" s="212"/>
      <c r="Q675" s="212"/>
      <c r="R675" s="451"/>
      <c r="S675" s="451"/>
      <c r="T675" s="212"/>
      <c r="U675" s="451"/>
      <c r="V675" s="451"/>
      <c r="W675" s="451"/>
      <c r="X675" s="451"/>
      <c r="Y675" s="212"/>
      <c r="Z675" s="212"/>
      <c r="AA675" s="212"/>
      <c r="AB675" s="212"/>
      <c r="AC675" s="212"/>
      <c r="AD675" s="212"/>
      <c r="AE675" s="450"/>
      <c r="AF675" s="212"/>
      <c r="AG675" s="212"/>
      <c r="AH675" s="212"/>
      <c r="AI675" s="212"/>
      <c r="AJ675" s="212"/>
      <c r="AK675" s="212"/>
      <c r="AL675" s="212"/>
      <c r="AM675" s="212"/>
      <c r="AN675" s="212"/>
      <c r="AO675" s="212"/>
      <c r="AP675" s="212"/>
      <c r="AQ675" s="212"/>
      <c r="AR675" s="212"/>
      <c r="AS675" s="212"/>
      <c r="AT675" s="212"/>
      <c r="AU675" s="212"/>
      <c r="AV675" s="212"/>
      <c r="AW675" s="212"/>
      <c r="AX675" s="212"/>
      <c r="AY675" s="212"/>
      <c r="AZ675" s="452"/>
      <c r="BA675" s="212"/>
      <c r="BB675" s="212"/>
      <c r="BC675" s="212"/>
      <c r="BD675" s="212"/>
      <c r="BE675" s="212"/>
      <c r="BF675" s="452"/>
    </row>
    <row r="676">
      <c r="A676" s="212"/>
      <c r="B676" s="447"/>
      <c r="C676" s="212"/>
      <c r="D676" s="212"/>
      <c r="E676" s="212"/>
      <c r="F676" s="212"/>
      <c r="G676" s="212"/>
      <c r="H676" s="212"/>
      <c r="I676" s="212"/>
      <c r="J676" s="212"/>
      <c r="K676" s="212"/>
      <c r="L676" s="212"/>
      <c r="M676" s="212"/>
      <c r="N676" s="212"/>
      <c r="O676" s="212"/>
      <c r="P676" s="212"/>
      <c r="Q676" s="212"/>
      <c r="R676" s="451"/>
      <c r="S676" s="451"/>
      <c r="T676" s="212"/>
      <c r="U676" s="451"/>
      <c r="V676" s="451"/>
      <c r="W676" s="451"/>
      <c r="X676" s="451"/>
      <c r="Y676" s="212"/>
      <c r="Z676" s="212"/>
      <c r="AA676" s="212"/>
      <c r="AB676" s="212"/>
      <c r="AC676" s="212"/>
      <c r="AD676" s="212"/>
      <c r="AE676" s="450"/>
      <c r="AF676" s="212"/>
      <c r="AG676" s="212"/>
      <c r="AH676" s="212"/>
      <c r="AI676" s="212"/>
      <c r="AJ676" s="212"/>
      <c r="AK676" s="212"/>
      <c r="AL676" s="212"/>
      <c r="AM676" s="212"/>
      <c r="AN676" s="212"/>
      <c r="AO676" s="212"/>
      <c r="AP676" s="212"/>
      <c r="AQ676" s="212"/>
      <c r="AR676" s="212"/>
      <c r="AS676" s="212"/>
      <c r="AT676" s="212"/>
      <c r="AU676" s="212"/>
      <c r="AV676" s="212"/>
      <c r="AW676" s="212"/>
      <c r="AX676" s="212"/>
      <c r="AY676" s="212"/>
      <c r="AZ676" s="452"/>
      <c r="BA676" s="212"/>
      <c r="BB676" s="212"/>
      <c r="BC676" s="212"/>
      <c r="BD676" s="212"/>
      <c r="BE676" s="212"/>
      <c r="BF676" s="452"/>
    </row>
    <row r="677">
      <c r="A677" s="212"/>
      <c r="B677" s="447"/>
      <c r="C677" s="212"/>
      <c r="D677" s="212"/>
      <c r="E677" s="212"/>
      <c r="F677" s="212"/>
      <c r="G677" s="212"/>
      <c r="H677" s="212"/>
      <c r="I677" s="212"/>
      <c r="J677" s="212"/>
      <c r="K677" s="212"/>
      <c r="L677" s="212"/>
      <c r="M677" s="212"/>
      <c r="N677" s="212"/>
      <c r="O677" s="212"/>
      <c r="P677" s="212"/>
      <c r="Q677" s="212"/>
      <c r="R677" s="451"/>
      <c r="S677" s="451"/>
      <c r="T677" s="212"/>
      <c r="U677" s="451"/>
      <c r="V677" s="451"/>
      <c r="W677" s="451"/>
      <c r="X677" s="451"/>
      <c r="Y677" s="212"/>
      <c r="Z677" s="212"/>
      <c r="AA677" s="212"/>
      <c r="AB677" s="212"/>
      <c r="AC677" s="212"/>
      <c r="AD677" s="212"/>
      <c r="AE677" s="450"/>
      <c r="AF677" s="212"/>
      <c r="AG677" s="212"/>
      <c r="AH677" s="212"/>
      <c r="AI677" s="212"/>
      <c r="AJ677" s="212"/>
      <c r="AK677" s="212"/>
      <c r="AL677" s="212"/>
      <c r="AM677" s="212"/>
      <c r="AN677" s="212"/>
      <c r="AO677" s="212"/>
      <c r="AP677" s="212"/>
      <c r="AQ677" s="212"/>
      <c r="AR677" s="212"/>
      <c r="AS677" s="212"/>
      <c r="AT677" s="212"/>
      <c r="AU677" s="212"/>
      <c r="AV677" s="212"/>
      <c r="AW677" s="212"/>
      <c r="AX677" s="212"/>
      <c r="AY677" s="212"/>
      <c r="AZ677" s="452"/>
      <c r="BA677" s="212"/>
      <c r="BB677" s="212"/>
      <c r="BC677" s="212"/>
      <c r="BD677" s="212"/>
      <c r="BE677" s="212"/>
      <c r="BF677" s="452"/>
    </row>
    <row r="678">
      <c r="A678" s="212"/>
      <c r="B678" s="447"/>
      <c r="C678" s="212"/>
      <c r="D678" s="212"/>
      <c r="E678" s="212"/>
      <c r="F678" s="212"/>
      <c r="G678" s="212"/>
      <c r="H678" s="212"/>
      <c r="I678" s="212"/>
      <c r="J678" s="212"/>
      <c r="K678" s="212"/>
      <c r="L678" s="212"/>
      <c r="M678" s="212"/>
      <c r="N678" s="212"/>
      <c r="O678" s="212"/>
      <c r="P678" s="212"/>
      <c r="Q678" s="212"/>
      <c r="R678" s="451"/>
      <c r="S678" s="451"/>
      <c r="T678" s="212"/>
      <c r="U678" s="451"/>
      <c r="V678" s="451"/>
      <c r="W678" s="451"/>
      <c r="X678" s="451"/>
      <c r="Y678" s="212"/>
      <c r="Z678" s="212"/>
      <c r="AA678" s="212"/>
      <c r="AB678" s="212"/>
      <c r="AC678" s="212"/>
      <c r="AD678" s="212"/>
      <c r="AE678" s="450"/>
      <c r="AF678" s="212"/>
      <c r="AG678" s="212"/>
      <c r="AH678" s="212"/>
      <c r="AI678" s="212"/>
      <c r="AJ678" s="212"/>
      <c r="AK678" s="212"/>
      <c r="AL678" s="212"/>
      <c r="AM678" s="212"/>
      <c r="AN678" s="212"/>
      <c r="AO678" s="212"/>
      <c r="AP678" s="212"/>
      <c r="AQ678" s="212"/>
      <c r="AR678" s="212"/>
      <c r="AS678" s="212"/>
      <c r="AT678" s="212"/>
      <c r="AU678" s="212"/>
      <c r="AV678" s="212"/>
      <c r="AW678" s="212"/>
      <c r="AX678" s="212"/>
      <c r="AY678" s="212"/>
      <c r="AZ678" s="452"/>
      <c r="BA678" s="212"/>
      <c r="BB678" s="212"/>
      <c r="BC678" s="212"/>
      <c r="BD678" s="212"/>
      <c r="BE678" s="212"/>
      <c r="BF678" s="452"/>
    </row>
    <row r="679">
      <c r="A679" s="212"/>
      <c r="B679" s="447"/>
      <c r="C679" s="212"/>
      <c r="D679" s="212"/>
      <c r="E679" s="212"/>
      <c r="F679" s="212"/>
      <c r="G679" s="212"/>
      <c r="H679" s="212"/>
      <c r="I679" s="212"/>
      <c r="J679" s="212"/>
      <c r="K679" s="212"/>
      <c r="L679" s="212"/>
      <c r="M679" s="212"/>
      <c r="N679" s="212"/>
      <c r="O679" s="212"/>
      <c r="P679" s="212"/>
      <c r="Q679" s="212"/>
      <c r="R679" s="451"/>
      <c r="S679" s="451"/>
      <c r="T679" s="212"/>
      <c r="U679" s="451"/>
      <c r="V679" s="451"/>
      <c r="W679" s="451"/>
      <c r="X679" s="451"/>
      <c r="Y679" s="212"/>
      <c r="Z679" s="212"/>
      <c r="AA679" s="212"/>
      <c r="AB679" s="212"/>
      <c r="AC679" s="212"/>
      <c r="AD679" s="212"/>
      <c r="AE679" s="450"/>
      <c r="AF679" s="212"/>
      <c r="AG679" s="212"/>
      <c r="AH679" s="212"/>
      <c r="AI679" s="212"/>
      <c r="AJ679" s="212"/>
      <c r="AK679" s="212"/>
      <c r="AL679" s="212"/>
      <c r="AM679" s="212"/>
      <c r="AN679" s="212"/>
      <c r="AO679" s="212"/>
      <c r="AP679" s="212"/>
      <c r="AQ679" s="212"/>
      <c r="AR679" s="212"/>
      <c r="AS679" s="212"/>
      <c r="AT679" s="212"/>
      <c r="AU679" s="212"/>
      <c r="AV679" s="212"/>
      <c r="AW679" s="212"/>
      <c r="AX679" s="212"/>
      <c r="AY679" s="212"/>
      <c r="AZ679" s="452"/>
      <c r="BA679" s="212"/>
      <c r="BB679" s="212"/>
      <c r="BC679" s="212"/>
      <c r="BD679" s="212"/>
      <c r="BE679" s="212"/>
      <c r="BF679" s="452"/>
    </row>
    <row r="680">
      <c r="A680" s="212"/>
      <c r="B680" s="447"/>
      <c r="C680" s="212"/>
      <c r="D680" s="212"/>
      <c r="E680" s="212"/>
      <c r="F680" s="212"/>
      <c r="G680" s="212"/>
      <c r="H680" s="212"/>
      <c r="I680" s="212"/>
      <c r="J680" s="212"/>
      <c r="K680" s="212"/>
      <c r="L680" s="212"/>
      <c r="M680" s="212"/>
      <c r="N680" s="212"/>
      <c r="O680" s="212"/>
      <c r="P680" s="212"/>
      <c r="Q680" s="212"/>
      <c r="R680" s="451"/>
      <c r="S680" s="451"/>
      <c r="T680" s="212"/>
      <c r="U680" s="451"/>
      <c r="V680" s="451"/>
      <c r="W680" s="451"/>
      <c r="X680" s="451"/>
      <c r="Y680" s="212"/>
      <c r="Z680" s="212"/>
      <c r="AA680" s="212"/>
      <c r="AB680" s="212"/>
      <c r="AC680" s="212"/>
      <c r="AD680" s="212"/>
      <c r="AE680" s="450"/>
      <c r="AF680" s="212"/>
      <c r="AG680" s="212"/>
      <c r="AH680" s="212"/>
      <c r="AI680" s="212"/>
      <c r="AJ680" s="212"/>
      <c r="AK680" s="212"/>
      <c r="AL680" s="212"/>
      <c r="AM680" s="212"/>
      <c r="AN680" s="212"/>
      <c r="AO680" s="212"/>
      <c r="AP680" s="212"/>
      <c r="AQ680" s="212"/>
      <c r="AR680" s="212"/>
      <c r="AS680" s="212"/>
      <c r="AT680" s="212"/>
      <c r="AU680" s="212"/>
      <c r="AV680" s="212"/>
      <c r="AW680" s="212"/>
      <c r="AX680" s="212"/>
      <c r="AY680" s="212"/>
      <c r="AZ680" s="452"/>
      <c r="BA680" s="212"/>
      <c r="BB680" s="212"/>
      <c r="BC680" s="212"/>
      <c r="BD680" s="212"/>
      <c r="BE680" s="212"/>
      <c r="BF680" s="452"/>
    </row>
    <row r="681">
      <c r="A681" s="212"/>
      <c r="B681" s="447"/>
      <c r="C681" s="212"/>
      <c r="D681" s="212"/>
      <c r="E681" s="212"/>
      <c r="F681" s="212"/>
      <c r="G681" s="212"/>
      <c r="H681" s="212"/>
      <c r="I681" s="212"/>
      <c r="J681" s="212"/>
      <c r="K681" s="212"/>
      <c r="L681" s="212"/>
      <c r="M681" s="212"/>
      <c r="N681" s="212"/>
      <c r="O681" s="212"/>
      <c r="P681" s="212"/>
      <c r="Q681" s="212"/>
      <c r="R681" s="451"/>
      <c r="S681" s="451"/>
      <c r="T681" s="212"/>
      <c r="U681" s="451"/>
      <c r="V681" s="451"/>
      <c r="W681" s="451"/>
      <c r="X681" s="451"/>
      <c r="Y681" s="212"/>
      <c r="Z681" s="212"/>
      <c r="AA681" s="212"/>
      <c r="AB681" s="212"/>
      <c r="AC681" s="212"/>
      <c r="AD681" s="212"/>
      <c r="AE681" s="450"/>
      <c r="AF681" s="212"/>
      <c r="AG681" s="212"/>
      <c r="AH681" s="212"/>
      <c r="AI681" s="212"/>
      <c r="AJ681" s="212"/>
      <c r="AK681" s="212"/>
      <c r="AL681" s="212"/>
      <c r="AM681" s="212"/>
      <c r="AN681" s="212"/>
      <c r="AO681" s="212"/>
      <c r="AP681" s="212"/>
      <c r="AQ681" s="212"/>
      <c r="AR681" s="212"/>
      <c r="AS681" s="212"/>
      <c r="AT681" s="212"/>
      <c r="AU681" s="212"/>
      <c r="AV681" s="212"/>
      <c r="AW681" s="212"/>
      <c r="AX681" s="212"/>
      <c r="AY681" s="212"/>
      <c r="AZ681" s="452"/>
      <c r="BA681" s="212"/>
      <c r="BB681" s="212"/>
      <c r="BC681" s="212"/>
      <c r="BD681" s="212"/>
      <c r="BE681" s="212"/>
      <c r="BF681" s="452"/>
    </row>
    <row r="682">
      <c r="A682" s="212"/>
      <c r="B682" s="447"/>
      <c r="C682" s="212"/>
      <c r="D682" s="212"/>
      <c r="E682" s="212"/>
      <c r="F682" s="212"/>
      <c r="G682" s="212"/>
      <c r="H682" s="212"/>
      <c r="I682" s="212"/>
      <c r="J682" s="212"/>
      <c r="K682" s="212"/>
      <c r="L682" s="212"/>
      <c r="M682" s="212"/>
      <c r="N682" s="212"/>
      <c r="O682" s="212"/>
      <c r="P682" s="212"/>
      <c r="Q682" s="212"/>
      <c r="R682" s="451"/>
      <c r="S682" s="451"/>
      <c r="T682" s="212"/>
      <c r="U682" s="451"/>
      <c r="V682" s="451"/>
      <c r="W682" s="451"/>
      <c r="X682" s="451"/>
      <c r="Y682" s="212"/>
      <c r="Z682" s="212"/>
      <c r="AA682" s="212"/>
      <c r="AB682" s="212"/>
      <c r="AC682" s="212"/>
      <c r="AD682" s="212"/>
      <c r="AE682" s="450"/>
      <c r="AF682" s="212"/>
      <c r="AG682" s="212"/>
      <c r="AH682" s="212"/>
      <c r="AI682" s="212"/>
      <c r="AJ682" s="212"/>
      <c r="AK682" s="212"/>
      <c r="AL682" s="212"/>
      <c r="AM682" s="212"/>
      <c r="AN682" s="212"/>
      <c r="AO682" s="212"/>
      <c r="AP682" s="212"/>
      <c r="AQ682" s="212"/>
      <c r="AR682" s="212"/>
      <c r="AS682" s="212"/>
      <c r="AT682" s="212"/>
      <c r="AU682" s="212"/>
      <c r="AV682" s="212"/>
      <c r="AW682" s="212"/>
      <c r="AX682" s="212"/>
      <c r="AY682" s="212"/>
      <c r="AZ682" s="452"/>
      <c r="BA682" s="212"/>
      <c r="BB682" s="212"/>
      <c r="BC682" s="212"/>
      <c r="BD682" s="212"/>
      <c r="BE682" s="212"/>
      <c r="BF682" s="452"/>
    </row>
    <row r="683">
      <c r="A683" s="212"/>
      <c r="B683" s="447"/>
      <c r="C683" s="212"/>
      <c r="D683" s="212"/>
      <c r="E683" s="212"/>
      <c r="F683" s="212"/>
      <c r="G683" s="212"/>
      <c r="H683" s="212"/>
      <c r="I683" s="212"/>
      <c r="J683" s="212"/>
      <c r="K683" s="212"/>
      <c r="L683" s="212"/>
      <c r="M683" s="212"/>
      <c r="N683" s="212"/>
      <c r="O683" s="212"/>
      <c r="P683" s="212"/>
      <c r="Q683" s="212"/>
      <c r="R683" s="451"/>
      <c r="S683" s="451"/>
      <c r="T683" s="212"/>
      <c r="U683" s="451"/>
      <c r="V683" s="451"/>
      <c r="W683" s="451"/>
      <c r="X683" s="451"/>
      <c r="Y683" s="212"/>
      <c r="Z683" s="212"/>
      <c r="AA683" s="212"/>
      <c r="AB683" s="212"/>
      <c r="AC683" s="212"/>
      <c r="AD683" s="212"/>
      <c r="AE683" s="450"/>
      <c r="AF683" s="212"/>
      <c r="AG683" s="212"/>
      <c r="AH683" s="212"/>
      <c r="AI683" s="212"/>
      <c r="AJ683" s="212"/>
      <c r="AK683" s="212"/>
      <c r="AL683" s="212"/>
      <c r="AM683" s="212"/>
      <c r="AN683" s="212"/>
      <c r="AO683" s="212"/>
      <c r="AP683" s="212"/>
      <c r="AQ683" s="212"/>
      <c r="AR683" s="212"/>
      <c r="AS683" s="212"/>
      <c r="AT683" s="212"/>
      <c r="AU683" s="212"/>
      <c r="AV683" s="212"/>
      <c r="AW683" s="212"/>
      <c r="AX683" s="212"/>
      <c r="AY683" s="212"/>
      <c r="AZ683" s="452"/>
      <c r="BA683" s="212"/>
      <c r="BB683" s="212"/>
      <c r="BC683" s="212"/>
      <c r="BD683" s="212"/>
      <c r="BE683" s="212"/>
      <c r="BF683" s="452"/>
    </row>
    <row r="684">
      <c r="A684" s="212"/>
      <c r="B684" s="447"/>
      <c r="C684" s="212"/>
      <c r="D684" s="212"/>
      <c r="E684" s="212"/>
      <c r="F684" s="212"/>
      <c r="G684" s="212"/>
      <c r="H684" s="212"/>
      <c r="I684" s="212"/>
      <c r="J684" s="212"/>
      <c r="K684" s="212"/>
      <c r="L684" s="212"/>
      <c r="M684" s="212"/>
      <c r="N684" s="212"/>
      <c r="O684" s="212"/>
      <c r="P684" s="212"/>
      <c r="Q684" s="212"/>
      <c r="R684" s="451"/>
      <c r="S684" s="451"/>
      <c r="T684" s="212"/>
      <c r="U684" s="451"/>
      <c r="V684" s="451"/>
      <c r="W684" s="451"/>
      <c r="X684" s="451"/>
      <c r="Y684" s="212"/>
      <c r="Z684" s="212"/>
      <c r="AA684" s="212"/>
      <c r="AB684" s="212"/>
      <c r="AC684" s="212"/>
      <c r="AD684" s="212"/>
      <c r="AE684" s="450"/>
      <c r="AF684" s="212"/>
      <c r="AG684" s="212"/>
      <c r="AH684" s="212"/>
      <c r="AI684" s="212"/>
      <c r="AJ684" s="212"/>
      <c r="AK684" s="212"/>
      <c r="AL684" s="212"/>
      <c r="AM684" s="212"/>
      <c r="AN684" s="212"/>
      <c r="AO684" s="212"/>
      <c r="AP684" s="212"/>
      <c r="AQ684" s="212"/>
      <c r="AR684" s="212"/>
      <c r="AS684" s="212"/>
      <c r="AT684" s="212"/>
      <c r="AU684" s="212"/>
      <c r="AV684" s="212"/>
      <c r="AW684" s="212"/>
      <c r="AX684" s="212"/>
      <c r="AY684" s="212"/>
      <c r="AZ684" s="452"/>
      <c r="BA684" s="212"/>
      <c r="BB684" s="212"/>
      <c r="BC684" s="212"/>
      <c r="BD684" s="212"/>
      <c r="BE684" s="212"/>
      <c r="BF684" s="452"/>
    </row>
    <row r="685">
      <c r="A685" s="212"/>
      <c r="B685" s="447"/>
      <c r="C685" s="212"/>
      <c r="D685" s="212"/>
      <c r="E685" s="212"/>
      <c r="F685" s="212"/>
      <c r="G685" s="212"/>
      <c r="H685" s="212"/>
      <c r="I685" s="212"/>
      <c r="J685" s="212"/>
      <c r="K685" s="212"/>
      <c r="L685" s="212"/>
      <c r="M685" s="212"/>
      <c r="N685" s="212"/>
      <c r="O685" s="212"/>
      <c r="P685" s="212"/>
      <c r="Q685" s="212"/>
      <c r="R685" s="451"/>
      <c r="S685" s="451"/>
      <c r="T685" s="212"/>
      <c r="U685" s="451"/>
      <c r="V685" s="451"/>
      <c r="W685" s="451"/>
      <c r="X685" s="451"/>
      <c r="Y685" s="212"/>
      <c r="Z685" s="212"/>
      <c r="AA685" s="212"/>
      <c r="AB685" s="212"/>
      <c r="AC685" s="212"/>
      <c r="AD685" s="212"/>
      <c r="AE685" s="450"/>
      <c r="AF685" s="212"/>
      <c r="AG685" s="212"/>
      <c r="AH685" s="212"/>
      <c r="AI685" s="212"/>
      <c r="AJ685" s="212"/>
      <c r="AK685" s="212"/>
      <c r="AL685" s="212"/>
      <c r="AM685" s="212"/>
      <c r="AN685" s="212"/>
      <c r="AO685" s="212"/>
      <c r="AP685" s="212"/>
      <c r="AQ685" s="212"/>
      <c r="AR685" s="212"/>
      <c r="AS685" s="212"/>
      <c r="AT685" s="212"/>
      <c r="AU685" s="212"/>
      <c r="AV685" s="212"/>
      <c r="AW685" s="212"/>
      <c r="AX685" s="212"/>
      <c r="AY685" s="212"/>
      <c r="AZ685" s="452"/>
      <c r="BA685" s="212"/>
      <c r="BB685" s="212"/>
      <c r="BC685" s="212"/>
      <c r="BD685" s="212"/>
      <c r="BE685" s="212"/>
      <c r="BF685" s="452"/>
    </row>
    <row r="686">
      <c r="A686" s="212"/>
      <c r="B686" s="447"/>
      <c r="C686" s="212"/>
      <c r="D686" s="212"/>
      <c r="E686" s="212"/>
      <c r="F686" s="212"/>
      <c r="G686" s="212"/>
      <c r="H686" s="212"/>
      <c r="I686" s="212"/>
      <c r="J686" s="212"/>
      <c r="K686" s="212"/>
      <c r="L686" s="212"/>
      <c r="M686" s="212"/>
      <c r="N686" s="212"/>
      <c r="O686" s="212"/>
      <c r="P686" s="212"/>
      <c r="Q686" s="212"/>
      <c r="R686" s="451"/>
      <c r="S686" s="451"/>
      <c r="T686" s="212"/>
      <c r="U686" s="451"/>
      <c r="V686" s="451"/>
      <c r="W686" s="451"/>
      <c r="X686" s="451"/>
      <c r="Y686" s="212"/>
      <c r="Z686" s="212"/>
      <c r="AA686" s="212"/>
      <c r="AB686" s="212"/>
      <c r="AC686" s="212"/>
      <c r="AD686" s="212"/>
      <c r="AE686" s="450"/>
      <c r="AF686" s="212"/>
      <c r="AG686" s="212"/>
      <c r="AH686" s="212"/>
      <c r="AI686" s="212"/>
      <c r="AJ686" s="212"/>
      <c r="AK686" s="212"/>
      <c r="AL686" s="212"/>
      <c r="AM686" s="212"/>
      <c r="AN686" s="212"/>
      <c r="AO686" s="212"/>
      <c r="AP686" s="212"/>
      <c r="AQ686" s="212"/>
      <c r="AR686" s="212"/>
      <c r="AS686" s="212"/>
      <c r="AT686" s="212"/>
      <c r="AU686" s="212"/>
      <c r="AV686" s="212"/>
      <c r="AW686" s="212"/>
      <c r="AX686" s="212"/>
      <c r="AY686" s="212"/>
      <c r="AZ686" s="452"/>
      <c r="BA686" s="212"/>
      <c r="BB686" s="212"/>
      <c r="BC686" s="212"/>
      <c r="BD686" s="212"/>
      <c r="BE686" s="212"/>
      <c r="BF686" s="452"/>
    </row>
    <row r="687">
      <c r="A687" s="212"/>
      <c r="B687" s="447"/>
      <c r="C687" s="212"/>
      <c r="D687" s="212"/>
      <c r="E687" s="212"/>
      <c r="F687" s="212"/>
      <c r="G687" s="212"/>
      <c r="H687" s="212"/>
      <c r="I687" s="212"/>
      <c r="J687" s="212"/>
      <c r="K687" s="212"/>
      <c r="L687" s="212"/>
      <c r="M687" s="212"/>
      <c r="N687" s="212"/>
      <c r="O687" s="212"/>
      <c r="P687" s="212"/>
      <c r="Q687" s="212"/>
      <c r="R687" s="451"/>
      <c r="S687" s="451"/>
      <c r="T687" s="212"/>
      <c r="U687" s="451"/>
      <c r="V687" s="451"/>
      <c r="W687" s="451"/>
      <c r="X687" s="451"/>
      <c r="Y687" s="212"/>
      <c r="Z687" s="212"/>
      <c r="AA687" s="212"/>
      <c r="AB687" s="212"/>
      <c r="AC687" s="212"/>
      <c r="AD687" s="212"/>
      <c r="AE687" s="450"/>
      <c r="AF687" s="212"/>
      <c r="AG687" s="212"/>
      <c r="AH687" s="212"/>
      <c r="AI687" s="212"/>
      <c r="AJ687" s="212"/>
      <c r="AK687" s="212"/>
      <c r="AL687" s="212"/>
      <c r="AM687" s="212"/>
      <c r="AN687" s="212"/>
      <c r="AO687" s="212"/>
      <c r="AP687" s="212"/>
      <c r="AQ687" s="212"/>
      <c r="AR687" s="212"/>
      <c r="AS687" s="212"/>
      <c r="AT687" s="212"/>
      <c r="AU687" s="212"/>
      <c r="AV687" s="212"/>
      <c r="AW687" s="212"/>
      <c r="AX687" s="212"/>
      <c r="AY687" s="212"/>
      <c r="AZ687" s="452"/>
      <c r="BA687" s="212"/>
      <c r="BB687" s="212"/>
      <c r="BC687" s="212"/>
      <c r="BD687" s="212"/>
      <c r="BE687" s="212"/>
      <c r="BF687" s="452"/>
    </row>
    <row r="688">
      <c r="A688" s="212"/>
      <c r="B688" s="447"/>
      <c r="C688" s="212"/>
      <c r="D688" s="212"/>
      <c r="E688" s="212"/>
      <c r="F688" s="212"/>
      <c r="G688" s="212"/>
      <c r="H688" s="212"/>
      <c r="I688" s="212"/>
      <c r="J688" s="212"/>
      <c r="K688" s="212"/>
      <c r="L688" s="212"/>
      <c r="M688" s="212"/>
      <c r="N688" s="212"/>
      <c r="O688" s="212"/>
      <c r="P688" s="212"/>
      <c r="Q688" s="212"/>
      <c r="R688" s="451"/>
      <c r="S688" s="451"/>
      <c r="T688" s="212"/>
      <c r="U688" s="451"/>
      <c r="V688" s="451"/>
      <c r="W688" s="451"/>
      <c r="X688" s="451"/>
      <c r="Y688" s="212"/>
      <c r="Z688" s="212"/>
      <c r="AA688" s="212"/>
      <c r="AB688" s="212"/>
      <c r="AC688" s="212"/>
      <c r="AD688" s="212"/>
      <c r="AE688" s="450"/>
      <c r="AF688" s="212"/>
      <c r="AG688" s="212"/>
      <c r="AH688" s="212"/>
      <c r="AI688" s="212"/>
      <c r="AJ688" s="212"/>
      <c r="AK688" s="212"/>
      <c r="AL688" s="212"/>
      <c r="AM688" s="212"/>
      <c r="AN688" s="212"/>
      <c r="AO688" s="212"/>
      <c r="AP688" s="212"/>
      <c r="AQ688" s="212"/>
      <c r="AR688" s="212"/>
      <c r="AS688" s="212"/>
      <c r="AT688" s="212"/>
      <c r="AU688" s="212"/>
      <c r="AV688" s="212"/>
      <c r="AW688" s="212"/>
      <c r="AX688" s="212"/>
      <c r="AY688" s="212"/>
      <c r="AZ688" s="452"/>
      <c r="BA688" s="212"/>
      <c r="BB688" s="212"/>
      <c r="BC688" s="212"/>
      <c r="BD688" s="212"/>
      <c r="BE688" s="212"/>
      <c r="BF688" s="452"/>
    </row>
    <row r="689">
      <c r="A689" s="212"/>
      <c r="B689" s="447"/>
      <c r="C689" s="212"/>
      <c r="D689" s="212"/>
      <c r="E689" s="212"/>
      <c r="F689" s="212"/>
      <c r="G689" s="212"/>
      <c r="H689" s="212"/>
      <c r="I689" s="212"/>
      <c r="J689" s="212"/>
      <c r="K689" s="212"/>
      <c r="L689" s="212"/>
      <c r="M689" s="212"/>
      <c r="N689" s="212"/>
      <c r="O689" s="212"/>
      <c r="P689" s="212"/>
      <c r="Q689" s="212"/>
      <c r="R689" s="451"/>
      <c r="S689" s="451"/>
      <c r="T689" s="212"/>
      <c r="U689" s="451"/>
      <c r="V689" s="451"/>
      <c r="W689" s="451"/>
      <c r="X689" s="451"/>
      <c r="Y689" s="212"/>
      <c r="Z689" s="212"/>
      <c r="AA689" s="212"/>
      <c r="AB689" s="212"/>
      <c r="AC689" s="212"/>
      <c r="AD689" s="212"/>
      <c r="AE689" s="450"/>
      <c r="AF689" s="212"/>
      <c r="AG689" s="212"/>
      <c r="AH689" s="212"/>
      <c r="AI689" s="212"/>
      <c r="AJ689" s="212"/>
      <c r="AK689" s="212"/>
      <c r="AL689" s="212"/>
      <c r="AM689" s="212"/>
      <c r="AN689" s="212"/>
      <c r="AO689" s="212"/>
      <c r="AP689" s="212"/>
      <c r="AQ689" s="212"/>
      <c r="AR689" s="212"/>
      <c r="AS689" s="212"/>
      <c r="AT689" s="212"/>
      <c r="AU689" s="212"/>
      <c r="AV689" s="212"/>
      <c r="AW689" s="212"/>
      <c r="AX689" s="212"/>
      <c r="AY689" s="212"/>
      <c r="AZ689" s="452"/>
      <c r="BA689" s="212"/>
      <c r="BB689" s="212"/>
      <c r="BC689" s="212"/>
      <c r="BD689" s="212"/>
      <c r="BE689" s="212"/>
      <c r="BF689" s="452"/>
    </row>
    <row r="690">
      <c r="A690" s="212"/>
      <c r="B690" s="447"/>
      <c r="C690" s="212"/>
      <c r="D690" s="212"/>
      <c r="E690" s="212"/>
      <c r="F690" s="212"/>
      <c r="G690" s="212"/>
      <c r="H690" s="212"/>
      <c r="I690" s="212"/>
      <c r="J690" s="212"/>
      <c r="K690" s="212"/>
      <c r="L690" s="212"/>
      <c r="M690" s="212"/>
      <c r="N690" s="212"/>
      <c r="O690" s="212"/>
      <c r="P690" s="212"/>
      <c r="Q690" s="212"/>
      <c r="R690" s="451"/>
      <c r="S690" s="451"/>
      <c r="T690" s="212"/>
      <c r="U690" s="451"/>
      <c r="V690" s="451"/>
      <c r="W690" s="451"/>
      <c r="X690" s="451"/>
      <c r="Y690" s="212"/>
      <c r="Z690" s="212"/>
      <c r="AA690" s="212"/>
      <c r="AB690" s="212"/>
      <c r="AC690" s="212"/>
      <c r="AD690" s="212"/>
      <c r="AE690" s="450"/>
      <c r="AF690" s="212"/>
      <c r="AG690" s="212"/>
      <c r="AH690" s="212"/>
      <c r="AI690" s="212"/>
      <c r="AJ690" s="212"/>
      <c r="AK690" s="212"/>
      <c r="AL690" s="212"/>
      <c r="AM690" s="212"/>
      <c r="AN690" s="212"/>
      <c r="AO690" s="212"/>
      <c r="AP690" s="212"/>
      <c r="AQ690" s="212"/>
      <c r="AR690" s="212"/>
      <c r="AS690" s="212"/>
      <c r="AT690" s="212"/>
      <c r="AU690" s="212"/>
      <c r="AV690" s="212"/>
      <c r="AW690" s="212"/>
      <c r="AX690" s="212"/>
      <c r="AY690" s="212"/>
      <c r="AZ690" s="452"/>
      <c r="BA690" s="212"/>
      <c r="BB690" s="212"/>
      <c r="BC690" s="212"/>
      <c r="BD690" s="212"/>
      <c r="BE690" s="212"/>
      <c r="BF690" s="452"/>
    </row>
    <row r="691">
      <c r="A691" s="212"/>
      <c r="B691" s="447"/>
      <c r="C691" s="212"/>
      <c r="D691" s="212"/>
      <c r="E691" s="212"/>
      <c r="F691" s="212"/>
      <c r="G691" s="212"/>
      <c r="H691" s="212"/>
      <c r="I691" s="212"/>
      <c r="J691" s="212"/>
      <c r="K691" s="212"/>
      <c r="L691" s="212"/>
      <c r="M691" s="212"/>
      <c r="N691" s="212"/>
      <c r="O691" s="212"/>
      <c r="P691" s="212"/>
      <c r="Q691" s="212"/>
      <c r="R691" s="451"/>
      <c r="S691" s="451"/>
      <c r="T691" s="212"/>
      <c r="U691" s="451"/>
      <c r="V691" s="451"/>
      <c r="W691" s="451"/>
      <c r="X691" s="451"/>
      <c r="Y691" s="212"/>
      <c r="Z691" s="212"/>
      <c r="AA691" s="212"/>
      <c r="AB691" s="212"/>
      <c r="AC691" s="212"/>
      <c r="AD691" s="212"/>
      <c r="AE691" s="450"/>
      <c r="AF691" s="212"/>
      <c r="AG691" s="212"/>
      <c r="AH691" s="212"/>
      <c r="AI691" s="212"/>
      <c r="AJ691" s="212"/>
      <c r="AK691" s="212"/>
      <c r="AL691" s="212"/>
      <c r="AM691" s="212"/>
      <c r="AN691" s="212"/>
      <c r="AO691" s="212"/>
      <c r="AP691" s="212"/>
      <c r="AQ691" s="212"/>
      <c r="AR691" s="212"/>
      <c r="AS691" s="212"/>
      <c r="AT691" s="212"/>
      <c r="AU691" s="212"/>
      <c r="AV691" s="212"/>
      <c r="AW691" s="212"/>
      <c r="AX691" s="212"/>
      <c r="AY691" s="212"/>
      <c r="AZ691" s="452"/>
      <c r="BA691" s="212"/>
      <c r="BB691" s="212"/>
      <c r="BC691" s="212"/>
      <c r="BD691" s="212"/>
      <c r="BE691" s="212"/>
      <c r="BF691" s="452"/>
    </row>
    <row r="692">
      <c r="A692" s="212"/>
      <c r="B692" s="447"/>
      <c r="C692" s="212"/>
      <c r="D692" s="212"/>
      <c r="E692" s="212"/>
      <c r="F692" s="212"/>
      <c r="G692" s="212"/>
      <c r="H692" s="212"/>
      <c r="I692" s="212"/>
      <c r="J692" s="212"/>
      <c r="K692" s="212"/>
      <c r="L692" s="212"/>
      <c r="M692" s="212"/>
      <c r="N692" s="212"/>
      <c r="O692" s="212"/>
      <c r="P692" s="212"/>
      <c r="Q692" s="212"/>
      <c r="R692" s="451"/>
      <c r="S692" s="451"/>
      <c r="T692" s="212"/>
      <c r="U692" s="451"/>
      <c r="V692" s="451"/>
      <c r="W692" s="451"/>
      <c r="X692" s="451"/>
      <c r="Y692" s="212"/>
      <c r="Z692" s="212"/>
      <c r="AA692" s="212"/>
      <c r="AB692" s="212"/>
      <c r="AC692" s="212"/>
      <c r="AD692" s="212"/>
      <c r="AE692" s="450"/>
      <c r="AF692" s="212"/>
      <c r="AG692" s="212"/>
      <c r="AH692" s="212"/>
      <c r="AI692" s="212"/>
      <c r="AJ692" s="212"/>
      <c r="AK692" s="212"/>
      <c r="AL692" s="212"/>
      <c r="AM692" s="212"/>
      <c r="AN692" s="212"/>
      <c r="AO692" s="212"/>
      <c r="AP692" s="212"/>
      <c r="AQ692" s="212"/>
      <c r="AR692" s="212"/>
      <c r="AS692" s="212"/>
      <c r="AT692" s="212"/>
      <c r="AU692" s="212"/>
      <c r="AV692" s="212"/>
      <c r="AW692" s="212"/>
      <c r="AX692" s="212"/>
      <c r="AY692" s="212"/>
      <c r="AZ692" s="452"/>
      <c r="BA692" s="212"/>
      <c r="BB692" s="212"/>
      <c r="BC692" s="212"/>
      <c r="BD692" s="212"/>
      <c r="BE692" s="212"/>
      <c r="BF692" s="452"/>
    </row>
    <row r="693">
      <c r="A693" s="212"/>
      <c r="B693" s="447"/>
      <c r="C693" s="212"/>
      <c r="D693" s="212"/>
      <c r="E693" s="212"/>
      <c r="F693" s="212"/>
      <c r="G693" s="212"/>
      <c r="H693" s="212"/>
      <c r="I693" s="212"/>
      <c r="J693" s="212"/>
      <c r="K693" s="212"/>
      <c r="L693" s="212"/>
      <c r="M693" s="212"/>
      <c r="N693" s="212"/>
      <c r="O693" s="212"/>
      <c r="P693" s="212"/>
      <c r="Q693" s="212"/>
      <c r="R693" s="451"/>
      <c r="S693" s="451"/>
      <c r="T693" s="212"/>
      <c r="U693" s="451"/>
      <c r="V693" s="451"/>
      <c r="W693" s="451"/>
      <c r="X693" s="451"/>
      <c r="Y693" s="212"/>
      <c r="Z693" s="212"/>
      <c r="AA693" s="212"/>
      <c r="AB693" s="212"/>
      <c r="AC693" s="212"/>
      <c r="AD693" s="212"/>
      <c r="AE693" s="450"/>
      <c r="AF693" s="212"/>
      <c r="AG693" s="212"/>
      <c r="AH693" s="212"/>
      <c r="AI693" s="212"/>
      <c r="AJ693" s="212"/>
      <c r="AK693" s="212"/>
      <c r="AL693" s="212"/>
      <c r="AM693" s="212"/>
      <c r="AN693" s="212"/>
      <c r="AO693" s="212"/>
      <c r="AP693" s="212"/>
      <c r="AQ693" s="212"/>
      <c r="AR693" s="212"/>
      <c r="AS693" s="212"/>
      <c r="AT693" s="212"/>
      <c r="AU693" s="212"/>
      <c r="AV693" s="212"/>
      <c r="AW693" s="212"/>
      <c r="AX693" s="212"/>
      <c r="AY693" s="212"/>
      <c r="AZ693" s="452"/>
      <c r="BA693" s="212"/>
      <c r="BB693" s="212"/>
      <c r="BC693" s="212"/>
      <c r="BD693" s="212"/>
      <c r="BE693" s="212"/>
      <c r="BF693" s="452"/>
    </row>
    <row r="694">
      <c r="A694" s="212"/>
      <c r="B694" s="447"/>
      <c r="C694" s="212"/>
      <c r="D694" s="212"/>
      <c r="E694" s="212"/>
      <c r="F694" s="212"/>
      <c r="G694" s="212"/>
      <c r="H694" s="212"/>
      <c r="I694" s="212"/>
      <c r="J694" s="212"/>
      <c r="K694" s="212"/>
      <c r="L694" s="212"/>
      <c r="M694" s="212"/>
      <c r="N694" s="212"/>
      <c r="O694" s="212"/>
      <c r="P694" s="212"/>
      <c r="Q694" s="212"/>
      <c r="R694" s="451"/>
      <c r="S694" s="451"/>
      <c r="T694" s="212"/>
      <c r="U694" s="451"/>
      <c r="V694" s="451"/>
      <c r="W694" s="451"/>
      <c r="X694" s="451"/>
      <c r="Y694" s="212"/>
      <c r="Z694" s="212"/>
      <c r="AA694" s="212"/>
      <c r="AB694" s="212"/>
      <c r="AC694" s="212"/>
      <c r="AD694" s="212"/>
      <c r="AE694" s="450"/>
      <c r="AF694" s="212"/>
      <c r="AG694" s="212"/>
      <c r="AH694" s="212"/>
      <c r="AI694" s="212"/>
      <c r="AJ694" s="212"/>
      <c r="AK694" s="212"/>
      <c r="AL694" s="212"/>
      <c r="AM694" s="212"/>
      <c r="AN694" s="212"/>
      <c r="AO694" s="212"/>
      <c r="AP694" s="212"/>
      <c r="AQ694" s="212"/>
      <c r="AR694" s="212"/>
      <c r="AS694" s="212"/>
      <c r="AT694" s="212"/>
      <c r="AU694" s="212"/>
      <c r="AV694" s="212"/>
      <c r="AW694" s="212"/>
      <c r="AX694" s="212"/>
      <c r="AY694" s="212"/>
      <c r="AZ694" s="452"/>
      <c r="BA694" s="212"/>
      <c r="BB694" s="212"/>
      <c r="BC694" s="212"/>
      <c r="BD694" s="212"/>
      <c r="BE694" s="212"/>
      <c r="BF694" s="452"/>
    </row>
    <row r="695">
      <c r="A695" s="212"/>
      <c r="B695" s="447"/>
      <c r="C695" s="212"/>
      <c r="D695" s="212"/>
      <c r="E695" s="212"/>
      <c r="F695" s="212"/>
      <c r="G695" s="212"/>
      <c r="H695" s="212"/>
      <c r="I695" s="212"/>
      <c r="J695" s="212"/>
      <c r="K695" s="212"/>
      <c r="L695" s="212"/>
      <c r="M695" s="212"/>
      <c r="N695" s="212"/>
      <c r="O695" s="212"/>
      <c r="P695" s="212"/>
      <c r="Q695" s="212"/>
      <c r="R695" s="451"/>
      <c r="S695" s="451"/>
      <c r="T695" s="212"/>
      <c r="U695" s="451"/>
      <c r="V695" s="451"/>
      <c r="W695" s="451"/>
      <c r="X695" s="451"/>
      <c r="Y695" s="212"/>
      <c r="Z695" s="212"/>
      <c r="AA695" s="212"/>
      <c r="AB695" s="212"/>
      <c r="AC695" s="212"/>
      <c r="AD695" s="212"/>
      <c r="AE695" s="450"/>
      <c r="AF695" s="212"/>
      <c r="AG695" s="212"/>
      <c r="AH695" s="212"/>
      <c r="AI695" s="212"/>
      <c r="AJ695" s="212"/>
      <c r="AK695" s="212"/>
      <c r="AL695" s="212"/>
      <c r="AM695" s="212"/>
      <c r="AN695" s="212"/>
      <c r="AO695" s="212"/>
      <c r="AP695" s="212"/>
      <c r="AQ695" s="212"/>
      <c r="AR695" s="212"/>
      <c r="AS695" s="212"/>
      <c r="AT695" s="212"/>
      <c r="AU695" s="212"/>
      <c r="AV695" s="212"/>
      <c r="AW695" s="212"/>
      <c r="AX695" s="212"/>
      <c r="AY695" s="212"/>
      <c r="AZ695" s="452"/>
      <c r="BA695" s="212"/>
      <c r="BB695" s="212"/>
      <c r="BC695" s="212"/>
      <c r="BD695" s="212"/>
      <c r="BE695" s="212"/>
      <c r="BF695" s="452"/>
    </row>
    <row r="696">
      <c r="A696" s="212"/>
      <c r="B696" s="447"/>
      <c r="C696" s="212"/>
      <c r="D696" s="212"/>
      <c r="E696" s="212"/>
      <c r="F696" s="212"/>
      <c r="G696" s="212"/>
      <c r="H696" s="212"/>
      <c r="I696" s="212"/>
      <c r="J696" s="212"/>
      <c r="K696" s="212"/>
      <c r="L696" s="212"/>
      <c r="M696" s="212"/>
      <c r="N696" s="212"/>
      <c r="O696" s="212"/>
      <c r="P696" s="212"/>
      <c r="Q696" s="212"/>
      <c r="R696" s="451"/>
      <c r="S696" s="451"/>
      <c r="T696" s="212"/>
      <c r="U696" s="451"/>
      <c r="V696" s="451"/>
      <c r="W696" s="451"/>
      <c r="X696" s="451"/>
      <c r="Y696" s="212"/>
      <c r="Z696" s="212"/>
      <c r="AA696" s="212"/>
      <c r="AB696" s="212"/>
      <c r="AC696" s="212"/>
      <c r="AD696" s="212"/>
      <c r="AE696" s="450"/>
      <c r="AF696" s="212"/>
      <c r="AG696" s="212"/>
      <c r="AH696" s="212"/>
      <c r="AI696" s="212"/>
      <c r="AJ696" s="212"/>
      <c r="AK696" s="212"/>
      <c r="AL696" s="212"/>
      <c r="AM696" s="212"/>
      <c r="AN696" s="212"/>
      <c r="AO696" s="212"/>
      <c r="AP696" s="212"/>
      <c r="AQ696" s="212"/>
      <c r="AR696" s="212"/>
      <c r="AS696" s="212"/>
      <c r="AT696" s="212"/>
      <c r="AU696" s="212"/>
      <c r="AV696" s="212"/>
      <c r="AW696" s="212"/>
      <c r="AX696" s="212"/>
      <c r="AY696" s="212"/>
      <c r="AZ696" s="452"/>
      <c r="BA696" s="212"/>
      <c r="BB696" s="212"/>
      <c r="BC696" s="212"/>
      <c r="BD696" s="212"/>
      <c r="BE696" s="212"/>
      <c r="BF696" s="452"/>
    </row>
    <row r="697">
      <c r="A697" s="212"/>
      <c r="B697" s="447"/>
      <c r="C697" s="212"/>
      <c r="D697" s="212"/>
      <c r="E697" s="212"/>
      <c r="F697" s="212"/>
      <c r="G697" s="212"/>
      <c r="H697" s="212"/>
      <c r="I697" s="212"/>
      <c r="J697" s="212"/>
      <c r="K697" s="212"/>
      <c r="L697" s="212"/>
      <c r="M697" s="212"/>
      <c r="N697" s="212"/>
      <c r="O697" s="212"/>
      <c r="P697" s="212"/>
      <c r="Q697" s="212"/>
      <c r="R697" s="451"/>
      <c r="S697" s="451"/>
      <c r="T697" s="212"/>
      <c r="U697" s="451"/>
      <c r="V697" s="451"/>
      <c r="W697" s="451"/>
      <c r="X697" s="451"/>
      <c r="Y697" s="212"/>
      <c r="Z697" s="212"/>
      <c r="AA697" s="212"/>
      <c r="AB697" s="212"/>
      <c r="AC697" s="212"/>
      <c r="AD697" s="212"/>
      <c r="AE697" s="450"/>
      <c r="AF697" s="212"/>
      <c r="AG697" s="212"/>
      <c r="AH697" s="212"/>
      <c r="AI697" s="212"/>
      <c r="AJ697" s="212"/>
      <c r="AK697" s="212"/>
      <c r="AL697" s="212"/>
      <c r="AM697" s="212"/>
      <c r="AN697" s="212"/>
      <c r="AO697" s="212"/>
      <c r="AP697" s="212"/>
      <c r="AQ697" s="212"/>
      <c r="AR697" s="212"/>
      <c r="AS697" s="212"/>
      <c r="AT697" s="212"/>
      <c r="AU697" s="212"/>
      <c r="AV697" s="212"/>
      <c r="AW697" s="212"/>
      <c r="AX697" s="212"/>
      <c r="AY697" s="212"/>
      <c r="AZ697" s="452"/>
      <c r="BA697" s="212"/>
      <c r="BB697" s="212"/>
      <c r="BC697" s="212"/>
      <c r="BD697" s="212"/>
      <c r="BE697" s="212"/>
      <c r="BF697" s="452"/>
    </row>
    <row r="698">
      <c r="A698" s="212"/>
      <c r="B698" s="447"/>
      <c r="C698" s="212"/>
      <c r="D698" s="212"/>
      <c r="E698" s="212"/>
      <c r="F698" s="212"/>
      <c r="G698" s="212"/>
      <c r="H698" s="212"/>
      <c r="I698" s="212"/>
      <c r="J698" s="212"/>
      <c r="K698" s="212"/>
      <c r="L698" s="212"/>
      <c r="M698" s="212"/>
      <c r="N698" s="212"/>
      <c r="O698" s="212"/>
      <c r="P698" s="212"/>
      <c r="Q698" s="212"/>
      <c r="R698" s="451"/>
      <c r="S698" s="451"/>
      <c r="T698" s="212"/>
      <c r="U698" s="451"/>
      <c r="V698" s="451"/>
      <c r="W698" s="451"/>
      <c r="X698" s="451"/>
      <c r="Y698" s="212"/>
      <c r="Z698" s="212"/>
      <c r="AA698" s="212"/>
      <c r="AB698" s="212"/>
      <c r="AC698" s="212"/>
      <c r="AD698" s="212"/>
      <c r="AE698" s="450"/>
      <c r="AF698" s="212"/>
      <c r="AG698" s="212"/>
      <c r="AH698" s="212"/>
      <c r="AI698" s="212"/>
      <c r="AJ698" s="212"/>
      <c r="AK698" s="212"/>
      <c r="AL698" s="212"/>
      <c r="AM698" s="212"/>
      <c r="AN698" s="212"/>
      <c r="AO698" s="212"/>
      <c r="AP698" s="212"/>
      <c r="AQ698" s="212"/>
      <c r="AR698" s="212"/>
      <c r="AS698" s="212"/>
      <c r="AT698" s="212"/>
      <c r="AU698" s="212"/>
      <c r="AV698" s="212"/>
      <c r="AW698" s="212"/>
      <c r="AX698" s="212"/>
      <c r="AY698" s="212"/>
      <c r="AZ698" s="452"/>
      <c r="BA698" s="212"/>
      <c r="BB698" s="212"/>
      <c r="BC698" s="212"/>
      <c r="BD698" s="212"/>
      <c r="BE698" s="212"/>
      <c r="BF698" s="452"/>
    </row>
    <row r="699">
      <c r="A699" s="212"/>
      <c r="B699" s="447"/>
      <c r="C699" s="212"/>
      <c r="D699" s="212"/>
      <c r="E699" s="212"/>
      <c r="F699" s="212"/>
      <c r="G699" s="212"/>
      <c r="H699" s="212"/>
      <c r="I699" s="212"/>
      <c r="J699" s="212"/>
      <c r="K699" s="212"/>
      <c r="L699" s="212"/>
      <c r="M699" s="212"/>
      <c r="N699" s="212"/>
      <c r="O699" s="212"/>
      <c r="P699" s="212"/>
      <c r="Q699" s="212"/>
      <c r="R699" s="451"/>
      <c r="S699" s="451"/>
      <c r="T699" s="212"/>
      <c r="U699" s="451"/>
      <c r="V699" s="451"/>
      <c r="W699" s="451"/>
      <c r="X699" s="451"/>
      <c r="Y699" s="212"/>
      <c r="Z699" s="212"/>
      <c r="AA699" s="212"/>
      <c r="AB699" s="212"/>
      <c r="AC699" s="212"/>
      <c r="AD699" s="212"/>
      <c r="AE699" s="450"/>
      <c r="AF699" s="212"/>
      <c r="AG699" s="212"/>
      <c r="AH699" s="212"/>
      <c r="AI699" s="212"/>
      <c r="AJ699" s="212"/>
      <c r="AK699" s="212"/>
      <c r="AL699" s="212"/>
      <c r="AM699" s="212"/>
      <c r="AN699" s="212"/>
      <c r="AO699" s="212"/>
      <c r="AP699" s="212"/>
      <c r="AQ699" s="212"/>
      <c r="AR699" s="212"/>
      <c r="AS699" s="212"/>
      <c r="AT699" s="212"/>
      <c r="AU699" s="212"/>
      <c r="AV699" s="212"/>
      <c r="AW699" s="212"/>
      <c r="AX699" s="212"/>
      <c r="AY699" s="212"/>
      <c r="AZ699" s="452"/>
      <c r="BA699" s="212"/>
      <c r="BB699" s="212"/>
      <c r="BC699" s="212"/>
      <c r="BD699" s="212"/>
      <c r="BE699" s="212"/>
      <c r="BF699" s="452"/>
    </row>
    <row r="700">
      <c r="A700" s="212"/>
      <c r="B700" s="447"/>
      <c r="C700" s="212"/>
      <c r="D700" s="212"/>
      <c r="E700" s="212"/>
      <c r="F700" s="212"/>
      <c r="G700" s="212"/>
      <c r="H700" s="212"/>
      <c r="I700" s="212"/>
      <c r="J700" s="212"/>
      <c r="K700" s="212"/>
      <c r="L700" s="212"/>
      <c r="M700" s="212"/>
      <c r="N700" s="212"/>
      <c r="O700" s="212"/>
      <c r="P700" s="212"/>
      <c r="Q700" s="212"/>
      <c r="R700" s="451"/>
      <c r="S700" s="451"/>
      <c r="T700" s="212"/>
      <c r="U700" s="451"/>
      <c r="V700" s="451"/>
      <c r="W700" s="451"/>
      <c r="X700" s="451"/>
      <c r="Y700" s="212"/>
      <c r="Z700" s="212"/>
      <c r="AA700" s="212"/>
      <c r="AB700" s="212"/>
      <c r="AC700" s="212"/>
      <c r="AD700" s="212"/>
      <c r="AE700" s="450"/>
      <c r="AF700" s="212"/>
      <c r="AG700" s="212"/>
      <c r="AH700" s="212"/>
      <c r="AI700" s="212"/>
      <c r="AJ700" s="212"/>
      <c r="AK700" s="212"/>
      <c r="AL700" s="212"/>
      <c r="AM700" s="212"/>
      <c r="AN700" s="212"/>
      <c r="AO700" s="212"/>
      <c r="AP700" s="212"/>
      <c r="AQ700" s="212"/>
      <c r="AR700" s="212"/>
      <c r="AS700" s="212"/>
      <c r="AT700" s="212"/>
      <c r="AU700" s="212"/>
      <c r="AV700" s="212"/>
      <c r="AW700" s="212"/>
      <c r="AX700" s="212"/>
      <c r="AY700" s="212"/>
      <c r="AZ700" s="452"/>
      <c r="BA700" s="212"/>
      <c r="BB700" s="212"/>
      <c r="BC700" s="212"/>
      <c r="BD700" s="212"/>
      <c r="BE700" s="212"/>
      <c r="BF700" s="452"/>
    </row>
    <row r="701">
      <c r="A701" s="212"/>
      <c r="B701" s="447"/>
      <c r="C701" s="212"/>
      <c r="D701" s="212"/>
      <c r="E701" s="212"/>
      <c r="F701" s="212"/>
      <c r="G701" s="212"/>
      <c r="H701" s="212"/>
      <c r="I701" s="212"/>
      <c r="J701" s="212"/>
      <c r="K701" s="212"/>
      <c r="L701" s="212"/>
      <c r="M701" s="212"/>
      <c r="N701" s="212"/>
      <c r="O701" s="212"/>
      <c r="P701" s="212"/>
      <c r="Q701" s="212"/>
      <c r="R701" s="451"/>
      <c r="S701" s="451"/>
      <c r="T701" s="212"/>
      <c r="U701" s="451"/>
      <c r="V701" s="451"/>
      <c r="W701" s="451"/>
      <c r="X701" s="451"/>
      <c r="Y701" s="212"/>
      <c r="Z701" s="212"/>
      <c r="AA701" s="212"/>
      <c r="AB701" s="212"/>
      <c r="AC701" s="212"/>
      <c r="AD701" s="212"/>
      <c r="AE701" s="450"/>
      <c r="AF701" s="212"/>
      <c r="AG701" s="212"/>
      <c r="AH701" s="212"/>
      <c r="AI701" s="212"/>
      <c r="AJ701" s="212"/>
      <c r="AK701" s="212"/>
      <c r="AL701" s="212"/>
      <c r="AM701" s="212"/>
      <c r="AN701" s="212"/>
      <c r="AO701" s="212"/>
      <c r="AP701" s="212"/>
      <c r="AQ701" s="212"/>
      <c r="AR701" s="212"/>
      <c r="AS701" s="212"/>
      <c r="AT701" s="212"/>
      <c r="AU701" s="212"/>
      <c r="AV701" s="212"/>
      <c r="AW701" s="212"/>
      <c r="AX701" s="212"/>
      <c r="AY701" s="212"/>
      <c r="AZ701" s="452"/>
      <c r="BA701" s="212"/>
      <c r="BB701" s="212"/>
      <c r="BC701" s="212"/>
      <c r="BD701" s="212"/>
      <c r="BE701" s="212"/>
      <c r="BF701" s="452"/>
    </row>
    <row r="702">
      <c r="A702" s="212"/>
      <c r="B702" s="447"/>
      <c r="C702" s="212"/>
      <c r="D702" s="212"/>
      <c r="E702" s="212"/>
      <c r="F702" s="212"/>
      <c r="G702" s="212"/>
      <c r="H702" s="212"/>
      <c r="I702" s="212"/>
      <c r="J702" s="212"/>
      <c r="K702" s="212"/>
      <c r="L702" s="212"/>
      <c r="M702" s="212"/>
      <c r="N702" s="212"/>
      <c r="O702" s="212"/>
      <c r="P702" s="212"/>
      <c r="Q702" s="212"/>
      <c r="R702" s="451"/>
      <c r="S702" s="451"/>
      <c r="T702" s="212"/>
      <c r="U702" s="451"/>
      <c r="V702" s="451"/>
      <c r="W702" s="451"/>
      <c r="X702" s="451"/>
      <c r="Y702" s="212"/>
      <c r="Z702" s="212"/>
      <c r="AA702" s="212"/>
      <c r="AB702" s="212"/>
      <c r="AC702" s="212"/>
      <c r="AD702" s="212"/>
      <c r="AE702" s="450"/>
      <c r="AF702" s="212"/>
      <c r="AG702" s="212"/>
      <c r="AH702" s="212"/>
      <c r="AI702" s="212"/>
      <c r="AJ702" s="212"/>
      <c r="AK702" s="212"/>
      <c r="AL702" s="212"/>
      <c r="AM702" s="212"/>
      <c r="AN702" s="212"/>
      <c r="AO702" s="212"/>
      <c r="AP702" s="212"/>
      <c r="AQ702" s="212"/>
      <c r="AR702" s="212"/>
      <c r="AS702" s="212"/>
      <c r="AT702" s="212"/>
      <c r="AU702" s="212"/>
      <c r="AV702" s="212"/>
      <c r="AW702" s="212"/>
      <c r="AX702" s="212"/>
      <c r="AY702" s="212"/>
      <c r="AZ702" s="452"/>
      <c r="BA702" s="212"/>
      <c r="BB702" s="212"/>
      <c r="BC702" s="212"/>
      <c r="BD702" s="212"/>
      <c r="BE702" s="212"/>
      <c r="BF702" s="452"/>
    </row>
    <row r="703">
      <c r="A703" s="212"/>
      <c r="B703" s="447"/>
      <c r="C703" s="212"/>
      <c r="D703" s="212"/>
      <c r="E703" s="212"/>
      <c r="F703" s="212"/>
      <c r="G703" s="212"/>
      <c r="H703" s="212"/>
      <c r="I703" s="212"/>
      <c r="J703" s="212"/>
      <c r="K703" s="212"/>
      <c r="L703" s="212"/>
      <c r="M703" s="212"/>
      <c r="N703" s="212"/>
      <c r="O703" s="212"/>
      <c r="P703" s="212"/>
      <c r="Q703" s="212"/>
      <c r="R703" s="451"/>
      <c r="S703" s="451"/>
      <c r="T703" s="212"/>
      <c r="U703" s="451"/>
      <c r="V703" s="451"/>
      <c r="W703" s="451"/>
      <c r="X703" s="451"/>
      <c r="Y703" s="212"/>
      <c r="Z703" s="212"/>
      <c r="AA703" s="212"/>
      <c r="AB703" s="212"/>
      <c r="AC703" s="212"/>
      <c r="AD703" s="212"/>
      <c r="AE703" s="450"/>
      <c r="AF703" s="212"/>
      <c r="AG703" s="212"/>
      <c r="AH703" s="212"/>
      <c r="AI703" s="212"/>
      <c r="AJ703" s="212"/>
      <c r="AK703" s="212"/>
      <c r="AL703" s="212"/>
      <c r="AM703" s="212"/>
      <c r="AN703" s="212"/>
      <c r="AO703" s="212"/>
      <c r="AP703" s="212"/>
      <c r="AQ703" s="212"/>
      <c r="AR703" s="212"/>
      <c r="AS703" s="212"/>
      <c r="AT703" s="212"/>
      <c r="AU703" s="212"/>
      <c r="AV703" s="212"/>
      <c r="AW703" s="212"/>
      <c r="AX703" s="212"/>
      <c r="AY703" s="212"/>
      <c r="AZ703" s="452"/>
      <c r="BA703" s="212"/>
      <c r="BB703" s="212"/>
      <c r="BC703" s="212"/>
      <c r="BD703" s="212"/>
      <c r="BE703" s="212"/>
      <c r="BF703" s="452"/>
    </row>
    <row r="704">
      <c r="A704" s="212"/>
      <c r="B704" s="447"/>
      <c r="C704" s="212"/>
      <c r="D704" s="212"/>
      <c r="E704" s="212"/>
      <c r="F704" s="212"/>
      <c r="G704" s="212"/>
      <c r="H704" s="212"/>
      <c r="I704" s="212"/>
      <c r="J704" s="212"/>
      <c r="K704" s="212"/>
      <c r="L704" s="212"/>
      <c r="M704" s="212"/>
      <c r="N704" s="212"/>
      <c r="O704" s="212"/>
      <c r="P704" s="212"/>
      <c r="Q704" s="212"/>
      <c r="R704" s="451"/>
      <c r="S704" s="451"/>
      <c r="T704" s="212"/>
      <c r="U704" s="451"/>
      <c r="V704" s="451"/>
      <c r="W704" s="451"/>
      <c r="X704" s="451"/>
      <c r="Y704" s="212"/>
      <c r="Z704" s="212"/>
      <c r="AA704" s="212"/>
      <c r="AB704" s="212"/>
      <c r="AC704" s="212"/>
      <c r="AD704" s="212"/>
      <c r="AE704" s="450"/>
      <c r="AF704" s="212"/>
      <c r="AG704" s="212"/>
      <c r="AH704" s="212"/>
      <c r="AI704" s="212"/>
      <c r="AJ704" s="212"/>
      <c r="AK704" s="212"/>
      <c r="AL704" s="212"/>
      <c r="AM704" s="212"/>
      <c r="AN704" s="212"/>
      <c r="AO704" s="212"/>
      <c r="AP704" s="212"/>
      <c r="AQ704" s="212"/>
      <c r="AR704" s="212"/>
      <c r="AS704" s="212"/>
      <c r="AT704" s="212"/>
      <c r="AU704" s="212"/>
      <c r="AV704" s="212"/>
      <c r="AW704" s="212"/>
      <c r="AX704" s="212"/>
      <c r="AY704" s="212"/>
      <c r="AZ704" s="452"/>
      <c r="BA704" s="212"/>
      <c r="BB704" s="212"/>
      <c r="BC704" s="212"/>
      <c r="BD704" s="212"/>
      <c r="BE704" s="212"/>
      <c r="BF704" s="452"/>
    </row>
    <row r="705">
      <c r="A705" s="212"/>
      <c r="B705" s="447"/>
      <c r="C705" s="212"/>
      <c r="D705" s="212"/>
      <c r="E705" s="212"/>
      <c r="F705" s="212"/>
      <c r="G705" s="212"/>
      <c r="H705" s="212"/>
      <c r="I705" s="212"/>
      <c r="J705" s="212"/>
      <c r="K705" s="212"/>
      <c r="L705" s="212"/>
      <c r="M705" s="212"/>
      <c r="N705" s="212"/>
      <c r="O705" s="212"/>
      <c r="P705" s="212"/>
      <c r="Q705" s="212"/>
      <c r="R705" s="451"/>
      <c r="S705" s="451"/>
      <c r="T705" s="212"/>
      <c r="U705" s="451"/>
      <c r="V705" s="451"/>
      <c r="W705" s="451"/>
      <c r="X705" s="451"/>
      <c r="Y705" s="212"/>
      <c r="Z705" s="212"/>
      <c r="AA705" s="212"/>
      <c r="AB705" s="212"/>
      <c r="AC705" s="212"/>
      <c r="AD705" s="212"/>
      <c r="AE705" s="450"/>
      <c r="AF705" s="212"/>
      <c r="AG705" s="212"/>
      <c r="AH705" s="212"/>
      <c r="AI705" s="212"/>
      <c r="AJ705" s="212"/>
      <c r="AK705" s="212"/>
      <c r="AL705" s="212"/>
      <c r="AM705" s="212"/>
      <c r="AN705" s="212"/>
      <c r="AO705" s="212"/>
      <c r="AP705" s="212"/>
      <c r="AQ705" s="212"/>
      <c r="AR705" s="212"/>
      <c r="AS705" s="212"/>
      <c r="AT705" s="212"/>
      <c r="AU705" s="212"/>
      <c r="AV705" s="212"/>
      <c r="AW705" s="212"/>
      <c r="AX705" s="212"/>
      <c r="AY705" s="212"/>
      <c r="AZ705" s="452"/>
      <c r="BA705" s="212"/>
      <c r="BB705" s="212"/>
      <c r="BC705" s="212"/>
      <c r="BD705" s="212"/>
      <c r="BE705" s="212"/>
      <c r="BF705" s="452"/>
    </row>
    <row r="706">
      <c r="A706" s="212"/>
      <c r="B706" s="447"/>
      <c r="C706" s="212"/>
      <c r="D706" s="212"/>
      <c r="E706" s="212"/>
      <c r="F706" s="212"/>
      <c r="G706" s="212"/>
      <c r="H706" s="212"/>
      <c r="I706" s="212"/>
      <c r="J706" s="212"/>
      <c r="K706" s="212"/>
      <c r="L706" s="212"/>
      <c r="M706" s="212"/>
      <c r="N706" s="212"/>
      <c r="O706" s="212"/>
      <c r="P706" s="212"/>
      <c r="Q706" s="212"/>
      <c r="R706" s="451"/>
      <c r="S706" s="451"/>
      <c r="T706" s="212"/>
      <c r="U706" s="451"/>
      <c r="V706" s="451"/>
      <c r="W706" s="451"/>
      <c r="X706" s="451"/>
      <c r="Y706" s="212"/>
      <c r="Z706" s="212"/>
      <c r="AA706" s="212"/>
      <c r="AB706" s="212"/>
      <c r="AC706" s="212"/>
      <c r="AD706" s="212"/>
      <c r="AE706" s="450"/>
      <c r="AF706" s="212"/>
      <c r="AG706" s="212"/>
      <c r="AH706" s="212"/>
      <c r="AI706" s="212"/>
      <c r="AJ706" s="212"/>
      <c r="AK706" s="212"/>
      <c r="AL706" s="212"/>
      <c r="AM706" s="212"/>
      <c r="AN706" s="212"/>
      <c r="AO706" s="212"/>
      <c r="AP706" s="212"/>
      <c r="AQ706" s="212"/>
      <c r="AR706" s="212"/>
      <c r="AS706" s="212"/>
      <c r="AT706" s="212"/>
      <c r="AU706" s="212"/>
      <c r="AV706" s="212"/>
      <c r="AW706" s="212"/>
      <c r="AX706" s="212"/>
      <c r="AY706" s="212"/>
      <c r="AZ706" s="452"/>
      <c r="BA706" s="212"/>
      <c r="BB706" s="212"/>
      <c r="BC706" s="212"/>
      <c r="BD706" s="212"/>
      <c r="BE706" s="212"/>
      <c r="BF706" s="452"/>
    </row>
    <row r="707">
      <c r="A707" s="212"/>
      <c r="B707" s="447"/>
      <c r="C707" s="212"/>
      <c r="D707" s="212"/>
      <c r="E707" s="212"/>
      <c r="F707" s="212"/>
      <c r="G707" s="212"/>
      <c r="H707" s="212"/>
      <c r="I707" s="212"/>
      <c r="J707" s="212"/>
      <c r="K707" s="212"/>
      <c r="L707" s="212"/>
      <c r="M707" s="212"/>
      <c r="N707" s="212"/>
      <c r="O707" s="212"/>
      <c r="P707" s="212"/>
      <c r="Q707" s="212"/>
      <c r="R707" s="451"/>
      <c r="S707" s="451"/>
      <c r="T707" s="212"/>
      <c r="U707" s="451"/>
      <c r="V707" s="451"/>
      <c r="W707" s="451"/>
      <c r="X707" s="451"/>
      <c r="Y707" s="212"/>
      <c r="Z707" s="212"/>
      <c r="AA707" s="212"/>
      <c r="AB707" s="212"/>
      <c r="AC707" s="212"/>
      <c r="AD707" s="212"/>
      <c r="AE707" s="450"/>
      <c r="AF707" s="212"/>
      <c r="AG707" s="212"/>
      <c r="AH707" s="212"/>
      <c r="AI707" s="212"/>
      <c r="AJ707" s="212"/>
      <c r="AK707" s="212"/>
      <c r="AL707" s="212"/>
      <c r="AM707" s="212"/>
      <c r="AN707" s="212"/>
      <c r="AO707" s="212"/>
      <c r="AP707" s="212"/>
      <c r="AQ707" s="212"/>
      <c r="AR707" s="212"/>
      <c r="AS707" s="212"/>
      <c r="AT707" s="212"/>
      <c r="AU707" s="212"/>
      <c r="AV707" s="212"/>
      <c r="AW707" s="212"/>
      <c r="AX707" s="212"/>
      <c r="AY707" s="212"/>
      <c r="AZ707" s="452"/>
      <c r="BA707" s="212"/>
      <c r="BB707" s="212"/>
      <c r="BC707" s="212"/>
      <c r="BD707" s="212"/>
      <c r="BE707" s="212"/>
      <c r="BF707" s="452"/>
    </row>
    <row r="708">
      <c r="A708" s="212"/>
      <c r="B708" s="447"/>
      <c r="C708" s="212"/>
      <c r="D708" s="212"/>
      <c r="E708" s="212"/>
      <c r="F708" s="212"/>
      <c r="G708" s="212"/>
      <c r="H708" s="212"/>
      <c r="I708" s="212"/>
      <c r="J708" s="212"/>
      <c r="K708" s="212"/>
      <c r="L708" s="212"/>
      <c r="M708" s="212"/>
      <c r="N708" s="212"/>
      <c r="O708" s="212"/>
      <c r="P708" s="212"/>
      <c r="Q708" s="212"/>
      <c r="R708" s="451"/>
      <c r="S708" s="451"/>
      <c r="T708" s="212"/>
      <c r="U708" s="451"/>
      <c r="V708" s="451"/>
      <c r="W708" s="451"/>
      <c r="X708" s="451"/>
      <c r="Y708" s="212"/>
      <c r="Z708" s="212"/>
      <c r="AA708" s="212"/>
      <c r="AB708" s="212"/>
      <c r="AC708" s="212"/>
      <c r="AD708" s="212"/>
      <c r="AE708" s="450"/>
      <c r="AF708" s="212"/>
      <c r="AG708" s="212"/>
      <c r="AH708" s="212"/>
      <c r="AI708" s="212"/>
      <c r="AJ708" s="212"/>
      <c r="AK708" s="212"/>
      <c r="AL708" s="212"/>
      <c r="AM708" s="212"/>
      <c r="AN708" s="212"/>
      <c r="AO708" s="212"/>
      <c r="AP708" s="212"/>
      <c r="AQ708" s="212"/>
      <c r="AR708" s="212"/>
      <c r="AS708" s="212"/>
      <c r="AT708" s="212"/>
      <c r="AU708" s="212"/>
      <c r="AV708" s="212"/>
      <c r="AW708" s="212"/>
      <c r="AX708" s="212"/>
      <c r="AY708" s="212"/>
      <c r="AZ708" s="452"/>
      <c r="BA708" s="212"/>
      <c r="BB708" s="212"/>
      <c r="BC708" s="212"/>
      <c r="BD708" s="212"/>
      <c r="BE708" s="212"/>
      <c r="BF708" s="452"/>
    </row>
    <row r="709">
      <c r="A709" s="212"/>
      <c r="B709" s="447"/>
      <c r="C709" s="212"/>
      <c r="D709" s="212"/>
      <c r="E709" s="212"/>
      <c r="F709" s="212"/>
      <c r="G709" s="212"/>
      <c r="H709" s="212"/>
      <c r="I709" s="212"/>
      <c r="J709" s="212"/>
      <c r="K709" s="212"/>
      <c r="L709" s="212"/>
      <c r="M709" s="212"/>
      <c r="N709" s="212"/>
      <c r="O709" s="212"/>
      <c r="P709" s="212"/>
      <c r="Q709" s="212"/>
      <c r="R709" s="451"/>
      <c r="S709" s="451"/>
      <c r="T709" s="212"/>
      <c r="U709" s="451"/>
      <c r="V709" s="451"/>
      <c r="W709" s="451"/>
      <c r="X709" s="451"/>
      <c r="Y709" s="212"/>
      <c r="Z709" s="212"/>
      <c r="AA709" s="212"/>
      <c r="AB709" s="212"/>
      <c r="AC709" s="212"/>
      <c r="AD709" s="212"/>
      <c r="AE709" s="450"/>
      <c r="AF709" s="212"/>
      <c r="AG709" s="212"/>
      <c r="AH709" s="212"/>
      <c r="AI709" s="212"/>
      <c r="AJ709" s="212"/>
      <c r="AK709" s="212"/>
      <c r="AL709" s="212"/>
      <c r="AM709" s="212"/>
      <c r="AN709" s="212"/>
      <c r="AO709" s="212"/>
      <c r="AP709" s="212"/>
      <c r="AQ709" s="212"/>
      <c r="AR709" s="212"/>
      <c r="AS709" s="212"/>
      <c r="AT709" s="212"/>
      <c r="AU709" s="212"/>
      <c r="AV709" s="212"/>
      <c r="AW709" s="212"/>
      <c r="AX709" s="212"/>
      <c r="AY709" s="212"/>
      <c r="AZ709" s="452"/>
      <c r="BA709" s="212"/>
      <c r="BB709" s="212"/>
      <c r="BC709" s="212"/>
      <c r="BD709" s="212"/>
      <c r="BE709" s="212"/>
      <c r="BF709" s="452"/>
    </row>
    <row r="710">
      <c r="A710" s="212"/>
      <c r="B710" s="447"/>
      <c r="C710" s="212"/>
      <c r="D710" s="212"/>
      <c r="E710" s="212"/>
      <c r="F710" s="212"/>
      <c r="G710" s="212"/>
      <c r="H710" s="212"/>
      <c r="I710" s="212"/>
      <c r="J710" s="212"/>
      <c r="K710" s="212"/>
      <c r="L710" s="212"/>
      <c r="M710" s="212"/>
      <c r="N710" s="212"/>
      <c r="O710" s="212"/>
      <c r="P710" s="212"/>
      <c r="Q710" s="212"/>
      <c r="R710" s="451"/>
      <c r="S710" s="451"/>
      <c r="T710" s="212"/>
      <c r="U710" s="451"/>
      <c r="V710" s="451"/>
      <c r="W710" s="451"/>
      <c r="X710" s="451"/>
      <c r="Y710" s="212"/>
      <c r="Z710" s="212"/>
      <c r="AA710" s="212"/>
      <c r="AB710" s="212"/>
      <c r="AC710" s="212"/>
      <c r="AD710" s="212"/>
      <c r="AE710" s="450"/>
      <c r="AF710" s="212"/>
      <c r="AG710" s="212"/>
      <c r="AH710" s="212"/>
      <c r="AI710" s="212"/>
      <c r="AJ710" s="212"/>
      <c r="AK710" s="212"/>
      <c r="AL710" s="212"/>
      <c r="AM710" s="212"/>
      <c r="AN710" s="212"/>
      <c r="AO710" s="212"/>
      <c r="AP710" s="212"/>
      <c r="AQ710" s="212"/>
      <c r="AR710" s="212"/>
      <c r="AS710" s="212"/>
      <c r="AT710" s="212"/>
      <c r="AU710" s="212"/>
      <c r="AV710" s="212"/>
      <c r="AW710" s="212"/>
      <c r="AX710" s="212"/>
      <c r="AY710" s="212"/>
      <c r="AZ710" s="452"/>
      <c r="BA710" s="212"/>
      <c r="BB710" s="212"/>
      <c r="BC710" s="212"/>
      <c r="BD710" s="212"/>
      <c r="BE710" s="212"/>
      <c r="BF710" s="452"/>
    </row>
    <row r="711">
      <c r="A711" s="212"/>
      <c r="B711" s="447"/>
      <c r="C711" s="212"/>
      <c r="D711" s="212"/>
      <c r="E711" s="212"/>
      <c r="F711" s="212"/>
      <c r="G711" s="212"/>
      <c r="H711" s="212"/>
      <c r="I711" s="212"/>
      <c r="J711" s="212"/>
      <c r="K711" s="212"/>
      <c r="L711" s="212"/>
      <c r="M711" s="212"/>
      <c r="N711" s="212"/>
      <c r="O711" s="212"/>
      <c r="P711" s="212"/>
      <c r="Q711" s="212"/>
      <c r="R711" s="451"/>
      <c r="S711" s="451"/>
      <c r="T711" s="212"/>
      <c r="U711" s="451"/>
      <c r="V711" s="451"/>
      <c r="W711" s="451"/>
      <c r="X711" s="451"/>
      <c r="Y711" s="212"/>
      <c r="Z711" s="212"/>
      <c r="AA711" s="212"/>
      <c r="AB711" s="212"/>
      <c r="AC711" s="212"/>
      <c r="AD711" s="212"/>
      <c r="AE711" s="450"/>
      <c r="AF711" s="212"/>
      <c r="AG711" s="212"/>
      <c r="AH711" s="212"/>
      <c r="AI711" s="212"/>
      <c r="AJ711" s="212"/>
      <c r="AK711" s="212"/>
      <c r="AL711" s="212"/>
      <c r="AM711" s="212"/>
      <c r="AN711" s="212"/>
      <c r="AO711" s="212"/>
      <c r="AP711" s="212"/>
      <c r="AQ711" s="212"/>
      <c r="AR711" s="212"/>
      <c r="AS711" s="212"/>
      <c r="AT711" s="212"/>
      <c r="AU711" s="212"/>
      <c r="AV711" s="212"/>
      <c r="AW711" s="212"/>
      <c r="AX711" s="212"/>
      <c r="AY711" s="212"/>
      <c r="AZ711" s="452"/>
      <c r="BA711" s="212"/>
      <c r="BB711" s="212"/>
      <c r="BC711" s="212"/>
      <c r="BD711" s="212"/>
      <c r="BE711" s="212"/>
      <c r="BF711" s="452"/>
    </row>
    <row r="712">
      <c r="A712" s="212"/>
      <c r="B712" s="447"/>
      <c r="C712" s="212"/>
      <c r="D712" s="212"/>
      <c r="E712" s="212"/>
      <c r="F712" s="212"/>
      <c r="G712" s="212"/>
      <c r="H712" s="212"/>
      <c r="I712" s="212"/>
      <c r="J712" s="212"/>
      <c r="K712" s="212"/>
      <c r="L712" s="212"/>
      <c r="M712" s="212"/>
      <c r="N712" s="212"/>
      <c r="O712" s="212"/>
      <c r="P712" s="212"/>
      <c r="Q712" s="212"/>
      <c r="R712" s="451"/>
      <c r="S712" s="451"/>
      <c r="T712" s="212"/>
      <c r="U712" s="451"/>
      <c r="V712" s="451"/>
      <c r="W712" s="451"/>
      <c r="X712" s="451"/>
      <c r="Y712" s="212"/>
      <c r="Z712" s="212"/>
      <c r="AA712" s="212"/>
      <c r="AB712" s="212"/>
      <c r="AC712" s="212"/>
      <c r="AD712" s="212"/>
      <c r="AE712" s="450"/>
      <c r="AF712" s="212"/>
      <c r="AG712" s="212"/>
      <c r="AH712" s="212"/>
      <c r="AI712" s="212"/>
      <c r="AJ712" s="212"/>
      <c r="AK712" s="212"/>
      <c r="AL712" s="212"/>
      <c r="AM712" s="212"/>
      <c r="AN712" s="212"/>
      <c r="AO712" s="212"/>
      <c r="AP712" s="212"/>
      <c r="AQ712" s="212"/>
      <c r="AR712" s="212"/>
      <c r="AS712" s="212"/>
      <c r="AT712" s="212"/>
      <c r="AU712" s="212"/>
      <c r="AV712" s="212"/>
      <c r="AW712" s="212"/>
      <c r="AX712" s="212"/>
      <c r="AY712" s="212"/>
      <c r="AZ712" s="452"/>
      <c r="BA712" s="212"/>
      <c r="BB712" s="212"/>
      <c r="BC712" s="212"/>
      <c r="BD712" s="212"/>
      <c r="BE712" s="212"/>
      <c r="BF712" s="452"/>
    </row>
    <row r="713">
      <c r="A713" s="212"/>
      <c r="B713" s="447"/>
      <c r="C713" s="212"/>
      <c r="D713" s="212"/>
      <c r="E713" s="212"/>
      <c r="F713" s="212"/>
      <c r="G713" s="212"/>
      <c r="H713" s="212"/>
      <c r="I713" s="212"/>
      <c r="J713" s="212"/>
      <c r="K713" s="212"/>
      <c r="L713" s="212"/>
      <c r="M713" s="212"/>
      <c r="N713" s="212"/>
      <c r="O713" s="212"/>
      <c r="P713" s="212"/>
      <c r="Q713" s="212"/>
      <c r="R713" s="451"/>
      <c r="S713" s="451"/>
      <c r="T713" s="212"/>
      <c r="U713" s="451"/>
      <c r="V713" s="451"/>
      <c r="W713" s="451"/>
      <c r="X713" s="451"/>
      <c r="Y713" s="212"/>
      <c r="Z713" s="212"/>
      <c r="AA713" s="212"/>
      <c r="AB713" s="212"/>
      <c r="AC713" s="212"/>
      <c r="AD713" s="212"/>
      <c r="AE713" s="450"/>
      <c r="AF713" s="212"/>
      <c r="AG713" s="212"/>
      <c r="AH713" s="212"/>
      <c r="AI713" s="212"/>
      <c r="AJ713" s="212"/>
      <c r="AK713" s="212"/>
      <c r="AL713" s="212"/>
      <c r="AM713" s="212"/>
      <c r="AN713" s="212"/>
      <c r="AO713" s="212"/>
      <c r="AP713" s="212"/>
      <c r="AQ713" s="212"/>
      <c r="AR713" s="212"/>
      <c r="AS713" s="212"/>
      <c r="AT713" s="212"/>
      <c r="AU713" s="212"/>
      <c r="AV713" s="212"/>
      <c r="AW713" s="212"/>
      <c r="AX713" s="212"/>
      <c r="AY713" s="212"/>
      <c r="AZ713" s="452"/>
      <c r="BA713" s="212"/>
      <c r="BB713" s="212"/>
      <c r="BC713" s="212"/>
      <c r="BD713" s="212"/>
      <c r="BE713" s="212"/>
      <c r="BF713" s="452"/>
    </row>
    <row r="714">
      <c r="A714" s="212"/>
      <c r="B714" s="447"/>
      <c r="C714" s="212"/>
      <c r="D714" s="212"/>
      <c r="E714" s="212"/>
      <c r="F714" s="212"/>
      <c r="G714" s="212"/>
      <c r="H714" s="212"/>
      <c r="I714" s="212"/>
      <c r="J714" s="212"/>
      <c r="K714" s="212"/>
      <c r="L714" s="212"/>
      <c r="M714" s="212"/>
      <c r="N714" s="212"/>
      <c r="O714" s="212"/>
      <c r="P714" s="212"/>
      <c r="Q714" s="212"/>
      <c r="R714" s="451"/>
      <c r="S714" s="451"/>
      <c r="T714" s="212"/>
      <c r="U714" s="451"/>
      <c r="V714" s="451"/>
      <c r="W714" s="451"/>
      <c r="X714" s="451"/>
      <c r="Y714" s="212"/>
      <c r="Z714" s="212"/>
      <c r="AA714" s="212"/>
      <c r="AB714" s="212"/>
      <c r="AC714" s="212"/>
      <c r="AD714" s="212"/>
      <c r="AE714" s="450"/>
      <c r="AF714" s="212"/>
      <c r="AG714" s="212"/>
      <c r="AH714" s="212"/>
      <c r="AI714" s="212"/>
      <c r="AJ714" s="212"/>
      <c r="AK714" s="212"/>
      <c r="AL714" s="212"/>
      <c r="AM714" s="212"/>
      <c r="AN714" s="212"/>
      <c r="AO714" s="212"/>
      <c r="AP714" s="212"/>
      <c r="AQ714" s="212"/>
      <c r="AR714" s="212"/>
      <c r="AS714" s="212"/>
      <c r="AT714" s="212"/>
      <c r="AU714" s="212"/>
      <c r="AV714" s="212"/>
      <c r="AW714" s="212"/>
      <c r="AX714" s="212"/>
      <c r="AY714" s="212"/>
      <c r="AZ714" s="452"/>
      <c r="BA714" s="212"/>
      <c r="BB714" s="212"/>
      <c r="BC714" s="212"/>
      <c r="BD714" s="212"/>
      <c r="BE714" s="212"/>
      <c r="BF714" s="452"/>
    </row>
    <row r="715">
      <c r="A715" s="212"/>
      <c r="B715" s="447"/>
      <c r="C715" s="212"/>
      <c r="D715" s="212"/>
      <c r="E715" s="212"/>
      <c r="F715" s="212"/>
      <c r="G715" s="212"/>
      <c r="H715" s="212"/>
      <c r="I715" s="212"/>
      <c r="J715" s="212"/>
      <c r="K715" s="212"/>
      <c r="L715" s="212"/>
      <c r="M715" s="212"/>
      <c r="N715" s="212"/>
      <c r="O715" s="212"/>
      <c r="P715" s="212"/>
      <c r="Q715" s="212"/>
      <c r="R715" s="451"/>
      <c r="S715" s="451"/>
      <c r="T715" s="212"/>
      <c r="U715" s="451"/>
      <c r="V715" s="451"/>
      <c r="W715" s="451"/>
      <c r="X715" s="451"/>
      <c r="Y715" s="212"/>
      <c r="Z715" s="212"/>
      <c r="AA715" s="212"/>
      <c r="AB715" s="212"/>
      <c r="AC715" s="212"/>
      <c r="AD715" s="212"/>
      <c r="AE715" s="450"/>
      <c r="AF715" s="212"/>
      <c r="AG715" s="212"/>
      <c r="AH715" s="212"/>
      <c r="AI715" s="212"/>
      <c r="AJ715" s="212"/>
      <c r="AK715" s="212"/>
      <c r="AL715" s="212"/>
      <c r="AM715" s="212"/>
      <c r="AN715" s="212"/>
      <c r="AO715" s="212"/>
      <c r="AP715" s="212"/>
      <c r="AQ715" s="212"/>
      <c r="AR715" s="212"/>
      <c r="AS715" s="212"/>
      <c r="AT715" s="212"/>
      <c r="AU715" s="212"/>
      <c r="AV715" s="212"/>
      <c r="AW715" s="212"/>
      <c r="AX715" s="212"/>
      <c r="AY715" s="212"/>
      <c r="AZ715" s="452"/>
      <c r="BA715" s="212"/>
      <c r="BB715" s="212"/>
      <c r="BC715" s="212"/>
      <c r="BD715" s="212"/>
      <c r="BE715" s="212"/>
      <c r="BF715" s="452"/>
    </row>
    <row r="716">
      <c r="A716" s="212"/>
      <c r="B716" s="447"/>
      <c r="C716" s="212"/>
      <c r="D716" s="212"/>
      <c r="E716" s="212"/>
      <c r="F716" s="212"/>
      <c r="G716" s="212"/>
      <c r="H716" s="212"/>
      <c r="I716" s="212"/>
      <c r="J716" s="212"/>
      <c r="K716" s="212"/>
      <c r="L716" s="212"/>
      <c r="M716" s="212"/>
      <c r="N716" s="212"/>
      <c r="O716" s="212"/>
      <c r="P716" s="212"/>
      <c r="Q716" s="212"/>
      <c r="R716" s="451"/>
      <c r="S716" s="451"/>
      <c r="T716" s="212"/>
      <c r="U716" s="451"/>
      <c r="V716" s="451"/>
      <c r="W716" s="451"/>
      <c r="X716" s="451"/>
      <c r="Y716" s="212"/>
      <c r="Z716" s="212"/>
      <c r="AA716" s="212"/>
      <c r="AB716" s="212"/>
      <c r="AC716" s="212"/>
      <c r="AD716" s="212"/>
      <c r="AE716" s="450"/>
      <c r="AF716" s="212"/>
      <c r="AG716" s="212"/>
      <c r="AH716" s="212"/>
      <c r="AI716" s="212"/>
      <c r="AJ716" s="212"/>
      <c r="AK716" s="212"/>
      <c r="AL716" s="212"/>
      <c r="AM716" s="212"/>
      <c r="AN716" s="212"/>
      <c r="AO716" s="212"/>
      <c r="AP716" s="212"/>
      <c r="AQ716" s="212"/>
      <c r="AR716" s="212"/>
      <c r="AS716" s="212"/>
      <c r="AT716" s="212"/>
      <c r="AU716" s="212"/>
      <c r="AV716" s="212"/>
      <c r="AW716" s="212"/>
      <c r="AX716" s="212"/>
      <c r="AY716" s="212"/>
      <c r="AZ716" s="452"/>
      <c r="BA716" s="212"/>
      <c r="BB716" s="212"/>
      <c r="BC716" s="212"/>
      <c r="BD716" s="212"/>
      <c r="BE716" s="212"/>
      <c r="BF716" s="452"/>
    </row>
    <row r="717">
      <c r="A717" s="212"/>
      <c r="B717" s="447"/>
      <c r="C717" s="212"/>
      <c r="D717" s="212"/>
      <c r="E717" s="212"/>
      <c r="F717" s="212"/>
      <c r="G717" s="212"/>
      <c r="H717" s="212"/>
      <c r="I717" s="212"/>
      <c r="J717" s="212"/>
      <c r="K717" s="212"/>
      <c r="L717" s="212"/>
      <c r="M717" s="212"/>
      <c r="N717" s="212"/>
      <c r="O717" s="212"/>
      <c r="P717" s="212"/>
      <c r="Q717" s="212"/>
      <c r="R717" s="451"/>
      <c r="S717" s="451"/>
      <c r="T717" s="212"/>
      <c r="U717" s="451"/>
      <c r="V717" s="451"/>
      <c r="W717" s="451"/>
      <c r="X717" s="451"/>
      <c r="Y717" s="212"/>
      <c r="Z717" s="212"/>
      <c r="AA717" s="212"/>
      <c r="AB717" s="212"/>
      <c r="AC717" s="212"/>
      <c r="AD717" s="212"/>
      <c r="AE717" s="450"/>
      <c r="AF717" s="212"/>
      <c r="AG717" s="212"/>
      <c r="AH717" s="212"/>
      <c r="AI717" s="212"/>
      <c r="AJ717" s="212"/>
      <c r="AK717" s="212"/>
      <c r="AL717" s="212"/>
      <c r="AM717" s="212"/>
      <c r="AN717" s="212"/>
      <c r="AO717" s="212"/>
      <c r="AP717" s="212"/>
      <c r="AQ717" s="212"/>
      <c r="AR717" s="212"/>
      <c r="AS717" s="212"/>
      <c r="AT717" s="212"/>
      <c r="AU717" s="212"/>
      <c r="AV717" s="212"/>
      <c r="AW717" s="212"/>
      <c r="AX717" s="212"/>
      <c r="AY717" s="212"/>
      <c r="AZ717" s="452"/>
      <c r="BA717" s="212"/>
      <c r="BB717" s="212"/>
      <c r="BC717" s="212"/>
      <c r="BD717" s="212"/>
      <c r="BE717" s="212"/>
      <c r="BF717" s="452"/>
    </row>
    <row r="718">
      <c r="A718" s="212"/>
      <c r="B718" s="447"/>
      <c r="C718" s="212"/>
      <c r="D718" s="212"/>
      <c r="E718" s="212"/>
      <c r="F718" s="212"/>
      <c r="G718" s="212"/>
      <c r="H718" s="212"/>
      <c r="I718" s="212"/>
      <c r="J718" s="212"/>
      <c r="K718" s="212"/>
      <c r="L718" s="212"/>
      <c r="M718" s="212"/>
      <c r="N718" s="212"/>
      <c r="O718" s="212"/>
      <c r="P718" s="212"/>
      <c r="Q718" s="212"/>
      <c r="R718" s="451"/>
      <c r="S718" s="451"/>
      <c r="T718" s="212"/>
      <c r="U718" s="451"/>
      <c r="V718" s="451"/>
      <c r="W718" s="451"/>
      <c r="X718" s="451"/>
      <c r="Y718" s="212"/>
      <c r="Z718" s="212"/>
      <c r="AA718" s="212"/>
      <c r="AB718" s="212"/>
      <c r="AC718" s="212"/>
      <c r="AD718" s="212"/>
      <c r="AE718" s="450"/>
      <c r="AF718" s="212"/>
      <c r="AG718" s="212"/>
      <c r="AH718" s="212"/>
      <c r="AI718" s="212"/>
      <c r="AJ718" s="212"/>
      <c r="AK718" s="212"/>
      <c r="AL718" s="212"/>
      <c r="AM718" s="212"/>
      <c r="AN718" s="212"/>
      <c r="AO718" s="212"/>
      <c r="AP718" s="212"/>
      <c r="AQ718" s="212"/>
      <c r="AR718" s="212"/>
      <c r="AS718" s="212"/>
      <c r="AT718" s="212"/>
      <c r="AU718" s="212"/>
      <c r="AV718" s="212"/>
      <c r="AW718" s="212"/>
      <c r="AX718" s="212"/>
      <c r="AY718" s="212"/>
      <c r="AZ718" s="452"/>
      <c r="BA718" s="212"/>
      <c r="BB718" s="212"/>
      <c r="BC718" s="212"/>
      <c r="BD718" s="212"/>
      <c r="BE718" s="212"/>
      <c r="BF718" s="452"/>
    </row>
    <row r="719">
      <c r="A719" s="212"/>
      <c r="B719" s="447"/>
      <c r="C719" s="212"/>
      <c r="D719" s="212"/>
      <c r="E719" s="212"/>
      <c r="F719" s="212"/>
      <c r="G719" s="212"/>
      <c r="H719" s="212"/>
      <c r="I719" s="212"/>
      <c r="J719" s="212"/>
      <c r="K719" s="212"/>
      <c r="L719" s="212"/>
      <c r="M719" s="212"/>
      <c r="N719" s="212"/>
      <c r="O719" s="212"/>
      <c r="P719" s="212"/>
      <c r="Q719" s="212"/>
      <c r="R719" s="451"/>
      <c r="S719" s="451"/>
      <c r="T719" s="212"/>
      <c r="U719" s="451"/>
      <c r="V719" s="451"/>
      <c r="W719" s="451"/>
      <c r="X719" s="451"/>
      <c r="Y719" s="212"/>
      <c r="Z719" s="212"/>
      <c r="AA719" s="212"/>
      <c r="AB719" s="212"/>
      <c r="AC719" s="212"/>
      <c r="AD719" s="212"/>
      <c r="AE719" s="450"/>
      <c r="AF719" s="212"/>
      <c r="AG719" s="212"/>
      <c r="AH719" s="212"/>
      <c r="AI719" s="212"/>
      <c r="AJ719" s="212"/>
      <c r="AK719" s="212"/>
      <c r="AL719" s="212"/>
      <c r="AM719" s="212"/>
      <c r="AN719" s="212"/>
      <c r="AO719" s="212"/>
      <c r="AP719" s="212"/>
      <c r="AQ719" s="212"/>
      <c r="AR719" s="212"/>
      <c r="AS719" s="212"/>
      <c r="AT719" s="212"/>
      <c r="AU719" s="212"/>
      <c r="AV719" s="212"/>
      <c r="AW719" s="212"/>
      <c r="AX719" s="212"/>
      <c r="AY719" s="212"/>
      <c r="AZ719" s="452"/>
      <c r="BA719" s="212"/>
      <c r="BB719" s="212"/>
      <c r="BC719" s="212"/>
      <c r="BD719" s="212"/>
      <c r="BE719" s="212"/>
      <c r="BF719" s="452"/>
    </row>
    <row r="720">
      <c r="A720" s="212"/>
      <c r="B720" s="447"/>
      <c r="C720" s="212"/>
      <c r="D720" s="212"/>
      <c r="E720" s="212"/>
      <c r="F720" s="212"/>
      <c r="G720" s="212"/>
      <c r="H720" s="212"/>
      <c r="I720" s="212"/>
      <c r="J720" s="212"/>
      <c r="K720" s="212"/>
      <c r="L720" s="212"/>
      <c r="M720" s="212"/>
      <c r="N720" s="212"/>
      <c r="O720" s="212"/>
      <c r="P720" s="212"/>
      <c r="Q720" s="212"/>
      <c r="R720" s="451"/>
      <c r="S720" s="451"/>
      <c r="T720" s="212"/>
      <c r="U720" s="451"/>
      <c r="V720" s="451"/>
      <c r="W720" s="451"/>
      <c r="X720" s="451"/>
      <c r="Y720" s="212"/>
      <c r="Z720" s="212"/>
      <c r="AA720" s="212"/>
      <c r="AB720" s="212"/>
      <c r="AC720" s="212"/>
      <c r="AD720" s="212"/>
      <c r="AE720" s="450"/>
      <c r="AF720" s="212"/>
      <c r="AG720" s="212"/>
      <c r="AH720" s="212"/>
      <c r="AI720" s="212"/>
      <c r="AJ720" s="212"/>
      <c r="AK720" s="212"/>
      <c r="AL720" s="212"/>
      <c r="AM720" s="212"/>
      <c r="AN720" s="212"/>
      <c r="AO720" s="212"/>
      <c r="AP720" s="212"/>
      <c r="AQ720" s="212"/>
      <c r="AR720" s="212"/>
      <c r="AS720" s="212"/>
      <c r="AT720" s="212"/>
      <c r="AU720" s="212"/>
      <c r="AV720" s="212"/>
      <c r="AW720" s="212"/>
      <c r="AX720" s="212"/>
      <c r="AY720" s="212"/>
      <c r="AZ720" s="452"/>
      <c r="BA720" s="212"/>
      <c r="BB720" s="212"/>
      <c r="BC720" s="212"/>
      <c r="BD720" s="212"/>
      <c r="BE720" s="212"/>
      <c r="BF720" s="452"/>
    </row>
    <row r="721">
      <c r="A721" s="212"/>
      <c r="B721" s="447"/>
      <c r="C721" s="212"/>
      <c r="D721" s="212"/>
      <c r="E721" s="212"/>
      <c r="F721" s="212"/>
      <c r="G721" s="212"/>
      <c r="H721" s="212"/>
      <c r="I721" s="212"/>
      <c r="J721" s="212"/>
      <c r="K721" s="212"/>
      <c r="L721" s="212"/>
      <c r="M721" s="212"/>
      <c r="N721" s="212"/>
      <c r="O721" s="212"/>
      <c r="P721" s="212"/>
      <c r="Q721" s="212"/>
      <c r="R721" s="451"/>
      <c r="S721" s="451"/>
      <c r="T721" s="212"/>
      <c r="U721" s="451"/>
      <c r="V721" s="451"/>
      <c r="W721" s="451"/>
      <c r="X721" s="451"/>
      <c r="Y721" s="212"/>
      <c r="Z721" s="212"/>
      <c r="AA721" s="212"/>
      <c r="AB721" s="212"/>
      <c r="AC721" s="212"/>
      <c r="AD721" s="212"/>
      <c r="AE721" s="450"/>
      <c r="AF721" s="212"/>
      <c r="AG721" s="212"/>
      <c r="AH721" s="212"/>
      <c r="AI721" s="212"/>
      <c r="AJ721" s="212"/>
      <c r="AK721" s="212"/>
      <c r="AL721" s="212"/>
      <c r="AM721" s="212"/>
      <c r="AN721" s="212"/>
      <c r="AO721" s="212"/>
      <c r="AP721" s="212"/>
      <c r="AQ721" s="212"/>
      <c r="AR721" s="212"/>
      <c r="AS721" s="212"/>
      <c r="AT721" s="212"/>
      <c r="AU721" s="212"/>
      <c r="AV721" s="212"/>
      <c r="AW721" s="212"/>
      <c r="AX721" s="212"/>
      <c r="AY721" s="212"/>
      <c r="AZ721" s="452"/>
      <c r="BA721" s="212"/>
      <c r="BB721" s="212"/>
      <c r="BC721" s="212"/>
      <c r="BD721" s="212"/>
      <c r="BE721" s="212"/>
      <c r="BF721" s="452"/>
    </row>
    <row r="722">
      <c r="A722" s="212"/>
      <c r="B722" s="447"/>
      <c r="C722" s="212"/>
      <c r="D722" s="212"/>
      <c r="E722" s="212"/>
      <c r="F722" s="212"/>
      <c r="G722" s="212"/>
      <c r="H722" s="212"/>
      <c r="I722" s="212"/>
      <c r="J722" s="212"/>
      <c r="K722" s="212"/>
      <c r="L722" s="212"/>
      <c r="M722" s="212"/>
      <c r="N722" s="212"/>
      <c r="O722" s="212"/>
      <c r="P722" s="212"/>
      <c r="Q722" s="212"/>
      <c r="R722" s="451"/>
      <c r="S722" s="451"/>
      <c r="T722" s="212"/>
      <c r="U722" s="451"/>
      <c r="V722" s="451"/>
      <c r="W722" s="451"/>
      <c r="X722" s="451"/>
      <c r="Y722" s="212"/>
      <c r="Z722" s="212"/>
      <c r="AA722" s="212"/>
      <c r="AB722" s="212"/>
      <c r="AC722" s="212"/>
      <c r="AD722" s="212"/>
      <c r="AE722" s="450"/>
      <c r="AF722" s="212"/>
      <c r="AG722" s="212"/>
      <c r="AH722" s="212"/>
      <c r="AI722" s="212"/>
      <c r="AJ722" s="212"/>
      <c r="AK722" s="212"/>
      <c r="AL722" s="212"/>
      <c r="AM722" s="212"/>
      <c r="AN722" s="212"/>
      <c r="AO722" s="212"/>
      <c r="AP722" s="212"/>
      <c r="AQ722" s="212"/>
      <c r="AR722" s="212"/>
      <c r="AS722" s="212"/>
      <c r="AT722" s="212"/>
      <c r="AU722" s="212"/>
      <c r="AV722" s="212"/>
      <c r="AW722" s="212"/>
      <c r="AX722" s="212"/>
      <c r="AY722" s="212"/>
      <c r="AZ722" s="452"/>
      <c r="BA722" s="212"/>
      <c r="BB722" s="212"/>
      <c r="BC722" s="212"/>
      <c r="BD722" s="212"/>
      <c r="BE722" s="212"/>
      <c r="BF722" s="452"/>
    </row>
    <row r="723">
      <c r="A723" s="212"/>
      <c r="B723" s="447"/>
      <c r="C723" s="212"/>
      <c r="D723" s="212"/>
      <c r="E723" s="212"/>
      <c r="F723" s="212"/>
      <c r="G723" s="212"/>
      <c r="H723" s="212"/>
      <c r="I723" s="212"/>
      <c r="J723" s="212"/>
      <c r="K723" s="212"/>
      <c r="L723" s="212"/>
      <c r="M723" s="212"/>
      <c r="N723" s="212"/>
      <c r="O723" s="212"/>
      <c r="P723" s="212"/>
      <c r="Q723" s="212"/>
      <c r="R723" s="451"/>
      <c r="S723" s="451"/>
      <c r="T723" s="212"/>
      <c r="U723" s="451"/>
      <c r="V723" s="451"/>
      <c r="W723" s="451"/>
      <c r="X723" s="451"/>
      <c r="Y723" s="212"/>
      <c r="Z723" s="212"/>
      <c r="AA723" s="212"/>
      <c r="AB723" s="212"/>
      <c r="AC723" s="212"/>
      <c r="AD723" s="212"/>
      <c r="AE723" s="450"/>
      <c r="AF723" s="212"/>
      <c r="AG723" s="212"/>
      <c r="AH723" s="212"/>
      <c r="AI723" s="212"/>
      <c r="AJ723" s="212"/>
      <c r="AK723" s="212"/>
      <c r="AL723" s="212"/>
      <c r="AM723" s="212"/>
      <c r="AN723" s="212"/>
      <c r="AO723" s="212"/>
      <c r="AP723" s="212"/>
      <c r="AQ723" s="212"/>
      <c r="AR723" s="212"/>
      <c r="AS723" s="212"/>
      <c r="AT723" s="212"/>
      <c r="AU723" s="212"/>
      <c r="AV723" s="212"/>
      <c r="AW723" s="212"/>
      <c r="AX723" s="212"/>
      <c r="AY723" s="212"/>
      <c r="AZ723" s="452"/>
      <c r="BA723" s="212"/>
      <c r="BB723" s="212"/>
      <c r="BC723" s="212"/>
      <c r="BD723" s="212"/>
      <c r="BE723" s="212"/>
      <c r="BF723" s="452"/>
    </row>
    <row r="724">
      <c r="A724" s="212"/>
      <c r="B724" s="447"/>
      <c r="C724" s="212"/>
      <c r="D724" s="212"/>
      <c r="E724" s="212"/>
      <c r="F724" s="212"/>
      <c r="G724" s="212"/>
      <c r="H724" s="212"/>
      <c r="I724" s="212"/>
      <c r="J724" s="212"/>
      <c r="K724" s="212"/>
      <c r="L724" s="212"/>
      <c r="M724" s="212"/>
      <c r="N724" s="212"/>
      <c r="O724" s="212"/>
      <c r="P724" s="212"/>
      <c r="Q724" s="212"/>
      <c r="R724" s="451"/>
      <c r="S724" s="451"/>
      <c r="T724" s="212"/>
      <c r="U724" s="451"/>
      <c r="V724" s="451"/>
      <c r="W724" s="451"/>
      <c r="X724" s="451"/>
      <c r="Y724" s="212"/>
      <c r="Z724" s="212"/>
      <c r="AA724" s="212"/>
      <c r="AB724" s="212"/>
      <c r="AC724" s="212"/>
      <c r="AD724" s="212"/>
      <c r="AE724" s="450"/>
      <c r="AF724" s="212"/>
      <c r="AG724" s="212"/>
      <c r="AH724" s="212"/>
      <c r="AI724" s="212"/>
      <c r="AJ724" s="212"/>
      <c r="AK724" s="212"/>
      <c r="AL724" s="212"/>
      <c r="AM724" s="212"/>
      <c r="AN724" s="212"/>
      <c r="AO724" s="212"/>
      <c r="AP724" s="212"/>
      <c r="AQ724" s="212"/>
      <c r="AR724" s="212"/>
      <c r="AS724" s="212"/>
      <c r="AT724" s="212"/>
      <c r="AU724" s="212"/>
      <c r="AV724" s="212"/>
      <c r="AW724" s="212"/>
      <c r="AX724" s="212"/>
      <c r="AY724" s="212"/>
      <c r="AZ724" s="452"/>
      <c r="BA724" s="212"/>
      <c r="BB724" s="212"/>
      <c r="BC724" s="212"/>
      <c r="BD724" s="212"/>
      <c r="BE724" s="212"/>
      <c r="BF724" s="452"/>
    </row>
    <row r="725">
      <c r="A725" s="212"/>
      <c r="B725" s="447"/>
      <c r="C725" s="212"/>
      <c r="D725" s="212"/>
      <c r="E725" s="212"/>
      <c r="F725" s="212"/>
      <c r="G725" s="212"/>
      <c r="H725" s="212"/>
      <c r="I725" s="212"/>
      <c r="J725" s="212"/>
      <c r="K725" s="212"/>
      <c r="L725" s="212"/>
      <c r="M725" s="212"/>
      <c r="N725" s="212"/>
      <c r="O725" s="212"/>
      <c r="P725" s="212"/>
      <c r="Q725" s="212"/>
      <c r="R725" s="451"/>
      <c r="S725" s="451"/>
      <c r="T725" s="212"/>
      <c r="U725" s="451"/>
      <c r="V725" s="451"/>
      <c r="W725" s="451"/>
      <c r="X725" s="451"/>
      <c r="Y725" s="212"/>
      <c r="Z725" s="212"/>
      <c r="AA725" s="212"/>
      <c r="AB725" s="212"/>
      <c r="AC725" s="212"/>
      <c r="AD725" s="212"/>
      <c r="AE725" s="450"/>
      <c r="AF725" s="212"/>
      <c r="AG725" s="212"/>
      <c r="AH725" s="212"/>
      <c r="AI725" s="212"/>
      <c r="AJ725" s="212"/>
      <c r="AK725" s="212"/>
      <c r="AL725" s="212"/>
      <c r="AM725" s="212"/>
      <c r="AN725" s="212"/>
      <c r="AO725" s="212"/>
      <c r="AP725" s="212"/>
      <c r="AQ725" s="212"/>
      <c r="AR725" s="212"/>
      <c r="AS725" s="212"/>
      <c r="AT725" s="212"/>
      <c r="AU725" s="212"/>
      <c r="AV725" s="212"/>
      <c r="AW725" s="212"/>
      <c r="AX725" s="212"/>
      <c r="AY725" s="212"/>
      <c r="AZ725" s="452"/>
      <c r="BA725" s="212"/>
      <c r="BB725" s="212"/>
      <c r="BC725" s="212"/>
      <c r="BD725" s="212"/>
      <c r="BE725" s="212"/>
      <c r="BF725" s="452"/>
    </row>
    <row r="726">
      <c r="A726" s="212"/>
      <c r="B726" s="447"/>
      <c r="C726" s="212"/>
      <c r="D726" s="212"/>
      <c r="E726" s="212"/>
      <c r="F726" s="212"/>
      <c r="G726" s="212"/>
      <c r="H726" s="212"/>
      <c r="I726" s="212"/>
      <c r="J726" s="212"/>
      <c r="K726" s="212"/>
      <c r="L726" s="212"/>
      <c r="M726" s="212"/>
      <c r="N726" s="212"/>
      <c r="O726" s="212"/>
      <c r="P726" s="212"/>
      <c r="Q726" s="212"/>
      <c r="R726" s="451"/>
      <c r="S726" s="451"/>
      <c r="T726" s="212"/>
      <c r="U726" s="451"/>
      <c r="V726" s="451"/>
      <c r="W726" s="451"/>
      <c r="X726" s="451"/>
      <c r="Y726" s="212"/>
      <c r="Z726" s="212"/>
      <c r="AA726" s="212"/>
      <c r="AB726" s="212"/>
      <c r="AC726" s="212"/>
      <c r="AD726" s="212"/>
      <c r="AE726" s="450"/>
      <c r="AF726" s="212"/>
      <c r="AG726" s="212"/>
      <c r="AH726" s="212"/>
      <c r="AI726" s="212"/>
      <c r="AJ726" s="212"/>
      <c r="AK726" s="212"/>
      <c r="AL726" s="212"/>
      <c r="AM726" s="212"/>
      <c r="AN726" s="212"/>
      <c r="AO726" s="212"/>
      <c r="AP726" s="212"/>
      <c r="AQ726" s="212"/>
      <c r="AR726" s="212"/>
      <c r="AS726" s="212"/>
      <c r="AT726" s="212"/>
      <c r="AU726" s="212"/>
      <c r="AV726" s="212"/>
      <c r="AW726" s="212"/>
      <c r="AX726" s="212"/>
      <c r="AY726" s="212"/>
      <c r="AZ726" s="452"/>
      <c r="BA726" s="212"/>
      <c r="BB726" s="212"/>
      <c r="BC726" s="212"/>
      <c r="BD726" s="212"/>
      <c r="BE726" s="212"/>
      <c r="BF726" s="452"/>
    </row>
    <row r="727">
      <c r="A727" s="212"/>
      <c r="B727" s="447"/>
      <c r="C727" s="212"/>
      <c r="D727" s="212"/>
      <c r="E727" s="212"/>
      <c r="F727" s="212"/>
      <c r="G727" s="212"/>
      <c r="H727" s="212"/>
      <c r="I727" s="212"/>
      <c r="J727" s="212"/>
      <c r="K727" s="212"/>
      <c r="L727" s="212"/>
      <c r="M727" s="212"/>
      <c r="N727" s="212"/>
      <c r="O727" s="212"/>
      <c r="P727" s="212"/>
      <c r="Q727" s="212"/>
      <c r="R727" s="451"/>
      <c r="S727" s="451"/>
      <c r="T727" s="212"/>
      <c r="U727" s="451"/>
      <c r="V727" s="451"/>
      <c r="W727" s="451"/>
      <c r="X727" s="451"/>
      <c r="Y727" s="212"/>
      <c r="Z727" s="212"/>
      <c r="AA727" s="212"/>
      <c r="AB727" s="212"/>
      <c r="AC727" s="212"/>
      <c r="AD727" s="212"/>
      <c r="AE727" s="450"/>
      <c r="AF727" s="212"/>
      <c r="AG727" s="212"/>
      <c r="AH727" s="212"/>
      <c r="AI727" s="212"/>
      <c r="AJ727" s="212"/>
      <c r="AK727" s="212"/>
      <c r="AL727" s="212"/>
      <c r="AM727" s="212"/>
      <c r="AN727" s="212"/>
      <c r="AO727" s="212"/>
      <c r="AP727" s="212"/>
      <c r="AQ727" s="212"/>
      <c r="AR727" s="212"/>
      <c r="AS727" s="212"/>
      <c r="AT727" s="212"/>
      <c r="AU727" s="212"/>
      <c r="AV727" s="212"/>
      <c r="AW727" s="212"/>
      <c r="AX727" s="212"/>
      <c r="AY727" s="212"/>
      <c r="AZ727" s="452"/>
      <c r="BA727" s="212"/>
      <c r="BB727" s="212"/>
      <c r="BC727" s="212"/>
      <c r="BD727" s="212"/>
      <c r="BE727" s="212"/>
      <c r="BF727" s="452"/>
    </row>
    <row r="728">
      <c r="A728" s="212"/>
      <c r="B728" s="447"/>
      <c r="C728" s="212"/>
      <c r="D728" s="212"/>
      <c r="E728" s="212"/>
      <c r="F728" s="212"/>
      <c r="G728" s="212"/>
      <c r="H728" s="212"/>
      <c r="I728" s="212"/>
      <c r="J728" s="212"/>
      <c r="K728" s="212"/>
      <c r="L728" s="212"/>
      <c r="M728" s="212"/>
      <c r="N728" s="212"/>
      <c r="O728" s="212"/>
      <c r="P728" s="212"/>
      <c r="Q728" s="212"/>
      <c r="R728" s="451"/>
      <c r="S728" s="451"/>
      <c r="T728" s="212"/>
      <c r="U728" s="451"/>
      <c r="V728" s="451"/>
      <c r="W728" s="451"/>
      <c r="X728" s="451"/>
      <c r="Y728" s="212"/>
      <c r="Z728" s="212"/>
      <c r="AA728" s="212"/>
      <c r="AB728" s="212"/>
      <c r="AC728" s="212"/>
      <c r="AD728" s="212"/>
      <c r="AE728" s="450"/>
      <c r="AF728" s="212"/>
      <c r="AG728" s="212"/>
      <c r="AH728" s="212"/>
      <c r="AI728" s="212"/>
      <c r="AJ728" s="212"/>
      <c r="AK728" s="212"/>
      <c r="AL728" s="212"/>
      <c r="AM728" s="212"/>
      <c r="AN728" s="212"/>
      <c r="AO728" s="212"/>
      <c r="AP728" s="212"/>
      <c r="AQ728" s="212"/>
      <c r="AR728" s="212"/>
      <c r="AS728" s="212"/>
      <c r="AT728" s="212"/>
      <c r="AU728" s="212"/>
      <c r="AV728" s="212"/>
      <c r="AW728" s="212"/>
      <c r="AX728" s="212"/>
      <c r="AY728" s="212"/>
      <c r="AZ728" s="452"/>
      <c r="BA728" s="212"/>
      <c r="BB728" s="212"/>
      <c r="BC728" s="212"/>
      <c r="BD728" s="212"/>
      <c r="BE728" s="212"/>
      <c r="BF728" s="452"/>
    </row>
    <row r="729">
      <c r="A729" s="212"/>
      <c r="B729" s="447"/>
      <c r="C729" s="212"/>
      <c r="D729" s="212"/>
      <c r="E729" s="212"/>
      <c r="F729" s="212"/>
      <c r="G729" s="212"/>
      <c r="H729" s="212"/>
      <c r="I729" s="212"/>
      <c r="J729" s="212"/>
      <c r="K729" s="212"/>
      <c r="L729" s="212"/>
      <c r="M729" s="212"/>
      <c r="N729" s="212"/>
      <c r="O729" s="212"/>
      <c r="P729" s="212"/>
      <c r="Q729" s="212"/>
      <c r="R729" s="451"/>
      <c r="S729" s="451"/>
      <c r="T729" s="212"/>
      <c r="U729" s="451"/>
      <c r="V729" s="451"/>
      <c r="W729" s="451"/>
      <c r="X729" s="451"/>
      <c r="Y729" s="212"/>
      <c r="Z729" s="212"/>
      <c r="AA729" s="212"/>
      <c r="AB729" s="212"/>
      <c r="AC729" s="212"/>
      <c r="AD729" s="212"/>
      <c r="AE729" s="450"/>
      <c r="AF729" s="212"/>
      <c r="AG729" s="212"/>
      <c r="AH729" s="212"/>
      <c r="AI729" s="212"/>
      <c r="AJ729" s="212"/>
      <c r="AK729" s="212"/>
      <c r="AL729" s="212"/>
      <c r="AM729" s="212"/>
      <c r="AN729" s="212"/>
      <c r="AO729" s="212"/>
      <c r="AP729" s="212"/>
      <c r="AQ729" s="212"/>
      <c r="AR729" s="212"/>
      <c r="AS729" s="212"/>
      <c r="AT729" s="212"/>
      <c r="AU729" s="212"/>
      <c r="AV729" s="212"/>
      <c r="AW729" s="212"/>
      <c r="AX729" s="212"/>
      <c r="AY729" s="212"/>
      <c r="AZ729" s="452"/>
      <c r="BA729" s="212"/>
      <c r="BB729" s="212"/>
      <c r="BC729" s="212"/>
      <c r="BD729" s="212"/>
      <c r="BE729" s="212"/>
      <c r="BF729" s="452"/>
    </row>
    <row r="730">
      <c r="A730" s="212"/>
      <c r="B730" s="447"/>
      <c r="C730" s="212"/>
      <c r="D730" s="212"/>
      <c r="E730" s="212"/>
      <c r="F730" s="212"/>
      <c r="G730" s="212"/>
      <c r="H730" s="212"/>
      <c r="I730" s="212"/>
      <c r="J730" s="212"/>
      <c r="K730" s="212"/>
      <c r="L730" s="212"/>
      <c r="M730" s="212"/>
      <c r="N730" s="212"/>
      <c r="O730" s="212"/>
      <c r="P730" s="212"/>
      <c r="Q730" s="212"/>
      <c r="R730" s="451"/>
      <c r="S730" s="451"/>
      <c r="T730" s="212"/>
      <c r="U730" s="451"/>
      <c r="V730" s="451"/>
      <c r="W730" s="451"/>
      <c r="X730" s="451"/>
      <c r="Y730" s="212"/>
      <c r="Z730" s="212"/>
      <c r="AA730" s="212"/>
      <c r="AB730" s="212"/>
      <c r="AC730" s="212"/>
      <c r="AD730" s="212"/>
      <c r="AE730" s="450"/>
      <c r="AF730" s="212"/>
      <c r="AG730" s="212"/>
      <c r="AH730" s="212"/>
      <c r="AI730" s="212"/>
      <c r="AJ730" s="212"/>
      <c r="AK730" s="212"/>
      <c r="AL730" s="212"/>
      <c r="AM730" s="212"/>
      <c r="AN730" s="212"/>
      <c r="AO730" s="212"/>
      <c r="AP730" s="212"/>
      <c r="AQ730" s="212"/>
      <c r="AR730" s="212"/>
      <c r="AS730" s="212"/>
      <c r="AT730" s="212"/>
      <c r="AU730" s="212"/>
      <c r="AV730" s="212"/>
      <c r="AW730" s="212"/>
      <c r="AX730" s="212"/>
      <c r="AY730" s="212"/>
      <c r="AZ730" s="452"/>
      <c r="BA730" s="212"/>
      <c r="BB730" s="212"/>
      <c r="BC730" s="212"/>
      <c r="BD730" s="212"/>
      <c r="BE730" s="212"/>
      <c r="BF730" s="452"/>
    </row>
    <row r="731">
      <c r="A731" s="212"/>
      <c r="B731" s="447"/>
      <c r="C731" s="212"/>
      <c r="D731" s="212"/>
      <c r="E731" s="212"/>
      <c r="F731" s="212"/>
      <c r="G731" s="212"/>
      <c r="H731" s="212"/>
      <c r="I731" s="212"/>
      <c r="J731" s="212"/>
      <c r="K731" s="212"/>
      <c r="L731" s="212"/>
      <c r="M731" s="212"/>
      <c r="N731" s="212"/>
      <c r="O731" s="212"/>
      <c r="P731" s="212"/>
      <c r="Q731" s="212"/>
      <c r="R731" s="451"/>
      <c r="S731" s="451"/>
      <c r="T731" s="212"/>
      <c r="U731" s="451"/>
      <c r="V731" s="451"/>
      <c r="W731" s="451"/>
      <c r="X731" s="451"/>
      <c r="Y731" s="212"/>
      <c r="Z731" s="212"/>
      <c r="AA731" s="212"/>
      <c r="AB731" s="212"/>
      <c r="AC731" s="212"/>
      <c r="AD731" s="212"/>
      <c r="AE731" s="450"/>
      <c r="AF731" s="212"/>
      <c r="AG731" s="212"/>
      <c r="AH731" s="212"/>
      <c r="AI731" s="212"/>
      <c r="AJ731" s="212"/>
      <c r="AK731" s="212"/>
      <c r="AL731" s="212"/>
      <c r="AM731" s="212"/>
      <c r="AN731" s="212"/>
      <c r="AO731" s="212"/>
      <c r="AP731" s="212"/>
      <c r="AQ731" s="212"/>
      <c r="AR731" s="212"/>
      <c r="AS731" s="212"/>
      <c r="AT731" s="212"/>
      <c r="AU731" s="212"/>
      <c r="AV731" s="212"/>
      <c r="AW731" s="212"/>
      <c r="AX731" s="212"/>
      <c r="AY731" s="212"/>
      <c r="AZ731" s="452"/>
      <c r="BA731" s="212"/>
      <c r="BB731" s="212"/>
      <c r="BC731" s="212"/>
      <c r="BD731" s="212"/>
      <c r="BE731" s="212"/>
      <c r="BF731" s="452"/>
    </row>
    <row r="732">
      <c r="A732" s="212"/>
      <c r="B732" s="447"/>
      <c r="C732" s="212"/>
      <c r="D732" s="212"/>
      <c r="E732" s="212"/>
      <c r="F732" s="212"/>
      <c r="G732" s="212"/>
      <c r="H732" s="212"/>
      <c r="I732" s="212"/>
      <c r="J732" s="212"/>
      <c r="K732" s="212"/>
      <c r="L732" s="212"/>
      <c r="M732" s="212"/>
      <c r="N732" s="212"/>
      <c r="O732" s="212"/>
      <c r="P732" s="212"/>
      <c r="Q732" s="212"/>
      <c r="R732" s="451"/>
      <c r="S732" s="451"/>
      <c r="T732" s="212"/>
      <c r="U732" s="451"/>
      <c r="V732" s="451"/>
      <c r="W732" s="451"/>
      <c r="X732" s="451"/>
      <c r="Y732" s="212"/>
      <c r="Z732" s="212"/>
      <c r="AA732" s="212"/>
      <c r="AB732" s="212"/>
      <c r="AC732" s="212"/>
      <c r="AD732" s="212"/>
      <c r="AE732" s="450"/>
      <c r="AF732" s="212"/>
      <c r="AG732" s="212"/>
      <c r="AH732" s="212"/>
      <c r="AI732" s="212"/>
      <c r="AJ732" s="212"/>
      <c r="AK732" s="212"/>
      <c r="AL732" s="212"/>
      <c r="AM732" s="212"/>
      <c r="AN732" s="212"/>
      <c r="AO732" s="212"/>
      <c r="AP732" s="212"/>
      <c r="AQ732" s="212"/>
      <c r="AR732" s="212"/>
      <c r="AS732" s="212"/>
      <c r="AT732" s="212"/>
      <c r="AU732" s="212"/>
      <c r="AV732" s="212"/>
      <c r="AW732" s="212"/>
      <c r="AX732" s="212"/>
      <c r="AY732" s="212"/>
      <c r="AZ732" s="452"/>
      <c r="BA732" s="212"/>
      <c r="BB732" s="212"/>
      <c r="BC732" s="212"/>
      <c r="BD732" s="212"/>
      <c r="BE732" s="212"/>
      <c r="BF732" s="452"/>
    </row>
    <row r="733">
      <c r="A733" s="212"/>
      <c r="B733" s="447"/>
      <c r="C733" s="212"/>
      <c r="D733" s="212"/>
      <c r="E733" s="212"/>
      <c r="F733" s="212"/>
      <c r="G733" s="212"/>
      <c r="H733" s="212"/>
      <c r="I733" s="212"/>
      <c r="J733" s="212"/>
      <c r="K733" s="212"/>
      <c r="L733" s="212"/>
      <c r="M733" s="212"/>
      <c r="N733" s="212"/>
      <c r="O733" s="212"/>
      <c r="P733" s="212"/>
      <c r="Q733" s="212"/>
      <c r="R733" s="451"/>
      <c r="S733" s="451"/>
      <c r="T733" s="212"/>
      <c r="U733" s="451"/>
      <c r="V733" s="451"/>
      <c r="W733" s="451"/>
      <c r="X733" s="451"/>
      <c r="Y733" s="212"/>
      <c r="Z733" s="212"/>
      <c r="AA733" s="212"/>
      <c r="AB733" s="212"/>
      <c r="AC733" s="212"/>
      <c r="AD733" s="212"/>
      <c r="AE733" s="450"/>
      <c r="AF733" s="212"/>
      <c r="AG733" s="212"/>
      <c r="AH733" s="212"/>
      <c r="AI733" s="212"/>
      <c r="AJ733" s="212"/>
      <c r="AK733" s="212"/>
      <c r="AL733" s="212"/>
      <c r="AM733" s="212"/>
      <c r="AN733" s="212"/>
      <c r="AO733" s="212"/>
      <c r="AP733" s="212"/>
      <c r="AQ733" s="212"/>
      <c r="AR733" s="212"/>
      <c r="AS733" s="212"/>
      <c r="AT733" s="212"/>
      <c r="AU733" s="212"/>
      <c r="AV733" s="212"/>
      <c r="AW733" s="212"/>
      <c r="AX733" s="212"/>
      <c r="AY733" s="212"/>
      <c r="AZ733" s="452"/>
      <c r="BA733" s="212"/>
      <c r="BB733" s="212"/>
      <c r="BC733" s="212"/>
      <c r="BD733" s="212"/>
      <c r="BE733" s="212"/>
      <c r="BF733" s="452"/>
    </row>
    <row r="734">
      <c r="A734" s="212"/>
      <c r="B734" s="447"/>
      <c r="C734" s="212"/>
      <c r="D734" s="212"/>
      <c r="E734" s="212"/>
      <c r="F734" s="212"/>
      <c r="G734" s="212"/>
      <c r="H734" s="212"/>
      <c r="I734" s="212"/>
      <c r="J734" s="212"/>
      <c r="K734" s="212"/>
      <c r="L734" s="212"/>
      <c r="M734" s="212"/>
      <c r="N734" s="212"/>
      <c r="O734" s="212"/>
      <c r="P734" s="212"/>
      <c r="Q734" s="212"/>
      <c r="R734" s="451"/>
      <c r="S734" s="451"/>
      <c r="T734" s="212"/>
      <c r="U734" s="451"/>
      <c r="V734" s="451"/>
      <c r="W734" s="451"/>
      <c r="X734" s="451"/>
      <c r="Y734" s="212"/>
      <c r="Z734" s="212"/>
      <c r="AA734" s="212"/>
      <c r="AB734" s="212"/>
      <c r="AC734" s="212"/>
      <c r="AD734" s="212"/>
      <c r="AE734" s="450"/>
      <c r="AF734" s="212"/>
      <c r="AG734" s="212"/>
      <c r="AH734" s="212"/>
      <c r="AI734" s="212"/>
      <c r="AJ734" s="212"/>
      <c r="AK734" s="212"/>
      <c r="AL734" s="212"/>
      <c r="AM734" s="212"/>
      <c r="AN734" s="212"/>
      <c r="AO734" s="212"/>
      <c r="AP734" s="212"/>
      <c r="AQ734" s="212"/>
      <c r="AR734" s="212"/>
      <c r="AS734" s="212"/>
      <c r="AT734" s="212"/>
      <c r="AU734" s="212"/>
      <c r="AV734" s="212"/>
      <c r="AW734" s="212"/>
      <c r="AX734" s="212"/>
      <c r="AY734" s="212"/>
      <c r="AZ734" s="452"/>
      <c r="BA734" s="212"/>
      <c r="BB734" s="212"/>
      <c r="BC734" s="212"/>
      <c r="BD734" s="212"/>
      <c r="BE734" s="212"/>
      <c r="BF734" s="452"/>
    </row>
    <row r="735">
      <c r="A735" s="212"/>
      <c r="B735" s="447"/>
      <c r="C735" s="212"/>
      <c r="D735" s="212"/>
      <c r="E735" s="212"/>
      <c r="F735" s="212"/>
      <c r="G735" s="212"/>
      <c r="H735" s="212"/>
      <c r="I735" s="212"/>
      <c r="J735" s="212"/>
      <c r="K735" s="212"/>
      <c r="L735" s="212"/>
      <c r="M735" s="212"/>
      <c r="N735" s="212"/>
      <c r="O735" s="212"/>
      <c r="P735" s="212"/>
      <c r="Q735" s="212"/>
      <c r="R735" s="451"/>
      <c r="S735" s="451"/>
      <c r="T735" s="212"/>
      <c r="U735" s="451"/>
      <c r="V735" s="451"/>
      <c r="W735" s="451"/>
      <c r="X735" s="451"/>
      <c r="Y735" s="212"/>
      <c r="Z735" s="212"/>
      <c r="AA735" s="212"/>
      <c r="AB735" s="212"/>
      <c r="AC735" s="212"/>
      <c r="AD735" s="212"/>
      <c r="AE735" s="450"/>
      <c r="AF735" s="212"/>
      <c r="AG735" s="212"/>
      <c r="AH735" s="212"/>
      <c r="AI735" s="212"/>
      <c r="AJ735" s="212"/>
      <c r="AK735" s="212"/>
      <c r="AL735" s="212"/>
      <c r="AM735" s="212"/>
      <c r="AN735" s="212"/>
      <c r="AO735" s="212"/>
      <c r="AP735" s="212"/>
      <c r="AQ735" s="212"/>
      <c r="AR735" s="212"/>
      <c r="AS735" s="212"/>
      <c r="AT735" s="212"/>
      <c r="AU735" s="212"/>
      <c r="AV735" s="212"/>
      <c r="AW735" s="212"/>
      <c r="AX735" s="212"/>
      <c r="AY735" s="212"/>
      <c r="AZ735" s="452"/>
      <c r="BA735" s="212"/>
      <c r="BB735" s="212"/>
      <c r="BC735" s="212"/>
      <c r="BD735" s="212"/>
      <c r="BE735" s="212"/>
      <c r="BF735" s="452"/>
    </row>
    <row r="736">
      <c r="A736" s="212"/>
      <c r="B736" s="447"/>
      <c r="C736" s="212"/>
      <c r="D736" s="212"/>
      <c r="E736" s="212"/>
      <c r="F736" s="212"/>
      <c r="G736" s="212"/>
      <c r="H736" s="212"/>
      <c r="I736" s="212"/>
      <c r="J736" s="212"/>
      <c r="K736" s="212"/>
      <c r="L736" s="212"/>
      <c r="M736" s="212"/>
      <c r="N736" s="212"/>
      <c r="O736" s="212"/>
      <c r="P736" s="212"/>
      <c r="Q736" s="212"/>
      <c r="R736" s="451"/>
      <c r="S736" s="451"/>
      <c r="T736" s="212"/>
      <c r="U736" s="451"/>
      <c r="V736" s="451"/>
      <c r="W736" s="451"/>
      <c r="X736" s="451"/>
      <c r="Y736" s="212"/>
      <c r="Z736" s="212"/>
      <c r="AA736" s="212"/>
      <c r="AB736" s="212"/>
      <c r="AC736" s="212"/>
      <c r="AD736" s="212"/>
      <c r="AE736" s="450"/>
      <c r="AF736" s="212"/>
      <c r="AG736" s="212"/>
      <c r="AH736" s="212"/>
      <c r="AI736" s="212"/>
      <c r="AJ736" s="212"/>
      <c r="AK736" s="212"/>
      <c r="AL736" s="212"/>
      <c r="AM736" s="212"/>
      <c r="AN736" s="212"/>
      <c r="AO736" s="212"/>
      <c r="AP736" s="212"/>
      <c r="AQ736" s="212"/>
      <c r="AR736" s="212"/>
      <c r="AS736" s="212"/>
      <c r="AT736" s="212"/>
      <c r="AU736" s="212"/>
      <c r="AV736" s="212"/>
      <c r="AW736" s="212"/>
      <c r="AX736" s="212"/>
      <c r="AY736" s="212"/>
      <c r="AZ736" s="452"/>
      <c r="BA736" s="212"/>
      <c r="BB736" s="212"/>
      <c r="BC736" s="212"/>
      <c r="BD736" s="212"/>
      <c r="BE736" s="212"/>
      <c r="BF736" s="452"/>
    </row>
    <row r="737">
      <c r="A737" s="212"/>
      <c r="B737" s="447"/>
      <c r="C737" s="212"/>
      <c r="D737" s="212"/>
      <c r="E737" s="212"/>
      <c r="F737" s="212"/>
      <c r="G737" s="212"/>
      <c r="H737" s="212"/>
      <c r="I737" s="212"/>
      <c r="J737" s="212"/>
      <c r="K737" s="212"/>
      <c r="L737" s="212"/>
      <c r="M737" s="212"/>
      <c r="N737" s="212"/>
      <c r="O737" s="212"/>
      <c r="P737" s="212"/>
      <c r="Q737" s="212"/>
      <c r="R737" s="451"/>
      <c r="S737" s="451"/>
      <c r="T737" s="212"/>
      <c r="U737" s="451"/>
      <c r="V737" s="451"/>
      <c r="W737" s="451"/>
      <c r="X737" s="451"/>
      <c r="Y737" s="212"/>
      <c r="Z737" s="212"/>
      <c r="AA737" s="212"/>
      <c r="AB737" s="212"/>
      <c r="AC737" s="212"/>
      <c r="AD737" s="212"/>
      <c r="AE737" s="450"/>
      <c r="AF737" s="212"/>
      <c r="AG737" s="212"/>
      <c r="AH737" s="212"/>
      <c r="AI737" s="212"/>
      <c r="AJ737" s="212"/>
      <c r="AK737" s="212"/>
      <c r="AL737" s="212"/>
      <c r="AM737" s="212"/>
      <c r="AN737" s="212"/>
      <c r="AO737" s="212"/>
      <c r="AP737" s="212"/>
      <c r="AQ737" s="212"/>
      <c r="AR737" s="212"/>
      <c r="AS737" s="212"/>
      <c r="AT737" s="212"/>
      <c r="AU737" s="212"/>
      <c r="AV737" s="212"/>
      <c r="AW737" s="212"/>
      <c r="AX737" s="212"/>
      <c r="AY737" s="212"/>
      <c r="AZ737" s="452"/>
      <c r="BA737" s="212"/>
      <c r="BB737" s="212"/>
      <c r="BC737" s="212"/>
      <c r="BD737" s="212"/>
      <c r="BE737" s="212"/>
      <c r="BF737" s="452"/>
    </row>
    <row r="738">
      <c r="A738" s="212"/>
      <c r="B738" s="447"/>
      <c r="C738" s="212"/>
      <c r="D738" s="212"/>
      <c r="E738" s="212"/>
      <c r="F738" s="212"/>
      <c r="G738" s="212"/>
      <c r="H738" s="212"/>
      <c r="I738" s="212"/>
      <c r="J738" s="212"/>
      <c r="K738" s="212"/>
      <c r="L738" s="212"/>
      <c r="M738" s="212"/>
      <c r="N738" s="212"/>
      <c r="O738" s="212"/>
      <c r="P738" s="212"/>
      <c r="Q738" s="212"/>
      <c r="R738" s="451"/>
      <c r="S738" s="451"/>
      <c r="T738" s="212"/>
      <c r="U738" s="451"/>
      <c r="V738" s="451"/>
      <c r="W738" s="451"/>
      <c r="X738" s="451"/>
      <c r="Y738" s="212"/>
      <c r="Z738" s="212"/>
      <c r="AA738" s="212"/>
      <c r="AB738" s="212"/>
      <c r="AC738" s="212"/>
      <c r="AD738" s="212"/>
      <c r="AE738" s="450"/>
      <c r="AF738" s="212"/>
      <c r="AG738" s="212"/>
      <c r="AH738" s="212"/>
      <c r="AI738" s="212"/>
      <c r="AJ738" s="212"/>
      <c r="AK738" s="212"/>
      <c r="AL738" s="212"/>
      <c r="AM738" s="212"/>
      <c r="AN738" s="212"/>
      <c r="AO738" s="212"/>
      <c r="AP738" s="212"/>
      <c r="AQ738" s="212"/>
      <c r="AR738" s="212"/>
      <c r="AS738" s="212"/>
      <c r="AT738" s="212"/>
      <c r="AU738" s="212"/>
      <c r="AV738" s="212"/>
      <c r="AW738" s="212"/>
      <c r="AX738" s="212"/>
      <c r="AY738" s="212"/>
      <c r="AZ738" s="452"/>
      <c r="BA738" s="212"/>
      <c r="BB738" s="212"/>
      <c r="BC738" s="212"/>
      <c r="BD738" s="212"/>
      <c r="BE738" s="212"/>
      <c r="BF738" s="452"/>
    </row>
    <row r="739">
      <c r="A739" s="212"/>
      <c r="B739" s="447"/>
      <c r="C739" s="212"/>
      <c r="D739" s="212"/>
      <c r="E739" s="212"/>
      <c r="F739" s="212"/>
      <c r="G739" s="212"/>
      <c r="H739" s="212"/>
      <c r="I739" s="212"/>
      <c r="J739" s="212"/>
      <c r="K739" s="212"/>
      <c r="L739" s="212"/>
      <c r="M739" s="212"/>
      <c r="N739" s="212"/>
      <c r="O739" s="212"/>
      <c r="P739" s="212"/>
      <c r="Q739" s="212"/>
      <c r="R739" s="451"/>
      <c r="S739" s="451"/>
      <c r="T739" s="212"/>
      <c r="U739" s="451"/>
      <c r="V739" s="451"/>
      <c r="W739" s="451"/>
      <c r="X739" s="451"/>
      <c r="Y739" s="212"/>
      <c r="Z739" s="212"/>
      <c r="AA739" s="212"/>
      <c r="AB739" s="212"/>
      <c r="AC739" s="212"/>
      <c r="AD739" s="212"/>
      <c r="AE739" s="450"/>
      <c r="AF739" s="212"/>
      <c r="AG739" s="212"/>
      <c r="AH739" s="212"/>
      <c r="AI739" s="212"/>
      <c r="AJ739" s="212"/>
      <c r="AK739" s="212"/>
      <c r="AL739" s="212"/>
      <c r="AM739" s="212"/>
      <c r="AN739" s="212"/>
      <c r="AO739" s="212"/>
      <c r="AP739" s="212"/>
      <c r="AQ739" s="212"/>
      <c r="AR739" s="212"/>
      <c r="AS739" s="212"/>
      <c r="AT739" s="212"/>
      <c r="AU739" s="212"/>
      <c r="AV739" s="212"/>
      <c r="AW739" s="212"/>
      <c r="AX739" s="212"/>
      <c r="AY739" s="212"/>
      <c r="AZ739" s="452"/>
      <c r="BA739" s="212"/>
      <c r="BB739" s="212"/>
      <c r="BC739" s="212"/>
      <c r="BD739" s="212"/>
      <c r="BE739" s="212"/>
      <c r="BF739" s="452"/>
    </row>
    <row r="740">
      <c r="A740" s="212"/>
      <c r="B740" s="447"/>
      <c r="C740" s="212"/>
      <c r="D740" s="212"/>
      <c r="E740" s="212"/>
      <c r="F740" s="212"/>
      <c r="G740" s="212"/>
      <c r="H740" s="212"/>
      <c r="I740" s="212"/>
      <c r="J740" s="212"/>
      <c r="K740" s="212"/>
      <c r="L740" s="212"/>
      <c r="M740" s="212"/>
      <c r="N740" s="212"/>
      <c r="O740" s="212"/>
      <c r="P740" s="212"/>
      <c r="Q740" s="212"/>
      <c r="R740" s="451"/>
      <c r="S740" s="451"/>
      <c r="T740" s="212"/>
      <c r="U740" s="451"/>
      <c r="V740" s="451"/>
      <c r="W740" s="451"/>
      <c r="X740" s="451"/>
      <c r="Y740" s="212"/>
      <c r="Z740" s="212"/>
      <c r="AA740" s="212"/>
      <c r="AB740" s="212"/>
      <c r="AC740" s="212"/>
      <c r="AD740" s="212"/>
      <c r="AE740" s="450"/>
      <c r="AF740" s="212"/>
      <c r="AG740" s="212"/>
      <c r="AH740" s="212"/>
      <c r="AI740" s="212"/>
      <c r="AJ740" s="212"/>
      <c r="AK740" s="212"/>
      <c r="AL740" s="212"/>
      <c r="AM740" s="212"/>
      <c r="AN740" s="212"/>
      <c r="AO740" s="212"/>
      <c r="AP740" s="212"/>
      <c r="AQ740" s="212"/>
      <c r="AR740" s="212"/>
      <c r="AS740" s="212"/>
      <c r="AT740" s="212"/>
      <c r="AU740" s="212"/>
      <c r="AV740" s="212"/>
      <c r="AW740" s="212"/>
      <c r="AX740" s="212"/>
      <c r="AY740" s="212"/>
      <c r="AZ740" s="452"/>
      <c r="BA740" s="212"/>
      <c r="BB740" s="212"/>
      <c r="BC740" s="212"/>
      <c r="BD740" s="212"/>
      <c r="BE740" s="212"/>
      <c r="BF740" s="452"/>
    </row>
    <row r="741">
      <c r="A741" s="212"/>
      <c r="B741" s="447"/>
      <c r="C741" s="212"/>
      <c r="D741" s="212"/>
      <c r="E741" s="212"/>
      <c r="F741" s="212"/>
      <c r="G741" s="212"/>
      <c r="H741" s="212"/>
      <c r="I741" s="212"/>
      <c r="J741" s="212"/>
      <c r="K741" s="212"/>
      <c r="L741" s="212"/>
      <c r="M741" s="212"/>
      <c r="N741" s="212"/>
      <c r="O741" s="212"/>
      <c r="P741" s="212"/>
      <c r="Q741" s="212"/>
      <c r="R741" s="451"/>
      <c r="S741" s="451"/>
      <c r="T741" s="212"/>
      <c r="U741" s="451"/>
      <c r="V741" s="451"/>
      <c r="W741" s="451"/>
      <c r="X741" s="451"/>
      <c r="Y741" s="212"/>
      <c r="Z741" s="212"/>
      <c r="AA741" s="212"/>
      <c r="AB741" s="212"/>
      <c r="AC741" s="212"/>
      <c r="AD741" s="212"/>
      <c r="AE741" s="450"/>
      <c r="AF741" s="212"/>
      <c r="AG741" s="212"/>
      <c r="AH741" s="212"/>
      <c r="AI741" s="212"/>
      <c r="AJ741" s="212"/>
      <c r="AK741" s="212"/>
      <c r="AL741" s="212"/>
      <c r="AM741" s="212"/>
      <c r="AN741" s="212"/>
      <c r="AO741" s="212"/>
      <c r="AP741" s="212"/>
      <c r="AQ741" s="212"/>
      <c r="AR741" s="212"/>
      <c r="AS741" s="212"/>
      <c r="AT741" s="212"/>
      <c r="AU741" s="212"/>
      <c r="AV741" s="212"/>
      <c r="AW741" s="212"/>
      <c r="AX741" s="212"/>
      <c r="AY741" s="212"/>
      <c r="AZ741" s="452"/>
      <c r="BA741" s="212"/>
      <c r="BB741" s="212"/>
      <c r="BC741" s="212"/>
      <c r="BD741" s="212"/>
      <c r="BE741" s="212"/>
      <c r="BF741" s="452"/>
    </row>
    <row r="742">
      <c r="A742" s="212"/>
      <c r="B742" s="447"/>
      <c r="C742" s="212"/>
      <c r="D742" s="212"/>
      <c r="E742" s="212"/>
      <c r="F742" s="212"/>
      <c r="G742" s="212"/>
      <c r="H742" s="212"/>
      <c r="I742" s="212"/>
      <c r="J742" s="212"/>
      <c r="K742" s="212"/>
      <c r="L742" s="212"/>
      <c r="M742" s="212"/>
      <c r="N742" s="212"/>
      <c r="O742" s="212"/>
      <c r="P742" s="212"/>
      <c r="Q742" s="212"/>
      <c r="R742" s="451"/>
      <c r="S742" s="451"/>
      <c r="T742" s="212"/>
      <c r="U742" s="451"/>
      <c r="V742" s="451"/>
      <c r="W742" s="451"/>
      <c r="X742" s="451"/>
      <c r="Y742" s="212"/>
      <c r="Z742" s="212"/>
      <c r="AA742" s="212"/>
      <c r="AB742" s="212"/>
      <c r="AC742" s="212"/>
      <c r="AD742" s="212"/>
      <c r="AE742" s="450"/>
      <c r="AF742" s="212"/>
      <c r="AG742" s="212"/>
      <c r="AH742" s="212"/>
      <c r="AI742" s="212"/>
      <c r="AJ742" s="212"/>
      <c r="AK742" s="212"/>
      <c r="AL742" s="212"/>
      <c r="AM742" s="212"/>
      <c r="AN742" s="212"/>
      <c r="AO742" s="212"/>
      <c r="AP742" s="212"/>
      <c r="AQ742" s="212"/>
      <c r="AR742" s="212"/>
      <c r="AS742" s="212"/>
      <c r="AT742" s="212"/>
      <c r="AU742" s="212"/>
      <c r="AV742" s="212"/>
      <c r="AW742" s="212"/>
      <c r="AX742" s="212"/>
      <c r="AY742" s="212"/>
      <c r="AZ742" s="452"/>
      <c r="BA742" s="212"/>
      <c r="BB742" s="212"/>
      <c r="BC742" s="212"/>
      <c r="BD742" s="212"/>
      <c r="BE742" s="212"/>
      <c r="BF742" s="452"/>
    </row>
    <row r="743">
      <c r="A743" s="212"/>
      <c r="B743" s="447"/>
      <c r="C743" s="212"/>
      <c r="D743" s="212"/>
      <c r="E743" s="212"/>
      <c r="F743" s="212"/>
      <c r="G743" s="212"/>
      <c r="H743" s="212"/>
      <c r="I743" s="212"/>
      <c r="J743" s="212"/>
      <c r="K743" s="212"/>
      <c r="L743" s="212"/>
      <c r="M743" s="212"/>
      <c r="N743" s="212"/>
      <c r="O743" s="212"/>
      <c r="P743" s="212"/>
      <c r="Q743" s="212"/>
      <c r="R743" s="451"/>
      <c r="S743" s="451"/>
      <c r="T743" s="212"/>
      <c r="U743" s="451"/>
      <c r="V743" s="451"/>
      <c r="W743" s="451"/>
      <c r="X743" s="451"/>
      <c r="Y743" s="212"/>
      <c r="Z743" s="212"/>
      <c r="AA743" s="212"/>
      <c r="AB743" s="212"/>
      <c r="AC743" s="212"/>
      <c r="AD743" s="212"/>
      <c r="AE743" s="450"/>
      <c r="AF743" s="212"/>
      <c r="AG743" s="212"/>
      <c r="AH743" s="212"/>
      <c r="AI743" s="212"/>
      <c r="AJ743" s="212"/>
      <c r="AK743" s="212"/>
      <c r="AL743" s="212"/>
      <c r="AM743" s="212"/>
      <c r="AN743" s="212"/>
      <c r="AO743" s="212"/>
      <c r="AP743" s="212"/>
      <c r="AQ743" s="212"/>
      <c r="AR743" s="212"/>
      <c r="AS743" s="212"/>
      <c r="AT743" s="212"/>
      <c r="AU743" s="212"/>
      <c r="AV743" s="212"/>
      <c r="AW743" s="212"/>
      <c r="AX743" s="212"/>
      <c r="AY743" s="212"/>
      <c r="AZ743" s="452"/>
      <c r="BA743" s="212"/>
      <c r="BB743" s="212"/>
      <c r="BC743" s="212"/>
      <c r="BD743" s="212"/>
      <c r="BE743" s="212"/>
      <c r="BF743" s="452"/>
    </row>
    <row r="744">
      <c r="A744" s="212"/>
      <c r="B744" s="447"/>
      <c r="C744" s="212"/>
      <c r="D744" s="212"/>
      <c r="E744" s="212"/>
      <c r="F744" s="212"/>
      <c r="G744" s="212"/>
      <c r="H744" s="212"/>
      <c r="I744" s="212"/>
      <c r="J744" s="212"/>
      <c r="K744" s="212"/>
      <c r="L744" s="212"/>
      <c r="M744" s="212"/>
      <c r="N744" s="212"/>
      <c r="O744" s="212"/>
      <c r="P744" s="212"/>
      <c r="Q744" s="212"/>
      <c r="R744" s="451"/>
      <c r="S744" s="451"/>
      <c r="T744" s="212"/>
      <c r="U744" s="451"/>
      <c r="V744" s="451"/>
      <c r="W744" s="451"/>
      <c r="X744" s="451"/>
      <c r="Y744" s="212"/>
      <c r="Z744" s="212"/>
      <c r="AA744" s="212"/>
      <c r="AB744" s="212"/>
      <c r="AC744" s="212"/>
      <c r="AD744" s="212"/>
      <c r="AE744" s="450"/>
      <c r="AF744" s="212"/>
      <c r="AG744" s="212"/>
      <c r="AH744" s="212"/>
      <c r="AI744" s="212"/>
      <c r="AJ744" s="212"/>
      <c r="AK744" s="212"/>
      <c r="AL744" s="212"/>
      <c r="AM744" s="212"/>
      <c r="AN744" s="212"/>
      <c r="AO744" s="212"/>
      <c r="AP744" s="212"/>
      <c r="AQ744" s="212"/>
      <c r="AR744" s="212"/>
      <c r="AS744" s="212"/>
      <c r="AT744" s="212"/>
      <c r="AU744" s="212"/>
      <c r="AV744" s="212"/>
      <c r="AW744" s="212"/>
      <c r="AX744" s="212"/>
      <c r="AY744" s="212"/>
      <c r="AZ744" s="452"/>
      <c r="BA744" s="212"/>
      <c r="BB744" s="212"/>
      <c r="BC744" s="212"/>
      <c r="BD744" s="212"/>
      <c r="BE744" s="212"/>
      <c r="BF744" s="452"/>
    </row>
    <row r="745">
      <c r="A745" s="212"/>
      <c r="B745" s="447"/>
      <c r="C745" s="212"/>
      <c r="D745" s="212"/>
      <c r="E745" s="212"/>
      <c r="F745" s="212"/>
      <c r="G745" s="212"/>
      <c r="H745" s="212"/>
      <c r="I745" s="212"/>
      <c r="J745" s="212"/>
      <c r="K745" s="212"/>
      <c r="L745" s="212"/>
      <c r="M745" s="212"/>
      <c r="N745" s="212"/>
      <c r="O745" s="212"/>
      <c r="P745" s="212"/>
      <c r="Q745" s="212"/>
      <c r="R745" s="451"/>
      <c r="S745" s="451"/>
      <c r="T745" s="212"/>
      <c r="U745" s="451"/>
      <c r="V745" s="451"/>
      <c r="W745" s="451"/>
      <c r="X745" s="451"/>
      <c r="Y745" s="212"/>
      <c r="Z745" s="212"/>
      <c r="AA745" s="212"/>
      <c r="AB745" s="212"/>
      <c r="AC745" s="212"/>
      <c r="AD745" s="212"/>
      <c r="AE745" s="450"/>
      <c r="AF745" s="212"/>
      <c r="AG745" s="212"/>
      <c r="AH745" s="212"/>
      <c r="AI745" s="212"/>
      <c r="AJ745" s="212"/>
      <c r="AK745" s="212"/>
      <c r="AL745" s="212"/>
      <c r="AM745" s="212"/>
      <c r="AN745" s="212"/>
      <c r="AO745" s="212"/>
      <c r="AP745" s="212"/>
      <c r="AQ745" s="212"/>
      <c r="AR745" s="212"/>
      <c r="AS745" s="212"/>
      <c r="AT745" s="212"/>
      <c r="AU745" s="212"/>
      <c r="AV745" s="212"/>
      <c r="AW745" s="212"/>
      <c r="AX745" s="212"/>
      <c r="AY745" s="212"/>
      <c r="AZ745" s="452"/>
      <c r="BA745" s="212"/>
      <c r="BB745" s="212"/>
      <c r="BC745" s="212"/>
      <c r="BD745" s="212"/>
      <c r="BE745" s="212"/>
      <c r="BF745" s="452"/>
    </row>
    <row r="746">
      <c r="A746" s="212"/>
      <c r="B746" s="447"/>
      <c r="C746" s="212"/>
      <c r="D746" s="212"/>
      <c r="E746" s="212"/>
      <c r="F746" s="212"/>
      <c r="G746" s="212"/>
      <c r="H746" s="212"/>
      <c r="I746" s="212"/>
      <c r="J746" s="212"/>
      <c r="K746" s="212"/>
      <c r="L746" s="212"/>
      <c r="M746" s="212"/>
      <c r="N746" s="212"/>
      <c r="O746" s="212"/>
      <c r="P746" s="212"/>
      <c r="Q746" s="212"/>
      <c r="R746" s="451"/>
      <c r="S746" s="451"/>
      <c r="T746" s="212"/>
      <c r="U746" s="451"/>
      <c r="V746" s="451"/>
      <c r="W746" s="451"/>
      <c r="X746" s="451"/>
      <c r="Y746" s="212"/>
      <c r="Z746" s="212"/>
      <c r="AA746" s="212"/>
      <c r="AB746" s="212"/>
      <c r="AC746" s="212"/>
      <c r="AD746" s="212"/>
      <c r="AE746" s="450"/>
      <c r="AF746" s="212"/>
      <c r="AG746" s="212"/>
      <c r="AH746" s="212"/>
      <c r="AI746" s="212"/>
      <c r="AJ746" s="212"/>
      <c r="AK746" s="212"/>
      <c r="AL746" s="212"/>
      <c r="AM746" s="212"/>
      <c r="AN746" s="212"/>
      <c r="AO746" s="212"/>
      <c r="AP746" s="212"/>
      <c r="AQ746" s="212"/>
      <c r="AR746" s="212"/>
      <c r="AS746" s="212"/>
      <c r="AT746" s="212"/>
      <c r="AU746" s="212"/>
      <c r="AV746" s="212"/>
      <c r="AW746" s="212"/>
      <c r="AX746" s="212"/>
      <c r="AY746" s="212"/>
      <c r="AZ746" s="452"/>
      <c r="BA746" s="212"/>
      <c r="BB746" s="212"/>
      <c r="BC746" s="212"/>
      <c r="BD746" s="212"/>
      <c r="BE746" s="212"/>
      <c r="BF746" s="452"/>
    </row>
    <row r="747">
      <c r="A747" s="212"/>
      <c r="B747" s="447"/>
      <c r="C747" s="212"/>
      <c r="D747" s="212"/>
      <c r="E747" s="212"/>
      <c r="F747" s="212"/>
      <c r="G747" s="212"/>
      <c r="H747" s="212"/>
      <c r="I747" s="212"/>
      <c r="J747" s="212"/>
      <c r="K747" s="212"/>
      <c r="L747" s="212"/>
      <c r="M747" s="212"/>
      <c r="N747" s="212"/>
      <c r="O747" s="212"/>
      <c r="P747" s="212"/>
      <c r="Q747" s="212"/>
      <c r="R747" s="451"/>
      <c r="S747" s="451"/>
      <c r="T747" s="212"/>
      <c r="U747" s="451"/>
      <c r="V747" s="451"/>
      <c r="W747" s="451"/>
      <c r="X747" s="451"/>
      <c r="Y747" s="212"/>
      <c r="Z747" s="212"/>
      <c r="AA747" s="212"/>
      <c r="AB747" s="212"/>
      <c r="AC747" s="212"/>
      <c r="AD747" s="212"/>
      <c r="AE747" s="450"/>
      <c r="AF747" s="212"/>
      <c r="AG747" s="212"/>
      <c r="AH747" s="212"/>
      <c r="AI747" s="212"/>
      <c r="AJ747" s="212"/>
      <c r="AK747" s="212"/>
      <c r="AL747" s="212"/>
      <c r="AM747" s="212"/>
      <c r="AN747" s="212"/>
      <c r="AO747" s="212"/>
      <c r="AP747" s="212"/>
      <c r="AQ747" s="212"/>
      <c r="AR747" s="212"/>
      <c r="AS747" s="212"/>
      <c r="AT747" s="212"/>
      <c r="AU747" s="212"/>
      <c r="AV747" s="212"/>
      <c r="AW747" s="212"/>
      <c r="AX747" s="212"/>
      <c r="AY747" s="212"/>
      <c r="AZ747" s="452"/>
      <c r="BA747" s="212"/>
      <c r="BB747" s="212"/>
      <c r="BC747" s="212"/>
      <c r="BD747" s="212"/>
      <c r="BE747" s="212"/>
      <c r="BF747" s="452"/>
    </row>
    <row r="748">
      <c r="A748" s="212"/>
      <c r="B748" s="447"/>
      <c r="C748" s="212"/>
      <c r="D748" s="212"/>
      <c r="E748" s="212"/>
      <c r="F748" s="212"/>
      <c r="G748" s="212"/>
      <c r="H748" s="212"/>
      <c r="I748" s="212"/>
      <c r="J748" s="212"/>
      <c r="K748" s="212"/>
      <c r="L748" s="212"/>
      <c r="M748" s="212"/>
      <c r="N748" s="212"/>
      <c r="O748" s="212"/>
      <c r="P748" s="212"/>
      <c r="Q748" s="212"/>
      <c r="R748" s="451"/>
      <c r="S748" s="451"/>
      <c r="T748" s="212"/>
      <c r="U748" s="451"/>
      <c r="V748" s="451"/>
      <c r="W748" s="451"/>
      <c r="X748" s="451"/>
      <c r="Y748" s="212"/>
      <c r="Z748" s="212"/>
      <c r="AA748" s="212"/>
      <c r="AB748" s="212"/>
      <c r="AC748" s="212"/>
      <c r="AD748" s="212"/>
      <c r="AE748" s="450"/>
      <c r="AF748" s="212"/>
      <c r="AG748" s="212"/>
      <c r="AH748" s="212"/>
      <c r="AI748" s="212"/>
      <c r="AJ748" s="212"/>
      <c r="AK748" s="212"/>
      <c r="AL748" s="212"/>
      <c r="AM748" s="212"/>
      <c r="AN748" s="212"/>
      <c r="AO748" s="212"/>
      <c r="AP748" s="212"/>
      <c r="AQ748" s="212"/>
      <c r="AR748" s="212"/>
      <c r="AS748" s="212"/>
      <c r="AT748" s="212"/>
      <c r="AU748" s="212"/>
      <c r="AV748" s="212"/>
      <c r="AW748" s="212"/>
      <c r="AX748" s="212"/>
      <c r="AY748" s="212"/>
      <c r="AZ748" s="452"/>
      <c r="BA748" s="212"/>
      <c r="BB748" s="212"/>
      <c r="BC748" s="212"/>
      <c r="BD748" s="212"/>
      <c r="BE748" s="212"/>
      <c r="BF748" s="452"/>
    </row>
    <row r="749">
      <c r="A749" s="212"/>
      <c r="B749" s="447"/>
      <c r="C749" s="212"/>
      <c r="D749" s="212"/>
      <c r="E749" s="212"/>
      <c r="F749" s="212"/>
      <c r="G749" s="212"/>
      <c r="H749" s="212"/>
      <c r="I749" s="212"/>
      <c r="J749" s="212"/>
      <c r="K749" s="212"/>
      <c r="L749" s="212"/>
      <c r="M749" s="212"/>
      <c r="N749" s="212"/>
      <c r="O749" s="212"/>
      <c r="P749" s="212"/>
      <c r="Q749" s="212"/>
      <c r="R749" s="451"/>
      <c r="S749" s="451"/>
      <c r="T749" s="212"/>
      <c r="U749" s="451"/>
      <c r="V749" s="451"/>
      <c r="W749" s="451"/>
      <c r="X749" s="451"/>
      <c r="Y749" s="212"/>
      <c r="Z749" s="212"/>
      <c r="AA749" s="212"/>
      <c r="AB749" s="212"/>
      <c r="AC749" s="212"/>
      <c r="AD749" s="212"/>
      <c r="AE749" s="450"/>
      <c r="AF749" s="212"/>
      <c r="AG749" s="212"/>
      <c r="AH749" s="212"/>
      <c r="AI749" s="212"/>
      <c r="AJ749" s="212"/>
      <c r="AK749" s="212"/>
      <c r="AL749" s="212"/>
      <c r="AM749" s="212"/>
      <c r="AN749" s="212"/>
      <c r="AO749" s="212"/>
      <c r="AP749" s="212"/>
      <c r="AQ749" s="212"/>
      <c r="AR749" s="212"/>
      <c r="AS749" s="212"/>
      <c r="AT749" s="212"/>
      <c r="AU749" s="212"/>
      <c r="AV749" s="212"/>
      <c r="AW749" s="212"/>
      <c r="AX749" s="212"/>
      <c r="AY749" s="212"/>
      <c r="AZ749" s="452"/>
      <c r="BA749" s="212"/>
      <c r="BB749" s="212"/>
      <c r="BC749" s="212"/>
      <c r="BD749" s="212"/>
      <c r="BE749" s="212"/>
      <c r="BF749" s="452"/>
    </row>
    <row r="750">
      <c r="A750" s="212"/>
      <c r="B750" s="447"/>
      <c r="C750" s="212"/>
      <c r="D750" s="212"/>
      <c r="E750" s="212"/>
      <c r="F750" s="212"/>
      <c r="G750" s="212"/>
      <c r="H750" s="212"/>
      <c r="I750" s="212"/>
      <c r="J750" s="212"/>
      <c r="K750" s="212"/>
      <c r="L750" s="212"/>
      <c r="M750" s="212"/>
      <c r="N750" s="212"/>
      <c r="O750" s="212"/>
      <c r="P750" s="212"/>
      <c r="Q750" s="212"/>
      <c r="R750" s="451"/>
      <c r="S750" s="451"/>
      <c r="T750" s="212"/>
      <c r="U750" s="451"/>
      <c r="V750" s="451"/>
      <c r="W750" s="451"/>
      <c r="X750" s="451"/>
      <c r="Y750" s="212"/>
      <c r="Z750" s="212"/>
      <c r="AA750" s="212"/>
      <c r="AB750" s="212"/>
      <c r="AC750" s="212"/>
      <c r="AD750" s="212"/>
      <c r="AE750" s="450"/>
      <c r="AF750" s="212"/>
      <c r="AG750" s="212"/>
      <c r="AH750" s="212"/>
      <c r="AI750" s="212"/>
      <c r="AJ750" s="212"/>
      <c r="AK750" s="212"/>
      <c r="AL750" s="212"/>
      <c r="AM750" s="212"/>
      <c r="AN750" s="212"/>
      <c r="AO750" s="212"/>
      <c r="AP750" s="212"/>
      <c r="AQ750" s="212"/>
      <c r="AR750" s="212"/>
      <c r="AS750" s="212"/>
      <c r="AT750" s="212"/>
      <c r="AU750" s="212"/>
      <c r="AV750" s="212"/>
      <c r="AW750" s="212"/>
      <c r="AX750" s="212"/>
      <c r="AY750" s="212"/>
      <c r="AZ750" s="452"/>
      <c r="BA750" s="212"/>
      <c r="BB750" s="212"/>
      <c r="BC750" s="212"/>
      <c r="BD750" s="212"/>
      <c r="BE750" s="212"/>
      <c r="BF750" s="452"/>
    </row>
    <row r="751">
      <c r="A751" s="212"/>
      <c r="B751" s="447"/>
      <c r="C751" s="212"/>
      <c r="D751" s="212"/>
      <c r="E751" s="212"/>
      <c r="F751" s="212"/>
      <c r="G751" s="212"/>
      <c r="H751" s="212"/>
      <c r="I751" s="212"/>
      <c r="J751" s="212"/>
      <c r="K751" s="212"/>
      <c r="L751" s="212"/>
      <c r="M751" s="212"/>
      <c r="N751" s="212"/>
      <c r="O751" s="212"/>
      <c r="P751" s="212"/>
      <c r="Q751" s="212"/>
      <c r="R751" s="451"/>
      <c r="S751" s="451"/>
      <c r="T751" s="212"/>
      <c r="U751" s="451"/>
      <c r="V751" s="451"/>
      <c r="W751" s="451"/>
      <c r="X751" s="451"/>
      <c r="Y751" s="212"/>
      <c r="Z751" s="212"/>
      <c r="AA751" s="212"/>
      <c r="AB751" s="212"/>
      <c r="AC751" s="212"/>
      <c r="AD751" s="212"/>
      <c r="AE751" s="450"/>
      <c r="AF751" s="212"/>
      <c r="AG751" s="212"/>
      <c r="AH751" s="212"/>
      <c r="AI751" s="212"/>
      <c r="AJ751" s="212"/>
      <c r="AK751" s="212"/>
      <c r="AL751" s="212"/>
      <c r="AM751" s="212"/>
      <c r="AN751" s="212"/>
      <c r="AO751" s="212"/>
      <c r="AP751" s="212"/>
      <c r="AQ751" s="212"/>
      <c r="AR751" s="212"/>
      <c r="AS751" s="212"/>
      <c r="AT751" s="212"/>
      <c r="AU751" s="212"/>
      <c r="AV751" s="212"/>
      <c r="AW751" s="212"/>
      <c r="AX751" s="212"/>
      <c r="AY751" s="212"/>
      <c r="AZ751" s="452"/>
      <c r="BA751" s="212"/>
      <c r="BB751" s="212"/>
      <c r="BC751" s="212"/>
      <c r="BD751" s="212"/>
      <c r="BE751" s="212"/>
      <c r="BF751" s="452"/>
    </row>
    <row r="752">
      <c r="A752" s="212"/>
      <c r="B752" s="447"/>
      <c r="C752" s="212"/>
      <c r="D752" s="212"/>
      <c r="E752" s="212"/>
      <c r="F752" s="212"/>
      <c r="G752" s="212"/>
      <c r="H752" s="212"/>
      <c r="I752" s="212"/>
      <c r="J752" s="212"/>
      <c r="K752" s="212"/>
      <c r="L752" s="212"/>
      <c r="M752" s="212"/>
      <c r="N752" s="212"/>
      <c r="O752" s="212"/>
      <c r="P752" s="212"/>
      <c r="Q752" s="212"/>
      <c r="R752" s="451"/>
      <c r="S752" s="451"/>
      <c r="T752" s="212"/>
      <c r="U752" s="451"/>
      <c r="V752" s="451"/>
      <c r="W752" s="451"/>
      <c r="X752" s="451"/>
      <c r="Y752" s="212"/>
      <c r="Z752" s="212"/>
      <c r="AA752" s="212"/>
      <c r="AB752" s="212"/>
      <c r="AC752" s="212"/>
      <c r="AD752" s="212"/>
      <c r="AE752" s="450"/>
      <c r="AF752" s="212"/>
      <c r="AG752" s="212"/>
      <c r="AH752" s="212"/>
      <c r="AI752" s="212"/>
      <c r="AJ752" s="212"/>
      <c r="AK752" s="212"/>
      <c r="AL752" s="212"/>
      <c r="AM752" s="212"/>
      <c r="AN752" s="212"/>
      <c r="AO752" s="212"/>
      <c r="AP752" s="212"/>
      <c r="AQ752" s="212"/>
      <c r="AR752" s="212"/>
      <c r="AS752" s="212"/>
      <c r="AT752" s="212"/>
      <c r="AU752" s="212"/>
      <c r="AV752" s="212"/>
      <c r="AW752" s="212"/>
      <c r="AX752" s="212"/>
      <c r="AY752" s="212"/>
      <c r="AZ752" s="452"/>
      <c r="BA752" s="212"/>
      <c r="BB752" s="212"/>
      <c r="BC752" s="212"/>
      <c r="BD752" s="212"/>
      <c r="BE752" s="212"/>
      <c r="BF752" s="452"/>
    </row>
    <row r="753">
      <c r="A753" s="212"/>
      <c r="B753" s="447"/>
      <c r="C753" s="212"/>
      <c r="D753" s="212"/>
      <c r="E753" s="212"/>
      <c r="F753" s="212"/>
      <c r="G753" s="212"/>
      <c r="H753" s="212"/>
      <c r="I753" s="212"/>
      <c r="J753" s="212"/>
      <c r="K753" s="212"/>
      <c r="L753" s="212"/>
      <c r="M753" s="212"/>
      <c r="N753" s="212"/>
      <c r="O753" s="212"/>
      <c r="P753" s="212"/>
      <c r="Q753" s="212"/>
      <c r="R753" s="451"/>
      <c r="S753" s="451"/>
      <c r="T753" s="212"/>
      <c r="U753" s="451"/>
      <c r="V753" s="451"/>
      <c r="W753" s="451"/>
      <c r="X753" s="451"/>
      <c r="Y753" s="212"/>
      <c r="Z753" s="212"/>
      <c r="AA753" s="212"/>
      <c r="AB753" s="212"/>
      <c r="AC753" s="212"/>
      <c r="AD753" s="212"/>
      <c r="AE753" s="450"/>
      <c r="AF753" s="212"/>
      <c r="AG753" s="212"/>
      <c r="AH753" s="212"/>
      <c r="AI753" s="212"/>
      <c r="AJ753" s="212"/>
      <c r="AK753" s="212"/>
      <c r="AL753" s="212"/>
      <c r="AM753" s="212"/>
      <c r="AN753" s="212"/>
      <c r="AO753" s="212"/>
      <c r="AP753" s="212"/>
      <c r="AQ753" s="212"/>
      <c r="AR753" s="212"/>
      <c r="AS753" s="212"/>
      <c r="AT753" s="212"/>
      <c r="AU753" s="212"/>
      <c r="AV753" s="212"/>
      <c r="AW753" s="212"/>
      <c r="AX753" s="212"/>
      <c r="AY753" s="212"/>
      <c r="AZ753" s="452"/>
      <c r="BA753" s="212"/>
      <c r="BB753" s="212"/>
      <c r="BC753" s="212"/>
      <c r="BD753" s="212"/>
      <c r="BE753" s="212"/>
      <c r="BF753" s="452"/>
    </row>
    <row r="754">
      <c r="A754" s="212"/>
      <c r="B754" s="447"/>
      <c r="C754" s="212"/>
      <c r="D754" s="212"/>
      <c r="E754" s="212"/>
      <c r="F754" s="212"/>
      <c r="G754" s="212"/>
      <c r="H754" s="212"/>
      <c r="I754" s="212"/>
      <c r="J754" s="212"/>
      <c r="K754" s="212"/>
      <c r="L754" s="212"/>
      <c r="M754" s="212"/>
      <c r="N754" s="212"/>
      <c r="O754" s="212"/>
      <c r="P754" s="212"/>
      <c r="Q754" s="212"/>
      <c r="R754" s="451"/>
      <c r="S754" s="451"/>
      <c r="T754" s="212"/>
      <c r="U754" s="451"/>
      <c r="V754" s="451"/>
      <c r="W754" s="451"/>
      <c r="X754" s="451"/>
      <c r="Y754" s="212"/>
      <c r="Z754" s="212"/>
      <c r="AA754" s="212"/>
      <c r="AB754" s="212"/>
      <c r="AC754" s="212"/>
      <c r="AD754" s="212"/>
      <c r="AE754" s="450"/>
      <c r="AF754" s="212"/>
      <c r="AG754" s="212"/>
      <c r="AH754" s="212"/>
      <c r="AI754" s="212"/>
      <c r="AJ754" s="212"/>
      <c r="AK754" s="212"/>
      <c r="AL754" s="212"/>
      <c r="AM754" s="212"/>
      <c r="AN754" s="212"/>
      <c r="AO754" s="212"/>
      <c r="AP754" s="212"/>
      <c r="AQ754" s="212"/>
      <c r="AR754" s="212"/>
      <c r="AS754" s="212"/>
      <c r="AT754" s="212"/>
      <c r="AU754" s="212"/>
      <c r="AV754" s="212"/>
      <c r="AW754" s="212"/>
      <c r="AX754" s="212"/>
      <c r="AY754" s="212"/>
      <c r="AZ754" s="452"/>
      <c r="BA754" s="212"/>
      <c r="BB754" s="212"/>
      <c r="BC754" s="212"/>
      <c r="BD754" s="212"/>
      <c r="BE754" s="212"/>
      <c r="BF754" s="452"/>
    </row>
    <row r="755">
      <c r="A755" s="212"/>
      <c r="B755" s="447"/>
      <c r="C755" s="212"/>
      <c r="D755" s="212"/>
      <c r="E755" s="212"/>
      <c r="F755" s="212"/>
      <c r="G755" s="212"/>
      <c r="H755" s="212"/>
      <c r="I755" s="212"/>
      <c r="J755" s="212"/>
      <c r="K755" s="212"/>
      <c r="L755" s="212"/>
      <c r="M755" s="212"/>
      <c r="N755" s="212"/>
      <c r="O755" s="212"/>
      <c r="P755" s="212"/>
      <c r="Q755" s="212"/>
      <c r="R755" s="451"/>
      <c r="S755" s="451"/>
      <c r="T755" s="212"/>
      <c r="U755" s="451"/>
      <c r="V755" s="451"/>
      <c r="W755" s="451"/>
      <c r="X755" s="451"/>
      <c r="Y755" s="212"/>
      <c r="Z755" s="212"/>
      <c r="AA755" s="212"/>
      <c r="AB755" s="212"/>
      <c r="AC755" s="212"/>
      <c r="AD755" s="212"/>
      <c r="AE755" s="450"/>
      <c r="AF755" s="212"/>
      <c r="AG755" s="212"/>
      <c r="AH755" s="212"/>
      <c r="AI755" s="212"/>
      <c r="AJ755" s="212"/>
      <c r="AK755" s="212"/>
      <c r="AL755" s="212"/>
      <c r="AM755" s="212"/>
      <c r="AN755" s="212"/>
      <c r="AO755" s="212"/>
      <c r="AP755" s="212"/>
      <c r="AQ755" s="212"/>
      <c r="AR755" s="212"/>
      <c r="AS755" s="212"/>
      <c r="AT755" s="212"/>
      <c r="AU755" s="212"/>
      <c r="AV755" s="212"/>
      <c r="AW755" s="212"/>
      <c r="AX755" s="212"/>
      <c r="AY755" s="212"/>
      <c r="AZ755" s="452"/>
      <c r="BA755" s="212"/>
      <c r="BB755" s="212"/>
      <c r="BC755" s="212"/>
      <c r="BD755" s="212"/>
      <c r="BE755" s="212"/>
      <c r="BF755" s="452"/>
    </row>
    <row r="756">
      <c r="A756" s="212"/>
      <c r="B756" s="447"/>
      <c r="C756" s="212"/>
      <c r="D756" s="212"/>
      <c r="E756" s="212"/>
      <c r="F756" s="212"/>
      <c r="G756" s="212"/>
      <c r="H756" s="212"/>
      <c r="I756" s="212"/>
      <c r="J756" s="212"/>
      <c r="K756" s="212"/>
      <c r="L756" s="212"/>
      <c r="M756" s="212"/>
      <c r="N756" s="212"/>
      <c r="O756" s="212"/>
      <c r="P756" s="212"/>
      <c r="Q756" s="212"/>
      <c r="R756" s="451"/>
      <c r="S756" s="451"/>
      <c r="T756" s="212"/>
      <c r="U756" s="451"/>
      <c r="V756" s="451"/>
      <c r="W756" s="451"/>
      <c r="X756" s="451"/>
      <c r="Y756" s="212"/>
      <c r="Z756" s="212"/>
      <c r="AA756" s="212"/>
      <c r="AB756" s="212"/>
      <c r="AC756" s="212"/>
      <c r="AD756" s="212"/>
      <c r="AE756" s="450"/>
      <c r="AF756" s="212"/>
      <c r="AG756" s="212"/>
      <c r="AH756" s="212"/>
      <c r="AI756" s="212"/>
      <c r="AJ756" s="212"/>
      <c r="AK756" s="212"/>
      <c r="AL756" s="212"/>
      <c r="AM756" s="212"/>
      <c r="AN756" s="212"/>
      <c r="AO756" s="212"/>
      <c r="AP756" s="212"/>
      <c r="AQ756" s="212"/>
      <c r="AR756" s="212"/>
      <c r="AS756" s="212"/>
      <c r="AT756" s="212"/>
      <c r="AU756" s="212"/>
      <c r="AV756" s="212"/>
      <c r="AW756" s="212"/>
      <c r="AX756" s="212"/>
      <c r="AY756" s="212"/>
      <c r="AZ756" s="452"/>
      <c r="BA756" s="212"/>
      <c r="BB756" s="212"/>
      <c r="BC756" s="212"/>
      <c r="BD756" s="212"/>
      <c r="BE756" s="212"/>
      <c r="BF756" s="452"/>
    </row>
    <row r="757">
      <c r="A757" s="212"/>
      <c r="B757" s="447"/>
      <c r="C757" s="212"/>
      <c r="D757" s="212"/>
      <c r="E757" s="212"/>
      <c r="F757" s="212"/>
      <c r="G757" s="212"/>
      <c r="H757" s="212"/>
      <c r="I757" s="212"/>
      <c r="J757" s="212"/>
      <c r="K757" s="212"/>
      <c r="L757" s="212"/>
      <c r="M757" s="212"/>
      <c r="N757" s="212"/>
      <c r="O757" s="212"/>
      <c r="P757" s="212"/>
      <c r="Q757" s="212"/>
      <c r="R757" s="451"/>
      <c r="S757" s="451"/>
      <c r="T757" s="212"/>
      <c r="U757" s="451"/>
      <c r="V757" s="451"/>
      <c r="W757" s="451"/>
      <c r="X757" s="451"/>
      <c r="Y757" s="212"/>
      <c r="Z757" s="212"/>
      <c r="AA757" s="212"/>
      <c r="AB757" s="212"/>
      <c r="AC757" s="212"/>
      <c r="AD757" s="212"/>
      <c r="AE757" s="450"/>
      <c r="AF757" s="212"/>
      <c r="AG757" s="212"/>
      <c r="AH757" s="212"/>
      <c r="AI757" s="212"/>
      <c r="AJ757" s="212"/>
      <c r="AK757" s="212"/>
      <c r="AL757" s="212"/>
      <c r="AM757" s="212"/>
      <c r="AN757" s="212"/>
      <c r="AO757" s="212"/>
      <c r="AP757" s="212"/>
      <c r="AQ757" s="212"/>
      <c r="AR757" s="212"/>
      <c r="AS757" s="212"/>
      <c r="AT757" s="212"/>
      <c r="AU757" s="212"/>
      <c r="AV757" s="212"/>
      <c r="AW757" s="212"/>
      <c r="AX757" s="212"/>
      <c r="AY757" s="212"/>
      <c r="AZ757" s="452"/>
      <c r="BA757" s="212"/>
      <c r="BB757" s="212"/>
      <c r="BC757" s="212"/>
      <c r="BD757" s="212"/>
      <c r="BE757" s="212"/>
      <c r="BF757" s="452"/>
    </row>
    <row r="758">
      <c r="A758" s="212"/>
      <c r="B758" s="447"/>
      <c r="C758" s="212"/>
      <c r="D758" s="212"/>
      <c r="E758" s="212"/>
      <c r="F758" s="212"/>
      <c r="G758" s="212"/>
      <c r="H758" s="212"/>
      <c r="I758" s="212"/>
      <c r="J758" s="212"/>
      <c r="K758" s="212"/>
      <c r="L758" s="212"/>
      <c r="M758" s="212"/>
      <c r="N758" s="212"/>
      <c r="O758" s="212"/>
      <c r="P758" s="212"/>
      <c r="Q758" s="212"/>
      <c r="R758" s="451"/>
      <c r="S758" s="451"/>
      <c r="T758" s="212"/>
      <c r="U758" s="451"/>
      <c r="V758" s="451"/>
      <c r="W758" s="451"/>
      <c r="X758" s="451"/>
      <c r="Y758" s="212"/>
      <c r="Z758" s="212"/>
      <c r="AA758" s="212"/>
      <c r="AB758" s="212"/>
      <c r="AC758" s="212"/>
      <c r="AD758" s="212"/>
      <c r="AE758" s="450"/>
      <c r="AF758" s="212"/>
      <c r="AG758" s="212"/>
      <c r="AH758" s="212"/>
      <c r="AI758" s="212"/>
      <c r="AJ758" s="212"/>
      <c r="AK758" s="212"/>
      <c r="AL758" s="212"/>
      <c r="AM758" s="212"/>
      <c r="AN758" s="212"/>
      <c r="AO758" s="212"/>
      <c r="AP758" s="212"/>
      <c r="AQ758" s="212"/>
      <c r="AR758" s="212"/>
      <c r="AS758" s="212"/>
      <c r="AT758" s="212"/>
      <c r="AU758" s="212"/>
      <c r="AV758" s="212"/>
      <c r="AW758" s="212"/>
      <c r="AX758" s="212"/>
      <c r="AY758" s="212"/>
      <c r="AZ758" s="452"/>
      <c r="BA758" s="212"/>
      <c r="BB758" s="212"/>
      <c r="BC758" s="212"/>
      <c r="BD758" s="212"/>
      <c r="BE758" s="212"/>
      <c r="BF758" s="452"/>
    </row>
    <row r="759">
      <c r="A759" s="212"/>
      <c r="B759" s="447"/>
      <c r="C759" s="212"/>
      <c r="D759" s="212"/>
      <c r="E759" s="212"/>
      <c r="F759" s="212"/>
      <c r="G759" s="212"/>
      <c r="H759" s="212"/>
      <c r="I759" s="212"/>
      <c r="J759" s="212"/>
      <c r="K759" s="212"/>
      <c r="L759" s="212"/>
      <c r="M759" s="212"/>
      <c r="N759" s="212"/>
      <c r="O759" s="212"/>
      <c r="P759" s="212"/>
      <c r="Q759" s="212"/>
      <c r="R759" s="451"/>
      <c r="S759" s="451"/>
      <c r="T759" s="212"/>
      <c r="U759" s="451"/>
      <c r="V759" s="451"/>
      <c r="W759" s="451"/>
      <c r="X759" s="451"/>
      <c r="Y759" s="212"/>
      <c r="Z759" s="212"/>
      <c r="AA759" s="212"/>
      <c r="AB759" s="212"/>
      <c r="AC759" s="212"/>
      <c r="AD759" s="212"/>
      <c r="AE759" s="450"/>
      <c r="AF759" s="212"/>
      <c r="AG759" s="212"/>
      <c r="AH759" s="212"/>
      <c r="AI759" s="212"/>
      <c r="AJ759" s="212"/>
      <c r="AK759" s="212"/>
      <c r="AL759" s="212"/>
      <c r="AM759" s="212"/>
      <c r="AN759" s="212"/>
      <c r="AO759" s="212"/>
      <c r="AP759" s="212"/>
      <c r="AQ759" s="212"/>
      <c r="AR759" s="212"/>
      <c r="AS759" s="212"/>
      <c r="AT759" s="212"/>
      <c r="AU759" s="212"/>
      <c r="AV759" s="212"/>
      <c r="AW759" s="212"/>
      <c r="AX759" s="212"/>
      <c r="AY759" s="212"/>
      <c r="AZ759" s="452"/>
      <c r="BA759" s="212"/>
      <c r="BB759" s="212"/>
      <c r="BC759" s="212"/>
      <c r="BD759" s="212"/>
      <c r="BE759" s="212"/>
      <c r="BF759" s="452"/>
    </row>
    <row r="760">
      <c r="A760" s="212"/>
      <c r="B760" s="447"/>
      <c r="C760" s="212"/>
      <c r="D760" s="212"/>
      <c r="E760" s="212"/>
      <c r="F760" s="212"/>
      <c r="G760" s="212"/>
      <c r="H760" s="212"/>
      <c r="I760" s="212"/>
      <c r="J760" s="212"/>
      <c r="K760" s="212"/>
      <c r="L760" s="212"/>
      <c r="M760" s="212"/>
      <c r="N760" s="212"/>
      <c r="O760" s="212"/>
      <c r="P760" s="212"/>
      <c r="Q760" s="212"/>
      <c r="R760" s="451"/>
      <c r="S760" s="451"/>
      <c r="T760" s="212"/>
      <c r="U760" s="451"/>
      <c r="V760" s="451"/>
      <c r="W760" s="451"/>
      <c r="X760" s="451"/>
      <c r="Y760" s="212"/>
      <c r="Z760" s="212"/>
      <c r="AA760" s="212"/>
      <c r="AB760" s="212"/>
      <c r="AC760" s="212"/>
      <c r="AD760" s="212"/>
      <c r="AE760" s="450"/>
      <c r="AF760" s="212"/>
      <c r="AG760" s="212"/>
      <c r="AH760" s="212"/>
      <c r="AI760" s="212"/>
      <c r="AJ760" s="212"/>
      <c r="AK760" s="212"/>
      <c r="AL760" s="212"/>
      <c r="AM760" s="212"/>
      <c r="AN760" s="212"/>
      <c r="AO760" s="212"/>
      <c r="AP760" s="212"/>
      <c r="AQ760" s="212"/>
      <c r="AR760" s="212"/>
      <c r="AS760" s="212"/>
      <c r="AT760" s="212"/>
      <c r="AU760" s="212"/>
      <c r="AV760" s="212"/>
      <c r="AW760" s="212"/>
      <c r="AX760" s="212"/>
      <c r="AY760" s="212"/>
      <c r="AZ760" s="452"/>
      <c r="BA760" s="212"/>
      <c r="BB760" s="212"/>
      <c r="BC760" s="212"/>
      <c r="BD760" s="212"/>
      <c r="BE760" s="212"/>
      <c r="BF760" s="452"/>
    </row>
    <row r="761">
      <c r="A761" s="212"/>
      <c r="B761" s="447"/>
      <c r="C761" s="212"/>
      <c r="D761" s="212"/>
      <c r="E761" s="212"/>
      <c r="F761" s="212"/>
      <c r="G761" s="212"/>
      <c r="H761" s="212"/>
      <c r="I761" s="212"/>
      <c r="J761" s="212"/>
      <c r="K761" s="212"/>
      <c r="L761" s="212"/>
      <c r="M761" s="212"/>
      <c r="N761" s="212"/>
      <c r="O761" s="212"/>
      <c r="P761" s="212"/>
      <c r="Q761" s="212"/>
      <c r="R761" s="451"/>
      <c r="S761" s="451"/>
      <c r="T761" s="212"/>
      <c r="U761" s="451"/>
      <c r="V761" s="451"/>
      <c r="W761" s="451"/>
      <c r="X761" s="451"/>
      <c r="Y761" s="212"/>
      <c r="Z761" s="212"/>
      <c r="AA761" s="212"/>
      <c r="AB761" s="212"/>
      <c r="AC761" s="212"/>
      <c r="AD761" s="212"/>
      <c r="AE761" s="450"/>
      <c r="AF761" s="212"/>
      <c r="AG761" s="212"/>
      <c r="AH761" s="212"/>
      <c r="AI761" s="212"/>
      <c r="AJ761" s="212"/>
      <c r="AK761" s="212"/>
      <c r="AL761" s="212"/>
      <c r="AM761" s="212"/>
      <c r="AN761" s="212"/>
      <c r="AO761" s="212"/>
      <c r="AP761" s="212"/>
      <c r="AQ761" s="212"/>
      <c r="AR761" s="212"/>
      <c r="AS761" s="212"/>
      <c r="AT761" s="212"/>
      <c r="AU761" s="212"/>
      <c r="AV761" s="212"/>
      <c r="AW761" s="212"/>
      <c r="AX761" s="212"/>
      <c r="AY761" s="212"/>
      <c r="AZ761" s="452"/>
      <c r="BA761" s="212"/>
      <c r="BB761" s="212"/>
      <c r="BC761" s="212"/>
      <c r="BD761" s="212"/>
      <c r="BE761" s="212"/>
      <c r="BF761" s="452"/>
    </row>
    <row r="762">
      <c r="A762" s="212"/>
      <c r="B762" s="447"/>
      <c r="C762" s="212"/>
      <c r="D762" s="212"/>
      <c r="E762" s="212"/>
      <c r="F762" s="212"/>
      <c r="G762" s="212"/>
      <c r="H762" s="212"/>
      <c r="I762" s="212"/>
      <c r="J762" s="212"/>
      <c r="K762" s="212"/>
      <c r="L762" s="212"/>
      <c r="M762" s="212"/>
      <c r="N762" s="212"/>
      <c r="O762" s="212"/>
      <c r="P762" s="212"/>
      <c r="Q762" s="212"/>
      <c r="R762" s="451"/>
      <c r="S762" s="451"/>
      <c r="T762" s="212"/>
      <c r="U762" s="451"/>
      <c r="V762" s="451"/>
      <c r="W762" s="451"/>
      <c r="X762" s="451"/>
      <c r="Y762" s="212"/>
      <c r="Z762" s="212"/>
      <c r="AA762" s="212"/>
      <c r="AB762" s="212"/>
      <c r="AC762" s="212"/>
      <c r="AD762" s="212"/>
      <c r="AE762" s="450"/>
      <c r="AF762" s="212"/>
      <c r="AG762" s="212"/>
      <c r="AH762" s="212"/>
      <c r="AI762" s="212"/>
      <c r="AJ762" s="212"/>
      <c r="AK762" s="212"/>
      <c r="AL762" s="212"/>
      <c r="AM762" s="212"/>
      <c r="AN762" s="212"/>
      <c r="AO762" s="212"/>
      <c r="AP762" s="212"/>
      <c r="AQ762" s="212"/>
      <c r="AR762" s="212"/>
      <c r="AS762" s="212"/>
      <c r="AT762" s="212"/>
      <c r="AU762" s="212"/>
      <c r="AV762" s="212"/>
      <c r="AW762" s="212"/>
      <c r="AX762" s="212"/>
      <c r="AY762" s="212"/>
      <c r="AZ762" s="452"/>
      <c r="BA762" s="212"/>
      <c r="BB762" s="212"/>
      <c r="BC762" s="212"/>
      <c r="BD762" s="212"/>
      <c r="BE762" s="212"/>
      <c r="BF762" s="452"/>
    </row>
    <row r="763">
      <c r="A763" s="212"/>
      <c r="B763" s="447"/>
      <c r="C763" s="212"/>
      <c r="D763" s="212"/>
      <c r="E763" s="212"/>
      <c r="F763" s="212"/>
      <c r="G763" s="212"/>
      <c r="H763" s="212"/>
      <c r="I763" s="212"/>
      <c r="J763" s="212"/>
      <c r="K763" s="212"/>
      <c r="L763" s="212"/>
      <c r="M763" s="212"/>
      <c r="N763" s="212"/>
      <c r="O763" s="212"/>
      <c r="P763" s="212"/>
      <c r="Q763" s="212"/>
      <c r="R763" s="451"/>
      <c r="S763" s="451"/>
      <c r="T763" s="212"/>
      <c r="U763" s="451"/>
      <c r="V763" s="451"/>
      <c r="W763" s="451"/>
      <c r="X763" s="451"/>
      <c r="Y763" s="212"/>
      <c r="Z763" s="212"/>
      <c r="AA763" s="212"/>
      <c r="AB763" s="212"/>
      <c r="AC763" s="212"/>
      <c r="AD763" s="212"/>
      <c r="AE763" s="450"/>
      <c r="AF763" s="212"/>
      <c r="AG763" s="212"/>
      <c r="AH763" s="212"/>
      <c r="AI763" s="212"/>
      <c r="AJ763" s="212"/>
      <c r="AK763" s="212"/>
      <c r="AL763" s="212"/>
      <c r="AM763" s="212"/>
      <c r="AN763" s="212"/>
      <c r="AO763" s="212"/>
      <c r="AP763" s="212"/>
      <c r="AQ763" s="212"/>
      <c r="AR763" s="212"/>
      <c r="AS763" s="212"/>
      <c r="AT763" s="212"/>
      <c r="AU763" s="212"/>
      <c r="AV763" s="212"/>
      <c r="AW763" s="212"/>
      <c r="AX763" s="212"/>
      <c r="AY763" s="212"/>
      <c r="AZ763" s="452"/>
      <c r="BA763" s="212"/>
      <c r="BB763" s="212"/>
      <c r="BC763" s="212"/>
      <c r="BD763" s="212"/>
      <c r="BE763" s="212"/>
      <c r="BF763" s="452"/>
    </row>
    <row r="764">
      <c r="A764" s="212"/>
      <c r="B764" s="447"/>
      <c r="C764" s="212"/>
      <c r="D764" s="212"/>
      <c r="E764" s="212"/>
      <c r="F764" s="212"/>
      <c r="G764" s="212"/>
      <c r="H764" s="212"/>
      <c r="I764" s="212"/>
      <c r="J764" s="212"/>
      <c r="K764" s="212"/>
      <c r="L764" s="212"/>
      <c r="M764" s="212"/>
      <c r="N764" s="212"/>
      <c r="O764" s="212"/>
      <c r="P764" s="212"/>
      <c r="Q764" s="212"/>
      <c r="R764" s="451"/>
      <c r="S764" s="451"/>
      <c r="T764" s="212"/>
      <c r="U764" s="451"/>
      <c r="V764" s="451"/>
      <c r="W764" s="451"/>
      <c r="X764" s="451"/>
      <c r="Y764" s="212"/>
      <c r="Z764" s="212"/>
      <c r="AA764" s="212"/>
      <c r="AB764" s="212"/>
      <c r="AC764" s="212"/>
      <c r="AD764" s="212"/>
      <c r="AE764" s="450"/>
      <c r="AF764" s="212"/>
      <c r="AG764" s="212"/>
      <c r="AH764" s="212"/>
      <c r="AI764" s="212"/>
      <c r="AJ764" s="212"/>
      <c r="AK764" s="212"/>
      <c r="AL764" s="212"/>
      <c r="AM764" s="212"/>
      <c r="AN764" s="212"/>
      <c r="AO764" s="212"/>
      <c r="AP764" s="212"/>
      <c r="AQ764" s="212"/>
      <c r="AR764" s="212"/>
      <c r="AS764" s="212"/>
      <c r="AT764" s="212"/>
      <c r="AU764" s="212"/>
      <c r="AV764" s="212"/>
      <c r="AW764" s="212"/>
      <c r="AX764" s="212"/>
      <c r="AY764" s="212"/>
      <c r="AZ764" s="452"/>
      <c r="BA764" s="212"/>
      <c r="BB764" s="212"/>
      <c r="BC764" s="212"/>
      <c r="BD764" s="212"/>
      <c r="BE764" s="212"/>
      <c r="BF764" s="452"/>
    </row>
    <row r="765">
      <c r="A765" s="212"/>
      <c r="B765" s="447"/>
      <c r="C765" s="212"/>
      <c r="D765" s="212"/>
      <c r="E765" s="212"/>
      <c r="F765" s="212"/>
      <c r="G765" s="212"/>
      <c r="H765" s="212"/>
      <c r="I765" s="212"/>
      <c r="J765" s="212"/>
      <c r="K765" s="212"/>
      <c r="L765" s="212"/>
      <c r="M765" s="212"/>
      <c r="N765" s="212"/>
      <c r="O765" s="212"/>
      <c r="P765" s="212"/>
      <c r="Q765" s="212"/>
      <c r="R765" s="451"/>
      <c r="S765" s="451"/>
      <c r="T765" s="212"/>
      <c r="U765" s="451"/>
      <c r="V765" s="451"/>
      <c r="W765" s="451"/>
      <c r="X765" s="451"/>
      <c r="Y765" s="212"/>
      <c r="Z765" s="212"/>
      <c r="AA765" s="212"/>
      <c r="AB765" s="212"/>
      <c r="AC765" s="212"/>
      <c r="AD765" s="212"/>
      <c r="AE765" s="450"/>
      <c r="AF765" s="212"/>
      <c r="AG765" s="212"/>
      <c r="AH765" s="212"/>
      <c r="AI765" s="212"/>
      <c r="AJ765" s="212"/>
      <c r="AK765" s="212"/>
      <c r="AL765" s="212"/>
      <c r="AM765" s="212"/>
      <c r="AN765" s="212"/>
      <c r="AO765" s="212"/>
      <c r="AP765" s="212"/>
      <c r="AQ765" s="212"/>
      <c r="AR765" s="212"/>
      <c r="AS765" s="212"/>
      <c r="AT765" s="212"/>
      <c r="AU765" s="212"/>
      <c r="AV765" s="212"/>
      <c r="AW765" s="212"/>
      <c r="AX765" s="212"/>
      <c r="AY765" s="212"/>
      <c r="AZ765" s="452"/>
      <c r="BA765" s="212"/>
      <c r="BB765" s="212"/>
      <c r="BC765" s="212"/>
      <c r="BD765" s="212"/>
      <c r="BE765" s="212"/>
      <c r="BF765" s="452"/>
    </row>
    <row r="766">
      <c r="A766" s="212"/>
      <c r="B766" s="447"/>
      <c r="C766" s="212"/>
      <c r="D766" s="212"/>
      <c r="E766" s="212"/>
      <c r="F766" s="212"/>
      <c r="G766" s="212"/>
      <c r="H766" s="212"/>
      <c r="I766" s="212"/>
      <c r="J766" s="212"/>
      <c r="K766" s="212"/>
      <c r="L766" s="212"/>
      <c r="M766" s="212"/>
      <c r="N766" s="212"/>
      <c r="O766" s="212"/>
      <c r="P766" s="212"/>
      <c r="Q766" s="212"/>
      <c r="R766" s="451"/>
      <c r="S766" s="451"/>
      <c r="T766" s="212"/>
      <c r="U766" s="451"/>
      <c r="V766" s="451"/>
      <c r="W766" s="451"/>
      <c r="X766" s="451"/>
      <c r="Y766" s="212"/>
      <c r="Z766" s="212"/>
      <c r="AA766" s="212"/>
      <c r="AB766" s="212"/>
      <c r="AC766" s="212"/>
      <c r="AD766" s="212"/>
      <c r="AE766" s="450"/>
      <c r="AF766" s="212"/>
      <c r="AG766" s="212"/>
      <c r="AH766" s="212"/>
      <c r="AI766" s="212"/>
      <c r="AJ766" s="212"/>
      <c r="AK766" s="212"/>
      <c r="AL766" s="212"/>
      <c r="AM766" s="212"/>
      <c r="AN766" s="212"/>
      <c r="AO766" s="212"/>
      <c r="AP766" s="212"/>
      <c r="AQ766" s="212"/>
      <c r="AR766" s="212"/>
      <c r="AS766" s="212"/>
      <c r="AT766" s="212"/>
      <c r="AU766" s="212"/>
      <c r="AV766" s="212"/>
      <c r="AW766" s="212"/>
      <c r="AX766" s="212"/>
      <c r="AY766" s="212"/>
      <c r="AZ766" s="452"/>
      <c r="BA766" s="212"/>
      <c r="BB766" s="212"/>
      <c r="BC766" s="212"/>
      <c r="BD766" s="212"/>
      <c r="BE766" s="212"/>
      <c r="BF766" s="452"/>
    </row>
    <row r="767">
      <c r="A767" s="212"/>
      <c r="B767" s="447"/>
      <c r="C767" s="212"/>
      <c r="D767" s="212"/>
      <c r="E767" s="212"/>
      <c r="F767" s="212"/>
      <c r="G767" s="212"/>
      <c r="H767" s="212"/>
      <c r="I767" s="212"/>
      <c r="J767" s="212"/>
      <c r="K767" s="212"/>
      <c r="L767" s="212"/>
      <c r="M767" s="212"/>
      <c r="N767" s="212"/>
      <c r="O767" s="212"/>
      <c r="P767" s="212"/>
      <c r="Q767" s="212"/>
      <c r="R767" s="451"/>
      <c r="S767" s="451"/>
      <c r="T767" s="212"/>
      <c r="U767" s="451"/>
      <c r="V767" s="451"/>
      <c r="W767" s="451"/>
      <c r="X767" s="451"/>
      <c r="Y767" s="212"/>
      <c r="Z767" s="212"/>
      <c r="AA767" s="212"/>
      <c r="AB767" s="212"/>
      <c r="AC767" s="212"/>
      <c r="AD767" s="212"/>
      <c r="AE767" s="450"/>
      <c r="AF767" s="212"/>
      <c r="AG767" s="212"/>
      <c r="AH767" s="212"/>
      <c r="AI767" s="212"/>
      <c r="AJ767" s="212"/>
      <c r="AK767" s="212"/>
      <c r="AL767" s="212"/>
      <c r="AM767" s="212"/>
      <c r="AN767" s="212"/>
      <c r="AO767" s="212"/>
      <c r="AP767" s="212"/>
      <c r="AQ767" s="212"/>
      <c r="AR767" s="212"/>
      <c r="AS767" s="212"/>
      <c r="AT767" s="212"/>
      <c r="AU767" s="212"/>
      <c r="AV767" s="212"/>
      <c r="AW767" s="212"/>
      <c r="AX767" s="212"/>
      <c r="AY767" s="212"/>
      <c r="AZ767" s="452"/>
      <c r="BA767" s="212"/>
      <c r="BB767" s="212"/>
      <c r="BC767" s="212"/>
      <c r="BD767" s="212"/>
      <c r="BE767" s="212"/>
      <c r="BF767" s="452"/>
    </row>
    <row r="768">
      <c r="A768" s="212"/>
      <c r="B768" s="447"/>
      <c r="C768" s="212"/>
      <c r="D768" s="212"/>
      <c r="E768" s="212"/>
      <c r="F768" s="212"/>
      <c r="G768" s="212"/>
      <c r="H768" s="212"/>
      <c r="I768" s="212"/>
      <c r="J768" s="212"/>
      <c r="K768" s="212"/>
      <c r="L768" s="212"/>
      <c r="M768" s="212"/>
      <c r="N768" s="212"/>
      <c r="O768" s="212"/>
      <c r="P768" s="212"/>
      <c r="Q768" s="212"/>
      <c r="R768" s="451"/>
      <c r="S768" s="451"/>
      <c r="T768" s="212"/>
      <c r="U768" s="451"/>
      <c r="V768" s="451"/>
      <c r="W768" s="451"/>
      <c r="X768" s="451"/>
      <c r="Y768" s="212"/>
      <c r="Z768" s="212"/>
      <c r="AA768" s="212"/>
      <c r="AB768" s="212"/>
      <c r="AC768" s="212"/>
      <c r="AD768" s="212"/>
      <c r="AE768" s="450"/>
      <c r="AF768" s="212"/>
      <c r="AG768" s="212"/>
      <c r="AH768" s="212"/>
      <c r="AI768" s="212"/>
      <c r="AJ768" s="212"/>
      <c r="AK768" s="212"/>
      <c r="AL768" s="212"/>
      <c r="AM768" s="212"/>
      <c r="AN768" s="212"/>
      <c r="AO768" s="212"/>
      <c r="AP768" s="212"/>
      <c r="AQ768" s="212"/>
      <c r="AR768" s="212"/>
      <c r="AS768" s="212"/>
      <c r="AT768" s="212"/>
      <c r="AU768" s="212"/>
      <c r="AV768" s="212"/>
      <c r="AW768" s="212"/>
      <c r="AX768" s="212"/>
      <c r="AY768" s="212"/>
      <c r="AZ768" s="452"/>
      <c r="BA768" s="212"/>
      <c r="BB768" s="212"/>
      <c r="BC768" s="212"/>
      <c r="BD768" s="212"/>
      <c r="BE768" s="212"/>
      <c r="BF768" s="452"/>
    </row>
    <row r="769">
      <c r="A769" s="212"/>
      <c r="B769" s="447"/>
      <c r="C769" s="212"/>
      <c r="D769" s="212"/>
      <c r="E769" s="212"/>
      <c r="F769" s="212"/>
      <c r="G769" s="212"/>
      <c r="H769" s="212"/>
      <c r="I769" s="212"/>
      <c r="J769" s="212"/>
      <c r="K769" s="212"/>
      <c r="L769" s="212"/>
      <c r="M769" s="212"/>
      <c r="N769" s="212"/>
      <c r="O769" s="212"/>
      <c r="P769" s="212"/>
      <c r="Q769" s="212"/>
      <c r="R769" s="451"/>
      <c r="S769" s="451"/>
      <c r="T769" s="212"/>
      <c r="U769" s="451"/>
      <c r="V769" s="451"/>
      <c r="W769" s="451"/>
      <c r="X769" s="451"/>
      <c r="Y769" s="212"/>
      <c r="Z769" s="212"/>
      <c r="AA769" s="212"/>
      <c r="AB769" s="212"/>
      <c r="AC769" s="212"/>
      <c r="AD769" s="212"/>
      <c r="AE769" s="450"/>
      <c r="AF769" s="212"/>
      <c r="AG769" s="212"/>
      <c r="AH769" s="212"/>
      <c r="AI769" s="212"/>
      <c r="AJ769" s="212"/>
      <c r="AK769" s="212"/>
      <c r="AL769" s="212"/>
      <c r="AM769" s="212"/>
      <c r="AN769" s="212"/>
      <c r="AO769" s="212"/>
      <c r="AP769" s="212"/>
      <c r="AQ769" s="212"/>
      <c r="AR769" s="212"/>
      <c r="AS769" s="212"/>
      <c r="AT769" s="212"/>
      <c r="AU769" s="212"/>
      <c r="AV769" s="212"/>
      <c r="AW769" s="212"/>
      <c r="AX769" s="212"/>
      <c r="AY769" s="212"/>
      <c r="AZ769" s="452"/>
      <c r="BA769" s="212"/>
      <c r="BB769" s="212"/>
      <c r="BC769" s="212"/>
      <c r="BD769" s="212"/>
      <c r="BE769" s="212"/>
      <c r="BF769" s="452"/>
    </row>
    <row r="770">
      <c r="A770" s="212"/>
      <c r="B770" s="447"/>
      <c r="C770" s="212"/>
      <c r="D770" s="212"/>
      <c r="E770" s="212"/>
      <c r="F770" s="212"/>
      <c r="G770" s="212"/>
      <c r="H770" s="212"/>
      <c r="I770" s="212"/>
      <c r="J770" s="212"/>
      <c r="K770" s="212"/>
      <c r="L770" s="212"/>
      <c r="M770" s="212"/>
      <c r="N770" s="212"/>
      <c r="O770" s="212"/>
      <c r="P770" s="212"/>
      <c r="Q770" s="212"/>
      <c r="R770" s="451"/>
      <c r="S770" s="451"/>
      <c r="T770" s="212"/>
      <c r="U770" s="451"/>
      <c r="V770" s="451"/>
      <c r="W770" s="451"/>
      <c r="X770" s="451"/>
      <c r="Y770" s="212"/>
      <c r="Z770" s="212"/>
      <c r="AA770" s="212"/>
      <c r="AB770" s="212"/>
      <c r="AC770" s="212"/>
      <c r="AD770" s="212"/>
      <c r="AE770" s="450"/>
      <c r="AF770" s="212"/>
      <c r="AG770" s="212"/>
      <c r="AH770" s="212"/>
      <c r="AI770" s="212"/>
      <c r="AJ770" s="212"/>
      <c r="AK770" s="212"/>
      <c r="AL770" s="212"/>
      <c r="AM770" s="212"/>
      <c r="AN770" s="212"/>
      <c r="AO770" s="212"/>
      <c r="AP770" s="212"/>
      <c r="AQ770" s="212"/>
      <c r="AR770" s="212"/>
      <c r="AS770" s="212"/>
      <c r="AT770" s="212"/>
      <c r="AU770" s="212"/>
      <c r="AV770" s="212"/>
      <c r="AW770" s="212"/>
      <c r="AX770" s="212"/>
      <c r="AY770" s="212"/>
      <c r="AZ770" s="452"/>
      <c r="BA770" s="212"/>
      <c r="BB770" s="212"/>
      <c r="BC770" s="212"/>
      <c r="BD770" s="212"/>
      <c r="BE770" s="212"/>
      <c r="BF770" s="452"/>
    </row>
    <row r="771">
      <c r="A771" s="212"/>
      <c r="B771" s="447"/>
      <c r="C771" s="212"/>
      <c r="D771" s="212"/>
      <c r="E771" s="212"/>
      <c r="F771" s="212"/>
      <c r="G771" s="212"/>
      <c r="H771" s="212"/>
      <c r="I771" s="212"/>
      <c r="J771" s="212"/>
      <c r="K771" s="212"/>
      <c r="L771" s="212"/>
      <c r="M771" s="212"/>
      <c r="N771" s="212"/>
      <c r="O771" s="212"/>
      <c r="P771" s="212"/>
      <c r="Q771" s="212"/>
      <c r="R771" s="451"/>
      <c r="S771" s="451"/>
      <c r="T771" s="212"/>
      <c r="U771" s="451"/>
      <c r="V771" s="451"/>
      <c r="W771" s="451"/>
      <c r="X771" s="451"/>
      <c r="Y771" s="212"/>
      <c r="Z771" s="212"/>
      <c r="AA771" s="212"/>
      <c r="AB771" s="212"/>
      <c r="AC771" s="212"/>
      <c r="AD771" s="212"/>
      <c r="AE771" s="450"/>
      <c r="AF771" s="212"/>
      <c r="AG771" s="212"/>
      <c r="AH771" s="212"/>
      <c r="AI771" s="212"/>
      <c r="AJ771" s="212"/>
      <c r="AK771" s="212"/>
      <c r="AL771" s="212"/>
      <c r="AM771" s="212"/>
      <c r="AN771" s="212"/>
      <c r="AO771" s="212"/>
      <c r="AP771" s="212"/>
      <c r="AQ771" s="212"/>
      <c r="AR771" s="212"/>
      <c r="AS771" s="212"/>
      <c r="AT771" s="212"/>
      <c r="AU771" s="212"/>
      <c r="AV771" s="212"/>
      <c r="AW771" s="212"/>
      <c r="AX771" s="212"/>
      <c r="AY771" s="212"/>
      <c r="AZ771" s="452"/>
      <c r="BA771" s="212"/>
      <c r="BB771" s="212"/>
      <c r="BC771" s="212"/>
      <c r="BD771" s="212"/>
      <c r="BE771" s="212"/>
      <c r="BF771" s="452"/>
    </row>
    <row r="772">
      <c r="A772" s="212"/>
      <c r="B772" s="447"/>
      <c r="C772" s="212"/>
      <c r="D772" s="212"/>
      <c r="E772" s="212"/>
      <c r="F772" s="212"/>
      <c r="G772" s="212"/>
      <c r="H772" s="212"/>
      <c r="I772" s="212"/>
      <c r="J772" s="212"/>
      <c r="K772" s="212"/>
      <c r="L772" s="212"/>
      <c r="M772" s="212"/>
      <c r="N772" s="212"/>
      <c r="O772" s="212"/>
      <c r="P772" s="212"/>
      <c r="Q772" s="212"/>
      <c r="R772" s="451"/>
      <c r="S772" s="451"/>
      <c r="T772" s="212"/>
      <c r="U772" s="451"/>
      <c r="V772" s="451"/>
      <c r="W772" s="451"/>
      <c r="X772" s="451"/>
      <c r="Y772" s="212"/>
      <c r="Z772" s="212"/>
      <c r="AA772" s="212"/>
      <c r="AB772" s="212"/>
      <c r="AC772" s="212"/>
      <c r="AD772" s="212"/>
      <c r="AE772" s="450"/>
      <c r="AF772" s="212"/>
      <c r="AG772" s="212"/>
      <c r="AH772" s="212"/>
      <c r="AI772" s="212"/>
      <c r="AJ772" s="212"/>
      <c r="AK772" s="212"/>
      <c r="AL772" s="212"/>
      <c r="AM772" s="212"/>
      <c r="AN772" s="212"/>
      <c r="AO772" s="212"/>
      <c r="AP772" s="212"/>
      <c r="AQ772" s="212"/>
      <c r="AR772" s="212"/>
      <c r="AS772" s="212"/>
      <c r="AT772" s="212"/>
      <c r="AU772" s="212"/>
      <c r="AV772" s="212"/>
      <c r="AW772" s="212"/>
      <c r="AX772" s="212"/>
      <c r="AY772" s="212"/>
      <c r="AZ772" s="452"/>
      <c r="BA772" s="212"/>
      <c r="BB772" s="212"/>
      <c r="BC772" s="212"/>
      <c r="BD772" s="212"/>
      <c r="BE772" s="212"/>
      <c r="BF772" s="452"/>
    </row>
    <row r="773">
      <c r="A773" s="212"/>
      <c r="B773" s="447"/>
      <c r="C773" s="212"/>
      <c r="D773" s="212"/>
      <c r="E773" s="212"/>
      <c r="F773" s="212"/>
      <c r="G773" s="212"/>
      <c r="H773" s="212"/>
      <c r="I773" s="212"/>
      <c r="J773" s="212"/>
      <c r="K773" s="212"/>
      <c r="L773" s="212"/>
      <c r="M773" s="212"/>
      <c r="N773" s="212"/>
      <c r="O773" s="212"/>
      <c r="P773" s="212"/>
      <c r="Q773" s="212"/>
      <c r="R773" s="451"/>
      <c r="S773" s="451"/>
      <c r="T773" s="212"/>
      <c r="U773" s="451"/>
      <c r="V773" s="451"/>
      <c r="W773" s="451"/>
      <c r="X773" s="451"/>
      <c r="Y773" s="212"/>
      <c r="Z773" s="212"/>
      <c r="AA773" s="212"/>
      <c r="AB773" s="212"/>
      <c r="AC773" s="212"/>
      <c r="AD773" s="212"/>
      <c r="AE773" s="450"/>
      <c r="AF773" s="212"/>
      <c r="AG773" s="212"/>
      <c r="AH773" s="212"/>
      <c r="AI773" s="212"/>
      <c r="AJ773" s="212"/>
      <c r="AK773" s="212"/>
      <c r="AL773" s="212"/>
      <c r="AM773" s="212"/>
      <c r="AN773" s="212"/>
      <c r="AO773" s="212"/>
      <c r="AP773" s="212"/>
      <c r="AQ773" s="212"/>
      <c r="AR773" s="212"/>
      <c r="AS773" s="212"/>
      <c r="AT773" s="212"/>
      <c r="AU773" s="212"/>
      <c r="AV773" s="212"/>
      <c r="AW773" s="212"/>
      <c r="AX773" s="212"/>
      <c r="AY773" s="212"/>
      <c r="AZ773" s="452"/>
      <c r="BA773" s="212"/>
      <c r="BB773" s="212"/>
      <c r="BC773" s="212"/>
      <c r="BD773" s="212"/>
      <c r="BE773" s="212"/>
      <c r="BF773" s="452"/>
    </row>
    <row r="774">
      <c r="A774" s="212"/>
      <c r="B774" s="447"/>
      <c r="C774" s="212"/>
      <c r="D774" s="212"/>
      <c r="E774" s="212"/>
      <c r="F774" s="212"/>
      <c r="G774" s="212"/>
      <c r="H774" s="212"/>
      <c r="I774" s="212"/>
      <c r="J774" s="212"/>
      <c r="K774" s="212"/>
      <c r="L774" s="212"/>
      <c r="M774" s="212"/>
      <c r="N774" s="212"/>
      <c r="O774" s="212"/>
      <c r="P774" s="212"/>
      <c r="Q774" s="212"/>
      <c r="R774" s="451"/>
      <c r="S774" s="451"/>
      <c r="T774" s="212"/>
      <c r="U774" s="451"/>
      <c r="V774" s="451"/>
      <c r="W774" s="451"/>
      <c r="X774" s="451"/>
      <c r="Y774" s="212"/>
      <c r="Z774" s="212"/>
      <c r="AA774" s="212"/>
      <c r="AB774" s="212"/>
      <c r="AC774" s="212"/>
      <c r="AD774" s="212"/>
      <c r="AE774" s="450"/>
      <c r="AF774" s="212"/>
      <c r="AG774" s="212"/>
      <c r="AH774" s="212"/>
      <c r="AI774" s="212"/>
      <c r="AJ774" s="212"/>
      <c r="AK774" s="212"/>
      <c r="AL774" s="212"/>
      <c r="AM774" s="212"/>
      <c r="AN774" s="212"/>
      <c r="AO774" s="212"/>
      <c r="AP774" s="212"/>
      <c r="AQ774" s="212"/>
      <c r="AR774" s="212"/>
      <c r="AS774" s="212"/>
      <c r="AT774" s="212"/>
      <c r="AU774" s="212"/>
      <c r="AV774" s="212"/>
      <c r="AW774" s="212"/>
      <c r="AX774" s="212"/>
      <c r="AY774" s="212"/>
      <c r="AZ774" s="452"/>
      <c r="BA774" s="212"/>
      <c r="BB774" s="212"/>
      <c r="BC774" s="212"/>
      <c r="BD774" s="212"/>
      <c r="BE774" s="212"/>
      <c r="BF774" s="452"/>
    </row>
    <row r="775">
      <c r="A775" s="212"/>
      <c r="B775" s="447"/>
      <c r="C775" s="212"/>
      <c r="D775" s="212"/>
      <c r="E775" s="212"/>
      <c r="F775" s="212"/>
      <c r="G775" s="212"/>
      <c r="H775" s="212"/>
      <c r="I775" s="212"/>
      <c r="J775" s="212"/>
      <c r="K775" s="212"/>
      <c r="L775" s="212"/>
      <c r="M775" s="212"/>
      <c r="N775" s="212"/>
      <c r="O775" s="212"/>
      <c r="P775" s="212"/>
      <c r="Q775" s="212"/>
      <c r="R775" s="451"/>
      <c r="S775" s="451"/>
      <c r="T775" s="212"/>
      <c r="U775" s="451"/>
      <c r="V775" s="451"/>
      <c r="W775" s="451"/>
      <c r="X775" s="451"/>
      <c r="Y775" s="212"/>
      <c r="Z775" s="212"/>
      <c r="AA775" s="212"/>
      <c r="AB775" s="212"/>
      <c r="AC775" s="212"/>
      <c r="AD775" s="212"/>
      <c r="AE775" s="450"/>
      <c r="AF775" s="212"/>
      <c r="AG775" s="212"/>
      <c r="AH775" s="212"/>
      <c r="AI775" s="212"/>
      <c r="AJ775" s="212"/>
      <c r="AK775" s="212"/>
      <c r="AL775" s="212"/>
      <c r="AM775" s="212"/>
      <c r="AN775" s="212"/>
      <c r="AO775" s="212"/>
      <c r="AP775" s="212"/>
      <c r="AQ775" s="212"/>
      <c r="AR775" s="212"/>
      <c r="AS775" s="212"/>
      <c r="AT775" s="212"/>
      <c r="AU775" s="212"/>
      <c r="AV775" s="212"/>
      <c r="AW775" s="212"/>
      <c r="AX775" s="212"/>
      <c r="AY775" s="212"/>
      <c r="AZ775" s="452"/>
      <c r="BA775" s="212"/>
      <c r="BB775" s="212"/>
      <c r="BC775" s="212"/>
      <c r="BD775" s="212"/>
      <c r="BE775" s="212"/>
      <c r="BF775" s="452"/>
    </row>
    <row r="776">
      <c r="A776" s="212"/>
      <c r="B776" s="447"/>
      <c r="C776" s="212"/>
      <c r="D776" s="212"/>
      <c r="E776" s="212"/>
      <c r="F776" s="212"/>
      <c r="G776" s="212"/>
      <c r="H776" s="212"/>
      <c r="I776" s="212"/>
      <c r="J776" s="212"/>
      <c r="K776" s="212"/>
      <c r="L776" s="212"/>
      <c r="M776" s="212"/>
      <c r="N776" s="212"/>
      <c r="O776" s="212"/>
      <c r="P776" s="212"/>
      <c r="Q776" s="212"/>
      <c r="R776" s="451"/>
      <c r="S776" s="451"/>
      <c r="T776" s="212"/>
      <c r="U776" s="451"/>
      <c r="V776" s="451"/>
      <c r="W776" s="451"/>
      <c r="X776" s="451"/>
      <c r="Y776" s="212"/>
      <c r="Z776" s="212"/>
      <c r="AA776" s="212"/>
      <c r="AB776" s="212"/>
      <c r="AC776" s="212"/>
      <c r="AD776" s="212"/>
      <c r="AE776" s="450"/>
      <c r="AF776" s="212"/>
      <c r="AG776" s="212"/>
      <c r="AH776" s="212"/>
      <c r="AI776" s="212"/>
      <c r="AJ776" s="212"/>
      <c r="AK776" s="212"/>
      <c r="AL776" s="212"/>
      <c r="AM776" s="212"/>
      <c r="AN776" s="212"/>
      <c r="AO776" s="212"/>
      <c r="AP776" s="212"/>
      <c r="AQ776" s="212"/>
      <c r="AR776" s="212"/>
      <c r="AS776" s="212"/>
      <c r="AT776" s="212"/>
      <c r="AU776" s="212"/>
      <c r="AV776" s="212"/>
      <c r="AW776" s="212"/>
      <c r="AX776" s="212"/>
      <c r="AY776" s="212"/>
      <c r="AZ776" s="452"/>
      <c r="BA776" s="212"/>
      <c r="BB776" s="212"/>
      <c r="BC776" s="212"/>
      <c r="BD776" s="212"/>
      <c r="BE776" s="212"/>
      <c r="BF776" s="452"/>
    </row>
    <row r="777">
      <c r="A777" s="212"/>
      <c r="B777" s="447"/>
      <c r="C777" s="212"/>
      <c r="D777" s="212"/>
      <c r="E777" s="212"/>
      <c r="F777" s="212"/>
      <c r="G777" s="212"/>
      <c r="H777" s="212"/>
      <c r="I777" s="212"/>
      <c r="J777" s="212"/>
      <c r="K777" s="212"/>
      <c r="L777" s="212"/>
      <c r="M777" s="212"/>
      <c r="N777" s="212"/>
      <c r="O777" s="212"/>
      <c r="P777" s="212"/>
      <c r="Q777" s="212"/>
      <c r="R777" s="451"/>
      <c r="S777" s="451"/>
      <c r="T777" s="212"/>
      <c r="U777" s="451"/>
      <c r="V777" s="451"/>
      <c r="W777" s="451"/>
      <c r="X777" s="451"/>
      <c r="Y777" s="212"/>
      <c r="Z777" s="212"/>
      <c r="AA777" s="212"/>
      <c r="AB777" s="212"/>
      <c r="AC777" s="212"/>
      <c r="AD777" s="212"/>
      <c r="AE777" s="450"/>
      <c r="AF777" s="212"/>
      <c r="AG777" s="212"/>
      <c r="AH777" s="212"/>
      <c r="AI777" s="212"/>
      <c r="AJ777" s="212"/>
      <c r="AK777" s="212"/>
      <c r="AL777" s="212"/>
      <c r="AM777" s="212"/>
      <c r="AN777" s="212"/>
      <c r="AO777" s="212"/>
      <c r="AP777" s="212"/>
      <c r="AQ777" s="212"/>
      <c r="AR777" s="212"/>
      <c r="AS777" s="212"/>
      <c r="AT777" s="212"/>
      <c r="AU777" s="212"/>
      <c r="AV777" s="212"/>
      <c r="AW777" s="212"/>
      <c r="AX777" s="212"/>
      <c r="AY777" s="212"/>
      <c r="AZ777" s="452"/>
      <c r="BA777" s="212"/>
      <c r="BB777" s="212"/>
      <c r="BC777" s="212"/>
      <c r="BD777" s="212"/>
      <c r="BE777" s="212"/>
      <c r="BF777" s="452"/>
    </row>
    <row r="778">
      <c r="A778" s="212"/>
      <c r="B778" s="447"/>
      <c r="C778" s="212"/>
      <c r="D778" s="212"/>
      <c r="E778" s="212"/>
      <c r="F778" s="212"/>
      <c r="G778" s="212"/>
      <c r="H778" s="212"/>
      <c r="I778" s="212"/>
      <c r="J778" s="212"/>
      <c r="K778" s="212"/>
      <c r="L778" s="212"/>
      <c r="M778" s="212"/>
      <c r="N778" s="212"/>
      <c r="O778" s="212"/>
      <c r="P778" s="212"/>
      <c r="Q778" s="212"/>
      <c r="R778" s="451"/>
      <c r="S778" s="451"/>
      <c r="T778" s="212"/>
      <c r="U778" s="451"/>
      <c r="V778" s="451"/>
      <c r="W778" s="451"/>
      <c r="X778" s="451"/>
      <c r="Y778" s="212"/>
      <c r="Z778" s="212"/>
      <c r="AA778" s="212"/>
      <c r="AB778" s="212"/>
      <c r="AC778" s="212"/>
      <c r="AD778" s="212"/>
      <c r="AE778" s="450"/>
      <c r="AF778" s="212"/>
      <c r="AG778" s="212"/>
      <c r="AH778" s="212"/>
      <c r="AI778" s="212"/>
      <c r="AJ778" s="212"/>
      <c r="AK778" s="212"/>
      <c r="AL778" s="212"/>
      <c r="AM778" s="212"/>
      <c r="AN778" s="212"/>
      <c r="AO778" s="212"/>
      <c r="AP778" s="212"/>
      <c r="AQ778" s="212"/>
      <c r="AR778" s="212"/>
      <c r="AS778" s="212"/>
      <c r="AT778" s="212"/>
      <c r="AU778" s="212"/>
      <c r="AV778" s="212"/>
      <c r="AW778" s="212"/>
      <c r="AX778" s="212"/>
      <c r="AY778" s="212"/>
      <c r="AZ778" s="452"/>
      <c r="BA778" s="212"/>
      <c r="BB778" s="212"/>
      <c r="BC778" s="212"/>
      <c r="BD778" s="212"/>
      <c r="BE778" s="212"/>
      <c r="BF778" s="452"/>
    </row>
    <row r="779">
      <c r="A779" s="212"/>
      <c r="B779" s="447"/>
      <c r="C779" s="212"/>
      <c r="D779" s="212"/>
      <c r="E779" s="212"/>
      <c r="F779" s="212"/>
      <c r="G779" s="212"/>
      <c r="H779" s="212"/>
      <c r="I779" s="212"/>
      <c r="J779" s="212"/>
      <c r="K779" s="212"/>
      <c r="L779" s="212"/>
      <c r="M779" s="212"/>
      <c r="N779" s="212"/>
      <c r="O779" s="212"/>
      <c r="P779" s="212"/>
      <c r="Q779" s="212"/>
      <c r="R779" s="451"/>
      <c r="S779" s="451"/>
      <c r="T779" s="212"/>
      <c r="U779" s="451"/>
      <c r="V779" s="451"/>
      <c r="W779" s="451"/>
      <c r="X779" s="451"/>
      <c r="Y779" s="212"/>
      <c r="Z779" s="212"/>
      <c r="AA779" s="212"/>
      <c r="AB779" s="212"/>
      <c r="AC779" s="212"/>
      <c r="AD779" s="212"/>
      <c r="AE779" s="450"/>
      <c r="AF779" s="212"/>
      <c r="AG779" s="212"/>
      <c r="AH779" s="212"/>
      <c r="AI779" s="212"/>
      <c r="AJ779" s="212"/>
      <c r="AK779" s="212"/>
      <c r="AL779" s="212"/>
      <c r="AM779" s="212"/>
      <c r="AN779" s="212"/>
      <c r="AO779" s="212"/>
      <c r="AP779" s="212"/>
      <c r="AQ779" s="212"/>
      <c r="AR779" s="212"/>
      <c r="AS779" s="212"/>
      <c r="AT779" s="212"/>
      <c r="AU779" s="212"/>
      <c r="AV779" s="212"/>
      <c r="AW779" s="212"/>
      <c r="AX779" s="212"/>
      <c r="AY779" s="212"/>
      <c r="AZ779" s="452"/>
      <c r="BA779" s="212"/>
      <c r="BB779" s="212"/>
      <c r="BC779" s="212"/>
      <c r="BD779" s="212"/>
      <c r="BE779" s="212"/>
      <c r="BF779" s="452"/>
    </row>
    <row r="780">
      <c r="A780" s="212"/>
      <c r="B780" s="447"/>
      <c r="C780" s="212"/>
      <c r="D780" s="212"/>
      <c r="E780" s="212"/>
      <c r="F780" s="212"/>
      <c r="G780" s="212"/>
      <c r="H780" s="212"/>
      <c r="I780" s="212"/>
      <c r="J780" s="212"/>
      <c r="K780" s="212"/>
      <c r="L780" s="212"/>
      <c r="M780" s="212"/>
      <c r="N780" s="212"/>
      <c r="O780" s="212"/>
      <c r="P780" s="212"/>
      <c r="Q780" s="212"/>
      <c r="R780" s="451"/>
      <c r="S780" s="451"/>
      <c r="T780" s="212"/>
      <c r="U780" s="451"/>
      <c r="V780" s="451"/>
      <c r="W780" s="451"/>
      <c r="X780" s="451"/>
      <c r="Y780" s="212"/>
      <c r="Z780" s="212"/>
      <c r="AA780" s="212"/>
      <c r="AB780" s="212"/>
      <c r="AC780" s="212"/>
      <c r="AD780" s="212"/>
      <c r="AE780" s="450"/>
      <c r="AF780" s="212"/>
      <c r="AG780" s="212"/>
      <c r="AH780" s="212"/>
      <c r="AI780" s="212"/>
      <c r="AJ780" s="212"/>
      <c r="AK780" s="212"/>
      <c r="AL780" s="212"/>
      <c r="AM780" s="212"/>
      <c r="AN780" s="212"/>
      <c r="AO780" s="212"/>
      <c r="AP780" s="212"/>
      <c r="AQ780" s="212"/>
      <c r="AR780" s="212"/>
      <c r="AS780" s="212"/>
      <c r="AT780" s="212"/>
      <c r="AU780" s="212"/>
      <c r="AV780" s="212"/>
      <c r="AW780" s="212"/>
      <c r="AX780" s="212"/>
      <c r="AY780" s="212"/>
      <c r="AZ780" s="452"/>
      <c r="BA780" s="212"/>
      <c r="BB780" s="212"/>
      <c r="BC780" s="212"/>
      <c r="BD780" s="212"/>
      <c r="BE780" s="212"/>
      <c r="BF780" s="452"/>
    </row>
    <row r="781">
      <c r="A781" s="212"/>
      <c r="B781" s="447"/>
      <c r="C781" s="212"/>
      <c r="D781" s="212"/>
      <c r="E781" s="212"/>
      <c r="F781" s="212"/>
      <c r="G781" s="212"/>
      <c r="H781" s="212"/>
      <c r="I781" s="212"/>
      <c r="J781" s="212"/>
      <c r="K781" s="212"/>
      <c r="L781" s="212"/>
      <c r="M781" s="212"/>
      <c r="N781" s="212"/>
      <c r="O781" s="212"/>
      <c r="P781" s="212"/>
      <c r="Q781" s="212"/>
      <c r="R781" s="451"/>
      <c r="S781" s="451"/>
      <c r="T781" s="212"/>
      <c r="U781" s="451"/>
      <c r="V781" s="451"/>
      <c r="W781" s="451"/>
      <c r="X781" s="451"/>
      <c r="Y781" s="212"/>
      <c r="Z781" s="212"/>
      <c r="AA781" s="212"/>
      <c r="AB781" s="212"/>
      <c r="AC781" s="212"/>
      <c r="AD781" s="212"/>
      <c r="AE781" s="450"/>
      <c r="AF781" s="212"/>
      <c r="AG781" s="212"/>
      <c r="AH781" s="212"/>
      <c r="AI781" s="212"/>
      <c r="AJ781" s="212"/>
      <c r="AK781" s="212"/>
      <c r="AL781" s="212"/>
      <c r="AM781" s="212"/>
      <c r="AN781" s="212"/>
      <c r="AO781" s="212"/>
      <c r="AP781" s="212"/>
      <c r="AQ781" s="212"/>
      <c r="AR781" s="212"/>
      <c r="AS781" s="212"/>
      <c r="AT781" s="212"/>
      <c r="AU781" s="212"/>
      <c r="AV781" s="212"/>
      <c r="AW781" s="212"/>
      <c r="AX781" s="212"/>
      <c r="AY781" s="212"/>
      <c r="AZ781" s="452"/>
      <c r="BA781" s="212"/>
      <c r="BB781" s="212"/>
      <c r="BC781" s="212"/>
      <c r="BD781" s="212"/>
      <c r="BE781" s="212"/>
      <c r="BF781" s="452"/>
    </row>
    <row r="782">
      <c r="A782" s="212"/>
      <c r="B782" s="447"/>
      <c r="C782" s="212"/>
      <c r="D782" s="212"/>
      <c r="E782" s="212"/>
      <c r="F782" s="212"/>
      <c r="G782" s="212"/>
      <c r="H782" s="212"/>
      <c r="I782" s="212"/>
      <c r="J782" s="212"/>
      <c r="K782" s="212"/>
      <c r="L782" s="212"/>
      <c r="M782" s="212"/>
      <c r="N782" s="212"/>
      <c r="O782" s="212"/>
      <c r="P782" s="212"/>
      <c r="Q782" s="212"/>
      <c r="R782" s="451"/>
      <c r="S782" s="451"/>
      <c r="T782" s="212"/>
      <c r="U782" s="451"/>
      <c r="V782" s="451"/>
      <c r="W782" s="451"/>
      <c r="X782" s="451"/>
      <c r="Y782" s="212"/>
      <c r="Z782" s="212"/>
      <c r="AA782" s="212"/>
      <c r="AB782" s="212"/>
      <c r="AC782" s="212"/>
      <c r="AD782" s="212"/>
      <c r="AE782" s="450"/>
      <c r="AF782" s="212"/>
      <c r="AG782" s="212"/>
      <c r="AH782" s="212"/>
      <c r="AI782" s="212"/>
      <c r="AJ782" s="212"/>
      <c r="AK782" s="212"/>
      <c r="AL782" s="212"/>
      <c r="AM782" s="212"/>
      <c r="AN782" s="212"/>
      <c r="AO782" s="212"/>
      <c r="AP782" s="212"/>
      <c r="AQ782" s="212"/>
      <c r="AR782" s="212"/>
      <c r="AS782" s="212"/>
      <c r="AT782" s="212"/>
      <c r="AU782" s="212"/>
      <c r="AV782" s="212"/>
      <c r="AW782" s="212"/>
      <c r="AX782" s="212"/>
      <c r="AY782" s="212"/>
      <c r="AZ782" s="452"/>
      <c r="BA782" s="212"/>
      <c r="BB782" s="212"/>
      <c r="BC782" s="212"/>
      <c r="BD782" s="212"/>
      <c r="BE782" s="212"/>
      <c r="BF782" s="452"/>
    </row>
    <row r="783">
      <c r="A783" s="212"/>
      <c r="B783" s="447"/>
      <c r="C783" s="212"/>
      <c r="D783" s="212"/>
      <c r="E783" s="212"/>
      <c r="F783" s="212"/>
      <c r="G783" s="212"/>
      <c r="H783" s="212"/>
      <c r="I783" s="212"/>
      <c r="J783" s="212"/>
      <c r="K783" s="212"/>
      <c r="L783" s="212"/>
      <c r="M783" s="212"/>
      <c r="N783" s="212"/>
      <c r="O783" s="212"/>
      <c r="P783" s="212"/>
      <c r="Q783" s="212"/>
      <c r="R783" s="451"/>
      <c r="S783" s="451"/>
      <c r="T783" s="212"/>
      <c r="U783" s="451"/>
      <c r="V783" s="451"/>
      <c r="W783" s="451"/>
      <c r="X783" s="451"/>
      <c r="Y783" s="212"/>
      <c r="Z783" s="212"/>
      <c r="AA783" s="212"/>
      <c r="AB783" s="212"/>
      <c r="AC783" s="212"/>
      <c r="AD783" s="212"/>
      <c r="AE783" s="450"/>
      <c r="AF783" s="212"/>
      <c r="AG783" s="212"/>
      <c r="AH783" s="212"/>
      <c r="AI783" s="212"/>
      <c r="AJ783" s="212"/>
      <c r="AK783" s="212"/>
      <c r="AL783" s="212"/>
      <c r="AM783" s="212"/>
      <c r="AN783" s="212"/>
      <c r="AO783" s="212"/>
      <c r="AP783" s="212"/>
      <c r="AQ783" s="212"/>
      <c r="AR783" s="212"/>
      <c r="AS783" s="212"/>
      <c r="AT783" s="212"/>
      <c r="AU783" s="212"/>
      <c r="AV783" s="212"/>
      <c r="AW783" s="212"/>
      <c r="AX783" s="212"/>
      <c r="AY783" s="212"/>
      <c r="AZ783" s="452"/>
      <c r="BA783" s="212"/>
      <c r="BB783" s="212"/>
      <c r="BC783" s="212"/>
      <c r="BD783" s="212"/>
      <c r="BE783" s="212"/>
      <c r="BF783" s="452"/>
    </row>
    <row r="784">
      <c r="A784" s="212"/>
      <c r="B784" s="447"/>
      <c r="C784" s="212"/>
      <c r="D784" s="212"/>
      <c r="E784" s="212"/>
      <c r="F784" s="212"/>
      <c r="G784" s="212"/>
      <c r="H784" s="212"/>
      <c r="I784" s="212"/>
      <c r="J784" s="212"/>
      <c r="K784" s="212"/>
      <c r="L784" s="212"/>
      <c r="M784" s="212"/>
      <c r="N784" s="212"/>
      <c r="O784" s="212"/>
      <c r="P784" s="212"/>
      <c r="Q784" s="212"/>
      <c r="R784" s="451"/>
      <c r="S784" s="451"/>
      <c r="T784" s="212"/>
      <c r="U784" s="451"/>
      <c r="V784" s="451"/>
      <c r="W784" s="451"/>
      <c r="X784" s="451"/>
      <c r="Y784" s="212"/>
      <c r="Z784" s="212"/>
      <c r="AA784" s="212"/>
      <c r="AB784" s="212"/>
      <c r="AC784" s="212"/>
      <c r="AD784" s="212"/>
      <c r="AE784" s="450"/>
      <c r="AF784" s="212"/>
      <c r="AG784" s="212"/>
      <c r="AH784" s="212"/>
      <c r="AI784" s="212"/>
      <c r="AJ784" s="212"/>
      <c r="AK784" s="212"/>
      <c r="AL784" s="212"/>
      <c r="AM784" s="212"/>
      <c r="AN784" s="212"/>
      <c r="AO784" s="212"/>
      <c r="AP784" s="212"/>
      <c r="AQ784" s="212"/>
      <c r="AR784" s="212"/>
      <c r="AS784" s="212"/>
      <c r="AT784" s="212"/>
      <c r="AU784" s="212"/>
      <c r="AV784" s="212"/>
      <c r="AW784" s="212"/>
      <c r="AX784" s="212"/>
      <c r="AY784" s="212"/>
      <c r="AZ784" s="452"/>
      <c r="BA784" s="212"/>
      <c r="BB784" s="212"/>
      <c r="BC784" s="212"/>
      <c r="BD784" s="212"/>
      <c r="BE784" s="212"/>
      <c r="BF784" s="452"/>
    </row>
    <row r="785">
      <c r="A785" s="212"/>
      <c r="B785" s="447"/>
      <c r="C785" s="212"/>
      <c r="D785" s="212"/>
      <c r="E785" s="212"/>
      <c r="F785" s="212"/>
      <c r="G785" s="212"/>
      <c r="H785" s="212"/>
      <c r="I785" s="212"/>
      <c r="J785" s="212"/>
      <c r="K785" s="212"/>
      <c r="L785" s="212"/>
      <c r="M785" s="212"/>
      <c r="N785" s="212"/>
      <c r="O785" s="212"/>
      <c r="P785" s="212"/>
      <c r="Q785" s="212"/>
      <c r="R785" s="451"/>
      <c r="S785" s="451"/>
      <c r="T785" s="212"/>
      <c r="U785" s="451"/>
      <c r="V785" s="451"/>
      <c r="W785" s="451"/>
      <c r="X785" s="451"/>
      <c r="Y785" s="212"/>
      <c r="Z785" s="212"/>
      <c r="AA785" s="212"/>
      <c r="AB785" s="212"/>
      <c r="AC785" s="212"/>
      <c r="AD785" s="212"/>
      <c r="AE785" s="450"/>
      <c r="AF785" s="212"/>
      <c r="AG785" s="212"/>
      <c r="AH785" s="212"/>
      <c r="AI785" s="212"/>
      <c r="AJ785" s="212"/>
      <c r="AK785" s="212"/>
      <c r="AL785" s="212"/>
      <c r="AM785" s="212"/>
      <c r="AN785" s="212"/>
      <c r="AO785" s="212"/>
      <c r="AP785" s="212"/>
      <c r="AQ785" s="212"/>
      <c r="AR785" s="212"/>
      <c r="AS785" s="212"/>
      <c r="AT785" s="212"/>
      <c r="AU785" s="212"/>
      <c r="AV785" s="212"/>
      <c r="AW785" s="212"/>
      <c r="AX785" s="212"/>
      <c r="AY785" s="212"/>
      <c r="AZ785" s="452"/>
      <c r="BA785" s="212"/>
      <c r="BB785" s="212"/>
      <c r="BC785" s="212"/>
      <c r="BD785" s="212"/>
      <c r="BE785" s="212"/>
      <c r="BF785" s="452"/>
    </row>
    <row r="786">
      <c r="A786" s="212"/>
      <c r="B786" s="447"/>
      <c r="C786" s="212"/>
      <c r="D786" s="212"/>
      <c r="E786" s="212"/>
      <c r="F786" s="212"/>
      <c r="G786" s="212"/>
      <c r="H786" s="212"/>
      <c r="I786" s="212"/>
      <c r="J786" s="212"/>
      <c r="K786" s="212"/>
      <c r="L786" s="212"/>
      <c r="M786" s="212"/>
      <c r="N786" s="212"/>
      <c r="O786" s="212"/>
      <c r="P786" s="212"/>
      <c r="Q786" s="212"/>
      <c r="R786" s="451"/>
      <c r="S786" s="451"/>
      <c r="T786" s="212"/>
      <c r="U786" s="451"/>
      <c r="V786" s="451"/>
      <c r="W786" s="451"/>
      <c r="X786" s="451"/>
      <c r="Y786" s="212"/>
      <c r="Z786" s="212"/>
      <c r="AA786" s="212"/>
      <c r="AB786" s="212"/>
      <c r="AC786" s="212"/>
      <c r="AD786" s="212"/>
      <c r="AE786" s="450"/>
      <c r="AF786" s="212"/>
      <c r="AG786" s="212"/>
      <c r="AH786" s="212"/>
      <c r="AI786" s="212"/>
      <c r="AJ786" s="212"/>
      <c r="AK786" s="212"/>
      <c r="AL786" s="212"/>
      <c r="AM786" s="212"/>
      <c r="AN786" s="212"/>
      <c r="AO786" s="212"/>
      <c r="AP786" s="212"/>
      <c r="AQ786" s="212"/>
      <c r="AR786" s="212"/>
      <c r="AS786" s="212"/>
      <c r="AT786" s="212"/>
      <c r="AU786" s="212"/>
      <c r="AV786" s="212"/>
      <c r="AW786" s="212"/>
      <c r="AX786" s="212"/>
      <c r="AY786" s="212"/>
      <c r="AZ786" s="452"/>
      <c r="BA786" s="212"/>
      <c r="BB786" s="212"/>
      <c r="BC786" s="212"/>
      <c r="BD786" s="212"/>
      <c r="BE786" s="212"/>
      <c r="BF786" s="452"/>
    </row>
    <row r="787">
      <c r="A787" s="212"/>
      <c r="B787" s="447"/>
      <c r="C787" s="212"/>
      <c r="D787" s="212"/>
      <c r="E787" s="212"/>
      <c r="F787" s="212"/>
      <c r="G787" s="212"/>
      <c r="H787" s="212"/>
      <c r="I787" s="212"/>
      <c r="J787" s="212"/>
      <c r="K787" s="212"/>
      <c r="L787" s="212"/>
      <c r="M787" s="212"/>
      <c r="N787" s="212"/>
      <c r="O787" s="212"/>
      <c r="P787" s="212"/>
      <c r="Q787" s="212"/>
      <c r="R787" s="451"/>
      <c r="S787" s="451"/>
      <c r="T787" s="212"/>
      <c r="U787" s="451"/>
      <c r="V787" s="451"/>
      <c r="W787" s="451"/>
      <c r="X787" s="451"/>
      <c r="Y787" s="212"/>
      <c r="Z787" s="212"/>
      <c r="AA787" s="212"/>
      <c r="AB787" s="212"/>
      <c r="AC787" s="212"/>
      <c r="AD787" s="212"/>
      <c r="AE787" s="450"/>
      <c r="AF787" s="212"/>
      <c r="AG787" s="212"/>
      <c r="AH787" s="212"/>
      <c r="AI787" s="212"/>
      <c r="AJ787" s="212"/>
      <c r="AK787" s="212"/>
      <c r="AL787" s="212"/>
      <c r="AM787" s="212"/>
      <c r="AN787" s="212"/>
      <c r="AO787" s="212"/>
      <c r="AP787" s="212"/>
      <c r="AQ787" s="212"/>
      <c r="AR787" s="212"/>
      <c r="AS787" s="212"/>
      <c r="AT787" s="212"/>
      <c r="AU787" s="212"/>
      <c r="AV787" s="212"/>
      <c r="AW787" s="212"/>
      <c r="AX787" s="212"/>
      <c r="AY787" s="212"/>
      <c r="AZ787" s="452"/>
      <c r="BA787" s="212"/>
      <c r="BB787" s="212"/>
      <c r="BC787" s="212"/>
      <c r="BD787" s="212"/>
      <c r="BE787" s="212"/>
      <c r="BF787" s="452"/>
    </row>
    <row r="788">
      <c r="A788" s="212"/>
      <c r="B788" s="447"/>
      <c r="C788" s="212"/>
      <c r="D788" s="212"/>
      <c r="E788" s="212"/>
      <c r="F788" s="212"/>
      <c r="G788" s="212"/>
      <c r="H788" s="212"/>
      <c r="I788" s="212"/>
      <c r="J788" s="212"/>
      <c r="K788" s="212"/>
      <c r="L788" s="212"/>
      <c r="M788" s="212"/>
      <c r="N788" s="212"/>
      <c r="O788" s="212"/>
      <c r="P788" s="212"/>
      <c r="Q788" s="212"/>
      <c r="R788" s="451"/>
      <c r="S788" s="451"/>
      <c r="T788" s="212"/>
      <c r="U788" s="451"/>
      <c r="V788" s="451"/>
      <c r="W788" s="451"/>
      <c r="X788" s="451"/>
      <c r="Y788" s="212"/>
      <c r="Z788" s="212"/>
      <c r="AA788" s="212"/>
      <c r="AB788" s="212"/>
      <c r="AC788" s="212"/>
      <c r="AD788" s="212"/>
      <c r="AE788" s="450"/>
      <c r="AF788" s="212"/>
      <c r="AG788" s="212"/>
      <c r="AH788" s="212"/>
      <c r="AI788" s="212"/>
      <c r="AJ788" s="212"/>
      <c r="AK788" s="212"/>
      <c r="AL788" s="212"/>
      <c r="AM788" s="212"/>
      <c r="AN788" s="212"/>
      <c r="AO788" s="212"/>
      <c r="AP788" s="212"/>
      <c r="AQ788" s="212"/>
      <c r="AR788" s="212"/>
      <c r="AS788" s="212"/>
      <c r="AT788" s="212"/>
      <c r="AU788" s="212"/>
      <c r="AV788" s="212"/>
      <c r="AW788" s="212"/>
      <c r="AX788" s="212"/>
      <c r="AY788" s="212"/>
      <c r="AZ788" s="452"/>
      <c r="BA788" s="212"/>
      <c r="BB788" s="212"/>
      <c r="BC788" s="212"/>
      <c r="BD788" s="212"/>
      <c r="BE788" s="212"/>
      <c r="BF788" s="452"/>
    </row>
    <row r="789">
      <c r="A789" s="212"/>
      <c r="B789" s="447"/>
      <c r="C789" s="212"/>
      <c r="D789" s="212"/>
      <c r="E789" s="212"/>
      <c r="F789" s="212"/>
      <c r="G789" s="212"/>
      <c r="H789" s="212"/>
      <c r="I789" s="212"/>
      <c r="J789" s="212"/>
      <c r="K789" s="212"/>
      <c r="L789" s="212"/>
      <c r="M789" s="212"/>
      <c r="N789" s="212"/>
      <c r="O789" s="212"/>
      <c r="P789" s="212"/>
      <c r="Q789" s="212"/>
      <c r="R789" s="451"/>
      <c r="S789" s="451"/>
      <c r="T789" s="212"/>
      <c r="U789" s="451"/>
      <c r="V789" s="451"/>
      <c r="W789" s="451"/>
      <c r="X789" s="451"/>
      <c r="Y789" s="212"/>
      <c r="Z789" s="212"/>
      <c r="AA789" s="212"/>
      <c r="AB789" s="212"/>
      <c r="AC789" s="212"/>
      <c r="AD789" s="212"/>
      <c r="AE789" s="450"/>
      <c r="AF789" s="212"/>
      <c r="AG789" s="212"/>
      <c r="AH789" s="212"/>
      <c r="AI789" s="212"/>
      <c r="AJ789" s="212"/>
      <c r="AK789" s="212"/>
      <c r="AL789" s="212"/>
      <c r="AM789" s="212"/>
      <c r="AN789" s="212"/>
      <c r="AO789" s="212"/>
      <c r="AP789" s="212"/>
      <c r="AQ789" s="212"/>
      <c r="AR789" s="212"/>
      <c r="AS789" s="212"/>
      <c r="AT789" s="212"/>
      <c r="AU789" s="212"/>
      <c r="AV789" s="212"/>
      <c r="AW789" s="212"/>
      <c r="AX789" s="212"/>
      <c r="AY789" s="212"/>
      <c r="AZ789" s="452"/>
      <c r="BA789" s="212"/>
      <c r="BB789" s="212"/>
      <c r="BC789" s="212"/>
      <c r="BD789" s="212"/>
      <c r="BE789" s="212"/>
      <c r="BF789" s="452"/>
    </row>
    <row r="790">
      <c r="A790" s="212"/>
      <c r="B790" s="447"/>
      <c r="C790" s="212"/>
      <c r="D790" s="212"/>
      <c r="E790" s="212"/>
      <c r="F790" s="212"/>
      <c r="G790" s="212"/>
      <c r="H790" s="212"/>
      <c r="I790" s="212"/>
      <c r="J790" s="212"/>
      <c r="K790" s="212"/>
      <c r="L790" s="212"/>
      <c r="M790" s="212"/>
      <c r="N790" s="212"/>
      <c r="O790" s="212"/>
      <c r="P790" s="212"/>
      <c r="Q790" s="212"/>
      <c r="R790" s="451"/>
      <c r="S790" s="451"/>
      <c r="T790" s="212"/>
      <c r="U790" s="451"/>
      <c r="V790" s="451"/>
      <c r="W790" s="451"/>
      <c r="X790" s="451"/>
      <c r="Y790" s="212"/>
      <c r="Z790" s="212"/>
      <c r="AA790" s="212"/>
      <c r="AB790" s="212"/>
      <c r="AC790" s="212"/>
      <c r="AD790" s="212"/>
      <c r="AE790" s="450"/>
      <c r="AF790" s="212"/>
      <c r="AG790" s="212"/>
      <c r="AH790" s="212"/>
      <c r="AI790" s="212"/>
      <c r="AJ790" s="212"/>
      <c r="AK790" s="212"/>
      <c r="AL790" s="212"/>
      <c r="AM790" s="212"/>
      <c r="AN790" s="212"/>
      <c r="AO790" s="212"/>
      <c r="AP790" s="212"/>
      <c r="AQ790" s="212"/>
      <c r="AR790" s="212"/>
      <c r="AS790" s="212"/>
      <c r="AT790" s="212"/>
      <c r="AU790" s="212"/>
      <c r="AV790" s="212"/>
      <c r="AW790" s="212"/>
      <c r="AX790" s="212"/>
      <c r="AY790" s="212"/>
      <c r="AZ790" s="452"/>
      <c r="BA790" s="212"/>
      <c r="BB790" s="212"/>
      <c r="BC790" s="212"/>
      <c r="BD790" s="212"/>
      <c r="BE790" s="212"/>
      <c r="BF790" s="452"/>
    </row>
    <row r="791">
      <c r="A791" s="212"/>
      <c r="B791" s="447"/>
      <c r="C791" s="212"/>
      <c r="D791" s="212"/>
      <c r="E791" s="212"/>
      <c r="F791" s="212"/>
      <c r="G791" s="212"/>
      <c r="H791" s="212"/>
      <c r="I791" s="212"/>
      <c r="J791" s="212"/>
      <c r="K791" s="212"/>
      <c r="L791" s="212"/>
      <c r="M791" s="212"/>
      <c r="N791" s="212"/>
      <c r="O791" s="212"/>
      <c r="P791" s="212"/>
      <c r="Q791" s="212"/>
      <c r="R791" s="451"/>
      <c r="S791" s="451"/>
      <c r="T791" s="212"/>
      <c r="U791" s="451"/>
      <c r="V791" s="451"/>
      <c r="W791" s="451"/>
      <c r="X791" s="451"/>
      <c r="Y791" s="212"/>
      <c r="Z791" s="212"/>
      <c r="AA791" s="212"/>
      <c r="AB791" s="212"/>
      <c r="AC791" s="212"/>
      <c r="AD791" s="212"/>
      <c r="AE791" s="450"/>
      <c r="AF791" s="212"/>
      <c r="AG791" s="212"/>
      <c r="AH791" s="212"/>
      <c r="AI791" s="212"/>
      <c r="AJ791" s="212"/>
      <c r="AK791" s="212"/>
      <c r="AL791" s="212"/>
      <c r="AM791" s="212"/>
      <c r="AN791" s="212"/>
      <c r="AO791" s="212"/>
      <c r="AP791" s="212"/>
      <c r="AQ791" s="212"/>
      <c r="AR791" s="212"/>
      <c r="AS791" s="212"/>
      <c r="AT791" s="212"/>
      <c r="AU791" s="212"/>
      <c r="AV791" s="212"/>
      <c r="AW791" s="212"/>
      <c r="AX791" s="212"/>
      <c r="AY791" s="212"/>
      <c r="AZ791" s="452"/>
      <c r="BA791" s="212"/>
      <c r="BB791" s="212"/>
      <c r="BC791" s="212"/>
      <c r="BD791" s="212"/>
      <c r="BE791" s="212"/>
      <c r="BF791" s="452"/>
    </row>
    <row r="792">
      <c r="A792" s="212"/>
      <c r="B792" s="447"/>
      <c r="C792" s="212"/>
      <c r="D792" s="212"/>
      <c r="E792" s="212"/>
      <c r="F792" s="212"/>
      <c r="G792" s="212"/>
      <c r="H792" s="212"/>
      <c r="I792" s="212"/>
      <c r="J792" s="212"/>
      <c r="K792" s="212"/>
      <c r="L792" s="212"/>
      <c r="M792" s="212"/>
      <c r="N792" s="212"/>
      <c r="O792" s="212"/>
      <c r="P792" s="212"/>
      <c r="Q792" s="212"/>
      <c r="R792" s="451"/>
      <c r="S792" s="451"/>
      <c r="T792" s="212"/>
      <c r="U792" s="451"/>
      <c r="V792" s="451"/>
      <c r="W792" s="451"/>
      <c r="X792" s="451"/>
      <c r="Y792" s="212"/>
      <c r="Z792" s="212"/>
      <c r="AA792" s="212"/>
      <c r="AB792" s="212"/>
      <c r="AC792" s="212"/>
      <c r="AD792" s="212"/>
      <c r="AE792" s="450"/>
      <c r="AF792" s="212"/>
      <c r="AG792" s="212"/>
      <c r="AH792" s="212"/>
      <c r="AI792" s="212"/>
      <c r="AJ792" s="212"/>
      <c r="AK792" s="212"/>
      <c r="AL792" s="212"/>
      <c r="AM792" s="212"/>
      <c r="AN792" s="212"/>
      <c r="AO792" s="212"/>
      <c r="AP792" s="212"/>
      <c r="AQ792" s="212"/>
      <c r="AR792" s="212"/>
      <c r="AS792" s="212"/>
      <c r="AT792" s="212"/>
      <c r="AU792" s="212"/>
      <c r="AV792" s="212"/>
      <c r="AW792" s="212"/>
      <c r="AX792" s="212"/>
      <c r="AY792" s="212"/>
      <c r="AZ792" s="452"/>
      <c r="BA792" s="212"/>
      <c r="BB792" s="212"/>
      <c r="BC792" s="212"/>
      <c r="BD792" s="212"/>
      <c r="BE792" s="212"/>
      <c r="BF792" s="452"/>
    </row>
    <row r="793">
      <c r="A793" s="212"/>
      <c r="B793" s="447"/>
      <c r="C793" s="212"/>
      <c r="D793" s="212"/>
      <c r="E793" s="212"/>
      <c r="F793" s="212"/>
      <c r="G793" s="212"/>
      <c r="H793" s="212"/>
      <c r="I793" s="212"/>
      <c r="J793" s="212"/>
      <c r="K793" s="212"/>
      <c r="L793" s="212"/>
      <c r="M793" s="212"/>
      <c r="N793" s="212"/>
      <c r="O793" s="212"/>
      <c r="P793" s="212"/>
      <c r="Q793" s="212"/>
      <c r="R793" s="451"/>
      <c r="S793" s="451"/>
      <c r="T793" s="212"/>
      <c r="U793" s="451"/>
      <c r="V793" s="451"/>
      <c r="W793" s="451"/>
      <c r="X793" s="451"/>
      <c r="Y793" s="212"/>
      <c r="Z793" s="212"/>
      <c r="AA793" s="212"/>
      <c r="AB793" s="212"/>
      <c r="AC793" s="212"/>
      <c r="AD793" s="212"/>
      <c r="AE793" s="450"/>
      <c r="AF793" s="212"/>
      <c r="AG793" s="212"/>
      <c r="AH793" s="212"/>
      <c r="AI793" s="212"/>
      <c r="AJ793" s="212"/>
      <c r="AK793" s="212"/>
      <c r="AL793" s="212"/>
      <c r="AM793" s="212"/>
      <c r="AN793" s="212"/>
      <c r="AO793" s="212"/>
      <c r="AP793" s="212"/>
      <c r="AQ793" s="212"/>
      <c r="AR793" s="212"/>
      <c r="AS793" s="212"/>
      <c r="AT793" s="212"/>
      <c r="AU793" s="212"/>
      <c r="AV793" s="212"/>
      <c r="AW793" s="212"/>
      <c r="AX793" s="212"/>
      <c r="AY793" s="212"/>
      <c r="AZ793" s="452"/>
      <c r="BA793" s="212"/>
      <c r="BB793" s="212"/>
      <c r="BC793" s="212"/>
      <c r="BD793" s="212"/>
      <c r="BE793" s="212"/>
      <c r="BF793" s="452"/>
    </row>
    <row r="794">
      <c r="A794" s="212"/>
      <c r="B794" s="447"/>
      <c r="C794" s="212"/>
      <c r="D794" s="212"/>
      <c r="E794" s="212"/>
      <c r="F794" s="212"/>
      <c r="G794" s="212"/>
      <c r="H794" s="212"/>
      <c r="I794" s="212"/>
      <c r="J794" s="212"/>
      <c r="K794" s="212"/>
      <c r="L794" s="212"/>
      <c r="M794" s="212"/>
      <c r="N794" s="212"/>
      <c r="O794" s="212"/>
      <c r="P794" s="212"/>
      <c r="Q794" s="212"/>
      <c r="R794" s="451"/>
      <c r="S794" s="451"/>
      <c r="T794" s="212"/>
      <c r="U794" s="451"/>
      <c r="V794" s="451"/>
      <c r="W794" s="451"/>
      <c r="X794" s="451"/>
      <c r="Y794" s="212"/>
      <c r="Z794" s="212"/>
      <c r="AA794" s="212"/>
      <c r="AB794" s="212"/>
      <c r="AC794" s="212"/>
      <c r="AD794" s="212"/>
      <c r="AE794" s="450"/>
      <c r="AF794" s="212"/>
      <c r="AG794" s="212"/>
      <c r="AH794" s="212"/>
      <c r="AI794" s="212"/>
      <c r="AJ794" s="212"/>
      <c r="AK794" s="212"/>
      <c r="AL794" s="212"/>
      <c r="AM794" s="212"/>
      <c r="AN794" s="212"/>
      <c r="AO794" s="212"/>
      <c r="AP794" s="212"/>
      <c r="AQ794" s="212"/>
      <c r="AR794" s="212"/>
      <c r="AS794" s="212"/>
      <c r="AT794" s="212"/>
      <c r="AU794" s="212"/>
      <c r="AV794" s="212"/>
      <c r="AW794" s="212"/>
      <c r="AX794" s="212"/>
      <c r="AY794" s="212"/>
      <c r="AZ794" s="452"/>
      <c r="BA794" s="212"/>
      <c r="BB794" s="212"/>
      <c r="BC794" s="212"/>
      <c r="BD794" s="212"/>
      <c r="BE794" s="212"/>
      <c r="BF794" s="452"/>
    </row>
    <row r="795">
      <c r="A795" s="212"/>
      <c r="B795" s="447"/>
      <c r="C795" s="212"/>
      <c r="D795" s="212"/>
      <c r="E795" s="212"/>
      <c r="F795" s="212"/>
      <c r="G795" s="212"/>
      <c r="H795" s="212"/>
      <c r="I795" s="212"/>
      <c r="J795" s="212"/>
      <c r="K795" s="212"/>
      <c r="L795" s="212"/>
      <c r="M795" s="212"/>
      <c r="N795" s="212"/>
      <c r="O795" s="212"/>
      <c r="P795" s="212"/>
      <c r="Q795" s="212"/>
      <c r="R795" s="451"/>
      <c r="S795" s="451"/>
      <c r="T795" s="212"/>
      <c r="U795" s="451"/>
      <c r="V795" s="451"/>
      <c r="W795" s="451"/>
      <c r="X795" s="451"/>
      <c r="Y795" s="212"/>
      <c r="Z795" s="212"/>
      <c r="AA795" s="212"/>
      <c r="AB795" s="212"/>
      <c r="AC795" s="212"/>
      <c r="AD795" s="212"/>
      <c r="AE795" s="450"/>
      <c r="AF795" s="212"/>
      <c r="AG795" s="212"/>
      <c r="AH795" s="212"/>
      <c r="AI795" s="212"/>
      <c r="AJ795" s="212"/>
      <c r="AK795" s="212"/>
      <c r="AL795" s="212"/>
      <c r="AM795" s="212"/>
      <c r="AN795" s="212"/>
      <c r="AO795" s="212"/>
      <c r="AP795" s="212"/>
      <c r="AQ795" s="212"/>
      <c r="AR795" s="212"/>
      <c r="AS795" s="212"/>
      <c r="AT795" s="212"/>
      <c r="AU795" s="212"/>
      <c r="AV795" s="212"/>
      <c r="AW795" s="212"/>
      <c r="AX795" s="212"/>
      <c r="AY795" s="212"/>
      <c r="AZ795" s="452"/>
      <c r="BA795" s="212"/>
      <c r="BB795" s="212"/>
      <c r="BC795" s="212"/>
      <c r="BD795" s="212"/>
      <c r="BE795" s="212"/>
      <c r="BF795" s="452"/>
    </row>
    <row r="796">
      <c r="A796" s="212"/>
      <c r="B796" s="447"/>
      <c r="C796" s="212"/>
      <c r="D796" s="212"/>
      <c r="E796" s="212"/>
      <c r="F796" s="212"/>
      <c r="G796" s="212"/>
      <c r="H796" s="212"/>
      <c r="I796" s="212"/>
      <c r="J796" s="212"/>
      <c r="K796" s="212"/>
      <c r="L796" s="212"/>
      <c r="M796" s="212"/>
      <c r="N796" s="212"/>
      <c r="O796" s="212"/>
      <c r="P796" s="212"/>
      <c r="Q796" s="212"/>
      <c r="R796" s="451"/>
      <c r="S796" s="451"/>
      <c r="T796" s="212"/>
      <c r="U796" s="451"/>
      <c r="V796" s="451"/>
      <c r="W796" s="451"/>
      <c r="X796" s="451"/>
      <c r="Y796" s="212"/>
      <c r="Z796" s="212"/>
      <c r="AA796" s="212"/>
      <c r="AB796" s="212"/>
      <c r="AC796" s="212"/>
      <c r="AD796" s="212"/>
      <c r="AE796" s="450"/>
      <c r="AF796" s="212"/>
      <c r="AG796" s="212"/>
      <c r="AH796" s="212"/>
      <c r="AI796" s="212"/>
      <c r="AJ796" s="212"/>
      <c r="AK796" s="212"/>
      <c r="AL796" s="212"/>
      <c r="AM796" s="212"/>
      <c r="AN796" s="212"/>
      <c r="AO796" s="212"/>
      <c r="AP796" s="212"/>
      <c r="AQ796" s="212"/>
      <c r="AR796" s="212"/>
      <c r="AS796" s="212"/>
      <c r="AT796" s="212"/>
      <c r="AU796" s="212"/>
      <c r="AV796" s="212"/>
      <c r="AW796" s="212"/>
      <c r="AX796" s="212"/>
      <c r="AY796" s="212"/>
      <c r="AZ796" s="452"/>
      <c r="BA796" s="212"/>
      <c r="BB796" s="212"/>
      <c r="BC796" s="212"/>
      <c r="BD796" s="212"/>
      <c r="BE796" s="212"/>
      <c r="BF796" s="452"/>
    </row>
    <row r="797">
      <c r="A797" s="212"/>
      <c r="B797" s="447"/>
      <c r="C797" s="212"/>
      <c r="D797" s="212"/>
      <c r="E797" s="212"/>
      <c r="F797" s="212"/>
      <c r="G797" s="212"/>
      <c r="H797" s="212"/>
      <c r="I797" s="212"/>
      <c r="J797" s="212"/>
      <c r="K797" s="212"/>
      <c r="L797" s="212"/>
      <c r="M797" s="212"/>
      <c r="N797" s="212"/>
      <c r="O797" s="212"/>
      <c r="P797" s="212"/>
      <c r="Q797" s="212"/>
      <c r="R797" s="451"/>
      <c r="S797" s="451"/>
      <c r="T797" s="212"/>
      <c r="U797" s="451"/>
      <c r="V797" s="451"/>
      <c r="W797" s="451"/>
      <c r="X797" s="451"/>
      <c r="Y797" s="212"/>
      <c r="Z797" s="212"/>
      <c r="AA797" s="212"/>
      <c r="AB797" s="212"/>
      <c r="AC797" s="212"/>
      <c r="AD797" s="212"/>
      <c r="AE797" s="450"/>
      <c r="AF797" s="212"/>
      <c r="AG797" s="212"/>
      <c r="AH797" s="212"/>
      <c r="AI797" s="212"/>
      <c r="AJ797" s="212"/>
      <c r="AK797" s="212"/>
      <c r="AL797" s="212"/>
      <c r="AM797" s="212"/>
      <c r="AN797" s="212"/>
      <c r="AO797" s="212"/>
      <c r="AP797" s="212"/>
      <c r="AQ797" s="212"/>
      <c r="AR797" s="212"/>
      <c r="AS797" s="212"/>
      <c r="AT797" s="212"/>
      <c r="AU797" s="212"/>
      <c r="AV797" s="212"/>
      <c r="AW797" s="212"/>
      <c r="AX797" s="212"/>
      <c r="AY797" s="212"/>
      <c r="AZ797" s="452"/>
      <c r="BA797" s="212"/>
      <c r="BB797" s="212"/>
      <c r="BC797" s="212"/>
      <c r="BD797" s="212"/>
      <c r="BE797" s="212"/>
      <c r="BF797" s="452"/>
    </row>
    <row r="798">
      <c r="A798" s="212"/>
      <c r="B798" s="447"/>
      <c r="C798" s="212"/>
      <c r="D798" s="212"/>
      <c r="E798" s="212"/>
      <c r="F798" s="212"/>
      <c r="G798" s="212"/>
      <c r="H798" s="212"/>
      <c r="I798" s="212"/>
      <c r="J798" s="212"/>
      <c r="K798" s="212"/>
      <c r="L798" s="212"/>
      <c r="M798" s="212"/>
      <c r="N798" s="212"/>
      <c r="O798" s="212"/>
      <c r="P798" s="212"/>
      <c r="Q798" s="212"/>
      <c r="R798" s="451"/>
      <c r="S798" s="451"/>
      <c r="T798" s="212"/>
      <c r="U798" s="451"/>
      <c r="V798" s="451"/>
      <c r="W798" s="451"/>
      <c r="X798" s="451"/>
      <c r="Y798" s="212"/>
      <c r="Z798" s="212"/>
      <c r="AA798" s="212"/>
      <c r="AB798" s="212"/>
      <c r="AC798" s="212"/>
      <c r="AD798" s="212"/>
      <c r="AE798" s="450"/>
      <c r="AF798" s="212"/>
      <c r="AG798" s="212"/>
      <c r="AH798" s="212"/>
      <c r="AI798" s="212"/>
      <c r="AJ798" s="212"/>
      <c r="AK798" s="212"/>
      <c r="AL798" s="212"/>
      <c r="AM798" s="212"/>
      <c r="AN798" s="212"/>
      <c r="AO798" s="212"/>
      <c r="AP798" s="212"/>
      <c r="AQ798" s="212"/>
      <c r="AR798" s="212"/>
      <c r="AS798" s="212"/>
      <c r="AT798" s="212"/>
      <c r="AU798" s="212"/>
      <c r="AV798" s="212"/>
      <c r="AW798" s="212"/>
      <c r="AX798" s="212"/>
      <c r="AY798" s="212"/>
      <c r="AZ798" s="452"/>
      <c r="BA798" s="212"/>
      <c r="BB798" s="212"/>
      <c r="BC798" s="212"/>
      <c r="BD798" s="212"/>
      <c r="BE798" s="212"/>
      <c r="BF798" s="452"/>
    </row>
    <row r="799">
      <c r="A799" s="212"/>
      <c r="B799" s="447"/>
      <c r="C799" s="212"/>
      <c r="D799" s="212"/>
      <c r="E799" s="212"/>
      <c r="F799" s="212"/>
      <c r="G799" s="212"/>
      <c r="H799" s="212"/>
      <c r="I799" s="212"/>
      <c r="J799" s="212"/>
      <c r="K799" s="212"/>
      <c r="L799" s="212"/>
      <c r="M799" s="212"/>
      <c r="N799" s="212"/>
      <c r="O799" s="212"/>
      <c r="P799" s="212"/>
      <c r="Q799" s="212"/>
      <c r="R799" s="451"/>
      <c r="S799" s="451"/>
      <c r="T799" s="212"/>
      <c r="U799" s="451"/>
      <c r="V799" s="451"/>
      <c r="W799" s="451"/>
      <c r="X799" s="451"/>
      <c r="Y799" s="212"/>
      <c r="Z799" s="212"/>
      <c r="AA799" s="212"/>
      <c r="AB799" s="212"/>
      <c r="AC799" s="212"/>
      <c r="AD799" s="212"/>
      <c r="AE799" s="450"/>
      <c r="AF799" s="212"/>
      <c r="AG799" s="212"/>
      <c r="AH799" s="212"/>
      <c r="AI799" s="212"/>
      <c r="AJ799" s="212"/>
      <c r="AK799" s="212"/>
      <c r="AL799" s="212"/>
      <c r="AM799" s="212"/>
      <c r="AN799" s="212"/>
      <c r="AO799" s="212"/>
      <c r="AP799" s="212"/>
      <c r="AQ799" s="212"/>
      <c r="AR799" s="212"/>
      <c r="AS799" s="212"/>
      <c r="AT799" s="212"/>
      <c r="AU799" s="212"/>
      <c r="AV799" s="212"/>
      <c r="AW799" s="212"/>
      <c r="AX799" s="212"/>
      <c r="AY799" s="212"/>
      <c r="AZ799" s="452"/>
      <c r="BA799" s="212"/>
      <c r="BB799" s="212"/>
      <c r="BC799" s="212"/>
      <c r="BD799" s="212"/>
      <c r="BE799" s="212"/>
      <c r="BF799" s="452"/>
    </row>
    <row r="800">
      <c r="A800" s="212"/>
      <c r="B800" s="447"/>
      <c r="C800" s="212"/>
      <c r="D800" s="212"/>
      <c r="E800" s="212"/>
      <c r="F800" s="212"/>
      <c r="G800" s="212"/>
      <c r="H800" s="212"/>
      <c r="I800" s="212"/>
      <c r="J800" s="212"/>
      <c r="K800" s="212"/>
      <c r="L800" s="212"/>
      <c r="M800" s="212"/>
      <c r="N800" s="212"/>
      <c r="O800" s="212"/>
      <c r="P800" s="212"/>
      <c r="Q800" s="212"/>
      <c r="R800" s="451"/>
      <c r="S800" s="451"/>
      <c r="T800" s="212"/>
      <c r="U800" s="451"/>
      <c r="V800" s="451"/>
      <c r="W800" s="451"/>
      <c r="X800" s="451"/>
      <c r="Y800" s="212"/>
      <c r="Z800" s="212"/>
      <c r="AA800" s="212"/>
      <c r="AB800" s="212"/>
      <c r="AC800" s="212"/>
      <c r="AD800" s="212"/>
      <c r="AE800" s="450"/>
      <c r="AF800" s="212"/>
      <c r="AG800" s="212"/>
      <c r="AH800" s="212"/>
      <c r="AI800" s="212"/>
      <c r="AJ800" s="212"/>
      <c r="AK800" s="212"/>
      <c r="AL800" s="212"/>
      <c r="AM800" s="212"/>
      <c r="AN800" s="212"/>
      <c r="AO800" s="212"/>
      <c r="AP800" s="212"/>
      <c r="AQ800" s="212"/>
      <c r="AR800" s="212"/>
      <c r="AS800" s="212"/>
      <c r="AT800" s="212"/>
      <c r="AU800" s="212"/>
      <c r="AV800" s="212"/>
      <c r="AW800" s="212"/>
      <c r="AX800" s="212"/>
      <c r="AY800" s="212"/>
      <c r="AZ800" s="452"/>
      <c r="BA800" s="212"/>
      <c r="BB800" s="212"/>
      <c r="BC800" s="212"/>
      <c r="BD800" s="212"/>
      <c r="BE800" s="212"/>
      <c r="BF800" s="452"/>
    </row>
    <row r="801">
      <c r="A801" s="212"/>
      <c r="B801" s="447"/>
      <c r="C801" s="212"/>
      <c r="D801" s="212"/>
      <c r="E801" s="212"/>
      <c r="F801" s="212"/>
      <c r="G801" s="212"/>
      <c r="H801" s="212"/>
      <c r="I801" s="212"/>
      <c r="J801" s="212"/>
      <c r="K801" s="212"/>
      <c r="L801" s="212"/>
      <c r="M801" s="212"/>
      <c r="N801" s="212"/>
      <c r="O801" s="212"/>
      <c r="P801" s="212"/>
      <c r="Q801" s="212"/>
      <c r="R801" s="451"/>
      <c r="S801" s="451"/>
      <c r="T801" s="212"/>
      <c r="U801" s="451"/>
      <c r="V801" s="451"/>
      <c r="W801" s="451"/>
      <c r="X801" s="451"/>
      <c r="Y801" s="212"/>
      <c r="Z801" s="212"/>
      <c r="AA801" s="212"/>
      <c r="AB801" s="212"/>
      <c r="AC801" s="212"/>
      <c r="AD801" s="212"/>
      <c r="AE801" s="450"/>
      <c r="AF801" s="212"/>
      <c r="AG801" s="212"/>
      <c r="AH801" s="212"/>
      <c r="AI801" s="212"/>
      <c r="AJ801" s="212"/>
      <c r="AK801" s="212"/>
      <c r="AL801" s="212"/>
      <c r="AM801" s="212"/>
      <c r="AN801" s="212"/>
      <c r="AO801" s="212"/>
      <c r="AP801" s="212"/>
      <c r="AQ801" s="212"/>
      <c r="AR801" s="212"/>
      <c r="AS801" s="212"/>
      <c r="AT801" s="212"/>
      <c r="AU801" s="212"/>
      <c r="AV801" s="212"/>
      <c r="AW801" s="212"/>
      <c r="AX801" s="212"/>
      <c r="AY801" s="212"/>
      <c r="AZ801" s="452"/>
      <c r="BA801" s="212"/>
      <c r="BB801" s="212"/>
      <c r="BC801" s="212"/>
      <c r="BD801" s="212"/>
      <c r="BE801" s="212"/>
      <c r="BF801" s="452"/>
    </row>
    <row r="802">
      <c r="A802" s="212"/>
      <c r="B802" s="447"/>
      <c r="C802" s="212"/>
      <c r="D802" s="212"/>
      <c r="E802" s="212"/>
      <c r="F802" s="212"/>
      <c r="G802" s="212"/>
      <c r="H802" s="212"/>
      <c r="I802" s="212"/>
      <c r="J802" s="212"/>
      <c r="K802" s="212"/>
      <c r="L802" s="212"/>
      <c r="M802" s="212"/>
      <c r="N802" s="212"/>
      <c r="O802" s="212"/>
      <c r="P802" s="212"/>
      <c r="Q802" s="212"/>
      <c r="R802" s="451"/>
      <c r="S802" s="451"/>
      <c r="T802" s="212"/>
      <c r="U802" s="451"/>
      <c r="V802" s="451"/>
      <c r="W802" s="451"/>
      <c r="X802" s="451"/>
      <c r="Y802" s="212"/>
      <c r="Z802" s="212"/>
      <c r="AA802" s="212"/>
      <c r="AB802" s="212"/>
      <c r="AC802" s="212"/>
      <c r="AD802" s="212"/>
      <c r="AE802" s="450"/>
      <c r="AF802" s="212"/>
      <c r="AG802" s="212"/>
      <c r="AH802" s="212"/>
      <c r="AI802" s="212"/>
      <c r="AJ802" s="212"/>
      <c r="AK802" s="212"/>
      <c r="AL802" s="212"/>
      <c r="AM802" s="212"/>
      <c r="AN802" s="212"/>
      <c r="AO802" s="212"/>
      <c r="AP802" s="212"/>
      <c r="AQ802" s="212"/>
      <c r="AR802" s="212"/>
      <c r="AS802" s="212"/>
      <c r="AT802" s="212"/>
      <c r="AU802" s="212"/>
      <c r="AV802" s="212"/>
      <c r="AW802" s="212"/>
      <c r="AX802" s="212"/>
      <c r="AY802" s="212"/>
      <c r="AZ802" s="452"/>
      <c r="BA802" s="212"/>
      <c r="BB802" s="212"/>
      <c r="BC802" s="212"/>
      <c r="BD802" s="212"/>
      <c r="BE802" s="212"/>
      <c r="BF802" s="452"/>
    </row>
    <row r="803">
      <c r="A803" s="212"/>
      <c r="B803" s="447"/>
      <c r="C803" s="212"/>
      <c r="D803" s="212"/>
      <c r="E803" s="212"/>
      <c r="F803" s="212"/>
      <c r="G803" s="212"/>
      <c r="H803" s="212"/>
      <c r="I803" s="212"/>
      <c r="J803" s="212"/>
      <c r="K803" s="212"/>
      <c r="L803" s="212"/>
      <c r="M803" s="212"/>
      <c r="N803" s="212"/>
      <c r="O803" s="212"/>
      <c r="P803" s="212"/>
      <c r="Q803" s="212"/>
      <c r="R803" s="451"/>
      <c r="S803" s="451"/>
      <c r="T803" s="212"/>
      <c r="U803" s="451"/>
      <c r="V803" s="451"/>
      <c r="W803" s="451"/>
      <c r="X803" s="451"/>
      <c r="Y803" s="212"/>
      <c r="Z803" s="212"/>
      <c r="AA803" s="212"/>
      <c r="AB803" s="212"/>
      <c r="AC803" s="212"/>
      <c r="AD803" s="212"/>
      <c r="AE803" s="450"/>
      <c r="AF803" s="212"/>
      <c r="AG803" s="212"/>
      <c r="AH803" s="212"/>
      <c r="AI803" s="212"/>
      <c r="AJ803" s="212"/>
      <c r="AK803" s="212"/>
      <c r="AL803" s="212"/>
      <c r="AM803" s="212"/>
      <c r="AN803" s="212"/>
      <c r="AO803" s="212"/>
      <c r="AP803" s="212"/>
      <c r="AQ803" s="212"/>
      <c r="AR803" s="212"/>
      <c r="AS803" s="212"/>
      <c r="AT803" s="212"/>
      <c r="AU803" s="212"/>
      <c r="AV803" s="212"/>
      <c r="AW803" s="212"/>
      <c r="AX803" s="212"/>
      <c r="AY803" s="212"/>
      <c r="AZ803" s="452"/>
      <c r="BA803" s="212"/>
      <c r="BB803" s="212"/>
      <c r="BC803" s="212"/>
      <c r="BD803" s="212"/>
      <c r="BE803" s="212"/>
      <c r="BF803" s="452"/>
    </row>
    <row r="804">
      <c r="A804" s="212"/>
      <c r="B804" s="447"/>
      <c r="C804" s="212"/>
      <c r="D804" s="212"/>
      <c r="E804" s="212"/>
      <c r="F804" s="212"/>
      <c r="G804" s="212"/>
      <c r="H804" s="212"/>
      <c r="I804" s="212"/>
      <c r="J804" s="212"/>
      <c r="K804" s="212"/>
      <c r="L804" s="212"/>
      <c r="M804" s="212"/>
      <c r="N804" s="212"/>
      <c r="O804" s="212"/>
      <c r="P804" s="212"/>
      <c r="Q804" s="212"/>
      <c r="R804" s="451"/>
      <c r="S804" s="451"/>
      <c r="T804" s="212"/>
      <c r="U804" s="451"/>
      <c r="V804" s="451"/>
      <c r="W804" s="451"/>
      <c r="X804" s="451"/>
      <c r="Y804" s="212"/>
      <c r="Z804" s="212"/>
      <c r="AA804" s="212"/>
      <c r="AB804" s="212"/>
      <c r="AC804" s="212"/>
      <c r="AD804" s="212"/>
      <c r="AE804" s="450"/>
      <c r="AF804" s="212"/>
      <c r="AG804" s="212"/>
      <c r="AH804" s="212"/>
      <c r="AI804" s="212"/>
      <c r="AJ804" s="212"/>
      <c r="AK804" s="212"/>
      <c r="AL804" s="212"/>
      <c r="AM804" s="212"/>
      <c r="AN804" s="212"/>
      <c r="AO804" s="212"/>
      <c r="AP804" s="212"/>
      <c r="AQ804" s="212"/>
      <c r="AR804" s="212"/>
      <c r="AS804" s="212"/>
      <c r="AT804" s="212"/>
      <c r="AU804" s="212"/>
      <c r="AV804" s="212"/>
      <c r="AW804" s="212"/>
      <c r="AX804" s="212"/>
      <c r="AY804" s="212"/>
      <c r="AZ804" s="452"/>
      <c r="BA804" s="212"/>
      <c r="BB804" s="212"/>
      <c r="BC804" s="212"/>
      <c r="BD804" s="212"/>
      <c r="BE804" s="212"/>
      <c r="BF804" s="452"/>
    </row>
    <row r="805">
      <c r="A805" s="212"/>
      <c r="B805" s="447"/>
      <c r="C805" s="212"/>
      <c r="D805" s="212"/>
      <c r="E805" s="212"/>
      <c r="F805" s="212"/>
      <c r="G805" s="212"/>
      <c r="H805" s="212"/>
      <c r="I805" s="212"/>
      <c r="J805" s="212"/>
      <c r="K805" s="212"/>
      <c r="L805" s="212"/>
      <c r="M805" s="212"/>
      <c r="N805" s="212"/>
      <c r="O805" s="212"/>
      <c r="P805" s="212"/>
      <c r="Q805" s="212"/>
      <c r="R805" s="451"/>
      <c r="S805" s="451"/>
      <c r="T805" s="212"/>
      <c r="U805" s="451"/>
      <c r="V805" s="451"/>
      <c r="W805" s="451"/>
      <c r="X805" s="451"/>
      <c r="Y805" s="212"/>
      <c r="Z805" s="212"/>
      <c r="AA805" s="212"/>
      <c r="AB805" s="212"/>
      <c r="AC805" s="212"/>
      <c r="AD805" s="212"/>
      <c r="AE805" s="450"/>
      <c r="AF805" s="212"/>
      <c r="AG805" s="212"/>
      <c r="AH805" s="212"/>
      <c r="AI805" s="212"/>
      <c r="AJ805" s="212"/>
      <c r="AK805" s="212"/>
      <c r="AL805" s="212"/>
      <c r="AM805" s="212"/>
      <c r="AN805" s="212"/>
      <c r="AO805" s="212"/>
      <c r="AP805" s="212"/>
      <c r="AQ805" s="212"/>
      <c r="AR805" s="212"/>
      <c r="AS805" s="212"/>
      <c r="AT805" s="212"/>
      <c r="AU805" s="212"/>
      <c r="AV805" s="212"/>
      <c r="AW805" s="212"/>
      <c r="AX805" s="212"/>
      <c r="AY805" s="212"/>
      <c r="AZ805" s="452"/>
      <c r="BA805" s="212"/>
      <c r="BB805" s="212"/>
      <c r="BC805" s="212"/>
      <c r="BD805" s="212"/>
      <c r="BE805" s="212"/>
      <c r="BF805" s="452"/>
    </row>
    <row r="806">
      <c r="A806" s="212"/>
      <c r="B806" s="447"/>
      <c r="C806" s="212"/>
      <c r="D806" s="212"/>
      <c r="E806" s="212"/>
      <c r="F806" s="212"/>
      <c r="G806" s="212"/>
      <c r="H806" s="212"/>
      <c r="I806" s="212"/>
      <c r="J806" s="212"/>
      <c r="K806" s="212"/>
      <c r="L806" s="212"/>
      <c r="M806" s="212"/>
      <c r="N806" s="212"/>
      <c r="O806" s="212"/>
      <c r="P806" s="212"/>
      <c r="Q806" s="212"/>
      <c r="R806" s="451"/>
      <c r="S806" s="451"/>
      <c r="T806" s="212"/>
      <c r="U806" s="451"/>
      <c r="V806" s="451"/>
      <c r="W806" s="451"/>
      <c r="X806" s="451"/>
      <c r="Y806" s="212"/>
      <c r="Z806" s="212"/>
      <c r="AA806" s="212"/>
      <c r="AB806" s="212"/>
      <c r="AC806" s="212"/>
      <c r="AD806" s="212"/>
      <c r="AE806" s="450"/>
      <c r="AF806" s="212"/>
      <c r="AG806" s="212"/>
      <c r="AH806" s="212"/>
      <c r="AI806" s="212"/>
      <c r="AJ806" s="212"/>
      <c r="AK806" s="212"/>
      <c r="AL806" s="212"/>
      <c r="AM806" s="212"/>
      <c r="AN806" s="212"/>
      <c r="AO806" s="212"/>
      <c r="AP806" s="212"/>
      <c r="AQ806" s="212"/>
      <c r="AR806" s="212"/>
      <c r="AS806" s="212"/>
      <c r="AT806" s="212"/>
      <c r="AU806" s="212"/>
      <c r="AV806" s="212"/>
      <c r="AW806" s="212"/>
      <c r="AX806" s="212"/>
      <c r="AY806" s="212"/>
      <c r="AZ806" s="452"/>
      <c r="BA806" s="212"/>
      <c r="BB806" s="212"/>
      <c r="BC806" s="212"/>
      <c r="BD806" s="212"/>
      <c r="BE806" s="212"/>
      <c r="BF806" s="452"/>
    </row>
    <row r="807">
      <c r="A807" s="212"/>
      <c r="B807" s="447"/>
      <c r="C807" s="212"/>
      <c r="D807" s="212"/>
      <c r="E807" s="212"/>
      <c r="F807" s="212"/>
      <c r="G807" s="212"/>
      <c r="H807" s="212"/>
      <c r="I807" s="212"/>
      <c r="J807" s="212"/>
      <c r="K807" s="212"/>
      <c r="L807" s="212"/>
      <c r="M807" s="212"/>
      <c r="N807" s="212"/>
      <c r="O807" s="212"/>
      <c r="P807" s="212"/>
      <c r="Q807" s="212"/>
      <c r="R807" s="451"/>
      <c r="S807" s="451"/>
      <c r="T807" s="212"/>
      <c r="U807" s="451"/>
      <c r="V807" s="451"/>
      <c r="W807" s="451"/>
      <c r="X807" s="451"/>
      <c r="Y807" s="212"/>
      <c r="Z807" s="212"/>
      <c r="AA807" s="212"/>
      <c r="AB807" s="212"/>
      <c r="AC807" s="212"/>
      <c r="AD807" s="212"/>
      <c r="AE807" s="450"/>
      <c r="AF807" s="212"/>
      <c r="AG807" s="212"/>
      <c r="AH807" s="212"/>
      <c r="AI807" s="212"/>
      <c r="AJ807" s="212"/>
      <c r="AK807" s="212"/>
      <c r="AL807" s="212"/>
      <c r="AM807" s="212"/>
      <c r="AN807" s="212"/>
      <c r="AO807" s="212"/>
      <c r="AP807" s="212"/>
      <c r="AQ807" s="212"/>
      <c r="AR807" s="212"/>
      <c r="AS807" s="212"/>
      <c r="AT807" s="212"/>
      <c r="AU807" s="212"/>
      <c r="AV807" s="212"/>
      <c r="AW807" s="212"/>
      <c r="AX807" s="212"/>
      <c r="AY807" s="212"/>
      <c r="AZ807" s="452"/>
      <c r="BA807" s="212"/>
      <c r="BB807" s="212"/>
      <c r="BC807" s="212"/>
      <c r="BD807" s="212"/>
      <c r="BE807" s="212"/>
      <c r="BF807" s="452"/>
    </row>
    <row r="808">
      <c r="A808" s="212"/>
      <c r="B808" s="447"/>
      <c r="C808" s="212"/>
      <c r="D808" s="212"/>
      <c r="E808" s="212"/>
      <c r="F808" s="212"/>
      <c r="G808" s="212"/>
      <c r="H808" s="212"/>
      <c r="I808" s="212"/>
      <c r="J808" s="212"/>
      <c r="K808" s="212"/>
      <c r="L808" s="212"/>
      <c r="M808" s="212"/>
      <c r="N808" s="212"/>
      <c r="O808" s="212"/>
      <c r="P808" s="212"/>
      <c r="Q808" s="212"/>
      <c r="R808" s="451"/>
      <c r="S808" s="451"/>
      <c r="T808" s="212"/>
      <c r="U808" s="451"/>
      <c r="V808" s="451"/>
      <c r="W808" s="451"/>
      <c r="X808" s="451"/>
      <c r="Y808" s="212"/>
      <c r="Z808" s="212"/>
      <c r="AA808" s="212"/>
      <c r="AB808" s="212"/>
      <c r="AC808" s="212"/>
      <c r="AD808" s="212"/>
      <c r="AE808" s="450"/>
      <c r="AF808" s="212"/>
      <c r="AG808" s="212"/>
      <c r="AH808" s="212"/>
      <c r="AI808" s="212"/>
      <c r="AJ808" s="212"/>
      <c r="AK808" s="212"/>
      <c r="AL808" s="212"/>
      <c r="AM808" s="212"/>
      <c r="AN808" s="212"/>
      <c r="AO808" s="212"/>
      <c r="AP808" s="212"/>
      <c r="AQ808" s="212"/>
      <c r="AR808" s="212"/>
      <c r="AS808" s="212"/>
      <c r="AT808" s="212"/>
      <c r="AU808" s="212"/>
      <c r="AV808" s="212"/>
      <c r="AW808" s="212"/>
      <c r="AX808" s="212"/>
      <c r="AY808" s="212"/>
      <c r="AZ808" s="452"/>
      <c r="BA808" s="212"/>
      <c r="BB808" s="212"/>
      <c r="BC808" s="212"/>
      <c r="BD808" s="212"/>
      <c r="BE808" s="212"/>
      <c r="BF808" s="452"/>
    </row>
    <row r="809">
      <c r="A809" s="212"/>
      <c r="B809" s="447"/>
      <c r="C809" s="212"/>
      <c r="D809" s="212"/>
      <c r="E809" s="212"/>
      <c r="F809" s="212"/>
      <c r="G809" s="212"/>
      <c r="H809" s="212"/>
      <c r="I809" s="212"/>
      <c r="J809" s="212"/>
      <c r="K809" s="212"/>
      <c r="L809" s="212"/>
      <c r="M809" s="212"/>
      <c r="N809" s="212"/>
      <c r="O809" s="212"/>
      <c r="P809" s="212"/>
      <c r="Q809" s="212"/>
      <c r="R809" s="451"/>
      <c r="S809" s="451"/>
      <c r="T809" s="212"/>
      <c r="U809" s="451"/>
      <c r="V809" s="451"/>
      <c r="W809" s="451"/>
      <c r="X809" s="451"/>
      <c r="Y809" s="212"/>
      <c r="Z809" s="212"/>
      <c r="AA809" s="212"/>
      <c r="AB809" s="212"/>
      <c r="AC809" s="212"/>
      <c r="AD809" s="212"/>
      <c r="AE809" s="450"/>
      <c r="AF809" s="212"/>
      <c r="AG809" s="212"/>
      <c r="AH809" s="212"/>
      <c r="AI809" s="212"/>
      <c r="AJ809" s="212"/>
      <c r="AK809" s="212"/>
      <c r="AL809" s="212"/>
      <c r="AM809" s="212"/>
      <c r="AN809" s="212"/>
      <c r="AO809" s="212"/>
      <c r="AP809" s="212"/>
      <c r="AQ809" s="212"/>
      <c r="AR809" s="212"/>
      <c r="AS809" s="212"/>
      <c r="AT809" s="212"/>
      <c r="AU809" s="212"/>
      <c r="AV809" s="212"/>
      <c r="AW809" s="212"/>
      <c r="AX809" s="212"/>
      <c r="AY809" s="212"/>
      <c r="AZ809" s="452"/>
      <c r="BA809" s="212"/>
      <c r="BB809" s="212"/>
      <c r="BC809" s="212"/>
      <c r="BD809" s="212"/>
      <c r="BE809" s="212"/>
      <c r="BF809" s="452"/>
    </row>
    <row r="810">
      <c r="A810" s="212"/>
      <c r="B810" s="447"/>
      <c r="C810" s="212"/>
      <c r="D810" s="212"/>
      <c r="E810" s="212"/>
      <c r="F810" s="212"/>
      <c r="G810" s="212"/>
      <c r="H810" s="212"/>
      <c r="I810" s="212"/>
      <c r="J810" s="212"/>
      <c r="K810" s="212"/>
      <c r="L810" s="212"/>
      <c r="M810" s="212"/>
      <c r="N810" s="212"/>
      <c r="O810" s="212"/>
      <c r="P810" s="212"/>
      <c r="Q810" s="212"/>
      <c r="R810" s="451"/>
      <c r="S810" s="451"/>
      <c r="T810" s="212"/>
      <c r="U810" s="451"/>
      <c r="V810" s="451"/>
      <c r="W810" s="451"/>
      <c r="X810" s="451"/>
      <c r="Y810" s="212"/>
      <c r="Z810" s="212"/>
      <c r="AA810" s="212"/>
      <c r="AB810" s="212"/>
      <c r="AC810" s="212"/>
      <c r="AD810" s="212"/>
      <c r="AE810" s="450"/>
      <c r="AF810" s="212"/>
      <c r="AG810" s="212"/>
      <c r="AH810" s="212"/>
      <c r="AI810" s="212"/>
      <c r="AJ810" s="212"/>
      <c r="AK810" s="212"/>
      <c r="AL810" s="212"/>
      <c r="AM810" s="212"/>
      <c r="AN810" s="212"/>
      <c r="AO810" s="212"/>
      <c r="AP810" s="212"/>
      <c r="AQ810" s="212"/>
      <c r="AR810" s="212"/>
      <c r="AS810" s="212"/>
      <c r="AT810" s="212"/>
      <c r="AU810" s="212"/>
      <c r="AV810" s="212"/>
      <c r="AW810" s="212"/>
      <c r="AX810" s="212"/>
      <c r="AY810" s="212"/>
      <c r="AZ810" s="452"/>
      <c r="BA810" s="212"/>
      <c r="BB810" s="212"/>
      <c r="BC810" s="212"/>
      <c r="BD810" s="212"/>
      <c r="BE810" s="212"/>
      <c r="BF810" s="452"/>
    </row>
    <row r="811">
      <c r="A811" s="212"/>
      <c r="B811" s="447"/>
      <c r="C811" s="212"/>
      <c r="D811" s="212"/>
      <c r="E811" s="212"/>
      <c r="F811" s="212"/>
      <c r="G811" s="212"/>
      <c r="H811" s="212"/>
      <c r="I811" s="212"/>
      <c r="J811" s="212"/>
      <c r="K811" s="212"/>
      <c r="L811" s="212"/>
      <c r="M811" s="212"/>
      <c r="N811" s="212"/>
      <c r="O811" s="212"/>
      <c r="P811" s="212"/>
      <c r="Q811" s="212"/>
      <c r="R811" s="451"/>
      <c r="S811" s="451"/>
      <c r="T811" s="212"/>
      <c r="U811" s="451"/>
      <c r="V811" s="451"/>
      <c r="W811" s="451"/>
      <c r="X811" s="451"/>
      <c r="Y811" s="212"/>
      <c r="Z811" s="212"/>
      <c r="AA811" s="212"/>
      <c r="AB811" s="212"/>
      <c r="AC811" s="212"/>
      <c r="AD811" s="212"/>
      <c r="AE811" s="450"/>
      <c r="AF811" s="212"/>
      <c r="AG811" s="212"/>
      <c r="AH811" s="212"/>
      <c r="AI811" s="212"/>
      <c r="AJ811" s="212"/>
      <c r="AK811" s="212"/>
      <c r="AL811" s="212"/>
      <c r="AM811" s="212"/>
      <c r="AN811" s="212"/>
      <c r="AO811" s="212"/>
      <c r="AP811" s="212"/>
      <c r="AQ811" s="212"/>
      <c r="AR811" s="212"/>
      <c r="AS811" s="212"/>
      <c r="AT811" s="212"/>
      <c r="AU811" s="212"/>
      <c r="AV811" s="212"/>
      <c r="AW811" s="212"/>
      <c r="AX811" s="212"/>
      <c r="AY811" s="212"/>
      <c r="AZ811" s="452"/>
      <c r="BA811" s="212"/>
      <c r="BB811" s="212"/>
      <c r="BC811" s="212"/>
      <c r="BD811" s="212"/>
      <c r="BE811" s="212"/>
      <c r="BF811" s="452"/>
    </row>
    <row r="812">
      <c r="A812" s="212"/>
      <c r="B812" s="447"/>
      <c r="C812" s="212"/>
      <c r="D812" s="212"/>
      <c r="E812" s="212"/>
      <c r="F812" s="212"/>
      <c r="G812" s="212"/>
      <c r="H812" s="212"/>
      <c r="I812" s="212"/>
      <c r="J812" s="212"/>
      <c r="K812" s="212"/>
      <c r="L812" s="212"/>
      <c r="M812" s="212"/>
      <c r="N812" s="212"/>
      <c r="O812" s="212"/>
      <c r="P812" s="212"/>
      <c r="Q812" s="212"/>
      <c r="R812" s="451"/>
      <c r="S812" s="451"/>
      <c r="T812" s="212"/>
      <c r="U812" s="451"/>
      <c r="V812" s="451"/>
      <c r="W812" s="451"/>
      <c r="X812" s="451"/>
      <c r="Y812" s="212"/>
      <c r="Z812" s="212"/>
      <c r="AA812" s="212"/>
      <c r="AB812" s="212"/>
      <c r="AC812" s="212"/>
      <c r="AD812" s="212"/>
      <c r="AE812" s="450"/>
      <c r="AF812" s="212"/>
      <c r="AG812" s="212"/>
      <c r="AH812" s="212"/>
      <c r="AI812" s="212"/>
      <c r="AJ812" s="212"/>
      <c r="AK812" s="212"/>
      <c r="AL812" s="212"/>
      <c r="AM812" s="212"/>
      <c r="AN812" s="212"/>
      <c r="AO812" s="212"/>
      <c r="AP812" s="212"/>
      <c r="AQ812" s="212"/>
      <c r="AR812" s="212"/>
      <c r="AS812" s="212"/>
      <c r="AT812" s="212"/>
      <c r="AU812" s="212"/>
      <c r="AV812" s="212"/>
      <c r="AW812" s="212"/>
      <c r="AX812" s="212"/>
      <c r="AY812" s="212"/>
      <c r="AZ812" s="452"/>
      <c r="BA812" s="212"/>
      <c r="BB812" s="212"/>
      <c r="BC812" s="212"/>
      <c r="BD812" s="212"/>
      <c r="BE812" s="212"/>
      <c r="BF812" s="452"/>
    </row>
    <row r="813">
      <c r="A813" s="212"/>
      <c r="B813" s="447"/>
      <c r="C813" s="212"/>
      <c r="D813" s="212"/>
      <c r="E813" s="212"/>
      <c r="F813" s="212"/>
      <c r="G813" s="212"/>
      <c r="H813" s="212"/>
      <c r="I813" s="212"/>
      <c r="J813" s="212"/>
      <c r="K813" s="212"/>
      <c r="L813" s="212"/>
      <c r="M813" s="212"/>
      <c r="N813" s="212"/>
      <c r="O813" s="212"/>
      <c r="P813" s="212"/>
      <c r="Q813" s="212"/>
      <c r="R813" s="451"/>
      <c r="S813" s="451"/>
      <c r="T813" s="212"/>
      <c r="U813" s="451"/>
      <c r="V813" s="451"/>
      <c r="W813" s="451"/>
      <c r="X813" s="451"/>
      <c r="Y813" s="212"/>
      <c r="Z813" s="212"/>
      <c r="AA813" s="212"/>
      <c r="AB813" s="212"/>
      <c r="AC813" s="212"/>
      <c r="AD813" s="212"/>
      <c r="AE813" s="450"/>
      <c r="AF813" s="212"/>
      <c r="AG813" s="212"/>
      <c r="AH813" s="212"/>
      <c r="AI813" s="212"/>
      <c r="AJ813" s="212"/>
      <c r="AK813" s="212"/>
      <c r="AL813" s="212"/>
      <c r="AM813" s="212"/>
      <c r="AN813" s="212"/>
      <c r="AO813" s="212"/>
      <c r="AP813" s="212"/>
      <c r="AQ813" s="212"/>
      <c r="AR813" s="212"/>
      <c r="AS813" s="212"/>
      <c r="AT813" s="212"/>
      <c r="AU813" s="212"/>
      <c r="AV813" s="212"/>
      <c r="AW813" s="212"/>
      <c r="AX813" s="212"/>
      <c r="AY813" s="212"/>
      <c r="AZ813" s="452"/>
      <c r="BA813" s="212"/>
      <c r="BB813" s="212"/>
      <c r="BC813" s="212"/>
      <c r="BD813" s="212"/>
      <c r="BE813" s="212"/>
      <c r="BF813" s="452"/>
    </row>
    <row r="814">
      <c r="A814" s="212"/>
      <c r="B814" s="447"/>
      <c r="C814" s="212"/>
      <c r="D814" s="212"/>
      <c r="E814" s="212"/>
      <c r="F814" s="212"/>
      <c r="G814" s="212"/>
      <c r="H814" s="212"/>
      <c r="I814" s="212"/>
      <c r="J814" s="212"/>
      <c r="K814" s="212"/>
      <c r="L814" s="212"/>
      <c r="M814" s="212"/>
      <c r="N814" s="212"/>
      <c r="O814" s="212"/>
      <c r="P814" s="212"/>
      <c r="Q814" s="212"/>
      <c r="R814" s="451"/>
      <c r="S814" s="451"/>
      <c r="T814" s="212"/>
      <c r="U814" s="451"/>
      <c r="V814" s="451"/>
      <c r="W814" s="451"/>
      <c r="X814" s="451"/>
      <c r="Y814" s="212"/>
      <c r="Z814" s="212"/>
      <c r="AA814" s="212"/>
      <c r="AB814" s="212"/>
      <c r="AC814" s="212"/>
      <c r="AD814" s="212"/>
      <c r="AE814" s="450"/>
      <c r="AF814" s="212"/>
      <c r="AG814" s="212"/>
      <c r="AH814" s="212"/>
      <c r="AI814" s="212"/>
      <c r="AJ814" s="212"/>
      <c r="AK814" s="212"/>
      <c r="AL814" s="212"/>
      <c r="AM814" s="212"/>
      <c r="AN814" s="212"/>
      <c r="AO814" s="212"/>
      <c r="AP814" s="212"/>
      <c r="AQ814" s="212"/>
      <c r="AR814" s="212"/>
      <c r="AS814" s="212"/>
      <c r="AT814" s="212"/>
      <c r="AU814" s="212"/>
      <c r="AV814" s="212"/>
      <c r="AW814" s="212"/>
      <c r="AX814" s="212"/>
      <c r="AY814" s="212"/>
      <c r="AZ814" s="452"/>
      <c r="BA814" s="212"/>
      <c r="BB814" s="212"/>
      <c r="BC814" s="212"/>
      <c r="BD814" s="212"/>
      <c r="BE814" s="212"/>
      <c r="BF814" s="452"/>
    </row>
    <row r="815">
      <c r="A815" s="212"/>
      <c r="B815" s="447"/>
      <c r="C815" s="212"/>
      <c r="D815" s="212"/>
      <c r="E815" s="212"/>
      <c r="F815" s="212"/>
      <c r="G815" s="212"/>
      <c r="H815" s="212"/>
      <c r="I815" s="212"/>
      <c r="J815" s="212"/>
      <c r="K815" s="212"/>
      <c r="L815" s="212"/>
      <c r="M815" s="212"/>
      <c r="N815" s="212"/>
      <c r="O815" s="212"/>
      <c r="P815" s="212"/>
      <c r="Q815" s="212"/>
      <c r="R815" s="451"/>
      <c r="S815" s="451"/>
      <c r="T815" s="212"/>
      <c r="U815" s="451"/>
      <c r="V815" s="451"/>
      <c r="W815" s="451"/>
      <c r="X815" s="451"/>
      <c r="Y815" s="212"/>
      <c r="Z815" s="212"/>
      <c r="AA815" s="212"/>
      <c r="AB815" s="212"/>
      <c r="AC815" s="212"/>
      <c r="AD815" s="212"/>
      <c r="AE815" s="450"/>
      <c r="AF815" s="212"/>
      <c r="AG815" s="212"/>
      <c r="AH815" s="212"/>
      <c r="AI815" s="212"/>
      <c r="AJ815" s="212"/>
      <c r="AK815" s="212"/>
      <c r="AL815" s="212"/>
      <c r="AM815" s="212"/>
      <c r="AN815" s="212"/>
      <c r="AO815" s="212"/>
      <c r="AP815" s="212"/>
      <c r="AQ815" s="212"/>
      <c r="AR815" s="212"/>
      <c r="AS815" s="212"/>
      <c r="AT815" s="212"/>
      <c r="AU815" s="212"/>
      <c r="AV815" s="212"/>
      <c r="AW815" s="212"/>
      <c r="AX815" s="212"/>
      <c r="AY815" s="212"/>
      <c r="AZ815" s="452"/>
      <c r="BA815" s="212"/>
      <c r="BB815" s="212"/>
      <c r="BC815" s="212"/>
      <c r="BD815" s="212"/>
      <c r="BE815" s="212"/>
      <c r="BF815" s="452"/>
    </row>
    <row r="816">
      <c r="A816" s="212"/>
      <c r="B816" s="447"/>
      <c r="C816" s="212"/>
      <c r="D816" s="212"/>
      <c r="E816" s="212"/>
      <c r="F816" s="212"/>
      <c r="G816" s="212"/>
      <c r="H816" s="212"/>
      <c r="I816" s="212"/>
      <c r="J816" s="212"/>
      <c r="K816" s="212"/>
      <c r="L816" s="212"/>
      <c r="M816" s="212"/>
      <c r="N816" s="212"/>
      <c r="O816" s="212"/>
      <c r="P816" s="212"/>
      <c r="Q816" s="212"/>
      <c r="R816" s="451"/>
      <c r="S816" s="451"/>
      <c r="T816" s="212"/>
      <c r="U816" s="451"/>
      <c r="V816" s="451"/>
      <c r="W816" s="451"/>
      <c r="X816" s="451"/>
      <c r="Y816" s="212"/>
      <c r="Z816" s="212"/>
      <c r="AA816" s="212"/>
      <c r="AB816" s="212"/>
      <c r="AC816" s="212"/>
      <c r="AD816" s="212"/>
      <c r="AE816" s="450"/>
      <c r="AF816" s="212"/>
      <c r="AG816" s="212"/>
      <c r="AH816" s="212"/>
      <c r="AI816" s="212"/>
      <c r="AJ816" s="212"/>
      <c r="AK816" s="212"/>
      <c r="AL816" s="212"/>
      <c r="AM816" s="212"/>
      <c r="AN816" s="212"/>
      <c r="AO816" s="212"/>
      <c r="AP816" s="212"/>
      <c r="AQ816" s="212"/>
      <c r="AR816" s="212"/>
      <c r="AS816" s="212"/>
      <c r="AT816" s="212"/>
      <c r="AU816" s="212"/>
      <c r="AV816" s="212"/>
      <c r="AW816" s="212"/>
      <c r="AX816" s="212"/>
      <c r="AY816" s="212"/>
      <c r="AZ816" s="452"/>
      <c r="BA816" s="212"/>
      <c r="BB816" s="212"/>
      <c r="BC816" s="212"/>
      <c r="BD816" s="212"/>
      <c r="BE816" s="212"/>
      <c r="BF816" s="452"/>
    </row>
    <row r="817">
      <c r="A817" s="212"/>
      <c r="B817" s="447"/>
      <c r="C817" s="212"/>
      <c r="D817" s="212"/>
      <c r="E817" s="212"/>
      <c r="F817" s="212"/>
      <c r="G817" s="212"/>
      <c r="H817" s="212"/>
      <c r="I817" s="212"/>
      <c r="J817" s="212"/>
      <c r="K817" s="212"/>
      <c r="L817" s="212"/>
      <c r="M817" s="212"/>
      <c r="N817" s="212"/>
      <c r="O817" s="212"/>
      <c r="P817" s="212"/>
      <c r="Q817" s="212"/>
      <c r="R817" s="451"/>
      <c r="S817" s="451"/>
      <c r="T817" s="212"/>
      <c r="U817" s="451"/>
      <c r="V817" s="451"/>
      <c r="W817" s="451"/>
      <c r="X817" s="451"/>
      <c r="Y817" s="212"/>
      <c r="Z817" s="212"/>
      <c r="AA817" s="212"/>
      <c r="AB817" s="212"/>
      <c r="AC817" s="212"/>
      <c r="AD817" s="212"/>
      <c r="AE817" s="450"/>
      <c r="AF817" s="212"/>
      <c r="AG817" s="212"/>
      <c r="AH817" s="212"/>
      <c r="AI817" s="212"/>
      <c r="AJ817" s="212"/>
      <c r="AK817" s="212"/>
      <c r="AL817" s="212"/>
      <c r="AM817" s="212"/>
      <c r="AN817" s="212"/>
      <c r="AO817" s="212"/>
      <c r="AP817" s="212"/>
      <c r="AQ817" s="212"/>
      <c r="AR817" s="212"/>
      <c r="AS817" s="212"/>
      <c r="AT817" s="212"/>
      <c r="AU817" s="212"/>
      <c r="AV817" s="212"/>
      <c r="AW817" s="212"/>
      <c r="AX817" s="212"/>
      <c r="AY817" s="212"/>
      <c r="AZ817" s="452"/>
      <c r="BA817" s="212"/>
      <c r="BB817" s="212"/>
      <c r="BC817" s="212"/>
      <c r="BD817" s="212"/>
      <c r="BE817" s="212"/>
      <c r="BF817" s="452"/>
    </row>
    <row r="818">
      <c r="A818" s="212"/>
      <c r="B818" s="447"/>
      <c r="C818" s="212"/>
      <c r="D818" s="212"/>
      <c r="E818" s="212"/>
      <c r="F818" s="212"/>
      <c r="G818" s="212"/>
      <c r="H818" s="212"/>
      <c r="I818" s="212"/>
      <c r="J818" s="212"/>
      <c r="K818" s="212"/>
      <c r="L818" s="212"/>
      <c r="M818" s="212"/>
      <c r="N818" s="212"/>
      <c r="O818" s="212"/>
      <c r="P818" s="212"/>
      <c r="Q818" s="212"/>
      <c r="R818" s="451"/>
      <c r="S818" s="451"/>
      <c r="T818" s="212"/>
      <c r="U818" s="451"/>
      <c r="V818" s="451"/>
      <c r="W818" s="451"/>
      <c r="X818" s="451"/>
      <c r="Y818" s="212"/>
      <c r="Z818" s="212"/>
      <c r="AA818" s="212"/>
      <c r="AB818" s="212"/>
      <c r="AC818" s="212"/>
      <c r="AD818" s="212"/>
      <c r="AE818" s="450"/>
      <c r="AF818" s="212"/>
      <c r="AG818" s="212"/>
      <c r="AH818" s="212"/>
      <c r="AI818" s="212"/>
      <c r="AJ818" s="212"/>
      <c r="AK818" s="212"/>
      <c r="AL818" s="212"/>
      <c r="AM818" s="212"/>
      <c r="AN818" s="212"/>
      <c r="AO818" s="212"/>
      <c r="AP818" s="212"/>
      <c r="AQ818" s="212"/>
      <c r="AR818" s="212"/>
      <c r="AS818" s="212"/>
      <c r="AT818" s="212"/>
      <c r="AU818" s="212"/>
      <c r="AV818" s="212"/>
      <c r="AW818" s="212"/>
      <c r="AX818" s="212"/>
      <c r="AY818" s="212"/>
      <c r="AZ818" s="452"/>
      <c r="BA818" s="212"/>
      <c r="BB818" s="212"/>
      <c r="BC818" s="212"/>
      <c r="BD818" s="212"/>
      <c r="BE818" s="212"/>
      <c r="BF818" s="452"/>
    </row>
    <row r="819">
      <c r="A819" s="212"/>
      <c r="B819" s="447"/>
      <c r="C819" s="212"/>
      <c r="D819" s="212"/>
      <c r="E819" s="212"/>
      <c r="F819" s="212"/>
      <c r="G819" s="212"/>
      <c r="H819" s="212"/>
      <c r="I819" s="212"/>
      <c r="J819" s="212"/>
      <c r="K819" s="212"/>
      <c r="L819" s="212"/>
      <c r="M819" s="212"/>
      <c r="N819" s="212"/>
      <c r="O819" s="212"/>
      <c r="P819" s="212"/>
      <c r="Q819" s="212"/>
      <c r="R819" s="451"/>
      <c r="S819" s="451"/>
      <c r="T819" s="212"/>
      <c r="U819" s="451"/>
      <c r="V819" s="451"/>
      <c r="W819" s="451"/>
      <c r="X819" s="451"/>
      <c r="Y819" s="212"/>
      <c r="Z819" s="212"/>
      <c r="AA819" s="212"/>
      <c r="AB819" s="212"/>
      <c r="AC819" s="212"/>
      <c r="AD819" s="212"/>
      <c r="AE819" s="450"/>
      <c r="AF819" s="212"/>
      <c r="AG819" s="212"/>
      <c r="AH819" s="212"/>
      <c r="AI819" s="212"/>
      <c r="AJ819" s="212"/>
      <c r="AK819" s="212"/>
      <c r="AL819" s="212"/>
      <c r="AM819" s="212"/>
      <c r="AN819" s="212"/>
      <c r="AO819" s="212"/>
      <c r="AP819" s="212"/>
      <c r="AQ819" s="212"/>
      <c r="AR819" s="212"/>
      <c r="AS819" s="212"/>
      <c r="AT819" s="212"/>
      <c r="AU819" s="212"/>
      <c r="AV819" s="212"/>
      <c r="AW819" s="212"/>
      <c r="AX819" s="212"/>
      <c r="AY819" s="212"/>
      <c r="AZ819" s="452"/>
      <c r="BA819" s="212"/>
      <c r="BB819" s="212"/>
      <c r="BC819" s="212"/>
      <c r="BD819" s="212"/>
      <c r="BE819" s="212"/>
      <c r="BF819" s="452"/>
    </row>
    <row r="820">
      <c r="A820" s="212"/>
      <c r="B820" s="447"/>
      <c r="C820" s="212"/>
      <c r="D820" s="212"/>
      <c r="E820" s="212"/>
      <c r="F820" s="212"/>
      <c r="G820" s="212"/>
      <c r="H820" s="212"/>
      <c r="I820" s="212"/>
      <c r="J820" s="212"/>
      <c r="K820" s="212"/>
      <c r="L820" s="212"/>
      <c r="M820" s="212"/>
      <c r="N820" s="212"/>
      <c r="O820" s="212"/>
      <c r="P820" s="212"/>
      <c r="Q820" s="212"/>
      <c r="R820" s="451"/>
      <c r="S820" s="451"/>
      <c r="T820" s="212"/>
      <c r="U820" s="451"/>
      <c r="V820" s="451"/>
      <c r="W820" s="451"/>
      <c r="X820" s="451"/>
      <c r="Y820" s="212"/>
      <c r="Z820" s="212"/>
      <c r="AA820" s="212"/>
      <c r="AB820" s="212"/>
      <c r="AC820" s="212"/>
      <c r="AD820" s="212"/>
      <c r="AE820" s="450"/>
      <c r="AF820" s="212"/>
      <c r="AG820" s="212"/>
      <c r="AH820" s="212"/>
      <c r="AI820" s="212"/>
      <c r="AJ820" s="212"/>
      <c r="AK820" s="212"/>
      <c r="AL820" s="212"/>
      <c r="AM820" s="212"/>
      <c r="AN820" s="212"/>
      <c r="AO820" s="212"/>
      <c r="AP820" s="212"/>
      <c r="AQ820" s="212"/>
      <c r="AR820" s="212"/>
      <c r="AS820" s="212"/>
      <c r="AT820" s="212"/>
      <c r="AU820" s="212"/>
      <c r="AV820" s="212"/>
      <c r="AW820" s="212"/>
      <c r="AX820" s="212"/>
      <c r="AY820" s="212"/>
      <c r="AZ820" s="452"/>
      <c r="BA820" s="212"/>
      <c r="BB820" s="212"/>
      <c r="BC820" s="212"/>
      <c r="BD820" s="212"/>
      <c r="BE820" s="212"/>
      <c r="BF820" s="452"/>
    </row>
    <row r="821">
      <c r="A821" s="212"/>
      <c r="B821" s="447"/>
      <c r="C821" s="212"/>
      <c r="D821" s="212"/>
      <c r="E821" s="212"/>
      <c r="F821" s="212"/>
      <c r="G821" s="212"/>
      <c r="H821" s="212"/>
      <c r="I821" s="212"/>
      <c r="J821" s="212"/>
      <c r="K821" s="212"/>
      <c r="L821" s="212"/>
      <c r="M821" s="212"/>
      <c r="N821" s="212"/>
      <c r="O821" s="212"/>
      <c r="P821" s="212"/>
      <c r="Q821" s="212"/>
      <c r="R821" s="451"/>
      <c r="S821" s="451"/>
      <c r="T821" s="212"/>
      <c r="U821" s="451"/>
      <c r="V821" s="451"/>
      <c r="W821" s="451"/>
      <c r="X821" s="451"/>
      <c r="Y821" s="212"/>
      <c r="Z821" s="212"/>
      <c r="AA821" s="212"/>
      <c r="AB821" s="212"/>
      <c r="AC821" s="212"/>
      <c r="AD821" s="212"/>
      <c r="AE821" s="450"/>
      <c r="AF821" s="212"/>
      <c r="AG821" s="212"/>
      <c r="AH821" s="212"/>
      <c r="AI821" s="212"/>
      <c r="AJ821" s="212"/>
      <c r="AK821" s="212"/>
      <c r="AL821" s="212"/>
      <c r="AM821" s="212"/>
      <c r="AN821" s="212"/>
      <c r="AO821" s="212"/>
      <c r="AP821" s="212"/>
      <c r="AQ821" s="212"/>
      <c r="AR821" s="212"/>
      <c r="AS821" s="212"/>
      <c r="AT821" s="212"/>
      <c r="AU821" s="212"/>
      <c r="AV821" s="212"/>
      <c r="AW821" s="212"/>
      <c r="AX821" s="212"/>
      <c r="AY821" s="212"/>
      <c r="AZ821" s="452"/>
      <c r="BA821" s="212"/>
      <c r="BB821" s="212"/>
      <c r="BC821" s="212"/>
      <c r="BD821" s="212"/>
      <c r="BE821" s="212"/>
      <c r="BF821" s="452"/>
    </row>
    <row r="822">
      <c r="A822" s="212"/>
      <c r="B822" s="447"/>
      <c r="C822" s="212"/>
      <c r="D822" s="212"/>
      <c r="E822" s="212"/>
      <c r="F822" s="212"/>
      <c r="G822" s="212"/>
      <c r="H822" s="212"/>
      <c r="I822" s="212"/>
      <c r="J822" s="212"/>
      <c r="K822" s="212"/>
      <c r="L822" s="212"/>
      <c r="M822" s="212"/>
      <c r="N822" s="212"/>
      <c r="O822" s="212"/>
      <c r="P822" s="212"/>
      <c r="Q822" s="212"/>
      <c r="R822" s="451"/>
      <c r="S822" s="451"/>
      <c r="T822" s="212"/>
      <c r="U822" s="451"/>
      <c r="V822" s="451"/>
      <c r="W822" s="451"/>
      <c r="X822" s="451"/>
      <c r="Y822" s="212"/>
      <c r="Z822" s="212"/>
      <c r="AA822" s="212"/>
      <c r="AB822" s="212"/>
      <c r="AC822" s="212"/>
      <c r="AD822" s="212"/>
      <c r="AE822" s="450"/>
      <c r="AF822" s="212"/>
      <c r="AG822" s="212"/>
      <c r="AH822" s="212"/>
      <c r="AI822" s="212"/>
      <c r="AJ822" s="212"/>
      <c r="AK822" s="212"/>
      <c r="AL822" s="212"/>
      <c r="AM822" s="212"/>
      <c r="AN822" s="212"/>
      <c r="AO822" s="212"/>
      <c r="AP822" s="212"/>
      <c r="AQ822" s="212"/>
      <c r="AR822" s="212"/>
      <c r="AS822" s="212"/>
      <c r="AT822" s="212"/>
      <c r="AU822" s="212"/>
      <c r="AV822" s="212"/>
      <c r="AW822" s="212"/>
      <c r="AX822" s="212"/>
      <c r="AY822" s="212"/>
      <c r="AZ822" s="452"/>
      <c r="BA822" s="212"/>
      <c r="BB822" s="212"/>
      <c r="BC822" s="212"/>
      <c r="BD822" s="212"/>
      <c r="BE822" s="212"/>
      <c r="BF822" s="452"/>
    </row>
    <row r="823">
      <c r="A823" s="212"/>
      <c r="B823" s="447"/>
      <c r="C823" s="212"/>
      <c r="D823" s="212"/>
      <c r="E823" s="212"/>
      <c r="F823" s="212"/>
      <c r="G823" s="212"/>
      <c r="H823" s="212"/>
      <c r="I823" s="212"/>
      <c r="J823" s="212"/>
      <c r="K823" s="212"/>
      <c r="L823" s="212"/>
      <c r="M823" s="212"/>
      <c r="N823" s="212"/>
      <c r="O823" s="212"/>
      <c r="P823" s="212"/>
      <c r="Q823" s="212"/>
      <c r="R823" s="451"/>
      <c r="S823" s="451"/>
      <c r="T823" s="212"/>
      <c r="U823" s="451"/>
      <c r="V823" s="451"/>
      <c r="W823" s="451"/>
      <c r="X823" s="451"/>
      <c r="Y823" s="212"/>
      <c r="Z823" s="212"/>
      <c r="AA823" s="212"/>
      <c r="AB823" s="212"/>
      <c r="AC823" s="212"/>
      <c r="AD823" s="212"/>
      <c r="AE823" s="450"/>
      <c r="AF823" s="212"/>
      <c r="AG823" s="212"/>
      <c r="AH823" s="212"/>
      <c r="AI823" s="212"/>
      <c r="AJ823" s="212"/>
      <c r="AK823" s="212"/>
      <c r="AL823" s="212"/>
      <c r="AM823" s="212"/>
      <c r="AN823" s="212"/>
      <c r="AO823" s="212"/>
      <c r="AP823" s="212"/>
      <c r="AQ823" s="212"/>
      <c r="AR823" s="212"/>
      <c r="AS823" s="212"/>
      <c r="AT823" s="212"/>
      <c r="AU823" s="212"/>
      <c r="AV823" s="212"/>
      <c r="AW823" s="212"/>
      <c r="AX823" s="212"/>
      <c r="AY823" s="212"/>
      <c r="AZ823" s="452"/>
      <c r="BA823" s="212"/>
      <c r="BB823" s="212"/>
      <c r="BC823" s="212"/>
      <c r="BD823" s="212"/>
      <c r="BE823" s="212"/>
      <c r="BF823" s="452"/>
    </row>
    <row r="824">
      <c r="A824" s="212"/>
      <c r="B824" s="447"/>
      <c r="C824" s="212"/>
      <c r="D824" s="212"/>
      <c r="E824" s="212"/>
      <c r="F824" s="212"/>
      <c r="G824" s="212"/>
      <c r="H824" s="212"/>
      <c r="I824" s="212"/>
      <c r="J824" s="212"/>
      <c r="K824" s="212"/>
      <c r="L824" s="212"/>
      <c r="M824" s="212"/>
      <c r="N824" s="212"/>
      <c r="O824" s="212"/>
      <c r="P824" s="212"/>
      <c r="Q824" s="212"/>
      <c r="R824" s="451"/>
      <c r="S824" s="451"/>
      <c r="T824" s="212"/>
      <c r="U824" s="451"/>
      <c r="V824" s="451"/>
      <c r="W824" s="451"/>
      <c r="X824" s="451"/>
      <c r="Y824" s="212"/>
      <c r="Z824" s="212"/>
      <c r="AA824" s="212"/>
      <c r="AB824" s="212"/>
      <c r="AC824" s="212"/>
      <c r="AD824" s="212"/>
      <c r="AE824" s="450"/>
      <c r="AF824" s="212"/>
      <c r="AG824" s="212"/>
      <c r="AH824" s="212"/>
      <c r="AI824" s="212"/>
      <c r="AJ824" s="212"/>
      <c r="AK824" s="212"/>
      <c r="AL824" s="212"/>
      <c r="AM824" s="212"/>
      <c r="AN824" s="212"/>
      <c r="AO824" s="212"/>
      <c r="AP824" s="212"/>
      <c r="AQ824" s="212"/>
      <c r="AR824" s="212"/>
      <c r="AS824" s="212"/>
      <c r="AT824" s="212"/>
      <c r="AU824" s="212"/>
      <c r="AV824" s="212"/>
      <c r="AW824" s="212"/>
      <c r="AX824" s="212"/>
      <c r="AY824" s="212"/>
      <c r="AZ824" s="452"/>
      <c r="BA824" s="212"/>
      <c r="BB824" s="212"/>
      <c r="BC824" s="212"/>
      <c r="BD824" s="212"/>
      <c r="BE824" s="212"/>
      <c r="BF824" s="452"/>
    </row>
    <row r="825">
      <c r="A825" s="212"/>
      <c r="B825" s="447"/>
      <c r="C825" s="212"/>
      <c r="D825" s="212"/>
      <c r="E825" s="212"/>
      <c r="F825" s="212"/>
      <c r="G825" s="212"/>
      <c r="H825" s="212"/>
      <c r="I825" s="212"/>
      <c r="J825" s="212"/>
      <c r="K825" s="212"/>
      <c r="L825" s="212"/>
      <c r="M825" s="212"/>
      <c r="N825" s="212"/>
      <c r="O825" s="212"/>
      <c r="P825" s="212"/>
      <c r="Q825" s="212"/>
      <c r="R825" s="451"/>
      <c r="S825" s="451"/>
      <c r="T825" s="212"/>
      <c r="U825" s="451"/>
      <c r="V825" s="451"/>
      <c r="W825" s="451"/>
      <c r="X825" s="451"/>
      <c r="Y825" s="212"/>
      <c r="Z825" s="212"/>
      <c r="AA825" s="212"/>
      <c r="AB825" s="212"/>
      <c r="AC825" s="212"/>
      <c r="AD825" s="212"/>
      <c r="AE825" s="450"/>
      <c r="AF825" s="212"/>
      <c r="AG825" s="212"/>
      <c r="AH825" s="212"/>
      <c r="AI825" s="212"/>
      <c r="AJ825" s="212"/>
      <c r="AK825" s="212"/>
      <c r="AL825" s="212"/>
      <c r="AM825" s="212"/>
      <c r="AN825" s="212"/>
      <c r="AO825" s="212"/>
      <c r="AP825" s="212"/>
      <c r="AQ825" s="212"/>
      <c r="AR825" s="212"/>
      <c r="AS825" s="212"/>
      <c r="AT825" s="212"/>
      <c r="AU825" s="212"/>
      <c r="AV825" s="212"/>
      <c r="AW825" s="212"/>
      <c r="AX825" s="212"/>
      <c r="AY825" s="212"/>
      <c r="AZ825" s="452"/>
      <c r="BA825" s="212"/>
      <c r="BB825" s="212"/>
      <c r="BC825" s="212"/>
      <c r="BD825" s="212"/>
      <c r="BE825" s="212"/>
      <c r="BF825" s="452"/>
    </row>
    <row r="826">
      <c r="A826" s="212"/>
      <c r="B826" s="447"/>
      <c r="C826" s="212"/>
      <c r="D826" s="212"/>
      <c r="E826" s="212"/>
      <c r="F826" s="212"/>
      <c r="G826" s="212"/>
      <c r="H826" s="212"/>
      <c r="I826" s="212"/>
      <c r="J826" s="212"/>
      <c r="K826" s="212"/>
      <c r="L826" s="212"/>
      <c r="M826" s="212"/>
      <c r="N826" s="212"/>
      <c r="O826" s="212"/>
      <c r="P826" s="212"/>
      <c r="Q826" s="212"/>
      <c r="R826" s="451"/>
      <c r="S826" s="451"/>
      <c r="T826" s="212"/>
      <c r="U826" s="451"/>
      <c r="V826" s="451"/>
      <c r="W826" s="451"/>
      <c r="X826" s="451"/>
      <c r="Y826" s="212"/>
      <c r="Z826" s="212"/>
      <c r="AA826" s="212"/>
      <c r="AB826" s="212"/>
      <c r="AC826" s="212"/>
      <c r="AD826" s="212"/>
      <c r="AE826" s="450"/>
      <c r="AF826" s="212"/>
      <c r="AG826" s="212"/>
      <c r="AH826" s="212"/>
      <c r="AI826" s="212"/>
      <c r="AJ826" s="212"/>
      <c r="AK826" s="212"/>
      <c r="AL826" s="212"/>
      <c r="AM826" s="212"/>
      <c r="AN826" s="212"/>
      <c r="AO826" s="212"/>
      <c r="AP826" s="212"/>
      <c r="AQ826" s="212"/>
      <c r="AR826" s="212"/>
      <c r="AS826" s="212"/>
      <c r="AT826" s="212"/>
      <c r="AU826" s="212"/>
      <c r="AV826" s="212"/>
      <c r="AW826" s="212"/>
      <c r="AX826" s="212"/>
      <c r="AY826" s="212"/>
      <c r="AZ826" s="452"/>
      <c r="BA826" s="212"/>
      <c r="BB826" s="212"/>
      <c r="BC826" s="212"/>
      <c r="BD826" s="212"/>
      <c r="BE826" s="212"/>
      <c r="BF826" s="452"/>
    </row>
    <row r="827">
      <c r="A827" s="212"/>
      <c r="B827" s="447"/>
      <c r="C827" s="212"/>
      <c r="D827" s="212"/>
      <c r="E827" s="212"/>
      <c r="F827" s="212"/>
      <c r="G827" s="212"/>
      <c r="H827" s="212"/>
      <c r="I827" s="212"/>
      <c r="J827" s="212"/>
      <c r="K827" s="212"/>
      <c r="L827" s="212"/>
      <c r="M827" s="212"/>
      <c r="N827" s="212"/>
      <c r="O827" s="212"/>
      <c r="P827" s="212"/>
      <c r="Q827" s="212"/>
      <c r="R827" s="451"/>
      <c r="S827" s="451"/>
      <c r="T827" s="212"/>
      <c r="U827" s="451"/>
      <c r="V827" s="451"/>
      <c r="W827" s="451"/>
      <c r="X827" s="451"/>
      <c r="Y827" s="212"/>
      <c r="Z827" s="212"/>
      <c r="AA827" s="212"/>
      <c r="AB827" s="212"/>
      <c r="AC827" s="212"/>
      <c r="AD827" s="212"/>
      <c r="AE827" s="450"/>
      <c r="AF827" s="212"/>
      <c r="AG827" s="212"/>
      <c r="AH827" s="212"/>
      <c r="AI827" s="212"/>
      <c r="AJ827" s="212"/>
      <c r="AK827" s="212"/>
      <c r="AL827" s="212"/>
      <c r="AM827" s="212"/>
      <c r="AN827" s="212"/>
      <c r="AO827" s="212"/>
      <c r="AP827" s="212"/>
      <c r="AQ827" s="212"/>
      <c r="AR827" s="212"/>
      <c r="AS827" s="212"/>
      <c r="AT827" s="212"/>
      <c r="AU827" s="212"/>
      <c r="AV827" s="212"/>
      <c r="AW827" s="212"/>
      <c r="AX827" s="212"/>
      <c r="AY827" s="212"/>
      <c r="AZ827" s="452"/>
      <c r="BA827" s="212"/>
      <c r="BB827" s="212"/>
      <c r="BC827" s="212"/>
      <c r="BD827" s="212"/>
      <c r="BE827" s="212"/>
      <c r="BF827" s="452"/>
    </row>
    <row r="828">
      <c r="A828" s="212"/>
      <c r="B828" s="447"/>
      <c r="C828" s="212"/>
      <c r="D828" s="212"/>
      <c r="E828" s="212"/>
      <c r="F828" s="212"/>
      <c r="G828" s="212"/>
      <c r="H828" s="212"/>
      <c r="I828" s="212"/>
      <c r="J828" s="212"/>
      <c r="K828" s="212"/>
      <c r="L828" s="212"/>
      <c r="M828" s="212"/>
      <c r="N828" s="212"/>
      <c r="O828" s="212"/>
      <c r="P828" s="212"/>
      <c r="Q828" s="212"/>
      <c r="R828" s="451"/>
      <c r="S828" s="451"/>
      <c r="T828" s="212"/>
      <c r="U828" s="451"/>
      <c r="V828" s="451"/>
      <c r="W828" s="451"/>
      <c r="X828" s="451"/>
      <c r="Y828" s="212"/>
      <c r="Z828" s="212"/>
      <c r="AA828" s="212"/>
      <c r="AB828" s="212"/>
      <c r="AC828" s="212"/>
      <c r="AD828" s="212"/>
      <c r="AE828" s="450"/>
      <c r="AF828" s="212"/>
      <c r="AG828" s="212"/>
      <c r="AH828" s="212"/>
      <c r="AI828" s="212"/>
      <c r="AJ828" s="212"/>
      <c r="AK828" s="212"/>
      <c r="AL828" s="212"/>
      <c r="AM828" s="212"/>
      <c r="AN828" s="212"/>
      <c r="AO828" s="212"/>
      <c r="AP828" s="212"/>
      <c r="AQ828" s="212"/>
      <c r="AR828" s="212"/>
      <c r="AS828" s="212"/>
      <c r="AT828" s="212"/>
      <c r="AU828" s="212"/>
      <c r="AV828" s="212"/>
      <c r="AW828" s="212"/>
      <c r="AX828" s="212"/>
      <c r="AY828" s="212"/>
      <c r="AZ828" s="452"/>
      <c r="BA828" s="212"/>
      <c r="BB828" s="212"/>
      <c r="BC828" s="212"/>
      <c r="BD828" s="212"/>
      <c r="BE828" s="212"/>
      <c r="BF828" s="452"/>
    </row>
    <row r="829">
      <c r="A829" s="212"/>
      <c r="B829" s="447"/>
      <c r="C829" s="212"/>
      <c r="D829" s="212"/>
      <c r="E829" s="212"/>
      <c r="F829" s="212"/>
      <c r="G829" s="212"/>
      <c r="H829" s="212"/>
      <c r="I829" s="212"/>
      <c r="J829" s="212"/>
      <c r="K829" s="212"/>
      <c r="L829" s="212"/>
      <c r="M829" s="212"/>
      <c r="N829" s="212"/>
      <c r="O829" s="212"/>
      <c r="P829" s="212"/>
      <c r="Q829" s="212"/>
      <c r="R829" s="451"/>
      <c r="S829" s="451"/>
      <c r="T829" s="212"/>
      <c r="U829" s="451"/>
      <c r="V829" s="451"/>
      <c r="W829" s="451"/>
      <c r="X829" s="451"/>
      <c r="Y829" s="212"/>
      <c r="Z829" s="212"/>
      <c r="AA829" s="212"/>
      <c r="AB829" s="212"/>
      <c r="AC829" s="212"/>
      <c r="AD829" s="212"/>
      <c r="AE829" s="450"/>
      <c r="AF829" s="212"/>
      <c r="AG829" s="212"/>
      <c r="AH829" s="212"/>
      <c r="AI829" s="212"/>
      <c r="AJ829" s="212"/>
      <c r="AK829" s="212"/>
      <c r="AL829" s="212"/>
      <c r="AM829" s="212"/>
      <c r="AN829" s="212"/>
      <c r="AO829" s="212"/>
      <c r="AP829" s="212"/>
      <c r="AQ829" s="212"/>
      <c r="AR829" s="212"/>
      <c r="AS829" s="212"/>
      <c r="AT829" s="212"/>
      <c r="AU829" s="212"/>
      <c r="AV829" s="212"/>
      <c r="AW829" s="212"/>
      <c r="AX829" s="212"/>
      <c r="AY829" s="212"/>
      <c r="AZ829" s="452"/>
      <c r="BA829" s="212"/>
      <c r="BB829" s="212"/>
      <c r="BC829" s="212"/>
      <c r="BD829" s="212"/>
      <c r="BE829" s="212"/>
      <c r="BF829" s="452"/>
    </row>
    <row r="830">
      <c r="A830" s="212"/>
      <c r="B830" s="447"/>
      <c r="C830" s="212"/>
      <c r="D830" s="212"/>
      <c r="E830" s="212"/>
      <c r="F830" s="212"/>
      <c r="G830" s="212"/>
      <c r="H830" s="212"/>
      <c r="I830" s="212"/>
      <c r="J830" s="212"/>
      <c r="K830" s="212"/>
      <c r="L830" s="212"/>
      <c r="M830" s="212"/>
      <c r="N830" s="212"/>
      <c r="O830" s="212"/>
      <c r="P830" s="212"/>
      <c r="Q830" s="212"/>
      <c r="R830" s="451"/>
      <c r="S830" s="451"/>
      <c r="T830" s="212"/>
      <c r="U830" s="451"/>
      <c r="V830" s="451"/>
      <c r="W830" s="451"/>
      <c r="X830" s="451"/>
      <c r="Y830" s="212"/>
      <c r="Z830" s="212"/>
      <c r="AA830" s="212"/>
      <c r="AB830" s="212"/>
      <c r="AC830" s="212"/>
      <c r="AD830" s="212"/>
      <c r="AE830" s="450"/>
      <c r="AF830" s="212"/>
      <c r="AG830" s="212"/>
      <c r="AH830" s="212"/>
      <c r="AI830" s="212"/>
      <c r="AJ830" s="212"/>
      <c r="AK830" s="212"/>
      <c r="AL830" s="212"/>
      <c r="AM830" s="212"/>
      <c r="AN830" s="212"/>
      <c r="AO830" s="212"/>
      <c r="AP830" s="212"/>
      <c r="AQ830" s="212"/>
      <c r="AR830" s="212"/>
      <c r="AS830" s="212"/>
      <c r="AT830" s="212"/>
      <c r="AU830" s="212"/>
      <c r="AV830" s="212"/>
      <c r="AW830" s="212"/>
      <c r="AX830" s="212"/>
      <c r="AY830" s="212"/>
      <c r="AZ830" s="452"/>
      <c r="BA830" s="212"/>
      <c r="BB830" s="212"/>
      <c r="BC830" s="212"/>
      <c r="BD830" s="212"/>
      <c r="BE830" s="212"/>
      <c r="BF830" s="452"/>
    </row>
    <row r="831">
      <c r="A831" s="212"/>
      <c r="B831" s="447"/>
      <c r="C831" s="212"/>
      <c r="D831" s="212"/>
      <c r="E831" s="212"/>
      <c r="F831" s="212"/>
      <c r="G831" s="212"/>
      <c r="H831" s="212"/>
      <c r="I831" s="212"/>
      <c r="J831" s="212"/>
      <c r="K831" s="212"/>
      <c r="L831" s="212"/>
      <c r="M831" s="212"/>
      <c r="N831" s="212"/>
      <c r="O831" s="212"/>
      <c r="P831" s="212"/>
      <c r="Q831" s="212"/>
      <c r="R831" s="451"/>
      <c r="S831" s="451"/>
      <c r="T831" s="212"/>
      <c r="U831" s="451"/>
      <c r="V831" s="451"/>
      <c r="W831" s="451"/>
      <c r="X831" s="451"/>
      <c r="Y831" s="212"/>
      <c r="Z831" s="212"/>
      <c r="AA831" s="212"/>
      <c r="AB831" s="212"/>
      <c r="AC831" s="212"/>
      <c r="AD831" s="212"/>
      <c r="AE831" s="450"/>
      <c r="AF831" s="212"/>
      <c r="AG831" s="212"/>
      <c r="AH831" s="212"/>
      <c r="AI831" s="212"/>
      <c r="AJ831" s="212"/>
      <c r="AK831" s="212"/>
      <c r="AL831" s="212"/>
      <c r="AM831" s="212"/>
      <c r="AN831" s="212"/>
      <c r="AO831" s="212"/>
      <c r="AP831" s="212"/>
      <c r="AQ831" s="212"/>
      <c r="AR831" s="212"/>
      <c r="AS831" s="212"/>
      <c r="AT831" s="212"/>
      <c r="AU831" s="212"/>
      <c r="AV831" s="212"/>
      <c r="AW831" s="212"/>
      <c r="AX831" s="212"/>
      <c r="AY831" s="212"/>
      <c r="AZ831" s="452"/>
      <c r="BA831" s="212"/>
      <c r="BB831" s="212"/>
      <c r="BC831" s="212"/>
      <c r="BD831" s="212"/>
      <c r="BE831" s="212"/>
      <c r="BF831" s="452"/>
    </row>
    <row r="832">
      <c r="A832" s="212"/>
      <c r="B832" s="447"/>
      <c r="C832" s="212"/>
      <c r="D832" s="212"/>
      <c r="E832" s="212"/>
      <c r="F832" s="212"/>
      <c r="G832" s="212"/>
      <c r="H832" s="212"/>
      <c r="I832" s="212"/>
      <c r="J832" s="212"/>
      <c r="K832" s="212"/>
      <c r="L832" s="212"/>
      <c r="M832" s="212"/>
      <c r="N832" s="212"/>
      <c r="O832" s="212"/>
      <c r="P832" s="212"/>
      <c r="Q832" s="212"/>
      <c r="R832" s="451"/>
      <c r="S832" s="451"/>
      <c r="T832" s="212"/>
      <c r="U832" s="451"/>
      <c r="V832" s="451"/>
      <c r="W832" s="451"/>
      <c r="X832" s="451"/>
      <c r="Y832" s="212"/>
      <c r="Z832" s="212"/>
      <c r="AA832" s="212"/>
      <c r="AB832" s="212"/>
      <c r="AC832" s="212"/>
      <c r="AD832" s="212"/>
      <c r="AE832" s="450"/>
      <c r="AF832" s="212"/>
      <c r="AG832" s="212"/>
      <c r="AH832" s="212"/>
      <c r="AI832" s="212"/>
      <c r="AJ832" s="212"/>
      <c r="AK832" s="212"/>
      <c r="AL832" s="212"/>
      <c r="AM832" s="212"/>
      <c r="AN832" s="212"/>
      <c r="AO832" s="212"/>
      <c r="AP832" s="212"/>
      <c r="AQ832" s="212"/>
      <c r="AR832" s="212"/>
      <c r="AS832" s="212"/>
      <c r="AT832" s="212"/>
      <c r="AU832" s="212"/>
      <c r="AV832" s="212"/>
      <c r="AW832" s="212"/>
      <c r="AX832" s="212"/>
      <c r="AY832" s="212"/>
      <c r="AZ832" s="452"/>
      <c r="BA832" s="212"/>
      <c r="BB832" s="212"/>
      <c r="BC832" s="212"/>
      <c r="BD832" s="212"/>
      <c r="BE832" s="212"/>
      <c r="BF832" s="452"/>
    </row>
    <row r="833">
      <c r="A833" s="212"/>
      <c r="B833" s="447"/>
      <c r="C833" s="212"/>
      <c r="D833" s="212"/>
      <c r="E833" s="212"/>
      <c r="F833" s="212"/>
      <c r="G833" s="212"/>
      <c r="H833" s="212"/>
      <c r="I833" s="212"/>
      <c r="J833" s="212"/>
      <c r="K833" s="212"/>
      <c r="L833" s="212"/>
      <c r="M833" s="212"/>
      <c r="N833" s="212"/>
      <c r="O833" s="212"/>
      <c r="P833" s="212"/>
      <c r="Q833" s="212"/>
      <c r="R833" s="451"/>
      <c r="S833" s="451"/>
      <c r="T833" s="212"/>
      <c r="U833" s="451"/>
      <c r="V833" s="451"/>
      <c r="W833" s="451"/>
      <c r="X833" s="451"/>
      <c r="Y833" s="212"/>
      <c r="Z833" s="212"/>
      <c r="AA833" s="212"/>
      <c r="AB833" s="212"/>
      <c r="AC833" s="212"/>
      <c r="AD833" s="212"/>
      <c r="AE833" s="450"/>
      <c r="AF833" s="212"/>
      <c r="AG833" s="212"/>
      <c r="AH833" s="212"/>
      <c r="AI833" s="212"/>
      <c r="AJ833" s="212"/>
      <c r="AK833" s="212"/>
      <c r="AL833" s="212"/>
      <c r="AM833" s="212"/>
      <c r="AN833" s="212"/>
      <c r="AO833" s="212"/>
      <c r="AP833" s="212"/>
      <c r="AQ833" s="212"/>
      <c r="AR833" s="212"/>
      <c r="AS833" s="212"/>
      <c r="AT833" s="212"/>
      <c r="AU833" s="212"/>
      <c r="AV833" s="212"/>
      <c r="AW833" s="212"/>
      <c r="AX833" s="212"/>
      <c r="AY833" s="212"/>
      <c r="AZ833" s="452"/>
      <c r="BA833" s="212"/>
      <c r="BB833" s="212"/>
      <c r="BC833" s="212"/>
      <c r="BD833" s="212"/>
      <c r="BE833" s="212"/>
      <c r="BF833" s="452"/>
    </row>
    <row r="834">
      <c r="A834" s="212"/>
      <c r="B834" s="447"/>
      <c r="C834" s="212"/>
      <c r="D834" s="212"/>
      <c r="E834" s="212"/>
      <c r="F834" s="212"/>
      <c r="G834" s="212"/>
      <c r="H834" s="212"/>
      <c r="I834" s="212"/>
      <c r="J834" s="212"/>
      <c r="K834" s="212"/>
      <c r="L834" s="212"/>
      <c r="M834" s="212"/>
      <c r="N834" s="212"/>
      <c r="O834" s="212"/>
      <c r="P834" s="212"/>
      <c r="Q834" s="212"/>
      <c r="R834" s="451"/>
      <c r="S834" s="451"/>
      <c r="T834" s="212"/>
      <c r="U834" s="451"/>
      <c r="V834" s="451"/>
      <c r="W834" s="451"/>
      <c r="X834" s="451"/>
      <c r="Y834" s="212"/>
      <c r="Z834" s="212"/>
      <c r="AA834" s="212"/>
      <c r="AB834" s="212"/>
      <c r="AC834" s="212"/>
      <c r="AD834" s="212"/>
      <c r="AE834" s="450"/>
      <c r="AF834" s="212"/>
      <c r="AG834" s="212"/>
      <c r="AH834" s="212"/>
      <c r="AI834" s="212"/>
      <c r="AJ834" s="212"/>
      <c r="AK834" s="212"/>
      <c r="AL834" s="212"/>
      <c r="AM834" s="212"/>
      <c r="AN834" s="212"/>
      <c r="AO834" s="212"/>
      <c r="AP834" s="212"/>
      <c r="AQ834" s="212"/>
      <c r="AR834" s="212"/>
      <c r="AS834" s="212"/>
      <c r="AT834" s="212"/>
      <c r="AU834" s="212"/>
      <c r="AV834" s="212"/>
      <c r="AW834" s="212"/>
      <c r="AX834" s="212"/>
      <c r="AY834" s="212"/>
      <c r="AZ834" s="452"/>
      <c r="BA834" s="212"/>
      <c r="BB834" s="212"/>
      <c r="BC834" s="212"/>
      <c r="BD834" s="212"/>
      <c r="BE834" s="212"/>
      <c r="BF834" s="452"/>
    </row>
    <row r="835">
      <c r="A835" s="212"/>
      <c r="B835" s="447"/>
      <c r="C835" s="212"/>
      <c r="D835" s="212"/>
      <c r="E835" s="212"/>
      <c r="F835" s="212"/>
      <c r="G835" s="212"/>
      <c r="H835" s="212"/>
      <c r="I835" s="212"/>
      <c r="J835" s="212"/>
      <c r="K835" s="212"/>
      <c r="L835" s="212"/>
      <c r="M835" s="212"/>
      <c r="N835" s="212"/>
      <c r="O835" s="212"/>
      <c r="P835" s="212"/>
      <c r="Q835" s="212"/>
      <c r="R835" s="451"/>
      <c r="S835" s="451"/>
      <c r="T835" s="212"/>
      <c r="U835" s="451"/>
      <c r="V835" s="451"/>
      <c r="W835" s="451"/>
      <c r="X835" s="451"/>
      <c r="Y835" s="212"/>
      <c r="Z835" s="212"/>
      <c r="AA835" s="212"/>
      <c r="AB835" s="212"/>
      <c r="AC835" s="212"/>
      <c r="AD835" s="212"/>
      <c r="AE835" s="450"/>
      <c r="AF835" s="212"/>
      <c r="AG835" s="212"/>
      <c r="AH835" s="212"/>
      <c r="AI835" s="212"/>
      <c r="AJ835" s="212"/>
      <c r="AK835" s="212"/>
      <c r="AL835" s="212"/>
      <c r="AM835" s="212"/>
      <c r="AN835" s="212"/>
      <c r="AO835" s="212"/>
      <c r="AP835" s="212"/>
      <c r="AQ835" s="212"/>
      <c r="AR835" s="212"/>
      <c r="AS835" s="212"/>
      <c r="AT835" s="212"/>
      <c r="AU835" s="212"/>
      <c r="AV835" s="212"/>
      <c r="AW835" s="212"/>
      <c r="AX835" s="212"/>
      <c r="AY835" s="212"/>
      <c r="AZ835" s="452"/>
      <c r="BA835" s="212"/>
      <c r="BB835" s="212"/>
      <c r="BC835" s="212"/>
      <c r="BD835" s="212"/>
      <c r="BE835" s="212"/>
      <c r="BF835" s="452"/>
    </row>
    <row r="836">
      <c r="A836" s="212"/>
      <c r="B836" s="447"/>
      <c r="C836" s="212"/>
      <c r="D836" s="212"/>
      <c r="E836" s="212"/>
      <c r="F836" s="212"/>
      <c r="G836" s="212"/>
      <c r="H836" s="212"/>
      <c r="I836" s="212"/>
      <c r="J836" s="212"/>
      <c r="K836" s="212"/>
      <c r="L836" s="212"/>
      <c r="M836" s="212"/>
      <c r="N836" s="212"/>
      <c r="O836" s="212"/>
      <c r="P836" s="212"/>
      <c r="Q836" s="212"/>
      <c r="R836" s="451"/>
      <c r="S836" s="451"/>
      <c r="T836" s="212"/>
      <c r="U836" s="451"/>
      <c r="V836" s="451"/>
      <c r="W836" s="451"/>
      <c r="X836" s="451"/>
      <c r="Y836" s="212"/>
      <c r="Z836" s="212"/>
      <c r="AA836" s="212"/>
      <c r="AB836" s="212"/>
      <c r="AC836" s="212"/>
      <c r="AD836" s="212"/>
      <c r="AE836" s="450"/>
      <c r="AF836" s="212"/>
      <c r="AG836" s="212"/>
      <c r="AH836" s="212"/>
      <c r="AI836" s="212"/>
      <c r="AJ836" s="212"/>
      <c r="AK836" s="212"/>
      <c r="AL836" s="212"/>
      <c r="AM836" s="212"/>
      <c r="AN836" s="212"/>
      <c r="AO836" s="212"/>
      <c r="AP836" s="212"/>
      <c r="AQ836" s="212"/>
      <c r="AR836" s="212"/>
      <c r="AS836" s="212"/>
      <c r="AT836" s="212"/>
      <c r="AU836" s="212"/>
      <c r="AV836" s="212"/>
      <c r="AW836" s="212"/>
      <c r="AX836" s="212"/>
      <c r="AY836" s="212"/>
      <c r="AZ836" s="452"/>
      <c r="BA836" s="212"/>
      <c r="BB836" s="212"/>
      <c r="BC836" s="212"/>
      <c r="BD836" s="212"/>
      <c r="BE836" s="212"/>
      <c r="BF836" s="452"/>
    </row>
    <row r="837">
      <c r="A837" s="212"/>
      <c r="B837" s="447"/>
      <c r="C837" s="212"/>
      <c r="D837" s="212"/>
      <c r="E837" s="212"/>
      <c r="F837" s="212"/>
      <c r="G837" s="212"/>
      <c r="H837" s="212"/>
      <c r="I837" s="212"/>
      <c r="J837" s="212"/>
      <c r="K837" s="212"/>
      <c r="L837" s="212"/>
      <c r="M837" s="212"/>
      <c r="N837" s="212"/>
      <c r="O837" s="212"/>
      <c r="P837" s="212"/>
      <c r="Q837" s="212"/>
      <c r="R837" s="451"/>
      <c r="S837" s="451"/>
      <c r="T837" s="212"/>
      <c r="U837" s="451"/>
      <c r="V837" s="451"/>
      <c r="W837" s="451"/>
      <c r="X837" s="451"/>
      <c r="Y837" s="212"/>
      <c r="Z837" s="212"/>
      <c r="AA837" s="212"/>
      <c r="AB837" s="212"/>
      <c r="AC837" s="212"/>
      <c r="AD837" s="212"/>
      <c r="AE837" s="450"/>
      <c r="AF837" s="212"/>
      <c r="AG837" s="212"/>
      <c r="AH837" s="212"/>
      <c r="AI837" s="212"/>
      <c r="AJ837" s="212"/>
      <c r="AK837" s="212"/>
      <c r="AL837" s="212"/>
      <c r="AM837" s="212"/>
      <c r="AN837" s="212"/>
      <c r="AO837" s="212"/>
      <c r="AP837" s="212"/>
      <c r="AQ837" s="212"/>
      <c r="AR837" s="212"/>
      <c r="AS837" s="212"/>
      <c r="AT837" s="212"/>
      <c r="AU837" s="212"/>
      <c r="AV837" s="212"/>
      <c r="AW837" s="212"/>
      <c r="AX837" s="212"/>
      <c r="AY837" s="212"/>
      <c r="AZ837" s="452"/>
      <c r="BA837" s="212"/>
      <c r="BB837" s="212"/>
      <c r="BC837" s="212"/>
      <c r="BD837" s="212"/>
      <c r="BE837" s="212"/>
      <c r="BF837" s="452"/>
    </row>
    <row r="838">
      <c r="A838" s="212"/>
      <c r="B838" s="447"/>
      <c r="C838" s="212"/>
      <c r="D838" s="212"/>
      <c r="E838" s="212"/>
      <c r="F838" s="212"/>
      <c r="G838" s="212"/>
      <c r="H838" s="212"/>
      <c r="I838" s="212"/>
      <c r="J838" s="212"/>
      <c r="K838" s="212"/>
      <c r="L838" s="212"/>
      <c r="M838" s="212"/>
      <c r="N838" s="212"/>
      <c r="O838" s="212"/>
      <c r="P838" s="212"/>
      <c r="Q838" s="212"/>
      <c r="R838" s="451"/>
      <c r="S838" s="451"/>
      <c r="T838" s="212"/>
      <c r="U838" s="451"/>
      <c r="V838" s="451"/>
      <c r="W838" s="451"/>
      <c r="X838" s="451"/>
      <c r="Y838" s="212"/>
      <c r="Z838" s="212"/>
      <c r="AA838" s="212"/>
      <c r="AB838" s="212"/>
      <c r="AC838" s="212"/>
      <c r="AD838" s="212"/>
      <c r="AE838" s="450"/>
      <c r="AF838" s="212"/>
      <c r="AG838" s="212"/>
      <c r="AH838" s="212"/>
      <c r="AI838" s="212"/>
      <c r="AJ838" s="212"/>
      <c r="AK838" s="212"/>
      <c r="AL838" s="212"/>
      <c r="AM838" s="212"/>
      <c r="AN838" s="212"/>
      <c r="AO838" s="212"/>
      <c r="AP838" s="212"/>
      <c r="AQ838" s="212"/>
      <c r="AR838" s="212"/>
      <c r="AS838" s="212"/>
      <c r="AT838" s="212"/>
      <c r="AU838" s="212"/>
      <c r="AV838" s="212"/>
      <c r="AW838" s="212"/>
      <c r="AX838" s="212"/>
      <c r="AY838" s="212"/>
      <c r="AZ838" s="452"/>
      <c r="BA838" s="212"/>
      <c r="BB838" s="212"/>
      <c r="BC838" s="212"/>
      <c r="BD838" s="212"/>
      <c r="BE838" s="212"/>
      <c r="BF838" s="452"/>
    </row>
    <row r="839">
      <c r="A839" s="212"/>
      <c r="B839" s="447"/>
      <c r="C839" s="212"/>
      <c r="D839" s="212"/>
      <c r="E839" s="212"/>
      <c r="F839" s="212"/>
      <c r="G839" s="212"/>
      <c r="H839" s="212"/>
      <c r="I839" s="212"/>
      <c r="J839" s="212"/>
      <c r="K839" s="212"/>
      <c r="L839" s="212"/>
      <c r="M839" s="212"/>
      <c r="N839" s="212"/>
      <c r="O839" s="212"/>
      <c r="P839" s="212"/>
      <c r="Q839" s="212"/>
      <c r="R839" s="451"/>
      <c r="S839" s="451"/>
      <c r="T839" s="212"/>
      <c r="U839" s="451"/>
      <c r="V839" s="451"/>
      <c r="W839" s="451"/>
      <c r="X839" s="451"/>
      <c r="Y839" s="212"/>
      <c r="Z839" s="212"/>
      <c r="AA839" s="212"/>
      <c r="AB839" s="212"/>
      <c r="AC839" s="212"/>
      <c r="AD839" s="212"/>
      <c r="AE839" s="450"/>
      <c r="AF839" s="212"/>
      <c r="AG839" s="212"/>
      <c r="AH839" s="212"/>
      <c r="AI839" s="212"/>
      <c r="AJ839" s="212"/>
      <c r="AK839" s="212"/>
      <c r="AL839" s="212"/>
      <c r="AM839" s="212"/>
      <c r="AN839" s="212"/>
      <c r="AO839" s="212"/>
      <c r="AP839" s="212"/>
      <c r="AQ839" s="212"/>
      <c r="AR839" s="212"/>
      <c r="AS839" s="212"/>
      <c r="AT839" s="212"/>
      <c r="AU839" s="212"/>
      <c r="AV839" s="212"/>
      <c r="AW839" s="212"/>
      <c r="AX839" s="212"/>
      <c r="AY839" s="212"/>
      <c r="AZ839" s="452"/>
      <c r="BA839" s="212"/>
      <c r="BB839" s="212"/>
      <c r="BC839" s="212"/>
      <c r="BD839" s="212"/>
      <c r="BE839" s="212"/>
      <c r="BF839" s="452"/>
    </row>
    <row r="840">
      <c r="A840" s="212"/>
      <c r="B840" s="447"/>
      <c r="C840" s="212"/>
      <c r="D840" s="212"/>
      <c r="E840" s="212"/>
      <c r="F840" s="212"/>
      <c r="G840" s="212"/>
      <c r="H840" s="212"/>
      <c r="I840" s="212"/>
      <c r="J840" s="212"/>
      <c r="K840" s="212"/>
      <c r="L840" s="212"/>
      <c r="M840" s="212"/>
      <c r="N840" s="212"/>
      <c r="O840" s="212"/>
      <c r="P840" s="212"/>
      <c r="Q840" s="212"/>
      <c r="R840" s="451"/>
      <c r="S840" s="451"/>
      <c r="T840" s="212"/>
      <c r="U840" s="451"/>
      <c r="V840" s="451"/>
      <c r="W840" s="451"/>
      <c r="X840" s="451"/>
      <c r="Y840" s="212"/>
      <c r="Z840" s="212"/>
      <c r="AA840" s="212"/>
      <c r="AB840" s="212"/>
      <c r="AC840" s="212"/>
      <c r="AD840" s="212"/>
      <c r="AE840" s="450"/>
      <c r="AF840" s="212"/>
      <c r="AG840" s="212"/>
      <c r="AH840" s="212"/>
      <c r="AI840" s="212"/>
      <c r="AJ840" s="212"/>
      <c r="AK840" s="212"/>
      <c r="AL840" s="212"/>
      <c r="AM840" s="212"/>
      <c r="AN840" s="212"/>
      <c r="AO840" s="212"/>
      <c r="AP840" s="212"/>
      <c r="AQ840" s="212"/>
      <c r="AR840" s="212"/>
      <c r="AS840" s="212"/>
      <c r="AT840" s="212"/>
      <c r="AU840" s="212"/>
      <c r="AV840" s="212"/>
      <c r="AW840" s="212"/>
      <c r="AX840" s="212"/>
      <c r="AY840" s="212"/>
      <c r="AZ840" s="452"/>
      <c r="BA840" s="212"/>
      <c r="BB840" s="212"/>
      <c r="BC840" s="212"/>
      <c r="BD840" s="212"/>
      <c r="BE840" s="212"/>
      <c r="BF840" s="452"/>
    </row>
    <row r="841">
      <c r="A841" s="212"/>
      <c r="B841" s="447"/>
      <c r="C841" s="212"/>
      <c r="D841" s="212"/>
      <c r="E841" s="212"/>
      <c r="F841" s="212"/>
      <c r="G841" s="212"/>
      <c r="H841" s="212"/>
      <c r="I841" s="212"/>
      <c r="J841" s="212"/>
      <c r="K841" s="212"/>
      <c r="L841" s="212"/>
      <c r="M841" s="212"/>
      <c r="N841" s="212"/>
      <c r="O841" s="212"/>
      <c r="P841" s="212"/>
      <c r="Q841" s="212"/>
      <c r="R841" s="451"/>
      <c r="S841" s="451"/>
      <c r="T841" s="212"/>
      <c r="U841" s="451"/>
      <c r="V841" s="451"/>
      <c r="W841" s="451"/>
      <c r="X841" s="451"/>
      <c r="Y841" s="212"/>
      <c r="Z841" s="212"/>
      <c r="AA841" s="212"/>
      <c r="AB841" s="212"/>
      <c r="AC841" s="212"/>
      <c r="AD841" s="212"/>
      <c r="AE841" s="450"/>
      <c r="AF841" s="212"/>
      <c r="AG841" s="212"/>
      <c r="AH841" s="212"/>
      <c r="AI841" s="212"/>
      <c r="AJ841" s="212"/>
      <c r="AK841" s="212"/>
      <c r="AL841" s="212"/>
      <c r="AM841" s="212"/>
      <c r="AN841" s="212"/>
      <c r="AO841" s="212"/>
      <c r="AP841" s="212"/>
      <c r="AQ841" s="212"/>
      <c r="AR841" s="212"/>
      <c r="AS841" s="212"/>
      <c r="AT841" s="212"/>
      <c r="AU841" s="212"/>
      <c r="AV841" s="212"/>
      <c r="AW841" s="212"/>
      <c r="AX841" s="212"/>
      <c r="AY841" s="212"/>
      <c r="AZ841" s="452"/>
      <c r="BA841" s="212"/>
      <c r="BB841" s="212"/>
      <c r="BC841" s="212"/>
      <c r="BD841" s="212"/>
      <c r="BE841" s="212"/>
      <c r="BF841" s="452"/>
    </row>
    <row r="842">
      <c r="A842" s="212"/>
      <c r="B842" s="447"/>
      <c r="C842" s="212"/>
      <c r="D842" s="212"/>
      <c r="E842" s="212"/>
      <c r="F842" s="212"/>
      <c r="G842" s="212"/>
      <c r="H842" s="212"/>
      <c r="I842" s="212"/>
      <c r="J842" s="212"/>
      <c r="K842" s="212"/>
      <c r="L842" s="212"/>
      <c r="M842" s="212"/>
      <c r="N842" s="212"/>
      <c r="O842" s="212"/>
      <c r="P842" s="212"/>
      <c r="Q842" s="212"/>
      <c r="R842" s="451"/>
      <c r="S842" s="451"/>
      <c r="T842" s="212"/>
      <c r="U842" s="451"/>
      <c r="V842" s="451"/>
      <c r="W842" s="451"/>
      <c r="X842" s="451"/>
      <c r="Y842" s="212"/>
      <c r="Z842" s="212"/>
      <c r="AA842" s="212"/>
      <c r="AB842" s="212"/>
      <c r="AC842" s="212"/>
      <c r="AD842" s="212"/>
      <c r="AE842" s="450"/>
      <c r="AF842" s="212"/>
      <c r="AG842" s="212"/>
      <c r="AH842" s="212"/>
      <c r="AI842" s="212"/>
      <c r="AJ842" s="212"/>
      <c r="AK842" s="212"/>
      <c r="AL842" s="212"/>
      <c r="AM842" s="212"/>
      <c r="AN842" s="212"/>
      <c r="AO842" s="212"/>
      <c r="AP842" s="212"/>
      <c r="AQ842" s="212"/>
      <c r="AR842" s="212"/>
      <c r="AS842" s="212"/>
      <c r="AT842" s="212"/>
      <c r="AU842" s="212"/>
      <c r="AV842" s="212"/>
      <c r="AW842" s="212"/>
      <c r="AX842" s="212"/>
      <c r="AY842" s="212"/>
      <c r="AZ842" s="452"/>
      <c r="BA842" s="212"/>
      <c r="BB842" s="212"/>
      <c r="BC842" s="212"/>
      <c r="BD842" s="212"/>
      <c r="BE842" s="212"/>
      <c r="BF842" s="452"/>
    </row>
    <row r="843">
      <c r="A843" s="212"/>
      <c r="B843" s="447"/>
      <c r="C843" s="212"/>
      <c r="D843" s="212"/>
      <c r="E843" s="212"/>
      <c r="F843" s="212"/>
      <c r="G843" s="212"/>
      <c r="H843" s="212"/>
      <c r="I843" s="212"/>
      <c r="J843" s="212"/>
      <c r="K843" s="212"/>
      <c r="L843" s="212"/>
      <c r="M843" s="212"/>
      <c r="N843" s="212"/>
      <c r="O843" s="212"/>
      <c r="P843" s="212"/>
      <c r="Q843" s="212"/>
      <c r="R843" s="451"/>
      <c r="S843" s="451"/>
      <c r="T843" s="212"/>
      <c r="U843" s="451"/>
      <c r="V843" s="451"/>
      <c r="W843" s="451"/>
      <c r="X843" s="451"/>
      <c r="Y843" s="212"/>
      <c r="Z843" s="212"/>
      <c r="AA843" s="212"/>
      <c r="AB843" s="212"/>
      <c r="AC843" s="212"/>
      <c r="AD843" s="212"/>
      <c r="AE843" s="450"/>
      <c r="AF843" s="212"/>
      <c r="AG843" s="212"/>
      <c r="AH843" s="212"/>
      <c r="AI843" s="212"/>
      <c r="AJ843" s="212"/>
      <c r="AK843" s="212"/>
      <c r="AL843" s="212"/>
      <c r="AM843" s="212"/>
      <c r="AN843" s="212"/>
      <c r="AO843" s="212"/>
      <c r="AP843" s="212"/>
      <c r="AQ843" s="212"/>
      <c r="AR843" s="212"/>
      <c r="AS843" s="212"/>
      <c r="AT843" s="212"/>
      <c r="AU843" s="212"/>
      <c r="AV843" s="212"/>
      <c r="AW843" s="212"/>
      <c r="AX843" s="212"/>
      <c r="AY843" s="212"/>
      <c r="AZ843" s="452"/>
      <c r="BA843" s="212"/>
      <c r="BB843" s="212"/>
      <c r="BC843" s="212"/>
      <c r="BD843" s="212"/>
      <c r="BE843" s="212"/>
      <c r="BF843" s="452"/>
    </row>
    <row r="844">
      <c r="A844" s="212"/>
      <c r="B844" s="447"/>
      <c r="C844" s="212"/>
      <c r="D844" s="212"/>
      <c r="E844" s="212"/>
      <c r="F844" s="212"/>
      <c r="G844" s="212"/>
      <c r="H844" s="212"/>
      <c r="I844" s="212"/>
      <c r="J844" s="212"/>
      <c r="K844" s="212"/>
      <c r="L844" s="212"/>
      <c r="M844" s="212"/>
      <c r="N844" s="212"/>
      <c r="O844" s="212"/>
      <c r="P844" s="212"/>
      <c r="Q844" s="212"/>
      <c r="R844" s="451"/>
      <c r="S844" s="451"/>
      <c r="T844" s="212"/>
      <c r="U844" s="451"/>
      <c r="V844" s="451"/>
      <c r="W844" s="451"/>
      <c r="X844" s="451"/>
      <c r="Y844" s="212"/>
      <c r="Z844" s="212"/>
      <c r="AA844" s="212"/>
      <c r="AB844" s="212"/>
      <c r="AC844" s="212"/>
      <c r="AD844" s="212"/>
      <c r="AE844" s="450"/>
      <c r="AF844" s="212"/>
      <c r="AG844" s="212"/>
      <c r="AH844" s="212"/>
      <c r="AI844" s="212"/>
      <c r="AJ844" s="212"/>
      <c r="AK844" s="212"/>
      <c r="AL844" s="212"/>
      <c r="AM844" s="212"/>
      <c r="AN844" s="212"/>
      <c r="AO844" s="212"/>
      <c r="AP844" s="212"/>
      <c r="AQ844" s="212"/>
      <c r="AR844" s="212"/>
      <c r="AS844" s="212"/>
      <c r="AT844" s="212"/>
      <c r="AU844" s="212"/>
      <c r="AV844" s="212"/>
      <c r="AW844" s="212"/>
      <c r="AX844" s="212"/>
      <c r="AY844" s="212"/>
      <c r="AZ844" s="452"/>
      <c r="BA844" s="212"/>
      <c r="BB844" s="212"/>
      <c r="BC844" s="212"/>
      <c r="BD844" s="212"/>
      <c r="BE844" s="212"/>
      <c r="BF844" s="452"/>
    </row>
    <row r="845">
      <c r="A845" s="212"/>
      <c r="B845" s="447"/>
      <c r="C845" s="212"/>
      <c r="D845" s="212"/>
      <c r="E845" s="212"/>
      <c r="F845" s="212"/>
      <c r="G845" s="212"/>
      <c r="H845" s="212"/>
      <c r="I845" s="212"/>
      <c r="J845" s="212"/>
      <c r="K845" s="212"/>
      <c r="L845" s="212"/>
      <c r="M845" s="212"/>
      <c r="N845" s="212"/>
      <c r="O845" s="212"/>
      <c r="P845" s="212"/>
      <c r="Q845" s="212"/>
      <c r="R845" s="451"/>
      <c r="S845" s="451"/>
      <c r="T845" s="212"/>
      <c r="U845" s="451"/>
      <c r="V845" s="451"/>
      <c r="W845" s="451"/>
      <c r="X845" s="451"/>
      <c r="Y845" s="212"/>
      <c r="Z845" s="212"/>
      <c r="AA845" s="212"/>
      <c r="AB845" s="212"/>
      <c r="AC845" s="212"/>
      <c r="AD845" s="212"/>
      <c r="AE845" s="450"/>
      <c r="AF845" s="212"/>
      <c r="AG845" s="212"/>
      <c r="AH845" s="212"/>
      <c r="AI845" s="212"/>
      <c r="AJ845" s="212"/>
      <c r="AK845" s="212"/>
      <c r="AL845" s="212"/>
      <c r="AM845" s="212"/>
      <c r="AN845" s="212"/>
      <c r="AO845" s="212"/>
      <c r="AP845" s="212"/>
      <c r="AQ845" s="212"/>
      <c r="AR845" s="212"/>
      <c r="AS845" s="212"/>
      <c r="AT845" s="212"/>
      <c r="AU845" s="212"/>
      <c r="AV845" s="212"/>
      <c r="AW845" s="212"/>
      <c r="AX845" s="212"/>
      <c r="AY845" s="212"/>
      <c r="AZ845" s="452"/>
      <c r="BA845" s="212"/>
      <c r="BB845" s="212"/>
      <c r="BC845" s="212"/>
      <c r="BD845" s="212"/>
      <c r="BE845" s="212"/>
      <c r="BF845" s="452"/>
    </row>
    <row r="846">
      <c r="A846" s="212"/>
      <c r="B846" s="447"/>
      <c r="C846" s="212"/>
      <c r="D846" s="212"/>
      <c r="E846" s="212"/>
      <c r="F846" s="212"/>
      <c r="G846" s="212"/>
      <c r="H846" s="212"/>
      <c r="I846" s="212"/>
      <c r="J846" s="212"/>
      <c r="K846" s="212"/>
      <c r="L846" s="212"/>
      <c r="M846" s="212"/>
      <c r="N846" s="212"/>
      <c r="O846" s="212"/>
      <c r="P846" s="212"/>
      <c r="Q846" s="212"/>
      <c r="R846" s="451"/>
      <c r="S846" s="451"/>
      <c r="T846" s="212"/>
      <c r="U846" s="451"/>
      <c r="V846" s="451"/>
      <c r="W846" s="451"/>
      <c r="X846" s="451"/>
      <c r="Y846" s="212"/>
      <c r="Z846" s="212"/>
      <c r="AA846" s="212"/>
      <c r="AB846" s="212"/>
      <c r="AC846" s="212"/>
      <c r="AD846" s="212"/>
      <c r="AE846" s="450"/>
      <c r="AF846" s="212"/>
      <c r="AG846" s="212"/>
      <c r="AH846" s="212"/>
      <c r="AI846" s="212"/>
      <c r="AJ846" s="212"/>
      <c r="AK846" s="212"/>
      <c r="AL846" s="212"/>
      <c r="AM846" s="212"/>
      <c r="AN846" s="212"/>
      <c r="AO846" s="212"/>
      <c r="AP846" s="212"/>
      <c r="AQ846" s="212"/>
      <c r="AR846" s="212"/>
      <c r="AS846" s="212"/>
      <c r="AT846" s="212"/>
      <c r="AU846" s="212"/>
      <c r="AV846" s="212"/>
      <c r="AW846" s="212"/>
      <c r="AX846" s="212"/>
      <c r="AY846" s="212"/>
      <c r="AZ846" s="452"/>
      <c r="BA846" s="212"/>
      <c r="BB846" s="212"/>
      <c r="BC846" s="212"/>
      <c r="BD846" s="212"/>
      <c r="BE846" s="212"/>
      <c r="BF846" s="452"/>
    </row>
    <row r="847">
      <c r="A847" s="212"/>
      <c r="B847" s="447"/>
      <c r="C847" s="212"/>
      <c r="D847" s="212"/>
      <c r="E847" s="212"/>
      <c r="F847" s="212"/>
      <c r="G847" s="212"/>
      <c r="H847" s="212"/>
      <c r="I847" s="212"/>
      <c r="J847" s="212"/>
      <c r="K847" s="212"/>
      <c r="L847" s="212"/>
      <c r="M847" s="212"/>
      <c r="N847" s="212"/>
      <c r="O847" s="212"/>
      <c r="P847" s="212"/>
      <c r="Q847" s="212"/>
      <c r="R847" s="451"/>
      <c r="S847" s="451"/>
      <c r="T847" s="212"/>
      <c r="U847" s="451"/>
      <c r="V847" s="451"/>
      <c r="W847" s="451"/>
      <c r="X847" s="451"/>
      <c r="Y847" s="212"/>
      <c r="Z847" s="212"/>
      <c r="AA847" s="212"/>
      <c r="AB847" s="212"/>
      <c r="AC847" s="212"/>
      <c r="AD847" s="212"/>
      <c r="AE847" s="450"/>
      <c r="AF847" s="212"/>
      <c r="AG847" s="212"/>
      <c r="AH847" s="212"/>
      <c r="AI847" s="212"/>
      <c r="AJ847" s="212"/>
      <c r="AK847" s="212"/>
      <c r="AL847" s="212"/>
      <c r="AM847" s="212"/>
      <c r="AN847" s="212"/>
      <c r="AO847" s="212"/>
      <c r="AP847" s="212"/>
      <c r="AQ847" s="212"/>
      <c r="AR847" s="212"/>
      <c r="AS847" s="212"/>
      <c r="AT847" s="212"/>
      <c r="AU847" s="212"/>
      <c r="AV847" s="212"/>
      <c r="AW847" s="212"/>
      <c r="AX847" s="212"/>
      <c r="AY847" s="212"/>
      <c r="AZ847" s="452"/>
      <c r="BA847" s="212"/>
      <c r="BB847" s="212"/>
      <c r="BC847" s="212"/>
      <c r="BD847" s="212"/>
      <c r="BE847" s="212"/>
      <c r="BF847" s="452"/>
    </row>
    <row r="848">
      <c r="A848" s="212"/>
      <c r="B848" s="447"/>
      <c r="C848" s="212"/>
      <c r="D848" s="212"/>
      <c r="E848" s="212"/>
      <c r="F848" s="212"/>
      <c r="G848" s="212"/>
      <c r="H848" s="212"/>
      <c r="I848" s="212"/>
      <c r="J848" s="212"/>
      <c r="K848" s="212"/>
      <c r="L848" s="212"/>
      <c r="M848" s="212"/>
      <c r="N848" s="212"/>
      <c r="O848" s="212"/>
      <c r="P848" s="212"/>
      <c r="Q848" s="212"/>
      <c r="R848" s="451"/>
      <c r="S848" s="451"/>
      <c r="T848" s="212"/>
      <c r="U848" s="451"/>
      <c r="V848" s="451"/>
      <c r="W848" s="451"/>
      <c r="X848" s="451"/>
      <c r="Y848" s="212"/>
      <c r="Z848" s="212"/>
      <c r="AA848" s="212"/>
      <c r="AB848" s="212"/>
      <c r="AC848" s="212"/>
      <c r="AD848" s="212"/>
      <c r="AE848" s="450"/>
      <c r="AF848" s="212"/>
      <c r="AG848" s="212"/>
      <c r="AH848" s="212"/>
      <c r="AI848" s="212"/>
      <c r="AJ848" s="212"/>
      <c r="AK848" s="212"/>
      <c r="AL848" s="212"/>
      <c r="AM848" s="212"/>
      <c r="AN848" s="212"/>
      <c r="AO848" s="212"/>
      <c r="AP848" s="212"/>
      <c r="AQ848" s="212"/>
      <c r="AR848" s="212"/>
      <c r="AS848" s="212"/>
      <c r="AT848" s="212"/>
      <c r="AU848" s="212"/>
      <c r="AV848" s="212"/>
      <c r="AW848" s="212"/>
      <c r="AX848" s="212"/>
      <c r="AY848" s="212"/>
      <c r="AZ848" s="452"/>
      <c r="BA848" s="212"/>
      <c r="BB848" s="212"/>
      <c r="BC848" s="212"/>
      <c r="BD848" s="212"/>
      <c r="BE848" s="212"/>
      <c r="BF848" s="452"/>
    </row>
    <row r="849">
      <c r="A849" s="212"/>
      <c r="B849" s="447"/>
      <c r="C849" s="212"/>
      <c r="D849" s="212"/>
      <c r="E849" s="212"/>
      <c r="F849" s="212"/>
      <c r="G849" s="212"/>
      <c r="H849" s="212"/>
      <c r="I849" s="212"/>
      <c r="J849" s="212"/>
      <c r="K849" s="212"/>
      <c r="L849" s="212"/>
      <c r="M849" s="212"/>
      <c r="N849" s="212"/>
      <c r="O849" s="212"/>
      <c r="P849" s="212"/>
      <c r="Q849" s="212"/>
      <c r="R849" s="451"/>
      <c r="S849" s="451"/>
      <c r="T849" s="212"/>
      <c r="U849" s="451"/>
      <c r="V849" s="451"/>
      <c r="W849" s="451"/>
      <c r="X849" s="451"/>
      <c r="Y849" s="212"/>
      <c r="Z849" s="212"/>
      <c r="AA849" s="212"/>
      <c r="AB849" s="212"/>
      <c r="AC849" s="212"/>
      <c r="AD849" s="212"/>
      <c r="AE849" s="450"/>
      <c r="AF849" s="212"/>
      <c r="AG849" s="212"/>
      <c r="AH849" s="212"/>
      <c r="AI849" s="212"/>
      <c r="AJ849" s="212"/>
      <c r="AK849" s="212"/>
      <c r="AL849" s="212"/>
      <c r="AM849" s="212"/>
      <c r="AN849" s="212"/>
      <c r="AO849" s="212"/>
      <c r="AP849" s="212"/>
      <c r="AQ849" s="212"/>
      <c r="AR849" s="212"/>
      <c r="AS849" s="212"/>
      <c r="AT849" s="212"/>
      <c r="AU849" s="212"/>
      <c r="AV849" s="212"/>
      <c r="AW849" s="212"/>
      <c r="AX849" s="212"/>
      <c r="AY849" s="212"/>
      <c r="AZ849" s="452"/>
      <c r="BA849" s="212"/>
      <c r="BB849" s="212"/>
      <c r="BC849" s="212"/>
      <c r="BD849" s="212"/>
      <c r="BE849" s="212"/>
      <c r="BF849" s="452"/>
    </row>
    <row r="850">
      <c r="A850" s="212"/>
      <c r="B850" s="447"/>
      <c r="C850" s="212"/>
      <c r="D850" s="212"/>
      <c r="E850" s="212"/>
      <c r="F850" s="212"/>
      <c r="G850" s="212"/>
      <c r="H850" s="212"/>
      <c r="I850" s="212"/>
      <c r="J850" s="212"/>
      <c r="K850" s="212"/>
      <c r="L850" s="212"/>
      <c r="M850" s="212"/>
      <c r="N850" s="212"/>
      <c r="O850" s="212"/>
      <c r="P850" s="212"/>
      <c r="Q850" s="212"/>
      <c r="R850" s="451"/>
      <c r="S850" s="451"/>
      <c r="T850" s="212"/>
      <c r="U850" s="451"/>
      <c r="V850" s="451"/>
      <c r="W850" s="451"/>
      <c r="X850" s="451"/>
      <c r="Y850" s="212"/>
      <c r="Z850" s="212"/>
      <c r="AA850" s="212"/>
      <c r="AB850" s="212"/>
      <c r="AC850" s="212"/>
      <c r="AD850" s="212"/>
      <c r="AE850" s="450"/>
      <c r="AF850" s="212"/>
      <c r="AG850" s="212"/>
      <c r="AH850" s="212"/>
      <c r="AI850" s="212"/>
      <c r="AJ850" s="212"/>
      <c r="AK850" s="212"/>
      <c r="AL850" s="212"/>
      <c r="AM850" s="212"/>
      <c r="AN850" s="212"/>
      <c r="AO850" s="212"/>
      <c r="AP850" s="212"/>
      <c r="AQ850" s="212"/>
      <c r="AR850" s="212"/>
      <c r="AS850" s="212"/>
      <c r="AT850" s="212"/>
      <c r="AU850" s="212"/>
      <c r="AV850" s="212"/>
      <c r="AW850" s="212"/>
      <c r="AX850" s="212"/>
      <c r="AY850" s="212"/>
      <c r="AZ850" s="452"/>
      <c r="BA850" s="212"/>
      <c r="BB850" s="212"/>
      <c r="BC850" s="212"/>
      <c r="BD850" s="212"/>
      <c r="BE850" s="212"/>
      <c r="BF850" s="452"/>
    </row>
    <row r="851">
      <c r="A851" s="212"/>
      <c r="B851" s="447"/>
      <c r="C851" s="212"/>
      <c r="D851" s="212"/>
      <c r="E851" s="212"/>
      <c r="F851" s="212"/>
      <c r="G851" s="212"/>
      <c r="H851" s="212"/>
      <c r="I851" s="212"/>
      <c r="J851" s="212"/>
      <c r="K851" s="212"/>
      <c r="L851" s="212"/>
      <c r="M851" s="212"/>
      <c r="N851" s="212"/>
      <c r="O851" s="212"/>
      <c r="P851" s="212"/>
      <c r="Q851" s="212"/>
      <c r="R851" s="451"/>
      <c r="S851" s="451"/>
      <c r="T851" s="212"/>
      <c r="U851" s="451"/>
      <c r="V851" s="451"/>
      <c r="W851" s="451"/>
      <c r="X851" s="451"/>
      <c r="Y851" s="212"/>
      <c r="Z851" s="212"/>
      <c r="AA851" s="212"/>
      <c r="AB851" s="212"/>
      <c r="AC851" s="212"/>
      <c r="AD851" s="212"/>
      <c r="AE851" s="450"/>
      <c r="AF851" s="212"/>
      <c r="AG851" s="212"/>
      <c r="AH851" s="212"/>
      <c r="AI851" s="212"/>
      <c r="AJ851" s="212"/>
      <c r="AK851" s="212"/>
      <c r="AL851" s="212"/>
      <c r="AM851" s="212"/>
      <c r="AN851" s="212"/>
      <c r="AO851" s="212"/>
      <c r="AP851" s="212"/>
      <c r="AQ851" s="212"/>
      <c r="AR851" s="212"/>
      <c r="AS851" s="212"/>
      <c r="AT851" s="212"/>
      <c r="AU851" s="212"/>
      <c r="AV851" s="212"/>
      <c r="AW851" s="212"/>
      <c r="AX851" s="212"/>
      <c r="AY851" s="212"/>
      <c r="AZ851" s="452"/>
      <c r="BA851" s="212"/>
      <c r="BB851" s="212"/>
      <c r="BC851" s="212"/>
      <c r="BD851" s="212"/>
      <c r="BE851" s="212"/>
      <c r="BF851" s="452"/>
    </row>
    <row r="852">
      <c r="A852" s="212"/>
      <c r="B852" s="447"/>
      <c r="C852" s="212"/>
      <c r="D852" s="212"/>
      <c r="E852" s="212"/>
      <c r="F852" s="212"/>
      <c r="G852" s="212"/>
      <c r="H852" s="212"/>
      <c r="I852" s="212"/>
      <c r="J852" s="212"/>
      <c r="K852" s="212"/>
      <c r="L852" s="212"/>
      <c r="M852" s="212"/>
      <c r="N852" s="212"/>
      <c r="O852" s="212"/>
      <c r="P852" s="212"/>
      <c r="Q852" s="212"/>
      <c r="R852" s="451"/>
      <c r="S852" s="451"/>
      <c r="T852" s="212"/>
      <c r="U852" s="451"/>
      <c r="V852" s="451"/>
      <c r="W852" s="451"/>
      <c r="X852" s="451"/>
      <c r="Y852" s="212"/>
      <c r="Z852" s="212"/>
      <c r="AA852" s="212"/>
      <c r="AB852" s="212"/>
      <c r="AC852" s="212"/>
      <c r="AD852" s="212"/>
      <c r="AE852" s="450"/>
      <c r="AF852" s="212"/>
      <c r="AG852" s="212"/>
      <c r="AH852" s="212"/>
      <c r="AI852" s="212"/>
      <c r="AJ852" s="212"/>
      <c r="AK852" s="212"/>
      <c r="AL852" s="212"/>
      <c r="AM852" s="212"/>
      <c r="AN852" s="212"/>
      <c r="AO852" s="212"/>
      <c r="AP852" s="212"/>
      <c r="AQ852" s="212"/>
      <c r="AR852" s="212"/>
      <c r="AS852" s="212"/>
      <c r="AT852" s="212"/>
      <c r="AU852" s="212"/>
      <c r="AV852" s="212"/>
      <c r="AW852" s="212"/>
      <c r="AX852" s="212"/>
      <c r="AY852" s="212"/>
      <c r="AZ852" s="452"/>
      <c r="BA852" s="212"/>
      <c r="BB852" s="212"/>
      <c r="BC852" s="212"/>
      <c r="BD852" s="212"/>
      <c r="BE852" s="212"/>
      <c r="BF852" s="452"/>
    </row>
    <row r="853">
      <c r="A853" s="212"/>
      <c r="B853" s="447"/>
      <c r="C853" s="212"/>
      <c r="D853" s="212"/>
      <c r="E853" s="212"/>
      <c r="F853" s="212"/>
      <c r="G853" s="212"/>
      <c r="H853" s="212"/>
      <c r="I853" s="212"/>
      <c r="J853" s="212"/>
      <c r="K853" s="212"/>
      <c r="L853" s="212"/>
      <c r="M853" s="212"/>
      <c r="N853" s="212"/>
      <c r="O853" s="212"/>
      <c r="P853" s="212"/>
      <c r="Q853" s="212"/>
      <c r="R853" s="451"/>
      <c r="S853" s="451"/>
      <c r="T853" s="212"/>
      <c r="U853" s="451"/>
      <c r="V853" s="451"/>
      <c r="W853" s="451"/>
      <c r="X853" s="451"/>
      <c r="Y853" s="212"/>
      <c r="Z853" s="212"/>
      <c r="AA853" s="212"/>
      <c r="AB853" s="212"/>
      <c r="AC853" s="212"/>
      <c r="AD853" s="212"/>
      <c r="AE853" s="450"/>
      <c r="AF853" s="212"/>
      <c r="AG853" s="212"/>
      <c r="AH853" s="212"/>
      <c r="AI853" s="212"/>
      <c r="AJ853" s="212"/>
      <c r="AK853" s="212"/>
      <c r="AL853" s="212"/>
      <c r="AM853" s="212"/>
      <c r="AN853" s="212"/>
      <c r="AO853" s="212"/>
      <c r="AP853" s="212"/>
      <c r="AQ853" s="212"/>
      <c r="AR853" s="212"/>
      <c r="AS853" s="212"/>
      <c r="AT853" s="212"/>
      <c r="AU853" s="212"/>
      <c r="AV853" s="212"/>
      <c r="AW853" s="212"/>
      <c r="AX853" s="212"/>
      <c r="AY853" s="212"/>
      <c r="AZ853" s="452"/>
      <c r="BA853" s="212"/>
      <c r="BB853" s="212"/>
      <c r="BC853" s="212"/>
      <c r="BD853" s="212"/>
      <c r="BE853" s="212"/>
      <c r="BF853" s="452"/>
    </row>
    <row r="854">
      <c r="A854" s="212"/>
      <c r="B854" s="447"/>
      <c r="C854" s="212"/>
      <c r="D854" s="212"/>
      <c r="E854" s="212"/>
      <c r="F854" s="212"/>
      <c r="G854" s="212"/>
      <c r="H854" s="212"/>
      <c r="I854" s="212"/>
      <c r="J854" s="212"/>
      <c r="K854" s="212"/>
      <c r="L854" s="212"/>
      <c r="M854" s="212"/>
      <c r="N854" s="212"/>
      <c r="O854" s="212"/>
      <c r="P854" s="212"/>
      <c r="Q854" s="212"/>
      <c r="R854" s="451"/>
      <c r="S854" s="451"/>
      <c r="T854" s="212"/>
      <c r="U854" s="451"/>
      <c r="V854" s="451"/>
      <c r="W854" s="451"/>
      <c r="X854" s="451"/>
      <c r="Y854" s="212"/>
      <c r="Z854" s="212"/>
      <c r="AA854" s="212"/>
      <c r="AB854" s="212"/>
      <c r="AC854" s="212"/>
      <c r="AD854" s="212"/>
      <c r="AE854" s="450"/>
      <c r="AF854" s="212"/>
      <c r="AG854" s="212"/>
      <c r="AH854" s="212"/>
      <c r="AI854" s="212"/>
      <c r="AJ854" s="212"/>
      <c r="AK854" s="212"/>
      <c r="AL854" s="212"/>
      <c r="AM854" s="212"/>
      <c r="AN854" s="212"/>
      <c r="AO854" s="212"/>
      <c r="AP854" s="212"/>
      <c r="AQ854" s="212"/>
      <c r="AR854" s="212"/>
      <c r="AS854" s="212"/>
      <c r="AT854" s="212"/>
      <c r="AU854" s="212"/>
      <c r="AV854" s="212"/>
      <c r="AW854" s="212"/>
      <c r="AX854" s="212"/>
      <c r="AY854" s="212"/>
      <c r="AZ854" s="452"/>
      <c r="BA854" s="212"/>
      <c r="BB854" s="212"/>
      <c r="BC854" s="212"/>
      <c r="BD854" s="212"/>
      <c r="BE854" s="212"/>
      <c r="BF854" s="452"/>
    </row>
    <row r="855">
      <c r="A855" s="212"/>
      <c r="B855" s="447"/>
      <c r="C855" s="212"/>
      <c r="D855" s="212"/>
      <c r="E855" s="212"/>
      <c r="F855" s="212"/>
      <c r="G855" s="212"/>
      <c r="H855" s="212"/>
      <c r="I855" s="212"/>
      <c r="J855" s="212"/>
      <c r="K855" s="212"/>
      <c r="L855" s="212"/>
      <c r="M855" s="212"/>
      <c r="N855" s="212"/>
      <c r="O855" s="212"/>
      <c r="P855" s="212"/>
      <c r="Q855" s="212"/>
      <c r="R855" s="451"/>
      <c r="S855" s="451"/>
      <c r="T855" s="212"/>
      <c r="U855" s="451"/>
      <c r="V855" s="451"/>
      <c r="W855" s="451"/>
      <c r="X855" s="451"/>
      <c r="Y855" s="212"/>
      <c r="Z855" s="212"/>
      <c r="AA855" s="212"/>
      <c r="AB855" s="212"/>
      <c r="AC855" s="212"/>
      <c r="AD855" s="212"/>
      <c r="AE855" s="450"/>
      <c r="AF855" s="212"/>
      <c r="AG855" s="212"/>
      <c r="AH855" s="212"/>
      <c r="AI855" s="212"/>
      <c r="AJ855" s="212"/>
      <c r="AK855" s="212"/>
      <c r="AL855" s="212"/>
      <c r="AM855" s="212"/>
      <c r="AN855" s="212"/>
      <c r="AO855" s="212"/>
      <c r="AP855" s="212"/>
      <c r="AQ855" s="212"/>
      <c r="AR855" s="212"/>
      <c r="AS855" s="212"/>
      <c r="AT855" s="212"/>
      <c r="AU855" s="212"/>
      <c r="AV855" s="212"/>
      <c r="AW855" s="212"/>
      <c r="AX855" s="212"/>
      <c r="AY855" s="212"/>
      <c r="AZ855" s="452"/>
      <c r="BA855" s="212"/>
      <c r="BB855" s="212"/>
      <c r="BC855" s="212"/>
      <c r="BD855" s="212"/>
      <c r="BE855" s="212"/>
      <c r="BF855" s="452"/>
    </row>
    <row r="856">
      <c r="A856" s="212"/>
      <c r="B856" s="447"/>
      <c r="C856" s="212"/>
      <c r="D856" s="212"/>
      <c r="E856" s="212"/>
      <c r="F856" s="212"/>
      <c r="G856" s="212"/>
      <c r="H856" s="212"/>
      <c r="I856" s="212"/>
      <c r="J856" s="212"/>
      <c r="K856" s="212"/>
      <c r="L856" s="212"/>
      <c r="M856" s="212"/>
      <c r="N856" s="212"/>
      <c r="O856" s="212"/>
      <c r="P856" s="212"/>
      <c r="Q856" s="212"/>
      <c r="R856" s="451"/>
      <c r="S856" s="451"/>
      <c r="T856" s="212"/>
      <c r="U856" s="451"/>
      <c r="V856" s="451"/>
      <c r="W856" s="451"/>
      <c r="X856" s="451"/>
      <c r="Y856" s="212"/>
      <c r="Z856" s="212"/>
      <c r="AA856" s="212"/>
      <c r="AB856" s="212"/>
      <c r="AC856" s="212"/>
      <c r="AD856" s="212"/>
      <c r="AE856" s="450"/>
      <c r="AF856" s="212"/>
      <c r="AG856" s="212"/>
      <c r="AH856" s="212"/>
      <c r="AI856" s="212"/>
      <c r="AJ856" s="212"/>
      <c r="AK856" s="212"/>
      <c r="AL856" s="212"/>
      <c r="AM856" s="212"/>
      <c r="AN856" s="212"/>
      <c r="AO856" s="212"/>
      <c r="AP856" s="212"/>
      <c r="AQ856" s="212"/>
      <c r="AR856" s="212"/>
      <c r="AS856" s="212"/>
      <c r="AT856" s="212"/>
      <c r="AU856" s="212"/>
      <c r="AV856" s="212"/>
      <c r="AW856" s="212"/>
      <c r="AX856" s="212"/>
      <c r="AY856" s="212"/>
      <c r="AZ856" s="452"/>
      <c r="BA856" s="212"/>
      <c r="BB856" s="212"/>
      <c r="BC856" s="212"/>
      <c r="BD856" s="212"/>
      <c r="BE856" s="212"/>
      <c r="BF856" s="452"/>
    </row>
    <row r="857">
      <c r="A857" s="212"/>
      <c r="B857" s="447"/>
      <c r="C857" s="212"/>
      <c r="D857" s="212"/>
      <c r="E857" s="212"/>
      <c r="F857" s="212"/>
      <c r="G857" s="212"/>
      <c r="H857" s="212"/>
      <c r="I857" s="212"/>
      <c r="J857" s="212"/>
      <c r="K857" s="212"/>
      <c r="L857" s="212"/>
      <c r="M857" s="212"/>
      <c r="N857" s="212"/>
      <c r="O857" s="212"/>
      <c r="P857" s="212"/>
      <c r="Q857" s="212"/>
      <c r="R857" s="451"/>
      <c r="S857" s="451"/>
      <c r="T857" s="212"/>
      <c r="U857" s="451"/>
      <c r="V857" s="451"/>
      <c r="W857" s="451"/>
      <c r="X857" s="451"/>
      <c r="Y857" s="212"/>
      <c r="Z857" s="212"/>
      <c r="AA857" s="212"/>
      <c r="AB857" s="212"/>
      <c r="AC857" s="212"/>
      <c r="AD857" s="212"/>
      <c r="AE857" s="450"/>
      <c r="AF857" s="212"/>
      <c r="AG857" s="212"/>
      <c r="AH857" s="212"/>
      <c r="AI857" s="212"/>
      <c r="AJ857" s="212"/>
      <c r="AK857" s="212"/>
      <c r="AL857" s="212"/>
      <c r="AM857" s="212"/>
      <c r="AN857" s="212"/>
      <c r="AO857" s="212"/>
      <c r="AP857" s="212"/>
      <c r="AQ857" s="212"/>
      <c r="AR857" s="212"/>
      <c r="AS857" s="212"/>
      <c r="AT857" s="212"/>
      <c r="AU857" s="212"/>
      <c r="AV857" s="212"/>
      <c r="AW857" s="212"/>
      <c r="AX857" s="212"/>
      <c r="AY857" s="212"/>
      <c r="AZ857" s="452"/>
      <c r="BA857" s="212"/>
      <c r="BB857" s="212"/>
      <c r="BC857" s="212"/>
      <c r="BD857" s="212"/>
      <c r="BE857" s="212"/>
      <c r="BF857" s="452"/>
    </row>
    <row r="858">
      <c r="A858" s="212"/>
      <c r="B858" s="447"/>
      <c r="C858" s="212"/>
      <c r="D858" s="212"/>
      <c r="E858" s="212"/>
      <c r="F858" s="212"/>
      <c r="G858" s="212"/>
      <c r="H858" s="212"/>
      <c r="I858" s="212"/>
      <c r="J858" s="212"/>
      <c r="K858" s="212"/>
      <c r="L858" s="212"/>
      <c r="M858" s="212"/>
      <c r="N858" s="212"/>
      <c r="O858" s="212"/>
      <c r="P858" s="212"/>
      <c r="Q858" s="212"/>
      <c r="R858" s="451"/>
      <c r="S858" s="451"/>
      <c r="T858" s="212"/>
      <c r="U858" s="451"/>
      <c r="V858" s="451"/>
      <c r="W858" s="451"/>
      <c r="X858" s="451"/>
      <c r="Y858" s="212"/>
      <c r="Z858" s="212"/>
      <c r="AA858" s="212"/>
      <c r="AB858" s="212"/>
      <c r="AC858" s="212"/>
      <c r="AD858" s="212"/>
      <c r="AE858" s="450"/>
      <c r="AF858" s="212"/>
      <c r="AG858" s="212"/>
      <c r="AH858" s="212"/>
      <c r="AI858" s="212"/>
      <c r="AJ858" s="212"/>
      <c r="AK858" s="212"/>
      <c r="AL858" s="212"/>
      <c r="AM858" s="212"/>
      <c r="AN858" s="212"/>
      <c r="AO858" s="212"/>
      <c r="AP858" s="212"/>
      <c r="AQ858" s="212"/>
      <c r="AR858" s="212"/>
      <c r="AS858" s="212"/>
      <c r="AT858" s="212"/>
      <c r="AU858" s="212"/>
      <c r="AV858" s="212"/>
      <c r="AW858" s="212"/>
      <c r="AX858" s="212"/>
      <c r="AY858" s="212"/>
      <c r="AZ858" s="452"/>
      <c r="BA858" s="212"/>
      <c r="BB858" s="212"/>
      <c r="BC858" s="212"/>
      <c r="BD858" s="212"/>
      <c r="BE858" s="212"/>
      <c r="BF858" s="452"/>
    </row>
    <row r="859">
      <c r="A859" s="212"/>
      <c r="B859" s="447"/>
      <c r="C859" s="212"/>
      <c r="D859" s="212"/>
      <c r="E859" s="212"/>
      <c r="F859" s="212"/>
      <c r="G859" s="212"/>
      <c r="H859" s="212"/>
      <c r="I859" s="212"/>
      <c r="J859" s="212"/>
      <c r="K859" s="212"/>
      <c r="L859" s="212"/>
      <c r="M859" s="212"/>
      <c r="N859" s="212"/>
      <c r="O859" s="212"/>
      <c r="P859" s="212"/>
      <c r="Q859" s="212"/>
      <c r="R859" s="451"/>
      <c r="S859" s="451"/>
      <c r="T859" s="212"/>
      <c r="U859" s="451"/>
      <c r="V859" s="451"/>
      <c r="W859" s="451"/>
      <c r="X859" s="451"/>
      <c r="Y859" s="212"/>
      <c r="Z859" s="212"/>
      <c r="AA859" s="212"/>
      <c r="AB859" s="212"/>
      <c r="AC859" s="212"/>
      <c r="AD859" s="212"/>
      <c r="AE859" s="450"/>
      <c r="AF859" s="212"/>
      <c r="AG859" s="212"/>
      <c r="AH859" s="212"/>
      <c r="AI859" s="212"/>
      <c r="AJ859" s="212"/>
      <c r="AK859" s="212"/>
      <c r="AL859" s="212"/>
      <c r="AM859" s="212"/>
      <c r="AN859" s="212"/>
      <c r="AO859" s="212"/>
      <c r="AP859" s="212"/>
      <c r="AQ859" s="212"/>
      <c r="AR859" s="212"/>
      <c r="AS859" s="212"/>
      <c r="AT859" s="212"/>
      <c r="AU859" s="212"/>
      <c r="AV859" s="212"/>
      <c r="AW859" s="212"/>
      <c r="AX859" s="212"/>
      <c r="AY859" s="212"/>
      <c r="AZ859" s="452"/>
      <c r="BA859" s="212"/>
      <c r="BB859" s="212"/>
      <c r="BC859" s="212"/>
      <c r="BD859" s="212"/>
      <c r="BE859" s="212"/>
      <c r="BF859" s="452"/>
    </row>
    <row r="860">
      <c r="A860" s="212"/>
      <c r="B860" s="447"/>
      <c r="C860" s="212"/>
      <c r="D860" s="212"/>
      <c r="E860" s="212"/>
      <c r="F860" s="212"/>
      <c r="G860" s="212"/>
      <c r="H860" s="212"/>
      <c r="I860" s="212"/>
      <c r="J860" s="212"/>
      <c r="K860" s="212"/>
      <c r="L860" s="212"/>
      <c r="M860" s="212"/>
      <c r="N860" s="212"/>
      <c r="O860" s="212"/>
      <c r="P860" s="212"/>
      <c r="Q860" s="212"/>
      <c r="R860" s="451"/>
      <c r="S860" s="451"/>
      <c r="T860" s="212"/>
      <c r="U860" s="451"/>
      <c r="V860" s="451"/>
      <c r="W860" s="451"/>
      <c r="X860" s="451"/>
      <c r="Y860" s="212"/>
      <c r="Z860" s="212"/>
      <c r="AA860" s="212"/>
      <c r="AB860" s="212"/>
      <c r="AC860" s="212"/>
      <c r="AD860" s="212"/>
      <c r="AE860" s="450"/>
      <c r="AF860" s="212"/>
      <c r="AG860" s="212"/>
      <c r="AH860" s="212"/>
      <c r="AI860" s="212"/>
      <c r="AJ860" s="212"/>
      <c r="AK860" s="212"/>
      <c r="AL860" s="212"/>
      <c r="AM860" s="212"/>
      <c r="AN860" s="212"/>
      <c r="AO860" s="212"/>
      <c r="AP860" s="212"/>
      <c r="AQ860" s="212"/>
      <c r="AR860" s="212"/>
      <c r="AS860" s="212"/>
      <c r="AT860" s="212"/>
      <c r="AU860" s="212"/>
      <c r="AV860" s="212"/>
      <c r="AW860" s="212"/>
      <c r="AX860" s="212"/>
      <c r="AY860" s="212"/>
      <c r="AZ860" s="452"/>
      <c r="BA860" s="212"/>
      <c r="BB860" s="212"/>
      <c r="BC860" s="212"/>
      <c r="BD860" s="212"/>
      <c r="BE860" s="212"/>
      <c r="BF860" s="452"/>
    </row>
    <row r="861">
      <c r="A861" s="212"/>
      <c r="B861" s="447"/>
      <c r="C861" s="212"/>
      <c r="D861" s="212"/>
      <c r="E861" s="212"/>
      <c r="F861" s="212"/>
      <c r="G861" s="212"/>
      <c r="H861" s="212"/>
      <c r="I861" s="212"/>
      <c r="J861" s="212"/>
      <c r="K861" s="212"/>
      <c r="L861" s="212"/>
      <c r="M861" s="212"/>
      <c r="N861" s="212"/>
      <c r="O861" s="212"/>
      <c r="P861" s="212"/>
      <c r="Q861" s="212"/>
      <c r="R861" s="451"/>
      <c r="S861" s="451"/>
      <c r="T861" s="212"/>
      <c r="U861" s="451"/>
      <c r="V861" s="451"/>
      <c r="W861" s="451"/>
      <c r="X861" s="451"/>
      <c r="Y861" s="212"/>
      <c r="Z861" s="212"/>
      <c r="AA861" s="212"/>
      <c r="AB861" s="212"/>
      <c r="AC861" s="212"/>
      <c r="AD861" s="212"/>
      <c r="AE861" s="450"/>
      <c r="AF861" s="212"/>
      <c r="AG861" s="212"/>
      <c r="AH861" s="212"/>
      <c r="AI861" s="212"/>
      <c r="AJ861" s="212"/>
      <c r="AK861" s="212"/>
      <c r="AL861" s="212"/>
      <c r="AM861" s="212"/>
      <c r="AN861" s="212"/>
      <c r="AO861" s="212"/>
      <c r="AP861" s="212"/>
      <c r="AQ861" s="212"/>
      <c r="AR861" s="212"/>
      <c r="AS861" s="212"/>
      <c r="AT861" s="212"/>
      <c r="AU861" s="212"/>
      <c r="AV861" s="212"/>
      <c r="AW861" s="212"/>
      <c r="AX861" s="212"/>
      <c r="AY861" s="212"/>
      <c r="AZ861" s="452"/>
      <c r="BA861" s="212"/>
      <c r="BB861" s="212"/>
      <c r="BC861" s="212"/>
      <c r="BD861" s="212"/>
      <c r="BE861" s="212"/>
      <c r="BF861" s="452"/>
    </row>
    <row r="862">
      <c r="A862" s="212"/>
      <c r="B862" s="447"/>
      <c r="C862" s="212"/>
      <c r="D862" s="212"/>
      <c r="E862" s="212"/>
      <c r="F862" s="212"/>
      <c r="G862" s="212"/>
      <c r="H862" s="212"/>
      <c r="I862" s="212"/>
      <c r="J862" s="212"/>
      <c r="K862" s="212"/>
      <c r="L862" s="212"/>
      <c r="M862" s="212"/>
      <c r="N862" s="212"/>
      <c r="O862" s="212"/>
      <c r="P862" s="212"/>
      <c r="Q862" s="212"/>
      <c r="R862" s="451"/>
      <c r="S862" s="451"/>
      <c r="T862" s="212"/>
      <c r="U862" s="451"/>
      <c r="V862" s="451"/>
      <c r="W862" s="451"/>
      <c r="X862" s="451"/>
      <c r="Y862" s="212"/>
      <c r="Z862" s="212"/>
      <c r="AA862" s="212"/>
      <c r="AB862" s="212"/>
      <c r="AC862" s="212"/>
      <c r="AD862" s="212"/>
      <c r="AE862" s="450"/>
      <c r="AF862" s="212"/>
      <c r="AG862" s="212"/>
      <c r="AH862" s="212"/>
      <c r="AI862" s="212"/>
      <c r="AJ862" s="212"/>
      <c r="AK862" s="212"/>
      <c r="AL862" s="212"/>
      <c r="AM862" s="212"/>
      <c r="AN862" s="212"/>
      <c r="AO862" s="212"/>
      <c r="AP862" s="212"/>
      <c r="AQ862" s="212"/>
      <c r="AR862" s="212"/>
      <c r="AS862" s="212"/>
      <c r="AT862" s="212"/>
      <c r="AU862" s="212"/>
      <c r="AV862" s="212"/>
      <c r="AW862" s="212"/>
      <c r="AX862" s="212"/>
      <c r="AY862" s="212"/>
      <c r="AZ862" s="452"/>
      <c r="BA862" s="212"/>
      <c r="BB862" s="212"/>
      <c r="BC862" s="212"/>
      <c r="BD862" s="212"/>
      <c r="BE862" s="212"/>
      <c r="BF862" s="452"/>
    </row>
    <row r="863">
      <c r="A863" s="212"/>
      <c r="B863" s="447"/>
      <c r="C863" s="212"/>
      <c r="D863" s="212"/>
      <c r="E863" s="212"/>
      <c r="F863" s="212"/>
      <c r="G863" s="212"/>
      <c r="H863" s="212"/>
      <c r="I863" s="212"/>
      <c r="J863" s="212"/>
      <c r="K863" s="212"/>
      <c r="L863" s="212"/>
      <c r="M863" s="212"/>
      <c r="N863" s="212"/>
      <c r="O863" s="212"/>
      <c r="P863" s="212"/>
      <c r="Q863" s="212"/>
      <c r="R863" s="451"/>
      <c r="S863" s="451"/>
      <c r="T863" s="212"/>
      <c r="U863" s="451"/>
      <c r="V863" s="451"/>
      <c r="W863" s="451"/>
      <c r="X863" s="451"/>
      <c r="Y863" s="212"/>
      <c r="Z863" s="212"/>
      <c r="AA863" s="212"/>
      <c r="AB863" s="212"/>
      <c r="AC863" s="212"/>
      <c r="AD863" s="212"/>
      <c r="AE863" s="450"/>
      <c r="AF863" s="212"/>
      <c r="AG863" s="212"/>
      <c r="AH863" s="212"/>
      <c r="AI863" s="212"/>
      <c r="AJ863" s="212"/>
      <c r="AK863" s="212"/>
      <c r="AL863" s="212"/>
      <c r="AM863" s="212"/>
      <c r="AN863" s="212"/>
      <c r="AO863" s="212"/>
      <c r="AP863" s="212"/>
      <c r="AQ863" s="212"/>
      <c r="AR863" s="212"/>
      <c r="AS863" s="212"/>
      <c r="AT863" s="212"/>
      <c r="AU863" s="212"/>
      <c r="AV863" s="212"/>
      <c r="AW863" s="212"/>
      <c r="AX863" s="212"/>
      <c r="AY863" s="212"/>
      <c r="AZ863" s="452"/>
      <c r="BA863" s="212"/>
      <c r="BB863" s="212"/>
      <c r="BC863" s="212"/>
      <c r="BD863" s="212"/>
      <c r="BE863" s="212"/>
      <c r="BF863" s="452"/>
    </row>
    <row r="864">
      <c r="A864" s="212"/>
      <c r="B864" s="447"/>
      <c r="C864" s="212"/>
      <c r="D864" s="212"/>
      <c r="E864" s="212"/>
      <c r="F864" s="212"/>
      <c r="G864" s="212"/>
      <c r="H864" s="212"/>
      <c r="I864" s="212"/>
      <c r="J864" s="212"/>
      <c r="K864" s="212"/>
      <c r="L864" s="212"/>
      <c r="M864" s="212"/>
      <c r="N864" s="212"/>
      <c r="O864" s="212"/>
      <c r="P864" s="212"/>
      <c r="Q864" s="212"/>
      <c r="R864" s="451"/>
      <c r="S864" s="451"/>
      <c r="T864" s="212"/>
      <c r="U864" s="451"/>
      <c r="V864" s="451"/>
      <c r="W864" s="451"/>
      <c r="X864" s="451"/>
      <c r="Y864" s="212"/>
      <c r="Z864" s="212"/>
      <c r="AA864" s="212"/>
      <c r="AB864" s="212"/>
      <c r="AC864" s="212"/>
      <c r="AD864" s="212"/>
      <c r="AE864" s="450"/>
      <c r="AF864" s="212"/>
      <c r="AG864" s="212"/>
      <c r="AH864" s="212"/>
      <c r="AI864" s="212"/>
      <c r="AJ864" s="212"/>
      <c r="AK864" s="212"/>
      <c r="AL864" s="212"/>
      <c r="AM864" s="212"/>
      <c r="AN864" s="212"/>
      <c r="AO864" s="212"/>
      <c r="AP864" s="212"/>
      <c r="AQ864" s="212"/>
      <c r="AR864" s="212"/>
      <c r="AS864" s="212"/>
      <c r="AT864" s="212"/>
      <c r="AU864" s="212"/>
      <c r="AV864" s="212"/>
      <c r="AW864" s="212"/>
      <c r="AX864" s="212"/>
      <c r="AY864" s="212"/>
      <c r="AZ864" s="452"/>
      <c r="BA864" s="212"/>
      <c r="BB864" s="212"/>
      <c r="BC864" s="212"/>
      <c r="BD864" s="212"/>
      <c r="BE864" s="212"/>
      <c r="BF864" s="452"/>
    </row>
    <row r="865">
      <c r="A865" s="212"/>
      <c r="B865" s="447"/>
      <c r="C865" s="212"/>
      <c r="D865" s="212"/>
      <c r="E865" s="212"/>
      <c r="F865" s="212"/>
      <c r="G865" s="212"/>
      <c r="H865" s="212"/>
      <c r="I865" s="212"/>
      <c r="J865" s="212"/>
      <c r="K865" s="212"/>
      <c r="L865" s="212"/>
      <c r="M865" s="212"/>
      <c r="N865" s="212"/>
      <c r="O865" s="212"/>
      <c r="P865" s="212"/>
      <c r="Q865" s="212"/>
      <c r="R865" s="451"/>
      <c r="S865" s="451"/>
      <c r="T865" s="212"/>
      <c r="U865" s="451"/>
      <c r="V865" s="451"/>
      <c r="W865" s="451"/>
      <c r="X865" s="451"/>
      <c r="Y865" s="212"/>
      <c r="Z865" s="212"/>
      <c r="AA865" s="212"/>
      <c r="AB865" s="212"/>
      <c r="AC865" s="212"/>
      <c r="AD865" s="212"/>
      <c r="AE865" s="450"/>
      <c r="AF865" s="212"/>
      <c r="AG865" s="212"/>
      <c r="AH865" s="212"/>
      <c r="AI865" s="212"/>
      <c r="AJ865" s="212"/>
      <c r="AK865" s="212"/>
      <c r="AL865" s="212"/>
      <c r="AM865" s="212"/>
      <c r="AN865" s="212"/>
      <c r="AO865" s="212"/>
      <c r="AP865" s="212"/>
      <c r="AQ865" s="212"/>
      <c r="AR865" s="212"/>
      <c r="AS865" s="212"/>
      <c r="AT865" s="212"/>
      <c r="AU865" s="212"/>
      <c r="AV865" s="212"/>
      <c r="AW865" s="212"/>
      <c r="AX865" s="212"/>
      <c r="AY865" s="212"/>
      <c r="AZ865" s="452"/>
      <c r="BA865" s="212"/>
      <c r="BB865" s="212"/>
      <c r="BC865" s="212"/>
      <c r="BD865" s="212"/>
      <c r="BE865" s="212"/>
      <c r="BF865" s="452"/>
    </row>
    <row r="866">
      <c r="A866" s="212"/>
      <c r="B866" s="447"/>
      <c r="C866" s="212"/>
      <c r="D866" s="212"/>
      <c r="E866" s="212"/>
      <c r="F866" s="212"/>
      <c r="G866" s="212"/>
      <c r="H866" s="212"/>
      <c r="I866" s="212"/>
      <c r="J866" s="212"/>
      <c r="K866" s="212"/>
      <c r="L866" s="212"/>
      <c r="M866" s="212"/>
      <c r="N866" s="212"/>
      <c r="O866" s="212"/>
      <c r="P866" s="212"/>
      <c r="Q866" s="212"/>
      <c r="R866" s="451"/>
      <c r="S866" s="451"/>
      <c r="T866" s="212"/>
      <c r="U866" s="451"/>
      <c r="V866" s="451"/>
      <c r="W866" s="451"/>
      <c r="X866" s="451"/>
      <c r="Y866" s="212"/>
      <c r="Z866" s="212"/>
      <c r="AA866" s="212"/>
      <c r="AB866" s="212"/>
      <c r="AC866" s="212"/>
      <c r="AD866" s="212"/>
      <c r="AE866" s="450"/>
      <c r="AF866" s="212"/>
      <c r="AG866" s="212"/>
      <c r="AH866" s="212"/>
      <c r="AI866" s="212"/>
      <c r="AJ866" s="212"/>
      <c r="AK866" s="212"/>
      <c r="AL866" s="212"/>
      <c r="AM866" s="212"/>
      <c r="AN866" s="212"/>
      <c r="AO866" s="212"/>
      <c r="AP866" s="212"/>
      <c r="AQ866" s="212"/>
      <c r="AR866" s="212"/>
      <c r="AS866" s="212"/>
      <c r="AT866" s="212"/>
      <c r="AU866" s="212"/>
      <c r="AV866" s="212"/>
      <c r="AW866" s="212"/>
      <c r="AX866" s="212"/>
      <c r="AY866" s="212"/>
      <c r="AZ866" s="452"/>
      <c r="BA866" s="212"/>
      <c r="BB866" s="212"/>
      <c r="BC866" s="212"/>
      <c r="BD866" s="212"/>
      <c r="BE866" s="212"/>
      <c r="BF866" s="452"/>
    </row>
    <row r="867">
      <c r="A867" s="212"/>
      <c r="B867" s="447"/>
      <c r="C867" s="212"/>
      <c r="D867" s="212"/>
      <c r="E867" s="212"/>
      <c r="F867" s="212"/>
      <c r="G867" s="212"/>
      <c r="H867" s="212"/>
      <c r="I867" s="212"/>
      <c r="J867" s="212"/>
      <c r="K867" s="212"/>
      <c r="L867" s="212"/>
      <c r="M867" s="212"/>
      <c r="N867" s="212"/>
      <c r="O867" s="212"/>
      <c r="P867" s="212"/>
      <c r="Q867" s="212"/>
      <c r="R867" s="451"/>
      <c r="S867" s="451"/>
      <c r="T867" s="212"/>
      <c r="U867" s="451"/>
      <c r="V867" s="451"/>
      <c r="W867" s="451"/>
      <c r="X867" s="451"/>
      <c r="Y867" s="212"/>
      <c r="Z867" s="212"/>
      <c r="AA867" s="212"/>
      <c r="AB867" s="212"/>
      <c r="AC867" s="212"/>
      <c r="AD867" s="212"/>
      <c r="AE867" s="450"/>
      <c r="AF867" s="212"/>
      <c r="AG867" s="212"/>
      <c r="AH867" s="212"/>
      <c r="AI867" s="212"/>
      <c r="AJ867" s="212"/>
      <c r="AK867" s="212"/>
      <c r="AL867" s="212"/>
      <c r="AM867" s="212"/>
      <c r="AN867" s="212"/>
      <c r="AO867" s="212"/>
      <c r="AP867" s="212"/>
      <c r="AQ867" s="212"/>
      <c r="AR867" s="212"/>
      <c r="AS867" s="212"/>
      <c r="AT867" s="212"/>
      <c r="AU867" s="212"/>
      <c r="AV867" s="212"/>
      <c r="AW867" s="212"/>
      <c r="AX867" s="212"/>
      <c r="AY867" s="212"/>
      <c r="AZ867" s="452"/>
      <c r="BA867" s="212"/>
      <c r="BB867" s="212"/>
      <c r="BC867" s="212"/>
      <c r="BD867" s="212"/>
      <c r="BE867" s="212"/>
      <c r="BF867" s="452"/>
    </row>
    <row r="868">
      <c r="A868" s="212"/>
      <c r="B868" s="447"/>
      <c r="C868" s="212"/>
      <c r="D868" s="212"/>
      <c r="E868" s="212"/>
      <c r="F868" s="212"/>
      <c r="G868" s="212"/>
      <c r="H868" s="212"/>
      <c r="I868" s="212"/>
      <c r="J868" s="212"/>
      <c r="K868" s="212"/>
      <c r="L868" s="212"/>
      <c r="M868" s="212"/>
      <c r="N868" s="212"/>
      <c r="O868" s="212"/>
      <c r="P868" s="212"/>
      <c r="Q868" s="212"/>
      <c r="R868" s="451"/>
      <c r="S868" s="451"/>
      <c r="T868" s="212"/>
      <c r="U868" s="451"/>
      <c r="V868" s="451"/>
      <c r="W868" s="451"/>
      <c r="X868" s="451"/>
      <c r="Y868" s="212"/>
      <c r="Z868" s="212"/>
      <c r="AA868" s="212"/>
      <c r="AB868" s="212"/>
      <c r="AC868" s="212"/>
      <c r="AD868" s="212"/>
      <c r="AE868" s="450"/>
      <c r="AF868" s="212"/>
      <c r="AG868" s="212"/>
      <c r="AH868" s="212"/>
      <c r="AI868" s="212"/>
      <c r="AJ868" s="212"/>
      <c r="AK868" s="212"/>
      <c r="AL868" s="212"/>
      <c r="AM868" s="212"/>
      <c r="AN868" s="212"/>
      <c r="AO868" s="212"/>
      <c r="AP868" s="212"/>
      <c r="AQ868" s="212"/>
      <c r="AR868" s="212"/>
      <c r="AS868" s="212"/>
      <c r="AT868" s="212"/>
      <c r="AU868" s="212"/>
      <c r="AV868" s="212"/>
      <c r="AW868" s="212"/>
      <c r="AX868" s="212"/>
      <c r="AY868" s="212"/>
      <c r="AZ868" s="452"/>
      <c r="BA868" s="212"/>
      <c r="BB868" s="212"/>
      <c r="BC868" s="212"/>
      <c r="BD868" s="212"/>
      <c r="BE868" s="212"/>
      <c r="BF868" s="452"/>
    </row>
    <row r="869">
      <c r="A869" s="212"/>
      <c r="B869" s="447"/>
      <c r="C869" s="212"/>
      <c r="D869" s="212"/>
      <c r="E869" s="212"/>
      <c r="F869" s="212"/>
      <c r="G869" s="212"/>
      <c r="H869" s="212"/>
      <c r="I869" s="212"/>
      <c r="J869" s="212"/>
      <c r="K869" s="212"/>
      <c r="L869" s="212"/>
      <c r="M869" s="212"/>
      <c r="N869" s="212"/>
      <c r="O869" s="212"/>
      <c r="P869" s="212"/>
      <c r="Q869" s="212"/>
      <c r="R869" s="451"/>
      <c r="S869" s="451"/>
      <c r="T869" s="212"/>
      <c r="U869" s="451"/>
      <c r="V869" s="451"/>
      <c r="W869" s="451"/>
      <c r="X869" s="451"/>
      <c r="Y869" s="212"/>
      <c r="Z869" s="212"/>
      <c r="AA869" s="212"/>
      <c r="AB869" s="212"/>
      <c r="AC869" s="212"/>
      <c r="AD869" s="212"/>
      <c r="AE869" s="450"/>
      <c r="AF869" s="212"/>
      <c r="AG869" s="212"/>
      <c r="AH869" s="212"/>
      <c r="AI869" s="212"/>
      <c r="AJ869" s="212"/>
      <c r="AK869" s="212"/>
      <c r="AL869" s="212"/>
      <c r="AM869" s="212"/>
      <c r="AN869" s="212"/>
      <c r="AO869" s="212"/>
      <c r="AP869" s="212"/>
      <c r="AQ869" s="212"/>
      <c r="AR869" s="212"/>
      <c r="AS869" s="212"/>
      <c r="AT869" s="212"/>
      <c r="AU869" s="212"/>
      <c r="AV869" s="212"/>
      <c r="AW869" s="212"/>
      <c r="AX869" s="212"/>
      <c r="AY869" s="212"/>
      <c r="AZ869" s="452"/>
      <c r="BA869" s="212"/>
      <c r="BB869" s="212"/>
      <c r="BC869" s="212"/>
      <c r="BD869" s="212"/>
      <c r="BE869" s="212"/>
      <c r="BF869" s="452"/>
    </row>
    <row r="870">
      <c r="A870" s="212"/>
      <c r="B870" s="447"/>
      <c r="C870" s="212"/>
      <c r="D870" s="212"/>
      <c r="E870" s="212"/>
      <c r="F870" s="212"/>
      <c r="G870" s="212"/>
      <c r="H870" s="212"/>
      <c r="I870" s="212"/>
      <c r="J870" s="212"/>
      <c r="K870" s="212"/>
      <c r="L870" s="212"/>
      <c r="M870" s="212"/>
      <c r="N870" s="212"/>
      <c r="O870" s="212"/>
      <c r="P870" s="212"/>
      <c r="Q870" s="212"/>
      <c r="R870" s="451"/>
      <c r="S870" s="451"/>
      <c r="T870" s="212"/>
      <c r="U870" s="451"/>
      <c r="V870" s="451"/>
      <c r="W870" s="451"/>
      <c r="X870" s="451"/>
      <c r="Y870" s="212"/>
      <c r="Z870" s="212"/>
      <c r="AA870" s="212"/>
      <c r="AB870" s="212"/>
      <c r="AC870" s="212"/>
      <c r="AD870" s="212"/>
      <c r="AE870" s="450"/>
      <c r="AF870" s="212"/>
      <c r="AG870" s="212"/>
      <c r="AH870" s="212"/>
      <c r="AI870" s="212"/>
      <c r="AJ870" s="212"/>
      <c r="AK870" s="212"/>
      <c r="AL870" s="212"/>
      <c r="AM870" s="212"/>
      <c r="AN870" s="212"/>
      <c r="AO870" s="212"/>
      <c r="AP870" s="212"/>
      <c r="AQ870" s="212"/>
      <c r="AR870" s="212"/>
      <c r="AS870" s="212"/>
      <c r="AT870" s="212"/>
      <c r="AU870" s="212"/>
      <c r="AV870" s="212"/>
      <c r="AW870" s="212"/>
      <c r="AX870" s="212"/>
      <c r="AY870" s="212"/>
      <c r="AZ870" s="452"/>
      <c r="BA870" s="212"/>
      <c r="BB870" s="212"/>
      <c r="BC870" s="212"/>
      <c r="BD870" s="212"/>
      <c r="BE870" s="212"/>
      <c r="BF870" s="452"/>
    </row>
    <row r="871">
      <c r="A871" s="212"/>
      <c r="B871" s="447"/>
      <c r="C871" s="212"/>
      <c r="D871" s="212"/>
      <c r="E871" s="212"/>
      <c r="F871" s="212"/>
      <c r="G871" s="212"/>
      <c r="H871" s="212"/>
      <c r="I871" s="212"/>
      <c r="J871" s="212"/>
      <c r="K871" s="212"/>
      <c r="L871" s="212"/>
      <c r="M871" s="212"/>
      <c r="N871" s="212"/>
      <c r="O871" s="212"/>
      <c r="P871" s="212"/>
      <c r="Q871" s="212"/>
      <c r="R871" s="451"/>
      <c r="S871" s="451"/>
      <c r="T871" s="212"/>
      <c r="U871" s="451"/>
      <c r="V871" s="451"/>
      <c r="W871" s="451"/>
      <c r="X871" s="451"/>
      <c r="Y871" s="212"/>
      <c r="Z871" s="212"/>
      <c r="AA871" s="212"/>
      <c r="AB871" s="212"/>
      <c r="AC871" s="212"/>
      <c r="AD871" s="212"/>
      <c r="AE871" s="450"/>
      <c r="AF871" s="212"/>
      <c r="AG871" s="212"/>
      <c r="AH871" s="212"/>
      <c r="AI871" s="212"/>
      <c r="AJ871" s="212"/>
      <c r="AK871" s="212"/>
      <c r="AL871" s="212"/>
      <c r="AM871" s="212"/>
      <c r="AN871" s="212"/>
      <c r="AO871" s="212"/>
      <c r="AP871" s="212"/>
      <c r="AQ871" s="212"/>
      <c r="AR871" s="212"/>
      <c r="AS871" s="212"/>
      <c r="AT871" s="212"/>
      <c r="AU871" s="212"/>
      <c r="AV871" s="212"/>
      <c r="AW871" s="212"/>
      <c r="AX871" s="212"/>
      <c r="AY871" s="212"/>
      <c r="AZ871" s="452"/>
      <c r="BA871" s="212"/>
      <c r="BB871" s="212"/>
      <c r="BC871" s="212"/>
      <c r="BD871" s="212"/>
      <c r="BE871" s="212"/>
      <c r="BF871" s="452"/>
    </row>
    <row r="872">
      <c r="A872" s="212"/>
      <c r="B872" s="447"/>
      <c r="C872" s="212"/>
      <c r="D872" s="212"/>
      <c r="E872" s="212"/>
      <c r="F872" s="212"/>
      <c r="G872" s="212"/>
      <c r="H872" s="212"/>
      <c r="I872" s="212"/>
      <c r="J872" s="212"/>
      <c r="K872" s="212"/>
      <c r="L872" s="212"/>
      <c r="M872" s="212"/>
      <c r="N872" s="212"/>
      <c r="O872" s="212"/>
      <c r="P872" s="212"/>
      <c r="Q872" s="212"/>
      <c r="R872" s="451"/>
      <c r="S872" s="451"/>
      <c r="T872" s="212"/>
      <c r="U872" s="451"/>
      <c r="V872" s="451"/>
      <c r="W872" s="451"/>
      <c r="X872" s="451"/>
      <c r="Y872" s="212"/>
      <c r="Z872" s="212"/>
      <c r="AA872" s="212"/>
      <c r="AB872" s="212"/>
      <c r="AC872" s="212"/>
      <c r="AD872" s="212"/>
      <c r="AE872" s="450"/>
      <c r="AF872" s="212"/>
      <c r="AG872" s="212"/>
      <c r="AH872" s="212"/>
      <c r="AI872" s="212"/>
      <c r="AJ872" s="212"/>
      <c r="AK872" s="212"/>
      <c r="AL872" s="212"/>
      <c r="AM872" s="212"/>
      <c r="AN872" s="212"/>
      <c r="AO872" s="212"/>
      <c r="AP872" s="212"/>
      <c r="AQ872" s="212"/>
      <c r="AR872" s="212"/>
      <c r="AS872" s="212"/>
      <c r="AT872" s="212"/>
      <c r="AU872" s="212"/>
      <c r="AV872" s="212"/>
      <c r="AW872" s="212"/>
      <c r="AX872" s="212"/>
      <c r="AY872" s="212"/>
      <c r="AZ872" s="452"/>
      <c r="BA872" s="212"/>
      <c r="BB872" s="212"/>
      <c r="BC872" s="212"/>
      <c r="BD872" s="212"/>
      <c r="BE872" s="212"/>
      <c r="BF872" s="452"/>
    </row>
    <row r="873">
      <c r="A873" s="212"/>
      <c r="B873" s="447"/>
      <c r="C873" s="212"/>
      <c r="D873" s="212"/>
      <c r="E873" s="212"/>
      <c r="F873" s="212"/>
      <c r="G873" s="212"/>
      <c r="H873" s="212"/>
      <c r="I873" s="212"/>
      <c r="J873" s="212"/>
      <c r="K873" s="212"/>
      <c r="L873" s="212"/>
      <c r="M873" s="212"/>
      <c r="N873" s="212"/>
      <c r="O873" s="212"/>
      <c r="P873" s="212"/>
      <c r="Q873" s="212"/>
      <c r="R873" s="451"/>
      <c r="S873" s="451"/>
      <c r="T873" s="212"/>
      <c r="U873" s="451"/>
      <c r="V873" s="451"/>
      <c r="W873" s="451"/>
      <c r="X873" s="451"/>
      <c r="Y873" s="212"/>
      <c r="Z873" s="212"/>
      <c r="AA873" s="212"/>
      <c r="AB873" s="212"/>
      <c r="AC873" s="212"/>
      <c r="AD873" s="212"/>
      <c r="AE873" s="450"/>
      <c r="AF873" s="212"/>
      <c r="AG873" s="212"/>
      <c r="AH873" s="212"/>
      <c r="AI873" s="212"/>
      <c r="AJ873" s="212"/>
      <c r="AK873" s="212"/>
      <c r="AL873" s="212"/>
      <c r="AM873" s="212"/>
      <c r="AN873" s="212"/>
      <c r="AO873" s="212"/>
      <c r="AP873" s="212"/>
      <c r="AQ873" s="212"/>
      <c r="AR873" s="212"/>
      <c r="AS873" s="212"/>
      <c r="AT873" s="212"/>
      <c r="AU873" s="212"/>
      <c r="AV873" s="212"/>
      <c r="AW873" s="212"/>
      <c r="AX873" s="212"/>
      <c r="AY873" s="212"/>
      <c r="AZ873" s="452"/>
      <c r="BA873" s="212"/>
      <c r="BB873" s="212"/>
      <c r="BC873" s="212"/>
      <c r="BD873" s="212"/>
      <c r="BE873" s="212"/>
      <c r="BF873" s="452"/>
    </row>
    <row r="874">
      <c r="A874" s="212"/>
      <c r="B874" s="447"/>
      <c r="C874" s="212"/>
      <c r="D874" s="212"/>
      <c r="E874" s="212"/>
      <c r="F874" s="212"/>
      <c r="G874" s="212"/>
      <c r="H874" s="212"/>
      <c r="I874" s="212"/>
      <c r="J874" s="212"/>
      <c r="K874" s="212"/>
      <c r="L874" s="212"/>
      <c r="M874" s="212"/>
      <c r="N874" s="212"/>
      <c r="O874" s="212"/>
      <c r="P874" s="212"/>
      <c r="Q874" s="212"/>
      <c r="R874" s="451"/>
      <c r="S874" s="451"/>
      <c r="T874" s="212"/>
      <c r="U874" s="451"/>
      <c r="V874" s="451"/>
      <c r="W874" s="451"/>
      <c r="X874" s="451"/>
      <c r="Y874" s="212"/>
      <c r="Z874" s="212"/>
      <c r="AA874" s="212"/>
      <c r="AB874" s="212"/>
      <c r="AC874" s="212"/>
      <c r="AD874" s="212"/>
      <c r="AE874" s="450"/>
      <c r="AF874" s="212"/>
      <c r="AG874" s="212"/>
      <c r="AH874" s="212"/>
      <c r="AI874" s="212"/>
      <c r="AJ874" s="212"/>
      <c r="AK874" s="212"/>
      <c r="AL874" s="212"/>
      <c r="AM874" s="212"/>
      <c r="AN874" s="212"/>
      <c r="AO874" s="212"/>
      <c r="AP874" s="212"/>
      <c r="AQ874" s="212"/>
      <c r="AR874" s="212"/>
      <c r="AS874" s="212"/>
      <c r="AT874" s="212"/>
      <c r="AU874" s="212"/>
      <c r="AV874" s="212"/>
      <c r="AW874" s="212"/>
      <c r="AX874" s="212"/>
      <c r="AY874" s="212"/>
      <c r="AZ874" s="452"/>
      <c r="BA874" s="212"/>
      <c r="BB874" s="212"/>
      <c r="BC874" s="212"/>
      <c r="BD874" s="212"/>
      <c r="BE874" s="212"/>
      <c r="BF874" s="452"/>
    </row>
    <row r="875">
      <c r="A875" s="212"/>
      <c r="B875" s="447"/>
      <c r="C875" s="212"/>
      <c r="D875" s="212"/>
      <c r="E875" s="212"/>
      <c r="F875" s="212"/>
      <c r="G875" s="212"/>
      <c r="H875" s="212"/>
      <c r="I875" s="212"/>
      <c r="J875" s="212"/>
      <c r="K875" s="212"/>
      <c r="L875" s="212"/>
      <c r="M875" s="212"/>
      <c r="N875" s="212"/>
      <c r="O875" s="212"/>
      <c r="P875" s="212"/>
      <c r="Q875" s="212"/>
      <c r="R875" s="451"/>
      <c r="S875" s="451"/>
      <c r="T875" s="212"/>
      <c r="U875" s="451"/>
      <c r="V875" s="451"/>
      <c r="W875" s="451"/>
      <c r="X875" s="451"/>
      <c r="Y875" s="212"/>
      <c r="Z875" s="212"/>
      <c r="AA875" s="212"/>
      <c r="AB875" s="212"/>
      <c r="AC875" s="212"/>
      <c r="AD875" s="212"/>
      <c r="AE875" s="450"/>
      <c r="AF875" s="212"/>
      <c r="AG875" s="212"/>
      <c r="AH875" s="212"/>
      <c r="AI875" s="212"/>
      <c r="AJ875" s="212"/>
      <c r="AK875" s="212"/>
      <c r="AL875" s="212"/>
      <c r="AM875" s="212"/>
      <c r="AN875" s="212"/>
      <c r="AO875" s="212"/>
      <c r="AP875" s="212"/>
      <c r="AQ875" s="212"/>
      <c r="AR875" s="212"/>
      <c r="AS875" s="212"/>
      <c r="AT875" s="212"/>
      <c r="AU875" s="212"/>
      <c r="AV875" s="212"/>
      <c r="AW875" s="212"/>
      <c r="AX875" s="212"/>
      <c r="AY875" s="212"/>
      <c r="AZ875" s="452"/>
      <c r="BA875" s="212"/>
      <c r="BB875" s="212"/>
      <c r="BC875" s="212"/>
      <c r="BD875" s="212"/>
      <c r="BE875" s="212"/>
      <c r="BF875" s="452"/>
    </row>
    <row r="876">
      <c r="A876" s="212"/>
      <c r="B876" s="447"/>
      <c r="C876" s="212"/>
      <c r="D876" s="212"/>
      <c r="E876" s="212"/>
      <c r="F876" s="212"/>
      <c r="G876" s="212"/>
      <c r="H876" s="212"/>
      <c r="I876" s="212"/>
      <c r="J876" s="212"/>
      <c r="K876" s="212"/>
      <c r="L876" s="212"/>
      <c r="M876" s="212"/>
      <c r="N876" s="212"/>
      <c r="O876" s="212"/>
      <c r="P876" s="212"/>
      <c r="Q876" s="212"/>
      <c r="R876" s="451"/>
      <c r="S876" s="451"/>
      <c r="T876" s="212"/>
      <c r="U876" s="451"/>
      <c r="V876" s="451"/>
      <c r="W876" s="451"/>
      <c r="X876" s="451"/>
      <c r="Y876" s="212"/>
      <c r="Z876" s="212"/>
      <c r="AA876" s="212"/>
      <c r="AB876" s="212"/>
      <c r="AC876" s="212"/>
      <c r="AD876" s="212"/>
      <c r="AE876" s="450"/>
      <c r="AF876" s="212"/>
      <c r="AG876" s="212"/>
      <c r="AH876" s="212"/>
      <c r="AI876" s="212"/>
      <c r="AJ876" s="212"/>
      <c r="AK876" s="212"/>
      <c r="AL876" s="212"/>
      <c r="AM876" s="212"/>
      <c r="AN876" s="212"/>
      <c r="AO876" s="212"/>
      <c r="AP876" s="212"/>
      <c r="AQ876" s="212"/>
      <c r="AR876" s="212"/>
      <c r="AS876" s="212"/>
      <c r="AT876" s="212"/>
      <c r="AU876" s="212"/>
      <c r="AV876" s="212"/>
      <c r="AW876" s="212"/>
      <c r="AX876" s="212"/>
      <c r="AY876" s="212"/>
      <c r="AZ876" s="452"/>
      <c r="BA876" s="212"/>
      <c r="BB876" s="212"/>
      <c r="BC876" s="212"/>
      <c r="BD876" s="212"/>
      <c r="BE876" s="212"/>
      <c r="BF876" s="452"/>
    </row>
    <row r="877">
      <c r="A877" s="212"/>
      <c r="B877" s="447"/>
      <c r="C877" s="212"/>
      <c r="D877" s="212"/>
      <c r="E877" s="212"/>
      <c r="F877" s="212"/>
      <c r="G877" s="212"/>
      <c r="H877" s="212"/>
      <c r="I877" s="212"/>
      <c r="J877" s="212"/>
      <c r="K877" s="212"/>
      <c r="L877" s="212"/>
      <c r="M877" s="212"/>
      <c r="N877" s="212"/>
      <c r="O877" s="212"/>
      <c r="P877" s="212"/>
      <c r="Q877" s="212"/>
      <c r="R877" s="451"/>
      <c r="S877" s="451"/>
      <c r="T877" s="212"/>
      <c r="U877" s="451"/>
      <c r="V877" s="451"/>
      <c r="W877" s="451"/>
      <c r="X877" s="451"/>
      <c r="Y877" s="212"/>
      <c r="Z877" s="212"/>
      <c r="AA877" s="212"/>
      <c r="AB877" s="212"/>
      <c r="AC877" s="212"/>
      <c r="AD877" s="212"/>
      <c r="AE877" s="450"/>
      <c r="AF877" s="212"/>
      <c r="AG877" s="212"/>
      <c r="AH877" s="212"/>
      <c r="AI877" s="212"/>
      <c r="AJ877" s="212"/>
      <c r="AK877" s="212"/>
      <c r="AL877" s="212"/>
      <c r="AM877" s="212"/>
      <c r="AN877" s="212"/>
      <c r="AO877" s="212"/>
      <c r="AP877" s="212"/>
      <c r="AQ877" s="212"/>
      <c r="AR877" s="212"/>
      <c r="AS877" s="212"/>
      <c r="AT877" s="212"/>
      <c r="AU877" s="212"/>
      <c r="AV877" s="212"/>
      <c r="AW877" s="212"/>
      <c r="AX877" s="212"/>
      <c r="AY877" s="212"/>
      <c r="AZ877" s="452"/>
      <c r="BA877" s="212"/>
      <c r="BB877" s="212"/>
      <c r="BC877" s="212"/>
      <c r="BD877" s="212"/>
      <c r="BE877" s="212"/>
      <c r="BF877" s="452"/>
    </row>
    <row r="878">
      <c r="A878" s="212"/>
      <c r="B878" s="447"/>
      <c r="C878" s="212"/>
      <c r="D878" s="212"/>
      <c r="E878" s="212"/>
      <c r="F878" s="212"/>
      <c r="G878" s="212"/>
      <c r="H878" s="212"/>
      <c r="I878" s="212"/>
      <c r="J878" s="212"/>
      <c r="K878" s="212"/>
      <c r="L878" s="212"/>
      <c r="M878" s="212"/>
      <c r="N878" s="212"/>
      <c r="O878" s="212"/>
      <c r="P878" s="212"/>
      <c r="Q878" s="212"/>
      <c r="R878" s="451"/>
      <c r="S878" s="451"/>
      <c r="T878" s="212"/>
      <c r="U878" s="451"/>
      <c r="V878" s="451"/>
      <c r="W878" s="451"/>
      <c r="X878" s="451"/>
      <c r="Y878" s="212"/>
      <c r="Z878" s="212"/>
      <c r="AA878" s="212"/>
      <c r="AB878" s="212"/>
      <c r="AC878" s="212"/>
      <c r="AD878" s="212"/>
      <c r="AE878" s="450"/>
      <c r="AF878" s="212"/>
      <c r="AG878" s="212"/>
      <c r="AH878" s="212"/>
      <c r="AI878" s="212"/>
      <c r="AJ878" s="212"/>
      <c r="AK878" s="212"/>
      <c r="AL878" s="212"/>
      <c r="AM878" s="212"/>
      <c r="AN878" s="212"/>
      <c r="AO878" s="212"/>
      <c r="AP878" s="212"/>
      <c r="AQ878" s="212"/>
      <c r="AR878" s="212"/>
      <c r="AS878" s="212"/>
      <c r="AT878" s="212"/>
      <c r="AU878" s="212"/>
      <c r="AV878" s="212"/>
      <c r="AW878" s="212"/>
      <c r="AX878" s="212"/>
      <c r="AY878" s="212"/>
      <c r="AZ878" s="452"/>
      <c r="BA878" s="212"/>
      <c r="BB878" s="212"/>
      <c r="BC878" s="212"/>
      <c r="BD878" s="212"/>
      <c r="BE878" s="212"/>
      <c r="BF878" s="452"/>
    </row>
    <row r="879">
      <c r="A879" s="212"/>
      <c r="B879" s="447"/>
      <c r="C879" s="212"/>
      <c r="D879" s="212"/>
      <c r="E879" s="212"/>
      <c r="F879" s="212"/>
      <c r="G879" s="212"/>
      <c r="H879" s="212"/>
      <c r="I879" s="212"/>
      <c r="J879" s="212"/>
      <c r="K879" s="212"/>
      <c r="L879" s="212"/>
      <c r="M879" s="212"/>
      <c r="N879" s="212"/>
      <c r="O879" s="212"/>
      <c r="P879" s="212"/>
      <c r="Q879" s="212"/>
      <c r="R879" s="451"/>
      <c r="S879" s="451"/>
      <c r="T879" s="212"/>
      <c r="U879" s="451"/>
      <c r="V879" s="451"/>
      <c r="W879" s="451"/>
      <c r="X879" s="451"/>
      <c r="Y879" s="212"/>
      <c r="Z879" s="212"/>
      <c r="AA879" s="212"/>
      <c r="AB879" s="212"/>
      <c r="AC879" s="212"/>
      <c r="AD879" s="212"/>
      <c r="AE879" s="450"/>
      <c r="AF879" s="212"/>
      <c r="AG879" s="212"/>
      <c r="AH879" s="212"/>
      <c r="AI879" s="212"/>
      <c r="AJ879" s="212"/>
      <c r="AK879" s="212"/>
      <c r="AL879" s="212"/>
      <c r="AM879" s="212"/>
      <c r="AN879" s="212"/>
      <c r="AO879" s="212"/>
      <c r="AP879" s="212"/>
      <c r="AQ879" s="212"/>
      <c r="AR879" s="212"/>
      <c r="AS879" s="212"/>
      <c r="AT879" s="212"/>
      <c r="AU879" s="212"/>
      <c r="AV879" s="212"/>
      <c r="AW879" s="212"/>
      <c r="AX879" s="212"/>
      <c r="AY879" s="212"/>
      <c r="AZ879" s="452"/>
      <c r="BA879" s="212"/>
      <c r="BB879" s="212"/>
      <c r="BC879" s="212"/>
      <c r="BD879" s="212"/>
      <c r="BE879" s="212"/>
      <c r="BF879" s="452"/>
    </row>
    <row r="880">
      <c r="A880" s="212"/>
      <c r="B880" s="447"/>
      <c r="C880" s="212"/>
      <c r="D880" s="212"/>
      <c r="E880" s="212"/>
      <c r="F880" s="212"/>
      <c r="G880" s="212"/>
      <c r="H880" s="212"/>
      <c r="I880" s="212"/>
      <c r="J880" s="212"/>
      <c r="K880" s="212"/>
      <c r="L880" s="212"/>
      <c r="M880" s="212"/>
      <c r="N880" s="212"/>
      <c r="O880" s="212"/>
      <c r="P880" s="212"/>
      <c r="Q880" s="212"/>
      <c r="R880" s="451"/>
      <c r="S880" s="451"/>
      <c r="T880" s="212"/>
      <c r="U880" s="451"/>
      <c r="V880" s="451"/>
      <c r="W880" s="451"/>
      <c r="X880" s="451"/>
      <c r="Y880" s="212"/>
      <c r="Z880" s="212"/>
      <c r="AA880" s="212"/>
      <c r="AB880" s="212"/>
      <c r="AC880" s="212"/>
      <c r="AD880" s="212"/>
      <c r="AE880" s="450"/>
      <c r="AF880" s="212"/>
      <c r="AG880" s="212"/>
      <c r="AH880" s="212"/>
      <c r="AI880" s="212"/>
      <c r="AJ880" s="212"/>
      <c r="AK880" s="212"/>
      <c r="AL880" s="212"/>
      <c r="AM880" s="212"/>
      <c r="AN880" s="212"/>
      <c r="AO880" s="212"/>
      <c r="AP880" s="212"/>
      <c r="AQ880" s="212"/>
      <c r="AR880" s="212"/>
      <c r="AS880" s="212"/>
      <c r="AT880" s="212"/>
      <c r="AU880" s="212"/>
      <c r="AV880" s="212"/>
      <c r="AW880" s="212"/>
      <c r="AX880" s="212"/>
      <c r="AY880" s="212"/>
      <c r="AZ880" s="452"/>
      <c r="BA880" s="212"/>
      <c r="BB880" s="212"/>
      <c r="BC880" s="212"/>
      <c r="BD880" s="212"/>
      <c r="BE880" s="212"/>
      <c r="BF880" s="452"/>
    </row>
    <row r="881">
      <c r="A881" s="212"/>
      <c r="B881" s="447"/>
      <c r="C881" s="212"/>
      <c r="D881" s="212"/>
      <c r="E881" s="212"/>
      <c r="F881" s="212"/>
      <c r="G881" s="212"/>
      <c r="H881" s="212"/>
      <c r="I881" s="212"/>
      <c r="J881" s="212"/>
      <c r="K881" s="212"/>
      <c r="L881" s="212"/>
      <c r="M881" s="212"/>
      <c r="N881" s="212"/>
      <c r="O881" s="212"/>
      <c r="P881" s="212"/>
      <c r="Q881" s="212"/>
      <c r="R881" s="451"/>
      <c r="S881" s="451"/>
      <c r="T881" s="212"/>
      <c r="U881" s="451"/>
      <c r="V881" s="451"/>
      <c r="W881" s="451"/>
      <c r="X881" s="451"/>
      <c r="Y881" s="212"/>
      <c r="Z881" s="212"/>
      <c r="AA881" s="212"/>
      <c r="AB881" s="212"/>
      <c r="AC881" s="212"/>
      <c r="AD881" s="212"/>
      <c r="AE881" s="450"/>
      <c r="AF881" s="212"/>
      <c r="AG881" s="212"/>
      <c r="AH881" s="212"/>
      <c r="AI881" s="212"/>
      <c r="AJ881" s="212"/>
      <c r="AK881" s="212"/>
      <c r="AL881" s="212"/>
      <c r="AM881" s="212"/>
      <c r="AN881" s="212"/>
      <c r="AO881" s="212"/>
      <c r="AP881" s="212"/>
      <c r="AQ881" s="212"/>
      <c r="AR881" s="212"/>
      <c r="AS881" s="212"/>
      <c r="AT881" s="212"/>
      <c r="AU881" s="212"/>
      <c r="AV881" s="212"/>
      <c r="AW881" s="212"/>
      <c r="AX881" s="212"/>
      <c r="AY881" s="212"/>
      <c r="AZ881" s="452"/>
      <c r="BA881" s="212"/>
      <c r="BB881" s="212"/>
      <c r="BC881" s="212"/>
      <c r="BD881" s="212"/>
      <c r="BE881" s="212"/>
      <c r="BF881" s="452"/>
    </row>
    <row r="882">
      <c r="A882" s="212"/>
      <c r="B882" s="447"/>
      <c r="C882" s="212"/>
      <c r="D882" s="212"/>
      <c r="E882" s="212"/>
      <c r="F882" s="212"/>
      <c r="G882" s="212"/>
      <c r="H882" s="212"/>
      <c r="I882" s="212"/>
      <c r="J882" s="212"/>
      <c r="K882" s="212"/>
      <c r="L882" s="212"/>
      <c r="M882" s="212"/>
      <c r="N882" s="212"/>
      <c r="O882" s="212"/>
      <c r="P882" s="212"/>
      <c r="Q882" s="212"/>
      <c r="R882" s="451"/>
      <c r="S882" s="451"/>
      <c r="T882" s="212"/>
      <c r="U882" s="451"/>
      <c r="V882" s="451"/>
      <c r="W882" s="451"/>
      <c r="X882" s="451"/>
      <c r="Y882" s="212"/>
      <c r="Z882" s="212"/>
      <c r="AA882" s="212"/>
      <c r="AB882" s="212"/>
      <c r="AC882" s="212"/>
      <c r="AD882" s="212"/>
      <c r="AE882" s="450"/>
      <c r="AF882" s="212"/>
      <c r="AG882" s="212"/>
      <c r="AH882" s="212"/>
      <c r="AI882" s="212"/>
      <c r="AJ882" s="212"/>
      <c r="AK882" s="212"/>
      <c r="AL882" s="212"/>
      <c r="AM882" s="212"/>
      <c r="AN882" s="212"/>
      <c r="AO882" s="212"/>
      <c r="AP882" s="212"/>
      <c r="AQ882" s="212"/>
      <c r="AR882" s="212"/>
      <c r="AS882" s="212"/>
      <c r="AT882" s="212"/>
      <c r="AU882" s="212"/>
      <c r="AV882" s="212"/>
      <c r="AW882" s="212"/>
      <c r="AX882" s="212"/>
      <c r="AY882" s="212"/>
      <c r="AZ882" s="452"/>
      <c r="BA882" s="212"/>
      <c r="BB882" s="212"/>
      <c r="BC882" s="212"/>
      <c r="BD882" s="212"/>
      <c r="BE882" s="212"/>
      <c r="BF882" s="452"/>
    </row>
    <row r="883">
      <c r="A883" s="212"/>
      <c r="B883" s="447"/>
      <c r="C883" s="212"/>
      <c r="D883" s="212"/>
      <c r="E883" s="212"/>
      <c r="F883" s="212"/>
      <c r="G883" s="212"/>
      <c r="H883" s="212"/>
      <c r="I883" s="212"/>
      <c r="J883" s="212"/>
      <c r="K883" s="212"/>
      <c r="L883" s="212"/>
      <c r="M883" s="212"/>
      <c r="N883" s="212"/>
      <c r="O883" s="212"/>
      <c r="P883" s="212"/>
      <c r="Q883" s="212"/>
      <c r="R883" s="451"/>
      <c r="S883" s="451"/>
      <c r="T883" s="212"/>
      <c r="U883" s="451"/>
      <c r="V883" s="451"/>
      <c r="W883" s="451"/>
      <c r="X883" s="451"/>
      <c r="Y883" s="212"/>
      <c r="Z883" s="212"/>
      <c r="AA883" s="212"/>
      <c r="AB883" s="212"/>
      <c r="AC883" s="212"/>
      <c r="AD883" s="212"/>
      <c r="AE883" s="450"/>
      <c r="AF883" s="212"/>
      <c r="AG883" s="212"/>
      <c r="AH883" s="212"/>
      <c r="AI883" s="212"/>
      <c r="AJ883" s="212"/>
      <c r="AK883" s="212"/>
      <c r="AL883" s="212"/>
      <c r="AM883" s="212"/>
      <c r="AN883" s="212"/>
      <c r="AO883" s="212"/>
      <c r="AP883" s="212"/>
      <c r="AQ883" s="212"/>
      <c r="AR883" s="212"/>
      <c r="AS883" s="212"/>
      <c r="AT883" s="212"/>
      <c r="AU883" s="212"/>
      <c r="AV883" s="212"/>
      <c r="AW883" s="212"/>
      <c r="AX883" s="212"/>
      <c r="AY883" s="212"/>
      <c r="AZ883" s="452"/>
      <c r="BA883" s="212"/>
      <c r="BB883" s="212"/>
      <c r="BC883" s="212"/>
      <c r="BD883" s="212"/>
      <c r="BE883" s="212"/>
      <c r="BF883" s="452"/>
    </row>
    <row r="884">
      <c r="A884" s="212"/>
      <c r="B884" s="447"/>
      <c r="C884" s="212"/>
      <c r="D884" s="212"/>
      <c r="E884" s="212"/>
      <c r="F884" s="212"/>
      <c r="G884" s="212"/>
      <c r="H884" s="212"/>
      <c r="I884" s="212"/>
      <c r="J884" s="212"/>
      <c r="K884" s="212"/>
      <c r="L884" s="212"/>
      <c r="M884" s="212"/>
      <c r="N884" s="212"/>
      <c r="O884" s="212"/>
      <c r="P884" s="212"/>
      <c r="Q884" s="212"/>
      <c r="R884" s="451"/>
      <c r="S884" s="451"/>
      <c r="T884" s="212"/>
      <c r="U884" s="451"/>
      <c r="V884" s="451"/>
      <c r="W884" s="451"/>
      <c r="X884" s="451"/>
      <c r="Y884" s="212"/>
      <c r="Z884" s="212"/>
      <c r="AA884" s="212"/>
      <c r="AB884" s="212"/>
      <c r="AC884" s="212"/>
      <c r="AD884" s="212"/>
      <c r="AE884" s="450"/>
      <c r="AF884" s="212"/>
      <c r="AG884" s="212"/>
      <c r="AH884" s="212"/>
      <c r="AI884" s="212"/>
      <c r="AJ884" s="212"/>
      <c r="AK884" s="212"/>
      <c r="AL884" s="212"/>
      <c r="AM884" s="212"/>
      <c r="AN884" s="212"/>
      <c r="AO884" s="212"/>
      <c r="AP884" s="212"/>
      <c r="AQ884" s="212"/>
      <c r="AR884" s="212"/>
      <c r="AS884" s="212"/>
      <c r="AT884" s="212"/>
      <c r="AU884" s="212"/>
      <c r="AV884" s="212"/>
      <c r="AW884" s="212"/>
      <c r="AX884" s="212"/>
      <c r="AY884" s="212"/>
      <c r="AZ884" s="452"/>
      <c r="BA884" s="212"/>
      <c r="BB884" s="212"/>
      <c r="BC884" s="212"/>
      <c r="BD884" s="212"/>
      <c r="BE884" s="212"/>
      <c r="BF884" s="452"/>
    </row>
    <row r="885">
      <c r="A885" s="212"/>
      <c r="B885" s="447"/>
      <c r="C885" s="212"/>
      <c r="D885" s="212"/>
      <c r="E885" s="212"/>
      <c r="F885" s="212"/>
      <c r="G885" s="212"/>
      <c r="H885" s="212"/>
      <c r="I885" s="212"/>
      <c r="J885" s="212"/>
      <c r="K885" s="212"/>
      <c r="L885" s="212"/>
      <c r="M885" s="212"/>
      <c r="N885" s="212"/>
      <c r="O885" s="212"/>
      <c r="P885" s="212"/>
      <c r="Q885" s="212"/>
      <c r="R885" s="451"/>
      <c r="S885" s="451"/>
      <c r="T885" s="212"/>
      <c r="U885" s="451"/>
      <c r="V885" s="451"/>
      <c r="W885" s="451"/>
      <c r="X885" s="451"/>
      <c r="Y885" s="212"/>
      <c r="Z885" s="212"/>
      <c r="AA885" s="212"/>
      <c r="AB885" s="212"/>
      <c r="AC885" s="212"/>
      <c r="AD885" s="212"/>
      <c r="AE885" s="450"/>
      <c r="AF885" s="212"/>
      <c r="AG885" s="212"/>
      <c r="AH885" s="212"/>
      <c r="AI885" s="212"/>
      <c r="AJ885" s="212"/>
      <c r="AK885" s="212"/>
      <c r="AL885" s="212"/>
      <c r="AM885" s="212"/>
      <c r="AN885" s="212"/>
      <c r="AO885" s="212"/>
      <c r="AP885" s="212"/>
      <c r="AQ885" s="212"/>
      <c r="AR885" s="212"/>
      <c r="AS885" s="212"/>
      <c r="AT885" s="212"/>
      <c r="AU885" s="212"/>
      <c r="AV885" s="212"/>
      <c r="AW885" s="212"/>
      <c r="AX885" s="212"/>
      <c r="AY885" s="212"/>
      <c r="AZ885" s="452"/>
      <c r="BA885" s="212"/>
      <c r="BB885" s="212"/>
      <c r="BC885" s="212"/>
      <c r="BD885" s="212"/>
      <c r="BE885" s="212"/>
      <c r="BF885" s="452"/>
    </row>
    <row r="886">
      <c r="A886" s="212"/>
      <c r="B886" s="447"/>
      <c r="C886" s="212"/>
      <c r="D886" s="212"/>
      <c r="E886" s="212"/>
      <c r="F886" s="212"/>
      <c r="G886" s="212"/>
      <c r="H886" s="212"/>
      <c r="I886" s="212"/>
      <c r="J886" s="212"/>
      <c r="K886" s="212"/>
      <c r="L886" s="212"/>
      <c r="M886" s="212"/>
      <c r="N886" s="212"/>
      <c r="O886" s="212"/>
      <c r="P886" s="212"/>
      <c r="Q886" s="212"/>
      <c r="R886" s="451"/>
      <c r="S886" s="451"/>
      <c r="T886" s="212"/>
      <c r="U886" s="451"/>
      <c r="V886" s="451"/>
      <c r="W886" s="451"/>
      <c r="X886" s="451"/>
      <c r="Y886" s="212"/>
      <c r="Z886" s="212"/>
      <c r="AA886" s="212"/>
      <c r="AB886" s="212"/>
      <c r="AC886" s="212"/>
      <c r="AD886" s="212"/>
      <c r="AE886" s="450"/>
      <c r="AF886" s="212"/>
      <c r="AG886" s="212"/>
      <c r="AH886" s="212"/>
      <c r="AI886" s="212"/>
      <c r="AJ886" s="212"/>
      <c r="AK886" s="212"/>
      <c r="AL886" s="212"/>
      <c r="AM886" s="212"/>
      <c r="AN886" s="212"/>
      <c r="AO886" s="212"/>
      <c r="AP886" s="212"/>
      <c r="AQ886" s="212"/>
      <c r="AR886" s="212"/>
      <c r="AS886" s="212"/>
      <c r="AT886" s="212"/>
      <c r="AU886" s="212"/>
      <c r="AV886" s="212"/>
      <c r="AW886" s="212"/>
      <c r="AX886" s="212"/>
      <c r="AY886" s="212"/>
      <c r="AZ886" s="452"/>
      <c r="BA886" s="212"/>
      <c r="BB886" s="212"/>
      <c r="BC886" s="212"/>
      <c r="BD886" s="212"/>
      <c r="BE886" s="212"/>
      <c r="BF886" s="452"/>
    </row>
    <row r="887">
      <c r="A887" s="212"/>
      <c r="B887" s="447"/>
      <c r="C887" s="212"/>
      <c r="D887" s="212"/>
      <c r="E887" s="212"/>
      <c r="F887" s="212"/>
      <c r="G887" s="212"/>
      <c r="H887" s="212"/>
      <c r="I887" s="212"/>
      <c r="J887" s="212"/>
      <c r="K887" s="212"/>
      <c r="L887" s="212"/>
      <c r="M887" s="212"/>
      <c r="N887" s="212"/>
      <c r="O887" s="212"/>
      <c r="P887" s="212"/>
      <c r="Q887" s="212"/>
      <c r="R887" s="451"/>
      <c r="S887" s="451"/>
      <c r="T887" s="212"/>
      <c r="U887" s="451"/>
      <c r="V887" s="451"/>
      <c r="W887" s="451"/>
      <c r="X887" s="451"/>
      <c r="Y887" s="212"/>
      <c r="Z887" s="212"/>
      <c r="AA887" s="212"/>
      <c r="AB887" s="212"/>
      <c r="AC887" s="212"/>
      <c r="AD887" s="212"/>
      <c r="AE887" s="450"/>
      <c r="AF887" s="212"/>
      <c r="AG887" s="212"/>
      <c r="AH887" s="212"/>
      <c r="AI887" s="212"/>
      <c r="AJ887" s="212"/>
      <c r="AK887" s="212"/>
      <c r="AL887" s="212"/>
      <c r="AM887" s="212"/>
      <c r="AN887" s="212"/>
      <c r="AO887" s="212"/>
      <c r="AP887" s="212"/>
      <c r="AQ887" s="212"/>
      <c r="AR887" s="212"/>
      <c r="AS887" s="212"/>
      <c r="AT887" s="212"/>
      <c r="AU887" s="212"/>
      <c r="AV887" s="212"/>
      <c r="AW887" s="212"/>
      <c r="AX887" s="212"/>
      <c r="AY887" s="212"/>
      <c r="AZ887" s="452"/>
      <c r="BA887" s="212"/>
      <c r="BB887" s="212"/>
      <c r="BC887" s="212"/>
      <c r="BD887" s="212"/>
      <c r="BE887" s="212"/>
      <c r="BF887" s="452"/>
    </row>
    <row r="888">
      <c r="A888" s="212"/>
      <c r="B888" s="447"/>
      <c r="C888" s="212"/>
      <c r="D888" s="212"/>
      <c r="E888" s="212"/>
      <c r="F888" s="212"/>
      <c r="G888" s="212"/>
      <c r="H888" s="212"/>
      <c r="I888" s="212"/>
      <c r="J888" s="212"/>
      <c r="K888" s="212"/>
      <c r="L888" s="212"/>
      <c r="M888" s="212"/>
      <c r="N888" s="212"/>
      <c r="O888" s="212"/>
      <c r="P888" s="212"/>
      <c r="Q888" s="212"/>
      <c r="R888" s="451"/>
      <c r="S888" s="451"/>
      <c r="T888" s="212"/>
      <c r="U888" s="451"/>
      <c r="V888" s="451"/>
      <c r="W888" s="451"/>
      <c r="X888" s="451"/>
      <c r="Y888" s="212"/>
      <c r="Z888" s="212"/>
      <c r="AA888" s="212"/>
      <c r="AB888" s="212"/>
      <c r="AC888" s="212"/>
      <c r="AD888" s="212"/>
      <c r="AE888" s="450"/>
      <c r="AF888" s="212"/>
      <c r="AG888" s="212"/>
      <c r="AH888" s="212"/>
      <c r="AI888" s="212"/>
      <c r="AJ888" s="212"/>
      <c r="AK888" s="212"/>
      <c r="AL888" s="212"/>
      <c r="AM888" s="212"/>
      <c r="AN888" s="212"/>
      <c r="AO888" s="212"/>
      <c r="AP888" s="212"/>
      <c r="AQ888" s="212"/>
      <c r="AR888" s="212"/>
      <c r="AS888" s="212"/>
      <c r="AT888" s="212"/>
      <c r="AU888" s="212"/>
      <c r="AV888" s="212"/>
      <c r="AW888" s="212"/>
      <c r="AX888" s="212"/>
      <c r="AY888" s="212"/>
      <c r="AZ888" s="452"/>
      <c r="BA888" s="212"/>
      <c r="BB888" s="212"/>
      <c r="BC888" s="212"/>
      <c r="BD888" s="212"/>
      <c r="BE888" s="212"/>
      <c r="BF888" s="452"/>
    </row>
    <row r="889">
      <c r="A889" s="212"/>
      <c r="B889" s="447"/>
      <c r="C889" s="212"/>
      <c r="D889" s="212"/>
      <c r="E889" s="212"/>
      <c r="F889" s="212"/>
      <c r="G889" s="212"/>
      <c r="H889" s="212"/>
      <c r="I889" s="212"/>
      <c r="J889" s="212"/>
      <c r="K889" s="212"/>
      <c r="L889" s="212"/>
      <c r="M889" s="212"/>
      <c r="N889" s="212"/>
      <c r="O889" s="212"/>
      <c r="P889" s="212"/>
      <c r="Q889" s="212"/>
      <c r="R889" s="451"/>
      <c r="S889" s="451"/>
      <c r="T889" s="212"/>
      <c r="U889" s="451"/>
      <c r="V889" s="451"/>
      <c r="W889" s="451"/>
      <c r="X889" s="451"/>
      <c r="Y889" s="212"/>
      <c r="Z889" s="212"/>
      <c r="AA889" s="212"/>
      <c r="AB889" s="212"/>
      <c r="AC889" s="212"/>
      <c r="AD889" s="212"/>
      <c r="AE889" s="450"/>
      <c r="AF889" s="212"/>
      <c r="AG889" s="212"/>
      <c r="AH889" s="212"/>
      <c r="AI889" s="212"/>
      <c r="AJ889" s="212"/>
      <c r="AK889" s="212"/>
      <c r="AL889" s="212"/>
      <c r="AM889" s="212"/>
      <c r="AN889" s="212"/>
      <c r="AO889" s="212"/>
      <c r="AP889" s="212"/>
      <c r="AQ889" s="212"/>
      <c r="AR889" s="212"/>
      <c r="AS889" s="212"/>
      <c r="AT889" s="212"/>
      <c r="AU889" s="212"/>
      <c r="AV889" s="212"/>
      <c r="AW889" s="212"/>
      <c r="AX889" s="212"/>
      <c r="AY889" s="212"/>
      <c r="AZ889" s="452"/>
      <c r="BA889" s="212"/>
      <c r="BB889" s="212"/>
      <c r="BC889" s="212"/>
      <c r="BD889" s="212"/>
      <c r="BE889" s="212"/>
      <c r="BF889" s="452"/>
    </row>
    <row r="890">
      <c r="A890" s="212"/>
      <c r="B890" s="447"/>
      <c r="C890" s="212"/>
      <c r="D890" s="212"/>
      <c r="E890" s="212"/>
      <c r="F890" s="212"/>
      <c r="G890" s="212"/>
      <c r="H890" s="212"/>
      <c r="I890" s="212"/>
      <c r="J890" s="212"/>
      <c r="K890" s="212"/>
      <c r="L890" s="212"/>
      <c r="M890" s="212"/>
      <c r="N890" s="212"/>
      <c r="O890" s="212"/>
      <c r="P890" s="212"/>
      <c r="Q890" s="212"/>
      <c r="R890" s="451"/>
      <c r="S890" s="451"/>
      <c r="T890" s="212"/>
      <c r="U890" s="451"/>
      <c r="V890" s="451"/>
      <c r="W890" s="451"/>
      <c r="X890" s="451"/>
      <c r="Y890" s="212"/>
      <c r="Z890" s="212"/>
      <c r="AA890" s="212"/>
      <c r="AB890" s="212"/>
      <c r="AC890" s="212"/>
      <c r="AD890" s="212"/>
      <c r="AE890" s="450"/>
      <c r="AF890" s="212"/>
      <c r="AG890" s="212"/>
      <c r="AH890" s="212"/>
      <c r="AI890" s="212"/>
      <c r="AJ890" s="212"/>
      <c r="AK890" s="212"/>
      <c r="AL890" s="212"/>
      <c r="AM890" s="212"/>
      <c r="AN890" s="212"/>
      <c r="AO890" s="212"/>
      <c r="AP890" s="212"/>
      <c r="AQ890" s="212"/>
      <c r="AR890" s="212"/>
      <c r="AS890" s="212"/>
      <c r="AT890" s="212"/>
      <c r="AU890" s="212"/>
      <c r="AV890" s="212"/>
      <c r="AW890" s="212"/>
      <c r="AX890" s="212"/>
      <c r="AY890" s="212"/>
      <c r="AZ890" s="452"/>
      <c r="BA890" s="212"/>
      <c r="BB890" s="212"/>
      <c r="BC890" s="212"/>
      <c r="BD890" s="212"/>
      <c r="BE890" s="212"/>
      <c r="BF890" s="452"/>
    </row>
    <row r="891">
      <c r="A891" s="212"/>
      <c r="B891" s="447"/>
      <c r="C891" s="212"/>
      <c r="D891" s="212"/>
      <c r="E891" s="212"/>
      <c r="F891" s="212"/>
      <c r="G891" s="212"/>
      <c r="H891" s="212"/>
      <c r="I891" s="212"/>
      <c r="J891" s="212"/>
      <c r="K891" s="212"/>
      <c r="L891" s="212"/>
      <c r="M891" s="212"/>
      <c r="N891" s="212"/>
      <c r="O891" s="212"/>
      <c r="P891" s="212"/>
      <c r="Q891" s="212"/>
      <c r="R891" s="451"/>
      <c r="S891" s="451"/>
      <c r="T891" s="212"/>
      <c r="U891" s="451"/>
      <c r="V891" s="451"/>
      <c r="W891" s="451"/>
      <c r="X891" s="451"/>
      <c r="Y891" s="212"/>
      <c r="Z891" s="212"/>
      <c r="AA891" s="212"/>
      <c r="AB891" s="212"/>
      <c r="AC891" s="212"/>
      <c r="AD891" s="212"/>
      <c r="AE891" s="450"/>
      <c r="AF891" s="212"/>
      <c r="AG891" s="212"/>
      <c r="AH891" s="212"/>
      <c r="AI891" s="212"/>
      <c r="AJ891" s="212"/>
      <c r="AK891" s="212"/>
      <c r="AL891" s="212"/>
      <c r="AM891" s="212"/>
      <c r="AN891" s="212"/>
      <c r="AO891" s="212"/>
      <c r="AP891" s="212"/>
      <c r="AQ891" s="212"/>
      <c r="AR891" s="212"/>
      <c r="AS891" s="212"/>
      <c r="AT891" s="212"/>
      <c r="AU891" s="212"/>
      <c r="AV891" s="212"/>
      <c r="AW891" s="212"/>
      <c r="AX891" s="212"/>
      <c r="AY891" s="212"/>
      <c r="AZ891" s="452"/>
      <c r="BA891" s="212"/>
      <c r="BB891" s="212"/>
      <c r="BC891" s="212"/>
      <c r="BD891" s="212"/>
      <c r="BE891" s="212"/>
      <c r="BF891" s="452"/>
    </row>
    <row r="892">
      <c r="A892" s="212"/>
      <c r="B892" s="447"/>
      <c r="C892" s="212"/>
      <c r="D892" s="212"/>
      <c r="E892" s="212"/>
      <c r="F892" s="212"/>
      <c r="G892" s="212"/>
      <c r="H892" s="212"/>
      <c r="I892" s="212"/>
      <c r="J892" s="212"/>
      <c r="K892" s="212"/>
      <c r="L892" s="212"/>
      <c r="M892" s="212"/>
      <c r="N892" s="212"/>
      <c r="O892" s="212"/>
      <c r="P892" s="212"/>
      <c r="Q892" s="212"/>
      <c r="R892" s="451"/>
      <c r="S892" s="451"/>
      <c r="T892" s="212"/>
      <c r="U892" s="451"/>
      <c r="V892" s="451"/>
      <c r="W892" s="451"/>
      <c r="X892" s="451"/>
      <c r="Y892" s="212"/>
      <c r="Z892" s="212"/>
      <c r="AA892" s="212"/>
      <c r="AB892" s="212"/>
      <c r="AC892" s="212"/>
      <c r="AD892" s="212"/>
      <c r="AE892" s="450"/>
      <c r="AF892" s="212"/>
      <c r="AG892" s="212"/>
      <c r="AH892" s="212"/>
      <c r="AI892" s="212"/>
      <c r="AJ892" s="212"/>
      <c r="AK892" s="212"/>
      <c r="AL892" s="212"/>
      <c r="AM892" s="212"/>
      <c r="AN892" s="212"/>
      <c r="AO892" s="212"/>
      <c r="AP892" s="212"/>
      <c r="AQ892" s="212"/>
      <c r="AR892" s="212"/>
      <c r="AS892" s="212"/>
      <c r="AT892" s="212"/>
      <c r="AU892" s="212"/>
      <c r="AV892" s="212"/>
      <c r="AW892" s="212"/>
      <c r="AX892" s="212"/>
      <c r="AY892" s="212"/>
      <c r="AZ892" s="452"/>
      <c r="BA892" s="212"/>
      <c r="BB892" s="212"/>
      <c r="BC892" s="212"/>
      <c r="BD892" s="212"/>
      <c r="BE892" s="212"/>
      <c r="BF892" s="452"/>
    </row>
    <row r="893">
      <c r="A893" s="212"/>
      <c r="B893" s="447"/>
      <c r="C893" s="212"/>
      <c r="D893" s="212"/>
      <c r="E893" s="212"/>
      <c r="F893" s="212"/>
      <c r="G893" s="212"/>
      <c r="H893" s="212"/>
      <c r="I893" s="212"/>
      <c r="J893" s="212"/>
      <c r="K893" s="212"/>
      <c r="L893" s="212"/>
      <c r="M893" s="212"/>
      <c r="N893" s="212"/>
      <c r="O893" s="212"/>
      <c r="P893" s="212"/>
      <c r="Q893" s="212"/>
      <c r="R893" s="451"/>
      <c r="S893" s="451"/>
      <c r="T893" s="212"/>
      <c r="U893" s="451"/>
      <c r="V893" s="451"/>
      <c r="W893" s="451"/>
      <c r="X893" s="451"/>
      <c r="Y893" s="212"/>
      <c r="Z893" s="212"/>
      <c r="AA893" s="212"/>
      <c r="AB893" s="212"/>
      <c r="AC893" s="212"/>
      <c r="AD893" s="212"/>
      <c r="AE893" s="450"/>
      <c r="AF893" s="212"/>
      <c r="AG893" s="212"/>
      <c r="AH893" s="212"/>
      <c r="AI893" s="212"/>
      <c r="AJ893" s="212"/>
      <c r="AK893" s="212"/>
      <c r="AL893" s="212"/>
      <c r="AM893" s="212"/>
      <c r="AN893" s="212"/>
      <c r="AO893" s="212"/>
      <c r="AP893" s="212"/>
      <c r="AQ893" s="212"/>
      <c r="AR893" s="212"/>
      <c r="AS893" s="212"/>
      <c r="AT893" s="212"/>
      <c r="AU893" s="212"/>
      <c r="AV893" s="212"/>
      <c r="AW893" s="212"/>
      <c r="AX893" s="212"/>
      <c r="AY893" s="212"/>
      <c r="AZ893" s="452"/>
      <c r="BA893" s="212"/>
      <c r="BB893" s="212"/>
      <c r="BC893" s="212"/>
      <c r="BD893" s="212"/>
      <c r="BE893" s="212"/>
      <c r="BF893" s="452"/>
    </row>
    <row r="894">
      <c r="A894" s="212"/>
      <c r="B894" s="447"/>
      <c r="C894" s="212"/>
      <c r="D894" s="212"/>
      <c r="E894" s="212"/>
      <c r="F894" s="212"/>
      <c r="G894" s="212"/>
      <c r="H894" s="212"/>
      <c r="I894" s="212"/>
      <c r="J894" s="212"/>
      <c r="K894" s="212"/>
      <c r="L894" s="212"/>
      <c r="M894" s="212"/>
      <c r="N894" s="212"/>
      <c r="O894" s="212"/>
      <c r="P894" s="212"/>
      <c r="Q894" s="212"/>
      <c r="R894" s="451"/>
      <c r="S894" s="451"/>
      <c r="T894" s="212"/>
      <c r="U894" s="451"/>
      <c r="V894" s="451"/>
      <c r="W894" s="451"/>
      <c r="X894" s="451"/>
      <c r="Y894" s="212"/>
      <c r="Z894" s="212"/>
      <c r="AA894" s="212"/>
      <c r="AB894" s="212"/>
      <c r="AC894" s="212"/>
      <c r="AD894" s="212"/>
      <c r="AE894" s="450"/>
      <c r="AF894" s="212"/>
      <c r="AG894" s="212"/>
      <c r="AH894" s="212"/>
      <c r="AI894" s="212"/>
      <c r="AJ894" s="212"/>
      <c r="AK894" s="212"/>
      <c r="AL894" s="212"/>
      <c r="AM894" s="212"/>
      <c r="AN894" s="212"/>
      <c r="AO894" s="212"/>
      <c r="AP894" s="212"/>
      <c r="AQ894" s="212"/>
      <c r="AR894" s="212"/>
      <c r="AS894" s="212"/>
      <c r="AT894" s="212"/>
      <c r="AU894" s="212"/>
      <c r="AV894" s="212"/>
      <c r="AW894" s="212"/>
      <c r="AX894" s="212"/>
      <c r="AY894" s="212"/>
      <c r="AZ894" s="452"/>
      <c r="BA894" s="212"/>
      <c r="BB894" s="212"/>
      <c r="BC894" s="212"/>
      <c r="BD894" s="212"/>
      <c r="BE894" s="212"/>
      <c r="BF894" s="452"/>
    </row>
    <row r="895">
      <c r="A895" s="212"/>
      <c r="B895" s="447"/>
      <c r="C895" s="212"/>
      <c r="D895" s="212"/>
      <c r="E895" s="212"/>
      <c r="F895" s="212"/>
      <c r="G895" s="212"/>
      <c r="H895" s="212"/>
      <c r="I895" s="212"/>
      <c r="J895" s="212"/>
      <c r="K895" s="212"/>
      <c r="L895" s="212"/>
      <c r="M895" s="212"/>
      <c r="N895" s="212"/>
      <c r="O895" s="212"/>
      <c r="P895" s="212"/>
      <c r="Q895" s="212"/>
      <c r="R895" s="451"/>
      <c r="S895" s="451"/>
      <c r="T895" s="212"/>
      <c r="U895" s="451"/>
      <c r="V895" s="451"/>
      <c r="W895" s="451"/>
      <c r="X895" s="451"/>
      <c r="Y895" s="212"/>
      <c r="Z895" s="212"/>
      <c r="AA895" s="212"/>
      <c r="AB895" s="212"/>
      <c r="AC895" s="212"/>
      <c r="AD895" s="212"/>
      <c r="AE895" s="450"/>
      <c r="AF895" s="212"/>
      <c r="AG895" s="212"/>
      <c r="AH895" s="212"/>
      <c r="AI895" s="212"/>
      <c r="AJ895" s="212"/>
      <c r="AK895" s="212"/>
      <c r="AL895" s="212"/>
      <c r="AM895" s="212"/>
      <c r="AN895" s="212"/>
      <c r="AO895" s="212"/>
      <c r="AP895" s="212"/>
      <c r="AQ895" s="212"/>
      <c r="AR895" s="212"/>
      <c r="AS895" s="212"/>
      <c r="AT895" s="212"/>
      <c r="AU895" s="212"/>
      <c r="AV895" s="212"/>
      <c r="AW895" s="212"/>
      <c r="AX895" s="212"/>
      <c r="AY895" s="212"/>
      <c r="AZ895" s="452"/>
      <c r="BA895" s="212"/>
      <c r="BB895" s="212"/>
      <c r="BC895" s="212"/>
      <c r="BD895" s="212"/>
      <c r="BE895" s="212"/>
      <c r="BF895" s="452"/>
    </row>
    <row r="896">
      <c r="A896" s="212"/>
      <c r="B896" s="447"/>
      <c r="C896" s="212"/>
      <c r="D896" s="212"/>
      <c r="E896" s="212"/>
      <c r="F896" s="212"/>
      <c r="G896" s="212"/>
      <c r="H896" s="212"/>
      <c r="I896" s="212"/>
      <c r="J896" s="212"/>
      <c r="K896" s="212"/>
      <c r="L896" s="212"/>
      <c r="M896" s="212"/>
      <c r="N896" s="212"/>
      <c r="O896" s="212"/>
      <c r="P896" s="212"/>
      <c r="Q896" s="212"/>
      <c r="R896" s="451"/>
      <c r="S896" s="451"/>
      <c r="T896" s="212"/>
      <c r="U896" s="451"/>
      <c r="V896" s="451"/>
      <c r="W896" s="451"/>
      <c r="X896" s="451"/>
      <c r="Y896" s="212"/>
      <c r="Z896" s="212"/>
      <c r="AA896" s="212"/>
      <c r="AB896" s="212"/>
      <c r="AC896" s="212"/>
      <c r="AD896" s="212"/>
      <c r="AE896" s="450"/>
      <c r="AF896" s="212"/>
      <c r="AG896" s="212"/>
      <c r="AH896" s="212"/>
      <c r="AI896" s="212"/>
      <c r="AJ896" s="212"/>
      <c r="AK896" s="212"/>
      <c r="AL896" s="212"/>
      <c r="AM896" s="212"/>
      <c r="AN896" s="212"/>
      <c r="AO896" s="212"/>
      <c r="AP896" s="212"/>
      <c r="AQ896" s="212"/>
      <c r="AR896" s="212"/>
      <c r="AS896" s="212"/>
      <c r="AT896" s="212"/>
      <c r="AU896" s="212"/>
      <c r="AV896" s="212"/>
      <c r="AW896" s="212"/>
      <c r="AX896" s="212"/>
      <c r="AY896" s="212"/>
      <c r="AZ896" s="452"/>
      <c r="BA896" s="212"/>
      <c r="BB896" s="212"/>
      <c r="BC896" s="212"/>
      <c r="BD896" s="212"/>
      <c r="BE896" s="212"/>
      <c r="BF896" s="452"/>
    </row>
    <row r="897">
      <c r="A897" s="212"/>
      <c r="B897" s="447"/>
      <c r="C897" s="212"/>
      <c r="D897" s="212"/>
      <c r="E897" s="212"/>
      <c r="F897" s="212"/>
      <c r="G897" s="212"/>
      <c r="H897" s="212"/>
      <c r="I897" s="212"/>
      <c r="J897" s="212"/>
      <c r="K897" s="212"/>
      <c r="L897" s="212"/>
      <c r="M897" s="212"/>
      <c r="N897" s="212"/>
      <c r="O897" s="212"/>
      <c r="P897" s="212"/>
      <c r="Q897" s="212"/>
      <c r="R897" s="451"/>
      <c r="S897" s="451"/>
      <c r="T897" s="212"/>
      <c r="U897" s="451"/>
      <c r="V897" s="451"/>
      <c r="W897" s="451"/>
      <c r="X897" s="451"/>
      <c r="Y897" s="212"/>
      <c r="Z897" s="212"/>
      <c r="AA897" s="212"/>
      <c r="AB897" s="212"/>
      <c r="AC897" s="212"/>
      <c r="AD897" s="212"/>
      <c r="AE897" s="450"/>
      <c r="AF897" s="212"/>
      <c r="AG897" s="212"/>
      <c r="AH897" s="212"/>
      <c r="AI897" s="212"/>
      <c r="AJ897" s="212"/>
      <c r="AK897" s="212"/>
      <c r="AL897" s="212"/>
      <c r="AM897" s="212"/>
      <c r="AN897" s="212"/>
      <c r="AO897" s="212"/>
      <c r="AP897" s="212"/>
      <c r="AQ897" s="212"/>
      <c r="AR897" s="212"/>
      <c r="AS897" s="212"/>
      <c r="AT897" s="212"/>
      <c r="AU897" s="212"/>
      <c r="AV897" s="212"/>
      <c r="AW897" s="212"/>
      <c r="AX897" s="212"/>
      <c r="AY897" s="212"/>
      <c r="AZ897" s="452"/>
      <c r="BA897" s="212"/>
      <c r="BB897" s="212"/>
      <c r="BC897" s="212"/>
      <c r="BD897" s="212"/>
      <c r="BE897" s="212"/>
      <c r="BF897" s="452"/>
    </row>
    <row r="898">
      <c r="A898" s="212"/>
      <c r="B898" s="447"/>
      <c r="C898" s="212"/>
      <c r="D898" s="212"/>
      <c r="E898" s="212"/>
      <c r="F898" s="212"/>
      <c r="G898" s="212"/>
      <c r="H898" s="212"/>
      <c r="I898" s="212"/>
      <c r="J898" s="212"/>
      <c r="K898" s="212"/>
      <c r="L898" s="212"/>
      <c r="M898" s="212"/>
      <c r="N898" s="212"/>
      <c r="O898" s="212"/>
      <c r="P898" s="212"/>
      <c r="Q898" s="212"/>
      <c r="R898" s="451"/>
      <c r="S898" s="451"/>
      <c r="T898" s="212"/>
      <c r="U898" s="451"/>
      <c r="V898" s="451"/>
      <c r="W898" s="451"/>
      <c r="X898" s="451"/>
      <c r="Y898" s="212"/>
      <c r="Z898" s="212"/>
      <c r="AA898" s="212"/>
      <c r="AB898" s="212"/>
      <c r="AC898" s="212"/>
      <c r="AD898" s="212"/>
      <c r="AE898" s="450"/>
      <c r="AF898" s="212"/>
      <c r="AG898" s="212"/>
      <c r="AH898" s="212"/>
      <c r="AI898" s="212"/>
      <c r="AJ898" s="212"/>
      <c r="AK898" s="212"/>
      <c r="AL898" s="212"/>
      <c r="AM898" s="212"/>
      <c r="AN898" s="212"/>
      <c r="AO898" s="212"/>
      <c r="AP898" s="212"/>
      <c r="AQ898" s="212"/>
      <c r="AR898" s="212"/>
      <c r="AS898" s="212"/>
      <c r="AT898" s="212"/>
      <c r="AU898" s="212"/>
      <c r="AV898" s="212"/>
      <c r="AW898" s="212"/>
      <c r="AX898" s="212"/>
      <c r="AY898" s="212"/>
      <c r="AZ898" s="452"/>
      <c r="BA898" s="212"/>
      <c r="BB898" s="212"/>
      <c r="BC898" s="212"/>
      <c r="BD898" s="212"/>
      <c r="BE898" s="212"/>
      <c r="BF898" s="452"/>
    </row>
    <row r="899">
      <c r="A899" s="212"/>
      <c r="B899" s="447"/>
      <c r="C899" s="212"/>
      <c r="D899" s="212"/>
      <c r="E899" s="212"/>
      <c r="F899" s="212"/>
      <c r="G899" s="212"/>
      <c r="H899" s="212"/>
      <c r="I899" s="212"/>
      <c r="J899" s="212"/>
      <c r="K899" s="212"/>
      <c r="L899" s="212"/>
      <c r="M899" s="212"/>
      <c r="N899" s="212"/>
      <c r="O899" s="212"/>
      <c r="P899" s="212"/>
      <c r="Q899" s="212"/>
      <c r="R899" s="451"/>
      <c r="S899" s="451"/>
      <c r="T899" s="212"/>
      <c r="U899" s="451"/>
      <c r="V899" s="451"/>
      <c r="W899" s="451"/>
      <c r="X899" s="451"/>
      <c r="Y899" s="212"/>
      <c r="Z899" s="212"/>
      <c r="AA899" s="212"/>
      <c r="AB899" s="212"/>
      <c r="AC899" s="212"/>
      <c r="AD899" s="212"/>
      <c r="AE899" s="450"/>
      <c r="AF899" s="212"/>
      <c r="AG899" s="212"/>
      <c r="AH899" s="212"/>
      <c r="AI899" s="212"/>
      <c r="AJ899" s="212"/>
      <c r="AK899" s="212"/>
      <c r="AL899" s="212"/>
      <c r="AM899" s="212"/>
      <c r="AN899" s="212"/>
      <c r="AO899" s="212"/>
      <c r="AP899" s="212"/>
      <c r="AQ899" s="212"/>
      <c r="AR899" s="212"/>
      <c r="AS899" s="212"/>
      <c r="AT899" s="212"/>
      <c r="AU899" s="212"/>
      <c r="AV899" s="212"/>
      <c r="AW899" s="212"/>
      <c r="AX899" s="212"/>
      <c r="AY899" s="212"/>
      <c r="AZ899" s="452"/>
      <c r="BA899" s="212"/>
      <c r="BB899" s="212"/>
      <c r="BC899" s="212"/>
      <c r="BD899" s="212"/>
      <c r="BE899" s="212"/>
      <c r="BF899" s="452"/>
    </row>
    <row r="900">
      <c r="A900" s="212"/>
      <c r="B900" s="447"/>
      <c r="C900" s="212"/>
      <c r="D900" s="212"/>
      <c r="E900" s="212"/>
      <c r="F900" s="212"/>
      <c r="G900" s="212"/>
      <c r="H900" s="212"/>
      <c r="I900" s="212"/>
      <c r="J900" s="212"/>
      <c r="K900" s="212"/>
      <c r="L900" s="212"/>
      <c r="M900" s="212"/>
      <c r="N900" s="212"/>
      <c r="O900" s="212"/>
      <c r="P900" s="212"/>
      <c r="Q900" s="212"/>
      <c r="R900" s="451"/>
      <c r="S900" s="451"/>
      <c r="T900" s="212"/>
      <c r="U900" s="451"/>
      <c r="V900" s="451"/>
      <c r="W900" s="451"/>
      <c r="X900" s="451"/>
      <c r="Y900" s="212"/>
      <c r="Z900" s="212"/>
      <c r="AA900" s="212"/>
      <c r="AB900" s="212"/>
      <c r="AC900" s="212"/>
      <c r="AD900" s="212"/>
      <c r="AE900" s="450"/>
      <c r="AF900" s="212"/>
      <c r="AG900" s="212"/>
      <c r="AH900" s="212"/>
      <c r="AI900" s="212"/>
      <c r="AJ900" s="212"/>
      <c r="AK900" s="212"/>
      <c r="AL900" s="212"/>
      <c r="AM900" s="212"/>
      <c r="AN900" s="212"/>
      <c r="AO900" s="212"/>
      <c r="AP900" s="212"/>
      <c r="AQ900" s="212"/>
      <c r="AR900" s="212"/>
      <c r="AS900" s="212"/>
      <c r="AT900" s="212"/>
      <c r="AU900" s="212"/>
      <c r="AV900" s="212"/>
      <c r="AW900" s="212"/>
      <c r="AX900" s="212"/>
      <c r="AY900" s="212"/>
      <c r="AZ900" s="452"/>
      <c r="BA900" s="212"/>
      <c r="BB900" s="212"/>
      <c r="BC900" s="212"/>
      <c r="BD900" s="212"/>
      <c r="BE900" s="212"/>
      <c r="BF900" s="452"/>
    </row>
    <row r="901">
      <c r="A901" s="212"/>
      <c r="B901" s="447"/>
      <c r="C901" s="212"/>
      <c r="D901" s="212"/>
      <c r="E901" s="212"/>
      <c r="F901" s="212"/>
      <c r="G901" s="212"/>
      <c r="H901" s="212"/>
      <c r="I901" s="212"/>
      <c r="J901" s="212"/>
      <c r="K901" s="212"/>
      <c r="L901" s="212"/>
      <c r="M901" s="212"/>
      <c r="N901" s="212"/>
      <c r="O901" s="212"/>
      <c r="P901" s="212"/>
      <c r="Q901" s="212"/>
      <c r="R901" s="451"/>
      <c r="S901" s="451"/>
      <c r="T901" s="212"/>
      <c r="U901" s="451"/>
      <c r="V901" s="451"/>
      <c r="W901" s="451"/>
      <c r="X901" s="451"/>
      <c r="Y901" s="212"/>
      <c r="Z901" s="212"/>
      <c r="AA901" s="212"/>
      <c r="AB901" s="212"/>
      <c r="AC901" s="212"/>
      <c r="AD901" s="212"/>
      <c r="AE901" s="450"/>
      <c r="AF901" s="212"/>
      <c r="AG901" s="212"/>
      <c r="AH901" s="212"/>
      <c r="AI901" s="212"/>
      <c r="AJ901" s="212"/>
      <c r="AK901" s="212"/>
      <c r="AL901" s="212"/>
      <c r="AM901" s="212"/>
      <c r="AN901" s="212"/>
      <c r="AO901" s="212"/>
      <c r="AP901" s="212"/>
      <c r="AQ901" s="212"/>
      <c r="AR901" s="212"/>
      <c r="AS901" s="212"/>
      <c r="AT901" s="212"/>
      <c r="AU901" s="212"/>
      <c r="AV901" s="212"/>
      <c r="AW901" s="212"/>
      <c r="AX901" s="212"/>
      <c r="AY901" s="212"/>
      <c r="AZ901" s="452"/>
      <c r="BA901" s="212"/>
      <c r="BB901" s="212"/>
      <c r="BC901" s="212"/>
      <c r="BD901" s="212"/>
      <c r="BE901" s="212"/>
      <c r="BF901" s="452"/>
    </row>
    <row r="902">
      <c r="A902" s="212"/>
      <c r="B902" s="447"/>
      <c r="C902" s="212"/>
      <c r="D902" s="212"/>
      <c r="E902" s="212"/>
      <c r="F902" s="212"/>
      <c r="G902" s="212"/>
      <c r="H902" s="212"/>
      <c r="I902" s="212"/>
      <c r="J902" s="212"/>
      <c r="K902" s="212"/>
      <c r="L902" s="212"/>
      <c r="M902" s="212"/>
      <c r="N902" s="212"/>
      <c r="O902" s="212"/>
      <c r="P902" s="212"/>
      <c r="Q902" s="212"/>
      <c r="R902" s="451"/>
      <c r="S902" s="451"/>
      <c r="T902" s="212"/>
      <c r="U902" s="451"/>
      <c r="V902" s="451"/>
      <c r="W902" s="451"/>
      <c r="X902" s="451"/>
      <c r="Y902" s="212"/>
      <c r="Z902" s="212"/>
      <c r="AA902" s="212"/>
      <c r="AB902" s="212"/>
      <c r="AC902" s="212"/>
      <c r="AD902" s="212"/>
      <c r="AE902" s="450"/>
      <c r="AF902" s="212"/>
      <c r="AG902" s="212"/>
      <c r="AH902" s="212"/>
      <c r="AI902" s="212"/>
      <c r="AJ902" s="212"/>
      <c r="AK902" s="212"/>
      <c r="AL902" s="212"/>
      <c r="AM902" s="212"/>
      <c r="AN902" s="212"/>
      <c r="AO902" s="212"/>
      <c r="AP902" s="212"/>
      <c r="AQ902" s="212"/>
      <c r="AR902" s="212"/>
      <c r="AS902" s="212"/>
      <c r="AT902" s="212"/>
      <c r="AU902" s="212"/>
      <c r="AV902" s="212"/>
      <c r="AW902" s="212"/>
      <c r="AX902" s="212"/>
      <c r="AY902" s="212"/>
      <c r="AZ902" s="452"/>
      <c r="BA902" s="212"/>
      <c r="BB902" s="212"/>
      <c r="BC902" s="212"/>
      <c r="BD902" s="212"/>
      <c r="BE902" s="212"/>
      <c r="BF902" s="452"/>
    </row>
    <row r="903">
      <c r="A903" s="212"/>
      <c r="B903" s="447"/>
      <c r="C903" s="212"/>
      <c r="D903" s="212"/>
      <c r="E903" s="212"/>
      <c r="F903" s="212"/>
      <c r="G903" s="212"/>
      <c r="H903" s="212"/>
      <c r="I903" s="212"/>
      <c r="J903" s="212"/>
      <c r="K903" s="212"/>
      <c r="L903" s="212"/>
      <c r="M903" s="212"/>
      <c r="N903" s="212"/>
      <c r="O903" s="212"/>
      <c r="P903" s="212"/>
      <c r="Q903" s="212"/>
      <c r="R903" s="451"/>
      <c r="S903" s="451"/>
      <c r="T903" s="212"/>
      <c r="U903" s="451"/>
      <c r="V903" s="451"/>
      <c r="W903" s="451"/>
      <c r="X903" s="451"/>
      <c r="Y903" s="212"/>
      <c r="Z903" s="212"/>
      <c r="AA903" s="212"/>
      <c r="AB903" s="212"/>
      <c r="AC903" s="212"/>
      <c r="AD903" s="212"/>
      <c r="AE903" s="450"/>
      <c r="AF903" s="212"/>
      <c r="AG903" s="212"/>
      <c r="AH903" s="212"/>
      <c r="AI903" s="212"/>
      <c r="AJ903" s="212"/>
      <c r="AK903" s="212"/>
      <c r="AL903" s="212"/>
      <c r="AM903" s="212"/>
      <c r="AN903" s="212"/>
      <c r="AO903" s="212"/>
      <c r="AP903" s="212"/>
      <c r="AQ903" s="212"/>
      <c r="AR903" s="212"/>
      <c r="AS903" s="212"/>
      <c r="AT903" s="212"/>
      <c r="AU903" s="212"/>
      <c r="AV903" s="212"/>
      <c r="AW903" s="212"/>
      <c r="AX903" s="212"/>
      <c r="AY903" s="212"/>
      <c r="AZ903" s="452"/>
      <c r="BA903" s="212"/>
      <c r="BB903" s="212"/>
      <c r="BC903" s="212"/>
      <c r="BD903" s="212"/>
      <c r="BE903" s="212"/>
      <c r="BF903" s="452"/>
    </row>
    <row r="904">
      <c r="A904" s="212"/>
      <c r="B904" s="447"/>
      <c r="C904" s="212"/>
      <c r="D904" s="212"/>
      <c r="E904" s="212"/>
      <c r="F904" s="212"/>
      <c r="G904" s="212"/>
      <c r="H904" s="212"/>
      <c r="I904" s="212"/>
      <c r="J904" s="212"/>
      <c r="K904" s="212"/>
      <c r="L904" s="212"/>
      <c r="M904" s="212"/>
      <c r="N904" s="212"/>
      <c r="O904" s="212"/>
      <c r="P904" s="212"/>
      <c r="Q904" s="212"/>
      <c r="R904" s="451"/>
      <c r="S904" s="451"/>
      <c r="T904" s="212"/>
      <c r="U904" s="451"/>
      <c r="V904" s="451"/>
      <c r="W904" s="451"/>
      <c r="X904" s="451"/>
      <c r="Y904" s="212"/>
      <c r="Z904" s="212"/>
      <c r="AA904" s="212"/>
      <c r="AB904" s="212"/>
      <c r="AC904" s="212"/>
      <c r="AD904" s="212"/>
      <c r="AE904" s="450"/>
      <c r="AF904" s="212"/>
      <c r="AG904" s="212"/>
      <c r="AH904" s="212"/>
      <c r="AI904" s="212"/>
      <c r="AJ904" s="212"/>
      <c r="AK904" s="212"/>
      <c r="AL904" s="212"/>
      <c r="AM904" s="212"/>
      <c r="AN904" s="212"/>
      <c r="AO904" s="212"/>
      <c r="AP904" s="212"/>
      <c r="AQ904" s="212"/>
      <c r="AR904" s="212"/>
      <c r="AS904" s="212"/>
      <c r="AT904" s="212"/>
      <c r="AU904" s="212"/>
      <c r="AV904" s="212"/>
      <c r="AW904" s="212"/>
      <c r="AX904" s="212"/>
      <c r="AY904" s="212"/>
      <c r="AZ904" s="452"/>
      <c r="BA904" s="212"/>
      <c r="BB904" s="212"/>
      <c r="BC904" s="212"/>
      <c r="BD904" s="212"/>
      <c r="BE904" s="212"/>
      <c r="BF904" s="452"/>
    </row>
    <row r="905">
      <c r="A905" s="212"/>
      <c r="B905" s="447"/>
      <c r="C905" s="212"/>
      <c r="D905" s="212"/>
      <c r="E905" s="212"/>
      <c r="F905" s="212"/>
      <c r="G905" s="212"/>
      <c r="H905" s="212"/>
      <c r="I905" s="212"/>
      <c r="J905" s="212"/>
      <c r="K905" s="212"/>
      <c r="L905" s="212"/>
      <c r="M905" s="212"/>
      <c r="N905" s="212"/>
      <c r="O905" s="212"/>
      <c r="P905" s="212"/>
      <c r="Q905" s="212"/>
      <c r="R905" s="451"/>
      <c r="S905" s="451"/>
      <c r="T905" s="212"/>
      <c r="U905" s="451"/>
      <c r="V905" s="451"/>
      <c r="W905" s="451"/>
      <c r="X905" s="451"/>
      <c r="Y905" s="212"/>
      <c r="Z905" s="212"/>
      <c r="AA905" s="212"/>
      <c r="AB905" s="212"/>
      <c r="AC905" s="212"/>
      <c r="AD905" s="212"/>
      <c r="AE905" s="450"/>
      <c r="AF905" s="212"/>
      <c r="AG905" s="212"/>
      <c r="AH905" s="212"/>
      <c r="AI905" s="212"/>
      <c r="AJ905" s="212"/>
      <c r="AK905" s="212"/>
      <c r="AL905" s="212"/>
      <c r="AM905" s="212"/>
      <c r="AN905" s="212"/>
      <c r="AO905" s="212"/>
      <c r="AP905" s="212"/>
      <c r="AQ905" s="212"/>
      <c r="AR905" s="212"/>
      <c r="AS905" s="212"/>
      <c r="AT905" s="212"/>
      <c r="AU905" s="212"/>
      <c r="AV905" s="212"/>
      <c r="AW905" s="212"/>
      <c r="AX905" s="212"/>
      <c r="AY905" s="212"/>
      <c r="AZ905" s="452"/>
      <c r="BA905" s="212"/>
      <c r="BB905" s="212"/>
      <c r="BC905" s="212"/>
      <c r="BD905" s="212"/>
      <c r="BE905" s="212"/>
      <c r="BF905" s="452"/>
    </row>
    <row r="906">
      <c r="A906" s="212"/>
      <c r="B906" s="447"/>
      <c r="C906" s="212"/>
      <c r="D906" s="212"/>
      <c r="E906" s="212"/>
      <c r="F906" s="212"/>
      <c r="G906" s="212"/>
      <c r="H906" s="212"/>
      <c r="I906" s="212"/>
      <c r="J906" s="212"/>
      <c r="K906" s="212"/>
      <c r="L906" s="212"/>
      <c r="M906" s="212"/>
      <c r="N906" s="212"/>
      <c r="O906" s="212"/>
      <c r="P906" s="212"/>
      <c r="Q906" s="212"/>
      <c r="R906" s="451"/>
      <c r="S906" s="451"/>
      <c r="T906" s="212"/>
      <c r="U906" s="451"/>
      <c r="V906" s="451"/>
      <c r="W906" s="451"/>
      <c r="X906" s="451"/>
      <c r="Y906" s="212"/>
      <c r="Z906" s="212"/>
      <c r="AA906" s="212"/>
      <c r="AB906" s="212"/>
      <c r="AC906" s="212"/>
      <c r="AD906" s="212"/>
      <c r="AE906" s="450"/>
      <c r="AF906" s="212"/>
      <c r="AG906" s="212"/>
      <c r="AH906" s="212"/>
      <c r="AI906" s="212"/>
      <c r="AJ906" s="212"/>
      <c r="AK906" s="212"/>
      <c r="AL906" s="212"/>
      <c r="AM906" s="212"/>
      <c r="AN906" s="212"/>
      <c r="AO906" s="212"/>
      <c r="AP906" s="212"/>
      <c r="AQ906" s="212"/>
      <c r="AR906" s="212"/>
      <c r="AS906" s="212"/>
      <c r="AT906" s="212"/>
      <c r="AU906" s="212"/>
      <c r="AV906" s="212"/>
      <c r="AW906" s="212"/>
      <c r="AX906" s="212"/>
      <c r="AY906" s="212"/>
      <c r="AZ906" s="452"/>
      <c r="BA906" s="212"/>
      <c r="BB906" s="212"/>
      <c r="BC906" s="212"/>
      <c r="BD906" s="212"/>
      <c r="BE906" s="212"/>
      <c r="BF906" s="452"/>
    </row>
    <row r="907">
      <c r="A907" s="212"/>
      <c r="B907" s="447"/>
      <c r="C907" s="212"/>
      <c r="D907" s="212"/>
      <c r="E907" s="212"/>
      <c r="F907" s="212"/>
      <c r="G907" s="212"/>
      <c r="H907" s="212"/>
      <c r="I907" s="212"/>
      <c r="J907" s="212"/>
      <c r="K907" s="212"/>
      <c r="L907" s="212"/>
      <c r="M907" s="212"/>
      <c r="N907" s="212"/>
      <c r="O907" s="212"/>
      <c r="P907" s="212"/>
      <c r="Q907" s="212"/>
      <c r="R907" s="451"/>
      <c r="S907" s="451"/>
      <c r="T907" s="212"/>
      <c r="U907" s="451"/>
      <c r="V907" s="451"/>
      <c r="W907" s="451"/>
      <c r="X907" s="451"/>
      <c r="Y907" s="212"/>
      <c r="Z907" s="212"/>
      <c r="AA907" s="212"/>
      <c r="AB907" s="212"/>
      <c r="AC907" s="212"/>
      <c r="AD907" s="212"/>
      <c r="AE907" s="450"/>
      <c r="AF907" s="212"/>
      <c r="AG907" s="212"/>
      <c r="AH907" s="212"/>
      <c r="AI907" s="212"/>
      <c r="AJ907" s="212"/>
      <c r="AK907" s="212"/>
      <c r="AL907" s="212"/>
      <c r="AM907" s="212"/>
      <c r="AN907" s="212"/>
      <c r="AO907" s="212"/>
      <c r="AP907" s="212"/>
      <c r="AQ907" s="212"/>
      <c r="AR907" s="212"/>
      <c r="AS907" s="212"/>
      <c r="AT907" s="212"/>
      <c r="AU907" s="212"/>
      <c r="AV907" s="212"/>
      <c r="AW907" s="212"/>
      <c r="AX907" s="212"/>
      <c r="AY907" s="212"/>
      <c r="AZ907" s="452"/>
      <c r="BA907" s="212"/>
      <c r="BB907" s="212"/>
      <c r="BC907" s="212"/>
      <c r="BD907" s="212"/>
      <c r="BE907" s="212"/>
      <c r="BF907" s="452"/>
    </row>
    <row r="908">
      <c r="A908" s="212"/>
      <c r="B908" s="447"/>
      <c r="C908" s="212"/>
      <c r="D908" s="212"/>
      <c r="E908" s="212"/>
      <c r="F908" s="212"/>
      <c r="G908" s="212"/>
      <c r="H908" s="212"/>
      <c r="I908" s="212"/>
      <c r="J908" s="212"/>
      <c r="K908" s="212"/>
      <c r="L908" s="212"/>
      <c r="M908" s="212"/>
      <c r="N908" s="212"/>
      <c r="O908" s="212"/>
      <c r="P908" s="212"/>
      <c r="Q908" s="212"/>
      <c r="R908" s="451"/>
      <c r="S908" s="451"/>
      <c r="T908" s="212"/>
      <c r="U908" s="451"/>
      <c r="V908" s="451"/>
      <c r="W908" s="451"/>
      <c r="X908" s="451"/>
      <c r="Y908" s="212"/>
      <c r="Z908" s="212"/>
      <c r="AA908" s="212"/>
      <c r="AB908" s="212"/>
      <c r="AC908" s="212"/>
      <c r="AD908" s="212"/>
      <c r="AE908" s="450"/>
      <c r="AF908" s="212"/>
      <c r="AG908" s="212"/>
      <c r="AH908" s="212"/>
      <c r="AI908" s="212"/>
      <c r="AJ908" s="212"/>
      <c r="AK908" s="212"/>
      <c r="AL908" s="212"/>
      <c r="AM908" s="212"/>
      <c r="AN908" s="212"/>
      <c r="AO908" s="212"/>
      <c r="AP908" s="212"/>
      <c r="AQ908" s="212"/>
      <c r="AR908" s="212"/>
      <c r="AS908" s="212"/>
      <c r="AT908" s="212"/>
      <c r="AU908" s="212"/>
      <c r="AV908" s="212"/>
      <c r="AW908" s="212"/>
      <c r="AX908" s="212"/>
      <c r="AY908" s="212"/>
      <c r="AZ908" s="452"/>
      <c r="BA908" s="212"/>
      <c r="BB908" s="212"/>
      <c r="BC908" s="212"/>
      <c r="BD908" s="212"/>
      <c r="BE908" s="212"/>
      <c r="BF908" s="452"/>
    </row>
    <row r="909">
      <c r="A909" s="212"/>
      <c r="B909" s="447"/>
      <c r="C909" s="212"/>
      <c r="D909" s="212"/>
      <c r="E909" s="212"/>
      <c r="F909" s="212"/>
      <c r="G909" s="212"/>
      <c r="H909" s="212"/>
      <c r="I909" s="212"/>
      <c r="J909" s="212"/>
      <c r="K909" s="212"/>
      <c r="L909" s="212"/>
      <c r="M909" s="212"/>
      <c r="N909" s="212"/>
      <c r="O909" s="212"/>
      <c r="P909" s="212"/>
      <c r="Q909" s="212"/>
      <c r="R909" s="451"/>
      <c r="S909" s="451"/>
      <c r="T909" s="212"/>
      <c r="U909" s="451"/>
      <c r="V909" s="451"/>
      <c r="W909" s="451"/>
      <c r="X909" s="451"/>
      <c r="Y909" s="212"/>
      <c r="Z909" s="212"/>
      <c r="AA909" s="212"/>
      <c r="AB909" s="212"/>
      <c r="AC909" s="212"/>
      <c r="AD909" s="212"/>
      <c r="AE909" s="450"/>
      <c r="AF909" s="212"/>
      <c r="AG909" s="212"/>
      <c r="AH909" s="212"/>
      <c r="AI909" s="212"/>
      <c r="AJ909" s="212"/>
      <c r="AK909" s="212"/>
      <c r="AL909" s="212"/>
      <c r="AM909" s="212"/>
      <c r="AN909" s="212"/>
      <c r="AO909" s="212"/>
      <c r="AP909" s="212"/>
      <c r="AQ909" s="212"/>
      <c r="AR909" s="212"/>
      <c r="AS909" s="212"/>
      <c r="AT909" s="212"/>
      <c r="AU909" s="212"/>
      <c r="AV909" s="212"/>
      <c r="AW909" s="212"/>
      <c r="AX909" s="212"/>
      <c r="AY909" s="212"/>
      <c r="AZ909" s="452"/>
      <c r="BA909" s="212"/>
      <c r="BB909" s="212"/>
      <c r="BC909" s="212"/>
      <c r="BD909" s="212"/>
      <c r="BE909" s="212"/>
      <c r="BF909" s="452"/>
    </row>
    <row r="910">
      <c r="A910" s="212"/>
      <c r="B910" s="447"/>
      <c r="C910" s="212"/>
      <c r="D910" s="212"/>
      <c r="E910" s="212"/>
      <c r="F910" s="212"/>
      <c r="G910" s="212"/>
      <c r="H910" s="212"/>
      <c r="I910" s="212"/>
      <c r="J910" s="212"/>
      <c r="K910" s="212"/>
      <c r="L910" s="212"/>
      <c r="M910" s="212"/>
      <c r="N910" s="212"/>
      <c r="O910" s="212"/>
      <c r="P910" s="212"/>
      <c r="Q910" s="212"/>
      <c r="R910" s="451"/>
      <c r="S910" s="451"/>
      <c r="T910" s="212"/>
      <c r="U910" s="451"/>
      <c r="V910" s="451"/>
      <c r="W910" s="451"/>
      <c r="X910" s="451"/>
      <c r="Y910" s="212"/>
      <c r="Z910" s="212"/>
      <c r="AA910" s="212"/>
      <c r="AB910" s="212"/>
      <c r="AC910" s="212"/>
      <c r="AD910" s="212"/>
      <c r="AE910" s="450"/>
      <c r="AF910" s="212"/>
      <c r="AG910" s="212"/>
      <c r="AH910" s="212"/>
      <c r="AI910" s="212"/>
      <c r="AJ910" s="212"/>
      <c r="AK910" s="212"/>
      <c r="AL910" s="212"/>
      <c r="AM910" s="212"/>
      <c r="AN910" s="212"/>
      <c r="AO910" s="212"/>
      <c r="AP910" s="212"/>
      <c r="AQ910" s="212"/>
      <c r="AR910" s="212"/>
      <c r="AS910" s="212"/>
      <c r="AT910" s="212"/>
      <c r="AU910" s="212"/>
      <c r="AV910" s="212"/>
      <c r="AW910" s="212"/>
      <c r="AX910" s="212"/>
      <c r="AY910" s="212"/>
      <c r="AZ910" s="452"/>
      <c r="BA910" s="212"/>
      <c r="BB910" s="212"/>
      <c r="BC910" s="212"/>
      <c r="BD910" s="212"/>
      <c r="BE910" s="212"/>
      <c r="BF910" s="452"/>
    </row>
    <row r="911">
      <c r="A911" s="212"/>
      <c r="B911" s="447"/>
      <c r="C911" s="212"/>
      <c r="D911" s="212"/>
      <c r="E911" s="212"/>
      <c r="F911" s="212"/>
      <c r="G911" s="212"/>
      <c r="H911" s="212"/>
      <c r="I911" s="212"/>
      <c r="J911" s="212"/>
      <c r="K911" s="212"/>
      <c r="L911" s="212"/>
      <c r="M911" s="212"/>
      <c r="N911" s="212"/>
      <c r="O911" s="212"/>
      <c r="P911" s="212"/>
      <c r="Q911" s="212"/>
      <c r="R911" s="451"/>
      <c r="S911" s="451"/>
      <c r="T911" s="212"/>
      <c r="U911" s="451"/>
      <c r="V911" s="451"/>
      <c r="W911" s="451"/>
      <c r="X911" s="451"/>
      <c r="Y911" s="212"/>
      <c r="Z911" s="212"/>
      <c r="AA911" s="212"/>
      <c r="AB911" s="212"/>
      <c r="AC911" s="212"/>
      <c r="AD911" s="212"/>
      <c r="AE911" s="450"/>
      <c r="AF911" s="212"/>
      <c r="AG911" s="212"/>
      <c r="AH911" s="212"/>
      <c r="AI911" s="212"/>
      <c r="AJ911" s="212"/>
      <c r="AK911" s="212"/>
      <c r="AL911" s="212"/>
      <c r="AM911" s="212"/>
      <c r="AN911" s="212"/>
      <c r="AO911" s="212"/>
      <c r="AP911" s="212"/>
      <c r="AQ911" s="212"/>
      <c r="AR911" s="212"/>
      <c r="AS911" s="212"/>
      <c r="AT911" s="212"/>
      <c r="AU911" s="212"/>
      <c r="AV911" s="212"/>
      <c r="AW911" s="212"/>
      <c r="AX911" s="212"/>
      <c r="AY911" s="212"/>
      <c r="AZ911" s="452"/>
      <c r="BA911" s="212"/>
      <c r="BB911" s="212"/>
      <c r="BC911" s="212"/>
      <c r="BD911" s="212"/>
      <c r="BE911" s="212"/>
      <c r="BF911" s="452"/>
    </row>
    <row r="912">
      <c r="A912" s="212"/>
      <c r="B912" s="447"/>
      <c r="C912" s="212"/>
      <c r="D912" s="212"/>
      <c r="E912" s="212"/>
      <c r="F912" s="212"/>
      <c r="G912" s="212"/>
      <c r="H912" s="212"/>
      <c r="I912" s="212"/>
      <c r="J912" s="212"/>
      <c r="K912" s="212"/>
      <c r="L912" s="212"/>
      <c r="M912" s="212"/>
      <c r="N912" s="212"/>
      <c r="O912" s="212"/>
      <c r="P912" s="212"/>
      <c r="Q912" s="212"/>
      <c r="R912" s="451"/>
      <c r="S912" s="451"/>
      <c r="T912" s="212"/>
      <c r="U912" s="451"/>
      <c r="V912" s="451"/>
      <c r="W912" s="451"/>
      <c r="X912" s="451"/>
      <c r="Y912" s="212"/>
      <c r="Z912" s="212"/>
      <c r="AA912" s="212"/>
      <c r="AB912" s="212"/>
      <c r="AC912" s="212"/>
      <c r="AD912" s="212"/>
      <c r="AE912" s="450"/>
      <c r="AF912" s="212"/>
      <c r="AG912" s="212"/>
      <c r="AH912" s="212"/>
      <c r="AI912" s="212"/>
      <c r="AJ912" s="212"/>
      <c r="AK912" s="212"/>
      <c r="AL912" s="212"/>
      <c r="AM912" s="212"/>
      <c r="AN912" s="212"/>
      <c r="AO912" s="212"/>
      <c r="AP912" s="212"/>
      <c r="AQ912" s="212"/>
      <c r="AR912" s="212"/>
      <c r="AS912" s="212"/>
      <c r="AT912" s="212"/>
      <c r="AU912" s="212"/>
      <c r="AV912" s="212"/>
      <c r="AW912" s="212"/>
      <c r="AX912" s="212"/>
      <c r="AY912" s="212"/>
      <c r="AZ912" s="452"/>
      <c r="BA912" s="212"/>
      <c r="BB912" s="212"/>
      <c r="BC912" s="212"/>
      <c r="BD912" s="212"/>
      <c r="BE912" s="212"/>
      <c r="BF912" s="452"/>
    </row>
    <row r="913">
      <c r="A913" s="212"/>
      <c r="B913" s="447"/>
      <c r="C913" s="212"/>
      <c r="D913" s="212"/>
      <c r="E913" s="212"/>
      <c r="F913" s="212"/>
      <c r="G913" s="212"/>
      <c r="H913" s="212"/>
      <c r="I913" s="212"/>
      <c r="J913" s="212"/>
      <c r="K913" s="212"/>
      <c r="L913" s="212"/>
      <c r="M913" s="212"/>
      <c r="N913" s="212"/>
      <c r="O913" s="212"/>
      <c r="P913" s="212"/>
      <c r="Q913" s="212"/>
      <c r="R913" s="451"/>
      <c r="S913" s="451"/>
      <c r="T913" s="212"/>
      <c r="U913" s="451"/>
      <c r="V913" s="451"/>
      <c r="W913" s="451"/>
      <c r="X913" s="451"/>
      <c r="Y913" s="212"/>
      <c r="Z913" s="212"/>
      <c r="AA913" s="212"/>
      <c r="AB913" s="212"/>
      <c r="AC913" s="212"/>
      <c r="AD913" s="212"/>
      <c r="AE913" s="450"/>
      <c r="AF913" s="212"/>
      <c r="AG913" s="212"/>
      <c r="AH913" s="212"/>
      <c r="AI913" s="212"/>
      <c r="AJ913" s="212"/>
      <c r="AK913" s="212"/>
      <c r="AL913" s="212"/>
      <c r="AM913" s="212"/>
      <c r="AN913" s="212"/>
      <c r="AO913" s="212"/>
      <c r="AP913" s="212"/>
      <c r="AQ913" s="212"/>
      <c r="AR913" s="212"/>
      <c r="AS913" s="212"/>
      <c r="AT913" s="212"/>
      <c r="AU913" s="212"/>
      <c r="AV913" s="212"/>
      <c r="AW913" s="212"/>
      <c r="AX913" s="212"/>
      <c r="AY913" s="212"/>
      <c r="AZ913" s="452"/>
      <c r="BA913" s="212"/>
      <c r="BB913" s="212"/>
      <c r="BC913" s="212"/>
      <c r="BD913" s="212"/>
      <c r="BE913" s="212"/>
      <c r="BF913" s="452"/>
    </row>
    <row r="914">
      <c r="A914" s="212"/>
      <c r="B914" s="447"/>
      <c r="C914" s="212"/>
      <c r="D914" s="212"/>
      <c r="E914" s="212"/>
      <c r="F914" s="212"/>
      <c r="G914" s="212"/>
      <c r="H914" s="212"/>
      <c r="I914" s="212"/>
      <c r="J914" s="212"/>
      <c r="K914" s="212"/>
      <c r="L914" s="212"/>
      <c r="M914" s="212"/>
      <c r="N914" s="212"/>
      <c r="O914" s="212"/>
      <c r="P914" s="212"/>
      <c r="Q914" s="212"/>
      <c r="R914" s="451"/>
      <c r="S914" s="451"/>
      <c r="T914" s="212"/>
      <c r="U914" s="451"/>
      <c r="V914" s="451"/>
      <c r="W914" s="451"/>
      <c r="X914" s="451"/>
      <c r="Y914" s="212"/>
      <c r="Z914" s="212"/>
      <c r="AA914" s="212"/>
      <c r="AB914" s="212"/>
      <c r="AC914" s="212"/>
      <c r="AD914" s="212"/>
      <c r="AE914" s="450"/>
      <c r="AF914" s="212"/>
      <c r="AG914" s="212"/>
      <c r="AH914" s="212"/>
      <c r="AI914" s="212"/>
      <c r="AJ914" s="212"/>
      <c r="AK914" s="212"/>
      <c r="AL914" s="212"/>
      <c r="AM914" s="212"/>
      <c r="AN914" s="212"/>
      <c r="AO914" s="212"/>
      <c r="AP914" s="212"/>
      <c r="AQ914" s="212"/>
      <c r="AR914" s="212"/>
      <c r="AS914" s="212"/>
      <c r="AT914" s="212"/>
      <c r="AU914" s="212"/>
      <c r="AV914" s="212"/>
      <c r="AW914" s="212"/>
      <c r="AX914" s="212"/>
      <c r="AY914" s="212"/>
      <c r="AZ914" s="452"/>
      <c r="BA914" s="212"/>
      <c r="BB914" s="212"/>
      <c r="BC914" s="212"/>
      <c r="BD914" s="212"/>
      <c r="BE914" s="212"/>
      <c r="BF914" s="452"/>
    </row>
    <row r="915">
      <c r="A915" s="212"/>
      <c r="B915" s="447"/>
      <c r="C915" s="212"/>
      <c r="D915" s="212"/>
      <c r="E915" s="212"/>
      <c r="F915" s="212"/>
      <c r="G915" s="212"/>
      <c r="H915" s="212"/>
      <c r="I915" s="212"/>
      <c r="J915" s="212"/>
      <c r="K915" s="212"/>
      <c r="L915" s="212"/>
      <c r="M915" s="212"/>
      <c r="N915" s="212"/>
      <c r="O915" s="212"/>
      <c r="P915" s="212"/>
      <c r="Q915" s="212"/>
      <c r="R915" s="451"/>
      <c r="S915" s="451"/>
      <c r="T915" s="212"/>
      <c r="U915" s="451"/>
      <c r="V915" s="451"/>
      <c r="W915" s="451"/>
      <c r="X915" s="451"/>
      <c r="Y915" s="212"/>
      <c r="Z915" s="212"/>
      <c r="AA915" s="212"/>
      <c r="AB915" s="212"/>
      <c r="AC915" s="212"/>
      <c r="AD915" s="212"/>
      <c r="AE915" s="450"/>
      <c r="AF915" s="212"/>
      <c r="AG915" s="212"/>
      <c r="AH915" s="212"/>
      <c r="AI915" s="212"/>
      <c r="AJ915" s="212"/>
      <c r="AK915" s="212"/>
      <c r="AL915" s="212"/>
      <c r="AM915" s="212"/>
      <c r="AN915" s="212"/>
      <c r="AO915" s="212"/>
      <c r="AP915" s="212"/>
      <c r="AQ915" s="212"/>
      <c r="AR915" s="212"/>
      <c r="AS915" s="212"/>
      <c r="AT915" s="212"/>
      <c r="AU915" s="212"/>
      <c r="AV915" s="212"/>
      <c r="AW915" s="212"/>
      <c r="AX915" s="212"/>
      <c r="AY915" s="212"/>
      <c r="AZ915" s="452"/>
      <c r="BA915" s="212"/>
      <c r="BB915" s="212"/>
      <c r="BC915" s="212"/>
      <c r="BD915" s="212"/>
      <c r="BE915" s="212"/>
      <c r="BF915" s="452"/>
    </row>
    <row r="916">
      <c r="A916" s="212"/>
      <c r="B916" s="447"/>
      <c r="C916" s="212"/>
      <c r="D916" s="212"/>
      <c r="E916" s="212"/>
      <c r="F916" s="212"/>
      <c r="G916" s="212"/>
      <c r="H916" s="212"/>
      <c r="I916" s="212"/>
      <c r="J916" s="212"/>
      <c r="K916" s="212"/>
      <c r="L916" s="212"/>
      <c r="M916" s="212"/>
      <c r="N916" s="212"/>
      <c r="O916" s="212"/>
      <c r="P916" s="212"/>
      <c r="Q916" s="212"/>
      <c r="R916" s="451"/>
      <c r="S916" s="451"/>
      <c r="T916" s="212"/>
      <c r="U916" s="451"/>
      <c r="V916" s="451"/>
      <c r="W916" s="451"/>
      <c r="X916" s="451"/>
      <c r="Y916" s="212"/>
      <c r="Z916" s="212"/>
      <c r="AA916" s="212"/>
      <c r="AB916" s="212"/>
      <c r="AC916" s="212"/>
      <c r="AD916" s="212"/>
      <c r="AE916" s="450"/>
      <c r="AF916" s="212"/>
      <c r="AG916" s="212"/>
      <c r="AH916" s="212"/>
      <c r="AI916" s="212"/>
      <c r="AJ916" s="212"/>
      <c r="AK916" s="212"/>
      <c r="AL916" s="212"/>
      <c r="AM916" s="212"/>
      <c r="AN916" s="212"/>
      <c r="AO916" s="212"/>
      <c r="AP916" s="212"/>
      <c r="AQ916" s="212"/>
      <c r="AR916" s="212"/>
      <c r="AS916" s="212"/>
      <c r="AT916" s="212"/>
      <c r="AU916" s="212"/>
      <c r="AV916" s="212"/>
      <c r="AW916" s="212"/>
      <c r="AX916" s="212"/>
      <c r="AY916" s="212"/>
      <c r="AZ916" s="452"/>
      <c r="BA916" s="212"/>
      <c r="BB916" s="212"/>
      <c r="BC916" s="212"/>
      <c r="BD916" s="212"/>
      <c r="BE916" s="212"/>
      <c r="BF916" s="452"/>
    </row>
    <row r="917">
      <c r="A917" s="212"/>
      <c r="B917" s="447"/>
      <c r="C917" s="212"/>
      <c r="D917" s="212"/>
      <c r="E917" s="212"/>
      <c r="F917" s="212"/>
      <c r="G917" s="212"/>
      <c r="H917" s="212"/>
      <c r="I917" s="212"/>
      <c r="J917" s="212"/>
      <c r="K917" s="212"/>
      <c r="L917" s="212"/>
      <c r="M917" s="212"/>
      <c r="N917" s="212"/>
      <c r="O917" s="212"/>
      <c r="P917" s="212"/>
      <c r="Q917" s="212"/>
      <c r="R917" s="451"/>
      <c r="S917" s="451"/>
      <c r="T917" s="212"/>
      <c r="U917" s="451"/>
      <c r="V917" s="451"/>
      <c r="W917" s="451"/>
      <c r="X917" s="451"/>
      <c r="Y917" s="212"/>
      <c r="Z917" s="212"/>
      <c r="AA917" s="212"/>
      <c r="AB917" s="212"/>
      <c r="AC917" s="212"/>
      <c r="AD917" s="212"/>
      <c r="AE917" s="450"/>
      <c r="AF917" s="212"/>
      <c r="AG917" s="212"/>
      <c r="AH917" s="212"/>
      <c r="AI917" s="212"/>
      <c r="AJ917" s="212"/>
      <c r="AK917" s="212"/>
      <c r="AL917" s="212"/>
      <c r="AM917" s="212"/>
      <c r="AN917" s="212"/>
      <c r="AO917" s="212"/>
      <c r="AP917" s="212"/>
      <c r="AQ917" s="212"/>
      <c r="AR917" s="212"/>
      <c r="AS917" s="212"/>
      <c r="AT917" s="212"/>
      <c r="AU917" s="212"/>
      <c r="AV917" s="212"/>
      <c r="AW917" s="212"/>
      <c r="AX917" s="212"/>
      <c r="AY917" s="212"/>
      <c r="AZ917" s="452"/>
      <c r="BA917" s="212"/>
      <c r="BB917" s="212"/>
      <c r="BC917" s="212"/>
      <c r="BD917" s="212"/>
      <c r="BE917" s="212"/>
      <c r="BF917" s="452"/>
    </row>
    <row r="918">
      <c r="A918" s="212"/>
      <c r="B918" s="447"/>
      <c r="C918" s="212"/>
      <c r="D918" s="212"/>
      <c r="E918" s="212"/>
      <c r="F918" s="212"/>
      <c r="G918" s="212"/>
      <c r="H918" s="212"/>
      <c r="I918" s="212"/>
      <c r="J918" s="212"/>
      <c r="K918" s="212"/>
      <c r="L918" s="212"/>
      <c r="M918" s="212"/>
      <c r="N918" s="212"/>
      <c r="O918" s="212"/>
      <c r="P918" s="212"/>
      <c r="Q918" s="212"/>
      <c r="R918" s="451"/>
      <c r="S918" s="451"/>
      <c r="T918" s="212"/>
      <c r="U918" s="451"/>
      <c r="V918" s="451"/>
      <c r="W918" s="451"/>
      <c r="X918" s="451"/>
      <c r="Y918" s="212"/>
      <c r="Z918" s="212"/>
      <c r="AA918" s="212"/>
      <c r="AB918" s="212"/>
      <c r="AC918" s="212"/>
      <c r="AD918" s="212"/>
      <c r="AE918" s="450"/>
      <c r="AF918" s="212"/>
      <c r="AG918" s="212"/>
      <c r="AH918" s="212"/>
      <c r="AI918" s="212"/>
      <c r="AJ918" s="212"/>
      <c r="AK918" s="212"/>
      <c r="AL918" s="212"/>
      <c r="AM918" s="212"/>
      <c r="AN918" s="212"/>
      <c r="AO918" s="212"/>
      <c r="AP918" s="212"/>
      <c r="AQ918" s="212"/>
      <c r="AR918" s="212"/>
      <c r="AS918" s="212"/>
      <c r="AT918" s="212"/>
      <c r="AU918" s="212"/>
      <c r="AV918" s="212"/>
      <c r="AW918" s="212"/>
      <c r="AX918" s="212"/>
      <c r="AY918" s="212"/>
      <c r="AZ918" s="452"/>
      <c r="BA918" s="212"/>
      <c r="BB918" s="212"/>
      <c r="BC918" s="212"/>
      <c r="BD918" s="212"/>
      <c r="BE918" s="212"/>
      <c r="BF918" s="452"/>
    </row>
    <row r="919">
      <c r="A919" s="212"/>
      <c r="B919" s="447"/>
      <c r="C919" s="212"/>
      <c r="D919" s="212"/>
      <c r="E919" s="212"/>
      <c r="F919" s="212"/>
      <c r="G919" s="212"/>
      <c r="H919" s="212"/>
      <c r="I919" s="212"/>
      <c r="J919" s="212"/>
      <c r="K919" s="212"/>
      <c r="L919" s="212"/>
      <c r="M919" s="212"/>
      <c r="N919" s="212"/>
      <c r="O919" s="212"/>
      <c r="P919" s="212"/>
      <c r="Q919" s="212"/>
      <c r="R919" s="451"/>
      <c r="S919" s="451"/>
      <c r="T919" s="212"/>
      <c r="U919" s="451"/>
      <c r="V919" s="451"/>
      <c r="W919" s="451"/>
      <c r="X919" s="451"/>
      <c r="Y919" s="212"/>
      <c r="Z919" s="212"/>
      <c r="AA919" s="212"/>
      <c r="AB919" s="212"/>
      <c r="AC919" s="212"/>
      <c r="AD919" s="212"/>
      <c r="AE919" s="450"/>
      <c r="AF919" s="212"/>
      <c r="AG919" s="212"/>
      <c r="AH919" s="212"/>
      <c r="AI919" s="212"/>
      <c r="AJ919" s="212"/>
      <c r="AK919" s="212"/>
      <c r="AL919" s="212"/>
      <c r="AM919" s="212"/>
      <c r="AN919" s="212"/>
      <c r="AO919" s="212"/>
      <c r="AP919" s="212"/>
      <c r="AQ919" s="212"/>
      <c r="AR919" s="212"/>
      <c r="AS919" s="212"/>
      <c r="AT919" s="212"/>
      <c r="AU919" s="212"/>
      <c r="AV919" s="212"/>
      <c r="AW919" s="212"/>
      <c r="AX919" s="212"/>
      <c r="AY919" s="212"/>
      <c r="AZ919" s="452"/>
      <c r="BA919" s="212"/>
      <c r="BB919" s="212"/>
      <c r="BC919" s="212"/>
      <c r="BD919" s="212"/>
      <c r="BE919" s="212"/>
      <c r="BF919" s="452"/>
    </row>
    <row r="920">
      <c r="A920" s="212"/>
      <c r="B920" s="447"/>
      <c r="C920" s="212"/>
      <c r="D920" s="212"/>
      <c r="E920" s="212"/>
      <c r="F920" s="212"/>
      <c r="G920" s="212"/>
      <c r="H920" s="212"/>
      <c r="I920" s="212"/>
      <c r="J920" s="212"/>
      <c r="K920" s="212"/>
      <c r="L920" s="212"/>
      <c r="M920" s="212"/>
      <c r="N920" s="212"/>
      <c r="O920" s="212"/>
      <c r="P920" s="212"/>
      <c r="Q920" s="212"/>
      <c r="R920" s="451"/>
      <c r="S920" s="451"/>
      <c r="T920" s="212"/>
      <c r="U920" s="451"/>
      <c r="V920" s="451"/>
      <c r="W920" s="451"/>
      <c r="X920" s="451"/>
      <c r="Y920" s="212"/>
      <c r="Z920" s="212"/>
      <c r="AA920" s="212"/>
      <c r="AB920" s="212"/>
      <c r="AC920" s="212"/>
      <c r="AD920" s="212"/>
      <c r="AE920" s="450"/>
      <c r="AF920" s="212"/>
      <c r="AG920" s="212"/>
      <c r="AH920" s="212"/>
      <c r="AI920" s="212"/>
      <c r="AJ920" s="212"/>
      <c r="AK920" s="212"/>
      <c r="AL920" s="212"/>
      <c r="AM920" s="212"/>
      <c r="AN920" s="212"/>
      <c r="AO920" s="212"/>
      <c r="AP920" s="212"/>
      <c r="AQ920" s="212"/>
      <c r="AR920" s="212"/>
      <c r="AS920" s="212"/>
      <c r="AT920" s="212"/>
      <c r="AU920" s="212"/>
      <c r="AV920" s="212"/>
      <c r="AW920" s="212"/>
      <c r="AX920" s="212"/>
      <c r="AY920" s="212"/>
      <c r="AZ920" s="452"/>
      <c r="BA920" s="212"/>
      <c r="BB920" s="212"/>
      <c r="BC920" s="212"/>
      <c r="BD920" s="212"/>
      <c r="BE920" s="212"/>
      <c r="BF920" s="452"/>
    </row>
    <row r="921">
      <c r="A921" s="212"/>
      <c r="B921" s="447"/>
      <c r="C921" s="212"/>
      <c r="D921" s="212"/>
      <c r="E921" s="212"/>
      <c r="F921" s="212"/>
      <c r="G921" s="212"/>
      <c r="H921" s="212"/>
      <c r="I921" s="212"/>
      <c r="J921" s="212"/>
      <c r="K921" s="212"/>
      <c r="L921" s="212"/>
      <c r="M921" s="212"/>
      <c r="N921" s="212"/>
      <c r="O921" s="212"/>
      <c r="P921" s="212"/>
      <c r="Q921" s="212"/>
      <c r="R921" s="451"/>
      <c r="S921" s="451"/>
      <c r="T921" s="212"/>
      <c r="U921" s="451"/>
      <c r="V921" s="451"/>
      <c r="W921" s="451"/>
      <c r="X921" s="451"/>
      <c r="Y921" s="212"/>
      <c r="Z921" s="212"/>
      <c r="AA921" s="212"/>
      <c r="AB921" s="212"/>
      <c r="AC921" s="212"/>
      <c r="AD921" s="212"/>
      <c r="AE921" s="450"/>
      <c r="AF921" s="212"/>
      <c r="AG921" s="212"/>
      <c r="AH921" s="212"/>
      <c r="AI921" s="212"/>
      <c r="AJ921" s="212"/>
      <c r="AK921" s="212"/>
      <c r="AL921" s="212"/>
      <c r="AM921" s="212"/>
      <c r="AN921" s="212"/>
      <c r="AO921" s="212"/>
      <c r="AP921" s="212"/>
      <c r="AQ921" s="212"/>
      <c r="AR921" s="212"/>
      <c r="AS921" s="212"/>
      <c r="AT921" s="212"/>
      <c r="AU921" s="212"/>
      <c r="AV921" s="212"/>
      <c r="AW921" s="212"/>
      <c r="AX921" s="212"/>
      <c r="AY921" s="212"/>
      <c r="AZ921" s="452"/>
      <c r="BA921" s="212"/>
      <c r="BB921" s="212"/>
      <c r="BC921" s="212"/>
      <c r="BD921" s="212"/>
      <c r="BE921" s="212"/>
      <c r="BF921" s="452"/>
    </row>
    <row r="922">
      <c r="A922" s="212"/>
      <c r="B922" s="447"/>
      <c r="C922" s="212"/>
      <c r="D922" s="212"/>
      <c r="E922" s="212"/>
      <c r="F922" s="212"/>
      <c r="G922" s="212"/>
      <c r="H922" s="212"/>
      <c r="I922" s="212"/>
      <c r="J922" s="212"/>
      <c r="K922" s="212"/>
      <c r="L922" s="212"/>
      <c r="M922" s="212"/>
      <c r="N922" s="212"/>
      <c r="O922" s="212"/>
      <c r="P922" s="212"/>
      <c r="Q922" s="212"/>
      <c r="R922" s="451"/>
      <c r="S922" s="451"/>
      <c r="T922" s="212"/>
      <c r="U922" s="451"/>
      <c r="V922" s="451"/>
      <c r="W922" s="451"/>
      <c r="X922" s="451"/>
      <c r="Y922" s="212"/>
      <c r="Z922" s="212"/>
      <c r="AA922" s="212"/>
      <c r="AB922" s="212"/>
      <c r="AC922" s="212"/>
      <c r="AD922" s="212"/>
      <c r="AE922" s="450"/>
      <c r="AF922" s="212"/>
      <c r="AG922" s="212"/>
      <c r="AH922" s="212"/>
      <c r="AI922" s="212"/>
      <c r="AJ922" s="212"/>
      <c r="AK922" s="212"/>
      <c r="AL922" s="212"/>
      <c r="AM922" s="212"/>
      <c r="AN922" s="212"/>
      <c r="AO922" s="212"/>
      <c r="AP922" s="212"/>
      <c r="AQ922" s="212"/>
      <c r="AR922" s="212"/>
      <c r="AS922" s="212"/>
      <c r="AT922" s="212"/>
      <c r="AU922" s="212"/>
      <c r="AV922" s="212"/>
      <c r="AW922" s="212"/>
      <c r="AX922" s="212"/>
      <c r="AY922" s="212"/>
      <c r="AZ922" s="452"/>
      <c r="BA922" s="212"/>
      <c r="BB922" s="212"/>
      <c r="BC922" s="212"/>
      <c r="BD922" s="212"/>
      <c r="BE922" s="212"/>
      <c r="BF922" s="452"/>
    </row>
    <row r="923">
      <c r="A923" s="212"/>
      <c r="B923" s="447"/>
      <c r="C923" s="212"/>
      <c r="D923" s="212"/>
      <c r="E923" s="212"/>
      <c r="F923" s="212"/>
      <c r="G923" s="212"/>
      <c r="H923" s="212"/>
      <c r="I923" s="212"/>
      <c r="J923" s="212"/>
      <c r="K923" s="212"/>
      <c r="L923" s="212"/>
      <c r="M923" s="212"/>
      <c r="N923" s="212"/>
      <c r="O923" s="212"/>
      <c r="P923" s="212"/>
      <c r="Q923" s="212"/>
      <c r="R923" s="451"/>
      <c r="S923" s="451"/>
      <c r="T923" s="212"/>
      <c r="U923" s="451"/>
      <c r="V923" s="451"/>
      <c r="W923" s="451"/>
      <c r="X923" s="451"/>
      <c r="Y923" s="212"/>
      <c r="Z923" s="212"/>
      <c r="AA923" s="212"/>
      <c r="AB923" s="212"/>
      <c r="AC923" s="212"/>
      <c r="AD923" s="212"/>
      <c r="AE923" s="450"/>
      <c r="AF923" s="212"/>
      <c r="AG923" s="212"/>
      <c r="AH923" s="212"/>
      <c r="AI923" s="212"/>
      <c r="AJ923" s="212"/>
      <c r="AK923" s="212"/>
      <c r="AL923" s="212"/>
      <c r="AM923" s="212"/>
      <c r="AN923" s="212"/>
      <c r="AO923" s="212"/>
      <c r="AP923" s="212"/>
      <c r="AQ923" s="212"/>
      <c r="AR923" s="212"/>
      <c r="AS923" s="212"/>
      <c r="AT923" s="212"/>
      <c r="AU923" s="212"/>
      <c r="AV923" s="212"/>
      <c r="AW923" s="212"/>
      <c r="AX923" s="212"/>
      <c r="AY923" s="212"/>
      <c r="AZ923" s="452"/>
      <c r="BA923" s="212"/>
      <c r="BB923" s="212"/>
      <c r="BC923" s="212"/>
      <c r="BD923" s="212"/>
      <c r="BE923" s="212"/>
      <c r="BF923" s="452"/>
    </row>
    <row r="924">
      <c r="A924" s="212"/>
      <c r="B924" s="447"/>
      <c r="C924" s="212"/>
      <c r="D924" s="212"/>
      <c r="E924" s="212"/>
      <c r="F924" s="212"/>
      <c r="G924" s="212"/>
      <c r="H924" s="212"/>
      <c r="I924" s="212"/>
      <c r="J924" s="212"/>
      <c r="K924" s="212"/>
      <c r="L924" s="212"/>
      <c r="M924" s="212"/>
      <c r="N924" s="212"/>
      <c r="O924" s="212"/>
      <c r="P924" s="212"/>
      <c r="Q924" s="212"/>
      <c r="R924" s="451"/>
      <c r="S924" s="451"/>
      <c r="T924" s="212"/>
      <c r="U924" s="451"/>
      <c r="V924" s="451"/>
      <c r="W924" s="451"/>
      <c r="X924" s="451"/>
      <c r="Y924" s="212"/>
      <c r="Z924" s="212"/>
      <c r="AA924" s="212"/>
      <c r="AB924" s="212"/>
      <c r="AC924" s="212"/>
      <c r="AD924" s="212"/>
      <c r="AE924" s="450"/>
      <c r="AF924" s="212"/>
      <c r="AG924" s="212"/>
      <c r="AH924" s="212"/>
      <c r="AI924" s="212"/>
      <c r="AJ924" s="212"/>
      <c r="AK924" s="212"/>
      <c r="AL924" s="212"/>
      <c r="AM924" s="212"/>
      <c r="AN924" s="212"/>
      <c r="AO924" s="212"/>
      <c r="AP924" s="212"/>
      <c r="AQ924" s="212"/>
      <c r="AR924" s="212"/>
      <c r="AS924" s="212"/>
      <c r="AT924" s="212"/>
      <c r="AU924" s="212"/>
      <c r="AV924" s="212"/>
      <c r="AW924" s="212"/>
      <c r="AX924" s="212"/>
      <c r="AY924" s="212"/>
      <c r="AZ924" s="452"/>
      <c r="BA924" s="212"/>
      <c r="BB924" s="212"/>
      <c r="BC924" s="212"/>
      <c r="BD924" s="212"/>
      <c r="BE924" s="212"/>
      <c r="BF924" s="452"/>
    </row>
    <row r="925">
      <c r="A925" s="212"/>
      <c r="B925" s="447"/>
      <c r="C925" s="212"/>
      <c r="D925" s="212"/>
      <c r="E925" s="212"/>
      <c r="F925" s="212"/>
      <c r="G925" s="212"/>
      <c r="H925" s="212"/>
      <c r="I925" s="212"/>
      <c r="J925" s="212"/>
      <c r="K925" s="212"/>
      <c r="L925" s="212"/>
      <c r="M925" s="212"/>
      <c r="N925" s="212"/>
      <c r="O925" s="212"/>
      <c r="P925" s="212"/>
      <c r="Q925" s="212"/>
      <c r="R925" s="451"/>
      <c r="S925" s="451"/>
      <c r="T925" s="212"/>
      <c r="U925" s="451"/>
      <c r="V925" s="451"/>
      <c r="W925" s="451"/>
      <c r="X925" s="451"/>
      <c r="Y925" s="212"/>
      <c r="Z925" s="212"/>
      <c r="AA925" s="212"/>
      <c r="AB925" s="212"/>
      <c r="AC925" s="212"/>
      <c r="AD925" s="212"/>
      <c r="AE925" s="450"/>
      <c r="AF925" s="212"/>
      <c r="AG925" s="212"/>
      <c r="AH925" s="212"/>
      <c r="AI925" s="212"/>
      <c r="AJ925" s="212"/>
      <c r="AK925" s="212"/>
      <c r="AL925" s="212"/>
      <c r="AM925" s="212"/>
      <c r="AN925" s="212"/>
      <c r="AO925" s="212"/>
      <c r="AP925" s="212"/>
      <c r="AQ925" s="212"/>
      <c r="AR925" s="212"/>
      <c r="AS925" s="212"/>
      <c r="AT925" s="212"/>
      <c r="AU925" s="212"/>
      <c r="AV925" s="212"/>
      <c r="AW925" s="212"/>
      <c r="AX925" s="212"/>
      <c r="AY925" s="212"/>
      <c r="AZ925" s="452"/>
      <c r="BA925" s="212"/>
      <c r="BB925" s="212"/>
      <c r="BC925" s="212"/>
      <c r="BD925" s="212"/>
      <c r="BE925" s="212"/>
      <c r="BF925" s="452"/>
    </row>
    <row r="926">
      <c r="A926" s="212"/>
      <c r="B926" s="447"/>
      <c r="C926" s="212"/>
      <c r="D926" s="212"/>
      <c r="E926" s="212"/>
      <c r="F926" s="212"/>
      <c r="G926" s="212"/>
      <c r="H926" s="212"/>
      <c r="I926" s="212"/>
      <c r="J926" s="212"/>
      <c r="K926" s="212"/>
      <c r="L926" s="212"/>
      <c r="M926" s="212"/>
      <c r="N926" s="212"/>
      <c r="O926" s="212"/>
      <c r="P926" s="212"/>
      <c r="Q926" s="212"/>
      <c r="R926" s="451"/>
      <c r="S926" s="451"/>
      <c r="T926" s="212"/>
      <c r="U926" s="451"/>
      <c r="V926" s="451"/>
      <c r="W926" s="451"/>
      <c r="X926" s="451"/>
      <c r="Y926" s="212"/>
      <c r="Z926" s="212"/>
      <c r="AA926" s="212"/>
      <c r="AB926" s="212"/>
      <c r="AC926" s="212"/>
      <c r="AD926" s="212"/>
      <c r="AE926" s="450"/>
      <c r="AF926" s="212"/>
      <c r="AG926" s="212"/>
      <c r="AH926" s="212"/>
      <c r="AI926" s="212"/>
      <c r="AJ926" s="212"/>
      <c r="AK926" s="212"/>
      <c r="AL926" s="212"/>
      <c r="AM926" s="212"/>
      <c r="AN926" s="212"/>
      <c r="AO926" s="212"/>
      <c r="AP926" s="212"/>
      <c r="AQ926" s="212"/>
      <c r="AR926" s="212"/>
      <c r="AS926" s="212"/>
      <c r="AT926" s="212"/>
      <c r="AU926" s="212"/>
      <c r="AV926" s="212"/>
      <c r="AW926" s="212"/>
      <c r="AX926" s="212"/>
      <c r="AY926" s="212"/>
      <c r="AZ926" s="452"/>
      <c r="BA926" s="212"/>
      <c r="BB926" s="212"/>
      <c r="BC926" s="212"/>
      <c r="BD926" s="212"/>
      <c r="BE926" s="212"/>
      <c r="BF926" s="452"/>
    </row>
    <row r="927">
      <c r="A927" s="212"/>
      <c r="B927" s="447"/>
      <c r="C927" s="212"/>
      <c r="D927" s="212"/>
      <c r="E927" s="212"/>
      <c r="F927" s="212"/>
      <c r="G927" s="212"/>
      <c r="H927" s="212"/>
      <c r="I927" s="212"/>
      <c r="J927" s="212"/>
      <c r="K927" s="212"/>
      <c r="L927" s="212"/>
      <c r="M927" s="212"/>
      <c r="N927" s="212"/>
      <c r="O927" s="212"/>
      <c r="P927" s="212"/>
      <c r="Q927" s="212"/>
      <c r="R927" s="451"/>
      <c r="S927" s="451"/>
      <c r="T927" s="212"/>
      <c r="U927" s="451"/>
      <c r="V927" s="451"/>
      <c r="W927" s="451"/>
      <c r="X927" s="451"/>
      <c r="Y927" s="212"/>
      <c r="Z927" s="212"/>
      <c r="AA927" s="212"/>
      <c r="AB927" s="212"/>
      <c r="AC927" s="212"/>
      <c r="AD927" s="212"/>
      <c r="AE927" s="450"/>
      <c r="AF927" s="212"/>
      <c r="AG927" s="212"/>
      <c r="AH927" s="212"/>
      <c r="AI927" s="212"/>
      <c r="AJ927" s="212"/>
      <c r="AK927" s="212"/>
      <c r="AL927" s="212"/>
      <c r="AM927" s="212"/>
      <c r="AN927" s="212"/>
      <c r="AO927" s="212"/>
      <c r="AP927" s="212"/>
      <c r="AQ927" s="212"/>
      <c r="AR927" s="212"/>
      <c r="AS927" s="212"/>
      <c r="AT927" s="212"/>
      <c r="AU927" s="212"/>
      <c r="AV927" s="212"/>
      <c r="AW927" s="212"/>
      <c r="AX927" s="212"/>
      <c r="AY927" s="212"/>
      <c r="AZ927" s="452"/>
      <c r="BA927" s="212"/>
      <c r="BB927" s="212"/>
      <c r="BC927" s="212"/>
      <c r="BD927" s="212"/>
      <c r="BE927" s="212"/>
      <c r="BF927" s="452"/>
    </row>
    <row r="928">
      <c r="A928" s="212"/>
      <c r="B928" s="447"/>
      <c r="C928" s="212"/>
      <c r="D928" s="212"/>
      <c r="E928" s="212"/>
      <c r="F928" s="212"/>
      <c r="G928" s="212"/>
      <c r="H928" s="212"/>
      <c r="I928" s="212"/>
      <c r="J928" s="212"/>
      <c r="K928" s="212"/>
      <c r="L928" s="212"/>
      <c r="M928" s="212"/>
      <c r="N928" s="212"/>
      <c r="O928" s="212"/>
      <c r="P928" s="212"/>
      <c r="Q928" s="212"/>
      <c r="R928" s="451"/>
      <c r="S928" s="451"/>
      <c r="T928" s="212"/>
      <c r="U928" s="451"/>
      <c r="V928" s="451"/>
      <c r="W928" s="451"/>
      <c r="X928" s="451"/>
      <c r="Y928" s="212"/>
      <c r="Z928" s="212"/>
      <c r="AA928" s="212"/>
      <c r="AB928" s="212"/>
      <c r="AC928" s="212"/>
      <c r="AD928" s="212"/>
      <c r="AE928" s="450"/>
      <c r="AF928" s="212"/>
      <c r="AG928" s="212"/>
      <c r="AH928" s="212"/>
      <c r="AI928" s="212"/>
      <c r="AJ928" s="212"/>
      <c r="AK928" s="212"/>
      <c r="AL928" s="212"/>
      <c r="AM928" s="212"/>
      <c r="AN928" s="212"/>
      <c r="AO928" s="212"/>
      <c r="AP928" s="212"/>
      <c r="AQ928" s="212"/>
      <c r="AR928" s="212"/>
      <c r="AS928" s="212"/>
      <c r="AT928" s="212"/>
      <c r="AU928" s="212"/>
      <c r="AV928" s="212"/>
      <c r="AW928" s="212"/>
      <c r="AX928" s="212"/>
      <c r="AY928" s="212"/>
      <c r="AZ928" s="452"/>
      <c r="BA928" s="212"/>
      <c r="BB928" s="212"/>
      <c r="BC928" s="212"/>
      <c r="BD928" s="212"/>
      <c r="BE928" s="212"/>
      <c r="BF928" s="452"/>
    </row>
    <row r="929">
      <c r="A929" s="212"/>
      <c r="B929" s="447"/>
      <c r="C929" s="212"/>
      <c r="D929" s="212"/>
      <c r="E929" s="212"/>
      <c r="F929" s="212"/>
      <c r="G929" s="212"/>
      <c r="H929" s="212"/>
      <c r="I929" s="212"/>
      <c r="J929" s="212"/>
      <c r="K929" s="212"/>
      <c r="L929" s="212"/>
      <c r="M929" s="212"/>
      <c r="N929" s="212"/>
      <c r="O929" s="212"/>
      <c r="P929" s="212"/>
      <c r="Q929" s="212"/>
      <c r="R929" s="451"/>
      <c r="S929" s="451"/>
      <c r="T929" s="212"/>
      <c r="U929" s="451"/>
      <c r="V929" s="451"/>
      <c r="W929" s="451"/>
      <c r="X929" s="451"/>
      <c r="Y929" s="212"/>
      <c r="Z929" s="212"/>
      <c r="AA929" s="212"/>
      <c r="AB929" s="212"/>
      <c r="AC929" s="212"/>
      <c r="AD929" s="212"/>
      <c r="AE929" s="450"/>
      <c r="AF929" s="212"/>
      <c r="AG929" s="212"/>
      <c r="AH929" s="212"/>
      <c r="AI929" s="212"/>
      <c r="AJ929" s="212"/>
      <c r="AK929" s="212"/>
      <c r="AL929" s="212"/>
      <c r="AM929" s="212"/>
      <c r="AN929" s="212"/>
      <c r="AO929" s="212"/>
      <c r="AP929" s="212"/>
      <c r="AQ929" s="212"/>
      <c r="AR929" s="212"/>
      <c r="AS929" s="212"/>
      <c r="AT929" s="212"/>
      <c r="AU929" s="212"/>
      <c r="AV929" s="212"/>
      <c r="AW929" s="212"/>
      <c r="AX929" s="212"/>
      <c r="AY929" s="212"/>
      <c r="AZ929" s="452"/>
      <c r="BA929" s="212"/>
      <c r="BB929" s="212"/>
      <c r="BC929" s="212"/>
      <c r="BD929" s="212"/>
      <c r="BE929" s="212"/>
      <c r="BF929" s="452"/>
    </row>
    <row r="930">
      <c r="A930" s="212"/>
      <c r="B930" s="447"/>
      <c r="C930" s="212"/>
      <c r="D930" s="212"/>
      <c r="E930" s="212"/>
      <c r="F930" s="212"/>
      <c r="G930" s="212"/>
      <c r="H930" s="212"/>
      <c r="I930" s="212"/>
      <c r="J930" s="212"/>
      <c r="K930" s="212"/>
      <c r="L930" s="212"/>
      <c r="M930" s="212"/>
      <c r="N930" s="212"/>
      <c r="O930" s="212"/>
      <c r="P930" s="212"/>
      <c r="Q930" s="212"/>
      <c r="R930" s="451"/>
      <c r="S930" s="451"/>
      <c r="T930" s="212"/>
      <c r="U930" s="451"/>
      <c r="V930" s="451"/>
      <c r="W930" s="451"/>
      <c r="X930" s="451"/>
      <c r="Y930" s="212"/>
      <c r="Z930" s="212"/>
      <c r="AA930" s="212"/>
      <c r="AB930" s="212"/>
      <c r="AC930" s="212"/>
      <c r="AD930" s="212"/>
      <c r="AE930" s="450"/>
      <c r="AF930" s="212"/>
      <c r="AG930" s="212"/>
      <c r="AH930" s="212"/>
      <c r="AI930" s="212"/>
      <c r="AJ930" s="212"/>
      <c r="AK930" s="212"/>
      <c r="AL930" s="212"/>
      <c r="AM930" s="212"/>
      <c r="AN930" s="212"/>
      <c r="AO930" s="212"/>
      <c r="AP930" s="212"/>
      <c r="AQ930" s="212"/>
      <c r="AR930" s="212"/>
      <c r="AS930" s="212"/>
      <c r="AT930" s="212"/>
      <c r="AU930" s="212"/>
      <c r="AV930" s="212"/>
      <c r="AW930" s="212"/>
      <c r="AX930" s="212"/>
      <c r="AY930" s="212"/>
      <c r="AZ930" s="452"/>
      <c r="BA930" s="212"/>
      <c r="BB930" s="212"/>
      <c r="BC930" s="212"/>
      <c r="BD930" s="212"/>
      <c r="BE930" s="212"/>
      <c r="BF930" s="452"/>
    </row>
    <row r="931">
      <c r="A931" s="212"/>
      <c r="B931" s="447"/>
      <c r="C931" s="212"/>
      <c r="D931" s="212"/>
      <c r="E931" s="212"/>
      <c r="F931" s="212"/>
      <c r="G931" s="212"/>
      <c r="H931" s="212"/>
      <c r="I931" s="212"/>
      <c r="J931" s="212"/>
      <c r="K931" s="212"/>
      <c r="L931" s="212"/>
      <c r="M931" s="212"/>
      <c r="N931" s="212"/>
      <c r="O931" s="212"/>
      <c r="P931" s="212"/>
      <c r="Q931" s="212"/>
      <c r="R931" s="451"/>
      <c r="S931" s="451"/>
      <c r="T931" s="212"/>
      <c r="U931" s="451"/>
      <c r="V931" s="451"/>
      <c r="W931" s="451"/>
      <c r="X931" s="451"/>
      <c r="Y931" s="212"/>
      <c r="Z931" s="212"/>
      <c r="AA931" s="212"/>
      <c r="AB931" s="212"/>
      <c r="AC931" s="212"/>
      <c r="AD931" s="212"/>
      <c r="AE931" s="450"/>
      <c r="AF931" s="212"/>
      <c r="AG931" s="212"/>
      <c r="AH931" s="212"/>
      <c r="AI931" s="212"/>
      <c r="AJ931" s="212"/>
      <c r="AK931" s="212"/>
      <c r="AL931" s="212"/>
      <c r="AM931" s="212"/>
      <c r="AN931" s="212"/>
      <c r="AO931" s="212"/>
      <c r="AP931" s="212"/>
      <c r="AQ931" s="212"/>
      <c r="AR931" s="212"/>
      <c r="AS931" s="212"/>
      <c r="AT931" s="212"/>
      <c r="AU931" s="212"/>
      <c r="AV931" s="212"/>
      <c r="AW931" s="212"/>
      <c r="AX931" s="212"/>
      <c r="AY931" s="212"/>
      <c r="AZ931" s="452"/>
      <c r="BA931" s="212"/>
      <c r="BB931" s="212"/>
      <c r="BC931" s="212"/>
      <c r="BD931" s="212"/>
      <c r="BE931" s="212"/>
      <c r="BF931" s="452"/>
    </row>
    <row r="932">
      <c r="A932" s="212"/>
      <c r="B932" s="447"/>
      <c r="C932" s="212"/>
      <c r="D932" s="212"/>
      <c r="E932" s="212"/>
      <c r="F932" s="212"/>
      <c r="G932" s="212"/>
      <c r="H932" s="212"/>
      <c r="I932" s="212"/>
      <c r="J932" s="212"/>
      <c r="K932" s="212"/>
      <c r="L932" s="212"/>
      <c r="M932" s="212"/>
      <c r="N932" s="212"/>
      <c r="O932" s="212"/>
      <c r="P932" s="212"/>
      <c r="Q932" s="212"/>
      <c r="R932" s="451"/>
      <c r="S932" s="451"/>
      <c r="T932" s="212"/>
      <c r="U932" s="451"/>
      <c r="V932" s="451"/>
      <c r="W932" s="451"/>
      <c r="X932" s="451"/>
      <c r="Y932" s="212"/>
      <c r="Z932" s="212"/>
      <c r="AA932" s="212"/>
      <c r="AB932" s="212"/>
      <c r="AC932" s="212"/>
      <c r="AD932" s="212"/>
      <c r="AE932" s="450"/>
      <c r="AF932" s="212"/>
      <c r="AG932" s="212"/>
      <c r="AH932" s="212"/>
      <c r="AI932" s="212"/>
      <c r="AJ932" s="212"/>
      <c r="AK932" s="212"/>
      <c r="AL932" s="212"/>
      <c r="AM932" s="212"/>
      <c r="AN932" s="212"/>
      <c r="AO932" s="212"/>
      <c r="AP932" s="212"/>
      <c r="AQ932" s="212"/>
      <c r="AR932" s="212"/>
      <c r="AS932" s="212"/>
      <c r="AT932" s="212"/>
      <c r="AU932" s="212"/>
      <c r="AV932" s="212"/>
      <c r="AW932" s="212"/>
      <c r="AX932" s="212"/>
      <c r="AY932" s="212"/>
      <c r="AZ932" s="452"/>
      <c r="BA932" s="212"/>
      <c r="BB932" s="212"/>
      <c r="BC932" s="212"/>
      <c r="BD932" s="212"/>
      <c r="BE932" s="212"/>
      <c r="BF932" s="452"/>
    </row>
    <row r="933">
      <c r="A933" s="212"/>
      <c r="B933" s="447"/>
      <c r="C933" s="212"/>
      <c r="D933" s="212"/>
      <c r="E933" s="212"/>
      <c r="F933" s="212"/>
      <c r="G933" s="212"/>
      <c r="H933" s="212"/>
      <c r="I933" s="212"/>
      <c r="J933" s="212"/>
      <c r="K933" s="212"/>
      <c r="L933" s="212"/>
      <c r="M933" s="212"/>
      <c r="N933" s="212"/>
      <c r="O933" s="212"/>
      <c r="P933" s="212"/>
      <c r="Q933" s="212"/>
      <c r="R933" s="451"/>
      <c r="S933" s="451"/>
      <c r="T933" s="212"/>
      <c r="U933" s="451"/>
      <c r="V933" s="451"/>
      <c r="W933" s="451"/>
      <c r="X933" s="451"/>
      <c r="Y933" s="212"/>
      <c r="Z933" s="212"/>
      <c r="AA933" s="212"/>
      <c r="AB933" s="212"/>
      <c r="AC933" s="212"/>
      <c r="AD933" s="212"/>
      <c r="AE933" s="450"/>
      <c r="AF933" s="212"/>
      <c r="AG933" s="212"/>
      <c r="AH933" s="212"/>
      <c r="AI933" s="212"/>
      <c r="AJ933" s="212"/>
      <c r="AK933" s="212"/>
      <c r="AL933" s="212"/>
      <c r="AM933" s="212"/>
      <c r="AN933" s="212"/>
      <c r="AO933" s="212"/>
      <c r="AP933" s="212"/>
      <c r="AQ933" s="212"/>
      <c r="AR933" s="212"/>
      <c r="AS933" s="212"/>
      <c r="AT933" s="212"/>
      <c r="AU933" s="212"/>
      <c r="AV933" s="212"/>
      <c r="AW933" s="212"/>
      <c r="AX933" s="212"/>
      <c r="AY933" s="212"/>
      <c r="AZ933" s="452"/>
      <c r="BA933" s="212"/>
      <c r="BB933" s="212"/>
      <c r="BC933" s="212"/>
      <c r="BD933" s="212"/>
      <c r="BE933" s="212"/>
      <c r="BF933" s="452"/>
    </row>
    <row r="934">
      <c r="A934" s="212"/>
      <c r="B934" s="447"/>
      <c r="C934" s="212"/>
      <c r="D934" s="212"/>
      <c r="E934" s="212"/>
      <c r="F934" s="212"/>
      <c r="G934" s="212"/>
      <c r="H934" s="212"/>
      <c r="I934" s="212"/>
      <c r="J934" s="212"/>
      <c r="K934" s="212"/>
      <c r="L934" s="212"/>
      <c r="M934" s="212"/>
      <c r="N934" s="212"/>
      <c r="O934" s="212"/>
      <c r="P934" s="212"/>
      <c r="Q934" s="212"/>
      <c r="R934" s="451"/>
      <c r="S934" s="451"/>
      <c r="T934" s="212"/>
      <c r="U934" s="451"/>
      <c r="V934" s="451"/>
      <c r="W934" s="451"/>
      <c r="X934" s="451"/>
      <c r="Y934" s="212"/>
      <c r="Z934" s="212"/>
      <c r="AA934" s="212"/>
      <c r="AB934" s="212"/>
      <c r="AC934" s="212"/>
      <c r="AD934" s="212"/>
      <c r="AE934" s="450"/>
      <c r="AF934" s="212"/>
      <c r="AG934" s="212"/>
      <c r="AH934" s="212"/>
      <c r="AI934" s="212"/>
      <c r="AJ934" s="212"/>
      <c r="AK934" s="212"/>
      <c r="AL934" s="212"/>
      <c r="AM934" s="212"/>
      <c r="AN934" s="212"/>
      <c r="AO934" s="212"/>
      <c r="AP934" s="212"/>
      <c r="AQ934" s="212"/>
      <c r="AR934" s="212"/>
      <c r="AS934" s="212"/>
      <c r="AT934" s="212"/>
      <c r="AU934" s="212"/>
      <c r="AV934" s="212"/>
      <c r="AW934" s="212"/>
      <c r="AX934" s="212"/>
      <c r="AY934" s="212"/>
      <c r="AZ934" s="452"/>
      <c r="BA934" s="212"/>
      <c r="BB934" s="212"/>
      <c r="BC934" s="212"/>
      <c r="BD934" s="212"/>
      <c r="BE934" s="212"/>
      <c r="BF934" s="452"/>
    </row>
    <row r="935">
      <c r="A935" s="212"/>
      <c r="B935" s="447"/>
      <c r="C935" s="212"/>
      <c r="D935" s="212"/>
      <c r="E935" s="212"/>
      <c r="F935" s="212"/>
      <c r="G935" s="212"/>
      <c r="H935" s="212"/>
      <c r="I935" s="212"/>
      <c r="J935" s="212"/>
      <c r="K935" s="212"/>
      <c r="L935" s="212"/>
      <c r="M935" s="212"/>
      <c r="N935" s="212"/>
      <c r="O935" s="212"/>
      <c r="P935" s="212"/>
      <c r="Q935" s="212"/>
      <c r="R935" s="451"/>
      <c r="S935" s="451"/>
      <c r="T935" s="212"/>
      <c r="U935" s="451"/>
      <c r="V935" s="451"/>
      <c r="W935" s="451"/>
      <c r="X935" s="451"/>
      <c r="Y935" s="212"/>
      <c r="Z935" s="212"/>
      <c r="AA935" s="212"/>
      <c r="AB935" s="212"/>
      <c r="AC935" s="212"/>
      <c r="AD935" s="212"/>
      <c r="AE935" s="450"/>
      <c r="AF935" s="212"/>
      <c r="AG935" s="212"/>
      <c r="AH935" s="212"/>
      <c r="AI935" s="212"/>
      <c r="AJ935" s="212"/>
      <c r="AK935" s="212"/>
      <c r="AL935" s="212"/>
      <c r="AM935" s="212"/>
      <c r="AN935" s="212"/>
      <c r="AO935" s="212"/>
      <c r="AP935" s="212"/>
      <c r="AQ935" s="212"/>
      <c r="AR935" s="212"/>
      <c r="AS935" s="212"/>
      <c r="AT935" s="212"/>
      <c r="AU935" s="212"/>
      <c r="AV935" s="212"/>
      <c r="AW935" s="212"/>
      <c r="AX935" s="212"/>
      <c r="AY935" s="212"/>
      <c r="AZ935" s="452"/>
      <c r="BA935" s="212"/>
      <c r="BB935" s="212"/>
      <c r="BC935" s="212"/>
      <c r="BD935" s="212"/>
      <c r="BE935" s="212"/>
      <c r="BF935" s="452"/>
    </row>
    <row r="936">
      <c r="A936" s="212"/>
      <c r="B936" s="447"/>
      <c r="C936" s="212"/>
      <c r="D936" s="212"/>
      <c r="E936" s="212"/>
      <c r="F936" s="212"/>
      <c r="G936" s="212"/>
      <c r="H936" s="212"/>
      <c r="I936" s="212"/>
      <c r="J936" s="212"/>
      <c r="K936" s="212"/>
      <c r="L936" s="212"/>
      <c r="M936" s="212"/>
      <c r="N936" s="212"/>
      <c r="O936" s="212"/>
      <c r="P936" s="212"/>
      <c r="Q936" s="212"/>
      <c r="R936" s="451"/>
      <c r="S936" s="451"/>
      <c r="T936" s="212"/>
      <c r="U936" s="451"/>
      <c r="V936" s="451"/>
      <c r="W936" s="451"/>
      <c r="X936" s="451"/>
      <c r="Y936" s="212"/>
      <c r="Z936" s="212"/>
      <c r="AA936" s="212"/>
      <c r="AB936" s="212"/>
      <c r="AC936" s="212"/>
      <c r="AD936" s="212"/>
      <c r="AE936" s="450"/>
      <c r="AF936" s="212"/>
      <c r="AG936" s="212"/>
      <c r="AH936" s="212"/>
      <c r="AI936" s="212"/>
      <c r="AJ936" s="212"/>
      <c r="AK936" s="212"/>
      <c r="AL936" s="212"/>
      <c r="AM936" s="212"/>
      <c r="AN936" s="212"/>
      <c r="AO936" s="212"/>
      <c r="AP936" s="212"/>
      <c r="AQ936" s="212"/>
      <c r="AR936" s="212"/>
      <c r="AS936" s="212"/>
      <c r="AT936" s="212"/>
      <c r="AU936" s="212"/>
      <c r="AV936" s="212"/>
      <c r="AW936" s="212"/>
      <c r="AX936" s="212"/>
      <c r="AY936" s="212"/>
      <c r="AZ936" s="452"/>
      <c r="BA936" s="212"/>
      <c r="BB936" s="212"/>
      <c r="BC936" s="212"/>
      <c r="BD936" s="212"/>
      <c r="BE936" s="212"/>
      <c r="BF936" s="452"/>
    </row>
    <row r="937">
      <c r="A937" s="212"/>
      <c r="B937" s="447"/>
      <c r="C937" s="212"/>
      <c r="D937" s="212"/>
      <c r="E937" s="212"/>
      <c r="F937" s="212"/>
      <c r="G937" s="212"/>
      <c r="H937" s="212"/>
      <c r="I937" s="212"/>
      <c r="J937" s="212"/>
      <c r="K937" s="212"/>
      <c r="L937" s="212"/>
      <c r="M937" s="212"/>
      <c r="N937" s="212"/>
      <c r="O937" s="212"/>
      <c r="P937" s="212"/>
      <c r="Q937" s="212"/>
      <c r="R937" s="451"/>
      <c r="S937" s="451"/>
      <c r="T937" s="212"/>
      <c r="U937" s="451"/>
      <c r="V937" s="451"/>
      <c r="W937" s="451"/>
      <c r="X937" s="451"/>
      <c r="Y937" s="212"/>
      <c r="Z937" s="212"/>
      <c r="AA937" s="212"/>
      <c r="AB937" s="212"/>
      <c r="AC937" s="212"/>
      <c r="AD937" s="212"/>
      <c r="AE937" s="450"/>
      <c r="AF937" s="212"/>
      <c r="AG937" s="212"/>
      <c r="AH937" s="212"/>
      <c r="AI937" s="212"/>
      <c r="AJ937" s="212"/>
      <c r="AK937" s="212"/>
      <c r="AL937" s="212"/>
      <c r="AM937" s="212"/>
      <c r="AN937" s="212"/>
      <c r="AO937" s="212"/>
      <c r="AP937" s="212"/>
      <c r="AQ937" s="212"/>
      <c r="AR937" s="212"/>
      <c r="AS937" s="212"/>
      <c r="AT937" s="212"/>
      <c r="AU937" s="212"/>
      <c r="AV937" s="212"/>
      <c r="AW937" s="212"/>
      <c r="AX937" s="212"/>
      <c r="AY937" s="212"/>
      <c r="AZ937" s="452"/>
      <c r="BA937" s="212"/>
      <c r="BB937" s="212"/>
      <c r="BC937" s="212"/>
      <c r="BD937" s="212"/>
      <c r="BE937" s="212"/>
      <c r="BF937" s="452"/>
    </row>
    <row r="938">
      <c r="A938" s="212"/>
      <c r="B938" s="447"/>
      <c r="C938" s="212"/>
      <c r="D938" s="212"/>
      <c r="E938" s="212"/>
      <c r="F938" s="212"/>
      <c r="G938" s="212"/>
      <c r="H938" s="212"/>
      <c r="I938" s="212"/>
      <c r="J938" s="212"/>
      <c r="K938" s="212"/>
      <c r="L938" s="212"/>
      <c r="M938" s="212"/>
      <c r="N938" s="212"/>
      <c r="O938" s="212"/>
      <c r="P938" s="212"/>
      <c r="Q938" s="212"/>
      <c r="R938" s="451"/>
      <c r="S938" s="451"/>
      <c r="T938" s="212"/>
      <c r="U938" s="451"/>
      <c r="V938" s="451"/>
      <c r="W938" s="451"/>
      <c r="X938" s="451"/>
      <c r="Y938" s="212"/>
      <c r="Z938" s="212"/>
      <c r="AA938" s="212"/>
      <c r="AB938" s="212"/>
      <c r="AC938" s="212"/>
      <c r="AD938" s="212"/>
      <c r="AE938" s="450"/>
      <c r="AF938" s="212"/>
      <c r="AG938" s="212"/>
      <c r="AH938" s="212"/>
      <c r="AI938" s="212"/>
      <c r="AJ938" s="212"/>
      <c r="AK938" s="212"/>
      <c r="AL938" s="212"/>
      <c r="AM938" s="212"/>
      <c r="AN938" s="212"/>
      <c r="AO938" s="212"/>
      <c r="AP938" s="212"/>
      <c r="AQ938" s="212"/>
      <c r="AR938" s="212"/>
      <c r="AS938" s="212"/>
      <c r="AT938" s="212"/>
      <c r="AU938" s="212"/>
      <c r="AV938" s="212"/>
      <c r="AW938" s="212"/>
      <c r="AX938" s="212"/>
      <c r="AY938" s="212"/>
      <c r="AZ938" s="452"/>
      <c r="BA938" s="212"/>
      <c r="BB938" s="212"/>
      <c r="BC938" s="212"/>
      <c r="BD938" s="212"/>
      <c r="BE938" s="212"/>
      <c r="BF938" s="452"/>
    </row>
    <row r="939">
      <c r="A939" s="212"/>
      <c r="B939" s="447"/>
      <c r="C939" s="212"/>
      <c r="D939" s="212"/>
      <c r="E939" s="212"/>
      <c r="F939" s="212"/>
      <c r="G939" s="212"/>
      <c r="H939" s="212"/>
      <c r="I939" s="212"/>
      <c r="J939" s="212"/>
      <c r="K939" s="212"/>
      <c r="L939" s="212"/>
      <c r="M939" s="212"/>
      <c r="N939" s="212"/>
      <c r="O939" s="212"/>
      <c r="P939" s="212"/>
      <c r="Q939" s="212"/>
      <c r="R939" s="451"/>
      <c r="S939" s="451"/>
      <c r="T939" s="212"/>
      <c r="U939" s="451"/>
      <c r="V939" s="451"/>
      <c r="W939" s="451"/>
      <c r="X939" s="451"/>
      <c r="Y939" s="212"/>
      <c r="Z939" s="212"/>
      <c r="AA939" s="212"/>
      <c r="AB939" s="212"/>
      <c r="AC939" s="212"/>
      <c r="AD939" s="212"/>
      <c r="AE939" s="450"/>
      <c r="AF939" s="212"/>
      <c r="AG939" s="212"/>
      <c r="AH939" s="212"/>
      <c r="AI939" s="212"/>
      <c r="AJ939" s="212"/>
      <c r="AK939" s="212"/>
      <c r="AL939" s="212"/>
      <c r="AM939" s="212"/>
      <c r="AN939" s="212"/>
      <c r="AO939" s="212"/>
      <c r="AP939" s="212"/>
      <c r="AQ939" s="212"/>
      <c r="AR939" s="212"/>
      <c r="AS939" s="212"/>
      <c r="AT939" s="212"/>
      <c r="AU939" s="212"/>
      <c r="AV939" s="212"/>
      <c r="AW939" s="212"/>
      <c r="AX939" s="212"/>
      <c r="AY939" s="212"/>
      <c r="AZ939" s="452"/>
      <c r="BA939" s="212"/>
      <c r="BB939" s="212"/>
      <c r="BC939" s="212"/>
      <c r="BD939" s="212"/>
      <c r="BE939" s="212"/>
      <c r="BF939" s="452"/>
    </row>
    <row r="940">
      <c r="A940" s="212"/>
      <c r="B940" s="447"/>
      <c r="C940" s="212"/>
      <c r="D940" s="212"/>
      <c r="E940" s="212"/>
      <c r="F940" s="212"/>
      <c r="G940" s="212"/>
      <c r="H940" s="212"/>
      <c r="I940" s="212"/>
      <c r="J940" s="212"/>
      <c r="K940" s="212"/>
      <c r="L940" s="212"/>
      <c r="M940" s="212"/>
      <c r="N940" s="212"/>
      <c r="O940" s="212"/>
      <c r="P940" s="212"/>
      <c r="Q940" s="212"/>
      <c r="R940" s="451"/>
      <c r="S940" s="451"/>
      <c r="T940" s="212"/>
      <c r="U940" s="451"/>
      <c r="V940" s="451"/>
      <c r="W940" s="451"/>
      <c r="X940" s="451"/>
      <c r="Y940" s="212"/>
      <c r="Z940" s="212"/>
      <c r="AA940" s="212"/>
      <c r="AB940" s="212"/>
      <c r="AC940" s="212"/>
      <c r="AD940" s="212"/>
      <c r="AE940" s="450"/>
      <c r="AF940" s="212"/>
      <c r="AG940" s="212"/>
      <c r="AH940" s="212"/>
      <c r="AI940" s="212"/>
      <c r="AJ940" s="212"/>
      <c r="AK940" s="212"/>
      <c r="AL940" s="212"/>
      <c r="AM940" s="212"/>
      <c r="AN940" s="212"/>
      <c r="AO940" s="212"/>
      <c r="AP940" s="212"/>
      <c r="AQ940" s="212"/>
      <c r="AR940" s="212"/>
      <c r="AS940" s="212"/>
      <c r="AT940" s="212"/>
      <c r="AU940" s="212"/>
      <c r="AV940" s="212"/>
      <c r="AW940" s="212"/>
      <c r="AX940" s="212"/>
      <c r="AY940" s="212"/>
      <c r="AZ940" s="452"/>
      <c r="BA940" s="212"/>
      <c r="BB940" s="212"/>
      <c r="BC940" s="212"/>
      <c r="BD940" s="212"/>
      <c r="BE940" s="212"/>
      <c r="BF940" s="452"/>
    </row>
    <row r="941">
      <c r="A941" s="212"/>
      <c r="B941" s="447"/>
      <c r="C941" s="212"/>
      <c r="D941" s="212"/>
      <c r="E941" s="212"/>
      <c r="F941" s="212"/>
      <c r="G941" s="212"/>
      <c r="H941" s="212"/>
      <c r="I941" s="212"/>
      <c r="J941" s="212"/>
      <c r="K941" s="212"/>
      <c r="L941" s="212"/>
      <c r="M941" s="212"/>
      <c r="N941" s="212"/>
      <c r="O941" s="212"/>
      <c r="P941" s="212"/>
      <c r="Q941" s="212"/>
      <c r="R941" s="451"/>
      <c r="S941" s="451"/>
      <c r="T941" s="212"/>
      <c r="U941" s="451"/>
      <c r="V941" s="451"/>
      <c r="W941" s="451"/>
      <c r="X941" s="451"/>
      <c r="Y941" s="212"/>
      <c r="Z941" s="212"/>
      <c r="AA941" s="212"/>
      <c r="AB941" s="212"/>
      <c r="AC941" s="212"/>
      <c r="AD941" s="212"/>
      <c r="AE941" s="450"/>
      <c r="AF941" s="212"/>
      <c r="AG941" s="212"/>
      <c r="AH941" s="212"/>
      <c r="AI941" s="212"/>
      <c r="AJ941" s="212"/>
      <c r="AK941" s="212"/>
      <c r="AL941" s="212"/>
      <c r="AM941" s="212"/>
      <c r="AN941" s="212"/>
      <c r="AO941" s="212"/>
      <c r="AP941" s="212"/>
      <c r="AQ941" s="212"/>
      <c r="AR941" s="212"/>
      <c r="AS941" s="212"/>
      <c r="AT941" s="212"/>
      <c r="AU941" s="212"/>
      <c r="AV941" s="212"/>
      <c r="AW941" s="212"/>
      <c r="AX941" s="212"/>
      <c r="AY941" s="212"/>
      <c r="AZ941" s="452"/>
      <c r="BA941" s="212"/>
      <c r="BB941" s="212"/>
      <c r="BC941" s="212"/>
      <c r="BD941" s="212"/>
      <c r="BE941" s="212"/>
      <c r="BF941" s="452"/>
    </row>
    <row r="942">
      <c r="A942" s="212"/>
      <c r="B942" s="447"/>
      <c r="C942" s="212"/>
      <c r="D942" s="212"/>
      <c r="E942" s="212"/>
      <c r="F942" s="212"/>
      <c r="G942" s="212"/>
      <c r="H942" s="212"/>
      <c r="I942" s="212"/>
      <c r="J942" s="212"/>
      <c r="K942" s="212"/>
      <c r="L942" s="212"/>
      <c r="M942" s="212"/>
      <c r="N942" s="212"/>
      <c r="O942" s="212"/>
      <c r="P942" s="212"/>
      <c r="Q942" s="212"/>
      <c r="R942" s="451"/>
      <c r="S942" s="451"/>
      <c r="T942" s="212"/>
      <c r="U942" s="451"/>
      <c r="V942" s="451"/>
      <c r="W942" s="451"/>
      <c r="X942" s="451"/>
      <c r="Y942" s="212"/>
      <c r="Z942" s="212"/>
      <c r="AA942" s="212"/>
      <c r="AB942" s="212"/>
      <c r="AC942" s="212"/>
      <c r="AD942" s="212"/>
      <c r="AE942" s="450"/>
      <c r="AF942" s="212"/>
      <c r="AG942" s="212"/>
      <c r="AH942" s="212"/>
      <c r="AI942" s="212"/>
      <c r="AJ942" s="212"/>
      <c r="AK942" s="212"/>
      <c r="AL942" s="212"/>
      <c r="AM942" s="212"/>
      <c r="AN942" s="212"/>
      <c r="AO942" s="212"/>
      <c r="AP942" s="212"/>
      <c r="AQ942" s="212"/>
      <c r="AR942" s="212"/>
      <c r="AS942" s="212"/>
      <c r="AT942" s="212"/>
      <c r="AU942" s="212"/>
      <c r="AV942" s="212"/>
      <c r="AW942" s="212"/>
      <c r="AX942" s="212"/>
      <c r="AY942" s="212"/>
      <c r="AZ942" s="452"/>
      <c r="BA942" s="212"/>
      <c r="BB942" s="212"/>
      <c r="BC942" s="212"/>
      <c r="BD942" s="212"/>
      <c r="BE942" s="212"/>
      <c r="BF942" s="452"/>
    </row>
    <row r="943">
      <c r="A943" s="212"/>
      <c r="B943" s="447"/>
      <c r="C943" s="212"/>
      <c r="D943" s="212"/>
      <c r="E943" s="212"/>
      <c r="F943" s="212"/>
      <c r="G943" s="212"/>
      <c r="H943" s="212"/>
      <c r="I943" s="212"/>
      <c r="J943" s="212"/>
      <c r="K943" s="212"/>
      <c r="L943" s="212"/>
      <c r="M943" s="212"/>
      <c r="N943" s="212"/>
      <c r="O943" s="212"/>
      <c r="P943" s="212"/>
      <c r="Q943" s="212"/>
      <c r="R943" s="451"/>
      <c r="S943" s="451"/>
      <c r="T943" s="212"/>
      <c r="U943" s="451"/>
      <c r="V943" s="451"/>
      <c r="W943" s="451"/>
      <c r="X943" s="451"/>
      <c r="Y943" s="212"/>
      <c r="Z943" s="212"/>
      <c r="AA943" s="212"/>
      <c r="AB943" s="212"/>
      <c r="AC943" s="212"/>
      <c r="AD943" s="212"/>
      <c r="AE943" s="450"/>
      <c r="AF943" s="212"/>
      <c r="AG943" s="212"/>
      <c r="AH943" s="212"/>
      <c r="AI943" s="212"/>
      <c r="AJ943" s="212"/>
      <c r="AK943" s="212"/>
      <c r="AL943" s="212"/>
      <c r="AM943" s="212"/>
      <c r="AN943" s="212"/>
      <c r="AO943" s="212"/>
      <c r="AP943" s="212"/>
      <c r="AQ943" s="212"/>
      <c r="AR943" s="212"/>
      <c r="AS943" s="212"/>
      <c r="AT943" s="212"/>
      <c r="AU943" s="212"/>
      <c r="AV943" s="212"/>
      <c r="AW943" s="212"/>
      <c r="AX943" s="212"/>
      <c r="AY943" s="212"/>
      <c r="AZ943" s="452"/>
      <c r="BA943" s="212"/>
      <c r="BB943" s="212"/>
      <c r="BC943" s="212"/>
      <c r="BD943" s="212"/>
      <c r="BE943" s="212"/>
      <c r="BF943" s="452"/>
    </row>
    <row r="944">
      <c r="A944" s="212"/>
      <c r="B944" s="447"/>
      <c r="C944" s="212"/>
      <c r="D944" s="212"/>
      <c r="E944" s="212"/>
      <c r="F944" s="212"/>
      <c r="G944" s="212"/>
      <c r="H944" s="212"/>
      <c r="I944" s="212"/>
      <c r="J944" s="212"/>
      <c r="K944" s="212"/>
      <c r="L944" s="212"/>
      <c r="M944" s="212"/>
      <c r="N944" s="212"/>
      <c r="O944" s="212"/>
      <c r="P944" s="212"/>
      <c r="Q944" s="212"/>
      <c r="R944" s="451"/>
      <c r="S944" s="451"/>
      <c r="T944" s="212"/>
      <c r="U944" s="451"/>
      <c r="V944" s="451"/>
      <c r="W944" s="451"/>
      <c r="X944" s="451"/>
      <c r="Y944" s="212"/>
      <c r="Z944" s="212"/>
      <c r="AA944" s="212"/>
      <c r="AB944" s="212"/>
      <c r="AC944" s="212"/>
      <c r="AD944" s="212"/>
      <c r="AE944" s="450"/>
      <c r="AF944" s="212"/>
      <c r="AG944" s="212"/>
      <c r="AH944" s="212"/>
      <c r="AI944" s="212"/>
      <c r="AJ944" s="212"/>
      <c r="AK944" s="212"/>
      <c r="AL944" s="212"/>
      <c r="AM944" s="212"/>
      <c r="AN944" s="212"/>
      <c r="AO944" s="212"/>
      <c r="AP944" s="212"/>
      <c r="AQ944" s="212"/>
      <c r="AR944" s="212"/>
      <c r="AS944" s="212"/>
      <c r="AT944" s="212"/>
      <c r="AU944" s="212"/>
      <c r="AV944" s="212"/>
      <c r="AW944" s="212"/>
      <c r="AX944" s="212"/>
      <c r="AY944" s="212"/>
      <c r="AZ944" s="452"/>
      <c r="BA944" s="212"/>
      <c r="BB944" s="212"/>
      <c r="BC944" s="212"/>
      <c r="BD944" s="212"/>
      <c r="BE944" s="212"/>
      <c r="BF944" s="452"/>
    </row>
    <row r="945">
      <c r="A945" s="212"/>
      <c r="B945" s="447"/>
      <c r="C945" s="212"/>
      <c r="D945" s="212"/>
      <c r="E945" s="212"/>
      <c r="F945" s="212"/>
      <c r="G945" s="212"/>
      <c r="H945" s="212"/>
      <c r="I945" s="212"/>
      <c r="J945" s="212"/>
      <c r="K945" s="212"/>
      <c r="L945" s="212"/>
      <c r="M945" s="212"/>
      <c r="N945" s="212"/>
      <c r="O945" s="212"/>
      <c r="P945" s="212"/>
      <c r="Q945" s="212"/>
      <c r="R945" s="451"/>
      <c r="S945" s="451"/>
      <c r="T945" s="212"/>
      <c r="U945" s="451"/>
      <c r="V945" s="451"/>
      <c r="W945" s="451"/>
      <c r="X945" s="451"/>
      <c r="Y945" s="212"/>
      <c r="Z945" s="212"/>
      <c r="AA945" s="212"/>
      <c r="AB945" s="212"/>
      <c r="AC945" s="212"/>
      <c r="AD945" s="212"/>
      <c r="AE945" s="450"/>
      <c r="AF945" s="212"/>
      <c r="AG945" s="212"/>
      <c r="AH945" s="212"/>
      <c r="AI945" s="212"/>
      <c r="AJ945" s="212"/>
      <c r="AK945" s="212"/>
      <c r="AL945" s="212"/>
      <c r="AM945" s="212"/>
      <c r="AN945" s="212"/>
      <c r="AO945" s="212"/>
      <c r="AP945" s="212"/>
      <c r="AQ945" s="212"/>
      <c r="AR945" s="212"/>
      <c r="AS945" s="212"/>
      <c r="AT945" s="212"/>
      <c r="AU945" s="212"/>
      <c r="AV945" s="212"/>
      <c r="AW945" s="212"/>
      <c r="AX945" s="212"/>
      <c r="AY945" s="212"/>
      <c r="AZ945" s="452"/>
      <c r="BA945" s="212"/>
      <c r="BB945" s="212"/>
      <c r="BC945" s="212"/>
      <c r="BD945" s="212"/>
      <c r="BE945" s="212"/>
      <c r="BF945" s="452"/>
    </row>
    <row r="946">
      <c r="A946" s="212"/>
      <c r="B946" s="447"/>
      <c r="C946" s="212"/>
      <c r="D946" s="212"/>
      <c r="E946" s="212"/>
      <c r="F946" s="212"/>
      <c r="G946" s="212"/>
      <c r="H946" s="212"/>
      <c r="I946" s="212"/>
      <c r="J946" s="212"/>
      <c r="K946" s="212"/>
      <c r="L946" s="212"/>
      <c r="M946" s="212"/>
      <c r="N946" s="212"/>
      <c r="O946" s="212"/>
      <c r="P946" s="212"/>
      <c r="Q946" s="212"/>
      <c r="R946" s="451"/>
      <c r="S946" s="451"/>
      <c r="T946" s="212"/>
      <c r="U946" s="451"/>
      <c r="V946" s="451"/>
      <c r="W946" s="451"/>
      <c r="X946" s="451"/>
      <c r="Y946" s="212"/>
      <c r="Z946" s="212"/>
      <c r="AA946" s="212"/>
      <c r="AB946" s="212"/>
      <c r="AC946" s="212"/>
      <c r="AD946" s="212"/>
      <c r="AE946" s="450"/>
      <c r="AF946" s="212"/>
      <c r="AG946" s="212"/>
      <c r="AH946" s="212"/>
      <c r="AI946" s="212"/>
      <c r="AJ946" s="212"/>
      <c r="AK946" s="212"/>
      <c r="AL946" s="212"/>
      <c r="AM946" s="212"/>
      <c r="AN946" s="212"/>
      <c r="AO946" s="212"/>
      <c r="AP946" s="212"/>
      <c r="AQ946" s="212"/>
      <c r="AR946" s="212"/>
      <c r="AS946" s="212"/>
      <c r="AT946" s="212"/>
      <c r="AU946" s="212"/>
      <c r="AV946" s="212"/>
      <c r="AW946" s="212"/>
      <c r="AX946" s="212"/>
      <c r="AY946" s="212"/>
      <c r="AZ946" s="452"/>
      <c r="BA946" s="212"/>
      <c r="BB946" s="212"/>
      <c r="BC946" s="212"/>
      <c r="BD946" s="212"/>
      <c r="BE946" s="212"/>
      <c r="BF946" s="452"/>
    </row>
    <row r="947">
      <c r="A947" s="212"/>
      <c r="B947" s="447"/>
      <c r="C947" s="212"/>
      <c r="D947" s="212"/>
      <c r="E947" s="212"/>
      <c r="F947" s="212"/>
      <c r="G947" s="212"/>
      <c r="H947" s="212"/>
      <c r="I947" s="212"/>
      <c r="J947" s="212"/>
      <c r="K947" s="212"/>
      <c r="L947" s="212"/>
      <c r="M947" s="212"/>
      <c r="N947" s="212"/>
      <c r="O947" s="212"/>
      <c r="P947" s="212"/>
      <c r="Q947" s="212"/>
      <c r="R947" s="451"/>
      <c r="S947" s="451"/>
      <c r="T947" s="212"/>
      <c r="U947" s="451"/>
      <c r="V947" s="451"/>
      <c r="W947" s="451"/>
      <c r="X947" s="451"/>
      <c r="Y947" s="212"/>
      <c r="Z947" s="212"/>
      <c r="AA947" s="212"/>
      <c r="AB947" s="212"/>
      <c r="AC947" s="212"/>
      <c r="AD947" s="212"/>
      <c r="AE947" s="450"/>
      <c r="AF947" s="212"/>
      <c r="AG947" s="212"/>
      <c r="AH947" s="212"/>
      <c r="AI947" s="212"/>
      <c r="AJ947" s="212"/>
      <c r="AK947" s="212"/>
      <c r="AL947" s="212"/>
      <c r="AM947" s="212"/>
      <c r="AN947" s="212"/>
      <c r="AO947" s="212"/>
      <c r="AP947" s="212"/>
      <c r="AQ947" s="212"/>
      <c r="AR947" s="212"/>
      <c r="AS947" s="212"/>
      <c r="AT947" s="212"/>
      <c r="AU947" s="212"/>
      <c r="AV947" s="212"/>
      <c r="AW947" s="212"/>
      <c r="AX947" s="212"/>
      <c r="AY947" s="212"/>
      <c r="AZ947" s="452"/>
      <c r="BA947" s="212"/>
      <c r="BB947" s="212"/>
      <c r="BC947" s="212"/>
      <c r="BD947" s="212"/>
      <c r="BE947" s="212"/>
      <c r="BF947" s="452"/>
    </row>
    <row r="948">
      <c r="A948" s="212"/>
      <c r="B948" s="447"/>
      <c r="C948" s="212"/>
      <c r="D948" s="212"/>
      <c r="E948" s="212"/>
      <c r="F948" s="212"/>
      <c r="G948" s="212"/>
      <c r="H948" s="212"/>
      <c r="I948" s="212"/>
      <c r="J948" s="212"/>
      <c r="K948" s="212"/>
      <c r="L948" s="212"/>
      <c r="M948" s="212"/>
      <c r="N948" s="212"/>
      <c r="O948" s="212"/>
      <c r="P948" s="212"/>
      <c r="Q948" s="212"/>
      <c r="R948" s="451"/>
      <c r="S948" s="451"/>
      <c r="T948" s="212"/>
      <c r="U948" s="451"/>
      <c r="V948" s="451"/>
      <c r="W948" s="451"/>
      <c r="X948" s="451"/>
      <c r="Y948" s="212"/>
      <c r="Z948" s="212"/>
      <c r="AA948" s="212"/>
      <c r="AB948" s="212"/>
      <c r="AC948" s="212"/>
      <c r="AD948" s="212"/>
      <c r="AE948" s="450"/>
      <c r="AF948" s="212"/>
      <c r="AG948" s="212"/>
      <c r="AH948" s="212"/>
      <c r="AI948" s="212"/>
      <c r="AJ948" s="212"/>
      <c r="AK948" s="212"/>
      <c r="AL948" s="212"/>
      <c r="AM948" s="212"/>
      <c r="AN948" s="212"/>
      <c r="AO948" s="212"/>
      <c r="AP948" s="212"/>
      <c r="AQ948" s="212"/>
      <c r="AR948" s="212"/>
      <c r="AS948" s="212"/>
      <c r="AT948" s="212"/>
      <c r="AU948" s="212"/>
      <c r="AV948" s="212"/>
      <c r="AW948" s="212"/>
      <c r="AX948" s="212"/>
      <c r="AY948" s="212"/>
      <c r="AZ948" s="452"/>
      <c r="BA948" s="212"/>
      <c r="BB948" s="212"/>
      <c r="BC948" s="212"/>
      <c r="BD948" s="212"/>
      <c r="BE948" s="212"/>
      <c r="BF948" s="452"/>
    </row>
    <row r="949">
      <c r="A949" s="212"/>
      <c r="B949" s="447"/>
      <c r="C949" s="212"/>
      <c r="D949" s="212"/>
      <c r="E949" s="212"/>
      <c r="F949" s="212"/>
      <c r="G949" s="212"/>
      <c r="H949" s="212"/>
      <c r="I949" s="212"/>
      <c r="J949" s="212"/>
      <c r="K949" s="212"/>
      <c r="L949" s="212"/>
      <c r="M949" s="212"/>
      <c r="N949" s="212"/>
      <c r="O949" s="212"/>
      <c r="P949" s="212"/>
      <c r="Q949" s="212"/>
      <c r="R949" s="451"/>
      <c r="S949" s="451"/>
      <c r="T949" s="212"/>
      <c r="U949" s="451"/>
      <c r="V949" s="451"/>
      <c r="W949" s="451"/>
      <c r="X949" s="451"/>
      <c r="Y949" s="212"/>
      <c r="Z949" s="212"/>
      <c r="AA949" s="212"/>
      <c r="AB949" s="212"/>
      <c r="AC949" s="212"/>
      <c r="AD949" s="212"/>
      <c r="AE949" s="450"/>
      <c r="AF949" s="212"/>
      <c r="AG949" s="212"/>
      <c r="AH949" s="212"/>
      <c r="AI949" s="212"/>
      <c r="AJ949" s="212"/>
      <c r="AK949" s="212"/>
      <c r="AL949" s="212"/>
      <c r="AM949" s="212"/>
      <c r="AN949" s="212"/>
      <c r="AO949" s="212"/>
      <c r="AP949" s="212"/>
      <c r="AQ949" s="212"/>
      <c r="AR949" s="212"/>
      <c r="AS949" s="212"/>
      <c r="AT949" s="212"/>
      <c r="AU949" s="212"/>
      <c r="AV949" s="212"/>
      <c r="AW949" s="212"/>
      <c r="AX949" s="212"/>
      <c r="AY949" s="212"/>
      <c r="AZ949" s="452"/>
      <c r="BA949" s="212"/>
      <c r="BB949" s="212"/>
      <c r="BC949" s="212"/>
      <c r="BD949" s="212"/>
      <c r="BE949" s="212"/>
      <c r="BF949" s="452"/>
    </row>
    <row r="950">
      <c r="A950" s="212"/>
      <c r="B950" s="447"/>
      <c r="C950" s="212"/>
      <c r="D950" s="212"/>
      <c r="E950" s="212"/>
      <c r="F950" s="212"/>
      <c r="G950" s="212"/>
      <c r="H950" s="212"/>
      <c r="I950" s="212"/>
      <c r="J950" s="212"/>
      <c r="K950" s="212"/>
      <c r="L950" s="212"/>
      <c r="M950" s="212"/>
      <c r="N950" s="212"/>
      <c r="O950" s="212"/>
      <c r="P950" s="212"/>
      <c r="Q950" s="212"/>
      <c r="R950" s="451"/>
      <c r="S950" s="451"/>
      <c r="T950" s="212"/>
      <c r="U950" s="451"/>
      <c r="V950" s="451"/>
      <c r="W950" s="451"/>
      <c r="X950" s="451"/>
      <c r="Y950" s="212"/>
      <c r="Z950" s="212"/>
      <c r="AA950" s="212"/>
      <c r="AB950" s="212"/>
      <c r="AC950" s="212"/>
      <c r="AD950" s="212"/>
      <c r="AE950" s="450"/>
      <c r="AF950" s="212"/>
      <c r="AG950" s="212"/>
      <c r="AH950" s="212"/>
      <c r="AI950" s="212"/>
      <c r="AJ950" s="212"/>
      <c r="AK950" s="212"/>
      <c r="AL950" s="212"/>
      <c r="AM950" s="212"/>
      <c r="AN950" s="212"/>
      <c r="AO950" s="212"/>
      <c r="AP950" s="212"/>
      <c r="AQ950" s="212"/>
      <c r="AR950" s="212"/>
      <c r="AS950" s="212"/>
      <c r="AT950" s="212"/>
      <c r="AU950" s="212"/>
      <c r="AV950" s="212"/>
      <c r="AW950" s="212"/>
      <c r="AX950" s="212"/>
      <c r="AY950" s="212"/>
      <c r="AZ950" s="452"/>
      <c r="BA950" s="212"/>
      <c r="BB950" s="212"/>
      <c r="BC950" s="212"/>
      <c r="BD950" s="212"/>
      <c r="BE950" s="212"/>
      <c r="BF950" s="452"/>
    </row>
    <row r="951">
      <c r="A951" s="212"/>
      <c r="B951" s="447"/>
      <c r="C951" s="212"/>
      <c r="D951" s="212"/>
      <c r="E951" s="212"/>
      <c r="F951" s="212"/>
      <c r="G951" s="212"/>
      <c r="H951" s="212"/>
      <c r="I951" s="212"/>
      <c r="J951" s="212"/>
      <c r="K951" s="212"/>
      <c r="L951" s="212"/>
      <c r="M951" s="212"/>
      <c r="N951" s="212"/>
      <c r="O951" s="212"/>
      <c r="P951" s="212"/>
      <c r="Q951" s="212"/>
      <c r="R951" s="451"/>
      <c r="S951" s="451"/>
      <c r="T951" s="212"/>
      <c r="U951" s="451"/>
      <c r="V951" s="451"/>
      <c r="W951" s="451"/>
      <c r="X951" s="451"/>
      <c r="Y951" s="212"/>
      <c r="Z951" s="212"/>
      <c r="AA951" s="212"/>
      <c r="AB951" s="212"/>
      <c r="AC951" s="212"/>
      <c r="AD951" s="212"/>
      <c r="AE951" s="450"/>
      <c r="AF951" s="212"/>
      <c r="AG951" s="212"/>
      <c r="AH951" s="212"/>
      <c r="AI951" s="212"/>
      <c r="AJ951" s="212"/>
      <c r="AK951" s="212"/>
      <c r="AL951" s="212"/>
      <c r="AM951" s="212"/>
      <c r="AN951" s="212"/>
      <c r="AO951" s="212"/>
      <c r="AP951" s="212"/>
      <c r="AQ951" s="212"/>
      <c r="AR951" s="212"/>
      <c r="AS951" s="212"/>
      <c r="AT951" s="212"/>
      <c r="AU951" s="212"/>
      <c r="AV951" s="212"/>
      <c r="AW951" s="212"/>
      <c r="AX951" s="212"/>
      <c r="AY951" s="212"/>
      <c r="AZ951" s="452"/>
      <c r="BA951" s="212"/>
      <c r="BB951" s="212"/>
      <c r="BC951" s="212"/>
      <c r="BD951" s="212"/>
      <c r="BE951" s="212"/>
      <c r="BF951" s="452"/>
    </row>
    <row r="952">
      <c r="A952" s="212"/>
      <c r="B952" s="447"/>
      <c r="C952" s="212"/>
      <c r="D952" s="212"/>
      <c r="E952" s="212"/>
      <c r="F952" s="212"/>
      <c r="G952" s="212"/>
      <c r="H952" s="212"/>
      <c r="I952" s="212"/>
      <c r="J952" s="212"/>
      <c r="K952" s="212"/>
      <c r="L952" s="212"/>
      <c r="M952" s="212"/>
      <c r="N952" s="212"/>
      <c r="O952" s="212"/>
      <c r="P952" s="212"/>
      <c r="Q952" s="212"/>
      <c r="R952" s="451"/>
      <c r="S952" s="451"/>
      <c r="T952" s="212"/>
      <c r="U952" s="451"/>
      <c r="V952" s="451"/>
      <c r="W952" s="451"/>
      <c r="X952" s="451"/>
      <c r="Y952" s="212"/>
      <c r="Z952" s="212"/>
      <c r="AA952" s="212"/>
      <c r="AB952" s="212"/>
      <c r="AC952" s="212"/>
      <c r="AD952" s="212"/>
      <c r="AE952" s="450"/>
      <c r="AF952" s="212"/>
      <c r="AG952" s="212"/>
      <c r="AH952" s="212"/>
      <c r="AI952" s="212"/>
      <c r="AJ952" s="212"/>
      <c r="AK952" s="212"/>
      <c r="AL952" s="212"/>
      <c r="AM952" s="212"/>
      <c r="AN952" s="212"/>
      <c r="AO952" s="212"/>
      <c r="AP952" s="212"/>
      <c r="AQ952" s="212"/>
      <c r="AR952" s="212"/>
      <c r="AS952" s="212"/>
      <c r="AT952" s="212"/>
      <c r="AU952" s="212"/>
      <c r="AV952" s="212"/>
      <c r="AW952" s="212"/>
      <c r="AX952" s="212"/>
      <c r="AY952" s="212"/>
      <c r="AZ952" s="452"/>
      <c r="BA952" s="212"/>
      <c r="BB952" s="212"/>
      <c r="BC952" s="212"/>
      <c r="BD952" s="212"/>
      <c r="BE952" s="212"/>
      <c r="BF952" s="452"/>
    </row>
    <row r="953">
      <c r="A953" s="212"/>
      <c r="B953" s="447"/>
      <c r="C953" s="212"/>
      <c r="D953" s="212"/>
      <c r="E953" s="212"/>
      <c r="F953" s="212"/>
      <c r="G953" s="212"/>
      <c r="H953" s="212"/>
      <c r="I953" s="212"/>
      <c r="J953" s="212"/>
      <c r="K953" s="212"/>
      <c r="L953" s="212"/>
      <c r="M953" s="212"/>
      <c r="N953" s="212"/>
      <c r="O953" s="212"/>
      <c r="P953" s="212"/>
      <c r="Q953" s="212"/>
      <c r="R953" s="451"/>
      <c r="S953" s="451"/>
      <c r="T953" s="212"/>
      <c r="U953" s="451"/>
      <c r="V953" s="451"/>
      <c r="W953" s="451"/>
      <c r="X953" s="451"/>
      <c r="Y953" s="212"/>
      <c r="Z953" s="212"/>
      <c r="AA953" s="212"/>
      <c r="AB953" s="212"/>
      <c r="AC953" s="212"/>
      <c r="AD953" s="212"/>
      <c r="AE953" s="450"/>
      <c r="AF953" s="212"/>
      <c r="AG953" s="212"/>
      <c r="AH953" s="212"/>
      <c r="AI953" s="212"/>
      <c r="AJ953" s="212"/>
      <c r="AK953" s="212"/>
      <c r="AL953" s="212"/>
      <c r="AM953" s="212"/>
      <c r="AN953" s="212"/>
      <c r="AO953" s="212"/>
      <c r="AP953" s="212"/>
      <c r="AQ953" s="212"/>
      <c r="AR953" s="212"/>
      <c r="AS953" s="212"/>
      <c r="AT953" s="212"/>
      <c r="AU953" s="212"/>
      <c r="AV953" s="212"/>
      <c r="AW953" s="212"/>
      <c r="AX953" s="212"/>
      <c r="AY953" s="212"/>
      <c r="AZ953" s="452"/>
      <c r="BA953" s="212"/>
      <c r="BB953" s="212"/>
      <c r="BC953" s="212"/>
      <c r="BD953" s="212"/>
      <c r="BE953" s="212"/>
      <c r="BF953" s="452"/>
    </row>
    <row r="954">
      <c r="A954" s="212"/>
      <c r="B954" s="447"/>
      <c r="C954" s="212"/>
      <c r="D954" s="212"/>
      <c r="E954" s="212"/>
      <c r="F954" s="212"/>
      <c r="G954" s="212"/>
      <c r="H954" s="212"/>
      <c r="I954" s="212"/>
      <c r="J954" s="212"/>
      <c r="K954" s="212"/>
      <c r="L954" s="212"/>
      <c r="M954" s="212"/>
      <c r="N954" s="212"/>
      <c r="O954" s="212"/>
      <c r="P954" s="212"/>
      <c r="Q954" s="212"/>
      <c r="R954" s="451"/>
      <c r="S954" s="451"/>
      <c r="T954" s="212"/>
      <c r="U954" s="451"/>
      <c r="V954" s="451"/>
      <c r="W954" s="451"/>
      <c r="X954" s="451"/>
      <c r="Y954" s="212"/>
      <c r="Z954" s="212"/>
      <c r="AA954" s="212"/>
      <c r="AB954" s="212"/>
      <c r="AC954" s="212"/>
      <c r="AD954" s="212"/>
      <c r="AE954" s="450"/>
      <c r="AF954" s="212"/>
      <c r="AG954" s="212"/>
      <c r="AH954" s="212"/>
      <c r="AI954" s="212"/>
      <c r="AJ954" s="212"/>
      <c r="AK954" s="212"/>
      <c r="AL954" s="212"/>
      <c r="AM954" s="212"/>
      <c r="AN954" s="212"/>
      <c r="AO954" s="212"/>
      <c r="AP954" s="212"/>
      <c r="AQ954" s="212"/>
      <c r="AR954" s="212"/>
      <c r="AS954" s="212"/>
      <c r="AT954" s="212"/>
      <c r="AU954" s="212"/>
      <c r="AV954" s="212"/>
      <c r="AW954" s="212"/>
      <c r="AX954" s="212"/>
      <c r="AY954" s="212"/>
      <c r="AZ954" s="452"/>
      <c r="BA954" s="212"/>
      <c r="BB954" s="212"/>
      <c r="BC954" s="212"/>
      <c r="BD954" s="212"/>
      <c r="BE954" s="212"/>
      <c r="BF954" s="452"/>
    </row>
    <row r="955">
      <c r="A955" s="212"/>
      <c r="B955" s="447"/>
      <c r="C955" s="212"/>
      <c r="D955" s="212"/>
      <c r="E955" s="212"/>
      <c r="F955" s="212"/>
      <c r="G955" s="212"/>
      <c r="H955" s="212"/>
      <c r="I955" s="212"/>
      <c r="J955" s="212"/>
      <c r="K955" s="212"/>
      <c r="L955" s="212"/>
      <c r="M955" s="212"/>
      <c r="N955" s="212"/>
      <c r="O955" s="212"/>
      <c r="P955" s="212"/>
      <c r="Q955" s="212"/>
      <c r="R955" s="451"/>
      <c r="S955" s="451"/>
      <c r="T955" s="212"/>
      <c r="U955" s="451"/>
      <c r="V955" s="451"/>
      <c r="W955" s="451"/>
      <c r="X955" s="451"/>
      <c r="Y955" s="212"/>
      <c r="Z955" s="212"/>
      <c r="AA955" s="212"/>
      <c r="AB955" s="212"/>
      <c r="AC955" s="212"/>
      <c r="AD955" s="212"/>
      <c r="AE955" s="450"/>
      <c r="AF955" s="212"/>
      <c r="AG955" s="212"/>
      <c r="AH955" s="212"/>
      <c r="AI955" s="212"/>
      <c r="AJ955" s="212"/>
      <c r="AK955" s="212"/>
      <c r="AL955" s="212"/>
      <c r="AM955" s="212"/>
      <c r="AN955" s="212"/>
      <c r="AO955" s="212"/>
      <c r="AP955" s="212"/>
      <c r="AQ955" s="212"/>
      <c r="AR955" s="212"/>
      <c r="AS955" s="212"/>
      <c r="AT955" s="212"/>
      <c r="AU955" s="212"/>
      <c r="AV955" s="212"/>
      <c r="AW955" s="212"/>
      <c r="AX955" s="212"/>
      <c r="AY955" s="212"/>
      <c r="AZ955" s="452"/>
      <c r="BA955" s="212"/>
      <c r="BB955" s="212"/>
      <c r="BC955" s="212"/>
      <c r="BD955" s="212"/>
      <c r="BE955" s="212"/>
      <c r="BF955" s="452"/>
    </row>
    <row r="956">
      <c r="A956" s="212"/>
      <c r="B956" s="447"/>
      <c r="C956" s="212"/>
      <c r="D956" s="212"/>
      <c r="E956" s="212"/>
      <c r="F956" s="212"/>
      <c r="G956" s="212"/>
      <c r="H956" s="212"/>
      <c r="I956" s="212"/>
      <c r="J956" s="212"/>
      <c r="K956" s="212"/>
      <c r="L956" s="212"/>
      <c r="M956" s="212"/>
      <c r="N956" s="212"/>
      <c r="O956" s="212"/>
      <c r="P956" s="212"/>
      <c r="Q956" s="212"/>
      <c r="R956" s="451"/>
      <c r="S956" s="451"/>
      <c r="T956" s="212"/>
      <c r="U956" s="451"/>
      <c r="V956" s="451"/>
      <c r="W956" s="451"/>
      <c r="X956" s="451"/>
      <c r="Y956" s="212"/>
      <c r="Z956" s="212"/>
      <c r="AA956" s="212"/>
      <c r="AB956" s="212"/>
      <c r="AC956" s="212"/>
      <c r="AD956" s="212"/>
      <c r="AE956" s="450"/>
      <c r="AF956" s="212"/>
      <c r="AG956" s="212"/>
      <c r="AH956" s="212"/>
      <c r="AI956" s="212"/>
      <c r="AJ956" s="212"/>
      <c r="AK956" s="212"/>
      <c r="AL956" s="212"/>
      <c r="AM956" s="212"/>
      <c r="AN956" s="212"/>
      <c r="AO956" s="212"/>
      <c r="AP956" s="212"/>
      <c r="AQ956" s="212"/>
      <c r="AR956" s="212"/>
      <c r="AS956" s="212"/>
      <c r="AT956" s="212"/>
      <c r="AU956" s="212"/>
      <c r="AV956" s="212"/>
      <c r="AW956" s="212"/>
      <c r="AX956" s="212"/>
      <c r="AY956" s="212"/>
      <c r="AZ956" s="452"/>
      <c r="BA956" s="212"/>
      <c r="BB956" s="212"/>
      <c r="BC956" s="212"/>
      <c r="BD956" s="212"/>
      <c r="BE956" s="212"/>
      <c r="BF956" s="452"/>
    </row>
    <row r="957">
      <c r="A957" s="212"/>
      <c r="B957" s="447"/>
      <c r="C957" s="212"/>
      <c r="D957" s="212"/>
      <c r="E957" s="212"/>
      <c r="F957" s="212"/>
      <c r="G957" s="212"/>
      <c r="H957" s="212"/>
      <c r="I957" s="212"/>
      <c r="J957" s="212"/>
      <c r="K957" s="212"/>
      <c r="L957" s="212"/>
      <c r="M957" s="212"/>
      <c r="N957" s="212"/>
      <c r="O957" s="212"/>
      <c r="P957" s="212"/>
      <c r="Q957" s="212"/>
      <c r="R957" s="451"/>
      <c r="S957" s="451"/>
      <c r="T957" s="212"/>
      <c r="U957" s="451"/>
      <c r="V957" s="451"/>
      <c r="W957" s="451"/>
      <c r="X957" s="451"/>
      <c r="Y957" s="212"/>
      <c r="Z957" s="212"/>
      <c r="AA957" s="212"/>
      <c r="AB957" s="212"/>
      <c r="AC957" s="212"/>
      <c r="AD957" s="212"/>
      <c r="AE957" s="450"/>
      <c r="AF957" s="212"/>
      <c r="AG957" s="212"/>
      <c r="AH957" s="212"/>
      <c r="AI957" s="212"/>
      <c r="AJ957" s="212"/>
      <c r="AK957" s="212"/>
      <c r="AL957" s="212"/>
      <c r="AM957" s="212"/>
      <c r="AN957" s="212"/>
      <c r="AO957" s="212"/>
      <c r="AP957" s="212"/>
      <c r="AQ957" s="212"/>
      <c r="AR957" s="212"/>
      <c r="AS957" s="212"/>
      <c r="AT957" s="212"/>
      <c r="AU957" s="212"/>
      <c r="AV957" s="212"/>
      <c r="AW957" s="212"/>
      <c r="AX957" s="212"/>
      <c r="AY957" s="212"/>
      <c r="AZ957" s="452"/>
      <c r="BA957" s="212"/>
      <c r="BB957" s="212"/>
      <c r="BC957" s="212"/>
      <c r="BD957" s="212"/>
      <c r="BE957" s="212"/>
      <c r="BF957" s="452"/>
    </row>
    <row r="958">
      <c r="A958" s="212"/>
      <c r="B958" s="447"/>
      <c r="C958" s="212"/>
      <c r="D958" s="212"/>
      <c r="E958" s="212"/>
      <c r="F958" s="212"/>
      <c r="G958" s="212"/>
      <c r="H958" s="212"/>
      <c r="I958" s="212"/>
      <c r="J958" s="212"/>
      <c r="K958" s="212"/>
      <c r="L958" s="212"/>
      <c r="M958" s="212"/>
      <c r="N958" s="212"/>
      <c r="O958" s="212"/>
      <c r="P958" s="212"/>
      <c r="Q958" s="212"/>
      <c r="R958" s="451"/>
      <c r="S958" s="451"/>
      <c r="T958" s="212"/>
      <c r="U958" s="451"/>
      <c r="V958" s="451"/>
      <c r="W958" s="451"/>
      <c r="X958" s="451"/>
      <c r="Y958" s="212"/>
      <c r="Z958" s="212"/>
      <c r="AA958" s="212"/>
      <c r="AB958" s="212"/>
      <c r="AC958" s="212"/>
      <c r="AD958" s="212"/>
      <c r="AE958" s="450"/>
      <c r="AF958" s="212"/>
      <c r="AG958" s="212"/>
      <c r="AH958" s="212"/>
      <c r="AI958" s="212"/>
      <c r="AJ958" s="212"/>
      <c r="AK958" s="212"/>
      <c r="AL958" s="212"/>
      <c r="AM958" s="212"/>
      <c r="AN958" s="212"/>
      <c r="AO958" s="212"/>
      <c r="AP958" s="212"/>
      <c r="AQ958" s="212"/>
      <c r="AR958" s="212"/>
      <c r="AS958" s="212"/>
      <c r="AT958" s="212"/>
      <c r="AU958" s="212"/>
      <c r="AV958" s="212"/>
      <c r="AW958" s="212"/>
      <c r="AX958" s="212"/>
      <c r="AY958" s="212"/>
      <c r="AZ958" s="452"/>
      <c r="BA958" s="212"/>
      <c r="BB958" s="212"/>
      <c r="BC958" s="212"/>
      <c r="BD958" s="212"/>
      <c r="BE958" s="212"/>
      <c r="BF958" s="452"/>
    </row>
    <row r="959">
      <c r="A959" s="212"/>
      <c r="B959" s="447"/>
      <c r="C959" s="212"/>
      <c r="D959" s="212"/>
      <c r="E959" s="212"/>
      <c r="F959" s="212"/>
      <c r="G959" s="212"/>
      <c r="H959" s="212"/>
      <c r="I959" s="212"/>
      <c r="J959" s="212"/>
      <c r="K959" s="212"/>
      <c r="L959" s="212"/>
      <c r="M959" s="212"/>
      <c r="N959" s="212"/>
      <c r="O959" s="212"/>
      <c r="P959" s="212"/>
      <c r="Q959" s="212"/>
      <c r="R959" s="451"/>
      <c r="S959" s="451"/>
      <c r="T959" s="212"/>
      <c r="U959" s="451"/>
      <c r="V959" s="451"/>
      <c r="W959" s="451"/>
      <c r="X959" s="451"/>
      <c r="Y959" s="212"/>
      <c r="Z959" s="212"/>
      <c r="AA959" s="212"/>
      <c r="AB959" s="212"/>
      <c r="AC959" s="212"/>
      <c r="AD959" s="212"/>
      <c r="AE959" s="450"/>
      <c r="AF959" s="212"/>
      <c r="AG959" s="212"/>
      <c r="AH959" s="212"/>
      <c r="AI959" s="212"/>
      <c r="AJ959" s="212"/>
      <c r="AK959" s="212"/>
      <c r="AL959" s="212"/>
      <c r="AM959" s="212"/>
      <c r="AN959" s="212"/>
      <c r="AO959" s="212"/>
      <c r="AP959" s="212"/>
      <c r="AQ959" s="212"/>
      <c r="AR959" s="212"/>
      <c r="AS959" s="212"/>
      <c r="AT959" s="212"/>
      <c r="AU959" s="212"/>
      <c r="AV959" s="212"/>
      <c r="AW959" s="212"/>
      <c r="AX959" s="212"/>
      <c r="AY959" s="212"/>
      <c r="AZ959" s="452"/>
      <c r="BA959" s="212"/>
      <c r="BB959" s="212"/>
      <c r="BC959" s="212"/>
      <c r="BD959" s="212"/>
      <c r="BE959" s="212"/>
      <c r="BF959" s="452"/>
    </row>
    <row r="960">
      <c r="A960" s="212"/>
      <c r="B960" s="447"/>
      <c r="C960" s="212"/>
      <c r="D960" s="212"/>
      <c r="E960" s="212"/>
      <c r="F960" s="212"/>
      <c r="G960" s="212"/>
      <c r="H960" s="212"/>
      <c r="I960" s="212"/>
      <c r="J960" s="212"/>
      <c r="K960" s="212"/>
      <c r="L960" s="212"/>
      <c r="M960" s="212"/>
      <c r="N960" s="212"/>
      <c r="O960" s="212"/>
      <c r="P960" s="212"/>
      <c r="Q960" s="212"/>
      <c r="R960" s="451"/>
      <c r="S960" s="451"/>
      <c r="T960" s="212"/>
      <c r="U960" s="451"/>
      <c r="V960" s="451"/>
      <c r="W960" s="451"/>
      <c r="X960" s="451"/>
      <c r="Y960" s="212"/>
      <c r="Z960" s="212"/>
      <c r="AA960" s="212"/>
      <c r="AB960" s="212"/>
      <c r="AC960" s="212"/>
      <c r="AD960" s="212"/>
      <c r="AE960" s="450"/>
      <c r="AF960" s="212"/>
      <c r="AG960" s="212"/>
      <c r="AH960" s="212"/>
      <c r="AI960" s="212"/>
      <c r="AJ960" s="212"/>
      <c r="AK960" s="212"/>
      <c r="AL960" s="212"/>
      <c r="AM960" s="212"/>
      <c r="AN960" s="212"/>
      <c r="AO960" s="212"/>
      <c r="AP960" s="212"/>
      <c r="AQ960" s="212"/>
      <c r="AR960" s="212"/>
      <c r="AS960" s="212"/>
      <c r="AT960" s="212"/>
      <c r="AU960" s="212"/>
      <c r="AV960" s="212"/>
      <c r="AW960" s="212"/>
      <c r="AX960" s="212"/>
      <c r="AY960" s="212"/>
      <c r="AZ960" s="452"/>
      <c r="BA960" s="212"/>
      <c r="BB960" s="212"/>
      <c r="BC960" s="212"/>
      <c r="BD960" s="212"/>
      <c r="BE960" s="212"/>
      <c r="BF960" s="452"/>
    </row>
    <row r="961">
      <c r="A961" s="212"/>
      <c r="B961" s="447"/>
      <c r="C961" s="212"/>
      <c r="D961" s="212"/>
      <c r="E961" s="212"/>
      <c r="F961" s="212"/>
      <c r="G961" s="212"/>
      <c r="H961" s="212"/>
      <c r="I961" s="212"/>
      <c r="J961" s="212"/>
      <c r="K961" s="212"/>
      <c r="L961" s="212"/>
      <c r="M961" s="212"/>
      <c r="N961" s="212"/>
      <c r="O961" s="212"/>
      <c r="P961" s="212"/>
      <c r="Q961" s="212"/>
      <c r="R961" s="451"/>
      <c r="S961" s="451"/>
      <c r="T961" s="212"/>
      <c r="U961" s="451"/>
      <c r="V961" s="451"/>
      <c r="W961" s="451"/>
      <c r="X961" s="451"/>
      <c r="Y961" s="212"/>
      <c r="Z961" s="212"/>
      <c r="AA961" s="212"/>
      <c r="AB961" s="212"/>
      <c r="AC961" s="212"/>
      <c r="AD961" s="212"/>
      <c r="AE961" s="450"/>
      <c r="AF961" s="212"/>
      <c r="AG961" s="212"/>
      <c r="AH961" s="212"/>
      <c r="AI961" s="212"/>
      <c r="AJ961" s="212"/>
      <c r="AK961" s="212"/>
      <c r="AL961" s="212"/>
      <c r="AM961" s="212"/>
      <c r="AN961" s="212"/>
      <c r="AO961" s="212"/>
      <c r="AP961" s="212"/>
      <c r="AQ961" s="212"/>
      <c r="AR961" s="212"/>
      <c r="AS961" s="212"/>
      <c r="AT961" s="212"/>
      <c r="AU961" s="212"/>
      <c r="AV961" s="212"/>
      <c r="AW961" s="212"/>
      <c r="AX961" s="212"/>
      <c r="AY961" s="212"/>
      <c r="AZ961" s="452"/>
      <c r="BA961" s="212"/>
      <c r="BB961" s="212"/>
      <c r="BC961" s="212"/>
      <c r="BD961" s="212"/>
      <c r="BE961" s="212"/>
      <c r="BF961" s="452"/>
    </row>
    <row r="962">
      <c r="A962" s="212"/>
      <c r="B962" s="447"/>
      <c r="C962" s="212"/>
      <c r="D962" s="212"/>
      <c r="E962" s="212"/>
      <c r="F962" s="212"/>
      <c r="G962" s="212"/>
      <c r="H962" s="212"/>
      <c r="I962" s="212"/>
      <c r="J962" s="212"/>
      <c r="K962" s="212"/>
      <c r="L962" s="212"/>
      <c r="M962" s="212"/>
      <c r="N962" s="212"/>
      <c r="O962" s="212"/>
      <c r="P962" s="212"/>
      <c r="Q962" s="212"/>
      <c r="R962" s="451"/>
      <c r="S962" s="451"/>
      <c r="T962" s="212"/>
      <c r="U962" s="451"/>
      <c r="V962" s="451"/>
      <c r="W962" s="451"/>
      <c r="X962" s="451"/>
      <c r="Y962" s="212"/>
      <c r="Z962" s="212"/>
      <c r="AA962" s="212"/>
      <c r="AB962" s="212"/>
      <c r="AC962" s="212"/>
      <c r="AD962" s="212"/>
      <c r="AE962" s="450"/>
      <c r="AF962" s="212"/>
      <c r="AG962" s="212"/>
      <c r="AH962" s="212"/>
      <c r="AI962" s="212"/>
      <c r="AJ962" s="212"/>
      <c r="AK962" s="212"/>
      <c r="AL962" s="212"/>
      <c r="AM962" s="212"/>
      <c r="AN962" s="212"/>
      <c r="AO962" s="212"/>
      <c r="AP962" s="212"/>
      <c r="AQ962" s="212"/>
      <c r="AR962" s="212"/>
      <c r="AS962" s="212"/>
      <c r="AT962" s="212"/>
      <c r="AU962" s="212"/>
      <c r="AV962" s="212"/>
      <c r="AW962" s="212"/>
      <c r="AX962" s="212"/>
      <c r="AY962" s="212"/>
      <c r="AZ962" s="452"/>
      <c r="BA962" s="212"/>
      <c r="BB962" s="212"/>
      <c r="BC962" s="212"/>
      <c r="BD962" s="212"/>
      <c r="BE962" s="212"/>
      <c r="BF962" s="452"/>
    </row>
    <row r="963">
      <c r="A963" s="212"/>
      <c r="B963" s="447"/>
      <c r="C963" s="212"/>
      <c r="D963" s="212"/>
      <c r="E963" s="212"/>
      <c r="F963" s="212"/>
      <c r="G963" s="212"/>
      <c r="H963" s="212"/>
      <c r="I963" s="212"/>
      <c r="J963" s="212"/>
      <c r="K963" s="212"/>
      <c r="L963" s="212"/>
      <c r="M963" s="212"/>
      <c r="N963" s="212"/>
      <c r="O963" s="212"/>
      <c r="P963" s="212"/>
      <c r="Q963" s="212"/>
      <c r="R963" s="451"/>
      <c r="S963" s="451"/>
      <c r="T963" s="212"/>
      <c r="U963" s="451"/>
      <c r="V963" s="451"/>
      <c r="W963" s="451"/>
      <c r="X963" s="451"/>
      <c r="Y963" s="212"/>
      <c r="Z963" s="212"/>
      <c r="AA963" s="212"/>
      <c r="AB963" s="212"/>
      <c r="AC963" s="212"/>
      <c r="AD963" s="212"/>
      <c r="AE963" s="450"/>
      <c r="AF963" s="212"/>
      <c r="AG963" s="212"/>
      <c r="AH963" s="212"/>
      <c r="AI963" s="212"/>
      <c r="AJ963" s="212"/>
      <c r="AK963" s="212"/>
      <c r="AL963" s="212"/>
      <c r="AM963" s="212"/>
      <c r="AN963" s="212"/>
      <c r="AO963" s="212"/>
      <c r="AP963" s="212"/>
      <c r="AQ963" s="212"/>
      <c r="AR963" s="212"/>
      <c r="AS963" s="212"/>
      <c r="AT963" s="212"/>
      <c r="AU963" s="212"/>
      <c r="AV963" s="212"/>
      <c r="AW963" s="212"/>
      <c r="AX963" s="212"/>
      <c r="AY963" s="212"/>
      <c r="AZ963" s="452"/>
      <c r="BA963" s="212"/>
      <c r="BB963" s="212"/>
      <c r="BC963" s="212"/>
      <c r="BD963" s="212"/>
      <c r="BE963" s="212"/>
      <c r="BF963" s="452"/>
    </row>
    <row r="964">
      <c r="A964" s="212"/>
      <c r="B964" s="447"/>
      <c r="C964" s="212"/>
      <c r="D964" s="212"/>
      <c r="E964" s="212"/>
      <c r="F964" s="212"/>
      <c r="G964" s="212"/>
      <c r="H964" s="212"/>
      <c r="I964" s="212"/>
      <c r="J964" s="212"/>
      <c r="K964" s="212"/>
      <c r="L964" s="212"/>
      <c r="M964" s="212"/>
      <c r="N964" s="212"/>
      <c r="O964" s="212"/>
      <c r="P964" s="212"/>
      <c r="Q964" s="212"/>
      <c r="R964" s="451"/>
      <c r="S964" s="451"/>
      <c r="T964" s="212"/>
      <c r="U964" s="451"/>
      <c r="V964" s="451"/>
      <c r="W964" s="451"/>
      <c r="X964" s="451"/>
      <c r="Y964" s="212"/>
      <c r="Z964" s="212"/>
      <c r="AA964" s="212"/>
      <c r="AB964" s="212"/>
      <c r="AC964" s="212"/>
      <c r="AD964" s="212"/>
      <c r="AE964" s="450"/>
      <c r="AF964" s="212"/>
      <c r="AG964" s="212"/>
      <c r="AH964" s="212"/>
      <c r="AI964" s="212"/>
      <c r="AJ964" s="212"/>
      <c r="AK964" s="212"/>
      <c r="AL964" s="212"/>
      <c r="AM964" s="212"/>
      <c r="AN964" s="212"/>
      <c r="AO964" s="212"/>
      <c r="AP964" s="212"/>
      <c r="AQ964" s="212"/>
      <c r="AR964" s="212"/>
      <c r="AS964" s="212"/>
      <c r="AT964" s="212"/>
      <c r="AU964" s="212"/>
      <c r="AV964" s="212"/>
      <c r="AW964" s="212"/>
      <c r="AX964" s="212"/>
      <c r="AY964" s="212"/>
      <c r="AZ964" s="452"/>
      <c r="BA964" s="212"/>
      <c r="BB964" s="212"/>
      <c r="BC964" s="212"/>
      <c r="BD964" s="212"/>
      <c r="BE964" s="212"/>
      <c r="BF964" s="452"/>
    </row>
    <row r="965">
      <c r="A965" s="212"/>
      <c r="B965" s="447"/>
      <c r="C965" s="212"/>
      <c r="D965" s="212"/>
      <c r="E965" s="212"/>
      <c r="F965" s="212"/>
      <c r="G965" s="212"/>
      <c r="H965" s="212"/>
      <c r="I965" s="212"/>
      <c r="J965" s="212"/>
      <c r="K965" s="212"/>
      <c r="L965" s="212"/>
      <c r="M965" s="212"/>
      <c r="N965" s="212"/>
      <c r="O965" s="212"/>
      <c r="P965" s="212"/>
      <c r="Q965" s="212"/>
      <c r="R965" s="451"/>
      <c r="S965" s="451"/>
      <c r="T965" s="212"/>
      <c r="U965" s="451"/>
      <c r="V965" s="451"/>
      <c r="W965" s="451"/>
      <c r="X965" s="451"/>
      <c r="Y965" s="212"/>
      <c r="Z965" s="212"/>
      <c r="AA965" s="212"/>
      <c r="AB965" s="212"/>
      <c r="AC965" s="212"/>
      <c r="AD965" s="212"/>
      <c r="AE965" s="450"/>
      <c r="AF965" s="212"/>
      <c r="AG965" s="212"/>
      <c r="AH965" s="212"/>
      <c r="AI965" s="212"/>
      <c r="AJ965" s="212"/>
      <c r="AK965" s="212"/>
      <c r="AL965" s="212"/>
      <c r="AM965" s="212"/>
      <c r="AN965" s="212"/>
      <c r="AO965" s="212"/>
      <c r="AP965" s="212"/>
      <c r="AQ965" s="212"/>
      <c r="AR965" s="212"/>
      <c r="AS965" s="212"/>
      <c r="AT965" s="212"/>
      <c r="AU965" s="212"/>
      <c r="AV965" s="212"/>
      <c r="AW965" s="212"/>
      <c r="AX965" s="212"/>
      <c r="AY965" s="212"/>
      <c r="AZ965" s="452"/>
      <c r="BA965" s="212"/>
      <c r="BB965" s="212"/>
      <c r="BC965" s="212"/>
      <c r="BD965" s="212"/>
      <c r="BE965" s="212"/>
      <c r="BF965" s="452"/>
    </row>
    <row r="966">
      <c r="A966" s="212"/>
      <c r="B966" s="447"/>
      <c r="C966" s="212"/>
      <c r="D966" s="212"/>
      <c r="E966" s="212"/>
      <c r="F966" s="212"/>
      <c r="G966" s="212"/>
      <c r="H966" s="212"/>
      <c r="I966" s="212"/>
      <c r="J966" s="212"/>
      <c r="K966" s="212"/>
      <c r="L966" s="212"/>
      <c r="M966" s="212"/>
      <c r="N966" s="212"/>
      <c r="O966" s="212"/>
      <c r="P966" s="212"/>
      <c r="Q966" s="212"/>
      <c r="R966" s="451"/>
      <c r="S966" s="451"/>
      <c r="T966" s="212"/>
      <c r="U966" s="451"/>
      <c r="V966" s="451"/>
      <c r="W966" s="451"/>
      <c r="X966" s="451"/>
      <c r="Y966" s="212"/>
      <c r="Z966" s="212"/>
      <c r="AA966" s="212"/>
      <c r="AB966" s="212"/>
      <c r="AC966" s="212"/>
      <c r="AD966" s="212"/>
      <c r="AE966" s="450"/>
      <c r="AF966" s="212"/>
      <c r="AG966" s="212"/>
      <c r="AH966" s="212"/>
      <c r="AI966" s="212"/>
      <c r="AJ966" s="212"/>
      <c r="AK966" s="212"/>
      <c r="AL966" s="212"/>
      <c r="AM966" s="212"/>
      <c r="AN966" s="212"/>
      <c r="AO966" s="212"/>
      <c r="AP966" s="212"/>
      <c r="AQ966" s="212"/>
      <c r="AR966" s="212"/>
      <c r="AS966" s="212"/>
      <c r="AT966" s="212"/>
      <c r="AU966" s="212"/>
      <c r="AV966" s="212"/>
      <c r="AW966" s="212"/>
      <c r="AX966" s="212"/>
      <c r="AY966" s="212"/>
      <c r="AZ966" s="452"/>
      <c r="BA966" s="212"/>
      <c r="BB966" s="212"/>
      <c r="BC966" s="212"/>
      <c r="BD966" s="212"/>
      <c r="BE966" s="212"/>
      <c r="BF966" s="452"/>
    </row>
    <row r="967">
      <c r="A967" s="212"/>
      <c r="B967" s="447"/>
      <c r="C967" s="212"/>
      <c r="D967" s="212"/>
      <c r="E967" s="212"/>
      <c r="F967" s="212"/>
      <c r="G967" s="212"/>
      <c r="H967" s="212"/>
      <c r="I967" s="212"/>
      <c r="J967" s="212"/>
      <c r="K967" s="212"/>
      <c r="L967" s="212"/>
      <c r="M967" s="212"/>
      <c r="N967" s="212"/>
      <c r="O967" s="212"/>
      <c r="P967" s="212"/>
      <c r="Q967" s="212"/>
      <c r="R967" s="451"/>
      <c r="S967" s="451"/>
      <c r="T967" s="212"/>
      <c r="U967" s="451"/>
      <c r="V967" s="451"/>
      <c r="W967" s="451"/>
      <c r="X967" s="451"/>
      <c r="Y967" s="212"/>
      <c r="Z967" s="212"/>
      <c r="AA967" s="212"/>
      <c r="AB967" s="212"/>
      <c r="AC967" s="212"/>
      <c r="AD967" s="212"/>
      <c r="AE967" s="450"/>
      <c r="AF967" s="212"/>
      <c r="AG967" s="212"/>
      <c r="AH967" s="212"/>
      <c r="AI967" s="212"/>
      <c r="AJ967" s="212"/>
      <c r="AK967" s="212"/>
      <c r="AL967" s="212"/>
      <c r="AM967" s="212"/>
      <c r="AN967" s="212"/>
      <c r="AO967" s="212"/>
      <c r="AP967" s="212"/>
      <c r="AQ967" s="212"/>
      <c r="AR967" s="212"/>
      <c r="AS967" s="212"/>
      <c r="AT967" s="212"/>
      <c r="AU967" s="212"/>
      <c r="AV967" s="212"/>
      <c r="AW967" s="212"/>
      <c r="AX967" s="212"/>
      <c r="AY967" s="212"/>
      <c r="AZ967" s="452"/>
      <c r="BA967" s="212"/>
      <c r="BB967" s="212"/>
      <c r="BC967" s="212"/>
      <c r="BD967" s="212"/>
      <c r="BE967" s="212"/>
      <c r="BF967" s="452"/>
    </row>
    <row r="968">
      <c r="A968" s="212"/>
      <c r="B968" s="447"/>
      <c r="C968" s="212"/>
      <c r="D968" s="212"/>
      <c r="E968" s="212"/>
      <c r="F968" s="212"/>
      <c r="G968" s="212"/>
      <c r="H968" s="212"/>
      <c r="I968" s="212"/>
      <c r="J968" s="212"/>
      <c r="K968" s="212"/>
      <c r="L968" s="212"/>
      <c r="M968" s="212"/>
      <c r="N968" s="212"/>
      <c r="O968" s="212"/>
      <c r="P968" s="212"/>
      <c r="Q968" s="212"/>
      <c r="R968" s="451"/>
      <c r="S968" s="451"/>
      <c r="T968" s="212"/>
      <c r="U968" s="451"/>
      <c r="V968" s="451"/>
      <c r="W968" s="451"/>
      <c r="X968" s="451"/>
      <c r="Y968" s="212"/>
      <c r="Z968" s="212"/>
      <c r="AA968" s="212"/>
      <c r="AB968" s="212"/>
      <c r="AC968" s="212"/>
      <c r="AD968" s="212"/>
      <c r="AE968" s="450"/>
      <c r="AF968" s="212"/>
      <c r="AG968" s="212"/>
      <c r="AH968" s="212"/>
      <c r="AI968" s="212"/>
      <c r="AJ968" s="212"/>
      <c r="AK968" s="212"/>
      <c r="AL968" s="212"/>
      <c r="AM968" s="212"/>
      <c r="AN968" s="212"/>
      <c r="AO968" s="212"/>
      <c r="AP968" s="212"/>
      <c r="AQ968" s="212"/>
      <c r="AR968" s="212"/>
      <c r="AS968" s="212"/>
      <c r="AT968" s="212"/>
      <c r="AU968" s="212"/>
      <c r="AV968" s="212"/>
      <c r="AW968" s="212"/>
      <c r="AX968" s="212"/>
      <c r="AY968" s="212"/>
      <c r="AZ968" s="452"/>
      <c r="BA968" s="212"/>
      <c r="BB968" s="212"/>
      <c r="BC968" s="212"/>
      <c r="BD968" s="212"/>
      <c r="BE968" s="212"/>
      <c r="BF968" s="452"/>
    </row>
    <row r="969">
      <c r="A969" s="212"/>
      <c r="B969" s="447"/>
      <c r="C969" s="212"/>
      <c r="D969" s="212"/>
      <c r="E969" s="212"/>
      <c r="F969" s="212"/>
      <c r="G969" s="212"/>
      <c r="H969" s="212"/>
      <c r="I969" s="212"/>
      <c r="J969" s="212"/>
      <c r="K969" s="212"/>
      <c r="L969" s="212"/>
      <c r="M969" s="212"/>
      <c r="N969" s="212"/>
      <c r="O969" s="212"/>
      <c r="P969" s="212"/>
      <c r="Q969" s="212"/>
      <c r="R969" s="451"/>
      <c r="S969" s="451"/>
      <c r="T969" s="212"/>
      <c r="U969" s="451"/>
      <c r="V969" s="451"/>
      <c r="W969" s="451"/>
      <c r="X969" s="451"/>
      <c r="Y969" s="212"/>
      <c r="Z969" s="212"/>
      <c r="AA969" s="212"/>
      <c r="AB969" s="212"/>
      <c r="AC969" s="212"/>
      <c r="AD969" s="212"/>
      <c r="AE969" s="450"/>
      <c r="AF969" s="212"/>
      <c r="AG969" s="212"/>
      <c r="AH969" s="212"/>
      <c r="AI969" s="212"/>
      <c r="AJ969" s="212"/>
      <c r="AK969" s="212"/>
      <c r="AL969" s="212"/>
      <c r="AM969" s="212"/>
      <c r="AN969" s="212"/>
      <c r="AO969" s="212"/>
      <c r="AP969" s="212"/>
      <c r="AQ969" s="212"/>
      <c r="AR969" s="212"/>
      <c r="AS969" s="212"/>
      <c r="AT969" s="212"/>
      <c r="AU969" s="212"/>
      <c r="AV969" s="212"/>
      <c r="AW969" s="212"/>
      <c r="AX969" s="212"/>
      <c r="AY969" s="212"/>
      <c r="AZ969" s="452"/>
      <c r="BA969" s="212"/>
      <c r="BB969" s="212"/>
      <c r="BC969" s="212"/>
      <c r="BD969" s="212"/>
      <c r="BE969" s="212"/>
      <c r="BF969" s="452"/>
    </row>
    <row r="970">
      <c r="A970" s="212"/>
      <c r="B970" s="447"/>
      <c r="C970" s="212"/>
      <c r="D970" s="212"/>
      <c r="E970" s="212"/>
      <c r="F970" s="212"/>
      <c r="G970" s="212"/>
      <c r="H970" s="212"/>
      <c r="I970" s="212"/>
      <c r="J970" s="212"/>
      <c r="K970" s="212"/>
      <c r="L970" s="212"/>
      <c r="M970" s="212"/>
      <c r="N970" s="212"/>
      <c r="O970" s="212"/>
      <c r="P970" s="212"/>
      <c r="Q970" s="212"/>
      <c r="R970" s="451"/>
      <c r="S970" s="451"/>
      <c r="T970" s="212"/>
      <c r="U970" s="451"/>
      <c r="V970" s="451"/>
      <c r="W970" s="451"/>
      <c r="X970" s="451"/>
      <c r="Y970" s="212"/>
      <c r="Z970" s="212"/>
      <c r="AA970" s="212"/>
      <c r="AB970" s="212"/>
      <c r="AC970" s="212"/>
      <c r="AD970" s="212"/>
      <c r="AE970" s="450"/>
      <c r="AF970" s="212"/>
      <c r="AG970" s="212"/>
      <c r="AH970" s="212"/>
      <c r="AI970" s="212"/>
      <c r="AJ970" s="212"/>
      <c r="AK970" s="212"/>
      <c r="AL970" s="212"/>
      <c r="AM970" s="212"/>
      <c r="AN970" s="212"/>
      <c r="AO970" s="212"/>
      <c r="AP970" s="212"/>
      <c r="AQ970" s="212"/>
      <c r="AR970" s="212"/>
      <c r="AS970" s="212"/>
      <c r="AT970" s="212"/>
      <c r="AU970" s="212"/>
      <c r="AV970" s="212"/>
      <c r="AW970" s="212"/>
      <c r="AX970" s="212"/>
      <c r="AY970" s="212"/>
      <c r="AZ970" s="452"/>
      <c r="BA970" s="212"/>
      <c r="BB970" s="212"/>
      <c r="BC970" s="212"/>
      <c r="BD970" s="212"/>
      <c r="BE970" s="212"/>
      <c r="BF970" s="452"/>
    </row>
    <row r="971">
      <c r="A971" s="212"/>
      <c r="B971" s="447"/>
      <c r="C971" s="212"/>
      <c r="D971" s="212"/>
      <c r="E971" s="212"/>
      <c r="F971" s="212"/>
      <c r="G971" s="212"/>
      <c r="H971" s="212"/>
      <c r="I971" s="212"/>
      <c r="J971" s="212"/>
      <c r="K971" s="212"/>
      <c r="L971" s="212"/>
      <c r="M971" s="212"/>
      <c r="N971" s="212"/>
      <c r="O971" s="212"/>
      <c r="P971" s="212"/>
      <c r="Q971" s="212"/>
      <c r="R971" s="451"/>
      <c r="S971" s="451"/>
      <c r="T971" s="212"/>
      <c r="U971" s="451"/>
      <c r="V971" s="451"/>
      <c r="W971" s="451"/>
      <c r="X971" s="451"/>
      <c r="Y971" s="212"/>
      <c r="Z971" s="212"/>
      <c r="AA971" s="212"/>
      <c r="AB971" s="212"/>
      <c r="AC971" s="212"/>
      <c r="AD971" s="212"/>
      <c r="AE971" s="450"/>
      <c r="AF971" s="212"/>
      <c r="AG971" s="212"/>
      <c r="AH971" s="212"/>
      <c r="AI971" s="212"/>
      <c r="AJ971" s="212"/>
      <c r="AK971" s="212"/>
      <c r="AL971" s="212"/>
      <c r="AM971" s="212"/>
      <c r="AN971" s="212"/>
      <c r="AO971" s="212"/>
      <c r="AP971" s="212"/>
      <c r="AQ971" s="212"/>
      <c r="AR971" s="212"/>
      <c r="AS971" s="212"/>
      <c r="AT971" s="212"/>
      <c r="AU971" s="212"/>
      <c r="AV971" s="212"/>
      <c r="AW971" s="212"/>
      <c r="AX971" s="212"/>
      <c r="AY971" s="212"/>
      <c r="AZ971" s="452"/>
      <c r="BA971" s="212"/>
      <c r="BB971" s="212"/>
      <c r="BC971" s="212"/>
      <c r="BD971" s="212"/>
      <c r="BE971" s="212"/>
      <c r="BF971" s="452"/>
    </row>
    <row r="972">
      <c r="A972" s="212"/>
      <c r="B972" s="447"/>
      <c r="C972" s="212"/>
      <c r="D972" s="212"/>
      <c r="E972" s="212"/>
      <c r="F972" s="212"/>
      <c r="G972" s="212"/>
      <c r="H972" s="212"/>
      <c r="I972" s="212"/>
      <c r="J972" s="212"/>
      <c r="K972" s="212"/>
      <c r="L972" s="212"/>
      <c r="M972" s="212"/>
      <c r="N972" s="212"/>
      <c r="O972" s="212"/>
      <c r="P972" s="212"/>
      <c r="Q972" s="212"/>
      <c r="R972" s="451"/>
      <c r="S972" s="451"/>
      <c r="T972" s="212"/>
      <c r="U972" s="451"/>
      <c r="V972" s="451"/>
      <c r="W972" s="451"/>
      <c r="X972" s="451"/>
      <c r="Y972" s="212"/>
      <c r="Z972" s="212"/>
      <c r="AA972" s="212"/>
      <c r="AB972" s="212"/>
      <c r="AC972" s="212"/>
      <c r="AD972" s="212"/>
      <c r="AE972" s="450"/>
      <c r="AF972" s="212"/>
      <c r="AG972" s="212"/>
      <c r="AH972" s="212"/>
      <c r="AI972" s="212"/>
      <c r="AJ972" s="212"/>
      <c r="AK972" s="212"/>
      <c r="AL972" s="212"/>
      <c r="AM972" s="212"/>
      <c r="AN972" s="212"/>
      <c r="AO972" s="212"/>
      <c r="AP972" s="212"/>
      <c r="AQ972" s="212"/>
      <c r="AR972" s="212"/>
      <c r="AS972" s="212"/>
      <c r="AT972" s="212"/>
      <c r="AU972" s="212"/>
      <c r="AV972" s="212"/>
      <c r="AW972" s="212"/>
      <c r="AX972" s="212"/>
      <c r="AY972" s="212"/>
      <c r="AZ972" s="452"/>
      <c r="BA972" s="212"/>
      <c r="BB972" s="212"/>
      <c r="BC972" s="212"/>
      <c r="BD972" s="212"/>
      <c r="BE972" s="212"/>
      <c r="BF972" s="452"/>
    </row>
    <row r="973">
      <c r="A973" s="212"/>
      <c r="B973" s="447"/>
      <c r="C973" s="212"/>
      <c r="D973" s="212"/>
      <c r="E973" s="212"/>
      <c r="F973" s="212"/>
      <c r="G973" s="212"/>
      <c r="H973" s="212"/>
      <c r="I973" s="212"/>
      <c r="J973" s="212"/>
      <c r="K973" s="212"/>
      <c r="L973" s="212"/>
      <c r="M973" s="212"/>
      <c r="N973" s="212"/>
      <c r="O973" s="212"/>
      <c r="P973" s="212"/>
      <c r="Q973" s="212"/>
      <c r="R973" s="451"/>
      <c r="S973" s="451"/>
      <c r="T973" s="212"/>
      <c r="U973" s="451"/>
      <c r="V973" s="451"/>
      <c r="W973" s="451"/>
      <c r="X973" s="451"/>
      <c r="Y973" s="212"/>
      <c r="Z973" s="212"/>
      <c r="AA973" s="212"/>
      <c r="AB973" s="212"/>
      <c r="AC973" s="212"/>
      <c r="AD973" s="212"/>
      <c r="AE973" s="450"/>
      <c r="AF973" s="212"/>
      <c r="AG973" s="212"/>
      <c r="AH973" s="212"/>
      <c r="AI973" s="212"/>
      <c r="AJ973" s="212"/>
      <c r="AK973" s="212"/>
      <c r="AL973" s="212"/>
      <c r="AM973" s="212"/>
      <c r="AN973" s="212"/>
      <c r="AO973" s="212"/>
      <c r="AP973" s="212"/>
      <c r="AQ973" s="212"/>
      <c r="AR973" s="212"/>
      <c r="AS973" s="212"/>
      <c r="AT973" s="212"/>
      <c r="AU973" s="212"/>
      <c r="AV973" s="212"/>
      <c r="AW973" s="212"/>
      <c r="AX973" s="212"/>
      <c r="AY973" s="212"/>
      <c r="AZ973" s="452"/>
      <c r="BA973" s="212"/>
      <c r="BB973" s="212"/>
      <c r="BC973" s="212"/>
      <c r="BD973" s="212"/>
      <c r="BE973" s="212"/>
      <c r="BF973" s="452"/>
    </row>
    <row r="974">
      <c r="A974" s="212"/>
      <c r="B974" s="447"/>
      <c r="C974" s="212"/>
      <c r="D974" s="212"/>
      <c r="E974" s="212"/>
      <c r="F974" s="212"/>
      <c r="G974" s="212"/>
      <c r="H974" s="212"/>
      <c r="I974" s="212"/>
      <c r="J974" s="212"/>
      <c r="K974" s="212"/>
      <c r="L974" s="212"/>
      <c r="M974" s="212"/>
      <c r="N974" s="212"/>
      <c r="O974" s="212"/>
      <c r="P974" s="212"/>
      <c r="Q974" s="212"/>
      <c r="R974" s="451"/>
      <c r="S974" s="451"/>
      <c r="T974" s="212"/>
      <c r="U974" s="451"/>
      <c r="V974" s="451"/>
      <c r="W974" s="451"/>
      <c r="X974" s="451"/>
      <c r="Y974" s="212"/>
      <c r="Z974" s="212"/>
      <c r="AA974" s="212"/>
      <c r="AB974" s="212"/>
      <c r="AC974" s="212"/>
      <c r="AD974" s="212"/>
      <c r="AE974" s="450"/>
      <c r="AF974" s="212"/>
      <c r="AG974" s="212"/>
      <c r="AH974" s="212"/>
      <c r="AI974" s="212"/>
      <c r="AJ974" s="212"/>
      <c r="AK974" s="212"/>
      <c r="AL974" s="212"/>
      <c r="AM974" s="212"/>
      <c r="AN974" s="212"/>
      <c r="AO974" s="212"/>
      <c r="AP974" s="212"/>
      <c r="AQ974" s="212"/>
      <c r="AR974" s="212"/>
      <c r="AS974" s="212"/>
      <c r="AT974" s="212"/>
      <c r="AU974" s="212"/>
      <c r="AV974" s="212"/>
      <c r="AW974" s="212"/>
      <c r="AX974" s="212"/>
      <c r="AY974" s="212"/>
      <c r="AZ974" s="452"/>
      <c r="BA974" s="212"/>
      <c r="BB974" s="212"/>
      <c r="BC974" s="212"/>
      <c r="BD974" s="212"/>
      <c r="BE974" s="212"/>
      <c r="BF974" s="452"/>
    </row>
    <row r="975">
      <c r="A975" s="212"/>
      <c r="B975" s="447"/>
      <c r="C975" s="212"/>
      <c r="D975" s="212"/>
      <c r="E975" s="212"/>
      <c r="F975" s="212"/>
      <c r="G975" s="212"/>
      <c r="H975" s="212"/>
      <c r="I975" s="212"/>
      <c r="J975" s="212"/>
      <c r="K975" s="212"/>
      <c r="L975" s="212"/>
      <c r="M975" s="212"/>
      <c r="N975" s="212"/>
      <c r="O975" s="212"/>
      <c r="P975" s="212"/>
      <c r="Q975" s="212"/>
      <c r="R975" s="451"/>
      <c r="S975" s="451"/>
      <c r="T975" s="212"/>
      <c r="U975" s="451"/>
      <c r="V975" s="451"/>
      <c r="W975" s="451"/>
      <c r="X975" s="451"/>
      <c r="Y975" s="212"/>
      <c r="Z975" s="212"/>
      <c r="AA975" s="212"/>
      <c r="AB975" s="212"/>
      <c r="AC975" s="212"/>
      <c r="AD975" s="212"/>
      <c r="AE975" s="450"/>
      <c r="AF975" s="212"/>
      <c r="AG975" s="212"/>
      <c r="AH975" s="212"/>
      <c r="AI975" s="212"/>
      <c r="AJ975" s="212"/>
      <c r="AK975" s="212"/>
      <c r="AL975" s="212"/>
      <c r="AM975" s="212"/>
      <c r="AN975" s="212"/>
      <c r="AO975" s="212"/>
      <c r="AP975" s="212"/>
      <c r="AQ975" s="212"/>
      <c r="AR975" s="212"/>
      <c r="AS975" s="212"/>
      <c r="AT975" s="212"/>
      <c r="AU975" s="212"/>
      <c r="AV975" s="212"/>
      <c r="AW975" s="212"/>
      <c r="AX975" s="212"/>
      <c r="AY975" s="212"/>
      <c r="AZ975" s="452"/>
      <c r="BA975" s="212"/>
      <c r="BB975" s="212"/>
      <c r="BC975" s="212"/>
      <c r="BD975" s="212"/>
      <c r="BE975" s="212"/>
      <c r="BF975" s="452"/>
    </row>
    <row r="976">
      <c r="A976" s="212"/>
      <c r="B976" s="447"/>
      <c r="C976" s="212"/>
      <c r="D976" s="212"/>
      <c r="E976" s="212"/>
      <c r="F976" s="212"/>
      <c r="G976" s="212"/>
      <c r="H976" s="212"/>
      <c r="I976" s="212"/>
      <c r="J976" s="212"/>
      <c r="K976" s="212"/>
      <c r="L976" s="212"/>
      <c r="M976" s="212"/>
      <c r="N976" s="212"/>
      <c r="O976" s="212"/>
      <c r="P976" s="212"/>
      <c r="Q976" s="212"/>
      <c r="R976" s="451"/>
      <c r="S976" s="451"/>
      <c r="T976" s="212"/>
      <c r="U976" s="451"/>
      <c r="V976" s="451"/>
      <c r="W976" s="451"/>
      <c r="X976" s="451"/>
      <c r="Y976" s="212"/>
      <c r="Z976" s="212"/>
      <c r="AA976" s="212"/>
      <c r="AB976" s="212"/>
      <c r="AC976" s="212"/>
      <c r="AD976" s="212"/>
      <c r="AE976" s="450"/>
      <c r="AF976" s="212"/>
      <c r="AG976" s="212"/>
      <c r="AH976" s="212"/>
      <c r="AI976" s="212"/>
      <c r="AJ976" s="212"/>
      <c r="AK976" s="212"/>
      <c r="AL976" s="212"/>
      <c r="AM976" s="212"/>
      <c r="AN976" s="212"/>
      <c r="AO976" s="212"/>
      <c r="AP976" s="212"/>
      <c r="AQ976" s="212"/>
      <c r="AR976" s="212"/>
      <c r="AS976" s="212"/>
      <c r="AT976" s="212"/>
      <c r="AU976" s="212"/>
      <c r="AV976" s="212"/>
      <c r="AW976" s="212"/>
      <c r="AX976" s="212"/>
      <c r="AY976" s="212"/>
      <c r="AZ976" s="452"/>
      <c r="BA976" s="212"/>
      <c r="BB976" s="212"/>
      <c r="BC976" s="212"/>
      <c r="BD976" s="212"/>
      <c r="BE976" s="212"/>
      <c r="BF976" s="452"/>
    </row>
    <row r="977">
      <c r="A977" s="212"/>
      <c r="B977" s="447"/>
      <c r="C977" s="212"/>
      <c r="D977" s="212"/>
      <c r="E977" s="212"/>
      <c r="F977" s="212"/>
      <c r="G977" s="212"/>
      <c r="H977" s="212"/>
      <c r="I977" s="212"/>
      <c r="J977" s="212"/>
      <c r="K977" s="212"/>
      <c r="L977" s="212"/>
      <c r="M977" s="212"/>
      <c r="N977" s="212"/>
      <c r="O977" s="212"/>
      <c r="P977" s="212"/>
      <c r="Q977" s="212"/>
      <c r="R977" s="451"/>
      <c r="S977" s="451"/>
      <c r="T977" s="212"/>
      <c r="U977" s="451"/>
      <c r="V977" s="451"/>
      <c r="W977" s="451"/>
      <c r="X977" s="451"/>
      <c r="Y977" s="212"/>
      <c r="Z977" s="212"/>
      <c r="AA977" s="212"/>
      <c r="AB977" s="212"/>
      <c r="AC977" s="212"/>
      <c r="AD977" s="212"/>
      <c r="AE977" s="450"/>
      <c r="AF977" s="212"/>
      <c r="AG977" s="212"/>
      <c r="AH977" s="212"/>
      <c r="AI977" s="212"/>
      <c r="AJ977" s="212"/>
      <c r="AK977" s="212"/>
      <c r="AL977" s="212"/>
      <c r="AM977" s="212"/>
      <c r="AN977" s="212"/>
      <c r="AO977" s="212"/>
      <c r="AP977" s="212"/>
      <c r="AQ977" s="212"/>
      <c r="AR977" s="212"/>
      <c r="AS977" s="212"/>
      <c r="AT977" s="212"/>
      <c r="AU977" s="212"/>
      <c r="AV977" s="212"/>
      <c r="AW977" s="212"/>
      <c r="AX977" s="212"/>
      <c r="AY977" s="212"/>
      <c r="AZ977" s="452"/>
      <c r="BA977" s="212"/>
      <c r="BB977" s="212"/>
      <c r="BC977" s="212"/>
      <c r="BD977" s="212"/>
      <c r="BE977" s="212"/>
      <c r="BF977" s="452"/>
    </row>
    <row r="978">
      <c r="A978" s="212"/>
      <c r="B978" s="447"/>
      <c r="C978" s="212"/>
      <c r="D978" s="212"/>
      <c r="E978" s="212"/>
      <c r="F978" s="212"/>
      <c r="G978" s="212"/>
      <c r="H978" s="212"/>
      <c r="I978" s="212"/>
      <c r="J978" s="212"/>
      <c r="K978" s="212"/>
      <c r="L978" s="212"/>
      <c r="M978" s="212"/>
      <c r="N978" s="212"/>
      <c r="O978" s="212"/>
      <c r="P978" s="212"/>
      <c r="Q978" s="212"/>
      <c r="R978" s="451"/>
      <c r="S978" s="451"/>
      <c r="T978" s="212"/>
      <c r="U978" s="451"/>
      <c r="V978" s="451"/>
      <c r="W978" s="451"/>
      <c r="X978" s="451"/>
      <c r="Y978" s="212"/>
      <c r="Z978" s="212"/>
      <c r="AA978" s="212"/>
      <c r="AB978" s="212"/>
      <c r="AC978" s="212"/>
      <c r="AD978" s="212"/>
      <c r="AE978" s="450"/>
      <c r="AF978" s="212"/>
      <c r="AG978" s="212"/>
      <c r="AH978" s="212"/>
      <c r="AI978" s="212"/>
      <c r="AJ978" s="212"/>
      <c r="AK978" s="212"/>
      <c r="AL978" s="212"/>
      <c r="AM978" s="212"/>
      <c r="AN978" s="212"/>
      <c r="AO978" s="212"/>
      <c r="AP978" s="212"/>
      <c r="AQ978" s="212"/>
      <c r="AR978" s="212"/>
      <c r="AS978" s="212"/>
      <c r="AT978" s="212"/>
      <c r="AU978" s="212"/>
      <c r="AV978" s="212"/>
      <c r="AW978" s="212"/>
      <c r="AX978" s="212"/>
      <c r="AY978" s="212"/>
      <c r="AZ978" s="452"/>
      <c r="BA978" s="212"/>
      <c r="BB978" s="212"/>
      <c r="BC978" s="212"/>
      <c r="BD978" s="212"/>
      <c r="BE978" s="212"/>
      <c r="BF978" s="452"/>
    </row>
    <row r="979">
      <c r="A979" s="212"/>
      <c r="B979" s="447"/>
      <c r="C979" s="212"/>
      <c r="D979" s="212"/>
      <c r="E979" s="212"/>
      <c r="F979" s="212"/>
      <c r="G979" s="212"/>
      <c r="H979" s="212"/>
      <c r="I979" s="212"/>
      <c r="J979" s="212"/>
      <c r="K979" s="212"/>
      <c r="L979" s="212"/>
      <c r="M979" s="212"/>
      <c r="N979" s="212"/>
      <c r="O979" s="212"/>
      <c r="P979" s="212"/>
      <c r="Q979" s="212"/>
      <c r="R979" s="451"/>
      <c r="S979" s="451"/>
      <c r="T979" s="212"/>
      <c r="U979" s="451"/>
      <c r="V979" s="451"/>
      <c r="W979" s="451"/>
      <c r="X979" s="451"/>
      <c r="Y979" s="212"/>
      <c r="Z979" s="212"/>
      <c r="AA979" s="212"/>
      <c r="AB979" s="212"/>
      <c r="AC979" s="212"/>
      <c r="AD979" s="212"/>
      <c r="AE979" s="450"/>
      <c r="AF979" s="212"/>
      <c r="AG979" s="212"/>
      <c r="AH979" s="212"/>
      <c r="AI979" s="212"/>
      <c r="AJ979" s="212"/>
      <c r="AK979" s="212"/>
      <c r="AL979" s="212"/>
      <c r="AM979" s="212"/>
      <c r="AN979" s="212"/>
      <c r="AO979" s="212"/>
      <c r="AP979" s="212"/>
      <c r="AQ979" s="212"/>
      <c r="AR979" s="212"/>
      <c r="AS979" s="212"/>
      <c r="AT979" s="212"/>
      <c r="AU979" s="212"/>
      <c r="AV979" s="212"/>
      <c r="AW979" s="212"/>
      <c r="AX979" s="212"/>
      <c r="AY979" s="212"/>
      <c r="AZ979" s="452"/>
      <c r="BA979" s="212"/>
      <c r="BB979" s="212"/>
      <c r="BC979" s="212"/>
      <c r="BD979" s="212"/>
      <c r="BE979" s="212"/>
      <c r="BF979" s="452"/>
    </row>
    <row r="980">
      <c r="A980" s="212"/>
      <c r="B980" s="447"/>
      <c r="C980" s="212"/>
      <c r="D980" s="212"/>
      <c r="E980" s="212"/>
      <c r="F980" s="212"/>
      <c r="G980" s="212"/>
      <c r="H980" s="212"/>
      <c r="I980" s="212"/>
      <c r="J980" s="212"/>
      <c r="K980" s="212"/>
      <c r="L980" s="212"/>
      <c r="M980" s="212"/>
      <c r="N980" s="212"/>
      <c r="O980" s="212"/>
      <c r="P980" s="212"/>
      <c r="Q980" s="212"/>
      <c r="R980" s="451"/>
      <c r="S980" s="451"/>
      <c r="T980" s="212"/>
      <c r="U980" s="451"/>
      <c r="V980" s="451"/>
      <c r="W980" s="451"/>
      <c r="X980" s="451"/>
      <c r="Y980" s="212"/>
      <c r="Z980" s="212"/>
      <c r="AA980" s="212"/>
      <c r="AB980" s="212"/>
      <c r="AC980" s="212"/>
      <c r="AD980" s="212"/>
      <c r="AE980" s="450"/>
      <c r="AF980" s="212"/>
      <c r="AG980" s="212"/>
      <c r="AH980" s="212"/>
      <c r="AI980" s="212"/>
      <c r="AJ980" s="212"/>
      <c r="AK980" s="212"/>
      <c r="AL980" s="212"/>
      <c r="AM980" s="212"/>
      <c r="AN980" s="212"/>
      <c r="AO980" s="212"/>
      <c r="AP980" s="212"/>
      <c r="AQ980" s="212"/>
      <c r="AR980" s="212"/>
      <c r="AS980" s="212"/>
      <c r="AT980" s="212"/>
      <c r="AU980" s="212"/>
      <c r="AV980" s="212"/>
      <c r="AW980" s="212"/>
      <c r="AX980" s="212"/>
      <c r="AY980" s="212"/>
      <c r="AZ980" s="452"/>
      <c r="BA980" s="212"/>
      <c r="BB980" s="212"/>
      <c r="BC980" s="212"/>
      <c r="BD980" s="212"/>
      <c r="BE980" s="212"/>
      <c r="BF980" s="452"/>
    </row>
    <row r="981">
      <c r="A981" s="212"/>
      <c r="B981" s="447"/>
      <c r="C981" s="212"/>
      <c r="D981" s="212"/>
      <c r="E981" s="212"/>
      <c r="F981" s="212"/>
      <c r="G981" s="212"/>
      <c r="H981" s="212"/>
      <c r="I981" s="212"/>
      <c r="J981" s="212"/>
      <c r="K981" s="212"/>
      <c r="L981" s="212"/>
      <c r="M981" s="212"/>
      <c r="N981" s="212"/>
      <c r="O981" s="212"/>
      <c r="P981" s="212"/>
      <c r="Q981" s="212"/>
      <c r="R981" s="451"/>
      <c r="S981" s="451"/>
      <c r="T981" s="212"/>
      <c r="U981" s="451"/>
      <c r="V981" s="451"/>
      <c r="W981" s="451"/>
      <c r="X981" s="451"/>
      <c r="Y981" s="212"/>
      <c r="Z981" s="212"/>
      <c r="AA981" s="212"/>
      <c r="AB981" s="212"/>
      <c r="AC981" s="212"/>
      <c r="AD981" s="212"/>
      <c r="AE981" s="450"/>
      <c r="AF981" s="212"/>
      <c r="AG981" s="212"/>
      <c r="AH981" s="212"/>
      <c r="AI981" s="212"/>
      <c r="AJ981" s="212"/>
      <c r="AK981" s="212"/>
      <c r="AL981" s="212"/>
      <c r="AM981" s="212"/>
      <c r="AN981" s="212"/>
      <c r="AO981" s="212"/>
      <c r="AP981" s="212"/>
      <c r="AQ981" s="212"/>
      <c r="AR981" s="212"/>
      <c r="AS981" s="212"/>
      <c r="AT981" s="212"/>
      <c r="AU981" s="212"/>
      <c r="AV981" s="212"/>
      <c r="AW981" s="212"/>
      <c r="AX981" s="212"/>
      <c r="AY981" s="212"/>
      <c r="AZ981" s="452"/>
      <c r="BA981" s="212"/>
      <c r="BB981" s="212"/>
      <c r="BC981" s="212"/>
      <c r="BD981" s="212"/>
      <c r="BE981" s="212"/>
      <c r="BF981" s="452"/>
    </row>
    <row r="982">
      <c r="A982" s="212"/>
      <c r="B982" s="447"/>
      <c r="C982" s="212"/>
      <c r="D982" s="212"/>
      <c r="E982" s="212"/>
      <c r="F982" s="212"/>
      <c r="G982" s="212"/>
      <c r="H982" s="212"/>
      <c r="I982" s="212"/>
      <c r="J982" s="212"/>
      <c r="K982" s="212"/>
      <c r="L982" s="212"/>
      <c r="M982" s="212"/>
      <c r="N982" s="212"/>
      <c r="O982" s="212"/>
      <c r="P982" s="212"/>
      <c r="Q982" s="212"/>
      <c r="R982" s="451"/>
      <c r="S982" s="451"/>
      <c r="T982" s="212"/>
      <c r="U982" s="451"/>
      <c r="V982" s="451"/>
      <c r="W982" s="451"/>
      <c r="X982" s="451"/>
      <c r="Y982" s="212"/>
      <c r="Z982" s="212"/>
      <c r="AA982" s="212"/>
      <c r="AB982" s="212"/>
      <c r="AC982" s="212"/>
      <c r="AD982" s="212"/>
      <c r="AE982" s="450"/>
      <c r="AF982" s="212"/>
      <c r="AG982" s="212"/>
      <c r="AH982" s="212"/>
      <c r="AI982" s="212"/>
      <c r="AJ982" s="212"/>
      <c r="AK982" s="212"/>
      <c r="AL982" s="212"/>
      <c r="AM982" s="212"/>
      <c r="AN982" s="212"/>
      <c r="AO982" s="212"/>
      <c r="AP982" s="212"/>
      <c r="AQ982" s="212"/>
      <c r="AR982" s="212"/>
      <c r="AS982" s="212"/>
      <c r="AT982" s="212"/>
      <c r="AU982" s="212"/>
      <c r="AV982" s="212"/>
      <c r="AW982" s="212"/>
      <c r="AX982" s="212"/>
      <c r="AY982" s="212"/>
      <c r="AZ982" s="452"/>
      <c r="BA982" s="212"/>
      <c r="BB982" s="212"/>
      <c r="BC982" s="212"/>
      <c r="BD982" s="212"/>
      <c r="BE982" s="212"/>
      <c r="BF982" s="452"/>
    </row>
    <row r="983">
      <c r="A983" s="212"/>
      <c r="B983" s="447"/>
      <c r="C983" s="212"/>
      <c r="D983" s="212"/>
      <c r="E983" s="212"/>
      <c r="F983" s="212"/>
      <c r="G983" s="212"/>
      <c r="H983" s="212"/>
      <c r="I983" s="212"/>
      <c r="J983" s="212"/>
      <c r="K983" s="212"/>
      <c r="L983" s="212"/>
      <c r="M983" s="212"/>
      <c r="N983" s="212"/>
      <c r="O983" s="212"/>
      <c r="P983" s="212"/>
      <c r="Q983" s="212"/>
      <c r="R983" s="451"/>
      <c r="S983" s="451"/>
      <c r="T983" s="212"/>
      <c r="U983" s="451"/>
      <c r="V983" s="451"/>
      <c r="W983" s="451"/>
      <c r="X983" s="451"/>
      <c r="Y983" s="212"/>
      <c r="Z983" s="212"/>
      <c r="AA983" s="212"/>
      <c r="AB983" s="212"/>
      <c r="AC983" s="212"/>
      <c r="AD983" s="212"/>
      <c r="AE983" s="450"/>
      <c r="AF983" s="212"/>
      <c r="AG983" s="212"/>
      <c r="AH983" s="212"/>
      <c r="AI983" s="212"/>
      <c r="AJ983" s="212"/>
      <c r="AK983" s="212"/>
      <c r="AL983" s="212"/>
      <c r="AM983" s="212"/>
      <c r="AN983" s="212"/>
      <c r="AO983" s="212"/>
      <c r="AP983" s="212"/>
      <c r="AQ983" s="212"/>
      <c r="AR983" s="212"/>
      <c r="AS983" s="212"/>
      <c r="AT983" s="212"/>
      <c r="AU983" s="212"/>
      <c r="AV983" s="212"/>
      <c r="AW983" s="212"/>
      <c r="AX983" s="212"/>
      <c r="AY983" s="212"/>
      <c r="AZ983" s="452"/>
      <c r="BA983" s="212"/>
      <c r="BB983" s="212"/>
      <c r="BC983" s="212"/>
      <c r="BD983" s="212"/>
      <c r="BE983" s="212"/>
      <c r="BF983" s="452"/>
    </row>
    <row r="984">
      <c r="A984" s="212"/>
      <c r="B984" s="447"/>
      <c r="C984" s="212"/>
      <c r="D984" s="212"/>
      <c r="E984" s="212"/>
      <c r="F984" s="212"/>
      <c r="G984" s="212"/>
      <c r="H984" s="212"/>
      <c r="I984" s="212"/>
      <c r="J984" s="212"/>
      <c r="K984" s="212"/>
      <c r="L984" s="212"/>
      <c r="M984" s="212"/>
      <c r="N984" s="212"/>
      <c r="O984" s="212"/>
      <c r="P984" s="212"/>
      <c r="Q984" s="212"/>
      <c r="R984" s="451"/>
      <c r="S984" s="451"/>
      <c r="T984" s="212"/>
      <c r="U984" s="451"/>
      <c r="V984" s="451"/>
      <c r="W984" s="451"/>
      <c r="X984" s="451"/>
      <c r="Y984" s="212"/>
      <c r="Z984" s="212"/>
      <c r="AA984" s="212"/>
      <c r="AB984" s="212"/>
      <c r="AC984" s="212"/>
      <c r="AD984" s="212"/>
      <c r="AE984" s="450"/>
      <c r="AF984" s="212"/>
      <c r="AG984" s="212"/>
      <c r="AH984" s="212"/>
      <c r="AI984" s="212"/>
      <c r="AJ984" s="212"/>
      <c r="AK984" s="212"/>
      <c r="AL984" s="212"/>
      <c r="AM984" s="212"/>
      <c r="AN984" s="212"/>
      <c r="AO984" s="212"/>
      <c r="AP984" s="212"/>
      <c r="AQ984" s="212"/>
      <c r="AR984" s="212"/>
      <c r="AS984" s="212"/>
      <c r="AT984" s="212"/>
      <c r="AU984" s="212"/>
      <c r="AV984" s="212"/>
      <c r="AW984" s="212"/>
      <c r="AX984" s="212"/>
      <c r="AY984" s="212"/>
      <c r="AZ984" s="452"/>
      <c r="BA984" s="212"/>
      <c r="BB984" s="212"/>
      <c r="BC984" s="212"/>
      <c r="BD984" s="212"/>
      <c r="BE984" s="212"/>
      <c r="BF984" s="452"/>
    </row>
    <row r="985">
      <c r="A985" s="212"/>
      <c r="B985" s="447"/>
      <c r="C985" s="212"/>
      <c r="D985" s="212"/>
      <c r="E985" s="212"/>
      <c r="F985" s="212"/>
      <c r="G985" s="212"/>
      <c r="H985" s="212"/>
      <c r="I985" s="212"/>
      <c r="J985" s="212"/>
      <c r="K985" s="212"/>
      <c r="L985" s="212"/>
      <c r="M985" s="212"/>
      <c r="N985" s="212"/>
      <c r="O985" s="212"/>
      <c r="P985" s="212"/>
      <c r="Q985" s="212"/>
      <c r="R985" s="451"/>
      <c r="S985" s="451"/>
      <c r="T985" s="212"/>
      <c r="U985" s="451"/>
      <c r="V985" s="451"/>
      <c r="W985" s="451"/>
      <c r="X985" s="451"/>
      <c r="Y985" s="212"/>
      <c r="Z985" s="212"/>
      <c r="AA985" s="212"/>
      <c r="AB985" s="212"/>
      <c r="AC985" s="212"/>
      <c r="AD985" s="212"/>
      <c r="AE985" s="450"/>
      <c r="AF985" s="212"/>
      <c r="AG985" s="212"/>
      <c r="AH985" s="212"/>
      <c r="AI985" s="212"/>
      <c r="AJ985" s="212"/>
      <c r="AK985" s="212"/>
      <c r="AL985" s="212"/>
      <c r="AM985" s="212"/>
      <c r="AN985" s="212"/>
      <c r="AO985" s="212"/>
      <c r="AP985" s="212"/>
      <c r="AQ985" s="212"/>
      <c r="AR985" s="212"/>
      <c r="AS985" s="212"/>
      <c r="AT985" s="212"/>
      <c r="AU985" s="212"/>
      <c r="AV985" s="212"/>
      <c r="AW985" s="212"/>
      <c r="AX985" s="212"/>
      <c r="AY985" s="212"/>
      <c r="AZ985" s="452"/>
      <c r="BA985" s="212"/>
      <c r="BB985" s="212"/>
      <c r="BC985" s="212"/>
      <c r="BD985" s="212"/>
      <c r="BE985" s="212"/>
      <c r="BF985" s="452"/>
    </row>
    <row r="986">
      <c r="A986" s="212"/>
      <c r="B986" s="447"/>
      <c r="C986" s="212"/>
      <c r="D986" s="212"/>
      <c r="E986" s="212"/>
      <c r="F986" s="212"/>
      <c r="G986" s="212"/>
      <c r="H986" s="212"/>
      <c r="I986" s="212"/>
      <c r="J986" s="212"/>
      <c r="K986" s="212"/>
      <c r="L986" s="212"/>
      <c r="M986" s="212"/>
      <c r="N986" s="212"/>
      <c r="O986" s="212"/>
      <c r="P986" s="212"/>
      <c r="Q986" s="212"/>
      <c r="R986" s="451"/>
      <c r="S986" s="451"/>
      <c r="T986" s="212"/>
      <c r="U986" s="451"/>
      <c r="V986" s="451"/>
      <c r="W986" s="451"/>
      <c r="X986" s="451"/>
      <c r="Y986" s="212"/>
      <c r="Z986" s="212"/>
      <c r="AA986" s="212"/>
      <c r="AB986" s="212"/>
      <c r="AC986" s="212"/>
      <c r="AD986" s="212"/>
      <c r="AE986" s="450"/>
      <c r="AF986" s="212"/>
      <c r="AG986" s="212"/>
      <c r="AH986" s="212"/>
      <c r="AI986" s="212"/>
      <c r="AJ986" s="212"/>
      <c r="AK986" s="212"/>
      <c r="AL986" s="212"/>
      <c r="AM986" s="212"/>
      <c r="AN986" s="212"/>
      <c r="AO986" s="212"/>
      <c r="AP986" s="212"/>
      <c r="AQ986" s="212"/>
      <c r="AR986" s="212"/>
      <c r="AS986" s="212"/>
      <c r="AT986" s="212"/>
      <c r="AU986" s="212"/>
      <c r="AV986" s="212"/>
      <c r="AW986" s="212"/>
      <c r="AX986" s="212"/>
      <c r="AY986" s="212"/>
      <c r="AZ986" s="452"/>
      <c r="BA986" s="212"/>
      <c r="BB986" s="212"/>
      <c r="BC986" s="212"/>
      <c r="BD986" s="212"/>
      <c r="BE986" s="212"/>
      <c r="BF986" s="452"/>
    </row>
    <row r="987">
      <c r="A987" s="212"/>
      <c r="B987" s="447"/>
      <c r="C987" s="212"/>
      <c r="D987" s="212"/>
      <c r="E987" s="212"/>
      <c r="F987" s="212"/>
      <c r="G987" s="212"/>
      <c r="H987" s="212"/>
      <c r="I987" s="212"/>
      <c r="J987" s="212"/>
      <c r="K987" s="212"/>
      <c r="L987" s="212"/>
      <c r="M987" s="212"/>
      <c r="N987" s="212"/>
      <c r="O987" s="212"/>
      <c r="P987" s="212"/>
      <c r="Q987" s="212"/>
      <c r="R987" s="451"/>
      <c r="S987" s="451"/>
      <c r="T987" s="212"/>
      <c r="U987" s="451"/>
      <c r="V987" s="451"/>
      <c r="W987" s="451"/>
      <c r="X987" s="451"/>
      <c r="Y987" s="212"/>
      <c r="Z987" s="212"/>
      <c r="AA987" s="212"/>
      <c r="AB987" s="212"/>
      <c r="AC987" s="212"/>
      <c r="AD987" s="212"/>
      <c r="AE987" s="450"/>
      <c r="AF987" s="212"/>
      <c r="AG987" s="212"/>
      <c r="AH987" s="212"/>
      <c r="AI987" s="212"/>
      <c r="AJ987" s="212"/>
      <c r="AK987" s="212"/>
      <c r="AL987" s="212"/>
      <c r="AM987" s="212"/>
      <c r="AN987" s="212"/>
      <c r="AO987" s="212"/>
      <c r="AP987" s="212"/>
      <c r="AQ987" s="212"/>
      <c r="AR987" s="212"/>
      <c r="AS987" s="212"/>
      <c r="AT987" s="212"/>
      <c r="AU987" s="212"/>
      <c r="AV987" s="212"/>
      <c r="AW987" s="212"/>
      <c r="AX987" s="212"/>
      <c r="AY987" s="212"/>
      <c r="AZ987" s="452"/>
      <c r="BA987" s="212"/>
      <c r="BB987" s="212"/>
      <c r="BC987" s="212"/>
      <c r="BD987" s="212"/>
      <c r="BE987" s="212"/>
      <c r="BF987" s="452"/>
    </row>
    <row r="988">
      <c r="A988" s="212"/>
      <c r="B988" s="447"/>
      <c r="C988" s="212"/>
      <c r="D988" s="212"/>
      <c r="E988" s="212"/>
      <c r="F988" s="212"/>
      <c r="G988" s="212"/>
      <c r="H988" s="212"/>
      <c r="I988" s="212"/>
      <c r="J988" s="212"/>
      <c r="K988" s="212"/>
      <c r="L988" s="212"/>
      <c r="M988" s="212"/>
      <c r="N988" s="212"/>
      <c r="O988" s="212"/>
      <c r="P988" s="212"/>
      <c r="Q988" s="212"/>
      <c r="R988" s="451"/>
      <c r="S988" s="451"/>
      <c r="T988" s="212"/>
      <c r="U988" s="451"/>
      <c r="V988" s="451"/>
      <c r="W988" s="451"/>
      <c r="X988" s="451"/>
      <c r="Y988" s="212"/>
      <c r="Z988" s="212"/>
      <c r="AA988" s="212"/>
      <c r="AB988" s="212"/>
      <c r="AC988" s="212"/>
      <c r="AD988" s="212"/>
      <c r="AE988" s="450"/>
      <c r="AF988" s="212"/>
      <c r="AG988" s="212"/>
      <c r="AH988" s="212"/>
      <c r="AI988" s="212"/>
      <c r="AJ988" s="212"/>
      <c r="AK988" s="212"/>
      <c r="AL988" s="212"/>
      <c r="AM988" s="212"/>
      <c r="AN988" s="212"/>
      <c r="AO988" s="212"/>
      <c r="AP988" s="212"/>
      <c r="AQ988" s="212"/>
      <c r="AR988" s="212"/>
      <c r="AS988" s="212"/>
      <c r="AT988" s="212"/>
      <c r="AU988" s="212"/>
      <c r="AV988" s="212"/>
      <c r="AW988" s="212"/>
      <c r="AX988" s="212"/>
      <c r="AY988" s="212"/>
      <c r="AZ988" s="452"/>
      <c r="BA988" s="212"/>
      <c r="BB988" s="212"/>
      <c r="BC988" s="212"/>
      <c r="BD988" s="212"/>
      <c r="BE988" s="212"/>
      <c r="BF988" s="452"/>
    </row>
    <row r="989">
      <c r="A989" s="212"/>
      <c r="B989" s="447"/>
      <c r="C989" s="212"/>
      <c r="D989" s="212"/>
      <c r="E989" s="212"/>
      <c r="F989" s="212"/>
      <c r="G989" s="212"/>
      <c r="H989" s="212"/>
      <c r="I989" s="212"/>
      <c r="J989" s="212"/>
      <c r="K989" s="212"/>
      <c r="L989" s="212"/>
      <c r="M989" s="212"/>
      <c r="N989" s="212"/>
      <c r="O989" s="212"/>
      <c r="P989" s="212"/>
      <c r="Q989" s="212"/>
      <c r="R989" s="451"/>
      <c r="S989" s="451"/>
      <c r="T989" s="212"/>
      <c r="U989" s="451"/>
      <c r="V989" s="451"/>
      <c r="W989" s="451"/>
      <c r="X989" s="451"/>
      <c r="Y989" s="212"/>
      <c r="Z989" s="212"/>
      <c r="AA989" s="212"/>
      <c r="AB989" s="212"/>
      <c r="AC989" s="212"/>
      <c r="AD989" s="212"/>
      <c r="AE989" s="450"/>
      <c r="AF989" s="212"/>
      <c r="AG989" s="212"/>
      <c r="AH989" s="212"/>
      <c r="AI989" s="212"/>
      <c r="AJ989" s="212"/>
      <c r="AK989" s="212"/>
      <c r="AL989" s="212"/>
      <c r="AM989" s="212"/>
      <c r="AN989" s="212"/>
      <c r="AO989" s="212"/>
      <c r="AP989" s="212"/>
      <c r="AQ989" s="212"/>
      <c r="AR989" s="212"/>
      <c r="AS989" s="212"/>
      <c r="AT989" s="212"/>
      <c r="AU989" s="212"/>
      <c r="AV989" s="212"/>
      <c r="AW989" s="212"/>
      <c r="AX989" s="212"/>
      <c r="AY989" s="212"/>
      <c r="AZ989" s="452"/>
      <c r="BA989" s="212"/>
      <c r="BB989" s="212"/>
      <c r="BC989" s="212"/>
      <c r="BD989" s="212"/>
      <c r="BE989" s="212"/>
      <c r="BF989" s="452"/>
    </row>
    <row r="990">
      <c r="A990" s="212"/>
      <c r="B990" s="447"/>
      <c r="C990" s="212"/>
      <c r="D990" s="212"/>
      <c r="E990" s="212"/>
      <c r="F990" s="212"/>
      <c r="G990" s="212"/>
      <c r="H990" s="212"/>
      <c r="I990" s="212"/>
      <c r="J990" s="212"/>
      <c r="K990" s="212"/>
      <c r="L990" s="212"/>
      <c r="M990" s="212"/>
      <c r="N990" s="212"/>
      <c r="O990" s="212"/>
      <c r="P990" s="212"/>
      <c r="Q990" s="212"/>
      <c r="R990" s="451"/>
      <c r="S990" s="451"/>
      <c r="T990" s="212"/>
      <c r="U990" s="451"/>
      <c r="V990" s="451"/>
      <c r="W990" s="451"/>
      <c r="X990" s="451"/>
      <c r="Y990" s="212"/>
      <c r="Z990" s="212"/>
      <c r="AA990" s="212"/>
      <c r="AB990" s="212"/>
      <c r="AC990" s="212"/>
      <c r="AD990" s="212"/>
      <c r="AE990" s="450"/>
      <c r="AF990" s="212"/>
      <c r="AG990" s="212"/>
      <c r="AH990" s="212"/>
      <c r="AI990" s="212"/>
      <c r="AJ990" s="212"/>
      <c r="AK990" s="212"/>
      <c r="AL990" s="212"/>
      <c r="AM990" s="212"/>
      <c r="AN990" s="212"/>
      <c r="AO990" s="212"/>
      <c r="AP990" s="212"/>
      <c r="AQ990" s="212"/>
      <c r="AR990" s="212"/>
      <c r="AS990" s="212"/>
      <c r="AT990" s="212"/>
      <c r="AU990" s="212"/>
      <c r="AV990" s="212"/>
      <c r="AW990" s="212"/>
      <c r="AX990" s="212"/>
      <c r="AY990" s="212"/>
      <c r="AZ990" s="452"/>
      <c r="BA990" s="212"/>
      <c r="BB990" s="212"/>
      <c r="BC990" s="212"/>
      <c r="BD990" s="212"/>
      <c r="BE990" s="212"/>
      <c r="BF990" s="452"/>
    </row>
    <row r="991">
      <c r="A991" s="212"/>
      <c r="B991" s="447"/>
      <c r="C991" s="212"/>
      <c r="D991" s="212"/>
      <c r="E991" s="212"/>
      <c r="F991" s="212"/>
      <c r="G991" s="212"/>
      <c r="H991" s="212"/>
      <c r="I991" s="212"/>
      <c r="J991" s="212"/>
      <c r="K991" s="212"/>
      <c r="L991" s="212"/>
      <c r="M991" s="212"/>
      <c r="N991" s="212"/>
      <c r="O991" s="212"/>
      <c r="P991" s="212"/>
      <c r="Q991" s="212"/>
      <c r="R991" s="451"/>
      <c r="S991" s="451"/>
      <c r="T991" s="212"/>
      <c r="U991" s="451"/>
      <c r="V991" s="451"/>
      <c r="W991" s="451"/>
      <c r="X991" s="451"/>
      <c r="Y991" s="212"/>
      <c r="Z991" s="212"/>
      <c r="AA991" s="212"/>
      <c r="AB991" s="212"/>
      <c r="AC991" s="212"/>
      <c r="AD991" s="212"/>
      <c r="AE991" s="450"/>
      <c r="AF991" s="212"/>
      <c r="AG991" s="212"/>
      <c r="AH991" s="212"/>
      <c r="AI991" s="212"/>
      <c r="AJ991" s="212"/>
      <c r="AK991" s="212"/>
      <c r="AL991" s="212"/>
      <c r="AM991" s="212"/>
      <c r="AN991" s="212"/>
      <c r="AO991" s="212"/>
      <c r="AP991" s="212"/>
      <c r="AQ991" s="212"/>
      <c r="AR991" s="212"/>
      <c r="AS991" s="212"/>
      <c r="AT991" s="212"/>
      <c r="AU991" s="212"/>
      <c r="AV991" s="212"/>
      <c r="AW991" s="212"/>
      <c r="AX991" s="212"/>
      <c r="AY991" s="212"/>
      <c r="AZ991" s="452"/>
      <c r="BA991" s="212"/>
      <c r="BB991" s="212"/>
      <c r="BC991" s="212"/>
      <c r="BD991" s="212"/>
      <c r="BE991" s="212"/>
      <c r="BF991" s="452"/>
    </row>
    <row r="992">
      <c r="A992" s="212"/>
      <c r="B992" s="447"/>
      <c r="C992" s="212"/>
      <c r="D992" s="212"/>
      <c r="E992" s="212"/>
      <c r="F992" s="212"/>
      <c r="G992" s="212"/>
      <c r="H992" s="212"/>
      <c r="I992" s="212"/>
      <c r="J992" s="212"/>
      <c r="K992" s="212"/>
      <c r="L992" s="212"/>
      <c r="M992" s="212"/>
      <c r="N992" s="212"/>
      <c r="O992" s="212"/>
      <c r="P992" s="212"/>
      <c r="Q992" s="212"/>
      <c r="R992" s="451"/>
      <c r="S992" s="451"/>
      <c r="T992" s="212"/>
      <c r="U992" s="451"/>
      <c r="V992" s="451"/>
      <c r="W992" s="451"/>
      <c r="X992" s="451"/>
      <c r="Y992" s="212"/>
      <c r="Z992" s="212"/>
      <c r="AA992" s="212"/>
      <c r="AB992" s="212"/>
      <c r="AC992" s="212"/>
      <c r="AD992" s="212"/>
      <c r="AE992" s="450"/>
      <c r="AF992" s="212"/>
      <c r="AG992" s="212"/>
      <c r="AH992" s="212"/>
      <c r="AI992" s="212"/>
      <c r="AJ992" s="212"/>
      <c r="AK992" s="212"/>
      <c r="AL992" s="212"/>
      <c r="AM992" s="212"/>
      <c r="AN992" s="212"/>
      <c r="AO992" s="212"/>
      <c r="AP992" s="212"/>
      <c r="AQ992" s="212"/>
      <c r="AR992" s="212"/>
      <c r="AS992" s="212"/>
      <c r="AT992" s="212"/>
      <c r="AU992" s="212"/>
      <c r="AV992" s="212"/>
      <c r="AW992" s="212"/>
      <c r="AX992" s="212"/>
      <c r="AY992" s="212"/>
      <c r="AZ992" s="452"/>
      <c r="BA992" s="212"/>
      <c r="BB992" s="212"/>
      <c r="BC992" s="212"/>
      <c r="BD992" s="212"/>
      <c r="BE992" s="212"/>
      <c r="BF992" s="452"/>
    </row>
    <row r="993">
      <c r="A993" s="212"/>
      <c r="B993" s="447"/>
      <c r="C993" s="212"/>
      <c r="D993" s="212"/>
      <c r="E993" s="212"/>
      <c r="F993" s="212"/>
      <c r="G993" s="212"/>
      <c r="H993" s="212"/>
      <c r="I993" s="212"/>
      <c r="J993" s="212"/>
      <c r="K993" s="212"/>
      <c r="L993" s="212"/>
      <c r="M993" s="212"/>
      <c r="N993" s="212"/>
      <c r="O993" s="212"/>
      <c r="P993" s="212"/>
      <c r="Q993" s="212"/>
      <c r="R993" s="451"/>
      <c r="S993" s="451"/>
      <c r="T993" s="212"/>
      <c r="U993" s="451"/>
      <c r="V993" s="451"/>
      <c r="W993" s="451"/>
      <c r="X993" s="451"/>
      <c r="Y993" s="212"/>
      <c r="Z993" s="212"/>
      <c r="AA993" s="212"/>
      <c r="AB993" s="212"/>
      <c r="AC993" s="212"/>
      <c r="AD993" s="212"/>
      <c r="AE993" s="450"/>
      <c r="AF993" s="212"/>
      <c r="AG993" s="212"/>
      <c r="AH993" s="212"/>
      <c r="AI993" s="212"/>
      <c r="AJ993" s="212"/>
      <c r="AK993" s="212"/>
      <c r="AL993" s="212"/>
      <c r="AM993" s="212"/>
      <c r="AN993" s="212"/>
      <c r="AO993" s="212"/>
      <c r="AP993" s="212"/>
      <c r="AQ993" s="212"/>
      <c r="AR993" s="212"/>
      <c r="AS993" s="212"/>
      <c r="AT993" s="212"/>
      <c r="AU993" s="212"/>
      <c r="AV993" s="212"/>
      <c r="AW993" s="212"/>
      <c r="AX993" s="212"/>
      <c r="AY993" s="212"/>
      <c r="AZ993" s="452"/>
      <c r="BA993" s="212"/>
      <c r="BB993" s="212"/>
      <c r="BC993" s="212"/>
      <c r="BD993" s="212"/>
      <c r="BE993" s="212"/>
      <c r="BF993" s="452"/>
    </row>
    <row r="994">
      <c r="A994" s="212"/>
      <c r="B994" s="447"/>
      <c r="C994" s="212"/>
      <c r="D994" s="212"/>
      <c r="E994" s="212"/>
      <c r="F994" s="212"/>
      <c r="G994" s="212"/>
      <c r="H994" s="212"/>
      <c r="I994" s="212"/>
      <c r="J994" s="212"/>
      <c r="K994" s="212"/>
      <c r="L994" s="212"/>
      <c r="M994" s="212"/>
      <c r="N994" s="212"/>
      <c r="O994" s="212"/>
      <c r="P994" s="212"/>
      <c r="Q994" s="212"/>
      <c r="R994" s="451"/>
      <c r="S994" s="451"/>
      <c r="T994" s="212"/>
      <c r="U994" s="451"/>
      <c r="V994" s="451"/>
      <c r="W994" s="451"/>
      <c r="X994" s="451"/>
      <c r="Y994" s="212"/>
      <c r="Z994" s="212"/>
      <c r="AA994" s="212"/>
      <c r="AB994" s="212"/>
      <c r="AC994" s="212"/>
      <c r="AD994" s="212"/>
      <c r="AE994" s="450"/>
      <c r="AF994" s="212"/>
      <c r="AG994" s="212"/>
      <c r="AH994" s="212"/>
      <c r="AI994" s="212"/>
      <c r="AJ994" s="212"/>
      <c r="AK994" s="212"/>
      <c r="AL994" s="212"/>
      <c r="AM994" s="212"/>
      <c r="AN994" s="212"/>
      <c r="AO994" s="212"/>
      <c r="AP994" s="212"/>
      <c r="AQ994" s="212"/>
      <c r="AR994" s="212"/>
      <c r="AS994" s="212"/>
      <c r="AT994" s="212"/>
      <c r="AU994" s="212"/>
      <c r="AV994" s="212"/>
      <c r="AW994" s="212"/>
      <c r="AX994" s="212"/>
      <c r="AY994" s="212"/>
      <c r="AZ994" s="452"/>
      <c r="BA994" s="212"/>
      <c r="BB994" s="212"/>
      <c r="BC994" s="212"/>
      <c r="BD994" s="212"/>
      <c r="BE994" s="212"/>
      <c r="BF994" s="452"/>
    </row>
    <row r="995">
      <c r="A995" s="212"/>
      <c r="B995" s="447"/>
      <c r="C995" s="212"/>
      <c r="D995" s="212"/>
      <c r="E995" s="212"/>
      <c r="F995" s="212"/>
      <c r="G995" s="212"/>
      <c r="H995" s="212"/>
      <c r="I995" s="212"/>
      <c r="J995" s="212"/>
      <c r="K995" s="212"/>
      <c r="L995" s="212"/>
      <c r="M995" s="212"/>
      <c r="N995" s="212"/>
      <c r="O995" s="212"/>
      <c r="P995" s="212"/>
      <c r="Q995" s="212"/>
      <c r="R995" s="451"/>
      <c r="S995" s="451"/>
      <c r="T995" s="212"/>
      <c r="U995" s="451"/>
      <c r="V995" s="451"/>
      <c r="W995" s="451"/>
      <c r="X995" s="451"/>
      <c r="Y995" s="212"/>
      <c r="Z995" s="212"/>
      <c r="AA995" s="212"/>
      <c r="AB995" s="212"/>
      <c r="AC995" s="212"/>
      <c r="AD995" s="212"/>
      <c r="AE995" s="450"/>
      <c r="AF995" s="212"/>
      <c r="AG995" s="212"/>
      <c r="AH995" s="212"/>
      <c r="AI995" s="212"/>
      <c r="AJ995" s="212"/>
      <c r="AK995" s="212"/>
      <c r="AL995" s="212"/>
      <c r="AM995" s="212"/>
      <c r="AN995" s="212"/>
      <c r="AO995" s="212"/>
      <c r="AP995" s="212"/>
      <c r="AQ995" s="212"/>
      <c r="AR995" s="212"/>
      <c r="AS995" s="212"/>
      <c r="AT995" s="212"/>
      <c r="AU995" s="212"/>
      <c r="AV995" s="212"/>
      <c r="AW995" s="212"/>
      <c r="AX995" s="212"/>
      <c r="AY995" s="212"/>
      <c r="AZ995" s="452"/>
      <c r="BA995" s="212"/>
      <c r="BB995" s="212"/>
      <c r="BC995" s="212"/>
      <c r="BD995" s="212"/>
      <c r="BE995" s="212"/>
      <c r="BF995" s="452"/>
    </row>
    <row r="996">
      <c r="A996" s="212"/>
      <c r="B996" s="447"/>
      <c r="C996" s="212"/>
      <c r="D996" s="212"/>
      <c r="E996" s="212"/>
      <c r="F996" s="212"/>
      <c r="G996" s="212"/>
      <c r="H996" s="212"/>
      <c r="I996" s="212"/>
      <c r="J996" s="212"/>
      <c r="K996" s="212"/>
      <c r="L996" s="212"/>
      <c r="M996" s="212"/>
      <c r="N996" s="212"/>
      <c r="O996" s="212"/>
      <c r="P996" s="212"/>
      <c r="Q996" s="212"/>
      <c r="R996" s="451"/>
      <c r="S996" s="451"/>
      <c r="T996" s="212"/>
      <c r="U996" s="451"/>
      <c r="V996" s="451"/>
      <c r="W996" s="451"/>
      <c r="X996" s="451"/>
      <c r="Y996" s="212"/>
      <c r="Z996" s="212"/>
      <c r="AA996" s="212"/>
      <c r="AB996" s="212"/>
      <c r="AC996" s="212"/>
      <c r="AD996" s="212"/>
      <c r="AE996" s="450"/>
      <c r="AF996" s="212"/>
      <c r="AG996" s="212"/>
      <c r="AH996" s="212"/>
      <c r="AI996" s="212"/>
      <c r="AJ996" s="212"/>
      <c r="AK996" s="212"/>
      <c r="AL996" s="212"/>
      <c r="AM996" s="212"/>
      <c r="AN996" s="212"/>
      <c r="AO996" s="212"/>
      <c r="AP996" s="212"/>
      <c r="AQ996" s="212"/>
      <c r="AR996" s="212"/>
      <c r="AS996" s="212"/>
      <c r="AT996" s="212"/>
      <c r="AU996" s="212"/>
      <c r="AV996" s="212"/>
      <c r="AW996" s="212"/>
      <c r="AX996" s="212"/>
      <c r="AY996" s="212"/>
      <c r="AZ996" s="452"/>
      <c r="BA996" s="212"/>
      <c r="BB996" s="212"/>
      <c r="BC996" s="212"/>
      <c r="BD996" s="212"/>
      <c r="BE996" s="212"/>
      <c r="BF996" s="452"/>
    </row>
    <row r="997">
      <c r="A997" s="212"/>
      <c r="B997" s="447"/>
      <c r="C997" s="212"/>
      <c r="D997" s="212"/>
      <c r="E997" s="212"/>
      <c r="F997" s="212"/>
      <c r="G997" s="212"/>
      <c r="H997" s="212"/>
      <c r="I997" s="212"/>
      <c r="J997" s="212"/>
      <c r="K997" s="212"/>
      <c r="L997" s="212"/>
      <c r="M997" s="212"/>
      <c r="N997" s="212"/>
      <c r="O997" s="212"/>
      <c r="P997" s="212"/>
      <c r="Q997" s="212"/>
      <c r="R997" s="451"/>
      <c r="S997" s="451"/>
      <c r="T997" s="212"/>
      <c r="U997" s="451"/>
      <c r="V997" s="451"/>
      <c r="W997" s="451"/>
      <c r="X997" s="451"/>
      <c r="Y997" s="212"/>
      <c r="Z997" s="212"/>
      <c r="AA997" s="212"/>
      <c r="AB997" s="212"/>
      <c r="AC997" s="212"/>
      <c r="AD997" s="212"/>
      <c r="AE997" s="450"/>
      <c r="AF997" s="212"/>
      <c r="AG997" s="212"/>
      <c r="AH997" s="212"/>
      <c r="AI997" s="212"/>
      <c r="AJ997" s="212"/>
      <c r="AK997" s="212"/>
      <c r="AL997" s="212"/>
      <c r="AM997" s="212"/>
      <c r="AN997" s="212"/>
      <c r="AO997" s="212"/>
      <c r="AP997" s="212"/>
      <c r="AQ997" s="212"/>
      <c r="AR997" s="212"/>
      <c r="AS997" s="212"/>
      <c r="AT997" s="212"/>
      <c r="AU997" s="212"/>
      <c r="AV997" s="212"/>
      <c r="AW997" s="212"/>
      <c r="AX997" s="212"/>
      <c r="AY997" s="212"/>
      <c r="AZ997" s="452"/>
      <c r="BA997" s="212"/>
      <c r="BB997" s="212"/>
      <c r="BC997" s="212"/>
      <c r="BD997" s="212"/>
      <c r="BE997" s="212"/>
      <c r="BF997" s="452"/>
    </row>
    <row r="998">
      <c r="A998" s="212"/>
      <c r="B998" s="447"/>
      <c r="C998" s="212"/>
      <c r="D998" s="212"/>
      <c r="E998" s="212"/>
      <c r="F998" s="212"/>
      <c r="G998" s="212"/>
      <c r="H998" s="212"/>
      <c r="I998" s="212"/>
      <c r="J998" s="212"/>
      <c r="K998" s="212"/>
      <c r="L998" s="212"/>
      <c r="M998" s="212"/>
      <c r="N998" s="212"/>
      <c r="O998" s="212"/>
      <c r="P998" s="212"/>
      <c r="Q998" s="212"/>
      <c r="R998" s="451"/>
      <c r="S998" s="451"/>
      <c r="T998" s="212"/>
      <c r="U998" s="451"/>
      <c r="V998" s="451"/>
      <c r="W998" s="451"/>
      <c r="X998" s="451"/>
      <c r="Y998" s="212"/>
      <c r="Z998" s="212"/>
      <c r="AA998" s="212"/>
      <c r="AB998" s="212"/>
      <c r="AC998" s="212"/>
      <c r="AD998" s="212"/>
      <c r="AE998" s="450"/>
      <c r="AF998" s="212"/>
      <c r="AG998" s="212"/>
      <c r="AH998" s="212"/>
      <c r="AI998" s="212"/>
      <c r="AJ998" s="212"/>
      <c r="AK998" s="212"/>
      <c r="AL998" s="212"/>
      <c r="AM998" s="212"/>
      <c r="AN998" s="212"/>
      <c r="AO998" s="212"/>
      <c r="AP998" s="212"/>
      <c r="AQ998" s="212"/>
      <c r="AR998" s="212"/>
      <c r="AS998" s="212"/>
      <c r="AT998" s="212"/>
      <c r="AU998" s="212"/>
      <c r="AV998" s="212"/>
      <c r="AW998" s="212"/>
      <c r="AX998" s="212"/>
      <c r="AY998" s="212"/>
      <c r="AZ998" s="452"/>
      <c r="BA998" s="212"/>
      <c r="BB998" s="212"/>
      <c r="BC998" s="212"/>
      <c r="BD998" s="212"/>
      <c r="BE998" s="212"/>
      <c r="BF998" s="452"/>
    </row>
    <row r="999">
      <c r="A999" s="212"/>
      <c r="B999" s="447"/>
      <c r="C999" s="212"/>
      <c r="D999" s="212"/>
      <c r="E999" s="212"/>
      <c r="F999" s="212"/>
      <c r="G999" s="212"/>
      <c r="H999" s="212"/>
      <c r="I999" s="212"/>
      <c r="J999" s="212"/>
      <c r="K999" s="212"/>
      <c r="L999" s="212"/>
      <c r="M999" s="212"/>
      <c r="N999" s="212"/>
      <c r="O999" s="212"/>
      <c r="P999" s="212"/>
      <c r="Q999" s="212"/>
      <c r="R999" s="451"/>
      <c r="S999" s="451"/>
      <c r="T999" s="212"/>
      <c r="U999" s="451"/>
      <c r="V999" s="451"/>
      <c r="W999" s="451"/>
      <c r="X999" s="451"/>
      <c r="Y999" s="212"/>
      <c r="Z999" s="212"/>
      <c r="AA999" s="212"/>
      <c r="AB999" s="212"/>
      <c r="AC999" s="212"/>
      <c r="AD999" s="212"/>
      <c r="AE999" s="450"/>
      <c r="AF999" s="212"/>
      <c r="AG999" s="212"/>
      <c r="AH999" s="212"/>
      <c r="AI999" s="212"/>
      <c r="AJ999" s="212"/>
      <c r="AK999" s="212"/>
      <c r="AL999" s="212"/>
      <c r="AM999" s="212"/>
      <c r="AN999" s="212"/>
      <c r="AO999" s="212"/>
      <c r="AP999" s="212"/>
      <c r="AQ999" s="212"/>
      <c r="AR999" s="212"/>
      <c r="AS999" s="212"/>
      <c r="AT999" s="212"/>
      <c r="AU999" s="212"/>
      <c r="AV999" s="212"/>
      <c r="AW999" s="212"/>
      <c r="AX999" s="212"/>
      <c r="AY999" s="212"/>
      <c r="AZ999" s="452"/>
      <c r="BA999" s="212"/>
      <c r="BB999" s="212"/>
      <c r="BC999" s="212"/>
      <c r="BD999" s="212"/>
      <c r="BE999" s="212"/>
      <c r="BF999" s="452"/>
    </row>
    <row r="1000">
      <c r="A1000" s="212"/>
      <c r="B1000" s="447"/>
      <c r="C1000" s="212"/>
      <c r="D1000" s="212"/>
      <c r="E1000" s="212"/>
      <c r="F1000" s="212"/>
      <c r="G1000" s="212"/>
      <c r="H1000" s="212"/>
      <c r="I1000" s="212"/>
      <c r="J1000" s="212"/>
      <c r="K1000" s="212"/>
      <c r="L1000" s="212"/>
      <c r="M1000" s="212"/>
      <c r="N1000" s="212"/>
      <c r="O1000" s="212"/>
      <c r="P1000" s="212"/>
      <c r="Q1000" s="212"/>
      <c r="R1000" s="451"/>
      <c r="S1000" s="451"/>
      <c r="T1000" s="212"/>
      <c r="U1000" s="451"/>
      <c r="V1000" s="451"/>
      <c r="W1000" s="451"/>
      <c r="X1000" s="451"/>
      <c r="Y1000" s="212"/>
      <c r="Z1000" s="212"/>
      <c r="AA1000" s="212"/>
      <c r="AB1000" s="212"/>
      <c r="AC1000" s="212"/>
      <c r="AD1000" s="212"/>
      <c r="AE1000" s="450"/>
      <c r="AF1000" s="212"/>
      <c r="AG1000" s="212"/>
      <c r="AH1000" s="212"/>
      <c r="AI1000" s="212"/>
      <c r="AJ1000" s="212"/>
      <c r="AK1000" s="212"/>
      <c r="AL1000" s="212"/>
      <c r="AM1000" s="212"/>
      <c r="AN1000" s="212"/>
      <c r="AO1000" s="212"/>
      <c r="AP1000" s="212"/>
      <c r="AQ1000" s="212"/>
      <c r="AR1000" s="212"/>
      <c r="AS1000" s="212"/>
      <c r="AT1000" s="212"/>
      <c r="AU1000" s="212"/>
      <c r="AV1000" s="212"/>
      <c r="AW1000" s="212"/>
      <c r="AX1000" s="212"/>
      <c r="AY1000" s="212"/>
      <c r="AZ1000" s="452"/>
      <c r="BA1000" s="212"/>
      <c r="BB1000" s="212"/>
      <c r="BC1000" s="212"/>
      <c r="BD1000" s="212"/>
      <c r="BE1000" s="212"/>
      <c r="BF1000" s="452"/>
    </row>
    <row r="1001">
      <c r="A1001" s="212"/>
      <c r="B1001" s="447"/>
      <c r="C1001" s="212"/>
      <c r="D1001" s="212"/>
      <c r="E1001" s="212"/>
      <c r="F1001" s="212"/>
      <c r="G1001" s="212"/>
      <c r="H1001" s="212"/>
      <c r="I1001" s="212"/>
      <c r="J1001" s="212"/>
      <c r="K1001" s="212"/>
      <c r="L1001" s="212"/>
      <c r="M1001" s="212"/>
      <c r="N1001" s="212"/>
      <c r="O1001" s="212"/>
      <c r="P1001" s="212"/>
      <c r="Q1001" s="212"/>
      <c r="R1001" s="451"/>
      <c r="S1001" s="451"/>
      <c r="T1001" s="212"/>
      <c r="U1001" s="451"/>
      <c r="V1001" s="451"/>
      <c r="W1001" s="451"/>
      <c r="X1001" s="451"/>
      <c r="Y1001" s="212"/>
      <c r="Z1001" s="212"/>
      <c r="AA1001" s="212"/>
      <c r="AB1001" s="212"/>
      <c r="AC1001" s="212"/>
      <c r="AD1001" s="212"/>
      <c r="AE1001" s="450"/>
      <c r="AF1001" s="212"/>
      <c r="AG1001" s="212"/>
      <c r="AH1001" s="212"/>
      <c r="AI1001" s="212"/>
      <c r="AJ1001" s="212"/>
      <c r="AK1001" s="212"/>
      <c r="AL1001" s="212"/>
      <c r="AM1001" s="212"/>
      <c r="AN1001" s="212"/>
      <c r="AO1001" s="212"/>
      <c r="AP1001" s="212"/>
      <c r="AQ1001" s="212"/>
      <c r="AR1001" s="212"/>
      <c r="AS1001" s="212"/>
      <c r="AT1001" s="212"/>
      <c r="AU1001" s="212"/>
      <c r="AV1001" s="212"/>
      <c r="AW1001" s="212"/>
      <c r="AX1001" s="212"/>
      <c r="AY1001" s="212"/>
      <c r="AZ1001" s="452"/>
      <c r="BA1001" s="212"/>
      <c r="BB1001" s="212"/>
      <c r="BC1001" s="212"/>
      <c r="BD1001" s="212"/>
      <c r="BE1001" s="212"/>
      <c r="BF1001" s="452"/>
    </row>
    <row r="1002">
      <c r="A1002" s="212"/>
      <c r="B1002" s="447"/>
      <c r="C1002" s="212"/>
      <c r="D1002" s="212"/>
      <c r="E1002" s="212"/>
      <c r="F1002" s="212"/>
      <c r="G1002" s="212"/>
      <c r="H1002" s="212"/>
      <c r="I1002" s="212"/>
      <c r="J1002" s="212"/>
      <c r="K1002" s="212"/>
      <c r="L1002" s="212"/>
      <c r="M1002" s="212"/>
      <c r="N1002" s="212"/>
      <c r="O1002" s="212"/>
      <c r="P1002" s="212"/>
      <c r="Q1002" s="212"/>
      <c r="R1002" s="451"/>
      <c r="S1002" s="451"/>
      <c r="T1002" s="212"/>
      <c r="U1002" s="451"/>
      <c r="V1002" s="451"/>
      <c r="W1002" s="451"/>
      <c r="X1002" s="451"/>
      <c r="Y1002" s="212"/>
      <c r="Z1002" s="212"/>
      <c r="AA1002" s="212"/>
      <c r="AB1002" s="212"/>
      <c r="AC1002" s="212"/>
      <c r="AD1002" s="212"/>
      <c r="AE1002" s="450"/>
      <c r="AF1002" s="212"/>
      <c r="AG1002" s="212"/>
      <c r="AH1002" s="212"/>
      <c r="AI1002" s="212"/>
      <c r="AJ1002" s="212"/>
      <c r="AK1002" s="212"/>
      <c r="AL1002" s="212"/>
      <c r="AM1002" s="212"/>
      <c r="AN1002" s="212"/>
      <c r="AO1002" s="212"/>
      <c r="AP1002" s="212"/>
      <c r="AQ1002" s="212"/>
      <c r="AR1002" s="212"/>
      <c r="AS1002" s="212"/>
      <c r="AT1002" s="212"/>
      <c r="AU1002" s="212"/>
      <c r="AV1002" s="212"/>
      <c r="AW1002" s="212"/>
      <c r="AX1002" s="212"/>
      <c r="AY1002" s="212"/>
      <c r="AZ1002" s="452"/>
      <c r="BA1002" s="212"/>
      <c r="BB1002" s="212"/>
      <c r="BC1002" s="212"/>
      <c r="BD1002" s="212"/>
      <c r="BE1002" s="212"/>
      <c r="BF1002" s="452"/>
    </row>
    <row r="1003">
      <c r="A1003" s="212"/>
      <c r="B1003" s="447"/>
      <c r="C1003" s="212"/>
      <c r="D1003" s="212"/>
      <c r="E1003" s="212"/>
      <c r="F1003" s="212"/>
      <c r="G1003" s="212"/>
      <c r="H1003" s="212"/>
      <c r="I1003" s="212"/>
      <c r="J1003" s="212"/>
      <c r="K1003" s="212"/>
      <c r="L1003" s="212"/>
      <c r="M1003" s="212"/>
      <c r="N1003" s="212"/>
      <c r="O1003" s="212"/>
      <c r="P1003" s="212"/>
      <c r="Q1003" s="212"/>
      <c r="R1003" s="451"/>
      <c r="S1003" s="451"/>
      <c r="T1003" s="212"/>
      <c r="U1003" s="451"/>
      <c r="V1003" s="451"/>
      <c r="W1003" s="451"/>
      <c r="X1003" s="451"/>
      <c r="Y1003" s="212"/>
      <c r="Z1003" s="212"/>
      <c r="AA1003" s="212"/>
      <c r="AB1003" s="212"/>
      <c r="AC1003" s="212"/>
      <c r="AD1003" s="212"/>
      <c r="AE1003" s="450"/>
      <c r="AF1003" s="212"/>
      <c r="AG1003" s="212"/>
      <c r="AH1003" s="212"/>
      <c r="AI1003" s="212"/>
      <c r="AJ1003" s="212"/>
      <c r="AK1003" s="212"/>
      <c r="AL1003" s="212"/>
      <c r="AM1003" s="212"/>
      <c r="AN1003" s="212"/>
      <c r="AO1003" s="212"/>
      <c r="AP1003" s="212"/>
      <c r="AQ1003" s="212"/>
      <c r="AR1003" s="212"/>
      <c r="AS1003" s="212"/>
      <c r="AT1003" s="212"/>
      <c r="AU1003" s="212"/>
      <c r="AV1003" s="212"/>
      <c r="AW1003" s="212"/>
      <c r="AX1003" s="212"/>
      <c r="AY1003" s="212"/>
      <c r="AZ1003" s="452"/>
      <c r="BA1003" s="212"/>
      <c r="BB1003" s="212"/>
      <c r="BC1003" s="212"/>
      <c r="BD1003" s="212"/>
      <c r="BE1003" s="212"/>
      <c r="BF1003" s="452"/>
    </row>
    <row r="1004">
      <c r="A1004" s="212"/>
      <c r="B1004" s="447"/>
      <c r="C1004" s="212"/>
      <c r="D1004" s="212"/>
      <c r="E1004" s="212"/>
      <c r="F1004" s="212"/>
      <c r="G1004" s="212"/>
      <c r="H1004" s="212"/>
      <c r="I1004" s="212"/>
      <c r="J1004" s="212"/>
      <c r="K1004" s="212"/>
      <c r="L1004" s="212"/>
      <c r="M1004" s="212"/>
      <c r="N1004" s="212"/>
      <c r="O1004" s="212"/>
      <c r="P1004" s="212"/>
      <c r="Q1004" s="212"/>
      <c r="R1004" s="451"/>
      <c r="S1004" s="451"/>
      <c r="T1004" s="212"/>
      <c r="U1004" s="451"/>
      <c r="V1004" s="451"/>
      <c r="W1004" s="451"/>
      <c r="X1004" s="451"/>
      <c r="Y1004" s="212"/>
      <c r="Z1004" s="212"/>
      <c r="AA1004" s="212"/>
      <c r="AB1004" s="212"/>
      <c r="AC1004" s="212"/>
      <c r="AD1004" s="212"/>
      <c r="AE1004" s="450"/>
      <c r="AF1004" s="212"/>
      <c r="AG1004" s="212"/>
      <c r="AH1004" s="212"/>
      <c r="AI1004" s="212"/>
      <c r="AJ1004" s="212"/>
      <c r="AK1004" s="212"/>
      <c r="AL1004" s="212"/>
      <c r="AM1004" s="212"/>
      <c r="AN1004" s="212"/>
      <c r="AO1004" s="212"/>
      <c r="AP1004" s="212"/>
      <c r="AQ1004" s="212"/>
      <c r="AR1004" s="212"/>
      <c r="AS1004" s="212"/>
      <c r="AT1004" s="212"/>
      <c r="AU1004" s="212"/>
      <c r="AV1004" s="212"/>
      <c r="AW1004" s="212"/>
      <c r="AX1004" s="212"/>
      <c r="AY1004" s="212"/>
      <c r="AZ1004" s="452"/>
      <c r="BA1004" s="212"/>
      <c r="BB1004" s="212"/>
      <c r="BC1004" s="212"/>
      <c r="BD1004" s="212"/>
      <c r="BE1004" s="212"/>
      <c r="BF1004" s="452"/>
    </row>
    <row r="1005">
      <c r="A1005" s="212"/>
      <c r="B1005" s="447"/>
      <c r="C1005" s="212"/>
      <c r="D1005" s="212"/>
      <c r="E1005" s="212"/>
      <c r="F1005" s="212"/>
      <c r="G1005" s="212"/>
      <c r="H1005" s="212"/>
      <c r="I1005" s="212"/>
      <c r="J1005" s="212"/>
      <c r="K1005" s="212"/>
      <c r="L1005" s="212"/>
      <c r="M1005" s="212"/>
      <c r="N1005" s="212"/>
      <c r="O1005" s="212"/>
      <c r="P1005" s="212"/>
      <c r="Q1005" s="212"/>
      <c r="R1005" s="451"/>
      <c r="S1005" s="451"/>
      <c r="T1005" s="212"/>
      <c r="U1005" s="451"/>
      <c r="V1005" s="451"/>
      <c r="W1005" s="451"/>
      <c r="X1005" s="451"/>
      <c r="Y1005" s="212"/>
      <c r="Z1005" s="212"/>
      <c r="AA1005" s="212"/>
      <c r="AB1005" s="212"/>
      <c r="AC1005" s="212"/>
      <c r="AD1005" s="212"/>
      <c r="AE1005" s="450"/>
      <c r="AF1005" s="212"/>
      <c r="AG1005" s="212"/>
      <c r="AH1005" s="212"/>
      <c r="AI1005" s="212"/>
      <c r="AJ1005" s="212"/>
      <c r="AK1005" s="212"/>
      <c r="AL1005" s="212"/>
      <c r="AM1005" s="212"/>
      <c r="AN1005" s="212"/>
      <c r="AO1005" s="212"/>
      <c r="AP1005" s="212"/>
      <c r="AQ1005" s="212"/>
      <c r="AR1005" s="212"/>
      <c r="AS1005" s="212"/>
      <c r="AT1005" s="212"/>
      <c r="AU1005" s="212"/>
      <c r="AV1005" s="212"/>
      <c r="AW1005" s="212"/>
      <c r="AX1005" s="212"/>
      <c r="AY1005" s="212"/>
      <c r="AZ1005" s="452"/>
      <c r="BA1005" s="212"/>
      <c r="BB1005" s="212"/>
      <c r="BC1005" s="212"/>
      <c r="BD1005" s="212"/>
      <c r="BE1005" s="212"/>
      <c r="BF1005" s="452"/>
    </row>
    <row r="1006">
      <c r="A1006" s="212"/>
      <c r="B1006" s="447"/>
      <c r="C1006" s="212"/>
      <c r="D1006" s="212"/>
      <c r="E1006" s="212"/>
      <c r="F1006" s="212"/>
      <c r="G1006" s="212"/>
      <c r="H1006" s="212"/>
      <c r="I1006" s="212"/>
      <c r="J1006" s="212"/>
      <c r="K1006" s="212"/>
      <c r="L1006" s="212"/>
      <c r="M1006" s="212"/>
      <c r="N1006" s="212"/>
      <c r="O1006" s="212"/>
      <c r="P1006" s="212"/>
      <c r="Q1006" s="212"/>
      <c r="R1006" s="451"/>
      <c r="S1006" s="451"/>
      <c r="T1006" s="212"/>
      <c r="U1006" s="451"/>
      <c r="V1006" s="451"/>
      <c r="W1006" s="451"/>
      <c r="X1006" s="451"/>
      <c r="Y1006" s="212"/>
      <c r="Z1006" s="212"/>
      <c r="AA1006" s="212"/>
      <c r="AB1006" s="212"/>
      <c r="AC1006" s="212"/>
      <c r="AD1006" s="212"/>
      <c r="AE1006" s="450"/>
      <c r="AF1006" s="212"/>
      <c r="AG1006" s="212"/>
      <c r="AH1006" s="212"/>
      <c r="AI1006" s="212"/>
      <c r="AJ1006" s="212"/>
      <c r="AK1006" s="212"/>
      <c r="AL1006" s="212"/>
      <c r="AM1006" s="212"/>
      <c r="AN1006" s="212"/>
      <c r="AO1006" s="212"/>
      <c r="AP1006" s="212"/>
      <c r="AQ1006" s="212"/>
      <c r="AR1006" s="212"/>
      <c r="AS1006" s="212"/>
      <c r="AT1006" s="212"/>
      <c r="AU1006" s="212"/>
      <c r="AV1006" s="212"/>
      <c r="AW1006" s="212"/>
      <c r="AX1006" s="212"/>
      <c r="AY1006" s="212"/>
      <c r="AZ1006" s="452"/>
      <c r="BA1006" s="212"/>
      <c r="BB1006" s="212"/>
      <c r="BC1006" s="212"/>
      <c r="BD1006" s="212"/>
      <c r="BE1006" s="212"/>
      <c r="BF1006" s="452"/>
    </row>
    <row r="1007">
      <c r="A1007" s="212"/>
      <c r="B1007" s="447"/>
      <c r="C1007" s="212"/>
      <c r="D1007" s="212"/>
      <c r="E1007" s="212"/>
      <c r="F1007" s="212"/>
      <c r="G1007" s="212"/>
      <c r="H1007" s="212"/>
      <c r="I1007" s="212"/>
      <c r="J1007" s="212"/>
      <c r="K1007" s="212"/>
      <c r="L1007" s="212"/>
      <c r="M1007" s="212"/>
      <c r="N1007" s="212"/>
      <c r="O1007" s="212"/>
      <c r="P1007" s="212"/>
      <c r="Q1007" s="212"/>
      <c r="R1007" s="451"/>
      <c r="S1007" s="451"/>
      <c r="T1007" s="212"/>
      <c r="U1007" s="451"/>
      <c r="V1007" s="451"/>
      <c r="W1007" s="451"/>
      <c r="X1007" s="451"/>
      <c r="Y1007" s="212"/>
      <c r="Z1007" s="212"/>
      <c r="AA1007" s="212"/>
      <c r="AB1007" s="212"/>
      <c r="AC1007" s="212"/>
      <c r="AD1007" s="212"/>
      <c r="AE1007" s="450"/>
      <c r="AF1007" s="212"/>
      <c r="AG1007" s="212"/>
      <c r="AH1007" s="212"/>
      <c r="AI1007" s="212"/>
      <c r="AJ1007" s="212"/>
      <c r="AK1007" s="212"/>
      <c r="AL1007" s="212"/>
      <c r="AM1007" s="212"/>
      <c r="AN1007" s="212"/>
      <c r="AO1007" s="212"/>
      <c r="AP1007" s="212"/>
      <c r="AQ1007" s="212"/>
      <c r="AR1007" s="212"/>
      <c r="AS1007" s="212"/>
      <c r="AT1007" s="212"/>
      <c r="AU1007" s="212"/>
      <c r="AV1007" s="212"/>
      <c r="AW1007" s="212"/>
      <c r="AX1007" s="212"/>
      <c r="AY1007" s="212"/>
      <c r="AZ1007" s="452"/>
      <c r="BA1007" s="212"/>
      <c r="BB1007" s="212"/>
      <c r="BC1007" s="212"/>
      <c r="BD1007" s="212"/>
      <c r="BE1007" s="212"/>
      <c r="BF1007" s="452"/>
    </row>
    <row r="1008">
      <c r="A1008" s="212"/>
      <c r="B1008" s="447"/>
      <c r="C1008" s="212"/>
      <c r="D1008" s="212"/>
      <c r="E1008" s="212"/>
      <c r="F1008" s="212"/>
      <c r="G1008" s="212"/>
      <c r="H1008" s="212"/>
      <c r="I1008" s="212"/>
      <c r="J1008" s="212"/>
      <c r="K1008" s="212"/>
      <c r="L1008" s="212"/>
      <c r="M1008" s="212"/>
      <c r="N1008" s="212"/>
      <c r="O1008" s="212"/>
      <c r="P1008" s="212"/>
      <c r="Q1008" s="212"/>
      <c r="R1008" s="451"/>
      <c r="S1008" s="451"/>
      <c r="T1008" s="212"/>
      <c r="U1008" s="451"/>
      <c r="V1008" s="451"/>
      <c r="W1008" s="451"/>
      <c r="X1008" s="451"/>
      <c r="Y1008" s="212"/>
      <c r="Z1008" s="212"/>
      <c r="AA1008" s="212"/>
      <c r="AB1008" s="212"/>
      <c r="AC1008" s="212"/>
      <c r="AD1008" s="212"/>
      <c r="AE1008" s="450"/>
      <c r="AF1008" s="212"/>
      <c r="AG1008" s="212"/>
      <c r="AH1008" s="212"/>
      <c r="AI1008" s="212"/>
      <c r="AJ1008" s="212"/>
      <c r="AK1008" s="212"/>
      <c r="AL1008" s="212"/>
      <c r="AM1008" s="212"/>
      <c r="AN1008" s="212"/>
      <c r="AO1008" s="212"/>
      <c r="AP1008" s="212"/>
      <c r="AQ1008" s="212"/>
      <c r="AR1008" s="212"/>
      <c r="AS1008" s="212"/>
      <c r="AT1008" s="212"/>
      <c r="AU1008" s="212"/>
      <c r="AV1008" s="212"/>
      <c r="AW1008" s="212"/>
      <c r="AX1008" s="212"/>
      <c r="AY1008" s="212"/>
      <c r="AZ1008" s="452"/>
      <c r="BA1008" s="212"/>
      <c r="BB1008" s="212"/>
      <c r="BC1008" s="212"/>
      <c r="BD1008" s="212"/>
      <c r="BE1008" s="212"/>
      <c r="BF1008" s="452"/>
    </row>
    <row r="1009">
      <c r="A1009" s="212"/>
      <c r="B1009" s="447"/>
      <c r="C1009" s="212"/>
      <c r="D1009" s="212"/>
      <c r="E1009" s="212"/>
      <c r="F1009" s="212"/>
      <c r="G1009" s="212"/>
      <c r="H1009" s="212"/>
      <c r="I1009" s="212"/>
      <c r="J1009" s="212"/>
      <c r="K1009" s="212"/>
      <c r="L1009" s="212"/>
      <c r="M1009" s="212"/>
      <c r="N1009" s="212"/>
      <c r="O1009" s="212"/>
      <c r="P1009" s="212"/>
      <c r="Q1009" s="212"/>
      <c r="R1009" s="451"/>
      <c r="S1009" s="451"/>
      <c r="T1009" s="212"/>
      <c r="U1009" s="451"/>
      <c r="V1009" s="451"/>
      <c r="W1009" s="451"/>
      <c r="X1009" s="451"/>
      <c r="Y1009" s="212"/>
      <c r="Z1009" s="212"/>
      <c r="AA1009" s="212"/>
      <c r="AB1009" s="212"/>
      <c r="AC1009" s="212"/>
      <c r="AD1009" s="212"/>
      <c r="AE1009" s="450"/>
      <c r="AF1009" s="212"/>
      <c r="AG1009" s="212"/>
      <c r="AH1009" s="212"/>
      <c r="AI1009" s="212"/>
      <c r="AJ1009" s="212"/>
      <c r="AK1009" s="212"/>
      <c r="AL1009" s="212"/>
      <c r="AM1009" s="212"/>
      <c r="AN1009" s="212"/>
      <c r="AO1009" s="212"/>
      <c r="AP1009" s="212"/>
      <c r="AQ1009" s="212"/>
      <c r="AR1009" s="212"/>
      <c r="AS1009" s="212"/>
      <c r="AT1009" s="212"/>
      <c r="AU1009" s="212"/>
      <c r="AV1009" s="212"/>
      <c r="AW1009" s="212"/>
      <c r="AX1009" s="212"/>
      <c r="AY1009" s="212"/>
      <c r="AZ1009" s="452"/>
      <c r="BA1009" s="212"/>
      <c r="BB1009" s="212"/>
      <c r="BC1009" s="212"/>
      <c r="BD1009" s="212"/>
      <c r="BE1009" s="212"/>
      <c r="BF1009" s="452"/>
    </row>
    <row r="1010">
      <c r="A1010" s="212"/>
      <c r="B1010" s="447"/>
      <c r="C1010" s="212"/>
      <c r="D1010" s="212"/>
      <c r="E1010" s="212"/>
      <c r="F1010" s="212"/>
      <c r="G1010" s="212"/>
      <c r="H1010" s="212"/>
      <c r="I1010" s="212"/>
      <c r="J1010" s="212"/>
      <c r="K1010" s="212"/>
      <c r="L1010" s="212"/>
      <c r="M1010" s="212"/>
      <c r="N1010" s="212"/>
      <c r="O1010" s="212"/>
      <c r="P1010" s="212"/>
      <c r="Q1010" s="212"/>
      <c r="R1010" s="451"/>
      <c r="S1010" s="451"/>
      <c r="T1010" s="212"/>
      <c r="U1010" s="451"/>
      <c r="V1010" s="451"/>
      <c r="W1010" s="451"/>
      <c r="X1010" s="451"/>
      <c r="Y1010" s="212"/>
      <c r="Z1010" s="212"/>
      <c r="AA1010" s="212"/>
      <c r="AB1010" s="212"/>
      <c r="AC1010" s="212"/>
      <c r="AD1010" s="212"/>
      <c r="AE1010" s="450"/>
      <c r="AF1010" s="212"/>
      <c r="AG1010" s="212"/>
      <c r="AH1010" s="212"/>
      <c r="AI1010" s="212"/>
      <c r="AJ1010" s="212"/>
      <c r="AK1010" s="212"/>
      <c r="AL1010" s="212"/>
      <c r="AM1010" s="212"/>
      <c r="AN1010" s="212"/>
      <c r="AO1010" s="212"/>
      <c r="AP1010" s="212"/>
      <c r="AQ1010" s="212"/>
      <c r="AR1010" s="212"/>
      <c r="AS1010" s="212"/>
      <c r="AT1010" s="212"/>
      <c r="AU1010" s="212"/>
      <c r="AV1010" s="212"/>
      <c r="AW1010" s="212"/>
      <c r="AX1010" s="212"/>
      <c r="AY1010" s="212"/>
      <c r="AZ1010" s="452"/>
      <c r="BA1010" s="212"/>
      <c r="BB1010" s="212"/>
      <c r="BC1010" s="212"/>
      <c r="BD1010" s="212"/>
      <c r="BE1010" s="212"/>
      <c r="BF1010" s="452"/>
    </row>
    <row r="1011">
      <c r="A1011" s="212"/>
      <c r="B1011" s="447"/>
      <c r="C1011" s="212"/>
      <c r="D1011" s="212"/>
      <c r="E1011" s="212"/>
      <c r="F1011" s="212"/>
      <c r="G1011" s="212"/>
      <c r="H1011" s="212"/>
      <c r="I1011" s="212"/>
      <c r="J1011" s="212"/>
      <c r="K1011" s="212"/>
      <c r="L1011" s="212"/>
      <c r="M1011" s="212"/>
      <c r="N1011" s="212"/>
      <c r="O1011" s="212"/>
      <c r="P1011" s="212"/>
      <c r="Q1011" s="212"/>
      <c r="R1011" s="451"/>
      <c r="S1011" s="451"/>
      <c r="T1011" s="212"/>
      <c r="U1011" s="451"/>
      <c r="V1011" s="451"/>
      <c r="W1011" s="451"/>
      <c r="X1011" s="451"/>
      <c r="Y1011" s="212"/>
      <c r="Z1011" s="212"/>
      <c r="AA1011" s="212"/>
      <c r="AB1011" s="212"/>
      <c r="AC1011" s="212"/>
      <c r="AD1011" s="212"/>
      <c r="AE1011" s="450"/>
      <c r="AF1011" s="212"/>
      <c r="AG1011" s="212"/>
      <c r="AH1011" s="212"/>
      <c r="AI1011" s="212"/>
      <c r="AJ1011" s="212"/>
      <c r="AK1011" s="212"/>
      <c r="AL1011" s="212"/>
      <c r="AM1011" s="212"/>
      <c r="AN1011" s="212"/>
      <c r="AO1011" s="212"/>
      <c r="AP1011" s="212"/>
      <c r="AQ1011" s="212"/>
      <c r="AR1011" s="212"/>
      <c r="AS1011" s="212"/>
      <c r="AT1011" s="212"/>
      <c r="AU1011" s="212"/>
      <c r="AV1011" s="212"/>
      <c r="AW1011" s="212"/>
      <c r="AX1011" s="212"/>
      <c r="AY1011" s="212"/>
      <c r="AZ1011" s="452"/>
      <c r="BA1011" s="212"/>
      <c r="BB1011" s="212"/>
      <c r="BC1011" s="212"/>
      <c r="BD1011" s="212"/>
      <c r="BE1011" s="212"/>
      <c r="BF1011" s="452"/>
    </row>
    <row r="1012">
      <c r="A1012" s="212"/>
      <c r="B1012" s="447"/>
      <c r="C1012" s="212"/>
      <c r="D1012" s="212"/>
      <c r="E1012" s="212"/>
      <c r="F1012" s="212"/>
      <c r="G1012" s="212"/>
      <c r="H1012" s="212"/>
      <c r="I1012" s="212"/>
      <c r="J1012" s="212"/>
      <c r="K1012" s="212"/>
      <c r="L1012" s="212"/>
      <c r="M1012" s="212"/>
      <c r="N1012" s="212"/>
      <c r="O1012" s="212"/>
      <c r="P1012" s="212"/>
      <c r="Q1012" s="212"/>
      <c r="R1012" s="451"/>
      <c r="S1012" s="451"/>
      <c r="T1012" s="212"/>
      <c r="U1012" s="451"/>
      <c r="V1012" s="451"/>
      <c r="W1012" s="451"/>
      <c r="X1012" s="451"/>
      <c r="Y1012" s="212"/>
      <c r="Z1012" s="212"/>
      <c r="AA1012" s="212"/>
      <c r="AB1012" s="212"/>
      <c r="AC1012" s="212"/>
      <c r="AD1012" s="212"/>
      <c r="AE1012" s="450"/>
      <c r="AF1012" s="212"/>
      <c r="AG1012" s="212"/>
      <c r="AH1012" s="212"/>
      <c r="AI1012" s="212"/>
      <c r="AJ1012" s="212"/>
      <c r="AK1012" s="212"/>
      <c r="AL1012" s="212"/>
      <c r="AM1012" s="212"/>
      <c r="AN1012" s="212"/>
      <c r="AO1012" s="212"/>
      <c r="AP1012" s="212"/>
      <c r="AQ1012" s="212"/>
      <c r="AR1012" s="212"/>
      <c r="AS1012" s="212"/>
      <c r="AT1012" s="212"/>
      <c r="AU1012" s="212"/>
      <c r="AV1012" s="212"/>
      <c r="AW1012" s="212"/>
      <c r="AX1012" s="212"/>
      <c r="AY1012" s="212"/>
      <c r="AZ1012" s="452"/>
      <c r="BA1012" s="212"/>
      <c r="BB1012" s="212"/>
      <c r="BC1012" s="212"/>
      <c r="BD1012" s="212"/>
      <c r="BE1012" s="212"/>
      <c r="BF1012" s="452"/>
    </row>
    <row r="1013">
      <c r="A1013" s="212"/>
      <c r="B1013" s="447"/>
      <c r="C1013" s="212"/>
      <c r="D1013" s="212"/>
      <c r="E1013" s="212"/>
      <c r="F1013" s="212"/>
      <c r="G1013" s="212"/>
      <c r="H1013" s="212"/>
      <c r="I1013" s="212"/>
      <c r="J1013" s="212"/>
      <c r="K1013" s="212"/>
      <c r="L1013" s="212"/>
      <c r="M1013" s="212"/>
      <c r="N1013" s="212"/>
      <c r="O1013" s="212"/>
      <c r="P1013" s="212"/>
      <c r="Q1013" s="212"/>
      <c r="R1013" s="451"/>
      <c r="S1013" s="451"/>
      <c r="T1013" s="212"/>
      <c r="U1013" s="451"/>
      <c r="V1013" s="451"/>
      <c r="W1013" s="451"/>
      <c r="X1013" s="451"/>
      <c r="Y1013" s="212"/>
      <c r="Z1013" s="212"/>
      <c r="AA1013" s="212"/>
      <c r="AB1013" s="212"/>
      <c r="AC1013" s="212"/>
      <c r="AD1013" s="212"/>
      <c r="AE1013" s="450"/>
      <c r="AF1013" s="212"/>
      <c r="AG1013" s="212"/>
      <c r="AH1013" s="212"/>
      <c r="AI1013" s="212"/>
      <c r="AJ1013" s="212"/>
      <c r="AK1013" s="212"/>
      <c r="AL1013" s="212"/>
      <c r="AM1013" s="212"/>
      <c r="AN1013" s="212"/>
      <c r="AO1013" s="212"/>
      <c r="AP1013" s="212"/>
      <c r="AQ1013" s="212"/>
      <c r="AR1013" s="212"/>
      <c r="AS1013" s="212"/>
      <c r="AT1013" s="212"/>
      <c r="AU1013" s="212"/>
      <c r="AV1013" s="212"/>
      <c r="AW1013" s="212"/>
      <c r="AX1013" s="212"/>
      <c r="AY1013" s="212"/>
      <c r="AZ1013" s="452"/>
      <c r="BA1013" s="212"/>
      <c r="BB1013" s="212"/>
      <c r="BC1013" s="212"/>
      <c r="BD1013" s="212"/>
      <c r="BE1013" s="212"/>
      <c r="BF1013" s="452"/>
    </row>
    <row r="1014">
      <c r="A1014" s="212"/>
      <c r="B1014" s="447"/>
      <c r="C1014" s="212"/>
      <c r="D1014" s="212"/>
      <c r="E1014" s="212"/>
      <c r="F1014" s="212"/>
      <c r="G1014" s="212"/>
      <c r="H1014" s="212"/>
      <c r="I1014" s="212"/>
      <c r="J1014" s="212"/>
      <c r="K1014" s="212"/>
      <c r="L1014" s="212"/>
      <c r="M1014" s="212"/>
      <c r="N1014" s="212"/>
      <c r="O1014" s="212"/>
      <c r="P1014" s="212"/>
      <c r="Q1014" s="212"/>
      <c r="R1014" s="451"/>
      <c r="S1014" s="451"/>
      <c r="T1014" s="212"/>
      <c r="U1014" s="451"/>
      <c r="V1014" s="451"/>
      <c r="W1014" s="451"/>
      <c r="X1014" s="451"/>
      <c r="Y1014" s="212"/>
      <c r="Z1014" s="212"/>
      <c r="AA1014" s="212"/>
      <c r="AB1014" s="212"/>
      <c r="AC1014" s="212"/>
      <c r="AD1014" s="212"/>
      <c r="AE1014" s="450"/>
      <c r="AF1014" s="212"/>
      <c r="AG1014" s="212"/>
      <c r="AH1014" s="212"/>
      <c r="AI1014" s="212"/>
      <c r="AJ1014" s="212"/>
      <c r="AK1014" s="212"/>
      <c r="AL1014" s="212"/>
      <c r="AM1014" s="212"/>
      <c r="AN1014" s="212"/>
      <c r="AO1014" s="212"/>
      <c r="AP1014" s="212"/>
      <c r="AQ1014" s="212"/>
      <c r="AR1014" s="212"/>
      <c r="AS1014" s="212"/>
      <c r="AT1014" s="212"/>
      <c r="AU1014" s="212"/>
      <c r="AV1014" s="212"/>
      <c r="AW1014" s="212"/>
      <c r="AX1014" s="212"/>
      <c r="AY1014" s="212"/>
      <c r="AZ1014" s="452"/>
      <c r="BA1014" s="212"/>
      <c r="BB1014" s="212"/>
      <c r="BC1014" s="212"/>
      <c r="BD1014" s="212"/>
      <c r="BE1014" s="212"/>
      <c r="BF1014" s="452"/>
    </row>
    <row r="1015">
      <c r="A1015" s="212"/>
      <c r="B1015" s="447"/>
      <c r="C1015" s="212"/>
      <c r="D1015" s="212"/>
      <c r="E1015" s="212"/>
      <c r="F1015" s="212"/>
      <c r="G1015" s="212"/>
      <c r="H1015" s="212"/>
      <c r="I1015" s="212"/>
      <c r="J1015" s="212"/>
      <c r="K1015" s="212"/>
      <c r="L1015" s="212"/>
      <c r="M1015" s="212"/>
      <c r="N1015" s="212"/>
      <c r="O1015" s="212"/>
      <c r="P1015" s="212"/>
      <c r="Q1015" s="212"/>
      <c r="R1015" s="451"/>
      <c r="S1015" s="451"/>
      <c r="T1015" s="212"/>
      <c r="U1015" s="451"/>
      <c r="V1015" s="451"/>
      <c r="W1015" s="451"/>
      <c r="X1015" s="451"/>
      <c r="Y1015" s="212"/>
      <c r="Z1015" s="212"/>
      <c r="AA1015" s="212"/>
      <c r="AB1015" s="212"/>
      <c r="AC1015" s="212"/>
      <c r="AD1015" s="212"/>
      <c r="AE1015" s="450"/>
      <c r="AF1015" s="212"/>
      <c r="AG1015" s="212"/>
      <c r="AH1015" s="212"/>
      <c r="AI1015" s="212"/>
      <c r="AJ1015" s="212"/>
      <c r="AK1015" s="212"/>
      <c r="AL1015" s="212"/>
      <c r="AM1015" s="212"/>
      <c r="AN1015" s="212"/>
      <c r="AO1015" s="212"/>
      <c r="AP1015" s="212"/>
      <c r="AQ1015" s="212"/>
      <c r="AR1015" s="212"/>
      <c r="AS1015" s="212"/>
      <c r="AT1015" s="212"/>
      <c r="AU1015" s="212"/>
      <c r="AV1015" s="212"/>
      <c r="AW1015" s="212"/>
      <c r="AX1015" s="212"/>
      <c r="AY1015" s="212"/>
      <c r="AZ1015" s="452"/>
      <c r="BA1015" s="212"/>
      <c r="BB1015" s="212"/>
      <c r="BC1015" s="212"/>
      <c r="BD1015" s="212"/>
      <c r="BE1015" s="212"/>
      <c r="BF1015" s="452"/>
    </row>
    <row r="1016">
      <c r="A1016" s="212"/>
      <c r="B1016" s="447"/>
      <c r="C1016" s="212"/>
      <c r="D1016" s="212"/>
      <c r="E1016" s="212"/>
      <c r="F1016" s="212"/>
      <c r="G1016" s="212"/>
      <c r="H1016" s="212"/>
      <c r="I1016" s="212"/>
      <c r="J1016" s="212"/>
      <c r="K1016" s="212"/>
      <c r="L1016" s="212"/>
      <c r="M1016" s="212"/>
      <c r="N1016" s="212"/>
      <c r="O1016" s="212"/>
      <c r="P1016" s="212"/>
      <c r="Q1016" s="212"/>
      <c r="R1016" s="451"/>
      <c r="S1016" s="451"/>
      <c r="T1016" s="212"/>
      <c r="U1016" s="451"/>
      <c r="V1016" s="451"/>
      <c r="W1016" s="451"/>
      <c r="X1016" s="451"/>
      <c r="Y1016" s="212"/>
      <c r="Z1016" s="212"/>
      <c r="AA1016" s="212"/>
      <c r="AB1016" s="212"/>
      <c r="AC1016" s="212"/>
      <c r="AD1016" s="212"/>
      <c r="AE1016" s="450"/>
      <c r="AF1016" s="212"/>
      <c r="AG1016" s="212"/>
      <c r="AH1016" s="212"/>
      <c r="AI1016" s="212"/>
      <c r="AJ1016" s="212"/>
      <c r="AK1016" s="212"/>
      <c r="AL1016" s="212"/>
      <c r="AM1016" s="212"/>
      <c r="AN1016" s="212"/>
      <c r="AO1016" s="212"/>
      <c r="AP1016" s="212"/>
      <c r="AQ1016" s="212"/>
      <c r="AR1016" s="212"/>
      <c r="AS1016" s="212"/>
      <c r="AT1016" s="212"/>
      <c r="AU1016" s="212"/>
      <c r="AV1016" s="212"/>
      <c r="AW1016" s="212"/>
      <c r="AX1016" s="212"/>
      <c r="AY1016" s="212"/>
      <c r="AZ1016" s="452"/>
      <c r="BA1016" s="212"/>
      <c r="BB1016" s="212"/>
      <c r="BC1016" s="212"/>
      <c r="BD1016" s="212"/>
      <c r="BE1016" s="212"/>
      <c r="BF1016" s="452"/>
    </row>
    <row r="1017">
      <c r="A1017" s="212"/>
      <c r="B1017" s="447"/>
      <c r="C1017" s="212"/>
      <c r="D1017" s="212"/>
      <c r="E1017" s="212"/>
      <c r="F1017" s="212"/>
      <c r="G1017" s="212"/>
      <c r="H1017" s="212"/>
      <c r="I1017" s="212"/>
      <c r="J1017" s="212"/>
      <c r="K1017" s="212"/>
      <c r="L1017" s="212"/>
      <c r="M1017" s="212"/>
      <c r="N1017" s="212"/>
      <c r="O1017" s="212"/>
      <c r="P1017" s="212"/>
      <c r="Q1017" s="212"/>
      <c r="R1017" s="451"/>
      <c r="S1017" s="451"/>
      <c r="T1017" s="212"/>
      <c r="U1017" s="451"/>
      <c r="V1017" s="451"/>
      <c r="W1017" s="451"/>
      <c r="X1017" s="451"/>
      <c r="Y1017" s="212"/>
      <c r="Z1017" s="212"/>
      <c r="AA1017" s="212"/>
      <c r="AB1017" s="212"/>
      <c r="AC1017" s="212"/>
      <c r="AD1017" s="212"/>
      <c r="AE1017" s="450"/>
      <c r="AF1017" s="212"/>
      <c r="AG1017" s="212"/>
      <c r="AH1017" s="212"/>
      <c r="AI1017" s="212"/>
      <c r="AJ1017" s="212"/>
      <c r="AK1017" s="212"/>
      <c r="AL1017" s="212"/>
      <c r="AM1017" s="212"/>
      <c r="AN1017" s="212"/>
      <c r="AO1017" s="212"/>
      <c r="AP1017" s="212"/>
      <c r="AQ1017" s="212"/>
      <c r="AR1017" s="212"/>
      <c r="AS1017" s="212"/>
      <c r="AT1017" s="212"/>
      <c r="AU1017" s="212"/>
      <c r="AV1017" s="212"/>
      <c r="AW1017" s="212"/>
      <c r="AX1017" s="212"/>
      <c r="AY1017" s="212"/>
      <c r="AZ1017" s="452"/>
      <c r="BA1017" s="212"/>
      <c r="BB1017" s="212"/>
      <c r="BC1017" s="212"/>
      <c r="BD1017" s="212"/>
      <c r="BE1017" s="212"/>
      <c r="BF1017" s="452"/>
    </row>
    <row r="1018">
      <c r="A1018" s="212"/>
      <c r="B1018" s="447"/>
      <c r="C1018" s="212"/>
      <c r="D1018" s="212"/>
      <c r="E1018" s="212"/>
      <c r="F1018" s="212"/>
      <c r="G1018" s="212"/>
      <c r="H1018" s="212"/>
      <c r="I1018" s="212"/>
      <c r="J1018" s="212"/>
      <c r="K1018" s="212"/>
      <c r="L1018" s="212"/>
      <c r="M1018" s="212"/>
      <c r="N1018" s="212"/>
      <c r="O1018" s="212"/>
      <c r="P1018" s="212"/>
      <c r="Q1018" s="212"/>
      <c r="R1018" s="451"/>
      <c r="S1018" s="451"/>
      <c r="T1018" s="212"/>
      <c r="U1018" s="451"/>
      <c r="V1018" s="451"/>
      <c r="W1018" s="451"/>
      <c r="X1018" s="451"/>
      <c r="Y1018" s="212"/>
      <c r="Z1018" s="212"/>
      <c r="AA1018" s="212"/>
      <c r="AB1018" s="212"/>
      <c r="AC1018" s="212"/>
      <c r="AD1018" s="212"/>
      <c r="AE1018" s="450"/>
      <c r="AF1018" s="212"/>
      <c r="AG1018" s="212"/>
      <c r="AH1018" s="212"/>
      <c r="AI1018" s="212"/>
      <c r="AJ1018" s="212"/>
      <c r="AK1018" s="212"/>
      <c r="AL1018" s="212"/>
      <c r="AM1018" s="212"/>
      <c r="AN1018" s="212"/>
      <c r="AO1018" s="212"/>
      <c r="AP1018" s="212"/>
      <c r="AQ1018" s="212"/>
      <c r="AR1018" s="212"/>
      <c r="AS1018" s="212"/>
      <c r="AT1018" s="212"/>
      <c r="AU1018" s="212"/>
      <c r="AV1018" s="212"/>
      <c r="AW1018" s="212"/>
      <c r="AX1018" s="212"/>
      <c r="AY1018" s="212"/>
      <c r="AZ1018" s="452"/>
      <c r="BA1018" s="212"/>
      <c r="BB1018" s="212"/>
      <c r="BC1018" s="212"/>
      <c r="BD1018" s="212"/>
      <c r="BE1018" s="212"/>
      <c r="BF1018" s="452"/>
    </row>
    <row r="1019">
      <c r="A1019" s="212"/>
      <c r="B1019" s="447"/>
      <c r="C1019" s="212"/>
      <c r="D1019" s="212"/>
      <c r="E1019" s="212"/>
      <c r="F1019" s="212"/>
      <c r="G1019" s="212"/>
      <c r="H1019" s="212"/>
      <c r="I1019" s="212"/>
      <c r="J1019" s="212"/>
      <c r="K1019" s="212"/>
      <c r="L1019" s="212"/>
      <c r="M1019" s="212"/>
      <c r="N1019" s="212"/>
      <c r="O1019" s="212"/>
      <c r="P1019" s="212"/>
      <c r="Q1019" s="212"/>
      <c r="R1019" s="451"/>
      <c r="S1019" s="451"/>
      <c r="T1019" s="212"/>
      <c r="U1019" s="451"/>
      <c r="V1019" s="451"/>
      <c r="W1019" s="451"/>
      <c r="X1019" s="451"/>
      <c r="Y1019" s="212"/>
      <c r="Z1019" s="212"/>
      <c r="AA1019" s="212"/>
      <c r="AB1019" s="212"/>
      <c r="AC1019" s="212"/>
      <c r="AD1019" s="212"/>
      <c r="AE1019" s="450"/>
      <c r="AF1019" s="212"/>
      <c r="AG1019" s="212"/>
      <c r="AH1019" s="212"/>
      <c r="AI1019" s="212"/>
      <c r="AJ1019" s="212"/>
      <c r="AK1019" s="212"/>
      <c r="AL1019" s="212"/>
      <c r="AM1019" s="212"/>
      <c r="AN1019" s="212"/>
      <c r="AO1019" s="212"/>
      <c r="AP1019" s="212"/>
      <c r="AQ1019" s="212"/>
      <c r="AR1019" s="212"/>
      <c r="AS1019" s="212"/>
      <c r="AT1019" s="212"/>
      <c r="AU1019" s="212"/>
      <c r="AV1019" s="212"/>
      <c r="AW1019" s="212"/>
      <c r="AX1019" s="212"/>
      <c r="AY1019" s="212"/>
      <c r="AZ1019" s="452"/>
      <c r="BA1019" s="212"/>
      <c r="BB1019" s="212"/>
      <c r="BC1019" s="212"/>
      <c r="BD1019" s="212"/>
      <c r="BE1019" s="212"/>
      <c r="BF1019" s="452"/>
    </row>
    <row r="1020">
      <c r="A1020" s="212"/>
      <c r="B1020" s="447"/>
      <c r="C1020" s="212"/>
      <c r="D1020" s="212"/>
      <c r="E1020" s="212"/>
      <c r="F1020" s="212"/>
      <c r="G1020" s="212"/>
      <c r="H1020" s="212"/>
      <c r="I1020" s="212"/>
      <c r="J1020" s="212"/>
      <c r="K1020" s="212"/>
      <c r="L1020" s="212"/>
      <c r="M1020" s="212"/>
      <c r="N1020" s="212"/>
      <c r="O1020" s="212"/>
      <c r="P1020" s="212"/>
      <c r="Q1020" s="212"/>
      <c r="R1020" s="451"/>
      <c r="S1020" s="451"/>
      <c r="T1020" s="212"/>
      <c r="U1020" s="451"/>
      <c r="V1020" s="451"/>
      <c r="W1020" s="451"/>
      <c r="X1020" s="451"/>
      <c r="Y1020" s="212"/>
      <c r="Z1020" s="212"/>
      <c r="AA1020" s="212"/>
      <c r="AB1020" s="212"/>
      <c r="AC1020" s="212"/>
      <c r="AD1020" s="212"/>
      <c r="AE1020" s="450"/>
      <c r="AF1020" s="212"/>
      <c r="AG1020" s="212"/>
      <c r="AH1020" s="212"/>
      <c r="AI1020" s="212"/>
      <c r="AJ1020" s="212"/>
      <c r="AK1020" s="212"/>
      <c r="AL1020" s="212"/>
      <c r="AM1020" s="212"/>
      <c r="AN1020" s="212"/>
      <c r="AO1020" s="212"/>
      <c r="AP1020" s="212"/>
      <c r="AQ1020" s="212"/>
      <c r="AR1020" s="212"/>
      <c r="AS1020" s="212"/>
      <c r="AT1020" s="212"/>
      <c r="AU1020" s="212"/>
      <c r="AV1020" s="212"/>
      <c r="AW1020" s="212"/>
      <c r="AX1020" s="212"/>
      <c r="AY1020" s="212"/>
      <c r="AZ1020" s="452"/>
      <c r="BA1020" s="212"/>
      <c r="BB1020" s="212"/>
      <c r="BC1020" s="212"/>
      <c r="BD1020" s="212"/>
      <c r="BE1020" s="212"/>
      <c r="BF1020" s="452"/>
    </row>
    <row r="1021">
      <c r="A1021" s="212"/>
      <c r="B1021" s="447"/>
      <c r="C1021" s="212"/>
      <c r="D1021" s="212"/>
      <c r="E1021" s="212"/>
      <c r="F1021" s="212"/>
      <c r="G1021" s="212"/>
      <c r="H1021" s="212"/>
      <c r="I1021" s="212"/>
      <c r="J1021" s="212"/>
      <c r="K1021" s="212"/>
      <c r="L1021" s="212"/>
      <c r="M1021" s="212"/>
      <c r="N1021" s="212"/>
      <c r="O1021" s="212"/>
      <c r="P1021" s="212"/>
      <c r="Q1021" s="212"/>
      <c r="R1021" s="451"/>
      <c r="S1021" s="451"/>
      <c r="T1021" s="212"/>
      <c r="U1021" s="451"/>
      <c r="V1021" s="451"/>
      <c r="W1021" s="451"/>
      <c r="X1021" s="451"/>
      <c r="Y1021" s="212"/>
      <c r="Z1021" s="212"/>
      <c r="AA1021" s="212"/>
      <c r="AB1021" s="212"/>
      <c r="AC1021" s="212"/>
      <c r="AD1021" s="212"/>
      <c r="AE1021" s="450"/>
      <c r="AF1021" s="212"/>
      <c r="AG1021" s="212"/>
      <c r="AH1021" s="212"/>
      <c r="AI1021" s="212"/>
      <c r="AJ1021" s="212"/>
      <c r="AK1021" s="212"/>
      <c r="AL1021" s="212"/>
      <c r="AM1021" s="212"/>
      <c r="AN1021" s="212"/>
      <c r="AO1021" s="212"/>
      <c r="AP1021" s="212"/>
      <c r="AQ1021" s="212"/>
      <c r="AR1021" s="212"/>
      <c r="AS1021" s="212"/>
      <c r="AT1021" s="212"/>
      <c r="AU1021" s="212"/>
      <c r="AV1021" s="212"/>
      <c r="AW1021" s="212"/>
      <c r="AX1021" s="212"/>
      <c r="AY1021" s="212"/>
      <c r="AZ1021" s="452"/>
      <c r="BA1021" s="212"/>
      <c r="BB1021" s="212"/>
      <c r="BC1021" s="212"/>
      <c r="BD1021" s="212"/>
      <c r="BE1021" s="212"/>
      <c r="BF1021" s="452"/>
    </row>
    <row r="1022">
      <c r="A1022" s="458"/>
      <c r="B1022" s="459"/>
      <c r="C1022" s="460"/>
      <c r="D1022" s="458"/>
      <c r="E1022" s="458"/>
      <c r="F1022" s="458"/>
      <c r="G1022" s="458"/>
      <c r="H1022" s="460"/>
      <c r="I1022" s="460"/>
      <c r="J1022" s="460"/>
      <c r="K1022" s="460"/>
      <c r="L1022" s="460"/>
      <c r="M1022" s="458"/>
      <c r="N1022" s="458"/>
      <c r="O1022" s="458"/>
      <c r="P1022" s="458"/>
      <c r="Q1022" s="458"/>
      <c r="R1022" s="461"/>
      <c r="S1022" s="461"/>
      <c r="T1022" s="458"/>
      <c r="U1022" s="461"/>
      <c r="V1022" s="461"/>
      <c r="W1022" s="461"/>
      <c r="X1022" s="461"/>
      <c r="Y1022" s="458"/>
      <c r="Z1022" s="458"/>
      <c r="AA1022" s="458"/>
      <c r="AB1022" s="458"/>
      <c r="AC1022" s="458"/>
      <c r="AD1022" s="458"/>
      <c r="AE1022" s="462"/>
      <c r="AF1022" s="458"/>
      <c r="AG1022" s="458"/>
      <c r="AH1022" s="458"/>
      <c r="AI1022" s="458"/>
      <c r="AJ1022" s="458"/>
      <c r="AK1022" s="458"/>
      <c r="AL1022" s="458"/>
      <c r="AM1022" s="458"/>
      <c r="AN1022" s="458"/>
      <c r="AO1022" s="458"/>
      <c r="AP1022" s="458"/>
      <c r="AQ1022" s="458"/>
      <c r="AR1022" s="458"/>
      <c r="AS1022" s="458"/>
      <c r="AT1022" s="458"/>
      <c r="AU1022" s="458"/>
      <c r="AV1022" s="458"/>
      <c r="AW1022" s="458"/>
      <c r="AX1022" s="458"/>
      <c r="AY1022" s="458"/>
      <c r="AZ1022" s="458"/>
      <c r="BA1022" s="458"/>
      <c r="BB1022" s="458"/>
      <c r="BC1022" s="458"/>
      <c r="BD1022" s="458"/>
      <c r="BE1022" s="458"/>
      <c r="BF1022" s="458"/>
    </row>
    <row r="1023">
      <c r="A1023" s="458"/>
      <c r="B1023" s="459"/>
      <c r="C1023" s="460"/>
      <c r="D1023" s="458"/>
      <c r="E1023" s="458"/>
      <c r="F1023" s="458"/>
      <c r="G1023" s="458"/>
      <c r="H1023" s="460"/>
      <c r="I1023" s="460"/>
      <c r="J1023" s="460"/>
      <c r="K1023" s="460"/>
      <c r="L1023" s="460"/>
      <c r="M1023" s="458"/>
      <c r="N1023" s="458"/>
      <c r="O1023" s="458"/>
      <c r="P1023" s="458"/>
      <c r="Q1023" s="458"/>
      <c r="R1023" s="461"/>
      <c r="S1023" s="461"/>
      <c r="T1023" s="458"/>
      <c r="U1023" s="461"/>
      <c r="V1023" s="461"/>
      <c r="W1023" s="461"/>
      <c r="X1023" s="461"/>
      <c r="Y1023" s="458"/>
      <c r="Z1023" s="458"/>
      <c r="AA1023" s="458"/>
      <c r="AB1023" s="458"/>
      <c r="AC1023" s="458"/>
      <c r="AD1023" s="458"/>
      <c r="AE1023" s="462"/>
      <c r="AF1023" s="458"/>
      <c r="AG1023" s="458"/>
      <c r="AH1023" s="458"/>
      <c r="AI1023" s="458"/>
      <c r="AJ1023" s="458"/>
      <c r="AK1023" s="458"/>
      <c r="AL1023" s="458"/>
      <c r="AM1023" s="458"/>
      <c r="AN1023" s="458"/>
      <c r="AO1023" s="458"/>
      <c r="AP1023" s="458"/>
      <c r="AQ1023" s="458"/>
      <c r="AR1023" s="458"/>
      <c r="AS1023" s="458"/>
      <c r="AT1023" s="458"/>
      <c r="AU1023" s="458"/>
      <c r="AV1023" s="458"/>
      <c r="AW1023" s="458"/>
      <c r="AX1023" s="458"/>
      <c r="AY1023" s="458"/>
      <c r="AZ1023" s="458"/>
      <c r="BA1023" s="458"/>
      <c r="BB1023" s="458"/>
      <c r="BC1023" s="458"/>
      <c r="BD1023" s="458"/>
      <c r="BE1023" s="458"/>
      <c r="BF1023" s="458"/>
    </row>
    <row r="1024">
      <c r="A1024" s="458"/>
      <c r="B1024" s="459"/>
      <c r="C1024" s="460"/>
      <c r="D1024" s="458"/>
      <c r="E1024" s="458"/>
      <c r="F1024" s="458"/>
      <c r="G1024" s="458"/>
      <c r="H1024" s="460"/>
      <c r="I1024" s="460"/>
      <c r="J1024" s="460"/>
      <c r="K1024" s="460"/>
      <c r="L1024" s="460"/>
      <c r="M1024" s="458"/>
      <c r="N1024" s="458"/>
      <c r="O1024" s="458"/>
      <c r="P1024" s="458"/>
      <c r="Q1024" s="458"/>
      <c r="R1024" s="461"/>
      <c r="S1024" s="461"/>
      <c r="T1024" s="458"/>
      <c r="U1024" s="461"/>
      <c r="V1024" s="461"/>
      <c r="W1024" s="461"/>
      <c r="X1024" s="461"/>
      <c r="Y1024" s="458"/>
      <c r="Z1024" s="458"/>
      <c r="AA1024" s="458"/>
      <c r="AB1024" s="458"/>
      <c r="AC1024" s="458"/>
      <c r="AD1024" s="458"/>
      <c r="AE1024" s="462"/>
      <c r="AF1024" s="458"/>
      <c r="AG1024" s="458"/>
      <c r="AH1024" s="458"/>
      <c r="AI1024" s="458"/>
      <c r="AJ1024" s="458"/>
      <c r="AK1024" s="458"/>
      <c r="AL1024" s="458"/>
      <c r="AM1024" s="458"/>
      <c r="AN1024" s="458"/>
      <c r="AO1024" s="458"/>
      <c r="AP1024" s="458"/>
      <c r="AQ1024" s="458"/>
      <c r="AR1024" s="458"/>
      <c r="AS1024" s="458"/>
      <c r="AT1024" s="458"/>
      <c r="AU1024" s="458"/>
      <c r="AV1024" s="458"/>
      <c r="AW1024" s="458"/>
      <c r="AX1024" s="458"/>
      <c r="AY1024" s="458"/>
      <c r="AZ1024" s="458"/>
      <c r="BA1024" s="458"/>
      <c r="BB1024" s="458"/>
      <c r="BC1024" s="458"/>
      <c r="BD1024" s="458"/>
      <c r="BE1024" s="458"/>
      <c r="BF1024" s="458"/>
    </row>
    <row r="1025">
      <c r="A1025" s="458"/>
      <c r="B1025" s="459"/>
      <c r="C1025" s="460"/>
      <c r="D1025" s="458"/>
      <c r="E1025" s="458"/>
      <c r="F1025" s="458"/>
      <c r="G1025" s="458"/>
      <c r="H1025" s="460"/>
      <c r="I1025" s="460"/>
      <c r="J1025" s="460"/>
      <c r="K1025" s="460"/>
      <c r="L1025" s="460"/>
      <c r="M1025" s="458"/>
      <c r="N1025" s="458"/>
      <c r="O1025" s="458"/>
      <c r="P1025" s="458"/>
      <c r="Q1025" s="458"/>
      <c r="R1025" s="461"/>
      <c r="S1025" s="461"/>
      <c r="T1025" s="458"/>
      <c r="U1025" s="461"/>
      <c r="V1025" s="461"/>
      <c r="W1025" s="461"/>
      <c r="X1025" s="461"/>
      <c r="Y1025" s="458"/>
      <c r="Z1025" s="458"/>
      <c r="AA1025" s="458"/>
      <c r="AB1025" s="458"/>
      <c r="AC1025" s="458"/>
      <c r="AD1025" s="458"/>
      <c r="AE1025" s="462"/>
      <c r="AF1025" s="458"/>
      <c r="AG1025" s="458"/>
      <c r="AH1025" s="458"/>
      <c r="AI1025" s="458"/>
      <c r="AJ1025" s="458"/>
      <c r="AK1025" s="458"/>
      <c r="AL1025" s="458"/>
      <c r="AM1025" s="458"/>
      <c r="AN1025" s="458"/>
      <c r="AO1025" s="458"/>
      <c r="AP1025" s="458"/>
      <c r="AQ1025" s="458"/>
      <c r="AR1025" s="458"/>
      <c r="AS1025" s="458"/>
      <c r="AT1025" s="458"/>
      <c r="AU1025" s="458"/>
      <c r="AV1025" s="458"/>
      <c r="AW1025" s="458"/>
      <c r="AX1025" s="458"/>
      <c r="AY1025" s="458"/>
      <c r="AZ1025" s="458"/>
      <c r="BA1025" s="458"/>
      <c r="BB1025" s="458"/>
      <c r="BC1025" s="458"/>
      <c r="BD1025" s="458"/>
      <c r="BE1025" s="458"/>
      <c r="BF1025" s="458"/>
    </row>
    <row r="1026">
      <c r="A1026" s="458"/>
      <c r="B1026" s="459"/>
      <c r="C1026" s="460"/>
      <c r="D1026" s="458"/>
      <c r="E1026" s="458"/>
      <c r="F1026" s="458"/>
      <c r="G1026" s="458"/>
      <c r="H1026" s="460"/>
      <c r="I1026" s="460"/>
      <c r="J1026" s="460"/>
      <c r="K1026" s="460"/>
      <c r="L1026" s="460"/>
      <c r="M1026" s="458"/>
      <c r="N1026" s="458"/>
      <c r="O1026" s="458"/>
      <c r="P1026" s="458"/>
      <c r="Q1026" s="458"/>
      <c r="R1026" s="461"/>
      <c r="S1026" s="461"/>
      <c r="T1026" s="458"/>
      <c r="U1026" s="461"/>
      <c r="V1026" s="461"/>
      <c r="W1026" s="461"/>
      <c r="X1026" s="461"/>
      <c r="Y1026" s="458"/>
      <c r="Z1026" s="458"/>
      <c r="AA1026" s="458"/>
      <c r="AB1026" s="458"/>
      <c r="AC1026" s="458"/>
      <c r="AD1026" s="458"/>
      <c r="AE1026" s="462"/>
      <c r="AF1026" s="458"/>
      <c r="AG1026" s="458"/>
      <c r="AH1026" s="458"/>
      <c r="AI1026" s="458"/>
      <c r="AJ1026" s="458"/>
      <c r="AK1026" s="458"/>
      <c r="AL1026" s="458"/>
      <c r="AM1026" s="458"/>
      <c r="AN1026" s="458"/>
      <c r="AO1026" s="458"/>
      <c r="AP1026" s="458"/>
      <c r="AQ1026" s="458"/>
      <c r="AR1026" s="458"/>
      <c r="AS1026" s="458"/>
      <c r="AT1026" s="458"/>
      <c r="AU1026" s="458"/>
      <c r="AV1026" s="458"/>
      <c r="AW1026" s="458"/>
      <c r="AX1026" s="458"/>
      <c r="AY1026" s="458"/>
      <c r="AZ1026" s="458"/>
      <c r="BA1026" s="458"/>
      <c r="BB1026" s="458"/>
      <c r="BC1026" s="458"/>
      <c r="BD1026" s="458"/>
      <c r="BE1026" s="458"/>
      <c r="BF1026" s="458"/>
    </row>
    <row r="1027">
      <c r="A1027" s="458"/>
      <c r="B1027" s="459"/>
      <c r="C1027" s="460"/>
      <c r="D1027" s="458"/>
      <c r="E1027" s="458"/>
      <c r="F1027" s="458"/>
      <c r="G1027" s="458"/>
      <c r="H1027" s="460"/>
      <c r="I1027" s="460"/>
      <c r="J1027" s="460"/>
      <c r="K1027" s="460"/>
      <c r="L1027" s="460"/>
      <c r="M1027" s="458"/>
      <c r="N1027" s="458"/>
      <c r="O1027" s="458"/>
      <c r="P1027" s="458"/>
      <c r="Q1027" s="458"/>
      <c r="R1027" s="461"/>
      <c r="S1027" s="461"/>
      <c r="T1027" s="458"/>
      <c r="U1027" s="461"/>
      <c r="V1027" s="461"/>
      <c r="W1027" s="461"/>
      <c r="X1027" s="461"/>
      <c r="Y1027" s="458"/>
      <c r="Z1027" s="458"/>
      <c r="AA1027" s="458"/>
      <c r="AB1027" s="458"/>
      <c r="AC1027" s="458"/>
      <c r="AD1027" s="458"/>
      <c r="AE1027" s="462"/>
      <c r="AF1027" s="458"/>
      <c r="AG1027" s="458"/>
      <c r="AH1027" s="458"/>
      <c r="AI1027" s="458"/>
      <c r="AJ1027" s="458"/>
      <c r="AK1027" s="458"/>
      <c r="AL1027" s="458"/>
      <c r="AM1027" s="458"/>
      <c r="AN1027" s="458"/>
      <c r="AO1027" s="458"/>
      <c r="AP1027" s="458"/>
      <c r="AQ1027" s="458"/>
      <c r="AR1027" s="458"/>
      <c r="AS1027" s="458"/>
      <c r="AT1027" s="458"/>
      <c r="AU1027" s="458"/>
      <c r="AV1027" s="458"/>
      <c r="AW1027" s="458"/>
      <c r="AX1027" s="458"/>
      <c r="AY1027" s="458"/>
      <c r="AZ1027" s="458"/>
      <c r="BA1027" s="458"/>
      <c r="BB1027" s="458"/>
      <c r="BC1027" s="458"/>
      <c r="BD1027" s="458"/>
      <c r="BE1027" s="458"/>
      <c r="BF1027" s="458"/>
    </row>
    <row r="1028">
      <c r="A1028" s="458"/>
      <c r="B1028" s="459"/>
      <c r="C1028" s="460"/>
      <c r="D1028" s="458"/>
      <c r="E1028" s="458"/>
      <c r="F1028" s="458"/>
      <c r="G1028" s="458"/>
      <c r="H1028" s="460"/>
      <c r="I1028" s="460"/>
      <c r="J1028" s="460"/>
      <c r="K1028" s="460"/>
      <c r="L1028" s="460"/>
      <c r="M1028" s="458"/>
      <c r="N1028" s="458"/>
      <c r="O1028" s="458"/>
      <c r="P1028" s="458"/>
      <c r="Q1028" s="458"/>
      <c r="R1028" s="461"/>
      <c r="S1028" s="461"/>
      <c r="T1028" s="458"/>
      <c r="U1028" s="461"/>
      <c r="V1028" s="461"/>
      <c r="W1028" s="461"/>
      <c r="X1028" s="461"/>
      <c r="Y1028" s="458"/>
      <c r="Z1028" s="458"/>
      <c r="AA1028" s="458"/>
      <c r="AB1028" s="458"/>
      <c r="AC1028" s="458"/>
      <c r="AD1028" s="458"/>
      <c r="AE1028" s="462"/>
      <c r="AF1028" s="458"/>
      <c r="AG1028" s="458"/>
      <c r="AH1028" s="458"/>
      <c r="AI1028" s="458"/>
      <c r="AJ1028" s="458"/>
      <c r="AK1028" s="458"/>
      <c r="AL1028" s="458"/>
      <c r="AM1028" s="458"/>
      <c r="AN1028" s="458"/>
      <c r="AO1028" s="458"/>
      <c r="AP1028" s="458"/>
      <c r="AQ1028" s="458"/>
      <c r="AR1028" s="458"/>
      <c r="AS1028" s="458"/>
      <c r="AT1028" s="458"/>
      <c r="AU1028" s="458"/>
      <c r="AV1028" s="458"/>
      <c r="AW1028" s="458"/>
      <c r="AX1028" s="458"/>
      <c r="AY1028" s="458"/>
      <c r="AZ1028" s="458"/>
      <c r="BA1028" s="458"/>
      <c r="BB1028" s="458"/>
      <c r="BC1028" s="458"/>
      <c r="BD1028" s="458"/>
      <c r="BE1028" s="458"/>
      <c r="BF1028" s="458"/>
    </row>
    <row r="1029">
      <c r="A1029" s="458"/>
      <c r="B1029" s="459"/>
      <c r="C1029" s="460"/>
      <c r="D1029" s="458"/>
      <c r="E1029" s="458"/>
      <c r="F1029" s="458"/>
      <c r="G1029" s="458"/>
      <c r="H1029" s="460"/>
      <c r="I1029" s="460"/>
      <c r="J1029" s="460"/>
      <c r="K1029" s="460"/>
      <c r="L1029" s="460"/>
      <c r="M1029" s="458"/>
      <c r="N1029" s="458"/>
      <c r="O1029" s="458"/>
      <c r="P1029" s="458"/>
      <c r="Q1029" s="458"/>
      <c r="R1029" s="461"/>
      <c r="S1029" s="461"/>
      <c r="T1029" s="458"/>
      <c r="U1029" s="461"/>
      <c r="V1029" s="461"/>
      <c r="W1029" s="461"/>
      <c r="X1029" s="461"/>
      <c r="Y1029" s="458"/>
      <c r="Z1029" s="458"/>
      <c r="AA1029" s="458"/>
      <c r="AB1029" s="458"/>
      <c r="AC1029" s="458"/>
      <c r="AD1029" s="458"/>
      <c r="AE1029" s="462"/>
      <c r="AF1029" s="458"/>
      <c r="AG1029" s="458"/>
      <c r="AH1029" s="458"/>
      <c r="AI1029" s="458"/>
      <c r="AJ1029" s="458"/>
      <c r="AK1029" s="458"/>
      <c r="AL1029" s="458"/>
      <c r="AM1029" s="458"/>
      <c r="AN1029" s="458"/>
      <c r="AO1029" s="458"/>
      <c r="AP1029" s="458"/>
      <c r="AQ1029" s="458"/>
      <c r="AR1029" s="458"/>
      <c r="AS1029" s="458"/>
      <c r="AT1029" s="458"/>
      <c r="AU1029" s="458"/>
      <c r="AV1029" s="458"/>
      <c r="AW1029" s="458"/>
      <c r="AX1029" s="458"/>
      <c r="AY1029" s="458"/>
      <c r="AZ1029" s="458"/>
      <c r="BA1029" s="458"/>
      <c r="BB1029" s="458"/>
      <c r="BC1029" s="458"/>
      <c r="BD1029" s="458"/>
      <c r="BE1029" s="458"/>
      <c r="BF1029" s="458"/>
    </row>
    <row r="1030">
      <c r="A1030" s="458"/>
      <c r="B1030" s="459"/>
      <c r="C1030" s="460"/>
      <c r="D1030" s="458"/>
      <c r="E1030" s="458"/>
      <c r="F1030" s="458"/>
      <c r="G1030" s="458"/>
      <c r="H1030" s="460"/>
      <c r="I1030" s="460"/>
      <c r="J1030" s="460"/>
      <c r="K1030" s="460"/>
      <c r="L1030" s="460"/>
      <c r="M1030" s="458"/>
      <c r="N1030" s="458"/>
      <c r="O1030" s="458"/>
      <c r="P1030" s="458"/>
      <c r="Q1030" s="458"/>
      <c r="R1030" s="461"/>
      <c r="S1030" s="461"/>
      <c r="T1030" s="458"/>
      <c r="U1030" s="461"/>
      <c r="V1030" s="461"/>
      <c r="W1030" s="461"/>
      <c r="X1030" s="461"/>
      <c r="Y1030" s="458"/>
      <c r="Z1030" s="458"/>
      <c r="AA1030" s="458"/>
      <c r="AB1030" s="458"/>
      <c r="AC1030" s="458"/>
      <c r="AD1030" s="458"/>
      <c r="AE1030" s="462"/>
      <c r="AF1030" s="458"/>
      <c r="AG1030" s="458"/>
      <c r="AH1030" s="458"/>
      <c r="AI1030" s="458"/>
      <c r="AJ1030" s="458"/>
      <c r="AK1030" s="458"/>
      <c r="AL1030" s="458"/>
      <c r="AM1030" s="458"/>
      <c r="AN1030" s="458"/>
      <c r="AO1030" s="458"/>
      <c r="AP1030" s="458"/>
      <c r="AQ1030" s="458"/>
      <c r="AR1030" s="458"/>
      <c r="AS1030" s="458"/>
      <c r="AT1030" s="458"/>
      <c r="AU1030" s="458"/>
      <c r="AV1030" s="458"/>
      <c r="AW1030" s="458"/>
      <c r="AX1030" s="458"/>
      <c r="AY1030" s="458"/>
      <c r="AZ1030" s="458"/>
      <c r="BA1030" s="458"/>
      <c r="BB1030" s="458"/>
      <c r="BC1030" s="458"/>
      <c r="BD1030" s="458"/>
      <c r="BE1030" s="458"/>
      <c r="BF1030" s="458"/>
    </row>
    <row r="1031">
      <c r="A1031" s="458"/>
      <c r="B1031" s="459"/>
      <c r="C1031" s="460"/>
      <c r="D1031" s="458"/>
      <c r="E1031" s="458"/>
      <c r="F1031" s="458"/>
      <c r="G1031" s="458"/>
      <c r="H1031" s="460"/>
      <c r="I1031" s="460"/>
      <c r="J1031" s="460"/>
      <c r="K1031" s="460"/>
      <c r="L1031" s="460"/>
      <c r="M1031" s="458"/>
      <c r="N1031" s="458"/>
      <c r="O1031" s="458"/>
      <c r="P1031" s="458"/>
      <c r="Q1031" s="458"/>
      <c r="R1031" s="461"/>
      <c r="S1031" s="461"/>
      <c r="T1031" s="458"/>
      <c r="U1031" s="461"/>
      <c r="V1031" s="461"/>
      <c r="W1031" s="461"/>
      <c r="X1031" s="461"/>
      <c r="Y1031" s="458"/>
      <c r="Z1031" s="458"/>
      <c r="AA1031" s="458"/>
      <c r="AB1031" s="458"/>
      <c r="AC1031" s="458"/>
      <c r="AD1031" s="458"/>
      <c r="AE1031" s="462"/>
      <c r="AF1031" s="458"/>
      <c r="AG1031" s="458"/>
      <c r="AH1031" s="458"/>
      <c r="AI1031" s="458"/>
      <c r="AJ1031" s="458"/>
      <c r="AK1031" s="458"/>
      <c r="AL1031" s="458"/>
      <c r="AM1031" s="458"/>
      <c r="AN1031" s="458"/>
      <c r="AO1031" s="458"/>
      <c r="AP1031" s="458"/>
      <c r="AQ1031" s="458"/>
      <c r="AR1031" s="458"/>
      <c r="AS1031" s="458"/>
      <c r="AT1031" s="458"/>
      <c r="AU1031" s="458"/>
      <c r="AV1031" s="458"/>
      <c r="AW1031" s="458"/>
      <c r="AX1031" s="458"/>
      <c r="AY1031" s="458"/>
      <c r="AZ1031" s="458"/>
      <c r="BA1031" s="458"/>
      <c r="BB1031" s="458"/>
      <c r="BC1031" s="458"/>
      <c r="BD1031" s="458"/>
      <c r="BE1031" s="458"/>
      <c r="BF1031" s="458"/>
    </row>
    <row r="1032">
      <c r="A1032" s="458"/>
      <c r="B1032" s="459"/>
      <c r="C1032" s="460"/>
      <c r="D1032" s="458"/>
      <c r="E1032" s="458"/>
      <c r="F1032" s="458"/>
      <c r="G1032" s="458"/>
      <c r="H1032" s="460"/>
      <c r="I1032" s="460"/>
      <c r="J1032" s="460"/>
      <c r="K1032" s="460"/>
      <c r="L1032" s="460"/>
      <c r="M1032" s="458"/>
      <c r="N1032" s="458"/>
      <c r="O1032" s="458"/>
      <c r="P1032" s="458"/>
      <c r="Q1032" s="458"/>
      <c r="R1032" s="461"/>
      <c r="S1032" s="461"/>
      <c r="T1032" s="458"/>
      <c r="U1032" s="461"/>
      <c r="V1032" s="461"/>
      <c r="W1032" s="461"/>
      <c r="X1032" s="461"/>
      <c r="Y1032" s="458"/>
      <c r="Z1032" s="458"/>
      <c r="AA1032" s="458"/>
      <c r="AB1032" s="458"/>
      <c r="AC1032" s="458"/>
      <c r="AD1032" s="458"/>
      <c r="AE1032" s="462"/>
      <c r="AF1032" s="458"/>
      <c r="AG1032" s="458"/>
      <c r="AH1032" s="458"/>
      <c r="AI1032" s="458"/>
      <c r="AJ1032" s="458"/>
      <c r="AK1032" s="458"/>
      <c r="AL1032" s="458"/>
      <c r="AM1032" s="458"/>
      <c r="AN1032" s="458"/>
      <c r="AO1032" s="458"/>
      <c r="AP1032" s="458"/>
      <c r="AQ1032" s="458"/>
      <c r="AR1032" s="458"/>
      <c r="AS1032" s="458"/>
      <c r="AT1032" s="458"/>
      <c r="AU1032" s="458"/>
      <c r="AV1032" s="458"/>
      <c r="AW1032" s="458"/>
      <c r="AX1032" s="458"/>
      <c r="AY1032" s="458"/>
      <c r="AZ1032" s="458"/>
      <c r="BA1032" s="458"/>
      <c r="BB1032" s="458"/>
      <c r="BC1032" s="458"/>
      <c r="BD1032" s="458"/>
      <c r="BE1032" s="458"/>
      <c r="BF1032" s="458"/>
    </row>
    <row r="1033">
      <c r="A1033" s="458"/>
      <c r="B1033" s="459"/>
      <c r="C1033" s="460"/>
      <c r="D1033" s="458"/>
      <c r="E1033" s="458"/>
      <c r="F1033" s="458"/>
      <c r="G1033" s="458"/>
      <c r="H1033" s="460"/>
      <c r="I1033" s="460"/>
      <c r="J1033" s="460"/>
      <c r="K1033" s="460"/>
      <c r="L1033" s="460"/>
      <c r="M1033" s="458"/>
      <c r="N1033" s="458"/>
      <c r="O1033" s="458"/>
      <c r="P1033" s="458"/>
      <c r="Q1033" s="458"/>
      <c r="R1033" s="461"/>
      <c r="S1033" s="461"/>
      <c r="T1033" s="458"/>
      <c r="U1033" s="461"/>
      <c r="V1033" s="461"/>
      <c r="W1033" s="461"/>
      <c r="X1033" s="461"/>
      <c r="Y1033" s="458"/>
      <c r="Z1033" s="458"/>
      <c r="AA1033" s="458"/>
      <c r="AB1033" s="458"/>
      <c r="AC1033" s="458"/>
      <c r="AD1033" s="458"/>
      <c r="AE1033" s="462"/>
      <c r="AF1033" s="458"/>
      <c r="AG1033" s="458"/>
      <c r="AH1033" s="458"/>
      <c r="AI1033" s="458"/>
      <c r="AJ1033" s="458"/>
      <c r="AK1033" s="458"/>
      <c r="AL1033" s="458"/>
      <c r="AM1033" s="458"/>
      <c r="AN1033" s="458"/>
      <c r="AO1033" s="458"/>
      <c r="AP1033" s="458"/>
      <c r="AQ1033" s="458"/>
      <c r="AR1033" s="458"/>
      <c r="AS1033" s="458"/>
      <c r="AT1033" s="458"/>
      <c r="AU1033" s="458"/>
      <c r="AV1033" s="458"/>
      <c r="AW1033" s="458"/>
      <c r="AX1033" s="458"/>
      <c r="AY1033" s="458"/>
      <c r="AZ1033" s="458"/>
      <c r="BA1033" s="458"/>
      <c r="BB1033" s="458"/>
      <c r="BC1033" s="458"/>
      <c r="BD1033" s="458"/>
      <c r="BE1033" s="458"/>
      <c r="BF1033" s="458"/>
    </row>
    <row r="1034">
      <c r="A1034" s="458"/>
      <c r="B1034" s="459"/>
      <c r="C1034" s="460"/>
      <c r="D1034" s="458"/>
      <c r="E1034" s="458"/>
      <c r="F1034" s="458"/>
      <c r="G1034" s="458"/>
      <c r="H1034" s="460"/>
      <c r="I1034" s="460"/>
      <c r="J1034" s="460"/>
      <c r="K1034" s="460"/>
      <c r="L1034" s="460"/>
      <c r="M1034" s="458"/>
      <c r="N1034" s="458"/>
      <c r="O1034" s="458"/>
      <c r="P1034" s="458"/>
      <c r="Q1034" s="458"/>
      <c r="R1034" s="461"/>
      <c r="S1034" s="461"/>
      <c r="T1034" s="458"/>
      <c r="U1034" s="461"/>
      <c r="V1034" s="461"/>
      <c r="W1034" s="461"/>
      <c r="X1034" s="461"/>
      <c r="Y1034" s="458"/>
      <c r="Z1034" s="458"/>
      <c r="AA1034" s="458"/>
      <c r="AB1034" s="458"/>
      <c r="AC1034" s="458"/>
      <c r="AD1034" s="458"/>
      <c r="AE1034" s="462"/>
      <c r="AF1034" s="458"/>
      <c r="AG1034" s="458"/>
      <c r="AH1034" s="458"/>
      <c r="AI1034" s="458"/>
      <c r="AJ1034" s="458"/>
      <c r="AK1034" s="458"/>
      <c r="AL1034" s="458"/>
      <c r="AM1034" s="458"/>
      <c r="AN1034" s="458"/>
      <c r="AO1034" s="458"/>
      <c r="AP1034" s="458"/>
      <c r="AQ1034" s="458"/>
      <c r="AR1034" s="458"/>
      <c r="AS1034" s="458"/>
      <c r="AT1034" s="458"/>
      <c r="AU1034" s="458"/>
      <c r="AV1034" s="458"/>
      <c r="AW1034" s="458"/>
      <c r="AX1034" s="458"/>
      <c r="AY1034" s="458"/>
      <c r="AZ1034" s="458"/>
      <c r="BA1034" s="458"/>
      <c r="BB1034" s="458"/>
      <c r="BC1034" s="458"/>
      <c r="BD1034" s="458"/>
      <c r="BE1034" s="458"/>
      <c r="BF1034" s="458"/>
    </row>
    <row r="1035">
      <c r="A1035" s="458"/>
      <c r="B1035" s="459"/>
      <c r="C1035" s="460"/>
      <c r="D1035" s="458"/>
      <c r="E1035" s="458"/>
      <c r="F1035" s="458"/>
      <c r="G1035" s="458"/>
      <c r="H1035" s="460"/>
      <c r="I1035" s="460"/>
      <c r="J1035" s="460"/>
      <c r="K1035" s="460"/>
      <c r="L1035" s="460"/>
      <c r="M1035" s="458"/>
      <c r="N1035" s="458"/>
      <c r="O1035" s="458"/>
      <c r="P1035" s="458"/>
      <c r="Q1035" s="458"/>
      <c r="R1035" s="461"/>
      <c r="S1035" s="461"/>
      <c r="T1035" s="458"/>
      <c r="U1035" s="461"/>
      <c r="V1035" s="461"/>
      <c r="W1035" s="461"/>
      <c r="X1035" s="461"/>
      <c r="Y1035" s="458"/>
      <c r="Z1035" s="458"/>
      <c r="AA1035" s="458"/>
      <c r="AB1035" s="458"/>
      <c r="AC1035" s="458"/>
      <c r="AD1035" s="458"/>
      <c r="AE1035" s="462"/>
      <c r="AF1035" s="458"/>
      <c r="AG1035" s="458"/>
      <c r="AH1035" s="458"/>
      <c r="AI1035" s="458"/>
      <c r="AJ1035" s="458"/>
      <c r="AK1035" s="458"/>
      <c r="AL1035" s="458"/>
      <c r="AM1035" s="458"/>
      <c r="AN1035" s="458"/>
      <c r="AO1035" s="458"/>
      <c r="AP1035" s="458"/>
      <c r="AQ1035" s="458"/>
      <c r="AR1035" s="458"/>
      <c r="AS1035" s="458"/>
      <c r="AT1035" s="458"/>
      <c r="AU1035" s="458"/>
      <c r="AV1035" s="458"/>
      <c r="AW1035" s="458"/>
      <c r="AX1035" s="458"/>
      <c r="AY1035" s="458"/>
      <c r="AZ1035" s="458"/>
      <c r="BA1035" s="458"/>
      <c r="BB1035" s="458"/>
      <c r="BC1035" s="458"/>
      <c r="BD1035" s="458"/>
      <c r="BE1035" s="458"/>
      <c r="BF1035" s="458"/>
    </row>
    <row r="1036">
      <c r="A1036" s="458"/>
      <c r="B1036" s="459"/>
      <c r="C1036" s="460"/>
      <c r="D1036" s="458"/>
      <c r="E1036" s="458"/>
      <c r="F1036" s="458"/>
      <c r="G1036" s="458"/>
      <c r="H1036" s="460"/>
      <c r="I1036" s="460"/>
      <c r="J1036" s="460"/>
      <c r="K1036" s="460"/>
      <c r="L1036" s="460"/>
      <c r="M1036" s="458"/>
      <c r="N1036" s="458"/>
      <c r="O1036" s="458"/>
      <c r="P1036" s="458"/>
      <c r="Q1036" s="458"/>
      <c r="R1036" s="461"/>
      <c r="S1036" s="461"/>
      <c r="T1036" s="458"/>
      <c r="U1036" s="461"/>
      <c r="V1036" s="461"/>
      <c r="W1036" s="461"/>
      <c r="X1036" s="461"/>
      <c r="Y1036" s="458"/>
      <c r="Z1036" s="458"/>
      <c r="AA1036" s="458"/>
      <c r="AB1036" s="458"/>
      <c r="AC1036" s="458"/>
      <c r="AD1036" s="458"/>
      <c r="AE1036" s="462"/>
      <c r="AF1036" s="458"/>
      <c r="AG1036" s="458"/>
      <c r="AH1036" s="458"/>
      <c r="AI1036" s="458"/>
      <c r="AJ1036" s="458"/>
      <c r="AK1036" s="458"/>
      <c r="AL1036" s="458"/>
      <c r="AM1036" s="458"/>
      <c r="AN1036" s="458"/>
      <c r="AO1036" s="458"/>
      <c r="AP1036" s="458"/>
      <c r="AQ1036" s="458"/>
      <c r="AR1036" s="458"/>
      <c r="AS1036" s="458"/>
      <c r="AT1036" s="458"/>
      <c r="AU1036" s="458"/>
      <c r="AV1036" s="458"/>
      <c r="AW1036" s="458"/>
      <c r="AX1036" s="458"/>
      <c r="AY1036" s="458"/>
      <c r="AZ1036" s="458"/>
      <c r="BA1036" s="458"/>
      <c r="BB1036" s="458"/>
      <c r="BC1036" s="458"/>
      <c r="BD1036" s="458"/>
      <c r="BE1036" s="458"/>
      <c r="BF1036" s="458"/>
    </row>
    <row r="1037">
      <c r="A1037" s="458"/>
      <c r="B1037" s="459"/>
      <c r="C1037" s="460"/>
      <c r="D1037" s="458"/>
      <c r="E1037" s="458"/>
      <c r="F1037" s="458"/>
      <c r="G1037" s="458"/>
      <c r="H1037" s="460"/>
      <c r="I1037" s="460"/>
      <c r="J1037" s="460"/>
      <c r="K1037" s="460"/>
      <c r="L1037" s="460"/>
      <c r="M1037" s="458"/>
      <c r="N1037" s="458"/>
      <c r="O1037" s="458"/>
      <c r="P1037" s="458"/>
      <c r="Q1037" s="458"/>
      <c r="R1037" s="461"/>
      <c r="S1037" s="461"/>
      <c r="T1037" s="458"/>
      <c r="U1037" s="461"/>
      <c r="V1037" s="461"/>
      <c r="W1037" s="461"/>
      <c r="X1037" s="461"/>
      <c r="Y1037" s="458"/>
      <c r="Z1037" s="458"/>
      <c r="AA1037" s="458"/>
      <c r="AB1037" s="458"/>
      <c r="AC1037" s="458"/>
      <c r="AD1037" s="458"/>
      <c r="AE1037" s="462"/>
      <c r="AF1037" s="458"/>
      <c r="AG1037" s="458"/>
      <c r="AH1037" s="458"/>
      <c r="AI1037" s="458"/>
      <c r="AJ1037" s="458"/>
      <c r="AK1037" s="458"/>
      <c r="AL1037" s="458"/>
      <c r="AM1037" s="458"/>
      <c r="AN1037" s="458"/>
      <c r="AO1037" s="458"/>
      <c r="AP1037" s="458"/>
      <c r="AQ1037" s="458"/>
      <c r="AR1037" s="458"/>
      <c r="AS1037" s="458"/>
      <c r="AT1037" s="458"/>
      <c r="AU1037" s="458"/>
      <c r="AV1037" s="458"/>
      <c r="AW1037" s="458"/>
      <c r="AX1037" s="458"/>
      <c r="AY1037" s="458"/>
      <c r="AZ1037" s="458"/>
      <c r="BA1037" s="458"/>
      <c r="BB1037" s="458"/>
      <c r="BC1037" s="458"/>
      <c r="BD1037" s="458"/>
      <c r="BE1037" s="458"/>
      <c r="BF1037" s="458"/>
    </row>
    <row r="1038">
      <c r="A1038" s="458"/>
      <c r="B1038" s="459"/>
      <c r="C1038" s="460"/>
      <c r="D1038" s="458"/>
      <c r="E1038" s="458"/>
      <c r="F1038" s="458"/>
      <c r="G1038" s="458"/>
      <c r="H1038" s="460"/>
      <c r="I1038" s="460"/>
      <c r="J1038" s="460"/>
      <c r="K1038" s="460"/>
      <c r="L1038" s="460"/>
      <c r="M1038" s="458"/>
      <c r="N1038" s="458"/>
      <c r="O1038" s="458"/>
      <c r="P1038" s="458"/>
      <c r="Q1038" s="458"/>
      <c r="R1038" s="461"/>
      <c r="S1038" s="461"/>
      <c r="T1038" s="458"/>
      <c r="U1038" s="461"/>
      <c r="V1038" s="461"/>
      <c r="W1038" s="461"/>
      <c r="X1038" s="461"/>
      <c r="Y1038" s="458"/>
      <c r="Z1038" s="458"/>
      <c r="AA1038" s="458"/>
      <c r="AB1038" s="458"/>
      <c r="AC1038" s="458"/>
      <c r="AD1038" s="458"/>
      <c r="AE1038" s="462"/>
      <c r="AF1038" s="458"/>
      <c r="AG1038" s="458"/>
      <c r="AH1038" s="458"/>
      <c r="AI1038" s="458"/>
      <c r="AJ1038" s="458"/>
      <c r="AK1038" s="458"/>
      <c r="AL1038" s="458"/>
      <c r="AM1038" s="458"/>
      <c r="AN1038" s="458"/>
      <c r="AO1038" s="458"/>
      <c r="AP1038" s="458"/>
      <c r="AQ1038" s="458"/>
      <c r="AR1038" s="458"/>
      <c r="AS1038" s="458"/>
      <c r="AT1038" s="458"/>
      <c r="AU1038" s="458"/>
      <c r="AV1038" s="458"/>
      <c r="AW1038" s="458"/>
      <c r="AX1038" s="458"/>
      <c r="AY1038" s="458"/>
      <c r="AZ1038" s="458"/>
      <c r="BA1038" s="458"/>
      <c r="BB1038" s="458"/>
      <c r="BC1038" s="458"/>
      <c r="BD1038" s="458"/>
      <c r="BE1038" s="458"/>
      <c r="BF1038" s="458"/>
    </row>
    <row r="1039">
      <c r="A1039" s="458"/>
      <c r="B1039" s="459"/>
      <c r="C1039" s="460"/>
      <c r="D1039" s="458"/>
      <c r="E1039" s="458"/>
      <c r="F1039" s="458"/>
      <c r="G1039" s="458"/>
      <c r="H1039" s="460"/>
      <c r="I1039" s="460"/>
      <c r="J1039" s="460"/>
      <c r="K1039" s="460"/>
      <c r="L1039" s="460"/>
      <c r="M1039" s="458"/>
      <c r="N1039" s="458"/>
      <c r="O1039" s="458"/>
      <c r="P1039" s="458"/>
      <c r="Q1039" s="458"/>
      <c r="R1039" s="461"/>
      <c r="S1039" s="461"/>
      <c r="T1039" s="458"/>
      <c r="U1039" s="461"/>
      <c r="V1039" s="461"/>
      <c r="W1039" s="461"/>
      <c r="X1039" s="461"/>
      <c r="Y1039" s="458"/>
      <c r="Z1039" s="458"/>
      <c r="AA1039" s="458"/>
      <c r="AB1039" s="458"/>
      <c r="AC1039" s="458"/>
      <c r="AD1039" s="458"/>
      <c r="AE1039" s="462"/>
      <c r="AF1039" s="458"/>
      <c r="AG1039" s="458"/>
      <c r="AH1039" s="458"/>
      <c r="AI1039" s="458"/>
      <c r="AJ1039" s="458"/>
      <c r="AK1039" s="458"/>
      <c r="AL1039" s="458"/>
      <c r="AM1039" s="458"/>
      <c r="AN1039" s="458"/>
      <c r="AO1039" s="458"/>
      <c r="AP1039" s="458"/>
      <c r="AQ1039" s="458"/>
      <c r="AR1039" s="458"/>
      <c r="AS1039" s="458"/>
      <c r="AT1039" s="458"/>
      <c r="AU1039" s="458"/>
      <c r="AV1039" s="458"/>
      <c r="AW1039" s="458"/>
      <c r="AX1039" s="458"/>
      <c r="AY1039" s="458"/>
      <c r="AZ1039" s="458"/>
      <c r="BA1039" s="458"/>
      <c r="BB1039" s="458"/>
      <c r="BC1039" s="458"/>
      <c r="BD1039" s="458"/>
      <c r="BE1039" s="458"/>
      <c r="BF1039" s="458"/>
    </row>
    <row r="1040">
      <c r="A1040" s="458"/>
      <c r="B1040" s="459"/>
      <c r="C1040" s="460"/>
      <c r="D1040" s="458"/>
      <c r="E1040" s="458"/>
      <c r="F1040" s="458"/>
      <c r="G1040" s="458"/>
      <c r="H1040" s="460"/>
      <c r="I1040" s="460"/>
      <c r="J1040" s="460"/>
      <c r="K1040" s="460"/>
      <c r="L1040" s="460"/>
      <c r="M1040" s="458"/>
      <c r="N1040" s="458"/>
      <c r="O1040" s="458"/>
      <c r="P1040" s="458"/>
      <c r="Q1040" s="458"/>
      <c r="R1040" s="461"/>
      <c r="S1040" s="461"/>
      <c r="T1040" s="458"/>
      <c r="U1040" s="461"/>
      <c r="V1040" s="461"/>
      <c r="W1040" s="461"/>
      <c r="X1040" s="461"/>
      <c r="Y1040" s="458"/>
      <c r="Z1040" s="458"/>
      <c r="AA1040" s="458"/>
      <c r="AB1040" s="458"/>
      <c r="AC1040" s="458"/>
      <c r="AD1040" s="458"/>
      <c r="AE1040" s="462"/>
      <c r="AF1040" s="458"/>
      <c r="AG1040" s="458"/>
      <c r="AH1040" s="458"/>
      <c r="AI1040" s="458"/>
      <c r="AJ1040" s="458"/>
      <c r="AK1040" s="458"/>
      <c r="AL1040" s="458"/>
      <c r="AM1040" s="458"/>
      <c r="AN1040" s="458"/>
      <c r="AO1040" s="458"/>
      <c r="AP1040" s="458"/>
      <c r="AQ1040" s="458"/>
      <c r="AR1040" s="458"/>
      <c r="AS1040" s="458"/>
      <c r="AT1040" s="458"/>
      <c r="AU1040" s="458"/>
      <c r="AV1040" s="458"/>
      <c r="AW1040" s="458"/>
      <c r="AX1040" s="458"/>
      <c r="AY1040" s="458"/>
      <c r="AZ1040" s="458"/>
      <c r="BA1040" s="458"/>
      <c r="BB1040" s="458"/>
      <c r="BC1040" s="458"/>
      <c r="BD1040" s="458"/>
      <c r="BE1040" s="458"/>
      <c r="BF1040" s="458"/>
    </row>
    <row r="1041">
      <c r="A1041" s="458"/>
      <c r="B1041" s="459"/>
      <c r="C1041" s="460"/>
      <c r="D1041" s="458"/>
      <c r="E1041" s="458"/>
      <c r="F1041" s="458"/>
      <c r="G1041" s="458"/>
      <c r="H1041" s="460"/>
      <c r="I1041" s="460"/>
      <c r="J1041" s="460"/>
      <c r="K1041" s="460"/>
      <c r="L1041" s="460"/>
      <c r="M1041" s="458"/>
      <c r="N1041" s="458"/>
      <c r="O1041" s="458"/>
      <c r="P1041" s="458"/>
      <c r="Q1041" s="458"/>
      <c r="R1041" s="461"/>
      <c r="S1041" s="461"/>
      <c r="T1041" s="458"/>
      <c r="U1041" s="461"/>
      <c r="V1041" s="461"/>
      <c r="W1041" s="461"/>
      <c r="X1041" s="461"/>
      <c r="Y1041" s="458"/>
      <c r="Z1041" s="458"/>
      <c r="AA1041" s="458"/>
      <c r="AB1041" s="458"/>
      <c r="AC1041" s="458"/>
      <c r="AD1041" s="458"/>
      <c r="AE1041" s="462"/>
      <c r="AF1041" s="458"/>
      <c r="AG1041" s="458"/>
      <c r="AH1041" s="458"/>
      <c r="AI1041" s="458"/>
      <c r="AJ1041" s="458"/>
      <c r="AK1041" s="458"/>
      <c r="AL1041" s="458"/>
      <c r="AM1041" s="458"/>
      <c r="AN1041" s="458"/>
      <c r="AO1041" s="458"/>
      <c r="AP1041" s="458"/>
      <c r="AQ1041" s="458"/>
      <c r="AR1041" s="458"/>
      <c r="AS1041" s="458"/>
      <c r="AT1041" s="458"/>
      <c r="AU1041" s="458"/>
      <c r="AV1041" s="458"/>
      <c r="AW1041" s="458"/>
      <c r="AX1041" s="458"/>
      <c r="AY1041" s="458"/>
      <c r="AZ1041" s="458"/>
      <c r="BA1041" s="458"/>
      <c r="BB1041" s="458"/>
      <c r="BC1041" s="458"/>
      <c r="BD1041" s="458"/>
      <c r="BE1041" s="458"/>
      <c r="BF1041" s="458"/>
    </row>
    <row r="1042">
      <c r="A1042" s="458"/>
      <c r="B1042" s="459"/>
      <c r="C1042" s="460"/>
      <c r="D1042" s="458"/>
      <c r="E1042" s="458"/>
      <c r="F1042" s="458"/>
      <c r="G1042" s="458"/>
      <c r="H1042" s="460"/>
      <c r="I1042" s="460"/>
      <c r="J1042" s="460"/>
      <c r="K1042" s="460"/>
      <c r="L1042" s="460"/>
      <c r="M1042" s="458"/>
      <c r="N1042" s="458"/>
      <c r="O1042" s="458"/>
      <c r="P1042" s="458"/>
      <c r="Q1042" s="458"/>
      <c r="R1042" s="461"/>
      <c r="S1042" s="461"/>
      <c r="T1042" s="458"/>
      <c r="U1042" s="461"/>
      <c r="V1042" s="461"/>
      <c r="W1042" s="461"/>
      <c r="X1042" s="461"/>
      <c r="Y1042" s="458"/>
      <c r="Z1042" s="458"/>
      <c r="AA1042" s="458"/>
      <c r="AB1042" s="458"/>
      <c r="AC1042" s="458"/>
      <c r="AD1042" s="458"/>
      <c r="AE1042" s="462"/>
      <c r="AF1042" s="458"/>
      <c r="AG1042" s="458"/>
      <c r="AH1042" s="458"/>
      <c r="AI1042" s="458"/>
      <c r="AJ1042" s="458"/>
      <c r="AK1042" s="458"/>
      <c r="AL1042" s="458"/>
      <c r="AM1042" s="458"/>
      <c r="AN1042" s="458"/>
      <c r="AO1042" s="458"/>
      <c r="AP1042" s="458"/>
      <c r="AQ1042" s="458"/>
      <c r="AR1042" s="458"/>
      <c r="AS1042" s="458"/>
      <c r="AT1042" s="458"/>
      <c r="AU1042" s="458"/>
      <c r="AV1042" s="458"/>
      <c r="AW1042" s="458"/>
      <c r="AX1042" s="458"/>
      <c r="AY1042" s="458"/>
      <c r="AZ1042" s="458"/>
      <c r="BA1042" s="458"/>
      <c r="BB1042" s="458"/>
      <c r="BC1042" s="458"/>
      <c r="BD1042" s="458"/>
      <c r="BE1042" s="458"/>
      <c r="BF1042" s="458"/>
    </row>
    <row r="1043">
      <c r="A1043" s="458"/>
      <c r="B1043" s="459"/>
      <c r="C1043" s="460"/>
      <c r="D1043" s="458"/>
      <c r="E1043" s="458"/>
      <c r="F1043" s="458"/>
      <c r="G1043" s="458"/>
      <c r="H1043" s="460"/>
      <c r="I1043" s="460"/>
      <c r="J1043" s="460"/>
      <c r="K1043" s="460"/>
      <c r="L1043" s="460"/>
      <c r="M1043" s="458"/>
      <c r="N1043" s="458"/>
      <c r="O1043" s="458"/>
      <c r="P1043" s="458"/>
      <c r="Q1043" s="458"/>
      <c r="R1043" s="461"/>
      <c r="S1043" s="461"/>
      <c r="T1043" s="458"/>
      <c r="U1043" s="461"/>
      <c r="V1043" s="461"/>
      <c r="W1043" s="461"/>
      <c r="X1043" s="461"/>
      <c r="Y1043" s="458"/>
      <c r="Z1043" s="458"/>
      <c r="AA1043" s="458"/>
      <c r="AB1043" s="458"/>
      <c r="AC1043" s="458"/>
      <c r="AD1043" s="458"/>
      <c r="AE1043" s="462"/>
      <c r="AF1043" s="458"/>
      <c r="AG1043" s="458"/>
      <c r="AH1043" s="458"/>
      <c r="AI1043" s="458"/>
      <c r="AJ1043" s="458"/>
      <c r="AK1043" s="458"/>
      <c r="AL1043" s="458"/>
      <c r="AM1043" s="458"/>
      <c r="AN1043" s="458"/>
      <c r="AO1043" s="458"/>
      <c r="AP1043" s="458"/>
      <c r="AQ1043" s="458"/>
      <c r="AR1043" s="458"/>
      <c r="AS1043" s="458"/>
      <c r="AT1043" s="458"/>
      <c r="AU1043" s="458"/>
      <c r="AV1043" s="458"/>
      <c r="AW1043" s="458"/>
      <c r="AX1043" s="458"/>
      <c r="AY1043" s="458"/>
      <c r="AZ1043" s="458"/>
      <c r="BA1043" s="458"/>
      <c r="BB1043" s="458"/>
      <c r="BC1043" s="458"/>
      <c r="BD1043" s="458"/>
      <c r="BE1043" s="458"/>
      <c r="BF1043" s="458"/>
    </row>
    <row r="1044">
      <c r="A1044" s="458"/>
      <c r="B1044" s="459"/>
      <c r="C1044" s="460"/>
      <c r="D1044" s="458"/>
      <c r="E1044" s="458"/>
      <c r="F1044" s="458"/>
      <c r="G1044" s="458"/>
      <c r="H1044" s="460"/>
      <c r="I1044" s="460"/>
      <c r="J1044" s="460"/>
      <c r="K1044" s="460"/>
      <c r="L1044" s="460"/>
      <c r="M1044" s="458"/>
      <c r="N1044" s="458"/>
      <c r="O1044" s="458"/>
      <c r="P1044" s="458"/>
      <c r="Q1044" s="458"/>
      <c r="R1044" s="461"/>
      <c r="S1044" s="461"/>
      <c r="T1044" s="458"/>
      <c r="U1044" s="461"/>
      <c r="V1044" s="461"/>
      <c r="W1044" s="461"/>
      <c r="X1044" s="461"/>
      <c r="Y1044" s="458"/>
      <c r="Z1044" s="458"/>
      <c r="AA1044" s="458"/>
      <c r="AB1044" s="458"/>
      <c r="AC1044" s="458"/>
      <c r="AD1044" s="458"/>
      <c r="AE1044" s="462"/>
      <c r="AF1044" s="458"/>
      <c r="AG1044" s="458"/>
      <c r="AH1044" s="458"/>
      <c r="AI1044" s="458"/>
      <c r="AJ1044" s="458"/>
      <c r="AK1044" s="458"/>
      <c r="AL1044" s="458"/>
      <c r="AM1044" s="458"/>
      <c r="AN1044" s="458"/>
      <c r="AO1044" s="458"/>
      <c r="AP1044" s="458"/>
      <c r="AQ1044" s="458"/>
      <c r="AR1044" s="458"/>
      <c r="AS1044" s="458"/>
      <c r="AT1044" s="458"/>
      <c r="AU1044" s="458"/>
      <c r="AV1044" s="458"/>
      <c r="AW1044" s="458"/>
      <c r="AX1044" s="458"/>
      <c r="AY1044" s="458"/>
      <c r="AZ1044" s="458"/>
      <c r="BA1044" s="458"/>
      <c r="BB1044" s="458"/>
      <c r="BC1044" s="458"/>
      <c r="BD1044" s="458"/>
      <c r="BE1044" s="458"/>
      <c r="BF1044" s="458"/>
    </row>
    <row r="1045">
      <c r="A1045" s="458"/>
      <c r="B1045" s="459"/>
      <c r="C1045" s="460"/>
      <c r="D1045" s="458"/>
      <c r="E1045" s="458"/>
      <c r="F1045" s="458"/>
      <c r="G1045" s="458"/>
      <c r="H1045" s="460"/>
      <c r="I1045" s="460"/>
      <c r="J1045" s="460"/>
      <c r="K1045" s="460"/>
      <c r="L1045" s="460"/>
      <c r="M1045" s="458"/>
      <c r="N1045" s="458"/>
      <c r="O1045" s="458"/>
      <c r="P1045" s="458"/>
      <c r="Q1045" s="458"/>
      <c r="R1045" s="461"/>
      <c r="S1045" s="461"/>
      <c r="T1045" s="458"/>
      <c r="U1045" s="461"/>
      <c r="V1045" s="461"/>
      <c r="W1045" s="461"/>
      <c r="X1045" s="461"/>
      <c r="Y1045" s="458"/>
      <c r="Z1045" s="458"/>
      <c r="AA1045" s="458"/>
      <c r="AB1045" s="458"/>
      <c r="AC1045" s="458"/>
      <c r="AD1045" s="458"/>
      <c r="AE1045" s="462"/>
      <c r="AF1045" s="458"/>
      <c r="AG1045" s="458"/>
      <c r="AH1045" s="458"/>
      <c r="AI1045" s="458"/>
      <c r="AJ1045" s="458"/>
      <c r="AK1045" s="458"/>
      <c r="AL1045" s="458"/>
      <c r="AM1045" s="458"/>
      <c r="AN1045" s="458"/>
      <c r="AO1045" s="458"/>
      <c r="AP1045" s="458"/>
      <c r="AQ1045" s="458"/>
      <c r="AR1045" s="458"/>
      <c r="AS1045" s="458"/>
      <c r="AT1045" s="458"/>
      <c r="AU1045" s="458"/>
      <c r="AV1045" s="458"/>
      <c r="AW1045" s="458"/>
      <c r="AX1045" s="458"/>
      <c r="AY1045" s="458"/>
      <c r="AZ1045" s="458"/>
      <c r="BA1045" s="458"/>
      <c r="BB1045" s="458"/>
      <c r="BC1045" s="458"/>
      <c r="BD1045" s="458"/>
      <c r="BE1045" s="458"/>
      <c r="BF1045" s="458"/>
    </row>
    <row r="1046">
      <c r="A1046" s="458"/>
      <c r="B1046" s="459"/>
      <c r="C1046" s="460"/>
      <c r="D1046" s="458"/>
      <c r="E1046" s="458"/>
      <c r="F1046" s="458"/>
      <c r="G1046" s="458"/>
      <c r="H1046" s="460"/>
      <c r="I1046" s="460"/>
      <c r="J1046" s="460"/>
      <c r="K1046" s="460"/>
      <c r="L1046" s="460"/>
      <c r="M1046" s="458"/>
      <c r="N1046" s="458"/>
      <c r="O1046" s="458"/>
      <c r="P1046" s="458"/>
      <c r="Q1046" s="458"/>
      <c r="R1046" s="461"/>
      <c r="S1046" s="461"/>
      <c r="T1046" s="458"/>
      <c r="U1046" s="461"/>
      <c r="V1046" s="461"/>
      <c r="W1046" s="461"/>
      <c r="X1046" s="461"/>
      <c r="Y1046" s="458"/>
      <c r="Z1046" s="458"/>
      <c r="AA1046" s="458"/>
      <c r="AB1046" s="458"/>
      <c r="AC1046" s="458"/>
      <c r="AD1046" s="458"/>
      <c r="AE1046" s="462"/>
      <c r="AF1046" s="458"/>
      <c r="AG1046" s="458"/>
      <c r="AH1046" s="458"/>
      <c r="AI1046" s="458"/>
      <c r="AJ1046" s="458"/>
      <c r="AK1046" s="458"/>
      <c r="AL1046" s="458"/>
      <c r="AM1046" s="458"/>
      <c r="AN1046" s="458"/>
      <c r="AO1046" s="458"/>
      <c r="AP1046" s="458"/>
      <c r="AQ1046" s="458"/>
      <c r="AR1046" s="458"/>
      <c r="AS1046" s="458"/>
      <c r="AT1046" s="458"/>
      <c r="AU1046" s="458"/>
      <c r="AV1046" s="458"/>
      <c r="AW1046" s="458"/>
      <c r="AX1046" s="458"/>
      <c r="AY1046" s="458"/>
      <c r="AZ1046" s="458"/>
      <c r="BA1046" s="458"/>
      <c r="BB1046" s="458"/>
      <c r="BC1046" s="458"/>
      <c r="BD1046" s="458"/>
      <c r="BE1046" s="458"/>
      <c r="BF1046" s="458"/>
    </row>
    <row r="1047">
      <c r="A1047" s="458"/>
      <c r="B1047" s="459"/>
      <c r="C1047" s="460"/>
      <c r="D1047" s="458"/>
      <c r="E1047" s="458"/>
      <c r="F1047" s="458"/>
      <c r="G1047" s="458"/>
      <c r="H1047" s="460"/>
      <c r="I1047" s="460"/>
      <c r="J1047" s="460"/>
      <c r="K1047" s="460"/>
      <c r="L1047" s="460"/>
      <c r="M1047" s="458"/>
      <c r="N1047" s="458"/>
      <c r="O1047" s="458"/>
      <c r="P1047" s="458"/>
      <c r="Q1047" s="458"/>
      <c r="R1047" s="461"/>
      <c r="S1047" s="461"/>
      <c r="T1047" s="458"/>
      <c r="U1047" s="461"/>
      <c r="V1047" s="461"/>
      <c r="W1047" s="461"/>
      <c r="X1047" s="461"/>
      <c r="Y1047" s="458"/>
      <c r="Z1047" s="458"/>
      <c r="AA1047" s="458"/>
      <c r="AB1047" s="458"/>
      <c r="AC1047" s="458"/>
      <c r="AD1047" s="458"/>
      <c r="AE1047" s="462"/>
      <c r="AF1047" s="458"/>
      <c r="AG1047" s="458"/>
      <c r="AH1047" s="458"/>
      <c r="AI1047" s="458"/>
      <c r="AJ1047" s="458"/>
      <c r="AK1047" s="458"/>
      <c r="AL1047" s="458"/>
      <c r="AM1047" s="458"/>
      <c r="AN1047" s="458"/>
      <c r="AO1047" s="458"/>
      <c r="AP1047" s="458"/>
      <c r="AQ1047" s="458"/>
      <c r="AR1047" s="458"/>
      <c r="AS1047" s="458"/>
      <c r="AT1047" s="458"/>
      <c r="AU1047" s="458"/>
      <c r="AV1047" s="458"/>
      <c r="AW1047" s="458"/>
      <c r="AX1047" s="458"/>
      <c r="AY1047" s="458"/>
      <c r="AZ1047" s="458"/>
      <c r="BA1047" s="458"/>
      <c r="BB1047" s="458"/>
      <c r="BC1047" s="458"/>
      <c r="BD1047" s="458"/>
      <c r="BE1047" s="458"/>
      <c r="BF1047" s="458"/>
    </row>
    <row r="1048">
      <c r="A1048" s="458"/>
      <c r="B1048" s="459"/>
      <c r="C1048" s="460"/>
      <c r="D1048" s="458"/>
      <c r="E1048" s="458"/>
      <c r="F1048" s="458"/>
      <c r="G1048" s="458"/>
      <c r="H1048" s="460"/>
      <c r="I1048" s="460"/>
      <c r="J1048" s="460"/>
      <c r="K1048" s="460"/>
      <c r="L1048" s="460"/>
      <c r="M1048" s="458"/>
      <c r="N1048" s="458"/>
      <c r="O1048" s="458"/>
      <c r="P1048" s="458"/>
      <c r="Q1048" s="458"/>
      <c r="R1048" s="461"/>
      <c r="S1048" s="461"/>
      <c r="T1048" s="458"/>
      <c r="U1048" s="461"/>
      <c r="V1048" s="461"/>
      <c r="W1048" s="461"/>
      <c r="X1048" s="461"/>
      <c r="Y1048" s="458"/>
      <c r="Z1048" s="458"/>
      <c r="AA1048" s="458"/>
      <c r="AB1048" s="458"/>
      <c r="AC1048" s="458"/>
      <c r="AD1048" s="458"/>
      <c r="AE1048" s="462"/>
      <c r="AF1048" s="458"/>
      <c r="AG1048" s="458"/>
      <c r="AH1048" s="458"/>
      <c r="AI1048" s="458"/>
      <c r="AJ1048" s="458"/>
      <c r="AK1048" s="458"/>
      <c r="AL1048" s="458"/>
      <c r="AM1048" s="458"/>
      <c r="AN1048" s="458"/>
      <c r="AO1048" s="458"/>
      <c r="AP1048" s="458"/>
      <c r="AQ1048" s="458"/>
      <c r="AR1048" s="458"/>
      <c r="AS1048" s="458"/>
      <c r="AT1048" s="458"/>
      <c r="AU1048" s="458"/>
      <c r="AV1048" s="458"/>
      <c r="AW1048" s="458"/>
      <c r="AX1048" s="458"/>
      <c r="AY1048" s="458"/>
      <c r="AZ1048" s="458"/>
      <c r="BA1048" s="458"/>
      <c r="BB1048" s="458"/>
      <c r="BC1048" s="458"/>
      <c r="BD1048" s="458"/>
      <c r="BE1048" s="458"/>
      <c r="BF1048" s="458"/>
    </row>
    <row r="1049">
      <c r="A1049" s="458"/>
      <c r="B1049" s="459"/>
      <c r="C1049" s="460"/>
      <c r="D1049" s="458"/>
      <c r="E1049" s="458"/>
      <c r="F1049" s="458"/>
      <c r="G1049" s="458"/>
      <c r="H1049" s="460"/>
      <c r="I1049" s="460"/>
      <c r="J1049" s="460"/>
      <c r="K1049" s="460"/>
      <c r="L1049" s="460"/>
      <c r="M1049" s="458"/>
      <c r="N1049" s="458"/>
      <c r="O1049" s="458"/>
      <c r="P1049" s="458"/>
      <c r="Q1049" s="458"/>
      <c r="R1049" s="461"/>
      <c r="S1049" s="461"/>
      <c r="T1049" s="458"/>
      <c r="U1049" s="461"/>
      <c r="V1049" s="461"/>
      <c r="W1049" s="461"/>
      <c r="X1049" s="461"/>
      <c r="Y1049" s="458"/>
      <c r="Z1049" s="458"/>
      <c r="AA1049" s="458"/>
      <c r="AB1049" s="458"/>
      <c r="AC1049" s="458"/>
      <c r="AD1049" s="458"/>
      <c r="AE1049" s="462"/>
      <c r="AF1049" s="458"/>
      <c r="AG1049" s="458"/>
      <c r="AH1049" s="458"/>
      <c r="AI1049" s="458"/>
      <c r="AJ1049" s="458"/>
      <c r="AK1049" s="458"/>
      <c r="AL1049" s="458"/>
      <c r="AM1049" s="458"/>
      <c r="AN1049" s="458"/>
      <c r="AO1049" s="458"/>
      <c r="AP1049" s="458"/>
      <c r="AQ1049" s="458"/>
      <c r="AR1049" s="458"/>
      <c r="AS1049" s="458"/>
      <c r="AT1049" s="458"/>
      <c r="AU1049" s="458"/>
      <c r="AV1049" s="458"/>
      <c r="AW1049" s="458"/>
      <c r="AX1049" s="458"/>
      <c r="AY1049" s="458"/>
      <c r="AZ1049" s="458"/>
      <c r="BA1049" s="458"/>
      <c r="BB1049" s="458"/>
      <c r="BC1049" s="458"/>
      <c r="BD1049" s="458"/>
      <c r="BE1049" s="458"/>
      <c r="BF1049" s="458"/>
    </row>
    <row r="1050">
      <c r="A1050" s="458"/>
      <c r="B1050" s="459"/>
      <c r="C1050" s="460"/>
      <c r="D1050" s="458"/>
      <c r="E1050" s="458"/>
      <c r="F1050" s="458"/>
      <c r="G1050" s="458"/>
      <c r="H1050" s="460"/>
      <c r="I1050" s="460"/>
      <c r="J1050" s="460"/>
      <c r="K1050" s="460"/>
      <c r="L1050" s="460"/>
      <c r="M1050" s="458"/>
      <c r="N1050" s="458"/>
      <c r="O1050" s="458"/>
      <c r="P1050" s="458"/>
      <c r="Q1050" s="458"/>
      <c r="R1050" s="461"/>
      <c r="S1050" s="461"/>
      <c r="T1050" s="458"/>
      <c r="U1050" s="461"/>
      <c r="V1050" s="461"/>
      <c r="W1050" s="461"/>
      <c r="X1050" s="461"/>
      <c r="Y1050" s="458"/>
      <c r="Z1050" s="458"/>
      <c r="AA1050" s="458"/>
      <c r="AB1050" s="458"/>
      <c r="AC1050" s="458"/>
      <c r="AD1050" s="458"/>
      <c r="AE1050" s="462"/>
      <c r="AF1050" s="458"/>
      <c r="AG1050" s="458"/>
      <c r="AH1050" s="458"/>
      <c r="AI1050" s="458"/>
      <c r="AJ1050" s="458"/>
      <c r="AK1050" s="458"/>
      <c r="AL1050" s="458"/>
      <c r="AM1050" s="458"/>
      <c r="AN1050" s="458"/>
      <c r="AO1050" s="458"/>
      <c r="AP1050" s="458"/>
      <c r="AQ1050" s="458"/>
      <c r="AR1050" s="458"/>
      <c r="AS1050" s="458"/>
      <c r="AT1050" s="458"/>
      <c r="AU1050" s="458"/>
      <c r="AV1050" s="458"/>
      <c r="AW1050" s="458"/>
      <c r="AX1050" s="458"/>
      <c r="AY1050" s="458"/>
      <c r="AZ1050" s="458"/>
      <c r="BA1050" s="458"/>
      <c r="BB1050" s="458"/>
      <c r="BC1050" s="458"/>
      <c r="BD1050" s="458"/>
      <c r="BE1050" s="458"/>
      <c r="BF1050" s="458"/>
    </row>
    <row r="1051">
      <c r="A1051" s="458"/>
      <c r="B1051" s="459"/>
      <c r="C1051" s="460"/>
      <c r="D1051" s="458"/>
      <c r="E1051" s="458"/>
      <c r="F1051" s="458"/>
      <c r="G1051" s="458"/>
      <c r="H1051" s="460"/>
      <c r="I1051" s="460"/>
      <c r="J1051" s="460"/>
      <c r="K1051" s="460"/>
      <c r="L1051" s="460"/>
      <c r="M1051" s="458"/>
      <c r="N1051" s="458"/>
      <c r="O1051" s="458"/>
      <c r="P1051" s="458"/>
      <c r="Q1051" s="458"/>
      <c r="R1051" s="461"/>
      <c r="S1051" s="461"/>
      <c r="T1051" s="458"/>
      <c r="U1051" s="461"/>
      <c r="V1051" s="461"/>
      <c r="W1051" s="461"/>
      <c r="X1051" s="461"/>
      <c r="Y1051" s="458"/>
      <c r="Z1051" s="458"/>
      <c r="AA1051" s="458"/>
      <c r="AB1051" s="458"/>
      <c r="AC1051" s="458"/>
      <c r="AD1051" s="458"/>
      <c r="AE1051" s="462"/>
      <c r="AF1051" s="458"/>
      <c r="AG1051" s="458"/>
      <c r="AH1051" s="458"/>
      <c r="AI1051" s="458"/>
      <c r="AJ1051" s="458"/>
      <c r="AK1051" s="458"/>
      <c r="AL1051" s="458"/>
      <c r="AM1051" s="458"/>
      <c r="AN1051" s="458"/>
      <c r="AO1051" s="458"/>
      <c r="AP1051" s="458"/>
      <c r="AQ1051" s="458"/>
      <c r="AR1051" s="458"/>
      <c r="AS1051" s="458"/>
      <c r="AT1051" s="458"/>
      <c r="AU1051" s="458"/>
      <c r="AV1051" s="458"/>
      <c r="AW1051" s="458"/>
      <c r="AX1051" s="458"/>
      <c r="AY1051" s="458"/>
      <c r="AZ1051" s="458"/>
      <c r="BA1051" s="458"/>
      <c r="BB1051" s="458"/>
      <c r="BC1051" s="458"/>
      <c r="BD1051" s="458"/>
      <c r="BE1051" s="458"/>
      <c r="BF1051" s="458"/>
    </row>
  </sheetData>
  <autoFilter ref="$A$4:$BB$47"/>
  <mergeCells count="13">
    <mergeCell ref="AQ2:AX3"/>
    <mergeCell ref="AY2:AY3"/>
    <mergeCell ref="BA2:BE3"/>
    <mergeCell ref="S3:V3"/>
    <mergeCell ref="W3:AC3"/>
    <mergeCell ref="D6:E6"/>
    <mergeCell ref="F2:G3"/>
    <mergeCell ref="H2:H3"/>
    <mergeCell ref="I2:L3"/>
    <mergeCell ref="M2:Q3"/>
    <mergeCell ref="S2:AC2"/>
    <mergeCell ref="AG2:AI3"/>
    <mergeCell ref="AJ2:AP3"/>
  </mergeCells>
  <dataValidations>
    <dataValidation type="list" allowBlank="1" showErrorMessage="1" sqref="AQ5:AQ45">
      <formula1>"FAT Due,FAT Complete,Not Req,Phase 1.1"</formula1>
    </dataValidation>
    <dataValidation type="list" allowBlank="1" sqref="AR5:AT5 AR7:AT20 AR21:AU21 AR22:AT45">
      <formula1>"Planned,In Progress,Installed,Blocked,Phase 1.1,N/A"</formula1>
    </dataValidation>
    <dataValidation type="list" allowBlank="1" showErrorMessage="1" sqref="AU5 AR6:AU6 AU7:AU20 AU22:AU45">
      <formula1>"Ordered,Delivered,Not Req.,Phase 1.1,Planned"</formula1>
    </dataValidation>
    <dataValidation type="list" allowBlank="1" showErrorMessage="1" sqref="F5:F46">
      <formula1>"N/A,Ready to order,WIP,Ordered,Blocked,Phase 1.1"</formula1>
    </dataValidation>
  </dataValidations>
  <hyperlinks>
    <hyperlink r:id="rId2" ref="A5"/>
    <hyperlink r:id="rId3" ref="AG5"/>
    <hyperlink r:id="rId4" ref="A6"/>
    <hyperlink r:id="rId5" ref="A7"/>
    <hyperlink r:id="rId6" ref="A8"/>
    <hyperlink r:id="rId7" ref="AG8"/>
    <hyperlink r:id="rId8" ref="A9"/>
    <hyperlink r:id="rId9" ref="AG9"/>
    <hyperlink r:id="rId10" ref="A10"/>
    <hyperlink r:id="rId11" ref="AG10"/>
    <hyperlink r:id="rId12" ref="A11"/>
    <hyperlink r:id="rId13" ref="A12"/>
    <hyperlink r:id="rId14" ref="A13"/>
    <hyperlink r:id="rId15" ref="A14"/>
    <hyperlink r:id="rId16" ref="A15"/>
    <hyperlink r:id="rId17" ref="AG15"/>
    <hyperlink r:id="rId18" ref="A16"/>
    <hyperlink r:id="rId19" ref="A17"/>
    <hyperlink r:id="rId20" ref="A18"/>
    <hyperlink r:id="rId21" ref="A19"/>
    <hyperlink r:id="rId22" ref="A20"/>
    <hyperlink r:id="rId23" ref="A21"/>
    <hyperlink r:id="rId24" ref="A22"/>
    <hyperlink r:id="rId25" ref="A23"/>
    <hyperlink r:id="rId26" ref="A24"/>
    <hyperlink r:id="rId27" ref="A25"/>
    <hyperlink r:id="rId28" ref="A26"/>
    <hyperlink r:id="rId29" ref="AG26"/>
    <hyperlink r:id="rId30" ref="A27"/>
    <hyperlink r:id="rId31" ref="A28"/>
    <hyperlink r:id="rId32" ref="A29"/>
    <hyperlink r:id="rId33" ref="A30"/>
    <hyperlink r:id="rId34" ref="A31"/>
    <hyperlink r:id="rId35" ref="A32"/>
    <hyperlink r:id="rId36" ref="A33"/>
    <hyperlink r:id="rId37" ref="A34"/>
    <hyperlink r:id="rId38" ref="A35"/>
    <hyperlink r:id="rId39" ref="A36"/>
    <hyperlink r:id="rId40" ref="A37"/>
    <hyperlink r:id="rId41" ref="A38"/>
    <hyperlink r:id="rId42" ref="A39"/>
    <hyperlink r:id="rId43" ref="A40"/>
    <hyperlink r:id="rId44" ref="A41"/>
    <hyperlink r:id="rId45" ref="A42"/>
    <hyperlink r:id="rId46" ref="A43"/>
    <hyperlink r:id="rId47" ref="A44"/>
    <hyperlink r:id="rId48" ref="A45"/>
    <hyperlink r:id="rId49" ref="A46"/>
  </hyperlinks>
  <drawing r:id="rId50"/>
  <legacyDrawing r:id="rId5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4.75"/>
    <col customWidth="1" min="3" max="3" width="45.0"/>
    <col hidden="1" min="19" max="26" width="12.63"/>
  </cols>
  <sheetData>
    <row r="1">
      <c r="A1" s="463" t="s">
        <v>349</v>
      </c>
      <c r="B1" s="463" t="s">
        <v>7</v>
      </c>
      <c r="C1" s="464" t="s">
        <v>231</v>
      </c>
      <c r="D1" s="465"/>
      <c r="E1" s="465"/>
      <c r="F1" s="465"/>
      <c r="G1" s="465"/>
      <c r="H1" s="466"/>
      <c r="I1" s="466"/>
      <c r="J1" s="466"/>
      <c r="K1" s="466"/>
      <c r="L1" s="466"/>
      <c r="M1" s="466"/>
      <c r="N1" s="466"/>
      <c r="O1" s="467"/>
      <c r="P1" s="467"/>
      <c r="Q1" s="467"/>
      <c r="R1" s="467"/>
      <c r="S1" s="467"/>
      <c r="T1" s="467"/>
      <c r="U1" s="467"/>
      <c r="V1" s="467"/>
      <c r="W1" s="467"/>
      <c r="X1" s="467"/>
      <c r="Y1" s="467"/>
      <c r="Z1" s="467"/>
    </row>
    <row r="2">
      <c r="A2" s="163"/>
      <c r="B2" s="163"/>
      <c r="C2" s="164"/>
      <c r="D2" s="165"/>
      <c r="E2" s="165"/>
      <c r="F2" s="166"/>
      <c r="G2" s="166"/>
      <c r="H2" s="163"/>
      <c r="I2" s="96"/>
      <c r="J2" s="96"/>
      <c r="K2" s="163"/>
      <c r="L2" s="163"/>
      <c r="M2" s="96"/>
      <c r="N2" s="96"/>
      <c r="O2" s="96"/>
      <c r="P2" s="167" t="s">
        <v>203</v>
      </c>
      <c r="S2" s="167"/>
      <c r="T2" s="167"/>
      <c r="U2" s="168"/>
      <c r="V2" s="167" t="s">
        <v>203</v>
      </c>
      <c r="Y2" s="168"/>
      <c r="Z2" s="168"/>
    </row>
    <row r="3">
      <c r="A3" s="170" t="s">
        <v>205</v>
      </c>
      <c r="B3" s="170" t="s">
        <v>117</v>
      </c>
      <c r="C3" s="171" t="s">
        <v>350</v>
      </c>
      <c r="D3" s="171" t="s">
        <v>206</v>
      </c>
      <c r="E3" s="172" t="s">
        <v>5</v>
      </c>
      <c r="F3" s="173" t="s">
        <v>207</v>
      </c>
      <c r="G3" s="173" t="s">
        <v>208</v>
      </c>
      <c r="H3" s="172" t="s">
        <v>209</v>
      </c>
      <c r="I3" s="78" t="s">
        <v>210</v>
      </c>
      <c r="J3" s="78" t="s">
        <v>211</v>
      </c>
      <c r="K3" s="170" t="s">
        <v>212</v>
      </c>
      <c r="L3" s="170" t="s">
        <v>213</v>
      </c>
      <c r="M3" s="78" t="s">
        <v>214</v>
      </c>
      <c r="N3" s="78" t="s">
        <v>215</v>
      </c>
      <c r="O3" s="170" t="s">
        <v>126</v>
      </c>
      <c r="P3" s="78" t="s">
        <v>91</v>
      </c>
      <c r="Q3" s="78" t="s">
        <v>113</v>
      </c>
      <c r="R3" s="170" t="s">
        <v>13</v>
      </c>
      <c r="S3" s="78" t="s">
        <v>216</v>
      </c>
      <c r="T3" s="78" t="s">
        <v>13</v>
      </c>
      <c r="U3" s="78"/>
      <c r="V3" s="78"/>
      <c r="W3" s="78"/>
      <c r="X3" s="78"/>
      <c r="Y3" s="78"/>
      <c r="Z3" s="78"/>
    </row>
    <row r="4">
      <c r="A4" s="175" t="str">
        <f t="shared" ref="A4:A39" si="1">if(E4="","", CONCAT("2026-",E4))</f>
        <v>2026-W22</v>
      </c>
      <c r="B4" s="175" t="str">
        <f>IFERROR(__xludf.DUMMYFUNCTION("IF(B1=""Verden"", 
  FILTER('Volume Split Up-To-Date'!$A$3:$T40, ('Volume Split Up-To-Date'!$O$3:$O40 + 'Volume Split Up-To-Date'!$P$3:$P40 + 'Volume Split Up-To-Date'!$Q$3:$Q40) &gt; 0,'Volume Split Up-To-Date'!$D$3:$D40 = $C$1), 
  IF(B1=""Maitre"", 
    F"&amp;"ILTER('Volume Split Up-To-Date'!$A$3:$T40, ('Volume Split Up-To-Date'!$O$3:$O40 + 'Volume Split Up-To-Date'!$P$3:$P40 + 'Volume Split Up-To-Date'!$Q$3:$Q40) = 0,'Volume Split Up-To-Date'!$D$3:$D40 = $C$1), 
    ""Please select Maitre or Verden""
  )
)"),"FE0713B")</f>
        <v>FE0713B</v>
      </c>
      <c r="C4" s="176" t="str">
        <f>IFERROR(__xludf.DUMMYFUNCTION("""COMPUTED_VALUE"""),"Keto")</f>
        <v>Keto</v>
      </c>
      <c r="D4" s="175" t="str">
        <f>IFERROR(__xludf.DUMMYFUNCTION("""COMPUTED_VALUE"""),"Cabbage in cheese sauce with minced beef")</f>
        <v>Cabbage in cheese sauce with minced beef</v>
      </c>
      <c r="E4" s="175" t="str">
        <f>IFERROR(__xludf.DUMMYFUNCTION("""COMPUTED_VALUE"""),"W22")</f>
        <v>W22</v>
      </c>
      <c r="F4" s="12">
        <f>IFERROR(__xludf.DUMMYFUNCTION("""COMPUTED_VALUE"""),403.0)</f>
        <v>403</v>
      </c>
      <c r="G4" s="12">
        <f>IFERROR(__xludf.DUMMYFUNCTION("""COMPUTED_VALUE"""),603.0)</f>
        <v>603</v>
      </c>
      <c r="H4" s="175">
        <f>IFERROR(__xludf.DUMMYFUNCTION("""COMPUTED_VALUE"""),303.0)</f>
        <v>303</v>
      </c>
      <c r="I4" s="17">
        <f>IFERROR(__xludf.DUMMYFUNCTION("""COMPUTED_VALUE"""),3247.0)</f>
        <v>3247</v>
      </c>
      <c r="J4" s="17">
        <f>IFERROR(__xludf.DUMMYFUNCTION("""COMPUTED_VALUE"""),2027.0)</f>
        <v>2027</v>
      </c>
      <c r="K4" s="18">
        <f>IFERROR(__xludf.DUMMYFUNCTION("""COMPUTED_VALUE"""),1640.0)</f>
        <v>1640</v>
      </c>
      <c r="L4" s="18">
        <f>IFERROR(__xludf.DUMMYFUNCTION("""COMPUTED_VALUE"""),0.0)</f>
        <v>0</v>
      </c>
      <c r="M4" s="17">
        <f>IFERROR(__xludf.DUMMYFUNCTION("""COMPUTED_VALUE"""),3267.0)</f>
        <v>3267</v>
      </c>
      <c r="N4" s="17">
        <f>IFERROR(__xludf.DUMMYFUNCTION("""COMPUTED_VALUE"""),2047.0)</f>
        <v>2047</v>
      </c>
      <c r="O4" s="18">
        <f>IFERROR(__xludf.DUMMYFUNCTION("""COMPUTED_VALUE"""),1660.0)</f>
        <v>1660</v>
      </c>
      <c r="P4" s="177">
        <f>IFERROR(__xludf.DUMMYFUNCTION("""COMPUTED_VALUE"""),1.0)</f>
        <v>1</v>
      </c>
      <c r="Q4" s="177">
        <f>IFERROR(__xludf.DUMMYFUNCTION("""COMPUTED_VALUE"""),1.0)</f>
        <v>1</v>
      </c>
      <c r="R4" s="178">
        <f>IFERROR(__xludf.DUMMYFUNCTION("""COMPUTED_VALUE"""),1.0)</f>
        <v>1</v>
      </c>
      <c r="S4" s="12">
        <f>IFERROR(__xludf.DUMMYFUNCTION("""COMPUTED_VALUE"""),3267.0)</f>
        <v>3267</v>
      </c>
      <c r="T4" s="179">
        <f>IFERROR(__xludf.DUMMYFUNCTION("""COMPUTED_VALUE"""),2047.0)</f>
        <v>2047</v>
      </c>
      <c r="U4" s="179">
        <f>IFERROR(__xludf.DUMMYFUNCTION("""COMPUTED_VALUE"""),1660.0)</f>
        <v>1660</v>
      </c>
      <c r="V4" s="12"/>
      <c r="W4" s="12"/>
      <c r="X4" s="12"/>
      <c r="Y4" s="12"/>
      <c r="Z4" s="12"/>
    </row>
    <row r="5">
      <c r="A5" s="175" t="str">
        <f t="shared" si="1"/>
        <v>2026-W22</v>
      </c>
      <c r="B5" s="175" t="str">
        <f>IFERROR(__xludf.DUMMYFUNCTION("""COMPUTED_VALUE"""),"FE0281E")</f>
        <v>FE0281E</v>
      </c>
      <c r="C5" s="176" t="str">
        <f>IFERROR(__xludf.DUMMYFUNCTION("""COMPUTED_VALUE"""),"P+")</f>
        <v>P+</v>
      </c>
      <c r="D5" s="175" t="str">
        <f>IFERROR(__xludf.DUMMYFUNCTION("""COMPUTED_VALUE"""),"Spicy citrus salmon")</f>
        <v>Spicy citrus salmon</v>
      </c>
      <c r="E5" s="175" t="str">
        <f>IFERROR(__xludf.DUMMYFUNCTION("""COMPUTED_VALUE"""),"W22")</f>
        <v>W22</v>
      </c>
      <c r="F5" s="12">
        <f>IFERROR(__xludf.DUMMYFUNCTION("""COMPUTED_VALUE"""),404.0)</f>
        <v>404</v>
      </c>
      <c r="G5" s="12">
        <f>IFERROR(__xludf.DUMMYFUNCTION("""COMPUTED_VALUE"""),604.0)</f>
        <v>604</v>
      </c>
      <c r="H5" s="175">
        <f>IFERROR(__xludf.DUMMYFUNCTION("""COMPUTED_VALUE"""),304.0)</f>
        <v>304</v>
      </c>
      <c r="I5" s="17">
        <f>IFERROR(__xludf.DUMMYFUNCTION("""COMPUTED_VALUE"""),5301.0)</f>
        <v>5301</v>
      </c>
      <c r="J5" s="17">
        <f>IFERROR(__xludf.DUMMYFUNCTION("""COMPUTED_VALUE"""),2968.0)</f>
        <v>2968</v>
      </c>
      <c r="K5" s="18">
        <f>IFERROR(__xludf.DUMMYFUNCTION("""COMPUTED_VALUE"""),2263.0)</f>
        <v>2263</v>
      </c>
      <c r="L5" s="18">
        <f>IFERROR(__xludf.DUMMYFUNCTION("""COMPUTED_VALUE"""),0.0)</f>
        <v>0</v>
      </c>
      <c r="M5" s="17">
        <f>IFERROR(__xludf.DUMMYFUNCTION("""COMPUTED_VALUE"""),5321.0)</f>
        <v>5321</v>
      </c>
      <c r="N5" s="17">
        <f>IFERROR(__xludf.DUMMYFUNCTION("""COMPUTED_VALUE"""),2988.0)</f>
        <v>2988</v>
      </c>
      <c r="O5" s="18">
        <f>IFERROR(__xludf.DUMMYFUNCTION("""COMPUTED_VALUE"""),2283.0)</f>
        <v>2283</v>
      </c>
      <c r="P5" s="177">
        <f>IFERROR(__xludf.DUMMYFUNCTION("""COMPUTED_VALUE"""),1.0)</f>
        <v>1</v>
      </c>
      <c r="Q5" s="177">
        <f>IFERROR(__xludf.DUMMYFUNCTION("""COMPUTED_VALUE"""),1.0)</f>
        <v>1</v>
      </c>
      <c r="R5" s="178">
        <f>IFERROR(__xludf.DUMMYFUNCTION("""COMPUTED_VALUE"""),1.0)</f>
        <v>1</v>
      </c>
      <c r="S5" s="12">
        <f>IFERROR(__xludf.DUMMYFUNCTION("""COMPUTED_VALUE"""),5321.0)</f>
        <v>5321</v>
      </c>
      <c r="T5" s="179">
        <f>IFERROR(__xludf.DUMMYFUNCTION("""COMPUTED_VALUE"""),2988.0)</f>
        <v>2988</v>
      </c>
      <c r="U5" s="179">
        <f>IFERROR(__xludf.DUMMYFUNCTION("""COMPUTED_VALUE"""),2283.0)</f>
        <v>2283</v>
      </c>
      <c r="V5" s="12"/>
      <c r="W5" s="12"/>
      <c r="X5" s="12"/>
      <c r="Y5" s="12"/>
      <c r="Z5" s="12"/>
    </row>
    <row r="6">
      <c r="A6" s="175" t="str">
        <f t="shared" si="1"/>
        <v>2026-W22</v>
      </c>
      <c r="B6" s="175" t="str">
        <f>IFERROR(__xludf.DUMMYFUNCTION("""COMPUTED_VALUE"""),"FE0972B")</f>
        <v>FE0972B</v>
      </c>
      <c r="C6" s="176" t="str">
        <f>IFERROR(__xludf.DUMMYFUNCTION("""COMPUTED_VALUE"""),"Keto")</f>
        <v>Keto</v>
      </c>
      <c r="D6" s="175" t="str">
        <f>IFERROR(__xludf.DUMMYFUNCTION("""COMPUTED_VALUE"""),"Salmon Piccata")</f>
        <v>Salmon Piccata</v>
      </c>
      <c r="E6" s="175" t="str">
        <f>IFERROR(__xludf.DUMMYFUNCTION("""COMPUTED_VALUE"""),"W22")</f>
        <v>W22</v>
      </c>
      <c r="F6" s="12">
        <f>IFERROR(__xludf.DUMMYFUNCTION("""COMPUTED_VALUE"""),406.0)</f>
        <v>406</v>
      </c>
      <c r="G6" s="12">
        <f>IFERROR(__xludf.DUMMYFUNCTION("""COMPUTED_VALUE"""),606.0)</f>
        <v>606</v>
      </c>
      <c r="H6" s="18">
        <f>IFERROR(__xludf.DUMMYFUNCTION("""COMPUTED_VALUE"""),306.0)</f>
        <v>306</v>
      </c>
      <c r="I6" s="17">
        <f>IFERROR(__xludf.DUMMYFUNCTION("""COMPUTED_VALUE"""),2873.0)</f>
        <v>2873</v>
      </c>
      <c r="J6" s="17">
        <f>IFERROR(__xludf.DUMMYFUNCTION("""COMPUTED_VALUE"""),1741.0)</f>
        <v>1741</v>
      </c>
      <c r="K6" s="18">
        <f>IFERROR(__xludf.DUMMYFUNCTION("""COMPUTED_VALUE"""),1703.0)</f>
        <v>1703</v>
      </c>
      <c r="L6" s="18">
        <f>IFERROR(__xludf.DUMMYFUNCTION("""COMPUTED_VALUE"""),0.0)</f>
        <v>0</v>
      </c>
      <c r="M6" s="17">
        <f>IFERROR(__xludf.DUMMYFUNCTION("""COMPUTED_VALUE"""),2893.0)</f>
        <v>2893</v>
      </c>
      <c r="N6" s="17">
        <f>IFERROR(__xludf.DUMMYFUNCTION("""COMPUTED_VALUE"""),1761.0)</f>
        <v>1761</v>
      </c>
      <c r="O6" s="178">
        <f>IFERROR(__xludf.DUMMYFUNCTION("""COMPUTED_VALUE"""),1723.0)</f>
        <v>1723</v>
      </c>
      <c r="P6" s="177">
        <f>IFERROR(__xludf.DUMMYFUNCTION("""COMPUTED_VALUE"""),1.0)</f>
        <v>1</v>
      </c>
      <c r="Q6" s="177">
        <f>IFERROR(__xludf.DUMMYFUNCTION("""COMPUTED_VALUE"""),1.0)</f>
        <v>1</v>
      </c>
      <c r="R6" s="178">
        <f>IFERROR(__xludf.DUMMYFUNCTION("""COMPUTED_VALUE"""),1.0)</f>
        <v>1</v>
      </c>
      <c r="S6" s="179">
        <f>IFERROR(__xludf.DUMMYFUNCTION("""COMPUTED_VALUE"""),2893.0)</f>
        <v>2893</v>
      </c>
      <c r="T6" s="179">
        <f>IFERROR(__xludf.DUMMYFUNCTION("""COMPUTED_VALUE"""),1761.0)</f>
        <v>1761</v>
      </c>
      <c r="U6" s="179">
        <f>IFERROR(__xludf.DUMMYFUNCTION("""COMPUTED_VALUE"""),1723.0)</f>
        <v>1723</v>
      </c>
      <c r="V6" s="179"/>
      <c r="W6" s="179"/>
      <c r="X6" s="179"/>
      <c r="Y6" s="179"/>
      <c r="Z6" s="179"/>
    </row>
    <row r="7">
      <c r="A7" s="175" t="str">
        <f t="shared" si="1"/>
        <v>2026-W22</v>
      </c>
      <c r="B7" s="175" t="str">
        <f>IFERROR(__xludf.DUMMYFUNCTION("""COMPUTED_VALUE"""),"FE0794D")</f>
        <v>FE0794D</v>
      </c>
      <c r="C7" s="176" t="str">
        <f>IFERROR(__xludf.DUMMYFUNCTION("""COMPUTED_VALUE"""),"Keto")</f>
        <v>Keto</v>
      </c>
      <c r="D7" s="175" t="str">
        <f>IFERROR(__xludf.DUMMYFUNCTION("""COMPUTED_VALUE"""),"Loaded Bacon Shredded Chicken")</f>
        <v>Loaded Bacon Shredded Chicken</v>
      </c>
      <c r="E7" s="175" t="str">
        <f>IFERROR(__xludf.DUMMYFUNCTION("""COMPUTED_VALUE"""),"W22")</f>
        <v>W22</v>
      </c>
      <c r="F7" s="12">
        <f>IFERROR(__xludf.DUMMYFUNCTION("""COMPUTED_VALUE"""),407.0)</f>
        <v>407</v>
      </c>
      <c r="G7" s="12">
        <f>IFERROR(__xludf.DUMMYFUNCTION("""COMPUTED_VALUE"""),607.0)</f>
        <v>607</v>
      </c>
      <c r="H7" s="18">
        <f>IFERROR(__xludf.DUMMYFUNCTION("""COMPUTED_VALUE"""),307.0)</f>
        <v>307</v>
      </c>
      <c r="I7" s="17">
        <f>IFERROR(__xludf.DUMMYFUNCTION("""COMPUTED_VALUE"""),2499.0)</f>
        <v>2499</v>
      </c>
      <c r="J7" s="17">
        <f>IFERROR(__xludf.DUMMYFUNCTION("""COMPUTED_VALUE"""),1574.0)</f>
        <v>1574</v>
      </c>
      <c r="K7" s="18">
        <f>IFERROR(__xludf.DUMMYFUNCTION("""COMPUTED_VALUE"""),1402.0)</f>
        <v>1402</v>
      </c>
      <c r="L7" s="18">
        <f>IFERROR(__xludf.DUMMYFUNCTION("""COMPUTED_VALUE"""),0.0)</f>
        <v>0</v>
      </c>
      <c r="M7" s="17">
        <f>IFERROR(__xludf.DUMMYFUNCTION("""COMPUTED_VALUE"""),2519.0)</f>
        <v>2519</v>
      </c>
      <c r="N7" s="17">
        <f>IFERROR(__xludf.DUMMYFUNCTION("""COMPUTED_VALUE"""),1594.0)</f>
        <v>1594</v>
      </c>
      <c r="O7" s="178">
        <f>IFERROR(__xludf.DUMMYFUNCTION("""COMPUTED_VALUE"""),1422.0)</f>
        <v>1422</v>
      </c>
      <c r="P7" s="177">
        <f>IFERROR(__xludf.DUMMYFUNCTION("""COMPUTED_VALUE"""),1.0)</f>
        <v>1</v>
      </c>
      <c r="Q7" s="177">
        <f>IFERROR(__xludf.DUMMYFUNCTION("""COMPUTED_VALUE"""),1.0)</f>
        <v>1</v>
      </c>
      <c r="R7" s="178">
        <f>IFERROR(__xludf.DUMMYFUNCTION("""COMPUTED_VALUE"""),1.0)</f>
        <v>1</v>
      </c>
      <c r="S7" s="179">
        <f>IFERROR(__xludf.DUMMYFUNCTION("""COMPUTED_VALUE"""),2519.0)</f>
        <v>2519</v>
      </c>
      <c r="T7" s="179">
        <f>IFERROR(__xludf.DUMMYFUNCTION("""COMPUTED_VALUE"""),1594.0)</f>
        <v>1594</v>
      </c>
      <c r="U7" s="179">
        <f>IFERROR(__xludf.DUMMYFUNCTION("""COMPUTED_VALUE"""),1422.0)</f>
        <v>1422</v>
      </c>
      <c r="V7" s="179"/>
      <c r="W7" s="179"/>
      <c r="X7" s="179"/>
      <c r="Y7" s="179"/>
      <c r="Z7" s="179"/>
    </row>
    <row r="8">
      <c r="A8" s="175" t="str">
        <f t="shared" si="1"/>
        <v>2026-W22</v>
      </c>
      <c r="B8" s="175" t="str">
        <f>IFERROR(__xludf.DUMMYFUNCTION("""COMPUTED_VALUE"""),"FE0121C")</f>
        <v>FE0121C</v>
      </c>
      <c r="C8" s="176" t="str">
        <f>IFERROR(__xludf.DUMMYFUNCTION("""COMPUTED_VALUE"""),"Veggie")</f>
        <v>Veggie</v>
      </c>
      <c r="D8" s="175" t="str">
        <f>IFERROR(__xludf.DUMMYFUNCTION("""COMPUTED_VALUE"""),"Mexican style corn cake")</f>
        <v>Mexican style corn cake</v>
      </c>
      <c r="E8" s="175" t="str">
        <f>IFERROR(__xludf.DUMMYFUNCTION("""COMPUTED_VALUE"""),"W22")</f>
        <v>W22</v>
      </c>
      <c r="F8" s="12">
        <f>IFERROR(__xludf.DUMMYFUNCTION("""COMPUTED_VALUE"""),409.0)</f>
        <v>409</v>
      </c>
      <c r="G8" s="12">
        <f>IFERROR(__xludf.DUMMYFUNCTION("""COMPUTED_VALUE"""),609.0)</f>
        <v>609</v>
      </c>
      <c r="H8" s="18">
        <f>IFERROR(__xludf.DUMMYFUNCTION("""COMPUTED_VALUE"""),309.0)</f>
        <v>309</v>
      </c>
      <c r="I8" s="17">
        <f>IFERROR(__xludf.DUMMYFUNCTION("""COMPUTED_VALUE"""),451.0)</f>
        <v>451</v>
      </c>
      <c r="J8" s="17">
        <f>IFERROR(__xludf.DUMMYFUNCTION("""COMPUTED_VALUE"""),202.0)</f>
        <v>202</v>
      </c>
      <c r="K8" s="18">
        <f>IFERROR(__xludf.DUMMYFUNCTION("""COMPUTED_VALUE"""),236.0)</f>
        <v>236</v>
      </c>
      <c r="L8" s="18">
        <f>IFERROR(__xludf.DUMMYFUNCTION("""COMPUTED_VALUE"""),0.0)</f>
        <v>0</v>
      </c>
      <c r="M8" s="17">
        <f>IFERROR(__xludf.DUMMYFUNCTION("""COMPUTED_VALUE"""),471.0)</f>
        <v>471</v>
      </c>
      <c r="N8" s="17">
        <f>IFERROR(__xludf.DUMMYFUNCTION("""COMPUTED_VALUE"""),222.0)</f>
        <v>222</v>
      </c>
      <c r="O8" s="178">
        <f>IFERROR(__xludf.DUMMYFUNCTION("""COMPUTED_VALUE"""),256.0)</f>
        <v>256</v>
      </c>
      <c r="P8" s="177">
        <f>IFERROR(__xludf.DUMMYFUNCTION("""COMPUTED_VALUE"""),1.0)</f>
        <v>1</v>
      </c>
      <c r="Q8" s="177">
        <f>IFERROR(__xludf.DUMMYFUNCTION("""COMPUTED_VALUE"""),1.0)</f>
        <v>1</v>
      </c>
      <c r="R8" s="178">
        <f>IFERROR(__xludf.DUMMYFUNCTION("""COMPUTED_VALUE"""),1.0)</f>
        <v>1</v>
      </c>
      <c r="S8" s="179">
        <f>IFERROR(__xludf.DUMMYFUNCTION("""COMPUTED_VALUE"""),471.0)</f>
        <v>471</v>
      </c>
      <c r="T8" s="179">
        <f>IFERROR(__xludf.DUMMYFUNCTION("""COMPUTED_VALUE"""),222.0)</f>
        <v>222</v>
      </c>
      <c r="U8" s="179">
        <f>IFERROR(__xludf.DUMMYFUNCTION("""COMPUTED_VALUE"""),256.0)</f>
        <v>256</v>
      </c>
      <c r="V8" s="179"/>
      <c r="W8" s="179"/>
      <c r="X8" s="179"/>
      <c r="Y8" s="179"/>
      <c r="Z8" s="179"/>
    </row>
    <row r="9">
      <c r="A9" s="175" t="str">
        <f t="shared" si="1"/>
        <v>2026-W22</v>
      </c>
      <c r="B9" s="175" t="str">
        <f>IFERROR(__xludf.DUMMYFUNCTION("""COMPUTED_VALUE"""),"FE0131C")</f>
        <v>FE0131C</v>
      </c>
      <c r="C9" s="176" t="str">
        <f>IFERROR(__xludf.DUMMYFUNCTION("""COMPUTED_VALUE"""),"Veggie")</f>
        <v>Veggie</v>
      </c>
      <c r="D9" s="175" t="str">
        <f>IFERROR(__xludf.DUMMYFUNCTION("""COMPUTED_VALUE"""),"Black bean bowl and enchilada sauce")</f>
        <v>Black bean bowl and enchilada sauce</v>
      </c>
      <c r="E9" s="175" t="str">
        <f>IFERROR(__xludf.DUMMYFUNCTION("""COMPUTED_VALUE"""),"W22")</f>
        <v>W22</v>
      </c>
      <c r="F9" s="12">
        <f>IFERROR(__xludf.DUMMYFUNCTION("""COMPUTED_VALUE"""),410.0)</f>
        <v>410</v>
      </c>
      <c r="G9" s="12">
        <f>IFERROR(__xludf.DUMMYFUNCTION("""COMPUTED_VALUE"""),610.0)</f>
        <v>610</v>
      </c>
      <c r="H9" s="18">
        <f>IFERROR(__xludf.DUMMYFUNCTION("""COMPUTED_VALUE"""),310.0)</f>
        <v>310</v>
      </c>
      <c r="I9" s="17">
        <f>IFERROR(__xludf.DUMMYFUNCTION("""COMPUTED_VALUE"""),593.0)</f>
        <v>593</v>
      </c>
      <c r="J9" s="17">
        <f>IFERROR(__xludf.DUMMYFUNCTION("""COMPUTED_VALUE"""),271.0)</f>
        <v>271</v>
      </c>
      <c r="K9" s="18">
        <f>IFERROR(__xludf.DUMMYFUNCTION("""COMPUTED_VALUE"""),284.0)</f>
        <v>284</v>
      </c>
      <c r="L9" s="18">
        <f>IFERROR(__xludf.DUMMYFUNCTION("""COMPUTED_VALUE"""),0.0)</f>
        <v>0</v>
      </c>
      <c r="M9" s="17">
        <f>IFERROR(__xludf.DUMMYFUNCTION("""COMPUTED_VALUE"""),613.0)</f>
        <v>613</v>
      </c>
      <c r="N9" s="17">
        <f>IFERROR(__xludf.DUMMYFUNCTION("""COMPUTED_VALUE"""),291.0)</f>
        <v>291</v>
      </c>
      <c r="O9" s="178">
        <f>IFERROR(__xludf.DUMMYFUNCTION("""COMPUTED_VALUE"""),304.0)</f>
        <v>304</v>
      </c>
      <c r="P9" s="177">
        <f>IFERROR(__xludf.DUMMYFUNCTION("""COMPUTED_VALUE"""),1.0)</f>
        <v>1</v>
      </c>
      <c r="Q9" s="177">
        <f>IFERROR(__xludf.DUMMYFUNCTION("""COMPUTED_VALUE"""),1.0)</f>
        <v>1</v>
      </c>
      <c r="R9" s="178">
        <f>IFERROR(__xludf.DUMMYFUNCTION("""COMPUTED_VALUE"""),1.0)</f>
        <v>1</v>
      </c>
      <c r="S9" s="179">
        <f>IFERROR(__xludf.DUMMYFUNCTION("""COMPUTED_VALUE"""),613.0)</f>
        <v>613</v>
      </c>
      <c r="T9" s="179">
        <f>IFERROR(__xludf.DUMMYFUNCTION("""COMPUTED_VALUE"""),291.0)</f>
        <v>291</v>
      </c>
      <c r="U9" s="179">
        <f>IFERROR(__xludf.DUMMYFUNCTION("""COMPUTED_VALUE"""),304.0)</f>
        <v>304</v>
      </c>
      <c r="V9" s="179"/>
      <c r="W9" s="179"/>
      <c r="X9" s="179"/>
      <c r="Y9" s="179"/>
      <c r="Z9" s="179"/>
    </row>
    <row r="10">
      <c r="A10" s="175" t="str">
        <f t="shared" si="1"/>
        <v>2026-W22</v>
      </c>
      <c r="B10" s="175" t="str">
        <f>IFERROR(__xludf.DUMMYFUNCTION("""COMPUTED_VALUE"""),"FV4009A")</f>
        <v>FV4009A</v>
      </c>
      <c r="C10" s="176" t="str">
        <f>IFERROR(__xludf.DUMMYFUNCTION("""COMPUTED_VALUE"""),"P+")</f>
        <v>P+</v>
      </c>
      <c r="D10" s="175" t="str">
        <f>IFERROR(__xludf.DUMMYFUNCTION("""COMPUTED_VALUE"""),"Salmon with a mustard dill sauce")</f>
        <v>Salmon with a mustard dill sauce</v>
      </c>
      <c r="E10" s="175" t="str">
        <f>IFERROR(__xludf.DUMMYFUNCTION("""COMPUTED_VALUE"""),"W22")</f>
        <v>W22</v>
      </c>
      <c r="F10" s="12">
        <f>IFERROR(__xludf.DUMMYFUNCTION("""COMPUTED_VALUE"""),412.0)</f>
        <v>412</v>
      </c>
      <c r="G10" s="12">
        <f>IFERROR(__xludf.DUMMYFUNCTION("""COMPUTED_VALUE"""),612.0)</f>
        <v>612</v>
      </c>
      <c r="H10" s="175">
        <f>IFERROR(__xludf.DUMMYFUNCTION("""COMPUTED_VALUE"""),312.0)</f>
        <v>312</v>
      </c>
      <c r="I10" s="17">
        <f>IFERROR(__xludf.DUMMYFUNCTION("""COMPUTED_VALUE"""),3296.0)</f>
        <v>3296</v>
      </c>
      <c r="J10" s="17">
        <f>IFERROR(__xludf.DUMMYFUNCTION("""COMPUTED_VALUE"""),1499.0)</f>
        <v>1499</v>
      </c>
      <c r="K10" s="18">
        <f>IFERROR(__xludf.DUMMYFUNCTION("""COMPUTED_VALUE"""),1276.0)</f>
        <v>1276</v>
      </c>
      <c r="L10" s="18">
        <f>IFERROR(__xludf.DUMMYFUNCTION("""COMPUTED_VALUE"""),0.0)</f>
        <v>0</v>
      </c>
      <c r="M10" s="17">
        <f>IFERROR(__xludf.DUMMYFUNCTION("""COMPUTED_VALUE"""),3316.0)</f>
        <v>3316</v>
      </c>
      <c r="N10" s="17">
        <f>IFERROR(__xludf.DUMMYFUNCTION("""COMPUTED_VALUE"""),1519.0)</f>
        <v>1519</v>
      </c>
      <c r="O10" s="18">
        <f>IFERROR(__xludf.DUMMYFUNCTION("""COMPUTED_VALUE"""),1296.0)</f>
        <v>1296</v>
      </c>
      <c r="P10" s="177">
        <f>IFERROR(__xludf.DUMMYFUNCTION("""COMPUTED_VALUE"""),1.0)</f>
        <v>1</v>
      </c>
      <c r="Q10" s="177">
        <f>IFERROR(__xludf.DUMMYFUNCTION("""COMPUTED_VALUE"""),1.0)</f>
        <v>1</v>
      </c>
      <c r="R10" s="178">
        <f>IFERROR(__xludf.DUMMYFUNCTION("""COMPUTED_VALUE"""),1.0)</f>
        <v>1</v>
      </c>
      <c r="S10" s="12">
        <f>IFERROR(__xludf.DUMMYFUNCTION("""COMPUTED_VALUE"""),3316.0)</f>
        <v>3316</v>
      </c>
      <c r="T10" s="179">
        <f>IFERROR(__xludf.DUMMYFUNCTION("""COMPUTED_VALUE"""),1519.0)</f>
        <v>1519</v>
      </c>
      <c r="U10" s="179">
        <f>IFERROR(__xludf.DUMMYFUNCTION("""COMPUTED_VALUE"""),1296.0)</f>
        <v>1296</v>
      </c>
      <c r="V10" s="12"/>
      <c r="W10" s="12"/>
      <c r="X10" s="12"/>
      <c r="Y10" s="12"/>
      <c r="Z10" s="12"/>
    </row>
    <row r="11">
      <c r="A11" s="175" t="str">
        <f t="shared" si="1"/>
        <v>2026-W22</v>
      </c>
      <c r="B11" s="175" t="str">
        <f>IFERROR(__xludf.DUMMYFUNCTION("""COMPUTED_VALUE"""),"FE1068A")</f>
        <v>FE1068A</v>
      </c>
      <c r="C11" s="176" t="str">
        <f>IFERROR(__xludf.DUMMYFUNCTION("""COMPUTED_VALUE"""),"Flexible")</f>
        <v>Flexible</v>
      </c>
      <c r="D11" s="175" t="str">
        <f>IFERROR(__xludf.DUMMYFUNCTION("""COMPUTED_VALUE"""),"Moroccan-style chicken thighs &amp; tomato sauce")</f>
        <v>Moroccan-style chicken thighs &amp; tomato sauce</v>
      </c>
      <c r="E11" s="175" t="str">
        <f>IFERROR(__xludf.DUMMYFUNCTION("""COMPUTED_VALUE"""),"W22")</f>
        <v>W22</v>
      </c>
      <c r="F11" s="12">
        <f>IFERROR(__xludf.DUMMYFUNCTION("""COMPUTED_VALUE"""),414.0)</f>
        <v>414</v>
      </c>
      <c r="G11" s="12">
        <f>IFERROR(__xludf.DUMMYFUNCTION("""COMPUTED_VALUE"""),614.0)</f>
        <v>614</v>
      </c>
      <c r="H11" s="175">
        <f>IFERROR(__xludf.DUMMYFUNCTION("""COMPUTED_VALUE"""),314.0)</f>
        <v>314</v>
      </c>
      <c r="I11" s="17">
        <f>IFERROR(__xludf.DUMMYFUNCTION("""COMPUTED_VALUE"""),1254.0)</f>
        <v>1254</v>
      </c>
      <c r="J11" s="17">
        <f>IFERROR(__xludf.DUMMYFUNCTION("""COMPUTED_VALUE"""),681.0)</f>
        <v>681</v>
      </c>
      <c r="K11" s="18">
        <f>IFERROR(__xludf.DUMMYFUNCTION("""COMPUTED_VALUE"""),722.0)</f>
        <v>722</v>
      </c>
      <c r="L11" s="18">
        <f>IFERROR(__xludf.DUMMYFUNCTION("""COMPUTED_VALUE"""),0.0)</f>
        <v>0</v>
      </c>
      <c r="M11" s="17">
        <f>IFERROR(__xludf.DUMMYFUNCTION("""COMPUTED_VALUE"""),1274.0)</f>
        <v>1274</v>
      </c>
      <c r="N11" s="17">
        <f>IFERROR(__xludf.DUMMYFUNCTION("""COMPUTED_VALUE"""),701.0)</f>
        <v>701</v>
      </c>
      <c r="O11" s="18">
        <f>IFERROR(__xludf.DUMMYFUNCTION("""COMPUTED_VALUE"""),742.0)</f>
        <v>742</v>
      </c>
      <c r="P11" s="177">
        <f>IFERROR(__xludf.DUMMYFUNCTION("""COMPUTED_VALUE"""),1.0)</f>
        <v>1</v>
      </c>
      <c r="Q11" s="177">
        <f>IFERROR(__xludf.DUMMYFUNCTION("""COMPUTED_VALUE"""),1.0)</f>
        <v>1</v>
      </c>
      <c r="R11" s="178">
        <f>IFERROR(__xludf.DUMMYFUNCTION("""COMPUTED_VALUE"""),1.0)</f>
        <v>1</v>
      </c>
      <c r="S11" s="12">
        <f>IFERROR(__xludf.DUMMYFUNCTION("""COMPUTED_VALUE"""),1274.0)</f>
        <v>1274</v>
      </c>
      <c r="T11" s="179">
        <f>IFERROR(__xludf.DUMMYFUNCTION("""COMPUTED_VALUE"""),701.0)</f>
        <v>701</v>
      </c>
      <c r="U11" s="179">
        <f>IFERROR(__xludf.DUMMYFUNCTION("""COMPUTED_VALUE"""),742.0)</f>
        <v>742</v>
      </c>
      <c r="V11" s="12"/>
      <c r="W11" s="12"/>
      <c r="X11" s="12"/>
      <c r="Y11" s="12"/>
      <c r="Z11" s="12"/>
    </row>
    <row r="12">
      <c r="A12" s="175" t="str">
        <f t="shared" si="1"/>
        <v>2026-W22</v>
      </c>
      <c r="B12" s="175" t="str">
        <f>IFERROR(__xludf.DUMMYFUNCTION("""COMPUTED_VALUE"""),"FV0345A")</f>
        <v>FV0345A</v>
      </c>
      <c r="C12" s="176" t="str">
        <f>IFERROR(__xludf.DUMMYFUNCTION("""COMPUTED_VALUE"""),"Keto")</f>
        <v>Keto</v>
      </c>
      <c r="D12" s="175" t="str">
        <f>IFERROR(__xludf.DUMMYFUNCTION("""COMPUTED_VALUE"""),"Beef Stroganoff Meatballs")</f>
        <v>Beef Stroganoff Meatballs</v>
      </c>
      <c r="E12" s="175" t="str">
        <f>IFERROR(__xludf.DUMMYFUNCTION("""COMPUTED_VALUE"""),"W22")</f>
        <v>W22</v>
      </c>
      <c r="F12" s="12">
        <f>IFERROR(__xludf.DUMMYFUNCTION("""COMPUTED_VALUE"""),415.0)</f>
        <v>415</v>
      </c>
      <c r="G12" s="12">
        <f>IFERROR(__xludf.DUMMYFUNCTION("""COMPUTED_VALUE"""),615.0)</f>
        <v>615</v>
      </c>
      <c r="H12" s="18">
        <f>IFERROR(__xludf.DUMMYFUNCTION("""COMPUTED_VALUE"""),315.0)</f>
        <v>315</v>
      </c>
      <c r="I12" s="17">
        <f>IFERROR(__xludf.DUMMYFUNCTION("""COMPUTED_VALUE"""),1147.0)</f>
        <v>1147</v>
      </c>
      <c r="J12" s="17">
        <f>IFERROR(__xludf.DUMMYFUNCTION("""COMPUTED_VALUE"""),683.0)</f>
        <v>683</v>
      </c>
      <c r="K12" s="18">
        <f>IFERROR(__xludf.DUMMYFUNCTION("""COMPUTED_VALUE"""),689.0)</f>
        <v>689</v>
      </c>
      <c r="L12" s="18">
        <f>IFERROR(__xludf.DUMMYFUNCTION("""COMPUTED_VALUE"""),0.0)</f>
        <v>0</v>
      </c>
      <c r="M12" s="17">
        <f>IFERROR(__xludf.DUMMYFUNCTION("""COMPUTED_VALUE"""),1167.0)</f>
        <v>1167</v>
      </c>
      <c r="N12" s="17">
        <f>IFERROR(__xludf.DUMMYFUNCTION("""COMPUTED_VALUE"""),703.0)</f>
        <v>703</v>
      </c>
      <c r="O12" s="178">
        <f>IFERROR(__xludf.DUMMYFUNCTION("""COMPUTED_VALUE"""),709.0)</f>
        <v>709</v>
      </c>
      <c r="P12" s="177">
        <f>IFERROR(__xludf.DUMMYFUNCTION("""COMPUTED_VALUE"""),1.0)</f>
        <v>1</v>
      </c>
      <c r="Q12" s="177">
        <f>IFERROR(__xludf.DUMMYFUNCTION("""COMPUTED_VALUE"""),1.0)</f>
        <v>1</v>
      </c>
      <c r="R12" s="178">
        <f>IFERROR(__xludf.DUMMYFUNCTION("""COMPUTED_VALUE"""),1.0)</f>
        <v>1</v>
      </c>
      <c r="S12" s="179">
        <f>IFERROR(__xludf.DUMMYFUNCTION("""COMPUTED_VALUE"""),1167.0)</f>
        <v>1167</v>
      </c>
      <c r="T12" s="179">
        <f>IFERROR(__xludf.DUMMYFUNCTION("""COMPUTED_VALUE"""),703.0)</f>
        <v>703</v>
      </c>
      <c r="U12" s="179">
        <f>IFERROR(__xludf.DUMMYFUNCTION("""COMPUTED_VALUE"""),709.0)</f>
        <v>709</v>
      </c>
      <c r="V12" s="179"/>
      <c r="W12" s="179"/>
      <c r="X12" s="179"/>
      <c r="Y12" s="179"/>
      <c r="Z12" s="179"/>
    </row>
    <row r="13">
      <c r="A13" s="175" t="str">
        <f t="shared" si="1"/>
        <v>2026-W22</v>
      </c>
      <c r="B13" s="175" t="str">
        <f>IFERROR(__xludf.DUMMYFUNCTION("""COMPUTED_VALUE"""),"FE0472B")</f>
        <v>FE0472B</v>
      </c>
      <c r="C13" s="176" t="str">
        <f>IFERROR(__xludf.DUMMYFUNCTION("""COMPUTED_VALUE"""),"P+")</f>
        <v>P+</v>
      </c>
      <c r="D13" s="175" t="str">
        <f>IFERROR(__xludf.DUMMYFUNCTION("""COMPUTED_VALUE"""),"Indian style butter chicken")</f>
        <v>Indian style butter chicken</v>
      </c>
      <c r="E13" s="175" t="str">
        <f>IFERROR(__xludf.DUMMYFUNCTION("""COMPUTED_VALUE"""),"W22")</f>
        <v>W22</v>
      </c>
      <c r="F13" s="12">
        <f>IFERROR(__xludf.DUMMYFUNCTION("""COMPUTED_VALUE"""),417.0)</f>
        <v>417</v>
      </c>
      <c r="G13" s="12">
        <f>IFERROR(__xludf.DUMMYFUNCTION("""COMPUTED_VALUE"""),617.0)</f>
        <v>617</v>
      </c>
      <c r="H13" s="175">
        <f>IFERROR(__xludf.DUMMYFUNCTION("""COMPUTED_VALUE"""),317.0)</f>
        <v>317</v>
      </c>
      <c r="I13" s="17">
        <f>IFERROR(__xludf.DUMMYFUNCTION("""COMPUTED_VALUE"""),1939.0)</f>
        <v>1939</v>
      </c>
      <c r="J13" s="17">
        <f>IFERROR(__xludf.DUMMYFUNCTION("""COMPUTED_VALUE"""),1040.0)</f>
        <v>1040</v>
      </c>
      <c r="K13" s="18">
        <f>IFERROR(__xludf.DUMMYFUNCTION("""COMPUTED_VALUE"""),919.0)</f>
        <v>919</v>
      </c>
      <c r="L13" s="18">
        <f>IFERROR(__xludf.DUMMYFUNCTION("""COMPUTED_VALUE"""),0.0)</f>
        <v>0</v>
      </c>
      <c r="M13" s="17">
        <f>IFERROR(__xludf.DUMMYFUNCTION("""COMPUTED_VALUE"""),1959.0)</f>
        <v>1959</v>
      </c>
      <c r="N13" s="17">
        <f>IFERROR(__xludf.DUMMYFUNCTION("""COMPUTED_VALUE"""),1060.0)</f>
        <v>1060</v>
      </c>
      <c r="O13" s="18">
        <f>IFERROR(__xludf.DUMMYFUNCTION("""COMPUTED_VALUE"""),939.0)</f>
        <v>939</v>
      </c>
      <c r="P13" s="177">
        <f>IFERROR(__xludf.DUMMYFUNCTION("""COMPUTED_VALUE"""),1.0)</f>
        <v>1</v>
      </c>
      <c r="Q13" s="177">
        <f>IFERROR(__xludf.DUMMYFUNCTION("""COMPUTED_VALUE"""),1.0)</f>
        <v>1</v>
      </c>
      <c r="R13" s="178">
        <f>IFERROR(__xludf.DUMMYFUNCTION("""COMPUTED_VALUE"""),1.0)</f>
        <v>1</v>
      </c>
      <c r="S13" s="12">
        <f>IFERROR(__xludf.DUMMYFUNCTION("""COMPUTED_VALUE"""),1959.0)</f>
        <v>1959</v>
      </c>
      <c r="T13" s="179">
        <f>IFERROR(__xludf.DUMMYFUNCTION("""COMPUTED_VALUE"""),1060.0)</f>
        <v>1060</v>
      </c>
      <c r="U13" s="179">
        <f>IFERROR(__xludf.DUMMYFUNCTION("""COMPUTED_VALUE"""),939.0)</f>
        <v>939</v>
      </c>
      <c r="V13" s="12"/>
      <c r="W13" s="12"/>
      <c r="X13" s="12"/>
      <c r="Y13" s="12"/>
      <c r="Z13" s="12"/>
    </row>
    <row r="14">
      <c r="A14" s="175" t="str">
        <f t="shared" si="1"/>
        <v>2026-W22</v>
      </c>
      <c r="B14" s="175" t="str">
        <f>IFERROR(__xludf.DUMMYFUNCTION("""COMPUTED_VALUE"""),"FE1646A")</f>
        <v>FE1646A</v>
      </c>
      <c r="C14" s="176" t="str">
        <f>IFERROR(__xludf.DUMMYFUNCTION("""COMPUTED_VALUE"""),"CS")</f>
        <v>CS</v>
      </c>
      <c r="D14" s="175" t="str">
        <f>IFERROR(__xludf.DUMMYFUNCTION("""COMPUTED_VALUE"""),"Shrimp with Lemon Garlic Sauce &amp; Spanakopita Style Rice")</f>
        <v>Shrimp with Lemon Garlic Sauce &amp; Spanakopita Style Rice</v>
      </c>
      <c r="E14" s="175" t="str">
        <f>IFERROR(__xludf.DUMMYFUNCTION("""COMPUTED_VALUE"""),"W22")</f>
        <v>W22</v>
      </c>
      <c r="F14" s="12">
        <f>IFERROR(__xludf.DUMMYFUNCTION("""COMPUTED_VALUE"""),419.0)</f>
        <v>419</v>
      </c>
      <c r="G14" s="12">
        <f>IFERROR(__xludf.DUMMYFUNCTION("""COMPUTED_VALUE"""),619.0)</f>
        <v>619</v>
      </c>
      <c r="H14" s="175">
        <f>IFERROR(__xludf.DUMMYFUNCTION("""COMPUTED_VALUE"""),319.0)</f>
        <v>319</v>
      </c>
      <c r="I14" s="17">
        <f>IFERROR(__xludf.DUMMYFUNCTION("""COMPUTED_VALUE"""),2356.0)</f>
        <v>2356</v>
      </c>
      <c r="J14" s="17">
        <f>IFERROR(__xludf.DUMMYFUNCTION("""COMPUTED_VALUE"""),1343.0)</f>
        <v>1343</v>
      </c>
      <c r="K14" s="18">
        <f>IFERROR(__xludf.DUMMYFUNCTION("""COMPUTED_VALUE"""),1123.0)</f>
        <v>1123</v>
      </c>
      <c r="L14" s="18">
        <f>IFERROR(__xludf.DUMMYFUNCTION("""COMPUTED_VALUE"""),0.0)</f>
        <v>0</v>
      </c>
      <c r="M14" s="17">
        <f>IFERROR(__xludf.DUMMYFUNCTION("""COMPUTED_VALUE"""),2376.0)</f>
        <v>2376</v>
      </c>
      <c r="N14" s="17">
        <f>IFERROR(__xludf.DUMMYFUNCTION("""COMPUTED_VALUE"""),1363.0)</f>
        <v>1363</v>
      </c>
      <c r="O14" s="18">
        <f>IFERROR(__xludf.DUMMYFUNCTION("""COMPUTED_VALUE"""),1143.0)</f>
        <v>1143</v>
      </c>
      <c r="P14" s="177">
        <f>IFERROR(__xludf.DUMMYFUNCTION("""COMPUTED_VALUE"""),1.0)</f>
        <v>1</v>
      </c>
      <c r="Q14" s="177">
        <f>IFERROR(__xludf.DUMMYFUNCTION("""COMPUTED_VALUE"""),1.0)</f>
        <v>1</v>
      </c>
      <c r="R14" s="178">
        <f>IFERROR(__xludf.DUMMYFUNCTION("""COMPUTED_VALUE"""),1.0)</f>
        <v>1</v>
      </c>
      <c r="S14" s="12">
        <f>IFERROR(__xludf.DUMMYFUNCTION("""COMPUTED_VALUE"""),2376.0)</f>
        <v>2376</v>
      </c>
      <c r="T14" s="179">
        <f>IFERROR(__xludf.DUMMYFUNCTION("""COMPUTED_VALUE"""),1363.0)</f>
        <v>1363</v>
      </c>
      <c r="U14" s="179">
        <f>IFERROR(__xludf.DUMMYFUNCTION("""COMPUTED_VALUE"""),1143.0)</f>
        <v>1143</v>
      </c>
      <c r="V14" s="12"/>
      <c r="W14" s="12"/>
      <c r="X14" s="12"/>
      <c r="Y14" s="12"/>
      <c r="Z14" s="12"/>
    </row>
    <row r="15">
      <c r="A15" s="175" t="str">
        <f t="shared" si="1"/>
        <v>2026-W22</v>
      </c>
      <c r="B15" s="175" t="str">
        <f>IFERROR(__xludf.DUMMYFUNCTION("""COMPUTED_VALUE"""),"FE4065A")</f>
        <v>FE4065A</v>
      </c>
      <c r="C15" s="176" t="str">
        <f>IFERROR(__xludf.DUMMYFUNCTION("""COMPUTED_VALUE"""),"Perf")</f>
        <v>Perf</v>
      </c>
      <c r="D15" s="175" t="str">
        <f>IFERROR(__xludf.DUMMYFUNCTION("""COMPUTED_VALUE"""),"Spicy Beef &amp; Black Bean Chili")</f>
        <v>Spicy Beef &amp; Black Bean Chili</v>
      </c>
      <c r="E15" s="175" t="str">
        <f>IFERROR(__xludf.DUMMYFUNCTION("""COMPUTED_VALUE"""),"W22")</f>
        <v>W22</v>
      </c>
      <c r="F15" s="12">
        <f>IFERROR(__xludf.DUMMYFUNCTION("""COMPUTED_VALUE"""),421.0)</f>
        <v>421</v>
      </c>
      <c r="G15" s="12">
        <f>IFERROR(__xludf.DUMMYFUNCTION("""COMPUTED_VALUE"""),621.0)</f>
        <v>621</v>
      </c>
      <c r="H15" s="175">
        <f>IFERROR(__xludf.DUMMYFUNCTION("""COMPUTED_VALUE"""),321.0)</f>
        <v>321</v>
      </c>
      <c r="I15" s="17">
        <f>IFERROR(__xludf.DUMMYFUNCTION("""COMPUTED_VALUE"""),1472.0)</f>
        <v>1472</v>
      </c>
      <c r="J15" s="17">
        <f>IFERROR(__xludf.DUMMYFUNCTION("""COMPUTED_VALUE"""),839.0)</f>
        <v>839</v>
      </c>
      <c r="K15" s="18">
        <f>IFERROR(__xludf.DUMMYFUNCTION("""COMPUTED_VALUE"""),702.0)</f>
        <v>702</v>
      </c>
      <c r="L15" s="18">
        <f>IFERROR(__xludf.DUMMYFUNCTION("""COMPUTED_VALUE"""),0.0)</f>
        <v>0</v>
      </c>
      <c r="M15" s="17">
        <f>IFERROR(__xludf.DUMMYFUNCTION("""COMPUTED_VALUE"""),1492.0)</f>
        <v>1492</v>
      </c>
      <c r="N15" s="17">
        <f>IFERROR(__xludf.DUMMYFUNCTION("""COMPUTED_VALUE"""),859.0)</f>
        <v>859</v>
      </c>
      <c r="O15" s="18">
        <f>IFERROR(__xludf.DUMMYFUNCTION("""COMPUTED_VALUE"""),722.0)</f>
        <v>722</v>
      </c>
      <c r="P15" s="177">
        <f>IFERROR(__xludf.DUMMYFUNCTION("""COMPUTED_VALUE"""),1.0)</f>
        <v>1</v>
      </c>
      <c r="Q15" s="177">
        <f>IFERROR(__xludf.DUMMYFUNCTION("""COMPUTED_VALUE"""),1.0)</f>
        <v>1</v>
      </c>
      <c r="R15" s="178">
        <f>IFERROR(__xludf.DUMMYFUNCTION("""COMPUTED_VALUE"""),1.0)</f>
        <v>1</v>
      </c>
      <c r="S15" s="12">
        <f>IFERROR(__xludf.DUMMYFUNCTION("""COMPUTED_VALUE"""),1492.0)</f>
        <v>1492</v>
      </c>
      <c r="T15" s="179">
        <f>IFERROR(__xludf.DUMMYFUNCTION("""COMPUTED_VALUE"""),859.0)</f>
        <v>859</v>
      </c>
      <c r="U15" s="179">
        <f>IFERROR(__xludf.DUMMYFUNCTION("""COMPUTED_VALUE"""),722.0)</f>
        <v>722</v>
      </c>
      <c r="V15" s="12"/>
      <c r="W15" s="12"/>
      <c r="X15" s="12"/>
      <c r="Y15" s="12"/>
      <c r="Z15" s="12"/>
    </row>
    <row r="16">
      <c r="A16" s="175" t="str">
        <f t="shared" si="1"/>
        <v/>
      </c>
      <c r="B16" s="175"/>
      <c r="C16" s="176"/>
      <c r="D16" s="175"/>
      <c r="E16" s="175"/>
      <c r="F16" s="12"/>
      <c r="G16" s="12"/>
      <c r="H16" s="175"/>
      <c r="I16" s="12"/>
      <c r="J16" s="12"/>
      <c r="K16" s="175"/>
      <c r="L16" s="175"/>
      <c r="M16" s="12"/>
      <c r="N16" s="12"/>
      <c r="O16" s="175"/>
      <c r="P16" s="12"/>
      <c r="Q16" s="12"/>
      <c r="R16" s="175"/>
      <c r="S16" s="12"/>
      <c r="T16" s="12"/>
      <c r="U16" s="12"/>
      <c r="V16" s="12"/>
      <c r="W16" s="12"/>
      <c r="X16" s="12"/>
      <c r="Y16" s="12"/>
      <c r="Z16" s="12"/>
    </row>
    <row r="17">
      <c r="A17" s="175" t="str">
        <f t="shared" si="1"/>
        <v/>
      </c>
      <c r="B17" s="175"/>
      <c r="C17" s="176"/>
      <c r="D17" s="175"/>
      <c r="E17" s="175"/>
      <c r="F17" s="12"/>
      <c r="G17" s="12"/>
      <c r="H17" s="175"/>
      <c r="I17" s="12"/>
      <c r="J17" s="12"/>
      <c r="K17" s="175"/>
      <c r="L17" s="175"/>
      <c r="M17" s="12"/>
      <c r="N17" s="12"/>
      <c r="O17" s="175"/>
      <c r="P17" s="12"/>
      <c r="Q17" s="12"/>
      <c r="R17" s="175"/>
      <c r="S17" s="12"/>
      <c r="T17" s="12"/>
      <c r="U17" s="12"/>
      <c r="V17" s="12"/>
      <c r="W17" s="12"/>
      <c r="X17" s="12"/>
      <c r="Y17" s="12"/>
      <c r="Z17" s="12"/>
    </row>
    <row r="18">
      <c r="A18" s="175" t="str">
        <f t="shared" si="1"/>
        <v/>
      </c>
      <c r="B18" s="175"/>
      <c r="C18" s="176"/>
      <c r="D18" s="175"/>
      <c r="E18" s="175"/>
      <c r="F18" s="12"/>
      <c r="G18" s="12"/>
      <c r="H18" s="175"/>
      <c r="I18" s="12"/>
      <c r="J18" s="12"/>
      <c r="K18" s="175"/>
      <c r="L18" s="175"/>
      <c r="M18" s="12"/>
      <c r="N18" s="12"/>
      <c r="O18" s="175"/>
      <c r="P18" s="12"/>
      <c r="Q18" s="12"/>
      <c r="R18" s="175"/>
      <c r="S18" s="12"/>
      <c r="T18" s="12"/>
      <c r="U18" s="12"/>
      <c r="V18" s="12"/>
      <c r="W18" s="12"/>
      <c r="X18" s="12"/>
      <c r="Y18" s="12"/>
      <c r="Z18" s="12"/>
    </row>
    <row r="19">
      <c r="A19" s="175" t="str">
        <f t="shared" si="1"/>
        <v/>
      </c>
      <c r="B19" s="175"/>
      <c r="C19" s="176"/>
      <c r="D19" s="175"/>
      <c r="E19" s="175"/>
      <c r="F19" s="12"/>
      <c r="G19" s="12"/>
      <c r="H19" s="175"/>
      <c r="I19" s="12"/>
      <c r="J19" s="12"/>
      <c r="K19" s="175"/>
      <c r="L19" s="175"/>
      <c r="M19" s="12"/>
      <c r="N19" s="12"/>
      <c r="O19" s="175"/>
      <c r="P19" s="12"/>
      <c r="Q19" s="12"/>
      <c r="R19" s="175"/>
      <c r="S19" s="12"/>
      <c r="T19" s="12"/>
      <c r="U19" s="12"/>
      <c r="V19" s="12"/>
      <c r="W19" s="12"/>
      <c r="X19" s="12"/>
      <c r="Y19" s="12"/>
      <c r="Z19" s="12"/>
    </row>
    <row r="20">
      <c r="A20" s="175" t="str">
        <f t="shared" si="1"/>
        <v/>
      </c>
      <c r="B20" s="175"/>
      <c r="C20" s="176"/>
      <c r="D20" s="175"/>
      <c r="E20" s="175"/>
      <c r="F20" s="12"/>
      <c r="G20" s="12"/>
      <c r="H20" s="175"/>
      <c r="I20" s="12"/>
      <c r="J20" s="12"/>
      <c r="K20" s="175"/>
      <c r="L20" s="175"/>
      <c r="M20" s="12"/>
      <c r="N20" s="12"/>
      <c r="O20" s="175"/>
      <c r="P20" s="12"/>
      <c r="Q20" s="12"/>
      <c r="R20" s="175"/>
      <c r="S20" s="12"/>
      <c r="T20" s="12"/>
      <c r="U20" s="12"/>
      <c r="V20" s="12"/>
      <c r="W20" s="12"/>
      <c r="X20" s="12"/>
      <c r="Y20" s="12"/>
      <c r="Z20" s="12"/>
    </row>
    <row r="21">
      <c r="A21" s="175" t="str">
        <f t="shared" si="1"/>
        <v/>
      </c>
      <c r="B21" s="175"/>
      <c r="C21" s="176"/>
      <c r="D21" s="175"/>
      <c r="E21" s="175"/>
      <c r="F21" s="12"/>
      <c r="G21" s="12"/>
      <c r="H21" s="18"/>
      <c r="I21" s="17"/>
      <c r="J21" s="17"/>
      <c r="K21" s="18"/>
      <c r="L21" s="18"/>
      <c r="M21" s="17"/>
      <c r="N21" s="17"/>
      <c r="O21" s="178"/>
      <c r="P21" s="177"/>
      <c r="Q21" s="177"/>
      <c r="R21" s="175"/>
      <c r="S21" s="179"/>
      <c r="T21" s="179"/>
      <c r="U21" s="179"/>
      <c r="V21" s="179"/>
      <c r="W21" s="179"/>
      <c r="X21" s="179"/>
      <c r="Y21" s="179"/>
      <c r="Z21" s="179"/>
    </row>
    <row r="22">
      <c r="A22" s="175" t="str">
        <f t="shared" si="1"/>
        <v/>
      </c>
      <c r="B22" s="175"/>
      <c r="C22" s="176"/>
      <c r="D22" s="175"/>
      <c r="E22" s="175"/>
      <c r="F22" s="12"/>
      <c r="G22" s="12"/>
      <c r="H22" s="175"/>
      <c r="I22" s="12"/>
      <c r="J22" s="12"/>
      <c r="K22" s="175"/>
      <c r="L22" s="175"/>
      <c r="M22" s="12"/>
      <c r="N22" s="12"/>
      <c r="O22" s="175"/>
      <c r="P22" s="12"/>
      <c r="Q22" s="12"/>
      <c r="R22" s="175"/>
      <c r="S22" s="12"/>
      <c r="T22" s="12"/>
      <c r="U22" s="12"/>
      <c r="V22" s="12"/>
      <c r="W22" s="12"/>
      <c r="X22" s="12"/>
      <c r="Y22" s="12"/>
      <c r="Z22" s="12"/>
    </row>
    <row r="23">
      <c r="A23" s="175" t="str">
        <f t="shared" si="1"/>
        <v/>
      </c>
      <c r="B23" s="175"/>
      <c r="C23" s="176"/>
      <c r="D23" s="175"/>
      <c r="E23" s="175"/>
      <c r="F23" s="12"/>
      <c r="G23" s="12"/>
      <c r="H23" s="175"/>
      <c r="I23" s="12"/>
      <c r="J23" s="12"/>
      <c r="K23" s="175"/>
      <c r="L23" s="175"/>
      <c r="M23" s="12"/>
      <c r="N23" s="12"/>
      <c r="O23" s="175"/>
      <c r="P23" s="12"/>
      <c r="Q23" s="12"/>
      <c r="R23" s="175"/>
      <c r="S23" s="12"/>
      <c r="T23" s="12"/>
      <c r="U23" s="12"/>
      <c r="V23" s="12"/>
      <c r="W23" s="12"/>
      <c r="X23" s="12"/>
      <c r="Y23" s="12"/>
      <c r="Z23" s="12"/>
    </row>
    <row r="24">
      <c r="A24" s="175" t="str">
        <f t="shared" si="1"/>
        <v/>
      </c>
      <c r="B24" s="199"/>
      <c r="C24" s="200"/>
      <c r="D24" s="199"/>
      <c r="E24" s="199"/>
      <c r="F24" s="23"/>
      <c r="G24" s="23"/>
      <c r="H24" s="199"/>
      <c r="I24" s="23"/>
      <c r="J24" s="23"/>
      <c r="K24" s="199"/>
      <c r="L24" s="199"/>
      <c r="M24" s="23"/>
      <c r="N24" s="23"/>
      <c r="O24" s="199"/>
      <c r="P24" s="23"/>
      <c r="Q24" s="23"/>
      <c r="R24" s="199"/>
      <c r="S24" s="23"/>
      <c r="T24" s="23"/>
      <c r="U24" s="23"/>
      <c r="V24" s="23"/>
      <c r="W24" s="23"/>
      <c r="X24" s="23"/>
      <c r="Y24" s="23"/>
      <c r="Z24" s="23"/>
    </row>
    <row r="25" hidden="1">
      <c r="A25" s="175" t="str">
        <f t="shared" si="1"/>
        <v/>
      </c>
      <c r="B25" s="175"/>
      <c r="C25" s="176"/>
      <c r="D25" s="175"/>
      <c r="E25" s="175"/>
      <c r="F25" s="12"/>
      <c r="G25" s="12"/>
      <c r="H25" s="175"/>
      <c r="I25" s="12"/>
      <c r="J25" s="12"/>
      <c r="K25" s="175"/>
      <c r="L25" s="175"/>
      <c r="M25" s="12"/>
      <c r="N25" s="12"/>
      <c r="O25" s="175"/>
      <c r="P25" s="12"/>
      <c r="Q25" s="12"/>
      <c r="R25" s="175"/>
      <c r="S25" s="12"/>
      <c r="T25" s="12"/>
      <c r="U25" s="12"/>
      <c r="V25" s="12"/>
      <c r="W25" s="12"/>
      <c r="X25" s="12"/>
      <c r="Y25" s="12"/>
      <c r="Z25" s="12"/>
    </row>
    <row r="26" hidden="1">
      <c r="A26" s="175" t="str">
        <f t="shared" si="1"/>
        <v/>
      </c>
      <c r="B26" s="175"/>
      <c r="C26" s="176"/>
      <c r="D26" s="175"/>
      <c r="E26" s="175"/>
      <c r="F26" s="12"/>
      <c r="G26" s="12"/>
      <c r="H26" s="175"/>
      <c r="I26" s="12"/>
      <c r="J26" s="12"/>
      <c r="K26" s="175"/>
      <c r="L26" s="175"/>
      <c r="M26" s="12"/>
      <c r="N26" s="12"/>
      <c r="O26" s="175"/>
      <c r="P26" s="12"/>
      <c r="Q26" s="12"/>
      <c r="R26" s="175"/>
      <c r="S26" s="12"/>
      <c r="T26" s="12"/>
      <c r="U26" s="12"/>
      <c r="V26" s="12"/>
      <c r="W26" s="12"/>
      <c r="X26" s="12"/>
      <c r="Y26" s="12"/>
      <c r="Z26" s="12"/>
    </row>
    <row r="27" hidden="1">
      <c r="A27" s="175" t="str">
        <f t="shared" si="1"/>
        <v/>
      </c>
      <c r="B27" s="199"/>
      <c r="C27" s="200"/>
      <c r="D27" s="199"/>
      <c r="E27" s="199"/>
      <c r="F27" s="23"/>
      <c r="G27" s="23"/>
      <c r="H27" s="199"/>
      <c r="I27" s="23"/>
      <c r="J27" s="12"/>
      <c r="K27" s="199"/>
      <c r="L27" s="199"/>
      <c r="M27" s="23"/>
      <c r="N27" s="12"/>
      <c r="O27" s="199"/>
      <c r="P27" s="23"/>
      <c r="Q27" s="12"/>
      <c r="R27" s="199"/>
      <c r="S27" s="23"/>
      <c r="T27" s="23"/>
      <c r="U27" s="12"/>
      <c r="V27" s="12"/>
      <c r="W27" s="12"/>
      <c r="X27" s="12"/>
      <c r="Y27" s="12"/>
      <c r="Z27" s="12"/>
    </row>
    <row r="28" hidden="1">
      <c r="A28" s="175" t="str">
        <f t="shared" si="1"/>
        <v/>
      </c>
      <c r="B28" s="175"/>
      <c r="C28" s="176"/>
      <c r="D28" s="175"/>
      <c r="E28" s="175"/>
      <c r="F28" s="12"/>
      <c r="G28" s="12"/>
      <c r="H28" s="175"/>
      <c r="I28" s="12"/>
      <c r="J28" s="12"/>
      <c r="K28" s="175"/>
      <c r="L28" s="175"/>
      <c r="M28" s="12"/>
      <c r="N28" s="12"/>
      <c r="O28" s="175"/>
      <c r="P28" s="12"/>
      <c r="Q28" s="12"/>
      <c r="R28" s="175"/>
      <c r="S28" s="12"/>
      <c r="T28" s="12"/>
      <c r="U28" s="12"/>
      <c r="V28" s="12"/>
      <c r="W28" s="12"/>
      <c r="X28" s="12"/>
      <c r="Y28" s="12"/>
      <c r="Z28" s="12"/>
    </row>
    <row r="29" hidden="1">
      <c r="A29" s="175" t="str">
        <f t="shared" si="1"/>
        <v/>
      </c>
      <c r="B29" s="175"/>
      <c r="C29" s="176"/>
      <c r="D29" s="175"/>
      <c r="E29" s="175"/>
      <c r="F29" s="12"/>
      <c r="G29" s="12"/>
      <c r="H29" s="175"/>
      <c r="I29" s="12"/>
      <c r="J29" s="12"/>
      <c r="K29" s="175"/>
      <c r="L29" s="175"/>
      <c r="M29" s="12"/>
      <c r="N29" s="12"/>
      <c r="O29" s="175"/>
      <c r="P29" s="12"/>
      <c r="Q29" s="12"/>
      <c r="R29" s="175"/>
      <c r="S29" s="12"/>
      <c r="T29" s="12"/>
      <c r="U29" s="12"/>
      <c r="V29" s="12"/>
      <c r="W29" s="12"/>
      <c r="X29" s="12"/>
      <c r="Y29" s="12"/>
      <c r="Z29" s="12"/>
    </row>
    <row r="30" hidden="1">
      <c r="A30" s="175" t="str">
        <f t="shared" si="1"/>
        <v/>
      </c>
      <c r="B30" s="199"/>
      <c r="C30" s="200"/>
      <c r="D30" s="199"/>
      <c r="E30" s="199"/>
      <c r="F30" s="23"/>
      <c r="G30" s="23"/>
      <c r="H30" s="199"/>
      <c r="I30" s="23"/>
      <c r="J30" s="12"/>
      <c r="K30" s="199"/>
      <c r="L30" s="199"/>
      <c r="M30" s="23"/>
      <c r="N30" s="12"/>
      <c r="O30" s="199"/>
      <c r="P30" s="23"/>
      <c r="Q30" s="12"/>
      <c r="R30" s="199"/>
      <c r="S30" s="23"/>
      <c r="T30" s="23"/>
      <c r="U30" s="12"/>
      <c r="V30" s="12"/>
      <c r="W30" s="12"/>
      <c r="X30" s="12"/>
      <c r="Y30" s="12"/>
      <c r="Z30" s="12"/>
    </row>
    <row r="31" hidden="1">
      <c r="A31" s="175" t="str">
        <f t="shared" si="1"/>
        <v/>
      </c>
      <c r="B31" s="175"/>
      <c r="C31" s="176"/>
      <c r="D31" s="175"/>
      <c r="E31" s="175"/>
      <c r="F31" s="12"/>
      <c r="G31" s="12"/>
      <c r="H31" s="175"/>
      <c r="I31" s="12"/>
      <c r="J31" s="12"/>
      <c r="K31" s="175"/>
      <c r="L31" s="175"/>
      <c r="M31" s="12"/>
      <c r="N31" s="12"/>
      <c r="O31" s="175"/>
      <c r="P31" s="12"/>
      <c r="Q31" s="12"/>
      <c r="R31" s="175"/>
      <c r="S31" s="12"/>
      <c r="T31" s="12"/>
      <c r="U31" s="12"/>
      <c r="V31" s="12"/>
      <c r="W31" s="12"/>
      <c r="X31" s="12"/>
      <c r="Y31" s="12"/>
      <c r="Z31" s="12"/>
    </row>
    <row r="32" hidden="1">
      <c r="A32" s="175" t="str">
        <f t="shared" si="1"/>
        <v/>
      </c>
      <c r="B32" s="175"/>
      <c r="C32" s="176"/>
      <c r="D32" s="175"/>
      <c r="E32" s="175"/>
      <c r="F32" s="12"/>
      <c r="G32" s="12"/>
      <c r="H32" s="18"/>
      <c r="I32" s="17"/>
      <c r="J32" s="17"/>
      <c r="K32" s="18"/>
      <c r="L32" s="18"/>
      <c r="M32" s="17"/>
      <c r="N32" s="17"/>
      <c r="O32" s="178"/>
      <c r="P32" s="177"/>
      <c r="Q32" s="177"/>
      <c r="R32" s="175"/>
      <c r="S32" s="179"/>
      <c r="T32" s="179"/>
      <c r="U32" s="179"/>
      <c r="V32" s="179"/>
      <c r="W32" s="179"/>
      <c r="X32" s="179"/>
      <c r="Y32" s="179"/>
      <c r="Z32" s="179"/>
    </row>
    <row r="33" hidden="1">
      <c r="A33" s="175" t="str">
        <f t="shared" si="1"/>
        <v/>
      </c>
      <c r="B33" s="199"/>
      <c r="C33" s="200"/>
      <c r="D33" s="199"/>
      <c r="E33" s="199"/>
      <c r="F33" s="23"/>
      <c r="G33" s="23"/>
      <c r="H33" s="26"/>
      <c r="I33" s="25"/>
      <c r="J33" s="17"/>
      <c r="K33" s="26"/>
      <c r="L33" s="26"/>
      <c r="M33" s="25"/>
      <c r="N33" s="17"/>
      <c r="O33" s="202"/>
      <c r="P33" s="201"/>
      <c r="Q33" s="177"/>
      <c r="R33" s="199"/>
      <c r="S33" s="203"/>
      <c r="T33" s="203"/>
      <c r="U33" s="179"/>
      <c r="V33" s="179"/>
      <c r="W33" s="179"/>
      <c r="X33" s="179"/>
      <c r="Y33" s="179"/>
      <c r="Z33" s="179"/>
    </row>
    <row r="34" hidden="1">
      <c r="A34" s="175" t="str">
        <f t="shared" si="1"/>
        <v/>
      </c>
      <c r="B34" s="175"/>
      <c r="C34" s="176"/>
      <c r="D34" s="175"/>
      <c r="E34" s="175"/>
      <c r="F34" s="12"/>
      <c r="G34" s="12"/>
      <c r="H34" s="18"/>
      <c r="I34" s="17"/>
      <c r="J34" s="17"/>
      <c r="K34" s="18"/>
      <c r="L34" s="18"/>
      <c r="M34" s="17"/>
      <c r="N34" s="17"/>
      <c r="O34" s="178"/>
      <c r="P34" s="177"/>
      <c r="Q34" s="177"/>
      <c r="R34" s="175"/>
      <c r="S34" s="179"/>
      <c r="T34" s="179"/>
      <c r="U34" s="179"/>
      <c r="V34" s="179"/>
      <c r="W34" s="179"/>
      <c r="X34" s="179"/>
      <c r="Y34" s="179"/>
      <c r="Z34" s="179"/>
    </row>
    <row r="35" hidden="1">
      <c r="A35" s="175" t="str">
        <f t="shared" si="1"/>
        <v/>
      </c>
      <c r="B35" s="175"/>
      <c r="C35" s="176"/>
      <c r="D35" s="175"/>
      <c r="E35" s="175"/>
      <c r="F35" s="12"/>
      <c r="G35" s="12"/>
      <c r="H35" s="175"/>
      <c r="I35" s="12"/>
      <c r="J35" s="12"/>
      <c r="K35" s="175"/>
      <c r="L35" s="175"/>
      <c r="M35" s="12"/>
      <c r="N35" s="12"/>
      <c r="O35" s="175"/>
      <c r="P35" s="12"/>
      <c r="Q35" s="12"/>
      <c r="R35" s="175"/>
      <c r="S35" s="12"/>
      <c r="T35" s="12"/>
      <c r="U35" s="12"/>
      <c r="V35" s="12"/>
      <c r="W35" s="12"/>
      <c r="X35" s="12"/>
      <c r="Y35" s="12"/>
      <c r="Z35" s="12"/>
    </row>
    <row r="36" hidden="1">
      <c r="A36" s="175" t="str">
        <f t="shared" si="1"/>
        <v/>
      </c>
      <c r="B36" s="199"/>
      <c r="C36" s="200"/>
      <c r="D36" s="199"/>
      <c r="E36" s="199"/>
      <c r="F36" s="23"/>
      <c r="G36" s="23"/>
      <c r="H36" s="199"/>
      <c r="I36" s="23"/>
      <c r="J36" s="12"/>
      <c r="K36" s="199"/>
      <c r="L36" s="199"/>
      <c r="M36" s="23"/>
      <c r="N36" s="12"/>
      <c r="O36" s="199"/>
      <c r="P36" s="23"/>
      <c r="Q36" s="12"/>
      <c r="R36" s="199"/>
      <c r="S36" s="23"/>
      <c r="T36" s="23"/>
      <c r="U36" s="12"/>
      <c r="V36" s="12"/>
      <c r="W36" s="12"/>
      <c r="X36" s="12"/>
      <c r="Y36" s="12"/>
      <c r="Z36" s="12"/>
    </row>
    <row r="37" hidden="1">
      <c r="A37" s="175" t="str">
        <f t="shared" si="1"/>
        <v/>
      </c>
      <c r="B37" s="175"/>
      <c r="C37" s="176"/>
      <c r="D37" s="175"/>
      <c r="E37" s="175"/>
      <c r="F37" s="12"/>
      <c r="G37" s="12"/>
      <c r="H37" s="175"/>
      <c r="I37" s="12"/>
      <c r="J37" s="12"/>
      <c r="K37" s="175"/>
      <c r="L37" s="175"/>
      <c r="M37" s="12"/>
      <c r="N37" s="12"/>
      <c r="O37" s="175"/>
      <c r="P37" s="12"/>
      <c r="Q37" s="12"/>
      <c r="R37" s="175"/>
      <c r="S37" s="12"/>
      <c r="T37" s="12"/>
      <c r="U37" s="12"/>
      <c r="V37" s="12"/>
      <c r="W37" s="12"/>
      <c r="X37" s="12"/>
      <c r="Y37" s="12"/>
      <c r="Z37" s="12"/>
    </row>
    <row r="38" hidden="1">
      <c r="A38" s="175" t="str">
        <f t="shared" si="1"/>
        <v/>
      </c>
      <c r="B38" s="175"/>
      <c r="C38" s="176"/>
      <c r="D38" s="175"/>
      <c r="E38" s="175"/>
      <c r="F38" s="12"/>
      <c r="G38" s="12"/>
      <c r="H38" s="175"/>
      <c r="I38" s="12"/>
      <c r="J38" s="12"/>
      <c r="K38" s="175"/>
      <c r="L38" s="175"/>
      <c r="M38" s="12"/>
      <c r="N38" s="12"/>
      <c r="O38" s="175"/>
      <c r="P38" s="12"/>
      <c r="Q38" s="12"/>
      <c r="R38" s="175"/>
      <c r="S38" s="12"/>
      <c r="T38" s="12"/>
      <c r="U38" s="12"/>
      <c r="V38" s="12"/>
      <c r="W38" s="12"/>
      <c r="X38" s="12"/>
      <c r="Y38" s="12"/>
      <c r="Z38" s="12"/>
    </row>
    <row r="39" hidden="1">
      <c r="A39" s="175" t="str">
        <f t="shared" si="1"/>
        <v/>
      </c>
      <c r="B39" s="199"/>
      <c r="C39" s="200"/>
      <c r="D39" s="199"/>
      <c r="E39" s="199"/>
      <c r="F39" s="23"/>
      <c r="G39" s="23"/>
      <c r="H39" s="199"/>
      <c r="I39" s="23"/>
      <c r="J39" s="12"/>
      <c r="K39" s="199"/>
      <c r="L39" s="199"/>
      <c r="M39" s="23"/>
      <c r="N39" s="12"/>
      <c r="O39" s="199"/>
      <c r="P39" s="23"/>
      <c r="Q39" s="12"/>
      <c r="R39" s="199"/>
      <c r="S39" s="23"/>
      <c r="T39" s="23"/>
      <c r="U39" s="12"/>
      <c r="V39" s="12"/>
      <c r="W39" s="12"/>
      <c r="X39" s="12"/>
      <c r="Y39" s="12"/>
      <c r="Z39" s="12"/>
    </row>
    <row r="40">
      <c r="A40" s="468"/>
      <c r="B40" s="468"/>
      <c r="C40" s="469"/>
      <c r="D40" s="468"/>
      <c r="E40" s="468"/>
      <c r="F40" s="470"/>
      <c r="G40" s="470"/>
      <c r="H40" s="468"/>
      <c r="I40" s="470"/>
      <c r="J40" s="470"/>
      <c r="K40" s="468"/>
      <c r="L40" s="468"/>
      <c r="M40" s="471">
        <f t="shared" ref="M40:O40" si="2">SUM(M4:M39)</f>
        <v>26668</v>
      </c>
      <c r="N40" s="471">
        <f t="shared" si="2"/>
        <v>15108</v>
      </c>
      <c r="O40" s="471">
        <f t="shared" si="2"/>
        <v>13199</v>
      </c>
      <c r="P40" s="470"/>
      <c r="Q40" s="470"/>
      <c r="R40" s="468"/>
      <c r="S40" s="470"/>
      <c r="T40" s="470"/>
      <c r="U40" s="470"/>
      <c r="V40" s="470"/>
      <c r="W40" s="470"/>
      <c r="X40" s="470"/>
      <c r="Y40" s="470"/>
      <c r="Z40" s="470"/>
    </row>
  </sheetData>
  <mergeCells count="2">
    <mergeCell ref="P2:R2"/>
    <mergeCell ref="V2:X2"/>
  </mergeCells>
  <dataValidations>
    <dataValidation type="list" allowBlank="1" showErrorMessage="1" sqref="C1">
      <formula1>'Volume Split Up-To-Date'!$D$3:$D40</formula1>
    </dataValidation>
    <dataValidation type="list" allowBlank="1" showErrorMessage="1" sqref="B1">
      <formula1>"Maitre,Verden"</formula1>
    </dataValidation>
  </dataValidations>
  <drawing r:id="rId4"/>
  <legacyDrawing r:id="rId5"/>
</worksheet>
</file>